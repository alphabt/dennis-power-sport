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fa5223e0a2f9e85/Documents/Help/DennisPowerSport/Shopify/"/>
    </mc:Choice>
  </mc:AlternateContent>
  <xr:revisionPtr revIDLastSave="72" documentId="8_{4BDA7603-7780-0444-B4F3-D334D6EB0F8D}" xr6:coauthVersionLast="45" xr6:coauthVersionMax="45" xr10:uidLastSave="{099BB1A8-D48C-324A-8026-9A163A5C82B5}"/>
  <bookViews>
    <workbookView xWindow="0" yWindow="460" windowWidth="28800" windowHeight="17540" activeTab="3" xr2:uid="{00000000-000D-0000-FFFF-FFFF00000000}"/>
  </bookViews>
  <sheets>
    <sheet name="shopify_import" sheetId="1" r:id="rId1"/>
    <sheet name="source" sheetId="2" r:id="rId2"/>
    <sheet name="variant_counts" sheetId="4" r:id="rId3"/>
    <sheet name="settings" sheetId="5" r:id="rId4"/>
  </sheets>
  <functionGroups builtInGroupCount="19"/>
  <definedNames>
    <definedName name="_xlnm._FilterDatabase" localSheetId="0">shopify_import!$B$1:$AX$23</definedName>
    <definedName name="_xlnm._FilterDatabase" localSheetId="1" hidden="1">source!$A$1:$T$2024</definedName>
    <definedName name="duplicated">shopify_import!$B:$B</definedName>
    <definedName name="eur_usd">settings!$B$2</definedName>
    <definedName name="handle">shopify_import!$E:$E</definedName>
    <definedName name="is_variant">shopify_import!$C:$C</definedName>
    <definedName name="margin">settings!$B$1</definedName>
    <definedName name="option1_name">shopify_import!$L:$L</definedName>
    <definedName name="option1_value">shopify_import!$M:$M</definedName>
    <definedName name="source_bike">source!$N:$N</definedName>
    <definedName name="source_brand">source!$M:$M</definedName>
    <definedName name="source_description">source!$Q:$Q</definedName>
    <definedName name="source_image">source!$R:$R</definedName>
    <definedName name="source_option_name">source!$S:$S</definedName>
    <definedName name="source_option_price">source!$T:$T</definedName>
    <definedName name="source_price_current">source!$O:$O</definedName>
    <definedName name="source_price_original">source!$P:$P</definedName>
    <definedName name="source_product_link">source!$I:$I</definedName>
    <definedName name="source_product_link_href">source!$J:$J</definedName>
    <definedName name="source_sku">source!$L:$L</definedName>
    <definedName name="source_title">source!$K:$K</definedName>
    <definedName name="variant_count">shopify_import!$D:$D</definedName>
  </definedNames>
  <calcPr calcId="191029"/>
  <pivotCaches>
    <pivotCache cacheId="2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" i="1"/>
  <c r="B976" i="2" l="1"/>
  <c r="C976" i="2"/>
  <c r="B1407" i="2"/>
  <c r="C1407" i="2"/>
  <c r="B1932" i="2"/>
  <c r="C1932" i="2"/>
  <c r="B1871" i="2"/>
  <c r="C1871" i="2"/>
  <c r="B1047" i="2"/>
  <c r="C1047" i="2"/>
  <c r="B338" i="2"/>
  <c r="C338" i="2"/>
  <c r="B1545" i="2"/>
  <c r="C1545" i="2"/>
  <c r="B646" i="2"/>
  <c r="C646" i="2"/>
  <c r="B1531" i="2"/>
  <c r="C1531" i="2"/>
  <c r="B638" i="2"/>
  <c r="C638" i="2"/>
  <c r="B1273" i="2"/>
  <c r="C1273" i="2"/>
  <c r="B630" i="2"/>
  <c r="C630" i="2"/>
  <c r="B1931" i="2"/>
  <c r="C1931" i="2"/>
  <c r="B1185" i="2"/>
  <c r="C1185" i="2"/>
  <c r="B2012" i="2"/>
  <c r="C2012" i="2"/>
  <c r="B1463" i="2"/>
  <c r="C1463" i="2"/>
  <c r="B315" i="2"/>
  <c r="C315" i="2"/>
  <c r="B1693" i="2"/>
  <c r="C1693" i="2"/>
  <c r="B762" i="2"/>
  <c r="C762" i="2"/>
  <c r="B756" i="2"/>
  <c r="C756" i="2"/>
  <c r="B1807" i="2"/>
  <c r="C1807" i="2"/>
  <c r="B325" i="2"/>
  <c r="C325" i="2"/>
  <c r="B1320" i="2"/>
  <c r="C1320" i="2"/>
  <c r="B584" i="2"/>
  <c r="C584" i="2"/>
  <c r="B577" i="2"/>
  <c r="C577" i="2"/>
  <c r="B57" i="2"/>
  <c r="C57" i="2"/>
  <c r="B367" i="2"/>
  <c r="C367" i="2"/>
  <c r="B912" i="2"/>
  <c r="C912" i="2"/>
  <c r="B1765" i="2"/>
  <c r="C1765" i="2"/>
  <c r="B392" i="2"/>
  <c r="C392" i="2"/>
  <c r="B1074" i="2"/>
  <c r="C1074" i="2"/>
  <c r="B1621" i="2"/>
  <c r="C1621" i="2"/>
  <c r="B10" i="2"/>
  <c r="C10" i="2"/>
  <c r="B1492" i="2"/>
  <c r="C1492" i="2"/>
  <c r="B1856" i="2"/>
  <c r="C1856" i="2"/>
  <c r="B385" i="2"/>
  <c r="C385" i="2"/>
  <c r="B669" i="2"/>
  <c r="C669" i="2"/>
  <c r="B296" i="2"/>
  <c r="C296" i="2"/>
  <c r="B889" i="2"/>
  <c r="C889" i="2"/>
  <c r="B1803" i="2"/>
  <c r="C1803" i="2"/>
  <c r="B276" i="2"/>
  <c r="C276" i="2"/>
  <c r="B1285" i="2"/>
  <c r="C1285" i="2"/>
  <c r="B517" i="2"/>
  <c r="C517" i="2"/>
  <c r="B925" i="2"/>
  <c r="C925" i="2"/>
  <c r="B1107" i="2"/>
  <c r="C1107" i="2"/>
  <c r="B1309" i="2"/>
  <c r="C1309" i="2"/>
  <c r="B761" i="2"/>
  <c r="C761" i="2"/>
  <c r="B106" i="2"/>
  <c r="C106" i="2"/>
  <c r="B307" i="2"/>
  <c r="C307" i="2"/>
  <c r="B709" i="2"/>
  <c r="C709" i="2"/>
  <c r="B438" i="2"/>
  <c r="C438" i="2"/>
  <c r="B145" i="2"/>
  <c r="C145" i="2"/>
  <c r="B1316" i="2"/>
  <c r="C1316" i="2"/>
  <c r="B606" i="2"/>
  <c r="C606" i="2"/>
  <c r="B1605" i="2"/>
  <c r="C1605" i="2"/>
  <c r="B1253" i="2"/>
  <c r="C1253" i="2"/>
  <c r="B1629" i="2"/>
  <c r="C1629" i="2"/>
  <c r="B265" i="2"/>
  <c r="C265" i="2"/>
  <c r="B1757" i="2"/>
  <c r="C1757" i="2"/>
  <c r="B664" i="2"/>
  <c r="C664" i="2"/>
  <c r="B1321" i="2"/>
  <c r="C1321" i="2"/>
  <c r="B482" i="2"/>
  <c r="C482" i="2"/>
  <c r="B1535" i="2"/>
  <c r="C1535" i="2"/>
  <c r="B283" i="2"/>
  <c r="C283" i="2"/>
  <c r="B986" i="2"/>
  <c r="C986" i="2"/>
  <c r="B1496" i="2"/>
  <c r="C1496" i="2"/>
  <c r="B1081" i="2"/>
  <c r="C1081" i="2"/>
  <c r="B460" i="2"/>
  <c r="C460" i="2"/>
  <c r="B1080" i="2"/>
  <c r="C1080" i="2"/>
  <c r="B1920" i="2"/>
  <c r="C1920" i="2"/>
  <c r="B613" i="2"/>
  <c r="C613" i="2"/>
  <c r="B652" i="2"/>
  <c r="C652" i="2"/>
  <c r="B1794" i="2"/>
  <c r="C1794" i="2"/>
  <c r="B1908" i="2"/>
  <c r="C1908" i="2"/>
  <c r="B1356" i="2"/>
  <c r="C1356" i="2"/>
  <c r="B336" i="2"/>
  <c r="C336" i="2"/>
  <c r="B1281" i="2"/>
  <c r="C1281" i="2"/>
  <c r="B1590" i="2"/>
  <c r="C1590" i="2"/>
  <c r="B1499" i="2"/>
  <c r="C1499" i="2"/>
  <c r="B571" i="2"/>
  <c r="C571" i="2"/>
  <c r="B1880" i="2"/>
  <c r="C1880" i="2"/>
  <c r="B1907" i="2"/>
  <c r="C1907" i="2"/>
  <c r="B360" i="2"/>
  <c r="C360" i="2"/>
  <c r="B2004" i="2"/>
  <c r="C2004" i="2"/>
  <c r="B478" i="2"/>
  <c r="C478" i="2"/>
  <c r="B1574" i="2"/>
  <c r="C1574" i="2"/>
  <c r="B575" i="2"/>
  <c r="C575" i="2"/>
  <c r="B456" i="2"/>
  <c r="C456" i="2"/>
  <c r="B222" i="2"/>
  <c r="C222" i="2"/>
  <c r="B264" i="2"/>
  <c r="C264" i="2"/>
  <c r="B1863" i="2"/>
  <c r="C1863" i="2"/>
  <c r="B994" i="2"/>
  <c r="C994" i="2"/>
  <c r="B1917" i="2"/>
  <c r="C1917" i="2"/>
  <c r="B827" i="2"/>
  <c r="C827" i="2"/>
  <c r="B959" i="2"/>
  <c r="C959" i="2"/>
  <c r="B795" i="2"/>
  <c r="C795" i="2"/>
  <c r="B1310" i="2"/>
  <c r="C1310" i="2"/>
  <c r="B1481" i="2"/>
  <c r="C1481" i="2"/>
  <c r="B634" i="2"/>
  <c r="C634" i="2"/>
  <c r="B765" i="2"/>
  <c r="C765" i="2"/>
  <c r="B942" i="2"/>
  <c r="C942" i="2"/>
  <c r="B1173" i="2"/>
  <c r="C1173" i="2"/>
  <c r="B43" i="2"/>
  <c r="C43" i="2"/>
  <c r="B928" i="2"/>
  <c r="C928" i="2"/>
  <c r="B1886" i="2"/>
  <c r="C1886" i="2"/>
  <c r="B870" i="2"/>
  <c r="C870" i="2"/>
  <c r="B670" i="2"/>
  <c r="C670" i="2"/>
  <c r="B833" i="2"/>
  <c r="C833" i="2"/>
  <c r="B1251" i="2"/>
  <c r="C1251" i="2"/>
  <c r="B711" i="2"/>
  <c r="C711" i="2"/>
  <c r="B404" i="2"/>
  <c r="C404" i="2"/>
  <c r="B608" i="2"/>
  <c r="C608" i="2"/>
  <c r="B475" i="2"/>
  <c r="C475" i="2"/>
  <c r="B635" i="2"/>
  <c r="C635" i="2"/>
  <c r="B1207" i="2"/>
  <c r="C1207" i="2"/>
  <c r="B620" i="2"/>
  <c r="C620" i="2"/>
  <c r="B1842" i="2"/>
  <c r="C1842" i="2"/>
  <c r="B1487" i="2"/>
  <c r="C1487" i="2"/>
  <c r="B1045" i="2"/>
  <c r="C1045" i="2"/>
  <c r="B136" i="2"/>
  <c r="C136" i="2"/>
  <c r="B1810" i="2"/>
  <c r="C1810" i="2"/>
  <c r="B1227" i="2"/>
  <c r="C1227" i="2"/>
  <c r="B1333" i="2"/>
  <c r="C1333" i="2"/>
  <c r="B104" i="2"/>
  <c r="C104" i="2"/>
  <c r="B814" i="2"/>
  <c r="C814" i="2"/>
  <c r="B1235" i="2"/>
  <c r="C1235" i="2"/>
  <c r="B745" i="2"/>
  <c r="C745" i="2"/>
  <c r="B1019" i="2"/>
  <c r="C1019" i="2"/>
  <c r="B515" i="2"/>
  <c r="C515" i="2"/>
  <c r="B641" i="2"/>
  <c r="C641" i="2"/>
  <c r="B462" i="2"/>
  <c r="C462" i="2"/>
  <c r="B896" i="2"/>
  <c r="C896" i="2"/>
  <c r="B1304" i="2"/>
  <c r="C1304" i="2"/>
  <c r="B1377" i="2"/>
  <c r="C1377" i="2"/>
  <c r="B640" i="2"/>
  <c r="C640" i="2"/>
  <c r="B868" i="2"/>
  <c r="C868" i="2"/>
  <c r="B1733" i="2"/>
  <c r="C1733" i="2"/>
  <c r="B1408" i="2"/>
  <c r="C1408" i="2"/>
  <c r="B1381" i="2"/>
  <c r="C1381" i="2"/>
  <c r="B1760" i="2"/>
  <c r="C1760" i="2"/>
  <c r="B1228" i="2"/>
  <c r="C1228" i="2"/>
  <c r="B973" i="2"/>
  <c r="C973" i="2"/>
  <c r="B24" i="2"/>
  <c r="C24" i="2"/>
  <c r="B1398" i="2"/>
  <c r="C1398" i="2"/>
  <c r="B1444" i="2"/>
  <c r="C1444" i="2"/>
  <c r="B1232" i="2"/>
  <c r="C1232" i="2"/>
  <c r="B1555" i="2"/>
  <c r="C1555" i="2"/>
  <c r="B728" i="2"/>
  <c r="C728" i="2"/>
  <c r="B519" i="2"/>
  <c r="C519" i="2"/>
  <c r="B974" i="2"/>
  <c r="C974" i="2"/>
  <c r="B809" i="2"/>
  <c r="C809" i="2"/>
  <c r="B844" i="2"/>
  <c r="C844" i="2"/>
  <c r="B1343" i="2"/>
  <c r="C1343" i="2"/>
  <c r="B60" i="2"/>
  <c r="C60" i="2"/>
  <c r="B1389" i="2"/>
  <c r="C1389" i="2"/>
  <c r="B1283" i="2"/>
  <c r="C1283" i="2"/>
  <c r="B1098" i="2"/>
  <c r="C1098" i="2"/>
  <c r="B1592" i="2"/>
  <c r="C1592" i="2"/>
  <c r="B1526" i="2"/>
  <c r="C1526" i="2"/>
  <c r="B414" i="2"/>
  <c r="C414" i="2"/>
  <c r="B277" i="2"/>
  <c r="C277" i="2"/>
  <c r="B537" i="2"/>
  <c r="C537" i="2"/>
  <c r="B666" i="2"/>
  <c r="C666" i="2"/>
  <c r="B738" i="2"/>
  <c r="C738" i="2"/>
  <c r="B1912" i="2"/>
  <c r="C1912" i="2"/>
  <c r="B661" i="2"/>
  <c r="C661" i="2"/>
  <c r="B289" i="2"/>
  <c r="C289" i="2"/>
  <c r="B68" i="2"/>
  <c r="C68" i="2"/>
  <c r="B1789" i="2"/>
  <c r="C1789" i="2"/>
  <c r="B1766" i="2"/>
  <c r="C1766" i="2"/>
  <c r="B667" i="2"/>
  <c r="C667" i="2"/>
  <c r="B1358" i="2"/>
  <c r="C1358" i="2"/>
  <c r="B1475" i="2"/>
  <c r="C1475" i="2"/>
  <c r="B1985" i="2"/>
  <c r="C1985" i="2"/>
  <c r="B963" i="2"/>
  <c r="C963" i="2"/>
  <c r="B1429" i="2"/>
  <c r="C1429" i="2"/>
  <c r="B1763" i="2"/>
  <c r="C1763" i="2"/>
  <c r="B35" i="2"/>
  <c r="C35" i="2"/>
  <c r="B1724" i="2"/>
  <c r="C1724" i="2"/>
  <c r="B1510" i="2"/>
  <c r="C1510" i="2"/>
  <c r="B909" i="2"/>
  <c r="C909" i="2"/>
  <c r="B130" i="2"/>
  <c r="C130" i="2"/>
  <c r="B1645" i="2"/>
  <c r="C1645" i="2"/>
  <c r="B320" i="2"/>
  <c r="C320" i="2"/>
  <c r="B123" i="2"/>
  <c r="C123" i="2"/>
  <c r="B163" i="2"/>
  <c r="C163" i="2"/>
  <c r="B1404" i="2"/>
  <c r="C1404" i="2"/>
  <c r="B1375" i="2"/>
  <c r="C1375" i="2"/>
  <c r="B363" i="2"/>
  <c r="C363" i="2"/>
  <c r="B1992" i="2"/>
  <c r="C1992" i="2"/>
  <c r="B1979" i="2"/>
  <c r="C1979" i="2"/>
  <c r="B532" i="2"/>
  <c r="C532" i="2"/>
  <c r="B1694" i="2"/>
  <c r="C1694" i="2"/>
  <c r="B109" i="2"/>
  <c r="C109" i="2"/>
  <c r="B546" i="2"/>
  <c r="C546" i="2"/>
  <c r="B1434" i="2"/>
  <c r="C1434" i="2"/>
  <c r="B430" i="2"/>
  <c r="C430" i="2"/>
  <c r="B1631" i="2"/>
  <c r="C1631" i="2"/>
  <c r="B2016" i="2"/>
  <c r="C2016" i="2"/>
  <c r="B1820" i="2"/>
  <c r="C1820" i="2"/>
  <c r="B1314" i="2"/>
  <c r="C1314" i="2"/>
  <c r="B1263" i="2"/>
  <c r="C1263" i="2"/>
  <c r="B1443" i="2"/>
  <c r="C1443" i="2"/>
  <c r="B1669" i="2"/>
  <c r="C1669" i="2"/>
  <c r="B1698" i="2"/>
  <c r="C1698" i="2"/>
  <c r="B1049" i="2"/>
  <c r="C1049" i="2"/>
  <c r="B164" i="2"/>
  <c r="C164" i="2"/>
  <c r="B611" i="2"/>
  <c r="C611" i="2"/>
  <c r="B1302" i="2"/>
  <c r="C1302" i="2"/>
  <c r="B253" i="2"/>
  <c r="C253" i="2"/>
  <c r="B659" i="2"/>
  <c r="C659" i="2"/>
  <c r="B358" i="2"/>
  <c r="C358" i="2"/>
  <c r="B99" i="2"/>
  <c r="C99" i="2"/>
  <c r="B776" i="2"/>
  <c r="C776" i="2"/>
  <c r="B1874" i="2"/>
  <c r="C1874" i="2"/>
  <c r="B1070" i="2"/>
  <c r="C1070" i="2"/>
  <c r="B672" i="2"/>
  <c r="C672" i="2"/>
  <c r="B1072" i="2"/>
  <c r="C1072" i="2"/>
  <c r="B400" i="2"/>
  <c r="C400" i="2"/>
  <c r="B1119" i="2"/>
  <c r="C1119" i="2"/>
  <c r="B1369" i="2"/>
  <c r="C1369" i="2"/>
  <c r="B960" i="2"/>
  <c r="C960" i="2"/>
  <c r="B1630" i="2"/>
  <c r="C1630" i="2"/>
  <c r="B791" i="2"/>
  <c r="C791" i="2"/>
  <c r="B1735" i="2"/>
  <c r="C1735" i="2"/>
  <c r="B1104" i="2"/>
  <c r="C1104" i="2"/>
  <c r="B856" i="2"/>
  <c r="C856" i="2"/>
  <c r="B1417" i="2"/>
  <c r="C1417" i="2"/>
  <c r="B1051" i="2"/>
  <c r="C1051" i="2"/>
  <c r="B685" i="2"/>
  <c r="C685" i="2"/>
  <c r="B1653" i="2"/>
  <c r="C1653" i="2"/>
  <c r="B1646" i="2"/>
  <c r="C1646" i="2"/>
  <c r="B51" i="2"/>
  <c r="C51" i="2"/>
  <c r="B1329" i="2"/>
  <c r="C1329" i="2"/>
  <c r="B1595" i="2"/>
  <c r="C1595" i="2"/>
  <c r="B1802" i="2"/>
  <c r="C1802" i="2"/>
  <c r="B75" i="2"/>
  <c r="C75" i="2"/>
  <c r="B902" i="2"/>
  <c r="C902" i="2"/>
  <c r="B804" i="2"/>
  <c r="C804" i="2"/>
  <c r="B280" i="2"/>
  <c r="C280" i="2"/>
  <c r="B159" i="2"/>
  <c r="C159" i="2"/>
  <c r="B1613" i="2"/>
  <c r="C1613" i="2"/>
  <c r="B731" i="2"/>
  <c r="C731" i="2"/>
  <c r="B1089" i="2"/>
  <c r="C1089" i="2"/>
  <c r="B1972" i="2"/>
  <c r="C1972" i="2"/>
  <c r="B996" i="2"/>
  <c r="C996" i="2"/>
  <c r="B1921" i="2"/>
  <c r="C1921" i="2"/>
  <c r="B615" i="2"/>
  <c r="C615" i="2"/>
  <c r="B1612" i="2"/>
  <c r="C1612" i="2"/>
  <c r="B772" i="2"/>
  <c r="C772" i="2"/>
  <c r="B758" i="2"/>
  <c r="C758" i="2"/>
  <c r="B753" i="2"/>
  <c r="C753" i="2"/>
  <c r="B1678" i="2"/>
  <c r="C1678" i="2"/>
  <c r="B1892" i="2"/>
  <c r="C1892" i="2"/>
  <c r="B686" i="2"/>
  <c r="C686" i="2"/>
  <c r="B1166" i="2"/>
  <c r="C1166" i="2"/>
  <c r="B721" i="2"/>
  <c r="C721" i="2"/>
  <c r="B1216" i="2"/>
  <c r="C1216" i="2"/>
  <c r="B236" i="2"/>
  <c r="C236" i="2"/>
  <c r="B1822" i="2"/>
  <c r="C1822" i="2"/>
  <c r="B1569" i="2"/>
  <c r="C1569" i="2"/>
  <c r="B1701" i="2"/>
  <c r="C1701" i="2"/>
  <c r="B1628" i="2"/>
  <c r="C1628" i="2"/>
  <c r="B121" i="2"/>
  <c r="C121" i="2"/>
  <c r="B1149" i="2"/>
  <c r="C1149" i="2"/>
  <c r="B673" i="2"/>
  <c r="C673" i="2"/>
  <c r="B748" i="2"/>
  <c r="C748" i="2"/>
  <c r="B1084" i="2"/>
  <c r="C1084" i="2"/>
  <c r="B521" i="2"/>
  <c r="C521" i="2"/>
  <c r="B1362" i="2"/>
  <c r="C1362" i="2"/>
  <c r="B1849" i="2"/>
  <c r="C1849" i="2"/>
  <c r="B1299" i="2"/>
  <c r="C1299" i="2"/>
  <c r="B624" i="2"/>
  <c r="C624" i="2"/>
  <c r="B72" i="2"/>
  <c r="C72" i="2"/>
  <c r="B1758" i="2"/>
  <c r="C1758" i="2"/>
  <c r="B597" i="2"/>
  <c r="C597" i="2"/>
  <c r="B639" i="2"/>
  <c r="C639" i="2"/>
  <c r="B271" i="2"/>
  <c r="C271" i="2"/>
  <c r="B383" i="2"/>
  <c r="C383" i="2"/>
  <c r="B1519" i="2"/>
  <c r="C1519" i="2"/>
  <c r="B997" i="2"/>
  <c r="C997" i="2"/>
  <c r="B865" i="2"/>
  <c r="C865" i="2"/>
  <c r="B1761" i="2"/>
  <c r="C1761" i="2"/>
  <c r="B1944" i="2"/>
  <c r="C1944" i="2"/>
  <c r="B1384" i="2"/>
  <c r="C1384" i="2"/>
  <c r="B157" i="2"/>
  <c r="C157" i="2"/>
  <c r="B1643" i="2"/>
  <c r="C1643" i="2"/>
  <c r="B1319" i="2"/>
  <c r="C1319" i="2"/>
  <c r="B736" i="2"/>
  <c r="C736" i="2"/>
  <c r="B1579" i="2"/>
  <c r="C1579" i="2"/>
  <c r="B1296" i="2"/>
  <c r="C1296" i="2"/>
  <c r="B1400" i="2"/>
  <c r="C1400" i="2"/>
  <c r="B1058" i="2"/>
  <c r="C1058" i="2"/>
  <c r="B1659" i="2"/>
  <c r="C1659" i="2"/>
  <c r="B812" i="2"/>
  <c r="C812" i="2"/>
  <c r="B1438" i="2"/>
  <c r="C1438" i="2"/>
  <c r="B775" i="2"/>
  <c r="C775" i="2"/>
  <c r="B810" i="2"/>
  <c r="C810" i="2"/>
  <c r="B484" i="2"/>
  <c r="C484" i="2"/>
  <c r="B623" i="2"/>
  <c r="C623" i="2"/>
  <c r="B932" i="2"/>
  <c r="C932" i="2"/>
  <c r="B1683" i="2"/>
  <c r="C1683" i="2"/>
  <c r="B1996" i="2"/>
  <c r="C1996" i="2"/>
  <c r="B31" i="2"/>
  <c r="C31" i="2"/>
  <c r="B1982" i="2"/>
  <c r="C1982" i="2"/>
  <c r="B1812" i="2"/>
  <c r="C1812" i="2"/>
  <c r="B170" i="2"/>
  <c r="C170" i="2"/>
  <c r="B786" i="2"/>
  <c r="C786" i="2"/>
  <c r="B1290" i="2"/>
  <c r="C1290" i="2"/>
  <c r="B179" i="2"/>
  <c r="C179" i="2"/>
  <c r="B1324" i="2"/>
  <c r="C1324" i="2"/>
  <c r="B285" i="2"/>
  <c r="C285" i="2"/>
  <c r="B1642" i="2"/>
  <c r="C1642" i="2"/>
  <c r="B1123" i="2"/>
  <c r="C1123" i="2"/>
  <c r="B718" i="2"/>
  <c r="C718" i="2"/>
  <c r="B1895" i="2"/>
  <c r="C1895" i="2"/>
  <c r="B1584" i="2"/>
  <c r="C1584" i="2"/>
  <c r="B1882" i="2"/>
  <c r="C1882" i="2"/>
  <c r="B1428" i="2"/>
  <c r="C1428" i="2"/>
  <c r="B883" i="2"/>
  <c r="C883" i="2"/>
  <c r="B1615" i="2"/>
  <c r="C1615" i="2"/>
  <c r="B853" i="2"/>
  <c r="C853" i="2"/>
  <c r="B1229" i="2"/>
  <c r="C1229" i="2"/>
  <c r="B61" i="2"/>
  <c r="C61" i="2"/>
  <c r="B854" i="2"/>
  <c r="C854" i="2"/>
  <c r="B778" i="2"/>
  <c r="C778" i="2"/>
  <c r="B726" i="2"/>
  <c r="C726" i="2"/>
  <c r="B862" i="2"/>
  <c r="C862" i="2"/>
  <c r="B1136" i="2"/>
  <c r="C1136" i="2"/>
  <c r="B1570" i="2"/>
  <c r="C1570" i="2"/>
  <c r="B643" i="2"/>
  <c r="C643" i="2"/>
  <c r="B74" i="2"/>
  <c r="C74" i="2"/>
  <c r="B1696" i="2"/>
  <c r="C1696" i="2"/>
  <c r="B808" i="2"/>
  <c r="C808" i="2"/>
  <c r="B1991" i="2"/>
  <c r="C1991" i="2"/>
  <c r="B1293" i="2"/>
  <c r="C1293" i="2"/>
  <c r="B1959" i="2"/>
  <c r="C1959" i="2"/>
  <c r="B55" i="2"/>
  <c r="C55" i="2"/>
  <c r="B1716" i="2"/>
  <c r="C1716" i="2"/>
  <c r="B1942" i="2"/>
  <c r="C1942" i="2"/>
  <c r="B1745" i="2"/>
  <c r="C1745" i="2"/>
  <c r="B1361" i="2"/>
  <c r="C1361" i="2"/>
  <c r="B54" i="2"/>
  <c r="C54" i="2"/>
  <c r="B1142" i="2"/>
  <c r="C1142" i="2"/>
  <c r="B161" i="2"/>
  <c r="C161" i="2"/>
  <c r="B1692" i="2"/>
  <c r="C1692" i="2"/>
  <c r="B642" i="2"/>
  <c r="C642" i="2"/>
  <c r="B1689" i="2"/>
  <c r="C1689" i="2"/>
  <c r="B1096" i="2"/>
  <c r="C1096" i="2"/>
  <c r="B1436" i="2"/>
  <c r="C1436" i="2"/>
  <c r="B1117" i="2"/>
  <c r="C1117" i="2"/>
  <c r="B562" i="2"/>
  <c r="C562" i="2"/>
  <c r="B34" i="2"/>
  <c r="C34" i="2"/>
  <c r="B727" i="2"/>
  <c r="C727" i="2"/>
  <c r="B298" i="2"/>
  <c r="C298" i="2"/>
  <c r="B766" i="2"/>
  <c r="C766" i="2"/>
  <c r="B1988" i="2"/>
  <c r="C1988" i="2"/>
  <c r="B120" i="2"/>
  <c r="C120" i="2"/>
  <c r="B834" i="2"/>
  <c r="C834" i="2"/>
  <c r="B863" i="2"/>
  <c r="C863" i="2"/>
  <c r="B1846" i="2"/>
  <c r="C1846" i="2"/>
  <c r="B1948" i="2"/>
  <c r="C1948" i="2"/>
  <c r="B1328" i="2"/>
  <c r="C1328" i="2"/>
  <c r="B1005" i="2"/>
  <c r="C1005" i="2"/>
  <c r="B1468" i="2"/>
  <c r="C1468" i="2"/>
  <c r="B2010" i="2"/>
  <c r="C2010" i="2"/>
  <c r="B1968" i="2"/>
  <c r="C1968" i="2"/>
  <c r="B1357" i="2"/>
  <c r="C1357" i="2"/>
  <c r="B199" i="2"/>
  <c r="C199" i="2"/>
  <c r="B1004" i="2"/>
  <c r="C1004" i="2"/>
  <c r="B873" i="2"/>
  <c r="C873" i="2"/>
  <c r="B381" i="2"/>
  <c r="C381" i="2"/>
  <c r="B555" i="2"/>
  <c r="C555" i="2"/>
  <c r="B471" i="2"/>
  <c r="C471" i="2"/>
  <c r="B884" i="2"/>
  <c r="C884" i="2"/>
  <c r="B1498" i="2"/>
  <c r="C1498" i="2"/>
  <c r="B1006" i="2"/>
  <c r="C1006" i="2"/>
  <c r="B64" i="2"/>
  <c r="C64" i="2"/>
  <c r="B1076" i="2"/>
  <c r="C1076" i="2"/>
  <c r="B1750" i="2"/>
  <c r="C1750" i="2"/>
  <c r="B820" i="2"/>
  <c r="C820" i="2"/>
  <c r="B703" i="2"/>
  <c r="C703" i="2"/>
  <c r="B877" i="2"/>
  <c r="C877" i="2"/>
  <c r="B455" i="2"/>
  <c r="C455" i="2"/>
  <c r="B919" i="2"/>
  <c r="C919" i="2"/>
  <c r="B533" i="2"/>
  <c r="C533" i="2"/>
  <c r="B286" i="2"/>
  <c r="C286" i="2"/>
  <c r="B1143" i="2"/>
  <c r="C1143" i="2"/>
  <c r="B708" i="2"/>
  <c r="C708" i="2"/>
  <c r="B1962" i="2"/>
  <c r="C1962" i="2"/>
  <c r="B81" i="2"/>
  <c r="C81" i="2"/>
  <c r="B148" i="2"/>
  <c r="C148" i="2"/>
  <c r="B500" i="2"/>
  <c r="C500" i="2"/>
  <c r="B39" i="2"/>
  <c r="C39" i="2"/>
  <c r="B65" i="2"/>
  <c r="C65" i="2"/>
  <c r="B771" i="2"/>
  <c r="C771" i="2"/>
  <c r="B1987" i="2"/>
  <c r="C1987" i="2"/>
  <c r="B1145" i="2"/>
  <c r="C1145" i="2"/>
  <c r="B867" i="2"/>
  <c r="C867" i="2"/>
  <c r="B1430" i="2"/>
  <c r="C1430" i="2"/>
  <c r="B1164" i="2"/>
  <c r="C1164" i="2"/>
  <c r="B1551" i="2"/>
  <c r="C1551" i="2"/>
  <c r="B420" i="2"/>
  <c r="C420" i="2"/>
  <c r="B1657" i="2"/>
  <c r="C1657" i="2"/>
  <c r="B505" i="2"/>
  <c r="C505" i="2"/>
  <c r="B1589" i="2"/>
  <c r="C1589" i="2"/>
  <c r="B340" i="2"/>
  <c r="C340" i="2"/>
  <c r="B593" i="2"/>
  <c r="C593" i="2"/>
  <c r="B243" i="2"/>
  <c r="C243" i="2"/>
  <c r="B1440" i="2"/>
  <c r="C1440" i="2"/>
  <c r="B1501" i="2"/>
  <c r="C1501" i="2"/>
  <c r="B626" i="2"/>
  <c r="C626" i="2"/>
  <c r="B1986" i="2"/>
  <c r="C1986" i="2"/>
  <c r="B592" i="2"/>
  <c r="C592" i="2"/>
  <c r="B605" i="2"/>
  <c r="C605" i="2"/>
  <c r="B1189" i="2"/>
  <c r="C1189" i="2"/>
  <c r="B1779" i="2"/>
  <c r="C1779" i="2"/>
  <c r="B3" i="2"/>
  <c r="C3" i="2"/>
  <c r="B1186" i="2"/>
  <c r="C1186" i="2"/>
  <c r="B688" i="2"/>
  <c r="C688" i="2"/>
  <c r="B524" i="2"/>
  <c r="C524" i="2"/>
  <c r="B1307" i="2"/>
  <c r="C1307" i="2"/>
  <c r="B324" i="2"/>
  <c r="C324" i="2"/>
  <c r="B1738" i="2"/>
  <c r="C1738" i="2"/>
  <c r="B1556" i="2"/>
  <c r="C1556" i="2"/>
  <c r="B1894" i="2"/>
  <c r="C1894" i="2"/>
  <c r="B1339" i="2"/>
  <c r="C1339" i="2"/>
  <c r="B713" i="2"/>
  <c r="C713" i="2"/>
  <c r="B1282" i="2"/>
  <c r="C1282" i="2"/>
  <c r="B1777" i="2"/>
  <c r="C1777" i="2"/>
  <c r="B227" i="2"/>
  <c r="C227" i="2"/>
  <c r="B125" i="2"/>
  <c r="C125" i="2"/>
  <c r="B1728" i="2"/>
  <c r="C1728" i="2"/>
  <c r="B434" i="2"/>
  <c r="C434" i="2"/>
  <c r="B1315" i="2"/>
  <c r="C1315" i="2"/>
  <c r="B1993" i="2"/>
  <c r="C1993" i="2"/>
  <c r="B258" i="2"/>
  <c r="C258" i="2"/>
  <c r="B292" i="2"/>
  <c r="C292" i="2"/>
  <c r="B1756" i="2"/>
  <c r="C1756" i="2"/>
  <c r="B382" i="2"/>
  <c r="C382" i="2"/>
  <c r="B1390" i="2"/>
  <c r="C1390" i="2"/>
  <c r="B2003" i="2"/>
  <c r="C2003" i="2"/>
  <c r="B1048" i="2"/>
  <c r="C1048" i="2"/>
  <c r="B1801" i="2"/>
  <c r="C1801" i="2"/>
  <c r="B998" i="2"/>
  <c r="C998" i="2"/>
  <c r="B1010" i="2"/>
  <c r="C1010" i="2"/>
  <c r="B1402" i="2"/>
  <c r="C1402" i="2"/>
  <c r="B1881" i="2"/>
  <c r="C1881" i="2"/>
  <c r="B1814" i="2"/>
  <c r="C1814" i="2"/>
  <c r="B245" i="2"/>
  <c r="C245" i="2"/>
  <c r="B900" i="2"/>
  <c r="C900" i="2"/>
  <c r="B798" i="2"/>
  <c r="C798" i="2"/>
  <c r="B448" i="2"/>
  <c r="C448" i="2"/>
  <c r="B1021" i="2"/>
  <c r="C1021" i="2"/>
  <c r="B1473" i="2"/>
  <c r="C1473" i="2"/>
  <c r="B780" i="2"/>
  <c r="C780" i="2"/>
  <c r="B124" i="2"/>
  <c r="C124" i="2"/>
  <c r="B405" i="2"/>
  <c r="C405" i="2"/>
  <c r="B1364" i="2"/>
  <c r="C1364" i="2"/>
  <c r="B1170" i="2"/>
  <c r="C1170" i="2"/>
  <c r="B1703" i="2"/>
  <c r="C1703" i="2"/>
  <c r="B724" i="2"/>
  <c r="C724" i="2"/>
  <c r="B1028" i="2"/>
  <c r="C1028" i="2"/>
  <c r="B1260" i="2"/>
  <c r="C1260" i="2"/>
  <c r="B1650" i="2"/>
  <c r="C1650" i="2"/>
  <c r="B1864" i="2"/>
  <c r="C1864" i="2"/>
  <c r="B1947" i="2"/>
  <c r="C1947" i="2"/>
  <c r="B951" i="2"/>
  <c r="C951" i="2"/>
  <c r="B1916" i="2"/>
  <c r="C1916" i="2"/>
  <c r="B1151" i="2"/>
  <c r="C1151" i="2"/>
  <c r="B1878" i="2"/>
  <c r="C1878" i="2"/>
  <c r="B422" i="2"/>
  <c r="C422" i="2"/>
  <c r="B1583" i="2"/>
  <c r="C1583" i="2"/>
  <c r="B78" i="2"/>
  <c r="C78" i="2"/>
  <c r="B717" i="2"/>
  <c r="C717" i="2"/>
  <c r="B936" i="2"/>
  <c r="C936" i="2"/>
  <c r="B871" i="2"/>
  <c r="C871" i="2"/>
  <c r="B250" i="2"/>
  <c r="C250" i="2"/>
  <c r="B1709" i="2"/>
  <c r="C1709" i="2"/>
  <c r="B242" i="2"/>
  <c r="C242" i="2"/>
  <c r="B1462" i="2"/>
  <c r="C1462" i="2"/>
  <c r="B700" i="2"/>
  <c r="C700" i="2"/>
  <c r="B549" i="2"/>
  <c r="C549" i="2"/>
  <c r="B247" i="2"/>
  <c r="C247" i="2"/>
  <c r="B1914" i="2"/>
  <c r="C1914" i="2"/>
  <c r="B46" i="2"/>
  <c r="C46" i="2"/>
  <c r="B1884" i="2"/>
  <c r="C1884" i="2"/>
  <c r="B467" i="2"/>
  <c r="C467" i="2"/>
  <c r="B1606" i="2"/>
  <c r="C1606" i="2"/>
  <c r="B1796" i="2"/>
  <c r="C1796" i="2"/>
  <c r="B1546" i="2"/>
  <c r="C1546" i="2"/>
  <c r="B1485" i="2"/>
  <c r="C1485" i="2"/>
  <c r="B1690" i="2"/>
  <c r="C1690" i="2"/>
  <c r="B1559" i="2"/>
  <c r="C1559" i="2"/>
  <c r="B175" i="2"/>
  <c r="C175" i="2"/>
  <c r="B501" i="2"/>
  <c r="C501" i="2"/>
  <c r="B470" i="2"/>
  <c r="C470" i="2"/>
  <c r="B1226" i="2"/>
  <c r="C1226" i="2"/>
  <c r="B1905" i="2"/>
  <c r="C1905" i="2"/>
  <c r="B1792" i="2"/>
  <c r="C1792" i="2"/>
  <c r="B410" i="2"/>
  <c r="C410" i="2"/>
  <c r="B70" i="2"/>
  <c r="C70" i="2"/>
  <c r="B710" i="2"/>
  <c r="C710" i="2"/>
  <c r="B82" i="2"/>
  <c r="C82" i="2"/>
  <c r="B451" i="2"/>
  <c r="C451" i="2"/>
  <c r="B84" i="2"/>
  <c r="C84" i="2"/>
  <c r="B1007" i="2"/>
  <c r="C1007" i="2"/>
  <c r="B1903" i="2"/>
  <c r="C1903" i="2"/>
  <c r="B341" i="2"/>
  <c r="C341" i="2"/>
  <c r="B541" i="2"/>
  <c r="C541" i="2"/>
  <c r="B1571" i="2"/>
  <c r="C1571" i="2"/>
  <c r="B1550" i="2"/>
  <c r="C1550" i="2"/>
  <c r="B1785" i="2"/>
  <c r="C1785" i="2"/>
  <c r="B1359" i="2"/>
  <c r="C1359" i="2"/>
  <c r="B1363" i="2"/>
  <c r="C1363" i="2"/>
  <c r="B429" i="2"/>
  <c r="C429" i="2"/>
  <c r="B1784" i="2"/>
  <c r="C1784" i="2"/>
  <c r="B1135" i="2"/>
  <c r="C1135" i="2"/>
  <c r="B1477" i="2"/>
  <c r="C1477" i="2"/>
  <c r="B967" i="2"/>
  <c r="C967" i="2"/>
  <c r="B186" i="2"/>
  <c r="C186" i="2"/>
  <c r="B1665" i="2"/>
  <c r="C1665" i="2"/>
  <c r="B1079" i="2"/>
  <c r="C1079" i="2"/>
  <c r="B339" i="2"/>
  <c r="C339" i="2"/>
  <c r="B1255" i="2"/>
  <c r="C1255" i="2"/>
  <c r="B781" i="2"/>
  <c r="C781" i="2"/>
  <c r="B427" i="2"/>
  <c r="C427" i="2"/>
  <c r="B457" i="2"/>
  <c r="C457" i="2"/>
  <c r="B1212" i="2"/>
  <c r="C1212" i="2"/>
  <c r="B927" i="2"/>
  <c r="C927" i="2"/>
  <c r="B725" i="2"/>
  <c r="C725" i="2"/>
  <c r="B1815" i="2"/>
  <c r="C1815" i="2"/>
  <c r="B1899" i="2"/>
  <c r="C1899" i="2"/>
  <c r="B465" i="2"/>
  <c r="C465" i="2"/>
  <c r="B572" i="2"/>
  <c r="C572" i="2"/>
  <c r="B1567" i="2"/>
  <c r="C1567" i="2"/>
  <c r="B1103" i="2"/>
  <c r="C1103" i="2"/>
  <c r="B214" i="2"/>
  <c r="C214" i="2"/>
  <c r="B1055" i="2"/>
  <c r="C1055" i="2"/>
  <c r="B1418" i="2"/>
  <c r="C1418" i="2"/>
  <c r="B267" i="2"/>
  <c r="C267" i="2"/>
  <c r="B1524" i="2"/>
  <c r="C1524" i="2"/>
  <c r="B625" i="2"/>
  <c r="C625" i="2"/>
  <c r="B882" i="2"/>
  <c r="C882" i="2"/>
  <c r="B1024" i="2"/>
  <c r="C1024" i="2"/>
  <c r="B1805" i="2"/>
  <c r="C1805" i="2"/>
  <c r="B1969" i="2"/>
  <c r="C1969" i="2"/>
  <c r="B134" i="2"/>
  <c r="C134" i="2"/>
  <c r="B313" i="2"/>
  <c r="C313" i="2"/>
  <c r="B720" i="2"/>
  <c r="C720" i="2"/>
  <c r="B491" i="2"/>
  <c r="C491" i="2"/>
  <c r="B1945" i="2"/>
  <c r="C1945" i="2"/>
  <c r="B1087" i="2"/>
  <c r="C1087" i="2"/>
  <c r="B1313" i="2"/>
  <c r="C1313" i="2"/>
  <c r="B133" i="2"/>
  <c r="C133" i="2"/>
  <c r="B1529" i="2"/>
  <c r="C1529" i="2"/>
  <c r="B551" i="2"/>
  <c r="C551" i="2"/>
  <c r="B1286" i="2"/>
  <c r="C1286" i="2"/>
  <c r="B1602" i="2"/>
  <c r="C1602" i="2"/>
  <c r="B1132" i="2"/>
  <c r="C1132" i="2"/>
  <c r="B1163" i="2"/>
  <c r="C1163" i="2"/>
  <c r="B831" i="2"/>
  <c r="C831" i="2"/>
  <c r="B1587" i="2"/>
  <c r="C1587" i="2"/>
  <c r="B185" i="2"/>
  <c r="C185" i="2"/>
  <c r="B1425" i="2"/>
  <c r="C1425" i="2"/>
  <c r="B972" i="2"/>
  <c r="C972" i="2"/>
  <c r="B955" i="2"/>
  <c r="C955" i="2"/>
  <c r="B637" i="2"/>
  <c r="C637" i="2"/>
  <c r="B1078" i="2"/>
  <c r="C1078" i="2"/>
  <c r="B1548" i="2"/>
  <c r="C1548" i="2"/>
  <c r="B891" i="2"/>
  <c r="C891" i="2"/>
  <c r="B1861" i="2"/>
  <c r="C1861" i="2"/>
  <c r="B1768" i="2"/>
  <c r="C1768" i="2"/>
  <c r="B1082" i="2"/>
  <c r="C1082" i="2"/>
  <c r="B1511" i="2"/>
  <c r="C1511" i="2"/>
  <c r="B1380" i="2"/>
  <c r="C1380" i="2"/>
  <c r="B2008" i="2"/>
  <c r="C2008" i="2"/>
  <c r="B2015" i="2"/>
  <c r="C2015" i="2"/>
  <c r="B2009" i="2"/>
  <c r="C2009" i="2"/>
  <c r="B528" i="2"/>
  <c r="C528" i="2"/>
  <c r="B1140" i="2"/>
  <c r="C1140" i="2"/>
  <c r="B1219" i="2"/>
  <c r="C1219" i="2"/>
  <c r="B1269" i="2"/>
  <c r="C1269" i="2"/>
  <c r="B1023" i="2"/>
  <c r="C1023" i="2"/>
  <c r="B13" i="2"/>
  <c r="C13" i="2"/>
  <c r="B525" i="2"/>
  <c r="C525" i="2"/>
  <c r="B1181" i="2"/>
  <c r="C1181" i="2"/>
  <c r="B1682" i="2"/>
  <c r="C1682" i="2"/>
  <c r="B1906" i="2"/>
  <c r="C1906" i="2"/>
  <c r="B300" i="2"/>
  <c r="C300" i="2"/>
  <c r="B564" i="2"/>
  <c r="C564" i="2"/>
  <c r="B983" i="2"/>
  <c r="C983" i="2"/>
  <c r="B1675" i="2"/>
  <c r="C1675" i="2"/>
  <c r="B750" i="2"/>
  <c r="C750" i="2"/>
  <c r="B980" i="2"/>
  <c r="C980" i="2"/>
  <c r="B1811" i="2"/>
  <c r="C1811" i="2"/>
  <c r="B1909" i="2"/>
  <c r="C1909" i="2"/>
  <c r="B1941" i="2"/>
  <c r="C1941" i="2"/>
  <c r="B62" i="2"/>
  <c r="C62" i="2"/>
  <c r="B1474" i="2"/>
  <c r="C1474" i="2"/>
  <c r="B1152" i="2"/>
  <c r="C1152" i="2"/>
  <c r="B408" i="2"/>
  <c r="C408" i="2"/>
  <c r="B103" i="2"/>
  <c r="C103" i="2"/>
  <c r="B1608" i="2"/>
  <c r="C1608" i="2"/>
  <c r="B735" i="2"/>
  <c r="C735" i="2"/>
  <c r="B1241" i="2"/>
  <c r="C1241" i="2"/>
  <c r="B1530" i="2"/>
  <c r="C1530" i="2"/>
  <c r="B534" i="2"/>
  <c r="C534" i="2"/>
  <c r="B940" i="2"/>
  <c r="C940" i="2"/>
  <c r="B332" i="2"/>
  <c r="C332" i="2"/>
  <c r="B1868" i="2"/>
  <c r="C1868" i="2"/>
  <c r="B1776" i="2"/>
  <c r="C1776" i="2"/>
  <c r="B674" i="2"/>
  <c r="C674" i="2"/>
  <c r="B1841" i="2"/>
  <c r="C1841" i="2"/>
  <c r="B1233" i="2"/>
  <c r="C1233" i="2"/>
  <c r="B1017" i="2"/>
  <c r="C1017" i="2"/>
  <c r="B1684" i="2"/>
  <c r="C1684" i="2"/>
  <c r="B797" i="2"/>
  <c r="C797" i="2"/>
  <c r="B1672" i="2"/>
  <c r="C1672" i="2"/>
  <c r="B966" i="2"/>
  <c r="C966" i="2"/>
  <c r="B1083" i="2"/>
  <c r="C1083" i="2"/>
  <c r="B581" i="2"/>
  <c r="C581" i="2"/>
  <c r="B437" i="2"/>
  <c r="C437" i="2"/>
  <c r="B502" i="2"/>
  <c r="C502" i="2"/>
  <c r="B380" i="2"/>
  <c r="C380" i="2"/>
  <c r="B1636" i="2"/>
  <c r="C1636" i="2"/>
  <c r="B658" i="2"/>
  <c r="C658" i="2"/>
  <c r="B1561" i="2"/>
  <c r="C1561" i="2"/>
  <c r="B333" i="2"/>
  <c r="C333" i="2"/>
  <c r="B1059" i="2"/>
  <c r="C1059" i="2"/>
  <c r="B1020" i="2"/>
  <c r="C1020" i="2"/>
  <c r="B1547" i="2"/>
  <c r="C1547" i="2"/>
  <c r="B1230" i="2"/>
  <c r="C1230" i="2"/>
  <c r="B837" i="2"/>
  <c r="C837" i="2"/>
  <c r="B668" i="2"/>
  <c r="C668" i="2"/>
  <c r="B1322" i="2"/>
  <c r="C1322" i="2"/>
  <c r="B1762" i="2"/>
  <c r="C1762" i="2"/>
  <c r="B1775" i="2"/>
  <c r="C1775" i="2"/>
  <c r="B1731" i="2"/>
  <c r="C1731" i="2"/>
  <c r="B1289" i="2"/>
  <c r="C1289" i="2"/>
  <c r="B295" i="2"/>
  <c r="C295" i="2"/>
  <c r="B649" i="2"/>
  <c r="C649" i="2"/>
  <c r="B512" i="2"/>
  <c r="C512" i="2"/>
  <c r="B428" i="2"/>
  <c r="C428" i="2"/>
  <c r="B1933" i="2"/>
  <c r="C1933" i="2"/>
  <c r="B847" i="2"/>
  <c r="C847" i="2"/>
  <c r="B813" i="2"/>
  <c r="C813" i="2"/>
  <c r="B1351" i="2"/>
  <c r="C1351" i="2"/>
  <c r="B317" i="2"/>
  <c r="C317" i="2"/>
  <c r="B1446" i="2"/>
  <c r="C1446" i="2"/>
  <c r="B442" i="2"/>
  <c r="C442" i="2"/>
  <c r="B1346" i="2"/>
  <c r="C1346" i="2"/>
  <c r="B1705" i="2"/>
  <c r="C1705" i="2"/>
  <c r="B1449" i="2"/>
  <c r="C1449" i="2"/>
  <c r="B1256" i="2"/>
  <c r="C1256" i="2"/>
  <c r="B914" i="2"/>
  <c r="C914" i="2"/>
  <c r="B1195" i="2"/>
  <c r="C1195" i="2"/>
  <c r="B1578" i="2"/>
  <c r="C1578" i="2"/>
  <c r="B1476" i="2"/>
  <c r="C1476" i="2"/>
  <c r="B191" i="2"/>
  <c r="C191" i="2"/>
  <c r="B1603" i="2"/>
  <c r="C1603" i="2"/>
  <c r="B1773" i="2"/>
  <c r="C1773" i="2"/>
  <c r="B1327" i="2"/>
  <c r="C1327" i="2"/>
  <c r="B934" i="2"/>
  <c r="C934" i="2"/>
  <c r="B53" i="2"/>
  <c r="C53" i="2"/>
  <c r="B1093" i="2"/>
  <c r="C1093" i="2"/>
  <c r="B1627" i="2"/>
  <c r="C1627" i="2"/>
  <c r="B93" i="2"/>
  <c r="C93" i="2"/>
  <c r="B1619" i="2"/>
  <c r="C1619" i="2"/>
  <c r="B543" i="2"/>
  <c r="C543" i="2"/>
  <c r="B767" i="2"/>
  <c r="C767" i="2"/>
  <c r="B1169" i="2"/>
  <c r="C1169" i="2"/>
  <c r="B602" i="2"/>
  <c r="C602" i="2"/>
  <c r="B176" i="2"/>
  <c r="C176" i="2"/>
  <c r="B1734" i="2"/>
  <c r="C1734" i="2"/>
  <c r="B1662" i="2"/>
  <c r="C1662" i="2"/>
  <c r="B1456" i="2"/>
  <c r="C1456" i="2"/>
  <c r="B142" i="2"/>
  <c r="C142" i="2"/>
  <c r="B1354" i="2"/>
  <c r="C1354" i="2"/>
  <c r="B397" i="2"/>
  <c r="C397" i="2"/>
  <c r="B117" i="2"/>
  <c r="C117" i="2"/>
  <c r="B1654" i="2"/>
  <c r="C1654" i="2"/>
  <c r="B1465" i="2"/>
  <c r="C1465" i="2"/>
  <c r="B1925" i="2"/>
  <c r="C1925" i="2"/>
  <c r="B1714" i="2"/>
  <c r="C1714" i="2"/>
  <c r="B1305" i="2"/>
  <c r="C1305" i="2"/>
  <c r="B4" i="2"/>
  <c r="C4" i="2"/>
  <c r="B1335" i="2"/>
  <c r="C1335" i="2"/>
  <c r="B1893" i="2"/>
  <c r="C1893" i="2"/>
  <c r="B785" i="2"/>
  <c r="C785" i="2"/>
  <c r="B417" i="2"/>
  <c r="C417" i="2"/>
  <c r="B968" i="2"/>
  <c r="C968" i="2"/>
  <c r="B433" i="2"/>
  <c r="C433" i="2"/>
  <c r="B835" i="2"/>
  <c r="C835" i="2"/>
  <c r="B1983" i="2"/>
  <c r="C1983" i="2"/>
  <c r="B483" i="2"/>
  <c r="C483" i="2"/>
  <c r="B116" i="2"/>
  <c r="C116" i="2"/>
  <c r="B1950" i="2"/>
  <c r="C1950" i="2"/>
  <c r="B1819" i="2"/>
  <c r="C1819" i="2"/>
  <c r="B1127" i="2"/>
  <c r="C1127" i="2"/>
  <c r="B1482" i="2"/>
  <c r="C1482" i="2"/>
  <c r="B234" i="2"/>
  <c r="C234" i="2"/>
  <c r="B306" i="2"/>
  <c r="C306" i="2"/>
  <c r="B229" i="2"/>
  <c r="C229" i="2"/>
  <c r="B1860" i="2"/>
  <c r="C1860" i="2"/>
  <c r="B1330" i="2"/>
  <c r="C1330" i="2"/>
  <c r="B1167" i="2"/>
  <c r="C1167" i="2"/>
  <c r="B513" i="2"/>
  <c r="C513" i="2"/>
  <c r="B714" i="2"/>
  <c r="C714" i="2"/>
  <c r="B1516" i="2"/>
  <c r="C1516" i="2"/>
  <c r="B1591" i="2"/>
  <c r="C1591" i="2"/>
  <c r="B1891" i="2"/>
  <c r="C1891" i="2"/>
  <c r="B262" i="2"/>
  <c r="C262" i="2"/>
  <c r="B701" i="2"/>
  <c r="C701" i="2"/>
  <c r="B1211" i="2"/>
  <c r="C1211" i="2"/>
  <c r="B1254" i="2"/>
  <c r="C1254" i="2"/>
  <c r="B172" i="2"/>
  <c r="C172" i="2"/>
  <c r="B1676" i="2"/>
  <c r="C1676" i="2"/>
  <c r="B349" i="2"/>
  <c r="C349" i="2"/>
  <c r="B953" i="2"/>
  <c r="C953" i="2"/>
  <c r="B1828" i="2"/>
  <c r="C1828" i="2"/>
  <c r="B503" i="2"/>
  <c r="C503" i="2"/>
  <c r="B115" i="2"/>
  <c r="C115" i="2"/>
  <c r="B1827" i="2"/>
  <c r="C1827" i="2"/>
  <c r="B1533" i="2"/>
  <c r="C1533" i="2"/>
  <c r="B1742" i="2"/>
  <c r="C1742" i="2"/>
  <c r="B1472" i="2"/>
  <c r="C1472" i="2"/>
  <c r="B237" i="2"/>
  <c r="C237" i="2"/>
  <c r="B1515" i="2"/>
  <c r="C1515" i="2"/>
  <c r="B1368" i="2"/>
  <c r="C1368" i="2"/>
  <c r="B874" i="2"/>
  <c r="C874" i="2"/>
  <c r="B787" i="2"/>
  <c r="C787" i="2"/>
  <c r="B1859" i="2"/>
  <c r="C1859" i="2"/>
  <c r="B1961" i="2"/>
  <c r="C1961" i="2"/>
  <c r="B901" i="2"/>
  <c r="C901" i="2"/>
  <c r="B1700" i="2"/>
  <c r="C1700" i="2"/>
  <c r="B1490" i="2"/>
  <c r="C1490" i="2"/>
  <c r="B1065" i="2"/>
  <c r="C1065" i="2"/>
  <c r="B230" i="2"/>
  <c r="C230" i="2"/>
  <c r="B27" i="2"/>
  <c r="C27" i="2"/>
  <c r="B1371" i="2"/>
  <c r="C1371" i="2"/>
  <c r="B1068" i="2"/>
  <c r="C1068" i="2"/>
  <c r="B28" i="2"/>
  <c r="C28" i="2"/>
  <c r="B1016" i="2"/>
  <c r="C1016" i="2"/>
  <c r="B888" i="2"/>
  <c r="C888" i="2"/>
  <c r="B1851" i="2"/>
  <c r="C1851" i="2"/>
  <c r="B1853" i="2"/>
  <c r="C1853" i="2"/>
  <c r="B846" i="2"/>
  <c r="C846" i="2"/>
  <c r="B656" i="2"/>
  <c r="C656" i="2"/>
  <c r="B1422" i="2"/>
  <c r="C1422" i="2"/>
  <c r="B1911" i="2"/>
  <c r="C1911" i="2"/>
  <c r="B11" i="2"/>
  <c r="C11" i="2"/>
  <c r="B1464" i="2"/>
  <c r="C1464" i="2"/>
  <c r="B310" i="2"/>
  <c r="C310" i="2"/>
  <c r="B1311" i="2"/>
  <c r="C1311" i="2"/>
  <c r="B816" i="2"/>
  <c r="C816" i="2"/>
  <c r="B2000" i="2"/>
  <c r="C2000" i="2"/>
  <c r="B1836" i="2"/>
  <c r="C1836" i="2"/>
  <c r="B479" i="2"/>
  <c r="C479" i="2"/>
  <c r="B1918" i="2"/>
  <c r="C1918" i="2"/>
  <c r="B759" i="2"/>
  <c r="C759" i="2"/>
  <c r="B1491" i="2"/>
  <c r="C1491" i="2"/>
  <c r="B1509" i="2"/>
  <c r="C1509" i="2"/>
  <c r="B47" i="2"/>
  <c r="C47" i="2"/>
  <c r="B802" i="2"/>
  <c r="C802" i="2"/>
  <c r="B1433" i="2"/>
  <c r="C1433" i="2"/>
  <c r="B1183" i="2"/>
  <c r="C1183" i="2"/>
  <c r="B965" i="2"/>
  <c r="C965" i="2"/>
  <c r="B201" i="2"/>
  <c r="C201" i="2"/>
  <c r="B1697" i="2"/>
  <c r="C1697" i="2"/>
  <c r="B256" i="2"/>
  <c r="C256" i="2"/>
  <c r="B1867" i="2"/>
  <c r="C1867" i="2"/>
  <c r="B1112" i="2"/>
  <c r="C1112" i="2"/>
  <c r="B1034" i="2"/>
  <c r="C1034" i="2"/>
  <c r="B138" i="2"/>
  <c r="C138" i="2"/>
  <c r="B773" i="2"/>
  <c r="C773" i="2"/>
  <c r="B1138" i="2"/>
  <c r="C1138" i="2"/>
  <c r="B168" i="2"/>
  <c r="C168" i="2"/>
  <c r="B12" i="2"/>
  <c r="C12" i="2"/>
  <c r="B1557" i="2"/>
  <c r="C1557" i="2"/>
  <c r="B1172" i="2"/>
  <c r="C1172" i="2"/>
  <c r="B1707" i="2"/>
  <c r="C1707" i="2"/>
  <c r="B879" i="2"/>
  <c r="C879" i="2"/>
  <c r="B707" i="2"/>
  <c r="C707" i="2"/>
  <c r="B1770" i="2"/>
  <c r="C1770" i="2"/>
  <c r="B1935" i="2"/>
  <c r="C1935" i="2"/>
  <c r="B1572" i="2"/>
  <c r="C1572" i="2"/>
  <c r="B899" i="2"/>
  <c r="C899" i="2"/>
  <c r="B1393" i="2"/>
  <c r="C1393" i="2"/>
  <c r="B9" i="2"/>
  <c r="C9" i="2"/>
  <c r="B1862" i="2"/>
  <c r="C1862" i="2"/>
  <c r="B719" i="2"/>
  <c r="C719" i="2"/>
  <c r="B742" i="2"/>
  <c r="C742" i="2"/>
  <c r="B496" i="2"/>
  <c r="C496" i="2"/>
  <c r="B110" i="2"/>
  <c r="C110" i="2"/>
  <c r="B1414" i="2"/>
  <c r="C1414" i="2"/>
  <c r="B203" i="2"/>
  <c r="C203" i="2"/>
  <c r="B1009" i="2"/>
  <c r="C1009" i="2"/>
  <c r="B539" i="2"/>
  <c r="C539" i="2"/>
  <c r="B946" i="2"/>
  <c r="C946" i="2"/>
  <c r="B1835" i="2"/>
  <c r="C1835" i="2"/>
  <c r="B1237" i="2"/>
  <c r="C1237" i="2"/>
  <c r="B1647" i="2"/>
  <c r="C1647" i="2"/>
  <c r="B275" i="2"/>
  <c r="C275" i="2"/>
  <c r="B1210" i="2"/>
  <c r="C1210" i="2"/>
  <c r="B692" i="2"/>
  <c r="C692" i="2"/>
  <c r="B1121" i="2"/>
  <c r="C1121" i="2"/>
  <c r="B1161" i="2"/>
  <c r="C1161" i="2"/>
  <c r="B1839" i="2"/>
  <c r="C1839" i="2"/>
  <c r="B1879" i="2"/>
  <c r="C1879" i="2"/>
  <c r="B1206" i="2"/>
  <c r="C1206" i="2"/>
  <c r="B1101" i="2"/>
  <c r="C1101" i="2"/>
  <c r="B1793" i="2"/>
  <c r="C1793" i="2"/>
  <c r="B675" i="2"/>
  <c r="C675" i="2"/>
  <c r="B1668" i="2"/>
  <c r="C1668" i="2"/>
  <c r="B139" i="2"/>
  <c r="C139" i="2"/>
  <c r="B167" i="2"/>
  <c r="C167" i="2"/>
  <c r="B1452" i="2"/>
  <c r="C1452" i="2"/>
  <c r="B359" i="2"/>
  <c r="C359" i="2"/>
  <c r="B839" i="2"/>
  <c r="C839" i="2"/>
  <c r="B36" i="2"/>
  <c r="C36" i="2"/>
  <c r="B459" i="2"/>
  <c r="C459" i="2"/>
  <c r="B1012" i="2"/>
  <c r="C1012" i="2"/>
  <c r="B893" i="2"/>
  <c r="C893" i="2"/>
  <c r="B1118" i="2"/>
  <c r="C1118" i="2"/>
  <c r="B94" i="2"/>
  <c r="C94" i="2"/>
  <c r="B576" i="2"/>
  <c r="C576" i="2"/>
  <c r="B413" i="2"/>
  <c r="C413" i="2"/>
  <c r="B226" i="2"/>
  <c r="C226" i="2"/>
  <c r="B239" i="2"/>
  <c r="C239" i="2"/>
  <c r="B1168" i="2"/>
  <c r="C1168" i="2"/>
  <c r="B1865" i="2"/>
  <c r="C1865" i="2"/>
  <c r="B825" i="2"/>
  <c r="C825" i="2"/>
  <c r="B905" i="2"/>
  <c r="C905" i="2"/>
  <c r="B743" i="2"/>
  <c r="C743" i="2"/>
  <c r="B1885" i="2"/>
  <c r="C1885" i="2"/>
  <c r="B1809" i="2"/>
  <c r="C1809" i="2"/>
  <c r="B1105" i="2"/>
  <c r="C1105" i="2"/>
  <c r="B1071" i="2"/>
  <c r="C1071" i="2"/>
  <c r="B684" i="2"/>
  <c r="C684" i="2"/>
  <c r="B1540" i="2"/>
  <c r="C1540" i="2"/>
  <c r="B42" i="2"/>
  <c r="C42" i="2"/>
  <c r="B796" i="2"/>
  <c r="C796" i="2"/>
  <c r="B311" i="2"/>
  <c r="C311" i="2"/>
  <c r="B1718" i="2"/>
  <c r="C1718" i="2"/>
  <c r="B676" i="2"/>
  <c r="C676" i="2"/>
  <c r="B1171" i="2"/>
  <c r="C1171" i="2"/>
  <c r="B443" i="2"/>
  <c r="C443" i="2"/>
  <c r="B1586" i="2"/>
  <c r="C1586" i="2"/>
  <c r="B389" i="2"/>
  <c r="C389" i="2"/>
  <c r="B1044" i="2"/>
  <c r="C1044" i="2"/>
  <c r="B1610" i="2"/>
  <c r="C1610" i="2"/>
  <c r="B648" i="2"/>
  <c r="C648" i="2"/>
  <c r="B895" i="2"/>
  <c r="C895" i="2"/>
  <c r="B1094" i="2"/>
  <c r="C1094" i="2"/>
  <c r="B1401" i="2"/>
  <c r="C1401" i="2"/>
  <c r="B897" i="2"/>
  <c r="C897" i="2"/>
  <c r="B730" i="2"/>
  <c r="C730" i="2"/>
  <c r="B1568" i="2"/>
  <c r="C1568" i="2"/>
  <c r="B618" i="2"/>
  <c r="C618" i="2"/>
  <c r="B1829" i="2"/>
  <c r="C1829" i="2"/>
  <c r="B1453" i="2"/>
  <c r="C1453" i="2"/>
  <c r="B1875" i="2"/>
  <c r="C1875" i="2"/>
  <c r="B150" i="2"/>
  <c r="C150" i="2"/>
  <c r="B1146" i="2"/>
  <c r="C1146" i="2"/>
  <c r="B131" i="2"/>
  <c r="C131" i="2"/>
  <c r="B218" i="2"/>
  <c r="C218" i="2"/>
  <c r="B734" i="2"/>
  <c r="C734" i="2"/>
  <c r="B894" i="2"/>
  <c r="C894" i="2"/>
  <c r="B1205" i="2"/>
  <c r="C1205" i="2"/>
  <c r="B216" i="2"/>
  <c r="C216" i="2"/>
  <c r="B660" i="2"/>
  <c r="C660" i="2"/>
  <c r="B552" i="2"/>
  <c r="C552" i="2"/>
  <c r="B1890" i="2"/>
  <c r="C1890" i="2"/>
  <c r="B1699" i="2"/>
  <c r="C1699" i="2"/>
  <c r="B32" i="2"/>
  <c r="C32" i="2"/>
  <c r="B1913" i="2"/>
  <c r="C1913" i="2"/>
  <c r="B1458" i="2"/>
  <c r="C1458" i="2"/>
  <c r="B935" i="2"/>
  <c r="C935" i="2"/>
  <c r="B1825" i="2"/>
  <c r="C1825" i="2"/>
  <c r="B768" i="2"/>
  <c r="C768" i="2"/>
  <c r="B1175" i="2"/>
  <c r="C1175" i="2"/>
  <c r="B677" i="2"/>
  <c r="C677" i="2"/>
  <c r="B195" i="2"/>
  <c r="C195" i="2"/>
  <c r="B1397" i="2"/>
  <c r="C1397" i="2"/>
  <c r="B1732" i="2"/>
  <c r="C1732" i="2"/>
  <c r="B610" i="2"/>
  <c r="C610" i="2"/>
  <c r="B436" i="2"/>
  <c r="C436" i="2"/>
  <c r="B270" i="2"/>
  <c r="C270" i="2"/>
  <c r="B487" i="2"/>
  <c r="C487" i="2"/>
  <c r="B1386" i="2"/>
  <c r="C1386" i="2"/>
  <c r="B1224" i="2"/>
  <c r="C1224" i="2"/>
  <c r="B1614" i="2"/>
  <c r="C1614" i="2"/>
  <c r="B886" i="2"/>
  <c r="C886" i="2"/>
  <c r="B604" i="2"/>
  <c r="C604" i="2"/>
  <c r="B1199" i="2"/>
  <c r="C1199" i="2"/>
  <c r="B466" i="2"/>
  <c r="C466" i="2"/>
  <c r="B330" i="2"/>
  <c r="C330" i="2"/>
  <c r="B76" i="2"/>
  <c r="C76" i="2"/>
  <c r="B1729" i="2"/>
  <c r="C1729" i="2"/>
  <c r="B1043" i="2"/>
  <c r="C1043" i="2"/>
  <c r="B173" i="2"/>
  <c r="C173" i="2"/>
  <c r="B337" i="2"/>
  <c r="C337" i="2"/>
  <c r="B653" i="2"/>
  <c r="C653" i="2"/>
  <c r="B1038" i="2"/>
  <c r="C1038" i="2"/>
  <c r="B1376" i="2"/>
  <c r="C1376" i="2"/>
  <c r="B96" i="2"/>
  <c r="C96" i="2"/>
  <c r="B2019" i="2"/>
  <c r="C2019" i="2"/>
  <c r="B294" i="2"/>
  <c r="C294" i="2"/>
  <c r="B19" i="2"/>
  <c r="C19" i="2"/>
  <c r="B689" i="2"/>
  <c r="C689" i="2"/>
  <c r="B379" i="2"/>
  <c r="C379" i="2"/>
  <c r="B390" i="2"/>
  <c r="C390" i="2"/>
  <c r="B1924" i="2"/>
  <c r="C1924" i="2"/>
  <c r="B1409" i="2"/>
  <c r="C1409" i="2"/>
  <c r="B1876" i="2"/>
  <c r="C1876" i="2"/>
  <c r="B63" i="2"/>
  <c r="C63" i="2"/>
  <c r="B705" i="2"/>
  <c r="C705" i="2"/>
  <c r="B1600" i="2"/>
  <c r="C1600" i="2"/>
  <c r="B1455" i="2"/>
  <c r="C1455" i="2"/>
  <c r="B415" i="2"/>
  <c r="C415" i="2"/>
  <c r="B1660" i="2"/>
  <c r="C1660" i="2"/>
  <c r="B1265" i="2"/>
  <c r="C1265" i="2"/>
  <c r="B1543" i="2"/>
  <c r="C1543" i="2"/>
  <c r="B1712" i="2"/>
  <c r="C1712" i="2"/>
  <c r="B1352" i="2"/>
  <c r="C1352" i="2"/>
  <c r="B1160" i="2"/>
  <c r="C1160" i="2"/>
  <c r="B911" i="2"/>
  <c r="C911" i="2"/>
  <c r="B1267" i="2"/>
  <c r="C1267" i="2"/>
  <c r="B1459" i="2"/>
  <c r="C1459" i="2"/>
  <c r="B45" i="2"/>
  <c r="C45" i="2"/>
  <c r="B1955" i="2"/>
  <c r="C1955" i="2"/>
  <c r="B440" i="2"/>
  <c r="C440" i="2"/>
  <c r="B561" i="2"/>
  <c r="C561" i="2"/>
  <c r="B386" i="2"/>
  <c r="C386" i="2"/>
  <c r="B1964" i="2"/>
  <c r="C1964" i="2"/>
  <c r="B1823" i="2"/>
  <c r="C1823" i="2"/>
  <c r="B1213" i="2"/>
  <c r="C1213" i="2"/>
  <c r="B452" i="2"/>
  <c r="C452" i="2"/>
  <c r="B171" i="2"/>
  <c r="C171" i="2"/>
  <c r="B395" i="2"/>
  <c r="C395" i="2"/>
  <c r="B540" i="2"/>
  <c r="C540" i="2"/>
  <c r="B1225" i="2"/>
  <c r="C1225" i="2"/>
  <c r="B1445" i="2"/>
  <c r="C1445" i="2"/>
  <c r="B984" i="2"/>
  <c r="C984" i="2"/>
  <c r="B425" i="2"/>
  <c r="C425" i="2"/>
  <c r="B1122" i="2"/>
  <c r="C1122" i="2"/>
  <c r="B308" i="2"/>
  <c r="C308" i="2"/>
  <c r="B441" i="2"/>
  <c r="C441" i="2"/>
  <c r="B1970" i="2"/>
  <c r="C1970" i="2"/>
  <c r="B1268" i="2"/>
  <c r="C1268" i="2"/>
  <c r="B334" i="2"/>
  <c r="C334" i="2"/>
  <c r="B1337" i="2"/>
  <c r="C1337" i="2"/>
  <c r="B1426" i="2"/>
  <c r="C1426" i="2"/>
  <c r="B2011" i="2"/>
  <c r="C2011" i="2"/>
  <c r="B922" i="2"/>
  <c r="C922" i="2"/>
  <c r="B398" i="2"/>
  <c r="C398" i="2"/>
  <c r="B92" i="2"/>
  <c r="C92" i="2"/>
  <c r="B1739" i="2"/>
  <c r="C1739" i="2"/>
  <c r="B2018" i="2"/>
  <c r="C2018" i="2"/>
  <c r="B1128" i="2"/>
  <c r="C1128" i="2"/>
  <c r="B811" i="2"/>
  <c r="C811" i="2"/>
  <c r="B1236" i="2"/>
  <c r="C1236" i="2"/>
  <c r="B2017" i="2"/>
  <c r="C2017" i="2"/>
  <c r="B1131" i="2"/>
  <c r="C1131" i="2"/>
  <c r="B789" i="2"/>
  <c r="C789" i="2"/>
  <c r="B1155" i="2"/>
  <c r="C1155" i="2"/>
  <c r="B1505" i="2"/>
  <c r="C1505" i="2"/>
  <c r="B322" i="2"/>
  <c r="C322" i="2"/>
  <c r="B1990" i="2"/>
  <c r="C1990" i="2"/>
  <c r="B988" i="2"/>
  <c r="C988" i="2"/>
  <c r="B1558" i="2"/>
  <c r="C1558" i="2"/>
  <c r="B1795" i="2"/>
  <c r="C1795" i="2"/>
  <c r="B1847" i="2"/>
  <c r="C1847" i="2"/>
  <c r="B1727" i="2"/>
  <c r="C1727" i="2"/>
  <c r="B869" i="2"/>
  <c r="C869" i="2"/>
  <c r="B830" i="2"/>
  <c r="C830" i="2"/>
  <c r="B1294" i="2"/>
  <c r="C1294" i="2"/>
  <c r="B978" i="2"/>
  <c r="C978" i="2"/>
  <c r="B1681" i="2"/>
  <c r="C1681" i="2"/>
  <c r="B268" i="2"/>
  <c r="C268" i="2"/>
  <c r="B1461" i="2"/>
  <c r="C1461" i="2"/>
  <c r="B374" i="2"/>
  <c r="C374" i="2"/>
  <c r="B122" i="2"/>
  <c r="C122" i="2"/>
  <c r="B852" i="2"/>
  <c r="C852" i="2"/>
  <c r="B113" i="2"/>
  <c r="C113" i="2"/>
  <c r="B961" i="2"/>
  <c r="C961" i="2"/>
  <c r="B821" i="2"/>
  <c r="C821" i="2"/>
  <c r="B155" i="2"/>
  <c r="C155" i="2"/>
  <c r="B220" i="2"/>
  <c r="C220" i="2"/>
  <c r="B1679" i="2"/>
  <c r="C1679" i="2"/>
  <c r="B1577" i="2"/>
  <c r="C1577" i="2"/>
  <c r="B1737" i="2"/>
  <c r="C1737" i="2"/>
  <c r="B792" i="2"/>
  <c r="C792" i="2"/>
  <c r="B1854" i="2"/>
  <c r="C1854" i="2"/>
  <c r="B1813" i="2"/>
  <c r="C1813" i="2"/>
  <c r="B1441" i="2"/>
  <c r="C1441" i="2"/>
  <c r="B609" i="2"/>
  <c r="C609" i="2"/>
  <c r="B1534" i="2"/>
  <c r="C1534" i="2"/>
  <c r="B818" i="2"/>
  <c r="C818" i="2"/>
  <c r="B1844" i="2"/>
  <c r="C1844" i="2"/>
  <c r="B244" i="2"/>
  <c r="C244" i="2"/>
  <c r="B754" i="2"/>
  <c r="C754" i="2"/>
  <c r="B232" i="2"/>
  <c r="C232" i="2"/>
  <c r="B278" i="2"/>
  <c r="C278" i="2"/>
  <c r="B492" i="2"/>
  <c r="C492" i="2"/>
  <c r="B350" i="2"/>
  <c r="C350" i="2"/>
  <c r="B1649" i="2"/>
  <c r="C1649" i="2"/>
  <c r="B1050" i="2"/>
  <c r="C1050" i="2"/>
  <c r="B580" i="2"/>
  <c r="C580" i="2"/>
  <c r="B806" i="2"/>
  <c r="C806" i="2"/>
  <c r="B729" i="2"/>
  <c r="C729" i="2"/>
  <c r="B699" i="2"/>
  <c r="C699" i="2"/>
  <c r="B1609" i="2"/>
  <c r="C1609" i="2"/>
  <c r="B617" i="2"/>
  <c r="C617" i="2"/>
  <c r="B962" i="2"/>
  <c r="C962" i="2"/>
  <c r="B406" i="2"/>
  <c r="C406" i="2"/>
  <c r="B784" i="2"/>
  <c r="C784" i="2"/>
  <c r="B887" i="2"/>
  <c r="C887" i="2"/>
  <c r="B855" i="2"/>
  <c r="C855" i="2"/>
  <c r="B1566" i="2"/>
  <c r="C1566" i="2"/>
  <c r="B1626" i="2"/>
  <c r="C1626" i="2"/>
  <c r="B1106" i="2"/>
  <c r="C1106" i="2"/>
  <c r="B353" i="2"/>
  <c r="C353" i="2"/>
  <c r="B794" i="2"/>
  <c r="C794" i="2"/>
  <c r="B1120" i="2"/>
  <c r="C1120" i="2"/>
  <c r="B91" i="2"/>
  <c r="C91" i="2"/>
  <c r="B207" i="2"/>
  <c r="C207" i="2"/>
  <c r="B1179" i="2"/>
  <c r="C1179" i="2"/>
  <c r="B266" i="2"/>
  <c r="C266" i="2"/>
  <c r="B373" i="2"/>
  <c r="C373" i="2"/>
  <c r="B1527" i="2"/>
  <c r="C1527" i="2"/>
  <c r="B872" i="2"/>
  <c r="C872" i="2"/>
  <c r="B1764" i="2"/>
  <c r="C1764" i="2"/>
  <c r="B993" i="2"/>
  <c r="C993" i="2"/>
  <c r="B432" i="2"/>
  <c r="C432" i="2"/>
  <c r="B372" i="2"/>
  <c r="C372" i="2"/>
  <c r="B531" i="2"/>
  <c r="C531" i="2"/>
  <c r="B695" i="2"/>
  <c r="C695" i="2"/>
  <c r="B1596" i="2"/>
  <c r="C1596" i="2"/>
  <c r="B1736" i="2"/>
  <c r="C1736" i="2"/>
  <c r="B69" i="2"/>
  <c r="C69" i="2"/>
  <c r="B681" i="2"/>
  <c r="C681" i="2"/>
  <c r="B566" i="2"/>
  <c r="C566" i="2"/>
  <c r="B1824" i="2"/>
  <c r="C1824" i="2"/>
  <c r="B473" i="2"/>
  <c r="C473" i="2"/>
  <c r="B1090" i="2"/>
  <c r="C1090" i="2"/>
  <c r="B697" i="2"/>
  <c r="C697" i="2"/>
  <c r="B1788" i="2"/>
  <c r="C1788" i="2"/>
  <c r="B1748" i="2"/>
  <c r="C1748" i="2"/>
  <c r="B357" i="2"/>
  <c r="C357" i="2"/>
  <c r="B1217" i="2"/>
  <c r="C1217" i="2"/>
  <c r="B182" i="2"/>
  <c r="C182" i="2"/>
  <c r="B861" i="2"/>
  <c r="C861" i="2"/>
  <c r="B977" i="2"/>
  <c r="C977" i="2"/>
  <c r="B931" i="2"/>
  <c r="C931" i="2"/>
  <c r="B1664" i="2"/>
  <c r="C1664" i="2"/>
  <c r="B301" i="2"/>
  <c r="C301" i="2"/>
  <c r="B1276" i="2"/>
  <c r="C1276" i="2"/>
  <c r="B200" i="2"/>
  <c r="C200" i="2"/>
  <c r="B1288" i="2"/>
  <c r="C1288" i="2"/>
  <c r="B509" i="2"/>
  <c r="C509" i="2"/>
  <c r="B1153" i="2"/>
  <c r="C1153" i="2"/>
  <c r="B987" i="2"/>
  <c r="C987" i="2"/>
  <c r="B1997" i="2"/>
  <c r="C1997" i="2"/>
  <c r="B490" i="2"/>
  <c r="C490" i="2"/>
  <c r="B1365" i="2"/>
  <c r="C1365" i="2"/>
  <c r="B1872" i="2"/>
  <c r="C1872" i="2"/>
  <c r="B1938" i="2"/>
  <c r="C1938" i="2"/>
  <c r="B1806" i="2"/>
  <c r="C1806" i="2"/>
  <c r="B174" i="2"/>
  <c r="C174" i="2"/>
  <c r="B1722" i="2"/>
  <c r="C1722" i="2"/>
  <c r="B240" i="2"/>
  <c r="C240" i="2"/>
  <c r="B1549" i="2"/>
  <c r="C1549" i="2"/>
  <c r="B1952" i="2"/>
  <c r="C1952" i="2"/>
  <c r="B83" i="2"/>
  <c r="C83" i="2"/>
  <c r="B210" i="2"/>
  <c r="C210" i="2"/>
  <c r="B1479" i="2"/>
  <c r="C1479" i="2"/>
  <c r="B892" i="2"/>
  <c r="C892" i="2"/>
  <c r="B1091" i="2"/>
  <c r="C1091" i="2"/>
  <c r="B779" i="2"/>
  <c r="C779" i="2"/>
  <c r="B1144" i="2"/>
  <c r="C1144" i="2"/>
  <c r="B941" i="2"/>
  <c r="C941" i="2"/>
  <c r="B805" i="2"/>
  <c r="C805" i="2"/>
  <c r="B342" i="2"/>
  <c r="C342" i="2"/>
  <c r="B1967" i="2"/>
  <c r="C1967" i="2"/>
  <c r="B1541" i="2"/>
  <c r="C1541" i="2"/>
  <c r="B910" i="2"/>
  <c r="C910" i="2"/>
  <c r="B188" i="2"/>
  <c r="C188" i="2"/>
  <c r="B1318" i="2"/>
  <c r="C1318" i="2"/>
  <c r="B1297" i="2"/>
  <c r="C1297" i="2"/>
  <c r="B89" i="2"/>
  <c r="C89" i="2"/>
  <c r="B1749" i="2"/>
  <c r="C1749" i="2"/>
  <c r="B154" i="2"/>
  <c r="C154" i="2"/>
  <c r="B601" i="2"/>
  <c r="C601" i="2"/>
  <c r="B1427" i="2"/>
  <c r="C1427" i="2"/>
  <c r="B326" i="2"/>
  <c r="C326" i="2"/>
  <c r="B418" i="2"/>
  <c r="C418" i="2"/>
  <c r="B657" i="2"/>
  <c r="C657" i="2"/>
  <c r="B1383" i="2"/>
  <c r="C1383" i="2"/>
  <c r="B755" i="2"/>
  <c r="C755" i="2"/>
  <c r="B1804" i="2"/>
  <c r="C1804" i="2"/>
  <c r="B1190" i="2"/>
  <c r="C1190" i="2"/>
  <c r="B1514" i="2"/>
  <c r="C1514" i="2"/>
  <c r="B631" i="2"/>
  <c r="C631" i="2"/>
  <c r="B1215" i="2"/>
  <c r="C1215" i="2"/>
  <c r="B143" i="2"/>
  <c r="C143" i="2"/>
  <c r="B1980" i="2"/>
  <c r="C1980" i="2"/>
  <c r="B516" i="2"/>
  <c r="C516" i="2"/>
  <c r="B58" i="2"/>
  <c r="C58" i="2"/>
  <c r="B458" i="2"/>
  <c r="C458" i="2"/>
  <c r="B1528" i="2"/>
  <c r="C1528" i="2"/>
  <c r="B1374" i="2"/>
  <c r="C1374" i="2"/>
  <c r="B1370" i="2"/>
  <c r="C1370" i="2"/>
  <c r="B260" i="2"/>
  <c r="C260" i="2"/>
  <c r="B594" i="2"/>
  <c r="C594" i="2"/>
  <c r="B547" i="2"/>
  <c r="C547" i="2"/>
  <c r="B489" i="2"/>
  <c r="C489" i="2"/>
  <c r="B1633" i="2"/>
  <c r="C1633" i="2"/>
  <c r="B832" i="2"/>
  <c r="C832" i="2"/>
  <c r="B144" i="2"/>
  <c r="C144" i="2"/>
  <c r="B647" i="2"/>
  <c r="C647" i="2"/>
  <c r="B924" i="2"/>
  <c r="C924" i="2"/>
  <c r="B979" i="2"/>
  <c r="C979" i="2"/>
  <c r="B1323" i="2"/>
  <c r="C1323" i="2"/>
  <c r="B1243" i="2"/>
  <c r="C1243" i="2"/>
  <c r="B1929" i="2"/>
  <c r="C1929" i="2"/>
  <c r="B690" i="2"/>
  <c r="C690" i="2"/>
  <c r="B1388" i="2"/>
  <c r="C1388" i="2"/>
  <c r="B799" i="2"/>
  <c r="C799" i="2"/>
  <c r="B1411" i="2"/>
  <c r="C1411" i="2"/>
  <c r="B297" i="2"/>
  <c r="C297" i="2"/>
  <c r="B1174" i="2"/>
  <c r="C1174" i="2"/>
  <c r="B352" i="2"/>
  <c r="C352" i="2"/>
  <c r="B1953" i="2"/>
  <c r="C1953" i="2"/>
  <c r="B506" i="2"/>
  <c r="C506" i="2"/>
  <c r="B1778" i="2"/>
  <c r="C1778" i="2"/>
  <c r="B1284" i="2"/>
  <c r="C1284" i="2"/>
  <c r="B1723" i="2"/>
  <c r="C1723" i="2"/>
  <c r="B194" i="2"/>
  <c r="C194" i="2"/>
  <c r="B137" i="2"/>
  <c r="C137" i="2"/>
  <c r="B233" i="2"/>
  <c r="C233" i="2"/>
  <c r="B345" i="2"/>
  <c r="C345" i="2"/>
  <c r="B14" i="2"/>
  <c r="C14" i="2"/>
  <c r="B1926" i="2"/>
  <c r="C1926" i="2"/>
  <c r="B208" i="2"/>
  <c r="C208" i="2"/>
  <c r="B2013" i="2"/>
  <c r="C2013" i="2"/>
  <c r="B599" i="2"/>
  <c r="C599" i="2"/>
  <c r="B1919" i="2"/>
  <c r="C1919" i="2"/>
  <c r="B508" i="2"/>
  <c r="C508" i="2"/>
  <c r="B1147" i="2"/>
  <c r="C1147" i="2"/>
  <c r="B1601" i="2"/>
  <c r="C1601" i="2"/>
  <c r="B472" i="2"/>
  <c r="C472" i="2"/>
  <c r="B149" i="2"/>
  <c r="C149" i="2"/>
  <c r="B1300" i="2"/>
  <c r="C1300" i="2"/>
  <c r="B1336" i="2"/>
  <c r="C1336" i="2"/>
  <c r="B823" i="2"/>
  <c r="C823" i="2"/>
  <c r="B41" i="2"/>
  <c r="C41" i="2"/>
  <c r="B1266" i="2"/>
  <c r="C1266" i="2"/>
  <c r="B1593" i="2"/>
  <c r="C1593" i="2"/>
  <c r="B1063" i="2"/>
  <c r="C1063" i="2"/>
  <c r="B1262" i="2"/>
  <c r="C1262" i="2"/>
  <c r="B511" i="2"/>
  <c r="C511" i="2"/>
  <c r="B1165" i="2"/>
  <c r="C1165" i="2"/>
  <c r="B1720" i="2"/>
  <c r="C1720" i="2"/>
  <c r="B1176" i="2"/>
  <c r="C1176" i="2"/>
  <c r="B288" i="2"/>
  <c r="C288" i="2"/>
  <c r="B1977" i="2"/>
  <c r="C1977" i="2"/>
  <c r="B1033" i="2"/>
  <c r="C1033" i="2"/>
  <c r="B990" i="2"/>
  <c r="C990" i="2"/>
  <c r="B1200" i="2"/>
  <c r="C1200" i="2"/>
  <c r="B1599" i="2"/>
  <c r="C1599" i="2"/>
  <c r="B7" i="2"/>
  <c r="C7" i="2"/>
  <c r="B2020" i="2"/>
  <c r="C2020" i="2"/>
  <c r="B619" i="2"/>
  <c r="C619" i="2"/>
  <c r="B722" i="2"/>
  <c r="C722" i="2"/>
  <c r="B412" i="2"/>
  <c r="C412" i="2"/>
  <c r="B1015" i="2"/>
  <c r="C1015" i="2"/>
  <c r="B1706" i="2"/>
  <c r="C1706" i="2"/>
  <c r="B769" i="2"/>
  <c r="C769" i="2"/>
  <c r="B1405" i="2"/>
  <c r="C1405" i="2"/>
  <c r="B741" i="2"/>
  <c r="C741" i="2"/>
  <c r="B189" i="2"/>
  <c r="C189" i="2"/>
  <c r="B885" i="2"/>
  <c r="C885" i="2"/>
  <c r="B1904" i="2"/>
  <c r="C1904" i="2"/>
  <c r="B1338" i="2"/>
  <c r="C1338" i="2"/>
  <c r="B930" i="2"/>
  <c r="C930" i="2"/>
  <c r="B1740" i="2"/>
  <c r="C1740" i="2"/>
  <c r="B1373" i="2"/>
  <c r="C1373" i="2"/>
  <c r="B964" i="2"/>
  <c r="C964" i="2"/>
  <c r="B1771" i="2"/>
  <c r="C1771" i="2"/>
  <c r="B504" i="2"/>
  <c r="C504" i="2"/>
  <c r="B178" i="2"/>
  <c r="C178" i="2"/>
  <c r="B1520" i="2"/>
  <c r="C1520" i="2"/>
  <c r="B1334" i="2"/>
  <c r="C1334" i="2"/>
  <c r="B1126" i="2"/>
  <c r="C1126" i="2"/>
  <c r="B1340" i="2"/>
  <c r="C1340" i="2"/>
  <c r="B529" i="2"/>
  <c r="C529" i="2"/>
  <c r="B1843" i="2"/>
  <c r="C1843" i="2"/>
  <c r="B536" i="2"/>
  <c r="C536" i="2"/>
  <c r="B1869" i="2"/>
  <c r="C1869" i="2"/>
  <c r="B1064" i="2"/>
  <c r="C1064" i="2"/>
  <c r="B394" i="2"/>
  <c r="C394" i="2"/>
  <c r="B1635" i="2"/>
  <c r="C1635" i="2"/>
  <c r="B135" i="2"/>
  <c r="C135" i="2"/>
  <c r="B655" i="2"/>
  <c r="C655" i="2"/>
  <c r="B290" i="2"/>
  <c r="C290" i="2"/>
  <c r="B318" i="2"/>
  <c r="C318" i="2"/>
  <c r="B898" i="2"/>
  <c r="C898" i="2"/>
  <c r="B284" i="2"/>
  <c r="C284" i="2"/>
  <c r="B1594" i="2"/>
  <c r="C1594" i="2"/>
  <c r="B715" i="2"/>
  <c r="C715" i="2"/>
  <c r="B344" i="2"/>
  <c r="C344" i="2"/>
  <c r="B1415" i="2"/>
  <c r="C1415" i="2"/>
  <c r="B1036" i="2"/>
  <c r="C1036" i="2"/>
  <c r="B1392" i="2"/>
  <c r="C1392" i="2"/>
  <c r="B671" i="2"/>
  <c r="C671" i="2"/>
  <c r="B1061" i="2"/>
  <c r="C1061" i="2"/>
  <c r="B665" i="2"/>
  <c r="C665" i="2"/>
  <c r="B1513" i="2"/>
  <c r="C1513" i="2"/>
  <c r="B192" i="2"/>
  <c r="C192" i="2"/>
  <c r="B1786" i="2"/>
  <c r="C1786" i="2"/>
  <c r="B1512" i="2"/>
  <c r="C1512" i="2"/>
  <c r="B749" i="2"/>
  <c r="C749" i="2"/>
  <c r="B225" i="2"/>
  <c r="C225" i="2"/>
  <c r="B1011" i="2"/>
  <c r="C1011" i="2"/>
  <c r="B1767" i="2"/>
  <c r="C1767" i="2"/>
  <c r="B1018" i="2"/>
  <c r="C1018" i="2"/>
  <c r="B1113" i="2"/>
  <c r="C1113" i="2"/>
  <c r="B1752" i="2"/>
  <c r="C1752" i="2"/>
  <c r="B1695" i="2"/>
  <c r="C1695" i="2"/>
  <c r="B213" i="2"/>
  <c r="C213" i="2"/>
  <c r="B1576" i="2"/>
  <c r="C1576" i="2"/>
  <c r="B1518" i="2"/>
  <c r="C1518" i="2"/>
  <c r="B1620" i="2"/>
  <c r="C1620" i="2"/>
  <c r="B518" i="2"/>
  <c r="C518" i="2"/>
  <c r="B1435" i="2"/>
  <c r="C1435" i="2"/>
  <c r="B1258" i="2"/>
  <c r="C1258" i="2"/>
  <c r="B923" i="2"/>
  <c r="C923" i="2"/>
  <c r="B1100" i="2"/>
  <c r="C1100" i="2"/>
  <c r="B568" i="2"/>
  <c r="C568" i="2"/>
  <c r="B1457" i="2"/>
  <c r="C1457" i="2"/>
  <c r="B1831" i="2"/>
  <c r="C1831" i="2"/>
  <c r="B553" i="2"/>
  <c r="C553" i="2"/>
  <c r="B921" i="2"/>
  <c r="C921" i="2"/>
  <c r="B790" i="2"/>
  <c r="C790" i="2"/>
  <c r="B499" i="2"/>
  <c r="C499" i="2"/>
  <c r="B488" i="2"/>
  <c r="C488" i="2"/>
  <c r="B384" i="2"/>
  <c r="C384" i="2"/>
  <c r="B251" i="2"/>
  <c r="C251" i="2"/>
  <c r="B1671" i="2"/>
  <c r="C1671" i="2"/>
  <c r="B368" i="2"/>
  <c r="C368" i="2"/>
  <c r="B1046" i="2"/>
  <c r="C1046" i="2"/>
  <c r="B859" i="2"/>
  <c r="C859" i="2"/>
  <c r="B1975" i="2"/>
  <c r="C1975" i="2"/>
  <c r="B177" i="2"/>
  <c r="C177" i="2"/>
  <c r="B424" i="2"/>
  <c r="C424" i="2"/>
  <c r="B956" i="2"/>
  <c r="C956" i="2"/>
  <c r="B444" i="2"/>
  <c r="C444" i="2"/>
  <c r="B1412" i="2"/>
  <c r="C1412" i="2"/>
  <c r="B693" i="2"/>
  <c r="C693" i="2"/>
  <c r="B246" i="2"/>
  <c r="C246" i="2"/>
  <c r="B1312" i="2"/>
  <c r="C1312" i="2"/>
  <c r="B146" i="2"/>
  <c r="C146" i="2"/>
  <c r="B573" i="2"/>
  <c r="C573" i="2"/>
  <c r="B1222" i="2"/>
  <c r="C1222" i="2"/>
  <c r="B698" i="2"/>
  <c r="C698" i="2"/>
  <c r="B999" i="2"/>
  <c r="C999" i="2"/>
  <c r="B520" i="2"/>
  <c r="C520" i="2"/>
  <c r="B1470" i="2"/>
  <c r="C1470" i="2"/>
  <c r="B1798" i="2"/>
  <c r="C1798" i="2"/>
  <c r="B377" i="2"/>
  <c r="C377" i="2"/>
  <c r="B1858" i="2"/>
  <c r="C1858" i="2"/>
  <c r="B281" i="2"/>
  <c r="C281" i="2"/>
  <c r="B1648" i="2"/>
  <c r="C1648" i="2"/>
  <c r="B1139" i="2"/>
  <c r="C1139" i="2"/>
  <c r="B463" i="2"/>
  <c r="C463" i="2"/>
  <c r="B50" i="2"/>
  <c r="C50" i="2"/>
  <c r="B1866" i="2"/>
  <c r="C1866" i="2"/>
  <c r="B1898" i="2"/>
  <c r="C1898" i="2"/>
  <c r="B1604" i="2"/>
  <c r="C1604" i="2"/>
  <c r="B991" i="2"/>
  <c r="C991" i="2"/>
  <c r="B945" i="2"/>
  <c r="C945" i="2"/>
  <c r="B1994" i="2"/>
  <c r="C1994" i="2"/>
  <c r="B291" i="2"/>
  <c r="C291" i="2"/>
  <c r="B97" i="2"/>
  <c r="C97" i="2"/>
  <c r="B221" i="2"/>
  <c r="C221" i="2"/>
  <c r="B1652" i="2"/>
  <c r="C1652" i="2"/>
  <c r="B607" i="2"/>
  <c r="C607" i="2"/>
  <c r="B822" i="2"/>
  <c r="C822" i="2"/>
  <c r="B1162" i="2"/>
  <c r="C1162" i="2"/>
  <c r="B1053" i="2"/>
  <c r="C1053" i="2"/>
  <c r="B166" i="2"/>
  <c r="C166" i="2"/>
  <c r="B1573" i="2"/>
  <c r="C1573" i="2"/>
  <c r="B1177" i="2"/>
  <c r="C1177" i="2"/>
  <c r="B241" i="2"/>
  <c r="C241" i="2"/>
  <c r="B627" i="2"/>
  <c r="C627" i="2"/>
  <c r="B1702" i="2"/>
  <c r="C1702" i="2"/>
  <c r="B1085" i="2"/>
  <c r="C1085" i="2"/>
  <c r="B461" i="2"/>
  <c r="C461" i="2"/>
  <c r="B445" i="2"/>
  <c r="C445" i="2"/>
  <c r="B712" i="2"/>
  <c r="C712" i="2"/>
  <c r="B1910" i="2"/>
  <c r="C1910" i="2"/>
  <c r="B1818" i="2"/>
  <c r="C1818" i="2"/>
  <c r="B1639" i="2"/>
  <c r="C1639" i="2"/>
  <c r="B1301" i="2"/>
  <c r="C1301" i="2"/>
  <c r="B1125" i="2"/>
  <c r="C1125" i="2"/>
  <c r="B757" i="2"/>
  <c r="C757" i="2"/>
  <c r="B421" i="2"/>
  <c r="C421" i="2"/>
  <c r="B411" i="2"/>
  <c r="C411" i="2"/>
  <c r="B1976" i="2"/>
  <c r="C1976" i="2"/>
  <c r="B141" i="2"/>
  <c r="C141" i="2"/>
  <c r="B1214" i="2"/>
  <c r="C1214" i="2"/>
  <c r="B204" i="2"/>
  <c r="C204" i="2"/>
  <c r="B1667" i="2"/>
  <c r="C1667" i="2"/>
  <c r="B80" i="2"/>
  <c r="C80" i="2"/>
  <c r="B628" i="2"/>
  <c r="C628" i="2"/>
  <c r="B1029" i="2"/>
  <c r="C1029" i="2"/>
  <c r="B79" i="2"/>
  <c r="C79" i="2"/>
  <c r="B583" i="2"/>
  <c r="C583" i="2"/>
  <c r="B1108" i="2"/>
  <c r="C1108" i="2"/>
  <c r="B1715" i="2"/>
  <c r="C1715" i="2"/>
  <c r="B257" i="2"/>
  <c r="C257" i="2"/>
  <c r="B1588" i="2"/>
  <c r="C1588" i="2"/>
  <c r="B530" i="2"/>
  <c r="C530" i="2"/>
  <c r="B1454" i="2"/>
  <c r="C1454" i="2"/>
  <c r="B323" i="2"/>
  <c r="C323" i="2"/>
  <c r="B126" i="2"/>
  <c r="C126" i="2"/>
  <c r="B282" i="2"/>
  <c r="C282" i="2"/>
  <c r="B98" i="2"/>
  <c r="C98" i="2"/>
  <c r="B1159" i="2"/>
  <c r="C1159" i="2"/>
  <c r="B1218" i="2"/>
  <c r="C1218" i="2"/>
  <c r="B1677" i="2"/>
  <c r="C1677" i="2"/>
  <c r="B683" i="2"/>
  <c r="C683" i="2"/>
  <c r="B565" i="2"/>
  <c r="C565" i="2"/>
  <c r="B272" i="2"/>
  <c r="C272" i="2"/>
  <c r="B8" i="2"/>
  <c r="C8" i="2"/>
  <c r="B1182" i="2"/>
  <c r="C1182" i="2"/>
  <c r="B119" i="2"/>
  <c r="C119" i="2"/>
  <c r="B128" i="2"/>
  <c r="C128" i="2"/>
  <c r="B1423" i="2"/>
  <c r="C1423" i="2"/>
  <c r="B904" i="2"/>
  <c r="C904" i="2"/>
  <c r="B1873" i="2"/>
  <c r="C1873" i="2"/>
  <c r="B1403" i="2"/>
  <c r="C1403" i="2"/>
  <c r="B1965" i="2"/>
  <c r="C1965" i="2"/>
  <c r="B563" i="2"/>
  <c r="C563" i="2"/>
  <c r="B219" i="2"/>
  <c r="C219" i="2"/>
  <c r="B1264" i="2"/>
  <c r="C1264" i="2"/>
  <c r="B1651" i="2"/>
  <c r="C1651" i="2"/>
  <c r="B1644" i="2"/>
  <c r="C1644" i="2"/>
  <c r="B687" i="2"/>
  <c r="C687" i="2"/>
  <c r="B598" i="2"/>
  <c r="C598" i="2"/>
  <c r="B1943" i="2"/>
  <c r="C1943" i="2"/>
  <c r="B817" i="2"/>
  <c r="C817" i="2"/>
  <c r="B906" i="2"/>
  <c r="C906" i="2"/>
  <c r="B1691" i="2"/>
  <c r="C1691" i="2"/>
  <c r="B1956" i="2"/>
  <c r="C1956" i="2"/>
  <c r="B30" i="2"/>
  <c r="C30" i="2"/>
  <c r="B992" i="2"/>
  <c r="C992" i="2"/>
  <c r="B954" i="2"/>
  <c r="C954" i="2"/>
  <c r="B321" i="2"/>
  <c r="C321" i="2"/>
  <c r="B975" i="2"/>
  <c r="C975" i="2"/>
  <c r="B1553" i="2"/>
  <c r="C1553" i="2"/>
  <c r="B18" i="2"/>
  <c r="C18" i="2"/>
  <c r="B1439" i="2"/>
  <c r="C1439" i="2"/>
  <c r="B1060" i="2"/>
  <c r="C1060" i="2"/>
  <c r="B1279" i="2"/>
  <c r="C1279" i="2"/>
  <c r="B807" i="2"/>
  <c r="C807" i="2"/>
  <c r="B1469" i="2"/>
  <c r="C1469" i="2"/>
  <c r="B1197" i="2"/>
  <c r="C1197" i="2"/>
  <c r="B815" i="2"/>
  <c r="C815" i="2"/>
  <c r="B6" i="2"/>
  <c r="C6" i="2"/>
  <c r="B1897" i="2"/>
  <c r="C1897" i="2"/>
  <c r="B995" i="2"/>
  <c r="C995" i="2"/>
  <c r="B1280" i="2"/>
  <c r="C1280" i="2"/>
  <c r="B66" i="2"/>
  <c r="C66" i="2"/>
  <c r="B388" i="2"/>
  <c r="C388" i="2"/>
  <c r="B1188" i="2"/>
  <c r="C1188" i="2"/>
  <c r="B1348" i="2"/>
  <c r="C1348" i="2"/>
  <c r="B1774" i="2"/>
  <c r="C1774" i="2"/>
  <c r="B348" i="2"/>
  <c r="C348" i="2"/>
  <c r="B407" i="2"/>
  <c r="C407" i="2"/>
  <c r="B1178" i="2"/>
  <c r="C1178" i="2"/>
  <c r="B1394" i="2"/>
  <c r="C1394" i="2"/>
  <c r="B1480" i="2"/>
  <c r="C1480" i="2"/>
  <c r="B1998" i="2"/>
  <c r="C1998" i="2"/>
  <c r="B788" i="2"/>
  <c r="C788" i="2"/>
  <c r="B1483" i="2"/>
  <c r="C1483" i="2"/>
  <c r="B255" i="2"/>
  <c r="C255" i="2"/>
  <c r="B1837" i="2"/>
  <c r="C1837" i="2"/>
  <c r="B1565" i="2"/>
  <c r="C1565" i="2"/>
  <c r="B1196" i="2"/>
  <c r="C1196" i="2"/>
  <c r="B181" i="2"/>
  <c r="C181" i="2"/>
  <c r="B824" i="2"/>
  <c r="C824" i="2"/>
  <c r="B989" i="2"/>
  <c r="C989" i="2"/>
  <c r="B704" i="2"/>
  <c r="C704" i="2"/>
  <c r="B947" i="2"/>
  <c r="C947" i="2"/>
  <c r="B215" i="2"/>
  <c r="C215" i="2"/>
  <c r="B1424" i="2"/>
  <c r="C1424" i="2"/>
  <c r="B21" i="2"/>
  <c r="C21" i="2"/>
  <c r="B1637" i="2"/>
  <c r="C1637" i="2"/>
  <c r="B510" i="2"/>
  <c r="C510" i="2"/>
  <c r="B1066" i="2"/>
  <c r="C1066" i="2"/>
  <c r="B107" i="2"/>
  <c r="C107" i="2"/>
  <c r="B1525" i="2"/>
  <c r="C1525" i="2"/>
  <c r="B1661" i="2"/>
  <c r="C1661" i="2"/>
  <c r="B450" i="2"/>
  <c r="C450" i="2"/>
  <c r="B20" i="2"/>
  <c r="C20" i="2"/>
  <c r="B950" i="2"/>
  <c r="C950" i="2"/>
  <c r="B860" i="2"/>
  <c r="C860" i="2"/>
  <c r="B1421" i="2"/>
  <c r="C1421" i="2"/>
  <c r="B485" i="2"/>
  <c r="C485" i="2"/>
  <c r="B180" i="2"/>
  <c r="C180" i="2"/>
  <c r="B366" i="2"/>
  <c r="C366" i="2"/>
  <c r="B858" i="2"/>
  <c r="C858" i="2"/>
  <c r="B1870" i="2"/>
  <c r="C1870" i="2"/>
  <c r="B1978" i="2"/>
  <c r="C1978" i="2"/>
  <c r="B312" i="2"/>
  <c r="C312" i="2"/>
  <c r="B1467" i="2"/>
  <c r="C1467" i="2"/>
  <c r="B469" i="2"/>
  <c r="C469" i="2"/>
  <c r="B44" i="2"/>
  <c r="C44" i="2"/>
  <c r="B645" i="2"/>
  <c r="C645" i="2"/>
  <c r="B1923" i="2"/>
  <c r="C1923" i="2"/>
  <c r="B1506" i="2"/>
  <c r="C1506" i="2"/>
  <c r="B2007" i="2"/>
  <c r="C2007" i="2"/>
  <c r="B1366" i="2"/>
  <c r="C1366" i="2"/>
  <c r="B151" i="2"/>
  <c r="C151" i="2"/>
  <c r="B477" i="2"/>
  <c r="C477" i="2"/>
  <c r="B1848" i="2"/>
  <c r="C1848" i="2"/>
  <c r="B1889" i="2"/>
  <c r="C1889" i="2"/>
  <c r="B140" i="2"/>
  <c r="C140" i="2"/>
  <c r="B435" i="2"/>
  <c r="C435" i="2"/>
  <c r="B354" i="2"/>
  <c r="C354" i="2"/>
  <c r="B560" i="2"/>
  <c r="C560" i="2"/>
  <c r="B651" i="2"/>
  <c r="C651" i="2"/>
  <c r="B1711" i="2"/>
  <c r="C1711" i="2"/>
  <c r="B474" i="2"/>
  <c r="C474" i="2"/>
  <c r="B650" i="2"/>
  <c r="C650" i="2"/>
  <c r="B40" i="2"/>
  <c r="C40" i="2"/>
  <c r="B319" i="2"/>
  <c r="C319" i="2"/>
  <c r="B1032" i="2"/>
  <c r="C1032" i="2"/>
  <c r="B1536" i="2"/>
  <c r="C1536" i="2"/>
  <c r="B1244" i="2"/>
  <c r="C1244" i="2"/>
  <c r="B1298" i="2"/>
  <c r="C1298" i="2"/>
  <c r="B183" i="2"/>
  <c r="C183" i="2"/>
  <c r="B454" i="2"/>
  <c r="C454" i="2"/>
  <c r="B223" i="2"/>
  <c r="C223" i="2"/>
  <c r="B1800" i="2"/>
  <c r="C1800" i="2"/>
  <c r="B764" i="2"/>
  <c r="C764" i="2"/>
  <c r="B763" i="2"/>
  <c r="C763" i="2"/>
  <c r="B468" i="2"/>
  <c r="C468" i="2"/>
  <c r="B1349" i="2"/>
  <c r="C1349" i="2"/>
  <c r="B1832" i="2"/>
  <c r="C1832" i="2"/>
  <c r="B362" i="2"/>
  <c r="C362" i="2"/>
  <c r="B845" i="2"/>
  <c r="C845" i="2"/>
  <c r="B1688" i="2"/>
  <c r="C1688" i="2"/>
  <c r="B59" i="2"/>
  <c r="C59" i="2"/>
  <c r="B1035" i="2"/>
  <c r="C1035" i="2"/>
  <c r="B527" i="2"/>
  <c r="C527" i="2"/>
  <c r="B1721" i="2"/>
  <c r="C1721" i="2"/>
  <c r="B369" i="2"/>
  <c r="C369" i="2"/>
  <c r="B1069" i="2"/>
  <c r="C1069" i="2"/>
  <c r="B1507" i="2"/>
  <c r="C1507" i="2"/>
  <c r="B252" i="2"/>
  <c r="C252" i="2"/>
  <c r="B156" i="2"/>
  <c r="C156" i="2"/>
  <c r="B1242" i="2"/>
  <c r="C1242" i="2"/>
  <c r="B302" i="2"/>
  <c r="C302" i="2"/>
  <c r="B127" i="2"/>
  <c r="C127" i="2"/>
  <c r="B356" i="2"/>
  <c r="C356" i="2"/>
  <c r="B1114" i="2"/>
  <c r="C1114" i="2"/>
  <c r="B1539" i="2"/>
  <c r="C1539" i="2"/>
  <c r="B1781" i="2"/>
  <c r="C1781" i="2"/>
  <c r="B1040" i="2"/>
  <c r="C1040" i="2"/>
  <c r="B1826" i="2"/>
  <c r="C1826" i="2"/>
  <c r="B1198" i="2"/>
  <c r="C1198" i="2"/>
  <c r="B1115" i="2"/>
  <c r="C1115" i="2"/>
  <c r="B249" i="2"/>
  <c r="C249" i="2"/>
  <c r="B1203" i="2"/>
  <c r="C1203" i="2"/>
  <c r="B1719" i="2"/>
  <c r="C1719" i="2"/>
  <c r="B842" i="2"/>
  <c r="C842" i="2"/>
  <c r="B1129" i="2"/>
  <c r="C1129" i="2"/>
  <c r="B696" i="2"/>
  <c r="C696" i="2"/>
  <c r="B343" i="2"/>
  <c r="C343" i="2"/>
  <c r="B1448" i="2"/>
  <c r="C1448" i="2"/>
  <c r="B1808" i="2"/>
  <c r="C1808" i="2"/>
  <c r="B1634" i="2"/>
  <c r="C1634" i="2"/>
  <c r="B1001" i="2"/>
  <c r="C1001" i="2"/>
  <c r="B1687" i="2"/>
  <c r="C1687" i="2"/>
  <c r="B1246" i="2"/>
  <c r="C1246" i="2"/>
  <c r="B1564" i="2"/>
  <c r="C1564" i="2"/>
  <c r="B1922" i="2"/>
  <c r="C1922" i="2"/>
  <c r="B732" i="2"/>
  <c r="C732" i="2"/>
  <c r="B498" i="2"/>
  <c r="C498" i="2"/>
  <c r="B1306" i="2"/>
  <c r="C1306" i="2"/>
  <c r="B1852" i="2"/>
  <c r="C1852" i="2"/>
  <c r="B545" i="2"/>
  <c r="C545" i="2"/>
  <c r="B849" i="2"/>
  <c r="C849" i="2"/>
  <c r="B556" i="2"/>
  <c r="C556" i="2"/>
  <c r="B1730" i="2"/>
  <c r="C1730" i="2"/>
  <c r="B1086" i="2"/>
  <c r="C1086" i="2"/>
  <c r="B1641" i="2"/>
  <c r="C1641" i="2"/>
  <c r="B1271" i="2"/>
  <c r="C1271" i="2"/>
  <c r="B1478" i="2"/>
  <c r="C1478" i="2"/>
  <c r="B1130" i="2"/>
  <c r="C1130" i="2"/>
  <c r="B1755" i="2"/>
  <c r="C1755" i="2"/>
  <c r="B476" i="2"/>
  <c r="C476" i="2"/>
  <c r="B293" i="2"/>
  <c r="C293" i="2"/>
  <c r="B1493" i="2"/>
  <c r="C1493" i="2"/>
  <c r="B105" i="2"/>
  <c r="C105" i="2"/>
  <c r="B751" i="2"/>
  <c r="C751" i="2"/>
  <c r="B1124" i="2"/>
  <c r="C1124" i="2"/>
  <c r="B585" i="2"/>
  <c r="C585" i="2"/>
  <c r="B52" i="2"/>
  <c r="C52" i="2"/>
  <c r="B774" i="2"/>
  <c r="C774" i="2"/>
  <c r="B1502" i="2"/>
  <c r="C1502" i="2"/>
  <c r="B248" i="2"/>
  <c r="C248" i="2"/>
  <c r="B316" i="2"/>
  <c r="C316" i="2"/>
  <c r="B56" i="2"/>
  <c r="C56" i="2"/>
  <c r="B1791" i="2"/>
  <c r="C1791" i="2"/>
  <c r="B206" i="2"/>
  <c r="C206" i="2"/>
  <c r="B913" i="2"/>
  <c r="C913" i="2"/>
  <c r="B1532" i="2"/>
  <c r="C1532" i="2"/>
  <c r="B1488" i="2"/>
  <c r="C1488" i="2"/>
  <c r="B196" i="2"/>
  <c r="C196" i="2"/>
  <c r="B48" i="2"/>
  <c r="C48" i="2"/>
  <c r="B365" i="2"/>
  <c r="C365" i="2"/>
  <c r="B1062" i="2"/>
  <c r="C1062" i="2"/>
  <c r="B1494" i="2"/>
  <c r="C1494" i="2"/>
  <c r="B2005" i="2"/>
  <c r="C2005" i="2"/>
  <c r="B1984" i="2"/>
  <c r="C1984" i="2"/>
  <c r="B228" i="2"/>
  <c r="C228" i="2"/>
  <c r="B88" i="2"/>
  <c r="C88" i="2"/>
  <c r="B2006" i="2"/>
  <c r="C2006" i="2"/>
  <c r="B1704" i="2"/>
  <c r="C1704" i="2"/>
  <c r="B37" i="2"/>
  <c r="C37" i="2"/>
  <c r="B1231" i="2"/>
  <c r="C1231" i="2"/>
  <c r="B1611" i="2"/>
  <c r="C1611" i="2"/>
  <c r="B1517" i="2"/>
  <c r="C1517" i="2"/>
  <c r="B1109" i="2"/>
  <c r="C1109" i="2"/>
  <c r="B744" i="2"/>
  <c r="C744" i="2"/>
  <c r="B1092" i="2"/>
  <c r="C1092" i="2"/>
  <c r="B1915" i="2"/>
  <c r="C1915" i="2"/>
  <c r="B878" i="2"/>
  <c r="C878" i="2"/>
  <c r="B1857" i="2"/>
  <c r="C1857" i="2"/>
  <c r="B23" i="2"/>
  <c r="C23" i="2"/>
  <c r="B202" i="2"/>
  <c r="C202" i="2"/>
  <c r="B948" i="2"/>
  <c r="C948" i="2"/>
  <c r="B538" i="2"/>
  <c r="C538" i="2"/>
  <c r="B880" i="2"/>
  <c r="C880" i="2"/>
  <c r="B1180" i="2"/>
  <c r="C1180" i="2"/>
  <c r="B1638" i="2"/>
  <c r="C1638" i="2"/>
  <c r="B1249" i="2"/>
  <c r="C1249" i="2"/>
  <c r="B1666" i="2"/>
  <c r="C1666" i="2"/>
  <c r="B682" i="2"/>
  <c r="C682" i="2"/>
  <c r="B1538" i="2"/>
  <c r="C1538" i="2"/>
  <c r="B1780" i="2"/>
  <c r="C1780" i="2"/>
  <c r="B423" i="2"/>
  <c r="C423" i="2"/>
  <c r="B522" i="2"/>
  <c r="C522" i="2"/>
  <c r="B364" i="2"/>
  <c r="C364" i="2"/>
  <c r="B1830" i="2"/>
  <c r="C1830" i="2"/>
  <c r="B1250" i="2"/>
  <c r="C1250" i="2"/>
  <c r="B1003" i="2"/>
  <c r="C1003" i="2"/>
  <c r="B1484" i="2"/>
  <c r="C1484" i="2"/>
  <c r="B1141" i="2"/>
  <c r="C1141" i="2"/>
  <c r="B1331" i="2"/>
  <c r="C1331" i="2"/>
  <c r="B1378" i="2"/>
  <c r="C1378" i="2"/>
  <c r="B1744" i="2"/>
  <c r="C1744" i="2"/>
  <c r="B108" i="2"/>
  <c r="C108" i="2"/>
  <c r="B836" i="2"/>
  <c r="C836" i="2"/>
  <c r="B1544" i="2"/>
  <c r="C1544" i="2"/>
  <c r="B396" i="2"/>
  <c r="C396" i="2"/>
  <c r="B2014" i="2"/>
  <c r="C2014" i="2"/>
  <c r="B1382" i="2"/>
  <c r="C1382" i="2"/>
  <c r="B1077" i="2"/>
  <c r="C1077" i="2"/>
  <c r="B274" i="2"/>
  <c r="C274" i="2"/>
  <c r="B622" i="2"/>
  <c r="C622" i="2"/>
  <c r="B1554" i="2"/>
  <c r="C1554" i="2"/>
  <c r="B1317" i="2"/>
  <c r="C1317" i="2"/>
  <c r="B1067" i="2"/>
  <c r="C1067" i="2"/>
  <c r="B840" i="2"/>
  <c r="C840" i="2"/>
  <c r="B803" i="2"/>
  <c r="C803" i="2"/>
  <c r="B205" i="2"/>
  <c r="C205" i="2"/>
  <c r="B1954" i="2"/>
  <c r="C1954" i="2"/>
  <c r="B1345" i="2"/>
  <c r="C1345" i="2"/>
  <c r="B1277" i="2"/>
  <c r="C1277" i="2"/>
  <c r="B1399" i="2"/>
  <c r="C1399" i="2"/>
  <c r="B876" i="2"/>
  <c r="C876" i="2"/>
  <c r="B1877" i="2"/>
  <c r="C1877" i="2"/>
  <c r="B193" i="2"/>
  <c r="C193" i="2"/>
  <c r="B1187" i="2"/>
  <c r="C1187" i="2"/>
  <c r="B1834" i="2"/>
  <c r="C1834" i="2"/>
  <c r="B937" i="2"/>
  <c r="C937" i="2"/>
  <c r="B569" i="2"/>
  <c r="C569" i="2"/>
  <c r="B1308" i="2"/>
  <c r="C1308" i="2"/>
  <c r="B480" i="2"/>
  <c r="C480" i="2"/>
  <c r="B723" i="2"/>
  <c r="C723" i="2"/>
  <c r="B2" i="2"/>
  <c r="C2" i="2"/>
  <c r="B1102" i="2"/>
  <c r="C1102" i="2"/>
  <c r="B1000" i="2"/>
  <c r="C1000" i="2"/>
  <c r="B1974" i="2"/>
  <c r="C1974" i="2"/>
  <c r="B1963" i="2"/>
  <c r="C1963" i="2"/>
  <c r="B187" i="2"/>
  <c r="C187" i="2"/>
  <c r="B733" i="2"/>
  <c r="C733" i="2"/>
  <c r="B1295" i="2"/>
  <c r="C1295" i="2"/>
  <c r="B866" i="2"/>
  <c r="C866" i="2"/>
  <c r="B1410" i="2"/>
  <c r="C1410" i="2"/>
  <c r="B1751" i="2"/>
  <c r="C1751" i="2"/>
  <c r="B716" i="2"/>
  <c r="C716" i="2"/>
  <c r="B920" i="2"/>
  <c r="C920" i="2"/>
  <c r="B740" i="2"/>
  <c r="C740" i="2"/>
  <c r="B1432" i="2"/>
  <c r="C1432" i="2"/>
  <c r="B1097" i="2"/>
  <c r="C1097" i="2"/>
  <c r="B679" i="2"/>
  <c r="C679" i="2"/>
  <c r="B494" i="2"/>
  <c r="C494" i="2"/>
  <c r="B1355" i="2"/>
  <c r="C1355" i="2"/>
  <c r="B1202" i="2"/>
  <c r="C1202" i="2"/>
  <c r="B1713" i="2"/>
  <c r="C1713" i="2"/>
  <c r="B578" i="2"/>
  <c r="C578" i="2"/>
  <c r="B1014" i="2"/>
  <c r="C1014" i="2"/>
  <c r="B165" i="2"/>
  <c r="C165" i="2"/>
  <c r="B100" i="2"/>
  <c r="C100" i="2"/>
  <c r="B939" i="2"/>
  <c r="C939" i="2"/>
  <c r="B309" i="2"/>
  <c r="C309" i="2"/>
  <c r="B1088" i="2"/>
  <c r="C1088" i="2"/>
  <c r="B1095" i="2"/>
  <c r="C1095" i="2"/>
  <c r="B1367" i="2"/>
  <c r="C1367" i="2"/>
  <c r="B1743" i="2"/>
  <c r="C1743" i="2"/>
  <c r="B783" i="2"/>
  <c r="C783" i="2"/>
  <c r="B843" i="2"/>
  <c r="C843" i="2"/>
  <c r="B1797" i="2"/>
  <c r="C1797" i="2"/>
  <c r="B1137" i="2"/>
  <c r="C1137" i="2"/>
  <c r="B1257" i="2"/>
  <c r="C1257" i="2"/>
  <c r="B586" i="2"/>
  <c r="C586" i="2"/>
  <c r="B102" i="2"/>
  <c r="C102" i="2"/>
  <c r="B77" i="2"/>
  <c r="C77" i="2"/>
  <c r="B969" i="2"/>
  <c r="C969" i="2"/>
  <c r="B1372" i="2"/>
  <c r="C1372" i="2"/>
  <c r="B916" i="2"/>
  <c r="C916" i="2"/>
  <c r="B1272" i="2"/>
  <c r="C1272" i="2"/>
  <c r="B198" i="2"/>
  <c r="C198" i="2"/>
  <c r="B737" i="2"/>
  <c r="C737" i="2"/>
  <c r="B129" i="2"/>
  <c r="C129" i="2"/>
  <c r="B387" i="2"/>
  <c r="C387" i="2"/>
  <c r="B1156" i="2"/>
  <c r="C1156" i="2"/>
  <c r="B112" i="2"/>
  <c r="C112" i="2"/>
  <c r="B952" i="2"/>
  <c r="C952" i="2"/>
  <c r="B1347" i="2"/>
  <c r="C1347" i="2"/>
  <c r="B259" i="2"/>
  <c r="C259" i="2"/>
  <c r="B1497" i="2"/>
  <c r="C1497" i="2"/>
  <c r="B589" i="2"/>
  <c r="C589" i="2"/>
  <c r="B770" i="2"/>
  <c r="C770" i="2"/>
  <c r="B1486" i="2"/>
  <c r="C1486" i="2"/>
  <c r="B1031" i="2"/>
  <c r="C1031" i="2"/>
  <c r="B305" i="2"/>
  <c r="C305" i="2"/>
  <c r="B101" i="2"/>
  <c r="C101" i="2"/>
  <c r="B1395" i="2"/>
  <c r="C1395" i="2"/>
  <c r="B486" i="2"/>
  <c r="C486" i="2"/>
  <c r="B746" i="2"/>
  <c r="C746" i="2"/>
  <c r="B747" i="2"/>
  <c r="C747" i="2"/>
  <c r="B587" i="2"/>
  <c r="C587" i="2"/>
  <c r="B590" i="2"/>
  <c r="C590" i="2"/>
  <c r="B1099" i="2"/>
  <c r="C1099" i="2"/>
  <c r="B838" i="2"/>
  <c r="C838" i="2"/>
  <c r="B1191" i="2"/>
  <c r="C1191" i="2"/>
  <c r="B760" i="2"/>
  <c r="C760" i="2"/>
  <c r="B663" i="2"/>
  <c r="C663" i="2"/>
  <c r="B393" i="2"/>
  <c r="C393" i="2"/>
  <c r="B402" i="2"/>
  <c r="C402" i="2"/>
  <c r="B1442" i="2"/>
  <c r="C1442" i="2"/>
  <c r="B169" i="2"/>
  <c r="C169" i="2"/>
  <c r="B158" i="2"/>
  <c r="C158" i="2"/>
  <c r="B958" i="2"/>
  <c r="C958" i="2"/>
  <c r="B231" i="2"/>
  <c r="C231" i="2"/>
  <c r="B1850" i="2"/>
  <c r="C1850" i="2"/>
  <c r="B254" i="2"/>
  <c r="C254" i="2"/>
  <c r="B238" i="2"/>
  <c r="C238" i="2"/>
  <c r="B1632" i="2"/>
  <c r="C1632" i="2"/>
  <c r="B1495" i="2"/>
  <c r="C1495" i="2"/>
  <c r="B29" i="2"/>
  <c r="C29" i="2"/>
  <c r="B944" i="2"/>
  <c r="C944" i="2"/>
  <c r="B371" i="2"/>
  <c r="C371" i="2"/>
  <c r="B1261" i="2"/>
  <c r="C1261" i="2"/>
  <c r="B1056" i="2"/>
  <c r="C1056" i="2"/>
  <c r="B493" i="2"/>
  <c r="C493" i="2"/>
  <c r="B1278" i="2"/>
  <c r="C1278" i="2"/>
  <c r="B1655" i="2"/>
  <c r="C1655" i="2"/>
  <c r="B1234" i="2"/>
  <c r="C1234" i="2"/>
  <c r="B1940" i="2"/>
  <c r="C1940" i="2"/>
  <c r="B1958" i="2"/>
  <c r="C1958" i="2"/>
  <c r="B1523" i="2"/>
  <c r="C1523" i="2"/>
  <c r="B1209" i="2"/>
  <c r="C1209" i="2"/>
  <c r="B1466" i="2"/>
  <c r="C1466" i="2"/>
  <c r="B1685" i="2"/>
  <c r="C1685" i="2"/>
  <c r="B329" i="2"/>
  <c r="C329" i="2"/>
  <c r="B431" i="2"/>
  <c r="C431" i="2"/>
  <c r="B570" i="2"/>
  <c r="C570" i="2"/>
  <c r="B1900" i="2"/>
  <c r="C1900" i="2"/>
  <c r="B841" i="2"/>
  <c r="C841" i="2"/>
  <c r="B600" i="2"/>
  <c r="C600" i="2"/>
  <c r="B1111" i="2"/>
  <c r="C1111" i="2"/>
  <c r="B1208" i="2"/>
  <c r="C1208" i="2"/>
  <c r="B1971" i="2"/>
  <c r="C1971" i="2"/>
  <c r="B403" i="2"/>
  <c r="C403" i="2"/>
  <c r="B929" i="2"/>
  <c r="C929" i="2"/>
  <c r="B1116" i="2"/>
  <c r="C1116" i="2"/>
  <c r="B1248" i="2"/>
  <c r="C1248" i="2"/>
  <c r="B153" i="2"/>
  <c r="C153" i="2"/>
  <c r="B263" i="2"/>
  <c r="C263" i="2"/>
  <c r="B1896" i="2"/>
  <c r="C1896" i="2"/>
  <c r="B481" i="2"/>
  <c r="C481" i="2"/>
  <c r="B918" i="2"/>
  <c r="C918" i="2"/>
  <c r="B314" i="2"/>
  <c r="C314" i="2"/>
  <c r="B453" i="2"/>
  <c r="C453" i="2"/>
  <c r="B915" i="2"/>
  <c r="C915" i="2"/>
  <c r="B1585" i="2"/>
  <c r="C1585" i="2"/>
  <c r="B1563" i="2"/>
  <c r="C1563" i="2"/>
  <c r="B864" i="2"/>
  <c r="C864" i="2"/>
  <c r="B1022" i="2"/>
  <c r="C1022" i="2"/>
  <c r="B678" i="2"/>
  <c r="C678" i="2"/>
  <c r="B1238" i="2"/>
  <c r="C1238" i="2"/>
  <c r="B654" i="2"/>
  <c r="C654" i="2"/>
  <c r="B269" i="2"/>
  <c r="C269" i="2"/>
  <c r="B331" i="2"/>
  <c r="C331" i="2"/>
  <c r="B355" i="2"/>
  <c r="C355" i="2"/>
  <c r="B1342" i="2"/>
  <c r="C1342" i="2"/>
  <c r="B212" i="2"/>
  <c r="C212" i="2"/>
  <c r="B147" i="2"/>
  <c r="C147" i="2"/>
  <c r="B1275" i="2"/>
  <c r="C1275" i="2"/>
  <c r="B548" i="2"/>
  <c r="C548" i="2"/>
  <c r="B235" i="2"/>
  <c r="C235" i="2"/>
  <c r="B591" i="2"/>
  <c r="C591" i="2"/>
  <c r="B71" i="2"/>
  <c r="C71" i="2"/>
  <c r="B378" i="2"/>
  <c r="C378" i="2"/>
  <c r="B907" i="2"/>
  <c r="C907" i="2"/>
  <c r="B1073" i="2"/>
  <c r="C1073" i="2"/>
  <c r="B152" i="2"/>
  <c r="C152" i="2"/>
  <c r="B1581" i="2"/>
  <c r="C1581" i="2"/>
  <c r="B346" i="2"/>
  <c r="C346" i="2"/>
  <c r="B632" i="2"/>
  <c r="C632" i="2"/>
  <c r="B1960" i="2"/>
  <c r="C1960" i="2"/>
  <c r="B1640" i="2"/>
  <c r="C1640" i="2"/>
  <c r="B1039" i="2"/>
  <c r="C1039" i="2"/>
  <c r="B1680" i="2"/>
  <c r="C1680" i="2"/>
  <c r="B1782" i="2"/>
  <c r="C1782" i="2"/>
  <c r="B1790" i="2"/>
  <c r="C1790" i="2"/>
  <c r="B1708" i="2"/>
  <c r="C1708" i="2"/>
  <c r="B1710" i="2"/>
  <c r="C1710" i="2"/>
  <c r="B114" i="2"/>
  <c r="C114" i="2"/>
  <c r="B190" i="2"/>
  <c r="C190" i="2"/>
  <c r="B1413" i="2"/>
  <c r="C1413" i="2"/>
  <c r="B1416" i="2"/>
  <c r="C1416" i="2"/>
  <c r="B1663" i="2"/>
  <c r="C1663" i="2"/>
  <c r="B361" i="2"/>
  <c r="C361" i="2"/>
  <c r="B970" i="2"/>
  <c r="C970" i="2"/>
  <c r="B752" i="2"/>
  <c r="C752" i="2"/>
  <c r="B1939" i="2"/>
  <c r="C1939" i="2"/>
  <c r="B1223" i="2"/>
  <c r="C1223" i="2"/>
  <c r="B957" i="2"/>
  <c r="C957" i="2"/>
  <c r="B1981" i="2"/>
  <c r="C1981" i="2"/>
  <c r="B495" i="2"/>
  <c r="C495" i="2"/>
  <c r="B449" i="2"/>
  <c r="C449" i="2"/>
  <c r="B1406" i="2"/>
  <c r="C1406" i="2"/>
  <c r="B933" i="2"/>
  <c r="C933" i="2"/>
  <c r="B1928" i="2"/>
  <c r="C1928" i="2"/>
  <c r="B574" i="2"/>
  <c r="C574" i="2"/>
  <c r="B5" i="2"/>
  <c r="C5" i="2"/>
  <c r="B1562" i="2"/>
  <c r="C1562" i="2"/>
  <c r="B375" i="2"/>
  <c r="C375" i="2"/>
  <c r="B1075" i="2"/>
  <c r="C1075" i="2"/>
  <c r="B636" i="2"/>
  <c r="C636" i="2"/>
  <c r="B644" i="2"/>
  <c r="C644" i="2"/>
  <c r="B1451" i="2"/>
  <c r="C1451" i="2"/>
  <c r="B616" i="2"/>
  <c r="C616" i="2"/>
  <c r="B376" i="2"/>
  <c r="C376" i="2"/>
  <c r="B1303" i="2"/>
  <c r="C1303" i="2"/>
  <c r="B1616" i="2"/>
  <c r="C1616" i="2"/>
  <c r="B1133" i="2"/>
  <c r="C1133" i="2"/>
  <c r="B370" i="2"/>
  <c r="C370" i="2"/>
  <c r="B1537" i="2"/>
  <c r="C1537" i="2"/>
  <c r="B1753" i="2"/>
  <c r="C1753" i="2"/>
  <c r="B279" i="2"/>
  <c r="C279" i="2"/>
  <c r="B1522" i="2"/>
  <c r="C1522" i="2"/>
  <c r="B1725" i="2"/>
  <c r="C1725" i="2"/>
  <c r="B588" i="2"/>
  <c r="C588" i="2"/>
  <c r="B1201" i="2"/>
  <c r="C1201" i="2"/>
  <c r="B85" i="2"/>
  <c r="C85" i="2"/>
  <c r="B1341" i="2"/>
  <c r="C1341" i="2"/>
  <c r="B1292" i="2"/>
  <c r="C1292" i="2"/>
  <c r="B826" i="2"/>
  <c r="C826" i="2"/>
  <c r="B1240" i="2"/>
  <c r="C1240" i="2"/>
  <c r="B1999" i="2"/>
  <c r="C1999" i="2"/>
  <c r="B890" i="2"/>
  <c r="C890" i="2"/>
  <c r="B1193" i="2"/>
  <c r="C1193" i="2"/>
  <c r="B621" i="2"/>
  <c r="C621" i="2"/>
  <c r="B439" i="2"/>
  <c r="C439" i="2"/>
  <c r="B691" i="2"/>
  <c r="C691" i="2"/>
  <c r="B1274" i="2"/>
  <c r="C1274" i="2"/>
  <c r="B1437" i="2"/>
  <c r="C1437" i="2"/>
  <c r="B1754" i="2"/>
  <c r="C1754" i="2"/>
  <c r="B1937" i="2"/>
  <c r="C1937" i="2"/>
  <c r="B446" i="2"/>
  <c r="C446" i="2"/>
  <c r="B132" i="2"/>
  <c r="C132" i="2"/>
  <c r="B1787" i="2"/>
  <c r="C1787" i="2"/>
  <c r="B416" i="2"/>
  <c r="C416" i="2"/>
  <c r="B1391" i="2"/>
  <c r="C1391" i="2"/>
  <c r="B1508" i="2"/>
  <c r="C1508" i="2"/>
  <c r="B1521" i="2"/>
  <c r="C1521" i="2"/>
  <c r="B1247" i="2"/>
  <c r="C1247" i="2"/>
  <c r="B409" i="2"/>
  <c r="C409" i="2"/>
  <c r="B903" i="2"/>
  <c r="C903" i="2"/>
  <c r="B633" i="2"/>
  <c r="C633" i="2"/>
  <c r="B1026" i="2"/>
  <c r="C1026" i="2"/>
  <c r="B497" i="2"/>
  <c r="C497" i="2"/>
  <c r="B1542" i="2"/>
  <c r="C1542" i="2"/>
  <c r="B1617" i="2"/>
  <c r="C1617" i="2"/>
  <c r="B95" i="2"/>
  <c r="C95" i="2"/>
  <c r="B567" i="2"/>
  <c r="C567" i="2"/>
  <c r="B985" i="2"/>
  <c r="C985" i="2"/>
  <c r="B426" i="2"/>
  <c r="C426" i="2"/>
  <c r="B1951" i="2"/>
  <c r="C1951" i="2"/>
  <c r="B1995" i="2"/>
  <c r="C1995" i="2"/>
  <c r="B908" i="2"/>
  <c r="C908" i="2"/>
  <c r="B73" i="2"/>
  <c r="C73" i="2"/>
  <c r="B926" i="2"/>
  <c r="C926" i="2"/>
  <c r="B535" i="2"/>
  <c r="C535" i="2"/>
  <c r="B1008" i="2"/>
  <c r="C1008" i="2"/>
  <c r="B800" i="2"/>
  <c r="C800" i="2"/>
  <c r="B1037" i="2"/>
  <c r="C1037" i="2"/>
  <c r="B603" i="2"/>
  <c r="C603" i="2"/>
  <c r="B184" i="2"/>
  <c r="C184" i="2"/>
  <c r="B1855" i="2"/>
  <c r="C1855" i="2"/>
  <c r="B1769" i="2"/>
  <c r="C1769" i="2"/>
  <c r="B1670" i="2"/>
  <c r="C1670" i="2"/>
  <c r="B419" i="2"/>
  <c r="C419" i="2"/>
  <c r="B1799" i="2"/>
  <c r="C1799" i="2"/>
  <c r="B1041" i="2"/>
  <c r="C1041" i="2"/>
  <c r="B629" i="2"/>
  <c r="C629" i="2"/>
  <c r="B1674" i="2"/>
  <c r="C1674" i="2"/>
  <c r="B1597" i="2"/>
  <c r="C1597" i="2"/>
  <c r="B881" i="2"/>
  <c r="C881" i="2"/>
  <c r="B1783" i="2"/>
  <c r="C1783" i="2"/>
  <c r="B1838" i="2"/>
  <c r="C1838" i="2"/>
  <c r="B544" i="2"/>
  <c r="C544" i="2"/>
  <c r="B1957" i="2"/>
  <c r="C1957" i="2"/>
  <c r="B16" i="2"/>
  <c r="C16" i="2"/>
  <c r="B851" i="2"/>
  <c r="C851" i="2"/>
  <c r="B1002" i="2"/>
  <c r="C1002" i="2"/>
  <c r="B1504" i="2"/>
  <c r="C1504" i="2"/>
  <c r="B1973" i="2"/>
  <c r="C1973" i="2"/>
  <c r="B111" i="2"/>
  <c r="C111" i="2"/>
  <c r="B1772" i="2"/>
  <c r="C1772" i="2"/>
  <c r="B782" i="2"/>
  <c r="C782" i="2"/>
  <c r="B447" i="2"/>
  <c r="C447" i="2"/>
  <c r="B33" i="2"/>
  <c r="C33" i="2"/>
  <c r="B304" i="2"/>
  <c r="C304" i="2"/>
  <c r="B1902" i="2"/>
  <c r="C1902" i="2"/>
  <c r="B1419" i="2"/>
  <c r="C1419" i="2"/>
  <c r="B1447" i="2"/>
  <c r="C1447" i="2"/>
  <c r="B777" i="2"/>
  <c r="C777" i="2"/>
  <c r="B875" i="2"/>
  <c r="C875" i="2"/>
  <c r="B1901" i="2"/>
  <c r="C1901" i="2"/>
  <c r="B1575" i="2"/>
  <c r="C1575" i="2"/>
  <c r="B523" i="2"/>
  <c r="C523" i="2"/>
  <c r="B209" i="2"/>
  <c r="C209" i="2"/>
  <c r="B162" i="2"/>
  <c r="C162" i="2"/>
  <c r="B1431" i="2"/>
  <c r="C1431" i="2"/>
  <c r="B1057" i="2"/>
  <c r="C1057" i="2"/>
  <c r="B1966" i="2"/>
  <c r="C1966" i="2"/>
  <c r="B1936" i="2"/>
  <c r="C1936" i="2"/>
  <c r="B25" i="2"/>
  <c r="C25" i="2"/>
  <c r="B1883" i="2"/>
  <c r="C1883" i="2"/>
  <c r="B1624" i="2"/>
  <c r="C1624" i="2"/>
  <c r="B1759" i="2"/>
  <c r="C1759" i="2"/>
  <c r="B1503" i="2"/>
  <c r="C1503" i="2"/>
  <c r="B1110" i="2"/>
  <c r="C1110" i="2"/>
  <c r="B1927" i="2"/>
  <c r="C1927" i="2"/>
  <c r="B1184" i="2"/>
  <c r="C1184" i="2"/>
  <c r="B1259" i="2"/>
  <c r="C1259" i="2"/>
  <c r="B1623" i="2"/>
  <c r="C1623" i="2"/>
  <c r="B917" i="2"/>
  <c r="C917" i="2"/>
  <c r="B949" i="2"/>
  <c r="C949" i="2"/>
  <c r="B1471" i="2"/>
  <c r="C1471" i="2"/>
  <c r="B1252" i="2"/>
  <c r="C1252" i="2"/>
  <c r="B1580" i="2"/>
  <c r="C1580" i="2"/>
  <c r="B1387" i="2"/>
  <c r="C1387" i="2"/>
  <c r="B1027" i="2"/>
  <c r="C1027" i="2"/>
  <c r="B579" i="2"/>
  <c r="C579" i="2"/>
  <c r="B1325" i="2"/>
  <c r="C1325" i="2"/>
  <c r="B1888" i="2"/>
  <c r="C1888" i="2"/>
  <c r="B1350" i="2"/>
  <c r="C1350" i="2"/>
  <c r="B464" i="2"/>
  <c r="C464" i="2"/>
  <c r="B1500" i="2"/>
  <c r="C1500" i="2"/>
  <c r="B801" i="2"/>
  <c r="C801" i="2"/>
  <c r="B1291" i="2"/>
  <c r="C1291" i="2"/>
  <c r="B211" i="2"/>
  <c r="C211" i="2"/>
  <c r="B1552" i="2"/>
  <c r="C1552" i="2"/>
  <c r="B1192" i="2"/>
  <c r="C1192" i="2"/>
  <c r="B399" i="2"/>
  <c r="C399" i="2"/>
  <c r="B303" i="2"/>
  <c r="C303" i="2"/>
  <c r="B981" i="2"/>
  <c r="C981" i="2"/>
  <c r="B67" i="2"/>
  <c r="C67" i="2"/>
  <c r="B1673" i="2"/>
  <c r="C1673" i="2"/>
  <c r="B391" i="2"/>
  <c r="C391" i="2"/>
  <c r="B1686" i="2"/>
  <c r="C1686" i="2"/>
  <c r="B1816" i="2"/>
  <c r="C1816" i="2"/>
  <c r="B347" i="2"/>
  <c r="C347" i="2"/>
  <c r="B1460" i="2"/>
  <c r="C1460" i="2"/>
  <c r="B351" i="2"/>
  <c r="C351" i="2"/>
  <c r="B614" i="2"/>
  <c r="C614" i="2"/>
  <c r="B1946" i="2"/>
  <c r="C1946" i="2"/>
  <c r="B1746" i="2"/>
  <c r="C1746" i="2"/>
  <c r="B1607" i="2"/>
  <c r="C1607" i="2"/>
  <c r="B507" i="2"/>
  <c r="C507" i="2"/>
  <c r="B1353" i="2"/>
  <c r="C1353" i="2"/>
  <c r="B558" i="2"/>
  <c r="C558" i="2"/>
  <c r="B160" i="2"/>
  <c r="C160" i="2"/>
  <c r="B1450" i="2"/>
  <c r="C1450" i="2"/>
  <c r="B1013" i="2"/>
  <c r="C1013" i="2"/>
  <c r="B1934" i="2"/>
  <c r="C1934" i="2"/>
  <c r="B335" i="2"/>
  <c r="C335" i="2"/>
  <c r="B514" i="2"/>
  <c r="C514" i="2"/>
  <c r="B273" i="2"/>
  <c r="C273" i="2"/>
  <c r="B1287" i="2"/>
  <c r="C1287" i="2"/>
  <c r="B1030" i="2"/>
  <c r="C1030" i="2"/>
  <c r="B612" i="2"/>
  <c r="C612" i="2"/>
  <c r="B1845" i="2"/>
  <c r="C1845" i="2"/>
  <c r="B87" i="2"/>
  <c r="C87" i="2"/>
  <c r="B261" i="2"/>
  <c r="C261" i="2"/>
  <c r="B217" i="2"/>
  <c r="C217" i="2"/>
  <c r="B850" i="2"/>
  <c r="C850" i="2"/>
  <c r="B557" i="2"/>
  <c r="C557" i="2"/>
  <c r="B2001" i="2"/>
  <c r="C2001" i="2"/>
  <c r="B1930" i="2"/>
  <c r="C1930" i="2"/>
  <c r="B1332" i="2"/>
  <c r="C1332" i="2"/>
  <c r="B1054" i="2"/>
  <c r="C1054" i="2"/>
  <c r="B1560" i="2"/>
  <c r="C1560" i="2"/>
  <c r="B15" i="2"/>
  <c r="C15" i="2"/>
  <c r="B1157" i="2"/>
  <c r="C1157" i="2"/>
  <c r="B1887" i="2"/>
  <c r="C1887" i="2"/>
  <c r="B694" i="2"/>
  <c r="C694" i="2"/>
  <c r="B1194" i="2"/>
  <c r="C1194" i="2"/>
  <c r="B90" i="2"/>
  <c r="C90" i="2"/>
  <c r="B49" i="2"/>
  <c r="C49" i="2"/>
  <c r="B1134" i="2"/>
  <c r="C1134" i="2"/>
  <c r="B1656" i="2"/>
  <c r="C1656" i="2"/>
  <c r="B1741" i="2"/>
  <c r="C1741" i="2"/>
  <c r="B1582" i="2"/>
  <c r="C1582" i="2"/>
  <c r="B1717" i="2"/>
  <c r="C1717" i="2"/>
  <c r="B1821" i="2"/>
  <c r="C1821" i="2"/>
  <c r="B848" i="2"/>
  <c r="C848" i="2"/>
  <c r="B554" i="2"/>
  <c r="C554" i="2"/>
  <c r="B595" i="2"/>
  <c r="C595" i="2"/>
  <c r="B1221" i="2"/>
  <c r="C1221" i="2"/>
  <c r="B1747" i="2"/>
  <c r="C1747" i="2"/>
  <c r="B1420" i="2"/>
  <c r="C1420" i="2"/>
  <c r="B38" i="2"/>
  <c r="C38" i="2"/>
  <c r="B1989" i="2"/>
  <c r="C1989" i="2"/>
  <c r="B17" i="2"/>
  <c r="C17" i="2"/>
  <c r="B943" i="2"/>
  <c r="C943" i="2"/>
  <c r="B327" i="2"/>
  <c r="C327" i="2"/>
  <c r="B1658" i="2"/>
  <c r="C1658" i="2"/>
  <c r="B582" i="2"/>
  <c r="C582" i="2"/>
  <c r="B1385" i="2"/>
  <c r="C1385" i="2"/>
  <c r="B328" i="2"/>
  <c r="C328" i="2"/>
  <c r="B1949" i="2"/>
  <c r="C1949" i="2"/>
  <c r="B982" i="2"/>
  <c r="C982" i="2"/>
  <c r="B819" i="2"/>
  <c r="C819" i="2"/>
  <c r="B401" i="2"/>
  <c r="C401" i="2"/>
  <c r="B1379" i="2"/>
  <c r="C1379" i="2"/>
  <c r="B542" i="2"/>
  <c r="C542" i="2"/>
  <c r="B1598" i="2"/>
  <c r="C1598" i="2"/>
  <c r="B526" i="2"/>
  <c r="C526" i="2"/>
  <c r="B1344" i="2"/>
  <c r="C1344" i="2"/>
  <c r="B1489" i="2"/>
  <c r="C1489" i="2"/>
  <c r="B739" i="2"/>
  <c r="C739" i="2"/>
  <c r="B662" i="2"/>
  <c r="C662" i="2"/>
  <c r="B1840" i="2"/>
  <c r="C1840" i="2"/>
  <c r="B197" i="2"/>
  <c r="C197" i="2"/>
  <c r="B1396" i="2"/>
  <c r="C1396" i="2"/>
  <c r="B22" i="2"/>
  <c r="C22" i="2"/>
  <c r="B702" i="2"/>
  <c r="C702" i="2"/>
  <c r="B1270" i="2"/>
  <c r="C1270" i="2"/>
  <c r="B1360" i="2"/>
  <c r="C1360" i="2"/>
  <c r="B299" i="2"/>
  <c r="C299" i="2"/>
  <c r="B118" i="2"/>
  <c r="C118" i="2"/>
  <c r="B550" i="2"/>
  <c r="C550" i="2"/>
  <c r="B1817" i="2"/>
  <c r="C1817" i="2"/>
  <c r="B1625" i="2"/>
  <c r="C1625" i="2"/>
  <c r="B1158" i="2"/>
  <c r="C1158" i="2"/>
  <c r="B1622" i="2"/>
  <c r="C1622" i="2"/>
  <c r="B1154" i="2"/>
  <c r="C1154" i="2"/>
  <c r="B1052" i="2"/>
  <c r="C1052" i="2"/>
  <c r="B1204" i="2"/>
  <c r="C1204" i="2"/>
  <c r="B1245" i="2"/>
  <c r="C1245" i="2"/>
  <c r="B596" i="2"/>
  <c r="C596" i="2"/>
  <c r="B1042" i="2"/>
  <c r="C1042" i="2"/>
  <c r="B1833" i="2"/>
  <c r="C1833" i="2"/>
  <c r="B793" i="2"/>
  <c r="C793" i="2"/>
  <c r="B829" i="2"/>
  <c r="C829" i="2"/>
  <c r="B1148" i="2"/>
  <c r="C1148" i="2"/>
  <c r="B26" i="2"/>
  <c r="C26" i="2"/>
  <c r="B287" i="2"/>
  <c r="C287" i="2"/>
  <c r="B1220" i="2"/>
  <c r="C1220" i="2"/>
  <c r="B706" i="2"/>
  <c r="C706" i="2"/>
  <c r="B1239" i="2"/>
  <c r="C1239" i="2"/>
  <c r="B938" i="2"/>
  <c r="C938" i="2"/>
  <c r="B680" i="2"/>
  <c r="C680" i="2"/>
  <c r="B1150" i="2"/>
  <c r="C1150" i="2"/>
  <c r="B559" i="2"/>
  <c r="C559" i="2"/>
  <c r="B857" i="2"/>
  <c r="C857" i="2"/>
  <c r="B971" i="2"/>
  <c r="C971" i="2"/>
  <c r="B828" i="2"/>
  <c r="C828" i="2"/>
  <c r="B224" i="2"/>
  <c r="C224" i="2"/>
  <c r="B86" i="2"/>
  <c r="C86" i="2"/>
  <c r="B1726" i="2"/>
  <c r="C1726" i="2"/>
  <c r="B1326" i="2"/>
  <c r="C1326" i="2"/>
  <c r="B2002" i="2"/>
  <c r="C2002" i="2"/>
  <c r="B1618" i="2"/>
  <c r="C1618" i="2"/>
  <c r="B1025" i="2"/>
  <c r="C1025" i="2"/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E363" i="1"/>
  <c r="E875" i="1"/>
  <c r="E372" i="1"/>
  <c r="E13" i="1"/>
  <c r="E525" i="1"/>
  <c r="E22" i="1"/>
  <c r="E534" i="1"/>
  <c r="E175" i="1"/>
  <c r="E687" i="1"/>
  <c r="E296" i="1"/>
  <c r="E808" i="1"/>
  <c r="E481" i="1"/>
  <c r="E426" i="1"/>
  <c r="E993" i="1"/>
  <c r="E1511" i="1"/>
  <c r="E818" i="1"/>
  <c r="E435" i="1"/>
  <c r="E947" i="1"/>
  <c r="E444" i="1"/>
  <c r="E85" i="1"/>
  <c r="E597" i="1"/>
  <c r="E94" i="1"/>
  <c r="E606" i="1"/>
  <c r="E247" i="1"/>
  <c r="E759" i="1"/>
  <c r="E368" i="1"/>
  <c r="E41" i="1"/>
  <c r="E553" i="1"/>
  <c r="E498" i="1"/>
  <c r="E1071" i="1"/>
  <c r="E1583" i="1"/>
  <c r="E952" i="1"/>
  <c r="E507" i="1"/>
  <c r="E4" i="1"/>
  <c r="E516" i="1"/>
  <c r="E157" i="1"/>
  <c r="E669" i="1"/>
  <c r="E166" i="1"/>
  <c r="E678" i="1"/>
  <c r="E319" i="1"/>
  <c r="E831" i="1"/>
  <c r="E440" i="1"/>
  <c r="E113" i="1"/>
  <c r="E58" i="1"/>
  <c r="E570" i="1"/>
  <c r="E1143" i="1"/>
  <c r="E1655" i="1"/>
  <c r="E387" i="1"/>
  <c r="E899" i="1"/>
  <c r="E396" i="1"/>
  <c r="E37" i="1"/>
  <c r="E549" i="1"/>
  <c r="E46" i="1"/>
  <c r="E558" i="1"/>
  <c r="E199" i="1"/>
  <c r="E711" i="1"/>
  <c r="E320" i="1"/>
  <c r="E832" i="1"/>
  <c r="E505" i="1"/>
  <c r="E450" i="1"/>
  <c r="E1023" i="1"/>
  <c r="E1535" i="1"/>
  <c r="E884" i="1"/>
  <c r="E403" i="1"/>
  <c r="E915" i="1"/>
  <c r="E412" i="1"/>
  <c r="E53" i="1"/>
  <c r="E565" i="1"/>
  <c r="E62" i="1"/>
  <c r="E574" i="1"/>
  <c r="E215" i="1"/>
  <c r="E727" i="1"/>
  <c r="E336" i="1"/>
  <c r="E9" i="1"/>
  <c r="E521" i="1"/>
  <c r="E466" i="1"/>
  <c r="E1039" i="1"/>
  <c r="E1551" i="1"/>
  <c r="E910" i="1"/>
  <c r="E475" i="1"/>
  <c r="E987" i="1"/>
  <c r="E484" i="1"/>
  <c r="E125" i="1"/>
  <c r="E637" i="1"/>
  <c r="E134" i="1"/>
  <c r="E646" i="1"/>
  <c r="E287" i="1"/>
  <c r="E799" i="1"/>
  <c r="E408" i="1"/>
  <c r="E81" i="1"/>
  <c r="E26" i="1"/>
  <c r="E538" i="1"/>
  <c r="E1111" i="1"/>
  <c r="E1623" i="1"/>
  <c r="E35" i="1"/>
  <c r="E852" i="1"/>
  <c r="E143" i="1"/>
  <c r="E449" i="1"/>
  <c r="E1911" i="1"/>
  <c r="E1416" i="1"/>
  <c r="E873" i="1"/>
  <c r="E1425" i="1"/>
  <c r="E1122" i="1"/>
  <c r="E1634" i="1"/>
  <c r="E1203" i="1"/>
  <c r="E1068" i="1"/>
  <c r="E1580" i="1"/>
  <c r="E1237" i="1"/>
  <c r="E938" i="1"/>
  <c r="E1470" i="1"/>
  <c r="E99" i="1"/>
  <c r="E261" i="1"/>
  <c r="E423" i="1"/>
  <c r="E162" i="1"/>
  <c r="E962" i="1"/>
  <c r="E1488" i="1"/>
  <c r="E975" i="1"/>
  <c r="E1497" i="1"/>
  <c r="E1194" i="1"/>
  <c r="E1706" i="1"/>
  <c r="E1275" i="1"/>
  <c r="E1140" i="1"/>
  <c r="E1652" i="1"/>
  <c r="E1309" i="1"/>
  <c r="E1030" i="1"/>
  <c r="E1611" i="1"/>
  <c r="E395" i="1"/>
  <c r="E427" i="1"/>
  <c r="E939" i="1"/>
  <c r="E436" i="1"/>
  <c r="E77" i="1"/>
  <c r="E589" i="1"/>
  <c r="E86" i="1"/>
  <c r="E598" i="1"/>
  <c r="E239" i="1"/>
  <c r="E751" i="1"/>
  <c r="E360" i="1"/>
  <c r="E33" i="1"/>
  <c r="E545" i="1"/>
  <c r="E490" i="1"/>
  <c r="E1063" i="1"/>
  <c r="E1575" i="1"/>
  <c r="E942" i="1"/>
  <c r="E499" i="1"/>
  <c r="E1011" i="1"/>
  <c r="E508" i="1"/>
  <c r="E149" i="1"/>
  <c r="E661" i="1"/>
  <c r="E158" i="1"/>
  <c r="E670" i="1"/>
  <c r="E311" i="1"/>
  <c r="E823" i="1"/>
  <c r="E432" i="1"/>
  <c r="E105" i="1"/>
  <c r="E50" i="1"/>
  <c r="E562" i="1"/>
  <c r="E1135" i="1"/>
  <c r="E1647" i="1"/>
  <c r="E59" i="1"/>
  <c r="E571" i="1"/>
  <c r="E68" i="1"/>
  <c r="E580" i="1"/>
  <c r="E221" i="1"/>
  <c r="E733" i="1"/>
  <c r="E230" i="1"/>
  <c r="E742" i="1"/>
  <c r="E383" i="1"/>
  <c r="E895" i="1"/>
  <c r="E504" i="1"/>
  <c r="E177" i="1"/>
  <c r="E122" i="1"/>
  <c r="E634" i="1"/>
  <c r="E1207" i="1"/>
  <c r="E1719" i="1"/>
  <c r="E451" i="1"/>
  <c r="E963" i="1"/>
  <c r="E460" i="1"/>
  <c r="E101" i="1"/>
  <c r="E613" i="1"/>
  <c r="E110" i="1"/>
  <c r="E622" i="1"/>
  <c r="E263" i="1"/>
  <c r="E775" i="1"/>
  <c r="E384" i="1"/>
  <c r="E57" i="1"/>
  <c r="E569" i="1"/>
  <c r="E514" i="1"/>
  <c r="E1087" i="1"/>
  <c r="E1599" i="1"/>
  <c r="E11" i="1"/>
  <c r="E467" i="1"/>
  <c r="E979" i="1"/>
  <c r="E476" i="1"/>
  <c r="E117" i="1"/>
  <c r="E629" i="1"/>
  <c r="E126" i="1"/>
  <c r="E638" i="1"/>
  <c r="E279" i="1"/>
  <c r="E791" i="1"/>
  <c r="E400" i="1"/>
  <c r="E73" i="1"/>
  <c r="E18" i="1"/>
  <c r="E530" i="1"/>
  <c r="E1103" i="1"/>
  <c r="E1615" i="1"/>
  <c r="E27" i="1"/>
  <c r="E539" i="1"/>
  <c r="E36" i="1"/>
  <c r="E548" i="1"/>
  <c r="E189" i="1"/>
  <c r="E701" i="1"/>
  <c r="E198" i="1"/>
  <c r="E710" i="1"/>
  <c r="E351" i="1"/>
  <c r="E863" i="1"/>
  <c r="E472" i="1"/>
  <c r="E145" i="1"/>
  <c r="E90" i="1"/>
  <c r="E602" i="1"/>
  <c r="E1175" i="1"/>
  <c r="E1687" i="1"/>
  <c r="E75" i="1"/>
  <c r="E237" i="1"/>
  <c r="E399" i="1"/>
  <c r="E138" i="1"/>
  <c r="E930" i="1"/>
  <c r="E1480" i="1"/>
  <c r="E964" i="1"/>
  <c r="E1489" i="1"/>
  <c r="E1186" i="1"/>
  <c r="E1698" i="1"/>
  <c r="E1267" i="1"/>
  <c r="E1132" i="1"/>
  <c r="E1644" i="1"/>
  <c r="E1301" i="1"/>
  <c r="E1022" i="1"/>
  <c r="E1579" i="1"/>
  <c r="E355" i="1"/>
  <c r="E517" i="1"/>
  <c r="E679" i="1"/>
  <c r="E418" i="1"/>
  <c r="E1040" i="1"/>
  <c r="E1552" i="1"/>
  <c r="E1049" i="1"/>
  <c r="E1561" i="1"/>
  <c r="E1258" i="1"/>
  <c r="E1770" i="1"/>
  <c r="E1339" i="1"/>
  <c r="E1204" i="1"/>
  <c r="E1716" i="1"/>
  <c r="E1373" i="1"/>
  <c r="E1094" i="1"/>
  <c r="E1757" i="1"/>
  <c r="E651" i="1"/>
  <c r="E491" i="1"/>
  <c r="E1003" i="1"/>
  <c r="E500" i="1"/>
  <c r="E141" i="1"/>
  <c r="E653" i="1"/>
  <c r="E150" i="1"/>
  <c r="E662" i="1"/>
  <c r="E303" i="1"/>
  <c r="E815" i="1"/>
  <c r="E424" i="1"/>
  <c r="E97" i="1"/>
  <c r="E42" i="1"/>
  <c r="E554" i="1"/>
  <c r="E1127" i="1"/>
  <c r="E1639" i="1"/>
  <c r="E51" i="1"/>
  <c r="E563" i="1"/>
  <c r="E60" i="1"/>
  <c r="E572" i="1"/>
  <c r="E213" i="1"/>
  <c r="E725" i="1"/>
  <c r="E222" i="1"/>
  <c r="E734" i="1"/>
  <c r="E375" i="1"/>
  <c r="E887" i="1"/>
  <c r="E496" i="1"/>
  <c r="E169" i="1"/>
  <c r="E114" i="1"/>
  <c r="E626" i="1"/>
  <c r="E1199" i="1"/>
  <c r="E1711" i="1"/>
  <c r="E123" i="1"/>
  <c r="E635" i="1"/>
  <c r="E132" i="1"/>
  <c r="E644" i="1"/>
  <c r="E285" i="1"/>
  <c r="E797" i="1"/>
  <c r="E294" i="1"/>
  <c r="E806" i="1"/>
  <c r="E447" i="1"/>
  <c r="E56" i="1"/>
  <c r="E568" i="1"/>
  <c r="E241" i="1"/>
  <c r="E186" i="1"/>
  <c r="E698" i="1"/>
  <c r="E1271" i="1"/>
  <c r="E3" i="1"/>
  <c r="E515" i="1"/>
  <c r="E12" i="1"/>
  <c r="E524" i="1"/>
  <c r="E165" i="1"/>
  <c r="E677" i="1"/>
  <c r="E174" i="1"/>
  <c r="E686" i="1"/>
  <c r="E327" i="1"/>
  <c r="E839" i="1"/>
  <c r="E448" i="1"/>
  <c r="E121" i="1"/>
  <c r="E66" i="1"/>
  <c r="E578" i="1"/>
  <c r="E1151" i="1"/>
  <c r="E1663" i="1"/>
  <c r="E19" i="1"/>
  <c r="E531" i="1"/>
  <c r="E28" i="1"/>
  <c r="E540" i="1"/>
  <c r="E181" i="1"/>
  <c r="E693" i="1"/>
  <c r="E190" i="1"/>
  <c r="E702" i="1"/>
  <c r="E343" i="1"/>
  <c r="E855" i="1"/>
  <c r="E464" i="1"/>
  <c r="E137" i="1"/>
  <c r="E82" i="1"/>
  <c r="E594" i="1"/>
  <c r="E1167" i="1"/>
  <c r="E1679" i="1"/>
  <c r="E91" i="1"/>
  <c r="E603" i="1"/>
  <c r="E100" i="1"/>
  <c r="E612" i="1"/>
  <c r="E253" i="1"/>
  <c r="E765" i="1"/>
  <c r="E262" i="1"/>
  <c r="E774" i="1"/>
  <c r="E415" i="1"/>
  <c r="E24" i="1"/>
  <c r="E536" i="1"/>
  <c r="E209" i="1"/>
  <c r="E154" i="1"/>
  <c r="E666" i="1"/>
  <c r="E1239" i="1"/>
  <c r="E1751" i="1"/>
  <c r="E331" i="1"/>
  <c r="E493" i="1"/>
  <c r="E655" i="1"/>
  <c r="E394" i="1"/>
  <c r="E1032" i="1"/>
  <c r="E1544" i="1"/>
  <c r="E1041" i="1"/>
  <c r="E1553" i="1"/>
  <c r="E1250" i="1"/>
  <c r="E1762" i="1"/>
  <c r="E1331" i="1"/>
  <c r="E1196" i="1"/>
  <c r="E1708" i="1"/>
  <c r="E1365" i="1"/>
  <c r="E1086" i="1"/>
  <c r="E1745" i="1"/>
  <c r="E611" i="1"/>
  <c r="E773" i="1"/>
  <c r="E32" i="1"/>
  <c r="E674" i="1"/>
  <c r="E1104" i="1"/>
  <c r="E1616" i="1"/>
  <c r="E1113" i="1"/>
  <c r="E1625" i="1"/>
  <c r="E1322" i="1"/>
  <c r="E801" i="1"/>
  <c r="E1403" i="1"/>
  <c r="E1268" i="1"/>
  <c r="E892" i="1"/>
  <c r="E1437" i="1"/>
  <c r="E1158" i="1"/>
  <c r="E1851" i="1"/>
  <c r="E907" i="1"/>
  <c r="E43" i="1"/>
  <c r="E555" i="1"/>
  <c r="E52" i="1"/>
  <c r="E564" i="1"/>
  <c r="E205" i="1"/>
  <c r="E717" i="1"/>
  <c r="E214" i="1"/>
  <c r="E726" i="1"/>
  <c r="E367" i="1"/>
  <c r="E879" i="1"/>
  <c r="E488" i="1"/>
  <c r="E161" i="1"/>
  <c r="E106" i="1"/>
  <c r="E618" i="1"/>
  <c r="E1191" i="1"/>
  <c r="E1703" i="1"/>
  <c r="E115" i="1"/>
  <c r="E627" i="1"/>
  <c r="E124" i="1"/>
  <c r="E636" i="1"/>
  <c r="E277" i="1"/>
  <c r="E789" i="1"/>
  <c r="E286" i="1"/>
  <c r="E798" i="1"/>
  <c r="E439" i="1"/>
  <c r="E48" i="1"/>
  <c r="E560" i="1"/>
  <c r="E233" i="1"/>
  <c r="E178" i="1"/>
  <c r="E690" i="1"/>
  <c r="E1263" i="1"/>
  <c r="E1775" i="1"/>
  <c r="E187" i="1"/>
  <c r="E699" i="1"/>
  <c r="E196" i="1"/>
  <c r="E708" i="1"/>
  <c r="E349" i="1"/>
  <c r="E861" i="1"/>
  <c r="E358" i="1"/>
  <c r="E870" i="1"/>
  <c r="E511" i="1"/>
  <c r="E120" i="1"/>
  <c r="E632" i="1"/>
  <c r="E305" i="1"/>
  <c r="E250" i="1"/>
  <c r="E762" i="1"/>
  <c r="E1335" i="1"/>
  <c r="E67" i="1"/>
  <c r="E579" i="1"/>
  <c r="E76" i="1"/>
  <c r="E588" i="1"/>
  <c r="E229" i="1"/>
  <c r="E741" i="1"/>
  <c r="E238" i="1"/>
  <c r="E750" i="1"/>
  <c r="E391" i="1"/>
  <c r="E903" i="1"/>
  <c r="E512" i="1"/>
  <c r="E185" i="1"/>
  <c r="E130" i="1"/>
  <c r="E642" i="1"/>
  <c r="E1215" i="1"/>
  <c r="E1727" i="1"/>
  <c r="E83" i="1"/>
  <c r="E595" i="1"/>
  <c r="E92" i="1"/>
  <c r="E604" i="1"/>
  <c r="E245" i="1"/>
  <c r="E757" i="1"/>
  <c r="E254" i="1"/>
  <c r="E766" i="1"/>
  <c r="E407" i="1"/>
  <c r="E16" i="1"/>
  <c r="E528" i="1"/>
  <c r="E201" i="1"/>
  <c r="E146" i="1"/>
  <c r="E658" i="1"/>
  <c r="E1231" i="1"/>
  <c r="E1743" i="1"/>
  <c r="E155" i="1"/>
  <c r="E667" i="1"/>
  <c r="E164" i="1"/>
  <c r="E676" i="1"/>
  <c r="E317" i="1"/>
  <c r="E829" i="1"/>
  <c r="E326" i="1"/>
  <c r="E838" i="1"/>
  <c r="E479" i="1"/>
  <c r="E88" i="1"/>
  <c r="E600" i="1"/>
  <c r="E273" i="1"/>
  <c r="E218" i="1"/>
  <c r="E730" i="1"/>
  <c r="E1303" i="1"/>
  <c r="E1815" i="1"/>
  <c r="E587" i="1"/>
  <c r="E749" i="1"/>
  <c r="E8" i="1"/>
  <c r="E650" i="1"/>
  <c r="E1096" i="1"/>
  <c r="E1608" i="1"/>
  <c r="E1105" i="1"/>
  <c r="E1617" i="1"/>
  <c r="E1314" i="1"/>
  <c r="E737" i="1"/>
  <c r="E1395" i="1"/>
  <c r="E1260" i="1"/>
  <c r="E880" i="1"/>
  <c r="E1429" i="1"/>
  <c r="E1150" i="1"/>
  <c r="E1841" i="1"/>
  <c r="E867" i="1"/>
  <c r="E14" i="1"/>
  <c r="E288" i="1"/>
  <c r="E983" i="1"/>
  <c r="E1168" i="1"/>
  <c r="E1680" i="1"/>
  <c r="E1177" i="1"/>
  <c r="E665" i="1"/>
  <c r="E1386" i="1"/>
  <c r="E935" i="1"/>
  <c r="E1467" i="1"/>
  <c r="E1332" i="1"/>
  <c r="E980" i="1"/>
  <c r="E1501" i="1"/>
  <c r="E1222" i="1"/>
  <c r="E1928" i="1"/>
  <c r="E107" i="1"/>
  <c r="E619" i="1"/>
  <c r="E116" i="1"/>
  <c r="E628" i="1"/>
  <c r="E269" i="1"/>
  <c r="E781" i="1"/>
  <c r="E278" i="1"/>
  <c r="E790" i="1"/>
  <c r="E431" i="1"/>
  <c r="E40" i="1"/>
  <c r="E552" i="1"/>
  <c r="E225" i="1"/>
  <c r="E170" i="1"/>
  <c r="E682" i="1"/>
  <c r="E1255" i="1"/>
  <c r="E1767" i="1"/>
  <c r="E179" i="1"/>
  <c r="E691" i="1"/>
  <c r="E188" i="1"/>
  <c r="E700" i="1"/>
  <c r="E341" i="1"/>
  <c r="E853" i="1"/>
  <c r="E350" i="1"/>
  <c r="E862" i="1"/>
  <c r="E503" i="1"/>
  <c r="E112" i="1"/>
  <c r="E624" i="1"/>
  <c r="E297" i="1"/>
  <c r="E242" i="1"/>
  <c r="E754" i="1"/>
  <c r="E1327" i="1"/>
  <c r="E1839" i="1"/>
  <c r="E251" i="1"/>
  <c r="E763" i="1"/>
  <c r="E260" i="1"/>
  <c r="E772" i="1"/>
  <c r="E413" i="1"/>
  <c r="E925" i="1"/>
  <c r="E422" i="1"/>
  <c r="E63" i="1"/>
  <c r="E575" i="1"/>
  <c r="E184" i="1"/>
  <c r="E696" i="1"/>
  <c r="E369" i="1"/>
  <c r="E314" i="1"/>
  <c r="E769" i="1"/>
  <c r="E1399" i="1"/>
  <c r="E131" i="1"/>
  <c r="E643" i="1"/>
  <c r="E140" i="1"/>
  <c r="E652" i="1"/>
  <c r="E293" i="1"/>
  <c r="E805" i="1"/>
  <c r="E302" i="1"/>
  <c r="E814" i="1"/>
  <c r="E455" i="1"/>
  <c r="E64" i="1"/>
  <c r="E576" i="1"/>
  <c r="E249" i="1"/>
  <c r="E194" i="1"/>
  <c r="E706" i="1"/>
  <c r="E1279" i="1"/>
  <c r="E1791" i="1"/>
  <c r="E147" i="1"/>
  <c r="E659" i="1"/>
  <c r="E156" i="1"/>
  <c r="E668" i="1"/>
  <c r="E309" i="1"/>
  <c r="E821" i="1"/>
  <c r="E318" i="1"/>
  <c r="E830" i="1"/>
  <c r="E471" i="1"/>
  <c r="E80" i="1"/>
  <c r="E592" i="1"/>
  <c r="E265" i="1"/>
  <c r="E210" i="1"/>
  <c r="E722" i="1"/>
  <c r="E1295" i="1"/>
  <c r="E1807" i="1"/>
  <c r="E219" i="1"/>
  <c r="E731" i="1"/>
  <c r="E228" i="1"/>
  <c r="E740" i="1"/>
  <c r="E381" i="1"/>
  <c r="E893" i="1"/>
  <c r="E390" i="1"/>
  <c r="E31" i="1"/>
  <c r="E543" i="1"/>
  <c r="E152" i="1"/>
  <c r="E664" i="1"/>
  <c r="E337" i="1"/>
  <c r="E282" i="1"/>
  <c r="E794" i="1"/>
  <c r="E1367" i="1"/>
  <c r="E1879" i="1"/>
  <c r="E843" i="1"/>
  <c r="E1005" i="1"/>
  <c r="E264" i="1"/>
  <c r="E951" i="1"/>
  <c r="E1160" i="1"/>
  <c r="E1672" i="1"/>
  <c r="E1169" i="1"/>
  <c r="E601" i="1"/>
  <c r="E1378" i="1"/>
  <c r="E924" i="1"/>
  <c r="E1459" i="1"/>
  <c r="E1324" i="1"/>
  <c r="E969" i="1"/>
  <c r="E1493" i="1"/>
  <c r="E1214" i="1"/>
  <c r="E1918" i="1"/>
  <c r="E108" i="1"/>
  <c r="E270" i="1"/>
  <c r="E544" i="1"/>
  <c r="E1247" i="1"/>
  <c r="E1232" i="1"/>
  <c r="E1744" i="1"/>
  <c r="E1241" i="1"/>
  <c r="E912" i="1"/>
  <c r="E1450" i="1"/>
  <c r="E1019" i="1"/>
  <c r="E745" i="1"/>
  <c r="E1396" i="1"/>
  <c r="E1053" i="1"/>
  <c r="E1565" i="1"/>
  <c r="E1286" i="1"/>
  <c r="E1999" i="1"/>
  <c r="E171" i="1"/>
  <c r="E683" i="1"/>
  <c r="E180" i="1"/>
  <c r="E692" i="1"/>
  <c r="E333" i="1"/>
  <c r="E845" i="1"/>
  <c r="E342" i="1"/>
  <c r="E854" i="1"/>
  <c r="E495" i="1"/>
  <c r="E104" i="1"/>
  <c r="E616" i="1"/>
  <c r="E289" i="1"/>
  <c r="E234" i="1"/>
  <c r="E746" i="1"/>
  <c r="E1319" i="1"/>
  <c r="E1831" i="1"/>
  <c r="E243" i="1"/>
  <c r="E755" i="1"/>
  <c r="E252" i="1"/>
  <c r="E764" i="1"/>
  <c r="E405" i="1"/>
  <c r="E917" i="1"/>
  <c r="E414" i="1"/>
  <c r="E55" i="1"/>
  <c r="E567" i="1"/>
  <c r="E176" i="1"/>
  <c r="E688" i="1"/>
  <c r="E361" i="1"/>
  <c r="E306" i="1"/>
  <c r="E705" i="1"/>
  <c r="E1391" i="1"/>
  <c r="E1903" i="1"/>
  <c r="E315" i="1"/>
  <c r="E827" i="1"/>
  <c r="E324" i="1"/>
  <c r="E836" i="1"/>
  <c r="E477" i="1"/>
  <c r="E989" i="1"/>
  <c r="E486" i="1"/>
  <c r="E127" i="1"/>
  <c r="E639" i="1"/>
  <c r="E248" i="1"/>
  <c r="E760" i="1"/>
  <c r="E433" i="1"/>
  <c r="E378" i="1"/>
  <c r="E929" i="1"/>
  <c r="E1463" i="1"/>
  <c r="E195" i="1"/>
  <c r="E707" i="1"/>
  <c r="E204" i="1"/>
  <c r="E716" i="1"/>
  <c r="E357" i="1"/>
  <c r="E869" i="1"/>
  <c r="E366" i="1"/>
  <c r="E7" i="1"/>
  <c r="E519" i="1"/>
  <c r="E128" i="1"/>
  <c r="E640" i="1"/>
  <c r="E313" i="1"/>
  <c r="E258" i="1"/>
  <c r="E770" i="1"/>
  <c r="E1343" i="1"/>
  <c r="E1855" i="1"/>
  <c r="E211" i="1"/>
  <c r="E723" i="1"/>
  <c r="E220" i="1"/>
  <c r="E732" i="1"/>
  <c r="E373" i="1"/>
  <c r="E885" i="1"/>
  <c r="E382" i="1"/>
  <c r="E23" i="1"/>
  <c r="E535" i="1"/>
  <c r="E144" i="1"/>
  <c r="E656" i="1"/>
  <c r="E329" i="1"/>
  <c r="E274" i="1"/>
  <c r="E786" i="1"/>
  <c r="E1359" i="1"/>
  <c r="E1871" i="1"/>
  <c r="E283" i="1"/>
  <c r="E795" i="1"/>
  <c r="E292" i="1"/>
  <c r="E804" i="1"/>
  <c r="E445" i="1"/>
  <c r="E957" i="1"/>
  <c r="E454" i="1"/>
  <c r="E95" i="1"/>
  <c r="E607" i="1"/>
  <c r="E216" i="1"/>
  <c r="E728" i="1"/>
  <c r="E401" i="1"/>
  <c r="E346" i="1"/>
  <c r="E882" i="1"/>
  <c r="E1431" i="1"/>
  <c r="E1943" i="1"/>
  <c r="E84" i="1"/>
  <c r="E246" i="1"/>
  <c r="E520" i="1"/>
  <c r="E1223" i="1"/>
  <c r="E1224" i="1"/>
  <c r="E1736" i="1"/>
  <c r="E1233" i="1"/>
  <c r="E900" i="1"/>
  <c r="E1442" i="1"/>
  <c r="E1009" i="1"/>
  <c r="E681" i="1"/>
  <c r="E1388" i="1"/>
  <c r="E1045" i="1"/>
  <c r="E1557" i="1"/>
  <c r="E1278" i="1"/>
  <c r="E1991" i="1"/>
  <c r="E364" i="1"/>
  <c r="E526" i="1"/>
  <c r="E800" i="1"/>
  <c r="E1503" i="1"/>
  <c r="E1296" i="1"/>
  <c r="E1808" i="1"/>
  <c r="E1305" i="1"/>
  <c r="E998" i="1"/>
  <c r="E1514" i="1"/>
  <c r="E1083" i="1"/>
  <c r="E926" i="1"/>
  <c r="E1460" i="1"/>
  <c r="E1117" i="1"/>
  <c r="E1629" i="1"/>
  <c r="E1350" i="1"/>
  <c r="E1670" i="1"/>
  <c r="E235" i="1"/>
  <c r="E747" i="1"/>
  <c r="E244" i="1"/>
  <c r="E756" i="1"/>
  <c r="E397" i="1"/>
  <c r="E909" i="1"/>
  <c r="E406" i="1"/>
  <c r="E47" i="1"/>
  <c r="E559" i="1"/>
  <c r="E168" i="1"/>
  <c r="E680" i="1"/>
  <c r="E353" i="1"/>
  <c r="E298" i="1"/>
  <c r="E641" i="1"/>
  <c r="E1383" i="1"/>
  <c r="E1895" i="1"/>
  <c r="E307" i="1"/>
  <c r="E819" i="1"/>
  <c r="E316" i="1"/>
  <c r="E828" i="1"/>
  <c r="E469" i="1"/>
  <c r="E981" i="1"/>
  <c r="E478" i="1"/>
  <c r="E119" i="1"/>
  <c r="E631" i="1"/>
  <c r="E240" i="1"/>
  <c r="E752" i="1"/>
  <c r="E425" i="1"/>
  <c r="E370" i="1"/>
  <c r="E919" i="1"/>
  <c r="E1455" i="1"/>
  <c r="E1967" i="1"/>
  <c r="E379" i="1"/>
  <c r="E891" i="1"/>
  <c r="E388" i="1"/>
  <c r="E29" i="1"/>
  <c r="E541" i="1"/>
  <c r="E38" i="1"/>
  <c r="E550" i="1"/>
  <c r="E191" i="1"/>
  <c r="E703" i="1"/>
  <c r="E312" i="1"/>
  <c r="E824" i="1"/>
  <c r="E497" i="1"/>
  <c r="E442" i="1"/>
  <c r="E1015" i="1"/>
  <c r="E1527" i="1"/>
  <c r="E259" i="1"/>
  <c r="E771" i="1"/>
  <c r="E268" i="1"/>
  <c r="E780" i="1"/>
  <c r="E421" i="1"/>
  <c r="E933" i="1"/>
  <c r="E430" i="1"/>
  <c r="E71" i="1"/>
  <c r="E583" i="1"/>
  <c r="E192" i="1"/>
  <c r="E704" i="1"/>
  <c r="E377" i="1"/>
  <c r="E322" i="1"/>
  <c r="E817" i="1"/>
  <c r="E1407" i="1"/>
  <c r="E1919" i="1"/>
  <c r="E275" i="1"/>
  <c r="E787" i="1"/>
  <c r="E284" i="1"/>
  <c r="E796" i="1"/>
  <c r="E437" i="1"/>
  <c r="E949" i="1"/>
  <c r="E446" i="1"/>
  <c r="E87" i="1"/>
  <c r="E599" i="1"/>
  <c r="E208" i="1"/>
  <c r="E720" i="1"/>
  <c r="E393" i="1"/>
  <c r="E338" i="1"/>
  <c r="E866" i="1"/>
  <c r="E1423" i="1"/>
  <c r="E1935" i="1"/>
  <c r="E347" i="1"/>
  <c r="E859" i="1"/>
  <c r="E356" i="1"/>
  <c r="E868" i="1"/>
  <c r="E509" i="1"/>
  <c r="E6" i="1"/>
  <c r="E518" i="1"/>
  <c r="E159" i="1"/>
  <c r="E671" i="1"/>
  <c r="E280" i="1"/>
  <c r="E792" i="1"/>
  <c r="E465" i="1"/>
  <c r="E410" i="1"/>
  <c r="E972" i="1"/>
  <c r="E1495" i="1"/>
  <c r="E713" i="1"/>
  <c r="E340" i="1"/>
  <c r="E502" i="1"/>
  <c r="E776" i="1"/>
  <c r="E1479" i="1"/>
  <c r="E1288" i="1"/>
  <c r="E1800" i="1"/>
  <c r="E1297" i="1"/>
  <c r="E986" i="1"/>
  <c r="E1506" i="1"/>
  <c r="E1075" i="1"/>
  <c r="E914" i="1"/>
  <c r="E1452" i="1"/>
  <c r="E1109" i="1"/>
  <c r="E1621" i="1"/>
  <c r="E1342" i="1"/>
  <c r="E1646" i="1"/>
  <c r="E620" i="1"/>
  <c r="E782" i="1"/>
  <c r="E217" i="1"/>
  <c r="E1759" i="1"/>
  <c r="E1360" i="1"/>
  <c r="E1872" i="1"/>
  <c r="E1369" i="1"/>
  <c r="E1066" i="1"/>
  <c r="E1578" i="1"/>
  <c r="E1147" i="1"/>
  <c r="E1010" i="1"/>
  <c r="E1524" i="1"/>
  <c r="E1181" i="1"/>
  <c r="E842" i="1"/>
  <c r="E1414" i="1"/>
  <c r="E1785" i="1"/>
  <c r="E299" i="1"/>
  <c r="E811" i="1"/>
  <c r="E308" i="1"/>
  <c r="E820" i="1"/>
  <c r="E461" i="1"/>
  <c r="E973" i="1"/>
  <c r="E470" i="1"/>
  <c r="E111" i="1"/>
  <c r="E623" i="1"/>
  <c r="E232" i="1"/>
  <c r="E744" i="1"/>
  <c r="E417" i="1"/>
  <c r="E362" i="1"/>
  <c r="E908" i="1"/>
  <c r="E1447" i="1"/>
  <c r="E1959" i="1"/>
  <c r="E371" i="1"/>
  <c r="E883" i="1"/>
  <c r="E380" i="1"/>
  <c r="E21" i="1"/>
  <c r="E533" i="1"/>
  <c r="E30" i="1"/>
  <c r="E542" i="1"/>
  <c r="E183" i="1"/>
  <c r="E695" i="1"/>
  <c r="E304" i="1"/>
  <c r="E816" i="1"/>
  <c r="E489" i="1"/>
  <c r="E434" i="1"/>
  <c r="E1004" i="1"/>
  <c r="E1519" i="1"/>
  <c r="E849" i="1"/>
  <c r="E443" i="1"/>
  <c r="E955" i="1"/>
  <c r="E452" i="1"/>
  <c r="E93" i="1"/>
  <c r="E605" i="1"/>
  <c r="E102" i="1"/>
  <c r="E614" i="1"/>
  <c r="E255" i="1"/>
  <c r="E767" i="1"/>
  <c r="E376" i="1"/>
  <c r="E49" i="1"/>
  <c r="E561" i="1"/>
  <c r="E506" i="1"/>
  <c r="E1079" i="1"/>
  <c r="E1591" i="1"/>
  <c r="E323" i="1"/>
  <c r="E835" i="1"/>
  <c r="E332" i="1"/>
  <c r="E844" i="1"/>
  <c r="E485" i="1"/>
  <c r="E997" i="1"/>
  <c r="E494" i="1"/>
  <c r="E135" i="1"/>
  <c r="E647" i="1"/>
  <c r="E256" i="1"/>
  <c r="E768" i="1"/>
  <c r="E441" i="1"/>
  <c r="E386" i="1"/>
  <c r="E940" i="1"/>
  <c r="E1471" i="1"/>
  <c r="E1983" i="1"/>
  <c r="E339" i="1"/>
  <c r="E851" i="1"/>
  <c r="E348" i="1"/>
  <c r="E860" i="1"/>
  <c r="E501" i="1"/>
  <c r="E1013" i="1"/>
  <c r="E510" i="1"/>
  <c r="E151" i="1"/>
  <c r="E663" i="1"/>
  <c r="E272" i="1"/>
  <c r="E784" i="1"/>
  <c r="E457" i="1"/>
  <c r="E402" i="1"/>
  <c r="E961" i="1"/>
  <c r="E1487" i="1"/>
  <c r="E649" i="1"/>
  <c r="E411" i="1"/>
  <c r="E923" i="1"/>
  <c r="E420" i="1"/>
  <c r="E61" i="1"/>
  <c r="E573" i="1"/>
  <c r="E70" i="1"/>
  <c r="E582" i="1"/>
  <c r="E223" i="1"/>
  <c r="E735" i="1"/>
  <c r="E344" i="1"/>
  <c r="E17" i="1"/>
  <c r="E529" i="1"/>
  <c r="E474" i="1"/>
  <c r="E1047" i="1"/>
  <c r="E1559" i="1"/>
  <c r="E920" i="1"/>
  <c r="E596" i="1"/>
  <c r="E758" i="1"/>
  <c r="E193" i="1"/>
  <c r="E1735" i="1"/>
  <c r="E1352" i="1"/>
  <c r="E1864" i="1"/>
  <c r="E1361" i="1"/>
  <c r="E1058" i="1"/>
  <c r="E1570" i="1"/>
  <c r="E1139" i="1"/>
  <c r="E1000" i="1"/>
  <c r="E1516" i="1"/>
  <c r="E1173" i="1"/>
  <c r="E810" i="1"/>
  <c r="E1406" i="1"/>
  <c r="E1772" i="1"/>
  <c r="E5" i="1"/>
  <c r="E167" i="1"/>
  <c r="E473" i="1"/>
  <c r="E1927" i="1"/>
  <c r="E1424" i="1"/>
  <c r="E886" i="1"/>
  <c r="E1433" i="1"/>
  <c r="E1130" i="1"/>
  <c r="E1642" i="1"/>
  <c r="E1211" i="1"/>
  <c r="E1076" i="1"/>
  <c r="E1588" i="1"/>
  <c r="E1245" i="1"/>
  <c r="E950" i="1"/>
  <c r="E1478" i="1"/>
  <c r="E139" i="1"/>
  <c r="E148" i="1"/>
  <c r="E310" i="1"/>
  <c r="E584" i="1"/>
  <c r="E1287" i="1"/>
  <c r="E1240" i="1"/>
  <c r="E1752" i="1"/>
  <c r="E1249" i="1"/>
  <c r="E922" i="1"/>
  <c r="E1458" i="1"/>
  <c r="E1027" i="1"/>
  <c r="E802" i="1"/>
  <c r="E1404" i="1"/>
  <c r="E1061" i="1"/>
  <c r="E1573" i="1"/>
  <c r="E1294" i="1"/>
  <c r="E2007" i="1"/>
  <c r="E428" i="1"/>
  <c r="E590" i="1"/>
  <c r="E25" i="1"/>
  <c r="E1567" i="1"/>
  <c r="E715" i="1"/>
  <c r="E877" i="1"/>
  <c r="E136" i="1"/>
  <c r="E778" i="1"/>
  <c r="E1128" i="1"/>
  <c r="E1640" i="1"/>
  <c r="E1137" i="1"/>
  <c r="E1649" i="1"/>
  <c r="E1346" i="1"/>
  <c r="E876" i="1"/>
  <c r="E1427" i="1"/>
  <c r="E1292" i="1"/>
  <c r="E927" i="1"/>
  <c r="E1461" i="1"/>
  <c r="E1182" i="1"/>
  <c r="E1882" i="1"/>
  <c r="E995" i="1"/>
  <c r="E142" i="1"/>
  <c r="E416" i="1"/>
  <c r="E1119" i="1"/>
  <c r="E1200" i="1"/>
  <c r="E1712" i="1"/>
  <c r="E1209" i="1"/>
  <c r="E856" i="1"/>
  <c r="E1418" i="1"/>
  <c r="E977" i="1"/>
  <c r="E1499" i="1"/>
  <c r="E1364" i="1"/>
  <c r="E1021" i="1"/>
  <c r="E1533" i="1"/>
  <c r="E1254" i="1"/>
  <c r="E1964" i="1"/>
  <c r="E276" i="1"/>
  <c r="E438" i="1"/>
  <c r="E712" i="1"/>
  <c r="E1415" i="1"/>
  <c r="E1272" i="1"/>
  <c r="E1784" i="1"/>
  <c r="E1281" i="1"/>
  <c r="E966" i="1"/>
  <c r="E1490" i="1"/>
  <c r="E1059" i="1"/>
  <c r="E890" i="1"/>
  <c r="E1436" i="1"/>
  <c r="E1093" i="1"/>
  <c r="E1605" i="1"/>
  <c r="E1326" i="1"/>
  <c r="E1582" i="1"/>
  <c r="E1344" i="1"/>
  <c r="E1562" i="1"/>
  <c r="E1165" i="1"/>
  <c r="E1984" i="1"/>
  <c r="E1876" i="1"/>
  <c r="E1740" i="1"/>
  <c r="E2005" i="1"/>
  <c r="E1604" i="1"/>
  <c r="E2012" i="1"/>
  <c r="E547" i="1"/>
  <c r="E1129" i="1"/>
  <c r="E1419" i="1"/>
  <c r="E1174" i="1"/>
  <c r="E1865" i="1"/>
  <c r="E1725" i="1"/>
  <c r="E1996" i="1"/>
  <c r="E1261" i="1"/>
  <c r="E1868" i="1"/>
  <c r="E965" i="1"/>
  <c r="E1417" i="1"/>
  <c r="E1060" i="1"/>
  <c r="E1462" i="1"/>
  <c r="E1948" i="1"/>
  <c r="E1835" i="1"/>
  <c r="E1683" i="1"/>
  <c r="E1001" i="1"/>
  <c r="E1845" i="1"/>
  <c r="E1974" i="1"/>
  <c r="E480" i="1"/>
  <c r="E793" i="1"/>
  <c r="E1348" i="1"/>
  <c r="E953" i="1"/>
  <c r="E1259" i="1"/>
  <c r="E1014" i="1"/>
  <c r="E1811" i="1"/>
  <c r="E1627" i="1"/>
  <c r="E1952" i="1"/>
  <c r="E1850" i="1"/>
  <c r="E2006" i="1"/>
  <c r="E1587" i="1"/>
  <c r="E153" i="1"/>
  <c r="E934" i="1"/>
  <c r="E1412" i="1"/>
  <c r="E2015" i="1"/>
  <c r="E1590" i="1"/>
  <c r="E1941" i="1"/>
  <c r="E1769" i="1"/>
  <c r="E1220" i="1"/>
  <c r="E1795" i="1"/>
  <c r="E1033" i="1"/>
  <c r="E1323" i="1"/>
  <c r="E1078" i="1"/>
  <c r="E1833" i="1"/>
  <c r="E1678" i="1"/>
  <c r="E1970" i="1"/>
  <c r="E1870" i="1"/>
  <c r="E1786" i="1"/>
  <c r="E1906" i="1"/>
  <c r="E1444" i="1"/>
  <c r="E404" i="1"/>
  <c r="E566" i="1"/>
  <c r="E840" i="1"/>
  <c r="E1543" i="1"/>
  <c r="E1304" i="1"/>
  <c r="E1816" i="1"/>
  <c r="E1313" i="1"/>
  <c r="E1008" i="1"/>
  <c r="E1522" i="1"/>
  <c r="E1091" i="1"/>
  <c r="E936" i="1"/>
  <c r="E1468" i="1"/>
  <c r="E1125" i="1"/>
  <c r="E1637" i="1"/>
  <c r="E1358" i="1"/>
  <c r="E1689" i="1"/>
  <c r="E684" i="1"/>
  <c r="E846" i="1"/>
  <c r="E281" i="1"/>
  <c r="E1799" i="1"/>
  <c r="E971" i="1"/>
  <c r="E118" i="1"/>
  <c r="E392" i="1"/>
  <c r="E1095" i="1"/>
  <c r="E1192" i="1"/>
  <c r="E1704" i="1"/>
  <c r="E1201" i="1"/>
  <c r="E826" i="1"/>
  <c r="E1410" i="1"/>
  <c r="E967" i="1"/>
  <c r="E1491" i="1"/>
  <c r="E1356" i="1"/>
  <c r="E1012" i="1"/>
  <c r="E1525" i="1"/>
  <c r="E1246" i="1"/>
  <c r="E1955" i="1"/>
  <c r="E236" i="1"/>
  <c r="E398" i="1"/>
  <c r="E672" i="1"/>
  <c r="E1375" i="1"/>
  <c r="E1264" i="1"/>
  <c r="E1776" i="1"/>
  <c r="E1273" i="1"/>
  <c r="E954" i="1"/>
  <c r="E1482" i="1"/>
  <c r="E1051" i="1"/>
  <c r="E878" i="1"/>
  <c r="E1428" i="1"/>
  <c r="E1085" i="1"/>
  <c r="E1597" i="1"/>
  <c r="E1318" i="1"/>
  <c r="E1550" i="1"/>
  <c r="E532" i="1"/>
  <c r="E694" i="1"/>
  <c r="E129" i="1"/>
  <c r="E1671" i="1"/>
  <c r="E1336" i="1"/>
  <c r="E1848" i="1"/>
  <c r="E1345" i="1"/>
  <c r="E1042" i="1"/>
  <c r="E1554" i="1"/>
  <c r="E1123" i="1"/>
  <c r="E978" i="1"/>
  <c r="E1500" i="1"/>
  <c r="E1157" i="1"/>
  <c r="E697" i="1"/>
  <c r="E1390" i="1"/>
  <c r="E1747" i="1"/>
  <c r="E1600" i="1"/>
  <c r="E673" i="1"/>
  <c r="E1421" i="1"/>
  <c r="E1619" i="1"/>
  <c r="E1949" i="1"/>
  <c r="E1836" i="1"/>
  <c r="E1701" i="1"/>
  <c r="E1238" i="1"/>
  <c r="E1889" i="1"/>
  <c r="E709" i="1"/>
  <c r="E1385" i="1"/>
  <c r="E1028" i="1"/>
  <c r="E1430" i="1"/>
  <c r="E1939" i="1"/>
  <c r="E1825" i="1"/>
  <c r="E1662" i="1"/>
  <c r="E970" i="1"/>
  <c r="E1805" i="1"/>
  <c r="E224" i="1"/>
  <c r="E1673" i="1"/>
  <c r="E1316" i="1"/>
  <c r="E1909" i="1"/>
  <c r="E2017" i="1"/>
  <c r="E1914" i="1"/>
  <c r="E1793" i="1"/>
  <c r="E1517" i="1"/>
  <c r="E1923" i="1"/>
  <c r="E1866" i="1"/>
  <c r="E1183" i="1"/>
  <c r="E1146" i="1"/>
  <c r="E300" i="1"/>
  <c r="E1225" i="1"/>
  <c r="E617" i="1"/>
  <c r="E1270" i="1"/>
  <c r="E1893" i="1"/>
  <c r="E1764" i="1"/>
  <c r="E2020" i="1"/>
  <c r="E1926" i="1"/>
  <c r="E359" i="1"/>
  <c r="E1993" i="1"/>
  <c r="E1695" i="1"/>
  <c r="E1210" i="1"/>
  <c r="E1668" i="1"/>
  <c r="E1883" i="1"/>
  <c r="E1749" i="1"/>
  <c r="E2011" i="1"/>
  <c r="E1936" i="1"/>
  <c r="E1133" i="1"/>
  <c r="E812" i="1"/>
  <c r="E1289" i="1"/>
  <c r="E904" i="1"/>
  <c r="E1334" i="1"/>
  <c r="E1912" i="1"/>
  <c r="E1789" i="1"/>
  <c r="E1571" i="1"/>
  <c r="E1945" i="1"/>
  <c r="E946" i="1"/>
  <c r="E1997" i="1"/>
  <c r="E1837" i="1"/>
  <c r="E660" i="1"/>
  <c r="E822" i="1"/>
  <c r="E257" i="1"/>
  <c r="E1783" i="1"/>
  <c r="E1368" i="1"/>
  <c r="E593" i="1"/>
  <c r="E1377" i="1"/>
  <c r="E1074" i="1"/>
  <c r="E1586" i="1"/>
  <c r="E1155" i="1"/>
  <c r="E1020" i="1"/>
  <c r="E1532" i="1"/>
  <c r="E1189" i="1"/>
  <c r="E865" i="1"/>
  <c r="E1422" i="1"/>
  <c r="E1797" i="1"/>
  <c r="E69" i="1"/>
  <c r="E231" i="1"/>
  <c r="E537" i="1"/>
  <c r="E1975" i="1"/>
  <c r="E212" i="1"/>
  <c r="E374" i="1"/>
  <c r="E648" i="1"/>
  <c r="E1351" i="1"/>
  <c r="E1256" i="1"/>
  <c r="E1768" i="1"/>
  <c r="E1265" i="1"/>
  <c r="E944" i="1"/>
  <c r="E1474" i="1"/>
  <c r="E1043" i="1"/>
  <c r="E858" i="1"/>
  <c r="E1420" i="1"/>
  <c r="E1077" i="1"/>
  <c r="E1589" i="1"/>
  <c r="E1310" i="1"/>
  <c r="E1518" i="1"/>
  <c r="E492" i="1"/>
  <c r="E654" i="1"/>
  <c r="E89" i="1"/>
  <c r="E1631" i="1"/>
  <c r="E1328" i="1"/>
  <c r="E1840" i="1"/>
  <c r="E1337" i="1"/>
  <c r="E1034" i="1"/>
  <c r="E1546" i="1"/>
  <c r="E1115" i="1"/>
  <c r="E968" i="1"/>
  <c r="E1492" i="1"/>
  <c r="E1149" i="1"/>
  <c r="E633" i="1"/>
  <c r="E1382" i="1"/>
  <c r="E1733" i="1"/>
  <c r="E788" i="1"/>
  <c r="E79" i="1"/>
  <c r="E385" i="1"/>
  <c r="E1863" i="1"/>
  <c r="E1400" i="1"/>
  <c r="E825" i="1"/>
  <c r="E1409" i="1"/>
  <c r="E1106" i="1"/>
  <c r="E1618" i="1"/>
  <c r="E1187" i="1"/>
  <c r="E1052" i="1"/>
  <c r="E1564" i="1"/>
  <c r="E1221" i="1"/>
  <c r="E918" i="1"/>
  <c r="E1454" i="1"/>
  <c r="E1842" i="1"/>
  <c r="E1856" i="1"/>
  <c r="E1131" i="1"/>
  <c r="E761" i="1"/>
  <c r="E1761" i="1"/>
  <c r="E2018" i="1"/>
  <c r="E1915" i="1"/>
  <c r="E1806" i="1"/>
  <c r="E1862" i="1"/>
  <c r="E1742" i="1"/>
  <c r="E871" i="1"/>
  <c r="E1641" i="1"/>
  <c r="E1284" i="1"/>
  <c r="E1873" i="1"/>
  <c r="E2009" i="1"/>
  <c r="E1905" i="1"/>
  <c r="E1780" i="1"/>
  <c r="E1946" i="1"/>
  <c r="E1574" i="1"/>
  <c r="E896" i="1"/>
  <c r="E1114" i="1"/>
  <c r="E1572" i="1"/>
  <c r="E1852" i="1"/>
  <c r="E1709" i="1"/>
  <c r="E1987" i="1"/>
  <c r="E1880" i="1"/>
  <c r="E1494" i="1"/>
  <c r="E1779" i="1"/>
  <c r="E1960" i="1"/>
  <c r="E1184" i="1"/>
  <c r="E1402" i="1"/>
  <c r="E462" i="1"/>
  <c r="E1481" i="1"/>
  <c r="E1124" i="1"/>
  <c r="E1547" i="1"/>
  <c r="E1966" i="1"/>
  <c r="E1857" i="1"/>
  <c r="E1715" i="1"/>
  <c r="E1998" i="1"/>
  <c r="E1065" i="1"/>
  <c r="E2010" i="1"/>
  <c r="E1248" i="1"/>
  <c r="E1466" i="1"/>
  <c r="E1069" i="1"/>
  <c r="E1956" i="1"/>
  <c r="E1844" i="1"/>
  <c r="E1697" i="1"/>
  <c r="E197" i="1"/>
  <c r="E1110" i="1"/>
  <c r="E103" i="1"/>
  <c r="E1545" i="1"/>
  <c r="E1188" i="1"/>
  <c r="E1732" i="1"/>
  <c r="E1985" i="1"/>
  <c r="E1877" i="1"/>
  <c r="E1741" i="1"/>
  <c r="E2014" i="1"/>
  <c r="E689" i="1"/>
  <c r="E1705" i="1"/>
  <c r="E45" i="1"/>
  <c r="E207" i="1"/>
  <c r="E513" i="1"/>
  <c r="E1951" i="1"/>
  <c r="E1432" i="1"/>
  <c r="E898" i="1"/>
  <c r="E1441" i="1"/>
  <c r="E1138" i="1"/>
  <c r="E1650" i="1"/>
  <c r="E1219" i="1"/>
  <c r="E1084" i="1"/>
  <c r="E1596" i="1"/>
  <c r="E1253" i="1"/>
  <c r="E960" i="1"/>
  <c r="E1486" i="1"/>
  <c r="E163" i="1"/>
  <c r="E325" i="1"/>
  <c r="E487" i="1"/>
  <c r="E226" i="1"/>
  <c r="E984" i="1"/>
  <c r="E468" i="1"/>
  <c r="E630" i="1"/>
  <c r="E65" i="1"/>
  <c r="E1607" i="1"/>
  <c r="E1320" i="1"/>
  <c r="E1832" i="1"/>
  <c r="E1329" i="1"/>
  <c r="E1026" i="1"/>
  <c r="E1538" i="1"/>
  <c r="E1107" i="1"/>
  <c r="E958" i="1"/>
  <c r="E1484" i="1"/>
  <c r="E1141" i="1"/>
  <c r="E1653" i="1"/>
  <c r="E1374" i="1"/>
  <c r="E1721" i="1"/>
  <c r="E748" i="1"/>
  <c r="E39" i="1"/>
  <c r="E345" i="1"/>
  <c r="E1847" i="1"/>
  <c r="E1392" i="1"/>
  <c r="E785" i="1"/>
  <c r="E1401" i="1"/>
  <c r="E1098" i="1"/>
  <c r="E1610" i="1"/>
  <c r="E1179" i="1"/>
  <c r="E1044" i="1"/>
  <c r="E1556" i="1"/>
  <c r="E1213" i="1"/>
  <c r="E906" i="1"/>
  <c r="E1446" i="1"/>
  <c r="E1830" i="1"/>
  <c r="E173" i="1"/>
  <c r="E335" i="1"/>
  <c r="E74" i="1"/>
  <c r="E872" i="1"/>
  <c r="E1464" i="1"/>
  <c r="E943" i="1"/>
  <c r="E1473" i="1"/>
  <c r="E1170" i="1"/>
  <c r="E1682" i="1"/>
  <c r="E1251" i="1"/>
  <c r="E1116" i="1"/>
  <c r="E1628" i="1"/>
  <c r="E1285" i="1"/>
  <c r="E1002" i="1"/>
  <c r="E1515" i="1"/>
  <c r="E291" i="1"/>
  <c r="E1097" i="1"/>
  <c r="E1387" i="1"/>
  <c r="E1142" i="1"/>
  <c r="E1853" i="1"/>
  <c r="E1710" i="1"/>
  <c r="E1988" i="1"/>
  <c r="E1890" i="1"/>
  <c r="E1691" i="1"/>
  <c r="E1990" i="1"/>
  <c r="E610" i="1"/>
  <c r="E1082" i="1"/>
  <c r="E1540" i="1"/>
  <c r="E1810" i="1"/>
  <c r="E1693" i="1"/>
  <c r="E1978" i="1"/>
  <c r="E1869" i="1"/>
  <c r="E2008" i="1"/>
  <c r="E1901" i="1"/>
  <c r="E1152" i="1"/>
  <c r="E1370" i="1"/>
  <c r="E959" i="1"/>
  <c r="E1929" i="1"/>
  <c r="E1812" i="1"/>
  <c r="E1630" i="1"/>
  <c r="E1953" i="1"/>
  <c r="E1938" i="1"/>
  <c r="E1942" i="1"/>
  <c r="E1603" i="1"/>
  <c r="E1440" i="1"/>
  <c r="E1658" i="1"/>
  <c r="E736" i="1"/>
  <c r="E888" i="1"/>
  <c r="E1380" i="1"/>
  <c r="E1982" i="1"/>
  <c r="E1558" i="1"/>
  <c r="E1932" i="1"/>
  <c r="E1817" i="1"/>
  <c r="E1804" i="1"/>
  <c r="E1274" i="1"/>
  <c r="E1534" i="1"/>
  <c r="E1504" i="1"/>
  <c r="E1722" i="1"/>
  <c r="E1325" i="1"/>
  <c r="E1523" i="1"/>
  <c r="E1922" i="1"/>
  <c r="E1888" i="1"/>
  <c r="E1312" i="1"/>
  <c r="E409" i="1"/>
  <c r="E98" i="1"/>
  <c r="E301" i="1"/>
  <c r="E463" i="1"/>
  <c r="E202" i="1"/>
  <c r="E974" i="1"/>
  <c r="E1496" i="1"/>
  <c r="E985" i="1"/>
  <c r="E1505" i="1"/>
  <c r="E1202" i="1"/>
  <c r="E1714" i="1"/>
  <c r="E1283" i="1"/>
  <c r="E1148" i="1"/>
  <c r="E1660" i="1"/>
  <c r="E1317" i="1"/>
  <c r="E1038" i="1"/>
  <c r="E1643" i="1"/>
  <c r="E419" i="1"/>
  <c r="E581" i="1"/>
  <c r="E743" i="1"/>
  <c r="E482" i="1"/>
  <c r="E1056" i="1"/>
  <c r="E724" i="1"/>
  <c r="E15" i="1"/>
  <c r="E321" i="1"/>
  <c r="E1823" i="1"/>
  <c r="E1384" i="1"/>
  <c r="E721" i="1"/>
  <c r="E1393" i="1"/>
  <c r="E1090" i="1"/>
  <c r="E1602" i="1"/>
  <c r="E1171" i="1"/>
  <c r="E1036" i="1"/>
  <c r="E1548" i="1"/>
  <c r="E1205" i="1"/>
  <c r="E894" i="1"/>
  <c r="E1438" i="1"/>
  <c r="E1820" i="1"/>
  <c r="E133" i="1"/>
  <c r="E295" i="1"/>
  <c r="E34" i="1"/>
  <c r="E777" i="1"/>
  <c r="E1456" i="1"/>
  <c r="E932" i="1"/>
  <c r="E1465" i="1"/>
  <c r="E1162" i="1"/>
  <c r="E1674" i="1"/>
  <c r="E1243" i="1"/>
  <c r="E1108" i="1"/>
  <c r="E1620" i="1"/>
  <c r="E1277" i="1"/>
  <c r="E992" i="1"/>
  <c r="E1510" i="1"/>
  <c r="E267" i="1"/>
  <c r="E429" i="1"/>
  <c r="E591" i="1"/>
  <c r="E330" i="1"/>
  <c r="E1016" i="1"/>
  <c r="E1528" i="1"/>
  <c r="E1025" i="1"/>
  <c r="E1537" i="1"/>
  <c r="E1234" i="1"/>
  <c r="E1746" i="1"/>
  <c r="E1315" i="1"/>
  <c r="E1180" i="1"/>
  <c r="E1692" i="1"/>
  <c r="E1349" i="1"/>
  <c r="E1070" i="1"/>
  <c r="E1718" i="1"/>
  <c r="E453" i="1"/>
  <c r="E1353" i="1"/>
  <c r="E990" i="1"/>
  <c r="E1398" i="1"/>
  <c r="E1930" i="1"/>
  <c r="E1813" i="1"/>
  <c r="E1635" i="1"/>
  <c r="E1963" i="1"/>
  <c r="E1526" i="1"/>
  <c r="E1748" i="1"/>
  <c r="E1088" i="1"/>
  <c r="E1338" i="1"/>
  <c r="E916" i="1"/>
  <c r="E1920" i="1"/>
  <c r="E1801" i="1"/>
  <c r="E1598" i="1"/>
  <c r="E1944" i="1"/>
  <c r="E1884" i="1"/>
  <c r="E1940" i="1"/>
  <c r="E1408" i="1"/>
  <c r="E1626" i="1"/>
  <c r="E1229" i="1"/>
  <c r="E2000" i="1"/>
  <c r="E1894" i="1"/>
  <c r="E1765" i="1"/>
  <c r="E1542" i="1"/>
  <c r="E1798" i="1"/>
  <c r="E1699" i="1"/>
  <c r="E1925" i="1"/>
  <c r="E1696" i="1"/>
  <c r="E956" i="1"/>
  <c r="E1439" i="1"/>
  <c r="E1178" i="1"/>
  <c r="E1636" i="1"/>
  <c r="E1874" i="1"/>
  <c r="E1737" i="1"/>
  <c r="E2003" i="1"/>
  <c r="E1898" i="1"/>
  <c r="E1729" i="1"/>
  <c r="E1099" i="1"/>
  <c r="E1755" i="1"/>
  <c r="E1760" i="1"/>
  <c r="E1035" i="1"/>
  <c r="E1581" i="1"/>
  <c r="E1723" i="1"/>
  <c r="E1994" i="1"/>
  <c r="E1961" i="1"/>
  <c r="E1824" i="1"/>
  <c r="E1921" i="1"/>
  <c r="E1887" i="1"/>
  <c r="E1242" i="1"/>
  <c r="E1700" i="1"/>
  <c r="E1892" i="1"/>
  <c r="E1763" i="1"/>
  <c r="E2019" i="1"/>
  <c r="E1916" i="1"/>
  <c r="E897" i="1"/>
  <c r="E1782" i="1"/>
  <c r="E976" i="1"/>
  <c r="E557" i="1"/>
  <c r="E719" i="1"/>
  <c r="E458" i="1"/>
  <c r="E1048" i="1"/>
  <c r="E1560" i="1"/>
  <c r="E1057" i="1"/>
  <c r="E1569" i="1"/>
  <c r="E1266" i="1"/>
  <c r="E1778" i="1"/>
  <c r="E1347" i="1"/>
  <c r="E1212" i="1"/>
  <c r="E625" i="1"/>
  <c r="E1381" i="1"/>
  <c r="E1102" i="1"/>
  <c r="E1771" i="1"/>
  <c r="E675" i="1"/>
  <c r="E837" i="1"/>
  <c r="E96" i="1"/>
  <c r="E738" i="1"/>
  <c r="E1120" i="1"/>
  <c r="E109" i="1"/>
  <c r="E271" i="1"/>
  <c r="E10" i="1"/>
  <c r="E585" i="1"/>
  <c r="E1448" i="1"/>
  <c r="E921" i="1"/>
  <c r="E1457" i="1"/>
  <c r="E1154" i="1"/>
  <c r="E1666" i="1"/>
  <c r="E1235" i="1"/>
  <c r="E1100" i="1"/>
  <c r="E1612" i="1"/>
  <c r="E1269" i="1"/>
  <c r="E982" i="1"/>
  <c r="E1502" i="1"/>
  <c r="E227" i="1"/>
  <c r="E389" i="1"/>
  <c r="E551" i="1"/>
  <c r="E290" i="1"/>
  <c r="E1006" i="1"/>
  <c r="E1520" i="1"/>
  <c r="E1017" i="1"/>
  <c r="E1529" i="1"/>
  <c r="E1226" i="1"/>
  <c r="E1738" i="1"/>
  <c r="E1307" i="1"/>
  <c r="E1172" i="1"/>
  <c r="E1684" i="1"/>
  <c r="E1341" i="1"/>
  <c r="E1062" i="1"/>
  <c r="E1702" i="1"/>
  <c r="E523" i="1"/>
  <c r="E685" i="1"/>
  <c r="E847" i="1"/>
  <c r="E586" i="1"/>
  <c r="E1080" i="1"/>
  <c r="E1592" i="1"/>
  <c r="E1089" i="1"/>
  <c r="E1601" i="1"/>
  <c r="E1298" i="1"/>
  <c r="E609" i="1"/>
  <c r="E1379" i="1"/>
  <c r="E1244" i="1"/>
  <c r="E841" i="1"/>
  <c r="E1413" i="1"/>
  <c r="E1134" i="1"/>
  <c r="E1819" i="1"/>
  <c r="E615" i="1"/>
  <c r="E1609" i="1"/>
  <c r="E1252" i="1"/>
  <c r="E1829" i="1"/>
  <c r="E2001" i="1"/>
  <c r="E1896" i="1"/>
  <c r="E1766" i="1"/>
  <c r="E1818" i="1"/>
  <c r="E1904" i="1"/>
  <c r="E1694" i="1"/>
  <c r="E1376" i="1"/>
  <c r="E1594" i="1"/>
  <c r="E1197" i="1"/>
  <c r="E1992" i="1"/>
  <c r="E1885" i="1"/>
  <c r="E1753" i="1"/>
  <c r="E2013" i="1"/>
  <c r="E1822" i="1"/>
  <c r="E1726" i="1"/>
  <c r="E1664" i="1"/>
  <c r="E913" i="1"/>
  <c r="E1485" i="1"/>
  <c r="E1675" i="1"/>
  <c r="E1968" i="1"/>
  <c r="E1858" i="1"/>
  <c r="E1731" i="1"/>
  <c r="E1957" i="1"/>
  <c r="E1962" i="1"/>
  <c r="E1881" i="1"/>
  <c r="E911" i="1"/>
  <c r="E1227" i="1"/>
  <c r="E1216" i="1"/>
  <c r="E1434" i="1"/>
  <c r="E1037" i="1"/>
  <c r="E1947" i="1"/>
  <c r="E1834" i="1"/>
  <c r="E1681" i="1"/>
  <c r="E1971" i="1"/>
  <c r="E1907" i="1"/>
  <c r="E1476" i="1"/>
  <c r="E1954" i="1"/>
  <c r="E996" i="1"/>
  <c r="E1291" i="1"/>
  <c r="E1046" i="1"/>
  <c r="E1821" i="1"/>
  <c r="E1659" i="1"/>
  <c r="E1539" i="1"/>
  <c r="E1577" i="1"/>
  <c r="E1774" i="1"/>
  <c r="E1280" i="1"/>
  <c r="E1498" i="1"/>
  <c r="E1101" i="1"/>
  <c r="E1965" i="1"/>
  <c r="E1854" i="1"/>
  <c r="E1713" i="1"/>
  <c r="E1989" i="1"/>
  <c r="E1568" i="1"/>
  <c r="E1843" i="1"/>
  <c r="E1622" i="1"/>
  <c r="E1645" i="1"/>
  <c r="E813" i="1"/>
  <c r="E72" i="1"/>
  <c r="E714" i="1"/>
  <c r="E1112" i="1"/>
  <c r="E1624" i="1"/>
  <c r="E1121" i="1"/>
  <c r="E1633" i="1"/>
  <c r="E1330" i="1"/>
  <c r="E833" i="1"/>
  <c r="E1411" i="1"/>
  <c r="E1276" i="1"/>
  <c r="E905" i="1"/>
  <c r="E1445" i="1"/>
  <c r="E1166" i="1"/>
  <c r="E1861" i="1"/>
  <c r="E931" i="1"/>
  <c r="E78" i="1"/>
  <c r="E352" i="1"/>
  <c r="E1055" i="1"/>
  <c r="E203" i="1"/>
  <c r="E365" i="1"/>
  <c r="E527" i="1"/>
  <c r="E266" i="1"/>
  <c r="E994" i="1"/>
  <c r="E1512" i="1"/>
  <c r="E1007" i="1"/>
  <c r="E1521" i="1"/>
  <c r="E1218" i="1"/>
  <c r="E1730" i="1"/>
  <c r="E1299" i="1"/>
  <c r="E1164" i="1"/>
  <c r="E1676" i="1"/>
  <c r="E1333" i="1"/>
  <c r="E1054" i="1"/>
  <c r="E1686" i="1"/>
  <c r="E483" i="1"/>
  <c r="E645" i="1"/>
  <c r="E807" i="1"/>
  <c r="E546" i="1"/>
  <c r="E1072" i="1"/>
  <c r="E1584" i="1"/>
  <c r="E1081" i="1"/>
  <c r="E1593" i="1"/>
  <c r="E1290" i="1"/>
  <c r="E1802" i="1"/>
  <c r="E1371" i="1"/>
  <c r="E1236" i="1"/>
  <c r="E809" i="1"/>
  <c r="E1405" i="1"/>
  <c r="E1126" i="1"/>
  <c r="E1809" i="1"/>
  <c r="E779" i="1"/>
  <c r="E941" i="1"/>
  <c r="E200" i="1"/>
  <c r="E848" i="1"/>
  <c r="E1144" i="1"/>
  <c r="E1656" i="1"/>
  <c r="E1153" i="1"/>
  <c r="E1665" i="1"/>
  <c r="E1362" i="1"/>
  <c r="E902" i="1"/>
  <c r="E1443" i="1"/>
  <c r="E1308" i="1"/>
  <c r="E948" i="1"/>
  <c r="E1477" i="1"/>
  <c r="E1198" i="1"/>
  <c r="E1900" i="1"/>
  <c r="E354" i="1"/>
  <c r="E1050" i="1"/>
  <c r="E1508" i="1"/>
  <c r="E1758" i="1"/>
  <c r="E1677" i="1"/>
  <c r="E1969" i="1"/>
  <c r="E1859" i="1"/>
  <c r="E1972" i="1"/>
  <c r="E1750" i="1"/>
  <c r="E1826" i="1"/>
  <c r="E1632" i="1"/>
  <c r="E857" i="1"/>
  <c r="E1453" i="1"/>
  <c r="E1651" i="1"/>
  <c r="E1958" i="1"/>
  <c r="E1846" i="1"/>
  <c r="E1717" i="1"/>
  <c r="E1595" i="1"/>
  <c r="E1685" i="1"/>
  <c r="E850" i="1"/>
  <c r="E1195" i="1"/>
  <c r="E928" i="1"/>
  <c r="E1787" i="1"/>
  <c r="E1563" i="1"/>
  <c r="E1933" i="1"/>
  <c r="E1828" i="1"/>
  <c r="E1724" i="1"/>
  <c r="E1838" i="1"/>
  <c r="E44" i="1"/>
  <c r="E1193" i="1"/>
  <c r="E1483" i="1"/>
  <c r="E1472" i="1"/>
  <c r="E1690" i="1"/>
  <c r="E1293" i="1"/>
  <c r="E2016" i="1"/>
  <c r="E1913" i="1"/>
  <c r="E1790" i="1"/>
  <c r="E1606" i="1"/>
  <c r="E1638" i="1"/>
  <c r="E1389" i="1"/>
  <c r="E556" i="1"/>
  <c r="E1257" i="1"/>
  <c r="E834" i="1"/>
  <c r="E1302" i="1"/>
  <c r="E1902" i="1"/>
  <c r="E1777" i="1"/>
  <c r="E1827" i="1"/>
  <c r="E1530" i="1"/>
  <c r="E1886" i="1"/>
  <c r="E1536" i="1"/>
  <c r="E1754" i="1"/>
  <c r="E1357" i="1"/>
  <c r="E1555" i="1"/>
  <c r="E1931" i="1"/>
  <c r="E1814" i="1"/>
  <c r="E1667" i="1"/>
  <c r="E1321" i="1"/>
  <c r="E1654" i="1"/>
  <c r="E1614" i="1"/>
  <c r="E54" i="1"/>
  <c r="E328" i="1"/>
  <c r="E1031" i="1"/>
  <c r="E1176" i="1"/>
  <c r="E1688" i="1"/>
  <c r="E1185" i="1"/>
  <c r="E729" i="1"/>
  <c r="E1394" i="1"/>
  <c r="E945" i="1"/>
  <c r="E1475" i="1"/>
  <c r="E1340" i="1"/>
  <c r="E991" i="1"/>
  <c r="E1509" i="1"/>
  <c r="E1230" i="1"/>
  <c r="E1937" i="1"/>
  <c r="E172" i="1"/>
  <c r="E334" i="1"/>
  <c r="E608" i="1"/>
  <c r="E1311" i="1"/>
  <c r="E459" i="1"/>
  <c r="E621" i="1"/>
  <c r="E783" i="1"/>
  <c r="E522" i="1"/>
  <c r="E1064" i="1"/>
  <c r="E1576" i="1"/>
  <c r="E1073" i="1"/>
  <c r="E1585" i="1"/>
  <c r="E1282" i="1"/>
  <c r="E1794" i="1"/>
  <c r="E1363" i="1"/>
  <c r="E1228" i="1"/>
  <c r="E753" i="1"/>
  <c r="E1397" i="1"/>
  <c r="E1118" i="1"/>
  <c r="E1796" i="1"/>
  <c r="E739" i="1"/>
  <c r="E901" i="1"/>
  <c r="E160" i="1"/>
  <c r="E577" i="1"/>
  <c r="E1136" i="1"/>
  <c r="E1648" i="1"/>
  <c r="E1145" i="1"/>
  <c r="E1657" i="1"/>
  <c r="E1354" i="1"/>
  <c r="E889" i="1"/>
  <c r="E1435" i="1"/>
  <c r="E1300" i="1"/>
  <c r="E937" i="1"/>
  <c r="E1469" i="1"/>
  <c r="E1190" i="1"/>
  <c r="E1891" i="1"/>
  <c r="E20" i="1"/>
  <c r="E182" i="1"/>
  <c r="E456" i="1"/>
  <c r="E1159" i="1"/>
  <c r="E1208" i="1"/>
  <c r="E1720" i="1"/>
  <c r="E1217" i="1"/>
  <c r="E874" i="1"/>
  <c r="E1426" i="1"/>
  <c r="E988" i="1"/>
  <c r="E1507" i="1"/>
  <c r="E1372" i="1"/>
  <c r="E1029" i="1"/>
  <c r="E1541" i="1"/>
  <c r="E1262" i="1"/>
  <c r="E1973" i="1"/>
  <c r="E1024" i="1"/>
  <c r="E1306" i="1"/>
  <c r="E864" i="1"/>
  <c r="E1910" i="1"/>
  <c r="E1788" i="1"/>
  <c r="E1566" i="1"/>
  <c r="E1934" i="1"/>
  <c r="E1981" i="1"/>
  <c r="E1661" i="1"/>
  <c r="E1849" i="1"/>
  <c r="E657" i="1"/>
  <c r="E1163" i="1"/>
  <c r="E881" i="1"/>
  <c r="E1773" i="1"/>
  <c r="E1531" i="1"/>
  <c r="E1924" i="1"/>
  <c r="E1899" i="1"/>
  <c r="E1995" i="1"/>
  <c r="E803" i="1"/>
  <c r="E1161" i="1"/>
  <c r="E1451" i="1"/>
  <c r="E1206" i="1"/>
  <c r="E1875" i="1"/>
  <c r="E1739" i="1"/>
  <c r="E2004" i="1"/>
  <c r="E1908" i="1"/>
  <c r="E1977" i="1"/>
  <c r="E1917" i="1"/>
  <c r="E206" i="1"/>
  <c r="E1449" i="1"/>
  <c r="E1092" i="1"/>
  <c r="E1728" i="1"/>
  <c r="E999" i="1"/>
  <c r="E1549" i="1"/>
  <c r="E1707" i="1"/>
  <c r="E1986" i="1"/>
  <c r="E1878" i="1"/>
  <c r="E1756" i="1"/>
  <c r="E1860" i="1"/>
  <c r="E1366" i="1"/>
  <c r="E718" i="1"/>
  <c r="E1513" i="1"/>
  <c r="E1156" i="1"/>
  <c r="E1669" i="1"/>
  <c r="E1976" i="1"/>
  <c r="E1867" i="1"/>
  <c r="E1980" i="1"/>
  <c r="E1355" i="1"/>
  <c r="E1979" i="1"/>
  <c r="E1792" i="1"/>
  <c r="E1067" i="1"/>
  <c r="E1613" i="1"/>
  <c r="E1734" i="1"/>
  <c r="E2002" i="1"/>
  <c r="E1897" i="1"/>
  <c r="E1781" i="1"/>
  <c r="E1018" i="1"/>
  <c r="E1803" i="1"/>
  <c r="E1950" i="1"/>
  <c r="E2" i="1"/>
  <c r="AB2020" i="1" l="1"/>
  <c r="AB2019" i="1"/>
  <c r="AB2018" i="1"/>
  <c r="AB2017" i="1"/>
  <c r="AB2016" i="1"/>
  <c r="AB2015" i="1"/>
  <c r="AB2014" i="1"/>
  <c r="AB2013" i="1"/>
  <c r="AB2012" i="1"/>
  <c r="AB2011" i="1"/>
  <c r="AB2010" i="1"/>
  <c r="AB2009" i="1"/>
  <c r="AB2008" i="1"/>
  <c r="AB2007" i="1"/>
  <c r="AB2006" i="1"/>
  <c r="AB2005" i="1"/>
  <c r="AB2004" i="1"/>
  <c r="AB2003" i="1"/>
  <c r="AB2002" i="1"/>
  <c r="AB2001" i="1"/>
  <c r="AB2000" i="1"/>
  <c r="AB1999" i="1"/>
  <c r="AB1998" i="1"/>
  <c r="AB1997" i="1"/>
  <c r="AB1996" i="1"/>
  <c r="AB1995" i="1"/>
  <c r="AB1994" i="1"/>
  <c r="AB1993" i="1"/>
  <c r="AB1992" i="1"/>
  <c r="AB1991" i="1"/>
  <c r="AB1990" i="1"/>
  <c r="AB1989" i="1"/>
  <c r="AB1988" i="1"/>
  <c r="AB1987" i="1"/>
  <c r="AB1986" i="1"/>
  <c r="AB1985" i="1"/>
  <c r="AB1984" i="1"/>
  <c r="AB1983" i="1"/>
  <c r="AB1982" i="1"/>
  <c r="AB1981" i="1"/>
  <c r="AB1980" i="1"/>
  <c r="AB1979" i="1"/>
  <c r="AB1978" i="1"/>
  <c r="AB1977" i="1"/>
  <c r="AB1976" i="1"/>
  <c r="AB1975" i="1"/>
  <c r="AB1974" i="1"/>
  <c r="AB1973" i="1"/>
  <c r="AB1972" i="1"/>
  <c r="AB1971" i="1"/>
  <c r="AB1970" i="1"/>
  <c r="AB1969" i="1"/>
  <c r="AB1968" i="1"/>
  <c r="AB1967" i="1"/>
  <c r="AB1966" i="1"/>
  <c r="AB1965" i="1"/>
  <c r="AB1964" i="1"/>
  <c r="AB1963" i="1"/>
  <c r="AB1962" i="1"/>
  <c r="AB1961" i="1"/>
  <c r="AB1960" i="1"/>
  <c r="AB1959" i="1"/>
  <c r="AB1958" i="1"/>
  <c r="AB1957" i="1"/>
  <c r="AB1956" i="1"/>
  <c r="AB1955" i="1"/>
  <c r="AB1954" i="1"/>
  <c r="AB1953" i="1"/>
  <c r="AB1952" i="1"/>
  <c r="AB1951" i="1"/>
  <c r="AB1950" i="1"/>
  <c r="AB1949" i="1"/>
  <c r="AB1948" i="1"/>
  <c r="AB1947" i="1"/>
  <c r="AB1946" i="1"/>
  <c r="AB1945" i="1"/>
  <c r="AB1944" i="1"/>
  <c r="AB1943" i="1"/>
  <c r="AB1942" i="1"/>
  <c r="AB1941" i="1"/>
  <c r="AB1940" i="1"/>
  <c r="AB1939" i="1"/>
  <c r="AB1938" i="1"/>
  <c r="AB1937" i="1"/>
  <c r="AB1936" i="1"/>
  <c r="AB1935" i="1"/>
  <c r="AB1934" i="1"/>
  <c r="AB1933" i="1"/>
  <c r="AB1932" i="1"/>
  <c r="AB1931" i="1"/>
  <c r="AB1930" i="1"/>
  <c r="AB1929" i="1"/>
  <c r="AB1928" i="1"/>
  <c r="AB1927" i="1"/>
  <c r="AB1926" i="1"/>
  <c r="AB1925" i="1"/>
  <c r="AB1924" i="1"/>
  <c r="AB1923" i="1"/>
  <c r="AB1922" i="1"/>
  <c r="AB1921" i="1"/>
  <c r="AB1920" i="1"/>
  <c r="AB1919" i="1"/>
  <c r="AB1918" i="1"/>
  <c r="AB1917" i="1"/>
  <c r="AB1916" i="1"/>
  <c r="AB1915" i="1"/>
  <c r="AB1914" i="1"/>
  <c r="AB1913" i="1"/>
  <c r="AB1912" i="1"/>
  <c r="AB1911" i="1"/>
  <c r="AB1910" i="1"/>
  <c r="AB1909" i="1"/>
  <c r="AB1908" i="1"/>
  <c r="AB1907" i="1"/>
  <c r="AB1906" i="1"/>
  <c r="AB1905" i="1"/>
  <c r="AB1904" i="1"/>
  <c r="AB1903" i="1"/>
  <c r="AB1902" i="1"/>
  <c r="AB1901" i="1"/>
  <c r="AB1900" i="1"/>
  <c r="AB1899" i="1"/>
  <c r="AB1898" i="1"/>
  <c r="AB1897" i="1"/>
  <c r="AB1896" i="1"/>
  <c r="AB1895" i="1"/>
  <c r="AB1894" i="1"/>
  <c r="AB1893" i="1"/>
  <c r="AB1892" i="1"/>
  <c r="AB1891" i="1"/>
  <c r="AB1890" i="1"/>
  <c r="AB1889" i="1"/>
  <c r="AB1888" i="1"/>
  <c r="AB1887" i="1"/>
  <c r="AB1886" i="1"/>
  <c r="AB1885" i="1"/>
  <c r="AB1884" i="1"/>
  <c r="AB1883" i="1"/>
  <c r="AB1882" i="1"/>
  <c r="AB1881" i="1"/>
  <c r="AB1880" i="1"/>
  <c r="AB1879" i="1"/>
  <c r="AB1878" i="1"/>
  <c r="AB1877" i="1"/>
  <c r="AB1876" i="1"/>
  <c r="AB1875" i="1"/>
  <c r="AB1874" i="1"/>
  <c r="AB1873" i="1"/>
  <c r="AB1872" i="1"/>
  <c r="AB1871" i="1"/>
  <c r="AB1870" i="1"/>
  <c r="AB1869" i="1"/>
  <c r="AB1868" i="1"/>
  <c r="AB1867" i="1"/>
  <c r="AB1866" i="1"/>
  <c r="AB1865" i="1"/>
  <c r="AB1864" i="1"/>
  <c r="AB1863" i="1"/>
  <c r="AB1862" i="1"/>
  <c r="AB1861" i="1"/>
  <c r="AB1860" i="1"/>
  <c r="AB1859" i="1"/>
  <c r="AB1858" i="1"/>
  <c r="AB1857" i="1"/>
  <c r="AB1856" i="1"/>
  <c r="AB1855" i="1"/>
  <c r="AB1854" i="1"/>
  <c r="AB1853" i="1"/>
  <c r="AB1852" i="1"/>
  <c r="AB1851" i="1"/>
  <c r="AB1850" i="1"/>
  <c r="AB1849" i="1"/>
  <c r="AB1848" i="1"/>
  <c r="AB1847" i="1"/>
  <c r="AB1846" i="1"/>
  <c r="AB1845" i="1"/>
  <c r="AB1844" i="1"/>
  <c r="AB1843" i="1"/>
  <c r="AB1842" i="1"/>
  <c r="AB1841" i="1"/>
  <c r="AB1840" i="1"/>
  <c r="AB1839" i="1"/>
  <c r="AB1838" i="1"/>
  <c r="AB1837" i="1"/>
  <c r="AB1836" i="1"/>
  <c r="AB1835" i="1"/>
  <c r="AB1834" i="1"/>
  <c r="AB1833" i="1"/>
  <c r="AB1832" i="1"/>
  <c r="AB1831" i="1"/>
  <c r="AB1830" i="1"/>
  <c r="AB1829" i="1"/>
  <c r="AB1828" i="1"/>
  <c r="AB1827" i="1"/>
  <c r="AB1826" i="1"/>
  <c r="AB1825" i="1"/>
  <c r="AB1824" i="1"/>
  <c r="AB1823" i="1"/>
  <c r="AB1822" i="1"/>
  <c r="AB1821" i="1"/>
  <c r="AB1820" i="1"/>
  <c r="AB1819" i="1"/>
  <c r="AB1818" i="1"/>
  <c r="AB1817" i="1"/>
  <c r="AB1816" i="1"/>
  <c r="AB1815" i="1"/>
  <c r="AB1814" i="1"/>
  <c r="AB1813" i="1"/>
  <c r="AB1812" i="1"/>
  <c r="AB1811" i="1"/>
  <c r="AB1810" i="1"/>
  <c r="AB1809" i="1"/>
  <c r="AB1808" i="1"/>
  <c r="AB1807" i="1"/>
  <c r="AB1806" i="1"/>
  <c r="AB1805" i="1"/>
  <c r="AB1804" i="1"/>
  <c r="AB1803" i="1"/>
  <c r="AB1802" i="1"/>
  <c r="AB1801" i="1"/>
  <c r="AB1800" i="1"/>
  <c r="AB1799" i="1"/>
  <c r="AB1798" i="1"/>
  <c r="AB1797" i="1"/>
  <c r="AB1796" i="1"/>
  <c r="AB1795" i="1"/>
  <c r="AB1794" i="1"/>
  <c r="AB1793" i="1"/>
  <c r="AB1792" i="1"/>
  <c r="AB1791" i="1"/>
  <c r="AB1790" i="1"/>
  <c r="AB1789" i="1"/>
  <c r="AB1788" i="1"/>
  <c r="AB1787" i="1"/>
  <c r="AB1786" i="1"/>
  <c r="AB1785" i="1"/>
  <c r="AB1784" i="1"/>
  <c r="AB1783" i="1"/>
  <c r="AB1782" i="1"/>
  <c r="AB1781" i="1"/>
  <c r="AB1780" i="1"/>
  <c r="AB1779" i="1"/>
  <c r="AB1778" i="1"/>
  <c r="AB1777" i="1"/>
  <c r="AB1776" i="1"/>
  <c r="AB1775" i="1"/>
  <c r="AB1774" i="1"/>
  <c r="AB1773" i="1"/>
  <c r="AB1772" i="1"/>
  <c r="AB1771" i="1"/>
  <c r="AB1770" i="1"/>
  <c r="AB1769" i="1"/>
  <c r="AB1768" i="1"/>
  <c r="AB1767" i="1"/>
  <c r="AB1766" i="1"/>
  <c r="AB1765" i="1"/>
  <c r="AB1764" i="1"/>
  <c r="AB1763" i="1"/>
  <c r="AB1762" i="1"/>
  <c r="AB1761" i="1"/>
  <c r="AB1760" i="1"/>
  <c r="AB1759" i="1"/>
  <c r="AB1758" i="1"/>
  <c r="AB1757" i="1"/>
  <c r="AB1756" i="1"/>
  <c r="AB1755" i="1"/>
  <c r="AB1754" i="1"/>
  <c r="AB1753" i="1"/>
  <c r="AB1752" i="1"/>
  <c r="AB1751" i="1"/>
  <c r="AB1750" i="1"/>
  <c r="AB1749" i="1"/>
  <c r="AB1748" i="1"/>
  <c r="AB1747" i="1"/>
  <c r="AB1746" i="1"/>
  <c r="AB1745" i="1"/>
  <c r="AB1744" i="1"/>
  <c r="AB1743" i="1"/>
  <c r="AB1742" i="1"/>
  <c r="AB1741" i="1"/>
  <c r="AB1740" i="1"/>
  <c r="AB1739" i="1"/>
  <c r="AB1738" i="1"/>
  <c r="AB1737" i="1"/>
  <c r="AB1736" i="1"/>
  <c r="AB1735" i="1"/>
  <c r="AB1734" i="1"/>
  <c r="AB1733" i="1"/>
  <c r="AB1732" i="1"/>
  <c r="AB1731" i="1"/>
  <c r="AB1730" i="1"/>
  <c r="AB1729" i="1"/>
  <c r="AB1728" i="1"/>
  <c r="AB1727" i="1"/>
  <c r="AB1726" i="1"/>
  <c r="AB1725" i="1"/>
  <c r="AB1724" i="1"/>
  <c r="AB1723" i="1"/>
  <c r="AB1722" i="1"/>
  <c r="AB1721" i="1"/>
  <c r="AB1720" i="1"/>
  <c r="AB1719" i="1"/>
  <c r="AB1718" i="1"/>
  <c r="AB1717" i="1"/>
  <c r="AB1716" i="1"/>
  <c r="AB1715" i="1"/>
  <c r="AB1714" i="1"/>
  <c r="AB1713" i="1"/>
  <c r="AB1712" i="1"/>
  <c r="AB1711" i="1"/>
  <c r="AB1710" i="1"/>
  <c r="AB1709" i="1"/>
  <c r="AB1708" i="1"/>
  <c r="AB1707" i="1"/>
  <c r="AB1706" i="1"/>
  <c r="AB1705" i="1"/>
  <c r="AB1704" i="1"/>
  <c r="AB1703" i="1"/>
  <c r="AB1702" i="1"/>
  <c r="AB1701" i="1"/>
  <c r="AB1700" i="1"/>
  <c r="AB1699" i="1"/>
  <c r="AB1698" i="1"/>
  <c r="AB1697" i="1"/>
  <c r="AB1696" i="1"/>
  <c r="AB1695" i="1"/>
  <c r="AB1694" i="1"/>
  <c r="AB1693" i="1"/>
  <c r="AB1692" i="1"/>
  <c r="AB1691" i="1"/>
  <c r="AB1690" i="1"/>
  <c r="AB1689" i="1"/>
  <c r="AB1688" i="1"/>
  <c r="AB1687" i="1"/>
  <c r="AB1686" i="1"/>
  <c r="AB1685" i="1"/>
  <c r="AB1684" i="1"/>
  <c r="AB1683" i="1"/>
  <c r="AB1682" i="1"/>
  <c r="AB1681" i="1"/>
  <c r="AB1680" i="1"/>
  <c r="AB1679" i="1"/>
  <c r="AB1678" i="1"/>
  <c r="AB1677" i="1"/>
  <c r="AB1676" i="1"/>
  <c r="AB1675" i="1"/>
  <c r="AB1674" i="1"/>
  <c r="AB1673" i="1"/>
  <c r="AB1672" i="1"/>
  <c r="AB1671" i="1"/>
  <c r="AB1670" i="1"/>
  <c r="AB1669" i="1"/>
  <c r="AB1668" i="1"/>
  <c r="AB1667" i="1"/>
  <c r="AB1666" i="1"/>
  <c r="AB1665" i="1"/>
  <c r="AB1664" i="1"/>
  <c r="AB1663" i="1"/>
  <c r="AB1662" i="1"/>
  <c r="AB1661" i="1"/>
  <c r="AB1660" i="1"/>
  <c r="AB1659" i="1"/>
  <c r="AB1658" i="1"/>
  <c r="AB1657" i="1"/>
  <c r="AB1656" i="1"/>
  <c r="AB1655" i="1"/>
  <c r="AB1654" i="1"/>
  <c r="AB1653" i="1"/>
  <c r="AB1652" i="1"/>
  <c r="AB1651" i="1"/>
  <c r="AB1650" i="1"/>
  <c r="AB1649" i="1"/>
  <c r="AB1648" i="1"/>
  <c r="AB1647" i="1"/>
  <c r="AB1646" i="1"/>
  <c r="AB1645" i="1"/>
  <c r="AB1644" i="1"/>
  <c r="AB1643" i="1"/>
  <c r="AB1642" i="1"/>
  <c r="AB1641" i="1"/>
  <c r="AB1640" i="1"/>
  <c r="AB1639" i="1"/>
  <c r="AB1638" i="1"/>
  <c r="AB1637" i="1"/>
  <c r="AB1636" i="1"/>
  <c r="AB1635" i="1"/>
  <c r="AB1634" i="1"/>
  <c r="AB1633" i="1"/>
  <c r="AB1632" i="1"/>
  <c r="AB1631" i="1"/>
  <c r="AB1630" i="1"/>
  <c r="AB1629" i="1"/>
  <c r="AB1628" i="1"/>
  <c r="AB1627" i="1"/>
  <c r="AB1626" i="1"/>
  <c r="AB1625" i="1"/>
  <c r="AB1624" i="1"/>
  <c r="AB1623" i="1"/>
  <c r="AB1622" i="1"/>
  <c r="AB1621" i="1"/>
  <c r="AB1620" i="1"/>
  <c r="AB1619" i="1"/>
  <c r="AB1618" i="1"/>
  <c r="AB1617" i="1"/>
  <c r="AB1616" i="1"/>
  <c r="AB1615" i="1"/>
  <c r="AB1614" i="1"/>
  <c r="AB1613" i="1"/>
  <c r="AB1612" i="1"/>
  <c r="AB1611" i="1"/>
  <c r="AB1610" i="1"/>
  <c r="AB1609" i="1"/>
  <c r="AB1608" i="1"/>
  <c r="AB1607" i="1"/>
  <c r="AB1606" i="1"/>
  <c r="AB1605" i="1"/>
  <c r="AB1604" i="1"/>
  <c r="AB1603" i="1"/>
  <c r="AB1602" i="1"/>
  <c r="AB1601" i="1"/>
  <c r="AB1600" i="1"/>
  <c r="AB1599" i="1"/>
  <c r="AB1598" i="1"/>
  <c r="AB1597" i="1"/>
  <c r="AB1596" i="1"/>
  <c r="AB1595" i="1"/>
  <c r="AB1594" i="1"/>
  <c r="AB1593" i="1"/>
  <c r="AB1592" i="1"/>
  <c r="AB1591" i="1"/>
  <c r="AB1590" i="1"/>
  <c r="AB1589" i="1"/>
  <c r="AB1588" i="1"/>
  <c r="AB1587" i="1"/>
  <c r="AB1586" i="1"/>
  <c r="AB1585" i="1"/>
  <c r="AB1584" i="1"/>
  <c r="AB1583" i="1"/>
  <c r="AB1582" i="1"/>
  <c r="AB1581" i="1"/>
  <c r="AB1580" i="1"/>
  <c r="AB1579" i="1"/>
  <c r="AB1578" i="1"/>
  <c r="AB1577" i="1"/>
  <c r="AB1576" i="1"/>
  <c r="AB1575" i="1"/>
  <c r="AB1574" i="1"/>
  <c r="AB1573" i="1"/>
  <c r="AB1572" i="1"/>
  <c r="AB1571" i="1"/>
  <c r="AB1570" i="1"/>
  <c r="AB1569" i="1"/>
  <c r="AB1568" i="1"/>
  <c r="AB1567" i="1"/>
  <c r="AB1566" i="1"/>
  <c r="AB1565" i="1"/>
  <c r="AB1564" i="1"/>
  <c r="AB1563" i="1"/>
  <c r="AB1562" i="1"/>
  <c r="AB1561" i="1"/>
  <c r="AB1560" i="1"/>
  <c r="AB1559" i="1"/>
  <c r="AB1558" i="1"/>
  <c r="AB1557" i="1"/>
  <c r="AB1556" i="1"/>
  <c r="AB1555" i="1"/>
  <c r="AB1554" i="1"/>
  <c r="AB1553" i="1"/>
  <c r="AB1552" i="1"/>
  <c r="AB1551" i="1"/>
  <c r="AB1550" i="1"/>
  <c r="AB1549" i="1"/>
  <c r="AB1548" i="1"/>
  <c r="AB1547" i="1"/>
  <c r="AB1546" i="1"/>
  <c r="AB1545" i="1"/>
  <c r="AB1544" i="1"/>
  <c r="AB1543" i="1"/>
  <c r="AB1542" i="1"/>
  <c r="AB1541" i="1"/>
  <c r="AB1540" i="1"/>
  <c r="AB1539" i="1"/>
  <c r="AB1538" i="1"/>
  <c r="AB1537" i="1"/>
  <c r="AB1536" i="1"/>
  <c r="AB1535" i="1"/>
  <c r="AB1534" i="1"/>
  <c r="AB1533" i="1"/>
  <c r="AB1532" i="1"/>
  <c r="AB1531" i="1"/>
  <c r="AB1530" i="1"/>
  <c r="AB1529" i="1"/>
  <c r="AB1528" i="1"/>
  <c r="AB1527" i="1"/>
  <c r="AB1526" i="1"/>
  <c r="AB1525" i="1"/>
  <c r="AB1524" i="1"/>
  <c r="AB1523" i="1"/>
  <c r="AB1522" i="1"/>
  <c r="AB1521" i="1"/>
  <c r="AB1520" i="1"/>
  <c r="AB1519" i="1"/>
  <c r="AB1518" i="1"/>
  <c r="AB1517" i="1"/>
  <c r="AB1516" i="1"/>
  <c r="AB1515" i="1"/>
  <c r="AB1514" i="1"/>
  <c r="AB1513" i="1"/>
  <c r="AB1512" i="1"/>
  <c r="AB1511" i="1"/>
  <c r="AB1510" i="1"/>
  <c r="AB1509" i="1"/>
  <c r="AB1508" i="1"/>
  <c r="AB1507" i="1"/>
  <c r="AB1506" i="1"/>
  <c r="AB1505" i="1"/>
  <c r="AB1504" i="1"/>
  <c r="AB1503" i="1"/>
  <c r="AB1502" i="1"/>
  <c r="AB1501" i="1"/>
  <c r="AB1500" i="1"/>
  <c r="AB1499" i="1"/>
  <c r="AB1498" i="1"/>
  <c r="AB1497" i="1"/>
  <c r="AB1496" i="1"/>
  <c r="AB1495" i="1"/>
  <c r="AB1494" i="1"/>
  <c r="AB1493" i="1"/>
  <c r="AB1492" i="1"/>
  <c r="AB1491" i="1"/>
  <c r="AB1490" i="1"/>
  <c r="AB1489" i="1"/>
  <c r="AB1488" i="1"/>
  <c r="AB1487" i="1"/>
  <c r="AB1486" i="1"/>
  <c r="AB1485" i="1"/>
  <c r="AB1484" i="1"/>
  <c r="AB1483" i="1"/>
  <c r="AB1482" i="1"/>
  <c r="AB1481" i="1"/>
  <c r="AB1480" i="1"/>
  <c r="AB1479" i="1"/>
  <c r="AB1478" i="1"/>
  <c r="AB1477" i="1"/>
  <c r="AB1476" i="1"/>
  <c r="AB1475" i="1"/>
  <c r="AB1474" i="1"/>
  <c r="AB1473" i="1"/>
  <c r="AB1472" i="1"/>
  <c r="AB1471" i="1"/>
  <c r="AB1470" i="1"/>
  <c r="AB1469" i="1"/>
  <c r="AB1468" i="1"/>
  <c r="AB1467" i="1"/>
  <c r="AB1466" i="1"/>
  <c r="AB1465" i="1"/>
  <c r="AB1464" i="1"/>
  <c r="AB1463" i="1"/>
  <c r="AB1462" i="1"/>
  <c r="AB1461" i="1"/>
  <c r="AB1460" i="1"/>
  <c r="AB1459" i="1"/>
  <c r="AB1458" i="1"/>
  <c r="AB1457" i="1"/>
  <c r="AB1456" i="1"/>
  <c r="AB1455" i="1"/>
  <c r="AB1454" i="1"/>
  <c r="AB1453" i="1"/>
  <c r="AB1452" i="1"/>
  <c r="AB1451" i="1"/>
  <c r="AB1450" i="1"/>
  <c r="AB1449" i="1"/>
  <c r="AB1448" i="1"/>
  <c r="AB1447" i="1"/>
  <c r="AB1446" i="1"/>
  <c r="AB1445" i="1"/>
  <c r="AB1444" i="1"/>
  <c r="AB1443" i="1"/>
  <c r="AB1442" i="1"/>
  <c r="AB1441" i="1"/>
  <c r="AB1440" i="1"/>
  <c r="AB1439" i="1"/>
  <c r="AB1438" i="1"/>
  <c r="AB1437" i="1"/>
  <c r="AB1436" i="1"/>
  <c r="AB1435" i="1"/>
  <c r="AB1434" i="1"/>
  <c r="AB1433" i="1"/>
  <c r="AB1432" i="1"/>
  <c r="AB1431" i="1"/>
  <c r="AB1430" i="1"/>
  <c r="AB1429" i="1"/>
  <c r="AB1428" i="1"/>
  <c r="AB1427" i="1"/>
  <c r="AB1426" i="1"/>
  <c r="AB1425" i="1"/>
  <c r="AB1424" i="1"/>
  <c r="AB1423" i="1"/>
  <c r="AB1422" i="1"/>
  <c r="AB1421" i="1"/>
  <c r="AB1420" i="1"/>
  <c r="AB1419" i="1"/>
  <c r="AB1418" i="1"/>
  <c r="AB1417" i="1"/>
  <c r="AB1416" i="1"/>
  <c r="AB1415" i="1"/>
  <c r="AB1414" i="1"/>
  <c r="AB1413" i="1"/>
  <c r="AB1412" i="1"/>
  <c r="AB1411" i="1"/>
  <c r="AB1410" i="1"/>
  <c r="AB1409" i="1"/>
  <c r="AB1408" i="1"/>
  <c r="AB1407" i="1"/>
  <c r="AB1406" i="1"/>
  <c r="AB1405" i="1"/>
  <c r="AB1404" i="1"/>
  <c r="AB1403" i="1"/>
  <c r="AB1402" i="1"/>
  <c r="AB1401" i="1"/>
  <c r="AB1400" i="1"/>
  <c r="AB1399" i="1"/>
  <c r="AB1398" i="1"/>
  <c r="AB1397" i="1"/>
  <c r="AB1396" i="1"/>
  <c r="AB1395" i="1"/>
  <c r="AB1394" i="1"/>
  <c r="AB1393" i="1"/>
  <c r="AB1392" i="1"/>
  <c r="AB1391" i="1"/>
  <c r="AB1390" i="1"/>
  <c r="AB1389" i="1"/>
  <c r="AB1388" i="1"/>
  <c r="AB1387" i="1"/>
  <c r="AB1386" i="1"/>
  <c r="AB1385" i="1"/>
  <c r="AB1384" i="1"/>
  <c r="AB1383" i="1"/>
  <c r="AB1382" i="1"/>
  <c r="AB1381" i="1"/>
  <c r="AB1380" i="1"/>
  <c r="AB1379" i="1"/>
  <c r="AB1378" i="1"/>
  <c r="AB1377" i="1"/>
  <c r="AB1376" i="1"/>
  <c r="AB1375" i="1"/>
  <c r="AB1374" i="1"/>
  <c r="AB1373" i="1"/>
  <c r="AB1372" i="1"/>
  <c r="AB1371" i="1"/>
  <c r="AB1370" i="1"/>
  <c r="AB1369" i="1"/>
  <c r="AB1368" i="1"/>
  <c r="AB1367" i="1"/>
  <c r="AB1366" i="1"/>
  <c r="AB1365" i="1"/>
  <c r="AB1364" i="1"/>
  <c r="AB1363" i="1"/>
  <c r="AB1362" i="1"/>
  <c r="AB1361" i="1"/>
  <c r="AB1360" i="1"/>
  <c r="AB1359" i="1"/>
  <c r="AB1358" i="1"/>
  <c r="AB1357" i="1"/>
  <c r="AB1356" i="1"/>
  <c r="AB1355" i="1"/>
  <c r="AB1354" i="1"/>
  <c r="AB1353" i="1"/>
  <c r="AB1352" i="1"/>
  <c r="AB1351" i="1"/>
  <c r="AB1350" i="1"/>
  <c r="AB1349" i="1"/>
  <c r="AB1348" i="1"/>
  <c r="AB1347" i="1"/>
  <c r="AB1346" i="1"/>
  <c r="AB1345" i="1"/>
  <c r="AB1344" i="1"/>
  <c r="AB1343" i="1"/>
  <c r="AB1342" i="1"/>
  <c r="AB1341" i="1"/>
  <c r="AB1340" i="1"/>
  <c r="AB1339" i="1"/>
  <c r="AB1338" i="1"/>
  <c r="AB1337" i="1"/>
  <c r="AB1336" i="1"/>
  <c r="AB1335" i="1"/>
  <c r="AB1334" i="1"/>
  <c r="AB1333" i="1"/>
  <c r="AB1332" i="1"/>
  <c r="AB1331" i="1"/>
  <c r="AB1330" i="1"/>
  <c r="AB1329" i="1"/>
  <c r="AB1328" i="1"/>
  <c r="AB1327" i="1"/>
  <c r="AB1326" i="1"/>
  <c r="AB1325" i="1"/>
  <c r="AB1324" i="1"/>
  <c r="AB1323" i="1"/>
  <c r="AB1322" i="1"/>
  <c r="AB1321" i="1"/>
  <c r="AB1320" i="1"/>
  <c r="AB1319" i="1"/>
  <c r="AB1318" i="1"/>
  <c r="AB1317" i="1"/>
  <c r="AB1316" i="1"/>
  <c r="AB1315" i="1"/>
  <c r="AB1314" i="1"/>
  <c r="AB1313" i="1"/>
  <c r="AB1312" i="1"/>
  <c r="AB1311" i="1"/>
  <c r="AB1310" i="1"/>
  <c r="AB1309" i="1"/>
  <c r="AB1308" i="1"/>
  <c r="AB1307" i="1"/>
  <c r="AB1306" i="1"/>
  <c r="AB1305" i="1"/>
  <c r="AB1304" i="1"/>
  <c r="AB1303" i="1"/>
  <c r="AB1302" i="1"/>
  <c r="AB1301" i="1"/>
  <c r="AB1300" i="1"/>
  <c r="AB1299" i="1"/>
  <c r="AB1298" i="1"/>
  <c r="AB1297" i="1"/>
  <c r="AB1296" i="1"/>
  <c r="AB1295" i="1"/>
  <c r="AB1294" i="1"/>
  <c r="AB1293" i="1"/>
  <c r="AB1292" i="1"/>
  <c r="AB1291" i="1"/>
  <c r="AB1290" i="1"/>
  <c r="AB1289" i="1"/>
  <c r="AB1288" i="1"/>
  <c r="AB1287" i="1"/>
  <c r="AB1286" i="1"/>
  <c r="AB1285" i="1"/>
  <c r="AB1284" i="1"/>
  <c r="AB1283" i="1"/>
  <c r="AB1282" i="1"/>
  <c r="AB1281" i="1"/>
  <c r="AB1280" i="1"/>
  <c r="AB1279" i="1"/>
  <c r="AB1278" i="1"/>
  <c r="AB1277" i="1"/>
  <c r="AB1276" i="1"/>
  <c r="AB1275" i="1"/>
  <c r="AB1274" i="1"/>
  <c r="AB1273" i="1"/>
  <c r="AB1272" i="1"/>
  <c r="AB1271" i="1"/>
  <c r="AB1270" i="1"/>
  <c r="AB1269" i="1"/>
  <c r="AB1268" i="1"/>
  <c r="AB1267" i="1"/>
  <c r="AB1266" i="1"/>
  <c r="AB1265" i="1"/>
  <c r="AB1264" i="1"/>
  <c r="AB1263" i="1"/>
  <c r="AB1262" i="1"/>
  <c r="AB1261" i="1"/>
  <c r="AB1260" i="1"/>
  <c r="AB1259" i="1"/>
  <c r="AB1258" i="1"/>
  <c r="AB1257" i="1"/>
  <c r="AB1256" i="1"/>
  <c r="AB1255" i="1"/>
  <c r="AB1254" i="1"/>
  <c r="AB1253" i="1"/>
  <c r="AB1252" i="1"/>
  <c r="AB1251" i="1"/>
  <c r="AB1250" i="1"/>
  <c r="AB1249" i="1"/>
  <c r="AB1248" i="1"/>
  <c r="AB1247" i="1"/>
  <c r="AB1246" i="1"/>
  <c r="AB1245" i="1"/>
  <c r="AB1244" i="1"/>
  <c r="AB1243" i="1"/>
  <c r="AB1242" i="1"/>
  <c r="AB1241" i="1"/>
  <c r="AB1240" i="1"/>
  <c r="AB1239" i="1"/>
  <c r="AB1238" i="1"/>
  <c r="AB1237" i="1"/>
  <c r="AB1236" i="1"/>
  <c r="AB1235" i="1"/>
  <c r="AB1234" i="1"/>
  <c r="AB1233" i="1"/>
  <c r="AB1232" i="1"/>
  <c r="AB1231" i="1"/>
  <c r="AB1230" i="1"/>
  <c r="AB1229" i="1"/>
  <c r="AB1228" i="1"/>
  <c r="AB1227" i="1"/>
  <c r="AB1226" i="1"/>
  <c r="AB1225" i="1"/>
  <c r="AB1224" i="1"/>
  <c r="AB1223" i="1"/>
  <c r="AB1222" i="1"/>
  <c r="AB1221" i="1"/>
  <c r="AB1220" i="1"/>
  <c r="AB1219" i="1"/>
  <c r="AB1218" i="1"/>
  <c r="AB1217" i="1"/>
  <c r="AB1216" i="1"/>
  <c r="AB1215" i="1"/>
  <c r="AB1214" i="1"/>
  <c r="AB1213" i="1"/>
  <c r="AB1212" i="1"/>
  <c r="AB1211" i="1"/>
  <c r="AB1210" i="1"/>
  <c r="AB1209" i="1"/>
  <c r="AB1208" i="1"/>
  <c r="AB1207" i="1"/>
  <c r="AB1206" i="1"/>
  <c r="AB1205" i="1"/>
  <c r="AB1204" i="1"/>
  <c r="AB1203" i="1"/>
  <c r="AB1202" i="1"/>
  <c r="AB1201" i="1"/>
  <c r="AB1200" i="1"/>
  <c r="AB1199" i="1"/>
  <c r="AB1198" i="1"/>
  <c r="AB1197" i="1"/>
  <c r="AB1196" i="1"/>
  <c r="AB1195" i="1"/>
  <c r="AB1194" i="1"/>
  <c r="AB1193" i="1"/>
  <c r="AB1192" i="1"/>
  <c r="AB1191" i="1"/>
  <c r="AB1190" i="1"/>
  <c r="AB1189" i="1"/>
  <c r="AB1188" i="1"/>
  <c r="AB1187" i="1"/>
  <c r="AB1186" i="1"/>
  <c r="AB1185" i="1"/>
  <c r="AB1184" i="1"/>
  <c r="AB1183" i="1"/>
  <c r="AB1182" i="1"/>
  <c r="AB1181" i="1"/>
  <c r="AB1180" i="1"/>
  <c r="AB1179" i="1"/>
  <c r="AB1178" i="1"/>
  <c r="AB1177" i="1"/>
  <c r="AB1176" i="1"/>
  <c r="AB1175" i="1"/>
  <c r="AB1174" i="1"/>
  <c r="AB1173" i="1"/>
  <c r="AB1172" i="1"/>
  <c r="AB1171" i="1"/>
  <c r="AB1170" i="1"/>
  <c r="AB1169" i="1"/>
  <c r="AB1168" i="1"/>
  <c r="AB1167" i="1"/>
  <c r="AB1166" i="1"/>
  <c r="AB1165" i="1"/>
  <c r="AB1164" i="1"/>
  <c r="AB1163" i="1"/>
  <c r="AB1162" i="1"/>
  <c r="AB1161" i="1"/>
  <c r="AB1160" i="1"/>
  <c r="AB1159" i="1"/>
  <c r="AB1158" i="1"/>
  <c r="AB1157" i="1"/>
  <c r="AB1156" i="1"/>
  <c r="AB1155" i="1"/>
  <c r="AB1154" i="1"/>
  <c r="AB1153" i="1"/>
  <c r="AB1152" i="1"/>
  <c r="AB1151" i="1"/>
  <c r="AB1150" i="1"/>
  <c r="AB1149" i="1"/>
  <c r="AB1148" i="1"/>
  <c r="AB1147" i="1"/>
  <c r="AB1146" i="1"/>
  <c r="AB1145" i="1"/>
  <c r="AB1144" i="1"/>
  <c r="AB1143" i="1"/>
  <c r="AB1142" i="1"/>
  <c r="AB1141" i="1"/>
  <c r="AB1140" i="1"/>
  <c r="AB1139" i="1"/>
  <c r="AB1138" i="1"/>
  <c r="AB1137" i="1"/>
  <c r="AB1136" i="1"/>
  <c r="AB1135" i="1"/>
  <c r="AB1134" i="1"/>
  <c r="AB1133" i="1"/>
  <c r="AB1132" i="1"/>
  <c r="AB1131" i="1"/>
  <c r="AB1130" i="1"/>
  <c r="AB1129" i="1"/>
  <c r="AB1128" i="1"/>
  <c r="AB1127" i="1"/>
  <c r="AB1126" i="1"/>
  <c r="AB1125" i="1"/>
  <c r="AB1124" i="1"/>
  <c r="AB1123" i="1"/>
  <c r="AB1122" i="1"/>
  <c r="AB1121" i="1"/>
  <c r="AB1120" i="1"/>
  <c r="AB1119" i="1"/>
  <c r="AB1118" i="1"/>
  <c r="AB1117" i="1"/>
  <c r="AB1116" i="1"/>
  <c r="AB1115" i="1"/>
  <c r="AB1114" i="1"/>
  <c r="AB1113" i="1"/>
  <c r="AB1112" i="1"/>
  <c r="AB1111" i="1"/>
  <c r="AB1110" i="1"/>
  <c r="AB1109" i="1"/>
  <c r="AB1108" i="1"/>
  <c r="AB1107" i="1"/>
  <c r="AB1106" i="1"/>
  <c r="AB1105" i="1"/>
  <c r="AB1104" i="1"/>
  <c r="AB1103" i="1"/>
  <c r="AB1102" i="1"/>
  <c r="AB1101" i="1"/>
  <c r="AB1100" i="1"/>
  <c r="AB1099" i="1"/>
  <c r="AB1098" i="1"/>
  <c r="AB1097" i="1"/>
  <c r="AB1096" i="1"/>
  <c r="AB1095" i="1"/>
  <c r="AB1094" i="1"/>
  <c r="AB1093" i="1"/>
  <c r="AB1092" i="1"/>
  <c r="AB1091" i="1"/>
  <c r="AB1090" i="1"/>
  <c r="AB1089" i="1"/>
  <c r="AB1088" i="1"/>
  <c r="AB1087" i="1"/>
  <c r="AB1086" i="1"/>
  <c r="AB1085" i="1"/>
  <c r="AB1084" i="1"/>
  <c r="AB1083" i="1"/>
  <c r="AB1082" i="1"/>
  <c r="AB1081" i="1"/>
  <c r="AB1080" i="1"/>
  <c r="AB1079" i="1"/>
  <c r="AB1078" i="1"/>
  <c r="AB1077" i="1"/>
  <c r="AB1076" i="1"/>
  <c r="AB1075" i="1"/>
  <c r="AB1074" i="1"/>
  <c r="AB1073" i="1"/>
  <c r="AB1072" i="1"/>
  <c r="AB1071" i="1"/>
  <c r="AB1070" i="1"/>
  <c r="AB1069" i="1"/>
  <c r="AB1068" i="1"/>
  <c r="AB1067" i="1"/>
  <c r="AB1066" i="1"/>
  <c r="AB1065" i="1"/>
  <c r="AB1064" i="1"/>
  <c r="AB1063" i="1"/>
  <c r="AB1062" i="1"/>
  <c r="AB1061" i="1"/>
  <c r="AB1060" i="1"/>
  <c r="AB1059" i="1"/>
  <c r="AB1058" i="1"/>
  <c r="AB1057" i="1"/>
  <c r="AB1056" i="1"/>
  <c r="AB1055" i="1"/>
  <c r="AB1054" i="1"/>
  <c r="AB1053" i="1"/>
  <c r="AB1052" i="1"/>
  <c r="AB1051" i="1"/>
  <c r="AB1050" i="1"/>
  <c r="AB1049" i="1"/>
  <c r="AB1048" i="1"/>
  <c r="AB1047" i="1"/>
  <c r="AB1046" i="1"/>
  <c r="AB1045" i="1"/>
  <c r="AB1044" i="1"/>
  <c r="AB1043" i="1"/>
  <c r="AB1042" i="1"/>
  <c r="AB1041" i="1"/>
  <c r="AB1040" i="1"/>
  <c r="AB1039" i="1"/>
  <c r="AB1038" i="1"/>
  <c r="AB1037" i="1"/>
  <c r="AB1036" i="1"/>
  <c r="AB1035" i="1"/>
  <c r="AB1034" i="1"/>
  <c r="AB1033" i="1"/>
  <c r="AB1032" i="1"/>
  <c r="AB1031" i="1"/>
  <c r="AB1030" i="1"/>
  <c r="AB1029" i="1"/>
  <c r="AB1028" i="1"/>
  <c r="AB1027" i="1"/>
  <c r="AB1026" i="1"/>
  <c r="AB1025" i="1"/>
  <c r="AB1024" i="1"/>
  <c r="AB1023" i="1"/>
  <c r="AB1022" i="1"/>
  <c r="AB1021" i="1"/>
  <c r="AB1020" i="1"/>
  <c r="AB1019" i="1"/>
  <c r="AB1018" i="1"/>
  <c r="AB1017" i="1"/>
  <c r="AB1016" i="1"/>
  <c r="AB1015" i="1"/>
  <c r="AB1014" i="1"/>
  <c r="AB1013" i="1"/>
  <c r="AB1012" i="1"/>
  <c r="AB1011" i="1"/>
  <c r="AB1010" i="1"/>
  <c r="AB1009" i="1"/>
  <c r="AB1008" i="1"/>
  <c r="AB1007" i="1"/>
  <c r="AB1006" i="1"/>
  <c r="AB1005" i="1"/>
  <c r="AB1004" i="1"/>
  <c r="AB1003" i="1"/>
  <c r="AB1002" i="1"/>
  <c r="AB1001" i="1"/>
  <c r="AB1000" i="1"/>
  <c r="AB999" i="1"/>
  <c r="AB998" i="1"/>
  <c r="AB997" i="1"/>
  <c r="AB996" i="1"/>
  <c r="AB995" i="1"/>
  <c r="AB994" i="1"/>
  <c r="AB993" i="1"/>
  <c r="AB992" i="1"/>
  <c r="AB991" i="1"/>
  <c r="AB990" i="1"/>
  <c r="AB989" i="1"/>
  <c r="AB988" i="1"/>
  <c r="AB987" i="1"/>
  <c r="AB986" i="1"/>
  <c r="AB985" i="1"/>
  <c r="AB984" i="1"/>
  <c r="AB983" i="1"/>
  <c r="AB982" i="1"/>
  <c r="AB981" i="1"/>
  <c r="AB980" i="1"/>
  <c r="AB979" i="1"/>
  <c r="AB978" i="1"/>
  <c r="AB977" i="1"/>
  <c r="AB976" i="1"/>
  <c r="AB975" i="1"/>
  <c r="AB974" i="1"/>
  <c r="AB973" i="1"/>
  <c r="AB972" i="1"/>
  <c r="AB971" i="1"/>
  <c r="AB970" i="1"/>
  <c r="AB969" i="1"/>
  <c r="AB968" i="1"/>
  <c r="AB967" i="1"/>
  <c r="AB966" i="1"/>
  <c r="AB965" i="1"/>
  <c r="AB964" i="1"/>
  <c r="AB963" i="1"/>
  <c r="AB962" i="1"/>
  <c r="AB961" i="1"/>
  <c r="AB960" i="1"/>
  <c r="AB959" i="1"/>
  <c r="AB958" i="1"/>
  <c r="AB957" i="1"/>
  <c r="AB956" i="1"/>
  <c r="AB955" i="1"/>
  <c r="AB954" i="1"/>
  <c r="AB953" i="1"/>
  <c r="AB952" i="1"/>
  <c r="AB951" i="1"/>
  <c r="AB950" i="1"/>
  <c r="AB949" i="1"/>
  <c r="AB948" i="1"/>
  <c r="AB947" i="1"/>
  <c r="AB946" i="1"/>
  <c r="AB945" i="1"/>
  <c r="AB944" i="1"/>
  <c r="AB943" i="1"/>
  <c r="AB942" i="1"/>
  <c r="AB941" i="1"/>
  <c r="AB940" i="1"/>
  <c r="AB939" i="1"/>
  <c r="AB938" i="1"/>
  <c r="AB937" i="1"/>
  <c r="AB936" i="1"/>
  <c r="AB935" i="1"/>
  <c r="AB934" i="1"/>
  <c r="AB933" i="1"/>
  <c r="AB932" i="1"/>
  <c r="AB931" i="1"/>
  <c r="AB930" i="1"/>
  <c r="AB929" i="1"/>
  <c r="AB928" i="1"/>
  <c r="AB927" i="1"/>
  <c r="AB926" i="1"/>
  <c r="AB925" i="1"/>
  <c r="AB924" i="1"/>
  <c r="AB923" i="1"/>
  <c r="AB922" i="1"/>
  <c r="AB921" i="1"/>
  <c r="AB920" i="1"/>
  <c r="AB919" i="1"/>
  <c r="AB918" i="1"/>
  <c r="AB917" i="1"/>
  <c r="AB916" i="1"/>
  <c r="AB915" i="1"/>
  <c r="AB914" i="1"/>
  <c r="AB913" i="1"/>
  <c r="AB912" i="1"/>
  <c r="AB911" i="1"/>
  <c r="AB910" i="1"/>
  <c r="AB909" i="1"/>
  <c r="AB908" i="1"/>
  <c r="AB907" i="1"/>
  <c r="AB906" i="1"/>
  <c r="AB905" i="1"/>
  <c r="AB904" i="1"/>
  <c r="AB903" i="1"/>
  <c r="AB902" i="1"/>
  <c r="AB901" i="1"/>
  <c r="AB900" i="1"/>
  <c r="AB899" i="1"/>
  <c r="AB898" i="1"/>
  <c r="AB897" i="1"/>
  <c r="AB896" i="1"/>
  <c r="AB895" i="1"/>
  <c r="AB894" i="1"/>
  <c r="AB893" i="1"/>
  <c r="AB892" i="1"/>
  <c r="AB891" i="1"/>
  <c r="AB890" i="1"/>
  <c r="AB889" i="1"/>
  <c r="AB888" i="1"/>
  <c r="AB887" i="1"/>
  <c r="AB886" i="1"/>
  <c r="AB885" i="1"/>
  <c r="AB884" i="1"/>
  <c r="AB883" i="1"/>
  <c r="AB882" i="1"/>
  <c r="AB881" i="1"/>
  <c r="AB880" i="1"/>
  <c r="AB879" i="1"/>
  <c r="AB878" i="1"/>
  <c r="AB877" i="1"/>
  <c r="AB876" i="1"/>
  <c r="AB875" i="1"/>
  <c r="AB874" i="1"/>
  <c r="AB873" i="1"/>
  <c r="AB872" i="1"/>
  <c r="AB871" i="1"/>
  <c r="AB870" i="1"/>
  <c r="AB869" i="1"/>
  <c r="AB868" i="1"/>
  <c r="AB867" i="1"/>
  <c r="AB866" i="1"/>
  <c r="AB865" i="1"/>
  <c r="AB864" i="1"/>
  <c r="AB863" i="1"/>
  <c r="AB862" i="1"/>
  <c r="AB861" i="1"/>
  <c r="AB860" i="1"/>
  <c r="AB859" i="1"/>
  <c r="AB858" i="1"/>
  <c r="AB857" i="1"/>
  <c r="AB856" i="1"/>
  <c r="AB855" i="1"/>
  <c r="AB854" i="1"/>
  <c r="AB853" i="1"/>
  <c r="AB852" i="1"/>
  <c r="AB851" i="1"/>
  <c r="AB850" i="1"/>
  <c r="AB849" i="1"/>
  <c r="AB848" i="1"/>
  <c r="AB847" i="1"/>
  <c r="AB846" i="1"/>
  <c r="AB845" i="1"/>
  <c r="AB844" i="1"/>
  <c r="AB843" i="1"/>
  <c r="AB842" i="1"/>
  <c r="AB841" i="1"/>
  <c r="AB840" i="1"/>
  <c r="AB839" i="1"/>
  <c r="AB838" i="1"/>
  <c r="AB837" i="1"/>
  <c r="AB836" i="1"/>
  <c r="AB835" i="1"/>
  <c r="AB834" i="1"/>
  <c r="AB833" i="1"/>
  <c r="AB832" i="1"/>
  <c r="AB831" i="1"/>
  <c r="AB830" i="1"/>
  <c r="AB829" i="1"/>
  <c r="AB828" i="1"/>
  <c r="AB827" i="1"/>
  <c r="AB826" i="1"/>
  <c r="AB825" i="1"/>
  <c r="AB824" i="1"/>
  <c r="AB823" i="1"/>
  <c r="AB822" i="1"/>
  <c r="AB821" i="1"/>
  <c r="AB820" i="1"/>
  <c r="AB819" i="1"/>
  <c r="AB818" i="1"/>
  <c r="AB817" i="1"/>
  <c r="AB816" i="1"/>
  <c r="AB815" i="1"/>
  <c r="AB814" i="1"/>
  <c r="AB813" i="1"/>
  <c r="AB812" i="1"/>
  <c r="AB811" i="1"/>
  <c r="AB810" i="1"/>
  <c r="AB809" i="1"/>
  <c r="AB808" i="1"/>
  <c r="AB807" i="1"/>
  <c r="AB806" i="1"/>
  <c r="AB805" i="1"/>
  <c r="AB804" i="1"/>
  <c r="AB803" i="1"/>
  <c r="AB802" i="1"/>
  <c r="AB801" i="1"/>
  <c r="AB800" i="1"/>
  <c r="AB799" i="1"/>
  <c r="AB798" i="1"/>
  <c r="AB797" i="1"/>
  <c r="AB796" i="1"/>
  <c r="AB795" i="1"/>
  <c r="AB794" i="1"/>
  <c r="AB793" i="1"/>
  <c r="AB792" i="1"/>
  <c r="AB791" i="1"/>
  <c r="AB790" i="1"/>
  <c r="AB789" i="1"/>
  <c r="AB788" i="1"/>
  <c r="AB787" i="1"/>
  <c r="AB786" i="1"/>
  <c r="AB785" i="1"/>
  <c r="AB784" i="1"/>
  <c r="AB783" i="1"/>
  <c r="AB782" i="1"/>
  <c r="AB781" i="1"/>
  <c r="AB780" i="1"/>
  <c r="AB779" i="1"/>
  <c r="AB778" i="1"/>
  <c r="AB777" i="1"/>
  <c r="AB776" i="1"/>
  <c r="AB775" i="1"/>
  <c r="AB774" i="1"/>
  <c r="AB773" i="1"/>
  <c r="AB772" i="1"/>
  <c r="AB771" i="1"/>
  <c r="AB770" i="1"/>
  <c r="AB769" i="1"/>
  <c r="AB768" i="1"/>
  <c r="AB767" i="1"/>
  <c r="AB766" i="1"/>
  <c r="AB765" i="1"/>
  <c r="AB764" i="1"/>
  <c r="AB763" i="1"/>
  <c r="AB762" i="1"/>
  <c r="AB761" i="1"/>
  <c r="AB760" i="1"/>
  <c r="AB759" i="1"/>
  <c r="AB758" i="1"/>
  <c r="AB757" i="1"/>
  <c r="AB756" i="1"/>
  <c r="AB755" i="1"/>
  <c r="AB754" i="1"/>
  <c r="AB753" i="1"/>
  <c r="AB752" i="1"/>
  <c r="AB751" i="1"/>
  <c r="AB750" i="1"/>
  <c r="AB749" i="1"/>
  <c r="AB748" i="1"/>
  <c r="AB747" i="1"/>
  <c r="AB746" i="1"/>
  <c r="AB745" i="1"/>
  <c r="AB744" i="1"/>
  <c r="AB743" i="1"/>
  <c r="AB742" i="1"/>
  <c r="AB741" i="1"/>
  <c r="AB740" i="1"/>
  <c r="AB739" i="1"/>
  <c r="AB738" i="1"/>
  <c r="AB737" i="1"/>
  <c r="AB736" i="1"/>
  <c r="AB735" i="1"/>
  <c r="AB734" i="1"/>
  <c r="AB733" i="1"/>
  <c r="AB732" i="1"/>
  <c r="AB731" i="1"/>
  <c r="AB730" i="1"/>
  <c r="AB729" i="1"/>
  <c r="AB728" i="1"/>
  <c r="AB727" i="1"/>
  <c r="AB726" i="1"/>
  <c r="AB725" i="1"/>
  <c r="AB724" i="1"/>
  <c r="AB723" i="1"/>
  <c r="AB722" i="1"/>
  <c r="AB721" i="1"/>
  <c r="AB720" i="1"/>
  <c r="AB719" i="1"/>
  <c r="AB718" i="1"/>
  <c r="AB717" i="1"/>
  <c r="AB716" i="1"/>
  <c r="AB715" i="1"/>
  <c r="AB714" i="1"/>
  <c r="AB713" i="1"/>
  <c r="AB712" i="1"/>
  <c r="AB711" i="1"/>
  <c r="AB710" i="1"/>
  <c r="AB709" i="1"/>
  <c r="AB708" i="1"/>
  <c r="AB707" i="1"/>
  <c r="AB706" i="1"/>
  <c r="AB705" i="1"/>
  <c r="AB704" i="1"/>
  <c r="AB703" i="1"/>
  <c r="AB702" i="1"/>
  <c r="AB701" i="1"/>
  <c r="AB700" i="1"/>
  <c r="AB699" i="1"/>
  <c r="AB698" i="1"/>
  <c r="AB697" i="1"/>
  <c r="AB696" i="1"/>
  <c r="AB695" i="1"/>
  <c r="AB694" i="1"/>
  <c r="AB693" i="1"/>
  <c r="AB692" i="1"/>
  <c r="AB691" i="1"/>
  <c r="AB690" i="1"/>
  <c r="AB689" i="1"/>
  <c r="AB688" i="1"/>
  <c r="AB687" i="1"/>
  <c r="AB686" i="1"/>
  <c r="AB685" i="1"/>
  <c r="AB684" i="1"/>
  <c r="AB683" i="1"/>
  <c r="AB682" i="1"/>
  <c r="AB681" i="1"/>
  <c r="AB680" i="1"/>
  <c r="AB679" i="1"/>
  <c r="AB678" i="1"/>
  <c r="AB677" i="1"/>
  <c r="AB676" i="1"/>
  <c r="AB675" i="1"/>
  <c r="AB674" i="1"/>
  <c r="AB673" i="1"/>
  <c r="AB672" i="1"/>
  <c r="AB671" i="1"/>
  <c r="AB670" i="1"/>
  <c r="AB669" i="1"/>
  <c r="AB668" i="1"/>
  <c r="AB667" i="1"/>
  <c r="AB666" i="1"/>
  <c r="AB665" i="1"/>
  <c r="AB664" i="1"/>
  <c r="AB663" i="1"/>
  <c r="AB662" i="1"/>
  <c r="AB661" i="1"/>
  <c r="AB660" i="1"/>
  <c r="AB659" i="1"/>
  <c r="AB658" i="1"/>
  <c r="AB657" i="1"/>
  <c r="AB656" i="1"/>
  <c r="AB655" i="1"/>
  <c r="AB654" i="1"/>
  <c r="AB653" i="1"/>
  <c r="AB652" i="1"/>
  <c r="AB651" i="1"/>
  <c r="AB650" i="1"/>
  <c r="AB649" i="1"/>
  <c r="AB648" i="1"/>
  <c r="AB647" i="1"/>
  <c r="AB646" i="1"/>
  <c r="AB645" i="1"/>
  <c r="AB644" i="1"/>
  <c r="AB643" i="1"/>
  <c r="AB642" i="1"/>
  <c r="AB641" i="1"/>
  <c r="AB640" i="1"/>
  <c r="AB639" i="1"/>
  <c r="AB638" i="1"/>
  <c r="AB637" i="1"/>
  <c r="AB636" i="1"/>
  <c r="AB635" i="1"/>
  <c r="AB634" i="1"/>
  <c r="AB633" i="1"/>
  <c r="AB632" i="1"/>
  <c r="AB631" i="1"/>
  <c r="AB630" i="1"/>
  <c r="AB629" i="1"/>
  <c r="AB628" i="1"/>
  <c r="AB627" i="1"/>
  <c r="AB626" i="1"/>
  <c r="AB625" i="1"/>
  <c r="AB624" i="1"/>
  <c r="AB623" i="1"/>
  <c r="AB622" i="1"/>
  <c r="AB621" i="1"/>
  <c r="AB620" i="1"/>
  <c r="AB619" i="1"/>
  <c r="AB618" i="1"/>
  <c r="AB617" i="1"/>
  <c r="AB616" i="1"/>
  <c r="AB615" i="1"/>
  <c r="AB614" i="1"/>
  <c r="AB613" i="1"/>
  <c r="AB612" i="1"/>
  <c r="AB611" i="1"/>
  <c r="AB610" i="1"/>
  <c r="AB609" i="1"/>
  <c r="AB608" i="1"/>
  <c r="AB607" i="1"/>
  <c r="AB606" i="1"/>
  <c r="AB605" i="1"/>
  <c r="AB604" i="1"/>
  <c r="AB603" i="1"/>
  <c r="AB602" i="1"/>
  <c r="AB601" i="1"/>
  <c r="AB600" i="1"/>
  <c r="AB599" i="1"/>
  <c r="AB598" i="1"/>
  <c r="AB597" i="1"/>
  <c r="AB596" i="1"/>
  <c r="AB595" i="1"/>
  <c r="AB594" i="1"/>
  <c r="AB593" i="1"/>
  <c r="AB592" i="1"/>
  <c r="AB591" i="1"/>
  <c r="AB590" i="1"/>
  <c r="AB589" i="1"/>
  <c r="AB588" i="1"/>
  <c r="AB587" i="1"/>
  <c r="AB586" i="1"/>
  <c r="AB585" i="1"/>
  <c r="AB584" i="1"/>
  <c r="AB583" i="1"/>
  <c r="AB582" i="1"/>
  <c r="AB581" i="1"/>
  <c r="AB580" i="1"/>
  <c r="AB579" i="1"/>
  <c r="AB578" i="1"/>
  <c r="AB577" i="1"/>
  <c r="AB576" i="1"/>
  <c r="AB575" i="1"/>
  <c r="AB574" i="1"/>
  <c r="AB573" i="1"/>
  <c r="AB572" i="1"/>
  <c r="AB571" i="1"/>
  <c r="AB570" i="1"/>
  <c r="AB569" i="1"/>
  <c r="AB568" i="1"/>
  <c r="AB567" i="1"/>
  <c r="AB566" i="1"/>
  <c r="AB565" i="1"/>
  <c r="AB564" i="1"/>
  <c r="AB563" i="1"/>
  <c r="AB562" i="1"/>
  <c r="AB561" i="1"/>
  <c r="AB560" i="1"/>
  <c r="AB559" i="1"/>
  <c r="AB558" i="1"/>
  <c r="AB557" i="1"/>
  <c r="AB556" i="1"/>
  <c r="AB555" i="1"/>
  <c r="AB554" i="1"/>
  <c r="AB553" i="1"/>
  <c r="AB552" i="1"/>
  <c r="AB551" i="1"/>
  <c r="AB550" i="1"/>
  <c r="AB549" i="1"/>
  <c r="AB548" i="1"/>
  <c r="AB547" i="1"/>
  <c r="AB546" i="1"/>
  <c r="AB545" i="1"/>
  <c r="AB544" i="1"/>
  <c r="AB543" i="1"/>
  <c r="AB542" i="1"/>
  <c r="AB541" i="1"/>
  <c r="AB540" i="1"/>
  <c r="AB539" i="1"/>
  <c r="AB538" i="1"/>
  <c r="AB537" i="1"/>
  <c r="AB536" i="1"/>
  <c r="AB535" i="1"/>
  <c r="AB534" i="1"/>
  <c r="AB533" i="1"/>
  <c r="AB532" i="1"/>
  <c r="AB531" i="1"/>
  <c r="AB530" i="1"/>
  <c r="AB529" i="1"/>
  <c r="AB528" i="1"/>
  <c r="AB527" i="1"/>
  <c r="AB526" i="1"/>
  <c r="AB525" i="1"/>
  <c r="AB524" i="1"/>
  <c r="AB523" i="1"/>
  <c r="AB522" i="1"/>
  <c r="AB521" i="1"/>
  <c r="AB520" i="1"/>
  <c r="AB519" i="1"/>
  <c r="AB518" i="1"/>
  <c r="AB517" i="1"/>
  <c r="AB516" i="1"/>
  <c r="AB515" i="1"/>
  <c r="AB514" i="1"/>
  <c r="AB513" i="1"/>
  <c r="AB512" i="1"/>
  <c r="AB511" i="1"/>
  <c r="AB510" i="1"/>
  <c r="AB509" i="1"/>
  <c r="AB508" i="1"/>
  <c r="AB507" i="1"/>
  <c r="AB506" i="1"/>
  <c r="AB505" i="1"/>
  <c r="AB504" i="1"/>
  <c r="AB503" i="1"/>
  <c r="AB502" i="1"/>
  <c r="AB501" i="1"/>
  <c r="AB500" i="1"/>
  <c r="AB499" i="1"/>
  <c r="AB498" i="1"/>
  <c r="AB497" i="1"/>
  <c r="AB496" i="1"/>
  <c r="AB495" i="1"/>
  <c r="AB494" i="1"/>
  <c r="AB493" i="1"/>
  <c r="AB492" i="1"/>
  <c r="AB491" i="1"/>
  <c r="AB490" i="1"/>
  <c r="AB489" i="1"/>
  <c r="AB488" i="1"/>
  <c r="AB487" i="1"/>
  <c r="AB486" i="1"/>
  <c r="AB485" i="1"/>
  <c r="AB484" i="1"/>
  <c r="AB483" i="1"/>
  <c r="AB482" i="1"/>
  <c r="AB481" i="1"/>
  <c r="AB480" i="1"/>
  <c r="AB479" i="1"/>
  <c r="AB478" i="1"/>
  <c r="AB477" i="1"/>
  <c r="AB476" i="1"/>
  <c r="AB475" i="1"/>
  <c r="AB474" i="1"/>
  <c r="AB473" i="1"/>
  <c r="AB472" i="1"/>
  <c r="AB471" i="1"/>
  <c r="AB470" i="1"/>
  <c r="AB469" i="1"/>
  <c r="AB468" i="1"/>
  <c r="AB467" i="1"/>
  <c r="AB466" i="1"/>
  <c r="AB465" i="1"/>
  <c r="AB464" i="1"/>
  <c r="AB463" i="1"/>
  <c r="AB462" i="1"/>
  <c r="AB461" i="1"/>
  <c r="AB460" i="1"/>
  <c r="AB459" i="1"/>
  <c r="AB458" i="1"/>
  <c r="AB457" i="1"/>
  <c r="AB456" i="1"/>
  <c r="AB455" i="1"/>
  <c r="AB454" i="1"/>
  <c r="AB453" i="1"/>
  <c r="AB452" i="1"/>
  <c r="AB451" i="1"/>
  <c r="AB450" i="1"/>
  <c r="AB449" i="1"/>
  <c r="AB448" i="1"/>
  <c r="AB447" i="1"/>
  <c r="AB446" i="1"/>
  <c r="AB445" i="1"/>
  <c r="AB444" i="1"/>
  <c r="AB443" i="1"/>
  <c r="AB442" i="1"/>
  <c r="AB441" i="1"/>
  <c r="AB440" i="1"/>
  <c r="AB439" i="1"/>
  <c r="AB438" i="1"/>
  <c r="AB437" i="1"/>
  <c r="AB436" i="1"/>
  <c r="AB435" i="1"/>
  <c r="AB434" i="1"/>
  <c r="AB433" i="1"/>
  <c r="AB432" i="1"/>
  <c r="AB431" i="1"/>
  <c r="AB430" i="1"/>
  <c r="AB429" i="1"/>
  <c r="AB428" i="1"/>
  <c r="AB427" i="1"/>
  <c r="AB426" i="1"/>
  <c r="AB425" i="1"/>
  <c r="AB424" i="1"/>
  <c r="AB423" i="1"/>
  <c r="AB422" i="1"/>
  <c r="AB421" i="1"/>
  <c r="AB420" i="1"/>
  <c r="AB419" i="1"/>
  <c r="AB418" i="1"/>
  <c r="AB417" i="1"/>
  <c r="AB416" i="1"/>
  <c r="AB415" i="1"/>
  <c r="AB414" i="1"/>
  <c r="AB413" i="1"/>
  <c r="AB412" i="1"/>
  <c r="AB411" i="1"/>
  <c r="AB410" i="1"/>
  <c r="AB409" i="1"/>
  <c r="AB408" i="1"/>
  <c r="AB407" i="1"/>
  <c r="AB406" i="1"/>
  <c r="AB405" i="1"/>
  <c r="AB404" i="1"/>
  <c r="AB403" i="1"/>
  <c r="AB402" i="1"/>
  <c r="AB401" i="1"/>
  <c r="AB400" i="1"/>
  <c r="AB399" i="1"/>
  <c r="AB398" i="1"/>
  <c r="AB397" i="1"/>
  <c r="AB396" i="1"/>
  <c r="AB395" i="1"/>
  <c r="AB394" i="1"/>
  <c r="AB393" i="1"/>
  <c r="AB392" i="1"/>
  <c r="AB391" i="1"/>
  <c r="AB390" i="1"/>
  <c r="AB389" i="1"/>
  <c r="AB388" i="1"/>
  <c r="AB387" i="1"/>
  <c r="AB386" i="1"/>
  <c r="AB385" i="1"/>
  <c r="AB384" i="1"/>
  <c r="AB383" i="1"/>
  <c r="AB382" i="1"/>
  <c r="AB381" i="1"/>
  <c r="AB380" i="1"/>
  <c r="AB379" i="1"/>
  <c r="AB378" i="1"/>
  <c r="AB377" i="1"/>
  <c r="AB376" i="1"/>
  <c r="AB375" i="1"/>
  <c r="AB374" i="1"/>
  <c r="AB373" i="1"/>
  <c r="AB372" i="1"/>
  <c r="AB371" i="1"/>
  <c r="AB370" i="1"/>
  <c r="AB369" i="1"/>
  <c r="AB368" i="1"/>
  <c r="AB367" i="1"/>
  <c r="AB366" i="1"/>
  <c r="AB365" i="1"/>
  <c r="AB364" i="1"/>
  <c r="AB363" i="1"/>
  <c r="AB362" i="1"/>
  <c r="AB361" i="1"/>
  <c r="AB360" i="1"/>
  <c r="AB359" i="1"/>
  <c r="AB358" i="1"/>
  <c r="AB357" i="1"/>
  <c r="AB356" i="1"/>
  <c r="AB355" i="1"/>
  <c r="AB354" i="1"/>
  <c r="AB353" i="1"/>
  <c r="AB352" i="1"/>
  <c r="AB351" i="1"/>
  <c r="AB350" i="1"/>
  <c r="AB349" i="1"/>
  <c r="AB348" i="1"/>
  <c r="AB347" i="1"/>
  <c r="AB346" i="1"/>
  <c r="AB345" i="1"/>
  <c r="AB344" i="1"/>
  <c r="AB343" i="1"/>
  <c r="AB342" i="1"/>
  <c r="AB341" i="1"/>
  <c r="AB340" i="1"/>
  <c r="AB339" i="1"/>
  <c r="AB338" i="1"/>
  <c r="AB337" i="1"/>
  <c r="AB336" i="1"/>
  <c r="AB335" i="1"/>
  <c r="AB334" i="1"/>
  <c r="AB333" i="1"/>
  <c r="AB332" i="1"/>
  <c r="AB331" i="1"/>
  <c r="AB330" i="1"/>
  <c r="AB329" i="1"/>
  <c r="AB328" i="1"/>
  <c r="AB327" i="1"/>
  <c r="AB326" i="1"/>
  <c r="AB325" i="1"/>
  <c r="AB324" i="1"/>
  <c r="AB323" i="1"/>
  <c r="AB322" i="1"/>
  <c r="AB321" i="1"/>
  <c r="AB320" i="1"/>
  <c r="AB319" i="1"/>
  <c r="AB318" i="1"/>
  <c r="AB317" i="1"/>
  <c r="AB316" i="1"/>
  <c r="AB315" i="1"/>
  <c r="AB314" i="1"/>
  <c r="AB313" i="1"/>
  <c r="AB312" i="1"/>
  <c r="AB311" i="1"/>
  <c r="AB310" i="1"/>
  <c r="AB309" i="1"/>
  <c r="AB308" i="1"/>
  <c r="AB307" i="1"/>
  <c r="AB306" i="1"/>
  <c r="AB305" i="1"/>
  <c r="AB304" i="1"/>
  <c r="AB303" i="1"/>
  <c r="AB302" i="1"/>
  <c r="AB301" i="1"/>
  <c r="AB300" i="1"/>
  <c r="AB299" i="1"/>
  <c r="AB298" i="1"/>
  <c r="AB297" i="1"/>
  <c r="AB296" i="1"/>
  <c r="AB295" i="1"/>
  <c r="AB294" i="1"/>
  <c r="AB293" i="1"/>
  <c r="AB292" i="1"/>
  <c r="AB291" i="1"/>
  <c r="AB290" i="1"/>
  <c r="AB289" i="1"/>
  <c r="AB288" i="1"/>
  <c r="AB287" i="1"/>
  <c r="AB286" i="1"/>
  <c r="AB285" i="1"/>
  <c r="AB284" i="1"/>
  <c r="AB283" i="1"/>
  <c r="AB282" i="1"/>
  <c r="AB281" i="1"/>
  <c r="AB280" i="1"/>
  <c r="AB279" i="1"/>
  <c r="AB278" i="1"/>
  <c r="AB277" i="1"/>
  <c r="AB276" i="1"/>
  <c r="AB275" i="1"/>
  <c r="AB274" i="1"/>
  <c r="AB273" i="1"/>
  <c r="AB272" i="1"/>
  <c r="AB271" i="1"/>
  <c r="AB270" i="1"/>
  <c r="AB269" i="1"/>
  <c r="AB268" i="1"/>
  <c r="AB267" i="1"/>
  <c r="AB266" i="1"/>
  <c r="AB265" i="1"/>
  <c r="AB264" i="1"/>
  <c r="AB263" i="1"/>
  <c r="AB262" i="1"/>
  <c r="AB261" i="1"/>
  <c r="AB260" i="1"/>
  <c r="AB259" i="1"/>
  <c r="AB258" i="1"/>
  <c r="AB257" i="1"/>
  <c r="AB256" i="1"/>
  <c r="AB255" i="1"/>
  <c r="AB254" i="1"/>
  <c r="AB253" i="1"/>
  <c r="AB252" i="1"/>
  <c r="AB251" i="1"/>
  <c r="AB250" i="1"/>
  <c r="AB249" i="1"/>
  <c r="AB248" i="1"/>
  <c r="AB247" i="1"/>
  <c r="AB246" i="1"/>
  <c r="AB245" i="1"/>
  <c r="AB244" i="1"/>
  <c r="AB243" i="1"/>
  <c r="AB242" i="1"/>
  <c r="AB241" i="1"/>
  <c r="AB240" i="1"/>
  <c r="AB239" i="1"/>
  <c r="AB238" i="1"/>
  <c r="AB237" i="1"/>
  <c r="AB236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2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8" i="1"/>
  <c r="AB207" i="1"/>
  <c r="AB206" i="1"/>
  <c r="AB205" i="1"/>
  <c r="AB204" i="1"/>
  <c r="AB203" i="1"/>
  <c r="AB202" i="1"/>
  <c r="AB201" i="1"/>
  <c r="AB200" i="1"/>
  <c r="AB199" i="1"/>
  <c r="AB198" i="1"/>
  <c r="AB197" i="1"/>
  <c r="AB196" i="1"/>
  <c r="AB195" i="1"/>
  <c r="AB194" i="1"/>
  <c r="AB193" i="1"/>
  <c r="AB192" i="1"/>
  <c r="AB191" i="1"/>
  <c r="AB190" i="1"/>
  <c r="AB189" i="1"/>
  <c r="AB188" i="1"/>
  <c r="AB187" i="1"/>
  <c r="AB186" i="1"/>
  <c r="AB185" i="1"/>
  <c r="AB184" i="1"/>
  <c r="AB183" i="1"/>
  <c r="AB182" i="1"/>
  <c r="AB181" i="1"/>
  <c r="AB180" i="1"/>
  <c r="AB179" i="1"/>
  <c r="AB178" i="1"/>
  <c r="AB177" i="1"/>
  <c r="AB176" i="1"/>
  <c r="AB175" i="1"/>
  <c r="AB174" i="1"/>
  <c r="AB173" i="1"/>
  <c r="AB172" i="1"/>
  <c r="AB171" i="1"/>
  <c r="AB170" i="1"/>
  <c r="AB169" i="1"/>
  <c r="AB168" i="1"/>
  <c r="AB167" i="1"/>
  <c r="AB166" i="1"/>
  <c r="AB165" i="1"/>
  <c r="AB164" i="1"/>
  <c r="AB163" i="1"/>
  <c r="AB162" i="1"/>
  <c r="AB161" i="1"/>
  <c r="AB160" i="1"/>
  <c r="AB159" i="1"/>
  <c r="AB158" i="1"/>
  <c r="AB157" i="1"/>
  <c r="AB156" i="1"/>
  <c r="AB155" i="1"/>
  <c r="AB154" i="1"/>
  <c r="AB153" i="1"/>
  <c r="AB152" i="1"/>
  <c r="AB151" i="1"/>
  <c r="AB150" i="1"/>
  <c r="AB149" i="1"/>
  <c r="AB148" i="1"/>
  <c r="AB147" i="1"/>
  <c r="AB146" i="1"/>
  <c r="AB145" i="1"/>
  <c r="AB144" i="1"/>
  <c r="AB143" i="1"/>
  <c r="AB142" i="1"/>
  <c r="AB141" i="1"/>
  <c r="AB140" i="1"/>
  <c r="AB139" i="1"/>
  <c r="AB138" i="1"/>
  <c r="AB137" i="1"/>
  <c r="AB136" i="1"/>
  <c r="AB135" i="1"/>
  <c r="AB134" i="1"/>
  <c r="AB133" i="1"/>
  <c r="AB132" i="1"/>
  <c r="AB131" i="1"/>
  <c r="AB130" i="1"/>
  <c r="AB129" i="1"/>
  <c r="AB128" i="1"/>
  <c r="AB127" i="1"/>
  <c r="AB126" i="1"/>
  <c r="AB125" i="1"/>
  <c r="AB124" i="1"/>
  <c r="AB123" i="1"/>
  <c r="AB122" i="1"/>
  <c r="AB121" i="1"/>
  <c r="AB120" i="1"/>
  <c r="AB119" i="1"/>
  <c r="AB118" i="1"/>
  <c r="AB117" i="1"/>
  <c r="AB116" i="1"/>
  <c r="AB115" i="1"/>
  <c r="AB114" i="1"/>
  <c r="AB113" i="1"/>
  <c r="AB112" i="1"/>
  <c r="AB111" i="1"/>
  <c r="AB110" i="1"/>
  <c r="AB109" i="1"/>
  <c r="AB108" i="1"/>
  <c r="AB107" i="1"/>
  <c r="AB106" i="1"/>
  <c r="AB105" i="1"/>
  <c r="AB104" i="1"/>
  <c r="AB103" i="1"/>
  <c r="AB102" i="1"/>
  <c r="AB101" i="1"/>
  <c r="AB100" i="1"/>
  <c r="AB99" i="1"/>
  <c r="AB98" i="1"/>
  <c r="AB97" i="1"/>
  <c r="AB96" i="1"/>
  <c r="AB95" i="1"/>
  <c r="AB94" i="1"/>
  <c r="AB93" i="1"/>
  <c r="AB92" i="1"/>
  <c r="AB91" i="1"/>
  <c r="AB90" i="1"/>
  <c r="AB89" i="1"/>
  <c r="AB88" i="1"/>
  <c r="AB87" i="1"/>
  <c r="AB86" i="1"/>
  <c r="AB85" i="1"/>
  <c r="AB84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AB5" i="1"/>
  <c r="AB4" i="1"/>
  <c r="AB3" i="1"/>
  <c r="AB2" i="1"/>
  <c r="C2019" i="1" l="1"/>
  <c r="C2020" i="1"/>
  <c r="D2020" i="1" l="1"/>
  <c r="D2019" i="1"/>
  <c r="C2018" i="1"/>
  <c r="C2017" i="1"/>
  <c r="C2016" i="1"/>
  <c r="C2015" i="1"/>
  <c r="C2014" i="1"/>
  <c r="C2013" i="1"/>
  <c r="C2012" i="1"/>
  <c r="C2011" i="1"/>
  <c r="C2010" i="1"/>
  <c r="C2009" i="1"/>
  <c r="C2008" i="1"/>
  <c r="C2007" i="1"/>
  <c r="C2006" i="1"/>
  <c r="C2005" i="1"/>
  <c r="C2004" i="1"/>
  <c r="C2003" i="1"/>
  <c r="C2002" i="1"/>
  <c r="C2001" i="1"/>
  <c r="C2000" i="1"/>
  <c r="C1999" i="1"/>
  <c r="C1998" i="1"/>
  <c r="C1997" i="1"/>
  <c r="C1996" i="1"/>
  <c r="C1995" i="1"/>
  <c r="C1994" i="1"/>
  <c r="C1993" i="1"/>
  <c r="C1992" i="1"/>
  <c r="C1991" i="1"/>
  <c r="C1990" i="1"/>
  <c r="C1989" i="1"/>
  <c r="C1988" i="1"/>
  <c r="C1987" i="1"/>
  <c r="C1986" i="1"/>
  <c r="C1985" i="1"/>
  <c r="C1984" i="1"/>
  <c r="C1983" i="1"/>
  <c r="C1982" i="1"/>
  <c r="C1981" i="1"/>
  <c r="C1980" i="1"/>
  <c r="C1979" i="1"/>
  <c r="C1978" i="1"/>
  <c r="C1977" i="1"/>
  <c r="C1976" i="1"/>
  <c r="C1975" i="1"/>
  <c r="C1974" i="1"/>
  <c r="C1973" i="1"/>
  <c r="C1972" i="1"/>
  <c r="C1971" i="1"/>
  <c r="C1970" i="1"/>
  <c r="C1969" i="1"/>
  <c r="C1968" i="1"/>
  <c r="C1967" i="1"/>
  <c r="C1966" i="1"/>
  <c r="C1965" i="1"/>
  <c r="C1964" i="1"/>
  <c r="C1963" i="1"/>
  <c r="C1962" i="1"/>
  <c r="C1961" i="1"/>
  <c r="C1960" i="1"/>
  <c r="C1959" i="1"/>
  <c r="C1958" i="1"/>
  <c r="C1957" i="1"/>
  <c r="C1956" i="1"/>
  <c r="C1955" i="1"/>
  <c r="C1954" i="1"/>
  <c r="C1953" i="1"/>
  <c r="C1952" i="1"/>
  <c r="C1951" i="1"/>
  <c r="C1950" i="1"/>
  <c r="C1949" i="1"/>
  <c r="C1948" i="1"/>
  <c r="C1947" i="1"/>
  <c r="C1946" i="1"/>
  <c r="C1945" i="1"/>
  <c r="C1944" i="1"/>
  <c r="C1943" i="1"/>
  <c r="C1942" i="1"/>
  <c r="C1941" i="1"/>
  <c r="C1940" i="1"/>
  <c r="C1939" i="1"/>
  <c r="C1938" i="1"/>
  <c r="C1937" i="1"/>
  <c r="C1936" i="1"/>
  <c r="C1935" i="1"/>
  <c r="C1934" i="1"/>
  <c r="C1933" i="1"/>
  <c r="C1932" i="1"/>
  <c r="C1931" i="1"/>
  <c r="C1930" i="1"/>
  <c r="C1929" i="1"/>
  <c r="C1928" i="1"/>
  <c r="C1927" i="1"/>
  <c r="C1926" i="1"/>
  <c r="C1925" i="1"/>
  <c r="C1924" i="1"/>
  <c r="C1923" i="1"/>
  <c r="C1922" i="1"/>
  <c r="C1921" i="1"/>
  <c r="C1920" i="1"/>
  <c r="C1919" i="1"/>
  <c r="C1918" i="1"/>
  <c r="C1917" i="1"/>
  <c r="C1916" i="1"/>
  <c r="C1915" i="1"/>
  <c r="C1914" i="1"/>
  <c r="C1913" i="1"/>
  <c r="C1912" i="1"/>
  <c r="C1911" i="1"/>
  <c r="C1910" i="1"/>
  <c r="C1909" i="1"/>
  <c r="C1908" i="1"/>
  <c r="C1907" i="1"/>
  <c r="C1906" i="1"/>
  <c r="C1905" i="1"/>
  <c r="C1904" i="1"/>
  <c r="C1903" i="1"/>
  <c r="C1902" i="1"/>
  <c r="C1901" i="1"/>
  <c r="C1900" i="1"/>
  <c r="C1899" i="1"/>
  <c r="C1898" i="1"/>
  <c r="C1897" i="1"/>
  <c r="C1896" i="1"/>
  <c r="C1895" i="1"/>
  <c r="C1894" i="1"/>
  <c r="C1893" i="1"/>
  <c r="C1892" i="1"/>
  <c r="C1891" i="1"/>
  <c r="C1890" i="1"/>
  <c r="C1889" i="1"/>
  <c r="C1888" i="1"/>
  <c r="C1887" i="1"/>
  <c r="C1886" i="1"/>
  <c r="C1885" i="1"/>
  <c r="C1884" i="1"/>
  <c r="C1883" i="1"/>
  <c r="C1882" i="1"/>
  <c r="C1881" i="1"/>
  <c r="C1880" i="1"/>
  <c r="C1879" i="1"/>
  <c r="C1878" i="1"/>
  <c r="C1877" i="1"/>
  <c r="C1876" i="1"/>
  <c r="C1875" i="1"/>
  <c r="C1874" i="1"/>
  <c r="C1873" i="1"/>
  <c r="C1872" i="1"/>
  <c r="C1871" i="1"/>
  <c r="C1870" i="1"/>
  <c r="C1869" i="1"/>
  <c r="C1868" i="1"/>
  <c r="C1867" i="1"/>
  <c r="C1866" i="1"/>
  <c r="C1865" i="1"/>
  <c r="C1864" i="1"/>
  <c r="C1863" i="1"/>
  <c r="C1862" i="1"/>
  <c r="C1861" i="1"/>
  <c r="C1860" i="1"/>
  <c r="C1859" i="1"/>
  <c r="C1858" i="1"/>
  <c r="C1857" i="1"/>
  <c r="C1856" i="1"/>
  <c r="C1855" i="1"/>
  <c r="C1854" i="1"/>
  <c r="C1853" i="1"/>
  <c r="C1852" i="1"/>
  <c r="C1851" i="1"/>
  <c r="C1850" i="1"/>
  <c r="C1849" i="1"/>
  <c r="C1848" i="1"/>
  <c r="C1847" i="1"/>
  <c r="C1846" i="1"/>
  <c r="C1845" i="1"/>
  <c r="C1844" i="1"/>
  <c r="C1843" i="1"/>
  <c r="C1842" i="1"/>
  <c r="C1841" i="1"/>
  <c r="C1840" i="1"/>
  <c r="C1839" i="1"/>
  <c r="C1838" i="1"/>
  <c r="C1837" i="1"/>
  <c r="C1836" i="1"/>
  <c r="C1835" i="1"/>
  <c r="C1834" i="1"/>
  <c r="C1833" i="1"/>
  <c r="C1832" i="1"/>
  <c r="C1831" i="1"/>
  <c r="C1830" i="1"/>
  <c r="C1829" i="1"/>
  <c r="C1828" i="1"/>
  <c r="C1827" i="1"/>
  <c r="C1826" i="1"/>
  <c r="C1825" i="1"/>
  <c r="C1824" i="1"/>
  <c r="C1823" i="1"/>
  <c r="C1822" i="1"/>
  <c r="C1821" i="1"/>
  <c r="C1820" i="1"/>
  <c r="C1819" i="1"/>
  <c r="C1818" i="1"/>
  <c r="C1817" i="1"/>
  <c r="C1816" i="1"/>
  <c r="C1815" i="1"/>
  <c r="C1814" i="1"/>
  <c r="C1813" i="1"/>
  <c r="C1812" i="1"/>
  <c r="C1811" i="1"/>
  <c r="C1810" i="1"/>
  <c r="C1809" i="1"/>
  <c r="C1808" i="1"/>
  <c r="C1807" i="1"/>
  <c r="C1806" i="1"/>
  <c r="C1805" i="1"/>
  <c r="C1804" i="1"/>
  <c r="C1803" i="1"/>
  <c r="C1802" i="1"/>
  <c r="C1801" i="1"/>
  <c r="C1800" i="1"/>
  <c r="C1799" i="1"/>
  <c r="C1798" i="1"/>
  <c r="C1797" i="1"/>
  <c r="C1796" i="1"/>
  <c r="C1795" i="1"/>
  <c r="C1794" i="1"/>
  <c r="C1793" i="1"/>
  <c r="C1792" i="1"/>
  <c r="C1791" i="1"/>
  <c r="C1790" i="1"/>
  <c r="C1789" i="1"/>
  <c r="C1788" i="1"/>
  <c r="C1787" i="1"/>
  <c r="C1786" i="1"/>
  <c r="C1785" i="1"/>
  <c r="C1784" i="1"/>
  <c r="C1783" i="1"/>
  <c r="C1782" i="1"/>
  <c r="C1781" i="1"/>
  <c r="C1780" i="1"/>
  <c r="C1779" i="1"/>
  <c r="C1778" i="1"/>
  <c r="C1777" i="1"/>
  <c r="C1776" i="1"/>
  <c r="C1775" i="1"/>
  <c r="C1774" i="1"/>
  <c r="C1773" i="1"/>
  <c r="C1772" i="1"/>
  <c r="C1771" i="1"/>
  <c r="C1770" i="1"/>
  <c r="C1769" i="1"/>
  <c r="C1768" i="1"/>
  <c r="C1767" i="1"/>
  <c r="C1766" i="1"/>
  <c r="C1765" i="1"/>
  <c r="C1764" i="1"/>
  <c r="C1763" i="1"/>
  <c r="C1762" i="1"/>
  <c r="C1761" i="1"/>
  <c r="C1760" i="1"/>
  <c r="C1759" i="1"/>
  <c r="C1758" i="1"/>
  <c r="C1757" i="1"/>
  <c r="C1756" i="1"/>
  <c r="C1755" i="1"/>
  <c r="C1754" i="1"/>
  <c r="C1753" i="1"/>
  <c r="C1752" i="1"/>
  <c r="C1751" i="1"/>
  <c r="C1750" i="1"/>
  <c r="C1749" i="1"/>
  <c r="C1748" i="1"/>
  <c r="C1747" i="1"/>
  <c r="C1746" i="1"/>
  <c r="C1745" i="1"/>
  <c r="C1744" i="1"/>
  <c r="C1743" i="1"/>
  <c r="C1742" i="1"/>
  <c r="C1741" i="1"/>
  <c r="C1740" i="1"/>
  <c r="C1739" i="1"/>
  <c r="C1738" i="1"/>
  <c r="C1737" i="1"/>
  <c r="C1736" i="1"/>
  <c r="C1735" i="1"/>
  <c r="C1734" i="1"/>
  <c r="C1733" i="1"/>
  <c r="C1732" i="1"/>
  <c r="C1731" i="1"/>
  <c r="C1730" i="1"/>
  <c r="C1729" i="1"/>
  <c r="C1728" i="1"/>
  <c r="C1727" i="1"/>
  <c r="C1726" i="1"/>
  <c r="C1725" i="1"/>
  <c r="C1724" i="1"/>
  <c r="C1723" i="1"/>
  <c r="C1722" i="1"/>
  <c r="C1721" i="1"/>
  <c r="C1720" i="1"/>
  <c r="C1719" i="1"/>
  <c r="C1718" i="1"/>
  <c r="C1717" i="1"/>
  <c r="C1716" i="1"/>
  <c r="C1715" i="1"/>
  <c r="C1714" i="1"/>
  <c r="C1713" i="1"/>
  <c r="C1712" i="1"/>
  <c r="C1711" i="1"/>
  <c r="C1710" i="1"/>
  <c r="C1709" i="1"/>
  <c r="C1708" i="1"/>
  <c r="C1707" i="1"/>
  <c r="C1706" i="1"/>
  <c r="C1705" i="1"/>
  <c r="C1704" i="1"/>
  <c r="C1703" i="1"/>
  <c r="C1702" i="1"/>
  <c r="C1701" i="1"/>
  <c r="C1700" i="1"/>
  <c r="C1699" i="1"/>
  <c r="C1698" i="1"/>
  <c r="C1697" i="1"/>
  <c r="C1696" i="1"/>
  <c r="C1695" i="1"/>
  <c r="C1694" i="1"/>
  <c r="C1693" i="1"/>
  <c r="C1692" i="1"/>
  <c r="C1691" i="1"/>
  <c r="C1690" i="1"/>
  <c r="C1689" i="1"/>
  <c r="C1688" i="1"/>
  <c r="C1687" i="1"/>
  <c r="C1686" i="1"/>
  <c r="C1685" i="1"/>
  <c r="C1684" i="1"/>
  <c r="C1683" i="1"/>
  <c r="C1682" i="1"/>
  <c r="C1681" i="1"/>
  <c r="C1680" i="1"/>
  <c r="C1679" i="1"/>
  <c r="C1678" i="1"/>
  <c r="C1677" i="1"/>
  <c r="C1676" i="1"/>
  <c r="C1675" i="1"/>
  <c r="C1674" i="1"/>
  <c r="C1673" i="1"/>
  <c r="C1672" i="1"/>
  <c r="C1671" i="1"/>
  <c r="C1670" i="1"/>
  <c r="C1669" i="1"/>
  <c r="C1668" i="1"/>
  <c r="C1667" i="1"/>
  <c r="C1666" i="1"/>
  <c r="C1665" i="1"/>
  <c r="C1664" i="1"/>
  <c r="C1663" i="1"/>
  <c r="C1662" i="1"/>
  <c r="C1661" i="1"/>
  <c r="C1660" i="1"/>
  <c r="C1659" i="1"/>
  <c r="C1658" i="1"/>
  <c r="C1657" i="1"/>
  <c r="C1656" i="1"/>
  <c r="C1655" i="1"/>
  <c r="C1654" i="1"/>
  <c r="C1653" i="1"/>
  <c r="C1652" i="1"/>
  <c r="C1651" i="1"/>
  <c r="C1650" i="1"/>
  <c r="C1649" i="1"/>
  <c r="C1648" i="1"/>
  <c r="C1647" i="1"/>
  <c r="C1646" i="1"/>
  <c r="C1645" i="1"/>
  <c r="C1644" i="1"/>
  <c r="C1643" i="1"/>
  <c r="C1642" i="1"/>
  <c r="C1641" i="1"/>
  <c r="C1640" i="1"/>
  <c r="C1639" i="1"/>
  <c r="C1638" i="1"/>
  <c r="C1637" i="1"/>
  <c r="C1636" i="1"/>
  <c r="C1635" i="1"/>
  <c r="C1634" i="1"/>
  <c r="C1633" i="1"/>
  <c r="C1632" i="1"/>
  <c r="C1631" i="1"/>
  <c r="C1630" i="1"/>
  <c r="C1629" i="1"/>
  <c r="C1628" i="1"/>
  <c r="C1627" i="1"/>
  <c r="C1626" i="1"/>
  <c r="C1625" i="1"/>
  <c r="C1624" i="1"/>
  <c r="C1623" i="1"/>
  <c r="C1622" i="1"/>
  <c r="C1621" i="1"/>
  <c r="C1620" i="1"/>
  <c r="C1619" i="1"/>
  <c r="C1618" i="1"/>
  <c r="C1617" i="1"/>
  <c r="C1616" i="1"/>
  <c r="C1615" i="1"/>
  <c r="C1614" i="1"/>
  <c r="C1613" i="1"/>
  <c r="C1612" i="1"/>
  <c r="C1611" i="1"/>
  <c r="C1610" i="1"/>
  <c r="C1609" i="1"/>
  <c r="C1608" i="1"/>
  <c r="C1607" i="1"/>
  <c r="C1606" i="1"/>
  <c r="C1605" i="1"/>
  <c r="C1604" i="1"/>
  <c r="C1603" i="1"/>
  <c r="C1602" i="1"/>
  <c r="C1601" i="1"/>
  <c r="C1600" i="1"/>
  <c r="C1599" i="1"/>
  <c r="C1598" i="1"/>
  <c r="C1597" i="1"/>
  <c r="C1596" i="1"/>
  <c r="C1595" i="1"/>
  <c r="C1594" i="1"/>
  <c r="C1593" i="1"/>
  <c r="C1592" i="1"/>
  <c r="C1591" i="1"/>
  <c r="C1590" i="1"/>
  <c r="C1589" i="1"/>
  <c r="C1588" i="1"/>
  <c r="C1587" i="1"/>
  <c r="C1586" i="1"/>
  <c r="C1585" i="1"/>
  <c r="C1584" i="1"/>
  <c r="C1583" i="1"/>
  <c r="C1582" i="1"/>
  <c r="C1581" i="1"/>
  <c r="C1580" i="1"/>
  <c r="C1579" i="1"/>
  <c r="C1578" i="1"/>
  <c r="C1577" i="1"/>
  <c r="C1576" i="1"/>
  <c r="C1575" i="1"/>
  <c r="C1574" i="1"/>
  <c r="C1573" i="1"/>
  <c r="C1572" i="1"/>
  <c r="C1571" i="1"/>
  <c r="C1570" i="1"/>
  <c r="C1569" i="1"/>
  <c r="C1568" i="1"/>
  <c r="C1567" i="1"/>
  <c r="C1566" i="1"/>
  <c r="C1565" i="1"/>
  <c r="C1564" i="1"/>
  <c r="C1563" i="1"/>
  <c r="C1562" i="1"/>
  <c r="C1561" i="1"/>
  <c r="C1560" i="1"/>
  <c r="C1559" i="1"/>
  <c r="C1558" i="1"/>
  <c r="C1557" i="1"/>
  <c r="C1556" i="1"/>
  <c r="C1555" i="1"/>
  <c r="C1554" i="1"/>
  <c r="C1553" i="1"/>
  <c r="C1552" i="1"/>
  <c r="C1551" i="1"/>
  <c r="C1550" i="1"/>
  <c r="C1549" i="1"/>
  <c r="C1548" i="1"/>
  <c r="C1547" i="1"/>
  <c r="C1546" i="1"/>
  <c r="C1545" i="1"/>
  <c r="C1544" i="1"/>
  <c r="C1543" i="1"/>
  <c r="C1542" i="1"/>
  <c r="C1541" i="1"/>
  <c r="C1540" i="1"/>
  <c r="C1539" i="1"/>
  <c r="C1538" i="1"/>
  <c r="C1537" i="1"/>
  <c r="C1536" i="1"/>
  <c r="C1535" i="1"/>
  <c r="C1534" i="1"/>
  <c r="C1533" i="1"/>
  <c r="C1532" i="1"/>
  <c r="C1531" i="1"/>
  <c r="C1530" i="1"/>
  <c r="C1529" i="1"/>
  <c r="C1528" i="1"/>
  <c r="C1527" i="1"/>
  <c r="C1526" i="1"/>
  <c r="C1525" i="1"/>
  <c r="C1524" i="1"/>
  <c r="C1523" i="1"/>
  <c r="C1522" i="1"/>
  <c r="C1521" i="1"/>
  <c r="C1520" i="1"/>
  <c r="C1519" i="1"/>
  <c r="C1518" i="1"/>
  <c r="C1517" i="1"/>
  <c r="C1516" i="1"/>
  <c r="C1515" i="1"/>
  <c r="C1514" i="1"/>
  <c r="C1513" i="1"/>
  <c r="C1512" i="1"/>
  <c r="C1511" i="1"/>
  <c r="C1510" i="1"/>
  <c r="C1509" i="1"/>
  <c r="C1508" i="1"/>
  <c r="C1507" i="1"/>
  <c r="C1506" i="1"/>
  <c r="C1505" i="1"/>
  <c r="C1504" i="1"/>
  <c r="C1503" i="1"/>
  <c r="C1502" i="1"/>
  <c r="C1501" i="1"/>
  <c r="C1500" i="1"/>
  <c r="C1499" i="1"/>
  <c r="C1498" i="1"/>
  <c r="C1497" i="1"/>
  <c r="C1496" i="1"/>
  <c r="C1495" i="1"/>
  <c r="C1494" i="1"/>
  <c r="C1493" i="1"/>
  <c r="C1492" i="1"/>
  <c r="C1491" i="1"/>
  <c r="C1490" i="1"/>
  <c r="C1489" i="1"/>
  <c r="C1488" i="1"/>
  <c r="C1487" i="1"/>
  <c r="C1486" i="1"/>
  <c r="C1485" i="1"/>
  <c r="C1484" i="1"/>
  <c r="C1483" i="1"/>
  <c r="C1482" i="1"/>
  <c r="C1481" i="1"/>
  <c r="C1480" i="1"/>
  <c r="C1479" i="1"/>
  <c r="C1478" i="1"/>
  <c r="C1477" i="1"/>
  <c r="C1476" i="1"/>
  <c r="C1475" i="1"/>
  <c r="C1474" i="1"/>
  <c r="C1473" i="1"/>
  <c r="C1472" i="1"/>
  <c r="C1471" i="1"/>
  <c r="C1470" i="1"/>
  <c r="C1469" i="1"/>
  <c r="C1468" i="1"/>
  <c r="C1467" i="1"/>
  <c r="C1466" i="1"/>
  <c r="C1465" i="1"/>
  <c r="C1464" i="1"/>
  <c r="C1463" i="1"/>
  <c r="C1462" i="1"/>
  <c r="C1461" i="1"/>
  <c r="C1460" i="1"/>
  <c r="C1459" i="1"/>
  <c r="C1458" i="1"/>
  <c r="C1457" i="1"/>
  <c r="C1456" i="1"/>
  <c r="C1455" i="1"/>
  <c r="C1454" i="1"/>
  <c r="C1453" i="1"/>
  <c r="C1452" i="1"/>
  <c r="C1451" i="1"/>
  <c r="C1450" i="1"/>
  <c r="C1449" i="1"/>
  <c r="C1448" i="1"/>
  <c r="C1447" i="1"/>
  <c r="C1446" i="1"/>
  <c r="C1445" i="1"/>
  <c r="C1444" i="1"/>
  <c r="C1443" i="1"/>
  <c r="C1442" i="1"/>
  <c r="C1441" i="1"/>
  <c r="C1440" i="1"/>
  <c r="C1439" i="1"/>
  <c r="C1438" i="1"/>
  <c r="C1437" i="1"/>
  <c r="C1436" i="1"/>
  <c r="C1435" i="1"/>
  <c r="C1434" i="1"/>
  <c r="C1433" i="1"/>
  <c r="C1432" i="1"/>
  <c r="C1431" i="1"/>
  <c r="C1430" i="1"/>
  <c r="C1429" i="1"/>
  <c r="C1428" i="1"/>
  <c r="C1427" i="1"/>
  <c r="C1426" i="1"/>
  <c r="C1425" i="1"/>
  <c r="C1424" i="1"/>
  <c r="C1423" i="1"/>
  <c r="C1422" i="1"/>
  <c r="C1421" i="1"/>
  <c r="C1420" i="1"/>
  <c r="C1419" i="1"/>
  <c r="C1418" i="1"/>
  <c r="C1417" i="1"/>
  <c r="C1416" i="1"/>
  <c r="C1415" i="1"/>
  <c r="C1414" i="1"/>
  <c r="C1413" i="1"/>
  <c r="C1412" i="1"/>
  <c r="C1411" i="1"/>
  <c r="C1410" i="1"/>
  <c r="C1409" i="1"/>
  <c r="C1408" i="1"/>
  <c r="C1407" i="1"/>
  <c r="C1406" i="1"/>
  <c r="C1405" i="1"/>
  <c r="C1404" i="1"/>
  <c r="C1403" i="1"/>
  <c r="C1402" i="1"/>
  <c r="C1401" i="1"/>
  <c r="C1400" i="1"/>
  <c r="C1399" i="1"/>
  <c r="C1398" i="1"/>
  <c r="C1397" i="1"/>
  <c r="C1396" i="1"/>
  <c r="C1395" i="1"/>
  <c r="C1394" i="1"/>
  <c r="C1393" i="1"/>
  <c r="C1392" i="1"/>
  <c r="C1391" i="1"/>
  <c r="C1390" i="1"/>
  <c r="C1389" i="1"/>
  <c r="C1388" i="1"/>
  <c r="C1387" i="1"/>
  <c r="C1386" i="1"/>
  <c r="C1385" i="1"/>
  <c r="C1384" i="1"/>
  <c r="C1383" i="1"/>
  <c r="C1382" i="1"/>
  <c r="C1381" i="1"/>
  <c r="C1380" i="1"/>
  <c r="C1379" i="1"/>
  <c r="C1378" i="1"/>
  <c r="C1377" i="1"/>
  <c r="C1376" i="1"/>
  <c r="C1375" i="1"/>
  <c r="C1374" i="1"/>
  <c r="C1373" i="1"/>
  <c r="C1372" i="1"/>
  <c r="C1371" i="1"/>
  <c r="C1370" i="1"/>
  <c r="C1369" i="1"/>
  <c r="C1368" i="1"/>
  <c r="C1367" i="1"/>
  <c r="C1366" i="1"/>
  <c r="C1365" i="1"/>
  <c r="C1364" i="1"/>
  <c r="C1363" i="1"/>
  <c r="C1362" i="1"/>
  <c r="C1361" i="1"/>
  <c r="C1360" i="1"/>
  <c r="C1359" i="1"/>
  <c r="C1358" i="1"/>
  <c r="C1357" i="1"/>
  <c r="C1356" i="1"/>
  <c r="C1355" i="1"/>
  <c r="C1354" i="1"/>
  <c r="C1353" i="1"/>
  <c r="C1352" i="1"/>
  <c r="C1351" i="1"/>
  <c r="C1350" i="1"/>
  <c r="C1349" i="1"/>
  <c r="C1348" i="1"/>
  <c r="C1347" i="1"/>
  <c r="C1346" i="1"/>
  <c r="C1345" i="1"/>
  <c r="C1344" i="1"/>
  <c r="C1343" i="1"/>
  <c r="C1342" i="1"/>
  <c r="C1341" i="1"/>
  <c r="C1340" i="1"/>
  <c r="C1339" i="1"/>
  <c r="C1338" i="1"/>
  <c r="C1337" i="1"/>
  <c r="C1336" i="1"/>
  <c r="C1335" i="1"/>
  <c r="C1334" i="1"/>
  <c r="C1333" i="1"/>
  <c r="C1332" i="1"/>
  <c r="C1331" i="1"/>
  <c r="C1330" i="1"/>
  <c r="C1329" i="1"/>
  <c r="C1328" i="1"/>
  <c r="C1327" i="1"/>
  <c r="C1326" i="1"/>
  <c r="C1325" i="1"/>
  <c r="C1324" i="1"/>
  <c r="C1323" i="1"/>
  <c r="C1322" i="1"/>
  <c r="C1321" i="1"/>
  <c r="C1320" i="1"/>
  <c r="C1319" i="1"/>
  <c r="C1318" i="1"/>
  <c r="C1317" i="1"/>
  <c r="C1316" i="1"/>
  <c r="C1315" i="1"/>
  <c r="C1314" i="1"/>
  <c r="C1313" i="1"/>
  <c r="C1312" i="1"/>
  <c r="C1311" i="1"/>
  <c r="C1310" i="1"/>
  <c r="C1309" i="1"/>
  <c r="C1308" i="1"/>
  <c r="C1307" i="1"/>
  <c r="C1306" i="1"/>
  <c r="C1305" i="1"/>
  <c r="C1304" i="1"/>
  <c r="C1303" i="1"/>
  <c r="C1302" i="1"/>
  <c r="C1301" i="1"/>
  <c r="C1300" i="1"/>
  <c r="C1299" i="1"/>
  <c r="C1298" i="1"/>
  <c r="C1297" i="1"/>
  <c r="C1296" i="1"/>
  <c r="C1295" i="1"/>
  <c r="C1294" i="1"/>
  <c r="C1293" i="1"/>
  <c r="C1292" i="1"/>
  <c r="C1291" i="1"/>
  <c r="C1290" i="1"/>
  <c r="C1289" i="1"/>
  <c r="C1288" i="1"/>
  <c r="C1287" i="1"/>
  <c r="C1286" i="1"/>
  <c r="C1285" i="1"/>
  <c r="C1284" i="1"/>
  <c r="C1283" i="1"/>
  <c r="C1282" i="1"/>
  <c r="C1281" i="1"/>
  <c r="C1280" i="1"/>
  <c r="C1279" i="1"/>
  <c r="C1278" i="1"/>
  <c r="C1277" i="1"/>
  <c r="C1276" i="1"/>
  <c r="C1275" i="1"/>
  <c r="C1274" i="1"/>
  <c r="C1273" i="1"/>
  <c r="C1272" i="1"/>
  <c r="C1271" i="1"/>
  <c r="C1270" i="1"/>
  <c r="C1269" i="1"/>
  <c r="C1268" i="1"/>
  <c r="C1267" i="1"/>
  <c r="C1266" i="1"/>
  <c r="C1265" i="1"/>
  <c r="C1264" i="1"/>
  <c r="C1263" i="1"/>
  <c r="C1262" i="1"/>
  <c r="C1261" i="1"/>
  <c r="C1260" i="1"/>
  <c r="C1259" i="1"/>
  <c r="C1258" i="1"/>
  <c r="C1257" i="1"/>
  <c r="C1256" i="1"/>
  <c r="C1255" i="1"/>
  <c r="C1254" i="1"/>
  <c r="C1253" i="1"/>
  <c r="C1252" i="1"/>
  <c r="C1251" i="1"/>
  <c r="C1250" i="1"/>
  <c r="C1249" i="1"/>
  <c r="C1248" i="1"/>
  <c r="C1247" i="1"/>
  <c r="C1246" i="1"/>
  <c r="C1245" i="1"/>
  <c r="C1244" i="1"/>
  <c r="C1243" i="1"/>
  <c r="C1242" i="1"/>
  <c r="C1241" i="1"/>
  <c r="C1240" i="1"/>
  <c r="C1239" i="1"/>
  <c r="C1238" i="1"/>
  <c r="C1237" i="1"/>
  <c r="C1236" i="1"/>
  <c r="C1235" i="1"/>
  <c r="C1234" i="1"/>
  <c r="C1233" i="1"/>
  <c r="C1232" i="1"/>
  <c r="C1231" i="1"/>
  <c r="C1230" i="1"/>
  <c r="C1229" i="1"/>
  <c r="C1228" i="1"/>
  <c r="C1227" i="1"/>
  <c r="C1226" i="1"/>
  <c r="C1225" i="1"/>
  <c r="C1224" i="1"/>
  <c r="C1223" i="1"/>
  <c r="C1222" i="1"/>
  <c r="C1221" i="1"/>
  <c r="C1220" i="1"/>
  <c r="C1219" i="1"/>
  <c r="C1218" i="1"/>
  <c r="C1217" i="1"/>
  <c r="C1216" i="1"/>
  <c r="C1215" i="1"/>
  <c r="C1214" i="1"/>
  <c r="C1213" i="1"/>
  <c r="C1212" i="1"/>
  <c r="C1211" i="1"/>
  <c r="C1210" i="1"/>
  <c r="C1209" i="1"/>
  <c r="C1208" i="1"/>
  <c r="C1207" i="1"/>
  <c r="C1206" i="1"/>
  <c r="C1205" i="1"/>
  <c r="C1204" i="1"/>
  <c r="C1203" i="1"/>
  <c r="C1202" i="1"/>
  <c r="C1201" i="1"/>
  <c r="C1200" i="1"/>
  <c r="C1199" i="1"/>
  <c r="C1198" i="1"/>
  <c r="C1197" i="1"/>
  <c r="C1196" i="1"/>
  <c r="C1195" i="1"/>
  <c r="C1194" i="1"/>
  <c r="C1193" i="1"/>
  <c r="C1192" i="1"/>
  <c r="C1191" i="1"/>
  <c r="C1190" i="1"/>
  <c r="C1189" i="1"/>
  <c r="C1188" i="1"/>
  <c r="C1187" i="1"/>
  <c r="C1186" i="1"/>
  <c r="C1185" i="1"/>
  <c r="C1184" i="1"/>
  <c r="C1183" i="1"/>
  <c r="C1182" i="1"/>
  <c r="C1181" i="1"/>
  <c r="C1180" i="1"/>
  <c r="C1179" i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C1166" i="1"/>
  <c r="C1165" i="1"/>
  <c r="C1164" i="1"/>
  <c r="C1163" i="1"/>
  <c r="C1162" i="1"/>
  <c r="C1161" i="1"/>
  <c r="C1160" i="1"/>
  <c r="C1159" i="1"/>
  <c r="C1158" i="1"/>
  <c r="C1157" i="1"/>
  <c r="C1156" i="1"/>
  <c r="C1155" i="1"/>
  <c r="C1154" i="1"/>
  <c r="C1153" i="1"/>
  <c r="C1152" i="1"/>
  <c r="C1151" i="1"/>
  <c r="C1150" i="1"/>
  <c r="C1149" i="1"/>
  <c r="C1148" i="1"/>
  <c r="C1147" i="1"/>
  <c r="C1146" i="1"/>
  <c r="C1145" i="1"/>
  <c r="C1144" i="1"/>
  <c r="C1143" i="1"/>
  <c r="C1142" i="1"/>
  <c r="C1141" i="1"/>
  <c r="C1140" i="1"/>
  <c r="C1139" i="1"/>
  <c r="C1138" i="1"/>
  <c r="C1137" i="1"/>
  <c r="C1136" i="1"/>
  <c r="C1135" i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C1122" i="1"/>
  <c r="C1121" i="1"/>
  <c r="C1120" i="1"/>
  <c r="C1119" i="1"/>
  <c r="C1118" i="1"/>
  <c r="C1117" i="1"/>
  <c r="C1116" i="1"/>
  <c r="C1115" i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C1102" i="1"/>
  <c r="C1101" i="1"/>
  <c r="C1100" i="1"/>
  <c r="C1099" i="1"/>
  <c r="C1098" i="1"/>
  <c r="C1097" i="1"/>
  <c r="C1096" i="1"/>
  <c r="C1095" i="1"/>
  <c r="C1094" i="1"/>
  <c r="C1093" i="1"/>
  <c r="C1092" i="1"/>
  <c r="C1091" i="1"/>
  <c r="C1090" i="1"/>
  <c r="C1089" i="1"/>
  <c r="C1088" i="1"/>
  <c r="C1087" i="1"/>
  <c r="C1086" i="1"/>
  <c r="C1085" i="1"/>
  <c r="C1084" i="1"/>
  <c r="C1083" i="1"/>
  <c r="C1082" i="1"/>
  <c r="C1081" i="1"/>
  <c r="C1080" i="1"/>
  <c r="C1079" i="1"/>
  <c r="C1078" i="1"/>
  <c r="C1077" i="1"/>
  <c r="C1076" i="1"/>
  <c r="C1075" i="1"/>
  <c r="C1074" i="1"/>
  <c r="C1073" i="1"/>
  <c r="C1072" i="1"/>
  <c r="C1071" i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C1058" i="1"/>
  <c r="C1057" i="1"/>
  <c r="C1056" i="1"/>
  <c r="C1055" i="1"/>
  <c r="C1054" i="1"/>
  <c r="C1053" i="1"/>
  <c r="C1052" i="1"/>
  <c r="C1051" i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D2018" i="1"/>
  <c r="D2017" i="1"/>
  <c r="D2016" i="1"/>
  <c r="D2015" i="1"/>
  <c r="D2014" i="1"/>
  <c r="D2013" i="1"/>
  <c r="D2012" i="1"/>
  <c r="D2011" i="1"/>
  <c r="D2010" i="1"/>
  <c r="D2009" i="1"/>
  <c r="D2008" i="1"/>
  <c r="D2007" i="1"/>
  <c r="D2006" i="1"/>
  <c r="D2005" i="1"/>
  <c r="D2004" i="1"/>
  <c r="D2003" i="1"/>
  <c r="D2002" i="1"/>
  <c r="D2001" i="1"/>
  <c r="D2000" i="1"/>
  <c r="D1999" i="1"/>
  <c r="D1998" i="1"/>
  <c r="D1997" i="1"/>
  <c r="D1996" i="1"/>
  <c r="D1995" i="1"/>
  <c r="D1994" i="1"/>
  <c r="D1993" i="1"/>
  <c r="D1992" i="1"/>
  <c r="D1991" i="1"/>
  <c r="D1990" i="1"/>
  <c r="D1989" i="1"/>
  <c r="D1988" i="1"/>
  <c r="D1987" i="1"/>
  <c r="D1986" i="1"/>
  <c r="D1985" i="1"/>
  <c r="D1984" i="1"/>
  <c r="D1983" i="1"/>
  <c r="D1982" i="1"/>
  <c r="D1981" i="1"/>
  <c r="D1980" i="1"/>
  <c r="D1979" i="1"/>
  <c r="D1978" i="1"/>
  <c r="D1977" i="1"/>
  <c r="D1976" i="1"/>
  <c r="D1975" i="1"/>
  <c r="D1974" i="1"/>
  <c r="D1973" i="1"/>
  <c r="D1972" i="1"/>
  <c r="D1971" i="1"/>
  <c r="D1970" i="1"/>
  <c r="D1969" i="1"/>
  <c r="D1968" i="1"/>
  <c r="D1967" i="1"/>
  <c r="D1966" i="1"/>
  <c r="D1965" i="1"/>
  <c r="D1964" i="1"/>
  <c r="D1963" i="1"/>
  <c r="D1962" i="1"/>
  <c r="D1961" i="1"/>
  <c r="D1960" i="1"/>
  <c r="D1959" i="1"/>
  <c r="D1958" i="1"/>
  <c r="D1957" i="1"/>
  <c r="D1956" i="1"/>
  <c r="D1955" i="1"/>
  <c r="D1954" i="1"/>
  <c r="D1953" i="1"/>
  <c r="D1952" i="1"/>
  <c r="D1951" i="1"/>
  <c r="D1950" i="1"/>
  <c r="D1949" i="1"/>
  <c r="D1948" i="1"/>
  <c r="D1947" i="1"/>
  <c r="D1946" i="1"/>
  <c r="D1945" i="1"/>
  <c r="D1944" i="1"/>
  <c r="D1943" i="1"/>
  <c r="D1942" i="1"/>
  <c r="D1941" i="1"/>
  <c r="D1940" i="1"/>
  <c r="D1939" i="1"/>
  <c r="D1938" i="1"/>
  <c r="D1937" i="1"/>
  <c r="D1936" i="1"/>
  <c r="D1935" i="1"/>
  <c r="D1934" i="1"/>
  <c r="D1933" i="1"/>
  <c r="D1932" i="1"/>
  <c r="D1931" i="1"/>
  <c r="D1930" i="1"/>
  <c r="D1929" i="1"/>
  <c r="D1928" i="1"/>
  <c r="D1927" i="1"/>
  <c r="D1926" i="1"/>
  <c r="D1925" i="1"/>
  <c r="D1924" i="1"/>
  <c r="D1923" i="1"/>
  <c r="D1922" i="1"/>
  <c r="D1921" i="1"/>
  <c r="D1920" i="1"/>
  <c r="D1919" i="1"/>
  <c r="D1918" i="1"/>
  <c r="D1917" i="1"/>
  <c r="D1916" i="1"/>
  <c r="D1915" i="1"/>
  <c r="D1914" i="1"/>
  <c r="D1913" i="1"/>
  <c r="D1912" i="1"/>
  <c r="D1911" i="1"/>
  <c r="D1910" i="1"/>
  <c r="D1909" i="1"/>
  <c r="D1908" i="1"/>
  <c r="D1907" i="1"/>
  <c r="D1906" i="1"/>
  <c r="D1905" i="1"/>
  <c r="D1904" i="1"/>
  <c r="D1903" i="1"/>
  <c r="D1902" i="1"/>
  <c r="D1901" i="1"/>
  <c r="D1900" i="1"/>
  <c r="D1899" i="1"/>
  <c r="D1898" i="1"/>
  <c r="D1897" i="1"/>
  <c r="D1896" i="1"/>
  <c r="D1895" i="1"/>
  <c r="D1894" i="1"/>
  <c r="D1893" i="1"/>
  <c r="D1892" i="1"/>
  <c r="D1891" i="1"/>
  <c r="D1890" i="1"/>
  <c r="D1889" i="1"/>
  <c r="D1888" i="1"/>
  <c r="D1887" i="1"/>
  <c r="D1886" i="1"/>
  <c r="D1885" i="1"/>
  <c r="D1884" i="1"/>
  <c r="D1883" i="1"/>
  <c r="D1882" i="1"/>
  <c r="D1881" i="1"/>
  <c r="D1880" i="1"/>
  <c r="D1879" i="1"/>
  <c r="D1878" i="1"/>
  <c r="D1877" i="1"/>
  <c r="D1876" i="1"/>
  <c r="D1875" i="1"/>
  <c r="D1874" i="1"/>
  <c r="D1873" i="1"/>
  <c r="D1872" i="1"/>
  <c r="D1871" i="1"/>
  <c r="D1870" i="1"/>
  <c r="D1869" i="1"/>
  <c r="D1868" i="1"/>
  <c r="D1867" i="1"/>
  <c r="D1866" i="1"/>
  <c r="D1865" i="1"/>
  <c r="D1864" i="1"/>
  <c r="D1863" i="1"/>
  <c r="D1862" i="1"/>
  <c r="D1861" i="1"/>
  <c r="D1860" i="1"/>
  <c r="D1859" i="1"/>
  <c r="D1858" i="1"/>
  <c r="D1857" i="1"/>
  <c r="D1856" i="1"/>
  <c r="D1855" i="1"/>
  <c r="D1854" i="1"/>
  <c r="D1853" i="1"/>
  <c r="D1852" i="1"/>
  <c r="D1851" i="1"/>
  <c r="D1850" i="1"/>
  <c r="D1849" i="1"/>
  <c r="D1848" i="1"/>
  <c r="D1847" i="1"/>
  <c r="D1846" i="1"/>
  <c r="D1845" i="1"/>
  <c r="D1844" i="1"/>
  <c r="D1843" i="1"/>
  <c r="D1842" i="1"/>
  <c r="D1841" i="1"/>
  <c r="D1840" i="1"/>
  <c r="D1839" i="1"/>
  <c r="D1838" i="1"/>
  <c r="D1837" i="1"/>
  <c r="D1836" i="1"/>
  <c r="D1835" i="1"/>
  <c r="D1834" i="1"/>
  <c r="D1833" i="1"/>
  <c r="D1832" i="1"/>
  <c r="D1831" i="1"/>
  <c r="D1830" i="1"/>
  <c r="D1829" i="1"/>
  <c r="D1828" i="1"/>
  <c r="D1827" i="1"/>
  <c r="D1826" i="1"/>
  <c r="D1825" i="1"/>
  <c r="D1824" i="1"/>
  <c r="D1823" i="1"/>
  <c r="D1822" i="1"/>
  <c r="D1821" i="1"/>
  <c r="D1820" i="1"/>
  <c r="D1819" i="1"/>
  <c r="D1818" i="1"/>
  <c r="D1817" i="1"/>
  <c r="D1816" i="1"/>
  <c r="D1815" i="1"/>
  <c r="D1814" i="1"/>
  <c r="D1813" i="1"/>
  <c r="D1812" i="1"/>
  <c r="D1811" i="1"/>
  <c r="D1810" i="1"/>
  <c r="D1809" i="1"/>
  <c r="D1808" i="1"/>
  <c r="D1807" i="1"/>
  <c r="D1806" i="1"/>
  <c r="D1805" i="1"/>
  <c r="D1804" i="1"/>
  <c r="D1803" i="1"/>
  <c r="D1802" i="1"/>
  <c r="D1801" i="1"/>
  <c r="D1800" i="1"/>
  <c r="D1799" i="1"/>
  <c r="D1798" i="1"/>
  <c r="D1797" i="1"/>
  <c r="D1796" i="1"/>
  <c r="D1795" i="1"/>
  <c r="D1794" i="1"/>
  <c r="D1793" i="1"/>
  <c r="D1792" i="1"/>
  <c r="D1791" i="1"/>
  <c r="D1790" i="1"/>
  <c r="D1789" i="1"/>
  <c r="D1788" i="1"/>
  <c r="D1787" i="1"/>
  <c r="D1786" i="1"/>
  <c r="D1785" i="1"/>
  <c r="D1784" i="1"/>
  <c r="D1783" i="1"/>
  <c r="D1782" i="1"/>
  <c r="D1781" i="1"/>
  <c r="D1780" i="1"/>
  <c r="D1779" i="1"/>
  <c r="D1778" i="1"/>
  <c r="D1777" i="1"/>
  <c r="D1776" i="1"/>
  <c r="D1775" i="1"/>
  <c r="D1774" i="1"/>
  <c r="D1773" i="1"/>
  <c r="D1772" i="1"/>
  <c r="D1771" i="1"/>
  <c r="D1770" i="1"/>
  <c r="D1769" i="1"/>
  <c r="D1768" i="1"/>
  <c r="D1767" i="1"/>
  <c r="D1766" i="1"/>
  <c r="D1765" i="1"/>
  <c r="D1764" i="1"/>
  <c r="D1763" i="1"/>
  <c r="D1762" i="1"/>
  <c r="D1761" i="1"/>
  <c r="D1760" i="1"/>
  <c r="D1759" i="1"/>
  <c r="D1758" i="1"/>
  <c r="D1757" i="1"/>
  <c r="D1756" i="1"/>
  <c r="D1755" i="1"/>
  <c r="D1754" i="1"/>
  <c r="D1753" i="1"/>
  <c r="D1752" i="1"/>
  <c r="D1751" i="1"/>
  <c r="D1750" i="1"/>
  <c r="D1749" i="1"/>
  <c r="D1748" i="1"/>
  <c r="D1747" i="1"/>
  <c r="D1746" i="1"/>
  <c r="D1745" i="1"/>
  <c r="D1744" i="1"/>
  <c r="D1743" i="1"/>
  <c r="D1742" i="1"/>
  <c r="D1741" i="1"/>
  <c r="D1740" i="1"/>
  <c r="D1739" i="1"/>
  <c r="D1738" i="1"/>
  <c r="D1737" i="1"/>
  <c r="D1736" i="1"/>
  <c r="D1735" i="1"/>
  <c r="D1734" i="1"/>
  <c r="D1733" i="1"/>
  <c r="D1732" i="1"/>
  <c r="D1731" i="1"/>
  <c r="D1730" i="1"/>
  <c r="D1729" i="1"/>
  <c r="D1728" i="1"/>
  <c r="D1727" i="1"/>
  <c r="D1726" i="1"/>
  <c r="D1725" i="1"/>
  <c r="D1724" i="1"/>
  <c r="D1723" i="1"/>
  <c r="D1722" i="1"/>
  <c r="D1721" i="1"/>
  <c r="D1720" i="1"/>
  <c r="D1719" i="1"/>
  <c r="D1718" i="1"/>
  <c r="D1717" i="1"/>
  <c r="D1716" i="1"/>
  <c r="D1715" i="1"/>
  <c r="D1714" i="1"/>
  <c r="D1713" i="1"/>
  <c r="D1712" i="1"/>
  <c r="D1711" i="1"/>
  <c r="D1710" i="1"/>
  <c r="D1709" i="1"/>
  <c r="D1708" i="1"/>
  <c r="D1707" i="1"/>
  <c r="D1706" i="1"/>
  <c r="D1705" i="1"/>
  <c r="D1704" i="1"/>
  <c r="D1703" i="1"/>
  <c r="D1702" i="1"/>
  <c r="D1701" i="1"/>
  <c r="D1700" i="1"/>
  <c r="D1699" i="1"/>
  <c r="D1698" i="1"/>
  <c r="D1697" i="1"/>
  <c r="D1696" i="1"/>
  <c r="D1695" i="1"/>
  <c r="D1694" i="1"/>
  <c r="D1693" i="1"/>
  <c r="D1692" i="1"/>
  <c r="D1691" i="1"/>
  <c r="D1690" i="1"/>
  <c r="D1689" i="1"/>
  <c r="D1688" i="1"/>
  <c r="D1687" i="1"/>
  <c r="D1686" i="1"/>
  <c r="D1685" i="1"/>
  <c r="D1684" i="1"/>
  <c r="D1683" i="1"/>
  <c r="D1682" i="1"/>
  <c r="D1681" i="1"/>
  <c r="D1680" i="1"/>
  <c r="D1679" i="1"/>
  <c r="D1678" i="1"/>
  <c r="D1677" i="1"/>
  <c r="D1676" i="1"/>
  <c r="D1675" i="1"/>
  <c r="D1674" i="1"/>
  <c r="D1673" i="1"/>
  <c r="D1672" i="1"/>
  <c r="D1671" i="1"/>
  <c r="D1670" i="1"/>
  <c r="D1669" i="1"/>
  <c r="D1668" i="1"/>
  <c r="D1667" i="1"/>
  <c r="D1666" i="1"/>
  <c r="D1665" i="1"/>
  <c r="D1664" i="1"/>
  <c r="D1663" i="1"/>
  <c r="D1662" i="1"/>
  <c r="D1661" i="1"/>
  <c r="D1660" i="1"/>
  <c r="D1659" i="1"/>
  <c r="D1658" i="1"/>
  <c r="D1657" i="1"/>
  <c r="D1656" i="1"/>
  <c r="D1655" i="1"/>
  <c r="D1654" i="1"/>
  <c r="D1653" i="1"/>
  <c r="D1652" i="1"/>
  <c r="D1651" i="1"/>
  <c r="D1650" i="1"/>
  <c r="D1649" i="1"/>
  <c r="D1648" i="1"/>
  <c r="D1647" i="1"/>
  <c r="D1646" i="1"/>
  <c r="D1645" i="1"/>
  <c r="D1644" i="1"/>
  <c r="D1643" i="1"/>
  <c r="D1642" i="1"/>
  <c r="D1641" i="1"/>
  <c r="D1640" i="1"/>
  <c r="D1639" i="1"/>
  <c r="D1638" i="1"/>
  <c r="D1637" i="1"/>
  <c r="D1636" i="1"/>
  <c r="D1635" i="1"/>
  <c r="D1634" i="1"/>
  <c r="D1633" i="1"/>
  <c r="D1632" i="1"/>
  <c r="D1631" i="1"/>
  <c r="D1630" i="1"/>
  <c r="D1629" i="1"/>
  <c r="D1628" i="1"/>
  <c r="D1627" i="1"/>
  <c r="D1626" i="1"/>
  <c r="D1625" i="1"/>
  <c r="D1624" i="1"/>
  <c r="D1623" i="1"/>
  <c r="D1622" i="1"/>
  <c r="D1621" i="1"/>
  <c r="D1620" i="1"/>
  <c r="D1619" i="1"/>
  <c r="D1618" i="1"/>
  <c r="D1617" i="1"/>
  <c r="D1616" i="1"/>
  <c r="D1615" i="1"/>
  <c r="D1614" i="1"/>
  <c r="D1613" i="1"/>
  <c r="D1612" i="1"/>
  <c r="D1611" i="1"/>
  <c r="D1610" i="1"/>
  <c r="D1609" i="1"/>
  <c r="D1608" i="1"/>
  <c r="D1607" i="1"/>
  <c r="D1606" i="1"/>
  <c r="D1605" i="1"/>
  <c r="D1604" i="1"/>
  <c r="D1603" i="1"/>
  <c r="D1602" i="1"/>
  <c r="D1601" i="1"/>
  <c r="D1600" i="1"/>
  <c r="D1599" i="1"/>
  <c r="D1598" i="1"/>
  <c r="D1597" i="1"/>
  <c r="D1596" i="1"/>
  <c r="D1595" i="1"/>
  <c r="D1594" i="1"/>
  <c r="D1593" i="1"/>
  <c r="D1592" i="1"/>
  <c r="D1591" i="1"/>
  <c r="D1590" i="1"/>
  <c r="D1589" i="1"/>
  <c r="D1588" i="1"/>
  <c r="D1587" i="1"/>
  <c r="D1586" i="1"/>
  <c r="D1585" i="1"/>
  <c r="D1584" i="1"/>
  <c r="D1583" i="1"/>
  <c r="D1582" i="1"/>
  <c r="D1581" i="1"/>
  <c r="D1580" i="1"/>
  <c r="D1579" i="1"/>
  <c r="D1578" i="1"/>
  <c r="D1577" i="1"/>
  <c r="D1576" i="1"/>
  <c r="D1575" i="1"/>
  <c r="D1574" i="1"/>
  <c r="D1573" i="1"/>
  <c r="D1572" i="1"/>
  <c r="D1571" i="1"/>
  <c r="D1570" i="1"/>
  <c r="D1569" i="1"/>
  <c r="D1568" i="1"/>
  <c r="D1567" i="1"/>
  <c r="D1566" i="1"/>
  <c r="D1565" i="1"/>
  <c r="D1564" i="1"/>
  <c r="D1563" i="1"/>
  <c r="D1562" i="1"/>
  <c r="D1561" i="1"/>
  <c r="D1560" i="1"/>
  <c r="D1559" i="1"/>
  <c r="D1558" i="1"/>
  <c r="D1557" i="1"/>
  <c r="D1556" i="1"/>
  <c r="D1555" i="1"/>
  <c r="D1554" i="1"/>
  <c r="D1553" i="1"/>
  <c r="D1552" i="1"/>
  <c r="D1551" i="1"/>
  <c r="D1550" i="1"/>
  <c r="D1549" i="1"/>
  <c r="D1548" i="1"/>
  <c r="D1547" i="1"/>
  <c r="D1546" i="1"/>
  <c r="D1545" i="1"/>
  <c r="D1544" i="1"/>
  <c r="D1543" i="1"/>
  <c r="D1542" i="1"/>
  <c r="D1541" i="1"/>
  <c r="D1540" i="1"/>
  <c r="D1539" i="1"/>
  <c r="D1538" i="1"/>
  <c r="D1537" i="1"/>
  <c r="D1536" i="1"/>
  <c r="D1535" i="1"/>
  <c r="D1534" i="1"/>
  <c r="D1533" i="1"/>
  <c r="D1532" i="1"/>
  <c r="D1531" i="1"/>
  <c r="D1530" i="1"/>
  <c r="D1529" i="1"/>
  <c r="D1528" i="1"/>
  <c r="D1527" i="1"/>
  <c r="D1526" i="1"/>
  <c r="D1525" i="1"/>
  <c r="D1524" i="1"/>
  <c r="D1523" i="1"/>
  <c r="D1522" i="1"/>
  <c r="D1521" i="1"/>
  <c r="D1520" i="1"/>
  <c r="D1519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504" i="1"/>
  <c r="D1503" i="1"/>
  <c r="D1502" i="1"/>
  <c r="D1501" i="1"/>
  <c r="D1500" i="1"/>
  <c r="D1499" i="1"/>
  <c r="D1498" i="1"/>
  <c r="D1497" i="1"/>
  <c r="D1496" i="1"/>
  <c r="D1495" i="1"/>
  <c r="D1494" i="1"/>
  <c r="D1493" i="1"/>
  <c r="D1492" i="1"/>
  <c r="D1491" i="1"/>
  <c r="D1490" i="1"/>
  <c r="D1489" i="1"/>
  <c r="D1488" i="1"/>
  <c r="D1487" i="1"/>
  <c r="D1486" i="1"/>
  <c r="D1485" i="1"/>
  <c r="D1484" i="1"/>
  <c r="D1483" i="1"/>
  <c r="D1482" i="1"/>
  <c r="D1481" i="1"/>
  <c r="D1480" i="1"/>
  <c r="D1479" i="1"/>
  <c r="D1478" i="1"/>
  <c r="D1477" i="1"/>
  <c r="D1476" i="1"/>
  <c r="D1475" i="1"/>
  <c r="D1474" i="1"/>
  <c r="D1473" i="1"/>
  <c r="D1472" i="1"/>
  <c r="D1471" i="1"/>
  <c r="D1470" i="1"/>
  <c r="D1469" i="1"/>
  <c r="D1468" i="1"/>
  <c r="D1467" i="1"/>
  <c r="D1466" i="1"/>
  <c r="D1465" i="1"/>
  <c r="D1464" i="1"/>
  <c r="D1463" i="1"/>
  <c r="D1462" i="1"/>
  <c r="D1461" i="1"/>
  <c r="D1460" i="1"/>
  <c r="D1459" i="1"/>
  <c r="D1458" i="1"/>
  <c r="D1457" i="1"/>
  <c r="D1456" i="1"/>
  <c r="D1455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6" i="1"/>
  <c r="D1435" i="1"/>
  <c r="D1434" i="1"/>
  <c r="D1433" i="1"/>
  <c r="D1432" i="1"/>
  <c r="D1431" i="1"/>
  <c r="D1430" i="1"/>
  <c r="D1429" i="1"/>
  <c r="D1428" i="1"/>
  <c r="D1427" i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1" i="1"/>
  <c r="D1410" i="1"/>
  <c r="D1409" i="1"/>
  <c r="D1408" i="1"/>
  <c r="D1407" i="1"/>
  <c r="D1406" i="1"/>
  <c r="D1405" i="1"/>
  <c r="D1404" i="1"/>
  <c r="D1403" i="1"/>
  <c r="D1402" i="1"/>
  <c r="D1401" i="1"/>
  <c r="D1400" i="1"/>
  <c r="D1399" i="1"/>
  <c r="D1398" i="1"/>
  <c r="D1397" i="1"/>
  <c r="D1396" i="1"/>
  <c r="D1395" i="1"/>
  <c r="D1394" i="1"/>
  <c r="D1393" i="1"/>
  <c r="D1392" i="1"/>
  <c r="D1391" i="1"/>
  <c r="D1390" i="1"/>
  <c r="D1389" i="1"/>
  <c r="D1388" i="1"/>
  <c r="D1387" i="1"/>
  <c r="D1386" i="1"/>
  <c r="D1385" i="1"/>
  <c r="D1384" i="1"/>
  <c r="D1383" i="1"/>
  <c r="D1382" i="1"/>
  <c r="D1381" i="1"/>
  <c r="D1380" i="1"/>
  <c r="D1379" i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7" i="1"/>
  <c r="D1346" i="1"/>
  <c r="D1345" i="1"/>
  <c r="D1344" i="1"/>
  <c r="D1343" i="1"/>
  <c r="D1342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9" i="1"/>
  <c r="D1328" i="1"/>
  <c r="D1327" i="1"/>
  <c r="D1326" i="1"/>
  <c r="D1325" i="1"/>
  <c r="D1324" i="1"/>
  <c r="D1323" i="1"/>
  <c r="D1322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8" i="1"/>
  <c r="D1307" i="1"/>
  <c r="D1306" i="1"/>
  <c r="D1305" i="1"/>
  <c r="D1304" i="1"/>
  <c r="D1303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3" i="1"/>
  <c r="D1282" i="1"/>
  <c r="D1281" i="1"/>
  <c r="D1280" i="1"/>
  <c r="D1279" i="1"/>
  <c r="D1278" i="1"/>
  <c r="D1277" i="1"/>
  <c r="D1276" i="1"/>
  <c r="D1275" i="1"/>
  <c r="D1274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7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80" i="1"/>
  <c r="D1179" i="1"/>
  <c r="D1178" i="1"/>
  <c r="D1177" i="1"/>
  <c r="D1176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4" i="1"/>
  <c r="D1073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B1343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" i="1"/>
  <c r="B39" i="1" l="1"/>
  <c r="B103" i="1"/>
  <c r="B167" i="1"/>
  <c r="B231" i="1"/>
  <c r="B295" i="1"/>
  <c r="B359" i="1"/>
  <c r="B423" i="1"/>
  <c r="B487" i="1"/>
  <c r="B551" i="1"/>
  <c r="B615" i="1"/>
  <c r="B679" i="1"/>
  <c r="B48" i="1"/>
  <c r="B112" i="1"/>
  <c r="B176" i="1"/>
  <c r="B240" i="1"/>
  <c r="B304" i="1"/>
  <c r="B368" i="1"/>
  <c r="B432" i="1"/>
  <c r="B496" i="1"/>
  <c r="B560" i="1"/>
  <c r="B624" i="1"/>
  <c r="B57" i="1"/>
  <c r="B121" i="1"/>
  <c r="B185" i="1"/>
  <c r="B249" i="1"/>
  <c r="B313" i="1"/>
  <c r="B377" i="1"/>
  <c r="B441" i="1"/>
  <c r="B505" i="1"/>
  <c r="B569" i="1"/>
  <c r="B633" i="1"/>
  <c r="B10" i="1"/>
  <c r="B74" i="1"/>
  <c r="B138" i="1"/>
  <c r="B202" i="1"/>
  <c r="B266" i="1"/>
  <c r="B330" i="1"/>
  <c r="B394" i="1"/>
  <c r="B458" i="1"/>
  <c r="B522" i="1"/>
  <c r="B586" i="1"/>
  <c r="B59" i="1"/>
  <c r="B123" i="1"/>
  <c r="B187" i="1"/>
  <c r="B251" i="1"/>
  <c r="B315" i="1"/>
  <c r="B379" i="1"/>
  <c r="B443" i="1"/>
  <c r="B507" i="1"/>
  <c r="B28" i="1"/>
  <c r="B92" i="1"/>
  <c r="B156" i="1"/>
  <c r="B220" i="1"/>
  <c r="B284" i="1"/>
  <c r="B348" i="1"/>
  <c r="B412" i="1"/>
  <c r="B476" i="1"/>
  <c r="B540" i="1"/>
  <c r="B604" i="1"/>
  <c r="B668" i="1"/>
  <c r="B37" i="1"/>
  <c r="B101" i="1"/>
  <c r="B165" i="1"/>
  <c r="B229" i="1"/>
  <c r="B293" i="1"/>
  <c r="B357" i="1"/>
  <c r="B421" i="1"/>
  <c r="B485" i="1"/>
  <c r="B549" i="1"/>
  <c r="B613" i="1"/>
  <c r="B677" i="1"/>
  <c r="B46" i="1"/>
  <c r="B110" i="1"/>
  <c r="B174" i="1"/>
  <c r="B238" i="1"/>
  <c r="B302" i="1"/>
  <c r="B366" i="1"/>
  <c r="B430" i="1"/>
  <c r="B494" i="1"/>
  <c r="B558" i="1"/>
  <c r="B622" i="1"/>
  <c r="B687" i="1"/>
  <c r="B751" i="1"/>
  <c r="B823" i="1"/>
  <c r="B895" i="1"/>
  <c r="B975" i="1"/>
  <c r="B1063" i="1"/>
  <c r="B1151" i="1"/>
  <c r="B1279" i="1"/>
  <c r="B47" i="1"/>
  <c r="B111" i="1"/>
  <c r="B175" i="1"/>
  <c r="B239" i="1"/>
  <c r="B303" i="1"/>
  <c r="B367" i="1"/>
  <c r="B431" i="1"/>
  <c r="B495" i="1"/>
  <c r="B559" i="1"/>
  <c r="B623" i="1"/>
  <c r="B56" i="1"/>
  <c r="B120" i="1"/>
  <c r="B184" i="1"/>
  <c r="B248" i="1"/>
  <c r="B312" i="1"/>
  <c r="B376" i="1"/>
  <c r="B440" i="1"/>
  <c r="B504" i="1"/>
  <c r="B568" i="1"/>
  <c r="B632" i="1"/>
  <c r="B65" i="1"/>
  <c r="B129" i="1"/>
  <c r="B193" i="1"/>
  <c r="B257" i="1"/>
  <c r="B321" i="1"/>
  <c r="B385" i="1"/>
  <c r="B449" i="1"/>
  <c r="B513" i="1"/>
  <c r="B577" i="1"/>
  <c r="B641" i="1"/>
  <c r="B18" i="1"/>
  <c r="B82" i="1"/>
  <c r="B146" i="1"/>
  <c r="B210" i="1"/>
  <c r="B274" i="1"/>
  <c r="B338" i="1"/>
  <c r="B402" i="1"/>
  <c r="B466" i="1"/>
  <c r="B530" i="1"/>
  <c r="B3" i="1"/>
  <c r="B67" i="1"/>
  <c r="B131" i="1"/>
  <c r="B195" i="1"/>
  <c r="B259" i="1"/>
  <c r="B323" i="1"/>
  <c r="B387" i="1"/>
  <c r="B451" i="1"/>
  <c r="B515" i="1"/>
  <c r="B36" i="1"/>
  <c r="B100" i="1"/>
  <c r="B164" i="1"/>
  <c r="B228" i="1"/>
  <c r="B292" i="1"/>
  <c r="B356" i="1"/>
  <c r="B420" i="1"/>
  <c r="B484" i="1"/>
  <c r="B548" i="1"/>
  <c r="B612" i="1"/>
  <c r="B676" i="1"/>
  <c r="B45" i="1"/>
  <c r="B109" i="1"/>
  <c r="B173" i="1"/>
  <c r="B237" i="1"/>
  <c r="B301" i="1"/>
  <c r="B365" i="1"/>
  <c r="B429" i="1"/>
  <c r="B493" i="1"/>
  <c r="B557" i="1"/>
  <c r="B621" i="1"/>
  <c r="B2020" i="1"/>
  <c r="B54" i="1"/>
  <c r="B118" i="1"/>
  <c r="B182" i="1"/>
  <c r="B246" i="1"/>
  <c r="B310" i="1"/>
  <c r="B374" i="1"/>
  <c r="B438" i="1"/>
  <c r="B502" i="1"/>
  <c r="B566" i="1"/>
  <c r="B630" i="1"/>
  <c r="B695" i="1"/>
  <c r="B759" i="1"/>
  <c r="B831" i="1"/>
  <c r="B903" i="1"/>
  <c r="B991" i="1"/>
  <c r="B1079" i="1"/>
  <c r="B1183" i="1"/>
  <c r="B1311" i="1"/>
  <c r="B55" i="1"/>
  <c r="B119" i="1"/>
  <c r="B183" i="1"/>
  <c r="B247" i="1"/>
  <c r="B311" i="1"/>
  <c r="B375" i="1"/>
  <c r="B439" i="1"/>
  <c r="B503" i="1"/>
  <c r="B567" i="1"/>
  <c r="B631" i="1"/>
  <c r="B64" i="1"/>
  <c r="B128" i="1"/>
  <c r="B192" i="1"/>
  <c r="B256" i="1"/>
  <c r="B320" i="1"/>
  <c r="B384" i="1"/>
  <c r="B448" i="1"/>
  <c r="B512" i="1"/>
  <c r="B576" i="1"/>
  <c r="B640" i="1"/>
  <c r="B9" i="1"/>
  <c r="B73" i="1"/>
  <c r="B137" i="1"/>
  <c r="B201" i="1"/>
  <c r="B265" i="1"/>
  <c r="B329" i="1"/>
  <c r="B393" i="1"/>
  <c r="B457" i="1"/>
  <c r="B521" i="1"/>
  <c r="B585" i="1"/>
  <c r="B649" i="1"/>
  <c r="B26" i="1"/>
  <c r="B90" i="1"/>
  <c r="B154" i="1"/>
  <c r="B218" i="1"/>
  <c r="B282" i="1"/>
  <c r="B346" i="1"/>
  <c r="B410" i="1"/>
  <c r="B474" i="1"/>
  <c r="B538" i="1"/>
  <c r="B11" i="1"/>
  <c r="B75" i="1"/>
  <c r="B139" i="1"/>
  <c r="B203" i="1"/>
  <c r="B267" i="1"/>
  <c r="B331" i="1"/>
  <c r="B395" i="1"/>
  <c r="B459" i="1"/>
  <c r="B523" i="1"/>
  <c r="B44" i="1"/>
  <c r="B108" i="1"/>
  <c r="B172" i="1"/>
  <c r="B236" i="1"/>
  <c r="B300" i="1"/>
  <c r="B364" i="1"/>
  <c r="B428" i="1"/>
  <c r="B492" i="1"/>
  <c r="B556" i="1"/>
  <c r="B620" i="1"/>
  <c r="B2019" i="1"/>
  <c r="B53" i="1"/>
  <c r="B117" i="1"/>
  <c r="B181" i="1"/>
  <c r="B245" i="1"/>
  <c r="B309" i="1"/>
  <c r="B373" i="1"/>
  <c r="B437" i="1"/>
  <c r="B501" i="1"/>
  <c r="B565" i="1"/>
  <c r="B629" i="1"/>
  <c r="B62" i="1"/>
  <c r="B126" i="1"/>
  <c r="B190" i="1"/>
  <c r="B254" i="1"/>
  <c r="B318" i="1"/>
  <c r="B382" i="1"/>
  <c r="B446" i="1"/>
  <c r="B510" i="1"/>
  <c r="B574" i="1"/>
  <c r="B638" i="1"/>
  <c r="B703" i="1"/>
  <c r="B767" i="1"/>
  <c r="B839" i="1"/>
  <c r="B911" i="1"/>
  <c r="B999" i="1"/>
  <c r="B1087" i="1"/>
  <c r="B1191" i="1"/>
  <c r="B1319" i="1"/>
  <c r="B63" i="1"/>
  <c r="B127" i="1"/>
  <c r="B191" i="1"/>
  <c r="B255" i="1"/>
  <c r="B319" i="1"/>
  <c r="B383" i="1"/>
  <c r="B447" i="1"/>
  <c r="B511" i="1"/>
  <c r="B575" i="1"/>
  <c r="B639" i="1"/>
  <c r="B8" i="1"/>
  <c r="B72" i="1"/>
  <c r="B136" i="1"/>
  <c r="B200" i="1"/>
  <c r="B264" i="1"/>
  <c r="B328" i="1"/>
  <c r="B392" i="1"/>
  <c r="B456" i="1"/>
  <c r="B520" i="1"/>
  <c r="B584" i="1"/>
  <c r="B648" i="1"/>
  <c r="B17" i="1"/>
  <c r="B81" i="1"/>
  <c r="B145" i="1"/>
  <c r="B209" i="1"/>
  <c r="B273" i="1"/>
  <c r="B337" i="1"/>
  <c r="B401" i="1"/>
  <c r="B465" i="1"/>
  <c r="B529" i="1"/>
  <c r="B593" i="1"/>
  <c r="B657" i="1"/>
  <c r="B34" i="1"/>
  <c r="B98" i="1"/>
  <c r="B162" i="1"/>
  <c r="B226" i="1"/>
  <c r="B290" i="1"/>
  <c r="B354" i="1"/>
  <c r="B418" i="1"/>
  <c r="B482" i="1"/>
  <c r="B546" i="1"/>
  <c r="B19" i="1"/>
  <c r="B83" i="1"/>
  <c r="B147" i="1"/>
  <c r="B211" i="1"/>
  <c r="B275" i="1"/>
  <c r="B339" i="1"/>
  <c r="B403" i="1"/>
  <c r="B467" i="1"/>
  <c r="B531" i="1"/>
  <c r="B52" i="1"/>
  <c r="B116" i="1"/>
  <c r="B180" i="1"/>
  <c r="B244" i="1"/>
  <c r="B308" i="1"/>
  <c r="B372" i="1"/>
  <c r="B436" i="1"/>
  <c r="B500" i="1"/>
  <c r="B564" i="1"/>
  <c r="B628" i="1"/>
  <c r="B61" i="1"/>
  <c r="B125" i="1"/>
  <c r="B189" i="1"/>
  <c r="B253" i="1"/>
  <c r="B317" i="1"/>
  <c r="B381" i="1"/>
  <c r="B445" i="1"/>
  <c r="B509" i="1"/>
  <c r="B573" i="1"/>
  <c r="B637" i="1"/>
  <c r="B6" i="1"/>
  <c r="B70" i="1"/>
  <c r="B134" i="1"/>
  <c r="B198" i="1"/>
  <c r="B262" i="1"/>
  <c r="B326" i="1"/>
  <c r="B390" i="1"/>
  <c r="B454" i="1"/>
  <c r="B518" i="1"/>
  <c r="B582" i="1"/>
  <c r="B646" i="1"/>
  <c r="B711" i="1"/>
  <c r="B775" i="1"/>
  <c r="B847" i="1"/>
  <c r="B927" i="1"/>
  <c r="B1015" i="1"/>
  <c r="B1095" i="1"/>
  <c r="B1207" i="1"/>
  <c r="B1335" i="1"/>
  <c r="B7" i="1"/>
  <c r="B71" i="1"/>
  <c r="B135" i="1"/>
  <c r="B199" i="1"/>
  <c r="B263" i="1"/>
  <c r="B327" i="1"/>
  <c r="B391" i="1"/>
  <c r="B455" i="1"/>
  <c r="B519" i="1"/>
  <c r="B583" i="1"/>
  <c r="B647" i="1"/>
  <c r="B16" i="1"/>
  <c r="B80" i="1"/>
  <c r="B144" i="1"/>
  <c r="B208" i="1"/>
  <c r="B272" i="1"/>
  <c r="B336" i="1"/>
  <c r="B400" i="1"/>
  <c r="B464" i="1"/>
  <c r="B528" i="1"/>
  <c r="B592" i="1"/>
  <c r="B656" i="1"/>
  <c r="B25" i="1"/>
  <c r="B89" i="1"/>
  <c r="B153" i="1"/>
  <c r="B217" i="1"/>
  <c r="B281" i="1"/>
  <c r="B345" i="1"/>
  <c r="B409" i="1"/>
  <c r="B473" i="1"/>
  <c r="B537" i="1"/>
  <c r="B601" i="1"/>
  <c r="B665" i="1"/>
  <c r="B42" i="1"/>
  <c r="B106" i="1"/>
  <c r="B170" i="1"/>
  <c r="B234" i="1"/>
  <c r="B298" i="1"/>
  <c r="B362" i="1"/>
  <c r="B426" i="1"/>
  <c r="B490" i="1"/>
  <c r="B554" i="1"/>
  <c r="B27" i="1"/>
  <c r="B91" i="1"/>
  <c r="B155" i="1"/>
  <c r="B219" i="1"/>
  <c r="B283" i="1"/>
  <c r="B347" i="1"/>
  <c r="B411" i="1"/>
  <c r="B475" i="1"/>
  <c r="B539" i="1"/>
  <c r="B60" i="1"/>
  <c r="B124" i="1"/>
  <c r="B188" i="1"/>
  <c r="B252" i="1"/>
  <c r="B316" i="1"/>
  <c r="B380" i="1"/>
  <c r="B444" i="1"/>
  <c r="B508" i="1"/>
  <c r="B572" i="1"/>
  <c r="B636" i="1"/>
  <c r="B5" i="1"/>
  <c r="B69" i="1"/>
  <c r="B133" i="1"/>
  <c r="B197" i="1"/>
  <c r="B261" i="1"/>
  <c r="B325" i="1"/>
  <c r="B389" i="1"/>
  <c r="B453" i="1"/>
  <c r="B517" i="1"/>
  <c r="B581" i="1"/>
  <c r="B645" i="1"/>
  <c r="B14" i="1"/>
  <c r="B78" i="1"/>
  <c r="B142" i="1"/>
  <c r="B206" i="1"/>
  <c r="B270" i="1"/>
  <c r="B334" i="1"/>
  <c r="B398" i="1"/>
  <c r="B462" i="1"/>
  <c r="B526" i="1"/>
  <c r="B590" i="1"/>
  <c r="B654" i="1"/>
  <c r="B719" i="1"/>
  <c r="B783" i="1"/>
  <c r="B863" i="1"/>
  <c r="B935" i="1"/>
  <c r="B1023" i="1"/>
  <c r="B1103" i="1"/>
  <c r="B1215" i="1"/>
  <c r="B2" i="1"/>
  <c r="B2006" i="1"/>
  <c r="B1846" i="1"/>
  <c r="B1782" i="1"/>
  <c r="B1718" i="1"/>
  <c r="B1654" i="1"/>
  <c r="B1590" i="1"/>
  <c r="B1526" i="1"/>
  <c r="B1462" i="1"/>
  <c r="B1398" i="1"/>
  <c r="B1910" i="1"/>
  <c r="B1965" i="1"/>
  <c r="B1901" i="1"/>
  <c r="B1837" i="1"/>
  <c r="B1773" i="1"/>
  <c r="B1709" i="1"/>
  <c r="B1645" i="1"/>
  <c r="B1581" i="1"/>
  <c r="B1517" i="1"/>
  <c r="B1878" i="1"/>
  <c r="B1956" i="1"/>
  <c r="B1892" i="1"/>
  <c r="B1828" i="1"/>
  <c r="B1764" i="1"/>
  <c r="B1700" i="1"/>
  <c r="B1636" i="1"/>
  <c r="B1572" i="1"/>
  <c r="B1508" i="1"/>
  <c r="B1971" i="1"/>
  <c r="B1907" i="1"/>
  <c r="B1843" i="1"/>
  <c r="B1779" i="1"/>
  <c r="B1715" i="1"/>
  <c r="B1651" i="1"/>
  <c r="B1587" i="1"/>
  <c r="B1523" i="1"/>
  <c r="B1459" i="1"/>
  <c r="B1954" i="1"/>
  <c r="B1794" i="1"/>
  <c r="B1730" i="1"/>
  <c r="B1666" i="1"/>
  <c r="B1602" i="1"/>
  <c r="B1538" i="1"/>
  <c r="B1474" i="1"/>
  <c r="B1410" i="1"/>
  <c r="B1346" i="1"/>
  <c r="B1898" i="1"/>
  <c r="B1977" i="1"/>
  <c r="B1913" i="1"/>
  <c r="B1849" i="1"/>
  <c r="B1785" i="1"/>
  <c r="B1721" i="1"/>
  <c r="B1657" i="1"/>
  <c r="B1593" i="1"/>
  <c r="B1529" i="1"/>
  <c r="B1882" i="1"/>
  <c r="B1968" i="1"/>
  <c r="B1904" i="1"/>
  <c r="B1840" i="1"/>
  <c r="B1776" i="1"/>
  <c r="B1712" i="1"/>
  <c r="B1648" i="1"/>
  <c r="B1584" i="1"/>
  <c r="B1520" i="1"/>
  <c r="B1874" i="1"/>
  <c r="B1967" i="1"/>
  <c r="B1903" i="1"/>
  <c r="B1839" i="1"/>
  <c r="B1775" i="1"/>
  <c r="B1711" i="1"/>
  <c r="B1647" i="1"/>
  <c r="B1583" i="1"/>
  <c r="B1519" i="1"/>
  <c r="B1326" i="1"/>
  <c r="B1262" i="1"/>
  <c r="B1198" i="1"/>
  <c r="B1134" i="1"/>
  <c r="B1070" i="1"/>
  <c r="B1006" i="1"/>
  <c r="B942" i="1"/>
  <c r="B878" i="1"/>
  <c r="B814" i="1"/>
  <c r="B750" i="1"/>
  <c r="B686" i="1"/>
  <c r="B1437" i="1"/>
  <c r="B1373" i="1"/>
  <c r="B1309" i="1"/>
  <c r="B1245" i="1"/>
  <c r="B1181" i="1"/>
  <c r="B1117" i="1"/>
  <c r="B1053" i="1"/>
  <c r="B989" i="1"/>
  <c r="B925" i="1"/>
  <c r="B861" i="1"/>
  <c r="B797" i="1"/>
  <c r="B733" i="1"/>
  <c r="B1484" i="1"/>
  <c r="B1420" i="1"/>
  <c r="B1356" i="1"/>
  <c r="B1292" i="1"/>
  <c r="B1228" i="1"/>
  <c r="B1164" i="1"/>
  <c r="B1100" i="1"/>
  <c r="B1036" i="1"/>
  <c r="B972" i="1"/>
  <c r="B908" i="1"/>
  <c r="B844" i="1"/>
  <c r="B780" i="1"/>
  <c r="B716" i="1"/>
  <c r="B1387" i="1"/>
  <c r="B1323" i="1"/>
  <c r="B1259" i="1"/>
  <c r="B1195" i="1"/>
  <c r="B1131" i="1"/>
  <c r="B1067" i="1"/>
  <c r="B1003" i="1"/>
  <c r="B939" i="1"/>
  <c r="B875" i="1"/>
  <c r="B811" i="1"/>
  <c r="B747" i="1"/>
  <c r="B683" i="1"/>
  <c r="B619" i="1"/>
  <c r="B555" i="1"/>
  <c r="B1258" i="1"/>
  <c r="B1194" i="1"/>
  <c r="B1130" i="1"/>
  <c r="B1066" i="1"/>
  <c r="B1002" i="1"/>
  <c r="B938" i="1"/>
  <c r="B874" i="1"/>
  <c r="B810" i="1"/>
  <c r="B746" i="1"/>
  <c r="B682" i="1"/>
  <c r="B618" i="1"/>
  <c r="B1465" i="1"/>
  <c r="B1401" i="1"/>
  <c r="B1337" i="1"/>
  <c r="B1273" i="1"/>
  <c r="B1209" i="1"/>
  <c r="B1145" i="1"/>
  <c r="B1081" i="1"/>
  <c r="B1017" i="1"/>
  <c r="B953" i="1"/>
  <c r="B889" i="1"/>
  <c r="B825" i="1"/>
  <c r="B761" i="1"/>
  <c r="B697" i="1"/>
  <c r="B1456" i="1"/>
  <c r="B1392" i="1"/>
  <c r="B1328" i="1"/>
  <c r="B1264" i="1"/>
  <c r="B1200" i="1"/>
  <c r="B1136" i="1"/>
  <c r="B1072" i="1"/>
  <c r="B1008" i="1"/>
  <c r="B944" i="1"/>
  <c r="B880" i="1"/>
  <c r="B816" i="1"/>
  <c r="B752" i="1"/>
  <c r="B688" i="1"/>
  <c r="B1431" i="1"/>
  <c r="B1367" i="1"/>
  <c r="B1303" i="1"/>
  <c r="B1239" i="1"/>
  <c r="B1175" i="1"/>
  <c r="B1111" i="1"/>
  <c r="B1047" i="1"/>
  <c r="B983" i="1"/>
  <c r="B919" i="1"/>
  <c r="B855" i="1"/>
  <c r="B791" i="1"/>
  <c r="B1966" i="1"/>
  <c r="B1838" i="1"/>
  <c r="B1774" i="1"/>
  <c r="B1710" i="1"/>
  <c r="B1646" i="1"/>
  <c r="B1582" i="1"/>
  <c r="B1518" i="1"/>
  <c r="B1454" i="1"/>
  <c r="B1390" i="1"/>
  <c r="B1886" i="1"/>
  <c r="B1957" i="1"/>
  <c r="B1893" i="1"/>
  <c r="B1829" i="1"/>
  <c r="B1765" i="1"/>
  <c r="B1701" i="1"/>
  <c r="B1637" i="1"/>
  <c r="B1573" i="1"/>
  <c r="B1509" i="1"/>
  <c r="B2012" i="1"/>
  <c r="B1948" i="1"/>
  <c r="B1884" i="1"/>
  <c r="B1820" i="1"/>
  <c r="B1756" i="1"/>
  <c r="B1692" i="1"/>
  <c r="B1628" i="1"/>
  <c r="B1564" i="1"/>
  <c r="B1500" i="1"/>
  <c r="B1963" i="1"/>
  <c r="B1899" i="1"/>
  <c r="B1835" i="1"/>
  <c r="B1771" i="1"/>
  <c r="B1707" i="1"/>
  <c r="B1643" i="1"/>
  <c r="B1579" i="1"/>
  <c r="B1515" i="1"/>
  <c r="B1451" i="1"/>
  <c r="B1922" i="1"/>
  <c r="B1786" i="1"/>
  <c r="B1722" i="1"/>
  <c r="B1658" i="1"/>
  <c r="B1594" i="1"/>
  <c r="B1530" i="1"/>
  <c r="B1466" i="1"/>
  <c r="B1402" i="1"/>
  <c r="B1338" i="1"/>
  <c r="B1866" i="1"/>
  <c r="B1969" i="1"/>
  <c r="B1905" i="1"/>
  <c r="B1841" i="1"/>
  <c r="B1777" i="1"/>
  <c r="B1713" i="1"/>
  <c r="B1649" i="1"/>
  <c r="B1585" i="1"/>
  <c r="B1521" i="1"/>
  <c r="B1826" i="1"/>
  <c r="B1960" i="1"/>
  <c r="B1896" i="1"/>
  <c r="B1832" i="1"/>
  <c r="B1768" i="1"/>
  <c r="B1704" i="1"/>
  <c r="B1640" i="1"/>
  <c r="B1576" i="1"/>
  <c r="B1512" i="1"/>
  <c r="B1834" i="1"/>
  <c r="B1959" i="1"/>
  <c r="B1895" i="1"/>
  <c r="B1831" i="1"/>
  <c r="B1767" i="1"/>
  <c r="B1703" i="1"/>
  <c r="B1639" i="1"/>
  <c r="B1575" i="1"/>
  <c r="B1511" i="1"/>
  <c r="B1318" i="1"/>
  <c r="B1254" i="1"/>
  <c r="B1190" i="1"/>
  <c r="B1126" i="1"/>
  <c r="B1062" i="1"/>
  <c r="B998" i="1"/>
  <c r="B934" i="1"/>
  <c r="B870" i="1"/>
  <c r="B806" i="1"/>
  <c r="B742" i="1"/>
  <c r="B1493" i="1"/>
  <c r="B1429" i="1"/>
  <c r="B1365" i="1"/>
  <c r="B1301" i="1"/>
  <c r="B1237" i="1"/>
  <c r="B1173" i="1"/>
  <c r="B1109" i="1"/>
  <c r="B1045" i="1"/>
  <c r="B981" i="1"/>
  <c r="B917" i="1"/>
  <c r="B853" i="1"/>
  <c r="B789" i="1"/>
  <c r="B725" i="1"/>
  <c r="B1476" i="1"/>
  <c r="B1412" i="1"/>
  <c r="B1348" i="1"/>
  <c r="B1284" i="1"/>
  <c r="B1220" i="1"/>
  <c r="B1156" i="1"/>
  <c r="B1092" i="1"/>
  <c r="B1028" i="1"/>
  <c r="B964" i="1"/>
  <c r="B900" i="1"/>
  <c r="B836" i="1"/>
  <c r="B772" i="1"/>
  <c r="B708" i="1"/>
  <c r="B1379" i="1"/>
  <c r="B1315" i="1"/>
  <c r="B1251" i="1"/>
  <c r="B1187" i="1"/>
  <c r="B1123" i="1"/>
  <c r="B1059" i="1"/>
  <c r="B995" i="1"/>
  <c r="B931" i="1"/>
  <c r="B867" i="1"/>
  <c r="B803" i="1"/>
  <c r="B739" i="1"/>
  <c r="B675" i="1"/>
  <c r="B611" i="1"/>
  <c r="B547" i="1"/>
  <c r="B1250" i="1"/>
  <c r="B1186" i="1"/>
  <c r="B1122" i="1"/>
  <c r="B1058" i="1"/>
  <c r="B994" i="1"/>
  <c r="B930" i="1"/>
  <c r="B866" i="1"/>
  <c r="B802" i="1"/>
  <c r="B738" i="1"/>
  <c r="B674" i="1"/>
  <c r="B610" i="1"/>
  <c r="B1457" i="1"/>
  <c r="B1393" i="1"/>
  <c r="B1329" i="1"/>
  <c r="B1265" i="1"/>
  <c r="B1201" i="1"/>
  <c r="B1137" i="1"/>
  <c r="B1073" i="1"/>
  <c r="B1009" i="1"/>
  <c r="B945" i="1"/>
  <c r="B881" i="1"/>
  <c r="B817" i="1"/>
  <c r="B753" i="1"/>
  <c r="B689" i="1"/>
  <c r="B1448" i="1"/>
  <c r="B1384" i="1"/>
  <c r="B1320" i="1"/>
  <c r="B1256" i="1"/>
  <c r="B1192" i="1"/>
  <c r="B1128" i="1"/>
  <c r="B1064" i="1"/>
  <c r="B1000" i="1"/>
  <c r="B936" i="1"/>
  <c r="B872" i="1"/>
  <c r="B808" i="1"/>
  <c r="B744" i="1"/>
  <c r="B1487" i="1"/>
  <c r="B1423" i="1"/>
  <c r="B1359" i="1"/>
  <c r="B1295" i="1"/>
  <c r="B1231" i="1"/>
  <c r="B1167" i="1"/>
  <c r="B1942" i="1"/>
  <c r="B1830" i="1"/>
  <c r="B1766" i="1"/>
  <c r="B1702" i="1"/>
  <c r="B1638" i="1"/>
  <c r="B1574" i="1"/>
  <c r="B1510" i="1"/>
  <c r="B1446" i="1"/>
  <c r="B1382" i="1"/>
  <c r="B2013" i="1"/>
  <c r="B1949" i="1"/>
  <c r="B1885" i="1"/>
  <c r="B1821" i="1"/>
  <c r="B1757" i="1"/>
  <c r="B1693" i="1"/>
  <c r="B1629" i="1"/>
  <c r="B1565" i="1"/>
  <c r="B1501" i="1"/>
  <c r="B2004" i="1"/>
  <c r="B1940" i="1"/>
  <c r="B1876" i="1"/>
  <c r="B1812" i="1"/>
  <c r="B1748" i="1"/>
  <c r="B1684" i="1"/>
  <c r="B1620" i="1"/>
  <c r="B1556" i="1"/>
  <c r="B1990" i="1"/>
  <c r="B1955" i="1"/>
  <c r="B1891" i="1"/>
  <c r="B1827" i="1"/>
  <c r="B1763" i="1"/>
  <c r="B1699" i="1"/>
  <c r="B1635" i="1"/>
  <c r="B1571" i="1"/>
  <c r="B1507" i="1"/>
  <c r="B1443" i="1"/>
  <c r="B1890" i="1"/>
  <c r="B1778" i="1"/>
  <c r="B1714" i="1"/>
  <c r="B1650" i="1"/>
  <c r="B1586" i="1"/>
  <c r="B1522" i="1"/>
  <c r="B1458" i="1"/>
  <c r="B1394" i="1"/>
  <c r="B1330" i="1"/>
  <c r="B1850" i="1"/>
  <c r="B1961" i="1"/>
  <c r="B1897" i="1"/>
  <c r="B1833" i="1"/>
  <c r="B1769" i="1"/>
  <c r="B1705" i="1"/>
  <c r="B1641" i="1"/>
  <c r="B1577" i="1"/>
  <c r="B1513" i="1"/>
  <c r="B2016" i="1"/>
  <c r="B1952" i="1"/>
  <c r="B1888" i="1"/>
  <c r="B1824" i="1"/>
  <c r="B1760" i="1"/>
  <c r="B1696" i="1"/>
  <c r="B1632" i="1"/>
  <c r="B1568" i="1"/>
  <c r="B1504" i="1"/>
  <c r="B2015" i="1"/>
  <c r="B1951" i="1"/>
  <c r="B1887" i="1"/>
  <c r="B1823" i="1"/>
  <c r="B1759" i="1"/>
  <c r="B1695" i="1"/>
  <c r="B1631" i="1"/>
  <c r="B1567" i="1"/>
  <c r="B1503" i="1"/>
  <c r="B1310" i="1"/>
  <c r="B1246" i="1"/>
  <c r="B1182" i="1"/>
  <c r="B1118" i="1"/>
  <c r="B1054" i="1"/>
  <c r="B990" i="1"/>
  <c r="B926" i="1"/>
  <c r="B862" i="1"/>
  <c r="B798" i="1"/>
  <c r="B734" i="1"/>
  <c r="B1485" i="1"/>
  <c r="B1421" i="1"/>
  <c r="B1357" i="1"/>
  <c r="B1293" i="1"/>
  <c r="B1229" i="1"/>
  <c r="B1165" i="1"/>
  <c r="B1101" i="1"/>
  <c r="B1037" i="1"/>
  <c r="B973" i="1"/>
  <c r="B909" i="1"/>
  <c r="B845" i="1"/>
  <c r="B781" i="1"/>
  <c r="B717" i="1"/>
  <c r="B1468" i="1"/>
  <c r="B1404" i="1"/>
  <c r="B1340" i="1"/>
  <c r="B1276" i="1"/>
  <c r="B1212" i="1"/>
  <c r="B1148" i="1"/>
  <c r="B1084" i="1"/>
  <c r="B1020" i="1"/>
  <c r="B956" i="1"/>
  <c r="B892" i="1"/>
  <c r="B828" i="1"/>
  <c r="B764" i="1"/>
  <c r="B700" i="1"/>
  <c r="B1371" i="1"/>
  <c r="B1307" i="1"/>
  <c r="B1243" i="1"/>
  <c r="B1179" i="1"/>
  <c r="B1115" i="1"/>
  <c r="B1051" i="1"/>
  <c r="B987" i="1"/>
  <c r="B923" i="1"/>
  <c r="B859" i="1"/>
  <c r="B795" i="1"/>
  <c r="B731" i="1"/>
  <c r="B667" i="1"/>
  <c r="B603" i="1"/>
  <c r="B1306" i="1"/>
  <c r="B1242" i="1"/>
  <c r="B1178" i="1"/>
  <c r="B1114" i="1"/>
  <c r="B1050" i="1"/>
  <c r="B986" i="1"/>
  <c r="B922" i="1"/>
  <c r="B858" i="1"/>
  <c r="B794" i="1"/>
  <c r="B730" i="1"/>
  <c r="B666" i="1"/>
  <c r="B602" i="1"/>
  <c r="B1449" i="1"/>
  <c r="B1385" i="1"/>
  <c r="B1321" i="1"/>
  <c r="B1257" i="1"/>
  <c r="B1193" i="1"/>
  <c r="B1129" i="1"/>
  <c r="B1065" i="1"/>
  <c r="B1001" i="1"/>
  <c r="B937" i="1"/>
  <c r="B873" i="1"/>
  <c r="B809" i="1"/>
  <c r="B745" i="1"/>
  <c r="B681" i="1"/>
  <c r="B1440" i="1"/>
  <c r="B1376" i="1"/>
  <c r="B1312" i="1"/>
  <c r="B1248" i="1"/>
  <c r="B1184" i="1"/>
  <c r="B1120" i="1"/>
  <c r="B1056" i="1"/>
  <c r="B992" i="1"/>
  <c r="B928" i="1"/>
  <c r="B864" i="1"/>
  <c r="B800" i="1"/>
  <c r="B736" i="1"/>
  <c r="B1479" i="1"/>
  <c r="B1415" i="1"/>
  <c r="B1351" i="1"/>
  <c r="B1287" i="1"/>
  <c r="B1223" i="1"/>
  <c r="B1159" i="1"/>
  <c r="B1918" i="1"/>
  <c r="B1822" i="1"/>
  <c r="B1758" i="1"/>
  <c r="B1694" i="1"/>
  <c r="B1630" i="1"/>
  <c r="B1566" i="1"/>
  <c r="B1502" i="1"/>
  <c r="B1438" i="1"/>
  <c r="B1374" i="1"/>
  <c r="B2005" i="1"/>
  <c r="B1941" i="1"/>
  <c r="B1877" i="1"/>
  <c r="B1813" i="1"/>
  <c r="B1749" i="1"/>
  <c r="B1685" i="1"/>
  <c r="B1621" i="1"/>
  <c r="B1557" i="1"/>
  <c r="B1998" i="1"/>
  <c r="B1996" i="1"/>
  <c r="B1932" i="1"/>
  <c r="B1868" i="1"/>
  <c r="B1804" i="1"/>
  <c r="B1740" i="1"/>
  <c r="B1676" i="1"/>
  <c r="B1612" i="1"/>
  <c r="B1548" i="1"/>
  <c r="B2011" i="1"/>
  <c r="B1947" i="1"/>
  <c r="B1883" i="1"/>
  <c r="B1819" i="1"/>
  <c r="B1755" i="1"/>
  <c r="B1691" i="1"/>
  <c r="B1627" i="1"/>
  <c r="B1563" i="1"/>
  <c r="B1499" i="1"/>
  <c r="B1435" i="1"/>
  <c r="B1858" i="1"/>
  <c r="B1770" i="1"/>
  <c r="B1706" i="1"/>
  <c r="B1642" i="1"/>
  <c r="B1578" i="1"/>
  <c r="B1514" i="1"/>
  <c r="B1450" i="1"/>
  <c r="B1386" i="1"/>
  <c r="B1322" i="1"/>
  <c r="B2017" i="1"/>
  <c r="B1953" i="1"/>
  <c r="B1889" i="1"/>
  <c r="B1825" i="1"/>
  <c r="B1761" i="1"/>
  <c r="B1697" i="1"/>
  <c r="B1633" i="1"/>
  <c r="B1569" i="1"/>
  <c r="B1505" i="1"/>
  <c r="B2008" i="1"/>
  <c r="B1944" i="1"/>
  <c r="B1880" i="1"/>
  <c r="B1816" i="1"/>
  <c r="B1752" i="1"/>
  <c r="B1688" i="1"/>
  <c r="B1624" i="1"/>
  <c r="B1560" i="1"/>
  <c r="B2014" i="1"/>
  <c r="B2007" i="1"/>
  <c r="B1943" i="1"/>
  <c r="B1879" i="1"/>
  <c r="B1815" i="1"/>
  <c r="B1751" i="1"/>
  <c r="B1687" i="1"/>
  <c r="B1623" i="1"/>
  <c r="B1559" i="1"/>
  <c r="B1495" i="1"/>
  <c r="B1302" i="1"/>
  <c r="B1238" i="1"/>
  <c r="B1174" i="1"/>
  <c r="B1110" i="1"/>
  <c r="B1046" i="1"/>
  <c r="B982" i="1"/>
  <c r="B918" i="1"/>
  <c r="B854" i="1"/>
  <c r="B790" i="1"/>
  <c r="B726" i="1"/>
  <c r="B1477" i="1"/>
  <c r="B1413" i="1"/>
  <c r="B1349" i="1"/>
  <c r="B1285" i="1"/>
  <c r="B1221" i="1"/>
  <c r="B1157" i="1"/>
  <c r="B1093" i="1"/>
  <c r="B1029" i="1"/>
  <c r="B965" i="1"/>
  <c r="B901" i="1"/>
  <c r="B837" i="1"/>
  <c r="B773" i="1"/>
  <c r="B709" i="1"/>
  <c r="B1460" i="1"/>
  <c r="B1396" i="1"/>
  <c r="B1332" i="1"/>
  <c r="B1268" i="1"/>
  <c r="B1204" i="1"/>
  <c r="B1140" i="1"/>
  <c r="B1076" i="1"/>
  <c r="B1012" i="1"/>
  <c r="B948" i="1"/>
  <c r="B884" i="1"/>
  <c r="B820" i="1"/>
  <c r="B756" i="1"/>
  <c r="B692" i="1"/>
  <c r="B1363" i="1"/>
  <c r="B1299" i="1"/>
  <c r="B1235" i="1"/>
  <c r="B1171" i="1"/>
  <c r="B1107" i="1"/>
  <c r="B1043" i="1"/>
  <c r="B979" i="1"/>
  <c r="B915" i="1"/>
  <c r="B851" i="1"/>
  <c r="B787" i="1"/>
  <c r="B723" i="1"/>
  <c r="B659" i="1"/>
  <c r="B595" i="1"/>
  <c r="B1298" i="1"/>
  <c r="B1234" i="1"/>
  <c r="B1170" i="1"/>
  <c r="B1106" i="1"/>
  <c r="B1042" i="1"/>
  <c r="B978" i="1"/>
  <c r="B914" i="1"/>
  <c r="B850" i="1"/>
  <c r="B786" i="1"/>
  <c r="B722" i="1"/>
  <c r="B658" i="1"/>
  <c r="B594" i="1"/>
  <c r="B1441" i="1"/>
  <c r="B1377" i="1"/>
  <c r="B1313" i="1"/>
  <c r="B1249" i="1"/>
  <c r="B1185" i="1"/>
  <c r="B1121" i="1"/>
  <c r="B1057" i="1"/>
  <c r="B993" i="1"/>
  <c r="B929" i="1"/>
  <c r="B865" i="1"/>
  <c r="B801" i="1"/>
  <c r="B737" i="1"/>
  <c r="B1496" i="1"/>
  <c r="B1432" i="1"/>
  <c r="B1368" i="1"/>
  <c r="B1304" i="1"/>
  <c r="B1240" i="1"/>
  <c r="B1176" i="1"/>
  <c r="B1112" i="1"/>
  <c r="B1048" i="1"/>
  <c r="B984" i="1"/>
  <c r="B920" i="1"/>
  <c r="B856" i="1"/>
  <c r="B792" i="1"/>
  <c r="B728" i="1"/>
  <c r="B1471" i="1"/>
  <c r="B1407" i="1"/>
  <c r="B1894" i="1"/>
  <c r="B1814" i="1"/>
  <c r="B1750" i="1"/>
  <c r="B1686" i="1"/>
  <c r="B1622" i="1"/>
  <c r="B1558" i="1"/>
  <c r="B1494" i="1"/>
  <c r="B1430" i="1"/>
  <c r="B1366" i="1"/>
  <c r="B1997" i="1"/>
  <c r="B1933" i="1"/>
  <c r="B1869" i="1"/>
  <c r="B1805" i="1"/>
  <c r="B1741" i="1"/>
  <c r="B1677" i="1"/>
  <c r="B1613" i="1"/>
  <c r="B1549" i="1"/>
  <c r="B1974" i="1"/>
  <c r="B1988" i="1"/>
  <c r="B1924" i="1"/>
  <c r="B1860" i="1"/>
  <c r="B1796" i="1"/>
  <c r="B1732" i="1"/>
  <c r="B1668" i="1"/>
  <c r="B1604" i="1"/>
  <c r="B1540" i="1"/>
  <c r="B2003" i="1"/>
  <c r="B1939" i="1"/>
  <c r="B1875" i="1"/>
  <c r="B1811" i="1"/>
  <c r="B1747" i="1"/>
  <c r="B1683" i="1"/>
  <c r="B1619" i="1"/>
  <c r="B1555" i="1"/>
  <c r="B1491" i="1"/>
  <c r="B1427" i="1"/>
  <c r="B1842" i="1"/>
  <c r="B1762" i="1"/>
  <c r="B1698" i="1"/>
  <c r="B1634" i="1"/>
  <c r="B1570" i="1"/>
  <c r="B1506" i="1"/>
  <c r="B1442" i="1"/>
  <c r="B1378" i="1"/>
  <c r="B1314" i="1"/>
  <c r="B2009" i="1"/>
  <c r="B1945" i="1"/>
  <c r="B1881" i="1"/>
  <c r="B1817" i="1"/>
  <c r="B1753" i="1"/>
  <c r="B1689" i="1"/>
  <c r="B1625" i="1"/>
  <c r="B1561" i="1"/>
  <c r="B2010" i="1"/>
  <c r="B2000" i="1"/>
  <c r="B1936" i="1"/>
  <c r="B1872" i="1"/>
  <c r="B1808" i="1"/>
  <c r="B1744" i="1"/>
  <c r="B1680" i="1"/>
  <c r="B1616" i="1"/>
  <c r="B1552" i="1"/>
  <c r="B1994" i="1"/>
  <c r="B1999" i="1"/>
  <c r="B1935" i="1"/>
  <c r="B1871" i="1"/>
  <c r="B1807" i="1"/>
  <c r="B1743" i="1"/>
  <c r="B1679" i="1"/>
  <c r="B1615" i="1"/>
  <c r="B1551" i="1"/>
  <c r="B1358" i="1"/>
  <c r="B1294" i="1"/>
  <c r="B1230" i="1"/>
  <c r="B1166" i="1"/>
  <c r="B1102" i="1"/>
  <c r="B1038" i="1"/>
  <c r="B974" i="1"/>
  <c r="B910" i="1"/>
  <c r="B846" i="1"/>
  <c r="B782" i="1"/>
  <c r="B718" i="1"/>
  <c r="B1469" i="1"/>
  <c r="B1405" i="1"/>
  <c r="B1341" i="1"/>
  <c r="B1277" i="1"/>
  <c r="B1213" i="1"/>
  <c r="B1149" i="1"/>
  <c r="B1085" i="1"/>
  <c r="B1021" i="1"/>
  <c r="B957" i="1"/>
  <c r="B893" i="1"/>
  <c r="B829" i="1"/>
  <c r="B765" i="1"/>
  <c r="B701" i="1"/>
  <c r="B1452" i="1"/>
  <c r="B1388" i="1"/>
  <c r="B1324" i="1"/>
  <c r="B1260" i="1"/>
  <c r="B1196" i="1"/>
  <c r="B1132" i="1"/>
  <c r="B1068" i="1"/>
  <c r="B1004" i="1"/>
  <c r="B940" i="1"/>
  <c r="B876" i="1"/>
  <c r="B812" i="1"/>
  <c r="B748" i="1"/>
  <c r="B684" i="1"/>
  <c r="B1355" i="1"/>
  <c r="B1291" i="1"/>
  <c r="B1227" i="1"/>
  <c r="B1163" i="1"/>
  <c r="B1099" i="1"/>
  <c r="B1035" i="1"/>
  <c r="B971" i="1"/>
  <c r="B907" i="1"/>
  <c r="B843" i="1"/>
  <c r="B779" i="1"/>
  <c r="B715" i="1"/>
  <c r="B651" i="1"/>
  <c r="B587" i="1"/>
  <c r="B1290" i="1"/>
  <c r="B1226" i="1"/>
  <c r="B1162" i="1"/>
  <c r="B1098" i="1"/>
  <c r="B1034" i="1"/>
  <c r="B970" i="1"/>
  <c r="B906" i="1"/>
  <c r="B842" i="1"/>
  <c r="B778" i="1"/>
  <c r="B714" i="1"/>
  <c r="B650" i="1"/>
  <c r="B1497" i="1"/>
  <c r="B1433" i="1"/>
  <c r="B1369" i="1"/>
  <c r="B1305" i="1"/>
  <c r="B1241" i="1"/>
  <c r="B1177" i="1"/>
  <c r="B1113" i="1"/>
  <c r="B1049" i="1"/>
  <c r="B985" i="1"/>
  <c r="B921" i="1"/>
  <c r="B857" i="1"/>
  <c r="B793" i="1"/>
  <c r="B729" i="1"/>
  <c r="B1488" i="1"/>
  <c r="B1424" i="1"/>
  <c r="B1360" i="1"/>
  <c r="B1296" i="1"/>
  <c r="B1232" i="1"/>
  <c r="B1168" i="1"/>
  <c r="B1104" i="1"/>
  <c r="B1040" i="1"/>
  <c r="B976" i="1"/>
  <c r="B912" i="1"/>
  <c r="B848" i="1"/>
  <c r="B784" i="1"/>
  <c r="B720" i="1"/>
  <c r="B1463" i="1"/>
  <c r="B1870" i="1"/>
  <c r="B1806" i="1"/>
  <c r="B1742" i="1"/>
  <c r="B1678" i="1"/>
  <c r="B1614" i="1"/>
  <c r="B1550" i="1"/>
  <c r="B1486" i="1"/>
  <c r="B1422" i="1"/>
  <c r="B1982" i="1"/>
  <c r="B1989" i="1"/>
  <c r="B1925" i="1"/>
  <c r="B1861" i="1"/>
  <c r="B1797" i="1"/>
  <c r="B1733" i="1"/>
  <c r="B1669" i="1"/>
  <c r="B1605" i="1"/>
  <c r="B1541" i="1"/>
  <c r="B1950" i="1"/>
  <c r="B1980" i="1"/>
  <c r="B1916" i="1"/>
  <c r="B1852" i="1"/>
  <c r="B1788" i="1"/>
  <c r="B1724" i="1"/>
  <c r="B1660" i="1"/>
  <c r="B1596" i="1"/>
  <c r="B1532" i="1"/>
  <c r="B1995" i="1"/>
  <c r="B1931" i="1"/>
  <c r="B1867" i="1"/>
  <c r="B1803" i="1"/>
  <c r="B1739" i="1"/>
  <c r="B1675" i="1"/>
  <c r="B1611" i="1"/>
  <c r="B1547" i="1"/>
  <c r="B1483" i="1"/>
  <c r="B1419" i="1"/>
  <c r="B1818" i="1"/>
  <c r="B1754" i="1"/>
  <c r="B1690" i="1"/>
  <c r="B1626" i="1"/>
  <c r="B1562" i="1"/>
  <c r="B1498" i="1"/>
  <c r="B1434" i="1"/>
  <c r="B1370" i="1"/>
  <c r="B2002" i="1"/>
  <c r="B2001" i="1"/>
  <c r="B1937" i="1"/>
  <c r="B1873" i="1"/>
  <c r="B1809" i="1"/>
  <c r="B1745" i="1"/>
  <c r="B1681" i="1"/>
  <c r="B1617" i="1"/>
  <c r="B1553" i="1"/>
  <c r="B1978" i="1"/>
  <c r="B1992" i="1"/>
  <c r="B1928" i="1"/>
  <c r="B1864" i="1"/>
  <c r="B1800" i="1"/>
  <c r="B1736" i="1"/>
  <c r="B1672" i="1"/>
  <c r="B1608" i="1"/>
  <c r="B1544" i="1"/>
  <c r="B1962" i="1"/>
  <c r="B1991" i="1"/>
  <c r="B1927" i="1"/>
  <c r="B1863" i="1"/>
  <c r="B1799" i="1"/>
  <c r="B1735" i="1"/>
  <c r="B1671" i="1"/>
  <c r="B1607" i="1"/>
  <c r="B1543" i="1"/>
  <c r="B1350" i="1"/>
  <c r="B1286" i="1"/>
  <c r="B1222" i="1"/>
  <c r="B1158" i="1"/>
  <c r="B1094" i="1"/>
  <c r="B1030" i="1"/>
  <c r="B966" i="1"/>
  <c r="B902" i="1"/>
  <c r="B838" i="1"/>
  <c r="B774" i="1"/>
  <c r="B710" i="1"/>
  <c r="B1461" i="1"/>
  <c r="B1397" i="1"/>
  <c r="B1333" i="1"/>
  <c r="B1269" i="1"/>
  <c r="B1205" i="1"/>
  <c r="B1141" i="1"/>
  <c r="B1077" i="1"/>
  <c r="B1013" i="1"/>
  <c r="B949" i="1"/>
  <c r="B885" i="1"/>
  <c r="B821" i="1"/>
  <c r="B757" i="1"/>
  <c r="B693" i="1"/>
  <c r="B1444" i="1"/>
  <c r="B1380" i="1"/>
  <c r="B1316" i="1"/>
  <c r="B1252" i="1"/>
  <c r="B1188" i="1"/>
  <c r="B1124" i="1"/>
  <c r="B1060" i="1"/>
  <c r="B996" i="1"/>
  <c r="B932" i="1"/>
  <c r="B868" i="1"/>
  <c r="B804" i="1"/>
  <c r="B740" i="1"/>
  <c r="B1411" i="1"/>
  <c r="B1347" i="1"/>
  <c r="B1283" i="1"/>
  <c r="B1219" i="1"/>
  <c r="B1155" i="1"/>
  <c r="B1091" i="1"/>
  <c r="B1027" i="1"/>
  <c r="B963" i="1"/>
  <c r="B899" i="1"/>
  <c r="B835" i="1"/>
  <c r="B771" i="1"/>
  <c r="B707" i="1"/>
  <c r="B643" i="1"/>
  <c r="B579" i="1"/>
  <c r="B1282" i="1"/>
  <c r="B1218" i="1"/>
  <c r="B1154" i="1"/>
  <c r="B1090" i="1"/>
  <c r="B1026" i="1"/>
  <c r="B962" i="1"/>
  <c r="B898" i="1"/>
  <c r="B834" i="1"/>
  <c r="B770" i="1"/>
  <c r="B706" i="1"/>
  <c r="B642" i="1"/>
  <c r="B1489" i="1"/>
  <c r="B1425" i="1"/>
  <c r="B1361" i="1"/>
  <c r="B1297" i="1"/>
  <c r="B1233" i="1"/>
  <c r="B1169" i="1"/>
  <c r="B1105" i="1"/>
  <c r="B1041" i="1"/>
  <c r="B977" i="1"/>
  <c r="B913" i="1"/>
  <c r="B849" i="1"/>
  <c r="B785" i="1"/>
  <c r="B721" i="1"/>
  <c r="B1480" i="1"/>
  <c r="B1416" i="1"/>
  <c r="B1352" i="1"/>
  <c r="B1288" i="1"/>
  <c r="B1224" i="1"/>
  <c r="B1160" i="1"/>
  <c r="B1096" i="1"/>
  <c r="B1032" i="1"/>
  <c r="B968" i="1"/>
  <c r="B904" i="1"/>
  <c r="B840" i="1"/>
  <c r="B776" i="1"/>
  <c r="B712" i="1"/>
  <c r="B1455" i="1"/>
  <c r="B1391" i="1"/>
  <c r="B1327" i="1"/>
  <c r="B1263" i="1"/>
  <c r="B1199" i="1"/>
  <c r="B1135" i="1"/>
  <c r="B1071" i="1"/>
  <c r="B1007" i="1"/>
  <c r="B943" i="1"/>
  <c r="B1862" i="1"/>
  <c r="B1798" i="1"/>
  <c r="B1734" i="1"/>
  <c r="B1670" i="1"/>
  <c r="B1606" i="1"/>
  <c r="B1542" i="1"/>
  <c r="B1478" i="1"/>
  <c r="B1414" i="1"/>
  <c r="B1958" i="1"/>
  <c r="B1981" i="1"/>
  <c r="B1917" i="1"/>
  <c r="B1853" i="1"/>
  <c r="B1789" i="1"/>
  <c r="B1725" i="1"/>
  <c r="B1661" i="1"/>
  <c r="B1597" i="1"/>
  <c r="B1533" i="1"/>
  <c r="B1934" i="1"/>
  <c r="B1972" i="1"/>
  <c r="B1908" i="1"/>
  <c r="B1844" i="1"/>
  <c r="B1780" i="1"/>
  <c r="B1716" i="1"/>
  <c r="B1652" i="1"/>
  <c r="B1588" i="1"/>
  <c r="B1524" i="1"/>
  <c r="B1987" i="1"/>
  <c r="B1923" i="1"/>
  <c r="B1859" i="1"/>
  <c r="B1795" i="1"/>
  <c r="B1731" i="1"/>
  <c r="B1667" i="1"/>
  <c r="B1603" i="1"/>
  <c r="B1539" i="1"/>
  <c r="B1475" i="1"/>
  <c r="B2018" i="1"/>
  <c r="B1810" i="1"/>
  <c r="B1746" i="1"/>
  <c r="B1682" i="1"/>
  <c r="B1618" i="1"/>
  <c r="B1554" i="1"/>
  <c r="B1490" i="1"/>
  <c r="B1426" i="1"/>
  <c r="B1362" i="1"/>
  <c r="B1970" i="1"/>
  <c r="B1993" i="1"/>
  <c r="B1929" i="1"/>
  <c r="B1865" i="1"/>
  <c r="B1801" i="1"/>
  <c r="B1737" i="1"/>
  <c r="B1673" i="1"/>
  <c r="B1609" i="1"/>
  <c r="B1545" i="1"/>
  <c r="B1946" i="1"/>
  <c r="B1984" i="1"/>
  <c r="B1920" i="1"/>
  <c r="B1856" i="1"/>
  <c r="B1792" i="1"/>
  <c r="B1728" i="1"/>
  <c r="B1664" i="1"/>
  <c r="B1600" i="1"/>
  <c r="B1536" i="1"/>
  <c r="B1938" i="1"/>
  <c r="B1983" i="1"/>
  <c r="B1919" i="1"/>
  <c r="B1855" i="1"/>
  <c r="B1791" i="1"/>
  <c r="B1727" i="1"/>
  <c r="B1663" i="1"/>
  <c r="B1599" i="1"/>
  <c r="B1535" i="1"/>
  <c r="B1342" i="1"/>
  <c r="B1278" i="1"/>
  <c r="B1214" i="1"/>
  <c r="B1150" i="1"/>
  <c r="B1086" i="1"/>
  <c r="B1022" i="1"/>
  <c r="B958" i="1"/>
  <c r="B894" i="1"/>
  <c r="B830" i="1"/>
  <c r="B766" i="1"/>
  <c r="B702" i="1"/>
  <c r="B1453" i="1"/>
  <c r="B1389" i="1"/>
  <c r="B1325" i="1"/>
  <c r="B1261" i="1"/>
  <c r="B1197" i="1"/>
  <c r="B1133" i="1"/>
  <c r="B1069" i="1"/>
  <c r="B1005" i="1"/>
  <c r="B941" i="1"/>
  <c r="B877" i="1"/>
  <c r="B813" i="1"/>
  <c r="B749" i="1"/>
  <c r="B685" i="1"/>
  <c r="B1436" i="1"/>
  <c r="B1372" i="1"/>
  <c r="B1308" i="1"/>
  <c r="B1244" i="1"/>
  <c r="B1180" i="1"/>
  <c r="B1116" i="1"/>
  <c r="B1052" i="1"/>
  <c r="B988" i="1"/>
  <c r="B924" i="1"/>
  <c r="B860" i="1"/>
  <c r="B796" i="1"/>
  <c r="B732" i="1"/>
  <c r="B1403" i="1"/>
  <c r="B1339" i="1"/>
  <c r="B1275" i="1"/>
  <c r="B1211" i="1"/>
  <c r="B1147" i="1"/>
  <c r="B1083" i="1"/>
  <c r="B1019" i="1"/>
  <c r="B955" i="1"/>
  <c r="B891" i="1"/>
  <c r="B827" i="1"/>
  <c r="B763" i="1"/>
  <c r="B699" i="1"/>
  <c r="B635" i="1"/>
  <c r="B571" i="1"/>
  <c r="B1274" i="1"/>
  <c r="B1210" i="1"/>
  <c r="B1146" i="1"/>
  <c r="B1082" i="1"/>
  <c r="B1018" i="1"/>
  <c r="B954" i="1"/>
  <c r="B890" i="1"/>
  <c r="B826" i="1"/>
  <c r="B762" i="1"/>
  <c r="B698" i="1"/>
  <c r="B634" i="1"/>
  <c r="B1481" i="1"/>
  <c r="B1417" i="1"/>
  <c r="B1353" i="1"/>
  <c r="B1289" i="1"/>
  <c r="B1225" i="1"/>
  <c r="B1161" i="1"/>
  <c r="B1097" i="1"/>
  <c r="B1033" i="1"/>
  <c r="B969" i="1"/>
  <c r="B905" i="1"/>
  <c r="B841" i="1"/>
  <c r="B777" i="1"/>
  <c r="B713" i="1"/>
  <c r="B1472" i="1"/>
  <c r="B1408" i="1"/>
  <c r="B1344" i="1"/>
  <c r="B1280" i="1"/>
  <c r="B1216" i="1"/>
  <c r="B1152" i="1"/>
  <c r="B1088" i="1"/>
  <c r="B1024" i="1"/>
  <c r="B960" i="1"/>
  <c r="B896" i="1"/>
  <c r="B832" i="1"/>
  <c r="B768" i="1"/>
  <c r="B704" i="1"/>
  <c r="B1447" i="1"/>
  <c r="B1383" i="1"/>
  <c r="B1854" i="1"/>
  <c r="B1790" i="1"/>
  <c r="B1726" i="1"/>
  <c r="B1662" i="1"/>
  <c r="B1598" i="1"/>
  <c r="B1534" i="1"/>
  <c r="B1470" i="1"/>
  <c r="B1406" i="1"/>
  <c r="B1926" i="1"/>
  <c r="B1973" i="1"/>
  <c r="B1909" i="1"/>
  <c r="B1845" i="1"/>
  <c r="B1781" i="1"/>
  <c r="B1717" i="1"/>
  <c r="B1653" i="1"/>
  <c r="B1589" i="1"/>
  <c r="B1525" i="1"/>
  <c r="B1902" i="1"/>
  <c r="B1964" i="1"/>
  <c r="B1900" i="1"/>
  <c r="B1836" i="1"/>
  <c r="B1772" i="1"/>
  <c r="B1708" i="1"/>
  <c r="B1644" i="1"/>
  <c r="B1580" i="1"/>
  <c r="B1516" i="1"/>
  <c r="B1979" i="1"/>
  <c r="B1915" i="1"/>
  <c r="B1851" i="1"/>
  <c r="B1787" i="1"/>
  <c r="B1723" i="1"/>
  <c r="B1659" i="1"/>
  <c r="B1595" i="1"/>
  <c r="B1531" i="1"/>
  <c r="B1467" i="1"/>
  <c r="B1986" i="1"/>
  <c r="B1802" i="1"/>
  <c r="B1738" i="1"/>
  <c r="B1674" i="1"/>
  <c r="B1610" i="1"/>
  <c r="B1546" i="1"/>
  <c r="B1482" i="1"/>
  <c r="B1418" i="1"/>
  <c r="B1354" i="1"/>
  <c r="B1930" i="1"/>
  <c r="B1985" i="1"/>
  <c r="B1921" i="1"/>
  <c r="B1857" i="1"/>
  <c r="B1793" i="1"/>
  <c r="B1729" i="1"/>
  <c r="B1665" i="1"/>
  <c r="B1601" i="1"/>
  <c r="B1537" i="1"/>
  <c r="B1914" i="1"/>
  <c r="B1976" i="1"/>
  <c r="B1912" i="1"/>
  <c r="B1848" i="1"/>
  <c r="B1784" i="1"/>
  <c r="B1720" i="1"/>
  <c r="B1656" i="1"/>
  <c r="B1592" i="1"/>
  <c r="B1528" i="1"/>
  <c r="B1906" i="1"/>
  <c r="B1975" i="1"/>
  <c r="B1911" i="1"/>
  <c r="B1847" i="1"/>
  <c r="B1783" i="1"/>
  <c r="B1719" i="1"/>
  <c r="B1655" i="1"/>
  <c r="B1591" i="1"/>
  <c r="B1527" i="1"/>
  <c r="B1334" i="1"/>
  <c r="B1270" i="1"/>
  <c r="B1206" i="1"/>
  <c r="B1142" i="1"/>
  <c r="B1078" i="1"/>
  <c r="B1014" i="1"/>
  <c r="B950" i="1"/>
  <c r="B886" i="1"/>
  <c r="B822" i="1"/>
  <c r="B758" i="1"/>
  <c r="B694" i="1"/>
  <c r="B1445" i="1"/>
  <c r="B1381" i="1"/>
  <c r="B1317" i="1"/>
  <c r="B1253" i="1"/>
  <c r="B1189" i="1"/>
  <c r="B1125" i="1"/>
  <c r="B1061" i="1"/>
  <c r="B997" i="1"/>
  <c r="B933" i="1"/>
  <c r="B869" i="1"/>
  <c r="B805" i="1"/>
  <c r="B741" i="1"/>
  <c r="B1492" i="1"/>
  <c r="B1428" i="1"/>
  <c r="B1364" i="1"/>
  <c r="B1300" i="1"/>
  <c r="B1236" i="1"/>
  <c r="B1172" i="1"/>
  <c r="B1108" i="1"/>
  <c r="B1044" i="1"/>
  <c r="B980" i="1"/>
  <c r="B916" i="1"/>
  <c r="B852" i="1"/>
  <c r="B788" i="1"/>
  <c r="B724" i="1"/>
  <c r="B1395" i="1"/>
  <c r="B1331" i="1"/>
  <c r="B1267" i="1"/>
  <c r="B1203" i="1"/>
  <c r="B1139" i="1"/>
  <c r="B1075" i="1"/>
  <c r="B1011" i="1"/>
  <c r="B947" i="1"/>
  <c r="B883" i="1"/>
  <c r="B819" i="1"/>
  <c r="B755" i="1"/>
  <c r="B691" i="1"/>
  <c r="B627" i="1"/>
  <c r="B563" i="1"/>
  <c r="B1266" i="1"/>
  <c r="B1202" i="1"/>
  <c r="B1138" i="1"/>
  <c r="B1074" i="1"/>
  <c r="B1010" i="1"/>
  <c r="B946" i="1"/>
  <c r="B882" i="1"/>
  <c r="B818" i="1"/>
  <c r="B754" i="1"/>
  <c r="B690" i="1"/>
  <c r="B626" i="1"/>
  <c r="B1473" i="1"/>
  <c r="B1409" i="1"/>
  <c r="B1345" i="1"/>
  <c r="B1281" i="1"/>
  <c r="B1217" i="1"/>
  <c r="B1153" i="1"/>
  <c r="B1089" i="1"/>
  <c r="B1025" i="1"/>
  <c r="B961" i="1"/>
  <c r="B897" i="1"/>
  <c r="B833" i="1"/>
  <c r="B769" i="1"/>
  <c r="B705" i="1"/>
  <c r="B1464" i="1"/>
  <c r="B1400" i="1"/>
  <c r="B1336" i="1"/>
  <c r="B1272" i="1"/>
  <c r="B1208" i="1"/>
  <c r="B1144" i="1"/>
  <c r="B1080" i="1"/>
  <c r="B1016" i="1"/>
  <c r="B952" i="1"/>
  <c r="B888" i="1"/>
  <c r="B824" i="1"/>
  <c r="B760" i="1"/>
  <c r="B696" i="1"/>
  <c r="B15" i="1"/>
  <c r="B79" i="1"/>
  <c r="B143" i="1"/>
  <c r="B207" i="1"/>
  <c r="B271" i="1"/>
  <c r="B335" i="1"/>
  <c r="B399" i="1"/>
  <c r="B463" i="1"/>
  <c r="B527" i="1"/>
  <c r="B591" i="1"/>
  <c r="B655" i="1"/>
  <c r="B24" i="1"/>
  <c r="B88" i="1"/>
  <c r="B152" i="1"/>
  <c r="B216" i="1"/>
  <c r="B280" i="1"/>
  <c r="B344" i="1"/>
  <c r="B408" i="1"/>
  <c r="B472" i="1"/>
  <c r="B536" i="1"/>
  <c r="B600" i="1"/>
  <c r="B664" i="1"/>
  <c r="B33" i="1"/>
  <c r="B97" i="1"/>
  <c r="B161" i="1"/>
  <c r="B225" i="1"/>
  <c r="B289" i="1"/>
  <c r="B353" i="1"/>
  <c r="B417" i="1"/>
  <c r="B481" i="1"/>
  <c r="B545" i="1"/>
  <c r="B609" i="1"/>
  <c r="B673" i="1"/>
  <c r="B50" i="1"/>
  <c r="B114" i="1"/>
  <c r="B178" i="1"/>
  <c r="B242" i="1"/>
  <c r="B306" i="1"/>
  <c r="B370" i="1"/>
  <c r="B434" i="1"/>
  <c r="B498" i="1"/>
  <c r="B562" i="1"/>
  <c r="B35" i="1"/>
  <c r="B99" i="1"/>
  <c r="B163" i="1"/>
  <c r="B227" i="1"/>
  <c r="B291" i="1"/>
  <c r="B355" i="1"/>
  <c r="B419" i="1"/>
  <c r="B483" i="1"/>
  <c r="B4" i="1"/>
  <c r="B68" i="1"/>
  <c r="B132" i="1"/>
  <c r="B196" i="1"/>
  <c r="B260" i="1"/>
  <c r="B324" i="1"/>
  <c r="B388" i="1"/>
  <c r="B452" i="1"/>
  <c r="B516" i="1"/>
  <c r="B580" i="1"/>
  <c r="B644" i="1"/>
  <c r="B13" i="1"/>
  <c r="B77" i="1"/>
  <c r="B141" i="1"/>
  <c r="B205" i="1"/>
  <c r="B269" i="1"/>
  <c r="B333" i="1"/>
  <c r="B397" i="1"/>
  <c r="B461" i="1"/>
  <c r="B525" i="1"/>
  <c r="B589" i="1"/>
  <c r="B653" i="1"/>
  <c r="B22" i="1"/>
  <c r="B86" i="1"/>
  <c r="B150" i="1"/>
  <c r="B214" i="1"/>
  <c r="B278" i="1"/>
  <c r="B342" i="1"/>
  <c r="B406" i="1"/>
  <c r="B470" i="1"/>
  <c r="B534" i="1"/>
  <c r="B598" i="1"/>
  <c r="B662" i="1"/>
  <c r="B727" i="1"/>
  <c r="B799" i="1"/>
  <c r="B871" i="1"/>
  <c r="B951" i="1"/>
  <c r="B1031" i="1"/>
  <c r="B1119" i="1"/>
  <c r="B1247" i="1"/>
  <c r="B1375" i="1"/>
  <c r="B23" i="1"/>
  <c r="B87" i="1"/>
  <c r="B151" i="1"/>
  <c r="B215" i="1"/>
  <c r="B279" i="1"/>
  <c r="B343" i="1"/>
  <c r="B407" i="1"/>
  <c r="B471" i="1"/>
  <c r="B535" i="1"/>
  <c r="B599" i="1"/>
  <c r="B663" i="1"/>
  <c r="B32" i="1"/>
  <c r="B96" i="1"/>
  <c r="B160" i="1"/>
  <c r="B224" i="1"/>
  <c r="B288" i="1"/>
  <c r="B352" i="1"/>
  <c r="B416" i="1"/>
  <c r="B480" i="1"/>
  <c r="B544" i="1"/>
  <c r="B608" i="1"/>
  <c r="B672" i="1"/>
  <c r="B41" i="1"/>
  <c r="B105" i="1"/>
  <c r="B169" i="1"/>
  <c r="B233" i="1"/>
  <c r="B297" i="1"/>
  <c r="B361" i="1"/>
  <c r="B425" i="1"/>
  <c r="B489" i="1"/>
  <c r="B553" i="1"/>
  <c r="B617" i="1"/>
  <c r="B58" i="1"/>
  <c r="B122" i="1"/>
  <c r="B186" i="1"/>
  <c r="B250" i="1"/>
  <c r="B314" i="1"/>
  <c r="B378" i="1"/>
  <c r="B442" i="1"/>
  <c r="B506" i="1"/>
  <c r="B570" i="1"/>
  <c r="B43" i="1"/>
  <c r="B107" i="1"/>
  <c r="B171" i="1"/>
  <c r="B235" i="1"/>
  <c r="B299" i="1"/>
  <c r="B363" i="1"/>
  <c r="B427" i="1"/>
  <c r="B491" i="1"/>
  <c r="B12" i="1"/>
  <c r="B76" i="1"/>
  <c r="B140" i="1"/>
  <c r="B204" i="1"/>
  <c r="B268" i="1"/>
  <c r="B332" i="1"/>
  <c r="B396" i="1"/>
  <c r="B460" i="1"/>
  <c r="B524" i="1"/>
  <c r="B588" i="1"/>
  <c r="B652" i="1"/>
  <c r="B21" i="1"/>
  <c r="B85" i="1"/>
  <c r="B149" i="1"/>
  <c r="B213" i="1"/>
  <c r="B277" i="1"/>
  <c r="B341" i="1"/>
  <c r="B405" i="1"/>
  <c r="B469" i="1"/>
  <c r="B533" i="1"/>
  <c r="B597" i="1"/>
  <c r="B661" i="1"/>
  <c r="B30" i="1"/>
  <c r="B94" i="1"/>
  <c r="B158" i="1"/>
  <c r="B222" i="1"/>
  <c r="B286" i="1"/>
  <c r="B350" i="1"/>
  <c r="B414" i="1"/>
  <c r="B478" i="1"/>
  <c r="B542" i="1"/>
  <c r="B606" i="1"/>
  <c r="B670" i="1"/>
  <c r="B735" i="1"/>
  <c r="B807" i="1"/>
  <c r="B879" i="1"/>
  <c r="B959" i="1"/>
  <c r="B1039" i="1"/>
  <c r="B1127" i="1"/>
  <c r="B1255" i="1"/>
  <c r="B1399" i="1"/>
  <c r="B31" i="1"/>
  <c r="B95" i="1"/>
  <c r="B159" i="1"/>
  <c r="B223" i="1"/>
  <c r="B287" i="1"/>
  <c r="B351" i="1"/>
  <c r="B415" i="1"/>
  <c r="B479" i="1"/>
  <c r="B543" i="1"/>
  <c r="B607" i="1"/>
  <c r="B671" i="1"/>
  <c r="B40" i="1"/>
  <c r="B104" i="1"/>
  <c r="B168" i="1"/>
  <c r="B232" i="1"/>
  <c r="B296" i="1"/>
  <c r="B360" i="1"/>
  <c r="B424" i="1"/>
  <c r="B488" i="1"/>
  <c r="B552" i="1"/>
  <c r="B616" i="1"/>
  <c r="B680" i="1"/>
  <c r="B49" i="1"/>
  <c r="B113" i="1"/>
  <c r="B177" i="1"/>
  <c r="B241" i="1"/>
  <c r="B305" i="1"/>
  <c r="B369" i="1"/>
  <c r="B433" i="1"/>
  <c r="B497" i="1"/>
  <c r="B561" i="1"/>
  <c r="B625" i="1"/>
  <c r="B66" i="1"/>
  <c r="B130" i="1"/>
  <c r="B194" i="1"/>
  <c r="B258" i="1"/>
  <c r="B322" i="1"/>
  <c r="B386" i="1"/>
  <c r="B450" i="1"/>
  <c r="B514" i="1"/>
  <c r="B578" i="1"/>
  <c r="B51" i="1"/>
  <c r="B115" i="1"/>
  <c r="B179" i="1"/>
  <c r="B243" i="1"/>
  <c r="B307" i="1"/>
  <c r="B371" i="1"/>
  <c r="B435" i="1"/>
  <c r="B499" i="1"/>
  <c r="B20" i="1"/>
  <c r="B84" i="1"/>
  <c r="B148" i="1"/>
  <c r="B212" i="1"/>
  <c r="B276" i="1"/>
  <c r="B340" i="1"/>
  <c r="B404" i="1"/>
  <c r="B468" i="1"/>
  <c r="B532" i="1"/>
  <c r="B596" i="1"/>
  <c r="B660" i="1"/>
  <c r="B29" i="1"/>
  <c r="B93" i="1"/>
  <c r="B157" i="1"/>
  <c r="B221" i="1"/>
  <c r="B285" i="1"/>
  <c r="B349" i="1"/>
  <c r="B413" i="1"/>
  <c r="B477" i="1"/>
  <c r="B541" i="1"/>
  <c r="B605" i="1"/>
  <c r="B669" i="1"/>
  <c r="B38" i="1"/>
  <c r="B102" i="1"/>
  <c r="B166" i="1"/>
  <c r="B230" i="1"/>
  <c r="B294" i="1"/>
  <c r="B358" i="1"/>
  <c r="B422" i="1"/>
  <c r="B486" i="1"/>
  <c r="B550" i="1"/>
  <c r="B614" i="1"/>
  <c r="B678" i="1"/>
  <c r="B743" i="1"/>
  <c r="B815" i="1"/>
  <c r="B887" i="1"/>
  <c r="B967" i="1"/>
  <c r="B1055" i="1"/>
  <c r="B1143" i="1"/>
  <c r="B1271" i="1"/>
  <c r="B1439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" i="1"/>
  <c r="L2" i="1" l="1"/>
  <c r="W2" i="1" s="1"/>
  <c r="L19" i="1"/>
  <c r="W19" i="1" s="1"/>
  <c r="L7" i="1"/>
  <c r="W7" i="1" s="1"/>
  <c r="L27" i="1"/>
  <c r="W27" i="1" s="1"/>
  <c r="L8" i="1"/>
  <c r="W8" i="1" s="1"/>
  <c r="L13" i="1"/>
  <c r="W13" i="1" s="1"/>
  <c r="L24" i="1"/>
  <c r="W24" i="1" s="1"/>
  <c r="L16" i="1"/>
  <c r="W16" i="1" s="1"/>
  <c r="L6" i="1"/>
  <c r="W6" i="1" s="1"/>
  <c r="L9" i="1"/>
  <c r="W9" i="1" s="1"/>
  <c r="L17" i="1"/>
  <c r="W17" i="1" s="1"/>
  <c r="L11" i="1"/>
  <c r="W11" i="1" s="1"/>
  <c r="L14" i="1"/>
  <c r="W14" i="1" s="1"/>
  <c r="L4" i="1"/>
  <c r="W4" i="1" s="1"/>
  <c r="L22" i="1"/>
  <c r="W22" i="1" s="1"/>
  <c r="L3" i="1"/>
  <c r="W3" i="1" s="1"/>
  <c r="V27" i="1" l="1"/>
  <c r="U27" i="1"/>
  <c r="S27" i="1"/>
  <c r="R27" i="1"/>
  <c r="M27" i="1"/>
  <c r="Z27" i="1"/>
  <c r="Y27" i="1"/>
  <c r="R7" i="1"/>
  <c r="M7" i="1"/>
  <c r="Z7" i="1"/>
  <c r="Y7" i="1"/>
  <c r="V7" i="1"/>
  <c r="U7" i="1"/>
  <c r="S7" i="1"/>
  <c r="U13" i="1"/>
  <c r="S13" i="1"/>
  <c r="R13" i="1"/>
  <c r="M13" i="1"/>
  <c r="Z13" i="1"/>
  <c r="Y13" i="1"/>
  <c r="V13" i="1"/>
  <c r="V3" i="1"/>
  <c r="U3" i="1"/>
  <c r="S3" i="1"/>
  <c r="R3" i="1"/>
  <c r="M3" i="1"/>
  <c r="Z3" i="1"/>
  <c r="Y3" i="1"/>
  <c r="S22" i="1"/>
  <c r="R22" i="1"/>
  <c r="M22" i="1"/>
  <c r="Z22" i="1"/>
  <c r="Y22" i="1"/>
  <c r="V22" i="1"/>
  <c r="U22" i="1"/>
  <c r="S6" i="1"/>
  <c r="R6" i="1"/>
  <c r="M6" i="1"/>
  <c r="Z6" i="1"/>
  <c r="Y6" i="1"/>
  <c r="V6" i="1"/>
  <c r="U6" i="1"/>
  <c r="V19" i="1"/>
  <c r="U19" i="1"/>
  <c r="S19" i="1"/>
  <c r="R19" i="1"/>
  <c r="M19" i="1"/>
  <c r="Z19" i="1"/>
  <c r="Y19" i="1"/>
  <c r="V4" i="1"/>
  <c r="U4" i="1"/>
  <c r="S4" i="1"/>
  <c r="R4" i="1"/>
  <c r="M4" i="1"/>
  <c r="Z4" i="1"/>
  <c r="Y4" i="1"/>
  <c r="M8" i="1"/>
  <c r="Z8" i="1"/>
  <c r="Y8" i="1"/>
  <c r="V8" i="1"/>
  <c r="U8" i="1"/>
  <c r="S8" i="1"/>
  <c r="R8" i="1"/>
  <c r="R2" i="1"/>
  <c r="M2" i="1"/>
  <c r="M24" i="1"/>
  <c r="Z24" i="1"/>
  <c r="Y24" i="1"/>
  <c r="V24" i="1"/>
  <c r="U24" i="1"/>
  <c r="S24" i="1"/>
  <c r="R24" i="1"/>
  <c r="Z17" i="1"/>
  <c r="Y17" i="1"/>
  <c r="V17" i="1"/>
  <c r="U17" i="1"/>
  <c r="S17" i="1"/>
  <c r="R17" i="1"/>
  <c r="M17" i="1"/>
  <c r="Z9" i="1"/>
  <c r="Y9" i="1"/>
  <c r="V9" i="1"/>
  <c r="U9" i="1"/>
  <c r="S9" i="1"/>
  <c r="R9" i="1"/>
  <c r="M9" i="1"/>
  <c r="S14" i="1"/>
  <c r="R14" i="1"/>
  <c r="M14" i="1"/>
  <c r="Z14" i="1"/>
  <c r="Y14" i="1"/>
  <c r="V14" i="1"/>
  <c r="U14" i="1"/>
  <c r="V11" i="1"/>
  <c r="U11" i="1"/>
  <c r="S11" i="1"/>
  <c r="R11" i="1"/>
  <c r="M11" i="1"/>
  <c r="Z11" i="1"/>
  <c r="Y11" i="1"/>
  <c r="M16" i="1"/>
  <c r="Z16" i="1"/>
  <c r="Y16" i="1"/>
  <c r="V16" i="1"/>
  <c r="U16" i="1"/>
  <c r="S16" i="1"/>
  <c r="R16" i="1"/>
  <c r="K1968" i="1"/>
  <c r="J1968" i="1"/>
  <c r="I1968" i="1"/>
  <c r="H1968" i="1"/>
  <c r="G1968" i="1"/>
  <c r="L1968" i="1"/>
  <c r="W1968" i="1" s="1"/>
  <c r="K1675" i="1"/>
  <c r="J1675" i="1"/>
  <c r="I1675" i="1"/>
  <c r="H1675" i="1"/>
  <c r="G1675" i="1"/>
  <c r="L1675" i="1"/>
  <c r="W1675" i="1" s="1"/>
  <c r="K709" i="1"/>
  <c r="J709" i="1"/>
  <c r="H709" i="1"/>
  <c r="I709" i="1"/>
  <c r="G709" i="1"/>
  <c r="L709" i="1"/>
  <c r="W709" i="1" s="1"/>
  <c r="K1757" i="1"/>
  <c r="J1757" i="1"/>
  <c r="I1757" i="1"/>
  <c r="H1757" i="1"/>
  <c r="G1757" i="1"/>
  <c r="L1757" i="1"/>
  <c r="W1757" i="1" s="1"/>
  <c r="K1437" i="1"/>
  <c r="J1437" i="1"/>
  <c r="H1437" i="1"/>
  <c r="I1437" i="1"/>
  <c r="G1437" i="1"/>
  <c r="L1437" i="1"/>
  <c r="W1437" i="1" s="1"/>
  <c r="K1496" i="1"/>
  <c r="J1496" i="1"/>
  <c r="H1496" i="1"/>
  <c r="I1496" i="1"/>
  <c r="G1496" i="1"/>
  <c r="L1496" i="1"/>
  <c r="W1496" i="1" s="1"/>
  <c r="K1281" i="1"/>
  <c r="J1281" i="1"/>
  <c r="H1281" i="1"/>
  <c r="I1281" i="1"/>
  <c r="G1281" i="1"/>
  <c r="L1281" i="1"/>
  <c r="W1281" i="1" s="1"/>
  <c r="K1718" i="1"/>
  <c r="J1718" i="1"/>
  <c r="I1718" i="1"/>
  <c r="G1718" i="1"/>
  <c r="H1718" i="1"/>
  <c r="L1718" i="1"/>
  <c r="W1718" i="1" s="1"/>
  <c r="K1200" i="1"/>
  <c r="J1200" i="1"/>
  <c r="H1200" i="1"/>
  <c r="I1200" i="1"/>
  <c r="G1200" i="1"/>
  <c r="L1200" i="1"/>
  <c r="W1200" i="1" s="1"/>
  <c r="K990" i="1"/>
  <c r="J990" i="1"/>
  <c r="H990" i="1"/>
  <c r="I990" i="1"/>
  <c r="G990" i="1"/>
  <c r="L990" i="1"/>
  <c r="W990" i="1" s="1"/>
  <c r="K1893" i="1"/>
  <c r="J1893" i="1"/>
  <c r="I1893" i="1"/>
  <c r="H1893" i="1"/>
  <c r="G1893" i="1"/>
  <c r="L1893" i="1"/>
  <c r="W1893" i="1" s="1"/>
  <c r="K1475" i="1"/>
  <c r="J1475" i="1"/>
  <c r="H1475" i="1"/>
  <c r="I1475" i="1"/>
  <c r="G1475" i="1"/>
  <c r="L1475" i="1"/>
  <c r="W1475" i="1" s="1"/>
  <c r="K1609" i="1"/>
  <c r="J1609" i="1"/>
  <c r="I1609" i="1"/>
  <c r="H1609" i="1"/>
  <c r="G1609" i="1"/>
  <c r="L1609" i="1"/>
  <c r="W1609" i="1" s="1"/>
  <c r="K1663" i="1"/>
  <c r="J1663" i="1"/>
  <c r="I1663" i="1"/>
  <c r="G1663" i="1"/>
  <c r="H1663" i="1"/>
  <c r="L1663" i="1"/>
  <c r="W1663" i="1" s="1"/>
  <c r="K1309" i="1"/>
  <c r="J1309" i="1"/>
  <c r="H1309" i="1"/>
  <c r="I1309" i="1"/>
  <c r="G1309" i="1"/>
  <c r="L1309" i="1"/>
  <c r="W1309" i="1" s="1"/>
  <c r="K1419" i="1"/>
  <c r="J1419" i="1"/>
  <c r="H1419" i="1"/>
  <c r="I1419" i="1"/>
  <c r="G1419" i="1"/>
  <c r="L1419" i="1"/>
  <c r="W1419" i="1" s="1"/>
  <c r="K1638" i="1"/>
  <c r="J1638" i="1"/>
  <c r="I1638" i="1"/>
  <c r="G1638" i="1"/>
  <c r="H1638" i="1"/>
  <c r="L1638" i="1"/>
  <c r="W1638" i="1" s="1"/>
  <c r="K1062" i="1"/>
  <c r="J1062" i="1"/>
  <c r="H1062" i="1"/>
  <c r="I1062" i="1"/>
  <c r="G1062" i="1"/>
  <c r="L1062" i="1"/>
  <c r="W1062" i="1" s="1"/>
  <c r="K896" i="1"/>
  <c r="I896" i="1"/>
  <c r="J896" i="1"/>
  <c r="H896" i="1"/>
  <c r="G896" i="1"/>
  <c r="L896" i="1"/>
  <c r="W896" i="1" s="1"/>
  <c r="K1872" i="1"/>
  <c r="J1872" i="1"/>
  <c r="I1872" i="1"/>
  <c r="H1872" i="1"/>
  <c r="G1872" i="1"/>
  <c r="L1872" i="1"/>
  <c r="W1872" i="1" s="1"/>
  <c r="K1886" i="1"/>
  <c r="J1886" i="1"/>
  <c r="I1886" i="1"/>
  <c r="G1886" i="1"/>
  <c r="H1886" i="1"/>
  <c r="L1886" i="1"/>
  <c r="W1886" i="1" s="1"/>
  <c r="K1825" i="1"/>
  <c r="J1825" i="1"/>
  <c r="I1825" i="1"/>
  <c r="H1825" i="1"/>
  <c r="G1825" i="1"/>
  <c r="L1825" i="1"/>
  <c r="W1825" i="1" s="1"/>
  <c r="K1745" i="1"/>
  <c r="J1745" i="1"/>
  <c r="I1745" i="1"/>
  <c r="H1745" i="1"/>
  <c r="G1745" i="1"/>
  <c r="L1745" i="1"/>
  <c r="W1745" i="1" s="1"/>
  <c r="K1499" i="1"/>
  <c r="J1499" i="1"/>
  <c r="H1499" i="1"/>
  <c r="I1499" i="1"/>
  <c r="G1499" i="1"/>
  <c r="L1499" i="1"/>
  <c r="W1499" i="1" s="1"/>
  <c r="K1505" i="1"/>
  <c r="J1505" i="1"/>
  <c r="H1505" i="1"/>
  <c r="I1505" i="1"/>
  <c r="G1505" i="1"/>
  <c r="L1505" i="1"/>
  <c r="W1505" i="1" s="1"/>
  <c r="K1690" i="1"/>
  <c r="J1690" i="1"/>
  <c r="I1690" i="1"/>
  <c r="G1690" i="1"/>
  <c r="H1690" i="1"/>
  <c r="L1690" i="1"/>
  <c r="W1690" i="1" s="1"/>
  <c r="K1189" i="1"/>
  <c r="J1189" i="1"/>
  <c r="H1189" i="1"/>
  <c r="I1189" i="1"/>
  <c r="G1189" i="1"/>
  <c r="L1189" i="1"/>
  <c r="W1189" i="1" s="1"/>
  <c r="K1454" i="1"/>
  <c r="J1454" i="1"/>
  <c r="I1454" i="1"/>
  <c r="H1454" i="1"/>
  <c r="G1454" i="1"/>
  <c r="L1454" i="1"/>
  <c r="W1454" i="1" s="1"/>
  <c r="K1250" i="1"/>
  <c r="J1250" i="1"/>
  <c r="H1250" i="1"/>
  <c r="I1250" i="1"/>
  <c r="G1250" i="1"/>
  <c r="L1250" i="1"/>
  <c r="W1250" i="1" s="1"/>
  <c r="K497" i="1"/>
  <c r="I497" i="1"/>
  <c r="J497" i="1"/>
  <c r="H497" i="1"/>
  <c r="G497" i="1"/>
  <c r="L497" i="1"/>
  <c r="W497" i="1" s="1"/>
  <c r="K2014" i="1"/>
  <c r="J2014" i="1"/>
  <c r="I2014" i="1"/>
  <c r="G2014" i="1"/>
  <c r="H2014" i="1"/>
  <c r="L2014" i="1"/>
  <c r="W2014" i="1" s="1"/>
  <c r="K1875" i="1"/>
  <c r="J1875" i="1"/>
  <c r="I1875" i="1"/>
  <c r="H1875" i="1"/>
  <c r="G1875" i="1"/>
  <c r="L1875" i="1"/>
  <c r="W1875" i="1" s="1"/>
  <c r="K1443" i="1"/>
  <c r="J1443" i="1"/>
  <c r="H1443" i="1"/>
  <c r="I1443" i="1"/>
  <c r="G1443" i="1"/>
  <c r="L1443" i="1"/>
  <c r="W1443" i="1" s="1"/>
  <c r="K1577" i="1"/>
  <c r="J1577" i="1"/>
  <c r="H1577" i="1"/>
  <c r="I1577" i="1"/>
  <c r="G1577" i="1"/>
  <c r="L1577" i="1"/>
  <c r="W1577" i="1" s="1"/>
  <c r="K1631" i="1"/>
  <c r="J1631" i="1"/>
  <c r="I1631" i="1"/>
  <c r="G1631" i="1"/>
  <c r="H1631" i="1"/>
  <c r="L1631" i="1"/>
  <c r="W1631" i="1" s="1"/>
  <c r="K1277" i="1"/>
  <c r="J1277" i="1"/>
  <c r="H1277" i="1"/>
  <c r="I1277" i="1"/>
  <c r="G1277" i="1"/>
  <c r="L1277" i="1"/>
  <c r="W1277" i="1" s="1"/>
  <c r="K1403" i="1"/>
  <c r="J1403" i="1"/>
  <c r="H1403" i="1"/>
  <c r="I1403" i="1"/>
  <c r="G1403" i="1"/>
  <c r="L1403" i="1"/>
  <c r="W1403" i="1" s="1"/>
  <c r="K1622" i="1"/>
  <c r="J1622" i="1"/>
  <c r="I1622" i="1"/>
  <c r="G1622" i="1"/>
  <c r="H1622" i="1"/>
  <c r="L1622" i="1"/>
  <c r="W1622" i="1" s="1"/>
  <c r="K1016" i="1"/>
  <c r="I1016" i="1"/>
  <c r="J1016" i="1"/>
  <c r="H1016" i="1"/>
  <c r="G1016" i="1"/>
  <c r="L1016" i="1"/>
  <c r="W1016" i="1" s="1"/>
  <c r="K640" i="1"/>
  <c r="I640" i="1"/>
  <c r="J640" i="1"/>
  <c r="H640" i="1"/>
  <c r="G640" i="1"/>
  <c r="L640" i="1"/>
  <c r="W640" i="1" s="1"/>
  <c r="K1935" i="1"/>
  <c r="J1935" i="1"/>
  <c r="I1935" i="1"/>
  <c r="G1935" i="1"/>
  <c r="H1935" i="1"/>
  <c r="L1935" i="1"/>
  <c r="W1935" i="1" s="1"/>
  <c r="K1939" i="1"/>
  <c r="J1939" i="1"/>
  <c r="I1939" i="1"/>
  <c r="H1939" i="1"/>
  <c r="G1939" i="1"/>
  <c r="L1939" i="1"/>
  <c r="W1939" i="1" s="1"/>
  <c r="K1902" i="1"/>
  <c r="J1902" i="1"/>
  <c r="I1902" i="1"/>
  <c r="G1902" i="1"/>
  <c r="H1902" i="1"/>
  <c r="L1902" i="1"/>
  <c r="W1902" i="1" s="1"/>
  <c r="K1818" i="1"/>
  <c r="J1818" i="1"/>
  <c r="I1818" i="1"/>
  <c r="G1818" i="1"/>
  <c r="H1818" i="1"/>
  <c r="L1818" i="1"/>
  <c r="W1818" i="1" s="1"/>
  <c r="K1595" i="1"/>
  <c r="J1595" i="1"/>
  <c r="I1595" i="1"/>
  <c r="H1595" i="1"/>
  <c r="G1595" i="1"/>
  <c r="L1595" i="1"/>
  <c r="W1595" i="1" s="1"/>
  <c r="K1601" i="1"/>
  <c r="J1601" i="1"/>
  <c r="I1601" i="1"/>
  <c r="H1601" i="1"/>
  <c r="G1601" i="1"/>
  <c r="L1601" i="1"/>
  <c r="W1601" i="1" s="1"/>
  <c r="K1231" i="1"/>
  <c r="J1231" i="1"/>
  <c r="H1231" i="1"/>
  <c r="I1231" i="1"/>
  <c r="G1231" i="1"/>
  <c r="L1231" i="1"/>
  <c r="W1231" i="1" s="1"/>
  <c r="K1285" i="1"/>
  <c r="J1285" i="1"/>
  <c r="H1285" i="1"/>
  <c r="I1285" i="1"/>
  <c r="G1285" i="1"/>
  <c r="L1285" i="1"/>
  <c r="W1285" i="1" s="1"/>
  <c r="K1273" i="1"/>
  <c r="J1273" i="1"/>
  <c r="H1273" i="1"/>
  <c r="I1273" i="1"/>
  <c r="G1273" i="1"/>
  <c r="L1273" i="1"/>
  <c r="W1273" i="1" s="1"/>
  <c r="K762" i="1"/>
  <c r="I762" i="1"/>
  <c r="J762" i="1"/>
  <c r="H762" i="1"/>
  <c r="G762" i="1"/>
  <c r="L762" i="1"/>
  <c r="W762" i="1" s="1"/>
  <c r="K667" i="1"/>
  <c r="I667" i="1"/>
  <c r="J667" i="1"/>
  <c r="H667" i="1"/>
  <c r="G667" i="1"/>
  <c r="L667" i="1"/>
  <c r="W667" i="1" s="1"/>
  <c r="K1998" i="1"/>
  <c r="J1998" i="1"/>
  <c r="I1998" i="1"/>
  <c r="G1998" i="1"/>
  <c r="H1998" i="1"/>
  <c r="L1998" i="1"/>
  <c r="W1998" i="1" s="1"/>
  <c r="K1835" i="1"/>
  <c r="J1835" i="1"/>
  <c r="I1835" i="1"/>
  <c r="H1835" i="1"/>
  <c r="G1835" i="1"/>
  <c r="L1835" i="1"/>
  <c r="W1835" i="1" s="1"/>
  <c r="K1763" i="1"/>
  <c r="J1763" i="1"/>
  <c r="I1763" i="1"/>
  <c r="H1763" i="1"/>
  <c r="G1763" i="1"/>
  <c r="L1763" i="1"/>
  <c r="W1763" i="1" s="1"/>
  <c r="K1545" i="1"/>
  <c r="J1545" i="1"/>
  <c r="H1545" i="1"/>
  <c r="I1545" i="1"/>
  <c r="G1545" i="1"/>
  <c r="L1545" i="1"/>
  <c r="W1545" i="1" s="1"/>
  <c r="K1599" i="1"/>
  <c r="J1599" i="1"/>
  <c r="I1599" i="1"/>
  <c r="G1599" i="1"/>
  <c r="H1599" i="1"/>
  <c r="L1599" i="1"/>
  <c r="W1599" i="1" s="1"/>
  <c r="K1245" i="1"/>
  <c r="J1245" i="1"/>
  <c r="H1245" i="1"/>
  <c r="I1245" i="1"/>
  <c r="G1245" i="1"/>
  <c r="L1245" i="1"/>
  <c r="W1245" i="1" s="1"/>
  <c r="K1387" i="1"/>
  <c r="J1387" i="1"/>
  <c r="H1387" i="1"/>
  <c r="I1387" i="1"/>
  <c r="G1387" i="1"/>
  <c r="L1387" i="1"/>
  <c r="W1387" i="1" s="1"/>
  <c r="K1606" i="1"/>
  <c r="J1606" i="1"/>
  <c r="I1606" i="1"/>
  <c r="G1606" i="1"/>
  <c r="H1606" i="1"/>
  <c r="L1606" i="1"/>
  <c r="W1606" i="1" s="1"/>
  <c r="K968" i="1"/>
  <c r="I968" i="1"/>
  <c r="J968" i="1"/>
  <c r="H968" i="1"/>
  <c r="G968" i="1"/>
  <c r="L968" i="1"/>
  <c r="W968" i="1" s="1"/>
  <c r="K850" i="1"/>
  <c r="I850" i="1"/>
  <c r="J850" i="1"/>
  <c r="H850" i="1"/>
  <c r="G850" i="1"/>
  <c r="L850" i="1"/>
  <c r="W850" i="1" s="1"/>
  <c r="K1933" i="1"/>
  <c r="J1933" i="1"/>
  <c r="I1933" i="1"/>
  <c r="H1933" i="1"/>
  <c r="G1933" i="1"/>
  <c r="L1933" i="1"/>
  <c r="W1933" i="1" s="1"/>
  <c r="K1937" i="1"/>
  <c r="J1937" i="1"/>
  <c r="I1937" i="1"/>
  <c r="H1937" i="1"/>
  <c r="G1937" i="1"/>
  <c r="L1937" i="1"/>
  <c r="W1937" i="1" s="1"/>
  <c r="K1769" i="1"/>
  <c r="J1769" i="1"/>
  <c r="I1769" i="1"/>
  <c r="H1769" i="1"/>
  <c r="G1769" i="1"/>
  <c r="L1769" i="1"/>
  <c r="W1769" i="1" s="1"/>
  <c r="K1523" i="1"/>
  <c r="J1523" i="1"/>
  <c r="H1523" i="1"/>
  <c r="I1523" i="1"/>
  <c r="G1523" i="1"/>
  <c r="L1523" i="1"/>
  <c r="W1523" i="1" s="1"/>
  <c r="K1657" i="1"/>
  <c r="J1657" i="1"/>
  <c r="I1657" i="1"/>
  <c r="H1657" i="1"/>
  <c r="G1657" i="1"/>
  <c r="L1657" i="1"/>
  <c r="W1657" i="1" s="1"/>
  <c r="K1711" i="1"/>
  <c r="J1711" i="1"/>
  <c r="I1711" i="1"/>
  <c r="G1711" i="1"/>
  <c r="H1711" i="1"/>
  <c r="L1711" i="1"/>
  <c r="W1711" i="1" s="1"/>
  <c r="K1357" i="1"/>
  <c r="J1357" i="1"/>
  <c r="H1357" i="1"/>
  <c r="I1357" i="1"/>
  <c r="G1357" i="1"/>
  <c r="L1357" i="1"/>
  <c r="W1357" i="1" s="1"/>
  <c r="K1185" i="1"/>
  <c r="J1185" i="1"/>
  <c r="H1185" i="1"/>
  <c r="I1185" i="1"/>
  <c r="G1185" i="1"/>
  <c r="L1185" i="1"/>
  <c r="W1185" i="1" s="1"/>
  <c r="K1662" i="1"/>
  <c r="J1662" i="1"/>
  <c r="I1662" i="1"/>
  <c r="G1662" i="1"/>
  <c r="H1662" i="1"/>
  <c r="L1662" i="1"/>
  <c r="W1662" i="1" s="1"/>
  <c r="K1102" i="1"/>
  <c r="J1102" i="1"/>
  <c r="H1102" i="1"/>
  <c r="I1102" i="1"/>
  <c r="G1102" i="1"/>
  <c r="L1102" i="1"/>
  <c r="W1102" i="1" s="1"/>
  <c r="K1167" i="1"/>
  <c r="J1167" i="1"/>
  <c r="H1167" i="1"/>
  <c r="I1167" i="1"/>
  <c r="G1167" i="1"/>
  <c r="L1167" i="1"/>
  <c r="W1167" i="1" s="1"/>
  <c r="K1154" i="1"/>
  <c r="J1154" i="1"/>
  <c r="H1154" i="1"/>
  <c r="I1154" i="1"/>
  <c r="G1154" i="1"/>
  <c r="L1154" i="1"/>
  <c r="W1154" i="1" s="1"/>
  <c r="K690" i="1"/>
  <c r="I690" i="1"/>
  <c r="J690" i="1"/>
  <c r="H690" i="1"/>
  <c r="G690" i="1"/>
  <c r="L690" i="1"/>
  <c r="W690" i="1" s="1"/>
  <c r="K854" i="1"/>
  <c r="J854" i="1"/>
  <c r="H854" i="1"/>
  <c r="I854" i="1"/>
  <c r="G854" i="1"/>
  <c r="L854" i="1"/>
  <c r="W854" i="1" s="1"/>
  <c r="K457" i="1"/>
  <c r="I457" i="1"/>
  <c r="J457" i="1"/>
  <c r="H457" i="1"/>
  <c r="G457" i="1"/>
  <c r="L457" i="1"/>
  <c r="W457" i="1" s="1"/>
  <c r="K703" i="1"/>
  <c r="I703" i="1"/>
  <c r="J703" i="1"/>
  <c r="H703" i="1"/>
  <c r="G703" i="1"/>
  <c r="L703" i="1"/>
  <c r="W703" i="1" s="1"/>
  <c r="K915" i="1"/>
  <c r="I915" i="1"/>
  <c r="J915" i="1"/>
  <c r="H915" i="1"/>
  <c r="G915" i="1"/>
  <c r="L915" i="1"/>
  <c r="W915" i="1" s="1"/>
  <c r="K272" i="1"/>
  <c r="J272" i="1"/>
  <c r="I272" i="1"/>
  <c r="H272" i="1"/>
  <c r="G272" i="1"/>
  <c r="L272" i="1"/>
  <c r="W272" i="1" s="1"/>
  <c r="K492" i="1"/>
  <c r="I492" i="1"/>
  <c r="J492" i="1"/>
  <c r="H492" i="1"/>
  <c r="G492" i="1"/>
  <c r="L492" i="1"/>
  <c r="W492" i="1" s="1"/>
  <c r="K1004" i="1"/>
  <c r="J1004" i="1"/>
  <c r="I1004" i="1"/>
  <c r="H1004" i="1"/>
  <c r="G1004" i="1"/>
  <c r="L1004" i="1"/>
  <c r="W1004" i="1" s="1"/>
  <c r="K1146" i="1"/>
  <c r="J1146" i="1"/>
  <c r="H1146" i="1"/>
  <c r="I1146" i="1"/>
  <c r="G1146" i="1"/>
  <c r="L1146" i="1"/>
  <c r="W1146" i="1" s="1"/>
  <c r="K674" i="1"/>
  <c r="I674" i="1"/>
  <c r="J674" i="1"/>
  <c r="H674" i="1"/>
  <c r="G674" i="1"/>
  <c r="L674" i="1"/>
  <c r="W674" i="1" s="1"/>
  <c r="K838" i="1"/>
  <c r="J838" i="1"/>
  <c r="H838" i="1"/>
  <c r="I838" i="1"/>
  <c r="G838" i="1"/>
  <c r="L838" i="1"/>
  <c r="W838" i="1" s="1"/>
  <c r="K441" i="1"/>
  <c r="I441" i="1"/>
  <c r="J441" i="1"/>
  <c r="H441" i="1"/>
  <c r="G441" i="1"/>
  <c r="L441" i="1"/>
  <c r="W441" i="1" s="1"/>
  <c r="K677" i="1"/>
  <c r="J677" i="1"/>
  <c r="H677" i="1"/>
  <c r="I677" i="1"/>
  <c r="G677" i="1"/>
  <c r="L677" i="1"/>
  <c r="W677" i="1" s="1"/>
  <c r="K907" i="1"/>
  <c r="I907" i="1"/>
  <c r="J907" i="1"/>
  <c r="H907" i="1"/>
  <c r="G907" i="1"/>
  <c r="L907" i="1"/>
  <c r="W907" i="1" s="1"/>
  <c r="K256" i="1"/>
  <c r="J256" i="1"/>
  <c r="I256" i="1"/>
  <c r="H256" i="1"/>
  <c r="G256" i="1"/>
  <c r="L256" i="1"/>
  <c r="W256" i="1" s="1"/>
  <c r="J171" i="1"/>
  <c r="K171" i="1"/>
  <c r="I171" i="1"/>
  <c r="H171" i="1"/>
  <c r="G171" i="1"/>
  <c r="L171" i="1"/>
  <c r="W171" i="1" s="1"/>
  <c r="K616" i="1"/>
  <c r="I616" i="1"/>
  <c r="J616" i="1"/>
  <c r="H616" i="1"/>
  <c r="G616" i="1"/>
  <c r="L616" i="1"/>
  <c r="W616" i="1" s="1"/>
  <c r="K988" i="1"/>
  <c r="J988" i="1"/>
  <c r="I988" i="1"/>
  <c r="H988" i="1"/>
  <c r="G988" i="1"/>
  <c r="L988" i="1"/>
  <c r="W988" i="1" s="1"/>
  <c r="K1138" i="1"/>
  <c r="J1138" i="1"/>
  <c r="I1138" i="1"/>
  <c r="H1138" i="1"/>
  <c r="G1138" i="1"/>
  <c r="L1138" i="1"/>
  <c r="W1138" i="1" s="1"/>
  <c r="K658" i="1"/>
  <c r="I658" i="1"/>
  <c r="J658" i="1"/>
  <c r="H658" i="1"/>
  <c r="G658" i="1"/>
  <c r="L658" i="1"/>
  <c r="W658" i="1" s="1"/>
  <c r="K822" i="1"/>
  <c r="J822" i="1"/>
  <c r="H822" i="1"/>
  <c r="I822" i="1"/>
  <c r="G822" i="1"/>
  <c r="L822" i="1"/>
  <c r="W822" i="1" s="1"/>
  <c r="K425" i="1"/>
  <c r="I425" i="1"/>
  <c r="J425" i="1"/>
  <c r="H425" i="1"/>
  <c r="G425" i="1"/>
  <c r="L425" i="1"/>
  <c r="W425" i="1" s="1"/>
  <c r="K659" i="1"/>
  <c r="I659" i="1"/>
  <c r="J659" i="1"/>
  <c r="H659" i="1"/>
  <c r="G659" i="1"/>
  <c r="L659" i="1"/>
  <c r="W659" i="1" s="1"/>
  <c r="K899" i="1"/>
  <c r="I899" i="1"/>
  <c r="J899" i="1"/>
  <c r="H899" i="1"/>
  <c r="G899" i="1"/>
  <c r="L899" i="1"/>
  <c r="W899" i="1" s="1"/>
  <c r="K240" i="1"/>
  <c r="J240" i="1"/>
  <c r="I240" i="1"/>
  <c r="H240" i="1"/>
  <c r="G240" i="1"/>
  <c r="L240" i="1"/>
  <c r="W240" i="1" s="1"/>
  <c r="K183" i="1"/>
  <c r="J183" i="1"/>
  <c r="I183" i="1"/>
  <c r="H183" i="1"/>
  <c r="G183" i="1"/>
  <c r="L183" i="1"/>
  <c r="W183" i="1" s="1"/>
  <c r="K1080" i="1"/>
  <c r="J1080" i="1"/>
  <c r="H1080" i="1"/>
  <c r="I1080" i="1"/>
  <c r="G1080" i="1"/>
  <c r="L1080" i="1"/>
  <c r="W1080" i="1" s="1"/>
  <c r="K1212" i="1"/>
  <c r="J1212" i="1"/>
  <c r="I1212" i="1"/>
  <c r="G1212" i="1"/>
  <c r="H1212" i="1"/>
  <c r="L1212" i="1"/>
  <c r="W1212" i="1" s="1"/>
  <c r="K770" i="1"/>
  <c r="I770" i="1"/>
  <c r="J770" i="1"/>
  <c r="H770" i="1"/>
  <c r="G770" i="1"/>
  <c r="L770" i="1"/>
  <c r="W770" i="1" s="1"/>
  <c r="K934" i="1"/>
  <c r="J934" i="1"/>
  <c r="H934" i="1"/>
  <c r="I934" i="1"/>
  <c r="G934" i="1"/>
  <c r="L934" i="1"/>
  <c r="W934" i="1" s="1"/>
  <c r="K537" i="1"/>
  <c r="I537" i="1"/>
  <c r="J537" i="1"/>
  <c r="H537" i="1"/>
  <c r="G537" i="1"/>
  <c r="L537" i="1"/>
  <c r="W537" i="1" s="1"/>
  <c r="K445" i="1"/>
  <c r="J445" i="1"/>
  <c r="H445" i="1"/>
  <c r="I445" i="1"/>
  <c r="G445" i="1"/>
  <c r="L445" i="1"/>
  <c r="W445" i="1" s="1"/>
  <c r="K955" i="1"/>
  <c r="I955" i="1"/>
  <c r="J955" i="1"/>
  <c r="H955" i="1"/>
  <c r="G955" i="1"/>
  <c r="L955" i="1"/>
  <c r="W955" i="1" s="1"/>
  <c r="K352" i="1"/>
  <c r="J352" i="1"/>
  <c r="I352" i="1"/>
  <c r="H352" i="1"/>
  <c r="G352" i="1"/>
  <c r="L352" i="1"/>
  <c r="W352" i="1" s="1"/>
  <c r="K347" i="1"/>
  <c r="I347" i="1"/>
  <c r="J347" i="1"/>
  <c r="H347" i="1"/>
  <c r="G347" i="1"/>
  <c r="L347" i="1"/>
  <c r="W347" i="1" s="1"/>
  <c r="K928" i="1"/>
  <c r="I928" i="1"/>
  <c r="J928" i="1"/>
  <c r="H928" i="1"/>
  <c r="G928" i="1"/>
  <c r="L928" i="1"/>
  <c r="W928" i="1" s="1"/>
  <c r="K1132" i="1"/>
  <c r="J1132" i="1"/>
  <c r="I1132" i="1"/>
  <c r="H1132" i="1"/>
  <c r="G1132" i="1"/>
  <c r="L1132" i="1"/>
  <c r="W1132" i="1" s="1"/>
  <c r="K645" i="1"/>
  <c r="J645" i="1"/>
  <c r="H645" i="1"/>
  <c r="I645" i="1"/>
  <c r="G645" i="1"/>
  <c r="L645" i="1"/>
  <c r="W645" i="1" s="1"/>
  <c r="K459" i="1"/>
  <c r="I459" i="1"/>
  <c r="J459" i="1"/>
  <c r="H459" i="1"/>
  <c r="G459" i="1"/>
  <c r="L459" i="1"/>
  <c r="W459" i="1" s="1"/>
  <c r="K708" i="1"/>
  <c r="J708" i="1"/>
  <c r="I708" i="1"/>
  <c r="H708" i="1"/>
  <c r="G708" i="1"/>
  <c r="L708" i="1"/>
  <c r="W708" i="1" s="1"/>
  <c r="K755" i="1"/>
  <c r="I755" i="1"/>
  <c r="J755" i="1"/>
  <c r="H755" i="1"/>
  <c r="G755" i="1"/>
  <c r="L755" i="1"/>
  <c r="W755" i="1" s="1"/>
  <c r="K482" i="1"/>
  <c r="I482" i="1"/>
  <c r="J482" i="1"/>
  <c r="H482" i="1"/>
  <c r="G482" i="1"/>
  <c r="L482" i="1"/>
  <c r="W482" i="1" s="1"/>
  <c r="K1248" i="1"/>
  <c r="J1248" i="1"/>
  <c r="H1248" i="1"/>
  <c r="I1248" i="1"/>
  <c r="G1248" i="1"/>
  <c r="L1248" i="1"/>
  <c r="W1248" i="1" s="1"/>
  <c r="K778" i="1"/>
  <c r="I778" i="1"/>
  <c r="J778" i="1"/>
  <c r="H778" i="1"/>
  <c r="G778" i="1"/>
  <c r="L778" i="1"/>
  <c r="W778" i="1" s="1"/>
  <c r="K684" i="1"/>
  <c r="I684" i="1"/>
  <c r="J684" i="1"/>
  <c r="H684" i="1"/>
  <c r="G684" i="1"/>
  <c r="L684" i="1"/>
  <c r="W684" i="1" s="1"/>
  <c r="K912" i="1"/>
  <c r="I912" i="1"/>
  <c r="J912" i="1"/>
  <c r="H912" i="1"/>
  <c r="G912" i="1"/>
  <c r="L912" i="1"/>
  <c r="W912" i="1" s="1"/>
  <c r="K1124" i="1"/>
  <c r="J1124" i="1"/>
  <c r="I1124" i="1"/>
  <c r="H1124" i="1"/>
  <c r="G1124" i="1"/>
  <c r="L1124" i="1"/>
  <c r="W1124" i="1" s="1"/>
  <c r="K627" i="1"/>
  <c r="I627" i="1"/>
  <c r="J627" i="1"/>
  <c r="H627" i="1"/>
  <c r="G627" i="1"/>
  <c r="L627" i="1"/>
  <c r="W627" i="1" s="1"/>
  <c r="K443" i="1"/>
  <c r="I443" i="1"/>
  <c r="J443" i="1"/>
  <c r="H443" i="1"/>
  <c r="G443" i="1"/>
  <c r="L443" i="1"/>
  <c r="W443" i="1" s="1"/>
  <c r="K687" i="1"/>
  <c r="I687" i="1"/>
  <c r="J687" i="1"/>
  <c r="H687" i="1"/>
  <c r="G687" i="1"/>
  <c r="L687" i="1"/>
  <c r="W687" i="1" s="1"/>
  <c r="K747" i="1"/>
  <c r="I747" i="1"/>
  <c r="J747" i="1"/>
  <c r="H747" i="1"/>
  <c r="G747" i="1"/>
  <c r="L747" i="1"/>
  <c r="W747" i="1" s="1"/>
  <c r="K466" i="1"/>
  <c r="I466" i="1"/>
  <c r="J466" i="1"/>
  <c r="H466" i="1"/>
  <c r="G466" i="1"/>
  <c r="L466" i="1"/>
  <c r="W466" i="1" s="1"/>
  <c r="K867" i="1"/>
  <c r="I867" i="1"/>
  <c r="J867" i="1"/>
  <c r="H867" i="1"/>
  <c r="G867" i="1"/>
  <c r="L867" i="1"/>
  <c r="W867" i="1" s="1"/>
  <c r="K176" i="1"/>
  <c r="J176" i="1"/>
  <c r="I176" i="1"/>
  <c r="H176" i="1"/>
  <c r="G176" i="1"/>
  <c r="L176" i="1"/>
  <c r="W176" i="1" s="1"/>
  <c r="J243" i="1"/>
  <c r="K243" i="1"/>
  <c r="I243" i="1"/>
  <c r="H243" i="1"/>
  <c r="G243" i="1"/>
  <c r="L243" i="1"/>
  <c r="W243" i="1" s="1"/>
  <c r="K1118" i="1"/>
  <c r="J1118" i="1"/>
  <c r="I1118" i="1"/>
  <c r="H1118" i="1"/>
  <c r="G1118" i="1"/>
  <c r="L1118" i="1"/>
  <c r="W1118" i="1" s="1"/>
  <c r="K618" i="1"/>
  <c r="I618" i="1"/>
  <c r="J618" i="1"/>
  <c r="H618" i="1"/>
  <c r="G618" i="1"/>
  <c r="L618" i="1"/>
  <c r="W618" i="1" s="1"/>
  <c r="K1006" i="1"/>
  <c r="J1006" i="1"/>
  <c r="H1006" i="1"/>
  <c r="I1006" i="1"/>
  <c r="G1006" i="1"/>
  <c r="L1006" i="1"/>
  <c r="W1006" i="1" s="1"/>
  <c r="K752" i="1"/>
  <c r="I752" i="1"/>
  <c r="J752" i="1"/>
  <c r="H752" i="1"/>
  <c r="G752" i="1"/>
  <c r="L752" i="1"/>
  <c r="W752" i="1" s="1"/>
  <c r="K1028" i="1"/>
  <c r="J1028" i="1"/>
  <c r="I1028" i="1"/>
  <c r="H1028" i="1"/>
  <c r="G1028" i="1"/>
  <c r="L1028" i="1"/>
  <c r="W1028" i="1" s="1"/>
  <c r="K455" i="1"/>
  <c r="I455" i="1"/>
  <c r="J455" i="1"/>
  <c r="H455" i="1"/>
  <c r="G455" i="1"/>
  <c r="L455" i="1"/>
  <c r="W455" i="1" s="1"/>
  <c r="K927" i="1"/>
  <c r="I927" i="1"/>
  <c r="J927" i="1"/>
  <c r="H927" i="1"/>
  <c r="G927" i="1"/>
  <c r="L927" i="1"/>
  <c r="W927" i="1" s="1"/>
  <c r="K481" i="1"/>
  <c r="I481" i="1"/>
  <c r="J481" i="1"/>
  <c r="H481" i="1"/>
  <c r="G481" i="1"/>
  <c r="L481" i="1"/>
  <c r="W481" i="1" s="1"/>
  <c r="K565" i="1"/>
  <c r="J565" i="1"/>
  <c r="H565" i="1"/>
  <c r="I565" i="1"/>
  <c r="G565" i="1"/>
  <c r="L565" i="1"/>
  <c r="W565" i="1" s="1"/>
  <c r="K290" i="1"/>
  <c r="J290" i="1"/>
  <c r="I290" i="1"/>
  <c r="H290" i="1"/>
  <c r="G290" i="1"/>
  <c r="L290" i="1"/>
  <c r="W290" i="1" s="1"/>
  <c r="K436" i="1"/>
  <c r="I436" i="1"/>
  <c r="J436" i="1"/>
  <c r="H436" i="1"/>
  <c r="G436" i="1"/>
  <c r="L436" i="1"/>
  <c r="W436" i="1" s="1"/>
  <c r="K633" i="1"/>
  <c r="I633" i="1"/>
  <c r="J633" i="1"/>
  <c r="H633" i="1"/>
  <c r="G633" i="1"/>
  <c r="L633" i="1"/>
  <c r="W633" i="1" s="1"/>
  <c r="K641" i="1"/>
  <c r="I641" i="1"/>
  <c r="J641" i="1"/>
  <c r="H641" i="1"/>
  <c r="G641" i="1"/>
  <c r="L641" i="1"/>
  <c r="W641" i="1" s="1"/>
  <c r="K1133" i="1"/>
  <c r="J1133" i="1"/>
  <c r="H1133" i="1"/>
  <c r="I1133" i="1"/>
  <c r="G1133" i="1"/>
  <c r="L1133" i="1"/>
  <c r="W1133" i="1" s="1"/>
  <c r="K1272" i="1"/>
  <c r="J1272" i="1"/>
  <c r="H1272" i="1"/>
  <c r="I1272" i="1"/>
  <c r="G1272" i="1"/>
  <c r="L1272" i="1"/>
  <c r="W1272" i="1" s="1"/>
  <c r="K1756" i="1"/>
  <c r="J1756" i="1"/>
  <c r="I1756" i="1"/>
  <c r="H1756" i="1"/>
  <c r="G1756" i="1"/>
  <c r="L1756" i="1"/>
  <c r="W1756" i="1" s="1"/>
  <c r="K1830" i="1"/>
  <c r="J1830" i="1"/>
  <c r="I1830" i="1"/>
  <c r="G1830" i="1"/>
  <c r="H1830" i="1"/>
  <c r="L1830" i="1"/>
  <c r="W1830" i="1" s="1"/>
  <c r="K486" i="1"/>
  <c r="J486" i="1"/>
  <c r="I486" i="1"/>
  <c r="H486" i="1"/>
  <c r="G486" i="1"/>
  <c r="L486" i="1"/>
  <c r="W486" i="1" s="1"/>
  <c r="K367" i="1"/>
  <c r="I367" i="1"/>
  <c r="J367" i="1"/>
  <c r="H367" i="1"/>
  <c r="G367" i="1"/>
  <c r="L367" i="1"/>
  <c r="W367" i="1" s="1"/>
  <c r="K593" i="1"/>
  <c r="I593" i="1"/>
  <c r="J593" i="1"/>
  <c r="H593" i="1"/>
  <c r="G593" i="1"/>
  <c r="L593" i="1"/>
  <c r="W593" i="1" s="1"/>
  <c r="K797" i="1"/>
  <c r="J797" i="1"/>
  <c r="H797" i="1"/>
  <c r="I797" i="1"/>
  <c r="G797" i="1"/>
  <c r="L797" i="1"/>
  <c r="W797" i="1" s="1"/>
  <c r="K903" i="1"/>
  <c r="I903" i="1"/>
  <c r="J903" i="1"/>
  <c r="H903" i="1"/>
  <c r="G903" i="1"/>
  <c r="L903" i="1"/>
  <c r="W903" i="1" s="1"/>
  <c r="K1087" i="1"/>
  <c r="I1087" i="1"/>
  <c r="J1087" i="1"/>
  <c r="H1087" i="1"/>
  <c r="G1087" i="1"/>
  <c r="L1087" i="1"/>
  <c r="W1087" i="1" s="1"/>
  <c r="K1262" i="1"/>
  <c r="J1262" i="1"/>
  <c r="H1262" i="1"/>
  <c r="I1262" i="1"/>
  <c r="G1262" i="1"/>
  <c r="L1262" i="1"/>
  <c r="W1262" i="1" s="1"/>
  <c r="K1514" i="1"/>
  <c r="J1514" i="1"/>
  <c r="H1514" i="1"/>
  <c r="I1514" i="1"/>
  <c r="G1514" i="1"/>
  <c r="L1514" i="1"/>
  <c r="W1514" i="1" s="1"/>
  <c r="K1564" i="1"/>
  <c r="J1564" i="1"/>
  <c r="I1564" i="1"/>
  <c r="G1564" i="1"/>
  <c r="H1564" i="1"/>
  <c r="L1564" i="1"/>
  <c r="W1564" i="1" s="1"/>
  <c r="K198" i="1"/>
  <c r="J198" i="1"/>
  <c r="I198" i="1"/>
  <c r="H198" i="1"/>
  <c r="G198" i="1"/>
  <c r="L198" i="1"/>
  <c r="W198" i="1" s="1"/>
  <c r="K378" i="1"/>
  <c r="J378" i="1"/>
  <c r="I378" i="1"/>
  <c r="H378" i="1"/>
  <c r="G378" i="1"/>
  <c r="L378" i="1"/>
  <c r="W378" i="1" s="1"/>
  <c r="K327" i="1"/>
  <c r="J327" i="1"/>
  <c r="I327" i="1"/>
  <c r="H327" i="1"/>
  <c r="G327" i="1"/>
  <c r="L327" i="1"/>
  <c r="W327" i="1" s="1"/>
  <c r="J291" i="1"/>
  <c r="K291" i="1"/>
  <c r="I291" i="1"/>
  <c r="H291" i="1"/>
  <c r="G291" i="1"/>
  <c r="L291" i="1"/>
  <c r="W291" i="1" s="1"/>
  <c r="K544" i="1"/>
  <c r="I544" i="1"/>
  <c r="J544" i="1"/>
  <c r="H544" i="1"/>
  <c r="G544" i="1"/>
  <c r="L544" i="1"/>
  <c r="W544" i="1" s="1"/>
  <c r="K1049" i="1"/>
  <c r="J1049" i="1"/>
  <c r="I1049" i="1"/>
  <c r="H1049" i="1"/>
  <c r="G1049" i="1"/>
  <c r="L1049" i="1"/>
  <c r="W1049" i="1" s="1"/>
  <c r="K1057" i="1"/>
  <c r="J1057" i="1"/>
  <c r="I1057" i="1"/>
  <c r="H1057" i="1"/>
  <c r="G1057" i="1"/>
  <c r="L1057" i="1"/>
  <c r="W1057" i="1" s="1"/>
  <c r="K1332" i="1"/>
  <c r="J1332" i="1"/>
  <c r="I1332" i="1"/>
  <c r="H1332" i="1"/>
  <c r="G1332" i="1"/>
  <c r="L1332" i="1"/>
  <c r="W1332" i="1" s="1"/>
  <c r="K1400" i="1"/>
  <c r="J1400" i="1"/>
  <c r="H1400" i="1"/>
  <c r="I1400" i="1"/>
  <c r="G1400" i="1"/>
  <c r="L1400" i="1"/>
  <c r="W1400" i="1" s="1"/>
  <c r="K1504" i="1"/>
  <c r="J1504" i="1"/>
  <c r="H1504" i="1"/>
  <c r="I1504" i="1"/>
  <c r="G1504" i="1"/>
  <c r="L1504" i="1"/>
  <c r="W1504" i="1" s="1"/>
  <c r="K1889" i="1"/>
  <c r="J1889" i="1"/>
  <c r="I1889" i="1"/>
  <c r="H1889" i="1"/>
  <c r="G1889" i="1"/>
  <c r="L1889" i="1"/>
  <c r="W1889" i="1" s="1"/>
  <c r="K364" i="1"/>
  <c r="J364" i="1"/>
  <c r="I364" i="1"/>
  <c r="H364" i="1"/>
  <c r="G364" i="1"/>
  <c r="L364" i="1"/>
  <c r="W364" i="1" s="1"/>
  <c r="K1055" i="1"/>
  <c r="I1055" i="1"/>
  <c r="J1055" i="1"/>
  <c r="H1055" i="1"/>
  <c r="G1055" i="1"/>
  <c r="L1055" i="1"/>
  <c r="W1055" i="1" s="1"/>
  <c r="K807" i="1"/>
  <c r="I807" i="1"/>
  <c r="J807" i="1"/>
  <c r="H807" i="1"/>
  <c r="G807" i="1"/>
  <c r="L807" i="1"/>
  <c r="W807" i="1" s="1"/>
  <c r="K1075" i="1"/>
  <c r="I1075" i="1"/>
  <c r="J1075" i="1"/>
  <c r="H1075" i="1"/>
  <c r="G1075" i="1"/>
  <c r="L1075" i="1"/>
  <c r="W1075" i="1" s="1"/>
  <c r="K1444" i="1"/>
  <c r="J1444" i="1"/>
  <c r="I1444" i="1"/>
  <c r="G1444" i="1"/>
  <c r="H1444" i="1"/>
  <c r="L1444" i="1"/>
  <c r="W1444" i="1" s="1"/>
  <c r="K1418" i="1"/>
  <c r="J1418" i="1"/>
  <c r="H1418" i="1"/>
  <c r="I1418" i="1"/>
  <c r="G1418" i="1"/>
  <c r="L1418" i="1"/>
  <c r="W1418" i="1" s="1"/>
  <c r="K1468" i="1"/>
  <c r="J1468" i="1"/>
  <c r="I1468" i="1"/>
  <c r="G1468" i="1"/>
  <c r="H1468" i="1"/>
  <c r="L1468" i="1"/>
  <c r="W1468" i="1" s="1"/>
  <c r="K294" i="1"/>
  <c r="J294" i="1"/>
  <c r="I294" i="1"/>
  <c r="H294" i="1"/>
  <c r="G294" i="1"/>
  <c r="L294" i="1"/>
  <c r="W294" i="1" s="1"/>
  <c r="J220" i="1"/>
  <c r="K220" i="1"/>
  <c r="I220" i="1"/>
  <c r="H220" i="1"/>
  <c r="G220" i="1"/>
  <c r="L220" i="1"/>
  <c r="W220" i="1" s="1"/>
  <c r="J189" i="1"/>
  <c r="K189" i="1"/>
  <c r="I189" i="1"/>
  <c r="H189" i="1"/>
  <c r="G189" i="1"/>
  <c r="L189" i="1"/>
  <c r="W189" i="1" s="1"/>
  <c r="J187" i="1"/>
  <c r="K187" i="1"/>
  <c r="I187" i="1"/>
  <c r="H187" i="1"/>
  <c r="G187" i="1"/>
  <c r="L187" i="1"/>
  <c r="W187" i="1" s="1"/>
  <c r="K685" i="1"/>
  <c r="J685" i="1"/>
  <c r="I685" i="1"/>
  <c r="H685" i="1"/>
  <c r="G685" i="1"/>
  <c r="L685" i="1"/>
  <c r="W685" i="1" s="1"/>
  <c r="K1019" i="1"/>
  <c r="I1019" i="1"/>
  <c r="J1019" i="1"/>
  <c r="H1019" i="1"/>
  <c r="G1019" i="1"/>
  <c r="L1019" i="1"/>
  <c r="W1019" i="1" s="1"/>
  <c r="K1043" i="1"/>
  <c r="I1043" i="1"/>
  <c r="J1043" i="1"/>
  <c r="H1043" i="1"/>
  <c r="G1043" i="1"/>
  <c r="L1043" i="1"/>
  <c r="W1043" i="1" s="1"/>
  <c r="K1125" i="1"/>
  <c r="J1125" i="1"/>
  <c r="H1125" i="1"/>
  <c r="I1125" i="1"/>
  <c r="G1125" i="1"/>
  <c r="L1125" i="1"/>
  <c r="W1125" i="1" s="1"/>
  <c r="K1208" i="1"/>
  <c r="J1208" i="1"/>
  <c r="H1208" i="1"/>
  <c r="I1208" i="1"/>
  <c r="G1208" i="1"/>
  <c r="L1208" i="1"/>
  <c r="W1208" i="1" s="1"/>
  <c r="K1688" i="1"/>
  <c r="J1688" i="1"/>
  <c r="I1688" i="1"/>
  <c r="H1688" i="1"/>
  <c r="G1688" i="1"/>
  <c r="L1688" i="1"/>
  <c r="W1688" i="1" s="1"/>
  <c r="K1766" i="1"/>
  <c r="J1766" i="1"/>
  <c r="I1766" i="1"/>
  <c r="G1766" i="1"/>
  <c r="H1766" i="1"/>
  <c r="L1766" i="1"/>
  <c r="W1766" i="1" s="1"/>
  <c r="K518" i="1"/>
  <c r="J518" i="1"/>
  <c r="I518" i="1"/>
  <c r="H518" i="1"/>
  <c r="G518" i="1"/>
  <c r="L518" i="1"/>
  <c r="W518" i="1" s="1"/>
  <c r="K357" i="1"/>
  <c r="J357" i="1"/>
  <c r="H357" i="1"/>
  <c r="I357" i="1"/>
  <c r="G357" i="1"/>
  <c r="L357" i="1"/>
  <c r="W357" i="1" s="1"/>
  <c r="J333" i="1"/>
  <c r="K333" i="1"/>
  <c r="I333" i="1"/>
  <c r="H333" i="1"/>
  <c r="G333" i="1"/>
  <c r="L333" i="1"/>
  <c r="W333" i="1" s="1"/>
  <c r="K733" i="1"/>
  <c r="J733" i="1"/>
  <c r="H733" i="1"/>
  <c r="I733" i="1"/>
  <c r="G733" i="1"/>
  <c r="L733" i="1"/>
  <c r="W733" i="1" s="1"/>
  <c r="K839" i="1"/>
  <c r="I839" i="1"/>
  <c r="J839" i="1"/>
  <c r="H839" i="1"/>
  <c r="G839" i="1"/>
  <c r="L839" i="1"/>
  <c r="W839" i="1" s="1"/>
  <c r="K1079" i="1"/>
  <c r="I1079" i="1"/>
  <c r="J1079" i="1"/>
  <c r="H1079" i="1"/>
  <c r="G1079" i="1"/>
  <c r="L1079" i="1"/>
  <c r="W1079" i="1" s="1"/>
  <c r="K1198" i="1"/>
  <c r="J1198" i="1"/>
  <c r="H1198" i="1"/>
  <c r="I1198" i="1"/>
  <c r="G1198" i="1"/>
  <c r="L1198" i="1"/>
  <c r="W1198" i="1" s="1"/>
  <c r="K1450" i="1"/>
  <c r="J1450" i="1"/>
  <c r="H1450" i="1"/>
  <c r="I1450" i="1"/>
  <c r="G1450" i="1"/>
  <c r="L1450" i="1"/>
  <c r="W1450" i="1" s="1"/>
  <c r="K1500" i="1"/>
  <c r="J1500" i="1"/>
  <c r="I1500" i="1"/>
  <c r="G1500" i="1"/>
  <c r="H1500" i="1"/>
  <c r="L1500" i="1"/>
  <c r="W1500" i="1" s="1"/>
  <c r="K262" i="1"/>
  <c r="J262" i="1"/>
  <c r="I262" i="1"/>
  <c r="H262" i="1"/>
  <c r="G262" i="1"/>
  <c r="L262" i="1"/>
  <c r="W262" i="1" s="1"/>
  <c r="J188" i="1"/>
  <c r="K188" i="1"/>
  <c r="I188" i="1"/>
  <c r="H188" i="1"/>
  <c r="G188" i="1"/>
  <c r="L188" i="1"/>
  <c r="W188" i="1" s="1"/>
  <c r="K199" i="1"/>
  <c r="J199" i="1"/>
  <c r="I199" i="1"/>
  <c r="H199" i="1"/>
  <c r="G199" i="1"/>
  <c r="L199" i="1"/>
  <c r="W199" i="1" s="1"/>
  <c r="K193" i="1"/>
  <c r="J193" i="1"/>
  <c r="I193" i="1"/>
  <c r="H193" i="1"/>
  <c r="G193" i="1"/>
  <c r="L193" i="1"/>
  <c r="W193" i="1" s="1"/>
  <c r="K404" i="1"/>
  <c r="I404" i="1"/>
  <c r="J404" i="1"/>
  <c r="H404" i="1"/>
  <c r="G404" i="1"/>
  <c r="L404" i="1"/>
  <c r="W404" i="1" s="1"/>
  <c r="K1051" i="1"/>
  <c r="I1051" i="1"/>
  <c r="J1051" i="1"/>
  <c r="H1051" i="1"/>
  <c r="G1051" i="1"/>
  <c r="L1051" i="1"/>
  <c r="W1051" i="1" s="1"/>
  <c r="K609" i="1"/>
  <c r="I609" i="1"/>
  <c r="J609" i="1"/>
  <c r="H609" i="1"/>
  <c r="G609" i="1"/>
  <c r="L609" i="1"/>
  <c r="W609" i="1" s="1"/>
  <c r="K1129" i="1"/>
  <c r="J1129" i="1"/>
  <c r="I1129" i="1"/>
  <c r="H1129" i="1"/>
  <c r="G1129" i="1"/>
  <c r="L1129" i="1"/>
  <c r="W1129" i="1" s="1"/>
  <c r="K1240" i="1"/>
  <c r="J1240" i="1"/>
  <c r="H1240" i="1"/>
  <c r="I1240" i="1"/>
  <c r="G1240" i="1"/>
  <c r="L1240" i="1"/>
  <c r="W1240" i="1" s="1"/>
  <c r="K1720" i="1"/>
  <c r="J1720" i="1"/>
  <c r="I1720" i="1"/>
  <c r="H1720" i="1"/>
  <c r="G1720" i="1"/>
  <c r="L1720" i="1"/>
  <c r="W1720" i="1" s="1"/>
  <c r="K1798" i="1"/>
  <c r="J1798" i="1"/>
  <c r="I1798" i="1"/>
  <c r="G1798" i="1"/>
  <c r="H1798" i="1"/>
  <c r="L1798" i="1"/>
  <c r="W1798" i="1" s="1"/>
  <c r="K502" i="1"/>
  <c r="J502" i="1"/>
  <c r="I502" i="1"/>
  <c r="H502" i="1"/>
  <c r="G502" i="1"/>
  <c r="L502" i="1"/>
  <c r="W502" i="1" s="1"/>
  <c r="J340" i="1"/>
  <c r="K340" i="1"/>
  <c r="I340" i="1"/>
  <c r="H340" i="1"/>
  <c r="G340" i="1"/>
  <c r="L340" i="1"/>
  <c r="W340" i="1" s="1"/>
  <c r="K361" i="1"/>
  <c r="I361" i="1"/>
  <c r="J361" i="1"/>
  <c r="H361" i="1"/>
  <c r="G361" i="1"/>
  <c r="L361" i="1"/>
  <c r="W361" i="1" s="1"/>
  <c r="K343" i="1"/>
  <c r="J343" i="1"/>
  <c r="I343" i="1"/>
  <c r="H343" i="1"/>
  <c r="G343" i="1"/>
  <c r="L343" i="1"/>
  <c r="W343" i="1" s="1"/>
  <c r="K765" i="1"/>
  <c r="J765" i="1"/>
  <c r="H765" i="1"/>
  <c r="I765" i="1"/>
  <c r="G765" i="1"/>
  <c r="L765" i="1"/>
  <c r="W765" i="1" s="1"/>
  <c r="K871" i="1"/>
  <c r="I871" i="1"/>
  <c r="J871" i="1"/>
  <c r="H871" i="1"/>
  <c r="G871" i="1"/>
  <c r="L871" i="1"/>
  <c r="W871" i="1" s="1"/>
  <c r="K1083" i="1"/>
  <c r="I1083" i="1"/>
  <c r="J1083" i="1"/>
  <c r="H1083" i="1"/>
  <c r="G1083" i="1"/>
  <c r="L1083" i="1"/>
  <c r="W1083" i="1" s="1"/>
  <c r="K1230" i="1"/>
  <c r="J1230" i="1"/>
  <c r="H1230" i="1"/>
  <c r="I1230" i="1"/>
  <c r="G1230" i="1"/>
  <c r="L1230" i="1"/>
  <c r="W1230" i="1" s="1"/>
  <c r="K1482" i="1"/>
  <c r="J1482" i="1"/>
  <c r="H1482" i="1"/>
  <c r="I1482" i="1"/>
  <c r="G1482" i="1"/>
  <c r="L1482" i="1"/>
  <c r="W1482" i="1" s="1"/>
  <c r="K1532" i="1"/>
  <c r="J1532" i="1"/>
  <c r="I1532" i="1"/>
  <c r="G1532" i="1"/>
  <c r="H1532" i="1"/>
  <c r="L1532" i="1"/>
  <c r="W1532" i="1" s="1"/>
  <c r="K230" i="1"/>
  <c r="J230" i="1"/>
  <c r="I230" i="1"/>
  <c r="H230" i="1"/>
  <c r="G230" i="1"/>
  <c r="L230" i="1"/>
  <c r="W230" i="1" s="1"/>
  <c r="K358" i="1"/>
  <c r="J358" i="1"/>
  <c r="I358" i="1"/>
  <c r="H358" i="1"/>
  <c r="G358" i="1"/>
  <c r="L358" i="1"/>
  <c r="W358" i="1" s="1"/>
  <c r="K73" i="1"/>
  <c r="J73" i="1"/>
  <c r="I73" i="1"/>
  <c r="H73" i="1"/>
  <c r="G73" i="1"/>
  <c r="L73" i="1"/>
  <c r="W73" i="1" s="1"/>
  <c r="K121" i="1"/>
  <c r="J121" i="1"/>
  <c r="I121" i="1"/>
  <c r="H121" i="1"/>
  <c r="G121" i="1"/>
  <c r="L121" i="1"/>
  <c r="W121" i="1" s="1"/>
  <c r="J29" i="1"/>
  <c r="K29" i="1"/>
  <c r="I29" i="1"/>
  <c r="H29" i="1"/>
  <c r="G29" i="1"/>
  <c r="L29" i="1"/>
  <c r="W29" i="1" s="1"/>
  <c r="K81" i="1"/>
  <c r="J81" i="1"/>
  <c r="I81" i="1"/>
  <c r="H81" i="1"/>
  <c r="G81" i="1"/>
  <c r="L81" i="1"/>
  <c r="W81" i="1" s="1"/>
  <c r="K127" i="1"/>
  <c r="J127" i="1"/>
  <c r="I127" i="1"/>
  <c r="H127" i="1"/>
  <c r="G127" i="1"/>
  <c r="L127" i="1"/>
  <c r="W127" i="1" s="1"/>
  <c r="J43" i="1"/>
  <c r="K43" i="1"/>
  <c r="I43" i="1"/>
  <c r="H43" i="1"/>
  <c r="G43" i="1"/>
  <c r="L43" i="1"/>
  <c r="W43" i="1" s="1"/>
  <c r="J99" i="1"/>
  <c r="K99" i="1"/>
  <c r="I99" i="1"/>
  <c r="H99" i="1"/>
  <c r="G99" i="1"/>
  <c r="L99" i="1"/>
  <c r="W99" i="1" s="1"/>
  <c r="J157" i="1"/>
  <c r="K157" i="1"/>
  <c r="I157" i="1"/>
  <c r="H157" i="1"/>
  <c r="G157" i="1"/>
  <c r="L157" i="1"/>
  <c r="W157" i="1" s="1"/>
  <c r="K66" i="1"/>
  <c r="J66" i="1"/>
  <c r="I66" i="1"/>
  <c r="H66" i="1"/>
  <c r="G66" i="1"/>
  <c r="L66" i="1"/>
  <c r="W66" i="1" s="1"/>
  <c r="K102" i="1"/>
  <c r="J102" i="1"/>
  <c r="I102" i="1"/>
  <c r="H102" i="1"/>
  <c r="G102" i="1"/>
  <c r="L102" i="1"/>
  <c r="W102" i="1" s="1"/>
  <c r="K120" i="1"/>
  <c r="J120" i="1"/>
  <c r="I120" i="1"/>
  <c r="H120" i="1"/>
  <c r="G120" i="1"/>
  <c r="L120" i="1"/>
  <c r="W120" i="1" s="1"/>
  <c r="K136" i="1"/>
  <c r="J136" i="1"/>
  <c r="I136" i="1"/>
  <c r="H136" i="1"/>
  <c r="G136" i="1"/>
  <c r="L136" i="1"/>
  <c r="W136" i="1" s="1"/>
  <c r="J156" i="1"/>
  <c r="K156" i="1"/>
  <c r="I156" i="1"/>
  <c r="H156" i="1"/>
  <c r="G156" i="1"/>
  <c r="L156" i="1"/>
  <c r="W156" i="1" s="1"/>
  <c r="K39" i="1"/>
  <c r="J39" i="1"/>
  <c r="I39" i="1"/>
  <c r="H39" i="1"/>
  <c r="G39" i="1"/>
  <c r="L39" i="1"/>
  <c r="W39" i="1" s="1"/>
  <c r="J68" i="1"/>
  <c r="K68" i="1"/>
  <c r="I68" i="1"/>
  <c r="H68" i="1"/>
  <c r="G68" i="1"/>
  <c r="L68" i="1"/>
  <c r="W68" i="1" s="1"/>
  <c r="J141" i="1"/>
  <c r="K141" i="1"/>
  <c r="I141" i="1"/>
  <c r="H141" i="1"/>
  <c r="G141" i="1"/>
  <c r="L141" i="1"/>
  <c r="W141" i="1" s="1"/>
  <c r="J76" i="1"/>
  <c r="K76" i="1"/>
  <c r="I76" i="1"/>
  <c r="H76" i="1"/>
  <c r="G76" i="1"/>
  <c r="L76" i="1"/>
  <c r="W76" i="1" s="1"/>
  <c r="J18" i="1"/>
  <c r="K18" i="1"/>
  <c r="I18" i="1"/>
  <c r="H18" i="1"/>
  <c r="G18" i="1"/>
  <c r="K1850" i="1"/>
  <c r="J1850" i="1"/>
  <c r="I1850" i="1"/>
  <c r="G1850" i="1"/>
  <c r="H1850" i="1"/>
  <c r="L1850" i="1"/>
  <c r="W1850" i="1" s="1"/>
  <c r="K970" i="1"/>
  <c r="I970" i="1"/>
  <c r="J970" i="1"/>
  <c r="H970" i="1"/>
  <c r="G970" i="1"/>
  <c r="L970" i="1"/>
  <c r="W970" i="1" s="1"/>
  <c r="J26" i="1"/>
  <c r="K26" i="1"/>
  <c r="I26" i="1"/>
  <c r="H26" i="1"/>
  <c r="G26" i="1"/>
  <c r="K5" i="1"/>
  <c r="J5" i="1"/>
  <c r="I5" i="1"/>
  <c r="H5" i="1"/>
  <c r="G5" i="1"/>
  <c r="K1917" i="1"/>
  <c r="J1917" i="1"/>
  <c r="I1917" i="1"/>
  <c r="H1917" i="1"/>
  <c r="G1917" i="1"/>
  <c r="L1917" i="1"/>
  <c r="W1917" i="1" s="1"/>
  <c r="K1918" i="1"/>
  <c r="J1918" i="1"/>
  <c r="I1918" i="1"/>
  <c r="G1918" i="1"/>
  <c r="H1918" i="1"/>
  <c r="L1918" i="1"/>
  <c r="W1918" i="1" s="1"/>
  <c r="K1928" i="1"/>
  <c r="J1928" i="1"/>
  <c r="I1928" i="1"/>
  <c r="H1928" i="1"/>
  <c r="G1928" i="1"/>
  <c r="L1928" i="1"/>
  <c r="W1928" i="1" s="1"/>
  <c r="K1914" i="1"/>
  <c r="J1914" i="1"/>
  <c r="I1914" i="1"/>
  <c r="G1914" i="1"/>
  <c r="H1914" i="1"/>
  <c r="L1914" i="1"/>
  <c r="W1914" i="1" s="1"/>
  <c r="K1913" i="1"/>
  <c r="J1913" i="1"/>
  <c r="I1913" i="1"/>
  <c r="H1913" i="1"/>
  <c r="G1913" i="1"/>
  <c r="L1913" i="1"/>
  <c r="W1913" i="1" s="1"/>
  <c r="K1910" i="1"/>
  <c r="J1910" i="1"/>
  <c r="I1910" i="1"/>
  <c r="G1910" i="1"/>
  <c r="H1910" i="1"/>
  <c r="L1910" i="1"/>
  <c r="W1910" i="1" s="1"/>
  <c r="K1967" i="1"/>
  <c r="J1967" i="1"/>
  <c r="I1967" i="1"/>
  <c r="G1967" i="1"/>
  <c r="H1967" i="1"/>
  <c r="L1967" i="1"/>
  <c r="W1967" i="1" s="1"/>
  <c r="K1982" i="1"/>
  <c r="J1982" i="1"/>
  <c r="I1982" i="1"/>
  <c r="G1982" i="1"/>
  <c r="H1982" i="1"/>
  <c r="L1982" i="1"/>
  <c r="W1982" i="1" s="1"/>
  <c r="K1868" i="1"/>
  <c r="J1868" i="1"/>
  <c r="I1868" i="1"/>
  <c r="H1868" i="1"/>
  <c r="G1868" i="1"/>
  <c r="L1868" i="1"/>
  <c r="W1868" i="1" s="1"/>
  <c r="K1936" i="1"/>
  <c r="J1936" i="1"/>
  <c r="I1936" i="1"/>
  <c r="H1936" i="1"/>
  <c r="G1936" i="1"/>
  <c r="L1936" i="1"/>
  <c r="W1936" i="1" s="1"/>
  <c r="K1737" i="1"/>
  <c r="J1737" i="1"/>
  <c r="I1737" i="1"/>
  <c r="H1737" i="1"/>
  <c r="G1737" i="1"/>
  <c r="L1737" i="1"/>
  <c r="W1737" i="1" s="1"/>
  <c r="K1867" i="1"/>
  <c r="J1867" i="1"/>
  <c r="I1867" i="1"/>
  <c r="H1867" i="1"/>
  <c r="G1867" i="1"/>
  <c r="L1867" i="1"/>
  <c r="W1867" i="1" s="1"/>
  <c r="K1794" i="1"/>
  <c r="J1794" i="1"/>
  <c r="I1794" i="1"/>
  <c r="G1794" i="1"/>
  <c r="H1794" i="1"/>
  <c r="L1794" i="1"/>
  <c r="W1794" i="1" s="1"/>
  <c r="K1547" i="1"/>
  <c r="J1547" i="1"/>
  <c r="H1547" i="1"/>
  <c r="I1547" i="1"/>
  <c r="G1547" i="1"/>
  <c r="L1547" i="1"/>
  <c r="W1547" i="1" s="1"/>
  <c r="K1553" i="1"/>
  <c r="J1553" i="1"/>
  <c r="H1553" i="1"/>
  <c r="I1553" i="1"/>
  <c r="G1553" i="1"/>
  <c r="L1553" i="1"/>
  <c r="W1553" i="1" s="1"/>
  <c r="K1754" i="1"/>
  <c r="J1754" i="1"/>
  <c r="I1754" i="1"/>
  <c r="G1754" i="1"/>
  <c r="H1754" i="1"/>
  <c r="L1754" i="1"/>
  <c r="W1754" i="1" s="1"/>
  <c r="K1237" i="1"/>
  <c r="J1237" i="1"/>
  <c r="H1237" i="1"/>
  <c r="I1237" i="1"/>
  <c r="G1237" i="1"/>
  <c r="L1237" i="1"/>
  <c r="W1237" i="1" s="1"/>
  <c r="K1209" i="1"/>
  <c r="J1209" i="1"/>
  <c r="H1209" i="1"/>
  <c r="I1209" i="1"/>
  <c r="G1209" i="1"/>
  <c r="L1209" i="1"/>
  <c r="W1209" i="1" s="1"/>
  <c r="K634" i="1"/>
  <c r="I634" i="1"/>
  <c r="J634" i="1"/>
  <c r="H634" i="1"/>
  <c r="G634" i="1"/>
  <c r="L634" i="1"/>
  <c r="W634" i="1" s="1"/>
  <c r="K591" i="1"/>
  <c r="I591" i="1"/>
  <c r="J591" i="1"/>
  <c r="H591" i="1"/>
  <c r="G591" i="1"/>
  <c r="L591" i="1"/>
  <c r="W591" i="1" s="1"/>
  <c r="K1625" i="1"/>
  <c r="J1625" i="1"/>
  <c r="I1625" i="1"/>
  <c r="H1625" i="1"/>
  <c r="G1625" i="1"/>
  <c r="L1625" i="1"/>
  <c r="W1625" i="1" s="1"/>
  <c r="K1679" i="1"/>
  <c r="J1679" i="1"/>
  <c r="I1679" i="1"/>
  <c r="G1679" i="1"/>
  <c r="H1679" i="1"/>
  <c r="L1679" i="1"/>
  <c r="W1679" i="1" s="1"/>
  <c r="K1325" i="1"/>
  <c r="J1325" i="1"/>
  <c r="H1325" i="1"/>
  <c r="I1325" i="1"/>
  <c r="G1325" i="1"/>
  <c r="L1325" i="1"/>
  <c r="W1325" i="1" s="1"/>
  <c r="K1458" i="1"/>
  <c r="J1458" i="1"/>
  <c r="H1458" i="1"/>
  <c r="I1458" i="1"/>
  <c r="G1458" i="1"/>
  <c r="L1458" i="1"/>
  <c r="W1458" i="1" s="1"/>
  <c r="K1646" i="1"/>
  <c r="J1646" i="1"/>
  <c r="I1646" i="1"/>
  <c r="G1646" i="1"/>
  <c r="H1646" i="1"/>
  <c r="L1646" i="1"/>
  <c r="W1646" i="1" s="1"/>
  <c r="K1078" i="1"/>
  <c r="J1078" i="1"/>
  <c r="H1078" i="1"/>
  <c r="I1078" i="1"/>
  <c r="G1078" i="1"/>
  <c r="L1078" i="1"/>
  <c r="W1078" i="1" s="1"/>
  <c r="K1024" i="1"/>
  <c r="I1024" i="1"/>
  <c r="J1024" i="1"/>
  <c r="H1024" i="1"/>
  <c r="G1024" i="1"/>
  <c r="L1024" i="1"/>
  <c r="W1024" i="1" s="1"/>
  <c r="K1771" i="1"/>
  <c r="J1771" i="1"/>
  <c r="I1771" i="1"/>
  <c r="H1771" i="1"/>
  <c r="G1771" i="1"/>
  <c r="L1771" i="1"/>
  <c r="W1771" i="1" s="1"/>
  <c r="K1685" i="1"/>
  <c r="J1685" i="1"/>
  <c r="I1685" i="1"/>
  <c r="H1685" i="1"/>
  <c r="G1685" i="1"/>
  <c r="L1685" i="1"/>
  <c r="W1685" i="1" s="1"/>
  <c r="K1481" i="1"/>
  <c r="J1481" i="1"/>
  <c r="H1481" i="1"/>
  <c r="I1481" i="1"/>
  <c r="G1481" i="1"/>
  <c r="L1481" i="1"/>
  <c r="W1481" i="1" s="1"/>
  <c r="K1535" i="1"/>
  <c r="J1535" i="1"/>
  <c r="H1535" i="1"/>
  <c r="I1535" i="1"/>
  <c r="G1535" i="1"/>
  <c r="L1535" i="1"/>
  <c r="W1535" i="1" s="1"/>
  <c r="K1181" i="1"/>
  <c r="J1181" i="1"/>
  <c r="H1181" i="1"/>
  <c r="I1181" i="1"/>
  <c r="G1181" i="1"/>
  <c r="L1181" i="1"/>
  <c r="W1181" i="1" s="1"/>
  <c r="K1347" i="1"/>
  <c r="J1347" i="1"/>
  <c r="H1347" i="1"/>
  <c r="I1347" i="1"/>
  <c r="G1347" i="1"/>
  <c r="L1347" i="1"/>
  <c r="W1347" i="1" s="1"/>
  <c r="K1574" i="1"/>
  <c r="J1574" i="1"/>
  <c r="I1574" i="1"/>
  <c r="G1574" i="1"/>
  <c r="H1574" i="1"/>
  <c r="L1574" i="1"/>
  <c r="W1574" i="1" s="1"/>
  <c r="K856" i="1"/>
  <c r="I856" i="1"/>
  <c r="J856" i="1"/>
  <c r="H856" i="1"/>
  <c r="G856" i="1"/>
  <c r="L856" i="1"/>
  <c r="W856" i="1" s="1"/>
  <c r="K1116" i="1"/>
  <c r="J1116" i="1"/>
  <c r="I1116" i="1"/>
  <c r="H1116" i="1"/>
  <c r="G1116" i="1"/>
  <c r="L1116" i="1"/>
  <c r="W1116" i="1" s="1"/>
  <c r="K1964" i="1"/>
  <c r="J1964" i="1"/>
  <c r="I1964" i="1"/>
  <c r="H1964" i="1"/>
  <c r="G1964" i="1"/>
  <c r="L1964" i="1"/>
  <c r="W1964" i="1" s="1"/>
  <c r="K1797" i="1"/>
  <c r="J1797" i="1"/>
  <c r="I1797" i="1"/>
  <c r="H1797" i="1"/>
  <c r="G1797" i="1"/>
  <c r="L1797" i="1"/>
  <c r="W1797" i="1" s="1"/>
  <c r="K1811" i="1"/>
  <c r="J1811" i="1"/>
  <c r="I1811" i="1"/>
  <c r="H1811" i="1"/>
  <c r="G1811" i="1"/>
  <c r="L1811" i="1"/>
  <c r="W1811" i="1" s="1"/>
  <c r="K1623" i="1"/>
  <c r="J1623" i="1"/>
  <c r="I1623" i="1"/>
  <c r="G1623" i="1"/>
  <c r="H1623" i="1"/>
  <c r="L1623" i="1"/>
  <c r="W1623" i="1" s="1"/>
  <c r="K1661" i="1"/>
  <c r="J1661" i="1"/>
  <c r="I1661" i="1"/>
  <c r="H1661" i="1"/>
  <c r="G1661" i="1"/>
  <c r="L1661" i="1"/>
  <c r="W1661" i="1" s="1"/>
  <c r="K1696" i="1"/>
  <c r="J1696" i="1"/>
  <c r="I1696" i="1"/>
  <c r="H1696" i="1"/>
  <c r="G1696" i="1"/>
  <c r="L1696" i="1"/>
  <c r="W1696" i="1" s="1"/>
  <c r="K1570" i="1"/>
  <c r="J1570" i="1"/>
  <c r="H1570" i="1"/>
  <c r="I1570" i="1"/>
  <c r="G1570" i="1"/>
  <c r="L1570" i="1"/>
  <c r="W1570" i="1" s="1"/>
  <c r="K1365" i="1"/>
  <c r="J1365" i="1"/>
  <c r="H1365" i="1"/>
  <c r="I1365" i="1"/>
  <c r="G1365" i="1"/>
  <c r="L1365" i="1"/>
  <c r="W1365" i="1" s="1"/>
  <c r="K1355" i="1"/>
  <c r="J1355" i="1"/>
  <c r="H1355" i="1"/>
  <c r="I1355" i="1"/>
  <c r="G1355" i="1"/>
  <c r="L1355" i="1"/>
  <c r="W1355" i="1" s="1"/>
  <c r="K1072" i="1"/>
  <c r="J1072" i="1"/>
  <c r="H1072" i="1"/>
  <c r="I1072" i="1"/>
  <c r="G1072" i="1"/>
  <c r="L1072" i="1"/>
  <c r="W1072" i="1" s="1"/>
  <c r="K1962" i="1"/>
  <c r="J1962" i="1"/>
  <c r="I1962" i="1"/>
  <c r="G1962" i="1"/>
  <c r="H1962" i="1"/>
  <c r="L1962" i="1"/>
  <c r="W1962" i="1" s="1"/>
  <c r="K1950" i="1"/>
  <c r="J1950" i="1"/>
  <c r="I1950" i="1"/>
  <c r="G1950" i="1"/>
  <c r="H1950" i="1"/>
  <c r="L1950" i="1"/>
  <c r="W1950" i="1" s="1"/>
  <c r="K1870" i="1"/>
  <c r="J1870" i="1"/>
  <c r="I1870" i="1"/>
  <c r="G1870" i="1"/>
  <c r="H1870" i="1"/>
  <c r="L1870" i="1"/>
  <c r="W1870" i="1" s="1"/>
  <c r="K1653" i="1"/>
  <c r="J1653" i="1"/>
  <c r="I1653" i="1"/>
  <c r="H1653" i="1"/>
  <c r="G1653" i="1"/>
  <c r="L1653" i="1"/>
  <c r="W1653" i="1" s="1"/>
  <c r="K1449" i="1"/>
  <c r="J1449" i="1"/>
  <c r="H1449" i="1"/>
  <c r="I1449" i="1"/>
  <c r="G1449" i="1"/>
  <c r="L1449" i="1"/>
  <c r="W1449" i="1" s="1"/>
  <c r="K1503" i="1"/>
  <c r="J1503" i="1"/>
  <c r="H1503" i="1"/>
  <c r="I1503" i="1"/>
  <c r="G1503" i="1"/>
  <c r="L1503" i="1"/>
  <c r="W1503" i="1" s="1"/>
  <c r="K1448" i="1"/>
  <c r="J1448" i="1"/>
  <c r="H1448" i="1"/>
  <c r="I1448" i="1"/>
  <c r="G1448" i="1"/>
  <c r="L1448" i="1"/>
  <c r="W1448" i="1" s="1"/>
  <c r="K1315" i="1"/>
  <c r="J1315" i="1"/>
  <c r="H1315" i="1"/>
  <c r="I1315" i="1"/>
  <c r="G1315" i="1"/>
  <c r="L1315" i="1"/>
  <c r="W1315" i="1" s="1"/>
  <c r="K1558" i="1"/>
  <c r="J1558" i="1"/>
  <c r="I1558" i="1"/>
  <c r="G1558" i="1"/>
  <c r="H1558" i="1"/>
  <c r="L1558" i="1"/>
  <c r="W1558" i="1" s="1"/>
  <c r="K808" i="1"/>
  <c r="I808" i="1"/>
  <c r="J808" i="1"/>
  <c r="H808" i="1"/>
  <c r="G808" i="1"/>
  <c r="L808" i="1"/>
  <c r="W808" i="1" s="1"/>
  <c r="K916" i="1"/>
  <c r="J916" i="1"/>
  <c r="I916" i="1"/>
  <c r="H916" i="1"/>
  <c r="G916" i="1"/>
  <c r="L916" i="1"/>
  <c r="W916" i="1" s="1"/>
  <c r="K2012" i="1"/>
  <c r="J2012" i="1"/>
  <c r="I2012" i="1"/>
  <c r="H2012" i="1"/>
  <c r="G2012" i="1"/>
  <c r="L2012" i="1"/>
  <c r="W2012" i="1" s="1"/>
  <c r="K1876" i="1"/>
  <c r="J1876" i="1"/>
  <c r="I1876" i="1"/>
  <c r="H1876" i="1"/>
  <c r="G1876" i="1"/>
  <c r="L1876" i="1"/>
  <c r="W1876" i="1" s="1"/>
  <c r="K1793" i="1"/>
  <c r="J1793" i="1"/>
  <c r="I1793" i="1"/>
  <c r="H1793" i="1"/>
  <c r="G1793" i="1"/>
  <c r="L1793" i="1"/>
  <c r="W1793" i="1" s="1"/>
  <c r="K1719" i="1"/>
  <c r="J1719" i="1"/>
  <c r="I1719" i="1"/>
  <c r="G1719" i="1"/>
  <c r="H1719" i="1"/>
  <c r="L1719" i="1"/>
  <c r="W1719" i="1" s="1"/>
  <c r="K1467" i="1"/>
  <c r="J1467" i="1"/>
  <c r="H1467" i="1"/>
  <c r="I1467" i="1"/>
  <c r="G1467" i="1"/>
  <c r="L1467" i="1"/>
  <c r="W1467" i="1" s="1"/>
  <c r="K1473" i="1"/>
  <c r="J1473" i="1"/>
  <c r="H1473" i="1"/>
  <c r="I1473" i="1"/>
  <c r="G1473" i="1"/>
  <c r="L1473" i="1"/>
  <c r="W1473" i="1" s="1"/>
  <c r="K1666" i="1"/>
  <c r="J1666" i="1"/>
  <c r="I1666" i="1"/>
  <c r="G1666" i="1"/>
  <c r="H1666" i="1"/>
  <c r="L1666" i="1"/>
  <c r="W1666" i="1" s="1"/>
  <c r="K1413" i="1"/>
  <c r="J1413" i="1"/>
  <c r="H1413" i="1"/>
  <c r="I1413" i="1"/>
  <c r="G1413" i="1"/>
  <c r="L1413" i="1"/>
  <c r="W1413" i="1" s="1"/>
  <c r="K1415" i="1"/>
  <c r="J1415" i="1"/>
  <c r="H1415" i="1"/>
  <c r="I1415" i="1"/>
  <c r="G1415" i="1"/>
  <c r="L1415" i="1"/>
  <c r="W1415" i="1" s="1"/>
  <c r="K1202" i="1"/>
  <c r="J1202" i="1"/>
  <c r="H1202" i="1"/>
  <c r="I1202" i="1"/>
  <c r="G1202" i="1"/>
  <c r="L1202" i="1"/>
  <c r="W1202" i="1" s="1"/>
  <c r="K531" i="1"/>
  <c r="I531" i="1"/>
  <c r="J531" i="1"/>
  <c r="H531" i="1"/>
  <c r="G531" i="1"/>
  <c r="L531" i="1"/>
  <c r="W531" i="1" s="1"/>
  <c r="K1934" i="1"/>
  <c r="J1934" i="1"/>
  <c r="I1934" i="1"/>
  <c r="G1934" i="1"/>
  <c r="H1934" i="1"/>
  <c r="L1934" i="1"/>
  <c r="W1934" i="1" s="1"/>
  <c r="K1837" i="1"/>
  <c r="J1837" i="1"/>
  <c r="I1837" i="1"/>
  <c r="H1837" i="1"/>
  <c r="G1837" i="1"/>
  <c r="L1837" i="1"/>
  <c r="W1837" i="1" s="1"/>
  <c r="K1621" i="1"/>
  <c r="J1621" i="1"/>
  <c r="I1621" i="1"/>
  <c r="H1621" i="1"/>
  <c r="G1621" i="1"/>
  <c r="L1621" i="1"/>
  <c r="W1621" i="1" s="1"/>
  <c r="K1828" i="1"/>
  <c r="J1828" i="1"/>
  <c r="I1828" i="1"/>
  <c r="H1828" i="1"/>
  <c r="G1828" i="1"/>
  <c r="L1828" i="1"/>
  <c r="W1828" i="1" s="1"/>
  <c r="K1471" i="1"/>
  <c r="J1471" i="1"/>
  <c r="H1471" i="1"/>
  <c r="I1471" i="1"/>
  <c r="G1471" i="1"/>
  <c r="L1471" i="1"/>
  <c r="W1471" i="1" s="1"/>
  <c r="K1417" i="1"/>
  <c r="J1417" i="1"/>
  <c r="H1417" i="1"/>
  <c r="I1417" i="1"/>
  <c r="G1417" i="1"/>
  <c r="L1417" i="1"/>
  <c r="W1417" i="1" s="1"/>
  <c r="K1283" i="1"/>
  <c r="J1283" i="1"/>
  <c r="H1283" i="1"/>
  <c r="I1283" i="1"/>
  <c r="G1283" i="1"/>
  <c r="L1283" i="1"/>
  <c r="W1283" i="1" s="1"/>
  <c r="K1542" i="1"/>
  <c r="J1542" i="1"/>
  <c r="I1542" i="1"/>
  <c r="G1542" i="1"/>
  <c r="H1542" i="1"/>
  <c r="L1542" i="1"/>
  <c r="W1542" i="1" s="1"/>
  <c r="K760" i="1"/>
  <c r="I760" i="1"/>
  <c r="J760" i="1"/>
  <c r="H760" i="1"/>
  <c r="G760" i="1"/>
  <c r="L760" i="1"/>
  <c r="W760" i="1" s="1"/>
  <c r="K1014" i="1"/>
  <c r="J1014" i="1"/>
  <c r="H1014" i="1"/>
  <c r="I1014" i="1"/>
  <c r="G1014" i="1"/>
  <c r="L1014" i="1"/>
  <c r="W1014" i="1" s="1"/>
  <c r="K2002" i="1"/>
  <c r="J2002" i="1"/>
  <c r="I2002" i="1"/>
  <c r="G2002" i="1"/>
  <c r="H2002" i="1"/>
  <c r="L2002" i="1"/>
  <c r="W2002" i="1" s="1"/>
  <c r="K1990" i="1"/>
  <c r="J1990" i="1"/>
  <c r="I1990" i="1"/>
  <c r="G1990" i="1"/>
  <c r="H1990" i="1"/>
  <c r="L1990" i="1"/>
  <c r="W1990" i="1" s="1"/>
  <c r="K1819" i="1"/>
  <c r="J1819" i="1"/>
  <c r="I1819" i="1"/>
  <c r="H1819" i="1"/>
  <c r="G1819" i="1"/>
  <c r="L1819" i="1"/>
  <c r="W1819" i="1" s="1"/>
  <c r="K1748" i="1"/>
  <c r="J1748" i="1"/>
  <c r="I1748" i="1"/>
  <c r="H1748" i="1"/>
  <c r="G1748" i="1"/>
  <c r="L1748" i="1"/>
  <c r="W1748" i="1" s="1"/>
  <c r="K1529" i="1"/>
  <c r="J1529" i="1"/>
  <c r="H1529" i="1"/>
  <c r="I1529" i="1"/>
  <c r="G1529" i="1"/>
  <c r="L1529" i="1"/>
  <c r="W1529" i="1" s="1"/>
  <c r="K1583" i="1"/>
  <c r="J1583" i="1"/>
  <c r="H1583" i="1"/>
  <c r="I1583" i="1"/>
  <c r="G1583" i="1"/>
  <c r="L1583" i="1"/>
  <c r="W1583" i="1" s="1"/>
  <c r="K1229" i="1"/>
  <c r="J1229" i="1"/>
  <c r="H1229" i="1"/>
  <c r="I1229" i="1"/>
  <c r="G1229" i="1"/>
  <c r="L1229" i="1"/>
  <c r="W1229" i="1" s="1"/>
  <c r="K1379" i="1"/>
  <c r="J1379" i="1"/>
  <c r="H1379" i="1"/>
  <c r="I1379" i="1"/>
  <c r="G1379" i="1"/>
  <c r="L1379" i="1"/>
  <c r="W1379" i="1" s="1"/>
  <c r="K1598" i="1"/>
  <c r="J1598" i="1"/>
  <c r="I1598" i="1"/>
  <c r="G1598" i="1"/>
  <c r="H1598" i="1"/>
  <c r="L1598" i="1"/>
  <c r="W1598" i="1" s="1"/>
  <c r="K936" i="1"/>
  <c r="I936" i="1"/>
  <c r="J936" i="1"/>
  <c r="H936" i="1"/>
  <c r="G936" i="1"/>
  <c r="L936" i="1"/>
  <c r="W936" i="1" s="1"/>
  <c r="K722" i="1"/>
  <c r="I722" i="1"/>
  <c r="J722" i="1"/>
  <c r="H722" i="1"/>
  <c r="G722" i="1"/>
  <c r="L722" i="1"/>
  <c r="W722" i="1" s="1"/>
  <c r="K1090" i="1"/>
  <c r="J1090" i="1"/>
  <c r="I1090" i="1"/>
  <c r="H1090" i="1"/>
  <c r="G1090" i="1"/>
  <c r="L1090" i="1"/>
  <c r="W1090" i="1" s="1"/>
  <c r="K1302" i="1"/>
  <c r="J1302" i="1"/>
  <c r="H1302" i="1"/>
  <c r="I1302" i="1"/>
  <c r="G1302" i="1"/>
  <c r="L1302" i="1"/>
  <c r="W1302" i="1" s="1"/>
  <c r="K726" i="1"/>
  <c r="J726" i="1"/>
  <c r="I726" i="1"/>
  <c r="H726" i="1"/>
  <c r="G726" i="1"/>
  <c r="L726" i="1"/>
  <c r="W726" i="1" s="1"/>
  <c r="K675" i="1"/>
  <c r="I675" i="1"/>
  <c r="J675" i="1"/>
  <c r="H675" i="1"/>
  <c r="G675" i="1"/>
  <c r="L675" i="1"/>
  <c r="W675" i="1" s="1"/>
  <c r="K559" i="1"/>
  <c r="I559" i="1"/>
  <c r="J559" i="1"/>
  <c r="H559" i="1"/>
  <c r="G559" i="1"/>
  <c r="L559" i="1"/>
  <c r="W559" i="1" s="1"/>
  <c r="K851" i="1"/>
  <c r="I851" i="1"/>
  <c r="J851" i="1"/>
  <c r="H851" i="1"/>
  <c r="G851" i="1"/>
  <c r="L851" i="1"/>
  <c r="W851" i="1" s="1"/>
  <c r="K194" i="1"/>
  <c r="J194" i="1"/>
  <c r="I194" i="1"/>
  <c r="H194" i="1"/>
  <c r="G194" i="1"/>
  <c r="L194" i="1"/>
  <c r="W194" i="1" s="1"/>
  <c r="K263" i="1"/>
  <c r="J263" i="1"/>
  <c r="I263" i="1"/>
  <c r="H263" i="1"/>
  <c r="G263" i="1"/>
  <c r="L263" i="1"/>
  <c r="W263" i="1" s="1"/>
  <c r="K876" i="1"/>
  <c r="J876" i="1"/>
  <c r="I876" i="1"/>
  <c r="H876" i="1"/>
  <c r="G876" i="1"/>
  <c r="L876" i="1"/>
  <c r="W876" i="1" s="1"/>
  <c r="K1082" i="1"/>
  <c r="J1082" i="1"/>
  <c r="H1082" i="1"/>
  <c r="I1082" i="1"/>
  <c r="G1082" i="1"/>
  <c r="L1082" i="1"/>
  <c r="W1082" i="1" s="1"/>
  <c r="K1286" i="1"/>
  <c r="J1286" i="1"/>
  <c r="H1286" i="1"/>
  <c r="I1286" i="1"/>
  <c r="G1286" i="1"/>
  <c r="L1286" i="1"/>
  <c r="W1286" i="1" s="1"/>
  <c r="K710" i="1"/>
  <c r="J710" i="1"/>
  <c r="I710" i="1"/>
  <c r="H710" i="1"/>
  <c r="G710" i="1"/>
  <c r="L710" i="1"/>
  <c r="W710" i="1" s="1"/>
  <c r="K639" i="1"/>
  <c r="I639" i="1"/>
  <c r="J639" i="1"/>
  <c r="H639" i="1"/>
  <c r="G639" i="1"/>
  <c r="L639" i="1"/>
  <c r="W639" i="1" s="1"/>
  <c r="K543" i="1"/>
  <c r="I543" i="1"/>
  <c r="J543" i="1"/>
  <c r="H543" i="1"/>
  <c r="G543" i="1"/>
  <c r="L543" i="1"/>
  <c r="W543" i="1" s="1"/>
  <c r="K843" i="1"/>
  <c r="I843" i="1"/>
  <c r="J843" i="1"/>
  <c r="H843" i="1"/>
  <c r="G843" i="1"/>
  <c r="L843" i="1"/>
  <c r="W843" i="1" s="1"/>
  <c r="K178" i="1"/>
  <c r="J178" i="1"/>
  <c r="I178" i="1"/>
  <c r="H178" i="1"/>
  <c r="G178" i="1"/>
  <c r="L178" i="1"/>
  <c r="W178" i="1" s="1"/>
  <c r="J283" i="1"/>
  <c r="K283" i="1"/>
  <c r="I283" i="1"/>
  <c r="H283" i="1"/>
  <c r="G283" i="1"/>
  <c r="L283" i="1"/>
  <c r="W283" i="1" s="1"/>
  <c r="K954" i="1"/>
  <c r="I954" i="1"/>
  <c r="J954" i="1"/>
  <c r="H954" i="1"/>
  <c r="G954" i="1"/>
  <c r="L954" i="1"/>
  <c r="W954" i="1" s="1"/>
  <c r="K860" i="1"/>
  <c r="J860" i="1"/>
  <c r="I860" i="1"/>
  <c r="H860" i="1"/>
  <c r="G860" i="1"/>
  <c r="L860" i="1"/>
  <c r="W860" i="1" s="1"/>
  <c r="K1074" i="1"/>
  <c r="J1074" i="1"/>
  <c r="I1074" i="1"/>
  <c r="H1074" i="1"/>
  <c r="G1074" i="1"/>
  <c r="L1074" i="1"/>
  <c r="W1074" i="1" s="1"/>
  <c r="K1270" i="1"/>
  <c r="J1270" i="1"/>
  <c r="H1270" i="1"/>
  <c r="I1270" i="1"/>
  <c r="G1270" i="1"/>
  <c r="L1270" i="1"/>
  <c r="W1270" i="1" s="1"/>
  <c r="K694" i="1"/>
  <c r="J694" i="1"/>
  <c r="I694" i="1"/>
  <c r="H694" i="1"/>
  <c r="G694" i="1"/>
  <c r="L694" i="1"/>
  <c r="W694" i="1" s="1"/>
  <c r="K629" i="1"/>
  <c r="J629" i="1"/>
  <c r="H629" i="1"/>
  <c r="I629" i="1"/>
  <c r="G629" i="1"/>
  <c r="L629" i="1"/>
  <c r="W629" i="1" s="1"/>
  <c r="K527" i="1"/>
  <c r="I527" i="1"/>
  <c r="J527" i="1"/>
  <c r="H527" i="1"/>
  <c r="G527" i="1"/>
  <c r="L527" i="1"/>
  <c r="W527" i="1" s="1"/>
  <c r="K835" i="1"/>
  <c r="I835" i="1"/>
  <c r="J835" i="1"/>
  <c r="H835" i="1"/>
  <c r="G835" i="1"/>
  <c r="L835" i="1"/>
  <c r="W835" i="1" s="1"/>
  <c r="K586" i="1"/>
  <c r="I586" i="1"/>
  <c r="J586" i="1"/>
  <c r="H586" i="1"/>
  <c r="G586" i="1"/>
  <c r="L586" i="1"/>
  <c r="W586" i="1" s="1"/>
  <c r="K295" i="1"/>
  <c r="J295" i="1"/>
  <c r="I295" i="1"/>
  <c r="H295" i="1"/>
  <c r="G295" i="1"/>
  <c r="L295" i="1"/>
  <c r="W295" i="1" s="1"/>
  <c r="K972" i="1"/>
  <c r="J972" i="1"/>
  <c r="I972" i="1"/>
  <c r="H972" i="1"/>
  <c r="G972" i="1"/>
  <c r="L972" i="1"/>
  <c r="W972" i="1" s="1"/>
  <c r="K1130" i="1"/>
  <c r="J1130" i="1"/>
  <c r="I1130" i="1"/>
  <c r="H1130" i="1"/>
  <c r="G1130" i="1"/>
  <c r="L1130" i="1"/>
  <c r="W1130" i="1" s="1"/>
  <c r="K642" i="1"/>
  <c r="I642" i="1"/>
  <c r="J642" i="1"/>
  <c r="H642" i="1"/>
  <c r="G642" i="1"/>
  <c r="L642" i="1"/>
  <c r="W642" i="1" s="1"/>
  <c r="K806" i="1"/>
  <c r="J806" i="1"/>
  <c r="H806" i="1"/>
  <c r="I806" i="1"/>
  <c r="G806" i="1"/>
  <c r="L806" i="1"/>
  <c r="W806" i="1" s="1"/>
  <c r="K409" i="1"/>
  <c r="I409" i="1"/>
  <c r="J409" i="1"/>
  <c r="H409" i="1"/>
  <c r="G409" i="1"/>
  <c r="L409" i="1"/>
  <c r="W409" i="1" s="1"/>
  <c r="K623" i="1"/>
  <c r="I623" i="1"/>
  <c r="J623" i="1"/>
  <c r="H623" i="1"/>
  <c r="G623" i="1"/>
  <c r="L623" i="1"/>
  <c r="W623" i="1" s="1"/>
  <c r="K891" i="1"/>
  <c r="I891" i="1"/>
  <c r="J891" i="1"/>
  <c r="H891" i="1"/>
  <c r="G891" i="1"/>
  <c r="L891" i="1"/>
  <c r="W891" i="1" s="1"/>
  <c r="K224" i="1"/>
  <c r="J224" i="1"/>
  <c r="I224" i="1"/>
  <c r="H224" i="1"/>
  <c r="G224" i="1"/>
  <c r="L224" i="1"/>
  <c r="W224" i="1" s="1"/>
  <c r="K201" i="1"/>
  <c r="J201" i="1"/>
  <c r="I201" i="1"/>
  <c r="H201" i="1"/>
  <c r="G201" i="1"/>
  <c r="L201" i="1"/>
  <c r="W201" i="1" s="1"/>
  <c r="K800" i="1"/>
  <c r="I800" i="1"/>
  <c r="J800" i="1"/>
  <c r="H800" i="1"/>
  <c r="G800" i="1"/>
  <c r="L800" i="1"/>
  <c r="W800" i="1" s="1"/>
  <c r="K1068" i="1"/>
  <c r="J1068" i="1"/>
  <c r="I1068" i="1"/>
  <c r="H1068" i="1"/>
  <c r="G1068" i="1"/>
  <c r="L1068" i="1"/>
  <c r="W1068" i="1" s="1"/>
  <c r="K503" i="1"/>
  <c r="I503" i="1"/>
  <c r="J503" i="1"/>
  <c r="H503" i="1"/>
  <c r="G503" i="1"/>
  <c r="L503" i="1"/>
  <c r="W503" i="1" s="1"/>
  <c r="K967" i="1"/>
  <c r="I967" i="1"/>
  <c r="J967" i="1"/>
  <c r="H967" i="1"/>
  <c r="G967" i="1"/>
  <c r="L967" i="1"/>
  <c r="W967" i="1" s="1"/>
  <c r="K529" i="1"/>
  <c r="I529" i="1"/>
  <c r="J529" i="1"/>
  <c r="H529" i="1"/>
  <c r="G529" i="1"/>
  <c r="L529" i="1"/>
  <c r="W529" i="1" s="1"/>
  <c r="K607" i="1"/>
  <c r="I607" i="1"/>
  <c r="J607" i="1"/>
  <c r="H607" i="1"/>
  <c r="G607" i="1"/>
  <c r="L607" i="1"/>
  <c r="W607" i="1" s="1"/>
  <c r="K386" i="1"/>
  <c r="I386" i="1"/>
  <c r="J386" i="1"/>
  <c r="H386" i="1"/>
  <c r="G386" i="1"/>
  <c r="L386" i="1"/>
  <c r="W386" i="1" s="1"/>
  <c r="K1134" i="1"/>
  <c r="J1134" i="1"/>
  <c r="H1134" i="1"/>
  <c r="I1134" i="1"/>
  <c r="G1134" i="1"/>
  <c r="L1134" i="1"/>
  <c r="W1134" i="1" s="1"/>
  <c r="K650" i="1"/>
  <c r="I650" i="1"/>
  <c r="J650" i="1"/>
  <c r="H650" i="1"/>
  <c r="G650" i="1"/>
  <c r="L650" i="1"/>
  <c r="W650" i="1" s="1"/>
  <c r="K1038" i="1"/>
  <c r="J1038" i="1"/>
  <c r="H1038" i="1"/>
  <c r="I1038" i="1"/>
  <c r="G1038" i="1"/>
  <c r="L1038" i="1"/>
  <c r="W1038" i="1" s="1"/>
  <c r="K784" i="1"/>
  <c r="I784" i="1"/>
  <c r="J784" i="1"/>
  <c r="H784" i="1"/>
  <c r="G784" i="1"/>
  <c r="L784" i="1"/>
  <c r="W784" i="1" s="1"/>
  <c r="K1060" i="1"/>
  <c r="J1060" i="1"/>
  <c r="I1060" i="1"/>
  <c r="H1060" i="1"/>
  <c r="G1060" i="1"/>
  <c r="L1060" i="1"/>
  <c r="W1060" i="1" s="1"/>
  <c r="K487" i="1"/>
  <c r="I487" i="1"/>
  <c r="J487" i="1"/>
  <c r="H487" i="1"/>
  <c r="G487" i="1"/>
  <c r="L487" i="1"/>
  <c r="W487" i="1" s="1"/>
  <c r="K959" i="1"/>
  <c r="I959" i="1"/>
  <c r="J959" i="1"/>
  <c r="H959" i="1"/>
  <c r="G959" i="1"/>
  <c r="L959" i="1"/>
  <c r="W959" i="1" s="1"/>
  <c r="K513" i="1"/>
  <c r="I513" i="1"/>
  <c r="J513" i="1"/>
  <c r="H513" i="1"/>
  <c r="G513" i="1"/>
  <c r="L513" i="1"/>
  <c r="W513" i="1" s="1"/>
  <c r="K595" i="1"/>
  <c r="I595" i="1"/>
  <c r="J595" i="1"/>
  <c r="H595" i="1"/>
  <c r="G595" i="1"/>
  <c r="L595" i="1"/>
  <c r="W595" i="1" s="1"/>
  <c r="K370" i="1"/>
  <c r="J370" i="1"/>
  <c r="I370" i="1"/>
  <c r="H370" i="1"/>
  <c r="G370" i="1"/>
  <c r="L370" i="1"/>
  <c r="W370" i="1" s="1"/>
  <c r="K803" i="1"/>
  <c r="I803" i="1"/>
  <c r="J803" i="1"/>
  <c r="H803" i="1"/>
  <c r="G803" i="1"/>
  <c r="L803" i="1"/>
  <c r="W803" i="1" s="1"/>
  <c r="K546" i="1"/>
  <c r="I546" i="1"/>
  <c r="J546" i="1"/>
  <c r="H546" i="1"/>
  <c r="G546" i="1"/>
  <c r="L546" i="1"/>
  <c r="W546" i="1" s="1"/>
  <c r="K615" i="1"/>
  <c r="I615" i="1"/>
  <c r="J615" i="1"/>
  <c r="H615" i="1"/>
  <c r="G615" i="1"/>
  <c r="L615" i="1"/>
  <c r="W615" i="1" s="1"/>
  <c r="K1048" i="1"/>
  <c r="I1048" i="1"/>
  <c r="J1048" i="1"/>
  <c r="H1048" i="1"/>
  <c r="G1048" i="1"/>
  <c r="L1048" i="1"/>
  <c r="W1048" i="1" s="1"/>
  <c r="K1242" i="1"/>
  <c r="J1242" i="1"/>
  <c r="H1242" i="1"/>
  <c r="I1242" i="1"/>
  <c r="G1242" i="1"/>
  <c r="L1242" i="1"/>
  <c r="W1242" i="1" s="1"/>
  <c r="K878" i="1"/>
  <c r="J878" i="1"/>
  <c r="H878" i="1"/>
  <c r="I878" i="1"/>
  <c r="G878" i="1"/>
  <c r="L878" i="1"/>
  <c r="W878" i="1" s="1"/>
  <c r="K624" i="1"/>
  <c r="I624" i="1"/>
  <c r="J624" i="1"/>
  <c r="H624" i="1"/>
  <c r="G624" i="1"/>
  <c r="L624" i="1"/>
  <c r="W624" i="1" s="1"/>
  <c r="K900" i="1"/>
  <c r="J900" i="1"/>
  <c r="I900" i="1"/>
  <c r="H900" i="1"/>
  <c r="G900" i="1"/>
  <c r="L900" i="1"/>
  <c r="W900" i="1" s="1"/>
  <c r="K885" i="1"/>
  <c r="J885" i="1"/>
  <c r="H885" i="1"/>
  <c r="I885" i="1"/>
  <c r="G885" i="1"/>
  <c r="L885" i="1"/>
  <c r="W885" i="1" s="1"/>
  <c r="K799" i="1"/>
  <c r="I799" i="1"/>
  <c r="J799" i="1"/>
  <c r="H799" i="1"/>
  <c r="G799" i="1"/>
  <c r="L799" i="1"/>
  <c r="W799" i="1" s="1"/>
  <c r="K671" i="1"/>
  <c r="I671" i="1"/>
  <c r="J671" i="1"/>
  <c r="H671" i="1"/>
  <c r="G671" i="1"/>
  <c r="L671" i="1"/>
  <c r="W671" i="1" s="1"/>
  <c r="K437" i="1"/>
  <c r="J437" i="1"/>
  <c r="H437" i="1"/>
  <c r="I437" i="1"/>
  <c r="G437" i="1"/>
  <c r="L437" i="1"/>
  <c r="W437" i="1" s="1"/>
  <c r="J196" i="1"/>
  <c r="K196" i="1"/>
  <c r="I196" i="1"/>
  <c r="H196" i="1"/>
  <c r="G196" i="1"/>
  <c r="L196" i="1"/>
  <c r="W196" i="1" s="1"/>
  <c r="K564" i="1"/>
  <c r="I564" i="1"/>
  <c r="J564" i="1"/>
  <c r="H564" i="1"/>
  <c r="G564" i="1"/>
  <c r="L564" i="1"/>
  <c r="W564" i="1" s="1"/>
  <c r="K761" i="1"/>
  <c r="I761" i="1"/>
  <c r="J761" i="1"/>
  <c r="H761" i="1"/>
  <c r="G761" i="1"/>
  <c r="L761" i="1"/>
  <c r="W761" i="1" s="1"/>
  <c r="K769" i="1"/>
  <c r="I769" i="1"/>
  <c r="J769" i="1"/>
  <c r="H769" i="1"/>
  <c r="G769" i="1"/>
  <c r="L769" i="1"/>
  <c r="W769" i="1" s="1"/>
  <c r="K1149" i="1"/>
  <c r="J1149" i="1"/>
  <c r="H1149" i="1"/>
  <c r="I1149" i="1"/>
  <c r="G1149" i="1"/>
  <c r="L1149" i="1"/>
  <c r="W1149" i="1" s="1"/>
  <c r="K1364" i="1"/>
  <c r="J1364" i="1"/>
  <c r="I1364" i="1"/>
  <c r="G1364" i="1"/>
  <c r="H1364" i="1"/>
  <c r="L1364" i="1"/>
  <c r="W1364" i="1" s="1"/>
  <c r="K1588" i="1"/>
  <c r="J1588" i="1"/>
  <c r="I1588" i="1"/>
  <c r="H1588" i="1"/>
  <c r="G1588" i="1"/>
  <c r="L1588" i="1"/>
  <c r="W1588" i="1" s="1"/>
  <c r="K1728" i="1"/>
  <c r="J1728" i="1"/>
  <c r="I1728" i="1"/>
  <c r="H1728" i="1"/>
  <c r="G1728" i="1"/>
  <c r="L1728" i="1"/>
  <c r="W1728" i="1" s="1"/>
  <c r="K422" i="1"/>
  <c r="J422" i="1"/>
  <c r="I422" i="1"/>
  <c r="H422" i="1"/>
  <c r="G422" i="1"/>
  <c r="L422" i="1"/>
  <c r="W422" i="1" s="1"/>
  <c r="K460" i="1"/>
  <c r="I460" i="1"/>
  <c r="J460" i="1"/>
  <c r="H460" i="1"/>
  <c r="G460" i="1"/>
  <c r="L460" i="1"/>
  <c r="W460" i="1" s="1"/>
  <c r="K456" i="1"/>
  <c r="I456" i="1"/>
  <c r="J456" i="1"/>
  <c r="H456" i="1"/>
  <c r="G456" i="1"/>
  <c r="L456" i="1"/>
  <c r="W456" i="1" s="1"/>
  <c r="K925" i="1"/>
  <c r="J925" i="1"/>
  <c r="H925" i="1"/>
  <c r="I925" i="1"/>
  <c r="G925" i="1"/>
  <c r="L925" i="1"/>
  <c r="W925" i="1" s="1"/>
  <c r="K933" i="1"/>
  <c r="J933" i="1"/>
  <c r="H933" i="1"/>
  <c r="I933" i="1"/>
  <c r="G933" i="1"/>
  <c r="L933" i="1"/>
  <c r="W933" i="1" s="1"/>
  <c r="K1103" i="1"/>
  <c r="I1103" i="1"/>
  <c r="J1103" i="1"/>
  <c r="H1103" i="1"/>
  <c r="G1103" i="1"/>
  <c r="L1103" i="1"/>
  <c r="W1103" i="1" s="1"/>
  <c r="K1324" i="1"/>
  <c r="J1324" i="1"/>
  <c r="I1324" i="1"/>
  <c r="H1324" i="1"/>
  <c r="G1324" i="1"/>
  <c r="L1324" i="1"/>
  <c r="W1324" i="1" s="1"/>
  <c r="K1642" i="1"/>
  <c r="J1642" i="1"/>
  <c r="I1642" i="1"/>
  <c r="G1642" i="1"/>
  <c r="H1642" i="1"/>
  <c r="L1642" i="1"/>
  <c r="W1642" i="1" s="1"/>
  <c r="K1692" i="1"/>
  <c r="J1692" i="1"/>
  <c r="I1692" i="1"/>
  <c r="H1692" i="1"/>
  <c r="G1692" i="1"/>
  <c r="L1692" i="1"/>
  <c r="W1692" i="1" s="1"/>
  <c r="K264" i="1"/>
  <c r="J264" i="1"/>
  <c r="I264" i="1"/>
  <c r="H264" i="1"/>
  <c r="G264" i="1"/>
  <c r="L264" i="1"/>
  <c r="W264" i="1" s="1"/>
  <c r="K258" i="1"/>
  <c r="J258" i="1"/>
  <c r="I258" i="1"/>
  <c r="H258" i="1"/>
  <c r="G258" i="1"/>
  <c r="L258" i="1"/>
  <c r="W258" i="1" s="1"/>
  <c r="K351" i="1"/>
  <c r="I351" i="1"/>
  <c r="J351" i="1"/>
  <c r="H351" i="1"/>
  <c r="G351" i="1"/>
  <c r="L351" i="1"/>
  <c r="W351" i="1" s="1"/>
  <c r="K321" i="1"/>
  <c r="J321" i="1"/>
  <c r="I321" i="1"/>
  <c r="H321" i="1"/>
  <c r="G321" i="1"/>
  <c r="L321" i="1"/>
  <c r="W321" i="1" s="1"/>
  <c r="K1039" i="1"/>
  <c r="I1039" i="1"/>
  <c r="J1039" i="1"/>
  <c r="H1039" i="1"/>
  <c r="G1039" i="1"/>
  <c r="L1039" i="1"/>
  <c r="W1039" i="1" s="1"/>
  <c r="K791" i="1"/>
  <c r="I791" i="1"/>
  <c r="J791" i="1"/>
  <c r="H791" i="1"/>
  <c r="G791" i="1"/>
  <c r="L791" i="1"/>
  <c r="W791" i="1" s="1"/>
  <c r="K1073" i="1"/>
  <c r="J1073" i="1"/>
  <c r="H1073" i="1"/>
  <c r="I1073" i="1"/>
  <c r="G1073" i="1"/>
  <c r="L1073" i="1"/>
  <c r="W1073" i="1" s="1"/>
  <c r="K1360" i="1"/>
  <c r="J1360" i="1"/>
  <c r="H1360" i="1"/>
  <c r="I1360" i="1"/>
  <c r="G1360" i="1"/>
  <c r="L1360" i="1"/>
  <c r="W1360" i="1" s="1"/>
  <c r="K1416" i="1"/>
  <c r="J1416" i="1"/>
  <c r="H1416" i="1"/>
  <c r="I1416" i="1"/>
  <c r="G1416" i="1"/>
  <c r="L1416" i="1"/>
  <c r="W1416" i="1" s="1"/>
  <c r="K1452" i="1"/>
  <c r="J1452" i="1"/>
  <c r="I1452" i="1"/>
  <c r="H1452" i="1"/>
  <c r="G1452" i="1"/>
  <c r="L1452" i="1"/>
  <c r="W1452" i="1" s="1"/>
  <c r="K310" i="1"/>
  <c r="J310" i="1"/>
  <c r="I310" i="1"/>
  <c r="H310" i="1"/>
  <c r="G310" i="1"/>
  <c r="L310" i="1"/>
  <c r="W310" i="1" s="1"/>
  <c r="J236" i="1"/>
  <c r="K236" i="1"/>
  <c r="I236" i="1"/>
  <c r="H236" i="1"/>
  <c r="G236" i="1"/>
  <c r="L236" i="1"/>
  <c r="W236" i="1" s="1"/>
  <c r="K829" i="1"/>
  <c r="J829" i="1"/>
  <c r="H829" i="1"/>
  <c r="I829" i="1"/>
  <c r="G829" i="1"/>
  <c r="L829" i="1"/>
  <c r="W829" i="1" s="1"/>
  <c r="K935" i="1"/>
  <c r="I935" i="1"/>
  <c r="J935" i="1"/>
  <c r="H935" i="1"/>
  <c r="G935" i="1"/>
  <c r="L935" i="1"/>
  <c r="W935" i="1" s="1"/>
  <c r="K1091" i="1"/>
  <c r="I1091" i="1"/>
  <c r="J1091" i="1"/>
  <c r="H1091" i="1"/>
  <c r="G1091" i="1"/>
  <c r="L1091" i="1"/>
  <c r="W1091" i="1" s="1"/>
  <c r="K1294" i="1"/>
  <c r="J1294" i="1"/>
  <c r="H1294" i="1"/>
  <c r="I1294" i="1"/>
  <c r="G1294" i="1"/>
  <c r="L1294" i="1"/>
  <c r="W1294" i="1" s="1"/>
  <c r="K1546" i="1"/>
  <c r="J1546" i="1"/>
  <c r="H1546" i="1"/>
  <c r="I1546" i="1"/>
  <c r="G1546" i="1"/>
  <c r="L1546" i="1"/>
  <c r="W1546" i="1" s="1"/>
  <c r="K1596" i="1"/>
  <c r="J1596" i="1"/>
  <c r="I1596" i="1"/>
  <c r="H1596" i="1"/>
  <c r="G1596" i="1"/>
  <c r="L1596" i="1"/>
  <c r="W1596" i="1" s="1"/>
  <c r="K360" i="1"/>
  <c r="J360" i="1"/>
  <c r="I360" i="1"/>
  <c r="H360" i="1"/>
  <c r="G360" i="1"/>
  <c r="L360" i="1"/>
  <c r="W360" i="1" s="1"/>
  <c r="K554" i="1"/>
  <c r="I554" i="1"/>
  <c r="J554" i="1"/>
  <c r="H554" i="1"/>
  <c r="G554" i="1"/>
  <c r="L554" i="1"/>
  <c r="W554" i="1" s="1"/>
  <c r="K223" i="1"/>
  <c r="J223" i="1"/>
  <c r="I223" i="1"/>
  <c r="H223" i="1"/>
  <c r="G223" i="1"/>
  <c r="L223" i="1"/>
  <c r="W223" i="1" s="1"/>
  <c r="K217" i="1"/>
  <c r="J217" i="1"/>
  <c r="I217" i="1"/>
  <c r="H217" i="1"/>
  <c r="G217" i="1"/>
  <c r="L217" i="1"/>
  <c r="W217" i="1" s="1"/>
  <c r="K500" i="1"/>
  <c r="I500" i="1"/>
  <c r="J500" i="1"/>
  <c r="H500" i="1"/>
  <c r="G500" i="1"/>
  <c r="L500" i="1"/>
  <c r="W500" i="1" s="1"/>
  <c r="K697" i="1"/>
  <c r="I697" i="1"/>
  <c r="J697" i="1"/>
  <c r="H697" i="1"/>
  <c r="G697" i="1"/>
  <c r="L697" i="1"/>
  <c r="W697" i="1" s="1"/>
  <c r="K705" i="1"/>
  <c r="I705" i="1"/>
  <c r="J705" i="1"/>
  <c r="H705" i="1"/>
  <c r="G705" i="1"/>
  <c r="L705" i="1"/>
  <c r="W705" i="1" s="1"/>
  <c r="K1141" i="1"/>
  <c r="J1141" i="1"/>
  <c r="H1141" i="1"/>
  <c r="I1141" i="1"/>
  <c r="G1141" i="1"/>
  <c r="L1141" i="1"/>
  <c r="W1141" i="1" s="1"/>
  <c r="K1336" i="1"/>
  <c r="J1336" i="1"/>
  <c r="H1336" i="1"/>
  <c r="I1336" i="1"/>
  <c r="G1336" i="1"/>
  <c r="L1336" i="1"/>
  <c r="W1336" i="1" s="1"/>
  <c r="K1524" i="1"/>
  <c r="J1524" i="1"/>
  <c r="I1524" i="1"/>
  <c r="H1524" i="1"/>
  <c r="G1524" i="1"/>
  <c r="L1524" i="1"/>
  <c r="W1524" i="1" s="1"/>
  <c r="K1844" i="1"/>
  <c r="J1844" i="1"/>
  <c r="I1844" i="1"/>
  <c r="H1844" i="1"/>
  <c r="G1844" i="1"/>
  <c r="L1844" i="1"/>
  <c r="W1844" i="1" s="1"/>
  <c r="K454" i="1"/>
  <c r="J454" i="1"/>
  <c r="I454" i="1"/>
  <c r="H454" i="1"/>
  <c r="G454" i="1"/>
  <c r="L454" i="1"/>
  <c r="W454" i="1" s="1"/>
  <c r="K396" i="1"/>
  <c r="I396" i="1"/>
  <c r="J396" i="1"/>
  <c r="H396" i="1"/>
  <c r="G396" i="1"/>
  <c r="L396" i="1"/>
  <c r="W396" i="1" s="1"/>
  <c r="K392" i="1"/>
  <c r="I392" i="1"/>
  <c r="J392" i="1"/>
  <c r="H392" i="1"/>
  <c r="G392" i="1"/>
  <c r="L392" i="1"/>
  <c r="W392" i="1" s="1"/>
  <c r="K861" i="1"/>
  <c r="J861" i="1"/>
  <c r="H861" i="1"/>
  <c r="I861" i="1"/>
  <c r="G861" i="1"/>
  <c r="L861" i="1"/>
  <c r="W861" i="1" s="1"/>
  <c r="K999" i="1"/>
  <c r="I999" i="1"/>
  <c r="J999" i="1"/>
  <c r="H999" i="1"/>
  <c r="G999" i="1"/>
  <c r="L999" i="1"/>
  <c r="W999" i="1" s="1"/>
  <c r="K1095" i="1"/>
  <c r="I1095" i="1"/>
  <c r="J1095" i="1"/>
  <c r="H1095" i="1"/>
  <c r="G1095" i="1"/>
  <c r="L1095" i="1"/>
  <c r="W1095" i="1" s="1"/>
  <c r="K1326" i="1"/>
  <c r="J1326" i="1"/>
  <c r="H1326" i="1"/>
  <c r="I1326" i="1"/>
  <c r="G1326" i="1"/>
  <c r="L1326" i="1"/>
  <c r="W1326" i="1" s="1"/>
  <c r="K1578" i="1"/>
  <c r="J1578" i="1"/>
  <c r="H1578" i="1"/>
  <c r="I1578" i="1"/>
  <c r="G1578" i="1"/>
  <c r="L1578" i="1"/>
  <c r="W1578" i="1" s="1"/>
  <c r="K1628" i="1"/>
  <c r="J1628" i="1"/>
  <c r="I1628" i="1"/>
  <c r="H1628" i="1"/>
  <c r="G1628" i="1"/>
  <c r="L1628" i="1"/>
  <c r="W1628" i="1" s="1"/>
  <c r="K328" i="1"/>
  <c r="J328" i="1"/>
  <c r="I328" i="1"/>
  <c r="H328" i="1"/>
  <c r="G328" i="1"/>
  <c r="L328" i="1"/>
  <c r="W328" i="1" s="1"/>
  <c r="K538" i="1"/>
  <c r="I538" i="1"/>
  <c r="J538" i="1"/>
  <c r="H538" i="1"/>
  <c r="G538" i="1"/>
  <c r="L538" i="1"/>
  <c r="W538" i="1" s="1"/>
  <c r="K231" i="1"/>
  <c r="J231" i="1"/>
  <c r="I231" i="1"/>
  <c r="H231" i="1"/>
  <c r="G231" i="1"/>
  <c r="L231" i="1"/>
  <c r="W231" i="1" s="1"/>
  <c r="K225" i="1"/>
  <c r="J225" i="1"/>
  <c r="I225" i="1"/>
  <c r="H225" i="1"/>
  <c r="G225" i="1"/>
  <c r="L225" i="1"/>
  <c r="W225" i="1" s="1"/>
  <c r="K532" i="1"/>
  <c r="I532" i="1"/>
  <c r="J532" i="1"/>
  <c r="H532" i="1"/>
  <c r="G532" i="1"/>
  <c r="L532" i="1"/>
  <c r="W532" i="1" s="1"/>
  <c r="K729" i="1"/>
  <c r="I729" i="1"/>
  <c r="J729" i="1"/>
  <c r="H729" i="1"/>
  <c r="G729" i="1"/>
  <c r="L729" i="1"/>
  <c r="W729" i="1" s="1"/>
  <c r="K737" i="1"/>
  <c r="I737" i="1"/>
  <c r="J737" i="1"/>
  <c r="H737" i="1"/>
  <c r="G737" i="1"/>
  <c r="L737" i="1"/>
  <c r="W737" i="1" s="1"/>
  <c r="K1145" i="1"/>
  <c r="J1145" i="1"/>
  <c r="H1145" i="1"/>
  <c r="I1145" i="1"/>
  <c r="G1145" i="1"/>
  <c r="L1145" i="1"/>
  <c r="W1145" i="1" s="1"/>
  <c r="K1334" i="1"/>
  <c r="J1334" i="1"/>
  <c r="H1334" i="1"/>
  <c r="I1334" i="1"/>
  <c r="G1334" i="1"/>
  <c r="L1334" i="1"/>
  <c r="W1334" i="1" s="1"/>
  <c r="K1556" i="1"/>
  <c r="J1556" i="1"/>
  <c r="I1556" i="1"/>
  <c r="H1556" i="1"/>
  <c r="G1556" i="1"/>
  <c r="L1556" i="1"/>
  <c r="W1556" i="1" s="1"/>
  <c r="K1842" i="1"/>
  <c r="J1842" i="1"/>
  <c r="I1842" i="1"/>
  <c r="G1842" i="1"/>
  <c r="H1842" i="1"/>
  <c r="L1842" i="1"/>
  <c r="W1842" i="1" s="1"/>
  <c r="K438" i="1"/>
  <c r="J438" i="1"/>
  <c r="I438" i="1"/>
  <c r="H438" i="1"/>
  <c r="G438" i="1"/>
  <c r="L438" i="1"/>
  <c r="W438" i="1" s="1"/>
  <c r="J212" i="1"/>
  <c r="K212" i="1"/>
  <c r="I212" i="1"/>
  <c r="H212" i="1"/>
  <c r="G212" i="1"/>
  <c r="L212" i="1"/>
  <c r="W212" i="1" s="1"/>
  <c r="K428" i="1"/>
  <c r="I428" i="1"/>
  <c r="J428" i="1"/>
  <c r="H428" i="1"/>
  <c r="G428" i="1"/>
  <c r="L428" i="1"/>
  <c r="W428" i="1" s="1"/>
  <c r="K424" i="1"/>
  <c r="I424" i="1"/>
  <c r="J424" i="1"/>
  <c r="H424" i="1"/>
  <c r="G424" i="1"/>
  <c r="L424" i="1"/>
  <c r="W424" i="1" s="1"/>
  <c r="K893" i="1"/>
  <c r="J893" i="1"/>
  <c r="H893" i="1"/>
  <c r="I893" i="1"/>
  <c r="G893" i="1"/>
  <c r="L893" i="1"/>
  <c r="W893" i="1" s="1"/>
  <c r="K1031" i="1"/>
  <c r="I1031" i="1"/>
  <c r="J1031" i="1"/>
  <c r="H1031" i="1"/>
  <c r="G1031" i="1"/>
  <c r="L1031" i="1"/>
  <c r="W1031" i="1" s="1"/>
  <c r="K1099" i="1"/>
  <c r="I1099" i="1"/>
  <c r="J1099" i="1"/>
  <c r="H1099" i="1"/>
  <c r="G1099" i="1"/>
  <c r="L1099" i="1"/>
  <c r="W1099" i="1" s="1"/>
  <c r="K1358" i="1"/>
  <c r="J1358" i="1"/>
  <c r="H1358" i="1"/>
  <c r="I1358" i="1"/>
  <c r="G1358" i="1"/>
  <c r="L1358" i="1"/>
  <c r="W1358" i="1" s="1"/>
  <c r="K1610" i="1"/>
  <c r="J1610" i="1"/>
  <c r="I1610" i="1"/>
  <c r="G1610" i="1"/>
  <c r="H1610" i="1"/>
  <c r="L1610" i="1"/>
  <c r="W1610" i="1" s="1"/>
  <c r="K1660" i="1"/>
  <c r="J1660" i="1"/>
  <c r="I1660" i="1"/>
  <c r="H1660" i="1"/>
  <c r="G1660" i="1"/>
  <c r="L1660" i="1"/>
  <c r="W1660" i="1" s="1"/>
  <c r="K296" i="1"/>
  <c r="J296" i="1"/>
  <c r="I296" i="1"/>
  <c r="H296" i="1"/>
  <c r="G296" i="1"/>
  <c r="L296" i="1"/>
  <c r="W296" i="1" s="1"/>
  <c r="K31" i="1"/>
  <c r="J31" i="1"/>
  <c r="I31" i="1"/>
  <c r="H31" i="1"/>
  <c r="G31" i="1"/>
  <c r="L31" i="1"/>
  <c r="W31" i="1" s="1"/>
  <c r="J77" i="1"/>
  <c r="K77" i="1"/>
  <c r="I77" i="1"/>
  <c r="H77" i="1"/>
  <c r="G77" i="1"/>
  <c r="L77" i="1"/>
  <c r="W77" i="1" s="1"/>
  <c r="J125" i="1"/>
  <c r="K125" i="1"/>
  <c r="I125" i="1"/>
  <c r="H125" i="1"/>
  <c r="G125" i="1"/>
  <c r="L125" i="1"/>
  <c r="W125" i="1" s="1"/>
  <c r="J35" i="1"/>
  <c r="K35" i="1"/>
  <c r="I35" i="1"/>
  <c r="H35" i="1"/>
  <c r="G35" i="1"/>
  <c r="L35" i="1"/>
  <c r="W35" i="1" s="1"/>
  <c r="J85" i="1"/>
  <c r="K85" i="1"/>
  <c r="I85" i="1"/>
  <c r="H85" i="1"/>
  <c r="G85" i="1"/>
  <c r="L85" i="1"/>
  <c r="W85" i="1" s="1"/>
  <c r="J133" i="1"/>
  <c r="K133" i="1"/>
  <c r="I133" i="1"/>
  <c r="H133" i="1"/>
  <c r="G133" i="1"/>
  <c r="L133" i="1"/>
  <c r="W133" i="1" s="1"/>
  <c r="K49" i="1"/>
  <c r="J49" i="1"/>
  <c r="I49" i="1"/>
  <c r="H49" i="1"/>
  <c r="G49" i="1"/>
  <c r="L49" i="1"/>
  <c r="W49" i="1" s="1"/>
  <c r="K105" i="1"/>
  <c r="J105" i="1"/>
  <c r="I105" i="1"/>
  <c r="H105" i="1"/>
  <c r="G105" i="1"/>
  <c r="L105" i="1"/>
  <c r="W105" i="1" s="1"/>
  <c r="J165" i="1"/>
  <c r="K165" i="1"/>
  <c r="I165" i="1"/>
  <c r="H165" i="1"/>
  <c r="G165" i="1"/>
  <c r="L165" i="1"/>
  <c r="W165" i="1" s="1"/>
  <c r="K72" i="1"/>
  <c r="J72" i="1"/>
  <c r="I72" i="1"/>
  <c r="H72" i="1"/>
  <c r="G72" i="1"/>
  <c r="L72" i="1"/>
  <c r="W72" i="1" s="1"/>
  <c r="K106" i="1"/>
  <c r="J106" i="1"/>
  <c r="I106" i="1"/>
  <c r="H106" i="1"/>
  <c r="G106" i="1"/>
  <c r="L106" i="1"/>
  <c r="W106" i="1" s="1"/>
  <c r="K122" i="1"/>
  <c r="J122" i="1"/>
  <c r="I122" i="1"/>
  <c r="H122" i="1"/>
  <c r="G122" i="1"/>
  <c r="L122" i="1"/>
  <c r="W122" i="1" s="1"/>
  <c r="K142" i="1"/>
  <c r="J142" i="1"/>
  <c r="I142" i="1"/>
  <c r="H142" i="1"/>
  <c r="G142" i="1"/>
  <c r="L142" i="1"/>
  <c r="W142" i="1" s="1"/>
  <c r="K158" i="1"/>
  <c r="J158" i="1"/>
  <c r="I158" i="1"/>
  <c r="H158" i="1"/>
  <c r="G158" i="1"/>
  <c r="L158" i="1"/>
  <c r="W158" i="1" s="1"/>
  <c r="K159" i="1"/>
  <c r="J159" i="1"/>
  <c r="I159" i="1"/>
  <c r="H159" i="1"/>
  <c r="G159" i="1"/>
  <c r="L159" i="1"/>
  <c r="W159" i="1" s="1"/>
  <c r="K74" i="1"/>
  <c r="J74" i="1"/>
  <c r="I74" i="1"/>
  <c r="H74" i="1"/>
  <c r="G74" i="1"/>
  <c r="L74" i="1"/>
  <c r="W74" i="1" s="1"/>
  <c r="K32" i="1"/>
  <c r="J32" i="1"/>
  <c r="I32" i="1"/>
  <c r="H32" i="1"/>
  <c r="G32" i="1"/>
  <c r="L32" i="1"/>
  <c r="W32" i="1" s="1"/>
  <c r="J84" i="1"/>
  <c r="K84" i="1"/>
  <c r="I84" i="1"/>
  <c r="H84" i="1"/>
  <c r="G84" i="1"/>
  <c r="L84" i="1"/>
  <c r="W84" i="1" s="1"/>
  <c r="K8" i="1"/>
  <c r="J8" i="1"/>
  <c r="I8" i="1"/>
  <c r="H8" i="1"/>
  <c r="G8" i="1"/>
  <c r="K1916" i="1"/>
  <c r="J1916" i="1"/>
  <c r="I1916" i="1"/>
  <c r="H1916" i="1"/>
  <c r="G1916" i="1"/>
  <c r="L1916" i="1"/>
  <c r="W1916" i="1" s="1"/>
  <c r="K1353" i="1"/>
  <c r="J1353" i="1"/>
  <c r="H1353" i="1"/>
  <c r="I1353" i="1"/>
  <c r="G1353" i="1"/>
  <c r="L1353" i="1"/>
  <c r="W1353" i="1" s="1"/>
  <c r="K21" i="1"/>
  <c r="J21" i="1"/>
  <c r="I21" i="1"/>
  <c r="H21" i="1"/>
  <c r="G21" i="1"/>
  <c r="J12" i="1"/>
  <c r="K12" i="1"/>
  <c r="I12" i="1"/>
  <c r="H12" i="1"/>
  <c r="G12" i="1"/>
  <c r="K1946" i="1"/>
  <c r="J1946" i="1"/>
  <c r="I1946" i="1"/>
  <c r="G1946" i="1"/>
  <c r="H1946" i="1"/>
  <c r="L1946" i="1"/>
  <c r="W1946" i="1" s="1"/>
  <c r="K1899" i="1"/>
  <c r="J1899" i="1"/>
  <c r="I1899" i="1"/>
  <c r="H1899" i="1"/>
  <c r="G1899" i="1"/>
  <c r="L1899" i="1"/>
  <c r="W1899" i="1" s="1"/>
  <c r="K1985" i="1"/>
  <c r="J1985" i="1"/>
  <c r="I1985" i="1"/>
  <c r="H1985" i="1"/>
  <c r="G1985" i="1"/>
  <c r="L1985" i="1"/>
  <c r="W1985" i="1" s="1"/>
  <c r="K1894" i="1"/>
  <c r="J1894" i="1"/>
  <c r="I1894" i="1"/>
  <c r="G1894" i="1"/>
  <c r="H1894" i="1"/>
  <c r="L1894" i="1"/>
  <c r="W1894" i="1" s="1"/>
  <c r="K1971" i="1"/>
  <c r="J1971" i="1"/>
  <c r="I1971" i="1"/>
  <c r="H1971" i="1"/>
  <c r="G1971" i="1"/>
  <c r="L1971" i="1"/>
  <c r="W1971" i="1" s="1"/>
  <c r="K1882" i="1"/>
  <c r="J1882" i="1"/>
  <c r="I1882" i="1"/>
  <c r="G1882" i="1"/>
  <c r="H1882" i="1"/>
  <c r="L1882" i="1"/>
  <c r="W1882" i="1" s="1"/>
  <c r="K2016" i="1"/>
  <c r="J2016" i="1"/>
  <c r="I2016" i="1"/>
  <c r="H2016" i="1"/>
  <c r="G2016" i="1"/>
  <c r="L2016" i="1"/>
  <c r="W2016" i="1" s="1"/>
  <c r="K1963" i="1"/>
  <c r="J1963" i="1"/>
  <c r="I1963" i="1"/>
  <c r="H1963" i="1"/>
  <c r="G1963" i="1"/>
  <c r="L1963" i="1"/>
  <c r="W1963" i="1" s="1"/>
  <c r="K1929" i="1"/>
  <c r="J1929" i="1"/>
  <c r="I1929" i="1"/>
  <c r="H1929" i="1"/>
  <c r="G1929" i="1"/>
  <c r="L1929" i="1"/>
  <c r="W1929" i="1" s="1"/>
  <c r="K2005" i="1"/>
  <c r="J2005" i="1"/>
  <c r="I2005" i="1"/>
  <c r="H2005" i="1"/>
  <c r="G2005" i="1"/>
  <c r="L2005" i="1"/>
  <c r="W2005" i="1" s="1"/>
  <c r="K1491" i="1"/>
  <c r="J1491" i="1"/>
  <c r="H1491" i="1"/>
  <c r="I1491" i="1"/>
  <c r="G1491" i="1"/>
  <c r="L1491" i="1"/>
  <c r="W1491" i="1" s="1"/>
  <c r="K1864" i="1"/>
  <c r="J1864" i="1"/>
  <c r="I1864" i="1"/>
  <c r="H1864" i="1"/>
  <c r="G1864" i="1"/>
  <c r="L1864" i="1"/>
  <c r="W1864" i="1" s="1"/>
  <c r="K1671" i="1"/>
  <c r="J1671" i="1"/>
  <c r="I1671" i="1"/>
  <c r="G1671" i="1"/>
  <c r="H1671" i="1"/>
  <c r="L1671" i="1"/>
  <c r="W1671" i="1" s="1"/>
  <c r="K1709" i="1"/>
  <c r="J1709" i="1"/>
  <c r="I1709" i="1"/>
  <c r="H1709" i="1"/>
  <c r="G1709" i="1"/>
  <c r="L1709" i="1"/>
  <c r="W1709" i="1" s="1"/>
  <c r="K1425" i="1"/>
  <c r="J1425" i="1"/>
  <c r="H1425" i="1"/>
  <c r="I1425" i="1"/>
  <c r="G1425" i="1"/>
  <c r="L1425" i="1"/>
  <c r="W1425" i="1" s="1"/>
  <c r="K1618" i="1"/>
  <c r="J1618" i="1"/>
  <c r="I1618" i="1"/>
  <c r="G1618" i="1"/>
  <c r="H1618" i="1"/>
  <c r="L1618" i="1"/>
  <c r="W1618" i="1" s="1"/>
  <c r="K1389" i="1"/>
  <c r="J1389" i="1"/>
  <c r="H1389" i="1"/>
  <c r="I1389" i="1"/>
  <c r="G1389" i="1"/>
  <c r="L1389" i="1"/>
  <c r="W1389" i="1" s="1"/>
  <c r="K1383" i="1"/>
  <c r="J1383" i="1"/>
  <c r="H1383" i="1"/>
  <c r="I1383" i="1"/>
  <c r="G1383" i="1"/>
  <c r="L1383" i="1"/>
  <c r="W1383" i="1" s="1"/>
  <c r="K1136" i="1"/>
  <c r="J1136" i="1"/>
  <c r="H1136" i="1"/>
  <c r="I1136" i="1"/>
  <c r="G1136" i="1"/>
  <c r="L1136" i="1"/>
  <c r="W1136" i="1" s="1"/>
  <c r="K1701" i="1"/>
  <c r="J1701" i="1"/>
  <c r="I1701" i="1"/>
  <c r="H1701" i="1"/>
  <c r="G1701" i="1"/>
  <c r="L1701" i="1"/>
  <c r="W1701" i="1" s="1"/>
  <c r="K1497" i="1"/>
  <c r="J1497" i="1"/>
  <c r="H1497" i="1"/>
  <c r="I1497" i="1"/>
  <c r="G1497" i="1"/>
  <c r="L1497" i="1"/>
  <c r="W1497" i="1" s="1"/>
  <c r="K1551" i="1"/>
  <c r="J1551" i="1"/>
  <c r="H1551" i="1"/>
  <c r="I1551" i="1"/>
  <c r="G1551" i="1"/>
  <c r="L1551" i="1"/>
  <c r="W1551" i="1" s="1"/>
  <c r="K1197" i="1"/>
  <c r="J1197" i="1"/>
  <c r="H1197" i="1"/>
  <c r="I1197" i="1"/>
  <c r="G1197" i="1"/>
  <c r="L1197" i="1"/>
  <c r="W1197" i="1" s="1"/>
  <c r="K1363" i="1"/>
  <c r="J1363" i="1"/>
  <c r="H1363" i="1"/>
  <c r="I1363" i="1"/>
  <c r="G1363" i="1"/>
  <c r="L1363" i="1"/>
  <c r="W1363" i="1" s="1"/>
  <c r="K1582" i="1"/>
  <c r="J1582" i="1"/>
  <c r="I1582" i="1"/>
  <c r="H1582" i="1"/>
  <c r="G1582" i="1"/>
  <c r="L1582" i="1"/>
  <c r="W1582" i="1" s="1"/>
  <c r="K888" i="1"/>
  <c r="I888" i="1"/>
  <c r="J888" i="1"/>
  <c r="H888" i="1"/>
  <c r="G888" i="1"/>
  <c r="L888" i="1"/>
  <c r="W888" i="1" s="1"/>
  <c r="K1206" i="1"/>
  <c r="J1206" i="1"/>
  <c r="H1206" i="1"/>
  <c r="I1206" i="1"/>
  <c r="G1206" i="1"/>
  <c r="L1206" i="1"/>
  <c r="W1206" i="1" s="1"/>
  <c r="K1773" i="1"/>
  <c r="J1773" i="1"/>
  <c r="I1773" i="1"/>
  <c r="H1773" i="1"/>
  <c r="G1773" i="1"/>
  <c r="L1773" i="1"/>
  <c r="W1773" i="1" s="1"/>
  <c r="K1557" i="1"/>
  <c r="J1557" i="1"/>
  <c r="H1557" i="1"/>
  <c r="I1557" i="1"/>
  <c r="G1557" i="1"/>
  <c r="L1557" i="1"/>
  <c r="W1557" i="1" s="1"/>
  <c r="K1762" i="1"/>
  <c r="J1762" i="1"/>
  <c r="I1762" i="1"/>
  <c r="G1762" i="1"/>
  <c r="H1762" i="1"/>
  <c r="L1762" i="1"/>
  <c r="W1762" i="1" s="1"/>
  <c r="K1851" i="1"/>
  <c r="J1851" i="1"/>
  <c r="I1851" i="1"/>
  <c r="H1851" i="1"/>
  <c r="G1851" i="1"/>
  <c r="L1851" i="1"/>
  <c r="W1851" i="1" s="1"/>
  <c r="K1385" i="1"/>
  <c r="J1385" i="1"/>
  <c r="H1385" i="1"/>
  <c r="I1385" i="1"/>
  <c r="G1385" i="1"/>
  <c r="L1385" i="1"/>
  <c r="W1385" i="1" s="1"/>
  <c r="K1219" i="1"/>
  <c r="J1219" i="1"/>
  <c r="H1219" i="1"/>
  <c r="I1219" i="1"/>
  <c r="G1219" i="1"/>
  <c r="L1219" i="1"/>
  <c r="W1219" i="1" s="1"/>
  <c r="K1510" i="1"/>
  <c r="J1510" i="1"/>
  <c r="I1510" i="1"/>
  <c r="G1510" i="1"/>
  <c r="H1510" i="1"/>
  <c r="L1510" i="1"/>
  <c r="W1510" i="1" s="1"/>
  <c r="K648" i="1"/>
  <c r="I648" i="1"/>
  <c r="J648" i="1"/>
  <c r="H648" i="1"/>
  <c r="G648" i="1"/>
  <c r="L648" i="1"/>
  <c r="W648" i="1" s="1"/>
  <c r="K612" i="1"/>
  <c r="I612" i="1"/>
  <c r="J612" i="1"/>
  <c r="H612" i="1"/>
  <c r="G612" i="1"/>
  <c r="L612" i="1"/>
  <c r="W612" i="1" s="1"/>
  <c r="K1890" i="1"/>
  <c r="J1890" i="1"/>
  <c r="I1890" i="1"/>
  <c r="G1890" i="1"/>
  <c r="H1890" i="1"/>
  <c r="L1890" i="1"/>
  <c r="W1890" i="1" s="1"/>
  <c r="K1815" i="1"/>
  <c r="J1815" i="1"/>
  <c r="I1815" i="1"/>
  <c r="G1815" i="1"/>
  <c r="H1815" i="1"/>
  <c r="L1815" i="1"/>
  <c r="W1815" i="1" s="1"/>
  <c r="K1715" i="1"/>
  <c r="J1715" i="1"/>
  <c r="I1715" i="1"/>
  <c r="H1715" i="1"/>
  <c r="G1715" i="1"/>
  <c r="L1715" i="1"/>
  <c r="W1715" i="1" s="1"/>
  <c r="K1495" i="1"/>
  <c r="J1495" i="1"/>
  <c r="H1495" i="1"/>
  <c r="I1495" i="1"/>
  <c r="G1495" i="1"/>
  <c r="L1495" i="1"/>
  <c r="W1495" i="1" s="1"/>
  <c r="K1533" i="1"/>
  <c r="J1533" i="1"/>
  <c r="H1533" i="1"/>
  <c r="I1533" i="1"/>
  <c r="G1533" i="1"/>
  <c r="L1533" i="1"/>
  <c r="W1533" i="1" s="1"/>
  <c r="K1568" i="1"/>
  <c r="J1568" i="1"/>
  <c r="H1568" i="1"/>
  <c r="I1568" i="1"/>
  <c r="G1568" i="1"/>
  <c r="L1568" i="1"/>
  <c r="W1568" i="1" s="1"/>
  <c r="K1422" i="1"/>
  <c r="J1422" i="1"/>
  <c r="I1422" i="1"/>
  <c r="H1422" i="1"/>
  <c r="G1422" i="1"/>
  <c r="L1422" i="1"/>
  <c r="W1422" i="1" s="1"/>
  <c r="K1239" i="1"/>
  <c r="J1239" i="1"/>
  <c r="H1239" i="1"/>
  <c r="I1239" i="1"/>
  <c r="G1239" i="1"/>
  <c r="L1239" i="1"/>
  <c r="W1239" i="1" s="1"/>
  <c r="K1211" i="1"/>
  <c r="J1211" i="1"/>
  <c r="H1211" i="1"/>
  <c r="I1211" i="1"/>
  <c r="G1211" i="1"/>
  <c r="L1211" i="1"/>
  <c r="W1211" i="1" s="1"/>
  <c r="K764" i="1"/>
  <c r="J764" i="1"/>
  <c r="I764" i="1"/>
  <c r="H764" i="1"/>
  <c r="G764" i="1"/>
  <c r="L764" i="1"/>
  <c r="W764" i="1" s="1"/>
  <c r="K2007" i="1"/>
  <c r="J2007" i="1"/>
  <c r="I2007" i="1"/>
  <c r="G2007" i="1"/>
  <c r="H2007" i="1"/>
  <c r="L2007" i="1"/>
  <c r="W2007" i="1" s="1"/>
  <c r="K2011" i="1"/>
  <c r="J2011" i="1"/>
  <c r="I2011" i="1"/>
  <c r="H2011" i="1"/>
  <c r="G2011" i="1"/>
  <c r="L2011" i="1"/>
  <c r="W2011" i="1" s="1"/>
  <c r="K1877" i="1"/>
  <c r="J1877" i="1"/>
  <c r="I1877" i="1"/>
  <c r="H1877" i="1"/>
  <c r="G1877" i="1"/>
  <c r="L1877" i="1"/>
  <c r="W1877" i="1" s="1"/>
  <c r="K1525" i="1"/>
  <c r="J1525" i="1"/>
  <c r="H1525" i="1"/>
  <c r="I1525" i="1"/>
  <c r="G1525" i="1"/>
  <c r="L1525" i="1"/>
  <c r="W1525" i="1" s="1"/>
  <c r="K1747" i="1"/>
  <c r="J1747" i="1"/>
  <c r="I1747" i="1"/>
  <c r="H1747" i="1"/>
  <c r="G1747" i="1"/>
  <c r="L1747" i="1"/>
  <c r="W1747" i="1" s="1"/>
  <c r="K1746" i="1"/>
  <c r="J1746" i="1"/>
  <c r="I1746" i="1"/>
  <c r="G1746" i="1"/>
  <c r="H1746" i="1"/>
  <c r="L1746" i="1"/>
  <c r="W1746" i="1" s="1"/>
  <c r="K1369" i="1"/>
  <c r="J1369" i="1"/>
  <c r="H1369" i="1"/>
  <c r="I1369" i="1"/>
  <c r="G1369" i="1"/>
  <c r="L1369" i="1"/>
  <c r="W1369" i="1" s="1"/>
  <c r="K1187" i="1"/>
  <c r="J1187" i="1"/>
  <c r="H1187" i="1"/>
  <c r="I1187" i="1"/>
  <c r="G1187" i="1"/>
  <c r="L1187" i="1"/>
  <c r="W1187" i="1" s="1"/>
  <c r="K1494" i="1"/>
  <c r="J1494" i="1"/>
  <c r="I1494" i="1"/>
  <c r="G1494" i="1"/>
  <c r="H1494" i="1"/>
  <c r="L1494" i="1"/>
  <c r="W1494" i="1" s="1"/>
  <c r="K1168" i="1"/>
  <c r="J1168" i="1"/>
  <c r="H1168" i="1"/>
  <c r="I1168" i="1"/>
  <c r="G1168" i="1"/>
  <c r="L1168" i="1"/>
  <c r="W1168" i="1" s="1"/>
  <c r="K901" i="1"/>
  <c r="J901" i="1"/>
  <c r="H901" i="1"/>
  <c r="I901" i="1"/>
  <c r="G901" i="1"/>
  <c r="L901" i="1"/>
  <c r="W901" i="1" s="1"/>
  <c r="K1948" i="1"/>
  <c r="J1948" i="1"/>
  <c r="I1948" i="1"/>
  <c r="H1948" i="1"/>
  <c r="G1948" i="1"/>
  <c r="L1948" i="1"/>
  <c r="W1948" i="1" s="1"/>
  <c r="K1765" i="1"/>
  <c r="J1765" i="1"/>
  <c r="I1765" i="1"/>
  <c r="H1765" i="1"/>
  <c r="G1765" i="1"/>
  <c r="L1765" i="1"/>
  <c r="W1765" i="1" s="1"/>
  <c r="K1779" i="1"/>
  <c r="J1779" i="1"/>
  <c r="I1779" i="1"/>
  <c r="H1779" i="1"/>
  <c r="G1779" i="1"/>
  <c r="L1779" i="1"/>
  <c r="W1779" i="1" s="1"/>
  <c r="K1591" i="1"/>
  <c r="J1591" i="1"/>
  <c r="I1591" i="1"/>
  <c r="G1591" i="1"/>
  <c r="H1591" i="1"/>
  <c r="L1591" i="1"/>
  <c r="W1591" i="1" s="1"/>
  <c r="K1629" i="1"/>
  <c r="J1629" i="1"/>
  <c r="I1629" i="1"/>
  <c r="H1629" i="1"/>
  <c r="G1629" i="1"/>
  <c r="L1629" i="1"/>
  <c r="W1629" i="1" s="1"/>
  <c r="K1664" i="1"/>
  <c r="J1664" i="1"/>
  <c r="I1664" i="1"/>
  <c r="H1664" i="1"/>
  <c r="G1664" i="1"/>
  <c r="L1664" i="1"/>
  <c r="W1664" i="1" s="1"/>
  <c r="K1538" i="1"/>
  <c r="J1538" i="1"/>
  <c r="H1538" i="1"/>
  <c r="I1538" i="1"/>
  <c r="G1538" i="1"/>
  <c r="L1538" i="1"/>
  <c r="W1538" i="1" s="1"/>
  <c r="K1335" i="1"/>
  <c r="J1335" i="1"/>
  <c r="H1335" i="1"/>
  <c r="I1335" i="1"/>
  <c r="G1335" i="1"/>
  <c r="L1335" i="1"/>
  <c r="W1335" i="1" s="1"/>
  <c r="K1307" i="1"/>
  <c r="J1307" i="1"/>
  <c r="H1307" i="1"/>
  <c r="I1307" i="1"/>
  <c r="G1307" i="1"/>
  <c r="L1307" i="1"/>
  <c r="W1307" i="1" s="1"/>
  <c r="K1020" i="1"/>
  <c r="J1020" i="1"/>
  <c r="I1020" i="1"/>
  <c r="H1020" i="1"/>
  <c r="G1020" i="1"/>
  <c r="L1020" i="1"/>
  <c r="W1020" i="1" s="1"/>
  <c r="K1991" i="1"/>
  <c r="J1991" i="1"/>
  <c r="I1991" i="1"/>
  <c r="G1991" i="1"/>
  <c r="H1991" i="1"/>
  <c r="L1991" i="1"/>
  <c r="W1991" i="1" s="1"/>
  <c r="K1995" i="1"/>
  <c r="J1995" i="1"/>
  <c r="I1995" i="1"/>
  <c r="H1995" i="1"/>
  <c r="G1995" i="1"/>
  <c r="L1995" i="1"/>
  <c r="W1995" i="1" s="1"/>
  <c r="K1839" i="1"/>
  <c r="J1839" i="1"/>
  <c r="I1839" i="1"/>
  <c r="G1839" i="1"/>
  <c r="H1839" i="1"/>
  <c r="L1839" i="1"/>
  <c r="W1839" i="1" s="1"/>
  <c r="K1493" i="1"/>
  <c r="J1493" i="1"/>
  <c r="H1493" i="1"/>
  <c r="I1493" i="1"/>
  <c r="G1493" i="1"/>
  <c r="L1493" i="1"/>
  <c r="W1493" i="1" s="1"/>
  <c r="K1707" i="1"/>
  <c r="J1707" i="1"/>
  <c r="I1707" i="1"/>
  <c r="H1707" i="1"/>
  <c r="G1707" i="1"/>
  <c r="L1707" i="1"/>
  <c r="W1707" i="1" s="1"/>
  <c r="K1713" i="1"/>
  <c r="J1713" i="1"/>
  <c r="I1713" i="1"/>
  <c r="H1713" i="1"/>
  <c r="G1713" i="1"/>
  <c r="L1713" i="1"/>
  <c r="W1713" i="1" s="1"/>
  <c r="K1343" i="1"/>
  <c r="J1343" i="1"/>
  <c r="H1343" i="1"/>
  <c r="I1343" i="1"/>
  <c r="G1343" i="1"/>
  <c r="L1343" i="1"/>
  <c r="W1343" i="1" s="1"/>
  <c r="K1740" i="1"/>
  <c r="J1740" i="1"/>
  <c r="I1740" i="1"/>
  <c r="H1740" i="1"/>
  <c r="G1740" i="1"/>
  <c r="L1740" i="1"/>
  <c r="W1740" i="1" s="1"/>
  <c r="K1478" i="1"/>
  <c r="J1478" i="1"/>
  <c r="I1478" i="1"/>
  <c r="G1478" i="1"/>
  <c r="H1478" i="1"/>
  <c r="L1478" i="1"/>
  <c r="W1478" i="1" s="1"/>
  <c r="K1018" i="1"/>
  <c r="I1018" i="1"/>
  <c r="J1018" i="1"/>
  <c r="H1018" i="1"/>
  <c r="G1018" i="1"/>
  <c r="L1018" i="1"/>
  <c r="W1018" i="1" s="1"/>
  <c r="K604" i="1"/>
  <c r="I604" i="1"/>
  <c r="J604" i="1"/>
  <c r="H604" i="1"/>
  <c r="G604" i="1"/>
  <c r="L604" i="1"/>
  <c r="W604" i="1" s="1"/>
  <c r="K1938" i="1"/>
  <c r="J1938" i="1"/>
  <c r="I1938" i="1"/>
  <c r="G1938" i="1"/>
  <c r="H1938" i="1"/>
  <c r="L1938" i="1"/>
  <c r="W1938" i="1" s="1"/>
  <c r="K1926" i="1"/>
  <c r="J1926" i="1"/>
  <c r="I1926" i="1"/>
  <c r="G1926" i="1"/>
  <c r="H1926" i="1"/>
  <c r="L1926" i="1"/>
  <c r="W1926" i="1" s="1"/>
  <c r="K1821" i="1"/>
  <c r="J1821" i="1"/>
  <c r="I1821" i="1"/>
  <c r="H1821" i="1"/>
  <c r="G1821" i="1"/>
  <c r="L1821" i="1"/>
  <c r="W1821" i="1" s="1"/>
  <c r="K1605" i="1"/>
  <c r="J1605" i="1"/>
  <c r="I1605" i="1"/>
  <c r="H1605" i="1"/>
  <c r="G1605" i="1"/>
  <c r="L1605" i="1"/>
  <c r="W1605" i="1" s="1"/>
  <c r="K1812" i="1"/>
  <c r="J1812" i="1"/>
  <c r="I1812" i="1"/>
  <c r="H1812" i="1"/>
  <c r="G1812" i="1"/>
  <c r="L1812" i="1"/>
  <c r="W1812" i="1" s="1"/>
  <c r="K1455" i="1"/>
  <c r="J1455" i="1"/>
  <c r="H1455" i="1"/>
  <c r="I1455" i="1"/>
  <c r="G1455" i="1"/>
  <c r="L1455" i="1"/>
  <c r="W1455" i="1" s="1"/>
  <c r="K1409" i="1"/>
  <c r="J1409" i="1"/>
  <c r="H1409" i="1"/>
  <c r="I1409" i="1"/>
  <c r="G1409" i="1"/>
  <c r="L1409" i="1"/>
  <c r="W1409" i="1" s="1"/>
  <c r="K1267" i="1"/>
  <c r="J1267" i="1"/>
  <c r="H1267" i="1"/>
  <c r="I1267" i="1"/>
  <c r="G1267" i="1"/>
  <c r="L1267" i="1"/>
  <c r="W1267" i="1" s="1"/>
  <c r="K1534" i="1"/>
  <c r="J1534" i="1"/>
  <c r="I1534" i="1"/>
  <c r="G1534" i="1"/>
  <c r="H1534" i="1"/>
  <c r="L1534" i="1"/>
  <c r="W1534" i="1" s="1"/>
  <c r="K728" i="1"/>
  <c r="I728" i="1"/>
  <c r="J728" i="1"/>
  <c r="H728" i="1"/>
  <c r="G728" i="1"/>
  <c r="L728" i="1"/>
  <c r="W728" i="1" s="1"/>
  <c r="K886" i="1"/>
  <c r="J886" i="1"/>
  <c r="H886" i="1"/>
  <c r="I886" i="1"/>
  <c r="G886" i="1"/>
  <c r="L886" i="1"/>
  <c r="W886" i="1" s="1"/>
  <c r="K992" i="1"/>
  <c r="I992" i="1"/>
  <c r="J992" i="1"/>
  <c r="H992" i="1"/>
  <c r="G992" i="1"/>
  <c r="L992" i="1"/>
  <c r="W992" i="1" s="1"/>
  <c r="K1164" i="1"/>
  <c r="J1164" i="1"/>
  <c r="I1164" i="1"/>
  <c r="G1164" i="1"/>
  <c r="H1164" i="1"/>
  <c r="L1164" i="1"/>
  <c r="W1164" i="1" s="1"/>
  <c r="K598" i="1"/>
  <c r="J598" i="1"/>
  <c r="I598" i="1"/>
  <c r="H598" i="1"/>
  <c r="G598" i="1"/>
  <c r="L598" i="1"/>
  <c r="W598" i="1" s="1"/>
  <c r="K523" i="1"/>
  <c r="I523" i="1"/>
  <c r="J523" i="1"/>
  <c r="H523" i="1"/>
  <c r="G523" i="1"/>
  <c r="L523" i="1"/>
  <c r="W523" i="1" s="1"/>
  <c r="K431" i="1"/>
  <c r="I431" i="1"/>
  <c r="J431" i="1"/>
  <c r="H431" i="1"/>
  <c r="G431" i="1"/>
  <c r="L431" i="1"/>
  <c r="W431" i="1" s="1"/>
  <c r="K787" i="1"/>
  <c r="I787" i="1"/>
  <c r="J787" i="1"/>
  <c r="H787" i="1"/>
  <c r="G787" i="1"/>
  <c r="L787" i="1"/>
  <c r="W787" i="1" s="1"/>
  <c r="K522" i="1"/>
  <c r="I522" i="1"/>
  <c r="J522" i="1"/>
  <c r="H522" i="1"/>
  <c r="G522" i="1"/>
  <c r="L522" i="1"/>
  <c r="W522" i="1" s="1"/>
  <c r="K842" i="1"/>
  <c r="I842" i="1"/>
  <c r="J842" i="1"/>
  <c r="H842" i="1"/>
  <c r="G842" i="1"/>
  <c r="L842" i="1"/>
  <c r="W842" i="1" s="1"/>
  <c r="K748" i="1"/>
  <c r="J748" i="1"/>
  <c r="I748" i="1"/>
  <c r="H748" i="1"/>
  <c r="G748" i="1"/>
  <c r="L748" i="1"/>
  <c r="W748" i="1" s="1"/>
  <c r="K976" i="1"/>
  <c r="I976" i="1"/>
  <c r="J976" i="1"/>
  <c r="H976" i="1"/>
  <c r="G976" i="1"/>
  <c r="L976" i="1"/>
  <c r="W976" i="1" s="1"/>
  <c r="K1156" i="1"/>
  <c r="J1156" i="1"/>
  <c r="I1156" i="1"/>
  <c r="G1156" i="1"/>
  <c r="H1156" i="1"/>
  <c r="L1156" i="1"/>
  <c r="W1156" i="1" s="1"/>
  <c r="K715" i="1"/>
  <c r="I715" i="1"/>
  <c r="J715" i="1"/>
  <c r="H715" i="1"/>
  <c r="G715" i="1"/>
  <c r="L715" i="1"/>
  <c r="W715" i="1" s="1"/>
  <c r="K507" i="1"/>
  <c r="I507" i="1"/>
  <c r="J507" i="1"/>
  <c r="H507" i="1"/>
  <c r="G507" i="1"/>
  <c r="L507" i="1"/>
  <c r="W507" i="1" s="1"/>
  <c r="K415" i="1"/>
  <c r="I415" i="1"/>
  <c r="J415" i="1"/>
  <c r="H415" i="1"/>
  <c r="G415" i="1"/>
  <c r="L415" i="1"/>
  <c r="W415" i="1" s="1"/>
  <c r="K779" i="1"/>
  <c r="I779" i="1"/>
  <c r="J779" i="1"/>
  <c r="H779" i="1"/>
  <c r="G779" i="1"/>
  <c r="L779" i="1"/>
  <c r="W779" i="1" s="1"/>
  <c r="K514" i="1"/>
  <c r="I514" i="1"/>
  <c r="J514" i="1"/>
  <c r="H514" i="1"/>
  <c r="G514" i="1"/>
  <c r="L514" i="1"/>
  <c r="W514" i="1" s="1"/>
  <c r="K1296" i="1"/>
  <c r="J1296" i="1"/>
  <c r="H1296" i="1"/>
  <c r="I1296" i="1"/>
  <c r="G1296" i="1"/>
  <c r="L1296" i="1"/>
  <c r="W1296" i="1" s="1"/>
  <c r="K826" i="1"/>
  <c r="I826" i="1"/>
  <c r="J826" i="1"/>
  <c r="H826" i="1"/>
  <c r="G826" i="1"/>
  <c r="L826" i="1"/>
  <c r="W826" i="1" s="1"/>
  <c r="K732" i="1"/>
  <c r="J732" i="1"/>
  <c r="I732" i="1"/>
  <c r="H732" i="1"/>
  <c r="G732" i="1"/>
  <c r="L732" i="1"/>
  <c r="W732" i="1" s="1"/>
  <c r="K960" i="1"/>
  <c r="I960" i="1"/>
  <c r="J960" i="1"/>
  <c r="H960" i="1"/>
  <c r="G960" i="1"/>
  <c r="L960" i="1"/>
  <c r="W960" i="1" s="1"/>
  <c r="K1148" i="1"/>
  <c r="J1148" i="1"/>
  <c r="I1148" i="1"/>
  <c r="G1148" i="1"/>
  <c r="H1148" i="1"/>
  <c r="L1148" i="1"/>
  <c r="W1148" i="1" s="1"/>
  <c r="K707" i="1"/>
  <c r="I707" i="1"/>
  <c r="J707" i="1"/>
  <c r="H707" i="1"/>
  <c r="G707" i="1"/>
  <c r="L707" i="1"/>
  <c r="W707" i="1" s="1"/>
  <c r="K491" i="1"/>
  <c r="I491" i="1"/>
  <c r="J491" i="1"/>
  <c r="H491" i="1"/>
  <c r="G491" i="1"/>
  <c r="L491" i="1"/>
  <c r="W491" i="1" s="1"/>
  <c r="K399" i="1"/>
  <c r="I399" i="1"/>
  <c r="J399" i="1"/>
  <c r="H399" i="1"/>
  <c r="G399" i="1"/>
  <c r="L399" i="1"/>
  <c r="W399" i="1" s="1"/>
  <c r="K771" i="1"/>
  <c r="I771" i="1"/>
  <c r="J771" i="1"/>
  <c r="H771" i="1"/>
  <c r="G771" i="1"/>
  <c r="L771" i="1"/>
  <c r="W771" i="1" s="1"/>
  <c r="K506" i="1"/>
  <c r="I506" i="1"/>
  <c r="J506" i="1"/>
  <c r="H506" i="1"/>
  <c r="G506" i="1"/>
  <c r="L506" i="1"/>
  <c r="W506" i="1" s="1"/>
  <c r="K938" i="1"/>
  <c r="I938" i="1"/>
  <c r="J938" i="1"/>
  <c r="H938" i="1"/>
  <c r="G938" i="1"/>
  <c r="L938" i="1"/>
  <c r="W938" i="1" s="1"/>
  <c r="K844" i="1"/>
  <c r="J844" i="1"/>
  <c r="I844" i="1"/>
  <c r="H844" i="1"/>
  <c r="G844" i="1"/>
  <c r="L844" i="1"/>
  <c r="W844" i="1" s="1"/>
  <c r="K1066" i="1"/>
  <c r="J1066" i="1"/>
  <c r="I1066" i="1"/>
  <c r="H1066" i="1"/>
  <c r="G1066" i="1"/>
  <c r="L1066" i="1"/>
  <c r="W1066" i="1" s="1"/>
  <c r="K1254" i="1"/>
  <c r="J1254" i="1"/>
  <c r="H1254" i="1"/>
  <c r="I1254" i="1"/>
  <c r="G1254" i="1"/>
  <c r="L1254" i="1"/>
  <c r="W1254" i="1" s="1"/>
  <c r="K678" i="1"/>
  <c r="J678" i="1"/>
  <c r="I678" i="1"/>
  <c r="H678" i="1"/>
  <c r="G678" i="1"/>
  <c r="L678" i="1"/>
  <c r="W678" i="1" s="1"/>
  <c r="K606" i="1"/>
  <c r="J606" i="1"/>
  <c r="I606" i="1"/>
  <c r="H606" i="1"/>
  <c r="G606" i="1"/>
  <c r="L606" i="1"/>
  <c r="W606" i="1" s="1"/>
  <c r="K511" i="1"/>
  <c r="I511" i="1"/>
  <c r="J511" i="1"/>
  <c r="H511" i="1"/>
  <c r="G511" i="1"/>
  <c r="L511" i="1"/>
  <c r="W511" i="1" s="1"/>
  <c r="K827" i="1"/>
  <c r="I827" i="1"/>
  <c r="J827" i="1"/>
  <c r="H827" i="1"/>
  <c r="G827" i="1"/>
  <c r="L827" i="1"/>
  <c r="W827" i="1" s="1"/>
  <c r="K578" i="1"/>
  <c r="I578" i="1"/>
  <c r="J578" i="1"/>
  <c r="H578" i="1"/>
  <c r="G578" i="1"/>
  <c r="L578" i="1"/>
  <c r="W578" i="1" s="1"/>
  <c r="K313" i="1"/>
  <c r="J313" i="1"/>
  <c r="I313" i="1"/>
  <c r="H313" i="1"/>
  <c r="G313" i="1"/>
  <c r="L313" i="1"/>
  <c r="W313" i="1" s="1"/>
  <c r="K672" i="1"/>
  <c r="I672" i="1"/>
  <c r="J672" i="1"/>
  <c r="H672" i="1"/>
  <c r="G672" i="1"/>
  <c r="L672" i="1"/>
  <c r="W672" i="1" s="1"/>
  <c r="K948" i="1"/>
  <c r="J948" i="1"/>
  <c r="I948" i="1"/>
  <c r="H948" i="1"/>
  <c r="G948" i="1"/>
  <c r="L948" i="1"/>
  <c r="W948" i="1" s="1"/>
  <c r="K375" i="1"/>
  <c r="I375" i="1"/>
  <c r="J375" i="1"/>
  <c r="H375" i="1"/>
  <c r="G375" i="1"/>
  <c r="L375" i="1"/>
  <c r="W375" i="1" s="1"/>
  <c r="K847" i="1"/>
  <c r="I847" i="1"/>
  <c r="J847" i="1"/>
  <c r="H847" i="1"/>
  <c r="G847" i="1"/>
  <c r="L847" i="1"/>
  <c r="W847" i="1" s="1"/>
  <c r="K401" i="1"/>
  <c r="I401" i="1"/>
  <c r="J401" i="1"/>
  <c r="H401" i="1"/>
  <c r="G401" i="1"/>
  <c r="L401" i="1"/>
  <c r="W401" i="1" s="1"/>
  <c r="K485" i="1"/>
  <c r="J485" i="1"/>
  <c r="H485" i="1"/>
  <c r="I485" i="1"/>
  <c r="G485" i="1"/>
  <c r="L485" i="1"/>
  <c r="W485" i="1" s="1"/>
  <c r="J308" i="1"/>
  <c r="K308" i="1"/>
  <c r="I308" i="1"/>
  <c r="H308" i="1"/>
  <c r="G308" i="1"/>
  <c r="L308" i="1"/>
  <c r="W308" i="1" s="1"/>
  <c r="K1070" i="1"/>
  <c r="J1070" i="1"/>
  <c r="H1070" i="1"/>
  <c r="I1070" i="1"/>
  <c r="G1070" i="1"/>
  <c r="L1070" i="1"/>
  <c r="W1070" i="1" s="1"/>
  <c r="K1258" i="1"/>
  <c r="J1258" i="1"/>
  <c r="H1258" i="1"/>
  <c r="I1258" i="1"/>
  <c r="G1258" i="1"/>
  <c r="L1258" i="1"/>
  <c r="W1258" i="1" s="1"/>
  <c r="K910" i="1"/>
  <c r="J910" i="1"/>
  <c r="H910" i="1"/>
  <c r="I910" i="1"/>
  <c r="G910" i="1"/>
  <c r="L910" i="1"/>
  <c r="W910" i="1" s="1"/>
  <c r="K656" i="1"/>
  <c r="I656" i="1"/>
  <c r="J656" i="1"/>
  <c r="H656" i="1"/>
  <c r="G656" i="1"/>
  <c r="L656" i="1"/>
  <c r="W656" i="1" s="1"/>
  <c r="K932" i="1"/>
  <c r="J932" i="1"/>
  <c r="I932" i="1"/>
  <c r="H932" i="1"/>
  <c r="G932" i="1"/>
  <c r="L932" i="1"/>
  <c r="W932" i="1" s="1"/>
  <c r="K917" i="1"/>
  <c r="J917" i="1"/>
  <c r="H917" i="1"/>
  <c r="I917" i="1"/>
  <c r="G917" i="1"/>
  <c r="L917" i="1"/>
  <c r="W917" i="1" s="1"/>
  <c r="K831" i="1"/>
  <c r="I831" i="1"/>
  <c r="J831" i="1"/>
  <c r="H831" i="1"/>
  <c r="G831" i="1"/>
  <c r="L831" i="1"/>
  <c r="W831" i="1" s="1"/>
  <c r="K385" i="1"/>
  <c r="I385" i="1"/>
  <c r="J385" i="1"/>
  <c r="H385" i="1"/>
  <c r="G385" i="1"/>
  <c r="L385" i="1"/>
  <c r="W385" i="1" s="1"/>
  <c r="K469" i="1"/>
  <c r="J469" i="1"/>
  <c r="H469" i="1"/>
  <c r="I469" i="1"/>
  <c r="G469" i="1"/>
  <c r="L469" i="1"/>
  <c r="W469" i="1" s="1"/>
  <c r="J276" i="1"/>
  <c r="K276" i="1"/>
  <c r="I276" i="1"/>
  <c r="H276" i="1"/>
  <c r="G276" i="1"/>
  <c r="L276" i="1"/>
  <c r="W276" i="1" s="1"/>
  <c r="K739" i="1"/>
  <c r="I739" i="1"/>
  <c r="J739" i="1"/>
  <c r="H739" i="1"/>
  <c r="G739" i="1"/>
  <c r="L739" i="1"/>
  <c r="W739" i="1" s="1"/>
  <c r="K458" i="1"/>
  <c r="I458" i="1"/>
  <c r="J458" i="1"/>
  <c r="H458" i="1"/>
  <c r="G458" i="1"/>
  <c r="L458" i="1"/>
  <c r="W458" i="1" s="1"/>
  <c r="K1462" i="1"/>
  <c r="J1462" i="1"/>
  <c r="I1462" i="1"/>
  <c r="G1462" i="1"/>
  <c r="H1462" i="1"/>
  <c r="L1462" i="1"/>
  <c r="W1462" i="1" s="1"/>
  <c r="K920" i="1"/>
  <c r="I920" i="1"/>
  <c r="J920" i="1"/>
  <c r="H920" i="1"/>
  <c r="G920" i="1"/>
  <c r="L920" i="1"/>
  <c r="W920" i="1" s="1"/>
  <c r="K1178" i="1"/>
  <c r="J1178" i="1"/>
  <c r="H1178" i="1"/>
  <c r="I1178" i="1"/>
  <c r="G1178" i="1"/>
  <c r="L1178" i="1"/>
  <c r="W1178" i="1" s="1"/>
  <c r="K750" i="1"/>
  <c r="J750" i="1"/>
  <c r="I750" i="1"/>
  <c r="H750" i="1"/>
  <c r="G750" i="1"/>
  <c r="L750" i="1"/>
  <c r="W750" i="1" s="1"/>
  <c r="K962" i="1"/>
  <c r="I962" i="1"/>
  <c r="J962" i="1"/>
  <c r="H962" i="1"/>
  <c r="G962" i="1"/>
  <c r="L962" i="1"/>
  <c r="W962" i="1" s="1"/>
  <c r="K772" i="1"/>
  <c r="J772" i="1"/>
  <c r="I772" i="1"/>
  <c r="H772" i="1"/>
  <c r="G772" i="1"/>
  <c r="L772" i="1"/>
  <c r="W772" i="1" s="1"/>
  <c r="K757" i="1"/>
  <c r="J757" i="1"/>
  <c r="H757" i="1"/>
  <c r="I757" i="1"/>
  <c r="G757" i="1"/>
  <c r="L757" i="1"/>
  <c r="W757" i="1" s="1"/>
  <c r="K654" i="1"/>
  <c r="J654" i="1"/>
  <c r="I654" i="1"/>
  <c r="H654" i="1"/>
  <c r="G654" i="1"/>
  <c r="L654" i="1"/>
  <c r="W654" i="1" s="1"/>
  <c r="K515" i="1"/>
  <c r="I515" i="1"/>
  <c r="J515" i="1"/>
  <c r="H515" i="1"/>
  <c r="G515" i="1"/>
  <c r="L515" i="1"/>
  <c r="W515" i="1" s="1"/>
  <c r="K318" i="1"/>
  <c r="J318" i="1"/>
  <c r="I318" i="1"/>
  <c r="H318" i="1"/>
  <c r="G318" i="1"/>
  <c r="L318" i="1"/>
  <c r="W318" i="1" s="1"/>
  <c r="K207" i="1"/>
  <c r="J207" i="1"/>
  <c r="I207" i="1"/>
  <c r="H207" i="1"/>
  <c r="G207" i="1"/>
  <c r="L207" i="1"/>
  <c r="W207" i="1" s="1"/>
  <c r="K384" i="1"/>
  <c r="I384" i="1"/>
  <c r="J384" i="1"/>
  <c r="H384" i="1"/>
  <c r="G384" i="1"/>
  <c r="L384" i="1"/>
  <c r="W384" i="1" s="1"/>
  <c r="K889" i="1"/>
  <c r="J889" i="1"/>
  <c r="I889" i="1"/>
  <c r="H889" i="1"/>
  <c r="G889" i="1"/>
  <c r="L889" i="1"/>
  <c r="W889" i="1" s="1"/>
  <c r="K897" i="1"/>
  <c r="J897" i="1"/>
  <c r="I897" i="1"/>
  <c r="H897" i="1"/>
  <c r="G897" i="1"/>
  <c r="L897" i="1"/>
  <c r="W897" i="1" s="1"/>
  <c r="K1172" i="1"/>
  <c r="J1172" i="1"/>
  <c r="I1172" i="1"/>
  <c r="G1172" i="1"/>
  <c r="H1172" i="1"/>
  <c r="L1172" i="1"/>
  <c r="W1172" i="1" s="1"/>
  <c r="K1380" i="1"/>
  <c r="J1380" i="1"/>
  <c r="I1380" i="1"/>
  <c r="H1380" i="1"/>
  <c r="G1380" i="1"/>
  <c r="L1380" i="1"/>
  <c r="W1380" i="1" s="1"/>
  <c r="K1716" i="1"/>
  <c r="J1716" i="1"/>
  <c r="I1716" i="1"/>
  <c r="H1716" i="1"/>
  <c r="G1716" i="1"/>
  <c r="L1716" i="1"/>
  <c r="W1716" i="1" s="1"/>
  <c r="K1861" i="1"/>
  <c r="J1861" i="1"/>
  <c r="I1861" i="1"/>
  <c r="H1861" i="1"/>
  <c r="G1861" i="1"/>
  <c r="L1861" i="1"/>
  <c r="W1861" i="1" s="1"/>
  <c r="K346" i="1"/>
  <c r="J346" i="1"/>
  <c r="I346" i="1"/>
  <c r="H346" i="1"/>
  <c r="G346" i="1"/>
  <c r="L346" i="1"/>
  <c r="W346" i="1" s="1"/>
  <c r="K175" i="1"/>
  <c r="J175" i="1"/>
  <c r="I175" i="1"/>
  <c r="H175" i="1"/>
  <c r="G175" i="1"/>
  <c r="L175" i="1"/>
  <c r="W175" i="1" s="1"/>
  <c r="K584" i="1"/>
  <c r="I584" i="1"/>
  <c r="J584" i="1"/>
  <c r="H584" i="1"/>
  <c r="G584" i="1"/>
  <c r="L584" i="1"/>
  <c r="W584" i="1" s="1"/>
  <c r="K1053" i="1"/>
  <c r="J1053" i="1"/>
  <c r="H1053" i="1"/>
  <c r="I1053" i="1"/>
  <c r="G1053" i="1"/>
  <c r="L1053" i="1"/>
  <c r="W1053" i="1" s="1"/>
  <c r="K995" i="1"/>
  <c r="I995" i="1"/>
  <c r="J995" i="1"/>
  <c r="H995" i="1"/>
  <c r="G995" i="1"/>
  <c r="L995" i="1"/>
  <c r="W995" i="1" s="1"/>
  <c r="K1119" i="1"/>
  <c r="I1119" i="1"/>
  <c r="J1119" i="1"/>
  <c r="H1119" i="1"/>
  <c r="G1119" i="1"/>
  <c r="L1119" i="1"/>
  <c r="W1119" i="1" s="1"/>
  <c r="K1338" i="1"/>
  <c r="J1338" i="1"/>
  <c r="H1338" i="1"/>
  <c r="I1338" i="1"/>
  <c r="G1338" i="1"/>
  <c r="L1338" i="1"/>
  <c r="W1338" i="1" s="1"/>
  <c r="K1640" i="1"/>
  <c r="J1640" i="1"/>
  <c r="I1640" i="1"/>
  <c r="H1640" i="1"/>
  <c r="G1640" i="1"/>
  <c r="L1640" i="1"/>
  <c r="W1640" i="1" s="1"/>
  <c r="K1857" i="1"/>
  <c r="J1857" i="1"/>
  <c r="I1857" i="1"/>
  <c r="H1857" i="1"/>
  <c r="G1857" i="1"/>
  <c r="L1857" i="1"/>
  <c r="W1857" i="1" s="1"/>
  <c r="K566" i="1"/>
  <c r="J566" i="1"/>
  <c r="I566" i="1"/>
  <c r="H566" i="1"/>
  <c r="G566" i="1"/>
  <c r="L566" i="1"/>
  <c r="W566" i="1" s="1"/>
  <c r="J292" i="1"/>
  <c r="K292" i="1"/>
  <c r="I292" i="1"/>
  <c r="H292" i="1"/>
  <c r="G292" i="1"/>
  <c r="L292" i="1"/>
  <c r="W292" i="1" s="1"/>
  <c r="K369" i="1"/>
  <c r="I369" i="1"/>
  <c r="J369" i="1"/>
  <c r="H369" i="1"/>
  <c r="G369" i="1"/>
  <c r="L369" i="1"/>
  <c r="W369" i="1" s="1"/>
  <c r="K605" i="1"/>
  <c r="J605" i="1"/>
  <c r="H605" i="1"/>
  <c r="I605" i="1"/>
  <c r="G605" i="1"/>
  <c r="L605" i="1"/>
  <c r="W605" i="1" s="1"/>
  <c r="K813" i="1"/>
  <c r="J813" i="1"/>
  <c r="H813" i="1"/>
  <c r="I813" i="1"/>
  <c r="G813" i="1"/>
  <c r="L813" i="1"/>
  <c r="W813" i="1" s="1"/>
  <c r="K919" i="1"/>
  <c r="I919" i="1"/>
  <c r="J919" i="1"/>
  <c r="H919" i="1"/>
  <c r="G919" i="1"/>
  <c r="L919" i="1"/>
  <c r="W919" i="1" s="1"/>
  <c r="K1089" i="1"/>
  <c r="J1089" i="1"/>
  <c r="I1089" i="1"/>
  <c r="H1089" i="1"/>
  <c r="G1089" i="1"/>
  <c r="L1089" i="1"/>
  <c r="W1089" i="1" s="1"/>
  <c r="K1278" i="1"/>
  <c r="J1278" i="1"/>
  <c r="H1278" i="1"/>
  <c r="I1278" i="1"/>
  <c r="G1278" i="1"/>
  <c r="L1278" i="1"/>
  <c r="W1278" i="1" s="1"/>
  <c r="K1530" i="1"/>
  <c r="J1530" i="1"/>
  <c r="H1530" i="1"/>
  <c r="I1530" i="1"/>
  <c r="G1530" i="1"/>
  <c r="L1530" i="1"/>
  <c r="W1530" i="1" s="1"/>
  <c r="K1580" i="1"/>
  <c r="J1580" i="1"/>
  <c r="I1580" i="1"/>
  <c r="H1580" i="1"/>
  <c r="G1580" i="1"/>
  <c r="L1580" i="1"/>
  <c r="W1580" i="1" s="1"/>
  <c r="K182" i="1"/>
  <c r="J182" i="1"/>
  <c r="I182" i="1"/>
  <c r="H182" i="1"/>
  <c r="G182" i="1"/>
  <c r="L182" i="1"/>
  <c r="W182" i="1" s="1"/>
  <c r="K488" i="1"/>
  <c r="I488" i="1"/>
  <c r="J488" i="1"/>
  <c r="H488" i="1"/>
  <c r="G488" i="1"/>
  <c r="L488" i="1"/>
  <c r="W488" i="1" s="1"/>
  <c r="K957" i="1"/>
  <c r="J957" i="1"/>
  <c r="H957" i="1"/>
  <c r="I957" i="1"/>
  <c r="G957" i="1"/>
  <c r="L957" i="1"/>
  <c r="W957" i="1" s="1"/>
  <c r="K965" i="1"/>
  <c r="J965" i="1"/>
  <c r="H965" i="1"/>
  <c r="I965" i="1"/>
  <c r="G965" i="1"/>
  <c r="L965" i="1"/>
  <c r="W965" i="1" s="1"/>
  <c r="K1107" i="1"/>
  <c r="I1107" i="1"/>
  <c r="J1107" i="1"/>
  <c r="H1107" i="1"/>
  <c r="G1107" i="1"/>
  <c r="L1107" i="1"/>
  <c r="W1107" i="1" s="1"/>
  <c r="K1356" i="1"/>
  <c r="J1356" i="1"/>
  <c r="I1356" i="1"/>
  <c r="G1356" i="1"/>
  <c r="H1356" i="1"/>
  <c r="L1356" i="1"/>
  <c r="W1356" i="1" s="1"/>
  <c r="K1674" i="1"/>
  <c r="J1674" i="1"/>
  <c r="I1674" i="1"/>
  <c r="G1674" i="1"/>
  <c r="H1674" i="1"/>
  <c r="L1674" i="1"/>
  <c r="W1674" i="1" s="1"/>
  <c r="K1788" i="1"/>
  <c r="J1788" i="1"/>
  <c r="I1788" i="1"/>
  <c r="H1788" i="1"/>
  <c r="G1788" i="1"/>
  <c r="L1788" i="1"/>
  <c r="W1788" i="1" s="1"/>
  <c r="K232" i="1"/>
  <c r="J232" i="1"/>
  <c r="I232" i="1"/>
  <c r="H232" i="1"/>
  <c r="G232" i="1"/>
  <c r="L232" i="1"/>
  <c r="W232" i="1" s="1"/>
  <c r="K490" i="1"/>
  <c r="I490" i="1"/>
  <c r="J490" i="1"/>
  <c r="H490" i="1"/>
  <c r="G490" i="1"/>
  <c r="L490" i="1"/>
  <c r="W490" i="1" s="1"/>
  <c r="K271" i="1"/>
  <c r="J271" i="1"/>
  <c r="I271" i="1"/>
  <c r="H271" i="1"/>
  <c r="G271" i="1"/>
  <c r="L271" i="1"/>
  <c r="W271" i="1" s="1"/>
  <c r="K247" i="1"/>
  <c r="J247" i="1"/>
  <c r="I247" i="1"/>
  <c r="H247" i="1"/>
  <c r="G247" i="1"/>
  <c r="L247" i="1"/>
  <c r="W247" i="1" s="1"/>
  <c r="K701" i="1"/>
  <c r="J701" i="1"/>
  <c r="H701" i="1"/>
  <c r="I701" i="1"/>
  <c r="G701" i="1"/>
  <c r="L701" i="1"/>
  <c r="W701" i="1" s="1"/>
  <c r="K825" i="1"/>
  <c r="J825" i="1"/>
  <c r="I825" i="1"/>
  <c r="H825" i="1"/>
  <c r="G825" i="1"/>
  <c r="L825" i="1"/>
  <c r="W825" i="1" s="1"/>
  <c r="K833" i="1"/>
  <c r="J833" i="1"/>
  <c r="I833" i="1"/>
  <c r="H833" i="1"/>
  <c r="G833" i="1"/>
  <c r="L833" i="1"/>
  <c r="W833" i="1" s="1"/>
  <c r="K1157" i="1"/>
  <c r="J1157" i="1"/>
  <c r="H1157" i="1"/>
  <c r="I1157" i="1"/>
  <c r="G1157" i="1"/>
  <c r="L1157" i="1"/>
  <c r="W1157" i="1" s="1"/>
  <c r="K1372" i="1"/>
  <c r="J1372" i="1"/>
  <c r="I1372" i="1"/>
  <c r="H1372" i="1"/>
  <c r="G1372" i="1"/>
  <c r="L1372" i="1"/>
  <c r="W1372" i="1" s="1"/>
  <c r="K1652" i="1"/>
  <c r="J1652" i="1"/>
  <c r="I1652" i="1"/>
  <c r="H1652" i="1"/>
  <c r="G1652" i="1"/>
  <c r="L1652" i="1"/>
  <c r="W1652" i="1" s="1"/>
  <c r="K1792" i="1"/>
  <c r="J1792" i="1"/>
  <c r="I1792" i="1"/>
  <c r="H1792" i="1"/>
  <c r="G1792" i="1"/>
  <c r="L1792" i="1"/>
  <c r="W1792" i="1" s="1"/>
  <c r="K390" i="1"/>
  <c r="J390" i="1"/>
  <c r="I390" i="1"/>
  <c r="H390" i="1"/>
  <c r="G390" i="1"/>
  <c r="L390" i="1"/>
  <c r="W390" i="1" s="1"/>
  <c r="K524" i="1"/>
  <c r="I524" i="1"/>
  <c r="J524" i="1"/>
  <c r="H524" i="1"/>
  <c r="G524" i="1"/>
  <c r="L524" i="1"/>
  <c r="W524" i="1" s="1"/>
  <c r="K520" i="1"/>
  <c r="I520" i="1"/>
  <c r="J520" i="1"/>
  <c r="H520" i="1"/>
  <c r="G520" i="1"/>
  <c r="L520" i="1"/>
  <c r="W520" i="1" s="1"/>
  <c r="K989" i="1"/>
  <c r="J989" i="1"/>
  <c r="H989" i="1"/>
  <c r="I989" i="1"/>
  <c r="G989" i="1"/>
  <c r="L989" i="1"/>
  <c r="W989" i="1" s="1"/>
  <c r="K997" i="1"/>
  <c r="J997" i="1"/>
  <c r="H997" i="1"/>
  <c r="I997" i="1"/>
  <c r="G997" i="1"/>
  <c r="L997" i="1"/>
  <c r="W997" i="1" s="1"/>
  <c r="K1111" i="1"/>
  <c r="I1111" i="1"/>
  <c r="J1111" i="1"/>
  <c r="H1111" i="1"/>
  <c r="G1111" i="1"/>
  <c r="L1111" i="1"/>
  <c r="W1111" i="1" s="1"/>
  <c r="K1274" i="1"/>
  <c r="J1274" i="1"/>
  <c r="H1274" i="1"/>
  <c r="I1274" i="1"/>
  <c r="G1274" i="1"/>
  <c r="L1274" i="1"/>
  <c r="W1274" i="1" s="1"/>
  <c r="K1576" i="1"/>
  <c r="J1576" i="1"/>
  <c r="H1576" i="1"/>
  <c r="I1576" i="1"/>
  <c r="G1576" i="1"/>
  <c r="L1576" i="1"/>
  <c r="W1576" i="1" s="1"/>
  <c r="K1820" i="1"/>
  <c r="J1820" i="1"/>
  <c r="I1820" i="1"/>
  <c r="H1820" i="1"/>
  <c r="G1820" i="1"/>
  <c r="L1820" i="1"/>
  <c r="W1820" i="1" s="1"/>
  <c r="K200" i="1"/>
  <c r="J200" i="1"/>
  <c r="I200" i="1"/>
  <c r="H200" i="1"/>
  <c r="G200" i="1"/>
  <c r="L200" i="1"/>
  <c r="W200" i="1" s="1"/>
  <c r="K474" i="1"/>
  <c r="I474" i="1"/>
  <c r="J474" i="1"/>
  <c r="H474" i="1"/>
  <c r="G474" i="1"/>
  <c r="L474" i="1"/>
  <c r="W474" i="1" s="1"/>
  <c r="J277" i="1"/>
  <c r="K277" i="1"/>
  <c r="I277" i="1"/>
  <c r="H277" i="1"/>
  <c r="G277" i="1"/>
  <c r="L277" i="1"/>
  <c r="W277" i="1" s="1"/>
  <c r="J253" i="1"/>
  <c r="K253" i="1"/>
  <c r="I253" i="1"/>
  <c r="H253" i="1"/>
  <c r="G253" i="1"/>
  <c r="L253" i="1"/>
  <c r="W253" i="1" s="1"/>
  <c r="K647" i="1"/>
  <c r="I647" i="1"/>
  <c r="J647" i="1"/>
  <c r="H647" i="1"/>
  <c r="G647" i="1"/>
  <c r="L647" i="1"/>
  <c r="W647" i="1" s="1"/>
  <c r="K857" i="1"/>
  <c r="J857" i="1"/>
  <c r="I857" i="1"/>
  <c r="H857" i="1"/>
  <c r="G857" i="1"/>
  <c r="L857" i="1"/>
  <c r="W857" i="1" s="1"/>
  <c r="K865" i="1"/>
  <c r="J865" i="1"/>
  <c r="I865" i="1"/>
  <c r="H865" i="1"/>
  <c r="G865" i="1"/>
  <c r="L865" i="1"/>
  <c r="W865" i="1" s="1"/>
  <c r="K1161" i="1"/>
  <c r="J1161" i="1"/>
  <c r="H1161" i="1"/>
  <c r="I1161" i="1"/>
  <c r="G1161" i="1"/>
  <c r="L1161" i="1"/>
  <c r="W1161" i="1" s="1"/>
  <c r="K1376" i="1"/>
  <c r="J1376" i="1"/>
  <c r="H1376" i="1"/>
  <c r="I1376" i="1"/>
  <c r="G1376" i="1"/>
  <c r="L1376" i="1"/>
  <c r="W1376" i="1" s="1"/>
  <c r="K1684" i="1"/>
  <c r="J1684" i="1"/>
  <c r="I1684" i="1"/>
  <c r="H1684" i="1"/>
  <c r="G1684" i="1"/>
  <c r="L1684" i="1"/>
  <c r="W1684" i="1" s="1"/>
  <c r="K1824" i="1"/>
  <c r="J1824" i="1"/>
  <c r="I1824" i="1"/>
  <c r="H1824" i="1"/>
  <c r="G1824" i="1"/>
  <c r="L1824" i="1"/>
  <c r="W1824" i="1" s="1"/>
  <c r="K374" i="1"/>
  <c r="J374" i="1"/>
  <c r="I374" i="1"/>
  <c r="H374" i="1"/>
  <c r="G374" i="1"/>
  <c r="L374" i="1"/>
  <c r="W374" i="1" s="1"/>
  <c r="K663" i="1"/>
  <c r="I663" i="1"/>
  <c r="J663" i="1"/>
  <c r="H663" i="1"/>
  <c r="G663" i="1"/>
  <c r="L663" i="1"/>
  <c r="W663" i="1" s="1"/>
  <c r="K653" i="1"/>
  <c r="J653" i="1"/>
  <c r="H653" i="1"/>
  <c r="I653" i="1"/>
  <c r="G653" i="1"/>
  <c r="L653" i="1"/>
  <c r="W653" i="1" s="1"/>
  <c r="K552" i="1"/>
  <c r="I552" i="1"/>
  <c r="J552" i="1"/>
  <c r="H552" i="1"/>
  <c r="G552" i="1"/>
  <c r="L552" i="1"/>
  <c r="W552" i="1" s="1"/>
  <c r="K1021" i="1"/>
  <c r="J1021" i="1"/>
  <c r="H1021" i="1"/>
  <c r="I1021" i="1"/>
  <c r="G1021" i="1"/>
  <c r="L1021" i="1"/>
  <c r="W1021" i="1" s="1"/>
  <c r="K1029" i="1"/>
  <c r="J1029" i="1"/>
  <c r="H1029" i="1"/>
  <c r="I1029" i="1"/>
  <c r="G1029" i="1"/>
  <c r="L1029" i="1"/>
  <c r="W1029" i="1" s="1"/>
  <c r="K1115" i="1"/>
  <c r="I1115" i="1"/>
  <c r="J1115" i="1"/>
  <c r="H1115" i="1"/>
  <c r="G1115" i="1"/>
  <c r="L1115" i="1"/>
  <c r="W1115" i="1" s="1"/>
  <c r="K1306" i="1"/>
  <c r="J1306" i="1"/>
  <c r="H1306" i="1"/>
  <c r="I1306" i="1"/>
  <c r="G1306" i="1"/>
  <c r="L1306" i="1"/>
  <c r="W1306" i="1" s="1"/>
  <c r="K1608" i="1"/>
  <c r="J1608" i="1"/>
  <c r="I1608" i="1"/>
  <c r="H1608" i="1"/>
  <c r="G1608" i="1"/>
  <c r="L1608" i="1"/>
  <c r="W1608" i="1" s="1"/>
  <c r="K1869" i="1"/>
  <c r="J1869" i="1"/>
  <c r="I1869" i="1"/>
  <c r="H1869" i="1"/>
  <c r="G1869" i="1"/>
  <c r="L1869" i="1"/>
  <c r="W1869" i="1" s="1"/>
  <c r="K186" i="1"/>
  <c r="J186" i="1"/>
  <c r="I186" i="1"/>
  <c r="H186" i="1"/>
  <c r="G186" i="1"/>
  <c r="L186" i="1"/>
  <c r="W186" i="1" s="1"/>
  <c r="J37" i="1"/>
  <c r="K37" i="1"/>
  <c r="I37" i="1"/>
  <c r="H37" i="1"/>
  <c r="G37" i="1"/>
  <c r="L37" i="1"/>
  <c r="W37" i="1" s="1"/>
  <c r="J83" i="1"/>
  <c r="K83" i="1"/>
  <c r="I83" i="1"/>
  <c r="H83" i="1"/>
  <c r="G83" i="1"/>
  <c r="L83" i="1"/>
  <c r="W83" i="1" s="1"/>
  <c r="J131" i="1"/>
  <c r="K131" i="1"/>
  <c r="I131" i="1"/>
  <c r="H131" i="1"/>
  <c r="G131" i="1"/>
  <c r="L131" i="1"/>
  <c r="W131" i="1" s="1"/>
  <c r="J45" i="1"/>
  <c r="K45" i="1"/>
  <c r="I45" i="1"/>
  <c r="H45" i="1"/>
  <c r="G45" i="1"/>
  <c r="L45" i="1"/>
  <c r="W45" i="1" s="1"/>
  <c r="K89" i="1"/>
  <c r="J89" i="1"/>
  <c r="I89" i="1"/>
  <c r="H89" i="1"/>
  <c r="G89" i="1"/>
  <c r="L89" i="1"/>
  <c r="W89" i="1" s="1"/>
  <c r="K137" i="1"/>
  <c r="J137" i="1"/>
  <c r="I137" i="1"/>
  <c r="H137" i="1"/>
  <c r="G137" i="1"/>
  <c r="L137" i="1"/>
  <c r="W137" i="1" s="1"/>
  <c r="J59" i="1"/>
  <c r="K59" i="1"/>
  <c r="I59" i="1"/>
  <c r="H59" i="1"/>
  <c r="G59" i="1"/>
  <c r="L59" i="1"/>
  <c r="W59" i="1" s="1"/>
  <c r="K111" i="1"/>
  <c r="J111" i="1"/>
  <c r="I111" i="1"/>
  <c r="H111" i="1"/>
  <c r="G111" i="1"/>
  <c r="L111" i="1"/>
  <c r="W111" i="1" s="1"/>
  <c r="J147" i="1"/>
  <c r="K147" i="1"/>
  <c r="I147" i="1"/>
  <c r="H147" i="1"/>
  <c r="G147" i="1"/>
  <c r="L147" i="1"/>
  <c r="W147" i="1" s="1"/>
  <c r="K78" i="1"/>
  <c r="J78" i="1"/>
  <c r="I78" i="1"/>
  <c r="H78" i="1"/>
  <c r="G78" i="1"/>
  <c r="L78" i="1"/>
  <c r="W78" i="1" s="1"/>
  <c r="J108" i="1"/>
  <c r="K108" i="1"/>
  <c r="I108" i="1"/>
  <c r="H108" i="1"/>
  <c r="G108" i="1"/>
  <c r="L108" i="1"/>
  <c r="W108" i="1" s="1"/>
  <c r="J124" i="1"/>
  <c r="K124" i="1"/>
  <c r="I124" i="1"/>
  <c r="H124" i="1"/>
  <c r="G124" i="1"/>
  <c r="L124" i="1"/>
  <c r="W124" i="1" s="1"/>
  <c r="K144" i="1"/>
  <c r="J144" i="1"/>
  <c r="I144" i="1"/>
  <c r="H144" i="1"/>
  <c r="G144" i="1"/>
  <c r="L144" i="1"/>
  <c r="W144" i="1" s="1"/>
  <c r="K160" i="1"/>
  <c r="J160" i="1"/>
  <c r="I160" i="1"/>
  <c r="H160" i="1"/>
  <c r="G160" i="1"/>
  <c r="L160" i="1"/>
  <c r="W160" i="1" s="1"/>
  <c r="K30" i="1"/>
  <c r="J30" i="1"/>
  <c r="I30" i="1"/>
  <c r="H30" i="1"/>
  <c r="G30" i="1"/>
  <c r="L30" i="1"/>
  <c r="W30" i="1" s="1"/>
  <c r="K80" i="1"/>
  <c r="J80" i="1"/>
  <c r="I80" i="1"/>
  <c r="H80" i="1"/>
  <c r="G80" i="1"/>
  <c r="L80" i="1"/>
  <c r="W80" i="1" s="1"/>
  <c r="K40" i="1"/>
  <c r="J40" i="1"/>
  <c r="I40" i="1"/>
  <c r="H40" i="1"/>
  <c r="G40" i="1"/>
  <c r="L40" i="1"/>
  <c r="W40" i="1" s="1"/>
  <c r="K138" i="1"/>
  <c r="J138" i="1"/>
  <c r="I138" i="1"/>
  <c r="H138" i="1"/>
  <c r="G138" i="1"/>
  <c r="L138" i="1"/>
  <c r="W138" i="1" s="1"/>
  <c r="K2020" i="1"/>
  <c r="J2020" i="1"/>
  <c r="I2020" i="1"/>
  <c r="H2020" i="1"/>
  <c r="G2020" i="1"/>
  <c r="L2020" i="1"/>
  <c r="W2020" i="1" s="1"/>
  <c r="K1981" i="1"/>
  <c r="J1981" i="1"/>
  <c r="I1981" i="1"/>
  <c r="H1981" i="1"/>
  <c r="G1981" i="1"/>
  <c r="L1981" i="1"/>
  <c r="W1981" i="1" s="1"/>
  <c r="K2008" i="1"/>
  <c r="J2008" i="1"/>
  <c r="I2008" i="1"/>
  <c r="H2008" i="1"/>
  <c r="G2008" i="1"/>
  <c r="L2008" i="1"/>
  <c r="W2008" i="1" s="1"/>
  <c r="K1442" i="1"/>
  <c r="J1442" i="1"/>
  <c r="H1442" i="1"/>
  <c r="I1442" i="1"/>
  <c r="G1442" i="1"/>
  <c r="L1442" i="1"/>
  <c r="W1442" i="1" s="1"/>
  <c r="K25" i="1"/>
  <c r="J25" i="1"/>
  <c r="I25" i="1"/>
  <c r="H25" i="1"/>
  <c r="G25" i="1"/>
  <c r="K1965" i="1"/>
  <c r="J1965" i="1"/>
  <c r="I1965" i="1"/>
  <c r="H1965" i="1"/>
  <c r="G1965" i="1"/>
  <c r="L1965" i="1"/>
  <c r="W1965" i="1" s="1"/>
  <c r="K1944" i="1"/>
  <c r="J1944" i="1"/>
  <c r="I1944" i="1"/>
  <c r="H1944" i="1"/>
  <c r="G1944" i="1"/>
  <c r="L1944" i="1"/>
  <c r="W1944" i="1" s="1"/>
  <c r="K1854" i="1"/>
  <c r="J1854" i="1"/>
  <c r="I1854" i="1"/>
  <c r="G1854" i="1"/>
  <c r="H1854" i="1"/>
  <c r="L1854" i="1"/>
  <c r="W1854" i="1" s="1"/>
  <c r="K1287" i="1"/>
  <c r="J1287" i="1"/>
  <c r="H1287" i="1"/>
  <c r="I1287" i="1"/>
  <c r="G1287" i="1"/>
  <c r="L1287" i="1"/>
  <c r="W1287" i="1" s="1"/>
  <c r="K1235" i="1"/>
  <c r="J1235" i="1"/>
  <c r="H1235" i="1"/>
  <c r="I1235" i="1"/>
  <c r="G1235" i="1"/>
  <c r="L1235" i="1"/>
  <c r="W1235" i="1" s="1"/>
  <c r="K1321" i="1"/>
  <c r="J1321" i="1"/>
  <c r="H1321" i="1"/>
  <c r="I1321" i="1"/>
  <c r="G1321" i="1"/>
  <c r="L1321" i="1"/>
  <c r="W1321" i="1" s="1"/>
  <c r="K1833" i="1"/>
  <c r="J1833" i="1"/>
  <c r="I1833" i="1"/>
  <c r="H1833" i="1"/>
  <c r="G1833" i="1"/>
  <c r="L1833" i="1"/>
  <c r="W1833" i="1" s="1"/>
  <c r="K1587" i="1"/>
  <c r="J1587" i="1"/>
  <c r="H1587" i="1"/>
  <c r="I1587" i="1"/>
  <c r="G1587" i="1"/>
  <c r="L1587" i="1"/>
  <c r="W1587" i="1" s="1"/>
  <c r="K1721" i="1"/>
  <c r="J1721" i="1"/>
  <c r="I1721" i="1"/>
  <c r="H1721" i="1"/>
  <c r="G1721" i="1"/>
  <c r="L1721" i="1"/>
  <c r="W1721" i="1" s="1"/>
  <c r="K1464" i="1"/>
  <c r="J1464" i="1"/>
  <c r="H1464" i="1"/>
  <c r="I1464" i="1"/>
  <c r="G1464" i="1"/>
  <c r="L1464" i="1"/>
  <c r="W1464" i="1" s="1"/>
  <c r="K1249" i="1"/>
  <c r="J1249" i="1"/>
  <c r="H1249" i="1"/>
  <c r="I1249" i="1"/>
  <c r="G1249" i="1"/>
  <c r="L1249" i="1"/>
  <c r="W1249" i="1" s="1"/>
  <c r="K894" i="1"/>
  <c r="J894" i="1"/>
  <c r="H894" i="1"/>
  <c r="I894" i="1"/>
  <c r="G894" i="1"/>
  <c r="L894" i="1"/>
  <c r="W894" i="1" s="1"/>
  <c r="K1943" i="1"/>
  <c r="J1943" i="1"/>
  <c r="I1943" i="1"/>
  <c r="G1943" i="1"/>
  <c r="H1943" i="1"/>
  <c r="L1943" i="1"/>
  <c r="W1943" i="1" s="1"/>
  <c r="K1947" i="1"/>
  <c r="J1947" i="1"/>
  <c r="I1947" i="1"/>
  <c r="H1947" i="1"/>
  <c r="G1947" i="1"/>
  <c r="L1947" i="1"/>
  <c r="W1947" i="1" s="1"/>
  <c r="K1743" i="1"/>
  <c r="J1743" i="1"/>
  <c r="I1743" i="1"/>
  <c r="G1743" i="1"/>
  <c r="H1743" i="1"/>
  <c r="L1743" i="1"/>
  <c r="W1743" i="1" s="1"/>
  <c r="K1826" i="1"/>
  <c r="J1826" i="1"/>
  <c r="I1826" i="1"/>
  <c r="G1826" i="1"/>
  <c r="H1826" i="1"/>
  <c r="L1826" i="1"/>
  <c r="W1826" i="1" s="1"/>
  <c r="K1611" i="1"/>
  <c r="J1611" i="1"/>
  <c r="I1611" i="1"/>
  <c r="H1611" i="1"/>
  <c r="G1611" i="1"/>
  <c r="L1611" i="1"/>
  <c r="W1611" i="1" s="1"/>
  <c r="K1617" i="1"/>
  <c r="J1617" i="1"/>
  <c r="I1617" i="1"/>
  <c r="H1617" i="1"/>
  <c r="G1617" i="1"/>
  <c r="L1617" i="1"/>
  <c r="W1617" i="1" s="1"/>
  <c r="K1247" i="1"/>
  <c r="J1247" i="1"/>
  <c r="H1247" i="1"/>
  <c r="I1247" i="1"/>
  <c r="G1247" i="1"/>
  <c r="L1247" i="1"/>
  <c r="W1247" i="1" s="1"/>
  <c r="K1301" i="1"/>
  <c r="J1301" i="1"/>
  <c r="H1301" i="1"/>
  <c r="I1301" i="1"/>
  <c r="G1301" i="1"/>
  <c r="L1301" i="1"/>
  <c r="W1301" i="1" s="1"/>
  <c r="K1289" i="1"/>
  <c r="J1289" i="1"/>
  <c r="H1289" i="1"/>
  <c r="I1289" i="1"/>
  <c r="G1289" i="1"/>
  <c r="L1289" i="1"/>
  <c r="W1289" i="1" s="1"/>
  <c r="K794" i="1"/>
  <c r="I794" i="1"/>
  <c r="J794" i="1"/>
  <c r="H794" i="1"/>
  <c r="G794" i="1"/>
  <c r="L794" i="1"/>
  <c r="W794" i="1" s="1"/>
  <c r="K815" i="1"/>
  <c r="I815" i="1"/>
  <c r="J815" i="1"/>
  <c r="H815" i="1"/>
  <c r="G815" i="1"/>
  <c r="L815" i="1"/>
  <c r="W815" i="1" s="1"/>
  <c r="K2017" i="1"/>
  <c r="J2017" i="1"/>
  <c r="I2017" i="1"/>
  <c r="H2017" i="1"/>
  <c r="G2017" i="1"/>
  <c r="L2017" i="1"/>
  <c r="W2017" i="1" s="1"/>
  <c r="K1783" i="1"/>
  <c r="J1783" i="1"/>
  <c r="I1783" i="1"/>
  <c r="G1783" i="1"/>
  <c r="H1783" i="1"/>
  <c r="L1783" i="1"/>
  <c r="W1783" i="1" s="1"/>
  <c r="K1683" i="1"/>
  <c r="J1683" i="1"/>
  <c r="I1683" i="1"/>
  <c r="H1683" i="1"/>
  <c r="G1683" i="1"/>
  <c r="L1683" i="1"/>
  <c r="W1683" i="1" s="1"/>
  <c r="K1463" i="1"/>
  <c r="J1463" i="1"/>
  <c r="H1463" i="1"/>
  <c r="I1463" i="1"/>
  <c r="G1463" i="1"/>
  <c r="L1463" i="1"/>
  <c r="W1463" i="1" s="1"/>
  <c r="K1501" i="1"/>
  <c r="J1501" i="1"/>
  <c r="H1501" i="1"/>
  <c r="I1501" i="1"/>
  <c r="G1501" i="1"/>
  <c r="L1501" i="1"/>
  <c r="W1501" i="1" s="1"/>
  <c r="K1544" i="1"/>
  <c r="J1544" i="1"/>
  <c r="H1544" i="1"/>
  <c r="I1544" i="1"/>
  <c r="G1544" i="1"/>
  <c r="L1544" i="1"/>
  <c r="W1544" i="1" s="1"/>
  <c r="K1345" i="1"/>
  <c r="J1345" i="1"/>
  <c r="H1345" i="1"/>
  <c r="I1345" i="1"/>
  <c r="G1345" i="1"/>
  <c r="L1345" i="1"/>
  <c r="W1345" i="1" s="1"/>
  <c r="K1207" i="1"/>
  <c r="J1207" i="1"/>
  <c r="H1207" i="1"/>
  <c r="I1207" i="1"/>
  <c r="G1207" i="1"/>
  <c r="L1207" i="1"/>
  <c r="W1207" i="1" s="1"/>
  <c r="K1312" i="1"/>
  <c r="J1312" i="1"/>
  <c r="H1312" i="1"/>
  <c r="I1312" i="1"/>
  <c r="G1312" i="1"/>
  <c r="L1312" i="1"/>
  <c r="W1312" i="1" s="1"/>
  <c r="K668" i="1"/>
  <c r="I668" i="1"/>
  <c r="J668" i="1"/>
  <c r="H668" i="1"/>
  <c r="G668" i="1"/>
  <c r="L668" i="1"/>
  <c r="W668" i="1" s="1"/>
  <c r="K1927" i="1"/>
  <c r="J1927" i="1"/>
  <c r="I1927" i="1"/>
  <c r="G1927" i="1"/>
  <c r="H1927" i="1"/>
  <c r="L1927" i="1"/>
  <c r="W1927" i="1" s="1"/>
  <c r="K1931" i="1"/>
  <c r="J1931" i="1"/>
  <c r="I1931" i="1"/>
  <c r="H1931" i="1"/>
  <c r="G1931" i="1"/>
  <c r="L1931" i="1"/>
  <c r="W1931" i="1" s="1"/>
  <c r="K1897" i="1"/>
  <c r="J1897" i="1"/>
  <c r="I1897" i="1"/>
  <c r="H1897" i="1"/>
  <c r="G1897" i="1"/>
  <c r="L1897" i="1"/>
  <c r="W1897" i="1" s="1"/>
  <c r="K1810" i="1"/>
  <c r="J1810" i="1"/>
  <c r="I1810" i="1"/>
  <c r="G1810" i="1"/>
  <c r="H1810" i="1"/>
  <c r="L1810" i="1"/>
  <c r="W1810" i="1" s="1"/>
  <c r="K1579" i="1"/>
  <c r="J1579" i="1"/>
  <c r="H1579" i="1"/>
  <c r="I1579" i="1"/>
  <c r="G1579" i="1"/>
  <c r="L1579" i="1"/>
  <c r="W1579" i="1" s="1"/>
  <c r="K1585" i="1"/>
  <c r="J1585" i="1"/>
  <c r="H1585" i="1"/>
  <c r="I1585" i="1"/>
  <c r="G1585" i="1"/>
  <c r="L1585" i="1"/>
  <c r="W1585" i="1" s="1"/>
  <c r="K1215" i="1"/>
  <c r="J1215" i="1"/>
  <c r="H1215" i="1"/>
  <c r="I1215" i="1"/>
  <c r="G1215" i="1"/>
  <c r="L1215" i="1"/>
  <c r="W1215" i="1" s="1"/>
  <c r="K1269" i="1"/>
  <c r="J1269" i="1"/>
  <c r="H1269" i="1"/>
  <c r="I1269" i="1"/>
  <c r="G1269" i="1"/>
  <c r="L1269" i="1"/>
  <c r="W1269" i="1" s="1"/>
  <c r="K1257" i="1"/>
  <c r="J1257" i="1"/>
  <c r="H1257" i="1"/>
  <c r="I1257" i="1"/>
  <c r="G1257" i="1"/>
  <c r="L1257" i="1"/>
  <c r="W1257" i="1" s="1"/>
  <c r="K730" i="1"/>
  <c r="I730" i="1"/>
  <c r="J730" i="1"/>
  <c r="H730" i="1"/>
  <c r="G730" i="1"/>
  <c r="L730" i="1"/>
  <c r="W730" i="1" s="1"/>
  <c r="K525" i="1"/>
  <c r="J525" i="1"/>
  <c r="H525" i="1"/>
  <c r="I525" i="1"/>
  <c r="G525" i="1"/>
  <c r="L525" i="1"/>
  <c r="W525" i="1" s="1"/>
  <c r="K1983" i="1"/>
  <c r="J1983" i="1"/>
  <c r="I1983" i="1"/>
  <c r="G1983" i="1"/>
  <c r="H1983" i="1"/>
  <c r="L1983" i="1"/>
  <c r="W1983" i="1" s="1"/>
  <c r="K1987" i="1"/>
  <c r="J1987" i="1"/>
  <c r="I1987" i="1"/>
  <c r="H1987" i="1"/>
  <c r="G1987" i="1"/>
  <c r="L1987" i="1"/>
  <c r="W1987" i="1" s="1"/>
  <c r="K1823" i="1"/>
  <c r="J1823" i="1"/>
  <c r="I1823" i="1"/>
  <c r="G1823" i="1"/>
  <c r="H1823" i="1"/>
  <c r="L1823" i="1"/>
  <c r="W1823" i="1" s="1"/>
  <c r="K1477" i="1"/>
  <c r="J1477" i="1"/>
  <c r="H1477" i="1"/>
  <c r="I1477" i="1"/>
  <c r="G1477" i="1"/>
  <c r="L1477" i="1"/>
  <c r="W1477" i="1" s="1"/>
  <c r="K1691" i="1"/>
  <c r="J1691" i="1"/>
  <c r="I1691" i="1"/>
  <c r="H1691" i="1"/>
  <c r="G1691" i="1"/>
  <c r="L1691" i="1"/>
  <c r="W1691" i="1" s="1"/>
  <c r="K1697" i="1"/>
  <c r="J1697" i="1"/>
  <c r="I1697" i="1"/>
  <c r="H1697" i="1"/>
  <c r="G1697" i="1"/>
  <c r="L1697" i="1"/>
  <c r="W1697" i="1" s="1"/>
  <c r="K1327" i="1"/>
  <c r="J1327" i="1"/>
  <c r="H1327" i="1"/>
  <c r="I1327" i="1"/>
  <c r="G1327" i="1"/>
  <c r="L1327" i="1"/>
  <c r="W1327" i="1" s="1"/>
  <c r="K1724" i="1"/>
  <c r="J1724" i="1"/>
  <c r="I1724" i="1"/>
  <c r="H1724" i="1"/>
  <c r="G1724" i="1"/>
  <c r="L1724" i="1"/>
  <c r="W1724" i="1" s="1"/>
  <c r="K1470" i="1"/>
  <c r="J1470" i="1"/>
  <c r="I1470" i="1"/>
  <c r="G1470" i="1"/>
  <c r="H1470" i="1"/>
  <c r="L1470" i="1"/>
  <c r="W1470" i="1" s="1"/>
  <c r="K986" i="1"/>
  <c r="I986" i="1"/>
  <c r="J986" i="1"/>
  <c r="H986" i="1"/>
  <c r="G986" i="1"/>
  <c r="L986" i="1"/>
  <c r="W986" i="1" s="1"/>
  <c r="K489" i="1"/>
  <c r="I489" i="1"/>
  <c r="J489" i="1"/>
  <c r="H489" i="1"/>
  <c r="G489" i="1"/>
  <c r="L489" i="1"/>
  <c r="W489" i="1" s="1"/>
  <c r="K864" i="1"/>
  <c r="I864" i="1"/>
  <c r="J864" i="1"/>
  <c r="H864" i="1"/>
  <c r="G864" i="1"/>
  <c r="L864" i="1"/>
  <c r="W864" i="1" s="1"/>
  <c r="K1100" i="1"/>
  <c r="J1100" i="1"/>
  <c r="I1100" i="1"/>
  <c r="G1100" i="1"/>
  <c r="H1100" i="1"/>
  <c r="L1100" i="1"/>
  <c r="W1100" i="1" s="1"/>
  <c r="K567" i="1"/>
  <c r="I567" i="1"/>
  <c r="J567" i="1"/>
  <c r="H567" i="1"/>
  <c r="G567" i="1"/>
  <c r="L567" i="1"/>
  <c r="W567" i="1" s="1"/>
  <c r="K395" i="1"/>
  <c r="I395" i="1"/>
  <c r="J395" i="1"/>
  <c r="H395" i="1"/>
  <c r="G395" i="1"/>
  <c r="L395" i="1"/>
  <c r="W395" i="1" s="1"/>
  <c r="K628" i="1"/>
  <c r="I628" i="1"/>
  <c r="J628" i="1"/>
  <c r="H628" i="1"/>
  <c r="G628" i="1"/>
  <c r="L628" i="1"/>
  <c r="W628" i="1" s="1"/>
  <c r="K723" i="1"/>
  <c r="I723" i="1"/>
  <c r="J723" i="1"/>
  <c r="H723" i="1"/>
  <c r="G723" i="1"/>
  <c r="L723" i="1"/>
  <c r="W723" i="1" s="1"/>
  <c r="K442" i="1"/>
  <c r="I442" i="1"/>
  <c r="J442" i="1"/>
  <c r="H442" i="1"/>
  <c r="G442" i="1"/>
  <c r="L442" i="1"/>
  <c r="W442" i="1" s="1"/>
  <c r="K714" i="1"/>
  <c r="I714" i="1"/>
  <c r="J714" i="1"/>
  <c r="H714" i="1"/>
  <c r="G714" i="1"/>
  <c r="L714" i="1"/>
  <c r="W714" i="1" s="1"/>
  <c r="K620" i="1"/>
  <c r="I620" i="1"/>
  <c r="J620" i="1"/>
  <c r="H620" i="1"/>
  <c r="G620" i="1"/>
  <c r="L620" i="1"/>
  <c r="W620" i="1" s="1"/>
  <c r="K848" i="1"/>
  <c r="I848" i="1"/>
  <c r="J848" i="1"/>
  <c r="H848" i="1"/>
  <c r="G848" i="1"/>
  <c r="L848" i="1"/>
  <c r="W848" i="1" s="1"/>
  <c r="K1092" i="1"/>
  <c r="J1092" i="1"/>
  <c r="I1092" i="1"/>
  <c r="G1092" i="1"/>
  <c r="H1092" i="1"/>
  <c r="L1092" i="1"/>
  <c r="W1092" i="1" s="1"/>
  <c r="K551" i="1"/>
  <c r="I551" i="1"/>
  <c r="J551" i="1"/>
  <c r="H551" i="1"/>
  <c r="G551" i="1"/>
  <c r="L551" i="1"/>
  <c r="W551" i="1" s="1"/>
  <c r="K379" i="1"/>
  <c r="I379" i="1"/>
  <c r="J379" i="1"/>
  <c r="H379" i="1"/>
  <c r="G379" i="1"/>
  <c r="L379" i="1"/>
  <c r="W379" i="1" s="1"/>
  <c r="K577" i="1"/>
  <c r="I577" i="1"/>
  <c r="J577" i="1"/>
  <c r="H577" i="1"/>
  <c r="G577" i="1"/>
  <c r="L577" i="1"/>
  <c r="W577" i="1" s="1"/>
  <c r="K676" i="1"/>
  <c r="I676" i="1"/>
  <c r="J676" i="1"/>
  <c r="H676" i="1"/>
  <c r="G676" i="1"/>
  <c r="L676" i="1"/>
  <c r="W676" i="1" s="1"/>
  <c r="K434" i="1"/>
  <c r="I434" i="1"/>
  <c r="J434" i="1"/>
  <c r="H434" i="1"/>
  <c r="G434" i="1"/>
  <c r="L434" i="1"/>
  <c r="W434" i="1" s="1"/>
  <c r="K1158" i="1"/>
  <c r="J1158" i="1"/>
  <c r="H1158" i="1"/>
  <c r="I1158" i="1"/>
  <c r="G1158" i="1"/>
  <c r="L1158" i="1"/>
  <c r="W1158" i="1" s="1"/>
  <c r="K698" i="1"/>
  <c r="I698" i="1"/>
  <c r="J698" i="1"/>
  <c r="H698" i="1"/>
  <c r="G698" i="1"/>
  <c r="L698" i="1"/>
  <c r="W698" i="1" s="1"/>
  <c r="K1183" i="1"/>
  <c r="J1183" i="1"/>
  <c r="H1183" i="1"/>
  <c r="I1183" i="1"/>
  <c r="G1183" i="1"/>
  <c r="L1183" i="1"/>
  <c r="W1183" i="1" s="1"/>
  <c r="K832" i="1"/>
  <c r="I832" i="1"/>
  <c r="J832" i="1"/>
  <c r="H832" i="1"/>
  <c r="G832" i="1"/>
  <c r="L832" i="1"/>
  <c r="W832" i="1" s="1"/>
  <c r="K1084" i="1"/>
  <c r="J1084" i="1"/>
  <c r="I1084" i="1"/>
  <c r="G1084" i="1"/>
  <c r="H1084" i="1"/>
  <c r="L1084" i="1"/>
  <c r="W1084" i="1" s="1"/>
  <c r="K535" i="1"/>
  <c r="I535" i="1"/>
  <c r="J535" i="1"/>
  <c r="H535" i="1"/>
  <c r="G535" i="1"/>
  <c r="L535" i="1"/>
  <c r="W535" i="1" s="1"/>
  <c r="K983" i="1"/>
  <c r="I983" i="1"/>
  <c r="J983" i="1"/>
  <c r="H983" i="1"/>
  <c r="G983" i="1"/>
  <c r="L983" i="1"/>
  <c r="W983" i="1" s="1"/>
  <c r="K561" i="1"/>
  <c r="I561" i="1"/>
  <c r="J561" i="1"/>
  <c r="H561" i="1"/>
  <c r="G561" i="1"/>
  <c r="L561" i="1"/>
  <c r="W561" i="1" s="1"/>
  <c r="K635" i="1"/>
  <c r="I635" i="1"/>
  <c r="J635" i="1"/>
  <c r="H635" i="1"/>
  <c r="G635" i="1"/>
  <c r="L635" i="1"/>
  <c r="W635" i="1" s="1"/>
  <c r="K418" i="1"/>
  <c r="I418" i="1"/>
  <c r="J418" i="1"/>
  <c r="H418" i="1"/>
  <c r="G418" i="1"/>
  <c r="L418" i="1"/>
  <c r="W418" i="1" s="1"/>
  <c r="K810" i="1"/>
  <c r="I810" i="1"/>
  <c r="J810" i="1"/>
  <c r="H810" i="1"/>
  <c r="G810" i="1"/>
  <c r="L810" i="1"/>
  <c r="W810" i="1" s="1"/>
  <c r="K716" i="1"/>
  <c r="J716" i="1"/>
  <c r="I716" i="1"/>
  <c r="H716" i="1"/>
  <c r="G716" i="1"/>
  <c r="L716" i="1"/>
  <c r="W716" i="1" s="1"/>
  <c r="K944" i="1"/>
  <c r="I944" i="1"/>
  <c r="J944" i="1"/>
  <c r="H944" i="1"/>
  <c r="G944" i="1"/>
  <c r="L944" i="1"/>
  <c r="W944" i="1" s="1"/>
  <c r="K1140" i="1"/>
  <c r="J1140" i="1"/>
  <c r="I1140" i="1"/>
  <c r="H1140" i="1"/>
  <c r="G1140" i="1"/>
  <c r="L1140" i="1"/>
  <c r="W1140" i="1" s="1"/>
  <c r="K655" i="1"/>
  <c r="I655" i="1"/>
  <c r="J655" i="1"/>
  <c r="H655" i="1"/>
  <c r="G655" i="1"/>
  <c r="L655" i="1"/>
  <c r="W655" i="1" s="1"/>
  <c r="K475" i="1"/>
  <c r="I475" i="1"/>
  <c r="J475" i="1"/>
  <c r="H475" i="1"/>
  <c r="G475" i="1"/>
  <c r="L475" i="1"/>
  <c r="W475" i="1" s="1"/>
  <c r="K383" i="1"/>
  <c r="I383" i="1"/>
  <c r="J383" i="1"/>
  <c r="H383" i="1"/>
  <c r="G383" i="1"/>
  <c r="L383" i="1"/>
  <c r="W383" i="1" s="1"/>
  <c r="K763" i="1"/>
  <c r="I763" i="1"/>
  <c r="J763" i="1"/>
  <c r="H763" i="1"/>
  <c r="G763" i="1"/>
  <c r="L763" i="1"/>
  <c r="W763" i="1" s="1"/>
  <c r="K498" i="1"/>
  <c r="I498" i="1"/>
  <c r="J498" i="1"/>
  <c r="H498" i="1"/>
  <c r="G498" i="1"/>
  <c r="L498" i="1"/>
  <c r="W498" i="1" s="1"/>
  <c r="K798" i="1"/>
  <c r="J798" i="1"/>
  <c r="I798" i="1"/>
  <c r="H798" i="1"/>
  <c r="G798" i="1"/>
  <c r="L798" i="1"/>
  <c r="W798" i="1" s="1"/>
  <c r="K1010" i="1"/>
  <c r="I1010" i="1"/>
  <c r="J1010" i="1"/>
  <c r="H1010" i="1"/>
  <c r="G1010" i="1"/>
  <c r="L1010" i="1"/>
  <c r="W1010" i="1" s="1"/>
  <c r="K820" i="1"/>
  <c r="J820" i="1"/>
  <c r="I820" i="1"/>
  <c r="H820" i="1"/>
  <c r="G820" i="1"/>
  <c r="L820" i="1"/>
  <c r="W820" i="1" s="1"/>
  <c r="K805" i="1"/>
  <c r="J805" i="1"/>
  <c r="H805" i="1"/>
  <c r="I805" i="1"/>
  <c r="G805" i="1"/>
  <c r="L805" i="1"/>
  <c r="W805" i="1" s="1"/>
  <c r="K719" i="1"/>
  <c r="I719" i="1"/>
  <c r="J719" i="1"/>
  <c r="H719" i="1"/>
  <c r="G719" i="1"/>
  <c r="L719" i="1"/>
  <c r="W719" i="1" s="1"/>
  <c r="K563" i="1"/>
  <c r="I563" i="1"/>
  <c r="J563" i="1"/>
  <c r="H563" i="1"/>
  <c r="G563" i="1"/>
  <c r="L563" i="1"/>
  <c r="W563" i="1" s="1"/>
  <c r="K366" i="1"/>
  <c r="J366" i="1"/>
  <c r="I366" i="1"/>
  <c r="H366" i="1"/>
  <c r="G366" i="1"/>
  <c r="L366" i="1"/>
  <c r="W366" i="1" s="1"/>
  <c r="K177" i="1"/>
  <c r="J177" i="1"/>
  <c r="I177" i="1"/>
  <c r="H177" i="1"/>
  <c r="G177" i="1"/>
  <c r="L177" i="1"/>
  <c r="W177" i="1" s="1"/>
  <c r="K952" i="1"/>
  <c r="I952" i="1"/>
  <c r="J952" i="1"/>
  <c r="H952" i="1"/>
  <c r="G952" i="1"/>
  <c r="L952" i="1"/>
  <c r="W952" i="1" s="1"/>
  <c r="K1194" i="1"/>
  <c r="J1194" i="1"/>
  <c r="H1194" i="1"/>
  <c r="I1194" i="1"/>
  <c r="G1194" i="1"/>
  <c r="L1194" i="1"/>
  <c r="W1194" i="1" s="1"/>
  <c r="K782" i="1"/>
  <c r="J782" i="1"/>
  <c r="I782" i="1"/>
  <c r="H782" i="1"/>
  <c r="G782" i="1"/>
  <c r="L782" i="1"/>
  <c r="W782" i="1" s="1"/>
  <c r="K994" i="1"/>
  <c r="I994" i="1"/>
  <c r="J994" i="1"/>
  <c r="H994" i="1"/>
  <c r="G994" i="1"/>
  <c r="L994" i="1"/>
  <c r="W994" i="1" s="1"/>
  <c r="K804" i="1"/>
  <c r="J804" i="1"/>
  <c r="I804" i="1"/>
  <c r="H804" i="1"/>
  <c r="G804" i="1"/>
  <c r="L804" i="1"/>
  <c r="W804" i="1" s="1"/>
  <c r="K789" i="1"/>
  <c r="J789" i="1"/>
  <c r="H789" i="1"/>
  <c r="I789" i="1"/>
  <c r="G789" i="1"/>
  <c r="L789" i="1"/>
  <c r="W789" i="1" s="1"/>
  <c r="K693" i="1"/>
  <c r="J693" i="1"/>
  <c r="H693" i="1"/>
  <c r="I693" i="1"/>
  <c r="G693" i="1"/>
  <c r="L693" i="1"/>
  <c r="W693" i="1" s="1"/>
  <c r="K547" i="1"/>
  <c r="I547" i="1"/>
  <c r="J547" i="1"/>
  <c r="H547" i="1"/>
  <c r="G547" i="1"/>
  <c r="L547" i="1"/>
  <c r="W547" i="1" s="1"/>
  <c r="K350" i="1"/>
  <c r="J350" i="1"/>
  <c r="I350" i="1"/>
  <c r="H350" i="1"/>
  <c r="G350" i="1"/>
  <c r="L350" i="1"/>
  <c r="W350" i="1" s="1"/>
  <c r="K185" i="1"/>
  <c r="J185" i="1"/>
  <c r="I185" i="1"/>
  <c r="H185" i="1"/>
  <c r="G185" i="1"/>
  <c r="L185" i="1"/>
  <c r="W185" i="1" s="1"/>
  <c r="K581" i="1"/>
  <c r="J581" i="1"/>
  <c r="H581" i="1"/>
  <c r="I581" i="1"/>
  <c r="G581" i="1"/>
  <c r="L581" i="1"/>
  <c r="W581" i="1" s="1"/>
  <c r="K338" i="1"/>
  <c r="J338" i="1"/>
  <c r="I338" i="1"/>
  <c r="H338" i="1"/>
  <c r="G338" i="1"/>
  <c r="L338" i="1"/>
  <c r="W338" i="1" s="1"/>
  <c r="K1241" i="1"/>
  <c r="J1241" i="1"/>
  <c r="H1241" i="1"/>
  <c r="I1241" i="1"/>
  <c r="G1241" i="1"/>
  <c r="L1241" i="1"/>
  <c r="W1241" i="1" s="1"/>
  <c r="K792" i="1"/>
  <c r="I792" i="1"/>
  <c r="J792" i="1"/>
  <c r="H792" i="1"/>
  <c r="G792" i="1"/>
  <c r="L792" i="1"/>
  <c r="W792" i="1" s="1"/>
  <c r="K1112" i="1"/>
  <c r="J1112" i="1"/>
  <c r="H1112" i="1"/>
  <c r="I1112" i="1"/>
  <c r="G1112" i="1"/>
  <c r="L1112" i="1"/>
  <c r="W1112" i="1" s="1"/>
  <c r="K1276" i="1"/>
  <c r="J1276" i="1"/>
  <c r="I1276" i="1"/>
  <c r="G1276" i="1"/>
  <c r="H1276" i="1"/>
  <c r="L1276" i="1"/>
  <c r="W1276" i="1" s="1"/>
  <c r="K834" i="1"/>
  <c r="I834" i="1"/>
  <c r="J834" i="1"/>
  <c r="H834" i="1"/>
  <c r="G834" i="1"/>
  <c r="L834" i="1"/>
  <c r="W834" i="1" s="1"/>
  <c r="K998" i="1"/>
  <c r="J998" i="1"/>
  <c r="H998" i="1"/>
  <c r="I998" i="1"/>
  <c r="G998" i="1"/>
  <c r="L998" i="1"/>
  <c r="W998" i="1" s="1"/>
  <c r="K592" i="1"/>
  <c r="I592" i="1"/>
  <c r="J592" i="1"/>
  <c r="H592" i="1"/>
  <c r="G592" i="1"/>
  <c r="L592" i="1"/>
  <c r="W592" i="1" s="1"/>
  <c r="K509" i="1"/>
  <c r="J509" i="1"/>
  <c r="H509" i="1"/>
  <c r="I509" i="1"/>
  <c r="G509" i="1"/>
  <c r="L509" i="1"/>
  <c r="W509" i="1" s="1"/>
  <c r="K387" i="1"/>
  <c r="I387" i="1"/>
  <c r="J387" i="1"/>
  <c r="H387" i="1"/>
  <c r="G387" i="1"/>
  <c r="L387" i="1"/>
  <c r="W387" i="1" s="1"/>
  <c r="K190" i="1"/>
  <c r="J190" i="1"/>
  <c r="I190" i="1"/>
  <c r="H190" i="1"/>
  <c r="G190" i="1"/>
  <c r="L190" i="1"/>
  <c r="W190" i="1" s="1"/>
  <c r="J285" i="1"/>
  <c r="K285" i="1"/>
  <c r="I285" i="1"/>
  <c r="H285" i="1"/>
  <c r="G285" i="1"/>
  <c r="L285" i="1"/>
  <c r="W285" i="1" s="1"/>
  <c r="K512" i="1"/>
  <c r="I512" i="1"/>
  <c r="J512" i="1"/>
  <c r="H512" i="1"/>
  <c r="G512" i="1"/>
  <c r="L512" i="1"/>
  <c r="W512" i="1" s="1"/>
  <c r="K1017" i="1"/>
  <c r="J1017" i="1"/>
  <c r="I1017" i="1"/>
  <c r="H1017" i="1"/>
  <c r="G1017" i="1"/>
  <c r="L1017" i="1"/>
  <c r="W1017" i="1" s="1"/>
  <c r="K1025" i="1"/>
  <c r="J1025" i="1"/>
  <c r="I1025" i="1"/>
  <c r="H1025" i="1"/>
  <c r="G1025" i="1"/>
  <c r="L1025" i="1"/>
  <c r="W1025" i="1" s="1"/>
  <c r="K1300" i="1"/>
  <c r="J1300" i="1"/>
  <c r="I1300" i="1"/>
  <c r="G1300" i="1"/>
  <c r="H1300" i="1"/>
  <c r="L1300" i="1"/>
  <c r="W1300" i="1" s="1"/>
  <c r="K1396" i="1"/>
  <c r="J1396" i="1"/>
  <c r="I1396" i="1"/>
  <c r="H1396" i="1"/>
  <c r="G1396" i="1"/>
  <c r="L1396" i="1"/>
  <c r="W1396" i="1" s="1"/>
  <c r="K1472" i="1"/>
  <c r="J1472" i="1"/>
  <c r="H1472" i="1"/>
  <c r="I1472" i="1"/>
  <c r="G1472" i="1"/>
  <c r="L1472" i="1"/>
  <c r="W1472" i="1" s="1"/>
  <c r="K1838" i="1"/>
  <c r="J1838" i="1"/>
  <c r="I1838" i="1"/>
  <c r="G1838" i="1"/>
  <c r="H1838" i="1"/>
  <c r="L1838" i="1"/>
  <c r="W1838" i="1" s="1"/>
  <c r="K218" i="1"/>
  <c r="J218" i="1"/>
  <c r="I218" i="1"/>
  <c r="H218" i="1"/>
  <c r="G218" i="1"/>
  <c r="L218" i="1"/>
  <c r="W218" i="1" s="1"/>
  <c r="J205" i="1"/>
  <c r="K205" i="1"/>
  <c r="I205" i="1"/>
  <c r="H205" i="1"/>
  <c r="G205" i="1"/>
  <c r="L205" i="1"/>
  <c r="W205" i="1" s="1"/>
  <c r="K452" i="1"/>
  <c r="I452" i="1"/>
  <c r="J452" i="1"/>
  <c r="H452" i="1"/>
  <c r="G452" i="1"/>
  <c r="L452" i="1"/>
  <c r="W452" i="1" s="1"/>
  <c r="K649" i="1"/>
  <c r="I649" i="1"/>
  <c r="J649" i="1"/>
  <c r="H649" i="1"/>
  <c r="G649" i="1"/>
  <c r="L649" i="1"/>
  <c r="W649" i="1" s="1"/>
  <c r="K657" i="1"/>
  <c r="I657" i="1"/>
  <c r="J657" i="1"/>
  <c r="H657" i="1"/>
  <c r="G657" i="1"/>
  <c r="L657" i="1"/>
  <c r="W657" i="1" s="1"/>
  <c r="K1135" i="1"/>
  <c r="I1135" i="1"/>
  <c r="J1135" i="1"/>
  <c r="H1135" i="1"/>
  <c r="G1135" i="1"/>
  <c r="L1135" i="1"/>
  <c r="W1135" i="1" s="1"/>
  <c r="K1288" i="1"/>
  <c r="J1288" i="1"/>
  <c r="H1288" i="1"/>
  <c r="I1288" i="1"/>
  <c r="G1288" i="1"/>
  <c r="L1288" i="1"/>
  <c r="W1288" i="1" s="1"/>
  <c r="K1476" i="1"/>
  <c r="J1476" i="1"/>
  <c r="I1476" i="1"/>
  <c r="G1476" i="1"/>
  <c r="H1476" i="1"/>
  <c r="L1476" i="1"/>
  <c r="W1476" i="1" s="1"/>
  <c r="K1846" i="1"/>
  <c r="J1846" i="1"/>
  <c r="I1846" i="1"/>
  <c r="G1846" i="1"/>
  <c r="H1846" i="1"/>
  <c r="L1846" i="1"/>
  <c r="W1846" i="1" s="1"/>
  <c r="K478" i="1"/>
  <c r="J478" i="1"/>
  <c r="I478" i="1"/>
  <c r="H478" i="1"/>
  <c r="G478" i="1"/>
  <c r="L478" i="1"/>
  <c r="W478" i="1" s="1"/>
  <c r="K526" i="1"/>
  <c r="J526" i="1"/>
  <c r="I526" i="1"/>
  <c r="H526" i="1"/>
  <c r="G526" i="1"/>
  <c r="L526" i="1"/>
  <c r="W526" i="1" s="1"/>
  <c r="K476" i="1"/>
  <c r="I476" i="1"/>
  <c r="J476" i="1"/>
  <c r="H476" i="1"/>
  <c r="G476" i="1"/>
  <c r="L476" i="1"/>
  <c r="W476" i="1" s="1"/>
  <c r="K472" i="1"/>
  <c r="I472" i="1"/>
  <c r="J472" i="1"/>
  <c r="H472" i="1"/>
  <c r="G472" i="1"/>
  <c r="L472" i="1"/>
  <c r="W472" i="1" s="1"/>
  <c r="K941" i="1"/>
  <c r="J941" i="1"/>
  <c r="H941" i="1"/>
  <c r="I941" i="1"/>
  <c r="G941" i="1"/>
  <c r="L941" i="1"/>
  <c r="W941" i="1" s="1"/>
  <c r="K949" i="1"/>
  <c r="J949" i="1"/>
  <c r="H949" i="1"/>
  <c r="I949" i="1"/>
  <c r="G949" i="1"/>
  <c r="L949" i="1"/>
  <c r="W949" i="1" s="1"/>
  <c r="K1105" i="1"/>
  <c r="J1105" i="1"/>
  <c r="H1105" i="1"/>
  <c r="I1105" i="1"/>
  <c r="G1105" i="1"/>
  <c r="L1105" i="1"/>
  <c r="W1105" i="1" s="1"/>
  <c r="K1340" i="1"/>
  <c r="J1340" i="1"/>
  <c r="I1340" i="1"/>
  <c r="G1340" i="1"/>
  <c r="H1340" i="1"/>
  <c r="L1340" i="1"/>
  <c r="W1340" i="1" s="1"/>
  <c r="K1658" i="1"/>
  <c r="J1658" i="1"/>
  <c r="I1658" i="1"/>
  <c r="G1658" i="1"/>
  <c r="H1658" i="1"/>
  <c r="L1658" i="1"/>
  <c r="W1658" i="1" s="1"/>
  <c r="K1708" i="1"/>
  <c r="J1708" i="1"/>
  <c r="I1708" i="1"/>
  <c r="H1708" i="1"/>
  <c r="G1708" i="1"/>
  <c r="L1708" i="1"/>
  <c r="W1708" i="1" s="1"/>
  <c r="K248" i="1"/>
  <c r="J248" i="1"/>
  <c r="I248" i="1"/>
  <c r="H248" i="1"/>
  <c r="G248" i="1"/>
  <c r="L248" i="1"/>
  <c r="W248" i="1" s="1"/>
  <c r="K631" i="1"/>
  <c r="I631" i="1"/>
  <c r="J631" i="1"/>
  <c r="H631" i="1"/>
  <c r="G631" i="1"/>
  <c r="L631" i="1"/>
  <c r="W631" i="1" s="1"/>
  <c r="K1003" i="1"/>
  <c r="I1003" i="1"/>
  <c r="J1003" i="1"/>
  <c r="H1003" i="1"/>
  <c r="G1003" i="1"/>
  <c r="L1003" i="1"/>
  <c r="W1003" i="1" s="1"/>
  <c r="K1027" i="1"/>
  <c r="I1027" i="1"/>
  <c r="J1027" i="1"/>
  <c r="H1027" i="1"/>
  <c r="G1027" i="1"/>
  <c r="L1027" i="1"/>
  <c r="W1027" i="1" s="1"/>
  <c r="K1123" i="1"/>
  <c r="I1123" i="1"/>
  <c r="J1123" i="1"/>
  <c r="H1123" i="1"/>
  <c r="G1123" i="1"/>
  <c r="L1123" i="1"/>
  <c r="W1123" i="1" s="1"/>
  <c r="K1192" i="1"/>
  <c r="J1192" i="1"/>
  <c r="H1192" i="1"/>
  <c r="I1192" i="1"/>
  <c r="G1192" i="1"/>
  <c r="L1192" i="1"/>
  <c r="W1192" i="1" s="1"/>
  <c r="K1672" i="1"/>
  <c r="J1672" i="1"/>
  <c r="I1672" i="1"/>
  <c r="H1672" i="1"/>
  <c r="G1672" i="1"/>
  <c r="L1672" i="1"/>
  <c r="W1672" i="1" s="1"/>
  <c r="K1848" i="1"/>
  <c r="J1848" i="1"/>
  <c r="I1848" i="1"/>
  <c r="H1848" i="1"/>
  <c r="G1848" i="1"/>
  <c r="L1848" i="1"/>
  <c r="W1848" i="1" s="1"/>
  <c r="K534" i="1"/>
  <c r="J534" i="1"/>
  <c r="I534" i="1"/>
  <c r="H534" i="1"/>
  <c r="G534" i="1"/>
  <c r="L534" i="1"/>
  <c r="W534" i="1" s="1"/>
  <c r="K426" i="1"/>
  <c r="I426" i="1"/>
  <c r="J426" i="1"/>
  <c r="H426" i="1"/>
  <c r="G426" i="1"/>
  <c r="L426" i="1"/>
  <c r="W426" i="1" s="1"/>
  <c r="K303" i="1"/>
  <c r="J303" i="1"/>
  <c r="I303" i="1"/>
  <c r="H303" i="1"/>
  <c r="G303" i="1"/>
  <c r="L303" i="1"/>
  <c r="W303" i="1" s="1"/>
  <c r="J267" i="1"/>
  <c r="K267" i="1"/>
  <c r="I267" i="1"/>
  <c r="H267" i="1"/>
  <c r="G267" i="1"/>
  <c r="L267" i="1"/>
  <c r="W267" i="1" s="1"/>
  <c r="K448" i="1"/>
  <c r="I448" i="1"/>
  <c r="J448" i="1"/>
  <c r="H448" i="1"/>
  <c r="G448" i="1"/>
  <c r="L448" i="1"/>
  <c r="W448" i="1" s="1"/>
  <c r="K953" i="1"/>
  <c r="J953" i="1"/>
  <c r="I953" i="1"/>
  <c r="H953" i="1"/>
  <c r="G953" i="1"/>
  <c r="L953" i="1"/>
  <c r="W953" i="1" s="1"/>
  <c r="K961" i="1"/>
  <c r="J961" i="1"/>
  <c r="I961" i="1"/>
  <c r="H961" i="1"/>
  <c r="G961" i="1"/>
  <c r="L961" i="1"/>
  <c r="W961" i="1" s="1"/>
  <c r="K1236" i="1"/>
  <c r="J1236" i="1"/>
  <c r="I1236" i="1"/>
  <c r="G1236" i="1"/>
  <c r="H1236" i="1"/>
  <c r="L1236" i="1"/>
  <c r="W1236" i="1" s="1"/>
  <c r="K1388" i="1"/>
  <c r="J1388" i="1"/>
  <c r="I1388" i="1"/>
  <c r="H1388" i="1"/>
  <c r="G1388" i="1"/>
  <c r="L1388" i="1"/>
  <c r="W1388" i="1" s="1"/>
  <c r="K1742" i="1"/>
  <c r="J1742" i="1"/>
  <c r="I1742" i="1"/>
  <c r="G1742" i="1"/>
  <c r="H1742" i="1"/>
  <c r="L1742" i="1"/>
  <c r="W1742" i="1" s="1"/>
  <c r="K1774" i="1"/>
  <c r="J1774" i="1"/>
  <c r="I1774" i="1"/>
  <c r="G1774" i="1"/>
  <c r="H1774" i="1"/>
  <c r="L1774" i="1"/>
  <c r="W1774" i="1" s="1"/>
  <c r="K282" i="1"/>
  <c r="J282" i="1"/>
  <c r="I282" i="1"/>
  <c r="H282" i="1"/>
  <c r="G282" i="1"/>
  <c r="L282" i="1"/>
  <c r="W282" i="1" s="1"/>
  <c r="K191" i="1"/>
  <c r="J191" i="1"/>
  <c r="I191" i="1"/>
  <c r="H191" i="1"/>
  <c r="G191" i="1"/>
  <c r="L191" i="1"/>
  <c r="W191" i="1" s="1"/>
  <c r="K388" i="1"/>
  <c r="I388" i="1"/>
  <c r="J388" i="1"/>
  <c r="H388" i="1"/>
  <c r="G388" i="1"/>
  <c r="L388" i="1"/>
  <c r="W388" i="1" s="1"/>
  <c r="K1035" i="1"/>
  <c r="I1035" i="1"/>
  <c r="J1035" i="1"/>
  <c r="H1035" i="1"/>
  <c r="G1035" i="1"/>
  <c r="L1035" i="1"/>
  <c r="W1035" i="1" s="1"/>
  <c r="K1059" i="1"/>
  <c r="I1059" i="1"/>
  <c r="J1059" i="1"/>
  <c r="H1059" i="1"/>
  <c r="G1059" i="1"/>
  <c r="L1059" i="1"/>
  <c r="W1059" i="1" s="1"/>
  <c r="K1127" i="1"/>
  <c r="I1127" i="1"/>
  <c r="J1127" i="1"/>
  <c r="H1127" i="1"/>
  <c r="G1127" i="1"/>
  <c r="L1127" i="1"/>
  <c r="W1127" i="1" s="1"/>
  <c r="K1224" i="1"/>
  <c r="J1224" i="1"/>
  <c r="H1224" i="1"/>
  <c r="I1224" i="1"/>
  <c r="G1224" i="1"/>
  <c r="L1224" i="1"/>
  <c r="W1224" i="1" s="1"/>
  <c r="K1704" i="1"/>
  <c r="J1704" i="1"/>
  <c r="I1704" i="1"/>
  <c r="H1704" i="1"/>
  <c r="G1704" i="1"/>
  <c r="L1704" i="1"/>
  <c r="W1704" i="1" s="1"/>
  <c r="K1782" i="1"/>
  <c r="J1782" i="1"/>
  <c r="I1782" i="1"/>
  <c r="G1782" i="1"/>
  <c r="H1782" i="1"/>
  <c r="L1782" i="1"/>
  <c r="W1782" i="1" s="1"/>
  <c r="K510" i="1"/>
  <c r="J510" i="1"/>
  <c r="I510" i="1"/>
  <c r="H510" i="1"/>
  <c r="G510" i="1"/>
  <c r="L510" i="1"/>
  <c r="W510" i="1" s="1"/>
  <c r="K410" i="1"/>
  <c r="I410" i="1"/>
  <c r="J410" i="1"/>
  <c r="H410" i="1"/>
  <c r="G410" i="1"/>
  <c r="L410" i="1"/>
  <c r="W410" i="1" s="1"/>
  <c r="K311" i="1"/>
  <c r="J311" i="1"/>
  <c r="I311" i="1"/>
  <c r="H311" i="1"/>
  <c r="G311" i="1"/>
  <c r="L311" i="1"/>
  <c r="W311" i="1" s="1"/>
  <c r="J275" i="1"/>
  <c r="K275" i="1"/>
  <c r="I275" i="1"/>
  <c r="H275" i="1"/>
  <c r="G275" i="1"/>
  <c r="L275" i="1"/>
  <c r="W275" i="1" s="1"/>
  <c r="K480" i="1"/>
  <c r="I480" i="1"/>
  <c r="J480" i="1"/>
  <c r="H480" i="1"/>
  <c r="G480" i="1"/>
  <c r="L480" i="1"/>
  <c r="W480" i="1" s="1"/>
  <c r="K985" i="1"/>
  <c r="J985" i="1"/>
  <c r="I985" i="1"/>
  <c r="H985" i="1"/>
  <c r="G985" i="1"/>
  <c r="L985" i="1"/>
  <c r="W985" i="1" s="1"/>
  <c r="K993" i="1"/>
  <c r="J993" i="1"/>
  <c r="I993" i="1"/>
  <c r="H993" i="1"/>
  <c r="G993" i="1"/>
  <c r="L993" i="1"/>
  <c r="W993" i="1" s="1"/>
  <c r="K1268" i="1"/>
  <c r="J1268" i="1"/>
  <c r="I1268" i="1"/>
  <c r="H1268" i="1"/>
  <c r="G1268" i="1"/>
  <c r="L1268" i="1"/>
  <c r="W1268" i="1" s="1"/>
  <c r="K1392" i="1"/>
  <c r="J1392" i="1"/>
  <c r="H1392" i="1"/>
  <c r="I1392" i="1"/>
  <c r="G1392" i="1"/>
  <c r="L1392" i="1"/>
  <c r="W1392" i="1" s="1"/>
  <c r="K1440" i="1"/>
  <c r="J1440" i="1"/>
  <c r="H1440" i="1"/>
  <c r="I1440" i="1"/>
  <c r="G1440" i="1"/>
  <c r="L1440" i="1"/>
  <c r="W1440" i="1" s="1"/>
  <c r="K1806" i="1"/>
  <c r="J1806" i="1"/>
  <c r="I1806" i="1"/>
  <c r="G1806" i="1"/>
  <c r="H1806" i="1"/>
  <c r="L1806" i="1"/>
  <c r="W1806" i="1" s="1"/>
  <c r="K250" i="1"/>
  <c r="J250" i="1"/>
  <c r="I250" i="1"/>
  <c r="H250" i="1"/>
  <c r="G250" i="1"/>
  <c r="L250" i="1"/>
  <c r="W250" i="1" s="1"/>
  <c r="J203" i="1"/>
  <c r="K203" i="1"/>
  <c r="I203" i="1"/>
  <c r="H203" i="1"/>
  <c r="G203" i="1"/>
  <c r="L203" i="1"/>
  <c r="W203" i="1" s="1"/>
  <c r="J197" i="1"/>
  <c r="K197" i="1"/>
  <c r="I197" i="1"/>
  <c r="H197" i="1"/>
  <c r="G197" i="1"/>
  <c r="L197" i="1"/>
  <c r="W197" i="1" s="1"/>
  <c r="K420" i="1"/>
  <c r="I420" i="1"/>
  <c r="J420" i="1"/>
  <c r="H420" i="1"/>
  <c r="G420" i="1"/>
  <c r="L420" i="1"/>
  <c r="W420" i="1" s="1"/>
  <c r="K617" i="1"/>
  <c r="I617" i="1"/>
  <c r="J617" i="1"/>
  <c r="H617" i="1"/>
  <c r="G617" i="1"/>
  <c r="L617" i="1"/>
  <c r="W617" i="1" s="1"/>
  <c r="K625" i="1"/>
  <c r="I625" i="1"/>
  <c r="J625" i="1"/>
  <c r="H625" i="1"/>
  <c r="G625" i="1"/>
  <c r="L625" i="1"/>
  <c r="W625" i="1" s="1"/>
  <c r="K1131" i="1"/>
  <c r="I1131" i="1"/>
  <c r="J1131" i="1"/>
  <c r="H1131" i="1"/>
  <c r="G1131" i="1"/>
  <c r="L1131" i="1"/>
  <c r="W1131" i="1" s="1"/>
  <c r="K1256" i="1"/>
  <c r="J1256" i="1"/>
  <c r="H1256" i="1"/>
  <c r="I1256" i="1"/>
  <c r="G1256" i="1"/>
  <c r="L1256" i="1"/>
  <c r="W1256" i="1" s="1"/>
  <c r="K1732" i="1"/>
  <c r="J1732" i="1"/>
  <c r="I1732" i="1"/>
  <c r="H1732" i="1"/>
  <c r="G1732" i="1"/>
  <c r="L1732" i="1"/>
  <c r="W1732" i="1" s="1"/>
  <c r="K1814" i="1"/>
  <c r="J1814" i="1"/>
  <c r="I1814" i="1"/>
  <c r="G1814" i="1"/>
  <c r="H1814" i="1"/>
  <c r="L1814" i="1"/>
  <c r="W1814" i="1" s="1"/>
  <c r="K494" i="1"/>
  <c r="J494" i="1"/>
  <c r="I494" i="1"/>
  <c r="H494" i="1"/>
  <c r="G494" i="1"/>
  <c r="L494" i="1"/>
  <c r="W494" i="1" s="1"/>
  <c r="K47" i="1"/>
  <c r="J47" i="1"/>
  <c r="I47" i="1"/>
  <c r="H47" i="1"/>
  <c r="G47" i="1"/>
  <c r="L47" i="1"/>
  <c r="W47" i="1" s="1"/>
  <c r="J91" i="1"/>
  <c r="K91" i="1"/>
  <c r="I91" i="1"/>
  <c r="H91" i="1"/>
  <c r="G91" i="1"/>
  <c r="L91" i="1"/>
  <c r="W91" i="1" s="1"/>
  <c r="K135" i="1"/>
  <c r="J135" i="1"/>
  <c r="I135" i="1"/>
  <c r="H135" i="1"/>
  <c r="G135" i="1"/>
  <c r="L135" i="1"/>
  <c r="W135" i="1" s="1"/>
  <c r="J51" i="1"/>
  <c r="K51" i="1"/>
  <c r="I51" i="1"/>
  <c r="H51" i="1"/>
  <c r="G51" i="1"/>
  <c r="L51" i="1"/>
  <c r="W51" i="1" s="1"/>
  <c r="K95" i="1"/>
  <c r="J95" i="1"/>
  <c r="I95" i="1"/>
  <c r="H95" i="1"/>
  <c r="G95" i="1"/>
  <c r="L95" i="1"/>
  <c r="W95" i="1" s="1"/>
  <c r="K145" i="1"/>
  <c r="J145" i="1"/>
  <c r="I145" i="1"/>
  <c r="H145" i="1"/>
  <c r="G145" i="1"/>
  <c r="L145" i="1"/>
  <c r="W145" i="1" s="1"/>
  <c r="K65" i="1"/>
  <c r="J65" i="1"/>
  <c r="I65" i="1"/>
  <c r="H65" i="1"/>
  <c r="G65" i="1"/>
  <c r="L65" i="1"/>
  <c r="W65" i="1" s="1"/>
  <c r="J117" i="1"/>
  <c r="K117" i="1"/>
  <c r="I117" i="1"/>
  <c r="H117" i="1"/>
  <c r="G117" i="1"/>
  <c r="L117" i="1"/>
  <c r="W117" i="1" s="1"/>
  <c r="K34" i="1"/>
  <c r="J34" i="1"/>
  <c r="I34" i="1"/>
  <c r="H34" i="1"/>
  <c r="G34" i="1"/>
  <c r="L34" i="1"/>
  <c r="W34" i="1" s="1"/>
  <c r="K82" i="1"/>
  <c r="J82" i="1"/>
  <c r="I82" i="1"/>
  <c r="H82" i="1"/>
  <c r="G82" i="1"/>
  <c r="L82" i="1"/>
  <c r="W82" i="1" s="1"/>
  <c r="K110" i="1"/>
  <c r="J110" i="1"/>
  <c r="I110" i="1"/>
  <c r="H110" i="1"/>
  <c r="G110" i="1"/>
  <c r="L110" i="1"/>
  <c r="W110" i="1" s="1"/>
  <c r="K126" i="1"/>
  <c r="J126" i="1"/>
  <c r="I126" i="1"/>
  <c r="H126" i="1"/>
  <c r="G126" i="1"/>
  <c r="L126" i="1"/>
  <c r="W126" i="1" s="1"/>
  <c r="K146" i="1"/>
  <c r="J146" i="1"/>
  <c r="I146" i="1"/>
  <c r="H146" i="1"/>
  <c r="G146" i="1"/>
  <c r="L146" i="1"/>
  <c r="W146" i="1" s="1"/>
  <c r="K162" i="1"/>
  <c r="J162" i="1"/>
  <c r="I162" i="1"/>
  <c r="H162" i="1"/>
  <c r="G162" i="1"/>
  <c r="L162" i="1"/>
  <c r="W162" i="1" s="1"/>
  <c r="K38" i="1"/>
  <c r="J38" i="1"/>
  <c r="I38" i="1"/>
  <c r="H38" i="1"/>
  <c r="G38" i="1"/>
  <c r="L38" i="1"/>
  <c r="W38" i="1" s="1"/>
  <c r="K86" i="1"/>
  <c r="J86" i="1"/>
  <c r="I86" i="1"/>
  <c r="H86" i="1"/>
  <c r="G86" i="1"/>
  <c r="L86" i="1"/>
  <c r="W86" i="1" s="1"/>
  <c r="J44" i="1"/>
  <c r="K44" i="1"/>
  <c r="I44" i="1"/>
  <c r="H44" i="1"/>
  <c r="G44" i="1"/>
  <c r="L44" i="1"/>
  <c r="W44" i="1" s="1"/>
  <c r="K41" i="1"/>
  <c r="J41" i="1"/>
  <c r="I41" i="1"/>
  <c r="H41" i="1"/>
  <c r="G41" i="1"/>
  <c r="L41" i="1"/>
  <c r="W41" i="1" s="1"/>
  <c r="K2" i="1"/>
  <c r="J2" i="1"/>
  <c r="I2" i="1"/>
  <c r="H2" i="1"/>
  <c r="G2" i="1"/>
  <c r="K1845" i="1"/>
  <c r="J1845" i="1"/>
  <c r="I1845" i="1"/>
  <c r="H1845" i="1"/>
  <c r="G1845" i="1"/>
  <c r="L1845" i="1"/>
  <c r="W1845" i="1" s="1"/>
  <c r="K1461" i="1"/>
  <c r="J1461" i="1"/>
  <c r="H1461" i="1"/>
  <c r="I1461" i="1"/>
  <c r="G1461" i="1"/>
  <c r="L1461" i="1"/>
  <c r="W1461" i="1" s="1"/>
  <c r="J10" i="1"/>
  <c r="K10" i="1"/>
  <c r="I10" i="1"/>
  <c r="H10" i="1"/>
  <c r="G10" i="1"/>
  <c r="K1789" i="1"/>
  <c r="J1789" i="1"/>
  <c r="I1789" i="1"/>
  <c r="H1789" i="1"/>
  <c r="G1789" i="1"/>
  <c r="L1789" i="1"/>
  <c r="W1789" i="1" s="1"/>
  <c r="K1980" i="1"/>
  <c r="J1980" i="1"/>
  <c r="I1980" i="1"/>
  <c r="H1980" i="1"/>
  <c r="G1980" i="1"/>
  <c r="L1980" i="1"/>
  <c r="W1980" i="1" s="1"/>
  <c r="K1925" i="1"/>
  <c r="J1925" i="1"/>
  <c r="I1925" i="1"/>
  <c r="H1925" i="1"/>
  <c r="G1925" i="1"/>
  <c r="L1925" i="1"/>
  <c r="W1925" i="1" s="1"/>
  <c r="K1581" i="1"/>
  <c r="J1581" i="1"/>
  <c r="H1581" i="1"/>
  <c r="I1581" i="1"/>
  <c r="G1581" i="1"/>
  <c r="L1581" i="1"/>
  <c r="W1581" i="1" s="1"/>
  <c r="K1259" i="1"/>
  <c r="J1259" i="1"/>
  <c r="H1259" i="1"/>
  <c r="I1259" i="1"/>
  <c r="G1259" i="1"/>
  <c r="L1259" i="1"/>
  <c r="W1259" i="1" s="1"/>
  <c r="K1780" i="1"/>
  <c r="J1780" i="1"/>
  <c r="I1780" i="1"/>
  <c r="H1780" i="1"/>
  <c r="G1780" i="1"/>
  <c r="L1780" i="1"/>
  <c r="W1780" i="1" s="1"/>
  <c r="K1518" i="1"/>
  <c r="J1518" i="1"/>
  <c r="I1518" i="1"/>
  <c r="H1518" i="1"/>
  <c r="G1518" i="1"/>
  <c r="L1518" i="1"/>
  <c r="W1518" i="1" s="1"/>
  <c r="K1775" i="1"/>
  <c r="J1775" i="1"/>
  <c r="I1775" i="1"/>
  <c r="G1775" i="1"/>
  <c r="H1775" i="1"/>
  <c r="L1775" i="1"/>
  <c r="W1775" i="1" s="1"/>
  <c r="K1649" i="1"/>
  <c r="J1649" i="1"/>
  <c r="I1649" i="1"/>
  <c r="H1649" i="1"/>
  <c r="G1649" i="1"/>
  <c r="L1649" i="1"/>
  <c r="W1649" i="1" s="1"/>
  <c r="K890" i="1"/>
  <c r="I890" i="1"/>
  <c r="J890" i="1"/>
  <c r="H890" i="1"/>
  <c r="G890" i="1"/>
  <c r="L890" i="1"/>
  <c r="W890" i="1" s="1"/>
  <c r="K1764" i="1"/>
  <c r="J1764" i="1"/>
  <c r="I1764" i="1"/>
  <c r="H1764" i="1"/>
  <c r="G1764" i="1"/>
  <c r="L1764" i="1"/>
  <c r="W1764" i="1" s="1"/>
  <c r="K1993" i="1"/>
  <c r="J1993" i="1"/>
  <c r="I1993" i="1"/>
  <c r="H1993" i="1"/>
  <c r="G1993" i="1"/>
  <c r="L1993" i="1"/>
  <c r="W1993" i="1" s="1"/>
  <c r="K1975" i="1"/>
  <c r="J1975" i="1"/>
  <c r="I1975" i="1"/>
  <c r="G1975" i="1"/>
  <c r="H1975" i="1"/>
  <c r="L1975" i="1"/>
  <c r="W1975" i="1" s="1"/>
  <c r="K1297" i="1"/>
  <c r="J1297" i="1"/>
  <c r="H1297" i="1"/>
  <c r="I1297" i="1"/>
  <c r="G1297" i="1"/>
  <c r="L1297" i="1"/>
  <c r="W1297" i="1" s="1"/>
  <c r="K1295" i="1"/>
  <c r="J1295" i="1"/>
  <c r="H1295" i="1"/>
  <c r="I1295" i="1"/>
  <c r="G1295" i="1"/>
  <c r="L1295" i="1"/>
  <c r="W1295" i="1" s="1"/>
  <c r="K1841" i="1"/>
  <c r="J1841" i="1"/>
  <c r="I1841" i="1"/>
  <c r="H1841" i="1"/>
  <c r="G1841" i="1"/>
  <c r="L1841" i="1"/>
  <c r="W1841" i="1" s="1"/>
  <c r="K1521" i="1"/>
  <c r="J1521" i="1"/>
  <c r="H1521" i="1"/>
  <c r="I1521" i="1"/>
  <c r="G1521" i="1"/>
  <c r="L1521" i="1"/>
  <c r="W1521" i="1" s="1"/>
  <c r="K1205" i="1"/>
  <c r="J1205" i="1"/>
  <c r="H1205" i="1"/>
  <c r="I1205" i="1"/>
  <c r="G1205" i="1"/>
  <c r="L1205" i="1"/>
  <c r="W1205" i="1" s="1"/>
  <c r="K1266" i="1"/>
  <c r="J1266" i="1"/>
  <c r="H1266" i="1"/>
  <c r="I1266" i="1"/>
  <c r="G1266" i="1"/>
  <c r="L1266" i="1"/>
  <c r="W1266" i="1" s="1"/>
  <c r="K651" i="1"/>
  <c r="I651" i="1"/>
  <c r="J651" i="1"/>
  <c r="H651" i="1"/>
  <c r="G651" i="1"/>
  <c r="L651" i="1"/>
  <c r="W651" i="1" s="1"/>
  <c r="K1908" i="1"/>
  <c r="J1908" i="1"/>
  <c r="I1908" i="1"/>
  <c r="H1908" i="1"/>
  <c r="G1908" i="1"/>
  <c r="L1908" i="1"/>
  <c r="W1908" i="1" s="1"/>
  <c r="K1880" i="1"/>
  <c r="J1880" i="1"/>
  <c r="I1880" i="1"/>
  <c r="H1880" i="1"/>
  <c r="G1880" i="1"/>
  <c r="L1880" i="1"/>
  <c r="W1880" i="1" s="1"/>
  <c r="K1459" i="1"/>
  <c r="J1459" i="1"/>
  <c r="H1459" i="1"/>
  <c r="I1459" i="1"/>
  <c r="G1459" i="1"/>
  <c r="L1459" i="1"/>
  <c r="W1459" i="1" s="1"/>
  <c r="K1593" i="1"/>
  <c r="J1593" i="1"/>
  <c r="I1593" i="1"/>
  <c r="H1593" i="1"/>
  <c r="G1593" i="1"/>
  <c r="L1593" i="1"/>
  <c r="W1593" i="1" s="1"/>
  <c r="K1647" i="1"/>
  <c r="J1647" i="1"/>
  <c r="I1647" i="1"/>
  <c r="G1647" i="1"/>
  <c r="H1647" i="1"/>
  <c r="L1647" i="1"/>
  <c r="W1647" i="1" s="1"/>
  <c r="K1293" i="1"/>
  <c r="J1293" i="1"/>
  <c r="H1293" i="1"/>
  <c r="I1293" i="1"/>
  <c r="G1293" i="1"/>
  <c r="L1293" i="1"/>
  <c r="W1293" i="1" s="1"/>
  <c r="K1411" i="1"/>
  <c r="J1411" i="1"/>
  <c r="H1411" i="1"/>
  <c r="I1411" i="1"/>
  <c r="G1411" i="1"/>
  <c r="L1411" i="1"/>
  <c r="W1411" i="1" s="1"/>
  <c r="K1630" i="1"/>
  <c r="J1630" i="1"/>
  <c r="I1630" i="1"/>
  <c r="G1630" i="1"/>
  <c r="H1630" i="1"/>
  <c r="L1630" i="1"/>
  <c r="W1630" i="1" s="1"/>
  <c r="K1032" i="1"/>
  <c r="I1032" i="1"/>
  <c r="J1032" i="1"/>
  <c r="H1032" i="1"/>
  <c r="G1032" i="1"/>
  <c r="L1032" i="1"/>
  <c r="W1032" i="1" s="1"/>
  <c r="K768" i="1"/>
  <c r="I768" i="1"/>
  <c r="J768" i="1"/>
  <c r="H768" i="1"/>
  <c r="G768" i="1"/>
  <c r="L768" i="1"/>
  <c r="W768" i="1" s="1"/>
  <c r="K1856" i="1"/>
  <c r="J1856" i="1"/>
  <c r="I1856" i="1"/>
  <c r="H1856" i="1"/>
  <c r="G1856" i="1"/>
  <c r="L1856" i="1"/>
  <c r="W1856" i="1" s="1"/>
  <c r="K1881" i="1"/>
  <c r="J1881" i="1"/>
  <c r="I1881" i="1"/>
  <c r="H1881" i="1"/>
  <c r="G1881" i="1"/>
  <c r="L1881" i="1"/>
  <c r="W1881" i="1" s="1"/>
  <c r="K1809" i="1"/>
  <c r="J1809" i="1"/>
  <c r="I1809" i="1"/>
  <c r="H1809" i="1"/>
  <c r="G1809" i="1"/>
  <c r="L1809" i="1"/>
  <c r="W1809" i="1" s="1"/>
  <c r="K1731" i="1"/>
  <c r="J1731" i="1"/>
  <c r="I1731" i="1"/>
  <c r="H1731" i="1"/>
  <c r="G1731" i="1"/>
  <c r="L1731" i="1"/>
  <c r="W1731" i="1" s="1"/>
  <c r="K1483" i="1"/>
  <c r="J1483" i="1"/>
  <c r="H1483" i="1"/>
  <c r="I1483" i="1"/>
  <c r="G1483" i="1"/>
  <c r="L1483" i="1"/>
  <c r="W1483" i="1" s="1"/>
  <c r="K1489" i="1"/>
  <c r="J1489" i="1"/>
  <c r="H1489" i="1"/>
  <c r="I1489" i="1"/>
  <c r="G1489" i="1"/>
  <c r="L1489" i="1"/>
  <c r="W1489" i="1" s="1"/>
  <c r="K1682" i="1"/>
  <c r="J1682" i="1"/>
  <c r="I1682" i="1"/>
  <c r="G1682" i="1"/>
  <c r="H1682" i="1"/>
  <c r="L1682" i="1"/>
  <c r="W1682" i="1" s="1"/>
  <c r="K1426" i="1"/>
  <c r="J1426" i="1"/>
  <c r="H1426" i="1"/>
  <c r="I1426" i="1"/>
  <c r="G1426" i="1"/>
  <c r="L1426" i="1"/>
  <c r="W1426" i="1" s="1"/>
  <c r="K1446" i="1"/>
  <c r="J1446" i="1"/>
  <c r="I1446" i="1"/>
  <c r="G1446" i="1"/>
  <c r="H1446" i="1"/>
  <c r="L1446" i="1"/>
  <c r="W1446" i="1" s="1"/>
  <c r="K1234" i="1"/>
  <c r="J1234" i="1"/>
  <c r="H1234" i="1"/>
  <c r="I1234" i="1"/>
  <c r="G1234" i="1"/>
  <c r="L1234" i="1"/>
  <c r="W1234" i="1" s="1"/>
  <c r="K692" i="1"/>
  <c r="I692" i="1"/>
  <c r="J692" i="1"/>
  <c r="H692" i="1"/>
  <c r="G692" i="1"/>
  <c r="L692" i="1"/>
  <c r="W692" i="1" s="1"/>
  <c r="K1953" i="1"/>
  <c r="J1953" i="1"/>
  <c r="I1953" i="1"/>
  <c r="H1953" i="1"/>
  <c r="G1953" i="1"/>
  <c r="L1953" i="1"/>
  <c r="W1953" i="1" s="1"/>
  <c r="K1801" i="1"/>
  <c r="J1801" i="1"/>
  <c r="I1801" i="1"/>
  <c r="H1801" i="1"/>
  <c r="G1801" i="1"/>
  <c r="L1801" i="1"/>
  <c r="W1801" i="1" s="1"/>
  <c r="K1555" i="1"/>
  <c r="J1555" i="1"/>
  <c r="H1555" i="1"/>
  <c r="I1555" i="1"/>
  <c r="G1555" i="1"/>
  <c r="L1555" i="1"/>
  <c r="W1555" i="1" s="1"/>
  <c r="K1689" i="1"/>
  <c r="J1689" i="1"/>
  <c r="I1689" i="1"/>
  <c r="H1689" i="1"/>
  <c r="G1689" i="1"/>
  <c r="L1689" i="1"/>
  <c r="W1689" i="1" s="1"/>
  <c r="K1739" i="1"/>
  <c r="J1739" i="1"/>
  <c r="I1739" i="1"/>
  <c r="H1739" i="1"/>
  <c r="G1739" i="1"/>
  <c r="L1739" i="1"/>
  <c r="W1739" i="1" s="1"/>
  <c r="K1438" i="1"/>
  <c r="J1438" i="1"/>
  <c r="I1438" i="1"/>
  <c r="G1438" i="1"/>
  <c r="H1438" i="1"/>
  <c r="L1438" i="1"/>
  <c r="W1438" i="1" s="1"/>
  <c r="K1217" i="1"/>
  <c r="J1217" i="1"/>
  <c r="H1217" i="1"/>
  <c r="I1217" i="1"/>
  <c r="G1217" i="1"/>
  <c r="L1217" i="1"/>
  <c r="W1217" i="1" s="1"/>
  <c r="K1678" i="1"/>
  <c r="J1678" i="1"/>
  <c r="I1678" i="1"/>
  <c r="G1678" i="1"/>
  <c r="H1678" i="1"/>
  <c r="L1678" i="1"/>
  <c r="W1678" i="1" s="1"/>
  <c r="K1126" i="1"/>
  <c r="J1126" i="1"/>
  <c r="H1126" i="1"/>
  <c r="I1126" i="1"/>
  <c r="G1126" i="1"/>
  <c r="L1126" i="1"/>
  <c r="W1126" i="1" s="1"/>
  <c r="K766" i="1"/>
  <c r="J766" i="1"/>
  <c r="I766" i="1"/>
  <c r="H766" i="1"/>
  <c r="G766" i="1"/>
  <c r="L766" i="1"/>
  <c r="W766" i="1" s="1"/>
  <c r="K2004" i="1"/>
  <c r="J2004" i="1"/>
  <c r="I2004" i="1"/>
  <c r="H2004" i="1"/>
  <c r="G2004" i="1"/>
  <c r="L2004" i="1"/>
  <c r="W2004" i="1" s="1"/>
  <c r="K1859" i="1"/>
  <c r="J1859" i="1"/>
  <c r="I1859" i="1"/>
  <c r="H1859" i="1"/>
  <c r="G1859" i="1"/>
  <c r="L1859" i="1"/>
  <c r="W1859" i="1" s="1"/>
  <c r="K1777" i="1"/>
  <c r="J1777" i="1"/>
  <c r="I1777" i="1"/>
  <c r="H1777" i="1"/>
  <c r="G1777" i="1"/>
  <c r="L1777" i="1"/>
  <c r="W1777" i="1" s="1"/>
  <c r="K1703" i="1"/>
  <c r="J1703" i="1"/>
  <c r="I1703" i="1"/>
  <c r="G1703" i="1"/>
  <c r="H1703" i="1"/>
  <c r="L1703" i="1"/>
  <c r="W1703" i="1" s="1"/>
  <c r="K1730" i="1"/>
  <c r="J1730" i="1"/>
  <c r="I1730" i="1"/>
  <c r="G1730" i="1"/>
  <c r="H1730" i="1"/>
  <c r="L1730" i="1"/>
  <c r="W1730" i="1" s="1"/>
  <c r="K1457" i="1"/>
  <c r="J1457" i="1"/>
  <c r="H1457" i="1"/>
  <c r="I1457" i="1"/>
  <c r="G1457" i="1"/>
  <c r="L1457" i="1"/>
  <c r="W1457" i="1" s="1"/>
  <c r="K1650" i="1"/>
  <c r="J1650" i="1"/>
  <c r="I1650" i="1"/>
  <c r="G1650" i="1"/>
  <c r="H1650" i="1"/>
  <c r="L1650" i="1"/>
  <c r="W1650" i="1" s="1"/>
  <c r="K1405" i="1"/>
  <c r="J1405" i="1"/>
  <c r="H1405" i="1"/>
  <c r="I1405" i="1"/>
  <c r="G1405" i="1"/>
  <c r="L1405" i="1"/>
  <c r="W1405" i="1" s="1"/>
  <c r="K1399" i="1"/>
  <c r="J1399" i="1"/>
  <c r="H1399" i="1"/>
  <c r="I1399" i="1"/>
  <c r="G1399" i="1"/>
  <c r="L1399" i="1"/>
  <c r="W1399" i="1" s="1"/>
  <c r="K1186" i="1"/>
  <c r="J1186" i="1"/>
  <c r="H1186" i="1"/>
  <c r="I1186" i="1"/>
  <c r="G1186" i="1"/>
  <c r="L1186" i="1"/>
  <c r="W1186" i="1" s="1"/>
  <c r="K403" i="1"/>
  <c r="I403" i="1"/>
  <c r="J403" i="1"/>
  <c r="H403" i="1"/>
  <c r="G403" i="1"/>
  <c r="L403" i="1"/>
  <c r="W403" i="1" s="1"/>
  <c r="K1919" i="1"/>
  <c r="J1919" i="1"/>
  <c r="I1919" i="1"/>
  <c r="G1919" i="1"/>
  <c r="H1919" i="1"/>
  <c r="L1919" i="1"/>
  <c r="W1919" i="1" s="1"/>
  <c r="K1923" i="1"/>
  <c r="J1923" i="1"/>
  <c r="I1923" i="1"/>
  <c r="H1923" i="1"/>
  <c r="G1923" i="1"/>
  <c r="L1923" i="1"/>
  <c r="W1923" i="1" s="1"/>
  <c r="K1892" i="1"/>
  <c r="J1892" i="1"/>
  <c r="I1892" i="1"/>
  <c r="H1892" i="1"/>
  <c r="G1892" i="1"/>
  <c r="L1892" i="1"/>
  <c r="W1892" i="1" s="1"/>
  <c r="K1802" i="1"/>
  <c r="J1802" i="1"/>
  <c r="I1802" i="1"/>
  <c r="G1802" i="1"/>
  <c r="H1802" i="1"/>
  <c r="L1802" i="1"/>
  <c r="W1802" i="1" s="1"/>
  <c r="K1563" i="1"/>
  <c r="J1563" i="1"/>
  <c r="H1563" i="1"/>
  <c r="I1563" i="1"/>
  <c r="G1563" i="1"/>
  <c r="L1563" i="1"/>
  <c r="W1563" i="1" s="1"/>
  <c r="K1569" i="1"/>
  <c r="J1569" i="1"/>
  <c r="H1569" i="1"/>
  <c r="I1569" i="1"/>
  <c r="G1569" i="1"/>
  <c r="L1569" i="1"/>
  <c r="W1569" i="1" s="1"/>
  <c r="K1199" i="1"/>
  <c r="J1199" i="1"/>
  <c r="H1199" i="1"/>
  <c r="I1199" i="1"/>
  <c r="G1199" i="1"/>
  <c r="L1199" i="1"/>
  <c r="W1199" i="1" s="1"/>
  <c r="K1253" i="1"/>
  <c r="J1253" i="1"/>
  <c r="H1253" i="1"/>
  <c r="I1253" i="1"/>
  <c r="G1253" i="1"/>
  <c r="L1253" i="1"/>
  <c r="W1253" i="1" s="1"/>
  <c r="K1225" i="1"/>
  <c r="J1225" i="1"/>
  <c r="H1225" i="1"/>
  <c r="I1225" i="1"/>
  <c r="G1225" i="1"/>
  <c r="L1225" i="1"/>
  <c r="W1225" i="1" s="1"/>
  <c r="K666" i="1"/>
  <c r="I666" i="1"/>
  <c r="J666" i="1"/>
  <c r="H666" i="1"/>
  <c r="G666" i="1"/>
  <c r="L666" i="1"/>
  <c r="W666" i="1" s="1"/>
  <c r="K397" i="1"/>
  <c r="J397" i="1"/>
  <c r="H397" i="1"/>
  <c r="I397" i="1"/>
  <c r="G397" i="1"/>
  <c r="L397" i="1"/>
  <c r="W397" i="1" s="1"/>
  <c r="K736" i="1"/>
  <c r="I736" i="1"/>
  <c r="J736" i="1"/>
  <c r="H736" i="1"/>
  <c r="G736" i="1"/>
  <c r="L736" i="1"/>
  <c r="W736" i="1" s="1"/>
  <c r="K1012" i="1"/>
  <c r="J1012" i="1"/>
  <c r="I1012" i="1"/>
  <c r="H1012" i="1"/>
  <c r="G1012" i="1"/>
  <c r="L1012" i="1"/>
  <c r="W1012" i="1" s="1"/>
  <c r="K439" i="1"/>
  <c r="I439" i="1"/>
  <c r="J439" i="1"/>
  <c r="H439" i="1"/>
  <c r="G439" i="1"/>
  <c r="L439" i="1"/>
  <c r="W439" i="1" s="1"/>
  <c r="K911" i="1"/>
  <c r="I911" i="1"/>
  <c r="J911" i="1"/>
  <c r="H911" i="1"/>
  <c r="G911" i="1"/>
  <c r="L911" i="1"/>
  <c r="W911" i="1" s="1"/>
  <c r="K465" i="1"/>
  <c r="I465" i="1"/>
  <c r="J465" i="1"/>
  <c r="H465" i="1"/>
  <c r="G465" i="1"/>
  <c r="L465" i="1"/>
  <c r="W465" i="1" s="1"/>
  <c r="K549" i="1"/>
  <c r="J549" i="1"/>
  <c r="H549" i="1"/>
  <c r="I549" i="1"/>
  <c r="G549" i="1"/>
  <c r="L549" i="1"/>
  <c r="W549" i="1" s="1"/>
  <c r="K274" i="1"/>
  <c r="J274" i="1"/>
  <c r="I274" i="1"/>
  <c r="H274" i="1"/>
  <c r="G274" i="1"/>
  <c r="L274" i="1"/>
  <c r="W274" i="1" s="1"/>
  <c r="K1314" i="1"/>
  <c r="J1314" i="1"/>
  <c r="H1314" i="1"/>
  <c r="I1314" i="1"/>
  <c r="G1314" i="1"/>
  <c r="L1314" i="1"/>
  <c r="W1314" i="1" s="1"/>
  <c r="K974" i="1"/>
  <c r="J974" i="1"/>
  <c r="H974" i="1"/>
  <c r="I974" i="1"/>
  <c r="G974" i="1"/>
  <c r="L974" i="1"/>
  <c r="W974" i="1" s="1"/>
  <c r="K720" i="1"/>
  <c r="I720" i="1"/>
  <c r="J720" i="1"/>
  <c r="H720" i="1"/>
  <c r="G720" i="1"/>
  <c r="L720" i="1"/>
  <c r="W720" i="1" s="1"/>
  <c r="K996" i="1"/>
  <c r="J996" i="1"/>
  <c r="I996" i="1"/>
  <c r="H996" i="1"/>
  <c r="G996" i="1"/>
  <c r="L996" i="1"/>
  <c r="W996" i="1" s="1"/>
  <c r="K423" i="1"/>
  <c r="I423" i="1"/>
  <c r="J423" i="1"/>
  <c r="H423" i="1"/>
  <c r="G423" i="1"/>
  <c r="L423" i="1"/>
  <c r="W423" i="1" s="1"/>
  <c r="K895" i="1"/>
  <c r="I895" i="1"/>
  <c r="J895" i="1"/>
  <c r="H895" i="1"/>
  <c r="G895" i="1"/>
  <c r="L895" i="1"/>
  <c r="W895" i="1" s="1"/>
  <c r="K449" i="1"/>
  <c r="I449" i="1"/>
  <c r="J449" i="1"/>
  <c r="H449" i="1"/>
  <c r="G449" i="1"/>
  <c r="L449" i="1"/>
  <c r="W449" i="1" s="1"/>
  <c r="K533" i="1"/>
  <c r="J533" i="1"/>
  <c r="H533" i="1"/>
  <c r="I533" i="1"/>
  <c r="G533" i="1"/>
  <c r="L533" i="1"/>
  <c r="W533" i="1" s="1"/>
  <c r="K242" i="1"/>
  <c r="J242" i="1"/>
  <c r="I242" i="1"/>
  <c r="H242" i="1"/>
  <c r="G242" i="1"/>
  <c r="L242" i="1"/>
  <c r="W242" i="1" s="1"/>
  <c r="K1094" i="1"/>
  <c r="J1094" i="1"/>
  <c r="H1094" i="1"/>
  <c r="I1094" i="1"/>
  <c r="G1094" i="1"/>
  <c r="L1094" i="1"/>
  <c r="W1094" i="1" s="1"/>
  <c r="K1298" i="1"/>
  <c r="J1298" i="1"/>
  <c r="H1298" i="1"/>
  <c r="I1298" i="1"/>
  <c r="G1298" i="1"/>
  <c r="L1298" i="1"/>
  <c r="W1298" i="1" s="1"/>
  <c r="K958" i="1"/>
  <c r="J958" i="1"/>
  <c r="H958" i="1"/>
  <c r="I958" i="1"/>
  <c r="G958" i="1"/>
  <c r="L958" i="1"/>
  <c r="W958" i="1" s="1"/>
  <c r="K704" i="1"/>
  <c r="I704" i="1"/>
  <c r="J704" i="1"/>
  <c r="H704" i="1"/>
  <c r="G704" i="1"/>
  <c r="L704" i="1"/>
  <c r="W704" i="1" s="1"/>
  <c r="K980" i="1"/>
  <c r="J980" i="1"/>
  <c r="I980" i="1"/>
  <c r="H980" i="1"/>
  <c r="G980" i="1"/>
  <c r="L980" i="1"/>
  <c r="W980" i="1" s="1"/>
  <c r="K407" i="1"/>
  <c r="I407" i="1"/>
  <c r="J407" i="1"/>
  <c r="H407" i="1"/>
  <c r="G407" i="1"/>
  <c r="L407" i="1"/>
  <c r="W407" i="1" s="1"/>
  <c r="K879" i="1"/>
  <c r="I879" i="1"/>
  <c r="J879" i="1"/>
  <c r="H879" i="1"/>
  <c r="G879" i="1"/>
  <c r="L879" i="1"/>
  <c r="W879" i="1" s="1"/>
  <c r="K433" i="1"/>
  <c r="I433" i="1"/>
  <c r="J433" i="1"/>
  <c r="H433" i="1"/>
  <c r="G433" i="1"/>
  <c r="L433" i="1"/>
  <c r="W433" i="1" s="1"/>
  <c r="K517" i="1"/>
  <c r="J517" i="1"/>
  <c r="H517" i="1"/>
  <c r="I517" i="1"/>
  <c r="G517" i="1"/>
  <c r="L517" i="1"/>
  <c r="W517" i="1" s="1"/>
  <c r="K599" i="1"/>
  <c r="I599" i="1"/>
  <c r="J599" i="1"/>
  <c r="H599" i="1"/>
  <c r="G599" i="1"/>
  <c r="L599" i="1"/>
  <c r="W599" i="1" s="1"/>
  <c r="K682" i="1"/>
  <c r="I682" i="1"/>
  <c r="J682" i="1"/>
  <c r="H682" i="1"/>
  <c r="G682" i="1"/>
  <c r="L682" i="1"/>
  <c r="W682" i="1" s="1"/>
  <c r="K1170" i="1"/>
  <c r="J1170" i="1"/>
  <c r="H1170" i="1"/>
  <c r="I1170" i="1"/>
  <c r="G1170" i="1"/>
  <c r="L1170" i="1"/>
  <c r="W1170" i="1" s="1"/>
  <c r="K816" i="1"/>
  <c r="I816" i="1"/>
  <c r="J816" i="1"/>
  <c r="H816" i="1"/>
  <c r="G816" i="1"/>
  <c r="L816" i="1"/>
  <c r="W816" i="1" s="1"/>
  <c r="K1076" i="1"/>
  <c r="J1076" i="1"/>
  <c r="I1076" i="1"/>
  <c r="H1076" i="1"/>
  <c r="G1076" i="1"/>
  <c r="L1076" i="1"/>
  <c r="W1076" i="1" s="1"/>
  <c r="K519" i="1"/>
  <c r="I519" i="1"/>
  <c r="J519" i="1"/>
  <c r="H519" i="1"/>
  <c r="G519" i="1"/>
  <c r="L519" i="1"/>
  <c r="W519" i="1" s="1"/>
  <c r="K975" i="1"/>
  <c r="I975" i="1"/>
  <c r="J975" i="1"/>
  <c r="H975" i="1"/>
  <c r="G975" i="1"/>
  <c r="L975" i="1"/>
  <c r="W975" i="1" s="1"/>
  <c r="K545" i="1"/>
  <c r="I545" i="1"/>
  <c r="J545" i="1"/>
  <c r="H545" i="1"/>
  <c r="G545" i="1"/>
  <c r="L545" i="1"/>
  <c r="W545" i="1" s="1"/>
  <c r="K622" i="1"/>
  <c r="J622" i="1"/>
  <c r="I622" i="1"/>
  <c r="H622" i="1"/>
  <c r="G622" i="1"/>
  <c r="L622" i="1"/>
  <c r="W622" i="1" s="1"/>
  <c r="K394" i="1"/>
  <c r="I394" i="1"/>
  <c r="J394" i="1"/>
  <c r="H394" i="1"/>
  <c r="G394" i="1"/>
  <c r="L394" i="1"/>
  <c r="W394" i="1" s="1"/>
  <c r="K670" i="1"/>
  <c r="J670" i="1"/>
  <c r="I670" i="1"/>
  <c r="H670" i="1"/>
  <c r="G670" i="1"/>
  <c r="L670" i="1"/>
  <c r="W670" i="1" s="1"/>
  <c r="K882" i="1"/>
  <c r="I882" i="1"/>
  <c r="J882" i="1"/>
  <c r="H882" i="1"/>
  <c r="G882" i="1"/>
  <c r="L882" i="1"/>
  <c r="W882" i="1" s="1"/>
  <c r="K1046" i="1"/>
  <c r="J1046" i="1"/>
  <c r="H1046" i="1"/>
  <c r="I1046" i="1"/>
  <c r="G1046" i="1"/>
  <c r="L1046" i="1"/>
  <c r="W1046" i="1" s="1"/>
  <c r="K660" i="1"/>
  <c r="I660" i="1"/>
  <c r="J660" i="1"/>
  <c r="H660" i="1"/>
  <c r="G660" i="1"/>
  <c r="L660" i="1"/>
  <c r="W660" i="1" s="1"/>
  <c r="K557" i="1"/>
  <c r="J557" i="1"/>
  <c r="I557" i="1"/>
  <c r="H557" i="1"/>
  <c r="G557" i="1"/>
  <c r="L557" i="1"/>
  <c r="W557" i="1" s="1"/>
  <c r="K435" i="1"/>
  <c r="I435" i="1"/>
  <c r="J435" i="1"/>
  <c r="H435" i="1"/>
  <c r="G435" i="1"/>
  <c r="L435" i="1"/>
  <c r="W435" i="1" s="1"/>
  <c r="K238" i="1"/>
  <c r="J238" i="1"/>
  <c r="I238" i="1"/>
  <c r="H238" i="1"/>
  <c r="G238" i="1"/>
  <c r="L238" i="1"/>
  <c r="W238" i="1" s="1"/>
  <c r="J245" i="1"/>
  <c r="K245" i="1"/>
  <c r="I245" i="1"/>
  <c r="H245" i="1"/>
  <c r="G245" i="1"/>
  <c r="L245" i="1"/>
  <c r="W245" i="1" s="1"/>
  <c r="K824" i="1"/>
  <c r="I824" i="1"/>
  <c r="J824" i="1"/>
  <c r="H824" i="1"/>
  <c r="G824" i="1"/>
  <c r="L824" i="1"/>
  <c r="W824" i="1" s="1"/>
  <c r="K1128" i="1"/>
  <c r="J1128" i="1"/>
  <c r="I1128" i="1"/>
  <c r="H1128" i="1"/>
  <c r="G1128" i="1"/>
  <c r="L1128" i="1"/>
  <c r="W1128" i="1" s="1"/>
  <c r="K1308" i="1"/>
  <c r="J1308" i="1"/>
  <c r="I1308" i="1"/>
  <c r="H1308" i="1"/>
  <c r="G1308" i="1"/>
  <c r="L1308" i="1"/>
  <c r="W1308" i="1" s="1"/>
  <c r="K866" i="1"/>
  <c r="I866" i="1"/>
  <c r="J866" i="1"/>
  <c r="H866" i="1"/>
  <c r="G866" i="1"/>
  <c r="L866" i="1"/>
  <c r="W866" i="1" s="1"/>
  <c r="K1030" i="1"/>
  <c r="J1030" i="1"/>
  <c r="H1030" i="1"/>
  <c r="I1030" i="1"/>
  <c r="G1030" i="1"/>
  <c r="L1030" i="1"/>
  <c r="W1030" i="1" s="1"/>
  <c r="K619" i="1"/>
  <c r="I619" i="1"/>
  <c r="J619" i="1"/>
  <c r="H619" i="1"/>
  <c r="G619" i="1"/>
  <c r="L619" i="1"/>
  <c r="W619" i="1" s="1"/>
  <c r="K541" i="1"/>
  <c r="J541" i="1"/>
  <c r="H541" i="1"/>
  <c r="I541" i="1"/>
  <c r="G541" i="1"/>
  <c r="L541" i="1"/>
  <c r="W541" i="1" s="1"/>
  <c r="K419" i="1"/>
  <c r="I419" i="1"/>
  <c r="J419" i="1"/>
  <c r="H419" i="1"/>
  <c r="G419" i="1"/>
  <c r="L419" i="1"/>
  <c r="W419" i="1" s="1"/>
  <c r="K222" i="1"/>
  <c r="J222" i="1"/>
  <c r="I222" i="1"/>
  <c r="H222" i="1"/>
  <c r="G222" i="1"/>
  <c r="L222" i="1"/>
  <c r="W222" i="1" s="1"/>
  <c r="K265" i="1"/>
  <c r="J265" i="1"/>
  <c r="I265" i="1"/>
  <c r="H265" i="1"/>
  <c r="G265" i="1"/>
  <c r="L265" i="1"/>
  <c r="W265" i="1" s="1"/>
  <c r="K453" i="1"/>
  <c r="J453" i="1"/>
  <c r="H453" i="1"/>
  <c r="I453" i="1"/>
  <c r="G453" i="1"/>
  <c r="L453" i="1"/>
  <c r="W453" i="1" s="1"/>
  <c r="J244" i="1"/>
  <c r="K244" i="1"/>
  <c r="I244" i="1"/>
  <c r="H244" i="1"/>
  <c r="G244" i="1"/>
  <c r="L244" i="1"/>
  <c r="W244" i="1" s="1"/>
  <c r="K1407" i="1"/>
  <c r="J1407" i="1"/>
  <c r="H1407" i="1"/>
  <c r="I1407" i="1"/>
  <c r="G1407" i="1"/>
  <c r="L1407" i="1"/>
  <c r="W1407" i="1" s="1"/>
  <c r="K664" i="1"/>
  <c r="I664" i="1"/>
  <c r="J664" i="1"/>
  <c r="H664" i="1"/>
  <c r="G664" i="1"/>
  <c r="L664" i="1"/>
  <c r="W664" i="1" s="1"/>
  <c r="K1036" i="1"/>
  <c r="J1036" i="1"/>
  <c r="I1036" i="1"/>
  <c r="H1036" i="1"/>
  <c r="G1036" i="1"/>
  <c r="L1036" i="1"/>
  <c r="W1036" i="1" s="1"/>
  <c r="K1162" i="1"/>
  <c r="J1162" i="1"/>
  <c r="H1162" i="1"/>
  <c r="I1162" i="1"/>
  <c r="G1162" i="1"/>
  <c r="L1162" i="1"/>
  <c r="W1162" i="1" s="1"/>
  <c r="K706" i="1"/>
  <c r="I706" i="1"/>
  <c r="J706" i="1"/>
  <c r="H706" i="1"/>
  <c r="G706" i="1"/>
  <c r="L706" i="1"/>
  <c r="W706" i="1" s="1"/>
  <c r="K870" i="1"/>
  <c r="J870" i="1"/>
  <c r="H870" i="1"/>
  <c r="I870" i="1"/>
  <c r="G870" i="1"/>
  <c r="L870" i="1"/>
  <c r="W870" i="1" s="1"/>
  <c r="K473" i="1"/>
  <c r="I473" i="1"/>
  <c r="J473" i="1"/>
  <c r="H473" i="1"/>
  <c r="G473" i="1"/>
  <c r="L473" i="1"/>
  <c r="W473" i="1" s="1"/>
  <c r="K381" i="1"/>
  <c r="J381" i="1"/>
  <c r="H381" i="1"/>
  <c r="I381" i="1"/>
  <c r="G381" i="1"/>
  <c r="L381" i="1"/>
  <c r="W381" i="1" s="1"/>
  <c r="K923" i="1"/>
  <c r="I923" i="1"/>
  <c r="J923" i="1"/>
  <c r="H923" i="1"/>
  <c r="G923" i="1"/>
  <c r="L923" i="1"/>
  <c r="W923" i="1" s="1"/>
  <c r="K288" i="1"/>
  <c r="J288" i="1"/>
  <c r="I288" i="1"/>
  <c r="H288" i="1"/>
  <c r="G288" i="1"/>
  <c r="L288" i="1"/>
  <c r="W288" i="1" s="1"/>
  <c r="K444" i="1"/>
  <c r="I444" i="1"/>
  <c r="J444" i="1"/>
  <c r="H444" i="1"/>
  <c r="G444" i="1"/>
  <c r="L444" i="1"/>
  <c r="W444" i="1" s="1"/>
  <c r="K1007" i="1"/>
  <c r="I1007" i="1"/>
  <c r="J1007" i="1"/>
  <c r="H1007" i="1"/>
  <c r="G1007" i="1"/>
  <c r="L1007" i="1"/>
  <c r="W1007" i="1" s="1"/>
  <c r="K759" i="1"/>
  <c r="I759" i="1"/>
  <c r="J759" i="1"/>
  <c r="H759" i="1"/>
  <c r="G759" i="1"/>
  <c r="L759" i="1"/>
  <c r="W759" i="1" s="1"/>
  <c r="K1069" i="1"/>
  <c r="J1069" i="1"/>
  <c r="H1069" i="1"/>
  <c r="I1069" i="1"/>
  <c r="G1069" i="1"/>
  <c r="L1069" i="1"/>
  <c r="W1069" i="1" s="1"/>
  <c r="K1328" i="1"/>
  <c r="J1328" i="1"/>
  <c r="H1328" i="1"/>
  <c r="I1328" i="1"/>
  <c r="G1328" i="1"/>
  <c r="L1328" i="1"/>
  <c r="W1328" i="1" s="1"/>
  <c r="K1412" i="1"/>
  <c r="J1412" i="1"/>
  <c r="I1412" i="1"/>
  <c r="G1412" i="1"/>
  <c r="H1412" i="1"/>
  <c r="L1412" i="1"/>
  <c r="W1412" i="1" s="1"/>
  <c r="K1420" i="1"/>
  <c r="J1420" i="1"/>
  <c r="I1420" i="1"/>
  <c r="H1420" i="1"/>
  <c r="G1420" i="1"/>
  <c r="L1420" i="1"/>
  <c r="W1420" i="1" s="1"/>
  <c r="K342" i="1"/>
  <c r="J342" i="1"/>
  <c r="I342" i="1"/>
  <c r="H342" i="1"/>
  <c r="G342" i="1"/>
  <c r="L342" i="1"/>
  <c r="W342" i="1" s="1"/>
  <c r="J268" i="1"/>
  <c r="K268" i="1"/>
  <c r="I268" i="1"/>
  <c r="H268" i="1"/>
  <c r="G268" i="1"/>
  <c r="L268" i="1"/>
  <c r="W268" i="1" s="1"/>
  <c r="J235" i="1"/>
  <c r="K235" i="1"/>
  <c r="I235" i="1"/>
  <c r="H235" i="1"/>
  <c r="G235" i="1"/>
  <c r="L235" i="1"/>
  <c r="W235" i="1" s="1"/>
  <c r="K580" i="1"/>
  <c r="I580" i="1"/>
  <c r="J580" i="1"/>
  <c r="H580" i="1"/>
  <c r="G580" i="1"/>
  <c r="L580" i="1"/>
  <c r="W580" i="1" s="1"/>
  <c r="K777" i="1"/>
  <c r="I777" i="1"/>
  <c r="J777" i="1"/>
  <c r="H777" i="1"/>
  <c r="G777" i="1"/>
  <c r="L777" i="1"/>
  <c r="W777" i="1" s="1"/>
  <c r="K785" i="1"/>
  <c r="I785" i="1"/>
  <c r="J785" i="1"/>
  <c r="H785" i="1"/>
  <c r="G785" i="1"/>
  <c r="L785" i="1"/>
  <c r="W785" i="1" s="1"/>
  <c r="K1151" i="1"/>
  <c r="J1151" i="1"/>
  <c r="H1151" i="1"/>
  <c r="I1151" i="1"/>
  <c r="G1151" i="1"/>
  <c r="L1151" i="1"/>
  <c r="W1151" i="1" s="1"/>
  <c r="K1366" i="1"/>
  <c r="J1366" i="1"/>
  <c r="H1366" i="1"/>
  <c r="I1366" i="1"/>
  <c r="G1366" i="1"/>
  <c r="L1366" i="1"/>
  <c r="W1366" i="1" s="1"/>
  <c r="K1604" i="1"/>
  <c r="J1604" i="1"/>
  <c r="I1604" i="1"/>
  <c r="H1604" i="1"/>
  <c r="G1604" i="1"/>
  <c r="L1604" i="1"/>
  <c r="W1604" i="1" s="1"/>
  <c r="K1744" i="1"/>
  <c r="J1744" i="1"/>
  <c r="I1744" i="1"/>
  <c r="H1744" i="1"/>
  <c r="G1744" i="1"/>
  <c r="L1744" i="1"/>
  <c r="W1744" i="1" s="1"/>
  <c r="K414" i="1"/>
  <c r="J414" i="1"/>
  <c r="I414" i="1"/>
  <c r="H414" i="1"/>
  <c r="G414" i="1"/>
  <c r="L414" i="1"/>
  <c r="W414" i="1" s="1"/>
  <c r="J181" i="1"/>
  <c r="K181" i="1"/>
  <c r="I181" i="1"/>
  <c r="H181" i="1"/>
  <c r="G181" i="1"/>
  <c r="L181" i="1"/>
  <c r="W181" i="1" s="1"/>
  <c r="J179" i="1"/>
  <c r="K179" i="1"/>
  <c r="I179" i="1"/>
  <c r="H179" i="1"/>
  <c r="G179" i="1"/>
  <c r="L179" i="1"/>
  <c r="W179" i="1" s="1"/>
  <c r="K669" i="1"/>
  <c r="J669" i="1"/>
  <c r="H669" i="1"/>
  <c r="I669" i="1"/>
  <c r="G669" i="1"/>
  <c r="L669" i="1"/>
  <c r="W669" i="1" s="1"/>
  <c r="K987" i="1"/>
  <c r="I987" i="1"/>
  <c r="J987" i="1"/>
  <c r="H987" i="1"/>
  <c r="G987" i="1"/>
  <c r="L987" i="1"/>
  <c r="W987" i="1" s="1"/>
  <c r="K1011" i="1"/>
  <c r="I1011" i="1"/>
  <c r="J1011" i="1"/>
  <c r="H1011" i="1"/>
  <c r="G1011" i="1"/>
  <c r="L1011" i="1"/>
  <c r="W1011" i="1" s="1"/>
  <c r="K1121" i="1"/>
  <c r="J1121" i="1"/>
  <c r="I1121" i="1"/>
  <c r="H1121" i="1"/>
  <c r="G1121" i="1"/>
  <c r="L1121" i="1"/>
  <c r="W1121" i="1" s="1"/>
  <c r="K1354" i="1"/>
  <c r="J1354" i="1"/>
  <c r="H1354" i="1"/>
  <c r="I1354" i="1"/>
  <c r="G1354" i="1"/>
  <c r="L1354" i="1"/>
  <c r="W1354" i="1" s="1"/>
  <c r="K1656" i="1"/>
  <c r="J1656" i="1"/>
  <c r="I1656" i="1"/>
  <c r="H1656" i="1"/>
  <c r="G1656" i="1"/>
  <c r="L1656" i="1"/>
  <c r="W1656" i="1" s="1"/>
  <c r="K1879" i="1"/>
  <c r="J1879" i="1"/>
  <c r="I1879" i="1"/>
  <c r="G1879" i="1"/>
  <c r="H1879" i="1"/>
  <c r="L1879" i="1"/>
  <c r="W1879" i="1" s="1"/>
  <c r="K550" i="1"/>
  <c r="J550" i="1"/>
  <c r="I550" i="1"/>
  <c r="H550" i="1"/>
  <c r="G550" i="1"/>
  <c r="L550" i="1"/>
  <c r="W550" i="1" s="1"/>
  <c r="K484" i="1"/>
  <c r="I484" i="1"/>
  <c r="J484" i="1"/>
  <c r="H484" i="1"/>
  <c r="G484" i="1"/>
  <c r="L484" i="1"/>
  <c r="W484" i="1" s="1"/>
  <c r="K681" i="1"/>
  <c r="I681" i="1"/>
  <c r="J681" i="1"/>
  <c r="H681" i="1"/>
  <c r="G681" i="1"/>
  <c r="L681" i="1"/>
  <c r="W681" i="1" s="1"/>
  <c r="K689" i="1"/>
  <c r="I689" i="1"/>
  <c r="J689" i="1"/>
  <c r="H689" i="1"/>
  <c r="G689" i="1"/>
  <c r="L689" i="1"/>
  <c r="W689" i="1" s="1"/>
  <c r="K1139" i="1"/>
  <c r="I1139" i="1"/>
  <c r="J1139" i="1"/>
  <c r="H1139" i="1"/>
  <c r="G1139" i="1"/>
  <c r="L1139" i="1"/>
  <c r="W1139" i="1" s="1"/>
  <c r="K1320" i="1"/>
  <c r="J1320" i="1"/>
  <c r="H1320" i="1"/>
  <c r="I1320" i="1"/>
  <c r="G1320" i="1"/>
  <c r="L1320" i="1"/>
  <c r="W1320" i="1" s="1"/>
  <c r="K1508" i="1"/>
  <c r="J1508" i="1"/>
  <c r="I1508" i="1"/>
  <c r="G1508" i="1"/>
  <c r="H1508" i="1"/>
  <c r="L1508" i="1"/>
  <c r="W1508" i="1" s="1"/>
  <c r="K1895" i="1"/>
  <c r="J1895" i="1"/>
  <c r="I1895" i="1"/>
  <c r="G1895" i="1"/>
  <c r="H1895" i="1"/>
  <c r="L1895" i="1"/>
  <c r="W1895" i="1" s="1"/>
  <c r="K462" i="1"/>
  <c r="J462" i="1"/>
  <c r="I462" i="1"/>
  <c r="H462" i="1"/>
  <c r="G462" i="1"/>
  <c r="L462" i="1"/>
  <c r="W462" i="1" s="1"/>
  <c r="K354" i="1"/>
  <c r="J354" i="1"/>
  <c r="I354" i="1"/>
  <c r="H354" i="1"/>
  <c r="G354" i="1"/>
  <c r="L354" i="1"/>
  <c r="W354" i="1" s="1"/>
  <c r="K335" i="1"/>
  <c r="J335" i="1"/>
  <c r="I335" i="1"/>
  <c r="H335" i="1"/>
  <c r="G335" i="1"/>
  <c r="L335" i="1"/>
  <c r="W335" i="1" s="1"/>
  <c r="K297" i="1"/>
  <c r="J297" i="1"/>
  <c r="I297" i="1"/>
  <c r="H297" i="1"/>
  <c r="G297" i="1"/>
  <c r="L297" i="1"/>
  <c r="W297" i="1" s="1"/>
  <c r="K576" i="1"/>
  <c r="I576" i="1"/>
  <c r="J576" i="1"/>
  <c r="H576" i="1"/>
  <c r="G576" i="1"/>
  <c r="L576" i="1"/>
  <c r="W576" i="1" s="1"/>
  <c r="K695" i="1"/>
  <c r="I695" i="1"/>
  <c r="J695" i="1"/>
  <c r="H695" i="1"/>
  <c r="G695" i="1"/>
  <c r="L695" i="1"/>
  <c r="W695" i="1" s="1"/>
  <c r="K1061" i="1"/>
  <c r="J1061" i="1"/>
  <c r="H1061" i="1"/>
  <c r="I1061" i="1"/>
  <c r="G1061" i="1"/>
  <c r="L1061" i="1"/>
  <c r="W1061" i="1" s="1"/>
  <c r="K1330" i="1"/>
  <c r="J1330" i="1"/>
  <c r="H1330" i="1"/>
  <c r="I1330" i="1"/>
  <c r="G1330" i="1"/>
  <c r="L1330" i="1"/>
  <c r="W1330" i="1" s="1"/>
  <c r="K1404" i="1"/>
  <c r="J1404" i="1"/>
  <c r="I1404" i="1"/>
  <c r="G1404" i="1"/>
  <c r="H1404" i="1"/>
  <c r="L1404" i="1"/>
  <c r="W1404" i="1" s="1"/>
  <c r="K1750" i="1"/>
  <c r="J1750" i="1"/>
  <c r="I1750" i="1"/>
  <c r="G1750" i="1"/>
  <c r="H1750" i="1"/>
  <c r="L1750" i="1"/>
  <c r="W1750" i="1" s="1"/>
  <c r="K1903" i="1"/>
  <c r="J1903" i="1"/>
  <c r="I1903" i="1"/>
  <c r="G1903" i="1"/>
  <c r="H1903" i="1"/>
  <c r="L1903" i="1"/>
  <c r="W1903" i="1" s="1"/>
  <c r="J332" i="1"/>
  <c r="K332" i="1"/>
  <c r="I332" i="1"/>
  <c r="H332" i="1"/>
  <c r="G332" i="1"/>
  <c r="L332" i="1"/>
  <c r="W332" i="1" s="1"/>
  <c r="J221" i="1"/>
  <c r="K221" i="1"/>
  <c r="I221" i="1"/>
  <c r="H221" i="1"/>
  <c r="G221" i="1"/>
  <c r="L221" i="1"/>
  <c r="W221" i="1" s="1"/>
  <c r="K516" i="1"/>
  <c r="I516" i="1"/>
  <c r="J516" i="1"/>
  <c r="H516" i="1"/>
  <c r="G516" i="1"/>
  <c r="L516" i="1"/>
  <c r="W516" i="1" s="1"/>
  <c r="K713" i="1"/>
  <c r="I713" i="1"/>
  <c r="J713" i="1"/>
  <c r="H713" i="1"/>
  <c r="G713" i="1"/>
  <c r="L713" i="1"/>
  <c r="W713" i="1" s="1"/>
  <c r="K721" i="1"/>
  <c r="I721" i="1"/>
  <c r="J721" i="1"/>
  <c r="H721" i="1"/>
  <c r="G721" i="1"/>
  <c r="L721" i="1"/>
  <c r="W721" i="1" s="1"/>
  <c r="K1143" i="1"/>
  <c r="I1143" i="1"/>
  <c r="J1143" i="1"/>
  <c r="H1143" i="1"/>
  <c r="G1143" i="1"/>
  <c r="L1143" i="1"/>
  <c r="W1143" i="1" s="1"/>
  <c r="K1352" i="1"/>
  <c r="J1352" i="1"/>
  <c r="H1352" i="1"/>
  <c r="I1352" i="1"/>
  <c r="G1352" i="1"/>
  <c r="L1352" i="1"/>
  <c r="W1352" i="1" s="1"/>
  <c r="K1540" i="1"/>
  <c r="J1540" i="1"/>
  <c r="I1540" i="1"/>
  <c r="G1540" i="1"/>
  <c r="H1540" i="1"/>
  <c r="L1540" i="1"/>
  <c r="W1540" i="1" s="1"/>
  <c r="K1885" i="1"/>
  <c r="J1885" i="1"/>
  <c r="I1885" i="1"/>
  <c r="H1885" i="1"/>
  <c r="G1885" i="1"/>
  <c r="L1885" i="1"/>
  <c r="W1885" i="1" s="1"/>
  <c r="K446" i="1"/>
  <c r="J446" i="1"/>
  <c r="I446" i="1"/>
  <c r="H446" i="1"/>
  <c r="G446" i="1"/>
  <c r="L446" i="1"/>
  <c r="W446" i="1" s="1"/>
  <c r="K322" i="1"/>
  <c r="J322" i="1"/>
  <c r="I322" i="1"/>
  <c r="H322" i="1"/>
  <c r="G322" i="1"/>
  <c r="L322" i="1"/>
  <c r="W322" i="1" s="1"/>
  <c r="J341" i="1"/>
  <c r="K341" i="1"/>
  <c r="I341" i="1"/>
  <c r="H341" i="1"/>
  <c r="G341" i="1"/>
  <c r="L341" i="1"/>
  <c r="W341" i="1" s="1"/>
  <c r="K305" i="1"/>
  <c r="J305" i="1"/>
  <c r="I305" i="1"/>
  <c r="H305" i="1"/>
  <c r="G305" i="1"/>
  <c r="L305" i="1"/>
  <c r="W305" i="1" s="1"/>
  <c r="K637" i="1"/>
  <c r="J637" i="1"/>
  <c r="H637" i="1"/>
  <c r="I637" i="1"/>
  <c r="G637" i="1"/>
  <c r="L637" i="1"/>
  <c r="W637" i="1" s="1"/>
  <c r="K727" i="1"/>
  <c r="I727" i="1"/>
  <c r="J727" i="1"/>
  <c r="H727" i="1"/>
  <c r="G727" i="1"/>
  <c r="L727" i="1"/>
  <c r="W727" i="1" s="1"/>
  <c r="K1065" i="1"/>
  <c r="J1065" i="1"/>
  <c r="I1065" i="1"/>
  <c r="H1065" i="1"/>
  <c r="G1065" i="1"/>
  <c r="L1065" i="1"/>
  <c r="W1065" i="1" s="1"/>
  <c r="K1362" i="1"/>
  <c r="J1362" i="1"/>
  <c r="H1362" i="1"/>
  <c r="I1362" i="1"/>
  <c r="G1362" i="1"/>
  <c r="L1362" i="1"/>
  <c r="W1362" i="1" s="1"/>
  <c r="K1408" i="1"/>
  <c r="J1408" i="1"/>
  <c r="H1408" i="1"/>
  <c r="I1408" i="1"/>
  <c r="G1408" i="1"/>
  <c r="L1408" i="1"/>
  <c r="W1408" i="1" s="1"/>
  <c r="K1726" i="1"/>
  <c r="J1726" i="1"/>
  <c r="I1726" i="1"/>
  <c r="G1726" i="1"/>
  <c r="H1726" i="1"/>
  <c r="L1726" i="1"/>
  <c r="W1726" i="1" s="1"/>
  <c r="K572" i="1"/>
  <c r="I572" i="1"/>
  <c r="J572" i="1"/>
  <c r="H572" i="1"/>
  <c r="G572" i="1"/>
  <c r="L572" i="1"/>
  <c r="W572" i="1" s="1"/>
  <c r="J300" i="1"/>
  <c r="K300" i="1"/>
  <c r="I300" i="1"/>
  <c r="H300" i="1"/>
  <c r="G300" i="1"/>
  <c r="L300" i="1"/>
  <c r="W300" i="1" s="1"/>
  <c r="J237" i="1"/>
  <c r="K237" i="1"/>
  <c r="I237" i="1"/>
  <c r="H237" i="1"/>
  <c r="G237" i="1"/>
  <c r="L237" i="1"/>
  <c r="W237" i="1" s="1"/>
  <c r="J229" i="1"/>
  <c r="K229" i="1"/>
  <c r="I229" i="1"/>
  <c r="H229" i="1"/>
  <c r="G229" i="1"/>
  <c r="L229" i="1"/>
  <c r="W229" i="1" s="1"/>
  <c r="K548" i="1"/>
  <c r="I548" i="1"/>
  <c r="J548" i="1"/>
  <c r="H548" i="1"/>
  <c r="G548" i="1"/>
  <c r="L548" i="1"/>
  <c r="W548" i="1" s="1"/>
  <c r="K745" i="1"/>
  <c r="I745" i="1"/>
  <c r="J745" i="1"/>
  <c r="H745" i="1"/>
  <c r="G745" i="1"/>
  <c r="L745" i="1"/>
  <c r="W745" i="1" s="1"/>
  <c r="K753" i="1"/>
  <c r="I753" i="1"/>
  <c r="J753" i="1"/>
  <c r="H753" i="1"/>
  <c r="G753" i="1"/>
  <c r="L753" i="1"/>
  <c r="W753" i="1" s="1"/>
  <c r="K1147" i="1"/>
  <c r="J1147" i="1"/>
  <c r="H1147" i="1"/>
  <c r="I1147" i="1"/>
  <c r="G1147" i="1"/>
  <c r="L1147" i="1"/>
  <c r="W1147" i="1" s="1"/>
  <c r="K1350" i="1"/>
  <c r="J1350" i="1"/>
  <c r="H1350" i="1"/>
  <c r="I1350" i="1"/>
  <c r="G1350" i="1"/>
  <c r="L1350" i="1"/>
  <c r="W1350" i="1" s="1"/>
  <c r="K1572" i="1"/>
  <c r="J1572" i="1"/>
  <c r="I1572" i="1"/>
  <c r="G1572" i="1"/>
  <c r="H1572" i="1"/>
  <c r="L1572" i="1"/>
  <c r="W1572" i="1" s="1"/>
  <c r="K1863" i="1"/>
  <c r="J1863" i="1"/>
  <c r="I1863" i="1"/>
  <c r="G1863" i="1"/>
  <c r="H1863" i="1"/>
  <c r="L1863" i="1"/>
  <c r="W1863" i="1" s="1"/>
  <c r="K430" i="1"/>
  <c r="J430" i="1"/>
  <c r="I430" i="1"/>
  <c r="H430" i="1"/>
  <c r="G430" i="1"/>
  <c r="L430" i="1"/>
  <c r="W430" i="1" s="1"/>
  <c r="J53" i="1"/>
  <c r="K53" i="1"/>
  <c r="I53" i="1"/>
  <c r="H53" i="1"/>
  <c r="G53" i="1"/>
  <c r="L53" i="1"/>
  <c r="W53" i="1" s="1"/>
  <c r="K97" i="1"/>
  <c r="J97" i="1"/>
  <c r="I97" i="1"/>
  <c r="H97" i="1"/>
  <c r="G97" i="1"/>
  <c r="L97" i="1"/>
  <c r="W97" i="1" s="1"/>
  <c r="K143" i="1"/>
  <c r="J143" i="1"/>
  <c r="I143" i="1"/>
  <c r="H143" i="1"/>
  <c r="G143" i="1"/>
  <c r="L143" i="1"/>
  <c r="W143" i="1" s="1"/>
  <c r="K57" i="1"/>
  <c r="J57" i="1"/>
  <c r="I57" i="1"/>
  <c r="H57" i="1"/>
  <c r="G57" i="1"/>
  <c r="L57" i="1"/>
  <c r="W57" i="1" s="1"/>
  <c r="J101" i="1"/>
  <c r="K101" i="1"/>
  <c r="I101" i="1"/>
  <c r="H101" i="1"/>
  <c r="G101" i="1"/>
  <c r="L101" i="1"/>
  <c r="W101" i="1" s="1"/>
  <c r="K151" i="1"/>
  <c r="J151" i="1"/>
  <c r="I151" i="1"/>
  <c r="H151" i="1"/>
  <c r="G151" i="1"/>
  <c r="L151" i="1"/>
  <c r="W151" i="1" s="1"/>
  <c r="K71" i="1"/>
  <c r="J71" i="1"/>
  <c r="I71" i="1"/>
  <c r="H71" i="1"/>
  <c r="G71" i="1"/>
  <c r="L71" i="1"/>
  <c r="W71" i="1" s="1"/>
  <c r="J123" i="1"/>
  <c r="K123" i="1"/>
  <c r="I123" i="1"/>
  <c r="H123" i="1"/>
  <c r="G123" i="1"/>
  <c r="L123" i="1"/>
  <c r="W123" i="1" s="1"/>
  <c r="K42" i="1"/>
  <c r="J42" i="1"/>
  <c r="I42" i="1"/>
  <c r="H42" i="1"/>
  <c r="G42" i="1"/>
  <c r="L42" i="1"/>
  <c r="W42" i="1" s="1"/>
  <c r="K88" i="1"/>
  <c r="J88" i="1"/>
  <c r="I88" i="1"/>
  <c r="H88" i="1"/>
  <c r="G88" i="1"/>
  <c r="L88" i="1"/>
  <c r="W88" i="1" s="1"/>
  <c r="K112" i="1"/>
  <c r="J112" i="1"/>
  <c r="I112" i="1"/>
  <c r="H112" i="1"/>
  <c r="G112" i="1"/>
  <c r="L112" i="1"/>
  <c r="W112" i="1" s="1"/>
  <c r="K128" i="1"/>
  <c r="J128" i="1"/>
  <c r="I128" i="1"/>
  <c r="H128" i="1"/>
  <c r="G128" i="1"/>
  <c r="L128" i="1"/>
  <c r="W128" i="1" s="1"/>
  <c r="J148" i="1"/>
  <c r="K148" i="1"/>
  <c r="I148" i="1"/>
  <c r="H148" i="1"/>
  <c r="G148" i="1"/>
  <c r="L148" i="1"/>
  <c r="W148" i="1" s="1"/>
  <c r="J164" i="1"/>
  <c r="K164" i="1"/>
  <c r="I164" i="1"/>
  <c r="H164" i="1"/>
  <c r="G164" i="1"/>
  <c r="L164" i="1"/>
  <c r="W164" i="1" s="1"/>
  <c r="K46" i="1"/>
  <c r="J46" i="1"/>
  <c r="I46" i="1"/>
  <c r="H46" i="1"/>
  <c r="G46" i="1"/>
  <c r="L46" i="1"/>
  <c r="W46" i="1" s="1"/>
  <c r="J92" i="1"/>
  <c r="K92" i="1"/>
  <c r="I92" i="1"/>
  <c r="H92" i="1"/>
  <c r="G92" i="1"/>
  <c r="L92" i="1"/>
  <c r="W92" i="1" s="1"/>
  <c r="K50" i="1"/>
  <c r="J50" i="1"/>
  <c r="I50" i="1"/>
  <c r="H50" i="1"/>
  <c r="G50" i="1"/>
  <c r="L50" i="1"/>
  <c r="W50" i="1" s="1"/>
  <c r="J155" i="1"/>
  <c r="K155" i="1"/>
  <c r="I155" i="1"/>
  <c r="H155" i="1"/>
  <c r="G155" i="1"/>
  <c r="L155" i="1"/>
  <c r="W155" i="1" s="1"/>
  <c r="L25" i="1"/>
  <c r="W25" i="1" s="1"/>
  <c r="K1994" i="1"/>
  <c r="J1994" i="1"/>
  <c r="I1994" i="1"/>
  <c r="G1994" i="1"/>
  <c r="H1994" i="1"/>
  <c r="L1994" i="1"/>
  <c r="W1994" i="1" s="1"/>
  <c r="K1915" i="1"/>
  <c r="J1915" i="1"/>
  <c r="I1915" i="1"/>
  <c r="H1915" i="1"/>
  <c r="G1915" i="1"/>
  <c r="L1915" i="1"/>
  <c r="W1915" i="1" s="1"/>
  <c r="K1311" i="1"/>
  <c r="J1311" i="1"/>
  <c r="H1311" i="1"/>
  <c r="I1311" i="1"/>
  <c r="G1311" i="1"/>
  <c r="L1311" i="1"/>
  <c r="W1311" i="1" s="1"/>
  <c r="J11" i="1"/>
  <c r="K11" i="1"/>
  <c r="I11" i="1"/>
  <c r="H11" i="1"/>
  <c r="G11" i="1"/>
  <c r="K1904" i="1"/>
  <c r="J1904" i="1"/>
  <c r="I1904" i="1"/>
  <c r="H1904" i="1"/>
  <c r="G1904" i="1"/>
  <c r="L1904" i="1"/>
  <c r="W1904" i="1" s="1"/>
  <c r="K1960" i="1"/>
  <c r="J1960" i="1"/>
  <c r="I1960" i="1"/>
  <c r="H1960" i="1"/>
  <c r="G1960" i="1"/>
  <c r="L1960" i="1"/>
  <c r="W1960" i="1" s="1"/>
  <c r="K1883" i="1"/>
  <c r="J1883" i="1"/>
  <c r="I1883" i="1"/>
  <c r="H1883" i="1"/>
  <c r="G1883" i="1"/>
  <c r="L1883" i="1"/>
  <c r="W1883" i="1" s="1"/>
  <c r="K1800" i="1"/>
  <c r="J1800" i="1"/>
  <c r="I1800" i="1"/>
  <c r="H1800" i="1"/>
  <c r="G1800" i="1"/>
  <c r="L1800" i="1"/>
  <c r="W1800" i="1" s="1"/>
  <c r="K1616" i="1"/>
  <c r="J1616" i="1"/>
  <c r="I1616" i="1"/>
  <c r="H1616" i="1"/>
  <c r="G1616" i="1"/>
  <c r="L1616" i="1"/>
  <c r="W1616" i="1" s="1"/>
  <c r="K892" i="1"/>
  <c r="J892" i="1"/>
  <c r="I892" i="1"/>
  <c r="H892" i="1"/>
  <c r="G892" i="1"/>
  <c r="L892" i="1"/>
  <c r="W892" i="1" s="1"/>
  <c r="K1423" i="1"/>
  <c r="J1423" i="1"/>
  <c r="H1423" i="1"/>
  <c r="I1423" i="1"/>
  <c r="G1423" i="1"/>
  <c r="L1423" i="1"/>
  <c r="W1423" i="1" s="1"/>
  <c r="K680" i="1"/>
  <c r="I680" i="1"/>
  <c r="J680" i="1"/>
  <c r="H680" i="1"/>
  <c r="G680" i="1"/>
  <c r="L680" i="1"/>
  <c r="W680" i="1" s="1"/>
  <c r="K1429" i="1"/>
  <c r="J1429" i="1"/>
  <c r="H1429" i="1"/>
  <c r="I1429" i="1"/>
  <c r="G1429" i="1"/>
  <c r="L1429" i="1"/>
  <c r="W1429" i="1" s="1"/>
  <c r="K1279" i="1"/>
  <c r="J1279" i="1"/>
  <c r="H1279" i="1"/>
  <c r="I1279" i="1"/>
  <c r="G1279" i="1"/>
  <c r="L1279" i="1"/>
  <c r="W1279" i="1" s="1"/>
  <c r="K1969" i="1"/>
  <c r="J1969" i="1"/>
  <c r="I1969" i="1"/>
  <c r="H1969" i="1"/>
  <c r="G1969" i="1"/>
  <c r="L1969" i="1"/>
  <c r="W1969" i="1" s="1"/>
  <c r="K1150" i="1"/>
  <c r="J1150" i="1"/>
  <c r="H1150" i="1"/>
  <c r="I1150" i="1"/>
  <c r="G1150" i="1"/>
  <c r="L1150" i="1"/>
  <c r="W1150" i="1" s="1"/>
  <c r="K16" i="1"/>
  <c r="J16" i="1"/>
  <c r="I16" i="1"/>
  <c r="H16" i="1"/>
  <c r="G16" i="1"/>
  <c r="K1989" i="1"/>
  <c r="J1989" i="1"/>
  <c r="I1989" i="1"/>
  <c r="H1989" i="1"/>
  <c r="G1989" i="1"/>
  <c r="L1989" i="1"/>
  <c r="W1989" i="1" s="1"/>
  <c r="K2010" i="1"/>
  <c r="J2010" i="1"/>
  <c r="I2010" i="1"/>
  <c r="G2010" i="1"/>
  <c r="H2010" i="1"/>
  <c r="L2010" i="1"/>
  <c r="W2010" i="1" s="1"/>
  <c r="K1862" i="1"/>
  <c r="J1862" i="1"/>
  <c r="I1862" i="1"/>
  <c r="G1862" i="1"/>
  <c r="H1862" i="1"/>
  <c r="L1862" i="1"/>
  <c r="W1862" i="1" s="1"/>
  <c r="K1619" i="1"/>
  <c r="J1619" i="1"/>
  <c r="I1619" i="1"/>
  <c r="H1619" i="1"/>
  <c r="G1619" i="1"/>
  <c r="L1619" i="1"/>
  <c r="W1619" i="1" s="1"/>
  <c r="K1735" i="1"/>
  <c r="J1735" i="1"/>
  <c r="I1735" i="1"/>
  <c r="G1735" i="1"/>
  <c r="H1735" i="1"/>
  <c r="L1735" i="1"/>
  <c r="W1735" i="1" s="1"/>
  <c r="K1855" i="1"/>
  <c r="J1855" i="1"/>
  <c r="I1855" i="1"/>
  <c r="G1855" i="1"/>
  <c r="H1855" i="1"/>
  <c r="L1855" i="1"/>
  <c r="W1855" i="1" s="1"/>
  <c r="K1453" i="1"/>
  <c r="J1453" i="1"/>
  <c r="H1453" i="1"/>
  <c r="I1453" i="1"/>
  <c r="G1453" i="1"/>
  <c r="L1453" i="1"/>
  <c r="W1453" i="1" s="1"/>
  <c r="K1734" i="1"/>
  <c r="J1734" i="1"/>
  <c r="I1734" i="1"/>
  <c r="G1734" i="1"/>
  <c r="H1734" i="1"/>
  <c r="L1734" i="1"/>
  <c r="W1734" i="1" s="1"/>
  <c r="K1022" i="1"/>
  <c r="J1022" i="1"/>
  <c r="H1022" i="1"/>
  <c r="I1022" i="1"/>
  <c r="G1022" i="1"/>
  <c r="L1022" i="1"/>
  <c r="W1022" i="1" s="1"/>
  <c r="K1659" i="1"/>
  <c r="J1659" i="1"/>
  <c r="I1659" i="1"/>
  <c r="H1659" i="1"/>
  <c r="G1659" i="1"/>
  <c r="L1659" i="1"/>
  <c r="W1659" i="1" s="1"/>
  <c r="K1349" i="1"/>
  <c r="J1349" i="1"/>
  <c r="H1349" i="1"/>
  <c r="I1349" i="1"/>
  <c r="G1349" i="1"/>
  <c r="L1349" i="1"/>
  <c r="W1349" i="1" s="1"/>
  <c r="K555" i="1"/>
  <c r="I555" i="1"/>
  <c r="J555" i="1"/>
  <c r="H555" i="1"/>
  <c r="G555" i="1"/>
  <c r="L555" i="1"/>
  <c r="W555" i="1" s="1"/>
  <c r="K1515" i="1"/>
  <c r="J1515" i="1"/>
  <c r="H1515" i="1"/>
  <c r="I1515" i="1"/>
  <c r="G1515" i="1"/>
  <c r="L1515" i="1"/>
  <c r="W1515" i="1" s="1"/>
  <c r="K1177" i="1"/>
  <c r="J1177" i="1"/>
  <c r="H1177" i="1"/>
  <c r="I1177" i="1"/>
  <c r="G1177" i="1"/>
  <c r="L1177" i="1"/>
  <c r="W1177" i="1" s="1"/>
  <c r="K17" i="1"/>
  <c r="J17" i="1"/>
  <c r="I17" i="1"/>
  <c r="H17" i="1"/>
  <c r="G17" i="1"/>
  <c r="K24" i="1"/>
  <c r="J24" i="1"/>
  <c r="I24" i="1"/>
  <c r="H24" i="1"/>
  <c r="G24" i="1"/>
  <c r="J27" i="1"/>
  <c r="K27" i="1"/>
  <c r="I27" i="1"/>
  <c r="H27" i="1"/>
  <c r="G27" i="1"/>
  <c r="K1966" i="1"/>
  <c r="J1966" i="1"/>
  <c r="I1966" i="1"/>
  <c r="G1966" i="1"/>
  <c r="H1966" i="1"/>
  <c r="L1966" i="1"/>
  <c r="W1966" i="1" s="1"/>
  <c r="K1976" i="1"/>
  <c r="J1976" i="1"/>
  <c r="I1976" i="1"/>
  <c r="H1976" i="1"/>
  <c r="G1976" i="1"/>
  <c r="L1976" i="1"/>
  <c r="W1976" i="1" s="1"/>
  <c r="K1973" i="1"/>
  <c r="J1973" i="1"/>
  <c r="I1973" i="1"/>
  <c r="H1973" i="1"/>
  <c r="G1973" i="1"/>
  <c r="L1973" i="1"/>
  <c r="W1973" i="1" s="1"/>
  <c r="K1921" i="1"/>
  <c r="J1921" i="1"/>
  <c r="I1921" i="1"/>
  <c r="H1921" i="1"/>
  <c r="G1921" i="1"/>
  <c r="L1921" i="1"/>
  <c r="W1921" i="1" s="1"/>
  <c r="K2000" i="1"/>
  <c r="J2000" i="1"/>
  <c r="I2000" i="1"/>
  <c r="H2000" i="1"/>
  <c r="G2000" i="1"/>
  <c r="L2000" i="1"/>
  <c r="W2000" i="1" s="1"/>
  <c r="K1957" i="1"/>
  <c r="J1957" i="1"/>
  <c r="I1957" i="1"/>
  <c r="H1957" i="1"/>
  <c r="G1957" i="1"/>
  <c r="L1957" i="1"/>
  <c r="W1957" i="1" s="1"/>
  <c r="K1941" i="1"/>
  <c r="J1941" i="1"/>
  <c r="I1941" i="1"/>
  <c r="H1941" i="1"/>
  <c r="G1941" i="1"/>
  <c r="L1941" i="1"/>
  <c r="W1941" i="1" s="1"/>
  <c r="K1912" i="1"/>
  <c r="J1912" i="1"/>
  <c r="I1912" i="1"/>
  <c r="H1912" i="1"/>
  <c r="G1912" i="1"/>
  <c r="L1912" i="1"/>
  <c r="W1912" i="1" s="1"/>
  <c r="K1979" i="1"/>
  <c r="J1979" i="1"/>
  <c r="I1979" i="1"/>
  <c r="H1979" i="1"/>
  <c r="G1979" i="1"/>
  <c r="L1979" i="1"/>
  <c r="W1979" i="1" s="1"/>
  <c r="K1911" i="1"/>
  <c r="J1911" i="1"/>
  <c r="I1911" i="1"/>
  <c r="G1911" i="1"/>
  <c r="H1911" i="1"/>
  <c r="L1911" i="1"/>
  <c r="W1911" i="1" s="1"/>
  <c r="K1753" i="1"/>
  <c r="J1753" i="1"/>
  <c r="I1753" i="1"/>
  <c r="H1753" i="1"/>
  <c r="G1753" i="1"/>
  <c r="L1753" i="1"/>
  <c r="W1753" i="1" s="1"/>
  <c r="K1507" i="1"/>
  <c r="J1507" i="1"/>
  <c r="H1507" i="1"/>
  <c r="I1507" i="1"/>
  <c r="G1507" i="1"/>
  <c r="L1507" i="1"/>
  <c r="W1507" i="1" s="1"/>
  <c r="K1641" i="1"/>
  <c r="J1641" i="1"/>
  <c r="I1641" i="1"/>
  <c r="H1641" i="1"/>
  <c r="G1641" i="1"/>
  <c r="L1641" i="1"/>
  <c r="W1641" i="1" s="1"/>
  <c r="K1695" i="1"/>
  <c r="J1695" i="1"/>
  <c r="I1695" i="1"/>
  <c r="G1695" i="1"/>
  <c r="H1695" i="1"/>
  <c r="L1695" i="1"/>
  <c r="W1695" i="1" s="1"/>
  <c r="K1341" i="1"/>
  <c r="J1341" i="1"/>
  <c r="H1341" i="1"/>
  <c r="I1341" i="1"/>
  <c r="G1341" i="1"/>
  <c r="L1341" i="1"/>
  <c r="W1341" i="1" s="1"/>
  <c r="K1169" i="1"/>
  <c r="J1169" i="1"/>
  <c r="H1169" i="1"/>
  <c r="I1169" i="1"/>
  <c r="G1169" i="1"/>
  <c r="L1169" i="1"/>
  <c r="W1169" i="1" s="1"/>
  <c r="K1654" i="1"/>
  <c r="J1654" i="1"/>
  <c r="I1654" i="1"/>
  <c r="G1654" i="1"/>
  <c r="H1654" i="1"/>
  <c r="L1654" i="1"/>
  <c r="W1654" i="1" s="1"/>
  <c r="K1086" i="1"/>
  <c r="J1086" i="1"/>
  <c r="I1086" i="1"/>
  <c r="H1086" i="1"/>
  <c r="G1086" i="1"/>
  <c r="L1086" i="1"/>
  <c r="W1086" i="1" s="1"/>
  <c r="K1106" i="1"/>
  <c r="J1106" i="1"/>
  <c r="I1106" i="1"/>
  <c r="H1106" i="1"/>
  <c r="G1106" i="1"/>
  <c r="L1106" i="1"/>
  <c r="W1106" i="1" s="1"/>
  <c r="K1778" i="1"/>
  <c r="J1778" i="1"/>
  <c r="I1778" i="1"/>
  <c r="G1778" i="1"/>
  <c r="H1778" i="1"/>
  <c r="L1778" i="1"/>
  <c r="W1778" i="1" s="1"/>
  <c r="K1531" i="1"/>
  <c r="J1531" i="1"/>
  <c r="H1531" i="1"/>
  <c r="I1531" i="1"/>
  <c r="G1531" i="1"/>
  <c r="L1531" i="1"/>
  <c r="W1531" i="1" s="1"/>
  <c r="K1537" i="1"/>
  <c r="J1537" i="1"/>
  <c r="H1537" i="1"/>
  <c r="I1537" i="1"/>
  <c r="G1537" i="1"/>
  <c r="L1537" i="1"/>
  <c r="W1537" i="1" s="1"/>
  <c r="K1722" i="1"/>
  <c r="J1722" i="1"/>
  <c r="I1722" i="1"/>
  <c r="G1722" i="1"/>
  <c r="H1722" i="1"/>
  <c r="L1722" i="1"/>
  <c r="W1722" i="1" s="1"/>
  <c r="K1221" i="1"/>
  <c r="J1221" i="1"/>
  <c r="H1221" i="1"/>
  <c r="I1221" i="1"/>
  <c r="G1221" i="1"/>
  <c r="L1221" i="1"/>
  <c r="W1221" i="1" s="1"/>
  <c r="K1193" i="1"/>
  <c r="J1193" i="1"/>
  <c r="H1193" i="1"/>
  <c r="I1193" i="1"/>
  <c r="G1193" i="1"/>
  <c r="L1193" i="1"/>
  <c r="W1193" i="1" s="1"/>
  <c r="K602" i="1"/>
  <c r="I602" i="1"/>
  <c r="J602" i="1"/>
  <c r="H602" i="1"/>
  <c r="G602" i="1"/>
  <c r="L602" i="1"/>
  <c r="W602" i="1" s="1"/>
  <c r="K463" i="1"/>
  <c r="I463" i="1"/>
  <c r="J463" i="1"/>
  <c r="H463" i="1"/>
  <c r="G463" i="1"/>
  <c r="L463" i="1"/>
  <c r="W463" i="1" s="1"/>
  <c r="K1827" i="1"/>
  <c r="J1827" i="1"/>
  <c r="I1827" i="1"/>
  <c r="H1827" i="1"/>
  <c r="G1827" i="1"/>
  <c r="L1827" i="1"/>
  <c r="W1827" i="1" s="1"/>
  <c r="K1639" i="1"/>
  <c r="J1639" i="1"/>
  <c r="I1639" i="1"/>
  <c r="G1639" i="1"/>
  <c r="H1639" i="1"/>
  <c r="L1639" i="1"/>
  <c r="W1639" i="1" s="1"/>
  <c r="K1677" i="1"/>
  <c r="J1677" i="1"/>
  <c r="I1677" i="1"/>
  <c r="H1677" i="1"/>
  <c r="G1677" i="1"/>
  <c r="L1677" i="1"/>
  <c r="W1677" i="1" s="1"/>
  <c r="K1712" i="1"/>
  <c r="J1712" i="1"/>
  <c r="I1712" i="1"/>
  <c r="H1712" i="1"/>
  <c r="G1712" i="1"/>
  <c r="L1712" i="1"/>
  <c r="W1712" i="1" s="1"/>
  <c r="K1586" i="1"/>
  <c r="J1586" i="1"/>
  <c r="H1586" i="1"/>
  <c r="I1586" i="1"/>
  <c r="G1586" i="1"/>
  <c r="L1586" i="1"/>
  <c r="W1586" i="1" s="1"/>
  <c r="K1373" i="1"/>
  <c r="J1373" i="1"/>
  <c r="H1373" i="1"/>
  <c r="I1373" i="1"/>
  <c r="G1373" i="1"/>
  <c r="L1373" i="1"/>
  <c r="W1373" i="1" s="1"/>
  <c r="K1367" i="1"/>
  <c r="J1367" i="1"/>
  <c r="H1367" i="1"/>
  <c r="I1367" i="1"/>
  <c r="G1367" i="1"/>
  <c r="L1367" i="1"/>
  <c r="W1367" i="1" s="1"/>
  <c r="K1104" i="1"/>
  <c r="J1104" i="1"/>
  <c r="H1104" i="1"/>
  <c r="I1104" i="1"/>
  <c r="G1104" i="1"/>
  <c r="L1104" i="1"/>
  <c r="W1104" i="1" s="1"/>
  <c r="K1970" i="1"/>
  <c r="J1970" i="1"/>
  <c r="I1970" i="1"/>
  <c r="G1970" i="1"/>
  <c r="H1970" i="1"/>
  <c r="L1970" i="1"/>
  <c r="W1970" i="1" s="1"/>
  <c r="K1958" i="1"/>
  <c r="J1958" i="1"/>
  <c r="I1958" i="1"/>
  <c r="G1958" i="1"/>
  <c r="H1958" i="1"/>
  <c r="L1958" i="1"/>
  <c r="W1958" i="1" s="1"/>
  <c r="K1755" i="1"/>
  <c r="J1755" i="1"/>
  <c r="I1755" i="1"/>
  <c r="H1755" i="1"/>
  <c r="G1755" i="1"/>
  <c r="L1755" i="1"/>
  <c r="W1755" i="1" s="1"/>
  <c r="K1669" i="1"/>
  <c r="J1669" i="1"/>
  <c r="I1669" i="1"/>
  <c r="H1669" i="1"/>
  <c r="G1669" i="1"/>
  <c r="L1669" i="1"/>
  <c r="W1669" i="1" s="1"/>
  <c r="K1465" i="1"/>
  <c r="J1465" i="1"/>
  <c r="H1465" i="1"/>
  <c r="I1465" i="1"/>
  <c r="G1465" i="1"/>
  <c r="L1465" i="1"/>
  <c r="W1465" i="1" s="1"/>
  <c r="K1519" i="1"/>
  <c r="J1519" i="1"/>
  <c r="H1519" i="1"/>
  <c r="I1519" i="1"/>
  <c r="G1519" i="1"/>
  <c r="L1519" i="1"/>
  <c r="W1519" i="1" s="1"/>
  <c r="K1165" i="1"/>
  <c r="J1165" i="1"/>
  <c r="H1165" i="1"/>
  <c r="I1165" i="1"/>
  <c r="G1165" i="1"/>
  <c r="L1165" i="1"/>
  <c r="W1165" i="1" s="1"/>
  <c r="K1331" i="1"/>
  <c r="J1331" i="1"/>
  <c r="H1331" i="1"/>
  <c r="I1331" i="1"/>
  <c r="G1331" i="1"/>
  <c r="L1331" i="1"/>
  <c r="W1331" i="1" s="1"/>
  <c r="K1566" i="1"/>
  <c r="J1566" i="1"/>
  <c r="I1566" i="1"/>
  <c r="G1566" i="1"/>
  <c r="H1566" i="1"/>
  <c r="L1566" i="1"/>
  <c r="W1566" i="1" s="1"/>
  <c r="K840" i="1"/>
  <c r="I840" i="1"/>
  <c r="J840" i="1"/>
  <c r="H840" i="1"/>
  <c r="G840" i="1"/>
  <c r="L840" i="1"/>
  <c r="W840" i="1" s="1"/>
  <c r="K1044" i="1"/>
  <c r="J1044" i="1"/>
  <c r="I1044" i="1"/>
  <c r="G1044" i="1"/>
  <c r="H1044" i="1"/>
  <c r="L1044" i="1"/>
  <c r="W1044" i="1" s="1"/>
  <c r="K1956" i="1"/>
  <c r="J1956" i="1"/>
  <c r="I1956" i="1"/>
  <c r="H1956" i="1"/>
  <c r="G1956" i="1"/>
  <c r="L1956" i="1"/>
  <c r="W1956" i="1" s="1"/>
  <c r="K1781" i="1"/>
  <c r="J1781" i="1"/>
  <c r="I1781" i="1"/>
  <c r="H1781" i="1"/>
  <c r="G1781" i="1"/>
  <c r="L1781" i="1"/>
  <c r="W1781" i="1" s="1"/>
  <c r="K1795" i="1"/>
  <c r="J1795" i="1"/>
  <c r="I1795" i="1"/>
  <c r="H1795" i="1"/>
  <c r="G1795" i="1"/>
  <c r="L1795" i="1"/>
  <c r="W1795" i="1" s="1"/>
  <c r="K1607" i="1"/>
  <c r="J1607" i="1"/>
  <c r="I1607" i="1"/>
  <c r="G1607" i="1"/>
  <c r="H1607" i="1"/>
  <c r="L1607" i="1"/>
  <c r="W1607" i="1" s="1"/>
  <c r="K1645" i="1"/>
  <c r="J1645" i="1"/>
  <c r="I1645" i="1"/>
  <c r="H1645" i="1"/>
  <c r="G1645" i="1"/>
  <c r="L1645" i="1"/>
  <c r="W1645" i="1" s="1"/>
  <c r="K1680" i="1"/>
  <c r="J1680" i="1"/>
  <c r="I1680" i="1"/>
  <c r="H1680" i="1"/>
  <c r="G1680" i="1"/>
  <c r="L1680" i="1"/>
  <c r="W1680" i="1" s="1"/>
  <c r="K1554" i="1"/>
  <c r="J1554" i="1"/>
  <c r="H1554" i="1"/>
  <c r="I1554" i="1"/>
  <c r="G1554" i="1"/>
  <c r="L1554" i="1"/>
  <c r="W1554" i="1" s="1"/>
  <c r="K1351" i="1"/>
  <c r="J1351" i="1"/>
  <c r="H1351" i="1"/>
  <c r="I1351" i="1"/>
  <c r="G1351" i="1"/>
  <c r="L1351" i="1"/>
  <c r="W1351" i="1" s="1"/>
  <c r="K1339" i="1"/>
  <c r="J1339" i="1"/>
  <c r="H1339" i="1"/>
  <c r="I1339" i="1"/>
  <c r="G1339" i="1"/>
  <c r="L1339" i="1"/>
  <c r="W1339" i="1" s="1"/>
  <c r="K1052" i="1"/>
  <c r="J1052" i="1"/>
  <c r="I1052" i="1"/>
  <c r="H1052" i="1"/>
  <c r="G1052" i="1"/>
  <c r="L1052" i="1"/>
  <c r="W1052" i="1" s="1"/>
  <c r="K2018" i="1"/>
  <c r="J2018" i="1"/>
  <c r="I2018" i="1"/>
  <c r="G2018" i="1"/>
  <c r="H2018" i="1"/>
  <c r="L2018" i="1"/>
  <c r="W2018" i="1" s="1"/>
  <c r="K2006" i="1"/>
  <c r="J2006" i="1"/>
  <c r="I2006" i="1"/>
  <c r="G2006" i="1"/>
  <c r="H2006" i="1"/>
  <c r="L2006" i="1"/>
  <c r="W2006" i="1" s="1"/>
  <c r="K1858" i="1"/>
  <c r="J1858" i="1"/>
  <c r="I1858" i="1"/>
  <c r="G1858" i="1"/>
  <c r="H1858" i="1"/>
  <c r="L1858" i="1"/>
  <c r="W1858" i="1" s="1"/>
  <c r="K1427" i="1"/>
  <c r="J1427" i="1"/>
  <c r="H1427" i="1"/>
  <c r="I1427" i="1"/>
  <c r="G1427" i="1"/>
  <c r="L1427" i="1"/>
  <c r="W1427" i="1" s="1"/>
  <c r="K1561" i="1"/>
  <c r="J1561" i="1"/>
  <c r="H1561" i="1"/>
  <c r="I1561" i="1"/>
  <c r="G1561" i="1"/>
  <c r="L1561" i="1"/>
  <c r="W1561" i="1" s="1"/>
  <c r="K1615" i="1"/>
  <c r="J1615" i="1"/>
  <c r="I1615" i="1"/>
  <c r="G1615" i="1"/>
  <c r="H1615" i="1"/>
  <c r="L1615" i="1"/>
  <c r="W1615" i="1" s="1"/>
  <c r="K1261" i="1"/>
  <c r="J1261" i="1"/>
  <c r="H1261" i="1"/>
  <c r="I1261" i="1"/>
  <c r="G1261" i="1"/>
  <c r="L1261" i="1"/>
  <c r="W1261" i="1" s="1"/>
  <c r="K1395" i="1"/>
  <c r="J1395" i="1"/>
  <c r="H1395" i="1"/>
  <c r="I1395" i="1"/>
  <c r="G1395" i="1"/>
  <c r="L1395" i="1"/>
  <c r="W1395" i="1" s="1"/>
  <c r="K1614" i="1"/>
  <c r="J1614" i="1"/>
  <c r="I1614" i="1"/>
  <c r="G1614" i="1"/>
  <c r="H1614" i="1"/>
  <c r="L1614" i="1"/>
  <c r="W1614" i="1" s="1"/>
  <c r="K984" i="1"/>
  <c r="I984" i="1"/>
  <c r="J984" i="1"/>
  <c r="H984" i="1"/>
  <c r="G984" i="1"/>
  <c r="L984" i="1"/>
  <c r="W984" i="1" s="1"/>
  <c r="K978" i="1"/>
  <c r="I978" i="1"/>
  <c r="J978" i="1"/>
  <c r="H978" i="1"/>
  <c r="G978" i="1"/>
  <c r="L978" i="1"/>
  <c r="W978" i="1" s="1"/>
  <c r="K1940" i="1"/>
  <c r="J1940" i="1"/>
  <c r="I1940" i="1"/>
  <c r="H1940" i="1"/>
  <c r="G1940" i="1"/>
  <c r="L1940" i="1"/>
  <c r="W1940" i="1" s="1"/>
  <c r="K1909" i="1"/>
  <c r="J1909" i="1"/>
  <c r="I1909" i="1"/>
  <c r="H1909" i="1"/>
  <c r="G1909" i="1"/>
  <c r="L1909" i="1"/>
  <c r="W1909" i="1" s="1"/>
  <c r="K1832" i="1"/>
  <c r="J1832" i="1"/>
  <c r="I1832" i="1"/>
  <c r="H1832" i="1"/>
  <c r="G1832" i="1"/>
  <c r="L1832" i="1"/>
  <c r="W1832" i="1" s="1"/>
  <c r="K1575" i="1"/>
  <c r="J1575" i="1"/>
  <c r="H1575" i="1"/>
  <c r="I1575" i="1"/>
  <c r="G1575" i="1"/>
  <c r="L1575" i="1"/>
  <c r="W1575" i="1" s="1"/>
  <c r="K1613" i="1"/>
  <c r="J1613" i="1"/>
  <c r="I1613" i="1"/>
  <c r="H1613" i="1"/>
  <c r="G1613" i="1"/>
  <c r="L1613" i="1"/>
  <c r="W1613" i="1" s="1"/>
  <c r="K1648" i="1"/>
  <c r="J1648" i="1"/>
  <c r="I1648" i="1"/>
  <c r="H1648" i="1"/>
  <c r="G1648" i="1"/>
  <c r="L1648" i="1"/>
  <c r="W1648" i="1" s="1"/>
  <c r="K1522" i="1"/>
  <c r="J1522" i="1"/>
  <c r="H1522" i="1"/>
  <c r="I1522" i="1"/>
  <c r="G1522" i="1"/>
  <c r="L1522" i="1"/>
  <c r="W1522" i="1" s="1"/>
  <c r="K1319" i="1"/>
  <c r="J1319" i="1"/>
  <c r="H1319" i="1"/>
  <c r="I1319" i="1"/>
  <c r="G1319" i="1"/>
  <c r="L1319" i="1"/>
  <c r="W1319" i="1" s="1"/>
  <c r="K1291" i="1"/>
  <c r="J1291" i="1"/>
  <c r="H1291" i="1"/>
  <c r="I1291" i="1"/>
  <c r="G1291" i="1"/>
  <c r="L1291" i="1"/>
  <c r="W1291" i="1" s="1"/>
  <c r="K956" i="1"/>
  <c r="J956" i="1"/>
  <c r="I956" i="1"/>
  <c r="H956" i="1"/>
  <c r="G956" i="1"/>
  <c r="L956" i="1"/>
  <c r="W956" i="1" s="1"/>
  <c r="K1984" i="1"/>
  <c r="J1984" i="1"/>
  <c r="I1984" i="1"/>
  <c r="H1984" i="1"/>
  <c r="G1984" i="1"/>
  <c r="L1984" i="1"/>
  <c r="W1984" i="1" s="1"/>
  <c r="K1996" i="1"/>
  <c r="J1996" i="1"/>
  <c r="I1996" i="1"/>
  <c r="H1996" i="1"/>
  <c r="G1996" i="1"/>
  <c r="L1996" i="1"/>
  <c r="W1996" i="1" s="1"/>
  <c r="K1852" i="1"/>
  <c r="J1852" i="1"/>
  <c r="I1852" i="1"/>
  <c r="H1852" i="1"/>
  <c r="G1852" i="1"/>
  <c r="L1852" i="1"/>
  <c r="W1852" i="1" s="1"/>
  <c r="K1907" i="1"/>
  <c r="J1907" i="1"/>
  <c r="I1907" i="1"/>
  <c r="H1907" i="1"/>
  <c r="G1907" i="1"/>
  <c r="L1907" i="1"/>
  <c r="W1907" i="1" s="1"/>
  <c r="K1687" i="1"/>
  <c r="J1687" i="1"/>
  <c r="I1687" i="1"/>
  <c r="G1687" i="1"/>
  <c r="H1687" i="1"/>
  <c r="L1687" i="1"/>
  <c r="W1687" i="1" s="1"/>
  <c r="K1725" i="1"/>
  <c r="J1725" i="1"/>
  <c r="I1725" i="1"/>
  <c r="H1725" i="1"/>
  <c r="G1725" i="1"/>
  <c r="L1725" i="1"/>
  <c r="W1725" i="1" s="1"/>
  <c r="K1441" i="1"/>
  <c r="J1441" i="1"/>
  <c r="H1441" i="1"/>
  <c r="I1441" i="1"/>
  <c r="G1441" i="1"/>
  <c r="L1441" i="1"/>
  <c r="W1441" i="1" s="1"/>
  <c r="K1634" i="1"/>
  <c r="J1634" i="1"/>
  <c r="I1634" i="1"/>
  <c r="G1634" i="1"/>
  <c r="H1634" i="1"/>
  <c r="L1634" i="1"/>
  <c r="W1634" i="1" s="1"/>
  <c r="K1397" i="1"/>
  <c r="J1397" i="1"/>
  <c r="H1397" i="1"/>
  <c r="I1397" i="1"/>
  <c r="G1397" i="1"/>
  <c r="L1397" i="1"/>
  <c r="W1397" i="1" s="1"/>
  <c r="K1391" i="1"/>
  <c r="J1391" i="1"/>
  <c r="H1391" i="1"/>
  <c r="I1391" i="1"/>
  <c r="G1391" i="1"/>
  <c r="L1391" i="1"/>
  <c r="W1391" i="1" s="1"/>
  <c r="K1173" i="1"/>
  <c r="J1173" i="1"/>
  <c r="H1173" i="1"/>
  <c r="I1173" i="1"/>
  <c r="G1173" i="1"/>
  <c r="L1173" i="1"/>
  <c r="W1173" i="1" s="1"/>
  <c r="K931" i="1"/>
  <c r="I931" i="1"/>
  <c r="J931" i="1"/>
  <c r="H931" i="1"/>
  <c r="G931" i="1"/>
  <c r="L931" i="1"/>
  <c r="W931" i="1" s="1"/>
  <c r="K608" i="1"/>
  <c r="I608" i="1"/>
  <c r="J608" i="1"/>
  <c r="H608" i="1"/>
  <c r="G608" i="1"/>
  <c r="L608" i="1"/>
  <c r="W608" i="1" s="1"/>
  <c r="K884" i="1"/>
  <c r="J884" i="1"/>
  <c r="I884" i="1"/>
  <c r="H884" i="1"/>
  <c r="G884" i="1"/>
  <c r="L884" i="1"/>
  <c r="W884" i="1" s="1"/>
  <c r="K869" i="1"/>
  <c r="J869" i="1"/>
  <c r="H869" i="1"/>
  <c r="I869" i="1"/>
  <c r="G869" i="1"/>
  <c r="L869" i="1"/>
  <c r="W869" i="1" s="1"/>
  <c r="K783" i="1"/>
  <c r="I783" i="1"/>
  <c r="J783" i="1"/>
  <c r="H783" i="1"/>
  <c r="G783" i="1"/>
  <c r="L783" i="1"/>
  <c r="W783" i="1" s="1"/>
  <c r="K661" i="1"/>
  <c r="J661" i="1"/>
  <c r="H661" i="1"/>
  <c r="I661" i="1"/>
  <c r="G661" i="1"/>
  <c r="L661" i="1"/>
  <c r="W661" i="1" s="1"/>
  <c r="K421" i="1"/>
  <c r="J421" i="1"/>
  <c r="H421" i="1"/>
  <c r="I421" i="1"/>
  <c r="G421" i="1"/>
  <c r="L421" i="1"/>
  <c r="W421" i="1" s="1"/>
  <c r="J180" i="1"/>
  <c r="K180" i="1"/>
  <c r="I180" i="1"/>
  <c r="H180" i="1"/>
  <c r="G180" i="1"/>
  <c r="L180" i="1"/>
  <c r="W180" i="1" s="1"/>
  <c r="K1226" i="1"/>
  <c r="J1226" i="1"/>
  <c r="H1226" i="1"/>
  <c r="I1226" i="1"/>
  <c r="G1226" i="1"/>
  <c r="L1226" i="1"/>
  <c r="W1226" i="1" s="1"/>
  <c r="K846" i="1"/>
  <c r="J846" i="1"/>
  <c r="H846" i="1"/>
  <c r="I846" i="1"/>
  <c r="G846" i="1"/>
  <c r="L846" i="1"/>
  <c r="W846" i="1" s="1"/>
  <c r="K1058" i="1"/>
  <c r="I1058" i="1"/>
  <c r="J1058" i="1"/>
  <c r="H1058" i="1"/>
  <c r="G1058" i="1"/>
  <c r="L1058" i="1"/>
  <c r="W1058" i="1" s="1"/>
  <c r="K868" i="1"/>
  <c r="J868" i="1"/>
  <c r="I868" i="1"/>
  <c r="H868" i="1"/>
  <c r="G868" i="1"/>
  <c r="L868" i="1"/>
  <c r="W868" i="1" s="1"/>
  <c r="K853" i="1"/>
  <c r="J853" i="1"/>
  <c r="H853" i="1"/>
  <c r="I853" i="1"/>
  <c r="G853" i="1"/>
  <c r="L853" i="1"/>
  <c r="W853" i="1" s="1"/>
  <c r="K767" i="1"/>
  <c r="I767" i="1"/>
  <c r="J767" i="1"/>
  <c r="H767" i="1"/>
  <c r="G767" i="1"/>
  <c r="L767" i="1"/>
  <c r="W767" i="1" s="1"/>
  <c r="K643" i="1"/>
  <c r="I643" i="1"/>
  <c r="J643" i="1"/>
  <c r="H643" i="1"/>
  <c r="G643" i="1"/>
  <c r="L643" i="1"/>
  <c r="W643" i="1" s="1"/>
  <c r="K405" i="1"/>
  <c r="J405" i="1"/>
  <c r="H405" i="1"/>
  <c r="I405" i="1"/>
  <c r="G405" i="1"/>
  <c r="L405" i="1"/>
  <c r="W405" i="1" s="1"/>
  <c r="K542" i="1"/>
  <c r="J542" i="1"/>
  <c r="I542" i="1"/>
  <c r="H542" i="1"/>
  <c r="G542" i="1"/>
  <c r="L542" i="1"/>
  <c r="W542" i="1" s="1"/>
  <c r="K1000" i="1"/>
  <c r="I1000" i="1"/>
  <c r="J1000" i="1"/>
  <c r="H1000" i="1"/>
  <c r="G1000" i="1"/>
  <c r="L1000" i="1"/>
  <c r="W1000" i="1" s="1"/>
  <c r="K1218" i="1"/>
  <c r="J1218" i="1"/>
  <c r="H1218" i="1"/>
  <c r="I1218" i="1"/>
  <c r="G1218" i="1"/>
  <c r="L1218" i="1"/>
  <c r="W1218" i="1" s="1"/>
  <c r="K830" i="1"/>
  <c r="J830" i="1"/>
  <c r="H830" i="1"/>
  <c r="I830" i="1"/>
  <c r="G830" i="1"/>
  <c r="L830" i="1"/>
  <c r="W830" i="1" s="1"/>
  <c r="K1042" i="1"/>
  <c r="I1042" i="1"/>
  <c r="J1042" i="1"/>
  <c r="H1042" i="1"/>
  <c r="G1042" i="1"/>
  <c r="L1042" i="1"/>
  <c r="W1042" i="1" s="1"/>
  <c r="K852" i="1"/>
  <c r="J852" i="1"/>
  <c r="I852" i="1"/>
  <c r="H852" i="1"/>
  <c r="G852" i="1"/>
  <c r="L852" i="1"/>
  <c r="W852" i="1" s="1"/>
  <c r="K837" i="1"/>
  <c r="J837" i="1"/>
  <c r="H837" i="1"/>
  <c r="I837" i="1"/>
  <c r="G837" i="1"/>
  <c r="L837" i="1"/>
  <c r="W837" i="1" s="1"/>
  <c r="K751" i="1"/>
  <c r="I751" i="1"/>
  <c r="J751" i="1"/>
  <c r="H751" i="1"/>
  <c r="G751" i="1"/>
  <c r="L751" i="1"/>
  <c r="W751" i="1" s="1"/>
  <c r="K600" i="1"/>
  <c r="I600" i="1"/>
  <c r="J600" i="1"/>
  <c r="H600" i="1"/>
  <c r="G600" i="1"/>
  <c r="L600" i="1"/>
  <c r="W600" i="1" s="1"/>
  <c r="K389" i="1"/>
  <c r="J389" i="1"/>
  <c r="H389" i="1"/>
  <c r="I389" i="1"/>
  <c r="G389" i="1"/>
  <c r="L389" i="1"/>
  <c r="W389" i="1" s="1"/>
  <c r="K574" i="1"/>
  <c r="J574" i="1"/>
  <c r="I574" i="1"/>
  <c r="H574" i="1"/>
  <c r="G574" i="1"/>
  <c r="L574" i="1"/>
  <c r="W574" i="1" s="1"/>
  <c r="K1282" i="1"/>
  <c r="J1282" i="1"/>
  <c r="H1282" i="1"/>
  <c r="I1282" i="1"/>
  <c r="G1282" i="1"/>
  <c r="L1282" i="1"/>
  <c r="W1282" i="1" s="1"/>
  <c r="K942" i="1"/>
  <c r="J942" i="1"/>
  <c r="H942" i="1"/>
  <c r="I942" i="1"/>
  <c r="G942" i="1"/>
  <c r="L942" i="1"/>
  <c r="W942" i="1" s="1"/>
  <c r="K688" i="1"/>
  <c r="I688" i="1"/>
  <c r="J688" i="1"/>
  <c r="H688" i="1"/>
  <c r="G688" i="1"/>
  <c r="L688" i="1"/>
  <c r="W688" i="1" s="1"/>
  <c r="K964" i="1"/>
  <c r="J964" i="1"/>
  <c r="I964" i="1"/>
  <c r="H964" i="1"/>
  <c r="G964" i="1"/>
  <c r="L964" i="1"/>
  <c r="W964" i="1" s="1"/>
  <c r="K391" i="1"/>
  <c r="I391" i="1"/>
  <c r="J391" i="1"/>
  <c r="H391" i="1"/>
  <c r="G391" i="1"/>
  <c r="L391" i="1"/>
  <c r="W391" i="1" s="1"/>
  <c r="K863" i="1"/>
  <c r="I863" i="1"/>
  <c r="J863" i="1"/>
  <c r="H863" i="1"/>
  <c r="G863" i="1"/>
  <c r="L863" i="1"/>
  <c r="W863" i="1" s="1"/>
  <c r="K417" i="1"/>
  <c r="I417" i="1"/>
  <c r="J417" i="1"/>
  <c r="H417" i="1"/>
  <c r="G417" i="1"/>
  <c r="L417" i="1"/>
  <c r="W417" i="1" s="1"/>
  <c r="K501" i="1"/>
  <c r="J501" i="1"/>
  <c r="H501" i="1"/>
  <c r="I501" i="1"/>
  <c r="G501" i="1"/>
  <c r="L501" i="1"/>
  <c r="W501" i="1" s="1"/>
  <c r="J324" i="1"/>
  <c r="K324" i="1"/>
  <c r="I324" i="1"/>
  <c r="H324" i="1"/>
  <c r="G324" i="1"/>
  <c r="L324" i="1"/>
  <c r="W324" i="1" s="1"/>
  <c r="K1196" i="1"/>
  <c r="J1196" i="1"/>
  <c r="I1196" i="1"/>
  <c r="H1196" i="1"/>
  <c r="G1196" i="1"/>
  <c r="L1196" i="1"/>
  <c r="W1196" i="1" s="1"/>
  <c r="K754" i="1"/>
  <c r="I754" i="1"/>
  <c r="J754" i="1"/>
  <c r="H754" i="1"/>
  <c r="G754" i="1"/>
  <c r="L754" i="1"/>
  <c r="W754" i="1" s="1"/>
  <c r="K918" i="1"/>
  <c r="J918" i="1"/>
  <c r="H918" i="1"/>
  <c r="I918" i="1"/>
  <c r="G918" i="1"/>
  <c r="L918" i="1"/>
  <c r="W918" i="1" s="1"/>
  <c r="K521" i="1"/>
  <c r="I521" i="1"/>
  <c r="J521" i="1"/>
  <c r="H521" i="1"/>
  <c r="G521" i="1"/>
  <c r="L521" i="1"/>
  <c r="W521" i="1" s="1"/>
  <c r="K429" i="1"/>
  <c r="J429" i="1"/>
  <c r="I429" i="1"/>
  <c r="H429" i="1"/>
  <c r="G429" i="1"/>
  <c r="L429" i="1"/>
  <c r="W429" i="1" s="1"/>
  <c r="K947" i="1"/>
  <c r="I947" i="1"/>
  <c r="J947" i="1"/>
  <c r="H947" i="1"/>
  <c r="G947" i="1"/>
  <c r="L947" i="1"/>
  <c r="W947" i="1" s="1"/>
  <c r="K336" i="1"/>
  <c r="J336" i="1"/>
  <c r="I336" i="1"/>
  <c r="H336" i="1"/>
  <c r="G336" i="1"/>
  <c r="L336" i="1"/>
  <c r="W336" i="1" s="1"/>
  <c r="K353" i="1"/>
  <c r="J353" i="1"/>
  <c r="I353" i="1"/>
  <c r="H353" i="1"/>
  <c r="G353" i="1"/>
  <c r="L353" i="1"/>
  <c r="W353" i="1" s="1"/>
  <c r="K696" i="1"/>
  <c r="I696" i="1"/>
  <c r="J696" i="1"/>
  <c r="H696" i="1"/>
  <c r="G696" i="1"/>
  <c r="L696" i="1"/>
  <c r="W696" i="1" s="1"/>
  <c r="K1064" i="1"/>
  <c r="J1064" i="1"/>
  <c r="I1064" i="1"/>
  <c r="H1064" i="1"/>
  <c r="G1064" i="1"/>
  <c r="L1064" i="1"/>
  <c r="W1064" i="1" s="1"/>
  <c r="K1180" i="1"/>
  <c r="J1180" i="1"/>
  <c r="I1180" i="1"/>
  <c r="H1180" i="1"/>
  <c r="G1180" i="1"/>
  <c r="L1180" i="1"/>
  <c r="W1180" i="1" s="1"/>
  <c r="K738" i="1"/>
  <c r="I738" i="1"/>
  <c r="J738" i="1"/>
  <c r="H738" i="1"/>
  <c r="G738" i="1"/>
  <c r="L738" i="1"/>
  <c r="W738" i="1" s="1"/>
  <c r="K902" i="1"/>
  <c r="J902" i="1"/>
  <c r="H902" i="1"/>
  <c r="I902" i="1"/>
  <c r="G902" i="1"/>
  <c r="L902" i="1"/>
  <c r="W902" i="1" s="1"/>
  <c r="K505" i="1"/>
  <c r="I505" i="1"/>
  <c r="J505" i="1"/>
  <c r="H505" i="1"/>
  <c r="G505" i="1"/>
  <c r="L505" i="1"/>
  <c r="W505" i="1" s="1"/>
  <c r="K413" i="1"/>
  <c r="J413" i="1"/>
  <c r="H413" i="1"/>
  <c r="I413" i="1"/>
  <c r="G413" i="1"/>
  <c r="L413" i="1"/>
  <c r="W413" i="1" s="1"/>
  <c r="K939" i="1"/>
  <c r="I939" i="1"/>
  <c r="J939" i="1"/>
  <c r="H939" i="1"/>
  <c r="G939" i="1"/>
  <c r="L939" i="1"/>
  <c r="W939" i="1" s="1"/>
  <c r="K320" i="1"/>
  <c r="J320" i="1"/>
  <c r="I320" i="1"/>
  <c r="H320" i="1"/>
  <c r="G320" i="1"/>
  <c r="L320" i="1"/>
  <c r="W320" i="1" s="1"/>
  <c r="K365" i="1"/>
  <c r="J365" i="1"/>
  <c r="I365" i="1"/>
  <c r="H365" i="1"/>
  <c r="G365" i="1"/>
  <c r="L365" i="1"/>
  <c r="W365" i="1" s="1"/>
  <c r="K334" i="1"/>
  <c r="J334" i="1"/>
  <c r="I334" i="1"/>
  <c r="H334" i="1"/>
  <c r="G334" i="1"/>
  <c r="L334" i="1"/>
  <c r="W334" i="1" s="1"/>
  <c r="J195" i="1"/>
  <c r="K195" i="1"/>
  <c r="I195" i="1"/>
  <c r="H195" i="1"/>
  <c r="G195" i="1"/>
  <c r="L195" i="1"/>
  <c r="W195" i="1" s="1"/>
  <c r="K1323" i="1"/>
  <c r="J1323" i="1"/>
  <c r="H1323" i="1"/>
  <c r="I1323" i="1"/>
  <c r="G1323" i="1"/>
  <c r="L1323" i="1"/>
  <c r="W1323" i="1" s="1"/>
  <c r="K1002" i="1"/>
  <c r="I1002" i="1"/>
  <c r="J1002" i="1"/>
  <c r="H1002" i="1"/>
  <c r="G1002" i="1"/>
  <c r="L1002" i="1"/>
  <c r="W1002" i="1" s="1"/>
  <c r="K908" i="1"/>
  <c r="J908" i="1"/>
  <c r="I908" i="1"/>
  <c r="H908" i="1"/>
  <c r="G908" i="1"/>
  <c r="L908" i="1"/>
  <c r="W908" i="1" s="1"/>
  <c r="K1098" i="1"/>
  <c r="J1098" i="1"/>
  <c r="I1098" i="1"/>
  <c r="H1098" i="1"/>
  <c r="G1098" i="1"/>
  <c r="L1098" i="1"/>
  <c r="W1098" i="1" s="1"/>
  <c r="K1318" i="1"/>
  <c r="J1318" i="1"/>
  <c r="H1318" i="1"/>
  <c r="I1318" i="1"/>
  <c r="G1318" i="1"/>
  <c r="L1318" i="1"/>
  <c r="W1318" i="1" s="1"/>
  <c r="K742" i="1"/>
  <c r="J742" i="1"/>
  <c r="I742" i="1"/>
  <c r="H742" i="1"/>
  <c r="G742" i="1"/>
  <c r="L742" i="1"/>
  <c r="W742" i="1" s="1"/>
  <c r="K683" i="1"/>
  <c r="I683" i="1"/>
  <c r="J683" i="1"/>
  <c r="H683" i="1"/>
  <c r="G683" i="1"/>
  <c r="L683" i="1"/>
  <c r="W683" i="1" s="1"/>
  <c r="K575" i="1"/>
  <c r="I575" i="1"/>
  <c r="J575" i="1"/>
  <c r="H575" i="1"/>
  <c r="G575" i="1"/>
  <c r="L575" i="1"/>
  <c r="W575" i="1" s="1"/>
  <c r="K859" i="1"/>
  <c r="I859" i="1"/>
  <c r="J859" i="1"/>
  <c r="H859" i="1"/>
  <c r="G859" i="1"/>
  <c r="L859" i="1"/>
  <c r="W859" i="1" s="1"/>
  <c r="K210" i="1"/>
  <c r="J210" i="1"/>
  <c r="I210" i="1"/>
  <c r="H210" i="1"/>
  <c r="G210" i="1"/>
  <c r="L210" i="1"/>
  <c r="W210" i="1" s="1"/>
  <c r="K257" i="1"/>
  <c r="J257" i="1"/>
  <c r="I257" i="1"/>
  <c r="H257" i="1"/>
  <c r="G257" i="1"/>
  <c r="L257" i="1"/>
  <c r="W257" i="1" s="1"/>
  <c r="K781" i="1"/>
  <c r="J781" i="1"/>
  <c r="H781" i="1"/>
  <c r="I781" i="1"/>
  <c r="G781" i="1"/>
  <c r="L781" i="1"/>
  <c r="W781" i="1" s="1"/>
  <c r="K887" i="1"/>
  <c r="I887" i="1"/>
  <c r="J887" i="1"/>
  <c r="H887" i="1"/>
  <c r="G887" i="1"/>
  <c r="L887" i="1"/>
  <c r="W887" i="1" s="1"/>
  <c r="K1085" i="1"/>
  <c r="J1085" i="1"/>
  <c r="I1085" i="1"/>
  <c r="H1085" i="1"/>
  <c r="G1085" i="1"/>
  <c r="L1085" i="1"/>
  <c r="W1085" i="1" s="1"/>
  <c r="K1246" i="1"/>
  <c r="J1246" i="1"/>
  <c r="H1246" i="1"/>
  <c r="I1246" i="1"/>
  <c r="G1246" i="1"/>
  <c r="L1246" i="1"/>
  <c r="W1246" i="1" s="1"/>
  <c r="K1498" i="1"/>
  <c r="J1498" i="1"/>
  <c r="H1498" i="1"/>
  <c r="I1498" i="1"/>
  <c r="G1498" i="1"/>
  <c r="L1498" i="1"/>
  <c r="W1498" i="1" s="1"/>
  <c r="K1548" i="1"/>
  <c r="J1548" i="1"/>
  <c r="I1548" i="1"/>
  <c r="H1548" i="1"/>
  <c r="G1548" i="1"/>
  <c r="L1548" i="1"/>
  <c r="W1548" i="1" s="1"/>
  <c r="K214" i="1"/>
  <c r="J214" i="1"/>
  <c r="I214" i="1"/>
  <c r="H214" i="1"/>
  <c r="G214" i="1"/>
  <c r="L214" i="1"/>
  <c r="W214" i="1" s="1"/>
  <c r="K289" i="1"/>
  <c r="J289" i="1"/>
  <c r="I289" i="1"/>
  <c r="H289" i="1"/>
  <c r="G289" i="1"/>
  <c r="L289" i="1"/>
  <c r="W289" i="1" s="1"/>
  <c r="J259" i="1"/>
  <c r="K259" i="1"/>
  <c r="I259" i="1"/>
  <c r="H259" i="1"/>
  <c r="G259" i="1"/>
  <c r="L259" i="1"/>
  <c r="W259" i="1" s="1"/>
  <c r="K400" i="1"/>
  <c r="I400" i="1"/>
  <c r="J400" i="1"/>
  <c r="H400" i="1"/>
  <c r="G400" i="1"/>
  <c r="L400" i="1"/>
  <c r="W400" i="1" s="1"/>
  <c r="K905" i="1"/>
  <c r="J905" i="1"/>
  <c r="I905" i="1"/>
  <c r="H905" i="1"/>
  <c r="G905" i="1"/>
  <c r="L905" i="1"/>
  <c r="W905" i="1" s="1"/>
  <c r="K913" i="1"/>
  <c r="J913" i="1"/>
  <c r="I913" i="1"/>
  <c r="H913" i="1"/>
  <c r="G913" i="1"/>
  <c r="L913" i="1"/>
  <c r="W913" i="1" s="1"/>
  <c r="K1188" i="1"/>
  <c r="J1188" i="1"/>
  <c r="I1188" i="1"/>
  <c r="H1188" i="1"/>
  <c r="G1188" i="1"/>
  <c r="L1188" i="1"/>
  <c r="W1188" i="1" s="1"/>
  <c r="K1382" i="1"/>
  <c r="J1382" i="1"/>
  <c r="H1382" i="1"/>
  <c r="I1382" i="1"/>
  <c r="G1382" i="1"/>
  <c r="L1382" i="1"/>
  <c r="W1382" i="1" s="1"/>
  <c r="K1772" i="1"/>
  <c r="J1772" i="1"/>
  <c r="I1772" i="1"/>
  <c r="H1772" i="1"/>
  <c r="G1772" i="1"/>
  <c r="L1772" i="1"/>
  <c r="W1772" i="1" s="1"/>
  <c r="K1873" i="1"/>
  <c r="J1873" i="1"/>
  <c r="I1873" i="1"/>
  <c r="H1873" i="1"/>
  <c r="G1873" i="1"/>
  <c r="L1873" i="1"/>
  <c r="W1873" i="1" s="1"/>
  <c r="K330" i="1"/>
  <c r="J330" i="1"/>
  <c r="I330" i="1"/>
  <c r="H330" i="1"/>
  <c r="G330" i="1"/>
  <c r="L330" i="1"/>
  <c r="W330" i="1" s="1"/>
  <c r="K215" i="1"/>
  <c r="J215" i="1"/>
  <c r="I215" i="1"/>
  <c r="H215" i="1"/>
  <c r="G215" i="1"/>
  <c r="L215" i="1"/>
  <c r="W215" i="1" s="1"/>
  <c r="K209" i="1"/>
  <c r="J209" i="1"/>
  <c r="I209" i="1"/>
  <c r="H209" i="1"/>
  <c r="G209" i="1"/>
  <c r="L209" i="1"/>
  <c r="W209" i="1" s="1"/>
  <c r="K468" i="1"/>
  <c r="I468" i="1"/>
  <c r="J468" i="1"/>
  <c r="H468" i="1"/>
  <c r="G468" i="1"/>
  <c r="L468" i="1"/>
  <c r="W468" i="1" s="1"/>
  <c r="K665" i="1"/>
  <c r="I665" i="1"/>
  <c r="J665" i="1"/>
  <c r="H665" i="1"/>
  <c r="G665" i="1"/>
  <c r="L665" i="1"/>
  <c r="W665" i="1" s="1"/>
  <c r="K673" i="1"/>
  <c r="I673" i="1"/>
  <c r="J673" i="1"/>
  <c r="H673" i="1"/>
  <c r="G673" i="1"/>
  <c r="L673" i="1"/>
  <c r="W673" i="1" s="1"/>
  <c r="K1137" i="1"/>
  <c r="J1137" i="1"/>
  <c r="H1137" i="1"/>
  <c r="I1137" i="1"/>
  <c r="G1137" i="1"/>
  <c r="L1137" i="1"/>
  <c r="W1137" i="1" s="1"/>
  <c r="K1304" i="1"/>
  <c r="J1304" i="1"/>
  <c r="H1304" i="1"/>
  <c r="I1304" i="1"/>
  <c r="G1304" i="1"/>
  <c r="L1304" i="1"/>
  <c r="W1304" i="1" s="1"/>
  <c r="K1492" i="1"/>
  <c r="J1492" i="1"/>
  <c r="I1492" i="1"/>
  <c r="H1492" i="1"/>
  <c r="G1492" i="1"/>
  <c r="L1492" i="1"/>
  <c r="W1492" i="1" s="1"/>
  <c r="K1853" i="1"/>
  <c r="J1853" i="1"/>
  <c r="I1853" i="1"/>
  <c r="H1853" i="1"/>
  <c r="G1853" i="1"/>
  <c r="L1853" i="1"/>
  <c r="W1853" i="1" s="1"/>
  <c r="K470" i="1"/>
  <c r="J470" i="1"/>
  <c r="I470" i="1"/>
  <c r="H470" i="1"/>
  <c r="G470" i="1"/>
  <c r="L470" i="1"/>
  <c r="W470" i="1" s="1"/>
  <c r="K621" i="1"/>
  <c r="J621" i="1"/>
  <c r="I621" i="1"/>
  <c r="H621" i="1"/>
  <c r="G621" i="1"/>
  <c r="L621" i="1"/>
  <c r="W621" i="1" s="1"/>
  <c r="K809" i="1"/>
  <c r="J809" i="1"/>
  <c r="I809" i="1"/>
  <c r="H809" i="1"/>
  <c r="G809" i="1"/>
  <c r="L809" i="1"/>
  <c r="W809" i="1" s="1"/>
  <c r="K817" i="1"/>
  <c r="J817" i="1"/>
  <c r="I817" i="1"/>
  <c r="H817" i="1"/>
  <c r="G817" i="1"/>
  <c r="L817" i="1"/>
  <c r="W817" i="1" s="1"/>
  <c r="K1155" i="1"/>
  <c r="J1155" i="1"/>
  <c r="H1155" i="1"/>
  <c r="I1155" i="1"/>
  <c r="G1155" i="1"/>
  <c r="L1155" i="1"/>
  <c r="W1155" i="1" s="1"/>
  <c r="K1370" i="1"/>
  <c r="J1370" i="1"/>
  <c r="H1370" i="1"/>
  <c r="I1370" i="1"/>
  <c r="G1370" i="1"/>
  <c r="L1370" i="1"/>
  <c r="W1370" i="1" s="1"/>
  <c r="K1636" i="1"/>
  <c r="J1636" i="1"/>
  <c r="I1636" i="1"/>
  <c r="H1636" i="1"/>
  <c r="G1636" i="1"/>
  <c r="L1636" i="1"/>
  <c r="W1636" i="1" s="1"/>
  <c r="K1776" i="1"/>
  <c r="J1776" i="1"/>
  <c r="I1776" i="1"/>
  <c r="H1776" i="1"/>
  <c r="G1776" i="1"/>
  <c r="L1776" i="1"/>
  <c r="W1776" i="1" s="1"/>
  <c r="K398" i="1"/>
  <c r="J398" i="1"/>
  <c r="I398" i="1"/>
  <c r="H398" i="1"/>
  <c r="G398" i="1"/>
  <c r="L398" i="1"/>
  <c r="W398" i="1" s="1"/>
  <c r="K226" i="1"/>
  <c r="J226" i="1"/>
  <c r="I226" i="1"/>
  <c r="H226" i="1"/>
  <c r="G226" i="1"/>
  <c r="L226" i="1"/>
  <c r="W226" i="1" s="1"/>
  <c r="K355" i="1"/>
  <c r="J355" i="1"/>
  <c r="I355" i="1"/>
  <c r="H355" i="1"/>
  <c r="G355" i="1"/>
  <c r="L355" i="1"/>
  <c r="W355" i="1" s="1"/>
  <c r="J331" i="1"/>
  <c r="K331" i="1"/>
  <c r="I331" i="1"/>
  <c r="H331" i="1"/>
  <c r="G331" i="1"/>
  <c r="L331" i="1"/>
  <c r="W331" i="1" s="1"/>
  <c r="K1166" i="1"/>
  <c r="J1166" i="1"/>
  <c r="H1166" i="1"/>
  <c r="I1166" i="1"/>
  <c r="G1166" i="1"/>
  <c r="L1166" i="1"/>
  <c r="W1166" i="1" s="1"/>
  <c r="K823" i="1"/>
  <c r="I823" i="1"/>
  <c r="J823" i="1"/>
  <c r="H823" i="1"/>
  <c r="G823" i="1"/>
  <c r="L823" i="1"/>
  <c r="W823" i="1" s="1"/>
  <c r="K1077" i="1"/>
  <c r="J1077" i="1"/>
  <c r="H1077" i="1"/>
  <c r="I1077" i="1"/>
  <c r="G1077" i="1"/>
  <c r="L1077" i="1"/>
  <c r="W1077" i="1" s="1"/>
  <c r="K1182" i="1"/>
  <c r="J1182" i="1"/>
  <c r="H1182" i="1"/>
  <c r="I1182" i="1"/>
  <c r="G1182" i="1"/>
  <c r="L1182" i="1"/>
  <c r="W1182" i="1" s="1"/>
  <c r="K1434" i="1"/>
  <c r="J1434" i="1"/>
  <c r="H1434" i="1"/>
  <c r="I1434" i="1"/>
  <c r="G1434" i="1"/>
  <c r="L1434" i="1"/>
  <c r="W1434" i="1" s="1"/>
  <c r="K1484" i="1"/>
  <c r="J1484" i="1"/>
  <c r="I1484" i="1"/>
  <c r="H1484" i="1"/>
  <c r="G1484" i="1"/>
  <c r="L1484" i="1"/>
  <c r="W1484" i="1" s="1"/>
  <c r="K278" i="1"/>
  <c r="J278" i="1"/>
  <c r="I278" i="1"/>
  <c r="H278" i="1"/>
  <c r="G278" i="1"/>
  <c r="L278" i="1"/>
  <c r="W278" i="1" s="1"/>
  <c r="J204" i="1"/>
  <c r="K204" i="1"/>
  <c r="I204" i="1"/>
  <c r="H204" i="1"/>
  <c r="G204" i="1"/>
  <c r="L204" i="1"/>
  <c r="W204" i="1" s="1"/>
  <c r="J251" i="1"/>
  <c r="K251" i="1"/>
  <c r="I251" i="1"/>
  <c r="H251" i="1"/>
  <c r="G251" i="1"/>
  <c r="L251" i="1"/>
  <c r="W251" i="1" s="1"/>
  <c r="K372" i="1"/>
  <c r="I372" i="1"/>
  <c r="J372" i="1"/>
  <c r="H372" i="1"/>
  <c r="G372" i="1"/>
  <c r="L372" i="1"/>
  <c r="W372" i="1" s="1"/>
  <c r="K841" i="1"/>
  <c r="J841" i="1"/>
  <c r="I841" i="1"/>
  <c r="H841" i="1"/>
  <c r="G841" i="1"/>
  <c r="L841" i="1"/>
  <c r="W841" i="1" s="1"/>
  <c r="K849" i="1"/>
  <c r="J849" i="1"/>
  <c r="I849" i="1"/>
  <c r="H849" i="1"/>
  <c r="G849" i="1"/>
  <c r="L849" i="1"/>
  <c r="W849" i="1" s="1"/>
  <c r="K1159" i="1"/>
  <c r="J1159" i="1"/>
  <c r="H1159" i="1"/>
  <c r="I1159" i="1"/>
  <c r="G1159" i="1"/>
  <c r="L1159" i="1"/>
  <c r="W1159" i="1" s="1"/>
  <c r="K1374" i="1"/>
  <c r="J1374" i="1"/>
  <c r="H1374" i="1"/>
  <c r="I1374" i="1"/>
  <c r="G1374" i="1"/>
  <c r="L1374" i="1"/>
  <c r="W1374" i="1" s="1"/>
  <c r="K1668" i="1"/>
  <c r="J1668" i="1"/>
  <c r="I1668" i="1"/>
  <c r="H1668" i="1"/>
  <c r="G1668" i="1"/>
  <c r="L1668" i="1"/>
  <c r="W1668" i="1" s="1"/>
  <c r="K1808" i="1"/>
  <c r="J1808" i="1"/>
  <c r="I1808" i="1"/>
  <c r="H1808" i="1"/>
  <c r="G1808" i="1"/>
  <c r="L1808" i="1"/>
  <c r="W1808" i="1" s="1"/>
  <c r="K382" i="1"/>
  <c r="J382" i="1"/>
  <c r="I382" i="1"/>
  <c r="H382" i="1"/>
  <c r="G382" i="1"/>
  <c r="L382" i="1"/>
  <c r="W382" i="1" s="1"/>
  <c r="J356" i="1"/>
  <c r="K356" i="1"/>
  <c r="I356" i="1"/>
  <c r="H356" i="1"/>
  <c r="G356" i="1"/>
  <c r="L356" i="1"/>
  <c r="W356" i="1" s="1"/>
  <c r="K359" i="1"/>
  <c r="I359" i="1"/>
  <c r="J359" i="1"/>
  <c r="H359" i="1"/>
  <c r="G359" i="1"/>
  <c r="L359" i="1"/>
  <c r="W359" i="1" s="1"/>
  <c r="K337" i="1"/>
  <c r="J337" i="1"/>
  <c r="I337" i="1"/>
  <c r="H337" i="1"/>
  <c r="G337" i="1"/>
  <c r="L337" i="1"/>
  <c r="W337" i="1" s="1"/>
  <c r="K749" i="1"/>
  <c r="J749" i="1"/>
  <c r="H749" i="1"/>
  <c r="I749" i="1"/>
  <c r="G749" i="1"/>
  <c r="L749" i="1"/>
  <c r="W749" i="1" s="1"/>
  <c r="K855" i="1"/>
  <c r="I855" i="1"/>
  <c r="J855" i="1"/>
  <c r="H855" i="1"/>
  <c r="G855" i="1"/>
  <c r="L855" i="1"/>
  <c r="W855" i="1" s="1"/>
  <c r="K1081" i="1"/>
  <c r="J1081" i="1"/>
  <c r="H1081" i="1"/>
  <c r="I1081" i="1"/>
  <c r="G1081" i="1"/>
  <c r="L1081" i="1"/>
  <c r="W1081" i="1" s="1"/>
  <c r="K1214" i="1"/>
  <c r="J1214" i="1"/>
  <c r="H1214" i="1"/>
  <c r="I1214" i="1"/>
  <c r="G1214" i="1"/>
  <c r="L1214" i="1"/>
  <c r="W1214" i="1" s="1"/>
  <c r="K1466" i="1"/>
  <c r="J1466" i="1"/>
  <c r="H1466" i="1"/>
  <c r="I1466" i="1"/>
  <c r="G1466" i="1"/>
  <c r="L1466" i="1"/>
  <c r="W1466" i="1" s="1"/>
  <c r="K1516" i="1"/>
  <c r="J1516" i="1"/>
  <c r="I1516" i="1"/>
  <c r="H1516" i="1"/>
  <c r="G1516" i="1"/>
  <c r="L1516" i="1"/>
  <c r="W1516" i="1" s="1"/>
  <c r="K246" i="1"/>
  <c r="J246" i="1"/>
  <c r="I246" i="1"/>
  <c r="H246" i="1"/>
  <c r="G246" i="1"/>
  <c r="L246" i="1"/>
  <c r="W246" i="1" s="1"/>
  <c r="J172" i="1"/>
  <c r="K172" i="1"/>
  <c r="I172" i="1"/>
  <c r="H172" i="1"/>
  <c r="G172" i="1"/>
  <c r="L172" i="1"/>
  <c r="W172" i="1" s="1"/>
  <c r="K281" i="1"/>
  <c r="J281" i="1"/>
  <c r="I281" i="1"/>
  <c r="H281" i="1"/>
  <c r="G281" i="1"/>
  <c r="L281" i="1"/>
  <c r="W281" i="1" s="1"/>
  <c r="K255" i="1"/>
  <c r="J255" i="1"/>
  <c r="I255" i="1"/>
  <c r="H255" i="1"/>
  <c r="G255" i="1"/>
  <c r="L255" i="1"/>
  <c r="W255" i="1" s="1"/>
  <c r="K717" i="1"/>
  <c r="J717" i="1"/>
  <c r="H717" i="1"/>
  <c r="I717" i="1"/>
  <c r="G717" i="1"/>
  <c r="L717" i="1"/>
  <c r="W717" i="1" s="1"/>
  <c r="K873" i="1"/>
  <c r="J873" i="1"/>
  <c r="I873" i="1"/>
  <c r="H873" i="1"/>
  <c r="G873" i="1"/>
  <c r="L873" i="1"/>
  <c r="W873" i="1" s="1"/>
  <c r="K881" i="1"/>
  <c r="J881" i="1"/>
  <c r="I881" i="1"/>
  <c r="H881" i="1"/>
  <c r="G881" i="1"/>
  <c r="L881" i="1"/>
  <c r="W881" i="1" s="1"/>
  <c r="K1163" i="1"/>
  <c r="J1163" i="1"/>
  <c r="H1163" i="1"/>
  <c r="I1163" i="1"/>
  <c r="G1163" i="1"/>
  <c r="L1163" i="1"/>
  <c r="W1163" i="1" s="1"/>
  <c r="K1378" i="1"/>
  <c r="J1378" i="1"/>
  <c r="H1378" i="1"/>
  <c r="I1378" i="1"/>
  <c r="G1378" i="1"/>
  <c r="L1378" i="1"/>
  <c r="W1378" i="1" s="1"/>
  <c r="K1700" i="1"/>
  <c r="J1700" i="1"/>
  <c r="I1700" i="1"/>
  <c r="H1700" i="1"/>
  <c r="G1700" i="1"/>
  <c r="L1700" i="1"/>
  <c r="W1700" i="1" s="1"/>
  <c r="K1840" i="1"/>
  <c r="J1840" i="1"/>
  <c r="I1840" i="1"/>
  <c r="H1840" i="1"/>
  <c r="G1840" i="1"/>
  <c r="L1840" i="1"/>
  <c r="W1840" i="1" s="1"/>
  <c r="K362" i="1"/>
  <c r="J362" i="1"/>
  <c r="I362" i="1"/>
  <c r="H362" i="1"/>
  <c r="G362" i="1"/>
  <c r="L362" i="1"/>
  <c r="W362" i="1" s="1"/>
  <c r="K55" i="1"/>
  <c r="J55" i="1"/>
  <c r="I55" i="1"/>
  <c r="H55" i="1"/>
  <c r="G55" i="1"/>
  <c r="L55" i="1"/>
  <c r="W55" i="1" s="1"/>
  <c r="K103" i="1"/>
  <c r="J103" i="1"/>
  <c r="I103" i="1"/>
  <c r="H103" i="1"/>
  <c r="G103" i="1"/>
  <c r="L103" i="1"/>
  <c r="W103" i="1" s="1"/>
  <c r="K153" i="1"/>
  <c r="J153" i="1"/>
  <c r="I153" i="1"/>
  <c r="H153" i="1"/>
  <c r="G153" i="1"/>
  <c r="L153" i="1"/>
  <c r="W153" i="1" s="1"/>
  <c r="K63" i="1"/>
  <c r="J63" i="1"/>
  <c r="I63" i="1"/>
  <c r="H63" i="1"/>
  <c r="G63" i="1"/>
  <c r="L63" i="1"/>
  <c r="W63" i="1" s="1"/>
  <c r="J109" i="1"/>
  <c r="K109" i="1"/>
  <c r="I109" i="1"/>
  <c r="H109" i="1"/>
  <c r="G109" i="1"/>
  <c r="L109" i="1"/>
  <c r="W109" i="1" s="1"/>
  <c r="J163" i="1"/>
  <c r="K163" i="1"/>
  <c r="I163" i="1"/>
  <c r="H163" i="1"/>
  <c r="G163" i="1"/>
  <c r="L163" i="1"/>
  <c r="W163" i="1" s="1"/>
  <c r="K79" i="1"/>
  <c r="J79" i="1"/>
  <c r="I79" i="1"/>
  <c r="H79" i="1"/>
  <c r="G79" i="1"/>
  <c r="L79" i="1"/>
  <c r="W79" i="1" s="1"/>
  <c r="K129" i="1"/>
  <c r="J129" i="1"/>
  <c r="I129" i="1"/>
  <c r="H129" i="1"/>
  <c r="G129" i="1"/>
  <c r="L129" i="1"/>
  <c r="W129" i="1" s="1"/>
  <c r="K48" i="1"/>
  <c r="J48" i="1"/>
  <c r="I48" i="1"/>
  <c r="H48" i="1"/>
  <c r="G48" i="1"/>
  <c r="L48" i="1"/>
  <c r="W48" i="1" s="1"/>
  <c r="K94" i="1"/>
  <c r="J94" i="1"/>
  <c r="I94" i="1"/>
  <c r="H94" i="1"/>
  <c r="G94" i="1"/>
  <c r="L94" i="1"/>
  <c r="W94" i="1" s="1"/>
  <c r="K114" i="1"/>
  <c r="J114" i="1"/>
  <c r="I114" i="1"/>
  <c r="H114" i="1"/>
  <c r="G114" i="1"/>
  <c r="L114" i="1"/>
  <c r="W114" i="1" s="1"/>
  <c r="K130" i="1"/>
  <c r="J130" i="1"/>
  <c r="I130" i="1"/>
  <c r="H130" i="1"/>
  <c r="G130" i="1"/>
  <c r="L130" i="1"/>
  <c r="W130" i="1" s="1"/>
  <c r="K150" i="1"/>
  <c r="J150" i="1"/>
  <c r="I150" i="1"/>
  <c r="H150" i="1"/>
  <c r="G150" i="1"/>
  <c r="L150" i="1"/>
  <c r="W150" i="1" s="1"/>
  <c r="K166" i="1"/>
  <c r="J166" i="1"/>
  <c r="I166" i="1"/>
  <c r="H166" i="1"/>
  <c r="G166" i="1"/>
  <c r="L166" i="1"/>
  <c r="W166" i="1" s="1"/>
  <c r="J52" i="1"/>
  <c r="K52" i="1"/>
  <c r="I52" i="1"/>
  <c r="H52" i="1"/>
  <c r="G52" i="1"/>
  <c r="L52" i="1"/>
  <c r="W52" i="1" s="1"/>
  <c r="K96" i="1"/>
  <c r="J96" i="1"/>
  <c r="I96" i="1"/>
  <c r="H96" i="1"/>
  <c r="G96" i="1"/>
  <c r="L96" i="1"/>
  <c r="W96" i="1" s="1"/>
  <c r="K56" i="1"/>
  <c r="J56" i="1"/>
  <c r="I56" i="1"/>
  <c r="H56" i="1"/>
  <c r="G56" i="1"/>
  <c r="L56" i="1"/>
  <c r="W56" i="1" s="1"/>
  <c r="J36" i="1"/>
  <c r="K36" i="1"/>
  <c r="I36" i="1"/>
  <c r="H36" i="1"/>
  <c r="G36" i="1"/>
  <c r="L36" i="1"/>
  <c r="W36" i="1" s="1"/>
  <c r="L5" i="1"/>
  <c r="W5" i="1" s="1"/>
  <c r="L10" i="1"/>
  <c r="W10" i="1" s="1"/>
  <c r="L12" i="1"/>
  <c r="W12" i="1" s="1"/>
  <c r="J4" i="1"/>
  <c r="K4" i="1"/>
  <c r="I4" i="1"/>
  <c r="H4" i="1"/>
  <c r="G4" i="1"/>
  <c r="K1988" i="1"/>
  <c r="J1988" i="1"/>
  <c r="I1988" i="1"/>
  <c r="H1988" i="1"/>
  <c r="G1988" i="1"/>
  <c r="L1988" i="1"/>
  <c r="W1988" i="1" s="1"/>
  <c r="K1807" i="1"/>
  <c r="J1807" i="1"/>
  <c r="I1807" i="1"/>
  <c r="G1807" i="1"/>
  <c r="H1807" i="1"/>
  <c r="L1807" i="1"/>
  <c r="W1807" i="1" s="1"/>
  <c r="K1681" i="1"/>
  <c r="J1681" i="1"/>
  <c r="I1681" i="1"/>
  <c r="H1681" i="1"/>
  <c r="G1681" i="1"/>
  <c r="L1681" i="1"/>
  <c r="W1681" i="1" s="1"/>
  <c r="K14" i="1"/>
  <c r="J14" i="1"/>
  <c r="I14" i="1"/>
  <c r="H14" i="1"/>
  <c r="G14" i="1"/>
  <c r="K15" i="1"/>
  <c r="J15" i="1"/>
  <c r="I15" i="1"/>
  <c r="H15" i="1"/>
  <c r="G15" i="1"/>
  <c r="K1847" i="1"/>
  <c r="J1847" i="1"/>
  <c r="I1847" i="1"/>
  <c r="G1847" i="1"/>
  <c r="H1847" i="1"/>
  <c r="L1847" i="1"/>
  <c r="W1847" i="1" s="1"/>
  <c r="K1866" i="1"/>
  <c r="J1866" i="1"/>
  <c r="I1866" i="1"/>
  <c r="G1866" i="1"/>
  <c r="H1866" i="1"/>
  <c r="L1866" i="1"/>
  <c r="W1866" i="1" s="1"/>
  <c r="K1543" i="1"/>
  <c r="J1543" i="1"/>
  <c r="H1543" i="1"/>
  <c r="I1543" i="1"/>
  <c r="G1543" i="1"/>
  <c r="L1543" i="1"/>
  <c r="W1543" i="1" s="1"/>
  <c r="K1490" i="1"/>
  <c r="J1490" i="1"/>
  <c r="H1490" i="1"/>
  <c r="I1490" i="1"/>
  <c r="G1490" i="1"/>
  <c r="L1490" i="1"/>
  <c r="W1490" i="1" s="1"/>
  <c r="K1573" i="1"/>
  <c r="J1573" i="1"/>
  <c r="H1573" i="1"/>
  <c r="I1573" i="1"/>
  <c r="G1573" i="1"/>
  <c r="L1573" i="1"/>
  <c r="W1573" i="1" s="1"/>
  <c r="K1393" i="1"/>
  <c r="J1393" i="1"/>
  <c r="H1393" i="1"/>
  <c r="I1393" i="1"/>
  <c r="G1393" i="1"/>
  <c r="L1393" i="1"/>
  <c r="W1393" i="1" s="1"/>
  <c r="K630" i="1"/>
  <c r="J630" i="1"/>
  <c r="I630" i="1"/>
  <c r="H630" i="1"/>
  <c r="G630" i="1"/>
  <c r="L630" i="1"/>
  <c r="W630" i="1" s="1"/>
  <c r="K1643" i="1"/>
  <c r="J1643" i="1"/>
  <c r="I1643" i="1"/>
  <c r="H1643" i="1"/>
  <c r="G1643" i="1"/>
  <c r="L1643" i="1"/>
  <c r="W1643" i="1" s="1"/>
  <c r="K1333" i="1"/>
  <c r="J1333" i="1"/>
  <c r="H1333" i="1"/>
  <c r="I1333" i="1"/>
  <c r="G1333" i="1"/>
  <c r="L1333" i="1"/>
  <c r="W1333" i="1" s="1"/>
  <c r="K427" i="1"/>
  <c r="I427" i="1"/>
  <c r="J427" i="1"/>
  <c r="H427" i="1"/>
  <c r="G427" i="1"/>
  <c r="L427" i="1"/>
  <c r="W427" i="1" s="1"/>
  <c r="K1694" i="1"/>
  <c r="J1694" i="1"/>
  <c r="I1694" i="1"/>
  <c r="G1694" i="1"/>
  <c r="H1694" i="1"/>
  <c r="L1694" i="1"/>
  <c r="W1694" i="1" s="1"/>
  <c r="J20" i="1"/>
  <c r="K20" i="1"/>
  <c r="I20" i="1"/>
  <c r="H20" i="1"/>
  <c r="G20" i="1"/>
  <c r="K23" i="1"/>
  <c r="J23" i="1"/>
  <c r="I23" i="1"/>
  <c r="H23" i="1"/>
  <c r="G23" i="1"/>
  <c r="K1900" i="1"/>
  <c r="J1900" i="1"/>
  <c r="I1900" i="1"/>
  <c r="H1900" i="1"/>
  <c r="G1900" i="1"/>
  <c r="L1900" i="1"/>
  <c r="W1900" i="1" s="1"/>
  <c r="K1784" i="1"/>
  <c r="J1784" i="1"/>
  <c r="I1784" i="1"/>
  <c r="H1784" i="1"/>
  <c r="G1784" i="1"/>
  <c r="L1784" i="1"/>
  <c r="W1784" i="1" s="1"/>
  <c r="K2013" i="1"/>
  <c r="J2013" i="1"/>
  <c r="I2013" i="1"/>
  <c r="H2013" i="1"/>
  <c r="G2013" i="1"/>
  <c r="L2013" i="1"/>
  <c r="W2013" i="1" s="1"/>
  <c r="K1978" i="1"/>
  <c r="J1978" i="1"/>
  <c r="I1978" i="1"/>
  <c r="G1978" i="1"/>
  <c r="H1978" i="1"/>
  <c r="L1978" i="1"/>
  <c r="W1978" i="1" s="1"/>
  <c r="K1635" i="1"/>
  <c r="J1635" i="1"/>
  <c r="I1635" i="1"/>
  <c r="H1635" i="1"/>
  <c r="G1635" i="1"/>
  <c r="L1635" i="1"/>
  <c r="W1635" i="1" s="1"/>
  <c r="K1512" i="1"/>
  <c r="J1512" i="1"/>
  <c r="H1512" i="1"/>
  <c r="I1512" i="1"/>
  <c r="G1512" i="1"/>
  <c r="L1512" i="1"/>
  <c r="W1512" i="1" s="1"/>
  <c r="K1232" i="1"/>
  <c r="J1232" i="1"/>
  <c r="H1232" i="1"/>
  <c r="I1232" i="1"/>
  <c r="G1232" i="1"/>
  <c r="L1232" i="1"/>
  <c r="W1232" i="1" s="1"/>
  <c r="K1445" i="1"/>
  <c r="J1445" i="1"/>
  <c r="H1445" i="1"/>
  <c r="I1445" i="1"/>
  <c r="G1445" i="1"/>
  <c r="L1445" i="1"/>
  <c r="W1445" i="1" s="1"/>
  <c r="K1665" i="1"/>
  <c r="J1665" i="1"/>
  <c r="I1665" i="1"/>
  <c r="H1665" i="1"/>
  <c r="G1665" i="1"/>
  <c r="L1665" i="1"/>
  <c r="W1665" i="1" s="1"/>
  <c r="K1337" i="1"/>
  <c r="J1337" i="1"/>
  <c r="H1337" i="1"/>
  <c r="I1337" i="1"/>
  <c r="G1337" i="1"/>
  <c r="L1337" i="1"/>
  <c r="W1337" i="1" s="1"/>
  <c r="K922" i="1"/>
  <c r="I922" i="1"/>
  <c r="J922" i="1"/>
  <c r="H922" i="1"/>
  <c r="G922" i="1"/>
  <c r="L922" i="1"/>
  <c r="W922" i="1" s="1"/>
  <c r="K1768" i="1"/>
  <c r="J1768" i="1"/>
  <c r="I1768" i="1"/>
  <c r="H1768" i="1"/>
  <c r="G1768" i="1"/>
  <c r="L1768" i="1"/>
  <c r="W1768" i="1" s="1"/>
  <c r="K1706" i="1"/>
  <c r="J1706" i="1"/>
  <c r="I1706" i="1"/>
  <c r="G1706" i="1"/>
  <c r="H1706" i="1"/>
  <c r="L1706" i="1"/>
  <c r="W1706" i="1" s="1"/>
  <c r="J3" i="1"/>
  <c r="K3" i="1"/>
  <c r="I3" i="1"/>
  <c r="H3" i="1"/>
  <c r="G3" i="1"/>
  <c r="K9" i="1"/>
  <c r="J9" i="1"/>
  <c r="I9" i="1"/>
  <c r="H9" i="1"/>
  <c r="G9" i="1"/>
  <c r="J28" i="1"/>
  <c r="K28" i="1"/>
  <c r="I28" i="1"/>
  <c r="H28" i="1"/>
  <c r="G28" i="1"/>
  <c r="K7" i="1"/>
  <c r="J7" i="1"/>
  <c r="I7" i="1"/>
  <c r="H7" i="1"/>
  <c r="G7" i="1"/>
  <c r="K1896" i="1"/>
  <c r="J1896" i="1"/>
  <c r="I1896" i="1"/>
  <c r="H1896" i="1"/>
  <c r="G1896" i="1"/>
  <c r="L1896" i="1"/>
  <c r="W1896" i="1" s="1"/>
  <c r="K1791" i="1"/>
  <c r="J1791" i="1"/>
  <c r="I1791" i="1"/>
  <c r="G1791" i="1"/>
  <c r="H1791" i="1"/>
  <c r="L1791" i="1"/>
  <c r="W1791" i="1" s="1"/>
  <c r="K1922" i="1"/>
  <c r="J1922" i="1"/>
  <c r="I1922" i="1"/>
  <c r="G1922" i="1"/>
  <c r="H1922" i="1"/>
  <c r="L1922" i="1"/>
  <c r="W1922" i="1" s="1"/>
  <c r="K1843" i="1"/>
  <c r="J1843" i="1"/>
  <c r="I1843" i="1"/>
  <c r="H1843" i="1"/>
  <c r="G1843" i="1"/>
  <c r="L1843" i="1"/>
  <c r="W1843" i="1" s="1"/>
  <c r="K1930" i="1"/>
  <c r="J1930" i="1"/>
  <c r="I1930" i="1"/>
  <c r="G1930" i="1"/>
  <c r="H1930" i="1"/>
  <c r="L1930" i="1"/>
  <c r="W1930" i="1" s="1"/>
  <c r="K1972" i="1"/>
  <c r="J1972" i="1"/>
  <c r="I1972" i="1"/>
  <c r="H1972" i="1"/>
  <c r="G1972" i="1"/>
  <c r="L1972" i="1"/>
  <c r="W1972" i="1" s="1"/>
  <c r="K1986" i="1"/>
  <c r="J1986" i="1"/>
  <c r="I1986" i="1"/>
  <c r="G1986" i="1"/>
  <c r="H1986" i="1"/>
  <c r="L1986" i="1"/>
  <c r="W1986" i="1" s="1"/>
  <c r="K1888" i="1"/>
  <c r="J1888" i="1"/>
  <c r="I1888" i="1"/>
  <c r="H1888" i="1"/>
  <c r="G1888" i="1"/>
  <c r="L1888" i="1"/>
  <c r="W1888" i="1" s="1"/>
  <c r="K1952" i="1"/>
  <c r="J1952" i="1"/>
  <c r="I1952" i="1"/>
  <c r="H1952" i="1"/>
  <c r="G1952" i="1"/>
  <c r="L1952" i="1"/>
  <c r="W1952" i="1" s="1"/>
  <c r="K1906" i="1"/>
  <c r="J1906" i="1"/>
  <c r="I1906" i="1"/>
  <c r="G1906" i="1"/>
  <c r="H1906" i="1"/>
  <c r="L1906" i="1"/>
  <c r="W1906" i="1" s="1"/>
  <c r="K1803" i="1"/>
  <c r="J1803" i="1"/>
  <c r="I1803" i="1"/>
  <c r="H1803" i="1"/>
  <c r="G1803" i="1"/>
  <c r="L1803" i="1"/>
  <c r="W1803" i="1" s="1"/>
  <c r="K1717" i="1"/>
  <c r="J1717" i="1"/>
  <c r="I1717" i="1"/>
  <c r="H1717" i="1"/>
  <c r="G1717" i="1"/>
  <c r="L1717" i="1"/>
  <c r="W1717" i="1" s="1"/>
  <c r="K1513" i="1"/>
  <c r="J1513" i="1"/>
  <c r="H1513" i="1"/>
  <c r="I1513" i="1"/>
  <c r="G1513" i="1"/>
  <c r="L1513" i="1"/>
  <c r="W1513" i="1" s="1"/>
  <c r="K1567" i="1"/>
  <c r="J1567" i="1"/>
  <c r="H1567" i="1"/>
  <c r="I1567" i="1"/>
  <c r="G1567" i="1"/>
  <c r="L1567" i="1"/>
  <c r="W1567" i="1" s="1"/>
  <c r="K1213" i="1"/>
  <c r="J1213" i="1"/>
  <c r="H1213" i="1"/>
  <c r="I1213" i="1"/>
  <c r="G1213" i="1"/>
  <c r="L1213" i="1"/>
  <c r="W1213" i="1" s="1"/>
  <c r="K1371" i="1"/>
  <c r="J1371" i="1"/>
  <c r="H1371" i="1"/>
  <c r="I1371" i="1"/>
  <c r="G1371" i="1"/>
  <c r="L1371" i="1"/>
  <c r="W1371" i="1" s="1"/>
  <c r="K1590" i="1"/>
  <c r="J1590" i="1"/>
  <c r="I1590" i="1"/>
  <c r="G1590" i="1"/>
  <c r="H1590" i="1"/>
  <c r="L1590" i="1"/>
  <c r="W1590" i="1" s="1"/>
  <c r="K904" i="1"/>
  <c r="I904" i="1"/>
  <c r="J904" i="1"/>
  <c r="H904" i="1"/>
  <c r="G904" i="1"/>
  <c r="L904" i="1"/>
  <c r="W904" i="1" s="1"/>
  <c r="K594" i="1"/>
  <c r="I594" i="1"/>
  <c r="J594" i="1"/>
  <c r="H594" i="1"/>
  <c r="G594" i="1"/>
  <c r="L594" i="1"/>
  <c r="W594" i="1" s="1"/>
  <c r="K1655" i="1"/>
  <c r="J1655" i="1"/>
  <c r="I1655" i="1"/>
  <c r="G1655" i="1"/>
  <c r="H1655" i="1"/>
  <c r="L1655" i="1"/>
  <c r="W1655" i="1" s="1"/>
  <c r="K1693" i="1"/>
  <c r="J1693" i="1"/>
  <c r="I1693" i="1"/>
  <c r="H1693" i="1"/>
  <c r="G1693" i="1"/>
  <c r="L1693" i="1"/>
  <c r="W1693" i="1" s="1"/>
  <c r="K1736" i="1"/>
  <c r="J1736" i="1"/>
  <c r="I1736" i="1"/>
  <c r="H1736" i="1"/>
  <c r="G1736" i="1"/>
  <c r="L1736" i="1"/>
  <c r="W1736" i="1" s="1"/>
  <c r="K1602" i="1"/>
  <c r="J1602" i="1"/>
  <c r="I1602" i="1"/>
  <c r="G1602" i="1"/>
  <c r="H1602" i="1"/>
  <c r="L1602" i="1"/>
  <c r="W1602" i="1" s="1"/>
  <c r="K1381" i="1"/>
  <c r="J1381" i="1"/>
  <c r="H1381" i="1"/>
  <c r="I1381" i="1"/>
  <c r="G1381" i="1"/>
  <c r="L1381" i="1"/>
  <c r="W1381" i="1" s="1"/>
  <c r="K1375" i="1"/>
  <c r="J1375" i="1"/>
  <c r="H1375" i="1"/>
  <c r="I1375" i="1"/>
  <c r="G1375" i="1"/>
  <c r="L1375" i="1"/>
  <c r="W1375" i="1" s="1"/>
  <c r="K1120" i="1"/>
  <c r="J1120" i="1"/>
  <c r="I1120" i="1"/>
  <c r="H1120" i="1"/>
  <c r="G1120" i="1"/>
  <c r="L1120" i="1"/>
  <c r="W1120" i="1" s="1"/>
  <c r="K1831" i="1"/>
  <c r="J1831" i="1"/>
  <c r="I1831" i="1"/>
  <c r="G1831" i="1"/>
  <c r="H1831" i="1"/>
  <c r="L1831" i="1"/>
  <c r="W1831" i="1" s="1"/>
  <c r="K1729" i="1"/>
  <c r="J1729" i="1"/>
  <c r="I1729" i="1"/>
  <c r="H1729" i="1"/>
  <c r="G1729" i="1"/>
  <c r="L1729" i="1"/>
  <c r="W1729" i="1" s="1"/>
  <c r="K1511" i="1"/>
  <c r="J1511" i="1"/>
  <c r="H1511" i="1"/>
  <c r="I1511" i="1"/>
  <c r="G1511" i="1"/>
  <c r="L1511" i="1"/>
  <c r="W1511" i="1" s="1"/>
  <c r="K1549" i="1"/>
  <c r="J1549" i="1"/>
  <c r="H1549" i="1"/>
  <c r="I1549" i="1"/>
  <c r="G1549" i="1"/>
  <c r="L1549" i="1"/>
  <c r="W1549" i="1" s="1"/>
  <c r="K1584" i="1"/>
  <c r="J1584" i="1"/>
  <c r="H1584" i="1"/>
  <c r="I1584" i="1"/>
  <c r="G1584" i="1"/>
  <c r="L1584" i="1"/>
  <c r="W1584" i="1" s="1"/>
  <c r="K1432" i="1"/>
  <c r="J1432" i="1"/>
  <c r="H1432" i="1"/>
  <c r="I1432" i="1"/>
  <c r="G1432" i="1"/>
  <c r="L1432" i="1"/>
  <c r="W1432" i="1" s="1"/>
  <c r="K1255" i="1"/>
  <c r="J1255" i="1"/>
  <c r="H1255" i="1"/>
  <c r="I1255" i="1"/>
  <c r="G1255" i="1"/>
  <c r="L1255" i="1"/>
  <c r="W1255" i="1" s="1"/>
  <c r="K1227" i="1"/>
  <c r="J1227" i="1"/>
  <c r="H1227" i="1"/>
  <c r="I1227" i="1"/>
  <c r="G1227" i="1"/>
  <c r="L1227" i="1"/>
  <c r="W1227" i="1" s="1"/>
  <c r="K796" i="1"/>
  <c r="J796" i="1"/>
  <c r="I796" i="1"/>
  <c r="H796" i="1"/>
  <c r="G796" i="1"/>
  <c r="L796" i="1"/>
  <c r="W796" i="1" s="1"/>
  <c r="K2015" i="1"/>
  <c r="J2015" i="1"/>
  <c r="I2015" i="1"/>
  <c r="G2015" i="1"/>
  <c r="H2015" i="1"/>
  <c r="L2015" i="1"/>
  <c r="W2015" i="1" s="1"/>
  <c r="K1878" i="1"/>
  <c r="J1878" i="1"/>
  <c r="I1878" i="1"/>
  <c r="G1878" i="1"/>
  <c r="H1878" i="1"/>
  <c r="L1878" i="1"/>
  <c r="W1878" i="1" s="1"/>
  <c r="K1887" i="1"/>
  <c r="J1887" i="1"/>
  <c r="I1887" i="1"/>
  <c r="G1887" i="1"/>
  <c r="H1887" i="1"/>
  <c r="L1887" i="1"/>
  <c r="W1887" i="1" s="1"/>
  <c r="K1541" i="1"/>
  <c r="J1541" i="1"/>
  <c r="H1541" i="1"/>
  <c r="I1541" i="1"/>
  <c r="G1541" i="1"/>
  <c r="L1541" i="1"/>
  <c r="W1541" i="1" s="1"/>
  <c r="K1752" i="1"/>
  <c r="J1752" i="1"/>
  <c r="I1752" i="1"/>
  <c r="H1752" i="1"/>
  <c r="G1752" i="1"/>
  <c r="L1752" i="1"/>
  <c r="W1752" i="1" s="1"/>
  <c r="K1761" i="1"/>
  <c r="J1761" i="1"/>
  <c r="I1761" i="1"/>
  <c r="H1761" i="1"/>
  <c r="G1761" i="1"/>
  <c r="L1761" i="1"/>
  <c r="W1761" i="1" s="1"/>
  <c r="K1377" i="1"/>
  <c r="J1377" i="1"/>
  <c r="H1377" i="1"/>
  <c r="I1377" i="1"/>
  <c r="G1377" i="1"/>
  <c r="L1377" i="1"/>
  <c r="W1377" i="1" s="1"/>
  <c r="K1203" i="1"/>
  <c r="J1203" i="1"/>
  <c r="H1203" i="1"/>
  <c r="I1203" i="1"/>
  <c r="G1203" i="1"/>
  <c r="L1203" i="1"/>
  <c r="W1203" i="1" s="1"/>
  <c r="K1502" i="1"/>
  <c r="J1502" i="1"/>
  <c r="I1502" i="1"/>
  <c r="G1502" i="1"/>
  <c r="H1502" i="1"/>
  <c r="L1502" i="1"/>
  <c r="W1502" i="1" s="1"/>
  <c r="K632" i="1"/>
  <c r="I632" i="1"/>
  <c r="J632" i="1"/>
  <c r="H632" i="1"/>
  <c r="G632" i="1"/>
  <c r="L632" i="1"/>
  <c r="W632" i="1" s="1"/>
  <c r="K471" i="1"/>
  <c r="I471" i="1"/>
  <c r="J471" i="1"/>
  <c r="H471" i="1"/>
  <c r="G471" i="1"/>
  <c r="L471" i="1"/>
  <c r="W471" i="1" s="1"/>
  <c r="K1874" i="1"/>
  <c r="J1874" i="1"/>
  <c r="I1874" i="1"/>
  <c r="G1874" i="1"/>
  <c r="H1874" i="1"/>
  <c r="L1874" i="1"/>
  <c r="W1874" i="1" s="1"/>
  <c r="K1799" i="1"/>
  <c r="J1799" i="1"/>
  <c r="I1799" i="1"/>
  <c r="G1799" i="1"/>
  <c r="H1799" i="1"/>
  <c r="L1799" i="1"/>
  <c r="W1799" i="1" s="1"/>
  <c r="K1699" i="1"/>
  <c r="J1699" i="1"/>
  <c r="I1699" i="1"/>
  <c r="H1699" i="1"/>
  <c r="G1699" i="1"/>
  <c r="L1699" i="1"/>
  <c r="W1699" i="1" s="1"/>
  <c r="K1479" i="1"/>
  <c r="J1479" i="1"/>
  <c r="H1479" i="1"/>
  <c r="I1479" i="1"/>
  <c r="G1479" i="1"/>
  <c r="L1479" i="1"/>
  <c r="W1479" i="1" s="1"/>
  <c r="K1517" i="1"/>
  <c r="J1517" i="1"/>
  <c r="H1517" i="1"/>
  <c r="I1517" i="1"/>
  <c r="G1517" i="1"/>
  <c r="L1517" i="1"/>
  <c r="W1517" i="1" s="1"/>
  <c r="K1552" i="1"/>
  <c r="J1552" i="1"/>
  <c r="H1552" i="1"/>
  <c r="I1552" i="1"/>
  <c r="G1552" i="1"/>
  <c r="L1552" i="1"/>
  <c r="W1552" i="1" s="1"/>
  <c r="K1361" i="1"/>
  <c r="J1361" i="1"/>
  <c r="H1361" i="1"/>
  <c r="I1361" i="1"/>
  <c r="G1361" i="1"/>
  <c r="L1361" i="1"/>
  <c r="W1361" i="1" s="1"/>
  <c r="K1223" i="1"/>
  <c r="J1223" i="1"/>
  <c r="H1223" i="1"/>
  <c r="I1223" i="1"/>
  <c r="G1223" i="1"/>
  <c r="L1223" i="1"/>
  <c r="W1223" i="1" s="1"/>
  <c r="K1179" i="1"/>
  <c r="J1179" i="1"/>
  <c r="H1179" i="1"/>
  <c r="I1179" i="1"/>
  <c r="G1179" i="1"/>
  <c r="L1179" i="1"/>
  <c r="W1179" i="1" s="1"/>
  <c r="K700" i="1"/>
  <c r="J700" i="1"/>
  <c r="I700" i="1"/>
  <c r="H700" i="1"/>
  <c r="G700" i="1"/>
  <c r="L700" i="1"/>
  <c r="W700" i="1" s="1"/>
  <c r="K1954" i="1"/>
  <c r="J1954" i="1"/>
  <c r="I1954" i="1"/>
  <c r="G1954" i="1"/>
  <c r="H1954" i="1"/>
  <c r="L1954" i="1"/>
  <c r="W1954" i="1" s="1"/>
  <c r="K1942" i="1"/>
  <c r="J1942" i="1"/>
  <c r="I1942" i="1"/>
  <c r="G1942" i="1"/>
  <c r="H1942" i="1"/>
  <c r="L1942" i="1"/>
  <c r="W1942" i="1" s="1"/>
  <c r="K1865" i="1"/>
  <c r="J1865" i="1"/>
  <c r="I1865" i="1"/>
  <c r="H1865" i="1"/>
  <c r="G1865" i="1"/>
  <c r="L1865" i="1"/>
  <c r="W1865" i="1" s="1"/>
  <c r="K1637" i="1"/>
  <c r="J1637" i="1"/>
  <c r="I1637" i="1"/>
  <c r="H1637" i="1"/>
  <c r="G1637" i="1"/>
  <c r="L1637" i="1"/>
  <c r="W1637" i="1" s="1"/>
  <c r="K1433" i="1"/>
  <c r="J1433" i="1"/>
  <c r="H1433" i="1"/>
  <c r="I1433" i="1"/>
  <c r="G1433" i="1"/>
  <c r="L1433" i="1"/>
  <c r="W1433" i="1" s="1"/>
  <c r="K1487" i="1"/>
  <c r="J1487" i="1"/>
  <c r="H1487" i="1"/>
  <c r="I1487" i="1"/>
  <c r="G1487" i="1"/>
  <c r="L1487" i="1"/>
  <c r="W1487" i="1" s="1"/>
  <c r="K1435" i="1"/>
  <c r="J1435" i="1"/>
  <c r="H1435" i="1"/>
  <c r="I1435" i="1"/>
  <c r="G1435" i="1"/>
  <c r="L1435" i="1"/>
  <c r="W1435" i="1" s="1"/>
  <c r="K1299" i="1"/>
  <c r="J1299" i="1"/>
  <c r="H1299" i="1"/>
  <c r="I1299" i="1"/>
  <c r="G1299" i="1"/>
  <c r="L1299" i="1"/>
  <c r="W1299" i="1" s="1"/>
  <c r="K1550" i="1"/>
  <c r="J1550" i="1"/>
  <c r="I1550" i="1"/>
  <c r="H1550" i="1"/>
  <c r="G1550" i="1"/>
  <c r="L1550" i="1"/>
  <c r="W1550" i="1" s="1"/>
  <c r="K776" i="1"/>
  <c r="I776" i="1"/>
  <c r="J776" i="1"/>
  <c r="H776" i="1"/>
  <c r="G776" i="1"/>
  <c r="L776" i="1"/>
  <c r="W776" i="1" s="1"/>
  <c r="K788" i="1"/>
  <c r="J788" i="1"/>
  <c r="I788" i="1"/>
  <c r="H788" i="1"/>
  <c r="G788" i="1"/>
  <c r="L788" i="1"/>
  <c r="W788" i="1" s="1"/>
  <c r="K2009" i="1"/>
  <c r="J2009" i="1"/>
  <c r="I2009" i="1"/>
  <c r="H2009" i="1"/>
  <c r="G2009" i="1"/>
  <c r="L2009" i="1"/>
  <c r="W2009" i="1" s="1"/>
  <c r="K1767" i="1"/>
  <c r="J1767" i="1"/>
  <c r="I1767" i="1"/>
  <c r="G1767" i="1"/>
  <c r="H1767" i="1"/>
  <c r="L1767" i="1"/>
  <c r="W1767" i="1" s="1"/>
  <c r="K1667" i="1"/>
  <c r="J1667" i="1"/>
  <c r="I1667" i="1"/>
  <c r="H1667" i="1"/>
  <c r="G1667" i="1"/>
  <c r="L1667" i="1"/>
  <c r="W1667" i="1" s="1"/>
  <c r="K1447" i="1"/>
  <c r="J1447" i="1"/>
  <c r="H1447" i="1"/>
  <c r="I1447" i="1"/>
  <c r="G1447" i="1"/>
  <c r="L1447" i="1"/>
  <c r="W1447" i="1" s="1"/>
  <c r="K1485" i="1"/>
  <c r="J1485" i="1"/>
  <c r="H1485" i="1"/>
  <c r="I1485" i="1"/>
  <c r="G1485" i="1"/>
  <c r="L1485" i="1"/>
  <c r="W1485" i="1" s="1"/>
  <c r="K1536" i="1"/>
  <c r="J1536" i="1"/>
  <c r="H1536" i="1"/>
  <c r="I1536" i="1"/>
  <c r="G1536" i="1"/>
  <c r="L1536" i="1"/>
  <c r="W1536" i="1" s="1"/>
  <c r="K1329" i="1"/>
  <c r="J1329" i="1"/>
  <c r="H1329" i="1"/>
  <c r="I1329" i="1"/>
  <c r="G1329" i="1"/>
  <c r="L1329" i="1"/>
  <c r="W1329" i="1" s="1"/>
  <c r="K1191" i="1"/>
  <c r="J1191" i="1"/>
  <c r="H1191" i="1"/>
  <c r="I1191" i="1"/>
  <c r="G1191" i="1"/>
  <c r="L1191" i="1"/>
  <c r="W1191" i="1" s="1"/>
  <c r="K1280" i="1"/>
  <c r="J1280" i="1"/>
  <c r="H1280" i="1"/>
  <c r="I1280" i="1"/>
  <c r="G1280" i="1"/>
  <c r="L1280" i="1"/>
  <c r="W1280" i="1" s="1"/>
  <c r="K636" i="1"/>
  <c r="I636" i="1"/>
  <c r="J636" i="1"/>
  <c r="H636" i="1"/>
  <c r="G636" i="1"/>
  <c r="L636" i="1"/>
  <c r="W636" i="1" s="1"/>
  <c r="K1920" i="1"/>
  <c r="J1920" i="1"/>
  <c r="I1920" i="1"/>
  <c r="H1920" i="1"/>
  <c r="G1920" i="1"/>
  <c r="L1920" i="1"/>
  <c r="W1920" i="1" s="1"/>
  <c r="K1932" i="1"/>
  <c r="J1932" i="1"/>
  <c r="I1932" i="1"/>
  <c r="H1932" i="1"/>
  <c r="G1932" i="1"/>
  <c r="L1932" i="1"/>
  <c r="W1932" i="1" s="1"/>
  <c r="K1891" i="1"/>
  <c r="J1891" i="1"/>
  <c r="I1891" i="1"/>
  <c r="H1891" i="1"/>
  <c r="G1891" i="1"/>
  <c r="L1891" i="1"/>
  <c r="W1891" i="1" s="1"/>
  <c r="K1816" i="1"/>
  <c r="J1816" i="1"/>
  <c r="I1816" i="1"/>
  <c r="H1816" i="1"/>
  <c r="G1816" i="1"/>
  <c r="L1816" i="1"/>
  <c r="W1816" i="1" s="1"/>
  <c r="K1559" i="1"/>
  <c r="J1559" i="1"/>
  <c r="H1559" i="1"/>
  <c r="I1559" i="1"/>
  <c r="G1559" i="1"/>
  <c r="L1559" i="1"/>
  <c r="W1559" i="1" s="1"/>
  <c r="K1597" i="1"/>
  <c r="J1597" i="1"/>
  <c r="I1597" i="1"/>
  <c r="H1597" i="1"/>
  <c r="G1597" i="1"/>
  <c r="L1597" i="1"/>
  <c r="W1597" i="1" s="1"/>
  <c r="K1632" i="1"/>
  <c r="J1632" i="1"/>
  <c r="I1632" i="1"/>
  <c r="H1632" i="1"/>
  <c r="G1632" i="1"/>
  <c r="L1632" i="1"/>
  <c r="W1632" i="1" s="1"/>
  <c r="K1506" i="1"/>
  <c r="J1506" i="1"/>
  <c r="H1506" i="1"/>
  <c r="I1506" i="1"/>
  <c r="G1506" i="1"/>
  <c r="L1506" i="1"/>
  <c r="W1506" i="1" s="1"/>
  <c r="K1303" i="1"/>
  <c r="J1303" i="1"/>
  <c r="H1303" i="1"/>
  <c r="I1303" i="1"/>
  <c r="G1303" i="1"/>
  <c r="L1303" i="1"/>
  <c r="W1303" i="1" s="1"/>
  <c r="K1275" i="1"/>
  <c r="J1275" i="1"/>
  <c r="H1275" i="1"/>
  <c r="I1275" i="1"/>
  <c r="G1275" i="1"/>
  <c r="L1275" i="1"/>
  <c r="W1275" i="1" s="1"/>
  <c r="K924" i="1"/>
  <c r="J924" i="1"/>
  <c r="I924" i="1"/>
  <c r="H924" i="1"/>
  <c r="G924" i="1"/>
  <c r="L924" i="1"/>
  <c r="W924" i="1" s="1"/>
  <c r="K734" i="1"/>
  <c r="J734" i="1"/>
  <c r="I734" i="1"/>
  <c r="H734" i="1"/>
  <c r="G734" i="1"/>
  <c r="L734" i="1"/>
  <c r="W734" i="1" s="1"/>
  <c r="K946" i="1"/>
  <c r="I946" i="1"/>
  <c r="J946" i="1"/>
  <c r="H946" i="1"/>
  <c r="G946" i="1"/>
  <c r="L946" i="1"/>
  <c r="W946" i="1" s="1"/>
  <c r="K756" i="1"/>
  <c r="J756" i="1"/>
  <c r="I756" i="1"/>
  <c r="H756" i="1"/>
  <c r="G756" i="1"/>
  <c r="L756" i="1"/>
  <c r="W756" i="1" s="1"/>
  <c r="K741" i="1"/>
  <c r="J741" i="1"/>
  <c r="H741" i="1"/>
  <c r="I741" i="1"/>
  <c r="G741" i="1"/>
  <c r="L741" i="1"/>
  <c r="W741" i="1" s="1"/>
  <c r="K644" i="1"/>
  <c r="I644" i="1"/>
  <c r="J644" i="1"/>
  <c r="H644" i="1"/>
  <c r="G644" i="1"/>
  <c r="L644" i="1"/>
  <c r="W644" i="1" s="1"/>
  <c r="K499" i="1"/>
  <c r="I499" i="1"/>
  <c r="J499" i="1"/>
  <c r="H499" i="1"/>
  <c r="G499" i="1"/>
  <c r="L499" i="1"/>
  <c r="W499" i="1" s="1"/>
  <c r="K302" i="1"/>
  <c r="J302" i="1"/>
  <c r="I302" i="1"/>
  <c r="H302" i="1"/>
  <c r="G302" i="1"/>
  <c r="L302" i="1"/>
  <c r="W302" i="1" s="1"/>
  <c r="J211" i="1"/>
  <c r="K211" i="1"/>
  <c r="I211" i="1"/>
  <c r="H211" i="1"/>
  <c r="G211" i="1"/>
  <c r="L211" i="1"/>
  <c r="W211" i="1" s="1"/>
  <c r="K1160" i="1"/>
  <c r="J1160" i="1"/>
  <c r="H1160" i="1"/>
  <c r="I1160" i="1"/>
  <c r="G1160" i="1"/>
  <c r="L1160" i="1"/>
  <c r="W1160" i="1" s="1"/>
  <c r="K718" i="1"/>
  <c r="J718" i="1"/>
  <c r="I718" i="1"/>
  <c r="H718" i="1"/>
  <c r="G718" i="1"/>
  <c r="L718" i="1"/>
  <c r="W718" i="1" s="1"/>
  <c r="K930" i="1"/>
  <c r="I930" i="1"/>
  <c r="J930" i="1"/>
  <c r="H930" i="1"/>
  <c r="G930" i="1"/>
  <c r="L930" i="1"/>
  <c r="W930" i="1" s="1"/>
  <c r="K740" i="1"/>
  <c r="J740" i="1"/>
  <c r="I740" i="1"/>
  <c r="H740" i="1"/>
  <c r="G740" i="1"/>
  <c r="L740" i="1"/>
  <c r="W740" i="1" s="1"/>
  <c r="K725" i="1"/>
  <c r="J725" i="1"/>
  <c r="H725" i="1"/>
  <c r="I725" i="1"/>
  <c r="G725" i="1"/>
  <c r="L725" i="1"/>
  <c r="W725" i="1" s="1"/>
  <c r="K611" i="1"/>
  <c r="I611" i="1"/>
  <c r="J611" i="1"/>
  <c r="H611" i="1"/>
  <c r="G611" i="1"/>
  <c r="L611" i="1"/>
  <c r="W611" i="1" s="1"/>
  <c r="K483" i="1"/>
  <c r="I483" i="1"/>
  <c r="J483" i="1"/>
  <c r="H483" i="1"/>
  <c r="G483" i="1"/>
  <c r="L483" i="1"/>
  <c r="W483" i="1" s="1"/>
  <c r="K286" i="1"/>
  <c r="J286" i="1"/>
  <c r="I286" i="1"/>
  <c r="H286" i="1"/>
  <c r="G286" i="1"/>
  <c r="L286" i="1"/>
  <c r="W286" i="1" s="1"/>
  <c r="J219" i="1"/>
  <c r="K219" i="1"/>
  <c r="I219" i="1"/>
  <c r="H219" i="1"/>
  <c r="G219" i="1"/>
  <c r="L219" i="1"/>
  <c r="W219" i="1" s="1"/>
  <c r="K872" i="1"/>
  <c r="I872" i="1"/>
  <c r="J872" i="1"/>
  <c r="H872" i="1"/>
  <c r="G872" i="1"/>
  <c r="L872" i="1"/>
  <c r="W872" i="1" s="1"/>
  <c r="K1152" i="1"/>
  <c r="J1152" i="1"/>
  <c r="H1152" i="1"/>
  <c r="I1152" i="1"/>
  <c r="G1152" i="1"/>
  <c r="L1152" i="1"/>
  <c r="W1152" i="1" s="1"/>
  <c r="K702" i="1"/>
  <c r="J702" i="1"/>
  <c r="I702" i="1"/>
  <c r="H702" i="1"/>
  <c r="G702" i="1"/>
  <c r="L702" i="1"/>
  <c r="W702" i="1" s="1"/>
  <c r="K914" i="1"/>
  <c r="I914" i="1"/>
  <c r="J914" i="1"/>
  <c r="H914" i="1"/>
  <c r="G914" i="1"/>
  <c r="L914" i="1"/>
  <c r="W914" i="1" s="1"/>
  <c r="K724" i="1"/>
  <c r="J724" i="1"/>
  <c r="I724" i="1"/>
  <c r="H724" i="1"/>
  <c r="G724" i="1"/>
  <c r="L724" i="1"/>
  <c r="W724" i="1" s="1"/>
  <c r="K699" i="1"/>
  <c r="I699" i="1"/>
  <c r="J699" i="1"/>
  <c r="H699" i="1"/>
  <c r="G699" i="1"/>
  <c r="L699" i="1"/>
  <c r="W699" i="1" s="1"/>
  <c r="K589" i="1"/>
  <c r="J589" i="1"/>
  <c r="H589" i="1"/>
  <c r="I589" i="1"/>
  <c r="G589" i="1"/>
  <c r="L589" i="1"/>
  <c r="W589" i="1" s="1"/>
  <c r="K467" i="1"/>
  <c r="I467" i="1"/>
  <c r="J467" i="1"/>
  <c r="H467" i="1"/>
  <c r="G467" i="1"/>
  <c r="L467" i="1"/>
  <c r="W467" i="1" s="1"/>
  <c r="K270" i="1"/>
  <c r="J270" i="1"/>
  <c r="I270" i="1"/>
  <c r="H270" i="1"/>
  <c r="G270" i="1"/>
  <c r="L270" i="1"/>
  <c r="W270" i="1" s="1"/>
  <c r="J227" i="1"/>
  <c r="K227" i="1"/>
  <c r="I227" i="1"/>
  <c r="H227" i="1"/>
  <c r="G227" i="1"/>
  <c r="L227" i="1"/>
  <c r="W227" i="1" s="1"/>
  <c r="K1210" i="1"/>
  <c r="J1210" i="1"/>
  <c r="H1210" i="1"/>
  <c r="I1210" i="1"/>
  <c r="G1210" i="1"/>
  <c r="L1210" i="1"/>
  <c r="W1210" i="1" s="1"/>
  <c r="K814" i="1"/>
  <c r="J814" i="1"/>
  <c r="H814" i="1"/>
  <c r="I814" i="1"/>
  <c r="G814" i="1"/>
  <c r="L814" i="1"/>
  <c r="W814" i="1" s="1"/>
  <c r="K1026" i="1"/>
  <c r="I1026" i="1"/>
  <c r="J1026" i="1"/>
  <c r="H1026" i="1"/>
  <c r="G1026" i="1"/>
  <c r="L1026" i="1"/>
  <c r="W1026" i="1" s="1"/>
  <c r="K836" i="1"/>
  <c r="J836" i="1"/>
  <c r="I836" i="1"/>
  <c r="H836" i="1"/>
  <c r="G836" i="1"/>
  <c r="L836" i="1"/>
  <c r="W836" i="1" s="1"/>
  <c r="K821" i="1"/>
  <c r="J821" i="1"/>
  <c r="H821" i="1"/>
  <c r="I821" i="1"/>
  <c r="G821" i="1"/>
  <c r="L821" i="1"/>
  <c r="W821" i="1" s="1"/>
  <c r="K735" i="1"/>
  <c r="I735" i="1"/>
  <c r="J735" i="1"/>
  <c r="H735" i="1"/>
  <c r="G735" i="1"/>
  <c r="L735" i="1"/>
  <c r="W735" i="1" s="1"/>
  <c r="K579" i="1"/>
  <c r="I579" i="1"/>
  <c r="J579" i="1"/>
  <c r="H579" i="1"/>
  <c r="G579" i="1"/>
  <c r="L579" i="1"/>
  <c r="W579" i="1" s="1"/>
  <c r="K373" i="1"/>
  <c r="J373" i="1"/>
  <c r="H373" i="1"/>
  <c r="I373" i="1"/>
  <c r="G373" i="1"/>
  <c r="L373" i="1"/>
  <c r="W373" i="1" s="1"/>
  <c r="J173" i="1"/>
  <c r="K173" i="1"/>
  <c r="I173" i="1"/>
  <c r="H173" i="1"/>
  <c r="G173" i="1"/>
  <c r="L173" i="1"/>
  <c r="W173" i="1" s="1"/>
  <c r="K1122" i="1"/>
  <c r="J1122" i="1"/>
  <c r="I1122" i="1"/>
  <c r="H1122" i="1"/>
  <c r="G1122" i="1"/>
  <c r="L1122" i="1"/>
  <c r="W1122" i="1" s="1"/>
  <c r="K626" i="1"/>
  <c r="I626" i="1"/>
  <c r="J626" i="1"/>
  <c r="H626" i="1"/>
  <c r="G626" i="1"/>
  <c r="L626" i="1"/>
  <c r="W626" i="1" s="1"/>
  <c r="K790" i="1"/>
  <c r="J790" i="1"/>
  <c r="I790" i="1"/>
  <c r="H790" i="1"/>
  <c r="G790" i="1"/>
  <c r="L790" i="1"/>
  <c r="W790" i="1" s="1"/>
  <c r="K393" i="1"/>
  <c r="I393" i="1"/>
  <c r="J393" i="1"/>
  <c r="H393" i="1"/>
  <c r="G393" i="1"/>
  <c r="L393" i="1"/>
  <c r="W393" i="1" s="1"/>
  <c r="K603" i="1"/>
  <c r="I603" i="1"/>
  <c r="J603" i="1"/>
  <c r="H603" i="1"/>
  <c r="G603" i="1"/>
  <c r="L603" i="1"/>
  <c r="W603" i="1" s="1"/>
  <c r="K883" i="1"/>
  <c r="I883" i="1"/>
  <c r="J883" i="1"/>
  <c r="H883" i="1"/>
  <c r="G883" i="1"/>
  <c r="L883" i="1"/>
  <c r="W883" i="1" s="1"/>
  <c r="K208" i="1"/>
  <c r="J208" i="1"/>
  <c r="I208" i="1"/>
  <c r="H208" i="1"/>
  <c r="G208" i="1"/>
  <c r="L208" i="1"/>
  <c r="W208" i="1" s="1"/>
  <c r="J213" i="1"/>
  <c r="K213" i="1"/>
  <c r="I213" i="1"/>
  <c r="H213" i="1"/>
  <c r="G213" i="1"/>
  <c r="L213" i="1"/>
  <c r="W213" i="1" s="1"/>
  <c r="K1034" i="1"/>
  <c r="I1034" i="1"/>
  <c r="J1034" i="1"/>
  <c r="H1034" i="1"/>
  <c r="G1034" i="1"/>
  <c r="L1034" i="1"/>
  <c r="W1034" i="1" s="1"/>
  <c r="K940" i="1"/>
  <c r="J940" i="1"/>
  <c r="I940" i="1"/>
  <c r="H940" i="1"/>
  <c r="G940" i="1"/>
  <c r="L940" i="1"/>
  <c r="W940" i="1" s="1"/>
  <c r="K1114" i="1"/>
  <c r="J1114" i="1"/>
  <c r="H1114" i="1"/>
  <c r="I1114" i="1"/>
  <c r="G1114" i="1"/>
  <c r="L1114" i="1"/>
  <c r="W1114" i="1" s="1"/>
  <c r="K610" i="1"/>
  <c r="I610" i="1"/>
  <c r="J610" i="1"/>
  <c r="H610" i="1"/>
  <c r="G610" i="1"/>
  <c r="L610" i="1"/>
  <c r="W610" i="1" s="1"/>
  <c r="K774" i="1"/>
  <c r="J774" i="1"/>
  <c r="I774" i="1"/>
  <c r="H774" i="1"/>
  <c r="G774" i="1"/>
  <c r="L774" i="1"/>
  <c r="W774" i="1" s="1"/>
  <c r="K377" i="1"/>
  <c r="I377" i="1"/>
  <c r="J377" i="1"/>
  <c r="H377" i="1"/>
  <c r="G377" i="1"/>
  <c r="L377" i="1"/>
  <c r="W377" i="1" s="1"/>
  <c r="K596" i="1"/>
  <c r="I596" i="1"/>
  <c r="J596" i="1"/>
  <c r="H596" i="1"/>
  <c r="G596" i="1"/>
  <c r="L596" i="1"/>
  <c r="W596" i="1" s="1"/>
  <c r="K875" i="1"/>
  <c r="I875" i="1"/>
  <c r="J875" i="1"/>
  <c r="H875" i="1"/>
  <c r="G875" i="1"/>
  <c r="L875" i="1"/>
  <c r="W875" i="1" s="1"/>
  <c r="K192" i="1"/>
  <c r="J192" i="1"/>
  <c r="I192" i="1"/>
  <c r="H192" i="1"/>
  <c r="G192" i="1"/>
  <c r="L192" i="1"/>
  <c r="W192" i="1" s="1"/>
  <c r="K233" i="1"/>
  <c r="J233" i="1"/>
  <c r="I233" i="1"/>
  <c r="H233" i="1"/>
  <c r="G233" i="1"/>
  <c r="L233" i="1"/>
  <c r="W233" i="1" s="1"/>
  <c r="K206" i="1"/>
  <c r="J206" i="1"/>
  <c r="I206" i="1"/>
  <c r="H206" i="1"/>
  <c r="G206" i="1"/>
  <c r="L206" i="1"/>
  <c r="W206" i="1" s="1"/>
  <c r="K273" i="1"/>
  <c r="J273" i="1"/>
  <c r="I273" i="1"/>
  <c r="H273" i="1"/>
  <c r="G273" i="1"/>
  <c r="L273" i="1"/>
  <c r="W273" i="1" s="1"/>
  <c r="K1195" i="1"/>
  <c r="J1195" i="1"/>
  <c r="H1195" i="1"/>
  <c r="I1195" i="1"/>
  <c r="G1195" i="1"/>
  <c r="L1195" i="1"/>
  <c r="W1195" i="1" s="1"/>
  <c r="K874" i="1"/>
  <c r="I874" i="1"/>
  <c r="J874" i="1"/>
  <c r="H874" i="1"/>
  <c r="G874" i="1"/>
  <c r="L874" i="1"/>
  <c r="W874" i="1" s="1"/>
  <c r="K780" i="1"/>
  <c r="J780" i="1"/>
  <c r="I780" i="1"/>
  <c r="H780" i="1"/>
  <c r="G780" i="1"/>
  <c r="L780" i="1"/>
  <c r="W780" i="1" s="1"/>
  <c r="K1008" i="1"/>
  <c r="I1008" i="1"/>
  <c r="J1008" i="1"/>
  <c r="H1008" i="1"/>
  <c r="G1008" i="1"/>
  <c r="L1008" i="1"/>
  <c r="W1008" i="1" s="1"/>
  <c r="K1190" i="1"/>
  <c r="J1190" i="1"/>
  <c r="H1190" i="1"/>
  <c r="I1190" i="1"/>
  <c r="G1190" i="1"/>
  <c r="L1190" i="1"/>
  <c r="W1190" i="1" s="1"/>
  <c r="K614" i="1"/>
  <c r="J614" i="1"/>
  <c r="I614" i="1"/>
  <c r="H614" i="1"/>
  <c r="G614" i="1"/>
  <c r="L614" i="1"/>
  <c r="W614" i="1" s="1"/>
  <c r="K539" i="1"/>
  <c r="I539" i="1"/>
  <c r="J539" i="1"/>
  <c r="H539" i="1"/>
  <c r="G539" i="1"/>
  <c r="L539" i="1"/>
  <c r="W539" i="1" s="1"/>
  <c r="K447" i="1"/>
  <c r="I447" i="1"/>
  <c r="J447" i="1"/>
  <c r="H447" i="1"/>
  <c r="G447" i="1"/>
  <c r="L447" i="1"/>
  <c r="W447" i="1" s="1"/>
  <c r="K795" i="1"/>
  <c r="I795" i="1"/>
  <c r="J795" i="1"/>
  <c r="H795" i="1"/>
  <c r="G795" i="1"/>
  <c r="L795" i="1"/>
  <c r="W795" i="1" s="1"/>
  <c r="K530" i="1"/>
  <c r="I530" i="1"/>
  <c r="J530" i="1"/>
  <c r="H530" i="1"/>
  <c r="G530" i="1"/>
  <c r="L530" i="1"/>
  <c r="W530" i="1" s="1"/>
  <c r="K440" i="1"/>
  <c r="I440" i="1"/>
  <c r="J440" i="1"/>
  <c r="H440" i="1"/>
  <c r="G440" i="1"/>
  <c r="L440" i="1"/>
  <c r="W440" i="1" s="1"/>
  <c r="K909" i="1"/>
  <c r="J909" i="1"/>
  <c r="H909" i="1"/>
  <c r="I909" i="1"/>
  <c r="G909" i="1"/>
  <c r="L909" i="1"/>
  <c r="W909" i="1" s="1"/>
  <c r="K1047" i="1"/>
  <c r="I1047" i="1"/>
  <c r="J1047" i="1"/>
  <c r="H1047" i="1"/>
  <c r="G1047" i="1"/>
  <c r="L1047" i="1"/>
  <c r="W1047" i="1" s="1"/>
  <c r="K1101" i="1"/>
  <c r="J1101" i="1"/>
  <c r="H1101" i="1"/>
  <c r="I1101" i="1"/>
  <c r="G1101" i="1"/>
  <c r="L1101" i="1"/>
  <c r="W1101" i="1" s="1"/>
  <c r="K1460" i="1"/>
  <c r="J1460" i="1"/>
  <c r="I1460" i="1"/>
  <c r="H1460" i="1"/>
  <c r="G1460" i="1"/>
  <c r="L1460" i="1"/>
  <c r="W1460" i="1" s="1"/>
  <c r="K1626" i="1"/>
  <c r="J1626" i="1"/>
  <c r="I1626" i="1"/>
  <c r="G1626" i="1"/>
  <c r="H1626" i="1"/>
  <c r="L1626" i="1"/>
  <c r="W1626" i="1" s="1"/>
  <c r="K1676" i="1"/>
  <c r="J1676" i="1"/>
  <c r="I1676" i="1"/>
  <c r="H1676" i="1"/>
  <c r="G1676" i="1"/>
  <c r="L1676" i="1"/>
  <c r="W1676" i="1" s="1"/>
  <c r="K280" i="1"/>
  <c r="J280" i="1"/>
  <c r="I280" i="1"/>
  <c r="H280" i="1"/>
  <c r="G280" i="1"/>
  <c r="L280" i="1"/>
  <c r="W280" i="1" s="1"/>
  <c r="J323" i="1"/>
  <c r="K323" i="1"/>
  <c r="I323" i="1"/>
  <c r="H323" i="1"/>
  <c r="G323" i="1"/>
  <c r="L323" i="1"/>
  <c r="W323" i="1" s="1"/>
  <c r="K287" i="1"/>
  <c r="J287" i="1"/>
  <c r="I287" i="1"/>
  <c r="H287" i="1"/>
  <c r="G287" i="1"/>
  <c r="L287" i="1"/>
  <c r="W287" i="1" s="1"/>
  <c r="K528" i="1"/>
  <c r="I528" i="1"/>
  <c r="J528" i="1"/>
  <c r="H528" i="1"/>
  <c r="G528" i="1"/>
  <c r="L528" i="1"/>
  <c r="W528" i="1" s="1"/>
  <c r="K1033" i="1"/>
  <c r="J1033" i="1"/>
  <c r="I1033" i="1"/>
  <c r="H1033" i="1"/>
  <c r="G1033" i="1"/>
  <c r="L1033" i="1"/>
  <c r="W1033" i="1" s="1"/>
  <c r="K1041" i="1"/>
  <c r="J1041" i="1"/>
  <c r="I1041" i="1"/>
  <c r="H1041" i="1"/>
  <c r="G1041" i="1"/>
  <c r="L1041" i="1"/>
  <c r="W1041" i="1" s="1"/>
  <c r="K1316" i="1"/>
  <c r="J1316" i="1"/>
  <c r="I1316" i="1"/>
  <c r="H1316" i="1"/>
  <c r="G1316" i="1"/>
  <c r="L1316" i="1"/>
  <c r="W1316" i="1" s="1"/>
  <c r="K1398" i="1"/>
  <c r="J1398" i="1"/>
  <c r="H1398" i="1"/>
  <c r="I1398" i="1"/>
  <c r="G1398" i="1"/>
  <c r="L1398" i="1"/>
  <c r="W1398" i="1" s="1"/>
  <c r="K1488" i="1"/>
  <c r="J1488" i="1"/>
  <c r="H1488" i="1"/>
  <c r="I1488" i="1"/>
  <c r="G1488" i="1"/>
  <c r="L1488" i="1"/>
  <c r="W1488" i="1" s="1"/>
  <c r="K1871" i="1"/>
  <c r="J1871" i="1"/>
  <c r="I1871" i="1"/>
  <c r="G1871" i="1"/>
  <c r="H1871" i="1"/>
  <c r="L1871" i="1"/>
  <c r="W1871" i="1" s="1"/>
  <c r="K202" i="1"/>
  <c r="J202" i="1"/>
  <c r="I202" i="1"/>
  <c r="H202" i="1"/>
  <c r="G202" i="1"/>
  <c r="L202" i="1"/>
  <c r="W202" i="1" s="1"/>
  <c r="K249" i="1"/>
  <c r="J249" i="1"/>
  <c r="I249" i="1"/>
  <c r="H249" i="1"/>
  <c r="G249" i="1"/>
  <c r="L249" i="1"/>
  <c r="W249" i="1" s="1"/>
  <c r="K239" i="1"/>
  <c r="J239" i="1"/>
  <c r="I239" i="1"/>
  <c r="H239" i="1"/>
  <c r="G239" i="1"/>
  <c r="L239" i="1"/>
  <c r="W239" i="1" s="1"/>
  <c r="K601" i="1"/>
  <c r="I601" i="1"/>
  <c r="J601" i="1"/>
  <c r="H601" i="1"/>
  <c r="G601" i="1"/>
  <c r="L601" i="1"/>
  <c r="W601" i="1" s="1"/>
  <c r="K793" i="1"/>
  <c r="I793" i="1"/>
  <c r="J793" i="1"/>
  <c r="H793" i="1"/>
  <c r="G793" i="1"/>
  <c r="L793" i="1"/>
  <c r="W793" i="1" s="1"/>
  <c r="K801" i="1"/>
  <c r="J801" i="1"/>
  <c r="I801" i="1"/>
  <c r="H801" i="1"/>
  <c r="G801" i="1"/>
  <c r="L801" i="1"/>
  <c r="W801" i="1" s="1"/>
  <c r="K1153" i="1"/>
  <c r="J1153" i="1"/>
  <c r="H1153" i="1"/>
  <c r="I1153" i="1"/>
  <c r="G1153" i="1"/>
  <c r="L1153" i="1"/>
  <c r="W1153" i="1" s="1"/>
  <c r="K1368" i="1"/>
  <c r="J1368" i="1"/>
  <c r="H1368" i="1"/>
  <c r="I1368" i="1"/>
  <c r="G1368" i="1"/>
  <c r="L1368" i="1"/>
  <c r="W1368" i="1" s="1"/>
  <c r="K1620" i="1"/>
  <c r="J1620" i="1"/>
  <c r="I1620" i="1"/>
  <c r="H1620" i="1"/>
  <c r="G1620" i="1"/>
  <c r="L1620" i="1"/>
  <c r="W1620" i="1" s="1"/>
  <c r="K1760" i="1"/>
  <c r="J1760" i="1"/>
  <c r="I1760" i="1"/>
  <c r="H1760" i="1"/>
  <c r="G1760" i="1"/>
  <c r="L1760" i="1"/>
  <c r="W1760" i="1" s="1"/>
  <c r="K406" i="1"/>
  <c r="J406" i="1"/>
  <c r="I406" i="1"/>
  <c r="H406" i="1"/>
  <c r="G406" i="1"/>
  <c r="L406" i="1"/>
  <c r="W406" i="1" s="1"/>
  <c r="K432" i="1"/>
  <c r="I432" i="1"/>
  <c r="J432" i="1"/>
  <c r="H432" i="1"/>
  <c r="G432" i="1"/>
  <c r="L432" i="1"/>
  <c r="W432" i="1" s="1"/>
  <c r="K937" i="1"/>
  <c r="J937" i="1"/>
  <c r="I937" i="1"/>
  <c r="H937" i="1"/>
  <c r="G937" i="1"/>
  <c r="L937" i="1"/>
  <c r="W937" i="1" s="1"/>
  <c r="K945" i="1"/>
  <c r="J945" i="1"/>
  <c r="I945" i="1"/>
  <c r="H945" i="1"/>
  <c r="G945" i="1"/>
  <c r="L945" i="1"/>
  <c r="W945" i="1" s="1"/>
  <c r="K1220" i="1"/>
  <c r="J1220" i="1"/>
  <c r="I1220" i="1"/>
  <c r="G1220" i="1"/>
  <c r="H1220" i="1"/>
  <c r="L1220" i="1"/>
  <c r="W1220" i="1" s="1"/>
  <c r="K1386" i="1"/>
  <c r="J1386" i="1"/>
  <c r="H1386" i="1"/>
  <c r="I1386" i="1"/>
  <c r="G1386" i="1"/>
  <c r="L1386" i="1"/>
  <c r="W1386" i="1" s="1"/>
  <c r="K1714" i="1"/>
  <c r="J1714" i="1"/>
  <c r="I1714" i="1"/>
  <c r="G1714" i="1"/>
  <c r="H1714" i="1"/>
  <c r="L1714" i="1"/>
  <c r="W1714" i="1" s="1"/>
  <c r="K1758" i="1"/>
  <c r="J1758" i="1"/>
  <c r="I1758" i="1"/>
  <c r="G1758" i="1"/>
  <c r="H1758" i="1"/>
  <c r="L1758" i="1"/>
  <c r="W1758" i="1" s="1"/>
  <c r="K298" i="1"/>
  <c r="J298" i="1"/>
  <c r="I298" i="1"/>
  <c r="H298" i="1"/>
  <c r="G298" i="1"/>
  <c r="L298" i="1"/>
  <c r="W298" i="1" s="1"/>
  <c r="J260" i="1"/>
  <c r="K260" i="1"/>
  <c r="I260" i="1"/>
  <c r="H260" i="1"/>
  <c r="G260" i="1"/>
  <c r="L260" i="1"/>
  <c r="W260" i="1" s="1"/>
  <c r="K380" i="1"/>
  <c r="I380" i="1"/>
  <c r="J380" i="1"/>
  <c r="H380" i="1"/>
  <c r="G380" i="1"/>
  <c r="L380" i="1"/>
  <c r="W380" i="1" s="1"/>
  <c r="K376" i="1"/>
  <c r="I376" i="1"/>
  <c r="J376" i="1"/>
  <c r="H376" i="1"/>
  <c r="G376" i="1"/>
  <c r="L376" i="1"/>
  <c r="W376" i="1" s="1"/>
  <c r="K845" i="1"/>
  <c r="J845" i="1"/>
  <c r="H845" i="1"/>
  <c r="I845" i="1"/>
  <c r="G845" i="1"/>
  <c r="L845" i="1"/>
  <c r="W845" i="1" s="1"/>
  <c r="K951" i="1"/>
  <c r="I951" i="1"/>
  <c r="J951" i="1"/>
  <c r="H951" i="1"/>
  <c r="G951" i="1"/>
  <c r="L951" i="1"/>
  <c r="W951" i="1" s="1"/>
  <c r="K1093" i="1"/>
  <c r="J1093" i="1"/>
  <c r="H1093" i="1"/>
  <c r="I1093" i="1"/>
  <c r="G1093" i="1"/>
  <c r="L1093" i="1"/>
  <c r="W1093" i="1" s="1"/>
  <c r="K1310" i="1"/>
  <c r="J1310" i="1"/>
  <c r="H1310" i="1"/>
  <c r="I1310" i="1"/>
  <c r="G1310" i="1"/>
  <c r="L1310" i="1"/>
  <c r="W1310" i="1" s="1"/>
  <c r="K1562" i="1"/>
  <c r="J1562" i="1"/>
  <c r="H1562" i="1"/>
  <c r="I1562" i="1"/>
  <c r="G1562" i="1"/>
  <c r="L1562" i="1"/>
  <c r="W1562" i="1" s="1"/>
  <c r="K1612" i="1"/>
  <c r="J1612" i="1"/>
  <c r="I1612" i="1"/>
  <c r="H1612" i="1"/>
  <c r="G1612" i="1"/>
  <c r="L1612" i="1"/>
  <c r="W1612" i="1" s="1"/>
  <c r="K344" i="1"/>
  <c r="J344" i="1"/>
  <c r="I344" i="1"/>
  <c r="H344" i="1"/>
  <c r="G344" i="1"/>
  <c r="L344" i="1"/>
  <c r="W344" i="1" s="1"/>
  <c r="J307" i="1"/>
  <c r="K307" i="1"/>
  <c r="I307" i="1"/>
  <c r="H307" i="1"/>
  <c r="G307" i="1"/>
  <c r="L307" i="1"/>
  <c r="W307" i="1" s="1"/>
  <c r="J269" i="1"/>
  <c r="K269" i="1"/>
  <c r="I269" i="1"/>
  <c r="H269" i="1"/>
  <c r="G269" i="1"/>
  <c r="L269" i="1"/>
  <c r="W269" i="1" s="1"/>
  <c r="K464" i="1"/>
  <c r="I464" i="1"/>
  <c r="J464" i="1"/>
  <c r="H464" i="1"/>
  <c r="G464" i="1"/>
  <c r="L464" i="1"/>
  <c r="W464" i="1" s="1"/>
  <c r="K969" i="1"/>
  <c r="J969" i="1"/>
  <c r="I969" i="1"/>
  <c r="H969" i="1"/>
  <c r="G969" i="1"/>
  <c r="L969" i="1"/>
  <c r="W969" i="1" s="1"/>
  <c r="K977" i="1"/>
  <c r="J977" i="1"/>
  <c r="I977" i="1"/>
  <c r="H977" i="1"/>
  <c r="G977" i="1"/>
  <c r="L977" i="1"/>
  <c r="W977" i="1" s="1"/>
  <c r="K1252" i="1"/>
  <c r="J1252" i="1"/>
  <c r="I1252" i="1"/>
  <c r="H1252" i="1"/>
  <c r="G1252" i="1"/>
  <c r="L1252" i="1"/>
  <c r="W1252" i="1" s="1"/>
  <c r="K1390" i="1"/>
  <c r="J1390" i="1"/>
  <c r="H1390" i="1"/>
  <c r="I1390" i="1"/>
  <c r="G1390" i="1"/>
  <c r="L1390" i="1"/>
  <c r="W1390" i="1" s="1"/>
  <c r="K1770" i="1"/>
  <c r="J1770" i="1"/>
  <c r="I1770" i="1"/>
  <c r="G1770" i="1"/>
  <c r="H1770" i="1"/>
  <c r="L1770" i="1"/>
  <c r="W1770" i="1" s="1"/>
  <c r="K1790" i="1"/>
  <c r="J1790" i="1"/>
  <c r="I1790" i="1"/>
  <c r="G1790" i="1"/>
  <c r="H1790" i="1"/>
  <c r="L1790" i="1"/>
  <c r="W1790" i="1" s="1"/>
  <c r="K266" i="1"/>
  <c r="J266" i="1"/>
  <c r="I266" i="1"/>
  <c r="H266" i="1"/>
  <c r="G266" i="1"/>
  <c r="L266" i="1"/>
  <c r="W266" i="1" s="1"/>
  <c r="J228" i="1"/>
  <c r="K228" i="1"/>
  <c r="I228" i="1"/>
  <c r="H228" i="1"/>
  <c r="G228" i="1"/>
  <c r="L228" i="1"/>
  <c r="W228" i="1" s="1"/>
  <c r="K412" i="1"/>
  <c r="I412" i="1"/>
  <c r="J412" i="1"/>
  <c r="H412" i="1"/>
  <c r="G412" i="1"/>
  <c r="L412" i="1"/>
  <c r="W412" i="1" s="1"/>
  <c r="K408" i="1"/>
  <c r="I408" i="1"/>
  <c r="J408" i="1"/>
  <c r="H408" i="1"/>
  <c r="G408" i="1"/>
  <c r="L408" i="1"/>
  <c r="W408" i="1" s="1"/>
  <c r="K877" i="1"/>
  <c r="J877" i="1"/>
  <c r="H877" i="1"/>
  <c r="I877" i="1"/>
  <c r="G877" i="1"/>
  <c r="L877" i="1"/>
  <c r="W877" i="1" s="1"/>
  <c r="K1015" i="1"/>
  <c r="I1015" i="1"/>
  <c r="J1015" i="1"/>
  <c r="H1015" i="1"/>
  <c r="G1015" i="1"/>
  <c r="L1015" i="1"/>
  <c r="W1015" i="1" s="1"/>
  <c r="K1097" i="1"/>
  <c r="J1097" i="1"/>
  <c r="I1097" i="1"/>
  <c r="H1097" i="1"/>
  <c r="G1097" i="1"/>
  <c r="L1097" i="1"/>
  <c r="W1097" i="1" s="1"/>
  <c r="K1342" i="1"/>
  <c r="J1342" i="1"/>
  <c r="H1342" i="1"/>
  <c r="I1342" i="1"/>
  <c r="G1342" i="1"/>
  <c r="L1342" i="1"/>
  <c r="W1342" i="1" s="1"/>
  <c r="K1594" i="1"/>
  <c r="J1594" i="1"/>
  <c r="I1594" i="1"/>
  <c r="G1594" i="1"/>
  <c r="H1594" i="1"/>
  <c r="L1594" i="1"/>
  <c r="W1594" i="1" s="1"/>
  <c r="K1644" i="1"/>
  <c r="J1644" i="1"/>
  <c r="I1644" i="1"/>
  <c r="H1644" i="1"/>
  <c r="G1644" i="1"/>
  <c r="L1644" i="1"/>
  <c r="W1644" i="1" s="1"/>
  <c r="K312" i="1"/>
  <c r="J312" i="1"/>
  <c r="I312" i="1"/>
  <c r="H312" i="1"/>
  <c r="G312" i="1"/>
  <c r="L312" i="1"/>
  <c r="W312" i="1" s="1"/>
  <c r="K402" i="1"/>
  <c r="I402" i="1"/>
  <c r="J402" i="1"/>
  <c r="H402" i="1"/>
  <c r="G402" i="1"/>
  <c r="L402" i="1"/>
  <c r="W402" i="1" s="1"/>
  <c r="J315" i="1"/>
  <c r="K315" i="1"/>
  <c r="I315" i="1"/>
  <c r="H315" i="1"/>
  <c r="G315" i="1"/>
  <c r="L315" i="1"/>
  <c r="W315" i="1" s="1"/>
  <c r="K279" i="1"/>
  <c r="J279" i="1"/>
  <c r="I279" i="1"/>
  <c r="H279" i="1"/>
  <c r="G279" i="1"/>
  <c r="L279" i="1"/>
  <c r="W279" i="1" s="1"/>
  <c r="K496" i="1"/>
  <c r="I496" i="1"/>
  <c r="J496" i="1"/>
  <c r="H496" i="1"/>
  <c r="G496" i="1"/>
  <c r="L496" i="1"/>
  <c r="W496" i="1" s="1"/>
  <c r="K1001" i="1"/>
  <c r="J1001" i="1"/>
  <c r="I1001" i="1"/>
  <c r="H1001" i="1"/>
  <c r="G1001" i="1"/>
  <c r="L1001" i="1"/>
  <c r="W1001" i="1" s="1"/>
  <c r="K1009" i="1"/>
  <c r="J1009" i="1"/>
  <c r="I1009" i="1"/>
  <c r="H1009" i="1"/>
  <c r="G1009" i="1"/>
  <c r="L1009" i="1"/>
  <c r="W1009" i="1" s="1"/>
  <c r="K1284" i="1"/>
  <c r="J1284" i="1"/>
  <c r="I1284" i="1"/>
  <c r="G1284" i="1"/>
  <c r="H1284" i="1"/>
  <c r="L1284" i="1"/>
  <c r="W1284" i="1" s="1"/>
  <c r="K1394" i="1"/>
  <c r="J1394" i="1"/>
  <c r="H1394" i="1"/>
  <c r="I1394" i="1"/>
  <c r="G1394" i="1"/>
  <c r="L1394" i="1"/>
  <c r="W1394" i="1" s="1"/>
  <c r="K1456" i="1"/>
  <c r="J1456" i="1"/>
  <c r="H1456" i="1"/>
  <c r="I1456" i="1"/>
  <c r="G1456" i="1"/>
  <c r="L1456" i="1"/>
  <c r="W1456" i="1" s="1"/>
  <c r="K1822" i="1"/>
  <c r="J1822" i="1"/>
  <c r="I1822" i="1"/>
  <c r="G1822" i="1"/>
  <c r="H1822" i="1"/>
  <c r="L1822" i="1"/>
  <c r="W1822" i="1" s="1"/>
  <c r="K234" i="1"/>
  <c r="J234" i="1"/>
  <c r="I234" i="1"/>
  <c r="H234" i="1"/>
  <c r="G234" i="1"/>
  <c r="L234" i="1"/>
  <c r="W234" i="1" s="1"/>
  <c r="J61" i="1"/>
  <c r="K61" i="1"/>
  <c r="I61" i="1"/>
  <c r="H61" i="1"/>
  <c r="G61" i="1"/>
  <c r="L61" i="1"/>
  <c r="W61" i="1" s="1"/>
  <c r="J107" i="1"/>
  <c r="K107" i="1"/>
  <c r="I107" i="1"/>
  <c r="H107" i="1"/>
  <c r="G107" i="1"/>
  <c r="L107" i="1"/>
  <c r="W107" i="1" s="1"/>
  <c r="K161" i="1"/>
  <c r="J161" i="1"/>
  <c r="I161" i="1"/>
  <c r="H161" i="1"/>
  <c r="G161" i="1"/>
  <c r="L161" i="1"/>
  <c r="W161" i="1" s="1"/>
  <c r="J69" i="1"/>
  <c r="K69" i="1"/>
  <c r="I69" i="1"/>
  <c r="H69" i="1"/>
  <c r="G69" i="1"/>
  <c r="L69" i="1"/>
  <c r="W69" i="1" s="1"/>
  <c r="J115" i="1"/>
  <c r="K115" i="1"/>
  <c r="I115" i="1"/>
  <c r="H115" i="1"/>
  <c r="G115" i="1"/>
  <c r="L115" i="1"/>
  <c r="W115" i="1" s="1"/>
  <c r="K167" i="1"/>
  <c r="J167" i="1"/>
  <c r="I167" i="1"/>
  <c r="H167" i="1"/>
  <c r="G167" i="1"/>
  <c r="L167" i="1"/>
  <c r="W167" i="1" s="1"/>
  <c r="K87" i="1"/>
  <c r="J87" i="1"/>
  <c r="I87" i="1"/>
  <c r="H87" i="1"/>
  <c r="G87" i="1"/>
  <c r="L87" i="1"/>
  <c r="W87" i="1" s="1"/>
  <c r="J139" i="1"/>
  <c r="K139" i="1"/>
  <c r="I139" i="1"/>
  <c r="H139" i="1"/>
  <c r="G139" i="1"/>
  <c r="L139" i="1"/>
  <c r="W139" i="1" s="1"/>
  <c r="K54" i="1"/>
  <c r="J54" i="1"/>
  <c r="I54" i="1"/>
  <c r="H54" i="1"/>
  <c r="G54" i="1"/>
  <c r="L54" i="1"/>
  <c r="W54" i="1" s="1"/>
  <c r="K98" i="1"/>
  <c r="J98" i="1"/>
  <c r="I98" i="1"/>
  <c r="H98" i="1"/>
  <c r="G98" i="1"/>
  <c r="L98" i="1"/>
  <c r="W98" i="1" s="1"/>
  <c r="J116" i="1"/>
  <c r="K116" i="1"/>
  <c r="I116" i="1"/>
  <c r="H116" i="1"/>
  <c r="G116" i="1"/>
  <c r="L116" i="1"/>
  <c r="W116" i="1" s="1"/>
  <c r="J132" i="1"/>
  <c r="K132" i="1"/>
  <c r="I132" i="1"/>
  <c r="H132" i="1"/>
  <c r="G132" i="1"/>
  <c r="L132" i="1"/>
  <c r="W132" i="1" s="1"/>
  <c r="K152" i="1"/>
  <c r="J152" i="1"/>
  <c r="I152" i="1"/>
  <c r="H152" i="1"/>
  <c r="G152" i="1"/>
  <c r="L152" i="1"/>
  <c r="W152" i="1" s="1"/>
  <c r="K168" i="1"/>
  <c r="J168" i="1"/>
  <c r="I168" i="1"/>
  <c r="H168" i="1"/>
  <c r="G168" i="1"/>
  <c r="L168" i="1"/>
  <c r="W168" i="1" s="1"/>
  <c r="K58" i="1"/>
  <c r="J58" i="1"/>
  <c r="I58" i="1"/>
  <c r="H58" i="1"/>
  <c r="G58" i="1"/>
  <c r="L58" i="1"/>
  <c r="W58" i="1" s="1"/>
  <c r="K104" i="1"/>
  <c r="J104" i="1"/>
  <c r="I104" i="1"/>
  <c r="H104" i="1"/>
  <c r="G104" i="1"/>
  <c r="L104" i="1"/>
  <c r="W104" i="1" s="1"/>
  <c r="K64" i="1"/>
  <c r="J64" i="1"/>
  <c r="I64" i="1"/>
  <c r="H64" i="1"/>
  <c r="G64" i="1"/>
  <c r="L64" i="1"/>
  <c r="W64" i="1" s="1"/>
  <c r="K90" i="1"/>
  <c r="J90" i="1"/>
  <c r="I90" i="1"/>
  <c r="H90" i="1"/>
  <c r="G90" i="1"/>
  <c r="L90" i="1"/>
  <c r="W90" i="1" s="1"/>
  <c r="L15" i="1"/>
  <c r="W15" i="1" s="1"/>
  <c r="L18" i="1"/>
  <c r="W18" i="1" s="1"/>
  <c r="L20" i="1"/>
  <c r="W20" i="1" s="1"/>
  <c r="K1829" i="1"/>
  <c r="J1829" i="1"/>
  <c r="I1829" i="1"/>
  <c r="H1829" i="1"/>
  <c r="G1829" i="1"/>
  <c r="L1829" i="1"/>
  <c r="W1829" i="1" s="1"/>
  <c r="K22" i="1"/>
  <c r="J22" i="1"/>
  <c r="I22" i="1"/>
  <c r="H22" i="1"/>
  <c r="G22" i="1"/>
  <c r="K6" i="1"/>
  <c r="J6" i="1"/>
  <c r="I6" i="1"/>
  <c r="H6" i="1"/>
  <c r="G6" i="1"/>
  <c r="K13" i="1"/>
  <c r="J13" i="1"/>
  <c r="I13" i="1"/>
  <c r="H13" i="1"/>
  <c r="G13" i="1"/>
  <c r="J19" i="1"/>
  <c r="K19" i="1"/>
  <c r="I19" i="1"/>
  <c r="H19" i="1"/>
  <c r="G19" i="1"/>
  <c r="K1787" i="1"/>
  <c r="J1787" i="1"/>
  <c r="I1787" i="1"/>
  <c r="H1787" i="1"/>
  <c r="G1787" i="1"/>
  <c r="L1787" i="1"/>
  <c r="W1787" i="1" s="1"/>
  <c r="K1992" i="1"/>
  <c r="J1992" i="1"/>
  <c r="I1992" i="1"/>
  <c r="H1992" i="1"/>
  <c r="G1992" i="1"/>
  <c r="L1992" i="1"/>
  <c r="W1992" i="1" s="1"/>
  <c r="K1977" i="1"/>
  <c r="J1977" i="1"/>
  <c r="I1977" i="1"/>
  <c r="H1977" i="1"/>
  <c r="G1977" i="1"/>
  <c r="L1977" i="1"/>
  <c r="W1977" i="1" s="1"/>
  <c r="K1949" i="1"/>
  <c r="J1949" i="1"/>
  <c r="I1949" i="1"/>
  <c r="H1949" i="1"/>
  <c r="G1949" i="1"/>
  <c r="L1949" i="1"/>
  <c r="W1949" i="1" s="1"/>
  <c r="K1898" i="1"/>
  <c r="J1898" i="1"/>
  <c r="I1898" i="1"/>
  <c r="G1898" i="1"/>
  <c r="H1898" i="1"/>
  <c r="L1898" i="1"/>
  <c r="W1898" i="1" s="1"/>
  <c r="K1813" i="1"/>
  <c r="J1813" i="1"/>
  <c r="I1813" i="1"/>
  <c r="H1813" i="1"/>
  <c r="G1813" i="1"/>
  <c r="L1813" i="1"/>
  <c r="W1813" i="1" s="1"/>
  <c r="K1959" i="1"/>
  <c r="J1959" i="1"/>
  <c r="I1959" i="1"/>
  <c r="G1959" i="1"/>
  <c r="H1959" i="1"/>
  <c r="L1959" i="1"/>
  <c r="W1959" i="1" s="1"/>
  <c r="K1884" i="1"/>
  <c r="J1884" i="1"/>
  <c r="I1884" i="1"/>
  <c r="H1884" i="1"/>
  <c r="G1884" i="1"/>
  <c r="L1884" i="1"/>
  <c r="W1884" i="1" s="1"/>
  <c r="K1924" i="1"/>
  <c r="J1924" i="1"/>
  <c r="I1924" i="1"/>
  <c r="H1924" i="1"/>
  <c r="G1924" i="1"/>
  <c r="L1924" i="1"/>
  <c r="W1924" i="1" s="1"/>
  <c r="K1974" i="1"/>
  <c r="J1974" i="1"/>
  <c r="I1974" i="1"/>
  <c r="G1974" i="1"/>
  <c r="H1974" i="1"/>
  <c r="L1974" i="1"/>
  <c r="W1974" i="1" s="1"/>
  <c r="K1805" i="1"/>
  <c r="J1805" i="1"/>
  <c r="I1805" i="1"/>
  <c r="H1805" i="1"/>
  <c r="G1805" i="1"/>
  <c r="L1805" i="1"/>
  <c r="W1805" i="1" s="1"/>
  <c r="K1589" i="1"/>
  <c r="J1589" i="1"/>
  <c r="H1589" i="1"/>
  <c r="I1589" i="1"/>
  <c r="G1589" i="1"/>
  <c r="L1589" i="1"/>
  <c r="W1589" i="1" s="1"/>
  <c r="K1796" i="1"/>
  <c r="J1796" i="1"/>
  <c r="I1796" i="1"/>
  <c r="H1796" i="1"/>
  <c r="G1796" i="1"/>
  <c r="L1796" i="1"/>
  <c r="W1796" i="1" s="1"/>
  <c r="K1439" i="1"/>
  <c r="J1439" i="1"/>
  <c r="H1439" i="1"/>
  <c r="I1439" i="1"/>
  <c r="G1439" i="1"/>
  <c r="L1439" i="1"/>
  <c r="W1439" i="1" s="1"/>
  <c r="K1401" i="1"/>
  <c r="J1401" i="1"/>
  <c r="H1401" i="1"/>
  <c r="I1401" i="1"/>
  <c r="G1401" i="1"/>
  <c r="L1401" i="1"/>
  <c r="W1401" i="1" s="1"/>
  <c r="K1251" i="1"/>
  <c r="J1251" i="1"/>
  <c r="H1251" i="1"/>
  <c r="I1251" i="1"/>
  <c r="G1251" i="1"/>
  <c r="L1251" i="1"/>
  <c r="W1251" i="1" s="1"/>
  <c r="K1526" i="1"/>
  <c r="J1526" i="1"/>
  <c r="I1526" i="1"/>
  <c r="G1526" i="1"/>
  <c r="H1526" i="1"/>
  <c r="L1526" i="1"/>
  <c r="W1526" i="1" s="1"/>
  <c r="K712" i="1"/>
  <c r="I712" i="1"/>
  <c r="J712" i="1"/>
  <c r="H712" i="1"/>
  <c r="G712" i="1"/>
  <c r="L712" i="1"/>
  <c r="W712" i="1" s="1"/>
  <c r="K758" i="1"/>
  <c r="J758" i="1"/>
  <c r="I758" i="1"/>
  <c r="H758" i="1"/>
  <c r="G758" i="1"/>
  <c r="L758" i="1"/>
  <c r="W758" i="1" s="1"/>
  <c r="K1527" i="1"/>
  <c r="J1527" i="1"/>
  <c r="H1527" i="1"/>
  <c r="I1527" i="1"/>
  <c r="G1527" i="1"/>
  <c r="L1527" i="1"/>
  <c r="W1527" i="1" s="1"/>
  <c r="K1565" i="1"/>
  <c r="J1565" i="1"/>
  <c r="H1565" i="1"/>
  <c r="I1565" i="1"/>
  <c r="G1565" i="1"/>
  <c r="L1565" i="1"/>
  <c r="W1565" i="1" s="1"/>
  <c r="K1600" i="1"/>
  <c r="J1600" i="1"/>
  <c r="I1600" i="1"/>
  <c r="H1600" i="1"/>
  <c r="G1600" i="1"/>
  <c r="L1600" i="1"/>
  <c r="W1600" i="1" s="1"/>
  <c r="K1474" i="1"/>
  <c r="J1474" i="1"/>
  <c r="H1474" i="1"/>
  <c r="I1474" i="1"/>
  <c r="G1474" i="1"/>
  <c r="L1474" i="1"/>
  <c r="W1474" i="1" s="1"/>
  <c r="K1271" i="1"/>
  <c r="J1271" i="1"/>
  <c r="H1271" i="1"/>
  <c r="I1271" i="1"/>
  <c r="G1271" i="1"/>
  <c r="L1271" i="1"/>
  <c r="W1271" i="1" s="1"/>
  <c r="K1243" i="1"/>
  <c r="J1243" i="1"/>
  <c r="H1243" i="1"/>
  <c r="I1243" i="1"/>
  <c r="G1243" i="1"/>
  <c r="L1243" i="1"/>
  <c r="W1243" i="1" s="1"/>
  <c r="K828" i="1"/>
  <c r="J828" i="1"/>
  <c r="I828" i="1"/>
  <c r="H828" i="1"/>
  <c r="G828" i="1"/>
  <c r="L828" i="1"/>
  <c r="W828" i="1" s="1"/>
  <c r="K1849" i="1"/>
  <c r="J1849" i="1"/>
  <c r="I1849" i="1"/>
  <c r="H1849" i="1"/>
  <c r="G1849" i="1"/>
  <c r="L1849" i="1"/>
  <c r="W1849" i="1" s="1"/>
  <c r="K1603" i="1"/>
  <c r="J1603" i="1"/>
  <c r="I1603" i="1"/>
  <c r="H1603" i="1"/>
  <c r="G1603" i="1"/>
  <c r="L1603" i="1"/>
  <c r="W1603" i="1" s="1"/>
  <c r="K1733" i="1"/>
  <c r="J1733" i="1"/>
  <c r="I1733" i="1"/>
  <c r="H1733" i="1"/>
  <c r="G1733" i="1"/>
  <c r="L1733" i="1"/>
  <c r="W1733" i="1" s="1"/>
  <c r="K1421" i="1"/>
  <c r="J1421" i="1"/>
  <c r="H1421" i="1"/>
  <c r="I1421" i="1"/>
  <c r="G1421" i="1"/>
  <c r="L1421" i="1"/>
  <c r="W1421" i="1" s="1"/>
  <c r="K1480" i="1"/>
  <c r="J1480" i="1"/>
  <c r="H1480" i="1"/>
  <c r="I1480" i="1"/>
  <c r="G1480" i="1"/>
  <c r="L1480" i="1"/>
  <c r="W1480" i="1" s="1"/>
  <c r="K1265" i="1"/>
  <c r="J1265" i="1"/>
  <c r="H1265" i="1"/>
  <c r="I1265" i="1"/>
  <c r="G1265" i="1"/>
  <c r="L1265" i="1"/>
  <c r="W1265" i="1" s="1"/>
  <c r="K1702" i="1"/>
  <c r="J1702" i="1"/>
  <c r="I1702" i="1"/>
  <c r="G1702" i="1"/>
  <c r="H1702" i="1"/>
  <c r="L1702" i="1"/>
  <c r="W1702" i="1" s="1"/>
  <c r="K1184" i="1"/>
  <c r="J1184" i="1"/>
  <c r="H1184" i="1"/>
  <c r="I1184" i="1"/>
  <c r="G1184" i="1"/>
  <c r="L1184" i="1"/>
  <c r="W1184" i="1" s="1"/>
  <c r="K926" i="1"/>
  <c r="J926" i="1"/>
  <c r="H926" i="1"/>
  <c r="I926" i="1"/>
  <c r="G926" i="1"/>
  <c r="L926" i="1"/>
  <c r="W926" i="1" s="1"/>
  <c r="K1951" i="1"/>
  <c r="J1951" i="1"/>
  <c r="I1951" i="1"/>
  <c r="G1951" i="1"/>
  <c r="H1951" i="1"/>
  <c r="L1951" i="1"/>
  <c r="W1951" i="1" s="1"/>
  <c r="K1955" i="1"/>
  <c r="J1955" i="1"/>
  <c r="I1955" i="1"/>
  <c r="H1955" i="1"/>
  <c r="G1955" i="1"/>
  <c r="L1955" i="1"/>
  <c r="W1955" i="1" s="1"/>
  <c r="K1759" i="1"/>
  <c r="J1759" i="1"/>
  <c r="I1759" i="1"/>
  <c r="G1759" i="1"/>
  <c r="H1759" i="1"/>
  <c r="L1759" i="1"/>
  <c r="W1759" i="1" s="1"/>
  <c r="K1834" i="1"/>
  <c r="J1834" i="1"/>
  <c r="I1834" i="1"/>
  <c r="G1834" i="1"/>
  <c r="H1834" i="1"/>
  <c r="L1834" i="1"/>
  <c r="W1834" i="1" s="1"/>
  <c r="K1627" i="1"/>
  <c r="J1627" i="1"/>
  <c r="I1627" i="1"/>
  <c r="H1627" i="1"/>
  <c r="G1627" i="1"/>
  <c r="L1627" i="1"/>
  <c r="W1627" i="1" s="1"/>
  <c r="K1633" i="1"/>
  <c r="J1633" i="1"/>
  <c r="I1633" i="1"/>
  <c r="H1633" i="1"/>
  <c r="G1633" i="1"/>
  <c r="L1633" i="1"/>
  <c r="W1633" i="1" s="1"/>
  <c r="K1263" i="1"/>
  <c r="J1263" i="1"/>
  <c r="H1263" i="1"/>
  <c r="I1263" i="1"/>
  <c r="G1263" i="1"/>
  <c r="L1263" i="1"/>
  <c r="W1263" i="1" s="1"/>
  <c r="K1317" i="1"/>
  <c r="J1317" i="1"/>
  <c r="H1317" i="1"/>
  <c r="I1317" i="1"/>
  <c r="G1317" i="1"/>
  <c r="L1317" i="1"/>
  <c r="W1317" i="1" s="1"/>
  <c r="K1305" i="1"/>
  <c r="J1305" i="1"/>
  <c r="H1305" i="1"/>
  <c r="I1305" i="1"/>
  <c r="G1305" i="1"/>
  <c r="L1305" i="1"/>
  <c r="W1305" i="1" s="1"/>
  <c r="K858" i="1"/>
  <c r="I858" i="1"/>
  <c r="J858" i="1"/>
  <c r="H858" i="1"/>
  <c r="G858" i="1"/>
  <c r="L858" i="1"/>
  <c r="W858" i="1" s="1"/>
  <c r="K943" i="1"/>
  <c r="I943" i="1"/>
  <c r="J943" i="1"/>
  <c r="H943" i="1"/>
  <c r="G943" i="1"/>
  <c r="L943" i="1"/>
  <c r="W943" i="1" s="1"/>
  <c r="K1961" i="1"/>
  <c r="J1961" i="1"/>
  <c r="I1961" i="1"/>
  <c r="H1961" i="1"/>
  <c r="G1961" i="1"/>
  <c r="L1961" i="1"/>
  <c r="W1961" i="1" s="1"/>
  <c r="K1817" i="1"/>
  <c r="J1817" i="1"/>
  <c r="I1817" i="1"/>
  <c r="H1817" i="1"/>
  <c r="G1817" i="1"/>
  <c r="L1817" i="1"/>
  <c r="W1817" i="1" s="1"/>
  <c r="K1571" i="1"/>
  <c r="J1571" i="1"/>
  <c r="H1571" i="1"/>
  <c r="I1571" i="1"/>
  <c r="G1571" i="1"/>
  <c r="L1571" i="1"/>
  <c r="W1571" i="1" s="1"/>
  <c r="K1705" i="1"/>
  <c r="J1705" i="1"/>
  <c r="I1705" i="1"/>
  <c r="H1705" i="1"/>
  <c r="G1705" i="1"/>
  <c r="L1705" i="1"/>
  <c r="W1705" i="1" s="1"/>
  <c r="K1749" i="1"/>
  <c r="J1749" i="1"/>
  <c r="I1749" i="1"/>
  <c r="H1749" i="1"/>
  <c r="G1749" i="1"/>
  <c r="L1749" i="1"/>
  <c r="W1749" i="1" s="1"/>
  <c r="K1451" i="1"/>
  <c r="J1451" i="1"/>
  <c r="H1451" i="1"/>
  <c r="I1451" i="1"/>
  <c r="G1451" i="1"/>
  <c r="L1451" i="1"/>
  <c r="W1451" i="1" s="1"/>
  <c r="K1233" i="1"/>
  <c r="J1233" i="1"/>
  <c r="H1233" i="1"/>
  <c r="I1233" i="1"/>
  <c r="G1233" i="1"/>
  <c r="L1233" i="1"/>
  <c r="W1233" i="1" s="1"/>
  <c r="K1686" i="1"/>
  <c r="J1686" i="1"/>
  <c r="I1686" i="1"/>
  <c r="G1686" i="1"/>
  <c r="H1686" i="1"/>
  <c r="L1686" i="1"/>
  <c r="W1686" i="1" s="1"/>
  <c r="K1142" i="1"/>
  <c r="J1142" i="1"/>
  <c r="H1142" i="1"/>
  <c r="I1142" i="1"/>
  <c r="G1142" i="1"/>
  <c r="L1142" i="1"/>
  <c r="W1142" i="1" s="1"/>
  <c r="K862" i="1"/>
  <c r="J862" i="1"/>
  <c r="H862" i="1"/>
  <c r="I862" i="1"/>
  <c r="G862" i="1"/>
  <c r="L862" i="1"/>
  <c r="W862" i="1" s="1"/>
  <c r="K1999" i="1"/>
  <c r="J1999" i="1"/>
  <c r="I1999" i="1"/>
  <c r="G1999" i="1"/>
  <c r="H1999" i="1"/>
  <c r="L1999" i="1"/>
  <c r="W1999" i="1" s="1"/>
  <c r="K2003" i="1"/>
  <c r="J2003" i="1"/>
  <c r="I2003" i="1"/>
  <c r="H2003" i="1"/>
  <c r="G2003" i="1"/>
  <c r="L2003" i="1"/>
  <c r="W2003" i="1" s="1"/>
  <c r="K1860" i="1"/>
  <c r="J1860" i="1"/>
  <c r="I1860" i="1"/>
  <c r="H1860" i="1"/>
  <c r="G1860" i="1"/>
  <c r="L1860" i="1"/>
  <c r="W1860" i="1" s="1"/>
  <c r="K1509" i="1"/>
  <c r="J1509" i="1"/>
  <c r="H1509" i="1"/>
  <c r="I1509" i="1"/>
  <c r="G1509" i="1"/>
  <c r="L1509" i="1"/>
  <c r="W1509" i="1" s="1"/>
  <c r="K1723" i="1"/>
  <c r="J1723" i="1"/>
  <c r="I1723" i="1"/>
  <c r="H1723" i="1"/>
  <c r="G1723" i="1"/>
  <c r="L1723" i="1"/>
  <c r="W1723" i="1" s="1"/>
  <c r="K1741" i="1"/>
  <c r="J1741" i="1"/>
  <c r="I1741" i="1"/>
  <c r="H1741" i="1"/>
  <c r="G1741" i="1"/>
  <c r="L1741" i="1"/>
  <c r="W1741" i="1" s="1"/>
  <c r="K1359" i="1"/>
  <c r="J1359" i="1"/>
  <c r="H1359" i="1"/>
  <c r="I1359" i="1"/>
  <c r="G1359" i="1"/>
  <c r="L1359" i="1"/>
  <c r="W1359" i="1" s="1"/>
  <c r="K1171" i="1"/>
  <c r="J1171" i="1"/>
  <c r="H1171" i="1"/>
  <c r="I1171" i="1"/>
  <c r="G1171" i="1"/>
  <c r="L1171" i="1"/>
  <c r="W1171" i="1" s="1"/>
  <c r="K1486" i="1"/>
  <c r="J1486" i="1"/>
  <c r="I1486" i="1"/>
  <c r="H1486" i="1"/>
  <c r="G1486" i="1"/>
  <c r="L1486" i="1"/>
  <c r="W1486" i="1" s="1"/>
  <c r="K1050" i="1"/>
  <c r="I1050" i="1"/>
  <c r="J1050" i="1"/>
  <c r="H1050" i="1"/>
  <c r="G1050" i="1"/>
  <c r="L1050" i="1"/>
  <c r="W1050" i="1" s="1"/>
  <c r="K773" i="1"/>
  <c r="J773" i="1"/>
  <c r="H773" i="1"/>
  <c r="I773" i="1"/>
  <c r="G773" i="1"/>
  <c r="L773" i="1"/>
  <c r="W773" i="1" s="1"/>
  <c r="K1945" i="1"/>
  <c r="J1945" i="1"/>
  <c r="I1945" i="1"/>
  <c r="H1945" i="1"/>
  <c r="G1945" i="1"/>
  <c r="L1945" i="1"/>
  <c r="W1945" i="1" s="1"/>
  <c r="K1785" i="1"/>
  <c r="J1785" i="1"/>
  <c r="I1785" i="1"/>
  <c r="H1785" i="1"/>
  <c r="G1785" i="1"/>
  <c r="L1785" i="1"/>
  <c r="W1785" i="1" s="1"/>
  <c r="K1539" i="1"/>
  <c r="J1539" i="1"/>
  <c r="H1539" i="1"/>
  <c r="I1539" i="1"/>
  <c r="G1539" i="1"/>
  <c r="L1539" i="1"/>
  <c r="W1539" i="1" s="1"/>
  <c r="K1673" i="1"/>
  <c r="J1673" i="1"/>
  <c r="I1673" i="1"/>
  <c r="H1673" i="1"/>
  <c r="G1673" i="1"/>
  <c r="L1673" i="1"/>
  <c r="W1673" i="1" s="1"/>
  <c r="K1727" i="1"/>
  <c r="J1727" i="1"/>
  <c r="I1727" i="1"/>
  <c r="G1727" i="1"/>
  <c r="H1727" i="1"/>
  <c r="L1727" i="1"/>
  <c r="W1727" i="1" s="1"/>
  <c r="K1430" i="1"/>
  <c r="J1430" i="1"/>
  <c r="I1430" i="1"/>
  <c r="G1430" i="1"/>
  <c r="H1430" i="1"/>
  <c r="L1430" i="1"/>
  <c r="W1430" i="1" s="1"/>
  <c r="K1201" i="1"/>
  <c r="J1201" i="1"/>
  <c r="H1201" i="1"/>
  <c r="I1201" i="1"/>
  <c r="G1201" i="1"/>
  <c r="L1201" i="1"/>
  <c r="W1201" i="1" s="1"/>
  <c r="K1670" i="1"/>
  <c r="J1670" i="1"/>
  <c r="I1670" i="1"/>
  <c r="G1670" i="1"/>
  <c r="H1670" i="1"/>
  <c r="L1670" i="1"/>
  <c r="W1670" i="1" s="1"/>
  <c r="K1110" i="1"/>
  <c r="J1110" i="1"/>
  <c r="H1110" i="1"/>
  <c r="I1110" i="1"/>
  <c r="G1110" i="1"/>
  <c r="L1110" i="1"/>
  <c r="W1110" i="1" s="1"/>
  <c r="K1292" i="1"/>
  <c r="J1292" i="1"/>
  <c r="I1292" i="1"/>
  <c r="G1292" i="1"/>
  <c r="H1292" i="1"/>
  <c r="L1292" i="1"/>
  <c r="W1292" i="1" s="1"/>
  <c r="K1997" i="1"/>
  <c r="J1997" i="1"/>
  <c r="I1997" i="1"/>
  <c r="H1997" i="1"/>
  <c r="G1997" i="1"/>
  <c r="L1997" i="1"/>
  <c r="W1997" i="1" s="1"/>
  <c r="K2001" i="1"/>
  <c r="J2001" i="1"/>
  <c r="I2001" i="1"/>
  <c r="H2001" i="1"/>
  <c r="G2001" i="1"/>
  <c r="L2001" i="1"/>
  <c r="W2001" i="1" s="1"/>
  <c r="K1751" i="1"/>
  <c r="J1751" i="1"/>
  <c r="I1751" i="1"/>
  <c r="G1751" i="1"/>
  <c r="H1751" i="1"/>
  <c r="L1751" i="1"/>
  <c r="W1751" i="1" s="1"/>
  <c r="K1651" i="1"/>
  <c r="J1651" i="1"/>
  <c r="I1651" i="1"/>
  <c r="H1651" i="1"/>
  <c r="G1651" i="1"/>
  <c r="L1651" i="1"/>
  <c r="W1651" i="1" s="1"/>
  <c r="K1431" i="1"/>
  <c r="J1431" i="1"/>
  <c r="H1431" i="1"/>
  <c r="I1431" i="1"/>
  <c r="G1431" i="1"/>
  <c r="L1431" i="1"/>
  <c r="W1431" i="1" s="1"/>
  <c r="K1469" i="1"/>
  <c r="J1469" i="1"/>
  <c r="H1469" i="1"/>
  <c r="I1469" i="1"/>
  <c r="G1469" i="1"/>
  <c r="L1469" i="1"/>
  <c r="W1469" i="1" s="1"/>
  <c r="K1528" i="1"/>
  <c r="J1528" i="1"/>
  <c r="H1528" i="1"/>
  <c r="I1528" i="1"/>
  <c r="G1528" i="1"/>
  <c r="L1528" i="1"/>
  <c r="W1528" i="1" s="1"/>
  <c r="K1313" i="1"/>
  <c r="J1313" i="1"/>
  <c r="H1313" i="1"/>
  <c r="I1313" i="1"/>
  <c r="G1313" i="1"/>
  <c r="L1313" i="1"/>
  <c r="W1313" i="1" s="1"/>
  <c r="K1175" i="1"/>
  <c r="J1175" i="1"/>
  <c r="H1175" i="1"/>
  <c r="I1175" i="1"/>
  <c r="G1175" i="1"/>
  <c r="L1175" i="1"/>
  <c r="W1175" i="1" s="1"/>
  <c r="K1264" i="1"/>
  <c r="J1264" i="1"/>
  <c r="H1264" i="1"/>
  <c r="I1264" i="1"/>
  <c r="G1264" i="1"/>
  <c r="L1264" i="1"/>
  <c r="W1264" i="1" s="1"/>
  <c r="K1054" i="1"/>
  <c r="J1054" i="1"/>
  <c r="H1054" i="1"/>
  <c r="I1054" i="1"/>
  <c r="G1054" i="1"/>
  <c r="L1054" i="1"/>
  <c r="W1054" i="1" s="1"/>
  <c r="K1260" i="1"/>
  <c r="J1260" i="1"/>
  <c r="I1260" i="1"/>
  <c r="H1260" i="1"/>
  <c r="G1260" i="1"/>
  <c r="L1260" i="1"/>
  <c r="W1260" i="1" s="1"/>
  <c r="K818" i="1"/>
  <c r="I818" i="1"/>
  <c r="J818" i="1"/>
  <c r="H818" i="1"/>
  <c r="G818" i="1"/>
  <c r="L818" i="1"/>
  <c r="W818" i="1" s="1"/>
  <c r="K982" i="1"/>
  <c r="J982" i="1"/>
  <c r="H982" i="1"/>
  <c r="I982" i="1"/>
  <c r="G982" i="1"/>
  <c r="L982" i="1"/>
  <c r="W982" i="1" s="1"/>
  <c r="K585" i="1"/>
  <c r="I585" i="1"/>
  <c r="J585" i="1"/>
  <c r="H585" i="1"/>
  <c r="G585" i="1"/>
  <c r="L585" i="1"/>
  <c r="W585" i="1" s="1"/>
  <c r="K493" i="1"/>
  <c r="J493" i="1"/>
  <c r="I493" i="1"/>
  <c r="H493" i="1"/>
  <c r="G493" i="1"/>
  <c r="L493" i="1"/>
  <c r="W493" i="1" s="1"/>
  <c r="K979" i="1"/>
  <c r="I979" i="1"/>
  <c r="J979" i="1"/>
  <c r="H979" i="1"/>
  <c r="G979" i="1"/>
  <c r="L979" i="1"/>
  <c r="W979" i="1" s="1"/>
  <c r="K174" i="1"/>
  <c r="J174" i="1"/>
  <c r="I174" i="1"/>
  <c r="H174" i="1"/>
  <c r="G174" i="1"/>
  <c r="L174" i="1"/>
  <c r="W174" i="1" s="1"/>
  <c r="J299" i="1"/>
  <c r="K299" i="1"/>
  <c r="I299" i="1"/>
  <c r="H299" i="1"/>
  <c r="G299" i="1"/>
  <c r="L299" i="1"/>
  <c r="W299" i="1" s="1"/>
  <c r="K1096" i="1"/>
  <c r="J1096" i="1"/>
  <c r="I1096" i="1"/>
  <c r="H1096" i="1"/>
  <c r="G1096" i="1"/>
  <c r="L1096" i="1"/>
  <c r="W1096" i="1" s="1"/>
  <c r="K1244" i="1"/>
  <c r="J1244" i="1"/>
  <c r="I1244" i="1"/>
  <c r="H1244" i="1"/>
  <c r="G1244" i="1"/>
  <c r="L1244" i="1"/>
  <c r="W1244" i="1" s="1"/>
  <c r="K802" i="1"/>
  <c r="I802" i="1"/>
  <c r="J802" i="1"/>
  <c r="H802" i="1"/>
  <c r="G802" i="1"/>
  <c r="L802" i="1"/>
  <c r="W802" i="1" s="1"/>
  <c r="K966" i="1"/>
  <c r="J966" i="1"/>
  <c r="H966" i="1"/>
  <c r="I966" i="1"/>
  <c r="G966" i="1"/>
  <c r="L966" i="1"/>
  <c r="W966" i="1" s="1"/>
  <c r="K569" i="1"/>
  <c r="I569" i="1"/>
  <c r="J569" i="1"/>
  <c r="H569" i="1"/>
  <c r="G569" i="1"/>
  <c r="L569" i="1"/>
  <c r="W569" i="1" s="1"/>
  <c r="K477" i="1"/>
  <c r="J477" i="1"/>
  <c r="H477" i="1"/>
  <c r="I477" i="1"/>
  <c r="G477" i="1"/>
  <c r="L477" i="1"/>
  <c r="W477" i="1" s="1"/>
  <c r="K971" i="1"/>
  <c r="I971" i="1"/>
  <c r="J971" i="1"/>
  <c r="H971" i="1"/>
  <c r="G971" i="1"/>
  <c r="L971" i="1"/>
  <c r="W971" i="1" s="1"/>
  <c r="K613" i="1"/>
  <c r="J613" i="1"/>
  <c r="H613" i="1"/>
  <c r="I613" i="1"/>
  <c r="G613" i="1"/>
  <c r="L613" i="1"/>
  <c r="W613" i="1" s="1"/>
  <c r="K319" i="1"/>
  <c r="J319" i="1"/>
  <c r="I319" i="1"/>
  <c r="H319" i="1"/>
  <c r="G319" i="1"/>
  <c r="L319" i="1"/>
  <c r="W319" i="1" s="1"/>
  <c r="K744" i="1"/>
  <c r="I744" i="1"/>
  <c r="J744" i="1"/>
  <c r="H744" i="1"/>
  <c r="G744" i="1"/>
  <c r="L744" i="1"/>
  <c r="W744" i="1" s="1"/>
  <c r="K1088" i="1"/>
  <c r="J1088" i="1"/>
  <c r="I1088" i="1"/>
  <c r="H1088" i="1"/>
  <c r="G1088" i="1"/>
  <c r="L1088" i="1"/>
  <c r="W1088" i="1" s="1"/>
  <c r="K1228" i="1"/>
  <c r="J1228" i="1"/>
  <c r="I1228" i="1"/>
  <c r="G1228" i="1"/>
  <c r="H1228" i="1"/>
  <c r="L1228" i="1"/>
  <c r="W1228" i="1" s="1"/>
  <c r="K786" i="1"/>
  <c r="I786" i="1"/>
  <c r="J786" i="1"/>
  <c r="H786" i="1"/>
  <c r="G786" i="1"/>
  <c r="L786" i="1"/>
  <c r="W786" i="1" s="1"/>
  <c r="K950" i="1"/>
  <c r="J950" i="1"/>
  <c r="H950" i="1"/>
  <c r="I950" i="1"/>
  <c r="G950" i="1"/>
  <c r="L950" i="1"/>
  <c r="W950" i="1" s="1"/>
  <c r="K553" i="1"/>
  <c r="I553" i="1"/>
  <c r="J553" i="1"/>
  <c r="H553" i="1"/>
  <c r="G553" i="1"/>
  <c r="L553" i="1"/>
  <c r="W553" i="1" s="1"/>
  <c r="K461" i="1"/>
  <c r="J461" i="1"/>
  <c r="H461" i="1"/>
  <c r="I461" i="1"/>
  <c r="G461" i="1"/>
  <c r="L461" i="1"/>
  <c r="W461" i="1" s="1"/>
  <c r="K963" i="1"/>
  <c r="I963" i="1"/>
  <c r="J963" i="1"/>
  <c r="H963" i="1"/>
  <c r="G963" i="1"/>
  <c r="L963" i="1"/>
  <c r="W963" i="1" s="1"/>
  <c r="K368" i="1"/>
  <c r="I368" i="1"/>
  <c r="J368" i="1"/>
  <c r="H368" i="1"/>
  <c r="G368" i="1"/>
  <c r="L368" i="1"/>
  <c r="W368" i="1" s="1"/>
  <c r="K329" i="1"/>
  <c r="J329" i="1"/>
  <c r="I329" i="1"/>
  <c r="H329" i="1"/>
  <c r="G329" i="1"/>
  <c r="L329" i="1"/>
  <c r="W329" i="1" s="1"/>
  <c r="K1144" i="1"/>
  <c r="J1144" i="1"/>
  <c r="H1144" i="1"/>
  <c r="I1144" i="1"/>
  <c r="G1144" i="1"/>
  <c r="L1144" i="1"/>
  <c r="W1144" i="1" s="1"/>
  <c r="K686" i="1"/>
  <c r="J686" i="1"/>
  <c r="I686" i="1"/>
  <c r="H686" i="1"/>
  <c r="G686" i="1"/>
  <c r="L686" i="1"/>
  <c r="W686" i="1" s="1"/>
  <c r="K898" i="1"/>
  <c r="I898" i="1"/>
  <c r="J898" i="1"/>
  <c r="H898" i="1"/>
  <c r="G898" i="1"/>
  <c r="L898" i="1"/>
  <c r="W898" i="1" s="1"/>
  <c r="K1174" i="1"/>
  <c r="J1174" i="1"/>
  <c r="H1174" i="1"/>
  <c r="I1174" i="1"/>
  <c r="G1174" i="1"/>
  <c r="L1174" i="1"/>
  <c r="W1174" i="1" s="1"/>
  <c r="K691" i="1"/>
  <c r="I691" i="1"/>
  <c r="J691" i="1"/>
  <c r="H691" i="1"/>
  <c r="G691" i="1"/>
  <c r="L691" i="1"/>
  <c r="W691" i="1" s="1"/>
  <c r="K573" i="1"/>
  <c r="J573" i="1"/>
  <c r="H573" i="1"/>
  <c r="I573" i="1"/>
  <c r="G573" i="1"/>
  <c r="L573" i="1"/>
  <c r="W573" i="1" s="1"/>
  <c r="K451" i="1"/>
  <c r="I451" i="1"/>
  <c r="J451" i="1"/>
  <c r="H451" i="1"/>
  <c r="G451" i="1"/>
  <c r="L451" i="1"/>
  <c r="W451" i="1" s="1"/>
  <c r="K254" i="1"/>
  <c r="J254" i="1"/>
  <c r="I254" i="1"/>
  <c r="H254" i="1"/>
  <c r="G254" i="1"/>
  <c r="L254" i="1"/>
  <c r="W254" i="1" s="1"/>
  <c r="K241" i="1"/>
  <c r="J241" i="1"/>
  <c r="I241" i="1"/>
  <c r="H241" i="1"/>
  <c r="G241" i="1"/>
  <c r="L241" i="1"/>
  <c r="W241" i="1" s="1"/>
  <c r="K1056" i="1"/>
  <c r="I1056" i="1"/>
  <c r="J1056" i="1"/>
  <c r="H1056" i="1"/>
  <c r="G1056" i="1"/>
  <c r="L1056" i="1"/>
  <c r="W1056" i="1" s="1"/>
  <c r="K1238" i="1"/>
  <c r="J1238" i="1"/>
  <c r="H1238" i="1"/>
  <c r="I1238" i="1"/>
  <c r="G1238" i="1"/>
  <c r="L1238" i="1"/>
  <c r="W1238" i="1" s="1"/>
  <c r="K662" i="1"/>
  <c r="J662" i="1"/>
  <c r="I662" i="1"/>
  <c r="H662" i="1"/>
  <c r="G662" i="1"/>
  <c r="L662" i="1"/>
  <c r="W662" i="1" s="1"/>
  <c r="K587" i="1"/>
  <c r="I587" i="1"/>
  <c r="J587" i="1"/>
  <c r="H587" i="1"/>
  <c r="G587" i="1"/>
  <c r="L587" i="1"/>
  <c r="W587" i="1" s="1"/>
  <c r="K495" i="1"/>
  <c r="I495" i="1"/>
  <c r="J495" i="1"/>
  <c r="H495" i="1"/>
  <c r="G495" i="1"/>
  <c r="L495" i="1"/>
  <c r="W495" i="1" s="1"/>
  <c r="K819" i="1"/>
  <c r="I819" i="1"/>
  <c r="J819" i="1"/>
  <c r="H819" i="1"/>
  <c r="G819" i="1"/>
  <c r="L819" i="1"/>
  <c r="W819" i="1" s="1"/>
  <c r="K570" i="1"/>
  <c r="I570" i="1"/>
  <c r="J570" i="1"/>
  <c r="H570" i="1"/>
  <c r="G570" i="1"/>
  <c r="L570" i="1"/>
  <c r="W570" i="1" s="1"/>
  <c r="J325" i="1"/>
  <c r="K325" i="1"/>
  <c r="I325" i="1"/>
  <c r="H325" i="1"/>
  <c r="G325" i="1"/>
  <c r="L325" i="1"/>
  <c r="W325" i="1" s="1"/>
  <c r="K906" i="1"/>
  <c r="I906" i="1"/>
  <c r="J906" i="1"/>
  <c r="H906" i="1"/>
  <c r="G906" i="1"/>
  <c r="L906" i="1"/>
  <c r="W906" i="1" s="1"/>
  <c r="K812" i="1"/>
  <c r="J812" i="1"/>
  <c r="I812" i="1"/>
  <c r="H812" i="1"/>
  <c r="G812" i="1"/>
  <c r="L812" i="1"/>
  <c r="W812" i="1" s="1"/>
  <c r="K1040" i="1"/>
  <c r="I1040" i="1"/>
  <c r="J1040" i="1"/>
  <c r="H1040" i="1"/>
  <c r="G1040" i="1"/>
  <c r="L1040" i="1"/>
  <c r="W1040" i="1" s="1"/>
  <c r="K1222" i="1"/>
  <c r="J1222" i="1"/>
  <c r="H1222" i="1"/>
  <c r="I1222" i="1"/>
  <c r="G1222" i="1"/>
  <c r="L1222" i="1"/>
  <c r="W1222" i="1" s="1"/>
  <c r="K646" i="1"/>
  <c r="J646" i="1"/>
  <c r="I646" i="1"/>
  <c r="H646" i="1"/>
  <c r="G646" i="1"/>
  <c r="L646" i="1"/>
  <c r="W646" i="1" s="1"/>
  <c r="K571" i="1"/>
  <c r="I571" i="1"/>
  <c r="J571" i="1"/>
  <c r="H571" i="1"/>
  <c r="G571" i="1"/>
  <c r="L571" i="1"/>
  <c r="W571" i="1" s="1"/>
  <c r="K479" i="1"/>
  <c r="I479" i="1"/>
  <c r="J479" i="1"/>
  <c r="H479" i="1"/>
  <c r="G479" i="1"/>
  <c r="L479" i="1"/>
  <c r="W479" i="1" s="1"/>
  <c r="K811" i="1"/>
  <c r="I811" i="1"/>
  <c r="J811" i="1"/>
  <c r="H811" i="1"/>
  <c r="G811" i="1"/>
  <c r="L811" i="1"/>
  <c r="W811" i="1" s="1"/>
  <c r="K562" i="1"/>
  <c r="I562" i="1"/>
  <c r="J562" i="1"/>
  <c r="H562" i="1"/>
  <c r="G562" i="1"/>
  <c r="L562" i="1"/>
  <c r="W562" i="1" s="1"/>
  <c r="K363" i="1"/>
  <c r="I363" i="1"/>
  <c r="J363" i="1"/>
  <c r="H363" i="1"/>
  <c r="G363" i="1"/>
  <c r="L363" i="1"/>
  <c r="W363" i="1" s="1"/>
  <c r="K304" i="1"/>
  <c r="J304" i="1"/>
  <c r="I304" i="1"/>
  <c r="H304" i="1"/>
  <c r="G304" i="1"/>
  <c r="L304" i="1"/>
  <c r="W304" i="1" s="1"/>
  <c r="K371" i="1"/>
  <c r="I371" i="1"/>
  <c r="J371" i="1"/>
  <c r="H371" i="1"/>
  <c r="G371" i="1"/>
  <c r="L371" i="1"/>
  <c r="W371" i="1" s="1"/>
  <c r="K1216" i="1"/>
  <c r="J1216" i="1"/>
  <c r="H1216" i="1"/>
  <c r="I1216" i="1"/>
  <c r="G1216" i="1"/>
  <c r="L1216" i="1"/>
  <c r="W1216" i="1" s="1"/>
  <c r="K746" i="1"/>
  <c r="I746" i="1"/>
  <c r="J746" i="1"/>
  <c r="H746" i="1"/>
  <c r="G746" i="1"/>
  <c r="L746" i="1"/>
  <c r="W746" i="1" s="1"/>
  <c r="K652" i="1"/>
  <c r="I652" i="1"/>
  <c r="J652" i="1"/>
  <c r="H652" i="1"/>
  <c r="G652" i="1"/>
  <c r="L652" i="1"/>
  <c r="W652" i="1" s="1"/>
  <c r="K880" i="1"/>
  <c r="I880" i="1"/>
  <c r="J880" i="1"/>
  <c r="H880" i="1"/>
  <c r="G880" i="1"/>
  <c r="L880" i="1"/>
  <c r="W880" i="1" s="1"/>
  <c r="K1108" i="1"/>
  <c r="J1108" i="1"/>
  <c r="I1108" i="1"/>
  <c r="G1108" i="1"/>
  <c r="H1108" i="1"/>
  <c r="L1108" i="1"/>
  <c r="W1108" i="1" s="1"/>
  <c r="K583" i="1"/>
  <c r="I583" i="1"/>
  <c r="J583" i="1"/>
  <c r="H583" i="1"/>
  <c r="G583" i="1"/>
  <c r="L583" i="1"/>
  <c r="W583" i="1" s="1"/>
  <c r="K411" i="1"/>
  <c r="I411" i="1"/>
  <c r="J411" i="1"/>
  <c r="H411" i="1"/>
  <c r="G411" i="1"/>
  <c r="L411" i="1"/>
  <c r="W411" i="1" s="1"/>
  <c r="K638" i="1"/>
  <c r="J638" i="1"/>
  <c r="I638" i="1"/>
  <c r="H638" i="1"/>
  <c r="G638" i="1"/>
  <c r="L638" i="1"/>
  <c r="W638" i="1" s="1"/>
  <c r="K731" i="1"/>
  <c r="I731" i="1"/>
  <c r="J731" i="1"/>
  <c r="H731" i="1"/>
  <c r="G731" i="1"/>
  <c r="L731" i="1"/>
  <c r="W731" i="1" s="1"/>
  <c r="K450" i="1"/>
  <c r="I450" i="1"/>
  <c r="J450" i="1"/>
  <c r="H450" i="1"/>
  <c r="G450" i="1"/>
  <c r="L450" i="1"/>
  <c r="W450" i="1" s="1"/>
  <c r="K568" i="1"/>
  <c r="I568" i="1"/>
  <c r="J568" i="1"/>
  <c r="H568" i="1"/>
  <c r="G568" i="1"/>
  <c r="L568" i="1"/>
  <c r="W568" i="1" s="1"/>
  <c r="K1037" i="1"/>
  <c r="J1037" i="1"/>
  <c r="H1037" i="1"/>
  <c r="I1037" i="1"/>
  <c r="G1037" i="1"/>
  <c r="L1037" i="1"/>
  <c r="W1037" i="1" s="1"/>
  <c r="K1045" i="1"/>
  <c r="J1045" i="1"/>
  <c r="H1045" i="1"/>
  <c r="I1045" i="1"/>
  <c r="G1045" i="1"/>
  <c r="L1045" i="1"/>
  <c r="W1045" i="1" s="1"/>
  <c r="K1117" i="1"/>
  <c r="J1117" i="1"/>
  <c r="I1117" i="1"/>
  <c r="H1117" i="1"/>
  <c r="G1117" i="1"/>
  <c r="L1117" i="1"/>
  <c r="W1117" i="1" s="1"/>
  <c r="K1322" i="1"/>
  <c r="J1322" i="1"/>
  <c r="H1322" i="1"/>
  <c r="I1322" i="1"/>
  <c r="G1322" i="1"/>
  <c r="L1322" i="1"/>
  <c r="W1322" i="1" s="1"/>
  <c r="K1624" i="1"/>
  <c r="J1624" i="1"/>
  <c r="I1624" i="1"/>
  <c r="H1624" i="1"/>
  <c r="G1624" i="1"/>
  <c r="L1624" i="1"/>
  <c r="W1624" i="1" s="1"/>
  <c r="K1786" i="1"/>
  <c r="J1786" i="1"/>
  <c r="I1786" i="1"/>
  <c r="G1786" i="1"/>
  <c r="H1786" i="1"/>
  <c r="L1786" i="1"/>
  <c r="W1786" i="1" s="1"/>
  <c r="K582" i="1"/>
  <c r="J582" i="1"/>
  <c r="I582" i="1"/>
  <c r="H582" i="1"/>
  <c r="G582" i="1"/>
  <c r="L582" i="1"/>
  <c r="W582" i="1" s="1"/>
  <c r="K349" i="1"/>
  <c r="J349" i="1"/>
  <c r="I349" i="1"/>
  <c r="H349" i="1"/>
  <c r="G349" i="1"/>
  <c r="L349" i="1"/>
  <c r="W349" i="1" s="1"/>
  <c r="J317" i="1"/>
  <c r="K317" i="1"/>
  <c r="I317" i="1"/>
  <c r="H317" i="1"/>
  <c r="G317" i="1"/>
  <c r="L317" i="1"/>
  <c r="W317" i="1" s="1"/>
  <c r="K1023" i="1"/>
  <c r="I1023" i="1"/>
  <c r="J1023" i="1"/>
  <c r="H1023" i="1"/>
  <c r="G1023" i="1"/>
  <c r="L1023" i="1"/>
  <c r="W1023" i="1" s="1"/>
  <c r="K775" i="1"/>
  <c r="I775" i="1"/>
  <c r="J775" i="1"/>
  <c r="H775" i="1"/>
  <c r="G775" i="1"/>
  <c r="L775" i="1"/>
  <c r="W775" i="1" s="1"/>
  <c r="K1071" i="1"/>
  <c r="I1071" i="1"/>
  <c r="J1071" i="1"/>
  <c r="H1071" i="1"/>
  <c r="G1071" i="1"/>
  <c r="L1071" i="1"/>
  <c r="W1071" i="1" s="1"/>
  <c r="K1344" i="1"/>
  <c r="J1344" i="1"/>
  <c r="H1344" i="1"/>
  <c r="I1344" i="1"/>
  <c r="G1344" i="1"/>
  <c r="L1344" i="1"/>
  <c r="W1344" i="1" s="1"/>
  <c r="K1414" i="1"/>
  <c r="J1414" i="1"/>
  <c r="I1414" i="1"/>
  <c r="G1414" i="1"/>
  <c r="H1414" i="1"/>
  <c r="L1414" i="1"/>
  <c r="W1414" i="1" s="1"/>
  <c r="K1436" i="1"/>
  <c r="J1436" i="1"/>
  <c r="I1436" i="1"/>
  <c r="G1436" i="1"/>
  <c r="H1436" i="1"/>
  <c r="L1436" i="1"/>
  <c r="W1436" i="1" s="1"/>
  <c r="K326" i="1"/>
  <c r="J326" i="1"/>
  <c r="I326" i="1"/>
  <c r="H326" i="1"/>
  <c r="G326" i="1"/>
  <c r="L326" i="1"/>
  <c r="W326" i="1" s="1"/>
  <c r="J252" i="1"/>
  <c r="K252" i="1"/>
  <c r="I252" i="1"/>
  <c r="H252" i="1"/>
  <c r="G252" i="1"/>
  <c r="L252" i="1"/>
  <c r="W252" i="1" s="1"/>
  <c r="J293" i="1"/>
  <c r="K293" i="1"/>
  <c r="I293" i="1"/>
  <c r="H293" i="1"/>
  <c r="G293" i="1"/>
  <c r="L293" i="1"/>
  <c r="W293" i="1" s="1"/>
  <c r="J261" i="1"/>
  <c r="K261" i="1"/>
  <c r="I261" i="1"/>
  <c r="H261" i="1"/>
  <c r="G261" i="1"/>
  <c r="L261" i="1"/>
  <c r="W261" i="1" s="1"/>
  <c r="K416" i="1"/>
  <c r="I416" i="1"/>
  <c r="J416" i="1"/>
  <c r="H416" i="1"/>
  <c r="G416" i="1"/>
  <c r="L416" i="1"/>
  <c r="W416" i="1" s="1"/>
  <c r="K921" i="1"/>
  <c r="J921" i="1"/>
  <c r="I921" i="1"/>
  <c r="H921" i="1"/>
  <c r="G921" i="1"/>
  <c r="L921" i="1"/>
  <c r="W921" i="1" s="1"/>
  <c r="K929" i="1"/>
  <c r="J929" i="1"/>
  <c r="I929" i="1"/>
  <c r="H929" i="1"/>
  <c r="G929" i="1"/>
  <c r="L929" i="1"/>
  <c r="W929" i="1" s="1"/>
  <c r="K1204" i="1"/>
  <c r="J1204" i="1"/>
  <c r="I1204" i="1"/>
  <c r="H1204" i="1"/>
  <c r="G1204" i="1"/>
  <c r="L1204" i="1"/>
  <c r="W1204" i="1" s="1"/>
  <c r="K1384" i="1"/>
  <c r="J1384" i="1"/>
  <c r="H1384" i="1"/>
  <c r="I1384" i="1"/>
  <c r="G1384" i="1"/>
  <c r="L1384" i="1"/>
  <c r="W1384" i="1" s="1"/>
  <c r="K1698" i="1"/>
  <c r="J1698" i="1"/>
  <c r="I1698" i="1"/>
  <c r="G1698" i="1"/>
  <c r="H1698" i="1"/>
  <c r="L1698" i="1"/>
  <c r="W1698" i="1" s="1"/>
  <c r="K1901" i="1"/>
  <c r="J1901" i="1"/>
  <c r="I1901" i="1"/>
  <c r="H1901" i="1"/>
  <c r="G1901" i="1"/>
  <c r="L1901" i="1"/>
  <c r="W1901" i="1" s="1"/>
  <c r="K314" i="1"/>
  <c r="J314" i="1"/>
  <c r="I314" i="1"/>
  <c r="H314" i="1"/>
  <c r="G314" i="1"/>
  <c r="L314" i="1"/>
  <c r="W314" i="1" s="1"/>
  <c r="K560" i="1"/>
  <c r="I560" i="1"/>
  <c r="J560" i="1"/>
  <c r="H560" i="1"/>
  <c r="G560" i="1"/>
  <c r="L560" i="1"/>
  <c r="W560" i="1" s="1"/>
  <c r="K679" i="1"/>
  <c r="I679" i="1"/>
  <c r="J679" i="1"/>
  <c r="H679" i="1"/>
  <c r="G679" i="1"/>
  <c r="L679" i="1"/>
  <c r="W679" i="1" s="1"/>
  <c r="K1176" i="1"/>
  <c r="J1176" i="1"/>
  <c r="H1176" i="1"/>
  <c r="I1176" i="1"/>
  <c r="G1176" i="1"/>
  <c r="L1176" i="1"/>
  <c r="W1176" i="1" s="1"/>
  <c r="K1348" i="1"/>
  <c r="J1348" i="1"/>
  <c r="I1348" i="1"/>
  <c r="G1348" i="1"/>
  <c r="H1348" i="1"/>
  <c r="L1348" i="1"/>
  <c r="W1348" i="1" s="1"/>
  <c r="K1402" i="1"/>
  <c r="J1402" i="1"/>
  <c r="H1402" i="1"/>
  <c r="I1402" i="1"/>
  <c r="G1402" i="1"/>
  <c r="L1402" i="1"/>
  <c r="W1402" i="1" s="1"/>
  <c r="K1520" i="1"/>
  <c r="J1520" i="1"/>
  <c r="H1520" i="1"/>
  <c r="I1520" i="1"/>
  <c r="G1520" i="1"/>
  <c r="L1520" i="1"/>
  <c r="W1520" i="1" s="1"/>
  <c r="K1905" i="1"/>
  <c r="J1905" i="1"/>
  <c r="I1905" i="1"/>
  <c r="H1905" i="1"/>
  <c r="G1905" i="1"/>
  <c r="L1905" i="1"/>
  <c r="W1905" i="1" s="1"/>
  <c r="J348" i="1"/>
  <c r="K348" i="1"/>
  <c r="I348" i="1"/>
  <c r="H348" i="1"/>
  <c r="G348" i="1"/>
  <c r="L348" i="1"/>
  <c r="W348" i="1" s="1"/>
  <c r="K558" i="1"/>
  <c r="J558" i="1"/>
  <c r="I558" i="1"/>
  <c r="H558" i="1"/>
  <c r="G558" i="1"/>
  <c r="L558" i="1"/>
  <c r="W558" i="1" s="1"/>
  <c r="K508" i="1"/>
  <c r="I508" i="1"/>
  <c r="J508" i="1"/>
  <c r="H508" i="1"/>
  <c r="G508" i="1"/>
  <c r="L508" i="1"/>
  <c r="W508" i="1" s="1"/>
  <c r="K504" i="1"/>
  <c r="I504" i="1"/>
  <c r="J504" i="1"/>
  <c r="H504" i="1"/>
  <c r="G504" i="1"/>
  <c r="L504" i="1"/>
  <c r="W504" i="1" s="1"/>
  <c r="K973" i="1"/>
  <c r="J973" i="1"/>
  <c r="H973" i="1"/>
  <c r="I973" i="1"/>
  <c r="G973" i="1"/>
  <c r="L973" i="1"/>
  <c r="W973" i="1" s="1"/>
  <c r="K981" i="1"/>
  <c r="J981" i="1"/>
  <c r="H981" i="1"/>
  <c r="I981" i="1"/>
  <c r="G981" i="1"/>
  <c r="L981" i="1"/>
  <c r="W981" i="1" s="1"/>
  <c r="K1109" i="1"/>
  <c r="J1109" i="1"/>
  <c r="H1109" i="1"/>
  <c r="I1109" i="1"/>
  <c r="G1109" i="1"/>
  <c r="L1109" i="1"/>
  <c r="W1109" i="1" s="1"/>
  <c r="K1424" i="1"/>
  <c r="J1424" i="1"/>
  <c r="H1424" i="1"/>
  <c r="I1424" i="1"/>
  <c r="G1424" i="1"/>
  <c r="L1424" i="1"/>
  <c r="W1424" i="1" s="1"/>
  <c r="K1560" i="1"/>
  <c r="J1560" i="1"/>
  <c r="H1560" i="1"/>
  <c r="I1560" i="1"/>
  <c r="G1560" i="1"/>
  <c r="L1560" i="1"/>
  <c r="W1560" i="1" s="1"/>
  <c r="K1804" i="1"/>
  <c r="J1804" i="1"/>
  <c r="I1804" i="1"/>
  <c r="H1804" i="1"/>
  <c r="G1804" i="1"/>
  <c r="L1804" i="1"/>
  <c r="W1804" i="1" s="1"/>
  <c r="K216" i="1"/>
  <c r="J216" i="1"/>
  <c r="I216" i="1"/>
  <c r="H216" i="1"/>
  <c r="G216" i="1"/>
  <c r="L216" i="1"/>
  <c r="W216" i="1" s="1"/>
  <c r="J339" i="1"/>
  <c r="K339" i="1"/>
  <c r="I339" i="1"/>
  <c r="H339" i="1"/>
  <c r="G339" i="1"/>
  <c r="L339" i="1"/>
  <c r="W339" i="1" s="1"/>
  <c r="J301" i="1"/>
  <c r="K301" i="1"/>
  <c r="I301" i="1"/>
  <c r="H301" i="1"/>
  <c r="G301" i="1"/>
  <c r="L301" i="1"/>
  <c r="W301" i="1" s="1"/>
  <c r="K597" i="1"/>
  <c r="J597" i="1"/>
  <c r="H597" i="1"/>
  <c r="I597" i="1"/>
  <c r="G597" i="1"/>
  <c r="L597" i="1"/>
  <c r="W597" i="1" s="1"/>
  <c r="K711" i="1"/>
  <c r="I711" i="1"/>
  <c r="J711" i="1"/>
  <c r="H711" i="1"/>
  <c r="G711" i="1"/>
  <c r="L711" i="1"/>
  <c r="W711" i="1" s="1"/>
  <c r="K1063" i="1"/>
  <c r="I1063" i="1"/>
  <c r="J1063" i="1"/>
  <c r="H1063" i="1"/>
  <c r="G1063" i="1"/>
  <c r="L1063" i="1"/>
  <c r="W1063" i="1" s="1"/>
  <c r="K1346" i="1"/>
  <c r="J1346" i="1"/>
  <c r="H1346" i="1"/>
  <c r="I1346" i="1"/>
  <c r="G1346" i="1"/>
  <c r="L1346" i="1"/>
  <c r="W1346" i="1" s="1"/>
  <c r="K1406" i="1"/>
  <c r="J1406" i="1"/>
  <c r="I1406" i="1"/>
  <c r="G1406" i="1"/>
  <c r="H1406" i="1"/>
  <c r="L1406" i="1"/>
  <c r="W1406" i="1" s="1"/>
  <c r="K1710" i="1"/>
  <c r="J1710" i="1"/>
  <c r="I1710" i="1"/>
  <c r="G1710" i="1"/>
  <c r="H1710" i="1"/>
  <c r="L1710" i="1"/>
  <c r="W1710" i="1" s="1"/>
  <c r="K588" i="1"/>
  <c r="I588" i="1"/>
  <c r="J588" i="1"/>
  <c r="H588" i="1"/>
  <c r="G588" i="1"/>
  <c r="L588" i="1"/>
  <c r="W588" i="1" s="1"/>
  <c r="J316" i="1"/>
  <c r="K316" i="1"/>
  <c r="I316" i="1"/>
  <c r="H316" i="1"/>
  <c r="G316" i="1"/>
  <c r="L316" i="1"/>
  <c r="W316" i="1" s="1"/>
  <c r="K590" i="1"/>
  <c r="J590" i="1"/>
  <c r="I590" i="1"/>
  <c r="H590" i="1"/>
  <c r="G590" i="1"/>
  <c r="L590" i="1"/>
  <c r="W590" i="1" s="1"/>
  <c r="K540" i="1"/>
  <c r="I540" i="1"/>
  <c r="J540" i="1"/>
  <c r="H540" i="1"/>
  <c r="G540" i="1"/>
  <c r="L540" i="1"/>
  <c r="W540" i="1" s="1"/>
  <c r="K536" i="1"/>
  <c r="I536" i="1"/>
  <c r="J536" i="1"/>
  <c r="H536" i="1"/>
  <c r="G536" i="1"/>
  <c r="L536" i="1"/>
  <c r="W536" i="1" s="1"/>
  <c r="K1005" i="1"/>
  <c r="J1005" i="1"/>
  <c r="H1005" i="1"/>
  <c r="I1005" i="1"/>
  <c r="G1005" i="1"/>
  <c r="L1005" i="1"/>
  <c r="W1005" i="1" s="1"/>
  <c r="K1013" i="1"/>
  <c r="J1013" i="1"/>
  <c r="H1013" i="1"/>
  <c r="I1013" i="1"/>
  <c r="G1013" i="1"/>
  <c r="L1013" i="1"/>
  <c r="W1013" i="1" s="1"/>
  <c r="K1113" i="1"/>
  <c r="J1113" i="1"/>
  <c r="H1113" i="1"/>
  <c r="I1113" i="1"/>
  <c r="G1113" i="1"/>
  <c r="L1113" i="1"/>
  <c r="W1113" i="1" s="1"/>
  <c r="K1290" i="1"/>
  <c r="J1290" i="1"/>
  <c r="H1290" i="1"/>
  <c r="I1290" i="1"/>
  <c r="G1290" i="1"/>
  <c r="L1290" i="1"/>
  <c r="W1290" i="1" s="1"/>
  <c r="K1592" i="1"/>
  <c r="J1592" i="1"/>
  <c r="I1592" i="1"/>
  <c r="H1592" i="1"/>
  <c r="G1592" i="1"/>
  <c r="L1592" i="1"/>
  <c r="W1592" i="1" s="1"/>
  <c r="K1836" i="1"/>
  <c r="J1836" i="1"/>
  <c r="I1836" i="1"/>
  <c r="H1836" i="1"/>
  <c r="G1836" i="1"/>
  <c r="L1836" i="1"/>
  <c r="W1836" i="1" s="1"/>
  <c r="K184" i="1"/>
  <c r="J184" i="1"/>
  <c r="I184" i="1"/>
  <c r="H184" i="1"/>
  <c r="G184" i="1"/>
  <c r="L184" i="1"/>
  <c r="W184" i="1" s="1"/>
  <c r="K306" i="1"/>
  <c r="J306" i="1"/>
  <c r="I306" i="1"/>
  <c r="H306" i="1"/>
  <c r="G306" i="1"/>
  <c r="L306" i="1"/>
  <c r="W306" i="1" s="1"/>
  <c r="K345" i="1"/>
  <c r="J345" i="1"/>
  <c r="I345" i="1"/>
  <c r="H345" i="1"/>
  <c r="G345" i="1"/>
  <c r="L345" i="1"/>
  <c r="W345" i="1" s="1"/>
  <c r="J309" i="1"/>
  <c r="K309" i="1"/>
  <c r="I309" i="1"/>
  <c r="H309" i="1"/>
  <c r="G309" i="1"/>
  <c r="L309" i="1"/>
  <c r="W309" i="1" s="1"/>
  <c r="K991" i="1"/>
  <c r="I991" i="1"/>
  <c r="J991" i="1"/>
  <c r="H991" i="1"/>
  <c r="G991" i="1"/>
  <c r="L991" i="1"/>
  <c r="W991" i="1" s="1"/>
  <c r="K743" i="1"/>
  <c r="I743" i="1"/>
  <c r="J743" i="1"/>
  <c r="H743" i="1"/>
  <c r="G743" i="1"/>
  <c r="L743" i="1"/>
  <c r="W743" i="1" s="1"/>
  <c r="K1067" i="1"/>
  <c r="I1067" i="1"/>
  <c r="J1067" i="1"/>
  <c r="H1067" i="1"/>
  <c r="G1067" i="1"/>
  <c r="L1067" i="1"/>
  <c r="W1067" i="1" s="1"/>
  <c r="K1428" i="1"/>
  <c r="J1428" i="1"/>
  <c r="I1428" i="1"/>
  <c r="H1428" i="1"/>
  <c r="G1428" i="1"/>
  <c r="L1428" i="1"/>
  <c r="W1428" i="1" s="1"/>
  <c r="K1410" i="1"/>
  <c r="J1410" i="1"/>
  <c r="H1410" i="1"/>
  <c r="I1410" i="1"/>
  <c r="G1410" i="1"/>
  <c r="L1410" i="1"/>
  <c r="W1410" i="1" s="1"/>
  <c r="K1738" i="1"/>
  <c r="J1738" i="1"/>
  <c r="I1738" i="1"/>
  <c r="G1738" i="1"/>
  <c r="H1738" i="1"/>
  <c r="L1738" i="1"/>
  <c r="W1738" i="1" s="1"/>
  <c r="K556" i="1"/>
  <c r="I556" i="1"/>
  <c r="J556" i="1"/>
  <c r="H556" i="1"/>
  <c r="G556" i="1"/>
  <c r="L556" i="1"/>
  <c r="W556" i="1" s="1"/>
  <c r="J284" i="1"/>
  <c r="K284" i="1"/>
  <c r="I284" i="1"/>
  <c r="H284" i="1"/>
  <c r="G284" i="1"/>
  <c r="L284" i="1"/>
  <c r="W284" i="1" s="1"/>
  <c r="J67" i="1"/>
  <c r="K67" i="1"/>
  <c r="I67" i="1"/>
  <c r="H67" i="1"/>
  <c r="G67" i="1"/>
  <c r="L67" i="1"/>
  <c r="W67" i="1" s="1"/>
  <c r="K113" i="1"/>
  <c r="J113" i="1"/>
  <c r="I113" i="1"/>
  <c r="H113" i="1"/>
  <c r="G113" i="1"/>
  <c r="L113" i="1"/>
  <c r="W113" i="1" s="1"/>
  <c r="K169" i="1"/>
  <c r="J169" i="1"/>
  <c r="I169" i="1"/>
  <c r="H169" i="1"/>
  <c r="G169" i="1"/>
  <c r="L169" i="1"/>
  <c r="W169" i="1" s="1"/>
  <c r="J75" i="1"/>
  <c r="K75" i="1"/>
  <c r="I75" i="1"/>
  <c r="H75" i="1"/>
  <c r="G75" i="1"/>
  <c r="L75" i="1"/>
  <c r="W75" i="1" s="1"/>
  <c r="K119" i="1"/>
  <c r="J119" i="1"/>
  <c r="I119" i="1"/>
  <c r="H119" i="1"/>
  <c r="G119" i="1"/>
  <c r="L119" i="1"/>
  <c r="W119" i="1" s="1"/>
  <c r="K33" i="1"/>
  <c r="J33" i="1"/>
  <c r="I33" i="1"/>
  <c r="H33" i="1"/>
  <c r="G33" i="1"/>
  <c r="L33" i="1"/>
  <c r="W33" i="1" s="1"/>
  <c r="J93" i="1"/>
  <c r="K93" i="1"/>
  <c r="I93" i="1"/>
  <c r="H93" i="1"/>
  <c r="G93" i="1"/>
  <c r="L93" i="1"/>
  <c r="W93" i="1" s="1"/>
  <c r="J149" i="1"/>
  <c r="K149" i="1"/>
  <c r="I149" i="1"/>
  <c r="H149" i="1"/>
  <c r="G149" i="1"/>
  <c r="L149" i="1"/>
  <c r="W149" i="1" s="1"/>
  <c r="J60" i="1"/>
  <c r="K60" i="1"/>
  <c r="I60" i="1"/>
  <c r="H60" i="1"/>
  <c r="G60" i="1"/>
  <c r="L60" i="1"/>
  <c r="W60" i="1" s="1"/>
  <c r="J100" i="1"/>
  <c r="K100" i="1"/>
  <c r="I100" i="1"/>
  <c r="H100" i="1"/>
  <c r="G100" i="1"/>
  <c r="L100" i="1"/>
  <c r="W100" i="1" s="1"/>
  <c r="K118" i="1"/>
  <c r="J118" i="1"/>
  <c r="I118" i="1"/>
  <c r="H118" i="1"/>
  <c r="G118" i="1"/>
  <c r="L118" i="1"/>
  <c r="W118" i="1" s="1"/>
  <c r="K134" i="1"/>
  <c r="J134" i="1"/>
  <c r="I134" i="1"/>
  <c r="H134" i="1"/>
  <c r="G134" i="1"/>
  <c r="L134" i="1"/>
  <c r="W134" i="1" s="1"/>
  <c r="K154" i="1"/>
  <c r="J154" i="1"/>
  <c r="I154" i="1"/>
  <c r="H154" i="1"/>
  <c r="G154" i="1"/>
  <c r="L154" i="1"/>
  <c r="W154" i="1" s="1"/>
  <c r="K170" i="1"/>
  <c r="J170" i="1"/>
  <c r="I170" i="1"/>
  <c r="H170" i="1"/>
  <c r="G170" i="1"/>
  <c r="L170" i="1"/>
  <c r="W170" i="1" s="1"/>
  <c r="K62" i="1"/>
  <c r="J62" i="1"/>
  <c r="I62" i="1"/>
  <c r="H62" i="1"/>
  <c r="G62" i="1"/>
  <c r="L62" i="1"/>
  <c r="W62" i="1" s="1"/>
  <c r="J140" i="1"/>
  <c r="K140" i="1"/>
  <c r="I140" i="1"/>
  <c r="H140" i="1"/>
  <c r="G140" i="1"/>
  <c r="L140" i="1"/>
  <c r="W140" i="1" s="1"/>
  <c r="K70" i="1"/>
  <c r="J70" i="1"/>
  <c r="I70" i="1"/>
  <c r="H70" i="1"/>
  <c r="G70" i="1"/>
  <c r="L70" i="1"/>
  <c r="W70" i="1" s="1"/>
  <c r="K2019" i="1"/>
  <c r="J2019" i="1"/>
  <c r="I2019" i="1"/>
  <c r="H2019" i="1"/>
  <c r="G2019" i="1"/>
  <c r="L2019" i="1"/>
  <c r="W2019" i="1" s="1"/>
  <c r="L21" i="1"/>
  <c r="W21" i="1" s="1"/>
  <c r="L23" i="1"/>
  <c r="W23" i="1" s="1"/>
  <c r="L26" i="1"/>
  <c r="W26" i="1" s="1"/>
  <c r="L28" i="1"/>
  <c r="W28" i="1" s="1"/>
  <c r="S2" i="1"/>
  <c r="Z2" i="1"/>
  <c r="Y2" i="1"/>
  <c r="V2" i="1"/>
  <c r="U2" i="1"/>
  <c r="V540" i="1" l="1"/>
  <c r="U540" i="1"/>
  <c r="S540" i="1"/>
  <c r="R540" i="1"/>
  <c r="M540" i="1"/>
  <c r="Z540" i="1"/>
  <c r="Y540" i="1"/>
  <c r="V216" i="1"/>
  <c r="U216" i="1"/>
  <c r="S216" i="1"/>
  <c r="R216" i="1"/>
  <c r="M216" i="1"/>
  <c r="Z216" i="1"/>
  <c r="Y216" i="1"/>
  <c r="Z921" i="1"/>
  <c r="Y921" i="1"/>
  <c r="V921" i="1"/>
  <c r="S921" i="1"/>
  <c r="R921" i="1"/>
  <c r="M921" i="1"/>
  <c r="U921" i="1"/>
  <c r="Z638" i="1"/>
  <c r="Y638" i="1"/>
  <c r="V638" i="1"/>
  <c r="U638" i="1"/>
  <c r="S638" i="1"/>
  <c r="R638" i="1"/>
  <c r="M638" i="1"/>
  <c r="U811" i="1"/>
  <c r="S811" i="1"/>
  <c r="R811" i="1"/>
  <c r="M811" i="1"/>
  <c r="Z811" i="1"/>
  <c r="Y811" i="1"/>
  <c r="V811" i="1"/>
  <c r="V1451" i="1"/>
  <c r="U1451" i="1"/>
  <c r="S1451" i="1"/>
  <c r="R1451" i="1"/>
  <c r="M1451" i="1"/>
  <c r="Z1451" i="1"/>
  <c r="Y1451" i="1"/>
  <c r="V1251" i="1"/>
  <c r="U1251" i="1"/>
  <c r="S1251" i="1"/>
  <c r="R1251" i="1"/>
  <c r="M1251" i="1"/>
  <c r="Z1251" i="1"/>
  <c r="Y1251" i="1"/>
  <c r="V656" i="1"/>
  <c r="U656" i="1"/>
  <c r="S656" i="1"/>
  <c r="R656" i="1"/>
  <c r="M656" i="1"/>
  <c r="Z656" i="1"/>
  <c r="Y656" i="1"/>
  <c r="Y578" i="1"/>
  <c r="V578" i="1"/>
  <c r="U578" i="1"/>
  <c r="S578" i="1"/>
  <c r="R578" i="1"/>
  <c r="M578" i="1"/>
  <c r="Z578" i="1"/>
  <c r="M1156" i="1"/>
  <c r="Z1156" i="1"/>
  <c r="Y1156" i="1"/>
  <c r="V1156" i="1"/>
  <c r="U1156" i="1"/>
  <c r="S1156" i="1"/>
  <c r="R1156" i="1"/>
  <c r="V728" i="1"/>
  <c r="U728" i="1"/>
  <c r="S728" i="1"/>
  <c r="R728" i="1"/>
  <c r="M728" i="1"/>
  <c r="Z728" i="1"/>
  <c r="Y728" i="1"/>
  <c r="V1168" i="1"/>
  <c r="U1168" i="1"/>
  <c r="S1168" i="1"/>
  <c r="R1168" i="1"/>
  <c r="M1168" i="1"/>
  <c r="Z1168" i="1"/>
  <c r="Y1168" i="1"/>
  <c r="Y1894" i="1"/>
  <c r="V1894" i="1"/>
  <c r="U1894" i="1"/>
  <c r="S1894" i="1"/>
  <c r="R1894" i="1"/>
  <c r="M1894" i="1"/>
  <c r="Z1894" i="1"/>
  <c r="Y18" i="1"/>
  <c r="V18" i="1"/>
  <c r="U18" i="1"/>
  <c r="S18" i="1"/>
  <c r="R18" i="1"/>
  <c r="M18" i="1"/>
  <c r="Z18" i="1"/>
  <c r="M64" i="1"/>
  <c r="Z64" i="1"/>
  <c r="Y64" i="1"/>
  <c r="V64" i="1"/>
  <c r="U64" i="1"/>
  <c r="S64" i="1"/>
  <c r="R64" i="1"/>
  <c r="V152" i="1"/>
  <c r="U152" i="1"/>
  <c r="S152" i="1"/>
  <c r="R152" i="1"/>
  <c r="M152" i="1"/>
  <c r="Z152" i="1"/>
  <c r="Y152" i="1"/>
  <c r="S54" i="1"/>
  <c r="R54" i="1"/>
  <c r="M54" i="1"/>
  <c r="Z54" i="1"/>
  <c r="Y54" i="1"/>
  <c r="V54" i="1"/>
  <c r="U54" i="1"/>
  <c r="S115" i="1"/>
  <c r="R115" i="1"/>
  <c r="Z115" i="1"/>
  <c r="Y115" i="1"/>
  <c r="V115" i="1"/>
  <c r="U115" i="1"/>
  <c r="M115" i="1"/>
  <c r="U61" i="1"/>
  <c r="S61" i="1"/>
  <c r="R61" i="1"/>
  <c r="M61" i="1"/>
  <c r="Z61" i="1"/>
  <c r="Y61" i="1"/>
  <c r="V61" i="1"/>
  <c r="Y1394" i="1"/>
  <c r="S1394" i="1"/>
  <c r="R1394" i="1"/>
  <c r="Z1394" i="1"/>
  <c r="V1394" i="1"/>
  <c r="U1394" i="1"/>
  <c r="M1394" i="1"/>
  <c r="M496" i="1"/>
  <c r="Z496" i="1"/>
  <c r="Y496" i="1"/>
  <c r="V496" i="1"/>
  <c r="U496" i="1"/>
  <c r="S496" i="1"/>
  <c r="R496" i="1"/>
  <c r="U312" i="1"/>
  <c r="S312" i="1"/>
  <c r="R312" i="1"/>
  <c r="M312" i="1"/>
  <c r="Z312" i="1"/>
  <c r="Y312" i="1"/>
  <c r="V312" i="1"/>
  <c r="U1097" i="1"/>
  <c r="S1097" i="1"/>
  <c r="R1097" i="1"/>
  <c r="M1097" i="1"/>
  <c r="Y1097" i="1"/>
  <c r="V1097" i="1"/>
  <c r="Z1097" i="1"/>
  <c r="Z412" i="1"/>
  <c r="Y412" i="1"/>
  <c r="V412" i="1"/>
  <c r="U412" i="1"/>
  <c r="S412" i="1"/>
  <c r="R412" i="1"/>
  <c r="M412" i="1"/>
  <c r="R1770" i="1"/>
  <c r="M1770" i="1"/>
  <c r="Z1770" i="1"/>
  <c r="Y1770" i="1"/>
  <c r="V1770" i="1"/>
  <c r="U1770" i="1"/>
  <c r="S1770" i="1"/>
  <c r="Z969" i="1"/>
  <c r="Y969" i="1"/>
  <c r="V969" i="1"/>
  <c r="U969" i="1"/>
  <c r="S969" i="1"/>
  <c r="R969" i="1"/>
  <c r="M969" i="1"/>
  <c r="U344" i="1"/>
  <c r="S344" i="1"/>
  <c r="R344" i="1"/>
  <c r="M344" i="1"/>
  <c r="Z344" i="1"/>
  <c r="Y344" i="1"/>
  <c r="V344" i="1"/>
  <c r="Z1093" i="1"/>
  <c r="Y1093" i="1"/>
  <c r="V1093" i="1"/>
  <c r="S1093" i="1"/>
  <c r="U1093" i="1"/>
  <c r="R1093" i="1"/>
  <c r="M1093" i="1"/>
  <c r="Z380" i="1"/>
  <c r="Y380" i="1"/>
  <c r="V380" i="1"/>
  <c r="U380" i="1"/>
  <c r="S380" i="1"/>
  <c r="R380" i="1"/>
  <c r="M380" i="1"/>
  <c r="R1714" i="1"/>
  <c r="Z1714" i="1"/>
  <c r="Y1714" i="1"/>
  <c r="V1714" i="1"/>
  <c r="U1714" i="1"/>
  <c r="S1714" i="1"/>
  <c r="M1714" i="1"/>
  <c r="Z937" i="1"/>
  <c r="Y937" i="1"/>
  <c r="V937" i="1"/>
  <c r="U937" i="1"/>
  <c r="S937" i="1"/>
  <c r="R937" i="1"/>
  <c r="M937" i="1"/>
  <c r="M1620" i="1"/>
  <c r="Z1620" i="1"/>
  <c r="Y1620" i="1"/>
  <c r="V1620" i="1"/>
  <c r="U1620" i="1"/>
  <c r="S1620" i="1"/>
  <c r="R1620" i="1"/>
  <c r="V793" i="1"/>
  <c r="U793" i="1"/>
  <c r="S793" i="1"/>
  <c r="R793" i="1"/>
  <c r="M793" i="1"/>
  <c r="Z793" i="1"/>
  <c r="Y793" i="1"/>
  <c r="U202" i="1"/>
  <c r="S202" i="1"/>
  <c r="R202" i="1"/>
  <c r="M202" i="1"/>
  <c r="Z202" i="1"/>
  <c r="Y202" i="1"/>
  <c r="V202" i="1"/>
  <c r="V1316" i="1"/>
  <c r="U1316" i="1"/>
  <c r="S1316" i="1"/>
  <c r="R1316" i="1"/>
  <c r="M1316" i="1"/>
  <c r="Z1316" i="1"/>
  <c r="Y1316" i="1"/>
  <c r="V287" i="1"/>
  <c r="U287" i="1"/>
  <c r="S287" i="1"/>
  <c r="R287" i="1"/>
  <c r="M287" i="1"/>
  <c r="Z287" i="1"/>
  <c r="Y287" i="1"/>
  <c r="S1626" i="1"/>
  <c r="R1626" i="1"/>
  <c r="M1626" i="1"/>
  <c r="Z1626" i="1"/>
  <c r="Y1626" i="1"/>
  <c r="V1626" i="1"/>
  <c r="U1626" i="1"/>
  <c r="R909" i="1"/>
  <c r="M909" i="1"/>
  <c r="Z909" i="1"/>
  <c r="Y909" i="1"/>
  <c r="V909" i="1"/>
  <c r="U909" i="1"/>
  <c r="S909" i="1"/>
  <c r="R447" i="1"/>
  <c r="M447" i="1"/>
  <c r="Y447" i="1"/>
  <c r="V447" i="1"/>
  <c r="U447" i="1"/>
  <c r="Z447" i="1"/>
  <c r="S447" i="1"/>
  <c r="M1008" i="1"/>
  <c r="Z1008" i="1"/>
  <c r="Y1008" i="1"/>
  <c r="V1008" i="1"/>
  <c r="U1008" i="1"/>
  <c r="S1008" i="1"/>
  <c r="R1008" i="1"/>
  <c r="S273" i="1"/>
  <c r="R273" i="1"/>
  <c r="M273" i="1"/>
  <c r="Z273" i="1"/>
  <c r="Y273" i="1"/>
  <c r="V273" i="1"/>
  <c r="U273" i="1"/>
  <c r="U875" i="1"/>
  <c r="S875" i="1"/>
  <c r="R875" i="1"/>
  <c r="M875" i="1"/>
  <c r="Z875" i="1"/>
  <c r="Y875" i="1"/>
  <c r="V875" i="1"/>
  <c r="U610" i="1"/>
  <c r="S610" i="1"/>
  <c r="R610" i="1"/>
  <c r="M610" i="1"/>
  <c r="Z610" i="1"/>
  <c r="Y610" i="1"/>
  <c r="V610" i="1"/>
  <c r="M213" i="1"/>
  <c r="Z213" i="1"/>
  <c r="Y213" i="1"/>
  <c r="V213" i="1"/>
  <c r="U213" i="1"/>
  <c r="S213" i="1"/>
  <c r="R213" i="1"/>
  <c r="S393" i="1"/>
  <c r="R393" i="1"/>
  <c r="M393" i="1"/>
  <c r="Z393" i="1"/>
  <c r="Y393" i="1"/>
  <c r="V393" i="1"/>
  <c r="U393" i="1"/>
  <c r="M173" i="1"/>
  <c r="Z173" i="1"/>
  <c r="Y173" i="1"/>
  <c r="V173" i="1"/>
  <c r="U173" i="1"/>
  <c r="S173" i="1"/>
  <c r="R173" i="1"/>
  <c r="R821" i="1"/>
  <c r="M821" i="1"/>
  <c r="Z821" i="1"/>
  <c r="Y821" i="1"/>
  <c r="V821" i="1"/>
  <c r="U821" i="1"/>
  <c r="S821" i="1"/>
  <c r="S1210" i="1"/>
  <c r="R1210" i="1"/>
  <c r="M1210" i="1"/>
  <c r="Z1210" i="1"/>
  <c r="Y1210" i="1"/>
  <c r="V1210" i="1"/>
  <c r="U1210" i="1"/>
  <c r="Z589" i="1"/>
  <c r="V589" i="1"/>
  <c r="U589" i="1"/>
  <c r="S589" i="1"/>
  <c r="R589" i="1"/>
  <c r="M589" i="1"/>
  <c r="Y589" i="1"/>
  <c r="Z702" i="1"/>
  <c r="Y702" i="1"/>
  <c r="V702" i="1"/>
  <c r="U702" i="1"/>
  <c r="S702" i="1"/>
  <c r="R702" i="1"/>
  <c r="M702" i="1"/>
  <c r="V286" i="1"/>
  <c r="U286" i="1"/>
  <c r="S286" i="1"/>
  <c r="R286" i="1"/>
  <c r="M286" i="1"/>
  <c r="Z286" i="1"/>
  <c r="Y286" i="1"/>
  <c r="R740" i="1"/>
  <c r="M740" i="1"/>
  <c r="Z740" i="1"/>
  <c r="Y740" i="1"/>
  <c r="V740" i="1"/>
  <c r="U740" i="1"/>
  <c r="S740" i="1"/>
  <c r="S211" i="1"/>
  <c r="R211" i="1"/>
  <c r="M211" i="1"/>
  <c r="Z211" i="1"/>
  <c r="Y211" i="1"/>
  <c r="V211" i="1"/>
  <c r="U211" i="1"/>
  <c r="M741" i="1"/>
  <c r="Z741" i="1"/>
  <c r="Y741" i="1"/>
  <c r="V741" i="1"/>
  <c r="U741" i="1"/>
  <c r="S741" i="1"/>
  <c r="R741" i="1"/>
  <c r="V924" i="1"/>
  <c r="U924" i="1"/>
  <c r="R924" i="1"/>
  <c r="Z924" i="1"/>
  <c r="Y924" i="1"/>
  <c r="S924" i="1"/>
  <c r="M924" i="1"/>
  <c r="V1632" i="1"/>
  <c r="U1632" i="1"/>
  <c r="S1632" i="1"/>
  <c r="R1632" i="1"/>
  <c r="M1632" i="1"/>
  <c r="Z1632" i="1"/>
  <c r="Y1632" i="1"/>
  <c r="R1891" i="1"/>
  <c r="M1891" i="1"/>
  <c r="Z1891" i="1"/>
  <c r="Y1891" i="1"/>
  <c r="V1891" i="1"/>
  <c r="U1891" i="1"/>
  <c r="S1891" i="1"/>
  <c r="M1280" i="1"/>
  <c r="Z1280" i="1"/>
  <c r="Y1280" i="1"/>
  <c r="V1280" i="1"/>
  <c r="U1280" i="1"/>
  <c r="S1280" i="1"/>
  <c r="R1280" i="1"/>
  <c r="V1485" i="1"/>
  <c r="U1485" i="1"/>
  <c r="S1485" i="1"/>
  <c r="R1485" i="1"/>
  <c r="M1485" i="1"/>
  <c r="Z1485" i="1"/>
  <c r="Y1485" i="1"/>
  <c r="Z2009" i="1"/>
  <c r="Y2009" i="1"/>
  <c r="V2009" i="1"/>
  <c r="U2009" i="1"/>
  <c r="S2009" i="1"/>
  <c r="R2009" i="1"/>
  <c r="M2009" i="1"/>
  <c r="V1299" i="1"/>
  <c r="U1299" i="1"/>
  <c r="S1299" i="1"/>
  <c r="R1299" i="1"/>
  <c r="M1299" i="1"/>
  <c r="Z1299" i="1"/>
  <c r="Y1299" i="1"/>
  <c r="V1637" i="1"/>
  <c r="Z1637" i="1"/>
  <c r="Y1637" i="1"/>
  <c r="U1637" i="1"/>
  <c r="S1637" i="1"/>
  <c r="R1637" i="1"/>
  <c r="M1637" i="1"/>
  <c r="R700" i="1"/>
  <c r="M700" i="1"/>
  <c r="Z700" i="1"/>
  <c r="Y700" i="1"/>
  <c r="V700" i="1"/>
  <c r="U700" i="1"/>
  <c r="S700" i="1"/>
  <c r="R1552" i="1"/>
  <c r="M1552" i="1"/>
  <c r="Z1552" i="1"/>
  <c r="Y1552" i="1"/>
  <c r="V1552" i="1"/>
  <c r="U1552" i="1"/>
  <c r="S1552" i="1"/>
  <c r="S1799" i="1"/>
  <c r="R1799" i="1"/>
  <c r="M1799" i="1"/>
  <c r="V1799" i="1"/>
  <c r="U1799" i="1"/>
  <c r="Z1799" i="1"/>
  <c r="Y1799" i="1"/>
  <c r="U1502" i="1"/>
  <c r="S1502" i="1"/>
  <c r="R1502" i="1"/>
  <c r="M1502" i="1"/>
  <c r="Z1502" i="1"/>
  <c r="Y1502" i="1"/>
  <c r="V1502" i="1"/>
  <c r="U1752" i="1"/>
  <c r="S1752" i="1"/>
  <c r="R1752" i="1"/>
  <c r="M1752" i="1"/>
  <c r="Z1752" i="1"/>
  <c r="Y1752" i="1"/>
  <c r="V1752" i="1"/>
  <c r="R2015" i="1"/>
  <c r="M2015" i="1"/>
  <c r="Z2015" i="1"/>
  <c r="Y2015" i="1"/>
  <c r="V2015" i="1"/>
  <c r="U2015" i="1"/>
  <c r="S2015" i="1"/>
  <c r="M1432" i="1"/>
  <c r="Z1432" i="1"/>
  <c r="Y1432" i="1"/>
  <c r="V1432" i="1"/>
  <c r="U1432" i="1"/>
  <c r="S1432" i="1"/>
  <c r="R1432" i="1"/>
  <c r="S1729" i="1"/>
  <c r="R1729" i="1"/>
  <c r="M1729" i="1"/>
  <c r="Z1729" i="1"/>
  <c r="Y1729" i="1"/>
  <c r="V1729" i="1"/>
  <c r="U1729" i="1"/>
  <c r="U1381" i="1"/>
  <c r="S1381" i="1"/>
  <c r="R1381" i="1"/>
  <c r="M1381" i="1"/>
  <c r="Z1381" i="1"/>
  <c r="Y1381" i="1"/>
  <c r="V1381" i="1"/>
  <c r="S1655" i="1"/>
  <c r="R1655" i="1"/>
  <c r="M1655" i="1"/>
  <c r="Z1655" i="1"/>
  <c r="Y1655" i="1"/>
  <c r="U1655" i="1"/>
  <c r="V1655" i="1"/>
  <c r="V1371" i="1"/>
  <c r="U1371" i="1"/>
  <c r="S1371" i="1"/>
  <c r="R1371" i="1"/>
  <c r="M1371" i="1"/>
  <c r="Z1371" i="1"/>
  <c r="Y1371" i="1"/>
  <c r="Y1717" i="1"/>
  <c r="R1717" i="1"/>
  <c r="M1717" i="1"/>
  <c r="Z1717" i="1"/>
  <c r="V1717" i="1"/>
  <c r="U1717" i="1"/>
  <c r="S1717" i="1"/>
  <c r="V1888" i="1"/>
  <c r="U1888" i="1"/>
  <c r="S1888" i="1"/>
  <c r="R1888" i="1"/>
  <c r="M1888" i="1"/>
  <c r="Z1888" i="1"/>
  <c r="Y1888" i="1"/>
  <c r="Y1843" i="1"/>
  <c r="V1843" i="1"/>
  <c r="U1843" i="1"/>
  <c r="S1843" i="1"/>
  <c r="R1843" i="1"/>
  <c r="M1843" i="1"/>
  <c r="Z1843" i="1"/>
  <c r="Y922" i="1"/>
  <c r="U922" i="1"/>
  <c r="R922" i="1"/>
  <c r="M922" i="1"/>
  <c r="Z922" i="1"/>
  <c r="V922" i="1"/>
  <c r="S922" i="1"/>
  <c r="V1232" i="1"/>
  <c r="U1232" i="1"/>
  <c r="S1232" i="1"/>
  <c r="R1232" i="1"/>
  <c r="M1232" i="1"/>
  <c r="Z1232" i="1"/>
  <c r="Y1232" i="1"/>
  <c r="U2013" i="1"/>
  <c r="S2013" i="1"/>
  <c r="R2013" i="1"/>
  <c r="M2013" i="1"/>
  <c r="Z2013" i="1"/>
  <c r="Y2013" i="1"/>
  <c r="V2013" i="1"/>
  <c r="U1333" i="1"/>
  <c r="S1333" i="1"/>
  <c r="R1333" i="1"/>
  <c r="M1333" i="1"/>
  <c r="Z1333" i="1"/>
  <c r="Y1333" i="1"/>
  <c r="V1333" i="1"/>
  <c r="Z1573" i="1"/>
  <c r="Y1573" i="1"/>
  <c r="V1573" i="1"/>
  <c r="U1573" i="1"/>
  <c r="S1573" i="1"/>
  <c r="R1573" i="1"/>
  <c r="M1573" i="1"/>
  <c r="S1847" i="1"/>
  <c r="R1847" i="1"/>
  <c r="M1847" i="1"/>
  <c r="Z1847" i="1"/>
  <c r="Y1847" i="1"/>
  <c r="V1847" i="1"/>
  <c r="U1847" i="1"/>
  <c r="M1681" i="1"/>
  <c r="Z1681" i="1"/>
  <c r="Y1681" i="1"/>
  <c r="V1681" i="1"/>
  <c r="U1681" i="1"/>
  <c r="S1681" i="1"/>
  <c r="R1681" i="1"/>
  <c r="Y10" i="1"/>
  <c r="V10" i="1"/>
  <c r="U10" i="1"/>
  <c r="S10" i="1"/>
  <c r="R10" i="1"/>
  <c r="M10" i="1"/>
  <c r="Z10" i="1"/>
  <c r="M56" i="1"/>
  <c r="Z56" i="1"/>
  <c r="Y56" i="1"/>
  <c r="V56" i="1"/>
  <c r="U56" i="1"/>
  <c r="S56" i="1"/>
  <c r="R56" i="1"/>
  <c r="Z150" i="1"/>
  <c r="Y150" i="1"/>
  <c r="V150" i="1"/>
  <c r="U150" i="1"/>
  <c r="S150" i="1"/>
  <c r="R150" i="1"/>
  <c r="M150" i="1"/>
  <c r="M48" i="1"/>
  <c r="Z48" i="1"/>
  <c r="Y48" i="1"/>
  <c r="V48" i="1"/>
  <c r="U48" i="1"/>
  <c r="S48" i="1"/>
  <c r="R48" i="1"/>
  <c r="M109" i="1"/>
  <c r="Z109" i="1"/>
  <c r="V109" i="1"/>
  <c r="U109" i="1"/>
  <c r="S109" i="1"/>
  <c r="R109" i="1"/>
  <c r="Y109" i="1"/>
  <c r="R55" i="1"/>
  <c r="M55" i="1"/>
  <c r="Z55" i="1"/>
  <c r="Y55" i="1"/>
  <c r="V55" i="1"/>
  <c r="U55" i="1"/>
  <c r="S55" i="1"/>
  <c r="Y1378" i="1"/>
  <c r="V1378" i="1"/>
  <c r="U1378" i="1"/>
  <c r="S1378" i="1"/>
  <c r="R1378" i="1"/>
  <c r="M1378" i="1"/>
  <c r="Z1378" i="1"/>
  <c r="M717" i="1"/>
  <c r="Z717" i="1"/>
  <c r="Y717" i="1"/>
  <c r="V717" i="1"/>
  <c r="U717" i="1"/>
  <c r="S717" i="1"/>
  <c r="R717" i="1"/>
  <c r="Z246" i="1"/>
  <c r="Y246" i="1"/>
  <c r="V246" i="1"/>
  <c r="U246" i="1"/>
  <c r="S246" i="1"/>
  <c r="R246" i="1"/>
  <c r="M246" i="1"/>
  <c r="U1081" i="1"/>
  <c r="M1081" i="1"/>
  <c r="V1081" i="1"/>
  <c r="S1081" i="1"/>
  <c r="R1081" i="1"/>
  <c r="Z1081" i="1"/>
  <c r="Y1081" i="1"/>
  <c r="V359" i="1"/>
  <c r="U359" i="1"/>
  <c r="S359" i="1"/>
  <c r="R359" i="1"/>
  <c r="M359" i="1"/>
  <c r="Z359" i="1"/>
  <c r="Y359" i="1"/>
  <c r="V1668" i="1"/>
  <c r="U1668" i="1"/>
  <c r="S1668" i="1"/>
  <c r="R1668" i="1"/>
  <c r="M1668" i="1"/>
  <c r="Y1668" i="1"/>
  <c r="Z1668" i="1"/>
  <c r="V841" i="1"/>
  <c r="U841" i="1"/>
  <c r="S841" i="1"/>
  <c r="R841" i="1"/>
  <c r="M841" i="1"/>
  <c r="Z841" i="1"/>
  <c r="Y841" i="1"/>
  <c r="V278" i="1"/>
  <c r="U278" i="1"/>
  <c r="S278" i="1"/>
  <c r="R278" i="1"/>
  <c r="Z278" i="1"/>
  <c r="Y278" i="1"/>
  <c r="M278" i="1"/>
  <c r="U1077" i="1"/>
  <c r="S1077" i="1"/>
  <c r="R1077" i="1"/>
  <c r="M1077" i="1"/>
  <c r="Z1077" i="1"/>
  <c r="Y1077" i="1"/>
  <c r="V1077" i="1"/>
  <c r="M355" i="1"/>
  <c r="Z355" i="1"/>
  <c r="Y355" i="1"/>
  <c r="V355" i="1"/>
  <c r="U355" i="1"/>
  <c r="S355" i="1"/>
  <c r="R355" i="1"/>
  <c r="M1636" i="1"/>
  <c r="Z1636" i="1"/>
  <c r="Y1636" i="1"/>
  <c r="V1636" i="1"/>
  <c r="U1636" i="1"/>
  <c r="S1636" i="1"/>
  <c r="R1636" i="1"/>
  <c r="V809" i="1"/>
  <c r="U809" i="1"/>
  <c r="S809" i="1"/>
  <c r="R809" i="1"/>
  <c r="M809" i="1"/>
  <c r="Z809" i="1"/>
  <c r="Y809" i="1"/>
  <c r="V1492" i="1"/>
  <c r="U1492" i="1"/>
  <c r="S1492" i="1"/>
  <c r="R1492" i="1"/>
  <c r="M1492" i="1"/>
  <c r="Y1492" i="1"/>
  <c r="Z1492" i="1"/>
  <c r="V665" i="1"/>
  <c r="U665" i="1"/>
  <c r="S665" i="1"/>
  <c r="R665" i="1"/>
  <c r="M665" i="1"/>
  <c r="Z665" i="1"/>
  <c r="Y665" i="1"/>
  <c r="R330" i="1"/>
  <c r="M330" i="1"/>
  <c r="Z330" i="1"/>
  <c r="Y330" i="1"/>
  <c r="V330" i="1"/>
  <c r="U330" i="1"/>
  <c r="S330" i="1"/>
  <c r="M1188" i="1"/>
  <c r="Z1188" i="1"/>
  <c r="Y1188" i="1"/>
  <c r="V1188" i="1"/>
  <c r="U1188" i="1"/>
  <c r="S1188" i="1"/>
  <c r="R1188" i="1"/>
  <c r="S259" i="1"/>
  <c r="R259" i="1"/>
  <c r="M259" i="1"/>
  <c r="Z259" i="1"/>
  <c r="Y259" i="1"/>
  <c r="V259" i="1"/>
  <c r="U259" i="1"/>
  <c r="Z1498" i="1"/>
  <c r="Y1498" i="1"/>
  <c r="V1498" i="1"/>
  <c r="U1498" i="1"/>
  <c r="S1498" i="1"/>
  <c r="M1498" i="1"/>
  <c r="R1498" i="1"/>
  <c r="R781" i="1"/>
  <c r="M781" i="1"/>
  <c r="Z781" i="1"/>
  <c r="Y781" i="1"/>
  <c r="V781" i="1"/>
  <c r="U781" i="1"/>
  <c r="S781" i="1"/>
  <c r="R575" i="1"/>
  <c r="M575" i="1"/>
  <c r="Z575" i="1"/>
  <c r="Y575" i="1"/>
  <c r="V575" i="1"/>
  <c r="U575" i="1"/>
  <c r="S575" i="1"/>
  <c r="S1098" i="1"/>
  <c r="R1098" i="1"/>
  <c r="M1098" i="1"/>
  <c r="Z1098" i="1"/>
  <c r="U1098" i="1"/>
  <c r="Y1098" i="1"/>
  <c r="V1098" i="1"/>
  <c r="S195" i="1"/>
  <c r="R195" i="1"/>
  <c r="M195" i="1"/>
  <c r="Z195" i="1"/>
  <c r="Y195" i="1"/>
  <c r="V195" i="1"/>
  <c r="U195" i="1"/>
  <c r="V939" i="1"/>
  <c r="U939" i="1"/>
  <c r="S939" i="1"/>
  <c r="R939" i="1"/>
  <c r="M939" i="1"/>
  <c r="Z939" i="1"/>
  <c r="Y939" i="1"/>
  <c r="U738" i="1"/>
  <c r="S738" i="1"/>
  <c r="R738" i="1"/>
  <c r="M738" i="1"/>
  <c r="Z738" i="1"/>
  <c r="Y738" i="1"/>
  <c r="V738" i="1"/>
  <c r="S353" i="1"/>
  <c r="R353" i="1"/>
  <c r="M353" i="1"/>
  <c r="Z353" i="1"/>
  <c r="Y353" i="1"/>
  <c r="V353" i="1"/>
  <c r="U353" i="1"/>
  <c r="Z521" i="1"/>
  <c r="Y521" i="1"/>
  <c r="V521" i="1"/>
  <c r="U521" i="1"/>
  <c r="S521" i="1"/>
  <c r="R521" i="1"/>
  <c r="M521" i="1"/>
  <c r="Z324" i="1"/>
  <c r="Y324" i="1"/>
  <c r="V324" i="1"/>
  <c r="U324" i="1"/>
  <c r="S324" i="1"/>
  <c r="R324" i="1"/>
  <c r="M324" i="1"/>
  <c r="V391" i="1"/>
  <c r="U391" i="1"/>
  <c r="S391" i="1"/>
  <c r="R391" i="1"/>
  <c r="M391" i="1"/>
  <c r="Z391" i="1"/>
  <c r="Y391" i="1"/>
  <c r="Y1282" i="1"/>
  <c r="V1282" i="1"/>
  <c r="U1282" i="1"/>
  <c r="S1282" i="1"/>
  <c r="R1282" i="1"/>
  <c r="M1282" i="1"/>
  <c r="Z1282" i="1"/>
  <c r="Y751" i="1"/>
  <c r="V751" i="1"/>
  <c r="U751" i="1"/>
  <c r="S751" i="1"/>
  <c r="R751" i="1"/>
  <c r="M751" i="1"/>
  <c r="Z751" i="1"/>
  <c r="M830" i="1"/>
  <c r="Z830" i="1"/>
  <c r="Y830" i="1"/>
  <c r="V830" i="1"/>
  <c r="U830" i="1"/>
  <c r="S830" i="1"/>
  <c r="R830" i="1"/>
  <c r="Y405" i="1"/>
  <c r="V405" i="1"/>
  <c r="U405" i="1"/>
  <c r="S405" i="1"/>
  <c r="R405" i="1"/>
  <c r="M405" i="1"/>
  <c r="Z405" i="1"/>
  <c r="S868" i="1"/>
  <c r="R868" i="1"/>
  <c r="M868" i="1"/>
  <c r="Z868" i="1"/>
  <c r="Y868" i="1"/>
  <c r="V868" i="1"/>
  <c r="U868" i="1"/>
  <c r="R180" i="1"/>
  <c r="M180" i="1"/>
  <c r="Z180" i="1"/>
  <c r="Y180" i="1"/>
  <c r="V180" i="1"/>
  <c r="U180" i="1"/>
  <c r="S180" i="1"/>
  <c r="R869" i="1"/>
  <c r="M869" i="1"/>
  <c r="Z869" i="1"/>
  <c r="Y869" i="1"/>
  <c r="V869" i="1"/>
  <c r="U869" i="1"/>
  <c r="S869" i="1"/>
  <c r="Z1173" i="1"/>
  <c r="Y1173" i="1"/>
  <c r="V1173" i="1"/>
  <c r="U1173" i="1"/>
  <c r="S1173" i="1"/>
  <c r="R1173" i="1"/>
  <c r="M1173" i="1"/>
  <c r="Z1441" i="1"/>
  <c r="Y1441" i="1"/>
  <c r="V1441" i="1"/>
  <c r="U1441" i="1"/>
  <c r="S1441" i="1"/>
  <c r="R1441" i="1"/>
  <c r="M1441" i="1"/>
  <c r="V1852" i="1"/>
  <c r="U1852" i="1"/>
  <c r="S1852" i="1"/>
  <c r="R1852" i="1"/>
  <c r="M1852" i="1"/>
  <c r="Z1852" i="1"/>
  <c r="Y1852" i="1"/>
  <c r="V1291" i="1"/>
  <c r="U1291" i="1"/>
  <c r="S1291" i="1"/>
  <c r="R1291" i="1"/>
  <c r="M1291" i="1"/>
  <c r="Z1291" i="1"/>
  <c r="Y1291" i="1"/>
  <c r="Z1613" i="1"/>
  <c r="Y1613" i="1"/>
  <c r="V1613" i="1"/>
  <c r="U1613" i="1"/>
  <c r="S1613" i="1"/>
  <c r="R1613" i="1"/>
  <c r="M1613" i="1"/>
  <c r="V1940" i="1"/>
  <c r="Z1940" i="1"/>
  <c r="M1940" i="1"/>
  <c r="Y1940" i="1"/>
  <c r="U1940" i="1"/>
  <c r="S1940" i="1"/>
  <c r="R1940" i="1"/>
  <c r="V1395" i="1"/>
  <c r="S1395" i="1"/>
  <c r="R1395" i="1"/>
  <c r="M1395" i="1"/>
  <c r="Y1395" i="1"/>
  <c r="U1395" i="1"/>
  <c r="Z1395" i="1"/>
  <c r="V1427" i="1"/>
  <c r="U1427" i="1"/>
  <c r="S1427" i="1"/>
  <c r="R1427" i="1"/>
  <c r="M1427" i="1"/>
  <c r="Z1427" i="1"/>
  <c r="Y1427" i="1"/>
  <c r="V1052" i="1"/>
  <c r="U1052" i="1"/>
  <c r="S1052" i="1"/>
  <c r="R1052" i="1"/>
  <c r="M1052" i="1"/>
  <c r="Z1052" i="1"/>
  <c r="Y1052" i="1"/>
  <c r="R1680" i="1"/>
  <c r="M1680" i="1"/>
  <c r="Z1680" i="1"/>
  <c r="Y1680" i="1"/>
  <c r="V1680" i="1"/>
  <c r="U1680" i="1"/>
  <c r="S1680" i="1"/>
  <c r="V1781" i="1"/>
  <c r="U1781" i="1"/>
  <c r="S1781" i="1"/>
  <c r="Z1781" i="1"/>
  <c r="Y1781" i="1"/>
  <c r="R1781" i="1"/>
  <c r="M1781" i="1"/>
  <c r="Y1566" i="1"/>
  <c r="V1566" i="1"/>
  <c r="S1566" i="1"/>
  <c r="R1566" i="1"/>
  <c r="M1566" i="1"/>
  <c r="Z1566" i="1"/>
  <c r="U1566" i="1"/>
  <c r="Z1465" i="1"/>
  <c r="Y1465" i="1"/>
  <c r="V1465" i="1"/>
  <c r="U1465" i="1"/>
  <c r="S1465" i="1"/>
  <c r="R1465" i="1"/>
  <c r="M1465" i="1"/>
  <c r="Y1970" i="1"/>
  <c r="V1970" i="1"/>
  <c r="U1970" i="1"/>
  <c r="S1970" i="1"/>
  <c r="R1970" i="1"/>
  <c r="M1970" i="1"/>
  <c r="Z1970" i="1"/>
  <c r="S1586" i="1"/>
  <c r="R1586" i="1"/>
  <c r="M1586" i="1"/>
  <c r="Z1586" i="1"/>
  <c r="Y1586" i="1"/>
  <c r="V1586" i="1"/>
  <c r="U1586" i="1"/>
  <c r="Y1827" i="1"/>
  <c r="V1827" i="1"/>
  <c r="U1827" i="1"/>
  <c r="S1827" i="1"/>
  <c r="R1827" i="1"/>
  <c r="M1827" i="1"/>
  <c r="Z1827" i="1"/>
  <c r="Z1221" i="1"/>
  <c r="Y1221" i="1"/>
  <c r="V1221" i="1"/>
  <c r="U1221" i="1"/>
  <c r="S1221" i="1"/>
  <c r="R1221" i="1"/>
  <c r="M1221" i="1"/>
  <c r="Y1778" i="1"/>
  <c r="R1778" i="1"/>
  <c r="M1778" i="1"/>
  <c r="Z1778" i="1"/>
  <c r="V1778" i="1"/>
  <c r="U1778" i="1"/>
  <c r="S1778" i="1"/>
  <c r="U1169" i="1"/>
  <c r="S1169" i="1"/>
  <c r="R1169" i="1"/>
  <c r="M1169" i="1"/>
  <c r="Z1169" i="1"/>
  <c r="Y1169" i="1"/>
  <c r="V1169" i="1"/>
  <c r="Y1507" i="1"/>
  <c r="V1507" i="1"/>
  <c r="U1507" i="1"/>
  <c r="S1507" i="1"/>
  <c r="R1507" i="1"/>
  <c r="Z1507" i="1"/>
  <c r="M1507" i="1"/>
  <c r="V1912" i="1"/>
  <c r="U1912" i="1"/>
  <c r="S1912" i="1"/>
  <c r="R1912" i="1"/>
  <c r="M1912" i="1"/>
  <c r="Z1912" i="1"/>
  <c r="Y1912" i="1"/>
  <c r="U1921" i="1"/>
  <c r="S1921" i="1"/>
  <c r="R1921" i="1"/>
  <c r="M1921" i="1"/>
  <c r="Z1921" i="1"/>
  <c r="Y1921" i="1"/>
  <c r="V1921" i="1"/>
  <c r="Y1150" i="1"/>
  <c r="V1150" i="1"/>
  <c r="U1150" i="1"/>
  <c r="S1150" i="1"/>
  <c r="R1150" i="1"/>
  <c r="M1150" i="1"/>
  <c r="Z1150" i="1"/>
  <c r="V680" i="1"/>
  <c r="U680" i="1"/>
  <c r="S680" i="1"/>
  <c r="R680" i="1"/>
  <c r="M680" i="1"/>
  <c r="Z680" i="1"/>
  <c r="Y680" i="1"/>
  <c r="R1800" i="1"/>
  <c r="M1800" i="1"/>
  <c r="Z1800" i="1"/>
  <c r="V1800" i="1"/>
  <c r="U1800" i="1"/>
  <c r="S1800" i="1"/>
  <c r="Y1800" i="1"/>
  <c r="S46" i="1"/>
  <c r="R46" i="1"/>
  <c r="M46" i="1"/>
  <c r="Z46" i="1"/>
  <c r="Y46" i="1"/>
  <c r="V46" i="1"/>
  <c r="U46" i="1"/>
  <c r="V112" i="1"/>
  <c r="S112" i="1"/>
  <c r="R112" i="1"/>
  <c r="M112" i="1"/>
  <c r="Z112" i="1"/>
  <c r="Y112" i="1"/>
  <c r="U112" i="1"/>
  <c r="R71" i="1"/>
  <c r="M71" i="1"/>
  <c r="Z71" i="1"/>
  <c r="Y71" i="1"/>
  <c r="V71" i="1"/>
  <c r="U71" i="1"/>
  <c r="S71" i="1"/>
  <c r="Y143" i="1"/>
  <c r="V143" i="1"/>
  <c r="U143" i="1"/>
  <c r="S143" i="1"/>
  <c r="R143" i="1"/>
  <c r="M143" i="1"/>
  <c r="Z143" i="1"/>
  <c r="V1863" i="1"/>
  <c r="U1863" i="1"/>
  <c r="R1863" i="1"/>
  <c r="M1863" i="1"/>
  <c r="Z1863" i="1"/>
  <c r="Y1863" i="1"/>
  <c r="S1863" i="1"/>
  <c r="V753" i="1"/>
  <c r="U753" i="1"/>
  <c r="S753" i="1"/>
  <c r="R753" i="1"/>
  <c r="M753" i="1"/>
  <c r="Z753" i="1"/>
  <c r="Y753" i="1"/>
  <c r="M237" i="1"/>
  <c r="Z237" i="1"/>
  <c r="Y237" i="1"/>
  <c r="V237" i="1"/>
  <c r="U237" i="1"/>
  <c r="S237" i="1"/>
  <c r="R237" i="1"/>
  <c r="M1408" i="1"/>
  <c r="Z1408" i="1"/>
  <c r="Y1408" i="1"/>
  <c r="V1408" i="1"/>
  <c r="U1408" i="1"/>
  <c r="S1408" i="1"/>
  <c r="R1408" i="1"/>
  <c r="M637" i="1"/>
  <c r="Z637" i="1"/>
  <c r="Y637" i="1"/>
  <c r="V637" i="1"/>
  <c r="U637" i="1"/>
  <c r="S637" i="1"/>
  <c r="R637" i="1"/>
  <c r="S446" i="1"/>
  <c r="R446" i="1"/>
  <c r="Z446" i="1"/>
  <c r="Y446" i="1"/>
  <c r="V446" i="1"/>
  <c r="U446" i="1"/>
  <c r="M446" i="1"/>
  <c r="V1143" i="1"/>
  <c r="U1143" i="1"/>
  <c r="S1143" i="1"/>
  <c r="R1143" i="1"/>
  <c r="M1143" i="1"/>
  <c r="Z1143" i="1"/>
  <c r="Y1143" i="1"/>
  <c r="M221" i="1"/>
  <c r="Z221" i="1"/>
  <c r="Y221" i="1"/>
  <c r="V221" i="1"/>
  <c r="U221" i="1"/>
  <c r="S221" i="1"/>
  <c r="R221" i="1"/>
  <c r="V1404" i="1"/>
  <c r="U1404" i="1"/>
  <c r="S1404" i="1"/>
  <c r="R1404" i="1"/>
  <c r="M1404" i="1"/>
  <c r="Z1404" i="1"/>
  <c r="Y1404" i="1"/>
  <c r="M576" i="1"/>
  <c r="Z576" i="1"/>
  <c r="Y576" i="1"/>
  <c r="V576" i="1"/>
  <c r="U576" i="1"/>
  <c r="S576" i="1"/>
  <c r="R576" i="1"/>
  <c r="S462" i="1"/>
  <c r="R462" i="1"/>
  <c r="M462" i="1"/>
  <c r="Z462" i="1"/>
  <c r="Y462" i="1"/>
  <c r="V462" i="1"/>
  <c r="U462" i="1"/>
  <c r="R1139" i="1"/>
  <c r="M1139" i="1"/>
  <c r="Z1139" i="1"/>
  <c r="Y1139" i="1"/>
  <c r="V1139" i="1"/>
  <c r="U1139" i="1"/>
  <c r="S1139" i="1"/>
  <c r="S550" i="1"/>
  <c r="R550" i="1"/>
  <c r="M550" i="1"/>
  <c r="Z550" i="1"/>
  <c r="Y550" i="1"/>
  <c r="V550" i="1"/>
  <c r="U550" i="1"/>
  <c r="U1121" i="1"/>
  <c r="S1121" i="1"/>
  <c r="R1121" i="1"/>
  <c r="M1121" i="1"/>
  <c r="Z1121" i="1"/>
  <c r="Y1121" i="1"/>
  <c r="V1121" i="1"/>
  <c r="S179" i="1"/>
  <c r="R179" i="1"/>
  <c r="M179" i="1"/>
  <c r="Z179" i="1"/>
  <c r="Y179" i="1"/>
  <c r="V179" i="1"/>
  <c r="U179" i="1"/>
  <c r="M1604" i="1"/>
  <c r="Z1604" i="1"/>
  <c r="Y1604" i="1"/>
  <c r="V1604" i="1"/>
  <c r="U1604" i="1"/>
  <c r="S1604" i="1"/>
  <c r="R1604" i="1"/>
  <c r="V777" i="1"/>
  <c r="U777" i="1"/>
  <c r="S777" i="1"/>
  <c r="R777" i="1"/>
  <c r="M777" i="1"/>
  <c r="Z777" i="1"/>
  <c r="Y777" i="1"/>
  <c r="V342" i="1"/>
  <c r="U342" i="1"/>
  <c r="S342" i="1"/>
  <c r="R342" i="1"/>
  <c r="M342" i="1"/>
  <c r="Z342" i="1"/>
  <c r="Y342" i="1"/>
  <c r="U1069" i="1"/>
  <c r="S1069" i="1"/>
  <c r="R1069" i="1"/>
  <c r="M1069" i="1"/>
  <c r="Z1069" i="1"/>
  <c r="Y1069" i="1"/>
  <c r="V1069" i="1"/>
  <c r="U288" i="1"/>
  <c r="S288" i="1"/>
  <c r="R288" i="1"/>
  <c r="M288" i="1"/>
  <c r="Z288" i="1"/>
  <c r="Y288" i="1"/>
  <c r="V288" i="1"/>
  <c r="M870" i="1"/>
  <c r="Z870" i="1"/>
  <c r="Y870" i="1"/>
  <c r="V870" i="1"/>
  <c r="U870" i="1"/>
  <c r="S870" i="1"/>
  <c r="R870" i="1"/>
  <c r="V664" i="1"/>
  <c r="U664" i="1"/>
  <c r="S664" i="1"/>
  <c r="R664" i="1"/>
  <c r="M664" i="1"/>
  <c r="Z664" i="1"/>
  <c r="Y664" i="1"/>
  <c r="V265" i="1"/>
  <c r="U265" i="1"/>
  <c r="S265" i="1"/>
  <c r="R265" i="1"/>
  <c r="M265" i="1"/>
  <c r="Z265" i="1"/>
  <c r="Y265" i="1"/>
  <c r="S619" i="1"/>
  <c r="R619" i="1"/>
  <c r="M619" i="1"/>
  <c r="Z619" i="1"/>
  <c r="Y619" i="1"/>
  <c r="V619" i="1"/>
  <c r="U619" i="1"/>
  <c r="V1128" i="1"/>
  <c r="U1128" i="1"/>
  <c r="S1128" i="1"/>
  <c r="R1128" i="1"/>
  <c r="M1128" i="1"/>
  <c r="Z1128" i="1"/>
  <c r="Y1128" i="1"/>
  <c r="S435" i="1"/>
  <c r="R435" i="1"/>
  <c r="Z435" i="1"/>
  <c r="Y435" i="1"/>
  <c r="V435" i="1"/>
  <c r="U435" i="1"/>
  <c r="M435" i="1"/>
  <c r="V882" i="1"/>
  <c r="U882" i="1"/>
  <c r="S882" i="1"/>
  <c r="R882" i="1"/>
  <c r="M882" i="1"/>
  <c r="Z882" i="1"/>
  <c r="Y882" i="1"/>
  <c r="Z545" i="1"/>
  <c r="Y545" i="1"/>
  <c r="V545" i="1"/>
  <c r="U545" i="1"/>
  <c r="S545" i="1"/>
  <c r="R545" i="1"/>
  <c r="M545" i="1"/>
  <c r="Y816" i="1"/>
  <c r="V816" i="1"/>
  <c r="U816" i="1"/>
  <c r="S816" i="1"/>
  <c r="R816" i="1"/>
  <c r="M816" i="1"/>
  <c r="Z816" i="1"/>
  <c r="U517" i="1"/>
  <c r="S517" i="1"/>
  <c r="R517" i="1"/>
  <c r="M517" i="1"/>
  <c r="Z517" i="1"/>
  <c r="Y517" i="1"/>
  <c r="V517" i="1"/>
  <c r="V980" i="1"/>
  <c r="U980" i="1"/>
  <c r="S980" i="1"/>
  <c r="R980" i="1"/>
  <c r="M980" i="1"/>
  <c r="Z980" i="1"/>
  <c r="Y980" i="1"/>
  <c r="Y1094" i="1"/>
  <c r="V1094" i="1"/>
  <c r="U1094" i="1"/>
  <c r="R1094" i="1"/>
  <c r="Z1094" i="1"/>
  <c r="M1094" i="1"/>
  <c r="S1094" i="1"/>
  <c r="Z895" i="1"/>
  <c r="Y895" i="1"/>
  <c r="V895" i="1"/>
  <c r="U895" i="1"/>
  <c r="S895" i="1"/>
  <c r="R895" i="1"/>
  <c r="M895" i="1"/>
  <c r="S974" i="1"/>
  <c r="R974" i="1"/>
  <c r="M974" i="1"/>
  <c r="Z974" i="1"/>
  <c r="Y974" i="1"/>
  <c r="V974" i="1"/>
  <c r="U974" i="1"/>
  <c r="Z465" i="1"/>
  <c r="Y465" i="1"/>
  <c r="V465" i="1"/>
  <c r="U465" i="1"/>
  <c r="S465" i="1"/>
  <c r="R465" i="1"/>
  <c r="M465" i="1"/>
  <c r="V736" i="1"/>
  <c r="U736" i="1"/>
  <c r="S736" i="1"/>
  <c r="R736" i="1"/>
  <c r="M736" i="1"/>
  <c r="Z736" i="1"/>
  <c r="Y736" i="1"/>
  <c r="U1253" i="1"/>
  <c r="S1253" i="1"/>
  <c r="R1253" i="1"/>
  <c r="M1253" i="1"/>
  <c r="Z1253" i="1"/>
  <c r="Y1253" i="1"/>
  <c r="V1253" i="1"/>
  <c r="Z1802" i="1"/>
  <c r="Y1802" i="1"/>
  <c r="V1802" i="1"/>
  <c r="U1802" i="1"/>
  <c r="S1802" i="1"/>
  <c r="R1802" i="1"/>
  <c r="M1802" i="1"/>
  <c r="M403" i="1"/>
  <c r="Z403" i="1"/>
  <c r="Y403" i="1"/>
  <c r="V403" i="1"/>
  <c r="U403" i="1"/>
  <c r="S403" i="1"/>
  <c r="R403" i="1"/>
  <c r="Z1650" i="1"/>
  <c r="Y1650" i="1"/>
  <c r="U1650" i="1"/>
  <c r="S1650" i="1"/>
  <c r="M1650" i="1"/>
  <c r="V1650" i="1"/>
  <c r="R1650" i="1"/>
  <c r="S1777" i="1"/>
  <c r="R1777" i="1"/>
  <c r="M1777" i="1"/>
  <c r="Z1777" i="1"/>
  <c r="Y1777" i="1"/>
  <c r="V1777" i="1"/>
  <c r="U1777" i="1"/>
  <c r="Y1126" i="1"/>
  <c r="V1126" i="1"/>
  <c r="U1126" i="1"/>
  <c r="S1126" i="1"/>
  <c r="R1126" i="1"/>
  <c r="M1126" i="1"/>
  <c r="Z1126" i="1"/>
  <c r="M1739" i="1"/>
  <c r="Z1739" i="1"/>
  <c r="Y1739" i="1"/>
  <c r="V1739" i="1"/>
  <c r="U1739" i="1"/>
  <c r="R1739" i="1"/>
  <c r="S1739" i="1"/>
  <c r="Z1953" i="1"/>
  <c r="Y1953" i="1"/>
  <c r="V1953" i="1"/>
  <c r="U1953" i="1"/>
  <c r="S1953" i="1"/>
  <c r="M1953" i="1"/>
  <c r="R1953" i="1"/>
  <c r="Y1426" i="1"/>
  <c r="V1426" i="1"/>
  <c r="U1426" i="1"/>
  <c r="S1426" i="1"/>
  <c r="R1426" i="1"/>
  <c r="M1426" i="1"/>
  <c r="Z1426" i="1"/>
  <c r="M1731" i="1"/>
  <c r="Z1731" i="1"/>
  <c r="Y1731" i="1"/>
  <c r="R1731" i="1"/>
  <c r="U1731" i="1"/>
  <c r="S1731" i="1"/>
  <c r="V1731" i="1"/>
  <c r="Y768" i="1"/>
  <c r="V768" i="1"/>
  <c r="U768" i="1"/>
  <c r="S768" i="1"/>
  <c r="R768" i="1"/>
  <c r="M768" i="1"/>
  <c r="Z768" i="1"/>
  <c r="U1293" i="1"/>
  <c r="S1293" i="1"/>
  <c r="R1293" i="1"/>
  <c r="M1293" i="1"/>
  <c r="Z1293" i="1"/>
  <c r="Y1293" i="1"/>
  <c r="V1293" i="1"/>
  <c r="V1880" i="1"/>
  <c r="U1880" i="1"/>
  <c r="S1880" i="1"/>
  <c r="R1880" i="1"/>
  <c r="M1880" i="1"/>
  <c r="Z1880" i="1"/>
  <c r="Y1880" i="1"/>
  <c r="Z1205" i="1"/>
  <c r="Y1205" i="1"/>
  <c r="V1205" i="1"/>
  <c r="U1205" i="1"/>
  <c r="S1205" i="1"/>
  <c r="R1205" i="1"/>
  <c r="M1205" i="1"/>
  <c r="Z1297" i="1"/>
  <c r="Y1297" i="1"/>
  <c r="V1297" i="1"/>
  <c r="U1297" i="1"/>
  <c r="S1297" i="1"/>
  <c r="R1297" i="1"/>
  <c r="M1297" i="1"/>
  <c r="V890" i="1"/>
  <c r="U890" i="1"/>
  <c r="S890" i="1"/>
  <c r="R890" i="1"/>
  <c r="M890" i="1"/>
  <c r="Z890" i="1"/>
  <c r="Y890" i="1"/>
  <c r="V1780" i="1"/>
  <c r="U1780" i="1"/>
  <c r="Y1780" i="1"/>
  <c r="S1780" i="1"/>
  <c r="R1780" i="1"/>
  <c r="M1780" i="1"/>
  <c r="Z1780" i="1"/>
  <c r="V1980" i="1"/>
  <c r="U1980" i="1"/>
  <c r="S1980" i="1"/>
  <c r="R1980" i="1"/>
  <c r="M1980" i="1"/>
  <c r="Z1980" i="1"/>
  <c r="Y1980" i="1"/>
  <c r="Z41" i="1"/>
  <c r="Y41" i="1"/>
  <c r="V41" i="1"/>
  <c r="U41" i="1"/>
  <c r="S41" i="1"/>
  <c r="R41" i="1"/>
  <c r="M41" i="1"/>
  <c r="U162" i="1"/>
  <c r="S162" i="1"/>
  <c r="R162" i="1"/>
  <c r="M162" i="1"/>
  <c r="Z162" i="1"/>
  <c r="Y162" i="1"/>
  <c r="V162" i="1"/>
  <c r="Y82" i="1"/>
  <c r="V82" i="1"/>
  <c r="U82" i="1"/>
  <c r="S82" i="1"/>
  <c r="R82" i="1"/>
  <c r="M82" i="1"/>
  <c r="Z82" i="1"/>
  <c r="V145" i="1"/>
  <c r="U145" i="1"/>
  <c r="S145" i="1"/>
  <c r="R145" i="1"/>
  <c r="M145" i="1"/>
  <c r="Z145" i="1"/>
  <c r="Y145" i="1"/>
  <c r="Z91" i="1"/>
  <c r="Y91" i="1"/>
  <c r="V91" i="1"/>
  <c r="U91" i="1"/>
  <c r="S91" i="1"/>
  <c r="R91" i="1"/>
  <c r="M91" i="1"/>
  <c r="Z1732" i="1"/>
  <c r="Y1732" i="1"/>
  <c r="V1732" i="1"/>
  <c r="M1732" i="1"/>
  <c r="U1732" i="1"/>
  <c r="S1732" i="1"/>
  <c r="R1732" i="1"/>
  <c r="V617" i="1"/>
  <c r="U617" i="1"/>
  <c r="S617" i="1"/>
  <c r="R617" i="1"/>
  <c r="M617" i="1"/>
  <c r="Z617" i="1"/>
  <c r="Y617" i="1"/>
  <c r="U250" i="1"/>
  <c r="S250" i="1"/>
  <c r="R250" i="1"/>
  <c r="M250" i="1"/>
  <c r="Z250" i="1"/>
  <c r="Y250" i="1"/>
  <c r="V250" i="1"/>
  <c r="V1268" i="1"/>
  <c r="U1268" i="1"/>
  <c r="S1268" i="1"/>
  <c r="R1268" i="1"/>
  <c r="M1268" i="1"/>
  <c r="Z1268" i="1"/>
  <c r="Y1268" i="1"/>
  <c r="M275" i="1"/>
  <c r="Z275" i="1"/>
  <c r="Y275" i="1"/>
  <c r="V275" i="1"/>
  <c r="S275" i="1"/>
  <c r="R275" i="1"/>
  <c r="U275" i="1"/>
  <c r="U1782" i="1"/>
  <c r="S1782" i="1"/>
  <c r="R1782" i="1"/>
  <c r="Z1782" i="1"/>
  <c r="Y1782" i="1"/>
  <c r="V1782" i="1"/>
  <c r="M1782" i="1"/>
  <c r="V1059" i="1"/>
  <c r="U1059" i="1"/>
  <c r="S1059" i="1"/>
  <c r="R1059" i="1"/>
  <c r="M1059" i="1"/>
  <c r="Z1059" i="1"/>
  <c r="Y1059" i="1"/>
  <c r="R282" i="1"/>
  <c r="M282" i="1"/>
  <c r="Z282" i="1"/>
  <c r="Y282" i="1"/>
  <c r="V282" i="1"/>
  <c r="S282" i="1"/>
  <c r="U282" i="1"/>
  <c r="V1236" i="1"/>
  <c r="U1236" i="1"/>
  <c r="S1236" i="1"/>
  <c r="Z1236" i="1"/>
  <c r="Y1236" i="1"/>
  <c r="R1236" i="1"/>
  <c r="M1236" i="1"/>
  <c r="Z267" i="1"/>
  <c r="Y267" i="1"/>
  <c r="U267" i="1"/>
  <c r="S267" i="1"/>
  <c r="R267" i="1"/>
  <c r="M267" i="1"/>
  <c r="V267" i="1"/>
  <c r="R1848" i="1"/>
  <c r="M1848" i="1"/>
  <c r="Z1848" i="1"/>
  <c r="Y1848" i="1"/>
  <c r="V1848" i="1"/>
  <c r="U1848" i="1"/>
  <c r="S1848" i="1"/>
  <c r="V1027" i="1"/>
  <c r="U1027" i="1"/>
  <c r="S1027" i="1"/>
  <c r="R1027" i="1"/>
  <c r="M1027" i="1"/>
  <c r="Z1027" i="1"/>
  <c r="Y1027" i="1"/>
  <c r="V1708" i="1"/>
  <c r="U1708" i="1"/>
  <c r="S1708" i="1"/>
  <c r="R1708" i="1"/>
  <c r="M1708" i="1"/>
  <c r="Z1708" i="1"/>
  <c r="Y1708" i="1"/>
  <c r="U949" i="1"/>
  <c r="S949" i="1"/>
  <c r="R949" i="1"/>
  <c r="M949" i="1"/>
  <c r="Z949" i="1"/>
  <c r="Y949" i="1"/>
  <c r="V949" i="1"/>
  <c r="S526" i="1"/>
  <c r="R526" i="1"/>
  <c r="M526" i="1"/>
  <c r="Z526" i="1"/>
  <c r="Y526" i="1"/>
  <c r="V526" i="1"/>
  <c r="U526" i="1"/>
  <c r="M1288" i="1"/>
  <c r="Z1288" i="1"/>
  <c r="Y1288" i="1"/>
  <c r="V1288" i="1"/>
  <c r="U1288" i="1"/>
  <c r="S1288" i="1"/>
  <c r="R1288" i="1"/>
  <c r="V452" i="1"/>
  <c r="U452" i="1"/>
  <c r="R452" i="1"/>
  <c r="M452" i="1"/>
  <c r="Z452" i="1"/>
  <c r="Y452" i="1"/>
  <c r="S452" i="1"/>
  <c r="R1472" i="1"/>
  <c r="Z1472" i="1"/>
  <c r="V1472" i="1"/>
  <c r="U1472" i="1"/>
  <c r="S1472" i="1"/>
  <c r="M1472" i="1"/>
  <c r="Y1472" i="1"/>
  <c r="Z1017" i="1"/>
  <c r="Y1017" i="1"/>
  <c r="V1017" i="1"/>
  <c r="U1017" i="1"/>
  <c r="S1017" i="1"/>
  <c r="R1017" i="1"/>
  <c r="M1017" i="1"/>
  <c r="M387" i="1"/>
  <c r="Z387" i="1"/>
  <c r="Y387" i="1"/>
  <c r="V387" i="1"/>
  <c r="U387" i="1"/>
  <c r="S387" i="1"/>
  <c r="R387" i="1"/>
  <c r="V834" i="1"/>
  <c r="U834" i="1"/>
  <c r="S834" i="1"/>
  <c r="R834" i="1"/>
  <c r="M834" i="1"/>
  <c r="Z834" i="1"/>
  <c r="Y834" i="1"/>
  <c r="Z1241" i="1"/>
  <c r="Y1241" i="1"/>
  <c r="U1241" i="1"/>
  <c r="S1241" i="1"/>
  <c r="V1241" i="1"/>
  <c r="R1241" i="1"/>
  <c r="M1241" i="1"/>
  <c r="V350" i="1"/>
  <c r="U350" i="1"/>
  <c r="S350" i="1"/>
  <c r="R350" i="1"/>
  <c r="M350" i="1"/>
  <c r="Z350" i="1"/>
  <c r="Y350" i="1"/>
  <c r="S804" i="1"/>
  <c r="R804" i="1"/>
  <c r="M804" i="1"/>
  <c r="Z804" i="1"/>
  <c r="Y804" i="1"/>
  <c r="V804" i="1"/>
  <c r="U804" i="1"/>
  <c r="M952" i="1"/>
  <c r="Z952" i="1"/>
  <c r="Y952" i="1"/>
  <c r="V952" i="1"/>
  <c r="U952" i="1"/>
  <c r="S952" i="1"/>
  <c r="R952" i="1"/>
  <c r="Y719" i="1"/>
  <c r="V719" i="1"/>
  <c r="U719" i="1"/>
  <c r="S719" i="1"/>
  <c r="R719" i="1"/>
  <c r="M719" i="1"/>
  <c r="Z719" i="1"/>
  <c r="M798" i="1"/>
  <c r="Z798" i="1"/>
  <c r="Y798" i="1"/>
  <c r="V798" i="1"/>
  <c r="U798" i="1"/>
  <c r="S798" i="1"/>
  <c r="R798" i="1"/>
  <c r="V475" i="1"/>
  <c r="U475" i="1"/>
  <c r="S475" i="1"/>
  <c r="R475" i="1"/>
  <c r="M475" i="1"/>
  <c r="Z475" i="1"/>
  <c r="Y475" i="1"/>
  <c r="R716" i="1"/>
  <c r="M716" i="1"/>
  <c r="Z716" i="1"/>
  <c r="Y716" i="1"/>
  <c r="V716" i="1"/>
  <c r="U716" i="1"/>
  <c r="S716" i="1"/>
  <c r="Z561" i="1"/>
  <c r="Y561" i="1"/>
  <c r="V561" i="1"/>
  <c r="U561" i="1"/>
  <c r="S561" i="1"/>
  <c r="R561" i="1"/>
  <c r="M561" i="1"/>
  <c r="Y832" i="1"/>
  <c r="V832" i="1"/>
  <c r="U832" i="1"/>
  <c r="S832" i="1"/>
  <c r="R832" i="1"/>
  <c r="M832" i="1"/>
  <c r="Z832" i="1"/>
  <c r="Y434" i="1"/>
  <c r="U434" i="1"/>
  <c r="S434" i="1"/>
  <c r="M434" i="1"/>
  <c r="Z434" i="1"/>
  <c r="V434" i="1"/>
  <c r="R434" i="1"/>
  <c r="R551" i="1"/>
  <c r="M551" i="1"/>
  <c r="Z551" i="1"/>
  <c r="Y551" i="1"/>
  <c r="V551" i="1"/>
  <c r="U551" i="1"/>
  <c r="S551" i="1"/>
  <c r="U714" i="1"/>
  <c r="S714" i="1"/>
  <c r="R714" i="1"/>
  <c r="M714" i="1"/>
  <c r="Z714" i="1"/>
  <c r="Y714" i="1"/>
  <c r="V714" i="1"/>
  <c r="M395" i="1"/>
  <c r="Z395" i="1"/>
  <c r="Y395" i="1"/>
  <c r="V395" i="1"/>
  <c r="U395" i="1"/>
  <c r="S395" i="1"/>
  <c r="R395" i="1"/>
  <c r="Z489" i="1"/>
  <c r="Y489" i="1"/>
  <c r="V489" i="1"/>
  <c r="U489" i="1"/>
  <c r="S489" i="1"/>
  <c r="R489" i="1"/>
  <c r="M489" i="1"/>
  <c r="R1327" i="1"/>
  <c r="M1327" i="1"/>
  <c r="Z1327" i="1"/>
  <c r="Y1327" i="1"/>
  <c r="V1327" i="1"/>
  <c r="U1327" i="1"/>
  <c r="S1327" i="1"/>
  <c r="S1823" i="1"/>
  <c r="R1823" i="1"/>
  <c r="M1823" i="1"/>
  <c r="Z1823" i="1"/>
  <c r="Y1823" i="1"/>
  <c r="V1823" i="1"/>
  <c r="U1823" i="1"/>
  <c r="U730" i="1"/>
  <c r="S730" i="1"/>
  <c r="R730" i="1"/>
  <c r="M730" i="1"/>
  <c r="Z730" i="1"/>
  <c r="Y730" i="1"/>
  <c r="V730" i="1"/>
  <c r="U1585" i="1"/>
  <c r="S1585" i="1"/>
  <c r="R1585" i="1"/>
  <c r="M1585" i="1"/>
  <c r="Z1585" i="1"/>
  <c r="Y1585" i="1"/>
  <c r="V1585" i="1"/>
  <c r="R1931" i="1"/>
  <c r="M1931" i="1"/>
  <c r="Z1931" i="1"/>
  <c r="Y1931" i="1"/>
  <c r="V1931" i="1"/>
  <c r="U1931" i="1"/>
  <c r="S1931" i="1"/>
  <c r="V1207" i="1"/>
  <c r="U1207" i="1"/>
  <c r="S1207" i="1"/>
  <c r="R1207" i="1"/>
  <c r="M1207" i="1"/>
  <c r="Z1207" i="1"/>
  <c r="Y1207" i="1"/>
  <c r="R1463" i="1"/>
  <c r="M1463" i="1"/>
  <c r="Z1463" i="1"/>
  <c r="Y1463" i="1"/>
  <c r="V1463" i="1"/>
  <c r="U1463" i="1"/>
  <c r="S1463" i="1"/>
  <c r="Z815" i="1"/>
  <c r="Y815" i="1"/>
  <c r="V815" i="1"/>
  <c r="U815" i="1"/>
  <c r="S815" i="1"/>
  <c r="R815" i="1"/>
  <c r="M815" i="1"/>
  <c r="R1247" i="1"/>
  <c r="M1247" i="1"/>
  <c r="Z1247" i="1"/>
  <c r="Y1247" i="1"/>
  <c r="V1247" i="1"/>
  <c r="U1247" i="1"/>
  <c r="S1247" i="1"/>
  <c r="V1743" i="1"/>
  <c r="U1743" i="1"/>
  <c r="S1743" i="1"/>
  <c r="R1743" i="1"/>
  <c r="M1743" i="1"/>
  <c r="Z1743" i="1"/>
  <c r="Y1743" i="1"/>
  <c r="Z1249" i="1"/>
  <c r="Y1249" i="1"/>
  <c r="V1249" i="1"/>
  <c r="U1249" i="1"/>
  <c r="S1249" i="1"/>
  <c r="R1249" i="1"/>
  <c r="M1249" i="1"/>
  <c r="M1833" i="1"/>
  <c r="Z1833" i="1"/>
  <c r="Y1833" i="1"/>
  <c r="V1833" i="1"/>
  <c r="U1833" i="1"/>
  <c r="S1833" i="1"/>
  <c r="R1833" i="1"/>
  <c r="U1854" i="1"/>
  <c r="S1854" i="1"/>
  <c r="R1854" i="1"/>
  <c r="M1854" i="1"/>
  <c r="Z1854" i="1"/>
  <c r="Y1854" i="1"/>
  <c r="V1854" i="1"/>
  <c r="Y159" i="1"/>
  <c r="V159" i="1"/>
  <c r="U159" i="1"/>
  <c r="S159" i="1"/>
  <c r="R159" i="1"/>
  <c r="M159" i="1"/>
  <c r="Z159" i="1"/>
  <c r="U106" i="1"/>
  <c r="S106" i="1"/>
  <c r="M106" i="1"/>
  <c r="Z106" i="1"/>
  <c r="Y106" i="1"/>
  <c r="V106" i="1"/>
  <c r="R106" i="1"/>
  <c r="Z49" i="1"/>
  <c r="Y49" i="1"/>
  <c r="V49" i="1"/>
  <c r="U49" i="1"/>
  <c r="S49" i="1"/>
  <c r="R49" i="1"/>
  <c r="M49" i="1"/>
  <c r="M125" i="1"/>
  <c r="Z125" i="1"/>
  <c r="Y125" i="1"/>
  <c r="V125" i="1"/>
  <c r="U125" i="1"/>
  <c r="S125" i="1"/>
  <c r="R125" i="1"/>
  <c r="V1660" i="1"/>
  <c r="U1660" i="1"/>
  <c r="S1660" i="1"/>
  <c r="R1660" i="1"/>
  <c r="M1660" i="1"/>
  <c r="Y1660" i="1"/>
  <c r="Z1660" i="1"/>
  <c r="R1031" i="1"/>
  <c r="M1031" i="1"/>
  <c r="Z1031" i="1"/>
  <c r="Y1031" i="1"/>
  <c r="V1031" i="1"/>
  <c r="U1031" i="1"/>
  <c r="S1031" i="1"/>
  <c r="R212" i="1"/>
  <c r="M212" i="1"/>
  <c r="Z212" i="1"/>
  <c r="Y212" i="1"/>
  <c r="V212" i="1"/>
  <c r="U212" i="1"/>
  <c r="S212" i="1"/>
  <c r="S1334" i="1"/>
  <c r="R1334" i="1"/>
  <c r="M1334" i="1"/>
  <c r="Z1334" i="1"/>
  <c r="Y1334" i="1"/>
  <c r="V1334" i="1"/>
  <c r="U1334" i="1"/>
  <c r="V532" i="1"/>
  <c r="U532" i="1"/>
  <c r="S532" i="1"/>
  <c r="R532" i="1"/>
  <c r="M532" i="1"/>
  <c r="Z532" i="1"/>
  <c r="Y532" i="1"/>
  <c r="U328" i="1"/>
  <c r="S328" i="1"/>
  <c r="R328" i="1"/>
  <c r="M328" i="1"/>
  <c r="Z328" i="1"/>
  <c r="Y328" i="1"/>
  <c r="V328" i="1"/>
  <c r="V1095" i="1"/>
  <c r="U1095" i="1"/>
  <c r="S1095" i="1"/>
  <c r="M1095" i="1"/>
  <c r="Y1095" i="1"/>
  <c r="Z1095" i="1"/>
  <c r="R1095" i="1"/>
  <c r="Z396" i="1"/>
  <c r="Y396" i="1"/>
  <c r="V396" i="1"/>
  <c r="U396" i="1"/>
  <c r="S396" i="1"/>
  <c r="R396" i="1"/>
  <c r="M396" i="1"/>
  <c r="M1336" i="1"/>
  <c r="Z1336" i="1"/>
  <c r="Y1336" i="1"/>
  <c r="V1336" i="1"/>
  <c r="U1336" i="1"/>
  <c r="S1336" i="1"/>
  <c r="R1336" i="1"/>
  <c r="V500" i="1"/>
  <c r="U500" i="1"/>
  <c r="S500" i="1"/>
  <c r="R500" i="1"/>
  <c r="M500" i="1"/>
  <c r="Z500" i="1"/>
  <c r="Y500" i="1"/>
  <c r="U360" i="1"/>
  <c r="S360" i="1"/>
  <c r="R360" i="1"/>
  <c r="M360" i="1"/>
  <c r="Z360" i="1"/>
  <c r="Y360" i="1"/>
  <c r="V360" i="1"/>
  <c r="R1091" i="1"/>
  <c r="M1091" i="1"/>
  <c r="Z1091" i="1"/>
  <c r="Y1091" i="1"/>
  <c r="V1091" i="1"/>
  <c r="U1091" i="1"/>
  <c r="S1091" i="1"/>
  <c r="V310" i="1"/>
  <c r="U310" i="1"/>
  <c r="S310" i="1"/>
  <c r="R310" i="1"/>
  <c r="M310" i="1"/>
  <c r="Z310" i="1"/>
  <c r="Y310" i="1"/>
  <c r="Z1073" i="1"/>
  <c r="Y1073" i="1"/>
  <c r="V1073" i="1"/>
  <c r="U1073" i="1"/>
  <c r="S1073" i="1"/>
  <c r="R1073" i="1"/>
  <c r="M1073" i="1"/>
  <c r="V351" i="1"/>
  <c r="U351" i="1"/>
  <c r="S351" i="1"/>
  <c r="R351" i="1"/>
  <c r="M351" i="1"/>
  <c r="Z351" i="1"/>
  <c r="Y351" i="1"/>
  <c r="Z1642" i="1"/>
  <c r="Y1642" i="1"/>
  <c r="V1642" i="1"/>
  <c r="U1642" i="1"/>
  <c r="S1642" i="1"/>
  <c r="R1642" i="1"/>
  <c r="M1642" i="1"/>
  <c r="U925" i="1"/>
  <c r="S925" i="1"/>
  <c r="M925" i="1"/>
  <c r="Y925" i="1"/>
  <c r="V925" i="1"/>
  <c r="Z925" i="1"/>
  <c r="R925" i="1"/>
  <c r="U1728" i="1"/>
  <c r="S1728" i="1"/>
  <c r="R1728" i="1"/>
  <c r="M1728" i="1"/>
  <c r="V1728" i="1"/>
  <c r="Z1728" i="1"/>
  <c r="Y1728" i="1"/>
  <c r="V769" i="1"/>
  <c r="U769" i="1"/>
  <c r="S769" i="1"/>
  <c r="R769" i="1"/>
  <c r="M769" i="1"/>
  <c r="Z769" i="1"/>
  <c r="Y769" i="1"/>
  <c r="U437" i="1"/>
  <c r="M437" i="1"/>
  <c r="Z437" i="1"/>
  <c r="Y437" i="1"/>
  <c r="V437" i="1"/>
  <c r="S437" i="1"/>
  <c r="R437" i="1"/>
  <c r="S900" i="1"/>
  <c r="R900" i="1"/>
  <c r="M900" i="1"/>
  <c r="Z900" i="1"/>
  <c r="Y900" i="1"/>
  <c r="V900" i="1"/>
  <c r="U900" i="1"/>
  <c r="M1048" i="1"/>
  <c r="Z1048" i="1"/>
  <c r="Y1048" i="1"/>
  <c r="V1048" i="1"/>
  <c r="U1048" i="1"/>
  <c r="S1048" i="1"/>
  <c r="R1048" i="1"/>
  <c r="R370" i="1"/>
  <c r="M370" i="1"/>
  <c r="Z370" i="1"/>
  <c r="Y370" i="1"/>
  <c r="V370" i="1"/>
  <c r="U370" i="1"/>
  <c r="S370" i="1"/>
  <c r="R487" i="1"/>
  <c r="M487" i="1"/>
  <c r="Z487" i="1"/>
  <c r="Y487" i="1"/>
  <c r="V487" i="1"/>
  <c r="U487" i="1"/>
  <c r="S487" i="1"/>
  <c r="U650" i="1"/>
  <c r="S650" i="1"/>
  <c r="R650" i="1"/>
  <c r="M650" i="1"/>
  <c r="Z650" i="1"/>
  <c r="Y650" i="1"/>
  <c r="V650" i="1"/>
  <c r="Z529" i="1"/>
  <c r="Y529" i="1"/>
  <c r="V529" i="1"/>
  <c r="U529" i="1"/>
  <c r="S529" i="1"/>
  <c r="R529" i="1"/>
  <c r="M529" i="1"/>
  <c r="Y800" i="1"/>
  <c r="V800" i="1"/>
  <c r="U800" i="1"/>
  <c r="S800" i="1"/>
  <c r="R800" i="1"/>
  <c r="M800" i="1"/>
  <c r="Z800" i="1"/>
  <c r="Y623" i="1"/>
  <c r="V623" i="1"/>
  <c r="U623" i="1"/>
  <c r="S623" i="1"/>
  <c r="R623" i="1"/>
  <c r="M623" i="1"/>
  <c r="Z623" i="1"/>
  <c r="S1130" i="1"/>
  <c r="R1130" i="1"/>
  <c r="M1130" i="1"/>
  <c r="Z1130" i="1"/>
  <c r="Y1130" i="1"/>
  <c r="V1130" i="1"/>
  <c r="U1130" i="1"/>
  <c r="U835" i="1"/>
  <c r="S835" i="1"/>
  <c r="R835" i="1"/>
  <c r="M835" i="1"/>
  <c r="Z835" i="1"/>
  <c r="Y835" i="1"/>
  <c r="V835" i="1"/>
  <c r="S1270" i="1"/>
  <c r="R1270" i="1"/>
  <c r="M1270" i="1"/>
  <c r="Z1270" i="1"/>
  <c r="Y1270" i="1"/>
  <c r="V1270" i="1"/>
  <c r="U1270" i="1"/>
  <c r="M283" i="1"/>
  <c r="Z283" i="1"/>
  <c r="Y283" i="1"/>
  <c r="V283" i="1"/>
  <c r="U283" i="1"/>
  <c r="S283" i="1"/>
  <c r="R283" i="1"/>
  <c r="Y639" i="1"/>
  <c r="V639" i="1"/>
  <c r="U639" i="1"/>
  <c r="S639" i="1"/>
  <c r="R639" i="1"/>
  <c r="M639" i="1"/>
  <c r="Z639" i="1"/>
  <c r="S876" i="1"/>
  <c r="R876" i="1"/>
  <c r="M876" i="1"/>
  <c r="Z876" i="1"/>
  <c r="Y876" i="1"/>
  <c r="V876" i="1"/>
  <c r="U876" i="1"/>
  <c r="R559" i="1"/>
  <c r="M559" i="1"/>
  <c r="Z559" i="1"/>
  <c r="Y559" i="1"/>
  <c r="V559" i="1"/>
  <c r="U559" i="1"/>
  <c r="S559" i="1"/>
  <c r="S1090" i="1"/>
  <c r="R1090" i="1"/>
  <c r="M1090" i="1"/>
  <c r="Z1090" i="1"/>
  <c r="Y1090" i="1"/>
  <c r="V1090" i="1"/>
  <c r="U1090" i="1"/>
  <c r="V1379" i="1"/>
  <c r="U1379" i="1"/>
  <c r="S1379" i="1"/>
  <c r="R1379" i="1"/>
  <c r="M1379" i="1"/>
  <c r="Z1379" i="1"/>
  <c r="Y1379" i="1"/>
  <c r="Z1748" i="1"/>
  <c r="Y1748" i="1"/>
  <c r="V1748" i="1"/>
  <c r="U1748" i="1"/>
  <c r="S1748" i="1"/>
  <c r="M1748" i="1"/>
  <c r="R1748" i="1"/>
  <c r="S1014" i="1"/>
  <c r="R1014" i="1"/>
  <c r="M1014" i="1"/>
  <c r="Z1014" i="1"/>
  <c r="Y1014" i="1"/>
  <c r="V1014" i="1"/>
  <c r="U1014" i="1"/>
  <c r="Z1417" i="1"/>
  <c r="Y1417" i="1"/>
  <c r="V1417" i="1"/>
  <c r="U1417" i="1"/>
  <c r="S1417" i="1"/>
  <c r="R1417" i="1"/>
  <c r="M1417" i="1"/>
  <c r="V1837" i="1"/>
  <c r="U1837" i="1"/>
  <c r="S1837" i="1"/>
  <c r="R1837" i="1"/>
  <c r="M1837" i="1"/>
  <c r="Z1837" i="1"/>
  <c r="Y1837" i="1"/>
  <c r="R1415" i="1"/>
  <c r="M1415" i="1"/>
  <c r="Z1415" i="1"/>
  <c r="Y1415" i="1"/>
  <c r="V1415" i="1"/>
  <c r="U1415" i="1"/>
  <c r="S1415" i="1"/>
  <c r="V1467" i="1"/>
  <c r="U1467" i="1"/>
  <c r="S1467" i="1"/>
  <c r="R1467" i="1"/>
  <c r="M1467" i="1"/>
  <c r="Z1467" i="1"/>
  <c r="Y1467" i="1"/>
  <c r="V2012" i="1"/>
  <c r="U2012" i="1"/>
  <c r="S2012" i="1"/>
  <c r="R2012" i="1"/>
  <c r="M2012" i="1"/>
  <c r="Z2012" i="1"/>
  <c r="Y2012" i="1"/>
  <c r="V1315" i="1"/>
  <c r="U1315" i="1"/>
  <c r="S1315" i="1"/>
  <c r="R1315" i="1"/>
  <c r="M1315" i="1"/>
  <c r="Z1315" i="1"/>
  <c r="Y1315" i="1"/>
  <c r="V1653" i="1"/>
  <c r="U1653" i="1"/>
  <c r="S1653" i="1"/>
  <c r="M1653" i="1"/>
  <c r="Z1653" i="1"/>
  <c r="Y1653" i="1"/>
  <c r="R1653" i="1"/>
  <c r="M1072" i="1"/>
  <c r="Z1072" i="1"/>
  <c r="Y1072" i="1"/>
  <c r="V1072" i="1"/>
  <c r="U1072" i="1"/>
  <c r="S1072" i="1"/>
  <c r="R1072" i="1"/>
  <c r="R1696" i="1"/>
  <c r="M1696" i="1"/>
  <c r="Z1696" i="1"/>
  <c r="Y1696" i="1"/>
  <c r="V1696" i="1"/>
  <c r="U1696" i="1"/>
  <c r="S1696" i="1"/>
  <c r="V1797" i="1"/>
  <c r="U1797" i="1"/>
  <c r="S1797" i="1"/>
  <c r="Z1797" i="1"/>
  <c r="Y1797" i="1"/>
  <c r="R1797" i="1"/>
  <c r="M1797" i="1"/>
  <c r="Y1574" i="1"/>
  <c r="V1574" i="1"/>
  <c r="U1574" i="1"/>
  <c r="S1574" i="1"/>
  <c r="R1574" i="1"/>
  <c r="M1574" i="1"/>
  <c r="Z1574" i="1"/>
  <c r="M1481" i="1"/>
  <c r="Z1481" i="1"/>
  <c r="Y1481" i="1"/>
  <c r="U1481" i="1"/>
  <c r="V1481" i="1"/>
  <c r="S1481" i="1"/>
  <c r="R1481" i="1"/>
  <c r="S1078" i="1"/>
  <c r="R1078" i="1"/>
  <c r="M1078" i="1"/>
  <c r="Z1078" i="1"/>
  <c r="Y1078" i="1"/>
  <c r="V1078" i="1"/>
  <c r="U1078" i="1"/>
  <c r="S1679" i="1"/>
  <c r="R1679" i="1"/>
  <c r="M1679" i="1"/>
  <c r="Z1679" i="1"/>
  <c r="Y1679" i="1"/>
  <c r="V1679" i="1"/>
  <c r="U1679" i="1"/>
  <c r="U1209" i="1"/>
  <c r="S1209" i="1"/>
  <c r="R1209" i="1"/>
  <c r="M1209" i="1"/>
  <c r="Z1209" i="1"/>
  <c r="Y1209" i="1"/>
  <c r="V1209" i="1"/>
  <c r="Y1547" i="1"/>
  <c r="V1547" i="1"/>
  <c r="U1547" i="1"/>
  <c r="S1547" i="1"/>
  <c r="R1547" i="1"/>
  <c r="M1547" i="1"/>
  <c r="Z1547" i="1"/>
  <c r="V1936" i="1"/>
  <c r="U1936" i="1"/>
  <c r="S1936" i="1"/>
  <c r="R1936" i="1"/>
  <c r="M1936" i="1"/>
  <c r="Z1936" i="1"/>
  <c r="Y1936" i="1"/>
  <c r="Y1910" i="1"/>
  <c r="V1910" i="1"/>
  <c r="U1910" i="1"/>
  <c r="S1910" i="1"/>
  <c r="R1910" i="1"/>
  <c r="M1910" i="1"/>
  <c r="Z1910" i="1"/>
  <c r="Y1918" i="1"/>
  <c r="V1918" i="1"/>
  <c r="U1918" i="1"/>
  <c r="S1918" i="1"/>
  <c r="R1918" i="1"/>
  <c r="M1918" i="1"/>
  <c r="Z1918" i="1"/>
  <c r="S70" i="1"/>
  <c r="R70" i="1"/>
  <c r="M70" i="1"/>
  <c r="Z70" i="1"/>
  <c r="Y70" i="1"/>
  <c r="V70" i="1"/>
  <c r="U70" i="1"/>
  <c r="V508" i="1"/>
  <c r="U508" i="1"/>
  <c r="S508" i="1"/>
  <c r="R508" i="1"/>
  <c r="M508" i="1"/>
  <c r="Z508" i="1"/>
  <c r="Y508" i="1"/>
  <c r="M1344" i="1"/>
  <c r="Z1344" i="1"/>
  <c r="Y1344" i="1"/>
  <c r="V1344" i="1"/>
  <c r="U1344" i="1"/>
  <c r="S1344" i="1"/>
  <c r="R1344" i="1"/>
  <c r="U1037" i="1"/>
  <c r="S1037" i="1"/>
  <c r="R1037" i="1"/>
  <c r="M1037" i="1"/>
  <c r="Z1037" i="1"/>
  <c r="Y1037" i="1"/>
  <c r="V1037" i="1"/>
  <c r="Y1222" i="1"/>
  <c r="V1222" i="1"/>
  <c r="U1222" i="1"/>
  <c r="S1222" i="1"/>
  <c r="R1222" i="1"/>
  <c r="M1222" i="1"/>
  <c r="Z1222" i="1"/>
  <c r="V241" i="1"/>
  <c r="U241" i="1"/>
  <c r="S241" i="1"/>
  <c r="R241" i="1"/>
  <c r="M241" i="1"/>
  <c r="Z241" i="1"/>
  <c r="Y241" i="1"/>
  <c r="U461" i="1"/>
  <c r="S461" i="1"/>
  <c r="R461" i="1"/>
  <c r="M461" i="1"/>
  <c r="Z461" i="1"/>
  <c r="Y461" i="1"/>
  <c r="V461" i="1"/>
  <c r="M862" i="1"/>
  <c r="Z862" i="1"/>
  <c r="Y862" i="1"/>
  <c r="V862" i="1"/>
  <c r="U862" i="1"/>
  <c r="S862" i="1"/>
  <c r="R862" i="1"/>
  <c r="U1989" i="1"/>
  <c r="S1989" i="1"/>
  <c r="R1989" i="1"/>
  <c r="M1989" i="1"/>
  <c r="Z1989" i="1"/>
  <c r="Y1989" i="1"/>
  <c r="V1989" i="1"/>
  <c r="M2008" i="1"/>
  <c r="Z2008" i="1"/>
  <c r="Y2008" i="1"/>
  <c r="V2008" i="1"/>
  <c r="U2008" i="1"/>
  <c r="S2008" i="1"/>
  <c r="R2008" i="1"/>
  <c r="S147" i="1"/>
  <c r="R147" i="1"/>
  <c r="M147" i="1"/>
  <c r="Z147" i="1"/>
  <c r="Y147" i="1"/>
  <c r="V147" i="1"/>
  <c r="U147" i="1"/>
  <c r="Y1306" i="1"/>
  <c r="V1306" i="1"/>
  <c r="U1306" i="1"/>
  <c r="S1306" i="1"/>
  <c r="R1306" i="1"/>
  <c r="M1306" i="1"/>
  <c r="Z1306" i="1"/>
  <c r="V865" i="1"/>
  <c r="U865" i="1"/>
  <c r="S865" i="1"/>
  <c r="R865" i="1"/>
  <c r="M865" i="1"/>
  <c r="Z865" i="1"/>
  <c r="Y865" i="1"/>
  <c r="U989" i="1"/>
  <c r="S989" i="1"/>
  <c r="R989" i="1"/>
  <c r="M989" i="1"/>
  <c r="Z989" i="1"/>
  <c r="Y989" i="1"/>
  <c r="V989" i="1"/>
  <c r="U957" i="1"/>
  <c r="S957" i="1"/>
  <c r="R957" i="1"/>
  <c r="M957" i="1"/>
  <c r="Z957" i="1"/>
  <c r="Y957" i="1"/>
  <c r="V957" i="1"/>
  <c r="Z678" i="1"/>
  <c r="Y678" i="1"/>
  <c r="V678" i="1"/>
  <c r="U678" i="1"/>
  <c r="S678" i="1"/>
  <c r="R678" i="1"/>
  <c r="M678" i="1"/>
  <c r="Y522" i="1"/>
  <c r="V522" i="1"/>
  <c r="U522" i="1"/>
  <c r="S522" i="1"/>
  <c r="R522" i="1"/>
  <c r="M522" i="1"/>
  <c r="Z522" i="1"/>
  <c r="U1478" i="1"/>
  <c r="S1478" i="1"/>
  <c r="R1478" i="1"/>
  <c r="Z1478" i="1"/>
  <c r="Y1478" i="1"/>
  <c r="V1478" i="1"/>
  <c r="M1478" i="1"/>
  <c r="Z1538" i="1"/>
  <c r="Y1538" i="1"/>
  <c r="V1538" i="1"/>
  <c r="U1538" i="1"/>
  <c r="S1538" i="1"/>
  <c r="R1538" i="1"/>
  <c r="M1538" i="1"/>
  <c r="Z118" i="1"/>
  <c r="Y118" i="1"/>
  <c r="V118" i="1"/>
  <c r="U118" i="1"/>
  <c r="S118" i="1"/>
  <c r="R118" i="1"/>
  <c r="M118" i="1"/>
  <c r="V169" i="1"/>
  <c r="U169" i="1"/>
  <c r="S169" i="1"/>
  <c r="R169" i="1"/>
  <c r="M169" i="1"/>
  <c r="Z169" i="1"/>
  <c r="Y169" i="1"/>
  <c r="V1067" i="1"/>
  <c r="U1067" i="1"/>
  <c r="S1067" i="1"/>
  <c r="R1067" i="1"/>
  <c r="M1067" i="1"/>
  <c r="Z1067" i="1"/>
  <c r="Y1067" i="1"/>
  <c r="S345" i="1"/>
  <c r="R345" i="1"/>
  <c r="M345" i="1"/>
  <c r="Z345" i="1"/>
  <c r="Y345" i="1"/>
  <c r="V345" i="1"/>
  <c r="U345" i="1"/>
  <c r="V1592" i="1"/>
  <c r="U1592" i="1"/>
  <c r="S1592" i="1"/>
  <c r="R1592" i="1"/>
  <c r="M1592" i="1"/>
  <c r="Z1592" i="1"/>
  <c r="Y1592" i="1"/>
  <c r="U1005" i="1"/>
  <c r="S1005" i="1"/>
  <c r="R1005" i="1"/>
  <c r="M1005" i="1"/>
  <c r="Z1005" i="1"/>
  <c r="Y1005" i="1"/>
  <c r="V1005" i="1"/>
  <c r="Z316" i="1"/>
  <c r="Y316" i="1"/>
  <c r="V316" i="1"/>
  <c r="U316" i="1"/>
  <c r="S316" i="1"/>
  <c r="R316" i="1"/>
  <c r="M316" i="1"/>
  <c r="Y1346" i="1"/>
  <c r="V1346" i="1"/>
  <c r="U1346" i="1"/>
  <c r="S1346" i="1"/>
  <c r="R1346" i="1"/>
  <c r="M1346" i="1"/>
  <c r="Z1346" i="1"/>
  <c r="Y301" i="1"/>
  <c r="V301" i="1"/>
  <c r="U301" i="1"/>
  <c r="S301" i="1"/>
  <c r="R301" i="1"/>
  <c r="M301" i="1"/>
  <c r="Z301" i="1"/>
  <c r="R1560" i="1"/>
  <c r="M1560" i="1"/>
  <c r="Z1560" i="1"/>
  <c r="Y1560" i="1"/>
  <c r="V1560" i="1"/>
  <c r="U1560" i="1"/>
  <c r="S1560" i="1"/>
  <c r="U973" i="1"/>
  <c r="S973" i="1"/>
  <c r="R973" i="1"/>
  <c r="M973" i="1"/>
  <c r="Z973" i="1"/>
  <c r="Y973" i="1"/>
  <c r="V973" i="1"/>
  <c r="Z348" i="1"/>
  <c r="Y348" i="1"/>
  <c r="V348" i="1"/>
  <c r="U348" i="1"/>
  <c r="S348" i="1"/>
  <c r="R348" i="1"/>
  <c r="M348" i="1"/>
  <c r="V1348" i="1"/>
  <c r="U1348" i="1"/>
  <c r="S1348" i="1"/>
  <c r="R1348" i="1"/>
  <c r="M1348" i="1"/>
  <c r="Z1348" i="1"/>
  <c r="Y1348" i="1"/>
  <c r="R314" i="1"/>
  <c r="M314" i="1"/>
  <c r="Z314" i="1"/>
  <c r="Y314" i="1"/>
  <c r="V314" i="1"/>
  <c r="U314" i="1"/>
  <c r="S314" i="1"/>
  <c r="M1204" i="1"/>
  <c r="Z1204" i="1"/>
  <c r="Y1204" i="1"/>
  <c r="V1204" i="1"/>
  <c r="U1204" i="1"/>
  <c r="S1204" i="1"/>
  <c r="R1204" i="1"/>
  <c r="M261" i="1"/>
  <c r="Z261" i="1"/>
  <c r="Y261" i="1"/>
  <c r="V261" i="1"/>
  <c r="U261" i="1"/>
  <c r="S261" i="1"/>
  <c r="R261" i="1"/>
  <c r="V1436" i="1"/>
  <c r="U1436" i="1"/>
  <c r="S1436" i="1"/>
  <c r="R1436" i="1"/>
  <c r="M1436" i="1"/>
  <c r="Z1436" i="1"/>
  <c r="Y1436" i="1"/>
  <c r="Z775" i="1"/>
  <c r="Y775" i="1"/>
  <c r="V775" i="1"/>
  <c r="U775" i="1"/>
  <c r="S775" i="1"/>
  <c r="R775" i="1"/>
  <c r="M775" i="1"/>
  <c r="S582" i="1"/>
  <c r="R582" i="1"/>
  <c r="M582" i="1"/>
  <c r="Z582" i="1"/>
  <c r="Y582" i="1"/>
  <c r="V582" i="1"/>
  <c r="U582" i="1"/>
  <c r="Z1117" i="1"/>
  <c r="Y1117" i="1"/>
  <c r="V1117" i="1"/>
  <c r="U1117" i="1"/>
  <c r="S1117" i="1"/>
  <c r="R1117" i="1"/>
  <c r="M1117" i="1"/>
  <c r="Y450" i="1"/>
  <c r="U450" i="1"/>
  <c r="S450" i="1"/>
  <c r="R450" i="1"/>
  <c r="M450" i="1"/>
  <c r="Z450" i="1"/>
  <c r="V450" i="1"/>
  <c r="R583" i="1"/>
  <c r="M583" i="1"/>
  <c r="Z583" i="1"/>
  <c r="Y583" i="1"/>
  <c r="V583" i="1"/>
  <c r="U583" i="1"/>
  <c r="S583" i="1"/>
  <c r="U746" i="1"/>
  <c r="S746" i="1"/>
  <c r="R746" i="1"/>
  <c r="M746" i="1"/>
  <c r="Z746" i="1"/>
  <c r="Y746" i="1"/>
  <c r="V746" i="1"/>
  <c r="M363" i="1"/>
  <c r="Z363" i="1"/>
  <c r="Y363" i="1"/>
  <c r="V363" i="1"/>
  <c r="U363" i="1"/>
  <c r="S363" i="1"/>
  <c r="R363" i="1"/>
  <c r="V571" i="1"/>
  <c r="U571" i="1"/>
  <c r="S571" i="1"/>
  <c r="R571" i="1"/>
  <c r="M571" i="1"/>
  <c r="Z571" i="1"/>
  <c r="Y571" i="1"/>
  <c r="S812" i="1"/>
  <c r="R812" i="1"/>
  <c r="M812" i="1"/>
  <c r="Z812" i="1"/>
  <c r="Y812" i="1"/>
  <c r="V812" i="1"/>
  <c r="U812" i="1"/>
  <c r="U819" i="1"/>
  <c r="S819" i="1"/>
  <c r="R819" i="1"/>
  <c r="M819" i="1"/>
  <c r="Z819" i="1"/>
  <c r="Y819" i="1"/>
  <c r="V819" i="1"/>
  <c r="S1238" i="1"/>
  <c r="R1238" i="1"/>
  <c r="M1238" i="1"/>
  <c r="Y1238" i="1"/>
  <c r="Z1238" i="1"/>
  <c r="V1238" i="1"/>
  <c r="U1238" i="1"/>
  <c r="V451" i="1"/>
  <c r="S451" i="1"/>
  <c r="R451" i="1"/>
  <c r="M451" i="1"/>
  <c r="Z451" i="1"/>
  <c r="Y451" i="1"/>
  <c r="U451" i="1"/>
  <c r="V898" i="1"/>
  <c r="U898" i="1"/>
  <c r="S898" i="1"/>
  <c r="R898" i="1"/>
  <c r="M898" i="1"/>
  <c r="Z898" i="1"/>
  <c r="Y898" i="1"/>
  <c r="U368" i="1"/>
  <c r="S368" i="1"/>
  <c r="R368" i="1"/>
  <c r="M368" i="1"/>
  <c r="Z368" i="1"/>
  <c r="Y368" i="1"/>
  <c r="V368" i="1"/>
  <c r="S950" i="1"/>
  <c r="R950" i="1"/>
  <c r="M950" i="1"/>
  <c r="Z950" i="1"/>
  <c r="Y950" i="1"/>
  <c r="V950" i="1"/>
  <c r="U950" i="1"/>
  <c r="V744" i="1"/>
  <c r="U744" i="1"/>
  <c r="S744" i="1"/>
  <c r="R744" i="1"/>
  <c r="M744" i="1"/>
  <c r="Z744" i="1"/>
  <c r="Y744" i="1"/>
  <c r="U477" i="1"/>
  <c r="S477" i="1"/>
  <c r="R477" i="1"/>
  <c r="M477" i="1"/>
  <c r="Z477" i="1"/>
  <c r="Y477" i="1"/>
  <c r="V477" i="1"/>
  <c r="V1244" i="1"/>
  <c r="U1244" i="1"/>
  <c r="S1244" i="1"/>
  <c r="M1244" i="1"/>
  <c r="Z1244" i="1"/>
  <c r="Y1244" i="1"/>
  <c r="R1244" i="1"/>
  <c r="V979" i="1"/>
  <c r="U979" i="1"/>
  <c r="S979" i="1"/>
  <c r="R979" i="1"/>
  <c r="M979" i="1"/>
  <c r="Z979" i="1"/>
  <c r="Y979" i="1"/>
  <c r="V818" i="1"/>
  <c r="U818" i="1"/>
  <c r="S818" i="1"/>
  <c r="R818" i="1"/>
  <c r="M818" i="1"/>
  <c r="Z818" i="1"/>
  <c r="Y818" i="1"/>
  <c r="V1175" i="1"/>
  <c r="U1175" i="1"/>
  <c r="S1175" i="1"/>
  <c r="R1175" i="1"/>
  <c r="M1175" i="1"/>
  <c r="Z1175" i="1"/>
  <c r="Y1175" i="1"/>
  <c r="R1431" i="1"/>
  <c r="M1431" i="1"/>
  <c r="Z1431" i="1"/>
  <c r="Y1431" i="1"/>
  <c r="V1431" i="1"/>
  <c r="U1431" i="1"/>
  <c r="S1431" i="1"/>
  <c r="U1997" i="1"/>
  <c r="S1997" i="1"/>
  <c r="R1997" i="1"/>
  <c r="M1997" i="1"/>
  <c r="Z1997" i="1"/>
  <c r="Y1997" i="1"/>
  <c r="V1997" i="1"/>
  <c r="U1201" i="1"/>
  <c r="S1201" i="1"/>
  <c r="R1201" i="1"/>
  <c r="M1201" i="1"/>
  <c r="Z1201" i="1"/>
  <c r="Y1201" i="1"/>
  <c r="V1201" i="1"/>
  <c r="Y1539" i="1"/>
  <c r="V1539" i="1"/>
  <c r="U1539" i="1"/>
  <c r="S1539" i="1"/>
  <c r="R1539" i="1"/>
  <c r="M1539" i="1"/>
  <c r="Z1539" i="1"/>
  <c r="Y1050" i="1"/>
  <c r="V1050" i="1"/>
  <c r="U1050" i="1"/>
  <c r="S1050" i="1"/>
  <c r="R1050" i="1"/>
  <c r="M1050" i="1"/>
  <c r="Z1050" i="1"/>
  <c r="Y1741" i="1"/>
  <c r="V1741" i="1"/>
  <c r="U1741" i="1"/>
  <c r="S1741" i="1"/>
  <c r="R1741" i="1"/>
  <c r="Z1741" i="1"/>
  <c r="M1741" i="1"/>
  <c r="V2003" i="1"/>
  <c r="U2003" i="1"/>
  <c r="S2003" i="1"/>
  <c r="R2003" i="1"/>
  <c r="M2003" i="1"/>
  <c r="Z2003" i="1"/>
  <c r="Y2003" i="1"/>
  <c r="U1686" i="1"/>
  <c r="S1686" i="1"/>
  <c r="R1686" i="1"/>
  <c r="M1686" i="1"/>
  <c r="Z1686" i="1"/>
  <c r="Y1686" i="1"/>
  <c r="V1686" i="1"/>
  <c r="M1705" i="1"/>
  <c r="Z1705" i="1"/>
  <c r="Y1705" i="1"/>
  <c r="V1705" i="1"/>
  <c r="U1705" i="1"/>
  <c r="S1705" i="1"/>
  <c r="R1705" i="1"/>
  <c r="R943" i="1"/>
  <c r="M943" i="1"/>
  <c r="Z943" i="1"/>
  <c r="Y943" i="1"/>
  <c r="V943" i="1"/>
  <c r="U943" i="1"/>
  <c r="S943" i="1"/>
  <c r="R1263" i="1"/>
  <c r="M1263" i="1"/>
  <c r="Z1263" i="1"/>
  <c r="Y1263" i="1"/>
  <c r="V1263" i="1"/>
  <c r="U1263" i="1"/>
  <c r="S1263" i="1"/>
  <c r="V1759" i="1"/>
  <c r="U1759" i="1"/>
  <c r="S1759" i="1"/>
  <c r="R1759" i="1"/>
  <c r="M1759" i="1"/>
  <c r="Z1759" i="1"/>
  <c r="Y1759" i="1"/>
  <c r="V1184" i="1"/>
  <c r="U1184" i="1"/>
  <c r="S1184" i="1"/>
  <c r="R1184" i="1"/>
  <c r="M1184" i="1"/>
  <c r="Z1184" i="1"/>
  <c r="Y1184" i="1"/>
  <c r="U1421" i="1"/>
  <c r="S1421" i="1"/>
  <c r="R1421" i="1"/>
  <c r="M1421" i="1"/>
  <c r="Z1421" i="1"/>
  <c r="Y1421" i="1"/>
  <c r="V1421" i="1"/>
  <c r="S828" i="1"/>
  <c r="R828" i="1"/>
  <c r="M828" i="1"/>
  <c r="Z828" i="1"/>
  <c r="Y828" i="1"/>
  <c r="V828" i="1"/>
  <c r="U828" i="1"/>
  <c r="V1600" i="1"/>
  <c r="U1600" i="1"/>
  <c r="S1600" i="1"/>
  <c r="R1600" i="1"/>
  <c r="M1600" i="1"/>
  <c r="Z1600" i="1"/>
  <c r="Y1600" i="1"/>
  <c r="V712" i="1"/>
  <c r="U712" i="1"/>
  <c r="S712" i="1"/>
  <c r="R712" i="1"/>
  <c r="M712" i="1"/>
  <c r="Z712" i="1"/>
  <c r="Y712" i="1"/>
  <c r="R1439" i="1"/>
  <c r="M1439" i="1"/>
  <c r="Z1439" i="1"/>
  <c r="Y1439" i="1"/>
  <c r="V1439" i="1"/>
  <c r="U1439" i="1"/>
  <c r="S1439" i="1"/>
  <c r="S1974" i="1"/>
  <c r="R1974" i="1"/>
  <c r="M1974" i="1"/>
  <c r="Z1974" i="1"/>
  <c r="Y1974" i="1"/>
  <c r="V1974" i="1"/>
  <c r="U1974" i="1"/>
  <c r="V1813" i="1"/>
  <c r="U1813" i="1"/>
  <c r="S1813" i="1"/>
  <c r="R1813" i="1"/>
  <c r="M1813" i="1"/>
  <c r="Z1813" i="1"/>
  <c r="Y1813" i="1"/>
  <c r="M1992" i="1"/>
  <c r="Z1992" i="1"/>
  <c r="Y1992" i="1"/>
  <c r="V1992" i="1"/>
  <c r="U1992" i="1"/>
  <c r="S1992" i="1"/>
  <c r="R1992" i="1"/>
  <c r="V1829" i="1"/>
  <c r="U1829" i="1"/>
  <c r="S1829" i="1"/>
  <c r="R1829" i="1"/>
  <c r="M1829" i="1"/>
  <c r="Z1829" i="1"/>
  <c r="Y1829" i="1"/>
  <c r="R15" i="1"/>
  <c r="M15" i="1"/>
  <c r="Z15" i="1"/>
  <c r="Y15" i="1"/>
  <c r="V15" i="1"/>
  <c r="U15" i="1"/>
  <c r="S15" i="1"/>
  <c r="U5" i="1"/>
  <c r="S5" i="1"/>
  <c r="R5" i="1"/>
  <c r="M5" i="1"/>
  <c r="Z5" i="1"/>
  <c r="Y5" i="1"/>
  <c r="V5" i="1"/>
  <c r="U1349" i="1"/>
  <c r="S1349" i="1"/>
  <c r="R1349" i="1"/>
  <c r="M1349" i="1"/>
  <c r="Z1349" i="1"/>
  <c r="Y1349" i="1"/>
  <c r="V1349" i="1"/>
  <c r="U1453" i="1"/>
  <c r="S1453" i="1"/>
  <c r="R1453" i="1"/>
  <c r="M1453" i="1"/>
  <c r="Z1453" i="1"/>
  <c r="Y1453" i="1"/>
  <c r="V1453" i="1"/>
  <c r="Y1862" i="1"/>
  <c r="V1862" i="1"/>
  <c r="S1862" i="1"/>
  <c r="R1862" i="1"/>
  <c r="M1862" i="1"/>
  <c r="Z1862" i="1"/>
  <c r="U1862" i="1"/>
  <c r="Y1994" i="1"/>
  <c r="V1994" i="1"/>
  <c r="U1994" i="1"/>
  <c r="S1994" i="1"/>
  <c r="R1994" i="1"/>
  <c r="M1994" i="1"/>
  <c r="Z1994" i="1"/>
  <c r="U1461" i="1"/>
  <c r="S1461" i="1"/>
  <c r="R1461" i="1"/>
  <c r="M1461" i="1"/>
  <c r="Z1461" i="1"/>
  <c r="Y1461" i="1"/>
  <c r="V1461" i="1"/>
  <c r="V2020" i="1"/>
  <c r="U2020" i="1"/>
  <c r="S2020" i="1"/>
  <c r="R2020" i="1"/>
  <c r="M2020" i="1"/>
  <c r="Z2020" i="1"/>
  <c r="Y2020" i="1"/>
  <c r="S30" i="1"/>
  <c r="R30" i="1"/>
  <c r="M30" i="1"/>
  <c r="Z30" i="1"/>
  <c r="Y30" i="1"/>
  <c r="V30" i="1"/>
  <c r="U30" i="1"/>
  <c r="R108" i="1"/>
  <c r="M108" i="1"/>
  <c r="Y108" i="1"/>
  <c r="V108" i="1"/>
  <c r="U108" i="1"/>
  <c r="S108" i="1"/>
  <c r="Z108" i="1"/>
  <c r="V59" i="1"/>
  <c r="U59" i="1"/>
  <c r="S59" i="1"/>
  <c r="R59" i="1"/>
  <c r="M59" i="1"/>
  <c r="Z59" i="1"/>
  <c r="Y59" i="1"/>
  <c r="S131" i="1"/>
  <c r="R131" i="1"/>
  <c r="M131" i="1"/>
  <c r="Z131" i="1"/>
  <c r="Y131" i="1"/>
  <c r="V131" i="1"/>
  <c r="U131" i="1"/>
  <c r="Z1869" i="1"/>
  <c r="Y1869" i="1"/>
  <c r="U1869" i="1"/>
  <c r="S1869" i="1"/>
  <c r="R1869" i="1"/>
  <c r="V1869" i="1"/>
  <c r="M1869" i="1"/>
  <c r="U1029" i="1"/>
  <c r="S1029" i="1"/>
  <c r="R1029" i="1"/>
  <c r="M1029" i="1"/>
  <c r="Z1029" i="1"/>
  <c r="Y1029" i="1"/>
  <c r="V1029" i="1"/>
  <c r="Y663" i="1"/>
  <c r="V663" i="1"/>
  <c r="U663" i="1"/>
  <c r="S663" i="1"/>
  <c r="R663" i="1"/>
  <c r="M663" i="1"/>
  <c r="Z663" i="1"/>
  <c r="M1376" i="1"/>
  <c r="Z1376" i="1"/>
  <c r="Y1376" i="1"/>
  <c r="V1376" i="1"/>
  <c r="U1376" i="1"/>
  <c r="S1376" i="1"/>
  <c r="R1376" i="1"/>
  <c r="Y647" i="1"/>
  <c r="V647" i="1"/>
  <c r="U647" i="1"/>
  <c r="S647" i="1"/>
  <c r="R647" i="1"/>
  <c r="M647" i="1"/>
  <c r="Z647" i="1"/>
  <c r="V200" i="1"/>
  <c r="U200" i="1"/>
  <c r="S200" i="1"/>
  <c r="R200" i="1"/>
  <c r="M200" i="1"/>
  <c r="Z200" i="1"/>
  <c r="Y200" i="1"/>
  <c r="V1111" i="1"/>
  <c r="U1111" i="1"/>
  <c r="S1111" i="1"/>
  <c r="R1111" i="1"/>
  <c r="M1111" i="1"/>
  <c r="Z1111" i="1"/>
  <c r="Y1111" i="1"/>
  <c r="V524" i="1"/>
  <c r="U524" i="1"/>
  <c r="S524" i="1"/>
  <c r="R524" i="1"/>
  <c r="M524" i="1"/>
  <c r="Z524" i="1"/>
  <c r="Y524" i="1"/>
  <c r="V1372" i="1"/>
  <c r="U1372" i="1"/>
  <c r="S1372" i="1"/>
  <c r="R1372" i="1"/>
  <c r="M1372" i="1"/>
  <c r="Z1372" i="1"/>
  <c r="Y1372" i="1"/>
  <c r="M701" i="1"/>
  <c r="Z701" i="1"/>
  <c r="Y701" i="1"/>
  <c r="V701" i="1"/>
  <c r="U701" i="1"/>
  <c r="S701" i="1"/>
  <c r="R701" i="1"/>
  <c r="V232" i="1"/>
  <c r="U232" i="1"/>
  <c r="S232" i="1"/>
  <c r="R232" i="1"/>
  <c r="M232" i="1"/>
  <c r="Z232" i="1"/>
  <c r="Y232" i="1"/>
  <c r="R1107" i="1"/>
  <c r="M1107" i="1"/>
  <c r="Z1107" i="1"/>
  <c r="Y1107" i="1"/>
  <c r="V1107" i="1"/>
  <c r="U1107" i="1"/>
  <c r="S1107" i="1"/>
  <c r="Z182" i="1"/>
  <c r="Y182" i="1"/>
  <c r="V182" i="1"/>
  <c r="U182" i="1"/>
  <c r="S182" i="1"/>
  <c r="R182" i="1"/>
  <c r="M182" i="1"/>
  <c r="U1089" i="1"/>
  <c r="S1089" i="1"/>
  <c r="R1089" i="1"/>
  <c r="M1089" i="1"/>
  <c r="V1089" i="1"/>
  <c r="Z1089" i="1"/>
  <c r="Y1089" i="1"/>
  <c r="S369" i="1"/>
  <c r="R369" i="1"/>
  <c r="M369" i="1"/>
  <c r="Z369" i="1"/>
  <c r="Y369" i="1"/>
  <c r="V369" i="1"/>
  <c r="U369" i="1"/>
  <c r="R1640" i="1"/>
  <c r="M1640" i="1"/>
  <c r="Z1640" i="1"/>
  <c r="S1640" i="1"/>
  <c r="Y1640" i="1"/>
  <c r="V1640" i="1"/>
  <c r="U1640" i="1"/>
  <c r="U1053" i="1"/>
  <c r="S1053" i="1"/>
  <c r="R1053" i="1"/>
  <c r="M1053" i="1"/>
  <c r="Z1053" i="1"/>
  <c r="Y1053" i="1"/>
  <c r="V1053" i="1"/>
  <c r="Z1861" i="1"/>
  <c r="S1861" i="1"/>
  <c r="R1861" i="1"/>
  <c r="Y1861" i="1"/>
  <c r="V1861" i="1"/>
  <c r="U1861" i="1"/>
  <c r="M1861" i="1"/>
  <c r="V897" i="1"/>
  <c r="U897" i="1"/>
  <c r="S897" i="1"/>
  <c r="R897" i="1"/>
  <c r="M897" i="1"/>
  <c r="Z897" i="1"/>
  <c r="Y897" i="1"/>
  <c r="V318" i="1"/>
  <c r="U318" i="1"/>
  <c r="S318" i="1"/>
  <c r="R318" i="1"/>
  <c r="M318" i="1"/>
  <c r="Z318" i="1"/>
  <c r="Y318" i="1"/>
  <c r="S772" i="1"/>
  <c r="R772" i="1"/>
  <c r="M772" i="1"/>
  <c r="Z772" i="1"/>
  <c r="Y772" i="1"/>
  <c r="V772" i="1"/>
  <c r="U772" i="1"/>
  <c r="M920" i="1"/>
  <c r="Z920" i="1"/>
  <c r="U920" i="1"/>
  <c r="S920" i="1"/>
  <c r="R920" i="1"/>
  <c r="Y920" i="1"/>
  <c r="V920" i="1"/>
  <c r="Z276" i="1"/>
  <c r="Y276" i="1"/>
  <c r="V276" i="1"/>
  <c r="U276" i="1"/>
  <c r="S276" i="1"/>
  <c r="R276" i="1"/>
  <c r="M276" i="1"/>
  <c r="R917" i="1"/>
  <c r="M917" i="1"/>
  <c r="Z917" i="1"/>
  <c r="Y917" i="1"/>
  <c r="V917" i="1"/>
  <c r="U917" i="1"/>
  <c r="S917" i="1"/>
  <c r="Y1258" i="1"/>
  <c r="V1258" i="1"/>
  <c r="U1258" i="1"/>
  <c r="S1258" i="1"/>
  <c r="R1258" i="1"/>
  <c r="Z1258" i="1"/>
  <c r="M1258" i="1"/>
  <c r="S401" i="1"/>
  <c r="R401" i="1"/>
  <c r="M401" i="1"/>
  <c r="Z401" i="1"/>
  <c r="Y401" i="1"/>
  <c r="V401" i="1"/>
  <c r="U401" i="1"/>
  <c r="V672" i="1"/>
  <c r="U672" i="1"/>
  <c r="S672" i="1"/>
  <c r="R672" i="1"/>
  <c r="M672" i="1"/>
  <c r="Z672" i="1"/>
  <c r="Y672" i="1"/>
  <c r="R511" i="1"/>
  <c r="M511" i="1"/>
  <c r="Z511" i="1"/>
  <c r="Y511" i="1"/>
  <c r="V511" i="1"/>
  <c r="U511" i="1"/>
  <c r="S511" i="1"/>
  <c r="Y1066" i="1"/>
  <c r="V1066" i="1"/>
  <c r="U1066" i="1"/>
  <c r="S1066" i="1"/>
  <c r="R1066" i="1"/>
  <c r="M1066" i="1"/>
  <c r="Z1066" i="1"/>
  <c r="U771" i="1"/>
  <c r="S771" i="1"/>
  <c r="R771" i="1"/>
  <c r="M771" i="1"/>
  <c r="Z771" i="1"/>
  <c r="Y771" i="1"/>
  <c r="V771" i="1"/>
  <c r="M1148" i="1"/>
  <c r="Z1148" i="1"/>
  <c r="Y1148" i="1"/>
  <c r="V1148" i="1"/>
  <c r="U1148" i="1"/>
  <c r="S1148" i="1"/>
  <c r="R1148" i="1"/>
  <c r="M1296" i="1"/>
  <c r="Z1296" i="1"/>
  <c r="Y1296" i="1"/>
  <c r="V1296" i="1"/>
  <c r="U1296" i="1"/>
  <c r="S1296" i="1"/>
  <c r="R1296" i="1"/>
  <c r="V507" i="1"/>
  <c r="U507" i="1"/>
  <c r="S507" i="1"/>
  <c r="R507" i="1"/>
  <c r="M507" i="1"/>
  <c r="Z507" i="1"/>
  <c r="Y507" i="1"/>
  <c r="R748" i="1"/>
  <c r="M748" i="1"/>
  <c r="Z748" i="1"/>
  <c r="Y748" i="1"/>
  <c r="V748" i="1"/>
  <c r="U748" i="1"/>
  <c r="S748" i="1"/>
  <c r="R431" i="1"/>
  <c r="Y431" i="1"/>
  <c r="U431" i="1"/>
  <c r="V431" i="1"/>
  <c r="S431" i="1"/>
  <c r="M431" i="1"/>
  <c r="Z431" i="1"/>
  <c r="M992" i="1"/>
  <c r="Z992" i="1"/>
  <c r="Y992" i="1"/>
  <c r="V992" i="1"/>
  <c r="U992" i="1"/>
  <c r="S992" i="1"/>
  <c r="R992" i="1"/>
  <c r="V1267" i="1"/>
  <c r="U1267" i="1"/>
  <c r="S1267" i="1"/>
  <c r="R1267" i="1"/>
  <c r="M1267" i="1"/>
  <c r="Z1267" i="1"/>
  <c r="Y1267" i="1"/>
  <c r="Z1605" i="1"/>
  <c r="Y1605" i="1"/>
  <c r="V1605" i="1"/>
  <c r="U1605" i="1"/>
  <c r="S1605" i="1"/>
  <c r="R1605" i="1"/>
  <c r="M1605" i="1"/>
  <c r="R604" i="1"/>
  <c r="M604" i="1"/>
  <c r="Y604" i="1"/>
  <c r="V604" i="1"/>
  <c r="U604" i="1"/>
  <c r="S604" i="1"/>
  <c r="Z604" i="1"/>
  <c r="R1343" i="1"/>
  <c r="M1343" i="1"/>
  <c r="Z1343" i="1"/>
  <c r="Y1343" i="1"/>
  <c r="V1343" i="1"/>
  <c r="U1343" i="1"/>
  <c r="S1343" i="1"/>
  <c r="S1839" i="1"/>
  <c r="R1839" i="1"/>
  <c r="M1839" i="1"/>
  <c r="Z1839" i="1"/>
  <c r="Y1839" i="1"/>
  <c r="V1839" i="1"/>
  <c r="U1839" i="1"/>
  <c r="V1307" i="1"/>
  <c r="U1307" i="1"/>
  <c r="S1307" i="1"/>
  <c r="R1307" i="1"/>
  <c r="M1307" i="1"/>
  <c r="Z1307" i="1"/>
  <c r="Y1307" i="1"/>
  <c r="Z1629" i="1"/>
  <c r="Y1629" i="1"/>
  <c r="V1629" i="1"/>
  <c r="U1629" i="1"/>
  <c r="S1629" i="1"/>
  <c r="R1629" i="1"/>
  <c r="M1629" i="1"/>
  <c r="V1948" i="1"/>
  <c r="U1948" i="1"/>
  <c r="S1948" i="1"/>
  <c r="R1948" i="1"/>
  <c r="M1948" i="1"/>
  <c r="Z1948" i="1"/>
  <c r="Y1948" i="1"/>
  <c r="R1187" i="1"/>
  <c r="M1187" i="1"/>
  <c r="Z1187" i="1"/>
  <c r="Y1187" i="1"/>
  <c r="V1187" i="1"/>
  <c r="U1187" i="1"/>
  <c r="S1187" i="1"/>
  <c r="V1525" i="1"/>
  <c r="U1525" i="1"/>
  <c r="S1525" i="1"/>
  <c r="R1525" i="1"/>
  <c r="M1525" i="1"/>
  <c r="Z1525" i="1"/>
  <c r="Y1525" i="1"/>
  <c r="S764" i="1"/>
  <c r="M764" i="1"/>
  <c r="Z764" i="1"/>
  <c r="Y764" i="1"/>
  <c r="V764" i="1"/>
  <c r="U764" i="1"/>
  <c r="R764" i="1"/>
  <c r="V1568" i="1"/>
  <c r="U1568" i="1"/>
  <c r="S1568" i="1"/>
  <c r="M1568" i="1"/>
  <c r="Z1568" i="1"/>
  <c r="Y1568" i="1"/>
  <c r="R1568" i="1"/>
  <c r="S1815" i="1"/>
  <c r="R1815" i="1"/>
  <c r="M1815" i="1"/>
  <c r="Z1815" i="1"/>
  <c r="Y1815" i="1"/>
  <c r="V1815" i="1"/>
  <c r="U1815" i="1"/>
  <c r="U1510" i="1"/>
  <c r="S1510" i="1"/>
  <c r="R1510" i="1"/>
  <c r="M1510" i="1"/>
  <c r="Z1510" i="1"/>
  <c r="Y1510" i="1"/>
  <c r="V1510" i="1"/>
  <c r="R1762" i="1"/>
  <c r="M1762" i="1"/>
  <c r="Z1762" i="1"/>
  <c r="Y1762" i="1"/>
  <c r="V1762" i="1"/>
  <c r="S1762" i="1"/>
  <c r="U1762" i="1"/>
  <c r="Y888" i="1"/>
  <c r="V888" i="1"/>
  <c r="U888" i="1"/>
  <c r="S888" i="1"/>
  <c r="R888" i="1"/>
  <c r="M888" i="1"/>
  <c r="Z888" i="1"/>
  <c r="S1551" i="1"/>
  <c r="R1551" i="1"/>
  <c r="M1551" i="1"/>
  <c r="Z1551" i="1"/>
  <c r="Y1551" i="1"/>
  <c r="V1551" i="1"/>
  <c r="U1551" i="1"/>
  <c r="R1383" i="1"/>
  <c r="M1383" i="1"/>
  <c r="Z1383" i="1"/>
  <c r="Y1383" i="1"/>
  <c r="V1383" i="1"/>
  <c r="U1383" i="1"/>
  <c r="S1383" i="1"/>
  <c r="V1709" i="1"/>
  <c r="U1709" i="1"/>
  <c r="S1709" i="1"/>
  <c r="R1709" i="1"/>
  <c r="M1709" i="1"/>
  <c r="Z1709" i="1"/>
  <c r="Y1709" i="1"/>
  <c r="U2005" i="1"/>
  <c r="S2005" i="1"/>
  <c r="R2005" i="1"/>
  <c r="M2005" i="1"/>
  <c r="Z2005" i="1"/>
  <c r="Y2005" i="1"/>
  <c r="V2005" i="1"/>
  <c r="S1882" i="1"/>
  <c r="R1882" i="1"/>
  <c r="M1882" i="1"/>
  <c r="Z1882" i="1"/>
  <c r="Y1882" i="1"/>
  <c r="V1882" i="1"/>
  <c r="U1882" i="1"/>
  <c r="R1899" i="1"/>
  <c r="M1899" i="1"/>
  <c r="Z1899" i="1"/>
  <c r="Y1899" i="1"/>
  <c r="V1899" i="1"/>
  <c r="U1899" i="1"/>
  <c r="S1899" i="1"/>
  <c r="V68" i="1"/>
  <c r="U68" i="1"/>
  <c r="S68" i="1"/>
  <c r="R68" i="1"/>
  <c r="M68" i="1"/>
  <c r="Z68" i="1"/>
  <c r="Y68" i="1"/>
  <c r="V120" i="1"/>
  <c r="S120" i="1"/>
  <c r="R120" i="1"/>
  <c r="M120" i="1"/>
  <c r="Z120" i="1"/>
  <c r="Y120" i="1"/>
  <c r="U120" i="1"/>
  <c r="S99" i="1"/>
  <c r="R99" i="1"/>
  <c r="Z99" i="1"/>
  <c r="Y99" i="1"/>
  <c r="U99" i="1"/>
  <c r="V99" i="1"/>
  <c r="M99" i="1"/>
  <c r="U29" i="1"/>
  <c r="S29" i="1"/>
  <c r="R29" i="1"/>
  <c r="M29" i="1"/>
  <c r="Z29" i="1"/>
  <c r="Y29" i="1"/>
  <c r="V29" i="1"/>
  <c r="Z230" i="1"/>
  <c r="Y230" i="1"/>
  <c r="V230" i="1"/>
  <c r="U230" i="1"/>
  <c r="S230" i="1"/>
  <c r="R230" i="1"/>
  <c r="M230" i="1"/>
  <c r="R1083" i="1"/>
  <c r="M1083" i="1"/>
  <c r="Z1083" i="1"/>
  <c r="Y1083" i="1"/>
  <c r="V1083" i="1"/>
  <c r="U1083" i="1"/>
  <c r="S1083" i="1"/>
  <c r="S361" i="1"/>
  <c r="R361" i="1"/>
  <c r="M361" i="1"/>
  <c r="Z361" i="1"/>
  <c r="Y361" i="1"/>
  <c r="V361" i="1"/>
  <c r="U361" i="1"/>
  <c r="U1720" i="1"/>
  <c r="S1720" i="1"/>
  <c r="R1720" i="1"/>
  <c r="M1720" i="1"/>
  <c r="V1720" i="1"/>
  <c r="Z1720" i="1"/>
  <c r="Y1720" i="1"/>
  <c r="V1051" i="1"/>
  <c r="U1051" i="1"/>
  <c r="S1051" i="1"/>
  <c r="R1051" i="1"/>
  <c r="M1051" i="1"/>
  <c r="Z1051" i="1"/>
  <c r="Y1051" i="1"/>
  <c r="R188" i="1"/>
  <c r="M188" i="1"/>
  <c r="Z188" i="1"/>
  <c r="Y188" i="1"/>
  <c r="V188" i="1"/>
  <c r="U188" i="1"/>
  <c r="S188" i="1"/>
  <c r="Y1198" i="1"/>
  <c r="V1198" i="1"/>
  <c r="U1198" i="1"/>
  <c r="S1198" i="1"/>
  <c r="R1198" i="1"/>
  <c r="M1198" i="1"/>
  <c r="Z1198" i="1"/>
  <c r="Y333" i="1"/>
  <c r="V333" i="1"/>
  <c r="U333" i="1"/>
  <c r="S333" i="1"/>
  <c r="R333" i="1"/>
  <c r="M333" i="1"/>
  <c r="Z333" i="1"/>
  <c r="R1688" i="1"/>
  <c r="M1688" i="1"/>
  <c r="Z1688" i="1"/>
  <c r="Y1688" i="1"/>
  <c r="V1688" i="1"/>
  <c r="U1688" i="1"/>
  <c r="S1688" i="1"/>
  <c r="V1019" i="1"/>
  <c r="U1019" i="1"/>
  <c r="S1019" i="1"/>
  <c r="R1019" i="1"/>
  <c r="M1019" i="1"/>
  <c r="Z1019" i="1"/>
  <c r="Y1019" i="1"/>
  <c r="R220" i="1"/>
  <c r="M220" i="1"/>
  <c r="Z220" i="1"/>
  <c r="Y220" i="1"/>
  <c r="V220" i="1"/>
  <c r="U220" i="1"/>
  <c r="S220" i="1"/>
  <c r="V1444" i="1"/>
  <c r="U1444" i="1"/>
  <c r="S1444" i="1"/>
  <c r="R1444" i="1"/>
  <c r="M1444" i="1"/>
  <c r="Z1444" i="1"/>
  <c r="Y1444" i="1"/>
  <c r="Z364" i="1"/>
  <c r="Y364" i="1"/>
  <c r="V364" i="1"/>
  <c r="U364" i="1"/>
  <c r="S364" i="1"/>
  <c r="R364" i="1"/>
  <c r="M364" i="1"/>
  <c r="V1332" i="1"/>
  <c r="U1332" i="1"/>
  <c r="S1332" i="1"/>
  <c r="R1332" i="1"/>
  <c r="M1332" i="1"/>
  <c r="Z1332" i="1"/>
  <c r="Y1332" i="1"/>
  <c r="M291" i="1"/>
  <c r="Z291" i="1"/>
  <c r="Y291" i="1"/>
  <c r="V291" i="1"/>
  <c r="U291" i="1"/>
  <c r="S291" i="1"/>
  <c r="R291" i="1"/>
  <c r="Z1564" i="1"/>
  <c r="Y1564" i="1"/>
  <c r="V1564" i="1"/>
  <c r="U1564" i="1"/>
  <c r="S1564" i="1"/>
  <c r="M1564" i="1"/>
  <c r="R1564" i="1"/>
  <c r="Z903" i="1"/>
  <c r="Y903" i="1"/>
  <c r="V903" i="1"/>
  <c r="U903" i="1"/>
  <c r="S903" i="1"/>
  <c r="R903" i="1"/>
  <c r="M903" i="1"/>
  <c r="S486" i="1"/>
  <c r="R486" i="1"/>
  <c r="M486" i="1"/>
  <c r="Z486" i="1"/>
  <c r="Y486" i="1"/>
  <c r="V486" i="1"/>
  <c r="U486" i="1"/>
  <c r="Z1133" i="1"/>
  <c r="Y1133" i="1"/>
  <c r="V1133" i="1"/>
  <c r="U1133" i="1"/>
  <c r="S1133" i="1"/>
  <c r="R1133" i="1"/>
  <c r="M1133" i="1"/>
  <c r="R290" i="1"/>
  <c r="M290" i="1"/>
  <c r="Z290" i="1"/>
  <c r="Y290" i="1"/>
  <c r="V290" i="1"/>
  <c r="S290" i="1"/>
  <c r="U290" i="1"/>
  <c r="R455" i="1"/>
  <c r="M455" i="1"/>
  <c r="Y455" i="1"/>
  <c r="V455" i="1"/>
  <c r="U455" i="1"/>
  <c r="Z455" i="1"/>
  <c r="S455" i="1"/>
  <c r="U618" i="1"/>
  <c r="S618" i="1"/>
  <c r="R618" i="1"/>
  <c r="M618" i="1"/>
  <c r="Z618" i="1"/>
  <c r="Y618" i="1"/>
  <c r="V618" i="1"/>
  <c r="U867" i="1"/>
  <c r="S867" i="1"/>
  <c r="R867" i="1"/>
  <c r="M867" i="1"/>
  <c r="Z867" i="1"/>
  <c r="Y867" i="1"/>
  <c r="V867" i="1"/>
  <c r="V443" i="1"/>
  <c r="S443" i="1"/>
  <c r="R443" i="1"/>
  <c r="M443" i="1"/>
  <c r="Z443" i="1"/>
  <c r="Y443" i="1"/>
  <c r="U443" i="1"/>
  <c r="R684" i="1"/>
  <c r="M684" i="1"/>
  <c r="Z684" i="1"/>
  <c r="Y684" i="1"/>
  <c r="V684" i="1"/>
  <c r="U684" i="1"/>
  <c r="S684" i="1"/>
  <c r="Z755" i="1"/>
  <c r="Y755" i="1"/>
  <c r="U755" i="1"/>
  <c r="S755" i="1"/>
  <c r="R755" i="1"/>
  <c r="M755" i="1"/>
  <c r="V755" i="1"/>
  <c r="M1132" i="1"/>
  <c r="Z1132" i="1"/>
  <c r="Y1132" i="1"/>
  <c r="V1132" i="1"/>
  <c r="U1132" i="1"/>
  <c r="S1132" i="1"/>
  <c r="R1132" i="1"/>
  <c r="V955" i="1"/>
  <c r="U955" i="1"/>
  <c r="S955" i="1"/>
  <c r="R955" i="1"/>
  <c r="M955" i="1"/>
  <c r="Z955" i="1"/>
  <c r="Y955" i="1"/>
  <c r="V770" i="1"/>
  <c r="U770" i="1"/>
  <c r="S770" i="1"/>
  <c r="R770" i="1"/>
  <c r="M770" i="1"/>
  <c r="Z770" i="1"/>
  <c r="Y770" i="1"/>
  <c r="V240" i="1"/>
  <c r="U240" i="1"/>
  <c r="S240" i="1"/>
  <c r="R240" i="1"/>
  <c r="M240" i="1"/>
  <c r="Z240" i="1"/>
  <c r="Y240" i="1"/>
  <c r="M822" i="1"/>
  <c r="Z822" i="1"/>
  <c r="Y822" i="1"/>
  <c r="V822" i="1"/>
  <c r="U822" i="1"/>
  <c r="S822" i="1"/>
  <c r="R822" i="1"/>
  <c r="V616" i="1"/>
  <c r="U616" i="1"/>
  <c r="S616" i="1"/>
  <c r="R616" i="1"/>
  <c r="M616" i="1"/>
  <c r="Z616" i="1"/>
  <c r="Y616" i="1"/>
  <c r="M677" i="1"/>
  <c r="Z677" i="1"/>
  <c r="Y677" i="1"/>
  <c r="V677" i="1"/>
  <c r="U677" i="1"/>
  <c r="S677" i="1"/>
  <c r="R677" i="1"/>
  <c r="S1146" i="1"/>
  <c r="R1146" i="1"/>
  <c r="M1146" i="1"/>
  <c r="Z1146" i="1"/>
  <c r="Y1146" i="1"/>
  <c r="V1146" i="1"/>
  <c r="U1146" i="1"/>
  <c r="U915" i="1"/>
  <c r="S915" i="1"/>
  <c r="R915" i="1"/>
  <c r="M915" i="1"/>
  <c r="Z915" i="1"/>
  <c r="Y915" i="1"/>
  <c r="V915" i="1"/>
  <c r="U690" i="1"/>
  <c r="S690" i="1"/>
  <c r="R690" i="1"/>
  <c r="M690" i="1"/>
  <c r="Z690" i="1"/>
  <c r="Y690" i="1"/>
  <c r="V690" i="1"/>
  <c r="U1662" i="1"/>
  <c r="S1662" i="1"/>
  <c r="R1662" i="1"/>
  <c r="M1662" i="1"/>
  <c r="Z1662" i="1"/>
  <c r="Y1662" i="1"/>
  <c r="V1662" i="1"/>
  <c r="M1657" i="1"/>
  <c r="Z1657" i="1"/>
  <c r="Y1657" i="1"/>
  <c r="V1657" i="1"/>
  <c r="U1657" i="1"/>
  <c r="R1657" i="1"/>
  <c r="S1657" i="1"/>
  <c r="Z1933" i="1"/>
  <c r="Y1933" i="1"/>
  <c r="V1933" i="1"/>
  <c r="U1933" i="1"/>
  <c r="S1933" i="1"/>
  <c r="R1933" i="1"/>
  <c r="M1933" i="1"/>
  <c r="V1387" i="1"/>
  <c r="U1387" i="1"/>
  <c r="S1387" i="1"/>
  <c r="R1387" i="1"/>
  <c r="M1387" i="1"/>
  <c r="Z1387" i="1"/>
  <c r="Y1387" i="1"/>
  <c r="M1763" i="1"/>
  <c r="Z1763" i="1"/>
  <c r="Y1763" i="1"/>
  <c r="V1763" i="1"/>
  <c r="U1763" i="1"/>
  <c r="R1763" i="1"/>
  <c r="S1763" i="1"/>
  <c r="V762" i="1"/>
  <c r="S762" i="1"/>
  <c r="M762" i="1"/>
  <c r="Z762" i="1"/>
  <c r="Y762" i="1"/>
  <c r="U762" i="1"/>
  <c r="R762" i="1"/>
  <c r="U1601" i="1"/>
  <c r="S1601" i="1"/>
  <c r="R1601" i="1"/>
  <c r="M1601" i="1"/>
  <c r="Z1601" i="1"/>
  <c r="Y1601" i="1"/>
  <c r="V1601" i="1"/>
  <c r="R1939" i="1"/>
  <c r="M1939" i="1"/>
  <c r="Z1939" i="1"/>
  <c r="Y1939" i="1"/>
  <c r="V1939" i="1"/>
  <c r="U1939" i="1"/>
  <c r="S1939" i="1"/>
  <c r="Y1622" i="1"/>
  <c r="V1622" i="1"/>
  <c r="U1622" i="1"/>
  <c r="S1622" i="1"/>
  <c r="R1622" i="1"/>
  <c r="M1622" i="1"/>
  <c r="Z1622" i="1"/>
  <c r="U1577" i="1"/>
  <c r="S1577" i="1"/>
  <c r="R1577" i="1"/>
  <c r="M1577" i="1"/>
  <c r="Z1577" i="1"/>
  <c r="Y1577" i="1"/>
  <c r="V1577" i="1"/>
  <c r="Z497" i="1"/>
  <c r="Y497" i="1"/>
  <c r="V497" i="1"/>
  <c r="U497" i="1"/>
  <c r="S497" i="1"/>
  <c r="R497" i="1"/>
  <c r="M497" i="1"/>
  <c r="Z1690" i="1"/>
  <c r="Y1690" i="1"/>
  <c r="V1690" i="1"/>
  <c r="U1690" i="1"/>
  <c r="S1690" i="1"/>
  <c r="R1690" i="1"/>
  <c r="M1690" i="1"/>
  <c r="M1825" i="1"/>
  <c r="Z1825" i="1"/>
  <c r="Y1825" i="1"/>
  <c r="V1825" i="1"/>
  <c r="U1825" i="1"/>
  <c r="S1825" i="1"/>
  <c r="R1825" i="1"/>
  <c r="S1062" i="1"/>
  <c r="R1062" i="1"/>
  <c r="M1062" i="1"/>
  <c r="Z1062" i="1"/>
  <c r="Y1062" i="1"/>
  <c r="V1062" i="1"/>
  <c r="U1062" i="1"/>
  <c r="S1663" i="1"/>
  <c r="R1663" i="1"/>
  <c r="M1663" i="1"/>
  <c r="Z1663" i="1"/>
  <c r="Y1663" i="1"/>
  <c r="U1663" i="1"/>
  <c r="V1663" i="1"/>
  <c r="S990" i="1"/>
  <c r="R990" i="1"/>
  <c r="M990" i="1"/>
  <c r="Z990" i="1"/>
  <c r="Y990" i="1"/>
  <c r="V990" i="1"/>
  <c r="U990" i="1"/>
  <c r="R1496" i="1"/>
  <c r="M1496" i="1"/>
  <c r="Z1496" i="1"/>
  <c r="Y1496" i="1"/>
  <c r="V1496" i="1"/>
  <c r="S1496" i="1"/>
  <c r="U1496" i="1"/>
  <c r="Y1675" i="1"/>
  <c r="V1675" i="1"/>
  <c r="U1675" i="1"/>
  <c r="S1675" i="1"/>
  <c r="R1675" i="1"/>
  <c r="M1675" i="1"/>
  <c r="Z1675" i="1"/>
  <c r="R991" i="1"/>
  <c r="M991" i="1"/>
  <c r="Z991" i="1"/>
  <c r="Y991" i="1"/>
  <c r="V991" i="1"/>
  <c r="U991" i="1"/>
  <c r="S991" i="1"/>
  <c r="S691" i="1"/>
  <c r="R691" i="1"/>
  <c r="M691" i="1"/>
  <c r="Z691" i="1"/>
  <c r="Y691" i="1"/>
  <c r="V691" i="1"/>
  <c r="U691" i="1"/>
  <c r="M1228" i="1"/>
  <c r="Z1228" i="1"/>
  <c r="Y1228" i="1"/>
  <c r="V1228" i="1"/>
  <c r="U1228" i="1"/>
  <c r="S1228" i="1"/>
  <c r="R1228" i="1"/>
  <c r="M299" i="1"/>
  <c r="Z299" i="1"/>
  <c r="Y299" i="1"/>
  <c r="V299" i="1"/>
  <c r="U299" i="1"/>
  <c r="S299" i="1"/>
  <c r="R299" i="1"/>
  <c r="R1528" i="1"/>
  <c r="M1528" i="1"/>
  <c r="Z1528" i="1"/>
  <c r="Y1528" i="1"/>
  <c r="V1528" i="1"/>
  <c r="U1528" i="1"/>
  <c r="S1528" i="1"/>
  <c r="R1171" i="1"/>
  <c r="M1171" i="1"/>
  <c r="Z1171" i="1"/>
  <c r="Y1171" i="1"/>
  <c r="V1171" i="1"/>
  <c r="U1171" i="1"/>
  <c r="S1171" i="1"/>
  <c r="Z1589" i="1"/>
  <c r="Y1589" i="1"/>
  <c r="V1589" i="1"/>
  <c r="U1589" i="1"/>
  <c r="S1589" i="1"/>
  <c r="R1589" i="1"/>
  <c r="M1589" i="1"/>
  <c r="Y1515" i="1"/>
  <c r="V1515" i="1"/>
  <c r="U1515" i="1"/>
  <c r="S1515" i="1"/>
  <c r="R1515" i="1"/>
  <c r="M1515" i="1"/>
  <c r="Z1515" i="1"/>
  <c r="M40" i="1"/>
  <c r="Z40" i="1"/>
  <c r="Y40" i="1"/>
  <c r="V40" i="1"/>
  <c r="U40" i="1"/>
  <c r="S40" i="1"/>
  <c r="R40" i="1"/>
  <c r="Z89" i="1"/>
  <c r="Y89" i="1"/>
  <c r="V89" i="1"/>
  <c r="U89" i="1"/>
  <c r="S89" i="1"/>
  <c r="R89" i="1"/>
  <c r="M89" i="1"/>
  <c r="M552" i="1"/>
  <c r="Z552" i="1"/>
  <c r="Y552" i="1"/>
  <c r="V552" i="1"/>
  <c r="U552" i="1"/>
  <c r="S552" i="1"/>
  <c r="R552" i="1"/>
  <c r="Y277" i="1"/>
  <c r="V277" i="1"/>
  <c r="U277" i="1"/>
  <c r="S277" i="1"/>
  <c r="R277" i="1"/>
  <c r="M277" i="1"/>
  <c r="Z277" i="1"/>
  <c r="Z1530" i="1"/>
  <c r="Y1530" i="1"/>
  <c r="V1530" i="1"/>
  <c r="U1530" i="1"/>
  <c r="S1530" i="1"/>
  <c r="R1530" i="1"/>
  <c r="M1530" i="1"/>
  <c r="V1380" i="1"/>
  <c r="U1380" i="1"/>
  <c r="S1380" i="1"/>
  <c r="R1380" i="1"/>
  <c r="M1380" i="1"/>
  <c r="Z1380" i="1"/>
  <c r="Y1380" i="1"/>
  <c r="V375" i="1"/>
  <c r="U375" i="1"/>
  <c r="S375" i="1"/>
  <c r="R375" i="1"/>
  <c r="M375" i="1"/>
  <c r="Z375" i="1"/>
  <c r="Y375" i="1"/>
  <c r="Y938" i="1"/>
  <c r="V938" i="1"/>
  <c r="U938" i="1"/>
  <c r="S938" i="1"/>
  <c r="R938" i="1"/>
  <c r="M938" i="1"/>
  <c r="Z938" i="1"/>
  <c r="U779" i="1"/>
  <c r="S779" i="1"/>
  <c r="R779" i="1"/>
  <c r="M779" i="1"/>
  <c r="Z779" i="1"/>
  <c r="Y779" i="1"/>
  <c r="V779" i="1"/>
  <c r="Z598" i="1"/>
  <c r="Y598" i="1"/>
  <c r="V598" i="1"/>
  <c r="U598" i="1"/>
  <c r="S598" i="1"/>
  <c r="R598" i="1"/>
  <c r="M598" i="1"/>
  <c r="Y1926" i="1"/>
  <c r="V1926" i="1"/>
  <c r="U1926" i="1"/>
  <c r="S1926" i="1"/>
  <c r="R1926" i="1"/>
  <c r="M1926" i="1"/>
  <c r="Z1926" i="1"/>
  <c r="R1991" i="1"/>
  <c r="M1991" i="1"/>
  <c r="Z1991" i="1"/>
  <c r="Y1991" i="1"/>
  <c r="V1991" i="1"/>
  <c r="U1991" i="1"/>
  <c r="S1991" i="1"/>
  <c r="V2011" i="1"/>
  <c r="U2011" i="1"/>
  <c r="S2011" i="1"/>
  <c r="R2011" i="1"/>
  <c r="M2011" i="1"/>
  <c r="Z2011" i="1"/>
  <c r="Y2011" i="1"/>
  <c r="R612" i="1"/>
  <c r="M612" i="1"/>
  <c r="Z612" i="1"/>
  <c r="Y612" i="1"/>
  <c r="V612" i="1"/>
  <c r="U612" i="1"/>
  <c r="S612" i="1"/>
  <c r="V1363" i="1"/>
  <c r="U1363" i="1"/>
  <c r="S1363" i="1"/>
  <c r="R1363" i="1"/>
  <c r="M1363" i="1"/>
  <c r="Z1363" i="1"/>
  <c r="Y1363" i="1"/>
  <c r="V1864" i="1"/>
  <c r="U1864" i="1"/>
  <c r="S1864" i="1"/>
  <c r="M1864" i="1"/>
  <c r="Z1864" i="1"/>
  <c r="Y1864" i="1"/>
  <c r="R1864" i="1"/>
  <c r="M1916" i="1"/>
  <c r="Z1916" i="1"/>
  <c r="Y1916" i="1"/>
  <c r="V1916" i="1"/>
  <c r="U1916" i="1"/>
  <c r="S1916" i="1"/>
  <c r="R1916" i="1"/>
  <c r="Y1757" i="1"/>
  <c r="V1757" i="1"/>
  <c r="U1757" i="1"/>
  <c r="S1757" i="1"/>
  <c r="R1757" i="1"/>
  <c r="Z1757" i="1"/>
  <c r="M1757" i="1"/>
  <c r="Y90" i="1"/>
  <c r="V90" i="1"/>
  <c r="U90" i="1"/>
  <c r="S90" i="1"/>
  <c r="R90" i="1"/>
  <c r="M90" i="1"/>
  <c r="Z90" i="1"/>
  <c r="V168" i="1"/>
  <c r="U168" i="1"/>
  <c r="S168" i="1"/>
  <c r="R168" i="1"/>
  <c r="M168" i="1"/>
  <c r="Z168" i="1"/>
  <c r="Y168" i="1"/>
  <c r="U98" i="1"/>
  <c r="S98" i="1"/>
  <c r="M98" i="1"/>
  <c r="Z98" i="1"/>
  <c r="Y98" i="1"/>
  <c r="V98" i="1"/>
  <c r="R98" i="1"/>
  <c r="Y167" i="1"/>
  <c r="V167" i="1"/>
  <c r="U167" i="1"/>
  <c r="S167" i="1"/>
  <c r="R167" i="1"/>
  <c r="M167" i="1"/>
  <c r="Z167" i="1"/>
  <c r="S107" i="1"/>
  <c r="R107" i="1"/>
  <c r="Z107" i="1"/>
  <c r="Y107" i="1"/>
  <c r="V107" i="1"/>
  <c r="U107" i="1"/>
  <c r="M107" i="1"/>
  <c r="M1456" i="1"/>
  <c r="Z1456" i="1"/>
  <c r="Y1456" i="1"/>
  <c r="V1456" i="1"/>
  <c r="U1456" i="1"/>
  <c r="S1456" i="1"/>
  <c r="R1456" i="1"/>
  <c r="Z1001" i="1"/>
  <c r="Y1001" i="1"/>
  <c r="V1001" i="1"/>
  <c r="U1001" i="1"/>
  <c r="S1001" i="1"/>
  <c r="R1001" i="1"/>
  <c r="M1001" i="1"/>
  <c r="R402" i="1"/>
  <c r="M402" i="1"/>
  <c r="Z402" i="1"/>
  <c r="Y402" i="1"/>
  <c r="V402" i="1"/>
  <c r="U402" i="1"/>
  <c r="S402" i="1"/>
  <c r="S1342" i="1"/>
  <c r="R1342" i="1"/>
  <c r="M1342" i="1"/>
  <c r="Z1342" i="1"/>
  <c r="Y1342" i="1"/>
  <c r="V1342" i="1"/>
  <c r="U1342" i="1"/>
  <c r="U408" i="1"/>
  <c r="S408" i="1"/>
  <c r="R408" i="1"/>
  <c r="M408" i="1"/>
  <c r="Z408" i="1"/>
  <c r="Y408" i="1"/>
  <c r="V408" i="1"/>
  <c r="U1790" i="1"/>
  <c r="S1790" i="1"/>
  <c r="R1790" i="1"/>
  <c r="Z1790" i="1"/>
  <c r="Y1790" i="1"/>
  <c r="V1790" i="1"/>
  <c r="M1790" i="1"/>
  <c r="Z977" i="1"/>
  <c r="Y977" i="1"/>
  <c r="V977" i="1"/>
  <c r="U977" i="1"/>
  <c r="S977" i="1"/>
  <c r="R977" i="1"/>
  <c r="M977" i="1"/>
  <c r="M307" i="1"/>
  <c r="Z307" i="1"/>
  <c r="Y307" i="1"/>
  <c r="V307" i="1"/>
  <c r="U307" i="1"/>
  <c r="S307" i="1"/>
  <c r="R307" i="1"/>
  <c r="S1310" i="1"/>
  <c r="R1310" i="1"/>
  <c r="M1310" i="1"/>
  <c r="Z1310" i="1"/>
  <c r="Y1310" i="1"/>
  <c r="V1310" i="1"/>
  <c r="U1310" i="1"/>
  <c r="U376" i="1"/>
  <c r="S376" i="1"/>
  <c r="R376" i="1"/>
  <c r="M376" i="1"/>
  <c r="Z376" i="1"/>
  <c r="Y376" i="1"/>
  <c r="V376" i="1"/>
  <c r="V1758" i="1"/>
  <c r="U1758" i="1"/>
  <c r="S1758" i="1"/>
  <c r="R1758" i="1"/>
  <c r="M1758" i="1"/>
  <c r="Y1758" i="1"/>
  <c r="Z1758" i="1"/>
  <c r="Z945" i="1"/>
  <c r="Y945" i="1"/>
  <c r="V945" i="1"/>
  <c r="U945" i="1"/>
  <c r="S945" i="1"/>
  <c r="R945" i="1"/>
  <c r="M945" i="1"/>
  <c r="U1760" i="1"/>
  <c r="S1760" i="1"/>
  <c r="R1760" i="1"/>
  <c r="M1760" i="1"/>
  <c r="Z1760" i="1"/>
  <c r="Y1760" i="1"/>
  <c r="V1760" i="1"/>
  <c r="V801" i="1"/>
  <c r="U801" i="1"/>
  <c r="S801" i="1"/>
  <c r="R801" i="1"/>
  <c r="M801" i="1"/>
  <c r="Z801" i="1"/>
  <c r="Y801" i="1"/>
  <c r="V249" i="1"/>
  <c r="U249" i="1"/>
  <c r="S249" i="1"/>
  <c r="R249" i="1"/>
  <c r="M249" i="1"/>
  <c r="Z249" i="1"/>
  <c r="Y249" i="1"/>
  <c r="S1398" i="1"/>
  <c r="R1398" i="1"/>
  <c r="Z1398" i="1"/>
  <c r="Y1398" i="1"/>
  <c r="V1398" i="1"/>
  <c r="U1398" i="1"/>
  <c r="M1398" i="1"/>
  <c r="M528" i="1"/>
  <c r="Z528" i="1"/>
  <c r="Y528" i="1"/>
  <c r="V528" i="1"/>
  <c r="U528" i="1"/>
  <c r="S528" i="1"/>
  <c r="R528" i="1"/>
  <c r="V1676" i="1"/>
  <c r="U1676" i="1"/>
  <c r="S1676" i="1"/>
  <c r="R1676" i="1"/>
  <c r="M1676" i="1"/>
  <c r="Z1676" i="1"/>
  <c r="Y1676" i="1"/>
  <c r="R1047" i="1"/>
  <c r="M1047" i="1"/>
  <c r="Z1047" i="1"/>
  <c r="Y1047" i="1"/>
  <c r="V1047" i="1"/>
  <c r="U1047" i="1"/>
  <c r="S1047" i="1"/>
  <c r="U795" i="1"/>
  <c r="S795" i="1"/>
  <c r="R795" i="1"/>
  <c r="M795" i="1"/>
  <c r="Z795" i="1"/>
  <c r="Y795" i="1"/>
  <c r="V795" i="1"/>
  <c r="Y1190" i="1"/>
  <c r="V1190" i="1"/>
  <c r="U1190" i="1"/>
  <c r="S1190" i="1"/>
  <c r="R1190" i="1"/>
  <c r="M1190" i="1"/>
  <c r="Z1190" i="1"/>
  <c r="R1195" i="1"/>
  <c r="M1195" i="1"/>
  <c r="Z1195" i="1"/>
  <c r="Y1195" i="1"/>
  <c r="V1195" i="1"/>
  <c r="U1195" i="1"/>
  <c r="S1195" i="1"/>
  <c r="V192" i="1"/>
  <c r="U192" i="1"/>
  <c r="S192" i="1"/>
  <c r="R192" i="1"/>
  <c r="M192" i="1"/>
  <c r="Z192" i="1"/>
  <c r="Y192" i="1"/>
  <c r="M774" i="1"/>
  <c r="Z774" i="1"/>
  <c r="Y774" i="1"/>
  <c r="V774" i="1"/>
  <c r="U774" i="1"/>
  <c r="S774" i="1"/>
  <c r="R774" i="1"/>
  <c r="Y1034" i="1"/>
  <c r="V1034" i="1"/>
  <c r="U1034" i="1"/>
  <c r="S1034" i="1"/>
  <c r="R1034" i="1"/>
  <c r="M1034" i="1"/>
  <c r="Z1034" i="1"/>
  <c r="S603" i="1"/>
  <c r="R603" i="1"/>
  <c r="Z603" i="1"/>
  <c r="Y603" i="1"/>
  <c r="V603" i="1"/>
  <c r="U603" i="1"/>
  <c r="M603" i="1"/>
  <c r="S1122" i="1"/>
  <c r="R1122" i="1"/>
  <c r="M1122" i="1"/>
  <c r="Z1122" i="1"/>
  <c r="Y1122" i="1"/>
  <c r="V1122" i="1"/>
  <c r="U1122" i="1"/>
  <c r="Y735" i="1"/>
  <c r="V735" i="1"/>
  <c r="U735" i="1"/>
  <c r="S735" i="1"/>
  <c r="R735" i="1"/>
  <c r="M735" i="1"/>
  <c r="Z735" i="1"/>
  <c r="M814" i="1"/>
  <c r="Z814" i="1"/>
  <c r="Y814" i="1"/>
  <c r="V814" i="1"/>
  <c r="U814" i="1"/>
  <c r="S814" i="1"/>
  <c r="R814" i="1"/>
  <c r="V467" i="1"/>
  <c r="U467" i="1"/>
  <c r="S467" i="1"/>
  <c r="R467" i="1"/>
  <c r="M467" i="1"/>
  <c r="Z467" i="1"/>
  <c r="Y467" i="1"/>
  <c r="V914" i="1"/>
  <c r="U914" i="1"/>
  <c r="S914" i="1"/>
  <c r="R914" i="1"/>
  <c r="M914" i="1"/>
  <c r="Z914" i="1"/>
  <c r="Y914" i="1"/>
  <c r="S219" i="1"/>
  <c r="R219" i="1"/>
  <c r="M219" i="1"/>
  <c r="Z219" i="1"/>
  <c r="Y219" i="1"/>
  <c r="V219" i="1"/>
  <c r="U219" i="1"/>
  <c r="M725" i="1"/>
  <c r="Z725" i="1"/>
  <c r="Y725" i="1"/>
  <c r="V725" i="1"/>
  <c r="U725" i="1"/>
  <c r="S725" i="1"/>
  <c r="R725" i="1"/>
  <c r="V1160" i="1"/>
  <c r="U1160" i="1"/>
  <c r="S1160" i="1"/>
  <c r="R1160" i="1"/>
  <c r="M1160" i="1"/>
  <c r="Z1160" i="1"/>
  <c r="Y1160" i="1"/>
  <c r="R644" i="1"/>
  <c r="M644" i="1"/>
  <c r="Z644" i="1"/>
  <c r="Y644" i="1"/>
  <c r="V644" i="1"/>
  <c r="U644" i="1"/>
  <c r="S644" i="1"/>
  <c r="Z734" i="1"/>
  <c r="Y734" i="1"/>
  <c r="V734" i="1"/>
  <c r="U734" i="1"/>
  <c r="S734" i="1"/>
  <c r="R734" i="1"/>
  <c r="M734" i="1"/>
  <c r="Z1506" i="1"/>
  <c r="Y1506" i="1"/>
  <c r="V1506" i="1"/>
  <c r="U1506" i="1"/>
  <c r="S1506" i="1"/>
  <c r="M1506" i="1"/>
  <c r="R1506" i="1"/>
  <c r="R1816" i="1"/>
  <c r="M1816" i="1"/>
  <c r="Z1816" i="1"/>
  <c r="Y1816" i="1"/>
  <c r="V1816" i="1"/>
  <c r="U1816" i="1"/>
  <c r="S1816" i="1"/>
  <c r="R636" i="1"/>
  <c r="M636" i="1"/>
  <c r="Z636" i="1"/>
  <c r="Y636" i="1"/>
  <c r="V636" i="1"/>
  <c r="U636" i="1"/>
  <c r="S636" i="1"/>
  <c r="R1536" i="1"/>
  <c r="M1536" i="1"/>
  <c r="Z1536" i="1"/>
  <c r="Y1536" i="1"/>
  <c r="V1536" i="1"/>
  <c r="U1536" i="1"/>
  <c r="S1536" i="1"/>
  <c r="V1767" i="1"/>
  <c r="U1767" i="1"/>
  <c r="S1767" i="1"/>
  <c r="R1767" i="1"/>
  <c r="M1767" i="1"/>
  <c r="Z1767" i="1"/>
  <c r="Y1767" i="1"/>
  <c r="U1550" i="1"/>
  <c r="S1550" i="1"/>
  <c r="R1550" i="1"/>
  <c r="M1550" i="1"/>
  <c r="Z1550" i="1"/>
  <c r="Y1550" i="1"/>
  <c r="V1550" i="1"/>
  <c r="Z1433" i="1"/>
  <c r="Y1433" i="1"/>
  <c r="V1433" i="1"/>
  <c r="U1433" i="1"/>
  <c r="S1433" i="1"/>
  <c r="R1433" i="1"/>
  <c r="M1433" i="1"/>
  <c r="Y1954" i="1"/>
  <c r="V1954" i="1"/>
  <c r="U1954" i="1"/>
  <c r="S1954" i="1"/>
  <c r="R1954" i="1"/>
  <c r="Z1954" i="1"/>
  <c r="M1954" i="1"/>
  <c r="Z1361" i="1"/>
  <c r="Y1361" i="1"/>
  <c r="V1361" i="1"/>
  <c r="U1361" i="1"/>
  <c r="S1361" i="1"/>
  <c r="R1361" i="1"/>
  <c r="M1361" i="1"/>
  <c r="Y1699" i="1"/>
  <c r="V1699" i="1"/>
  <c r="U1699" i="1"/>
  <c r="S1699" i="1"/>
  <c r="R1699" i="1"/>
  <c r="M1699" i="1"/>
  <c r="Z1699" i="1"/>
  <c r="V632" i="1"/>
  <c r="U632" i="1"/>
  <c r="S632" i="1"/>
  <c r="R632" i="1"/>
  <c r="M632" i="1"/>
  <c r="Z632" i="1"/>
  <c r="Y632" i="1"/>
  <c r="S1761" i="1"/>
  <c r="R1761" i="1"/>
  <c r="M1761" i="1"/>
  <c r="Z1761" i="1"/>
  <c r="Y1761" i="1"/>
  <c r="U1761" i="1"/>
  <c r="V1761" i="1"/>
  <c r="Y1878" i="1"/>
  <c r="V1878" i="1"/>
  <c r="U1878" i="1"/>
  <c r="S1878" i="1"/>
  <c r="R1878" i="1"/>
  <c r="M1878" i="1"/>
  <c r="Z1878" i="1"/>
  <c r="R1255" i="1"/>
  <c r="M1255" i="1"/>
  <c r="Z1255" i="1"/>
  <c r="Y1255" i="1"/>
  <c r="V1255" i="1"/>
  <c r="U1255" i="1"/>
  <c r="S1255" i="1"/>
  <c r="S1511" i="1"/>
  <c r="R1511" i="1"/>
  <c r="M1511" i="1"/>
  <c r="Z1511" i="1"/>
  <c r="Y1511" i="1"/>
  <c r="U1511" i="1"/>
  <c r="V1511" i="1"/>
  <c r="R1375" i="1"/>
  <c r="M1375" i="1"/>
  <c r="Z1375" i="1"/>
  <c r="Y1375" i="1"/>
  <c r="V1375" i="1"/>
  <c r="U1375" i="1"/>
  <c r="S1375" i="1"/>
  <c r="V1693" i="1"/>
  <c r="U1693" i="1"/>
  <c r="S1693" i="1"/>
  <c r="R1693" i="1"/>
  <c r="M1693" i="1"/>
  <c r="Z1693" i="1"/>
  <c r="Y1693" i="1"/>
  <c r="Y1590" i="1"/>
  <c r="V1590" i="1"/>
  <c r="U1590" i="1"/>
  <c r="S1590" i="1"/>
  <c r="R1590" i="1"/>
  <c r="M1590" i="1"/>
  <c r="Z1590" i="1"/>
  <c r="M1513" i="1"/>
  <c r="Z1513" i="1"/>
  <c r="Y1513" i="1"/>
  <c r="V1513" i="1"/>
  <c r="U1513" i="1"/>
  <c r="S1513" i="1"/>
  <c r="R1513" i="1"/>
  <c r="M1952" i="1"/>
  <c r="Z1952" i="1"/>
  <c r="Y1952" i="1"/>
  <c r="V1952" i="1"/>
  <c r="U1952" i="1"/>
  <c r="R1952" i="1"/>
  <c r="S1952" i="1"/>
  <c r="S1930" i="1"/>
  <c r="R1930" i="1"/>
  <c r="M1930" i="1"/>
  <c r="Z1930" i="1"/>
  <c r="Y1930" i="1"/>
  <c r="V1930" i="1"/>
  <c r="U1930" i="1"/>
  <c r="V1896" i="1"/>
  <c r="U1896" i="1"/>
  <c r="S1896" i="1"/>
  <c r="R1896" i="1"/>
  <c r="M1896" i="1"/>
  <c r="Z1896" i="1"/>
  <c r="Y1896" i="1"/>
  <c r="U1768" i="1"/>
  <c r="S1768" i="1"/>
  <c r="R1768" i="1"/>
  <c r="M1768" i="1"/>
  <c r="Z1768" i="1"/>
  <c r="Y1768" i="1"/>
  <c r="V1768" i="1"/>
  <c r="U1445" i="1"/>
  <c r="S1445" i="1"/>
  <c r="R1445" i="1"/>
  <c r="M1445" i="1"/>
  <c r="Z1445" i="1"/>
  <c r="Y1445" i="1"/>
  <c r="V1445" i="1"/>
  <c r="Y1978" i="1"/>
  <c r="V1978" i="1"/>
  <c r="U1978" i="1"/>
  <c r="S1978" i="1"/>
  <c r="R1978" i="1"/>
  <c r="M1978" i="1"/>
  <c r="Z1978" i="1"/>
  <c r="S427" i="1"/>
  <c r="R427" i="1"/>
  <c r="Z427" i="1"/>
  <c r="Y427" i="1"/>
  <c r="V427" i="1"/>
  <c r="U427" i="1"/>
  <c r="M427" i="1"/>
  <c r="Z1393" i="1"/>
  <c r="Y1393" i="1"/>
  <c r="U1393" i="1"/>
  <c r="V1393" i="1"/>
  <c r="S1393" i="1"/>
  <c r="R1393" i="1"/>
  <c r="M1393" i="1"/>
  <c r="S1866" i="1"/>
  <c r="R1866" i="1"/>
  <c r="M1866" i="1"/>
  <c r="Y1866" i="1"/>
  <c r="V1866" i="1"/>
  <c r="Z1866" i="1"/>
  <c r="U1866" i="1"/>
  <c r="V36" i="1"/>
  <c r="U36" i="1"/>
  <c r="S36" i="1"/>
  <c r="R36" i="1"/>
  <c r="M36" i="1"/>
  <c r="Z36" i="1"/>
  <c r="Y36" i="1"/>
  <c r="Z166" i="1"/>
  <c r="Y166" i="1"/>
  <c r="V166" i="1"/>
  <c r="U166" i="1"/>
  <c r="S166" i="1"/>
  <c r="R166" i="1"/>
  <c r="M166" i="1"/>
  <c r="Z94" i="1"/>
  <c r="V94" i="1"/>
  <c r="U94" i="1"/>
  <c r="S94" i="1"/>
  <c r="M94" i="1"/>
  <c r="Y94" i="1"/>
  <c r="R94" i="1"/>
  <c r="S163" i="1"/>
  <c r="R163" i="1"/>
  <c r="M163" i="1"/>
  <c r="Z163" i="1"/>
  <c r="Y163" i="1"/>
  <c r="V163" i="1"/>
  <c r="U163" i="1"/>
  <c r="Y103" i="1"/>
  <c r="U103" i="1"/>
  <c r="S103" i="1"/>
  <c r="R103" i="1"/>
  <c r="Z103" i="1"/>
  <c r="M103" i="1"/>
  <c r="V103" i="1"/>
  <c r="V1700" i="1"/>
  <c r="U1700" i="1"/>
  <c r="S1700" i="1"/>
  <c r="R1700" i="1"/>
  <c r="M1700" i="1"/>
  <c r="Z1700" i="1"/>
  <c r="Y1700" i="1"/>
  <c r="V873" i="1"/>
  <c r="U873" i="1"/>
  <c r="S873" i="1"/>
  <c r="R873" i="1"/>
  <c r="M873" i="1"/>
  <c r="Z873" i="1"/>
  <c r="Y873" i="1"/>
  <c r="R172" i="1"/>
  <c r="M172" i="1"/>
  <c r="Z172" i="1"/>
  <c r="Y172" i="1"/>
  <c r="V172" i="1"/>
  <c r="U172" i="1"/>
  <c r="S172" i="1"/>
  <c r="Y1214" i="1"/>
  <c r="V1214" i="1"/>
  <c r="U1214" i="1"/>
  <c r="S1214" i="1"/>
  <c r="R1214" i="1"/>
  <c r="M1214" i="1"/>
  <c r="Z1214" i="1"/>
  <c r="S337" i="1"/>
  <c r="R337" i="1"/>
  <c r="M337" i="1"/>
  <c r="Z337" i="1"/>
  <c r="Y337" i="1"/>
  <c r="V337" i="1"/>
  <c r="U337" i="1"/>
  <c r="R1808" i="1"/>
  <c r="M1808" i="1"/>
  <c r="Z1808" i="1"/>
  <c r="Y1808" i="1"/>
  <c r="V1808" i="1"/>
  <c r="U1808" i="1"/>
  <c r="S1808" i="1"/>
  <c r="V849" i="1"/>
  <c r="U849" i="1"/>
  <c r="S849" i="1"/>
  <c r="R849" i="1"/>
  <c r="M849" i="1"/>
  <c r="Z849" i="1"/>
  <c r="Y849" i="1"/>
  <c r="R204" i="1"/>
  <c r="M204" i="1"/>
  <c r="Z204" i="1"/>
  <c r="Y204" i="1"/>
  <c r="V204" i="1"/>
  <c r="U204" i="1"/>
  <c r="S204" i="1"/>
  <c r="Y1182" i="1"/>
  <c r="V1182" i="1"/>
  <c r="U1182" i="1"/>
  <c r="S1182" i="1"/>
  <c r="R1182" i="1"/>
  <c r="M1182" i="1"/>
  <c r="Z1182" i="1"/>
  <c r="M331" i="1"/>
  <c r="Z331" i="1"/>
  <c r="Y331" i="1"/>
  <c r="V331" i="1"/>
  <c r="U331" i="1"/>
  <c r="S331" i="1"/>
  <c r="R331" i="1"/>
  <c r="U1776" i="1"/>
  <c r="S1776" i="1"/>
  <c r="R1776" i="1"/>
  <c r="M1776" i="1"/>
  <c r="Z1776" i="1"/>
  <c r="Y1776" i="1"/>
  <c r="V1776" i="1"/>
  <c r="V817" i="1"/>
  <c r="U817" i="1"/>
  <c r="S817" i="1"/>
  <c r="R817" i="1"/>
  <c r="M817" i="1"/>
  <c r="Z817" i="1"/>
  <c r="Y817" i="1"/>
  <c r="V1853" i="1"/>
  <c r="U1853" i="1"/>
  <c r="S1853" i="1"/>
  <c r="R1853" i="1"/>
  <c r="M1853" i="1"/>
  <c r="Z1853" i="1"/>
  <c r="Y1853" i="1"/>
  <c r="V673" i="1"/>
  <c r="U673" i="1"/>
  <c r="S673" i="1"/>
  <c r="R673" i="1"/>
  <c r="M673" i="1"/>
  <c r="Z673" i="1"/>
  <c r="Y673" i="1"/>
  <c r="Y215" i="1"/>
  <c r="V215" i="1"/>
  <c r="U215" i="1"/>
  <c r="S215" i="1"/>
  <c r="R215" i="1"/>
  <c r="M215" i="1"/>
  <c r="Z215" i="1"/>
  <c r="S1382" i="1"/>
  <c r="R1382" i="1"/>
  <c r="M1382" i="1"/>
  <c r="Z1382" i="1"/>
  <c r="Y1382" i="1"/>
  <c r="V1382" i="1"/>
  <c r="U1382" i="1"/>
  <c r="U400" i="1"/>
  <c r="S400" i="1"/>
  <c r="R400" i="1"/>
  <c r="M400" i="1"/>
  <c r="Z400" i="1"/>
  <c r="Y400" i="1"/>
  <c r="V400" i="1"/>
  <c r="V1548" i="1"/>
  <c r="U1548" i="1"/>
  <c r="S1548" i="1"/>
  <c r="R1548" i="1"/>
  <c r="M1548" i="1"/>
  <c r="Z1548" i="1"/>
  <c r="Y1548" i="1"/>
  <c r="Z887" i="1"/>
  <c r="Y887" i="1"/>
  <c r="V887" i="1"/>
  <c r="U887" i="1"/>
  <c r="S887" i="1"/>
  <c r="R887" i="1"/>
  <c r="M887" i="1"/>
  <c r="U859" i="1"/>
  <c r="S859" i="1"/>
  <c r="R859" i="1"/>
  <c r="M859" i="1"/>
  <c r="Z859" i="1"/>
  <c r="Y859" i="1"/>
  <c r="V859" i="1"/>
  <c r="S1318" i="1"/>
  <c r="R1318" i="1"/>
  <c r="M1318" i="1"/>
  <c r="Z1318" i="1"/>
  <c r="Y1318" i="1"/>
  <c r="V1318" i="1"/>
  <c r="U1318" i="1"/>
  <c r="V1323" i="1"/>
  <c r="U1323" i="1"/>
  <c r="S1323" i="1"/>
  <c r="R1323" i="1"/>
  <c r="M1323" i="1"/>
  <c r="Z1323" i="1"/>
  <c r="Y1323" i="1"/>
  <c r="U320" i="1"/>
  <c r="S320" i="1"/>
  <c r="R320" i="1"/>
  <c r="M320" i="1"/>
  <c r="Z320" i="1"/>
  <c r="Y320" i="1"/>
  <c r="V320" i="1"/>
  <c r="M902" i="1"/>
  <c r="Z902" i="1"/>
  <c r="Y902" i="1"/>
  <c r="V902" i="1"/>
  <c r="U902" i="1"/>
  <c r="S902" i="1"/>
  <c r="R902" i="1"/>
  <c r="V696" i="1"/>
  <c r="U696" i="1"/>
  <c r="S696" i="1"/>
  <c r="R696" i="1"/>
  <c r="M696" i="1"/>
  <c r="Z696" i="1"/>
  <c r="Y696" i="1"/>
  <c r="U429" i="1"/>
  <c r="M429" i="1"/>
  <c r="Z429" i="1"/>
  <c r="Y429" i="1"/>
  <c r="V429" i="1"/>
  <c r="S429" i="1"/>
  <c r="R429" i="1"/>
  <c r="M1196" i="1"/>
  <c r="Z1196" i="1"/>
  <c r="Y1196" i="1"/>
  <c r="V1196" i="1"/>
  <c r="U1196" i="1"/>
  <c r="S1196" i="1"/>
  <c r="R1196" i="1"/>
  <c r="Z863" i="1"/>
  <c r="Y863" i="1"/>
  <c r="V863" i="1"/>
  <c r="U863" i="1"/>
  <c r="S863" i="1"/>
  <c r="R863" i="1"/>
  <c r="M863" i="1"/>
  <c r="S942" i="1"/>
  <c r="R942" i="1"/>
  <c r="M942" i="1"/>
  <c r="Z942" i="1"/>
  <c r="Y942" i="1"/>
  <c r="V942" i="1"/>
  <c r="U942" i="1"/>
  <c r="V600" i="1"/>
  <c r="S600" i="1"/>
  <c r="R600" i="1"/>
  <c r="M600" i="1"/>
  <c r="Z600" i="1"/>
  <c r="Y600" i="1"/>
  <c r="U600" i="1"/>
  <c r="Y1042" i="1"/>
  <c r="V1042" i="1"/>
  <c r="U1042" i="1"/>
  <c r="S1042" i="1"/>
  <c r="R1042" i="1"/>
  <c r="M1042" i="1"/>
  <c r="Z1042" i="1"/>
  <c r="S542" i="1"/>
  <c r="R542" i="1"/>
  <c r="M542" i="1"/>
  <c r="Z542" i="1"/>
  <c r="Y542" i="1"/>
  <c r="V542" i="1"/>
  <c r="U542" i="1"/>
  <c r="R853" i="1"/>
  <c r="M853" i="1"/>
  <c r="Z853" i="1"/>
  <c r="Y853" i="1"/>
  <c r="V853" i="1"/>
  <c r="U853" i="1"/>
  <c r="S853" i="1"/>
  <c r="S1226" i="1"/>
  <c r="R1226" i="1"/>
  <c r="M1226" i="1"/>
  <c r="Z1226" i="1"/>
  <c r="Y1226" i="1"/>
  <c r="V1226" i="1"/>
  <c r="U1226" i="1"/>
  <c r="Z783" i="1"/>
  <c r="Y783" i="1"/>
  <c r="V783" i="1"/>
  <c r="U783" i="1"/>
  <c r="S783" i="1"/>
  <c r="R783" i="1"/>
  <c r="M783" i="1"/>
  <c r="V931" i="1"/>
  <c r="S931" i="1"/>
  <c r="R931" i="1"/>
  <c r="M931" i="1"/>
  <c r="Z931" i="1"/>
  <c r="Y931" i="1"/>
  <c r="U931" i="1"/>
  <c r="S1634" i="1"/>
  <c r="R1634" i="1"/>
  <c r="M1634" i="1"/>
  <c r="Z1634" i="1"/>
  <c r="Y1634" i="1"/>
  <c r="V1634" i="1"/>
  <c r="U1634" i="1"/>
  <c r="R1907" i="1"/>
  <c r="M1907" i="1"/>
  <c r="Z1907" i="1"/>
  <c r="Y1907" i="1"/>
  <c r="V1907" i="1"/>
  <c r="U1907" i="1"/>
  <c r="S1907" i="1"/>
  <c r="V956" i="1"/>
  <c r="U956" i="1"/>
  <c r="S956" i="1"/>
  <c r="R956" i="1"/>
  <c r="M956" i="1"/>
  <c r="Z956" i="1"/>
  <c r="Y956" i="1"/>
  <c r="R1648" i="1"/>
  <c r="M1648" i="1"/>
  <c r="Z1648" i="1"/>
  <c r="S1648" i="1"/>
  <c r="Y1648" i="1"/>
  <c r="V1648" i="1"/>
  <c r="U1648" i="1"/>
  <c r="Z1909" i="1"/>
  <c r="Y1909" i="1"/>
  <c r="V1909" i="1"/>
  <c r="U1909" i="1"/>
  <c r="S1909" i="1"/>
  <c r="R1909" i="1"/>
  <c r="M1909" i="1"/>
  <c r="Y1614" i="1"/>
  <c r="V1614" i="1"/>
  <c r="U1614" i="1"/>
  <c r="S1614" i="1"/>
  <c r="R1614" i="1"/>
  <c r="M1614" i="1"/>
  <c r="Z1614" i="1"/>
  <c r="M1561" i="1"/>
  <c r="Z1561" i="1"/>
  <c r="Y1561" i="1"/>
  <c r="V1561" i="1"/>
  <c r="U1561" i="1"/>
  <c r="S1561" i="1"/>
  <c r="R1561" i="1"/>
  <c r="Y2018" i="1"/>
  <c r="V2018" i="1"/>
  <c r="U2018" i="1"/>
  <c r="S2018" i="1"/>
  <c r="R2018" i="1"/>
  <c r="M2018" i="1"/>
  <c r="Z2018" i="1"/>
  <c r="Z1554" i="1"/>
  <c r="Y1554" i="1"/>
  <c r="V1554" i="1"/>
  <c r="U1554" i="1"/>
  <c r="S1554" i="1"/>
  <c r="R1554" i="1"/>
  <c r="M1554" i="1"/>
  <c r="Y1795" i="1"/>
  <c r="V1795" i="1"/>
  <c r="R1795" i="1"/>
  <c r="M1795" i="1"/>
  <c r="Z1795" i="1"/>
  <c r="U1795" i="1"/>
  <c r="S1795" i="1"/>
  <c r="Y840" i="1"/>
  <c r="V840" i="1"/>
  <c r="U840" i="1"/>
  <c r="S840" i="1"/>
  <c r="R840" i="1"/>
  <c r="M840" i="1"/>
  <c r="Z840" i="1"/>
  <c r="S1519" i="1"/>
  <c r="R1519" i="1"/>
  <c r="M1519" i="1"/>
  <c r="Z1519" i="1"/>
  <c r="Y1519" i="1"/>
  <c r="V1519" i="1"/>
  <c r="U1519" i="1"/>
  <c r="S1958" i="1"/>
  <c r="R1958" i="1"/>
  <c r="M1958" i="1"/>
  <c r="Z1958" i="1"/>
  <c r="Y1958" i="1"/>
  <c r="V1958" i="1"/>
  <c r="U1958" i="1"/>
  <c r="U1373" i="1"/>
  <c r="S1373" i="1"/>
  <c r="R1373" i="1"/>
  <c r="M1373" i="1"/>
  <c r="Z1373" i="1"/>
  <c r="Y1373" i="1"/>
  <c r="V1373" i="1"/>
  <c r="S1639" i="1"/>
  <c r="M1639" i="1"/>
  <c r="Z1639" i="1"/>
  <c r="Y1639" i="1"/>
  <c r="V1639" i="1"/>
  <c r="U1639" i="1"/>
  <c r="R1639" i="1"/>
  <c r="U1193" i="1"/>
  <c r="S1193" i="1"/>
  <c r="R1193" i="1"/>
  <c r="M1193" i="1"/>
  <c r="Z1193" i="1"/>
  <c r="Y1193" i="1"/>
  <c r="V1193" i="1"/>
  <c r="Y1531" i="1"/>
  <c r="V1531" i="1"/>
  <c r="U1531" i="1"/>
  <c r="S1531" i="1"/>
  <c r="R1531" i="1"/>
  <c r="M1531" i="1"/>
  <c r="Z1531" i="1"/>
  <c r="U1654" i="1"/>
  <c r="S1654" i="1"/>
  <c r="R1654" i="1"/>
  <c r="Z1654" i="1"/>
  <c r="Y1654" i="1"/>
  <c r="V1654" i="1"/>
  <c r="M1654" i="1"/>
  <c r="M1641" i="1"/>
  <c r="Z1641" i="1"/>
  <c r="Y1641" i="1"/>
  <c r="U1641" i="1"/>
  <c r="S1641" i="1"/>
  <c r="R1641" i="1"/>
  <c r="V1641" i="1"/>
  <c r="V1979" i="1"/>
  <c r="U1979" i="1"/>
  <c r="S1979" i="1"/>
  <c r="R1979" i="1"/>
  <c r="M1979" i="1"/>
  <c r="Z1979" i="1"/>
  <c r="Y1979" i="1"/>
  <c r="M2000" i="1"/>
  <c r="Z2000" i="1"/>
  <c r="Y2000" i="1"/>
  <c r="V2000" i="1"/>
  <c r="U2000" i="1"/>
  <c r="S2000" i="1"/>
  <c r="R2000" i="1"/>
  <c r="S1966" i="1"/>
  <c r="R1966" i="1"/>
  <c r="M1966" i="1"/>
  <c r="Z1966" i="1"/>
  <c r="Y1966" i="1"/>
  <c r="V1966" i="1"/>
  <c r="U1966" i="1"/>
  <c r="U1429" i="1"/>
  <c r="S1429" i="1"/>
  <c r="R1429" i="1"/>
  <c r="M1429" i="1"/>
  <c r="Z1429" i="1"/>
  <c r="Y1429" i="1"/>
  <c r="V1429" i="1"/>
  <c r="V1616" i="1"/>
  <c r="U1616" i="1"/>
  <c r="S1616" i="1"/>
  <c r="R1616" i="1"/>
  <c r="M1616" i="1"/>
  <c r="Z1616" i="1"/>
  <c r="Y1616" i="1"/>
  <c r="V1904" i="1"/>
  <c r="U1904" i="1"/>
  <c r="S1904" i="1"/>
  <c r="R1904" i="1"/>
  <c r="M1904" i="1"/>
  <c r="Z1904" i="1"/>
  <c r="Y1904" i="1"/>
  <c r="R92" i="1"/>
  <c r="Y92" i="1"/>
  <c r="V92" i="1"/>
  <c r="Z92" i="1"/>
  <c r="U92" i="1"/>
  <c r="S92" i="1"/>
  <c r="M92" i="1"/>
  <c r="V128" i="1"/>
  <c r="U128" i="1"/>
  <c r="S128" i="1"/>
  <c r="R128" i="1"/>
  <c r="M128" i="1"/>
  <c r="Z128" i="1"/>
  <c r="Y128" i="1"/>
  <c r="S123" i="1"/>
  <c r="R123" i="1"/>
  <c r="Z123" i="1"/>
  <c r="Y123" i="1"/>
  <c r="V123" i="1"/>
  <c r="U123" i="1"/>
  <c r="M123" i="1"/>
  <c r="Z57" i="1"/>
  <c r="Y57" i="1"/>
  <c r="V57" i="1"/>
  <c r="U57" i="1"/>
  <c r="S57" i="1"/>
  <c r="R57" i="1"/>
  <c r="M57" i="1"/>
  <c r="S430" i="1"/>
  <c r="Z430" i="1"/>
  <c r="Y430" i="1"/>
  <c r="V430" i="1"/>
  <c r="U430" i="1"/>
  <c r="R430" i="1"/>
  <c r="M430" i="1"/>
  <c r="R1147" i="1"/>
  <c r="M1147" i="1"/>
  <c r="Z1147" i="1"/>
  <c r="Y1147" i="1"/>
  <c r="V1147" i="1"/>
  <c r="U1147" i="1"/>
  <c r="S1147" i="1"/>
  <c r="M229" i="1"/>
  <c r="Z229" i="1"/>
  <c r="Y229" i="1"/>
  <c r="V229" i="1"/>
  <c r="U229" i="1"/>
  <c r="S229" i="1"/>
  <c r="R229" i="1"/>
  <c r="V1726" i="1"/>
  <c r="U1726" i="1"/>
  <c r="S1726" i="1"/>
  <c r="Y1726" i="1"/>
  <c r="R1726" i="1"/>
  <c r="M1726" i="1"/>
  <c r="Z1726" i="1"/>
  <c r="Y727" i="1"/>
  <c r="V727" i="1"/>
  <c r="U727" i="1"/>
  <c r="S727" i="1"/>
  <c r="R727" i="1"/>
  <c r="M727" i="1"/>
  <c r="Z727" i="1"/>
  <c r="R322" i="1"/>
  <c r="M322" i="1"/>
  <c r="Z322" i="1"/>
  <c r="Y322" i="1"/>
  <c r="V322" i="1"/>
  <c r="U322" i="1"/>
  <c r="S322" i="1"/>
  <c r="M1352" i="1"/>
  <c r="Z1352" i="1"/>
  <c r="Y1352" i="1"/>
  <c r="V1352" i="1"/>
  <c r="U1352" i="1"/>
  <c r="S1352" i="1"/>
  <c r="R1352" i="1"/>
  <c r="V516" i="1"/>
  <c r="U516" i="1"/>
  <c r="S516" i="1"/>
  <c r="R516" i="1"/>
  <c r="M516" i="1"/>
  <c r="Z516" i="1"/>
  <c r="Y516" i="1"/>
  <c r="V1750" i="1"/>
  <c r="U1750" i="1"/>
  <c r="S1750" i="1"/>
  <c r="R1750" i="1"/>
  <c r="M1750" i="1"/>
  <c r="Y1750" i="1"/>
  <c r="Z1750" i="1"/>
  <c r="Y695" i="1"/>
  <c r="V695" i="1"/>
  <c r="U695" i="1"/>
  <c r="S695" i="1"/>
  <c r="R695" i="1"/>
  <c r="M695" i="1"/>
  <c r="Z695" i="1"/>
  <c r="R354" i="1"/>
  <c r="M354" i="1"/>
  <c r="Z354" i="1"/>
  <c r="Y354" i="1"/>
  <c r="V354" i="1"/>
  <c r="U354" i="1"/>
  <c r="S354" i="1"/>
  <c r="M1320" i="1"/>
  <c r="Z1320" i="1"/>
  <c r="Y1320" i="1"/>
  <c r="V1320" i="1"/>
  <c r="U1320" i="1"/>
  <c r="S1320" i="1"/>
  <c r="R1320" i="1"/>
  <c r="V484" i="1"/>
  <c r="U484" i="1"/>
  <c r="S484" i="1"/>
  <c r="R484" i="1"/>
  <c r="M484" i="1"/>
  <c r="Z484" i="1"/>
  <c r="Y484" i="1"/>
  <c r="Y1354" i="1"/>
  <c r="V1354" i="1"/>
  <c r="U1354" i="1"/>
  <c r="S1354" i="1"/>
  <c r="R1354" i="1"/>
  <c r="M1354" i="1"/>
  <c r="Z1354" i="1"/>
  <c r="M669" i="1"/>
  <c r="Z669" i="1"/>
  <c r="Y669" i="1"/>
  <c r="V669" i="1"/>
  <c r="U669" i="1"/>
  <c r="S669" i="1"/>
  <c r="R669" i="1"/>
  <c r="U1744" i="1"/>
  <c r="S1744" i="1"/>
  <c r="R1744" i="1"/>
  <c r="M1744" i="1"/>
  <c r="Z1744" i="1"/>
  <c r="Y1744" i="1"/>
  <c r="V1744" i="1"/>
  <c r="V785" i="1"/>
  <c r="U785" i="1"/>
  <c r="S785" i="1"/>
  <c r="R785" i="1"/>
  <c r="M785" i="1"/>
  <c r="Z785" i="1"/>
  <c r="Y785" i="1"/>
  <c r="Z268" i="1"/>
  <c r="Y268" i="1"/>
  <c r="V268" i="1"/>
  <c r="U268" i="1"/>
  <c r="S268" i="1"/>
  <c r="R268" i="1"/>
  <c r="M268" i="1"/>
  <c r="M1328" i="1"/>
  <c r="Z1328" i="1"/>
  <c r="Y1328" i="1"/>
  <c r="V1328" i="1"/>
  <c r="U1328" i="1"/>
  <c r="S1328" i="1"/>
  <c r="R1328" i="1"/>
  <c r="V444" i="1"/>
  <c r="U444" i="1"/>
  <c r="R444" i="1"/>
  <c r="M444" i="1"/>
  <c r="Z444" i="1"/>
  <c r="Y444" i="1"/>
  <c r="S444" i="1"/>
  <c r="Z473" i="1"/>
  <c r="Y473" i="1"/>
  <c r="V473" i="1"/>
  <c r="U473" i="1"/>
  <c r="S473" i="1"/>
  <c r="R473" i="1"/>
  <c r="M473" i="1"/>
  <c r="V1036" i="1"/>
  <c r="U1036" i="1"/>
  <c r="S1036" i="1"/>
  <c r="R1036" i="1"/>
  <c r="M1036" i="1"/>
  <c r="Z1036" i="1"/>
  <c r="Y1036" i="1"/>
  <c r="U453" i="1"/>
  <c r="S453" i="1"/>
  <c r="M453" i="1"/>
  <c r="Z453" i="1"/>
  <c r="Y453" i="1"/>
  <c r="R453" i="1"/>
  <c r="V453" i="1"/>
  <c r="U541" i="1"/>
  <c r="S541" i="1"/>
  <c r="R541" i="1"/>
  <c r="M541" i="1"/>
  <c r="Z541" i="1"/>
  <c r="Y541" i="1"/>
  <c r="V541" i="1"/>
  <c r="V1308" i="1"/>
  <c r="U1308" i="1"/>
  <c r="S1308" i="1"/>
  <c r="R1308" i="1"/>
  <c r="M1308" i="1"/>
  <c r="Z1308" i="1"/>
  <c r="Y1308" i="1"/>
  <c r="Z238" i="1"/>
  <c r="Y238" i="1"/>
  <c r="V238" i="1"/>
  <c r="U238" i="1"/>
  <c r="S238" i="1"/>
  <c r="R238" i="1"/>
  <c r="M238" i="1"/>
  <c r="S1046" i="1"/>
  <c r="R1046" i="1"/>
  <c r="M1046" i="1"/>
  <c r="Z1046" i="1"/>
  <c r="Y1046" i="1"/>
  <c r="V1046" i="1"/>
  <c r="U1046" i="1"/>
  <c r="Z622" i="1"/>
  <c r="Y622" i="1"/>
  <c r="V622" i="1"/>
  <c r="U622" i="1"/>
  <c r="S622" i="1"/>
  <c r="R622" i="1"/>
  <c r="M622" i="1"/>
  <c r="V1076" i="1"/>
  <c r="U1076" i="1"/>
  <c r="S1076" i="1"/>
  <c r="R1076" i="1"/>
  <c r="M1076" i="1"/>
  <c r="Z1076" i="1"/>
  <c r="Y1076" i="1"/>
  <c r="Y599" i="1"/>
  <c r="U599" i="1"/>
  <c r="S599" i="1"/>
  <c r="R599" i="1"/>
  <c r="M599" i="1"/>
  <c r="Z599" i="1"/>
  <c r="V599" i="1"/>
  <c r="V407" i="1"/>
  <c r="U407" i="1"/>
  <c r="S407" i="1"/>
  <c r="R407" i="1"/>
  <c r="M407" i="1"/>
  <c r="Z407" i="1"/>
  <c r="Y407" i="1"/>
  <c r="Y1298" i="1"/>
  <c r="V1298" i="1"/>
  <c r="U1298" i="1"/>
  <c r="S1298" i="1"/>
  <c r="R1298" i="1"/>
  <c r="M1298" i="1"/>
  <c r="Z1298" i="1"/>
  <c r="Z449" i="1"/>
  <c r="Y449" i="1"/>
  <c r="V449" i="1"/>
  <c r="U449" i="1"/>
  <c r="S449" i="1"/>
  <c r="R449" i="1"/>
  <c r="M449" i="1"/>
  <c r="V720" i="1"/>
  <c r="U720" i="1"/>
  <c r="S720" i="1"/>
  <c r="R720" i="1"/>
  <c r="M720" i="1"/>
  <c r="Z720" i="1"/>
  <c r="Y720" i="1"/>
  <c r="U549" i="1"/>
  <c r="S549" i="1"/>
  <c r="R549" i="1"/>
  <c r="M549" i="1"/>
  <c r="Z549" i="1"/>
  <c r="Y549" i="1"/>
  <c r="V549" i="1"/>
  <c r="V1012" i="1"/>
  <c r="U1012" i="1"/>
  <c r="S1012" i="1"/>
  <c r="R1012" i="1"/>
  <c r="M1012" i="1"/>
  <c r="Z1012" i="1"/>
  <c r="Y1012" i="1"/>
  <c r="U1225" i="1"/>
  <c r="S1225" i="1"/>
  <c r="R1225" i="1"/>
  <c r="M1225" i="1"/>
  <c r="Z1225" i="1"/>
  <c r="Y1225" i="1"/>
  <c r="V1225" i="1"/>
  <c r="Z1563" i="1"/>
  <c r="V1563" i="1"/>
  <c r="Y1563" i="1"/>
  <c r="U1563" i="1"/>
  <c r="S1563" i="1"/>
  <c r="R1563" i="1"/>
  <c r="M1563" i="1"/>
  <c r="V1919" i="1"/>
  <c r="U1919" i="1"/>
  <c r="S1919" i="1"/>
  <c r="R1919" i="1"/>
  <c r="M1919" i="1"/>
  <c r="Z1919" i="1"/>
  <c r="Y1919" i="1"/>
  <c r="U1405" i="1"/>
  <c r="S1405" i="1"/>
  <c r="R1405" i="1"/>
  <c r="M1405" i="1"/>
  <c r="Z1405" i="1"/>
  <c r="Y1405" i="1"/>
  <c r="V1405" i="1"/>
  <c r="S1703" i="1"/>
  <c r="R1703" i="1"/>
  <c r="M1703" i="1"/>
  <c r="Z1703" i="1"/>
  <c r="Y1703" i="1"/>
  <c r="V1703" i="1"/>
  <c r="U1703" i="1"/>
  <c r="M766" i="1"/>
  <c r="Y766" i="1"/>
  <c r="V766" i="1"/>
  <c r="U766" i="1"/>
  <c r="S766" i="1"/>
  <c r="R766" i="1"/>
  <c r="Z766" i="1"/>
  <c r="S1438" i="1"/>
  <c r="R1438" i="1"/>
  <c r="M1438" i="1"/>
  <c r="Z1438" i="1"/>
  <c r="Y1438" i="1"/>
  <c r="V1438" i="1"/>
  <c r="U1438" i="1"/>
  <c r="M1801" i="1"/>
  <c r="Z1801" i="1"/>
  <c r="Y1801" i="1"/>
  <c r="V1801" i="1"/>
  <c r="U1801" i="1"/>
  <c r="S1801" i="1"/>
  <c r="R1801" i="1"/>
  <c r="S1446" i="1"/>
  <c r="R1446" i="1"/>
  <c r="M1446" i="1"/>
  <c r="Z1446" i="1"/>
  <c r="Y1446" i="1"/>
  <c r="V1446" i="1"/>
  <c r="U1446" i="1"/>
  <c r="Y1483" i="1"/>
  <c r="V1483" i="1"/>
  <c r="U1483" i="1"/>
  <c r="R1483" i="1"/>
  <c r="Z1483" i="1"/>
  <c r="S1483" i="1"/>
  <c r="M1483" i="1"/>
  <c r="R1856" i="1"/>
  <c r="M1856" i="1"/>
  <c r="Z1856" i="1"/>
  <c r="Y1856" i="1"/>
  <c r="V1856" i="1"/>
  <c r="U1856" i="1"/>
  <c r="S1856" i="1"/>
  <c r="V1411" i="1"/>
  <c r="U1411" i="1"/>
  <c r="S1411" i="1"/>
  <c r="R1411" i="1"/>
  <c r="M1411" i="1"/>
  <c r="Z1411" i="1"/>
  <c r="Y1411" i="1"/>
  <c r="V1459" i="1"/>
  <c r="U1459" i="1"/>
  <c r="S1459" i="1"/>
  <c r="R1459" i="1"/>
  <c r="M1459" i="1"/>
  <c r="Z1459" i="1"/>
  <c r="Y1459" i="1"/>
  <c r="Y1266" i="1"/>
  <c r="V1266" i="1"/>
  <c r="U1266" i="1"/>
  <c r="S1266" i="1"/>
  <c r="R1266" i="1"/>
  <c r="M1266" i="1"/>
  <c r="Z1266" i="1"/>
  <c r="R1295" i="1"/>
  <c r="M1295" i="1"/>
  <c r="Z1295" i="1"/>
  <c r="Y1295" i="1"/>
  <c r="V1295" i="1"/>
  <c r="U1295" i="1"/>
  <c r="S1295" i="1"/>
  <c r="Z1764" i="1"/>
  <c r="Y1764" i="1"/>
  <c r="V1764" i="1"/>
  <c r="U1764" i="1"/>
  <c r="S1764" i="1"/>
  <c r="M1764" i="1"/>
  <c r="R1764" i="1"/>
  <c r="U1518" i="1"/>
  <c r="S1518" i="1"/>
  <c r="R1518" i="1"/>
  <c r="M1518" i="1"/>
  <c r="Z1518" i="1"/>
  <c r="Y1518" i="1"/>
  <c r="V1518" i="1"/>
  <c r="Z1925" i="1"/>
  <c r="Y1925" i="1"/>
  <c r="V1925" i="1"/>
  <c r="U1925" i="1"/>
  <c r="S1925" i="1"/>
  <c r="R1925" i="1"/>
  <c r="M1925" i="1"/>
  <c r="S38" i="1"/>
  <c r="R38" i="1"/>
  <c r="M38" i="1"/>
  <c r="Z38" i="1"/>
  <c r="Y38" i="1"/>
  <c r="V38" i="1"/>
  <c r="U38" i="1"/>
  <c r="Z110" i="1"/>
  <c r="Y110" i="1"/>
  <c r="V110" i="1"/>
  <c r="U110" i="1"/>
  <c r="S110" i="1"/>
  <c r="R110" i="1"/>
  <c r="M110" i="1"/>
  <c r="Z65" i="1"/>
  <c r="Y65" i="1"/>
  <c r="V65" i="1"/>
  <c r="U65" i="1"/>
  <c r="S65" i="1"/>
  <c r="R65" i="1"/>
  <c r="M65" i="1"/>
  <c r="Y135" i="1"/>
  <c r="V135" i="1"/>
  <c r="U135" i="1"/>
  <c r="S135" i="1"/>
  <c r="R135" i="1"/>
  <c r="M135" i="1"/>
  <c r="Z135" i="1"/>
  <c r="U1814" i="1"/>
  <c r="S1814" i="1"/>
  <c r="R1814" i="1"/>
  <c r="M1814" i="1"/>
  <c r="Z1814" i="1"/>
  <c r="Y1814" i="1"/>
  <c r="V1814" i="1"/>
  <c r="V625" i="1"/>
  <c r="U625" i="1"/>
  <c r="S625" i="1"/>
  <c r="R625" i="1"/>
  <c r="M625" i="1"/>
  <c r="Z625" i="1"/>
  <c r="Y625" i="1"/>
  <c r="S203" i="1"/>
  <c r="R203" i="1"/>
  <c r="M203" i="1"/>
  <c r="Z203" i="1"/>
  <c r="Y203" i="1"/>
  <c r="V203" i="1"/>
  <c r="U203" i="1"/>
  <c r="M1392" i="1"/>
  <c r="Z1392" i="1"/>
  <c r="V1392" i="1"/>
  <c r="U1392" i="1"/>
  <c r="S1392" i="1"/>
  <c r="R1392" i="1"/>
  <c r="Y1392" i="1"/>
  <c r="M480" i="1"/>
  <c r="Z480" i="1"/>
  <c r="Y480" i="1"/>
  <c r="V480" i="1"/>
  <c r="U480" i="1"/>
  <c r="S480" i="1"/>
  <c r="R480" i="1"/>
  <c r="S510" i="1"/>
  <c r="R510" i="1"/>
  <c r="M510" i="1"/>
  <c r="Z510" i="1"/>
  <c r="Y510" i="1"/>
  <c r="V510" i="1"/>
  <c r="U510" i="1"/>
  <c r="V1127" i="1"/>
  <c r="U1127" i="1"/>
  <c r="S1127" i="1"/>
  <c r="R1127" i="1"/>
  <c r="M1127" i="1"/>
  <c r="Z1127" i="1"/>
  <c r="Y1127" i="1"/>
  <c r="Y191" i="1"/>
  <c r="V191" i="1"/>
  <c r="U191" i="1"/>
  <c r="S191" i="1"/>
  <c r="R191" i="1"/>
  <c r="M191" i="1"/>
  <c r="Z191" i="1"/>
  <c r="V1388" i="1"/>
  <c r="U1388" i="1"/>
  <c r="S1388" i="1"/>
  <c r="R1388" i="1"/>
  <c r="M1388" i="1"/>
  <c r="Z1388" i="1"/>
  <c r="Y1388" i="1"/>
  <c r="M448" i="1"/>
  <c r="Z448" i="1"/>
  <c r="V448" i="1"/>
  <c r="U448" i="1"/>
  <c r="S448" i="1"/>
  <c r="Y448" i="1"/>
  <c r="R448" i="1"/>
  <c r="S534" i="1"/>
  <c r="R534" i="1"/>
  <c r="M534" i="1"/>
  <c r="Z534" i="1"/>
  <c r="Y534" i="1"/>
  <c r="V534" i="1"/>
  <c r="U534" i="1"/>
  <c r="R1123" i="1"/>
  <c r="M1123" i="1"/>
  <c r="Z1123" i="1"/>
  <c r="Y1123" i="1"/>
  <c r="V1123" i="1"/>
  <c r="U1123" i="1"/>
  <c r="S1123" i="1"/>
  <c r="V248" i="1"/>
  <c r="U248" i="1"/>
  <c r="S248" i="1"/>
  <c r="R248" i="1"/>
  <c r="M248" i="1"/>
  <c r="Z248" i="1"/>
  <c r="Y248" i="1"/>
  <c r="U1105" i="1"/>
  <c r="S1105" i="1"/>
  <c r="R1105" i="1"/>
  <c r="M1105" i="1"/>
  <c r="Z1105" i="1"/>
  <c r="Y1105" i="1"/>
  <c r="V1105" i="1"/>
  <c r="V476" i="1"/>
  <c r="U476" i="1"/>
  <c r="S476" i="1"/>
  <c r="R476" i="1"/>
  <c r="M476" i="1"/>
  <c r="Z476" i="1"/>
  <c r="Y476" i="1"/>
  <c r="V1476" i="1"/>
  <c r="U1476" i="1"/>
  <c r="Y1476" i="1"/>
  <c r="S1476" i="1"/>
  <c r="R1476" i="1"/>
  <c r="M1476" i="1"/>
  <c r="Z1476" i="1"/>
  <c r="V649" i="1"/>
  <c r="U649" i="1"/>
  <c r="S649" i="1"/>
  <c r="R649" i="1"/>
  <c r="M649" i="1"/>
  <c r="Z649" i="1"/>
  <c r="Y649" i="1"/>
  <c r="U1838" i="1"/>
  <c r="S1838" i="1"/>
  <c r="R1838" i="1"/>
  <c r="M1838" i="1"/>
  <c r="Z1838" i="1"/>
  <c r="Y1838" i="1"/>
  <c r="V1838" i="1"/>
  <c r="Z1025" i="1"/>
  <c r="Y1025" i="1"/>
  <c r="V1025" i="1"/>
  <c r="U1025" i="1"/>
  <c r="S1025" i="1"/>
  <c r="R1025" i="1"/>
  <c r="M1025" i="1"/>
  <c r="Z190" i="1"/>
  <c r="Y190" i="1"/>
  <c r="V190" i="1"/>
  <c r="U190" i="1"/>
  <c r="S190" i="1"/>
  <c r="R190" i="1"/>
  <c r="M190" i="1"/>
  <c r="S998" i="1"/>
  <c r="R998" i="1"/>
  <c r="M998" i="1"/>
  <c r="Z998" i="1"/>
  <c r="Y998" i="1"/>
  <c r="V998" i="1"/>
  <c r="U998" i="1"/>
  <c r="Y792" i="1"/>
  <c r="V792" i="1"/>
  <c r="U792" i="1"/>
  <c r="S792" i="1"/>
  <c r="R792" i="1"/>
  <c r="M792" i="1"/>
  <c r="Z792" i="1"/>
  <c r="V185" i="1"/>
  <c r="U185" i="1"/>
  <c r="S185" i="1"/>
  <c r="R185" i="1"/>
  <c r="M185" i="1"/>
  <c r="Z185" i="1"/>
  <c r="Y185" i="1"/>
  <c r="R789" i="1"/>
  <c r="M789" i="1"/>
  <c r="Z789" i="1"/>
  <c r="Y789" i="1"/>
  <c r="V789" i="1"/>
  <c r="U789" i="1"/>
  <c r="S789" i="1"/>
  <c r="S1194" i="1"/>
  <c r="R1194" i="1"/>
  <c r="M1194" i="1"/>
  <c r="Z1194" i="1"/>
  <c r="Y1194" i="1"/>
  <c r="V1194" i="1"/>
  <c r="U1194" i="1"/>
  <c r="V563" i="1"/>
  <c r="U563" i="1"/>
  <c r="S563" i="1"/>
  <c r="R563" i="1"/>
  <c r="M563" i="1"/>
  <c r="Z563" i="1"/>
  <c r="Y563" i="1"/>
  <c r="Y1010" i="1"/>
  <c r="V1010" i="1"/>
  <c r="U1010" i="1"/>
  <c r="S1010" i="1"/>
  <c r="R1010" i="1"/>
  <c r="M1010" i="1"/>
  <c r="Z1010" i="1"/>
  <c r="V383" i="1"/>
  <c r="U383" i="1"/>
  <c r="S383" i="1"/>
  <c r="R383" i="1"/>
  <c r="M383" i="1"/>
  <c r="Z383" i="1"/>
  <c r="Y383" i="1"/>
  <c r="M944" i="1"/>
  <c r="Z944" i="1"/>
  <c r="Y944" i="1"/>
  <c r="V944" i="1"/>
  <c r="U944" i="1"/>
  <c r="S944" i="1"/>
  <c r="R944" i="1"/>
  <c r="S635" i="1"/>
  <c r="R635" i="1"/>
  <c r="M635" i="1"/>
  <c r="Z635" i="1"/>
  <c r="Y635" i="1"/>
  <c r="V635" i="1"/>
  <c r="U635" i="1"/>
  <c r="M1084" i="1"/>
  <c r="Z1084" i="1"/>
  <c r="Y1084" i="1"/>
  <c r="S1084" i="1"/>
  <c r="R1084" i="1"/>
  <c r="V1084" i="1"/>
  <c r="U1084" i="1"/>
  <c r="Y1158" i="1"/>
  <c r="V1158" i="1"/>
  <c r="U1158" i="1"/>
  <c r="S1158" i="1"/>
  <c r="R1158" i="1"/>
  <c r="M1158" i="1"/>
  <c r="Z1158" i="1"/>
  <c r="M379" i="1"/>
  <c r="Z379" i="1"/>
  <c r="Y379" i="1"/>
  <c r="V379" i="1"/>
  <c r="U379" i="1"/>
  <c r="S379" i="1"/>
  <c r="R379" i="1"/>
  <c r="R620" i="1"/>
  <c r="M620" i="1"/>
  <c r="Z620" i="1"/>
  <c r="Y620" i="1"/>
  <c r="V620" i="1"/>
  <c r="U620" i="1"/>
  <c r="S620" i="1"/>
  <c r="R628" i="1"/>
  <c r="M628" i="1"/>
  <c r="Z628" i="1"/>
  <c r="Y628" i="1"/>
  <c r="V628" i="1"/>
  <c r="U628" i="1"/>
  <c r="S628" i="1"/>
  <c r="Y864" i="1"/>
  <c r="V864" i="1"/>
  <c r="U864" i="1"/>
  <c r="S864" i="1"/>
  <c r="R864" i="1"/>
  <c r="M864" i="1"/>
  <c r="Z864" i="1"/>
  <c r="Z1724" i="1"/>
  <c r="Y1724" i="1"/>
  <c r="V1724" i="1"/>
  <c r="U1724" i="1"/>
  <c r="S1724" i="1"/>
  <c r="R1724" i="1"/>
  <c r="M1724" i="1"/>
  <c r="V1477" i="1"/>
  <c r="U1477" i="1"/>
  <c r="S1477" i="1"/>
  <c r="Z1477" i="1"/>
  <c r="Y1477" i="1"/>
  <c r="R1477" i="1"/>
  <c r="M1477" i="1"/>
  <c r="U525" i="1"/>
  <c r="S525" i="1"/>
  <c r="R525" i="1"/>
  <c r="M525" i="1"/>
  <c r="Z525" i="1"/>
  <c r="Y525" i="1"/>
  <c r="V525" i="1"/>
  <c r="V1215" i="1"/>
  <c r="U1215" i="1"/>
  <c r="S1215" i="1"/>
  <c r="R1215" i="1"/>
  <c r="M1215" i="1"/>
  <c r="Z1215" i="1"/>
  <c r="Y1215" i="1"/>
  <c r="U1897" i="1"/>
  <c r="S1897" i="1"/>
  <c r="R1897" i="1"/>
  <c r="M1897" i="1"/>
  <c r="Z1897" i="1"/>
  <c r="Y1897" i="1"/>
  <c r="V1897" i="1"/>
  <c r="M1312" i="1"/>
  <c r="Z1312" i="1"/>
  <c r="Y1312" i="1"/>
  <c r="V1312" i="1"/>
  <c r="U1312" i="1"/>
  <c r="S1312" i="1"/>
  <c r="R1312" i="1"/>
  <c r="V1501" i="1"/>
  <c r="U1501" i="1"/>
  <c r="S1501" i="1"/>
  <c r="R1501" i="1"/>
  <c r="M1501" i="1"/>
  <c r="Z1501" i="1"/>
  <c r="Y1501" i="1"/>
  <c r="Z2017" i="1"/>
  <c r="Y2017" i="1"/>
  <c r="V2017" i="1"/>
  <c r="U2017" i="1"/>
  <c r="S2017" i="1"/>
  <c r="R2017" i="1"/>
  <c r="M2017" i="1"/>
  <c r="U1301" i="1"/>
  <c r="S1301" i="1"/>
  <c r="R1301" i="1"/>
  <c r="M1301" i="1"/>
  <c r="Z1301" i="1"/>
  <c r="Y1301" i="1"/>
  <c r="V1301" i="1"/>
  <c r="Z1826" i="1"/>
  <c r="Y1826" i="1"/>
  <c r="V1826" i="1"/>
  <c r="U1826" i="1"/>
  <c r="S1826" i="1"/>
  <c r="R1826" i="1"/>
  <c r="M1826" i="1"/>
  <c r="M894" i="1"/>
  <c r="Z894" i="1"/>
  <c r="Y894" i="1"/>
  <c r="V894" i="1"/>
  <c r="U894" i="1"/>
  <c r="S894" i="1"/>
  <c r="R894" i="1"/>
  <c r="R1587" i="1"/>
  <c r="M1587" i="1"/>
  <c r="Z1587" i="1"/>
  <c r="Y1587" i="1"/>
  <c r="V1587" i="1"/>
  <c r="U1587" i="1"/>
  <c r="S1587" i="1"/>
  <c r="R1287" i="1"/>
  <c r="M1287" i="1"/>
  <c r="Z1287" i="1"/>
  <c r="Y1287" i="1"/>
  <c r="V1287" i="1"/>
  <c r="U1287" i="1"/>
  <c r="S1287" i="1"/>
  <c r="Y74" i="1"/>
  <c r="V74" i="1"/>
  <c r="U74" i="1"/>
  <c r="S74" i="1"/>
  <c r="R74" i="1"/>
  <c r="M74" i="1"/>
  <c r="Z74" i="1"/>
  <c r="U122" i="1"/>
  <c r="S122" i="1"/>
  <c r="M122" i="1"/>
  <c r="Z122" i="1"/>
  <c r="Y122" i="1"/>
  <c r="V122" i="1"/>
  <c r="R122" i="1"/>
  <c r="V105" i="1"/>
  <c r="U105" i="1"/>
  <c r="R105" i="1"/>
  <c r="M105" i="1"/>
  <c r="Z105" i="1"/>
  <c r="Y105" i="1"/>
  <c r="S105" i="1"/>
  <c r="V35" i="1"/>
  <c r="U35" i="1"/>
  <c r="S35" i="1"/>
  <c r="R35" i="1"/>
  <c r="M35" i="1"/>
  <c r="Z35" i="1"/>
  <c r="Y35" i="1"/>
  <c r="U296" i="1"/>
  <c r="S296" i="1"/>
  <c r="R296" i="1"/>
  <c r="M296" i="1"/>
  <c r="Z296" i="1"/>
  <c r="Y296" i="1"/>
  <c r="V296" i="1"/>
  <c r="R1099" i="1"/>
  <c r="M1099" i="1"/>
  <c r="Z1099" i="1"/>
  <c r="Y1099" i="1"/>
  <c r="V1099" i="1"/>
  <c r="S1099" i="1"/>
  <c r="U1099" i="1"/>
  <c r="V428" i="1"/>
  <c r="R428" i="1"/>
  <c r="M428" i="1"/>
  <c r="Y428" i="1"/>
  <c r="U428" i="1"/>
  <c r="S428" i="1"/>
  <c r="Z428" i="1"/>
  <c r="V1556" i="1"/>
  <c r="U1556" i="1"/>
  <c r="S1556" i="1"/>
  <c r="R1556" i="1"/>
  <c r="M1556" i="1"/>
  <c r="Z1556" i="1"/>
  <c r="Y1556" i="1"/>
  <c r="V729" i="1"/>
  <c r="U729" i="1"/>
  <c r="S729" i="1"/>
  <c r="R729" i="1"/>
  <c r="M729" i="1"/>
  <c r="Z729" i="1"/>
  <c r="Y729" i="1"/>
  <c r="Y538" i="1"/>
  <c r="V538" i="1"/>
  <c r="U538" i="1"/>
  <c r="S538" i="1"/>
  <c r="R538" i="1"/>
  <c r="M538" i="1"/>
  <c r="Z538" i="1"/>
  <c r="S1326" i="1"/>
  <c r="R1326" i="1"/>
  <c r="M1326" i="1"/>
  <c r="Z1326" i="1"/>
  <c r="Y1326" i="1"/>
  <c r="V1326" i="1"/>
  <c r="U1326" i="1"/>
  <c r="U392" i="1"/>
  <c r="S392" i="1"/>
  <c r="R392" i="1"/>
  <c r="M392" i="1"/>
  <c r="Z392" i="1"/>
  <c r="Y392" i="1"/>
  <c r="V392" i="1"/>
  <c r="V1524" i="1"/>
  <c r="U1524" i="1"/>
  <c r="S1524" i="1"/>
  <c r="R1524" i="1"/>
  <c r="M1524" i="1"/>
  <c r="Z1524" i="1"/>
  <c r="Y1524" i="1"/>
  <c r="V697" i="1"/>
  <c r="U697" i="1"/>
  <c r="S697" i="1"/>
  <c r="R697" i="1"/>
  <c r="M697" i="1"/>
  <c r="Z697" i="1"/>
  <c r="Y697" i="1"/>
  <c r="Y554" i="1"/>
  <c r="V554" i="1"/>
  <c r="U554" i="1"/>
  <c r="S554" i="1"/>
  <c r="R554" i="1"/>
  <c r="M554" i="1"/>
  <c r="Z554" i="1"/>
  <c r="S1294" i="1"/>
  <c r="R1294" i="1"/>
  <c r="M1294" i="1"/>
  <c r="Z1294" i="1"/>
  <c r="Y1294" i="1"/>
  <c r="V1294" i="1"/>
  <c r="U1294" i="1"/>
  <c r="R236" i="1"/>
  <c r="M236" i="1"/>
  <c r="Z236" i="1"/>
  <c r="Y236" i="1"/>
  <c r="V236" i="1"/>
  <c r="U236" i="1"/>
  <c r="S236" i="1"/>
  <c r="M1360" i="1"/>
  <c r="Z1360" i="1"/>
  <c r="Y1360" i="1"/>
  <c r="V1360" i="1"/>
  <c r="U1360" i="1"/>
  <c r="S1360" i="1"/>
  <c r="R1360" i="1"/>
  <c r="S321" i="1"/>
  <c r="R321" i="1"/>
  <c r="M321" i="1"/>
  <c r="Z321" i="1"/>
  <c r="Y321" i="1"/>
  <c r="V321" i="1"/>
  <c r="U321" i="1"/>
  <c r="V1692" i="1"/>
  <c r="U1692" i="1"/>
  <c r="S1692" i="1"/>
  <c r="R1692" i="1"/>
  <c r="M1692" i="1"/>
  <c r="Z1692" i="1"/>
  <c r="Y1692" i="1"/>
  <c r="U933" i="1"/>
  <c r="S933" i="1"/>
  <c r="M933" i="1"/>
  <c r="Z933" i="1"/>
  <c r="Y933" i="1"/>
  <c r="V933" i="1"/>
  <c r="R933" i="1"/>
  <c r="V422" i="1"/>
  <c r="U422" i="1"/>
  <c r="S422" i="1"/>
  <c r="R422" i="1"/>
  <c r="M422" i="1"/>
  <c r="Z422" i="1"/>
  <c r="Y422" i="1"/>
  <c r="Z1149" i="1"/>
  <c r="Y1149" i="1"/>
  <c r="V1149" i="1"/>
  <c r="U1149" i="1"/>
  <c r="S1149" i="1"/>
  <c r="R1149" i="1"/>
  <c r="M1149" i="1"/>
  <c r="R196" i="1"/>
  <c r="M196" i="1"/>
  <c r="Z196" i="1"/>
  <c r="Y196" i="1"/>
  <c r="V196" i="1"/>
  <c r="U196" i="1"/>
  <c r="S196" i="1"/>
  <c r="R885" i="1"/>
  <c r="M885" i="1"/>
  <c r="Z885" i="1"/>
  <c r="Y885" i="1"/>
  <c r="V885" i="1"/>
  <c r="U885" i="1"/>
  <c r="S885" i="1"/>
  <c r="Y1242" i="1"/>
  <c r="V1242" i="1"/>
  <c r="S1242" i="1"/>
  <c r="R1242" i="1"/>
  <c r="Z1242" i="1"/>
  <c r="U1242" i="1"/>
  <c r="M1242" i="1"/>
  <c r="U803" i="1"/>
  <c r="S803" i="1"/>
  <c r="R803" i="1"/>
  <c r="M803" i="1"/>
  <c r="Z803" i="1"/>
  <c r="Y803" i="1"/>
  <c r="V803" i="1"/>
  <c r="R959" i="1"/>
  <c r="M959" i="1"/>
  <c r="Z959" i="1"/>
  <c r="Y959" i="1"/>
  <c r="V959" i="1"/>
  <c r="U959" i="1"/>
  <c r="S959" i="1"/>
  <c r="S1038" i="1"/>
  <c r="R1038" i="1"/>
  <c r="M1038" i="1"/>
  <c r="Z1038" i="1"/>
  <c r="Y1038" i="1"/>
  <c r="V1038" i="1"/>
  <c r="U1038" i="1"/>
  <c r="Y607" i="1"/>
  <c r="V607" i="1"/>
  <c r="U607" i="1"/>
  <c r="S607" i="1"/>
  <c r="R607" i="1"/>
  <c r="M607" i="1"/>
  <c r="Z607" i="1"/>
  <c r="V1068" i="1"/>
  <c r="U1068" i="1"/>
  <c r="S1068" i="1"/>
  <c r="R1068" i="1"/>
  <c r="M1068" i="1"/>
  <c r="Z1068" i="1"/>
  <c r="Y1068" i="1"/>
  <c r="U891" i="1"/>
  <c r="S891" i="1"/>
  <c r="R891" i="1"/>
  <c r="M891" i="1"/>
  <c r="Z891" i="1"/>
  <c r="Y891" i="1"/>
  <c r="V891" i="1"/>
  <c r="U642" i="1"/>
  <c r="S642" i="1"/>
  <c r="R642" i="1"/>
  <c r="M642" i="1"/>
  <c r="Z642" i="1"/>
  <c r="Y642" i="1"/>
  <c r="V642" i="1"/>
  <c r="Y586" i="1"/>
  <c r="V586" i="1"/>
  <c r="U586" i="1"/>
  <c r="S586" i="1"/>
  <c r="R586" i="1"/>
  <c r="M586" i="1"/>
  <c r="Z586" i="1"/>
  <c r="Z694" i="1"/>
  <c r="Y694" i="1"/>
  <c r="V694" i="1"/>
  <c r="U694" i="1"/>
  <c r="S694" i="1"/>
  <c r="R694" i="1"/>
  <c r="M694" i="1"/>
  <c r="Y954" i="1"/>
  <c r="V954" i="1"/>
  <c r="U954" i="1"/>
  <c r="S954" i="1"/>
  <c r="R954" i="1"/>
  <c r="M954" i="1"/>
  <c r="Z954" i="1"/>
  <c r="R543" i="1"/>
  <c r="M543" i="1"/>
  <c r="Z543" i="1"/>
  <c r="Y543" i="1"/>
  <c r="V543" i="1"/>
  <c r="U543" i="1"/>
  <c r="S543" i="1"/>
  <c r="S1082" i="1"/>
  <c r="R1082" i="1"/>
  <c r="M1082" i="1"/>
  <c r="Z1082" i="1"/>
  <c r="Y1082" i="1"/>
  <c r="V1082" i="1"/>
  <c r="U1082" i="1"/>
  <c r="U851" i="1"/>
  <c r="S851" i="1"/>
  <c r="R851" i="1"/>
  <c r="M851" i="1"/>
  <c r="Z851" i="1"/>
  <c r="Y851" i="1"/>
  <c r="V851" i="1"/>
  <c r="S1302" i="1"/>
  <c r="R1302" i="1"/>
  <c r="M1302" i="1"/>
  <c r="Z1302" i="1"/>
  <c r="Y1302" i="1"/>
  <c r="V1302" i="1"/>
  <c r="U1302" i="1"/>
  <c r="Y1598" i="1"/>
  <c r="V1598" i="1"/>
  <c r="U1598" i="1"/>
  <c r="S1598" i="1"/>
  <c r="R1598" i="1"/>
  <c r="M1598" i="1"/>
  <c r="Z1598" i="1"/>
  <c r="M1529" i="1"/>
  <c r="Z1529" i="1"/>
  <c r="Y1529" i="1"/>
  <c r="V1529" i="1"/>
  <c r="U1529" i="1"/>
  <c r="S1529" i="1"/>
  <c r="R1529" i="1"/>
  <c r="Y2002" i="1"/>
  <c r="V2002" i="1"/>
  <c r="U2002" i="1"/>
  <c r="S2002" i="1"/>
  <c r="R2002" i="1"/>
  <c r="M2002" i="1"/>
  <c r="Z2002" i="1"/>
  <c r="V1283" i="1"/>
  <c r="U1283" i="1"/>
  <c r="S1283" i="1"/>
  <c r="R1283" i="1"/>
  <c r="M1283" i="1"/>
  <c r="Z1283" i="1"/>
  <c r="Y1283" i="1"/>
  <c r="Z1621" i="1"/>
  <c r="Y1621" i="1"/>
  <c r="V1621" i="1"/>
  <c r="U1621" i="1"/>
  <c r="S1621" i="1"/>
  <c r="R1621" i="1"/>
  <c r="M1621" i="1"/>
  <c r="S1202" i="1"/>
  <c r="R1202" i="1"/>
  <c r="M1202" i="1"/>
  <c r="Z1202" i="1"/>
  <c r="Y1202" i="1"/>
  <c r="V1202" i="1"/>
  <c r="U1202" i="1"/>
  <c r="M1473" i="1"/>
  <c r="Z1473" i="1"/>
  <c r="Y1473" i="1"/>
  <c r="V1473" i="1"/>
  <c r="U1473" i="1"/>
  <c r="S1473" i="1"/>
  <c r="R1473" i="1"/>
  <c r="M1876" i="1"/>
  <c r="Z1876" i="1"/>
  <c r="Y1876" i="1"/>
  <c r="V1876" i="1"/>
  <c r="U1876" i="1"/>
  <c r="S1876" i="1"/>
  <c r="R1876" i="1"/>
  <c r="U1558" i="1"/>
  <c r="S1558" i="1"/>
  <c r="R1558" i="1"/>
  <c r="M1558" i="1"/>
  <c r="Z1558" i="1"/>
  <c r="Y1558" i="1"/>
  <c r="V1558" i="1"/>
  <c r="Z1449" i="1"/>
  <c r="Y1449" i="1"/>
  <c r="V1449" i="1"/>
  <c r="U1449" i="1"/>
  <c r="S1449" i="1"/>
  <c r="R1449" i="1"/>
  <c r="M1449" i="1"/>
  <c r="Y1962" i="1"/>
  <c r="V1962" i="1"/>
  <c r="U1962" i="1"/>
  <c r="S1962" i="1"/>
  <c r="R1962" i="1"/>
  <c r="M1962" i="1"/>
  <c r="Z1962" i="1"/>
  <c r="S1570" i="1"/>
  <c r="R1570" i="1"/>
  <c r="M1570" i="1"/>
  <c r="Y1570" i="1"/>
  <c r="V1570" i="1"/>
  <c r="Z1570" i="1"/>
  <c r="U1570" i="1"/>
  <c r="Y1811" i="1"/>
  <c r="V1811" i="1"/>
  <c r="U1811" i="1"/>
  <c r="S1811" i="1"/>
  <c r="M1811" i="1"/>
  <c r="Z1811" i="1"/>
  <c r="R1811" i="1"/>
  <c r="Y856" i="1"/>
  <c r="V856" i="1"/>
  <c r="U856" i="1"/>
  <c r="S856" i="1"/>
  <c r="R856" i="1"/>
  <c r="M856" i="1"/>
  <c r="Z856" i="1"/>
  <c r="S1535" i="1"/>
  <c r="R1535" i="1"/>
  <c r="M1535" i="1"/>
  <c r="Z1535" i="1"/>
  <c r="Y1535" i="1"/>
  <c r="V1535" i="1"/>
  <c r="U1535" i="1"/>
  <c r="M1024" i="1"/>
  <c r="Z1024" i="1"/>
  <c r="Y1024" i="1"/>
  <c r="V1024" i="1"/>
  <c r="U1024" i="1"/>
  <c r="S1024" i="1"/>
  <c r="R1024" i="1"/>
  <c r="U1325" i="1"/>
  <c r="S1325" i="1"/>
  <c r="R1325" i="1"/>
  <c r="M1325" i="1"/>
  <c r="Z1325" i="1"/>
  <c r="Y1325" i="1"/>
  <c r="V1325" i="1"/>
  <c r="U634" i="1"/>
  <c r="S634" i="1"/>
  <c r="R634" i="1"/>
  <c r="M634" i="1"/>
  <c r="Z634" i="1"/>
  <c r="Y634" i="1"/>
  <c r="V634" i="1"/>
  <c r="M1553" i="1"/>
  <c r="Z1553" i="1"/>
  <c r="Y1553" i="1"/>
  <c r="V1553" i="1"/>
  <c r="U1553" i="1"/>
  <c r="S1553" i="1"/>
  <c r="R1553" i="1"/>
  <c r="S1737" i="1"/>
  <c r="R1737" i="1"/>
  <c r="M1737" i="1"/>
  <c r="Z1737" i="1"/>
  <c r="U1737" i="1"/>
  <c r="Y1737" i="1"/>
  <c r="V1737" i="1"/>
  <c r="R1967" i="1"/>
  <c r="M1967" i="1"/>
  <c r="Z1967" i="1"/>
  <c r="Y1967" i="1"/>
  <c r="V1967" i="1"/>
  <c r="U1967" i="1"/>
  <c r="S1967" i="1"/>
  <c r="V1928" i="1"/>
  <c r="U1928" i="1"/>
  <c r="S1928" i="1"/>
  <c r="R1928" i="1"/>
  <c r="M1928" i="1"/>
  <c r="Z1928" i="1"/>
  <c r="Y1928" i="1"/>
  <c r="R23" i="1"/>
  <c r="M23" i="1"/>
  <c r="Z23" i="1"/>
  <c r="Y23" i="1"/>
  <c r="V23" i="1"/>
  <c r="U23" i="1"/>
  <c r="S23" i="1"/>
  <c r="U1113" i="1"/>
  <c r="S1113" i="1"/>
  <c r="R1113" i="1"/>
  <c r="M1113" i="1"/>
  <c r="Z1113" i="1"/>
  <c r="Y1113" i="1"/>
  <c r="V1113" i="1"/>
  <c r="Z1698" i="1"/>
  <c r="Y1698" i="1"/>
  <c r="V1698" i="1"/>
  <c r="U1698" i="1"/>
  <c r="S1698" i="1"/>
  <c r="R1698" i="1"/>
  <c r="M1698" i="1"/>
  <c r="M371" i="1"/>
  <c r="Z371" i="1"/>
  <c r="Y371" i="1"/>
  <c r="V371" i="1"/>
  <c r="U371" i="1"/>
  <c r="S371" i="1"/>
  <c r="R371" i="1"/>
  <c r="V587" i="1"/>
  <c r="U587" i="1"/>
  <c r="S587" i="1"/>
  <c r="R587" i="1"/>
  <c r="M587" i="1"/>
  <c r="Z587" i="1"/>
  <c r="Y587" i="1"/>
  <c r="V1144" i="1"/>
  <c r="U1144" i="1"/>
  <c r="S1144" i="1"/>
  <c r="R1144" i="1"/>
  <c r="M1144" i="1"/>
  <c r="Z1144" i="1"/>
  <c r="Y1144" i="1"/>
  <c r="S1054" i="1"/>
  <c r="R1054" i="1"/>
  <c r="M1054" i="1"/>
  <c r="Z1054" i="1"/>
  <c r="Y1054" i="1"/>
  <c r="V1054" i="1"/>
  <c r="U1054" i="1"/>
  <c r="Y1110" i="1"/>
  <c r="V1110" i="1"/>
  <c r="U1110" i="1"/>
  <c r="S1110" i="1"/>
  <c r="R1110" i="1"/>
  <c r="M1110" i="1"/>
  <c r="Z1110" i="1"/>
  <c r="R1627" i="1"/>
  <c r="M1627" i="1"/>
  <c r="Z1627" i="1"/>
  <c r="Y1627" i="1"/>
  <c r="V1627" i="1"/>
  <c r="U1627" i="1"/>
  <c r="S1627" i="1"/>
  <c r="R1603" i="1"/>
  <c r="M1603" i="1"/>
  <c r="Z1603" i="1"/>
  <c r="Y1603" i="1"/>
  <c r="V1603" i="1"/>
  <c r="U1603" i="1"/>
  <c r="S1603" i="1"/>
  <c r="S1022" i="1"/>
  <c r="R1022" i="1"/>
  <c r="M1022" i="1"/>
  <c r="Z1022" i="1"/>
  <c r="Y1022" i="1"/>
  <c r="V1022" i="1"/>
  <c r="U1022" i="1"/>
  <c r="V1119" i="1"/>
  <c r="U1119" i="1"/>
  <c r="S1119" i="1"/>
  <c r="R1119" i="1"/>
  <c r="M1119" i="1"/>
  <c r="Z1119" i="1"/>
  <c r="Y1119" i="1"/>
  <c r="U384" i="1"/>
  <c r="S384" i="1"/>
  <c r="R384" i="1"/>
  <c r="M384" i="1"/>
  <c r="Z384" i="1"/>
  <c r="Y384" i="1"/>
  <c r="V384" i="1"/>
  <c r="Z1385" i="1"/>
  <c r="Y1385" i="1"/>
  <c r="V1385" i="1"/>
  <c r="U1385" i="1"/>
  <c r="S1385" i="1"/>
  <c r="R1385" i="1"/>
  <c r="M1385" i="1"/>
  <c r="V1718" i="1"/>
  <c r="U1718" i="1"/>
  <c r="S1718" i="1"/>
  <c r="Y1718" i="1"/>
  <c r="R1718" i="1"/>
  <c r="M1718" i="1"/>
  <c r="Z1718" i="1"/>
  <c r="M93" i="1"/>
  <c r="V93" i="1"/>
  <c r="U93" i="1"/>
  <c r="R93" i="1"/>
  <c r="Y93" i="1"/>
  <c r="S93" i="1"/>
  <c r="Z93" i="1"/>
  <c r="V556" i="1"/>
  <c r="U556" i="1"/>
  <c r="S556" i="1"/>
  <c r="R556" i="1"/>
  <c r="M556" i="1"/>
  <c r="Z556" i="1"/>
  <c r="Y556" i="1"/>
  <c r="V28" i="1"/>
  <c r="U28" i="1"/>
  <c r="S28" i="1"/>
  <c r="R28" i="1"/>
  <c r="M28" i="1"/>
  <c r="Z28" i="1"/>
  <c r="Y28" i="1"/>
  <c r="R140" i="1"/>
  <c r="M140" i="1"/>
  <c r="Z140" i="1"/>
  <c r="Y140" i="1"/>
  <c r="V140" i="1"/>
  <c r="U140" i="1"/>
  <c r="S140" i="1"/>
  <c r="M149" i="1"/>
  <c r="Z149" i="1"/>
  <c r="Y149" i="1"/>
  <c r="V149" i="1"/>
  <c r="U149" i="1"/>
  <c r="S149" i="1"/>
  <c r="R149" i="1"/>
  <c r="V75" i="1"/>
  <c r="U75" i="1"/>
  <c r="S75" i="1"/>
  <c r="R75" i="1"/>
  <c r="M75" i="1"/>
  <c r="Z75" i="1"/>
  <c r="Y75" i="1"/>
  <c r="Z284" i="1"/>
  <c r="Y284" i="1"/>
  <c r="V284" i="1"/>
  <c r="U284" i="1"/>
  <c r="S284" i="1"/>
  <c r="R284" i="1"/>
  <c r="M284" i="1"/>
  <c r="Y309" i="1"/>
  <c r="V309" i="1"/>
  <c r="U309" i="1"/>
  <c r="S309" i="1"/>
  <c r="R309" i="1"/>
  <c r="M309" i="1"/>
  <c r="Z309" i="1"/>
  <c r="U1013" i="1"/>
  <c r="S1013" i="1"/>
  <c r="R1013" i="1"/>
  <c r="M1013" i="1"/>
  <c r="Z1013" i="1"/>
  <c r="Y1013" i="1"/>
  <c r="V1013" i="1"/>
  <c r="S1406" i="1"/>
  <c r="R1406" i="1"/>
  <c r="M1406" i="1"/>
  <c r="Z1406" i="1"/>
  <c r="Y1406" i="1"/>
  <c r="V1406" i="1"/>
  <c r="U1406" i="1"/>
  <c r="M597" i="1"/>
  <c r="Z597" i="1"/>
  <c r="V597" i="1"/>
  <c r="U597" i="1"/>
  <c r="S597" i="1"/>
  <c r="Y597" i="1"/>
  <c r="R597" i="1"/>
  <c r="V1804" i="1"/>
  <c r="U1804" i="1"/>
  <c r="S1804" i="1"/>
  <c r="R1804" i="1"/>
  <c r="Z1804" i="1"/>
  <c r="Y1804" i="1"/>
  <c r="M1804" i="1"/>
  <c r="S558" i="1"/>
  <c r="R558" i="1"/>
  <c r="M558" i="1"/>
  <c r="Z558" i="1"/>
  <c r="Y558" i="1"/>
  <c r="V558" i="1"/>
  <c r="U558" i="1"/>
  <c r="M560" i="1"/>
  <c r="Z560" i="1"/>
  <c r="Y560" i="1"/>
  <c r="V560" i="1"/>
  <c r="U560" i="1"/>
  <c r="S560" i="1"/>
  <c r="R560" i="1"/>
  <c r="M1384" i="1"/>
  <c r="Z1384" i="1"/>
  <c r="Y1384" i="1"/>
  <c r="V1384" i="1"/>
  <c r="U1384" i="1"/>
  <c r="S1384" i="1"/>
  <c r="R1384" i="1"/>
  <c r="V326" i="1"/>
  <c r="U326" i="1"/>
  <c r="S326" i="1"/>
  <c r="R326" i="1"/>
  <c r="M326" i="1"/>
  <c r="Z326" i="1"/>
  <c r="Y326" i="1"/>
  <c r="Y349" i="1"/>
  <c r="V349" i="1"/>
  <c r="U349" i="1"/>
  <c r="S349" i="1"/>
  <c r="R349" i="1"/>
  <c r="M349" i="1"/>
  <c r="Z349" i="1"/>
  <c r="Y1322" i="1"/>
  <c r="V1322" i="1"/>
  <c r="U1322" i="1"/>
  <c r="S1322" i="1"/>
  <c r="R1322" i="1"/>
  <c r="M1322" i="1"/>
  <c r="Z1322" i="1"/>
  <c r="M568" i="1"/>
  <c r="Z568" i="1"/>
  <c r="Y568" i="1"/>
  <c r="V568" i="1"/>
  <c r="U568" i="1"/>
  <c r="S568" i="1"/>
  <c r="R568" i="1"/>
  <c r="M411" i="1"/>
  <c r="Z411" i="1"/>
  <c r="Y411" i="1"/>
  <c r="V411" i="1"/>
  <c r="U411" i="1"/>
  <c r="S411" i="1"/>
  <c r="R411" i="1"/>
  <c r="U304" i="1"/>
  <c r="S304" i="1"/>
  <c r="R304" i="1"/>
  <c r="M304" i="1"/>
  <c r="Z304" i="1"/>
  <c r="Y304" i="1"/>
  <c r="V304" i="1"/>
  <c r="R479" i="1"/>
  <c r="M479" i="1"/>
  <c r="Z479" i="1"/>
  <c r="Y479" i="1"/>
  <c r="V479" i="1"/>
  <c r="U479" i="1"/>
  <c r="S479" i="1"/>
  <c r="M1040" i="1"/>
  <c r="Z1040" i="1"/>
  <c r="Y1040" i="1"/>
  <c r="V1040" i="1"/>
  <c r="U1040" i="1"/>
  <c r="S1040" i="1"/>
  <c r="R1040" i="1"/>
  <c r="Z662" i="1"/>
  <c r="Y662" i="1"/>
  <c r="V662" i="1"/>
  <c r="U662" i="1"/>
  <c r="S662" i="1"/>
  <c r="R662" i="1"/>
  <c r="M662" i="1"/>
  <c r="Z254" i="1"/>
  <c r="Y254" i="1"/>
  <c r="V254" i="1"/>
  <c r="U254" i="1"/>
  <c r="S254" i="1"/>
  <c r="R254" i="1"/>
  <c r="M254" i="1"/>
  <c r="Y1174" i="1"/>
  <c r="V1174" i="1"/>
  <c r="U1174" i="1"/>
  <c r="S1174" i="1"/>
  <c r="R1174" i="1"/>
  <c r="M1174" i="1"/>
  <c r="Z1174" i="1"/>
  <c r="S329" i="1"/>
  <c r="R329" i="1"/>
  <c r="M329" i="1"/>
  <c r="Z329" i="1"/>
  <c r="Y329" i="1"/>
  <c r="V329" i="1"/>
  <c r="U329" i="1"/>
  <c r="Z553" i="1"/>
  <c r="Y553" i="1"/>
  <c r="V553" i="1"/>
  <c r="U553" i="1"/>
  <c r="S553" i="1"/>
  <c r="R553" i="1"/>
  <c r="M553" i="1"/>
  <c r="V1088" i="1"/>
  <c r="U1088" i="1"/>
  <c r="S1088" i="1"/>
  <c r="R1088" i="1"/>
  <c r="Z1088" i="1"/>
  <c r="Y1088" i="1"/>
  <c r="M1088" i="1"/>
  <c r="V971" i="1"/>
  <c r="U971" i="1"/>
  <c r="S971" i="1"/>
  <c r="R971" i="1"/>
  <c r="M971" i="1"/>
  <c r="Z971" i="1"/>
  <c r="Y971" i="1"/>
  <c r="V802" i="1"/>
  <c r="U802" i="1"/>
  <c r="S802" i="1"/>
  <c r="R802" i="1"/>
  <c r="M802" i="1"/>
  <c r="Z802" i="1"/>
  <c r="Y802" i="1"/>
  <c r="Z174" i="1"/>
  <c r="Y174" i="1"/>
  <c r="V174" i="1"/>
  <c r="U174" i="1"/>
  <c r="S174" i="1"/>
  <c r="R174" i="1"/>
  <c r="M174" i="1"/>
  <c r="S982" i="1"/>
  <c r="R982" i="1"/>
  <c r="M982" i="1"/>
  <c r="Z982" i="1"/>
  <c r="Y982" i="1"/>
  <c r="V982" i="1"/>
  <c r="U982" i="1"/>
  <c r="M1264" i="1"/>
  <c r="Z1264" i="1"/>
  <c r="Y1264" i="1"/>
  <c r="V1264" i="1"/>
  <c r="U1264" i="1"/>
  <c r="S1264" i="1"/>
  <c r="R1264" i="1"/>
  <c r="U1469" i="1"/>
  <c r="S1469" i="1"/>
  <c r="R1469" i="1"/>
  <c r="M1469" i="1"/>
  <c r="Z1469" i="1"/>
  <c r="Y1469" i="1"/>
  <c r="V1469" i="1"/>
  <c r="Z2001" i="1"/>
  <c r="Y2001" i="1"/>
  <c r="V2001" i="1"/>
  <c r="U2001" i="1"/>
  <c r="S2001" i="1"/>
  <c r="R2001" i="1"/>
  <c r="M2001" i="1"/>
  <c r="U1670" i="1"/>
  <c r="S1670" i="1"/>
  <c r="R1670" i="1"/>
  <c r="M1670" i="1"/>
  <c r="Z1670" i="1"/>
  <c r="Y1670" i="1"/>
  <c r="V1670" i="1"/>
  <c r="M1673" i="1"/>
  <c r="Z1673" i="1"/>
  <c r="Y1673" i="1"/>
  <c r="V1673" i="1"/>
  <c r="U1673" i="1"/>
  <c r="S1673" i="1"/>
  <c r="R1673" i="1"/>
  <c r="R773" i="1"/>
  <c r="M773" i="1"/>
  <c r="Z773" i="1"/>
  <c r="Y773" i="1"/>
  <c r="V773" i="1"/>
  <c r="U773" i="1"/>
  <c r="S773" i="1"/>
  <c r="R1359" i="1"/>
  <c r="M1359" i="1"/>
  <c r="Z1359" i="1"/>
  <c r="Y1359" i="1"/>
  <c r="V1359" i="1"/>
  <c r="U1359" i="1"/>
  <c r="S1359" i="1"/>
  <c r="M1860" i="1"/>
  <c r="Y1860" i="1"/>
  <c r="S1860" i="1"/>
  <c r="V1860" i="1"/>
  <c r="U1860" i="1"/>
  <c r="R1860" i="1"/>
  <c r="Z1860" i="1"/>
  <c r="Y1142" i="1"/>
  <c r="V1142" i="1"/>
  <c r="U1142" i="1"/>
  <c r="S1142" i="1"/>
  <c r="R1142" i="1"/>
  <c r="M1142" i="1"/>
  <c r="Z1142" i="1"/>
  <c r="Y1749" i="1"/>
  <c r="V1749" i="1"/>
  <c r="U1749" i="1"/>
  <c r="S1749" i="1"/>
  <c r="R1749" i="1"/>
  <c r="Z1749" i="1"/>
  <c r="M1749" i="1"/>
  <c r="Z1961" i="1"/>
  <c r="Y1961" i="1"/>
  <c r="V1961" i="1"/>
  <c r="U1961" i="1"/>
  <c r="S1961" i="1"/>
  <c r="R1961" i="1"/>
  <c r="M1961" i="1"/>
  <c r="U1317" i="1"/>
  <c r="S1317" i="1"/>
  <c r="R1317" i="1"/>
  <c r="M1317" i="1"/>
  <c r="Z1317" i="1"/>
  <c r="Y1317" i="1"/>
  <c r="V1317" i="1"/>
  <c r="Z1834" i="1"/>
  <c r="Y1834" i="1"/>
  <c r="V1834" i="1"/>
  <c r="U1834" i="1"/>
  <c r="S1834" i="1"/>
  <c r="R1834" i="1"/>
  <c r="M1834" i="1"/>
  <c r="S926" i="1"/>
  <c r="R926" i="1"/>
  <c r="Z926" i="1"/>
  <c r="V926" i="1"/>
  <c r="U926" i="1"/>
  <c r="Y926" i="1"/>
  <c r="M926" i="1"/>
  <c r="R1480" i="1"/>
  <c r="M1480" i="1"/>
  <c r="Z1480" i="1"/>
  <c r="V1480" i="1"/>
  <c r="U1480" i="1"/>
  <c r="S1480" i="1"/>
  <c r="Y1480" i="1"/>
  <c r="M1849" i="1"/>
  <c r="Z1849" i="1"/>
  <c r="Y1849" i="1"/>
  <c r="V1849" i="1"/>
  <c r="U1849" i="1"/>
  <c r="S1849" i="1"/>
  <c r="R1849" i="1"/>
  <c r="Z1474" i="1"/>
  <c r="Y1474" i="1"/>
  <c r="V1474" i="1"/>
  <c r="U1474" i="1"/>
  <c r="S1474" i="1"/>
  <c r="R1474" i="1"/>
  <c r="M1474" i="1"/>
  <c r="M758" i="1"/>
  <c r="Y758" i="1"/>
  <c r="V758" i="1"/>
  <c r="U758" i="1"/>
  <c r="S758" i="1"/>
  <c r="R758" i="1"/>
  <c r="Z758" i="1"/>
  <c r="Z1401" i="1"/>
  <c r="Y1401" i="1"/>
  <c r="V1401" i="1"/>
  <c r="U1401" i="1"/>
  <c r="S1401" i="1"/>
  <c r="R1401" i="1"/>
  <c r="M1401" i="1"/>
  <c r="V1805" i="1"/>
  <c r="U1805" i="1"/>
  <c r="S1805" i="1"/>
  <c r="R1805" i="1"/>
  <c r="M1805" i="1"/>
  <c r="Z1805" i="1"/>
  <c r="Y1805" i="1"/>
  <c r="R1959" i="1"/>
  <c r="M1959" i="1"/>
  <c r="Z1959" i="1"/>
  <c r="Y1959" i="1"/>
  <c r="V1959" i="1"/>
  <c r="U1959" i="1"/>
  <c r="S1959" i="1"/>
  <c r="Z1977" i="1"/>
  <c r="Y1977" i="1"/>
  <c r="V1977" i="1"/>
  <c r="U1977" i="1"/>
  <c r="S1977" i="1"/>
  <c r="R1977" i="1"/>
  <c r="M1977" i="1"/>
  <c r="V555" i="1"/>
  <c r="U555" i="1"/>
  <c r="S555" i="1"/>
  <c r="R555" i="1"/>
  <c r="M555" i="1"/>
  <c r="Z555" i="1"/>
  <c r="Y555" i="1"/>
  <c r="V1734" i="1"/>
  <c r="U1734" i="1"/>
  <c r="S1734" i="1"/>
  <c r="M1734" i="1"/>
  <c r="Y1734" i="1"/>
  <c r="Z1734" i="1"/>
  <c r="R1734" i="1"/>
  <c r="R1619" i="1"/>
  <c r="M1619" i="1"/>
  <c r="Z1619" i="1"/>
  <c r="Y1619" i="1"/>
  <c r="V1619" i="1"/>
  <c r="U1619" i="1"/>
  <c r="S1619" i="1"/>
  <c r="R1915" i="1"/>
  <c r="M1915" i="1"/>
  <c r="Z1915" i="1"/>
  <c r="Y1915" i="1"/>
  <c r="V1915" i="1"/>
  <c r="U1915" i="1"/>
  <c r="S1915" i="1"/>
  <c r="U1981" i="1"/>
  <c r="S1981" i="1"/>
  <c r="R1981" i="1"/>
  <c r="M1981" i="1"/>
  <c r="Z1981" i="1"/>
  <c r="Y1981" i="1"/>
  <c r="V1981" i="1"/>
  <c r="M80" i="1"/>
  <c r="Z80" i="1"/>
  <c r="Y80" i="1"/>
  <c r="V80" i="1"/>
  <c r="U80" i="1"/>
  <c r="S80" i="1"/>
  <c r="R80" i="1"/>
  <c r="R124" i="1"/>
  <c r="M124" i="1"/>
  <c r="Z124" i="1"/>
  <c r="Y124" i="1"/>
  <c r="V124" i="1"/>
  <c r="U124" i="1"/>
  <c r="S124" i="1"/>
  <c r="Y111" i="1"/>
  <c r="U111" i="1"/>
  <c r="S111" i="1"/>
  <c r="R111" i="1"/>
  <c r="M111" i="1"/>
  <c r="Z111" i="1"/>
  <c r="V111" i="1"/>
  <c r="U45" i="1"/>
  <c r="S45" i="1"/>
  <c r="R45" i="1"/>
  <c r="M45" i="1"/>
  <c r="Z45" i="1"/>
  <c r="Y45" i="1"/>
  <c r="V45" i="1"/>
  <c r="U186" i="1"/>
  <c r="S186" i="1"/>
  <c r="R186" i="1"/>
  <c r="M186" i="1"/>
  <c r="Z186" i="1"/>
  <c r="Y186" i="1"/>
  <c r="V186" i="1"/>
  <c r="R1115" i="1"/>
  <c r="M1115" i="1"/>
  <c r="Z1115" i="1"/>
  <c r="Y1115" i="1"/>
  <c r="V1115" i="1"/>
  <c r="U1115" i="1"/>
  <c r="S1115" i="1"/>
  <c r="M653" i="1"/>
  <c r="Z653" i="1"/>
  <c r="Y653" i="1"/>
  <c r="V653" i="1"/>
  <c r="U653" i="1"/>
  <c r="S653" i="1"/>
  <c r="R653" i="1"/>
  <c r="V1684" i="1"/>
  <c r="U1684" i="1"/>
  <c r="S1684" i="1"/>
  <c r="R1684" i="1"/>
  <c r="M1684" i="1"/>
  <c r="Z1684" i="1"/>
  <c r="Y1684" i="1"/>
  <c r="V857" i="1"/>
  <c r="U857" i="1"/>
  <c r="S857" i="1"/>
  <c r="R857" i="1"/>
  <c r="M857" i="1"/>
  <c r="Z857" i="1"/>
  <c r="Y857" i="1"/>
  <c r="Y474" i="1"/>
  <c r="V474" i="1"/>
  <c r="U474" i="1"/>
  <c r="S474" i="1"/>
  <c r="R474" i="1"/>
  <c r="M474" i="1"/>
  <c r="Z474" i="1"/>
  <c r="Y1274" i="1"/>
  <c r="V1274" i="1"/>
  <c r="U1274" i="1"/>
  <c r="S1274" i="1"/>
  <c r="R1274" i="1"/>
  <c r="M1274" i="1"/>
  <c r="Z1274" i="1"/>
  <c r="M520" i="1"/>
  <c r="Z520" i="1"/>
  <c r="Y520" i="1"/>
  <c r="V520" i="1"/>
  <c r="U520" i="1"/>
  <c r="S520" i="1"/>
  <c r="R520" i="1"/>
  <c r="V1652" i="1"/>
  <c r="U1652" i="1"/>
  <c r="R1652" i="1"/>
  <c r="M1652" i="1"/>
  <c r="Y1652" i="1"/>
  <c r="Z1652" i="1"/>
  <c r="S1652" i="1"/>
  <c r="V825" i="1"/>
  <c r="U825" i="1"/>
  <c r="S825" i="1"/>
  <c r="R825" i="1"/>
  <c r="M825" i="1"/>
  <c r="Z825" i="1"/>
  <c r="Y825" i="1"/>
  <c r="Y490" i="1"/>
  <c r="V490" i="1"/>
  <c r="U490" i="1"/>
  <c r="S490" i="1"/>
  <c r="R490" i="1"/>
  <c r="M490" i="1"/>
  <c r="Z490" i="1"/>
  <c r="V1356" i="1"/>
  <c r="U1356" i="1"/>
  <c r="S1356" i="1"/>
  <c r="R1356" i="1"/>
  <c r="M1356" i="1"/>
  <c r="Z1356" i="1"/>
  <c r="Y1356" i="1"/>
  <c r="M488" i="1"/>
  <c r="Z488" i="1"/>
  <c r="Y488" i="1"/>
  <c r="V488" i="1"/>
  <c r="U488" i="1"/>
  <c r="S488" i="1"/>
  <c r="R488" i="1"/>
  <c r="S1278" i="1"/>
  <c r="R1278" i="1"/>
  <c r="M1278" i="1"/>
  <c r="Z1278" i="1"/>
  <c r="Y1278" i="1"/>
  <c r="V1278" i="1"/>
  <c r="U1278" i="1"/>
  <c r="M605" i="1"/>
  <c r="Z605" i="1"/>
  <c r="Y605" i="1"/>
  <c r="V605" i="1"/>
  <c r="U605" i="1"/>
  <c r="S605" i="1"/>
  <c r="R605" i="1"/>
  <c r="M1857" i="1"/>
  <c r="Z1857" i="1"/>
  <c r="Y1857" i="1"/>
  <c r="V1857" i="1"/>
  <c r="U1857" i="1"/>
  <c r="S1857" i="1"/>
  <c r="R1857" i="1"/>
  <c r="V995" i="1"/>
  <c r="U995" i="1"/>
  <c r="S995" i="1"/>
  <c r="R995" i="1"/>
  <c r="M995" i="1"/>
  <c r="Z995" i="1"/>
  <c r="Y995" i="1"/>
  <c r="R346" i="1"/>
  <c r="M346" i="1"/>
  <c r="Z346" i="1"/>
  <c r="Y346" i="1"/>
  <c r="V346" i="1"/>
  <c r="U346" i="1"/>
  <c r="S346" i="1"/>
  <c r="M1172" i="1"/>
  <c r="Z1172" i="1"/>
  <c r="Y1172" i="1"/>
  <c r="V1172" i="1"/>
  <c r="U1172" i="1"/>
  <c r="S1172" i="1"/>
  <c r="R1172" i="1"/>
  <c r="Y207" i="1"/>
  <c r="V207" i="1"/>
  <c r="U207" i="1"/>
  <c r="S207" i="1"/>
  <c r="R207" i="1"/>
  <c r="M207" i="1"/>
  <c r="Z207" i="1"/>
  <c r="R757" i="1"/>
  <c r="Z757" i="1"/>
  <c r="V757" i="1"/>
  <c r="U757" i="1"/>
  <c r="S757" i="1"/>
  <c r="Y757" i="1"/>
  <c r="M757" i="1"/>
  <c r="S1178" i="1"/>
  <c r="R1178" i="1"/>
  <c r="M1178" i="1"/>
  <c r="Z1178" i="1"/>
  <c r="Y1178" i="1"/>
  <c r="V1178" i="1"/>
  <c r="U1178" i="1"/>
  <c r="S739" i="1"/>
  <c r="R739" i="1"/>
  <c r="M739" i="1"/>
  <c r="Z739" i="1"/>
  <c r="Y739" i="1"/>
  <c r="V739" i="1"/>
  <c r="U739" i="1"/>
  <c r="Z831" i="1"/>
  <c r="Y831" i="1"/>
  <c r="V831" i="1"/>
  <c r="U831" i="1"/>
  <c r="S831" i="1"/>
  <c r="R831" i="1"/>
  <c r="M831" i="1"/>
  <c r="M910" i="1"/>
  <c r="Z910" i="1"/>
  <c r="Y910" i="1"/>
  <c r="V910" i="1"/>
  <c r="U910" i="1"/>
  <c r="S910" i="1"/>
  <c r="R910" i="1"/>
  <c r="U485" i="1"/>
  <c r="S485" i="1"/>
  <c r="R485" i="1"/>
  <c r="M485" i="1"/>
  <c r="Z485" i="1"/>
  <c r="Y485" i="1"/>
  <c r="V485" i="1"/>
  <c r="V948" i="1"/>
  <c r="U948" i="1"/>
  <c r="S948" i="1"/>
  <c r="R948" i="1"/>
  <c r="M948" i="1"/>
  <c r="Z948" i="1"/>
  <c r="Y948" i="1"/>
  <c r="U827" i="1"/>
  <c r="S827" i="1"/>
  <c r="R827" i="1"/>
  <c r="M827" i="1"/>
  <c r="Z827" i="1"/>
  <c r="Y827" i="1"/>
  <c r="V827" i="1"/>
  <c r="S1254" i="1"/>
  <c r="R1254" i="1"/>
  <c r="M1254" i="1"/>
  <c r="Z1254" i="1"/>
  <c r="Y1254" i="1"/>
  <c r="V1254" i="1"/>
  <c r="U1254" i="1"/>
  <c r="Y506" i="1"/>
  <c r="V506" i="1"/>
  <c r="U506" i="1"/>
  <c r="S506" i="1"/>
  <c r="R506" i="1"/>
  <c r="M506" i="1"/>
  <c r="Z506" i="1"/>
  <c r="S707" i="1"/>
  <c r="R707" i="1"/>
  <c r="M707" i="1"/>
  <c r="Z707" i="1"/>
  <c r="Y707" i="1"/>
  <c r="V707" i="1"/>
  <c r="U707" i="1"/>
  <c r="V826" i="1"/>
  <c r="U826" i="1"/>
  <c r="S826" i="1"/>
  <c r="R826" i="1"/>
  <c r="M826" i="1"/>
  <c r="Z826" i="1"/>
  <c r="Y826" i="1"/>
  <c r="V415" i="1"/>
  <c r="U415" i="1"/>
  <c r="S415" i="1"/>
  <c r="R415" i="1"/>
  <c r="M415" i="1"/>
  <c r="Z415" i="1"/>
  <c r="Y415" i="1"/>
  <c r="M976" i="1"/>
  <c r="Z976" i="1"/>
  <c r="Y976" i="1"/>
  <c r="V976" i="1"/>
  <c r="U976" i="1"/>
  <c r="S976" i="1"/>
  <c r="R976" i="1"/>
  <c r="U787" i="1"/>
  <c r="S787" i="1"/>
  <c r="R787" i="1"/>
  <c r="M787" i="1"/>
  <c r="Z787" i="1"/>
  <c r="Y787" i="1"/>
  <c r="V787" i="1"/>
  <c r="M1164" i="1"/>
  <c r="Z1164" i="1"/>
  <c r="Y1164" i="1"/>
  <c r="V1164" i="1"/>
  <c r="U1164" i="1"/>
  <c r="S1164" i="1"/>
  <c r="R1164" i="1"/>
  <c r="U1534" i="1"/>
  <c r="S1534" i="1"/>
  <c r="R1534" i="1"/>
  <c r="M1534" i="1"/>
  <c r="Z1534" i="1"/>
  <c r="Y1534" i="1"/>
  <c r="V1534" i="1"/>
  <c r="V1812" i="1"/>
  <c r="U1812" i="1"/>
  <c r="S1812" i="1"/>
  <c r="R1812" i="1"/>
  <c r="Z1812" i="1"/>
  <c r="Y1812" i="1"/>
  <c r="M1812" i="1"/>
  <c r="S1938" i="1"/>
  <c r="R1938" i="1"/>
  <c r="M1938" i="1"/>
  <c r="Z1938" i="1"/>
  <c r="Y1938" i="1"/>
  <c r="V1938" i="1"/>
  <c r="U1938" i="1"/>
  <c r="Z1740" i="1"/>
  <c r="Y1740" i="1"/>
  <c r="V1740" i="1"/>
  <c r="U1740" i="1"/>
  <c r="S1740" i="1"/>
  <c r="M1740" i="1"/>
  <c r="R1740" i="1"/>
  <c r="V1493" i="1"/>
  <c r="U1493" i="1"/>
  <c r="S1493" i="1"/>
  <c r="R1493" i="1"/>
  <c r="M1493" i="1"/>
  <c r="Z1493" i="1"/>
  <c r="Y1493" i="1"/>
  <c r="V1020" i="1"/>
  <c r="U1020" i="1"/>
  <c r="S1020" i="1"/>
  <c r="R1020" i="1"/>
  <c r="M1020" i="1"/>
  <c r="Z1020" i="1"/>
  <c r="Y1020" i="1"/>
  <c r="R1664" i="1"/>
  <c r="M1664" i="1"/>
  <c r="Z1664" i="1"/>
  <c r="Y1664" i="1"/>
  <c r="V1664" i="1"/>
  <c r="S1664" i="1"/>
  <c r="U1664" i="1"/>
  <c r="Y1765" i="1"/>
  <c r="V1765" i="1"/>
  <c r="U1765" i="1"/>
  <c r="S1765" i="1"/>
  <c r="R1765" i="1"/>
  <c r="M1765" i="1"/>
  <c r="Z1765" i="1"/>
  <c r="U1494" i="1"/>
  <c r="S1494" i="1"/>
  <c r="R1494" i="1"/>
  <c r="M1494" i="1"/>
  <c r="Z1494" i="1"/>
  <c r="Y1494" i="1"/>
  <c r="V1494" i="1"/>
  <c r="M1747" i="1"/>
  <c r="Z1747" i="1"/>
  <c r="Y1747" i="1"/>
  <c r="V1747" i="1"/>
  <c r="U1747" i="1"/>
  <c r="R1747" i="1"/>
  <c r="S1747" i="1"/>
  <c r="R2007" i="1"/>
  <c r="M2007" i="1"/>
  <c r="Z2007" i="1"/>
  <c r="Y2007" i="1"/>
  <c r="V2007" i="1"/>
  <c r="U2007" i="1"/>
  <c r="S2007" i="1"/>
  <c r="S1422" i="1"/>
  <c r="R1422" i="1"/>
  <c r="M1422" i="1"/>
  <c r="Z1422" i="1"/>
  <c r="Y1422" i="1"/>
  <c r="V1422" i="1"/>
  <c r="U1422" i="1"/>
  <c r="M1715" i="1"/>
  <c r="Z1715" i="1"/>
  <c r="Y1715" i="1"/>
  <c r="V1715" i="1"/>
  <c r="U1715" i="1"/>
  <c r="S1715" i="1"/>
  <c r="R1715" i="1"/>
  <c r="V648" i="1"/>
  <c r="U648" i="1"/>
  <c r="S648" i="1"/>
  <c r="R648" i="1"/>
  <c r="M648" i="1"/>
  <c r="Z648" i="1"/>
  <c r="Y648" i="1"/>
  <c r="Y1851" i="1"/>
  <c r="V1851" i="1"/>
  <c r="U1851" i="1"/>
  <c r="S1851" i="1"/>
  <c r="R1851" i="1"/>
  <c r="M1851" i="1"/>
  <c r="Z1851" i="1"/>
  <c r="Y1206" i="1"/>
  <c r="V1206" i="1"/>
  <c r="U1206" i="1"/>
  <c r="S1206" i="1"/>
  <c r="R1206" i="1"/>
  <c r="M1206" i="1"/>
  <c r="Z1206" i="1"/>
  <c r="Z1197" i="1"/>
  <c r="Y1197" i="1"/>
  <c r="V1197" i="1"/>
  <c r="U1197" i="1"/>
  <c r="S1197" i="1"/>
  <c r="R1197" i="1"/>
  <c r="M1197" i="1"/>
  <c r="V1136" i="1"/>
  <c r="U1136" i="1"/>
  <c r="S1136" i="1"/>
  <c r="R1136" i="1"/>
  <c r="M1136" i="1"/>
  <c r="Z1136" i="1"/>
  <c r="Y1136" i="1"/>
  <c r="Z1425" i="1"/>
  <c r="Y1425" i="1"/>
  <c r="V1425" i="1"/>
  <c r="U1425" i="1"/>
  <c r="S1425" i="1"/>
  <c r="R1425" i="1"/>
  <c r="M1425" i="1"/>
  <c r="Y1491" i="1"/>
  <c r="V1491" i="1"/>
  <c r="U1491" i="1"/>
  <c r="S1491" i="1"/>
  <c r="R1491" i="1"/>
  <c r="Z1491" i="1"/>
  <c r="M1491" i="1"/>
  <c r="M2016" i="1"/>
  <c r="Z2016" i="1"/>
  <c r="Y2016" i="1"/>
  <c r="V2016" i="1"/>
  <c r="U2016" i="1"/>
  <c r="S2016" i="1"/>
  <c r="R2016" i="1"/>
  <c r="Z1985" i="1"/>
  <c r="Y1985" i="1"/>
  <c r="V1985" i="1"/>
  <c r="U1985" i="1"/>
  <c r="S1985" i="1"/>
  <c r="R1985" i="1"/>
  <c r="M1985" i="1"/>
  <c r="M141" i="1"/>
  <c r="Z141" i="1"/>
  <c r="Y141" i="1"/>
  <c r="V141" i="1"/>
  <c r="U141" i="1"/>
  <c r="S141" i="1"/>
  <c r="R141" i="1"/>
  <c r="V136" i="1"/>
  <c r="U136" i="1"/>
  <c r="S136" i="1"/>
  <c r="R136" i="1"/>
  <c r="M136" i="1"/>
  <c r="Z136" i="1"/>
  <c r="Y136" i="1"/>
  <c r="M157" i="1"/>
  <c r="Z157" i="1"/>
  <c r="Y157" i="1"/>
  <c r="V157" i="1"/>
  <c r="U157" i="1"/>
  <c r="S157" i="1"/>
  <c r="R157" i="1"/>
  <c r="Z81" i="1"/>
  <c r="Y81" i="1"/>
  <c r="V81" i="1"/>
  <c r="U81" i="1"/>
  <c r="S81" i="1"/>
  <c r="R81" i="1"/>
  <c r="M81" i="1"/>
  <c r="V358" i="1"/>
  <c r="U358" i="1"/>
  <c r="S358" i="1"/>
  <c r="R358" i="1"/>
  <c r="M358" i="1"/>
  <c r="Z358" i="1"/>
  <c r="Y358" i="1"/>
  <c r="Y1230" i="1"/>
  <c r="V1230" i="1"/>
  <c r="U1230" i="1"/>
  <c r="S1230" i="1"/>
  <c r="R1230" i="1"/>
  <c r="M1230" i="1"/>
  <c r="Z1230" i="1"/>
  <c r="V343" i="1"/>
  <c r="U343" i="1"/>
  <c r="S343" i="1"/>
  <c r="R343" i="1"/>
  <c r="M343" i="1"/>
  <c r="Z343" i="1"/>
  <c r="Y343" i="1"/>
  <c r="U1798" i="1"/>
  <c r="S1798" i="1"/>
  <c r="R1798" i="1"/>
  <c r="Z1798" i="1"/>
  <c r="Y1798" i="1"/>
  <c r="V1798" i="1"/>
  <c r="M1798" i="1"/>
  <c r="V609" i="1"/>
  <c r="U609" i="1"/>
  <c r="S609" i="1"/>
  <c r="R609" i="1"/>
  <c r="M609" i="1"/>
  <c r="Z609" i="1"/>
  <c r="Y609" i="1"/>
  <c r="Y199" i="1"/>
  <c r="V199" i="1"/>
  <c r="U199" i="1"/>
  <c r="S199" i="1"/>
  <c r="R199" i="1"/>
  <c r="M199" i="1"/>
  <c r="Z199" i="1"/>
  <c r="Y1450" i="1"/>
  <c r="V1450" i="1"/>
  <c r="U1450" i="1"/>
  <c r="S1450" i="1"/>
  <c r="R1450" i="1"/>
  <c r="M1450" i="1"/>
  <c r="Z1450" i="1"/>
  <c r="M733" i="1"/>
  <c r="Z733" i="1"/>
  <c r="Y733" i="1"/>
  <c r="V733" i="1"/>
  <c r="U733" i="1"/>
  <c r="S733" i="1"/>
  <c r="R733" i="1"/>
  <c r="V1766" i="1"/>
  <c r="U1766" i="1"/>
  <c r="S1766" i="1"/>
  <c r="R1766" i="1"/>
  <c r="M1766" i="1"/>
  <c r="Z1766" i="1"/>
  <c r="Y1766" i="1"/>
  <c r="V1043" i="1"/>
  <c r="U1043" i="1"/>
  <c r="S1043" i="1"/>
  <c r="R1043" i="1"/>
  <c r="M1043" i="1"/>
  <c r="Z1043" i="1"/>
  <c r="Y1043" i="1"/>
  <c r="M189" i="1"/>
  <c r="Z189" i="1"/>
  <c r="Y189" i="1"/>
  <c r="V189" i="1"/>
  <c r="U189" i="1"/>
  <c r="S189" i="1"/>
  <c r="R189" i="1"/>
  <c r="Y1418" i="1"/>
  <c r="V1418" i="1"/>
  <c r="U1418" i="1"/>
  <c r="S1418" i="1"/>
  <c r="R1418" i="1"/>
  <c r="M1418" i="1"/>
  <c r="Z1418" i="1"/>
  <c r="R1055" i="1"/>
  <c r="M1055" i="1"/>
  <c r="Z1055" i="1"/>
  <c r="Y1055" i="1"/>
  <c r="V1055" i="1"/>
  <c r="U1055" i="1"/>
  <c r="S1055" i="1"/>
  <c r="M1400" i="1"/>
  <c r="Z1400" i="1"/>
  <c r="Y1400" i="1"/>
  <c r="V1400" i="1"/>
  <c r="U1400" i="1"/>
  <c r="S1400" i="1"/>
  <c r="R1400" i="1"/>
  <c r="M544" i="1"/>
  <c r="Z544" i="1"/>
  <c r="Y544" i="1"/>
  <c r="V544" i="1"/>
  <c r="U544" i="1"/>
  <c r="S544" i="1"/>
  <c r="R544" i="1"/>
  <c r="Z198" i="1"/>
  <c r="Y198" i="1"/>
  <c r="V198" i="1"/>
  <c r="U198" i="1"/>
  <c r="S198" i="1"/>
  <c r="R198" i="1"/>
  <c r="M198" i="1"/>
  <c r="V1087" i="1"/>
  <c r="U1087" i="1"/>
  <c r="S1087" i="1"/>
  <c r="Y1087" i="1"/>
  <c r="R1087" i="1"/>
  <c r="M1087" i="1"/>
  <c r="Z1087" i="1"/>
  <c r="V367" i="1"/>
  <c r="U367" i="1"/>
  <c r="S367" i="1"/>
  <c r="R367" i="1"/>
  <c r="M367" i="1"/>
  <c r="Z367" i="1"/>
  <c r="Y367" i="1"/>
  <c r="M1272" i="1"/>
  <c r="Z1272" i="1"/>
  <c r="Y1272" i="1"/>
  <c r="V1272" i="1"/>
  <c r="U1272" i="1"/>
  <c r="S1272" i="1"/>
  <c r="R1272" i="1"/>
  <c r="V436" i="1"/>
  <c r="R436" i="1"/>
  <c r="M436" i="1"/>
  <c r="Y436" i="1"/>
  <c r="U436" i="1"/>
  <c r="S436" i="1"/>
  <c r="Z436" i="1"/>
  <c r="R927" i="1"/>
  <c r="M927" i="1"/>
  <c r="Y927" i="1"/>
  <c r="V927" i="1"/>
  <c r="U927" i="1"/>
  <c r="S927" i="1"/>
  <c r="Z927" i="1"/>
  <c r="S1006" i="1"/>
  <c r="R1006" i="1"/>
  <c r="M1006" i="1"/>
  <c r="Z1006" i="1"/>
  <c r="Y1006" i="1"/>
  <c r="V1006" i="1"/>
  <c r="U1006" i="1"/>
  <c r="V176" i="1"/>
  <c r="U176" i="1"/>
  <c r="S176" i="1"/>
  <c r="R176" i="1"/>
  <c r="M176" i="1"/>
  <c r="Z176" i="1"/>
  <c r="Y176" i="1"/>
  <c r="Y687" i="1"/>
  <c r="V687" i="1"/>
  <c r="U687" i="1"/>
  <c r="S687" i="1"/>
  <c r="R687" i="1"/>
  <c r="M687" i="1"/>
  <c r="Z687" i="1"/>
  <c r="Y912" i="1"/>
  <c r="V912" i="1"/>
  <c r="U912" i="1"/>
  <c r="S912" i="1"/>
  <c r="R912" i="1"/>
  <c r="M912" i="1"/>
  <c r="Z912" i="1"/>
  <c r="Y482" i="1"/>
  <c r="V482" i="1"/>
  <c r="U482" i="1"/>
  <c r="S482" i="1"/>
  <c r="R482" i="1"/>
  <c r="M482" i="1"/>
  <c r="Z482" i="1"/>
  <c r="M645" i="1"/>
  <c r="Z645" i="1"/>
  <c r="Y645" i="1"/>
  <c r="V645" i="1"/>
  <c r="U645" i="1"/>
  <c r="S645" i="1"/>
  <c r="R645" i="1"/>
  <c r="U352" i="1"/>
  <c r="S352" i="1"/>
  <c r="R352" i="1"/>
  <c r="M352" i="1"/>
  <c r="Z352" i="1"/>
  <c r="Y352" i="1"/>
  <c r="V352" i="1"/>
  <c r="S934" i="1"/>
  <c r="R934" i="1"/>
  <c r="Z934" i="1"/>
  <c r="Y934" i="1"/>
  <c r="V934" i="1"/>
  <c r="U934" i="1"/>
  <c r="M934" i="1"/>
  <c r="Y183" i="1"/>
  <c r="V183" i="1"/>
  <c r="U183" i="1"/>
  <c r="S183" i="1"/>
  <c r="R183" i="1"/>
  <c r="M183" i="1"/>
  <c r="Z183" i="1"/>
  <c r="Z425" i="1"/>
  <c r="V425" i="1"/>
  <c r="U425" i="1"/>
  <c r="S425" i="1"/>
  <c r="R425" i="1"/>
  <c r="M425" i="1"/>
  <c r="Y425" i="1"/>
  <c r="V988" i="1"/>
  <c r="U988" i="1"/>
  <c r="S988" i="1"/>
  <c r="R988" i="1"/>
  <c r="M988" i="1"/>
  <c r="Z988" i="1"/>
  <c r="Y988" i="1"/>
  <c r="U907" i="1"/>
  <c r="S907" i="1"/>
  <c r="R907" i="1"/>
  <c r="M907" i="1"/>
  <c r="Z907" i="1"/>
  <c r="Y907" i="1"/>
  <c r="V907" i="1"/>
  <c r="U674" i="1"/>
  <c r="S674" i="1"/>
  <c r="R674" i="1"/>
  <c r="M674" i="1"/>
  <c r="Z674" i="1"/>
  <c r="Y674" i="1"/>
  <c r="V674" i="1"/>
  <c r="U272" i="1"/>
  <c r="S272" i="1"/>
  <c r="R272" i="1"/>
  <c r="M272" i="1"/>
  <c r="Z272" i="1"/>
  <c r="Y272" i="1"/>
  <c r="V272" i="1"/>
  <c r="M854" i="1"/>
  <c r="Z854" i="1"/>
  <c r="Y854" i="1"/>
  <c r="V854" i="1"/>
  <c r="U854" i="1"/>
  <c r="S854" i="1"/>
  <c r="R854" i="1"/>
  <c r="Y1102" i="1"/>
  <c r="V1102" i="1"/>
  <c r="U1102" i="1"/>
  <c r="S1102" i="1"/>
  <c r="R1102" i="1"/>
  <c r="Z1102" i="1"/>
  <c r="M1102" i="1"/>
  <c r="S1711" i="1"/>
  <c r="R1711" i="1"/>
  <c r="M1711" i="1"/>
  <c r="Z1711" i="1"/>
  <c r="Y1711" i="1"/>
  <c r="V1711" i="1"/>
  <c r="U1711" i="1"/>
  <c r="U1937" i="1"/>
  <c r="S1937" i="1"/>
  <c r="R1937" i="1"/>
  <c r="M1937" i="1"/>
  <c r="Z1937" i="1"/>
  <c r="Y1937" i="1"/>
  <c r="V1937" i="1"/>
  <c r="Y1606" i="1"/>
  <c r="V1606" i="1"/>
  <c r="U1606" i="1"/>
  <c r="S1606" i="1"/>
  <c r="R1606" i="1"/>
  <c r="M1606" i="1"/>
  <c r="Z1606" i="1"/>
  <c r="M1545" i="1"/>
  <c r="Z1545" i="1"/>
  <c r="Y1545" i="1"/>
  <c r="V1545" i="1"/>
  <c r="U1545" i="1"/>
  <c r="S1545" i="1"/>
  <c r="R1545" i="1"/>
  <c r="S667" i="1"/>
  <c r="R667" i="1"/>
  <c r="M667" i="1"/>
  <c r="Z667" i="1"/>
  <c r="Y667" i="1"/>
  <c r="V667" i="1"/>
  <c r="U667" i="1"/>
  <c r="V1231" i="1"/>
  <c r="U1231" i="1"/>
  <c r="S1231" i="1"/>
  <c r="R1231" i="1"/>
  <c r="M1231" i="1"/>
  <c r="Z1231" i="1"/>
  <c r="Y1231" i="1"/>
  <c r="Y1902" i="1"/>
  <c r="V1902" i="1"/>
  <c r="U1902" i="1"/>
  <c r="S1902" i="1"/>
  <c r="R1902" i="1"/>
  <c r="M1902" i="1"/>
  <c r="Z1902" i="1"/>
  <c r="M1016" i="1"/>
  <c r="Z1016" i="1"/>
  <c r="Y1016" i="1"/>
  <c r="V1016" i="1"/>
  <c r="U1016" i="1"/>
  <c r="S1016" i="1"/>
  <c r="R1016" i="1"/>
  <c r="V1631" i="1"/>
  <c r="U1631" i="1"/>
  <c r="S1631" i="1"/>
  <c r="R1631" i="1"/>
  <c r="M1631" i="1"/>
  <c r="Z1631" i="1"/>
  <c r="Y1631" i="1"/>
  <c r="S2014" i="1"/>
  <c r="R2014" i="1"/>
  <c r="M2014" i="1"/>
  <c r="Z2014" i="1"/>
  <c r="Y2014" i="1"/>
  <c r="V2014" i="1"/>
  <c r="U2014" i="1"/>
  <c r="Z1189" i="1"/>
  <c r="Y1189" i="1"/>
  <c r="V1189" i="1"/>
  <c r="U1189" i="1"/>
  <c r="S1189" i="1"/>
  <c r="R1189" i="1"/>
  <c r="M1189" i="1"/>
  <c r="S1745" i="1"/>
  <c r="R1745" i="1"/>
  <c r="M1745" i="1"/>
  <c r="Z1745" i="1"/>
  <c r="Y1745" i="1"/>
  <c r="U1745" i="1"/>
  <c r="V1745" i="1"/>
  <c r="Y896" i="1"/>
  <c r="V896" i="1"/>
  <c r="U896" i="1"/>
  <c r="S896" i="1"/>
  <c r="R896" i="1"/>
  <c r="M896" i="1"/>
  <c r="Z896" i="1"/>
  <c r="U1309" i="1"/>
  <c r="S1309" i="1"/>
  <c r="R1309" i="1"/>
  <c r="M1309" i="1"/>
  <c r="Z1309" i="1"/>
  <c r="Y1309" i="1"/>
  <c r="V1309" i="1"/>
  <c r="Z1893" i="1"/>
  <c r="Y1893" i="1"/>
  <c r="V1893" i="1"/>
  <c r="U1893" i="1"/>
  <c r="S1893" i="1"/>
  <c r="R1893" i="1"/>
  <c r="M1893" i="1"/>
  <c r="Z1281" i="1"/>
  <c r="Y1281" i="1"/>
  <c r="V1281" i="1"/>
  <c r="U1281" i="1"/>
  <c r="S1281" i="1"/>
  <c r="R1281" i="1"/>
  <c r="M1281" i="1"/>
  <c r="M709" i="1"/>
  <c r="Z709" i="1"/>
  <c r="Y709" i="1"/>
  <c r="V709" i="1"/>
  <c r="U709" i="1"/>
  <c r="S709" i="1"/>
  <c r="R709" i="1"/>
  <c r="V67" i="1"/>
  <c r="U67" i="1"/>
  <c r="S67" i="1"/>
  <c r="R67" i="1"/>
  <c r="M67" i="1"/>
  <c r="Z67" i="1"/>
  <c r="Y67" i="1"/>
  <c r="V184" i="1"/>
  <c r="U184" i="1"/>
  <c r="S184" i="1"/>
  <c r="R184" i="1"/>
  <c r="M184" i="1"/>
  <c r="Z184" i="1"/>
  <c r="Y184" i="1"/>
  <c r="U1710" i="1"/>
  <c r="S1710" i="1"/>
  <c r="R1710" i="1"/>
  <c r="M1710" i="1"/>
  <c r="Z1710" i="1"/>
  <c r="Y1710" i="1"/>
  <c r="V1710" i="1"/>
  <c r="Z1109" i="1"/>
  <c r="Y1109" i="1"/>
  <c r="V1109" i="1"/>
  <c r="U1109" i="1"/>
  <c r="S1109" i="1"/>
  <c r="R1109" i="1"/>
  <c r="M1109" i="1"/>
  <c r="Y679" i="1"/>
  <c r="V679" i="1"/>
  <c r="U679" i="1"/>
  <c r="S679" i="1"/>
  <c r="R679" i="1"/>
  <c r="M679" i="1"/>
  <c r="Z679" i="1"/>
  <c r="R252" i="1"/>
  <c r="M252" i="1"/>
  <c r="Z252" i="1"/>
  <c r="Y252" i="1"/>
  <c r="V252" i="1"/>
  <c r="U252" i="1"/>
  <c r="S252" i="1"/>
  <c r="V1624" i="1"/>
  <c r="U1624" i="1"/>
  <c r="S1624" i="1"/>
  <c r="R1624" i="1"/>
  <c r="M1624" i="1"/>
  <c r="Z1624" i="1"/>
  <c r="Y1624" i="1"/>
  <c r="Y325" i="1"/>
  <c r="V325" i="1"/>
  <c r="U325" i="1"/>
  <c r="S325" i="1"/>
  <c r="R325" i="1"/>
  <c r="M325" i="1"/>
  <c r="Z325" i="1"/>
  <c r="M613" i="1"/>
  <c r="Z613" i="1"/>
  <c r="Y613" i="1"/>
  <c r="V613" i="1"/>
  <c r="U613" i="1"/>
  <c r="S613" i="1"/>
  <c r="R613" i="1"/>
  <c r="Z585" i="1"/>
  <c r="Y585" i="1"/>
  <c r="V585" i="1"/>
  <c r="U585" i="1"/>
  <c r="S585" i="1"/>
  <c r="R585" i="1"/>
  <c r="M585" i="1"/>
  <c r="V1509" i="1"/>
  <c r="U1509" i="1"/>
  <c r="S1509" i="1"/>
  <c r="R1509" i="1"/>
  <c r="M1509" i="1"/>
  <c r="Z1509" i="1"/>
  <c r="Y1509" i="1"/>
  <c r="R1951" i="1"/>
  <c r="M1951" i="1"/>
  <c r="Z1951" i="1"/>
  <c r="Y1951" i="1"/>
  <c r="V1951" i="1"/>
  <c r="S1951" i="1"/>
  <c r="U1951" i="1"/>
  <c r="R1271" i="1"/>
  <c r="M1271" i="1"/>
  <c r="Z1271" i="1"/>
  <c r="Y1271" i="1"/>
  <c r="V1271" i="1"/>
  <c r="U1271" i="1"/>
  <c r="S1271" i="1"/>
  <c r="V144" i="1"/>
  <c r="U144" i="1"/>
  <c r="S144" i="1"/>
  <c r="R144" i="1"/>
  <c r="M144" i="1"/>
  <c r="Z144" i="1"/>
  <c r="Y144" i="1"/>
  <c r="V833" i="1"/>
  <c r="U833" i="1"/>
  <c r="S833" i="1"/>
  <c r="R833" i="1"/>
  <c r="M833" i="1"/>
  <c r="Z833" i="1"/>
  <c r="Y833" i="1"/>
  <c r="S566" i="1"/>
  <c r="R566" i="1"/>
  <c r="M566" i="1"/>
  <c r="Z566" i="1"/>
  <c r="Y566" i="1"/>
  <c r="V566" i="1"/>
  <c r="U566" i="1"/>
  <c r="Y458" i="1"/>
  <c r="U458" i="1"/>
  <c r="S458" i="1"/>
  <c r="R458" i="1"/>
  <c r="M458" i="1"/>
  <c r="Z458" i="1"/>
  <c r="V458" i="1"/>
  <c r="R732" i="1"/>
  <c r="M732" i="1"/>
  <c r="Z732" i="1"/>
  <c r="Y732" i="1"/>
  <c r="V732" i="1"/>
  <c r="U732" i="1"/>
  <c r="S732" i="1"/>
  <c r="V1963" i="1"/>
  <c r="U1963" i="1"/>
  <c r="S1963" i="1"/>
  <c r="R1963" i="1"/>
  <c r="M1963" i="1"/>
  <c r="Z1963" i="1"/>
  <c r="Y1963" i="1"/>
  <c r="S62" i="1"/>
  <c r="R62" i="1"/>
  <c r="M62" i="1"/>
  <c r="Z62" i="1"/>
  <c r="Y62" i="1"/>
  <c r="V62" i="1"/>
  <c r="U62" i="1"/>
  <c r="Z134" i="1"/>
  <c r="Y134" i="1"/>
  <c r="V134" i="1"/>
  <c r="U134" i="1"/>
  <c r="S134" i="1"/>
  <c r="R134" i="1"/>
  <c r="M134" i="1"/>
  <c r="V1428" i="1"/>
  <c r="U1428" i="1"/>
  <c r="S1428" i="1"/>
  <c r="R1428" i="1"/>
  <c r="M1428" i="1"/>
  <c r="Z1428" i="1"/>
  <c r="Y1428" i="1"/>
  <c r="V1836" i="1"/>
  <c r="U1836" i="1"/>
  <c r="S1836" i="1"/>
  <c r="R1836" i="1"/>
  <c r="M1836" i="1"/>
  <c r="Z1836" i="1"/>
  <c r="Y1836" i="1"/>
  <c r="Z590" i="1"/>
  <c r="Y590" i="1"/>
  <c r="U590" i="1"/>
  <c r="R590" i="1"/>
  <c r="V590" i="1"/>
  <c r="S590" i="1"/>
  <c r="M590" i="1"/>
  <c r="U981" i="1"/>
  <c r="S981" i="1"/>
  <c r="R981" i="1"/>
  <c r="M981" i="1"/>
  <c r="Z981" i="1"/>
  <c r="Y981" i="1"/>
  <c r="V981" i="1"/>
  <c r="Y1402" i="1"/>
  <c r="V1402" i="1"/>
  <c r="U1402" i="1"/>
  <c r="S1402" i="1"/>
  <c r="R1402" i="1"/>
  <c r="M1402" i="1"/>
  <c r="Z1402" i="1"/>
  <c r="U416" i="1"/>
  <c r="S416" i="1"/>
  <c r="R416" i="1"/>
  <c r="M416" i="1"/>
  <c r="Z416" i="1"/>
  <c r="Y416" i="1"/>
  <c r="V416" i="1"/>
  <c r="R1071" i="1"/>
  <c r="M1071" i="1"/>
  <c r="Z1071" i="1"/>
  <c r="Y1071" i="1"/>
  <c r="V1071" i="1"/>
  <c r="U1071" i="1"/>
  <c r="S1071" i="1"/>
  <c r="R652" i="1"/>
  <c r="M652" i="1"/>
  <c r="Z652" i="1"/>
  <c r="Y652" i="1"/>
  <c r="V652" i="1"/>
  <c r="U652" i="1"/>
  <c r="S652" i="1"/>
  <c r="Y570" i="1"/>
  <c r="V570" i="1"/>
  <c r="U570" i="1"/>
  <c r="S570" i="1"/>
  <c r="R570" i="1"/>
  <c r="M570" i="1"/>
  <c r="Z570" i="1"/>
  <c r="Y26" i="1"/>
  <c r="V26" i="1"/>
  <c r="U26" i="1"/>
  <c r="S26" i="1"/>
  <c r="R26" i="1"/>
  <c r="M26" i="1"/>
  <c r="Z26" i="1"/>
  <c r="Y58" i="1"/>
  <c r="V58" i="1"/>
  <c r="U58" i="1"/>
  <c r="S58" i="1"/>
  <c r="R58" i="1"/>
  <c r="M58" i="1"/>
  <c r="Z58" i="1"/>
  <c r="R116" i="1"/>
  <c r="M116" i="1"/>
  <c r="Y116" i="1"/>
  <c r="V116" i="1"/>
  <c r="U116" i="1"/>
  <c r="S116" i="1"/>
  <c r="Z116" i="1"/>
  <c r="R87" i="1"/>
  <c r="M87" i="1"/>
  <c r="Z87" i="1"/>
  <c r="Y87" i="1"/>
  <c r="V87" i="1"/>
  <c r="U87" i="1"/>
  <c r="S87" i="1"/>
  <c r="V161" i="1"/>
  <c r="U161" i="1"/>
  <c r="S161" i="1"/>
  <c r="R161" i="1"/>
  <c r="M161" i="1"/>
  <c r="Z161" i="1"/>
  <c r="Y161" i="1"/>
  <c r="U1822" i="1"/>
  <c r="S1822" i="1"/>
  <c r="R1822" i="1"/>
  <c r="M1822" i="1"/>
  <c r="Z1822" i="1"/>
  <c r="Y1822" i="1"/>
  <c r="V1822" i="1"/>
  <c r="Z1009" i="1"/>
  <c r="Y1009" i="1"/>
  <c r="V1009" i="1"/>
  <c r="U1009" i="1"/>
  <c r="S1009" i="1"/>
  <c r="R1009" i="1"/>
  <c r="M1009" i="1"/>
  <c r="M315" i="1"/>
  <c r="Z315" i="1"/>
  <c r="Y315" i="1"/>
  <c r="V315" i="1"/>
  <c r="U315" i="1"/>
  <c r="S315" i="1"/>
  <c r="R315" i="1"/>
  <c r="S1594" i="1"/>
  <c r="R1594" i="1"/>
  <c r="M1594" i="1"/>
  <c r="Z1594" i="1"/>
  <c r="Y1594" i="1"/>
  <c r="V1594" i="1"/>
  <c r="U1594" i="1"/>
  <c r="R877" i="1"/>
  <c r="M877" i="1"/>
  <c r="Z877" i="1"/>
  <c r="Y877" i="1"/>
  <c r="V877" i="1"/>
  <c r="U877" i="1"/>
  <c r="S877" i="1"/>
  <c r="Y266" i="1"/>
  <c r="U266" i="1"/>
  <c r="S266" i="1"/>
  <c r="R266" i="1"/>
  <c r="M266" i="1"/>
  <c r="Z266" i="1"/>
  <c r="V266" i="1"/>
  <c r="V1252" i="1"/>
  <c r="U1252" i="1"/>
  <c r="S1252" i="1"/>
  <c r="R1252" i="1"/>
  <c r="M1252" i="1"/>
  <c r="Z1252" i="1"/>
  <c r="Y1252" i="1"/>
  <c r="Y269" i="1"/>
  <c r="V269" i="1"/>
  <c r="U269" i="1"/>
  <c r="S269" i="1"/>
  <c r="R269" i="1"/>
  <c r="M269" i="1"/>
  <c r="Z269" i="1"/>
  <c r="Z1562" i="1"/>
  <c r="Y1562" i="1"/>
  <c r="V1562" i="1"/>
  <c r="U1562" i="1"/>
  <c r="S1562" i="1"/>
  <c r="R1562" i="1"/>
  <c r="M1562" i="1"/>
  <c r="R845" i="1"/>
  <c r="M845" i="1"/>
  <c r="Z845" i="1"/>
  <c r="Y845" i="1"/>
  <c r="V845" i="1"/>
  <c r="U845" i="1"/>
  <c r="S845" i="1"/>
  <c r="R298" i="1"/>
  <c r="M298" i="1"/>
  <c r="Z298" i="1"/>
  <c r="Y298" i="1"/>
  <c r="V298" i="1"/>
  <c r="U298" i="1"/>
  <c r="S298" i="1"/>
  <c r="M1220" i="1"/>
  <c r="Z1220" i="1"/>
  <c r="Y1220" i="1"/>
  <c r="V1220" i="1"/>
  <c r="U1220" i="1"/>
  <c r="S1220" i="1"/>
  <c r="R1220" i="1"/>
  <c r="V406" i="1"/>
  <c r="U406" i="1"/>
  <c r="S406" i="1"/>
  <c r="R406" i="1"/>
  <c r="M406" i="1"/>
  <c r="Z406" i="1"/>
  <c r="Y406" i="1"/>
  <c r="U1153" i="1"/>
  <c r="S1153" i="1"/>
  <c r="R1153" i="1"/>
  <c r="M1153" i="1"/>
  <c r="Z1153" i="1"/>
  <c r="Y1153" i="1"/>
  <c r="V1153" i="1"/>
  <c r="Y239" i="1"/>
  <c r="V239" i="1"/>
  <c r="U239" i="1"/>
  <c r="S239" i="1"/>
  <c r="R239" i="1"/>
  <c r="M239" i="1"/>
  <c r="Z239" i="1"/>
  <c r="R1488" i="1"/>
  <c r="M1488" i="1"/>
  <c r="Z1488" i="1"/>
  <c r="Y1488" i="1"/>
  <c r="V1488" i="1"/>
  <c r="S1488" i="1"/>
  <c r="U1488" i="1"/>
  <c r="Z1033" i="1"/>
  <c r="Y1033" i="1"/>
  <c r="V1033" i="1"/>
  <c r="U1033" i="1"/>
  <c r="S1033" i="1"/>
  <c r="R1033" i="1"/>
  <c r="M1033" i="1"/>
  <c r="U280" i="1"/>
  <c r="S280" i="1"/>
  <c r="R280" i="1"/>
  <c r="M280" i="1"/>
  <c r="Z280" i="1"/>
  <c r="Y280" i="1"/>
  <c r="V280" i="1"/>
  <c r="Z1101" i="1"/>
  <c r="Y1101" i="1"/>
  <c r="V1101" i="1"/>
  <c r="U1101" i="1"/>
  <c r="S1101" i="1"/>
  <c r="M1101" i="1"/>
  <c r="R1101" i="1"/>
  <c r="Y530" i="1"/>
  <c r="V530" i="1"/>
  <c r="U530" i="1"/>
  <c r="S530" i="1"/>
  <c r="R530" i="1"/>
  <c r="M530" i="1"/>
  <c r="Z530" i="1"/>
  <c r="Z614" i="1"/>
  <c r="Y614" i="1"/>
  <c r="V614" i="1"/>
  <c r="U614" i="1"/>
  <c r="S614" i="1"/>
  <c r="R614" i="1"/>
  <c r="M614" i="1"/>
  <c r="V874" i="1"/>
  <c r="U874" i="1"/>
  <c r="S874" i="1"/>
  <c r="R874" i="1"/>
  <c r="M874" i="1"/>
  <c r="Z874" i="1"/>
  <c r="Y874" i="1"/>
  <c r="V233" i="1"/>
  <c r="U233" i="1"/>
  <c r="S233" i="1"/>
  <c r="R233" i="1"/>
  <c r="M233" i="1"/>
  <c r="Z233" i="1"/>
  <c r="Y233" i="1"/>
  <c r="S377" i="1"/>
  <c r="R377" i="1"/>
  <c r="M377" i="1"/>
  <c r="Z377" i="1"/>
  <c r="Y377" i="1"/>
  <c r="V377" i="1"/>
  <c r="U377" i="1"/>
  <c r="V940" i="1"/>
  <c r="U940" i="1"/>
  <c r="S940" i="1"/>
  <c r="R940" i="1"/>
  <c r="M940" i="1"/>
  <c r="Z940" i="1"/>
  <c r="Y940" i="1"/>
  <c r="U883" i="1"/>
  <c r="S883" i="1"/>
  <c r="R883" i="1"/>
  <c r="M883" i="1"/>
  <c r="Z883" i="1"/>
  <c r="Y883" i="1"/>
  <c r="V883" i="1"/>
  <c r="U626" i="1"/>
  <c r="S626" i="1"/>
  <c r="R626" i="1"/>
  <c r="M626" i="1"/>
  <c r="Z626" i="1"/>
  <c r="Y626" i="1"/>
  <c r="V626" i="1"/>
  <c r="V579" i="1"/>
  <c r="U579" i="1"/>
  <c r="S579" i="1"/>
  <c r="R579" i="1"/>
  <c r="M579" i="1"/>
  <c r="Z579" i="1"/>
  <c r="Y579" i="1"/>
  <c r="Y1026" i="1"/>
  <c r="V1026" i="1"/>
  <c r="U1026" i="1"/>
  <c r="S1026" i="1"/>
  <c r="R1026" i="1"/>
  <c r="M1026" i="1"/>
  <c r="Z1026" i="1"/>
  <c r="V270" i="1"/>
  <c r="U270" i="1"/>
  <c r="S270" i="1"/>
  <c r="R270" i="1"/>
  <c r="Z270" i="1"/>
  <c r="Y270" i="1"/>
  <c r="M270" i="1"/>
  <c r="R724" i="1"/>
  <c r="M724" i="1"/>
  <c r="Z724" i="1"/>
  <c r="Y724" i="1"/>
  <c r="V724" i="1"/>
  <c r="U724" i="1"/>
  <c r="S724" i="1"/>
  <c r="Y872" i="1"/>
  <c r="V872" i="1"/>
  <c r="U872" i="1"/>
  <c r="S872" i="1"/>
  <c r="R872" i="1"/>
  <c r="M872" i="1"/>
  <c r="Z872" i="1"/>
  <c r="S611" i="1"/>
  <c r="R611" i="1"/>
  <c r="M611" i="1"/>
  <c r="Z611" i="1"/>
  <c r="Y611" i="1"/>
  <c r="V611" i="1"/>
  <c r="U611" i="1"/>
  <c r="Z718" i="1"/>
  <c r="Y718" i="1"/>
  <c r="V718" i="1"/>
  <c r="U718" i="1"/>
  <c r="S718" i="1"/>
  <c r="R718" i="1"/>
  <c r="M718" i="1"/>
  <c r="V499" i="1"/>
  <c r="U499" i="1"/>
  <c r="S499" i="1"/>
  <c r="R499" i="1"/>
  <c r="M499" i="1"/>
  <c r="Z499" i="1"/>
  <c r="Y499" i="1"/>
  <c r="Y946" i="1"/>
  <c r="V946" i="1"/>
  <c r="U946" i="1"/>
  <c r="S946" i="1"/>
  <c r="R946" i="1"/>
  <c r="M946" i="1"/>
  <c r="Z946" i="1"/>
  <c r="R1303" i="1"/>
  <c r="M1303" i="1"/>
  <c r="Z1303" i="1"/>
  <c r="Y1303" i="1"/>
  <c r="V1303" i="1"/>
  <c r="U1303" i="1"/>
  <c r="S1303" i="1"/>
  <c r="S1559" i="1"/>
  <c r="R1559" i="1"/>
  <c r="M1559" i="1"/>
  <c r="Z1559" i="1"/>
  <c r="Y1559" i="1"/>
  <c r="V1559" i="1"/>
  <c r="U1559" i="1"/>
  <c r="V1920" i="1"/>
  <c r="U1920" i="1"/>
  <c r="S1920" i="1"/>
  <c r="R1920" i="1"/>
  <c r="M1920" i="1"/>
  <c r="Z1920" i="1"/>
  <c r="Y1920" i="1"/>
  <c r="Z1329" i="1"/>
  <c r="Y1329" i="1"/>
  <c r="V1329" i="1"/>
  <c r="U1329" i="1"/>
  <c r="S1329" i="1"/>
  <c r="R1329" i="1"/>
  <c r="M1329" i="1"/>
  <c r="Y1667" i="1"/>
  <c r="V1667" i="1"/>
  <c r="U1667" i="1"/>
  <c r="S1667" i="1"/>
  <c r="R1667" i="1"/>
  <c r="Z1667" i="1"/>
  <c r="M1667" i="1"/>
  <c r="Y776" i="1"/>
  <c r="V776" i="1"/>
  <c r="U776" i="1"/>
  <c r="S776" i="1"/>
  <c r="R776" i="1"/>
  <c r="M776" i="1"/>
  <c r="Z776" i="1"/>
  <c r="S1487" i="1"/>
  <c r="R1487" i="1"/>
  <c r="M1487" i="1"/>
  <c r="Z1487" i="1"/>
  <c r="Y1487" i="1"/>
  <c r="U1487" i="1"/>
  <c r="V1487" i="1"/>
  <c r="S1942" i="1"/>
  <c r="R1942" i="1"/>
  <c r="Z1942" i="1"/>
  <c r="Y1942" i="1"/>
  <c r="V1942" i="1"/>
  <c r="U1942" i="1"/>
  <c r="M1942" i="1"/>
  <c r="V1223" i="1"/>
  <c r="U1223" i="1"/>
  <c r="S1223" i="1"/>
  <c r="R1223" i="1"/>
  <c r="M1223" i="1"/>
  <c r="Z1223" i="1"/>
  <c r="Y1223" i="1"/>
  <c r="S1479" i="1"/>
  <c r="R1479" i="1"/>
  <c r="M1479" i="1"/>
  <c r="V1479" i="1"/>
  <c r="U1479" i="1"/>
  <c r="Z1479" i="1"/>
  <c r="Y1479" i="1"/>
  <c r="R471" i="1"/>
  <c r="M471" i="1"/>
  <c r="Z471" i="1"/>
  <c r="Y471" i="1"/>
  <c r="V471" i="1"/>
  <c r="U471" i="1"/>
  <c r="S471" i="1"/>
  <c r="Z1377" i="1"/>
  <c r="Y1377" i="1"/>
  <c r="V1377" i="1"/>
  <c r="U1377" i="1"/>
  <c r="S1377" i="1"/>
  <c r="R1377" i="1"/>
  <c r="M1377" i="1"/>
  <c r="V1887" i="1"/>
  <c r="U1887" i="1"/>
  <c r="S1887" i="1"/>
  <c r="R1887" i="1"/>
  <c r="M1887" i="1"/>
  <c r="Z1887" i="1"/>
  <c r="Y1887" i="1"/>
  <c r="R1227" i="1"/>
  <c r="M1227" i="1"/>
  <c r="Z1227" i="1"/>
  <c r="Y1227" i="1"/>
  <c r="V1227" i="1"/>
  <c r="U1227" i="1"/>
  <c r="S1227" i="1"/>
  <c r="V1549" i="1"/>
  <c r="U1549" i="1"/>
  <c r="S1549" i="1"/>
  <c r="R1549" i="1"/>
  <c r="M1549" i="1"/>
  <c r="Z1549" i="1"/>
  <c r="Y1549" i="1"/>
  <c r="V1120" i="1"/>
  <c r="U1120" i="1"/>
  <c r="S1120" i="1"/>
  <c r="R1120" i="1"/>
  <c r="M1120" i="1"/>
  <c r="Z1120" i="1"/>
  <c r="Y1120" i="1"/>
  <c r="U1736" i="1"/>
  <c r="S1736" i="1"/>
  <c r="R1736" i="1"/>
  <c r="M1736" i="1"/>
  <c r="Y1736" i="1"/>
  <c r="V1736" i="1"/>
  <c r="Z1736" i="1"/>
  <c r="Y904" i="1"/>
  <c r="V904" i="1"/>
  <c r="U904" i="1"/>
  <c r="S904" i="1"/>
  <c r="R904" i="1"/>
  <c r="M904" i="1"/>
  <c r="Z904" i="1"/>
  <c r="V1567" i="1"/>
  <c r="U1567" i="1"/>
  <c r="R1567" i="1"/>
  <c r="M1567" i="1"/>
  <c r="Z1567" i="1"/>
  <c r="Y1567" i="1"/>
  <c r="S1567" i="1"/>
  <c r="S1906" i="1"/>
  <c r="R1906" i="1"/>
  <c r="M1906" i="1"/>
  <c r="Z1906" i="1"/>
  <c r="Y1906" i="1"/>
  <c r="V1906" i="1"/>
  <c r="U1906" i="1"/>
  <c r="V1972" i="1"/>
  <c r="U1972" i="1"/>
  <c r="S1972" i="1"/>
  <c r="R1972" i="1"/>
  <c r="M1972" i="1"/>
  <c r="Z1972" i="1"/>
  <c r="Y1972" i="1"/>
  <c r="S1791" i="1"/>
  <c r="R1791" i="1"/>
  <c r="M1791" i="1"/>
  <c r="V1791" i="1"/>
  <c r="U1791" i="1"/>
  <c r="Z1791" i="1"/>
  <c r="Y1791" i="1"/>
  <c r="Z1706" i="1"/>
  <c r="Y1706" i="1"/>
  <c r="V1706" i="1"/>
  <c r="U1706" i="1"/>
  <c r="S1706" i="1"/>
  <c r="R1706" i="1"/>
  <c r="M1706" i="1"/>
  <c r="M1665" i="1"/>
  <c r="Z1665" i="1"/>
  <c r="Y1665" i="1"/>
  <c r="V1665" i="1"/>
  <c r="U1665" i="1"/>
  <c r="R1665" i="1"/>
  <c r="S1665" i="1"/>
  <c r="R1635" i="1"/>
  <c r="M1635" i="1"/>
  <c r="Z1635" i="1"/>
  <c r="Y1635" i="1"/>
  <c r="V1635" i="1"/>
  <c r="U1635" i="1"/>
  <c r="S1635" i="1"/>
  <c r="M1900" i="1"/>
  <c r="Z1900" i="1"/>
  <c r="Y1900" i="1"/>
  <c r="V1900" i="1"/>
  <c r="U1900" i="1"/>
  <c r="S1900" i="1"/>
  <c r="R1900" i="1"/>
  <c r="U1694" i="1"/>
  <c r="S1694" i="1"/>
  <c r="R1694" i="1"/>
  <c r="M1694" i="1"/>
  <c r="Z1694" i="1"/>
  <c r="Y1694" i="1"/>
  <c r="V1694" i="1"/>
  <c r="Z630" i="1"/>
  <c r="Y630" i="1"/>
  <c r="V630" i="1"/>
  <c r="U630" i="1"/>
  <c r="S630" i="1"/>
  <c r="R630" i="1"/>
  <c r="M630" i="1"/>
  <c r="S1543" i="1"/>
  <c r="R1543" i="1"/>
  <c r="M1543" i="1"/>
  <c r="Z1543" i="1"/>
  <c r="Y1543" i="1"/>
  <c r="V1543" i="1"/>
  <c r="U1543" i="1"/>
  <c r="V1988" i="1"/>
  <c r="U1988" i="1"/>
  <c r="S1988" i="1"/>
  <c r="R1988" i="1"/>
  <c r="M1988" i="1"/>
  <c r="Z1988" i="1"/>
  <c r="Y1988" i="1"/>
  <c r="V52" i="1"/>
  <c r="U52" i="1"/>
  <c r="S52" i="1"/>
  <c r="R52" i="1"/>
  <c r="M52" i="1"/>
  <c r="Z52" i="1"/>
  <c r="Y52" i="1"/>
  <c r="U114" i="1"/>
  <c r="S114" i="1"/>
  <c r="M114" i="1"/>
  <c r="Z114" i="1"/>
  <c r="Y114" i="1"/>
  <c r="V114" i="1"/>
  <c r="R114" i="1"/>
  <c r="R79" i="1"/>
  <c r="M79" i="1"/>
  <c r="Z79" i="1"/>
  <c r="Y79" i="1"/>
  <c r="V79" i="1"/>
  <c r="U79" i="1"/>
  <c r="S79" i="1"/>
  <c r="V153" i="1"/>
  <c r="U153" i="1"/>
  <c r="S153" i="1"/>
  <c r="R153" i="1"/>
  <c r="M153" i="1"/>
  <c r="Z153" i="1"/>
  <c r="Y153" i="1"/>
  <c r="R1840" i="1"/>
  <c r="M1840" i="1"/>
  <c r="Z1840" i="1"/>
  <c r="Y1840" i="1"/>
  <c r="V1840" i="1"/>
  <c r="U1840" i="1"/>
  <c r="S1840" i="1"/>
  <c r="V881" i="1"/>
  <c r="U881" i="1"/>
  <c r="S881" i="1"/>
  <c r="R881" i="1"/>
  <c r="M881" i="1"/>
  <c r="Z881" i="1"/>
  <c r="Y881" i="1"/>
  <c r="S281" i="1"/>
  <c r="R281" i="1"/>
  <c r="M281" i="1"/>
  <c r="Z281" i="1"/>
  <c r="Y281" i="1"/>
  <c r="V281" i="1"/>
  <c r="U281" i="1"/>
  <c r="Y1466" i="1"/>
  <c r="V1466" i="1"/>
  <c r="U1466" i="1"/>
  <c r="S1466" i="1"/>
  <c r="R1466" i="1"/>
  <c r="M1466" i="1"/>
  <c r="Z1466" i="1"/>
  <c r="M749" i="1"/>
  <c r="Z749" i="1"/>
  <c r="Y749" i="1"/>
  <c r="V749" i="1"/>
  <c r="U749" i="1"/>
  <c r="S749" i="1"/>
  <c r="R749" i="1"/>
  <c r="V382" i="1"/>
  <c r="U382" i="1"/>
  <c r="S382" i="1"/>
  <c r="R382" i="1"/>
  <c r="M382" i="1"/>
  <c r="Z382" i="1"/>
  <c r="Y382" i="1"/>
  <c r="V1159" i="1"/>
  <c r="U1159" i="1"/>
  <c r="S1159" i="1"/>
  <c r="R1159" i="1"/>
  <c r="M1159" i="1"/>
  <c r="Z1159" i="1"/>
  <c r="Y1159" i="1"/>
  <c r="S251" i="1"/>
  <c r="R251" i="1"/>
  <c r="M251" i="1"/>
  <c r="Z251" i="1"/>
  <c r="Y251" i="1"/>
  <c r="V251" i="1"/>
  <c r="U251" i="1"/>
  <c r="Y1434" i="1"/>
  <c r="V1434" i="1"/>
  <c r="U1434" i="1"/>
  <c r="S1434" i="1"/>
  <c r="R1434" i="1"/>
  <c r="M1434" i="1"/>
  <c r="Z1434" i="1"/>
  <c r="Y1166" i="1"/>
  <c r="V1166" i="1"/>
  <c r="U1166" i="1"/>
  <c r="S1166" i="1"/>
  <c r="R1166" i="1"/>
  <c r="M1166" i="1"/>
  <c r="Z1166" i="1"/>
  <c r="V398" i="1"/>
  <c r="U398" i="1"/>
  <c r="S398" i="1"/>
  <c r="R398" i="1"/>
  <c r="M398" i="1"/>
  <c r="Z398" i="1"/>
  <c r="Y398" i="1"/>
  <c r="R1155" i="1"/>
  <c r="M1155" i="1"/>
  <c r="Z1155" i="1"/>
  <c r="Y1155" i="1"/>
  <c r="V1155" i="1"/>
  <c r="U1155" i="1"/>
  <c r="S1155" i="1"/>
  <c r="S470" i="1"/>
  <c r="R470" i="1"/>
  <c r="M470" i="1"/>
  <c r="Z470" i="1"/>
  <c r="Y470" i="1"/>
  <c r="V470" i="1"/>
  <c r="U470" i="1"/>
  <c r="U1137" i="1"/>
  <c r="S1137" i="1"/>
  <c r="R1137" i="1"/>
  <c r="M1137" i="1"/>
  <c r="Z1137" i="1"/>
  <c r="Y1137" i="1"/>
  <c r="V1137" i="1"/>
  <c r="V209" i="1"/>
  <c r="U209" i="1"/>
  <c r="S209" i="1"/>
  <c r="R209" i="1"/>
  <c r="M209" i="1"/>
  <c r="Z209" i="1"/>
  <c r="Y209" i="1"/>
  <c r="Z1772" i="1"/>
  <c r="Y1772" i="1"/>
  <c r="V1772" i="1"/>
  <c r="U1772" i="1"/>
  <c r="S1772" i="1"/>
  <c r="R1772" i="1"/>
  <c r="M1772" i="1"/>
  <c r="V905" i="1"/>
  <c r="U905" i="1"/>
  <c r="S905" i="1"/>
  <c r="R905" i="1"/>
  <c r="M905" i="1"/>
  <c r="Z905" i="1"/>
  <c r="Y905" i="1"/>
  <c r="Z214" i="1"/>
  <c r="Y214" i="1"/>
  <c r="V214" i="1"/>
  <c r="U214" i="1"/>
  <c r="S214" i="1"/>
  <c r="R214" i="1"/>
  <c r="M214" i="1"/>
  <c r="Z1085" i="1"/>
  <c r="Y1085" i="1"/>
  <c r="V1085" i="1"/>
  <c r="U1085" i="1"/>
  <c r="S1085" i="1"/>
  <c r="R1085" i="1"/>
  <c r="M1085" i="1"/>
  <c r="U210" i="1"/>
  <c r="S210" i="1"/>
  <c r="R210" i="1"/>
  <c r="M210" i="1"/>
  <c r="Z210" i="1"/>
  <c r="Y210" i="1"/>
  <c r="V210" i="1"/>
  <c r="Z742" i="1"/>
  <c r="Y742" i="1"/>
  <c r="V742" i="1"/>
  <c r="U742" i="1"/>
  <c r="S742" i="1"/>
  <c r="R742" i="1"/>
  <c r="M742" i="1"/>
  <c r="Y1002" i="1"/>
  <c r="V1002" i="1"/>
  <c r="U1002" i="1"/>
  <c r="S1002" i="1"/>
  <c r="R1002" i="1"/>
  <c r="M1002" i="1"/>
  <c r="Z1002" i="1"/>
  <c r="Y365" i="1"/>
  <c r="V365" i="1"/>
  <c r="U365" i="1"/>
  <c r="S365" i="1"/>
  <c r="R365" i="1"/>
  <c r="M365" i="1"/>
  <c r="Z365" i="1"/>
  <c r="Z505" i="1"/>
  <c r="Y505" i="1"/>
  <c r="V505" i="1"/>
  <c r="U505" i="1"/>
  <c r="S505" i="1"/>
  <c r="R505" i="1"/>
  <c r="M505" i="1"/>
  <c r="M1064" i="1"/>
  <c r="Z1064" i="1"/>
  <c r="Y1064" i="1"/>
  <c r="V1064" i="1"/>
  <c r="U1064" i="1"/>
  <c r="S1064" i="1"/>
  <c r="R1064" i="1"/>
  <c r="V947" i="1"/>
  <c r="U947" i="1"/>
  <c r="S947" i="1"/>
  <c r="R947" i="1"/>
  <c r="M947" i="1"/>
  <c r="Z947" i="1"/>
  <c r="Y947" i="1"/>
  <c r="Z754" i="1"/>
  <c r="U754" i="1"/>
  <c r="S754" i="1"/>
  <c r="R754" i="1"/>
  <c r="M754" i="1"/>
  <c r="Y754" i="1"/>
  <c r="V754" i="1"/>
  <c r="S417" i="1"/>
  <c r="R417" i="1"/>
  <c r="M417" i="1"/>
  <c r="Z417" i="1"/>
  <c r="Y417" i="1"/>
  <c r="V417" i="1"/>
  <c r="U417" i="1"/>
  <c r="V688" i="1"/>
  <c r="U688" i="1"/>
  <c r="S688" i="1"/>
  <c r="R688" i="1"/>
  <c r="M688" i="1"/>
  <c r="Z688" i="1"/>
  <c r="Y688" i="1"/>
  <c r="Y389" i="1"/>
  <c r="V389" i="1"/>
  <c r="U389" i="1"/>
  <c r="S389" i="1"/>
  <c r="R389" i="1"/>
  <c r="M389" i="1"/>
  <c r="Z389" i="1"/>
  <c r="S852" i="1"/>
  <c r="R852" i="1"/>
  <c r="M852" i="1"/>
  <c r="Z852" i="1"/>
  <c r="Y852" i="1"/>
  <c r="V852" i="1"/>
  <c r="U852" i="1"/>
  <c r="M1000" i="1"/>
  <c r="Z1000" i="1"/>
  <c r="Y1000" i="1"/>
  <c r="V1000" i="1"/>
  <c r="U1000" i="1"/>
  <c r="S1000" i="1"/>
  <c r="R1000" i="1"/>
  <c r="Z767" i="1"/>
  <c r="V767" i="1"/>
  <c r="U767" i="1"/>
  <c r="S767" i="1"/>
  <c r="R767" i="1"/>
  <c r="M767" i="1"/>
  <c r="Y767" i="1"/>
  <c r="M846" i="1"/>
  <c r="Z846" i="1"/>
  <c r="Y846" i="1"/>
  <c r="V846" i="1"/>
  <c r="U846" i="1"/>
  <c r="S846" i="1"/>
  <c r="R846" i="1"/>
  <c r="M661" i="1"/>
  <c r="Z661" i="1"/>
  <c r="Y661" i="1"/>
  <c r="V661" i="1"/>
  <c r="U661" i="1"/>
  <c r="S661" i="1"/>
  <c r="R661" i="1"/>
  <c r="V608" i="1"/>
  <c r="U608" i="1"/>
  <c r="S608" i="1"/>
  <c r="R608" i="1"/>
  <c r="M608" i="1"/>
  <c r="Z608" i="1"/>
  <c r="Y608" i="1"/>
  <c r="U1397" i="1"/>
  <c r="S1397" i="1"/>
  <c r="M1397" i="1"/>
  <c r="Z1397" i="1"/>
  <c r="Y1397" i="1"/>
  <c r="V1397" i="1"/>
  <c r="R1397" i="1"/>
  <c r="S1687" i="1"/>
  <c r="R1687" i="1"/>
  <c r="M1687" i="1"/>
  <c r="Z1687" i="1"/>
  <c r="Y1687" i="1"/>
  <c r="V1687" i="1"/>
  <c r="U1687" i="1"/>
  <c r="M1984" i="1"/>
  <c r="Z1984" i="1"/>
  <c r="Y1984" i="1"/>
  <c r="V1984" i="1"/>
  <c r="U1984" i="1"/>
  <c r="S1984" i="1"/>
  <c r="R1984" i="1"/>
  <c r="Z1522" i="1"/>
  <c r="Y1522" i="1"/>
  <c r="V1522" i="1"/>
  <c r="U1522" i="1"/>
  <c r="S1522" i="1"/>
  <c r="R1522" i="1"/>
  <c r="M1522" i="1"/>
  <c r="R1832" i="1"/>
  <c r="M1832" i="1"/>
  <c r="Z1832" i="1"/>
  <c r="Y1832" i="1"/>
  <c r="V1832" i="1"/>
  <c r="U1832" i="1"/>
  <c r="S1832" i="1"/>
  <c r="M984" i="1"/>
  <c r="Z984" i="1"/>
  <c r="Y984" i="1"/>
  <c r="V984" i="1"/>
  <c r="U984" i="1"/>
  <c r="S984" i="1"/>
  <c r="R984" i="1"/>
  <c r="V1615" i="1"/>
  <c r="U1615" i="1"/>
  <c r="S1615" i="1"/>
  <c r="R1615" i="1"/>
  <c r="M1615" i="1"/>
  <c r="Z1615" i="1"/>
  <c r="Y1615" i="1"/>
  <c r="S2006" i="1"/>
  <c r="R2006" i="1"/>
  <c r="M2006" i="1"/>
  <c r="Z2006" i="1"/>
  <c r="Y2006" i="1"/>
  <c r="V2006" i="1"/>
  <c r="U2006" i="1"/>
  <c r="R1351" i="1"/>
  <c r="M1351" i="1"/>
  <c r="Z1351" i="1"/>
  <c r="Y1351" i="1"/>
  <c r="V1351" i="1"/>
  <c r="U1351" i="1"/>
  <c r="S1351" i="1"/>
  <c r="V1607" i="1"/>
  <c r="U1607" i="1"/>
  <c r="S1607" i="1"/>
  <c r="R1607" i="1"/>
  <c r="M1607" i="1"/>
  <c r="Z1607" i="1"/>
  <c r="Y1607" i="1"/>
  <c r="V1044" i="1"/>
  <c r="U1044" i="1"/>
  <c r="S1044" i="1"/>
  <c r="R1044" i="1"/>
  <c r="M1044" i="1"/>
  <c r="Z1044" i="1"/>
  <c r="Y1044" i="1"/>
  <c r="Z1165" i="1"/>
  <c r="Y1165" i="1"/>
  <c r="V1165" i="1"/>
  <c r="U1165" i="1"/>
  <c r="S1165" i="1"/>
  <c r="R1165" i="1"/>
  <c r="M1165" i="1"/>
  <c r="M1755" i="1"/>
  <c r="Z1755" i="1"/>
  <c r="Y1755" i="1"/>
  <c r="V1755" i="1"/>
  <c r="U1755" i="1"/>
  <c r="R1755" i="1"/>
  <c r="S1755" i="1"/>
  <c r="R1367" i="1"/>
  <c r="M1367" i="1"/>
  <c r="Z1367" i="1"/>
  <c r="Y1367" i="1"/>
  <c r="V1367" i="1"/>
  <c r="U1367" i="1"/>
  <c r="S1367" i="1"/>
  <c r="V1677" i="1"/>
  <c r="U1677" i="1"/>
  <c r="S1677" i="1"/>
  <c r="R1677" i="1"/>
  <c r="M1677" i="1"/>
  <c r="Z1677" i="1"/>
  <c r="Y1677" i="1"/>
  <c r="U602" i="1"/>
  <c r="S602" i="1"/>
  <c r="M602" i="1"/>
  <c r="Z602" i="1"/>
  <c r="Y602" i="1"/>
  <c r="V602" i="1"/>
  <c r="R602" i="1"/>
  <c r="M1537" i="1"/>
  <c r="Z1537" i="1"/>
  <c r="Y1537" i="1"/>
  <c r="V1537" i="1"/>
  <c r="U1537" i="1"/>
  <c r="S1537" i="1"/>
  <c r="R1537" i="1"/>
  <c r="Y1086" i="1"/>
  <c r="V1086" i="1"/>
  <c r="U1086" i="1"/>
  <c r="Z1086" i="1"/>
  <c r="S1086" i="1"/>
  <c r="R1086" i="1"/>
  <c r="M1086" i="1"/>
  <c r="S1695" i="1"/>
  <c r="R1695" i="1"/>
  <c r="M1695" i="1"/>
  <c r="Z1695" i="1"/>
  <c r="Y1695" i="1"/>
  <c r="V1695" i="1"/>
  <c r="U1695" i="1"/>
  <c r="V1911" i="1"/>
  <c r="U1911" i="1"/>
  <c r="S1911" i="1"/>
  <c r="R1911" i="1"/>
  <c r="M1911" i="1"/>
  <c r="Z1911" i="1"/>
  <c r="Y1911" i="1"/>
  <c r="U1957" i="1"/>
  <c r="S1957" i="1"/>
  <c r="R1957" i="1"/>
  <c r="M1957" i="1"/>
  <c r="Z1957" i="1"/>
  <c r="Y1957" i="1"/>
  <c r="V1957" i="1"/>
  <c r="M1976" i="1"/>
  <c r="Z1976" i="1"/>
  <c r="Y1976" i="1"/>
  <c r="V1976" i="1"/>
  <c r="U1976" i="1"/>
  <c r="S1976" i="1"/>
  <c r="R1976" i="1"/>
  <c r="R1279" i="1"/>
  <c r="M1279" i="1"/>
  <c r="Z1279" i="1"/>
  <c r="Y1279" i="1"/>
  <c r="V1279" i="1"/>
  <c r="U1279" i="1"/>
  <c r="S1279" i="1"/>
  <c r="S892" i="1"/>
  <c r="R892" i="1"/>
  <c r="M892" i="1"/>
  <c r="Z892" i="1"/>
  <c r="Y892" i="1"/>
  <c r="V892" i="1"/>
  <c r="U892" i="1"/>
  <c r="M1960" i="1"/>
  <c r="Z1960" i="1"/>
  <c r="Y1960" i="1"/>
  <c r="V1960" i="1"/>
  <c r="U1960" i="1"/>
  <c r="S1960" i="1"/>
  <c r="R1960" i="1"/>
  <c r="Y50" i="1"/>
  <c r="V50" i="1"/>
  <c r="U50" i="1"/>
  <c r="S50" i="1"/>
  <c r="R50" i="1"/>
  <c r="M50" i="1"/>
  <c r="Z50" i="1"/>
  <c r="R148" i="1"/>
  <c r="M148" i="1"/>
  <c r="Z148" i="1"/>
  <c r="Y148" i="1"/>
  <c r="V148" i="1"/>
  <c r="U148" i="1"/>
  <c r="S148" i="1"/>
  <c r="Y42" i="1"/>
  <c r="V42" i="1"/>
  <c r="U42" i="1"/>
  <c r="S42" i="1"/>
  <c r="R42" i="1"/>
  <c r="M42" i="1"/>
  <c r="Z42" i="1"/>
  <c r="M101" i="1"/>
  <c r="Z101" i="1"/>
  <c r="V101" i="1"/>
  <c r="U101" i="1"/>
  <c r="R101" i="1"/>
  <c r="Y101" i="1"/>
  <c r="S101" i="1"/>
  <c r="U53" i="1"/>
  <c r="S53" i="1"/>
  <c r="R53" i="1"/>
  <c r="M53" i="1"/>
  <c r="Z53" i="1"/>
  <c r="Y53" i="1"/>
  <c r="V53" i="1"/>
  <c r="S1350" i="1"/>
  <c r="R1350" i="1"/>
  <c r="M1350" i="1"/>
  <c r="Z1350" i="1"/>
  <c r="Y1350" i="1"/>
  <c r="V1350" i="1"/>
  <c r="U1350" i="1"/>
  <c r="V548" i="1"/>
  <c r="U548" i="1"/>
  <c r="S548" i="1"/>
  <c r="R548" i="1"/>
  <c r="M548" i="1"/>
  <c r="Z548" i="1"/>
  <c r="Y548" i="1"/>
  <c r="V572" i="1"/>
  <c r="U572" i="1"/>
  <c r="S572" i="1"/>
  <c r="R572" i="1"/>
  <c r="M572" i="1"/>
  <c r="Z572" i="1"/>
  <c r="Y572" i="1"/>
  <c r="Z1065" i="1"/>
  <c r="Y1065" i="1"/>
  <c r="V1065" i="1"/>
  <c r="U1065" i="1"/>
  <c r="S1065" i="1"/>
  <c r="R1065" i="1"/>
  <c r="M1065" i="1"/>
  <c r="Y341" i="1"/>
  <c r="V341" i="1"/>
  <c r="U341" i="1"/>
  <c r="S341" i="1"/>
  <c r="R341" i="1"/>
  <c r="M341" i="1"/>
  <c r="Z341" i="1"/>
  <c r="V1540" i="1"/>
  <c r="U1540" i="1"/>
  <c r="S1540" i="1"/>
  <c r="R1540" i="1"/>
  <c r="M1540" i="1"/>
  <c r="Z1540" i="1"/>
  <c r="Y1540" i="1"/>
  <c r="V713" i="1"/>
  <c r="U713" i="1"/>
  <c r="S713" i="1"/>
  <c r="R713" i="1"/>
  <c r="M713" i="1"/>
  <c r="Z713" i="1"/>
  <c r="Y713" i="1"/>
  <c r="V1903" i="1"/>
  <c r="U1903" i="1"/>
  <c r="S1903" i="1"/>
  <c r="R1903" i="1"/>
  <c r="M1903" i="1"/>
  <c r="Z1903" i="1"/>
  <c r="Y1903" i="1"/>
  <c r="U1061" i="1"/>
  <c r="S1061" i="1"/>
  <c r="R1061" i="1"/>
  <c r="M1061" i="1"/>
  <c r="Z1061" i="1"/>
  <c r="Y1061" i="1"/>
  <c r="V1061" i="1"/>
  <c r="V335" i="1"/>
  <c r="U335" i="1"/>
  <c r="S335" i="1"/>
  <c r="R335" i="1"/>
  <c r="M335" i="1"/>
  <c r="Z335" i="1"/>
  <c r="Y335" i="1"/>
  <c r="V1508" i="1"/>
  <c r="U1508" i="1"/>
  <c r="S1508" i="1"/>
  <c r="R1508" i="1"/>
  <c r="M1508" i="1"/>
  <c r="Y1508" i="1"/>
  <c r="Z1508" i="1"/>
  <c r="V681" i="1"/>
  <c r="U681" i="1"/>
  <c r="S681" i="1"/>
  <c r="R681" i="1"/>
  <c r="M681" i="1"/>
  <c r="Z681" i="1"/>
  <c r="Y681" i="1"/>
  <c r="R1656" i="1"/>
  <c r="M1656" i="1"/>
  <c r="Z1656" i="1"/>
  <c r="Y1656" i="1"/>
  <c r="V1656" i="1"/>
  <c r="S1656" i="1"/>
  <c r="U1656" i="1"/>
  <c r="V987" i="1"/>
  <c r="U987" i="1"/>
  <c r="S987" i="1"/>
  <c r="R987" i="1"/>
  <c r="M987" i="1"/>
  <c r="Z987" i="1"/>
  <c r="Y987" i="1"/>
  <c r="V414" i="1"/>
  <c r="U414" i="1"/>
  <c r="S414" i="1"/>
  <c r="R414" i="1"/>
  <c r="M414" i="1"/>
  <c r="Z414" i="1"/>
  <c r="Y414" i="1"/>
  <c r="V1151" i="1"/>
  <c r="U1151" i="1"/>
  <c r="S1151" i="1"/>
  <c r="R1151" i="1"/>
  <c r="M1151" i="1"/>
  <c r="Z1151" i="1"/>
  <c r="Y1151" i="1"/>
  <c r="S235" i="1"/>
  <c r="R235" i="1"/>
  <c r="M235" i="1"/>
  <c r="Z235" i="1"/>
  <c r="Y235" i="1"/>
  <c r="V235" i="1"/>
  <c r="U235" i="1"/>
  <c r="V1412" i="1"/>
  <c r="U1412" i="1"/>
  <c r="S1412" i="1"/>
  <c r="R1412" i="1"/>
  <c r="M1412" i="1"/>
  <c r="Z1412" i="1"/>
  <c r="Y1412" i="1"/>
  <c r="R1007" i="1"/>
  <c r="M1007" i="1"/>
  <c r="Z1007" i="1"/>
  <c r="Y1007" i="1"/>
  <c r="V1007" i="1"/>
  <c r="U1007" i="1"/>
  <c r="S1007" i="1"/>
  <c r="Y381" i="1"/>
  <c r="V381" i="1"/>
  <c r="U381" i="1"/>
  <c r="S381" i="1"/>
  <c r="R381" i="1"/>
  <c r="M381" i="1"/>
  <c r="Z381" i="1"/>
  <c r="S1162" i="1"/>
  <c r="R1162" i="1"/>
  <c r="M1162" i="1"/>
  <c r="Z1162" i="1"/>
  <c r="Y1162" i="1"/>
  <c r="V1162" i="1"/>
  <c r="U1162" i="1"/>
  <c r="R244" i="1"/>
  <c r="M244" i="1"/>
  <c r="Z244" i="1"/>
  <c r="Y244" i="1"/>
  <c r="V244" i="1"/>
  <c r="U244" i="1"/>
  <c r="S244" i="1"/>
  <c r="M419" i="1"/>
  <c r="Z419" i="1"/>
  <c r="Y419" i="1"/>
  <c r="V419" i="1"/>
  <c r="U419" i="1"/>
  <c r="S419" i="1"/>
  <c r="R419" i="1"/>
  <c r="V866" i="1"/>
  <c r="U866" i="1"/>
  <c r="S866" i="1"/>
  <c r="R866" i="1"/>
  <c r="M866" i="1"/>
  <c r="Z866" i="1"/>
  <c r="Y866" i="1"/>
  <c r="M245" i="1"/>
  <c r="Z245" i="1"/>
  <c r="Y245" i="1"/>
  <c r="V245" i="1"/>
  <c r="U245" i="1"/>
  <c r="S245" i="1"/>
  <c r="R245" i="1"/>
  <c r="R660" i="1"/>
  <c r="M660" i="1"/>
  <c r="Z660" i="1"/>
  <c r="Y660" i="1"/>
  <c r="V660" i="1"/>
  <c r="U660" i="1"/>
  <c r="S660" i="1"/>
  <c r="R394" i="1"/>
  <c r="M394" i="1"/>
  <c r="Z394" i="1"/>
  <c r="Y394" i="1"/>
  <c r="V394" i="1"/>
  <c r="U394" i="1"/>
  <c r="S394" i="1"/>
  <c r="R519" i="1"/>
  <c r="M519" i="1"/>
  <c r="Z519" i="1"/>
  <c r="Y519" i="1"/>
  <c r="V519" i="1"/>
  <c r="U519" i="1"/>
  <c r="S519" i="1"/>
  <c r="U682" i="1"/>
  <c r="S682" i="1"/>
  <c r="R682" i="1"/>
  <c r="M682" i="1"/>
  <c r="Z682" i="1"/>
  <c r="Y682" i="1"/>
  <c r="V682" i="1"/>
  <c r="Z879" i="1"/>
  <c r="Y879" i="1"/>
  <c r="V879" i="1"/>
  <c r="U879" i="1"/>
  <c r="S879" i="1"/>
  <c r="R879" i="1"/>
  <c r="M879" i="1"/>
  <c r="S958" i="1"/>
  <c r="R958" i="1"/>
  <c r="M958" i="1"/>
  <c r="Z958" i="1"/>
  <c r="Y958" i="1"/>
  <c r="V958" i="1"/>
  <c r="U958" i="1"/>
  <c r="U533" i="1"/>
  <c r="S533" i="1"/>
  <c r="R533" i="1"/>
  <c r="M533" i="1"/>
  <c r="Z533" i="1"/>
  <c r="Y533" i="1"/>
  <c r="V533" i="1"/>
  <c r="V996" i="1"/>
  <c r="U996" i="1"/>
  <c r="S996" i="1"/>
  <c r="R996" i="1"/>
  <c r="M996" i="1"/>
  <c r="Z996" i="1"/>
  <c r="Y996" i="1"/>
  <c r="R274" i="1"/>
  <c r="M274" i="1"/>
  <c r="Z274" i="1"/>
  <c r="Y274" i="1"/>
  <c r="V274" i="1"/>
  <c r="U274" i="1"/>
  <c r="S274" i="1"/>
  <c r="R439" i="1"/>
  <c r="Y439" i="1"/>
  <c r="V439" i="1"/>
  <c r="U439" i="1"/>
  <c r="Z439" i="1"/>
  <c r="S439" i="1"/>
  <c r="M439" i="1"/>
  <c r="U666" i="1"/>
  <c r="S666" i="1"/>
  <c r="R666" i="1"/>
  <c r="M666" i="1"/>
  <c r="Z666" i="1"/>
  <c r="Y666" i="1"/>
  <c r="V666" i="1"/>
  <c r="U1569" i="1"/>
  <c r="S1569" i="1"/>
  <c r="R1569" i="1"/>
  <c r="Z1569" i="1"/>
  <c r="Y1569" i="1"/>
  <c r="M1569" i="1"/>
  <c r="V1569" i="1"/>
  <c r="R1923" i="1"/>
  <c r="M1923" i="1"/>
  <c r="Z1923" i="1"/>
  <c r="Y1923" i="1"/>
  <c r="V1923" i="1"/>
  <c r="U1923" i="1"/>
  <c r="S1923" i="1"/>
  <c r="R1399" i="1"/>
  <c r="M1399" i="1"/>
  <c r="Z1399" i="1"/>
  <c r="Y1399" i="1"/>
  <c r="V1399" i="1"/>
  <c r="U1399" i="1"/>
  <c r="S1399" i="1"/>
  <c r="R1730" i="1"/>
  <c r="M1730" i="1"/>
  <c r="Z1730" i="1"/>
  <c r="Y1730" i="1"/>
  <c r="V1730" i="1"/>
  <c r="U1730" i="1"/>
  <c r="S1730" i="1"/>
  <c r="V2004" i="1"/>
  <c r="U2004" i="1"/>
  <c r="S2004" i="1"/>
  <c r="R2004" i="1"/>
  <c r="M2004" i="1"/>
  <c r="Z2004" i="1"/>
  <c r="Y2004" i="1"/>
  <c r="U1217" i="1"/>
  <c r="S1217" i="1"/>
  <c r="R1217" i="1"/>
  <c r="M1217" i="1"/>
  <c r="Z1217" i="1"/>
  <c r="Y1217" i="1"/>
  <c r="V1217" i="1"/>
  <c r="Y1555" i="1"/>
  <c r="V1555" i="1"/>
  <c r="U1555" i="1"/>
  <c r="S1555" i="1"/>
  <c r="R1555" i="1"/>
  <c r="M1555" i="1"/>
  <c r="Z1555" i="1"/>
  <c r="S1234" i="1"/>
  <c r="R1234" i="1"/>
  <c r="M1234" i="1"/>
  <c r="Z1234" i="1"/>
  <c r="Y1234" i="1"/>
  <c r="V1234" i="1"/>
  <c r="U1234" i="1"/>
  <c r="M1489" i="1"/>
  <c r="Z1489" i="1"/>
  <c r="Y1489" i="1"/>
  <c r="V1489" i="1"/>
  <c r="U1489" i="1"/>
  <c r="R1489" i="1"/>
  <c r="S1489" i="1"/>
  <c r="U1881" i="1"/>
  <c r="S1881" i="1"/>
  <c r="R1881" i="1"/>
  <c r="M1881" i="1"/>
  <c r="Z1881" i="1"/>
  <c r="Y1881" i="1"/>
  <c r="V1881" i="1"/>
  <c r="Y1630" i="1"/>
  <c r="V1630" i="1"/>
  <c r="U1630" i="1"/>
  <c r="S1630" i="1"/>
  <c r="R1630" i="1"/>
  <c r="M1630" i="1"/>
  <c r="Z1630" i="1"/>
  <c r="U1593" i="1"/>
  <c r="S1593" i="1"/>
  <c r="R1593" i="1"/>
  <c r="M1593" i="1"/>
  <c r="Z1593" i="1"/>
  <c r="Y1593" i="1"/>
  <c r="V1593" i="1"/>
  <c r="S651" i="1"/>
  <c r="R651" i="1"/>
  <c r="M651" i="1"/>
  <c r="Z651" i="1"/>
  <c r="Y651" i="1"/>
  <c r="V651" i="1"/>
  <c r="U651" i="1"/>
  <c r="M1841" i="1"/>
  <c r="Z1841" i="1"/>
  <c r="Y1841" i="1"/>
  <c r="V1841" i="1"/>
  <c r="U1841" i="1"/>
  <c r="S1841" i="1"/>
  <c r="R1841" i="1"/>
  <c r="Z1993" i="1"/>
  <c r="Y1993" i="1"/>
  <c r="V1993" i="1"/>
  <c r="U1993" i="1"/>
  <c r="S1993" i="1"/>
  <c r="R1993" i="1"/>
  <c r="M1993" i="1"/>
  <c r="V1775" i="1"/>
  <c r="U1775" i="1"/>
  <c r="S1775" i="1"/>
  <c r="R1775" i="1"/>
  <c r="M1775" i="1"/>
  <c r="Z1775" i="1"/>
  <c r="Y1775" i="1"/>
  <c r="Z1581" i="1"/>
  <c r="Y1581" i="1"/>
  <c r="V1581" i="1"/>
  <c r="U1581" i="1"/>
  <c r="S1581" i="1"/>
  <c r="R1581" i="1"/>
  <c r="M1581" i="1"/>
  <c r="S86" i="1"/>
  <c r="R86" i="1"/>
  <c r="M86" i="1"/>
  <c r="Z86" i="1"/>
  <c r="Y86" i="1"/>
  <c r="V86" i="1"/>
  <c r="U86" i="1"/>
  <c r="Z126" i="1"/>
  <c r="Y126" i="1"/>
  <c r="V126" i="1"/>
  <c r="U126" i="1"/>
  <c r="S126" i="1"/>
  <c r="R126" i="1"/>
  <c r="M126" i="1"/>
  <c r="M117" i="1"/>
  <c r="Z117" i="1"/>
  <c r="V117" i="1"/>
  <c r="U117" i="1"/>
  <c r="S117" i="1"/>
  <c r="R117" i="1"/>
  <c r="Y117" i="1"/>
  <c r="V51" i="1"/>
  <c r="U51" i="1"/>
  <c r="S51" i="1"/>
  <c r="R51" i="1"/>
  <c r="M51" i="1"/>
  <c r="Z51" i="1"/>
  <c r="Y51" i="1"/>
  <c r="S494" i="1"/>
  <c r="R494" i="1"/>
  <c r="M494" i="1"/>
  <c r="Z494" i="1"/>
  <c r="Y494" i="1"/>
  <c r="V494" i="1"/>
  <c r="U494" i="1"/>
  <c r="R1131" i="1"/>
  <c r="M1131" i="1"/>
  <c r="Z1131" i="1"/>
  <c r="Y1131" i="1"/>
  <c r="V1131" i="1"/>
  <c r="U1131" i="1"/>
  <c r="S1131" i="1"/>
  <c r="M197" i="1"/>
  <c r="Z197" i="1"/>
  <c r="Y197" i="1"/>
  <c r="V197" i="1"/>
  <c r="U197" i="1"/>
  <c r="S197" i="1"/>
  <c r="R197" i="1"/>
  <c r="M1440" i="1"/>
  <c r="Z1440" i="1"/>
  <c r="Y1440" i="1"/>
  <c r="V1440" i="1"/>
  <c r="U1440" i="1"/>
  <c r="S1440" i="1"/>
  <c r="R1440" i="1"/>
  <c r="Z985" i="1"/>
  <c r="Y985" i="1"/>
  <c r="V985" i="1"/>
  <c r="U985" i="1"/>
  <c r="S985" i="1"/>
  <c r="R985" i="1"/>
  <c r="M985" i="1"/>
  <c r="R410" i="1"/>
  <c r="M410" i="1"/>
  <c r="Z410" i="1"/>
  <c r="Y410" i="1"/>
  <c r="V410" i="1"/>
  <c r="U410" i="1"/>
  <c r="S410" i="1"/>
  <c r="V1224" i="1"/>
  <c r="U1224" i="1"/>
  <c r="S1224" i="1"/>
  <c r="R1224" i="1"/>
  <c r="M1224" i="1"/>
  <c r="Z1224" i="1"/>
  <c r="Y1224" i="1"/>
  <c r="Z388" i="1"/>
  <c r="Y388" i="1"/>
  <c r="V388" i="1"/>
  <c r="U388" i="1"/>
  <c r="S388" i="1"/>
  <c r="R388" i="1"/>
  <c r="M388" i="1"/>
  <c r="V1742" i="1"/>
  <c r="U1742" i="1"/>
  <c r="S1742" i="1"/>
  <c r="R1742" i="1"/>
  <c r="M1742" i="1"/>
  <c r="Y1742" i="1"/>
  <c r="Z1742" i="1"/>
  <c r="Z953" i="1"/>
  <c r="Y953" i="1"/>
  <c r="V953" i="1"/>
  <c r="U953" i="1"/>
  <c r="S953" i="1"/>
  <c r="R953" i="1"/>
  <c r="M953" i="1"/>
  <c r="Y426" i="1"/>
  <c r="U426" i="1"/>
  <c r="S426" i="1"/>
  <c r="Z426" i="1"/>
  <c r="V426" i="1"/>
  <c r="R426" i="1"/>
  <c r="M426" i="1"/>
  <c r="V1192" i="1"/>
  <c r="U1192" i="1"/>
  <c r="S1192" i="1"/>
  <c r="R1192" i="1"/>
  <c r="M1192" i="1"/>
  <c r="Z1192" i="1"/>
  <c r="Y1192" i="1"/>
  <c r="Y631" i="1"/>
  <c r="V631" i="1"/>
  <c r="U631" i="1"/>
  <c r="S631" i="1"/>
  <c r="R631" i="1"/>
  <c r="M631" i="1"/>
  <c r="Z631" i="1"/>
  <c r="V1340" i="1"/>
  <c r="U1340" i="1"/>
  <c r="S1340" i="1"/>
  <c r="R1340" i="1"/>
  <c r="M1340" i="1"/>
  <c r="Z1340" i="1"/>
  <c r="Y1340" i="1"/>
  <c r="M472" i="1"/>
  <c r="Z472" i="1"/>
  <c r="Y472" i="1"/>
  <c r="V472" i="1"/>
  <c r="U472" i="1"/>
  <c r="S472" i="1"/>
  <c r="R472" i="1"/>
  <c r="U1846" i="1"/>
  <c r="S1846" i="1"/>
  <c r="R1846" i="1"/>
  <c r="M1846" i="1"/>
  <c r="Z1846" i="1"/>
  <c r="Y1846" i="1"/>
  <c r="V1846" i="1"/>
  <c r="V657" i="1"/>
  <c r="U657" i="1"/>
  <c r="S657" i="1"/>
  <c r="R657" i="1"/>
  <c r="M657" i="1"/>
  <c r="Z657" i="1"/>
  <c r="Y657" i="1"/>
  <c r="U218" i="1"/>
  <c r="S218" i="1"/>
  <c r="R218" i="1"/>
  <c r="M218" i="1"/>
  <c r="Z218" i="1"/>
  <c r="Y218" i="1"/>
  <c r="V218" i="1"/>
  <c r="V1300" i="1"/>
  <c r="U1300" i="1"/>
  <c r="S1300" i="1"/>
  <c r="R1300" i="1"/>
  <c r="M1300" i="1"/>
  <c r="Z1300" i="1"/>
  <c r="Y1300" i="1"/>
  <c r="Y285" i="1"/>
  <c r="V285" i="1"/>
  <c r="U285" i="1"/>
  <c r="S285" i="1"/>
  <c r="R285" i="1"/>
  <c r="Z285" i="1"/>
  <c r="M285" i="1"/>
  <c r="V592" i="1"/>
  <c r="R592" i="1"/>
  <c r="Z592" i="1"/>
  <c r="Y592" i="1"/>
  <c r="U592" i="1"/>
  <c r="S592" i="1"/>
  <c r="M592" i="1"/>
  <c r="V1112" i="1"/>
  <c r="U1112" i="1"/>
  <c r="S1112" i="1"/>
  <c r="R1112" i="1"/>
  <c r="M1112" i="1"/>
  <c r="Z1112" i="1"/>
  <c r="Y1112" i="1"/>
  <c r="U581" i="1"/>
  <c r="S581" i="1"/>
  <c r="R581" i="1"/>
  <c r="M581" i="1"/>
  <c r="Z581" i="1"/>
  <c r="Y581" i="1"/>
  <c r="V581" i="1"/>
  <c r="M693" i="1"/>
  <c r="Z693" i="1"/>
  <c r="Y693" i="1"/>
  <c r="V693" i="1"/>
  <c r="U693" i="1"/>
  <c r="S693" i="1"/>
  <c r="R693" i="1"/>
  <c r="M782" i="1"/>
  <c r="Z782" i="1"/>
  <c r="Y782" i="1"/>
  <c r="V782" i="1"/>
  <c r="U782" i="1"/>
  <c r="S782" i="1"/>
  <c r="R782" i="1"/>
  <c r="V366" i="1"/>
  <c r="U366" i="1"/>
  <c r="S366" i="1"/>
  <c r="R366" i="1"/>
  <c r="M366" i="1"/>
  <c r="Z366" i="1"/>
  <c r="Y366" i="1"/>
  <c r="S820" i="1"/>
  <c r="R820" i="1"/>
  <c r="M820" i="1"/>
  <c r="Z820" i="1"/>
  <c r="Y820" i="1"/>
  <c r="V820" i="1"/>
  <c r="U820" i="1"/>
  <c r="U763" i="1"/>
  <c r="R763" i="1"/>
  <c r="Z763" i="1"/>
  <c r="Y763" i="1"/>
  <c r="V763" i="1"/>
  <c r="S763" i="1"/>
  <c r="M763" i="1"/>
  <c r="M1140" i="1"/>
  <c r="Z1140" i="1"/>
  <c r="Y1140" i="1"/>
  <c r="V1140" i="1"/>
  <c r="U1140" i="1"/>
  <c r="S1140" i="1"/>
  <c r="R1140" i="1"/>
  <c r="R418" i="1"/>
  <c r="M418" i="1"/>
  <c r="Z418" i="1"/>
  <c r="Y418" i="1"/>
  <c r="V418" i="1"/>
  <c r="U418" i="1"/>
  <c r="S418" i="1"/>
  <c r="R535" i="1"/>
  <c r="M535" i="1"/>
  <c r="Z535" i="1"/>
  <c r="Y535" i="1"/>
  <c r="V535" i="1"/>
  <c r="U535" i="1"/>
  <c r="S535" i="1"/>
  <c r="U698" i="1"/>
  <c r="S698" i="1"/>
  <c r="R698" i="1"/>
  <c r="M698" i="1"/>
  <c r="Z698" i="1"/>
  <c r="Y698" i="1"/>
  <c r="V698" i="1"/>
  <c r="Z577" i="1"/>
  <c r="Y577" i="1"/>
  <c r="V577" i="1"/>
  <c r="U577" i="1"/>
  <c r="S577" i="1"/>
  <c r="R577" i="1"/>
  <c r="M577" i="1"/>
  <c r="Y848" i="1"/>
  <c r="V848" i="1"/>
  <c r="U848" i="1"/>
  <c r="S848" i="1"/>
  <c r="R848" i="1"/>
  <c r="M848" i="1"/>
  <c r="Z848" i="1"/>
  <c r="S723" i="1"/>
  <c r="R723" i="1"/>
  <c r="M723" i="1"/>
  <c r="Z723" i="1"/>
  <c r="Y723" i="1"/>
  <c r="V723" i="1"/>
  <c r="U723" i="1"/>
  <c r="M1100" i="1"/>
  <c r="Z1100" i="1"/>
  <c r="Y1100" i="1"/>
  <c r="V1100" i="1"/>
  <c r="U1100" i="1"/>
  <c r="R1100" i="1"/>
  <c r="S1100" i="1"/>
  <c r="U1470" i="1"/>
  <c r="R1470" i="1"/>
  <c r="V1470" i="1"/>
  <c r="S1470" i="1"/>
  <c r="M1470" i="1"/>
  <c r="Z1470" i="1"/>
  <c r="Y1470" i="1"/>
  <c r="Y1691" i="1"/>
  <c r="V1691" i="1"/>
  <c r="U1691" i="1"/>
  <c r="S1691" i="1"/>
  <c r="R1691" i="1"/>
  <c r="M1691" i="1"/>
  <c r="Z1691" i="1"/>
  <c r="R1983" i="1"/>
  <c r="M1983" i="1"/>
  <c r="Z1983" i="1"/>
  <c r="Y1983" i="1"/>
  <c r="V1983" i="1"/>
  <c r="U1983" i="1"/>
  <c r="S1983" i="1"/>
  <c r="U1269" i="1"/>
  <c r="S1269" i="1"/>
  <c r="R1269" i="1"/>
  <c r="M1269" i="1"/>
  <c r="Z1269" i="1"/>
  <c r="Y1269" i="1"/>
  <c r="V1269" i="1"/>
  <c r="Z1810" i="1"/>
  <c r="Y1810" i="1"/>
  <c r="V1810" i="1"/>
  <c r="U1810" i="1"/>
  <c r="S1810" i="1"/>
  <c r="R1810" i="1"/>
  <c r="M1810" i="1"/>
  <c r="R668" i="1"/>
  <c r="M668" i="1"/>
  <c r="Z668" i="1"/>
  <c r="Y668" i="1"/>
  <c r="V668" i="1"/>
  <c r="U668" i="1"/>
  <c r="S668" i="1"/>
  <c r="R1544" i="1"/>
  <c r="M1544" i="1"/>
  <c r="Z1544" i="1"/>
  <c r="Y1544" i="1"/>
  <c r="V1544" i="1"/>
  <c r="U1544" i="1"/>
  <c r="S1544" i="1"/>
  <c r="S1783" i="1"/>
  <c r="R1783" i="1"/>
  <c r="M1783" i="1"/>
  <c r="V1783" i="1"/>
  <c r="U1783" i="1"/>
  <c r="Z1783" i="1"/>
  <c r="Y1783" i="1"/>
  <c r="Z1289" i="1"/>
  <c r="Y1289" i="1"/>
  <c r="V1289" i="1"/>
  <c r="U1289" i="1"/>
  <c r="S1289" i="1"/>
  <c r="R1289" i="1"/>
  <c r="M1289" i="1"/>
  <c r="R1611" i="1"/>
  <c r="M1611" i="1"/>
  <c r="Z1611" i="1"/>
  <c r="Y1611" i="1"/>
  <c r="V1611" i="1"/>
  <c r="U1611" i="1"/>
  <c r="S1611" i="1"/>
  <c r="R1943" i="1"/>
  <c r="M1943" i="1"/>
  <c r="Z1943" i="1"/>
  <c r="Y1943" i="1"/>
  <c r="V1943" i="1"/>
  <c r="U1943" i="1"/>
  <c r="S1943" i="1"/>
  <c r="S1721" i="1"/>
  <c r="R1721" i="1"/>
  <c r="M1721" i="1"/>
  <c r="Z1721" i="1"/>
  <c r="Y1721" i="1"/>
  <c r="V1721" i="1"/>
  <c r="U1721" i="1"/>
  <c r="V1235" i="1"/>
  <c r="U1235" i="1"/>
  <c r="R1235" i="1"/>
  <c r="M1235" i="1"/>
  <c r="Z1235" i="1"/>
  <c r="Y1235" i="1"/>
  <c r="S1235" i="1"/>
  <c r="U1965" i="1"/>
  <c r="S1965" i="1"/>
  <c r="R1965" i="1"/>
  <c r="M1965" i="1"/>
  <c r="Z1965" i="1"/>
  <c r="Y1965" i="1"/>
  <c r="V1965" i="1"/>
  <c r="M32" i="1"/>
  <c r="Z32" i="1"/>
  <c r="Y32" i="1"/>
  <c r="V32" i="1"/>
  <c r="U32" i="1"/>
  <c r="S32" i="1"/>
  <c r="R32" i="1"/>
  <c r="Z142" i="1"/>
  <c r="Y142" i="1"/>
  <c r="V142" i="1"/>
  <c r="U142" i="1"/>
  <c r="S142" i="1"/>
  <c r="R142" i="1"/>
  <c r="M142" i="1"/>
  <c r="M165" i="1"/>
  <c r="Z165" i="1"/>
  <c r="Y165" i="1"/>
  <c r="V165" i="1"/>
  <c r="U165" i="1"/>
  <c r="S165" i="1"/>
  <c r="R165" i="1"/>
  <c r="U85" i="1"/>
  <c r="S85" i="1"/>
  <c r="R85" i="1"/>
  <c r="M85" i="1"/>
  <c r="Z85" i="1"/>
  <c r="Y85" i="1"/>
  <c r="V85" i="1"/>
  <c r="R31" i="1"/>
  <c r="M31" i="1"/>
  <c r="Z31" i="1"/>
  <c r="Y31" i="1"/>
  <c r="V31" i="1"/>
  <c r="U31" i="1"/>
  <c r="S31" i="1"/>
  <c r="S1358" i="1"/>
  <c r="R1358" i="1"/>
  <c r="M1358" i="1"/>
  <c r="Z1358" i="1"/>
  <c r="Y1358" i="1"/>
  <c r="V1358" i="1"/>
  <c r="U1358" i="1"/>
  <c r="U424" i="1"/>
  <c r="S424" i="1"/>
  <c r="R424" i="1"/>
  <c r="M424" i="1"/>
  <c r="Z424" i="1"/>
  <c r="Y424" i="1"/>
  <c r="V424" i="1"/>
  <c r="Z1842" i="1"/>
  <c r="Y1842" i="1"/>
  <c r="V1842" i="1"/>
  <c r="U1842" i="1"/>
  <c r="S1842" i="1"/>
  <c r="R1842" i="1"/>
  <c r="M1842" i="1"/>
  <c r="V737" i="1"/>
  <c r="U737" i="1"/>
  <c r="S737" i="1"/>
  <c r="R737" i="1"/>
  <c r="M737" i="1"/>
  <c r="Z737" i="1"/>
  <c r="Y737" i="1"/>
  <c r="Y231" i="1"/>
  <c r="V231" i="1"/>
  <c r="U231" i="1"/>
  <c r="S231" i="1"/>
  <c r="R231" i="1"/>
  <c r="M231" i="1"/>
  <c r="Z231" i="1"/>
  <c r="S1578" i="1"/>
  <c r="R1578" i="1"/>
  <c r="M1578" i="1"/>
  <c r="Z1578" i="1"/>
  <c r="Y1578" i="1"/>
  <c r="V1578" i="1"/>
  <c r="U1578" i="1"/>
  <c r="R861" i="1"/>
  <c r="M861" i="1"/>
  <c r="Z861" i="1"/>
  <c r="Y861" i="1"/>
  <c r="V861" i="1"/>
  <c r="U861" i="1"/>
  <c r="S861" i="1"/>
  <c r="V1844" i="1"/>
  <c r="U1844" i="1"/>
  <c r="S1844" i="1"/>
  <c r="R1844" i="1"/>
  <c r="M1844" i="1"/>
  <c r="Z1844" i="1"/>
  <c r="Y1844" i="1"/>
  <c r="V705" i="1"/>
  <c r="U705" i="1"/>
  <c r="S705" i="1"/>
  <c r="R705" i="1"/>
  <c r="M705" i="1"/>
  <c r="Z705" i="1"/>
  <c r="Y705" i="1"/>
  <c r="Y223" i="1"/>
  <c r="V223" i="1"/>
  <c r="U223" i="1"/>
  <c r="S223" i="1"/>
  <c r="R223" i="1"/>
  <c r="M223" i="1"/>
  <c r="Z223" i="1"/>
  <c r="Z1546" i="1"/>
  <c r="Y1546" i="1"/>
  <c r="V1546" i="1"/>
  <c r="U1546" i="1"/>
  <c r="S1546" i="1"/>
  <c r="R1546" i="1"/>
  <c r="M1546" i="1"/>
  <c r="R829" i="1"/>
  <c r="M829" i="1"/>
  <c r="Z829" i="1"/>
  <c r="Y829" i="1"/>
  <c r="V829" i="1"/>
  <c r="U829" i="1"/>
  <c r="S829" i="1"/>
  <c r="M1416" i="1"/>
  <c r="Z1416" i="1"/>
  <c r="Y1416" i="1"/>
  <c r="V1416" i="1"/>
  <c r="U1416" i="1"/>
  <c r="S1416" i="1"/>
  <c r="R1416" i="1"/>
  <c r="R1039" i="1"/>
  <c r="M1039" i="1"/>
  <c r="Z1039" i="1"/>
  <c r="Y1039" i="1"/>
  <c r="V1039" i="1"/>
  <c r="U1039" i="1"/>
  <c r="S1039" i="1"/>
  <c r="V264" i="1"/>
  <c r="U264" i="1"/>
  <c r="S264" i="1"/>
  <c r="R264" i="1"/>
  <c r="M264" i="1"/>
  <c r="Z264" i="1"/>
  <c r="Y264" i="1"/>
  <c r="V1103" i="1"/>
  <c r="U1103" i="1"/>
  <c r="S1103" i="1"/>
  <c r="R1103" i="1"/>
  <c r="M1103" i="1"/>
  <c r="Z1103" i="1"/>
  <c r="Y1103" i="1"/>
  <c r="V460" i="1"/>
  <c r="U460" i="1"/>
  <c r="S460" i="1"/>
  <c r="R460" i="1"/>
  <c r="M460" i="1"/>
  <c r="Z460" i="1"/>
  <c r="Y460" i="1"/>
  <c r="V1364" i="1"/>
  <c r="U1364" i="1"/>
  <c r="S1364" i="1"/>
  <c r="R1364" i="1"/>
  <c r="M1364" i="1"/>
  <c r="Z1364" i="1"/>
  <c r="Y1364" i="1"/>
  <c r="V564" i="1"/>
  <c r="U564" i="1"/>
  <c r="S564" i="1"/>
  <c r="R564" i="1"/>
  <c r="M564" i="1"/>
  <c r="Z564" i="1"/>
  <c r="Y564" i="1"/>
  <c r="Z799" i="1"/>
  <c r="Y799" i="1"/>
  <c r="V799" i="1"/>
  <c r="U799" i="1"/>
  <c r="S799" i="1"/>
  <c r="R799" i="1"/>
  <c r="M799" i="1"/>
  <c r="M878" i="1"/>
  <c r="Z878" i="1"/>
  <c r="Y878" i="1"/>
  <c r="V878" i="1"/>
  <c r="U878" i="1"/>
  <c r="S878" i="1"/>
  <c r="R878" i="1"/>
  <c r="Y546" i="1"/>
  <c r="V546" i="1"/>
  <c r="U546" i="1"/>
  <c r="S546" i="1"/>
  <c r="R546" i="1"/>
  <c r="M546" i="1"/>
  <c r="Z546" i="1"/>
  <c r="Z513" i="1"/>
  <c r="Y513" i="1"/>
  <c r="V513" i="1"/>
  <c r="U513" i="1"/>
  <c r="S513" i="1"/>
  <c r="R513" i="1"/>
  <c r="M513" i="1"/>
  <c r="Y784" i="1"/>
  <c r="V784" i="1"/>
  <c r="U784" i="1"/>
  <c r="S784" i="1"/>
  <c r="R784" i="1"/>
  <c r="M784" i="1"/>
  <c r="Z784" i="1"/>
  <c r="R386" i="1"/>
  <c r="M386" i="1"/>
  <c r="Z386" i="1"/>
  <c r="Y386" i="1"/>
  <c r="V386" i="1"/>
  <c r="U386" i="1"/>
  <c r="S386" i="1"/>
  <c r="R503" i="1"/>
  <c r="M503" i="1"/>
  <c r="Z503" i="1"/>
  <c r="Y503" i="1"/>
  <c r="V503" i="1"/>
  <c r="U503" i="1"/>
  <c r="S503" i="1"/>
  <c r="V224" i="1"/>
  <c r="U224" i="1"/>
  <c r="S224" i="1"/>
  <c r="R224" i="1"/>
  <c r="M224" i="1"/>
  <c r="Z224" i="1"/>
  <c r="Y224" i="1"/>
  <c r="M806" i="1"/>
  <c r="Z806" i="1"/>
  <c r="Y806" i="1"/>
  <c r="V806" i="1"/>
  <c r="U806" i="1"/>
  <c r="S806" i="1"/>
  <c r="R806" i="1"/>
  <c r="V295" i="1"/>
  <c r="U295" i="1"/>
  <c r="S295" i="1"/>
  <c r="R295" i="1"/>
  <c r="M295" i="1"/>
  <c r="Z295" i="1"/>
  <c r="Y295" i="1"/>
  <c r="M629" i="1"/>
  <c r="Z629" i="1"/>
  <c r="Y629" i="1"/>
  <c r="V629" i="1"/>
  <c r="U629" i="1"/>
  <c r="S629" i="1"/>
  <c r="R629" i="1"/>
  <c r="S860" i="1"/>
  <c r="R860" i="1"/>
  <c r="M860" i="1"/>
  <c r="Z860" i="1"/>
  <c r="Y860" i="1"/>
  <c r="V860" i="1"/>
  <c r="U860" i="1"/>
  <c r="U843" i="1"/>
  <c r="S843" i="1"/>
  <c r="R843" i="1"/>
  <c r="M843" i="1"/>
  <c r="Z843" i="1"/>
  <c r="Y843" i="1"/>
  <c r="V843" i="1"/>
  <c r="S1286" i="1"/>
  <c r="R1286" i="1"/>
  <c r="M1286" i="1"/>
  <c r="Z1286" i="1"/>
  <c r="Y1286" i="1"/>
  <c r="V1286" i="1"/>
  <c r="U1286" i="1"/>
  <c r="U194" i="1"/>
  <c r="S194" i="1"/>
  <c r="R194" i="1"/>
  <c r="M194" i="1"/>
  <c r="Z194" i="1"/>
  <c r="Y194" i="1"/>
  <c r="V194" i="1"/>
  <c r="Z726" i="1"/>
  <c r="Y726" i="1"/>
  <c r="V726" i="1"/>
  <c r="U726" i="1"/>
  <c r="S726" i="1"/>
  <c r="R726" i="1"/>
  <c r="M726" i="1"/>
  <c r="M936" i="1"/>
  <c r="Z936" i="1"/>
  <c r="Y936" i="1"/>
  <c r="V936" i="1"/>
  <c r="U936" i="1"/>
  <c r="S936" i="1"/>
  <c r="R936" i="1"/>
  <c r="V1583" i="1"/>
  <c r="U1583" i="1"/>
  <c r="S1583" i="1"/>
  <c r="R1583" i="1"/>
  <c r="M1583" i="1"/>
  <c r="Z1583" i="1"/>
  <c r="Y1583" i="1"/>
  <c r="S1990" i="1"/>
  <c r="R1990" i="1"/>
  <c r="M1990" i="1"/>
  <c r="Z1990" i="1"/>
  <c r="Y1990" i="1"/>
  <c r="V1990" i="1"/>
  <c r="U1990" i="1"/>
  <c r="U1542" i="1"/>
  <c r="S1542" i="1"/>
  <c r="R1542" i="1"/>
  <c r="M1542" i="1"/>
  <c r="Z1542" i="1"/>
  <c r="Y1542" i="1"/>
  <c r="V1542" i="1"/>
  <c r="V1828" i="1"/>
  <c r="U1828" i="1"/>
  <c r="S1828" i="1"/>
  <c r="R1828" i="1"/>
  <c r="M1828" i="1"/>
  <c r="Z1828" i="1"/>
  <c r="Y1828" i="1"/>
  <c r="V531" i="1"/>
  <c r="U531" i="1"/>
  <c r="S531" i="1"/>
  <c r="R531" i="1"/>
  <c r="M531" i="1"/>
  <c r="Z531" i="1"/>
  <c r="Y531" i="1"/>
  <c r="Z1666" i="1"/>
  <c r="Y1666" i="1"/>
  <c r="V1666" i="1"/>
  <c r="U1666" i="1"/>
  <c r="S1666" i="1"/>
  <c r="M1666" i="1"/>
  <c r="R1666" i="1"/>
  <c r="M1793" i="1"/>
  <c r="Z1793" i="1"/>
  <c r="Y1793" i="1"/>
  <c r="V1793" i="1"/>
  <c r="U1793" i="1"/>
  <c r="S1793" i="1"/>
  <c r="R1793" i="1"/>
  <c r="Y808" i="1"/>
  <c r="V808" i="1"/>
  <c r="U808" i="1"/>
  <c r="S808" i="1"/>
  <c r="R808" i="1"/>
  <c r="M808" i="1"/>
  <c r="Z808" i="1"/>
  <c r="S1503" i="1"/>
  <c r="R1503" i="1"/>
  <c r="M1503" i="1"/>
  <c r="Z1503" i="1"/>
  <c r="Y1503" i="1"/>
  <c r="U1503" i="1"/>
  <c r="V1503" i="1"/>
  <c r="S1950" i="1"/>
  <c r="R1950" i="1"/>
  <c r="M1950" i="1"/>
  <c r="Z1950" i="1"/>
  <c r="Y1950" i="1"/>
  <c r="U1950" i="1"/>
  <c r="V1950" i="1"/>
  <c r="U1365" i="1"/>
  <c r="S1365" i="1"/>
  <c r="R1365" i="1"/>
  <c r="M1365" i="1"/>
  <c r="Z1365" i="1"/>
  <c r="Y1365" i="1"/>
  <c r="V1365" i="1"/>
  <c r="V1623" i="1"/>
  <c r="U1623" i="1"/>
  <c r="S1623" i="1"/>
  <c r="R1623" i="1"/>
  <c r="M1623" i="1"/>
  <c r="Z1623" i="1"/>
  <c r="Y1623" i="1"/>
  <c r="M1116" i="1"/>
  <c r="Z1116" i="1"/>
  <c r="Y1116" i="1"/>
  <c r="V1116" i="1"/>
  <c r="U1116" i="1"/>
  <c r="S1116" i="1"/>
  <c r="R1116" i="1"/>
  <c r="Z1181" i="1"/>
  <c r="Y1181" i="1"/>
  <c r="V1181" i="1"/>
  <c r="U1181" i="1"/>
  <c r="S1181" i="1"/>
  <c r="R1181" i="1"/>
  <c r="M1181" i="1"/>
  <c r="M1771" i="1"/>
  <c r="Z1771" i="1"/>
  <c r="Y1771" i="1"/>
  <c r="V1771" i="1"/>
  <c r="U1771" i="1"/>
  <c r="S1771" i="1"/>
  <c r="R1771" i="1"/>
  <c r="Y1458" i="1"/>
  <c r="V1458" i="1"/>
  <c r="U1458" i="1"/>
  <c r="S1458" i="1"/>
  <c r="R1458" i="1"/>
  <c r="M1458" i="1"/>
  <c r="Z1458" i="1"/>
  <c r="Y591" i="1"/>
  <c r="S591" i="1"/>
  <c r="M591" i="1"/>
  <c r="R591" i="1"/>
  <c r="Z591" i="1"/>
  <c r="V591" i="1"/>
  <c r="U591" i="1"/>
  <c r="R1754" i="1"/>
  <c r="M1754" i="1"/>
  <c r="Z1754" i="1"/>
  <c r="Y1754" i="1"/>
  <c r="V1754" i="1"/>
  <c r="S1754" i="1"/>
  <c r="U1754" i="1"/>
  <c r="R1867" i="1"/>
  <c r="M1867" i="1"/>
  <c r="Z1867" i="1"/>
  <c r="V1867" i="1"/>
  <c r="U1867" i="1"/>
  <c r="Y1867" i="1"/>
  <c r="S1867" i="1"/>
  <c r="S1982" i="1"/>
  <c r="R1982" i="1"/>
  <c r="M1982" i="1"/>
  <c r="Z1982" i="1"/>
  <c r="Y1982" i="1"/>
  <c r="V1982" i="1"/>
  <c r="U1982" i="1"/>
  <c r="S1914" i="1"/>
  <c r="R1914" i="1"/>
  <c r="M1914" i="1"/>
  <c r="Z1914" i="1"/>
  <c r="Y1914" i="1"/>
  <c r="V1914" i="1"/>
  <c r="U1914" i="1"/>
  <c r="Z1850" i="1"/>
  <c r="Y1850" i="1"/>
  <c r="V1850" i="1"/>
  <c r="U1850" i="1"/>
  <c r="S1850" i="1"/>
  <c r="R1850" i="1"/>
  <c r="M1850" i="1"/>
  <c r="U154" i="1"/>
  <c r="S154" i="1"/>
  <c r="R154" i="1"/>
  <c r="M154" i="1"/>
  <c r="Z154" i="1"/>
  <c r="Y154" i="1"/>
  <c r="V154" i="1"/>
  <c r="Y119" i="1"/>
  <c r="U119" i="1"/>
  <c r="S119" i="1"/>
  <c r="R119" i="1"/>
  <c r="M119" i="1"/>
  <c r="Z119" i="1"/>
  <c r="V119" i="1"/>
  <c r="Y711" i="1"/>
  <c r="V711" i="1"/>
  <c r="U711" i="1"/>
  <c r="S711" i="1"/>
  <c r="R711" i="1"/>
  <c r="M711" i="1"/>
  <c r="Z711" i="1"/>
  <c r="R1520" i="1"/>
  <c r="M1520" i="1"/>
  <c r="Z1520" i="1"/>
  <c r="Y1520" i="1"/>
  <c r="V1520" i="1"/>
  <c r="U1520" i="1"/>
  <c r="S1520" i="1"/>
  <c r="Y317" i="1"/>
  <c r="V317" i="1"/>
  <c r="U317" i="1"/>
  <c r="S317" i="1"/>
  <c r="R317" i="1"/>
  <c r="M317" i="1"/>
  <c r="Z317" i="1"/>
  <c r="Y880" i="1"/>
  <c r="V880" i="1"/>
  <c r="U880" i="1"/>
  <c r="S880" i="1"/>
  <c r="R880" i="1"/>
  <c r="M880" i="1"/>
  <c r="Z880" i="1"/>
  <c r="S966" i="1"/>
  <c r="R966" i="1"/>
  <c r="M966" i="1"/>
  <c r="Z966" i="1"/>
  <c r="Y966" i="1"/>
  <c r="V966" i="1"/>
  <c r="U966" i="1"/>
  <c r="V1751" i="1"/>
  <c r="U1751" i="1"/>
  <c r="S1751" i="1"/>
  <c r="R1751" i="1"/>
  <c r="M1751" i="1"/>
  <c r="Z1751" i="1"/>
  <c r="Y1751" i="1"/>
  <c r="V1727" i="1"/>
  <c r="U1727" i="1"/>
  <c r="S1727" i="1"/>
  <c r="R1727" i="1"/>
  <c r="Z1727" i="1"/>
  <c r="Y1727" i="1"/>
  <c r="M1727" i="1"/>
  <c r="M1817" i="1"/>
  <c r="Z1817" i="1"/>
  <c r="Y1817" i="1"/>
  <c r="V1817" i="1"/>
  <c r="U1817" i="1"/>
  <c r="S1817" i="1"/>
  <c r="R1817" i="1"/>
  <c r="Z1265" i="1"/>
  <c r="Y1265" i="1"/>
  <c r="V1265" i="1"/>
  <c r="U1265" i="1"/>
  <c r="S1265" i="1"/>
  <c r="R1265" i="1"/>
  <c r="M1265" i="1"/>
  <c r="M1884" i="1"/>
  <c r="Z1884" i="1"/>
  <c r="Y1884" i="1"/>
  <c r="V1884" i="1"/>
  <c r="U1884" i="1"/>
  <c r="S1884" i="1"/>
  <c r="R1884" i="1"/>
  <c r="U37" i="1"/>
  <c r="S37" i="1"/>
  <c r="R37" i="1"/>
  <c r="M37" i="1"/>
  <c r="Z37" i="1"/>
  <c r="Y37" i="1"/>
  <c r="V37" i="1"/>
  <c r="R1792" i="1"/>
  <c r="M1792" i="1"/>
  <c r="Z1792" i="1"/>
  <c r="V1792" i="1"/>
  <c r="U1792" i="1"/>
  <c r="S1792" i="1"/>
  <c r="Y1792" i="1"/>
  <c r="V271" i="1"/>
  <c r="U271" i="1"/>
  <c r="S271" i="1"/>
  <c r="R271" i="1"/>
  <c r="M271" i="1"/>
  <c r="Y271" i="1"/>
  <c r="Z271" i="1"/>
  <c r="Z750" i="1"/>
  <c r="Y750" i="1"/>
  <c r="V750" i="1"/>
  <c r="U750" i="1"/>
  <c r="S750" i="1"/>
  <c r="R750" i="1"/>
  <c r="M750" i="1"/>
  <c r="S385" i="1"/>
  <c r="R385" i="1"/>
  <c r="M385" i="1"/>
  <c r="Z385" i="1"/>
  <c r="Y385" i="1"/>
  <c r="V385" i="1"/>
  <c r="U385" i="1"/>
  <c r="Z308" i="1"/>
  <c r="Y308" i="1"/>
  <c r="V308" i="1"/>
  <c r="U308" i="1"/>
  <c r="S308" i="1"/>
  <c r="R308" i="1"/>
  <c r="M308" i="1"/>
  <c r="V491" i="1"/>
  <c r="U491" i="1"/>
  <c r="S491" i="1"/>
  <c r="R491" i="1"/>
  <c r="M491" i="1"/>
  <c r="Z491" i="1"/>
  <c r="Y491" i="1"/>
  <c r="R1455" i="1"/>
  <c r="M1455" i="1"/>
  <c r="Z1455" i="1"/>
  <c r="Y1455" i="1"/>
  <c r="V1455" i="1"/>
  <c r="U1455" i="1"/>
  <c r="S1455" i="1"/>
  <c r="Y1779" i="1"/>
  <c r="V1779" i="1"/>
  <c r="R1779" i="1"/>
  <c r="M1779" i="1"/>
  <c r="Z1779" i="1"/>
  <c r="U1779" i="1"/>
  <c r="S1779" i="1"/>
  <c r="R1746" i="1"/>
  <c r="M1746" i="1"/>
  <c r="Z1746" i="1"/>
  <c r="Y1746" i="1"/>
  <c r="V1746" i="1"/>
  <c r="S1746" i="1"/>
  <c r="U1746" i="1"/>
  <c r="R1239" i="1"/>
  <c r="M1239" i="1"/>
  <c r="Z1239" i="1"/>
  <c r="V1239" i="1"/>
  <c r="Y1239" i="1"/>
  <c r="U1239" i="1"/>
  <c r="S1239" i="1"/>
  <c r="V1701" i="1"/>
  <c r="U1701" i="1"/>
  <c r="S1701" i="1"/>
  <c r="R1701" i="1"/>
  <c r="M1701" i="1"/>
  <c r="Z1701" i="1"/>
  <c r="Y1701" i="1"/>
  <c r="V76" i="1"/>
  <c r="U76" i="1"/>
  <c r="S76" i="1"/>
  <c r="R76" i="1"/>
  <c r="M76" i="1"/>
  <c r="Z76" i="1"/>
  <c r="Y76" i="1"/>
  <c r="Y127" i="1"/>
  <c r="V127" i="1"/>
  <c r="U127" i="1"/>
  <c r="S127" i="1"/>
  <c r="R127" i="1"/>
  <c r="M127" i="1"/>
  <c r="Z127" i="1"/>
  <c r="Z1482" i="1"/>
  <c r="Y1482" i="1"/>
  <c r="S1482" i="1"/>
  <c r="M1482" i="1"/>
  <c r="V1482" i="1"/>
  <c r="U1482" i="1"/>
  <c r="R1482" i="1"/>
  <c r="R765" i="1"/>
  <c r="Z765" i="1"/>
  <c r="Y765" i="1"/>
  <c r="V765" i="1"/>
  <c r="U765" i="1"/>
  <c r="S765" i="1"/>
  <c r="M765" i="1"/>
  <c r="S502" i="1"/>
  <c r="R502" i="1"/>
  <c r="M502" i="1"/>
  <c r="Z502" i="1"/>
  <c r="Y502" i="1"/>
  <c r="V502" i="1"/>
  <c r="U502" i="1"/>
  <c r="V193" i="1"/>
  <c r="U193" i="1"/>
  <c r="S193" i="1"/>
  <c r="R193" i="1"/>
  <c r="M193" i="1"/>
  <c r="Z193" i="1"/>
  <c r="Y193" i="1"/>
  <c r="V1500" i="1"/>
  <c r="U1500" i="1"/>
  <c r="S1500" i="1"/>
  <c r="R1500" i="1"/>
  <c r="M1500" i="1"/>
  <c r="Y1500" i="1"/>
  <c r="Z1500" i="1"/>
  <c r="S518" i="1"/>
  <c r="R518" i="1"/>
  <c r="M518" i="1"/>
  <c r="Z518" i="1"/>
  <c r="Y518" i="1"/>
  <c r="V518" i="1"/>
  <c r="U518" i="1"/>
  <c r="S187" i="1"/>
  <c r="R187" i="1"/>
  <c r="M187" i="1"/>
  <c r="Z187" i="1"/>
  <c r="Y187" i="1"/>
  <c r="V187" i="1"/>
  <c r="U187" i="1"/>
  <c r="Z807" i="1"/>
  <c r="Y807" i="1"/>
  <c r="V807" i="1"/>
  <c r="U807" i="1"/>
  <c r="S807" i="1"/>
  <c r="R807" i="1"/>
  <c r="M807" i="1"/>
  <c r="R1504" i="1"/>
  <c r="M1504" i="1"/>
  <c r="Z1504" i="1"/>
  <c r="Y1504" i="1"/>
  <c r="V1504" i="1"/>
  <c r="S1504" i="1"/>
  <c r="U1504" i="1"/>
  <c r="R378" i="1"/>
  <c r="M378" i="1"/>
  <c r="Z378" i="1"/>
  <c r="Y378" i="1"/>
  <c r="V378" i="1"/>
  <c r="U378" i="1"/>
  <c r="S378" i="1"/>
  <c r="S1262" i="1"/>
  <c r="R1262" i="1"/>
  <c r="M1262" i="1"/>
  <c r="Z1262" i="1"/>
  <c r="Y1262" i="1"/>
  <c r="V1262" i="1"/>
  <c r="U1262" i="1"/>
  <c r="V593" i="1"/>
  <c r="U593" i="1"/>
  <c r="M593" i="1"/>
  <c r="Y593" i="1"/>
  <c r="Z593" i="1"/>
  <c r="S593" i="1"/>
  <c r="R593" i="1"/>
  <c r="Z1756" i="1"/>
  <c r="Y1756" i="1"/>
  <c r="V1756" i="1"/>
  <c r="U1756" i="1"/>
  <c r="S1756" i="1"/>
  <c r="M1756" i="1"/>
  <c r="R1756" i="1"/>
  <c r="Z481" i="1"/>
  <c r="Y481" i="1"/>
  <c r="V481" i="1"/>
  <c r="U481" i="1"/>
  <c r="S481" i="1"/>
  <c r="R481" i="1"/>
  <c r="M481" i="1"/>
  <c r="V752" i="1"/>
  <c r="U752" i="1"/>
  <c r="S752" i="1"/>
  <c r="R752" i="1"/>
  <c r="M752" i="1"/>
  <c r="Z752" i="1"/>
  <c r="Y752" i="1"/>
  <c r="S243" i="1"/>
  <c r="R243" i="1"/>
  <c r="M243" i="1"/>
  <c r="Z243" i="1"/>
  <c r="Y243" i="1"/>
  <c r="V243" i="1"/>
  <c r="U243" i="1"/>
  <c r="S747" i="1"/>
  <c r="R747" i="1"/>
  <c r="M747" i="1"/>
  <c r="Z747" i="1"/>
  <c r="Y747" i="1"/>
  <c r="V747" i="1"/>
  <c r="U747" i="1"/>
  <c r="M1124" i="1"/>
  <c r="Z1124" i="1"/>
  <c r="Y1124" i="1"/>
  <c r="V1124" i="1"/>
  <c r="U1124" i="1"/>
  <c r="S1124" i="1"/>
  <c r="R1124" i="1"/>
  <c r="M1248" i="1"/>
  <c r="Z1248" i="1"/>
  <c r="Y1248" i="1"/>
  <c r="V1248" i="1"/>
  <c r="U1248" i="1"/>
  <c r="S1248" i="1"/>
  <c r="R1248" i="1"/>
  <c r="V459" i="1"/>
  <c r="S459" i="1"/>
  <c r="R459" i="1"/>
  <c r="M459" i="1"/>
  <c r="Z459" i="1"/>
  <c r="Y459" i="1"/>
  <c r="U459" i="1"/>
  <c r="M347" i="1"/>
  <c r="Z347" i="1"/>
  <c r="Y347" i="1"/>
  <c r="V347" i="1"/>
  <c r="U347" i="1"/>
  <c r="S347" i="1"/>
  <c r="R347" i="1"/>
  <c r="Z537" i="1"/>
  <c r="Y537" i="1"/>
  <c r="V537" i="1"/>
  <c r="U537" i="1"/>
  <c r="S537" i="1"/>
  <c r="R537" i="1"/>
  <c r="M537" i="1"/>
  <c r="V1080" i="1"/>
  <c r="R1080" i="1"/>
  <c r="S1080" i="1"/>
  <c r="M1080" i="1"/>
  <c r="Z1080" i="1"/>
  <c r="Y1080" i="1"/>
  <c r="U1080" i="1"/>
  <c r="S659" i="1"/>
  <c r="R659" i="1"/>
  <c r="M659" i="1"/>
  <c r="Z659" i="1"/>
  <c r="Y659" i="1"/>
  <c r="V659" i="1"/>
  <c r="U659" i="1"/>
  <c r="S1138" i="1"/>
  <c r="R1138" i="1"/>
  <c r="M1138" i="1"/>
  <c r="Z1138" i="1"/>
  <c r="Y1138" i="1"/>
  <c r="V1138" i="1"/>
  <c r="U1138" i="1"/>
  <c r="V256" i="1"/>
  <c r="U256" i="1"/>
  <c r="S256" i="1"/>
  <c r="R256" i="1"/>
  <c r="M256" i="1"/>
  <c r="Z256" i="1"/>
  <c r="Y256" i="1"/>
  <c r="M838" i="1"/>
  <c r="Z838" i="1"/>
  <c r="Y838" i="1"/>
  <c r="V838" i="1"/>
  <c r="U838" i="1"/>
  <c r="S838" i="1"/>
  <c r="R838" i="1"/>
  <c r="V492" i="1"/>
  <c r="U492" i="1"/>
  <c r="S492" i="1"/>
  <c r="R492" i="1"/>
  <c r="M492" i="1"/>
  <c r="Z492" i="1"/>
  <c r="Y492" i="1"/>
  <c r="Z457" i="1"/>
  <c r="Y457" i="1"/>
  <c r="V457" i="1"/>
  <c r="U457" i="1"/>
  <c r="S457" i="1"/>
  <c r="R457" i="1"/>
  <c r="M457" i="1"/>
  <c r="V1167" i="1"/>
  <c r="U1167" i="1"/>
  <c r="S1167" i="1"/>
  <c r="R1167" i="1"/>
  <c r="M1167" i="1"/>
  <c r="Z1167" i="1"/>
  <c r="Y1167" i="1"/>
  <c r="U1357" i="1"/>
  <c r="S1357" i="1"/>
  <c r="R1357" i="1"/>
  <c r="M1357" i="1"/>
  <c r="Z1357" i="1"/>
  <c r="Y1357" i="1"/>
  <c r="V1357" i="1"/>
  <c r="S1769" i="1"/>
  <c r="R1769" i="1"/>
  <c r="M1769" i="1"/>
  <c r="Z1769" i="1"/>
  <c r="Y1769" i="1"/>
  <c r="V1769" i="1"/>
  <c r="U1769" i="1"/>
  <c r="M968" i="1"/>
  <c r="Z968" i="1"/>
  <c r="Y968" i="1"/>
  <c r="V968" i="1"/>
  <c r="U968" i="1"/>
  <c r="S968" i="1"/>
  <c r="R968" i="1"/>
  <c r="V1599" i="1"/>
  <c r="U1599" i="1"/>
  <c r="S1599" i="1"/>
  <c r="R1599" i="1"/>
  <c r="M1599" i="1"/>
  <c r="Z1599" i="1"/>
  <c r="Y1599" i="1"/>
  <c r="S1998" i="1"/>
  <c r="R1998" i="1"/>
  <c r="M1998" i="1"/>
  <c r="Z1998" i="1"/>
  <c r="Y1998" i="1"/>
  <c r="V1998" i="1"/>
  <c r="U1998" i="1"/>
  <c r="U1285" i="1"/>
  <c r="S1285" i="1"/>
  <c r="R1285" i="1"/>
  <c r="M1285" i="1"/>
  <c r="Z1285" i="1"/>
  <c r="Y1285" i="1"/>
  <c r="V1285" i="1"/>
  <c r="Z1818" i="1"/>
  <c r="Y1818" i="1"/>
  <c r="V1818" i="1"/>
  <c r="U1818" i="1"/>
  <c r="S1818" i="1"/>
  <c r="R1818" i="1"/>
  <c r="M1818" i="1"/>
  <c r="V640" i="1"/>
  <c r="U640" i="1"/>
  <c r="S640" i="1"/>
  <c r="R640" i="1"/>
  <c r="M640" i="1"/>
  <c r="Z640" i="1"/>
  <c r="Y640" i="1"/>
  <c r="U1277" i="1"/>
  <c r="S1277" i="1"/>
  <c r="R1277" i="1"/>
  <c r="M1277" i="1"/>
  <c r="Z1277" i="1"/>
  <c r="Y1277" i="1"/>
  <c r="V1277" i="1"/>
  <c r="R1875" i="1"/>
  <c r="M1875" i="1"/>
  <c r="Z1875" i="1"/>
  <c r="Y1875" i="1"/>
  <c r="V1875" i="1"/>
  <c r="U1875" i="1"/>
  <c r="S1875" i="1"/>
  <c r="S1454" i="1"/>
  <c r="R1454" i="1"/>
  <c r="M1454" i="1"/>
  <c r="Z1454" i="1"/>
  <c r="Y1454" i="1"/>
  <c r="V1454" i="1"/>
  <c r="U1454" i="1"/>
  <c r="Y1499" i="1"/>
  <c r="V1499" i="1"/>
  <c r="U1499" i="1"/>
  <c r="S1499" i="1"/>
  <c r="R1499" i="1"/>
  <c r="Z1499" i="1"/>
  <c r="M1499" i="1"/>
  <c r="V1872" i="1"/>
  <c r="U1872" i="1"/>
  <c r="S1872" i="1"/>
  <c r="M1872" i="1"/>
  <c r="Z1872" i="1"/>
  <c r="Y1872" i="1"/>
  <c r="R1872" i="1"/>
  <c r="V1419" i="1"/>
  <c r="U1419" i="1"/>
  <c r="S1419" i="1"/>
  <c r="R1419" i="1"/>
  <c r="M1419" i="1"/>
  <c r="Z1419" i="1"/>
  <c r="Y1419" i="1"/>
  <c r="Y1475" i="1"/>
  <c r="V1475" i="1"/>
  <c r="R1475" i="1"/>
  <c r="M1475" i="1"/>
  <c r="Z1475" i="1"/>
  <c r="U1475" i="1"/>
  <c r="S1475" i="1"/>
  <c r="U21" i="1"/>
  <c r="S21" i="1"/>
  <c r="R21" i="1"/>
  <c r="M21" i="1"/>
  <c r="Z21" i="1"/>
  <c r="Y21" i="1"/>
  <c r="V21" i="1"/>
  <c r="V104" i="1"/>
  <c r="S104" i="1"/>
  <c r="R104" i="1"/>
  <c r="M104" i="1"/>
  <c r="Y104" i="1"/>
  <c r="Z104" i="1"/>
  <c r="U104" i="1"/>
  <c r="R132" i="1"/>
  <c r="M132" i="1"/>
  <c r="Z132" i="1"/>
  <c r="Y132" i="1"/>
  <c r="V132" i="1"/>
  <c r="U132" i="1"/>
  <c r="S132" i="1"/>
  <c r="S139" i="1"/>
  <c r="R139" i="1"/>
  <c r="M139" i="1"/>
  <c r="Z139" i="1"/>
  <c r="Y139" i="1"/>
  <c r="V139" i="1"/>
  <c r="U139" i="1"/>
  <c r="U69" i="1"/>
  <c r="S69" i="1"/>
  <c r="R69" i="1"/>
  <c r="M69" i="1"/>
  <c r="Z69" i="1"/>
  <c r="Y69" i="1"/>
  <c r="V69" i="1"/>
  <c r="U234" i="1"/>
  <c r="S234" i="1"/>
  <c r="R234" i="1"/>
  <c r="M234" i="1"/>
  <c r="Z234" i="1"/>
  <c r="Y234" i="1"/>
  <c r="V234" i="1"/>
  <c r="V1284" i="1"/>
  <c r="U1284" i="1"/>
  <c r="S1284" i="1"/>
  <c r="R1284" i="1"/>
  <c r="M1284" i="1"/>
  <c r="Z1284" i="1"/>
  <c r="Y1284" i="1"/>
  <c r="V279" i="1"/>
  <c r="U279" i="1"/>
  <c r="S279" i="1"/>
  <c r="R279" i="1"/>
  <c r="M279" i="1"/>
  <c r="Z279" i="1"/>
  <c r="Y279" i="1"/>
  <c r="V1644" i="1"/>
  <c r="U1644" i="1"/>
  <c r="M1644" i="1"/>
  <c r="Z1644" i="1"/>
  <c r="Y1644" i="1"/>
  <c r="S1644" i="1"/>
  <c r="R1644" i="1"/>
  <c r="R1015" i="1"/>
  <c r="M1015" i="1"/>
  <c r="Z1015" i="1"/>
  <c r="Y1015" i="1"/>
  <c r="V1015" i="1"/>
  <c r="U1015" i="1"/>
  <c r="S1015" i="1"/>
  <c r="R228" i="1"/>
  <c r="M228" i="1"/>
  <c r="Z228" i="1"/>
  <c r="Y228" i="1"/>
  <c r="V228" i="1"/>
  <c r="U228" i="1"/>
  <c r="S228" i="1"/>
  <c r="S1390" i="1"/>
  <c r="R1390" i="1"/>
  <c r="M1390" i="1"/>
  <c r="Z1390" i="1"/>
  <c r="Y1390" i="1"/>
  <c r="V1390" i="1"/>
  <c r="U1390" i="1"/>
  <c r="M464" i="1"/>
  <c r="Z464" i="1"/>
  <c r="Y464" i="1"/>
  <c r="V464" i="1"/>
  <c r="U464" i="1"/>
  <c r="S464" i="1"/>
  <c r="R464" i="1"/>
  <c r="M1612" i="1"/>
  <c r="Z1612" i="1"/>
  <c r="Y1612" i="1"/>
  <c r="V1612" i="1"/>
  <c r="U1612" i="1"/>
  <c r="S1612" i="1"/>
  <c r="R1612" i="1"/>
  <c r="R951" i="1"/>
  <c r="M951" i="1"/>
  <c r="Z951" i="1"/>
  <c r="Y951" i="1"/>
  <c r="V951" i="1"/>
  <c r="U951" i="1"/>
  <c r="S951" i="1"/>
  <c r="R260" i="1"/>
  <c r="M260" i="1"/>
  <c r="Z260" i="1"/>
  <c r="Y260" i="1"/>
  <c r="V260" i="1"/>
  <c r="U260" i="1"/>
  <c r="S260" i="1"/>
  <c r="Y1386" i="1"/>
  <c r="V1386" i="1"/>
  <c r="U1386" i="1"/>
  <c r="S1386" i="1"/>
  <c r="R1386" i="1"/>
  <c r="M1386" i="1"/>
  <c r="Z1386" i="1"/>
  <c r="M432" i="1"/>
  <c r="V432" i="1"/>
  <c r="S432" i="1"/>
  <c r="Z432" i="1"/>
  <c r="Y432" i="1"/>
  <c r="U432" i="1"/>
  <c r="R432" i="1"/>
  <c r="M1368" i="1"/>
  <c r="Z1368" i="1"/>
  <c r="Y1368" i="1"/>
  <c r="V1368" i="1"/>
  <c r="U1368" i="1"/>
  <c r="S1368" i="1"/>
  <c r="R1368" i="1"/>
  <c r="V601" i="1"/>
  <c r="U601" i="1"/>
  <c r="R601" i="1"/>
  <c r="M601" i="1"/>
  <c r="Z601" i="1"/>
  <c r="Y601" i="1"/>
  <c r="S601" i="1"/>
  <c r="V1871" i="1"/>
  <c r="U1871" i="1"/>
  <c r="R1871" i="1"/>
  <c r="M1871" i="1"/>
  <c r="Z1871" i="1"/>
  <c r="Y1871" i="1"/>
  <c r="S1871" i="1"/>
  <c r="Z1041" i="1"/>
  <c r="Y1041" i="1"/>
  <c r="V1041" i="1"/>
  <c r="U1041" i="1"/>
  <c r="S1041" i="1"/>
  <c r="R1041" i="1"/>
  <c r="M1041" i="1"/>
  <c r="M323" i="1"/>
  <c r="Z323" i="1"/>
  <c r="Y323" i="1"/>
  <c r="V323" i="1"/>
  <c r="U323" i="1"/>
  <c r="S323" i="1"/>
  <c r="R323" i="1"/>
  <c r="V1460" i="1"/>
  <c r="U1460" i="1"/>
  <c r="S1460" i="1"/>
  <c r="R1460" i="1"/>
  <c r="M1460" i="1"/>
  <c r="Z1460" i="1"/>
  <c r="Y1460" i="1"/>
  <c r="M440" i="1"/>
  <c r="Z440" i="1"/>
  <c r="V440" i="1"/>
  <c r="U440" i="1"/>
  <c r="S440" i="1"/>
  <c r="Y440" i="1"/>
  <c r="R440" i="1"/>
  <c r="V539" i="1"/>
  <c r="U539" i="1"/>
  <c r="S539" i="1"/>
  <c r="R539" i="1"/>
  <c r="M539" i="1"/>
  <c r="Z539" i="1"/>
  <c r="Y539" i="1"/>
  <c r="S780" i="1"/>
  <c r="R780" i="1"/>
  <c r="M780" i="1"/>
  <c r="Z780" i="1"/>
  <c r="Y780" i="1"/>
  <c r="V780" i="1"/>
  <c r="U780" i="1"/>
  <c r="Z206" i="1"/>
  <c r="Y206" i="1"/>
  <c r="V206" i="1"/>
  <c r="U206" i="1"/>
  <c r="S206" i="1"/>
  <c r="R206" i="1"/>
  <c r="M206" i="1"/>
  <c r="R596" i="1"/>
  <c r="M596" i="1"/>
  <c r="Y596" i="1"/>
  <c r="V596" i="1"/>
  <c r="U596" i="1"/>
  <c r="Z596" i="1"/>
  <c r="S596" i="1"/>
  <c r="S1114" i="1"/>
  <c r="R1114" i="1"/>
  <c r="M1114" i="1"/>
  <c r="Z1114" i="1"/>
  <c r="Y1114" i="1"/>
  <c r="V1114" i="1"/>
  <c r="U1114" i="1"/>
  <c r="V208" i="1"/>
  <c r="U208" i="1"/>
  <c r="S208" i="1"/>
  <c r="R208" i="1"/>
  <c r="M208" i="1"/>
  <c r="Z208" i="1"/>
  <c r="Y208" i="1"/>
  <c r="M790" i="1"/>
  <c r="Z790" i="1"/>
  <c r="Y790" i="1"/>
  <c r="V790" i="1"/>
  <c r="U790" i="1"/>
  <c r="S790" i="1"/>
  <c r="R790" i="1"/>
  <c r="Y373" i="1"/>
  <c r="V373" i="1"/>
  <c r="U373" i="1"/>
  <c r="S373" i="1"/>
  <c r="R373" i="1"/>
  <c r="M373" i="1"/>
  <c r="Z373" i="1"/>
  <c r="S836" i="1"/>
  <c r="R836" i="1"/>
  <c r="M836" i="1"/>
  <c r="Z836" i="1"/>
  <c r="Y836" i="1"/>
  <c r="V836" i="1"/>
  <c r="U836" i="1"/>
  <c r="S227" i="1"/>
  <c r="R227" i="1"/>
  <c r="M227" i="1"/>
  <c r="Z227" i="1"/>
  <c r="Y227" i="1"/>
  <c r="V227" i="1"/>
  <c r="U227" i="1"/>
  <c r="S699" i="1"/>
  <c r="R699" i="1"/>
  <c r="M699" i="1"/>
  <c r="Z699" i="1"/>
  <c r="Y699" i="1"/>
  <c r="V699" i="1"/>
  <c r="U699" i="1"/>
  <c r="V1152" i="1"/>
  <c r="U1152" i="1"/>
  <c r="S1152" i="1"/>
  <c r="R1152" i="1"/>
  <c r="M1152" i="1"/>
  <c r="Z1152" i="1"/>
  <c r="Y1152" i="1"/>
  <c r="V483" i="1"/>
  <c r="U483" i="1"/>
  <c r="S483" i="1"/>
  <c r="R483" i="1"/>
  <c r="M483" i="1"/>
  <c r="Z483" i="1"/>
  <c r="Y483" i="1"/>
  <c r="Y930" i="1"/>
  <c r="U930" i="1"/>
  <c r="S930" i="1"/>
  <c r="R930" i="1"/>
  <c r="M930" i="1"/>
  <c r="Z930" i="1"/>
  <c r="V930" i="1"/>
  <c r="V302" i="1"/>
  <c r="U302" i="1"/>
  <c r="S302" i="1"/>
  <c r="R302" i="1"/>
  <c r="M302" i="1"/>
  <c r="Z302" i="1"/>
  <c r="Y302" i="1"/>
  <c r="Y756" i="1"/>
  <c r="V756" i="1"/>
  <c r="U756" i="1"/>
  <c r="S756" i="1"/>
  <c r="R756" i="1"/>
  <c r="M756" i="1"/>
  <c r="Z756" i="1"/>
  <c r="V1275" i="1"/>
  <c r="U1275" i="1"/>
  <c r="S1275" i="1"/>
  <c r="R1275" i="1"/>
  <c r="M1275" i="1"/>
  <c r="Z1275" i="1"/>
  <c r="Y1275" i="1"/>
  <c r="Z1597" i="1"/>
  <c r="Y1597" i="1"/>
  <c r="V1597" i="1"/>
  <c r="U1597" i="1"/>
  <c r="S1597" i="1"/>
  <c r="R1597" i="1"/>
  <c r="M1597" i="1"/>
  <c r="M1932" i="1"/>
  <c r="Z1932" i="1"/>
  <c r="Y1932" i="1"/>
  <c r="V1932" i="1"/>
  <c r="U1932" i="1"/>
  <c r="S1932" i="1"/>
  <c r="R1932" i="1"/>
  <c r="V1191" i="1"/>
  <c r="U1191" i="1"/>
  <c r="S1191" i="1"/>
  <c r="R1191" i="1"/>
  <c r="M1191" i="1"/>
  <c r="Z1191" i="1"/>
  <c r="Y1191" i="1"/>
  <c r="R1447" i="1"/>
  <c r="M1447" i="1"/>
  <c r="Z1447" i="1"/>
  <c r="Y1447" i="1"/>
  <c r="V1447" i="1"/>
  <c r="U1447" i="1"/>
  <c r="S1447" i="1"/>
  <c r="S788" i="1"/>
  <c r="R788" i="1"/>
  <c r="M788" i="1"/>
  <c r="Z788" i="1"/>
  <c r="Y788" i="1"/>
  <c r="V788" i="1"/>
  <c r="U788" i="1"/>
  <c r="V1435" i="1"/>
  <c r="U1435" i="1"/>
  <c r="S1435" i="1"/>
  <c r="R1435" i="1"/>
  <c r="M1435" i="1"/>
  <c r="Z1435" i="1"/>
  <c r="Y1435" i="1"/>
  <c r="U1865" i="1"/>
  <c r="S1865" i="1"/>
  <c r="R1865" i="1"/>
  <c r="Z1865" i="1"/>
  <c r="Y1865" i="1"/>
  <c r="V1865" i="1"/>
  <c r="M1865" i="1"/>
  <c r="R1179" i="1"/>
  <c r="M1179" i="1"/>
  <c r="Z1179" i="1"/>
  <c r="Y1179" i="1"/>
  <c r="V1179" i="1"/>
  <c r="U1179" i="1"/>
  <c r="S1179" i="1"/>
  <c r="V1517" i="1"/>
  <c r="U1517" i="1"/>
  <c r="S1517" i="1"/>
  <c r="R1517" i="1"/>
  <c r="M1517" i="1"/>
  <c r="Z1517" i="1"/>
  <c r="Y1517" i="1"/>
  <c r="S1874" i="1"/>
  <c r="R1874" i="1"/>
  <c r="M1874" i="1"/>
  <c r="Z1874" i="1"/>
  <c r="Y1874" i="1"/>
  <c r="V1874" i="1"/>
  <c r="U1874" i="1"/>
  <c r="R1203" i="1"/>
  <c r="M1203" i="1"/>
  <c r="Z1203" i="1"/>
  <c r="Y1203" i="1"/>
  <c r="V1203" i="1"/>
  <c r="U1203" i="1"/>
  <c r="S1203" i="1"/>
  <c r="V1541" i="1"/>
  <c r="U1541" i="1"/>
  <c r="S1541" i="1"/>
  <c r="R1541" i="1"/>
  <c r="M1541" i="1"/>
  <c r="Z1541" i="1"/>
  <c r="Y1541" i="1"/>
  <c r="S796" i="1"/>
  <c r="R796" i="1"/>
  <c r="M796" i="1"/>
  <c r="Z796" i="1"/>
  <c r="Y796" i="1"/>
  <c r="V796" i="1"/>
  <c r="U796" i="1"/>
  <c r="V1584" i="1"/>
  <c r="U1584" i="1"/>
  <c r="S1584" i="1"/>
  <c r="R1584" i="1"/>
  <c r="M1584" i="1"/>
  <c r="Z1584" i="1"/>
  <c r="Y1584" i="1"/>
  <c r="S1831" i="1"/>
  <c r="R1831" i="1"/>
  <c r="M1831" i="1"/>
  <c r="Z1831" i="1"/>
  <c r="Y1831" i="1"/>
  <c r="V1831" i="1"/>
  <c r="U1831" i="1"/>
  <c r="S1602" i="1"/>
  <c r="R1602" i="1"/>
  <c r="M1602" i="1"/>
  <c r="Z1602" i="1"/>
  <c r="Y1602" i="1"/>
  <c r="V1602" i="1"/>
  <c r="U1602" i="1"/>
  <c r="U594" i="1"/>
  <c r="S594" i="1"/>
  <c r="Z594" i="1"/>
  <c r="Y594" i="1"/>
  <c r="R594" i="1"/>
  <c r="M594" i="1"/>
  <c r="V594" i="1"/>
  <c r="Z1213" i="1"/>
  <c r="Y1213" i="1"/>
  <c r="V1213" i="1"/>
  <c r="U1213" i="1"/>
  <c r="S1213" i="1"/>
  <c r="R1213" i="1"/>
  <c r="M1213" i="1"/>
  <c r="Y1803" i="1"/>
  <c r="V1803" i="1"/>
  <c r="S1803" i="1"/>
  <c r="R1803" i="1"/>
  <c r="M1803" i="1"/>
  <c r="Z1803" i="1"/>
  <c r="U1803" i="1"/>
  <c r="Y1986" i="1"/>
  <c r="V1986" i="1"/>
  <c r="U1986" i="1"/>
  <c r="S1986" i="1"/>
  <c r="R1986" i="1"/>
  <c r="M1986" i="1"/>
  <c r="Z1986" i="1"/>
  <c r="S1922" i="1"/>
  <c r="R1922" i="1"/>
  <c r="M1922" i="1"/>
  <c r="Z1922" i="1"/>
  <c r="Y1922" i="1"/>
  <c r="V1922" i="1"/>
  <c r="U1922" i="1"/>
  <c r="Z1337" i="1"/>
  <c r="Y1337" i="1"/>
  <c r="V1337" i="1"/>
  <c r="U1337" i="1"/>
  <c r="S1337" i="1"/>
  <c r="R1337" i="1"/>
  <c r="M1337" i="1"/>
  <c r="R1512" i="1"/>
  <c r="M1512" i="1"/>
  <c r="Z1512" i="1"/>
  <c r="Y1512" i="1"/>
  <c r="V1512" i="1"/>
  <c r="U1512" i="1"/>
  <c r="S1512" i="1"/>
  <c r="R1784" i="1"/>
  <c r="M1784" i="1"/>
  <c r="Z1784" i="1"/>
  <c r="V1784" i="1"/>
  <c r="U1784" i="1"/>
  <c r="S1784" i="1"/>
  <c r="Y1784" i="1"/>
  <c r="Y1643" i="1"/>
  <c r="V1643" i="1"/>
  <c r="Z1643" i="1"/>
  <c r="U1643" i="1"/>
  <c r="S1643" i="1"/>
  <c r="R1643" i="1"/>
  <c r="M1643" i="1"/>
  <c r="Z1490" i="1"/>
  <c r="Y1490" i="1"/>
  <c r="V1490" i="1"/>
  <c r="U1490" i="1"/>
  <c r="S1490" i="1"/>
  <c r="M1490" i="1"/>
  <c r="R1490" i="1"/>
  <c r="S1807" i="1"/>
  <c r="R1807" i="1"/>
  <c r="M1807" i="1"/>
  <c r="Z1807" i="1"/>
  <c r="Y1807" i="1"/>
  <c r="U1807" i="1"/>
  <c r="V1807" i="1"/>
  <c r="V96" i="1"/>
  <c r="S96" i="1"/>
  <c r="R96" i="1"/>
  <c r="M96" i="1"/>
  <c r="Y96" i="1"/>
  <c r="Z96" i="1"/>
  <c r="U96" i="1"/>
  <c r="U130" i="1"/>
  <c r="S130" i="1"/>
  <c r="R130" i="1"/>
  <c r="M130" i="1"/>
  <c r="Z130" i="1"/>
  <c r="Y130" i="1"/>
  <c r="V130" i="1"/>
  <c r="V129" i="1"/>
  <c r="U129" i="1"/>
  <c r="S129" i="1"/>
  <c r="R129" i="1"/>
  <c r="M129" i="1"/>
  <c r="Z129" i="1"/>
  <c r="Y129" i="1"/>
  <c r="R63" i="1"/>
  <c r="M63" i="1"/>
  <c r="Z63" i="1"/>
  <c r="Y63" i="1"/>
  <c r="V63" i="1"/>
  <c r="U63" i="1"/>
  <c r="S63" i="1"/>
  <c r="R362" i="1"/>
  <c r="M362" i="1"/>
  <c r="Z362" i="1"/>
  <c r="Y362" i="1"/>
  <c r="V362" i="1"/>
  <c r="U362" i="1"/>
  <c r="S362" i="1"/>
  <c r="R1163" i="1"/>
  <c r="M1163" i="1"/>
  <c r="Z1163" i="1"/>
  <c r="Y1163" i="1"/>
  <c r="V1163" i="1"/>
  <c r="U1163" i="1"/>
  <c r="S1163" i="1"/>
  <c r="Y255" i="1"/>
  <c r="V255" i="1"/>
  <c r="U255" i="1"/>
  <c r="S255" i="1"/>
  <c r="R255" i="1"/>
  <c r="M255" i="1"/>
  <c r="Z255" i="1"/>
  <c r="V1516" i="1"/>
  <c r="U1516" i="1"/>
  <c r="S1516" i="1"/>
  <c r="R1516" i="1"/>
  <c r="M1516" i="1"/>
  <c r="Z1516" i="1"/>
  <c r="Y1516" i="1"/>
  <c r="Z855" i="1"/>
  <c r="Y855" i="1"/>
  <c r="V855" i="1"/>
  <c r="U855" i="1"/>
  <c r="S855" i="1"/>
  <c r="R855" i="1"/>
  <c r="M855" i="1"/>
  <c r="Z356" i="1"/>
  <c r="Y356" i="1"/>
  <c r="V356" i="1"/>
  <c r="U356" i="1"/>
  <c r="S356" i="1"/>
  <c r="R356" i="1"/>
  <c r="M356" i="1"/>
  <c r="S1374" i="1"/>
  <c r="R1374" i="1"/>
  <c r="M1374" i="1"/>
  <c r="Z1374" i="1"/>
  <c r="Y1374" i="1"/>
  <c r="V1374" i="1"/>
  <c r="U1374" i="1"/>
  <c r="Z372" i="1"/>
  <c r="Y372" i="1"/>
  <c r="V372" i="1"/>
  <c r="U372" i="1"/>
  <c r="S372" i="1"/>
  <c r="R372" i="1"/>
  <c r="M372" i="1"/>
  <c r="V1484" i="1"/>
  <c r="U1484" i="1"/>
  <c r="S1484" i="1"/>
  <c r="R1484" i="1"/>
  <c r="M1484" i="1"/>
  <c r="Y1484" i="1"/>
  <c r="Z1484" i="1"/>
  <c r="Z823" i="1"/>
  <c r="Y823" i="1"/>
  <c r="V823" i="1"/>
  <c r="U823" i="1"/>
  <c r="S823" i="1"/>
  <c r="R823" i="1"/>
  <c r="M823" i="1"/>
  <c r="U226" i="1"/>
  <c r="S226" i="1"/>
  <c r="R226" i="1"/>
  <c r="M226" i="1"/>
  <c r="Z226" i="1"/>
  <c r="Y226" i="1"/>
  <c r="V226" i="1"/>
  <c r="Y1370" i="1"/>
  <c r="V1370" i="1"/>
  <c r="U1370" i="1"/>
  <c r="S1370" i="1"/>
  <c r="R1370" i="1"/>
  <c r="M1370" i="1"/>
  <c r="Z1370" i="1"/>
  <c r="M621" i="1"/>
  <c r="Z621" i="1"/>
  <c r="Y621" i="1"/>
  <c r="V621" i="1"/>
  <c r="U621" i="1"/>
  <c r="S621" i="1"/>
  <c r="R621" i="1"/>
  <c r="M1304" i="1"/>
  <c r="Z1304" i="1"/>
  <c r="Y1304" i="1"/>
  <c r="V1304" i="1"/>
  <c r="U1304" i="1"/>
  <c r="S1304" i="1"/>
  <c r="R1304" i="1"/>
  <c r="V468" i="1"/>
  <c r="U468" i="1"/>
  <c r="S468" i="1"/>
  <c r="R468" i="1"/>
  <c r="M468" i="1"/>
  <c r="Z468" i="1"/>
  <c r="Y468" i="1"/>
  <c r="U1873" i="1"/>
  <c r="S1873" i="1"/>
  <c r="R1873" i="1"/>
  <c r="Z1873" i="1"/>
  <c r="Y1873" i="1"/>
  <c r="V1873" i="1"/>
  <c r="M1873" i="1"/>
  <c r="V913" i="1"/>
  <c r="U913" i="1"/>
  <c r="S913" i="1"/>
  <c r="R913" i="1"/>
  <c r="M913" i="1"/>
  <c r="Z913" i="1"/>
  <c r="Y913" i="1"/>
  <c r="S289" i="1"/>
  <c r="R289" i="1"/>
  <c r="M289" i="1"/>
  <c r="Z289" i="1"/>
  <c r="Y289" i="1"/>
  <c r="V289" i="1"/>
  <c r="U289" i="1"/>
  <c r="S1246" i="1"/>
  <c r="R1246" i="1"/>
  <c r="M1246" i="1"/>
  <c r="Z1246" i="1"/>
  <c r="Y1246" i="1"/>
  <c r="V1246" i="1"/>
  <c r="U1246" i="1"/>
  <c r="V257" i="1"/>
  <c r="U257" i="1"/>
  <c r="S257" i="1"/>
  <c r="R257" i="1"/>
  <c r="M257" i="1"/>
  <c r="Z257" i="1"/>
  <c r="Y257" i="1"/>
  <c r="S683" i="1"/>
  <c r="R683" i="1"/>
  <c r="M683" i="1"/>
  <c r="Z683" i="1"/>
  <c r="Y683" i="1"/>
  <c r="V683" i="1"/>
  <c r="U683" i="1"/>
  <c r="S908" i="1"/>
  <c r="R908" i="1"/>
  <c r="M908" i="1"/>
  <c r="Z908" i="1"/>
  <c r="Y908" i="1"/>
  <c r="V908" i="1"/>
  <c r="U908" i="1"/>
  <c r="V334" i="1"/>
  <c r="U334" i="1"/>
  <c r="S334" i="1"/>
  <c r="R334" i="1"/>
  <c r="M334" i="1"/>
  <c r="Z334" i="1"/>
  <c r="Y334" i="1"/>
  <c r="Y413" i="1"/>
  <c r="V413" i="1"/>
  <c r="U413" i="1"/>
  <c r="S413" i="1"/>
  <c r="R413" i="1"/>
  <c r="M413" i="1"/>
  <c r="Z413" i="1"/>
  <c r="M1180" i="1"/>
  <c r="Z1180" i="1"/>
  <c r="Y1180" i="1"/>
  <c r="V1180" i="1"/>
  <c r="U1180" i="1"/>
  <c r="S1180" i="1"/>
  <c r="R1180" i="1"/>
  <c r="U336" i="1"/>
  <c r="S336" i="1"/>
  <c r="R336" i="1"/>
  <c r="M336" i="1"/>
  <c r="Z336" i="1"/>
  <c r="Y336" i="1"/>
  <c r="V336" i="1"/>
  <c r="M918" i="1"/>
  <c r="Z918" i="1"/>
  <c r="Y918" i="1"/>
  <c r="V918" i="1"/>
  <c r="U918" i="1"/>
  <c r="S918" i="1"/>
  <c r="R918" i="1"/>
  <c r="U501" i="1"/>
  <c r="S501" i="1"/>
  <c r="R501" i="1"/>
  <c r="M501" i="1"/>
  <c r="Z501" i="1"/>
  <c r="Y501" i="1"/>
  <c r="V501" i="1"/>
  <c r="V964" i="1"/>
  <c r="U964" i="1"/>
  <c r="S964" i="1"/>
  <c r="R964" i="1"/>
  <c r="M964" i="1"/>
  <c r="Z964" i="1"/>
  <c r="Y964" i="1"/>
  <c r="S574" i="1"/>
  <c r="R574" i="1"/>
  <c r="M574" i="1"/>
  <c r="Z574" i="1"/>
  <c r="Y574" i="1"/>
  <c r="V574" i="1"/>
  <c r="U574" i="1"/>
  <c r="R837" i="1"/>
  <c r="M837" i="1"/>
  <c r="Z837" i="1"/>
  <c r="Y837" i="1"/>
  <c r="V837" i="1"/>
  <c r="U837" i="1"/>
  <c r="S837" i="1"/>
  <c r="S1218" i="1"/>
  <c r="R1218" i="1"/>
  <c r="M1218" i="1"/>
  <c r="Z1218" i="1"/>
  <c r="Y1218" i="1"/>
  <c r="V1218" i="1"/>
  <c r="U1218" i="1"/>
  <c r="S643" i="1"/>
  <c r="R643" i="1"/>
  <c r="M643" i="1"/>
  <c r="Z643" i="1"/>
  <c r="Y643" i="1"/>
  <c r="V643" i="1"/>
  <c r="U643" i="1"/>
  <c r="Y1058" i="1"/>
  <c r="V1058" i="1"/>
  <c r="U1058" i="1"/>
  <c r="S1058" i="1"/>
  <c r="R1058" i="1"/>
  <c r="M1058" i="1"/>
  <c r="Z1058" i="1"/>
  <c r="Y421" i="1"/>
  <c r="V421" i="1"/>
  <c r="U421" i="1"/>
  <c r="S421" i="1"/>
  <c r="R421" i="1"/>
  <c r="M421" i="1"/>
  <c r="Z421" i="1"/>
  <c r="S884" i="1"/>
  <c r="R884" i="1"/>
  <c r="M884" i="1"/>
  <c r="Z884" i="1"/>
  <c r="Y884" i="1"/>
  <c r="V884" i="1"/>
  <c r="U884" i="1"/>
  <c r="R1391" i="1"/>
  <c r="S1391" i="1"/>
  <c r="M1391" i="1"/>
  <c r="Z1391" i="1"/>
  <c r="Y1391" i="1"/>
  <c r="V1391" i="1"/>
  <c r="U1391" i="1"/>
  <c r="Y1725" i="1"/>
  <c r="V1725" i="1"/>
  <c r="U1725" i="1"/>
  <c r="Z1725" i="1"/>
  <c r="S1725" i="1"/>
  <c r="R1725" i="1"/>
  <c r="M1725" i="1"/>
  <c r="V1996" i="1"/>
  <c r="U1996" i="1"/>
  <c r="S1996" i="1"/>
  <c r="R1996" i="1"/>
  <c r="M1996" i="1"/>
  <c r="Z1996" i="1"/>
  <c r="Y1996" i="1"/>
  <c r="R1319" i="1"/>
  <c r="M1319" i="1"/>
  <c r="Z1319" i="1"/>
  <c r="Y1319" i="1"/>
  <c r="V1319" i="1"/>
  <c r="U1319" i="1"/>
  <c r="S1319" i="1"/>
  <c r="V1575" i="1"/>
  <c r="U1575" i="1"/>
  <c r="S1575" i="1"/>
  <c r="R1575" i="1"/>
  <c r="M1575" i="1"/>
  <c r="Z1575" i="1"/>
  <c r="Y1575" i="1"/>
  <c r="Y978" i="1"/>
  <c r="V978" i="1"/>
  <c r="U978" i="1"/>
  <c r="S978" i="1"/>
  <c r="R978" i="1"/>
  <c r="M978" i="1"/>
  <c r="Z978" i="1"/>
  <c r="U1261" i="1"/>
  <c r="S1261" i="1"/>
  <c r="R1261" i="1"/>
  <c r="M1261" i="1"/>
  <c r="Z1261" i="1"/>
  <c r="Y1261" i="1"/>
  <c r="V1261" i="1"/>
  <c r="V1858" i="1"/>
  <c r="M1858" i="1"/>
  <c r="Z1858" i="1"/>
  <c r="Y1858" i="1"/>
  <c r="U1858" i="1"/>
  <c r="S1858" i="1"/>
  <c r="R1858" i="1"/>
  <c r="V1339" i="1"/>
  <c r="U1339" i="1"/>
  <c r="S1339" i="1"/>
  <c r="R1339" i="1"/>
  <c r="M1339" i="1"/>
  <c r="Z1339" i="1"/>
  <c r="Y1339" i="1"/>
  <c r="V1645" i="1"/>
  <c r="U1645" i="1"/>
  <c r="S1645" i="1"/>
  <c r="R1645" i="1"/>
  <c r="M1645" i="1"/>
  <c r="Z1645" i="1"/>
  <c r="Y1645" i="1"/>
  <c r="V1956" i="1"/>
  <c r="U1956" i="1"/>
  <c r="S1956" i="1"/>
  <c r="R1956" i="1"/>
  <c r="M1956" i="1"/>
  <c r="Z1956" i="1"/>
  <c r="Y1956" i="1"/>
  <c r="V1331" i="1"/>
  <c r="U1331" i="1"/>
  <c r="S1331" i="1"/>
  <c r="R1331" i="1"/>
  <c r="M1331" i="1"/>
  <c r="Z1331" i="1"/>
  <c r="Y1331" i="1"/>
  <c r="V1669" i="1"/>
  <c r="U1669" i="1"/>
  <c r="S1669" i="1"/>
  <c r="R1669" i="1"/>
  <c r="M1669" i="1"/>
  <c r="Z1669" i="1"/>
  <c r="Y1669" i="1"/>
  <c r="V1104" i="1"/>
  <c r="U1104" i="1"/>
  <c r="S1104" i="1"/>
  <c r="R1104" i="1"/>
  <c r="M1104" i="1"/>
  <c r="Z1104" i="1"/>
  <c r="Y1104" i="1"/>
  <c r="R1712" i="1"/>
  <c r="M1712" i="1"/>
  <c r="Z1712" i="1"/>
  <c r="Y1712" i="1"/>
  <c r="V1712" i="1"/>
  <c r="U1712" i="1"/>
  <c r="S1712" i="1"/>
  <c r="R463" i="1"/>
  <c r="M463" i="1"/>
  <c r="Z463" i="1"/>
  <c r="Y463" i="1"/>
  <c r="V463" i="1"/>
  <c r="U463" i="1"/>
  <c r="S463" i="1"/>
  <c r="R1722" i="1"/>
  <c r="M1722" i="1"/>
  <c r="Z1722" i="1"/>
  <c r="Y1722" i="1"/>
  <c r="V1722" i="1"/>
  <c r="U1722" i="1"/>
  <c r="S1722" i="1"/>
  <c r="S1106" i="1"/>
  <c r="R1106" i="1"/>
  <c r="M1106" i="1"/>
  <c r="Z1106" i="1"/>
  <c r="Y1106" i="1"/>
  <c r="V1106" i="1"/>
  <c r="U1106" i="1"/>
  <c r="U1341" i="1"/>
  <c r="S1341" i="1"/>
  <c r="R1341" i="1"/>
  <c r="M1341" i="1"/>
  <c r="Z1341" i="1"/>
  <c r="Y1341" i="1"/>
  <c r="V1341" i="1"/>
  <c r="S1753" i="1"/>
  <c r="R1753" i="1"/>
  <c r="M1753" i="1"/>
  <c r="Z1753" i="1"/>
  <c r="Y1753" i="1"/>
  <c r="U1753" i="1"/>
  <c r="V1753" i="1"/>
  <c r="U1941" i="1"/>
  <c r="S1941" i="1"/>
  <c r="M1941" i="1"/>
  <c r="Z1941" i="1"/>
  <c r="Y1941" i="1"/>
  <c r="V1941" i="1"/>
  <c r="R1941" i="1"/>
  <c r="U1973" i="1"/>
  <c r="S1973" i="1"/>
  <c r="R1973" i="1"/>
  <c r="M1973" i="1"/>
  <c r="Z1973" i="1"/>
  <c r="Y1973" i="1"/>
  <c r="V1973" i="1"/>
  <c r="Z1969" i="1"/>
  <c r="Y1969" i="1"/>
  <c r="V1969" i="1"/>
  <c r="U1969" i="1"/>
  <c r="S1969" i="1"/>
  <c r="R1969" i="1"/>
  <c r="M1969" i="1"/>
  <c r="R1423" i="1"/>
  <c r="M1423" i="1"/>
  <c r="Z1423" i="1"/>
  <c r="Y1423" i="1"/>
  <c r="V1423" i="1"/>
  <c r="U1423" i="1"/>
  <c r="S1423" i="1"/>
  <c r="R1883" i="1"/>
  <c r="M1883" i="1"/>
  <c r="Z1883" i="1"/>
  <c r="Y1883" i="1"/>
  <c r="V1883" i="1"/>
  <c r="U1883" i="1"/>
  <c r="S1883" i="1"/>
  <c r="S155" i="1"/>
  <c r="R155" i="1"/>
  <c r="M155" i="1"/>
  <c r="Z155" i="1"/>
  <c r="Y155" i="1"/>
  <c r="V155" i="1"/>
  <c r="U155" i="1"/>
  <c r="R164" i="1"/>
  <c r="M164" i="1"/>
  <c r="Z164" i="1"/>
  <c r="Y164" i="1"/>
  <c r="V164" i="1"/>
  <c r="U164" i="1"/>
  <c r="S164" i="1"/>
  <c r="M88" i="1"/>
  <c r="Z88" i="1"/>
  <c r="Y88" i="1"/>
  <c r="V88" i="1"/>
  <c r="U88" i="1"/>
  <c r="S88" i="1"/>
  <c r="R88" i="1"/>
  <c r="Y151" i="1"/>
  <c r="V151" i="1"/>
  <c r="U151" i="1"/>
  <c r="S151" i="1"/>
  <c r="R151" i="1"/>
  <c r="M151" i="1"/>
  <c r="Z151" i="1"/>
  <c r="V97" i="1"/>
  <c r="U97" i="1"/>
  <c r="R97" i="1"/>
  <c r="M97" i="1"/>
  <c r="Z97" i="1"/>
  <c r="Y97" i="1"/>
  <c r="S97" i="1"/>
  <c r="M1572" i="1"/>
  <c r="Z1572" i="1"/>
  <c r="Y1572" i="1"/>
  <c r="V1572" i="1"/>
  <c r="U1572" i="1"/>
  <c r="S1572" i="1"/>
  <c r="R1572" i="1"/>
  <c r="V745" i="1"/>
  <c r="U745" i="1"/>
  <c r="S745" i="1"/>
  <c r="R745" i="1"/>
  <c r="M745" i="1"/>
  <c r="Z745" i="1"/>
  <c r="Y745" i="1"/>
  <c r="Z300" i="1"/>
  <c r="Y300" i="1"/>
  <c r="V300" i="1"/>
  <c r="U300" i="1"/>
  <c r="S300" i="1"/>
  <c r="R300" i="1"/>
  <c r="M300" i="1"/>
  <c r="Y1362" i="1"/>
  <c r="V1362" i="1"/>
  <c r="U1362" i="1"/>
  <c r="S1362" i="1"/>
  <c r="R1362" i="1"/>
  <c r="M1362" i="1"/>
  <c r="Z1362" i="1"/>
  <c r="S305" i="1"/>
  <c r="R305" i="1"/>
  <c r="M305" i="1"/>
  <c r="Z305" i="1"/>
  <c r="Y305" i="1"/>
  <c r="V305" i="1"/>
  <c r="U305" i="1"/>
  <c r="Z1885" i="1"/>
  <c r="Y1885" i="1"/>
  <c r="V1885" i="1"/>
  <c r="U1885" i="1"/>
  <c r="S1885" i="1"/>
  <c r="R1885" i="1"/>
  <c r="M1885" i="1"/>
  <c r="V721" i="1"/>
  <c r="U721" i="1"/>
  <c r="S721" i="1"/>
  <c r="R721" i="1"/>
  <c r="M721" i="1"/>
  <c r="Z721" i="1"/>
  <c r="Y721" i="1"/>
  <c r="Z332" i="1"/>
  <c r="Y332" i="1"/>
  <c r="V332" i="1"/>
  <c r="U332" i="1"/>
  <c r="S332" i="1"/>
  <c r="R332" i="1"/>
  <c r="M332" i="1"/>
  <c r="Y1330" i="1"/>
  <c r="V1330" i="1"/>
  <c r="U1330" i="1"/>
  <c r="S1330" i="1"/>
  <c r="R1330" i="1"/>
  <c r="M1330" i="1"/>
  <c r="Z1330" i="1"/>
  <c r="S297" i="1"/>
  <c r="R297" i="1"/>
  <c r="M297" i="1"/>
  <c r="Z297" i="1"/>
  <c r="Y297" i="1"/>
  <c r="V297" i="1"/>
  <c r="U297" i="1"/>
  <c r="V1895" i="1"/>
  <c r="U1895" i="1"/>
  <c r="S1895" i="1"/>
  <c r="R1895" i="1"/>
  <c r="M1895" i="1"/>
  <c r="Z1895" i="1"/>
  <c r="Y1895" i="1"/>
  <c r="V689" i="1"/>
  <c r="U689" i="1"/>
  <c r="S689" i="1"/>
  <c r="R689" i="1"/>
  <c r="M689" i="1"/>
  <c r="Z689" i="1"/>
  <c r="Y689" i="1"/>
  <c r="V1879" i="1"/>
  <c r="U1879" i="1"/>
  <c r="S1879" i="1"/>
  <c r="R1879" i="1"/>
  <c r="M1879" i="1"/>
  <c r="Z1879" i="1"/>
  <c r="Y1879" i="1"/>
  <c r="V1011" i="1"/>
  <c r="U1011" i="1"/>
  <c r="S1011" i="1"/>
  <c r="R1011" i="1"/>
  <c r="M1011" i="1"/>
  <c r="Z1011" i="1"/>
  <c r="Y1011" i="1"/>
  <c r="M181" i="1"/>
  <c r="Z181" i="1"/>
  <c r="Y181" i="1"/>
  <c r="V181" i="1"/>
  <c r="U181" i="1"/>
  <c r="S181" i="1"/>
  <c r="R181" i="1"/>
  <c r="S1366" i="1"/>
  <c r="R1366" i="1"/>
  <c r="M1366" i="1"/>
  <c r="Z1366" i="1"/>
  <c r="Y1366" i="1"/>
  <c r="V1366" i="1"/>
  <c r="U1366" i="1"/>
  <c r="V580" i="1"/>
  <c r="U580" i="1"/>
  <c r="S580" i="1"/>
  <c r="R580" i="1"/>
  <c r="M580" i="1"/>
  <c r="Z580" i="1"/>
  <c r="Y580" i="1"/>
  <c r="V1420" i="1"/>
  <c r="U1420" i="1"/>
  <c r="S1420" i="1"/>
  <c r="R1420" i="1"/>
  <c r="M1420" i="1"/>
  <c r="Z1420" i="1"/>
  <c r="Y1420" i="1"/>
  <c r="Z759" i="1"/>
  <c r="U759" i="1"/>
  <c r="S759" i="1"/>
  <c r="R759" i="1"/>
  <c r="M759" i="1"/>
  <c r="Y759" i="1"/>
  <c r="V759" i="1"/>
  <c r="V923" i="1"/>
  <c r="S923" i="1"/>
  <c r="M923" i="1"/>
  <c r="Z923" i="1"/>
  <c r="Y923" i="1"/>
  <c r="R923" i="1"/>
  <c r="U923" i="1"/>
  <c r="U706" i="1"/>
  <c r="S706" i="1"/>
  <c r="R706" i="1"/>
  <c r="M706" i="1"/>
  <c r="Z706" i="1"/>
  <c r="Y706" i="1"/>
  <c r="V706" i="1"/>
  <c r="R1407" i="1"/>
  <c r="M1407" i="1"/>
  <c r="Z1407" i="1"/>
  <c r="Y1407" i="1"/>
  <c r="V1407" i="1"/>
  <c r="U1407" i="1"/>
  <c r="S1407" i="1"/>
  <c r="Z222" i="1"/>
  <c r="Y222" i="1"/>
  <c r="V222" i="1"/>
  <c r="U222" i="1"/>
  <c r="S222" i="1"/>
  <c r="R222" i="1"/>
  <c r="M222" i="1"/>
  <c r="S1030" i="1"/>
  <c r="R1030" i="1"/>
  <c r="M1030" i="1"/>
  <c r="Z1030" i="1"/>
  <c r="Y1030" i="1"/>
  <c r="V1030" i="1"/>
  <c r="U1030" i="1"/>
  <c r="Y824" i="1"/>
  <c r="V824" i="1"/>
  <c r="U824" i="1"/>
  <c r="S824" i="1"/>
  <c r="R824" i="1"/>
  <c r="M824" i="1"/>
  <c r="Z824" i="1"/>
  <c r="U557" i="1"/>
  <c r="S557" i="1"/>
  <c r="R557" i="1"/>
  <c r="M557" i="1"/>
  <c r="Z557" i="1"/>
  <c r="Y557" i="1"/>
  <c r="V557" i="1"/>
  <c r="Z670" i="1"/>
  <c r="Y670" i="1"/>
  <c r="V670" i="1"/>
  <c r="U670" i="1"/>
  <c r="S670" i="1"/>
  <c r="R670" i="1"/>
  <c r="M670" i="1"/>
  <c r="R975" i="1"/>
  <c r="M975" i="1"/>
  <c r="Z975" i="1"/>
  <c r="Y975" i="1"/>
  <c r="V975" i="1"/>
  <c r="U975" i="1"/>
  <c r="S975" i="1"/>
  <c r="S1170" i="1"/>
  <c r="R1170" i="1"/>
  <c r="M1170" i="1"/>
  <c r="Z1170" i="1"/>
  <c r="Y1170" i="1"/>
  <c r="V1170" i="1"/>
  <c r="U1170" i="1"/>
  <c r="Z433" i="1"/>
  <c r="V433" i="1"/>
  <c r="U433" i="1"/>
  <c r="R433" i="1"/>
  <c r="M433" i="1"/>
  <c r="Y433" i="1"/>
  <c r="S433" i="1"/>
  <c r="V704" i="1"/>
  <c r="U704" i="1"/>
  <c r="S704" i="1"/>
  <c r="R704" i="1"/>
  <c r="M704" i="1"/>
  <c r="Z704" i="1"/>
  <c r="Y704" i="1"/>
  <c r="U242" i="1"/>
  <c r="S242" i="1"/>
  <c r="R242" i="1"/>
  <c r="M242" i="1"/>
  <c r="Z242" i="1"/>
  <c r="Y242" i="1"/>
  <c r="V242" i="1"/>
  <c r="V423" i="1"/>
  <c r="U423" i="1"/>
  <c r="S423" i="1"/>
  <c r="R423" i="1"/>
  <c r="M423" i="1"/>
  <c r="Z423" i="1"/>
  <c r="Y423" i="1"/>
  <c r="Y1314" i="1"/>
  <c r="V1314" i="1"/>
  <c r="U1314" i="1"/>
  <c r="S1314" i="1"/>
  <c r="R1314" i="1"/>
  <c r="M1314" i="1"/>
  <c r="Z1314" i="1"/>
  <c r="Z911" i="1"/>
  <c r="Y911" i="1"/>
  <c r="V911" i="1"/>
  <c r="U911" i="1"/>
  <c r="S911" i="1"/>
  <c r="R911" i="1"/>
  <c r="M911" i="1"/>
  <c r="Y397" i="1"/>
  <c r="V397" i="1"/>
  <c r="U397" i="1"/>
  <c r="S397" i="1"/>
  <c r="R397" i="1"/>
  <c r="M397" i="1"/>
  <c r="Z397" i="1"/>
  <c r="V1199" i="1"/>
  <c r="U1199" i="1"/>
  <c r="S1199" i="1"/>
  <c r="R1199" i="1"/>
  <c r="M1199" i="1"/>
  <c r="Z1199" i="1"/>
  <c r="Y1199" i="1"/>
  <c r="M1892" i="1"/>
  <c r="Z1892" i="1"/>
  <c r="Y1892" i="1"/>
  <c r="V1892" i="1"/>
  <c r="U1892" i="1"/>
  <c r="S1892" i="1"/>
  <c r="R1892" i="1"/>
  <c r="S1186" i="1"/>
  <c r="R1186" i="1"/>
  <c r="M1186" i="1"/>
  <c r="Z1186" i="1"/>
  <c r="Y1186" i="1"/>
  <c r="V1186" i="1"/>
  <c r="U1186" i="1"/>
  <c r="Z1457" i="1"/>
  <c r="Y1457" i="1"/>
  <c r="V1457" i="1"/>
  <c r="U1457" i="1"/>
  <c r="S1457" i="1"/>
  <c r="R1457" i="1"/>
  <c r="M1457" i="1"/>
  <c r="R1859" i="1"/>
  <c r="Z1859" i="1"/>
  <c r="U1859" i="1"/>
  <c r="M1859" i="1"/>
  <c r="Y1859" i="1"/>
  <c r="V1859" i="1"/>
  <c r="S1859" i="1"/>
  <c r="U1678" i="1"/>
  <c r="S1678" i="1"/>
  <c r="R1678" i="1"/>
  <c r="M1678" i="1"/>
  <c r="Z1678" i="1"/>
  <c r="Y1678" i="1"/>
  <c r="V1678" i="1"/>
  <c r="M1689" i="1"/>
  <c r="Z1689" i="1"/>
  <c r="Y1689" i="1"/>
  <c r="V1689" i="1"/>
  <c r="U1689" i="1"/>
  <c r="S1689" i="1"/>
  <c r="R1689" i="1"/>
  <c r="R692" i="1"/>
  <c r="M692" i="1"/>
  <c r="Z692" i="1"/>
  <c r="Y692" i="1"/>
  <c r="V692" i="1"/>
  <c r="U692" i="1"/>
  <c r="S692" i="1"/>
  <c r="Z1682" i="1"/>
  <c r="Y1682" i="1"/>
  <c r="V1682" i="1"/>
  <c r="U1682" i="1"/>
  <c r="S1682" i="1"/>
  <c r="R1682" i="1"/>
  <c r="M1682" i="1"/>
  <c r="M1809" i="1"/>
  <c r="Z1809" i="1"/>
  <c r="Y1809" i="1"/>
  <c r="V1809" i="1"/>
  <c r="R1809" i="1"/>
  <c r="U1809" i="1"/>
  <c r="S1809" i="1"/>
  <c r="M1032" i="1"/>
  <c r="Z1032" i="1"/>
  <c r="Y1032" i="1"/>
  <c r="V1032" i="1"/>
  <c r="U1032" i="1"/>
  <c r="S1032" i="1"/>
  <c r="R1032" i="1"/>
  <c r="S1647" i="1"/>
  <c r="R1647" i="1"/>
  <c r="M1647" i="1"/>
  <c r="Y1647" i="1"/>
  <c r="Z1647" i="1"/>
  <c r="V1647" i="1"/>
  <c r="U1647" i="1"/>
  <c r="M1908" i="1"/>
  <c r="Z1908" i="1"/>
  <c r="Y1908" i="1"/>
  <c r="V1908" i="1"/>
  <c r="U1908" i="1"/>
  <c r="S1908" i="1"/>
  <c r="R1908" i="1"/>
  <c r="M1521" i="1"/>
  <c r="Z1521" i="1"/>
  <c r="Y1521" i="1"/>
  <c r="V1521" i="1"/>
  <c r="U1521" i="1"/>
  <c r="S1521" i="1"/>
  <c r="R1521" i="1"/>
  <c r="R1975" i="1"/>
  <c r="M1975" i="1"/>
  <c r="Z1975" i="1"/>
  <c r="Y1975" i="1"/>
  <c r="V1975" i="1"/>
  <c r="U1975" i="1"/>
  <c r="S1975" i="1"/>
  <c r="M1649" i="1"/>
  <c r="Z1649" i="1"/>
  <c r="Y1649" i="1"/>
  <c r="V1649" i="1"/>
  <c r="R1649" i="1"/>
  <c r="U1649" i="1"/>
  <c r="S1649" i="1"/>
  <c r="V1259" i="1"/>
  <c r="U1259" i="1"/>
  <c r="S1259" i="1"/>
  <c r="R1259" i="1"/>
  <c r="M1259" i="1"/>
  <c r="Z1259" i="1"/>
  <c r="Y1259" i="1"/>
  <c r="V1789" i="1"/>
  <c r="U1789" i="1"/>
  <c r="S1789" i="1"/>
  <c r="Z1789" i="1"/>
  <c r="Y1789" i="1"/>
  <c r="R1789" i="1"/>
  <c r="M1789" i="1"/>
  <c r="V44" i="1"/>
  <c r="U44" i="1"/>
  <c r="S44" i="1"/>
  <c r="R44" i="1"/>
  <c r="M44" i="1"/>
  <c r="Z44" i="1"/>
  <c r="Y44" i="1"/>
  <c r="U146" i="1"/>
  <c r="S146" i="1"/>
  <c r="R146" i="1"/>
  <c r="M146" i="1"/>
  <c r="Z146" i="1"/>
  <c r="Y146" i="1"/>
  <c r="V146" i="1"/>
  <c r="Y34" i="1"/>
  <c r="V34" i="1"/>
  <c r="U34" i="1"/>
  <c r="S34" i="1"/>
  <c r="R34" i="1"/>
  <c r="M34" i="1"/>
  <c r="Z34" i="1"/>
  <c r="Y95" i="1"/>
  <c r="U95" i="1"/>
  <c r="S95" i="1"/>
  <c r="R95" i="1"/>
  <c r="Z95" i="1"/>
  <c r="V95" i="1"/>
  <c r="M95" i="1"/>
  <c r="R47" i="1"/>
  <c r="M47" i="1"/>
  <c r="Z47" i="1"/>
  <c r="Y47" i="1"/>
  <c r="V47" i="1"/>
  <c r="U47" i="1"/>
  <c r="S47" i="1"/>
  <c r="M1256" i="1"/>
  <c r="Z1256" i="1"/>
  <c r="Y1256" i="1"/>
  <c r="V1256" i="1"/>
  <c r="U1256" i="1"/>
  <c r="S1256" i="1"/>
  <c r="R1256" i="1"/>
  <c r="Z420" i="1"/>
  <c r="Y420" i="1"/>
  <c r="V420" i="1"/>
  <c r="U420" i="1"/>
  <c r="S420" i="1"/>
  <c r="R420" i="1"/>
  <c r="M420" i="1"/>
  <c r="U1806" i="1"/>
  <c r="S1806" i="1"/>
  <c r="R1806" i="1"/>
  <c r="M1806" i="1"/>
  <c r="Z1806" i="1"/>
  <c r="Y1806" i="1"/>
  <c r="V1806" i="1"/>
  <c r="Z993" i="1"/>
  <c r="Y993" i="1"/>
  <c r="V993" i="1"/>
  <c r="U993" i="1"/>
  <c r="S993" i="1"/>
  <c r="R993" i="1"/>
  <c r="M993" i="1"/>
  <c r="V311" i="1"/>
  <c r="U311" i="1"/>
  <c r="S311" i="1"/>
  <c r="R311" i="1"/>
  <c r="M311" i="1"/>
  <c r="Z311" i="1"/>
  <c r="Y311" i="1"/>
  <c r="R1704" i="1"/>
  <c r="M1704" i="1"/>
  <c r="Z1704" i="1"/>
  <c r="Y1704" i="1"/>
  <c r="V1704" i="1"/>
  <c r="U1704" i="1"/>
  <c r="S1704" i="1"/>
  <c r="V1035" i="1"/>
  <c r="U1035" i="1"/>
  <c r="S1035" i="1"/>
  <c r="R1035" i="1"/>
  <c r="M1035" i="1"/>
  <c r="Z1035" i="1"/>
  <c r="Y1035" i="1"/>
  <c r="V1774" i="1"/>
  <c r="U1774" i="1"/>
  <c r="S1774" i="1"/>
  <c r="R1774" i="1"/>
  <c r="M1774" i="1"/>
  <c r="Z1774" i="1"/>
  <c r="Y1774" i="1"/>
  <c r="Z961" i="1"/>
  <c r="Y961" i="1"/>
  <c r="V961" i="1"/>
  <c r="U961" i="1"/>
  <c r="S961" i="1"/>
  <c r="R961" i="1"/>
  <c r="M961" i="1"/>
  <c r="V303" i="1"/>
  <c r="U303" i="1"/>
  <c r="S303" i="1"/>
  <c r="R303" i="1"/>
  <c r="M303" i="1"/>
  <c r="Z303" i="1"/>
  <c r="Y303" i="1"/>
  <c r="R1672" i="1"/>
  <c r="M1672" i="1"/>
  <c r="Z1672" i="1"/>
  <c r="Y1672" i="1"/>
  <c r="V1672" i="1"/>
  <c r="S1672" i="1"/>
  <c r="U1672" i="1"/>
  <c r="V1003" i="1"/>
  <c r="U1003" i="1"/>
  <c r="S1003" i="1"/>
  <c r="R1003" i="1"/>
  <c r="M1003" i="1"/>
  <c r="Z1003" i="1"/>
  <c r="Y1003" i="1"/>
  <c r="Z1658" i="1"/>
  <c r="Y1658" i="1"/>
  <c r="V1658" i="1"/>
  <c r="U1658" i="1"/>
  <c r="S1658" i="1"/>
  <c r="M1658" i="1"/>
  <c r="R1658" i="1"/>
  <c r="U941" i="1"/>
  <c r="S941" i="1"/>
  <c r="R941" i="1"/>
  <c r="M941" i="1"/>
  <c r="Z941" i="1"/>
  <c r="Y941" i="1"/>
  <c r="V941" i="1"/>
  <c r="S478" i="1"/>
  <c r="R478" i="1"/>
  <c r="M478" i="1"/>
  <c r="Z478" i="1"/>
  <c r="Y478" i="1"/>
  <c r="V478" i="1"/>
  <c r="U478" i="1"/>
  <c r="V1135" i="1"/>
  <c r="U1135" i="1"/>
  <c r="S1135" i="1"/>
  <c r="R1135" i="1"/>
  <c r="M1135" i="1"/>
  <c r="Z1135" i="1"/>
  <c r="Y1135" i="1"/>
  <c r="M205" i="1"/>
  <c r="Z205" i="1"/>
  <c r="Y205" i="1"/>
  <c r="V205" i="1"/>
  <c r="U205" i="1"/>
  <c r="S205" i="1"/>
  <c r="R205" i="1"/>
  <c r="V1396" i="1"/>
  <c r="U1396" i="1"/>
  <c r="R1396" i="1"/>
  <c r="M1396" i="1"/>
  <c r="Z1396" i="1"/>
  <c r="Y1396" i="1"/>
  <c r="S1396" i="1"/>
  <c r="M512" i="1"/>
  <c r="Z512" i="1"/>
  <c r="Y512" i="1"/>
  <c r="V512" i="1"/>
  <c r="U512" i="1"/>
  <c r="S512" i="1"/>
  <c r="R512" i="1"/>
  <c r="U509" i="1"/>
  <c r="S509" i="1"/>
  <c r="R509" i="1"/>
  <c r="M509" i="1"/>
  <c r="Z509" i="1"/>
  <c r="Y509" i="1"/>
  <c r="V509" i="1"/>
  <c r="V1276" i="1"/>
  <c r="U1276" i="1"/>
  <c r="S1276" i="1"/>
  <c r="R1276" i="1"/>
  <c r="M1276" i="1"/>
  <c r="Z1276" i="1"/>
  <c r="Y1276" i="1"/>
  <c r="R338" i="1"/>
  <c r="M338" i="1"/>
  <c r="Z338" i="1"/>
  <c r="Y338" i="1"/>
  <c r="V338" i="1"/>
  <c r="U338" i="1"/>
  <c r="S338" i="1"/>
  <c r="V547" i="1"/>
  <c r="U547" i="1"/>
  <c r="S547" i="1"/>
  <c r="R547" i="1"/>
  <c r="M547" i="1"/>
  <c r="Z547" i="1"/>
  <c r="Y547" i="1"/>
  <c r="Y994" i="1"/>
  <c r="V994" i="1"/>
  <c r="U994" i="1"/>
  <c r="S994" i="1"/>
  <c r="R994" i="1"/>
  <c r="M994" i="1"/>
  <c r="Z994" i="1"/>
  <c r="V177" i="1"/>
  <c r="U177" i="1"/>
  <c r="S177" i="1"/>
  <c r="R177" i="1"/>
  <c r="M177" i="1"/>
  <c r="Z177" i="1"/>
  <c r="Y177" i="1"/>
  <c r="R805" i="1"/>
  <c r="M805" i="1"/>
  <c r="Z805" i="1"/>
  <c r="Y805" i="1"/>
  <c r="V805" i="1"/>
  <c r="U805" i="1"/>
  <c r="S805" i="1"/>
  <c r="Y498" i="1"/>
  <c r="V498" i="1"/>
  <c r="U498" i="1"/>
  <c r="S498" i="1"/>
  <c r="R498" i="1"/>
  <c r="M498" i="1"/>
  <c r="Z498" i="1"/>
  <c r="Y655" i="1"/>
  <c r="V655" i="1"/>
  <c r="U655" i="1"/>
  <c r="S655" i="1"/>
  <c r="R655" i="1"/>
  <c r="M655" i="1"/>
  <c r="Z655" i="1"/>
  <c r="V810" i="1"/>
  <c r="U810" i="1"/>
  <c r="S810" i="1"/>
  <c r="R810" i="1"/>
  <c r="M810" i="1"/>
  <c r="Z810" i="1"/>
  <c r="Y810" i="1"/>
  <c r="R983" i="1"/>
  <c r="M983" i="1"/>
  <c r="Z983" i="1"/>
  <c r="Y983" i="1"/>
  <c r="V983" i="1"/>
  <c r="U983" i="1"/>
  <c r="S983" i="1"/>
  <c r="V1183" i="1"/>
  <c r="U1183" i="1"/>
  <c r="S1183" i="1"/>
  <c r="R1183" i="1"/>
  <c r="M1183" i="1"/>
  <c r="Z1183" i="1"/>
  <c r="Y1183" i="1"/>
  <c r="R676" i="1"/>
  <c r="M676" i="1"/>
  <c r="Z676" i="1"/>
  <c r="Y676" i="1"/>
  <c r="V676" i="1"/>
  <c r="U676" i="1"/>
  <c r="S676" i="1"/>
  <c r="M1092" i="1"/>
  <c r="Z1092" i="1"/>
  <c r="Y1092" i="1"/>
  <c r="S1092" i="1"/>
  <c r="R1092" i="1"/>
  <c r="V1092" i="1"/>
  <c r="U1092" i="1"/>
  <c r="Y442" i="1"/>
  <c r="U442" i="1"/>
  <c r="S442" i="1"/>
  <c r="R442" i="1"/>
  <c r="M442" i="1"/>
  <c r="Z442" i="1"/>
  <c r="V442" i="1"/>
  <c r="R567" i="1"/>
  <c r="M567" i="1"/>
  <c r="Z567" i="1"/>
  <c r="Y567" i="1"/>
  <c r="V567" i="1"/>
  <c r="U567" i="1"/>
  <c r="S567" i="1"/>
  <c r="Y986" i="1"/>
  <c r="V986" i="1"/>
  <c r="U986" i="1"/>
  <c r="S986" i="1"/>
  <c r="R986" i="1"/>
  <c r="M986" i="1"/>
  <c r="Z986" i="1"/>
  <c r="M1697" i="1"/>
  <c r="Z1697" i="1"/>
  <c r="Y1697" i="1"/>
  <c r="V1697" i="1"/>
  <c r="U1697" i="1"/>
  <c r="S1697" i="1"/>
  <c r="R1697" i="1"/>
  <c r="V1987" i="1"/>
  <c r="U1987" i="1"/>
  <c r="S1987" i="1"/>
  <c r="R1987" i="1"/>
  <c r="M1987" i="1"/>
  <c r="Z1987" i="1"/>
  <c r="Y1987" i="1"/>
  <c r="Z1257" i="1"/>
  <c r="Y1257" i="1"/>
  <c r="V1257" i="1"/>
  <c r="U1257" i="1"/>
  <c r="S1257" i="1"/>
  <c r="R1257" i="1"/>
  <c r="M1257" i="1"/>
  <c r="R1579" i="1"/>
  <c r="M1579" i="1"/>
  <c r="Z1579" i="1"/>
  <c r="Y1579" i="1"/>
  <c r="V1579" i="1"/>
  <c r="U1579" i="1"/>
  <c r="S1579" i="1"/>
  <c r="V1927" i="1"/>
  <c r="U1927" i="1"/>
  <c r="S1927" i="1"/>
  <c r="R1927" i="1"/>
  <c r="M1927" i="1"/>
  <c r="Z1927" i="1"/>
  <c r="Y1927" i="1"/>
  <c r="Z1345" i="1"/>
  <c r="Y1345" i="1"/>
  <c r="V1345" i="1"/>
  <c r="U1345" i="1"/>
  <c r="S1345" i="1"/>
  <c r="R1345" i="1"/>
  <c r="M1345" i="1"/>
  <c r="Y1683" i="1"/>
  <c r="V1683" i="1"/>
  <c r="U1683" i="1"/>
  <c r="S1683" i="1"/>
  <c r="R1683" i="1"/>
  <c r="M1683" i="1"/>
  <c r="Z1683" i="1"/>
  <c r="V794" i="1"/>
  <c r="U794" i="1"/>
  <c r="S794" i="1"/>
  <c r="R794" i="1"/>
  <c r="M794" i="1"/>
  <c r="Z794" i="1"/>
  <c r="Y794" i="1"/>
  <c r="U1617" i="1"/>
  <c r="S1617" i="1"/>
  <c r="R1617" i="1"/>
  <c r="M1617" i="1"/>
  <c r="Z1617" i="1"/>
  <c r="Y1617" i="1"/>
  <c r="V1617" i="1"/>
  <c r="V1947" i="1"/>
  <c r="U1947" i="1"/>
  <c r="S1947" i="1"/>
  <c r="R1947" i="1"/>
  <c r="M1947" i="1"/>
  <c r="Y1947" i="1"/>
  <c r="Z1947" i="1"/>
  <c r="M1464" i="1"/>
  <c r="Z1464" i="1"/>
  <c r="Y1464" i="1"/>
  <c r="V1464" i="1"/>
  <c r="U1464" i="1"/>
  <c r="S1464" i="1"/>
  <c r="R1464" i="1"/>
  <c r="Z1321" i="1"/>
  <c r="Y1321" i="1"/>
  <c r="V1321" i="1"/>
  <c r="U1321" i="1"/>
  <c r="S1321" i="1"/>
  <c r="R1321" i="1"/>
  <c r="M1321" i="1"/>
  <c r="M1944" i="1"/>
  <c r="Z1944" i="1"/>
  <c r="Y1944" i="1"/>
  <c r="V1944" i="1"/>
  <c r="U1944" i="1"/>
  <c r="S1944" i="1"/>
  <c r="R1944" i="1"/>
  <c r="V84" i="1"/>
  <c r="U84" i="1"/>
  <c r="S84" i="1"/>
  <c r="R84" i="1"/>
  <c r="M84" i="1"/>
  <c r="Z84" i="1"/>
  <c r="Y84" i="1"/>
  <c r="Z158" i="1"/>
  <c r="Y158" i="1"/>
  <c r="V158" i="1"/>
  <c r="U158" i="1"/>
  <c r="S158" i="1"/>
  <c r="R158" i="1"/>
  <c r="M158" i="1"/>
  <c r="M72" i="1"/>
  <c r="Z72" i="1"/>
  <c r="Y72" i="1"/>
  <c r="V72" i="1"/>
  <c r="U72" i="1"/>
  <c r="S72" i="1"/>
  <c r="R72" i="1"/>
  <c r="M133" i="1"/>
  <c r="Z133" i="1"/>
  <c r="Y133" i="1"/>
  <c r="V133" i="1"/>
  <c r="U133" i="1"/>
  <c r="S133" i="1"/>
  <c r="R133" i="1"/>
  <c r="U77" i="1"/>
  <c r="S77" i="1"/>
  <c r="R77" i="1"/>
  <c r="M77" i="1"/>
  <c r="Z77" i="1"/>
  <c r="Y77" i="1"/>
  <c r="V77" i="1"/>
  <c r="S1610" i="1"/>
  <c r="R1610" i="1"/>
  <c r="M1610" i="1"/>
  <c r="Z1610" i="1"/>
  <c r="Y1610" i="1"/>
  <c r="V1610" i="1"/>
  <c r="U1610" i="1"/>
  <c r="R893" i="1"/>
  <c r="M893" i="1"/>
  <c r="Z893" i="1"/>
  <c r="Y893" i="1"/>
  <c r="V893" i="1"/>
  <c r="U893" i="1"/>
  <c r="S893" i="1"/>
  <c r="S438" i="1"/>
  <c r="Z438" i="1"/>
  <c r="Y438" i="1"/>
  <c r="V438" i="1"/>
  <c r="U438" i="1"/>
  <c r="R438" i="1"/>
  <c r="M438" i="1"/>
  <c r="U1145" i="1"/>
  <c r="S1145" i="1"/>
  <c r="R1145" i="1"/>
  <c r="M1145" i="1"/>
  <c r="Z1145" i="1"/>
  <c r="Y1145" i="1"/>
  <c r="V1145" i="1"/>
  <c r="V225" i="1"/>
  <c r="U225" i="1"/>
  <c r="S225" i="1"/>
  <c r="R225" i="1"/>
  <c r="M225" i="1"/>
  <c r="Z225" i="1"/>
  <c r="Y225" i="1"/>
  <c r="M1628" i="1"/>
  <c r="Z1628" i="1"/>
  <c r="Y1628" i="1"/>
  <c r="V1628" i="1"/>
  <c r="U1628" i="1"/>
  <c r="S1628" i="1"/>
  <c r="R1628" i="1"/>
  <c r="R999" i="1"/>
  <c r="M999" i="1"/>
  <c r="Z999" i="1"/>
  <c r="Y999" i="1"/>
  <c r="V999" i="1"/>
  <c r="U999" i="1"/>
  <c r="S999" i="1"/>
  <c r="S454" i="1"/>
  <c r="R454" i="1"/>
  <c r="Z454" i="1"/>
  <c r="Y454" i="1"/>
  <c r="V454" i="1"/>
  <c r="U454" i="1"/>
  <c r="M454" i="1"/>
  <c r="Z1141" i="1"/>
  <c r="Y1141" i="1"/>
  <c r="V1141" i="1"/>
  <c r="U1141" i="1"/>
  <c r="S1141" i="1"/>
  <c r="R1141" i="1"/>
  <c r="M1141" i="1"/>
  <c r="V217" i="1"/>
  <c r="U217" i="1"/>
  <c r="S217" i="1"/>
  <c r="R217" i="1"/>
  <c r="M217" i="1"/>
  <c r="Z217" i="1"/>
  <c r="Y217" i="1"/>
  <c r="M1596" i="1"/>
  <c r="Z1596" i="1"/>
  <c r="Y1596" i="1"/>
  <c r="V1596" i="1"/>
  <c r="U1596" i="1"/>
  <c r="S1596" i="1"/>
  <c r="R1596" i="1"/>
  <c r="R935" i="1"/>
  <c r="M935" i="1"/>
  <c r="Z935" i="1"/>
  <c r="Y935" i="1"/>
  <c r="V935" i="1"/>
  <c r="U935" i="1"/>
  <c r="S935" i="1"/>
  <c r="V1452" i="1"/>
  <c r="U1452" i="1"/>
  <c r="S1452" i="1"/>
  <c r="R1452" i="1"/>
  <c r="M1452" i="1"/>
  <c r="Z1452" i="1"/>
  <c r="Y1452" i="1"/>
  <c r="Z791" i="1"/>
  <c r="Y791" i="1"/>
  <c r="V791" i="1"/>
  <c r="U791" i="1"/>
  <c r="S791" i="1"/>
  <c r="R791" i="1"/>
  <c r="M791" i="1"/>
  <c r="U258" i="1"/>
  <c r="S258" i="1"/>
  <c r="R258" i="1"/>
  <c r="M258" i="1"/>
  <c r="Z258" i="1"/>
  <c r="Y258" i="1"/>
  <c r="V258" i="1"/>
  <c r="V1324" i="1"/>
  <c r="U1324" i="1"/>
  <c r="S1324" i="1"/>
  <c r="R1324" i="1"/>
  <c r="M1324" i="1"/>
  <c r="Z1324" i="1"/>
  <c r="Y1324" i="1"/>
  <c r="M456" i="1"/>
  <c r="Z456" i="1"/>
  <c r="V456" i="1"/>
  <c r="U456" i="1"/>
  <c r="S456" i="1"/>
  <c r="Y456" i="1"/>
  <c r="R456" i="1"/>
  <c r="M1588" i="1"/>
  <c r="Z1588" i="1"/>
  <c r="Y1588" i="1"/>
  <c r="V1588" i="1"/>
  <c r="U1588" i="1"/>
  <c r="S1588" i="1"/>
  <c r="R1588" i="1"/>
  <c r="U761" i="1"/>
  <c r="R761" i="1"/>
  <c r="M761" i="1"/>
  <c r="Z761" i="1"/>
  <c r="Y761" i="1"/>
  <c r="V761" i="1"/>
  <c r="S761" i="1"/>
  <c r="Y671" i="1"/>
  <c r="V671" i="1"/>
  <c r="U671" i="1"/>
  <c r="S671" i="1"/>
  <c r="R671" i="1"/>
  <c r="M671" i="1"/>
  <c r="Z671" i="1"/>
  <c r="V624" i="1"/>
  <c r="U624" i="1"/>
  <c r="S624" i="1"/>
  <c r="R624" i="1"/>
  <c r="M624" i="1"/>
  <c r="Z624" i="1"/>
  <c r="Y624" i="1"/>
  <c r="Y615" i="1"/>
  <c r="V615" i="1"/>
  <c r="U615" i="1"/>
  <c r="S615" i="1"/>
  <c r="R615" i="1"/>
  <c r="M615" i="1"/>
  <c r="Z615" i="1"/>
  <c r="S595" i="1"/>
  <c r="R595" i="1"/>
  <c r="Z595" i="1"/>
  <c r="Y595" i="1"/>
  <c r="V595" i="1"/>
  <c r="U595" i="1"/>
  <c r="M595" i="1"/>
  <c r="V1060" i="1"/>
  <c r="U1060" i="1"/>
  <c r="S1060" i="1"/>
  <c r="R1060" i="1"/>
  <c r="M1060" i="1"/>
  <c r="Z1060" i="1"/>
  <c r="Y1060" i="1"/>
  <c r="Y1134" i="1"/>
  <c r="V1134" i="1"/>
  <c r="U1134" i="1"/>
  <c r="S1134" i="1"/>
  <c r="R1134" i="1"/>
  <c r="M1134" i="1"/>
  <c r="Z1134" i="1"/>
  <c r="R967" i="1"/>
  <c r="M967" i="1"/>
  <c r="Z967" i="1"/>
  <c r="Y967" i="1"/>
  <c r="V967" i="1"/>
  <c r="U967" i="1"/>
  <c r="S967" i="1"/>
  <c r="V201" i="1"/>
  <c r="U201" i="1"/>
  <c r="S201" i="1"/>
  <c r="R201" i="1"/>
  <c r="M201" i="1"/>
  <c r="Z201" i="1"/>
  <c r="Y201" i="1"/>
  <c r="S409" i="1"/>
  <c r="R409" i="1"/>
  <c r="M409" i="1"/>
  <c r="Z409" i="1"/>
  <c r="Y409" i="1"/>
  <c r="V409" i="1"/>
  <c r="U409" i="1"/>
  <c r="V972" i="1"/>
  <c r="U972" i="1"/>
  <c r="S972" i="1"/>
  <c r="R972" i="1"/>
  <c r="M972" i="1"/>
  <c r="Z972" i="1"/>
  <c r="Y972" i="1"/>
  <c r="R527" i="1"/>
  <c r="M527" i="1"/>
  <c r="Z527" i="1"/>
  <c r="Y527" i="1"/>
  <c r="V527" i="1"/>
  <c r="U527" i="1"/>
  <c r="S527" i="1"/>
  <c r="Y1074" i="1"/>
  <c r="V1074" i="1"/>
  <c r="U1074" i="1"/>
  <c r="S1074" i="1"/>
  <c r="R1074" i="1"/>
  <c r="M1074" i="1"/>
  <c r="Z1074" i="1"/>
  <c r="U178" i="1"/>
  <c r="S178" i="1"/>
  <c r="R178" i="1"/>
  <c r="M178" i="1"/>
  <c r="Z178" i="1"/>
  <c r="Y178" i="1"/>
  <c r="V178" i="1"/>
  <c r="Z710" i="1"/>
  <c r="Y710" i="1"/>
  <c r="V710" i="1"/>
  <c r="U710" i="1"/>
  <c r="S710" i="1"/>
  <c r="R710" i="1"/>
  <c r="M710" i="1"/>
  <c r="Y263" i="1"/>
  <c r="V263" i="1"/>
  <c r="U263" i="1"/>
  <c r="S263" i="1"/>
  <c r="R263" i="1"/>
  <c r="M263" i="1"/>
  <c r="Z263" i="1"/>
  <c r="S675" i="1"/>
  <c r="R675" i="1"/>
  <c r="M675" i="1"/>
  <c r="Z675" i="1"/>
  <c r="Y675" i="1"/>
  <c r="V675" i="1"/>
  <c r="U675" i="1"/>
  <c r="U722" i="1"/>
  <c r="S722" i="1"/>
  <c r="R722" i="1"/>
  <c r="M722" i="1"/>
  <c r="Z722" i="1"/>
  <c r="Y722" i="1"/>
  <c r="V722" i="1"/>
  <c r="Z1229" i="1"/>
  <c r="Y1229" i="1"/>
  <c r="V1229" i="1"/>
  <c r="U1229" i="1"/>
  <c r="S1229" i="1"/>
  <c r="R1229" i="1"/>
  <c r="M1229" i="1"/>
  <c r="Y1819" i="1"/>
  <c r="V1819" i="1"/>
  <c r="U1819" i="1"/>
  <c r="S1819" i="1"/>
  <c r="R1819" i="1"/>
  <c r="Z1819" i="1"/>
  <c r="M1819" i="1"/>
  <c r="Y760" i="1"/>
  <c r="V760" i="1"/>
  <c r="S760" i="1"/>
  <c r="R760" i="1"/>
  <c r="M760" i="1"/>
  <c r="Z760" i="1"/>
  <c r="U760" i="1"/>
  <c r="S1471" i="1"/>
  <c r="M1471" i="1"/>
  <c r="V1471" i="1"/>
  <c r="U1471" i="1"/>
  <c r="R1471" i="1"/>
  <c r="Z1471" i="1"/>
  <c r="Y1471" i="1"/>
  <c r="Y1934" i="1"/>
  <c r="V1934" i="1"/>
  <c r="U1934" i="1"/>
  <c r="S1934" i="1"/>
  <c r="R1934" i="1"/>
  <c r="M1934" i="1"/>
  <c r="Z1934" i="1"/>
  <c r="U1413" i="1"/>
  <c r="S1413" i="1"/>
  <c r="R1413" i="1"/>
  <c r="M1413" i="1"/>
  <c r="Z1413" i="1"/>
  <c r="Y1413" i="1"/>
  <c r="V1413" i="1"/>
  <c r="V1719" i="1"/>
  <c r="U1719" i="1"/>
  <c r="S1719" i="1"/>
  <c r="R1719" i="1"/>
  <c r="Z1719" i="1"/>
  <c r="Y1719" i="1"/>
  <c r="M1719" i="1"/>
  <c r="S916" i="1"/>
  <c r="R916" i="1"/>
  <c r="M916" i="1"/>
  <c r="Z916" i="1"/>
  <c r="Y916" i="1"/>
  <c r="V916" i="1"/>
  <c r="U916" i="1"/>
  <c r="M1448" i="1"/>
  <c r="Z1448" i="1"/>
  <c r="Y1448" i="1"/>
  <c r="V1448" i="1"/>
  <c r="U1448" i="1"/>
  <c r="S1448" i="1"/>
  <c r="R1448" i="1"/>
  <c r="Y1870" i="1"/>
  <c r="V1870" i="1"/>
  <c r="S1870" i="1"/>
  <c r="R1870" i="1"/>
  <c r="M1870" i="1"/>
  <c r="Z1870" i="1"/>
  <c r="U1870" i="1"/>
  <c r="V1355" i="1"/>
  <c r="U1355" i="1"/>
  <c r="S1355" i="1"/>
  <c r="R1355" i="1"/>
  <c r="M1355" i="1"/>
  <c r="Z1355" i="1"/>
  <c r="Y1355" i="1"/>
  <c r="V1661" i="1"/>
  <c r="U1661" i="1"/>
  <c r="S1661" i="1"/>
  <c r="R1661" i="1"/>
  <c r="M1661" i="1"/>
  <c r="Z1661" i="1"/>
  <c r="Y1661" i="1"/>
  <c r="V1964" i="1"/>
  <c r="U1964" i="1"/>
  <c r="S1964" i="1"/>
  <c r="R1964" i="1"/>
  <c r="M1964" i="1"/>
  <c r="Z1964" i="1"/>
  <c r="Y1964" i="1"/>
  <c r="V1347" i="1"/>
  <c r="U1347" i="1"/>
  <c r="S1347" i="1"/>
  <c r="R1347" i="1"/>
  <c r="M1347" i="1"/>
  <c r="Z1347" i="1"/>
  <c r="Y1347" i="1"/>
  <c r="V1685" i="1"/>
  <c r="U1685" i="1"/>
  <c r="S1685" i="1"/>
  <c r="R1685" i="1"/>
  <c r="M1685" i="1"/>
  <c r="Z1685" i="1"/>
  <c r="Y1685" i="1"/>
  <c r="U1646" i="1"/>
  <c r="S1646" i="1"/>
  <c r="R1646" i="1"/>
  <c r="Z1646" i="1"/>
  <c r="Y1646" i="1"/>
  <c r="V1646" i="1"/>
  <c r="M1646" i="1"/>
  <c r="U1625" i="1"/>
  <c r="S1625" i="1"/>
  <c r="R1625" i="1"/>
  <c r="M1625" i="1"/>
  <c r="Z1625" i="1"/>
  <c r="Y1625" i="1"/>
  <c r="V1625" i="1"/>
  <c r="U1237" i="1"/>
  <c r="S1237" i="1"/>
  <c r="R1237" i="1"/>
  <c r="Z1237" i="1"/>
  <c r="Y1237" i="1"/>
  <c r="V1237" i="1"/>
  <c r="M1237" i="1"/>
  <c r="Z1794" i="1"/>
  <c r="Y1794" i="1"/>
  <c r="V1794" i="1"/>
  <c r="U1794" i="1"/>
  <c r="S1794" i="1"/>
  <c r="R1794" i="1"/>
  <c r="M1794" i="1"/>
  <c r="M1868" i="1"/>
  <c r="Z1868" i="1"/>
  <c r="Y1868" i="1"/>
  <c r="V1868" i="1"/>
  <c r="U1868" i="1"/>
  <c r="S1868" i="1"/>
  <c r="R1868" i="1"/>
  <c r="U1913" i="1"/>
  <c r="S1913" i="1"/>
  <c r="R1913" i="1"/>
  <c r="M1913" i="1"/>
  <c r="Z1913" i="1"/>
  <c r="Y1913" i="1"/>
  <c r="V1913" i="1"/>
  <c r="Z1917" i="1"/>
  <c r="Y1917" i="1"/>
  <c r="V1917" i="1"/>
  <c r="U1917" i="1"/>
  <c r="S1917" i="1"/>
  <c r="R1917" i="1"/>
  <c r="M1917" i="1"/>
  <c r="Y970" i="1"/>
  <c r="V970" i="1"/>
  <c r="U970" i="1"/>
  <c r="S970" i="1"/>
  <c r="R970" i="1"/>
  <c r="M970" i="1"/>
  <c r="Z970" i="1"/>
  <c r="V60" i="1"/>
  <c r="U60" i="1"/>
  <c r="S60" i="1"/>
  <c r="R60" i="1"/>
  <c r="M60" i="1"/>
  <c r="Z60" i="1"/>
  <c r="Y60" i="1"/>
  <c r="Y1410" i="1"/>
  <c r="V1410" i="1"/>
  <c r="U1410" i="1"/>
  <c r="S1410" i="1"/>
  <c r="R1410" i="1"/>
  <c r="M1410" i="1"/>
  <c r="Z1410" i="1"/>
  <c r="Z1945" i="1"/>
  <c r="Y1945" i="1"/>
  <c r="V1945" i="1"/>
  <c r="U1945" i="1"/>
  <c r="S1945" i="1"/>
  <c r="M1945" i="1"/>
  <c r="R1945" i="1"/>
  <c r="Z1305" i="1"/>
  <c r="Y1305" i="1"/>
  <c r="V1305" i="1"/>
  <c r="U1305" i="1"/>
  <c r="S1305" i="1"/>
  <c r="R1305" i="1"/>
  <c r="M1305" i="1"/>
  <c r="S1527" i="1"/>
  <c r="R1527" i="1"/>
  <c r="M1527" i="1"/>
  <c r="Z1527" i="1"/>
  <c r="Y1527" i="1"/>
  <c r="V1527" i="1"/>
  <c r="U1527" i="1"/>
  <c r="U1949" i="1"/>
  <c r="S1949" i="1"/>
  <c r="R1949" i="1"/>
  <c r="M1949" i="1"/>
  <c r="Z1949" i="1"/>
  <c r="Y1949" i="1"/>
  <c r="V1949" i="1"/>
  <c r="V1735" i="1"/>
  <c r="U1735" i="1"/>
  <c r="S1735" i="1"/>
  <c r="R1735" i="1"/>
  <c r="Z1735" i="1"/>
  <c r="Y1735" i="1"/>
  <c r="M1735" i="1"/>
  <c r="R1311" i="1"/>
  <c r="M1311" i="1"/>
  <c r="Z1311" i="1"/>
  <c r="Y1311" i="1"/>
  <c r="V1311" i="1"/>
  <c r="U1311" i="1"/>
  <c r="S1311" i="1"/>
  <c r="R1824" i="1"/>
  <c r="M1824" i="1"/>
  <c r="Z1824" i="1"/>
  <c r="Y1824" i="1"/>
  <c r="V1824" i="1"/>
  <c r="U1824" i="1"/>
  <c r="S1824" i="1"/>
  <c r="V1576" i="1"/>
  <c r="U1576" i="1"/>
  <c r="S1576" i="1"/>
  <c r="R1576" i="1"/>
  <c r="M1576" i="1"/>
  <c r="Z1576" i="1"/>
  <c r="Y1576" i="1"/>
  <c r="Z1674" i="1"/>
  <c r="Y1674" i="1"/>
  <c r="V1674" i="1"/>
  <c r="U1674" i="1"/>
  <c r="S1674" i="1"/>
  <c r="R1674" i="1"/>
  <c r="M1674" i="1"/>
  <c r="R813" i="1"/>
  <c r="M813" i="1"/>
  <c r="Z813" i="1"/>
  <c r="Y813" i="1"/>
  <c r="V813" i="1"/>
  <c r="U813" i="1"/>
  <c r="S813" i="1"/>
  <c r="Y175" i="1"/>
  <c r="V175" i="1"/>
  <c r="U175" i="1"/>
  <c r="S175" i="1"/>
  <c r="R175" i="1"/>
  <c r="M175" i="1"/>
  <c r="Z175" i="1"/>
  <c r="Z654" i="1"/>
  <c r="Y654" i="1"/>
  <c r="V654" i="1"/>
  <c r="U654" i="1"/>
  <c r="S654" i="1"/>
  <c r="R654" i="1"/>
  <c r="M654" i="1"/>
  <c r="Y1707" i="1"/>
  <c r="V1707" i="1"/>
  <c r="U1707" i="1"/>
  <c r="S1707" i="1"/>
  <c r="R1707" i="1"/>
  <c r="M1707" i="1"/>
  <c r="Z1707" i="1"/>
  <c r="S1495" i="1"/>
  <c r="R1495" i="1"/>
  <c r="M1495" i="1"/>
  <c r="Z1495" i="1"/>
  <c r="Y1495" i="1"/>
  <c r="U1495" i="1"/>
  <c r="V1495" i="1"/>
  <c r="Y1773" i="1"/>
  <c r="V1773" i="1"/>
  <c r="U1773" i="1"/>
  <c r="S1773" i="1"/>
  <c r="R1773" i="1"/>
  <c r="M1773" i="1"/>
  <c r="Z1773" i="1"/>
  <c r="S1618" i="1"/>
  <c r="R1618" i="1"/>
  <c r="M1618" i="1"/>
  <c r="Z1618" i="1"/>
  <c r="Y1618" i="1"/>
  <c r="V1618" i="1"/>
  <c r="U1618" i="1"/>
  <c r="R156" i="1"/>
  <c r="M156" i="1"/>
  <c r="Z156" i="1"/>
  <c r="Y156" i="1"/>
  <c r="V156" i="1"/>
  <c r="U156" i="1"/>
  <c r="S156" i="1"/>
  <c r="Y66" i="1"/>
  <c r="V66" i="1"/>
  <c r="U66" i="1"/>
  <c r="S66" i="1"/>
  <c r="R66" i="1"/>
  <c r="M66" i="1"/>
  <c r="Z66" i="1"/>
  <c r="Z73" i="1"/>
  <c r="Y73" i="1"/>
  <c r="V73" i="1"/>
  <c r="U73" i="1"/>
  <c r="S73" i="1"/>
  <c r="R73" i="1"/>
  <c r="M73" i="1"/>
  <c r="U1129" i="1"/>
  <c r="S1129" i="1"/>
  <c r="R1129" i="1"/>
  <c r="M1129" i="1"/>
  <c r="Z1129" i="1"/>
  <c r="Y1129" i="1"/>
  <c r="V1129" i="1"/>
  <c r="Z839" i="1"/>
  <c r="Y839" i="1"/>
  <c r="V839" i="1"/>
  <c r="U839" i="1"/>
  <c r="S839" i="1"/>
  <c r="R839" i="1"/>
  <c r="M839" i="1"/>
  <c r="Z1125" i="1"/>
  <c r="Y1125" i="1"/>
  <c r="V1125" i="1"/>
  <c r="U1125" i="1"/>
  <c r="S1125" i="1"/>
  <c r="R1125" i="1"/>
  <c r="M1125" i="1"/>
  <c r="V1468" i="1"/>
  <c r="U1468" i="1"/>
  <c r="S1468" i="1"/>
  <c r="R1468" i="1"/>
  <c r="M1468" i="1"/>
  <c r="Z1468" i="1"/>
  <c r="Y1468" i="1"/>
  <c r="Z1049" i="1"/>
  <c r="Y1049" i="1"/>
  <c r="V1049" i="1"/>
  <c r="U1049" i="1"/>
  <c r="S1049" i="1"/>
  <c r="R1049" i="1"/>
  <c r="M1049" i="1"/>
  <c r="V633" i="1"/>
  <c r="U633" i="1"/>
  <c r="S633" i="1"/>
  <c r="R633" i="1"/>
  <c r="M633" i="1"/>
  <c r="Z633" i="1"/>
  <c r="Y633" i="1"/>
  <c r="V2019" i="1"/>
  <c r="U2019" i="1"/>
  <c r="S2019" i="1"/>
  <c r="R2019" i="1"/>
  <c r="M2019" i="1"/>
  <c r="Z2019" i="1"/>
  <c r="Y2019" i="1"/>
  <c r="U170" i="1"/>
  <c r="S170" i="1"/>
  <c r="R170" i="1"/>
  <c r="M170" i="1"/>
  <c r="Z170" i="1"/>
  <c r="Y170" i="1"/>
  <c r="V170" i="1"/>
  <c r="R100" i="1"/>
  <c r="M100" i="1"/>
  <c r="Y100" i="1"/>
  <c r="V100" i="1"/>
  <c r="S100" i="1"/>
  <c r="Z100" i="1"/>
  <c r="U100" i="1"/>
  <c r="Z33" i="1"/>
  <c r="Y33" i="1"/>
  <c r="V33" i="1"/>
  <c r="U33" i="1"/>
  <c r="S33" i="1"/>
  <c r="R33" i="1"/>
  <c r="M33" i="1"/>
  <c r="V113" i="1"/>
  <c r="U113" i="1"/>
  <c r="R113" i="1"/>
  <c r="M113" i="1"/>
  <c r="Z113" i="1"/>
  <c r="Y113" i="1"/>
  <c r="S113" i="1"/>
  <c r="R1738" i="1"/>
  <c r="M1738" i="1"/>
  <c r="Z1738" i="1"/>
  <c r="Y1738" i="1"/>
  <c r="V1738" i="1"/>
  <c r="S1738" i="1"/>
  <c r="U1738" i="1"/>
  <c r="Y743" i="1"/>
  <c r="V743" i="1"/>
  <c r="U743" i="1"/>
  <c r="S743" i="1"/>
  <c r="R743" i="1"/>
  <c r="M743" i="1"/>
  <c r="Z743" i="1"/>
  <c r="R306" i="1"/>
  <c r="M306" i="1"/>
  <c r="Z306" i="1"/>
  <c r="Y306" i="1"/>
  <c r="V306" i="1"/>
  <c r="U306" i="1"/>
  <c r="S306" i="1"/>
  <c r="Y1290" i="1"/>
  <c r="V1290" i="1"/>
  <c r="U1290" i="1"/>
  <c r="S1290" i="1"/>
  <c r="R1290" i="1"/>
  <c r="M1290" i="1"/>
  <c r="Z1290" i="1"/>
  <c r="M536" i="1"/>
  <c r="Z536" i="1"/>
  <c r="Y536" i="1"/>
  <c r="V536" i="1"/>
  <c r="U536" i="1"/>
  <c r="S536" i="1"/>
  <c r="R536" i="1"/>
  <c r="V588" i="1"/>
  <c r="U588" i="1"/>
  <c r="S588" i="1"/>
  <c r="R588" i="1"/>
  <c r="M588" i="1"/>
  <c r="Z588" i="1"/>
  <c r="Y588" i="1"/>
  <c r="R1063" i="1"/>
  <c r="M1063" i="1"/>
  <c r="Z1063" i="1"/>
  <c r="Y1063" i="1"/>
  <c r="V1063" i="1"/>
  <c r="U1063" i="1"/>
  <c r="S1063" i="1"/>
  <c r="M339" i="1"/>
  <c r="Z339" i="1"/>
  <c r="Y339" i="1"/>
  <c r="V339" i="1"/>
  <c r="U339" i="1"/>
  <c r="S339" i="1"/>
  <c r="R339" i="1"/>
  <c r="M1424" i="1"/>
  <c r="Z1424" i="1"/>
  <c r="Y1424" i="1"/>
  <c r="V1424" i="1"/>
  <c r="U1424" i="1"/>
  <c r="S1424" i="1"/>
  <c r="R1424" i="1"/>
  <c r="M504" i="1"/>
  <c r="Z504" i="1"/>
  <c r="Y504" i="1"/>
  <c r="V504" i="1"/>
  <c r="U504" i="1"/>
  <c r="S504" i="1"/>
  <c r="R504" i="1"/>
  <c r="U1905" i="1"/>
  <c r="S1905" i="1"/>
  <c r="R1905" i="1"/>
  <c r="M1905" i="1"/>
  <c r="Z1905" i="1"/>
  <c r="Y1905" i="1"/>
  <c r="V1905" i="1"/>
  <c r="V1176" i="1"/>
  <c r="U1176" i="1"/>
  <c r="S1176" i="1"/>
  <c r="R1176" i="1"/>
  <c r="M1176" i="1"/>
  <c r="Z1176" i="1"/>
  <c r="Y1176" i="1"/>
  <c r="Z1901" i="1"/>
  <c r="Y1901" i="1"/>
  <c r="V1901" i="1"/>
  <c r="U1901" i="1"/>
  <c r="S1901" i="1"/>
  <c r="R1901" i="1"/>
  <c r="M1901" i="1"/>
  <c r="Z929" i="1"/>
  <c r="Y929" i="1"/>
  <c r="V929" i="1"/>
  <c r="S929" i="1"/>
  <c r="R929" i="1"/>
  <c r="M929" i="1"/>
  <c r="U929" i="1"/>
  <c r="Y293" i="1"/>
  <c r="V293" i="1"/>
  <c r="U293" i="1"/>
  <c r="S293" i="1"/>
  <c r="R293" i="1"/>
  <c r="Z293" i="1"/>
  <c r="M293" i="1"/>
  <c r="S1414" i="1"/>
  <c r="R1414" i="1"/>
  <c r="M1414" i="1"/>
  <c r="Z1414" i="1"/>
  <c r="Y1414" i="1"/>
  <c r="V1414" i="1"/>
  <c r="U1414" i="1"/>
  <c r="R1023" i="1"/>
  <c r="M1023" i="1"/>
  <c r="Z1023" i="1"/>
  <c r="Y1023" i="1"/>
  <c r="V1023" i="1"/>
  <c r="U1023" i="1"/>
  <c r="S1023" i="1"/>
  <c r="Z1786" i="1"/>
  <c r="Y1786" i="1"/>
  <c r="V1786" i="1"/>
  <c r="U1786" i="1"/>
  <c r="S1786" i="1"/>
  <c r="R1786" i="1"/>
  <c r="M1786" i="1"/>
  <c r="U1045" i="1"/>
  <c r="S1045" i="1"/>
  <c r="R1045" i="1"/>
  <c r="M1045" i="1"/>
  <c r="Z1045" i="1"/>
  <c r="Y1045" i="1"/>
  <c r="V1045" i="1"/>
  <c r="S731" i="1"/>
  <c r="R731" i="1"/>
  <c r="M731" i="1"/>
  <c r="Z731" i="1"/>
  <c r="Y731" i="1"/>
  <c r="V731" i="1"/>
  <c r="U731" i="1"/>
  <c r="M1108" i="1"/>
  <c r="Z1108" i="1"/>
  <c r="Y1108" i="1"/>
  <c r="V1108" i="1"/>
  <c r="U1108" i="1"/>
  <c r="S1108" i="1"/>
  <c r="R1108" i="1"/>
  <c r="V1216" i="1"/>
  <c r="U1216" i="1"/>
  <c r="S1216" i="1"/>
  <c r="R1216" i="1"/>
  <c r="M1216" i="1"/>
  <c r="Z1216" i="1"/>
  <c r="Y1216" i="1"/>
  <c r="Y562" i="1"/>
  <c r="V562" i="1"/>
  <c r="U562" i="1"/>
  <c r="S562" i="1"/>
  <c r="R562" i="1"/>
  <c r="M562" i="1"/>
  <c r="Z562" i="1"/>
  <c r="Z646" i="1"/>
  <c r="Y646" i="1"/>
  <c r="V646" i="1"/>
  <c r="U646" i="1"/>
  <c r="S646" i="1"/>
  <c r="R646" i="1"/>
  <c r="M646" i="1"/>
  <c r="V906" i="1"/>
  <c r="U906" i="1"/>
  <c r="S906" i="1"/>
  <c r="R906" i="1"/>
  <c r="M906" i="1"/>
  <c r="Z906" i="1"/>
  <c r="Y906" i="1"/>
  <c r="R495" i="1"/>
  <c r="M495" i="1"/>
  <c r="Z495" i="1"/>
  <c r="Y495" i="1"/>
  <c r="V495" i="1"/>
  <c r="U495" i="1"/>
  <c r="S495" i="1"/>
  <c r="M1056" i="1"/>
  <c r="Z1056" i="1"/>
  <c r="Y1056" i="1"/>
  <c r="V1056" i="1"/>
  <c r="U1056" i="1"/>
  <c r="S1056" i="1"/>
  <c r="R1056" i="1"/>
  <c r="U573" i="1"/>
  <c r="S573" i="1"/>
  <c r="R573" i="1"/>
  <c r="M573" i="1"/>
  <c r="Z573" i="1"/>
  <c r="Y573" i="1"/>
  <c r="V573" i="1"/>
  <c r="Z686" i="1"/>
  <c r="Y686" i="1"/>
  <c r="V686" i="1"/>
  <c r="U686" i="1"/>
  <c r="S686" i="1"/>
  <c r="R686" i="1"/>
  <c r="M686" i="1"/>
  <c r="V963" i="1"/>
  <c r="U963" i="1"/>
  <c r="S963" i="1"/>
  <c r="R963" i="1"/>
  <c r="M963" i="1"/>
  <c r="Z963" i="1"/>
  <c r="Y963" i="1"/>
  <c r="V786" i="1"/>
  <c r="U786" i="1"/>
  <c r="S786" i="1"/>
  <c r="R786" i="1"/>
  <c r="M786" i="1"/>
  <c r="Z786" i="1"/>
  <c r="Y786" i="1"/>
  <c r="V319" i="1"/>
  <c r="U319" i="1"/>
  <c r="S319" i="1"/>
  <c r="R319" i="1"/>
  <c r="M319" i="1"/>
  <c r="Z319" i="1"/>
  <c r="Y319" i="1"/>
  <c r="Z569" i="1"/>
  <c r="Y569" i="1"/>
  <c r="V569" i="1"/>
  <c r="U569" i="1"/>
  <c r="S569" i="1"/>
  <c r="R569" i="1"/>
  <c r="M569" i="1"/>
  <c r="V1096" i="1"/>
  <c r="U1096" i="1"/>
  <c r="S1096" i="1"/>
  <c r="R1096" i="1"/>
  <c r="Z1096" i="1"/>
  <c r="Y1096" i="1"/>
  <c r="M1096" i="1"/>
  <c r="U493" i="1"/>
  <c r="S493" i="1"/>
  <c r="R493" i="1"/>
  <c r="M493" i="1"/>
  <c r="Z493" i="1"/>
  <c r="Y493" i="1"/>
  <c r="V493" i="1"/>
  <c r="V1260" i="1"/>
  <c r="U1260" i="1"/>
  <c r="S1260" i="1"/>
  <c r="R1260" i="1"/>
  <c r="M1260" i="1"/>
  <c r="Z1260" i="1"/>
  <c r="Y1260" i="1"/>
  <c r="Z1313" i="1"/>
  <c r="Y1313" i="1"/>
  <c r="V1313" i="1"/>
  <c r="U1313" i="1"/>
  <c r="S1313" i="1"/>
  <c r="R1313" i="1"/>
  <c r="M1313" i="1"/>
  <c r="Y1651" i="1"/>
  <c r="V1651" i="1"/>
  <c r="S1651" i="1"/>
  <c r="R1651" i="1"/>
  <c r="Z1651" i="1"/>
  <c r="U1651" i="1"/>
  <c r="M1651" i="1"/>
  <c r="V1292" i="1"/>
  <c r="U1292" i="1"/>
  <c r="S1292" i="1"/>
  <c r="R1292" i="1"/>
  <c r="M1292" i="1"/>
  <c r="Z1292" i="1"/>
  <c r="Y1292" i="1"/>
  <c r="S1430" i="1"/>
  <c r="R1430" i="1"/>
  <c r="M1430" i="1"/>
  <c r="Z1430" i="1"/>
  <c r="Y1430" i="1"/>
  <c r="V1430" i="1"/>
  <c r="U1430" i="1"/>
  <c r="M1785" i="1"/>
  <c r="Z1785" i="1"/>
  <c r="Y1785" i="1"/>
  <c r="V1785" i="1"/>
  <c r="U1785" i="1"/>
  <c r="S1785" i="1"/>
  <c r="R1785" i="1"/>
  <c r="U1486" i="1"/>
  <c r="S1486" i="1"/>
  <c r="R1486" i="1"/>
  <c r="M1486" i="1"/>
  <c r="Z1486" i="1"/>
  <c r="Y1486" i="1"/>
  <c r="V1486" i="1"/>
  <c r="M1723" i="1"/>
  <c r="Z1723" i="1"/>
  <c r="Y1723" i="1"/>
  <c r="S1723" i="1"/>
  <c r="R1723" i="1"/>
  <c r="V1723" i="1"/>
  <c r="U1723" i="1"/>
  <c r="R1999" i="1"/>
  <c r="M1999" i="1"/>
  <c r="Z1999" i="1"/>
  <c r="Y1999" i="1"/>
  <c r="V1999" i="1"/>
  <c r="U1999" i="1"/>
  <c r="S1999" i="1"/>
  <c r="U1233" i="1"/>
  <c r="S1233" i="1"/>
  <c r="R1233" i="1"/>
  <c r="M1233" i="1"/>
  <c r="Z1233" i="1"/>
  <c r="Y1233" i="1"/>
  <c r="V1233" i="1"/>
  <c r="R1571" i="1"/>
  <c r="M1571" i="1"/>
  <c r="Z1571" i="1"/>
  <c r="V1571" i="1"/>
  <c r="U1571" i="1"/>
  <c r="Y1571" i="1"/>
  <c r="S1571" i="1"/>
  <c r="V858" i="1"/>
  <c r="U858" i="1"/>
  <c r="S858" i="1"/>
  <c r="R858" i="1"/>
  <c r="M858" i="1"/>
  <c r="Z858" i="1"/>
  <c r="Y858" i="1"/>
  <c r="U1633" i="1"/>
  <c r="S1633" i="1"/>
  <c r="R1633" i="1"/>
  <c r="M1633" i="1"/>
  <c r="Z1633" i="1"/>
  <c r="Y1633" i="1"/>
  <c r="V1633" i="1"/>
  <c r="V1955" i="1"/>
  <c r="U1955" i="1"/>
  <c r="S1955" i="1"/>
  <c r="R1955" i="1"/>
  <c r="M1955" i="1"/>
  <c r="Y1955" i="1"/>
  <c r="Z1955" i="1"/>
  <c r="U1702" i="1"/>
  <c r="S1702" i="1"/>
  <c r="R1702" i="1"/>
  <c r="M1702" i="1"/>
  <c r="Z1702" i="1"/>
  <c r="Y1702" i="1"/>
  <c r="V1702" i="1"/>
  <c r="Y1733" i="1"/>
  <c r="V1733" i="1"/>
  <c r="U1733" i="1"/>
  <c r="R1733" i="1"/>
  <c r="Z1733" i="1"/>
  <c r="S1733" i="1"/>
  <c r="M1733" i="1"/>
  <c r="V1243" i="1"/>
  <c r="U1243" i="1"/>
  <c r="R1243" i="1"/>
  <c r="M1243" i="1"/>
  <c r="Z1243" i="1"/>
  <c r="Y1243" i="1"/>
  <c r="S1243" i="1"/>
  <c r="Z1565" i="1"/>
  <c r="Y1565" i="1"/>
  <c r="U1565" i="1"/>
  <c r="S1565" i="1"/>
  <c r="R1565" i="1"/>
  <c r="V1565" i="1"/>
  <c r="M1565" i="1"/>
  <c r="U1526" i="1"/>
  <c r="S1526" i="1"/>
  <c r="R1526" i="1"/>
  <c r="M1526" i="1"/>
  <c r="Z1526" i="1"/>
  <c r="Y1526" i="1"/>
  <c r="V1526" i="1"/>
  <c r="V1796" i="1"/>
  <c r="U1796" i="1"/>
  <c r="Y1796" i="1"/>
  <c r="S1796" i="1"/>
  <c r="R1796" i="1"/>
  <c r="M1796" i="1"/>
  <c r="Z1796" i="1"/>
  <c r="M1924" i="1"/>
  <c r="Z1924" i="1"/>
  <c r="Y1924" i="1"/>
  <c r="V1924" i="1"/>
  <c r="U1924" i="1"/>
  <c r="S1924" i="1"/>
  <c r="R1924" i="1"/>
  <c r="S1898" i="1"/>
  <c r="R1898" i="1"/>
  <c r="M1898" i="1"/>
  <c r="Z1898" i="1"/>
  <c r="Y1898" i="1"/>
  <c r="V1898" i="1"/>
  <c r="U1898" i="1"/>
  <c r="Y1787" i="1"/>
  <c r="V1787" i="1"/>
  <c r="R1787" i="1"/>
  <c r="M1787" i="1"/>
  <c r="Z1787" i="1"/>
  <c r="U1787" i="1"/>
  <c r="S1787" i="1"/>
  <c r="V20" i="1"/>
  <c r="U20" i="1"/>
  <c r="S20" i="1"/>
  <c r="R20" i="1"/>
  <c r="M20" i="1"/>
  <c r="Z20" i="1"/>
  <c r="Y20" i="1"/>
  <c r="V12" i="1"/>
  <c r="U12" i="1"/>
  <c r="S12" i="1"/>
  <c r="R12" i="1"/>
  <c r="M12" i="1"/>
  <c r="Z12" i="1"/>
  <c r="Y12" i="1"/>
  <c r="U1177" i="1"/>
  <c r="S1177" i="1"/>
  <c r="R1177" i="1"/>
  <c r="M1177" i="1"/>
  <c r="Z1177" i="1"/>
  <c r="Y1177" i="1"/>
  <c r="V1177" i="1"/>
  <c r="Y1659" i="1"/>
  <c r="V1659" i="1"/>
  <c r="U1659" i="1"/>
  <c r="S1659" i="1"/>
  <c r="R1659" i="1"/>
  <c r="Z1659" i="1"/>
  <c r="M1659" i="1"/>
  <c r="S1855" i="1"/>
  <c r="R1855" i="1"/>
  <c r="M1855" i="1"/>
  <c r="Z1855" i="1"/>
  <c r="Y1855" i="1"/>
  <c r="V1855" i="1"/>
  <c r="U1855" i="1"/>
  <c r="Y2010" i="1"/>
  <c r="V2010" i="1"/>
  <c r="U2010" i="1"/>
  <c r="S2010" i="1"/>
  <c r="R2010" i="1"/>
  <c r="M2010" i="1"/>
  <c r="Z2010" i="1"/>
  <c r="Z25" i="1"/>
  <c r="Y25" i="1"/>
  <c r="V25" i="1"/>
  <c r="U25" i="1"/>
  <c r="S25" i="1"/>
  <c r="R25" i="1"/>
  <c r="M25" i="1"/>
  <c r="V1845" i="1"/>
  <c r="U1845" i="1"/>
  <c r="S1845" i="1"/>
  <c r="R1845" i="1"/>
  <c r="M1845" i="1"/>
  <c r="Z1845" i="1"/>
  <c r="Y1845" i="1"/>
  <c r="Y1442" i="1"/>
  <c r="V1442" i="1"/>
  <c r="U1442" i="1"/>
  <c r="S1442" i="1"/>
  <c r="R1442" i="1"/>
  <c r="M1442" i="1"/>
  <c r="Z1442" i="1"/>
  <c r="U138" i="1"/>
  <c r="S138" i="1"/>
  <c r="R138" i="1"/>
  <c r="M138" i="1"/>
  <c r="Z138" i="1"/>
  <c r="Y138" i="1"/>
  <c r="V138" i="1"/>
  <c r="V160" i="1"/>
  <c r="U160" i="1"/>
  <c r="S160" i="1"/>
  <c r="R160" i="1"/>
  <c r="M160" i="1"/>
  <c r="Z160" i="1"/>
  <c r="Y160" i="1"/>
  <c r="S78" i="1"/>
  <c r="R78" i="1"/>
  <c r="M78" i="1"/>
  <c r="Z78" i="1"/>
  <c r="Y78" i="1"/>
  <c r="V78" i="1"/>
  <c r="U78" i="1"/>
  <c r="V137" i="1"/>
  <c r="U137" i="1"/>
  <c r="S137" i="1"/>
  <c r="R137" i="1"/>
  <c r="M137" i="1"/>
  <c r="Z137" i="1"/>
  <c r="Y137" i="1"/>
  <c r="V83" i="1"/>
  <c r="U83" i="1"/>
  <c r="S83" i="1"/>
  <c r="R83" i="1"/>
  <c r="M83" i="1"/>
  <c r="Z83" i="1"/>
  <c r="Y83" i="1"/>
  <c r="V1608" i="1"/>
  <c r="U1608" i="1"/>
  <c r="S1608" i="1"/>
  <c r="R1608" i="1"/>
  <c r="M1608" i="1"/>
  <c r="Z1608" i="1"/>
  <c r="Y1608" i="1"/>
  <c r="U1021" i="1"/>
  <c r="S1021" i="1"/>
  <c r="R1021" i="1"/>
  <c r="M1021" i="1"/>
  <c r="Z1021" i="1"/>
  <c r="Y1021" i="1"/>
  <c r="V1021" i="1"/>
  <c r="V374" i="1"/>
  <c r="U374" i="1"/>
  <c r="S374" i="1"/>
  <c r="R374" i="1"/>
  <c r="M374" i="1"/>
  <c r="Z374" i="1"/>
  <c r="Y374" i="1"/>
  <c r="U1161" i="1"/>
  <c r="S1161" i="1"/>
  <c r="R1161" i="1"/>
  <c r="M1161" i="1"/>
  <c r="Z1161" i="1"/>
  <c r="Y1161" i="1"/>
  <c r="V1161" i="1"/>
  <c r="M253" i="1"/>
  <c r="Z253" i="1"/>
  <c r="Y253" i="1"/>
  <c r="V253" i="1"/>
  <c r="U253" i="1"/>
  <c r="S253" i="1"/>
  <c r="R253" i="1"/>
  <c r="V1820" i="1"/>
  <c r="U1820" i="1"/>
  <c r="S1820" i="1"/>
  <c r="R1820" i="1"/>
  <c r="M1820" i="1"/>
  <c r="Z1820" i="1"/>
  <c r="Y1820" i="1"/>
  <c r="U997" i="1"/>
  <c r="S997" i="1"/>
  <c r="R997" i="1"/>
  <c r="M997" i="1"/>
  <c r="Z997" i="1"/>
  <c r="Y997" i="1"/>
  <c r="V997" i="1"/>
  <c r="V390" i="1"/>
  <c r="U390" i="1"/>
  <c r="S390" i="1"/>
  <c r="R390" i="1"/>
  <c r="M390" i="1"/>
  <c r="Z390" i="1"/>
  <c r="Y390" i="1"/>
  <c r="Z1157" i="1"/>
  <c r="Y1157" i="1"/>
  <c r="V1157" i="1"/>
  <c r="U1157" i="1"/>
  <c r="S1157" i="1"/>
  <c r="R1157" i="1"/>
  <c r="M1157" i="1"/>
  <c r="Y247" i="1"/>
  <c r="V247" i="1"/>
  <c r="U247" i="1"/>
  <c r="S247" i="1"/>
  <c r="R247" i="1"/>
  <c r="M247" i="1"/>
  <c r="Z247" i="1"/>
  <c r="V1788" i="1"/>
  <c r="U1788" i="1"/>
  <c r="Y1788" i="1"/>
  <c r="S1788" i="1"/>
  <c r="R1788" i="1"/>
  <c r="M1788" i="1"/>
  <c r="Z1788" i="1"/>
  <c r="U965" i="1"/>
  <c r="S965" i="1"/>
  <c r="R965" i="1"/>
  <c r="M965" i="1"/>
  <c r="Z965" i="1"/>
  <c r="Y965" i="1"/>
  <c r="V965" i="1"/>
  <c r="M1580" i="1"/>
  <c r="Z1580" i="1"/>
  <c r="Y1580" i="1"/>
  <c r="V1580" i="1"/>
  <c r="U1580" i="1"/>
  <c r="S1580" i="1"/>
  <c r="R1580" i="1"/>
  <c r="Y919" i="1"/>
  <c r="V919" i="1"/>
  <c r="U919" i="1"/>
  <c r="Z919" i="1"/>
  <c r="S919" i="1"/>
  <c r="R919" i="1"/>
  <c r="M919" i="1"/>
  <c r="Z292" i="1"/>
  <c r="Y292" i="1"/>
  <c r="V292" i="1"/>
  <c r="U292" i="1"/>
  <c r="S292" i="1"/>
  <c r="R292" i="1"/>
  <c r="M292" i="1"/>
  <c r="Y1338" i="1"/>
  <c r="V1338" i="1"/>
  <c r="U1338" i="1"/>
  <c r="S1338" i="1"/>
  <c r="R1338" i="1"/>
  <c r="M1338" i="1"/>
  <c r="Z1338" i="1"/>
  <c r="M584" i="1"/>
  <c r="Z584" i="1"/>
  <c r="Y584" i="1"/>
  <c r="V584" i="1"/>
  <c r="U584" i="1"/>
  <c r="S584" i="1"/>
  <c r="R584" i="1"/>
  <c r="Z1716" i="1"/>
  <c r="Y1716" i="1"/>
  <c r="M1716" i="1"/>
  <c r="V1716" i="1"/>
  <c r="U1716" i="1"/>
  <c r="S1716" i="1"/>
  <c r="R1716" i="1"/>
  <c r="V889" i="1"/>
  <c r="U889" i="1"/>
  <c r="S889" i="1"/>
  <c r="R889" i="1"/>
  <c r="M889" i="1"/>
  <c r="Z889" i="1"/>
  <c r="Y889" i="1"/>
  <c r="V515" i="1"/>
  <c r="U515" i="1"/>
  <c r="S515" i="1"/>
  <c r="R515" i="1"/>
  <c r="M515" i="1"/>
  <c r="Z515" i="1"/>
  <c r="Y515" i="1"/>
  <c r="Y962" i="1"/>
  <c r="V962" i="1"/>
  <c r="U962" i="1"/>
  <c r="S962" i="1"/>
  <c r="R962" i="1"/>
  <c r="M962" i="1"/>
  <c r="Z962" i="1"/>
  <c r="S1462" i="1"/>
  <c r="R1462" i="1"/>
  <c r="M1462" i="1"/>
  <c r="Z1462" i="1"/>
  <c r="Y1462" i="1"/>
  <c r="V1462" i="1"/>
  <c r="U1462" i="1"/>
  <c r="U469" i="1"/>
  <c r="S469" i="1"/>
  <c r="R469" i="1"/>
  <c r="M469" i="1"/>
  <c r="Z469" i="1"/>
  <c r="Y469" i="1"/>
  <c r="V469" i="1"/>
  <c r="V932" i="1"/>
  <c r="U932" i="1"/>
  <c r="R932" i="1"/>
  <c r="M932" i="1"/>
  <c r="Z932" i="1"/>
  <c r="Y932" i="1"/>
  <c r="S932" i="1"/>
  <c r="S1070" i="1"/>
  <c r="R1070" i="1"/>
  <c r="M1070" i="1"/>
  <c r="Z1070" i="1"/>
  <c r="Y1070" i="1"/>
  <c r="V1070" i="1"/>
  <c r="U1070" i="1"/>
  <c r="Z847" i="1"/>
  <c r="Y847" i="1"/>
  <c r="V847" i="1"/>
  <c r="U847" i="1"/>
  <c r="S847" i="1"/>
  <c r="R847" i="1"/>
  <c r="M847" i="1"/>
  <c r="S313" i="1"/>
  <c r="R313" i="1"/>
  <c r="M313" i="1"/>
  <c r="Z313" i="1"/>
  <c r="Y313" i="1"/>
  <c r="V313" i="1"/>
  <c r="U313" i="1"/>
  <c r="Z606" i="1"/>
  <c r="Y606" i="1"/>
  <c r="V606" i="1"/>
  <c r="U606" i="1"/>
  <c r="S606" i="1"/>
  <c r="R606" i="1"/>
  <c r="M606" i="1"/>
  <c r="S844" i="1"/>
  <c r="R844" i="1"/>
  <c r="M844" i="1"/>
  <c r="Z844" i="1"/>
  <c r="Y844" i="1"/>
  <c r="V844" i="1"/>
  <c r="U844" i="1"/>
  <c r="V399" i="1"/>
  <c r="U399" i="1"/>
  <c r="S399" i="1"/>
  <c r="R399" i="1"/>
  <c r="M399" i="1"/>
  <c r="Z399" i="1"/>
  <c r="Y399" i="1"/>
  <c r="M960" i="1"/>
  <c r="Z960" i="1"/>
  <c r="Y960" i="1"/>
  <c r="V960" i="1"/>
  <c r="U960" i="1"/>
  <c r="S960" i="1"/>
  <c r="R960" i="1"/>
  <c r="Y514" i="1"/>
  <c r="V514" i="1"/>
  <c r="U514" i="1"/>
  <c r="S514" i="1"/>
  <c r="R514" i="1"/>
  <c r="M514" i="1"/>
  <c r="Z514" i="1"/>
  <c r="S715" i="1"/>
  <c r="R715" i="1"/>
  <c r="M715" i="1"/>
  <c r="Z715" i="1"/>
  <c r="Y715" i="1"/>
  <c r="V715" i="1"/>
  <c r="U715" i="1"/>
  <c r="V842" i="1"/>
  <c r="U842" i="1"/>
  <c r="S842" i="1"/>
  <c r="R842" i="1"/>
  <c r="M842" i="1"/>
  <c r="Z842" i="1"/>
  <c r="Y842" i="1"/>
  <c r="V523" i="1"/>
  <c r="U523" i="1"/>
  <c r="S523" i="1"/>
  <c r="R523" i="1"/>
  <c r="M523" i="1"/>
  <c r="Z523" i="1"/>
  <c r="Y523" i="1"/>
  <c r="M886" i="1"/>
  <c r="Z886" i="1"/>
  <c r="Y886" i="1"/>
  <c r="V886" i="1"/>
  <c r="U886" i="1"/>
  <c r="S886" i="1"/>
  <c r="R886" i="1"/>
  <c r="Z1409" i="1"/>
  <c r="Y1409" i="1"/>
  <c r="V1409" i="1"/>
  <c r="U1409" i="1"/>
  <c r="S1409" i="1"/>
  <c r="R1409" i="1"/>
  <c r="M1409" i="1"/>
  <c r="V1821" i="1"/>
  <c r="U1821" i="1"/>
  <c r="S1821" i="1"/>
  <c r="R1821" i="1"/>
  <c r="M1821" i="1"/>
  <c r="Z1821" i="1"/>
  <c r="Y1821" i="1"/>
  <c r="Y1018" i="1"/>
  <c r="V1018" i="1"/>
  <c r="U1018" i="1"/>
  <c r="S1018" i="1"/>
  <c r="R1018" i="1"/>
  <c r="M1018" i="1"/>
  <c r="Z1018" i="1"/>
  <c r="M1713" i="1"/>
  <c r="Z1713" i="1"/>
  <c r="Y1713" i="1"/>
  <c r="V1713" i="1"/>
  <c r="U1713" i="1"/>
  <c r="S1713" i="1"/>
  <c r="R1713" i="1"/>
  <c r="V1995" i="1"/>
  <c r="U1995" i="1"/>
  <c r="S1995" i="1"/>
  <c r="R1995" i="1"/>
  <c r="M1995" i="1"/>
  <c r="Z1995" i="1"/>
  <c r="Y1995" i="1"/>
  <c r="R1335" i="1"/>
  <c r="M1335" i="1"/>
  <c r="Z1335" i="1"/>
  <c r="Y1335" i="1"/>
  <c r="V1335" i="1"/>
  <c r="U1335" i="1"/>
  <c r="S1335" i="1"/>
  <c r="V1591" i="1"/>
  <c r="U1591" i="1"/>
  <c r="S1591" i="1"/>
  <c r="R1591" i="1"/>
  <c r="M1591" i="1"/>
  <c r="Z1591" i="1"/>
  <c r="Y1591" i="1"/>
  <c r="R901" i="1"/>
  <c r="M901" i="1"/>
  <c r="Z901" i="1"/>
  <c r="Y901" i="1"/>
  <c r="V901" i="1"/>
  <c r="U901" i="1"/>
  <c r="S901" i="1"/>
  <c r="Z1369" i="1"/>
  <c r="Y1369" i="1"/>
  <c r="V1369" i="1"/>
  <c r="U1369" i="1"/>
  <c r="S1369" i="1"/>
  <c r="R1369" i="1"/>
  <c r="M1369" i="1"/>
  <c r="Z1877" i="1"/>
  <c r="Y1877" i="1"/>
  <c r="V1877" i="1"/>
  <c r="U1877" i="1"/>
  <c r="S1877" i="1"/>
  <c r="R1877" i="1"/>
  <c r="M1877" i="1"/>
  <c r="R1211" i="1"/>
  <c r="M1211" i="1"/>
  <c r="Z1211" i="1"/>
  <c r="Y1211" i="1"/>
  <c r="V1211" i="1"/>
  <c r="U1211" i="1"/>
  <c r="S1211" i="1"/>
  <c r="V1533" i="1"/>
  <c r="U1533" i="1"/>
  <c r="S1533" i="1"/>
  <c r="R1533" i="1"/>
  <c r="M1533" i="1"/>
  <c r="Z1533" i="1"/>
  <c r="Y1533" i="1"/>
  <c r="S1890" i="1"/>
  <c r="R1890" i="1"/>
  <c r="M1890" i="1"/>
  <c r="Z1890" i="1"/>
  <c r="Y1890" i="1"/>
  <c r="V1890" i="1"/>
  <c r="U1890" i="1"/>
  <c r="R1219" i="1"/>
  <c r="M1219" i="1"/>
  <c r="Z1219" i="1"/>
  <c r="Y1219" i="1"/>
  <c r="V1219" i="1"/>
  <c r="U1219" i="1"/>
  <c r="S1219" i="1"/>
  <c r="V1557" i="1"/>
  <c r="U1557" i="1"/>
  <c r="S1557" i="1"/>
  <c r="R1557" i="1"/>
  <c r="M1557" i="1"/>
  <c r="Z1557" i="1"/>
  <c r="Y1557" i="1"/>
  <c r="Y1582" i="1"/>
  <c r="V1582" i="1"/>
  <c r="U1582" i="1"/>
  <c r="S1582" i="1"/>
  <c r="R1582" i="1"/>
  <c r="M1582" i="1"/>
  <c r="Z1582" i="1"/>
  <c r="M1497" i="1"/>
  <c r="Z1497" i="1"/>
  <c r="Y1497" i="1"/>
  <c r="V1497" i="1"/>
  <c r="U1497" i="1"/>
  <c r="R1497" i="1"/>
  <c r="S1497" i="1"/>
  <c r="U1389" i="1"/>
  <c r="S1389" i="1"/>
  <c r="R1389" i="1"/>
  <c r="M1389" i="1"/>
  <c r="Z1389" i="1"/>
  <c r="Y1389" i="1"/>
  <c r="V1389" i="1"/>
  <c r="S1671" i="1"/>
  <c r="R1671" i="1"/>
  <c r="M1671" i="1"/>
  <c r="Z1671" i="1"/>
  <c r="Y1671" i="1"/>
  <c r="U1671" i="1"/>
  <c r="V1671" i="1"/>
  <c r="U1929" i="1"/>
  <c r="S1929" i="1"/>
  <c r="R1929" i="1"/>
  <c r="M1929" i="1"/>
  <c r="Z1929" i="1"/>
  <c r="Y1929" i="1"/>
  <c r="V1929" i="1"/>
  <c r="V1971" i="1"/>
  <c r="U1971" i="1"/>
  <c r="S1971" i="1"/>
  <c r="R1971" i="1"/>
  <c r="M1971" i="1"/>
  <c r="Z1971" i="1"/>
  <c r="Y1971" i="1"/>
  <c r="Y1946" i="1"/>
  <c r="V1946" i="1"/>
  <c r="U1946" i="1"/>
  <c r="S1946" i="1"/>
  <c r="R1946" i="1"/>
  <c r="Z1946" i="1"/>
  <c r="M1946" i="1"/>
  <c r="Z1353" i="1"/>
  <c r="Y1353" i="1"/>
  <c r="V1353" i="1"/>
  <c r="U1353" i="1"/>
  <c r="S1353" i="1"/>
  <c r="R1353" i="1"/>
  <c r="M1353" i="1"/>
  <c r="R39" i="1"/>
  <c r="M39" i="1"/>
  <c r="Z39" i="1"/>
  <c r="Y39" i="1"/>
  <c r="V39" i="1"/>
  <c r="U39" i="1"/>
  <c r="S39" i="1"/>
  <c r="Z102" i="1"/>
  <c r="Y102" i="1"/>
  <c r="V102" i="1"/>
  <c r="U102" i="1"/>
  <c r="S102" i="1"/>
  <c r="M102" i="1"/>
  <c r="R102" i="1"/>
  <c r="V43" i="1"/>
  <c r="U43" i="1"/>
  <c r="S43" i="1"/>
  <c r="R43" i="1"/>
  <c r="M43" i="1"/>
  <c r="Z43" i="1"/>
  <c r="Y43" i="1"/>
  <c r="V121" i="1"/>
  <c r="U121" i="1"/>
  <c r="R121" i="1"/>
  <c r="M121" i="1"/>
  <c r="Z121" i="1"/>
  <c r="Y121" i="1"/>
  <c r="S121" i="1"/>
  <c r="V1532" i="1"/>
  <c r="U1532" i="1"/>
  <c r="S1532" i="1"/>
  <c r="R1532" i="1"/>
  <c r="M1532" i="1"/>
  <c r="Z1532" i="1"/>
  <c r="Y1532" i="1"/>
  <c r="Z871" i="1"/>
  <c r="Y871" i="1"/>
  <c r="V871" i="1"/>
  <c r="U871" i="1"/>
  <c r="S871" i="1"/>
  <c r="R871" i="1"/>
  <c r="M871" i="1"/>
  <c r="Z340" i="1"/>
  <c r="Y340" i="1"/>
  <c r="V340" i="1"/>
  <c r="U340" i="1"/>
  <c r="S340" i="1"/>
  <c r="R340" i="1"/>
  <c r="M340" i="1"/>
  <c r="M1240" i="1"/>
  <c r="Z1240" i="1"/>
  <c r="Y1240" i="1"/>
  <c r="V1240" i="1"/>
  <c r="U1240" i="1"/>
  <c r="S1240" i="1"/>
  <c r="R1240" i="1"/>
  <c r="Z404" i="1"/>
  <c r="Y404" i="1"/>
  <c r="V404" i="1"/>
  <c r="U404" i="1"/>
  <c r="S404" i="1"/>
  <c r="R404" i="1"/>
  <c r="M404" i="1"/>
  <c r="Z262" i="1"/>
  <c r="Y262" i="1"/>
  <c r="V262" i="1"/>
  <c r="U262" i="1"/>
  <c r="S262" i="1"/>
  <c r="R262" i="1"/>
  <c r="M262" i="1"/>
  <c r="R1079" i="1"/>
  <c r="M1079" i="1"/>
  <c r="Z1079" i="1"/>
  <c r="Y1079" i="1"/>
  <c r="V1079" i="1"/>
  <c r="U1079" i="1"/>
  <c r="S1079" i="1"/>
  <c r="Y357" i="1"/>
  <c r="V357" i="1"/>
  <c r="U357" i="1"/>
  <c r="S357" i="1"/>
  <c r="R357" i="1"/>
  <c r="M357" i="1"/>
  <c r="Z357" i="1"/>
  <c r="V1208" i="1"/>
  <c r="U1208" i="1"/>
  <c r="S1208" i="1"/>
  <c r="R1208" i="1"/>
  <c r="M1208" i="1"/>
  <c r="Z1208" i="1"/>
  <c r="Y1208" i="1"/>
  <c r="M685" i="1"/>
  <c r="Z685" i="1"/>
  <c r="Y685" i="1"/>
  <c r="V685" i="1"/>
  <c r="U685" i="1"/>
  <c r="S685" i="1"/>
  <c r="R685" i="1"/>
  <c r="V294" i="1"/>
  <c r="U294" i="1"/>
  <c r="S294" i="1"/>
  <c r="R294" i="1"/>
  <c r="M294" i="1"/>
  <c r="Z294" i="1"/>
  <c r="Y294" i="1"/>
  <c r="V1075" i="1"/>
  <c r="U1075" i="1"/>
  <c r="S1075" i="1"/>
  <c r="R1075" i="1"/>
  <c r="M1075" i="1"/>
  <c r="Z1075" i="1"/>
  <c r="Y1075" i="1"/>
  <c r="U1889" i="1"/>
  <c r="S1889" i="1"/>
  <c r="R1889" i="1"/>
  <c r="M1889" i="1"/>
  <c r="Z1889" i="1"/>
  <c r="Y1889" i="1"/>
  <c r="V1889" i="1"/>
  <c r="Z1057" i="1"/>
  <c r="Y1057" i="1"/>
  <c r="V1057" i="1"/>
  <c r="U1057" i="1"/>
  <c r="S1057" i="1"/>
  <c r="R1057" i="1"/>
  <c r="M1057" i="1"/>
  <c r="V327" i="1"/>
  <c r="U327" i="1"/>
  <c r="S327" i="1"/>
  <c r="R327" i="1"/>
  <c r="M327" i="1"/>
  <c r="Z327" i="1"/>
  <c r="Y327" i="1"/>
  <c r="Z1514" i="1"/>
  <c r="Y1514" i="1"/>
  <c r="V1514" i="1"/>
  <c r="U1514" i="1"/>
  <c r="S1514" i="1"/>
  <c r="R1514" i="1"/>
  <c r="M1514" i="1"/>
  <c r="R797" i="1"/>
  <c r="M797" i="1"/>
  <c r="Z797" i="1"/>
  <c r="Y797" i="1"/>
  <c r="V797" i="1"/>
  <c r="U797" i="1"/>
  <c r="S797" i="1"/>
  <c r="U1830" i="1"/>
  <c r="S1830" i="1"/>
  <c r="R1830" i="1"/>
  <c r="M1830" i="1"/>
  <c r="Z1830" i="1"/>
  <c r="Y1830" i="1"/>
  <c r="V1830" i="1"/>
  <c r="V641" i="1"/>
  <c r="U641" i="1"/>
  <c r="S641" i="1"/>
  <c r="R641" i="1"/>
  <c r="M641" i="1"/>
  <c r="Z641" i="1"/>
  <c r="Y641" i="1"/>
  <c r="U565" i="1"/>
  <c r="S565" i="1"/>
  <c r="R565" i="1"/>
  <c r="M565" i="1"/>
  <c r="Z565" i="1"/>
  <c r="Y565" i="1"/>
  <c r="V565" i="1"/>
  <c r="V1028" i="1"/>
  <c r="U1028" i="1"/>
  <c r="S1028" i="1"/>
  <c r="R1028" i="1"/>
  <c r="M1028" i="1"/>
  <c r="Z1028" i="1"/>
  <c r="Y1028" i="1"/>
  <c r="Y1118" i="1"/>
  <c r="V1118" i="1"/>
  <c r="U1118" i="1"/>
  <c r="S1118" i="1"/>
  <c r="R1118" i="1"/>
  <c r="M1118" i="1"/>
  <c r="Z1118" i="1"/>
  <c r="Y466" i="1"/>
  <c r="V466" i="1"/>
  <c r="U466" i="1"/>
  <c r="S466" i="1"/>
  <c r="R466" i="1"/>
  <c r="M466" i="1"/>
  <c r="Z466" i="1"/>
  <c r="S627" i="1"/>
  <c r="R627" i="1"/>
  <c r="M627" i="1"/>
  <c r="Z627" i="1"/>
  <c r="Y627" i="1"/>
  <c r="V627" i="1"/>
  <c r="U627" i="1"/>
  <c r="V778" i="1"/>
  <c r="U778" i="1"/>
  <c r="S778" i="1"/>
  <c r="R778" i="1"/>
  <c r="M778" i="1"/>
  <c r="Z778" i="1"/>
  <c r="Y778" i="1"/>
  <c r="R708" i="1"/>
  <c r="M708" i="1"/>
  <c r="Z708" i="1"/>
  <c r="Y708" i="1"/>
  <c r="V708" i="1"/>
  <c r="U708" i="1"/>
  <c r="S708" i="1"/>
  <c r="M928" i="1"/>
  <c r="Z928" i="1"/>
  <c r="U928" i="1"/>
  <c r="S928" i="1"/>
  <c r="R928" i="1"/>
  <c r="Y928" i="1"/>
  <c r="V928" i="1"/>
  <c r="U445" i="1"/>
  <c r="S445" i="1"/>
  <c r="M445" i="1"/>
  <c r="Z445" i="1"/>
  <c r="Y445" i="1"/>
  <c r="R445" i="1"/>
  <c r="V445" i="1"/>
  <c r="M1212" i="1"/>
  <c r="Z1212" i="1"/>
  <c r="Y1212" i="1"/>
  <c r="V1212" i="1"/>
  <c r="U1212" i="1"/>
  <c r="S1212" i="1"/>
  <c r="R1212" i="1"/>
  <c r="U899" i="1"/>
  <c r="S899" i="1"/>
  <c r="R899" i="1"/>
  <c r="M899" i="1"/>
  <c r="Z899" i="1"/>
  <c r="Y899" i="1"/>
  <c r="V899" i="1"/>
  <c r="U658" i="1"/>
  <c r="S658" i="1"/>
  <c r="R658" i="1"/>
  <c r="M658" i="1"/>
  <c r="Z658" i="1"/>
  <c r="Y658" i="1"/>
  <c r="V658" i="1"/>
  <c r="S171" i="1"/>
  <c r="R171" i="1"/>
  <c r="M171" i="1"/>
  <c r="Z171" i="1"/>
  <c r="Y171" i="1"/>
  <c r="V171" i="1"/>
  <c r="U171" i="1"/>
  <c r="Z441" i="1"/>
  <c r="Y441" i="1"/>
  <c r="V441" i="1"/>
  <c r="U441" i="1"/>
  <c r="S441" i="1"/>
  <c r="R441" i="1"/>
  <c r="M441" i="1"/>
  <c r="V1004" i="1"/>
  <c r="U1004" i="1"/>
  <c r="S1004" i="1"/>
  <c r="R1004" i="1"/>
  <c r="M1004" i="1"/>
  <c r="Z1004" i="1"/>
  <c r="Y1004" i="1"/>
  <c r="Y703" i="1"/>
  <c r="V703" i="1"/>
  <c r="U703" i="1"/>
  <c r="S703" i="1"/>
  <c r="R703" i="1"/>
  <c r="M703" i="1"/>
  <c r="Z703" i="1"/>
  <c r="S1154" i="1"/>
  <c r="R1154" i="1"/>
  <c r="M1154" i="1"/>
  <c r="Z1154" i="1"/>
  <c r="Y1154" i="1"/>
  <c r="V1154" i="1"/>
  <c r="U1154" i="1"/>
  <c r="U1185" i="1"/>
  <c r="S1185" i="1"/>
  <c r="R1185" i="1"/>
  <c r="M1185" i="1"/>
  <c r="Z1185" i="1"/>
  <c r="Y1185" i="1"/>
  <c r="V1185" i="1"/>
  <c r="Y1523" i="1"/>
  <c r="V1523" i="1"/>
  <c r="U1523" i="1"/>
  <c r="S1523" i="1"/>
  <c r="R1523" i="1"/>
  <c r="M1523" i="1"/>
  <c r="Z1523" i="1"/>
  <c r="V850" i="1"/>
  <c r="U850" i="1"/>
  <c r="S850" i="1"/>
  <c r="R850" i="1"/>
  <c r="M850" i="1"/>
  <c r="Z850" i="1"/>
  <c r="Y850" i="1"/>
  <c r="U1245" i="1"/>
  <c r="S1245" i="1"/>
  <c r="R1245" i="1"/>
  <c r="Z1245" i="1"/>
  <c r="Y1245" i="1"/>
  <c r="V1245" i="1"/>
  <c r="M1245" i="1"/>
  <c r="Y1835" i="1"/>
  <c r="V1835" i="1"/>
  <c r="U1835" i="1"/>
  <c r="S1835" i="1"/>
  <c r="R1835" i="1"/>
  <c r="M1835" i="1"/>
  <c r="Z1835" i="1"/>
  <c r="Z1273" i="1"/>
  <c r="Y1273" i="1"/>
  <c r="V1273" i="1"/>
  <c r="U1273" i="1"/>
  <c r="S1273" i="1"/>
  <c r="R1273" i="1"/>
  <c r="M1273" i="1"/>
  <c r="R1595" i="1"/>
  <c r="M1595" i="1"/>
  <c r="Z1595" i="1"/>
  <c r="Y1595" i="1"/>
  <c r="V1595" i="1"/>
  <c r="U1595" i="1"/>
  <c r="S1595" i="1"/>
  <c r="V1935" i="1"/>
  <c r="U1935" i="1"/>
  <c r="S1935" i="1"/>
  <c r="R1935" i="1"/>
  <c r="M1935" i="1"/>
  <c r="Z1935" i="1"/>
  <c r="Y1935" i="1"/>
  <c r="V1403" i="1"/>
  <c r="U1403" i="1"/>
  <c r="S1403" i="1"/>
  <c r="R1403" i="1"/>
  <c r="M1403" i="1"/>
  <c r="Z1403" i="1"/>
  <c r="Y1403" i="1"/>
  <c r="V1443" i="1"/>
  <c r="U1443" i="1"/>
  <c r="S1443" i="1"/>
  <c r="R1443" i="1"/>
  <c r="M1443" i="1"/>
  <c r="Z1443" i="1"/>
  <c r="Y1443" i="1"/>
  <c r="Y1250" i="1"/>
  <c r="V1250" i="1"/>
  <c r="U1250" i="1"/>
  <c r="S1250" i="1"/>
  <c r="R1250" i="1"/>
  <c r="Z1250" i="1"/>
  <c r="M1250" i="1"/>
  <c r="M1505" i="1"/>
  <c r="Z1505" i="1"/>
  <c r="Y1505" i="1"/>
  <c r="V1505" i="1"/>
  <c r="U1505" i="1"/>
  <c r="R1505" i="1"/>
  <c r="S1505" i="1"/>
  <c r="Y1886" i="1"/>
  <c r="V1886" i="1"/>
  <c r="U1886" i="1"/>
  <c r="S1886" i="1"/>
  <c r="R1886" i="1"/>
  <c r="M1886" i="1"/>
  <c r="Z1886" i="1"/>
  <c r="U1638" i="1"/>
  <c r="Z1638" i="1"/>
  <c r="Y1638" i="1"/>
  <c r="V1638" i="1"/>
  <c r="S1638" i="1"/>
  <c r="R1638" i="1"/>
  <c r="M1638" i="1"/>
  <c r="U1609" i="1"/>
  <c r="S1609" i="1"/>
  <c r="R1609" i="1"/>
  <c r="M1609" i="1"/>
  <c r="Z1609" i="1"/>
  <c r="Y1609" i="1"/>
  <c r="V1609" i="1"/>
  <c r="V1200" i="1"/>
  <c r="U1200" i="1"/>
  <c r="S1200" i="1"/>
  <c r="R1200" i="1"/>
  <c r="M1200" i="1"/>
  <c r="Z1200" i="1"/>
  <c r="Y1200" i="1"/>
  <c r="U1437" i="1"/>
  <c r="S1437" i="1"/>
  <c r="R1437" i="1"/>
  <c r="M1437" i="1"/>
  <c r="Z1437" i="1"/>
  <c r="Y1437" i="1"/>
  <c r="V1437" i="1"/>
  <c r="M1968" i="1"/>
  <c r="Z1968" i="1"/>
  <c r="Y1968" i="1"/>
  <c r="V1968" i="1"/>
  <c r="U1968" i="1"/>
  <c r="S1968" i="1"/>
  <c r="R1968" i="1"/>
</calcChain>
</file>

<file path=xl/sharedStrings.xml><?xml version="1.0" encoding="utf-8"?>
<sst xmlns="http://schemas.openxmlformats.org/spreadsheetml/2006/main" count="26638" uniqueCount="4813">
  <si>
    <t>Handle</t>
  </si>
  <si>
    <t>Title</t>
  </si>
  <si>
    <t>Body (HTML)</t>
  </si>
  <si>
    <t>Vendor</t>
  </si>
  <si>
    <t>Type</t>
  </si>
  <si>
    <t>Tags</t>
  </si>
  <si>
    <t>Published</t>
  </si>
  <si>
    <t>Option1 Name</t>
  </si>
  <si>
    <t>Option1 Value</t>
  </si>
  <si>
    <t>Option2 Name</t>
  </si>
  <si>
    <t>Option2 Value</t>
  </si>
  <si>
    <t>Option3 Name</t>
  </si>
  <si>
    <t>Option3 Value</t>
  </si>
  <si>
    <t>Variant SKU</t>
  </si>
  <si>
    <t>Variant Grams</t>
  </si>
  <si>
    <t>Variant Inventory Tracker</t>
  </si>
  <si>
    <t>Variant Inventory Policy</t>
  </si>
  <si>
    <t>Variant Fulfillment Service</t>
  </si>
  <si>
    <t>Variant Price</t>
  </si>
  <si>
    <t>Variant Compare At Price</t>
  </si>
  <si>
    <t>Variant Requires Shipping</t>
  </si>
  <si>
    <t>Variant Taxable</t>
  </si>
  <si>
    <t>Variant Barcode</t>
  </si>
  <si>
    <t>Image Src</t>
  </si>
  <si>
    <t>Image Position</t>
  </si>
  <si>
    <t>Image Alt Text</t>
  </si>
  <si>
    <t>Gift Card</t>
  </si>
  <si>
    <t>SEO Title</t>
  </si>
  <si>
    <t>SEO Description</t>
  </si>
  <si>
    <t>Google Shopping / Google Product Category</t>
  </si>
  <si>
    <t>Google Shopping / Gender</t>
  </si>
  <si>
    <t>Google Shopping / Age Group</t>
  </si>
  <si>
    <t>Google Shopping / MPN</t>
  </si>
  <si>
    <t>Google Shopping / AdWords Grouping</t>
  </si>
  <si>
    <t>Google Shopping / AdWords Labels</t>
  </si>
  <si>
    <t>Google Shopping / Condition</t>
  </si>
  <si>
    <t>Google Shopping / Custom Product</t>
  </si>
  <si>
    <t>Google Shopping / Custom Label 0</t>
  </si>
  <si>
    <t>Google Shopping / Custom Label 1</t>
  </si>
  <si>
    <t>Google Shopping / Custom Label 2</t>
  </si>
  <si>
    <t>Google Shopping / Custom Label 3</t>
  </si>
  <si>
    <t>Google Shopping / Custom Label 4</t>
  </si>
  <si>
    <t>Variant Image</t>
  </si>
  <si>
    <t>Variant Weight Unit</t>
  </si>
  <si>
    <t>Variant Tax Code</t>
  </si>
  <si>
    <t>Cost per item</t>
  </si>
  <si>
    <t>ZD959SKR</t>
  </si>
  <si>
    <t>STEEL-TITANIUM</t>
  </si>
  <si>
    <t>web-scraper-order</t>
  </si>
  <si>
    <t>web-scraper-start-url</t>
  </si>
  <si>
    <t>image-src</t>
  </si>
  <si>
    <t>title</t>
  </si>
  <si>
    <t>sku</t>
  </si>
  <si>
    <t>description</t>
  </si>
  <si>
    <t>3&gt;1 FULL KIT</t>
  </si>
  <si>
    <t>https://shop.officineitalianezard.it/en/mv-agusta-zard-exhaust/</t>
  </si>
  <si>
    <t>F4 M.Y. 2010-2013</t>
  </si>
  <si>
    <t>https://shop.officineitalianezard.it/en/mv-augusta-f4-m-y-2010-2013-exhaust/</t>
  </si>
  <si>
    <t>PENTA EVO VERSION</t>
  </si>
  <si>
    <t>https://shop.officineitalianezard.it/en/products/index/penta-evo-silencers-7394-91/</t>
  </si>
  <si>
    <t>SILENCERS</t>
  </si>
  <si>
    <t>ZMW063SSR</t>
  </si>
  <si>
    <t>https://shop.officineitalianezard.it/contents/imgs/products/1_626-2_609-Immagine%20017.jpg</t>
  </si>
  <si>
    <t>https://shop.officineitalianezard.it/en/products/index/mv-agusta-f4-exhaust-zard-7381-91/</t>
  </si>
  <si>
    <t>4&gt;2&gt;1&gt;2 FULL KIT</t>
  </si>
  <si>
    <t>ZMW 063 SKR</t>
  </si>
  <si>
    <t>https://shop.officineitalianezard.it/contents/imgs/products/1_609-Immagine%20017.jpg</t>
  </si>
  <si>
    <t>https://shop.officineitalianezard.it/contents/imgs/products/1_608-Immagine%20004.jpg</t>
  </si>
  <si>
    <t>https://shop.officineitalianezard.it/contents/imgs/products/1_611-Immagine%20009.jpg</t>
  </si>
  <si>
    <t>F4 1000 S-F4 TAMBURINI</t>
  </si>
  <si>
    <t>https://shop.officineitalianezard.it/en/mv-augusta-f4-1000-s-f4-tamburini-exhaust/</t>
  </si>
  <si>
    <t>PENTA VERSION</t>
  </si>
  <si>
    <t>https://shop.officineitalianezard.it/en/products/index/mv-agusta-f4-exhaust-zard-7378-90/</t>
  </si>
  <si>
    <t>ZMW 060 AKR-S</t>
  </si>
  <si>
    <t>https://shop.officineitalianezard.it/contents/imgs/products/1_595-f4%20zard%20mv1.jpg</t>
  </si>
  <si>
    <t>https://shop.officineitalianezard.it/contents/imgs/products/1_594-f4%20zard%20mv1.jpg</t>
  </si>
  <si>
    <t>F3</t>
  </si>
  <si>
    <t>https://shop.officineitalianezard.it/en/mv-augusta-f3-exhausts/</t>
  </si>
  <si>
    <t>https://shop.officineitalianezard.it/en/mv-agusta-f3-exhaust-zard/</t>
  </si>
  <si>
    <t>ZMW067TKR</t>
  </si>
  <si>
    <t>https://shop.officineitalianezard.it/contents/imgs/products/1_2435-1.jpg</t>
  </si>
  <si>
    <t>https://shop.officineitalianezard.it/contents/imgs/products/1_2438-2.jpg</t>
  </si>
  <si>
    <t>https://shop.officineitalianezard.it/contents/imgs/products/1_2436-4.jpg</t>
  </si>
  <si>
    <t>https://shop.officineitalianezard.it/contents/imgs/products/1_2437-3.jpg</t>
  </si>
  <si>
    <t>https://shop.officineitalianezard.it/contents/imgs/products/1_2279-f3%20zard%20exhaust%20roccoli.jpg</t>
  </si>
  <si>
    <t>https://shop.officineitalianezard.it/contents/imgs/products/1_2275-Massimo-Roccoli-CIV-2016-Imola-2-1024x683.jpg</t>
  </si>
  <si>
    <t>https://shop.officineitalianezard.it/contents/imgs/products/1_2278-075_SS_Roccoli_action.jpg</t>
  </si>
  <si>
    <t>https://shop.officineitalianezard.it/contents/imgs/products/1_2276-13575899_1107101219336123_8325187907978780995_o.jpg</t>
  </si>
  <si>
    <t>https://shop.officineitalianezard.it/contents/imgs/products/1_2273-13575752_1104217116291200_5405344022972605221_o.jpg</t>
  </si>
  <si>
    <t>https://shop.officineitalianezard.it/contents/imgs/products/1_2274-13522704_1104217092957869_7507228771748261544_o.jpg</t>
  </si>
  <si>
    <t>https://shop.officineitalianezard.it/contents/imgs/products/1_1293-2_1267-collettori%20f3%20zard%20ridotta.jpg</t>
  </si>
  <si>
    <t>INOX VERSION</t>
  </si>
  <si>
    <t>https://shop.officineitalianezard.it/en/mv-agusta-f3-exhaust-zard-3/</t>
  </si>
  <si>
    <t>HEADERS KIT</t>
  </si>
  <si>
    <t>ZMW 066 SCR</t>
  </si>
  <si>
    <t>https://shop.officineitalianezard.it/contents/imgs/products/1_593-scarichi%20moto%20mv%20zard%202.jpg</t>
  </si>
  <si>
    <t>https://shop.officineitalianezard.it/contents/imgs/products/1_1267-collettori%20f3%20zard%20ridotta.jpg</t>
  </si>
  <si>
    <t>https://shop.officineitalianezard.it/en/mv-agusta-f3-exhaust-zard-2/</t>
  </si>
  <si>
    <t>ZMW 066 SKR</t>
  </si>
  <si>
    <t>https://shop.officineitalianezard.it/contents/imgs/products/1_590-scarichi%20moto%20mv%20zard%201.jpg</t>
  </si>
  <si>
    <t>https://shop.officineitalianezard.it/contents/imgs/products/1_591-scarichi%20moto%20mv%20zard%202.jpg</t>
  </si>
  <si>
    <t>https://shop.officineitalianezard.it/contents/imgs/products/1_964-collettori.jpg</t>
  </si>
  <si>
    <t>Duplicated</t>
  </si>
  <si>
    <t>option-name</t>
  </si>
  <si>
    <t>option-price</t>
  </si>
  <si>
    <t>SILENCERS BLACK VERSION</t>
  </si>
  <si>
    <t>STEEL-CARBON RACING</t>
  </si>
  <si>
    <t>FULL TITANIO</t>
  </si>
  <si>
    <t>TITANIUM-ALUMINIUM RACING</t>
  </si>
  <si>
    <t>CARBON ENDCAP</t>
  </si>
  <si>
    <t>Variant Count</t>
  </si>
  <si>
    <t>Row Labels</t>
  </si>
  <si>
    <t>(blank)</t>
  </si>
  <si>
    <t>Grand Total</t>
  </si>
  <si>
    <t>Count of option-name</t>
  </si>
  <si>
    <t>Product-Link</t>
  </si>
  <si>
    <t>Is Variant?</t>
  </si>
  <si>
    <t>brand</t>
  </si>
  <si>
    <t>bike</t>
  </si>
  <si>
    <t>https://shop.officineitalianezard.it/en/products/</t>
  </si>
  <si>
    <t>https://shop.officineitalianezard.it/en/moto-guzzi-zard-exhaust/</t>
  </si>
  <si>
    <t>V85 TT M.Y. 2019</t>
  </si>
  <si>
    <t>https://shop.officineitalianezard.it/en/moto-guzzi-v85-tt-exhaust-2/</t>
  </si>
  <si>
    <t>SLIP-ON VERSION</t>
  </si>
  <si>
    <t>https://shop.officineitalianezard.it/en/moto-guzzi-v85-tt-zard-exhaust/</t>
  </si>
  <si>
    <t>SILENCER</t>
  </si>
  <si>
    <t>ZG085SSR</t>
  </si>
  <si>
    <t>https://shop.officineitalianezard.it/contents/imgs/products/1_2553-scarico%20moto%20guzzi%20v85%20tt%20zard%203.jpg</t>
  </si>
  <si>
    <t>https://shop.officineitalianezard.it/en/triumph-zard-exhaust/</t>
  </si>
  <si>
    <t>SCRAMBLER &lt; M.Y. 2016</t>
  </si>
  <si>
    <t>https://shop.officineitalianezard.it/en/triumph-scrambler-exhaust/</t>
  </si>
  <si>
    <t>CARBURETTOR</t>
  </si>
  <si>
    <t>https://shop.officineitalianezard.it/en/full-low-conical-kit/</t>
  </si>
  <si>
    <t>2&gt;1 LOW MOUNTED FULL KIT</t>
  </si>
  <si>
    <t>ZTPH 036 SKB</t>
  </si>
  <si>
    <t>https://shop.officineitalianezard.it/contents/imgs/products/1_118-0.jpg</t>
  </si>
  <si>
    <t>https://shop.officineitalianezard.it/en/ducati-zard-exhaust/</t>
  </si>
  <si>
    <t>DIAVEL 2011-2018</t>
  </si>
  <si>
    <t>https://shop.officineitalianezard.it/en/ducati-diavel-2011-2018-exhaust/</t>
  </si>
  <si>
    <t>LIMITED EDITION</t>
  </si>
  <si>
    <t>https://shop.officineitalianezard.it/en/ducati-diavel-exhaust-zard/</t>
  </si>
  <si>
    <t>ZD117LIMSSR</t>
  </si>
  <si>
    <t>EURO 3 HOMOLOGATED</t>
  </si>
  <si>
    <t>BONNEVILLE T100 M.Y. 2017</t>
  </si>
  <si>
    <t>https://shop.officineitalianezard.it/en/triumph-bonneville-t-100-m-y-2017/</t>
  </si>
  <si>
    <t>KEEPING OEM CATALYZER</t>
  </si>
  <si>
    <t>https://shop.officineitalianezard.it/en/bonneville-t100-exhaust-zard/</t>
  </si>
  <si>
    <t>2&gt;2 KIT</t>
  </si>
  <si>
    <t>ZTPH071SSR</t>
  </si>
  <si>
    <t>https://shop.officineitalianezard.it/contents/imgs/products/1_1862-1.jpg</t>
  </si>
  <si>
    <t>BONNEVILLE T120 2016/19</t>
  </si>
  <si>
    <t>https://shop.officineitalianezard.it/en/triumph-bonneville-t-120-exhaust/</t>
  </si>
  <si>
    <t>RACING VERSION</t>
  </si>
  <si>
    <t>https://shop.officineitalianezard.it/en/bonneville-t120-exhaust-zard-2/</t>
  </si>
  <si>
    <t>2&gt;2 FULL KIT</t>
  </si>
  <si>
    <t>ZTPH065SKR</t>
  </si>
  <si>
    <t>MIRROR POLISHED</t>
  </si>
  <si>
    <t>https://shop.officineitalianezard.it/en/honda-zard-exhaust/</t>
  </si>
  <si>
    <t>AFRICA TWIN 750 1993/00</t>
  </si>
  <si>
    <t>https://shop.officineitalianezard.it/en/honda-africa-twin-exhaust/</t>
  </si>
  <si>
    <t>PENTA-R VERSION</t>
  </si>
  <si>
    <t>https://shop.officineitalianezard.it/en/honda-africa-twin-exhaust-zard/</t>
  </si>
  <si>
    <t>ZHND365SSR</t>
  </si>
  <si>
    <t>https://shop.officineitalianezard.it/contents/imgs/products/1_1162-2.jpg</t>
  </si>
  <si>
    <t>https://shop.officineitalianezard.it/en/aprilia-zard-exhaust/</t>
  </si>
  <si>
    <t>SHIVER</t>
  </si>
  <si>
    <t>https://shop.officineitalianezard.it/en/aprilia-shiver-exhaust/</t>
  </si>
  <si>
    <t>STEEL VERSION</t>
  </si>
  <si>
    <t>https://shop.officineitalianezard.it/en/products/index/aprilia-shiver-zard-silencers-7437-100/</t>
  </si>
  <si>
    <t>HEADER KIT</t>
  </si>
  <si>
    <t>ZA132SCR</t>
  </si>
  <si>
    <t>https://shop.officineitalianezard.it/contents/imgs/products/1_717-Immagine%20005.jpg</t>
  </si>
  <si>
    <t>959 PANIGALE</t>
  </si>
  <si>
    <t>https://shop.officineitalianezard.it/en/ducati-959-panigale-exhaust/</t>
  </si>
  <si>
    <t>2&gt;1&gt;2 VERSION</t>
  </si>
  <si>
    <t>https://shop.officineitalianezard.it/en/ducati-959-panigale-exhaust-zard-3/</t>
  </si>
  <si>
    <t>FULL KIT</t>
  </si>
  <si>
    <t>https://shop.officineitalianezard.it/contents/imgs/products/1_1761-1.jpg</t>
  </si>
  <si>
    <t>https://shop.officineitalianezard.it/en/yamaha-zard-exhaust/</t>
  </si>
  <si>
    <t>T-MAX 530</t>
  </si>
  <si>
    <t>https://shop.officineitalianezard.it/en/yamaha-t-max-530/</t>
  </si>
  <si>
    <t>CONICAL VERSION</t>
  </si>
  <si>
    <t>https://shop.officineitalianezard.it/en/full-kit-zard-t-max-4/</t>
  </si>
  <si>
    <t>ZY 094 SKR</t>
  </si>
  <si>
    <t>BLACK COATING</t>
  </si>
  <si>
    <t>https://shop.officineitalianezard.it/en/kawasaki-zard-exhaust/</t>
  </si>
  <si>
    <t>W 800 2010/17</t>
  </si>
  <si>
    <t>https://shop.officineitalianezard.it/en/kawasaki-w-800-exhaust/</t>
  </si>
  <si>
    <t>CROSS VERSION</t>
  </si>
  <si>
    <t>https://shop.officineitalianezard.it/en/products/index/kawasaki-w800-exhaust-zard-7506-137/</t>
  </si>
  <si>
    <t>2&gt;1 FULL KIT</t>
  </si>
  <si>
    <t>ZKAW172SKR</t>
  </si>
  <si>
    <t>https://shop.officineitalianezard.it/contents/imgs/products/1_301-diaveledlimit2.jpg</t>
  </si>
  <si>
    <t>INJECTION</t>
  </si>
  <si>
    <t>https://shop.officineitalianezard.it/en/hight-mounted-full-kit-2-1/</t>
  </si>
  <si>
    <t>HIGHT MOUNTED FULL KIT 2&gt;1</t>
  </si>
  <si>
    <t>ZTPH034SKA</t>
  </si>
  <si>
    <t>CB 1000 R 2018-2019</t>
  </si>
  <si>
    <t>https://shop.officineitalianezard.it/en/honda-cb-1000-r-2018-2019-exhaust/</t>
  </si>
  <si>
    <t>https://shop.officineitalianezard.it/en/products/index/honda-cb-1000-r-exhaust-7920-252/</t>
  </si>
  <si>
    <t>ZHND368STR-FC</t>
  </si>
  <si>
    <t>https://shop.officineitalianezard.it/contents/imgs/products/1_2465-scarico%20honda%20cb%201000%20r%20-%20zard%202.jpg</t>
  </si>
  <si>
    <t>https://shop.officineitalianezard.it/en/suzuki-zard-exhaust/</t>
  </si>
  <si>
    <t>SUZUKI GSR 750</t>
  </si>
  <si>
    <t>https://shop.officineitalianezard.it/en/suzuki-gsr-750-exhaust/</t>
  </si>
  <si>
    <t>https://shop.officineitalianezard.it/en/zard-penta-silencers-suzuki-gsr-750/</t>
  </si>
  <si>
    <t>ZS523ASR</t>
  </si>
  <si>
    <t>https://shop.officineitalianezard.it/contents/imgs/products/1_628-2_585-scarichi%20moto%20zard.jpg</t>
  </si>
  <si>
    <t>BOTTLE DESIGN</t>
  </si>
  <si>
    <t>https://shop.officineitalianezard.it/en/bonneville-t120-exhaust/</t>
  </si>
  <si>
    <t>N. 2 STEEL SILENCERS</t>
  </si>
  <si>
    <t>ZTPH061SSR</t>
  </si>
  <si>
    <t>https://shop.officineitalianezard.it/contents/imgs/products/1_1384-triumph%20bonneville%20t120%20exhaust%20-%20zard%20-%20scarichi%20triumph%20bonneville%20t120%20-%202.jpg</t>
  </si>
  <si>
    <t>https://shop.officineitalianezard.it/en/ducati-diavel-exhaust-zard-2/</t>
  </si>
  <si>
    <t>ZD117SSR</t>
  </si>
  <si>
    <t>https://shop.officineitalianezard.it/contents/imgs/products/1_1892-diavelzard.jpg</t>
  </si>
  <si>
    <t>V7 STONE</t>
  </si>
  <si>
    <t>https://shop.officineitalianezard.it/en/moto-guzzi-v7-stone-exhaust/</t>
  </si>
  <si>
    <t>https://shop.officineitalianezard.it/en/products/index/moto-guzzi-v7-stone-exhaust-zard-7385-94/</t>
  </si>
  <si>
    <t>M.Y. 08-11 SILENCERS</t>
  </si>
  <si>
    <t>ZG076SSR</t>
  </si>
  <si>
    <t>https://shop.officineitalianezard.it/contents/imgs/products/1_2402-terminali%20silenziatori%20scarico%20moto%20guzzi%20v7II%20-%20zard%204.jpg</t>
  </si>
  <si>
    <t>WR 250 F 2016</t>
  </si>
  <si>
    <t>https://shop.officineitalianezard.it/en/yamaha-wr-250-f-2016-exhaust/</t>
  </si>
  <si>
    <t>https://shop.officineitalianezard.it/en/products/index/zard-exhaust-yamaha-wr250f2016-7631-176/</t>
  </si>
  <si>
    <t>ZCY001SSR</t>
  </si>
  <si>
    <t>https://shop.officineitalianezard.it/contents/imgs/products/1_1263-3.jpg</t>
  </si>
  <si>
    <t>MONSTER S2R 800 MY 06/08</t>
  </si>
  <si>
    <t>https://shop.officineitalianezard.it/en/ducati-monster-s2r-800-m-y-06-08-exhaust/</t>
  </si>
  <si>
    <t>OVERLAPPED VERSION</t>
  </si>
  <si>
    <t>https://shop.officineitalianezard.it/en/products/index/n-2-over-and-under-carbonium-mufflers-7115-63/</t>
  </si>
  <si>
    <t>ZD024HSR-1</t>
  </si>
  <si>
    <t>FULL TITANIUM RACING</t>
  </si>
  <si>
    <t>https://shop.officineitalianezard.it/en/bonneville-t110-exhaust-zard/</t>
  </si>
  <si>
    <t>ZTPH072SKR</t>
  </si>
  <si>
    <t>https://shop.officineitalianezard.it/contents/imgs/products/1_1873-1740-scarico%20bonneville%20t120%20scarico%20triumph%20street%20twin.jpg</t>
  </si>
  <si>
    <t>MONSTER 797 2017/19</t>
  </si>
  <si>
    <t>https://shop.officineitalianezard.it/en/ducati-monster-797-exhaust/</t>
  </si>
  <si>
    <t>https://shop.officineitalianezard.it/en/ducati-monster-797-exhaust-zard-2/</t>
  </si>
  <si>
    <t>ZD789SKR</t>
  </si>
  <si>
    <t>https://shop.officineitalianezard.it/contents/imgs/products/1_1960-3.jpg</t>
  </si>
  <si>
    <t>Z 750 2004/11</t>
  </si>
  <si>
    <t>https://shop.officineitalianezard.it/en/kawasaki-z-750-exhaust/</t>
  </si>
  <si>
    <t>M.Y. 03-06</t>
  </si>
  <si>
    <t>https://shop.officineitalianezard.it/en/products/index/kawasaki-z750-exhaust-zard-7505-136/</t>
  </si>
  <si>
    <t>CONICAL SILENCER</t>
  </si>
  <si>
    <t>ZKAW170SSR-03</t>
  </si>
  <si>
    <t>https://shop.officineitalianezard.it/contents/imgs/products/1_863-numero%2036%20copy.jpg</t>
  </si>
  <si>
    <t>MT-09 2013/16</t>
  </si>
  <si>
    <t>https://shop.officineitalianezard.it/en/yamaha-mt-09-exhaust/</t>
  </si>
  <si>
    <t>SHORT VERSION</t>
  </si>
  <si>
    <t>https://shop.officineitalianezard.it/en/2-1-zard-full-kit-for-yamaha-mt-09/</t>
  </si>
  <si>
    <t>ZY096SKR</t>
  </si>
  <si>
    <t>https://shop.officineitalianezard.it/en/royal-enfield-zard-exhaust/</t>
  </si>
  <si>
    <t>BULLET TRIALS 500 M.Y. 2019</t>
  </si>
  <si>
    <t>https://shop.officineitalianezard.it/en/royal-enfield-bullet-trials-500-zard-exhaust/</t>
  </si>
  <si>
    <t>https://shop.officineitalianezard.it/en/royal-enfield-bullet-trials-500-exhaust/</t>
  </si>
  <si>
    <t>SLIP-ON</t>
  </si>
  <si>
    <t>ZRE540SSR</t>
  </si>
  <si>
    <t>https://shop.officineitalianezard.it/contents/imgs/products/1_2628-scarico%20royal%20enfield%20bullet%20trials%20500%20-%20zard%203.jpg</t>
  </si>
  <si>
    <t>ROCKET III</t>
  </si>
  <si>
    <t>https://shop.officineitalianezard.it/en/triumph-rocket-iii-exhaust/</t>
  </si>
  <si>
    <t>SPORT VERSION SNAKE WELDED</t>
  </si>
  <si>
    <t>https://shop.officineitalianezard.it/en/conical-full-sport-kit-3-1-snake-welded/</t>
  </si>
  <si>
    <t>06-18 FULL KIT</t>
  </si>
  <si>
    <t>ZTPH501SKS</t>
  </si>
  <si>
    <t>https://shop.officineitalianezard.it/contents/imgs/products/1_72-rocket-kit-laterale-00444.jpg</t>
  </si>
  <si>
    <t>https://shop.officineitalianezard.it/contents/imgs/products/1_1886-2.jpg</t>
  </si>
  <si>
    <t>https://shop.officineitalianezard.it/en/triumph-t100-exhaust-zard/</t>
  </si>
  <si>
    <t>ZTPH070SSR</t>
  </si>
  <si>
    <t>https://shop.officineitalianezard.it/contents/imgs/products/1_1847-triumph%20t%20100%20exhaust%20zard%201.jpg</t>
  </si>
  <si>
    <t>https://shop.officineitalianezard.it/en/bmw-zard-exaust/</t>
  </si>
  <si>
    <t>R NINE-T 1200</t>
  </si>
  <si>
    <t>https://shop.officineitalianezard.it/en/bmw-r-nine-t-1200-exhaust/</t>
  </si>
  <si>
    <t>https://shop.officineitalianezard.it/en/bmw-ninet-1200-exhaust-zard/</t>
  </si>
  <si>
    <t>BAD CHILD</t>
  </si>
  <si>
    <t>ZBMW527SSR</t>
  </si>
  <si>
    <t>https://shop.officineitalianezard.it/contents/imgs/products/1_1210-silenziatore%20zard%20bmw%20nine%20bad%20child%20-%20low%20res.jpg</t>
  </si>
  <si>
    <t>Bonneville</t>
  </si>
  <si>
    <t>https://shop.officineitalianezard.it/en/triumph-bonneville-exhaust/</t>
  </si>
  <si>
    <t>https://shop.officineitalianezard.it/en/low-mounted-full-kit-injection/</t>
  </si>
  <si>
    <t>LOW MOUNTED FULL KIT  INJECTION</t>
  </si>
  <si>
    <t>ZTPH036SKB-08</t>
  </si>
  <si>
    <t>https://shop.officineitalianezard.it/contents/imgs/products/1_18-2.jpg</t>
  </si>
  <si>
    <t>https://shop.officineitalianezard.it/en/ktm-zard-exhaust/</t>
  </si>
  <si>
    <t>KTM 690 SM 2006/08</t>
  </si>
  <si>
    <t>https://shop.officineitalianezard.it/en/ktm-690-sm-exhaust/</t>
  </si>
  <si>
    <t>https://shop.officineitalianezard.it/en/products/index/ktm-690sm-exhaust-zard-7310-71/</t>
  </si>
  <si>
    <t>ZKTM220SKR</t>
  </si>
  <si>
    <t>https://shop.officineitalianezard.it/en/full-kit-cross-version/</t>
  </si>
  <si>
    <t>FULL KIT CROSS VERSION</t>
  </si>
  <si>
    <t>ZTPH034SKC-08</t>
  </si>
  <si>
    <t>https://shop.officineitalianezard.it/contents/imgs/products/1_1144-11259175_10153917986126632_709285374156847894_n.jpg</t>
  </si>
  <si>
    <t>K 100</t>
  </si>
  <si>
    <t>https://shop.officineitalianezard.it/en/bmw-k-100-exhaust/</t>
  </si>
  <si>
    <t>https://shop.officineitalianezard.it/en/products/index/bmw-k100-exhaust-zard-7827-219/</t>
  </si>
  <si>
    <t>SILENCER KIT</t>
  </si>
  <si>
    <t>ZBMW531SKR</t>
  </si>
  <si>
    <t>BLACK CERAMIC COATING ON ORIGINAL HEADERS</t>
  </si>
  <si>
    <t>https://shop.officineitalianezard.it/en/bonneville-t120-exhaust-zard/</t>
  </si>
  <si>
    <t>ZTPH064SSR</t>
  </si>
  <si>
    <t>https://shop.officineitalianezard.it/contents/imgs/products/1_1784-1777-1769-1564-T120%20CONVERSION%20KIT.jpg</t>
  </si>
  <si>
    <t>V7 CAFÈ RACER-CAFÈ CLASSIC</t>
  </si>
  <si>
    <t>https://shop.officineitalianezard.it/en/moto-guzzi-v7-cafe-racer-cafe-classic-exhuast/</t>
  </si>
  <si>
    <t>https://shop.officineitalianezard.it/en/headers-kit-moto-guzzi-v7-zard/</t>
  </si>
  <si>
    <t>M.Y. 09-10 HEADERS KIT</t>
  </si>
  <si>
    <t>ZG075SCR</t>
  </si>
  <si>
    <t>BOBBER 2017/19</t>
  </si>
  <si>
    <t>https://shop.officineitalianezard.it/en/triumph-bobber-exhaust/</t>
  </si>
  <si>
    <t>https://shop.officineitalianezard.it/en/triumph-bobber-exhaust-zard/</t>
  </si>
  <si>
    <t>N. 2 SILENCERS</t>
  </si>
  <si>
    <t>ZTPH069SSR</t>
  </si>
  <si>
    <t>https://shop.officineitalianezard.it/contents/imgs/products/1_1830-1%20scarico%20triumph%20bobber%20-%20zard.jpg</t>
  </si>
  <si>
    <t>V9 BOBBER - ROAMER 2016/19</t>
  </si>
  <si>
    <t>https://shop.officineitalianezard.it/en/moto-guzzi-v9-bobber-roamer-exhaust/</t>
  </si>
  <si>
    <t>BIG VERSION</t>
  </si>
  <si>
    <t>https://shop.officineitalianezard.it/en/moto-guzzi-v9-bobber-roamer-exhaust-zard/</t>
  </si>
  <si>
    <t>ZG080SSR</t>
  </si>
  <si>
    <t>GOLD/BRONZED LOGO PLATE AND END-CAP</t>
  </si>
  <si>
    <t>https://shop.officineitalianezard.it/en/bmw-ninet-1200-exhaust-zard-2/</t>
  </si>
  <si>
    <t>ZBMW527SKR</t>
  </si>
  <si>
    <t>https://shop.officineitalianezard.it/contents/imgs/products/1_2179-1401-nine%20t%20zard%20omnia%20racing.jpg</t>
  </si>
  <si>
    <t>XSR 900 2016/19</t>
  </si>
  <si>
    <t>https://shop.officineitalianezard.it/en/yamaha-xsr-900-exhaust/</t>
  </si>
  <si>
    <t>https://shop.officineitalianezard.it/en/yamaha-xsr-900-exhaust-zard/</t>
  </si>
  <si>
    <t>ZY102SKR</t>
  </si>
  <si>
    <t>V7 III M.Y. 2017</t>
  </si>
  <si>
    <t>https://shop.officineitalianezard.it/en/moto-guzzi-v7-iii-m-y-2017-exhaust/</t>
  </si>
  <si>
    <t>ZUMA VERSION</t>
  </si>
  <si>
    <t>https://shop.officineitalianezard.it/en/products/index/moto-guzzi-v7-iii-exhaust-zard-7868-229/</t>
  </si>
  <si>
    <t>ZG083SSR-P2</t>
  </si>
  <si>
    <t>EURO 4 HOMOLOGATED</t>
  </si>
  <si>
    <t>2&gt;1 VERSION</t>
  </si>
  <si>
    <t>https://shop.officineitalianezard.it/en/ducati-diavel-exhaust-zard-3/</t>
  </si>
  <si>
    <t>ZD117SCR</t>
  </si>
  <si>
    <t>https://shop.officineitalianezard.it/contents/imgs/products/1_1049-ducati%20diavel%20exhaust2.jpg</t>
  </si>
  <si>
    <t>R NINE-T &gt; M.Y. 2017</t>
  </si>
  <si>
    <t>https://shop.officineitalianezard.it/en/bmw-r-nine-t-m-y-2017-exhaust/</t>
  </si>
  <si>
    <t>GP VERSION</t>
  </si>
  <si>
    <t>https://shop.officineitalianezard.it/en/bmw-r-nine-t-racer-urban-gs-exhaust-zard-2/</t>
  </si>
  <si>
    <t>ZBMW536SSR</t>
  </si>
  <si>
    <t>https://shop.officineitalianezard.it/contents/imgs/products/1_2724-2.jpg</t>
  </si>
  <si>
    <t>https://shop.officineitalianezard.it/en/moto-guzzi-v7-exhaust-zard/</t>
  </si>
  <si>
    <t>M.Y. 09-12 SILENCERS</t>
  </si>
  <si>
    <t>ZG075SSR</t>
  </si>
  <si>
    <t>https://shop.officineitalianezard.it/contents/imgs/products/1_574-scarico%20moto%20guzzi%20zard%201.jpg</t>
  </si>
  <si>
    <t>THRUXTON</t>
  </si>
  <si>
    <t>https://shop.officineitalianezard.it/en/triumph-thruxton-exhaust/</t>
  </si>
  <si>
    <t>https://shop.officineitalianezard.it/en/low-mounted-full-kit-short-carburettor/</t>
  </si>
  <si>
    <t>2&gt;1 LOW MOUNTED FULL KIT SHORT</t>
  </si>
  <si>
    <t>ZTPH049SKB-08</t>
  </si>
  <si>
    <t>https://shop.officineitalianezard.it/contents/imgs/products/1_31-3.JPG</t>
  </si>
  <si>
    <t>KTM 1050/1190/1290 ADVENTURE 2013/16</t>
  </si>
  <si>
    <t>https://shop.officineitalianezard.it/en/ktm-1190-adventure-exhaust/</t>
  </si>
  <si>
    <t>https://shop.officineitalianezard.it/en/products/index/ktm-adventure-exhaust-zard-7315-77/</t>
  </si>
  <si>
    <t>ZKTM225SSR</t>
  </si>
  <si>
    <t>HARDY</t>
  </si>
  <si>
    <t>https://shop.officineitalianezard.it/en/bmw-r-nine-t-scrambler-exhaust-zard/</t>
  </si>
  <si>
    <t>ZBMW541SSR</t>
  </si>
  <si>
    <t>https://shop.officineitalianezard.it/contents/imgs/products/1_2674-bmw%20nine%20t%20zard%20exhaust.jpg</t>
  </si>
  <si>
    <t>SPEED TWIN M.Y. 2018-19</t>
  </si>
  <si>
    <t>https://shop.officineitalianezard.it/en/triumph-speed-twin-zard-exhausts/</t>
  </si>
  <si>
    <t>SP VERSION</t>
  </si>
  <si>
    <t>https://shop.officineitalianezard.it/en/triumph-speed-twin-exhaust-sp-2/</t>
  </si>
  <si>
    <t>N. 2 SLIP-ONS</t>
  </si>
  <si>
    <t>ZTPH093SSR</t>
  </si>
  <si>
    <t>T-MAX 00-03</t>
  </si>
  <si>
    <t>https://shop.officineitalianezard.it/en/yamaha-t-max-00-03-exhaust/</t>
  </si>
  <si>
    <t>https://shop.officineitalianezard.it/en/full-kit-zard-t-max/</t>
  </si>
  <si>
    <t>ZY 093 SKR</t>
  </si>
  <si>
    <t>STEEL HEADERS KIT + TITANIUM SIL.</t>
  </si>
  <si>
    <t>SPEED TRIPLE 1050 M.Y. 05-06</t>
  </si>
  <si>
    <t>https://shop.officineitalianezard.it/en/triumph-speed-triple-1050-m-y-05-06-exhaust/</t>
  </si>
  <si>
    <t>https://shop.officineitalianezard.it/en/3-1-conical-full-kit/</t>
  </si>
  <si>
    <t>ZTPH031SKR</t>
  </si>
  <si>
    <t>TITANIUM HOMOLOGATED-CATALYSED</t>
  </si>
  <si>
    <t>MULTISTRADA 950 2018-2019</t>
  </si>
  <si>
    <t>https://shop.officineitalianezard.it/en/ducati-multistrada-950-exhaust-zard/</t>
  </si>
  <si>
    <t>https://shop.officineitalianezard.it/en/ducati-multistrada-950-exhaust-2/</t>
  </si>
  <si>
    <t>SLIP-ON SILENCER</t>
  </si>
  <si>
    <t>ZD022STR-FC</t>
  </si>
  <si>
    <t>https://shop.officineitalianezard.it/contents/imgs/products/1_2614-scarico%20ducati%20multistrada%20950%20-%20zard%20exhaust%201.jpg</t>
  </si>
  <si>
    <t>TIGER 1050 2006-2012</t>
  </si>
  <si>
    <t>https://shop.officineitalianezard.it/en/triumph-tiger-1050-exhaust/</t>
  </si>
  <si>
    <t>https://shop.officineitalianezard.it/en/low-mounting-penta-muffler/</t>
  </si>
  <si>
    <t>LOW MOUNTED SILENCER</t>
  </si>
  <si>
    <t>ZTPH039ABR</t>
  </si>
  <si>
    <t>https://shop.officineitalianezard.it/contents/imgs/products/1_222-1.jpg</t>
  </si>
  <si>
    <t>SCRAMBLER 800</t>
  </si>
  <si>
    <t>https://shop.officineitalianezard.it/en/ducati-scrambler-exhaust/</t>
  </si>
  <si>
    <t>SPECIAL EDITION</t>
  </si>
  <si>
    <t>https://shop.officineitalianezard.it/en/scarico-scrambler-ducati/</t>
  </si>
  <si>
    <t>ZD778SSR</t>
  </si>
  <si>
    <t>BLACK CERAMIC COATING</t>
  </si>
  <si>
    <t>T-MAX 08-11</t>
  </si>
  <si>
    <t>https://shop.officineitalianezard.it/en/yamaha-t-max-08-11-exhaust/</t>
  </si>
  <si>
    <t>https://shop.officineitalianezard.it/en/full-kit-zard-t-max-3/</t>
  </si>
  <si>
    <t>ZY 092 SKR</t>
  </si>
  <si>
    <t>https://shop.officineitalianezard.it/contents/imgs/products/1_895-YAMAHA%20T-MAX%20BIANCO%20002.jpg</t>
  </si>
  <si>
    <t>https://shop.officineitalianezard.it/en/harley-davidson-zard-exhaust/</t>
  </si>
  <si>
    <t>XR 1200</t>
  </si>
  <si>
    <t>https://shop.officineitalianezard.it/en/harley-davidson-xr-1200-exhaust/</t>
  </si>
  <si>
    <t>https://shop.officineitalianezard.it/en/2-1-full-kit-steel-carbon-zard-harley-davidson-xr-1200/</t>
  </si>
  <si>
    <t>ZHD 513 SKR-T</t>
  </si>
  <si>
    <t>HEADER KIT TIT. RACING + SIL. CARB. HOM.</t>
  </si>
  <si>
    <t>PANIGALE V4/V4S</t>
  </si>
  <si>
    <t>https://shop.officineitalianezard.it/en/ducati-panigale-v4-exhaust/</t>
  </si>
  <si>
    <t>https://shop.officineitalianezard.it/en/ducati-panigale-v4-zard-exhaust-2/</t>
  </si>
  <si>
    <t>COMPENSATED EXHAUST</t>
  </si>
  <si>
    <t>ZD1101TSR</t>
  </si>
  <si>
    <t>https://shop.officineitalianezard.it/contents/imgs/products/1_2489-scarico%20ducati%20panigale%20v4%20zard%20-%201.jpg</t>
  </si>
  <si>
    <t>https://shop.officineitalianezard.it/contents/imgs/products/1_1160-1.jpg</t>
  </si>
  <si>
    <t>https://shop.officineitalianezard.it/contents/imgs/products/1_121-3.jpg</t>
  </si>
  <si>
    <t>ER-6N-ER-6F 2005/16</t>
  </si>
  <si>
    <t>https://shop.officineitalianezard.it/en/kawasaki-er-6n-er-6f-exhaust/</t>
  </si>
  <si>
    <t>https://shop.officineitalianezard.it/en/products/index/kawasaki-er-6n-er-6f-exhaust-zard-7502-134/</t>
  </si>
  <si>
    <t>ZKAW171SKR</t>
  </si>
  <si>
    <t>https://shop.officineitalianezard.it/contents/imgs/products/1_853-er6n7.JPG</t>
  </si>
  <si>
    <t>https://shop.officineitalianezard.it/en/2-1-full-kit-cross/</t>
  </si>
  <si>
    <t>2&gt;1 FULL KIT CROSS</t>
  </si>
  <si>
    <t>POLISHED</t>
  </si>
  <si>
    <t>DAYTONA &gt; M.Y. 2013</t>
  </si>
  <si>
    <t>https://shop.officineitalianezard.it/en/triumph-daytona-m-y-2013-exhaust/</t>
  </si>
  <si>
    <t>https://shop.officineitalianezard.it/en/products/index/triumph-daytona-exhaust-2015-zard-7608-161/</t>
  </si>
  <si>
    <t>ZTPH033SSR-13</t>
  </si>
  <si>
    <t>MONSTER S2R 800 MY 06</t>
  </si>
  <si>
    <t>https://shop.officineitalianezard.it/en/ducati-monster-s2r-800-m-y-06-exhaust/</t>
  </si>
  <si>
    <t>https://shop.officineitalianezard.it/en/products/index/n-2-over-and-under-carbonium-mufflers-7115-62/</t>
  </si>
  <si>
    <t>https://shop.officineitalianezard.it/contents/imgs/products/1_2491-scarico%20ducati%20panigale%20v4%20zard%20-%203.jpg</t>
  </si>
  <si>
    <t>MT-07 2014/19</t>
  </si>
  <si>
    <t>https://shop.officineitalianezard.it/en/yamaha-mt-07-exhaust/</t>
  </si>
  <si>
    <t>https://shop.officineitalianezard.it/en/yamaha-mt-07-exhaust-zard/</t>
  </si>
  <si>
    <t>ZY095SKR</t>
  </si>
  <si>
    <t>https://shop.officineitalianezard.it/contents/imgs/products/1_123-0.jpg</t>
  </si>
  <si>
    <t>R 1200 R M.Y. 11-13</t>
  </si>
  <si>
    <t>https://shop.officineitalianezard.it/en/bmw-r-1200-r-m-y-11-13-exhaust/</t>
  </si>
  <si>
    <t>https://shop.officineitalianezard.it/en/zard-headers-kit-bmw-2/</t>
  </si>
  <si>
    <t>ZBMW518SCR</t>
  </si>
  <si>
    <t>https://shop.officineitalianezard.it/en/indian/</t>
  </si>
  <si>
    <t>FTR 1200</t>
  </si>
  <si>
    <t>https://shop.officineitalianezard.it/en/indian-ftr-1200-exhaust-zard/</t>
  </si>
  <si>
    <t>LOW MOUNTED VERSION</t>
  </si>
  <si>
    <t>https://shop.officineitalianezard.it/en/indian-ftr-1200-exhaust-slip-on/</t>
  </si>
  <si>
    <t>SLIP-ONS</t>
  </si>
  <si>
    <t>ZIND002TSR-FC</t>
  </si>
  <si>
    <t>https://shop.officineitalianezard.it/contents/imgs/products/1_2658-scarico%20indian%20ftr%201200%20zard%20slip%20on%203.jpg</t>
  </si>
  <si>
    <t>SPORTSTER M.Y. 03-13</t>
  </si>
  <si>
    <t>https://shop.officineitalianezard.it/en/harley-davidson-sportster-m-y-03-13-exhaust/</t>
  </si>
  <si>
    <t>https://shop.officineitalianezard.it/en/products/index/zard-conical-full-kit-harley-davidson-sportster-7492-132/</t>
  </si>
  <si>
    <t>ZHD 527 SKR</t>
  </si>
  <si>
    <t>https://shop.officineitalianezard.it/contents/imgs/products/1_823-FOTO%20MOTO%20EICMA%20063.jpg</t>
  </si>
  <si>
    <t>NINJA 250-300 2007/13</t>
  </si>
  <si>
    <t>https://shop.officineitalianezard.it/en/kawasaki-ninja-250-300-exhaust/</t>
  </si>
  <si>
    <t>https://shop.officineitalianezard.it/en/products/index/kawasaki-ninja-exhaust-zard-7504-135/</t>
  </si>
  <si>
    <t>ZKAW 174 SKR</t>
  </si>
  <si>
    <t>STEEL-CARBON</t>
  </si>
  <si>
    <t>https://shop.officineitalianezard.it/en/products/index/steel-racing-silencer-7387-113/</t>
  </si>
  <si>
    <t>GRISO</t>
  </si>
  <si>
    <t>https://shop.officineitalianezard.it/en/moto-guzzi-griso-exhaust/</t>
  </si>
  <si>
    <t>https://shop.officineitalianezard.it/en/moto-guzzi-griso-silencer/</t>
  </si>
  <si>
    <t>ZG070SSR-B</t>
  </si>
  <si>
    <t>https://shop.officineitalianezard.it/contents/imgs/products/1_119-2.jpg</t>
  </si>
  <si>
    <t>HIGH LIMITED VERSION</t>
  </si>
  <si>
    <t>https://shop.officineitalianezard.it/en/products/index/bmw-r-nine-t-racer-urban-gs-exhaust-zard-7859-228/</t>
  </si>
  <si>
    <t>ZBMW538SSR</t>
  </si>
  <si>
    <t>https://shop.officineitalianezard.it/contents/imgs/products/1_1885-3.jpg</t>
  </si>
  <si>
    <t>https://shop.officineitalianezard.it/contents/imgs/products/1_1016-1.jpg</t>
  </si>
  <si>
    <t>https://shop.officineitalianezard.it/en/products/index/bmw-r-nine-t-scrambler-exhaust-zard-7865-228/</t>
  </si>
  <si>
    <t>HIGH SILENCER</t>
  </si>
  <si>
    <t>ZBMW543SSR</t>
  </si>
  <si>
    <t>STEEL MESH FOR END-CAP</t>
  </si>
  <si>
    <t>https://shop.officineitalianezard.it/contents/imgs/products/1_2519-scarico%20xsr%20700%20mt%2007%20zard%202.jpg</t>
  </si>
  <si>
    <t>V7 II &gt; M.Y. 2015</t>
  </si>
  <si>
    <t>https://shop.officineitalianezard.it/en/pages/index/moto-guzzi-v7-ii-m-y-2015-exhaust-169/</t>
  </si>
  <si>
    <t>REGOLARITA'</t>
  </si>
  <si>
    <t>https://shop.officineitalianezard.it/en/motoguzziv7ii/</t>
  </si>
  <si>
    <t>ZG090SKR</t>
  </si>
  <si>
    <t>https://shop.officineitalianezard.it/contents/imgs/products/1_1231-3.jpg</t>
  </si>
  <si>
    <t>DORSODURO 750</t>
  </si>
  <si>
    <t>https://shop.officineitalianezard.it/en/aprilia-dorsoduro-750-exhaust/</t>
  </si>
  <si>
    <t>https://shop.officineitalianezard.it/en/products/index/zard-headers-kit-for-aprilia-dorsoduro-7402-98/</t>
  </si>
  <si>
    <t>ZA130SCR</t>
  </si>
  <si>
    <t>SPORT 1000 &amp; PAUL SMART 2005/08</t>
  </si>
  <si>
    <t>https://shop.officineitalianezard.it/en/ducati-smart-1000-paul-smart-exhaust/</t>
  </si>
  <si>
    <t>https://shop.officineitalianezard.it/en/ducati-paul-smart-and-gt1000-exhaust-zard/</t>
  </si>
  <si>
    <t>ZD019SSR</t>
  </si>
  <si>
    <t>SPORTSTER &gt; M.Y. 2014</t>
  </si>
  <si>
    <t>https://shop.officineitalianezard.it/en/harley-davidson-sportster-m-y-2014-exhaust/</t>
  </si>
  <si>
    <t>https://shop.officineitalianezard.it/en/products/index/zard-conical-full-kit-harley-davidson-sportster-7500-133/</t>
  </si>
  <si>
    <t>ZHD 527 SKR-14</t>
  </si>
  <si>
    <t>https://shop.officineitalianezard.it/contents/imgs/products/1_850-FOTO%20MOTO%20EICMA%20073.jpg</t>
  </si>
  <si>
    <t>https://shop.officineitalianezard.it/en/products/index/kawasaki-ninja-exhaust-zard-7503-135/</t>
  </si>
  <si>
    <t>ZKAW 174 SSR</t>
  </si>
  <si>
    <t>F 800 R 2009/11</t>
  </si>
  <si>
    <t>https://shop.officineitalianezard.it/en/bmw-f-800-r-exhaust/</t>
  </si>
  <si>
    <t>https://shop.officineitalianezard.it/en/zard-bmw-silencer/</t>
  </si>
  <si>
    <t>ZBMW519SSR-S</t>
  </si>
  <si>
    <t>https://shop.officineitalianezard.it/contents/imgs/products/1_2233-zard%20moto%20guzzi%20v7III.jpg</t>
  </si>
  <si>
    <t>HYPERMOTARD 1100</t>
  </si>
  <si>
    <t>https://shop.officineitalianezard.it/en/ducati-hypermotard-1100-exhaust/</t>
  </si>
  <si>
    <t>SCUDO VERSION</t>
  </si>
  <si>
    <t>https://shop.officineitalianezard.it/en/products/index/ducati-hypermotard-796-exhaust-zard-7097-57/</t>
  </si>
  <si>
    <t>ZD108SKR/ZD110SKR/ZD114SKR</t>
  </si>
  <si>
    <t>FULL TITANIUM HOMOLOGATED</t>
  </si>
  <si>
    <t>STREET TRIPLE MY 2013-2016</t>
  </si>
  <si>
    <t>https://shop.officineitalianezard.it/en/triumph-street-triple-m-y-2013-2016-exhaust/</t>
  </si>
  <si>
    <t>https://shop.officineitalianezard.it/en/steel-conical-silencer/</t>
  </si>
  <si>
    <t>ZTPH516SSR</t>
  </si>
  <si>
    <t>https://shop.officineitalianezard.it/contents/imgs/products/1_189-4.jpg</t>
  </si>
  <si>
    <t>LH-RH VERSION</t>
  </si>
  <si>
    <t>https://shop.officineitalianezard.it/en/products/index/n-2-carbonium-mufflers-dx-sx-7113-62/</t>
  </si>
  <si>
    <t>HIGHT MOUNTED SILENCERS</t>
  </si>
  <si>
    <t>ZD024LSR-1</t>
  </si>
  <si>
    <t>BLACK ENDCAP</t>
  </si>
  <si>
    <t>GT 1000</t>
  </si>
  <si>
    <t>https://shop.officineitalianezard.it/en/ducati-gt-1000-exhaust/</t>
  </si>
  <si>
    <t>https://shop.officineitalianezard.it/en/products/index/ducati-gt-1000-exhaust-zard-7094-55/</t>
  </si>
  <si>
    <t>ZD120SSR</t>
  </si>
  <si>
    <t>https://shop.officineitalianezard.it/contents/imgs/products/1_1840-959panigale_Zard_powercurve.jpg</t>
  </si>
  <si>
    <t>Z800-Z800E 2012/16</t>
  </si>
  <si>
    <t>https://shop.officineitalianezard.it/en/kawasaki-z800-z800e-exhaust/</t>
  </si>
  <si>
    <t>https://shop.officineitalianezard.it/en/kawasaki-z800-zard-headers-kit/</t>
  </si>
  <si>
    <t>ZKAW 175 SCR</t>
  </si>
  <si>
    <t>https://shop.officineitalianezard.it/en/products/index/ducati-hypermotard-796-exhaust-zard-7096-57/</t>
  </si>
  <si>
    <t>ZD111ASR</t>
  </si>
  <si>
    <t>STEEL-ALUMINIUM HOMOLOGATED</t>
  </si>
  <si>
    <t>MONSTER 1100 EVO</t>
  </si>
  <si>
    <t>https://shop.officineitalianezard.it/en/ducati-monster-1100-evo-exhaust/</t>
  </si>
  <si>
    <t>https://shop.officineitalianezard.it/en/ducati-monster-1100-evo-silencers/</t>
  </si>
  <si>
    <t>ZD118CSR</t>
  </si>
  <si>
    <t>STEEL-CARBON HOMOLOGATED</t>
  </si>
  <si>
    <t>https://shop.officineitalianezard.it/en/products/index/zard-conical-silencer-bmw-r-1200-r-7526-141/</t>
  </si>
  <si>
    <t>ZBMW518SSR-S</t>
  </si>
  <si>
    <t>T-MAX 04-07</t>
  </si>
  <si>
    <t>https://shop.officineitalianezard.it/en/yamaha-t-max-04-07-exhaust/</t>
  </si>
  <si>
    <t>https://shop.officineitalianezard.it/en/full-kit-zard-t-max-2/</t>
  </si>
  <si>
    <t>ZY 091 SKR</t>
  </si>
  <si>
    <t>https://shop.officineitalianezard.it/contents/imgs/products/1_649-3scarichi%20t-max%20yamaha%20zard1.jpg</t>
  </si>
  <si>
    <t>R 1200 GS M.Y. 10-12</t>
  </si>
  <si>
    <t>https://shop.officineitalianezard.it/en/bmw-r-1200-gs-m-y-10-12-exhaust/</t>
  </si>
  <si>
    <t>https://shop.officineitalianezard.it/en/products/index/zard-headers-kit-bmw-7459-124/</t>
  </si>
  <si>
    <t>ZBMW 516 SC</t>
  </si>
  <si>
    <t>FULL TITANIUM</t>
  </si>
  <si>
    <t>https://shop.officineitalianezard.it/en/kit-silenziatori-collettore-zard-moto-guzzi-v7-2/</t>
  </si>
  <si>
    <t>M.Y. 09-10 SILENCERS + HEADERS KIT</t>
  </si>
  <si>
    <t>ZG075SKR</t>
  </si>
  <si>
    <t>https://shop.officineitalianezard.it/contents/imgs/products/1_698-2_566-scarico%20moto%20guzzi%20zard%203.jpg</t>
  </si>
  <si>
    <t>CRF 450R M.Y. 17-18</t>
  </si>
  <si>
    <t>https://shop.officineitalianezard.it/en/honda-crf-450r-m-y-17-18-exhaust/</t>
  </si>
  <si>
    <t>1&gt;2 VERSION</t>
  </si>
  <si>
    <t>https://shop.officineitalianezard.it/en/products/index/honda-crf-450r-exhaust-zard-7905-236/</t>
  </si>
  <si>
    <t>ZHND361SKR</t>
  </si>
  <si>
    <t>https://shop.officineitalianezard.it/contents/imgs/products/1_2351-crf%20450%20exhaust%20-%20zard.jpg</t>
  </si>
  <si>
    <t>HYPERMOTARD 950 - SP M.Y. 2019</t>
  </si>
  <si>
    <t>https://shop.officineitalianezard.it/en/ducati-hypermotard-950/</t>
  </si>
  <si>
    <t>GT VERSION</t>
  </si>
  <si>
    <t>https://shop.officineitalianezard.it/en/ducati-hypermotard-950-gt-exhaust/</t>
  </si>
  <si>
    <t>ZD127SSR</t>
  </si>
  <si>
    <t>https://shop.officineitalianezard.it/contents/imgs/products/1_2580-scarichi%20hypermotard%20sp%202019%20zard%203.jpg</t>
  </si>
  <si>
    <t>ZUMA</t>
  </si>
  <si>
    <t>https://shop.officineitalianezard.it/en/ducati-monster-797-exhaust-zard/</t>
  </si>
  <si>
    <t>ZD788SSR</t>
  </si>
  <si>
    <t>https://shop.officineitalianezard.it/contents/imgs/products/1_1952-2.jpg</t>
  </si>
  <si>
    <t>R80-R100</t>
  </si>
  <si>
    <t>https://shop.officineitalianezard.it/en/bmw-r-80-r-100-exhaust/</t>
  </si>
  <si>
    <t>2&gt;2 VERSION</t>
  </si>
  <si>
    <t>https://shop.officineitalianezard.it/en/products/index/bmw-r45-r65-exhaust-zard-7832-223/</t>
  </si>
  <si>
    <t>ZBMW534SKR</t>
  </si>
  <si>
    <t>https://shop.officineitalianezard.it/contents/imgs/products/1_2057-bmw%20r65%20r45%20scarico%20-%20zard.jpg</t>
  </si>
  <si>
    <t>SPEED TRIPLE 955 02/04</t>
  </si>
  <si>
    <t>https://shop.officineitalianezard.it/en/triumph-speed-triple-955-02-04-exhaust/</t>
  </si>
  <si>
    <t>https://shop.officineitalianezard.it/en/triumph-speed-triple-exhaust-zard/</t>
  </si>
  <si>
    <t>ZTPH032SSR</t>
  </si>
  <si>
    <t>1199 PANIGALE</t>
  </si>
  <si>
    <t>https://shop.officineitalianezard.it/en/ducati-1199-panigale-exhaust/</t>
  </si>
  <si>
    <t>https://shop.officineitalianezard.it/en/ducati-1199-panigale-exhaust-zard/</t>
  </si>
  <si>
    <t>ZD1199TKR-3</t>
  </si>
  <si>
    <t>https://shop.officineitalianezard.it/contents/imgs/products/1_2005-3.jpg</t>
  </si>
  <si>
    <t>https://shop.officineitalianezard.it/contents/imgs/products/1_858-ninja1.JPG</t>
  </si>
  <si>
    <t>BREVA 1200 &gt; M.Y. 2011</t>
  </si>
  <si>
    <t>https://shop.officineitalianezard.it/en/moto-guzzi-breva-1200-m-y-2011-exhaust/</t>
  </si>
  <si>
    <t>https://shop.officineitalianezard.it/en/products/index/moto-guzzi-silencer-7418-111/</t>
  </si>
  <si>
    <t>ZG071SSR-11</t>
  </si>
  <si>
    <t>https://shop.officineitalianezard.it/contents/imgs/products/1_687-scarico%20moto%20guzzi%20zard%202.jpg</t>
  </si>
  <si>
    <t>https://shop.officineitalianezard.it/en/steel-short-silencer/</t>
  </si>
  <si>
    <t>ZTPH515SSR</t>
  </si>
  <si>
    <t>https://shop.officineitalianezard.it/contents/imgs/products/1_2017-1721-scarico%20xsr900%20mt07%20xsr700%20mt09%20yamaha%20zard.jpg</t>
  </si>
  <si>
    <t>KTM DUKE 390 2010/12</t>
  </si>
  <si>
    <t>https://shop.officineitalianezard.it/en/ktm-duke-390-exhaust/</t>
  </si>
  <si>
    <t>https://shop.officineitalianezard.it/en/products/index/ktm-duke-exhaust-zard-7313-75/</t>
  </si>
  <si>
    <t>ZKTM224APR</t>
  </si>
  <si>
    <t>https://shop.officineitalianezard.it/contents/imgs/products/1_497-3.jpg</t>
  </si>
  <si>
    <t>https://shop.officineitalianezard.it/contents/imgs/products/1_2616-scarico%20ducati%20multistrada%20950%20-%20zard%20exhaust%203.jpg</t>
  </si>
  <si>
    <t>KTM 950 SM-SMT 2006/08</t>
  </si>
  <si>
    <t>https://shop.officineitalianezard.it/en/ktm-950-sm-990-sm-smt-exhaust/</t>
  </si>
  <si>
    <t>https://shop.officineitalianezard.it/en/products/index/ktm-950sm-exhaust-zard-7311-73/</t>
  </si>
  <si>
    <t>HIGH MOUNTED SILENCERS</t>
  </si>
  <si>
    <t>ZKTM221ASR</t>
  </si>
  <si>
    <t>https://shop.officineitalianezard.it/contents/imgs/products/1_482-1.jpg</t>
  </si>
  <si>
    <t>https://shop.officineitalianezard.it/en/bimota-zard-exhaust/</t>
  </si>
  <si>
    <t>DB 6 DELIRIO</t>
  </si>
  <si>
    <t>https://shop.officineitalianezard.it/en/bimota-d-b-6-delirio-exhaust/</t>
  </si>
  <si>
    <t>https://shop.officineitalianezard.it/en/products/index/penta-silencers-zard-bimota-7445-108/</t>
  </si>
  <si>
    <t>HEADERS KIT + SILENCERS</t>
  </si>
  <si>
    <t>ZB 082 SKR</t>
  </si>
  <si>
    <t>https://shop.officineitalianezard.it/contents/imgs/products/1_743-scarichi%20moto%20zard%20bimota%202.jpg</t>
  </si>
  <si>
    <t>https://shop.officineitalianezard.it/contents/imgs/products/1_1145-11017541_10153917985646632_8025402486644623573_n.jpg</t>
  </si>
  <si>
    <t>MONSTER S4RS - T. STRETTA</t>
  </si>
  <si>
    <t>https://shop.officineitalianezard.it/en/ducati-monster-s4rs-t-stretta-exhaust/</t>
  </si>
  <si>
    <t>https://shop.officineitalianezard.it/en/products/index/n-2-high-mounting-mufflers-7122-66/</t>
  </si>
  <si>
    <t>ZD028LSR-1</t>
  </si>
  <si>
    <t>https://shop.officineitalianezard.it/en/triumph-speed-twin-exhaust/</t>
  </si>
  <si>
    <t>ZTPH092SKR</t>
  </si>
  <si>
    <t>https://shop.officineitalianezard.it/contents/imgs/products/1_2595-4%20scarico%20triumph%20speed%20twin%20scarichi%20zard%20exhaust.jpg</t>
  </si>
  <si>
    <t>https://shop.officineitalianezard.it/contents/imgs/products/1_145-2speedtriple0506kit.jpg</t>
  </si>
  <si>
    <t>https://shop.officineitalianezard.it/en/zard-headers-kit-bmw-nine-t-1200/</t>
  </si>
  <si>
    <t>2&gt;1 HEADERS KIT</t>
  </si>
  <si>
    <t>ZBMW526SCR-LIM-17</t>
  </si>
  <si>
    <t>https://shop.officineitalianezard.it/contents/imgs/products/1_2369-r9t.jpg</t>
  </si>
  <si>
    <t>https://shop.officineitalianezard.it/contents/imgs/products/1_2676-scarichi%20triumph%20speed%20twin.jpg</t>
  </si>
  <si>
    <t>https://shop.officineitalianezard.it/contents/imgs/products/1_655-4scarichi%20t-max%20yamaha%20zard2.jpg</t>
  </si>
  <si>
    <t>749/999 SINGLE-SEAT</t>
  </si>
  <si>
    <t>https://shop.officineitalianezard.it/en/ducati-749-999-single-seat-exhaust/</t>
  </si>
  <si>
    <t>UNDERSEAT VERSION</t>
  </si>
  <si>
    <t>https://shop.officineitalianezard.it/en/ducati-749-exhaust-ducati-999-exhaust-zard-2/</t>
  </si>
  <si>
    <t>FULL KIT 2&gt;1&gt;2</t>
  </si>
  <si>
    <t>ZD013SMR-11</t>
  </si>
  <si>
    <t>https://shop.officineitalianezard.it/contents/imgs/products/1_533-SCARICO%20DUCATI%20ZARD%20SCARICHI%20MOTO.jpg</t>
  </si>
  <si>
    <t>SCRAMBLER SIXTY2 2016/19</t>
  </si>
  <si>
    <t>https://shop.officineitalianezard.it/en/ducati-scrambler-sixty-2-exhaust/</t>
  </si>
  <si>
    <t>https://shop.officineitalianezard.it/en/scrambler-ducati-400-sixty2-exhaust-zard/</t>
  </si>
  <si>
    <t>ZD784SKR</t>
  </si>
  <si>
    <t>MULTISTRADA 1260 2018-19</t>
  </si>
  <si>
    <t>https://shop.officineitalianezard.it/en/multistrada-1260-2018-19/</t>
  </si>
  <si>
    <t>https://shop.officineitalianezard.it/en/ducati-multistrada-1260-exhaust/</t>
  </si>
  <si>
    <t>ZD021STR-FC</t>
  </si>
  <si>
    <t>https://shop.officineitalianezard.it/en/products/index/n-2-over-and-under-carbonium-mufflers-7125-66/</t>
  </si>
  <si>
    <t>ZD028HSR-1</t>
  </si>
  <si>
    <t>https://shop.officineitalianezard.it/contents/imgs/products/1_502-zard%20nera.jpg</t>
  </si>
  <si>
    <t>STREET SCRAMBLER 2017/19</t>
  </si>
  <si>
    <t>https://shop.officineitalianezard.it/en/triumph-street-scrambler-exhaust/</t>
  </si>
  <si>
    <t>CROSS VERSION</t>
  </si>
  <si>
    <t>https://shop.officineitalianezard.it/en/triumph-street-scrambler-exhaust-zard-4/</t>
  </si>
  <si>
    <t>ZTPH079SKR</t>
  </si>
  <si>
    <t>https://shop.officineitalianezard.it/contents/imgs/products/1_2103-scarico%20street%20scrambler%20-%20street%20scrambler%20exhaust%202.jpg</t>
  </si>
  <si>
    <t>https://shop.officineitalianezard.it/en/kymco-zard-exhaust/</t>
  </si>
  <si>
    <t>XCITING R 300i</t>
  </si>
  <si>
    <t>https://shop.officineitalianezard.it/en/scarico-kymco-xciting-r-300i-exhaust/</t>
  </si>
  <si>
    <t>https://shop.officineitalianezard.it/en/products/index/penta-silencer-zard-kymco-xciting-r-300i-7425-116/</t>
  </si>
  <si>
    <t>ZK 385 ASR</t>
  </si>
  <si>
    <t>MONSTER S2R 1000</t>
  </si>
  <si>
    <t>https://shop.officineitalianezard.it/en/ducati-monster-s2r-1000-exhaust/</t>
  </si>
  <si>
    <t>2&gt;2 LH-RH VERSION</t>
  </si>
  <si>
    <t>https://shop.officineitalianezard.it/en/products/index/header-kit-hight-mounted-silencers-7116-64/</t>
  </si>
  <si>
    <t>HEADER KIT + HIGHT MOUNTED SILENCERS</t>
  </si>
  <si>
    <t>ZD017SKR</t>
  </si>
  <si>
    <t>https://shop.officineitalianezard.it/contents/imgs/products/1_378-monsters2r10002.jpg</t>
  </si>
  <si>
    <t>THUNDERBIRD 2004</t>
  </si>
  <si>
    <t>https://shop.officineitalianezard.it/en/triumph-thunderbird-exhaust/</t>
  </si>
  <si>
    <t>https://shop.officineitalianezard.it/en/products/index/triumph-thunderbird-zard-exhaust-7569-152/</t>
  </si>
  <si>
    <t>ZTPH050SSR</t>
  </si>
  <si>
    <t>https://shop.officineitalianezard.it/contents/imgs/products/1_563-scarichi%20moto%20gt%201000%20zard%20ducati.jpg</t>
  </si>
  <si>
    <t>https://shop.officineitalianezard.it/en/triumph-street-scrambler-exhaust-zard/</t>
  </si>
  <si>
    <t>ZTPH084SKR</t>
  </si>
  <si>
    <t>BLACK HEAT SHIELDS</t>
  </si>
  <si>
    <t>https://shop.officineitalianezard.it/en/triumph-street-scrambler-exhaust-zard-7/</t>
  </si>
  <si>
    <t>ZTPH088SSR</t>
  </si>
  <si>
    <t>https://shop.officineitalianezard.it/contents/imgs/products/1_2427-terminali%20silenziatori%20scarico%20moto%20guzzi%20v7II%20-%20zard%206.jpg</t>
  </si>
  <si>
    <t>DESERT SLED VERSION</t>
  </si>
  <si>
    <t>https://shop.officineitalianezard.it/en/scrambler-ducati-desert-sled-exhaust-zard/</t>
  </si>
  <si>
    <t>ZUMA SILENCER</t>
  </si>
  <si>
    <t>ZD794SSR</t>
  </si>
  <si>
    <t>https://shop.officineitalianezard.it/en/zard-silencers-aprilia-dorsoduro/</t>
  </si>
  <si>
    <t>ZA130SSR-AS</t>
  </si>
  <si>
    <t>SILVER SILENCERS HOMOLOGATED</t>
  </si>
  <si>
    <t>https://shop.officineitalianezard.it/contents/imgs/products/1_1882-2.jpg</t>
  </si>
  <si>
    <t>https://shop.officineitalianezard.it/en/gold-edition-full-kit-2/</t>
  </si>
  <si>
    <t>2&gt;1 GOLD EDITION FULL KIT</t>
  </si>
  <si>
    <t>ZTPH055SKA</t>
  </si>
  <si>
    <t>https://shop.officineitalianezard.it/contents/imgs/products/1_1247-borsone.jpg</t>
  </si>
  <si>
    <t>SPEED TRIPLE 1050 M.Y. 07-10</t>
  </si>
  <si>
    <t>https://shop.officineitalianezard.it/en/triumph-speed-triple-1050-m-y-07-10/</t>
  </si>
  <si>
    <t>https://shop.officineitalianezard.it/en/full-kit-3-1-conic-steel/</t>
  </si>
  <si>
    <t>ZTPH038SKR</t>
  </si>
  <si>
    <t>https://shop.officineitalianezard.it/contents/imgs/products/1_696-2_693-moto%20guzzi%20v7%20scarico%20zard.jpg</t>
  </si>
  <si>
    <t>https://shop.officineitalianezard.it/contents/imgs/products/1_658-4scarichi%20t-max%20yamaha%20zard1.jpg</t>
  </si>
  <si>
    <t>https://shop.officineitalianezard.it/en/scrambler-ducati-exhaust-by-zard/</t>
  </si>
  <si>
    <t>HIGH MOUNTED FULL KIT</t>
  </si>
  <si>
    <t>ZD779SKR</t>
  </si>
  <si>
    <t>https://shop.officineitalianezard.it/contents/imgs/products/1_1732-1066-scarico%20scrambler%20zard1.jpg</t>
  </si>
  <si>
    <t>Z900 RS 2018/19</t>
  </si>
  <si>
    <t>https://shop.officineitalianezard.it/en/kawasaki-z900-rs-exhaust/</t>
  </si>
  <si>
    <t>4&gt;2&gt;1 VERSION</t>
  </si>
  <si>
    <t>https://shop.officineitalianezard.it/en/kawasaki-z900-rs-exhaust-zard/</t>
  </si>
  <si>
    <t>ZKAW180SKR</t>
  </si>
  <si>
    <t>STEEL VERSION EURO 4 HOMOLOGATED</t>
  </si>
  <si>
    <t>https://shop.officineitalianezard.it/contents/imgs/products/1_750-scarichi%20moto%20zard%20bmw%202.jpg</t>
  </si>
  <si>
    <t>https://shop.officineitalianezard.it/contents/imgs/products/1_1471-1.jpg</t>
  </si>
  <si>
    <t>https://shop.officineitalianezard.it/en/products/index/scrambler-ducati-desert-sled-exhaust-zard-7834-154/</t>
  </si>
  <si>
    <t>SPECIAL EDITION SILENCER</t>
  </si>
  <si>
    <t>ZD795SSR</t>
  </si>
  <si>
    <t>https://shop.officineitalianezard.it/en/scrambler-ducati-400-sixty2-exhaust-zard-2/</t>
  </si>
  <si>
    <t>ZD782SSR</t>
  </si>
  <si>
    <t>https://shop.officineitalianezard.it/contents/imgs/products/1_1525-1.jpg</t>
  </si>
  <si>
    <t>MULTISTRADA 1200 2010/14</t>
  </si>
  <si>
    <t>https://shop.officineitalianezard.it/en/ducati-multistrada-1200-exhaust/</t>
  </si>
  <si>
    <t>https://shop.officineitalianezard.it/en/products/index/ducati-multistrada-1200-exhaust-zard-7131-68/</t>
  </si>
  <si>
    <t>ZD531ASR</t>
  </si>
  <si>
    <t>AFRICA TWIN 2016/19</t>
  </si>
  <si>
    <t>https://shop.officineitalianezard.it/en/honda-africa-twin-m-y-2016-exhaust/</t>
  </si>
  <si>
    <t>https://shop.officineitalianezard.it/en/products/index/africa-twin-exhaust-zard-7750-203/</t>
  </si>
  <si>
    <t>CONICAL FULL KIT</t>
  </si>
  <si>
    <t>ZHND367SKR-FC</t>
  </si>
  <si>
    <t>https://shop.officineitalianezard.it/contents/imgs/products/1_2388-scarico%20zard%20africa%20twin%20-%20zard%20exhaust%20-%20givi%20kit.jpg</t>
  </si>
  <si>
    <t>https://shop.officineitalianezard.it/en/norton-zard-exhaust/</t>
  </si>
  <si>
    <t>NORTON COMMANDO 961 SE</t>
  </si>
  <si>
    <t>https://shop.officineitalianezard.it/en/norton-commando-961-se-exhaust/</t>
  </si>
  <si>
    <t>https://shop.officineitalianezard.it/en/products/index/norton-commando-exhaust-by-zard-2-1-full-kit-7675-185/</t>
  </si>
  <si>
    <t>ZNRT001SKR</t>
  </si>
  <si>
    <t>https://shop.officineitalianezard.it/contents/imgs/products/1_1380-norton%20zard%202.jpg</t>
  </si>
  <si>
    <t>https://shop.officineitalianezard.it/contents/imgs/products/1_2400-terminali%20silenziatori%20scarico%20moto%20guzzi%20v7II%20-%20zard%202.jpg</t>
  </si>
  <si>
    <t>https://shop.officineitalianezard.it/en/products/index/zard-silencer-penta-version-7460-124/</t>
  </si>
  <si>
    <t>ZBMW 517 APR</t>
  </si>
  <si>
    <t>https://shop.officineitalianezard.it/en/products/index/triumph-bobber-headers-kit-zard-7880-214/</t>
  </si>
  <si>
    <t>ZTPH069SCR</t>
  </si>
  <si>
    <t>T-MAX 2017/19</t>
  </si>
  <si>
    <t>https://shop.officineitalianezard.it/en/yamaha-t-max-exhaust/</t>
  </si>
  <si>
    <t>https://shop.officineitalianezard.it/en/yamaha-t-max-exhaust-zard/</t>
  </si>
  <si>
    <t>ZY098SKR-FC</t>
  </si>
  <si>
    <t>https://shop.officineitalianezard.it/contents/imgs/products/1_2331-scarico%20yamaha%20tmax%20-%20zard.jpg</t>
  </si>
  <si>
    <t>https://shop.officineitalianezard.it/contents/imgs/products/1_2148-scarico%20bmw%20k100.jpg</t>
  </si>
  <si>
    <t>MONSTER 696/796/1100</t>
  </si>
  <si>
    <t>https://shop.officineitalianezard.it/en/ducati-monster-696-796-1100-exhaust/</t>
  </si>
  <si>
    <t>https://shop.officineitalianezard.it/en/products/index/conic-mufflers-7108-61/</t>
  </si>
  <si>
    <t>ZD115SSR</t>
  </si>
  <si>
    <t>https://shop.officineitalianezard.it/contents/imgs/products/1_358-monster696cono2.jpg</t>
  </si>
  <si>
    <t>https://shop.officineitalianezard.it/contents/imgs/products/1_1831-5%20triumph%20bobber%20exhaust%20-%20scarichi%20triumph.jpg</t>
  </si>
  <si>
    <t>https://shop.officineitalianezard.it/en/scrambler-ducati-zard-exhaust/</t>
  </si>
  <si>
    <t>ZD781SSR</t>
  </si>
  <si>
    <t>https://shop.officineitalianezard.it/contents/imgs/products/1_851-FOTO%20MOTO%20EICMA%20081.jpg</t>
  </si>
  <si>
    <t>SCRAMBLER DUCATI 800 / MONSTER 797 REPLICA</t>
  </si>
  <si>
    <t>https://shop.officineitalianezard.it/en/scrambler-ducati-collectors-zard/</t>
  </si>
  <si>
    <t>ZD783SCR</t>
  </si>
  <si>
    <t>https://shop.officineitalianezard.it/contents/imgs/products/1_1803-collettori%20scrambler%20ducati%201.jpg</t>
  </si>
  <si>
    <t>https://shop.officineitalianezard.it/en/products/index/triumph-bonneville-scrambler-thruxton-exhaust-zard-7835-47/</t>
  </si>
  <si>
    <t>ZTPH077SKR</t>
  </si>
  <si>
    <t>https://shop.officineitalianezard.it/contents/imgs/products/1_2093-zard%20scrambler%202.jpg</t>
  </si>
  <si>
    <t>HYPERMOTARD - SP M.Y. 2013</t>
  </si>
  <si>
    <t>https://shop.officineitalianezard.it/en/ducati-hypermotard-sp-m-y-2013-exhaust/</t>
  </si>
  <si>
    <t>https://shop.officineitalianezard.it/en/products/index/ducati-hypermotard-exhaust-zard-7522-59/</t>
  </si>
  <si>
    <t>ZD123SSR</t>
  </si>
  <si>
    <t>https://shop.officineitalianezard.it/contents/imgs/products/1_903-1.jpg</t>
  </si>
  <si>
    <t>DAYTONA 675</t>
  </si>
  <si>
    <t>https://shop.officineitalianezard.it/en/triumph-daytona-675-exhaust/</t>
  </si>
  <si>
    <t>https://shop.officineitalianezard.it/en/products/index/full-underseat-kit-7013-35/</t>
  </si>
  <si>
    <t>ZTPH 033 SKS</t>
  </si>
  <si>
    <t>https://shop.officineitalianezard.it/contents/imgs/products/1_58-daytona-gialla1.jpg</t>
  </si>
  <si>
    <t>https://shop.officineitalianezard.it/en/zard-headers-kit-bmw-nine-t-1201/</t>
  </si>
  <si>
    <t>2&gt;2 HEADERS KIT</t>
  </si>
  <si>
    <t>ZBMW526SCR-LIM</t>
  </si>
  <si>
    <t>https://shop.officineitalianezard.it/contents/imgs/products/1_962-1.jpg</t>
  </si>
  <si>
    <t>MULTISTRADA 620/1000/1100</t>
  </si>
  <si>
    <t>https://shop.officineitalianezard.it/en/ducati-multistrada-620-1000-1100-exhaust/</t>
  </si>
  <si>
    <t>UNDER-SEAT VERSION</t>
  </si>
  <si>
    <t>https://shop.officineitalianezard.it/en/products/index/ducati-multistrada-exhaust-zard-7126-67/</t>
  </si>
  <si>
    <t>ZD014SSR</t>
  </si>
  <si>
    <t>https://shop.officineitalianezard.it/contents/imgs/products/1_561-scarichi%20moto%20ducati%20zard.jpg</t>
  </si>
  <si>
    <t>BLACK HEAT SHIELD</t>
  </si>
  <si>
    <t>https://shop.officineitalianezard.it/contents/imgs/products/1_742-scarichi%20moto%20zard%20bimota%203.jpg</t>
  </si>
  <si>
    <t>SPEED TRIPLE 1050 &gt; M.Y. 2011</t>
  </si>
  <si>
    <t>https://shop.officineitalianezard.it/en/triumph-speed-triple-1050-m-y-2011-exhaust/</t>
  </si>
  <si>
    <t>https://shop.officineitalianezard.it/en/steel-conical-muffler/</t>
  </si>
  <si>
    <t>ZTPH506SSR</t>
  </si>
  <si>
    <t>https://shop.officineitalianezard.it/en/triumph-bonneville-scrambler-thruxton-zard-exhaust-4/</t>
  </si>
  <si>
    <t>SPECIAL EDITION FULL KIT 'UNICA'</t>
  </si>
  <si>
    <t>ZTPH056SKB-08</t>
  </si>
  <si>
    <t>TIGER 1200</t>
  </si>
  <si>
    <t>https://shop.officineitalianezard.it/en/triumph-tiger-1200-exhaust/</t>
  </si>
  <si>
    <t>https://shop.officineitalianezard.it/en/penta-r-silencer/</t>
  </si>
  <si>
    <t>ZTPH507SSR</t>
  </si>
  <si>
    <t>https://shop.officineitalianezard.it/contents/imgs/products/1_977-carbon%20exhaust.jpg</t>
  </si>
  <si>
    <t>LE MANS</t>
  </si>
  <si>
    <t>https://shop.officineitalianezard.it/en/moto-guzzi-le-mans-exhaust/</t>
  </si>
  <si>
    <t>https://shop.officineitalianezard.it/en/moto-guzzi-le-mans-zard-exhaust/</t>
  </si>
  <si>
    <t>ZG095SKR</t>
  </si>
  <si>
    <t>https://shop.officineitalianezard.it/contents/imgs/products/1_1795-13559111_1769807879932699_4177920961974432603_o.jpg</t>
  </si>
  <si>
    <t>STREET TWIN 2016/19</t>
  </si>
  <si>
    <t>https://shop.officineitalianezard.it/en/triumph-street-twin-exhaust/</t>
  </si>
  <si>
    <t>https://shop.officineitalianezard.it/en/triumph-street-twin-exhaust-zard-2/</t>
  </si>
  <si>
    <t>ZTPH075SKA</t>
  </si>
  <si>
    <t>SLIM VERSION</t>
  </si>
  <si>
    <t>https://shop.officineitalianezard.it/en/moto-guzzi-v9-bobber-roamer-exhaust-zard-2/</t>
  </si>
  <si>
    <t>ZG081SSR</t>
  </si>
  <si>
    <t>https://shop.officineitalianezard.it/contents/imgs/products/1_1890-scarichi%20moto%20guzzi%20v9%202%20zard.jpg</t>
  </si>
  <si>
    <t>https://shop.officineitalianezard.it/contents/imgs/products/1_2198-scarico%20bmw%20r%20nine%20t%20urban%20gs%20zard%20-%202.jpg</t>
  </si>
  <si>
    <t>https://shop.officineitalianezard.it/en/yamaha-mt-09-exhaust-2/</t>
  </si>
  <si>
    <t>ZY106SKR</t>
  </si>
  <si>
    <t>https://shop.officineitalianezard.it/contents/imgs/products/1_2315-scarico%20omologato%20euro%204%20yamaha%20mt09%20-%20zard.jpg</t>
  </si>
  <si>
    <t>SCRAMBLER 1200 M.Y. 2019</t>
  </si>
  <si>
    <t>https://shop.officineitalianezard.it/en/triumph-scrambler-1200/</t>
  </si>
  <si>
    <t>https://shop.officineitalianezard.it/en/triumph-scrambler-1200-exhaust/</t>
  </si>
  <si>
    <t>ZTPH091SSR</t>
  </si>
  <si>
    <t>https://shop.officineitalianezard.it/contents/imgs/products/1_2592-triumph%20scrambler%201200.jpg</t>
  </si>
  <si>
    <t>https://shop.officineitalianezard.it/contents/imgs/products/1_697-2_564-scarico%20moto%20guzzi%20zard%202.jpg</t>
  </si>
  <si>
    <t>CAPITAN SCAPPAMENTO</t>
  </si>
  <si>
    <t>https://shop.officineitalianezard.it/en/bmw-nine-t-exhaust-zard-3/</t>
  </si>
  <si>
    <t>ZBMW528TKR</t>
  </si>
  <si>
    <t>https://shop.officineitalianezard.it/contents/imgs/products/1_1348-5.jpg</t>
  </si>
  <si>
    <t>https://shop.officineitalianezard.it/en/products/index/zard-conical-silencer-bmw-7457-124/</t>
  </si>
  <si>
    <t>ZBMW 516 SSR-S</t>
  </si>
  <si>
    <t>https://shop.officineitalianezard.it/en/zard-headers-kit-bmw-nine-t-1202/</t>
  </si>
  <si>
    <t>ZBMW525SCR</t>
  </si>
  <si>
    <t>BRUSHED FINISHING</t>
  </si>
  <si>
    <t>https://shop.officineitalianezard.it/en/low-mounted-full-kit-carburettor/</t>
  </si>
  <si>
    <t>LOW MOUNTED FULL KIT CARBURETTOR</t>
  </si>
  <si>
    <t>https://shop.officineitalianezard.it/contents/imgs/products/1_19-1.jpg</t>
  </si>
  <si>
    <t>https://shop.officineitalianezard.it/contents/imgs/products/1_2520-scarico%20xsr%20700%20mt%2007%20zard%203.jpg</t>
  </si>
  <si>
    <t>CALIFORNIA &gt; M.Y. 2013</t>
  </si>
  <si>
    <t>https://shop.officineitalianezard.it/en/moto-guzzi-california-m-y-2013-exhaust/</t>
  </si>
  <si>
    <t>BLACK VERSION</t>
  </si>
  <si>
    <t>https://shop.officineitalianezard.it/en/zard-black-silencers-for-moto-guzzi-california/</t>
  </si>
  <si>
    <t>ZG078SSR</t>
  </si>
  <si>
    <t>https://shop.officineitalianezard.it/contents/imgs/products/1_968-2.jpg</t>
  </si>
  <si>
    <t>STEEL WITH COMPENSER</t>
  </si>
  <si>
    <t>https://shop.officineitalianezard.it/contents/imgs/products/1_825-FOTO%20MOTO%20EICMA%20081.jpg</t>
  </si>
  <si>
    <t>R 1200 R M.Y. 09-10</t>
  </si>
  <si>
    <t>https://shop.officineitalianezard.it/en/bmw-r-1200-r-m-y-09-10-exhaust/</t>
  </si>
  <si>
    <t>https://shop.officineitalianezard.it/en/products/index/zard-conical-silencer-bmw-r-1200-r-7525-140/</t>
  </si>
  <si>
    <t>ZBMW085SSR-S</t>
  </si>
  <si>
    <t>KX KE 450 F</t>
  </si>
  <si>
    <t>https://shop.officineitalianezard.it/en/scarico-kawasaki-kx-ke-450-f/</t>
  </si>
  <si>
    <t>https://shop.officineitalianezard.it/en/products/index/zard-exhaust-kawasaki-kx-ke-450-f-7649-177/</t>
  </si>
  <si>
    <t>ZKAW177SKR</t>
  </si>
  <si>
    <t>https://shop.officineitalianezard.it/contents/imgs/products/1_2345-scarico%20kawasaki%20kx%20450%20f%20-%20zard%203.jpg</t>
  </si>
  <si>
    <t>https://shop.officineitalianezard.it/en/products/index/headers-kit-moto-guzzi-v7-zard-7428-86/</t>
  </si>
  <si>
    <t>M.Y. 12-13 HEADERS KIT</t>
  </si>
  <si>
    <t>ZG 075 SCR-12</t>
  </si>
  <si>
    <t>https://shop.officineitalianezard.it/en/products/index/full-kit-cross-version-7034-47/</t>
  </si>
  <si>
    <t>ZTPH 034 SKC</t>
  </si>
  <si>
    <t>https://shop.officineitalianezard.it/contents/imgs/products/1_127-0.jpg</t>
  </si>
  <si>
    <t>B-KING</t>
  </si>
  <si>
    <t>https://shop.officineitalianezard.it/en/suzuki-b-king-exhaust/</t>
  </si>
  <si>
    <t>https://shop.officineitalianezard.it/en/penta-silencers-zard-suzuki-b-king/</t>
  </si>
  <si>
    <t>ZS 200 ASR-B</t>
  </si>
  <si>
    <t>https://shop.officineitalianezard.it/contents/imgs/products/1_583-scarichi%20moto%20suzuki%20b-king%20zard.jpg</t>
  </si>
  <si>
    <t>CATALYZED</t>
  </si>
  <si>
    <t>https://shop.officineitalianezard.it/contents/imgs/products/1_967-1.jpg</t>
  </si>
  <si>
    <t>https://shop.officineitalianezard.it/en/moto-guzzi-v7-iii-exhaust-zard/</t>
  </si>
  <si>
    <t>ZG084SKR-P2</t>
  </si>
  <si>
    <t>https://shop.officineitalianezard.it/contents/imgs/products/1_2236-scarico%20guzzi%20v7III%20-%20zard.jpg</t>
  </si>
  <si>
    <t>848-1098R/S-1198R/S</t>
  </si>
  <si>
    <t>https://shop.officineitalianezard.it/en/ducati-848-1098-r-s-1198-r-s-exhaust/</t>
  </si>
  <si>
    <t>https://shop.officineitalianezard.it/en/products/index/penta-inox-carbonium-mufflers-7078-52/</t>
  </si>
  <si>
    <t>848/1098R-S/1198R-S SILENCERS</t>
  </si>
  <si>
    <t>ZD010SSR</t>
  </si>
  <si>
    <t>https://shop.officineitalianezard.it/contents/imgs/products/1_250-1098penta3.jpg</t>
  </si>
  <si>
    <t>https://shop.officineitalianezard.it/en/full-lower-kit-2-1-steel-2/</t>
  </si>
  <si>
    <t>https://shop.officineitalianezard.it/contents/imgs/products/1_2389-africa%20twin%20zard%20exhaust.jpg</t>
  </si>
  <si>
    <t>HOMOLOGATED-CATALYSED</t>
  </si>
  <si>
    <t>https://shop.officineitalianezard.it/en/2-1-low-mounted-full-kit/</t>
  </si>
  <si>
    <t>https://shop.officineitalianezard.it/contents/imgs/products/1_113-0.jpg</t>
  </si>
  <si>
    <t>https://shop.officineitalianezard.it/contents/imgs/products/1_2422-scarico%20kawasaki%20z900%20rs%20zard%20exhaust%204.jpg</t>
  </si>
  <si>
    <t>https://shop.officineitalianezard.it/en/triumph-street-twin-exhaust-by-zard/</t>
  </si>
  <si>
    <t>N.2 SILENCERS</t>
  </si>
  <si>
    <t>ZTPH058SSR</t>
  </si>
  <si>
    <t>https://shop.officineitalianezard.it/contents/imgs/products/1_1357-triumph%20street%20twin%20zard%20scarichi%20marmitta.jpg</t>
  </si>
  <si>
    <t>https://shop.officineitalianezard.it/contents/imgs/products/1_1793-3.jpg</t>
  </si>
  <si>
    <t>https://shop.officineitalianezard.it/contents/imgs/products/1_2104-scarico%20street%20scrambler%20-%20street%20scrambler%20exhaust%201.jpg</t>
  </si>
  <si>
    <t>https://shop.officineitalianezard.it/contents/imgs/products/1_1481-3.jpg</t>
  </si>
  <si>
    <t>250 EXC</t>
  </si>
  <si>
    <t>https://shop.officineitalianezard.it/en/ktm-250-exc-exhaust/</t>
  </si>
  <si>
    <t>STEEL-TITANIUM VERSION</t>
  </si>
  <si>
    <t>https://shop.officineitalianezard.it/en/ktm-250-exc-exhaust-zard/</t>
  </si>
  <si>
    <t>ZKTM230SSR-FC</t>
  </si>
  <si>
    <t>https://shop.officineitalianezard.it/contents/imgs/products/1_2286-ktm%20250%20exc%20scarico%20zard%202.jpg</t>
  </si>
  <si>
    <t>MONSTER S4R</t>
  </si>
  <si>
    <t>https://shop.officineitalianezard.it/en/ducati-monster-s4r-exhaust/</t>
  </si>
  <si>
    <t>https://shop.officineitalianezard.it/en/products/index/header-kit-hight-mounted-silencers-7116-65/</t>
  </si>
  <si>
    <t>https://shop.officineitalianezard.it/contents/imgs/products/1_377-monsters2r10003.jpg</t>
  </si>
  <si>
    <t>HYPERMOTARD 1100 EVO</t>
  </si>
  <si>
    <t>https://shop.officineitalianezard.it/en/ducati-hypermotard-1100-evo-exhaust/</t>
  </si>
  <si>
    <t>https://shop.officineitalianezard.it/en/products/index/ducati-hypermotard-796-exhaust-zard-7097-58/</t>
  </si>
  <si>
    <t>HOMOLOGATED CARBON VERSION</t>
  </si>
  <si>
    <t>https://shop.officineitalianezard.it/contents/imgs/products/1_2421-scarico%20kawasaki%20z900%20rs%20zard%20exhaust%201.jpg</t>
  </si>
  <si>
    <t>MONSTER 821 2015/17</t>
  </si>
  <si>
    <t>https://shop.officineitalianezard.it/en/ducati-monster-821-exhaust/</t>
  </si>
  <si>
    <t>https://shop.officineitalianezard.it/en/ducati-monster-821-exhaust-by-zard/</t>
  </si>
  <si>
    <t>ZD119SSR</t>
  </si>
  <si>
    <t>https://shop.officineitalianezard.it/contents/imgs/products/1_1311-4.jpg</t>
  </si>
  <si>
    <t>STELVIO</t>
  </si>
  <si>
    <t>https://shop.officineitalianezard.it/en/moto-guzzi-stelvio-exhaust/</t>
  </si>
  <si>
    <t>https://shop.officineitalianezard.it/en/products/index/moto-guzzi-stelvio-silencer-7343-83/</t>
  </si>
  <si>
    <t>ZG073SSR</t>
  </si>
  <si>
    <t>https://shop.officineitalianezard.it/en/triumph-bonneville-exhaust-zard/</t>
  </si>
  <si>
    <t>ZTPH076SKR</t>
  </si>
  <si>
    <t>https://shop.officineitalianezard.it/contents/imgs/products/1_2009-4.jpg</t>
  </si>
  <si>
    <t>https://shop.officineitalianezard.it/contents/imgs/products/1_2092-zard%20scrambler.jpg</t>
  </si>
  <si>
    <t>https://shop.officineitalianezard.it/en/triumph-bonneville-scrambler-thruxton-zard-exhaust-3/</t>
  </si>
  <si>
    <t>SPECIAL EDITION FULL KIT SHORT VERSION</t>
  </si>
  <si>
    <t>ZTPH053SKB</t>
  </si>
  <si>
    <t>R45-R65</t>
  </si>
  <si>
    <t>https://shop.officineitalianezard.it/en/bmw-r-45-r-65-exhaust/</t>
  </si>
  <si>
    <t>https://shop.officineitalianezard.it/en/products/index/bmw-r45-r65-exhaust-zard-7831-222/</t>
  </si>
  <si>
    <t>ZBMW533SKR</t>
  </si>
  <si>
    <t>HOMOLOGATED CAT.</t>
  </si>
  <si>
    <t>DOWNTOWN 300i</t>
  </si>
  <si>
    <t>https://shop.officineitalianezard.it/en/kymco-downtown-300i-exhaust/</t>
  </si>
  <si>
    <t>https://shop.officineitalianezard.it/en/products/index/zard-silencer-kymco-downtown-300i-7424-115/</t>
  </si>
  <si>
    <t>ZK 384 ASR</t>
  </si>
  <si>
    <t>https://shop.officineitalianezard.it/contents/imgs/products/1_702-scarichi%20moto%20zard%20kymco%201.jpg</t>
  </si>
  <si>
    <t>https://shop.officineitalianezard.it/en/moto-guzzi-v7-iii-exhaust-zard-2/</t>
  </si>
  <si>
    <t>ZG083SSO-CR</t>
  </si>
  <si>
    <t>https://shop.officineitalianezard.it/contents/imgs/products/1_2722-zard%20moto%20guzzi%20v7III.jpg</t>
  </si>
  <si>
    <t>https://shop.officineitalianezard.it/contents/imgs/products/1_646-2scarichi%20t-max%20yamaha%20zard2.jpg</t>
  </si>
  <si>
    <t>https://shop.officineitalianezard.it/contents/imgs/products/1_1880-4.jpg</t>
  </si>
  <si>
    <t>https://shop.officineitalianezard.it/en/piaggio-zard-exhaust/</t>
  </si>
  <si>
    <t>VESPA GTS 300 2014/19</t>
  </si>
  <si>
    <t>https://shop.officineitalianezard.it/en/piaggio-vespa-gts-gtv-250-300-exhaust/</t>
  </si>
  <si>
    <t>https://shop.officineitalianezard.it/en/vespa-gts-exhaust-zard/</t>
  </si>
  <si>
    <t>ZP001SSR</t>
  </si>
  <si>
    <t>https://shop.officineitalianezard.it/contents/imgs/products/1_1838-4.jpg</t>
  </si>
  <si>
    <t>https://shop.officineitalianezard.it/en/bmw-nine-t-exhaust-zard-4/</t>
  </si>
  <si>
    <t>TITANIUM FULL KIT</t>
  </si>
  <si>
    <t>ZBMW530TKR</t>
  </si>
  <si>
    <t>https://shop.officineitalianezard.it/contents/imgs/products/1_1449-2.jpg</t>
  </si>
  <si>
    <t>https://shop.officineitalianezard.it/contents/imgs/products/1_556-scarichi%20moto%20ducati%20monster%201100%20evo%20zard%203.jpg</t>
  </si>
  <si>
    <t>CLASSIC M.Y. 2019</t>
  </si>
  <si>
    <t>https://shop.officineitalianezard.it/en/royal-enfield-classic-zard-exhaust-2/</t>
  </si>
  <si>
    <t>https://shop.officineitalianezard.it/en/royal-enfield-classic-exhaust/</t>
  </si>
  <si>
    <t>ZRE539SSR</t>
  </si>
  <si>
    <t>https://shop.officineitalianezard.it/contents/imgs/products/1_2641-scarico%20royal%20enfield%20classic%20zard%20-%203.jpg</t>
  </si>
  <si>
    <t>BULLET 350-500</t>
  </si>
  <si>
    <t>https://shop.officineitalianezard.it/en/royal-enfield-bullet-350-500-exhaust/</t>
  </si>
  <si>
    <t>https://shop.officineitalianezard.it/en/royal-enfield-zard-conical-silencer/</t>
  </si>
  <si>
    <t>ZRE533SSR</t>
  </si>
  <si>
    <t>https://shop.officineitalianezard.it/contents/imgs/products/1_1914-3%20royal%20enfield%20bullet%20classic%20scarichi%20-%20zard.jpg</t>
  </si>
  <si>
    <t>STREET TRIPLE 675</t>
  </si>
  <si>
    <t>https://shop.officineitalianezard.it/en/triumph-street-triple-675-exhaust/</t>
  </si>
  <si>
    <t>https://shop.officineitalianezard.it/en/steel-conic-muffler/</t>
  </si>
  <si>
    <t>ZTPH512SSR</t>
  </si>
  <si>
    <t>https://shop.officineitalianezard.it/contents/imgs/products/1_945-scarichi%20moto%20zard%20cross.jpg</t>
  </si>
  <si>
    <t>https://shop.officineitalianezard.it/contents/imgs/products/1_1063-scarico%20scrambler%20zard2.jpg</t>
  </si>
  <si>
    <t>https://shop.officineitalianezard.it/contents/imgs/products/1_161-speed2011cono-4.jpg</t>
  </si>
  <si>
    <t>BLACK + STEEL HEAT SHIELD</t>
  </si>
  <si>
    <t>R 1200 GS M.Y. 04-09</t>
  </si>
  <si>
    <t>https://shop.officineitalianezard.it/en/bmw-r-1200-gs-m-y-04-09-exhaust/</t>
  </si>
  <si>
    <t>https://shop.officineitalianezard.it/en/products/index/zard-conical-silencer-bmw-7453-123/</t>
  </si>
  <si>
    <t>ZBMW 080 SSR-S</t>
  </si>
  <si>
    <t>V-STROM 1000 M.Y. 2014</t>
  </si>
  <si>
    <t>https://shop.officineitalianezard.it/en/sukuzi-v-strom-1000-m-y-2014-exhaust/</t>
  </si>
  <si>
    <t>https://shop.officineitalianezard.it/en/silencer-penta-r-version/</t>
  </si>
  <si>
    <t>ZS203SSR</t>
  </si>
  <si>
    <t>RACING CARBON VERSION</t>
  </si>
  <si>
    <t>https://shop.officineitalianezard.it/contents/imgs/products/1_409-ducati-multistrada1000.jpg</t>
  </si>
  <si>
    <t>BLACK END CAP AND LOGO PLATE</t>
  </si>
  <si>
    <t>https://shop.officineitalianezard.it/contents/imgs/products/1_2347-scarico%20kawasaki%20kx%20450%20f%20-%20zard%202.jpg</t>
  </si>
  <si>
    <t>https://shop.officineitalianezard.it/contents/imgs/products/1_318-hypekitlateraleinox2.jpg</t>
  </si>
  <si>
    <t>https://shop.officineitalianezard.it/contents/imgs/products/1_2235-zard%20moto%20guzzi%20v7III.jpg</t>
  </si>
  <si>
    <t>https://shop.officineitalianezard.it/contents/imgs/products/1_1884-4.jpg</t>
  </si>
  <si>
    <t>https://shop.officineitalianezard.it/contents/imgs/products/1_904-2.jpg</t>
  </si>
  <si>
    <t>https://shop.officineitalianezard.it/en/triumph-speed-triple-exhaust-zard-2/</t>
  </si>
  <si>
    <t>ZTPH031SSR</t>
  </si>
  <si>
    <t>https://shop.officineitalianezard.it/en/scrambler-ducati-exhaust-zard-2/</t>
  </si>
  <si>
    <t>ZD780SSR</t>
  </si>
  <si>
    <t>R 1200 GS 2013-2018</t>
  </si>
  <si>
    <t>https://shop.officineitalianezard.it/en/bmw-r-1200-gs-2013-2018-exhaust/</t>
  </si>
  <si>
    <t>https://shop.officineitalianezard.it/en/bmw-gs-1200-exhaust-zard/</t>
  </si>
  <si>
    <t>ZBMW521SSR</t>
  </si>
  <si>
    <t>CARBON VERSION</t>
  </si>
  <si>
    <t>STEEL-TITANIUM HOMOLOGATED</t>
  </si>
  <si>
    <t>CARBON END-CAPS COVERS</t>
  </si>
  <si>
    <t>https://shop.officineitalianezard.it/contents/imgs/products/1_924-Collettorecomp.3.JPG</t>
  </si>
  <si>
    <t>https://shop.officineitalianezard.it/contents/imgs/products/1_1147-11017541_10153917985646632_8025402486644623573_n.jpg</t>
  </si>
  <si>
    <t>https://shop.officineitalianezard.it/contents/imgs/products/1_2197-scarico%20bmw%20r%20nine%20t%20urban%20gs%20zard%20-%203.jpg</t>
  </si>
  <si>
    <t>V7 CLASSIC - V7 II SPECIAL - V7 II STONE 2008/15</t>
  </si>
  <si>
    <t>https://shop.officineitalianezard.it/en/moto-guzzi-v7-classic-v7-special-v7-ii-stone-exhaust/</t>
  </si>
  <si>
    <t>https://shop.officineitalianezard.it/en/products/index/moto-guzzi-v7-stone-exhaust-zard-7384-93/</t>
  </si>
  <si>
    <t>M.Y 08-15 SILENCERS</t>
  </si>
  <si>
    <t>https://shop.officineitalianezard.it/contents/imgs/products/1_2398-terminali%20silenziatori%20scarico%20moto%20guzzi%20v7II%20-%20zard%205.jpg</t>
  </si>
  <si>
    <t>TRACER 900 2015/16</t>
  </si>
  <si>
    <t>https://shop.officineitalianezard.it/en/yamaha-mt-09-tracer-exhaust/</t>
  </si>
  <si>
    <t>https://shop.officineitalianezard.it/en/2-1-zard-full-kit-for-yamaha-mt-10/</t>
  </si>
  <si>
    <t>ZY097SKR</t>
  </si>
  <si>
    <t>https://shop.officineitalianezard.it/contents/imgs/products/1_2024-1721-scarico%20xsr900%20mt07%20xsr700%20mt09%20yamaha%20zard.jpg</t>
  </si>
  <si>
    <t>https://shop.officineitalianezard.it/en/triumph-bonneville-t120-exhaust-zard/</t>
  </si>
  <si>
    <t>ZTPH066SKA</t>
  </si>
  <si>
    <t>RIGHT BRUSHED ALUMINIUM SIDE PANEL</t>
  </si>
  <si>
    <t>https://shop.officineitalianezard.it/contents/imgs/products/1_1739-bassoneroridotta.jpg</t>
  </si>
  <si>
    <t>https://shop.officineitalianezard.it/contents/imgs/products/1_749-scarichi%20moto%20zard%20bmw%201.jpg</t>
  </si>
  <si>
    <t>https://shop.officineitalianezard.it/en/full-kit-2-1-2-penta-evo-1098-r-1198-r-s/</t>
  </si>
  <si>
    <t>1098 R-S/1198 R-S 2&gt;1&gt;2 FULL KIT</t>
  </si>
  <si>
    <t>ZD010SRR</t>
  </si>
  <si>
    <t>https://shop.officineitalianezard.it/contents/imgs/products/1_261-1.jpg</t>
  </si>
  <si>
    <t>HIMALAYAN M.Y. 2019</t>
  </si>
  <si>
    <t>https://shop.officineitalianezard.it/en/royal-enfield-himalayan-zard-exhaust/</t>
  </si>
  <si>
    <t>HIGH MOUNT VERSION</t>
  </si>
  <si>
    <t>https://shop.officineitalianezard.it/en/royal-enfield-himalayan-exhaust/</t>
  </si>
  <si>
    <t>PENTA SLIP-ON</t>
  </si>
  <si>
    <t>ZRE538SSR</t>
  </si>
  <si>
    <t>https://shop.officineitalianezard.it/contents/imgs/products/1_2619-scarico%20royal%20enfield%20himalayan%20-%20zard%203.jpg</t>
  </si>
  <si>
    <t>TIGER 800</t>
  </si>
  <si>
    <t>https://shop.officineitalianezard.it/en/triumph-tiger-800-exhaust/</t>
  </si>
  <si>
    <t>https://shop.officineitalianezard.it/en/high-mounting-penta-muffler/</t>
  </si>
  <si>
    <t>HIGH MOUNTED SILENCER</t>
  </si>
  <si>
    <t>ZTPH504AAR</t>
  </si>
  <si>
    <t>SPORT VERSION</t>
  </si>
  <si>
    <t>https://shop.officineitalianezard.it/en/sport-inox-full-kit-kit-3-1/</t>
  </si>
  <si>
    <t>ZTPH500SKS</t>
  </si>
  <si>
    <t>https://shop.officineitalianezard.it/contents/imgs/products/1_478-terminale.jpg</t>
  </si>
  <si>
    <t>https://shop.officineitalianezard.it/en/products/index/ducati-multistrada-exhaust-zard-7127-67/</t>
  </si>
  <si>
    <t>HEADERS KIT + 2&gt;1&gt;2 SILENCER</t>
  </si>
  <si>
    <t>ZD014SKR</t>
  </si>
  <si>
    <t>https://shop.officineitalianezard.it/contents/imgs/products/1_411-ducati-multistrada1000.jpg</t>
  </si>
  <si>
    <t>https://shop.officineitalianezard.it/en/triumph-street-scrambler-exhaust-zard-2/</t>
  </si>
  <si>
    <t>ZTPH085SKR</t>
  </si>
  <si>
    <t>https://shop.officineitalianezard.it/contents/imgs/products/1_2141-scarico%20street%20scrambler%20zard%20street%20scrambker%20exhaust%203.jpg</t>
  </si>
  <si>
    <t>https://shop.officineitalianezard.it/contents/imgs/products/1_115-1.jpg</t>
  </si>
  <si>
    <t>https://shop.officineitalianezard.it/en/products/index/penta-silencers-zard-bimota-7413-108/</t>
  </si>
  <si>
    <t>ZB 082 SSR</t>
  </si>
  <si>
    <t>https://shop.officineitalianezard.it/contents/imgs/products/1_680-scarichi%20moto%20zard%20bimota%202.jpg</t>
  </si>
  <si>
    <t>CONTINENTAL GT / INTERCEPTOR M.Y. 2019</t>
  </si>
  <si>
    <t>https://shop.officineitalianezard.it/en/royal-enfield-continental-gt-interceptor-exhaust-2019/</t>
  </si>
  <si>
    <t>https://shop.officineitalianezard.it/en/royal-enfield-continental-gt-exhaust-2/</t>
  </si>
  <si>
    <t>ZRE536SSR</t>
  </si>
  <si>
    <t>https://shop.officineitalianezard.it/contents/imgs/products/1_2664-scarico%20royal%20enfield%20continental%20gt%20interceptor%20650%20zard%20-%201.jpg</t>
  </si>
  <si>
    <t>R 850 GS - R 1150 GS - R 1150 R</t>
  </si>
  <si>
    <t>https://shop.officineitalianezard.it/en/bmw-r-850-gs-r-1150-gs-r-1150-r-exhaust/</t>
  </si>
  <si>
    <t>https://shop.officineitalianezard.it/en/products/index/zard-conical-silencer-bmw-7451-122/</t>
  </si>
  <si>
    <t>ZBMW 514 SSR-S</t>
  </si>
  <si>
    <t>HOMOLOGATED EURO 3</t>
  </si>
  <si>
    <t>TIGER 70 VERSION</t>
  </si>
  <si>
    <t>https://shop.officineitalianezard.it/en/triumph-street-scrambler-exhaust-zard-3/</t>
  </si>
  <si>
    <t>ZTPH080SKR</t>
  </si>
  <si>
    <t>https://shop.officineitalianezard.it/contents/imgs/products/1_2164-scarico%20street%20scrambler%20zard%20-%204.jpg</t>
  </si>
  <si>
    <t>https://shop.officineitalianezard.it/contents/imgs/products/1_879-z800.3.JPG</t>
  </si>
  <si>
    <t>https://shop.officineitalianezard.it/contents/imgs/products/1_1801-scarico%20scrambler%20ducati.jpg</t>
  </si>
  <si>
    <t>CRF 250 M.Y. 14-16</t>
  </si>
  <si>
    <t>https://shop.officineitalianezard.it/en/honda-crf-250-m-y-14-16-exhaust/</t>
  </si>
  <si>
    <t>https://shop.officineitalianezard.it/en/products/index/honda-crf-250-zard-exhaust-7651-179/</t>
  </si>
  <si>
    <t>ZHND362STKR</t>
  </si>
  <si>
    <t>https://shop.officineitalianezard.it/en/high-mounted-silencer-short/</t>
  </si>
  <si>
    <t>2&gt;1 FULL KIT SPECIAL EDITION</t>
  </si>
  <si>
    <t>ZTPH052SKA</t>
  </si>
  <si>
    <t>https://shop.officineitalianezard.it/contents/imgs/products/1_1204-3.jpg</t>
  </si>
  <si>
    <t>https://shop.officineitalianezard.it/en/2-1-high-mounted-short-full-kit/</t>
  </si>
  <si>
    <t>2&gt;1 HIGH MOUNTED SHORT FULL KIT</t>
  </si>
  <si>
    <t>ZTPH048SKA-08</t>
  </si>
  <si>
    <t>CATALYSED</t>
  </si>
  <si>
    <t>https://shop.officineitalianezard.it/contents/imgs/products/1_1959-1.jpg</t>
  </si>
  <si>
    <t>https://shop.officineitalianezard.it/contents/imgs/products/1_629-2_586-scarichi%20moto%20zard.jpg</t>
  </si>
  <si>
    <t>DM5 VERSION</t>
  </si>
  <si>
    <t>https://shop.officineitalianezard.it/en/ducati-panigale-v4-zard-exhaust/</t>
  </si>
  <si>
    <t>ZD1100STKR</t>
  </si>
  <si>
    <t>https://shop.officineitalianezard.it/contents/imgs/products/1_2531-scarico%20ducati%20panigale%20v4%20zard%20exhaust%205.jpg</t>
  </si>
  <si>
    <t>TOP-GUN VERSION</t>
  </si>
  <si>
    <t>https://shop.officineitalianezard.it/en/products/index/ducati-hypermotard-exhaust-zard-7095-57/</t>
  </si>
  <si>
    <t>ZD110SSR</t>
  </si>
  <si>
    <t>https://shop.officineitalianezard.it/contents/imgs/products/1_1122-DSCN1977.JPG</t>
  </si>
  <si>
    <t>https://shop.officineitalianezard.it/en/full-kit-cross-version-2/</t>
  </si>
  <si>
    <t>2&gt;1 FULL KIT CROSS VERSION</t>
  </si>
  <si>
    <t>https://shop.officineitalianezard.it/contents/imgs/products/1_198-2.jpg</t>
  </si>
  <si>
    <t>https://shop.officineitalianezard.it/contents/imgs/products/1_1669-triumph%20t120%20street%20twin%20exhaust.jpg</t>
  </si>
  <si>
    <t>THUNDERBOLT VERSION</t>
  </si>
  <si>
    <t>https://shop.officineitalianezard.it/en/products/index/bmw-r-nine-t-scrambler-exhaust-zard-7864-228/</t>
  </si>
  <si>
    <t>N. 2 OVERLAPPED SILENCERS</t>
  </si>
  <si>
    <t>ZBMW542SSR</t>
  </si>
  <si>
    <t>https://shop.officineitalianezard.it/contents/imgs/products/1_2212-scarico%20bmw%20nine%20t%20scrambler%20-%20zard%201.jpg</t>
  </si>
  <si>
    <t>https://shop.officineitalianezard.it/contents/imgs/products/1_947-scarichi%20moto%20zard%20cross.jpg</t>
  </si>
  <si>
    <t>M.Y. 07-14</t>
  </si>
  <si>
    <t>https://shop.officineitalianezard.it/en/products/index/kawasaki-z750-exhaust-zard-7934-136/</t>
  </si>
  <si>
    <t>ZKAW170SSR-07</t>
  </si>
  <si>
    <t>https://shop.officineitalianezard.it/contents/imgs/products/1_2488-numero%2036%20copy.jpg</t>
  </si>
  <si>
    <t>LOGO PLATE AND HOSE CLAMP BRONZED</t>
  </si>
  <si>
    <t>TESI 3D</t>
  </si>
  <si>
    <t>https://shop.officineitalianezard.it/en/bimota-tesi-3-d-exhaust/</t>
  </si>
  <si>
    <t>https://shop.officineitalianezard.it/en/products/index/penta-silencers-zard-bimota-7414-109/</t>
  </si>
  <si>
    <t>ZB 083 SSR</t>
  </si>
  <si>
    <t>https://shop.officineitalianezard.it/contents/imgs/products/1_682-scarichi%20moto%20zard%20bimota2.jpg</t>
  </si>
  <si>
    <t>HOMOLOGATED</t>
  </si>
  <si>
    <t>BMW R-NINE T</t>
  </si>
  <si>
    <t>https://shop.officineitalianezard.it/en/bmw-nine-t-exhaust-zard/</t>
  </si>
  <si>
    <t>ACCESSORIES</t>
  </si>
  <si>
    <t>ZBMW528-1234</t>
  </si>
  <si>
    <t>TITANIUM INTAKE COVER RH+LH</t>
  </si>
  <si>
    <t>https://shop.officineitalianezard.it/contents/imgs/products/1_2719-scarichi%20moto%20zard%20collettori%20titanio%20bmw%20r%20nine%20t_1.jpg</t>
  </si>
  <si>
    <t>STEEL-CARBON VERSION</t>
  </si>
  <si>
    <t>https://shop.officineitalianezard.it/en/products/index/africa-twin-exhaust-zard-7744-203/</t>
  </si>
  <si>
    <t>ZHND366SSR-FC</t>
  </si>
  <si>
    <t>TITANIUM-CARBON EURO 4 HOMOLOGATED</t>
  </si>
  <si>
    <t>https://shop.officineitalianezard.it/en/2-1-hight-mounting-short-full-kit/</t>
  </si>
  <si>
    <t>2&gt;1 HIGHT MOUNTING SHORT FULL KIT</t>
  </si>
  <si>
    <t>ZTPH048SKA</t>
  </si>
  <si>
    <t>https://shop.officineitalianezard.it/contents/imgs/products/1_1105-inox.jpg</t>
  </si>
  <si>
    <t>R 1150</t>
  </si>
  <si>
    <t>https://shop.officineitalianezard.it/en/bmw-r-1150-exhaust/</t>
  </si>
  <si>
    <t>https://shop.officineitalianezard.it/en/products/index/bmw-r1150-exhaust-zard-7830-220/</t>
  </si>
  <si>
    <t>ZBMW532SKR</t>
  </si>
  <si>
    <t>https://shop.officineitalianezard.it/contents/imgs/products/1_2355-2040-scarico%20bmw%20R1150%20zard1.jpg</t>
  </si>
  <si>
    <t>https://shop.officineitalianezard.it/contents/imgs/products/1_2599-3%20scarico%20triumph%20speed%20twin%20scarichi%20zard%20exhaust.jpg</t>
  </si>
  <si>
    <t>350 SX-F</t>
  </si>
  <si>
    <t>https://shop.officineitalianezard.it/en/ktm-350-sx-f-exhaust/</t>
  </si>
  <si>
    <t>STEEL-ALUMINIUM VERSION</t>
  </si>
  <si>
    <t>https://shop.officineitalianezard.it/en/products/index/ktm-450-sx-f-exhaust-zard-7882-196/</t>
  </si>
  <si>
    <t>ZKTM232SKR-FC</t>
  </si>
  <si>
    <t>https://shop.officineitalianezard.it/contents/imgs/products/1_2291-scarico%20ktm%20350%20sxf%20zard%202.jpg</t>
  </si>
  <si>
    <t>https://shop.officineitalianezard.it/contents/imgs/products/1_1733-1067-scarico%20scrambler%20zard2.jpg</t>
  </si>
  <si>
    <t>https://shop.officineitalianezard.it/contents/imgs/products/1_2330-scarichi%20yamaha%20t%20max%20-%20zard.jpg</t>
  </si>
  <si>
    <t>https://shop.officineitalianezard.it/en/products/index/n-2-high-mounting-carbonium-mufflers-7117-65/</t>
  </si>
  <si>
    <t>https://shop.officineitalianezard.it/en/triumph-street-scrambler-exhaust-zard-5/</t>
  </si>
  <si>
    <t>ZTPH078SKR</t>
  </si>
  <si>
    <t>https://shop.officineitalianezard.it/contents/imgs/products/1_2098-scarico%20triumph%20street%20scrambler%203.jpg</t>
  </si>
  <si>
    <t>250 SX-F &gt; M.Y 2016</t>
  </si>
  <si>
    <t>https://shop.officineitalianezard.it/en/ktm-250-sx-f-exhaust/</t>
  </si>
  <si>
    <t>https://shop.officineitalianezard.it/en/products/index/ktm-250-sx-f-exhaust-zard-7715-195/</t>
  </si>
  <si>
    <t>ZKTM231SKR-FC</t>
  </si>
  <si>
    <t>https://shop.officineitalianezard.it/contents/imgs/products/1_1743-scarico%20bonneville%20t120%20scarico%20triumph%20street%20twin.jpg</t>
  </si>
  <si>
    <t>CARBON 'PENTA' ENDCAP</t>
  </si>
  <si>
    <t>https://shop.officineitalianezard.it/en/products/index/full-kit-2-1-2-penta-evo-1098-s-848-7080-52/</t>
  </si>
  <si>
    <t>848/1098S FULL KIT 2&gt;1&gt;2</t>
  </si>
  <si>
    <t>ZD010SKR</t>
  </si>
  <si>
    <t>https://shop.officineitalianezard.it/contents/imgs/products/1_258-1.jpg</t>
  </si>
  <si>
    <t>https://shop.officineitalianezard.it/contents/imgs/products/1_2629-scarico%20royal%20enfield%20bullet%20trials%20500%20-%20zard%204.jpg</t>
  </si>
  <si>
    <t>https://shop.officineitalianezard.it/en/can-am-exhaust/</t>
  </si>
  <si>
    <t>SPIDER</t>
  </si>
  <si>
    <t>https://shop.officineitalianezard.it/en/can-am-spider-exhaust/</t>
  </si>
  <si>
    <t>https://shop.officineitalianezard.it/en/products/index/can-am-spider-zard-exhaust-7574-153/</t>
  </si>
  <si>
    <t>ZCAN380SSR</t>
  </si>
  <si>
    <t>https://shop.officineitalianezard.it/contents/imgs/products/1_1037-scarico%20can-am%20zard%202.jpg</t>
  </si>
  <si>
    <t>https://shop.officineitalianezard.it/contents/imgs/products/1_648-2scarichi%20t-max%20yamaha%20zard1.jpg</t>
  </si>
  <si>
    <t>XDIAVEL 2016/19</t>
  </si>
  <si>
    <t>https://shop.officineitalianezard.it/en/ducati-xdiavel-exhaust/</t>
  </si>
  <si>
    <t>2&gt;1&gt;2</t>
  </si>
  <si>
    <t>https://shop.officineitalianezard.it/en/products/index/ducati-xdiavel-exhaust-zard-7855-227/</t>
  </si>
  <si>
    <t>KIT</t>
  </si>
  <si>
    <t>ZD124SKR</t>
  </si>
  <si>
    <t>https://shop.officineitalianezard.it/contents/imgs/products/1_2415-scarico%20xdiavel%20zard%201.jpg</t>
  </si>
  <si>
    <t>https://shop.officineitalianezard.it/contents/imgs/products/1_1136-2.jpg</t>
  </si>
  <si>
    <t>https://shop.officineitalianezard.it/en/products/index/zard-conical-full-kit-harley-davidson-sportster-7493-132/</t>
  </si>
  <si>
    <t>ZHD 539 SKR</t>
  </si>
  <si>
    <t>https://shop.officineitalianezard.it/contents/imgs/products/1_987-1A.jpg</t>
  </si>
  <si>
    <t>https://shop.officineitalianezard.it/en/products/index/aprilia-shiver-zard-silencers-7404-100/</t>
  </si>
  <si>
    <t>ZA132SSR-AS</t>
  </si>
  <si>
    <t>BLACK SILENCERS RACING</t>
  </si>
  <si>
    <t>https://shop.officineitalianezard.it/contents/imgs/products/1_620-scarichi%20moto%20ducati%20zard%20diavel%202.jpg</t>
  </si>
  <si>
    <t>https://shop.officineitalianezard.it/en/polished-silencers-for-bonneville-se/</t>
  </si>
  <si>
    <t>POLISHED SILENCERS FOR BONNEVILLE SE</t>
  </si>
  <si>
    <t>ZTPH041SSR</t>
  </si>
  <si>
    <t>https://shop.officineitalianezard.it/contents/imgs/products/1_54-3.jpg</t>
  </si>
  <si>
    <t>https://shop.officineitalianezard.it/contents/imgs/products/1_1858-1.jpg</t>
  </si>
  <si>
    <t>https://shop.officineitalianezard.it/contents/imgs/products/1_625-2_484-3.jpg</t>
  </si>
  <si>
    <t>https://shop.officineitalianezard.it/contents/imgs/products/1_168-Speed0204sil.jpg</t>
  </si>
  <si>
    <t>MONSTER 1200 R-S M.Y. 2016 &gt; 2018</t>
  </si>
  <si>
    <t>https://shop.officineitalianezard.it/en/ducati-monster-1200-r-s-exhaust/</t>
  </si>
  <si>
    <t>https://shop.officineitalianezard.it/en/ducati-monster-1200-s-exhaust-zard/</t>
  </si>
  <si>
    <t>ZD126SKR</t>
  </si>
  <si>
    <t>https://shop.officineitalianezard.it/contents/imgs/products/1_2305-zard-3.jpg</t>
  </si>
  <si>
    <t>https://shop.officineitalianezard.it/contents/imgs/products/1_2180-scarico%20vespa%20gts.jpg</t>
  </si>
  <si>
    <t>DAYTONA 675 M.Y. 2009</t>
  </si>
  <si>
    <t>https://shop.officineitalianezard.it/en/triumph-daytona-675-m-y-2009/</t>
  </si>
  <si>
    <t>SIDE VERSION</t>
  </si>
  <si>
    <t>https://shop.officineitalianezard.it/en/full-side-kit/</t>
  </si>
  <si>
    <t>FULL  KIT</t>
  </si>
  <si>
    <t>ZTPH033SKR-09</t>
  </si>
  <si>
    <t>https://shop.officineitalianezard.it/contents/imgs/products/1_63-daytona-rossa2.jpg</t>
  </si>
  <si>
    <t>https://shop.officineitalianezard.it/contents/imgs/products/1_1350-2.jpg</t>
  </si>
  <si>
    <t>R 1200 S</t>
  </si>
  <si>
    <t>https://shop.officineitalianezard.it/en/bmw-r-1200-s-exhaust/</t>
  </si>
  <si>
    <t>https://shop.officineitalianezard.it/en/zard-silencer-bmw/</t>
  </si>
  <si>
    <t>ZBMW082SSO-S</t>
  </si>
  <si>
    <t>https://shop.officineitalianezard.it/contents/imgs/products/1_787-scarichi%20moto%20zard%20bmw%201.jpg</t>
  </si>
  <si>
    <t>https://shop.officineitalianezard.it/en/products/index/4-1-full-kit-penta-version-zard-kawasaki-7512-138/</t>
  </si>
  <si>
    <t>ZKAW 175 APR</t>
  </si>
  <si>
    <t>https://shop.officineitalianezard.it/en/products/index/header-kit-hight-mounted-silencers-7111-62/</t>
  </si>
  <si>
    <t>ZD016SKR</t>
  </si>
  <si>
    <t>https://shop.officineitalianezard.it/contents/imgs/products/1_367-ducati-monster-S2R800-part.jpg</t>
  </si>
  <si>
    <t>STAINLESS STEEL VERSION</t>
  </si>
  <si>
    <t>https://shop.officineitalianezard.it/en/bmw-r-1200-gs-headers-kit-zard/</t>
  </si>
  <si>
    <t>ZBMW521SCR</t>
  </si>
  <si>
    <t>https://shop.officineitalianezard.it/contents/imgs/products/1_2543-0.jpg</t>
  </si>
  <si>
    <t>LOW MOUNT VERSION</t>
  </si>
  <si>
    <t>https://shop.officineitalianezard.it/en/royal-enfield-himalayan-exhaust-2/</t>
  </si>
  <si>
    <t>ZRE535SSR</t>
  </si>
  <si>
    <t>R80 VERSION</t>
  </si>
  <si>
    <t>https://shop.officineitalianezard.it/en/products/index/bmw-r-nine-t-racer-scrambler-urban-gs-exhaust-zard-7862-228/</t>
  </si>
  <si>
    <t>ZBMW545SSR</t>
  </si>
  <si>
    <t>BACK MOUNTING KIT</t>
  </si>
  <si>
    <t>https://shop.officineitalianezard.it/contents/imgs/products/1_2582-scarichi%20hypermotard%20sp%202019%20zard%201.jpg</t>
  </si>
  <si>
    <t>https://shop.officineitalianezard.it/contents/imgs/products/1_2545-2.jpg</t>
  </si>
  <si>
    <t>https://shop.officineitalianezard.it/contents/imgs/products/1_1783-1776-1767-1503-1.jpg</t>
  </si>
  <si>
    <t>https://shop.officineitalianezard.it/en/products/index/ducati-797-exhaust-zard-7810-217/</t>
  </si>
  <si>
    <t>ZD787SSR</t>
  </si>
  <si>
    <t>https://shop.officineitalianezard.it/contents/imgs/products/1_2318-3.jpg</t>
  </si>
  <si>
    <t>STEEL HEADERS + TITANIUM SILENCER</t>
  </si>
  <si>
    <t>TRACER 900 2018/19</t>
  </si>
  <si>
    <t>https://shop.officineitalianezard.it/en/tracer-900-2018-19/</t>
  </si>
  <si>
    <t>https://shop.officineitalianezard.it/en/yamaha-mt-09-exhaust-3/</t>
  </si>
  <si>
    <t>ZY106SKR-T</t>
  </si>
  <si>
    <t>https://shop.officineitalianezard.it/contents/imgs/products/1_2054-bmw%20r100%20scarico%20-%20zard%201.jpg</t>
  </si>
  <si>
    <t>https://shop.officineitalianezard.it/en/products/index/decatalyzer-7452-122/</t>
  </si>
  <si>
    <t>DECATALYZER</t>
  </si>
  <si>
    <t>ZBMW 514 SCR</t>
  </si>
  <si>
    <t>https://shop.officineitalianezard.it/contents/imgs/products/1_760-scarichi%20moto%20zard%20bmw%205.jpg</t>
  </si>
  <si>
    <t>STEEL-TITANIUM RACING</t>
  </si>
  <si>
    <t>https://shop.officineitalianezard.it/en/zard-headers-kit-bmw/</t>
  </si>
  <si>
    <t>ZBMW084SCR</t>
  </si>
  <si>
    <t>https://shop.officineitalianezard.it/contents/imgs/products/1_918-Collettorecomp.1.JPG</t>
  </si>
  <si>
    <t>https://shop.officineitalianezard.it/contents/imgs/products/1_2726-1.jpg</t>
  </si>
  <si>
    <t>https://shop.officineitalianezard.it/contents/imgs/products/1_1163-3.jpg</t>
  </si>
  <si>
    <t>https://shop.officineitalianezard.it/en/triumph-bonneville-scrambler-thruxton-zard-exhaust/</t>
  </si>
  <si>
    <t>https://shop.officineitalianezard.it/contents/imgs/products/1_1323-1.jpg</t>
  </si>
  <si>
    <t>MIRROR POLISHING</t>
  </si>
  <si>
    <t>https://shop.officineitalianezard.it/contents/imgs/products/1_2080-scrambler%20ducati%20desert%20sled%20scarichi%20-%20zard%201.jpg</t>
  </si>
  <si>
    <t>https://shop.officineitalianezard.it/en/penta-steel-mufflers/</t>
  </si>
  <si>
    <t>ZTPH040SSR</t>
  </si>
  <si>
    <t>https://shop.officineitalianezard.it/contents/imgs/products/1_1881-3.jpg</t>
  </si>
  <si>
    <t>https://shop.officineitalianezard.it/contents/imgs/products/1_1931-3.jpg</t>
  </si>
  <si>
    <t>https://shop.officineitalianezard.it/contents/imgs/products/1_73-rocket2010-3_0.jpg</t>
  </si>
  <si>
    <t>https://shop.officineitalianezard.it/en/products/index/kawasaki-z800-exhaust-zard-7509-138/</t>
  </si>
  <si>
    <t>ZKAW 175 SSR</t>
  </si>
  <si>
    <t>https://shop.officineitalianezard.it/contents/imgs/products/1_876-z800.3.JPG</t>
  </si>
  <si>
    <t>https://shop.officineitalianezard.it/en/products/index/zard-headers-kit-bmw-7456-123/</t>
  </si>
  <si>
    <t>ZBMW 080 SCR</t>
  </si>
  <si>
    <t>https://shop.officineitalianezard.it/contents/imgs/products/1_775-Collettorecomp.JPG</t>
  </si>
  <si>
    <t>https://shop.officineitalianezard.it/contents/imgs/products/1_886-DSC_0072.JPG</t>
  </si>
  <si>
    <t>https://shop.officineitalianezard.it/contents/imgs/products/1_892-nero.jpg</t>
  </si>
  <si>
    <t>https://shop.officineitalianezard.it/contents/imgs/products/1_1236-2.jpg</t>
  </si>
  <si>
    <t>https://shop.officineitalianezard.it/contents/imgs/products/1_2391-scarico%20kawasaki%20z900rs%20-%20zard%203.jpg</t>
  </si>
  <si>
    <t>https://shop.officineitalianezard.it/en/full-kit-3-1-steel-conic/</t>
  </si>
  <si>
    <t>ZTPH040SKR</t>
  </si>
  <si>
    <t>https://shop.officineitalianezard.it/en/zard-headers-kit-bmw-nine-t-1203/</t>
  </si>
  <si>
    <t>ZBMW525SCR-17</t>
  </si>
  <si>
    <t>https://shop.officineitalianezard.it/contents/imgs/products/1_2206-scarico%20bmw%20urban%20gs%201.jpg</t>
  </si>
  <si>
    <t>STEEL-ALUMINIUM</t>
  </si>
  <si>
    <t>https://shop.officineitalianezard.it/en/penta-silencers-kit/</t>
  </si>
  <si>
    <t>PENTA SILENCERS KIT</t>
  </si>
  <si>
    <t>ZTPH037AKS</t>
  </si>
  <si>
    <t>https://shop.officineitalianezard.it/contents/imgs/products/1_2031-scarico%20bmw%20k100%20zard2.jpg</t>
  </si>
  <si>
    <t>https://shop.officineitalianezard.it/en/low-mounted-full-kit-short-injection/</t>
  </si>
  <si>
    <t>https://shop.officineitalianezard.it/contents/imgs/products/1_36-4.JPG</t>
  </si>
  <si>
    <t>https://shop.officineitalianezard.it/contents/imgs/products/1_1369-zard.jpg</t>
  </si>
  <si>
    <t>https://shop.officineitalianezard.it/contents/imgs/products/1_2013-1775-1740-scarico%20bonneville%20t120%20scarico%20triumph%20street%20twin.jpg</t>
  </si>
  <si>
    <t>https://shop.officineitalianezard.it/contents/imgs/products/1_71-rocket-kit-laterale-003.jpg</t>
  </si>
  <si>
    <t>https://shop.officineitalianezard.it/contents/imgs/products/1_253-ducati-1098_001.jpg</t>
  </si>
  <si>
    <t>https://shop.officineitalianezard.it/contents/imgs/products/1_661-4scarichi%20t-max%20yamaha%20zard2.jpg</t>
  </si>
  <si>
    <t>https://shop.officineitalianezard.it/en/triumph-bonneville-exhaust-by-zard-2/</t>
  </si>
  <si>
    <t>BAD CHILD 2&gt;1 FULL KIT</t>
  </si>
  <si>
    <t>ZTPH057SKB-08</t>
  </si>
  <si>
    <t>https://shop.officineitalianezard.it/contents/imgs/products/1_1337-2.jpg</t>
  </si>
  <si>
    <t>https://shop.officineitalianezard.it/contents/imgs/products/1_2012-1773-1650-t120%20neri%20zard.jpg</t>
  </si>
  <si>
    <t>https://shop.officineitalianezard.it/contents/imgs/products/1_496-2.jpg</t>
  </si>
  <si>
    <t>https://shop.officineitalianezard.it/en/kawasaki-z900-rs-exhaust-zard-2/</t>
  </si>
  <si>
    <t>ZKAW181SSR</t>
  </si>
  <si>
    <t>https://shop.officineitalianezard.it/contents/imgs/products/1_2441-scarico%20kawasaki%20z900rs%20-%20zard%20exhaust%202.jpg</t>
  </si>
  <si>
    <t>https://shop.officineitalianezard.it/contents/imgs/products/1_1772-1432-bonneville%20t120%20scarichi%20t120%20exhaust%20zard%203.jpg</t>
  </si>
  <si>
    <t>https://shop.officineitalianezard.it/en/products/index/triumph-daytona-exhaust-2015-zard-7609-161/</t>
  </si>
  <si>
    <t>ZTPH033SKR-13</t>
  </si>
  <si>
    <t>https://shop.officineitalianezard.it/contents/imgs/products/1_1219-triumph%20daytona%20exhaust%20full%20kit%20zard.jpg</t>
  </si>
  <si>
    <t>V7 II RACER</t>
  </si>
  <si>
    <t>https://shop.officineitalianezard.it/en/moto-guzzi-v7-ii-racer-exhaust/</t>
  </si>
  <si>
    <t>https://shop.officineitalianezard.it/en/moto-guzzi-v7-ii-racer-exhaust-zard/</t>
  </si>
  <si>
    <t>ZG079SSR</t>
  </si>
  <si>
    <t>TITANIUM RACING</t>
  </si>
  <si>
    <t>EVO-R VERSION</t>
  </si>
  <si>
    <t>https://shop.officineitalianezard.it/en/scrambler-ducati-exhaust-zard-evo-r/</t>
  </si>
  <si>
    <t>ZDSPECIAL EVO-R</t>
  </si>
  <si>
    <t>https://shop.officineitalianezard.it/contents/imgs/products/1_2410-scarico%20scrambler%20ducati%20evo-r%20zard%203.jpg</t>
  </si>
  <si>
    <t>STREETFIGHTER 848/1098</t>
  </si>
  <si>
    <t>https://shop.officineitalianezard.it/en/ducati-streetfighter-1098-exhaust/</t>
  </si>
  <si>
    <t>https://shop.officineitalianezard.it/en/products/index/n-2-over-and-under-steel-side-mufflers-7135-70/</t>
  </si>
  <si>
    <t>ZD112SSR</t>
  </si>
  <si>
    <t>https://shop.officineitalianezard.it/contents/imgs/products/1_439-streetfightersilenziatori1.jpg</t>
  </si>
  <si>
    <t>https://shop.officineitalianezard.it/contents/imgs/products/1_1373-silenziatori%20bmw%20nine%20t%20zard%20scappamento.jpg</t>
  </si>
  <si>
    <t>BLACK SLEEVE</t>
  </si>
  <si>
    <t>https://shop.officineitalianezard.it/contents/imgs/products/1_2528-scarico%20ducati%20panigale%20v4%20zard%20exhaust%204.jpg</t>
  </si>
  <si>
    <t>https://shop.officineitalianezard.it/en/ducati-959-panigale-exhaust-zard-2/</t>
  </si>
  <si>
    <t>ZD1199SKR-2</t>
  </si>
  <si>
    <t>https://shop.officineitalianezard.it/contents/imgs/products/1_1910-2%20panigale%201199%20scarichi%20zard%20exhaust.jpg</t>
  </si>
  <si>
    <t>https://shop.officineitalianezard.it/contents/imgs/products/1_1298-zuma%20nero%20e%20spazzolato.jpg</t>
  </si>
  <si>
    <t>JOKER VERSION</t>
  </si>
  <si>
    <t>https://shop.officineitalianezard.it/en/products/index/zard-conical-full-kit-harley-davidson-sportster-7494-133/</t>
  </si>
  <si>
    <t>ZHD 539 SKR-14</t>
  </si>
  <si>
    <t>https://shop.officineitalianezard.it/contents/imgs/products/1_901-2.jpg</t>
  </si>
  <si>
    <t>https://shop.officineitalianezard.it/contents/imgs/products/1_2537-scarico%20ducati%20multistrada%20zard%203.jpg</t>
  </si>
  <si>
    <t>https://shop.officineitalianezard.it/contents/imgs/products/1_1492-2.jpg</t>
  </si>
  <si>
    <t>https://shop.officineitalianezard.it/contents/imgs/products/1_1199-1.jpg</t>
  </si>
  <si>
    <t>SIX-DAYS</t>
  </si>
  <si>
    <t>https://shop.officineitalianezard.it/en/triumph-street-scrambler-exhaust-zard-6/</t>
  </si>
  <si>
    <t>N. 2 SLIP-ON SILENCERS</t>
  </si>
  <si>
    <t>ZTPH086SSR</t>
  </si>
  <si>
    <t>https://shop.officineitalianezard.it/contents/imgs/products/1_2155-scarico%20street%20scrambler%20zard%20exhaust%201.jpg</t>
  </si>
  <si>
    <t>https://shop.officineitalianezard.it/contents/imgs/products/1_1929-1.jpg</t>
  </si>
  <si>
    <t>https://shop.officineitalianezard.it/contents/imgs/products/1_1338-3.jpg</t>
  </si>
  <si>
    <t>https://shop.officineitalianezard.it/en/triumph-speed-triple-exhaust-zard-3/</t>
  </si>
  <si>
    <t>ZTPH038SSR</t>
  </si>
  <si>
    <t>SPORT 1200 &lt; M.Y. 2011</t>
  </si>
  <si>
    <t>https://shop.officineitalianezard.it/en/moto-guzzi-sport-1200-m-y-2011/</t>
  </si>
  <si>
    <t>https://shop.officineitalianezard.it/en/products/index/steel-racing-silencer-7386-96/</t>
  </si>
  <si>
    <t>ZG074SSR</t>
  </si>
  <si>
    <t>https://shop.officineitalianezard.it/contents/imgs/products/1_617-scarico%20moto%20guzzi%20zard%203.jpg</t>
  </si>
  <si>
    <t>https://shop.officineitalianezard.it/en/kit-silenziatori-collettore-zard-moto-guzzi-v7/</t>
  </si>
  <si>
    <t>M.Y. 12-13 SILENCERS + HEADERS KIT</t>
  </si>
  <si>
    <t>ZG075SKR-12</t>
  </si>
  <si>
    <t>M.Y. 10-14</t>
  </si>
  <si>
    <t>https://shop.officineitalianezard.it/en/products/index/ducati-multistrada-exhaust-zard-7129-68/</t>
  </si>
  <si>
    <t>2&gt;1 PENTA EVO FULL KIT</t>
  </si>
  <si>
    <t>ZD025SKR</t>
  </si>
  <si>
    <t>https://shop.officineitalianezard.it/contents/imgs/products/1_2524-scarico%20ducati%20multistrada%201200%20zard%20exhaust%201.jpg</t>
  </si>
  <si>
    <t>https://shop.officineitalianezard.it/contents/imgs/products/1_774-Collettorecomp.3.JPG</t>
  </si>
  <si>
    <t>https://shop.officineitalianezard.it/contents/imgs/products/1_1324-Triumph-Scrambler-Alo-Barber-Proraso-Barbiere.jpg</t>
  </si>
  <si>
    <t>https://shop.officineitalianezard.it/contents/imgs/products/1_1198-3.jpg</t>
  </si>
  <si>
    <t>https://shop.officineitalianezard.it/contents/imgs/products/1_2486-1272-moto_verdee_2_ridotta.jpg</t>
  </si>
  <si>
    <t>https://shop.officineitalianezard.it/contents/imgs/products/1_1026-street%20nero%20short%20zard.jpg</t>
  </si>
  <si>
    <t>https://shop.officineitalianezard.it/contents/imgs/products/1_885-DSC_0055.JPG</t>
  </si>
  <si>
    <t>MONSTER 1200 S M.Y. 2016</t>
  </si>
  <si>
    <t>https://shop.officineitalianezard.it/en/ducati-monster-1200-s-exhaust/</t>
  </si>
  <si>
    <t>https://shop.officineitalianezard.it/en/ducati-monster-1200-s-exhaust-zard-2/</t>
  </si>
  <si>
    <t>ZD125SKR</t>
  </si>
  <si>
    <t>https://shop.officineitalianezard.it/contents/imgs/products/1_2159-1705-1.jpg</t>
  </si>
  <si>
    <t>https://shop.officineitalianezard.it/contents/imgs/products/1_633-Immagine%20004.jpg</t>
  </si>
  <si>
    <t>HIGH LIMITED</t>
  </si>
  <si>
    <t>https://shop.officineitalianezard.it/en/products/index/bmw-r-nine-t-racer-urban-gs-exhaust-zard-7866-228/</t>
  </si>
  <si>
    <t>ZBMW544SSR</t>
  </si>
  <si>
    <t>https://shop.officineitalianezard.it/contents/imgs/products/1_2362-scarico%20bmw%20r%20nine%20t%20zard%203.jpg</t>
  </si>
  <si>
    <t>https://shop.officineitalianezard.it/contents/imgs/products/1_2055-bmw%20r100%20scarico%20-%20zard%202.jpg</t>
  </si>
  <si>
    <t>https://shop.officineitalianezard.it/contents/imgs/products/1_159-speed2011cono-1.jpg</t>
  </si>
  <si>
    <t>https://shop.officineitalianezard.it/contents/imgs/products/1_2194-scarico%20bmw%20r%20nine%20t%20urban%20gs%20zard%20-%201.jpg</t>
  </si>
  <si>
    <t>https://shop.officineitalianezard.it/contents/imgs/products/1_927-2.jpg</t>
  </si>
  <si>
    <t>https://shop.officineitalianezard.it/contents/imgs/products/1_1746-scarico%20bonneville%20t120%20scarico%20triumph%20street%20twin.jpg</t>
  </si>
  <si>
    <t>https://shop.officineitalianezard.it/contents/imgs/products/1_866-IMG_0601.JPG</t>
  </si>
  <si>
    <t>https://shop.officineitalianezard.it/contents/imgs/products/1_2156-scarico%20street%20scrambler%20zard%20exhaust%203.jpg</t>
  </si>
  <si>
    <t>https://shop.officineitalianezard.it/contents/imgs/products/1_1216-1ridotta.jpg</t>
  </si>
  <si>
    <t>TENERE 700 2019/20</t>
  </si>
  <si>
    <t>https://shop.officineitalianezard.it/en/yamaha-tenere-700-exhaust-zard/</t>
  </si>
  <si>
    <t>https://shop.officineitalianezard.it/en/yamaha-tenere-700-zard-exhaust/</t>
  </si>
  <si>
    <t>ZY101SSR</t>
  </si>
  <si>
    <t>https://shop.officineitalianezard.it/contents/imgs/products/1_143-1speedtriple0506kit3.jpg</t>
  </si>
  <si>
    <t>https://shop.officineitalianezard.it/contents/imgs/products/1_2034-scarico%20bmw%20k100%20zard5.jpg</t>
  </si>
  <si>
    <t>https://shop.officineitalianezard.it/contents/imgs/products/1_2551-scarico%20moto%20guzzi%20v85%20tt%20zard%201.jpg</t>
  </si>
  <si>
    <t>https://shop.officineitalianezard.it/contents/imgs/products/1_1309-1.jpg</t>
  </si>
  <si>
    <t>https://shop.officineitalianezard.it/contents/imgs/products/1_1897-moto%20guzzi%20v9%20scarichi%20zard.jpg</t>
  </si>
  <si>
    <t>TOP GUN VERSION</t>
  </si>
  <si>
    <t>https://shop.officineitalianezard.it/en/ducati-hypermotard-950-top-gun-exhaust/</t>
  </si>
  <si>
    <t>ZD128SSR</t>
  </si>
  <si>
    <t>https://shop.officineitalianezard.it/contents/imgs/products/1_2570-scarico%20ducati%20hypermotard%20zard%204.jpg</t>
  </si>
  <si>
    <t>https://shop.officineitalianezard.it/contents/imgs/products/1_978-carbon%20exhaust.jpg</t>
  </si>
  <si>
    <t>https://shop.officineitalianezard.it/contents/imgs/products/1_2623-scarichi%20royal%20enfield%20himalayan%20zard%20-%201.jpg</t>
  </si>
  <si>
    <t>CARBON SILENCERS RACING</t>
  </si>
  <si>
    <t>https://shop.officineitalianezard.it/contents/imgs/products/1_499-zard%20triumph%20scrambler.jpg</t>
  </si>
  <si>
    <t>https://shop.officineitalianezard.it/contents/imgs/products/1_2530-scarico%20ducati%20panigale%20v4%20zard%20exhaust%202.jpg</t>
  </si>
  <si>
    <t>https://shop.officineitalianezard.it/contents/imgs/products/1_704-scarichi%20moto%20zard%20kymco%202.jpg</t>
  </si>
  <si>
    <t>https://shop.officineitalianezard.it/en/full-kit-cross-version-3/</t>
  </si>
  <si>
    <t>https://shop.officineitalianezard.it/contents/imgs/products/1_1212-zard%20cross.jpg</t>
  </si>
  <si>
    <t>https://shop.officineitalianezard.it/en/triumph-bonneville-scrambler-thruxton-zard-exhaust-2/</t>
  </si>
  <si>
    <t>https://shop.officineitalianezard.it/contents/imgs/products/1_1061-scarico%20scrambler%20zard2.jpg</t>
  </si>
  <si>
    <t>https://shop.officineitalianezard.it/contents/imgs/products/1_2311-zard-2.jpg</t>
  </si>
  <si>
    <t>https://shop.officineitalianezard.it/contents/imgs/products/1_1101-nero.jpg</t>
  </si>
  <si>
    <t>https://shop.officineitalianezard.it/en/full-lower-kit-2-1-steel/</t>
  </si>
  <si>
    <t>https://shop.officineitalianezard.it/contents/imgs/products/1_194-2.jpg</t>
  </si>
  <si>
    <t>https://shop.officineitalianezard.it/contents/imgs/products/1_188-3.jpg</t>
  </si>
  <si>
    <t>https://shop.officineitalianezard.it/contents/imgs/products/1_972-3.jpg</t>
  </si>
  <si>
    <t>https://shop.officineitalianezard.it/contents/imgs/products/1_1100-inox-paracalore%20nero.jpg</t>
  </si>
  <si>
    <t>https://shop.officineitalianezard.it/contents/imgs/products/1_426-sliponpentamultistrada003.jpg</t>
  </si>
  <si>
    <t>THRUXTON R</t>
  </si>
  <si>
    <t>https://shop.officineitalianezard.it/en/triumph-thruxton-r-exhaust/</t>
  </si>
  <si>
    <t>https://shop.officineitalianezard.it/en/triumph-thruxton-r-exhaust-zard/</t>
  </si>
  <si>
    <t>ZTPH068SSR</t>
  </si>
  <si>
    <t>https://shop.officineitalianezard.it/contents/imgs/products/1_877-z800.JPG</t>
  </si>
  <si>
    <t>RACING TITANIUM</t>
  </si>
  <si>
    <t>https://shop.officineitalianezard.it/contents/imgs/products/1_1294-1.jpg</t>
  </si>
  <si>
    <t>https://shop.officineitalianezard.it/contents/imgs/products/1_700-2_574-scarico%20moto%20guzzi%20zard%201.jpg</t>
  </si>
  <si>
    <t>https://shop.officineitalianezard.it/en/products/index/kit-manifold-n-2-high-mounting-side-mufflers-steel-carbonium-7121-66/</t>
  </si>
  <si>
    <t>ZD020SKR</t>
  </si>
  <si>
    <t>https://shop.officineitalianezard.it/contents/imgs/products/1_2004-4.jpg</t>
  </si>
  <si>
    <t>STREET TRIPLE 765 2017-19</t>
  </si>
  <si>
    <t>https://shop.officineitalianezard.it/en/triumph-street-triple-765-2017-19-exhaust/</t>
  </si>
  <si>
    <t>https://shop.officineitalianezard.it/en/triumph-street-triple-765-exhaust/</t>
  </si>
  <si>
    <t>ZTPH089STR-FC</t>
  </si>
  <si>
    <t>DB 5 M.Y. 07-2012</t>
  </si>
  <si>
    <t>https://shop.officineitalianezard.it/en/bimota-d-b-5-m-y-07-2012-exhaust/</t>
  </si>
  <si>
    <t>https://shop.officineitalianezard.it/en/products/index/penta-silencers-zard-bimota-7442-107/</t>
  </si>
  <si>
    <t>ZB 081 SKR</t>
  </si>
  <si>
    <t>https://shop.officineitalianezard.it/contents/imgs/products/1_734-scarichi%20moto%20zard%20bimota1.jpg</t>
  </si>
  <si>
    <t>https://shop.officineitalianezard.it/contents/imgs/products/1_2285-ktm%20250%20exc%20scarico%20zard%201.jpg</t>
  </si>
  <si>
    <t>https://shop.officineitalianezard.it/en/products/index/kit-steel-racing-manifold-7114-63/</t>
  </si>
  <si>
    <t>ZD025LCR</t>
  </si>
  <si>
    <t>https://shop.officineitalianezard.it/en/triumph-street-twin-exhaust-zard/</t>
  </si>
  <si>
    <t>ZTPH087SKR</t>
  </si>
  <si>
    <t>https://shop.officineitalianezard.it/contents/imgs/products/1_2022-1721-scarico%20xsr900%20mt07%20xsr700%20mt09%20yamaha%20zard.jpg</t>
  </si>
  <si>
    <t>https://shop.officineitalianezard.it/contents/imgs/products/1_906-5.jpg</t>
  </si>
  <si>
    <t>https://shop.officineitalianezard.it/en/scrambler-ducati-exhaust-zard/</t>
  </si>
  <si>
    <t>ZD785SKR</t>
  </si>
  <si>
    <t>https://shop.officineitalianezard.it/contents/imgs/products/1_1809-0text.jpg</t>
  </si>
  <si>
    <t>https://shop.officineitalianezard.it/contents/imgs/products/1_709-2_693-moto%20guzzi%20v7%20scarico%20zard.jpg</t>
  </si>
  <si>
    <t>https://shop.officineitalianezard.it/contents/imgs/products/1_1871-1650-t120%20neri%20zard.jpg</t>
  </si>
  <si>
    <t>https://shop.officineitalianezard.it/contents/imgs/products/1_2143-r9t.jpg</t>
  </si>
  <si>
    <t>https://shop.officineitalianezard.it/contents/imgs/products/1_1765-scarico%20ducati%20panigale.jpg</t>
  </si>
  <si>
    <t>F 800 S-ST</t>
  </si>
  <si>
    <t>https://shop.officineitalianezard.it/en/bmw-f-800-s-st-exhaust/</t>
  </si>
  <si>
    <t>https://shop.officineitalianezard.it/en/zard-conical-silencer-bmw-2/</t>
  </si>
  <si>
    <t>ZBMW083SSR-S</t>
  </si>
  <si>
    <t>TITANIUM VERSION</t>
  </si>
  <si>
    <t>https://shop.officineitalianezard.it/en/high-mounted-silencer-short-2/</t>
  </si>
  <si>
    <t>https://shop.officineitalianezard.it/contents/imgs/products/1_1206-2.jpg</t>
  </si>
  <si>
    <t>R1 M.Y. 2015</t>
  </si>
  <si>
    <t>https://shop.officineitalianezard.it/en/yamaha-yzf-r1-exhaust/</t>
  </si>
  <si>
    <t>https://shop.officineitalianezard.it/en/decatalyzer-zard-yamaha-r1/</t>
  </si>
  <si>
    <t>STELL SILENCER + DECATALYZER KIT</t>
  </si>
  <si>
    <t>ZY100SKR</t>
  </si>
  <si>
    <t>https://shop.officineitalianezard.it/contents/imgs/products/1_1278-2nodbkiller.jpg</t>
  </si>
  <si>
    <t>https://shop.officineitalianezard.it/contents/imgs/products/1_1845-t100%20scarichi%20zard%202.jpg</t>
  </si>
  <si>
    <t>https://shop.officineitalianezard.it/contents/imgs/products/1_427-sliponpentamultistrada015.jpg</t>
  </si>
  <si>
    <t>https://shop.officineitalianezard.it/contents/imgs/products/1_256-0.jpg</t>
  </si>
  <si>
    <t>F 800 GS 2008/15</t>
  </si>
  <si>
    <t>https://shop.officineitalianezard.it/en/bmw-f-800-gs-exhaust/</t>
  </si>
  <si>
    <t>https://shop.officineitalianezard.it/en/zard-bmw-silencer-3/</t>
  </si>
  <si>
    <t>ZBMW 524 SSR-S</t>
  </si>
  <si>
    <t>https://shop.officineitalianezard.it/contents/imgs/products/1_793-scarichi%20moto%20zard%20bmw4.jpg</t>
  </si>
  <si>
    <t>XCITING R 500i</t>
  </si>
  <si>
    <t>https://shop.officineitalianezard.it/en/kymco-xciting-r-500i/</t>
  </si>
  <si>
    <t>https://shop.officineitalianezard.it/en/products/index/penta-silencer-zard-kymco-zk-386-asr-7426-117/</t>
  </si>
  <si>
    <t>ZK 386 ASR</t>
  </si>
  <si>
    <t>https://shop.officineitalianezard.it/contents/imgs/products/1_705-scarichi%20moto%20zard%20kymco%201.jpg</t>
  </si>
  <si>
    <t>R 1250 GS &gt; 2019</t>
  </si>
  <si>
    <t>https://shop.officineitalianezard.it/en/bmw-r-1250-gs-exhaust/</t>
  </si>
  <si>
    <t>https://shop.officineitalianezard.it/en/products/index/bmw-gs-1200-exhaust-zard-7918-251/</t>
  </si>
  <si>
    <t>ZBMW523SSR-FC</t>
  </si>
  <si>
    <t>https://shop.officineitalianezard.it/contents/imgs/products/1_2461-scarico%20bmw%201250%20gs%20-%20zard%201.jpg</t>
  </si>
  <si>
    <t>https://shop.officineitalianezard.it/contents/imgs/products/1_476-foto.jpg</t>
  </si>
  <si>
    <t>https://shop.officineitalianezard.it/contents/imgs/products/1_1651-t120%20neri%20zard.jpg</t>
  </si>
  <si>
    <t>https://shop.officineitalianezard.it/contents/imgs/products/1_2566-scarico%20mt%2009%20tracer%20-%20zard%203.jpg</t>
  </si>
  <si>
    <t>https://shop.officineitalianezard.it/contents/imgs/products/1_1288-1.jpg</t>
  </si>
  <si>
    <t>CARBON SILENCER COVER</t>
  </si>
  <si>
    <t>https://shop.officineitalianezard.it/contents/imgs/products/1_2189-scarico%20yamaha%20mt09.jpg</t>
  </si>
  <si>
    <t>https://shop.officineitalianezard.it/contents/imgs/products/1_2146-r9t.jpg</t>
  </si>
  <si>
    <t>https://shop.officineitalianezard.it/contents/imgs/products/1_2078-1066-scarico%20scrambler%20zard1.jpg</t>
  </si>
  <si>
    <t>https://shop.officineitalianezard.it/contents/imgs/products/1_755-scarichi%20moto%20zard%20bmw%204.jpg</t>
  </si>
  <si>
    <t>https://shop.officineitalianezard.it/contents/imgs/products/1_1780-1427-bonneville%20t120%20scarichi%20t120%20exhaust%20zard%202.jpg</t>
  </si>
  <si>
    <t>https://shop.officineitalianezard.it/contents/imgs/products/1_1148-11259175_10153917986126632_709285374156847894_n.jpg</t>
  </si>
  <si>
    <t>https://shop.officineitalianezard.it/contents/imgs/products/1_2140-scarico%20street%20scrambler%20zard%20street%20scrambker%20exhaust%201.jpg</t>
  </si>
  <si>
    <t>https://shop.officineitalianezard.it/en/ducati-959-panigale-exhaust-zard/</t>
  </si>
  <si>
    <t>2&gt;1&gt;2 FULL KIT</t>
  </si>
  <si>
    <t>ZD1199SKR-1</t>
  </si>
  <si>
    <t>STEEL HEADERS KIT + TITANIUM</t>
  </si>
  <si>
    <t>https://shop.officineitalianezard.it/contents/imgs/products/1_973-zard%20exhaust%20carbon.jpg</t>
  </si>
  <si>
    <t>https://shop.officineitalianezard.it/contents/imgs/products/1_1213-zard%20cross.jpg</t>
  </si>
  <si>
    <t>https://shop.officineitalianezard.it/contents/imgs/products/1_370-ducati-monster-S2R800-dx.jpg</t>
  </si>
  <si>
    <t>https://shop.officineitalianezard.it/en/high-mounting-penta-muffler-2/</t>
  </si>
  <si>
    <t>ZTPH039AAR</t>
  </si>
  <si>
    <t>https://shop.officineitalianezard.it/contents/imgs/products/1_2725-3.jpg</t>
  </si>
  <si>
    <t>https://shop.officineitalianezard.it/contents/imgs/products/1_380-monsters2r10003.jpg</t>
  </si>
  <si>
    <t>https://shop.officineitalianezard.it/contents/imgs/products/1_2395-terminali%20silenziatori%20scarico%20moto%20guzzi%20v7II%20-%20zard%202.jpg</t>
  </si>
  <si>
    <t>https://shop.officineitalianezard.it/contents/imgs/products/1_1229-1.jpg</t>
  </si>
  <si>
    <t>https://shop.officineitalianezard.it/contents/imgs/products/1_1179-4.jpg</t>
  </si>
  <si>
    <t>https://shop.officineitalianezard.it/contents/imgs/products/1_938-2.jpg</t>
  </si>
  <si>
    <t>TROFEO VERSION</t>
  </si>
  <si>
    <t>https://shop.officineitalianezard.it/en/full-trophy-kit-2-1-sport-steel/</t>
  </si>
  <si>
    <t>ZTPH030SKR</t>
  </si>
  <si>
    <t>BLACK END-CAPS</t>
  </si>
  <si>
    <t>https://shop.officineitalianezard.it/contents/imgs/products/1_2578-scarichi%20hypermotard%20sp%202019%20zard%20carbonio.jpg</t>
  </si>
  <si>
    <t>https://shop.officineitalianezard.it/contents/imgs/products/1_756-scarichi%20moto%20zard%20bmw%205.jpg</t>
  </si>
  <si>
    <t>STEEL TITANIUM RACING</t>
  </si>
  <si>
    <t>https://shop.officineitalianezard.it/contents/imgs/products/1_376-ducati-monster.jpg</t>
  </si>
  <si>
    <t>https://shop.officineitalianezard.it/en/products/index/penta-mufflers-inox-aluminium-7109-61/</t>
  </si>
  <si>
    <t>ZD115APR</t>
  </si>
  <si>
    <t>https://shop.officineitalianezard.it/contents/imgs/products/1_1060-scarico%20scrambler%20zard1.jpg</t>
  </si>
  <si>
    <t>https://shop.officineitalianezard.it/contents/imgs/products/1_1262-2.jpg</t>
  </si>
  <si>
    <t>https://shop.officineitalianezard.it/contents/imgs/products/1_2207-scarico%20bmw%20urban%20gs%203.jpg</t>
  </si>
  <si>
    <t>NORGE &lt; M.Y. 2011</t>
  </si>
  <si>
    <t>https://shop.officineitalianezard.it/en/moto-guzzi-norge-m-y-2011-exhaust/</t>
  </si>
  <si>
    <t>https://shop.officineitalianezard.it/en/products/index/moto-guzzi-norge-silencer-7342-82/</t>
  </si>
  <si>
    <t>ZG072SSR</t>
  </si>
  <si>
    <t>https://shop.officineitalianezard.it/contents/imgs/products/1_1245-lemans1sito.jpg</t>
  </si>
  <si>
    <t>https://shop.officineitalianezard.it/contents/imgs/products/1_1344-scrambler%20exhaust%20zard.jpg</t>
  </si>
  <si>
    <t>https://shop.officineitalianezard.it/contents/imgs/products/1_1834-2%20triumph%20bobber%20exhaust%20-%20zard.jpg</t>
  </si>
  <si>
    <t>STEEL RACING</t>
  </si>
  <si>
    <t>https://shop.officineitalianezard.it/en/decatalyzer-kit-for-triumph-bonneville-t120-thruxton-r-street-twin-speed-twin-zard/</t>
  </si>
  <si>
    <t>DECATALYZER KIT</t>
  </si>
  <si>
    <t>ZTPH066SCR</t>
  </si>
  <si>
    <t>BREVA 850-1200 &lt; M.Y. 2011</t>
  </si>
  <si>
    <t>https://shop.officineitalianezard.it/en/moto-guzzi-breva-1200-m-y-201-exhaust/</t>
  </si>
  <si>
    <t>https://shop.officineitalianezard.it/en/products/index/moto-guzzi-silencer-7340-80/</t>
  </si>
  <si>
    <t>ZG071SSR</t>
  </si>
  <si>
    <t>https://shop.officineitalianezard.it/contents/imgs/products/1_2097-scarico%20triumph%20street%20scrambler%202.jpg</t>
  </si>
  <si>
    <t>https://shop.officineitalianezard.it/en/triumph-speed-twin-exhaust-conical/</t>
  </si>
  <si>
    <t>N.2 SLIP-ONS</t>
  </si>
  <si>
    <t>ZTPH090SSR</t>
  </si>
  <si>
    <t>https://shop.officineitalianezard.it/contents/imgs/products/1_2606-5%20scarico%20triumph%20speed%20twin%20scarichi%20zard%20exhaust.jpg</t>
  </si>
  <si>
    <t>https://shop.officineitalianezard.it/contents/imgs/products/1_1130-4.jpg</t>
  </si>
  <si>
    <t>https://shop.officineitalianezard.it/contents/imgs/products/1_306-ducati-hypermotard_top-gun_004.jpg</t>
  </si>
  <si>
    <t>https://shop.officineitalianezard.it/contents/imgs/products/1_74-rocket2010-2_0.jpg</t>
  </si>
  <si>
    <t>https://shop.officineitalianezard.it/en/triumph-scrambler-1200-decatalyzer-kit/</t>
  </si>
  <si>
    <t>ZTPH091SCR</t>
  </si>
  <si>
    <t>https://shop.officineitalianezard.it/contents/imgs/products/1_2568-decatalizzatore%20triumph%20scrambler%201200%20-%20zard%202.jpg</t>
  </si>
  <si>
    <t>NORGE &gt; M.Y. 2011</t>
  </si>
  <si>
    <t>https://shop.officineitalianezard.it/en/moto-guzzi-norge-m-y-2011/</t>
  </si>
  <si>
    <t>https://shop.officineitalianezard.it/en/products/index/moto-guzzi-norge-silencer-7419-112/</t>
  </si>
  <si>
    <t>ZG072SSR-11</t>
  </si>
  <si>
    <t>https://shop.officineitalianezard.it/contents/imgs/products/1_689-scarico%20moto%20guzzi%20zard%201.jpg</t>
  </si>
  <si>
    <t>https://shop.officineitalianezard.it/contents/imgs/products/1_41-2.jpg</t>
  </si>
  <si>
    <t>https://shop.officineitalianezard.it/contents/imgs/products/1_1737-1067-scarico%20scrambler%20zard2.jpg</t>
  </si>
  <si>
    <t>https://shop.officineitalianezard.it/contents/imgs/products/1_1511-2.jpg</t>
  </si>
  <si>
    <t>https://shop.officineitalianezard.it/contents/imgs/products/1_2042-scarico%20bmw%20R1150%20zard3.jpg</t>
  </si>
  <si>
    <t>https://shop.officineitalianezard.it/contents/imgs/products/1_2338-scarico%20completo%20street%20twin%20-%20zard.jpg</t>
  </si>
  <si>
    <t>https://shop.officineitalianezard.it/contents/imgs/products/1_2472-scarico%20triumph%20street%20scrambler%20-%20zard%20exhaust%202.jpg</t>
  </si>
  <si>
    <t>https://shop.officineitalianezard.it/contents/imgs/products/1_1730-1066-scarico%20scrambler%20zard1.jpg</t>
  </si>
  <si>
    <t>https://shop.officineitalianezard.it/en/quadro-zard-exhaust/</t>
  </si>
  <si>
    <t>QUADRO 4</t>
  </si>
  <si>
    <t>https://shop.officineitalianezard.it/en/quadro-quadro-4-exhaust/</t>
  </si>
  <si>
    <t>https://shop.officineitalianezard.it/en/products/index/zard-silencer-for-quadro-scooter-7628-175/</t>
  </si>
  <si>
    <t>ZQ100SSR</t>
  </si>
  <si>
    <t>https://shop.officineitalianezard.it/contents/imgs/products/1_1257-12291120_901849349897791_7826490639037684674_o.jpg</t>
  </si>
  <si>
    <t>https://shop.officineitalianezard.it/contents/imgs/products/1_2413-1%20nero.jpg</t>
  </si>
  <si>
    <t>https://shop.officineitalianezard.it/contents/imgs/products/1_1734-1066-scarico%20scrambler%20zard1.jpg</t>
  </si>
  <si>
    <t>BRUSHED</t>
  </si>
  <si>
    <t>https://shop.officineitalianezard.it/contents/imgs/products/1_1214-zard%20cross.jpg</t>
  </si>
  <si>
    <t>https://shop.officineitalianezard.it/en/triumph-bonneville-exhaust-by-zard/</t>
  </si>
  <si>
    <t>https://shop.officineitalianezard.it/contents/imgs/products/1_1143-11017541_10153917985646632_8025402486644623573_n.jpg</t>
  </si>
  <si>
    <t>https://shop.officineitalianezard.it/contents/imgs/products/1_762-scarichi%20moto%20zard%20bmw1.jpg</t>
  </si>
  <si>
    <t>https://shop.officineitalianezard.it/contents/imgs/products/1_688-scarichi%20moto%20zard%20guzzi.jpg</t>
  </si>
  <si>
    <t>https://shop.officineitalianezard.it/contents/imgs/products/1_1177-2.jpg</t>
  </si>
  <si>
    <t>HYPERMOTARD 796</t>
  </si>
  <si>
    <t>https://shop.officineitalianezard.it/en/ducati-hypermotard-796-exhaust/</t>
  </si>
  <si>
    <t>https://shop.officineitalianezard.it/en/products/index/ducati-hypermotard-796-exhaust-zard-7096-56/</t>
  </si>
  <si>
    <t>CARBON END CAP</t>
  </si>
  <si>
    <t>https://shop.officineitalianezard.it/contents/imgs/products/1_1096-brushed.jpg</t>
  </si>
  <si>
    <t>https://shop.officineitalianezard.it/contents/imgs/products/1_170-streetbassogallery3.jpg</t>
  </si>
  <si>
    <t>https://shop.officineitalianezard.it/en/products/index/kawasaki-w800-exhaust-zard-7507-137/</t>
  </si>
  <si>
    <t>ZKAW173SKR</t>
  </si>
  <si>
    <t>https://shop.officineitalianezard.it/contents/imgs/products/1_870-W800CONICALBLACK3.JPG</t>
  </si>
  <si>
    <t>https://shop.officineitalianezard.it/contents/imgs/products/1_144-3triumph-speedtriple1050-dx-2.jpg</t>
  </si>
  <si>
    <t>https://shop.officineitalianezard.it/contents/imgs/products/1_2109-scarico%20street%20scrambler%20zard%20exhaust%202.jpg</t>
  </si>
  <si>
    <t>CONTINENTAL GT</t>
  </si>
  <si>
    <t>https://shop.officineitalianezard.it/en/royal-enfield-continental-gt-exhaust/</t>
  </si>
  <si>
    <t>https://shop.officineitalianezard.it/en/royal-enfield-continental-gt-exhaust-zard/</t>
  </si>
  <si>
    <t>ZRE534SKR</t>
  </si>
  <si>
    <t>https://shop.officineitalianezard.it/contents/imgs/products/1_1398-1.jpg</t>
  </si>
  <si>
    <t>HEADER KIT TIT. RACING + SIL. TIT. RACING</t>
  </si>
  <si>
    <t>https://shop.officineitalianezard.it/contents/imgs/products/1_2376-945-scarichi%20moto%20zard%20cross.jpg</t>
  </si>
  <si>
    <t>https://shop.officineitalianezard.it/contents/imgs/products/1_1036-triumph%20thunderbird%20zard2.jpg</t>
  </si>
  <si>
    <t>STEEL SATIN</t>
  </si>
  <si>
    <t>https://shop.officineitalianezard.it/contents/imgs/products/1_2378-scarico%20street%20scambler%20zard%20nero.jpg</t>
  </si>
  <si>
    <t>https://shop.officineitalianezard.it/en/products/index/bmw-r-nine-t-racer-urban-gs-exhaust-zard-7873-228/</t>
  </si>
  <si>
    <t>ZBMW536SKR</t>
  </si>
  <si>
    <t>https://shop.officineitalianezard.it/contents/imgs/products/1_2405-2.jpg</t>
  </si>
  <si>
    <t>https://shop.officineitalianezard.it/contents/imgs/products/1_2687-scarichi%20yamaha%20tenere%20700%20scarico%20zard%20-%20omologato%20exhaust%201.jpg</t>
  </si>
  <si>
    <t>https://shop.officineitalianezard.it/contents/imgs/products/1_1134-1.jpg</t>
  </si>
  <si>
    <t>https://shop.officineitalianezard.it/contents/imgs/products/1_2268-scarico%20ktm%20250%20sxf%20-%20zard%204.jpg</t>
  </si>
  <si>
    <t>https://shop.officineitalianezard.it/contents/imgs/products/1_2265-scarico%20ktm%20250%20sxf%20-%20zard%201.jpg</t>
  </si>
  <si>
    <t>CRF 450 M.Y. 13-14</t>
  </si>
  <si>
    <t>https://shop.officineitalianezard.it/en/honda-crf-450-m-y-13-14-exhaust/</t>
  </si>
  <si>
    <t>https://shop.officineitalianezard.it/en/products/index/zard-full-kit-honda-crf-450-7549-146/</t>
  </si>
  <si>
    <t>ZHND360STKR</t>
  </si>
  <si>
    <t>https://shop.officineitalianezard.it/contents/imgs/products/1_982-3.jpg</t>
  </si>
  <si>
    <t>GOLD END CAP AND LOGO PLATE</t>
  </si>
  <si>
    <t>https://shop.officineitalianezard.it/contents/imgs/products/1_2434-1b.jpg</t>
  </si>
  <si>
    <t>https://shop.officineitalianezard.it/contents/imgs/products/1_1064-scarico%20scrambler%20zard1.jpg</t>
  </si>
  <si>
    <t>https://shop.officineitalianezard.it/contents/imgs/products/1_223-2.jpg</t>
  </si>
  <si>
    <t>https://shop.officineitalianezard.it/contents/imgs/products/1_1093-inox-paracalore%20nero.jpg</t>
  </si>
  <si>
    <t>https://shop.officineitalianezard.it/contents/imgs/products/1_1741-scarico%20bonneville%20t120%20scarico%20triumph%20street%20twin.jpg</t>
  </si>
  <si>
    <t>https://shop.officineitalianezard.it/contents/imgs/products/1_701-2_693-moto%20guzzi%20v7%20scarico%20zard.jpg</t>
  </si>
  <si>
    <t>https://shop.officineitalianezard.it/contents/imgs/products/1_814-HARLEY%20DAVIDSON%20XR1200%20002.jpg</t>
  </si>
  <si>
    <t>https://shop.officineitalianezard.it/contents/imgs/products/1_1832-4%20triumph%20bobber%20-%20zard.jpg</t>
  </si>
  <si>
    <t>https://shop.officineitalianezard.it/contents/imgs/products/1_230-3.jpg</t>
  </si>
  <si>
    <t>https://shop.officineitalianezard.it/contents/imgs/products/1_2525-scarico%20ducati%20multistrada%201200%20zard%20exhaust%202.jpg</t>
  </si>
  <si>
    <t>https://shop.officineitalianezard.it/en/products/index/full-kit-cross-version-7063-46/</t>
  </si>
  <si>
    <t>https://shop.officineitalianezard.it/contents/imgs/products/1_1153-11017541_10153917985646632_8025402486644623573_n.jpg</t>
  </si>
  <si>
    <t>https://shop.officineitalianezard.it/contents/imgs/products/1_1121-SCARICO%20NINE-T%20ZARD.jpg</t>
  </si>
  <si>
    <t>https://shop.officineitalianezard.it/en/triumph-scrambler-1200-full-exhaust-kit-2/</t>
  </si>
  <si>
    <t>ZTPH094SKR</t>
  </si>
  <si>
    <t>https://shop.officineitalianezard.it/contents/imgs/products/1_2642-scarico%20completo%20triumph%20scrambler%201200%20-%20zard%201.jpg</t>
  </si>
  <si>
    <t>https://shop.officineitalianezard.it/contents/imgs/products/1_2068-scarico%20scrambler%20desert%20sled%20-%20zard%204.jpg</t>
  </si>
  <si>
    <t>https://shop.officineitalianezard.it/en/products/index/zard-exhaust-yamaha-wr250f2016-7632-176/</t>
  </si>
  <si>
    <t>ZCY001SCR</t>
  </si>
  <si>
    <t>https://shop.officineitalianezard.it/contents/imgs/products/1_1264-1.jpg%20.jpg</t>
  </si>
  <si>
    <t>https://shop.officineitalianezard.it/contents/imgs/products/1_1453-1.jpg</t>
  </si>
  <si>
    <t>R 1200 R M.Y. 04-08</t>
  </si>
  <si>
    <t>https://shop.officineitalianezard.it/en/bmw-r-1200-r-m-y-04-08-exhaust/</t>
  </si>
  <si>
    <t>https://shop.officineitalianezard.it/en/products/index/zard-conical-silencer-bmw-r-1200-r-7524-139/</t>
  </si>
  <si>
    <t>ZBMW084SSR-S</t>
  </si>
  <si>
    <t>https://shop.officineitalianezard.it/contents/imgs/products/1_909-scarichi%20moto%20zard%20bmw%20r%201200%20r%202.jpg</t>
  </si>
  <si>
    <t>https://shop.officineitalianezard.it/contents/imgs/products/1_623-scarichi%20moto%20ducati%20zard%20diavel%204.jpg</t>
  </si>
  <si>
    <t>https://shop.officineitalianezard.it/contents/imgs/products/1_2350-terminali%20honda%20crf%20450%20-%20zard.jpg</t>
  </si>
  <si>
    <t>TITANIUM HOMOLOGATED</t>
  </si>
  <si>
    <t>https://shop.officineitalianezard.it/contents/imgs/products/1_2290-scarico%20ktm%20350%20sxf%20zard%203.jpg</t>
  </si>
  <si>
    <t>https://shop.officineitalianezard.it/contents/imgs/products/1_1221-3ridotta.jpg</t>
  </si>
  <si>
    <t>https://shop.officineitalianezard.it/contents/imgs/products/1_1196-1.jpg</t>
  </si>
  <si>
    <t>https://shop.officineitalianezard.it/en/n-2-zard-conical-silencer-bmw-nine-t-1200/</t>
  </si>
  <si>
    <t>ZBMW526SSR-LIM</t>
  </si>
  <si>
    <t>https://shop.officineitalianezard.it/contents/imgs/products/1_955-3.jpg</t>
  </si>
  <si>
    <t>https://shop.officineitalianezard.it/contents/imgs/products/1_712-2_568-scarico%20moto%20guzzi%20zard%202.jpg</t>
  </si>
  <si>
    <t>https://shop.officineitalianezard.it/contents/imgs/products/1_316-hypelateralekittitanio4.jpg</t>
  </si>
  <si>
    <t>https://shop.officineitalianezard.it/contents/imgs/products/1_2003-5.jpg</t>
  </si>
  <si>
    <t>https://shop.officineitalianezard.it/contents/imgs/products/1_216-thruxtontrofeogallery2.jpg</t>
  </si>
  <si>
    <t>https://shop.officineitalianezard.it/contents/imgs/products/1_805-1.jpg</t>
  </si>
  <si>
    <t>https://shop.officineitalianezard.it/contents/imgs/products/1_2588-decatalizzatore%20triumph%20scrambler%201200.jpg</t>
  </si>
  <si>
    <t>https://shop.officineitalianezard.it/contents/imgs/products/1_980-1.jpg</t>
  </si>
  <si>
    <t>https://shop.officineitalianezard.it/contents/imgs/products/1_1999-1.jpg</t>
  </si>
  <si>
    <t>BLACK COATING FOR ORIGINAL HEADERS PIPE</t>
  </si>
  <si>
    <t>https://shop.officineitalianezard.it/contents/imgs/products/1_1762-2.jpg</t>
  </si>
  <si>
    <t>https://shop.officineitalianezard.it/contents/imgs/products/1_1521-3.jpg</t>
  </si>
  <si>
    <t>https://shop.officineitalianezard.it/contents/imgs/products/1_1763-3.jpg</t>
  </si>
  <si>
    <t>https://shop.officineitalianezard.it/en/products/index/ducati-hypermotard-796-exhaust-zard-7097-56/</t>
  </si>
  <si>
    <t>TITANIUM WITH COMPENSER</t>
  </si>
  <si>
    <t>https://shop.officineitalianezard.it/contents/imgs/products/1_1560-decatalizzatore%20zard.jpg</t>
  </si>
  <si>
    <t>https://shop.officineitalianezard.it/contents/imgs/products/1_1066-scarico%20scrambler%20zard1.jpg</t>
  </si>
  <si>
    <t>https://shop.officineitalianezard.it/contents/imgs/products/1_1343-scrambler%20exhaust%20zard.jpg</t>
  </si>
  <si>
    <t>https://shop.officineitalianezard.it/contents/imgs/products/1_1098-brushed.jpg</t>
  </si>
  <si>
    <t>https://shop.officineitalianezard.it/contents/imgs/products/1_1050-ducati%20diavel%20exhaust1.jpg</t>
  </si>
  <si>
    <t>LEFT BRUSHED ALUMINIUM SIDE PANEL</t>
  </si>
  <si>
    <t>https://shop.officineitalianezard.it/en/products/index/n-2-over-and-under-carbonium-mufflers-7119-64/</t>
  </si>
  <si>
    <t>https://shop.officineitalianezard.it/contents/imgs/products/1_388-monstersovrapp-1.jpg</t>
  </si>
  <si>
    <t>https://shop.officineitalianezard.it/contents/imgs/products/1_2567-decatalizzatore%20triumph%20scrambler%201200%20-%20zard.jpg</t>
  </si>
  <si>
    <t>https://shop.officineitalianezard.it/contents/imgs/products/1_699-2_568-scarico%20moto%20guzzi%20zard%202.jpg</t>
  </si>
  <si>
    <t>https://shop.officineitalianezard.it/contents/imgs/products/1_1863-4.jpg</t>
  </si>
  <si>
    <t>https://shop.officineitalianezard.it/contents/imgs/products/1_860-ninja3.JPG</t>
  </si>
  <si>
    <t>https://shop.officineitalianezard.it/contents/imgs/products/1_2296-street%20scrambler%20slip%20on.jpg</t>
  </si>
  <si>
    <t>https://shop.officineitalianezard.it/contents/imgs/products/1_1354-street%20twin%20exhaust%20scarichi%20zard%20street%20twin.jpg</t>
  </si>
  <si>
    <t>https://shop.officineitalianezard.it/en/3-1-conical-full-kit-2/</t>
  </si>
  <si>
    <t>ZTPH506SKR</t>
  </si>
  <si>
    <t>HOMOLOGATED INOX</t>
  </si>
  <si>
    <t>SILVER</t>
  </si>
  <si>
    <t>https://shop.officineitalianezard.it/contents/imgs/products/1_218-1.jpg</t>
  </si>
  <si>
    <t>https://shop.officineitalianezard.it/contents/imgs/products/1_440-streetfightersilenziatori2.jpg</t>
  </si>
  <si>
    <t>https://shop.officineitalianezard.it/contents/imgs/products/1_1256-12244232_901849399897786_7898076898959205240_o.jpg</t>
  </si>
  <si>
    <t>https://shop.officineitalianezard.it/en/hight-mounted-full-kit-2-2/</t>
  </si>
  <si>
    <t>https://shop.officineitalianezard.it/contents/imgs/products/1_2618-scarico%20royal%20enfield%20himalayan%20-%20zard%202.jpg</t>
  </si>
  <si>
    <t>https://shop.officineitalianezard.it/contents/imgs/products/1_2020-1721-scarico%20xsr900%20mt07%20xsr700%20mt09%20yamaha%20zard.jpg</t>
  </si>
  <si>
    <t>https://shop.officineitalianezard.it/contents/imgs/products/1_176-2.jpg</t>
  </si>
  <si>
    <t>https://shop.officineitalianezard.it/contents/imgs/products/1_867-IMG_0612.JPG</t>
  </si>
  <si>
    <t>https://shop.officineitalianezard.it/en/ducati-paul-smart-and-gt1000-exhaust-zard-2/</t>
  </si>
  <si>
    <t>ZD018SKR</t>
  </si>
  <si>
    <t>https://shop.officineitalianezard.it/contents/imgs/products/1_531-scarichi%20moto%20scarico%20ducati%20zard.jpg</t>
  </si>
  <si>
    <t>STEEL FENDER</t>
  </si>
  <si>
    <t>https://shop.officineitalianezard.it/contents/imgs/products/1_1249-2.jpg</t>
  </si>
  <si>
    <t>https://shop.officineitalianezard.it/contents/imgs/products/1_311-ducati-hypermotard_penta_002.jpg</t>
  </si>
  <si>
    <t>https://shop.officineitalianezard.it/contents/imgs/products/1_773-Collettorecomp.2.JPG</t>
  </si>
  <si>
    <t>https://shop.officineitalianezard.it/contents/imgs/products/1_2025-scarico%20xsr%20900%20nero%20-%20zard.jpg</t>
  </si>
  <si>
    <t>TITANIUM SILENCER WITH BLACK HEADERS KIT</t>
  </si>
  <si>
    <t>https://shop.officineitalianezard.it/contents/imgs/products/1_1860-3.jpg</t>
  </si>
  <si>
    <t>https://shop.officineitalianezard.it/contents/imgs/products/1_1238-1.jpg</t>
  </si>
  <si>
    <t>https://shop.officineitalianezard.it/contents/imgs/products/1_781-Collettorecomp.3.JPG</t>
  </si>
  <si>
    <t>https://shop.officineitalianezard.it/contents/imgs/products/1_986-2_846-sposrtstersport1.JPG</t>
  </si>
  <si>
    <t>https://shop.officineitalianezard.it/contents/imgs/products/1_2361-scarico%20bmw%20r%20nine%20t%20zard%202.jpg</t>
  </si>
  <si>
    <t>https://shop.officineitalianezard.it/contents/imgs/products/1_2542-scarico%20triumph%20street%20triple%20765%20zard%20exhaust%201%20.jpg</t>
  </si>
  <si>
    <t>https://shop.officineitalianezard.it/contents/imgs/products/1_55-2.jpg</t>
  </si>
  <si>
    <t>https://shop.officineitalianezard.it/contents/imgs/products/1_529-new.jpg</t>
  </si>
  <si>
    <t>https://shop.officineitalianezard.it/contents/imgs/products/1_2522-scarico%20ducati%20xdiavel%20zard%20nero.jpg</t>
  </si>
  <si>
    <t>TITANIUM EURO 4 HOMOLOGATED</t>
  </si>
  <si>
    <t>https://shop.officineitalianezard.it/en/gold-edition-full-kit/</t>
  </si>
  <si>
    <t>https://shop.officineitalianezard.it/contents/imgs/products/1_1233-2.jpg</t>
  </si>
  <si>
    <t>https://shop.officineitalianezard.it/en/products/index/zard-silencer-penta-version-7455-123/</t>
  </si>
  <si>
    <t>ZBMW 520 APR</t>
  </si>
  <si>
    <t>https://shop.officineitalianezard.it/contents/imgs/products/1_1399-2.jpg</t>
  </si>
  <si>
    <t>https://shop.officineitalianezard.it/contents/imgs/products/1_778-scarichi%20moto%20zard%20bmw%203.jpg</t>
  </si>
  <si>
    <t>https://shop.officineitalianezard.it/contents/imgs/products/1_1326-1.jpg</t>
  </si>
  <si>
    <t>https://shop.officineitalianezard.it/contents/imgs/products/1_2572-scarico%20ducati%20hypermotard%20zard%202.jpg</t>
  </si>
  <si>
    <t>https://shop.officineitalianezard.it/contents/imgs/products/1_182-4.jpg</t>
  </si>
  <si>
    <t>https://shop.officineitalianezard.it/contents/imgs/products/1_2134-scarico%20street%20scrambler%20zard%20scarichi%201.jpg</t>
  </si>
  <si>
    <t>https://shop.officineitalianezard.it/contents/imgs/products/1_2021-scarico%20xsr%20900%20nero%20-%20zard.jpg</t>
  </si>
  <si>
    <t>https://shop.officineitalianezard.it/contents/imgs/products/1_2214-1.jpg</t>
  </si>
  <si>
    <t>https://shop.officineitalianezard.it/contents/imgs/products/1_448-1MG_1038.JPG</t>
  </si>
  <si>
    <t>https://shop.officineitalianezard.it/contents/imgs/products/1_1065-scarico%20scrambler%20zard2.jpg</t>
  </si>
  <si>
    <t>https://shop.officineitalianezard.it/contents/imgs/products/1_711-2_566-scarico%20moto%20guzzi%20zard%203.jpg</t>
  </si>
  <si>
    <t>https://shop.officineitalianezard.it/contents/imgs/products/1_1770-1768-1504-2.jpg</t>
  </si>
  <si>
    <t>https://shop.officineitalianezard.it/contents/imgs/products/1_2440-scarico%20kawasaki%20z900rs%20-%20zard%20exhaust%203.jpg</t>
  </si>
  <si>
    <t>https://shop.officineitalianezard.it/contents/imgs/products/1_2099-scarico%20triumph%20street%20scrambler%201.jpg</t>
  </si>
  <si>
    <t>https://shop.officineitalianezard.it/contents/imgs/products/1_559-scarichi%20moto%20ducati%20zard.jpg</t>
  </si>
  <si>
    <t>https://shop.officineitalianezard.it/contents/imgs/products/1_1797-13576619_1767553100158177_4073183710709924169_o.jpg</t>
  </si>
  <si>
    <t>https://shop.officineitalianezard.it/contents/imgs/products/1_2287-ktm%20250%20exc%20scarico%20zard%203.jpg</t>
  </si>
  <si>
    <t>https://shop.officineitalianezard.it/contents/imgs/products/1_29-1.JPG</t>
  </si>
  <si>
    <t>https://shop.officineitalianezard.it/contents/imgs/products/1_193-1.jpg</t>
  </si>
  <si>
    <t>https://shop.officineitalianezard.it/contents/imgs/products/1_1455-3.jpg</t>
  </si>
  <si>
    <t>https://shop.officineitalianezard.it/contents/imgs/products/1_930-2.jpg</t>
  </si>
  <si>
    <t>https://shop.officineitalianezard.it/contents/imgs/products/1_2195-scarico%20bmw%20r%20nine%20t%20urban%20gs%20zard%20-%204.jpg</t>
  </si>
  <si>
    <t>CARBON RACING</t>
  </si>
  <si>
    <t>https://shop.officineitalianezard.it/contents/imgs/products/1_175-1.jpg</t>
  </si>
  <si>
    <t>https://shop.officineitalianezard.it/contents/imgs/products/1_2565-scarico%20mt%2009%20tracer%20-%20zard%202.jpg</t>
  </si>
  <si>
    <t>https://shop.officineitalianezard.it/contents/imgs/products/1_1527-3.jpg</t>
  </si>
  <si>
    <t>https://shop.officineitalianezard.it/contents/imgs/products/1_1048-ducati%20panigale%20exhaust%20by%20zard.jpg</t>
  </si>
  <si>
    <t>https://shop.officineitalianezard.it/contents/imgs/products/1_1574-3.jpg</t>
  </si>
  <si>
    <t>https://shop.officineitalianezard.it/en/products/index/n-2-carbonium-mufflers-dx-sx-7113-63/</t>
  </si>
  <si>
    <t>https://shop.officineitalianezard.it/contents/imgs/products/1_257-2.jpg</t>
  </si>
  <si>
    <t>FULL HOMOLOGATED TITANIUM</t>
  </si>
  <si>
    <t>HOMOL. CATALYSED</t>
  </si>
  <si>
    <t>https://shop.officineitalianezard.it/contents/imgs/products/1_807-3.jpg</t>
  </si>
  <si>
    <t>https://shop.officineitalianezard.it/contents/imgs/products/1_2547-scarichi%20panigale%20v4%20zard%20slip%20on.jpg</t>
  </si>
  <si>
    <t>https://shop.officineitalianezard.it/contents/imgs/products/1_2217-3.jpg</t>
  </si>
  <si>
    <t>https://shop.officineitalianezard.it/contents/imgs/products/1_480-3.jpg</t>
  </si>
  <si>
    <t>https://shop.officineitalianezard.it/contents/imgs/products/1_2317-1.jpg</t>
  </si>
  <si>
    <t>https://shop.officineitalianezard.it/contents/imgs/products/1_2026-ducati%20gt%201000%20scarichi%20zard.jpg</t>
  </si>
  <si>
    <t>https://shop.officineitalianezard.it/contents/imgs/products/1_1510-1.jpg</t>
  </si>
  <si>
    <t>https://shop.officineitalianezard.it/contents/imgs/products/1_2280-Africa%20Twin%20Zard%20slip%20on.jpg</t>
  </si>
  <si>
    <t>https://shop.officineitalianezard.it/contents/imgs/products/1_1202-1.jpg</t>
  </si>
  <si>
    <t>https://shop.officineitalianezard.it/contents/imgs/products/1_922-Collettorecomp.1.JPG</t>
  </si>
  <si>
    <t>https://shop.officineitalianezard.it/contents/imgs/products/1_1237-3.jpg</t>
  </si>
  <si>
    <t>https://shop.officineitalianezard.it/contents/imgs/products/1_360-monster696-penta-part.jpg</t>
  </si>
  <si>
    <t>https://shop.officineitalianezard.it/contents/imgs/products/1_2463-scarico%20bmw%201250%20gs%20-%20zard%203.jpg</t>
  </si>
  <si>
    <t>https://shop.officineitalianezard.it/contents/imgs/products/1_2397-terminali%20silenziatori%20scarico%20moto%20guzzi%20v7II%20-%20zard%204.jpg</t>
  </si>
  <si>
    <t>https://shop.officineitalianezard.it/contents/imgs/products/1_1104-nero.jpg</t>
  </si>
  <si>
    <t>https://shop.officineitalianezard.it/contents/imgs/products/1_1310-2.jpg</t>
  </si>
  <si>
    <t>https://shop.officineitalianezard.it/contents/imgs/products/1_840-aggiunta4.jpg</t>
  </si>
  <si>
    <t>https://shop.officineitalianezard.it/contents/imgs/products/1_538-scarico%20moto%20guzzi%20zard%201.jpg</t>
  </si>
  <si>
    <t>https://shop.officineitalianezard.it/contents/imgs/products/1_627-2_584-scarichi%20moto%20zard.jpg</t>
  </si>
  <si>
    <t>https://shop.officineitalianezard.it/contents/imgs/products/1_260-2.jpg</t>
  </si>
  <si>
    <t>https://shop.officineitalianezard.it/contents/imgs/products/1_2526-scarico%20ducati%20multistrada%201200%20zard%20exhaust%203.jpg</t>
  </si>
  <si>
    <t>TITANIUM SLEEVE</t>
  </si>
  <si>
    <t>https://shop.officineitalianezard.it/contents/imgs/products/1_474-2_69-2.jpg</t>
  </si>
  <si>
    <t>https://shop.officineitalianezard.it/en/products/index/header-kit-hight-mounted-silencers-7111-63/</t>
  </si>
  <si>
    <t>https://shop.officineitalianezard.it/en/full-kit-3-1-steel/</t>
  </si>
  <si>
    <t>ZTPH032SKR</t>
  </si>
  <si>
    <t>https://shop.officineitalianezard.it/contents/imgs/products/1_2070-2014-scrambler%20ducati%20scarico%20zard%20zuma.jpg</t>
  </si>
  <si>
    <t>https://shop.officineitalianezard.it/contents/imgs/products/1_2603-1%20scarico%20triumph%20speed%20twin%20scarichi%20zard%20exhaust.jpg</t>
  </si>
  <si>
    <t>https://shop.officineitalianezard.it/contents/imgs/products/1_512-2.jpg</t>
  </si>
  <si>
    <t>https://shop.officineitalianezard.it/en/products/index/kit-2-1-2-steel-7136-70/</t>
  </si>
  <si>
    <t>ZD113SKR</t>
  </si>
  <si>
    <t>HOMOLOGATED CATALYZED STEEL</t>
  </si>
  <si>
    <t>https://shop.officineitalianezard.it/contents/imgs/products/1_1782-1770-1768-1504-2.jpg</t>
  </si>
  <si>
    <t>https://shop.officineitalianezard.it/contents/imgs/products/1_1067-scarico%20scrambler%20zard2.jpg</t>
  </si>
  <si>
    <t>https://shop.officineitalianezard.it/contents/imgs/products/1_305-ducati-hypermotard_top-gun_002.jpg</t>
  </si>
  <si>
    <t>https://shop.officineitalianezard.it/contents/imgs/products/1_693-moto%20guzzi%20v7%20scarico%20zard.jpg</t>
  </si>
  <si>
    <t>https://shop.officineitalianezard.it/contents/imgs/products/1_1785-1296-3.jpg</t>
  </si>
  <si>
    <t>https://shop.officineitalianezard.it/en/bmw-nine-t-exhaust-zard-2/</t>
  </si>
  <si>
    <t>ZBMW529TKR</t>
  </si>
  <si>
    <t>https://shop.officineitalianezard.it/contents/imgs/products/1_2147-r9t.jpg</t>
  </si>
  <si>
    <t>https://shop.officineitalianezard.it/contents/imgs/products/1_508-zard%20short%20web.jpg</t>
  </si>
  <si>
    <t>https://shop.officineitalianezard.it/contents/imgs/products/1_2399-terminali%20silenziatori%20scarico%20moto%20guzzi%20v7II%20-%20zard%201.jpg</t>
  </si>
  <si>
    <t>https://shop.officineitalianezard.it/contents/imgs/products/1_562-scarichi%20moto%20ducati%20zard.jpg</t>
  </si>
  <si>
    <t>https://shop.officineitalianezard.it/contents/imgs/products/1_1786-1248-scrambler%20ducati%20zard.jpg</t>
  </si>
  <si>
    <t>https://shop.officineitalianezard.it/contents/imgs/products/1_690-scarico%20moto%20guzzi%20zard%202.jpg</t>
  </si>
  <si>
    <t>https://shop.officineitalianezard.it/contents/imgs/products/1_2412-scarico%20scrambler%20ducati%20evo-r%20zard%201.jpg</t>
  </si>
  <si>
    <t>https://shop.officineitalianezard.it/contents/imgs/products/1_960-2.jpg</t>
  </si>
  <si>
    <t>https://shop.officineitalianezard.it/contents/imgs/products/1_857-ninja3.JPG</t>
  </si>
  <si>
    <t>https://shop.officineitalianezard.it/contents/imgs/products/1_897-YAMAHA%20T-MAX%20BIANCO%20002.jpg</t>
  </si>
  <si>
    <t>https://shop.officineitalianezard.it/contents/imgs/products/1_694-2_564-scarico%20moto%20guzzi%20zard%202.jpg</t>
  </si>
  <si>
    <t>https://shop.officineitalianezard.it/contents/imgs/products/1_2656-scarico%20indian%20ftr%201200%20zard%20slip%20on%201.jpg</t>
  </si>
  <si>
    <t>https://shop.officineitalianezard.it/contents/imgs/products/1_2304-zard-4.jpg</t>
  </si>
  <si>
    <t>https://shop.officineitalianezard.it/contents/imgs/products/1_681-scarichi%20moto%20zard%20bimota1.jpg</t>
  </si>
  <si>
    <t>https://shop.officineitalianezard.it/contents/imgs/products/1_2723-scarico%20moto%20guzzi%20v7III%20-%20zard.jpg</t>
  </si>
  <si>
    <t>https://shop.officineitalianezard.it/contents/imgs/products/1_2473-scarico%20triumph%20street%20scrambler%20-%20zard%20exhaust%203.jpg</t>
  </si>
  <si>
    <t>https://shop.officineitalianezard.it/contents/imgs/products/1_2590-scarico%20triumph%20scrambler%201200%20-%20zard%20exhaust%203.jpg</t>
  </si>
  <si>
    <t>https://shop.officineitalianezard.it/contents/imgs/products/1_2372-scarico%20scrambler.jpg</t>
  </si>
  <si>
    <t>https://shop.officineitalianezard.it/contents/imgs/products/1_34-2.JPG</t>
  </si>
  <si>
    <t>https://shop.officineitalianezard.it/contents/imgs/products/1_898-1scarichi%20t-max%20yamaha%20zard1.jpg</t>
  </si>
  <si>
    <t>https://shop.officineitalianezard.it/contents/imgs/products/1_1232-1.jpg</t>
  </si>
  <si>
    <t>https://shop.officineitalianezard.it/contents/imgs/products/1_181-3.jpg</t>
  </si>
  <si>
    <t>https://shop.officineitalianezard.it/contents/imgs/products/1_551-scarichi%20moto%20ducati%20zard.jpg</t>
  </si>
  <si>
    <t>https://shop.officineitalianezard.it/contents/imgs/products/1_372-ducati-monster-S2R800-dx.jpg</t>
  </si>
  <si>
    <t>https://shop.officineitalianezard.it/contents/imgs/products/1_1230-2.jpg</t>
  </si>
  <si>
    <t>https://shop.officineitalianezard.it/contents/imgs/products/1_59-daytona-gialla2.jpg</t>
  </si>
  <si>
    <t>https://shop.officineitalianezard.it/contents/imgs/products/1_2293-scarico%20street%20scrambler%20paracalore%20neri.jpg</t>
  </si>
  <si>
    <t>https://shop.officineitalianezard.it/contents/imgs/products/1_1383-triumph%20bonneville%20t120%20exhaust%20-%20zard%20-%20scarichi%20triumph%20bonneville%20t120%20-%201.jpg</t>
  </si>
  <si>
    <t>https://shop.officineitalianezard.it/contents/imgs/products/1_934-1.jpg</t>
  </si>
  <si>
    <t>https://shop.officineitalianezard.it/contents/imgs/products/1_686-scarico%20moto%20guzzi%20zard%201.jpg</t>
  </si>
  <si>
    <t>R6</t>
  </si>
  <si>
    <t>https://shop.officineitalianezard.it/en/yamaha-r6-exhaust/</t>
  </si>
  <si>
    <t>https://shop.officineitalianezard.it/en/products/index/zard-conical-silencer-yamaha-r6-7405-101/</t>
  </si>
  <si>
    <t>ZY 090 SSR</t>
  </si>
  <si>
    <t>https://shop.officineitalianezard.it/contents/imgs/products/1_397-monsters4r2.jpg</t>
  </si>
  <si>
    <t>https://shop.officineitalianezard.it/contents/imgs/products/1_1207-3.jpg</t>
  </si>
  <si>
    <t>https://shop.officineitalianezard.it/contents/imgs/products/1_1176-1.jpg</t>
  </si>
  <si>
    <t>https://shop.officineitalianezard.it/contents/imgs/products/1_1512-3.jpg</t>
  </si>
  <si>
    <t>https://shop.officineitalianezard.it/contents/imgs/products/1_1572-1.jpg</t>
  </si>
  <si>
    <t>https://shop.officineitalianezard.it/contents/imgs/products/1_1777-1769-1564-T120%20CONVERSION%20KIT.jpg</t>
  </si>
  <si>
    <t>https://shop.officineitalianezard.it/contents/imgs/products/1_1295-2.jpg</t>
  </si>
  <si>
    <t>https://shop.officineitalianezard.it/contents/imgs/products/1_2019-939-3.jpg</t>
  </si>
  <si>
    <t>https://shop.officineitalianezard.it/en/full-side-kit-2/</t>
  </si>
  <si>
    <t>ZTPH033SKR</t>
  </si>
  <si>
    <t>https://shop.officineitalianezard.it/contents/imgs/products/1_624-2_483-2.jpg</t>
  </si>
  <si>
    <t>https://shop.officineitalianezard.it/contents/imgs/products/1_635-Immagine%20009.jpg</t>
  </si>
  <si>
    <t>K 1200 S-R</t>
  </si>
  <si>
    <t>https://shop.officineitalianezard.it/en/bmw-k-1200-s-r-exhaust/</t>
  </si>
  <si>
    <t>https://shop.officineitalianezard.it/en/zard-conical-silencer-bmw/</t>
  </si>
  <si>
    <t>ZBMW081SSO-S</t>
  </si>
  <si>
    <t>https://shop.officineitalianezard.it/contents/imgs/products/1_815-HARLEY%20XR1200%20006.jpg</t>
  </si>
  <si>
    <t>https://shop.officineitalianezard.it/contents/imgs/products/1_1239-2.jpg</t>
  </si>
  <si>
    <t>HOMOLOGATED TITANIUM</t>
  </si>
  <si>
    <t>https://shop.officineitalianezard.it/contents/imgs/products/1_1018-3.jpg</t>
  </si>
  <si>
    <t>https://shop.officineitalianezard.it/contents/imgs/products/1_1315-1.jpg</t>
  </si>
  <si>
    <t>https://shop.officineitalianezard.it/contents/imgs/products/1_2690-scarichi%20yamaha%20tenere%20700%20scarico%20zard%20-%20omologato%20exhaust%20black.jpg</t>
  </si>
  <si>
    <t>https://shop.officineitalianezard.it/contents/imgs/products/1_2232-scarichi%20guzzi%20v7III.jpg</t>
  </si>
  <si>
    <t>TITANIUM SIL. + BLACK ENDCAP</t>
  </si>
  <si>
    <t>https://shop.officineitalianezard.it/contents/imgs/products/1_1246-borsone.jpg</t>
  </si>
  <si>
    <t>https://shop.officineitalianezard.it/en/penta-evo-inox-carbonium-mufflers/</t>
  </si>
  <si>
    <t>ZD010SSR-E</t>
  </si>
  <si>
    <t>https://shop.officineitalianezard.it/contents/imgs/products/1_255-2.jpg</t>
  </si>
  <si>
    <t>https://shop.officineitalianezard.it/contents/imgs/products/1_2406-3.jpg</t>
  </si>
  <si>
    <t>https://shop.officineitalianezard.it/contents/imgs/products/1_153-speed07-10kitbianco3.jpg</t>
  </si>
  <si>
    <t>https://shop.officineitalianezard.it/contents/imgs/products/1_35-3.JPG</t>
  </si>
  <si>
    <t>https://shop.officineitalianezard.it/contents/imgs/products/1_2624-scarichi%20royal%20enfield%20himalayan%20zard%20-%202.jpg</t>
  </si>
  <si>
    <t>https://shop.officineitalianezard.it/contents/imgs/products/1_1807-3.jpg</t>
  </si>
  <si>
    <t>https://shop.officineitalianezard.it/contents/imgs/products/1_1131-2.jpg</t>
  </si>
  <si>
    <t>https://shop.officineitalianezard.it/contents/imgs/products/1_2539-scarico%20triumph%20street%20triple%20765%20zard%20exhaust%202.jpg</t>
  </si>
  <si>
    <t>SNAKE WELDING</t>
  </si>
  <si>
    <t>https://shop.officineitalianezard.it/contents/imgs/products/1_919-Collettorecomp.2.JPG</t>
  </si>
  <si>
    <t>https://shop.officineitalianezard.it/contents/imgs/products/1_1062-scarico%20scrambler%20zard1.jpg</t>
  </si>
  <si>
    <t>https://shop.officineitalianezard.it/contents/imgs/products/1_1667-triumph%20t120%20street%20twin%20exhaust.jpg</t>
  </si>
  <si>
    <t>https://shop.officineitalianezard.it/contents/imgs/products/1_2689-scarichi%20yamaha%20tenere%20700%20scarico%20zard%20-%20omologato%20exhaust%203.jpg</t>
  </si>
  <si>
    <t>https://shop.officineitalianezard.it/contents/imgs/products/1_1128-1.jpg</t>
  </si>
  <si>
    <t>https://shop.officineitalianezard.it/contents/imgs/products/1_1883-1.jpg</t>
  </si>
  <si>
    <t>https://shop.officineitalianezard.it/contents/imgs/products/1_2312-zard-1.jpg</t>
  </si>
  <si>
    <t>https://shop.officineitalianezard.it/contents/imgs/products/1_2269-scarico%20bmw%20gs%201200%20-%20zard%202.jpg</t>
  </si>
  <si>
    <t>https://shop.officineitalianezard.it/contents/imgs/products/1_555-scarichi%20moto%20ducati%20monster%201100%20evo%20zard%202.jpg</t>
  </si>
  <si>
    <t>https://shop.officineitalianezard.it/contents/imgs/products/1_2041-scarico%20bmw%20R1150%20zard2.jpg</t>
  </si>
  <si>
    <t>https://shop.officineitalianezard.it/contents/imgs/products/1_1428-bonneville%20t120%20scarichi%20t120%20exhaust%20zard%203.jpg</t>
  </si>
  <si>
    <t>https://shop.officineitalianezard.it/contents/imgs/products/1_770-scarichi%20moto%20zard1b.jpg</t>
  </si>
  <si>
    <t>https://shop.officineitalianezard.it/contents/imgs/products/1_553-Streetfightersilenziatori3.jpg</t>
  </si>
  <si>
    <t>https://shop.officineitalianezard.it/contents/imgs/products/1_1519-1.jpg</t>
  </si>
  <si>
    <t>XSR 700 2016/19</t>
  </si>
  <si>
    <t>https://shop.officineitalianezard.it/en/yamaha-xsr-700-exhaust/</t>
  </si>
  <si>
    <t>https://shop.officineitalianezard.it/en/yamaha-xsr-700-exhaust-zard/</t>
  </si>
  <si>
    <t>ZY103SKR</t>
  </si>
  <si>
    <t>https://shop.officineitalianezard.it/contents/imgs/products/1_33-1.JPG</t>
  </si>
  <si>
    <t>https://shop.officineitalianezard.it/contents/imgs/products/1_2544-1.jpg</t>
  </si>
  <si>
    <t>https://shop.officineitalianezard.it/contents/imgs/products/1_568-scarico%20moto%20guzzi%20zard%202.jpg</t>
  </si>
  <si>
    <t>https://shop.officineitalianezard.it/contents/imgs/products/1_1227-2.jpg</t>
  </si>
  <si>
    <t>CARBON END-CAPS</t>
  </si>
  <si>
    <t>https://shop.officineitalianezard.it/contents/imgs/products/1_1138-4.jpg</t>
  </si>
  <si>
    <t>https://shop.officineitalianezard.it/contents/imgs/products/1_2535-scarico%20ducati%20multistrada%20zard%201.jpg</t>
  </si>
  <si>
    <t>https://shop.officineitalianezard.it/en/products/index/n-2-high-mounting-carbonium-mufflers-7117-64/</t>
  </si>
  <si>
    <t>https://shop.officineitalianezard.it/contents/imgs/products/1_379-ducati-monster.jpg</t>
  </si>
  <si>
    <t>https://shop.officineitalianezard.it/contents/imgs/products/1_2594-3%20scarico%20triumph%20speed%20twin%20scarichi%20zard%20exhaust.jpg</t>
  </si>
  <si>
    <t>https://shop.officineitalianezard.it/contents/imgs/products/1_2416-ducati%20xdiavel%20scarichi%202.jpg</t>
  </si>
  <si>
    <t>https://shop.officineitalianezard.it/contents/imgs/products/1_546-scarico%20moto%20guzzi%20zard%202.jpg</t>
  </si>
  <si>
    <t>https://shop.officineitalianezard.it/contents/imgs/products/1_2308-zard-5.jpg</t>
  </si>
  <si>
    <t>https://shop.officineitalianezard.it/en/penta-silencers-kit-2/</t>
  </si>
  <si>
    <t>ZTPH037SKS</t>
  </si>
  <si>
    <t>https://shop.officineitalianezard.it/contents/imgs/products/1_971-2.jpg</t>
  </si>
  <si>
    <t>https://shop.officineitalianezard.it/contents/imgs/products/1_1152-11259175_10153917986126632_709285374156847894_n.jpg</t>
  </si>
  <si>
    <t>https://shop.officineitalianezard.it/contents/imgs/products/1_2111-scarico%20street%20scrambler%20zard%20exhaust%203.jpg</t>
  </si>
  <si>
    <t>https://shop.officineitalianezard.it/contents/imgs/products/1_167-speed0204kit.jpg</t>
  </si>
  <si>
    <t>https://shop.officineitalianezard.it/contents/imgs/products/1_2518-scarico%20xsr%20700%20mt%2007%20zard%201.jpg</t>
  </si>
  <si>
    <t>STEEL HOMOLOGATED</t>
  </si>
  <si>
    <t>https://shop.officineitalianezard.it/contents/imgs/products/1_393-monsters4r1.jpg</t>
  </si>
  <si>
    <t>https://shop.officineitalianezard.it/contents/imgs/products/1_1791-1.jpg</t>
  </si>
  <si>
    <t>BLACK SILENCERS HOMOLOGATED</t>
  </si>
  <si>
    <t>https://shop.officineitalianezard.it/contents/imgs/products/1_1346-3.jpg</t>
  </si>
  <si>
    <t>https://shop.officineitalianezard.it/contents/imgs/products/1_2079-bassoneroridotta.jpg</t>
  </si>
  <si>
    <t>https://shop.officineitalianezard.it/contents/imgs/products/1_2310-zard-3.jpg</t>
  </si>
  <si>
    <t>https://shop.officineitalianezard.it/contents/imgs/products/1_990-scarichi%20moto%20zard%20spazzolato.jpg</t>
  </si>
  <si>
    <t>https://shop.officineitalianezard.it/contents/imgs/products/1_2082-scrambler%20ducati%20desert%20sled%20scarichi%20-%20zard%204.jpg</t>
  </si>
  <si>
    <t>https://shop.officineitalianezard.it/contents/imgs/products/1_1907-6%201199%20panigale%20zard%20scarichi.jpg</t>
  </si>
  <si>
    <t>https://shop.officineitalianezard.it/contents/imgs/products/1_2584-scarico%20triumph%20scrambler%201200%20-%20zard%20exhaust%202.jpg</t>
  </si>
  <si>
    <t>https://shop.officineitalianezard.it/contents/imgs/products/1_1867-triumph%20bonneville%20t100%20scaricho%20basso.jpg</t>
  </si>
  <si>
    <t>https://shop.officineitalianezard.it/contents/imgs/products/1_631-aprilia-dorsoduro.jpg</t>
  </si>
  <si>
    <t>https://shop.officineitalianezard.it/contents/imgs/products/1_2587-scarico%20moto%20guzzi%20v85%20tt%20zard%20inox.jpg</t>
  </si>
  <si>
    <t>https://shop.officineitalianezard.it/contents/imgs/products/1_2371-scarico%20scrambler.jpg</t>
  </si>
  <si>
    <t>https://shop.officineitalianezard.it/contents/imgs/products/1_1215-zard%20cross.jpg</t>
  </si>
  <si>
    <t>BACK CARBON PLATE-HOLDER FENDER</t>
  </si>
  <si>
    <t>https://shop.officineitalianezard.it/contents/imgs/products/1_490-1.jpg</t>
  </si>
  <si>
    <t>https://shop.officineitalianezard.it/contents/imgs/products/1_1120-SCARICO%20NINE-T%20ZARD.jpg</t>
  </si>
  <si>
    <t>https://shop.officineitalianezard.it/contents/imgs/products/1_1258-12291666_901849426564450_5068136124102986536_o.jpg</t>
  </si>
  <si>
    <t>https://shop.officineitalianezard.it/contents/imgs/products/1_2167-3%20yamaha%20mt%2007%20zard%20exhaust.jpg</t>
  </si>
  <si>
    <t>https://shop.officineitalianezard.it/contents/imgs/products/1_791-scarichi%20moto%20zard%20bmw2.jpg</t>
  </si>
  <si>
    <t>https://shop.officineitalianezard.it/contents/imgs/products/1_20-2.jpg</t>
  </si>
  <si>
    <t>https://shop.officineitalianezard.it/contents/imgs/products/1_975-zard%20exhaust%20carbon.jpg</t>
  </si>
  <si>
    <t>TITANIUM DUCT INTAKE</t>
  </si>
  <si>
    <t>https://shop.officineitalianezard.it/contents/imgs/products/1_2105-scarico%20street%20scrambler%20-%20street%20scrambler%20exhaust%203.jpg</t>
  </si>
  <si>
    <t>https://shop.officineitalianezard.it/contents/imgs/products/1_1045-saldature%20zard.jpg</t>
  </si>
  <si>
    <t>https://shop.officineitalianezard.it/contents/imgs/products/1_154-triumph-speedtriple1050-corto-lato-dx-2_rid_new.jpg</t>
  </si>
  <si>
    <t>https://shop.officineitalianezard.it/contents/imgs/products/1_1775-1740-scarico%20bonneville%20t120%20scarico%20triumph%20street%20twin.jpg</t>
  </si>
  <si>
    <t>https://shop.officineitalianezard.it/contents/imgs/products/1_2023-scarico%20xsr%20900%20nero%20-%20zard.jpg</t>
  </si>
  <si>
    <t>https://shop.officineitalianezard.it/contents/imgs/products/1_925-Collettorecomp.JPG</t>
  </si>
  <si>
    <t>https://shop.officineitalianezard.it/contents/imgs/products/1_896-nero.jpg</t>
  </si>
  <si>
    <t>https://shop.officineitalianezard.it/contents/imgs/products/1_539-scarico%20moto%20guzzi%20zard%202.jpg</t>
  </si>
  <si>
    <t>https://shop.officineitalianezard.it/contents/imgs/products/1_2540-scarico%20triumph%20street%20triple%20765%20zard%20exhaust%203.jpg</t>
  </si>
  <si>
    <t>https://shop.officineitalianezard.it/contents/imgs/products/1_2090-zard-singolo-bonneville2.jpg</t>
  </si>
  <si>
    <t>https://shop.officineitalianezard.it/contents/imgs/products/1_2554-scarico%20moto%20guzzi%20v85%20tt%20zard%204.jpg</t>
  </si>
  <si>
    <t>https://shop.officineitalianezard.it/contents/imgs/products/1_1491-1.jpg</t>
  </si>
  <si>
    <t>https://shop.officineitalianezard.it/contents/imgs/products/1_2593-1%20scarico%20triumph%20speed%20twin%20scarichi%20zard%20exhaust.jpg</t>
  </si>
  <si>
    <t>https://shop.officineitalianezard.it/contents/imgs/products/1_1205-1.jpg</t>
  </si>
  <si>
    <t>https://shop.officineitalianezard.it/contents/imgs/products/1_510-zard%20triumph%20conico.jpg</t>
  </si>
  <si>
    <t>https://shop.officineitalianezard.it/contents/imgs/products/1_869-W800CONICO3.JPG</t>
  </si>
  <si>
    <t>https://shop.officineitalianezard.it/contents/imgs/products/1_1724-1067-scarico%20scrambler%20zard2.jpg</t>
  </si>
  <si>
    <t>https://shop.officineitalianezard.it/contents/imgs/products/1_1368-gold%20nero.jpg</t>
  </si>
  <si>
    <t>https://shop.officineitalianezard.it/contents/imgs/products/1_430-paul-smart-kit-completo-021.jpg</t>
  </si>
  <si>
    <t>https://shop.officineitalianezard.it/contents/imgs/products/1_1317-3.jpg</t>
  </si>
  <si>
    <t>https://shop.officineitalianezard.it/contents/imgs/products/1_2182-harley-xr1200-zard-exhaust.jpg</t>
  </si>
  <si>
    <t>https://shop.officineitalianezard.it/contents/imgs/products/1_963-2.jpg</t>
  </si>
  <si>
    <t>https://shop.officineitalianezard.it/contents/imgs/products/1_394-monsters4r2.jpg</t>
  </si>
  <si>
    <t>https://shop.officineitalianezard.it/contents/imgs/products/1_204-2.jpg</t>
  </si>
  <si>
    <t>https://shop.officineitalianezard.it/contents/imgs/products/1_2211-scarico%20bmw%20nine%20t%20scrambler%20-%20zard%202.jpg</t>
  </si>
  <si>
    <t>https://shop.officineitalianezard.it/contents/imgs/products/1_174-Street_Triple_sil_basso_2.jpg</t>
  </si>
  <si>
    <t>https://shop.officineitalianezard.it/contents/imgs/products/1_2133-scarico%20street%20scrambler%20zard%20scarichi%202.jpg</t>
  </si>
  <si>
    <t>https://shop.officineitalianezard.it/contents/imgs/products/1_1334-2.jpg</t>
  </si>
  <si>
    <t>https://shop.officineitalianezard.it/contents/imgs/products/1_2409-scarico%20scrambler%20ducati%20evo-r%20zard%202.jpg</t>
  </si>
  <si>
    <t>https://shop.officineitalianezard.it/contents/imgs/products/1_2727-scarico%20basso%20triumph%20scrambler%201200%20zard%20exhaust%20low%20mounted%20full%20kit%20exhaust.jpg</t>
  </si>
  <si>
    <t>https://shop.officineitalianezard.it/contents/imgs/products/1_970-1.jpg</t>
  </si>
  <si>
    <t>https://shop.officineitalianezard.it/contents/imgs/products/1_772-Collettorecomp.1.JPG</t>
  </si>
  <si>
    <t>https://shop.officineitalianezard.it/contents/imgs/products/1_841-aggiunta3.jpg</t>
  </si>
  <si>
    <t>https://shop.officineitalianezard.it/contents/imgs/products/1_2571-scarico%20ducati%20hypermotard%20zard%203.jpg</t>
  </si>
  <si>
    <t>https://shop.officineitalianezard.it/contents/imgs/products/1_1351-3.jpg</t>
  </si>
  <si>
    <t>https://shop.officineitalianezard.it/contents/imgs/products/1_2208-scarico%20bmw%20r%20nine%20t%20scrambler%20-%20zard%202.jpg</t>
  </si>
  <si>
    <t>https://shop.officineitalianezard.it/contents/imgs/products/1_2492-scarico%20ducati%20panigale%20v4%20zard%20-%204.jpg</t>
  </si>
  <si>
    <t>https://shop.officineitalianezard.it/contents/imgs/products/1_671-nero.jpg</t>
  </si>
  <si>
    <t>https://shop.officineitalianezard.it/contents/imgs/products/1_429-paul-smart-kit-completo-001.jpg</t>
  </si>
  <si>
    <t>HEADER KIT STEEL RACING + SIL. CARB RACING</t>
  </si>
  <si>
    <t>https://shop.officineitalianezard.it/contents/imgs/products/1_2001-7.jpg</t>
  </si>
  <si>
    <t>https://shop.officineitalianezard.it/contents/imgs/products/1_2165-2%20yamaha%20mt%2007%20exhaust%20zard.jpg</t>
  </si>
  <si>
    <t>https://shop.officineitalianezard.it/contents/imgs/products/1_1185-2ridotta.jpg</t>
  </si>
  <si>
    <t>https://shop.officineitalianezard.it/contents/imgs/products/1_735-scarichi%20moto%20zard%20bimota2.jpg</t>
  </si>
  <si>
    <t>https://shop.officineitalianezard.it/contents/imgs/products/1_1200-2.jpg</t>
  </si>
  <si>
    <t>https://shop.officineitalianezard.it/contents/imgs/products/1_1427-bonneville%20t120%20scarichi%20t120%20exhaust%20zard%202.jpg</t>
  </si>
  <si>
    <t>https://shop.officineitalianezard.it/contents/imgs/products/1_1355-street%20twin%20exhaust%20street%20twin%20scarichi%20triumph%20zard.jpg</t>
  </si>
  <si>
    <t>https://shop.officineitalianezard.it/contents/imgs/products/1_2418-scarico%20kawasaki%20z900%20rs%20zard%204.jpg</t>
  </si>
  <si>
    <t>https://shop.officineitalianezard.it/contents/imgs/products/1_1186-3ridotta.jpg</t>
  </si>
  <si>
    <t>HEADER KIT STEEL RACING + SIL. TITANIUM HOM.</t>
  </si>
  <si>
    <t>https://shop.officineitalianezard.it/contents/imgs/products/1_2407-1.jpg</t>
  </si>
  <si>
    <t>https://shop.officineitalianezard.it/contents/imgs/products/1_2160-1706-2.jpg</t>
  </si>
  <si>
    <t>https://shop.officineitalianezard.it/contents/imgs/products/1_1930-4.jpg</t>
  </si>
  <si>
    <t>https://shop.officineitalianezard.it/contents/imgs/products/1_2043-scarico%20bmw%20R1150%20zard4.jpg</t>
  </si>
  <si>
    <t>https://shop.officineitalianezard.it/contents/imgs/products/1_2181-scarico%20street%20scrambler%20zard%20exhaust%202.jpg</t>
  </si>
  <si>
    <t>https://shop.officineitalianezard.it/contents/imgs/products/1_1723-1066-scarico%20scrambler%20zard1.jpg</t>
  </si>
  <si>
    <t>https://shop.officineitalianezard.it/contents/imgs/products/1_2663-scarico%20indian%20ftr%201200.jpg</t>
  </si>
  <si>
    <t>https://shop.officineitalianezard.it/contents/imgs/products/1_1277-1nodbkiller.jpg</t>
  </si>
  <si>
    <t>https://shop.officineitalianezard.it/contents/imgs/products/1_396-monsters4r1.jpg</t>
  </si>
  <si>
    <t>https://shop.officineitalianezard.it/contents/imgs/products/1_1038-scarico%20can-am%20zard.jpg</t>
  </si>
  <si>
    <t>https://shop.officineitalianezard.it/contents/imgs/products/1_1447-1.jpg</t>
  </si>
  <si>
    <t>https://shop.officineitalianezard.it/contents/imgs/products/1_691-scarichi%20moto%20zard%20guzzi.jpg</t>
  </si>
  <si>
    <t>https://shop.officineitalianezard.it/contents/imgs/products/1_1271-moto_verde_ridotta.jpg</t>
  </si>
  <si>
    <t>https://shop.officineitalianezard.it/contents/imgs/products/1_2428-evo-r%20black%20ridotta.jpg</t>
  </si>
  <si>
    <t>https://shop.officineitalianezard.it/contents/imgs/products/1_1835-TRIUMPH%20BOBBER.jpg</t>
  </si>
  <si>
    <t>https://shop.officineitalianezard.it/contents/imgs/products/1_1137-3.jpg</t>
  </si>
  <si>
    <t>https://shop.officineitalianezard.it/contents/imgs/products/1_371-ducati-monster-S2R800-part.jpg</t>
  </si>
  <si>
    <t>https://shop.officineitalianezard.it/contents/imgs/products/1_2657-scarico%20indian%20ftr%201200%20zard%20slip%20on%202.jpg</t>
  </si>
  <si>
    <t>https://shop.officineitalianezard.it/contents/imgs/products/1_2394-kit%20collettori%20bmw%20r%20ninet%20zard.jpg</t>
  </si>
  <si>
    <t>https://shop.officineitalianezard.it/contents/imgs/products/1_1844-scarichi%20triumph%20t%20100.jpg</t>
  </si>
  <si>
    <t>BLACK VERSION + STEEL HEAT SHIELD</t>
  </si>
  <si>
    <t>https://shop.officineitalianezard.it/contents/imgs/products/1_862-numero%2035%20copy.jpg</t>
  </si>
  <si>
    <t>https://shop.officineitalianezard.it/contents/imgs/products/1_769-scarichi%20moto%20zard1aa.jpg</t>
  </si>
  <si>
    <t>https://shop.officineitalianezard.it/contents/imgs/products/1_1962-1803-collettori%20scrambler%20ducati%201.jpg</t>
  </si>
  <si>
    <t>https://shop.officineitalianezard.it/contents/imgs/products/1_1374-66-S8000729%20ombra%20copy.jpg</t>
  </si>
  <si>
    <t>https://shop.officineitalianezard.it/contents/imgs/products/1_541-scarico%20moto%20guzzi%20zard%201.jpg</t>
  </si>
  <si>
    <t>https://shop.officineitalianezard.it/contents/imgs/products/1_1034-triumph%20thunderbird%20zard1.jpg</t>
  </si>
  <si>
    <t>https://shop.officineitalianezard.it/contents/imgs/products/1_1833-3%20scarichi%20triumph%20bobber%20-%20zard.jpg</t>
  </si>
  <si>
    <t>https://shop.officineitalianezard.it/contents/imgs/products/1_843-aggiunta5.jpg</t>
  </si>
  <si>
    <t>https://shop.officineitalianezard.it/contents/imgs/products/1_251-ducati1098s-penta-part2.jpg</t>
  </si>
  <si>
    <t>https://shop.officineitalianezard.it/contents/imgs/products/1_981-2.jpg</t>
  </si>
  <si>
    <t>https://shop.officineitalianezard.it/contents/imgs/products/1_114-2.jpg</t>
  </si>
  <si>
    <t>https://shop.officineitalianezard.it/contents/imgs/products/1_1779-1426-bonneville%20t120%20scarichi%20t120%20exhaust%20zard%201.jpg</t>
  </si>
  <si>
    <t>450 SX-F</t>
  </si>
  <si>
    <t>https://shop.officineitalianezard.it/en/ktm-450-sx-f-exhaust/</t>
  </si>
  <si>
    <t>https://shop.officineitalianezard.it/en/products/index/ktm-450-sx-f-exhaust-zard-7717-197/</t>
  </si>
  <si>
    <t>ZKTM229SKR-FC</t>
  </si>
  <si>
    <t>https://shop.officineitalianezard.it/contents/imgs/products/1_1666-450.jpg</t>
  </si>
  <si>
    <t>https://shop.officineitalianezard.it/contents/imgs/products/1_1386-kawasaki%20w800%20exhaust%20zard.jpg</t>
  </si>
  <si>
    <t>https://shop.officineitalianezard.it/contents/imgs/products/1_2589-triumph%20scrambler%201200%20exhaust%20-%20zard.jpg</t>
  </si>
  <si>
    <t>https://shop.officineitalianezard.it/contents/imgs/products/1_2439-scarico%20kawasaki%20z900rs%20nero%20-%20zard%20exhaust.jpg</t>
  </si>
  <si>
    <t>TITANIUM END-CAP</t>
  </si>
  <si>
    <t>https://shop.officineitalianezard.it/contents/imgs/products/1_514-4.jpg</t>
  </si>
  <si>
    <t>https://shop.officineitalianezard.it/contents/imgs/products/1_395-ducati-monster.jpg</t>
  </si>
  <si>
    <t>https://shop.officineitalianezard.it/contents/imgs/products/1_1942-ducati%20monster%20797%20scarichi%20zard%20exhaust%20monster.jpg</t>
  </si>
  <si>
    <t>KX KE 250 F</t>
  </si>
  <si>
    <t>https://shop.officineitalianezard.it/en/kawasaki-kx-ke-250-f-exhaust/</t>
  </si>
  <si>
    <t>https://shop.officineitalianezard.it/en/products/index/zard-exhaust-kawasaki-kx-ke-450-f-7650-178/</t>
  </si>
  <si>
    <t>ZKAW178SKR</t>
  </si>
  <si>
    <t>https://shop.officineitalianezard.it/contents/imgs/products/1_1287-1.jpg</t>
  </si>
  <si>
    <t>https://shop.officineitalianezard.it/contents/imgs/products/1_813-HARLEY%20DAVIDSON%20XR1200%20010.jpg</t>
  </si>
  <si>
    <t>https://shop.officineitalianezard.it/contents/imgs/products/1_1203-2.jpg</t>
  </si>
  <si>
    <t>https://shop.officineitalianezard.it/contents/imgs/products/1_2303-zard-5.jpg</t>
  </si>
  <si>
    <t>https://shop.officineitalianezard.it/contents/imgs/products/1_2010-3.jpg</t>
  </si>
  <si>
    <t>https://shop.officineitalianezard.it/contents/imgs/products/1_60-daytona-rossa1.jpg</t>
  </si>
  <si>
    <t>https://shop.officineitalianezard.it/contents/imgs/products/1_831-sposrtstersport1.JPG</t>
  </si>
  <si>
    <t>https://shop.officineitalianezard.it/contents/imgs/products/1_2677-scrambler%201200%20exhaust%20-%20zard%20-%20black.jpg</t>
  </si>
  <si>
    <t>749/999 DOUBLE-SEAT</t>
  </si>
  <si>
    <t>https://shop.officineitalianezard.it/en/ducati-749-999-double-seat-exhaust/</t>
  </si>
  <si>
    <t>https://shop.officineitalianezard.it/en/ducati-749-exhaust-ducati-999-exhaust-zard/</t>
  </si>
  <si>
    <t>ZD013SBR-11</t>
  </si>
  <si>
    <t>https://shop.officineitalianezard.it/contents/imgs/products/1_536-SCARICO%20DUCATI%20ZARD%20SCARICHI%20MOTO.jpg</t>
  </si>
  <si>
    <t>https://shop.officineitalianezard.it/contents/imgs/products/1_654-3scarichi%20t-max%20yamaha%20zard1.jpg</t>
  </si>
  <si>
    <t>https://shop.officineitalianezard.it/contents/imgs/products/1_2541-scarico%20triumph%20street%20triple%20765%20zard%20exhaust%204.jpg</t>
  </si>
  <si>
    <t>https://shop.officineitalianezard.it/contents/imgs/products/1_1094-brushed.jpg</t>
  </si>
  <si>
    <t>https://shop.officineitalianezard.it/contents/imgs/products/1_639-3scarichi%20t-max%20yamaha%20zard1.jpg</t>
  </si>
  <si>
    <t>https://shop.officineitalianezard.it/contents/imgs/products/1_1878-triumph%20bonneville%20t100%20scaricho%20basso.jpg</t>
  </si>
  <si>
    <t>https://shop.officineitalianezard.it/contents/imgs/products/1_2213-scarico%20bmw%20nine%20t%20scrambler%20-%20zard%203.jpg</t>
  </si>
  <si>
    <t>https://shop.officineitalianezard.it/contents/imgs/products/1_2569-decatalizzatore%20triumph%20scrambler%201200%20-%20zard%201.jpg</t>
  </si>
  <si>
    <t>BRONZED LOGO PLATE, HOSE CLAMP AND END-CAP</t>
  </si>
  <si>
    <t>SILVER AND BLACK ENDCAP</t>
  </si>
  <si>
    <t>https://shop.officineitalianezard.it/contents/imgs/products/1_356-monster696cono1.jpg</t>
  </si>
  <si>
    <t>https://shop.officineitalianezard.it/contents/imgs/products/1_558-374-ducati-monster-S2R800-dx.jpg</t>
  </si>
  <si>
    <t>https://shop.officineitalianezard.it/contents/imgs/products/1_564-scarico%20moto%20guzzi%20zard%202.jpg</t>
  </si>
  <si>
    <t>https://shop.officineitalianezard.it/contents/imgs/products/1_2669-scarico%20royal%20enfield%20continental%20gt%20interceptor%20650%20zard%20-%206.jpg</t>
  </si>
  <si>
    <t>https://shop.officineitalianezard.it/contents/imgs/products/1_974-zard%20exhaust%20carbon.jpg</t>
  </si>
  <si>
    <t>https://shop.officineitalianezard.it/contents/imgs/products/1_1864-3.jpg</t>
  </si>
  <si>
    <t>FRONT CARBON FENDER</t>
  </si>
  <si>
    <t>https://shop.officineitalianezard.it/contents/imgs/products/1_1370-zard.jpg</t>
  </si>
  <si>
    <t>https://shop.officineitalianezard.it/contents/imgs/products/1_902-3.jpg</t>
  </si>
  <si>
    <t>https://shop.officineitalianezard.it/contents/imgs/products/1_117-5.jpg</t>
  </si>
  <si>
    <t>https://shop.officineitalianezard.it/contents/imgs/products/1_736-bimota-db5-retro-dx.jpg</t>
  </si>
  <si>
    <t>https://shop.officineitalianezard.it/contents/imgs/products/1_1135-4.jpg</t>
  </si>
  <si>
    <t>https://shop.officineitalianezard.it/contents/imgs/products/1_2581-scarichi%20hypermotard%20sp%202019%20zard%202.jpg</t>
  </si>
  <si>
    <t>https://shop.officineitalianezard.it/contents/imgs/products/1_81-garys-triumph-007.jpg</t>
  </si>
  <si>
    <t>https://shop.officineitalianezard.it/contents/imgs/products/1_2675-scarico%20moto%20guzzi%20v85.jpg</t>
  </si>
  <si>
    <t>https://shop.officineitalianezard.it/contents/imgs/products/1_279-panigalezard3.jpg</t>
  </si>
  <si>
    <t>https://shop.officineitalianezard.it/contents/imgs/products/1_989-DSC_0021.jpg</t>
  </si>
  <si>
    <t>https://shop.officineitalianezard.it/contents/imgs/products/1_2231-moto%20guzzi%20v7III%20scarichi%20-%20zard.jpg</t>
  </si>
  <si>
    <t>https://shop.officineitalianezard.it/contents/imgs/products/1_1142-11259175_10153917986126632_709285374156847894_n.jpg</t>
  </si>
  <si>
    <t>https://shop.officineitalianezard.it/contents/imgs/products/1_777-scarichi%20moto%20zard%20bmw%202.jpg</t>
  </si>
  <si>
    <t>https://shop.officineitalianezard.it/contents/imgs/products/1_446-1MG_1038.JPG</t>
  </si>
  <si>
    <t>https://shop.officineitalianezard.it/contents/imgs/products/1_2607-2%20scarico%20triumph%20speed%20twin%20scarichi%20zard%20exhaust.jpg</t>
  </si>
  <si>
    <t>https://shop.officineitalianezard.it/contents/imgs/products/1_2462-scarico%20bmw%201250%20gs%20-%20zard%202.jpg</t>
  </si>
  <si>
    <t>https://shop.officineitalianezard.it/contents/imgs/products/1_2081-scrambler%20ducati%20desert%20sled%20scarichi%20-%20zard%203.jpg</t>
  </si>
  <si>
    <t>https://shop.officineitalianezard.it/contents/imgs/products/1_1400-3.jpg</t>
  </si>
  <si>
    <t>https://shop.officineitalianezard.it/contents/imgs/products/1_875-z800.2.JPG</t>
  </si>
  <si>
    <t>SNAKE WELDED</t>
  </si>
  <si>
    <t>https://shop.officineitalianezard.it/contents/imgs/products/1_245-ducati999mono.jpg</t>
  </si>
  <si>
    <t>https://shop.officineitalianezard.it/contents/imgs/products/1_173-Street_Triple_sil_basso_3.jpg</t>
  </si>
  <si>
    <t>https://shop.officineitalianezard.it/contents/imgs/products/1_2237-v7III%20exhaust%20-%20zard.jpg</t>
  </si>
  <si>
    <t>https://shop.officineitalianezard.it/contents/imgs/products/1_2538-scarico%20ducati%20multistrada%20zard.jpg</t>
  </si>
  <si>
    <t>https://shop.officineitalianezard.it/contents/imgs/products/1_231-2.jpg</t>
  </si>
  <si>
    <t>https://shop.officineitalianezard.it/contents/imgs/products/1_799-scarichi%20moto%20zard%20bmw3.jpg</t>
  </si>
  <si>
    <t>https://shop.officineitalianezard.it/contents/imgs/products/1_855-er6n3.JPG</t>
  </si>
  <si>
    <t>https://shop.officineitalianezard.it/contents/imgs/products/1_438-ducati-sport-paul-smart-003.jpg</t>
  </si>
  <si>
    <t>https://shop.officineitalianezard.it/contents/imgs/products/1_861-ninja1.JPG</t>
  </si>
  <si>
    <t>https://shop.officineitalianezard.it/contents/imgs/products/1_809-S8000010.JPG</t>
  </si>
  <si>
    <t>https://shop.officineitalianezard.it/contents/imgs/products/1_695-2_574-scarico%20moto%20guzzi%20zard%201.jpg</t>
  </si>
  <si>
    <t>https://shop.officineitalianezard.it/contents/imgs/products/1_871-W800CONICALBLACK2.JPG</t>
  </si>
  <si>
    <t>FLAT VERSION</t>
  </si>
  <si>
    <t>https://shop.officineitalianezard.it/en/royal-enfield-interceptor-exhaust/</t>
  </si>
  <si>
    <t>ZRE537SKR</t>
  </si>
  <si>
    <t>https://shop.officineitalianezard.it/contents/imgs/products/1_2631-scarico%20royal%20enfield%20interceptor%20-%20continental%20gt%20-%20zard%202.jpg</t>
  </si>
  <si>
    <t>https://shop.officineitalianezard.it/contents/imgs/products/1_864-IMG_0578.JPG</t>
  </si>
  <si>
    <t>https://shop.officineitalianezard.it/contents/imgs/products/1_495-1.jpg</t>
  </si>
  <si>
    <t>https://shop.officineitalianezard.it/contents/imgs/products/1_1520-2.jpg</t>
  </si>
  <si>
    <t>https://shop.officineitalianezard.it/contents/imgs/products/1_1463-ducati%20diavel%20exhaust%20.jpg</t>
  </si>
  <si>
    <t>SNAKE WELDED HEADERS</t>
  </si>
  <si>
    <t>https://shop.officineitalianezard.it/contents/imgs/products/1_1333-1ridotta.jpg</t>
  </si>
  <si>
    <t>https://shop.officineitalianezard.it/contents/imgs/products/1_884-DSC_0039.JPG</t>
  </si>
  <si>
    <t>https://shop.officineitalianezard.it/contents/imgs/products/1_2564-scarico%20mt%2009%20tracer%20-%20zard%201.jpg</t>
  </si>
  <si>
    <t>https://shop.officineitalianezard.it/contents/imgs/products/1_2626-scarico%20royal%20enfield%20bullet%20trials%20500%20-%20zard%201.jpg</t>
  </si>
  <si>
    <t>BLACK COATING ON HEAT SHIELD</t>
  </si>
  <si>
    <t>https://shop.officineitalianezard.it/contents/imgs/products/1_2306-zard-2.jpg</t>
  </si>
  <si>
    <t>https://shop.officineitalianezard.it/contents/imgs/products/1_70-1ROCKET.jpg</t>
  </si>
  <si>
    <t>https://shop.officineitalianezard.it/contents/imgs/products/1_2630-scarico%20royal%20enfield%20interceptor%20-%20continental%20gt%20-%20zard%201.jpg</t>
  </si>
  <si>
    <t>https://shop.officineitalianezard.it/contents/imgs/products/1_1950-1.jpg</t>
  </si>
  <si>
    <t>https://shop.officineitalianezard.it/contents/imgs/products/1_2721-scarichi%20guzzi%20v7III.jpg</t>
  </si>
  <si>
    <t>TITANIUM-CARBON RACING</t>
  </si>
  <si>
    <t>https://shop.officineitalianezard.it/contents/imgs/products/1_2602-2%20scarico%20triumph%20speed%20twin%20scarichi%20zard%20exhaust.jpg</t>
  </si>
  <si>
    <t>https://shop.officineitalianezard.it/contents/imgs/products/1_2373-farfalla%20zard.jpg</t>
  </si>
  <si>
    <t>https://shop.officineitalianezard.it/contents/imgs/products/1_2016-scarico%20xsr%20900%20nero%20-%20zard.jpg</t>
  </si>
  <si>
    <t>https://shop.officineitalianezard.it/contents/imgs/products/1_933-R1200R.jpg</t>
  </si>
  <si>
    <t>https://shop.officineitalianezard.it/contents/imgs/products/1_2346-scarico%20kawasaki%20kx%20450%20f%20-%20zard%201.jpg</t>
  </si>
  <si>
    <t>https://shop.officineitalianezard.it/contents/imgs/products/1_1951-3.jpg</t>
  </si>
  <si>
    <t>https://shop.officineitalianezard.it/contents/imgs/products/1_1459-mt07zard-alluminio-ridotta.jpg</t>
  </si>
  <si>
    <t>https://shop.officineitalianezard.it/contents/imgs/products/1_1002-ABASSO.jpg</t>
  </si>
  <si>
    <t>https://shop.officineitalianezard.it/contents/imgs/products/1_2490-scarico%20ducati%20panigale%20v4%20zard%20-%202.jpg</t>
  </si>
  <si>
    <t>https://shop.officineitalianezard.it/contents/imgs/products/1_1226-1.jpg</t>
  </si>
  <si>
    <t>https://shop.officineitalianezard.it/contents/imgs/products/1_1385-triumph%20bonneville%20t120%20exhaust%20-%20zard%20-%20scarichi%20triumph%20bonneville%20t120%20-%203.jpg</t>
  </si>
  <si>
    <t>https://shop.officineitalianezard.it/contents/imgs/products/1_1828-2.jpg</t>
  </si>
  <si>
    <t>https://shop.officineitalianezard.it/contents/imgs/products/1_2014-scrambler%20ducati%20scarico%20zard%20zuma.jpg</t>
  </si>
  <si>
    <t>https://shop.officineitalianezard.it/contents/imgs/products/1_1127-diavel%20zard%20limited.jpg</t>
  </si>
  <si>
    <t>https://shop.officineitalianezard.it/contents/imgs/products/1_856-ninja.jpg</t>
  </si>
  <si>
    <t>https://shop.officineitalianezard.it/contents/imgs/products/1_716-Immagine%20004.jpg</t>
  </si>
  <si>
    <t>https://shop.officineitalianezard.it/contents/imgs/products/1_2360-scarico%20bmw%20r%20nine%20t%20zard%201.jpg</t>
  </si>
  <si>
    <t>https://shop.officineitalianezard.it/contents/imgs/products/1_636-yamaha-r6.jpg</t>
  </si>
  <si>
    <t>https://shop.officineitalianezard.it/contents/imgs/products/1_2030-scarico%20bmw%20k100%20zard3.jpg</t>
  </si>
  <si>
    <t>FULL RACING TITANIUM</t>
  </si>
  <si>
    <t>https://shop.officineitalianezard.it/contents/imgs/products/1_2579-scarichi%20hypermotard%20sp%202019%20zard%204.jpg</t>
  </si>
  <si>
    <t>https://shop.officineitalianezard.it/contents/imgs/products/1_2294-scarico%20street%20scrambler%20zard.jpg</t>
  </si>
  <si>
    <t>https://shop.officineitalianezard.it/contents/imgs/products/1_2600-5%20scarico%20triumph%20speed%20twin%20scarichi%20zard%20exhaust.jpg</t>
  </si>
  <si>
    <t>https://shop.officineitalianezard.it/contents/imgs/products/1_2424-scarico%20kawasaki%20z900%20rs%20zard%20exhaust%202.jpg</t>
  </si>
  <si>
    <t>https://shop.officineitalianezard.it/contents/imgs/products/1_187-1.jpg</t>
  </si>
  <si>
    <t>https://shop.officineitalianezard.it/contents/imgs/products/1_2006-2.jpg</t>
  </si>
  <si>
    <t>https://shop.officineitalianezard.it/contents/imgs/products/1_2720-moto%20guzzi%20v7III%20scarichi%20-%20zard.jpg</t>
  </si>
  <si>
    <t>https://shop.officineitalianezard.it/contents/imgs/products/1_2015-1721-scarico%20xsr900%20mt07%20xsr700%20mt09%20yamaha%20zard.jpg</t>
  </si>
  <si>
    <t>https://shop.officineitalianezard.it/contents/imgs/products/1_1716-cupolino%20bianco%20ridotta.jpg</t>
  </si>
  <si>
    <t>https://shop.officineitalianezard.it/contents/imgs/products/1_180-2.jpg</t>
  </si>
  <si>
    <t>https://shop.officineitalianezard.it/contents/imgs/products/1_954-2.jpg</t>
  </si>
  <si>
    <t>https://shop.officineitalianezard.it/contents/imgs/products/1_2067-scarico%20scrambler%20desert%20sled%20-%20zard%203.jpg</t>
  </si>
  <si>
    <t>https://shop.officineitalianezard.it/contents/imgs/products/1_839-aggiunta3.jpg</t>
  </si>
  <si>
    <t>https://shop.officineitalianezard.it/contents/imgs/products/1_2281-Africa%20Twin%20Zard%20Kit.jpg</t>
  </si>
  <si>
    <t>https://shop.officineitalianezard.it/contents/imgs/products/1_2349-scarico%20honda%20crf%20450%20motard%20-%20zard%20exhaust.jpg</t>
  </si>
  <si>
    <t>https://shop.officineitalianezard.it/contents/imgs/products/1_1494-4.jpg</t>
  </si>
  <si>
    <t>https://shop.officineitalianezard.it/contents/imgs/products/1_758-scarichi%20moto%20zard%20bmw%202.jpg</t>
  </si>
  <si>
    <t>https://shop.officineitalianezard.it/contents/imgs/products/1_891-2scarichi%20t-max%20yamaha%20zard2.jpg</t>
  </si>
  <si>
    <t>https://shop.officineitalianezard.it/contents/imgs/products/1_1328-Triumph-Scrambler-Alo-Barber-Proraso-Scarico.jpg</t>
  </si>
  <si>
    <t>https://shop.officineitalianezard.it/contents/imgs/products/1_557-scarichi%20moto%20ducati%20monster%201100%20evo%20zard.jpg</t>
  </si>
  <si>
    <t>https://shop.officineitalianezard.it/en/indian-ftr-1200-exhaust-full-kit/</t>
  </si>
  <si>
    <t>ZIND001TKR-FC</t>
  </si>
  <si>
    <t>https://shop.officineitalianezard.it/contents/imgs/products/1_2652-scarico%20indian%20ftr%201200%20-%20zard%203.jpg</t>
  </si>
  <si>
    <t>https://shop.officineitalianezard.it/contents/imgs/products/1_2352-scarichi%20honda%20crf%20450%202017.jpg</t>
  </si>
  <si>
    <t>https://shop.officineitalianezard.it/contents/imgs/products/1_2340-scarico%20triumph%20street%20twin%20-%20zard%20cross.jpg</t>
  </si>
  <si>
    <t>https://shop.officineitalianezard.it/contents/imgs/products/1_1372-cover%20titanio.jpg</t>
  </si>
  <si>
    <t>https://shop.officineitalianezard.it/contents/imgs/products/1_849-FOTO%20MOTO%20EICMA%20063.jpg</t>
  </si>
  <si>
    <t>https://shop.officineitalianezard.it/contents/imgs/products/1_1184-1ridotta.jpg</t>
  </si>
  <si>
    <t>https://shop.officineitalianezard.it/contents/imgs/products/1_1251-zard%20paul%20smart%20exhaust.jpg</t>
  </si>
  <si>
    <t>https://shop.officineitalianezard.it/contents/imgs/products/1_86-garys-triumph-007.jpg</t>
  </si>
  <si>
    <t>https://shop.officineitalianezard.it/contents/imgs/products/1_1912-1%20royal%20enfield%20bullet%20classic%20scarichi%20-%20zard.jpg</t>
  </si>
  <si>
    <t>https://shop.officineitalianezard.it/contents/imgs/products/1_1731-1066-scarico%20scrambler%20zard1.jpg</t>
  </si>
  <si>
    <t>https://shop.officineitalianezard.it/contents/imgs/products/1_2000-smontato.jpg</t>
  </si>
  <si>
    <t>https://shop.officineitalianezard.it/contents/imgs/products/1_621-scarichi%20moto%20ducati%20zard%20diavel%205.jpg</t>
  </si>
  <si>
    <t>https://shop.officineitalianezard.it/contents/imgs/products/1_1141-1.jpg</t>
  </si>
  <si>
    <t>https://shop.officineitalianezard.it/contents/imgs/products/1_948-scarichi%20moto%20zard%20cross.jpg</t>
  </si>
  <si>
    <t>https://shop.officineitalianezard.it/contents/imgs/products/1_357-monster696cono3.jpg</t>
  </si>
  <si>
    <t>https://shop.officineitalianezard.it/contents/imgs/products/1_122-5.jpg</t>
  </si>
  <si>
    <t>https://shop.officineitalianezard.it/contents/imgs/products/1_366-ducati-monster-S2R800-dx.jpg</t>
  </si>
  <si>
    <t>https://shop.officineitalianezard.it/contents/imgs/products/1_2591-scarico%20triumph%20scrambler%201200%20-%20zard%20exhaust%204.jpg</t>
  </si>
  <si>
    <t>https://shop.officineitalianezard.it/contents/imgs/products/1_503-zard%20nera.jpg</t>
  </si>
  <si>
    <t>https://shop.officineitalianezard.it/contents/imgs/products/1_392-ducati-monster.jpg</t>
  </si>
  <si>
    <t>https://shop.officineitalianezard.it/contents/imgs/products/1_1327-Triumph-Scrambler-Alo-Barber-Proraso-Barbiere.jpg</t>
  </si>
  <si>
    <t>https://shop.officineitalianezard.it/contents/imgs/products/1_2429-scarichi%20moto%20-%20scarico%20per%20ktm%201190%20adventure%20-%20zard1.jpg</t>
  </si>
  <si>
    <t>https://shop.officineitalianezard.it/contents/imgs/products/1_2390-scarico%20kawasaki%20z900rs%20-%20zard%202.jpg</t>
  </si>
  <si>
    <t>https://shop.officineitalianezard.it/contents/imgs/products/1_203-1.jpg</t>
  </si>
  <si>
    <t>DB 5 M.Y. 05-06</t>
  </si>
  <si>
    <t>https://shop.officineitalianezard.it/en/bimota-d-b-5-m-y-05-06-exhaust/</t>
  </si>
  <si>
    <t>https://shop.officineitalianezard.it/en/products/index/penta-silencers-zard-bimota-7411-106/</t>
  </si>
  <si>
    <t>ZB 080 SSR</t>
  </si>
  <si>
    <t>https://shop.officineitalianezard.it/contents/imgs/products/1_673-scarichi%20moto%20zard%20bimota2.jpg</t>
  </si>
  <si>
    <t>https://shop.officineitalianezard.it/contents/imgs/products/1_317-hypekitlateraleinox3.jpg</t>
  </si>
  <si>
    <t>https://shop.officineitalianezard.it/contents/imgs/products/1_544-scarico%20moto%20guzzi%20zard%202.jpg</t>
  </si>
  <si>
    <t>https://shop.officineitalianezard.it/contents/imgs/products/1_893-nero.jpg</t>
  </si>
  <si>
    <t>https://shop.officineitalianezard.it/contents/imgs/products/1_1376-1.jpg</t>
  </si>
  <si>
    <t>https://shop.officineitalianezard.it/contents/imgs/products/1_763-scarichi%20moto%20zard%20bmw2.jpg</t>
  </si>
  <si>
    <t>https://shop.officineitalianezard.it/contents/imgs/products/1_477-intera.jpg</t>
  </si>
  <si>
    <t>https://shop.officineitalianezard.it/contents/imgs/products/1_1119-SCARICO%20NINE-T%20ZARD.jpg</t>
  </si>
  <si>
    <t>https://shop.officineitalianezard.it/contents/imgs/products/1_1123-Hyper.jpg</t>
  </si>
  <si>
    <t>https://shop.officineitalianezard.it/contents/imgs/products/1_517-3.jpg</t>
  </si>
  <si>
    <t>https://shop.officineitalianezard.it/contents/imgs/products/1_936-scarichi%20moto.jpg</t>
  </si>
  <si>
    <t>https://shop.officineitalianezard.it/contents/imgs/products/1_2651-scarico%20indian%20ftr%201200%20-%20zard%202.jpg</t>
  </si>
  <si>
    <t>https://shop.officineitalianezard.it/contents/imgs/products/1_913-scarichi%20moto%20zard%20bmw%20r%201200%20r%202.jpg</t>
  </si>
  <si>
    <t>https://shop.officineitalianezard.it/contents/imgs/products/1_2060-bmw%20r100%20scarico%20-%20zard%202.jpg</t>
  </si>
  <si>
    <t>https://shop.officineitalianezard.it/contents/imgs/products/1_1092-brushed.jpg</t>
  </si>
  <si>
    <t>https://shop.officineitalianezard.it/contents/imgs/products/1_1004-ABASSO.jpg</t>
  </si>
  <si>
    <t>https://shop.officineitalianezard.it/contents/imgs/products/1_706-scarichi%20moto%20zard%20kymco%202.jpg</t>
  </si>
  <si>
    <t>https://shop.officineitalianezard.it/contents/imgs/products/1_1261-1.jpg%20.jpg</t>
  </si>
  <si>
    <t>https://shop.officineitalianezard.it/contents/imgs/products/1_1854-scarico%20bonneville%20t120%20scarico%20triumph%20street%20twin.jpg</t>
  </si>
  <si>
    <t>https://shop.officineitalianezard.it/contents/imgs/products/1_150-2speedsil.jpg</t>
  </si>
  <si>
    <t>https://shop.officineitalianezard.it/contents/imgs/products/1_2045-scarico%20bmw%20R1150%20zard5.jpg</t>
  </si>
  <si>
    <t>https://shop.officineitalianezard.it/contents/imgs/products/1_953-1.jpg</t>
  </si>
  <si>
    <t>https://shop.officineitalianezard.it/contents/imgs/products/1_2573-scarico%20ducati%20hypermotard%20zard%201.jpg</t>
  </si>
  <si>
    <t>https://shop.officineitalianezard.it/contents/imgs/products/1_2385-scarico%20street%20twin%20nero%20zard.jpg</t>
  </si>
  <si>
    <t>STEEL LOGO PLATE AND END CAP</t>
  </si>
  <si>
    <t>https://shop.officineitalianezard.it/contents/imgs/products/1_2196-scarico%20bmw%20r%20nine%20t%20urban%20gs%20zard%20-%205.jpg</t>
  </si>
  <si>
    <t>https://shop.officineitalianezard.it/contents/imgs/products/1_2332-yamaha%20tmax%20exhaust%20-%20zard.jpg</t>
  </si>
  <si>
    <t>https://shop.officineitalianezard.it/contents/imgs/products/1_1222-full%20kit%20triumph%20daytona%20zard.jpg</t>
  </si>
  <si>
    <t>FULL TITANIUM CATALYSED</t>
  </si>
  <si>
    <t>https://shop.officineitalianezard.it/contents/imgs/products/1_1448-3.jpg</t>
  </si>
  <si>
    <t>https://shop.officineitalianezard.it/contents/imgs/products/1_1375-67-S8000737%20copy.jpg</t>
  </si>
  <si>
    <t>https://shop.officineitalianezard.it/contents/imgs/products/1_2668-scarico%20royal%20enfield%20continental%20gt%20interceptor%20650%20zard%20-%205.jpg</t>
  </si>
  <si>
    <t>https://shop.officineitalianezard.it/contents/imgs/products/1_481-2.jpg</t>
  </si>
  <si>
    <t>https://shop.officineitalianezard.it/contents/imgs/products/1_513-3.jpg</t>
  </si>
  <si>
    <t>https://shop.officineitalianezard.it/contents/imgs/products/1_361-monster696-penta.jpg</t>
  </si>
  <si>
    <t>https://shop.officineitalianezard.it/contents/imgs/products/1_2639-scarico%20royal%20enfield%20classic%20zard%20-%201.jpg</t>
  </si>
  <si>
    <t>https://shop.officineitalianezard.it/contents/imgs/products/1_1988-x20170606_201815.jpg</t>
  </si>
  <si>
    <t>https://shop.officineitalianezard.it/contents/imgs/products/1_1426-bonneville%20t120%20scarichi%20t120%20exhaust%20zard%201.jpg</t>
  </si>
  <si>
    <t>https://shop.officineitalianezard.it/contents/imgs/products/1_2319-kawasaki%20z900%20zard.jpg</t>
  </si>
  <si>
    <t>https://shop.officineitalianezard.it/contents/imgs/products/1_1932-2.jpg</t>
  </si>
  <si>
    <t>https://shop.officineitalianezard.it/contents/imgs/products/1_2464-scarico%20honda%20cb%201000%20r%20-%20zard%201.jpg</t>
  </si>
  <si>
    <t>https://shop.officineitalianezard.it/contents/imgs/products/1_2353-2029-scarico%20bmw%20k100%20zard1.jpg</t>
  </si>
  <si>
    <t>https://shop.officineitalianezard.it/contents/imgs/products/1_1493-3.jpg</t>
  </si>
  <si>
    <t>https://shop.officineitalianezard.it/contents/imgs/products/1_2597-2%20scarico%20triumph%20speed%20twin%20scarichi%20zard%20exhaust.jpg</t>
  </si>
  <si>
    <t>https://shop.officineitalianezard.it/contents/imgs/products/1_2297-1067-scarico%20scrambler%20zard2.jpg</t>
  </si>
  <si>
    <t>https://shop.officineitalianezard.it/contents/imgs/products/1_1103-inox-paracalore%20nero.jpg</t>
  </si>
  <si>
    <t>https://shop.officineitalianezard.it/contents/imgs/products/1_2083-scrambler%20ducati%20desert%20sled%20scarichi%20-%20zard%202.jpg</t>
  </si>
  <si>
    <t>https://shop.officineitalianezard.it/contents/imgs/products/1_32-4.JPG</t>
  </si>
  <si>
    <t>https://shop.officineitalianezard.it/contents/imgs/products/1_1810-2.jpg</t>
  </si>
  <si>
    <t>https://shop.officineitalianezard.it/contents/imgs/products/1_1726-1067-scarico%20scrambler%20zard2.jpg</t>
  </si>
  <si>
    <t>https://shop.officineitalianezard.it/contents/imgs/products/1_1792-2.jpg</t>
  </si>
  <si>
    <t>https://shop.officineitalianezard.it/contents/imgs/products/1_2601-4%20scarico%20triumph%20speed%20twin%20scarichi%20zard%20exhaust.jpg</t>
  </si>
  <si>
    <t>https://shop.officineitalianezard.it/contents/imgs/products/1_2604-3%20scarico%20triumph%20speed%20twin%20scarichi%20zard%20exhaust.jpg</t>
  </si>
  <si>
    <t>https://shop.officineitalianezard.it/contents/imgs/products/1_2583-scarico%20triumph%20scrambler%201200%20-%20zard%20exhaust%201.jpg</t>
  </si>
  <si>
    <t>https://shop.officineitalianezard.it/contents/imgs/products/1_408-ducati-multistrada1000-part.jpg</t>
  </si>
  <si>
    <t>https://shop.officineitalianezard.it/contents/imgs/products/1_619-scarichi%20moto%20ducati%20zard%20diavel%201.jpg</t>
  </si>
  <si>
    <t>https://shop.officineitalianezard.it/contents/imgs/products/1_2158-2028-scarico%20moto%20guzzi%20v9%20zard.jpg</t>
  </si>
  <si>
    <t>HEADER KIT TITANIUM RACING + SIL. CARB. RACING</t>
  </si>
  <si>
    <t>https://shop.officineitalianezard.it/contents/imgs/products/1_920-Collettorecomp.3.JPG</t>
  </si>
  <si>
    <t>https://shop.officineitalianezard.it/contents/imgs/products/1_1102-inox.jpg</t>
  </si>
  <si>
    <t>https://shop.officineitalianezard.it/contents/imgs/products/1_1099-inox-paracalore%20nero.jpg</t>
  </si>
  <si>
    <t>https://shop.officineitalianezard.it/contents/imgs/products/1_1474-4.jpg</t>
  </si>
  <si>
    <t>https://shop.officineitalianezard.it/contents/imgs/products/1_894-YAMAHA%20T-MAX%20BIANCO%20002.jpg</t>
  </si>
  <si>
    <t>https://shop.officineitalianezard.it/contents/imgs/products/1_2605-4%20scarico%20triumph%20speed%20twin%20scarichi%20zard%20exhaust.jpg</t>
  </si>
  <si>
    <t>https://shop.officineitalianezard.it/contents/imgs/products/1_2091-zard-singolo-bonneville4.jpg</t>
  </si>
  <si>
    <t>https://shop.officineitalianezard.it/contents/imgs/products/1_428-sliponpentamultistrada014.jpg</t>
  </si>
  <si>
    <t>https://shop.officineitalianezard.it/contents/imgs/products/1_976-carbon%20exhaust.jpg</t>
  </si>
  <si>
    <t>https://shop.officineitalianezard.it/contents/imgs/products/1_1265-2.jpg</t>
  </si>
  <si>
    <t>https://shop.officineitalianezard.it/contents/imgs/products/1_1290-3.jpg</t>
  </si>
  <si>
    <t>https://shop.officineitalianezard.it/contents/imgs/products/1_1909-3%20ducati%20panigale%201199%20zard.jpg</t>
  </si>
  <si>
    <t>https://shop.officineitalianezard.it/contents/imgs/products/1_2316-2.jpg</t>
  </si>
  <si>
    <t>https://shop.officineitalianezard.it/contents/imgs/products/1_1961-1298-zuma%20nero%20e%20spazzolato.jpg</t>
  </si>
  <si>
    <t>https://shop.officineitalianezard.it/contents/imgs/products/1_2188-mt09%20exhaust.jpg</t>
  </si>
  <si>
    <t>EURO 4 HOMOLOGATED WITH TITANIUM SLEEVE</t>
  </si>
  <si>
    <t>https://shop.officineitalianezard.it/contents/imgs/products/1_812-IMG_08712.JPG</t>
  </si>
  <si>
    <t>https://shop.officineitalianezard.it/contents/imgs/products/1_2408-triumph%20scrambler%20scarico%20basso%20cross%20zard%202.jpg</t>
  </si>
  <si>
    <t>https://shop.officineitalianezard.it/contents/imgs/products/1_2377-scarico%20bmw%20nine%20t%20scrambler%20zard%20nero.jpg</t>
  </si>
  <si>
    <t>https://shop.officineitalianezard.it/contents/imgs/products/1_2643-scarico%20completo%20triumph%20scrambler%201200%20-%20zard%202.jpg</t>
  </si>
  <si>
    <t>https://shop.officineitalianezard.it/contents/imgs/products/1_1774-1670-triumph%20t120%20street%20twin%20exhaust.jpg</t>
  </si>
  <si>
    <t>https://shop.officineitalianezard.it/contents/imgs/products/1_714-2_693-moto%20guzzi%20v7%20scarico%20zard.jpg</t>
  </si>
  <si>
    <t>https://shop.officineitalianezard.it/contents/imgs/products/1_1911-5%20ducati%20panigale%201199%20exhaust.jpg</t>
  </si>
  <si>
    <t>https://shop.officineitalianezard.it/contents/imgs/products/1_890-YAMAHA%20T-MAX%20BIANCO%20002.jpg</t>
  </si>
  <si>
    <t>https://shop.officineitalianezard.it/contents/imgs/products/1_2532-scarico%20ducati%20panigale%20v4%20zard%20exhaust%201.jpg</t>
  </si>
  <si>
    <t>https://shop.officineitalianezard.it/contents/imgs/products/1_1347-4.jpg</t>
  </si>
  <si>
    <t>https://shop.officineitalianezard.it/contents/imgs/products/1_1336-1ridotta.jpg</t>
  </si>
  <si>
    <t>https://shop.officineitalianezard.it/contents/imgs/products/1_780-Collettorecomp.2.JPG</t>
  </si>
  <si>
    <t>https://shop.officineitalianezard.it/contents/imgs/products/1_2186-2135-scarico%20street%20scrambler%20zard%20scarichi%203.jpg</t>
  </si>
  <si>
    <t>https://shop.officineitalianezard.it/contents/imgs/products/1_1991-1250-32.jpg</t>
  </si>
  <si>
    <t>https://shop.officineitalianezard.it/contents/imgs/products/1_949-scarichi%20moto%20zard%20cross.jpg</t>
  </si>
  <si>
    <t>https://shop.officineitalianezard.it/contents/imgs/products/1_507-zard%20short%20web.jpg</t>
  </si>
  <si>
    <t>BRUSHED ALUMINIUM VERSION</t>
  </si>
  <si>
    <t>https://shop.officineitalianezard.it/en/triumph-side-panels-zard/</t>
  </si>
  <si>
    <t>SIDE PANELS</t>
  </si>
  <si>
    <t>ZTPH065F</t>
  </si>
  <si>
    <t>https://shop.officineitalianezard.it/contents/imgs/products/1_1829-zard%20triumph%20side%20panels.jpg</t>
  </si>
  <si>
    <t>CARBON END-CAP</t>
  </si>
  <si>
    <t>https://shop.officineitalianezard.it/contents/imgs/products/1_2404-terminali%20silenziatori%20scarico%20moto%20guzzi%20v7II%20-%20zard%201.jpg</t>
  </si>
  <si>
    <t>https://shop.officineitalianezard.it/contents/imgs/products/1_1526-2.jpg</t>
  </si>
  <si>
    <t>https://shop.officineitalianezard.it/contents/imgs/products/1_1402-2_1255-zard-badchild-titanio.jpg</t>
  </si>
  <si>
    <t>https://shop.officineitalianezard.it/contents/imgs/products/1_754-scarichi%20moto%20zard%20bmw%202.jpg</t>
  </si>
  <si>
    <t>https://shop.officineitalianezard.it/contents/imgs/products/1_797-scarichi%20moto%20zard%20bmw1.jpg</t>
  </si>
  <si>
    <t>https://shop.officineitalianezard.it/contents/imgs/products/1_2615-scarico%20ducati%20multistrada%20950%20-%20zard%20exhaust%202.jpg</t>
  </si>
  <si>
    <t>STEEL HOMOLOGATED CATALYSED</t>
  </si>
  <si>
    <t>https://shop.officineitalianezard.it/contents/imgs/products/1_2216-4.jpg</t>
  </si>
  <si>
    <t>https://shop.officineitalianezard.it/contents/imgs/products/1_1852-t120%20neri%20zard.jpg</t>
  </si>
  <si>
    <t>https://shop.officineitalianezard.it/contents/imgs/products/1_2339-street%20twin%20exhaust%20-%20zard.jpg</t>
  </si>
  <si>
    <t>https://shop.officineitalianezard.it/contents/imgs/products/1_2089-zard-singolo-bonneville3.jpg</t>
  </si>
  <si>
    <t>https://shop.officineitalianezard.it/contents/imgs/products/1_753-scarichi%20moto%20zard%20bmw%201.jpg</t>
  </si>
  <si>
    <t>https://shop.officineitalianezard.it/contents/imgs/products/1_2008-5.jpg</t>
  </si>
  <si>
    <t>https://shop.officineitalianezard.it/contents/imgs/products/1_878-z800.2.JPG</t>
  </si>
  <si>
    <t>https://shop.officineitalianezard.it/contents/imgs/products/1_2266-scarico%20ktm%20250%20sxf%20-%20zard%203.jpg</t>
  </si>
  <si>
    <t>https://shop.officineitalianezard.it/contents/imgs/products/1_2665-scarico%20royal%20enfield%20continental%20gt%20interceptor%20650%20zard%20-%202.jpg</t>
  </si>
  <si>
    <t>https://shop.officineitalianezard.it/contents/imgs/products/1_537-SCARICO%20DUCATI%20ZARD%20SCARICHI%20MOTO.jpg</t>
  </si>
  <si>
    <t>https://shop.officineitalianezard.it/contents/imgs/products/1_1460-xsr700ridotta.jpg</t>
  </si>
  <si>
    <t>https://shop.officineitalianezard.it/contents/imgs/products/1_195-1.jpg</t>
  </si>
  <si>
    <t>https://shop.officineitalianezard.it/contents/imgs/products/1_1289-2.jpg</t>
  </si>
  <si>
    <t>https://shop.officineitalianezard.it/contents/imgs/products/1_2205-scarico%20bmw%20urban%20gs%202.jpg</t>
  </si>
  <si>
    <t>https://shop.officineitalianezard.it/contents/imgs/products/1_1139-3.jpg</t>
  </si>
  <si>
    <t>https://shop.officineitalianezard.it/contents/imgs/products/1_1764-0.jpg</t>
  </si>
  <si>
    <t>https://shop.officineitalianezard.it/contents/imgs/products/1_741-scarichi%20moto%20zard%20bimota%201.jpg</t>
  </si>
  <si>
    <t>https://shop.officineitalianezard.it/contents/imgs/products/1_1335-3.jpg</t>
  </si>
  <si>
    <t>ONE SEATED BRACKET</t>
  </si>
  <si>
    <t>https://shop.officineitalianezard.it/contents/imgs/products/1_2396-terminali%20silenziatori%20scarico%20moto%20guzzi%20v7II%20-%20zard%203.jpg</t>
  </si>
  <si>
    <t>GOLD VERSION END CAP</t>
  </si>
  <si>
    <t>https://shop.officineitalianezard.it/contents/imgs/products/1_410-ducati-multistrada1000-part.jpg</t>
  </si>
  <si>
    <t>https://shop.officineitalianezard.it/contents/imgs/products/1_1053-scarico%20triumph%20bonneville%20scrambler%20thruxton%20Zard.jpg</t>
  </si>
  <si>
    <t>https://shop.officineitalianezard.it/contents/imgs/products/1_217-thruxtontrofeogallery3.jpg</t>
  </si>
  <si>
    <t>https://shop.officineitalianezard.it/contents/imgs/products/1_710-2_564-scarico%20moto%20guzzi%20zard%202.jpg</t>
  </si>
  <si>
    <t>https://shop.officineitalianezard.it/contents/imgs/products/1_2066-scarico%20scrambler%20desert%20sled%20-%20zard%201.jpg</t>
  </si>
  <si>
    <t>https://shop.officineitalianezard.it/contents/imgs/products/1_1228-3.jpg</t>
  </si>
  <si>
    <t>https://shop.officineitalianezard.it/contents/imgs/products/1_1859-4.jpg</t>
  </si>
  <si>
    <t>https://shop.officineitalianezard.it/contents/imgs/products/1_359-monster696cono4.jpg</t>
  </si>
  <si>
    <t>https://shop.officineitalianezard.it/contents/imgs/products/1_1270-nine-scappamento-zard.jpg</t>
  </si>
  <si>
    <t>https://shop.officineitalianezard.it/contents/imgs/products/1_1462-2_552-Streetfighterkit4.jpg</t>
  </si>
  <si>
    <t>https://shop.officineitalianezard.it/contents/imgs/products/1_1861-2.jpg</t>
  </si>
  <si>
    <t>https://shop.officineitalianezard.it/contents/imgs/products/1_196-2.jpg</t>
  </si>
  <si>
    <t>https://shop.officineitalianezard.it/contents/imgs/products/1_2596-5%20scarico%20triumph%20speed%20twin%20scarichi%20zard%20exhaust.jpg</t>
  </si>
  <si>
    <t>https://shop.officineitalianezard.it/contents/imgs/products/1_2523-scarichi%20yamaha%20mt%2007.jpg</t>
  </si>
  <si>
    <t>https://shop.officineitalianezard.it/contents/imgs/products/1_1371-condotto%20titanio.jpg</t>
  </si>
  <si>
    <t>https://shop.officineitalianezard.it/contents/imgs/products/1_475-2_142-1.jpg</t>
  </si>
  <si>
    <t>https://shop.officineitalianezard.it/contents/imgs/products/1_776-scarichi%20moto%20zard%20bmw%201.jpg</t>
  </si>
  <si>
    <t>https://shop.officineitalianezard.it/contents/imgs/products/1_312-ducati-hypermotard_penta_003.jpg</t>
  </si>
  <si>
    <t>https://shop.officineitalianezard.it/contents/imgs/products/1_149-1speedsil.jpg</t>
  </si>
  <si>
    <t>https://shop.officineitalianezard.it/contents/imgs/products/1_1208-scrambler%20ducati%20scarico%20paracalore%20nero.jpg</t>
  </si>
  <si>
    <t>https://shop.officineitalianezard.it/contents/imgs/products/1_1865-2.jpg</t>
  </si>
  <si>
    <t>https://shop.officineitalianezard.it/contents/imgs/products/1_219-2.jpg</t>
  </si>
  <si>
    <t>https://shop.officineitalianezard.it/contents/imgs/products/1_1906-1%20ducati%20panigale%201199%20scarichi%20zard.jpg</t>
  </si>
  <si>
    <t>https://shop.officineitalianezard.it/contents/imgs/products/1_2210-scarico%20bmw%20r%20nine%20t%20scrambler%20-%20zard%203.jpg</t>
  </si>
  <si>
    <t>https://shop.officineitalianezard.it/contents/imgs/products/1_69-2.jpg</t>
  </si>
  <si>
    <t>BLACK COATING ON ORIGINAL HEADERS</t>
  </si>
  <si>
    <t>https://shop.officineitalianezard.it/contents/imgs/products/1_905-4.jpg</t>
  </si>
  <si>
    <t>https://shop.officineitalianezard.it/contents/imgs/products/1_1461-2_443-streetfighterkit2.jpg</t>
  </si>
  <si>
    <t>https://shop.officineitalianezard.it/contents/imgs/products/1_152-speed07-10kitbianco2.jpg</t>
  </si>
  <si>
    <t>https://shop.officineitalianezard.it/contents/imgs/products/1_1846-t100%20zard%20exhaust.jpg</t>
  </si>
  <si>
    <t>https://shop.officineitalianezard.it/contents/imgs/products/1_1771-1433-bonneville%20t120%20scarichi%20t120%20exhaust%20zard%204.jpg</t>
  </si>
  <si>
    <t>https://shop.officineitalianezard.it/contents/imgs/products/1_2666-scarico%20royal%20enfield%20continental%20gt%20interceptor%20650%20zard%20-%203.jpg</t>
  </si>
  <si>
    <t>https://shop.officineitalianezard.it/contents/imgs/products/1_1325-Triumph-Scrambler-Alo-Barber-Proraso-Scarico.jpg</t>
  </si>
  <si>
    <t>https://shop.officineitalianezard.it/contents/imgs/products/1_921-Collettorecomp.JPG</t>
  </si>
  <si>
    <t>https://shop.officineitalianezard.it/contents/imgs/products/1_2426-terminali%20silenziatori%20scarico%20moto%20guzzi%20v7II%20-%20zard%206.jpg</t>
  </si>
  <si>
    <t>https://shop.officineitalianezard.it/contents/imgs/products/1_2423-scarico%20kawasaki%20z900%20rs%20zard%20exhaust%203.jpg</t>
  </si>
  <si>
    <t>https://shop.officineitalianezard.it/contents/imgs/products/1_1776-1767-1503-1.jpg</t>
  </si>
  <si>
    <t>https://shop.officineitalianezard.it/contents/imgs/products/1_2688-scarichi%20yamaha%20tenere%20700%20scarico%20zard%20-%20omologato%20exhaust%202.jpg</t>
  </si>
  <si>
    <t>https://shop.officineitalianezard.it/contents/imgs/products/1_2002-6.jpg</t>
  </si>
  <si>
    <t>https://shop.officineitalianezard.it/contents/imgs/products/1_53-1.jpg</t>
  </si>
  <si>
    <t>https://shop.officineitalianezard.it/contents/imgs/products/1_1151-11017541_10153917985646632_8025402486644623573_n.jpg</t>
  </si>
  <si>
    <t>https://shop.officineitalianezard.it/contents/imgs/products/1_362-monster1100pentasil1.jpg</t>
  </si>
  <si>
    <t>https://shop.officineitalianezard.it/contents/imgs/products/1_1005-bBASSO.jpg</t>
  </si>
  <si>
    <t>https://shop.officineitalianezard.it/contents/imgs/products/1_2187-mt09%20scarico%20-%20zard.jpg</t>
  </si>
  <si>
    <t>https://shop.officineitalianezard.it/contents/imgs/products/1_2264-collettori%20triumph%20bobber%20-%20zard.jpg</t>
  </si>
  <si>
    <t>https://shop.officineitalianezard.it/contents/imgs/products/1_1378-3.jpg</t>
  </si>
  <si>
    <t>https://shop.officineitalianezard.it/contents/imgs/products/1_30-2.JPG</t>
  </si>
  <si>
    <t>https://shop.officineitalianezard.it/contents/imgs/products/1_713-2_574-scarico%20moto%20guzzi%20zard%201.jpg</t>
  </si>
  <si>
    <t>https://shop.officineitalianezard.it/contents/imgs/products/1_944-scarichi%20moto%20zard%20cross.jpg</t>
  </si>
  <si>
    <t>https://shop.officineitalianezard.it/contents/imgs/products/1_2295-street%20scrambler%20exhaust.jpg</t>
  </si>
  <si>
    <t>https://shop.officineitalianezard.it/contents/imgs/products/1_2367-2.jpg</t>
  </si>
  <si>
    <t>https://shop.officineitalianezard.it/contents/imgs/products/1_2071-1298-zuma%20nero%20e%20spazzolato.jpg</t>
  </si>
  <si>
    <t>https://shop.officineitalianezard.it/contents/imgs/products/1_1316-2.jpg</t>
  </si>
  <si>
    <t>https://shop.officineitalianezard.it/contents/imgs/products/1_2190-scarico%20mt%2009.jpg</t>
  </si>
  <si>
    <t>https://shop.officineitalianezard.it/contents/imgs/products/1_1352-4.jpg</t>
  </si>
  <si>
    <t>https://shop.officineitalianezard.it/contents/imgs/products/1_160-speed2011cono-2.jpg</t>
  </si>
  <si>
    <t>https://shop.officineitalianezard.it/contents/imgs/products/1_1345-2.jpg</t>
  </si>
  <si>
    <t>https://shop.officineitalianezard.it/contents/imgs/products/1_771-scarichi%20moto%20zard1c.jpg</t>
  </si>
  <si>
    <t>https://shop.officineitalianezard.it/contents/imgs/products/1_2145-r9t.jpg</t>
  </si>
  <si>
    <t>https://shop.officineitalianezard.it/contents/imgs/products/1_2271-scarico%20bmw%20gs%201200%20-%20zard%203.jpg</t>
  </si>
  <si>
    <t>https://shop.officineitalianezard.it/contents/imgs/products/1_979-carbon%20exhaust.jpg</t>
  </si>
  <si>
    <t>https://shop.officineitalianezard.it/contents/imgs/products/1_2401-terminali%20silenziatori%20scarico%20moto%20guzzi%20v7II%20-%20zard%203.jpg</t>
  </si>
  <si>
    <t>https://shop.officineitalianezard.it/contents/imgs/products/1_796-scarichi%20moto%20bmw%20zard.jpg</t>
  </si>
  <si>
    <t>https://shop.officineitalianezard.it/contents/imgs/products/1_1796-13575928_1769805463266274_5658087586871920989_o.jpg</t>
  </si>
  <si>
    <t>https://shop.officineitalianezard.it/contents/imgs/products/1_1913-2%20royal%20enfield%20bullet%20classic%20scarichi%20-%20zard.jpg</t>
  </si>
  <si>
    <t>https://shop.officineitalianezard.it/contents/imgs/products/1_62-daytona-rossa1.jpg</t>
  </si>
  <si>
    <t>https://shop.officineitalianezard.it/contents/imgs/products/1_1836-le%20mans%20guzzi%20zard%202.jpg</t>
  </si>
  <si>
    <t>https://shop.officineitalianezard.it/contents/imgs/products/1_2329-silenziatore%20zard%20zuma%20-%20logo%20e%20fondello%20neri.jpg</t>
  </si>
  <si>
    <t>https://shop.officineitalianezard.it/contents/imgs/products/1_715-2_630-aprilia-dorsoduro.jpg</t>
  </si>
  <si>
    <t>https://shop.officineitalianezard.it/contents/imgs/products/1_1095-inox-paracalore%20nero.jpg</t>
  </si>
  <si>
    <t>https://shop.officineitalianezard.it/contents/imgs/products/1_1889-scarichi%20moto%20guzzi%20v9%201%20zard.jpg</t>
  </si>
  <si>
    <t>https://shop.officineitalianezard.it/contents/imgs/products/1_2478-scarico%20honda%20cb%201000%20-%20zard%20black.jpg</t>
  </si>
  <si>
    <t>https://shop.officineitalianezard.it/contents/imgs/products/1_634-Immagine%20005.jpg</t>
  </si>
  <si>
    <t>https://shop.officineitalianezard.it/contents/imgs/products/1_2052-bmw%20r65%20r45%20scarico%20-%20zard.jpg</t>
  </si>
  <si>
    <t>https://shop.officineitalianezard.it/contents/imgs/products/1_899-3scarichi%20t-max%20yamaha%20zard2.jpg</t>
  </si>
  <si>
    <t>https://shop.officineitalianezard.it/contents/imgs/products/1_2215-5.jpg</t>
  </si>
  <si>
    <t>CARBON (RACING ONLY)</t>
  </si>
  <si>
    <t>https://shop.officineitalianezard.it/contents/imgs/products/1_1573-2.jpg</t>
  </si>
  <si>
    <t>FULL TITANIUM SNAKE WELDED</t>
  </si>
  <si>
    <t>https://shop.officineitalianezard.it/contents/imgs/products/1_969-3.jpg</t>
  </si>
  <si>
    <t>https://shop.officineitalianezard.it/contents/imgs/products/1_790-scarichi%20moto%20zard%20bmw1.jpg</t>
  </si>
  <si>
    <t>https://shop.officineitalianezard.it/contents/imgs/products/1_912-scarichi%20moto%20zard%20bmw%20r%201200%20r%201.jpg</t>
  </si>
  <si>
    <t>https://shop.officineitalianezard.it/contents/imgs/products/1_2289-scarico%20ktm%20350%20sxf%20scarico%20zard.jpg</t>
  </si>
  <si>
    <t>https://shop.officineitalianezard.it/contents/imgs/products/1_67-S8000737%20copy.jpg</t>
  </si>
  <si>
    <t>https://shop.officineitalianezard.it/contents/imgs/products/1_2521-scarico%20ducati%20xdiavel%20zard%20acciaio%20inox.jpg</t>
  </si>
  <si>
    <t>https://shop.officineitalianezard.it/contents/imgs/products/1_259-0.jpg</t>
  </si>
  <si>
    <t>https://shop.officineitalianezard.it/contents/imgs/products/1_229-1.jpg</t>
  </si>
  <si>
    <t>https://shop.officineitalianezard.it/contents/imgs/products/1_928-3.jpg</t>
  </si>
  <si>
    <t>https://shop.officineitalianezard.it/contents/imgs/products/1_1040-2_510-zard%20triumph%20conico.jpg</t>
  </si>
  <si>
    <t>https://shop.officineitalianezard.it/contents/imgs/products/1_300-diaveledlimit1.jpg</t>
  </si>
  <si>
    <t>https://shop.officineitalianezard.it/contents/imgs/products/1_779-Collettorecomp.1.JPG</t>
  </si>
  <si>
    <t>https://shop.officineitalianezard.it/contents/imgs/products/1_2033-scarico%20bmw%20k100%20zard4.jpg</t>
  </si>
  <si>
    <t>https://shop.officineitalianezard.it/contents/imgs/products/1_254-1.jpg</t>
  </si>
  <si>
    <t>https://shop.officineitalianezard.it/contents/imgs/products/1_2314-scarico%20yamaha%20mt09%20zard%202.jpg</t>
  </si>
  <si>
    <t>https://shop.officineitalianezard.it/contents/imgs/products/1_931-3.jpg</t>
  </si>
  <si>
    <t>https://shop.officineitalianezard.it/contents/imgs/products/1_315-hypekitlateraleinox.jpg</t>
  </si>
  <si>
    <t>https://shop.officineitalianezard.it/contents/imgs/products/1_1209-scarico%20scrambler%20ducati%20nero.jpg</t>
  </si>
  <si>
    <t>https://shop.officineitalianezard.it/contents/imgs/products/1_794-scarichi%20moto%20zard%20bmw3.jpg</t>
  </si>
  <si>
    <t>https://shop.officineitalianezard.it/contents/imgs/products/1_1908-4%20ducati%20panigale%201199%20exhaust.jpg</t>
  </si>
  <si>
    <t>https://shop.officineitalianezard.it/contents/imgs/products/1_859-ninja.jpg</t>
  </si>
  <si>
    <t>https://shop.officineitalianezard.it/contents/imgs/products/1_2667-scarico%20royal%20enfield%20continental%20gt%20interceptor%20650%20zard%20-%204.jpg</t>
  </si>
  <si>
    <t>https://shop.officineitalianezard.it/contents/imgs/products/1_1705-1.jpg</t>
  </si>
  <si>
    <t>HEADER KIT STEEL RACING + SIL. CARB. HOM.</t>
  </si>
  <si>
    <t>https://shop.officineitalianezard.it/contents/imgs/products/1_678-scarichi%20moto%20zard%20bimota%201.jpg</t>
  </si>
  <si>
    <t>https://shop.officineitalianezard.it/contents/imgs/products/1_566-scarico%20moto%20guzzi%20zard%203.jpg</t>
  </si>
  <si>
    <t>https://shop.officineitalianezard.it/contents/imgs/products/1_1706-2.jpg</t>
  </si>
  <si>
    <t>https://shop.officineitalianezard.it/contents/imgs/products/1_2386-scarico%20bmw%20r%20nine%20t%20zard%204.jpg</t>
  </si>
  <si>
    <t>https://shop.officineitalianezard.it/contents/imgs/products/1_2627-scarico%20royal%20enfield%20bullet%20trials%20500%20-%20zard%202.jpg</t>
  </si>
  <si>
    <t>https://shop.officineitalianezard.it/contents/imgs/products/1_172-silenz-basso-street-5.jpg</t>
  </si>
  <si>
    <t>https://shop.officineitalianezard.it/contents/imgs/products/1_543-scarico%20moto%20guzzi%20zard%201.jpg</t>
  </si>
  <si>
    <t>https://shop.officineitalianezard.it/contents/imgs/products/1_298-diavelcolltitanio2.jpg</t>
  </si>
  <si>
    <t>HOMOLOGATED ALUMINIUM ONLY</t>
  </si>
  <si>
    <t>https://shop.officineitalianezard.it/contents/imgs/products/1_923-Collettorecomp.2.JPG</t>
  </si>
  <si>
    <t>https://shop.officineitalianezard.it/contents/imgs/products/1_2527-scarico%20ducati%20panigale%20v4%20zard%20exhaust%203.jpg</t>
  </si>
  <si>
    <t>https://shop.officineitalianezard.it/contents/imgs/products/1_61-daytona-rossa2.jpg</t>
  </si>
  <si>
    <t>https://shop.officineitalianezard.it/contents/imgs/products/1_518-4.jpg</t>
  </si>
  <si>
    <t>https://shop.officineitalianezard.it/contents/imgs/products/1_2471-scarico%20triumph%20street%20scrambler%20-%20zard%20exhaust%201.jpg</t>
  </si>
  <si>
    <t>https://shop.officineitalianezard.it/contents/imgs/products/1_804-scarichi%20moto%20zard%20bmw1.jpg</t>
  </si>
  <si>
    <t>https://shop.officineitalianezard.it/contents/imgs/products/1_824-FOTO%20MOTO%20EICMA%20073.jpg</t>
  </si>
  <si>
    <t>https://shop.officineitalianezard.it/contents/imgs/products/1_2209-scarico%20bmw%20r%20nine%20t%20scrambler%20-%20zard%201.jpg</t>
  </si>
  <si>
    <t>https://shop.officineitalianezard.it/contents/imgs/products/1_638-2scarichi%20t-max%20yamaha%20zard1.jpg</t>
  </si>
  <si>
    <t>https://shop.officineitalianezard.it/contents/imgs/products/1_509-2_152-speed07-10kitbianco2.jpg</t>
  </si>
  <si>
    <t>STAINLESS STEEL WITH COMPENSER</t>
  </si>
  <si>
    <t>https://shop.officineitalianezard.it/contents/imgs/products/1_116-3.jpg</t>
  </si>
  <si>
    <t>https://shop.officineitalianezard.it/contents/imgs/products/1_2433-2b.jpg</t>
  </si>
  <si>
    <t>https://shop.officineitalianezard.it/contents/imgs/products/1_768-scarichi%20moto%20zard1a.jpg</t>
  </si>
  <si>
    <t>https://shop.officineitalianezard.it/contents/imgs/products/1_1255-zard-badchild-titanio.jpg</t>
  </si>
  <si>
    <t>https://shop.officineitalianezard.it/contents/imgs/products/1_179-1.jpg</t>
  </si>
  <si>
    <t>https://shop.officineitalianezard.it/contents/imgs/products/1_1827-1.jpg</t>
  </si>
  <si>
    <t>https://shop.officineitalianezard.it/contents/imgs/products/1_307-ducati-hypermotard_top-gun_003.jpg</t>
  </si>
  <si>
    <t>https://shop.officineitalianezard.it/contents/imgs/products/1_1133-3.jpg</t>
  </si>
  <si>
    <t>https://shop.officineitalianezard.it/contents/imgs/products/1_1150-11259175_10153917986126632_709285374156847894_n.jpg</t>
  </si>
  <si>
    <t>https://shop.officineitalianezard.it/contents/imgs/products/1_1377-2.jpg</t>
  </si>
  <si>
    <t>https://shop.officineitalianezard.it/contents/imgs/products/1_1140-2.jpg</t>
  </si>
  <si>
    <t>https://shop.officineitalianezard.it/contents/imgs/products/1_1837-le%20mans%20guzzi%20zard.jpg</t>
  </si>
  <si>
    <t>https://shop.officineitalianezard.it/contents/imgs/products/1_1234-3.jpg</t>
  </si>
  <si>
    <t>https://shop.officineitalianezard.it/contents/imgs/products/1_1808-1.jpg</t>
  </si>
  <si>
    <t>https://shop.officineitalianezard.it/contents/imgs/products/1_535-SCARICO%20DUCATI%20ZARD%20SCARICHI%20MOTO.jpg</t>
  </si>
  <si>
    <t>https://shop.officineitalianezard.it/contents/imgs/products/1_542-scarichi%20moto.jpg</t>
  </si>
  <si>
    <t>https://shop.officineitalianezard.it/contents/imgs/products/1_679-scarichi%20moto%20zard%20bimota%203.jpg</t>
  </si>
  <si>
    <t>https://shop.officineitalianezard.it/contents/imgs/products/1_171-streetbassogallery1.jpg</t>
  </si>
  <si>
    <t>https://shop.officineitalianezard.it/contents/imgs/products/1_1358-triumph%20street%20twin%20exhaust%20scarichi%20triumph%20street%20twin.jpg</t>
  </si>
  <si>
    <t>https://shop.officineitalianezard.it/contents/imgs/products/1_1097-inox-paracalore%20nero.jpg</t>
  </si>
  <si>
    <t>https://shop.officineitalianezard.it/contents/imgs/products/1_2053-bmw%20r80%20scarico%20-%20zard%201.jpg</t>
  </si>
  <si>
    <t>https://shop.officineitalianezard.it/contents/imgs/products/1_2058-bmw%20r80%20scarico%20-%20zard%201.jpg</t>
  </si>
  <si>
    <t>https://shop.officineitalianezard.it/contents/imgs/products/1_2051-bmw%20r%20exhaust%20zard%20.jpg</t>
  </si>
  <si>
    <t>https://shop.officineitalianezard.it/contents/imgs/products/1_2536-scarico%20ducati%20multistrada%20zard%202.jpg</t>
  </si>
  <si>
    <t>https://shop.officineitalianezard.it/contents/imgs/products/1_1473-3.jpg</t>
  </si>
  <si>
    <t>https://shop.officineitalianezard.it/contents/imgs/products/1_1149-11017541_10153917985646632_8025402486644623573_n.jpg</t>
  </si>
  <si>
    <t>https://shop.officineitalianezard.it/contents/imgs/products/1_708-2_574-scarico%20moto%20guzzi%20zard%201.jpg</t>
  </si>
  <si>
    <t>https://shop.officineitalianezard.it/contents/imgs/products/1_2110-scarico%20street%20scrambler%20zard%20exhaust%201.jpg</t>
  </si>
  <si>
    <t>https://shop.officineitalianezard.it/contents/imgs/products/1_932-R1200R.jpg</t>
  </si>
  <si>
    <t>https://shop.officineitalianezard.it/contents/imgs/products/1_1201-3.jpg</t>
  </si>
  <si>
    <t>https://shop.officineitalianezard.it/contents/imgs/products/1_937-scarichi%20moto.jpg</t>
  </si>
  <si>
    <t>STEEL-CARBON EURO 4 HOMOLOGATED</t>
  </si>
  <si>
    <t>https://shop.officineitalianezard.it/contents/imgs/products/1_959-1.jpg</t>
  </si>
  <si>
    <t>https://shop.officineitalianezard.it/contents/imgs/products/1_830-sporstersport2.JPG</t>
  </si>
  <si>
    <t>https://shop.officineitalianezard.it/contents/imgs/products/1_782-Collettorecomp.JPG</t>
  </si>
  <si>
    <t>https://shop.officineitalianezard.it/contents/imgs/products/1_808-S8000005.JPG</t>
  </si>
  <si>
    <t>https://shop.officineitalianezard.it/contents/imgs/products/1_842-aggiunta4.jpg</t>
  </si>
  <si>
    <t>https://shop.officineitalianezard.it/contents/imgs/products/1_1367-gold%20nero.jpg</t>
  </si>
  <si>
    <t>https://shop.officineitalianezard.it/contents/imgs/products/1_622-scarichi%20moto%20ducati%20zard%20diavel%203.jpg</t>
  </si>
  <si>
    <t>https://shop.officineitalianezard.it/contents/imgs/products/1_988-45A.jpg</t>
  </si>
  <si>
    <t>https://shop.officineitalianezard.it/contents/imgs/products/1_854-er6n8.JPG</t>
  </si>
  <si>
    <t>https://shop.officineitalianezard.it/contents/imgs/products/1_1217-2ridotta.jpg</t>
  </si>
  <si>
    <t>https://shop.officineitalianezard.it/contents/imgs/products/1_2529-scarico%20ducati%20panigale%20v4%20zard%20exhaust%206.jpg</t>
  </si>
  <si>
    <t>https://shop.officineitalianezard.it/contents/imgs/products/1_431-paul-smart-kit-completo-016.jpg</t>
  </si>
  <si>
    <t>https://shop.officineitalianezard.it/contents/imgs/products/1_729-bimota-db5-retro-dx.jpg</t>
  </si>
  <si>
    <t>https://shop.officineitalianezard.it/contents/imgs/products/1_2007-1.jpg</t>
  </si>
  <si>
    <t>https://shop.officineitalianezard.it/contents/imgs/products/1_2487-numero%2035%20copy.jpg</t>
  </si>
  <si>
    <t>https://shop.officineitalianezard.it/contents/imgs/products/1_2598-1%20scarico%20triumph%20speed%20twin%20scarichi%20zard%20exhaust.jpg</t>
  </si>
  <si>
    <t>INOX MANIFOLD + TITANIUM SIL. RACING</t>
  </si>
  <si>
    <t>https://shop.officineitalianezard.it/contents/imgs/products/1_707-2_564-scarico%20moto%20guzzi%20zard%202.jpg</t>
  </si>
  <si>
    <t>https://shop.officineitalianezard.it/contents/imgs/products/1_1035-triumph%20thunderbird%20zard3.jpg</t>
  </si>
  <si>
    <t>https://shop.officineitalianezard.it/contents/imgs/products/1_407-ducati-monster-s4r-laterale.jpg</t>
  </si>
  <si>
    <t>https://shop.officineitalianezard.it/contents/imgs/products/1_2270-scarico%20bmw%20gs%201200%20-%20zard%201.jpg</t>
  </si>
  <si>
    <t>https://shop.officineitalianezard.it/contents/imgs/products/1_1429-bonneville%20t120%20scarichi%20t120%20exhaust%20zard%204.jpg</t>
  </si>
  <si>
    <t>https://shop.officineitalianezard.it/contents/imgs/products/1_252-ducati1098s-penta-part1.jpg</t>
  </si>
  <si>
    <t>https://shop.officineitalianezard.it/contents/imgs/products/1_2059-bmw%20r100%20scarico%20-%20zard%201.jpg</t>
  </si>
  <si>
    <t>https://shop.officineitalianezard.it/contents/imgs/products/1_2366-1.jpg</t>
  </si>
  <si>
    <t>https://shop.officineitalianezard.it/contents/imgs/products/1_795-2_752-scarichi%20moto%20zard%20bmw1.jpg</t>
  </si>
  <si>
    <t>https://shop.officineitalianezard.it/contents/imgs/products/1_1146-11259175_10153917986126632_709285374156847894_n.jpg</t>
  </si>
  <si>
    <t>https://shop.officineitalianezard.it/contents/imgs/products/1_2069-scarico%20scrambler%20desert%20sled%20-%20zard%202.jpg</t>
  </si>
  <si>
    <t>https://shop.officineitalianezard.it/contents/imgs/products/1_2313-scarico%20yamaha%20mt09%20zard%201.jpg</t>
  </si>
  <si>
    <t>https://shop.officineitalianezard.it/contents/imgs/products/1_38-2.jpg</t>
  </si>
  <si>
    <t>LIGHT AND ARROWS KIT</t>
  </si>
  <si>
    <t>https://shop.officineitalianezard.it/contents/imgs/products/1_2387-scarico%20honda%20africa%20twin.jpg</t>
  </si>
  <si>
    <t>https://shop.officineitalianezard.it/contents/imgs/products/1_2356-curva%20crf450.jpg</t>
  </si>
  <si>
    <t>https://shop.officineitalianezard.it/contents/imgs/products/1_120-1.jpg</t>
  </si>
  <si>
    <t>RACING CARBON</t>
  </si>
  <si>
    <t>https://shop.officineitalianezard.it/contents/imgs/products/1_2307-zard-1.jpg</t>
  </si>
  <si>
    <t>https://shop.officineitalianezard.it/contents/imgs/products/1_1055-scarico%20triumph%20bonneville%20scrambler%20thruxton%20Zard.jpg</t>
  </si>
  <si>
    <t>https://shop.officineitalianezard.it/contents/imgs/products/1_1197-2.jpg</t>
  </si>
  <si>
    <t>https://shop.officineitalianezard.it/contents/imgs/products/1_660-3scarichi%20t-max%20yamaha%20zard1.jpg</t>
  </si>
  <si>
    <t>https://shop.officineitalianezard.it/contents/imgs/products/1_1003-bBASSO.jpg</t>
  </si>
  <si>
    <t>https://shop.officineitalianezard.it/contents/imgs/products/1_1266-3.jpg</t>
  </si>
  <si>
    <t>https://shop.officineitalianezard.it/contents/imgs/products/1_946-scarichi%20moto%20zard%20cross.jpg</t>
  </si>
  <si>
    <t>https://shop.officineitalianezard.it/contents/imgs/products/1_2552-scarico%20moto%20guzzi%20v85%20tt%20zard%202.jpg</t>
  </si>
  <si>
    <t>https://shop.officineitalianezard.it/contents/imgs/products/1_66-S8000729%20ombra%20copy.jpg</t>
  </si>
  <si>
    <t>https://shop.officineitalianezard.it/contents/imgs/products/1_505-zard%20triumph%20scrambler.jpg</t>
  </si>
  <si>
    <t>https://shop.officineitalianezard.it/contents/imgs/products/1_1729-1066-scarico%20scrambler%20zard1.jpg</t>
  </si>
  <si>
    <t>https://shop.officineitalianezard.it/contents/imgs/products/1_1905-7%20ducati%20panigale%20scarichi%20zard%20959%201199.jpg</t>
  </si>
  <si>
    <t>https://shop.officineitalianezard.it/contents/imgs/products/1_868-W800CONICO6.JPG</t>
  </si>
  <si>
    <t>https://shop.officineitalianezard.it/contents/imgs/products/1_2650-scarico%20indian%20ftr%201200%20-%20zard%201.jpg</t>
  </si>
  <si>
    <t>https://shop.officineitalianezard.it/contents/imgs/products/1_2309-zard-4.jpg</t>
  </si>
  <si>
    <t>https://shop.officineitalianezard.it/contents/imgs/products/1_2218-2.jpg</t>
  </si>
  <si>
    <t>https://shop.officineitalianezard.it/contents/imgs/products/1_1017-2.jpg</t>
  </si>
  <si>
    <t>https://shop.officineitalianezard.it/contents/imgs/products/1_2234-scarico%20moto%20guzzi%20v7III%20-%20zard.jpg</t>
  </si>
  <si>
    <t>https://shop.officineitalianezard.it/contents/imgs/products/1_17-1.jpg</t>
  </si>
  <si>
    <t>https://shop.officineitalianezard.it/contents/imgs/products/1_2632-scarico%20royal%20enfield%20interceptor%20-%20continental%20gt%20-%20zard%203.jpg</t>
  </si>
  <si>
    <t>https://shop.officineitalianezard.it/contents/imgs/products/1_2358-scarico%20honda%20africa%20twin%20zard%202.jpg</t>
  </si>
  <si>
    <t>https://shop.officineitalianezard.it/contents/imgs/products/1_1454-2.jpg</t>
  </si>
  <si>
    <t>https://shop.officineitalianezard.it/contents/imgs/products/1_1220-triumph%20daytona%20scarichi.jpg</t>
  </si>
  <si>
    <t>https://shop.officineitalianezard.it/contents/imgs/products/1_1990-1250-3.jpg</t>
  </si>
  <si>
    <t>https://shop.officineitalianezard.it/contents/imgs/products/1_1472-2.jpg</t>
  </si>
  <si>
    <t>https://shop.officineitalianezard.it/contents/imgs/products/1_2139-scarico%20street%20scrambler%20zard%20street%20scrambker%20exhaust%202.jpg</t>
  </si>
  <si>
    <t>https://shop.officineitalianezard.it/contents/imgs/products/1_1379-norton%20zard%201%200.jpg</t>
  </si>
  <si>
    <t>INOX MANIFOLD + TIT. SILENCER HOM. CAT.</t>
  </si>
  <si>
    <t>https://shop.officineitalianezard.it/contents/imgs/products/1_1712-scarico%20scrambler%20ducati%20400%20zard.jpg</t>
  </si>
  <si>
    <t>https://shop.officineitalianezard.it/contents/imgs/products/1_1161-4.jpg</t>
  </si>
  <si>
    <t>https://shop.officineitalianezard.it/contents/imgs/products/1_2027-scarico%20thruxton%20r.jpg</t>
  </si>
  <si>
    <t>https://shop.officineitalianezard.it/contents/imgs/products/1_2011-2.jpg</t>
  </si>
  <si>
    <t>https://shop.officineitalianezard.it/contents/imgs/products/1_2430-scarichi%20moto%20-%20scarico%20per%20ktm%201190%20adventure%20-%20zard2.jpg</t>
  </si>
  <si>
    <t>https://shop.officineitalianezard.it/contents/imgs/products/1_1958-2.jpg</t>
  </si>
  <si>
    <t>https://shop.officineitalianezard.it/contents/imgs/products/1_1725-1066-scarico%20scrambler%20zard1.jpg</t>
  </si>
  <si>
    <t>https://shop.officineitalianezard.it/contents/imgs/products/1_2403-terminali%20silenziatori%20scarico%20moto%20guzzi%20v7II%20-%20zard%205.jpg</t>
  </si>
  <si>
    <t>https://shop.officineitalianezard.it/contents/imgs/products/1_2617-scarico%20royal%20enfield%20himalayan%20-%20zard%201.jpg</t>
  </si>
  <si>
    <t>https://shop.officineitalianezard.it/contents/imgs/products/1_672-scarichi%20moto%20zard%20bimota1.jpg</t>
  </si>
  <si>
    <t>https://shop.officineitalianezard.it/contents/imgs/products/1_1728-1066-scarico%20scrambler%20zard1.jpg</t>
  </si>
  <si>
    <t>https://shop.officineitalianezard.it/contents/imgs/products/1_479-1.jpg</t>
  </si>
  <si>
    <t>https://shop.officineitalianezard.it/contents/imgs/products/1_1235-1.jpg</t>
  </si>
  <si>
    <t>https://shop.officineitalianezard.it/contents/imgs/products/1_2393-scarico%20kawasaki%20z900rs%20-%20zard%201.jpg</t>
  </si>
  <si>
    <t>https://shop.officineitalianezard.it/contents/imgs/products/1_2466-scarico%20honda%20cb%201000%20r%20-%20zard%203.jpg</t>
  </si>
  <si>
    <t>https://shop.officineitalianezard.it/contents/imgs/products/1_2644-scarico%20completo%20triumph%20scrambler%201200%20-%20zard%203.jpg</t>
  </si>
  <si>
    <t>https://shop.officineitalianezard.it/contents/imgs/products/1_2263-collettori%20zard%20bobber.jpg</t>
  </si>
  <si>
    <t>https://shop.officineitalianezard.it/contents/imgs/products/1_798-scarichi%20moto%20zard%20bmw2.jpg</t>
  </si>
  <si>
    <t>https://shop.officineitalianezard.it/contents/imgs/products/1_1879-1.jpg</t>
  </si>
  <si>
    <t>MATT BLACK PAINTED</t>
  </si>
  <si>
    <t>https://shop.officineitalianezard.it/contents/imgs/products/1_1259-12244654_901849536564439_7691203218270463075_o.jpg</t>
  </si>
  <si>
    <t>HEADER KIT TIT. RACING + SIL. TIT. HOM.</t>
  </si>
  <si>
    <t>STEEL TITANIUM HOMOLOGATED</t>
  </si>
  <si>
    <t>https://shop.officineitalianezard.it/contents/imgs/products/1_1349-nine-scappamento-zard.jpg</t>
  </si>
  <si>
    <t>https://shop.officineitalianezard.it/contents/imgs/products/1_530-DSCN2898.jpg</t>
  </si>
  <si>
    <t>https://shop.officineitalianezard.it/contents/imgs/products/1_2442-scarico%20kawasaki%20z900rs%20-%20zard%20exhaust%201.jpg</t>
  </si>
  <si>
    <t>https://shop.officineitalianezard.it/contents/imgs/products/1_2354-2056-bmw%20r%20exhaust%20zard%20.jpg</t>
  </si>
  <si>
    <t>https://shop.officineitalianezard.it/contents/imgs/products/1_1802-scrambler%20ducati%20titanium.jpg</t>
  </si>
  <si>
    <t>https://shop.officineitalianezard.it/contents/imgs/products/1_1773-1650-t120%20neri%20zard.jpg</t>
  </si>
  <si>
    <t>https://shop.officineitalianezard.it/contents/imgs/products/1_2625-scarichi%20royal%20enfield%20himalayan%20zard%20-%203.jpg</t>
  </si>
  <si>
    <t>https://shop.officineitalianezard.it/contents/imgs/products/1_197-1.jpg</t>
  </si>
  <si>
    <t>https://shop.officineitalianezard.it/contents/imgs/products/1_582-scarichi%20moto%20suzuki%20b-king%20zard.jpg</t>
  </si>
  <si>
    <t>https://shop.officineitalianezard.it/contents/imgs/products/1_2431-1b.jpg</t>
  </si>
  <si>
    <t>https://shop.officineitalianezard.it/contents/imgs/products/1_2077-1067-scarico%20scrambler%20zard2.jpg</t>
  </si>
  <si>
    <t>https://shop.officineitalianezard.it/contents/imgs/products/1_911-scarichi%20moto%20zard%20bmw%20r%201200%20r%202.jpg</t>
  </si>
  <si>
    <t>RAW RESIN TAIL KIT WHITE</t>
  </si>
  <si>
    <t>https://shop.officineitalianezard.it/contents/imgs/products/1_1953-4.jpg</t>
  </si>
  <si>
    <t>https://shop.officineitalianezard.it/contents/imgs/products/1_2640-scarico%20royal%20enfield%20classic%20zard%20-%202.jpg</t>
  </si>
  <si>
    <t>https://shop.officineitalianezard.it/contents/imgs/products/1_169-street-kit-conico-basso-3.jpg</t>
  </si>
  <si>
    <t>https://shop.officineitalianezard.it/contents/imgs/products/1_900-1.jpg</t>
  </si>
  <si>
    <t>https://shop.officineitalianezard.it/contents/imgs/products/1_2474-scarico%20bmw%20nine%20r80%20zard%20exhaust.jpg</t>
  </si>
  <si>
    <t>https://shop.officineitalianezard.it/contents/imgs/products/1_2392-kawasaki%20z900rs%20exhaust%20-%20zard%20black%20version.jpg</t>
  </si>
  <si>
    <t>price-current</t>
  </si>
  <si>
    <t>price-original</t>
  </si>
  <si>
    <t>&lt;p&gt;3&amp;gt;1 STEEL FULL KIT RACING WITH REMOVABLE DB KILLER&lt;/p&gt;
&lt;p&gt;ORIGINAL FULL KIT WEIGHT: 8.5KG&lt;br&gt;ZARD FULL KIT WEIGHT: 4.2KG&lt;/p&gt;
&lt;p&gt;HARD INCREASE COMPARED TO THE ORIGINAL EXHAUST SYSTEM.&lt;/p&gt;
&lt;p&gt;ASTONISHING SOUND.&lt;/p&gt;
&lt;p&gt;&lt;strong&gt;&lt;/strong&gt;&lt;/p&gt;
&lt;p&gt;&lt;/p&gt;</t>
  </si>
  <si>
    <t>&lt;p&gt;3&amp;gt;1 STEEL FULL KIT RACING WITH REMOVABLE DB KILLER&lt;/p&gt;
&lt;p&gt;ORIGINAL FULL KIT WEIGHT: 8.5 KG&lt;br&gt;ZARD RACING FULL KIT WEIGHT: 3.8 KG&lt;/p&gt;
&lt;p&gt;CARBON ENDCAP&lt;/p&gt;
&lt;p&gt;HARD INCREASE COMPARED TO THE ORIGINAL EXHAUST SYSTEM.&lt;/p&gt;
&lt;p&gt;ASTONISHING SOUND.&lt;/p&gt;
&lt;p&gt;&lt;strong&gt;COMPATIBLE WITH YAMAHA MT-09 AND XSR900.&lt;/strong&gt;&lt;/p&gt;
&lt;p&gt;&lt;/p&gt;</t>
  </si>
  <si>
    <t>&lt;p&gt;2&amp;gt;1 STEEL FULL KIT RACING WITH REMOVABLE DB KILLER&lt;/p&gt;
&lt;p&gt;ORIGINAL FULL KIT WEIGHT: 7.2KG&lt;br&gt;ZARD FULL KIT WEIGHT: 3.7KG&lt;/p&gt;
&lt;p&gt;HARD INCREASE COMPARED TO THE ORIGINAL EXHAUST SYSTEM.&lt;/p&gt;
&lt;p&gt;ASTONISHING SOUND.&lt;/p&gt;</t>
  </si>
  <si>
    <t>&lt;p&gt;STAINLESS STEEL RACING SLIP-ON WITH REMOVABLE DB KILLERS&lt;br&gt;EURO 4 HOMOLOGATED VERSION AVAILABLE AS OPTIONAL&lt;/p&gt;
&lt;p&gt;CARBON CLAMP, END-CAP, HEEL PROTECTION AND HEAT SHIELD INCLUDED&lt;/p&gt;
&lt;p&gt;ORIGINAL EXHAUST WEIGHT: 5 KG&lt;br&gt;ZARD EXHAUST WEIGHT (STAINLESS STEEL): 3.3 KG&lt;br&gt;ZARD EXHAUST WEIGHT (TITANIUM): 2.7 KG&lt;/p&gt;
&lt;p&gt;THE INSTALLATION OF ZARD EXHAUST DOES NOT&lt;br&gt;IMPLY ANY MODIFICATION TO ECU.&lt;/p&gt;
&lt;p&gt;SIGNIFICANT INCREASE, COMPARED TO THE ORIGINAL EXHAUST SYSTEM,&lt;br&gt;IN TERMS OF TORQUE AND POWER AT ANY RANGE, ASTONISHING SOUND.&lt;/p&gt;
&lt;p&gt;&lt;strong&gt;NOTICE:&lt;/strong&gt; CAN BE FITTED WITH SIDE BAGS AND CENTRAL STAND.&lt;/p&gt;</t>
  </si>
  <si>
    <t>&lt;p&gt;STEEL FULL KIT RACING WITH REMOVABLE DB KILLER&lt;/p&gt;
&lt;p&gt;ZARD FULL KIT STEEL-TITANIUM WEIGHT: 2.1 KG&lt;br&gt;ZARD FULL KIT STEEL WEIGHT: 3.5 KG&lt;/p&gt;
&lt;p&gt;HARD INCREASE, COMPARED TO THE ORIGINAL EXHAUST SYSTEM, IN TERMS OF TORQUE AND POWER AT ANY RANGE&lt;/p&gt;
&lt;p&gt;ASTONISHING SOUND&lt;/p&gt;</t>
  </si>
  <si>
    <t>&lt;p&gt;BLACK&amp;nbsp;2&amp;gt;1 RACING FULL KIT WITH REMOVABLE DB KILLER&amp;nbsp;CONICAL VERSION&lt;/p&gt;
&lt;p&gt;CARBON END-CAP&lt;/p&gt;
&lt;p&gt;ORIGINAL&amp;nbsp;FULL KIT WEIGHT: 8,1 KG&lt;br&gt;ZARD RACING FULL KIT WEIGHT: 4,4 KG&lt;br&gt;&lt;span&gt;ZARD&amp;nbsp;HOMOLOGATED FULL KIT WEIGHT: 5,3 KG&lt;/span&gt;&lt;/p&gt;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</t>
  </si>
  <si>
    <t>&lt;p&gt;STEEL/ALU/CARB SILENCER RACING WITH REMOVABLE DB KILLERS&lt;/p&gt;
&lt;p&gt;CARBON END-CAP&lt;/p&gt;
&lt;p&gt;HARD INCREASE, COMPARED TO THE ORIGINAL EXHAUST SYSTEM, IN TERMS OF TORQUE AND POWER AT ANY RANGE&lt;/p&gt;
&lt;p&gt;ASTONISHING SOUND&lt;/p&gt;</t>
  </si>
  <si>
    <t>&lt;p&gt;STEEL RACING HEADERS KIT&lt;/p&gt;
&lt;p&gt;HARD INCREASE, COMPARED TO THE ORIGINAL EXHAUST SYSTEM, IN TERMS OF TORQUE AND POWER AT ANY RANGE&lt;/p&gt;
&lt;p&gt;ASTONISHING SOUND&lt;/p&gt;</t>
  </si>
  <si>
    <t>&lt;p&gt;3&amp;gt;1 STEEL FULL KIT RACING WITH REMOVABLE DB KILLER&lt;/p&gt;
&lt;p&gt;ORIGINAL FULL KIT WEIGHT: 8.5 KG&lt;br&gt;ZARD RACING FULL KIT WEIGHT: 3.8 KG&lt;/p&gt;
&lt;p&gt;CARBON ENDCAP&lt;/p&gt;
&lt;p&gt;HARD INCREASE COMPARED TO THE ORIGINAL EXHAUST SYSTEM.&lt;/p&gt;
&lt;p&gt;ASTONISHING SOUND.&lt;/p&gt;
&lt;p&gt;&lt;strong&gt;&lt;/strong&gt;&lt;/p&gt;</t>
  </si>
  <si>
    <t>&lt;p&gt;3&amp;gt;1 STEEL FULL KIT RACING WITH REMOVABLE DB KILLER&lt;/p&gt;
&lt;p&gt;ORIGINAL FULL KIT WEIGHT: 8.5KG&lt;br&gt;ZARD FULL KIT WEIGHT: 4.2KG&lt;/p&gt;
&lt;p&gt;HARD INCREASE COMPARED TO THE ORIGINAL EXHAUST SYSTEM.&lt;/p&gt;
&lt;p&gt;ASTONISHING SOUND.&lt;/p&gt;
&lt;p&gt;&lt;/p&gt;</t>
  </si>
  <si>
    <t>&lt;p&gt;2&amp;gt;1 STEEL FULL KIT RACING WITH REMOVABLE DB KILLER&lt;/p&gt;
&lt;p&gt;ORIGINAL FULL KIT WEIGHT: 7.2 KG&lt;br&gt;ZARD FULL KIT WEIGHT: 3.7 KG&lt;/p&gt;
&lt;p&gt;HARD INCREASE COMPARED TO THE ORIGINAL EXHAUST SYSTEM.&lt;/p&gt;
&lt;p&gt;ASTONISHING SOUND.&lt;/p&gt;</t>
  </si>
  <si>
    <t>&lt;p&gt;STEEL SILENCER RACING WITH REMOVABLE DB KILLER&lt;/p&gt;
&lt;p&gt;WEIGHT OF THE ZARD MUFFLER: KG 1.9&lt;/p&gt;
&lt;p&gt;HARD INCREASE, COMPARED TO THE ORIGINAL EXHAUST SYSTEM, IN TERMS OF TORQUE AND POWER AT ANY RANGE&lt;/p&gt;
&lt;p&gt;ASTONISHING SOUND&lt;/p&gt;</t>
  </si>
  <si>
    <t>&lt;p&gt;STEEL SILENCER RACING WITH REMOVABLE DB KILLER&lt;/p&gt;
&lt;p&gt;HARD INCREASE, COMPARED TO THE ORIGINAL EXHAUST SYSTEM, IN TERMS OF TORQUE AND POWER AT ANY RANGE&lt;/p&gt;
&lt;p&gt;ASTONISHING SOUND.&lt;/p&gt;</t>
  </si>
  <si>
    <t>&lt;p&gt;STEEL-ALUMINIUM BLACK SILENCER RACING WITH REMOVABLE DB KILLER&lt;/p&gt;
&lt;p&gt;ZARD SILENCER WEIGHT: KG 4.5&lt;/p&gt;
&lt;p&gt;HARD INCREASE, COMPARED TO THE ORIGINAL EXHAUST SYSTEM, IN TERMS OF TORQUE AND POWER (+ 5 HP) AT ANY RANGE.&lt;/p&gt;
&lt;p&gt;ASTONISHING SOUND.&lt;/p&gt;</t>
  </si>
  <si>
    <t>&lt;p&gt;STEEL-ALUMINIUM&amp;nbsp;BLACK SILENCERS RACING WITH REMOVABLE DB KILLER&lt;/p&gt;
&lt;p&gt;SILENCERS KIT INCLUDES "Y" HEADER PIPE&lt;/p&gt;
&lt;p&gt;ORIGINAL SILENCERS WEIGHT:&amp;nbsp;KG 14.5&lt;br&gt;ZARD SILENCERS WEIGHT: KG 4.5&lt;/p&gt;
&lt;p&gt;HARD INCREASE, COMPARED TO THE ORIGINAL EXHAUST SYSTEM, IN TERMS OF TORQUE AND POWER (+ 5 HP) AT ANY RANGE.&lt;/p&gt;
&lt;p&gt;ASTONISHING SOUND.&lt;/p&gt;</t>
  </si>
  <si>
    <t>&lt;p&gt;STEEL RACING SILENCER WITH REMOVABLE DB KILLER&lt;/p&gt;
&lt;p&gt;CARBON ENDCAP&lt;/p&gt;
&lt;p&gt;ORIGINAL SILENCER WEIGHT: KG 5.6&lt;br&gt;ZARD STEEL SILENCER WEIGHT: KG 3.1&lt;br&gt;ZARD TITANIUM SILENCER WEIGHT: KG 2.8&lt;/p&gt;
&lt;p&gt;HARD INCREASE, COMPARED TO THE ORIGINAL EXHAUST SYSTEM, IN TERMS OF TORQUE AND POWER AT ANY RANGE.&lt;/p&gt;
&lt;p&gt;ASTONISHING SOUND.&lt;/p&gt;</t>
  </si>
  <si>
    <t>ROYAL ENFIELD</t>
  </si>
  <si>
    <t>&lt;p&gt;STEEL RACING FULL KIT WITH REMOVABLE DB KILLER&lt;/p&gt;
&lt;p&gt;ORIGINAL KIT WEIGHT: 9.2 KG&lt;br&gt;ZARD KIT WEIGHT: 2.7 KG&lt;/p&gt;
&lt;p&gt;ASTONISHING SOUND,&amp;nbsp;EXCLUSIVE DESIGN.&lt;/p&gt;
&lt;p&gt;FITTING KIT INCLUDED.&lt;/p&gt;</t>
  </si>
  <si>
    <t>&lt;p&gt;&lt;strong&gt;&lt;/strong&gt;STAINLESS STEEL SLIP-ON WITH REMOVABLE DB-KILLERS.&lt;/p&gt;
&lt;p&gt;ORIGINAL EXHAUST WEIGHT: 6.1 KG&lt;br&gt;ZARD EXHAUST WEIGHT: 2.5 KG&lt;/p&gt;
&lt;p&gt;HARD&amp;nbsp;INCREASE, COMPARED TO THE ORIGINAL&lt;br&gt;EXHAUST SYSTEM, ASTONISHING SOUND.&lt;/p&gt;
&lt;p&gt;THE INSTALLATION OF ZARD EXHAUST DOES NOT&lt;br&gt;IMPLY ANY MODIFICATION TO ECU.&lt;/p&gt;</t>
  </si>
  <si>
    <t>&lt;p&gt;&lt;strong&gt;&lt;/strong&gt;STAINLESS STEEL SLIP-ON WITH REMOVABLE DB-KILLER.&lt;/p&gt;
&lt;p&gt;ALUMINIUM SLEEVE&amp;nbsp;WITH CARBON&amp;nbsp;PARTS.&lt;/p&gt;
&lt;p&gt;ORIGINAL EXHAUST WEIGHT: 4.9 KG&lt;br&gt;ZARD EXHAUST WEIGHT: 2.8 KG&lt;/p&gt;
&lt;p&gt;&lt;span&gt;SIGNIFICANT&amp;nbsp;INCREASE, COMPARED TO THE ORIGINAL&lt;br&gt;&lt;/span&gt;&lt;span&gt;EXHAUST SYSTEM,&amp;nbsp;&lt;/span&gt;&lt;span&gt;ASTONISHING SOUND.&lt;/span&gt;&lt;/p&gt;
&lt;p&gt;&lt;span&gt;THE INSTALLATION OF ZARD EXHAUST DOES NOT&lt;/span&gt;&lt;br&gt;&lt;span&gt;IMPLY ANY MODIFICATION TO ECU.&lt;/span&gt;&lt;/p&gt;</t>
  </si>
  <si>
    <t>&lt;p&gt;STAINLESS STEEL SLIP-ON WITH REMOVABLE DB-KILLER.&lt;/p&gt;
&lt;p&gt;ALUMINIUM SLEEVE&amp;nbsp;WITH CARBON&amp;nbsp;PARTS.&lt;/p&gt;
&lt;p&gt;ORIGINAL EXHAUST WEIGHT: 4.9 KG&lt;br&gt;ZARD EXHAUST WEIGHT: 2.2 KG&lt;/p&gt;
&lt;p&gt;&lt;span&gt;SIGNIFICANT&amp;nbsp;INCREASE, COMPARED TO THE ORIGINAL&lt;br&gt;&lt;/span&gt;&lt;span&gt;EXHAUST SYSTEM,&amp;nbsp;&lt;/span&gt;&lt;span&gt;ASTONISHING SOUND.&lt;/span&gt;&lt;/p&gt;
&lt;p&gt;&lt;span&gt;THE INSTALLATION OF ZARD EXHAUST DOES NOT&lt;/span&gt;&lt;br&gt;&lt;span&gt;IMPLY ANY MODIFICATION TO ECU.&lt;/span&gt;&lt;/p&gt;</t>
  </si>
  <si>
    <t>&lt;p&gt;&lt;strong&gt;&lt;/strong&gt;STAINLESS STEEL SLIP-ON WITH REMOVABLE DB-KILLERS.&lt;/p&gt;
&lt;p&gt;ORIGINAL EXHAUST WEIGHT: 6.7 KG&lt;br&gt;ZARD EXHAUST WEIGHT: 3.1 KG&lt;/p&gt;
&lt;p&gt;HARD&amp;nbsp;INCREASE, COMPARED TO THE ORIGINAL&lt;br&gt;EXHAUST SYSTEM, ASTONISHING SOUND.&lt;/p&gt;
&lt;p&gt;THE INSTALLATION OF ZARD EXHAUST DOES NOT&lt;br&gt;IMPLY ANY MODIFICATION TO ECU.&lt;/p&gt;</t>
  </si>
  <si>
    <t>&lt;p&gt;&lt;strong&gt;&lt;/strong&gt;N.2 MIRROR POLISHED STAINLESS STEEL&lt;span&gt;&amp;nbsp;RACING&lt;br&gt;&lt;/span&gt;SLIP-ONS&amp;nbsp;WITH REMOVABLE DB-KILLERS.&lt;/p&gt;
&lt;p&gt;EURO 4 HOMOLOGATED VERSION AVAILABLE AS OPTIONAL.&lt;/p&gt;
&lt;p&gt;ORIGINAL EXHAUST WEIGHT: 10 KG&lt;br&gt;ZARD EXHAUST WEIGHT: 4.2 KG&lt;/p&gt;
&lt;p&gt;SIGNIFICANT INCREASE, COMPARED TO THE ORIGINAL&lt;br&gt;EXHAUST SYSTEM, ASTONISHING SOUND.&lt;/p&gt;
&lt;p&gt;THE INSTALLATION OF ZARD EXHAUST DOES NOT&lt;br&gt;IMPLY ANY MODIFICATION TO ECU.&lt;/p&gt;</t>
  </si>
  <si>
    <t>&lt;p&gt;2&amp;gt;2 FULL KIT INSPIRED BY AMERICAN FLAT TRACK COMPETITIONS.&lt;/p&gt;
&lt;p&gt;MADE IN STAINLESS STEEL&amp;nbsp;WITH REMOVABLE DB-KILLERS&lt;br&gt;IN RACING VERSION ONLY (NOT HOMOLOGATED).&lt;/p&gt;
&lt;p&gt;ORIGINAL EXHAUST WEIGHT: 17.4 KG&lt;br&gt;ZARD FULL KIT WEIGHT: 5.5 KG&lt;/p&gt;
&lt;p&gt;HARD&amp;nbsp;INCREASE, COMPARED TO THE ORIGINAL&lt;br&gt;EXHAUST SYSTEM, ASTONISHING SOUND.&lt;/p&gt;
&lt;p&gt;THE INSTALLATION OF ZARD EXHAUST DOES NOT&lt;br&gt;IMPLY ANY MODIFICATION TO ECU.&lt;/p&gt;
&lt;p&gt;&lt;strong&gt;NOTICE: COMPATIBLE WITH ROYAL ENFIELD CONTINENTAL GT&lt;/strong&gt;&lt;/p&gt;</t>
  </si>
  <si>
    <t>&lt;p&gt;STEEL SILENCER RACING WITH REMOVABLE DB KILLER.&lt;/p&gt;
&lt;p&gt;ZARD SILENCER WEIGHT: 2KG&lt;/p&gt;
&lt;p&gt;ASTONISHING SOUND.&lt;/p&gt;</t>
  </si>
  <si>
    <t>&lt;p&gt;STEEL-CARBON SILENCERS RACING WITH REMOVABLE DB KILLER&lt;/p&gt;
&lt;p&gt;ZARD SILENCERS WEIGHT: KG 4.7&lt;/p&gt;
&lt;p&gt;THE STANDARD EQUIPMENT INCLUDES CARBON END-CAPS AND “Y” STEEL MANIFOLD&lt;/p&gt;
&lt;p&gt;PENTA EVO SHAPE EVOLVES FROM OVAL (FRONT SIDE AT THE MUFFLER JOINT) TO PENTAGONAL (REAR SIDE)&lt;/p&gt;
&lt;p&gt;HARD INCREASE, COMPARED TO THE ORIGINAL EXHAUST SYSTEM, IN TERMS OF TORQUE AND POWER (+5 HP) AT ANY RANGE&lt;/p&gt;
&lt;p&gt;ASTONISHING SOUND&lt;/p&gt;</t>
  </si>
  <si>
    <t>&lt;p&gt;4&amp;gt;2&amp;gt;1&amp;gt;2 STEEL-CARBON FULL KIT RACING WITH REMOVABLE DB KILLERS&lt;/p&gt;
&lt;p&gt;ZARD FULL KIT WEIGHT: KG 4.7&lt;/p&gt;
&lt;p&gt;THE STANDARD FITTING INCLUDES THE “Y” STEEL MANIFOLD&lt;/p&gt;
&lt;p&gt;THE DEFINITION PENTA EVO IDENTIFIES THE MUFFLER WITH A SHAPE THAT EVOLVES FROM OVAL (FRONT SIDE AT THE MUFFLER JOINT) TO PENTAGONAL (REAR SIDE)&lt;/p&gt;
&lt;p&gt;HARD INCREASE, COMPARED TO THE ORIGINAL EXHAUST SYSTEM, IN TERMS OF TORQUE AND POWER (+3 HP) AT ANY RANGE&lt;/p&gt;
&lt;p&gt;ASTONISHING SOUND&lt;/p&gt;</t>
  </si>
  <si>
    <t>&lt;p&gt;FULL KIT&amp;nbsp;&amp;nbsp;4&amp;gt;2&amp;gt;1&amp;gt;2 STEEL-ALUMINIUM SILVER RACING WITH REMOVABLE DB KILLER&lt;/p&gt;
&lt;p&gt;SILVER OR BLACK SILENCERS AVAILABLE.&lt;/p&gt;
&lt;p&gt;ORIGINAL FULL KIT WEIGHT: KG 10.5&lt;/p&gt;
&lt;p&gt;ZARD FULL KIT WEIGHT: KG 7&lt;/p&gt;
&lt;p&gt;HARD INCREASE, COMPARED TO THE STANDARD EXHAUST SYSTEM, IN TERMS OF TORQUE AND POWER AT ANY RANGE.&lt;/p&gt;
&lt;p&gt;ASTONISHING SOUND.&lt;/p&gt;</t>
  </si>
  <si>
    <t>&lt;p&gt;&lt;strong&gt;CIV SS 2016 WINNER!&lt;/strong&gt;&lt;/p&gt;
&lt;p&gt;3&amp;gt;1 FULL TITANIUM FULL KIT RACING WITH REMOVABLE DB KILLER&lt;/p&gt;
&lt;p&gt;HARD INCREASE, COMPARED TO THE ORIGINAL EXHAUST SYSTEM, IN TERMS OF TORQUE AND POWER AT ANY RANGE.&lt;/p&gt;
&lt;p&gt;HEADERS KIT DIAMETERS: 40 - 42 - 60.3mm&lt;/p&gt;
&lt;p&gt;ASTONISHING SOUND.&lt;/p&gt;</t>
  </si>
  <si>
    <t>&lt;p&gt;STEEL HEADERS RACING&lt;/p&gt;
&lt;p&gt;THIS HEADERS KIT CAN BE FITTED WITH THE ORIGINAL SILENCER&lt;/p&gt;
&lt;p&gt;HARD INCREASE, COMPARED TO THE ORIGINAL EXHAUST SYSTEM, IN TERMS OF TORQUE AND POWER AT ANY RANGE.&lt;/p&gt;
&lt;p&gt;HEADERS KIT DIAMETERS: 40 - 42 - 60.3mm&lt;/p&gt;
&lt;p&gt;ASTONISHING SOUND.&lt;/p&gt;</t>
  </si>
  <si>
    <t>&lt;p&gt;3&amp;gt;1 STEEL-ALUMINIUM BLACK FULL KIT RACING WITH REMOVABLE DB KILLER&lt;/p&gt;
&lt;p&gt;CARBON SILENCER IS NOT MORE AVAILABLE. THE SILENCER IS MADE OF STEEL AND BLACK ALUMINIUM WITH SAME DESIGN AS THE CARBON VERSION.&lt;/p&gt;
&lt;p&gt;HARD INCREASE, COMPARED TO THE ORIGINAL EXHAUST SYSTEM, IN TERMS OF TORQUE AND POWER AT ANY RANGE.&lt;/p&gt;
&lt;p&gt;HEADERS KIT DIAMETERS: 40 - 42 - 60.3mm&lt;/p&gt;
&lt;p&gt;ASTONISHING SOUND.&lt;/p&gt;</t>
  </si>
  <si>
    <t>&lt;p&gt;STEEL RACING SILENCER WITH CARBON&amp;nbsp;ENDCAP AND HEAT SHIELD.&lt;br&gt;&lt;strong&gt;&lt;/strong&gt;&lt;/p&gt;
&lt;p&gt;ORIGINAL SILENCER WEIGHT: KG 6&lt;br&gt;ZARD STEEL SILENCER WEIGHT: KG 3.6&lt;br&gt;ZARD TITANIUM SILENCER WEIGHT: KG 3.3&lt;/p&gt;
&lt;p&gt;HARD INCREASE, COMPARED TO THE ORIGINAL EXHAUST SYSTEM, IN TERMS OF TORQUE AND POWER AT ANY RANGE.&lt;/p&gt;
&lt;p&gt;ASTONISHING SOUND.&lt;/p&gt;
&lt;p&gt;NOTICE: THE SILENCER FITS ALSO ON EXPLORER VERSION&lt;/p&gt;</t>
  </si>
  <si>
    <t>&lt;p&gt;LOW MOUNTED SILENCER STEEL-ALUMINIUM BLACK RACING&lt;/p&gt;
&lt;p&gt;ORIGINAL SILENCER WEIGHT: KG 5.8&lt;br&gt;ZARD SILENCER WEIGHT: KG 2.6&lt;/p&gt;
&lt;p&gt;ZARD SILENCER CAN'T BE FITTED WITH ORIGINAL TRIUMPH PANNIERS.&lt;/p&gt;
&lt;p&gt;HARD INCREASE, COMPARED TO THE ORIGINAL EXHAUST SYSTEM, IN TERMS OF TORQUE AND POWER AT ANY RANGE.&lt;/p&gt;
&lt;p&gt;ASTONISHING SOUND.&lt;/p&gt;
&lt;p&gt;NOTICE: THIS PRODUCT FITS ON 2013-2014-2015 RACING VERSIONS (NOT HOMOLOGATED).&lt;/p&gt;</t>
  </si>
  <si>
    <t>&lt;p&gt;HIGH MOUNTED STEEL-ALUMINIUM BLACK&amp;nbsp;RACING SILENCER&amp;nbsp;&lt;/p&gt;
&lt;p&gt;ORIGINAL SILENCER WEIGHT: KG 5.8&lt;br&gt;ZARD SILENCER WEIGHT: KG 2.7&lt;/p&gt;
&lt;p&gt;SILENCER CAN BE FITTED WITH ORIGINAL PANNIERS.&lt;/p&gt;
&lt;p&gt;HARD INCREASE, COMPARED TO THE ORIGINAL EXHAUST SYSTEM, IN TERMS OF TORQUE AND POWER AT ANY RANGE.&lt;/p&gt;
&lt;p&gt;ASTONISHING SOUND.&lt;/p&gt;
&lt;p&gt;NOTICE: THIS PRODUCT FITS ON 2013-2014-2015 RACING VERSIONS (NOT HOMOLOGATED).&lt;/p&gt;</t>
  </si>
  <si>
    <t>&lt;p&gt;STEEL-ALUMINIUM BLACK RACING PENTA SILENCER&lt;/p&gt;
&lt;p&gt;ZARD SILENCER WEIGHT: KG 2.7&lt;/p&gt;
&lt;p&gt;HARD INCREASE, COMPARED TO THE ORIGINAL EXHAUST SYSTEM, IN TERMS OF TORQUE AND POWER AT ANY RANGE.&lt;/p&gt;
&lt;p&gt;ASTONISHING SOUND.&lt;/p&gt;</t>
  </si>
  <si>
    <t>&lt;p&gt;STEEL RACING SILENCERS WITH REMOVABLE DB KILLER&lt;/p&gt;
&lt;p&gt;ZARD SILENCERS WEIGHT: 3,2KG (x 2)&lt;/p&gt;
&lt;p&gt;HARD INCREASE, COMPARED TO THE ORIGINAL EXHAUST SYSTEM, IN TERMS OF TORQUE AND POWER AT ANY RANGE.&lt;/p&gt;
&lt;p&gt;ASTONISHING SOUND.&lt;/p&gt;
&lt;p&gt;N.B. PHOTOGRAPHS SHOWS MIRROR POLISHING VERSION&amp;nbsp;&lt;/p&gt;</t>
  </si>
  <si>
    <t>&lt;p&gt;STEEL RACING DECATALYZER KIT&lt;/p&gt;
&lt;p&gt;&lt;strong&gt;COMPATIBILITY MODEL:&lt;/strong&gt;&lt;/p&gt;
&lt;p&gt;TRIUMPH BONNEVILLE T120, THRUXTON R, STREET TWIN, SPEED TWIN.&lt;/p&gt;
&lt;p&gt;ZARD DECATALYZER KEEPS OEM CRANKCASE/HEAT SHIELD AND KIT CAN BE FITTED ALSO ON ORIGINAL EXHAUST.&lt;/p&gt;</t>
  </si>
  <si>
    <t>&lt;p&gt;N. 2 STEEL RACING SILENCERS WITH REMOVABLE DBKILLERS&lt;/p&gt;
&lt;p&gt;ORIGINAL SILENCERS WEIGHT: 6.2 KG&lt;br&gt;ZARD SILENCERS WEIGHT: 3 KG&lt;/p&gt;
&lt;p&gt;ASTONISHING SOUND,&amp;nbsp;EXCLUSIVE DESIGN.&lt;/p&gt;
&lt;p&gt;FITTING KIT INCLUDED.&lt;/p&gt;
&lt;p&gt;&lt;strong&gt;NOTICE&lt;/strong&gt;: TITANIUM VERSION HAS GOLD END CAPS AS STANDARD&lt;/p&gt;
&lt;p&gt;&lt;/p&gt;
&lt;p&gt;&lt;/p&gt;</t>
  </si>
  <si>
    <t>&lt;p&gt;STEEL RACING FULL KIT&lt;/p&gt;
&lt;p&gt;ORIGINAL FULL KIT WEIGHT: KG 9.3&lt;br&gt;ZARD FULL KIT WEIGHT: KG 5.3&lt;/p&gt;
&lt;p&gt;HARD INCREASE, COMPARED TO THE ORIGINAL EXHAUST SYSTEM, IN TERMS OF TORQUE IN THE 4000-6500 RPM RANGE AND POWER (+3 HP).&lt;/p&gt;
&lt;p&gt;ASTONISHING SOUND.&lt;/p&gt;</t>
  </si>
  <si>
    <t>&lt;p&gt;2&amp;gt;1 STEEL RACING FULL KIT&lt;/p&gt;
&lt;p&gt;ORIGINAL FULL KIT WEIGHT: KG 11.6&lt;br&gt;ZARD FULL KIT WEIGHT: KG 4.4&lt;/p&gt;
&lt;p&gt;HARD INCREASE, COMPARED TO THE ORIGINAL EXHAUST SYSTEM, IN TERMS OF TORQUE IN THE 4000-6500 RPM RANGE AND POWER (+2 HP).&lt;/p&gt;
&lt;p&gt;ASTONISHING SOUND.&lt;/p&gt;</t>
  </si>
  <si>
    <t>&lt;p&gt;2&amp;gt;1 FULL KIT STEEL RACING&lt;/p&gt;
&lt;p&gt;ORIGINAL FULL KIT WEIGHT: KG 9.3&lt;br&gt;ZARD FULL KIT WEIGHT: KG 6.8&lt;/p&gt;
&lt;p&gt;HARD INCREASE, COMPARED TO THE ORIGINAL EXHAUST SYSTEM, IN TERMS OF TORQUE IN THE 4000-6500 RPM RANGE AND POWER (+1.5 HP).&lt;/p&gt;
&lt;p&gt;ASTONISHING SOUND.&lt;/p&gt;</t>
  </si>
  <si>
    <t>&lt;p&gt;2&amp;gt;1 STEEL RACING FULL KIT&lt;/p&gt;
&lt;p&gt;ORIGINAL FULL KIT WEIGHT: KG 9.3&lt;br&gt;ZARD FULL KIT WEIGHT: KG 5.5&lt;/p&gt;
&lt;p&gt;HARD INCREASE IN THE MID-RANGE AND SPEAKING ABOUT MAXIMUM POWER COMPARED TO THE ORIGINAL EXHAUST SYSTEM.&lt;/p&gt;
&lt;p&gt;ASTONISHING SOUND.&lt;/p&gt;</t>
  </si>
  <si>
    <t>&lt;p&gt;2&amp;gt;1 STEEL RACING FULL KIT&lt;/p&gt;
&lt;p&gt;ORIGINAL FULL KIT WEIGHT: KG 9.3&lt;br&gt;ZARD FULL KIT WEIGHT: KG 5.5&lt;/p&gt;
&lt;p&gt;BLACK AND SILVER WIRE MESH&amp;nbsp;IS SUPPLIED WITH HEAT SHIELD&lt;/p&gt;
&lt;p&gt;HARD INCREASE IN THE MID-RANGE AND SPEAKING ABOUT MAXIMUM POWER COMPARED TO THE ORIGINAL EXHAUST SYSTEM.&lt;/p&gt;
&lt;p&gt;ASTONISHING SOUND.&lt;/p&gt;</t>
  </si>
  <si>
    <t>&lt;p&gt;2&amp;gt;1 STEEL RACING FULL KIT WITH REMOVABLE DB KILLER&lt;/p&gt;
&lt;p&gt;ORIGINAL FULL KIT WEIGHT: 8.8 KG&amp;nbsp;&lt;br&gt;ZARD STEEL FULL KIT WEIGHT: 5.3 KG&lt;/p&gt;
&lt;p&gt;HARD INCREASE, COMPARED TO THE ORIGINAL EXHAUST SYSTEM, IN TERMS OF TORQUE AND POWER AT ANY RANGE.&lt;/p&gt;
&lt;p&gt;ASTONISHING SOUND.&lt;/p&gt;</t>
  </si>
  <si>
    <t>&lt;p&gt;N.2 STEEL RACING SILENCERS WITH REMOVABLE DBKILLERS&lt;/p&gt;
&lt;p&gt;ORIGINAL SILENCERS WEIGHT: KG 6.8&lt;/p&gt;
&lt;p&gt;ZARD SILENCERS WEIGHT: KG 3&lt;/p&gt;
&lt;p&gt;HARD INCREASE, COMPARED TO THE ORIGINAL EXHAUST SYSTEM, IN TERMS OF TORQUE AND POWER AT ANY RANGE.&lt;/p&gt;
&lt;p&gt;ASTONISHING SOUND.&lt;/p&gt;
&lt;p&gt;&lt;strong&gt;NOTICE&lt;/strong&gt;: TO REMOVE THE CATALYZER PLEASE CHECK OUR &lt;a href="https://shop.officineitalianezard.it/en/products/index/kit-decatalizzatore-per-triumph-bonneville-t120-thruxton-r-e-street-twin-zard-7761-187/"&gt;DECATALYZER KIT&lt;/a&gt;&lt;/p&gt;</t>
  </si>
  <si>
    <t>&lt;p&gt;2&amp;gt;1 STEEL RACING FULL KIT WITH REMOVABLE DBKILLER.&lt;/p&gt;
&lt;p&gt;ORIGINAL FULL KIT WEIGHT: 14.3 KG&lt;br&gt;ZARD FULL KIT WEIGHT: 7 KG&lt;/p&gt;
&lt;p&gt;ASTONISHING SOUND,&amp;nbsp;EXCLUSIVE DESIGN.&lt;/p&gt;
&lt;p&gt;FITTING KIT INCLUDED.&lt;/p&gt;
&lt;p&gt;&lt;/p&gt;</t>
  </si>
  <si>
    <t>&lt;p&gt;2&amp;gt;1 STEEL RACING FULL KIT CROSS VERSION WITH REMOVABLE DB KILLER&lt;/p&gt;
&lt;p&gt;&lt;span&gt;THE EXHAUST REMOVES OEM CATALYZER&lt;/span&gt;&lt;/p&gt;
&lt;p&gt;ORIGINAL FULL KIT&amp;nbsp;WEIGHT:&amp;nbsp;&lt;span&gt;14,3&lt;/span&gt;&lt;span&gt;&amp;nbsp;KG&lt;br&gt;&lt;/span&gt;&lt;span&gt;ZARD&amp;nbsp;&lt;/span&gt;&lt;span&gt;FULL KIT&lt;/span&gt;&lt;span&gt;&amp;nbsp;WEIGHT: 3,1&amp;nbsp;&lt;/span&gt;&lt;span&gt;KG&lt;/span&gt;&lt;/p&gt;
&lt;p&gt;THE INSTALLATION OF ZARD EXHAUST DOES NOT IMPLY ANY MODIFICATION TO ECU.&lt;br&gt;THE BOX INCLUDES ALL PARTS FOR THE FITMENT OF ZARD EXHAUST.&lt;/p&gt;
&lt;p&gt;&lt;span&gt;HARD INCREASE, COMPARED TO THE ORIGINAL EXHAUST SYSTEM.&lt;/span&gt;&lt;/p&gt;
&lt;p&gt;&lt;span&gt;ASTONISHING SOUND.&lt;/span&gt;&lt;/p&gt;</t>
  </si>
  <si>
    <t>&lt;p&gt;STAINLESS STEEL RACING SLIP-ON WITH TITANIUM&lt;br&gt;SLEEVE SILENCER AND REMOVABLE DB KILLER&lt;/p&gt;
&lt;p&gt;EURO 4 HOMOLOGATED VERSION AVAILABLE AS OPTIONAL&lt;/p&gt;
&lt;p&gt;CARBON ENDCAP AND CARBON HEAT SHIELD INCLUDED&lt;/p&gt;
&lt;p&gt;ORIGINAL EXHAUST WEIGHT: 6.5 KG&lt;br&gt;ZARD EXHAUST WEIGHT: 3.4 KG&lt;/p&gt;
&lt;p&gt;THE INSTALLATION OF ZARD EXHAUST DOES NOT&lt;br&gt;IMPLY ANY MODIFICATION TO ECU.&lt;/p&gt;
&lt;p&gt;EXCLUSIVE DESIGN, ASTONISHING SOUND.&lt;/p&gt;</t>
  </si>
  <si>
    <t>&lt;p&gt;STEEL RACING SILENCER&lt;/p&gt;
&lt;p&gt;HARD INCREASE, COMPARED TO THE ORIGINAL EXHAUST SYSTEM, IN TERMS OF TORQUE AND POWER AT ANY RANGE.&lt;/p&gt;
&lt;p&gt;ASTONISHING SOUND.&lt;/p&gt;
&lt;p&gt;ZARD CONICAL SILENCER CAN BE FITTED ON 3&amp;gt;1 ZARD HEADERS KIT TO HAVE AN HARD INCREASE OF PERFORMANCES BUT ALSO ON ORIGINAL HEADERS.&lt;/p&gt;</t>
  </si>
  <si>
    <t>&lt;p&gt;STEEL RACING SILENCER&lt;/p&gt;
&lt;p&gt;HARD INCREASE, COMPARED TO THE ORIGINAL EXHAUST SYSTEM, IN TERMS OF TORQUE AND POWER AT ANY RANGE.&lt;/p&gt;
&lt;p&gt;ASTONISHING SOUND.&lt;/p&gt;
&lt;p&gt;ZARD SHORT SILENCER CAN BE FITTED ON 3&amp;gt;1 ZARD HEADERS KIT TO HAVE AN HARD INCREASE OF PERFORMANCES BUT ALSO ON ORIGINAL HEADERS.&lt;/p&gt;</t>
  </si>
  <si>
    <t>&lt;p&gt;STEEL-ALUMINIUM BLACK RACING SILENCERS&lt;/p&gt;
&lt;p&gt;ORIGINAL FULL KIT WEIGHT: KG 7.3&lt;br&gt;ZARD FULL KIT WEIGHT: KG 1.9&lt;/p&gt;
&lt;p&gt;BLACK, HARD INCREASE, COMPARED TO THE ORIGINAL EXHAUST SYSTEM, IN TERMS OF TORQUE AND POWER AT ANY RANGE.&lt;/p&gt;
&lt;p&gt;ASTONISHING SOUND.&lt;/p&gt;</t>
  </si>
  <si>
    <t>&lt;p&gt;STEEL RACING SILENCER&lt;/p&gt;
&lt;p&gt;ORIGINAL FULL KIT WEIGHT: KG 7.3&lt;br&gt;ZARD FULL KIT WEIGHT: KG 1.9&lt;/p&gt;
&lt;p&gt;HARD INCREASE, COMPARED TO THE ORIGINAL EXHAUST SYSTEM, IN TERMS OF TORQUE AND POWER AT ANY RANGE.&lt;/p&gt;
&lt;p&gt;ASTONISHING SOUND.&lt;/p&gt;</t>
  </si>
  <si>
    <t>&lt;p&gt;3&amp;gt;1 STEEL RACING FULL KIT&lt;/p&gt;
&lt;p&gt;ORIGINAL FULL KIT WEIGHT: KG 12.3&lt;br&gt;ZARD RACING FULL KIT WEIGHT: KG 3.9&lt;br&gt;ZARD HOMOLOGATED FULL KIT WEIGHT: KG 5&lt;/p&gt;
&lt;p&gt;HARD INCREASE, COMPARED TO THE ORIGINAL EXHAUST SYSTEM, IN TERMS OF TORQUE AND POWER AT ANY RANGE.&lt;/p&gt;
&lt;p&gt;ASTONISHING SOUND.&lt;/p&gt;</t>
  </si>
  <si>
    <t>&lt;p&gt;2&amp;gt;1 STAINLESS STEELL RACING FULL KIT WITH REMOVABLE&lt;br&gt;DB-KILLERS. CARBON END-CAP AVAILABLE AS OPTIONAL&lt;/p&gt;
&lt;p&gt;ORIGINAL FULL KIT WEIGHT:&amp;nbsp;&lt;br&gt;ZARD FULL KIT WEIGHT: 4.1 KG&lt;/p&gt;
&lt;p&gt;THE INSTALLATION OF ZARD EXHAUST FOR TRIUMPH SPEED TWIN&lt;br&gt;DOES NOT IMPLY ANY MODIFICATION TO ECU&lt;/p&gt;
&lt;p&gt;HARD INCREASE, COMPARED TO THE ORIGINAL EXHAUST SYSTEM,&lt;br&gt;IN TERMS OF TORQUE AND POWER AT ANY RANGE, ASTONISHING SOUND.&lt;/p&gt;
&lt;p&gt;&lt;strong&gt;NOTICE&lt;/strong&gt;: THIS PRODUCT FITS ALSO ON TRIUMPH THRUXTON-R RACING ONLY&lt;/p&gt;</t>
  </si>
  <si>
    <t>&lt;p&gt;N.2 STAINLESS STEEL RACING SLIP-ONS WITH REMOVABLE&lt;br&gt;DBKILLERS. EURO 4 HOMOLOGATED VERSION AND CARBON END-CAPS&lt;br&gt;AVAILABLE AS OPTIONALS.&lt;/p&gt;
&lt;p&gt;ORIGINAL SILENCERS WEIGHT: 5.8 KG&lt;br&gt;ZARD SILENCERS WEIGHT: 3.6 KG&lt;/p&gt;
&lt;p&gt;THE INSTALLATION OF ZARD EXHAUST FOR TRIUMPH SPEED TWIN&lt;br&gt;DOES NOT IMPLY ANY MODIFICATION TO ECU&lt;/p&gt;
&lt;p&gt;SIGNIFICANT INCREASE, COMPARED TO THE ORIGINAL EXHAUST SYSTEM,&lt;br&gt;IN TERMS OF TORQUE AND POWER AT ANY RANGE, ASTONISHING SOUND.&lt;/p&gt;
&lt;p&gt;&lt;strong&gt;NOTICE&lt;/strong&gt;: THIS PRODUCT FITS ALSO ON TRIUMPH THRUXTON-R RACING ONLY&lt;/p&gt;
&lt;p&gt;&lt;span style="color: #ff0000;"&gt;&lt;strong&gt;&lt;a href="https://shop.officineitalianezard.it/en/decatalyzer-kit-for-triumph-bonneville-t120-thruxton-r-street-twin-speed-twin-zard/" style="color: #ff0000;"&gt;FIND OUT THE ZARD DECATALYZER KIT&lt;/a&gt;&lt;/strong&gt;&lt;/span&gt;&lt;/p&gt;</t>
  </si>
  <si>
    <t>&lt;p&gt;N.2 STAINLESS STEEL RACING SLIP-ONS WITH REMOVABLE DBKILLERS.&lt;br&gt;EURO 4 HOMOLOGATED VERSION AND CARBON END-CAPS AVAILABLE AS OPTIONALS.&lt;/p&gt;
&lt;p&gt;ORIGINAL SILENCERS WEIGHT: 5.8 KG&lt;br&gt;ZARD SILENCERS WEIGHT: 3.8 KG&lt;/p&gt;
&lt;p&gt;THE INSTALLATION OF ZARD EXHAUST FOR TRIUMPH SPEED TWIN&lt;br&gt;DOES NOT IMPLY ANY MODIFICATION TO ECU&lt;/p&gt;
&lt;p&gt;SIGNIFICANT INCREASE, COMPARED TO THE ORIGINAL EXHAUST SYSTEM,&lt;br&gt;IN TERMS OF TORQUE AND POWER AT ANY RANGE, ASTONISHING SOUND.&lt;/p&gt;
&lt;p&gt;&lt;strong&gt;NOTICE&lt;/strong&gt;: THIS PRODUCT FITS ALSO ON TRIUMPH THRUXTON-R RACING ONLY&lt;/p&gt;
&lt;p&gt;&lt;span style="color: #ff0000;"&gt;&lt;strong&gt;&lt;a href="https://shop.officineitalianezard.it/en/decatalyzer-kit-for-triumph-bonneville-t120-thruxton-r-street-twin-speed-twin-zard/" style="color: #ff0000;"&gt;FIND OUT THE ZARD DECATALYZER KIT FOR TRIUMPH SPEED TWIN&lt;/a&gt;&lt;/strong&gt;&lt;/span&gt;&lt;/p&gt;</t>
  </si>
  <si>
    <t>&lt;p&gt;STEEL RACING SILENCER&lt;/p&gt;
&lt;p&gt;ORIGINAL SILENCER WEIGHT: KG 6.85&lt;br&gt;ZARD SILENCER WEIGHT: KG 1.9&lt;/p&gt;
&lt;p&gt;HARD INCREASE, COMPARED TO THE ORIGINAL EXHAUST SYSTEM, IN TERMS OF TORQUE AND POWER AT ANY RANGE.&lt;/p&gt;
&lt;p&gt;ASTONISHING SOUND.&lt;/p&gt;</t>
  </si>
  <si>
    <t>&lt;p&gt;3&amp;gt;1 STEEL RACING FULL KIT&lt;/p&gt;
&lt;p&gt;ORIGINAL FULL KIT WEIGHT: KG 13&lt;br&gt;ZARD FULL KIT WEIGHT: KG 4.6&lt;/p&gt;
&lt;p&gt;HARD INCREASE, COMPARED TO THE ORIGINAL EXHAUST SYSTEM, IN TERMS OF TORQUE AND POWER AT ANY RANGE.&lt;/p&gt;
&lt;p&gt;ASTONISHING SOUND.&lt;/p&gt;</t>
  </si>
  <si>
    <t>&lt;p&gt;LOW MOUNTED INOX RACING SILENCER&lt;/p&gt;
&lt;p&gt;ORIGINAL SILENCER WEIGHT: KG 9,5&lt;br&gt;ZARD SILENCER WEIGHT: KG 2.2&lt;/p&gt;
&lt;p&gt;HARD INCREASE, COMPARED TO THE ORIGINAL EXHAUST SYSTEM, IN TERMS OF TORQUE AND POWER AT ANY RANGE (+2 HP FOR THE STREET LEGAL VERSION AND +4 HP FOR THE RACING ONE).&lt;/p&gt;
&lt;p&gt;ASTONISHING SOUND.&lt;/p&gt;
&lt;p&gt;&lt;strong&gt;THE SILENCER CAN BE FITTED ALSO ON 2016 VERSION.&lt;/strong&gt;&lt;/p&gt;</t>
  </si>
  <si>
    <t>https://shop.officineitalianezard.it/en/penta-high-mufflers/</t>
  </si>
  <si>
    <t>ZTPH510ASR</t>
  </si>
  <si>
    <t>&lt;p&gt;HIGHT MOUNTED STEEL-BLACK ALUMINIUM RACING SILENCERS&lt;/p&gt;
&lt;p&gt;ORIGINAL FULL KIT WEIGHT: KG 9.5&lt;br&gt;ZARD FULL KIT WEIGHT: KG 3.6&lt;/p&gt;
&lt;p&gt;HARD INCREASE, COMPARED TO THE ORIGINAL EXHAUST SYSTEM, IN TERMS OF TORQUE AND POWER AT ANY RANGE (+2 HP FOR THE STREET LEGAL VERSION AND +4 HP FOR THE RACING ONE).&lt;/p&gt;
&lt;p&gt;ASTONISHING SOUND.&lt;/p&gt;</t>
  </si>
  <si>
    <t>https://shop.officineitalianezard.it/contents/imgs/products/1_165-2.jpg</t>
  </si>
  <si>
    <t>https://shop.officineitalianezard.it/contents/imgs/products/1_166-1.jpg</t>
  </si>
  <si>
    <t>CARBON RACING ONLY</t>
  </si>
  <si>
    <t>HOMOLOGATED ALU.</t>
  </si>
  <si>
    <t>&lt;p&gt;3&amp;gt;1 STEEL RACING FULL KIT&lt;/p&gt;
&lt;p&gt;ORIGINAL FULL KIT WEIGHT: KG 13&lt;br&gt;ZARD FULL KIT WEIGHT: KG 5.2&lt;/p&gt;
&lt;p&gt;HARD INCREASE, COMPARED TO THE ORIGINAL EXHAUST SYSTEM, IN TERMS OF TORQUE AND POWER AT ANY RANGE (+2 HP FOR THE STREET LEGAL VERSION AND +5.5 HP FOR THE RACING ONE).&lt;/p&gt;
&lt;p&gt;ASTONISHING SOUND.&lt;/p&gt;</t>
  </si>
  <si>
    <t>&lt;p&gt;STEEL SILENCER INOX RACING&lt;/p&gt;
&lt;p&gt;ORIGINAL SILENCER WEIGHT: KG 9,5&lt;br&gt;ZARD SILENCER WEIGHT: KG 1,6&lt;/p&gt;
&lt;p&gt;HARD INCREASE IN TERMS OF TORQUE AND POWER AT ANY RANGE.&lt;/p&gt;
&lt;p&gt;ASTONISHING SOUND.&lt;/p&gt;</t>
  </si>
  <si>
    <t>&lt;p&gt;3&amp;gt;1 STEEL RACING FULL KIT&lt;/p&gt;
&lt;p&gt;ORIGINAL FULL KIT WEIGHT: KG 13.2&lt;br&gt;ZARD RACING FULL KIT WEIGHT: KG 4.6&lt;br&gt;ZARD HOMOLOGATED FULL KIT WEIGHT: KG 5.2&lt;/p&gt;
&lt;p&gt;HARD INCREASE IN TERMS OF TORQUE AND POWER AT ANY RANGE.&lt;br&gt;ASTONISHING SOUND.&lt;/p&gt;</t>
  </si>
  <si>
    <t>&lt;p&gt;STEEL SILENCER RACING&lt;/p&gt;
&lt;p&gt;ORIGINAL SILENCER WEIGHT: KG 9.5&lt;br&gt;ZARD SILENCER WEIGHT: KG 1.9&lt;/p&gt;
&lt;p&gt;HARD INCREASE IN TERMS OF TORQUE AND POWER AT ANY RANGE COMPARED TO THE ORIGINAL SYSTEM.&lt;/p&gt;
&lt;p&gt;ASTONISHING SOUND.&lt;/p&gt;</t>
  </si>
  <si>
    <t>&lt;p&gt;3&amp;gt;1 STEEL RACING FULL KIT&lt;/p&gt;
&lt;p&gt;ORIGINAL FULL KIT WEIGHT: KG 13&lt;br&gt;ZARD FULL KITWEIGHT: KG 4.2&lt;/p&gt;
&lt;p&gt;HARD INCREASE IN TERMS OF TORQUE AND POWER AT ANY RANGE COMPARED TO THE ORIGINAL SYSTEM.&lt;/p&gt;
&lt;p&gt;ASTONISHING SOUND.&lt;/p&gt;</t>
  </si>
  <si>
    <t>&lt;p&gt;&lt;strong&gt;&lt;/strong&gt;2&amp;gt;1 STEEL RACING FULL KIT CONICAL VERSION WITH REMOVABLE DB KILLER&lt;/p&gt;
&lt;p&gt;ORIGINAL FULL KIT&amp;nbsp;WEIGHT: 9,8 KG&lt;br&gt;&lt;span&gt;ZARD&amp;nbsp;&lt;/span&gt;&lt;span&gt;FULL KIT&lt;/span&gt;&lt;span&gt;&amp;nbsp;WEIGHT: 4,8&amp;nbsp;&lt;/span&gt;&lt;span&gt;KG&lt;/span&gt;&lt;/p&gt;
&lt;p&gt;THE INSTALLATION OF ZARD EXHAUST DOES NOT IMPLY ANY MODIFICATION TO ECU.&lt;br&gt;THE BOX INCLUDES ALL PARTS FOR THE FITMENT OF ZARD EXHAUST.&lt;/p&gt;
&lt;p&gt;&lt;span&gt;HARD INCREASE, COMPARED TO THE ORIGINAL EXHAUST SYSTEM.&lt;/span&gt;&lt;/p&gt;
&lt;p&gt;&lt;span&gt;ASTONISHING SOUND,&amp;nbsp;EXCLUSIVE DESIGN.&lt;/span&gt;&lt;/p&gt;
&lt;p&gt;&lt;/p&gt;</t>
  </si>
  <si>
    <t>&lt;p&gt;2&amp;gt;1 STEEL RACING FULL KIT CROSS VERSION WITH REMOVABLE DB KILLER&lt;/p&gt;
&lt;p&gt;ORIGINAL FULL KIT&amp;nbsp;WEIGHT: 9,8 KG&lt;br&gt;&lt;span&gt;ZARD&amp;nbsp;&lt;/span&gt;&lt;span&gt;FULL KIT&lt;/span&gt;&lt;span&gt;&amp;nbsp;WEIGHT: 3,1&amp;nbsp;&lt;/span&gt;&lt;span&gt;KG&lt;/span&gt;&lt;/p&gt;
&lt;p&gt;THE INSTALLATION OF ZARD EXHAUST DOES NOT IMPLY ANY MODIFICATION TO ECU.&lt;br&gt;THE BOX INCLUDES ALL PARTS FOR THE FITMENT OF ZARD EXHAUST.&lt;/p&gt;
&lt;p&gt;&lt;span&gt;HARD INCREASE, COMPARED TO THE ORIGINAL EXHAUST SYSTEM.&lt;/span&gt;&lt;/p&gt;
&lt;p&gt;&lt;span&gt;ASTONISHING SOUND.&lt;/span&gt;&lt;/p&gt;
&lt;p&gt;&lt;/p&gt;</t>
  </si>
  <si>
    <t>&lt;p&gt;2&amp;gt;1 STEEL RACING FULL KIT TIGER 70 VERSION WITH REMOVABLE DB KILLER&lt;/p&gt;
&lt;p&gt;ORIGINAL FULL KIT&amp;nbsp;WEIGHT: 9,8 KG&lt;br&gt;&lt;span&gt;ZARD&amp;nbsp;&lt;/span&gt;&lt;span&gt;FULL KIT&lt;/span&gt;&lt;span&gt;&amp;nbsp;WEIGHT: 3,7&amp;nbsp;&lt;/span&gt;&lt;span&gt;KG&lt;/span&gt;&lt;/p&gt;
&lt;p&gt;THE INSTALLATION OF ZARD EXHAUST DOES NOT IMPLY ANY MODIFICATION TO ECU.&lt;br&gt;THE BOX INCLUDES ALL PARTS FOR THE FITMENT OF ZARD EXHAUST.&lt;/p&gt;
&lt;p&gt;&lt;span&gt;HARD INCREASE, COMPARED TO THE ORIGINAL EXHAUST SYSTEM.&lt;/span&gt;&lt;/p&gt;
&lt;p&gt;&lt;span&gt;ASTONISHING SOUND.&lt;/span&gt;&lt;/p&gt;
&lt;p&gt;&lt;/p&gt;</t>
  </si>
  <si>
    <t>&lt;p&gt;2&amp;gt;1 STEEL RACING FULL KIT&amp;nbsp;WITH REMOVABLE DBKILLER&lt;/p&gt;
&lt;p&gt;ORIGINAL FULL KIT&amp;nbsp;WEIGHT: 9,8 KG&lt;br&gt;&lt;span&gt;ZARD&amp;nbsp;&lt;/span&gt;&lt;span&gt;FULL KIT&lt;/span&gt;&lt;span&gt;&amp;nbsp;WEIGHT: 4,2&amp;nbsp;&lt;/span&gt;&lt;span&gt;KG&lt;/span&gt;&lt;/p&gt;
&lt;p&gt;&lt;span&gt;BLACK AND SILVER WIRE MESH&amp;nbsp;IS SUPPLIED WITH HEAT SHIELD OF BLACK CERAMIC COATING VERSION.&lt;/span&gt;&lt;/p&gt;
&lt;p&gt;THE INSTALLATION OF ZARD EXHAUST DOES NOT IMPLY ANY MODIFICATION TO ECU.&lt;br&gt;THE BOX INCLUDES ALL PARTS FOR THE FITMENT OF ZARD EXHAUST.&lt;/p&gt;
&lt;p&gt;&lt;span&gt;HARD INCREASE, COMPARED TO THE ORIGINAL EXHAUST SYSTEM.&lt;/span&gt;&lt;/p&gt;
&lt;p&gt;&lt;span&gt;ASTONISHING SOUND.&lt;/span&gt;&lt;/p&gt;
&lt;p&gt;&lt;/p&gt;</t>
  </si>
  <si>
    <t>&lt;p&gt;2&amp;gt;1 STEEL RACING FULL KIT&amp;nbsp;WITH REMOVABLE DBKILLER&lt;/p&gt;
&lt;p&gt;ORIGINAL FULL KIT&amp;nbsp;WEIGHT: 9,8 KG&lt;br&gt;&lt;span&gt;ZARD&amp;nbsp;&lt;/span&gt;&lt;span&gt;FULL KIT&lt;/span&gt;&lt;span&gt;&amp;nbsp;WEIGHT: 4,4&amp;nbsp;&lt;/span&gt;&lt;span&gt;KG&lt;/span&gt;&lt;/p&gt;
&lt;p&gt;&lt;span&gt;BLACK AND SILVER WIRE MESH&amp;nbsp;IS SUPPLIED WITH HEAT SHIELD OF BLACK CERAMIC COATING VERSION.&lt;/span&gt;&lt;/p&gt;
&lt;p&gt;THE INSTALLATION OF ZARD EXHAUST DOES NOT IMPLY ANY MODIFICATION TO ECU.&lt;br&gt;THE BOX INCLUDES ALL PARTS FOR THE FITMENT OF ZARD EXHAUST.&lt;/p&gt;
&lt;p&gt;&lt;span&gt;HARD INCREASE, COMPARED TO THE ORIGINAL EXHAUST SYSTEM.&lt;/span&gt;&lt;/p&gt;
&lt;p&gt;&lt;span&gt;ASTONISHING SOUND.&lt;/span&gt;&lt;/p&gt;
&lt;p&gt;&lt;/p&gt;</t>
  </si>
  <si>
    <t>&lt;p&gt;N. 2 SLIP-ON STEEL SILENCERS WITH REMOVABLE DBKILLERS&lt;/p&gt;
&lt;p&gt;ORIGINAL SILENCERS&amp;nbsp;WEIGHT: 5.4&amp;nbsp;KG&lt;br&gt;&lt;span&gt;ZARD&amp;nbsp;&lt;/span&gt;&lt;span&gt;SILENCERS&lt;/span&gt;&lt;span&gt;: 3.4&amp;nbsp;&lt;/span&gt;&lt;span&gt;KG&lt;/span&gt;&lt;/p&gt;
&lt;p&gt;THE INSTALLATION OF ZARD EXHAUST DOES NOT IMPLY ANY MODIFICATION TO ECU.&lt;br&gt;THE BOX INCLUDES ALL PARTS FOR THE FITMENT OF ZARD EXHAUST.&lt;/p&gt;
&lt;p&gt;&lt;span&gt;SILVER WIRE MESH&amp;nbsp;IS SUPPLIED WITH HEAT SHIELD OF BLACK CERAMIC COATING VERSION.&lt;/span&gt;&lt;/p&gt;
&lt;p&gt;&lt;span&gt;HARD INCREASE, COMPARED TO THE ORIGINAL EXHAUST SYSTEM.&lt;/span&gt;&lt;/p&gt;
&lt;p&gt;&lt;span&gt;ASTONISHING SOUND.&lt;/span&gt;&lt;/p&gt;
&lt;p&gt;&lt;/p&gt;</t>
  </si>
  <si>
    <t>&lt;p&gt;N. 2 SLIP-ON STEEL SILENCERS WITH REMOVABLE DBKILLERS&lt;/p&gt;
&lt;p&gt;ORIGINAL SILENCERS&amp;nbsp;WEIGHT: 5.4&amp;nbsp;KG&lt;br&gt;&lt;span&gt;ZARD&amp;nbsp;&lt;/span&gt;&lt;span&gt;SILENCERS&lt;/span&gt;&lt;span&gt;: 3.4&amp;nbsp;&lt;/span&gt;&lt;span&gt;KG&lt;/span&gt;&lt;/p&gt;
&lt;p&gt;THE INSTALLATION OF ZARD EXHAUST DOES NOT IMPLY ANY MODIFICATION TO ECU.&lt;br&gt;THE BOX INCLUDES ALL PARTS FOR THE FITMENT OF ZARD EXHAUST.&lt;/p&gt;
&lt;p&gt;&lt;span&gt;SILVER WIRE MESH&amp;nbsp;IS SUPPLIED WITH HEAT SHIELD OF BLACK CERAMIC COATING VERSION.&lt;/span&gt;&lt;/p&gt;
&lt;p&gt;&lt;span&gt;HARD INCREASE, COMPARED TO THE ORIGINAL EXHAUST SYSTEM.&lt;br&gt;&lt;/span&gt;&lt;span&gt;ASTONISHING SOUND.&lt;/span&gt;&lt;/p&gt;</t>
  </si>
  <si>
    <t>&lt;p&gt;2&amp;gt;1 STEEL RACING HIGHT MOUNTED FULL KIT&amp;nbsp;&lt;/p&gt;
&lt;p&gt;ORIGINAL FULL KIT WEIGHT: KG 11.6&lt;br&gt;ZARD FULL KIT WEIGHT: KG 4.4&lt;/p&gt;
&lt;p&gt;'BLACK CERAMIC COATING' OPTIONAL INCLUDES BOTH BLACK HEAT SHIELDS AND BLACK + SILVER WIRE MESHEES&lt;/p&gt;
&lt;p&gt;HARD INCREASE IN TERMS OF RESPONSE IN THE RANGE BETWEEN 4000 AND 6500 RPM AND 1.5 MORE HP COMPARED TO THE ORIGINAL EXHAUST SYSTEM.&lt;/p&gt;
&lt;p&gt;ASTONISHING SOUND.&lt;/p&gt;
&lt;p&gt;&lt;/p&gt;
&lt;p&gt;&amp;nbsp;&lt;/p&gt;</t>
  </si>
  <si>
    <t>&lt;p&gt;2&amp;gt;1 STEEL RACING HIGHT MOUNTED FULL KIT&amp;nbsp;&lt;/p&gt;
&lt;p&gt;ORIGINAL FULL KIT WEIGHT: KG 11.6&lt;br&gt;ZARD FULL KIT WEIGHT: KG 4.4&lt;/p&gt;
&lt;p&gt;'BLACK CERAMIC COATING' OPTIONAL INCLUDES BOTH BLACK HEAT SHIELDS AND BLACK + SILVER WIRE MESHEES&lt;/p&gt;
&lt;p&gt;HARD INCREASE IN TERMS OF RESPONSE IN THE RANGE BETWEEN 4000 AND 6500 RPM AND 1.5 MORE HP COMPARED TO THE ORIGINAL EXHAUST SYSTEM.&lt;/p&gt;
&lt;p&gt;ASTONISHING SOUND.&lt;/p&gt;
&lt;p&gt;VIDEO:&amp;nbsp;&lt;a href="https://goo.gl/otwf4E"&gt;https://goo.gl/otwf4E&lt;/a&gt;&lt;br class="Apple-interchange-newline"&gt;&lt;br&gt;&lt;/p&gt;</t>
  </si>
  <si>
    <t>&lt;p&gt;2&amp;gt;1 STEEL RACING HIGH MOUNTED SHORT FULL KIT WITH REMOVABLE DBKILLERS&lt;/p&gt;
&lt;p&gt;ORIGINAL FULL KIT WEIGHT: KG 11.6&lt;br&gt;ZARD FULL KIT WEIGHT: KG 3.9&lt;/p&gt;
&lt;p&gt;'BLACK CERAMIC COATING' OPTIONAL INCLUDES BOTH BLACK HEAT SHIELDS AND BLACK + SILVER WIRE MESHEES&lt;/p&gt;
&lt;p&gt;HARD INCREASE IN TERMS OF RESPONSE IN THE RANGE BETWEEN 4000 AND 6500 RPM AND 1.5 MORE HP COMPARED TO THE ORIGINAL EXHAUST SYSTEM.&lt;/p&gt;
&lt;p&gt;ASTONISHING SOUND.&lt;/p&gt;
&lt;p&gt;&lt;/p&gt;</t>
  </si>
  <si>
    <t>&lt;p&gt;2&amp;gt;1 STEEL RACING FULL KIT WITH REMOVABLE DBKILLERS&lt;/p&gt;
&lt;p&gt;ORIGINAL FULL KIT WEIGHT: KG 11.6&lt;br&gt;ZARD FULL KIT WEIGHT: KG 3.9&lt;/p&gt;
&lt;p&gt;'BLACK CERAMIC COATING' OPTIONAL INCLUDES BOTH BLACK HEAT SHIELDS AND BLACK + SILVER WIRE MESHEES&lt;/p&gt;
&lt;p&gt;HARD INCREASE IN THE RANGE BETWEEN 4000 AND 6500 RPM AND 1.5 MORE HP COMPARED TO THE ORIGINAL EXHAUST SYSTEM.&lt;/p&gt;
&lt;p&gt;ASTONISHING SOUND.&lt;/p&gt;
&lt;p&gt;&lt;/p&gt;</t>
  </si>
  <si>
    <t>&lt;p&gt;2&amp;gt;1 STEEL RACING FULL KIT&lt;/p&gt;
&lt;p&gt;ORIGINAL FULL KIT WEIGHT: KG 11.6&lt;br&gt;ZARD FULL KIT WEIGHT: KG 4&lt;/p&gt;
&lt;p&gt;HARD INCREASE IN THE RANGE BETWEEN 4000 AND 6500 RPM AND 1.5 MORE HP COMPARED TO THE ORIGINAL EXHAUST SYSTEM.&lt;/p&gt;
&lt;p&gt;ASTONISHING SOUND.&lt;/p&gt;</t>
  </si>
  <si>
    <t>&lt;p&gt;2&amp;gt;1 STEEL RACING FULL KIT&lt;/p&gt;
&lt;p&gt;ORIGINAL FULL KIT WEIGHT: KG 11,6&lt;br&gt;ZARD FULL KIT WEIGHT: KG 2.2&lt;/p&gt;
&lt;p&gt;HARD INCREASE IN THE RANGE BETWEEN 4000 AND 6500 RPM AND 2 MORE HP COMPARED TO THE ORIGINAL EXHAUST SYSTEM.&lt;/p&gt;
&lt;p&gt;ASTONISHING SOUND.&lt;/p&gt;</t>
  </si>
  <si>
    <t>&lt;p&gt;2&amp;gt;1 STEEL RACING CONICAL FULL KIT&lt;/p&gt;
&lt;p&gt;ORIGINAL FULL KIT WEIGHT: KG 9.3&lt;/p&gt;
&lt;p&gt;ZARD FULL KIT WEIGHT: KG 6.7&lt;/p&gt;
&lt;p&gt;HARD INCREASE IN TERMS OF RESPONSE IN THE RANGE BETWEEN 4000 AND 6500 RPM AND 1,5 MORE HP COMPARED TO THE ORIGINAL EXHAUST SYSTEM.&lt;/p&gt;
&lt;p&gt;FITTING KIT INCLUDED, ASTONISHING SOUND.&lt;/p&gt;</t>
  </si>
  <si>
    <t>&lt;p&gt;2&amp;gt;1 STEEL FULL KIT RACING WITH REMOVABLE DB KILLER&lt;/p&gt;
&lt;p&gt;ORIGINAL FULL KIT WEIGHT: KG 11.6&lt;br&gt;ZARD FULL KIT WEIGHT: KG 3.9&lt;/p&gt;
&lt;p&gt;'BLACK CERAMIC COATING' OPTIONAL INCLUDES BOTH BLACK HEAT SHIELDS AND BLACK + SILVER WIRE MESHEES&lt;/p&gt;
&lt;p&gt;HARD INCREASE IN THE RANGE BETWEEN 4000 AND 6500 RPM AND 1.5 MORE HP COMPARED TO THE ORIGINAL EXHAUST SYSTEM.&lt;/p&gt;
&lt;p&gt;ASTONISHING SOUND.&lt;/p&gt;
&lt;p&gt;&lt;/p&gt;</t>
  </si>
  <si>
    <t>&lt;p&gt;2&amp;gt;1 STEEL FULL KIT RACING WITH REMOVABLE DB KILLER&lt;/p&gt;
&lt;p&gt;ORIGINAL FULL KIT WEIGHT: KG 11.6&lt;br&gt;ZARD FULL KIT WEIGHT: KG 3.9&lt;/p&gt;
&lt;p&gt;BLACK AND SILVER WIRE MESH&amp;nbsp;IS SUPPLIED WITH HEAT SHIELD&lt;/p&gt;
&lt;p&gt;HARD INCREASE IN THE RANGE BETWEEN 4000 AND 6500 RPM AND 1.5 MORE HP COMPARED TO THE ORIGINAL EXHAUST SYSTEM.&lt;/p&gt;
&lt;p&gt;ASTONISHING SOUND.&lt;/p&gt;
&lt;p&gt;&lt;/p&gt;</t>
  </si>
  <si>
    <t>&lt;p&gt;2&amp;gt;1 STEEL RACING GOLD EDITION FULL KIT&lt;/p&gt;
&lt;p&gt;THE BLACK CERAMIC COATED VERSION AS STEEL HEAT SHIELD GRILL&lt;/p&gt;</t>
  </si>
  <si>
    <t>&lt;p&gt;&lt;span&gt;2&amp;gt;1&amp;gt;2&amp;nbsp;&lt;/span&gt;STAINLESS STEEL DECATALYZER KIT&lt;br&gt;WITH RACING COMPENSATOR.&lt;/p&gt;
&lt;p&gt;THIS KIT REPLACES TRIUMPH OEM CATALYZER GIVING A HIGH&lt;br&gt;REDUCTION OF PERCEIVED HEAT, GREATER INCREASE OF GAS&lt;br&gt;EXTRACTION, A SIGNIFICANT IMPROVEMENT OF THE POWER&lt;br&gt;CURVE AND A WEIGHT SAVING OF 2 KG.&lt;/p&gt;
&lt;p&gt;OEM CATALYZER KIT WEIGHT: 2.9 KG&lt;br&gt;ZARD DECATALYZER KIT WEIGHT: 1.2 KG&lt;/p&gt;
&lt;p&gt;EASY AND FAST FITTING WITH OEM HEAT SHIELDS.&lt;/p&gt;
&lt;p&gt;NOTICE: THE INSTALLATION OF ZARD EXHAUST&lt;br&gt;DOES NOT IMPLY ANY MODIFICATION TO ECU.&lt;/p&gt;</t>
  </si>
  <si>
    <t>&lt;p&gt;STAINLESS STEEL SLIP-ONS WITH REMOVABLE DB-KILLERS.&lt;br&gt;EURO 4 HOMOLOGATED VERSION AVAILABLE AS OPTIONA.&lt;/p&gt;
&lt;p&gt;ORIGINAL EXHAUST WEIGHT: 6.4 KG&lt;br&gt;ZARD EXHAUST WEIGHT: 3.9 KG&lt;/p&gt;
&lt;p&gt;SIGNIFICANT INCREASE, COMPARED TO THE ORIGINAL EXHAUST SYSTEM,&lt;br&gt;IN TERMS OF TORQUE AND POWER AT ANY RANGE, ASTONISHING SOUND.&lt;/p&gt;
&lt;p&gt;&lt;span style="color: #ff0000;"&gt;&lt;strong&gt;&lt;a href="https://shop.officineitalianezard.it/en/triumph-scrambler-1200-decatalyzer-kit/" style="color: #ff0000;"&gt;FIND OUT THE ZARD DECATALYZER KIT&lt;/a&gt;&lt;/strong&gt;&lt;/span&gt;&lt;/p&gt;</t>
  </si>
  <si>
    <t>&lt;p&gt;&lt;strong&gt;&lt;/strong&gt;STAINLESS STEEL&amp;nbsp;2&amp;gt;1&amp;nbsp;RACING FULL KIT WITH REMOVABLE&lt;br&gt;DB-KILLERS AND CARBON END-CAP.&lt;br&gt;&lt;br&gt;&lt;strong&gt;EURO 4 HOMOLOGATED VERSION AVAILABLE AS OPTIONAL&lt;/strong&gt;&lt;br&gt;&lt;br&gt;ORIGINAL FULL KIT WEIGHT:&amp;nbsp;10.2&lt;span&gt;&amp;nbsp;&lt;/span&gt;KG&lt;br&gt;ZARD FULL KIT WEIGHT:&amp;nbsp;5.2&lt;span&gt;&amp;nbsp;&lt;/span&gt;KG&lt;/p&gt;
&lt;p&gt;SIGNIFICANT INCREASE, COMPARED TO THE ORIGINAL EXHAUST SYSTEM,&lt;br&gt;IN TERMS OF TORQUE AND POWER AT ANY RANGE, ASTONISHING SOUND.&lt;/p&gt;
&lt;p&gt;&lt;strong&gt;NOTICE&lt;/strong&gt;:&amp;nbsp;&lt;span&gt;ALUMINIUM SIDE PANEL WITH LEATHER CASE INCLUDED&lt;/span&gt;&lt;/p&gt;</t>
  </si>
  <si>
    <t>&lt;p&gt;3&amp;gt;1 STEEL RACING FULL KIT SPORT VERSION&lt;/p&gt;
&lt;p&gt;ORIGINAL EXHAUST SYSTEM WEIGHT: KG 21.5&lt;br&gt;ZARD EXHAUST SYSTEM WEIGHT: KG 4.3&lt;/p&gt;
&lt;p&gt;HARD INCREASE IN TERMS OF TORQUE AT LOW-RANGE/MID-RANGE AND + 1.5 HP COMPARED TO THE ORIGINAL SYSTEM.&lt;/p&gt;
&lt;p&gt;ASTONISHING SOUND.&lt;/p&gt;</t>
  </si>
  <si>
    <t>&lt;p&gt;STEEL 3&amp;gt;1 SNAKE WELDED FULL KIT RACING&amp;nbsp;&lt;/p&gt;
&lt;p&gt;ORIGINAL EXHAUST SYSTEM WEIGHT: KG 21.5&lt;br&gt;ZARD EXHAUST SYSTEM WEIGHT: KG 4.3&lt;/p&gt;
&lt;p&gt;THE EXHAUST CAN BE FITTED ON ROADSTER AND TOURING VERSIONS.&lt;/p&gt;
&lt;p&gt;HARD INCREASE IN TERMS OF TORQUE AT LOW-RANGE/MID-RANGE AND + 1.5 HP COMPARED TO THE ORIGINAL SYSTEM.&lt;/p&gt;
&lt;p&gt;ASTONISHING SOUND.&lt;/p&gt;</t>
  </si>
  <si>
    <t>&lt;p&gt;PENTA STEEL-CARBON RACING SILENCERS KIT&lt;/p&gt;
&lt;p&gt;ORIGINAL EXHAUST SYSTEM WEIGHT: KG 19&lt;br&gt;ZARD RACING SILENCERS KIT WEIGHT: KG 3.7&lt;br&gt;ZARD HOMOLOGATED SILENCERS KIT WEIGHT: KG 4.5&lt;/p&gt;
&lt;p&gt;THE EXHAUST CAN'T BE FITTED ON ROADSTER AND TOURING VERSION.&lt;/p&gt;
&lt;p&gt;HARD INCREASE IN TERMS OF TORQUE AND POWER AT ANY RANGE&lt;/p&gt;
&lt;p&gt;ASTONISHING SOUND.&lt;/p&gt;</t>
  </si>
  <si>
    <t>&lt;p&gt;RACING PENTA SILENCERS KIT IN STEEL-BLACK COATED ALUMINIUM&lt;/p&gt;
&lt;p&gt;ORIGINAL EXHAUST SYSTEM WEIGHT: KG 19&lt;br&gt;ZARD RACING SILENCERS KIT WEIGHT: KG 3.7&lt;br&gt;ZARD HOMOLOGATED SILENCERS KIT WEIGHT: KG 4.5&lt;/p&gt;
&lt;p&gt;THE EXHAUST CAN'T BE FITTED ON ROADSTER AND TOURING ABS VERSION.&lt;/p&gt;
&lt;p&gt;HARD INCREASE IN TERMS OF TORQUE AND POWER AT ANY RANGE&lt;br&gt;ASTONISHING SOUND.&amp;nbsp;&lt;/p&gt;</t>
  </si>
  <si>
    <t>&lt;p&gt;3&amp;gt;1 STEEL RACING FULL KIT&lt;/p&gt;
&lt;p&gt;HARD INCREASE, COMPARED TO THE ORIGINAL EXHAUST SYSTEM, IN TERMS OF TORQUE AND POWER AT ANY RANGE.&lt;/p&gt;
&lt;p&gt;ASTONISHING SOUND.&lt;/p&gt;</t>
  </si>
  <si>
    <t>&lt;p&gt;3&amp;gt;1 STEEL RACING FULL KIT&lt;/p&gt;
&lt;p&gt;ORIGINAL FULL KIT WEIGHT: KG 12.2&lt;br&gt;ZARD FULL KIT RACING WEIGHT: KG 4.2&lt;br&gt;ZARD FULL KIT HOMOLOGATED WEIGHT: KG 5.1&lt;/p&gt;
&lt;p&gt;HARD INCREASE IN TERMS OF TORQUE AT LOW-RANGE/MID-RANGE AND + 5 HP COMPARED TO THE ORIGINAL SYSTEM. ASTONISHING SOUND.&lt;/p&gt;</t>
  </si>
  <si>
    <t>&lt;p&gt;3&amp;gt;1 STEEL RACING FULL KIT&lt;/p&gt;
&lt;p&gt;ORIGINAL FULL KIT WEIGHT: KG 12.2&lt;br&gt;ZARD RACING FULL KIT WEIGHT: KG 3.9&lt;br&gt;ZARD HOMOLOGATED FULL KIT WEIGHT: KG 5.1&lt;/p&gt;
&lt;p&gt;HARD INCREASE IN TERMS OF TORQUE AT LOW-RANGE/MID-RANGE AND + 1.5 HP COMPARED TO THE ORIGINAL SYSTEM. ASTONISHING SOUND.&lt;/p&gt;</t>
  </si>
  <si>
    <t>&lt;p&gt;2&amp;gt;1 STEEL RACING FULL KIT&lt;/p&gt;
&lt;p&gt;ORIGINAL SILENCER WEIGHT: KG 12.2&lt;br&gt;ZARD SILENCER WEIGHT: KG 4.2&lt;/p&gt;
&lt;p&gt;HARD INCREASE IN TERMS OF TORQUE AT LOW-RANGE/MID-RANGE AND + 5 HP COMPARED TO THE ORIGINAL SYSTEM. ASTONISHING SOUND.&lt;/p&gt;</t>
  </si>
  <si>
    <t>&lt;p&gt;BRUSHED ALUMINIUM LEFT+RIGHT SIDE PANELS&amp;nbsp;&lt;/p&gt;
&lt;p&gt;&lt;strong&gt;MODELS COMPATIBILITY&lt;/strong&gt;:&lt;/p&gt;
&lt;p&gt;TRIUMPH BONNEVILLE T100&amp;nbsp;&lt;span&gt;M.Y. 2017&lt;/span&gt;, TRIUMPH BONNEVILLE T120, TRIUMPH STREET TWIN,&amp;nbsp;&lt;span&gt;TRIUMPH STREET-CUP, TRIUMPH STREET SCRAMBLER&lt;/span&gt;&lt;/p&gt;
&lt;p&gt;MATT BLACK PAINTED VERSION AVAILABLE AS OPTIONAL.&lt;/p&gt;
&lt;p&gt;FITTING KIT INCLUDED.&lt;/p&gt;
&lt;p&gt;&lt;strong&gt;NOTICE: NOT COMPATIBLE WITH HIGH MOUNT EXHAUST&lt;/strong&gt;&lt;/p&gt;</t>
  </si>
  <si>
    <t>&lt;p&gt;N. 2 STEEL RACING SILENCER WITH REMOVABLE DB KILLER&lt;/p&gt;
&lt;p&gt;ORIGINAL SILENCERS WEIGHT:&amp;nbsp;&lt;span&gt;6.4 KG&lt;br&gt;&lt;/span&gt;ZARD SILENCERS WEIGHT: 4.2 KG&lt;/p&gt;
&lt;p&gt;ASTONISHING SOUND, CLASSIC BOTTLE&amp;nbsp;DESIGN.&lt;/p&gt;
&lt;p&gt;FITTING KIT INCLUDED.&lt;/p&gt;
&lt;p&gt;&lt;/p&gt;</t>
  </si>
  <si>
    <t>&lt;p&gt;2&amp;gt;2 STEEL RACING FULL KIT WITH REMOVABLE DB KILLERS.&lt;/p&gt;
&lt;p&gt;THE EXHAUST KEEPS OEM CATALYZER AND CONSISTS OF TWO HEADER PIPES&amp;nbsp;&lt;span&gt;STARTING FROM THE CYLINDER HEAD OUTPUT TO OEM CATALYZER AND TWO SILENCERS.&lt;/span&gt;&lt;/p&gt;
&lt;p&gt;ORIGINAL EXHAUST WEIGHT: 14.3 KG&lt;br&gt;ZARD EXHAUST WEIGHT: 4.4 KG&lt;/p&gt;
&lt;p&gt;ZARD SILENCERS KIT CONSISTS OF STEEL LEFT+RIGHT HEADERS PIPE, STEEL LEFT+RIGHT SILENCERS AND FITTING KIT.&lt;/p&gt;
&lt;p&gt;&lt;span&gt;THE EXHAUST CAN BE FITTED IN LOW MOUNTED POSITION UNDER FOOTREST OR IN BACK MOUNTED POSITION BUYING 'BACK MOUNTED KIT' AVAILABLE AS OPTIONAL.&lt;/span&gt;&lt;/p&gt;
&lt;p&gt;HARD INCREASE, COMPARED TO THE ORIGINAL EXHAUST SYSTEM, IN TERMS OF TORQUE AND POWER AT ANY RANGE.&lt;/p&gt;
&lt;p&gt;ASTONISHING SOUND.&lt;/p&gt;
&lt;p&gt;&lt;strong&gt;HOMOLOGATED VERSION AVAILABLE SOON.&lt;/strong&gt;&lt;/p&gt;</t>
  </si>
  <si>
    <t>&lt;p&gt;&lt;strong&gt;FOR YOUR T120: A UNIQUE KIT, TWO DIFFERENT SOLUTIONS!&lt;/strong&gt;&lt;/p&gt;
&lt;p&gt;2&amp;gt;2 STEEL RACING FULL KIT WITH REMOVABLE DB KILLERS&lt;/p&gt;
&lt;p&gt;THE EXHAUST REMOVES OEM CATALYZER STARTING FROM CYLINDER HEAD OUTPUT TO SILENCERS.&lt;/p&gt;
&lt;p&gt;THE EXHAUST CAN BE FITTED IN LOW MOUNTED POSITION UNDER FOOTREST OR IN BACK MOUNTED POSITION BUYING 'BACK MOUNTED KIT' AVAILABLE AS OPTIONAL.&lt;/p&gt;
&lt;p&gt;ZARD SILENCERS KIT CONSISTS OF STEEL LEFT+RIGHT HEADERS PIPE, STEEL LEFT+RIGHT SILENCERS AND FITTING KIT.&lt;/p&gt;
&lt;p&gt;HARD INCREASE, COMPARED TO THE ORIGINAL EXHAUST SYSTEM, IN TERMS OF TORQUE AND POWER AT ANY RANGE.&lt;/p&gt;
&lt;p&gt;ASTONISHING SOUND.&lt;/p&gt;
&lt;p&gt;&lt;/p&gt;</t>
  </si>
  <si>
    <t>&lt;p&gt;2&amp;gt;2 STEEL RACING FULL KIT WITH REMOVABLE DBKILLERS.&lt;/p&gt;
&lt;p&gt;ORIGINAL FULL KIT WEIGHT: 14.3 KG&lt;br&gt;ZARD FULL KIT WEIGHT: 7 KG&lt;/p&gt;
&lt;p&gt;THE BLACK COATED EXHAUST KEEP&amp;nbsp;STEEL HEATSHIELD GRID&lt;/p&gt;
&lt;p class="p1"&gt;&lt;span style="color: #ff0000;"&gt;&lt;strong&gt;FOR A PROPER FITMENT YOU NEED THE RIGHT ZARD SIDE PANEL (INCLUDED IN BRUSHED VERSION). THE LEFT SIDE PANEL IS AVAILABLE AS OPTIONAL.&lt;/strong&gt;&lt;/span&gt;&lt;/p&gt;
&lt;p&gt;ASTONISHING SOUND,&amp;nbsp;EXCLUSIVE DESIGN.&lt;/p&gt;</t>
  </si>
  <si>
    <t>&lt;p&gt;&lt;strong&gt;FOR YOUR T100: A UNIQUE KIT, TWO DIFFERENT SOLUTIONS!&lt;/strong&gt;&lt;/p&gt;
&lt;p&gt;2&amp;gt;2 STEEL RACING FULL KIT WITH REMOVABLE DB KILLERS&lt;/p&gt;
&lt;p&gt;THE EXHAUST REMOVES OEM CATALYZER STARTING FROM CYLINDER HEAD OUTPUT TO SILENCERS.&lt;/p&gt;
&lt;p&gt;THE EXHAUST CAN BE FITTED IN LOW MOUNTED POSITION UNDER FOOTREST OR IN BACK MOUNTED POSITION BUYING 'BACK MOUNTED KIT' AVAILABLE AS OPTIONAL.&lt;/p&gt;
&lt;p&gt;ZARD SILENCERS KIT CONSISTS OF STEEL LEFT+RIGHT HEADERS PIPE, STEEL LEFT+RIGHT SILENCERS AND FITTING KIT.&lt;/p&gt;
&lt;p&gt;HARD INCREASE, COMPARED TO THE ORIGINAL EXHAUST SYSTEM, IN TERMS OF TORQUE AND POWER AT ANY RANGE.&lt;/p&gt;
&lt;p&gt;ASTONISHING SOUND.&lt;/p&gt;
&lt;p&gt;&lt;iframe src="https://www.youtube.com/embed/n_M2mIW_8pk" allowfullscreen="allowfullscreen" width="298" height="168" frameborder="0"&gt;&lt;/iframe&gt;&lt;/p&gt;
&lt;p&gt;&lt;/p&gt;</t>
  </si>
  <si>
    <t>&lt;p&gt;2&amp;gt;2 STEEL RACING FULL KIT WITH REMOVABLE DB KILLERS.&lt;/p&gt;
&lt;p&gt;THE EXHAUST KEEPS OEM CATALYZER AND CONSISTS OF TWO HEADER PIPES&amp;nbsp;&lt;span&gt;STARTING FROM THE CYLINDER HEAD OUTPUT TO OEM CATALYZER AND TWO SILENCERS.&lt;/span&gt;&lt;/p&gt;
&lt;p&gt;ORIGINAL EXHAUST WEIGHT: 14.3 KG&lt;/p&gt;
&lt;p&gt;ZARD EXHAUST WEIGHT: 4.4 KG&lt;/p&gt;
&lt;p&gt;ZARD SILENCERS KIT CONSISTS OF STEEL LEFT+RIGHT HEADERS PIPE, STEEL LEFT+RIGHT SILENCERS AND FITTING KIT.&lt;/p&gt;
&lt;p&gt;&lt;span&gt;THE EXHAUST CAN BE FITTED IN LOW MOUNTED POSITION UNDER FOOTREST OR IN BACK MOUNTED POSITION BUYING 'BACK MOUNTED KIT' AVAILABLE AS OPTIONAL.&lt;/span&gt;&lt;/p&gt;
&lt;p&gt;HARD INCREASE, COMPARED TO THE ORIGINAL EXHAUST SYSTEM, IN TERMS OF TORQUE AND POWER AT ANY RANGE.&lt;/p&gt;
&lt;p&gt;ASTONISHING SOUND.&lt;/p&gt;
&lt;p&gt;&lt;iframe src="https://www.youtube.com/embed/n_M2mIW_8pk" allowfullscreen="allowfullscreen" width="298" height="168" frameborder="0"&gt;&lt;/iframe&gt;&lt;/p&gt;
&lt;p&gt;&lt;/p&gt;</t>
  </si>
  <si>
    <t>&lt;p&gt;N. 2 STEEL RACING SILENCER WITH REMOVABLE DB KILLERS&lt;/p&gt;
&lt;p&gt;ORIGINAL SILENCERS WEIGHT:&amp;nbsp;&lt;span&gt;6.4 KG&lt;br&gt;&lt;/span&gt;ZARD SILENCERS WEIGHT: 4.2 KG&lt;/p&gt;
&lt;p&gt;ASTONISHING SOUND, CLASSIC BOTTLE&amp;nbsp;DESIGN.&lt;/p&gt;
&lt;p&gt;FITTING KIT INCLUDED.&lt;/p&gt;
&lt;p&gt;&lt;/p&gt;</t>
  </si>
  <si>
    <t>&lt;p&gt;2&amp;gt;1 STEEL RACING FULL KIT&lt;/p&gt;
&lt;p&gt;ORIGINAL FULL KIT WEIGHT: KG 9.3&lt;br&gt;ZARD FULL KIT WEIGHT: KG 6.85&lt;/p&gt;
&lt;p&gt;VERY CONSISTENT INCREASE IN TERMS OF RESPONSE IN THE RANGE BETWEEN 4000 AND 6500 RPM AND 1.5 MORE HP COMPARED TO THE ORIGINAL EXHAUST SYSTEM. ASTONISHING SOUND.&lt;/p&gt;</t>
  </si>
  <si>
    <t>&lt;p&gt;STEEL FULL KIT AVAILABLE IN RACING VERSION WITH REMOVABLE DB-KILLER&lt;/p&gt;
&lt;p&gt;ORIGINAL FULL KIT WEIGHT: KG 9.3&lt;br&gt;ZARD FULL KIT WEIGHT: KG 2.2&lt;/p&gt;
&lt;p&gt;HARD INCREASE IN TERMS OF RESPONSE IN THE RANGE BETWEEN 4000 AND 6500 RPM AND 3 MORE HP COMPARED TO THE DEFAULT EXHAUST SYSTEM. ASTONISHING SOUND.&lt;/p&gt;</t>
  </si>
  <si>
    <t>&lt;p&gt;2&amp;gt;1 STEEL FULL KIT AVAILABLE IN RACING VERSION WITH REMOVABLE DB-KILLER&lt;/p&gt;
&lt;p&gt;ORIGINAL FULL KIT WEIGHT: KG 9.3&lt;br&gt;ZARD FULL KIT WEIGHT: KG 2.2&lt;/p&gt;
&lt;p&gt;HARD INCREASE IN TERMS OF RESPONSE IN THE RANGE BETWEEN 4000 AND 6500 RPM AND 3 MORE HP COMPARED TO THE ORIGINAL EXHAUST SYSTEM. ASTONISHING SOUND.&lt;/p&gt;</t>
  </si>
  <si>
    <t>&lt;p&gt;STEEL POLISHED SILENCERS WITH REMOVABLE DB KILLER&lt;/p&gt;
&lt;p&gt;ORIGINAL SILENCERS WEIGHT: KG 6.8&lt;br&gt;ZARD SILENCERS WEIGHT: KG 3&lt;/p&gt;
&lt;p&gt;HARD INCREASE IN TERMS OF RESPONSE IN THE RANGE BETWEEN 4000 AND 6500 RPM AND 1,5 MORE HP COMPARED TO THE ORIGINAL EXHAUST SYSTEM. ASTONISHING SOUND.&lt;/p&gt;</t>
  </si>
  <si>
    <t>&lt;p&gt;2&amp;gt;2 STEEL RACING FULL KIT WITH REMOVABLE DBKILLERS FOR CARBURETTORS AND INJECTIONS MODELS&lt;/p&gt;
&lt;p&gt;ORIGINAL SILENCERS WEIGHT: KG 11.8&lt;br&gt;ZARD SILENCERS WEIGHT: KG&amp;nbsp;4.8&lt;/p&gt;
&lt;p&gt;HARD INCREASE, COMPARED TO THE ORIGINAL EXHAUST SYSTEM, IN TERMS OF TORQUE AND POWER AT ANY RANGE.&lt;/p&gt;
&lt;p&gt;ASTONISHING SOUND.&lt;/p&gt;
&lt;p&gt;&lt;strong&gt;NOTICE:&amp;nbsp;TO A PROPER FITMENT OF THE&amp;nbsp;LEFT SILENCER THERE IS A SMALL 'DENT' IN THE BACK SIDE.&lt;/strong&gt;&lt;/p&gt;
&lt;p&gt;&lt;/p&gt;</t>
  </si>
  <si>
    <t>&lt;p&gt;&lt;span&gt;2&amp;gt;2 STEEL RACING HEADERS KIT&lt;/span&gt;&lt;/p&gt;
&lt;p&gt;HARD INCREASE, COMPARED TO THE ORIGINAL EXHAUST SYSTEM, IN TERMS OF TORQUE AND POWER AT ANY RANGE&lt;/p&gt;
&lt;p&gt;ASTONISHING SOUND&lt;/p&gt;
&lt;p&gt;&lt;strong&gt;NOTICE&lt;/strong&gt;: ZARD HEADERS KIT FOR TRIUMPH BOBBER FITS WITH ZARD SILENCERS ONLY&lt;/p&gt;
&lt;p&gt;&lt;/p&gt;</t>
  </si>
  <si>
    <t>&lt;p&gt;N. 2 STEEL RACING SILENCERS WITH REMOVABLE DB KILLERS&lt;/p&gt;
&lt;p&gt;&lt;span&gt;THE EXHAUST KEEPS OEM CATALYZER&lt;/span&gt;&lt;/p&gt;
&lt;p&gt;ORIGINAL SILENCERS WEIGHT: KG&amp;nbsp;5.7&lt;br&gt;ZARD SILENCERS WEIGHT: KG&amp;nbsp;2.8&lt;/p&gt;
&lt;p&gt;HARD INCREASE, COMPARED TO THE ORIGINAL EXHAUST SYSTEM, IN TERMS OF TORQUE AND POWER AT ANY RANGE.&lt;/p&gt;
&lt;p&gt;ASTONISHING SOUND.&lt;/p&gt;
&lt;p&gt;HOMOLOGATED VERSION SOON AVAILABLE.&lt;/p&gt;
&lt;p&gt;&lt;strong&gt;&amp;nbsp;&lt;/strong&gt;&lt;/p&gt;</t>
  </si>
  <si>
    <t>&lt;p&gt;STEEL SILENCER RACING WITH REMOVABLE DB KILLER&lt;/p&gt;</t>
  </si>
  <si>
    <t>&lt;p&gt;STEEL RACING SILENCER + MIDDLE HEADER PIPE&lt;/p&gt;
&lt;p&gt;ORIGINAL EXHAUST WEIGHT:&amp;nbsp;&lt;span&gt;6.4 KG&lt;br&gt;&lt;/span&gt;ZARD EXHAUST WEIGHT: 3.3 KG&lt;/p&gt;
&lt;p&gt;BLACK EXHAUST WITH POLISHED ENDCAP, BLACK ENDCAP AVAILABLE AS OPTIONAL&lt;/p&gt;
&lt;p&gt;ASTONISHING SOUND&lt;/p&gt;</t>
  </si>
  <si>
    <t>&lt;p&gt;2&amp;lt;1 STEEL RACING FULL KIT WITH REMOVABLE DB KILLER&lt;/p&gt;
&lt;p&gt;HARD INCREASE, COMPARED TO THE ORIGINAL EXHAUST SYSTEM, IN TERMS OF TORQUE AND POWER AT ANY RANGE.&lt;/p&gt;
&lt;p&gt;N.B. THE FULL KIT MUST BE FITTED WITH ZARD STEEL FOOTREST (INCLUDED IN FITTING KIT).&lt;/p&gt;
&lt;p class="p1"&gt;ASTONISHING SOUND.&lt;/p&gt;</t>
  </si>
  <si>
    <t>&lt;p&gt;&lt;strong&gt;LAUNCH OFFER!&lt;/strong&gt;&lt;/p&gt;
&lt;p&gt;N.2 STEEL RACING SILENCERS WITH REMOVABLE DB KILLER.&lt;/p&gt;
&lt;p&gt;ASTONISHING SOUND,&amp;nbsp;EXCLUSIVE DESIGN.&lt;/p&gt;
&lt;p&gt;FITTING KIT INCLUDED.&lt;/p&gt;
&lt;p&gt;&lt;/p&gt;</t>
  </si>
  <si>
    <t>&lt;p&gt;&lt;strong&gt;LAUNCH OFFER!&lt;/strong&gt;&lt;/p&gt;
&lt;p&gt;N.2 STEEL RACING SILENCERS WITH REMOVABLE DB KILLER.&lt;/p&gt;
&lt;p&gt;ZARD SILENCERS WEIGHT: 4.6 KG&amp;nbsp;&lt;/p&gt;
&lt;p&gt;ASTONISHING SOUND,&amp;nbsp;EXCLUSIVE DESIGN.&lt;/p&gt;
&lt;p&gt;FITTING KIT INCLUDED.&lt;/p&gt;
&lt;p&gt;&lt;/p&gt;</t>
  </si>
  <si>
    <t>&lt;p&gt;&lt;strong&gt;&lt;/strong&gt;STAINLESS STEEL (SANDBLASTED FINISH) RACING SLIP-ON WITH REMOVABLE DB KILLERS&lt;br&gt;EURO 4 HOMOLOGATED VERSION AVAILABLE AS OPTIONAL&lt;/p&gt;
&lt;p&gt;CARBON CLAMP, END-CAP AND HEAT SHIELD INCLUDED&lt;/p&gt;
&lt;p&gt;ORIGINAL EXHAUST WEIGHT: 5.3 KG&lt;br&gt;ZARD EXHAUST WEIGHT: 3 KG&lt;/p&gt;
&lt;p&gt;&lt;span&gt;THE INSTALLATION OF ZARD EXHAUST DOES NOT&lt;/span&gt;&lt;br&gt;&lt;span&gt;IMPLY ANY MODIFICATION TO ECU&lt;/span&gt;&lt;/p&gt;
&lt;p&gt;SIGNIFICANT&amp;nbsp;INCREASE, COMPARED TO THE ORIGINAL EXHAUST SYSTEM,&lt;br&gt;IN TERMS OF TORQUE AND POWER AT ANY RANGE, ASTONISHING SOUND.&lt;/p&gt;</t>
  </si>
  <si>
    <t>&lt;p&gt;N.2 STEEL SILENCERS RACING WITH REMOVABLE DB KILLER&lt;/p&gt;
&lt;p&gt;ORIGINAL EXHAUST WEIGHT: KG 7.2&lt;br&gt;ZARD EXHAUST WEIGHT:: KG 4.2&lt;/p&gt;
&lt;p&gt;HARD INCREASE, COMPARED TO THE ORIGINAL EXHAUST SYSTEM, IN TERMS OF TORQUE AND POWER AT ANY RANGE (+2 HP)&lt;/p&gt;
&lt;p&gt;ASTONISHING SOUND&lt;/p&gt;</t>
  </si>
  <si>
    <t>&lt;p&gt;N.2 STEEL RACING SILENCERS WITH REMOVABLE DB KILLER&lt;/p&gt;
&lt;p&gt;ORIGINAL EXHAUST WEIGHT: KG 7.2&lt;br&gt;ZARD EXHAUST WEIGHT: KG 4.2&lt;/p&gt;
&lt;p&gt;HARD INCREASE, COMPARED TO THE ORIGINAL EXHAUST SYSTEM, IN TERMS OF TORQUE AND POWER AT ANY RANGE (+2 HP)&lt;/p&gt;
&lt;p&gt;ASTONISHING SOUND&lt;/p&gt;</t>
  </si>
  <si>
    <t>&lt;p&gt;N.2 STEEL SILENCERS + STEEL HEADERS RACING&lt;/p&gt;
&lt;p&gt;ORIGINAL FULL KIT WEIGHT: KG 12.5&lt;br&gt;ZARD FULL KIT WEIGHT: KG 6.3&lt;/p&gt;
&lt;p&gt;HEADERS ARE AVAILABLE IN RACING VERSION ONLY&lt;/p&gt;
&lt;p&gt;HARD INCREASE, COMPARED TO THE ORIGINAL EXHAUST SYSTEM, IN TERMS OF TORQUE AND POWER AT ANY RANGE.&lt;/p&gt;
&lt;p&gt;ASTONISHING SOUND.&lt;/p&gt;</t>
  </si>
  <si>
    <t>&lt;p&gt;STEEL HEADERS KIT RACING&lt;/p&gt;
&lt;p&gt;ORIGINAL HEADERS KIT WEIGHT: KG 5.3&lt;br&gt;ZARD HEADERS KIT WEIGHT: KG 2.1&lt;/p&gt;
&lt;p&gt;HARD INCREASE, COMPARED TO THE ORIGINAL EXHAUST SYSTEM, IN TERMS OF TORQUE AND POWER AT ANY RANGE IF FITTED WITH ZARD MUFFLERS.&lt;/p&gt;
&lt;p&gt;THE MANIFOLD KIT COULD BE ALSO FITTED WITH THE ORIGINAL MUFFLERS.&lt;/p&gt;</t>
  </si>
  <si>
    <t>&lt;p&gt;&lt;strong&gt;SILENCERS CAN BE FITTED ON V7 II RACER VERSION&lt;/strong&gt;&lt;/p&gt;
&lt;p&gt;N.2 STEEL SILENCERS RACING WITH REMOVABLE DB KILLER&lt;/p&gt;
&lt;p&gt;ORIGINAL EXHAUST WEIGHT: KG 7.2&lt;br&gt;ZARD SILENCER WEIGHT: KG 4.2&lt;/p&gt;
&lt;p&gt;HARD INCREASE, COMPARED TO THE ORIGINAL EXHAUST SYSTEM, IN TERMS OF TORQUE AND POWER AT ANY RANGE (+2 HP).&lt;/p&gt;
&lt;p&gt;ASTONISHING SOUND.&lt;/p&gt;</t>
  </si>
  <si>
    <t>&lt;p&gt;N.2 STEEL RACING SILENCERS WITH REMOVABLE DB KILLER.&lt;/p&gt;
&lt;p&gt;ORIGINAL SILENCERS WEIGHT: 7.7 KG&lt;br&gt;ZARD SILENCERS WEIGHT: 2.8 KG&lt;/p&gt;
&lt;p&gt;ASTONISHING SOUND,&amp;nbsp;EXCLUSIVE DESIGN.&lt;/p&gt;
&lt;p&gt;FITTING KIT INCLUDED.&lt;/p&gt;</t>
  </si>
  <si>
    <t>&lt;p&gt;STEEL RACING 2&amp;gt;1 FULL KIT.&lt;/p&gt;
&lt;p&gt;HARD INCREASE, COMPARED TO THE ORIGINAL EXHAUST SYSTEM, IN TERMS OF TORQUE AND POWER AT ANY RANGE.&lt;/p&gt;
&lt;p&gt;ASTONISHING SOUND.&lt;/p&gt;</t>
  </si>
  <si>
    <t>&lt;p&gt;2&amp;gt;1 RACING&amp;nbsp;FULL KIT WITH REMOVABLE DB KILLERS AND BLACK CERAMIC COATING&lt;/p&gt;
&lt;p&gt;ORIGINAL&amp;nbsp;FULL KIT WEIGHT:&amp;nbsp;&lt;br&gt;ZARD&amp;nbsp;FULL KIT WEIGHT: 3.9 KG&lt;/p&gt;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</t>
  </si>
  <si>
    <t>&lt;p&gt;N. 2 STEEL RACING SILENCERS WITH REMOVABLE DB KILLERS AND BLACK CERAMIC COATING&lt;/p&gt;
&lt;p&gt;&lt;strong&gt;COMPATIBLE WITH ALL V7III VERSIONS:&amp;nbsp;STONE, SPECIAL, RACER, ROUGH, MILANO, CARBON...&lt;/strong&gt;&lt;/p&gt;
&lt;p&gt;ORIGINAL SILENCERS WEIGHT:&amp;nbsp;&lt;/p&gt;
&lt;p&gt;ZARD SILENCERS WEIGHT:&amp;nbsp;&lt;/p&gt;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</t>
  </si>
  <si>
    <t>&lt;p&gt;N. 2 STEEL&amp;nbsp;HOMOLOGATED SILENCERS WITH REMOVABLE DB KILLERS AND&amp;nbsp;MIRROR POLISHING&lt;/p&gt;
&lt;p&gt;&lt;strong&gt;COMPATIBLE WITH ALL V7III VERSIONS:&amp;nbsp;STONE, SPECIAL, RACER, ROUGH, MILANO, CARBON...&lt;/strong&gt;&lt;/p&gt;
&lt;p&gt;ORIGINAL SILENCERS WEIGHT:&amp;nbsp;&lt;/p&gt;
&lt;p&gt;ZARD SILENCERS WEIGHT:&amp;nbsp;&lt;/p&gt;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</t>
  </si>
  <si>
    <t>&lt;p&gt;STEEL SILENCER RACING WITH REMOVABLE DB KILLER&lt;/p&gt;
&lt;p&gt;ORIGINAL SILENCER WEIGHT: KG 7&lt;br&gt;ZARD SILENCER WEIGHT: KG 3.1&lt;/p&gt;
&lt;p&gt;HARD INCREASE IN TERMS OF TORQUE AT LOW-RANGE/MID-RANGE AND + 3 HP COMPARED TO THE DEFAULT ONE&lt;/p&gt;
&lt;p&gt;ASTONISHING SOUND&lt;/p&gt;</t>
  </si>
  <si>
    <t>&lt;p&gt;STEEL RACING SILENCER WITH REMOVABLE DB KILLER&lt;/p&gt;
&lt;p&gt;ORIGINAL SILENCER WEIGHT: KG 7&lt;br&gt;ZARD SILENCER WEIGHT: KG 3.1&lt;/p&gt;
&lt;p&gt;SILENCER CAN BE FITTED ON ALL 2 OR 4 VALVES MODELS&lt;/p&gt;
&lt;p&gt;&lt;span&gt;STEEL HEAT SHIELD INCLUDED.&lt;/span&gt;&lt;/p&gt;
&lt;p&gt;HARD INCREASE IN TERMS OF TORQUE AT LOW-RANGE/MID-RANGE AND + 4.6 HP COMPARED TO THE ORIGINAL EXHAUST.&lt;/p&gt;
&lt;p&gt;ASTONISHING SOUND.&lt;/p&gt;</t>
  </si>
  <si>
    <t>&lt;p&gt;STEEL SILENCER RACING WITH REMOVABLE DB KILLER&lt;/p&gt;
&lt;p&gt;ORIGINAL SILENCER WEIGHT: KG 7&lt;br&gt;ZARD SILENCER WEIGHT: KG 3.1&lt;/p&gt;
&lt;p&gt;HARD INCREASE IN TERMS OF TORQUE AT LOW-RANGE/MID-RANGE AND + 3 HP COMPARED TO THE ORIGINAL EXHAUST.&lt;/p&gt;
&lt;p&gt;ASTONISHING SOUND.&lt;/p&gt;</t>
  </si>
  <si>
    <t>&lt;p&gt;STEEL 2&amp;gt;2 RACING FULL KIT WITH REMOVABLE DB KILLER&lt;/p&gt;
&lt;p&gt;HARD INCREASE, COMPARED TO THE ORIGINAL EXHAUST SYSTEM, IN TERMS OF TORQUE AND POWER AT ANY RANGE&lt;/p&gt;
&lt;p&gt;ASTONISHING SOUND&lt;/p&gt;
&lt;p&gt;&lt;span&gt;AVAILABLE ON DEMAND ONLY. DELIVERY 4 WORKING WEEKS FROM ORDER.&lt;/span&gt;&lt;/p&gt;</t>
  </si>
  <si>
    <t>&lt;p&gt;STEEL SILENCER RACING WITH REMOVABLE DB KILLER&lt;/p&gt;
&lt;p&gt;WEIGHT OF THE ORIGINAL FULL KIT: KG 8.5&lt;br&gt;WEIGHT OF THE ZARD STREET LEGAL MUFFLER WITH CAT: KG 3.2&lt;/p&gt;
&lt;p&gt;SILENCER CAN BE FITTED ON ALL TWO AND FOUR VALVES MODELS&lt;/p&gt;
&lt;p&gt;HARD INCREASE, COMPARED TO THE ORIGINAL EXHAUST SYSTEM, IN TERMS OF TORQUE AND POWER (+3 HP) AT ANY RANGE.&lt;/p&gt;
&lt;p&gt;THE MUFFLER FIT ON THE 2011 VERSION OF THE GRISO.&lt;/p&gt;
&lt;p&gt;ASTONISHING SOUND.&lt;/p&gt;
&lt;p&gt;SILENCER FITS ALSO ON 2015 MODELS&lt;/p&gt;</t>
  </si>
  <si>
    <t>&lt;p&gt;N. 2 BLACK STEEL SILENCERS RACING WITH REMOVABLE DB KILLER.&lt;/p&gt;
&lt;p&gt;BLACK CERAMIC COATING.&lt;/p&gt;
&lt;p&gt;HARD INCREASE, COMPARED TO THE ORIGINAL EXHAUST SYSTEM, IN TERMS OF TORQUE AND POWER AT ANY RANGE.&lt;/p&gt;
&lt;p&gt;ASTONISHING SOUND.&lt;/p&gt;
&lt;p&gt;&lt;/p&gt;</t>
  </si>
  <si>
    <t>&lt;p&gt;STEEL RACING SILENCER WITH REMOVABLE DB KILLER&lt;/p&gt;
&lt;p&gt;ORIGINAL SILENCER WEIGHT: KG 7&lt;br&gt;ZARD SILENCER WEIGHT: KG 3.1&lt;/p&gt;
&lt;p&gt;HARD INCREASE, COMPARED TO THE ORIGINAL EXHAUST SYSTEM, IN TERMS OF TORQUE AND POWER (+3 HP) AT ANY RANGE.&lt;/p&gt;
&lt;p&gt;ASTONISHING SOUND.&lt;/p&gt;
&lt;p&gt;&amp;nbsp;&lt;/p&gt;</t>
  </si>
  <si>
    <t>&lt;p&gt;STEEL-ALUMINIUM BLACK SILENCER RACING WITH REMOVABLE DB KILLER&lt;/p&gt;
&lt;p&gt;ORIGINAL SILENCER WEIGHT: KG 7&lt;br&gt;ZARD SILENCER WEIGHT: KG 2.1&lt;/p&gt;
&lt;p&gt;HARD INCREASE, COMPARED TO THE ORIGINAL EXHAUST SYSTEM, IN TERMS OF TORQUE AND POWER AT ANY RANGE (+2 HP).&lt;/p&gt;
&lt;p&gt;ASTONISHING SOUND.&lt;/p&gt;</t>
  </si>
  <si>
    <t>&lt;p&gt;STEEL RACING SILENCER WITH&amp;nbsp;CARBON ENDCAP AND HEAT SHIELD.&lt;/p&gt;
&lt;p&gt;ORIGINAL SILENCER WEIGHT: KG 6.1&lt;/p&gt;
&lt;p&gt;ZARD STEEL SILENCER WEIGHT: KG 3.3&lt;/p&gt;
&lt;p&gt;ZARD TITANIUM SILENCER WEIGHT: KG 3&lt;/p&gt;
&lt;p&gt;HARD INCREASE IN TERMS OF RESPONSE IN THE MID-RANGE AND MORE MAXIMUM POWER COMPARED TO THE DEFAULT EXHAUST SYSTEM.&lt;/p&gt;
&lt;p&gt;ASTONISHING SOUND.&lt;/p&gt;</t>
  </si>
  <si>
    <t>&lt;p&gt;LOW MOUNTED STEEL-ALUMINIUM BLACK RACING SILENCER&amp;nbsp;&lt;/p&gt;
&lt;p&gt;ZARD SILENCER WEIGHT: KG 1.7&lt;/p&gt;
&lt;p&gt;HARD INCREASE IN TERMS OF RESPONSE IN THE RANGE BETWEEN 4000 AND 6500 RPM AND 1.5 MORE HP COMPARED TO THE ORIGINAL EXHAUST SYSTEM.&lt;/p&gt;
&lt;p&gt;ASTONISHING SOUND.&lt;/p&gt;</t>
  </si>
  <si>
    <t>&lt;p&gt;STEEL-ALUMINIUM BLACK RACING SILENCERS&lt;/p&gt;
&lt;p&gt;ZARD HOMOLOGATED CAT. SILENCERS WEIGHT : KG 3.4&lt;/p&gt;
&lt;p&gt;HARD INCREASE COMPARED TO THE ORIGINAL EXHAUST SYSTEM.&lt;/p&gt;
&lt;p&gt;ASTONISHING SOUND.&lt;/p&gt;</t>
  </si>
  <si>
    <t>&lt;p&gt;2&amp;gt;2 FULL KIT STEEL RACING&lt;/p&gt;
&lt;p&gt;HARD INCREASE IN TERMS OF RESPONSE IN THE RANGE BETWEEN LOW AND MEDIUM REVS COMPARED TO THE ORIGINAL EXHAUST SYSTEM.&lt;/p&gt;
&lt;p&gt;ASTONISHING SOUND.&lt;/p&gt;</t>
  </si>
  <si>
    <t>&lt;p&gt;STEEL-TITANIUM FULL KIT WITH CARBON ENDCAP.&lt;/p&gt;
&lt;p&gt;ORIGINAL EXHAUST WEIGHT:&lt;/p&gt;
&lt;p&gt;ZARD FULL KIT WEIGHT:&lt;/p&gt;
&lt;p&gt;HARD INCREASE, COMPARED TO THE ORIGINAL EXHAUST SYSTEM, IN TERMS OF TORQUE AND POWER AT ANY RANGE.&lt;/p&gt;
&lt;p&gt;FITTING KIT INCLUDED.&lt;/p&gt;</t>
  </si>
  <si>
    <t>&lt;p&gt;STEEL-TITANIUM FULL KIT WITH CARBON ENDCAP.&lt;/p&gt;
&lt;p&gt;ORIGINAL EXHAUST WEIGHT:&amp;nbsp;3,2 KG&amp;nbsp;&lt;/p&gt;
&lt;p&gt;ZARD STEEL FULL KIT WEIGHT: 3 KG&lt;/p&gt;
&lt;p&gt;ZARD TITANIUM FULL KIT WEIGHT: 2,5 KG&lt;/p&gt;
&lt;p&gt;HARD INCREASE, COMPARED TO THE ORIGINAL EXHAUST SYSTEM, IN TERMS OF TORQUE AND POWER AT ANY RANGE.&lt;/p&gt;
&lt;p&gt;FITTING KIT INCLUDED.&lt;/p&gt;</t>
  </si>
  <si>
    <t>&lt;p&gt;STEEL-TITANIUM RACING FULL KIT WITH CARBON ENDCAP&lt;/p&gt;
&lt;p&gt;ORIGINAL EXHAUST WEIGHT: 3,2 KG&lt;/p&gt;
&lt;p&gt;ZARD STEEL-TITANIUM FULL KIT WEIGHT: 3 KG&lt;/p&gt;
&lt;p&gt;ZARD FULL TITANIUM FULL KIT WEIGHT: 2,5 KG&lt;/p&gt;
&lt;p&gt;HARD INCREASE, COMPARED TO THE ORIGINAL EXHAUST SYSTEM, IN TERMS OF TORQUE AND POWER AT ANY RANGE.&lt;/p&gt;
&lt;p&gt;FITTING KIT INCLUDED.&lt;/p&gt;</t>
  </si>
  <si>
    <t>&lt;p&gt;STEEL-TITANIUM&amp;nbsp;RACING SILENCER&amp;nbsp;WITH CARBON ENDCAP.&lt;/p&gt;
&lt;p&gt;&lt;/p&gt;
&lt;p&gt;HARD INCREASE, COMPARED TO THE ORIGINAL EXHAUST SYSTEM, IN TERMS OF TORQUE AND POWER AT ANY RANGE.&lt;/p&gt;
&lt;p&gt;FITTING KIT INCLUDED.&lt;/p&gt;</t>
  </si>
  <si>
    <t>&lt;p&gt;2&amp;gt;1 STEEL RACING FULL KIT WITH REMOVABLE DB KILLER&lt;/p&gt;
&lt;p&gt;ZARD FULL KIT WEIGHT: 2.9 KG&lt;/p&gt;
&lt;p&gt;HARD INCREASE, COMPARED TO THE ORIGINAL EXHAUST SYSTEM, IN TERMS OF TORQUE AND POWER AT ANY RANGE&lt;/p&gt;
&lt;p&gt;ASTONISHING SOUND&lt;/p&gt;</t>
  </si>
  <si>
    <t>&lt;p&gt;2&amp;gt;1 FULL KIT STEEL RACING WITH REMOVABLE DB KILLER&lt;/p&gt;
&lt;p&gt;ZARD FULL KIT WEIGHT: 2.6 KG&lt;/p&gt;
&lt;p&gt;HARD INCREASE, COMPARED TO THE ORIGINAL EXHAUST SYSTEM, IN TERMS OF TORQUE AND POWER AT ANY RANGE&lt;/p&gt;
&lt;p&gt;ASTONISHING SOUND&lt;/p&gt;</t>
  </si>
  <si>
    <t>&lt;p&gt;4&amp;gt;2&amp;gt;1&amp;nbsp;STEEL RACING FULL KIT WITH REMOVABLE DBKILLER&lt;/p&gt;
&lt;p&gt;ORIGINAL FULL KIT WEIGHT: 11,5 KG&lt;br&gt;ZARD TITANIUM FULL KIT WEIGHT: 3,6 KG&lt;br&gt;&lt;span&gt;ZARD&amp;nbsp;STEEL FULL KIT WEIGHT&lt;/span&gt;: 5,9 KG&lt;/p&gt;
&lt;p&gt;THE INSTALLATION OF ZARD EXHAUST DOES NOT IMPLY ANY MODIFICATION TO ECU.&lt;br&gt;THE BOX INCLUDES ALL PARTS FOR THE FITMENT OF ZARD EXHAUST.&lt;/p&gt;
&lt;p&gt;&lt;span&gt;HARD INCREASE, COMPARED TO THE ORIGINAL EXHAUST SYSTEM.&lt;/span&gt;&lt;/p&gt;
&lt;p&gt;&lt;span&gt;TOTALLY HANDMADE PRODUCT.&lt;/span&gt;&lt;/p&gt;
&lt;p&gt;&lt;span&gt;ASTONISHING SOUND.&lt;/span&gt;&lt;/p&gt;</t>
  </si>
  <si>
    <t>&lt;p&gt;STEEL RACING&amp;nbsp;SILENCER WITH REMOVABLE DBKILLER&lt;/p&gt;
&lt;p&gt;ORIGINAL&amp;nbsp;SILENCER WEIGHT: 2 KG&lt;br&gt;ZARD&amp;nbsp;SILENCER WEIGHT: 1,6 KG&lt;/p&gt;
&lt;p&gt;THE INSTALLATION OF ZARD EXHAUST DOES NOT IMPLY ANY MODIFICATION TO ECU.&lt;/p&gt;
&lt;p&gt;THE BOX INCLUDES ALL PARTS FOR THE FITMENT OF ZARD EXHAUST.&lt;/p&gt;
&lt;p&gt;&lt;span&gt;HARD INCREASE, COMPARED TO THE ORIGINAL EXHAUST SYSTEM.&lt;/span&gt;&lt;/p&gt;
&lt;p&gt;&lt;span&gt;TOTALLY HANDMADE PRODUCT.&lt;/span&gt;&lt;/p&gt;
&lt;p&gt;&lt;span&gt;ASTONISHING SOUND.&lt;/span&gt;&lt;/p&gt;</t>
  </si>
  <si>
    <t>&lt;p&gt;STEEL HEADERS KIT RACING&lt;/p&gt;
&lt;p&gt;WEIGHT OF THE ZARD MANIFOLD: 2.9 KG&lt;/p&gt;
&lt;p&gt;THE MANIFOLD SHOULD BE FITTED BOTH WITH THE ZARD MUFFLER&lt;br&gt;AND THE FACTORY ORIGINAL ONE&lt;/p&gt;
&lt;p&gt;HARD INCREASE, COMPARED TO THE ORIGINAL EXHAUST SYSTEM,&lt;br&gt;IN TERMS OF TORQUE AND POWER AT ANY RANGE&lt;/p&gt;
&lt;p&gt;ASTONISHING SOUND&lt;/p&gt;
&lt;p&gt;&lt;strong&gt;NOTICE&lt;/strong&gt;: FULL POWER VERSION ONLY&lt;/p&gt;</t>
  </si>
  <si>
    <t>&lt;p&gt;STEEL SILENCER RACING&lt;/p&gt;
&lt;p&gt;ZARD SILENCER WEIGHT: 1.7 KG&lt;/p&gt;
&lt;p&gt;THE MUFFLER SHOULD BE FITTED BOTH ON THE FACTORY AND THE ZARD MANIFOLD&lt;/p&gt;
&lt;p&gt;HARD INCREASE, COMPARED TO THE ORIGINAL EXHAUST SYSTEM, IN TERMS OF TORQUE AND POWER AT ANY RANGE&lt;/p&gt;
&lt;p&gt;ASTONISHING SOUND&lt;/p&gt;</t>
  </si>
  <si>
    <t>&lt;div class="page-product-descr product-font-size text-font"&gt;
&lt;p&gt;STEEL-ALUMINIUM BLACK SILENCER RACING WITH REMOVABLE DB KILLER&lt;/p&gt;
&lt;p&gt;ZARD FULL KIT WEIGHT: 4.6 KG&lt;br&gt;ZARD SILENCER WEIGHT: 1.7 KG&lt;/p&gt;
&lt;p&gt;THE MUFFLER SHOULD BE FITTED BOTH ON THE FACTORY AND THE ZARD MANIFOLD&lt;/p&gt;
&lt;p&gt;HARD INCREASE, COMPARED TO THE ORIGINAL EXHAUST SYSTEM, IN TERMS OF TORQUE AND POWER AT ANY RANGE&lt;/p&gt;
&lt;p&gt;ASTONISHING SOUND&lt;/p&gt;
&lt;/div&gt;
&lt;form id="cart-form" action="http://zard.madcommerce.com/en/carts/addmultiple" method="post" name="cart-form" novalidate="novalidate" class="ng-pristine ng-valid"&gt;
&lt;div class="page-product-optionals"&gt;&amp;nbsp;&lt;/div&gt;
&lt;/form&gt;</t>
  </si>
  <si>
    <t>&lt;p&gt;STEEL RACING SILENCER WITH REMOVABLE DB KILELR&lt;/p&gt;
&lt;p&gt;ORIGINAL SILENCER WEIGHT: KG 6.4&lt;/p&gt;
&lt;p&gt;ZARD SILENCER WEIGHT: KG 2.3&lt;/p&gt;
&lt;p&gt;CARBON ENDCAP&lt;/p&gt;
&lt;p&gt;HARD INCREASE, COMPARED TO THE ORIGINAL EXHAUST SYSTEM,&lt;br&gt;IN TERMS OF TORQUE AND POWER AT ANY RANGE (+ 4.5 CV).&lt;/p&gt;
&lt;p&gt;ASTONISHING SOUND&lt;/p&gt;</t>
  </si>
  <si>
    <t>&lt;p&gt;STEEL 2&amp;gt;1 FULL KIT WITH REMOVABLE DB KILLER&lt;/p&gt;
&lt;p&gt;COMPATIBLE WITH OFF ROAD MODELS&lt;/p&gt;
&lt;p&gt;CARBON END-CAP&lt;/p&gt;
&lt;p&gt;HARD INCREASE, COMPARED TO THE ORIGINAL EXHAUST SYSTEM, IN TERMS OF TORQUE AND POWER AT ANY RANGE&lt;/p&gt;
&lt;p&gt;ASTONISHING SOUND&lt;/p&gt;
&lt;p&gt;&amp;nbsp;&lt;/p&gt;</t>
  </si>
  <si>
    <t>&lt;p&gt;STEEL-ALUMINIUM BLACK SILENCER RACING WITH REMOVABLE DB KILLER&lt;/p&gt;
&lt;p&gt;ZARD FULL KIT WEIGHT: 3.1 KG&lt;br&gt;ZARD SILENCER WEIGHT: 1.7 KG&lt;/p&gt;
&lt;p&gt;HARD INCREASE, COMPARED TO THE ORIGINAL EXHAUST SYSTEM, IN TERMS OF TORQUE AND POWER AT ANY RANGE&lt;/p&gt;
&lt;p&gt;ASTONISHING SOUND&lt;/p&gt;</t>
  </si>
  <si>
    <t>&lt;p&gt;STEEL-ALUMINIUM BLACK SILENCER RACING WITH REMOVABLE DB KILLER&lt;/p&gt;
&lt;p&gt;ZARD SILENCER WEIGHT: 1.7 KG&lt;/p&gt;
&lt;p&gt;HARD INCREASE, COMPARED TO THE ORIGINAL EXHAUST SYSTEM, IN TERMS OF TORQUE AND POWER AT ANY RANGE&lt;/p&gt;
&lt;p&gt;ASTONISHING SOUND&lt;/p&gt;</t>
  </si>
  <si>
    <t>&lt;p&gt;2&amp;gt;1 STEEL-ALUMINIUM BLACK FULL KIT RACING WITH REMOVABLE DB KILLER&lt;/p&gt;
&lt;p&gt;ORIGINAL FULL KIT WEIGHT: 3.1 KG&lt;br&gt;ZARD FULL KIT WEIGHT: 9.5 KG&lt;/p&gt;
&lt;p&gt;HARD INCREASE, COMPARED TO THE ORIGINAL EXHAUST SYSTEM, IN TERMS OF TORQUE AND POWER AT ANY RANGE&lt;/p&gt;
&lt;p&gt;ASTONISHING SOUND&lt;/p&gt;</t>
  </si>
  <si>
    <t>&lt;p&gt;&lt;strong&gt;SOON AVAILABLE!&lt;/strong&gt;&lt;/p&gt;
&lt;p&gt;&lt;span&gt;STAINLESS STEEL DECATALYZER KIT: € 260,00&lt;/span&gt;&lt;br&gt;&lt;span&gt;TITANIUM DECATALYZER KIT: € 400,00&lt;/span&gt;&lt;br&gt;&lt;span&gt;TITANIUM HEADERS KIT: € 1.080,00&lt;/span&gt;&lt;br&gt;&lt;span&gt;TITANIUM HEADERS KIT WITH SNAKE WELDING: € 1.450,00&lt;/span&gt;&lt;/p&gt;
&lt;p&gt;ORIGINAL FULL KIT WEIGHT:&amp;nbsp;10 KG&lt;br&gt;&lt;span&gt;ZARD&amp;nbsp;FULL KIT WEIGHT&lt;/span&gt;: 3.7 KG&lt;/p&gt;
&lt;p&gt;&lt;span&gt;SIGNIFICANT INCREASE, COMPARED TO THE ORIGINAL EXHAUST SYSTEM,&lt;/span&gt;&lt;br&gt;&lt;span&gt;IN TERMS OF TORQUE AND POWER AT ANY RANGE, ASTONISHING SOUND.&lt;/span&gt;&lt;/p&gt;</t>
  </si>
  <si>
    <t>&lt;p&gt;&lt;strong&gt;SOON AVAILABLE!&lt;/strong&gt;&lt;/p&gt;
&lt;p&gt;TITANIUM RACING SLIP-ONS WITH REMOVABLE DB-KILLERS,&lt;br&gt;CARBON END-CAPS AND CARBON HEAT SHIELD.&lt;/p&gt;
&lt;p&gt;ORIGINAL FULL KIT WEIGHT:&amp;nbsp;4.3 KG&lt;br&gt;&lt;span&gt;ZARD&amp;nbsp;FULL KIT WEIGHT&lt;/span&gt;:&amp;nbsp;1.8 KG&lt;/p&gt;
&lt;p&gt;&lt;span&gt;SIGNIFICANT INCREASE, COMPARED TO THE ORIGINAL EXHAUST SYSTEM,&lt;/span&gt;&lt;br&gt;&lt;span&gt;IN TERMS OF TORQUE AND POWER AT ANY RANGE, ASTONISHING SOUND.&lt;/span&gt;&lt;/p&gt;</t>
  </si>
  <si>
    <t>&lt;p&gt;1&amp;gt;2 STEEL-TITANIUM RACING FULL KIT WITH REMOVABLE DB KILLERS&lt;/p&gt;
&lt;p&gt;CARBON END-CAP&lt;/p&gt;
&lt;p&gt;HARD INCREASE, COMPARED TO THE ORIGINAL EXHAUST SYSTEM, IN TERMS OF TORQUE AND POWER AT ANY RANGE&lt;/p&gt;
&lt;p&gt;ASTONISHING SOUND&lt;/p&gt;</t>
  </si>
  <si>
    <t>&lt;p&gt;1&amp;gt;2 STEEL-TITANIUM RACING FULL KIT WITH REMOVABLE DB KILLERS&lt;/p&gt;
&lt;p&gt;CARBON END-CAP&lt;/p&gt;
&lt;p&gt;ORIGINAL FULL KIT WEIGHT: 4,4 KG&lt;/p&gt;
&lt;p&gt;ZARD TITANIUM FULL KIT WEIGHT: 4,1 KG&lt;/p&gt;
&lt;p&gt;HARD INCREASE, COMPARED TO THE ORIGINAL EXHAUST SYSTEM, IN TERMS OF TORQUE AND POWER AT ANY RANGE&lt;/p&gt;
&lt;p&gt;ASTONISHING SOUND&lt;/p&gt;</t>
  </si>
  <si>
    <t>&lt;p&gt;ZARD PRESENTS THE NEW HONDA CRF 450R EXHAUST.&lt;/p&gt;
&lt;p&gt;TESTED AND DEVELOPED IN INTERNATIONAL TRACKS IN COLLABORATION WITH HONDA GAZZA RACING TEAM,&lt;br&gt;ONE OF THE MAIN TEAM IN MOTARD AND CROSS FIELD.&lt;/p&gt;
&lt;p&gt;THE CONSTRUCTION FEATURES PROVIDE STRONG IMPROVEMENT IN MEDIUM SPEED&lt;br&gt;WITH AN EXCITING INCREASE OF MAXIMUM POWER WITHOUT PENALIZING THE PERFORMANCE AT LOW SPEED.&lt;/p&gt;
&lt;p&gt;AVAILABLE IN STAINLESS STEEL WITH CARBON ENDCAP WITH AN EXCLUSIVE LOOK.&lt;/p&gt;
&lt;p&gt;ZARD FULL KIT IS EQUIPPED WITH REMOVABLE DB KILLERS AND RESPECTS THE FMI SOUND LEVEL CONTROL.&lt;/p&gt;</t>
  </si>
  <si>
    <t>&lt;p&gt;STEEL RACING SILENCER WITH TITANIUM SLEEVE.&lt;br&gt;REMOVABLE DB-KILLER.&lt;br&gt;HOMOLOGATED VERSION AVAILABLE AS OPTIONAL.&lt;/p&gt;
&lt;p&gt;CARBON END-CAP AND HEAT-SHIELD INCLUDED.&lt;br&gt;&lt;br&gt;ORIGINAL SILENCER WEIGHT: 4,3&lt;span&gt;&amp;nbsp;&lt;/span&gt;KG&lt;br&gt;&lt;span&gt;ZARD&amp;nbsp;SILENCER WEIGHT&lt;/span&gt;&lt;span&gt;:&lt;/span&gt;&amp;nbsp;2,5&lt;span&gt;&amp;nbsp;&lt;/span&gt;KG&lt;/p&gt;
&lt;p&gt;THE INSTALLATION OF ZARD EXHAUST DOES NOT&lt;br&gt;IMPLY ANY MODIFICATION TO ECU. THE BOX INCLUDES ALL PARTS&lt;br&gt;FOR THE FITMENT OF ZARD EXHAUST.&lt;br&gt;HARD INCREASE, COMPARED TO THE ORIGINAL EXHAUST SYSTEM.&lt;/p&gt;
&lt;p&gt;ASTONISHING SOUND.&lt;/p&gt;</t>
  </si>
  <si>
    <t>&lt;p&gt;STEEL-CARBON RACING SILENCER&amp;nbsp;WITH REMOVABLE DB KILLER.&lt;/p&gt;
&lt;p&gt;&lt;span&gt;THE BOX INCLUDES ALL PARTS FOR THE FITMENT OF ZARD EXHAUST.&lt;/span&gt;&lt;/p&gt;
&lt;p&gt;HARD INCREASE, COMPARED TO THE ORIGINAL EXHAUST SYSTEM, IN TERMS OF TORQUE AND POWER AT ANY RANGE.&lt;/p&gt;
&lt;p&gt;ASTONISHING SOUND,&amp;nbsp;EXCLUSIVE DESIGN.&lt;/p&gt;</t>
  </si>
  <si>
    <t>&lt;p&gt;STEEL RACING 2&amp;gt;1 CONICAL FULL KIT WITH REMOVABLE DB KILLER.&lt;/p&gt;
&lt;p&gt;&lt;span&gt;THE BOX INCLUDES ALL PARTS FOR THE FITMENT OF ZARD EXHAUST.&lt;/span&gt;&lt;/p&gt;
&lt;p&gt;HARD INCREASE, COMPARED TO THE ORIGINAL EXHAUST SYSTEM, IN TERMS OF TORQUE AND POWER AT ANY RANGE.&lt;/p&gt;
&lt;p&gt;ASTONISHING SOUND,&amp;nbsp;EXCLUSIVE DESIGN.&lt;/p&gt;
&lt;p&gt;&lt;strong&gt;NOTICE&lt;/strong&gt;&lt;span&gt;:&amp;nbsp;THIS FULL KIT FITS WITH GIVI ACCESSORIES&lt;/span&gt;&lt;/p&gt;
&lt;p&gt;&lt;iframe src="https://www.youtube.com/embed/TFEhDGnmu4A" allowfullscreen="allowfullscreen" width="298" height="168" frameborder="0"&gt;&lt;/iframe&gt;&lt;/p&gt;</t>
  </si>
  <si>
    <t>&lt;p&gt;STEEL RACING SILENCER WITH&amp;nbsp;CARBON ENDCAP AND HEAT SHIELD.&lt;/p&gt;
&lt;p&gt;ORIGINAL SILENCER WEIGHT: KG 6.1&lt;br&gt;ZARD STEEL SILENCER WEIGHT: KG 3.3&lt;br&gt;ZARD TITANIUM SILENCER WEIGHT: KG 3&lt;/p&gt;
&lt;p&gt;HARD INCREASE IN TERMS OF RESPONSE IN THE MID-RANGE AND MORE MAXIMUM POWER COMPARED TO THE DEFAULT EXHAUST SYSTEM.&lt;/p&gt;
&lt;p&gt;ASTONISHING SOUND.&lt;/p&gt;</t>
  </si>
  <si>
    <t>&lt;p&gt;2&amp;gt;1 STEEL FULL KIT RACING WITH REMOVABLE DB KILLER&lt;/p&gt;
&lt;p&gt;MACHINED FROM SOLID ALUMINIUM END-CAP&lt;/p&gt;
&lt;p&gt;STEEL HEAT SHIELD&lt;/p&gt;
&lt;p&gt;HARD INCREASE, COMPARED TO THE ORIGINAL EXHAUST SYSTEM, IN TERMS OF TORQUE AND POWER AT ANY RANGE&lt;/p&gt;
&lt;p&gt;ASTONISHING SOUND&lt;/p&gt;
&lt;p&gt;COMPATIBLE WITH&amp;nbsp;XL 883 / XL 1200 MODELS&lt;/p&gt;</t>
  </si>
  <si>
    <t>&lt;p&gt;2&amp;gt;1 STEEL FULL KIT RACING WITH REMOVABLE DB KILLER&lt;/p&gt;
&lt;p&gt;HEAT SHIELD AS A DEFAULT&lt;/p&gt;
&lt;p&gt;HARD INCREASE, COMPARED TO THE ORIGINAL EXHAUST SYSTEM, IN TERMS OF TORQUE AND POWER AT ANY RANGE&lt;/p&gt;
&lt;p&gt;ASTONISHING SOUND&lt;/p&gt;
&lt;p&gt;COMPATIBLE WITH&amp;nbsp;XL 883 / XL 1200 MODELS&lt;/p&gt;</t>
  </si>
  <si>
    <t>&lt;p&gt;2&amp;gt;1 STEEL FULL KIT RACING WITH REMOVABLE DB KILLER&lt;/p&gt;
&lt;p&gt;STEEL HEAT SHIELD&lt;/p&gt;
&lt;p&gt;HARD INCREASE, COMPARED TO THE ORIGINAL EXHAUST SYSTEM, IN TERMS OF TORQUE AND POWER AT ANY RANGE&lt;/p&gt;
&lt;p&gt;ASTONISHING SOUND&lt;/p&gt;
&lt;p&gt;COMPATIBLE WITH XL 883 / XL 1200 MODELS&lt;/p&gt;</t>
  </si>
  <si>
    <t>&lt;p&gt;2&amp;gt;1 STEEL FULL KIT RACING WITH REMOVABLE DB KILLER&lt;/p&gt;
&lt;p&gt;MACHINED FROM SOLID ALUMINIUM END-CAP&lt;/p&gt;
&lt;p&gt;STEEL HEAT SHIELD&lt;/p&gt;
&lt;p&gt;HARD INCREASE, COMPARED TO THE ORIGINAL EXHAUST SYSTEM, IN TERMS OF TORQUE AND POWER AT ANY RANGE&lt;/p&gt;
&lt;p&gt;ASTONISHING SOUND&lt;/p&gt;
&lt;p&gt;COMPATIBLE WITH XL 883 / XL 1200 MODELS&lt;/p&gt;</t>
  </si>
  <si>
    <t>&lt;p&gt;2&amp;gt;1 FULL KIT STEEL-TITANIUM RACING WITH REMOVABLE DB KILLER&lt;/p&gt;
&lt;p&gt;ZARD TITANIUM FULL KIT WEIGHT: 3.4 KG&lt;br&gt;ZARD STEEL FULL KIT WEIGHT: 4.4 KG&lt;/p&gt;
&lt;p&gt;THE MUFFLER IS ALSO AVAILABLE IN STEEL VERSION&lt;/p&gt;
&lt;p&gt;HARD INCREASE, COMPARED TO THE ORIGINAL EXHAUST SYSTEM, IN TERMS OF TORQUE AND POWER AT ANY RANGE&lt;/p&gt;
&lt;p&gt;ASTONISHING SOUND&lt;/p&gt;</t>
  </si>
  <si>
    <t>&lt;p&gt;2&amp;gt;1&amp;gt;2 STEEL FULL KIT RACING WITH REMOVABLE DB KILLER&lt;br&gt;CARBON END-CAPS AND HEAT-SHIELD&lt;/p&gt;
&lt;p&gt;ZARD STEEL SILENCERS CAT WEIGHT: KG 8.4&lt;br&gt;ZARD TITANIUM SILENCERS WEIGHT: KG 4.5&lt;/p&gt;
&lt;p&gt;THE KIT USES THE STANDARD FRONT AND REAR CYLINDER HEAD PIPES.&lt;/p&gt;
&lt;p&gt;HARD INCREASE, COMPARED TO THE ORIGINAL EXHAUST SYSTEM,&lt;br&gt;IN TERMS OF TORQUE AND POWER AT ANY RANGE (+3 HP FOR THE RACING VERSION)&lt;br&gt;ASTONISHING SOUND.&lt;/p&gt;
&lt;p&gt;&lt;strong&gt;NOTICE&lt;/strong&gt;&lt;span&gt;: THIS KIT CAN FIT ON STREETFIGHER 848&lt;br&gt;ONLY IN RACING VERSION (NOT HOMOLOGATED)&lt;/span&gt;&lt;/p&gt;
&lt;p&gt;&lt;/p&gt;</t>
  </si>
  <si>
    <t>&lt;p&gt;STEEL SILENCERS RACING WITH REMOVABLE DB KILLER&lt;/p&gt;
&lt;p&gt;ORIGINAL SILENCERS WEIGHT: KG 6&lt;br&gt;ZARD STEEL SILENCERS WEIGHT: KG 3.8&lt;br&gt;ZARD TITANIUM SILENCERS WEIGHT: KG 2.4&lt;/p&gt;
&lt;p&gt;HARD INCREASE, COMPARED TO THE ORIGINAL EXHAUST SYSTEM,&lt;br&gt;IN TERMS OF TORQUE AND POWER AT ANY RANGE (+3 HP FOR THE RACING VERSION).&lt;/p&gt;
&lt;p&gt;ASTONISHING SOUND.&lt;/p&gt;
&lt;p&gt;&lt;strong&gt;NOTICE&lt;/strong&gt;&lt;span&gt;: THIS SILENCERS CAN BE FITTED ALSO ON STREETFIGHTER 848&lt;/span&gt;&lt;/p&gt;</t>
  </si>
  <si>
    <t>&lt;p&gt;N.2 STELL RACING SILENCERS WITH REMOVABLE DB KILLER&lt;/p&gt;
&lt;p&gt;HIGH RESISTANT BLACK CERAMIC COATING STANDARD EQUIPMENT ON STEEL VERSION&lt;/p&gt;
&lt;p&gt;BLACK ENDCAPS ON FULL TITANIUM VERSION&lt;/p&gt;
&lt;p&gt;ORIGINAL SILENCERS WEIGHT: KG 8.5&lt;br&gt;ZARD STEEL SILENCERS WEIGHT: KG 4.4&lt;/p&gt;
&lt;p&gt;HARD INCREASE, COMPARED TO THE ORIGINAL EXHAUST SYSTEM, IN TERMS OF TORQUE AND POWER AT ANY RANGE (+2 HP FOR THE RACING VERSION).&lt;br&gt;ASTONISHING SOUND.&lt;/p&gt;</t>
  </si>
  <si>
    <t>&lt;p&gt;2&amp;gt;2 STEEL FULL KIT RACING WITH REMOVABLE DB KILLER&lt;/p&gt;
&lt;p&gt;ZARD FULL KIT STEEL WEIGHT: KG 5.7&lt;br&gt;ZARD FULL KIT TITANIUM WEIGHT: KG 4.5&lt;/p&gt;
&lt;p&gt;HARD INCREASE, COMPARED TO THE STANDARD EXHAUST SYSTEM, IN TERMS OF TORQUE AND POWER AT ANY RANGE (+4 HP IN RACING VERSION).&lt;/p&gt;
&lt;p&gt;ASTONISHING SOUND.&lt;/p&gt;</t>
  </si>
  <si>
    <t>&lt;p&gt;STEEL RACING 2&amp;gt;1&amp;gt;2&amp;nbsp;KIT WITH REMOVABLE DBKILLERS&lt;br&gt;&lt;strong&gt;&lt;/strong&gt;&lt;/p&gt;
&lt;p&gt;ORIGINAL EXHAUST WEIGHT: 9,5 KG&lt;br&gt;ZARD EXHAUST WEIGHT: 4,2 KG&lt;/p&gt;
&lt;p&gt;&lt;span&gt;THE INSTALLATION OF ZARD EXHAUST DOES NOT IMPLY&lt;br&gt;ANY MODIFICATION TO ECU&lt;/span&gt;&lt;/p&gt;
&lt;p&gt;KIT INCLUDES HEAT SHIELD, BACK CARBON FENDER&lt;br&gt;AND THE EXHAUST SERVO ELIMINATOR&lt;/p&gt;
&lt;p&gt;EXCLUSIVE DESIGN,&amp;nbsp;ASTONISHING SOUND.&lt;/p&gt;
&lt;p&gt;&lt;strong&gt;&lt;/strong&gt;&lt;/p&gt;</t>
  </si>
  <si>
    <t>&lt;div class="page-product-descr product-font-size text-font"&gt;
&lt;p&gt;STEEL RACING SILENCER WITH REMOVABLE DBKILLER + LINK PIPE TO ORIGINAL HEADERS&lt;/p&gt;
&lt;p&gt;ORIGINAL SILENCER WEIGHT: 5.6 KG&lt;br&gt;ZARD SILENCER WEIGHT: 2.3 KG&lt;/p&gt;
&lt;p&gt;ASTONISHING SOUND,&amp;nbsp;EXCLUSIVE DESIGN.&lt;/p&gt;
&lt;p&gt;FITTING KIT INCLUDED.&lt;/p&gt;
&lt;/div&gt;
&lt;p&gt;&lt;/p&gt;</t>
  </si>
  <si>
    <t>&lt;div class="page-product-descr product-font-size text-font"&gt;
&lt;p&gt;&lt;strong&gt;AVAILABLE ON DEMAND ONLY. DELIVERY 4 WORKING WEEKS FROM ORDER.&lt;/strong&gt;&lt;/p&gt;
&lt;p&gt;2&amp;gt;1 STEEL&amp;nbsp;RACING FULL KIT&amp;nbsp;&lt;/p&gt;
&lt;p&gt;ORIGINAL FULL KIT&amp;nbsp;WEIGHT: 8&amp;nbsp;KG&lt;br&gt;ZARD&amp;nbsp;&lt;span&gt;TITANIUM&amp;nbsp;&lt;/span&gt;FULL KIT&amp;nbsp;WEIGHT: 1.2 KG&lt;br&gt;ZARD STEEL FULL KIT&amp;nbsp;WEIGHT: 1.7 KG&lt;/p&gt;
&lt;p&gt;&lt;span&gt;A VERY SPECIAL EXHAUST TOTALLY HANDMADE AND WELDED BY OUR BEST WELDERS.&lt;/span&gt;&lt;/p&gt;
&lt;p&gt;FITTING KIT INCLUDED.&lt;/p&gt;
&lt;p&gt;&lt;span&gt;VERY LOUD&amp;nbsp;SOUND,&amp;nbsp;EXCLUSIVE DESIGN.&lt;/span&gt;&lt;/p&gt;
&lt;/div&gt;
&lt;p&gt;&lt;/p&gt;</t>
  </si>
  <si>
    <t>&lt;p&gt;STEEL RACING SILENCER WITH REMOVABLE DB KILLERS&lt;/p&gt;
&lt;p&gt;ORIGINAL SILENCER WEIGHT: 6 KG&lt;br&gt;ZARD SILENCER WEIGHT: 2.5 KG&amp;nbsp;&lt;/p&gt;
&lt;p&gt;BLACK AND SILVER WIRE MESH&amp;nbsp;IS SUPPLIED WITH HEAT SHIELD OF BLACK CERAMIC COATING VERSION&lt;/p&gt;
&lt;p&gt;&lt;span&gt;HOMOLOGATED-CATALYZED VERSION AVAILABLE AS OPTIONAL&lt;/span&gt;&lt;/p&gt;
&lt;p&gt;&lt;span&gt;ASTONISHING SOUND,&amp;nbsp;EXCLUSIVE DESIGN.&lt;/span&gt;&lt;/p&gt;
&lt;p&gt;N.B IMAGES SHOW STEEL SATIN SILENCER VERSION&lt;/p&gt;
&lt;p&gt;&lt;span&gt;THE INSTALLATION OF ZARD EXHAUST DOES NOT IMPLY ANY MODIFICATION TO ECU.&lt;/span&gt;&lt;br&gt;&lt;span&gt;THE BOX INCLUDES ALL PARTS FOR THE FITMENT OF ZARD EXHAUST.&lt;/span&gt;&lt;/p&gt;
&lt;p&gt;&lt;strong&gt;COMPATIBILITY MODEL:&lt;/strong&gt;&lt;/p&gt;
&lt;p&gt;SCRAMBLER URBAN ENDURO 800 CC, SCRAMBLER FULL THROTTLE 800 CC, SCRAMBLER ICON 800 CC, SCRAMBLER CLASSIC 800 CC, SCRAMBLER FLAT TRACK PRO 800 CC, CAFÈ RACER 800 CC.&lt;/p&gt;
&lt;p&gt;NOTICE: EURO 4 HOMOLOGATION AVAILABLE FROM THE END OF JULY.&lt;/p&gt;
&lt;p&gt;&lt;/p&gt;</t>
  </si>
  <si>
    <t>&lt;p&gt;'SCRAMBLER DUCATI REPLICA'&amp;nbsp;STEEL RACING HEADERS KIT COMPATIBLE WITH DUCATI MONSTER 797&lt;/p&gt;
&lt;p&gt;BOTH STEEL AND TITANIUM VERSION HAVE&amp;nbsp;'SNAKE TIG WELDINGS' HANDMADE BY OUR BEST WELDERS&lt;/p&gt;
&lt;p&gt;ORIGINAL HEADERS WEIGHT: 2.7 KG&lt;/p&gt;
&lt;p class="p1"&gt;&lt;span class="s1"&gt;&lt;b&gt;NOTE&lt;/b&gt;: HEAD OUTPUT NOT INCLUDED, PLEASE USE OEM&amp;nbsp;DUCATI ONE.&lt;/span&gt;&lt;/p&gt;
&lt;p&gt;ZARD TITANIUM HEADERS WEIGHT: 0.9 KG&lt;br&gt;ZARD STEEL HEADERS WEIGHT: 1.4 KG&lt;/p&gt;
&lt;p&gt;TO IMPROVE BIKE PERFORMANCES AND HAVE A COOL DESIGN,&lt;/p&gt;
&lt;p&gt;ZARD HEADERS KIT CAN BE COMBINED WITH&amp;nbsp;ONE OF OUR LOW MOUNTED SILENCERS.&lt;/p&gt;
&lt;p&gt;&lt;/p&gt;</t>
  </si>
  <si>
    <t>&lt;p&gt;2&amp;gt;1 STEEL RACING FULL KIT WITH REMOVABLE DB KILLER&lt;/p&gt;
&lt;p&gt;ORIGINAL FULL KIT WEIGHT: 8.5 KG&lt;br&gt;ZARD FULL KIT WEIGHT: 4.7 KG&lt;/p&gt;
&lt;p&gt;&lt;/p&gt;
&lt;p&gt;'BLACK CERAMIC COATING' OPTIONAL INCLUDES BOTH BLACK HEAT SHIELDS AND BLACK + SILVER WIRE MESHEES&lt;/p&gt;
&lt;p&gt;HARD INCREASE, COMPARED TO THE ORIGINAL EXHAUST SYSTEM, IN TERMS OF TORQUE AND POWER AT ANY RANGE.&lt;/p&gt;
&lt;p&gt;ASTONISHING SOUND.&lt;/p&gt;
&lt;p&gt;&lt;strong&gt;COMPATIBILITY MODEL:&lt;/strong&gt;&lt;/p&gt;
&lt;p&gt;SCRAMBLER URBAN ENDURO 800 CC, SCRAMBLER FULL THROTTLE 800 CC, SCRAMBLER ICON 800 CC, SCRAMBLER CLASSIC 800 CC, SCRAMBLER FLAT TRACK PRO 800 CC, CAFÈ RACER 800 CC.&lt;/p&gt;
&lt;p&gt;NOTICE: EURO 3 HOMOLOGATED VERSION VALID TILL M.Y. 2016&lt;/p&gt;
&lt;p&gt;&lt;/p&gt;</t>
  </si>
  <si>
    <t>&lt;p&gt;STEEL RACING SILENCER WITH REMOVABLE DB KILLERS&lt;/p&gt;
&lt;p&gt;CARBON ENDCAP&lt;/p&gt;
&lt;p&gt;HARD INCREASE, COMPARED TO THE ORIGINAL EXHAUST SYSTEM, IN TERMS OF TORQUE AND POWER AT ANY RANGE.&lt;/p&gt;
&lt;p&gt;ASTONISHING SOUND.&lt;/p&gt;
&lt;p&gt;&lt;strong&gt;COMPATIBILITY MODEL:&lt;/strong&gt;&lt;/p&gt;
&lt;p&gt;SCRAMBLER URBAN ENDURO 800 CC, SCRAMBLER FULL THROTTLE 800 CC, SCRAMBLER ICON 800 CC, SCRAMBLER CLASSIC 800 CC, SCRAMBLER FLAT TRACK PRO 800 CC, CAFÈ RACER 800 CC.&lt;/p&gt;
&lt;p&gt;NOTICE: EURO 4 HOMOLOGATION AVAILABLE FROM THE END OF JULY&lt;/p&gt;
&lt;p&gt;&lt;/p&gt;</t>
  </si>
  <si>
    <t>&lt;div class="page-product-descr product-font-size text-font"&gt;
&lt;p&gt;STEEL SILENCER RACING WITH REMOVABLE DB KILLER&lt;/p&gt;
&lt;p&gt;ORIGINAL SILENCER WEIGHT: 6KG&lt;/p&gt;
&lt;p&gt;ZARD RACING SILENCER WEIGHT: 1,7KG&lt;br&gt;ZARD HOMOLOGATED SILENCER WEIGHT: 1,8KG&lt;/p&gt;
&lt;p&gt;THE INSTALLATION OF ZARD EXHAUST DOES NOT IMPLY ANY MODIFICATION TO ECU.&lt;br&gt;THE BOX INCLUDES ALL PARTS FOR THE FITMENT OF ZARD EXHAUST.&lt;/p&gt;
&lt;p&gt;&lt;span&gt;HARD INCREASE, COMPARED TO THE ORIGINAL EXHAUST SYSTEM, IN TERMS OF TORQUE AND POWER AT ANY RANGE&lt;/span&gt;&lt;/p&gt;
&lt;p&gt;&lt;span&gt;ASTONISHING SOUND,&amp;nbsp;EXCLUSIVE DESIGN.&lt;/span&gt;&lt;/p&gt;
&lt;p&gt;&lt;strong&gt;COMPATIBILITY MODEL:&lt;/strong&gt;&lt;/p&gt;
&lt;p&gt;SCRAMBLER URBAN ENDURO 800 CC, SCRAMBLER FULL THROTTLE 800 CC, SCRAMBLER ICON 800 CC, SCRAMBLER CLASSIC 800 CC, SCRAMBLER FLAT TRACK PRO 800 CC, CAFÈ RACER 800 CC.&lt;/p&gt;
&lt;p&gt;ASTONISHING SOUND.&lt;/p&gt;
&lt;p&gt;NOTICE: EURO 4 HOMOLOGATION AVAILABLE FROM THE END OF JULY.&lt;/p&gt;
&lt;p&gt;&lt;/p&gt;
&lt;/div&gt;</t>
  </si>
  <si>
    <t>&lt;div class="page-product-descr product-font-size text-font"&gt;
&lt;p&gt;&lt;strong&gt;AVAILABLE ON DEMAND ONLY. DELIVERY 4 WORKING WEEKS FROM ORDER.&lt;/strong&gt;&lt;/p&gt;
&lt;p&gt;2&amp;gt;1 STEEL&amp;nbsp;RACING FULL KIT&amp;nbsp;&lt;/p&gt;
&lt;p&gt;ORIGINAL FULL KIT WEIGHT: 8.5 KG&lt;br&gt;ZARD FULL KIT WEIGHT: 1.4 KG&lt;/p&gt;
&lt;p&gt;&lt;span&gt;A VERY SPECIAL EXHAUST TOTALLY HANDMADE AND WELDED BY OUR BEST WELDERS.&lt;/span&gt;&lt;/p&gt;
&lt;p&gt;FITTING KIT INCLUDED.&lt;/p&gt;
&lt;p&gt;&lt;strong&gt;NOTE&lt;/strong&gt;: HEAD OUTPUT NOT INCLUDED, PLEASE USE OEM&amp;nbsp;DUCATI ONE.&lt;/p&gt;
&lt;p&gt;&lt;span&gt;LOUD&amp;nbsp;SOUND,&amp;nbsp;EXCLUSIVE DESIGN.&lt;/span&gt;&lt;/p&gt;
&lt;p&gt;&lt;strong&gt;COMPATIBILITY MODELS:&lt;/strong&gt;&lt;/p&gt;
&lt;p&gt;SCRAMBLER URBAN ENDURO 800 CC, SCRAMBLER FULL THROTTLE 800 CC, SCRAMBLER ICON 800 CC, SCRAMBLER CLASSIC 800 CC, SCRAMBLER FLAT TRACK PRO 800 CC, CAFÈ RACER 800 CC.&lt;/p&gt;
&lt;/div&gt;
&lt;p&gt;&lt;/p&gt;</t>
  </si>
  <si>
    <t>&lt;div class="page-product-descr product-font-size text-font"&gt;
&lt;p&gt;STEEL SILENCER RACING WITH REMOVABLE DB KILLER&lt;/p&gt;
&lt;p&gt;ORIGINAL SILENCER WEIGHT: 6KG&lt;br&gt;ZARD SILENCER WEIGHT: 1,7KG&lt;/p&gt;
&lt;p&gt;THE INSTALLATION OF ZARD EXHAUST DOES NOT IMPLY ANY MODIFICATION TO ECU.&lt;br&gt;THE BOX INCLUDES ALL PARTS FOR THE FITMENT OF ZARD EXHAUST.&lt;/p&gt;
&lt;p&gt;&lt;span&gt;HARD INCREASE, COMPARED TO THE ORIGINAL EXHAUST SYSTEM, IN TERMS OF TORQUE AND POWER AT ANY RANGE&lt;/span&gt;&lt;/p&gt;
&lt;p&gt;&lt;span&gt;ASTONISHING SOUND,&amp;nbsp;EXCLUSIVE DESIGN.&lt;/span&gt;&lt;/p&gt;
&lt;/div&gt;</t>
  </si>
  <si>
    <t>&lt;p&gt;STEEL RACING SILENCER WITH REMOVABLE DB KILLERS&lt;/p&gt;
&lt;p&gt;ORIGINAL SILENCER WEIGHT: 6 KG&lt;br&gt;ZARD SILENCER WEIGHT: 2.5 KG&amp;nbsp;&lt;/p&gt;
&lt;p&gt;BLACK AND SILVER WIRE MESH&amp;nbsp;IS SUPPLIED WITH HEAT SHIELD OF BLACK&lt;br&gt;CERAMIC COATING VERSION.&amp;nbsp;&lt;span&gt;HOMOLOGATED-CATALYZED VERSION AVAILABLE AS OPTIONAL&lt;/span&gt;&lt;/p&gt;
&lt;p&gt;&lt;span&gt;ASTONISHING SOUND,&amp;nbsp;EXCLUSIVE DESIGN.&lt;/span&gt;&lt;/p&gt;
&lt;p&gt;N.B IMAGES SHOW STEEL SATIN SILENCER VERSION&lt;/p&gt;
&lt;p&gt;&lt;span&gt;THE INSTALLATION OF ZARD EXHAUST DOES NOT IMPLY ANY MODIFICATION TO ECU.&lt;/span&gt;&lt;br&gt;&lt;span&gt;THE BOX INCLUDES ALL PARTS FOR THE FITMENT OF ZARD EXHAUST.&lt;/span&gt;&lt;/p&gt;
&lt;p&gt;&lt;strong&gt;&lt;/strong&gt;NOTE: DELIVERY IN 4 WEEKS FROM DATA ORDER&lt;/p&gt;
&lt;p&gt;&lt;/p&gt;
&lt;p&gt;&lt;/p&gt;</t>
  </si>
  <si>
    <t>&lt;p&gt;SLIP-ON EVO-R SILENCER WITH REMOVABLE DBKILLERS.&lt;/p&gt;
&lt;p&gt;A SPECIAL EXHAUST WITH INNOVATIVE DESIGN MADE BY HAND IN AISI 304 STAINLESS STEEL BY OUR BEST WELDERS.&lt;/p&gt;
&lt;p&gt;CARBON HEAT SHIELD.&lt;/p&gt;
&lt;p&gt;ORIGINAL SILENCER WEIGHT: 6 KG&lt;br&gt;ZARD SILENCER WEIGHT: 2.8 KG&lt;/p&gt;
&lt;p&gt;HARD INCREASE, COMPARED TO THE ORIGINAL EXHAUST SYSTEM, IN TERMS OF TORQUE AND POWER AT ANY RANGE.&lt;/p&gt;
&lt;p&gt;&lt;span&gt;ASTONISHING SOUND.&lt;/span&gt;&lt;/p&gt;
&lt;p&gt;&lt;a href="https://www.facebook.com/officinezard/videos/1712286135520771/"&gt;&lt;/a&gt;NOT COMPATIBLE WITH DESERT SLED VERSION.&lt;/p&gt;
&lt;p&gt;&lt;strong&gt;NOTICE&lt;/strong&gt;:&amp;nbsp;THE PHOTOS SHOW THE EVO-R SILENCER COMBINED WITH THE ZARD TITANIUM&amp;nbsp;HEADERS&amp;nbsp;(NOT INCLUDED&amp;nbsp;BUT PURCHASED SEPARATELY IN SNAKE WELDED VERSION)&lt;/p&gt;</t>
  </si>
  <si>
    <t>&lt;p&gt;STEEL ALUMINIUM BLACK SILENCER RACING WITH REMOVABLE DB KILLER&lt;/p&gt;
&lt;p&gt;ALUMINIUM HEAT-SHIELD&lt;/p&gt;
&lt;p&gt;ORIGINAL EXHAUST WEIGHT: KG 2.1&lt;br&gt;ZARD EXHAUST WEIGHT: KG 1.7&lt;/p&gt;
&lt;p&gt;HARD INCREASE, COMPARED TO THE ORIGINAL EXHAUST SYSTEM, IN TERMS OF TORQUE AND POWER AT ANY RANGE (+2 HP).&lt;/p&gt;
&lt;p&gt;ASTONISHING SOUND.&lt;/p&gt;</t>
  </si>
  <si>
    <t>&lt;p&gt;2&amp;gt;1 STEEL-CARBON FULL KIT RACING WITH REMOVABLE DB KILLER&lt;/p&gt;
&lt;p&gt;ALUMINIUM LASER CUTTED HEAT SHIELD AVAILABLE BLACK OR SILVER.&lt;/p&gt;
&lt;p&gt;HOMOLOGATED VERSION HAS BLACK STEEL ALUMINIUM SILENCER.&lt;/p&gt;
&lt;p&gt;ORIGINAL EXHAUST WEIGHT: KG 10.2&lt;br&gt;ZARD EXHAUST WEIGHT: KG 6.2&lt;/p&gt;
&lt;p&gt;THE KIT INCLUDES AN EXHAUST VALVE.&lt;/p&gt;
&lt;p&gt;HARD INCREASE, COMPARED TO THE ORIGINAL EXHAUST SYSTEM, IN TERMS OF TORQUE AND POWER AT ANY RANGE (+3 HP).&lt;/p&gt;
&lt;p&gt;HIGHT REDUCTION OF TEMPERATURE IN THE FOOTREST ZONE.&lt;/p&gt;
&lt;p&gt;ASTONISHING SOUND.&lt;/p&gt;
&lt;p&gt;&lt;strong&gt;NOTICE: FULL TITANIUM VERSION AVAILABLE ON DEMAND&lt;/strong&gt;&lt;/p&gt;</t>
  </si>
  <si>
    <t>&lt;p&gt;&lt;strong&gt;NOTES: FOR MULTISTRADA 620 IS AVAILABLE ONLY THE SILENCER&amp;nbsp;&lt;/strong&gt;&lt;/p&gt;
&lt;p&gt;STEEL HEADERS KIT + SILENCERS 2&amp;gt;1&amp;gt;2 RACING&lt;/p&gt;
&lt;p&gt;CARBON HEAT SHIELD BY DEFAULT&lt;br&gt;STELL LICENCE PLATE STAND AND BLINKERS STAND&lt;/p&gt;
&lt;p&gt;ZARD SILENCER WEIGHT: KG 5.5&lt;br&gt;ZARD MANIFOLD WEIGHT: KG 2.2&lt;/p&gt;
&lt;p&gt;HARD INCREASE, COMPARED TO THE ORIGINAL EXHAUST SYSTEM, IN TERMS OF TORQUE AND POWER AT ANY RANGE (+2 HP).&lt;/p&gt;
&lt;p&gt;ASTONISHING SOUND.&lt;/p&gt;</t>
  </si>
  <si>
    <t>&lt;p&gt;STEEL SILENCER RACING&lt;/p&gt;
&lt;p&gt;CARBON HEAT SHIELD&lt;br&gt;STEEL LICENCE PLATE STAND AND BLINKERS STAND&lt;/p&gt;
&lt;p&gt;ZARD SILENCER WEIGHT: KG 5.5&lt;br&gt;HARD INCREASE, COMPARED TO THE ORIGINAL EXHAUST SYSTEM, IN TERMS OF TORQUE AND POWER AT ANY RANGE (+2 HP).&lt;/p&gt;
&lt;p&gt;ASTONISHING SOUND.&lt;/p&gt;</t>
  </si>
  <si>
    <t>&lt;p&gt;STAINLESS STEEL RACING SLIP-ON WITH TITANIUM&lt;br&gt;SLEEVE SILENCER AND REMOVABLE DB KILLER&lt;/p&gt;
&lt;p&gt;EURO 4 HOMOLOGATED VERSION AVAILABLE AS OPTIONAL&lt;br&gt; &lt;br&gt;CARBON ENDCAP AND CARBON HEAT SHIELD INCLUDED&lt;br&gt; &lt;br&gt;ORIGINAL EXHAUST WEIGHT: 2.6 KG&lt;br&gt;ZARD EXHAUST WEIGHT: 1.3 KG&lt;/p&gt;
&lt;p&gt;THE INSTALLATION OF ZARD EXHAUST DOES NOT&lt;br&gt;IMPLY ANY MODIFICATION TO ECU.&lt;/p&gt;
&lt;p&gt;&lt;span&gt;EXCLUSIVE DESIGN,&amp;nbsp;ASTONISHING SOUND.&lt;/span&gt;&lt;/p&gt;</t>
  </si>
  <si>
    <t>&lt;p&gt;&lt;a href="/en/posts/index/ducati-panigale-v4-exhaust-24-237/"&gt;&lt;span style="color: #ff0000;"&gt;&lt;strong&gt;THE PERFECT MATCH BETWEEN TECHNOLOGY AND ITALIAN STYLE,&lt;br&gt;READ MORE ABOUT&amp;nbsp;ZARD&amp;nbsp;FOR DUCATI PANIGALE V4,&lt;br&gt;TESTED&amp;nbsp;BY DARIO MARCHETTI!&lt;/strong&gt;&lt;/span&gt;&lt;/a&gt;&lt;/p&gt;
&lt;p&gt;STAINLESS STEEL SLIP-ON KIT WITH TITANIUM SLEEVE&lt;br&gt;SILENCERS AND CARBON HEAT SHIELDS&lt;/p&gt;
&lt;p&gt;ORIGINAL EXHAUST WEIGHT:&amp;nbsp;10.1&amp;nbsp;KG&lt;br&gt;&lt;span&gt;ZARD EXHAUST WEIGHT:&amp;nbsp;5 KG&lt;/span&gt;&lt;/p&gt;
&lt;p&gt;&lt;span&gt;THE INSTALLATION OF ZARD EXHAUST DOES NOT IMPLY ANY&lt;br&gt;MODIFICATION TO ECU.&amp;nbsp;&lt;/span&gt;KIT INCLUDES&amp;nbsp;&lt;span&gt;EXHAUST SERVO ELIMINATOR.&lt;/span&gt;&lt;/p&gt;</t>
  </si>
  <si>
    <t>&lt;p&gt;#DM5 RACING KIT WITH REMOVABLE DB KILLERS.&lt;/p&gt;
&lt;p&gt;THE KIT IS COMPOSED BY STAINLESS STEEL HEADERS&lt;br&gt;AND TITANIUM SILENCERS.&lt;br&gt;FULL TITANIUM VERSION AVAILABLE AS OPTIONAL.&lt;/p&gt;
&lt;p&gt;ORIGINAL EXHAUST WEIGHT: 9.6 KG&lt;br&gt;ZARD EXHAUST WEIGHT: 5.1&lt;span&gt;&amp;nbsp;&lt;/span&gt;&lt;br&gt;POWER: +16 CV&lt;/p&gt;
&lt;p&gt;&lt;span&gt;THE INSTALLATION OF ZARD EXHAUST DOES NOT IMPLY ANY&lt;br&gt;MODIFICATION TO ECU.&lt;br&gt;&lt;br&gt;&lt;/span&gt;&lt;span&gt;KIT INCLUDES: AIR FILTER SPRINT FILTER®,&amp;nbsp;&lt;/span&gt;&lt;span&gt;EXHAUST SERVO ELIMINATOR&lt;br&gt;AND RACING UNDERBELLY (WHITE).&lt;/span&gt;&lt;/p&gt;
&lt;p&gt;&lt;span style="color: #ff0000;"&gt;&lt;strong&gt;FOR FITTING ZARD DM5 EXHAUST, YOU MUST KEEP&lt;br&gt;DUCATI OEM PRIMARY PIPES.&lt;/strong&gt;&lt;/span&gt;&lt;/p&gt;
&lt;p&gt;&lt;strong&gt;NOTE&lt;/strong&gt;: PICTURES SHOW THE FIRST DM5 VERSION WITH&lt;br&gt;WELDED ENDCAPS ON SILENCERS.&lt;br&gt;MORE PICTURES&amp;nbsp;WILL BE AVAILABLE SOON!&lt;/p&gt;
&lt;p&gt;&lt;span&gt;AVAILABLE ON DEMAND ONLY. DELIVERY 4 WORKING WEEKS FROM ORDER.&lt;/span&gt;&lt;/p&gt;</t>
  </si>
  <si>
    <t>&lt;p&gt;STAINLESS STEEL RACING SLIP-ON WITH TITANIUM&lt;br&gt;SLEEVE SILENCER AND REMOVABLE DB KILLER&lt;/p&gt;
&lt;p&gt;CARBON ENDCAP INCLUDED&lt;br&gt; &lt;br&gt;ORIGINAL EXHAUST WEIGHT: 2.6 KG&lt;br&gt;ZARD EXHAUST WEIGHT: 1 KG&lt;/p&gt;
&lt;p&gt;THE INSTALLATION OF ZARD EXHAUST DOES NOT&lt;br&gt;IMPLY ANY MODIFICATION TO ECU.&lt;/p&gt;
&lt;p&gt;&lt;span&gt;EXCLUSIVE DESIGN,&amp;nbsp;ASTONISHING SOUND.&lt;/span&gt;&lt;/p&gt;</t>
  </si>
  <si>
    <t>&lt;p&gt;N.2 STEEL CARBON SILENCERS RACING WITH REMOVABLE DB KILLER&lt;/p&gt;
&lt;p&gt;ZARD SILENCERS WEIGHT: KG 3.8&lt;br&gt;ZARD MANIFOLD WEIGHT: KG 1.7&lt;/p&gt;
&lt;p&gt;HARD INCREASE, COMPARED TO THE ORIGINAL EXHAUST SYSTEM, IN TERMS OF TORQUE AND POWER AT ANY RANGE (+2.5 FOR THE SOLE MUFFLERS, + 5 HP FOR THE FULL KITS).&lt;/p&gt;
&lt;p&gt;ASTONISHING SOUND.&lt;/p&gt;</t>
  </si>
  <si>
    <t>&lt;p&gt;STEEL-CARBON SILENCERS RACING WITH REMOVABLE DB KILLER&lt;/p&gt;
&lt;p&gt;ZARD SILENCERS WEIGHT: KG 3.8&lt;br&gt;ZARD MANIFOLD WEIGHT: KG 1.7&lt;/p&gt;
&lt;p&gt;HARD INCREASE, COMPARED TO THE STANDARD EXHAUST SYSTEM, IN TERMS OF TORQUE AND POWER AT ANY RANGE (+2.5 FOR THE SOLE MUFFLERS, + 5 HP FOR THE FULL KITS).&lt;/p&gt;
&lt;p&gt;ASTONISHING SOUND.&lt;/p&gt;</t>
  </si>
  <si>
    <t>&lt;p&gt;HEADER KIT + HIGHT MOUNTED SILENCERS STEEL-CARBON RACING WITH REMOVABLE DB KILLER&lt;/p&gt;
&lt;p&gt;ZARD FULL KIT WEIGHT: KG 3.8&lt;br&gt;ZARD MANIFOLD WEIGHT: KG 1.7&lt;/p&gt;
&lt;p&gt;HARD INCREASE, COMPARED TO THE ORIGINAL EXHAUST SYSTEM, IN TERMS OF TORQUE AND POWER AT ANY RANGE (+2.5 FOR THE SOLE MUFFLERS, + 5 HP FOR THE FULL KITS).&lt;/p&gt;
&lt;p&gt;ASTONISHING SOUND.&lt;/p&gt;</t>
  </si>
  <si>
    <t>&lt;p&gt;STEEL HEADERS KIT RACING FOR HIGHT MOUNTED ZARD LH-RH&amp;nbsp;SILENCERS&lt;/p&gt;
&lt;p&gt;ZARD HEADERS WEIGHT: KG 1.7&lt;/p&gt;
&lt;p&gt;HARD INCREASE, COMPARED TO THE ORIGINAL EXHAUST SYSTEM, IN TERMS OF TORQUE AND POWER AT ANY RANGE (+2.5 FOR THE SOLE MUFFLERS, + 5 HP FOR THE FULL KITS).&lt;/p&gt;
&lt;p&gt;ASTONISHING SOUND.&lt;/p&gt;</t>
  </si>
  <si>
    <t>&lt;p&gt;2&amp;gt;1&amp;gt;2 STEEL RACING FULL KIT.&lt;/p&gt;
&lt;p&gt;&lt;span&gt;A VERY SPECIAL EXHAUST TOTALLY HANDMADE AND WELDED BY OUR BEST WELDERS.&lt;/span&gt;&lt;/p&gt;
&lt;p&gt;ORIGINAL EXHAUST WEIGHT: 12 KG&lt;br&gt;ZARD FULL KIT WEIGHT: 8 KG&lt;/p&gt;
&lt;p&gt;&lt;span&gt;THE INSTALLATION OF ZARD EXHAUST DOES NOT IMPLY ANY MODIFICATION TO ECU.&lt;/span&gt;&lt;/p&gt;
&lt;p&gt;&lt;span&gt;HARD INCREASE, COMPARED TO THE ORIGINAL EXHAUST SYSTEM, IN TERMS OF TORQUE AND POWER AT ANY RANGE.&lt;/span&gt;&lt;/p&gt;
&lt;p&gt;ASTONISHING SOUND,&amp;nbsp;EXCLUSIVE DESIGN.&lt;/p&gt;
&lt;p&gt;FITTING KIT INCLUDED.&lt;/p&gt;
&lt;p&gt;PHOTOS BY ARRICK MAURICE&lt;/p&gt;</t>
  </si>
  <si>
    <t>&lt;p&gt;STEEL-CARBON SILENCERS RACING WITH REMOVABLE DB KILLER&lt;/p&gt;
&lt;p&gt;CARBON HEAT SHIELD&lt;/p&gt;
&lt;p&gt;ALUMINIUM BLACK MACHINED FROM SOLID END-CAP.&lt;/p&gt;
&lt;p&gt;ORIGINAL EXHAUST WEIGHT: 5.8 KG&lt;br&gt;ZARD SILENCERS WEIGHT: KG 3.3&lt;/p&gt;
&lt;p&gt;HARD INCREASE, COMPARED TO THE ORIGINAL EXHAUST SYSTEM, IN TERMS OF TORQUE AND POWER AT ANY RANGE.&lt;/p&gt;
&lt;p&gt;ASTONISHING SOUND.&lt;/p&gt;</t>
  </si>
  <si>
    <t>&lt;p&gt;CARBON RACING SILENCER WITH REMOVABLE DB KILLER.&lt;/p&gt;
&lt;p&gt;CARBON END CAP.&lt;/p&gt;
&lt;p&gt;CARBON HEAT SHIELDS.&lt;/p&gt;
&lt;p&gt;ORIGINAL SILENCER WEIGHT: 5,3KG&lt;br&gt;ZARD SILENCER WEIGHT: 2KG&lt;/p&gt;
&lt;p&gt;HARD INCREASE, COMPARED TO THE ORIGINAL EXHAUST SYSTEM, IN TERMS OF TORQUE AND POWER AT ANY RANGE.&lt;/p&gt;
&lt;p&gt;ASTONISHING SOUND.&lt;/p&gt;</t>
  </si>
  <si>
    <t>&lt;div class="page-product-descr product-font-size text-font"&gt;
&lt;p&gt;&lt;strong&gt;AVAILABLE ON DEMAND ONLY. DELIVERY 4 WORKING WEEKS FROM ORDER.&lt;/strong&gt;&lt;/p&gt;
&lt;p&gt;2&amp;gt;1 STEEL&amp;nbsp;RACING FULL KIT&amp;nbsp;&lt;/p&gt;
&lt;p&gt;ORIGINAL FULL KIT WEIGHT: 8.5 KG&lt;br&gt;ZARD FULL KIT WEIGHT: 1.4 KG&lt;/p&gt;
&lt;p&gt;&lt;span&gt;A VERY SPECIAL EXHAUST TOTALLY HANDMADE AND WELDED BY OUR BEST WELDERS.&lt;/span&gt;&lt;/p&gt;
&lt;p&gt;FITTING KIT INCLUDED.&lt;/p&gt;
&lt;p&gt;&lt;strong&gt;NOTE&lt;/strong&gt;: HEAD OUTPUT NOT INCLUDED, PLEASE USE OEM&amp;nbsp;DUCATI ONE.&lt;/p&gt;
&lt;p&gt;ALL THE PHOTOS SHOW THE FULL TITANIUM VERSION&lt;/p&gt;
&lt;p&gt;&lt;span&gt;LOUD&amp;nbsp;SOUND,&amp;nbsp;EXCLUSIVE DESIGN.&lt;/span&gt;&lt;/p&gt;
&lt;/div&gt;</t>
  </si>
  <si>
    <t>&lt;p&gt;STEEL RACING SILENCER WITH REMOVABLE DB KILLERS&lt;/p&gt;
&lt;p&gt;CARBON ENDCAP&lt;/p&gt;
&lt;p&gt;HARD INCREASE, COMPARED TO THE ORIGINAL EXHAUST SYSTEM, IN TERMS OF TORQUE AND POWER AT ANY RANGE.&lt;/p&gt;
&lt;p&gt;ASTONISHING SOUND.&lt;/p&gt;
&lt;p&gt;&lt;strong&gt;&lt;/strong&gt;&lt;/p&gt;</t>
  </si>
  <si>
    <t>&lt;div class="page-product-descr product-font-size text-font"&gt;
&lt;p&gt;STEEL SILENCER RACING WITH REMOVABLE DB KILLER&lt;/p&gt;
&lt;p&gt;ORIGINAL SILENCER WEIGHT: 6KG&lt;br&gt;ZARD SILENCER WEIGHT: 1,7KG&lt;/p&gt;
&lt;p&gt;THE INSTALLATION OF ZARD EXHAUST DOES NOT IMPLY ANY MODIFICATION TO ECU.&lt;br&gt;THE BOX INCLUDES ALL PARTS FOR THE FITMENT OF ZARD EXHAUST.&lt;/p&gt;
&lt;p&gt;&lt;span&gt;HARD INCREASE, COMPARED TO THE ORIGINAL EXHAUST SYSTEM, IN TERMS OF TORQUE AND POWER AT ANY RANGE&lt;/span&gt;&lt;/p&gt;
&lt;p&gt;&lt;span&gt;ASTONISHING SOUND,&amp;nbsp;EXCLUSIVE DESIGN.&lt;/span&gt;&lt;/p&gt;
&lt;p&gt;&lt;strong&gt;&lt;/strong&gt;&lt;/p&gt;
&lt;/div&gt;</t>
  </si>
  <si>
    <t>&lt;p&gt;N.2 STEEL-ALUMINIUM BLACK SILENCERS RACING WITH REMOVABLE DB KILLER&lt;/p&gt;
&lt;p&gt;ORIGINAL SILENCERS WEIGHT: KG 6.6&lt;br&gt;ZARD HOMOLOGATED CARBON SILENCERS WEIGHT: KG 3.9&lt;/p&gt;
&lt;p&gt;HARD INCREASE, COMPARED TO THE ORIGINAL EXHAUST SYSTEM, IN TERMS OF TORQUE AND POWER (+2.5 HP) AT ANY RANGE.&lt;/p&gt;
&lt;p&gt;ASTONISHING SOUND.&lt;/p&gt;</t>
  </si>
  <si>
    <t>&lt;p&gt;N.2 STEEL SILENCERS RACING WITH REMOVABLE DB KILLER&lt;/p&gt;
&lt;p&gt;ORIGINAL SILENCERS WEIGHT: KG 6.6&lt;br&gt;ZARD SILENCERS WEIGHT: KG 4&lt;/p&gt;
&lt;p&gt;HARD INCREASE, COMPARED TO THE ORIGINAL EXHAUST SYSTEM, IN TERMS OF TORQUE AND POWER (+2.5 HP) AT ANY RANGE.&lt;/p&gt;
&lt;p&gt;ASTONISHING SOUND.&lt;/p&gt;</t>
  </si>
  <si>
    <t>&lt;p&gt;STEEL-CARBON SILENCER WITH REMOVABLE DB KILLER&lt;/p&gt;
&lt;p&gt;CARBON HEAT SHIELD.&lt;/p&gt;
&lt;p&gt;HARD INCREASE, COMPARED TO THE ORIGINAL EXHAUST SYSTEM, IN TERMS OF TORQUE AND POWER AT ANY RANGE.&lt;/p&gt;
&lt;p&gt;ASTONISHING SOUND.&lt;/p&gt;</t>
  </si>
  <si>
    <t>&lt;p&gt;STAINLESS STEEL RACING SLIP-ONS WITH SANDBLASTED&lt;br&gt;FINISH AND REMOVABLE DBKILLERS.&lt;/p&gt;
&lt;p&gt;EURO 4 HOMOLOGATED VERSION AVAILABLE AS OPTIONAL,&lt;br&gt;BLACK&amp;nbsp;END-CAPS INCLUDED.&lt;/p&gt;
&lt;p&gt;&lt;span&gt;&lt;strong&gt;NOTICE&lt;/strong&gt;: THE PACKAGE INCLUDE CARBON SIDE COVER&lt;br&gt;&lt;/span&gt;&lt;span&gt;THAT PERFECTLY FOLLOW THE SIDE PANELS.&lt;/span&gt;&lt;/p&gt;
&lt;p&gt;ORIGINAL&amp;nbsp;EXHAUSTS WEIGHT: 4.8 KG&lt;br&gt;ZARD SLIP-ONS WEIGHT:&amp;nbsp;3 KG&lt;/p&gt;
&lt;p&gt;&lt;span&gt;THE INSTALLATION OF ZARD EXHAUST FOR DUCATI&lt;br&gt;HYPERMOTARD 950 AND DUCATI HYPERMOTARD 950 SP&lt;br&gt;DOES NOT&amp;nbsp;&lt;/span&gt;&lt;span&gt;IMPLY ANY MODIFICATION TO ECU&lt;/span&gt;&lt;/p&gt;
&lt;p&gt;SIGNIFICANT&amp;nbsp;INCREASE, COMPARED TO THE ORIGINAL EXHAUST SYSTEM,&lt;br&gt;&lt;span&gt;IN TERMS OF TORQUE AND POWER AT ANY RANGE, ASTONISHING SOUND.&lt;/span&gt;&lt;/p&gt;</t>
  </si>
  <si>
    <t>&lt;p&gt;STAINLESS STEEL RACING SLIP-ONS WITH SANDBLASTED&lt;br&gt;FINISH AND REMOVABLE DBKILLERS.&lt;/p&gt;
&lt;p&gt;EURO 4 HOMOLOGATED VERSION AVAILABLE AS OPTIONAL,&lt;br&gt;CARBON END-CAPS INCLUDED.&lt;/p&gt;
&lt;p&gt;&lt;span&gt;&lt;strong&gt;NOTICE&lt;/strong&gt;: THE PACKAGE INCLUDE CARBON SIDE COVER&lt;br&gt;&lt;/span&gt;&lt;span&gt;THAT PERFECTLY FOLLOW THE SIDE PANELS.&lt;/span&gt;&lt;/p&gt;
&lt;p&gt;ORIGINAL&amp;nbsp;EXHAUSTS WEIGHT: 4.8 KG&lt;br&gt;ZARD SLIP-ONS WEIGHT: 2.6 KG&lt;/p&gt;
&lt;p&gt;&lt;span&gt;THE INSTALLATION OF ZARD EXHAUST FOR DUCATI&lt;br&gt;HYPERMOTARD 950 AND DUCATI HYPERMOTARD 950 SP&lt;br&gt;DOES NOT&amp;nbsp;&lt;/span&gt;&lt;span&gt;IMPLY ANY MODIFICATION TO ECU&lt;/span&gt;&lt;/p&gt;
&lt;p&gt;SIGNIFICANT&amp;nbsp;INCREASE, COMPARED TO THE ORIGINAL EXHAUST SYSTEM,&lt;br&gt;&lt;span&gt;IN TERMS OF TORQUE AND POWER AT ANY RANGE, ASTONISHING SOUND.&lt;/span&gt;&lt;/p&gt;</t>
  </si>
  <si>
    <t>&lt;p&gt;2&amp;gt;1 STEEL FULL KIT RACING WITH REMOVABLE DB KILLER&lt;/p&gt;
&lt;p&gt;CARBONIUM END-CAP AND HEAT-SHIELD&amp;nbsp;&lt;/p&gt;
&lt;p&gt;ORIGINAL FULL KIT WEIGHT (WITH NO LICENCE PLATE STAND): KG 5.6&lt;br&gt;ZARD STEEL FULL KIT WEIGHT: KG 3.1&lt;br&gt;ZARD TITANIUM FULL KIT WEIGHT: KG 1.9&lt;br&gt;ORIGINAL MANIFOLD WEIGHT: KG 5&lt;br&gt;ZARD HEADERS WEIGHT (NO CAT): KG 2.75&lt;/p&gt;
&lt;p&gt;HARD INCREASE, COMPARED TO THE ORIGINAL EXHAUST SYSTEM, IN TERMS OF TORQUE AND POWER AT ANY RANGE.&lt;/p&gt;
&lt;p&gt;ASTONISHING SOUND.&lt;/p&gt;</t>
  </si>
  <si>
    <t>&lt;p&gt;STEEL-CARBON SILENCER RACING WITH REMOVABLE DB KILLER&lt;/p&gt;
&lt;p&gt;ORIGINAL SILENCER WEIGHT&amp;nbsp;(WITHOUT LICENCE PLATE STAND): KG 6.6&lt;br&gt;ZARD SILENCER WEIGHT: KG 3.8&lt;br&gt;ORIGINAL MUFFLER WEIGHT: KG 5&lt;/p&gt;
&lt;p&gt;WEIGHT OF THE ZARD MANIFOLD (NO CAT): KG 2.75&lt;/p&gt;
&lt;p&gt;CARBON HEAT-SHIELDS.&lt;/p&gt;
&lt;p&gt;THE EXHAUST INCLUDES THE ZARD LICENCE-PLATE BRACKET, THE FITTING KIT FOR THE ORIGINAL ONE AND THE&amp;nbsp;&lt;span class="s1"&gt;SIDE CARBON PANELS&lt;/span&gt;&lt;/p&gt;
&lt;p&gt;HARD INCREASE, COMPARED TO THE ORIGINAL EXHAUST SYSTEM, IN TERMS OF TORQUE AND POWER AT ANY RANGE.&lt;/p&gt;
&lt;p&gt;ASTONISHING SOUND.&lt;/p&gt;</t>
  </si>
  <si>
    <t>&lt;p&gt;STEEL-ALUMINIUM SILENCERS RACING WITH REMOVABLE DB KILLER&lt;/p&gt;
&lt;p&gt;ORIGINAL SILENCERS WEIGHT: KG 5.6&lt;br&gt;ZARD ALUMINIUM SILENCERS WEIGHT: KG 4&lt;/p&gt;
&lt;p&gt;ZARD CARBON SILENCERS WEIGHT: KG 3.7&lt;/p&gt;
&lt;p&gt;ORIGINAL MUFFLERS WEIGHT: KG 5&lt;/p&gt;
&lt;p&gt;WEIGHT OF THE ZARD MANIFOLD: KG 2.75&lt;/p&gt;
&lt;p&gt;CARBON HEAT-SHIELDS&lt;/p&gt;
&lt;p&gt;THE EXHAUST INCLUDES THE ZARD LICENCE-PLATE BRACKET, THE FITTING KIT FOR THE ORIGINAL ONE AND THE SIDE CARBON PANELS&lt;/p&gt;
&lt;p&gt;HARD INCREASE, COMPARED TO THE ORIGINAL EXHAUST SYSTEM, IN TERMS OF TORQUE AND POWER AT ANY RANGE.&lt;/p&gt;
&lt;p&gt;ASTONISHING SOUND.&lt;/p&gt;</t>
  </si>
  <si>
    <t>&lt;p&gt;STEEL RACING SILENCERS WITH REMOVABLE DBKILLER&lt;/p&gt;
&lt;p&gt;SILENCERS UNICUE DESIGN IS DUE TO 'SNAKE WELDING' TOTALLY HANDMADE&lt;/p&gt;
&lt;p&gt;HARD INCREASE, COMPARED TO THE ORIGINAL EXHAUST SYSTEM, IN TERMS OF TORQUE AND POWER AT ANY RANGE.&lt;/p&gt;
&lt;p&gt;ASTONISHING SOUND.&lt;/p&gt;</t>
  </si>
  <si>
    <t>&lt;p&gt;STEEL SILENCER RACING&lt;/p&gt;
&lt;p&gt;LIMITED PARTS, DELIVERED IN A PRECIOUS WOODEN BOX WITH LASER CUTTED ZARD LOGO&lt;/p&gt;
&lt;p&gt;ZARD STEEL SILENCER WEIGHT: 2,9 KG&lt;/p&gt;
&lt;p&gt;ZARD TITANIUM SILENCER WEIGHT: 2,9 KG&lt;/p&gt;
&lt;p&gt;HARD INCREASE, COMPARED TO THE STANDARD EXHAUST SYSTEM, IN TERMS OF TORQUE AND POWER AT ANY RANGE.&lt;/p&gt;
&lt;p&gt;ASTONISHING SOUND.&lt;/p&gt;
&lt;p&gt;N.B. FULL TITANIUM SILENCER IS AVAILABLE IN RACING VERSION ONLY&lt;/p&gt;</t>
  </si>
  <si>
    <t>&lt;p&gt;2&amp;gt;1 STEEL RACING HEADERS KIT&amp;nbsp;&lt;/p&gt;
&lt;p&gt;ZARD STEEL COLLECTOR KIT WEIGHT : 2.4 KG&lt;/p&gt;
&lt;p&gt;ZARD TITANIUM COLLECTOR KIT WEIGHT : 1.7 KG&lt;/p&gt;
&lt;p&gt;HEADERS KIT NEEDS TO BE FITTED WITH OEM HEAD-OUTLET OF HORIZONTAL PIPE AND OEM HEAT SHIELD&lt;/p&gt;
&lt;p&gt;HARD INCREASE, COMPARED TO THE ORIGINAL EXHAUST SYSTEM, IN TERMS OF TORQUE AND POWER AT ANY RANGE.&lt;/p&gt;
&lt;p&gt;ASTONISHING SOUND.&lt;/p&gt;
&lt;p&gt;&lt;strong&gt;NOTICE: COMPATIBLE WITH OEM SILENCER&lt;/strong&gt;&lt;/p&gt;</t>
  </si>
  <si>
    <t>&lt;p&gt;STEEL SILENCER RACING&amp;nbsp;&lt;/p&gt;
&lt;p&gt;MACHINED FROM SOLID ALUMINIUM END-CAP&amp;nbsp;&lt;/p&gt;
&lt;p&gt;BLACK STEEL HEAT SHIELD&lt;/p&gt;
&lt;p&gt;CARBON COVER IS AVAILABLE AS OPTIONAL AND CAN BE FITTED ON BLACK STEEL SILENCER ONLY&lt;/p&gt;
&lt;p&gt;ZARD EXHAUST WEIGHT: 4 KG&lt;/p&gt;
&lt;p&gt;THE SILENCER CAN BE FITTED ON ORIGINAL DUCATI HEADERS OR ON ZARD COLLECTOR TO HAVE BEST PERFORMANCES AND UNIQUE DESIGN.&lt;/p&gt;
&lt;p&gt;IL SILENZIATORE PUO' ESSERE MONTATO SUL COLLETTORE ORIGINALE DUCATI OPPURE SUL COLLETTORE ZARD DEDICATO, PER UN NOTEVOLE AUMENTO DELLE PERFORMANCE E UN'ESTETICA ACCATTIVANTE.&lt;/p&gt;
&lt;p&gt;HARD INCREASE, COMPARED TO THE ORIGINAL EXHAUST SYSTEM, IN TERMS OF TORQUE AND POWER AT ANY RANGE.&lt;/p&gt;
&lt;p&gt;ASTONISHING SOUND.&lt;/p&gt;
&lt;p&gt;&lt;/p&gt;</t>
  </si>
  <si>
    <t>&lt;p&gt;2&amp;gt;1&amp;gt;2 STEEL-ALUMINIUM BLACK FULL KIT RACING WITH REMOVABLE DB KILLER&lt;/p&gt;
&lt;p&gt;THE EXHAUST CAN BE FITTED ONLY MODIFYING ORIGINAL TAIL OR USING OPTIONAL ZARD RESIN TAIL.&lt;/p&gt;
&lt;p&gt;ORIGINAL FULL KIT WEIGHT: KG 10&lt;br&gt;ZARD STEEL-ALUMINIUM WEIGHT: KG 6.2&lt;br&gt;HEADERS DIAMETERS: 60.3 TO 63.5mm&lt;/p&gt;
&lt;p&gt;CARBON END-CAPS.&lt;/p&gt;
&lt;p&gt;HARD INCREASE, COMPARED TO THE ORIGINAL EXHAUST SYSTEM, IN TERMS OF TORQUE AND POWER (+20 HP) AT MEDIUM RANGE.&lt;/p&gt;
&lt;p&gt;ASTONISHING SOUND.&lt;/p&gt;
&lt;p&gt;&lt;/p&gt;</t>
  </si>
  <si>
    <t>&lt;p&gt;2&amp;gt;1&amp;gt;2 STEEL RACING FULL KIT&lt;/p&gt;
&lt;p&gt;ORIGINAL EXHAUST WEIGHT: 10 KG&lt;br&gt;STEEL FULL KIT ZARD WEIGHT: 6.6 KG&lt;br&gt;TITANIUM FULL KIT ZARD WEIGHT: 4.5 KG&lt;/p&gt;
&lt;p&gt;HARD INCREASE, COMPARED TO THE ORIGINAL EXHAUST SYSTEM, IN TERMS OF TORQUE AND POWER AT ANY RANGE.&lt;/p&gt;
&lt;p&gt;FITTING KIT INCLUDED.&lt;/p&gt;
&lt;p&gt;NOTE: ORIGINAL HORIZONTAL PIPE HAS NOT BE REMOVED, BACK HEADER PIPE IS STEEL&lt;/p&gt;
&lt;p&gt;&lt;span&gt;THE INSTALLATION OF ZARD EXHAUST DOES NOT IMPLY ANY MODIFICATION TO ECU.&lt;/span&gt;&lt;br&gt;&lt;span&gt;THE BOX INCLUDES ALL PARTS FOR THE FITMENT OF ZARD EXHAUST.&lt;/span&gt;&lt;/p&gt;
&lt;p&gt;&lt;span&gt;'GOLD' VERSION END CAPS HAVE A GOLD FINISH, BLACK END CAPS ARE PAINTED WITH HIGH TEMPERATURE RESISTANT COATING FORMULATED TO WITHSTAND INTERNAL EXHAUST GAS TEMPERATURES OF OVER 2,000 DEGREES FAHRENHEIT.&amp;nbsp;&lt;/span&gt;&lt;/p&gt;</t>
  </si>
  <si>
    <t>&lt;p&gt;2&amp;gt;1&amp;gt;2 TITANIUM RACING FULL KIT&lt;/p&gt;
&lt;p&gt;A VERY SPECIAL EXHAUST TOTALLY HANDMADE AND WELDED BY OUR BEST WELDERS.&lt;/p&gt;
&lt;p&gt;ORIGINAL EXHAUST WEIGHT: 10 KG&lt;br&gt;ZARD EXHAUST WEIGHT: 4.2 KG&lt;/p&gt;
&lt;p&gt;HARD INCREASE, COMPARED TO THE ORIGINAL EXHAUST SYSTEM, IN TERMS OF TORQUE AND POWER AT ANY RANGE.&lt;/p&gt;
&lt;p&gt;FITTING KIT INCLUDED.&lt;/p&gt;
&lt;p&gt;&lt;strong&gt;NOTICE: AVAILABLE ON DEMAND ONLY. DELIVERY 4 WORKING WEEKS FROM ORDER.&lt;/strong&gt;&lt;/p&gt;
&lt;p&gt;&lt;strong&gt;FOR A PROPER FITMENT OF THE EXHAUST YOU NEED TO REMOVE THE LOWER FAIRINGS (PLEASE SEE THE PHOTOS).&lt;/strong&gt;&lt;/p&gt;
&lt;p&gt;&lt;strong&gt;THE INSTALLATION OF ZARD EXHAUST DOES NOT IMPLY ANY MODIFICATION TO ECU.&lt;/strong&gt;&lt;/p&gt;</t>
  </si>
  <si>
    <t>&lt;p&gt;2&amp;gt;1&amp;gt;2 STEEL RACING FULL KIT FOR DOUBLE SEAT. VERSION&lt;/p&gt;
&lt;p&gt;ORIGINAL EXHAUST WEIGHT: 10 KG&lt;br&gt;STEEL FULL KIT ZARD WEIGHT: 6.6 KG&lt;br&gt;TITANIUM FULL KIT ZARD WEIGHT: 4.5 KG&lt;/p&gt;
&lt;p&gt;HARD INCREASE, COMPARED TO THE ORIGINAL EXHAUST SYSTEM, IN TERMS OF TORQUE AND POWER AT ANY RANGE.&lt;/p&gt;
&lt;p&gt;FITTING KIT INCLUDED.&lt;/p&gt;
&lt;p&gt;NOTE: ORIGINAL HORIZONTAL PIPE HAS NOT BE REMOVED, BACK HEADER PIPE IS STEEL&lt;/p&gt;
&lt;p&gt;&lt;span&gt;THE INSTALLATION OF ZARD EXHAUST DOES NOT IMPLY ANY MODIFICATION TO ECU.&lt;/span&gt;&lt;br&gt;&lt;span&gt;THE BOX INCLUDES ALL PARTS FOR THE FITMENT OF ZARD EXHAUST.&lt;/span&gt;&lt;/p&gt;
&lt;p&gt;&lt;span&gt;'GOLD' VERSION END CAPS HAVE A GOLD FINISH, BLACK END CAPS ARE PAINTED WITH HIGH TEMPERATURE RESISTANT COATING FORMULATED TO WITHSTAND INTERNAL EXHAUST GAS TEMPERATURES OF OVER 2,000 DEGREES FAHRENHEIT.&amp;nbsp;&lt;/span&gt;&lt;/p&gt;
&lt;p&gt;&lt;/p&gt;
&lt;p&gt;&lt;strong&gt;&amp;nbsp;&lt;/strong&gt;&lt;/p&gt;</t>
  </si>
  <si>
    <t>&lt;p&gt;STEEL-CARBON UNDER-SEAT SILENCERS RACING WITH REMOVABLE DB KILLER&lt;/p&gt;
&lt;p&gt;ORIGINAL SILENCER WEIGHT: KG 5.2&lt;br&gt;ZARD SILENCER WEIGHT: KG 4.2&lt;br&gt;ZARD SILENCER CARBON WEIGHT: KG 3.8&lt;/p&gt;
&lt;p&gt;HARD INCREASE, COMPARED TO THE STANDARD EXHAUST SYSTEM, IN TERMS OF TORQUE AND POWER (+4 HP) AT ANY RANGE.&lt;/p&gt;
&lt;p&gt;ASTONISHING SOUND.&lt;/p&gt;</t>
  </si>
  <si>
    <t>&lt;p&gt;STEEL-CARBON PENTA EVO SILENCERS RACING WITH REMOVABLE DB KILLER&lt;/p&gt;
&lt;p&gt;THE PENTA EVO MUFFLER HAS A PARTICULAR SHAPE, OVAL AT THE BASE THAT DYNAMICALLY EVOLVES IN A PENTAGON AT THE END.&lt;/p&gt;
&lt;p&gt;HOMOLOGATED VERSION HAS STEEL-ALUMINIUM BLACK SILENCERS&amp;nbsp;&lt;/p&gt;
&lt;p&gt;ORIGINAL SILENCERS WEIGHT: KG 5.2&lt;br&gt;ZARD ALUMINIUM SILENCERS WEIGHT: KG 4.2&lt;br&gt;ZARD CARBON SILENCERS WEIGHT: KG 3.8&lt;/p&gt;
&lt;p&gt;HARD INCREASE, COMPARED TO THE ORIGINAL EXHAUST SYSTEM, IN TERMS OF TORQUE AND POWER AT ANY RANGE (+4 HP FOR THE RACING VERSION AND + 2.8 HP FOR THE STREET LEGAL MODEL).&lt;/p&gt;
&lt;p&gt;ASTONISHING SOUND.&lt;/p&gt;
&lt;p&gt;POWER CURVE: &lt;a href="http://shop.officineitalianezard.it//public/contents/imgs/cms/1198_slip-on_omo.pdf"&gt;DOWNLOAD&lt;/a&gt;&lt;/p&gt;</t>
  </si>
  <si>
    <t>&lt;p&gt;2&amp;gt;1&amp;gt;2 STEEL-CARBON FULL KIT RACING WITH REMOVABLE DB KILLER&lt;/p&gt;
&lt;p&gt;THE PENTA EVO MUFFLER HAS A PARTICULAR SHAPE, OVAL AT THE BASE THAT DYNAMICALLY EVOLVES IN A PENTAGON AT THE END.&lt;/p&gt;
&lt;p&gt;ORIGINAL FULL KIT WEIGHT: KG 8.7&lt;/p&gt;
&lt;p&gt;ZARD ALUMINIUM FULL KIT &amp;nbsp;WEIGHT: KG 6.7&lt;br&gt;ZARD CARBON FULL KIT: KG 6.3&lt;/p&gt;
&lt;p&gt;HEADERS DIAMETERS: 60 TO 63.5mm&lt;/p&gt;
&lt;p&gt;HARD INCREASE, COMPARED TO THE ORIGINAL EXHAUST SYSTEM, IN TERMS OF TORQUE AND POWER (+4 HP) AT ANY RANGE.&lt;/p&gt;
&lt;p&gt;ASTONISHING SOUND.&lt;/p&gt;</t>
  </si>
  <si>
    <t>&lt;p&gt;2&amp;gt;1&amp;gt;2 STEEL-CARBON FULL KIT RACING WITH REMOVABLE DB KILLER&lt;/p&gt;
&lt;p&gt;THE PENTA EVO MUFFLER HAS A PARTICULAR SHAPE, OVAL AT THE BASE THAT DYNAMICALLY EVOLVES IN A PENTAGON AT THE END.&lt;/p&gt;
&lt;p&gt;CARBON ENDCAPS.&lt;/p&gt;
&lt;p&gt;ORIGINAL FULL KIT WEIGHT: KG 8.7&lt;br&gt;ZARD ALUMINIUM FULL KIT WEIGHT: KG 6.7&lt;br&gt;ZARD CARBON FULL KIT: KG 6.3&lt;/p&gt;
&lt;p&gt;HEADERS DIAMETERS: 60 TO 63.5mm&lt;/p&gt;
&lt;p&gt;HARD INCREASE, COMPARED TO THE ORIGINAL EXHAUST SYSTEM, IN TERMS OF TORQUE AND POWER (+4 HP) AT ANY RANGE.&lt;/p&gt;
&lt;p&gt;ASTONISHING SOUND.&lt;/p&gt;
&lt;p&gt;POWER CURVE: &lt;a href="http://shop.officineitalianezard.it//public/contents/imgs/cms/kit_zard_1198_racing_8_cv.pdf"&gt;DOWNLOAD&lt;/a&gt;&lt;/p&gt;</t>
  </si>
  <si>
    <t>&lt;p&gt;2&amp;gt;1&amp;gt;2 STEEL RACING FULL KIT&lt;/p&gt;
&lt;p&gt;THE KIT INCLUDES THE CARBON HEAT SHIELD FOR MUFFLER&lt;/p&gt;
&lt;p&gt;SUITABLE FOR SINGLE-SIT VERSION:749 R 03-04, 999 MY 03-06, 999 S MY 04-06, 999 R MY 03-06&amp;nbsp;&lt;/p&gt;
&lt;p&gt;ZARD MUFFLER WEIGHT: KG 4.5&lt;/p&gt;
&lt;p&gt;ZARD MANIFOLD WEIGHT: KG 3.5&lt;/p&gt;
&lt;p&gt;HEADERS PIPES Ø 50mm&lt;br&gt;PIPES Ø 54-63.5mm&lt;br&gt;SILENCERS Ø 60mm&lt;/p&gt;
&lt;p&gt;HARD INCREASE, COMPARED TO THE ORIGINAL EXHAUST SYSTEM, IN TERMS OF TORQUE AND POWER (+6 HP ON 749 AND +9 HP ON 999) AT ANY RANGE.&lt;/p&gt;
&lt;p&gt;ASTONISHING SOUND.&lt;/p&gt;</t>
  </si>
  <si>
    <t>&lt;p&gt;2&amp;gt;1&amp;gt;2 &amp;nbsp;STEEL RACING FULL KIT&amp;nbsp;&lt;/p&gt;
&lt;p&gt;ZARD MUFFLER WEIGHT: KG 4.5&lt;br&gt;ZARD MANIFOLD WEIGHT: KG 3.5&lt;/p&gt;
&lt;p&gt;HEADERS PIPES Ø 50mm&lt;br&gt;PIPES Ø 54-63.5mm&lt;br&gt;SILENCERS Ø 60mm&lt;/p&gt;
&lt;p&gt;SUITABLE FOR DOUBLE-SIT VERSION: 749 MY 03-05, 749S 03-05, 999 MY 05-06, 999S MY 04-06&lt;/p&gt;
&lt;p&gt;HARD INCREASE, COMPARED TO THE ORIGINAL EXHAUST SYSTEM, IN TERMS OF TORQUE AND POWER (+6 HP ON 749 AND +9 HP ON 999) AT ANY RANGE.&lt;/p&gt;
&lt;p&gt;ASTONISHING SOUND.&lt;/p&gt;</t>
  </si>
  <si>
    <t>&lt;p&gt;STEEL RACING SILENCER WITH REMOVABLE DB KILLER&lt;/p&gt;
&lt;p&gt;ONE MORE DB KILLER ADDED (SUPERIOR DIAMETER)&lt;/p&gt;
&lt;p&gt;HARD INCREASE, COMPARED TO THE ORIGINAL EXHAUST SYSTEM, IN TERMS OF TORQUE AND POWER AT ANY RANGE.&lt;/p&gt;
&lt;p&gt;ASTONISHING SOUND.&lt;/p&gt;</t>
  </si>
  <si>
    <t>&lt;p&gt;STEEL SILENCER HOMOLOGATED&lt;/p&gt;
&lt;p&gt;ORIGINAL SILENCER WEIGHT: KG 6&lt;br&gt;ZARD SILENCER WEIGHT: KG 5.3&lt;/p&gt;
&lt;p&gt;HARD INCREASE, COMPARED TO THE ORIGINAL EXHAUST SYSTEM, IN TERMS OF TORQUE AND POWER AT ANY RANGE&lt;/p&gt;
&lt;p&gt;ASTONISHING SOUND&lt;/p&gt;</t>
  </si>
  <si>
    <t>&lt;p&gt;STEEL RACING HEADERS KIT&lt;/p&gt;
&lt;p&gt;THE EXHAUST CAN BE FITTED ON "ADVENTURE" VERSION&lt;/p&gt;
&lt;p&gt;ORIGINAL HEADERS KIT WEIGHT: KG 4.3&lt;br&gt;ZARD HEADERS KIT WEIGHT: KG 3&lt;/p&gt;
&lt;p&gt;HARD INCREASE, COMPARED TO THE STANDARD EXHAUST SYSTEM, IN TERMS OF TORQUE AND POWER AT ANY RANGE (+5 HP), IF FITTED WITH ZARD CONICAL OR PENTA SILENCER.&lt;/p&gt;
&lt;p&gt;&lt;br class="Apple-interchange-newline"&gt;&lt;br&gt;&lt;/p&gt;</t>
  </si>
  <si>
    <t>&lt;p&gt;STEEL SILENCER RACING ..&amp;nbsp;&lt;/p&gt;
&lt;p&gt;ORIGINAL SILENCER WEIGHT: KG 6.2&lt;br&gt;ZARD SILENCER WEIGHT: KG 3&lt;/p&gt;
&lt;p&gt;HARD INCREASE, COMPARED TO THE ORIGINAL EXHAUST SYSTEM, IN TERMS OF TORQUE AND POWER AT ANY RANGE&lt;/p&gt;
&lt;p&gt;ASTONISHING SOUND&lt;/p&gt;</t>
  </si>
  <si>
    <t>&lt;p&gt;STEEL RACING SILENCER WITH&amp;nbsp;CARBON ENDCAP AND HEAT SHIELD.&lt;br&gt;REMOVABLE DB-KILLERS.&lt;/p&gt;
&lt;p&gt;ORIGINAL SILENCER WEIGHT: KG 5.3&lt;br&gt;ZARD SILENCER WEIGHT: KG 3.1&lt;/p&gt;
&lt;p&gt;HARD INCREASE IN TERMS OF RESPONSE IN THE MID-RANGE AND MORE&lt;br&gt;MAXIMUM POWER COMPARED TO THE DEFAULT EXHAUST SYSTEM,&lt;br&gt;ASTONISHING SOUND.&lt;/p&gt;</t>
  </si>
  <si>
    <t>&lt;p&gt;STEEL RACING SILENCER WITH REMOVABLE DB KILLER&amp;nbsp;&lt;/p&gt;
&lt;p&gt;ORIGINAL SILENCER WEIGHT: KG 6.2&lt;br&gt;ZARD SILENCER WEIGHT: KG 3&lt;/p&gt;
&lt;p&gt;HARD INCREASE, COMPARED TO THE ORIGINAL EXHAUST SYSTEM, IN TERMS OF TORQUE AND POWER AT ANY RANGE&lt;/p&gt;
&lt;p&gt;ASTONISHING SOUND&lt;/p&gt;</t>
  </si>
  <si>
    <t>&lt;p&gt;STEEL SILENCER RACING WITH REMOVABLE DBKILLER&lt;/p&gt;
&lt;p&gt;ORIGINAL SILENCER WEIGHT: KG 6.2&lt;br&gt;ZARD SILENCER WEIGHT: KG 3&lt;/p&gt;
&lt;p&gt;HARD INCREASE, COMPARED TO THE ORIGINAL EXHAUST SYSTEM, IN TERMS OF TORQUE AND POWER AT ANY RANGE&lt;/p&gt;
&lt;p&gt;ASTONISHING SOUND&lt;/p&gt;</t>
  </si>
  <si>
    <t>&lt;p&gt;&lt;span&gt;STAINLESS STEEL RACING HEADERS KIT WITH COMPENSER&lt;/span&gt;&lt;span&gt;&lt;br&gt;&lt;br&gt;ORIGINAL HEADERS KIT WEIGHT: 3 KG&lt;br&gt;ZARD&amp;nbsp;HEADERS KIT WEIGHT: 2.6 KG&lt;/span&gt;&lt;/p&gt;
&lt;p&gt;&lt;span&gt;HARD INCREASE, COMPARED TO THE STANDARD EXHAUST SYSTEM,&lt;br&gt;IN TERMS OF TORQUE AND POWER AT ANY RANGE (+5 HP),&lt;br&gt;IF FITTED WITH ZARD&amp;nbsp;PENTA-R&amp;nbsp;SLIP-ON&lt;/span&gt;&lt;/p&gt;
&lt;p&gt;&lt;span&gt;&lt;/span&gt;&lt;/p&gt;</t>
  </si>
  <si>
    <t>&lt;p&gt;STEEL-ALUMINIUM BLACK SILENCER RACING WITH REMOVABLE DB KILLER&lt;/p&gt;
&lt;p&gt;THE EXHAUST CAN BE FITTED ON "ADVENTURE" V ERSION&lt;/p&gt;
&lt;p&gt;ORIGINAL SILENCER WEIGHT: KG 6.2&lt;/p&gt;
&lt;p&gt;ZARD SILENCER WEIGHT: KG 2.7&lt;/p&gt;
&lt;p&gt;HARD INCREASE, COMPARED TO THE STANDARD EXHAUST SYSTEM, IN TERMS OF TORQUE AND POWER AT ANY RANGE&lt;/p&gt;
&lt;p&gt;ASTONISHING SOUND&lt;/p&gt;</t>
  </si>
  <si>
    <t>&lt;p&gt;STEEL SILENCER RACING WITH REMOVABLE DB KILLER&lt;/p&gt;
&lt;p&gt;THE EXHAUST CAN BE FITTED ON "ADVENTURE" VERSION&lt;/p&gt;
&lt;p&gt;ORIGINAL SILENCER WEIGHT: KG 6.2&lt;br&gt;ZARD SILENCER WEIGHT: KG 3&lt;/p&gt;
&lt;p&gt;HARD INCREASE, COMPARED TO THE ORIGINAL EXHAUST SYSTEM, IN TERMS OF TORQUE AND POWER AT ANY RANGE (+2 HP)&lt;/p&gt;
&lt;p&gt;ASTONISHING SOUND&lt;/p&gt;</t>
  </si>
  <si>
    <t>&lt;p&gt;STEEL RACING HEADERS KIT&lt;/p&gt;
&lt;p&gt;THE EXHAUST CAN BE FITTED ON "ADVENTURE" VERSION&lt;/p&gt;
&lt;p&gt;ORIGINAL HEADERS KIT WEIGHT: KG 4.3&lt;br&gt;ZARD HEADERS KIT WEIGHT: KG 3&lt;/p&gt;
&lt;p&gt;HARD INCREASE, COMPARED TO THE STANDARD EXHAUST SYSTEM, IN TERMS OF TORQUE AND POWER AT ANY RANGE (+5 HP), IF FITTED WITH ZARD CONICAL OR PENTA SILENCER.&lt;/p&gt;
&lt;p&gt;&amp;nbsp;&lt;/p&gt;</t>
  </si>
  <si>
    <t>&lt;p&gt;STEEL RACING CENTRAL DECATALYZER&lt;/p&gt;
&lt;p&gt;ORIGINAL CENTRAL WEIGHT: KG 4.5&lt;br&gt;ZARD CENTRAL WEIGHT: KG 3&lt;/p&gt;
&lt;p&gt;HARD INCREASE IN TERMS OF TORQUE AND POWER AT ANY RANGE (+5 HP) IF FITTED WITH ZARD CONICAL SILENCER.&lt;/p&gt;</t>
  </si>
  <si>
    <t>&lt;p&gt;STEEL SILENCER RACING WITH REMOVABLE DB KILLER&lt;/p&gt;
&lt;p&gt;ORIGINAL SILENCER WEIGHT: KG 6.5&lt;br&gt;ZARD SILENCER WEIGHT: KG 3.2&lt;/p&gt;
&lt;p&gt;HARD INCREASE, COMPARED TO THE STANDARD EXHAUST SYSTEM, IN TERMS OF TORQUE AND POWER AT ANY RANGE (+2 HP)&lt;/p&gt;</t>
  </si>
  <si>
    <t>&lt;p&gt;STEEL SILENCER RACING WITH REMOVABLE DB KILLER&lt;/p&gt;
&lt;p&gt;&lt;span&gt;ZARD&amp;nbsp;SILENCER + DECAT. CAN BE FITTED ON ORIGINAL BMW&amp;nbsp;HEADERS (2&amp;gt;1)&lt;/span&gt;&lt;/p&gt;
&lt;p&gt;HARD INCREASE, COMPARED TO THE ORIGINAL EXHAUST SYSTEM, IN TERMS OF TORQUE AND POWER AT ANY RANGE.&lt;/p&gt;
&lt;p&gt;ASTONISHING SOUND.&lt;/p&gt;
&lt;p&gt;AVAILABLE IN 4 WEEKS FROM ORDER.&lt;/p&gt;
&lt;p&gt;GOLD&amp;nbsp;END CAP AND LOGO PLATE AVAILABLE AS OPTIONAL&lt;/p&gt;
&lt;p&gt;&lt;strong&gt;COMPATIBILITY MODEL:&lt;/strong&gt; R 1150 R, R 1150 RS, R 1150 ROCKSTER, R 850 R&amp;nbsp;II&lt;/p&gt;
&lt;p&gt;&lt;span&gt;&lt;/span&gt;&lt;/p&gt;</t>
  </si>
  <si>
    <t>&lt;p&gt;STEEL SILENCER RACING WITH REMOVABLE DB KILLER&lt;/p&gt;
&lt;p&gt;ORIGINAL SILENCER WEIGHT: KG 6.5&lt;br&gt;ZARD SILENCER WEIGHT: KG 3.2&lt;/p&gt;
&lt;p&gt;HARD INCREASE, COMPARED TO THE STANDARD EXHAUST SYSTEM, IN TERMS OF TORQUE AND POWER AT ANY RANGE (+2 HP)&lt;/p&gt;
&lt;p&gt;ASTONISHING SOUND&lt;/p&gt;</t>
  </si>
  <si>
    <t>&lt;p&gt;2&amp;gt;2&amp;nbsp;STEEL RACING&amp;nbsp;FULL KIT WITH REMOVABLE DB KILLERS&lt;/p&gt;
&lt;p&gt;HARD INCREASE, COMPARED TO THE ORIGINAL EXHAUST SYSTEM, IN TERMS OF TORQUE AND POWER AT ANY RANGE.&lt;/p&gt;
&lt;p&gt;ASTONISHING SOUND.&lt;/p&gt;
&lt;p&gt;AVAILABLE IN 4 WEEKS FROM ORDER.&lt;/p&gt;
&lt;p&gt;&lt;/p&gt;</t>
  </si>
  <si>
    <t>&lt;p&gt;STEEL SILENCER RACING WITH REMOVABLE DB KILLER&lt;/p&gt;
&lt;p&gt;&lt;span&gt;THE SILENCER CAN BE FITTED ON ORIGINAL BMW&amp;nbsp;HEADERS (4&amp;gt;2&amp;gt;1)&lt;/span&gt;&lt;/p&gt;
&lt;p&gt;HARD INCREASE, COMPARED TO THE ORIGINAL EXHAUST SYSTEM, IN TERMS OF TORQUE AND POWER AT ANY RANGE.&lt;/p&gt;
&lt;p&gt;ASTONISHING SOUND.&lt;/p&gt;
&lt;p&gt;AVAILABLE IN 4 WEEKS FROM ORDER.&lt;/p&gt;
&lt;p&gt;GOLD&amp;nbsp;END CAP AND LOGO PLATE AVAILABLE AS OPTIONAL&lt;/p&gt;
&lt;p&gt;&lt;strong&gt;COMPATIBILITY MODEL:&lt;/strong&gt;&amp;nbsp;K 100, K 100 RS, K 100 RT, K 100 LT, K RS 16, K 1100 LT, K 1100 RS.&lt;/p&gt;
&lt;p&gt;&lt;span&gt;&lt;/span&gt;&lt;/p&gt;</t>
  </si>
  <si>
    <t>&lt;p&gt;2&amp;gt;1 STEEL RACING &lt;strong&gt;SNAKE WELDED&lt;/strong&gt; HEADERS KIT&amp;nbsp;&lt;/p&gt;
&lt;p&gt;HEADERS KIT CAN BE FITTED WITH ORIGINAL SILENCERS&lt;/p&gt;
&lt;p&gt;ORIGINAL HEADERS KIT WEIGHT: KG 4.4&lt;br&gt;ZARD STEEL HEADERS KIT WEIGHT: 3.8&lt;/p&gt;
&lt;p&gt;HARD INCREASE, COMPARED TO THE ORIGINAL EXHAUST SYSTEM, IN TERMS OF TORQUE AND POWER AT ANY RANGE.&lt;/p&gt;
&lt;p&gt;ASTONISHING SOUND.&lt;/p&gt;
&lt;p&gt;SOUND TEST:&amp;nbsp;&lt;a href="http://youtu.be/DJe9a-qfmqI"&gt;http://youtu.be/DJe9a-qfmqI&lt;/a&gt;&lt;/p&gt;
&lt;p&gt;&lt;a href="http://shop.officineitalianezard.it/it/products/index/scarico-bmw-nine-t-zard-7666-143/"&gt;DISCOVER THE ZARD ACCESSORIES FOR YOUR BMW NINE-T&lt;/a&gt;&lt;/p&gt;</t>
  </si>
  <si>
    <t>&lt;p&gt;2&amp;gt;1 STEEL RACING HEADERS KIT&amp;nbsp;&lt;/p&gt;
&lt;p&gt;HEADERS KIT CAN BE FITTED WITH ORIGINAL SILENCERS&lt;/p&gt;
&lt;p&gt;ORIGINAL HEADERS KIT WEIGHT: KG 4.4&lt;/p&gt;
&lt;p&gt;ZARD STEEL HEADERS KIT WEIGHT: 3.8&lt;/p&gt;
&lt;p&gt;HARD INCREASE, COMPARED TO THE ORIGINAL EXHAUST SYSTEM, IN TERMS OF TORQUE AND POWER AT ANY RANGE.&lt;/p&gt;
&lt;p&gt;ASTONISHING SOUND.&lt;/p&gt;
&lt;p&gt;N.B.: PHOTOS ARE REFERRED TO&amp;nbsp;STEEL VERSION&lt;/p&gt;
&lt;p&gt;SOUND TEST:&amp;nbsp;&lt;a href="http://youtu.be/DJe9a-qfmqI"&gt;http://youtu.be/DJe9a-qfmqI&lt;/a&gt;&lt;/p&gt;
&lt;p&gt;&lt;a href="http://shop.officineitalianezard.it/it/products/index/scarico-bmw-nine-t-zard-7666-143/"&gt;DISCOVER THE ZARD ACCESSORIES FOR YOUR BMW NINE-T&lt;/a&gt;&lt;/p&gt;
&lt;p&gt;&amp;nbsp;&lt;/p&gt;</t>
  </si>
  <si>
    <t>&lt;p&gt;N. 2 SILENCERS WITH REMOVABLE DB KILLERS HARDY VERSION&lt;/p&gt;
&lt;p&gt;ORIGINAL SILENCER WEIGHT: 4,8 KG&lt;/p&gt;
&lt;p&gt;ZARD SILENCERS WEIGHT: 3,8 KG&lt;/p&gt;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
&lt;p&gt;&lt;strong&gt;COMPATIBILIY MODELS:&lt;/strong&gt; BMW R NINE-T SCRAMBLER&lt;/p&gt;</t>
  </si>
  <si>
    <t>&lt;p&gt;STEEL RACING SILENCER WITH REMOVABLE DB KILLERS&lt;/p&gt;
&lt;p&gt;ORIGINAL SILENCER WEIGHT: 4,8 KG&lt;/p&gt;
&lt;p&gt;ZARD SILENCER WEIGHT: 2,6 KG&lt;/p&gt;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
&lt;p&gt;&lt;strong&gt;COMPATIBILITY MODELS&lt;/strong&gt;:&amp;nbsp;&lt;span&gt;BMW R NINE-T SCRAMBLER&lt;/span&gt;&lt;/p&gt;</t>
  </si>
  <si>
    <t>&lt;p&gt;N. 2 OVERLAPPED SILENCERS WITH REMOVABLE DB KILLERS THUNDERBOLT VERSION&lt;/p&gt;
&lt;p&gt;ORIGINAL SILENCER WEIGHT: 4,8 KG&lt;/p&gt;
&lt;p&gt;ZARD SILENCER WEIGHT: 4,1 KG&lt;/p&gt;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
&lt;p&gt;&lt;strong&gt;COMPATIBILITY MODELS:&lt;/strong&gt; BMW R NINE-T SCRAMBLER&lt;/p&gt;</t>
  </si>
  <si>
    <t>&lt;p&gt;2&amp;gt;1&amp;nbsp;STEEL RACING&amp;nbsp;FULL KIT GP VERSION&lt;/p&gt;
&lt;p&gt;ORIGINAL EXHAUST WEIGHT: 8,9 KG&lt;/p&gt;
&lt;p&gt;ZARD FULL KIT WEIGHT:&amp;nbsp;4.6 KG&lt;/p&gt;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
&lt;p&gt;&lt;strong&gt;COMPATIBILITY MODELS&lt;/strong&gt;: BMW R NINE-T, BMW R NINE-T PURE, BMW R NINE-T RACER, BMW R NINE-T URBAN G/S&lt;/p&gt;</t>
  </si>
  <si>
    <t>&lt;p&gt;STEEL&amp;nbsp;RACING SILENCER WITH REMOVABLE DB KILLERS&lt;/p&gt;
&lt;p&gt;&lt;strong&gt;NOTICE:&amp;nbsp;PHOTOS SHOWS A TITANIUM FULL KIT WITH ZARD HEADERS, SOLD SEPARATELY&lt;/strong&gt;&lt;/p&gt;
&lt;p&gt;ORIGINAL SILENCER WEIGHT: 4,5 KG&lt;/p&gt;
&lt;p&gt;ZARD SILENCER WEIGHT: 2 KG&lt;/p&gt;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
&lt;p&gt;&lt;strong&gt;COMPATIBILITY MODELS:&lt;/strong&gt;&amp;nbsp;BMW R NINE-T, BMW R NINE-T PURE, BMW R NINE-T URBAN G/S&lt;/p&gt;
&lt;p&gt;&lt;strong&gt;THE PRODUCT WAS PHOTOGRAPHED DURING PROTOTYPE PHASE.&lt;br&gt;ZARD COULD RESERVE THE RIGHT TO CHANGE AND/OR REPLACE SOME AESTHETIC DEATAILS.&lt;br&gt;IMAGES HAS TO BE CONSIDERED FOR INDICATIVE PURPOSE.&lt;/strong&gt;&lt;/p&gt;</t>
  </si>
  <si>
    <t>&lt;p&gt;STEEL SILENCER RACING WITH REMOVABLE DB KILLERS&lt;/p&gt;
&lt;p&gt;ORIGINAL SILENCER WEIGHT: 4,4 KG&lt;/p&gt;
&lt;p&gt;ZARD SILENCER WEIGHT: 2,6 KG&lt;/p&gt;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
&lt;p&gt;&lt;span&gt;&lt;strong&gt;COMPATIBILITY MODELS&lt;/strong&gt;: BMW R NINE-T, BMW R NINE-T PURE, BMW R NINE-T URBAN G/S&lt;/span&gt;&lt;/p&gt;
&lt;p&gt;&lt;strong&gt;THE PRODUCT WAS PHOTOGRAPHED DURING PROTOTYPE PHASE.&lt;br&gt;ZARD COULD RESERVE THE RIGHT TO CHANGE AND/OR REPLACE SOME AESTHETIC DEATAILS.&lt;br&gt;IMAGES HAS TO BE CONSIDERED FOR INDICATIVE PURPOSE.&lt;/strong&gt;&lt;/p&gt;</t>
  </si>
  <si>
    <t>&lt;p&gt;&lt;strong&gt;&lt;/strong&gt;STEEL SILENCER RACING WITH REMOVABLE DB KILLER R80 VERSION&lt;/p&gt;
&lt;p&gt;ORIGINAL SILENCER WEIGHT: 4,4 KG&lt;/p&gt;
&lt;p&gt;ZARD SILENCER WEIGHT: 2,5 KG&lt;/p&gt;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
&lt;p&gt;&lt;strong&gt;COMPATIBILITY MODELS:&lt;/strong&gt;&lt;span&gt;&amp;nbsp;&lt;/span&gt;&lt;span&gt;BMW R NINE-T, BMW R NINE-T PURE, BMW R NINE-T URBAN G/S&lt;/span&gt;&lt;/p&gt;
&lt;p&gt;&lt;span&gt;&lt;strong&gt;NOTICE:&amp;nbsp; ZARD COULD RESERVE THE RIGHT TO CHANGE AND/OR REPLACE&lt;br&gt;SOME AESTHETIC DEATAILS. IMAGES HAS TO BE CONSIDERED&lt;br&gt;FOR INDICATIVE PURPOSE.&lt;/strong&gt;&lt;/span&gt;&lt;/p&gt;</t>
  </si>
  <si>
    <t>&lt;p&gt;RACING&amp;nbsp;SLIP-ON GP VERSION&lt;/p&gt;
&lt;p&gt;&lt;strong&gt;NOTICE: PICTURES SHOW THE ZARD GP SLIP-ON WITH ZARD HEADERS KIT&lt;/strong&gt;&lt;/p&gt;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
&lt;p&gt;&lt;strong&gt;COMPATIBILITY MODELS&lt;/strong&gt;: BMW R NINE-T, BMW R NINE-T PURE, BMW R NINE-T RACER, BMW R NINE-T URBAN G/S&lt;/p&gt;</t>
  </si>
  <si>
    <t>&lt;p&gt;2&amp;gt;1&amp;gt;2 TITANIUM RACING FULL KIT&lt;/p&gt;
&lt;p&gt;A VERY SPECIAL EXHAUST TOTALLY HANDMADE AND WELDED BY OUR BEST WELDERS.&lt;/p&gt;
&lt;p&gt;ORIGINAL FULL KIT WEIGHT: 8.8 KG&amp;nbsp;&lt;br&gt;ZARD STEEL FULL KIT WEIGHT: 2.7 KG&lt;/p&gt;
&lt;p&gt;HARD INCREASE, COMPARED TO THE ORIGINAL EXHAUST SYSTEM, IN TERMS OF TORQUE AND POWER AT ANY RANGE.&lt;/p&gt;
&lt;p&gt;ASTONISHING SOUND.&lt;/p&gt;
&lt;p&gt;AVAILABLE ON DEMAND ONLY. DELIVERY 4 WORKING WEEKS FROM ORDER.&lt;/p&gt;
&lt;p&gt;&lt;a href="http://shop.officineitalianezard.it/it/products/index/scarico-bmw-nine-t-zard-7666-143/"&gt;DISCOVER THE ZARD ACCESSORIES FOR YOUR BMW NINE-T&lt;/a&gt;&lt;/p&gt;
&lt;p&gt;NOTE: THE EXHAUST FITS STANDARD FOOT FONTROLS&lt;/p&gt;
&lt;p&gt;&amp;nbsp;&lt;/p&gt;</t>
  </si>
  <si>
    <t>&lt;p&gt;2&amp;gt;1&amp;gt;2 TITANIUM RACING FULL KIT WITH REMOVABLE DB KILLERS&lt;/p&gt;
&lt;p&gt;A VERY SPECIAL EXHAUST TOTALLY HANDMADE AND WELDED BY OUR BEST WELDERS.&lt;/p&gt;
&lt;p&gt;CNC BUILD ALUMINIUM ENDCAP&lt;/p&gt;
&lt;p&gt;ORIGINAL FULL KIT WEIGHT: 8.8 KG&amp;nbsp;&lt;br&gt;ZARD STEEL FULL KIT WEIGHT: 3.5 KG&lt;/p&gt;
&lt;p&gt;HARD INCREASE, COMPARED TO THE ORIGINAL EXHAUST SYSTEM, IN TERMS OF TORQUE AND POWER AT ANY RANGE.&lt;/p&gt;
&lt;p&gt;ASTONISHING SOUND.&lt;/p&gt;
&lt;p&gt;AVAILABLE ON DEMAND ONLY. DELIVERY 4 WORKING WEEKS FROM ORDER.&lt;/p&gt;
&lt;p&gt;FITTING MANUAL:&amp;nbsp;&lt;a href="http://shop.officineitalianezard.it//public/contents/imgs/cms/zbmw529tkr.pdf"&gt;DOWNLOAD&lt;/a&gt;&lt;/p&gt;
&lt;p&gt;&lt;a href="http://shop.officineitalianezard.it/it/products/index/scarico-bmw-nine-t-zard-7666-143/"&gt;DISCOVER THE ZARD ACCESSORIES FOR YOUR BMW NINE-T&lt;/a&gt;&lt;/p&gt;</t>
  </si>
  <si>
    <t>&lt;p&gt;2&amp;gt;2 STEEL RACING HEADERS KIT&amp;nbsp;&lt;/p&gt;
&lt;p&gt;HEADERS KIT CAN BE FITTED WITH ORIGINAL SILENCERS&lt;/p&gt;
&lt;p&gt;ORIGINAL HEADERS KIT WEIGHT: KG 4.4&lt;br&gt;ZARD STEEL HEADERS KIT WEIGHT: 3.8&lt;/p&gt;
&lt;p&gt;HARD INCREASE, COMPARED TO THE ORIGINAL EXHAUST SYSTEM, IN TERMS OF TORQUE AND POWER AT ANY RANGE.&lt;/p&gt;
&lt;p&gt;ASTONISHING SOUND.&lt;/p&gt;
&lt;p&gt;SOUND TEST:&amp;nbsp;&lt;a href="http://youtu.be/DJe9a-qfmqI"&gt;http://youtu.be/DJe9a-qfmqI&lt;/a&gt;&lt;/p&gt;
&lt;p&gt;&lt;a href="http://shop.officineitalianezard.it/it/products/index/scarico-bmw-nine-t-zard-7666-143/"&gt;DISCOVER THE ZARD ACCESSORIES FOR YOUR BMW NINE-T&lt;/a&gt;&lt;/p&gt;</t>
  </si>
  <si>
    <t>&lt;p&gt;2&amp;gt;2 STEEL RACING HEADERS KIT&amp;nbsp;&lt;/p&gt;
&lt;p&gt;HEADERS KIT CAN BE FITTED WITH ORIGINAL SILENCERS&lt;/p&gt;
&lt;p&gt;ORIGINAL HEADERS KIT WEIGHT: KG 4.4&lt;/p&gt;
&lt;p&gt;ZARD STEEL HEADERS KIT WEIGHT: 3.8&lt;/p&gt;
&lt;p&gt;HARD INCREASE, COMPARED TO THE ORIGINAL EXHAUST SYSTEM, IN TERMS OF TORQUE AND POWER AT ANY RANGE.&lt;/p&gt;
&lt;p&gt;ASTONISHING SOUND.&lt;/p&gt;
&lt;p&gt;N.B.: PHOTOS ARE REFERRED TO LIMITED VERSION WITH SNAKE WELDED PIPES&lt;/p&gt;
&lt;p&gt;SOUND TEST:&amp;nbsp;&lt;a href="http://youtu.be/DJe9a-qfmqI"&gt;http://youtu.be/DJe9a-qfmqI&lt;/a&gt;&lt;/p&gt;
&lt;p&gt;&lt;a href="http://shop.officineitalianezard.it/it/products/index/scarico-bmw-nine-t-zard-7666-143/"&gt;DISCOVER THE ZARD ACCESSORIES FOR YOUR BMW NINE-T&lt;/a&gt;&lt;/p&gt;
&lt;p&gt;&amp;nbsp;&lt;/p&gt;</t>
  </si>
  <si>
    <t>&lt;p&gt;N. 2 STEEL RACING SILENCERS WITH REMOVABLE DB KILLERS.&lt;/p&gt;
&lt;p&gt;LIMITED VERSION&lt;/p&gt;
&lt;p&gt;ORIGINAL SILENCER WEIGHT: KG 4.4&lt;br&gt;ZARD STEEL SILENCERS WEIGHT: KG 4.2&lt;/p&gt;
&lt;p&gt;BLACK &amp;amp; SILVER MACHINED FROM SOLID ALUMINIUM END-CAP.&lt;/p&gt;
&lt;p&gt;ZARD SILENCERS CAN BE FITTED WITH ORIGINAL HEADERS KIT.&lt;/p&gt;
&lt;p&gt;THE EXHAUST CAN BE FITTED OF ONE CITY MOTORBIKE VERSION USING THE BRACKET AVAILABLE AS OPTIONAL.&lt;/p&gt;
&lt;p&gt;HARD INCREASE, COMPARED TO THE ORIGINAL EXHAUST SYSTEM, IN TERMS OF TORQUE AND POWER AT ANY RANGE.&lt;/p&gt;
&lt;p&gt;ASTONISHING SOUND.&lt;/p&gt;
&lt;p&gt;SOUND TEST:&amp;nbsp;&lt;a href="http://youtu.be/DJe9a-qfmqI"&gt;http://youtu.be/DJe9a-qfmqI&lt;/a&gt;&lt;/p&gt;
&lt;p&gt;&lt;a href="http://shop.officineitalianezard.it/it/products/index/scarico-bmw-nine-t-zard-7666-143/"&gt;DISCOVER THE ZARD ACCESSORIES FOR YOUR BMW ZARD NINE - T&lt;/a&gt;&lt;/p&gt;</t>
  </si>
  <si>
    <t>&lt;p&gt;2&amp;gt;1 STEEL RACING FULL KIT WITH REMOVABLE DB KILLER&lt;/p&gt;
&lt;p&gt;HOMOLOGATED-CATALYSED VERSION AVAILABLE AS OPTIONAL&lt;/p&gt;
&lt;p&gt;ORIGINAL FULL KIT WEIGHT: 8.8 KG&amp;nbsp;&lt;br&gt;ZARD STEEL FULL KIT WEIGHT: 5.3 KG&lt;/p&gt;
&lt;p&gt;HARD INCREASE, COMPARED TO THE ORIGINAL EXHAUST SYSTEM, IN TERMS OF TORQUE AND POWER AT ANY RANGE.&lt;/p&gt;
&lt;p&gt;ASTONISHING SOUND.&lt;/p&gt;
&lt;p&gt;&lt;a href="http://shop.officineitalianezard.it/it/products/index/scarico-bmw-nine-t-zard-7666-143/"&gt;DISCOVER THE ZARD ACCESSORIES FOR YOUR BMW NINE-T&lt;/a&gt;&lt;/p&gt;
&lt;p&gt;&lt;strong&gt;NOTICE&lt;/strong&gt;: ON TITANIUM VERSION FULL KIT IS POSSIBLE TO GET THE 'SNAKE WELDED' HEADERS (AVAILABLE AS OPTIONAL)&lt;/p&gt;</t>
  </si>
  <si>
    <t>&lt;p&gt;STEEL RACING SILENCER WITH REMOVABLE DB KILLER.&lt;/p&gt;
&lt;p&gt;ORIGINAL SILENCER WEIGHT: KG 4.4&lt;br&gt;ZARD STEEL SILENCER WEIGHT: KG 2&lt;/p&gt;
&lt;p&gt;ZARD SILENCER CAN BE FITTED WITH ORIGINAL HEADERS KIT OR, FOR A TOP PERFORMANCE, WITH ZARD HEADERS KIT.&lt;/p&gt;
&lt;p&gt;HARD INCREASE, COMPARED TO THE ORIGINAL EXHAUST SYSTEM, IN TERMS OF TORQUE AND POWER AT ANY RANGE.&lt;/p&gt;
&lt;p&gt;ASTONISHING SOUND.&lt;/p&gt;
&lt;p&gt;&lt;a href="http://shop.officineitalianezard.it/it/products/index/scarico-bmw-nine-t-zard-7666-143/"&gt;DISCOVER THE ZARD ACCESSORIES FOR YOUR BMW NINE-T&lt;/a&gt;&lt;/p&gt;</t>
  </si>
  <si>
    <t>&lt;p&gt;&lt;strong&gt;N.B. ACCESSORIES AVAILABLE ON DEMAND&lt;/strong&gt;&lt;/p&gt;
&lt;p&gt;KIT ACCESSORIES BMW NINE-T CAPITAN SCAPPAMENTO&lt;/p&gt;
&lt;p&gt;FOR THE INSTALLATION OF THE AIR FILTER IT IS NECESSARY TO CUT THE ORIGINAL HEAT SHIELD AS THE PROVIDED TEMPLATE.&amp;nbsp;&lt;/p&gt;
&lt;p class="p1"&gt;&lt;strong&gt;&lt;span class="s1"&gt;TITANIUM DUCT INTAKE AND COVER FITS ALSO ON NINE-T SCRAMBLER, PURE, RACER E URBAN G/S.&lt;/span&gt;&lt;/strong&gt;&lt;/p&gt;
&lt;p class="p1"&gt;FITTING MANUAL:&amp;nbsp;&lt;a href="http://shop.officineitalianezard.it//public/contents/imgs/cms/istruzioni.pdf"&gt;DOWNLOAD&lt;/a&gt;&lt;/p&gt;
&lt;p&gt;&amp;nbsp;&lt;/p&gt;</t>
  </si>
  <si>
    <t>&lt;p&gt;2&amp;gt;2 TITANIUM RACING FULL KIT WITH REMOVABLE DB KILLERS&lt;/p&gt;
&lt;p&gt;ORIGINAL FULL KIT WEIGHT: KG 8.8&lt;br&gt;TITANIUM ZARD FULL KIT WEIGHT: 4.5&lt;/p&gt;
&lt;p&gt;HARD INCREASE, COMPARED TO THE ORIGINAL EXHAUST SYSTEM, IN TERMS OF TORQUE AND POWER AT ANY RANGE.&lt;/p&gt;
&lt;p&gt;ASTONISHING SOUND.&lt;/p&gt;
&lt;p&gt;N.B. FOR THE INSTALLATION OF THE AIR FILTER IT IS NECESSARY TO CUT THE ORIGINAL HEAT SHIELD AS THE PROVIDED TEMPLATE.&amp;nbsp;&lt;/p&gt;</t>
  </si>
  <si>
    <t>&lt;p&gt;N. 2 STEEL-CARBON RACING SILENCERS WITH REMOVABLE DB KILLER&lt;/p&gt;
&lt;p&gt;ORIGINAL EXHAUST WEIGHT: KG 6.2&lt;br&gt;ZARD SILENCERS WEIGHT: KG 2.6&lt;/p&gt;
&lt;p&gt;HARD INCREASE, COMPARED TO THE ORIGINAL EXHAUST SYSTEM, IN TERMS OF TORQUE AND POWER AT ANY RANGE&lt;/p&gt;
&lt;p&gt;ASTONISHING SOUND&lt;/p&gt;</t>
  </si>
  <si>
    <t>&lt;p&gt;HORIZONTAL + VERTICAL PIPE + N.2 STEEL-CARBON SILENCERS RACING WITH REMOVABLE DB KILLER&lt;/p&gt;
&lt;p&gt;ORIGINAL EXHAUST WEIGHT: KG 6.2&lt;br&gt;ZARD SILENCERS WEIGHT: KG 2.6&lt;/p&gt;
&lt;p&gt;ZARD HEADERS KIT RACING NO CAT.: KG 0.6&lt;/p&gt;
&lt;p&gt;HARD INCREASE, COMPARED TO THE ORIGINAL EXHAUST SYSTEM, IN TERMS OF TORQUE AND POWER AT ANY RANGE&lt;/p&gt;
&lt;p&gt;ASTONISHING SOUND&lt;/p&gt;</t>
  </si>
  <si>
    <t>&lt;p&gt;N.2 STEEL-CARBON SILENCERS RACING WITH REMOVABLE DB KILLER&lt;/p&gt;
&lt;p&gt;ORIGINAL EXHAUST WEIGHT: KG 6.2&lt;br&gt;ZARD SILENCERS WEIGHT: KG 2.6&lt;/p&gt;
&lt;p&gt;HARD INCREASE, COMPARED TO THE ORIGINAL EXHAUST SYSTEM, IN TERMS OF TORQUE AND POWER AT ANY RANGE&lt;/p&gt;
&lt;p&gt;ASTONISHING SOUND&lt;/p&gt;</t>
  </si>
  <si>
    <t>&lt;p&gt;CENTRAL HEADERS + HORIZONTAL PIPE + N.2 STEEL-CARBON SILENCER RACING WITH REMOVABLE DB KILLER&amp;nbsp;&lt;/p&gt;
&lt;p&gt;ORIGINAL SILENCERS WEIGHT: KG 6.1&lt;br&gt;ZARD SILENCERS WEIGHT: KG 2.9&lt;br&gt;HEADERS KIT WEIGHT: KG 0.6&lt;/p&gt;
&lt;p&gt;HARD INCREASE, COMPARED TO THE ORIGINAL EXHAUST SYSTEM, IN TERMS OF TORQUE AND POWER AT ANY RANGE&lt;/p&gt;
&lt;p&gt;ASTONISHING SOUND&lt;/p&gt;</t>
  </si>
  <si>
    <t>&lt;p&gt;N.2 STEEL-CARBON SILENCERS RACING WITH REMOVABLE DB KILLER&lt;/p&gt;
&lt;p&gt;ORIGINAL SILENCERS WEIGHT: KG 6.2&lt;br&gt;ZARD SILENCERS WEIGHT: KG 1.9&lt;/p&gt;
&lt;p&gt;HARD INCREASE, COMPARED TO THE ORIGINAL EXHAUST SYSTEM, IN TERMS OF TORQUE AND POWER AT ANY RANGE&lt;/p&gt;
&lt;p&gt;ASTONISHING SOUND&lt;/p&gt;</t>
  </si>
  <si>
    <t>&lt;p&gt;HEADER KIT STEEL RACING&lt;/p&gt;
&lt;p&gt;ORIGINAL HEADER KIT WEIGHT: KG 2.5&lt;br&gt;ZARD HEADER KIT WEIGHT: KG 1.3&lt;/p&gt;
&lt;p&gt;HARD INCREASE, COMPARED TO THE ORIGINAL EXHAUST SYSTEM, IN TERMS OF TORQUE AND POWER AT ANY RANGE&lt;/p&gt;
&lt;p&gt;ASTONISHING SOUND&lt;/p&gt;</t>
  </si>
  <si>
    <t>&lt;p&gt;N.2 STEEL-ALUMINIUM SILVER SILENCERS RACING WITH REMOVABLE DB KILLER&lt;/p&gt;
&lt;p&gt;WEIGHT OF THE ZARD CARBONIUM MUFFLER: KG 3.7&lt;br&gt;WEIGHT OF THE ZARD ALUMINIUM MUFFLER: KG 3.3&lt;/p&gt;
&lt;p&gt;HARD INCREASE, COMPARED TO THE ORIGINAL EXHAUST SYSTEM, IN TERMS OF TORQUE AND POWER AT ANY RANGE&lt;/p&gt;
&lt;p&gt;ASTONISHING SOUND&lt;/p&gt;</t>
  </si>
  <si>
    <t>&lt;p&gt;STEEL HEADER KIT RACING&lt;/p&gt;
&lt;p&gt;&lt;br&gt;ORIGINAL HEADER KIT WEIGHT: KG 2.5&lt;br&gt;ZARD HEADER KIT WEIGHT: KG 1.38&lt;/p&gt;
&lt;p&gt;HARD INCREASE, COMPARED TO THE ORIGINAL EXHAUST SYSTEM, IN TERMS OF TORQUE AND POWER AT ANY RANGE&lt;/p&gt;</t>
  </si>
  <si>
    <t>&lt;p&gt;N.2 STEEL-ALUMINIUM SILVER SILENCERS RACING WITH REMOVABLE DB KILLER&lt;/p&gt;
&lt;p&gt;ORIGINAL SILENCERS WEIGHT: KG 10&lt;br&gt;ZARD CARBON SILENCERS WEIGHT: KG 3.7&lt;br&gt;ZARD ALUMINIUM SILENCERS WEIGHT: KG 3.3&lt;/p&gt;
&lt;p&gt;&lt;br&gt;HARD INCREASE, COMPARED TO THE ORIGINAL EXHAUST SYSTEM, IN TERMS OF TORQUE AND POWER AT ANY RANGE&lt;/p&gt;
&lt;p&gt;ASTONISHING SOUND&lt;/p&gt;</t>
  </si>
  <si>
    <t>Margin</t>
  </si>
  <si>
    <t>EUR to USD</t>
  </si>
  <si>
    <t>brand-link</t>
  </si>
  <si>
    <t>brand-link-href</t>
  </si>
  <si>
    <t>bike-link</t>
  </si>
  <si>
    <t>bike-link-href</t>
  </si>
  <si>
    <t>product-link</t>
  </si>
  <si>
    <t>product-link-href</t>
  </si>
  <si>
    <t>1586244154-1060</t>
  </si>
  <si>
    <t>Kymco</t>
  </si>
  <si>
    <t>1586244115-1011</t>
  </si>
  <si>
    <t>Moto Guzzi</t>
  </si>
  <si>
    <t>1586244372-1442</t>
  </si>
  <si>
    <t>Ducati</t>
  </si>
  <si>
    <t>1586244634-1967</t>
  </si>
  <si>
    <t>BMW</t>
  </si>
  <si>
    <t>1586244612-1906</t>
  </si>
  <si>
    <t>1586244169-1082</t>
  </si>
  <si>
    <t>KTM</t>
  </si>
  <si>
    <t>1586243843-373</t>
  </si>
  <si>
    <t>Triumph</t>
  </si>
  <si>
    <t>1586244447-1580</t>
  </si>
  <si>
    <t>1586243949-681</t>
  </si>
  <si>
    <t>1586244438-1566</t>
  </si>
  <si>
    <t>1586243949-673</t>
  </si>
  <si>
    <t>1586244316-1308</t>
  </si>
  <si>
    <t>1586243947-665</t>
  </si>
  <si>
    <t>1586244634-1966</t>
  </si>
  <si>
    <t>1586244274-1220</t>
  </si>
  <si>
    <t>HONDA</t>
  </si>
  <si>
    <t>1586244682-2047</t>
  </si>
  <si>
    <t>Aprilia</t>
  </si>
  <si>
    <t>1586244405-1498</t>
  </si>
  <si>
    <t>1586243839-350</t>
  </si>
  <si>
    <t>1586244529-1728</t>
  </si>
  <si>
    <t>1586244002-797</t>
  </si>
  <si>
    <t>1586244000-791</t>
  </si>
  <si>
    <t>1586244579-1842</t>
  </si>
  <si>
    <t>1586243841-360</t>
  </si>
  <si>
    <t>1586244328-1355</t>
  </si>
  <si>
    <t>1586243936-619</t>
  </si>
  <si>
    <t>1586243934-612</t>
  </si>
  <si>
    <t>1586243683-92</t>
  </si>
  <si>
    <t>Yamaha</t>
  </si>
  <si>
    <t>1586243853-402</t>
  </si>
  <si>
    <t>1586244074-947</t>
  </si>
  <si>
    <t>1586244561-1800</t>
  </si>
  <si>
    <t>1586243870-427</t>
  </si>
  <si>
    <t>1586244195-1109</t>
  </si>
  <si>
    <t>Kawasaki</t>
  </si>
  <si>
    <t>1586244481-1656</t>
  </si>
  <si>
    <t>1586243662-45</t>
  </si>
  <si>
    <t>1586244420-1527</t>
  </si>
  <si>
    <t>1586244606-1891</t>
  </si>
  <si>
    <t>1586243863-420</t>
  </si>
  <si>
    <t>1586243959-704</t>
  </si>
  <si>
    <t>1586243832-331</t>
  </si>
  <si>
    <t>1586244062-924</t>
  </si>
  <si>
    <t>1586244579-1838</t>
  </si>
  <si>
    <t>1586243828-311</t>
  </si>
  <si>
    <t>1586244322-1320</t>
  </si>
  <si>
    <t>1586243917-552</t>
  </si>
  <si>
    <t>1586244076-960</t>
  </si>
  <si>
    <t>1586244210-1142</t>
  </si>
  <si>
    <t>1586244326-1344</t>
  </si>
  <si>
    <t>1586244002-796</t>
  </si>
  <si>
    <t>1586243714-141</t>
  </si>
  <si>
    <t>1586243837-342</t>
  </si>
  <si>
    <t>1586243978-744</t>
  </si>
  <si>
    <t>1586243891-473</t>
  </si>
  <si>
    <t>1586243737-180</t>
  </si>
  <si>
    <t>Suzuki</t>
  </si>
  <si>
    <t>1586244328-1351</t>
  </si>
  <si>
    <t>1586243943-641</t>
  </si>
  <si>
    <t>1586244473-1640</t>
  </si>
  <si>
    <t>1586244306-1288</t>
  </si>
  <si>
    <t>1586244481-1664</t>
  </si>
  <si>
    <t>1586243824-300</t>
  </si>
  <si>
    <t>1586244558-1792</t>
  </si>
  <si>
    <t>1586243957-699</t>
  </si>
  <si>
    <t>1586244328-1356</t>
  </si>
  <si>
    <t>1586243905-517</t>
  </si>
  <si>
    <t>1586244438-1570</t>
  </si>
  <si>
    <t>1586243830-318</t>
  </si>
  <si>
    <t>1586244124-1021</t>
  </si>
  <si>
    <t>1586244420-1531</t>
  </si>
  <si>
    <t>1586244202-1116</t>
  </si>
  <si>
    <t>1586243895-495</t>
  </si>
  <si>
    <t>1586244198-1115</t>
  </si>
  <si>
    <t>1586244632-1955</t>
  </si>
  <si>
    <t>1586243945-648</t>
  </si>
  <si>
    <t>1586243951-687</t>
  </si>
  <si>
    <t>1586244575-1829</t>
  </si>
  <si>
    <t>1586244627-1943</t>
  </si>
  <si>
    <t>1586244337-1391</t>
  </si>
  <si>
    <t>1586243843-371</t>
  </si>
  <si>
    <t>1586244318-1316</t>
  </si>
  <si>
    <t>1586244467-1625</t>
  </si>
  <si>
    <t>1586244424-1534</t>
  </si>
  <si>
    <t>1586243934-606</t>
  </si>
  <si>
    <t>1586244614-1915</t>
  </si>
  <si>
    <t>1586244627-1942</t>
  </si>
  <si>
    <t>1586243851-395</t>
  </si>
  <si>
    <t>1586244680-2039</t>
  </si>
  <si>
    <t>1586243905-513</t>
  </si>
  <si>
    <t>1586244457-1609</t>
  </si>
  <si>
    <t>1586243934-610</t>
  </si>
  <si>
    <t>1586243895-491</t>
  </si>
  <si>
    <t>1586243799-257</t>
  </si>
  <si>
    <t>1586243824-299</t>
  </si>
  <si>
    <t>1586244608-1898</t>
  </si>
  <si>
    <t>1586244128-1029</t>
  </si>
  <si>
    <t>1586244632-1952</t>
  </si>
  <si>
    <t>1586244021-862</t>
  </si>
  <si>
    <t>1586244097-994</t>
  </si>
  <si>
    <t>1586244008-830</t>
  </si>
  <si>
    <t>1586244326-1345</t>
  </si>
  <si>
    <t>1586244412-1516</t>
  </si>
  <si>
    <t>1586243949-669</t>
  </si>
  <si>
    <t>1586244002-800</t>
  </si>
  <si>
    <t>1586244082-977</t>
  </si>
  <si>
    <t>1586244268-1208</t>
  </si>
  <si>
    <t>1586243679-78</t>
  </si>
  <si>
    <t>1586244078-963</t>
  </si>
  <si>
    <t>1586244617-1921</t>
  </si>
  <si>
    <t>1586244056-905</t>
  </si>
  <si>
    <t>1586243959-705</t>
  </si>
  <si>
    <t>1586244023-868</t>
  </si>
  <si>
    <t>1586244306-1286</t>
  </si>
  <si>
    <t>1586243978-746</t>
  </si>
  <si>
    <t>1586243876-439</t>
  </si>
  <si>
    <t>1586243943-643</t>
  </si>
  <si>
    <t>1586243905-510</t>
  </si>
  <si>
    <t>1586243949-670</t>
  </si>
  <si>
    <t>1586244283-1242</t>
  </si>
  <si>
    <t>Harley-Davidson</t>
  </si>
  <si>
    <t>1586243947-655</t>
  </si>
  <si>
    <t>1586244602-1877</t>
  </si>
  <si>
    <t>1586244416-1522</t>
  </si>
  <si>
    <t>1586244169-1080</t>
  </si>
  <si>
    <t>1586243737-171</t>
  </si>
  <si>
    <t>1586244584-1845</t>
  </si>
  <si>
    <t>1586244293-1262</t>
  </si>
  <si>
    <t>1586244331-1368</t>
  </si>
  <si>
    <t>1586243714-139</t>
  </si>
  <si>
    <t>1586244017-849</t>
  </si>
  <si>
    <t>1586244293-1270</t>
  </si>
  <si>
    <t>1586243998-780</t>
  </si>
  <si>
    <t>1586244146-1054</t>
  </si>
  <si>
    <t>1586243917-550</t>
  </si>
  <si>
    <t>1586243949-676</t>
  </si>
  <si>
    <t>1586243899-497</t>
  </si>
  <si>
    <t>1586244066-931</t>
  </si>
  <si>
    <t>1586244326-1339</t>
  </si>
  <si>
    <t>1586244349-1412</t>
  </si>
  <si>
    <t>1586243949-675</t>
  </si>
  <si>
    <t>1586244049-903</t>
  </si>
  <si>
    <t>NORTON</t>
  </si>
  <si>
    <t>1586244550-1768</t>
  </si>
  <si>
    <t>1586244372-1443</t>
  </si>
  <si>
    <t>1586244351-1416</t>
  </si>
  <si>
    <t>1586244561-1795</t>
  </si>
  <si>
    <t>1586244293-1263</t>
  </si>
  <si>
    <t>1586244111-1008</t>
  </si>
  <si>
    <t>1586243667-59</t>
  </si>
  <si>
    <t>1586244362-1433</t>
  </si>
  <si>
    <t>1586244393-1479</t>
  </si>
  <si>
    <t>1586244293-1267</t>
  </si>
  <si>
    <t>1586244449-1590</t>
  </si>
  <si>
    <t>1586243996-763</t>
  </si>
  <si>
    <t>1586243917-554</t>
  </si>
  <si>
    <t>1586244111-1009</t>
  </si>
  <si>
    <t>1586244014-844</t>
  </si>
  <si>
    <t>1586244025-879</t>
  </si>
  <si>
    <t>1586244335-1378</t>
  </si>
  <si>
    <t>1586243687-95</t>
  </si>
  <si>
    <t>1586244360-1424</t>
  </si>
  <si>
    <t>1586244318-1318</t>
  </si>
  <si>
    <t>1586244204-1133</t>
  </si>
  <si>
    <t>1586244467-1627</t>
  </si>
  <si>
    <t>1586244436-1561</t>
  </si>
  <si>
    <t>1586243878-449</t>
  </si>
  <si>
    <t>1586243828-312</t>
  </si>
  <si>
    <t>1586243924-572</t>
  </si>
  <si>
    <t>1586243959-701</t>
  </si>
  <si>
    <t>1586243998-773</t>
  </si>
  <si>
    <t>1586244629-1947</t>
  </si>
  <si>
    <t>1586243957-696</t>
  </si>
  <si>
    <t>1586243832-324</t>
  </si>
  <si>
    <t>1586243692-103</t>
  </si>
  <si>
    <t>1586244573-1824</t>
  </si>
  <si>
    <t>1586244565-1801</t>
  </si>
  <si>
    <t>1586243959-702</t>
  </si>
  <si>
    <t>1586244337-1393</t>
  </si>
  <si>
    <t>1586244412-1510</t>
  </si>
  <si>
    <t>1586244659-2020</t>
  </si>
  <si>
    <t>Bimota</t>
  </si>
  <si>
    <t>1586244099-998</t>
  </si>
  <si>
    <t>1586244384-1464</t>
  </si>
  <si>
    <t>1586244561-1798</t>
  </si>
  <si>
    <t>1586243675-70</t>
  </si>
  <si>
    <t>1586244546-1759</t>
  </si>
  <si>
    <t>1586244430-1545</t>
  </si>
  <si>
    <t>1586244070-944</t>
  </si>
  <si>
    <t>1586243729-165</t>
  </si>
  <si>
    <t>1586244487-1680</t>
  </si>
  <si>
    <t>1586243839-355</t>
  </si>
  <si>
    <t>1586243723-158</t>
  </si>
  <si>
    <t>1586243754-198</t>
  </si>
  <si>
    <t>1586244370-1439</t>
  </si>
  <si>
    <t>1586244349-1410</t>
  </si>
  <si>
    <t>1586243853-398</t>
  </si>
  <si>
    <t>1586244665-2027</t>
  </si>
  <si>
    <t>1586244653-2014</t>
  </si>
  <si>
    <t>1586243922-567</t>
  </si>
  <si>
    <t>1586244529-1729</t>
  </si>
  <si>
    <t>1586243714-144</t>
  </si>
  <si>
    <t>1586243928-581</t>
  </si>
  <si>
    <t>1586244387-1469</t>
  </si>
  <si>
    <t>1586243884-465</t>
  </si>
  <si>
    <t>1586244485-1666</t>
  </si>
  <si>
    <t>1586244688-2051</t>
  </si>
  <si>
    <t>1586244592-1855</t>
  </si>
  <si>
    <t>1586244328-1349</t>
  </si>
  <si>
    <t>1586244308-1298</t>
  </si>
  <si>
    <t>1586244393-1478</t>
  </si>
  <si>
    <t>1586244500-1704</t>
  </si>
  <si>
    <t>1586244531-1733</t>
  </si>
  <si>
    <t>1586244173-1084</t>
  </si>
  <si>
    <t>1586243758-199</t>
  </si>
  <si>
    <t>1586243945-646</t>
  </si>
  <si>
    <t>1586244326-1337</t>
  </si>
  <si>
    <t>1586243820-288</t>
  </si>
  <si>
    <t>1586243953-694</t>
  </si>
  <si>
    <t>1586243851-393</t>
  </si>
  <si>
    <t>1586243710-134</t>
  </si>
  <si>
    <t>1586244006-811</t>
  </si>
  <si>
    <t>1586244612-1909</t>
  </si>
  <si>
    <t>1586244195-1105</t>
  </si>
  <si>
    <t>1586243959-707</t>
  </si>
  <si>
    <t>1586244195-1107</t>
  </si>
  <si>
    <t>1586243872-435</t>
  </si>
  <si>
    <t>1586244216-1154</t>
  </si>
  <si>
    <t>1586244345-1404</t>
  </si>
  <si>
    <t>1586244097-995</t>
  </si>
  <si>
    <t>1586244481-1665</t>
  </si>
  <si>
    <t>1586244008-826</t>
  </si>
  <si>
    <t>1586244550-1770</t>
  </si>
  <si>
    <t>1586244208-1139</t>
  </si>
  <si>
    <t>1586244037-891</t>
  </si>
  <si>
    <t>QUADRO</t>
  </si>
  <si>
    <t>1586244374-1452</t>
  </si>
  <si>
    <t>1586244173-1086</t>
  </si>
  <si>
    <t>1586243966-720</t>
  </si>
  <si>
    <t>1586244489-1688</t>
  </si>
  <si>
    <t>1586244487-1681</t>
  </si>
  <si>
    <t>1586243679-86</t>
  </si>
  <si>
    <t>1586244331-1364</t>
  </si>
  <si>
    <t>1586244467-1630</t>
  </si>
  <si>
    <t>1586244579-1837</t>
  </si>
  <si>
    <t>1586243696-110</t>
  </si>
  <si>
    <t>1586244066-937</t>
  </si>
  <si>
    <t>1586244010-839</t>
  </si>
  <si>
    <t>1586243830-315</t>
  </si>
  <si>
    <t>1586243752-194</t>
  </si>
  <si>
    <t>1586244477-1648</t>
  </si>
  <si>
    <t>1586243996-766</t>
  </si>
  <si>
    <t>1586244202-1124</t>
  </si>
  <si>
    <t>1586244648-2007</t>
  </si>
  <si>
    <t>1586244128-1031</t>
  </si>
  <si>
    <t>1586244632-1956</t>
  </si>
  <si>
    <t>1586243945-650</t>
  </si>
  <si>
    <t>1586244477-1647</t>
  </si>
  <si>
    <t>1586244006-807</t>
  </si>
  <si>
    <t>1586244000-793</t>
  </si>
  <si>
    <t>1586244000-788</t>
  </si>
  <si>
    <t>1586244508-1713</t>
  </si>
  <si>
    <t>1586244619-1927</t>
  </si>
  <si>
    <t>1586243966-721</t>
  </si>
  <si>
    <t>1586244264-1201</t>
  </si>
  <si>
    <t>1586243986-756</t>
  </si>
  <si>
    <t>1586244287-1251</t>
  </si>
  <si>
    <t>1586243806-271</t>
  </si>
  <si>
    <t>1586244592-1857</t>
  </si>
  <si>
    <t>1586244457-1604</t>
  </si>
  <si>
    <t>1586244531-1736</t>
  </si>
  <si>
    <t>1586244481-1663</t>
  </si>
  <si>
    <t>1586243723-156</t>
  </si>
  <si>
    <t>1586244245-1184</t>
  </si>
  <si>
    <t>Indian</t>
  </si>
  <si>
    <t>1586243959-708</t>
  </si>
  <si>
    <t>1586244000-783</t>
  </si>
  <si>
    <t>1586244202-1119</t>
  </si>
  <si>
    <t>1586243920-556</t>
  </si>
  <si>
    <t>1586244339-1397</t>
  </si>
  <si>
    <t>1586244604-1884</t>
  </si>
  <si>
    <t>1586244324-1334</t>
  </si>
  <si>
    <t>1586243947-659</t>
  </si>
  <si>
    <t>1586243696-107</t>
  </si>
  <si>
    <t>1586244558-1793</t>
  </si>
  <si>
    <t>1586243941-632</t>
  </si>
  <si>
    <t>1586243949-674</t>
  </si>
  <si>
    <t>1586243826-306</t>
  </si>
  <si>
    <t>1586243863-418</t>
  </si>
  <si>
    <t>1586244432-1554</t>
  </si>
  <si>
    <t>1586244128-1032</t>
  </si>
  <si>
    <t>1586244049-900</t>
  </si>
  <si>
    <t>1586244561-1796</t>
  </si>
  <si>
    <t>1586244638-1979</t>
  </si>
  <si>
    <t>1586244356-1419</t>
  </si>
  <si>
    <t>1586243752-192</t>
  </si>
  <si>
    <t>1586244487-1678</t>
  </si>
  <si>
    <t>1586244328-1354</t>
  </si>
  <si>
    <t>1586243998-771</t>
  </si>
  <si>
    <t>1586244459-1614</t>
  </si>
  <si>
    <t>1586244324-1331</t>
  </si>
  <si>
    <t>1586244366-1435</t>
  </si>
  <si>
    <t>1586244177-1093</t>
  </si>
  <si>
    <t>1586244494-1694</t>
  </si>
  <si>
    <t>1586244017-847</t>
  </si>
  <si>
    <t>1586244389-1473</t>
  </si>
  <si>
    <t>1586244006-810</t>
  </si>
  <si>
    <t>1586244014-845</t>
  </si>
  <si>
    <t>1586243907-519</t>
  </si>
  <si>
    <t>1586243947-658</t>
  </si>
  <si>
    <t>1586244078-967</t>
  </si>
  <si>
    <t>1586244518-1718</t>
  </si>
  <si>
    <t>Can-am</t>
  </si>
  <si>
    <t>1586244669-2031</t>
  </si>
  <si>
    <t>1586243671-66</t>
  </si>
  <si>
    <t>1586244653-2017</t>
  </si>
  <si>
    <t>1586244584-1847</t>
  </si>
  <si>
    <t>1586243762-205</t>
  </si>
  <si>
    <t>1586244008-821</t>
  </si>
  <si>
    <t>1586244322-1325</t>
  </si>
  <si>
    <t>1586243768-214</t>
  </si>
  <si>
    <t>1586244331-1359</t>
  </si>
  <si>
    <t>1586243830-320</t>
  </si>
  <si>
    <t>1586244487-1677</t>
  </si>
  <si>
    <t>1586244218-1158</t>
  </si>
  <si>
    <t>1586243982-753</t>
  </si>
  <si>
    <t>1586244623-1930</t>
  </si>
  <si>
    <t>1586244461-1619</t>
  </si>
  <si>
    <t>1586244614-1917</t>
  </si>
  <si>
    <t>1586244380-1463</t>
  </si>
  <si>
    <t>1586244058-918</t>
  </si>
  <si>
    <t>1586244479-1650</t>
  </si>
  <si>
    <t>1586244031-888</t>
  </si>
  <si>
    <t>1586244293-1264</t>
  </si>
  <si>
    <t>1586243687-96</t>
  </si>
  <si>
    <t>1586244031-889</t>
  </si>
  <si>
    <t>1586244006-813</t>
  </si>
  <si>
    <t>1586243994-761</t>
  </si>
  <si>
    <t>1586244043-897</t>
  </si>
  <si>
    <t>PIAGGIO</t>
  </si>
  <si>
    <t>1586244233-1171</t>
  </si>
  <si>
    <t>1586244457-1605</t>
  </si>
  <si>
    <t>1586243949-678</t>
  </si>
  <si>
    <t>1586243696-109</t>
  </si>
  <si>
    <t>1586244529-1731</t>
  </si>
  <si>
    <t>1586244014-843</t>
  </si>
  <si>
    <t>1586244665-2026</t>
  </si>
  <si>
    <t>1586244322-1328</t>
  </si>
  <si>
    <t>1586244640-1994</t>
  </si>
  <si>
    <t>1586243683-90</t>
  </si>
  <si>
    <t>1586244542-1751</t>
  </si>
  <si>
    <t>1586244636-1977</t>
  </si>
  <si>
    <t>1586244556-1780</t>
  </si>
  <si>
    <t>1586244339-1396</t>
  </si>
  <si>
    <t>1586243683-89</t>
  </si>
  <si>
    <t>1586244237-1177</t>
  </si>
  <si>
    <t>1586243754-196</t>
  </si>
  <si>
    <t>1586244529-1727</t>
  </si>
  <si>
    <t>1586243949-677</t>
  </si>
  <si>
    <t>1586244525-1724</t>
  </si>
  <si>
    <t>1586244204-1131</t>
  </si>
  <si>
    <t>1586244387-1471</t>
  </si>
  <si>
    <t>1586244216-1152</t>
  </si>
  <si>
    <t>1586243932-597</t>
  </si>
  <si>
    <t>1586243671-69</t>
  </si>
  <si>
    <t>1586243994-762</t>
  </si>
  <si>
    <t>1586243835-333</t>
  </si>
  <si>
    <t>1586244002-801</t>
  </si>
  <si>
    <t>1586244663-2023</t>
  </si>
  <si>
    <t>1586243719-155</t>
  </si>
  <si>
    <t>1586244023-869</t>
  </si>
  <si>
    <t>1586244043-898</t>
  </si>
  <si>
    <t>1586244604-1881</t>
  </si>
  <si>
    <t>1586244638-1983</t>
  </si>
  <si>
    <t>1586244331-1363</t>
  </si>
  <si>
    <t>1586244132-1040</t>
  </si>
  <si>
    <t>1586244407-1503</t>
  </si>
  <si>
    <t>1586244682-2045</t>
  </si>
  <si>
    <t>1586244644-2003</t>
  </si>
  <si>
    <t>1586244337-1392</t>
  </si>
  <si>
    <t>1586243785-234</t>
  </si>
  <si>
    <t>MV AGUSTA</t>
  </si>
  <si>
    <t>1586244132-1039</t>
  </si>
  <si>
    <t>1586244056-908</t>
  </si>
  <si>
    <t>1586243863-416</t>
  </si>
  <si>
    <t>1586243930-590</t>
  </si>
  <si>
    <t>1586243901-506</t>
  </si>
  <si>
    <t>1586244058-919</t>
  </si>
  <si>
    <t>1586244424-1533</t>
  </si>
  <si>
    <t>1586244132-1041</t>
  </si>
  <si>
    <t>1586243687-99</t>
  </si>
  <si>
    <t>1586244195-1111</t>
  </si>
  <si>
    <t>1586244556-1785</t>
  </si>
  <si>
    <t>1586244019-855</t>
  </si>
  <si>
    <t>1586243976-738</t>
  </si>
  <si>
    <t>1586244056-912</t>
  </si>
  <si>
    <t>1586243895-490</t>
  </si>
  <si>
    <t>1586244074-954</t>
  </si>
  <si>
    <t>1586243922-568</t>
  </si>
  <si>
    <t>1586243830-321</t>
  </si>
  <si>
    <t>1586244243-1178</t>
  </si>
  <si>
    <t>1586243976-743</t>
  </si>
  <si>
    <t>1586244640-1997</t>
  </si>
  <si>
    <t>1586243702-116</t>
  </si>
  <si>
    <t>1586243744-183</t>
  </si>
  <si>
    <t>1586243913-535</t>
  </si>
  <si>
    <t>1586243675-74</t>
  </si>
  <si>
    <t>1586243687-100</t>
  </si>
  <si>
    <t>1586244002-806</t>
  </si>
  <si>
    <t>1586244663-2022</t>
  </si>
  <si>
    <t>1586244243-1180</t>
  </si>
  <si>
    <t>1586244049-902</t>
  </si>
  <si>
    <t>1586244384-1465</t>
  </si>
  <si>
    <t>1586244264-1199</t>
  </si>
  <si>
    <t>1586244447-1586</t>
  </si>
  <si>
    <t>1586243880-455</t>
  </si>
  <si>
    <t>1586244494-1692</t>
  </si>
  <si>
    <t>1586243915-540</t>
  </si>
  <si>
    <t>1586244467-1624</t>
  </si>
  <si>
    <t>1586243843-375</t>
  </si>
  <si>
    <t>1586243938-628</t>
  </si>
  <si>
    <t>1586243814-278</t>
  </si>
  <si>
    <t>1586244389-1475</t>
  </si>
  <si>
    <t>1586244428-1536</t>
  </si>
  <si>
    <t>1586243947-661</t>
  </si>
  <si>
    <t>1586244659-2021</t>
  </si>
  <si>
    <t>1586243938-627</t>
  </si>
  <si>
    <t>1586243943-640</t>
  </si>
  <si>
    <t>1586244274-1224</t>
  </si>
  <si>
    <t>1586244567-1814</t>
  </si>
  <si>
    <t>1586243660-38</t>
  </si>
  <si>
    <t>1586244274-1221</t>
  </si>
  <si>
    <t>1586243968-723</t>
  </si>
  <si>
    <t>1586243920-559</t>
  </si>
  <si>
    <t>1586244326-1342</t>
  </si>
  <si>
    <t>1586243841-359</t>
  </si>
  <si>
    <t>1586244550-1773</t>
  </si>
  <si>
    <t>1586244449-1591</t>
  </si>
  <si>
    <t>1586244623-1929</t>
  </si>
  <si>
    <t>1586244333-1374</t>
  </si>
  <si>
    <t>1586243978-748</t>
  </si>
  <si>
    <t>1586244318-1317</t>
  </si>
  <si>
    <t>1586244567-1812</t>
  </si>
  <si>
    <t>1586243801-262</t>
  </si>
  <si>
    <t>1586243729-160</t>
  </si>
  <si>
    <t>1586244550-1763</t>
  </si>
  <si>
    <t>1586243886-469</t>
  </si>
  <si>
    <t>1586244328-1350</t>
  </si>
  <si>
    <t>1586244665-2028</t>
  </si>
  <si>
    <t>1586243822-293</t>
  </si>
  <si>
    <t>1586243832-327</t>
  </si>
  <si>
    <t>1586244558-1791</t>
  </si>
  <si>
    <t>1586243863-417</t>
  </si>
  <si>
    <t>1586244360-1425</t>
  </si>
  <si>
    <t>1586244680-2038</t>
  </si>
  <si>
    <t>1586244173-1083</t>
  </si>
  <si>
    <t>1586244579-1836</t>
  </si>
  <si>
    <t>1586244128-1033</t>
  </si>
  <si>
    <t>1586244136-1045</t>
  </si>
  <si>
    <t>1586244366-1437</t>
  </si>
  <si>
    <t>1586244614-1916</t>
  </si>
  <si>
    <t>1586244588-1849</t>
  </si>
  <si>
    <t>1586243816-280</t>
  </si>
  <si>
    <t>1586244066-935</t>
  </si>
  <si>
    <t>1586244008-833</t>
  </si>
  <si>
    <t>1586243893-483</t>
  </si>
  <si>
    <t>1586244150-1056</t>
  </si>
  <si>
    <t>1586244412-1508</t>
  </si>
  <si>
    <t>1586244006-815</t>
  </si>
  <si>
    <t>1586243729-159</t>
  </si>
  <si>
    <t>1586243876-440</t>
  </si>
  <si>
    <t>1586244339-1399</t>
  </si>
  <si>
    <t>1586244268-1205</t>
  </si>
  <si>
    <t>1586244531-1738</t>
  </si>
  <si>
    <t>1586243989-759</t>
  </si>
  <si>
    <t>1586244161-1063</t>
  </si>
  <si>
    <t>1586244308-1295</t>
  </si>
  <si>
    <t>1586244489-1685</t>
  </si>
  <si>
    <t>1586244608-1899</t>
  </si>
  <si>
    <t>1586244638-1982</t>
  </si>
  <si>
    <t>1586244091-986</t>
  </si>
  <si>
    <t>1586244632-1951</t>
  </si>
  <si>
    <t>1586244252-1186</t>
  </si>
  <si>
    <t>1586244614-1913</t>
  </si>
  <si>
    <t>1586243880-457</t>
  </si>
  <si>
    <t>1586244461-1618</t>
  </si>
  <si>
    <t>1586243698-113</t>
  </si>
  <si>
    <t>1586243982-752</t>
  </si>
  <si>
    <t>1586244080-971</t>
  </si>
  <si>
    <t>1586244056-906</t>
  </si>
  <si>
    <t>1586243816-285</t>
  </si>
  <si>
    <t>1586244535-1744</t>
  </si>
  <si>
    <t>1586243810-277</t>
  </si>
  <si>
    <t>1586244403-1497</t>
  </si>
  <si>
    <t>1586243972-735</t>
  </si>
  <si>
    <t>1586243928-584</t>
  </si>
  <si>
    <t>1586243816-282</t>
  </si>
  <si>
    <t>1586244629-1949</t>
  </si>
  <si>
    <t>1586243679-81</t>
  </si>
  <si>
    <t>1586244617-1919</t>
  </si>
  <si>
    <t>1586243901-502</t>
  </si>
  <si>
    <t>1586244477-1641</t>
  </si>
  <si>
    <t>1586244575-1831</t>
  </si>
  <si>
    <t>1586244447-1581</t>
  </si>
  <si>
    <t>1586244416-1520</t>
  </si>
  <si>
    <t>1586244529-1725</t>
  </si>
  <si>
    <t>1586244453-1594</t>
  </si>
  <si>
    <t>1586243764-210</t>
  </si>
  <si>
    <t>1586243913-536</t>
  </si>
  <si>
    <t>1586243901-505</t>
  </si>
  <si>
    <t>1586244289-1261</t>
  </si>
  <si>
    <t>1586244627-1940</t>
  </si>
  <si>
    <t>1586244575-1827</t>
  </si>
  <si>
    <t>1586243876-445</t>
  </si>
  <si>
    <t>1586243692-105</t>
  </si>
  <si>
    <t>1586243978-745</t>
  </si>
  <si>
    <t>1586243702-117</t>
  </si>
  <si>
    <t>1586243893-486</t>
  </si>
  <si>
    <t>1586243702-119</t>
  </si>
  <si>
    <t>1586244136-1042</t>
  </si>
  <si>
    <t>1586244627-1938</t>
  </si>
  <si>
    <t>1586243845-376</t>
  </si>
  <si>
    <t>1586243928-576</t>
  </si>
  <si>
    <t>1586244457-1606</t>
  </si>
  <si>
    <t>1586244447-1585</t>
  </si>
  <si>
    <t>1586244569-1820</t>
  </si>
  <si>
    <t>1586244337-1394</t>
  </si>
  <si>
    <t>1586244339-1398</t>
  </si>
  <si>
    <t>1586243884-464</t>
  </si>
  <si>
    <t>1586244569-1819</t>
  </si>
  <si>
    <t>1586244233-1170</t>
  </si>
  <si>
    <t>1586244412-1512</t>
  </si>
  <si>
    <t>1586244107-1002</t>
  </si>
  <si>
    <t>1586243776-221</t>
  </si>
  <si>
    <t>1586244498-1700</t>
  </si>
  <si>
    <t>1586244198-1114</t>
  </si>
  <si>
    <t>1586243843-374</t>
  </si>
  <si>
    <t>1586244308-1290</t>
  </si>
  <si>
    <t>1586244006-816</t>
  </si>
  <si>
    <t>1586243884-462</t>
  </si>
  <si>
    <t>1586243895-492</t>
  </si>
  <si>
    <t>1586244287-1247</t>
  </si>
  <si>
    <t>1586244076-962</t>
  </si>
  <si>
    <t>1586243989-760</t>
  </si>
  <si>
    <t>1586244588-1850</t>
  </si>
  <si>
    <t>1586244625-1934</t>
  </si>
  <si>
    <t>1586243899-500</t>
  </si>
  <si>
    <t>1586243934-607</t>
  </si>
  <si>
    <t>1586244457-1602</t>
  </si>
  <si>
    <t>1586244208-1138</t>
  </si>
  <si>
    <t>1586243795-249</t>
  </si>
  <si>
    <t>1586244173-1090</t>
  </si>
  <si>
    <t>1586244374-1453</t>
  </si>
  <si>
    <t>1586243824-302</t>
  </si>
  <si>
    <t>1586244436-1559</t>
  </si>
  <si>
    <t>1586243947-660</t>
  </si>
  <si>
    <t>1586244058-917</t>
  </si>
  <si>
    <t>1586244154-1059</t>
  </si>
  <si>
    <t>1586244579-1840</t>
  </si>
  <si>
    <t>1586244648-2004</t>
  </si>
  <si>
    <t>1586243733-169</t>
  </si>
  <si>
    <t>1586243839-348</t>
  </si>
  <si>
    <t>1586243986-755</t>
  </si>
  <si>
    <t>1586243907-526</t>
  </si>
  <si>
    <t>1586244638-1980</t>
  </si>
  <si>
    <t>1586244202-1122</t>
  </si>
  <si>
    <t>1586244328-1348</t>
  </si>
  <si>
    <t>1586243733-168</t>
  </si>
  <si>
    <t>1586244438-1564</t>
  </si>
  <si>
    <t>1586243930-586</t>
  </si>
  <si>
    <t>1586244322-1321</t>
  </si>
  <si>
    <t>1586244473-1637</t>
  </si>
  <si>
    <t>1586244231-1167</t>
  </si>
  <si>
    <t>1586244260-1198</t>
  </si>
  <si>
    <t>1586244023-866</t>
  </si>
  <si>
    <t>1586244467-1622</t>
  </si>
  <si>
    <t>1586243776-220</t>
  </si>
  <si>
    <t>1586244380-1460</t>
  </si>
  <si>
    <t>1586244111-1007</t>
  </si>
  <si>
    <t>1586244095-990</t>
  </si>
  <si>
    <t>1586243949-672</t>
  </si>
  <si>
    <t>1586244198-1113</t>
  </si>
  <si>
    <t>1586244447-1583</t>
  </si>
  <si>
    <t>1586244062-926</t>
  </si>
  <si>
    <t>1586244608-1896</t>
  </si>
  <si>
    <t>1586244565-1803</t>
  </si>
  <si>
    <t>1586244202-1117</t>
  </si>
  <si>
    <t>1586244430-1546</t>
  </si>
  <si>
    <t>1586244351-1415</t>
  </si>
  <si>
    <t>1586244682-2043</t>
  </si>
  <si>
    <t>1586244688-2050</t>
  </si>
  <si>
    <t>1586244682-2044</t>
  </si>
  <si>
    <t>1586243922-563</t>
  </si>
  <si>
    <t>1586244237-1175</t>
  </si>
  <si>
    <t>1586244287-1254</t>
  </si>
  <si>
    <t>1586244312-1304</t>
  </si>
  <si>
    <t>1586244150-1058</t>
  </si>
  <si>
    <t>1586243662-48</t>
  </si>
  <si>
    <t>1586243920-560</t>
  </si>
  <si>
    <t>1586244270-1216</t>
  </si>
  <si>
    <t>1586244512-1717</t>
  </si>
  <si>
    <t>1586244627-1941</t>
  </si>
  <si>
    <t>1586243835-335</t>
  </si>
  <si>
    <t>1586243932-599</t>
  </si>
  <si>
    <t>1586244120-1018</t>
  </si>
  <si>
    <t>1586244504-1710</t>
  </si>
  <si>
    <t>1586244000-785</t>
  </si>
  <si>
    <t>1586244115-1015</t>
  </si>
  <si>
    <t>1586244584-1846</t>
  </si>
  <si>
    <t>1586244629-1944</t>
  </si>
  <si>
    <t>1586244636-1976</t>
  </si>
  <si>
    <t>1586243687-97</t>
  </si>
  <si>
    <t>1586244412-1509</t>
  </si>
  <si>
    <t>1586244252-1187</t>
  </si>
  <si>
    <t>1586243876-443</t>
  </si>
  <si>
    <t>1586243714-138</t>
  </si>
  <si>
    <t>1586244477-1643</t>
  </si>
  <si>
    <t>1586243998-770</t>
  </si>
  <si>
    <t>1586244299-1276</t>
  </si>
  <si>
    <t>1586244438-1565</t>
  </si>
  <si>
    <t>1586243922-569</t>
  </si>
  <si>
    <t>1586244082-975</t>
  </si>
  <si>
    <t>1586243841-367</t>
  </si>
  <si>
    <t>1586244610-1903</t>
  </si>
  <si>
    <t>1586244567-1811</t>
  </si>
  <si>
    <t>1586243962-709</t>
  </si>
  <si>
    <t>1586244600-1876</t>
  </si>
  <si>
    <t>1586244293-1268</t>
  </si>
  <si>
    <t>1586244146-1052</t>
  </si>
  <si>
    <t>1586244518-1719</t>
  </si>
  <si>
    <t>1586244008-832</t>
  </si>
  <si>
    <t>1586244502-1707</t>
  </si>
  <si>
    <t>1586244099-1001</t>
  </si>
  <si>
    <t>1586244202-1118</t>
  </si>
  <si>
    <t>1586243936-616</t>
  </si>
  <si>
    <t>1586243886-472</t>
  </si>
  <si>
    <t>1586243913-537</t>
  </si>
  <si>
    <t>1586243863-415</t>
  </si>
  <si>
    <t>1586244485-1671</t>
  </si>
  <si>
    <t>1586243953-693</t>
  </si>
  <si>
    <t>1586244453-1596</t>
  </si>
  <si>
    <t>1586243841-368</t>
  </si>
  <si>
    <t>1586244177-1094</t>
  </si>
  <si>
    <t>1586244146-1055</t>
  </si>
  <si>
    <t>1586244447-1582</t>
  </si>
  <si>
    <t>1586244293-1265</t>
  </si>
  <si>
    <t>1586244025-872</t>
  </si>
  <si>
    <t>1586243959-703</t>
  </si>
  <si>
    <t>1586244331-1357</t>
  </si>
  <si>
    <t>1586244561-1797</t>
  </si>
  <si>
    <t>1586244567-1810</t>
  </si>
  <si>
    <t>1586244550-1766</t>
  </si>
  <si>
    <t>1586244322-1324</t>
  </si>
  <si>
    <t>1586243832-330</t>
  </si>
  <si>
    <t>1586243951-684</t>
  </si>
  <si>
    <t>1586243917-547</t>
  </si>
  <si>
    <t>1586243884-463</t>
  </si>
  <si>
    <t>1586244634-1968</t>
  </si>
  <si>
    <t>1586244029-882</t>
  </si>
  <si>
    <t>1586244017-848</t>
  </si>
  <si>
    <t>1586244337-1386</t>
  </si>
  <si>
    <t>1586243839-352</t>
  </si>
  <si>
    <t>1586244393-1481</t>
  </si>
  <si>
    <t>1586243891-477</t>
  </si>
  <si>
    <t>1586244335-1381</t>
  </si>
  <si>
    <t>1586244535-1740</t>
  </si>
  <si>
    <t>1586244395-1484</t>
  </si>
  <si>
    <t>1586244308-1291</t>
  </si>
  <si>
    <t>1586244074-949</t>
  </si>
  <si>
    <t>1586244281-1230</t>
  </si>
  <si>
    <t>1586244459-1613</t>
  </si>
  <si>
    <t>1586244412-1511</t>
  </si>
  <si>
    <t>1586243785-226</t>
  </si>
  <si>
    <t>1586244473-1638</t>
  </si>
  <si>
    <t>1586244565-1808</t>
  </si>
  <si>
    <t>1586244331-1362</t>
  </si>
  <si>
    <t>1586244080-969</t>
  </si>
  <si>
    <t>1586243683-88</t>
  </si>
  <si>
    <t>1586244202-1128</t>
  </si>
  <si>
    <t>1586244481-1662</t>
  </si>
  <si>
    <t>1586243706-128</t>
  </si>
  <si>
    <t>1586244481-1654</t>
  </si>
  <si>
    <t>1586243928-578</t>
  </si>
  <si>
    <t>1586244002-802</t>
  </si>
  <si>
    <t>1586244264-1204</t>
  </si>
  <si>
    <t>1586243943-637</t>
  </si>
  <si>
    <t>1586243764-211</t>
  </si>
  <si>
    <t>1586244550-1769</t>
  </si>
  <si>
    <t>1586244494-1697</t>
  </si>
  <si>
    <t>1586244399-1491</t>
  </si>
  <si>
    <t>1586243737-177</t>
  </si>
  <si>
    <t>1586244337-1389</t>
  </si>
  <si>
    <t>1586243870-432</t>
  </si>
  <si>
    <t>1586243714-152</t>
  </si>
  <si>
    <t>1586244489-1689</t>
  </si>
  <si>
    <t>1586244405-1500</t>
  </si>
  <si>
    <t>1586244634-1960</t>
  </si>
  <si>
    <t>1586244539-1749</t>
  </si>
  <si>
    <t>1586244326-1340</t>
  </si>
  <si>
    <t>1586243660-39</t>
  </si>
  <si>
    <t>1586244333-1370</t>
  </si>
  <si>
    <t>1586244619-1928</t>
  </si>
  <si>
    <t>1586244006-820</t>
  </si>
  <si>
    <t>1586243878-452</t>
  </si>
  <si>
    <t>1586244107-1003</t>
  </si>
  <si>
    <t>1586243886-468</t>
  </si>
  <si>
    <t>1586244023-870</t>
  </si>
  <si>
    <t>1586244653-2018</t>
  </si>
  <si>
    <t>1586243905-518</t>
  </si>
  <si>
    <t>1586243714-151</t>
  </si>
  <si>
    <t>1586244638-1985</t>
  </si>
  <si>
    <t>1586244588-1854</t>
  </si>
  <si>
    <t>1586244227-1162</t>
  </si>
  <si>
    <t>1586244416-1517</t>
  </si>
  <si>
    <t>1586243806-269</t>
  </si>
  <si>
    <t>1586243837-341</t>
  </si>
  <si>
    <t>1586243801-264</t>
  </si>
  <si>
    <t>1586244608-1895</t>
  </si>
  <si>
    <t>1586244331-1365</t>
  </si>
  <si>
    <t>1586244264-1202</t>
  </si>
  <si>
    <t>1586243917-548</t>
  </si>
  <si>
    <t>1586243978-749</t>
  </si>
  <si>
    <t>1586244432-1551</t>
  </si>
  <si>
    <t>1586244467-1626</t>
  </si>
  <si>
    <t>1586244619-1926</t>
  </si>
  <si>
    <t>1586243822-297</t>
  </si>
  <si>
    <t>1586243972-736</t>
  </si>
  <si>
    <t>1586244287-1246</t>
  </si>
  <si>
    <t>1586244308-1289</t>
  </si>
  <si>
    <t>1586243762-207</t>
  </si>
  <si>
    <t>1586244504-1711</t>
  </si>
  <si>
    <t>1586243849-384</t>
  </si>
  <si>
    <t>1586244091-988</t>
  </si>
  <si>
    <t>1586244596-1863</t>
  </si>
  <si>
    <t>1586243913-538</t>
  </si>
  <si>
    <t>1586243714-150</t>
  </si>
  <si>
    <t>1586244596-1862</t>
  </si>
  <si>
    <t>1586244438-1568</t>
  </si>
  <si>
    <t>1586244552-1777</t>
  </si>
  <si>
    <t>1586244407-1507</t>
  </si>
  <si>
    <t>1586243810-272</t>
  </si>
  <si>
    <t>1586244432-1550</t>
  </si>
  <si>
    <t>1586244343-1403</t>
  </si>
  <si>
    <t>1586244056-909</t>
  </si>
  <si>
    <t>1586244008-822</t>
  </si>
  <si>
    <t>1586244606-1894</t>
  </si>
  <si>
    <t>1586244640-1996</t>
  </si>
  <si>
    <t>1586244066-936</t>
  </si>
  <si>
    <t>1586244531-1735</t>
  </si>
  <si>
    <t>1586244416-1525</t>
  </si>
  <si>
    <t>1586244185-1100</t>
  </si>
  <si>
    <t>1586243801-265</t>
  </si>
  <si>
    <t>1586243667-62</t>
  </si>
  <si>
    <t>1586244345-1406</t>
  </si>
  <si>
    <t>1586244189-1103</t>
  </si>
  <si>
    <t>1586243671-63</t>
  </si>
  <si>
    <t>1586244140-1051</t>
  </si>
  <si>
    <t>1586244062-923</t>
  </si>
  <si>
    <t>1586244606-1886</t>
  </si>
  <si>
    <t>1586244606-1888</t>
  </si>
  <si>
    <t>1586244029-881</t>
  </si>
  <si>
    <t>1586243953-691</t>
  </si>
  <si>
    <t>1586244378-1457</t>
  </si>
  <si>
    <t>1586244629-1946</t>
  </si>
  <si>
    <t>1586243662-46</t>
  </si>
  <si>
    <t>1586244405-1499</t>
  </si>
  <si>
    <t>1586243837-345</t>
  </si>
  <si>
    <t>1586244326-1346</t>
  </si>
  <si>
    <t>1586244017-851</t>
  </si>
  <si>
    <t>1586244674-2035</t>
  </si>
  <si>
    <t>1586244600-1871</t>
  </si>
  <si>
    <t>1586243905-514</t>
  </si>
  <si>
    <t>1586244632-1953</t>
  </si>
  <si>
    <t>1586244000-794</t>
  </si>
  <si>
    <t>1586244420-1526</t>
  </si>
  <si>
    <t>1586244430-1544</t>
  </si>
  <si>
    <t>1586243679-82</t>
  </si>
  <si>
    <t>1586244010-837</t>
  </si>
  <si>
    <t>1586244387-1468</t>
  </si>
  <si>
    <t>1586244270-1218</t>
  </si>
  <si>
    <t>1586244099-1000</t>
  </si>
  <si>
    <t>1586243785-236</t>
  </si>
  <si>
    <t>1586244529-1732</t>
  </si>
  <si>
    <t>1586243820-291</t>
  </si>
  <si>
    <t>1586244610-1902</t>
  </si>
  <si>
    <t>1586244212-1147</t>
  </si>
  <si>
    <t>1586244161-1069</t>
  </si>
  <si>
    <t>1586243737-173</t>
  </si>
  <si>
    <t>1586244006-808</t>
  </si>
  <si>
    <t>1586244233-1173</t>
  </si>
  <si>
    <t>1586243762-203</t>
  </si>
  <si>
    <t>1586243662-47</t>
  </si>
  <si>
    <t>1586244453-1592</t>
  </si>
  <si>
    <t>1586244268-1207</t>
  </si>
  <si>
    <t>1586244535-1742</t>
  </si>
  <si>
    <t>1586244058-914</t>
  </si>
  <si>
    <t>1586243976-742</t>
  </si>
  <si>
    <t>1586244565-1805</t>
  </si>
  <si>
    <t>1586244636-1970</t>
  </si>
  <si>
    <t>1586244457-1607</t>
  </si>
  <si>
    <t>1586244066-934</t>
  </si>
  <si>
    <t>1586244362-1428</t>
  </si>
  <si>
    <t>1586243660-44</t>
  </si>
  <si>
    <t>1586244608-1897</t>
  </si>
  <si>
    <t>1586243986-754</t>
  </si>
  <si>
    <t>1586243998-777</t>
  </si>
  <si>
    <t>1586243911-531</t>
  </si>
  <si>
    <t>1586243714-145</t>
  </si>
  <si>
    <t>1586244374-1449</t>
  </si>
  <si>
    <t>1586243787-238</t>
  </si>
  <si>
    <t>1586244136-1044</t>
  </si>
  <si>
    <t>1586243924-574</t>
  </si>
  <si>
    <t>1586244087-981</t>
  </si>
  <si>
    <t>1586244596-1870</t>
  </si>
  <si>
    <t>1586244293-1272</t>
  </si>
  <si>
    <t>1586244489-1682</t>
  </si>
  <si>
    <t>1586243828-310</t>
  </si>
  <si>
    <t>1586244287-1245</t>
  </si>
  <si>
    <t>1586243968-727</t>
  </si>
  <si>
    <t>1586244218-1156</t>
  </si>
  <si>
    <t>1586244260-1196</t>
  </si>
  <si>
    <t>1586244600-1874</t>
  </si>
  <si>
    <t>1586244614-1914</t>
  </si>
  <si>
    <t>1586244283-1241</t>
  </si>
  <si>
    <t>1586244204-1136</t>
  </si>
  <si>
    <t>1586244575-1828</t>
  </si>
  <si>
    <t>1586243962-710</t>
  </si>
  <si>
    <t>1586244498-1703</t>
  </si>
  <si>
    <t>1586243737-174</t>
  </si>
  <si>
    <t>1586243758-202</t>
  </si>
  <si>
    <t>1586244397-1487</t>
  </si>
  <si>
    <t>1586243851-394</t>
  </si>
  <si>
    <t>1586244025-874</t>
  </si>
  <si>
    <t>1586243675-71</t>
  </si>
  <si>
    <t>1586243895-494</t>
  </si>
  <si>
    <t>1586244140-1047</t>
  </si>
  <si>
    <t>1586244062-928</t>
  </si>
  <si>
    <t>1586244216-1153</t>
  </si>
  <si>
    <t>1586243710-129</t>
  </si>
  <si>
    <t>1586243934-611</t>
  </si>
  <si>
    <t>1586243878-448</t>
  </si>
  <si>
    <t>1586243801-261</t>
  </si>
  <si>
    <t>1586243810-274</t>
  </si>
  <si>
    <t>1586244264-1203</t>
  </si>
  <si>
    <t>1586244610-1900</t>
  </si>
  <si>
    <t>1586244021-860</t>
  </si>
  <si>
    <t>1586244070-940</t>
  </si>
  <si>
    <t>1586243998-778</t>
  </si>
  <si>
    <t>1586244617-1920</t>
  </si>
  <si>
    <t>1586244584-1844</t>
  </si>
  <si>
    <t>1586244210-1140</t>
  </si>
  <si>
    <t>1586244195-1106</t>
  </si>
  <si>
    <t>1586243966-719</t>
  </si>
  <si>
    <t>1586244443-1575</t>
  </si>
  <si>
    <t>1586243679-77</t>
  </si>
  <si>
    <t>1586244008-831</t>
  </si>
  <si>
    <t>1586243837-346</t>
  </si>
  <si>
    <t>1586244542-1753</t>
  </si>
  <si>
    <t>1586243962-711</t>
  </si>
  <si>
    <t>1586244268-1206</t>
  </si>
  <si>
    <t>1586243891-478</t>
  </si>
  <si>
    <t>1586244461-1621</t>
  </si>
  <si>
    <t>1586243868-424</t>
  </si>
  <si>
    <t>1586244169-1079</t>
  </si>
  <si>
    <t>1586244477-1645</t>
  </si>
  <si>
    <t>1586243951-683</t>
  </si>
  <si>
    <t>1586244066-930</t>
  </si>
  <si>
    <t>1586244202-1129</t>
  </si>
  <si>
    <t>1586244366-1436</t>
  </si>
  <si>
    <t>1586244066-932</t>
  </si>
  <si>
    <t>1586243996-765</t>
  </si>
  <si>
    <t>1586244457-1603</t>
  </si>
  <si>
    <t>1586243947-653</t>
  </si>
  <si>
    <t>1586244596-1864</t>
  </si>
  <si>
    <t>1586244397-1488</t>
  </si>
  <si>
    <t>1586244612-1910</t>
  </si>
  <si>
    <t>1586243744-185</t>
  </si>
  <si>
    <t>1586244245-1181</t>
  </si>
  <si>
    <t>1586243733-166</t>
  </si>
  <si>
    <t>1586243795-253</t>
  </si>
  <si>
    <t>1586243998-769</t>
  </si>
  <si>
    <t>1586244066-929</t>
  </si>
  <si>
    <t>1586244283-1240</t>
  </si>
  <si>
    <t>1586243795-251</t>
  </si>
  <si>
    <t>1586243953-695</t>
  </si>
  <si>
    <t>1586243930-587</t>
  </si>
  <si>
    <t>1586244619-1925</t>
  </si>
  <si>
    <t>1586244531-1734</t>
  </si>
  <si>
    <t>1586243671-67</t>
  </si>
  <si>
    <t>1586244629-1948</t>
  </si>
  <si>
    <t>1586244399-1493</t>
  </si>
  <si>
    <t>1586244080-970</t>
  </si>
  <si>
    <t>1586244592-1860</t>
  </si>
  <si>
    <t>1586244002-803</t>
  </si>
  <si>
    <t>1586244268-1210</t>
  </si>
  <si>
    <t>1586243962-712</t>
  </si>
  <si>
    <t>1586243785-230</t>
  </si>
  <si>
    <t>1586244362-1432</t>
  </si>
  <si>
    <t>1586244550-1767</t>
  </si>
  <si>
    <t>1586243945-645</t>
  </si>
  <si>
    <t>1586243886-471</t>
  </si>
  <si>
    <t>1586243824-305</t>
  </si>
  <si>
    <t>1586243907-522</t>
  </si>
  <si>
    <t>1586244356-1421</t>
  </si>
  <si>
    <t>1586244289-1259</t>
  </si>
  <si>
    <t>1586244479-1649</t>
  </si>
  <si>
    <t>1586244062-921</t>
  </si>
  <si>
    <t>1586243943-639</t>
  </si>
  <si>
    <t>1586244283-1234</t>
  </si>
  <si>
    <t>1586243899-501</t>
  </si>
  <si>
    <t>1586243841-365</t>
  </si>
  <si>
    <t>1586243698-111</t>
  </si>
  <si>
    <t>1586244550-1764</t>
  </si>
  <si>
    <t>1586244169-1078</t>
  </si>
  <si>
    <t>1586243762-208</t>
  </si>
  <si>
    <t>1586243843-372</t>
  </si>
  <si>
    <t>1586243951-688</t>
  </si>
  <si>
    <t>1586244165-1073</t>
  </si>
  <si>
    <t>1586244349-1411</t>
  </si>
  <si>
    <t>1586243710-131</t>
  </si>
  <si>
    <t>1586244688-2054</t>
  </si>
  <si>
    <t>1586243832-329</t>
  </si>
  <si>
    <t>1586243662-54</t>
  </si>
  <si>
    <t>1586243968-724</t>
  </si>
  <si>
    <t>1586243861-414</t>
  </si>
  <si>
    <t>1586243868-425</t>
  </si>
  <si>
    <t>1586244634-1959</t>
  </si>
  <si>
    <t>1586244372-1444</t>
  </si>
  <si>
    <t>1586244614-1911</t>
  </si>
  <si>
    <t>1586243687-98</t>
  </si>
  <si>
    <t>1586243976-740</t>
  </si>
  <si>
    <t>1586244469-1635</t>
  </si>
  <si>
    <t>1586244399-1490</t>
  </si>
  <si>
    <t>1586243878-450</t>
  </si>
  <si>
    <t>1586244494-1695</t>
  </si>
  <si>
    <t>1586244312-1300</t>
  </si>
  <si>
    <t>1586244443-1578</t>
  </si>
  <si>
    <t>1586244539-1747</t>
  </si>
  <si>
    <t>1586244337-1387</t>
  </si>
  <si>
    <t>1586244260-1195</t>
  </si>
  <si>
    <t>1586244070-946</t>
  </si>
  <si>
    <t>1586244312-1302</t>
  </si>
  <si>
    <t>1586244403-1494</t>
  </si>
  <si>
    <t>1586243679-80</t>
  </si>
  <si>
    <t>1586244640-1990</t>
  </si>
  <si>
    <t>1586243891-475</t>
  </si>
  <si>
    <t>1586243932-596</t>
  </si>
  <si>
    <t>1586243863-421</t>
  </si>
  <si>
    <t>1586244644-1999</t>
  </si>
  <si>
    <t>1586244592-1858</t>
  </si>
  <si>
    <t>1586244287-1248</t>
  </si>
  <si>
    <t>1586243893-487</t>
  </si>
  <si>
    <t>1586243762-206</t>
  </si>
  <si>
    <t>1586243870-430</t>
  </si>
  <si>
    <t>1586243924-575</t>
  </si>
  <si>
    <t>1586244289-1260</t>
  </si>
  <si>
    <t>1586244393-1480</t>
  </si>
  <si>
    <t>1586244120-1019</t>
  </si>
  <si>
    <t>1586243880-460</t>
  </si>
  <si>
    <t>1586244218-1157</t>
  </si>
  <si>
    <t>1586243837-343</t>
  </si>
  <si>
    <t>1586243891-476</t>
  </si>
  <si>
    <t>1586244648-2005</t>
  </si>
  <si>
    <t>1586244312-1303</t>
  </si>
  <si>
    <t>1586243841-369</t>
  </si>
  <si>
    <t>1586244333-1372</t>
  </si>
  <si>
    <t>1586244380-1461</t>
  </si>
  <si>
    <t>1586244682-2046</t>
  </si>
  <si>
    <t>1586244076-957</t>
  </si>
  <si>
    <t>1586243872-433</t>
  </si>
  <si>
    <t>1586243706-127</t>
  </si>
  <si>
    <t>1586244550-1774</t>
  </si>
  <si>
    <t>1586244688-2053</t>
  </si>
  <si>
    <t>1586244227-1163</t>
  </si>
  <si>
    <t>1586244014-846</t>
  </si>
  <si>
    <t>1586244293-1271</t>
  </si>
  <si>
    <t>1586244688-2052</t>
  </si>
  <si>
    <t>1586244231-1166</t>
  </si>
  <si>
    <t>1586244008-824</t>
  </si>
  <si>
    <t>1586244256-1190</t>
  </si>
  <si>
    <t>1586244428-1540</t>
  </si>
  <si>
    <t>1586243839-357</t>
  </si>
  <si>
    <t>1586244663-2025</t>
  </si>
  <si>
    <t>1586244124-1023</t>
  </si>
  <si>
    <t>1586244453-1593</t>
  </si>
  <si>
    <t>1586244575-1830</t>
  </si>
  <si>
    <t>1586244604-1882</t>
  </si>
  <si>
    <t>1586244546-1762</t>
  </si>
  <si>
    <t>1586244056-904</t>
  </si>
  <si>
    <t>1586244021-865</t>
  </si>
  <si>
    <t>1586244322-1329</t>
  </si>
  <si>
    <t>1586244115-1013</t>
  </si>
  <si>
    <t>1586244512-1716</t>
  </si>
  <si>
    <t>1586243824-303</t>
  </si>
  <si>
    <t>1586244403-1496</t>
  </si>
  <si>
    <t>1586243861-409</t>
  </si>
  <si>
    <t>1586243723-157</t>
  </si>
  <si>
    <t>1586244031-887</t>
  </si>
  <si>
    <t>1586243714-148</t>
  </si>
  <si>
    <t>1586244097-996</t>
  </si>
  <si>
    <t>1586244019-856</t>
  </si>
  <si>
    <t>1586243748-190</t>
  </si>
  <si>
    <t>1586243795-255</t>
  </si>
  <si>
    <t>1586244508-1714</t>
  </si>
  <si>
    <t>1586244459-1612</t>
  </si>
  <si>
    <t>1586244550-1772</t>
  </si>
  <si>
    <t>1586244008-827</t>
  </si>
  <si>
    <t>1586244606-1889</t>
  </si>
  <si>
    <t>1586244588-1848</t>
  </si>
  <si>
    <t>1586244389-1476</t>
  </si>
  <si>
    <t>1586243943-644</t>
  </si>
  <si>
    <t>1586244438-1569</t>
  </si>
  <si>
    <t>1586244019-853</t>
  </si>
  <si>
    <t>1586244602-1879</t>
  </si>
  <si>
    <t>1586243814-279</t>
  </si>
  <si>
    <t>1586244000-789</t>
  </si>
  <si>
    <t>1586243806-267</t>
  </si>
  <si>
    <t>1586243828-313</t>
  </si>
  <si>
    <t>1586243907-527</t>
  </si>
  <si>
    <t>1586243849-385</t>
  </si>
  <si>
    <t>1586244489-1684</t>
  </si>
  <si>
    <t>1586244173-1085</t>
  </si>
  <si>
    <t>1586243936-615</t>
  </si>
  <si>
    <t>1586244014-841</t>
  </si>
  <si>
    <t>1586243996-764</t>
  </si>
  <si>
    <t>1586243972-734</t>
  </si>
  <si>
    <t>1586244477-1644</t>
  </si>
  <si>
    <t>1586243945-652</t>
  </si>
  <si>
    <t>1586244097-997</t>
  </si>
  <si>
    <t>1586243876-441</t>
  </si>
  <si>
    <t>1586244006-819</t>
  </si>
  <si>
    <t>1586244062-922</t>
  </si>
  <si>
    <t>1586244031-890</t>
  </si>
  <si>
    <t>1586244457-1601</t>
  </si>
  <si>
    <t>1586244481-1661</t>
  </si>
  <si>
    <t>1586244210-1141</t>
  </si>
  <si>
    <t>1586243849-388</t>
  </si>
  <si>
    <t>1586244008-829</t>
  </si>
  <si>
    <t>1586244218-1155</t>
  </si>
  <si>
    <t>1586243706-126</t>
  </si>
  <si>
    <t>1586243789-242</t>
  </si>
  <si>
    <t>1586244270-1214</t>
  </si>
  <si>
    <t>1586243824-301</t>
  </si>
  <si>
    <t>1586243857-408</t>
  </si>
  <si>
    <t>1586244436-1562</t>
  </si>
  <si>
    <t>1586244056-907</t>
  </si>
  <si>
    <t>1586244561-1799</t>
  </si>
  <si>
    <t>1586244124-1028</t>
  </si>
  <si>
    <t>1586243886-467</t>
  </si>
  <si>
    <t>1586243857-407</t>
  </si>
  <si>
    <t>1586243922-566</t>
  </si>
  <si>
    <t>1586243968-730</t>
  </si>
  <si>
    <t>1586244469-1631</t>
  </si>
  <si>
    <t>1586244550-1771</t>
  </si>
  <si>
    <t>1586243692-104</t>
  </si>
  <si>
    <t>1586243966-716</t>
  </si>
  <si>
    <t>1586243932-601</t>
  </si>
  <si>
    <t>1586244592-1859</t>
  </si>
  <si>
    <t>1586243901-508</t>
  </si>
  <si>
    <t>1586244202-1125</t>
  </si>
  <si>
    <t>1586243970-732</t>
  </si>
  <si>
    <t>1586244573-1823</t>
  </si>
  <si>
    <t>1586244556-1783</t>
  </si>
  <si>
    <t>1586243851-392</t>
  </si>
  <si>
    <t>1586244287-1252</t>
  </si>
  <si>
    <t>1586243768-217</t>
  </si>
  <si>
    <t>1586244043-896</t>
  </si>
  <si>
    <t>1586244115-1012</t>
  </si>
  <si>
    <t>1586244078-966</t>
  </si>
  <si>
    <t>1586244498-1699</t>
  </si>
  <si>
    <t>1586243835-336</t>
  </si>
  <si>
    <t>1586244316-1311</t>
  </si>
  <si>
    <t>1586243785-235</t>
  </si>
  <si>
    <t>1586244322-1323</t>
  </si>
  <si>
    <t>1586243915-544</t>
  </si>
  <si>
    <t>1586244252-1188</t>
  </si>
  <si>
    <t>1586244124-1022</t>
  </si>
  <si>
    <t>1586244669-2032</t>
  </si>
  <si>
    <t>1586243907-525</t>
  </si>
  <si>
    <t>1586244343-1400</t>
  </si>
  <si>
    <t>1586244612-1907</t>
  </si>
  <si>
    <t>1586244636-1973</t>
  </si>
  <si>
    <t>1586244579-1841</t>
  </si>
  <si>
    <t>1586243762-209</t>
  </si>
  <si>
    <t>1586244546-1757</t>
  </si>
  <si>
    <t>1586243810-275</t>
  </si>
  <si>
    <t>1586244447-1584</t>
  </si>
  <si>
    <t>1586244638-1987</t>
  </si>
  <si>
    <t>1586243702-118</t>
  </si>
  <si>
    <t>1586243795-245</t>
  </si>
  <si>
    <t>1586244412-1514</t>
  </si>
  <si>
    <t>1586244062-927</t>
  </si>
  <si>
    <t>1586244202-1126</t>
  </si>
  <si>
    <t>1586244006-814</t>
  </si>
  <si>
    <t>1586244243-1179</t>
  </si>
  <si>
    <t>1586244082-976</t>
  </si>
  <si>
    <t>1586244010-840</t>
  </si>
  <si>
    <t>1586243845-377</t>
  </si>
  <si>
    <t>1586244644-2002</t>
  </si>
  <si>
    <t>1586244443-1576</t>
  </si>
  <si>
    <t>1586244070-945</t>
  </si>
  <si>
    <t>1586243781-223</t>
  </si>
  <si>
    <t>1586244328-1353</t>
  </si>
  <si>
    <t>1586244324-1332</t>
  </si>
  <si>
    <t>1586243706-124</t>
  </si>
  <si>
    <t>1586244556-1784</t>
  </si>
  <si>
    <t>1586243748-189</t>
  </si>
  <si>
    <t>1586243943-636</t>
  </si>
  <si>
    <t>1586244380-1462</t>
  </si>
  <si>
    <t>1586243841-361</t>
  </si>
  <si>
    <t>1586243878-453</t>
  </si>
  <si>
    <t>1586243953-692</t>
  </si>
  <si>
    <t>1586244356-1418</t>
  </si>
  <si>
    <t>1586244000-790</t>
  </si>
  <si>
    <t>1586244579-1839</t>
  </si>
  <si>
    <t>1586244274-1225</t>
  </si>
  <si>
    <t>1586244432-1549</t>
  </si>
  <si>
    <t>1586243947-666</t>
  </si>
  <si>
    <t>1586244287-1250</t>
  </si>
  <si>
    <t>1586243737-178</t>
  </si>
  <si>
    <t>1586244653-2015</t>
  </si>
  <si>
    <t>1586243917-551</t>
  </si>
  <si>
    <t>1586243683-93</t>
  </si>
  <si>
    <t>1586243895-493</t>
  </si>
  <si>
    <t>1586244438-1563</t>
  </si>
  <si>
    <t>1586244349-1409</t>
  </si>
  <si>
    <t>1586244345-1405</t>
  </si>
  <si>
    <t>1586243822-295</t>
  </si>
  <si>
    <t>1586243941-629</t>
  </si>
  <si>
    <t>1586243928-582</t>
  </si>
  <si>
    <t>1586243907-524</t>
  </si>
  <si>
    <t>1586244485-1668</t>
  </si>
  <si>
    <t>1586244023-867</t>
  </si>
  <si>
    <t>1586243737-179</t>
  </si>
  <si>
    <t>1586243951-682</t>
  </si>
  <si>
    <t>1586244076-959</t>
  </si>
  <si>
    <t>1586244115-1014</t>
  </si>
  <si>
    <t>1586244331-1358</t>
  </si>
  <si>
    <t>1586244299-1278</t>
  </si>
  <si>
    <t>1586244634-1964</t>
  </si>
  <si>
    <t>1586243968-725</t>
  </si>
  <si>
    <t>1586244360-1423</t>
  </si>
  <si>
    <t>1586244008-834</t>
  </si>
  <si>
    <t>1586244372-1446</t>
  </si>
  <si>
    <t>1586243835-332</t>
  </si>
  <si>
    <t>1586244268-1209</t>
  </si>
  <si>
    <t>1586243849-387</t>
  </si>
  <si>
    <t>1586244638-1988</t>
  </si>
  <si>
    <t>1586243915-541</t>
  </si>
  <si>
    <t>1586244567-1813</t>
  </si>
  <si>
    <t>1586244322-1319</t>
  </si>
  <si>
    <t>1586244546-1758</t>
  </si>
  <si>
    <t>1586243785-229</t>
  </si>
  <si>
    <t>1586243737-172</t>
  </si>
  <si>
    <t>1586243806-268</t>
  </si>
  <si>
    <t>1586243845-380</t>
  </si>
  <si>
    <t>1586243662-49</t>
  </si>
  <si>
    <t>1586244634-1961</t>
  </si>
  <si>
    <t>1586243789-243</t>
  </si>
  <si>
    <t>1586244686-2048</t>
  </si>
  <si>
    <t>1586243941-634</t>
  </si>
  <si>
    <t>1586244632-1954</t>
  </si>
  <si>
    <t>1586243915-543</t>
  </si>
  <si>
    <t>1586244245-1182</t>
  </si>
  <si>
    <t>1586244473-1636</t>
  </si>
  <si>
    <t>1586243901-507</t>
  </si>
  <si>
    <t>1586243744-184</t>
  </si>
  <si>
    <t>1586244324-1335</t>
  </si>
  <si>
    <t>1586244333-1371</t>
  </si>
  <si>
    <t>1586244019-858</t>
  </si>
  <si>
    <t>1586243675-76</t>
  </si>
  <si>
    <t>1586244312-1301</t>
  </si>
  <si>
    <t>1586244467-1628</t>
  </si>
  <si>
    <t>1586244185-1098</t>
  </si>
  <si>
    <t>1586244308-1297</t>
  </si>
  <si>
    <t>1586243917-546</t>
  </si>
  <si>
    <t>1586244264-1200</t>
  </si>
  <si>
    <t>1586244542-1755</t>
  </si>
  <si>
    <t>1586244268-1211</t>
  </si>
  <si>
    <t>1586243832-323</t>
  </si>
  <si>
    <t>1586244653-2012</t>
  </si>
  <si>
    <t>1586244161-1068</t>
  </si>
  <si>
    <t>1586244124-1025</t>
  </si>
  <si>
    <t>1586244283-1235</t>
  </si>
  <si>
    <t>1586244469-1634</t>
  </si>
  <si>
    <t>1586243660-42</t>
  </si>
  <si>
    <t>1586244688-2055</t>
  </si>
  <si>
    <t>1586243947-654</t>
  </si>
  <si>
    <t>1586243989-757</t>
  </si>
  <si>
    <t>1586243878-447</t>
  </si>
  <si>
    <t>1586244140-1050</t>
  </si>
  <si>
    <t>1586244535-1741</t>
  </si>
  <si>
    <t>1586244002-804</t>
  </si>
  <si>
    <t>1586244370-1440</t>
  </si>
  <si>
    <t>1586243998-776</t>
  </si>
  <si>
    <t>1586243781-224</t>
  </si>
  <si>
    <t>1586244062-920</t>
  </si>
  <si>
    <t>1586244627-1939</t>
  </si>
  <si>
    <t>1586244333-1373</t>
  </si>
  <si>
    <t>1586244078-965</t>
  </si>
  <si>
    <t>1586244550-1775</t>
  </si>
  <si>
    <t>1586244345-1408</t>
  </si>
  <si>
    <t>1586244099-999</t>
  </si>
  <si>
    <t>1586244565-1806</t>
  </si>
  <si>
    <t>1586243915-539</t>
  </si>
  <si>
    <t>1586243768-213</t>
  </si>
  <si>
    <t>1586244432-1555</t>
  </si>
  <si>
    <t>1586244333-1369</t>
  </si>
  <si>
    <t>1586244227-1161</t>
  </si>
  <si>
    <t>1586244335-1375</t>
  </si>
  <si>
    <t>1586243922-564</t>
  </si>
  <si>
    <t>1586244602-1878</t>
  </si>
  <si>
    <t>1586243924-571</t>
  </si>
  <si>
    <t>1586244612-1904</t>
  </si>
  <si>
    <t>1586244185-1099</t>
  </si>
  <si>
    <t>1586243870-429</t>
  </si>
  <si>
    <t>1586244485-1670</t>
  </si>
  <si>
    <t>1586243733-170</t>
  </si>
  <si>
    <t>1586243953-690</t>
  </si>
  <si>
    <t>1586243832-325</t>
  </si>
  <si>
    <t>1586243839-353</t>
  </si>
  <si>
    <t>1586244066-933</t>
  </si>
  <si>
    <t>1586243830-319</t>
  </si>
  <si>
    <t>1586244467-1629</t>
  </si>
  <si>
    <t>1586243982-750</t>
  </si>
  <si>
    <t>1586243845-379</t>
  </si>
  <si>
    <t>1586244374-1450</t>
  </si>
  <si>
    <t>1586244161-1071</t>
  </si>
  <si>
    <t>1586244360-1427</t>
  </si>
  <si>
    <t>1586243959-706</t>
  </si>
  <si>
    <t>1586244181-1096</t>
  </si>
  <si>
    <t>1586243959-700</t>
  </si>
  <si>
    <t>1586244432-1548</t>
  </si>
  <si>
    <t>1586243785-227</t>
  </si>
  <si>
    <t>1586244569-1821</t>
  </si>
  <si>
    <t>1586244430-1547</t>
  </si>
  <si>
    <t>1586244000-784</t>
  </si>
  <si>
    <t>1586243799-260</t>
  </si>
  <si>
    <t>1586244136-1046</t>
  </si>
  <si>
    <t>1586244565-1802</t>
  </si>
  <si>
    <t>1586244146-1053</t>
  </si>
  <si>
    <t>1586244212-1148</t>
  </si>
  <si>
    <t>1586244556-1787</t>
  </si>
  <si>
    <t>1586244529-1730</t>
  </si>
  <si>
    <t>1586243795-248</t>
  </si>
  <si>
    <t>1586244459-1611</t>
  </si>
  <si>
    <t>1586244432-1553</t>
  </si>
  <si>
    <t>1586244481-1655</t>
  </si>
  <si>
    <t>1586243917-553</t>
  </si>
  <si>
    <t>1586244387-1470</t>
  </si>
  <si>
    <t>1586244308-1293</t>
  </si>
  <si>
    <t>1586244076-958</t>
  </si>
  <si>
    <t>1586244204-1135</t>
  </si>
  <si>
    <t>1586243934-603</t>
  </si>
  <si>
    <t>1586244399-1492</t>
  </si>
  <si>
    <t>1586244596-1866</t>
  </si>
  <si>
    <t>1586243930-588</t>
  </si>
  <si>
    <t>1586244076-956</t>
  </si>
  <si>
    <t>1586244008-825</t>
  </si>
  <si>
    <t>1586243913-534</t>
  </si>
  <si>
    <t>1586243907-523</t>
  </si>
  <si>
    <t>1586243863-419</t>
  </si>
  <si>
    <t>1586243816-286</t>
  </si>
  <si>
    <t>1586244500-1706</t>
  </si>
  <si>
    <t>1586243853-403</t>
  </si>
  <si>
    <t>1586244169-1081</t>
  </si>
  <si>
    <t>1586244037-894</t>
  </si>
  <si>
    <t>1586244648-2010</t>
  </si>
  <si>
    <t>1586243764-212</t>
  </si>
  <si>
    <t>1586243880-459</t>
  </si>
  <si>
    <t>1586244095-991</t>
  </si>
  <si>
    <t>1586243891-479</t>
  </si>
  <si>
    <t>1586244372-1447</t>
  </si>
  <si>
    <t>1586243968-728</t>
  </si>
  <si>
    <t>1586243816-281</t>
  </si>
  <si>
    <t>1586244326-1347</t>
  </si>
  <si>
    <t>1586243737-181</t>
  </si>
  <si>
    <t>1586243934-608</t>
  </si>
  <si>
    <t>1586244289-1257</t>
  </si>
  <si>
    <t>1586243970-733</t>
  </si>
  <si>
    <t>1586244128-1034</t>
  </si>
  <si>
    <t>1586243917-555</t>
  </si>
  <si>
    <t>1586244407-1505</t>
  </si>
  <si>
    <t>1586244575-1833</t>
  </si>
  <si>
    <t>1586243861-412</t>
  </si>
  <si>
    <t>1586244606-1893</t>
  </si>
  <si>
    <t>1586243830-316</t>
  </si>
  <si>
    <t>1586244489-1683</t>
  </si>
  <si>
    <t>1586244237-1174</t>
  </si>
  <si>
    <t>1586243899-498</t>
  </si>
  <si>
    <t>1586243679-85</t>
  </si>
  <si>
    <t>1586244610-1901</t>
  </si>
  <si>
    <t>1586244625-1933</t>
  </si>
  <si>
    <t>1586244473-1639</t>
  </si>
  <si>
    <t>1586244124-1026</t>
  </si>
  <si>
    <t>1586244082-980</t>
  </si>
  <si>
    <t>1586244665-2029</t>
  </si>
  <si>
    <t>1586243832-326</t>
  </si>
  <si>
    <t>1586243710-132</t>
  </si>
  <si>
    <t>1586243799-256</t>
  </si>
  <si>
    <t>1586244489-1687</t>
  </si>
  <si>
    <t>1586243943-642</t>
  </si>
  <si>
    <t>1586244019-857</t>
  </si>
  <si>
    <t>1586244260-1197</t>
  </si>
  <si>
    <t>1586244173-1088</t>
  </si>
  <si>
    <t>1586243758-201</t>
  </si>
  <si>
    <t>1586244457-1608</t>
  </si>
  <si>
    <t>1586244268-1212</t>
  </si>
  <si>
    <t>1586243810-276</t>
  </si>
  <si>
    <t>1586243947-662</t>
  </si>
  <si>
    <t>1586244531-1737</t>
  </si>
  <si>
    <t>1586244202-1120</t>
  </si>
  <si>
    <t>1586243899-496</t>
  </si>
  <si>
    <t>1586243891-480</t>
  </si>
  <si>
    <t>1586243978-747</t>
  </si>
  <si>
    <t>1586244629-1945</t>
  </si>
  <si>
    <t>1586244588-1853</t>
  </si>
  <si>
    <t>1586244487-1674</t>
  </si>
  <si>
    <t>1586244326-1336</t>
  </si>
  <si>
    <t>1586244222-1160</t>
  </si>
  <si>
    <t>1586244000-792</t>
  </si>
  <si>
    <t>1586243880-456</t>
  </si>
  <si>
    <t>1586243878-446</t>
  </si>
  <si>
    <t>1586244653-2011</t>
  </si>
  <si>
    <t>1586243737-176</t>
  </si>
  <si>
    <t>1586244287-1249</t>
  </si>
  <si>
    <t>1586243787-239</t>
  </si>
  <si>
    <t>1586244498-1702</t>
  </si>
  <si>
    <t>1586243702-115</t>
  </si>
  <si>
    <t>1586243947-663</t>
  </si>
  <si>
    <t>1586244161-1064</t>
  </si>
  <si>
    <t>1586243702-114</t>
  </si>
  <si>
    <t>1586243936-618</t>
  </si>
  <si>
    <t>1586244210-1143</t>
  </si>
  <si>
    <t>1586244539-1750</t>
  </si>
  <si>
    <t>1586243822-292</t>
  </si>
  <si>
    <t>1586244467-1623</t>
  </si>
  <si>
    <t>1586243922-565</t>
  </si>
  <si>
    <t>1586244397-1489</t>
  </si>
  <si>
    <t>1586243839-358</t>
  </si>
  <si>
    <t>1586243729-161</t>
  </si>
  <si>
    <t>1586243830-317</t>
  </si>
  <si>
    <t>1586243710-133</t>
  </si>
  <si>
    <t>1586244260-1194</t>
  </si>
  <si>
    <t>1586244287-1253</t>
  </si>
  <si>
    <t>1586244504-1712</t>
  </si>
  <si>
    <t>1586243966-718</t>
  </si>
  <si>
    <t>1586243932-600</t>
  </si>
  <si>
    <t>1586243826-307</t>
  </si>
  <si>
    <t>1586243660-43</t>
  </si>
  <si>
    <t>1586244270-1217</t>
  </si>
  <si>
    <t>1586243719-154</t>
  </si>
  <si>
    <t>1586243729-163</t>
  </si>
  <si>
    <t>1586244378-1458</t>
  </si>
  <si>
    <t>1586244070-939</t>
  </si>
  <si>
    <t>1586244612-1908</t>
  </si>
  <si>
    <t>1586244370-1438</t>
  </si>
  <si>
    <t>1586244644-2000</t>
  </si>
  <si>
    <t>1586243932-598</t>
  </si>
  <si>
    <t>1586243795-254</t>
  </si>
  <si>
    <t>1586244312-1299</t>
  </si>
  <si>
    <t>1586244489-1686</t>
  </si>
  <si>
    <t>1586244487-1679</t>
  </si>
  <si>
    <t>1586243968-722</t>
  </si>
  <si>
    <t>1586243941-633</t>
  </si>
  <si>
    <t>1586244636-1978</t>
  </si>
  <si>
    <t>1586244017-852</t>
  </si>
  <si>
    <t>1586244070-941</t>
  </si>
  <si>
    <t>1586244529-1726</t>
  </si>
  <si>
    <t>1586244640-1991</t>
  </si>
  <si>
    <t>1586243671-65</t>
  </si>
  <si>
    <t>1586244124-1027</t>
  </si>
  <si>
    <t>1586244091-989</t>
  </si>
  <si>
    <t>1586243839-356</t>
  </si>
  <si>
    <t>1586244111-1010</t>
  </si>
  <si>
    <t>1586244449-1588</t>
  </si>
  <si>
    <t>1586243662-53</t>
  </si>
  <si>
    <t>1586244389-1474</t>
  </si>
  <si>
    <t>1586244181-1095</t>
  </si>
  <si>
    <t>1586244318-1314</t>
  </si>
  <si>
    <t>1586244014-842</t>
  </si>
  <si>
    <t>1586244407-1504</t>
  </si>
  <si>
    <t>1586244281-1232</t>
  </si>
  <si>
    <t>1586244017-850</t>
  </si>
  <si>
    <t>1586243660-41</t>
  </si>
  <si>
    <t>1586244623-1932</t>
  </si>
  <si>
    <t>1586244128-1030</t>
  </si>
  <si>
    <t>1586244318-1315</t>
  </si>
  <si>
    <t>1586243687-101</t>
  </si>
  <si>
    <t>1586243868-423</t>
  </si>
  <si>
    <t>1586244274-1223</t>
  </si>
  <si>
    <t>1586244335-1383</t>
  </si>
  <si>
    <t>1586244565-1809</t>
  </si>
  <si>
    <t>1586243849-383</t>
  </si>
  <si>
    <t>1586243876-442</t>
  </si>
  <si>
    <t>1586244270-1213</t>
  </si>
  <si>
    <t>1586244362-1429</t>
  </si>
  <si>
    <t>1586244412-1515</t>
  </si>
  <si>
    <t>1586244669-2033</t>
  </si>
  <si>
    <t>1586244008-823</t>
  </si>
  <si>
    <t>1586244416-1518</t>
  </si>
  <si>
    <t>1586243820-290</t>
  </si>
  <si>
    <t>1586244600-1872</t>
  </si>
  <si>
    <t>1586244453-1600</t>
  </si>
  <si>
    <t>1586244281-1231</t>
  </si>
  <si>
    <t>1586243768-216</t>
  </si>
  <si>
    <t>1586244021-859</t>
  </si>
  <si>
    <t>1586244124-1024</t>
  </si>
  <si>
    <t>1586243976-739</t>
  </si>
  <si>
    <t>1586244087-982</t>
  </si>
  <si>
    <t>1586243795-250</t>
  </si>
  <si>
    <t>1586244380-1459</t>
  </si>
  <si>
    <t>1586243667-56</t>
  </si>
  <si>
    <t>1586244485-1672</t>
  </si>
  <si>
    <t>1586243915-545</t>
  </si>
  <si>
    <t>1586244185-1101</t>
  </si>
  <si>
    <t>1586243714-142</t>
  </si>
  <si>
    <t>1586244436-1560</t>
  </si>
  <si>
    <t>1586244494-1696</t>
  </si>
  <si>
    <t>1586243893-485</t>
  </si>
  <si>
    <t>1586243667-55</t>
  </si>
  <si>
    <t>1586244087-985</t>
  </si>
  <si>
    <t>1586244037-895</t>
  </si>
  <si>
    <t>1586244378-1456</t>
  </si>
  <si>
    <t>1586243907-520</t>
  </si>
  <si>
    <t>1586243768-215</t>
  </si>
  <si>
    <t>1586243853-401</t>
  </si>
  <si>
    <t>1586244037-893</t>
  </si>
  <si>
    <t>1586244612-1905</t>
  </si>
  <si>
    <t>1586244653-2013</t>
  </si>
  <si>
    <t>1586243837-347</t>
  </si>
  <si>
    <t>1586244405-1502</t>
  </si>
  <si>
    <t>1586243901-504</t>
  </si>
  <si>
    <t>1586243679-79</t>
  </si>
  <si>
    <t>1586243949-680</t>
  </si>
  <si>
    <t>1586244634-1958</t>
  </si>
  <si>
    <t>1586244428-1541</t>
  </si>
  <si>
    <t>1586244682-2042</t>
  </si>
  <si>
    <t>1586244343-1401</t>
  </si>
  <si>
    <t>1586243744-186</t>
  </si>
  <si>
    <t>1586243905-512</t>
  </si>
  <si>
    <t>1586244604-1883</t>
  </si>
  <si>
    <t>1586244617-1924</t>
  </si>
  <si>
    <t>1586243737-175</t>
  </si>
  <si>
    <t>1586243886-470</t>
  </si>
  <si>
    <t>1586243849-389</t>
  </si>
  <si>
    <t>1586243932-595</t>
  </si>
  <si>
    <t>1586243951-686</t>
  </si>
  <si>
    <t>1586244539-1746</t>
  </si>
  <si>
    <t>1586243901-509</t>
  </si>
  <si>
    <t>1586243951-685</t>
  </si>
  <si>
    <t>1586243675-75</t>
  </si>
  <si>
    <t>1586243839-354</t>
  </si>
  <si>
    <t>1586244161-1067</t>
  </si>
  <si>
    <t>1586244438-1571</t>
  </si>
  <si>
    <t>1586244299-1279</t>
  </si>
  <si>
    <t>1586244324-1333</t>
  </si>
  <si>
    <t>1586243774-218</t>
  </si>
  <si>
    <t>1586243895-489</t>
  </si>
  <si>
    <t>1586243799-258</t>
  </si>
  <si>
    <t>1586244579-1835</t>
  </si>
  <si>
    <t>1586244002-799</t>
  </si>
  <si>
    <t>1586244002-798</t>
  </si>
  <si>
    <t>1586243901-503</t>
  </si>
  <si>
    <t>1586244335-1384</t>
  </si>
  <si>
    <t>1586244596-1867</t>
  </si>
  <si>
    <t>1586243853-397</t>
  </si>
  <si>
    <t>1586244029-880</t>
  </si>
  <si>
    <t>1586244525-1723</t>
  </si>
  <si>
    <t>1586243683-94</t>
  </si>
  <si>
    <t>1586244161-1070</t>
  </si>
  <si>
    <t>1586243920-562</t>
  </si>
  <si>
    <t>1586244542-1756</t>
  </si>
  <si>
    <t>1586243857-404</t>
  </si>
  <si>
    <t>1586244189-1104</t>
  </si>
  <si>
    <t>1586244430-1542</t>
  </si>
  <si>
    <t>1586243816-287</t>
  </si>
  <si>
    <t>1586243752-191</t>
  </si>
  <si>
    <t>1586244299-1277</t>
  </si>
  <si>
    <t>1586243835-337</t>
  </si>
  <si>
    <t>1586243729-162</t>
  </si>
  <si>
    <t>1586243851-391</t>
  </si>
  <si>
    <t>1586244212-1149</t>
  </si>
  <si>
    <t>1586244443-1574</t>
  </si>
  <si>
    <t>1586244567-1816</t>
  </si>
  <si>
    <t>1586244165-1075</t>
  </si>
  <si>
    <t>1586244592-1861</t>
  </si>
  <si>
    <t>1586244281-1233</t>
  </si>
  <si>
    <t>1586244216-1150</t>
  </si>
  <si>
    <t>1586243816-284</t>
  </si>
  <si>
    <t>1586244283-1238</t>
  </si>
  <si>
    <t>1586244542-1754</t>
  </si>
  <si>
    <t>1586244025-877</t>
  </si>
  <si>
    <t>1586244231-1164</t>
  </si>
  <si>
    <t>1586243970-731</t>
  </si>
  <si>
    <t>1586243845-378</t>
  </si>
  <si>
    <t>1586244395-1483</t>
  </si>
  <si>
    <t>1586244584-1843</t>
  </si>
  <si>
    <t>1586244485-1669</t>
  </si>
  <si>
    <t>1586244132-1036</t>
  </si>
  <si>
    <t>1586244525-1722</t>
  </si>
  <si>
    <t>1586244301-1281</t>
  </si>
  <si>
    <t>1586244453-1599</t>
  </si>
  <si>
    <t>1586244632-1957</t>
  </si>
  <si>
    <t>1586243996-767</t>
  </si>
  <si>
    <t>1586243911-533</t>
  </si>
  <si>
    <t>1586244326-1341</t>
  </si>
  <si>
    <t>1586244606-1887</t>
  </si>
  <si>
    <t>1586243928-580</t>
  </si>
  <si>
    <t>1586244031-884</t>
  </si>
  <si>
    <t>1586243930-591</t>
  </si>
  <si>
    <t>1586244550-1765</t>
  </si>
  <si>
    <t>1586244202-1121</t>
  </si>
  <si>
    <t>1586244487-1676</t>
  </si>
  <si>
    <t>1586244312-1306</t>
  </si>
  <si>
    <t>1586244412-1513</t>
  </si>
  <si>
    <t>1586244231-1165</t>
  </si>
  <si>
    <t>1586244558-1790</t>
  </si>
  <si>
    <t>1586243905-511</t>
  </si>
  <si>
    <t>1586243832-328</t>
  </si>
  <si>
    <t>1586244420-1528</t>
  </si>
  <si>
    <t>1586243714-140</t>
  </si>
  <si>
    <t>1586244000-786</t>
  </si>
  <si>
    <t>1586244218-1159</t>
  </si>
  <si>
    <t>1586243936-620</t>
  </si>
  <si>
    <t>1586243683-87</t>
  </si>
  <si>
    <t>1586244006-809</t>
  </si>
  <si>
    <t>1586244428-1537</t>
  </si>
  <si>
    <t>1586243816-283</t>
  </si>
  <si>
    <t>1586243839-351</t>
  </si>
  <si>
    <t>1586243683-91</t>
  </si>
  <si>
    <t>1586244573-1826</t>
  </si>
  <si>
    <t>1586243789-241</t>
  </si>
  <si>
    <t>1586244074-948</t>
  </si>
  <si>
    <t>1586244438-1567</t>
  </si>
  <si>
    <t>1586244416-1523</t>
  </si>
  <si>
    <t>1586243785-231</t>
  </si>
  <si>
    <t>1586243679-83</t>
  </si>
  <si>
    <t>1586243853-400</t>
  </si>
  <si>
    <t>1586244181-1097</t>
  </si>
  <si>
    <t>1586244420-1529</t>
  </si>
  <si>
    <t>1586244680-2040</t>
  </si>
  <si>
    <t>1586244659-2019</t>
  </si>
  <si>
    <t>1586243801-263</t>
  </si>
  <si>
    <t>1586243706-123</t>
  </si>
  <si>
    <t>1586244682-2041</t>
  </si>
  <si>
    <t>1586244535-1739</t>
  </si>
  <si>
    <t>1586243675-72</t>
  </si>
  <si>
    <t>1586244293-1266</t>
  </si>
  <si>
    <t>1586244477-1646</t>
  </si>
  <si>
    <t>1586244432-1552</t>
  </si>
  <si>
    <t>1586244210-1144</t>
  </si>
  <si>
    <t>1586243998-779</t>
  </si>
  <si>
    <t>1586244202-1127</t>
  </si>
  <si>
    <t>1586244632-1950</t>
  </si>
  <si>
    <t>1586244058-913</t>
  </si>
  <si>
    <t>1586244606-1892</t>
  </si>
  <si>
    <t>1586243667-58</t>
  </si>
  <si>
    <t>1586243787-237</t>
  </si>
  <si>
    <t>1586244087-983</t>
  </si>
  <si>
    <t>1586243924-573</t>
  </si>
  <si>
    <t>1586244058-915</t>
  </si>
  <si>
    <t>1586244270-1215</t>
  </si>
  <si>
    <t>1586244487-1673</t>
  </si>
  <si>
    <t>1586244301-1284</t>
  </si>
  <si>
    <t>1586244498-1701</t>
  </si>
  <si>
    <t>1586243966-717</t>
  </si>
  <si>
    <t>1586244443-1573</t>
  </si>
  <si>
    <t>1586244567-1815</t>
  </si>
  <si>
    <t>1586243880-458</t>
  </si>
  <si>
    <t>1586243920-557</t>
  </si>
  <si>
    <t>1586243853-399</t>
  </si>
  <si>
    <t>1586244596-1865</t>
  </si>
  <si>
    <t>1586244306-1285</t>
  </si>
  <si>
    <t>1586244132-1038</t>
  </si>
  <si>
    <t>1586244416-1519</t>
  </si>
  <si>
    <t>1586244237-1176</t>
  </si>
  <si>
    <t>1586244331-1366</t>
  </si>
  <si>
    <t>1586244351-1413</t>
  </si>
  <si>
    <t>1586244556-1779</t>
  </si>
  <si>
    <t>1586243714-143</t>
  </si>
  <si>
    <t>1586244025-871</t>
  </si>
  <si>
    <t>1586244443-1579</t>
  </si>
  <si>
    <t>1586243870-431</t>
  </si>
  <si>
    <t>1586244686-2049</t>
  </si>
  <si>
    <t>1586244356-1417</t>
  </si>
  <si>
    <t>1586244198-1112</t>
  </si>
  <si>
    <t>1586243826-309</t>
  </si>
  <si>
    <t>1586243947-657</t>
  </si>
  <si>
    <t>1586244449-1589</t>
  </si>
  <si>
    <t>1586244328-1352</t>
  </si>
  <si>
    <t>1586244189-1102</t>
  </si>
  <si>
    <t>1586244025-875</t>
  </si>
  <si>
    <t>1586244010-838</t>
  </si>
  <si>
    <t>1586243789-240</t>
  </si>
  <si>
    <t>1586244640-1989</t>
  </si>
  <si>
    <t>1586244335-1380</t>
  </si>
  <si>
    <t>1586244316-1312</t>
  </si>
  <si>
    <t>1586244362-1434</t>
  </si>
  <si>
    <t>1586244056-911</t>
  </si>
  <si>
    <t>1586244614-1912</t>
  </si>
  <si>
    <t>1586243785-228</t>
  </si>
  <si>
    <t>1586244274-1222</t>
  </si>
  <si>
    <t>1586244596-1869</t>
  </si>
  <si>
    <t>1586244080-972</t>
  </si>
  <si>
    <t>1586243934-604</t>
  </si>
  <si>
    <t>1586244326-1343</t>
  </si>
  <si>
    <t>1586243905-515</t>
  </si>
  <si>
    <t>1586243989-758</t>
  </si>
  <si>
    <t>1586243660-37</t>
  </si>
  <si>
    <t>1586244208-1137</t>
  </si>
  <si>
    <t>1586244132-1035</t>
  </si>
  <si>
    <t>1586244648-2009</t>
  </si>
  <si>
    <t>1586244640-1998</t>
  </si>
  <si>
    <t>1586243781-222</t>
  </si>
  <si>
    <t>1586243996-768</t>
  </si>
  <si>
    <t>1586244322-1330</t>
  </si>
  <si>
    <t>1586244049-901</t>
  </si>
  <si>
    <t>1586244372-1445</t>
  </si>
  <si>
    <t>1586244556-1786</t>
  </si>
  <si>
    <t>1586243982-751</t>
  </si>
  <si>
    <t>1586244076-955</t>
  </si>
  <si>
    <t>1586243998-775</t>
  </si>
  <si>
    <t>1586244384-1467</t>
  </si>
  <si>
    <t>1586244204-1132</t>
  </si>
  <si>
    <t>1586243962-714</t>
  </si>
  <si>
    <t>1586243911-529</t>
  </si>
  <si>
    <t>1586244337-1390</t>
  </si>
  <si>
    <t>1586244283-1237</t>
  </si>
  <si>
    <t>1586244539-1748</t>
  </si>
  <si>
    <t>1586243934-613</t>
  </si>
  <si>
    <t>1586244140-1049</t>
  </si>
  <si>
    <t>1586243758-200</t>
  </si>
  <si>
    <t>1586243710-135</t>
  </si>
  <si>
    <t>1586244082-974</t>
  </si>
  <si>
    <t>1586243837-344</t>
  </si>
  <si>
    <t>1586244202-1123</t>
  </si>
  <si>
    <t>1586244204-1130</t>
  </si>
  <si>
    <t>1586244343-1402</t>
  </si>
  <si>
    <t>1586244552-1778</t>
  </si>
  <si>
    <t>1586244006-818</t>
  </si>
  <si>
    <t>1586244025-878</t>
  </si>
  <si>
    <t>1586244575-1832</t>
  </si>
  <si>
    <t>1586244233-1172</t>
  </si>
  <si>
    <t>1586244308-1292</t>
  </si>
  <si>
    <t>1586243938-621</t>
  </si>
  <si>
    <t>1586243710-137</t>
  </si>
  <si>
    <t>1586243698-112</t>
  </si>
  <si>
    <t>1586244107-1004</t>
  </si>
  <si>
    <t>1586244345-1407</t>
  </si>
  <si>
    <t>1586244074-951</t>
  </si>
  <si>
    <t>1586244312-1307</t>
  </si>
  <si>
    <t>1586243785-233</t>
  </si>
  <si>
    <t>1586243998-772</t>
  </si>
  <si>
    <t>1586243729-164</t>
  </si>
  <si>
    <t>1586243868-422</t>
  </si>
  <si>
    <t>1586244256-1191</t>
  </si>
  <si>
    <t>1586243714-147</t>
  </si>
  <si>
    <t>1586244091-987</t>
  </si>
  <si>
    <t>1586244335-1382</t>
  </si>
  <si>
    <t>1586243822-294</t>
  </si>
  <si>
    <t>1586244420-1532</t>
  </si>
  <si>
    <t>1586243938-624</t>
  </si>
  <si>
    <t>1586244002-805</t>
  </si>
  <si>
    <t>1586244416-1521</t>
  </si>
  <si>
    <t>1586244161-1066</t>
  </si>
  <si>
    <t>1586243837-340</t>
  </si>
  <si>
    <t>1586243710-136</t>
  </si>
  <si>
    <t>1586244362-1430</t>
  </si>
  <si>
    <t>1586243907-521</t>
  </si>
  <si>
    <t>1586243998-781</t>
  </si>
  <si>
    <t>1586243998-782</t>
  </si>
  <si>
    <t>1586243938-622</t>
  </si>
  <si>
    <t>1586243938-625</t>
  </si>
  <si>
    <t>1586244204-1134</t>
  </si>
  <si>
    <t>1586244025-873</t>
  </si>
  <si>
    <t>1586244274-1226</t>
  </si>
  <si>
    <t>1586244000-795</t>
  </si>
  <si>
    <t>1586243957-698</t>
  </si>
  <si>
    <t>1586243870-428</t>
  </si>
  <si>
    <t>1586243872-437</t>
  </si>
  <si>
    <t>1586244389-1477</t>
  </si>
  <si>
    <t>1586243762-204</t>
  </si>
  <si>
    <t>1586243752-193</t>
  </si>
  <si>
    <t>1586244097-993</t>
  </si>
  <si>
    <t>1586243806-266</t>
  </si>
  <si>
    <t>1586244604-1885</t>
  </si>
  <si>
    <t>1586243820-289</t>
  </si>
  <si>
    <t>1586243810-273</t>
  </si>
  <si>
    <t>1586244485-1667</t>
  </si>
  <si>
    <t>1586244420-1530</t>
  </si>
  <si>
    <t>1586243671-64</t>
  </si>
  <si>
    <t>1586244082-979</t>
  </si>
  <si>
    <t>1586243857-406</t>
  </si>
  <si>
    <t>1586244308-1296</t>
  </si>
  <si>
    <t>1586244173-1091</t>
  </si>
  <si>
    <t>1586243907-528</t>
  </si>
  <si>
    <t>1586244316-1313</t>
  </si>
  <si>
    <t>1586244494-1690</t>
  </si>
  <si>
    <t>1586244293-1269</t>
  </si>
  <si>
    <t>1586244636-1975</t>
  </si>
  <si>
    <t>1586244640-1993</t>
  </si>
  <si>
    <t>1586244436-1558</t>
  </si>
  <si>
    <t>1586244283-1244</t>
  </si>
  <si>
    <t>1586244405-1501</t>
  </si>
  <si>
    <t>1586244518-1720</t>
  </si>
  <si>
    <t>1586243841-364</t>
  </si>
  <si>
    <t>1586243884-466</t>
  </si>
  <si>
    <t>1586243934-605</t>
  </si>
  <si>
    <t>1586244625-1935</t>
  </si>
  <si>
    <t>1586244025-876</t>
  </si>
  <si>
    <t>1586243941-635</t>
  </si>
  <si>
    <t>1586244212-1146</t>
  </si>
  <si>
    <t>1586244283-1243</t>
  </si>
  <si>
    <t>1586244648-2006</t>
  </si>
  <si>
    <t>1586243872-438</t>
  </si>
  <si>
    <t>1586244078-964</t>
  </si>
  <si>
    <t>1586244216-1151</t>
  </si>
  <si>
    <t>1586244301-1283</t>
  </si>
  <si>
    <t>1586243748-188</t>
  </si>
  <si>
    <t>1586243822-298</t>
  </si>
  <si>
    <t>1586244623-1931</t>
  </si>
  <si>
    <t>1586243905-516</t>
  </si>
  <si>
    <t>1586244074-953</t>
  </si>
  <si>
    <t>1586243839-349</t>
  </si>
  <si>
    <t>1586243895-488</t>
  </si>
  <si>
    <t>1586244074-950</t>
  </si>
  <si>
    <t>1586244461-1620</t>
  </si>
  <si>
    <t>1586244453-1598</t>
  </si>
  <si>
    <t>1586244043-899</t>
  </si>
  <si>
    <t>1586244150-1057</t>
  </si>
  <si>
    <t>1586243962-713</t>
  </si>
  <si>
    <t>1586244293-1273</t>
  </si>
  <si>
    <t>1586243953-689</t>
  </si>
  <si>
    <t>1586243824-304</t>
  </si>
  <si>
    <t>1586243841-366</t>
  </si>
  <si>
    <t>1586243849-390</t>
  </si>
  <si>
    <t>1586244335-1377</t>
  </si>
  <si>
    <t>1586243795-247</t>
  </si>
  <si>
    <t>1586243744-182</t>
  </si>
  <si>
    <t>1586244316-1310</t>
  </si>
  <si>
    <t>1586243928-583</t>
  </si>
  <si>
    <t>1586243806-270</t>
  </si>
  <si>
    <t>1586243938-626</t>
  </si>
  <si>
    <t>1586243692-106</t>
  </si>
  <si>
    <t>1586243861-413</t>
  </si>
  <si>
    <t>1586244070-942</t>
  </si>
  <si>
    <t>1586244195-1108</t>
  </si>
  <si>
    <t>1586243748-187</t>
  </si>
  <si>
    <t>1586244459-1616</t>
  </si>
  <si>
    <t>1586243845-381</t>
  </si>
  <si>
    <t>1586243947-667</t>
  </si>
  <si>
    <t>1586244640-1995</t>
  </si>
  <si>
    <t>1586244487-1675</t>
  </si>
  <si>
    <t>1586244165-1074</t>
  </si>
  <si>
    <t>1586244512-1715</t>
  </si>
  <si>
    <t>1586244569-1817</t>
  </si>
  <si>
    <t>1586244573-1825</t>
  </si>
  <si>
    <t>1586244535-1743</t>
  </si>
  <si>
    <t>1586244539-1745</t>
  </si>
  <si>
    <t>1586243714-149</t>
  </si>
  <si>
    <t>1586243781-225</t>
  </si>
  <si>
    <t>1586244374-1448</t>
  </si>
  <si>
    <t>1586244374-1451</t>
  </si>
  <si>
    <t>1586244494-1698</t>
  </si>
  <si>
    <t>1586243851-396</t>
  </si>
  <si>
    <t>1586244107-1005</t>
  </si>
  <si>
    <t>1586244000-787</t>
  </si>
  <si>
    <t>1586244636-1974</t>
  </si>
  <si>
    <t>1586244289-1258</t>
  </si>
  <si>
    <t>1586244095-992</t>
  </si>
  <si>
    <t>1586244653-2016</t>
  </si>
  <si>
    <t>1586243911-530</t>
  </si>
  <si>
    <t>1586243893-484</t>
  </si>
  <si>
    <t>1586244370-1441</t>
  </si>
  <si>
    <t>1586244080-968</t>
  </si>
  <si>
    <t>1586244634-1963</t>
  </si>
  <si>
    <t>1586243934-609</t>
  </si>
  <si>
    <t>1586243660-40</t>
  </si>
  <si>
    <t>1586244453-1597</t>
  </si>
  <si>
    <t>1586243861-410</t>
  </si>
  <si>
    <t>1586244195-1110</t>
  </si>
  <si>
    <t>1586243949-671</t>
  </si>
  <si>
    <t>1586243949-679</t>
  </si>
  <si>
    <t>1586244397-1486</t>
  </si>
  <si>
    <t>1586243945-651</t>
  </si>
  <si>
    <t>1586243861-411</t>
  </si>
  <si>
    <t>1586244326-1338</t>
  </si>
  <si>
    <t>1586244479-1651</t>
  </si>
  <si>
    <t>1586244231-1168</t>
  </si>
  <si>
    <t>1586243857-405</t>
  </si>
  <si>
    <t>1586244438-1572</t>
  </si>
  <si>
    <t>1586244558-1788</t>
  </si>
  <si>
    <t>1586243828-314</t>
  </si>
  <si>
    <t>1586244436-1557</t>
  </si>
  <si>
    <t>1586244546-1760</t>
  </si>
  <si>
    <t>1586243938-623</t>
  </si>
  <si>
    <t>1586244283-1236</t>
  </si>
  <si>
    <t>1586243706-120</t>
  </si>
  <si>
    <t>1586244335-1376</t>
  </si>
  <si>
    <t>1586244322-1327</t>
  </si>
  <si>
    <t>1586244021-861</t>
  </si>
  <si>
    <t>1586244299-1275</t>
  </si>
  <si>
    <t>1586244674-2034</t>
  </si>
  <si>
    <t>1586244062-925</t>
  </si>
  <si>
    <t>1586244281-1228</t>
  </si>
  <si>
    <t>1586243947-656</t>
  </si>
  <si>
    <t>1586243891-474</t>
  </si>
  <si>
    <t>1586243968-726</t>
  </si>
  <si>
    <t>1586244316-1309</t>
  </si>
  <si>
    <t>1586244387-1472</t>
  </si>
  <si>
    <t>1586244558-1789</t>
  </si>
  <si>
    <t>1586244636-1972</t>
  </si>
  <si>
    <t>1586243891-481</t>
  </si>
  <si>
    <t>1586243733-167</t>
  </si>
  <si>
    <t>1586244569-1822</t>
  </si>
  <si>
    <t>1586243878-451</t>
  </si>
  <si>
    <t>1586244360-1426</t>
  </si>
  <si>
    <t>1586244430-1543</t>
  </si>
  <si>
    <t>1586244432-1556</t>
  </si>
  <si>
    <t>1586244301-1282</t>
  </si>
  <si>
    <t>1586243876-444</t>
  </si>
  <si>
    <t>1586244070-938</t>
  </si>
  <si>
    <t>1586243949-668</t>
  </si>
  <si>
    <t>1586244154-1061</t>
  </si>
  <si>
    <t>1586243911-532</t>
  </si>
  <si>
    <t>1586244443-1577</t>
  </si>
  <si>
    <t>1586244479-1652</t>
  </si>
  <si>
    <t>1586243710-130</t>
  </si>
  <si>
    <t>1586243932-602</t>
  </si>
  <si>
    <t>1586244120-1020</t>
  </si>
  <si>
    <t>1586243884-461</t>
  </si>
  <si>
    <t>1586244638-1986</t>
  </si>
  <si>
    <t>1586244669-2030</t>
  </si>
  <si>
    <t>1586244070-943</t>
  </si>
  <si>
    <t>1586243696-108</t>
  </si>
  <si>
    <t>1586244076-961</t>
  </si>
  <si>
    <t>1586243924-570</t>
  </si>
  <si>
    <t>1586244136-1043</t>
  </si>
  <si>
    <t>1586244010-835</t>
  </si>
  <si>
    <t>1586244165-1072</t>
  </si>
  <si>
    <t>1586243943-638</t>
  </si>
  <si>
    <t>1586243776-219</t>
  </si>
  <si>
    <t>1586244606-1890</t>
  </si>
  <si>
    <t>1586244565-1804</t>
  </si>
  <si>
    <t>1586244500-1705</t>
  </si>
  <si>
    <t>1586243880-454</t>
  </si>
  <si>
    <t>1586244575-1834</t>
  </si>
  <si>
    <t>1586244165-1076</t>
  </si>
  <si>
    <t>1586243947-664</t>
  </si>
  <si>
    <t>1586244502-1709</t>
  </si>
  <si>
    <t>1586244469-1632</t>
  </si>
  <si>
    <t>1586244058-916</t>
  </si>
  <si>
    <t>1586244569-1818</t>
  </si>
  <si>
    <t>1586244600-1873</t>
  </si>
  <si>
    <t>1586243928-579</t>
  </si>
  <si>
    <t>1586244640-1992</t>
  </si>
  <si>
    <t>1586243662-51</t>
  </si>
  <si>
    <t>1586244031-886</t>
  </si>
  <si>
    <t>1586244132-1037</t>
  </si>
  <si>
    <t>1586244428-1539</t>
  </si>
  <si>
    <t>1586244648-2008</t>
  </si>
  <si>
    <t>1586243714-146</t>
  </si>
  <si>
    <t>1586244565-1807</t>
  </si>
  <si>
    <t>1586244006-817</t>
  </si>
  <si>
    <t>1586243893-482</t>
  </si>
  <si>
    <t>1586243671-68</t>
  </si>
  <si>
    <t>1586243835-339</t>
  </si>
  <si>
    <t>1586244627-1937</t>
  </si>
  <si>
    <t>1586244378-1454</t>
  </si>
  <si>
    <t>1586244393-1482</t>
  </si>
  <si>
    <t>1586244006-812</t>
  </si>
  <si>
    <t>1586244056-910</t>
  </si>
  <si>
    <t>1586244625-1936</t>
  </si>
  <si>
    <t>1586244459-1610</t>
  </si>
  <si>
    <t>1586243920-558</t>
  </si>
  <si>
    <t>1586243789-244</t>
  </si>
  <si>
    <t>1586243754-197</t>
  </si>
  <si>
    <t>1586244384-1466</t>
  </si>
  <si>
    <t>1586244173-1092</t>
  </si>
  <si>
    <t>1586244644-2001</t>
  </si>
  <si>
    <t>1586244636-1971</t>
  </si>
  <si>
    <t>1586243667-60</t>
  </si>
  <si>
    <t>1586244614-1918</t>
  </si>
  <si>
    <t>1586244481-1659</t>
  </si>
  <si>
    <t>1586244561-1794</t>
  </si>
  <si>
    <t>1586244428-1538</t>
  </si>
  <si>
    <t>1586244212-1145</t>
  </si>
  <si>
    <t>1586244634-1962</t>
  </si>
  <si>
    <t>1586244270-1219</t>
  </si>
  <si>
    <t>1586244308-1294</t>
  </si>
  <si>
    <t>1586244481-1658</t>
  </si>
  <si>
    <t>1586244074-952</t>
  </si>
  <si>
    <t>1586244087-984</t>
  </si>
  <si>
    <t>1586244407-1506</t>
  </si>
  <si>
    <t>1586244306-1287</t>
  </si>
  <si>
    <t>1586244459-1615</t>
  </si>
  <si>
    <t>1586244360-1422</t>
  </si>
  <si>
    <t>1586244161-1062</t>
  </si>
  <si>
    <t>1586243936-614</t>
  </si>
  <si>
    <t>1586244331-1360</t>
  </si>
  <si>
    <t>1586244617-1923</t>
  </si>
  <si>
    <t>1586244337-1385</t>
  </si>
  <si>
    <t>1586243899-499</t>
  </si>
  <si>
    <t>1586244424-1535</t>
  </si>
  <si>
    <t>1586244010-836</t>
  </si>
  <si>
    <t>1586244322-1326</t>
  </si>
  <si>
    <t>1586243795-246</t>
  </si>
  <si>
    <t>1586244449-1587</t>
  </si>
  <si>
    <t>1586244281-1227</t>
  </si>
  <si>
    <t>1586243872-434</t>
  </si>
  <si>
    <t>1586243835-338</t>
  </si>
  <si>
    <t>1586244120-1016</t>
  </si>
  <si>
    <t>1586243687-102</t>
  </si>
  <si>
    <t>1586244502-1708</t>
  </si>
  <si>
    <t>1586243868-426</t>
  </si>
  <si>
    <t>1586244518-1721</t>
  </si>
  <si>
    <t>1586244588-1851</t>
  </si>
  <si>
    <t>1586243849-382</t>
  </si>
  <si>
    <t>1586244403-1495</t>
  </si>
  <si>
    <t>1586243849-386</t>
  </si>
  <si>
    <t>1586243945-649</t>
  </si>
  <si>
    <t>1586244638-1981</t>
  </si>
  <si>
    <t>1586244556-1781</t>
  </si>
  <si>
    <t>1586244477-1642</t>
  </si>
  <si>
    <t>1586243915-542</t>
  </si>
  <si>
    <t>1586244337-1388</t>
  </si>
  <si>
    <t>1586243932-593</t>
  </si>
  <si>
    <t>1586243754-195</t>
  </si>
  <si>
    <t>1586244397-1485</t>
  </si>
  <si>
    <t>1586244140-1048</t>
  </si>
  <si>
    <t>1586244636-1969</t>
  </si>
  <si>
    <t>1586243843-370</t>
  </si>
  <si>
    <t>1586243917-549</t>
  </si>
  <si>
    <t>1586243826-308</t>
  </si>
  <si>
    <t>1586244322-1322</t>
  </si>
  <si>
    <t>1586244161-1065</t>
  </si>
  <si>
    <t>1586243945-647</t>
  </si>
  <si>
    <t>1586244604-1880</t>
  </si>
  <si>
    <t>1586243706-122</t>
  </si>
  <si>
    <t>1586243822-296</t>
  </si>
  <si>
    <t>1586243795-252</t>
  </si>
  <si>
    <t>1586244031-885</t>
  </si>
  <si>
    <t>1586243932-592</t>
  </si>
  <si>
    <t>1586244674-2036</t>
  </si>
  <si>
    <t>1586244634-1965</t>
  </si>
  <si>
    <t>1586244331-1367</t>
  </si>
  <si>
    <t>1586244173-1089</t>
  </si>
  <si>
    <t>1586244453-1595</t>
  </si>
  <si>
    <t>1586243662-50</t>
  </si>
  <si>
    <t>1586244256-1192</t>
  </si>
  <si>
    <t>1586244617-1922</t>
  </si>
  <si>
    <t>1586243968-729</t>
  </si>
  <si>
    <t>1586244281-1229</t>
  </si>
  <si>
    <t>1586243706-125</t>
  </si>
  <si>
    <t>1586243679-84</t>
  </si>
  <si>
    <t>1586244233-1169</t>
  </si>
  <si>
    <t>1586244494-1691</t>
  </si>
  <si>
    <t>1586244552-1776</t>
  </si>
  <si>
    <t>1586244461-1617</t>
  </si>
  <si>
    <t>1586244542-1752</t>
  </si>
  <si>
    <t>1586244592-1856</t>
  </si>
  <si>
    <t>1586244031-883</t>
  </si>
  <si>
    <t>1586243930-589</t>
  </si>
  <si>
    <t>1586243941-630</t>
  </si>
  <si>
    <t>1586244289-1256</t>
  </si>
  <si>
    <t>1586244556-1782</t>
  </si>
  <si>
    <t>1586244378-1455</t>
  </si>
  <si>
    <t>1586243675-73</t>
  </si>
  <si>
    <t>1586244663-2024</t>
  </si>
  <si>
    <t>1586243662-52</t>
  </si>
  <si>
    <t>1586244082-978</t>
  </si>
  <si>
    <t>1586243841-362</t>
  </si>
  <si>
    <t>1586244494-1693</t>
  </si>
  <si>
    <t>1586243936-617</t>
  </si>
  <si>
    <t>1586244356-1420</t>
  </si>
  <si>
    <t>1586243841-363</t>
  </si>
  <si>
    <t>1586244638-1984</t>
  </si>
  <si>
    <t>1586244120-1017</t>
  </si>
  <si>
    <t>1586244019-854</t>
  </si>
  <si>
    <t>1586243872-436</t>
  </si>
  <si>
    <t>1586244351-1414</t>
  </si>
  <si>
    <t>1586243928-577</t>
  </si>
  <si>
    <t>1586244469-1633</t>
  </si>
  <si>
    <t>1586243920-561</t>
  </si>
  <si>
    <t>1586244335-1379</t>
  </si>
  <si>
    <t>1586244416-1524</t>
  </si>
  <si>
    <t>1586243998-774</t>
  </si>
  <si>
    <t>1586243957-697</t>
  </si>
  <si>
    <t>1586244600-1875</t>
  </si>
  <si>
    <t>1586243785-232</t>
  </si>
  <si>
    <t>1586244362-1431</t>
  </si>
  <si>
    <t>1586243667-57</t>
  </si>
  <si>
    <t>1586243972-737</t>
  </si>
  <si>
    <t>1586244312-1305</t>
  </si>
  <si>
    <t>1586244339-1395</t>
  </si>
  <si>
    <t>1586243835-334</t>
  </si>
  <si>
    <t>1586243719-153</t>
  </si>
  <si>
    <t>1586243930-585</t>
  </si>
  <si>
    <t>1586244588-1852</t>
  </si>
  <si>
    <t>1586244481-1660</t>
  </si>
  <si>
    <t>1586244256-1193</t>
  </si>
  <si>
    <t>1586244481-1657</t>
  </si>
  <si>
    <t>1586244252-1189</t>
  </si>
  <si>
    <t>1586244173-1087</t>
  </si>
  <si>
    <t>1586244283-1239</t>
  </si>
  <si>
    <t>1586244299-1280</t>
  </si>
  <si>
    <t>1586243941-631</t>
  </si>
  <si>
    <t>1586244169-1077</t>
  </si>
  <si>
    <t>1586244596-1868</t>
  </si>
  <si>
    <t>1586244008-828</t>
  </si>
  <si>
    <t>1586244021-864</t>
  </si>
  <si>
    <t>1586244245-1183</t>
  </si>
  <si>
    <t>1586243667-61</t>
  </si>
  <si>
    <t>1586243830-322</t>
  </si>
  <si>
    <t>1586244289-1255</t>
  </si>
  <si>
    <t>1586243976-741</t>
  </si>
  <si>
    <t>1586244293-1274</t>
  </si>
  <si>
    <t>1586244082-973</t>
  </si>
  <si>
    <t>1586243962-715</t>
  </si>
  <si>
    <t>1586244245-1185</t>
  </si>
  <si>
    <t>1586243932-594</t>
  </si>
  <si>
    <t>1586244037-892</t>
  </si>
  <si>
    <t>1586244111-1006</t>
  </si>
  <si>
    <t>1586244021-863</t>
  </si>
  <si>
    <t>1586243799-259</t>
  </si>
  <si>
    <t>1586243706-121</t>
  </si>
  <si>
    <t>1586244546-1761</t>
  </si>
  <si>
    <t>1586244331-1361</t>
  </si>
  <si>
    <t>1586244674-2037</t>
  </si>
  <si>
    <t>1586244479-1653</t>
  </si>
  <si>
    <t>order-first</t>
  </si>
  <si>
    <t>order-last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</si>
</sst>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2" fontId="0" fillId="0" borderId="0" xfId="0" applyNumberFormat="1"/>
    <xf numFmtId="0" fontId="16" fillId="0" borderId="0" xfId="0" applyFont="1"/>
    <xf numFmtId="2" fontId="16" fillId="0" borderId="0" xfId="0" applyNumberFormat="1" applyFont="1"/>
    <xf numFmtId="0" fontId="0" fillId="0" borderId="0" xfId="0" applyAlignment="1"/>
    <xf numFmtId="0" fontId="16" fillId="0" borderId="0" xfId="0" applyFont="1" applyAlignme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ian Tai" refreshedDate="43926.523553703701" createdVersion="6" refreshedVersion="6" minRefreshableVersion="3" recordCount="2025" xr:uid="{96B35A88-648A-AE4B-917A-D032BDE34288}">
  <cacheSource type="worksheet">
    <worksheetSource ref="A1:S1048576" sheet="source"/>
  </cacheSource>
  <cacheFields count="17">
    <cacheField name="web-scraper-order" numFmtId="0">
      <sharedItems containsBlank="1"/>
    </cacheField>
    <cacheField name="web-scraper-start-url" numFmtId="0">
      <sharedItems containsBlank="1"/>
    </cacheField>
    <cacheField name="brand" numFmtId="0">
      <sharedItems containsNonDate="0" containsString="0" containsBlank="1"/>
    </cacheField>
    <cacheField name="brand-href" numFmtId="0">
      <sharedItems containsBlank="1"/>
    </cacheField>
    <cacheField name="bike" numFmtId="0">
      <sharedItems containsBlank="1"/>
    </cacheField>
    <cacheField name="bike-href" numFmtId="0">
      <sharedItems containsBlank="1"/>
    </cacheField>
    <cacheField name="product" numFmtId="0">
      <sharedItems containsBlank="1"/>
    </cacheField>
    <cacheField name="product-href" numFmtId="0">
      <sharedItems containsBlank="1" count="316">
        <s v="https://shop.officineitalianezard.it/en/yamaha-xsr-900-exhaust-zard/"/>
        <s v="https://shop.officineitalianezard.it/en/yamaha-mt-09-exhaust-2/"/>
        <s v="https://shop.officineitalianezard.it/en/yamaha-xsr-700-exhaust-zard/"/>
        <s v="https://shop.officineitalianezard.it/en/yamaha-tenere-700-zard-exhaust/"/>
        <s v="https://shop.officineitalianezard.it/en/full-kit-zard-t-max-4/"/>
        <s v="https://shop.officineitalianezard.it/en/full-kit-zard-t-max-3/"/>
        <s v="https://shop.officineitalianezard.it/en/full-kit-zard-t-max-2/"/>
        <s v="https://shop.officineitalianezard.it/en/full-kit-zard-t-max/"/>
        <s v="https://shop.officineitalianezard.it/en/yamaha-t-max-exhaust-zard/"/>
        <s v="https://shop.officineitalianezard.it/en/products/index/zard-exhaust-yamaha-wr250f2016-7631-176/"/>
        <s v="https://shop.officineitalianezard.it/en/products/index/zard-exhaust-yamaha-wr250f2016-7632-176/"/>
        <s v="https://shop.officineitalianezard.it/en/yamaha-mt-09-exhaust-3/"/>
        <s v="https://shop.officineitalianezard.it/en/2-1-zard-full-kit-for-yamaha-mt-10/"/>
        <s v="https://shop.officineitalianezard.it/en/2-1-zard-full-kit-for-yamaha-mt-09/"/>
        <s v="https://shop.officineitalianezard.it/en/yamaha-mt-07-exhaust-zard/"/>
        <s v="https://shop.officineitalianezard.it/en/products/index/zard-conical-silencer-yamaha-r6-7405-101/"/>
        <s v="https://shop.officineitalianezard.it/en/decatalyzer-zard-yamaha-r1/"/>
        <s v="https://shop.officineitalianezard.it/en/zard-penta-silencers-suzuki-gsr-750/"/>
        <s v="https://shop.officineitalianezard.it/en/penta-silencers-zard-suzuki-b-king/"/>
        <s v="https://shop.officineitalianezard.it/en/silencer-penta-r-version/"/>
        <s v="https://shop.officineitalianezard.it/en/royal-enfield-continental-gt-exhaust-zard/"/>
        <s v="https://shop.officineitalianezard.it/en/royal-enfield-bullet-trials-500-exhaust/"/>
        <s v="https://shop.officineitalianezard.it/en/royal-enfield-himalayan-exhaust/"/>
        <s v="https://shop.officineitalianezard.it/en/royal-enfield-himalayan-exhaust-2/"/>
        <s v="https://shop.officineitalianezard.it/en/royal-enfield-classic-exhaust/"/>
        <s v="https://shop.officineitalianezard.it/en/royal-enfield-continental-gt-exhaust-2/"/>
        <s v="https://shop.officineitalianezard.it/en/royal-enfield-interceptor-exhaust/"/>
        <s v="https://shop.officineitalianezard.it/en/royal-enfield-zard-conical-silencer/"/>
        <s v="https://shop.officineitalianezard.it/en/products/index/penta-evo-silencers-7394-91/"/>
        <s v="https://shop.officineitalianezard.it/en/products/index/mv-agusta-f4-exhaust-zard-7381-91/"/>
        <s v="https://shop.officineitalianezard.it/en/products/index/mv-agusta-f4-exhaust-zard-7378-90/"/>
        <s v="https://shop.officineitalianezard.it/en/mv-agusta-f3-exhaust-zard/"/>
        <s v="https://shop.officineitalianezard.it/en/mv-agusta-f3-exhaust-zard-3/"/>
        <s v="https://shop.officineitalianezard.it/en/mv-agusta-f3-exhaust-zard-2/"/>
        <s v="https://shop.officineitalianezard.it/en/penta-r-silencer/"/>
        <s v="https://shop.officineitalianezard.it/en/low-mounting-penta-muffler/"/>
        <s v="https://shop.officineitalianezard.it/en/high-mounting-penta-muffler-2/"/>
        <s v="https://shop.officineitalianezard.it/en/high-mounting-penta-muffler/"/>
        <s v="https://shop.officineitalianezard.it/en/products/index/triumph-thunderbird-zard-exhaust-7569-152/"/>
        <s v="https://shop.officineitalianezard.it/en/decatalyzer-kit-for-triumph-bonneville-t120-thruxton-r-street-twin-speed-twin-zard/"/>
        <s v="https://shop.officineitalianezard.it/en/triumph-thruxton-r-exhaust-zard/"/>
        <s v="https://shop.officineitalianezard.it/en/full-trophy-kit-2-1-sport-steel/"/>
        <s v="https://shop.officineitalianezard.it/en/products/index/full-kit-cross-version-7063-46/"/>
        <s v="https://shop.officineitalianezard.it/en/full-kit-cross-version-2/"/>
        <s v="https://shop.officineitalianezard.it/en/full-lower-kit-2-1-steel/"/>
        <s v="https://shop.officineitalianezard.it/en/full-lower-kit-2-1-steel-2/"/>
        <s v="https://shop.officineitalianezard.it/en/low-mounted-full-kit-short-carburettor/"/>
        <s v="https://shop.officineitalianezard.it/en/low-mounted-full-kit-short-injection/"/>
        <s v="https://shop.officineitalianezard.it/en/triumph-bonneville-scrambler-thruxton-zard-exhaust-2/"/>
        <s v="https://shop.officineitalianezard.it/en/triumph-bonneville-scrambler-thruxton-zard-exhaust-3/"/>
        <s v="https://shop.officineitalianezard.it/en/triumph-bonneville-scrambler-thruxton-zard-exhaust/"/>
        <s v="https://shop.officineitalianezard.it/en/triumph-bonneville-scrambler-thruxton-zard-exhaust-4/"/>
        <s v="https://shop.officineitalianezard.it/en/triumph-bonneville-exhaust-by-zard/"/>
        <s v="https://shop.officineitalianezard.it/en/triumph-bonneville-exhaust-by-zard-2/"/>
        <s v="https://shop.officineitalianezard.it/en/triumph-street-twin-exhaust-by-zard/"/>
        <s v="https://shop.officineitalianezard.it/en/triumph-street-twin-exhaust-zard-2/"/>
        <s v="https://shop.officineitalianezard.it/en/triumph-street-twin-exhaust-zard/"/>
        <s v="https://shop.officineitalianezard.it/en/triumph-street-triple-765-exhaust/"/>
        <s v="https://shop.officineitalianezard.it/en/steel-conical-silencer/"/>
        <s v="https://shop.officineitalianezard.it/en/steel-short-silencer/"/>
        <s v="https://shop.officineitalianezard.it/en/penta-steel-mufflers/"/>
        <s v="https://shop.officineitalianezard.it/en/steel-conic-muffler/"/>
        <s v="https://shop.officineitalianezard.it/en/full-kit-3-1-steel-conic/"/>
        <s v="https://shop.officineitalianezard.it/en/triumph-speed-twin-exhaust/"/>
        <s v="https://shop.officineitalianezard.it/en/triumph-speed-twin-exhaust-sp-2/"/>
        <s v="https://shop.officineitalianezard.it/en/triumph-speed-twin-exhaust-conical/"/>
        <s v="https://shop.officineitalianezard.it/en/triumph-speed-triple-exhaust-zard/"/>
        <s v="https://shop.officineitalianezard.it/en/full-kit-3-1-steel/"/>
        <s v="https://shop.officineitalianezard.it/en/steel-conical-muffler/"/>
        <s v="https://shop.officineitalianezard.it/en/penta-high-mufflers/"/>
        <s v="https://shop.officineitalianezard.it/en/3-1-conical-full-kit-2/"/>
        <s v="https://shop.officineitalianezard.it/en/triumph-speed-triple-exhaust-zard-3/"/>
        <s v="https://shop.officineitalianezard.it/en/full-kit-3-1-conic-steel/"/>
        <s v="https://shop.officineitalianezard.it/en/triumph-speed-triple-exhaust-zard-2/"/>
        <s v="https://shop.officineitalianezard.it/en/3-1-conical-full-kit/"/>
        <s v="https://shop.officineitalianezard.it/en/triumph-street-scrambler-exhaust-zard-5/"/>
        <s v="https://shop.officineitalianezard.it/en/triumph-street-scrambler-exhaust-zard-4/"/>
        <s v="https://shop.officineitalianezard.it/en/triumph-street-scrambler-exhaust-zard-3/"/>
        <s v="https://shop.officineitalianezard.it/en/triumph-street-scrambler-exhaust-zard-2/"/>
        <s v="https://shop.officineitalianezard.it/en/triumph-street-scrambler-exhaust-zard/"/>
        <s v="https://shop.officineitalianezard.it/en/triumph-street-scrambler-exhaust-zard-6/"/>
        <s v="https://shop.officineitalianezard.it/en/triumph-street-scrambler-exhaust-zard-7/"/>
        <s v="https://shop.officineitalianezard.it/en/hight-mounted-full-kit-2-1/"/>
        <s v="https://shop.officineitalianezard.it/en/hight-mounted-full-kit-2-2/"/>
        <s v="https://shop.officineitalianezard.it/en/2-1-high-mounted-short-full-kit/"/>
        <s v="https://shop.officineitalianezard.it/en/2-1-hight-mounting-short-full-kit/"/>
        <s v="https://shop.officineitalianezard.it/en/2-1-low-mounted-full-kit/"/>
        <s v="https://shop.officineitalianezard.it/en/full-low-conical-kit/"/>
        <s v="https://shop.officineitalianezard.it/en/products/index/full-kit-cross-version-7034-47/"/>
        <s v="https://shop.officineitalianezard.it/en/products/index/triumph-bonneville-scrambler-thruxton-exhaust-zard-7835-47/"/>
        <s v="https://shop.officineitalianezard.it/en/2-1-full-kit-cross/"/>
        <s v="https://shop.officineitalianezard.it/en/high-mounted-silencer-short/"/>
        <s v="https://shop.officineitalianezard.it/en/high-mounted-silencer-short-2/"/>
        <s v="https://shop.officineitalianezard.it/en/gold-edition-full-kit/"/>
        <s v="https://shop.officineitalianezard.it/en/gold-edition-full-kit-2/"/>
        <s v="https://shop.officineitalianezard.it/en/triumph-scrambler-1200-decatalyzer-kit/"/>
        <s v="https://shop.officineitalianezard.it/en/triumph-scrambler-1200-exhaust/"/>
        <s v="https://shop.officineitalianezard.it/en/triumph-scrambler-1200-full-exhaust-kit-2/"/>
        <s v="https://shop.officineitalianezard.it/en/sport-inox-full-kit-kit-3-1/"/>
        <s v="https://shop.officineitalianezard.it/en/conical-full-sport-kit-3-1-snake-welded/"/>
        <s v="https://shop.officineitalianezard.it/en/penta-silencers-kit-2/"/>
        <s v="https://shop.officineitalianezard.it/en/penta-silencers-kit/"/>
        <s v="https://shop.officineitalianezard.it/en/products/index/triumph-daytona-exhaust-2015-zard-7608-161/"/>
        <s v="https://shop.officineitalianezard.it/en/products/index/triumph-daytona-exhaust-2015-zard-7609-161/"/>
        <s v="https://shop.officineitalianezard.it/en/full-side-kit/"/>
        <s v="https://shop.officineitalianezard.it/en/products/index/full-underseat-kit-7013-35/"/>
        <s v="https://shop.officineitalianezard.it/en/full-side-kit-2/"/>
        <s v="https://shop.officineitalianezard.it/en/triumph-side-panels-zard/"/>
        <s v="https://shop.officineitalianezard.it/en/bonneville-t120-exhaust/"/>
        <s v="https://shop.officineitalianezard.it/en/bonneville-t120-exhaust-zard/"/>
        <s v="https://shop.officineitalianezard.it/en/bonneville-t120-exhaust-zard-2/"/>
        <s v="https://shop.officineitalianezard.it/en/triumph-bonneville-t120-exhaust-zard/"/>
        <s v="https://shop.officineitalianezard.it/en/bonneville-t110-exhaust-zard/"/>
        <s v="https://shop.officineitalianezard.it/en/bonneville-t100-exhaust-zard/"/>
        <s v="https://shop.officineitalianezard.it/en/triumph-t100-exhaust-zard/"/>
        <s v="https://shop.officineitalianezard.it/en/low-mounted-full-kit-carburettor/"/>
        <s v="https://shop.officineitalianezard.it/en/low-mounted-full-kit-injection/"/>
        <s v="https://shop.officineitalianezard.it/en/full-kit-cross-version-3/"/>
        <s v="https://shop.officineitalianezard.it/en/full-kit-cross-version/"/>
        <s v="https://shop.officineitalianezard.it/en/polished-silencers-for-bonneville-se/"/>
        <s v="https://shop.officineitalianezard.it/en/triumph-bonneville-exhaust-zard/"/>
        <s v="https://shop.officineitalianezard.it/en/products/index/triumph-bobber-headers-kit-zard-7880-214/"/>
        <s v="https://shop.officineitalianezard.it/en/triumph-bobber-exhaust-zard/"/>
        <s v="https://shop.officineitalianezard.it/en/products/index/zard-silencer-for-quadro-scooter-7628-175/"/>
        <s v="https://shop.officineitalianezard.it/en/vespa-gts-exhaust-zard/"/>
        <s v="https://shop.officineitalianezard.it/en/products/index/norton-commando-exhaust-by-zard-2-1-full-kit-7675-185/"/>
        <s v="https://shop.officineitalianezard.it/en/moto-guzzi-v9-bobber-roamer-exhaust-zard/"/>
        <s v="https://shop.officineitalianezard.it/en/moto-guzzi-v9-bobber-roamer-exhaust-zard-2/"/>
        <s v="https://shop.officineitalianezard.it/en/moto-guzzi-v85-tt-zard-exhaust/"/>
        <s v="https://shop.officineitalianezard.it/en/products/index/moto-guzzi-v7-stone-exhaust-zard-7385-94/"/>
        <s v="https://shop.officineitalianezard.it/en/products/index/moto-guzzi-v7-stone-exhaust-zard-7384-93/"/>
        <s v="https://shop.officineitalianezard.it/en/kit-silenziatori-collettore-zard-moto-guzzi-v7/"/>
        <s v="https://shop.officineitalianezard.it/en/kit-silenziatori-collettore-zard-moto-guzzi-v7-2/"/>
        <s v="https://shop.officineitalianezard.it/en/products/index/headers-kit-moto-guzzi-v7-zard-7428-86/"/>
        <s v="https://shop.officineitalianezard.it/en/headers-kit-moto-guzzi-v7-zard/"/>
        <s v="https://shop.officineitalianezard.it/en/moto-guzzi-v7-exhaust-zard/"/>
        <s v="https://shop.officineitalianezard.it/en/moto-guzzi-v7-ii-racer-exhaust-zard/"/>
        <s v="https://shop.officineitalianezard.it/en/motoguzziv7ii/"/>
        <s v="https://shop.officineitalianezard.it/en/moto-guzzi-v7-iii-exhaust-zard/"/>
        <s v="https://shop.officineitalianezard.it/en/products/index/moto-guzzi-v7-iii-exhaust-zard-7868-229/"/>
        <s v="https://shop.officineitalianezard.it/en/moto-guzzi-v7-iii-exhaust-zard-2/"/>
        <s v="https://shop.officineitalianezard.it/en/products/index/steel-racing-silencer-7387-113/"/>
        <s v="https://shop.officineitalianezard.it/en/products/index/steel-racing-silencer-7386-96/"/>
        <s v="https://shop.officineitalianezard.it/en/products/index/moto-guzzi-stelvio-silencer-7343-83/"/>
        <s v="https://shop.officineitalianezard.it/en/products/index/moto-guzzi-norge-silencer-7419-112/"/>
        <s v="https://shop.officineitalianezard.it/en/products/index/moto-guzzi-norge-silencer-7342-82/"/>
        <s v="https://shop.officineitalianezard.it/en/moto-guzzi-le-mans-zard-exhaust/"/>
        <s v="https://shop.officineitalianezard.it/en/moto-guzzi-griso-silencer/"/>
        <s v="https://shop.officineitalianezard.it/en/zard-black-silencers-for-moto-guzzi-california/"/>
        <s v="https://shop.officineitalianezard.it/en/products/index/moto-guzzi-silencer-7418-111/"/>
        <s v="https://shop.officineitalianezard.it/en/products/index/moto-guzzi-silencer-7340-80/"/>
        <s v="https://shop.officineitalianezard.it/en/products/index/penta-silencer-zard-kymco-zk-386-asr-7426-117/"/>
        <s v="https://shop.officineitalianezard.it/en/products/index/penta-silencer-zard-kymco-xciting-r-300i-7425-116/"/>
        <s v="https://shop.officineitalianezard.it/en/products/index/zard-silencer-kymco-downtown-300i-7424-115/"/>
        <s v="https://shop.officineitalianezard.it/en/products/index/ktm-adventure-exhaust-zard-7315-77/"/>
        <s v="https://shop.officineitalianezard.it/en/products/index/ktm-duke-exhaust-zard-7313-75/"/>
        <s v="https://shop.officineitalianezard.it/en/products/index/ktm-950sm-exhaust-zard-7311-73/"/>
        <s v="https://shop.officineitalianezard.it/en/products/index/ktm-690sm-exhaust-zard-7310-71/"/>
        <s v="https://shop.officineitalianezard.it/en/products/index/ktm-450-sx-f-exhaust-zard-7717-197/"/>
        <s v="https://shop.officineitalianezard.it/en/products/index/ktm-450-sx-f-exhaust-zard-7882-196/"/>
        <s v="https://shop.officineitalianezard.it/en/products/index/ktm-250-sx-f-exhaust-zard-7715-195/"/>
        <s v="https://shop.officineitalianezard.it/en/ktm-250-exc-exhaust-zard/"/>
        <s v="https://shop.officineitalianezard.it/en/products/index/kawasaki-w800-exhaust-zard-7507-137/"/>
        <s v="https://shop.officineitalianezard.it/en/products/index/kawasaki-w800-exhaust-zard-7506-137/"/>
        <s v="https://shop.officineitalianezard.it/en/kawasaki-z900-rs-exhaust-zard/"/>
        <s v="https://shop.officineitalianezard.it/en/kawasaki-z900-rs-exhaust-zard-2/"/>
        <s v="https://shop.officineitalianezard.it/en/kawasaki-z800-zard-headers-kit/"/>
        <s v="https://shop.officineitalianezard.it/en/products/index/kawasaki-z800-exhaust-zard-7509-138/"/>
        <s v="https://shop.officineitalianezard.it/en/products/index/4-1-full-kit-penta-version-zard-kawasaki-7512-138/"/>
        <s v="https://shop.officineitalianezard.it/en/products/index/kawasaki-z750-exhaust-zard-7505-136/"/>
        <s v="https://shop.officineitalianezard.it/en/products/index/kawasaki-z750-exhaust-zard-7934-136/"/>
        <s v="https://shop.officineitalianezard.it/en/products/index/zard-exhaust-kawasaki-kx-ke-450-f-7650-178/"/>
        <s v="https://shop.officineitalianezard.it/en/products/index/zard-exhaust-kawasaki-kx-ke-450-f-7649-177/"/>
        <s v="https://shop.officineitalianezard.it/en/products/index/kawasaki-ninja-exhaust-zard-7504-135/"/>
        <s v="https://shop.officineitalianezard.it/en/products/index/kawasaki-ninja-exhaust-zard-7503-135/"/>
        <s v="https://shop.officineitalianezard.it/en/products/index/kawasaki-er-6n-er-6f-exhaust-zard-7502-134/"/>
        <s v="https://shop.officineitalianezard.it/en/indian-ftr-1200-exhaust-full-kit/"/>
        <s v="https://shop.officineitalianezard.it/en/indian-ftr-1200-exhaust-slip-on/"/>
        <s v="https://shop.officineitalianezard.it/en/products/index/zard-full-kit-honda-crf-450-7549-146/"/>
        <s v="https://shop.officineitalianezard.it/en/products/index/honda-crf-250-zard-exhaust-7651-179/"/>
        <s v="https://shop.officineitalianezard.it/en/products/index/honda-crf-450r-exhaust-zard-7905-236/"/>
        <s v="https://shop.officineitalianezard.it/en/products/index/honda-cb-1000-r-exhaust-7920-252/"/>
        <s v="https://shop.officineitalianezard.it/en/products/index/africa-twin-exhaust-zard-7744-203/"/>
        <s v="https://shop.officineitalianezard.it/en/products/index/africa-twin-exhaust-zard-7750-203/"/>
        <s v="https://shop.officineitalianezard.it/en/honda-africa-twin-exhaust-zard/"/>
        <s v="https://shop.officineitalianezard.it/en/products/index/zard-conical-full-kit-harley-davidson-sportster-7500-133/"/>
        <s v="https://shop.officineitalianezard.it/en/products/index/zard-conical-full-kit-harley-davidson-sportster-7494-133/"/>
        <s v="https://shop.officineitalianezard.it/en/products/index/zard-conical-full-kit-harley-davidson-sportster-7493-132/"/>
        <s v="https://shop.officineitalianezard.it/en/products/index/zard-conical-full-kit-harley-davidson-sportster-7492-132/"/>
        <s v="https://shop.officineitalianezard.it/en/2-1-full-kit-steel-carbon-zard-harley-davidson-xr-1200/"/>
        <s v="https://shop.officineitalianezard.it/en/products/index/kit-2-1-2-steel-7136-70/"/>
        <s v="https://shop.officineitalianezard.it/en/products/index/n-2-over-and-under-steel-side-mufflers-7135-70/"/>
        <s v="https://shop.officineitalianezard.it/en/ducati-paul-smart-and-gt1000-exhaust-zard/"/>
        <s v="https://shop.officineitalianezard.it/en/ducati-paul-smart-and-gt1000-exhaust-zard-2/"/>
        <s v="https://shop.officineitalianezard.it/en/products/index/ducati-xdiavel-exhaust-zard-7855-227/"/>
        <s v="https://shop.officineitalianezard.it/en/scrambler-ducati-400-sixty2-exhaust-zard-2/"/>
        <s v="https://shop.officineitalianezard.it/en/scrambler-ducati-400-sixty2-exhaust-zard/"/>
        <s v="https://shop.officineitalianezard.it/en/scarico-scrambler-ducati/"/>
        <s v="https://shop.officineitalianezard.it/en/scrambler-ducati-collectors-zard/"/>
        <s v="https://shop.officineitalianezard.it/en/scrambler-ducati-exhaust-by-zard/"/>
        <s v="https://shop.officineitalianezard.it/en/scrambler-ducati-exhaust-zard-2/"/>
        <s v="https://shop.officineitalianezard.it/en/scrambler-ducati-zard-exhaust/"/>
        <s v="https://shop.officineitalianezard.it/en/scrambler-ducati-exhaust-zard/"/>
        <s v="https://shop.officineitalianezard.it/en/scrambler-ducati-desert-sled-exhaust-zard/"/>
        <s v="https://shop.officineitalianezard.it/en/products/index/scrambler-ducati-desert-sled-exhaust-zard-7834-154/"/>
        <s v="https://shop.officineitalianezard.it/en/scrambler-ducati-exhaust-zard-evo-r/"/>
        <s v="https://shop.officineitalianezard.it/en/products/index/ducati-multistrada-1200-exhaust-zard-7131-68/"/>
        <s v="https://shop.officineitalianezard.it/en/products/index/ducati-multistrada-exhaust-zard-7129-68/"/>
        <s v="https://shop.officineitalianezard.it/en/products/index/ducati-multistrada-exhaust-zard-7127-67/"/>
        <s v="https://shop.officineitalianezard.it/en/products/index/ducati-multistrada-exhaust-zard-7126-67/"/>
        <s v="https://shop.officineitalianezard.it/en/ducati-multistrada-1260-exhaust/"/>
        <s v="https://shop.officineitalianezard.it/en/ducati-panigale-v4-zard-exhaust-2/"/>
        <s v="https://shop.officineitalianezard.it/en/ducati-panigale-v4-zard-exhaust/"/>
        <s v="https://shop.officineitalianezard.it/en/ducati-multistrada-950-exhaust-2/"/>
        <s v="https://shop.officineitalianezard.it/en/products/index/n-2-over-and-under-carbonium-mufflers-7125-66/"/>
        <s v="https://shop.officineitalianezard.it/en/products/index/n-2-high-mounting-mufflers-7122-66/"/>
        <s v="https://shop.officineitalianezard.it/en/products/index/kit-manifold-n-2-high-mounting-side-mufflers-steel-carbonium-7121-66/"/>
        <s v="https://shop.officineitalianezard.it/en/products/index/n-2-high-mounting-carbonium-mufflers-7117-65/"/>
        <s v="https://shop.officineitalianezard.it/en/products/index/header-kit-hight-mounted-silencers-7116-65/"/>
        <s v="https://shop.officineitalianezard.it/en/products/index/n-2-over-and-under-carbonium-mufflers-7119-64/"/>
        <s v="https://shop.officineitalianezard.it/en/products/index/n-2-high-mounting-carbonium-mufflers-7117-64/"/>
        <s v="https://shop.officineitalianezard.it/en/products/index/header-kit-hight-mounted-silencers-7116-64/"/>
        <s v="https://shop.officineitalianezard.it/en/products/index/header-kit-hight-mounted-silencers-7111-63/"/>
        <s v="https://shop.officineitalianezard.it/en/products/index/kit-steel-racing-manifold-7114-63/"/>
        <s v="https://shop.officineitalianezard.it/en/products/index/n-2-carbonium-mufflers-dx-sx-7113-63/"/>
        <s v="https://shop.officineitalianezard.it/en/products/index/n-2-over-and-under-carbonium-mufflers-7115-63/"/>
        <s v="https://shop.officineitalianezard.it/en/products/index/n-2-over-and-under-carbonium-mufflers-7115-62/"/>
        <s v="https://shop.officineitalianezard.it/en/products/index/n-2-carbonium-mufflers-dx-sx-7113-62/"/>
        <s v="https://shop.officineitalianezard.it/en/products/index/header-kit-hight-mounted-silencers-7111-62/"/>
        <s v="https://shop.officineitalianezard.it/en/ducati-monster-1200-s-exhaust-zard-2/"/>
        <s v="https://shop.officineitalianezard.it/en/ducati-monster-1200-s-exhaust-zard/"/>
        <s v="https://shop.officineitalianezard.it/en/ducati-monster-1100-evo-silencers/"/>
        <s v="https://shop.officineitalianezard.it/en/ducati-monster-821-exhaust-by-zard/"/>
        <s v="https://shop.officineitalianezard.it/en/ducati-monster-797-exhaust-zard-2/"/>
        <s v="https://shop.officineitalianezard.it/en/products/index/ducati-797-exhaust-zard-7810-217/"/>
        <s v="https://shop.officineitalianezard.it/en/ducati-monster-797-exhaust-zard/"/>
        <s v="https://shop.officineitalianezard.it/en/products/index/penta-mufflers-inox-aluminium-7109-61/"/>
        <s v="https://shop.officineitalianezard.it/en/products/index/conic-mufflers-7108-61/"/>
        <s v="https://shop.officineitalianezard.it/en/products/index/ducati-hypermotard-exhaust-zard-7522-59/"/>
        <s v="https://shop.officineitalianezard.it/en/ducati-hypermotard-950-gt-exhaust/"/>
        <s v="https://shop.officineitalianezard.it/en/ducati-hypermotard-950-top-gun-exhaust/"/>
        <s v="https://shop.officineitalianezard.it/en/products/index/ducati-hypermotard-796-exhaust-zard-7097-58/"/>
        <s v="https://shop.officineitalianezard.it/en/products/index/ducati-hypermotard-796-exhaust-zard-7097-57/"/>
        <s v="https://shop.officineitalianezard.it/en/products/index/ducati-hypermotard-exhaust-zard-7095-57/"/>
        <s v="https://shop.officineitalianezard.it/en/products/index/ducati-hypermotard-796-exhaust-zard-7096-57/"/>
        <s v="https://shop.officineitalianezard.it/en/products/index/ducati-hypermotard-796-exhaust-zard-7097-56/"/>
        <s v="https://shop.officineitalianezard.it/en/products/index/ducati-hypermotard-796-exhaust-zard-7096-56/"/>
        <s v="https://shop.officineitalianezard.it/en/products/index/ducati-gt-1000-exhaust-zard-7094-55/"/>
        <s v="https://shop.officineitalianezard.it/en/ducati-diavel-exhaust-zard/"/>
        <s v="https://shop.officineitalianezard.it/en/ducati-diavel-exhaust-zard-3/"/>
        <s v="https://shop.officineitalianezard.it/en/ducati-diavel-exhaust-zard-2/"/>
        <s v="https://shop.officineitalianezard.it/en/ducati-959-panigale-exhaust-zard/"/>
        <s v="https://shop.officineitalianezard.it/en/ducati-959-panigale-exhaust-zard-2/"/>
        <s v="https://shop.officineitalianezard.it/en/ducati-1199-panigale-exhaust-zard/"/>
        <s v="https://shop.officineitalianezard.it/en/ducati-959-panigale-exhaust-zard-3/"/>
        <s v="https://shop.officineitalianezard.it/en/products/index/penta-inox-carbonium-mufflers-7078-52/"/>
        <s v="https://shop.officineitalianezard.it/en/penta-evo-inox-carbonium-mufflers/"/>
        <s v="https://shop.officineitalianezard.it/en/products/index/full-kit-2-1-2-penta-evo-1098-s-848-7080-52/"/>
        <s v="https://shop.officineitalianezard.it/en/full-kit-2-1-2-penta-evo-1098-r-1198-r-s/"/>
        <s v="https://shop.officineitalianezard.it/en/ducati-749-exhaust-ducati-999-exhaust-zard-2/"/>
        <s v="https://shop.officineitalianezard.it/en/ducati-749-exhaust-ducati-999-exhaust-zard/"/>
        <s v="https://shop.officineitalianezard.it/en/products/index/can-am-spider-zard-exhaust-7574-153/"/>
        <s v="https://shop.officineitalianezard.it/en/zard-silencer-bmw/"/>
        <s v="https://shop.officineitalianezard.it/en/zard-headers-kit-bmw-2/"/>
        <s v="https://shop.officineitalianezard.it/en/products/index/zard-conical-silencer-bmw-r-1200-r-7526-141/"/>
        <s v="https://shop.officineitalianezard.it/en/products/index/bmw-gs-1200-exhaust-zard-7918-251/"/>
        <s v="https://shop.officineitalianezard.it/en/zard-headers-kit-bmw/"/>
        <s v="https://shop.officineitalianezard.it/en/products/index/zard-conical-silencer-bmw-r-1200-r-7525-140/"/>
        <s v="https://shop.officineitalianezard.it/en/products/index/zard-conical-silencer-bmw-r-1200-r-7524-139/"/>
        <s v="https://shop.officineitalianezard.it/en/bmw-gs-1200-exhaust-zard/"/>
        <s v="https://shop.officineitalianezard.it/en/bmw-r-1200-gs-headers-kit-zard/"/>
        <s v="https://shop.officineitalianezard.it/en/products/index/zard-headers-kit-bmw-7459-124/"/>
        <s v="https://shop.officineitalianezard.it/en/products/index/zard-silencer-penta-version-7460-124/"/>
        <s v="https://shop.officineitalianezard.it/en/products/index/zard-conical-silencer-bmw-7457-124/"/>
        <s v="https://shop.officineitalianezard.it/en/products/index/zard-headers-kit-bmw-7456-123/"/>
        <s v="https://shop.officineitalianezard.it/en/products/index/zard-silencer-penta-version-7455-123/"/>
        <s v="https://shop.officineitalianezard.it/en/products/index/zard-conical-silencer-bmw-7453-123/"/>
        <s v="https://shop.officineitalianezard.it/en/products/index/decatalyzer-7452-122/"/>
        <s v="https://shop.officineitalianezard.it/en/products/index/zard-conical-silencer-bmw-7451-122/"/>
        <s v="https://shop.officineitalianezard.it/en/products/index/bmw-r1150-exhaust-zard-7830-220/"/>
        <s v="https://shop.officineitalianezard.it/en/zard-conical-silencer-bmw/"/>
        <s v="https://shop.officineitalianezard.it/en/products/index/bmw-r45-r65-exhaust-zard-7831-222/"/>
        <s v="https://shop.officineitalianezard.it/en/products/index/bmw-r45-r65-exhaust-zard-7832-223/"/>
        <s v="https://shop.officineitalianezard.it/en/products/index/bmw-k100-exhaust-zard-7827-219/"/>
        <s v="https://shop.officineitalianezard.it/en/zard-headers-kit-bmw-nine-t-1200/"/>
        <s v="https://shop.officineitalianezard.it/en/zard-headers-kit-bmw-nine-t-1203/"/>
        <s v="https://shop.officineitalianezard.it/en/bmw-r-nine-t-scrambler-exhaust-zard/"/>
        <s v="https://shop.officineitalianezard.it/en/products/index/bmw-r-nine-t-scrambler-exhaust-zard-7865-228/"/>
        <s v="https://shop.officineitalianezard.it/en/products/index/bmw-r-nine-t-scrambler-exhaust-zard-7864-228/"/>
        <s v="https://shop.officineitalianezard.it/en/products/index/bmw-r-nine-t-racer-urban-gs-exhaust-zard-7873-228/"/>
        <s v="https://shop.officineitalianezard.it/en/products/index/bmw-r-nine-t-racer-urban-gs-exhaust-zard-7866-228/"/>
        <s v="https://shop.officineitalianezard.it/en/products/index/bmw-r-nine-t-racer-urban-gs-exhaust-zard-7859-228/"/>
        <s v="https://shop.officineitalianezard.it/en/products/index/bmw-r-nine-t-racer-scrambler-urban-gs-exhaust-zard-7862-228/"/>
        <s v="https://shop.officineitalianezard.it/en/bmw-r-nine-t-racer-urban-gs-exhaust-zard-2/"/>
        <s v="https://shop.officineitalianezard.it/en/bmw-nine-t-exhaust-zard-4/"/>
        <s v="https://shop.officineitalianezard.it/en/bmw-nine-t-exhaust-zard-2/"/>
        <s v="https://shop.officineitalianezard.it/en/zard-headers-kit-bmw-nine-t-1201/"/>
        <s v="https://shop.officineitalianezard.it/en/zard-headers-kit-bmw-nine-t-1202/"/>
        <s v="https://shop.officineitalianezard.it/en/n-2-zard-conical-silencer-bmw-nine-t-1200/"/>
        <s v="https://shop.officineitalianezard.it/en/bmw-ninet-1200-exhaust-zard-2/"/>
        <s v="https://shop.officineitalianezard.it/en/bmw-ninet-1200-exhaust-zard/"/>
        <s v="https://shop.officineitalianezard.it/en/bmw-nine-t-exhaust-zard/"/>
        <s v="https://shop.officineitalianezard.it/en/bmw-nine-t-exhaust-zard-3/"/>
        <s v="https://shop.officineitalianezard.it/en/zard-conical-silencer-bmw-2/"/>
        <s v="https://shop.officineitalianezard.it/en/zard-bmw-silencer/"/>
        <s v="https://shop.officineitalianezard.it/en/zard-bmw-silencer-3/"/>
        <s v="https://shop.officineitalianezard.it/en/products/index/penta-silencers-zard-bimota-7414-109/"/>
        <s v="https://shop.officineitalianezard.it/en/products/index/penta-silencers-zard-bimota-7445-108/"/>
        <s v="https://shop.officineitalianezard.it/en/products/index/penta-silencers-zard-bimota-7413-108/"/>
        <s v="https://shop.officineitalianezard.it/en/products/index/penta-silencers-zard-bimota-7442-107/"/>
        <s v="https://shop.officineitalianezard.it/en/products/index/penta-silencers-zard-bimota-7411-106/"/>
        <s v="https://shop.officineitalianezard.it/en/products/index/aprilia-shiver-zard-silencers-7437-100/"/>
        <s v="https://shop.officineitalianezard.it/en/products/index/aprilia-shiver-zard-silencers-7404-100/"/>
        <s v="https://shop.officineitalianezard.it/en/products/index/zard-headers-kit-for-aprilia-dorsoduro-7402-98/"/>
        <s v="https://shop.officineitalianezard.it/en/zard-silencers-aprilia-dorsoduro/"/>
        <m/>
      </sharedItems>
    </cacheField>
    <cacheField name="title" numFmtId="0">
      <sharedItems containsBlank="1"/>
    </cacheField>
    <cacheField name="sku" numFmtId="0">
      <sharedItems containsBlank="1"/>
    </cacheField>
    <cacheField name="brand-bike" numFmtId="0">
      <sharedItems containsBlank="1"/>
    </cacheField>
    <cacheField name="price-current" numFmtId="0">
      <sharedItems containsString="0" containsBlank="1" containsNumber="1" minValue="0" maxValue="2727.3"/>
    </cacheField>
    <cacheField name="price-original" numFmtId="0">
      <sharedItems containsString="0" containsBlank="1" containsNumber="1" minValue="0" maxValue="3030.33"/>
    </cacheField>
    <cacheField name="description" numFmtId="0">
      <sharedItems containsBlank="1" longText="1"/>
    </cacheField>
    <cacheField name="image-src" numFmtId="0">
      <sharedItems containsBlank="1"/>
    </cacheField>
    <cacheField name="option-name" numFmtId="0">
      <sharedItems containsBlank="1"/>
    </cacheField>
    <cacheField name="option-price" numFmtId="0">
      <sharedItems containsString="0" containsBlank="1" containsNumber="1" minValue="0" maxValue="1504.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25">
  <r>
    <s v="1586058886-9879"/>
    <s v="https://shop.officineitalianezard.it/en/products/"/>
    <m/>
    <s v="https://shop.officineitalianezard.it/en/yamaha-zard-exhaust/"/>
    <s v="XSR 900 2016/19"/>
    <s v="https://shop.officineitalianezard.it/en/yamaha-xsr-900-exhaust/"/>
    <s v="SHORT VERSION"/>
    <x v="0"/>
    <s v="3&gt;1 FULL KIT"/>
    <s v="ZY102SKR"/>
    <s v="YAMAHA XSR 900 2016/19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strong&gt;&lt;/strong&gt;&lt;/p&gt;_x000a_&lt;p&gt;&lt;/p&gt;"/>
    <s v="https://shop.officineitalianezard.it/contents/imgs/products/1_1453-1.jpg"/>
    <m/>
    <m/>
  </r>
  <r>
    <s v="1586058886-9880"/>
    <s v="https://shop.officineitalianezard.it/en/products/"/>
    <m/>
    <s v="https://shop.officineitalianezard.it/en/yamaha-zard-exhaust/"/>
    <s v="XSR 900 2016/19"/>
    <s v="https://shop.officineitalianezard.it/en/yamaha-xsr-900-exhaust/"/>
    <s v="SHORT VERSION"/>
    <x v="0"/>
    <s v="3&gt;1 FULL KIT"/>
    <s v="ZY102SKR"/>
    <s v="YAMAHA XSR 900 2016/19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strong&gt;&lt;/strong&gt;&lt;/p&gt;_x000a_&lt;p&gt;&lt;/p&gt;"/>
    <s v="https://shop.officineitalianezard.it/contents/imgs/products/1_1454-2.jpg"/>
    <m/>
    <m/>
  </r>
  <r>
    <s v="1586058886-9881"/>
    <s v="https://shop.officineitalianezard.it/en/products/"/>
    <m/>
    <s v="https://shop.officineitalianezard.it/en/yamaha-zard-exhaust/"/>
    <s v="XSR 900 2016/19"/>
    <s v="https://shop.officineitalianezard.it/en/yamaha-xsr-900-exhaust/"/>
    <s v="SHORT VERSION"/>
    <x v="0"/>
    <s v="3&gt;1 FULL KIT"/>
    <s v="ZY102SKR"/>
    <s v="YAMAHA XSR 900 2016/19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strong&gt;&lt;/strong&gt;&lt;/p&gt;_x000a_&lt;p&gt;&lt;/p&gt;"/>
    <s v="https://shop.officineitalianezard.it/contents/imgs/products/1_1455-3.jpg"/>
    <m/>
    <m/>
  </r>
  <r>
    <s v="1586058886-9882"/>
    <s v="https://shop.officineitalianezard.it/en/products/"/>
    <m/>
    <s v="https://shop.officineitalianezard.it/en/yamaha-zard-exhaust/"/>
    <s v="XSR 900 2016/19"/>
    <s v="https://shop.officineitalianezard.it/en/yamaha-xsr-900-exhaust/"/>
    <s v="SHORT VERSION"/>
    <x v="0"/>
    <s v="3&gt;1 FULL KIT"/>
    <s v="ZY102SKR"/>
    <s v="YAMAHA XSR 900 2016/19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strong&gt;&lt;/strong&gt;&lt;/p&gt;_x000a_&lt;p&gt;&lt;/p&gt;"/>
    <s v="https://shop.officineitalianezard.it/contents/imgs/products/1_2020-1721-scarico%20xsr900%20mt07%20xsr700%20mt09%20yamaha%20zard.jpg"/>
    <m/>
    <m/>
  </r>
  <r>
    <s v="1586058886-9883"/>
    <s v="https://shop.officineitalianezard.it/en/products/"/>
    <m/>
    <s v="https://shop.officineitalianezard.it/en/yamaha-zard-exhaust/"/>
    <s v="XSR 900 2016/19"/>
    <s v="https://shop.officineitalianezard.it/en/yamaha-xsr-900-exhaust/"/>
    <s v="SHORT VERSION"/>
    <x v="0"/>
    <s v="3&gt;1 FULL KIT"/>
    <s v="ZY102SKR"/>
    <s v="YAMAHA XSR 900 2016/19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strong&gt;&lt;/strong&gt;&lt;/p&gt;_x000a_&lt;p&gt;&lt;/p&gt;"/>
    <s v="https://shop.officineitalianezard.it/contents/imgs/products/1_2021-scarico%20xsr%20900%20nero%20-%20zard.jpg"/>
    <m/>
    <m/>
  </r>
  <r>
    <s v="1586058886-9884"/>
    <s v="https://shop.officineitalianezard.it/en/products/"/>
    <m/>
    <s v="https://shop.officineitalianezard.it/en/yamaha-zard-exhaust/"/>
    <s v="XSR 900 2016/19"/>
    <s v="https://shop.officineitalianezard.it/en/yamaha-xsr-900-exhaust/"/>
    <s v="SHORT VERSION"/>
    <x v="0"/>
    <s v="3&gt;1 FULL KIT"/>
    <s v="ZY102SKR"/>
    <s v="YAMAHA XSR 900 2016/19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strong&gt;&lt;/strong&gt;&lt;/p&gt;_x000a_&lt;p&gt;&lt;/p&gt;"/>
    <m/>
    <s v="BLACK COATING"/>
    <n v="169.67"/>
  </r>
  <r>
    <s v="1586058886-9885"/>
    <s v="https://shop.officineitalianezard.it/en/products/"/>
    <m/>
    <s v="https://shop.officineitalianezard.it/en/yamaha-zard-exhaust/"/>
    <s v="XSR 900 2016/19"/>
    <s v="https://shop.officineitalianezard.it/en/yamaha-xsr-900-exhaust/"/>
    <s v="SHORT VERSION"/>
    <x v="0"/>
    <s v="3&gt;1 FULL KIT"/>
    <s v="ZY102SKR"/>
    <s v="YAMAHA XSR 900 2016/19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strong&gt;&lt;/strong&gt;&lt;/p&gt;_x000a_&lt;p&gt;&lt;/p&gt;"/>
    <m/>
    <s v="CARBON ENDCAP"/>
    <n v="37.619999999999997"/>
  </r>
  <r>
    <s v="1586058886-9886"/>
    <s v="https://shop.officineitalianezard.it/en/products/"/>
    <m/>
    <s v="https://shop.officineitalianezard.it/en/yamaha-zard-exhaust/"/>
    <s v="XSR 900 2016/19"/>
    <s v="https://shop.officineitalianezard.it/en/yamaha-xsr-900-exhaust/"/>
    <s v="SHORT VERSION"/>
    <x v="0"/>
    <s v="3&gt;1 FULL KIT"/>
    <s v="ZY102SKR"/>
    <s v="YAMAHA XSR 900 2016/19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strong&gt;&lt;/strong&gt;&lt;/p&gt;_x000a_&lt;p&gt;&lt;/p&gt;"/>
    <m/>
    <s v="LOGO PLATE AND HOSE CLAMP BRONZED"/>
    <n v="61.97"/>
  </r>
  <r>
    <s v="1586058888-9887"/>
    <s v="https://shop.officineitalianezard.it/en/products/"/>
    <m/>
    <s v="https://shop.officineitalianezard.it/en/yamaha-zard-exhaust/"/>
    <s v="XSR 900 2016/19"/>
    <s v="https://shop.officineitalianezard.it/en/yamaha-xsr-900-exhaust/"/>
    <s v="SHORT VERSION"/>
    <x v="1"/>
    <s v="3&gt;1 FULL KIT"/>
    <s v="ZY106SKR"/>
    <s v="YAMAHA XSR 900 2016/19"/>
    <n v="809.26"/>
    <n v="899.18"/>
    <s v="&lt;p&gt;3&amp;gt;1 STEEL FULL KIT RACING WITH REMOVABLE DB KILLER&lt;/p&gt;_x000a_&lt;p&gt;ORIGINAL FULL KIT WEIGHT: 8.5 KG&lt;br&gt;ZARD RACING FULL KIT WEIGHT: 3.8 KG&lt;/p&gt;_x000a_&lt;p&gt;CARBON ENDCAP&lt;/p&gt;_x000a_&lt;p&gt;HARD INCREASE COMPARED TO THE ORIGINAL EXHAUST SYSTEM.&lt;/p&gt;_x000a_&lt;p&gt;ASTONISHING SOUND.&lt;/p&gt;_x000a_&lt;p&gt;&lt;strong&gt;COMPATIBLE WITH YAMAHA MT-09 AND XSR900.&lt;/strong&gt;&lt;/p&gt;_x000a_&lt;p&gt;&lt;/p&gt;"/>
    <s v="https://shop.officineitalianezard.it/contents/imgs/products/1_2189-scarico%20yamaha%20mt09.jpg"/>
    <m/>
    <m/>
  </r>
  <r>
    <s v="1586058888-9888"/>
    <s v="https://shop.officineitalianezard.it/en/products/"/>
    <m/>
    <s v="https://shop.officineitalianezard.it/en/yamaha-zard-exhaust/"/>
    <s v="XSR 900 2016/19"/>
    <s v="https://shop.officineitalianezard.it/en/yamaha-xsr-900-exhaust/"/>
    <s v="SHORT VERSION"/>
    <x v="1"/>
    <s v="3&gt;1 FULL KIT"/>
    <s v="ZY106SKR"/>
    <s v="YAMAHA XSR 900 2016/19"/>
    <n v="809.26"/>
    <n v="899.18"/>
    <s v="&lt;p&gt;3&amp;gt;1 STEEL FULL KIT RACING WITH REMOVABLE DB KILLER&lt;/p&gt;_x000a_&lt;p&gt;ORIGINAL FULL KIT WEIGHT: 8.5 KG&lt;br&gt;ZARD RACING FULL KIT WEIGHT: 3.8 KG&lt;/p&gt;_x000a_&lt;p&gt;CARBON ENDCAP&lt;/p&gt;_x000a_&lt;p&gt;HARD INCREASE COMPARED TO THE ORIGINAL EXHAUST SYSTEM.&lt;/p&gt;_x000a_&lt;p&gt;ASTONISHING SOUND.&lt;/p&gt;_x000a_&lt;p&gt;&lt;strong&gt;COMPATIBLE WITH YAMAHA MT-09 AND XSR900.&lt;/strong&gt;&lt;/p&gt;_x000a_&lt;p&gt;&lt;/p&gt;"/>
    <s v="https://shop.officineitalianezard.it/contents/imgs/products/1_2187-mt09%20scarico%20-%20zard.jpg"/>
    <m/>
    <m/>
  </r>
  <r>
    <s v="1586058888-9889"/>
    <s v="https://shop.officineitalianezard.it/en/products/"/>
    <m/>
    <s v="https://shop.officineitalianezard.it/en/yamaha-zard-exhaust/"/>
    <s v="XSR 900 2016/19"/>
    <s v="https://shop.officineitalianezard.it/en/yamaha-xsr-900-exhaust/"/>
    <s v="SHORT VERSION"/>
    <x v="1"/>
    <s v="3&gt;1 FULL KIT"/>
    <s v="ZY106SKR"/>
    <s v="YAMAHA XSR 900 2016/19"/>
    <n v="809.26"/>
    <n v="899.18"/>
    <s v="&lt;p&gt;3&amp;gt;1 STEEL FULL KIT RACING WITH REMOVABLE DB KILLER&lt;/p&gt;_x000a_&lt;p&gt;ORIGINAL FULL KIT WEIGHT: 8.5 KG&lt;br&gt;ZARD RACING FULL KIT WEIGHT: 3.8 KG&lt;/p&gt;_x000a_&lt;p&gt;CARBON ENDCAP&lt;/p&gt;_x000a_&lt;p&gt;HARD INCREASE COMPARED TO THE ORIGINAL EXHAUST SYSTEM.&lt;/p&gt;_x000a_&lt;p&gt;ASTONISHING SOUND.&lt;/p&gt;_x000a_&lt;p&gt;&lt;strong&gt;COMPATIBLE WITH YAMAHA MT-09 AND XSR900.&lt;/strong&gt;&lt;/p&gt;_x000a_&lt;p&gt;&lt;/p&gt;"/>
    <s v="https://shop.officineitalianezard.it/contents/imgs/products/1_2188-mt09%20exhaust.jpg"/>
    <m/>
    <m/>
  </r>
  <r>
    <s v="1586058888-9890"/>
    <s v="https://shop.officineitalianezard.it/en/products/"/>
    <m/>
    <s v="https://shop.officineitalianezard.it/en/yamaha-zard-exhaust/"/>
    <s v="XSR 900 2016/19"/>
    <s v="https://shop.officineitalianezard.it/en/yamaha-xsr-900-exhaust/"/>
    <s v="SHORT VERSION"/>
    <x v="1"/>
    <s v="3&gt;1 FULL KIT"/>
    <s v="ZY106SKR"/>
    <s v="YAMAHA XSR 900 2016/19"/>
    <n v="809.26"/>
    <n v="899.18"/>
    <s v="&lt;p&gt;3&amp;gt;1 STEEL FULL KIT RACING WITH REMOVABLE DB KILLER&lt;/p&gt;_x000a_&lt;p&gt;ORIGINAL FULL KIT WEIGHT: 8.5 KG&lt;br&gt;ZARD RACING FULL KIT WEIGHT: 3.8 KG&lt;/p&gt;_x000a_&lt;p&gt;CARBON ENDCAP&lt;/p&gt;_x000a_&lt;p&gt;HARD INCREASE COMPARED TO THE ORIGINAL EXHAUST SYSTEM.&lt;/p&gt;_x000a_&lt;p&gt;ASTONISHING SOUND.&lt;/p&gt;_x000a_&lt;p&gt;&lt;strong&gt;COMPATIBLE WITH YAMAHA MT-09 AND XSR900.&lt;/strong&gt;&lt;/p&gt;_x000a_&lt;p&gt;&lt;/p&gt;"/>
    <s v="https://shop.officineitalianezard.it/contents/imgs/products/1_2190-scarico%20mt%2009.jpg"/>
    <m/>
    <m/>
  </r>
  <r>
    <s v="1586058888-9891"/>
    <s v="https://shop.officineitalianezard.it/en/products/"/>
    <m/>
    <s v="https://shop.officineitalianezard.it/en/yamaha-zard-exhaust/"/>
    <s v="XSR 900 2016/19"/>
    <s v="https://shop.officineitalianezard.it/en/yamaha-xsr-900-exhaust/"/>
    <s v="SHORT VERSION"/>
    <x v="1"/>
    <s v="3&gt;1 FULL KIT"/>
    <s v="ZY106SKR"/>
    <s v="YAMAHA XSR 900 2016/19"/>
    <n v="809.26"/>
    <n v="899.18"/>
    <s v="&lt;p&gt;3&amp;gt;1 STEEL FULL KIT RACING WITH REMOVABLE DB KILLER&lt;/p&gt;_x000a_&lt;p&gt;ORIGINAL FULL KIT WEIGHT: 8.5 KG&lt;br&gt;ZARD RACING FULL KIT WEIGHT: 3.8 KG&lt;/p&gt;_x000a_&lt;p&gt;CARBON ENDCAP&lt;/p&gt;_x000a_&lt;p&gt;HARD INCREASE COMPARED TO THE ORIGINAL EXHAUST SYSTEM.&lt;/p&gt;_x000a_&lt;p&gt;ASTONISHING SOUND.&lt;/p&gt;_x000a_&lt;p&gt;&lt;strong&gt;COMPATIBLE WITH YAMAHA MT-09 AND XSR900.&lt;/strong&gt;&lt;/p&gt;_x000a_&lt;p&gt;&lt;/p&gt;"/>
    <s v="https://shop.officineitalianezard.it/contents/imgs/products/1_2313-scarico%20yamaha%20mt09%20zard%201.jpg"/>
    <m/>
    <m/>
  </r>
  <r>
    <s v="1586058888-9892"/>
    <s v="https://shop.officineitalianezard.it/en/products/"/>
    <m/>
    <s v="https://shop.officineitalianezard.it/en/yamaha-zard-exhaust/"/>
    <s v="XSR 900 2016/19"/>
    <s v="https://shop.officineitalianezard.it/en/yamaha-xsr-900-exhaust/"/>
    <s v="SHORT VERSION"/>
    <x v="1"/>
    <s v="3&gt;1 FULL KIT"/>
    <s v="ZY106SKR"/>
    <s v="YAMAHA XSR 900 2016/19"/>
    <n v="809.26"/>
    <n v="899.18"/>
    <s v="&lt;p&gt;3&amp;gt;1 STEEL FULL KIT RACING WITH REMOVABLE DB KILLER&lt;/p&gt;_x000a_&lt;p&gt;ORIGINAL FULL KIT WEIGHT: 8.5 KG&lt;br&gt;ZARD RACING FULL KIT WEIGHT: 3.8 KG&lt;/p&gt;_x000a_&lt;p&gt;CARBON ENDCAP&lt;/p&gt;_x000a_&lt;p&gt;HARD INCREASE COMPARED TO THE ORIGINAL EXHAUST SYSTEM.&lt;/p&gt;_x000a_&lt;p&gt;ASTONISHING SOUND.&lt;/p&gt;_x000a_&lt;p&gt;&lt;strong&gt;COMPATIBLE WITH YAMAHA MT-09 AND XSR900.&lt;/strong&gt;&lt;/p&gt;_x000a_&lt;p&gt;&lt;/p&gt;"/>
    <s v="https://shop.officineitalianezard.it/contents/imgs/products/1_2315-scarico%20omologato%20euro%204%20yamaha%20mt09%20-%20zard.jpg"/>
    <m/>
    <m/>
  </r>
  <r>
    <s v="1586058888-9893"/>
    <s v="https://shop.officineitalianezard.it/en/products/"/>
    <m/>
    <s v="https://shop.officineitalianezard.it/en/yamaha-zard-exhaust/"/>
    <s v="XSR 900 2016/19"/>
    <s v="https://shop.officineitalianezard.it/en/yamaha-xsr-900-exhaust/"/>
    <s v="SHORT VERSION"/>
    <x v="1"/>
    <s v="3&gt;1 FULL KIT"/>
    <s v="ZY106SKR"/>
    <s v="YAMAHA XSR 900 2016/19"/>
    <n v="809.26"/>
    <n v="899.18"/>
    <s v="&lt;p&gt;3&amp;gt;1 STEEL FULL KIT RACING WITH REMOVABLE DB KILLER&lt;/p&gt;_x000a_&lt;p&gt;ORIGINAL FULL KIT WEIGHT: 8.5 KG&lt;br&gt;ZARD RACING FULL KIT WEIGHT: 3.8 KG&lt;/p&gt;_x000a_&lt;p&gt;CARBON ENDCAP&lt;/p&gt;_x000a_&lt;p&gt;HARD INCREASE COMPARED TO THE ORIGINAL EXHAUST SYSTEM.&lt;/p&gt;_x000a_&lt;p&gt;ASTONISHING SOUND.&lt;/p&gt;_x000a_&lt;p&gt;&lt;strong&gt;COMPATIBLE WITH YAMAHA MT-09 AND XSR900.&lt;/strong&gt;&lt;/p&gt;_x000a_&lt;p&gt;&lt;/p&gt;"/>
    <s v="https://shop.officineitalianezard.it/contents/imgs/products/1_2314-scarico%20yamaha%20mt09%20zard%202.jpg"/>
    <m/>
    <m/>
  </r>
  <r>
    <s v="1586058888-9894"/>
    <s v="https://shop.officineitalianezard.it/en/products/"/>
    <m/>
    <s v="https://shop.officineitalianezard.it/en/yamaha-zard-exhaust/"/>
    <s v="XSR 900 2016/19"/>
    <s v="https://shop.officineitalianezard.it/en/yamaha-xsr-900-exhaust/"/>
    <s v="SHORT VERSION"/>
    <x v="1"/>
    <s v="3&gt;1 FULL KIT"/>
    <s v="ZY106SKR"/>
    <s v="YAMAHA XSR 900 2016/19"/>
    <n v="809.26"/>
    <n v="899.18"/>
    <s v="&lt;p&gt;3&amp;gt;1 STEEL FULL KIT RACING WITH REMOVABLE DB KILLER&lt;/p&gt;_x000a_&lt;p&gt;ORIGINAL FULL KIT WEIGHT: 8.5 KG&lt;br&gt;ZARD RACING FULL KIT WEIGHT: 3.8 KG&lt;/p&gt;_x000a_&lt;p&gt;CARBON ENDCAP&lt;/p&gt;_x000a_&lt;p&gt;HARD INCREASE COMPARED TO THE ORIGINAL EXHAUST SYSTEM.&lt;/p&gt;_x000a_&lt;p&gt;ASTONISHING SOUND.&lt;/p&gt;_x000a_&lt;p&gt;&lt;strong&gt;COMPATIBLE WITH YAMAHA MT-09 AND XSR900.&lt;/strong&gt;&lt;/p&gt;_x000a_&lt;p&gt;&lt;/p&gt;"/>
    <m/>
    <s v="EURO 4 HOMOLOGATED"/>
    <n v="84.1"/>
  </r>
  <r>
    <s v="1586058888-9895"/>
    <s v="https://shop.officineitalianezard.it/en/products/"/>
    <m/>
    <s v="https://shop.officineitalianezard.it/en/yamaha-zard-exhaust/"/>
    <s v="XSR 900 2016/19"/>
    <s v="https://shop.officineitalianezard.it/en/yamaha-xsr-900-exhaust/"/>
    <s v="SHORT VERSION"/>
    <x v="1"/>
    <s v="3&gt;1 FULL KIT"/>
    <s v="ZY106SKR"/>
    <s v="YAMAHA XSR 900 2016/19"/>
    <n v="809.26"/>
    <n v="899.18"/>
    <s v="&lt;p&gt;3&amp;gt;1 STEEL FULL KIT RACING WITH REMOVABLE DB KILLER&lt;/p&gt;_x000a_&lt;p&gt;ORIGINAL FULL KIT WEIGHT: 8.5 KG&lt;br&gt;ZARD RACING FULL KIT WEIGHT: 3.8 KG&lt;/p&gt;_x000a_&lt;p&gt;CARBON ENDCAP&lt;/p&gt;_x000a_&lt;p&gt;HARD INCREASE COMPARED TO THE ORIGINAL EXHAUST SYSTEM.&lt;/p&gt;_x000a_&lt;p&gt;ASTONISHING SOUND.&lt;/p&gt;_x000a_&lt;p&gt;&lt;strong&gt;COMPATIBLE WITH YAMAHA MT-09 AND XSR900.&lt;/strong&gt;&lt;/p&gt;_x000a_&lt;p&gt;&lt;/p&gt;"/>
    <m/>
    <s v="BLACK COATING"/>
    <n v="169.67"/>
  </r>
  <r>
    <s v="1586058888-9896"/>
    <s v="https://shop.officineitalianezard.it/en/products/"/>
    <m/>
    <s v="https://shop.officineitalianezard.it/en/yamaha-zard-exhaust/"/>
    <s v="XSR 900 2016/19"/>
    <s v="https://shop.officineitalianezard.it/en/yamaha-xsr-900-exhaust/"/>
    <s v="SHORT VERSION"/>
    <x v="1"/>
    <s v="3&gt;1 FULL KIT"/>
    <s v="ZY106SKR"/>
    <s v="YAMAHA XSR 900 2016/19"/>
    <n v="809.26"/>
    <n v="899.18"/>
    <s v="&lt;p&gt;3&amp;gt;1 STEEL FULL KIT RACING WITH REMOVABLE DB KILLER&lt;/p&gt;_x000a_&lt;p&gt;ORIGINAL FULL KIT WEIGHT: 8.5 KG&lt;br&gt;ZARD RACING FULL KIT WEIGHT: 3.8 KG&lt;/p&gt;_x000a_&lt;p&gt;CARBON ENDCAP&lt;/p&gt;_x000a_&lt;p&gt;HARD INCREASE COMPARED TO THE ORIGINAL EXHAUST SYSTEM.&lt;/p&gt;_x000a_&lt;p&gt;ASTONISHING SOUND.&lt;/p&gt;_x000a_&lt;p&gt;&lt;strong&gt;COMPATIBLE WITH YAMAHA MT-09 AND XSR900.&lt;/strong&gt;&lt;/p&gt;_x000a_&lt;p&gt;&lt;/p&gt;"/>
    <m/>
    <s v="TITANIUM SILENCER WITH BLACK HEADERS KIT"/>
    <n v="185.16"/>
  </r>
  <r>
    <s v="1586058893-9897"/>
    <s v="https://shop.officineitalianezard.it/en/products/"/>
    <m/>
    <s v="https://shop.officineitalianezard.it/en/yamaha-zard-exhaust/"/>
    <s v="XSR 700 2016/19"/>
    <s v="https://shop.officineitalianezard.it/en/yamaha-xsr-700-exhaust/"/>
    <s v="SHORT VERSION"/>
    <x v="2"/>
    <s v="2&gt;1 FULL KIT"/>
    <s v="ZY103SKR"/>
    <s v="YAMAHA XSR 700 2016/19"/>
    <n v="647.70000000000005"/>
    <n v="719.67"/>
    <s v="&lt;p&gt;2&amp;gt;1 STEEL FULL KIT RACING WITH REMOVABLE DB KILLER&lt;/p&gt;_x000a_&lt;p&gt;ORIGINAL FULL KIT WEIGHT: 7.2KG&lt;br&gt;ZARD FULL KIT WEIGHT: 3.7KG&lt;/p&gt;_x000a_&lt;p&gt;HARD INCREASE COMPARED TO THE ORIGINAL EXHAUST SYSTEM.&lt;/p&gt;_x000a_&lt;p&gt;ASTONISHING SOUND.&lt;/p&gt;"/>
    <s v="https://shop.officineitalianezard.it/contents/imgs/products/1_1460-xsr700ridotta.jpg"/>
    <m/>
    <m/>
  </r>
  <r>
    <s v="1586058893-9898"/>
    <s v="https://shop.officineitalianezard.it/en/products/"/>
    <m/>
    <s v="https://shop.officineitalianezard.it/en/yamaha-zard-exhaust/"/>
    <s v="XSR 700 2016/19"/>
    <s v="https://shop.officineitalianezard.it/en/yamaha-xsr-700-exhaust/"/>
    <s v="SHORT VERSION"/>
    <x v="2"/>
    <s v="2&gt;1 FULL KIT"/>
    <s v="ZY103SKR"/>
    <s v="YAMAHA XSR 700 2016/19"/>
    <n v="647.70000000000005"/>
    <n v="719.67"/>
    <s v="&lt;p&gt;2&amp;gt;1 STEEL FULL KIT RACING WITH REMOVABLE DB KILLER&lt;/p&gt;_x000a_&lt;p&gt;ORIGINAL FULL KIT WEIGHT: 7.2KG&lt;br&gt;ZARD FULL KIT WEIGHT: 3.7KG&lt;/p&gt;_x000a_&lt;p&gt;HARD INCREASE COMPARED TO THE ORIGINAL EXHAUST SYSTEM.&lt;/p&gt;_x000a_&lt;p&gt;ASTONISHING SOUND.&lt;/p&gt;"/>
    <s v="https://shop.officineitalianezard.it/contents/imgs/products/1_1459-mt07zard-alluminio-ridotta.jpg"/>
    <m/>
    <m/>
  </r>
  <r>
    <s v="1586058893-9899"/>
    <s v="https://shop.officineitalianezard.it/en/products/"/>
    <m/>
    <s v="https://shop.officineitalianezard.it/en/yamaha-zard-exhaust/"/>
    <s v="XSR 700 2016/19"/>
    <s v="https://shop.officineitalianezard.it/en/yamaha-xsr-700-exhaust/"/>
    <s v="SHORT VERSION"/>
    <x v="2"/>
    <s v="2&gt;1 FULL KIT"/>
    <s v="ZY103SKR"/>
    <s v="YAMAHA XSR 700 2016/19"/>
    <n v="647.70000000000005"/>
    <n v="719.67"/>
    <s v="&lt;p&gt;2&amp;gt;1 STEEL FULL KIT RACING WITH REMOVABLE DB KILLER&lt;/p&gt;_x000a_&lt;p&gt;ORIGINAL FULL KIT WEIGHT: 7.2KG&lt;br&gt;ZARD FULL KIT WEIGHT: 3.7KG&lt;/p&gt;_x000a_&lt;p&gt;HARD INCREASE COMPARED TO THE ORIGINAL EXHAUST SYSTEM.&lt;/p&gt;_x000a_&lt;p&gt;ASTONISHING SOUND.&lt;/p&gt;"/>
    <s v="https://shop.officineitalianezard.it/contents/imgs/products/1_2015-1721-scarico%20xsr900%20mt07%20xsr700%20mt09%20yamaha%20zard.jpg"/>
    <m/>
    <m/>
  </r>
  <r>
    <s v="1586058893-9900"/>
    <s v="https://shop.officineitalianezard.it/en/products/"/>
    <m/>
    <s v="https://shop.officineitalianezard.it/en/yamaha-zard-exhaust/"/>
    <s v="XSR 700 2016/19"/>
    <s v="https://shop.officineitalianezard.it/en/yamaha-xsr-700-exhaust/"/>
    <s v="SHORT VERSION"/>
    <x v="2"/>
    <s v="2&gt;1 FULL KIT"/>
    <s v="ZY103SKR"/>
    <s v="YAMAHA XSR 700 2016/19"/>
    <n v="647.70000000000005"/>
    <n v="719.67"/>
    <s v="&lt;p&gt;2&amp;gt;1 STEEL FULL KIT RACING WITH REMOVABLE DB KILLER&lt;/p&gt;_x000a_&lt;p&gt;ORIGINAL FULL KIT WEIGHT: 7.2KG&lt;br&gt;ZARD FULL KIT WEIGHT: 3.7KG&lt;/p&gt;_x000a_&lt;p&gt;HARD INCREASE COMPARED TO THE ORIGINAL EXHAUST SYSTEM.&lt;/p&gt;_x000a_&lt;p&gt;ASTONISHING SOUND.&lt;/p&gt;"/>
    <s v="https://shop.officineitalianezard.it/contents/imgs/products/1_2016-scarico%20xsr%20900%20nero%20-%20zard.jpg"/>
    <m/>
    <m/>
  </r>
  <r>
    <s v="1586058893-9901"/>
    <s v="https://shop.officineitalianezard.it/en/products/"/>
    <m/>
    <s v="https://shop.officineitalianezard.it/en/yamaha-zard-exhaust/"/>
    <s v="XSR 700 2016/19"/>
    <s v="https://shop.officineitalianezard.it/en/yamaha-xsr-700-exhaust/"/>
    <s v="SHORT VERSION"/>
    <x v="2"/>
    <s v="2&gt;1 FULL KIT"/>
    <s v="ZY103SKR"/>
    <s v="YAMAHA XSR 700 2016/19"/>
    <n v="647.70000000000005"/>
    <n v="719.67"/>
    <s v="&lt;p&gt;2&amp;gt;1 STEEL FULL KIT RACING WITH REMOVABLE DB KILLER&lt;/p&gt;_x000a_&lt;p&gt;ORIGINAL FULL KIT WEIGHT: 7.2KG&lt;br&gt;ZARD FULL KIT WEIGHT: 3.7KG&lt;/p&gt;_x000a_&lt;p&gt;HARD INCREASE COMPARED TO THE ORIGINAL EXHAUST SYSTEM.&lt;/p&gt;_x000a_&lt;p&gt;ASTONISHING SOUND.&lt;/p&gt;"/>
    <m/>
    <s v="EURO 4 HOMOLOGATED"/>
    <n v="84.1"/>
  </r>
  <r>
    <s v="1586058893-9902"/>
    <s v="https://shop.officineitalianezard.it/en/products/"/>
    <m/>
    <s v="https://shop.officineitalianezard.it/en/yamaha-zard-exhaust/"/>
    <s v="XSR 700 2016/19"/>
    <s v="https://shop.officineitalianezard.it/en/yamaha-xsr-700-exhaust/"/>
    <s v="SHORT VERSION"/>
    <x v="2"/>
    <s v="2&gt;1 FULL KIT"/>
    <s v="ZY103SKR"/>
    <s v="YAMAHA XSR 700 2016/19"/>
    <n v="647.70000000000005"/>
    <n v="719.67"/>
    <s v="&lt;p&gt;2&amp;gt;1 STEEL FULL KIT RACING WITH REMOVABLE DB KILLER&lt;/p&gt;_x000a_&lt;p&gt;ORIGINAL FULL KIT WEIGHT: 7.2KG&lt;br&gt;ZARD FULL KIT WEIGHT: 3.7KG&lt;/p&gt;_x000a_&lt;p&gt;HARD INCREASE COMPARED TO THE ORIGINAL EXHAUST SYSTEM.&lt;/p&gt;_x000a_&lt;p&gt;ASTONISHING SOUND.&lt;/p&gt;"/>
    <m/>
    <s v="BLACK COATING"/>
    <n v="169.67"/>
  </r>
  <r>
    <s v="1586058893-9903"/>
    <s v="https://shop.officineitalianezard.it/en/products/"/>
    <m/>
    <s v="https://shop.officineitalianezard.it/en/yamaha-zard-exhaust/"/>
    <s v="XSR 700 2016/19"/>
    <s v="https://shop.officineitalianezard.it/en/yamaha-xsr-700-exhaust/"/>
    <s v="SHORT VERSION"/>
    <x v="2"/>
    <s v="2&gt;1 FULL KIT"/>
    <s v="ZY103SKR"/>
    <s v="YAMAHA XSR 700 2016/19"/>
    <n v="647.70000000000005"/>
    <n v="719.67"/>
    <s v="&lt;p&gt;2&amp;gt;1 STEEL FULL KIT RACING WITH REMOVABLE DB KILLER&lt;/p&gt;_x000a_&lt;p&gt;ORIGINAL FULL KIT WEIGHT: 7.2KG&lt;br&gt;ZARD FULL KIT WEIGHT: 3.7KG&lt;/p&gt;_x000a_&lt;p&gt;HARD INCREASE COMPARED TO THE ORIGINAL EXHAUST SYSTEM.&lt;/p&gt;_x000a_&lt;p&gt;ASTONISHING SOUND.&lt;/p&gt;"/>
    <m/>
    <s v="CARBON ENDCAP"/>
    <n v="37.619999999999997"/>
  </r>
  <r>
    <s v="1586058893-9904"/>
    <s v="https://shop.officineitalianezard.it/en/products/"/>
    <m/>
    <s v="https://shop.officineitalianezard.it/en/yamaha-zard-exhaust/"/>
    <s v="XSR 700 2016/19"/>
    <s v="https://shop.officineitalianezard.it/en/yamaha-xsr-700-exhaust/"/>
    <s v="SHORT VERSION"/>
    <x v="2"/>
    <s v="2&gt;1 FULL KIT"/>
    <s v="ZY103SKR"/>
    <s v="YAMAHA XSR 700 2016/19"/>
    <n v="647.70000000000005"/>
    <n v="719.67"/>
    <s v="&lt;p&gt;2&amp;gt;1 STEEL FULL KIT RACING WITH REMOVABLE DB KILLER&lt;/p&gt;_x000a_&lt;p&gt;ORIGINAL FULL KIT WEIGHT: 7.2KG&lt;br&gt;ZARD FULL KIT WEIGHT: 3.7KG&lt;/p&gt;_x000a_&lt;p&gt;HARD INCREASE COMPARED TO THE ORIGINAL EXHAUST SYSTEM.&lt;/p&gt;_x000a_&lt;p&gt;ASTONISHING SOUND.&lt;/p&gt;"/>
    <m/>
    <s v="LOGO PLATE AND HOSE CLAMP BRONZED"/>
    <n v="61.97"/>
  </r>
  <r>
    <s v="1586058898-9905"/>
    <s v="https://shop.officineitalianezard.it/en/products/"/>
    <m/>
    <s v="https://shop.officineitalianezard.it/en/yamaha-zard-exhaust/"/>
    <s v="TENERE 700 2019/20"/>
    <s v="https://shop.officineitalianezard.it/en/yamaha-tenere-700-exhaust-zard/"/>
    <s v="LOW MOUNTED VERSION"/>
    <x v="3"/>
    <s v="SLIP-ON"/>
    <s v="ZY101SSR"/>
    <s v="YAMAHA TÉNÉRÉ 700"/>
    <n v="472.13"/>
    <n v="524.59"/>
    <s v="&lt;p&gt;STAINLESS STEEL RACING SLIP-ON WITH REMOVABLE DB KILLERS&lt;br&gt;EURO 4 HOMOLOGATED VERSION AVAILABLE AS OPTIONAL&lt;/p&gt;_x000a_&lt;p&gt;CARBON CLAMP, END-CAP, HEEL PROTECTION AND HEAT SHIELD INCLUDED&lt;/p&gt;_x000a_&lt;p&gt;ORIGINAL EXHAUST WEIGHT: 5 KG&lt;br&gt;ZARD EXHAUST WEIGHT (STAINLESS STEEL): 3.3 KG&lt;br&gt;ZARD EXHAUST WEIGHT (TITANIUM): 2.7 KG&lt;/p&gt;_x000a_&lt;p&gt;THE INSTALLATION OF ZARD EXHAUST DOES NOT&lt;br&gt;IMPLY ANY MODIFICATION TO ECU.&lt;/p&gt;_x000a_&lt;p&gt;SIGNIFICANT INCREASE, COMPARED TO THE ORIGINAL EXHAUST SYSTEM,&lt;br&gt;IN TERMS OF TORQUE AND POWER AT ANY RANGE, ASTONISHING SOUND.&lt;/p&gt;_x000a_&lt;p&gt;&lt;strong&gt;NOTICE:&lt;/strong&gt; CAN BE FITTED WITH SIDE BAGS AND CENTRAL STAND.&lt;/p&gt;"/>
    <s v="https://shop.officineitalianezard.it/contents/imgs/products/1_2687-scarichi%20yamaha%20tenere%20700%20scarico%20zard%20-%20omologato%20exhaust%201.jpg"/>
    <m/>
    <m/>
  </r>
  <r>
    <s v="1586058898-9906"/>
    <s v="https://shop.officineitalianezard.it/en/products/"/>
    <m/>
    <s v="https://shop.officineitalianezard.it/en/yamaha-zard-exhaust/"/>
    <s v="TENERE 700 2019/20"/>
    <s v="https://shop.officineitalianezard.it/en/yamaha-tenere-700-exhaust-zard/"/>
    <s v="LOW MOUNTED VERSION"/>
    <x v="3"/>
    <s v="SLIP-ON"/>
    <s v="ZY101SSR"/>
    <s v="YAMAHA TÉNÉRÉ 700"/>
    <n v="472.13"/>
    <n v="524.59"/>
    <s v="&lt;p&gt;STAINLESS STEEL RACING SLIP-ON WITH REMOVABLE DB KILLERS&lt;br&gt;EURO 4 HOMOLOGATED VERSION AVAILABLE AS OPTIONAL&lt;/p&gt;_x000a_&lt;p&gt;CARBON CLAMP, END-CAP, HEEL PROTECTION AND HEAT SHIELD INCLUDED&lt;/p&gt;_x000a_&lt;p&gt;ORIGINAL EXHAUST WEIGHT: 5 KG&lt;br&gt;ZARD EXHAUST WEIGHT (STAINLESS STEEL): 3.3 KG&lt;br&gt;ZARD EXHAUST WEIGHT (TITANIUM): 2.7 KG&lt;/p&gt;_x000a_&lt;p&gt;THE INSTALLATION OF ZARD EXHAUST DOES NOT&lt;br&gt;IMPLY ANY MODIFICATION TO ECU.&lt;/p&gt;_x000a_&lt;p&gt;SIGNIFICANT INCREASE, COMPARED TO THE ORIGINAL EXHAUST SYSTEM,&lt;br&gt;IN TERMS OF TORQUE AND POWER AT ANY RANGE, ASTONISHING SOUND.&lt;/p&gt;_x000a_&lt;p&gt;&lt;strong&gt;NOTICE:&lt;/strong&gt; CAN BE FITTED WITH SIDE BAGS AND CENTRAL STAND.&lt;/p&gt;"/>
    <s v="https://shop.officineitalianezard.it/contents/imgs/products/1_2688-scarichi%20yamaha%20tenere%20700%20scarico%20zard%20-%20omologato%20exhaust%202.jpg"/>
    <m/>
    <m/>
  </r>
  <r>
    <s v="1586058898-9907"/>
    <s v="https://shop.officineitalianezard.it/en/products/"/>
    <m/>
    <s v="https://shop.officineitalianezard.it/en/yamaha-zard-exhaust/"/>
    <s v="TENERE 700 2019/20"/>
    <s v="https://shop.officineitalianezard.it/en/yamaha-tenere-700-exhaust-zard/"/>
    <s v="LOW MOUNTED VERSION"/>
    <x v="3"/>
    <s v="SLIP-ON"/>
    <s v="ZY101SSR"/>
    <s v="YAMAHA TÉNÉRÉ 700"/>
    <n v="472.13"/>
    <n v="524.59"/>
    <s v="&lt;p&gt;STAINLESS STEEL RACING SLIP-ON WITH REMOVABLE DB KILLERS&lt;br&gt;EURO 4 HOMOLOGATED VERSION AVAILABLE AS OPTIONAL&lt;/p&gt;_x000a_&lt;p&gt;CARBON CLAMP, END-CAP, HEEL PROTECTION AND HEAT SHIELD INCLUDED&lt;/p&gt;_x000a_&lt;p&gt;ORIGINAL EXHAUST WEIGHT: 5 KG&lt;br&gt;ZARD EXHAUST WEIGHT (STAINLESS STEEL): 3.3 KG&lt;br&gt;ZARD EXHAUST WEIGHT (TITANIUM): 2.7 KG&lt;/p&gt;_x000a_&lt;p&gt;THE INSTALLATION OF ZARD EXHAUST DOES NOT&lt;br&gt;IMPLY ANY MODIFICATION TO ECU.&lt;/p&gt;_x000a_&lt;p&gt;SIGNIFICANT INCREASE, COMPARED TO THE ORIGINAL EXHAUST SYSTEM,&lt;br&gt;IN TERMS OF TORQUE AND POWER AT ANY RANGE, ASTONISHING SOUND.&lt;/p&gt;_x000a_&lt;p&gt;&lt;strong&gt;NOTICE:&lt;/strong&gt; CAN BE FITTED WITH SIDE BAGS AND CENTRAL STAND.&lt;/p&gt;"/>
    <s v="https://shop.officineitalianezard.it/contents/imgs/products/1_2690-scarichi%20yamaha%20tenere%20700%20scarico%20zard%20-%20omologato%20exhaust%20black.jpg"/>
    <m/>
    <m/>
  </r>
  <r>
    <s v="1586058898-9908"/>
    <s v="https://shop.officineitalianezard.it/en/products/"/>
    <m/>
    <s v="https://shop.officineitalianezard.it/en/yamaha-zard-exhaust/"/>
    <s v="TENERE 700 2019/20"/>
    <s v="https://shop.officineitalianezard.it/en/yamaha-tenere-700-exhaust-zard/"/>
    <s v="LOW MOUNTED VERSION"/>
    <x v="3"/>
    <s v="SLIP-ON"/>
    <s v="ZY101SSR"/>
    <s v="YAMAHA TÉNÉRÉ 700"/>
    <n v="472.13"/>
    <n v="524.59"/>
    <s v="&lt;p&gt;STAINLESS STEEL RACING SLIP-ON WITH REMOVABLE DB KILLERS&lt;br&gt;EURO 4 HOMOLOGATED VERSION AVAILABLE AS OPTIONAL&lt;/p&gt;_x000a_&lt;p&gt;CARBON CLAMP, END-CAP, HEEL PROTECTION AND HEAT SHIELD INCLUDED&lt;/p&gt;_x000a_&lt;p&gt;ORIGINAL EXHAUST WEIGHT: 5 KG&lt;br&gt;ZARD EXHAUST WEIGHT (STAINLESS STEEL): 3.3 KG&lt;br&gt;ZARD EXHAUST WEIGHT (TITANIUM): 2.7 KG&lt;/p&gt;_x000a_&lt;p&gt;THE INSTALLATION OF ZARD EXHAUST DOES NOT&lt;br&gt;IMPLY ANY MODIFICATION TO ECU.&lt;/p&gt;_x000a_&lt;p&gt;SIGNIFICANT INCREASE, COMPARED TO THE ORIGINAL EXHAUST SYSTEM,&lt;br&gt;IN TERMS OF TORQUE AND POWER AT ANY RANGE, ASTONISHING SOUND.&lt;/p&gt;_x000a_&lt;p&gt;&lt;strong&gt;NOTICE:&lt;/strong&gt; CAN BE FITTED WITH SIDE BAGS AND CENTRAL STAND.&lt;/p&gt;"/>
    <s v="https://shop.officineitalianezard.it/contents/imgs/products/1_2689-scarichi%20yamaha%20tenere%20700%20scarico%20zard%20-%20omologato%20exhaust%203.jpg"/>
    <m/>
    <m/>
  </r>
  <r>
    <s v="1586058898-9909"/>
    <s v="https://shop.officineitalianezard.it/en/products/"/>
    <m/>
    <s v="https://shop.officineitalianezard.it/en/yamaha-zard-exhaust/"/>
    <s v="TENERE 700 2019/20"/>
    <s v="https://shop.officineitalianezard.it/en/yamaha-tenere-700-exhaust-zard/"/>
    <s v="LOW MOUNTED VERSION"/>
    <x v="3"/>
    <s v="SLIP-ON"/>
    <s v="ZY101SSR"/>
    <s v="YAMAHA TÉNÉRÉ 700"/>
    <n v="472.13"/>
    <n v="524.59"/>
    <s v="&lt;p&gt;STAINLESS STEEL RACING SLIP-ON WITH REMOVABLE DB KILLERS&lt;br&gt;EURO 4 HOMOLOGATED VERSION AVAILABLE AS OPTIONAL&lt;/p&gt;_x000a_&lt;p&gt;CARBON CLAMP, END-CAP, HEEL PROTECTION AND HEAT SHIELD INCLUDED&lt;/p&gt;_x000a_&lt;p&gt;ORIGINAL EXHAUST WEIGHT: 5 KG&lt;br&gt;ZARD EXHAUST WEIGHT (STAINLESS STEEL): 3.3 KG&lt;br&gt;ZARD EXHAUST WEIGHT (TITANIUM): 2.7 KG&lt;/p&gt;_x000a_&lt;p&gt;THE INSTALLATION OF ZARD EXHAUST DOES NOT&lt;br&gt;IMPLY ANY MODIFICATION TO ECU.&lt;/p&gt;_x000a_&lt;p&gt;SIGNIFICANT INCREASE, COMPARED TO THE ORIGINAL EXHAUST SYSTEM,&lt;br&gt;IN TERMS OF TORQUE AND POWER AT ANY RANGE, ASTONISHING SOUND.&lt;/p&gt;_x000a_&lt;p&gt;&lt;strong&gt;NOTICE:&lt;/strong&gt; CAN BE FITTED WITH SIDE BAGS AND CENTRAL STAND.&lt;/p&gt;"/>
    <m/>
    <s v="EURO 4 HOMOLOGATED"/>
    <n v="14.75"/>
  </r>
  <r>
    <s v="1586058898-9910"/>
    <s v="https://shop.officineitalianezard.it/en/products/"/>
    <m/>
    <s v="https://shop.officineitalianezard.it/en/yamaha-zard-exhaust/"/>
    <s v="TENERE 700 2019/20"/>
    <s v="https://shop.officineitalianezard.it/en/yamaha-tenere-700-exhaust-zard/"/>
    <s v="LOW MOUNTED VERSION"/>
    <x v="3"/>
    <s v="SLIP-ON"/>
    <s v="ZY101SSR"/>
    <s v="YAMAHA TÉNÉRÉ 700"/>
    <n v="472.13"/>
    <n v="524.59"/>
    <s v="&lt;p&gt;STAINLESS STEEL RACING SLIP-ON WITH REMOVABLE DB KILLERS&lt;br&gt;EURO 4 HOMOLOGATED VERSION AVAILABLE AS OPTIONAL&lt;/p&gt;_x000a_&lt;p&gt;CARBON CLAMP, END-CAP, HEEL PROTECTION AND HEAT SHIELD INCLUDED&lt;/p&gt;_x000a_&lt;p&gt;ORIGINAL EXHAUST WEIGHT: 5 KG&lt;br&gt;ZARD EXHAUST WEIGHT (STAINLESS STEEL): 3.3 KG&lt;br&gt;ZARD EXHAUST WEIGHT (TITANIUM): 2.7 KG&lt;/p&gt;_x000a_&lt;p&gt;THE INSTALLATION OF ZARD EXHAUST DOES NOT&lt;br&gt;IMPLY ANY MODIFICATION TO ECU.&lt;/p&gt;_x000a_&lt;p&gt;SIGNIFICANT INCREASE, COMPARED TO THE ORIGINAL EXHAUST SYSTEM,&lt;br&gt;IN TERMS OF TORQUE AND POWER AT ANY RANGE, ASTONISHING SOUND.&lt;/p&gt;_x000a_&lt;p&gt;&lt;strong&gt;NOTICE:&lt;/strong&gt; CAN BE FITTED WITH SIDE BAGS AND CENTRAL STAND.&lt;/p&gt;"/>
    <m/>
    <s v="TITANIUM SLEEVE"/>
    <n v="81.150000000000006"/>
  </r>
  <r>
    <s v="1586058898-9911"/>
    <s v="https://shop.officineitalianezard.it/en/products/"/>
    <m/>
    <s v="https://shop.officineitalianezard.it/en/yamaha-zard-exhaust/"/>
    <s v="TENERE 700 2019/20"/>
    <s v="https://shop.officineitalianezard.it/en/yamaha-tenere-700-exhaust-zard/"/>
    <s v="LOW MOUNTED VERSION"/>
    <x v="3"/>
    <s v="SLIP-ON"/>
    <s v="ZY101SSR"/>
    <s v="YAMAHA TÉNÉRÉ 700"/>
    <n v="472.13"/>
    <n v="524.59"/>
    <s v="&lt;p&gt;STAINLESS STEEL RACING SLIP-ON WITH REMOVABLE DB KILLERS&lt;br&gt;EURO 4 HOMOLOGATED VERSION AVAILABLE AS OPTIONAL&lt;/p&gt;_x000a_&lt;p&gt;CARBON CLAMP, END-CAP, HEEL PROTECTION AND HEAT SHIELD INCLUDED&lt;/p&gt;_x000a_&lt;p&gt;ORIGINAL EXHAUST WEIGHT: 5 KG&lt;br&gt;ZARD EXHAUST WEIGHT (STAINLESS STEEL): 3.3 KG&lt;br&gt;ZARD EXHAUST WEIGHT (TITANIUM): 2.7 KG&lt;/p&gt;_x000a_&lt;p&gt;THE INSTALLATION OF ZARD EXHAUST DOES NOT&lt;br&gt;IMPLY ANY MODIFICATION TO ECU.&lt;/p&gt;_x000a_&lt;p&gt;SIGNIFICANT INCREASE, COMPARED TO THE ORIGINAL EXHAUST SYSTEM,&lt;br&gt;IN TERMS OF TORQUE AND POWER AT ANY RANGE, ASTONISHING SOUND.&lt;/p&gt;_x000a_&lt;p&gt;&lt;strong&gt;NOTICE:&lt;/strong&gt; CAN BE FITTED WITH SIDE BAGS AND CENTRAL STAND.&lt;/p&gt;"/>
    <m/>
    <s v="BLACK COATING"/>
    <n v="36.89"/>
  </r>
  <r>
    <s v="1586058902-9912"/>
    <s v="https://shop.officineitalianezard.it/en/products/"/>
    <m/>
    <s v="https://shop.officineitalianezard.it/en/yamaha-zard-exhaust/"/>
    <s v="T-MAX 530"/>
    <s v="https://shop.officineitalianezard.it/en/yamaha-t-max-530/"/>
    <s v="CONICAL VERSION"/>
    <x v="4"/>
    <s v="FULL KIT"/>
    <s v="ZY 094 SKR"/>
    <s v="YAMAHA T-MAX 530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s v="https://shop.officineitalianezard.it/contents/imgs/products/1_661-4scarichi%20t-max%20yamaha%20zard2.jpg"/>
    <m/>
    <m/>
  </r>
  <r>
    <s v="1586058902-9913"/>
    <s v="https://shop.officineitalianezard.it/en/products/"/>
    <m/>
    <s v="https://shop.officineitalianezard.it/en/yamaha-zard-exhaust/"/>
    <s v="T-MAX 530"/>
    <s v="https://shop.officineitalianezard.it/en/yamaha-t-max-530/"/>
    <s v="CONICAL VERSION"/>
    <x v="4"/>
    <s v="FULL KIT"/>
    <s v="ZY 094 SKR"/>
    <s v="YAMAHA T-MAX 530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s v="https://shop.officineitalianezard.it/contents/imgs/products/1_660-3scarichi%20t-max%20yamaha%20zard1.jpg"/>
    <m/>
    <m/>
  </r>
  <r>
    <s v="1586058902-9914"/>
    <s v="https://shop.officineitalianezard.it/en/products/"/>
    <m/>
    <s v="https://shop.officineitalianezard.it/en/yamaha-zard-exhaust/"/>
    <s v="T-MAX 530"/>
    <s v="https://shop.officineitalianezard.it/en/yamaha-t-max-530/"/>
    <s v="CONICAL VERSION"/>
    <x v="4"/>
    <s v="FULL KIT"/>
    <s v="ZY 094 SKR"/>
    <s v="YAMAHA T-MAX 530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s v="https://shop.officineitalianezard.it/contents/imgs/products/1_897-YAMAHA%20T-MAX%20BIANCO%20002.jpg"/>
    <m/>
    <m/>
  </r>
  <r>
    <s v="1586058902-9915"/>
    <s v="https://shop.officineitalianezard.it/en/products/"/>
    <m/>
    <s v="https://shop.officineitalianezard.it/en/yamaha-zard-exhaust/"/>
    <s v="T-MAX 530"/>
    <s v="https://shop.officineitalianezard.it/en/yamaha-t-max-530/"/>
    <s v="CONICAL VERSION"/>
    <x v="4"/>
    <s v="FULL KIT"/>
    <s v="ZY 094 SKR"/>
    <s v="YAMAHA T-MAX 530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s v="https://shop.officineitalianezard.it/contents/imgs/products/1_671-nero.jpg"/>
    <m/>
    <m/>
  </r>
  <r>
    <s v="1586058902-9916"/>
    <s v="https://shop.officineitalianezard.it/en/products/"/>
    <m/>
    <s v="https://shop.officineitalianezard.it/en/yamaha-zard-exhaust/"/>
    <s v="T-MAX 530"/>
    <s v="https://shop.officineitalianezard.it/en/yamaha-t-max-530/"/>
    <s v="CONICAL VERSION"/>
    <x v="4"/>
    <s v="FULL KIT"/>
    <s v="ZY 094 SKR"/>
    <s v="YAMAHA T-MAX 530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m/>
    <s v="EURO 3 HOMOLOGATED"/>
    <n v="84.84"/>
  </r>
  <r>
    <s v="1586058902-9917"/>
    <s v="https://shop.officineitalianezard.it/en/products/"/>
    <m/>
    <s v="https://shop.officineitalianezard.it/en/yamaha-zard-exhaust/"/>
    <s v="T-MAX 530"/>
    <s v="https://shop.officineitalianezard.it/en/yamaha-t-max-530/"/>
    <s v="CONICAL VERSION"/>
    <x v="4"/>
    <s v="FULL KIT"/>
    <s v="ZY 094 SKR"/>
    <s v="YAMAHA T-MAX 530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m/>
    <s v="BLACK COATING"/>
    <n v="169.67"/>
  </r>
  <r>
    <s v="1586058902-9918"/>
    <s v="https://shop.officineitalianezard.it/en/products/"/>
    <m/>
    <s v="https://shop.officineitalianezard.it/en/yamaha-zard-exhaust/"/>
    <s v="T-MAX 530"/>
    <s v="https://shop.officineitalianezard.it/en/yamaha-t-max-530/"/>
    <s v="CONICAL VERSION"/>
    <x v="4"/>
    <s v="FULL KIT"/>
    <s v="ZY 094 SKR"/>
    <s v="YAMAHA T-MAX 530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m/>
    <s v="STEEL HEADERS KIT + TITANIUM SIL."/>
    <n v="84.84"/>
  </r>
  <r>
    <s v="1586058907-9919"/>
    <s v="https://shop.officineitalianezard.it/en/products/"/>
    <m/>
    <s v="https://shop.officineitalianezard.it/en/yamaha-zard-exhaust/"/>
    <s v="T-MAX 08-11"/>
    <s v="https://shop.officineitalianezard.it/en/yamaha-t-max-08-11-exhaust/"/>
    <s v="CONICAL VERSION"/>
    <x v="5"/>
    <s v="FULL KIT"/>
    <s v="ZY 092 SKR"/>
    <s v="YAMAHA T-MAX 08-11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s v="https://shop.officineitalianezard.it/contents/imgs/products/1_658-4scarichi%20t-max%20yamaha%20zard1.jpg"/>
    <m/>
    <m/>
  </r>
  <r>
    <s v="1586058907-9920"/>
    <s v="https://shop.officineitalianezard.it/en/products/"/>
    <m/>
    <s v="https://shop.officineitalianezard.it/en/yamaha-zard-exhaust/"/>
    <s v="T-MAX 08-11"/>
    <s v="https://shop.officineitalianezard.it/en/yamaha-t-max-08-11-exhaust/"/>
    <s v="CONICAL VERSION"/>
    <x v="5"/>
    <s v="FULL KIT"/>
    <s v="ZY 092 SKR"/>
    <s v="YAMAHA T-MAX 08-11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s v="https://shop.officineitalianezard.it/contents/imgs/products/1_655-4scarichi%20t-max%20yamaha%20zard2.jpg"/>
    <m/>
    <m/>
  </r>
  <r>
    <s v="1586058907-9921"/>
    <s v="https://shop.officineitalianezard.it/en/products/"/>
    <m/>
    <s v="https://shop.officineitalianezard.it/en/yamaha-zard-exhaust/"/>
    <s v="T-MAX 08-11"/>
    <s v="https://shop.officineitalianezard.it/en/yamaha-t-max-08-11-exhaust/"/>
    <s v="CONICAL VERSION"/>
    <x v="5"/>
    <s v="FULL KIT"/>
    <s v="ZY 092 SKR"/>
    <s v="YAMAHA T-MAX 08-11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s v="https://shop.officineitalianezard.it/contents/imgs/products/1_654-3scarichi%20t-max%20yamaha%20zard1.jpg"/>
    <m/>
    <m/>
  </r>
  <r>
    <s v="1586058907-9922"/>
    <s v="https://shop.officineitalianezard.it/en/products/"/>
    <m/>
    <s v="https://shop.officineitalianezard.it/en/yamaha-zard-exhaust/"/>
    <s v="T-MAX 08-11"/>
    <s v="https://shop.officineitalianezard.it/en/yamaha-t-max-08-11-exhaust/"/>
    <s v="CONICAL VERSION"/>
    <x v="5"/>
    <s v="FULL KIT"/>
    <s v="ZY 092 SKR"/>
    <s v="YAMAHA T-MAX 08-11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s v="https://shop.officineitalianezard.it/contents/imgs/products/1_895-YAMAHA%20T-MAX%20BIANCO%20002.jpg"/>
    <m/>
    <m/>
  </r>
  <r>
    <s v="1586058907-9923"/>
    <s v="https://shop.officineitalianezard.it/en/products/"/>
    <m/>
    <s v="https://shop.officineitalianezard.it/en/yamaha-zard-exhaust/"/>
    <s v="T-MAX 08-11"/>
    <s v="https://shop.officineitalianezard.it/en/yamaha-t-max-08-11-exhaust/"/>
    <s v="CONICAL VERSION"/>
    <x v="5"/>
    <s v="FULL KIT"/>
    <s v="ZY 092 SKR"/>
    <s v="YAMAHA T-MAX 08-11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s v="https://shop.officineitalianezard.it/contents/imgs/products/1_896-nero.jpg"/>
    <m/>
    <m/>
  </r>
  <r>
    <s v="1586058907-9924"/>
    <s v="https://shop.officineitalianezard.it/en/products/"/>
    <m/>
    <s v="https://shop.officineitalianezard.it/en/yamaha-zard-exhaust/"/>
    <s v="T-MAX 08-11"/>
    <s v="https://shop.officineitalianezard.it/en/yamaha-t-max-08-11-exhaust/"/>
    <s v="CONICAL VERSION"/>
    <x v="5"/>
    <s v="FULL KIT"/>
    <s v="ZY 092 SKR"/>
    <s v="YAMAHA T-MAX 08-11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s v="https://shop.officineitalianezard.it/contents/imgs/products/1_898-1scarichi%20t-max%20yamaha%20zard1.jpg"/>
    <m/>
    <m/>
  </r>
  <r>
    <s v="1586058907-9925"/>
    <s v="https://shop.officineitalianezard.it/en/products/"/>
    <m/>
    <s v="https://shop.officineitalianezard.it/en/yamaha-zard-exhaust/"/>
    <s v="T-MAX 08-11"/>
    <s v="https://shop.officineitalianezard.it/en/yamaha-t-max-08-11-exhaust/"/>
    <s v="CONICAL VERSION"/>
    <x v="5"/>
    <s v="FULL KIT"/>
    <s v="ZY 092 SKR"/>
    <s v="YAMAHA T-MAX 08-11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s v="https://shop.officineitalianezard.it/contents/imgs/products/1_899-3scarichi%20t-max%20yamaha%20zard2.jpg"/>
    <m/>
    <m/>
  </r>
  <r>
    <s v="1586058907-9926"/>
    <s v="https://shop.officineitalianezard.it/en/products/"/>
    <m/>
    <s v="https://shop.officineitalianezard.it/en/yamaha-zard-exhaust/"/>
    <s v="T-MAX 08-11"/>
    <s v="https://shop.officineitalianezard.it/en/yamaha-t-max-08-11-exhaust/"/>
    <s v="CONICAL VERSION"/>
    <x v="5"/>
    <s v="FULL KIT"/>
    <s v="ZY 092 SKR"/>
    <s v="YAMAHA T-MAX 08-11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m/>
    <s v="EURO 3 HOMOLOGATED"/>
    <n v="84.84"/>
  </r>
  <r>
    <s v="1586058907-9927"/>
    <s v="https://shop.officineitalianezard.it/en/products/"/>
    <m/>
    <s v="https://shop.officineitalianezard.it/en/yamaha-zard-exhaust/"/>
    <s v="T-MAX 08-11"/>
    <s v="https://shop.officineitalianezard.it/en/yamaha-t-max-08-11-exhaust/"/>
    <s v="CONICAL VERSION"/>
    <x v="5"/>
    <s v="FULL KIT"/>
    <s v="ZY 092 SKR"/>
    <s v="YAMAHA T-MAX 08-11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m/>
    <s v="BLACK COATING"/>
    <n v="169.67"/>
  </r>
  <r>
    <s v="1586058907-9928"/>
    <s v="https://shop.officineitalianezard.it/en/products/"/>
    <m/>
    <s v="https://shop.officineitalianezard.it/en/yamaha-zard-exhaust/"/>
    <s v="T-MAX 08-11"/>
    <s v="https://shop.officineitalianezard.it/en/yamaha-t-max-08-11-exhaust/"/>
    <s v="CONICAL VERSION"/>
    <x v="5"/>
    <s v="FULL KIT"/>
    <s v="ZY 092 SKR"/>
    <s v="YAMAHA T-MAX 08-11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m/>
    <s v="STEEL HEADERS KIT + TITANIUM SIL."/>
    <n v="84.84"/>
  </r>
  <r>
    <s v="1586058912-9929"/>
    <s v="https://shop.officineitalianezard.it/en/products/"/>
    <m/>
    <s v="https://shop.officineitalianezard.it/en/yamaha-zard-exhaust/"/>
    <s v="T-MAX 04-07"/>
    <s v="https://shop.officineitalianezard.it/en/yamaha-t-max-04-07-exhaust/"/>
    <s v="CONICAL VERSION"/>
    <x v="6"/>
    <s v="FULL KIT"/>
    <s v="ZY 091 SKR"/>
    <s v="YAMAHA T-MAX 04-07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s v="https://shop.officineitalianezard.it/contents/imgs/products/1_646-2scarichi%20t-max%20yamaha%20zard2.jpg"/>
    <m/>
    <m/>
  </r>
  <r>
    <s v="1586058912-9930"/>
    <s v="https://shop.officineitalianezard.it/en/products/"/>
    <m/>
    <s v="https://shop.officineitalianezard.it/en/yamaha-zard-exhaust/"/>
    <s v="T-MAX 04-07"/>
    <s v="https://shop.officineitalianezard.it/en/yamaha-t-max-04-07-exhaust/"/>
    <s v="CONICAL VERSION"/>
    <x v="6"/>
    <s v="FULL KIT"/>
    <s v="ZY 091 SKR"/>
    <s v="YAMAHA T-MAX 04-07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s v="https://shop.officineitalianezard.it/contents/imgs/products/1_648-2scarichi%20t-max%20yamaha%20zard1.jpg"/>
    <m/>
    <m/>
  </r>
  <r>
    <s v="1586058912-9931"/>
    <s v="https://shop.officineitalianezard.it/en/products/"/>
    <m/>
    <s v="https://shop.officineitalianezard.it/en/yamaha-zard-exhaust/"/>
    <s v="T-MAX 04-07"/>
    <s v="https://shop.officineitalianezard.it/en/yamaha-t-max-04-07-exhaust/"/>
    <s v="CONICAL VERSION"/>
    <x v="6"/>
    <s v="FULL KIT"/>
    <s v="ZY 091 SKR"/>
    <s v="YAMAHA T-MAX 04-07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s v="https://shop.officineitalianezard.it/contents/imgs/products/1_649-3scarichi%20t-max%20yamaha%20zard1.jpg"/>
    <m/>
    <m/>
  </r>
  <r>
    <s v="1586058912-9932"/>
    <s v="https://shop.officineitalianezard.it/en/products/"/>
    <m/>
    <s v="https://shop.officineitalianezard.it/en/yamaha-zard-exhaust/"/>
    <s v="T-MAX 04-07"/>
    <s v="https://shop.officineitalianezard.it/en/yamaha-t-max-04-07-exhaust/"/>
    <s v="CONICAL VERSION"/>
    <x v="6"/>
    <s v="FULL KIT"/>
    <s v="ZY 091 SKR"/>
    <s v="YAMAHA T-MAX 04-07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s v="https://shop.officineitalianezard.it/contents/imgs/products/1_894-YAMAHA%20T-MAX%20BIANCO%20002.jpg"/>
    <m/>
    <m/>
  </r>
  <r>
    <s v="1586058912-9933"/>
    <s v="https://shop.officineitalianezard.it/en/products/"/>
    <m/>
    <s v="https://shop.officineitalianezard.it/en/yamaha-zard-exhaust/"/>
    <s v="T-MAX 04-07"/>
    <s v="https://shop.officineitalianezard.it/en/yamaha-t-max-04-07-exhaust/"/>
    <s v="CONICAL VERSION"/>
    <x v="6"/>
    <s v="FULL KIT"/>
    <s v="ZY 091 SKR"/>
    <s v="YAMAHA T-MAX 04-07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s v="https://shop.officineitalianezard.it/contents/imgs/products/1_893-nero.jpg"/>
    <m/>
    <m/>
  </r>
  <r>
    <s v="1586058912-9934"/>
    <s v="https://shop.officineitalianezard.it/en/products/"/>
    <m/>
    <s v="https://shop.officineitalianezard.it/en/yamaha-zard-exhaust/"/>
    <s v="T-MAX 04-07"/>
    <s v="https://shop.officineitalianezard.it/en/yamaha-t-max-04-07-exhaust/"/>
    <s v="CONICAL VERSION"/>
    <x v="6"/>
    <s v="FULL KIT"/>
    <s v="ZY 091 SKR"/>
    <s v="YAMAHA T-MAX 04-07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m/>
    <s v="EURO 3 HOMOLOGATED"/>
    <n v="84.84"/>
  </r>
  <r>
    <s v="1586058912-9935"/>
    <s v="https://shop.officineitalianezard.it/en/products/"/>
    <m/>
    <s v="https://shop.officineitalianezard.it/en/yamaha-zard-exhaust/"/>
    <s v="T-MAX 04-07"/>
    <s v="https://shop.officineitalianezard.it/en/yamaha-t-max-04-07-exhaust/"/>
    <s v="CONICAL VERSION"/>
    <x v="6"/>
    <s v="FULL KIT"/>
    <s v="ZY 091 SKR"/>
    <s v="YAMAHA T-MAX 04-07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m/>
    <s v="BLACK COATING"/>
    <n v="169.67"/>
  </r>
  <r>
    <s v="1586058912-9936"/>
    <s v="https://shop.officineitalianezard.it/en/products/"/>
    <m/>
    <s v="https://shop.officineitalianezard.it/en/yamaha-zard-exhaust/"/>
    <s v="T-MAX 04-07"/>
    <s v="https://shop.officineitalianezard.it/en/yamaha-t-max-04-07-exhaust/"/>
    <s v="CONICAL VERSION"/>
    <x v="6"/>
    <s v="FULL KIT"/>
    <s v="ZY 091 SKR"/>
    <s v="YAMAHA T-MAX 04-07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m/>
    <s v="STEEL HEADERS KIT + TITANIUM SIL."/>
    <n v="84.84"/>
  </r>
  <r>
    <s v="1586058917-9937"/>
    <s v="https://shop.officineitalianezard.it/en/products/"/>
    <m/>
    <s v="https://shop.officineitalianezard.it/en/yamaha-zard-exhaust/"/>
    <s v="T-MAX 00-03"/>
    <s v="https://shop.officineitalianezard.it/en/yamaha-t-max-00-03-exhaust/"/>
    <s v="CONICAL VERSION"/>
    <x v="7"/>
    <s v="FULL KIT"/>
    <s v="ZY 093 SKR"/>
    <s v="YAMAHA T-MAX 00-03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s v="https://shop.officineitalianezard.it/contents/imgs/products/1_891-2scarichi%20t-max%20yamaha%20zard2.jpg"/>
    <m/>
    <m/>
  </r>
  <r>
    <s v="1586058917-9938"/>
    <s v="https://shop.officineitalianezard.it/en/products/"/>
    <m/>
    <s v="https://shop.officineitalianezard.it/en/yamaha-zard-exhaust/"/>
    <s v="T-MAX 00-03"/>
    <s v="https://shop.officineitalianezard.it/en/yamaha-t-max-00-03-exhaust/"/>
    <s v="CONICAL VERSION"/>
    <x v="7"/>
    <s v="FULL KIT"/>
    <s v="ZY 093 SKR"/>
    <s v="YAMAHA T-MAX 00-03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s v="https://shop.officineitalianezard.it/contents/imgs/products/1_638-2scarichi%20t-max%20yamaha%20zard1.jpg"/>
    <m/>
    <m/>
  </r>
  <r>
    <s v="1586058917-9939"/>
    <s v="https://shop.officineitalianezard.it/en/products/"/>
    <m/>
    <s v="https://shop.officineitalianezard.it/en/yamaha-zard-exhaust/"/>
    <s v="T-MAX 00-03"/>
    <s v="https://shop.officineitalianezard.it/en/yamaha-t-max-00-03-exhaust/"/>
    <s v="CONICAL VERSION"/>
    <x v="7"/>
    <s v="FULL KIT"/>
    <s v="ZY 093 SKR"/>
    <s v="YAMAHA T-MAX 00-03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s v="https://shop.officineitalianezard.it/contents/imgs/products/1_639-3scarichi%20t-max%20yamaha%20zard1.jpg"/>
    <m/>
    <m/>
  </r>
  <r>
    <s v="1586058917-9940"/>
    <s v="https://shop.officineitalianezard.it/en/products/"/>
    <m/>
    <s v="https://shop.officineitalianezard.it/en/yamaha-zard-exhaust/"/>
    <s v="T-MAX 00-03"/>
    <s v="https://shop.officineitalianezard.it/en/yamaha-t-max-00-03-exhaust/"/>
    <s v="CONICAL VERSION"/>
    <x v="7"/>
    <s v="FULL KIT"/>
    <s v="ZY 093 SKR"/>
    <s v="YAMAHA T-MAX 00-03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s v="https://shop.officineitalianezard.it/contents/imgs/products/1_890-YAMAHA%20T-MAX%20BIANCO%20002.jpg"/>
    <m/>
    <m/>
  </r>
  <r>
    <s v="1586058917-9941"/>
    <s v="https://shop.officineitalianezard.it/en/products/"/>
    <m/>
    <s v="https://shop.officineitalianezard.it/en/yamaha-zard-exhaust/"/>
    <s v="T-MAX 00-03"/>
    <s v="https://shop.officineitalianezard.it/en/yamaha-t-max-00-03-exhaust/"/>
    <s v="CONICAL VERSION"/>
    <x v="7"/>
    <s v="FULL KIT"/>
    <s v="ZY 093 SKR"/>
    <s v="YAMAHA T-MAX 00-03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s v="https://shop.officineitalianezard.it/contents/imgs/products/1_892-nero.jpg"/>
    <m/>
    <m/>
  </r>
  <r>
    <s v="1586058917-9942"/>
    <s v="https://shop.officineitalianezard.it/en/products/"/>
    <m/>
    <s v="https://shop.officineitalianezard.it/en/yamaha-zard-exhaust/"/>
    <s v="T-MAX 00-03"/>
    <s v="https://shop.officineitalianezard.it/en/yamaha-t-max-00-03-exhaust/"/>
    <s v="CONICAL VERSION"/>
    <x v="7"/>
    <s v="FULL KIT"/>
    <s v="ZY 093 SKR"/>
    <s v="YAMAHA T-MAX 00-03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m/>
    <s v="EURO 3 HOMOLOGATED"/>
    <n v="47.21"/>
  </r>
  <r>
    <s v="1586058917-9943"/>
    <s v="https://shop.officineitalianezard.it/en/products/"/>
    <m/>
    <s v="https://shop.officineitalianezard.it/en/yamaha-zard-exhaust/"/>
    <s v="T-MAX 00-03"/>
    <s v="https://shop.officineitalianezard.it/en/yamaha-t-max-00-03-exhaust/"/>
    <s v="CONICAL VERSION"/>
    <x v="7"/>
    <s v="FULL KIT"/>
    <s v="ZY 093 SKR"/>
    <s v="YAMAHA T-MAX 00-03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m/>
    <s v="STEEL HEADERS KIT + TITANIUM SIL."/>
    <n v="84.84"/>
  </r>
  <r>
    <s v="1586058917-9944"/>
    <s v="https://shop.officineitalianezard.it/en/products/"/>
    <m/>
    <s v="https://shop.officineitalianezard.it/en/yamaha-zard-exhaust/"/>
    <s v="T-MAX 00-03"/>
    <s v="https://shop.officineitalianezard.it/en/yamaha-t-max-00-03-exhaust/"/>
    <s v="CONICAL VERSION"/>
    <x v="7"/>
    <s v="FULL KIT"/>
    <s v="ZY 093 SKR"/>
    <s v="YAMAHA T-MAX 00-03"/>
    <n v="508.28"/>
    <n v="564.75"/>
    <s v="&lt;p&gt;STEEL FULL KIT RACING WITH REMOVABLE DB KILLER&lt;/p&gt;_x000a_&lt;p&gt;ZARD FULL KIT STEEL-TITANIUM WEIGHT: 2.1 KG&lt;br&gt;ZARD FULL KIT STEEL WEIGHT: 3.5 KG&lt;/p&gt;_x000a_&lt;p&gt;HARD INCREASE, COMPARED TO THE ORIGINAL EXHAUST SYSTEM, IN TERMS OF TORQUE AND POWER AT ANY RANGE&lt;/p&gt;_x000a_&lt;p&gt;ASTONISHING SOUND&lt;/p&gt;"/>
    <m/>
    <s v="BLACK COATING"/>
    <n v="169.67"/>
  </r>
  <r>
    <s v="1586058921-9945"/>
    <s v="https://shop.officineitalianezard.it/en/products/"/>
    <m/>
    <s v="https://shop.officineitalianezard.it/en/yamaha-zard-exhaust/"/>
    <s v="T-MAX 2017/19"/>
    <s v="https://shop.officineitalianezard.it/en/yamaha-t-max-exhaust/"/>
    <s v="CONICAL VERSION"/>
    <x v="8"/>
    <s v="2&gt;1 FULL KIT"/>
    <s v="ZY098SKR-FC"/>
    <s v="YAMAHA T-MAX 2017/19"/>
    <n v="978.93"/>
    <n v="1087.7"/>
    <s v="&lt;p&gt;BLACK&amp;nbsp;2&amp;gt;1 RACING FULL KIT WITH REMOVABLE DB KILLER&amp;nbsp;CONICAL VERSION&lt;/p&gt;_x000a_&lt;p&gt;CARBON END-CAP&lt;/p&gt;_x000a_&lt;p&gt;ORIGINAL&amp;nbsp;FULL KIT WEIGHT: 8,1 KG&lt;br&gt;ZARD RACING FULL KIT WEIGHT: 4,4 KG&lt;br&gt;&lt;span&gt;ZARD&amp;nbsp;HOMOLOGATED FULL KIT WEIGHT: 5,3 KG&lt;/span&gt;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"/>
    <s v="https://shop.officineitalianezard.it/contents/imgs/products/1_2331-scarico%20yamaha%20tmax%20-%20zard.jpg"/>
    <m/>
    <m/>
  </r>
  <r>
    <s v="1586058921-9946"/>
    <s v="https://shop.officineitalianezard.it/en/products/"/>
    <m/>
    <s v="https://shop.officineitalianezard.it/en/yamaha-zard-exhaust/"/>
    <s v="T-MAX 2017/19"/>
    <s v="https://shop.officineitalianezard.it/en/yamaha-t-max-exhaust/"/>
    <s v="CONICAL VERSION"/>
    <x v="8"/>
    <s v="2&gt;1 FULL KIT"/>
    <s v="ZY098SKR-FC"/>
    <s v="YAMAHA T-MAX 2017/19"/>
    <n v="978.93"/>
    <n v="1087.7"/>
    <s v="&lt;p&gt;BLACK&amp;nbsp;2&amp;gt;1 RACING FULL KIT WITH REMOVABLE DB KILLER&amp;nbsp;CONICAL VERSION&lt;/p&gt;_x000a_&lt;p&gt;CARBON END-CAP&lt;/p&gt;_x000a_&lt;p&gt;ORIGINAL&amp;nbsp;FULL KIT WEIGHT: 8,1 KG&lt;br&gt;ZARD RACING FULL KIT WEIGHT: 4,4 KG&lt;br&gt;&lt;span&gt;ZARD&amp;nbsp;HOMOLOGATED FULL KIT WEIGHT: 5,3 KG&lt;/span&gt;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"/>
    <s v="https://shop.officineitalianezard.it/contents/imgs/products/1_2330-scarichi%20yamaha%20t%20max%20-%20zard.jpg"/>
    <m/>
    <m/>
  </r>
  <r>
    <s v="1586058921-9947"/>
    <s v="https://shop.officineitalianezard.it/en/products/"/>
    <m/>
    <s v="https://shop.officineitalianezard.it/en/yamaha-zard-exhaust/"/>
    <s v="T-MAX 2017/19"/>
    <s v="https://shop.officineitalianezard.it/en/yamaha-t-max-exhaust/"/>
    <s v="CONICAL VERSION"/>
    <x v="8"/>
    <s v="2&gt;1 FULL KIT"/>
    <s v="ZY098SKR-FC"/>
    <s v="YAMAHA T-MAX 2017/19"/>
    <n v="978.93"/>
    <n v="1087.7"/>
    <s v="&lt;p&gt;BLACK&amp;nbsp;2&amp;gt;1 RACING FULL KIT WITH REMOVABLE DB KILLER&amp;nbsp;CONICAL VERSION&lt;/p&gt;_x000a_&lt;p&gt;CARBON END-CAP&lt;/p&gt;_x000a_&lt;p&gt;ORIGINAL&amp;nbsp;FULL KIT WEIGHT: 8,1 KG&lt;br&gt;ZARD RACING FULL KIT WEIGHT: 4,4 KG&lt;br&gt;&lt;span&gt;ZARD&amp;nbsp;HOMOLOGATED FULL KIT WEIGHT: 5,3 KG&lt;/span&gt;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"/>
    <s v="https://shop.officineitalianezard.it/contents/imgs/products/1_2332-yamaha%20tmax%20exhaust%20-%20zard.jpg"/>
    <m/>
    <m/>
  </r>
  <r>
    <s v="1586058921-9948"/>
    <s v="https://shop.officineitalianezard.it/en/products/"/>
    <m/>
    <s v="https://shop.officineitalianezard.it/en/yamaha-zard-exhaust/"/>
    <s v="T-MAX 2017/19"/>
    <s v="https://shop.officineitalianezard.it/en/yamaha-t-max-exhaust/"/>
    <s v="CONICAL VERSION"/>
    <x v="8"/>
    <s v="2&gt;1 FULL KIT"/>
    <s v="ZY098SKR-FC"/>
    <s v="YAMAHA T-MAX 2017/19"/>
    <n v="978.93"/>
    <n v="1087.7"/>
    <s v="&lt;p&gt;BLACK&amp;nbsp;2&amp;gt;1 RACING FULL KIT WITH REMOVABLE DB KILLER&amp;nbsp;CONICAL VERSION&lt;/p&gt;_x000a_&lt;p&gt;CARBON END-CAP&lt;/p&gt;_x000a_&lt;p&gt;ORIGINAL&amp;nbsp;FULL KIT WEIGHT: 8,1 KG&lt;br&gt;ZARD RACING FULL KIT WEIGHT: 4,4 KG&lt;br&gt;&lt;span&gt;ZARD&amp;nbsp;HOMOLOGATED FULL KIT WEIGHT: 5,3 KG&lt;/span&gt;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"/>
    <m/>
    <s v="EURO 4 HOMOLOGATED"/>
    <n v="102.54"/>
  </r>
  <r>
    <s v="1586058926-9949"/>
    <s v="https://shop.officineitalianezard.it/en/products/"/>
    <m/>
    <s v="https://shop.officineitalianezard.it/en/yamaha-zard-exhaust/"/>
    <s v="WR 250 F 2016"/>
    <s v="https://shop.officineitalianezard.it/en/yamaha-wr-250-f-2016-exhaust/"/>
    <s v="RACING VERSION"/>
    <x v="9"/>
    <s v="SILENCER"/>
    <s v="ZCY001SSR"/>
    <s v="YAMAHA WR 250 F 2016"/>
    <n v="310.57"/>
    <n v="345.08"/>
    <s v="&lt;p&gt;STEEL/ALU/CARB SILENCER RACING WITH REMOVABLE DB KILLERS&lt;/p&gt;_x000a_&lt;p&gt;CARBON END-CAP&lt;/p&gt;_x000a_&lt;p&gt;HARD INCREASE, COMPARED TO THE ORIGINAL EXHAUST SYSTEM, IN TERMS OF TORQUE AND POWER AT ANY RANGE&lt;/p&gt;_x000a_&lt;p&gt;ASTONISHING SOUND&lt;/p&gt;"/>
    <s v="https://shop.officineitalianezard.it/contents/imgs/products/1_1261-1.jpg%20.jpg"/>
    <m/>
    <m/>
  </r>
  <r>
    <s v="1586058926-9950"/>
    <s v="https://shop.officineitalianezard.it/en/products/"/>
    <m/>
    <s v="https://shop.officineitalianezard.it/en/yamaha-zard-exhaust/"/>
    <s v="WR 250 F 2016"/>
    <s v="https://shop.officineitalianezard.it/en/yamaha-wr-250-f-2016-exhaust/"/>
    <s v="RACING VERSION"/>
    <x v="9"/>
    <s v="SILENCER"/>
    <s v="ZCY001SSR"/>
    <s v="YAMAHA WR 250 F 2016"/>
    <n v="310.57"/>
    <n v="345.08"/>
    <s v="&lt;p&gt;STEEL/ALU/CARB SILENCER RACING WITH REMOVABLE DB KILLERS&lt;/p&gt;_x000a_&lt;p&gt;CARBON END-CAP&lt;/p&gt;_x000a_&lt;p&gt;HARD INCREASE, COMPARED TO THE ORIGINAL EXHAUST SYSTEM, IN TERMS OF TORQUE AND POWER AT ANY RANGE&lt;/p&gt;_x000a_&lt;p&gt;ASTONISHING SOUND&lt;/p&gt;"/>
    <s v="https://shop.officineitalianezard.it/contents/imgs/products/1_1262-2.jpg"/>
    <m/>
    <m/>
  </r>
  <r>
    <s v="1586058926-9951"/>
    <s v="https://shop.officineitalianezard.it/en/products/"/>
    <m/>
    <s v="https://shop.officineitalianezard.it/en/yamaha-zard-exhaust/"/>
    <s v="WR 250 F 2016"/>
    <s v="https://shop.officineitalianezard.it/en/yamaha-wr-250-f-2016-exhaust/"/>
    <s v="RACING VERSION"/>
    <x v="9"/>
    <s v="SILENCER"/>
    <s v="ZCY001SSR"/>
    <s v="YAMAHA WR 250 F 2016"/>
    <n v="310.57"/>
    <n v="345.08"/>
    <s v="&lt;p&gt;STEEL/ALU/CARB SILENCER RACING WITH REMOVABLE DB KILLERS&lt;/p&gt;_x000a_&lt;p&gt;CARBON END-CAP&lt;/p&gt;_x000a_&lt;p&gt;HARD INCREASE, COMPARED TO THE ORIGINAL EXHAUST SYSTEM, IN TERMS OF TORQUE AND POWER AT ANY RANGE&lt;/p&gt;_x000a_&lt;p&gt;ASTONISHING SOUND&lt;/p&gt;"/>
    <s v="https://shop.officineitalianezard.it/contents/imgs/products/1_1263-3.jpg"/>
    <m/>
    <m/>
  </r>
  <r>
    <s v="1586058926-9952"/>
    <s v="https://shop.officineitalianezard.it/en/products/"/>
    <m/>
    <s v="https://shop.officineitalianezard.it/en/yamaha-zard-exhaust/"/>
    <s v="WR 250 F 2016"/>
    <s v="https://shop.officineitalianezard.it/en/yamaha-wr-250-f-2016-exhaust/"/>
    <s v="RACING VERSION"/>
    <x v="9"/>
    <s v="SILENCER"/>
    <s v="ZCY001SSR"/>
    <s v="YAMAHA WR 250 F 2016"/>
    <n v="310.57"/>
    <n v="345.08"/>
    <s v="&lt;p&gt;STEEL/ALU/CARB SILENCER RACING WITH REMOVABLE DB KILLERS&lt;/p&gt;_x000a_&lt;p&gt;CARBON END-CAP&lt;/p&gt;_x000a_&lt;p&gt;HARD INCREASE, COMPARED TO THE ORIGINAL EXHAUST SYSTEM, IN TERMS OF TORQUE AND POWER AT ANY RANGE&lt;/p&gt;_x000a_&lt;p&gt;ASTONISHING SOUND&lt;/p&gt;"/>
    <m/>
    <s v="TITANIUM RACING"/>
    <n v="28.03"/>
  </r>
  <r>
    <s v="1586058928-9953"/>
    <s v="https://shop.officineitalianezard.it/en/products/"/>
    <m/>
    <s v="https://shop.officineitalianezard.it/en/yamaha-zard-exhaust/"/>
    <s v="WR 250 F 2016"/>
    <s v="https://shop.officineitalianezard.it/en/yamaha-wr-250-f-2016-exhaust/"/>
    <s v="RACING VERSION"/>
    <x v="10"/>
    <s v="HEADERS KIT"/>
    <s v="ZCY001SCR"/>
    <s v="YAMAHA WR 250 F 2016"/>
    <n v="366.64"/>
    <n v="407.38"/>
    <s v="&lt;p&gt;STEEL RACING HEADERS KIT&lt;/p&gt;_x000a_&lt;p&gt;HARD INCREASE, COMPARED TO THE ORIGINAL EXHAUST SYSTEM, IN TERMS OF TORQUE AND POWER AT ANY RANGE&lt;/p&gt;_x000a_&lt;p&gt;ASTONISHING SOUND&lt;/p&gt;"/>
    <s v="https://shop.officineitalianezard.it/contents/imgs/products/1_1264-1.jpg%20.jpg"/>
    <m/>
    <m/>
  </r>
  <r>
    <s v="1586058928-9954"/>
    <s v="https://shop.officineitalianezard.it/en/products/"/>
    <m/>
    <s v="https://shop.officineitalianezard.it/en/yamaha-zard-exhaust/"/>
    <s v="WR 250 F 2016"/>
    <s v="https://shop.officineitalianezard.it/en/yamaha-wr-250-f-2016-exhaust/"/>
    <s v="RACING VERSION"/>
    <x v="10"/>
    <s v="HEADERS KIT"/>
    <s v="ZCY001SCR"/>
    <s v="YAMAHA WR 250 F 2016"/>
    <n v="366.64"/>
    <n v="407.38"/>
    <s v="&lt;p&gt;STEEL RACING HEADERS KIT&lt;/p&gt;_x000a_&lt;p&gt;HARD INCREASE, COMPARED TO THE ORIGINAL EXHAUST SYSTEM, IN TERMS OF TORQUE AND POWER AT ANY RANGE&lt;/p&gt;_x000a_&lt;p&gt;ASTONISHING SOUND&lt;/p&gt;"/>
    <s v="https://shop.officineitalianezard.it/contents/imgs/products/1_1265-2.jpg"/>
    <m/>
    <m/>
  </r>
  <r>
    <s v="1586058928-9955"/>
    <s v="https://shop.officineitalianezard.it/en/products/"/>
    <m/>
    <s v="https://shop.officineitalianezard.it/en/yamaha-zard-exhaust/"/>
    <s v="WR 250 F 2016"/>
    <s v="https://shop.officineitalianezard.it/en/yamaha-wr-250-f-2016-exhaust/"/>
    <s v="RACING VERSION"/>
    <x v="10"/>
    <s v="HEADERS KIT"/>
    <s v="ZCY001SCR"/>
    <s v="YAMAHA WR 250 F 2016"/>
    <n v="366.64"/>
    <n v="407.38"/>
    <s v="&lt;p&gt;STEEL RACING HEADERS KIT&lt;/p&gt;_x000a_&lt;p&gt;HARD INCREASE, COMPARED TO THE ORIGINAL EXHAUST SYSTEM, IN TERMS OF TORQUE AND POWER AT ANY RANGE&lt;/p&gt;_x000a_&lt;p&gt;ASTONISHING SOUND&lt;/p&gt;"/>
    <s v="https://shop.officineitalianezard.it/contents/imgs/products/1_1266-3.jpg"/>
    <m/>
    <m/>
  </r>
  <r>
    <s v="1586058933-9956"/>
    <s v="https://shop.officineitalianezard.it/en/products/"/>
    <m/>
    <s v="https://shop.officineitalianezard.it/en/yamaha-zard-exhaust/"/>
    <s v="TRACER 900 2018/19"/>
    <s v="https://shop.officineitalianezard.it/en/tracer-900-2018-19/"/>
    <s v="SHORT VERSION"/>
    <x v="11"/>
    <s v="3&gt;1 FULL KIT"/>
    <s v="ZY106SKR-T"/>
    <s v="YAMAHA XSR 900 2016/19"/>
    <n v="809.26"/>
    <n v="899.18"/>
    <s v="&lt;p&gt;3&amp;gt;1 STEEL FULL KIT RACING WITH REMOVABLE DB KILLER&lt;/p&gt;_x000a_&lt;p&gt;ORIGINAL FULL KIT WEIGHT: 8.5 KG&lt;br&gt;ZARD RACING FULL KIT WEIGHT: 3.8 KG&lt;/p&gt;_x000a_&lt;p&gt;CARBON ENDCAP&lt;/p&gt;_x000a_&lt;p&gt;HARD INCREASE COMPARED TO THE ORIGINAL EXHAUST SYSTEM.&lt;/p&gt;_x000a_&lt;p&gt;ASTONISHING SOUND.&lt;/p&gt;_x000a_&lt;p&gt;&lt;strong&gt;&lt;/strong&gt;&lt;/p&gt;"/>
    <s v="https://shop.officineitalianezard.it/contents/imgs/products/1_2564-scarico%20mt%2009%20tracer%20-%20zard%201.jpg"/>
    <m/>
    <m/>
  </r>
  <r>
    <s v="1586058933-9957"/>
    <s v="https://shop.officineitalianezard.it/en/products/"/>
    <m/>
    <s v="https://shop.officineitalianezard.it/en/yamaha-zard-exhaust/"/>
    <s v="TRACER 900 2018/19"/>
    <s v="https://shop.officineitalianezard.it/en/tracer-900-2018-19/"/>
    <s v="SHORT VERSION"/>
    <x v="11"/>
    <s v="3&gt;1 FULL KIT"/>
    <s v="ZY106SKR-T"/>
    <s v="YAMAHA XSR 900 2016/19"/>
    <n v="809.26"/>
    <n v="899.18"/>
    <s v="&lt;p&gt;3&amp;gt;1 STEEL FULL KIT RACING WITH REMOVABLE DB KILLER&lt;/p&gt;_x000a_&lt;p&gt;ORIGINAL FULL KIT WEIGHT: 8.5 KG&lt;br&gt;ZARD RACING FULL KIT WEIGHT: 3.8 KG&lt;/p&gt;_x000a_&lt;p&gt;CARBON ENDCAP&lt;/p&gt;_x000a_&lt;p&gt;HARD INCREASE COMPARED TO THE ORIGINAL EXHAUST SYSTEM.&lt;/p&gt;_x000a_&lt;p&gt;ASTONISHING SOUND.&lt;/p&gt;_x000a_&lt;p&gt;&lt;strong&gt;&lt;/strong&gt;&lt;/p&gt;"/>
    <s v="https://shop.officineitalianezard.it/contents/imgs/products/1_2565-scarico%20mt%2009%20tracer%20-%20zard%202.jpg"/>
    <m/>
    <m/>
  </r>
  <r>
    <s v="1586058933-9958"/>
    <s v="https://shop.officineitalianezard.it/en/products/"/>
    <m/>
    <s v="https://shop.officineitalianezard.it/en/yamaha-zard-exhaust/"/>
    <s v="TRACER 900 2018/19"/>
    <s v="https://shop.officineitalianezard.it/en/tracer-900-2018-19/"/>
    <s v="SHORT VERSION"/>
    <x v="11"/>
    <s v="3&gt;1 FULL KIT"/>
    <s v="ZY106SKR-T"/>
    <s v="YAMAHA XSR 900 2016/19"/>
    <n v="809.26"/>
    <n v="899.18"/>
    <s v="&lt;p&gt;3&amp;gt;1 STEEL FULL KIT RACING WITH REMOVABLE DB KILLER&lt;/p&gt;_x000a_&lt;p&gt;ORIGINAL FULL KIT WEIGHT: 8.5 KG&lt;br&gt;ZARD RACING FULL KIT WEIGHT: 3.8 KG&lt;/p&gt;_x000a_&lt;p&gt;CARBON ENDCAP&lt;/p&gt;_x000a_&lt;p&gt;HARD INCREASE COMPARED TO THE ORIGINAL EXHAUST SYSTEM.&lt;/p&gt;_x000a_&lt;p&gt;ASTONISHING SOUND.&lt;/p&gt;_x000a_&lt;p&gt;&lt;strong&gt;&lt;/strong&gt;&lt;/p&gt;"/>
    <s v="https://shop.officineitalianezard.it/contents/imgs/products/1_2566-scarico%20mt%2009%20tracer%20-%20zard%203.jpg"/>
    <m/>
    <m/>
  </r>
  <r>
    <s v="1586058933-9959"/>
    <s v="https://shop.officineitalianezard.it/en/products/"/>
    <m/>
    <s v="https://shop.officineitalianezard.it/en/yamaha-zard-exhaust/"/>
    <s v="TRACER 900 2018/19"/>
    <s v="https://shop.officineitalianezard.it/en/tracer-900-2018-19/"/>
    <s v="SHORT VERSION"/>
    <x v="11"/>
    <s v="3&gt;1 FULL KIT"/>
    <s v="ZY106SKR-T"/>
    <s v="YAMAHA XSR 900 2016/19"/>
    <n v="809.26"/>
    <n v="899.18"/>
    <s v="&lt;p&gt;3&amp;gt;1 STEEL FULL KIT RACING WITH REMOVABLE DB KILLER&lt;/p&gt;_x000a_&lt;p&gt;ORIGINAL FULL KIT WEIGHT: 8.5 KG&lt;br&gt;ZARD RACING FULL KIT WEIGHT: 3.8 KG&lt;/p&gt;_x000a_&lt;p&gt;CARBON ENDCAP&lt;/p&gt;_x000a_&lt;p&gt;HARD INCREASE COMPARED TO THE ORIGINAL EXHAUST SYSTEM.&lt;/p&gt;_x000a_&lt;p&gt;ASTONISHING SOUND.&lt;/p&gt;_x000a_&lt;p&gt;&lt;strong&gt;&lt;/strong&gt;&lt;/p&gt;"/>
    <m/>
    <s v="EURO 4 HOMOLOGATED"/>
    <n v="84.1"/>
  </r>
  <r>
    <s v="1586058933-9960"/>
    <s v="https://shop.officineitalianezard.it/en/products/"/>
    <m/>
    <s v="https://shop.officineitalianezard.it/en/yamaha-zard-exhaust/"/>
    <s v="TRACER 900 2018/19"/>
    <s v="https://shop.officineitalianezard.it/en/tracer-900-2018-19/"/>
    <s v="SHORT VERSION"/>
    <x v="11"/>
    <s v="3&gt;1 FULL KIT"/>
    <s v="ZY106SKR-T"/>
    <s v="YAMAHA XSR 900 2016/19"/>
    <n v="809.26"/>
    <n v="899.18"/>
    <s v="&lt;p&gt;3&amp;gt;1 STEEL FULL KIT RACING WITH REMOVABLE DB KILLER&lt;/p&gt;_x000a_&lt;p&gt;ORIGINAL FULL KIT WEIGHT: 8.5 KG&lt;br&gt;ZARD RACING FULL KIT WEIGHT: 3.8 KG&lt;/p&gt;_x000a_&lt;p&gt;CARBON ENDCAP&lt;/p&gt;_x000a_&lt;p&gt;HARD INCREASE COMPARED TO THE ORIGINAL EXHAUST SYSTEM.&lt;/p&gt;_x000a_&lt;p&gt;ASTONISHING SOUND.&lt;/p&gt;_x000a_&lt;p&gt;&lt;strong&gt;&lt;/strong&gt;&lt;/p&gt;"/>
    <m/>
    <s v="TITANIUM SILENCER WITH BLACK HEADERS KIT"/>
    <n v="185.16"/>
  </r>
  <r>
    <s v="1586058933-9961"/>
    <s v="https://shop.officineitalianezard.it/en/products/"/>
    <m/>
    <s v="https://shop.officineitalianezard.it/en/yamaha-zard-exhaust/"/>
    <s v="TRACER 900 2018/19"/>
    <s v="https://shop.officineitalianezard.it/en/tracer-900-2018-19/"/>
    <s v="SHORT VERSION"/>
    <x v="11"/>
    <s v="3&gt;1 FULL KIT"/>
    <s v="ZY106SKR-T"/>
    <s v="YAMAHA XSR 900 2016/19"/>
    <n v="809.26"/>
    <n v="899.18"/>
    <s v="&lt;p&gt;3&amp;gt;1 STEEL FULL KIT RACING WITH REMOVABLE DB KILLER&lt;/p&gt;_x000a_&lt;p&gt;ORIGINAL FULL KIT WEIGHT: 8.5 KG&lt;br&gt;ZARD RACING FULL KIT WEIGHT: 3.8 KG&lt;/p&gt;_x000a_&lt;p&gt;CARBON ENDCAP&lt;/p&gt;_x000a_&lt;p&gt;HARD INCREASE COMPARED TO THE ORIGINAL EXHAUST SYSTEM.&lt;/p&gt;_x000a_&lt;p&gt;ASTONISHING SOUND.&lt;/p&gt;_x000a_&lt;p&gt;&lt;strong&gt;&lt;/strong&gt;&lt;/p&gt;"/>
    <m/>
    <s v="BLACK COATING"/>
    <n v="169.67"/>
  </r>
  <r>
    <s v="1586058938-9962"/>
    <s v="https://shop.officineitalianezard.it/en/products/"/>
    <m/>
    <s v="https://shop.officineitalianezard.it/en/yamaha-zard-exhaust/"/>
    <s v="TRACER 900 2015/16"/>
    <s v="https://shop.officineitalianezard.it/en/yamaha-mt-09-tracer-exhaust/"/>
    <s v="SHORT VERSION"/>
    <x v="12"/>
    <s v="3&gt;1 FULL KIT"/>
    <s v="ZY097SKR"/>
    <s v="YAMAHA TRACER 900 2015/16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/p&gt;"/>
    <s v="https://shop.officineitalianezard.it/contents/imgs/products/1_1315-1.jpg"/>
    <m/>
    <m/>
  </r>
  <r>
    <s v="1586058938-9963"/>
    <s v="https://shop.officineitalianezard.it/en/products/"/>
    <m/>
    <s v="https://shop.officineitalianezard.it/en/yamaha-zard-exhaust/"/>
    <s v="TRACER 900 2015/16"/>
    <s v="https://shop.officineitalianezard.it/en/yamaha-mt-09-tracer-exhaust/"/>
    <s v="SHORT VERSION"/>
    <x v="12"/>
    <s v="3&gt;1 FULL KIT"/>
    <s v="ZY097SKR"/>
    <s v="YAMAHA TRACER 900 2015/16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/p&gt;"/>
    <s v="https://shop.officineitalianezard.it/contents/imgs/products/1_1316-2.jpg"/>
    <m/>
    <m/>
  </r>
  <r>
    <s v="1586058938-9964"/>
    <s v="https://shop.officineitalianezard.it/en/products/"/>
    <m/>
    <s v="https://shop.officineitalianezard.it/en/yamaha-zard-exhaust/"/>
    <s v="TRACER 900 2015/16"/>
    <s v="https://shop.officineitalianezard.it/en/yamaha-mt-09-tracer-exhaust/"/>
    <s v="SHORT VERSION"/>
    <x v="12"/>
    <s v="3&gt;1 FULL KIT"/>
    <s v="ZY097SKR"/>
    <s v="YAMAHA TRACER 900 2015/16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/p&gt;"/>
    <s v="https://shop.officineitalianezard.it/contents/imgs/products/1_1317-3.jpg"/>
    <m/>
    <m/>
  </r>
  <r>
    <s v="1586058938-9965"/>
    <s v="https://shop.officineitalianezard.it/en/products/"/>
    <m/>
    <s v="https://shop.officineitalianezard.it/en/yamaha-zard-exhaust/"/>
    <s v="TRACER 900 2015/16"/>
    <s v="https://shop.officineitalianezard.it/en/yamaha-mt-09-tracer-exhaust/"/>
    <s v="SHORT VERSION"/>
    <x v="12"/>
    <s v="3&gt;1 FULL KIT"/>
    <s v="ZY097SKR"/>
    <s v="YAMAHA TRACER 900 2015/16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/p&gt;"/>
    <s v="https://shop.officineitalianezard.it/contents/imgs/products/1_2024-1721-scarico%20xsr900%20mt07%20xsr700%20mt09%20yamaha%20zard.jpg"/>
    <m/>
    <m/>
  </r>
  <r>
    <s v="1586058938-9966"/>
    <s v="https://shop.officineitalianezard.it/en/products/"/>
    <m/>
    <s v="https://shop.officineitalianezard.it/en/yamaha-zard-exhaust/"/>
    <s v="TRACER 900 2015/16"/>
    <s v="https://shop.officineitalianezard.it/en/yamaha-mt-09-tracer-exhaust/"/>
    <s v="SHORT VERSION"/>
    <x v="12"/>
    <s v="3&gt;1 FULL KIT"/>
    <s v="ZY097SKR"/>
    <s v="YAMAHA TRACER 900 2015/16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/p&gt;"/>
    <s v="https://shop.officineitalianezard.it/contents/imgs/products/1_2025-scarico%20xsr%20900%20nero%20-%20zard.jpg"/>
    <m/>
    <m/>
  </r>
  <r>
    <s v="1586058938-9967"/>
    <s v="https://shop.officineitalianezard.it/en/products/"/>
    <m/>
    <s v="https://shop.officineitalianezard.it/en/yamaha-zard-exhaust/"/>
    <s v="TRACER 900 2015/16"/>
    <s v="https://shop.officineitalianezard.it/en/yamaha-mt-09-tracer-exhaust/"/>
    <s v="SHORT VERSION"/>
    <x v="12"/>
    <s v="3&gt;1 FULL KIT"/>
    <s v="ZY097SKR"/>
    <s v="YAMAHA TRACER 900 2015/16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/p&gt;"/>
    <m/>
    <s v="EURO 3 HOMOLOGATED"/>
    <n v="46.48"/>
  </r>
  <r>
    <s v="1586058938-9968"/>
    <s v="https://shop.officineitalianezard.it/en/products/"/>
    <m/>
    <s v="https://shop.officineitalianezard.it/en/yamaha-zard-exhaust/"/>
    <s v="TRACER 900 2015/16"/>
    <s v="https://shop.officineitalianezard.it/en/yamaha-mt-09-tracer-exhaust/"/>
    <s v="SHORT VERSION"/>
    <x v="12"/>
    <s v="3&gt;1 FULL KIT"/>
    <s v="ZY097SKR"/>
    <s v="YAMAHA TRACER 900 2015/16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/p&gt;"/>
    <m/>
    <s v="BLACK COATING"/>
    <n v="169.67"/>
  </r>
  <r>
    <s v="1586058938-9969"/>
    <s v="https://shop.officineitalianezard.it/en/products/"/>
    <m/>
    <s v="https://shop.officineitalianezard.it/en/yamaha-zard-exhaust/"/>
    <s v="TRACER 900 2015/16"/>
    <s v="https://shop.officineitalianezard.it/en/yamaha-mt-09-tracer-exhaust/"/>
    <s v="SHORT VERSION"/>
    <x v="12"/>
    <s v="3&gt;1 FULL KIT"/>
    <s v="ZY097SKR"/>
    <s v="YAMAHA TRACER 900 2015/16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/p&gt;"/>
    <m/>
    <s v="CARBON ENDCAP"/>
    <n v="37.619999999999997"/>
  </r>
  <r>
    <s v="1586058938-9970"/>
    <s v="https://shop.officineitalianezard.it/en/products/"/>
    <m/>
    <s v="https://shop.officineitalianezard.it/en/yamaha-zard-exhaust/"/>
    <s v="TRACER 900 2015/16"/>
    <s v="https://shop.officineitalianezard.it/en/yamaha-mt-09-tracer-exhaust/"/>
    <s v="SHORT VERSION"/>
    <x v="12"/>
    <s v="3&gt;1 FULL KIT"/>
    <s v="ZY097SKR"/>
    <s v="YAMAHA TRACER 900 2015/16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/p&gt;"/>
    <m/>
    <s v="LOGO PLATE AND HOSE CLAMP BRONZED"/>
    <n v="61.97"/>
  </r>
  <r>
    <s v="1586058943-9971"/>
    <s v="https://shop.officineitalianezard.it/en/products/"/>
    <m/>
    <s v="https://shop.officineitalianezard.it/en/yamaha-zard-exhaust/"/>
    <s v="MT-09 2013/16"/>
    <s v="https://shop.officineitalianezard.it/en/yamaha-mt-09-exhaust/"/>
    <s v="SHORT VERSION"/>
    <x v="13"/>
    <s v="3&gt;1 FULL KIT"/>
    <s v="ZY096SKR"/>
    <s v="YAMAHA MT-09 2013/16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/p&gt;"/>
    <s v="https://shop.officineitalianezard.it/contents/imgs/products/1_1016-1.jpg"/>
    <m/>
    <m/>
  </r>
  <r>
    <s v="1586058943-9972"/>
    <s v="https://shop.officineitalianezard.it/en/products/"/>
    <m/>
    <s v="https://shop.officineitalianezard.it/en/yamaha-zard-exhaust/"/>
    <s v="MT-09 2013/16"/>
    <s v="https://shop.officineitalianezard.it/en/yamaha-mt-09-exhaust/"/>
    <s v="SHORT VERSION"/>
    <x v="13"/>
    <s v="3&gt;1 FULL KIT"/>
    <s v="ZY096SKR"/>
    <s v="YAMAHA MT-09 2013/16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/p&gt;"/>
    <s v="https://shop.officineitalianezard.it/contents/imgs/products/1_1017-2.jpg"/>
    <m/>
    <m/>
  </r>
  <r>
    <s v="1586058943-9973"/>
    <s v="https://shop.officineitalianezard.it/en/products/"/>
    <m/>
    <s v="https://shop.officineitalianezard.it/en/yamaha-zard-exhaust/"/>
    <s v="MT-09 2013/16"/>
    <s v="https://shop.officineitalianezard.it/en/yamaha-mt-09-exhaust/"/>
    <s v="SHORT VERSION"/>
    <x v="13"/>
    <s v="3&gt;1 FULL KIT"/>
    <s v="ZY096SKR"/>
    <s v="YAMAHA MT-09 2013/16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/p&gt;"/>
    <s v="https://shop.officineitalianezard.it/contents/imgs/products/1_1018-3.jpg"/>
    <m/>
    <m/>
  </r>
  <r>
    <s v="1586058943-9974"/>
    <s v="https://shop.officineitalianezard.it/en/products/"/>
    <m/>
    <s v="https://shop.officineitalianezard.it/en/yamaha-zard-exhaust/"/>
    <s v="MT-09 2013/16"/>
    <s v="https://shop.officineitalianezard.it/en/yamaha-mt-09-exhaust/"/>
    <s v="SHORT VERSION"/>
    <x v="13"/>
    <s v="3&gt;1 FULL KIT"/>
    <s v="ZY096SKR"/>
    <s v="YAMAHA MT-09 2013/16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/p&gt;"/>
    <s v="https://shop.officineitalianezard.it/contents/imgs/products/1_2022-1721-scarico%20xsr900%20mt07%20xsr700%20mt09%20yamaha%20zard.jpg"/>
    <m/>
    <m/>
  </r>
  <r>
    <s v="1586058943-9975"/>
    <s v="https://shop.officineitalianezard.it/en/products/"/>
    <m/>
    <s v="https://shop.officineitalianezard.it/en/yamaha-zard-exhaust/"/>
    <s v="MT-09 2013/16"/>
    <s v="https://shop.officineitalianezard.it/en/yamaha-mt-09-exhaust/"/>
    <s v="SHORT VERSION"/>
    <x v="13"/>
    <s v="3&gt;1 FULL KIT"/>
    <s v="ZY096SKR"/>
    <s v="YAMAHA MT-09 2013/16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/p&gt;"/>
    <s v="https://shop.officineitalianezard.it/contents/imgs/products/1_2023-scarico%20xsr%20900%20nero%20-%20zard.jpg"/>
    <m/>
    <m/>
  </r>
  <r>
    <s v="1586058943-9976"/>
    <s v="https://shop.officineitalianezard.it/en/products/"/>
    <m/>
    <s v="https://shop.officineitalianezard.it/en/yamaha-zard-exhaust/"/>
    <s v="MT-09 2013/16"/>
    <s v="https://shop.officineitalianezard.it/en/yamaha-mt-09-exhaust/"/>
    <s v="SHORT VERSION"/>
    <x v="13"/>
    <s v="3&gt;1 FULL KIT"/>
    <s v="ZY096SKR"/>
    <s v="YAMAHA MT-09 2013/16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/p&gt;"/>
    <m/>
    <s v="EURO 3 HOMOLOGATED"/>
    <n v="46.48"/>
  </r>
  <r>
    <s v="1586058943-9977"/>
    <s v="https://shop.officineitalianezard.it/en/products/"/>
    <m/>
    <s v="https://shop.officineitalianezard.it/en/yamaha-zard-exhaust/"/>
    <s v="MT-09 2013/16"/>
    <s v="https://shop.officineitalianezard.it/en/yamaha-mt-09-exhaust/"/>
    <s v="SHORT VERSION"/>
    <x v="13"/>
    <s v="3&gt;1 FULL KIT"/>
    <s v="ZY096SKR"/>
    <s v="YAMAHA MT-09 2013/16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/p&gt;"/>
    <m/>
    <s v="BLACK COATING"/>
    <n v="169.67"/>
  </r>
  <r>
    <s v="1586058943-9978"/>
    <s v="https://shop.officineitalianezard.it/en/products/"/>
    <m/>
    <s v="https://shop.officineitalianezard.it/en/yamaha-zard-exhaust/"/>
    <s v="MT-09 2013/16"/>
    <s v="https://shop.officineitalianezard.it/en/yamaha-mt-09-exhaust/"/>
    <s v="SHORT VERSION"/>
    <x v="13"/>
    <s v="3&gt;1 FULL KIT"/>
    <s v="ZY096SKR"/>
    <s v="YAMAHA MT-09 2013/16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/p&gt;"/>
    <m/>
    <s v="CARBON ENDCAP"/>
    <n v="37.619999999999997"/>
  </r>
  <r>
    <s v="1586058943-9979"/>
    <s v="https://shop.officineitalianezard.it/en/products/"/>
    <m/>
    <s v="https://shop.officineitalianezard.it/en/yamaha-zard-exhaust/"/>
    <s v="MT-09 2013/16"/>
    <s v="https://shop.officineitalianezard.it/en/yamaha-mt-09-exhaust/"/>
    <s v="SHORT VERSION"/>
    <x v="13"/>
    <s v="3&gt;1 FULL KIT"/>
    <s v="ZY096SKR"/>
    <s v="YAMAHA MT-09 2013/16"/>
    <n v="698.61"/>
    <n v="776.23"/>
    <s v="&lt;p&gt;3&amp;gt;1 STEEL FULL KIT RACING WITH REMOVABLE DB KILLER&lt;/p&gt;_x000a_&lt;p&gt;ORIGINAL FULL KIT WEIGHT: 8.5KG&lt;br&gt;ZARD FULL KIT WEIGHT: 4.2KG&lt;/p&gt;_x000a_&lt;p&gt;HARD INCREASE COMPARED TO THE ORIGINAL EXHAUST SYSTEM.&lt;/p&gt;_x000a_&lt;p&gt;ASTONISHING SOUND.&lt;/p&gt;_x000a_&lt;p&gt;&lt;/p&gt;"/>
    <m/>
    <s v="LOGO PLATE AND HOSE CLAMP BRONZED"/>
    <n v="61.97"/>
  </r>
  <r>
    <s v="1586058948-9980"/>
    <s v="https://shop.officineitalianezard.it/en/products/"/>
    <m/>
    <s v="https://shop.officineitalianezard.it/en/yamaha-zard-exhaust/"/>
    <s v="MT-07 2014/19"/>
    <s v="https://shop.officineitalianezard.it/en/yamaha-mt-07-exhaust/"/>
    <s v="SHORT VERSION"/>
    <x v="14"/>
    <s v="2&gt;1 FULL KIT"/>
    <s v="ZY095SKR"/>
    <s v="YAMAHA MT-07"/>
    <n v="647.70000000000005"/>
    <n v="719.67"/>
    <s v="&lt;p&gt;2&amp;gt;1 STEEL FULL KIT RACING WITH REMOVABLE DB KILLER&lt;/p&gt;_x000a_&lt;p&gt;ORIGINAL FULL KIT WEIGHT: 7.2 KG&lt;br&gt;ZARD FULL KIT WEIGHT: 3.7 KG&lt;/p&gt;_x000a_&lt;p&gt;HARD INCREASE COMPARED TO THE ORIGINAL EXHAUST SYSTEM.&lt;/p&gt;_x000a_&lt;p&gt;ASTONISHING SOUND.&lt;/p&gt;"/>
    <s v="https://shop.officineitalianezard.it/contents/imgs/products/1_2520-scarico%20xsr%20700%20mt%2007%20zard%203.jpg"/>
    <m/>
    <m/>
  </r>
  <r>
    <s v="1586058948-9981"/>
    <s v="https://shop.officineitalianezard.it/en/products/"/>
    <m/>
    <s v="https://shop.officineitalianezard.it/en/yamaha-zard-exhaust/"/>
    <s v="MT-07 2014/19"/>
    <s v="https://shop.officineitalianezard.it/en/yamaha-mt-07-exhaust/"/>
    <s v="SHORT VERSION"/>
    <x v="14"/>
    <s v="2&gt;1 FULL KIT"/>
    <s v="ZY095SKR"/>
    <s v="YAMAHA MT-07"/>
    <n v="647.70000000000005"/>
    <n v="719.67"/>
    <s v="&lt;p&gt;2&amp;gt;1 STEEL FULL KIT RACING WITH REMOVABLE DB KILLER&lt;/p&gt;_x000a_&lt;p&gt;ORIGINAL FULL KIT WEIGHT: 7.2 KG&lt;br&gt;ZARD FULL KIT WEIGHT: 3.7 KG&lt;/p&gt;_x000a_&lt;p&gt;HARD INCREASE COMPARED TO THE ORIGINAL EXHAUST SYSTEM.&lt;/p&gt;_x000a_&lt;p&gt;ASTONISHING SOUND.&lt;/p&gt;"/>
    <s v="https://shop.officineitalianezard.it/contents/imgs/products/1_2518-scarico%20xsr%20700%20mt%2007%20zard%201.jpg"/>
    <m/>
    <m/>
  </r>
  <r>
    <s v="1586058948-9982"/>
    <s v="https://shop.officineitalianezard.it/en/products/"/>
    <m/>
    <s v="https://shop.officineitalianezard.it/en/yamaha-zard-exhaust/"/>
    <s v="MT-07 2014/19"/>
    <s v="https://shop.officineitalianezard.it/en/yamaha-mt-07-exhaust/"/>
    <s v="SHORT VERSION"/>
    <x v="14"/>
    <s v="2&gt;1 FULL KIT"/>
    <s v="ZY095SKR"/>
    <s v="YAMAHA MT-07"/>
    <n v="647.70000000000005"/>
    <n v="719.67"/>
    <s v="&lt;p&gt;2&amp;gt;1 STEEL FULL KIT RACING WITH REMOVABLE DB KILLER&lt;/p&gt;_x000a_&lt;p&gt;ORIGINAL FULL KIT WEIGHT: 7.2 KG&lt;br&gt;ZARD FULL KIT WEIGHT: 3.7 KG&lt;/p&gt;_x000a_&lt;p&gt;HARD INCREASE COMPARED TO THE ORIGINAL EXHAUST SYSTEM.&lt;/p&gt;_x000a_&lt;p&gt;ASTONISHING SOUND.&lt;/p&gt;"/>
    <s v="https://shop.officineitalianezard.it/contents/imgs/products/1_2519-scarico%20xsr%20700%20mt%2007%20zard%202.jpg"/>
    <m/>
    <m/>
  </r>
  <r>
    <s v="1586058948-9983"/>
    <s v="https://shop.officineitalianezard.it/en/products/"/>
    <m/>
    <s v="https://shop.officineitalianezard.it/en/yamaha-zard-exhaust/"/>
    <s v="MT-07 2014/19"/>
    <s v="https://shop.officineitalianezard.it/en/yamaha-mt-07-exhaust/"/>
    <s v="SHORT VERSION"/>
    <x v="14"/>
    <s v="2&gt;1 FULL KIT"/>
    <s v="ZY095SKR"/>
    <s v="YAMAHA MT-07"/>
    <n v="647.70000000000005"/>
    <n v="719.67"/>
    <s v="&lt;p&gt;2&amp;gt;1 STEEL FULL KIT RACING WITH REMOVABLE DB KILLER&lt;/p&gt;_x000a_&lt;p&gt;ORIGINAL FULL KIT WEIGHT: 7.2 KG&lt;br&gt;ZARD FULL KIT WEIGHT: 3.7 KG&lt;/p&gt;_x000a_&lt;p&gt;HARD INCREASE COMPARED TO THE ORIGINAL EXHAUST SYSTEM.&lt;/p&gt;_x000a_&lt;p&gt;ASTONISHING SOUND.&lt;/p&gt;"/>
    <s v="https://shop.officineitalianezard.it/contents/imgs/products/1_2523-scarichi%20yamaha%20mt%2007.jpg"/>
    <m/>
    <m/>
  </r>
  <r>
    <s v="1586058948-9984"/>
    <s v="https://shop.officineitalianezard.it/en/products/"/>
    <m/>
    <s v="https://shop.officineitalianezard.it/en/yamaha-zard-exhaust/"/>
    <s v="MT-07 2014/19"/>
    <s v="https://shop.officineitalianezard.it/en/yamaha-mt-07-exhaust/"/>
    <s v="SHORT VERSION"/>
    <x v="14"/>
    <s v="2&gt;1 FULL KIT"/>
    <s v="ZY095SKR"/>
    <s v="YAMAHA MT-07"/>
    <n v="647.70000000000005"/>
    <n v="719.67"/>
    <s v="&lt;p&gt;2&amp;gt;1 STEEL FULL KIT RACING WITH REMOVABLE DB KILLER&lt;/p&gt;_x000a_&lt;p&gt;ORIGINAL FULL KIT WEIGHT: 7.2 KG&lt;br&gt;ZARD FULL KIT WEIGHT: 3.7 KG&lt;/p&gt;_x000a_&lt;p&gt;HARD INCREASE COMPARED TO THE ORIGINAL EXHAUST SYSTEM.&lt;/p&gt;_x000a_&lt;p&gt;ASTONISHING SOUND.&lt;/p&gt;"/>
    <s v="https://shop.officineitalianezard.it/contents/imgs/products/1_2165-2%20yamaha%20mt%2007%20exhaust%20zard.jpg"/>
    <m/>
    <m/>
  </r>
  <r>
    <s v="1586058948-9985"/>
    <s v="https://shop.officineitalianezard.it/en/products/"/>
    <m/>
    <s v="https://shop.officineitalianezard.it/en/yamaha-zard-exhaust/"/>
    <s v="MT-07 2014/19"/>
    <s v="https://shop.officineitalianezard.it/en/yamaha-mt-07-exhaust/"/>
    <s v="SHORT VERSION"/>
    <x v="14"/>
    <s v="2&gt;1 FULL KIT"/>
    <s v="ZY095SKR"/>
    <s v="YAMAHA MT-07"/>
    <n v="647.70000000000005"/>
    <n v="719.67"/>
    <s v="&lt;p&gt;2&amp;gt;1 STEEL FULL KIT RACING WITH REMOVABLE DB KILLER&lt;/p&gt;_x000a_&lt;p&gt;ORIGINAL FULL KIT WEIGHT: 7.2 KG&lt;br&gt;ZARD FULL KIT WEIGHT: 3.7 KG&lt;/p&gt;_x000a_&lt;p&gt;HARD INCREASE COMPARED TO THE ORIGINAL EXHAUST SYSTEM.&lt;/p&gt;_x000a_&lt;p&gt;ASTONISHING SOUND.&lt;/p&gt;"/>
    <s v="https://shop.officineitalianezard.it/contents/imgs/products/1_2167-3%20yamaha%20mt%2007%20zard%20exhaust.jpg"/>
    <m/>
    <m/>
  </r>
  <r>
    <s v="1586058948-9986"/>
    <s v="https://shop.officineitalianezard.it/en/products/"/>
    <m/>
    <s v="https://shop.officineitalianezard.it/en/yamaha-zard-exhaust/"/>
    <s v="MT-07 2014/19"/>
    <s v="https://shop.officineitalianezard.it/en/yamaha-mt-07-exhaust/"/>
    <s v="SHORT VERSION"/>
    <x v="14"/>
    <s v="2&gt;1 FULL KIT"/>
    <s v="ZY095SKR"/>
    <s v="YAMAHA MT-07"/>
    <n v="647.70000000000005"/>
    <n v="719.67"/>
    <s v="&lt;p&gt;2&amp;gt;1 STEEL FULL KIT RACING WITH REMOVABLE DB KILLER&lt;/p&gt;_x000a_&lt;p&gt;ORIGINAL FULL KIT WEIGHT: 7.2 KG&lt;br&gt;ZARD FULL KIT WEIGHT: 3.7 KG&lt;/p&gt;_x000a_&lt;p&gt;HARD INCREASE COMPARED TO THE ORIGINAL EXHAUST SYSTEM.&lt;/p&gt;_x000a_&lt;p&gt;ASTONISHING SOUND.&lt;/p&gt;"/>
    <s v="https://shop.officineitalianezard.it/contents/imgs/products/1_934-1.jpg"/>
    <m/>
    <m/>
  </r>
  <r>
    <s v="1586058948-9987"/>
    <s v="https://shop.officineitalianezard.it/en/products/"/>
    <m/>
    <s v="https://shop.officineitalianezard.it/en/yamaha-zard-exhaust/"/>
    <s v="MT-07 2014/19"/>
    <s v="https://shop.officineitalianezard.it/en/yamaha-mt-07-exhaust/"/>
    <s v="SHORT VERSION"/>
    <x v="14"/>
    <s v="2&gt;1 FULL KIT"/>
    <s v="ZY095SKR"/>
    <s v="YAMAHA MT-07"/>
    <n v="647.70000000000005"/>
    <n v="719.67"/>
    <s v="&lt;p&gt;2&amp;gt;1 STEEL FULL KIT RACING WITH REMOVABLE DB KILLER&lt;/p&gt;_x000a_&lt;p&gt;ORIGINAL FULL KIT WEIGHT: 7.2 KG&lt;br&gt;ZARD FULL KIT WEIGHT: 3.7 KG&lt;/p&gt;_x000a_&lt;p&gt;HARD INCREASE COMPARED TO THE ORIGINAL EXHAUST SYSTEM.&lt;/p&gt;_x000a_&lt;p&gt;ASTONISHING SOUND.&lt;/p&gt;"/>
    <s v="https://shop.officineitalianezard.it/contents/imgs/products/1_938-2.jpg"/>
    <m/>
    <m/>
  </r>
  <r>
    <s v="1586058948-9988"/>
    <s v="https://shop.officineitalianezard.it/en/products/"/>
    <m/>
    <s v="https://shop.officineitalianezard.it/en/yamaha-zard-exhaust/"/>
    <s v="MT-07 2014/19"/>
    <s v="https://shop.officineitalianezard.it/en/yamaha-mt-07-exhaust/"/>
    <s v="SHORT VERSION"/>
    <x v="14"/>
    <s v="2&gt;1 FULL KIT"/>
    <s v="ZY095SKR"/>
    <s v="YAMAHA MT-07"/>
    <n v="647.70000000000005"/>
    <n v="719.67"/>
    <s v="&lt;p&gt;2&amp;gt;1 STEEL FULL KIT RACING WITH REMOVABLE DB KILLER&lt;/p&gt;_x000a_&lt;p&gt;ORIGINAL FULL KIT WEIGHT: 7.2 KG&lt;br&gt;ZARD FULL KIT WEIGHT: 3.7 KG&lt;/p&gt;_x000a_&lt;p&gt;HARD INCREASE COMPARED TO THE ORIGINAL EXHAUST SYSTEM.&lt;/p&gt;_x000a_&lt;p&gt;ASTONISHING SOUND.&lt;/p&gt;"/>
    <s v="https://shop.officineitalianezard.it/contents/imgs/products/1_2019-939-3.jpg"/>
    <m/>
    <m/>
  </r>
  <r>
    <s v="1586058948-9989"/>
    <s v="https://shop.officineitalianezard.it/en/products/"/>
    <m/>
    <s v="https://shop.officineitalianezard.it/en/yamaha-zard-exhaust/"/>
    <s v="MT-07 2014/19"/>
    <s v="https://shop.officineitalianezard.it/en/yamaha-mt-07-exhaust/"/>
    <s v="SHORT VERSION"/>
    <x v="14"/>
    <s v="2&gt;1 FULL KIT"/>
    <s v="ZY095SKR"/>
    <s v="YAMAHA MT-07"/>
    <n v="647.70000000000005"/>
    <n v="719.67"/>
    <s v="&lt;p&gt;2&amp;gt;1 STEEL FULL KIT RACING WITH REMOVABLE DB KILLER&lt;/p&gt;_x000a_&lt;p&gt;ORIGINAL FULL KIT WEIGHT: 7.2 KG&lt;br&gt;ZARD FULL KIT WEIGHT: 3.7 KG&lt;/p&gt;_x000a_&lt;p&gt;HARD INCREASE COMPARED TO THE ORIGINAL EXHAUST SYSTEM.&lt;/p&gt;_x000a_&lt;p&gt;ASTONISHING SOUND.&lt;/p&gt;"/>
    <s v="https://shop.officineitalianezard.it/contents/imgs/products/1_2017-1721-scarico%20xsr900%20mt07%20xsr700%20mt09%20yamaha%20zard.jpg"/>
    <m/>
    <m/>
  </r>
  <r>
    <s v="1586058948-9990"/>
    <s v="https://shop.officineitalianezard.it/en/products/"/>
    <m/>
    <s v="https://shop.officineitalianezard.it/en/yamaha-zard-exhaust/"/>
    <s v="MT-07 2014/19"/>
    <s v="https://shop.officineitalianezard.it/en/yamaha-mt-07-exhaust/"/>
    <s v="SHORT VERSION"/>
    <x v="14"/>
    <s v="2&gt;1 FULL KIT"/>
    <s v="ZY095SKR"/>
    <s v="YAMAHA MT-07"/>
    <n v="647.70000000000005"/>
    <n v="719.67"/>
    <s v="&lt;p&gt;2&amp;gt;1 STEEL FULL KIT RACING WITH REMOVABLE DB KILLER&lt;/p&gt;_x000a_&lt;p&gt;ORIGINAL FULL KIT WEIGHT: 7.2 KG&lt;br&gt;ZARD FULL KIT WEIGHT: 3.7 KG&lt;/p&gt;_x000a_&lt;p&gt;HARD INCREASE COMPARED TO THE ORIGINAL EXHAUST SYSTEM.&lt;/p&gt;_x000a_&lt;p&gt;ASTONISHING SOUND.&lt;/p&gt;"/>
    <m/>
    <s v="EURO 4 HOMOLOGATED"/>
    <n v="84.1"/>
  </r>
  <r>
    <s v="1586058948-9991"/>
    <s v="https://shop.officineitalianezard.it/en/products/"/>
    <m/>
    <s v="https://shop.officineitalianezard.it/en/yamaha-zard-exhaust/"/>
    <s v="MT-07 2014/19"/>
    <s v="https://shop.officineitalianezard.it/en/yamaha-mt-07-exhaust/"/>
    <s v="SHORT VERSION"/>
    <x v="14"/>
    <s v="2&gt;1 FULL KIT"/>
    <s v="ZY095SKR"/>
    <s v="YAMAHA MT-07"/>
    <n v="647.70000000000005"/>
    <n v="719.67"/>
    <s v="&lt;p&gt;2&amp;gt;1 STEEL FULL KIT RACING WITH REMOVABLE DB KILLER&lt;/p&gt;_x000a_&lt;p&gt;ORIGINAL FULL KIT WEIGHT: 7.2 KG&lt;br&gt;ZARD FULL KIT WEIGHT: 3.7 KG&lt;/p&gt;_x000a_&lt;p&gt;HARD INCREASE COMPARED TO THE ORIGINAL EXHAUST SYSTEM.&lt;/p&gt;_x000a_&lt;p&gt;ASTONISHING SOUND.&lt;/p&gt;"/>
    <m/>
    <s v="EURO 3 HOMOLOGATED"/>
    <n v="45.74"/>
  </r>
  <r>
    <s v="1586058948-9992"/>
    <s v="https://shop.officineitalianezard.it/en/products/"/>
    <m/>
    <s v="https://shop.officineitalianezard.it/en/yamaha-zard-exhaust/"/>
    <s v="MT-07 2014/19"/>
    <s v="https://shop.officineitalianezard.it/en/yamaha-mt-07-exhaust/"/>
    <s v="SHORT VERSION"/>
    <x v="14"/>
    <s v="2&gt;1 FULL KIT"/>
    <s v="ZY095SKR"/>
    <s v="YAMAHA MT-07"/>
    <n v="647.70000000000005"/>
    <n v="719.67"/>
    <s v="&lt;p&gt;2&amp;gt;1 STEEL FULL KIT RACING WITH REMOVABLE DB KILLER&lt;/p&gt;_x000a_&lt;p&gt;ORIGINAL FULL KIT WEIGHT: 7.2 KG&lt;br&gt;ZARD FULL KIT WEIGHT: 3.7 KG&lt;/p&gt;_x000a_&lt;p&gt;HARD INCREASE COMPARED TO THE ORIGINAL EXHAUST SYSTEM.&lt;/p&gt;_x000a_&lt;p&gt;ASTONISHING SOUND.&lt;/p&gt;"/>
    <m/>
    <s v="BLACK COATING"/>
    <n v="169.67"/>
  </r>
  <r>
    <s v="1586058948-9993"/>
    <s v="https://shop.officineitalianezard.it/en/products/"/>
    <m/>
    <s v="https://shop.officineitalianezard.it/en/yamaha-zard-exhaust/"/>
    <s v="MT-07 2014/19"/>
    <s v="https://shop.officineitalianezard.it/en/yamaha-mt-07-exhaust/"/>
    <s v="SHORT VERSION"/>
    <x v="14"/>
    <s v="2&gt;1 FULL KIT"/>
    <s v="ZY095SKR"/>
    <s v="YAMAHA MT-07"/>
    <n v="647.70000000000005"/>
    <n v="719.67"/>
    <s v="&lt;p&gt;2&amp;gt;1 STEEL FULL KIT RACING WITH REMOVABLE DB KILLER&lt;/p&gt;_x000a_&lt;p&gt;ORIGINAL FULL KIT WEIGHT: 7.2 KG&lt;br&gt;ZARD FULL KIT WEIGHT: 3.7 KG&lt;/p&gt;_x000a_&lt;p&gt;HARD INCREASE COMPARED TO THE ORIGINAL EXHAUST SYSTEM.&lt;/p&gt;_x000a_&lt;p&gt;ASTONISHING SOUND.&lt;/p&gt;"/>
    <m/>
    <s v="CARBON ENDCAP"/>
    <n v="37.619999999999997"/>
  </r>
  <r>
    <s v="1586058948-9994"/>
    <s v="https://shop.officineitalianezard.it/en/products/"/>
    <m/>
    <s v="https://shop.officineitalianezard.it/en/yamaha-zard-exhaust/"/>
    <s v="MT-07 2014/19"/>
    <s v="https://shop.officineitalianezard.it/en/yamaha-mt-07-exhaust/"/>
    <s v="SHORT VERSION"/>
    <x v="14"/>
    <s v="2&gt;1 FULL KIT"/>
    <s v="ZY095SKR"/>
    <s v="YAMAHA MT-07"/>
    <n v="647.70000000000005"/>
    <n v="719.67"/>
    <s v="&lt;p&gt;2&amp;gt;1 STEEL FULL KIT RACING WITH REMOVABLE DB KILLER&lt;/p&gt;_x000a_&lt;p&gt;ORIGINAL FULL KIT WEIGHT: 7.2 KG&lt;br&gt;ZARD FULL KIT WEIGHT: 3.7 KG&lt;/p&gt;_x000a_&lt;p&gt;HARD INCREASE COMPARED TO THE ORIGINAL EXHAUST SYSTEM.&lt;/p&gt;_x000a_&lt;p&gt;ASTONISHING SOUND.&lt;/p&gt;"/>
    <m/>
    <s v="LOGO PLATE AND HOSE CLAMP BRONZED"/>
    <n v="61.97"/>
  </r>
  <r>
    <s v="1586058953-9995"/>
    <s v="https://shop.officineitalianezard.it/en/products/"/>
    <m/>
    <s v="https://shop.officineitalianezard.it/en/yamaha-zard-exhaust/"/>
    <s v="R6"/>
    <s v="https://shop.officineitalianezard.it/en/yamaha-r6-exhaust/"/>
    <s v="CONICAL VERSION"/>
    <x v="15"/>
    <s v="SILENCER"/>
    <s v="ZY 090 SSR"/>
    <s v="YAMAHA R6"/>
    <n v="249.34"/>
    <n v="277.05"/>
    <s v="&lt;p&gt;STEEL SILENCER RACING WITH REMOVABLE DB KILLER&lt;/p&gt;_x000a_&lt;p&gt;WEIGHT OF THE ZARD MUFFLER: KG 1.9&lt;/p&gt;_x000a_&lt;p&gt;HARD INCREASE, COMPARED TO THE ORIGINAL EXHAUST SYSTEM, IN TERMS OF TORQUE AND POWER AT ANY RANGE&lt;/p&gt;_x000a_&lt;p&gt;ASTONISHING SOUND&lt;/p&gt;"/>
    <s v="https://shop.officineitalianezard.it/contents/imgs/products/1_636-yamaha-r6.jpg"/>
    <m/>
    <m/>
  </r>
  <r>
    <s v="1586058953-9996"/>
    <s v="https://shop.officineitalianezard.it/en/products/"/>
    <m/>
    <s v="https://shop.officineitalianezard.it/en/yamaha-zard-exhaust/"/>
    <s v="R6"/>
    <s v="https://shop.officineitalianezard.it/en/yamaha-r6-exhaust/"/>
    <s v="CONICAL VERSION"/>
    <x v="15"/>
    <s v="SILENCER"/>
    <s v="ZY 090 SSR"/>
    <s v="YAMAHA R6"/>
    <n v="249.34"/>
    <n v="277.05"/>
    <s v="&lt;p&gt;STEEL SILENCER RACING WITH REMOVABLE DB KILLER&lt;/p&gt;_x000a_&lt;p&gt;WEIGHT OF THE ZARD MUFFLER: KG 1.9&lt;/p&gt;_x000a_&lt;p&gt;HARD INCREASE, COMPARED TO THE ORIGINAL EXHAUST SYSTEM, IN TERMS OF TORQUE AND POWER AT ANY RANGE&lt;/p&gt;_x000a_&lt;p&gt;ASTONISHING SOUND&lt;/p&gt;"/>
    <m/>
    <s v="EURO 3 HOMOLOGATED"/>
    <n v="19.18"/>
  </r>
  <r>
    <s v="1586058953-9997"/>
    <s v="https://shop.officineitalianezard.it/en/products/"/>
    <m/>
    <s v="https://shop.officineitalianezard.it/en/yamaha-zard-exhaust/"/>
    <s v="R6"/>
    <s v="https://shop.officineitalianezard.it/en/yamaha-r6-exhaust/"/>
    <s v="CONICAL VERSION"/>
    <x v="15"/>
    <s v="SILENCER"/>
    <s v="ZY 090 SSR"/>
    <s v="YAMAHA R6"/>
    <n v="249.34"/>
    <n v="277.05"/>
    <s v="&lt;p&gt;STEEL SILENCER RACING WITH REMOVABLE DB KILLER&lt;/p&gt;_x000a_&lt;p&gt;WEIGHT OF THE ZARD MUFFLER: KG 1.9&lt;/p&gt;_x000a_&lt;p&gt;HARD INCREASE, COMPARED TO THE ORIGINAL EXHAUST SYSTEM, IN TERMS OF TORQUE AND POWER AT ANY RANGE&lt;/p&gt;_x000a_&lt;p&gt;ASTONISHING SOUND&lt;/p&gt;"/>
    <m/>
    <s v="FULL TITANIUM"/>
    <n v="118.03"/>
  </r>
  <r>
    <s v="1586058958-10000"/>
    <s v="https://shop.officineitalianezard.it/en/products/"/>
    <m/>
    <s v="https://shop.officineitalianezard.it/en/yamaha-zard-exhaust/"/>
    <s v="R1 M.Y. 2015"/>
    <s v="https://shop.officineitalianezard.it/en/yamaha-yzf-r1-exhaust/"/>
    <s v="RACING VERSION"/>
    <x v="16"/>
    <s v="STELL SILENCER + DECATALYZER KIT"/>
    <s v="ZY100SKR"/>
    <s v="YAMAHA R1 M.Y. 2015"/>
    <n v="1017.3"/>
    <n v="1130.33"/>
    <s v="&lt;p&gt;STEEL SILENCER RACING WITH REMOVABLE DB KILLER&lt;/p&gt;_x000a_&lt;p&gt;HARD INCREASE, COMPARED TO THE ORIGINAL EXHAUST SYSTEM, IN TERMS OF TORQUE AND POWER AT ANY RANGE&lt;/p&gt;_x000a_&lt;p&gt;ASTONISHING SOUND.&lt;/p&gt;"/>
    <m/>
    <s v="FULL TITANIUM"/>
    <n v="273.69"/>
  </r>
  <r>
    <s v="1586058958-9998"/>
    <s v="https://shop.officineitalianezard.it/en/products/"/>
    <m/>
    <s v="https://shop.officineitalianezard.it/en/yamaha-zard-exhaust/"/>
    <s v="R1 M.Y. 2015"/>
    <s v="https://shop.officineitalianezard.it/en/yamaha-yzf-r1-exhaust/"/>
    <s v="RACING VERSION"/>
    <x v="16"/>
    <s v="STELL SILENCER + DECATALYZER KIT"/>
    <s v="ZY100SKR"/>
    <s v="YAMAHA R1 M.Y. 2015"/>
    <n v="1017.3"/>
    <n v="1130.33"/>
    <s v="&lt;p&gt;STEEL SILENCER RACING WITH REMOVABLE DB KILLER&lt;/p&gt;_x000a_&lt;p&gt;HARD INCREASE, COMPARED TO THE ORIGINAL EXHAUST SYSTEM, IN TERMS OF TORQUE AND POWER AT ANY RANGE&lt;/p&gt;_x000a_&lt;p&gt;ASTONISHING SOUND.&lt;/p&gt;"/>
    <s v="https://shop.officineitalianezard.it/contents/imgs/products/1_1277-1nodbkiller.jpg"/>
    <m/>
    <m/>
  </r>
  <r>
    <s v="1586058958-9999"/>
    <s v="https://shop.officineitalianezard.it/en/products/"/>
    <m/>
    <s v="https://shop.officineitalianezard.it/en/yamaha-zard-exhaust/"/>
    <s v="R1 M.Y. 2015"/>
    <s v="https://shop.officineitalianezard.it/en/yamaha-yzf-r1-exhaust/"/>
    <s v="RACING VERSION"/>
    <x v="16"/>
    <s v="STELL SILENCER + DECATALYZER KIT"/>
    <s v="ZY100SKR"/>
    <s v="YAMAHA R1 M.Y. 2015"/>
    <n v="1017.3"/>
    <n v="1130.33"/>
    <s v="&lt;p&gt;STEEL SILENCER RACING WITH REMOVABLE DB KILLER&lt;/p&gt;_x000a_&lt;p&gt;HARD INCREASE, COMPARED TO THE ORIGINAL EXHAUST SYSTEM, IN TERMS OF TORQUE AND POWER AT ANY RANGE&lt;/p&gt;_x000a_&lt;p&gt;ASTONISHING SOUND.&lt;/p&gt;"/>
    <s v="https://shop.officineitalianezard.it/contents/imgs/products/1_1278-2nodbkiller.jpg"/>
    <m/>
    <m/>
  </r>
  <r>
    <s v="1586058965-10001"/>
    <s v="https://shop.officineitalianezard.it/en/products/"/>
    <m/>
    <s v="https://shop.officineitalianezard.it/en/suzuki-zard-exhaust/"/>
    <s v="SUZUKI GSR 750"/>
    <s v="https://shop.officineitalianezard.it/en/suzuki-gsr-750-exhaust/"/>
    <s v="PENTA VERSION"/>
    <x v="17"/>
    <s v="SILENCER"/>
    <s v="ZS523ASR"/>
    <s v="SUZUKI GSR 750"/>
    <n v="310.57"/>
    <n v="345.08"/>
    <s v="&lt;p&gt;STEEL-ALUMINIUM BLACK SILENCER RACING WITH REMOVABLE DB KILLER&lt;/p&gt;_x000a_&lt;p&gt;ZARD SILENCER WEIGHT: KG 4.5&lt;/p&gt;_x000a_&lt;p&gt;HARD INCREASE, COMPARED TO THE ORIGINAL EXHAUST SYSTEM, IN TERMS OF TORQUE AND POWER (+ 5 HP) AT ANY RANGE.&lt;/p&gt;_x000a_&lt;p&gt;ASTONISHING SOUND.&lt;/p&gt;"/>
    <s v="https://shop.officineitalianezard.it/contents/imgs/products/1_628-2_585-scarichi%20moto%20zard.jpg"/>
    <m/>
    <m/>
  </r>
  <r>
    <s v="1586058965-10002"/>
    <s v="https://shop.officineitalianezard.it/en/products/"/>
    <m/>
    <s v="https://shop.officineitalianezard.it/en/suzuki-zard-exhaust/"/>
    <s v="SUZUKI GSR 750"/>
    <s v="https://shop.officineitalianezard.it/en/suzuki-gsr-750-exhaust/"/>
    <s v="PENTA VERSION"/>
    <x v="17"/>
    <s v="SILENCER"/>
    <s v="ZS523ASR"/>
    <s v="SUZUKI GSR 750"/>
    <n v="310.57"/>
    <n v="345.08"/>
    <s v="&lt;p&gt;STEEL-ALUMINIUM BLACK SILENCER RACING WITH REMOVABLE DB KILLER&lt;/p&gt;_x000a_&lt;p&gt;ZARD SILENCER WEIGHT: KG 4.5&lt;/p&gt;_x000a_&lt;p&gt;HARD INCREASE, COMPARED TO THE ORIGINAL EXHAUST SYSTEM, IN TERMS OF TORQUE AND POWER (+ 5 HP) AT ANY RANGE.&lt;/p&gt;_x000a_&lt;p&gt;ASTONISHING SOUND.&lt;/p&gt;"/>
    <s v="https://shop.officineitalianezard.it/contents/imgs/products/1_627-2_584-scarichi%20moto%20zard.jpg"/>
    <m/>
    <m/>
  </r>
  <r>
    <s v="1586058965-10003"/>
    <s v="https://shop.officineitalianezard.it/en/products/"/>
    <m/>
    <s v="https://shop.officineitalianezard.it/en/suzuki-zard-exhaust/"/>
    <s v="SUZUKI GSR 750"/>
    <s v="https://shop.officineitalianezard.it/en/suzuki-gsr-750-exhaust/"/>
    <s v="PENTA VERSION"/>
    <x v="17"/>
    <s v="SILENCER"/>
    <s v="ZS523ASR"/>
    <s v="SUZUKI GSR 750"/>
    <n v="310.57"/>
    <n v="345.08"/>
    <s v="&lt;p&gt;STEEL-ALUMINIUM BLACK SILENCER RACING WITH REMOVABLE DB KILLER&lt;/p&gt;_x000a_&lt;p&gt;ZARD SILENCER WEIGHT: KG 4.5&lt;/p&gt;_x000a_&lt;p&gt;HARD INCREASE, COMPARED TO THE ORIGINAL EXHAUST SYSTEM, IN TERMS OF TORQUE AND POWER (+ 5 HP) AT ANY RANGE.&lt;/p&gt;_x000a_&lt;p&gt;ASTONISHING SOUND.&lt;/p&gt;"/>
    <s v="https://shop.officineitalianezard.it/contents/imgs/products/1_629-2_586-scarichi%20moto%20zard.jpg"/>
    <m/>
    <m/>
  </r>
  <r>
    <s v="1586058965-10004"/>
    <s v="https://shop.officineitalianezard.it/en/products/"/>
    <m/>
    <s v="https://shop.officineitalianezard.it/en/suzuki-zard-exhaust/"/>
    <s v="SUZUKI GSR 750"/>
    <s v="https://shop.officineitalianezard.it/en/suzuki-gsr-750-exhaust/"/>
    <s v="PENTA VERSION"/>
    <x v="17"/>
    <s v="SILENCER"/>
    <s v="ZS523ASR"/>
    <s v="SUZUKI GSR 750"/>
    <n v="310.57"/>
    <n v="345.08"/>
    <s v="&lt;p&gt;STEEL-ALUMINIUM BLACK SILENCER RACING WITH REMOVABLE DB KILLER&lt;/p&gt;_x000a_&lt;p&gt;ZARD SILENCER WEIGHT: KG 4.5&lt;/p&gt;_x000a_&lt;p&gt;HARD INCREASE, COMPARED TO THE ORIGINAL EXHAUST SYSTEM, IN TERMS OF TORQUE AND POWER (+ 5 HP) AT ANY RANGE.&lt;/p&gt;_x000a_&lt;p&gt;ASTONISHING SOUND.&lt;/p&gt;"/>
    <m/>
    <s v="EURO 3 HOMOLOGATED"/>
    <n v="18.440000000000001"/>
  </r>
  <r>
    <s v="1586058965-10005"/>
    <s v="https://shop.officineitalianezard.it/en/products/"/>
    <m/>
    <s v="https://shop.officineitalianezard.it/en/suzuki-zard-exhaust/"/>
    <s v="SUZUKI GSR 750"/>
    <s v="https://shop.officineitalianezard.it/en/suzuki-gsr-750-exhaust/"/>
    <s v="PENTA VERSION"/>
    <x v="17"/>
    <s v="SILENCER"/>
    <s v="ZS523ASR"/>
    <s v="SUZUKI GSR 750"/>
    <n v="310.57"/>
    <n v="345.08"/>
    <s v="&lt;p&gt;STEEL-ALUMINIUM BLACK SILENCER RACING WITH REMOVABLE DB KILLER&lt;/p&gt;_x000a_&lt;p&gt;ZARD SILENCER WEIGHT: KG 4.5&lt;/p&gt;_x000a_&lt;p&gt;HARD INCREASE, COMPARED TO THE ORIGINAL EXHAUST SYSTEM, IN TERMS OF TORQUE AND POWER (+ 5 HP) AT ANY RANGE.&lt;/p&gt;_x000a_&lt;p&gt;ASTONISHING SOUND.&lt;/p&gt;"/>
    <m/>
    <s v="STEEL-CARBON RACING"/>
    <n v="28.03"/>
  </r>
  <r>
    <s v="1586058965-10006"/>
    <s v="https://shop.officineitalianezard.it/en/products/"/>
    <m/>
    <s v="https://shop.officineitalianezard.it/en/suzuki-zard-exhaust/"/>
    <s v="SUZUKI GSR 750"/>
    <s v="https://shop.officineitalianezard.it/en/suzuki-gsr-750-exhaust/"/>
    <s v="PENTA VERSION"/>
    <x v="17"/>
    <s v="SILENCER"/>
    <s v="ZS523ASR"/>
    <s v="SUZUKI GSR 750"/>
    <n v="310.57"/>
    <n v="345.08"/>
    <s v="&lt;p&gt;STEEL-ALUMINIUM BLACK SILENCER RACING WITH REMOVABLE DB KILLER&lt;/p&gt;_x000a_&lt;p&gt;ZARD SILENCER WEIGHT: KG 4.5&lt;/p&gt;_x000a_&lt;p&gt;HARD INCREASE, COMPARED TO THE ORIGINAL EXHAUST SYSTEM, IN TERMS OF TORQUE AND POWER (+ 5 HP) AT ANY RANGE.&lt;/p&gt;_x000a_&lt;p&gt;ASTONISHING SOUND.&lt;/p&gt;"/>
    <m/>
    <s v="STEEL-CARBON HOMOLOGATED"/>
    <n v="47.21"/>
  </r>
  <r>
    <s v="1586058965-10007"/>
    <s v="https://shop.officineitalianezard.it/en/products/"/>
    <m/>
    <s v="https://shop.officineitalianezard.it/en/suzuki-zard-exhaust/"/>
    <s v="SUZUKI GSR 750"/>
    <s v="https://shop.officineitalianezard.it/en/suzuki-gsr-750-exhaust/"/>
    <s v="PENTA VERSION"/>
    <x v="17"/>
    <s v="SILENCER"/>
    <s v="ZS523ASR"/>
    <s v="SUZUKI GSR 750"/>
    <n v="310.57"/>
    <n v="345.08"/>
    <s v="&lt;p&gt;STEEL-ALUMINIUM BLACK SILENCER RACING WITH REMOVABLE DB KILLER&lt;/p&gt;_x000a_&lt;p&gt;ZARD SILENCER WEIGHT: KG 4.5&lt;/p&gt;_x000a_&lt;p&gt;HARD INCREASE, COMPARED TO THE ORIGINAL EXHAUST SYSTEM, IN TERMS OF TORQUE AND POWER (+ 5 HP) AT ANY RANGE.&lt;/p&gt;_x000a_&lt;p&gt;ASTONISHING SOUND.&lt;/p&gt;"/>
    <m/>
    <s v="CARBON ENDCAP"/>
    <n v="37.619999999999997"/>
  </r>
  <r>
    <s v="1586058969-10008"/>
    <s v="https://shop.officineitalianezard.it/en/products/"/>
    <m/>
    <s v="https://shop.officineitalianezard.it/en/suzuki-zard-exhaust/"/>
    <s v="B-KING"/>
    <s v="https://shop.officineitalianezard.it/en/suzuki-b-king-exhaust/"/>
    <s v="PENTA VERSION"/>
    <x v="18"/>
    <s v="SILENCERS"/>
    <s v="ZS 200 ASR-B"/>
    <s v="SUZUKI B-KING"/>
    <n v="997.38"/>
    <n v="1108.2"/>
    <s v="&lt;p&gt;STEEL-ALUMINIUM&amp;nbsp;BLACK SILENCERS RACING WITH REMOVABLE DB KILLER&lt;/p&gt;_x000a_&lt;p&gt;SILENCERS KIT INCLUDES &quot;Y&quot; HEADER PIPE&lt;/p&gt;_x000a_&lt;p&gt;ORIGINAL SILENCERS WEIGHT:&amp;nbsp;KG 14.5&lt;br&gt;ZARD SILENCERS WEIGHT: KG 4.5&lt;/p&gt;_x000a_&lt;p&gt;HARD INCREASE, COMPARED TO THE ORIGINAL EXHAUST SYSTEM, IN TERMS OF TORQUE AND POWER (+ 5 HP) AT ANY RANGE.&lt;/p&gt;_x000a_&lt;p&gt;ASTONISHING SOUND.&lt;/p&gt;"/>
    <s v="https://shop.officineitalianezard.it/contents/imgs/products/1_583-scarichi%20moto%20suzuki%20b-king%20zard.jpg"/>
    <m/>
    <m/>
  </r>
  <r>
    <s v="1586058969-10009"/>
    <s v="https://shop.officineitalianezard.it/en/products/"/>
    <m/>
    <s v="https://shop.officineitalianezard.it/en/suzuki-zard-exhaust/"/>
    <s v="B-KING"/>
    <s v="https://shop.officineitalianezard.it/en/suzuki-b-king-exhaust/"/>
    <s v="PENTA VERSION"/>
    <x v="18"/>
    <s v="SILENCERS"/>
    <s v="ZS 200 ASR-B"/>
    <s v="SUZUKI B-KING"/>
    <n v="997.38"/>
    <n v="1108.2"/>
    <s v="&lt;p&gt;STEEL-ALUMINIUM&amp;nbsp;BLACK SILENCERS RACING WITH REMOVABLE DB KILLER&lt;/p&gt;_x000a_&lt;p&gt;SILENCERS KIT INCLUDES &quot;Y&quot; HEADER PIPE&lt;/p&gt;_x000a_&lt;p&gt;ORIGINAL SILENCERS WEIGHT:&amp;nbsp;KG 14.5&lt;br&gt;ZARD SILENCERS WEIGHT: KG 4.5&lt;/p&gt;_x000a_&lt;p&gt;HARD INCREASE, COMPARED TO THE ORIGINAL EXHAUST SYSTEM, IN TERMS OF TORQUE AND POWER (+ 5 HP) AT ANY RANGE.&lt;/p&gt;_x000a_&lt;p&gt;ASTONISHING SOUND.&lt;/p&gt;"/>
    <s v="https://shop.officineitalianezard.it/contents/imgs/products/1_582-scarichi%20moto%20suzuki%20b-king%20zard.jpg"/>
    <m/>
    <m/>
  </r>
  <r>
    <s v="1586058969-10010"/>
    <s v="https://shop.officineitalianezard.it/en/products/"/>
    <m/>
    <s v="https://shop.officineitalianezard.it/en/suzuki-zard-exhaust/"/>
    <s v="B-KING"/>
    <s v="https://shop.officineitalianezard.it/en/suzuki-b-king-exhaust/"/>
    <s v="PENTA VERSION"/>
    <x v="18"/>
    <s v="SILENCERS"/>
    <s v="ZS 200 ASR-B"/>
    <s v="SUZUKI B-KING"/>
    <n v="997.38"/>
    <n v="1108.2"/>
    <s v="&lt;p&gt;STEEL-ALUMINIUM&amp;nbsp;BLACK SILENCERS RACING WITH REMOVABLE DB KILLER&lt;/p&gt;_x000a_&lt;p&gt;SILENCERS KIT INCLUDES &quot;Y&quot; HEADER PIPE&lt;/p&gt;_x000a_&lt;p&gt;ORIGINAL SILENCERS WEIGHT:&amp;nbsp;KG 14.5&lt;br&gt;ZARD SILENCERS WEIGHT: KG 4.5&lt;/p&gt;_x000a_&lt;p&gt;HARD INCREASE, COMPARED TO THE ORIGINAL EXHAUST SYSTEM, IN TERMS OF TORQUE AND POWER (+ 5 HP) AT ANY RANGE.&lt;/p&gt;_x000a_&lt;p&gt;ASTONISHING SOUND.&lt;/p&gt;"/>
    <m/>
    <s v="LIGHT AND ARROWS KIT"/>
    <n v="126.89"/>
  </r>
  <r>
    <s v="1586058969-10011"/>
    <s v="https://shop.officineitalianezard.it/en/products/"/>
    <m/>
    <s v="https://shop.officineitalianezard.it/en/suzuki-zard-exhaust/"/>
    <s v="B-KING"/>
    <s v="https://shop.officineitalianezard.it/en/suzuki-b-king-exhaust/"/>
    <s v="PENTA VERSION"/>
    <x v="18"/>
    <s v="SILENCERS"/>
    <s v="ZS 200 ASR-B"/>
    <s v="SUZUKI B-KING"/>
    <n v="997.38"/>
    <n v="1108.2"/>
    <s v="&lt;p&gt;STEEL-ALUMINIUM&amp;nbsp;BLACK SILENCERS RACING WITH REMOVABLE DB KILLER&lt;/p&gt;_x000a_&lt;p&gt;SILENCERS KIT INCLUDES &quot;Y&quot; HEADER PIPE&lt;/p&gt;_x000a_&lt;p&gt;ORIGINAL SILENCERS WEIGHT:&amp;nbsp;KG 14.5&lt;br&gt;ZARD SILENCERS WEIGHT: KG 4.5&lt;/p&gt;_x000a_&lt;p&gt;HARD INCREASE, COMPARED TO THE ORIGINAL EXHAUST SYSTEM, IN TERMS OF TORQUE AND POWER (+ 5 HP) AT ANY RANGE.&lt;/p&gt;_x000a_&lt;p&gt;ASTONISHING SOUND.&lt;/p&gt;"/>
    <m/>
    <s v="CARBON 'PENTA' ENDCAP"/>
    <n v="75.25"/>
  </r>
  <r>
    <s v="1586058969-10012"/>
    <s v="https://shop.officineitalianezard.it/en/products/"/>
    <m/>
    <s v="https://shop.officineitalianezard.it/en/suzuki-zard-exhaust/"/>
    <s v="B-KING"/>
    <s v="https://shop.officineitalianezard.it/en/suzuki-b-king-exhaust/"/>
    <s v="PENTA VERSION"/>
    <x v="18"/>
    <s v="SILENCERS"/>
    <s v="ZS 200 ASR-B"/>
    <s v="SUZUKI B-KING"/>
    <n v="997.38"/>
    <n v="1108.2"/>
    <s v="&lt;p&gt;STEEL-ALUMINIUM&amp;nbsp;BLACK SILENCERS RACING WITH REMOVABLE DB KILLER&lt;/p&gt;_x000a_&lt;p&gt;SILENCERS KIT INCLUDES &quot;Y&quot; HEADER PIPE&lt;/p&gt;_x000a_&lt;p&gt;ORIGINAL SILENCERS WEIGHT:&amp;nbsp;KG 14.5&lt;br&gt;ZARD SILENCERS WEIGHT: KG 4.5&lt;/p&gt;_x000a_&lt;p&gt;HARD INCREASE, COMPARED TO THE ORIGINAL EXHAUST SYSTEM, IN TERMS OF TORQUE AND POWER (+ 5 HP) AT ANY RANGE.&lt;/p&gt;_x000a_&lt;p&gt;ASTONISHING SOUND.&lt;/p&gt;"/>
    <m/>
    <s v="EURO 3 HOMOLOGATED"/>
    <n v="123.2"/>
  </r>
  <r>
    <s v="1586058976-10013"/>
    <s v="https://shop.officineitalianezard.it/en/products/"/>
    <m/>
    <s v="https://shop.officineitalianezard.it/en/suzuki-zard-exhaust/"/>
    <s v="V-STROM 1000 M.Y. 2014"/>
    <s v="https://shop.officineitalianezard.it/en/sukuzi-v-strom-1000-m-y-2014-exhaust/"/>
    <s v="PENTA-R VERSION"/>
    <x v="19"/>
    <s v="SILENCER"/>
    <s v="ZS203SSR"/>
    <s v="SUZUKI V-STROM M.Y. 2014"/>
    <n v="470.66"/>
    <n v="522.95000000000005"/>
    <s v="&lt;p&gt;STEEL RACING SILENCER WITH REMOVABLE DB KILLER&lt;/p&gt;_x000a_&lt;p&gt;CARBON ENDCAP&lt;/p&gt;_x000a_&lt;p&gt;ORIGINAL SILENCER WEIGHT: KG 5.6&lt;br&gt;ZARD STEEL SILENCER WEIGHT: KG 3.1&lt;br&gt;ZARD TITANIUM SILENCER WEIGHT: KG 2.8&lt;/p&gt;_x000a_&lt;p&gt;HARD INCREASE, COMPARED TO THE ORIGINAL EXHAUST SYSTEM, IN TERMS OF TORQUE AND POWER AT ANY RANGE.&lt;/p&gt;_x000a_&lt;p&gt;ASTONISHING SOUND.&lt;/p&gt;"/>
    <s v="https://shop.officineitalianezard.it/contents/imgs/products/1_2434-1b.jpg"/>
    <m/>
    <m/>
  </r>
  <r>
    <s v="1586058976-10014"/>
    <s v="https://shop.officineitalianezard.it/en/products/"/>
    <m/>
    <s v="https://shop.officineitalianezard.it/en/suzuki-zard-exhaust/"/>
    <s v="V-STROM 1000 M.Y. 2014"/>
    <s v="https://shop.officineitalianezard.it/en/sukuzi-v-strom-1000-m-y-2014-exhaust/"/>
    <s v="PENTA-R VERSION"/>
    <x v="19"/>
    <s v="SILENCER"/>
    <s v="ZS203SSR"/>
    <s v="SUZUKI V-STROM M.Y. 2014"/>
    <n v="470.66"/>
    <n v="522.95000000000005"/>
    <s v="&lt;p&gt;STEEL RACING SILENCER WITH REMOVABLE DB KILLER&lt;/p&gt;_x000a_&lt;p&gt;CARBON ENDCAP&lt;/p&gt;_x000a_&lt;p&gt;ORIGINAL SILENCER WEIGHT: KG 5.6&lt;br&gt;ZARD STEEL SILENCER WEIGHT: KG 3.1&lt;br&gt;ZARD TITANIUM SILENCER WEIGHT: KG 2.8&lt;/p&gt;_x000a_&lt;p&gt;HARD INCREASE, COMPARED TO THE ORIGINAL EXHAUST SYSTEM, IN TERMS OF TORQUE AND POWER AT ANY RANGE.&lt;/p&gt;_x000a_&lt;p&gt;ASTONISHING SOUND.&lt;/p&gt;"/>
    <s v="https://shop.officineitalianezard.it/contents/imgs/products/1_2433-2b.jpg"/>
    <m/>
    <m/>
  </r>
  <r>
    <s v="1586058976-10015"/>
    <s v="https://shop.officineitalianezard.it/en/products/"/>
    <m/>
    <s v="https://shop.officineitalianezard.it/en/suzuki-zard-exhaust/"/>
    <s v="V-STROM 1000 M.Y. 2014"/>
    <s v="https://shop.officineitalianezard.it/en/sukuzi-v-strom-1000-m-y-2014-exhaust/"/>
    <s v="PENTA-R VERSION"/>
    <x v="19"/>
    <s v="SILENCER"/>
    <s v="ZS203SSR"/>
    <s v="SUZUKI V-STROM M.Y. 2014"/>
    <n v="470.66"/>
    <n v="522.95000000000005"/>
    <s v="&lt;p&gt;STEEL RACING SILENCER WITH REMOVABLE DB KILLER&lt;/p&gt;_x000a_&lt;p&gt;CARBON ENDCAP&lt;/p&gt;_x000a_&lt;p&gt;ORIGINAL SILENCER WEIGHT: KG 5.6&lt;br&gt;ZARD STEEL SILENCER WEIGHT: KG 3.1&lt;br&gt;ZARD TITANIUM SILENCER WEIGHT: KG 2.8&lt;/p&gt;_x000a_&lt;p&gt;HARD INCREASE, COMPARED TO THE ORIGINAL EXHAUST SYSTEM, IN TERMS OF TORQUE AND POWER AT ANY RANGE.&lt;/p&gt;_x000a_&lt;p&gt;ASTONISHING SOUND.&lt;/p&gt;"/>
    <s v="https://shop.officineitalianezard.it/contents/imgs/products/1_517-3.jpg"/>
    <m/>
    <m/>
  </r>
  <r>
    <s v="1586058976-10016"/>
    <s v="https://shop.officineitalianezard.it/en/products/"/>
    <m/>
    <s v="https://shop.officineitalianezard.it/en/suzuki-zard-exhaust/"/>
    <s v="V-STROM 1000 M.Y. 2014"/>
    <s v="https://shop.officineitalianezard.it/en/sukuzi-v-strom-1000-m-y-2014-exhaust/"/>
    <s v="PENTA-R VERSION"/>
    <x v="19"/>
    <s v="SILENCER"/>
    <s v="ZS203SSR"/>
    <s v="SUZUKI V-STROM M.Y. 2014"/>
    <n v="470.66"/>
    <n v="522.95000000000005"/>
    <s v="&lt;p&gt;STEEL RACING SILENCER WITH REMOVABLE DB KILLER&lt;/p&gt;_x000a_&lt;p&gt;CARBON ENDCAP&lt;/p&gt;_x000a_&lt;p&gt;ORIGINAL SILENCER WEIGHT: KG 5.6&lt;br&gt;ZARD STEEL SILENCER WEIGHT: KG 3.1&lt;br&gt;ZARD TITANIUM SILENCER WEIGHT: KG 2.8&lt;/p&gt;_x000a_&lt;p&gt;HARD INCREASE, COMPARED TO THE ORIGINAL EXHAUST SYSTEM, IN TERMS OF TORQUE AND POWER AT ANY RANGE.&lt;/p&gt;_x000a_&lt;p&gt;ASTONISHING SOUND.&lt;/p&gt;"/>
    <s v="https://shop.officineitalianezard.it/contents/imgs/products/1_518-4.jpg"/>
    <m/>
    <m/>
  </r>
  <r>
    <s v="1586058976-10017"/>
    <s v="https://shop.officineitalianezard.it/en/products/"/>
    <m/>
    <s v="https://shop.officineitalianezard.it/en/suzuki-zard-exhaust/"/>
    <s v="V-STROM 1000 M.Y. 2014"/>
    <s v="https://shop.officineitalianezard.it/en/sukuzi-v-strom-1000-m-y-2014-exhaust/"/>
    <s v="PENTA-R VERSION"/>
    <x v="19"/>
    <s v="SILENCER"/>
    <s v="ZS203SSR"/>
    <s v="SUZUKI V-STROM M.Y. 2014"/>
    <n v="470.66"/>
    <n v="522.95000000000005"/>
    <s v="&lt;p&gt;STEEL RACING SILENCER WITH REMOVABLE DB KILLER&lt;/p&gt;_x000a_&lt;p&gt;CARBON ENDCAP&lt;/p&gt;_x000a_&lt;p&gt;ORIGINAL SILENCER WEIGHT: KG 5.6&lt;br&gt;ZARD STEEL SILENCER WEIGHT: KG 3.1&lt;br&gt;ZARD TITANIUM SILENCER WEIGHT: KG 2.8&lt;/p&gt;_x000a_&lt;p&gt;HARD INCREASE, COMPARED TO THE ORIGINAL EXHAUST SYSTEM, IN TERMS OF TORQUE AND POWER AT ANY RANGE.&lt;/p&gt;_x000a_&lt;p&gt;ASTONISHING SOUND.&lt;/p&gt;"/>
    <s v="https://shop.officineitalianezard.it/contents/imgs/products/1_976-carbon%20exhaust.jpg"/>
    <m/>
    <m/>
  </r>
  <r>
    <s v="1586058976-10018"/>
    <s v="https://shop.officineitalianezard.it/en/products/"/>
    <m/>
    <s v="https://shop.officineitalianezard.it/en/suzuki-zard-exhaust/"/>
    <s v="V-STROM 1000 M.Y. 2014"/>
    <s v="https://shop.officineitalianezard.it/en/sukuzi-v-strom-1000-m-y-2014-exhaust/"/>
    <s v="PENTA-R VERSION"/>
    <x v="19"/>
    <s v="SILENCER"/>
    <s v="ZS203SSR"/>
    <s v="SUZUKI V-STROM M.Y. 2014"/>
    <n v="470.66"/>
    <n v="522.95000000000005"/>
    <s v="&lt;p&gt;STEEL RACING SILENCER WITH REMOVABLE DB KILLER&lt;/p&gt;_x000a_&lt;p&gt;CARBON ENDCAP&lt;/p&gt;_x000a_&lt;p&gt;ORIGINAL SILENCER WEIGHT: KG 5.6&lt;br&gt;ZARD STEEL SILENCER WEIGHT: KG 3.1&lt;br&gt;ZARD TITANIUM SILENCER WEIGHT: KG 2.8&lt;/p&gt;_x000a_&lt;p&gt;HARD INCREASE, COMPARED TO THE ORIGINAL EXHAUST SYSTEM, IN TERMS OF TORQUE AND POWER AT ANY RANGE.&lt;/p&gt;_x000a_&lt;p&gt;ASTONISHING SOUND.&lt;/p&gt;"/>
    <s v="https://shop.officineitalianezard.it/contents/imgs/products/1_974-zard%20exhaust%20carbon.jpg"/>
    <m/>
    <m/>
  </r>
  <r>
    <s v="1586058976-10019"/>
    <s v="https://shop.officineitalianezard.it/en/products/"/>
    <m/>
    <s v="https://shop.officineitalianezard.it/en/suzuki-zard-exhaust/"/>
    <s v="V-STROM 1000 M.Y. 2014"/>
    <s v="https://shop.officineitalianezard.it/en/sukuzi-v-strom-1000-m-y-2014-exhaust/"/>
    <s v="PENTA-R VERSION"/>
    <x v="19"/>
    <s v="SILENCER"/>
    <s v="ZS203SSR"/>
    <s v="SUZUKI V-STROM M.Y. 2014"/>
    <n v="470.66"/>
    <n v="522.95000000000005"/>
    <s v="&lt;p&gt;STEEL RACING SILENCER WITH REMOVABLE DB KILLER&lt;/p&gt;_x000a_&lt;p&gt;CARBON ENDCAP&lt;/p&gt;_x000a_&lt;p&gt;ORIGINAL SILENCER WEIGHT: KG 5.6&lt;br&gt;ZARD STEEL SILENCER WEIGHT: KG 3.1&lt;br&gt;ZARD TITANIUM SILENCER WEIGHT: KG 2.8&lt;/p&gt;_x000a_&lt;p&gt;HARD INCREASE, COMPARED TO THE ORIGINAL EXHAUST SYSTEM, IN TERMS OF TORQUE AND POWER AT ANY RANGE.&lt;/p&gt;_x000a_&lt;p&gt;ASTONISHING SOUND.&lt;/p&gt;"/>
    <m/>
    <s v="EURO 3 HOMOLOGATED"/>
    <n v="18.440000000000001"/>
  </r>
  <r>
    <s v="1586058976-10020"/>
    <s v="https://shop.officineitalianezard.it/en/products/"/>
    <m/>
    <s v="https://shop.officineitalianezard.it/en/suzuki-zard-exhaust/"/>
    <s v="V-STROM 1000 M.Y. 2014"/>
    <s v="https://shop.officineitalianezard.it/en/sukuzi-v-strom-1000-m-y-2014-exhaust/"/>
    <s v="PENTA-R VERSION"/>
    <x v="19"/>
    <s v="SILENCER"/>
    <s v="ZS203SSR"/>
    <s v="SUZUKI V-STROM M.Y. 2014"/>
    <n v="470.66"/>
    <n v="522.95000000000005"/>
    <s v="&lt;p&gt;STEEL RACING SILENCER WITH REMOVABLE DB KILLER&lt;/p&gt;_x000a_&lt;p&gt;CARBON ENDCAP&lt;/p&gt;_x000a_&lt;p&gt;ORIGINAL SILENCER WEIGHT: KG 5.6&lt;br&gt;ZARD STEEL SILENCER WEIGHT: KG 3.1&lt;br&gt;ZARD TITANIUM SILENCER WEIGHT: KG 2.8&lt;/p&gt;_x000a_&lt;p&gt;HARD INCREASE, COMPARED TO THE ORIGINAL EXHAUST SYSTEM, IN TERMS OF TORQUE AND POWER AT ANY RANGE.&lt;/p&gt;_x000a_&lt;p&gt;ASTONISHING SOUND.&lt;/p&gt;"/>
    <m/>
    <s v="RACING TITANIUM"/>
    <n v="81.150000000000006"/>
  </r>
  <r>
    <s v="1586058976-10021"/>
    <s v="https://shop.officineitalianezard.it/en/products/"/>
    <m/>
    <s v="https://shop.officineitalianezard.it/en/suzuki-zard-exhaust/"/>
    <s v="V-STROM 1000 M.Y. 2014"/>
    <s v="https://shop.officineitalianezard.it/en/sukuzi-v-strom-1000-m-y-2014-exhaust/"/>
    <s v="PENTA-R VERSION"/>
    <x v="19"/>
    <s v="SILENCER"/>
    <s v="ZS203SSR"/>
    <s v="SUZUKI V-STROM M.Y. 2014"/>
    <n v="470.66"/>
    <n v="522.95000000000005"/>
    <s v="&lt;p&gt;STEEL RACING SILENCER WITH REMOVABLE DB KILLER&lt;/p&gt;_x000a_&lt;p&gt;CARBON ENDCAP&lt;/p&gt;_x000a_&lt;p&gt;ORIGINAL SILENCER WEIGHT: KG 5.6&lt;br&gt;ZARD STEEL SILENCER WEIGHT: KG 3.1&lt;br&gt;ZARD TITANIUM SILENCER WEIGHT: KG 2.8&lt;/p&gt;_x000a_&lt;p&gt;HARD INCREASE, COMPARED TO THE ORIGINAL EXHAUST SYSTEM, IN TERMS OF TORQUE AND POWER AT ANY RANGE.&lt;/p&gt;_x000a_&lt;p&gt;ASTONISHING SOUND.&lt;/p&gt;"/>
    <m/>
    <s v="HOMOLOGATED TITANIUM"/>
    <n v="100.33"/>
  </r>
  <r>
    <s v="1586058976-10022"/>
    <s v="https://shop.officineitalianezard.it/en/products/"/>
    <m/>
    <s v="https://shop.officineitalianezard.it/en/suzuki-zard-exhaust/"/>
    <s v="V-STROM 1000 M.Y. 2014"/>
    <s v="https://shop.officineitalianezard.it/en/sukuzi-v-strom-1000-m-y-2014-exhaust/"/>
    <s v="PENTA-R VERSION"/>
    <x v="19"/>
    <s v="SILENCER"/>
    <s v="ZS203SSR"/>
    <s v="SUZUKI V-STROM M.Y. 2014"/>
    <n v="470.66"/>
    <n v="522.95000000000005"/>
    <s v="&lt;p&gt;STEEL RACING SILENCER WITH REMOVABLE DB KILLER&lt;/p&gt;_x000a_&lt;p&gt;CARBON ENDCAP&lt;/p&gt;_x000a_&lt;p&gt;ORIGINAL SILENCER WEIGHT: KG 5.6&lt;br&gt;ZARD STEEL SILENCER WEIGHT: KG 3.1&lt;br&gt;ZARD TITANIUM SILENCER WEIGHT: KG 2.8&lt;/p&gt;_x000a_&lt;p&gt;HARD INCREASE, COMPARED TO THE ORIGINAL EXHAUST SYSTEM, IN TERMS OF TORQUE AND POWER AT ANY RANGE.&lt;/p&gt;_x000a_&lt;p&gt;ASTONISHING SOUND.&lt;/p&gt;"/>
    <m/>
    <s v="RACING CARBON VERSION"/>
    <n v="99.59"/>
  </r>
  <r>
    <s v="1586058976-10023"/>
    <s v="https://shop.officineitalianezard.it/en/products/"/>
    <m/>
    <s v="https://shop.officineitalianezard.it/en/suzuki-zard-exhaust/"/>
    <s v="V-STROM 1000 M.Y. 2014"/>
    <s v="https://shop.officineitalianezard.it/en/sukuzi-v-strom-1000-m-y-2014-exhaust/"/>
    <s v="PENTA-R VERSION"/>
    <x v="19"/>
    <s v="SILENCER"/>
    <s v="ZS203SSR"/>
    <s v="SUZUKI V-STROM M.Y. 2014"/>
    <n v="470.66"/>
    <n v="522.95000000000005"/>
    <s v="&lt;p&gt;STEEL RACING SILENCER WITH REMOVABLE DB KILLER&lt;/p&gt;_x000a_&lt;p&gt;CARBON ENDCAP&lt;/p&gt;_x000a_&lt;p&gt;ORIGINAL SILENCER WEIGHT: KG 5.6&lt;br&gt;ZARD STEEL SILENCER WEIGHT: KG 3.1&lt;br&gt;ZARD TITANIUM SILENCER WEIGHT: KG 2.8&lt;/p&gt;_x000a_&lt;p&gt;HARD INCREASE, COMPARED TO THE ORIGINAL EXHAUST SYSTEM, IN TERMS OF TORQUE AND POWER AT ANY RANGE.&lt;/p&gt;_x000a_&lt;p&gt;ASTONISHING SOUND.&lt;/p&gt;"/>
    <m/>
    <s v="HOMOLOGATED CARBON VERSION"/>
    <n v="104.75"/>
  </r>
  <r>
    <s v="1586058983-10024"/>
    <s v="https://shop.officineitalianezard.it/en/products/"/>
    <m/>
    <s v="https://shop.officineitalianezard.it/en/royal-enfield-zard-exhaust/"/>
    <s v="CONTINENTAL GT"/>
    <s v="https://shop.officineitalianezard.it/en/royal-enfield-continental-gt-exhaust/"/>
    <s v="STEEL VERSION"/>
    <x v="20"/>
    <s v="FULL KIT"/>
    <s v="ZRE534SKR"/>
    <s v="ROYAL ENFIELD"/>
    <n v="493.52"/>
    <n v="548.36"/>
    <s v="&lt;p&gt;STEEL RACING FULL KIT WITH REMOVABLE DB KILLER&lt;/p&gt;_x000a_&lt;p&gt;ORIGINAL KIT WEIGHT: 9.2 KG&lt;br&gt;ZARD KIT WEIGHT: 2.7 KG&lt;/p&gt;_x000a_&lt;p&gt;ASTONISHING SOUND,&amp;nbsp;EXCLUSIVE DESIGN.&lt;/p&gt;_x000a_&lt;p&gt;FITTING KIT INCLUDED.&lt;/p&gt;"/>
    <s v="https://shop.officineitalianezard.it/contents/imgs/products/1_1398-1.jpg"/>
    <m/>
    <m/>
  </r>
  <r>
    <s v="1586058983-10025"/>
    <s v="https://shop.officineitalianezard.it/en/products/"/>
    <m/>
    <s v="https://shop.officineitalianezard.it/en/royal-enfield-zard-exhaust/"/>
    <s v="CONTINENTAL GT"/>
    <s v="https://shop.officineitalianezard.it/en/royal-enfield-continental-gt-exhaust/"/>
    <s v="STEEL VERSION"/>
    <x v="20"/>
    <s v="FULL KIT"/>
    <s v="ZRE534SKR"/>
    <s v="ROYAL ENFIELD"/>
    <n v="493.52"/>
    <n v="548.36"/>
    <s v="&lt;p&gt;STEEL RACING FULL KIT WITH REMOVABLE DB KILLER&lt;/p&gt;_x000a_&lt;p&gt;ORIGINAL KIT WEIGHT: 9.2 KG&lt;br&gt;ZARD KIT WEIGHT: 2.7 KG&lt;/p&gt;_x000a_&lt;p&gt;ASTONISHING SOUND,&amp;nbsp;EXCLUSIVE DESIGN.&lt;/p&gt;_x000a_&lt;p&gt;FITTING KIT INCLUDED.&lt;/p&gt;"/>
    <s v="https://shop.officineitalianezard.it/contents/imgs/products/1_1399-2.jpg"/>
    <m/>
    <m/>
  </r>
  <r>
    <s v="1586058983-10026"/>
    <s v="https://shop.officineitalianezard.it/en/products/"/>
    <m/>
    <s v="https://shop.officineitalianezard.it/en/royal-enfield-zard-exhaust/"/>
    <s v="CONTINENTAL GT"/>
    <s v="https://shop.officineitalianezard.it/en/royal-enfield-continental-gt-exhaust/"/>
    <s v="STEEL VERSION"/>
    <x v="20"/>
    <s v="FULL KIT"/>
    <s v="ZRE534SKR"/>
    <s v="ROYAL ENFIELD"/>
    <n v="493.52"/>
    <n v="548.36"/>
    <s v="&lt;p&gt;STEEL RACING FULL KIT WITH REMOVABLE DB KILLER&lt;/p&gt;_x000a_&lt;p&gt;ORIGINAL KIT WEIGHT: 9.2 KG&lt;br&gt;ZARD KIT WEIGHT: 2.7 KG&lt;/p&gt;_x000a_&lt;p&gt;ASTONISHING SOUND,&amp;nbsp;EXCLUSIVE DESIGN.&lt;/p&gt;_x000a_&lt;p&gt;FITTING KIT INCLUDED.&lt;/p&gt;"/>
    <s v="https://shop.officineitalianezard.it/contents/imgs/products/1_1400-3.jpg"/>
    <m/>
    <m/>
  </r>
  <r>
    <s v="1586058983-10027"/>
    <s v="https://shop.officineitalianezard.it/en/products/"/>
    <m/>
    <s v="https://shop.officineitalianezard.it/en/royal-enfield-zard-exhaust/"/>
    <s v="CONTINENTAL GT"/>
    <s v="https://shop.officineitalianezard.it/en/royal-enfield-continental-gt-exhaust/"/>
    <s v="STEEL VERSION"/>
    <x v="20"/>
    <s v="FULL KIT"/>
    <s v="ZRE534SKR"/>
    <s v="ROYAL ENFIELD"/>
    <n v="493.52"/>
    <n v="548.36"/>
    <s v="&lt;p&gt;STEEL RACING FULL KIT WITH REMOVABLE DB KILLER&lt;/p&gt;_x000a_&lt;p&gt;ORIGINAL KIT WEIGHT: 9.2 KG&lt;br&gt;ZARD KIT WEIGHT: 2.7 KG&lt;/p&gt;_x000a_&lt;p&gt;ASTONISHING SOUND,&amp;nbsp;EXCLUSIVE DESIGN.&lt;/p&gt;_x000a_&lt;p&gt;FITTING KIT INCLUDED.&lt;/p&gt;"/>
    <m/>
    <s v="BLACK COATING"/>
    <n v="123.2"/>
  </r>
  <r>
    <s v="1586058983-10028"/>
    <s v="https://shop.officineitalianezard.it/en/products/"/>
    <m/>
    <s v="https://shop.officineitalianezard.it/en/royal-enfield-zard-exhaust/"/>
    <s v="CONTINENTAL GT"/>
    <s v="https://shop.officineitalianezard.it/en/royal-enfield-continental-gt-exhaust/"/>
    <s v="STEEL VERSION"/>
    <x v="20"/>
    <s v="FULL KIT"/>
    <s v="ZRE534SKR"/>
    <s v="ROYAL ENFIELD"/>
    <n v="493.52"/>
    <n v="548.36"/>
    <s v="&lt;p&gt;STEEL RACING FULL KIT WITH REMOVABLE DB KILLER&lt;/p&gt;_x000a_&lt;p&gt;ORIGINAL KIT WEIGHT: 9.2 KG&lt;br&gt;ZARD KIT WEIGHT: 2.7 KG&lt;/p&gt;_x000a_&lt;p&gt;ASTONISHING SOUND,&amp;nbsp;EXCLUSIVE DESIGN.&lt;/p&gt;_x000a_&lt;p&gt;FITTING KIT INCLUDED.&lt;/p&gt;"/>
    <m/>
    <s v="MIRROR POLISHED"/>
    <n v="65.66"/>
  </r>
  <r>
    <s v="1586058987-10029"/>
    <s v="https://shop.officineitalianezard.it/en/products/"/>
    <m/>
    <s v="https://shop.officineitalianezard.it/en/royal-enfield-zard-exhaust/"/>
    <s v="BULLET TRIALS 500 M.Y. 2019"/>
    <s v="https://shop.officineitalianezard.it/en/royal-enfield-bullet-trials-500-zard-exhaust/"/>
    <s v="LIMITED EDITION"/>
    <x v="21"/>
    <s v="SLIP-ON"/>
    <s v="ZRE540SSR"/>
    <s v="ROYAL ENFIELD BULLET TRIALS 500 M.Y. 2019"/>
    <n v="560.66"/>
    <n v="622.95000000000005"/>
    <s v="&lt;p&gt;&lt;strong&gt;&lt;/strong&gt;STAINLESS STEEL SLIP-ON WITH REMOVABLE DB-KILLERS.&lt;/p&gt;_x000a_&lt;p&gt;ORIGINAL EXHAUST WEIGHT: 6.1 KG&lt;br&gt;ZARD EXHAUST WEIGHT: 2.5 KG&lt;/p&gt;_x000a_&lt;p&gt;HARD&amp;nbsp;INCREASE, COMPARED TO THE ORIGINAL&lt;br&gt;EXHAUST SYSTEM, ASTONISHING SOUND.&lt;/p&gt;_x000a_&lt;p&gt;THE INSTALLATION OF ZARD EXHAUST DOES NOT&lt;br&gt;IMPLY ANY MODIFICATION TO ECU.&lt;/p&gt;"/>
    <s v="https://shop.officineitalianezard.it/contents/imgs/products/1_2626-scarico%20royal%20enfield%20bullet%20trials%20500%20-%20zard%201.jpg"/>
    <m/>
    <m/>
  </r>
  <r>
    <s v="1586058987-10030"/>
    <s v="https://shop.officineitalianezard.it/en/products/"/>
    <m/>
    <s v="https://shop.officineitalianezard.it/en/royal-enfield-zard-exhaust/"/>
    <s v="BULLET TRIALS 500 M.Y. 2019"/>
    <s v="https://shop.officineitalianezard.it/en/royal-enfield-bullet-trials-500-zard-exhaust/"/>
    <s v="LIMITED EDITION"/>
    <x v="21"/>
    <s v="SLIP-ON"/>
    <s v="ZRE540SSR"/>
    <s v="ROYAL ENFIELD BULLET TRIALS 500 M.Y. 2019"/>
    <n v="560.66"/>
    <n v="622.95000000000005"/>
    <s v="&lt;p&gt;&lt;strong&gt;&lt;/strong&gt;STAINLESS STEEL SLIP-ON WITH REMOVABLE DB-KILLERS.&lt;/p&gt;_x000a_&lt;p&gt;ORIGINAL EXHAUST WEIGHT: 6.1 KG&lt;br&gt;ZARD EXHAUST WEIGHT: 2.5 KG&lt;/p&gt;_x000a_&lt;p&gt;HARD&amp;nbsp;INCREASE, COMPARED TO THE ORIGINAL&lt;br&gt;EXHAUST SYSTEM, ASTONISHING SOUND.&lt;/p&gt;_x000a_&lt;p&gt;THE INSTALLATION OF ZARD EXHAUST DOES NOT&lt;br&gt;IMPLY ANY MODIFICATION TO ECU.&lt;/p&gt;"/>
    <s v="https://shop.officineitalianezard.it/contents/imgs/products/1_2627-scarico%20royal%20enfield%20bullet%20trials%20500%20-%20zard%202.jpg"/>
    <m/>
    <m/>
  </r>
  <r>
    <s v="1586058987-10031"/>
    <s v="https://shop.officineitalianezard.it/en/products/"/>
    <m/>
    <s v="https://shop.officineitalianezard.it/en/royal-enfield-zard-exhaust/"/>
    <s v="BULLET TRIALS 500 M.Y. 2019"/>
    <s v="https://shop.officineitalianezard.it/en/royal-enfield-bullet-trials-500-zard-exhaust/"/>
    <s v="LIMITED EDITION"/>
    <x v="21"/>
    <s v="SLIP-ON"/>
    <s v="ZRE540SSR"/>
    <s v="ROYAL ENFIELD BULLET TRIALS 500 M.Y. 2019"/>
    <n v="560.66"/>
    <n v="622.95000000000005"/>
    <s v="&lt;p&gt;&lt;strong&gt;&lt;/strong&gt;STAINLESS STEEL SLIP-ON WITH REMOVABLE DB-KILLERS.&lt;/p&gt;_x000a_&lt;p&gt;ORIGINAL EXHAUST WEIGHT: 6.1 KG&lt;br&gt;ZARD EXHAUST WEIGHT: 2.5 KG&lt;/p&gt;_x000a_&lt;p&gt;HARD&amp;nbsp;INCREASE, COMPARED TO THE ORIGINAL&lt;br&gt;EXHAUST SYSTEM, ASTONISHING SOUND.&lt;/p&gt;_x000a_&lt;p&gt;THE INSTALLATION OF ZARD EXHAUST DOES NOT&lt;br&gt;IMPLY ANY MODIFICATION TO ECU.&lt;/p&gt;"/>
    <s v="https://shop.officineitalianezard.it/contents/imgs/products/1_2628-scarico%20royal%20enfield%20bullet%20trials%20500%20-%20zard%203.jpg"/>
    <m/>
    <m/>
  </r>
  <r>
    <s v="1586058987-10032"/>
    <s v="https://shop.officineitalianezard.it/en/products/"/>
    <m/>
    <s v="https://shop.officineitalianezard.it/en/royal-enfield-zard-exhaust/"/>
    <s v="BULLET TRIALS 500 M.Y. 2019"/>
    <s v="https://shop.officineitalianezard.it/en/royal-enfield-bullet-trials-500-zard-exhaust/"/>
    <s v="LIMITED EDITION"/>
    <x v="21"/>
    <s v="SLIP-ON"/>
    <s v="ZRE540SSR"/>
    <s v="ROYAL ENFIELD BULLET TRIALS 500 M.Y. 2019"/>
    <n v="560.66"/>
    <n v="622.95000000000005"/>
    <s v="&lt;p&gt;&lt;strong&gt;&lt;/strong&gt;STAINLESS STEEL SLIP-ON WITH REMOVABLE DB-KILLERS.&lt;/p&gt;_x000a_&lt;p&gt;ORIGINAL EXHAUST WEIGHT: 6.1 KG&lt;br&gt;ZARD EXHAUST WEIGHT: 2.5 KG&lt;/p&gt;_x000a_&lt;p&gt;HARD&amp;nbsp;INCREASE, COMPARED TO THE ORIGINAL&lt;br&gt;EXHAUST SYSTEM, ASTONISHING SOUND.&lt;/p&gt;_x000a_&lt;p&gt;THE INSTALLATION OF ZARD EXHAUST DOES NOT&lt;br&gt;IMPLY ANY MODIFICATION TO ECU.&lt;/p&gt;"/>
    <s v="https://shop.officineitalianezard.it/contents/imgs/products/1_2629-scarico%20royal%20enfield%20bullet%20trials%20500%20-%20zard%204.jpg"/>
    <m/>
    <m/>
  </r>
  <r>
    <s v="1586058993-10033"/>
    <s v="https://shop.officineitalianezard.it/en/products/"/>
    <m/>
    <s v="https://shop.officineitalianezard.it/en/royal-enfield-zard-exhaust/"/>
    <s v="HIMALAYAN M.Y. 2019"/>
    <s v="https://shop.officineitalianezard.it/en/royal-enfield-himalayan-zard-exhaust/"/>
    <s v="HIGH MOUNT VERSION"/>
    <x v="22"/>
    <s v="PENTA SLIP-ON"/>
    <s v="ZRE538SSR"/>
    <s v="ROYAL ENFIELD HIMALAYAN M.Y 2019"/>
    <n v="472.13"/>
    <n v="524.59"/>
    <s v="&lt;p&gt;&lt;strong&gt;&lt;/strong&gt;STAINLESS STEEL SLIP-ON WITH REMOVABLE DB-KILLER.&lt;/p&gt;_x000a_&lt;p&gt;ALUMINIUM SLEEVE&amp;nbsp;WITH CARBON&amp;nbsp;PARTS.&lt;/p&gt;_x000a_&lt;p&gt;ORIGINAL EXHAUST WEIGHT: 4.9 KG&lt;br&gt;ZARD EXHAUST WEIGHT: 2.8 KG&lt;/p&gt;_x000a_&lt;p&gt;&lt;span&gt;SIGNIFICANT&amp;nbsp;INCREASE, COMPARED TO THE ORIGINAL&lt;br&gt;&lt;/span&gt;&lt;span&gt;EXHAUST SYSTEM,&amp;nbsp;&lt;/span&gt;&lt;span&gt;ASTONISHING SOUND.&lt;/span&gt;&lt;/p&gt;_x000a_&lt;p&gt;&lt;span&gt;THE INSTALLATION OF ZARD EXHAUST DOES NOT&lt;/span&gt;&lt;br&gt;&lt;span&gt;IMPLY ANY MODIFICATION TO ECU.&lt;/span&gt;&lt;/p&gt;"/>
    <s v="https://shop.officineitalianezard.it/contents/imgs/products/1_2617-scarico%20royal%20enfield%20himalayan%20-%20zard%201.jpg"/>
    <m/>
    <m/>
  </r>
  <r>
    <s v="1586058993-10034"/>
    <s v="https://shop.officineitalianezard.it/en/products/"/>
    <m/>
    <s v="https://shop.officineitalianezard.it/en/royal-enfield-zard-exhaust/"/>
    <s v="HIMALAYAN M.Y. 2019"/>
    <s v="https://shop.officineitalianezard.it/en/royal-enfield-himalayan-zard-exhaust/"/>
    <s v="HIGH MOUNT VERSION"/>
    <x v="22"/>
    <s v="PENTA SLIP-ON"/>
    <s v="ZRE538SSR"/>
    <s v="ROYAL ENFIELD HIMALAYAN M.Y 2019"/>
    <n v="472.13"/>
    <n v="524.59"/>
    <s v="&lt;p&gt;&lt;strong&gt;&lt;/strong&gt;STAINLESS STEEL SLIP-ON WITH REMOVABLE DB-KILLER.&lt;/p&gt;_x000a_&lt;p&gt;ALUMINIUM SLEEVE&amp;nbsp;WITH CARBON&amp;nbsp;PARTS.&lt;/p&gt;_x000a_&lt;p&gt;ORIGINAL EXHAUST WEIGHT: 4.9 KG&lt;br&gt;ZARD EXHAUST WEIGHT: 2.8 KG&lt;/p&gt;_x000a_&lt;p&gt;&lt;span&gt;SIGNIFICANT&amp;nbsp;INCREASE, COMPARED TO THE ORIGINAL&lt;br&gt;&lt;/span&gt;&lt;span&gt;EXHAUST SYSTEM,&amp;nbsp;&lt;/span&gt;&lt;span&gt;ASTONISHING SOUND.&lt;/span&gt;&lt;/p&gt;_x000a_&lt;p&gt;&lt;span&gt;THE INSTALLATION OF ZARD EXHAUST DOES NOT&lt;/span&gt;&lt;br&gt;&lt;span&gt;IMPLY ANY MODIFICATION TO ECU.&lt;/span&gt;&lt;/p&gt;"/>
    <s v="https://shop.officineitalianezard.it/contents/imgs/products/1_2618-scarico%20royal%20enfield%20himalayan%20-%20zard%202.jpg"/>
    <m/>
    <m/>
  </r>
  <r>
    <s v="1586058993-10035"/>
    <s v="https://shop.officineitalianezard.it/en/products/"/>
    <m/>
    <s v="https://shop.officineitalianezard.it/en/royal-enfield-zard-exhaust/"/>
    <s v="HIMALAYAN M.Y. 2019"/>
    <s v="https://shop.officineitalianezard.it/en/royal-enfield-himalayan-zard-exhaust/"/>
    <s v="HIGH MOUNT VERSION"/>
    <x v="22"/>
    <s v="PENTA SLIP-ON"/>
    <s v="ZRE538SSR"/>
    <s v="ROYAL ENFIELD HIMALAYAN M.Y 2019"/>
    <n v="472.13"/>
    <n v="524.59"/>
    <s v="&lt;p&gt;&lt;strong&gt;&lt;/strong&gt;STAINLESS STEEL SLIP-ON WITH REMOVABLE DB-KILLER.&lt;/p&gt;_x000a_&lt;p&gt;ALUMINIUM SLEEVE&amp;nbsp;WITH CARBON&amp;nbsp;PARTS.&lt;/p&gt;_x000a_&lt;p&gt;ORIGINAL EXHAUST WEIGHT: 4.9 KG&lt;br&gt;ZARD EXHAUST WEIGHT: 2.8 KG&lt;/p&gt;_x000a_&lt;p&gt;&lt;span&gt;SIGNIFICANT&amp;nbsp;INCREASE, COMPARED TO THE ORIGINAL&lt;br&gt;&lt;/span&gt;&lt;span&gt;EXHAUST SYSTEM,&amp;nbsp;&lt;/span&gt;&lt;span&gt;ASTONISHING SOUND.&lt;/span&gt;&lt;/p&gt;_x000a_&lt;p&gt;&lt;span&gt;THE INSTALLATION OF ZARD EXHAUST DOES NOT&lt;/span&gt;&lt;br&gt;&lt;span&gt;IMPLY ANY MODIFICATION TO ECU.&lt;/span&gt;&lt;/p&gt;"/>
    <s v="https://shop.officineitalianezard.it/contents/imgs/products/1_2619-scarico%20royal%20enfield%20himalayan%20-%20zard%203.jpg"/>
    <m/>
    <m/>
  </r>
  <r>
    <s v="1586058993-10036"/>
    <s v="https://shop.officineitalianezard.it/en/products/"/>
    <m/>
    <s v="https://shop.officineitalianezard.it/en/royal-enfield-zard-exhaust/"/>
    <s v="HIMALAYAN M.Y. 2019"/>
    <s v="https://shop.officineitalianezard.it/en/royal-enfield-himalayan-zard-exhaust/"/>
    <s v="HIGH MOUNT VERSION"/>
    <x v="22"/>
    <s v="PENTA SLIP-ON"/>
    <s v="ZRE538SSR"/>
    <s v="ROYAL ENFIELD HIMALAYAN M.Y 2019"/>
    <n v="472.13"/>
    <n v="524.59"/>
    <s v="&lt;p&gt;&lt;strong&gt;&lt;/strong&gt;STAINLESS STEEL SLIP-ON WITH REMOVABLE DB-KILLER.&lt;/p&gt;_x000a_&lt;p&gt;ALUMINIUM SLEEVE&amp;nbsp;WITH CARBON&amp;nbsp;PARTS.&lt;/p&gt;_x000a_&lt;p&gt;ORIGINAL EXHAUST WEIGHT: 4.9 KG&lt;br&gt;ZARD EXHAUST WEIGHT: 2.8 KG&lt;/p&gt;_x000a_&lt;p&gt;&lt;span&gt;SIGNIFICANT&amp;nbsp;INCREASE, COMPARED TO THE ORIGINAL&lt;br&gt;&lt;/span&gt;&lt;span&gt;EXHAUST SYSTEM,&amp;nbsp;&lt;/span&gt;&lt;span&gt;ASTONISHING SOUND.&lt;/span&gt;&lt;/p&gt;_x000a_&lt;p&gt;&lt;span&gt;THE INSTALLATION OF ZARD EXHAUST DOES NOT&lt;/span&gt;&lt;br&gt;&lt;span&gt;IMPLY ANY MODIFICATION TO ECU.&lt;/span&gt;&lt;/p&gt;"/>
    <m/>
    <s v="EURO 4 HOMOLOGATED"/>
    <n v="29.51"/>
  </r>
  <r>
    <s v="1586058995-10037"/>
    <s v="https://shop.officineitalianezard.it/en/products/"/>
    <m/>
    <s v="https://shop.officineitalianezard.it/en/royal-enfield-zard-exhaust/"/>
    <s v="HIMALAYAN M.Y. 2019"/>
    <s v="https://shop.officineitalianezard.it/en/royal-enfield-himalayan-zard-exhaust/"/>
    <s v="LOW MOUNT VERSION"/>
    <x v="23"/>
    <s v="PENTA SLIP-ON"/>
    <s v="ZRE535SSR"/>
    <s v="ROYAL ENFIELD HIMALAYAN M.Y 2019"/>
    <n v="376.23"/>
    <n v="418.03"/>
    <s v="&lt;p&gt;STAINLESS STEEL SLIP-ON WITH REMOVABLE DB-KILLER.&lt;/p&gt;_x000a_&lt;p&gt;ALUMINIUM SLEEVE&amp;nbsp;WITH CARBON&amp;nbsp;PARTS.&lt;/p&gt;_x000a_&lt;p&gt;ORIGINAL EXHAUST WEIGHT: 4.9 KG&lt;br&gt;ZARD EXHAUST WEIGHT: 2.2 KG&lt;/p&gt;_x000a_&lt;p&gt;&lt;span&gt;SIGNIFICANT&amp;nbsp;INCREASE, COMPARED TO THE ORIGINAL&lt;br&gt;&lt;/span&gt;&lt;span&gt;EXHAUST SYSTEM,&amp;nbsp;&lt;/span&gt;&lt;span&gt;ASTONISHING SOUND.&lt;/span&gt;&lt;/p&gt;_x000a_&lt;p&gt;&lt;span&gt;THE INSTALLATION OF ZARD EXHAUST DOES NOT&lt;/span&gt;&lt;br&gt;&lt;span&gt;IMPLY ANY MODIFICATION TO ECU.&lt;/span&gt;&lt;/p&gt;"/>
    <s v="https://shop.officineitalianezard.it/contents/imgs/products/1_2623-scarichi%20royal%20enfield%20himalayan%20zard%20-%201.jpg"/>
    <m/>
    <m/>
  </r>
  <r>
    <s v="1586058995-10038"/>
    <s v="https://shop.officineitalianezard.it/en/products/"/>
    <m/>
    <s v="https://shop.officineitalianezard.it/en/royal-enfield-zard-exhaust/"/>
    <s v="HIMALAYAN M.Y. 2019"/>
    <s v="https://shop.officineitalianezard.it/en/royal-enfield-himalayan-zard-exhaust/"/>
    <s v="LOW MOUNT VERSION"/>
    <x v="23"/>
    <s v="PENTA SLIP-ON"/>
    <s v="ZRE535SSR"/>
    <s v="ROYAL ENFIELD HIMALAYAN M.Y 2019"/>
    <n v="376.23"/>
    <n v="418.03"/>
    <s v="&lt;p&gt;STAINLESS STEEL SLIP-ON WITH REMOVABLE DB-KILLER.&lt;/p&gt;_x000a_&lt;p&gt;ALUMINIUM SLEEVE&amp;nbsp;WITH CARBON&amp;nbsp;PARTS.&lt;/p&gt;_x000a_&lt;p&gt;ORIGINAL EXHAUST WEIGHT: 4.9 KG&lt;br&gt;ZARD EXHAUST WEIGHT: 2.2 KG&lt;/p&gt;_x000a_&lt;p&gt;&lt;span&gt;SIGNIFICANT&amp;nbsp;INCREASE, COMPARED TO THE ORIGINAL&lt;br&gt;&lt;/span&gt;&lt;span&gt;EXHAUST SYSTEM,&amp;nbsp;&lt;/span&gt;&lt;span&gt;ASTONISHING SOUND.&lt;/span&gt;&lt;/p&gt;_x000a_&lt;p&gt;&lt;span&gt;THE INSTALLATION OF ZARD EXHAUST DOES NOT&lt;/span&gt;&lt;br&gt;&lt;span&gt;IMPLY ANY MODIFICATION TO ECU.&lt;/span&gt;&lt;/p&gt;"/>
    <s v="https://shop.officineitalianezard.it/contents/imgs/products/1_2624-scarichi%20royal%20enfield%20himalayan%20zard%20-%202.jpg"/>
    <m/>
    <m/>
  </r>
  <r>
    <s v="1586058995-10039"/>
    <s v="https://shop.officineitalianezard.it/en/products/"/>
    <m/>
    <s v="https://shop.officineitalianezard.it/en/royal-enfield-zard-exhaust/"/>
    <s v="HIMALAYAN M.Y. 2019"/>
    <s v="https://shop.officineitalianezard.it/en/royal-enfield-himalayan-zard-exhaust/"/>
    <s v="LOW MOUNT VERSION"/>
    <x v="23"/>
    <s v="PENTA SLIP-ON"/>
    <s v="ZRE535SSR"/>
    <s v="ROYAL ENFIELD HIMALAYAN M.Y 2019"/>
    <n v="376.23"/>
    <n v="418.03"/>
    <s v="&lt;p&gt;STAINLESS STEEL SLIP-ON WITH REMOVABLE DB-KILLER.&lt;/p&gt;_x000a_&lt;p&gt;ALUMINIUM SLEEVE&amp;nbsp;WITH CARBON&amp;nbsp;PARTS.&lt;/p&gt;_x000a_&lt;p&gt;ORIGINAL EXHAUST WEIGHT: 4.9 KG&lt;br&gt;ZARD EXHAUST WEIGHT: 2.2 KG&lt;/p&gt;_x000a_&lt;p&gt;&lt;span&gt;SIGNIFICANT&amp;nbsp;INCREASE, COMPARED TO THE ORIGINAL&lt;br&gt;&lt;/span&gt;&lt;span&gt;EXHAUST SYSTEM,&amp;nbsp;&lt;/span&gt;&lt;span&gt;ASTONISHING SOUND.&lt;/span&gt;&lt;/p&gt;_x000a_&lt;p&gt;&lt;span&gt;THE INSTALLATION OF ZARD EXHAUST DOES NOT&lt;/span&gt;&lt;br&gt;&lt;span&gt;IMPLY ANY MODIFICATION TO ECU.&lt;/span&gt;&lt;/p&gt;"/>
    <s v="https://shop.officineitalianezard.it/contents/imgs/products/1_2625-scarichi%20royal%20enfield%20himalayan%20zard%20-%203.jpg"/>
    <m/>
    <m/>
  </r>
  <r>
    <s v="1586058995-10040"/>
    <s v="https://shop.officineitalianezard.it/en/products/"/>
    <m/>
    <s v="https://shop.officineitalianezard.it/en/royal-enfield-zard-exhaust/"/>
    <s v="HIMALAYAN M.Y. 2019"/>
    <s v="https://shop.officineitalianezard.it/en/royal-enfield-himalayan-zard-exhaust/"/>
    <s v="LOW MOUNT VERSION"/>
    <x v="23"/>
    <s v="PENTA SLIP-ON"/>
    <s v="ZRE535SSR"/>
    <s v="ROYAL ENFIELD HIMALAYAN M.Y 2019"/>
    <n v="376.23"/>
    <n v="418.03"/>
    <s v="&lt;p&gt;STAINLESS STEEL SLIP-ON WITH REMOVABLE DB-KILLER.&lt;/p&gt;_x000a_&lt;p&gt;ALUMINIUM SLEEVE&amp;nbsp;WITH CARBON&amp;nbsp;PARTS.&lt;/p&gt;_x000a_&lt;p&gt;ORIGINAL EXHAUST WEIGHT: 4.9 KG&lt;br&gt;ZARD EXHAUST WEIGHT: 2.2 KG&lt;/p&gt;_x000a_&lt;p&gt;&lt;span&gt;SIGNIFICANT&amp;nbsp;INCREASE, COMPARED TO THE ORIGINAL&lt;br&gt;&lt;/span&gt;&lt;span&gt;EXHAUST SYSTEM,&amp;nbsp;&lt;/span&gt;&lt;span&gt;ASTONISHING SOUND.&lt;/span&gt;&lt;/p&gt;_x000a_&lt;p&gt;&lt;span&gt;THE INSTALLATION OF ZARD EXHAUST DOES NOT&lt;/span&gt;&lt;br&gt;&lt;span&gt;IMPLY ANY MODIFICATION TO ECU.&lt;/span&gt;&lt;/p&gt;"/>
    <m/>
    <s v="EURO 4 HOMOLOGATED"/>
    <n v="29.51"/>
  </r>
  <r>
    <s v="1586059001-10041"/>
    <s v="https://shop.officineitalianezard.it/en/products/"/>
    <m/>
    <s v="https://shop.officineitalianezard.it/en/royal-enfield-zard-exhaust/"/>
    <s v="CLASSIC M.Y. 2019"/>
    <s v="https://shop.officineitalianezard.it/en/royal-enfield-classic-zard-exhaust-2/"/>
    <s v="CONICAL VERSION"/>
    <x v="24"/>
    <s v="SLIP-ON"/>
    <s v="ZRE539SSR"/>
    <s v="ROYAL ENFIELD CLASSIC M.Y. 2019"/>
    <n v="390.98"/>
    <n v="434.43"/>
    <s v="&lt;p&gt;&lt;strong&gt;&lt;/strong&gt;STAINLESS STEEL SLIP-ON WITH REMOVABLE DB-KILLERS.&lt;/p&gt;_x000a_&lt;p&gt;ORIGINAL EXHAUST WEIGHT: 6.7 KG&lt;br&gt;ZARD EXHAUST WEIGHT: 3.1 KG&lt;/p&gt;_x000a_&lt;p&gt;HARD&amp;nbsp;INCREASE, COMPARED TO THE ORIGINAL&lt;br&gt;EXHAUST SYSTEM, ASTONISHING SOUND.&lt;/p&gt;_x000a_&lt;p&gt;THE INSTALLATION OF ZARD EXHAUST DOES NOT&lt;br&gt;IMPLY ANY MODIFICATION TO ECU.&lt;/p&gt;"/>
    <s v="https://shop.officineitalianezard.it/contents/imgs/products/1_2639-scarico%20royal%20enfield%20classic%20zard%20-%201.jpg"/>
    <m/>
    <m/>
  </r>
  <r>
    <s v="1586059001-10042"/>
    <s v="https://shop.officineitalianezard.it/en/products/"/>
    <m/>
    <s v="https://shop.officineitalianezard.it/en/royal-enfield-zard-exhaust/"/>
    <s v="CLASSIC M.Y. 2019"/>
    <s v="https://shop.officineitalianezard.it/en/royal-enfield-classic-zard-exhaust-2/"/>
    <s v="CONICAL VERSION"/>
    <x v="24"/>
    <s v="SLIP-ON"/>
    <s v="ZRE539SSR"/>
    <s v="ROYAL ENFIELD CLASSIC M.Y. 2019"/>
    <n v="390.98"/>
    <n v="434.43"/>
    <s v="&lt;p&gt;&lt;strong&gt;&lt;/strong&gt;STAINLESS STEEL SLIP-ON WITH REMOVABLE DB-KILLERS.&lt;/p&gt;_x000a_&lt;p&gt;ORIGINAL EXHAUST WEIGHT: 6.7 KG&lt;br&gt;ZARD EXHAUST WEIGHT: 3.1 KG&lt;/p&gt;_x000a_&lt;p&gt;HARD&amp;nbsp;INCREASE, COMPARED TO THE ORIGINAL&lt;br&gt;EXHAUST SYSTEM, ASTONISHING SOUND.&lt;/p&gt;_x000a_&lt;p&gt;THE INSTALLATION OF ZARD EXHAUST DOES NOT&lt;br&gt;IMPLY ANY MODIFICATION TO ECU.&lt;/p&gt;"/>
    <s v="https://shop.officineitalianezard.it/contents/imgs/products/1_2640-scarico%20royal%20enfield%20classic%20zard%20-%202.jpg"/>
    <m/>
    <m/>
  </r>
  <r>
    <s v="1586059001-10043"/>
    <s v="https://shop.officineitalianezard.it/en/products/"/>
    <m/>
    <s v="https://shop.officineitalianezard.it/en/royal-enfield-zard-exhaust/"/>
    <s v="CLASSIC M.Y. 2019"/>
    <s v="https://shop.officineitalianezard.it/en/royal-enfield-classic-zard-exhaust-2/"/>
    <s v="CONICAL VERSION"/>
    <x v="24"/>
    <s v="SLIP-ON"/>
    <s v="ZRE539SSR"/>
    <s v="ROYAL ENFIELD CLASSIC M.Y. 2019"/>
    <n v="390.98"/>
    <n v="434.43"/>
    <s v="&lt;p&gt;&lt;strong&gt;&lt;/strong&gt;STAINLESS STEEL SLIP-ON WITH REMOVABLE DB-KILLERS.&lt;/p&gt;_x000a_&lt;p&gt;ORIGINAL EXHAUST WEIGHT: 6.7 KG&lt;br&gt;ZARD EXHAUST WEIGHT: 3.1 KG&lt;/p&gt;_x000a_&lt;p&gt;HARD&amp;nbsp;INCREASE, COMPARED TO THE ORIGINAL&lt;br&gt;EXHAUST SYSTEM, ASTONISHING SOUND.&lt;/p&gt;_x000a_&lt;p&gt;THE INSTALLATION OF ZARD EXHAUST DOES NOT&lt;br&gt;IMPLY ANY MODIFICATION TO ECU.&lt;/p&gt;"/>
    <s v="https://shop.officineitalianezard.it/contents/imgs/products/1_2641-scarico%20royal%20enfield%20classic%20zard%20-%203.jpg"/>
    <m/>
    <m/>
  </r>
  <r>
    <s v="1586059001-10044"/>
    <s v="https://shop.officineitalianezard.it/en/products/"/>
    <m/>
    <s v="https://shop.officineitalianezard.it/en/royal-enfield-zard-exhaust/"/>
    <s v="CLASSIC M.Y. 2019"/>
    <s v="https://shop.officineitalianezard.it/en/royal-enfield-classic-zard-exhaust-2/"/>
    <s v="CONICAL VERSION"/>
    <x v="24"/>
    <s v="SLIP-ON"/>
    <s v="ZRE539SSR"/>
    <s v="ROYAL ENFIELD CLASSIC M.Y. 2019"/>
    <n v="390.98"/>
    <n v="434.43"/>
    <s v="&lt;p&gt;&lt;strong&gt;&lt;/strong&gt;STAINLESS STEEL SLIP-ON WITH REMOVABLE DB-KILLERS.&lt;/p&gt;_x000a_&lt;p&gt;ORIGINAL EXHAUST WEIGHT: 6.7 KG&lt;br&gt;ZARD EXHAUST WEIGHT: 3.1 KG&lt;/p&gt;_x000a_&lt;p&gt;HARD&amp;nbsp;INCREASE, COMPARED TO THE ORIGINAL&lt;br&gt;EXHAUST SYSTEM, ASTONISHING SOUND.&lt;/p&gt;_x000a_&lt;p&gt;THE INSTALLATION OF ZARD EXHAUST DOES NOT&lt;br&gt;IMPLY ANY MODIFICATION TO ECU.&lt;/p&gt;"/>
    <m/>
    <s v="EURO 4 HOMOLOGATED"/>
    <n v="51.64"/>
  </r>
  <r>
    <s v="1586059006-10045"/>
    <s v="https://shop.officineitalianezard.it/en/products/"/>
    <m/>
    <s v="https://shop.officineitalianezard.it/en/royal-enfield-zard-exhaust/"/>
    <s v="CONTINENTAL GT / INTERCEPTOR M.Y. 2019"/>
    <s v="https://shop.officineitalianezard.it/en/royal-enfield-continental-gt-interceptor-exhaust-2019/"/>
    <s v="CONICAL VERSION"/>
    <x v="25"/>
    <s v="N. 2 SLIP-ONS"/>
    <s v="ZRE536SSR"/>
    <s v="ROYAL ENFIELD CONTINENTAL GT M.Y. 2019"/>
    <n v="531.15"/>
    <n v="590.16"/>
    <s v="&lt;p&gt;&lt;strong&gt;&lt;/strong&gt;N.2 MIRROR POLISHED STAINLESS STEEL&lt;span&gt;&amp;nbsp;RACING&lt;br&gt;&lt;/span&gt;SLIP-ONS&amp;nbsp;WITH REMOVABLE DB-KILLERS.&lt;/p&gt;_x000a_&lt;p&gt;EURO 4 HOMOLOGATED VERSION AVAILABLE AS OPTIONAL.&lt;/p&gt;_x000a_&lt;p&gt;ORIGINAL EXHAUST WEIGHT: 10 KG&lt;br&gt;ZARD EXHAUST WEIGHT: 4.2 KG&lt;/p&gt;_x000a_&lt;p&gt;SIGNIFICANT INCREASE, COMPARED TO THE ORIGINAL&lt;br&gt;EXHAUST SYSTEM, ASTONISHING SOUND.&lt;/p&gt;_x000a_&lt;p&gt;THE INSTALLATION OF ZARD EXHAUST DOES NOT&lt;br&gt;IMPLY ANY MODIFICATION TO ECU.&lt;/p&gt;"/>
    <s v="https://shop.officineitalianezard.it/contents/imgs/products/1_2664-scarico%20royal%20enfield%20continental%20gt%20interceptor%20650%20zard%20-%201.jpg"/>
    <m/>
    <m/>
  </r>
  <r>
    <s v="1586059006-10046"/>
    <s v="https://shop.officineitalianezard.it/en/products/"/>
    <m/>
    <s v="https://shop.officineitalianezard.it/en/royal-enfield-zard-exhaust/"/>
    <s v="CONTINENTAL GT / INTERCEPTOR M.Y. 2019"/>
    <s v="https://shop.officineitalianezard.it/en/royal-enfield-continental-gt-interceptor-exhaust-2019/"/>
    <s v="CONICAL VERSION"/>
    <x v="25"/>
    <s v="N. 2 SLIP-ONS"/>
    <s v="ZRE536SSR"/>
    <s v="ROYAL ENFIELD CONTINENTAL GT M.Y. 2019"/>
    <n v="531.15"/>
    <n v="590.16"/>
    <s v="&lt;p&gt;&lt;strong&gt;&lt;/strong&gt;N.2 MIRROR POLISHED STAINLESS STEEL&lt;span&gt;&amp;nbsp;RACING&lt;br&gt;&lt;/span&gt;SLIP-ONS&amp;nbsp;WITH REMOVABLE DB-KILLERS.&lt;/p&gt;_x000a_&lt;p&gt;EURO 4 HOMOLOGATED VERSION AVAILABLE AS OPTIONAL.&lt;/p&gt;_x000a_&lt;p&gt;ORIGINAL EXHAUST WEIGHT: 10 KG&lt;br&gt;ZARD EXHAUST WEIGHT: 4.2 KG&lt;/p&gt;_x000a_&lt;p&gt;SIGNIFICANT INCREASE, COMPARED TO THE ORIGINAL&lt;br&gt;EXHAUST SYSTEM, ASTONISHING SOUND.&lt;/p&gt;_x000a_&lt;p&gt;THE INSTALLATION OF ZARD EXHAUST DOES NOT&lt;br&gt;IMPLY ANY MODIFICATION TO ECU.&lt;/p&gt;"/>
    <s v="https://shop.officineitalianezard.it/contents/imgs/products/1_2665-scarico%20royal%20enfield%20continental%20gt%20interceptor%20650%20zard%20-%202.jpg"/>
    <m/>
    <m/>
  </r>
  <r>
    <s v="1586059006-10047"/>
    <s v="https://shop.officineitalianezard.it/en/products/"/>
    <m/>
    <s v="https://shop.officineitalianezard.it/en/royal-enfield-zard-exhaust/"/>
    <s v="CONTINENTAL GT / INTERCEPTOR M.Y. 2019"/>
    <s v="https://shop.officineitalianezard.it/en/royal-enfield-continental-gt-interceptor-exhaust-2019/"/>
    <s v="CONICAL VERSION"/>
    <x v="25"/>
    <s v="N. 2 SLIP-ONS"/>
    <s v="ZRE536SSR"/>
    <s v="ROYAL ENFIELD CONTINENTAL GT M.Y. 2019"/>
    <n v="531.15"/>
    <n v="590.16"/>
    <s v="&lt;p&gt;&lt;strong&gt;&lt;/strong&gt;N.2 MIRROR POLISHED STAINLESS STEEL&lt;span&gt;&amp;nbsp;RACING&lt;br&gt;&lt;/span&gt;SLIP-ONS&amp;nbsp;WITH REMOVABLE DB-KILLERS.&lt;/p&gt;_x000a_&lt;p&gt;EURO 4 HOMOLOGATED VERSION AVAILABLE AS OPTIONAL.&lt;/p&gt;_x000a_&lt;p&gt;ORIGINAL EXHAUST WEIGHT: 10 KG&lt;br&gt;ZARD EXHAUST WEIGHT: 4.2 KG&lt;/p&gt;_x000a_&lt;p&gt;SIGNIFICANT INCREASE, COMPARED TO THE ORIGINAL&lt;br&gt;EXHAUST SYSTEM, ASTONISHING SOUND.&lt;/p&gt;_x000a_&lt;p&gt;THE INSTALLATION OF ZARD EXHAUST DOES NOT&lt;br&gt;IMPLY ANY MODIFICATION TO ECU.&lt;/p&gt;"/>
    <s v="https://shop.officineitalianezard.it/contents/imgs/products/1_2666-scarico%20royal%20enfield%20continental%20gt%20interceptor%20650%20zard%20-%203.jpg"/>
    <m/>
    <m/>
  </r>
  <r>
    <s v="1586059006-10048"/>
    <s v="https://shop.officineitalianezard.it/en/products/"/>
    <m/>
    <s v="https://shop.officineitalianezard.it/en/royal-enfield-zard-exhaust/"/>
    <s v="CONTINENTAL GT / INTERCEPTOR M.Y. 2019"/>
    <s v="https://shop.officineitalianezard.it/en/royal-enfield-continental-gt-interceptor-exhaust-2019/"/>
    <s v="CONICAL VERSION"/>
    <x v="25"/>
    <s v="N. 2 SLIP-ONS"/>
    <s v="ZRE536SSR"/>
    <s v="ROYAL ENFIELD CONTINENTAL GT M.Y. 2019"/>
    <n v="531.15"/>
    <n v="590.16"/>
    <s v="&lt;p&gt;&lt;strong&gt;&lt;/strong&gt;N.2 MIRROR POLISHED STAINLESS STEEL&lt;span&gt;&amp;nbsp;RACING&lt;br&gt;&lt;/span&gt;SLIP-ONS&amp;nbsp;WITH REMOVABLE DB-KILLERS.&lt;/p&gt;_x000a_&lt;p&gt;EURO 4 HOMOLOGATED VERSION AVAILABLE AS OPTIONAL.&lt;/p&gt;_x000a_&lt;p&gt;ORIGINAL EXHAUST WEIGHT: 10 KG&lt;br&gt;ZARD EXHAUST WEIGHT: 4.2 KG&lt;/p&gt;_x000a_&lt;p&gt;SIGNIFICANT INCREASE, COMPARED TO THE ORIGINAL&lt;br&gt;EXHAUST SYSTEM, ASTONISHING SOUND.&lt;/p&gt;_x000a_&lt;p&gt;THE INSTALLATION OF ZARD EXHAUST DOES NOT&lt;br&gt;IMPLY ANY MODIFICATION TO ECU.&lt;/p&gt;"/>
    <s v="https://shop.officineitalianezard.it/contents/imgs/products/1_2668-scarico%20royal%20enfield%20continental%20gt%20interceptor%20650%20zard%20-%205.jpg"/>
    <m/>
    <m/>
  </r>
  <r>
    <s v="1586059006-10049"/>
    <s v="https://shop.officineitalianezard.it/en/products/"/>
    <m/>
    <s v="https://shop.officineitalianezard.it/en/royal-enfield-zard-exhaust/"/>
    <s v="CONTINENTAL GT / INTERCEPTOR M.Y. 2019"/>
    <s v="https://shop.officineitalianezard.it/en/royal-enfield-continental-gt-interceptor-exhaust-2019/"/>
    <s v="CONICAL VERSION"/>
    <x v="25"/>
    <s v="N. 2 SLIP-ONS"/>
    <s v="ZRE536SSR"/>
    <s v="ROYAL ENFIELD CONTINENTAL GT M.Y. 2019"/>
    <n v="531.15"/>
    <n v="590.16"/>
    <s v="&lt;p&gt;&lt;strong&gt;&lt;/strong&gt;N.2 MIRROR POLISHED STAINLESS STEEL&lt;span&gt;&amp;nbsp;RACING&lt;br&gt;&lt;/span&gt;SLIP-ONS&amp;nbsp;WITH REMOVABLE DB-KILLERS.&lt;/p&gt;_x000a_&lt;p&gt;EURO 4 HOMOLOGATED VERSION AVAILABLE AS OPTIONAL.&lt;/p&gt;_x000a_&lt;p&gt;ORIGINAL EXHAUST WEIGHT: 10 KG&lt;br&gt;ZARD EXHAUST WEIGHT: 4.2 KG&lt;/p&gt;_x000a_&lt;p&gt;SIGNIFICANT INCREASE, COMPARED TO THE ORIGINAL&lt;br&gt;EXHAUST SYSTEM, ASTONISHING SOUND.&lt;/p&gt;_x000a_&lt;p&gt;THE INSTALLATION OF ZARD EXHAUST DOES NOT&lt;br&gt;IMPLY ANY MODIFICATION TO ECU.&lt;/p&gt;"/>
    <s v="https://shop.officineitalianezard.it/contents/imgs/products/1_2669-scarico%20royal%20enfield%20continental%20gt%20interceptor%20650%20zard%20-%206.jpg"/>
    <m/>
    <m/>
  </r>
  <r>
    <s v="1586059006-10050"/>
    <s v="https://shop.officineitalianezard.it/en/products/"/>
    <m/>
    <s v="https://shop.officineitalianezard.it/en/royal-enfield-zard-exhaust/"/>
    <s v="CONTINENTAL GT / INTERCEPTOR M.Y. 2019"/>
    <s v="https://shop.officineitalianezard.it/en/royal-enfield-continental-gt-interceptor-exhaust-2019/"/>
    <s v="CONICAL VERSION"/>
    <x v="25"/>
    <s v="N. 2 SLIP-ONS"/>
    <s v="ZRE536SSR"/>
    <s v="ROYAL ENFIELD CONTINENTAL GT M.Y. 2019"/>
    <n v="531.15"/>
    <n v="590.16"/>
    <s v="&lt;p&gt;&lt;strong&gt;&lt;/strong&gt;N.2 MIRROR POLISHED STAINLESS STEEL&lt;span&gt;&amp;nbsp;RACING&lt;br&gt;&lt;/span&gt;SLIP-ONS&amp;nbsp;WITH REMOVABLE DB-KILLERS.&lt;/p&gt;_x000a_&lt;p&gt;EURO 4 HOMOLOGATED VERSION AVAILABLE AS OPTIONAL.&lt;/p&gt;_x000a_&lt;p&gt;ORIGINAL EXHAUST WEIGHT: 10 KG&lt;br&gt;ZARD EXHAUST WEIGHT: 4.2 KG&lt;/p&gt;_x000a_&lt;p&gt;SIGNIFICANT INCREASE, COMPARED TO THE ORIGINAL&lt;br&gt;EXHAUST SYSTEM, ASTONISHING SOUND.&lt;/p&gt;_x000a_&lt;p&gt;THE INSTALLATION OF ZARD EXHAUST DOES NOT&lt;br&gt;IMPLY ANY MODIFICATION TO ECU.&lt;/p&gt;"/>
    <s v="https://shop.officineitalianezard.it/contents/imgs/products/1_2667-scarico%20royal%20enfield%20continental%20gt%20interceptor%20650%20zard%20-%204.jpg"/>
    <m/>
    <m/>
  </r>
  <r>
    <s v="1586059006-10051"/>
    <s v="https://shop.officineitalianezard.it/en/products/"/>
    <m/>
    <s v="https://shop.officineitalianezard.it/en/royal-enfield-zard-exhaust/"/>
    <s v="CONTINENTAL GT / INTERCEPTOR M.Y. 2019"/>
    <s v="https://shop.officineitalianezard.it/en/royal-enfield-continental-gt-interceptor-exhaust-2019/"/>
    <s v="CONICAL VERSION"/>
    <x v="25"/>
    <s v="N. 2 SLIP-ONS"/>
    <s v="ZRE536SSR"/>
    <s v="ROYAL ENFIELD CONTINENTAL GT M.Y. 2019"/>
    <n v="531.15"/>
    <n v="590.16"/>
    <s v="&lt;p&gt;&lt;strong&gt;&lt;/strong&gt;N.2 MIRROR POLISHED STAINLESS STEEL&lt;span&gt;&amp;nbsp;RACING&lt;br&gt;&lt;/span&gt;SLIP-ONS&amp;nbsp;WITH REMOVABLE DB-KILLERS.&lt;/p&gt;_x000a_&lt;p&gt;EURO 4 HOMOLOGATED VERSION AVAILABLE AS OPTIONAL.&lt;/p&gt;_x000a_&lt;p&gt;ORIGINAL EXHAUST WEIGHT: 10 KG&lt;br&gt;ZARD EXHAUST WEIGHT: 4.2 KG&lt;/p&gt;_x000a_&lt;p&gt;SIGNIFICANT INCREASE, COMPARED TO THE ORIGINAL&lt;br&gt;EXHAUST SYSTEM, ASTONISHING SOUND.&lt;/p&gt;_x000a_&lt;p&gt;THE INSTALLATION OF ZARD EXHAUST DOES NOT&lt;br&gt;IMPLY ANY MODIFICATION TO ECU.&lt;/p&gt;"/>
    <m/>
    <s v="EURO 4 HOMOLOGATED"/>
    <n v="44.26"/>
  </r>
  <r>
    <s v="1586059009-10052"/>
    <s v="https://shop.officineitalianezard.it/en/products/"/>
    <m/>
    <s v="https://shop.officineitalianezard.it/en/royal-enfield-zard-exhaust/"/>
    <s v="CONTINENTAL GT / INTERCEPTOR M.Y. 2019"/>
    <s v="https://shop.officineitalianezard.it/en/royal-enfield-continental-gt-interceptor-exhaust-2019/"/>
    <s v="FLAT VERSION"/>
    <x v="26"/>
    <s v="FULL KIT"/>
    <s v="ZRE537SKR"/>
    <s v="ROYAL ENFIELD INTERCEPTOR M.Y. 2019"/>
    <n v="959.02"/>
    <n v="1065.57"/>
    <s v="&lt;p&gt;2&amp;gt;2 FULL KIT INSPIRED BY AMERICAN FLAT TRACK COMPETITIONS.&lt;/p&gt;_x000a_&lt;p&gt;MADE IN STAINLESS STEEL&amp;nbsp;WITH REMOVABLE DB-KILLERS&lt;br&gt;IN RACING VERSION ONLY (NOT HOMOLOGATED).&lt;/p&gt;_x000a_&lt;p&gt;ORIGINAL EXHAUST WEIGHT: 17.4 KG&lt;br&gt;ZARD FULL KIT WEIGHT: 5.5 KG&lt;/p&gt;_x000a_&lt;p&gt;HARD&amp;nbsp;INCREASE, COMPARED TO THE ORIGINAL&lt;br&gt;EXHAUST SYSTEM, ASTONISHING SOUND.&lt;/p&gt;_x000a_&lt;p&gt;THE INSTALLATION OF ZARD EXHAUST DOES NOT&lt;br&gt;IMPLY ANY MODIFICATION TO ECU.&lt;/p&gt;_x000a_&lt;p&gt;&lt;strong&gt;NOTICE: COMPATIBLE WITH ROYAL ENFIELD CONTINENTAL GT&lt;/strong&gt;&lt;/p&gt;"/>
    <s v="https://shop.officineitalianezard.it/contents/imgs/products/1_2630-scarico%20royal%20enfield%20interceptor%20-%20continental%20gt%20-%20zard%201.jpg"/>
    <m/>
    <m/>
  </r>
  <r>
    <s v="1586059009-10053"/>
    <s v="https://shop.officineitalianezard.it/en/products/"/>
    <m/>
    <s v="https://shop.officineitalianezard.it/en/royal-enfield-zard-exhaust/"/>
    <s v="CONTINENTAL GT / INTERCEPTOR M.Y. 2019"/>
    <s v="https://shop.officineitalianezard.it/en/royal-enfield-continental-gt-interceptor-exhaust-2019/"/>
    <s v="FLAT VERSION"/>
    <x v="26"/>
    <s v="FULL KIT"/>
    <s v="ZRE537SKR"/>
    <s v="ROYAL ENFIELD INTERCEPTOR M.Y. 2019"/>
    <n v="959.02"/>
    <n v="1065.57"/>
    <s v="&lt;p&gt;2&amp;gt;2 FULL KIT INSPIRED BY AMERICAN FLAT TRACK COMPETITIONS.&lt;/p&gt;_x000a_&lt;p&gt;MADE IN STAINLESS STEEL&amp;nbsp;WITH REMOVABLE DB-KILLERS&lt;br&gt;IN RACING VERSION ONLY (NOT HOMOLOGATED).&lt;/p&gt;_x000a_&lt;p&gt;ORIGINAL EXHAUST WEIGHT: 17.4 KG&lt;br&gt;ZARD FULL KIT WEIGHT: 5.5 KG&lt;/p&gt;_x000a_&lt;p&gt;HARD&amp;nbsp;INCREASE, COMPARED TO THE ORIGINAL&lt;br&gt;EXHAUST SYSTEM, ASTONISHING SOUND.&lt;/p&gt;_x000a_&lt;p&gt;THE INSTALLATION OF ZARD EXHAUST DOES NOT&lt;br&gt;IMPLY ANY MODIFICATION TO ECU.&lt;/p&gt;_x000a_&lt;p&gt;&lt;strong&gt;NOTICE: COMPATIBLE WITH ROYAL ENFIELD CONTINENTAL GT&lt;/strong&gt;&lt;/p&gt;"/>
    <s v="https://shop.officineitalianezard.it/contents/imgs/products/1_2631-scarico%20royal%20enfield%20interceptor%20-%20continental%20gt%20-%20zard%202.jpg"/>
    <m/>
    <m/>
  </r>
  <r>
    <s v="1586059009-10054"/>
    <s v="https://shop.officineitalianezard.it/en/products/"/>
    <m/>
    <s v="https://shop.officineitalianezard.it/en/royal-enfield-zard-exhaust/"/>
    <s v="CONTINENTAL GT / INTERCEPTOR M.Y. 2019"/>
    <s v="https://shop.officineitalianezard.it/en/royal-enfield-continental-gt-interceptor-exhaust-2019/"/>
    <s v="FLAT VERSION"/>
    <x v="26"/>
    <s v="FULL KIT"/>
    <s v="ZRE537SKR"/>
    <s v="ROYAL ENFIELD INTERCEPTOR M.Y. 2019"/>
    <n v="959.02"/>
    <n v="1065.57"/>
    <s v="&lt;p&gt;2&amp;gt;2 FULL KIT INSPIRED BY AMERICAN FLAT TRACK COMPETITIONS.&lt;/p&gt;_x000a_&lt;p&gt;MADE IN STAINLESS STEEL&amp;nbsp;WITH REMOVABLE DB-KILLERS&lt;br&gt;IN RACING VERSION ONLY (NOT HOMOLOGATED).&lt;/p&gt;_x000a_&lt;p&gt;ORIGINAL EXHAUST WEIGHT: 17.4 KG&lt;br&gt;ZARD FULL KIT WEIGHT: 5.5 KG&lt;/p&gt;_x000a_&lt;p&gt;HARD&amp;nbsp;INCREASE, COMPARED TO THE ORIGINAL&lt;br&gt;EXHAUST SYSTEM, ASTONISHING SOUND.&lt;/p&gt;_x000a_&lt;p&gt;THE INSTALLATION OF ZARD EXHAUST DOES NOT&lt;br&gt;IMPLY ANY MODIFICATION TO ECU.&lt;/p&gt;_x000a_&lt;p&gt;&lt;strong&gt;NOTICE: COMPATIBLE WITH ROYAL ENFIELD CONTINENTAL GT&lt;/strong&gt;&lt;/p&gt;"/>
    <s v="https://shop.officineitalianezard.it/contents/imgs/products/1_2632-scarico%20royal%20enfield%20interceptor%20-%20continental%20gt%20-%20zard%203.jpg"/>
    <m/>
    <m/>
  </r>
  <r>
    <s v="1586059013-10055"/>
    <s v="https://shop.officineitalianezard.it/en/products/"/>
    <m/>
    <s v="https://shop.officineitalianezard.it/en/royal-enfield-zard-exhaust/"/>
    <s v="BULLET 350-500"/>
    <s v="https://shop.officineitalianezard.it/en/royal-enfield-bullet-350-500-exhaust/"/>
    <s v="CONICAL VERSION"/>
    <x v="27"/>
    <s v="SILENCER"/>
    <s v="ZRE533SSR"/>
    <s v="ROYAL ENFIELD"/>
    <n v="302.45999999999998"/>
    <n v="336.07"/>
    <s v="&lt;p&gt;STEEL SILENCER RACING WITH REMOVABLE DB KILLER.&lt;/p&gt;_x000a_&lt;p&gt;ZARD SILENCER WEIGHT: 2KG&lt;/p&gt;_x000a_&lt;p&gt;ASTONISHING SOUND.&lt;/p&gt;"/>
    <s v="https://shop.officineitalianezard.it/contents/imgs/products/1_1912-1%20royal%20enfield%20bullet%20classic%20scarichi%20-%20zard.jpg"/>
    <m/>
    <m/>
  </r>
  <r>
    <s v="1586059013-10056"/>
    <s v="https://shop.officineitalianezard.it/en/products/"/>
    <m/>
    <s v="https://shop.officineitalianezard.it/en/royal-enfield-zard-exhaust/"/>
    <s v="BULLET 350-500"/>
    <s v="https://shop.officineitalianezard.it/en/royal-enfield-bullet-350-500-exhaust/"/>
    <s v="CONICAL VERSION"/>
    <x v="27"/>
    <s v="SILENCER"/>
    <s v="ZRE533SSR"/>
    <s v="ROYAL ENFIELD"/>
    <n v="302.45999999999998"/>
    <n v="336.07"/>
    <s v="&lt;p&gt;STEEL SILENCER RACING WITH REMOVABLE DB KILLER.&lt;/p&gt;_x000a_&lt;p&gt;ZARD SILENCER WEIGHT: 2KG&lt;/p&gt;_x000a_&lt;p&gt;ASTONISHING SOUND.&lt;/p&gt;"/>
    <s v="https://shop.officineitalianezard.it/contents/imgs/products/1_1913-2%20royal%20enfield%20bullet%20classic%20scarichi%20-%20zard.jpg"/>
    <m/>
    <m/>
  </r>
  <r>
    <s v="1586059013-10057"/>
    <s v="https://shop.officineitalianezard.it/en/products/"/>
    <m/>
    <s v="https://shop.officineitalianezard.it/en/royal-enfield-zard-exhaust/"/>
    <s v="BULLET 350-500"/>
    <s v="https://shop.officineitalianezard.it/en/royal-enfield-bullet-350-500-exhaust/"/>
    <s v="CONICAL VERSION"/>
    <x v="27"/>
    <s v="SILENCER"/>
    <s v="ZRE533SSR"/>
    <s v="ROYAL ENFIELD"/>
    <n v="302.45999999999998"/>
    <n v="336.07"/>
    <s v="&lt;p&gt;STEEL SILENCER RACING WITH REMOVABLE DB KILLER.&lt;/p&gt;_x000a_&lt;p&gt;ZARD SILENCER WEIGHT: 2KG&lt;/p&gt;_x000a_&lt;p&gt;ASTONISHING SOUND.&lt;/p&gt;"/>
    <s v="https://shop.officineitalianezard.it/contents/imgs/products/1_1914-3%20royal%20enfield%20bullet%20classic%20scarichi%20-%20zard.jpg"/>
    <m/>
    <m/>
  </r>
  <r>
    <s v="1586059013-10058"/>
    <s v="https://shop.officineitalianezard.it/en/products/"/>
    <m/>
    <s v="https://shop.officineitalianezard.it/en/royal-enfield-zard-exhaust/"/>
    <s v="BULLET 350-500"/>
    <s v="https://shop.officineitalianezard.it/en/royal-enfield-bullet-350-500-exhaust/"/>
    <s v="CONICAL VERSION"/>
    <x v="27"/>
    <s v="SILENCER"/>
    <s v="ZRE533SSR"/>
    <s v="ROYAL ENFIELD"/>
    <n v="302.45999999999998"/>
    <n v="336.07"/>
    <s v="&lt;p&gt;STEEL SILENCER RACING WITH REMOVABLE DB KILLER.&lt;/p&gt;_x000a_&lt;p&gt;ZARD SILENCER WEIGHT: 2KG&lt;/p&gt;_x000a_&lt;p&gt;ASTONISHING SOUND.&lt;/p&gt;"/>
    <m/>
    <s v="BLACK COATING"/>
    <n v="77.459999999999994"/>
  </r>
  <r>
    <s v="1586059013-10059"/>
    <s v="https://shop.officineitalianezard.it/en/products/"/>
    <m/>
    <s v="https://shop.officineitalianezard.it/en/royal-enfield-zard-exhaust/"/>
    <s v="BULLET 350-500"/>
    <s v="https://shop.officineitalianezard.it/en/royal-enfield-bullet-350-500-exhaust/"/>
    <s v="CONICAL VERSION"/>
    <x v="27"/>
    <s v="SILENCER"/>
    <s v="ZRE533SSR"/>
    <s v="ROYAL ENFIELD"/>
    <n v="302.45999999999998"/>
    <n v="336.07"/>
    <s v="&lt;p&gt;STEEL SILENCER RACING WITH REMOVABLE DB KILLER.&lt;/p&gt;_x000a_&lt;p&gt;ZARD SILENCER WEIGHT: 2KG&lt;/p&gt;_x000a_&lt;p&gt;ASTONISHING SOUND.&lt;/p&gt;"/>
    <m/>
    <s v="MIRROR POLISHING"/>
    <n v="42.05"/>
  </r>
  <r>
    <s v="1586059022-10060"/>
    <s v="https://shop.officineitalianezard.it/en/products/"/>
    <m/>
    <s v="https://shop.officineitalianezard.it/en/mv-agusta-zard-exhaust/"/>
    <s v="F4 M.Y. 2010-2013"/>
    <s v="https://shop.officineitalianezard.it/en/mv-augusta-f4-m-y-2010-2013-exhaust/"/>
    <s v="PENTA EVO VERSION"/>
    <x v="28"/>
    <s v="SILENCERS"/>
    <s v="ZMW063SSR"/>
    <s v="MV-AGUSTA F4 M.Y. 2010-2014"/>
    <n v="1147.1300000000001"/>
    <n v="1274.5899999999999"/>
    <s v="&lt;p&gt;STEEL-CARBON SILENCERS RACING WITH REMOVABLE DB KILLER&lt;/p&gt;_x000a_&lt;p&gt;ZARD SILENCERS WEIGHT: KG 4.7&lt;/p&gt;_x000a_&lt;p&gt;THE STANDARD EQUIPMENT INCLUDES CARBON END-CAPS AND “Y” STEEL MANIFOLD&lt;/p&gt;_x000a_&lt;p&gt;PENTA EVO SHAPE EVOLVES FROM OVAL (FRONT SIDE AT THE MUFFLER JOINT) TO PENTAGONAL (REAR SIDE)&lt;/p&gt;_x000a_&lt;p&gt;HARD INCREASE, COMPARED TO THE ORIGINAL EXHAUST SYSTEM, IN TERMS OF TORQUE AND POWER (+5 HP) AT ANY RANGE&lt;/p&gt;_x000a_&lt;p&gt;ASTONISHING SOUND&lt;/p&gt;"/>
    <s v="https://shop.officineitalianezard.it/contents/imgs/products/1_626-2_609-Immagine%20017.jpg"/>
    <m/>
    <m/>
  </r>
  <r>
    <s v="1586059024-10061"/>
    <s v="https://shop.officineitalianezard.it/en/products/"/>
    <m/>
    <s v="https://shop.officineitalianezard.it/en/mv-agusta-zard-exhaust/"/>
    <s v="F4 M.Y. 2010-2013"/>
    <s v="https://shop.officineitalianezard.it/en/mv-augusta-f4-m-y-2010-2013-exhaust/"/>
    <s v="PENTA EVO VERSION"/>
    <x v="29"/>
    <s v="4&gt;2&gt;1&gt;2 FULL KIT"/>
    <s v="ZMW 063 SKR"/>
    <s v="MV-AGUSTA F4 M.Y. 2010-2014"/>
    <n v="1786.72"/>
    <n v="1985.25"/>
    <s v="&lt;p&gt;4&amp;gt;2&amp;gt;1&amp;gt;2 STEEL-CARBON FULL KIT RACING WITH REMOVABLE DB KILLERS&lt;/p&gt;_x000a_&lt;p&gt;ZARD FULL KIT WEIGHT: KG 4.7&lt;/p&gt;_x000a_&lt;p&gt;THE STANDARD FITTING INCLUDES THE “Y” STEEL MANIFOLD&lt;/p&gt;_x000a_&lt;p&gt;THE DEFINITION PENTA EVO IDENTIFIES THE MUFFLER WITH A SHAPE THAT EVOLVES FROM OVAL (FRONT SIDE AT THE MUFFLER JOINT) TO PENTAGONAL (REAR SIDE)&lt;/p&gt;_x000a_&lt;p&gt;HARD INCREASE, COMPARED TO THE ORIGINAL EXHAUST SYSTEM, IN TERMS OF TORQUE AND POWER (+3 HP) AT ANY RANGE&lt;/p&gt;_x000a_&lt;p&gt;ASTONISHING SOUND&lt;/p&gt;"/>
    <s v="https://shop.officineitalianezard.it/contents/imgs/products/1_609-Immagine%20017.jpg"/>
    <m/>
    <m/>
  </r>
  <r>
    <s v="1586059024-10062"/>
    <s v="https://shop.officineitalianezard.it/en/products/"/>
    <m/>
    <s v="https://shop.officineitalianezard.it/en/mv-agusta-zard-exhaust/"/>
    <s v="F4 M.Y. 2010-2013"/>
    <s v="https://shop.officineitalianezard.it/en/mv-augusta-f4-m-y-2010-2013-exhaust/"/>
    <s v="PENTA EVO VERSION"/>
    <x v="29"/>
    <s v="4&gt;2&gt;1&gt;2 FULL KIT"/>
    <s v="ZMW 063 SKR"/>
    <s v="MV-AGUSTA F4 M.Y. 2010-2014"/>
    <n v="1786.72"/>
    <n v="1985.25"/>
    <s v="&lt;p&gt;4&amp;gt;2&amp;gt;1&amp;gt;2 STEEL-CARBON FULL KIT RACING WITH REMOVABLE DB KILLERS&lt;/p&gt;_x000a_&lt;p&gt;ZARD FULL KIT WEIGHT: KG 4.7&lt;/p&gt;_x000a_&lt;p&gt;THE STANDARD FITTING INCLUDES THE “Y” STEEL MANIFOLD&lt;/p&gt;_x000a_&lt;p&gt;THE DEFINITION PENTA EVO IDENTIFIES THE MUFFLER WITH A SHAPE THAT EVOLVES FROM OVAL (FRONT SIDE AT THE MUFFLER JOINT) TO PENTAGONAL (REAR SIDE)&lt;/p&gt;_x000a_&lt;p&gt;HARD INCREASE, COMPARED TO THE ORIGINAL EXHAUST SYSTEM, IN TERMS OF TORQUE AND POWER (+3 HP) AT ANY RANGE&lt;/p&gt;_x000a_&lt;p&gt;ASTONISHING SOUND&lt;/p&gt;"/>
    <s v="https://shop.officineitalianezard.it/contents/imgs/products/1_608-Immagine%20004.jpg"/>
    <m/>
    <m/>
  </r>
  <r>
    <s v="1586059024-10063"/>
    <s v="https://shop.officineitalianezard.it/en/products/"/>
    <m/>
    <s v="https://shop.officineitalianezard.it/en/mv-agusta-zard-exhaust/"/>
    <s v="F4 M.Y. 2010-2013"/>
    <s v="https://shop.officineitalianezard.it/en/mv-augusta-f4-m-y-2010-2013-exhaust/"/>
    <s v="PENTA EVO VERSION"/>
    <x v="29"/>
    <s v="4&gt;2&gt;1&gt;2 FULL KIT"/>
    <s v="ZMW 063 SKR"/>
    <s v="MV-AGUSTA F4 M.Y. 2010-2014"/>
    <n v="1786.72"/>
    <n v="1985.25"/>
    <s v="&lt;p&gt;4&amp;gt;2&amp;gt;1&amp;gt;2 STEEL-CARBON FULL KIT RACING WITH REMOVABLE DB KILLERS&lt;/p&gt;_x000a_&lt;p&gt;ZARD FULL KIT WEIGHT: KG 4.7&lt;/p&gt;_x000a_&lt;p&gt;THE STANDARD FITTING INCLUDES THE “Y” STEEL MANIFOLD&lt;/p&gt;_x000a_&lt;p&gt;THE DEFINITION PENTA EVO IDENTIFIES THE MUFFLER WITH A SHAPE THAT EVOLVES FROM OVAL (FRONT SIDE AT THE MUFFLER JOINT) TO PENTAGONAL (REAR SIDE)&lt;/p&gt;_x000a_&lt;p&gt;HARD INCREASE, COMPARED TO THE ORIGINAL EXHAUST SYSTEM, IN TERMS OF TORQUE AND POWER (+3 HP) AT ANY RANGE&lt;/p&gt;_x000a_&lt;p&gt;ASTONISHING SOUND&lt;/p&gt;"/>
    <s v="https://shop.officineitalianezard.it/contents/imgs/products/1_611-Immagine%20009.jpg"/>
    <m/>
    <m/>
  </r>
  <r>
    <s v="1586059030-10064"/>
    <s v="https://shop.officineitalianezard.it/en/products/"/>
    <m/>
    <s v="https://shop.officineitalianezard.it/en/mv-agusta-zard-exhaust/"/>
    <s v="F4 1000 S-F4 TAMBURINI"/>
    <s v="https://shop.officineitalianezard.it/en/mv-augusta-f4-1000-s-f4-tamburini-exhaust/"/>
    <s v="PENTA VERSION"/>
    <x v="30"/>
    <s v="4&gt;2&gt;1&gt;2 FULL KIT"/>
    <s v="ZMW 060 AKR-S"/>
    <s v="MV-AGUSTA F4-1000 S/F4 TAMBURINI"/>
    <n v="1721.07"/>
    <n v="1912.3"/>
    <s v="&lt;p&gt;FULL KIT&amp;nbsp;&amp;nbsp;4&amp;gt;2&amp;gt;1&amp;gt;2 STEEL-ALUMINIUM SILVER RACING WITH REMOVABLE DB KILLER&lt;/p&gt;_x000a_&lt;p&gt;SILVER OR BLACK SILENCERS AVAILABLE.&lt;/p&gt;_x000a_&lt;p&gt;ORIGINAL FULL KIT WEIGHT: KG 10.5&lt;/p&gt;_x000a_&lt;p&gt;ZARD FULL KIT WEIGHT: KG 7&lt;/p&gt;_x000a_&lt;p&gt;HARD INCREASE, COMPARED TO THE STANDARD EXHAUST SYSTEM, IN TERMS OF TORQUE AND POWER AT ANY RANGE.&lt;/p&gt;_x000a_&lt;p&gt;ASTONISHING SOUND.&lt;/p&gt;"/>
    <s v="https://shop.officineitalianezard.it/contents/imgs/products/1_595-f4%20zard%20mv1.jpg"/>
    <m/>
    <m/>
  </r>
  <r>
    <s v="1586059030-10065"/>
    <s v="https://shop.officineitalianezard.it/en/products/"/>
    <m/>
    <s v="https://shop.officineitalianezard.it/en/mv-agusta-zard-exhaust/"/>
    <s v="F4 1000 S-F4 TAMBURINI"/>
    <s v="https://shop.officineitalianezard.it/en/mv-augusta-f4-1000-s-f4-tamburini-exhaust/"/>
    <s v="PENTA VERSION"/>
    <x v="30"/>
    <s v="4&gt;2&gt;1&gt;2 FULL KIT"/>
    <s v="ZMW 060 AKR-S"/>
    <s v="MV-AGUSTA F4-1000 S/F4 TAMBURINI"/>
    <n v="1721.07"/>
    <n v="1912.3"/>
    <s v="&lt;p&gt;FULL KIT&amp;nbsp;&amp;nbsp;4&amp;gt;2&amp;gt;1&amp;gt;2 STEEL-ALUMINIUM SILVER RACING WITH REMOVABLE DB KILLER&lt;/p&gt;_x000a_&lt;p&gt;SILVER OR BLACK SILENCERS AVAILABLE.&lt;/p&gt;_x000a_&lt;p&gt;ORIGINAL FULL KIT WEIGHT: KG 10.5&lt;/p&gt;_x000a_&lt;p&gt;ZARD FULL KIT WEIGHT: KG 7&lt;/p&gt;_x000a_&lt;p&gt;HARD INCREASE, COMPARED TO THE STANDARD EXHAUST SYSTEM, IN TERMS OF TORQUE AND POWER AT ANY RANGE.&lt;/p&gt;_x000a_&lt;p&gt;ASTONISHING SOUND.&lt;/p&gt;"/>
    <s v="https://shop.officineitalianezard.it/contents/imgs/products/1_594-f4%20zard%20mv1.jpg"/>
    <m/>
    <m/>
  </r>
  <r>
    <s v="1586059030-10066"/>
    <s v="https://shop.officineitalianezard.it/en/products/"/>
    <m/>
    <s v="https://shop.officineitalianezard.it/en/mv-agusta-zard-exhaust/"/>
    <s v="F4 1000 S-F4 TAMBURINI"/>
    <s v="https://shop.officineitalianezard.it/en/mv-augusta-f4-1000-s-f4-tamburini-exhaust/"/>
    <s v="PENTA VERSION"/>
    <x v="30"/>
    <s v="4&gt;2&gt;1&gt;2 FULL KIT"/>
    <s v="ZMW 060 AKR-S"/>
    <s v="MV-AGUSTA F4-1000 S/F4 TAMBURINI"/>
    <n v="1721.07"/>
    <n v="1912.3"/>
    <s v="&lt;p&gt;FULL KIT&amp;nbsp;&amp;nbsp;4&amp;gt;2&amp;gt;1&amp;gt;2 STEEL-ALUMINIUM SILVER RACING WITH REMOVABLE DB KILLER&lt;/p&gt;_x000a_&lt;p&gt;SILVER OR BLACK SILENCERS AVAILABLE.&lt;/p&gt;_x000a_&lt;p&gt;ORIGINAL FULL KIT WEIGHT: KG 10.5&lt;/p&gt;_x000a_&lt;p&gt;ZARD FULL KIT WEIGHT: KG 7&lt;/p&gt;_x000a_&lt;p&gt;HARD INCREASE, COMPARED TO THE STANDARD EXHAUST SYSTEM, IN TERMS OF TORQUE AND POWER AT ANY RANGE.&lt;/p&gt;_x000a_&lt;p&gt;ASTONISHING SOUND.&lt;/p&gt;"/>
    <m/>
    <s v="STEEL-CARBON RACING"/>
    <n v="65.66"/>
  </r>
  <r>
    <s v="1586059030-10067"/>
    <s v="https://shop.officineitalianezard.it/en/products/"/>
    <m/>
    <s v="https://shop.officineitalianezard.it/en/mv-agusta-zard-exhaust/"/>
    <s v="F4 1000 S-F4 TAMBURINI"/>
    <s v="https://shop.officineitalianezard.it/en/mv-augusta-f4-1000-s-f4-tamburini-exhaust/"/>
    <s v="PENTA VERSION"/>
    <x v="30"/>
    <s v="4&gt;2&gt;1&gt;2 FULL KIT"/>
    <s v="ZMW 060 AKR-S"/>
    <s v="MV-AGUSTA F4-1000 S/F4 TAMBURINI"/>
    <n v="1721.07"/>
    <n v="1912.3"/>
    <s v="&lt;p&gt;FULL KIT&amp;nbsp;&amp;nbsp;4&amp;gt;2&amp;gt;1&amp;gt;2 STEEL-ALUMINIUM SILVER RACING WITH REMOVABLE DB KILLER&lt;/p&gt;_x000a_&lt;p&gt;SILVER OR BLACK SILENCERS AVAILABLE.&lt;/p&gt;_x000a_&lt;p&gt;ORIGINAL FULL KIT WEIGHT: KG 10.5&lt;/p&gt;_x000a_&lt;p&gt;ZARD FULL KIT WEIGHT: KG 7&lt;/p&gt;_x000a_&lt;p&gt;HARD INCREASE, COMPARED TO THE STANDARD EXHAUST SYSTEM, IN TERMS OF TORQUE AND POWER AT ANY RANGE.&lt;/p&gt;_x000a_&lt;p&gt;ASTONISHING SOUND.&lt;/p&gt;"/>
    <m/>
    <s v="SILENCERS BLACK VERSION"/>
    <n v="0"/>
  </r>
  <r>
    <s v="1586059035-10068"/>
    <s v="https://shop.officineitalianezard.it/en/products/"/>
    <m/>
    <s v="https://shop.officineitalianezard.it/en/mv-agusta-zard-exhaust/"/>
    <s v="F3"/>
    <s v="https://shop.officineitalianezard.it/en/mv-augusta-f3-exhausts/"/>
    <s v="PENTA VERSION"/>
    <x v="31"/>
    <s v="3&gt;1 FULL KIT"/>
    <s v="ZMW067TKR"/>
    <s v="MV-AGUSTA F3 675/800"/>
    <n v="1739.51"/>
    <n v="1932.79"/>
    <s v="&lt;p&gt;&lt;strong&gt;CIV SS 2016 WINNER!&lt;/strong&gt;&lt;/p&gt;_x000a_&lt;p&gt;3&amp;gt;1 FULL TITANIUM FULL KIT RACING WITH REMOVABLE DB KILLER&lt;/p&gt;_x000a_&lt;p&gt;HARD INCREASE, COMPARED TO THE ORIGINAL EXHAUST SYSTEM, IN TERMS OF TORQUE AND POWER AT ANY RANGE.&lt;/p&gt;_x000a_&lt;p&gt;HEADERS KIT DIAMETERS: 40 - 42 - 60.3mm&lt;/p&gt;_x000a_&lt;p&gt;ASTONISHING SOUND.&lt;/p&gt;"/>
    <s v="https://shop.officineitalianezard.it/contents/imgs/products/1_2435-1.jpg"/>
    <m/>
    <m/>
  </r>
  <r>
    <s v="1586059035-10069"/>
    <s v="https://shop.officineitalianezard.it/en/products/"/>
    <m/>
    <s v="https://shop.officineitalianezard.it/en/mv-agusta-zard-exhaust/"/>
    <s v="F3"/>
    <s v="https://shop.officineitalianezard.it/en/mv-augusta-f3-exhausts/"/>
    <s v="PENTA VERSION"/>
    <x v="31"/>
    <s v="3&gt;1 FULL KIT"/>
    <s v="ZMW067TKR"/>
    <s v="MV-AGUSTA F3 675/800"/>
    <n v="1739.51"/>
    <n v="1932.79"/>
    <s v="&lt;p&gt;&lt;strong&gt;CIV SS 2016 WINNER!&lt;/strong&gt;&lt;/p&gt;_x000a_&lt;p&gt;3&amp;gt;1 FULL TITANIUM FULL KIT RACING WITH REMOVABLE DB KILLER&lt;/p&gt;_x000a_&lt;p&gt;HARD INCREASE, COMPARED TO THE ORIGINAL EXHAUST SYSTEM, IN TERMS OF TORQUE AND POWER AT ANY RANGE.&lt;/p&gt;_x000a_&lt;p&gt;HEADERS KIT DIAMETERS: 40 - 42 - 60.3mm&lt;/p&gt;_x000a_&lt;p&gt;ASTONISHING SOUND.&lt;/p&gt;"/>
    <s v="https://shop.officineitalianezard.it/contents/imgs/products/1_2438-2.jpg"/>
    <m/>
    <m/>
  </r>
  <r>
    <s v="1586059035-10070"/>
    <s v="https://shop.officineitalianezard.it/en/products/"/>
    <m/>
    <s v="https://shop.officineitalianezard.it/en/mv-agusta-zard-exhaust/"/>
    <s v="F3"/>
    <s v="https://shop.officineitalianezard.it/en/mv-augusta-f3-exhausts/"/>
    <s v="PENTA VERSION"/>
    <x v="31"/>
    <s v="3&gt;1 FULL KIT"/>
    <s v="ZMW067TKR"/>
    <s v="MV-AGUSTA F3 675/800"/>
    <n v="1739.51"/>
    <n v="1932.79"/>
    <s v="&lt;p&gt;&lt;strong&gt;CIV SS 2016 WINNER!&lt;/strong&gt;&lt;/p&gt;_x000a_&lt;p&gt;3&amp;gt;1 FULL TITANIUM FULL KIT RACING WITH REMOVABLE DB KILLER&lt;/p&gt;_x000a_&lt;p&gt;HARD INCREASE, COMPARED TO THE ORIGINAL EXHAUST SYSTEM, IN TERMS OF TORQUE AND POWER AT ANY RANGE.&lt;/p&gt;_x000a_&lt;p&gt;HEADERS KIT DIAMETERS: 40 - 42 - 60.3mm&lt;/p&gt;_x000a_&lt;p&gt;ASTONISHING SOUND.&lt;/p&gt;"/>
    <s v="https://shop.officineitalianezard.it/contents/imgs/products/1_2436-4.jpg"/>
    <m/>
    <m/>
  </r>
  <r>
    <s v="1586059035-10071"/>
    <s v="https://shop.officineitalianezard.it/en/products/"/>
    <m/>
    <s v="https://shop.officineitalianezard.it/en/mv-agusta-zard-exhaust/"/>
    <s v="F3"/>
    <s v="https://shop.officineitalianezard.it/en/mv-augusta-f3-exhausts/"/>
    <s v="PENTA VERSION"/>
    <x v="31"/>
    <s v="3&gt;1 FULL KIT"/>
    <s v="ZMW067TKR"/>
    <s v="MV-AGUSTA F3 675/800"/>
    <n v="1739.51"/>
    <n v="1932.79"/>
    <s v="&lt;p&gt;&lt;strong&gt;CIV SS 2016 WINNER!&lt;/strong&gt;&lt;/p&gt;_x000a_&lt;p&gt;3&amp;gt;1 FULL TITANIUM FULL KIT RACING WITH REMOVABLE DB KILLER&lt;/p&gt;_x000a_&lt;p&gt;HARD INCREASE, COMPARED TO THE ORIGINAL EXHAUST SYSTEM, IN TERMS OF TORQUE AND POWER AT ANY RANGE.&lt;/p&gt;_x000a_&lt;p&gt;HEADERS KIT DIAMETERS: 40 - 42 - 60.3mm&lt;/p&gt;_x000a_&lt;p&gt;ASTONISHING SOUND.&lt;/p&gt;"/>
    <s v="https://shop.officineitalianezard.it/contents/imgs/products/1_2437-3.jpg"/>
    <m/>
    <m/>
  </r>
  <r>
    <s v="1586059035-10072"/>
    <s v="https://shop.officineitalianezard.it/en/products/"/>
    <m/>
    <s v="https://shop.officineitalianezard.it/en/mv-agusta-zard-exhaust/"/>
    <s v="F3"/>
    <s v="https://shop.officineitalianezard.it/en/mv-augusta-f3-exhausts/"/>
    <s v="PENTA VERSION"/>
    <x v="31"/>
    <s v="3&gt;1 FULL KIT"/>
    <s v="ZMW067TKR"/>
    <s v="MV-AGUSTA F3 675/800"/>
    <n v="1739.51"/>
    <n v="1932.79"/>
    <s v="&lt;p&gt;&lt;strong&gt;CIV SS 2016 WINNER!&lt;/strong&gt;&lt;/p&gt;_x000a_&lt;p&gt;3&amp;gt;1 FULL TITANIUM FULL KIT RACING WITH REMOVABLE DB KILLER&lt;/p&gt;_x000a_&lt;p&gt;HARD INCREASE, COMPARED TO THE ORIGINAL EXHAUST SYSTEM, IN TERMS OF TORQUE AND POWER AT ANY RANGE.&lt;/p&gt;_x000a_&lt;p&gt;HEADERS KIT DIAMETERS: 40 - 42 - 60.3mm&lt;/p&gt;_x000a_&lt;p&gt;ASTONISHING SOUND.&lt;/p&gt;"/>
    <s v="https://shop.officineitalianezard.it/contents/imgs/products/1_2279-f3%20zard%20exhaust%20roccoli.jpg"/>
    <m/>
    <m/>
  </r>
  <r>
    <s v="1586059035-10073"/>
    <s v="https://shop.officineitalianezard.it/en/products/"/>
    <m/>
    <s v="https://shop.officineitalianezard.it/en/mv-agusta-zard-exhaust/"/>
    <s v="F3"/>
    <s v="https://shop.officineitalianezard.it/en/mv-augusta-f3-exhausts/"/>
    <s v="PENTA VERSION"/>
    <x v="31"/>
    <s v="3&gt;1 FULL KIT"/>
    <s v="ZMW067TKR"/>
    <s v="MV-AGUSTA F3 675/800"/>
    <n v="1739.51"/>
    <n v="1932.79"/>
    <s v="&lt;p&gt;&lt;strong&gt;CIV SS 2016 WINNER!&lt;/strong&gt;&lt;/p&gt;_x000a_&lt;p&gt;3&amp;gt;1 FULL TITANIUM FULL KIT RACING WITH REMOVABLE DB KILLER&lt;/p&gt;_x000a_&lt;p&gt;HARD INCREASE, COMPARED TO THE ORIGINAL EXHAUST SYSTEM, IN TERMS OF TORQUE AND POWER AT ANY RANGE.&lt;/p&gt;_x000a_&lt;p&gt;HEADERS KIT DIAMETERS: 40 - 42 - 60.3mm&lt;/p&gt;_x000a_&lt;p&gt;ASTONISHING SOUND.&lt;/p&gt;"/>
    <s v="https://shop.officineitalianezard.it/contents/imgs/products/1_2275-Massimo-Roccoli-CIV-2016-Imola-2-1024x683.jpg"/>
    <m/>
    <m/>
  </r>
  <r>
    <s v="1586059035-10074"/>
    <s v="https://shop.officineitalianezard.it/en/products/"/>
    <m/>
    <s v="https://shop.officineitalianezard.it/en/mv-agusta-zard-exhaust/"/>
    <s v="F3"/>
    <s v="https://shop.officineitalianezard.it/en/mv-augusta-f3-exhausts/"/>
    <s v="PENTA VERSION"/>
    <x v="31"/>
    <s v="3&gt;1 FULL KIT"/>
    <s v="ZMW067TKR"/>
    <s v="MV-AGUSTA F3 675/800"/>
    <n v="1739.51"/>
    <n v="1932.79"/>
    <s v="&lt;p&gt;&lt;strong&gt;CIV SS 2016 WINNER!&lt;/strong&gt;&lt;/p&gt;_x000a_&lt;p&gt;3&amp;gt;1 FULL TITANIUM FULL KIT RACING WITH REMOVABLE DB KILLER&lt;/p&gt;_x000a_&lt;p&gt;HARD INCREASE, COMPARED TO THE ORIGINAL EXHAUST SYSTEM, IN TERMS OF TORQUE AND POWER AT ANY RANGE.&lt;/p&gt;_x000a_&lt;p&gt;HEADERS KIT DIAMETERS: 40 - 42 - 60.3mm&lt;/p&gt;_x000a_&lt;p&gt;ASTONISHING SOUND.&lt;/p&gt;"/>
    <s v="https://shop.officineitalianezard.it/contents/imgs/products/1_2278-075_SS_Roccoli_action.jpg"/>
    <m/>
    <m/>
  </r>
  <r>
    <s v="1586059035-10075"/>
    <s v="https://shop.officineitalianezard.it/en/products/"/>
    <m/>
    <s v="https://shop.officineitalianezard.it/en/mv-agusta-zard-exhaust/"/>
    <s v="F3"/>
    <s v="https://shop.officineitalianezard.it/en/mv-augusta-f3-exhausts/"/>
    <s v="PENTA VERSION"/>
    <x v="31"/>
    <s v="3&gt;1 FULL KIT"/>
    <s v="ZMW067TKR"/>
    <s v="MV-AGUSTA F3 675/800"/>
    <n v="1739.51"/>
    <n v="1932.79"/>
    <s v="&lt;p&gt;&lt;strong&gt;CIV SS 2016 WINNER!&lt;/strong&gt;&lt;/p&gt;_x000a_&lt;p&gt;3&amp;gt;1 FULL TITANIUM FULL KIT RACING WITH REMOVABLE DB KILLER&lt;/p&gt;_x000a_&lt;p&gt;HARD INCREASE, COMPARED TO THE ORIGINAL EXHAUST SYSTEM, IN TERMS OF TORQUE AND POWER AT ANY RANGE.&lt;/p&gt;_x000a_&lt;p&gt;HEADERS KIT DIAMETERS: 40 - 42 - 60.3mm&lt;/p&gt;_x000a_&lt;p&gt;ASTONISHING SOUND.&lt;/p&gt;"/>
    <s v="https://shop.officineitalianezard.it/contents/imgs/products/1_2276-13575899_1107101219336123_8325187907978780995_o.jpg"/>
    <m/>
    <m/>
  </r>
  <r>
    <s v="1586059035-10076"/>
    <s v="https://shop.officineitalianezard.it/en/products/"/>
    <m/>
    <s v="https://shop.officineitalianezard.it/en/mv-agusta-zard-exhaust/"/>
    <s v="F3"/>
    <s v="https://shop.officineitalianezard.it/en/mv-augusta-f3-exhausts/"/>
    <s v="PENTA VERSION"/>
    <x v="31"/>
    <s v="3&gt;1 FULL KIT"/>
    <s v="ZMW067TKR"/>
    <s v="MV-AGUSTA F3 675/800"/>
    <n v="1739.51"/>
    <n v="1932.79"/>
    <s v="&lt;p&gt;&lt;strong&gt;CIV SS 2016 WINNER!&lt;/strong&gt;&lt;/p&gt;_x000a_&lt;p&gt;3&amp;gt;1 FULL TITANIUM FULL KIT RACING WITH REMOVABLE DB KILLER&lt;/p&gt;_x000a_&lt;p&gt;HARD INCREASE, COMPARED TO THE ORIGINAL EXHAUST SYSTEM, IN TERMS OF TORQUE AND POWER AT ANY RANGE.&lt;/p&gt;_x000a_&lt;p&gt;HEADERS KIT DIAMETERS: 40 - 42 - 60.3mm&lt;/p&gt;_x000a_&lt;p&gt;ASTONISHING SOUND.&lt;/p&gt;"/>
    <s v="https://shop.officineitalianezard.it/contents/imgs/products/1_2273-13575752_1104217116291200_5405344022972605221_o.jpg"/>
    <m/>
    <m/>
  </r>
  <r>
    <s v="1586059035-10077"/>
    <s v="https://shop.officineitalianezard.it/en/products/"/>
    <m/>
    <s v="https://shop.officineitalianezard.it/en/mv-agusta-zard-exhaust/"/>
    <s v="F3"/>
    <s v="https://shop.officineitalianezard.it/en/mv-augusta-f3-exhausts/"/>
    <s v="PENTA VERSION"/>
    <x v="31"/>
    <s v="3&gt;1 FULL KIT"/>
    <s v="ZMW067TKR"/>
    <s v="MV-AGUSTA F3 675/800"/>
    <n v="1739.51"/>
    <n v="1932.79"/>
    <s v="&lt;p&gt;&lt;strong&gt;CIV SS 2016 WINNER!&lt;/strong&gt;&lt;/p&gt;_x000a_&lt;p&gt;3&amp;gt;1 FULL TITANIUM FULL KIT RACING WITH REMOVABLE DB KILLER&lt;/p&gt;_x000a_&lt;p&gt;HARD INCREASE, COMPARED TO THE ORIGINAL EXHAUST SYSTEM, IN TERMS OF TORQUE AND POWER AT ANY RANGE.&lt;/p&gt;_x000a_&lt;p&gt;HEADERS KIT DIAMETERS: 40 - 42 - 60.3mm&lt;/p&gt;_x000a_&lt;p&gt;ASTONISHING SOUND.&lt;/p&gt;"/>
    <s v="https://shop.officineitalianezard.it/contents/imgs/products/1_2274-13522704_1104217092957869_7507228771748261544_o.jpg"/>
    <m/>
    <m/>
  </r>
  <r>
    <s v="1586059035-10078"/>
    <s v="https://shop.officineitalianezard.it/en/products/"/>
    <m/>
    <s v="https://shop.officineitalianezard.it/en/mv-agusta-zard-exhaust/"/>
    <s v="F3"/>
    <s v="https://shop.officineitalianezard.it/en/mv-augusta-f3-exhausts/"/>
    <s v="PENTA VERSION"/>
    <x v="31"/>
    <s v="3&gt;1 FULL KIT"/>
    <s v="ZMW067TKR"/>
    <s v="MV-AGUSTA F3 675/800"/>
    <n v="1739.51"/>
    <n v="1932.79"/>
    <s v="&lt;p&gt;&lt;strong&gt;CIV SS 2016 WINNER!&lt;/strong&gt;&lt;/p&gt;_x000a_&lt;p&gt;3&amp;gt;1 FULL TITANIUM FULL KIT RACING WITH REMOVABLE DB KILLER&lt;/p&gt;_x000a_&lt;p&gt;HARD INCREASE, COMPARED TO THE ORIGINAL EXHAUST SYSTEM, IN TERMS OF TORQUE AND POWER AT ANY RANGE.&lt;/p&gt;_x000a_&lt;p&gt;HEADERS KIT DIAMETERS: 40 - 42 - 60.3mm&lt;/p&gt;_x000a_&lt;p&gt;ASTONISHING SOUND.&lt;/p&gt;"/>
    <s v="https://shop.officineitalianezard.it/contents/imgs/products/1_1293-2_1267-collettori%20f3%20zard%20ridotta.jpg"/>
    <m/>
    <m/>
  </r>
  <r>
    <s v="1586059038-10079"/>
    <s v="https://shop.officineitalianezard.it/en/products/"/>
    <m/>
    <s v="https://shop.officineitalianezard.it/en/mv-agusta-zard-exhaust/"/>
    <s v="F3"/>
    <s v="https://shop.officineitalianezard.it/en/mv-augusta-f3-exhausts/"/>
    <s v="INOX VERSION"/>
    <x v="32"/>
    <s v="HEADERS KIT"/>
    <s v="ZMW 066 SCR"/>
    <s v="MV-AGUSTA F3 675/800"/>
    <n v="652.87"/>
    <n v="725.41"/>
    <s v="&lt;p&gt;STEEL HEADERS RACING&lt;/p&gt;_x000a_&lt;p&gt;THIS HEADERS KIT CAN BE FITTED WITH THE ORIGINAL SILENCER&lt;/p&gt;_x000a_&lt;p&gt;HARD INCREASE, COMPARED TO THE ORIGINAL EXHAUST SYSTEM, IN TERMS OF TORQUE AND POWER AT ANY RANGE.&lt;/p&gt;_x000a_&lt;p&gt;HEADERS KIT DIAMETERS: 40 - 42 - 60.3mm&lt;/p&gt;_x000a_&lt;p&gt;ASTONISHING SOUND.&lt;/p&gt;"/>
    <s v="https://shop.officineitalianezard.it/contents/imgs/products/1_593-scarichi%20moto%20mv%20zard%202.jpg"/>
    <m/>
    <m/>
  </r>
  <r>
    <s v="1586059038-10080"/>
    <s v="https://shop.officineitalianezard.it/en/products/"/>
    <m/>
    <s v="https://shop.officineitalianezard.it/en/mv-agusta-zard-exhaust/"/>
    <s v="F3"/>
    <s v="https://shop.officineitalianezard.it/en/mv-augusta-f3-exhausts/"/>
    <s v="INOX VERSION"/>
    <x v="32"/>
    <s v="HEADERS KIT"/>
    <s v="ZMW 066 SCR"/>
    <s v="MV-AGUSTA F3 675/800"/>
    <n v="652.87"/>
    <n v="725.41"/>
    <s v="&lt;p&gt;STEEL HEADERS RACING&lt;/p&gt;_x000a_&lt;p&gt;THIS HEADERS KIT CAN BE FITTED WITH THE ORIGINAL SILENCER&lt;/p&gt;_x000a_&lt;p&gt;HARD INCREASE, COMPARED TO THE ORIGINAL EXHAUST SYSTEM, IN TERMS OF TORQUE AND POWER AT ANY RANGE.&lt;/p&gt;_x000a_&lt;p&gt;HEADERS KIT DIAMETERS: 40 - 42 - 60.3mm&lt;/p&gt;_x000a_&lt;p&gt;ASTONISHING SOUND.&lt;/p&gt;"/>
    <s v="https://shop.officineitalianezard.it/contents/imgs/products/1_1267-collettori%20f3%20zard%20ridotta.jpg"/>
    <m/>
    <m/>
  </r>
  <r>
    <s v="1586059038-10081"/>
    <s v="https://shop.officineitalianezard.it/en/products/"/>
    <m/>
    <s v="https://shop.officineitalianezard.it/en/mv-agusta-zard-exhaust/"/>
    <s v="F3"/>
    <s v="https://shop.officineitalianezard.it/en/mv-augusta-f3-exhausts/"/>
    <s v="INOX VERSION"/>
    <x v="32"/>
    <s v="HEADERS KIT"/>
    <s v="ZMW 066 SCR"/>
    <s v="MV-AGUSTA F3 675/800"/>
    <n v="652.87"/>
    <n v="725.41"/>
    <s v="&lt;p&gt;STEEL HEADERS RACING&lt;/p&gt;_x000a_&lt;p&gt;THIS HEADERS KIT CAN BE FITTED WITH THE ORIGINAL SILENCER&lt;/p&gt;_x000a_&lt;p&gt;HARD INCREASE, COMPARED TO THE ORIGINAL EXHAUST SYSTEM, IN TERMS OF TORQUE AND POWER AT ANY RANGE.&lt;/p&gt;_x000a_&lt;p&gt;HEADERS KIT DIAMETERS: 40 - 42 - 60.3mm&lt;/p&gt;_x000a_&lt;p&gt;ASTONISHING SOUND.&lt;/p&gt;"/>
    <m/>
    <s v="FULL TITANIO"/>
    <n v="362.95"/>
  </r>
  <r>
    <s v="1586059040-10082"/>
    <s v="https://shop.officineitalianezard.it/en/products/"/>
    <m/>
    <s v="https://shop.officineitalianezard.it/en/mv-agusta-zard-exhaust/"/>
    <s v="F3"/>
    <s v="https://shop.officineitalianezard.it/en/mv-augusta-f3-exhausts/"/>
    <s v="PENTA EVO VERSION"/>
    <x v="33"/>
    <s v="3&gt;1 FULL KIT"/>
    <s v="ZMW 066 SKR"/>
    <s v="MV-AGUSTA F3 675/800"/>
    <n v="1026.1500000000001"/>
    <n v="1140.1600000000001"/>
    <s v="&lt;p&gt;3&amp;gt;1 STEEL-ALUMINIUM BLACK FULL KIT RACING WITH REMOVABLE DB KILLER&lt;/p&gt;_x000a_&lt;p&gt;CARBON SILENCER IS NOT MORE AVAILABLE. THE SILENCER IS MADE OF STEEL AND BLACK ALUMINIUM WITH SAME DESIGN AS THE CARBON VERSION.&lt;/p&gt;_x000a_&lt;p&gt;HARD INCREASE, COMPARED TO THE ORIGINAL EXHAUST SYSTEM, IN TERMS OF TORQUE AND POWER AT ANY RANGE.&lt;/p&gt;_x000a_&lt;p&gt;HEADERS KIT DIAMETERS: 40 - 42 - 60.3mm&lt;/p&gt;_x000a_&lt;p&gt;ASTONISHING SOUND.&lt;/p&gt;"/>
    <s v="https://shop.officineitalianezard.it/contents/imgs/products/1_590-scarichi%20moto%20mv%20zard%201.jpg"/>
    <m/>
    <m/>
  </r>
  <r>
    <s v="1586059040-10083"/>
    <s v="https://shop.officineitalianezard.it/en/products/"/>
    <m/>
    <s v="https://shop.officineitalianezard.it/en/mv-agusta-zard-exhaust/"/>
    <s v="F3"/>
    <s v="https://shop.officineitalianezard.it/en/mv-augusta-f3-exhausts/"/>
    <s v="PENTA EVO VERSION"/>
    <x v="33"/>
    <s v="3&gt;1 FULL KIT"/>
    <s v="ZMW 066 SKR"/>
    <s v="MV-AGUSTA F3 675/800"/>
    <n v="1026.1500000000001"/>
    <n v="1140.1600000000001"/>
    <s v="&lt;p&gt;3&amp;gt;1 STEEL-ALUMINIUM BLACK FULL KIT RACING WITH REMOVABLE DB KILLER&lt;/p&gt;_x000a_&lt;p&gt;CARBON SILENCER IS NOT MORE AVAILABLE. THE SILENCER IS MADE OF STEEL AND BLACK ALUMINIUM WITH SAME DESIGN AS THE CARBON VERSION.&lt;/p&gt;_x000a_&lt;p&gt;HARD INCREASE, COMPARED TO THE ORIGINAL EXHAUST SYSTEM, IN TERMS OF TORQUE AND POWER AT ANY RANGE.&lt;/p&gt;_x000a_&lt;p&gt;HEADERS KIT DIAMETERS: 40 - 42 - 60.3mm&lt;/p&gt;_x000a_&lt;p&gt;ASTONISHING SOUND.&lt;/p&gt;"/>
    <s v="https://shop.officineitalianezard.it/contents/imgs/products/1_591-scarichi%20moto%20mv%20zard%202.jpg"/>
    <m/>
    <m/>
  </r>
  <r>
    <s v="1586059040-10084"/>
    <s v="https://shop.officineitalianezard.it/en/products/"/>
    <m/>
    <s v="https://shop.officineitalianezard.it/en/mv-agusta-zard-exhaust/"/>
    <s v="F3"/>
    <s v="https://shop.officineitalianezard.it/en/mv-augusta-f3-exhausts/"/>
    <s v="PENTA EVO VERSION"/>
    <x v="33"/>
    <s v="3&gt;1 FULL KIT"/>
    <s v="ZMW 066 SKR"/>
    <s v="MV-AGUSTA F3 675/800"/>
    <n v="1026.1500000000001"/>
    <n v="1140.1600000000001"/>
    <s v="&lt;p&gt;3&amp;gt;1 STEEL-ALUMINIUM BLACK FULL KIT RACING WITH REMOVABLE DB KILLER&lt;/p&gt;_x000a_&lt;p&gt;CARBON SILENCER IS NOT MORE AVAILABLE. THE SILENCER IS MADE OF STEEL AND BLACK ALUMINIUM WITH SAME DESIGN AS THE CARBON VERSION.&lt;/p&gt;_x000a_&lt;p&gt;HARD INCREASE, COMPARED TO THE ORIGINAL EXHAUST SYSTEM, IN TERMS OF TORQUE AND POWER AT ANY RANGE.&lt;/p&gt;_x000a_&lt;p&gt;HEADERS KIT DIAMETERS: 40 - 42 - 60.3mm&lt;/p&gt;_x000a_&lt;p&gt;ASTONISHING SOUND.&lt;/p&gt;"/>
    <s v="https://shop.officineitalianezard.it/contents/imgs/products/1_964-collettori.jpg"/>
    <m/>
    <m/>
  </r>
  <r>
    <s v="1586059040-10085"/>
    <s v="https://shop.officineitalianezard.it/en/products/"/>
    <m/>
    <s v="https://shop.officineitalianezard.it/en/mv-agusta-zard-exhaust/"/>
    <s v="F3"/>
    <s v="https://shop.officineitalianezard.it/en/mv-augusta-f3-exhausts/"/>
    <s v="PENTA EVO VERSION"/>
    <x v="33"/>
    <s v="3&gt;1 FULL KIT"/>
    <s v="ZMW 066 SKR"/>
    <s v="MV-AGUSTA F3 675/800"/>
    <n v="1026.1500000000001"/>
    <n v="1140.1600000000001"/>
    <s v="&lt;p&gt;3&amp;gt;1 STEEL-ALUMINIUM BLACK FULL KIT RACING WITH REMOVABLE DB KILLER&lt;/p&gt;_x000a_&lt;p&gt;CARBON SILENCER IS NOT MORE AVAILABLE. THE SILENCER IS MADE OF STEEL AND BLACK ALUMINIUM WITH SAME DESIGN AS THE CARBON VERSION.&lt;/p&gt;_x000a_&lt;p&gt;HARD INCREASE, COMPARED TO THE ORIGINAL EXHAUST SYSTEM, IN TERMS OF TORQUE AND POWER AT ANY RANGE.&lt;/p&gt;_x000a_&lt;p&gt;HEADERS KIT DIAMETERS: 40 - 42 - 60.3mm&lt;/p&gt;_x000a_&lt;p&gt;ASTONISHING SOUND.&lt;/p&gt;"/>
    <m/>
    <s v="TITANIUM-ALUMINIUM RACING"/>
    <n v="435.25"/>
  </r>
  <r>
    <s v="1586059040-10086"/>
    <s v="https://shop.officineitalianezard.it/en/products/"/>
    <m/>
    <s v="https://shop.officineitalianezard.it/en/mv-agusta-zard-exhaust/"/>
    <s v="F3"/>
    <s v="https://shop.officineitalianezard.it/en/mv-augusta-f3-exhausts/"/>
    <s v="PENTA EVO VERSION"/>
    <x v="33"/>
    <s v="3&gt;1 FULL KIT"/>
    <s v="ZMW 066 SKR"/>
    <s v="MV-AGUSTA F3 675/800"/>
    <n v="1026.1500000000001"/>
    <n v="1140.1600000000001"/>
    <s v="&lt;p&gt;3&amp;gt;1 STEEL-ALUMINIUM BLACK FULL KIT RACING WITH REMOVABLE DB KILLER&lt;/p&gt;_x000a_&lt;p&gt;CARBON SILENCER IS NOT MORE AVAILABLE. THE SILENCER IS MADE OF STEEL AND BLACK ALUMINIUM WITH SAME DESIGN AS THE CARBON VERSION.&lt;/p&gt;_x000a_&lt;p&gt;HARD INCREASE, COMPARED TO THE ORIGINAL EXHAUST SYSTEM, IN TERMS OF TORQUE AND POWER AT ANY RANGE.&lt;/p&gt;_x000a_&lt;p&gt;HEADERS KIT DIAMETERS: 40 - 42 - 60.3mm&lt;/p&gt;_x000a_&lt;p&gt;ASTONISHING SOUND.&lt;/p&gt;"/>
    <m/>
    <s v="CARBON ENDCAP"/>
    <n v="37.619999999999997"/>
  </r>
  <r>
    <s v="1586059049-10087"/>
    <s v="https://shop.officineitalianezard.it/en/products/"/>
    <m/>
    <s v="https://shop.officineitalianezard.it/en/triumph-zard-exhaust/"/>
    <s v="TIGER 1200"/>
    <s v="https://shop.officineitalianezard.it/en/triumph-tiger-1200-exhaust/"/>
    <s v="PENTA-R VERSION"/>
    <x v="34"/>
    <s v="SILENCER"/>
    <s v="ZTPH507SSR"/>
    <s v="TRIUMPH TIGER 1200"/>
    <n v="486.15"/>
    <n v="540.16"/>
    <s v="&lt;p&gt;STEEL RACING SILENCER WITH CARBON&amp;nbsp;ENDCAP AND HEAT SHIELD.&lt;br&gt;&lt;strong&gt;&lt;/strong&gt;&lt;/p&gt;_x000a_&lt;p&gt;ORIGINAL SILENCER WEIGHT: KG 6&lt;br&gt;ZARD STEEL SILENCER WEIGHT: KG 3.6&lt;br&gt;ZARD TITANIUM SILENCER WEIGHT: KG 3.3&lt;/p&gt;_x000a_&lt;p&gt;HARD INCREASE, COMPARED TO THE ORIGINAL EXHAUST SYSTEM, IN TERMS OF TORQUE AND POWER AT ANY RANGE.&lt;/p&gt;_x000a_&lt;p&gt;ASTONISHING SOUND.&lt;/p&gt;_x000a_&lt;p&gt;NOTICE: THE SILENCER FITS ALSO ON EXPLORER VERSION&lt;/p&gt;"/>
    <s v="https://shop.officineitalianezard.it/contents/imgs/products/1_2431-1b.jpg"/>
    <m/>
    <m/>
  </r>
  <r>
    <s v="1586059049-10088"/>
    <s v="https://shop.officineitalianezard.it/en/products/"/>
    <m/>
    <s v="https://shop.officineitalianezard.it/en/triumph-zard-exhaust/"/>
    <s v="TIGER 1200"/>
    <s v="https://shop.officineitalianezard.it/en/triumph-tiger-1200-exhaust/"/>
    <s v="PENTA-R VERSION"/>
    <x v="34"/>
    <s v="SILENCER"/>
    <s v="ZTPH507SSR"/>
    <s v="TRIUMPH TIGER 1200"/>
    <n v="486.15"/>
    <n v="540.16"/>
    <s v="&lt;p&gt;STEEL RACING SILENCER WITH CARBON&amp;nbsp;ENDCAP AND HEAT SHIELD.&lt;br&gt;&lt;strong&gt;&lt;/strong&gt;&lt;/p&gt;_x000a_&lt;p&gt;ORIGINAL SILENCER WEIGHT: KG 6&lt;br&gt;ZARD STEEL SILENCER WEIGHT: KG 3.6&lt;br&gt;ZARD TITANIUM SILENCER WEIGHT: KG 3.3&lt;/p&gt;_x000a_&lt;p&gt;HARD INCREASE, COMPARED TO THE ORIGINAL EXHAUST SYSTEM, IN TERMS OF TORQUE AND POWER AT ANY RANGE.&lt;/p&gt;_x000a_&lt;p&gt;ASTONISHING SOUND.&lt;/p&gt;_x000a_&lt;p&gt;NOTICE: THE SILENCER FITS ALSO ON EXPLORER VERSION&lt;/p&gt;"/>
    <s v="https://shop.officineitalianezard.it/contents/imgs/products/1_512-2.jpg"/>
    <m/>
    <m/>
  </r>
  <r>
    <s v="1586059049-10089"/>
    <s v="https://shop.officineitalianezard.it/en/products/"/>
    <m/>
    <s v="https://shop.officineitalianezard.it/en/triumph-zard-exhaust/"/>
    <s v="TIGER 1200"/>
    <s v="https://shop.officineitalianezard.it/en/triumph-tiger-1200-exhaust/"/>
    <s v="PENTA-R VERSION"/>
    <x v="34"/>
    <s v="SILENCER"/>
    <s v="ZTPH507SSR"/>
    <s v="TRIUMPH TIGER 1200"/>
    <n v="486.15"/>
    <n v="540.16"/>
    <s v="&lt;p&gt;STEEL RACING SILENCER WITH CARBON&amp;nbsp;ENDCAP AND HEAT SHIELD.&lt;br&gt;&lt;strong&gt;&lt;/strong&gt;&lt;/p&gt;_x000a_&lt;p&gt;ORIGINAL SILENCER WEIGHT: KG 6&lt;br&gt;ZARD STEEL SILENCER WEIGHT: KG 3.6&lt;br&gt;ZARD TITANIUM SILENCER WEIGHT: KG 3.3&lt;/p&gt;_x000a_&lt;p&gt;HARD INCREASE, COMPARED TO THE ORIGINAL EXHAUST SYSTEM, IN TERMS OF TORQUE AND POWER AT ANY RANGE.&lt;/p&gt;_x000a_&lt;p&gt;ASTONISHING SOUND.&lt;/p&gt;_x000a_&lt;p&gt;NOTICE: THE SILENCER FITS ALSO ON EXPLORER VERSION&lt;/p&gt;"/>
    <s v="https://shop.officineitalianezard.it/contents/imgs/products/1_513-3.jpg"/>
    <m/>
    <m/>
  </r>
  <r>
    <s v="1586059049-10090"/>
    <s v="https://shop.officineitalianezard.it/en/products/"/>
    <m/>
    <s v="https://shop.officineitalianezard.it/en/triumph-zard-exhaust/"/>
    <s v="TIGER 1200"/>
    <s v="https://shop.officineitalianezard.it/en/triumph-tiger-1200-exhaust/"/>
    <s v="PENTA-R VERSION"/>
    <x v="34"/>
    <s v="SILENCER"/>
    <s v="ZTPH507SSR"/>
    <s v="TRIUMPH TIGER 1200"/>
    <n v="486.15"/>
    <n v="540.16"/>
    <s v="&lt;p&gt;STEEL RACING SILENCER WITH CARBON&amp;nbsp;ENDCAP AND HEAT SHIELD.&lt;br&gt;&lt;strong&gt;&lt;/strong&gt;&lt;/p&gt;_x000a_&lt;p&gt;ORIGINAL SILENCER WEIGHT: KG 6&lt;br&gt;ZARD STEEL SILENCER WEIGHT: KG 3.6&lt;br&gt;ZARD TITANIUM SILENCER WEIGHT: KG 3.3&lt;/p&gt;_x000a_&lt;p&gt;HARD INCREASE, COMPARED TO THE ORIGINAL EXHAUST SYSTEM, IN TERMS OF TORQUE AND POWER AT ANY RANGE.&lt;/p&gt;_x000a_&lt;p&gt;ASTONISHING SOUND.&lt;/p&gt;_x000a_&lt;p&gt;NOTICE: THE SILENCER FITS ALSO ON EXPLORER VERSION&lt;/p&gt;"/>
    <s v="https://shop.officineitalianezard.it/contents/imgs/products/1_514-4.jpg"/>
    <m/>
    <m/>
  </r>
  <r>
    <s v="1586059049-10091"/>
    <s v="https://shop.officineitalianezard.it/en/products/"/>
    <m/>
    <s v="https://shop.officineitalianezard.it/en/triumph-zard-exhaust/"/>
    <s v="TIGER 1200"/>
    <s v="https://shop.officineitalianezard.it/en/triumph-tiger-1200-exhaust/"/>
    <s v="PENTA-R VERSION"/>
    <x v="34"/>
    <s v="SILENCER"/>
    <s v="ZTPH507SSR"/>
    <s v="TRIUMPH TIGER 1200"/>
    <n v="486.15"/>
    <n v="540.16"/>
    <s v="&lt;p&gt;STEEL RACING SILENCER WITH CARBON&amp;nbsp;ENDCAP AND HEAT SHIELD.&lt;br&gt;&lt;strong&gt;&lt;/strong&gt;&lt;/p&gt;_x000a_&lt;p&gt;ORIGINAL SILENCER WEIGHT: KG 6&lt;br&gt;ZARD STEEL SILENCER WEIGHT: KG 3.6&lt;br&gt;ZARD TITANIUM SILENCER WEIGHT: KG 3.3&lt;/p&gt;_x000a_&lt;p&gt;HARD INCREASE, COMPARED TO THE ORIGINAL EXHAUST SYSTEM, IN TERMS OF TORQUE AND POWER AT ANY RANGE.&lt;/p&gt;_x000a_&lt;p&gt;ASTONISHING SOUND.&lt;/p&gt;_x000a_&lt;p&gt;NOTICE: THE SILENCER FITS ALSO ON EXPLORER VERSION&lt;/p&gt;"/>
    <s v="https://shop.officineitalianezard.it/contents/imgs/products/1_977-carbon%20exhaust.jpg"/>
    <m/>
    <m/>
  </r>
  <r>
    <s v="1586059049-10092"/>
    <s v="https://shop.officineitalianezard.it/en/products/"/>
    <m/>
    <s v="https://shop.officineitalianezard.it/en/triumph-zard-exhaust/"/>
    <s v="TIGER 1200"/>
    <s v="https://shop.officineitalianezard.it/en/triumph-tiger-1200-exhaust/"/>
    <s v="PENTA-R VERSION"/>
    <x v="34"/>
    <s v="SILENCER"/>
    <s v="ZTPH507SSR"/>
    <s v="TRIUMPH TIGER 1200"/>
    <n v="486.15"/>
    <n v="540.16"/>
    <s v="&lt;p&gt;STEEL RACING SILENCER WITH CARBON&amp;nbsp;ENDCAP AND HEAT SHIELD.&lt;br&gt;&lt;strong&gt;&lt;/strong&gt;&lt;/p&gt;_x000a_&lt;p&gt;ORIGINAL SILENCER WEIGHT: KG 6&lt;br&gt;ZARD STEEL SILENCER WEIGHT: KG 3.6&lt;br&gt;ZARD TITANIUM SILENCER WEIGHT: KG 3.3&lt;/p&gt;_x000a_&lt;p&gt;HARD INCREASE, COMPARED TO THE ORIGINAL EXHAUST SYSTEM, IN TERMS OF TORQUE AND POWER AT ANY RANGE.&lt;/p&gt;_x000a_&lt;p&gt;ASTONISHING SOUND.&lt;/p&gt;_x000a_&lt;p&gt;NOTICE: THE SILENCER FITS ALSO ON EXPLORER VERSION&lt;/p&gt;"/>
    <s v="https://shop.officineitalianezard.it/contents/imgs/products/1_973-zard%20exhaust%20carbon.jpg"/>
    <m/>
    <m/>
  </r>
  <r>
    <s v="1586059049-10093"/>
    <s v="https://shop.officineitalianezard.it/en/products/"/>
    <m/>
    <s v="https://shop.officineitalianezard.it/en/triumph-zard-exhaust/"/>
    <s v="TIGER 1200"/>
    <s v="https://shop.officineitalianezard.it/en/triumph-tiger-1200-exhaust/"/>
    <s v="PENTA-R VERSION"/>
    <x v="34"/>
    <s v="SILENCER"/>
    <s v="ZTPH507SSR"/>
    <s v="TRIUMPH TIGER 1200"/>
    <n v="486.15"/>
    <n v="540.16"/>
    <s v="&lt;p&gt;STEEL RACING SILENCER WITH CARBON&amp;nbsp;ENDCAP AND HEAT SHIELD.&lt;br&gt;&lt;strong&gt;&lt;/strong&gt;&lt;/p&gt;_x000a_&lt;p&gt;ORIGINAL SILENCER WEIGHT: KG 6&lt;br&gt;ZARD STEEL SILENCER WEIGHT: KG 3.6&lt;br&gt;ZARD TITANIUM SILENCER WEIGHT: KG 3.3&lt;/p&gt;_x000a_&lt;p&gt;HARD INCREASE, COMPARED TO THE ORIGINAL EXHAUST SYSTEM, IN TERMS OF TORQUE AND POWER AT ANY RANGE.&lt;/p&gt;_x000a_&lt;p&gt;ASTONISHING SOUND.&lt;/p&gt;_x000a_&lt;p&gt;NOTICE: THE SILENCER FITS ALSO ON EXPLORER VERSION&lt;/p&gt;"/>
    <m/>
    <s v="EURO 3 HOMOLOGATED"/>
    <n v="18.440000000000001"/>
  </r>
  <r>
    <s v="1586059049-10094"/>
    <s v="https://shop.officineitalianezard.it/en/products/"/>
    <m/>
    <s v="https://shop.officineitalianezard.it/en/triumph-zard-exhaust/"/>
    <s v="TIGER 1200"/>
    <s v="https://shop.officineitalianezard.it/en/triumph-tiger-1200-exhaust/"/>
    <s v="PENTA-R VERSION"/>
    <x v="34"/>
    <s v="SILENCER"/>
    <s v="ZTPH507SSR"/>
    <s v="TRIUMPH TIGER 1200"/>
    <n v="486.15"/>
    <n v="540.16"/>
    <s v="&lt;p&gt;STEEL RACING SILENCER WITH CARBON&amp;nbsp;ENDCAP AND HEAT SHIELD.&lt;br&gt;&lt;strong&gt;&lt;/strong&gt;&lt;/p&gt;_x000a_&lt;p&gt;ORIGINAL SILENCER WEIGHT: KG 6&lt;br&gt;ZARD STEEL SILENCER WEIGHT: KG 3.6&lt;br&gt;ZARD TITANIUM SILENCER WEIGHT: KG 3.3&lt;/p&gt;_x000a_&lt;p&gt;HARD INCREASE, COMPARED TO THE ORIGINAL EXHAUST SYSTEM, IN TERMS OF TORQUE AND POWER AT ANY RANGE.&lt;/p&gt;_x000a_&lt;p&gt;ASTONISHING SOUND.&lt;/p&gt;_x000a_&lt;p&gt;NOTICE: THE SILENCER FITS ALSO ON EXPLORER VERSION&lt;/p&gt;"/>
    <m/>
    <s v="RACING CARBON VERSION"/>
    <n v="99.59"/>
  </r>
  <r>
    <s v="1586059049-10095"/>
    <s v="https://shop.officineitalianezard.it/en/products/"/>
    <m/>
    <s v="https://shop.officineitalianezard.it/en/triumph-zard-exhaust/"/>
    <s v="TIGER 1200"/>
    <s v="https://shop.officineitalianezard.it/en/triumph-tiger-1200-exhaust/"/>
    <s v="PENTA-R VERSION"/>
    <x v="34"/>
    <s v="SILENCER"/>
    <s v="ZTPH507SSR"/>
    <s v="TRIUMPH TIGER 1200"/>
    <n v="486.15"/>
    <n v="540.16"/>
    <s v="&lt;p&gt;STEEL RACING SILENCER WITH CARBON&amp;nbsp;ENDCAP AND HEAT SHIELD.&lt;br&gt;&lt;strong&gt;&lt;/strong&gt;&lt;/p&gt;_x000a_&lt;p&gt;ORIGINAL SILENCER WEIGHT: KG 6&lt;br&gt;ZARD STEEL SILENCER WEIGHT: KG 3.6&lt;br&gt;ZARD TITANIUM SILENCER WEIGHT: KG 3.3&lt;/p&gt;_x000a_&lt;p&gt;HARD INCREASE, COMPARED TO THE ORIGINAL EXHAUST SYSTEM, IN TERMS OF TORQUE AND POWER AT ANY RANGE.&lt;/p&gt;_x000a_&lt;p&gt;ASTONISHING SOUND.&lt;/p&gt;_x000a_&lt;p&gt;NOTICE: THE SILENCER FITS ALSO ON EXPLORER VERSION&lt;/p&gt;"/>
    <m/>
    <s v="HOMOLOGATED CARBON VERSION"/>
    <n v="104.75"/>
  </r>
  <r>
    <s v="1586059049-10096"/>
    <s v="https://shop.officineitalianezard.it/en/products/"/>
    <m/>
    <s v="https://shop.officineitalianezard.it/en/triumph-zard-exhaust/"/>
    <s v="TIGER 1200"/>
    <s v="https://shop.officineitalianezard.it/en/triumph-tiger-1200-exhaust/"/>
    <s v="PENTA-R VERSION"/>
    <x v="34"/>
    <s v="SILENCER"/>
    <s v="ZTPH507SSR"/>
    <s v="TRIUMPH TIGER 1200"/>
    <n v="486.15"/>
    <n v="540.16"/>
    <s v="&lt;p&gt;STEEL RACING SILENCER WITH CARBON&amp;nbsp;ENDCAP AND HEAT SHIELD.&lt;br&gt;&lt;strong&gt;&lt;/strong&gt;&lt;/p&gt;_x000a_&lt;p&gt;ORIGINAL SILENCER WEIGHT: KG 6&lt;br&gt;ZARD STEEL SILENCER WEIGHT: KG 3.6&lt;br&gt;ZARD TITANIUM SILENCER WEIGHT: KG 3.3&lt;/p&gt;_x000a_&lt;p&gt;HARD INCREASE, COMPARED TO THE ORIGINAL EXHAUST SYSTEM, IN TERMS OF TORQUE AND POWER AT ANY RANGE.&lt;/p&gt;_x000a_&lt;p&gt;ASTONISHING SOUND.&lt;/p&gt;_x000a_&lt;p&gt;NOTICE: THE SILENCER FITS ALSO ON EXPLORER VERSION&lt;/p&gt;"/>
    <m/>
    <s v="RACING TITANIUM"/>
    <n v="81.150000000000006"/>
  </r>
  <r>
    <s v="1586059049-10097"/>
    <s v="https://shop.officineitalianezard.it/en/products/"/>
    <m/>
    <s v="https://shop.officineitalianezard.it/en/triumph-zard-exhaust/"/>
    <s v="TIGER 1200"/>
    <s v="https://shop.officineitalianezard.it/en/triumph-tiger-1200-exhaust/"/>
    <s v="PENTA-R VERSION"/>
    <x v="34"/>
    <s v="SILENCER"/>
    <s v="ZTPH507SSR"/>
    <s v="TRIUMPH TIGER 1200"/>
    <n v="486.15"/>
    <n v="540.16"/>
    <s v="&lt;p&gt;STEEL RACING SILENCER WITH CARBON&amp;nbsp;ENDCAP AND HEAT SHIELD.&lt;br&gt;&lt;strong&gt;&lt;/strong&gt;&lt;/p&gt;_x000a_&lt;p&gt;ORIGINAL SILENCER WEIGHT: KG 6&lt;br&gt;ZARD STEEL SILENCER WEIGHT: KG 3.6&lt;br&gt;ZARD TITANIUM SILENCER WEIGHT: KG 3.3&lt;/p&gt;_x000a_&lt;p&gt;HARD INCREASE, COMPARED TO THE ORIGINAL EXHAUST SYSTEM, IN TERMS OF TORQUE AND POWER AT ANY RANGE.&lt;/p&gt;_x000a_&lt;p&gt;ASTONISHING SOUND.&lt;/p&gt;_x000a_&lt;p&gt;NOTICE: THE SILENCER FITS ALSO ON EXPLORER VERSION&lt;/p&gt;"/>
    <m/>
    <s v="HOMOLOGATED TITANIUM"/>
    <n v="100.33"/>
  </r>
  <r>
    <s v="1586059054-10098"/>
    <s v="https://shop.officineitalianezard.it/en/products/"/>
    <m/>
    <s v="https://shop.officineitalianezard.it/en/triumph-zard-exhaust/"/>
    <s v="TIGER 1050 2006-2012"/>
    <s v="https://shop.officineitalianezard.it/en/triumph-tiger-1050-exhaust/"/>
    <s v="PENTA VERSION"/>
    <x v="35"/>
    <s v="LOW MOUNTED SILENCER"/>
    <s v="ZTPH039ABR"/>
    <s v="TRIUMPH TIGER 1050"/>
    <n v="394.67"/>
    <n v="438.52"/>
    <s v="&lt;p&gt;LOW MOUNTED SILENCER STEEL-ALUMINIUM BLACK RACING&lt;/p&gt;_x000a_&lt;p&gt;ORIGINAL SILENCER WEIGHT: KG 5.8&lt;br&gt;ZARD SILENCER WEIGHT: KG 2.6&lt;/p&gt;_x000a_&lt;p&gt;ZARD SILENCER CAN'T BE FITTED WITH ORIGINAL TRIUMPH PANNIERS.&lt;/p&gt;_x000a_&lt;p&gt;HARD INCREASE, COMPARED TO THE ORIGINAL EXHAUST SYSTEM, IN TERMS OF TORQUE AND POWER AT ANY RANGE.&lt;/p&gt;_x000a_&lt;p&gt;ASTONISHING SOUND.&lt;/p&gt;_x000a_&lt;p&gt;NOTICE: THIS PRODUCT FITS ON 2013-2014-2015 RACING VERSIONS (NOT HOMOLOGATED).&lt;/p&gt;"/>
    <s v="https://shop.officineitalianezard.it/contents/imgs/products/1_222-1.jpg"/>
    <m/>
    <m/>
  </r>
  <r>
    <s v="1586059054-10099"/>
    <s v="https://shop.officineitalianezard.it/en/products/"/>
    <m/>
    <s v="https://shop.officineitalianezard.it/en/triumph-zard-exhaust/"/>
    <s v="TIGER 1050 2006-2012"/>
    <s v="https://shop.officineitalianezard.it/en/triumph-tiger-1050-exhaust/"/>
    <s v="PENTA VERSION"/>
    <x v="35"/>
    <s v="LOW MOUNTED SILENCER"/>
    <s v="ZTPH039ABR"/>
    <s v="TRIUMPH TIGER 1050"/>
    <n v="394.67"/>
    <n v="438.52"/>
    <s v="&lt;p&gt;LOW MOUNTED SILENCER STEEL-ALUMINIUM BLACK RACING&lt;/p&gt;_x000a_&lt;p&gt;ORIGINAL SILENCER WEIGHT: KG 5.8&lt;br&gt;ZARD SILENCER WEIGHT: KG 2.6&lt;/p&gt;_x000a_&lt;p&gt;ZARD SILENCER CAN'T BE FITTED WITH ORIGINAL TRIUMPH PANNIERS.&lt;/p&gt;_x000a_&lt;p&gt;HARD INCREASE, COMPARED TO THE ORIGINAL EXHAUST SYSTEM, IN TERMS OF TORQUE AND POWER AT ANY RANGE.&lt;/p&gt;_x000a_&lt;p&gt;ASTONISHING SOUND.&lt;/p&gt;_x000a_&lt;p&gt;NOTICE: THIS PRODUCT FITS ON 2013-2014-2015 RACING VERSIONS (NOT HOMOLOGATED).&lt;/p&gt;"/>
    <s v="https://shop.officineitalianezard.it/contents/imgs/products/1_223-2.jpg"/>
    <m/>
    <m/>
  </r>
  <r>
    <s v="1586059054-10100"/>
    <s v="https://shop.officineitalianezard.it/en/products/"/>
    <m/>
    <s v="https://shop.officineitalianezard.it/en/triumph-zard-exhaust/"/>
    <s v="TIGER 1050 2006-2012"/>
    <s v="https://shop.officineitalianezard.it/en/triumph-tiger-1050-exhaust/"/>
    <s v="PENTA VERSION"/>
    <x v="35"/>
    <s v="LOW MOUNTED SILENCER"/>
    <s v="ZTPH039ABR"/>
    <s v="TRIUMPH TIGER 1050"/>
    <n v="394.67"/>
    <n v="438.52"/>
    <s v="&lt;p&gt;LOW MOUNTED SILENCER STEEL-ALUMINIUM BLACK RACING&lt;/p&gt;_x000a_&lt;p&gt;ORIGINAL SILENCER WEIGHT: KG 5.8&lt;br&gt;ZARD SILENCER WEIGHT: KG 2.6&lt;/p&gt;_x000a_&lt;p&gt;ZARD SILENCER CAN'T BE FITTED WITH ORIGINAL TRIUMPH PANNIERS.&lt;/p&gt;_x000a_&lt;p&gt;HARD INCREASE, COMPARED TO THE ORIGINAL EXHAUST SYSTEM, IN TERMS OF TORQUE AND POWER AT ANY RANGE.&lt;/p&gt;_x000a_&lt;p&gt;ASTONISHING SOUND.&lt;/p&gt;_x000a_&lt;p&gt;NOTICE: THIS PRODUCT FITS ON 2013-2014-2015 RACING VERSIONS (NOT HOMOLOGATED).&lt;/p&gt;"/>
    <m/>
    <s v="EURO 3 HOMOLOGATED"/>
    <n v="37.619999999999997"/>
  </r>
  <r>
    <s v="1586059054-10101"/>
    <s v="https://shop.officineitalianezard.it/en/products/"/>
    <m/>
    <s v="https://shop.officineitalianezard.it/en/triumph-zard-exhaust/"/>
    <s v="TIGER 1050 2006-2012"/>
    <s v="https://shop.officineitalianezard.it/en/triumph-tiger-1050-exhaust/"/>
    <s v="PENTA VERSION"/>
    <x v="35"/>
    <s v="LOW MOUNTED SILENCER"/>
    <s v="ZTPH039ABR"/>
    <s v="TRIUMPH TIGER 1050"/>
    <n v="394.67"/>
    <n v="438.52"/>
    <s v="&lt;p&gt;LOW MOUNTED SILENCER STEEL-ALUMINIUM BLACK RACING&lt;/p&gt;_x000a_&lt;p&gt;ORIGINAL SILENCER WEIGHT: KG 5.8&lt;br&gt;ZARD SILENCER WEIGHT: KG 2.6&lt;/p&gt;_x000a_&lt;p&gt;ZARD SILENCER CAN'T BE FITTED WITH ORIGINAL TRIUMPH PANNIERS.&lt;/p&gt;_x000a_&lt;p&gt;HARD INCREASE, COMPARED TO THE ORIGINAL EXHAUST SYSTEM, IN TERMS OF TORQUE AND POWER AT ANY RANGE.&lt;/p&gt;_x000a_&lt;p&gt;ASTONISHING SOUND.&lt;/p&gt;_x000a_&lt;p&gt;NOTICE: THIS PRODUCT FITS ON 2013-2014-2015 RACING VERSIONS (NOT HOMOLOGATED).&lt;/p&gt;"/>
    <m/>
    <s v="STEEL-CARBON"/>
    <n v="57.54"/>
  </r>
  <r>
    <s v="1586059054-10102"/>
    <s v="https://shop.officineitalianezard.it/en/products/"/>
    <m/>
    <s v="https://shop.officineitalianezard.it/en/triumph-zard-exhaust/"/>
    <s v="TIGER 1050 2006-2012"/>
    <s v="https://shop.officineitalianezard.it/en/triumph-tiger-1050-exhaust/"/>
    <s v="PENTA VERSION"/>
    <x v="35"/>
    <s v="LOW MOUNTED SILENCER"/>
    <s v="ZTPH039ABR"/>
    <s v="TRIUMPH TIGER 1050"/>
    <n v="394.67"/>
    <n v="438.52"/>
    <s v="&lt;p&gt;LOW MOUNTED SILENCER STEEL-ALUMINIUM BLACK RACING&lt;/p&gt;_x000a_&lt;p&gt;ORIGINAL SILENCER WEIGHT: KG 5.8&lt;br&gt;ZARD SILENCER WEIGHT: KG 2.6&lt;/p&gt;_x000a_&lt;p&gt;ZARD SILENCER CAN'T BE FITTED WITH ORIGINAL TRIUMPH PANNIERS.&lt;/p&gt;_x000a_&lt;p&gt;HARD INCREASE, COMPARED TO THE ORIGINAL EXHAUST SYSTEM, IN TERMS OF TORQUE AND POWER AT ANY RANGE.&lt;/p&gt;_x000a_&lt;p&gt;ASTONISHING SOUND.&lt;/p&gt;_x000a_&lt;p&gt;NOTICE: THIS PRODUCT FITS ON 2013-2014-2015 RACING VERSIONS (NOT HOMOLOGATED).&lt;/p&gt;"/>
    <m/>
    <s v="CARBON ENDCAP"/>
    <n v="37.619999999999997"/>
  </r>
  <r>
    <s v="1586059056-10103"/>
    <s v="https://shop.officineitalianezard.it/en/products/"/>
    <m/>
    <s v="https://shop.officineitalianezard.it/en/triumph-zard-exhaust/"/>
    <s v="TIGER 1050 2006-2012"/>
    <s v="https://shop.officineitalianezard.it/en/triumph-tiger-1050-exhaust/"/>
    <s v="PENTA VERSION"/>
    <x v="36"/>
    <s v="HIGH MOUNTED SILENCER"/>
    <s v="ZTPH039AAR"/>
    <s v="TRIUMPH TIGER 1050"/>
    <n v="409.43"/>
    <n v="454.92"/>
    <s v="&lt;p&gt;HIGH MOUNTED STEEL-ALUMINIUM BLACK&amp;nbsp;RACING SILENCER&amp;nbsp;&lt;/p&gt;_x000a_&lt;p&gt;ORIGINAL SILENCER WEIGHT: KG 5.8&lt;br&gt;ZARD SILENCER WEIGHT: KG 2.7&lt;/p&gt;_x000a_&lt;p&gt;SILENCER CAN BE FITTED WITH ORIGINAL PANNIERS.&lt;/p&gt;_x000a_&lt;p&gt;HARD INCREASE, COMPARED TO THE ORIGINAL EXHAUST SYSTEM, IN TERMS OF TORQUE AND POWER AT ANY RANGE.&lt;/p&gt;_x000a_&lt;p&gt;ASTONISHING SOUND.&lt;/p&gt;_x000a_&lt;p&gt;NOTICE: THIS PRODUCT FITS ON 2013-2014-2015 RACING VERSIONS (NOT HOMOLOGATED).&lt;/p&gt;"/>
    <s v="https://shop.officineitalianezard.it/contents/imgs/products/1_218-1.jpg"/>
    <m/>
    <m/>
  </r>
  <r>
    <s v="1586059056-10104"/>
    <s v="https://shop.officineitalianezard.it/en/products/"/>
    <m/>
    <s v="https://shop.officineitalianezard.it/en/triumph-zard-exhaust/"/>
    <s v="TIGER 1050 2006-2012"/>
    <s v="https://shop.officineitalianezard.it/en/triumph-tiger-1050-exhaust/"/>
    <s v="PENTA VERSION"/>
    <x v="36"/>
    <s v="HIGH MOUNTED SILENCER"/>
    <s v="ZTPH039AAR"/>
    <s v="TRIUMPH TIGER 1050"/>
    <n v="409.43"/>
    <n v="454.92"/>
    <s v="&lt;p&gt;HIGH MOUNTED STEEL-ALUMINIUM BLACK&amp;nbsp;RACING SILENCER&amp;nbsp;&lt;/p&gt;_x000a_&lt;p&gt;ORIGINAL SILENCER WEIGHT: KG 5.8&lt;br&gt;ZARD SILENCER WEIGHT: KG 2.7&lt;/p&gt;_x000a_&lt;p&gt;SILENCER CAN BE FITTED WITH ORIGINAL PANNIERS.&lt;/p&gt;_x000a_&lt;p&gt;HARD INCREASE, COMPARED TO THE ORIGINAL EXHAUST SYSTEM, IN TERMS OF TORQUE AND POWER AT ANY RANGE.&lt;/p&gt;_x000a_&lt;p&gt;ASTONISHING SOUND.&lt;/p&gt;_x000a_&lt;p&gt;NOTICE: THIS PRODUCT FITS ON 2013-2014-2015 RACING VERSIONS (NOT HOMOLOGATED).&lt;/p&gt;"/>
    <s v="https://shop.officineitalianezard.it/contents/imgs/products/1_219-2.jpg"/>
    <m/>
    <m/>
  </r>
  <r>
    <s v="1586059056-10105"/>
    <s v="https://shop.officineitalianezard.it/en/products/"/>
    <m/>
    <s v="https://shop.officineitalianezard.it/en/triumph-zard-exhaust/"/>
    <s v="TIGER 1050 2006-2012"/>
    <s v="https://shop.officineitalianezard.it/en/triumph-tiger-1050-exhaust/"/>
    <s v="PENTA VERSION"/>
    <x v="36"/>
    <s v="HIGH MOUNTED SILENCER"/>
    <s v="ZTPH039AAR"/>
    <s v="TRIUMPH TIGER 1050"/>
    <n v="409.43"/>
    <n v="454.92"/>
    <s v="&lt;p&gt;HIGH MOUNTED STEEL-ALUMINIUM BLACK&amp;nbsp;RACING SILENCER&amp;nbsp;&lt;/p&gt;_x000a_&lt;p&gt;ORIGINAL SILENCER WEIGHT: KG 5.8&lt;br&gt;ZARD SILENCER WEIGHT: KG 2.7&lt;/p&gt;_x000a_&lt;p&gt;SILENCER CAN BE FITTED WITH ORIGINAL PANNIERS.&lt;/p&gt;_x000a_&lt;p&gt;HARD INCREASE, COMPARED TO THE ORIGINAL EXHAUST SYSTEM, IN TERMS OF TORQUE AND POWER AT ANY RANGE.&lt;/p&gt;_x000a_&lt;p&gt;ASTONISHING SOUND.&lt;/p&gt;_x000a_&lt;p&gt;NOTICE: THIS PRODUCT FITS ON 2013-2014-2015 RACING VERSIONS (NOT HOMOLOGATED).&lt;/p&gt;"/>
    <m/>
    <s v="EURO 3 HOMOLOGATED"/>
    <n v="46.48"/>
  </r>
  <r>
    <s v="1586059056-10106"/>
    <s v="https://shop.officineitalianezard.it/en/products/"/>
    <m/>
    <s v="https://shop.officineitalianezard.it/en/triumph-zard-exhaust/"/>
    <s v="TIGER 1050 2006-2012"/>
    <s v="https://shop.officineitalianezard.it/en/triumph-tiger-1050-exhaust/"/>
    <s v="PENTA VERSION"/>
    <x v="36"/>
    <s v="HIGH MOUNTED SILENCER"/>
    <s v="ZTPH039AAR"/>
    <s v="TRIUMPH TIGER 1050"/>
    <n v="409.43"/>
    <n v="454.92"/>
    <s v="&lt;p&gt;HIGH MOUNTED STEEL-ALUMINIUM BLACK&amp;nbsp;RACING SILENCER&amp;nbsp;&lt;/p&gt;_x000a_&lt;p&gt;ORIGINAL SILENCER WEIGHT: KG 5.8&lt;br&gt;ZARD SILENCER WEIGHT: KG 2.7&lt;/p&gt;_x000a_&lt;p&gt;SILENCER CAN BE FITTED WITH ORIGINAL PANNIERS.&lt;/p&gt;_x000a_&lt;p&gt;HARD INCREASE, COMPARED TO THE ORIGINAL EXHAUST SYSTEM, IN TERMS OF TORQUE AND POWER AT ANY RANGE.&lt;/p&gt;_x000a_&lt;p&gt;ASTONISHING SOUND.&lt;/p&gt;_x000a_&lt;p&gt;NOTICE: THIS PRODUCT FITS ON 2013-2014-2015 RACING VERSIONS (NOT HOMOLOGATED).&lt;/p&gt;"/>
    <m/>
    <s v="STEEL-CARBON"/>
    <n v="57.54"/>
  </r>
  <r>
    <s v="1586059056-10107"/>
    <s v="https://shop.officineitalianezard.it/en/products/"/>
    <m/>
    <s v="https://shop.officineitalianezard.it/en/triumph-zard-exhaust/"/>
    <s v="TIGER 1050 2006-2012"/>
    <s v="https://shop.officineitalianezard.it/en/triumph-tiger-1050-exhaust/"/>
    <s v="PENTA VERSION"/>
    <x v="36"/>
    <s v="HIGH MOUNTED SILENCER"/>
    <s v="ZTPH039AAR"/>
    <s v="TRIUMPH TIGER 1050"/>
    <n v="409.43"/>
    <n v="454.92"/>
    <s v="&lt;p&gt;HIGH MOUNTED STEEL-ALUMINIUM BLACK&amp;nbsp;RACING SILENCER&amp;nbsp;&lt;/p&gt;_x000a_&lt;p&gt;ORIGINAL SILENCER WEIGHT: KG 5.8&lt;br&gt;ZARD SILENCER WEIGHT: KG 2.7&lt;/p&gt;_x000a_&lt;p&gt;SILENCER CAN BE FITTED WITH ORIGINAL PANNIERS.&lt;/p&gt;_x000a_&lt;p&gt;HARD INCREASE, COMPARED TO THE ORIGINAL EXHAUST SYSTEM, IN TERMS OF TORQUE AND POWER AT ANY RANGE.&lt;/p&gt;_x000a_&lt;p&gt;ASTONISHING SOUND.&lt;/p&gt;_x000a_&lt;p&gt;NOTICE: THIS PRODUCT FITS ON 2013-2014-2015 RACING VERSIONS (NOT HOMOLOGATED).&lt;/p&gt;"/>
    <m/>
    <s v="CARBON ENDCAP"/>
    <n v="37.619999999999997"/>
  </r>
  <r>
    <s v="1586059061-10108"/>
    <s v="https://shop.officineitalianezard.it/en/products/"/>
    <m/>
    <s v="https://shop.officineitalianezard.it/en/triumph-zard-exhaust/"/>
    <s v="TIGER 800"/>
    <s v="https://shop.officineitalianezard.it/en/triumph-tiger-800-exhaust/"/>
    <s v="PENTA VERSION"/>
    <x v="37"/>
    <s v="HIGH MOUNTED SILENCER"/>
    <s v="ZTPH504AAR"/>
    <s v="TRIUMPH TIGER 800"/>
    <n v="418.28"/>
    <n v="464.75"/>
    <s v="&lt;p&gt;STEEL-ALUMINIUM BLACK RACING PENTA SILENCER&lt;/p&gt;_x000a_&lt;p&gt;ZARD SILENCER WEIGHT: KG 2.7&lt;/p&gt;_x000a_&lt;p&gt;HARD INCREASE, COMPARED TO THE ORIGINAL EXHAUST SYSTEM, IN TERMS OF TORQUE AND POWER AT ANY RANGE.&lt;/p&gt;_x000a_&lt;p&gt;ASTONISHING SOUND.&lt;/p&gt;"/>
    <s v="https://shop.officineitalianezard.it/contents/imgs/products/1_231-2.jpg"/>
    <m/>
    <m/>
  </r>
  <r>
    <s v="1586059061-10109"/>
    <s v="https://shop.officineitalianezard.it/en/products/"/>
    <m/>
    <s v="https://shop.officineitalianezard.it/en/triumph-zard-exhaust/"/>
    <s v="TIGER 800"/>
    <s v="https://shop.officineitalianezard.it/en/triumph-tiger-800-exhaust/"/>
    <s v="PENTA VERSION"/>
    <x v="37"/>
    <s v="HIGH MOUNTED SILENCER"/>
    <s v="ZTPH504AAR"/>
    <s v="TRIUMPH TIGER 800"/>
    <n v="418.28"/>
    <n v="464.75"/>
    <s v="&lt;p&gt;STEEL-ALUMINIUM BLACK RACING PENTA SILENCER&lt;/p&gt;_x000a_&lt;p&gt;ZARD SILENCER WEIGHT: KG 2.7&lt;/p&gt;_x000a_&lt;p&gt;HARD INCREASE, COMPARED TO THE ORIGINAL EXHAUST SYSTEM, IN TERMS OF TORQUE AND POWER AT ANY RANGE.&lt;/p&gt;_x000a_&lt;p&gt;ASTONISHING SOUND.&lt;/p&gt;"/>
    <s v="https://shop.officineitalianezard.it/contents/imgs/products/1_229-1.jpg"/>
    <m/>
    <m/>
  </r>
  <r>
    <s v="1586059061-10110"/>
    <s v="https://shop.officineitalianezard.it/en/products/"/>
    <m/>
    <s v="https://shop.officineitalianezard.it/en/triumph-zard-exhaust/"/>
    <s v="TIGER 800"/>
    <s v="https://shop.officineitalianezard.it/en/triumph-tiger-800-exhaust/"/>
    <s v="PENTA VERSION"/>
    <x v="37"/>
    <s v="HIGH MOUNTED SILENCER"/>
    <s v="ZTPH504AAR"/>
    <s v="TRIUMPH TIGER 800"/>
    <n v="418.28"/>
    <n v="464.75"/>
    <s v="&lt;p&gt;STEEL-ALUMINIUM BLACK RACING PENTA SILENCER&lt;/p&gt;_x000a_&lt;p&gt;ZARD SILENCER WEIGHT: KG 2.7&lt;/p&gt;_x000a_&lt;p&gt;HARD INCREASE, COMPARED TO THE ORIGINAL EXHAUST SYSTEM, IN TERMS OF TORQUE AND POWER AT ANY RANGE.&lt;/p&gt;_x000a_&lt;p&gt;ASTONISHING SOUND.&lt;/p&gt;"/>
    <s v="https://shop.officineitalianezard.it/contents/imgs/products/1_230-3.jpg"/>
    <m/>
    <m/>
  </r>
  <r>
    <s v="1586059061-10111"/>
    <s v="https://shop.officineitalianezard.it/en/products/"/>
    <m/>
    <s v="https://shop.officineitalianezard.it/en/triumph-zard-exhaust/"/>
    <s v="TIGER 800"/>
    <s v="https://shop.officineitalianezard.it/en/triumph-tiger-800-exhaust/"/>
    <s v="PENTA VERSION"/>
    <x v="37"/>
    <s v="HIGH MOUNTED SILENCER"/>
    <s v="ZTPH504AAR"/>
    <s v="TRIUMPH TIGER 800"/>
    <n v="418.28"/>
    <n v="464.75"/>
    <s v="&lt;p&gt;STEEL-ALUMINIUM BLACK RACING PENTA SILENCER&lt;/p&gt;_x000a_&lt;p&gt;ZARD SILENCER WEIGHT: KG 2.7&lt;/p&gt;_x000a_&lt;p&gt;HARD INCREASE, COMPARED TO THE ORIGINAL EXHAUST SYSTEM, IN TERMS OF TORQUE AND POWER AT ANY RANGE.&lt;/p&gt;_x000a_&lt;p&gt;ASTONISHING SOUND.&lt;/p&gt;"/>
    <m/>
    <s v="EURO 3 HOMOLOGATED"/>
    <n v="46.48"/>
  </r>
  <r>
    <s v="1586059061-10112"/>
    <s v="https://shop.officineitalianezard.it/en/products/"/>
    <m/>
    <s v="https://shop.officineitalianezard.it/en/triumph-zard-exhaust/"/>
    <s v="TIGER 800"/>
    <s v="https://shop.officineitalianezard.it/en/triumph-tiger-800-exhaust/"/>
    <s v="PENTA VERSION"/>
    <x v="37"/>
    <s v="HIGH MOUNTED SILENCER"/>
    <s v="ZTPH504AAR"/>
    <s v="TRIUMPH TIGER 800"/>
    <n v="418.28"/>
    <n v="464.75"/>
    <s v="&lt;p&gt;STEEL-ALUMINIUM BLACK RACING PENTA SILENCER&lt;/p&gt;_x000a_&lt;p&gt;ZARD SILENCER WEIGHT: KG 2.7&lt;/p&gt;_x000a_&lt;p&gt;HARD INCREASE, COMPARED TO THE ORIGINAL EXHAUST SYSTEM, IN TERMS OF TORQUE AND POWER AT ANY RANGE.&lt;/p&gt;_x000a_&lt;p&gt;ASTONISHING SOUND.&lt;/p&gt;"/>
    <m/>
    <s v="STEEL-CARBON"/>
    <n v="57.54"/>
  </r>
  <r>
    <s v="1586059061-10113"/>
    <s v="https://shop.officineitalianezard.it/en/products/"/>
    <m/>
    <s v="https://shop.officineitalianezard.it/en/triumph-zard-exhaust/"/>
    <s v="TIGER 800"/>
    <s v="https://shop.officineitalianezard.it/en/triumph-tiger-800-exhaust/"/>
    <s v="PENTA VERSION"/>
    <x v="37"/>
    <s v="HIGH MOUNTED SILENCER"/>
    <s v="ZTPH504AAR"/>
    <s v="TRIUMPH TIGER 800"/>
    <n v="418.28"/>
    <n v="464.75"/>
    <s v="&lt;p&gt;STEEL-ALUMINIUM BLACK RACING PENTA SILENCER&lt;/p&gt;_x000a_&lt;p&gt;ZARD SILENCER WEIGHT: KG 2.7&lt;/p&gt;_x000a_&lt;p&gt;HARD INCREASE, COMPARED TO THE ORIGINAL EXHAUST SYSTEM, IN TERMS OF TORQUE AND POWER AT ANY RANGE.&lt;/p&gt;_x000a_&lt;p&gt;ASTONISHING SOUND.&lt;/p&gt;"/>
    <m/>
    <s v="CARBON ENDCAP"/>
    <n v="37.619999999999997"/>
  </r>
  <r>
    <s v="1586059067-10114"/>
    <s v="https://shop.officineitalianezard.it/en/products/"/>
    <m/>
    <s v="https://shop.officineitalianezard.it/en/triumph-zard-exhaust/"/>
    <s v="THUNDERBIRD 2004"/>
    <s v="https://shop.officineitalianezard.it/en/triumph-thunderbird-exhaust/"/>
    <s v="CONICAL VERSION"/>
    <x v="38"/>
    <s v="SILENCERS"/>
    <s v="ZTPH050SSR"/>
    <s v="TRIUMPH THUNDERBIRD 2004"/>
    <n v="483.2"/>
    <n v="536.89"/>
    <s v="&lt;p&gt;STEEL RACING SILENCERS WITH REMOVABLE DB KILLER&lt;/p&gt;_x000a_&lt;p&gt;ZARD SILENCERS WEIGHT: 3,2KG (x 2)&lt;/p&gt;_x000a_&lt;p&gt;HARD INCREASE, COMPARED TO THE ORIGINAL EXHAUST SYSTEM, IN TERMS OF TORQUE AND POWER AT ANY RANGE.&lt;/p&gt;_x000a_&lt;p&gt;ASTONISHING SOUND.&lt;/p&gt;_x000a_&lt;p&gt;N.B. PHOTOGRAPHS SHOWS MIRROR POLISHING VERSION&amp;nbsp;&lt;/p&gt;"/>
    <s v="https://shop.officineitalianezard.it/contents/imgs/products/1_1034-triumph%20thunderbird%20zard1.jpg"/>
    <m/>
    <m/>
  </r>
  <r>
    <s v="1586059067-10115"/>
    <s v="https://shop.officineitalianezard.it/en/products/"/>
    <m/>
    <s v="https://shop.officineitalianezard.it/en/triumph-zard-exhaust/"/>
    <s v="THUNDERBIRD 2004"/>
    <s v="https://shop.officineitalianezard.it/en/triumph-thunderbird-exhaust/"/>
    <s v="CONICAL VERSION"/>
    <x v="38"/>
    <s v="SILENCERS"/>
    <s v="ZTPH050SSR"/>
    <s v="TRIUMPH THUNDERBIRD 2004"/>
    <n v="483.2"/>
    <n v="536.89"/>
    <s v="&lt;p&gt;STEEL RACING SILENCERS WITH REMOVABLE DB KILLER&lt;/p&gt;_x000a_&lt;p&gt;ZARD SILENCERS WEIGHT: 3,2KG (x 2)&lt;/p&gt;_x000a_&lt;p&gt;HARD INCREASE, COMPARED TO THE ORIGINAL EXHAUST SYSTEM, IN TERMS OF TORQUE AND POWER AT ANY RANGE.&lt;/p&gt;_x000a_&lt;p&gt;ASTONISHING SOUND.&lt;/p&gt;_x000a_&lt;p&gt;N.B. PHOTOGRAPHS SHOWS MIRROR POLISHING VERSION&amp;nbsp;&lt;/p&gt;"/>
    <s v="https://shop.officineitalianezard.it/contents/imgs/products/1_1036-triumph%20thunderbird%20zard2.jpg"/>
    <m/>
    <m/>
  </r>
  <r>
    <s v="1586059067-10116"/>
    <s v="https://shop.officineitalianezard.it/en/products/"/>
    <m/>
    <s v="https://shop.officineitalianezard.it/en/triumph-zard-exhaust/"/>
    <s v="THUNDERBIRD 2004"/>
    <s v="https://shop.officineitalianezard.it/en/triumph-thunderbird-exhaust/"/>
    <s v="CONICAL VERSION"/>
    <x v="38"/>
    <s v="SILENCERS"/>
    <s v="ZTPH050SSR"/>
    <s v="TRIUMPH THUNDERBIRD 2004"/>
    <n v="483.2"/>
    <n v="536.89"/>
    <s v="&lt;p&gt;STEEL RACING SILENCERS WITH REMOVABLE DB KILLER&lt;/p&gt;_x000a_&lt;p&gt;ZARD SILENCERS WEIGHT: 3,2KG (x 2)&lt;/p&gt;_x000a_&lt;p&gt;HARD INCREASE, COMPARED TO THE ORIGINAL EXHAUST SYSTEM, IN TERMS OF TORQUE AND POWER AT ANY RANGE.&lt;/p&gt;_x000a_&lt;p&gt;ASTONISHING SOUND.&lt;/p&gt;_x000a_&lt;p&gt;N.B. PHOTOGRAPHS SHOWS MIRROR POLISHING VERSION&amp;nbsp;&lt;/p&gt;"/>
    <s v="https://shop.officineitalianezard.it/contents/imgs/products/1_1035-triumph%20thunderbird%20zard3.jpg"/>
    <m/>
    <m/>
  </r>
  <r>
    <s v="1586059067-10117"/>
    <s v="https://shop.officineitalianezard.it/en/products/"/>
    <m/>
    <s v="https://shop.officineitalianezard.it/en/triumph-zard-exhaust/"/>
    <s v="THUNDERBIRD 2004"/>
    <s v="https://shop.officineitalianezard.it/en/triumph-thunderbird-exhaust/"/>
    <s v="CONICAL VERSION"/>
    <x v="38"/>
    <s v="SILENCERS"/>
    <s v="ZTPH050SSR"/>
    <s v="TRIUMPH THUNDERBIRD 2004"/>
    <n v="483.2"/>
    <n v="536.89"/>
    <s v="&lt;p&gt;STEEL RACING SILENCERS WITH REMOVABLE DB KILLER&lt;/p&gt;_x000a_&lt;p&gt;ZARD SILENCERS WEIGHT: 3,2KG (x 2)&lt;/p&gt;_x000a_&lt;p&gt;HARD INCREASE, COMPARED TO THE ORIGINAL EXHAUST SYSTEM, IN TERMS OF TORQUE AND POWER AT ANY RANGE.&lt;/p&gt;_x000a_&lt;p&gt;ASTONISHING SOUND.&lt;/p&gt;_x000a_&lt;p&gt;N.B. PHOTOGRAPHS SHOWS MIRROR POLISHING VERSION&amp;nbsp;&lt;/p&gt;"/>
    <m/>
    <s v="EURO 3 HOMOLOGATED"/>
    <n v="75.25"/>
  </r>
  <r>
    <s v="1586059067-10118"/>
    <s v="https://shop.officineitalianezard.it/en/products/"/>
    <m/>
    <s v="https://shop.officineitalianezard.it/en/triumph-zard-exhaust/"/>
    <s v="THUNDERBIRD 2004"/>
    <s v="https://shop.officineitalianezard.it/en/triumph-thunderbird-exhaust/"/>
    <s v="CONICAL VERSION"/>
    <x v="38"/>
    <s v="SILENCERS"/>
    <s v="ZTPH050SSR"/>
    <s v="TRIUMPH THUNDERBIRD 2004"/>
    <n v="483.2"/>
    <n v="536.89"/>
    <s v="&lt;p&gt;STEEL RACING SILENCERS WITH REMOVABLE DB KILLER&lt;/p&gt;_x000a_&lt;p&gt;ZARD SILENCERS WEIGHT: 3,2KG (x 2)&lt;/p&gt;_x000a_&lt;p&gt;HARD INCREASE, COMPARED TO THE ORIGINAL EXHAUST SYSTEM, IN TERMS OF TORQUE AND POWER AT ANY RANGE.&lt;/p&gt;_x000a_&lt;p&gt;ASTONISHING SOUND.&lt;/p&gt;_x000a_&lt;p&gt;N.B. PHOTOGRAPHS SHOWS MIRROR POLISHING VERSION&amp;nbsp;&lt;/p&gt;"/>
    <m/>
    <s v="BLACK COATING"/>
    <n v="154.18"/>
  </r>
  <r>
    <s v="1586059067-10119"/>
    <s v="https://shop.officineitalianezard.it/en/products/"/>
    <m/>
    <s v="https://shop.officineitalianezard.it/en/triumph-zard-exhaust/"/>
    <s v="THUNDERBIRD 2004"/>
    <s v="https://shop.officineitalianezard.it/en/triumph-thunderbird-exhaust/"/>
    <s v="CONICAL VERSION"/>
    <x v="38"/>
    <s v="SILENCERS"/>
    <s v="ZTPH050SSR"/>
    <s v="TRIUMPH THUNDERBIRD 2004"/>
    <n v="483.2"/>
    <n v="536.89"/>
    <s v="&lt;p&gt;STEEL RACING SILENCERS WITH REMOVABLE DB KILLER&lt;/p&gt;_x000a_&lt;p&gt;ZARD SILENCERS WEIGHT: 3,2KG (x 2)&lt;/p&gt;_x000a_&lt;p&gt;HARD INCREASE, COMPARED TO THE ORIGINAL EXHAUST SYSTEM, IN TERMS OF TORQUE AND POWER AT ANY RANGE.&lt;/p&gt;_x000a_&lt;p&gt;ASTONISHING SOUND.&lt;/p&gt;_x000a_&lt;p&gt;N.B. PHOTOGRAPHS SHOWS MIRROR POLISHING VERSION&amp;nbsp;&lt;/p&gt;"/>
    <m/>
    <s v="MIRROR POLISHING"/>
    <n v="99.59"/>
  </r>
  <r>
    <s v="1586059071-10120"/>
    <s v="https://shop.officineitalianezard.it/en/products/"/>
    <m/>
    <s v="https://shop.officineitalianezard.it/en/triumph-zard-exhaust/"/>
    <s v="THRUXTON R"/>
    <s v="https://shop.officineitalianezard.it/en/triumph-thruxton-r-exhaust/"/>
    <s v="STEEL RACING"/>
    <x v="39"/>
    <s v="DECATALYZER KIT"/>
    <s v="ZTPH066SCR"/>
    <m/>
    <n v="199.92"/>
    <n v="222.13"/>
    <s v="&lt;p&gt;STEEL RACING DECATALYZER KIT&lt;/p&gt;_x000a_&lt;p&gt;&lt;strong&gt;COMPATIBILITY MODEL:&lt;/strong&gt;&lt;/p&gt;_x000a_&lt;p&gt;TRIUMPH BONNEVILLE T120, THRUXTON R, STREET TWIN, SPEED TWIN.&lt;/p&gt;_x000a_&lt;p&gt;ZARD DECATALYZER KEEPS OEM CRANKCASE/HEAT SHIELD AND KIT CAN BE FITTED ALSO ON ORIGINAL EXHAUST.&lt;/p&gt;"/>
    <s v="https://shop.officineitalianezard.it/contents/imgs/products/1_2373-farfalla%20zard.jpg"/>
    <m/>
    <m/>
  </r>
  <r>
    <s v="1586059071-10121"/>
    <s v="https://shop.officineitalianezard.it/en/products/"/>
    <m/>
    <s v="https://shop.officineitalianezard.it/en/triumph-zard-exhaust/"/>
    <s v="THRUXTON R"/>
    <s v="https://shop.officineitalianezard.it/en/triumph-thruxton-r-exhaust/"/>
    <s v="STEEL RACING"/>
    <x v="39"/>
    <s v="DECATALYZER KIT"/>
    <s v="ZTPH066SCR"/>
    <m/>
    <n v="199.92"/>
    <n v="222.13"/>
    <s v="&lt;p&gt;STEEL RACING DECATALYZER KIT&lt;/p&gt;_x000a_&lt;p&gt;&lt;strong&gt;COMPATIBILITY MODEL:&lt;/strong&gt;&lt;/p&gt;_x000a_&lt;p&gt;TRIUMPH BONNEVILLE T120, THRUXTON R, STREET TWIN, SPEED TWIN.&lt;/p&gt;_x000a_&lt;p&gt;ZARD DECATALYZER KEEPS OEM CRANKCASE/HEAT SHIELD AND KIT CAN BE FITTED ALSO ON ORIGINAL EXHAUST.&lt;/p&gt;"/>
    <m/>
    <s v="BLACK COATING"/>
    <n v="61.97"/>
  </r>
  <r>
    <s v="1586059074-10122"/>
    <s v="https://shop.officineitalianezard.it/en/products/"/>
    <m/>
    <s v="https://shop.officineitalianezard.it/en/triumph-zard-exhaust/"/>
    <s v="THRUXTON R"/>
    <s v="https://shop.officineitalianezard.it/en/triumph-thruxton-r-exhaust/"/>
    <s v="CONICAL VERSION"/>
    <x v="40"/>
    <s v="N. 2 SILENCERS"/>
    <s v="ZTPH068SSR"/>
    <s v="TRIUMPH THRUXTON R"/>
    <n v="733.28"/>
    <n v="814.75"/>
    <s v="&lt;p&gt;N. 2 STEEL RACING SILENCERS WITH REMOVABLE DBKILLERS&lt;/p&gt;_x000a_&lt;p&gt;ORIGINAL SILENCERS WEIGHT: 6.2 KG&lt;br&gt;ZARD SILENCERS WEIGHT: 3 KG&lt;/p&gt;_x000a_&lt;p&gt;ASTONISHING SOUND,&amp;nbsp;EXCLUSIVE DESIGN.&lt;/p&gt;_x000a_&lt;p&gt;FITTING KIT INCLUDED.&lt;/p&gt;_x000a_&lt;p&gt;&lt;strong&gt;NOTICE&lt;/strong&gt;: TITANIUM VERSION HAS GOLD END CAPS AS STANDARD&lt;/p&gt;_x000a_&lt;p&gt;&lt;/p&gt;_x000a_&lt;p&gt;&lt;/p&gt;"/>
    <s v="https://shop.officineitalianezard.it/contents/imgs/products/1_1519-1.jpg"/>
    <m/>
    <m/>
  </r>
  <r>
    <s v="1586059074-10123"/>
    <s v="https://shop.officineitalianezard.it/en/products/"/>
    <m/>
    <s v="https://shop.officineitalianezard.it/en/triumph-zard-exhaust/"/>
    <s v="THRUXTON R"/>
    <s v="https://shop.officineitalianezard.it/en/triumph-thruxton-r-exhaust/"/>
    <s v="CONICAL VERSION"/>
    <x v="40"/>
    <s v="N. 2 SILENCERS"/>
    <s v="ZTPH068SSR"/>
    <s v="TRIUMPH THRUXTON R"/>
    <n v="733.28"/>
    <n v="814.75"/>
    <s v="&lt;p&gt;N. 2 STEEL RACING SILENCERS WITH REMOVABLE DBKILLERS&lt;/p&gt;_x000a_&lt;p&gt;ORIGINAL SILENCERS WEIGHT: 6.2 KG&lt;br&gt;ZARD SILENCERS WEIGHT: 3 KG&lt;/p&gt;_x000a_&lt;p&gt;ASTONISHING SOUND,&amp;nbsp;EXCLUSIVE DESIGN.&lt;/p&gt;_x000a_&lt;p&gt;FITTING KIT INCLUDED.&lt;/p&gt;_x000a_&lt;p&gt;&lt;strong&gt;NOTICE&lt;/strong&gt;: TITANIUM VERSION HAS GOLD END CAPS AS STANDARD&lt;/p&gt;_x000a_&lt;p&gt;&lt;/p&gt;_x000a_&lt;p&gt;&lt;/p&gt;"/>
    <s v="https://shop.officineitalianezard.it/contents/imgs/products/1_1520-2.jpg"/>
    <m/>
    <m/>
  </r>
  <r>
    <s v="1586059074-10124"/>
    <s v="https://shop.officineitalianezard.it/en/products/"/>
    <m/>
    <s v="https://shop.officineitalianezard.it/en/triumph-zard-exhaust/"/>
    <s v="THRUXTON R"/>
    <s v="https://shop.officineitalianezard.it/en/triumph-thruxton-r-exhaust/"/>
    <s v="CONICAL VERSION"/>
    <x v="40"/>
    <s v="N. 2 SILENCERS"/>
    <s v="ZTPH068SSR"/>
    <s v="TRIUMPH THRUXTON R"/>
    <n v="733.28"/>
    <n v="814.75"/>
    <s v="&lt;p&gt;N. 2 STEEL RACING SILENCERS WITH REMOVABLE DBKILLERS&lt;/p&gt;_x000a_&lt;p&gt;ORIGINAL SILENCERS WEIGHT: 6.2 KG&lt;br&gt;ZARD SILENCERS WEIGHT: 3 KG&lt;/p&gt;_x000a_&lt;p&gt;ASTONISHING SOUND,&amp;nbsp;EXCLUSIVE DESIGN.&lt;/p&gt;_x000a_&lt;p&gt;FITTING KIT INCLUDED.&lt;/p&gt;_x000a_&lt;p&gt;&lt;strong&gt;NOTICE&lt;/strong&gt;: TITANIUM VERSION HAS GOLD END CAPS AS STANDARD&lt;/p&gt;_x000a_&lt;p&gt;&lt;/p&gt;_x000a_&lt;p&gt;&lt;/p&gt;"/>
    <s v="https://shop.officineitalianezard.it/contents/imgs/products/1_1521-3.jpg"/>
    <m/>
    <m/>
  </r>
  <r>
    <s v="1586059074-10125"/>
    <s v="https://shop.officineitalianezard.it/en/products/"/>
    <m/>
    <s v="https://shop.officineitalianezard.it/en/triumph-zard-exhaust/"/>
    <s v="THRUXTON R"/>
    <s v="https://shop.officineitalianezard.it/en/triumph-thruxton-r-exhaust/"/>
    <s v="CONICAL VERSION"/>
    <x v="40"/>
    <s v="N. 2 SILENCERS"/>
    <s v="ZTPH068SSR"/>
    <s v="TRIUMPH THRUXTON R"/>
    <n v="733.28"/>
    <n v="814.75"/>
    <s v="&lt;p&gt;N. 2 STEEL RACING SILENCERS WITH REMOVABLE DBKILLERS&lt;/p&gt;_x000a_&lt;p&gt;ORIGINAL SILENCERS WEIGHT: 6.2 KG&lt;br&gt;ZARD SILENCERS WEIGHT: 3 KG&lt;/p&gt;_x000a_&lt;p&gt;ASTONISHING SOUND,&amp;nbsp;EXCLUSIVE DESIGN.&lt;/p&gt;_x000a_&lt;p&gt;FITTING KIT INCLUDED.&lt;/p&gt;_x000a_&lt;p&gt;&lt;strong&gt;NOTICE&lt;/strong&gt;: TITANIUM VERSION HAS GOLD END CAPS AS STANDARD&lt;/p&gt;_x000a_&lt;p&gt;&lt;/p&gt;_x000a_&lt;p&gt;&lt;/p&gt;"/>
    <s v="https://shop.officineitalianezard.it/contents/imgs/products/1_2027-scarico%20thruxton%20r.jpg"/>
    <m/>
    <m/>
  </r>
  <r>
    <s v="1586059074-10126"/>
    <s v="https://shop.officineitalianezard.it/en/products/"/>
    <m/>
    <s v="https://shop.officineitalianezard.it/en/triumph-zard-exhaust/"/>
    <s v="THRUXTON R"/>
    <s v="https://shop.officineitalianezard.it/en/triumph-thruxton-r-exhaust/"/>
    <s v="CONICAL VERSION"/>
    <x v="40"/>
    <s v="N. 2 SILENCERS"/>
    <s v="ZTPH068SSR"/>
    <s v="TRIUMPH THRUXTON R"/>
    <n v="733.28"/>
    <n v="814.75"/>
    <s v="&lt;p&gt;N. 2 STEEL RACING SILENCERS WITH REMOVABLE DBKILLERS&lt;/p&gt;_x000a_&lt;p&gt;ORIGINAL SILENCERS WEIGHT: 6.2 KG&lt;br&gt;ZARD SILENCERS WEIGHT: 3 KG&lt;/p&gt;_x000a_&lt;p&gt;ASTONISHING SOUND,&amp;nbsp;EXCLUSIVE DESIGN.&lt;/p&gt;_x000a_&lt;p&gt;FITTING KIT INCLUDED.&lt;/p&gt;_x000a_&lt;p&gt;&lt;strong&gt;NOTICE&lt;/strong&gt;: TITANIUM VERSION HAS GOLD END CAPS AS STANDARD&lt;/p&gt;_x000a_&lt;p&gt;&lt;/p&gt;_x000a_&lt;p&gt;&lt;/p&gt;"/>
    <s v="https://shop.officineitalianezard.it/contents/imgs/products/1_1560-decatalizzatore%20zard.jpg"/>
    <m/>
    <m/>
  </r>
  <r>
    <s v="1586059074-10127"/>
    <s v="https://shop.officineitalianezard.it/en/products/"/>
    <m/>
    <s v="https://shop.officineitalianezard.it/en/triumph-zard-exhaust/"/>
    <s v="THRUXTON R"/>
    <s v="https://shop.officineitalianezard.it/en/triumph-thruxton-r-exhaust/"/>
    <s v="CONICAL VERSION"/>
    <x v="40"/>
    <s v="N. 2 SILENCERS"/>
    <s v="ZTPH068SSR"/>
    <s v="TRIUMPH THRUXTON R"/>
    <n v="733.28"/>
    <n v="814.75"/>
    <s v="&lt;p&gt;N. 2 STEEL RACING SILENCERS WITH REMOVABLE DBKILLERS&lt;/p&gt;_x000a_&lt;p&gt;ORIGINAL SILENCERS WEIGHT: 6.2 KG&lt;br&gt;ZARD SILENCERS WEIGHT: 3 KG&lt;/p&gt;_x000a_&lt;p&gt;ASTONISHING SOUND,&amp;nbsp;EXCLUSIVE DESIGN.&lt;/p&gt;_x000a_&lt;p&gt;FITTING KIT INCLUDED.&lt;/p&gt;_x000a_&lt;p&gt;&lt;strong&gt;NOTICE&lt;/strong&gt;: TITANIUM VERSION HAS GOLD END CAPS AS STANDARD&lt;/p&gt;_x000a_&lt;p&gt;&lt;/p&gt;_x000a_&lt;p&gt;&lt;/p&gt;"/>
    <m/>
    <s v="EURO 4 HOMOLOGATED"/>
    <n v="100.33"/>
  </r>
  <r>
    <s v="1586059074-10128"/>
    <s v="https://shop.officineitalianezard.it/en/products/"/>
    <m/>
    <s v="https://shop.officineitalianezard.it/en/triumph-zard-exhaust/"/>
    <s v="THRUXTON R"/>
    <s v="https://shop.officineitalianezard.it/en/triumph-thruxton-r-exhaust/"/>
    <s v="CONICAL VERSION"/>
    <x v="40"/>
    <s v="N. 2 SILENCERS"/>
    <s v="ZTPH068SSR"/>
    <s v="TRIUMPH THRUXTON R"/>
    <n v="733.28"/>
    <n v="814.75"/>
    <s v="&lt;p&gt;N. 2 STEEL RACING SILENCERS WITH REMOVABLE DBKILLERS&lt;/p&gt;_x000a_&lt;p&gt;ORIGINAL SILENCERS WEIGHT: 6.2 KG&lt;br&gt;ZARD SILENCERS WEIGHT: 3 KG&lt;/p&gt;_x000a_&lt;p&gt;ASTONISHING SOUND,&amp;nbsp;EXCLUSIVE DESIGN.&lt;/p&gt;_x000a_&lt;p&gt;FITTING KIT INCLUDED.&lt;/p&gt;_x000a_&lt;p&gt;&lt;strong&gt;NOTICE&lt;/strong&gt;: TITANIUM VERSION HAS GOLD END CAPS AS STANDARD&lt;/p&gt;_x000a_&lt;p&gt;&lt;/p&gt;_x000a_&lt;p&gt;&lt;/p&gt;"/>
    <m/>
    <s v="BLACK COATING"/>
    <n v="140.9"/>
  </r>
  <r>
    <s v="1586059074-10129"/>
    <s v="https://shop.officineitalianezard.it/en/products/"/>
    <m/>
    <s v="https://shop.officineitalianezard.it/en/triumph-zard-exhaust/"/>
    <s v="THRUXTON R"/>
    <s v="https://shop.officineitalianezard.it/en/triumph-thruxton-r-exhaust/"/>
    <s v="CONICAL VERSION"/>
    <x v="40"/>
    <s v="N. 2 SILENCERS"/>
    <s v="ZTPH068SSR"/>
    <s v="TRIUMPH THRUXTON R"/>
    <n v="733.28"/>
    <n v="814.75"/>
    <s v="&lt;p&gt;N. 2 STEEL RACING SILENCERS WITH REMOVABLE DBKILLERS&lt;/p&gt;_x000a_&lt;p&gt;ORIGINAL SILENCERS WEIGHT: 6.2 KG&lt;br&gt;ZARD SILENCERS WEIGHT: 3 KG&lt;/p&gt;_x000a_&lt;p&gt;ASTONISHING SOUND,&amp;nbsp;EXCLUSIVE DESIGN.&lt;/p&gt;_x000a_&lt;p&gt;FITTING KIT INCLUDED.&lt;/p&gt;_x000a_&lt;p&gt;&lt;strong&gt;NOTICE&lt;/strong&gt;: TITANIUM VERSION HAS GOLD END CAPS AS STANDARD&lt;/p&gt;_x000a_&lt;p&gt;&lt;/p&gt;_x000a_&lt;p&gt;&lt;/p&gt;"/>
    <m/>
    <s v="TITANIUM VERSION"/>
    <n v="198.44"/>
  </r>
  <r>
    <s v="1586059081-10130"/>
    <s v="https://shop.officineitalianezard.it/en/products/"/>
    <m/>
    <s v="https://shop.officineitalianezard.it/en/triumph-zard-exhaust/"/>
    <s v="THRUXTON"/>
    <s v="https://shop.officineitalianezard.it/en/triumph-thruxton-exhaust/"/>
    <s v="TROFEO VERSION"/>
    <x v="41"/>
    <s v="FULL KIT"/>
    <s v="ZTPH030SKR"/>
    <s v="TRIUMPH THRUXTON"/>
    <n v="1079.26"/>
    <n v="1199.18"/>
    <s v="&lt;p&gt;STEEL RACING FULL KIT&lt;/p&gt;_x000a_&lt;p&gt;ORIGINAL FULL KIT WEIGHT: KG 9.3&lt;br&gt;ZARD FULL KIT WEIGHT: KG 5.3&lt;/p&gt;_x000a_&lt;p&gt;HARD INCREASE, COMPARED TO THE ORIGINAL EXHAUST SYSTEM, IN TERMS OF TORQUE IN THE 4000-6500 RPM RANGE AND POWER (+3 HP).&lt;/p&gt;_x000a_&lt;p&gt;ASTONISHING SOUND.&lt;/p&gt;"/>
    <s v="https://shop.officineitalianezard.it/contents/imgs/products/1_217-thruxtontrofeogallery3.jpg"/>
    <m/>
    <m/>
  </r>
  <r>
    <s v="1586059081-10131"/>
    <s v="https://shop.officineitalianezard.it/en/products/"/>
    <m/>
    <s v="https://shop.officineitalianezard.it/en/triumph-zard-exhaust/"/>
    <s v="THRUXTON"/>
    <s v="https://shop.officineitalianezard.it/en/triumph-thruxton-exhaust/"/>
    <s v="TROFEO VERSION"/>
    <x v="41"/>
    <s v="FULL KIT"/>
    <s v="ZTPH030SKR"/>
    <s v="TRIUMPH THRUXTON"/>
    <n v="1079.26"/>
    <n v="1199.18"/>
    <s v="&lt;p&gt;STEEL RACING FULL KIT&lt;/p&gt;_x000a_&lt;p&gt;ORIGINAL FULL KIT WEIGHT: KG 9.3&lt;br&gt;ZARD FULL KIT WEIGHT: KG 5.3&lt;/p&gt;_x000a_&lt;p&gt;HARD INCREASE, COMPARED TO THE ORIGINAL EXHAUST SYSTEM, IN TERMS OF TORQUE IN THE 4000-6500 RPM RANGE AND POWER (+3 HP).&lt;/p&gt;_x000a_&lt;p&gt;ASTONISHING SOUND.&lt;/p&gt;"/>
    <s v="https://shop.officineitalianezard.it/contents/imgs/products/1_216-thruxtontrofeogallery2.jpg"/>
    <m/>
    <m/>
  </r>
  <r>
    <s v="1586059081-10132"/>
    <s v="https://shop.officineitalianezard.it/en/products/"/>
    <m/>
    <s v="https://shop.officineitalianezard.it/en/triumph-zard-exhaust/"/>
    <s v="THRUXTON"/>
    <s v="https://shop.officineitalianezard.it/en/triumph-thruxton-exhaust/"/>
    <s v="TROFEO VERSION"/>
    <x v="41"/>
    <s v="FULL KIT"/>
    <s v="ZTPH030SKR"/>
    <s v="TRIUMPH THRUXTON"/>
    <n v="1079.26"/>
    <n v="1199.18"/>
    <s v="&lt;p&gt;STEEL RACING FULL KIT&lt;/p&gt;_x000a_&lt;p&gt;ORIGINAL FULL KIT WEIGHT: KG 9.3&lt;br&gt;ZARD FULL KIT WEIGHT: KG 5.3&lt;/p&gt;_x000a_&lt;p&gt;HARD INCREASE, COMPARED TO THE ORIGINAL EXHAUST SYSTEM, IN TERMS OF TORQUE IN THE 4000-6500 RPM RANGE AND POWER (+3 HP).&lt;/p&gt;_x000a_&lt;p&gt;ASTONISHING SOUND.&lt;/p&gt;"/>
    <m/>
    <s v="BLACK COATING"/>
    <n v="246.39"/>
  </r>
  <r>
    <s v="1586059081-10133"/>
    <s v="https://shop.officineitalianezard.it/en/products/"/>
    <m/>
    <s v="https://shop.officineitalianezard.it/en/triumph-zard-exhaust/"/>
    <s v="THRUXTON"/>
    <s v="https://shop.officineitalianezard.it/en/triumph-thruxton-exhaust/"/>
    <s v="TROFEO VERSION"/>
    <x v="41"/>
    <s v="FULL KIT"/>
    <s v="ZTPH030SKR"/>
    <s v="TRIUMPH THRUXTON"/>
    <n v="1079.26"/>
    <n v="1199.18"/>
    <s v="&lt;p&gt;STEEL RACING FULL KIT&lt;/p&gt;_x000a_&lt;p&gt;ORIGINAL FULL KIT WEIGHT: KG 9.3&lt;br&gt;ZARD FULL KIT WEIGHT: KG 5.3&lt;/p&gt;_x000a_&lt;p&gt;HARD INCREASE, COMPARED TO THE ORIGINAL EXHAUST SYSTEM, IN TERMS OF TORQUE IN THE 4000-6500 RPM RANGE AND POWER (+3 HP).&lt;/p&gt;_x000a_&lt;p&gt;ASTONISHING SOUND.&lt;/p&gt;"/>
    <m/>
    <s v="BLACK END-CAPS"/>
    <n v="56.8"/>
  </r>
  <r>
    <s v="1586059084-10134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2"/>
    <s v="2&gt;1 FULL KIT CROSS VERSION"/>
    <s v="ZTPH 034 SKC"/>
    <s v="TRIUMPH THRUXTON"/>
    <n v="691.23"/>
    <n v="768.03"/>
    <s v="&lt;p&gt;2&amp;gt;1 STEEL RACING FULL KIT&lt;/p&gt;_x000a_&lt;p&gt;ORIGINAL FULL KIT WEIGHT: KG 11.6&lt;br&gt;ZARD FULL KIT WEIGHT: KG 4.4&lt;/p&gt;_x000a_&lt;p&gt;HARD INCREASE, COMPARED TO THE ORIGINAL EXHAUST SYSTEM, IN TERMS OF TORQUE IN THE 4000-6500 RPM RANGE AND POWER (+2 HP).&lt;/p&gt;_x000a_&lt;p&gt;ASTONISHING SOUND.&lt;/p&gt;"/>
    <s v="https://shop.officineitalianezard.it/contents/imgs/products/1_203-1.jpg"/>
    <m/>
    <m/>
  </r>
  <r>
    <s v="1586059084-10135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2"/>
    <s v="2&gt;1 FULL KIT CROSS VERSION"/>
    <s v="ZTPH 034 SKC"/>
    <s v="TRIUMPH THRUXTON"/>
    <n v="691.23"/>
    <n v="768.03"/>
    <s v="&lt;p&gt;2&amp;gt;1 STEEL RACING FULL KIT&lt;/p&gt;_x000a_&lt;p&gt;ORIGINAL FULL KIT WEIGHT: KG 11.6&lt;br&gt;ZARD FULL KIT WEIGHT: KG 4.4&lt;/p&gt;_x000a_&lt;p&gt;HARD INCREASE, COMPARED TO THE ORIGINAL EXHAUST SYSTEM, IN TERMS OF TORQUE IN THE 4000-6500 RPM RANGE AND POWER (+2 HP).&lt;/p&gt;_x000a_&lt;p&gt;ASTONISHING SOUND.&lt;/p&gt;"/>
    <s v="https://shop.officineitalianezard.it/contents/imgs/products/1_204-2.jpg"/>
    <m/>
    <m/>
  </r>
  <r>
    <s v="1586059084-10136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2"/>
    <s v="2&gt;1 FULL KIT CROSS VERSION"/>
    <s v="ZTPH 034 SKC"/>
    <s v="TRIUMPH THRUXTON"/>
    <n v="691.23"/>
    <n v="768.03"/>
    <s v="&lt;p&gt;2&amp;gt;1 STEEL RACING FULL KIT&lt;/p&gt;_x000a_&lt;p&gt;ORIGINAL FULL KIT WEIGHT: KG 11.6&lt;br&gt;ZARD FULL KIT WEIGHT: KG 4.4&lt;/p&gt;_x000a_&lt;p&gt;HARD INCREASE, COMPARED TO THE ORIGINAL EXHAUST SYSTEM, IN TERMS OF TORQUE IN THE 4000-6500 RPM RANGE AND POWER (+2 HP).&lt;/p&gt;_x000a_&lt;p&gt;ASTONISHING SOUND.&lt;/p&gt;"/>
    <s v="https://shop.officineitalianezard.it/contents/imgs/products/1_949-scarichi%20moto%20zard%20cross.jpg"/>
    <m/>
    <m/>
  </r>
  <r>
    <s v="1586059084-10137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2"/>
    <s v="2&gt;1 FULL KIT CROSS VERSION"/>
    <s v="ZTPH 034 SKC"/>
    <s v="TRIUMPH THRUXTON"/>
    <n v="691.23"/>
    <n v="768.03"/>
    <s v="&lt;p&gt;2&amp;gt;1 STEEL RACING FULL KIT&lt;/p&gt;_x000a_&lt;p&gt;ORIGINAL FULL KIT WEIGHT: KG 11.6&lt;br&gt;ZARD FULL KIT WEIGHT: KG 4.4&lt;/p&gt;_x000a_&lt;p&gt;HARD INCREASE, COMPARED TO THE ORIGINAL EXHAUST SYSTEM, IN TERMS OF TORQUE IN THE 4000-6500 RPM RANGE AND POWER (+2 HP).&lt;/p&gt;_x000a_&lt;p&gt;ASTONISHING SOUND.&lt;/p&gt;"/>
    <s v="https://shop.officineitalianezard.it/contents/imgs/products/1_1153-11017541_10153917985646632_8025402486644623573_n.jpg"/>
    <m/>
    <m/>
  </r>
  <r>
    <s v="1586059084-10138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2"/>
    <s v="2&gt;1 FULL KIT CROSS VERSION"/>
    <s v="ZTPH 034 SKC"/>
    <s v="TRIUMPH THRUXTON"/>
    <n v="691.23"/>
    <n v="768.03"/>
    <s v="&lt;p&gt;2&amp;gt;1 STEEL RACING FULL KIT&lt;/p&gt;_x000a_&lt;p&gt;ORIGINAL FULL KIT WEIGHT: KG 11.6&lt;br&gt;ZARD FULL KIT WEIGHT: KG 4.4&lt;/p&gt;_x000a_&lt;p&gt;HARD INCREASE, COMPARED TO THE ORIGINAL EXHAUST SYSTEM, IN TERMS OF TORQUE IN THE 4000-6500 RPM RANGE AND POWER (+2 HP).&lt;/p&gt;_x000a_&lt;p&gt;ASTONISHING SOUND.&lt;/p&gt;"/>
    <s v="https://shop.officineitalianezard.it/contents/imgs/products/1_1152-11259175_10153917986126632_709285374156847894_n.jpg"/>
    <m/>
    <m/>
  </r>
  <r>
    <s v="1586059084-10139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2"/>
    <s v="2&gt;1 FULL KIT CROSS VERSION"/>
    <s v="ZTPH 034 SKC"/>
    <s v="TRIUMPH THRUXTON"/>
    <n v="691.23"/>
    <n v="768.03"/>
    <s v="&lt;p&gt;2&amp;gt;1 STEEL RACING FULL KIT&lt;/p&gt;_x000a_&lt;p&gt;ORIGINAL FULL KIT WEIGHT: KG 11.6&lt;br&gt;ZARD FULL KIT WEIGHT: KG 4.4&lt;/p&gt;_x000a_&lt;p&gt;HARD INCREASE, COMPARED TO THE ORIGINAL EXHAUST SYSTEM, IN TERMS OF TORQUE IN THE 4000-6500 RPM RANGE AND POWER (+2 HP).&lt;/p&gt;_x000a_&lt;p&gt;ASTONISHING SOUND.&lt;/p&gt;"/>
    <m/>
    <s v="BLACK CERAMIC COATING"/>
    <n v="169.67"/>
  </r>
  <r>
    <s v="1586059084-10140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2"/>
    <s v="2&gt;1 FULL KIT CROSS VERSION"/>
    <s v="ZTPH 034 SKC"/>
    <s v="TRIUMPH THRUXTON"/>
    <n v="691.23"/>
    <n v="768.03"/>
    <s v="&lt;p&gt;2&amp;gt;1 STEEL RACING FULL KIT&lt;/p&gt;_x000a_&lt;p&gt;ORIGINAL FULL KIT WEIGHT: KG 11.6&lt;br&gt;ZARD FULL KIT WEIGHT: KG 4.4&lt;/p&gt;_x000a_&lt;p&gt;HARD INCREASE, COMPARED TO THE ORIGINAL EXHAUST SYSTEM, IN TERMS OF TORQUE IN THE 4000-6500 RPM RANGE AND POWER (+2 HP).&lt;/p&gt;_x000a_&lt;p&gt;ASTONISHING SOUND.&lt;/p&gt;"/>
    <m/>
    <s v="POLISHED"/>
    <n v="96.64"/>
  </r>
  <r>
    <s v="1586059086-10141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3"/>
    <s v="2&gt;1 FULL KIT CROSS VERSION"/>
    <s v="ZTPH034SKC-08"/>
    <s v="TRIUMPH THRUXTON"/>
    <n v="691.23"/>
    <n v="768.03"/>
    <s v="&lt;p&gt;2&amp;gt;1 STEEL RACING FULL KIT&lt;/p&gt;_x000a_&lt;p&gt;ORIGINAL FULL KIT WEIGHT: KG 11.6&lt;br&gt;ZARD FULL KIT WEIGHT: KG 4.4&lt;/p&gt;_x000a_&lt;p&gt;HARD INCREASE, COMPARED TO THE ORIGINAL EXHAUST SYSTEM, IN TERMS OF TORQUE IN THE 4000-6500 RPM RANGE AND POWER (+2 HP).&lt;/p&gt;_x000a_&lt;p&gt;ASTONISHING SOUND.&lt;/p&gt;"/>
    <s v="https://shop.officineitalianezard.it/contents/imgs/products/1_197-1.jpg"/>
    <m/>
    <m/>
  </r>
  <r>
    <s v="1586059086-10142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3"/>
    <s v="2&gt;1 FULL KIT CROSS VERSION"/>
    <s v="ZTPH034SKC-08"/>
    <s v="TRIUMPH THRUXTON"/>
    <n v="691.23"/>
    <n v="768.03"/>
    <s v="&lt;p&gt;2&amp;gt;1 STEEL RACING FULL KIT&lt;/p&gt;_x000a_&lt;p&gt;ORIGINAL FULL KIT WEIGHT: KG 11.6&lt;br&gt;ZARD FULL KIT WEIGHT: KG 4.4&lt;/p&gt;_x000a_&lt;p&gt;HARD INCREASE, COMPARED TO THE ORIGINAL EXHAUST SYSTEM, IN TERMS OF TORQUE IN THE 4000-6500 RPM RANGE AND POWER (+2 HP).&lt;/p&gt;_x000a_&lt;p&gt;ASTONISHING SOUND.&lt;/p&gt;"/>
    <s v="https://shop.officineitalianezard.it/contents/imgs/products/1_198-2.jpg"/>
    <m/>
    <m/>
  </r>
  <r>
    <s v="1586059086-10143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3"/>
    <s v="2&gt;1 FULL KIT CROSS VERSION"/>
    <s v="ZTPH034SKC-08"/>
    <s v="TRIUMPH THRUXTON"/>
    <n v="691.23"/>
    <n v="768.03"/>
    <s v="&lt;p&gt;2&amp;gt;1 STEEL RACING FULL KIT&lt;/p&gt;_x000a_&lt;p&gt;ORIGINAL FULL KIT WEIGHT: KG 11.6&lt;br&gt;ZARD FULL KIT WEIGHT: KG 4.4&lt;/p&gt;_x000a_&lt;p&gt;HARD INCREASE, COMPARED TO THE ORIGINAL EXHAUST SYSTEM, IN TERMS OF TORQUE IN THE 4000-6500 RPM RANGE AND POWER (+2 HP).&lt;/p&gt;_x000a_&lt;p&gt;ASTONISHING SOUND.&lt;/p&gt;"/>
    <s v="https://shop.officineitalianezard.it/contents/imgs/products/1_948-scarichi%20moto%20zard%20cross.jpg"/>
    <m/>
    <m/>
  </r>
  <r>
    <s v="1586059086-10144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3"/>
    <s v="2&gt;1 FULL KIT CROSS VERSION"/>
    <s v="ZTPH034SKC-08"/>
    <s v="TRIUMPH THRUXTON"/>
    <n v="691.23"/>
    <n v="768.03"/>
    <s v="&lt;p&gt;2&amp;gt;1 STEEL RACING FULL KIT&lt;/p&gt;_x000a_&lt;p&gt;ORIGINAL FULL KIT WEIGHT: KG 11.6&lt;br&gt;ZARD FULL KIT WEIGHT: KG 4.4&lt;/p&gt;_x000a_&lt;p&gt;HARD INCREASE, COMPARED TO THE ORIGINAL EXHAUST SYSTEM, IN TERMS OF TORQUE IN THE 4000-6500 RPM RANGE AND POWER (+2 HP).&lt;/p&gt;_x000a_&lt;p&gt;ASTONISHING SOUND.&lt;/p&gt;"/>
    <s v="https://shop.officineitalianezard.it/contents/imgs/products/1_1151-11017541_10153917985646632_8025402486644623573_n.jpg"/>
    <m/>
    <m/>
  </r>
  <r>
    <s v="1586059086-10145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3"/>
    <s v="2&gt;1 FULL KIT CROSS VERSION"/>
    <s v="ZTPH034SKC-08"/>
    <s v="TRIUMPH THRUXTON"/>
    <n v="691.23"/>
    <n v="768.03"/>
    <s v="&lt;p&gt;2&amp;gt;1 STEEL RACING FULL KIT&lt;/p&gt;_x000a_&lt;p&gt;ORIGINAL FULL KIT WEIGHT: KG 11.6&lt;br&gt;ZARD FULL KIT WEIGHT: KG 4.4&lt;/p&gt;_x000a_&lt;p&gt;HARD INCREASE, COMPARED TO THE ORIGINAL EXHAUST SYSTEM, IN TERMS OF TORQUE IN THE 4000-6500 RPM RANGE AND POWER (+2 HP).&lt;/p&gt;_x000a_&lt;p&gt;ASTONISHING SOUND.&lt;/p&gt;"/>
    <s v="https://shop.officineitalianezard.it/contents/imgs/products/1_1150-11259175_10153917986126632_709285374156847894_n.jpg"/>
    <m/>
    <m/>
  </r>
  <r>
    <s v="1586059086-10146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3"/>
    <s v="2&gt;1 FULL KIT CROSS VERSION"/>
    <s v="ZTPH034SKC-08"/>
    <s v="TRIUMPH THRUXTON"/>
    <n v="691.23"/>
    <n v="768.03"/>
    <s v="&lt;p&gt;2&amp;gt;1 STEEL RACING FULL KIT&lt;/p&gt;_x000a_&lt;p&gt;ORIGINAL FULL KIT WEIGHT: KG 11.6&lt;br&gt;ZARD FULL KIT WEIGHT: KG 4.4&lt;/p&gt;_x000a_&lt;p&gt;HARD INCREASE, COMPARED TO THE ORIGINAL EXHAUST SYSTEM, IN TERMS OF TORQUE IN THE 4000-6500 RPM RANGE AND POWER (+2 HP).&lt;/p&gt;_x000a_&lt;p&gt;ASTONISHING SOUND.&lt;/p&gt;"/>
    <m/>
    <s v="BLACK COATING"/>
    <n v="169.67"/>
  </r>
  <r>
    <s v="1586059086-10147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3"/>
    <s v="2&gt;1 FULL KIT CROSS VERSION"/>
    <s v="ZTPH034SKC-08"/>
    <s v="TRIUMPH THRUXTON"/>
    <n v="691.23"/>
    <n v="768.03"/>
    <s v="&lt;p&gt;2&amp;gt;1 STEEL RACING FULL KIT&lt;/p&gt;_x000a_&lt;p&gt;ORIGINAL FULL KIT WEIGHT: KG 11.6&lt;br&gt;ZARD FULL KIT WEIGHT: KG 4.4&lt;/p&gt;_x000a_&lt;p&gt;HARD INCREASE, COMPARED TO THE ORIGINAL EXHAUST SYSTEM, IN TERMS OF TORQUE IN THE 4000-6500 RPM RANGE AND POWER (+2 HP).&lt;/p&gt;_x000a_&lt;p&gt;ASTONISHING SOUND.&lt;/p&gt;"/>
    <m/>
    <s v="POLISHED"/>
    <n v="96.64"/>
  </r>
  <r>
    <s v="1586059089-10148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4"/>
    <s v="2&gt;1 LOW MOUNTED FULL KIT"/>
    <s v="ZTPH036SKB-08"/>
    <s v="TRIUMPH THRUXTON"/>
    <n v="712.62"/>
    <n v="791.8"/>
    <s v="&lt;p&gt;2&amp;gt;1 FULL KIT STEEL RACING&lt;/p&gt;_x000a_&lt;p&gt;ORIGINAL FULL KIT WEIGHT: KG 9.3&lt;br&gt;ZARD FULL KIT WEIGHT: KG 6.8&lt;/p&gt;_x000a_&lt;p&gt;HARD INCREASE, COMPARED TO THE ORIGINAL EXHAUST SYSTEM, IN TERMS OF TORQUE IN THE 4000-6500 RPM RANGE AND POWER (+1.5 HP).&lt;/p&gt;_x000a_&lt;p&gt;ASTONISHING SOUND.&lt;/p&gt;"/>
    <s v="https://shop.officineitalianezard.it/contents/imgs/products/1_194-2.jpg"/>
    <m/>
    <m/>
  </r>
  <r>
    <s v="1586059089-10149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4"/>
    <s v="2&gt;1 LOW MOUNTED FULL KIT"/>
    <s v="ZTPH036SKB-08"/>
    <s v="TRIUMPH THRUXTON"/>
    <n v="712.62"/>
    <n v="791.8"/>
    <s v="&lt;p&gt;2&amp;gt;1 FULL KIT STEEL RACING&lt;/p&gt;_x000a_&lt;p&gt;ORIGINAL FULL KIT WEIGHT: KG 9.3&lt;br&gt;ZARD FULL KIT WEIGHT: KG 6.8&lt;/p&gt;_x000a_&lt;p&gt;HARD INCREASE, COMPARED TO THE ORIGINAL EXHAUST SYSTEM, IN TERMS OF TORQUE IN THE 4000-6500 RPM RANGE AND POWER (+1.5 HP).&lt;/p&gt;_x000a_&lt;p&gt;ASTONISHING SOUND.&lt;/p&gt;"/>
    <s v="https://shop.officineitalianezard.it/contents/imgs/products/1_193-1.jpg"/>
    <m/>
    <m/>
  </r>
  <r>
    <s v="1586059089-10150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4"/>
    <s v="2&gt;1 LOW MOUNTED FULL KIT"/>
    <s v="ZTPH036SKB-08"/>
    <s v="TRIUMPH THRUXTON"/>
    <n v="712.62"/>
    <n v="791.8"/>
    <s v="&lt;p&gt;2&amp;gt;1 FULL KIT STEEL RACING&lt;/p&gt;_x000a_&lt;p&gt;ORIGINAL FULL KIT WEIGHT: KG 9.3&lt;br&gt;ZARD FULL KIT WEIGHT: KG 6.8&lt;/p&gt;_x000a_&lt;p&gt;HARD INCREASE, COMPARED TO THE ORIGINAL EXHAUST SYSTEM, IN TERMS OF TORQUE IN THE 4000-6500 RPM RANGE AND POWER (+1.5 HP).&lt;/p&gt;_x000a_&lt;p&gt;ASTONISHING SOUND.&lt;/p&gt;"/>
    <m/>
    <s v="CATALYZED"/>
    <n v="202.87"/>
  </r>
  <r>
    <s v="1586059089-10151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4"/>
    <s v="2&gt;1 LOW MOUNTED FULL KIT"/>
    <s v="ZTPH036SKB-08"/>
    <s v="TRIUMPH THRUXTON"/>
    <n v="712.62"/>
    <n v="791.8"/>
    <s v="&lt;p&gt;2&amp;gt;1 FULL KIT STEEL RACING&lt;/p&gt;_x000a_&lt;p&gt;ORIGINAL FULL KIT WEIGHT: KG 9.3&lt;br&gt;ZARD FULL KIT WEIGHT: KG 6.8&lt;/p&gt;_x000a_&lt;p&gt;HARD INCREASE, COMPARED TO THE ORIGINAL EXHAUST SYSTEM, IN TERMS OF TORQUE IN THE 4000-6500 RPM RANGE AND POWER (+1.5 HP).&lt;/p&gt;_x000a_&lt;p&gt;ASTONISHING SOUND.&lt;/p&gt;"/>
    <m/>
    <s v="BLACK COATING"/>
    <n v="169.67"/>
  </r>
  <r>
    <s v="1586059091-10152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5"/>
    <s v="2&gt;1 LOW MOUNTED FULL KIT"/>
    <s v="ZTPH 036 SKB"/>
    <s v="TRIUMPH THRUXTON"/>
    <n v="712.62"/>
    <n v="791.8"/>
    <s v="&lt;p&gt;2&amp;gt;1 FULL KIT STEEL RACING&lt;/p&gt;_x000a_&lt;p&gt;ORIGINAL FULL KIT WEIGHT: KG 9.3&lt;br&gt;ZARD FULL KIT WEIGHT: KG 6.8&lt;/p&gt;_x000a_&lt;p&gt;HARD INCREASE, COMPARED TO THE ORIGINAL EXHAUST SYSTEM, IN TERMS OF TORQUE IN THE 4000-6500 RPM RANGE AND POWER (+1.5 HP).&lt;/p&gt;_x000a_&lt;p&gt;ASTONISHING SOUND.&lt;/p&gt;"/>
    <s v="https://shop.officineitalianezard.it/contents/imgs/products/1_196-2.jpg"/>
    <m/>
    <m/>
  </r>
  <r>
    <s v="1586059091-10153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5"/>
    <s v="2&gt;1 LOW MOUNTED FULL KIT"/>
    <s v="ZTPH 036 SKB"/>
    <s v="TRIUMPH THRUXTON"/>
    <n v="712.62"/>
    <n v="791.8"/>
    <s v="&lt;p&gt;2&amp;gt;1 FULL KIT STEEL RACING&lt;/p&gt;_x000a_&lt;p&gt;ORIGINAL FULL KIT WEIGHT: KG 9.3&lt;br&gt;ZARD FULL KIT WEIGHT: KG 6.8&lt;/p&gt;_x000a_&lt;p&gt;HARD INCREASE, COMPARED TO THE ORIGINAL EXHAUST SYSTEM, IN TERMS OF TORQUE IN THE 4000-6500 RPM RANGE AND POWER (+1.5 HP).&lt;/p&gt;_x000a_&lt;p&gt;ASTONISHING SOUND.&lt;/p&gt;"/>
    <s v="https://shop.officineitalianezard.it/contents/imgs/products/1_195-1.jpg"/>
    <m/>
    <m/>
  </r>
  <r>
    <s v="1586059091-10154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5"/>
    <s v="2&gt;1 LOW MOUNTED FULL KIT"/>
    <s v="ZTPH 036 SKB"/>
    <s v="TRIUMPH THRUXTON"/>
    <n v="712.62"/>
    <n v="791.8"/>
    <s v="&lt;p&gt;2&amp;gt;1 FULL KIT STEEL RACING&lt;/p&gt;_x000a_&lt;p&gt;ORIGINAL FULL KIT WEIGHT: KG 9.3&lt;br&gt;ZARD FULL KIT WEIGHT: KG 6.8&lt;/p&gt;_x000a_&lt;p&gt;HARD INCREASE, COMPARED TO THE ORIGINAL EXHAUST SYSTEM, IN TERMS OF TORQUE IN THE 4000-6500 RPM RANGE AND POWER (+1.5 HP).&lt;/p&gt;_x000a_&lt;p&gt;ASTONISHING SOUND.&lt;/p&gt;"/>
    <m/>
    <s v="HOMOLOGATED"/>
    <n v="77.459999999999994"/>
  </r>
  <r>
    <s v="1586059091-10155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5"/>
    <s v="2&gt;1 LOW MOUNTED FULL KIT"/>
    <s v="ZTPH 036 SKB"/>
    <s v="TRIUMPH THRUXTON"/>
    <n v="712.62"/>
    <n v="791.8"/>
    <s v="&lt;p&gt;2&amp;gt;1 FULL KIT STEEL RACING&lt;/p&gt;_x000a_&lt;p&gt;ORIGINAL FULL KIT WEIGHT: KG 9.3&lt;br&gt;ZARD FULL KIT WEIGHT: KG 6.8&lt;/p&gt;_x000a_&lt;p&gt;HARD INCREASE, COMPARED TO THE ORIGINAL EXHAUST SYSTEM, IN TERMS OF TORQUE IN THE 4000-6500 RPM RANGE AND POWER (+1.5 HP).&lt;/p&gt;_x000a_&lt;p&gt;ASTONISHING SOUND.&lt;/p&gt;"/>
    <m/>
    <s v="BLACK CERAMIC COATING"/>
    <n v="169.67"/>
  </r>
  <r>
    <s v="1586059091-10156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5"/>
    <s v="2&gt;1 LOW MOUNTED FULL KIT"/>
    <s v="ZTPH 036 SKB"/>
    <s v="TRIUMPH THRUXTON"/>
    <n v="712.62"/>
    <n v="791.8"/>
    <s v="&lt;p&gt;2&amp;gt;1 FULL KIT STEEL RACING&lt;/p&gt;_x000a_&lt;p&gt;ORIGINAL FULL KIT WEIGHT: KG 9.3&lt;br&gt;ZARD FULL KIT WEIGHT: KG 6.8&lt;/p&gt;_x000a_&lt;p&gt;HARD INCREASE, COMPARED TO THE ORIGINAL EXHAUST SYSTEM, IN TERMS OF TORQUE IN THE 4000-6500 RPM RANGE AND POWER (+1.5 HP).&lt;/p&gt;_x000a_&lt;p&gt;ASTONISHING SOUND.&lt;/p&gt;"/>
    <m/>
    <s v="POLISHED"/>
    <n v="96.64"/>
  </r>
  <r>
    <s v="1586059094-10157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6"/>
    <s v="2&gt;1 LOW MOUNTED FULL KIT SHORT"/>
    <s v="ZTPH049SKB-08"/>
    <s v="TRIUMPH BONNEVILLE"/>
    <n v="770.16"/>
    <n v="855.74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30-2.JPG"/>
    <m/>
    <m/>
  </r>
  <r>
    <s v="1586059094-10158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6"/>
    <s v="2&gt;1 LOW MOUNTED FULL KIT SHORT"/>
    <s v="ZTPH049SKB-08"/>
    <s v="TRIUMPH BONNEVILLE"/>
    <n v="770.16"/>
    <n v="855.74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31-3.JPG"/>
    <m/>
    <m/>
  </r>
  <r>
    <s v="1586059094-10159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6"/>
    <s v="2&gt;1 LOW MOUNTED FULL KIT SHORT"/>
    <s v="ZTPH049SKB-08"/>
    <s v="TRIUMPH BONNEVILLE"/>
    <n v="770.16"/>
    <n v="855.74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29-1.JPG"/>
    <m/>
    <m/>
  </r>
  <r>
    <s v="1586059094-10160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6"/>
    <s v="2&gt;1 LOW MOUNTED FULL KIT SHORT"/>
    <s v="ZTPH049SKB-08"/>
    <s v="TRIUMPH BONNEVILLE"/>
    <n v="770.16"/>
    <n v="855.74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32-4.JPG"/>
    <m/>
    <m/>
  </r>
  <r>
    <s v="1586059094-10161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6"/>
    <s v="2&gt;1 LOW MOUNTED FULL KIT SHORT"/>
    <s v="ZTPH049SKB-08"/>
    <s v="TRIUMPH BONNEVILLE"/>
    <n v="770.16"/>
    <n v="855.74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507-zard%20short%20web.jpg"/>
    <m/>
    <m/>
  </r>
  <r>
    <s v="1586059094-10162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6"/>
    <s v="2&gt;1 LOW MOUNTED FULL KIT SHORT"/>
    <s v="ZTPH049SKB-08"/>
    <s v="TRIUMPH BONNEVILLE"/>
    <n v="770.16"/>
    <n v="855.74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m/>
    <s v="EURO 3 HOMOLOGATED"/>
    <n v="77.459999999999994"/>
  </r>
  <r>
    <s v="1586059094-10163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6"/>
    <s v="2&gt;1 LOW MOUNTED FULL KIT SHORT"/>
    <s v="ZTPH049SKB-08"/>
    <s v="TRIUMPH BONNEVILLE"/>
    <n v="770.16"/>
    <n v="855.74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m/>
    <s v="BLACK COATING"/>
    <n v="169.67"/>
  </r>
  <r>
    <s v="1586059094-10164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6"/>
    <s v="2&gt;1 LOW MOUNTED FULL KIT SHORT"/>
    <s v="ZTPH049SKB-08"/>
    <s v="TRIUMPH BONNEVILLE"/>
    <n v="770.16"/>
    <n v="855.74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m/>
    <s v="POLISHED"/>
    <n v="96.64"/>
  </r>
  <r>
    <s v="1586059096-10165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7"/>
    <s v="2&gt;1 LOW MOUNTED FULL KIT SHORT"/>
    <s v="ZTPH049SKB-08"/>
    <s v="TRIUMPH BONNEVILLE"/>
    <n v="770.16"/>
    <n v="855.74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34-2.JPG"/>
    <m/>
    <m/>
  </r>
  <r>
    <s v="1586059096-10166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7"/>
    <s v="2&gt;1 LOW MOUNTED FULL KIT SHORT"/>
    <s v="ZTPH049SKB-08"/>
    <s v="TRIUMPH BONNEVILLE"/>
    <n v="770.16"/>
    <n v="855.74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35-3.JPG"/>
    <m/>
    <m/>
  </r>
  <r>
    <s v="1586059096-10167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7"/>
    <s v="2&gt;1 LOW MOUNTED FULL KIT SHORT"/>
    <s v="ZTPH049SKB-08"/>
    <s v="TRIUMPH BONNEVILLE"/>
    <n v="770.16"/>
    <n v="855.74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33-1.JPG"/>
    <m/>
    <m/>
  </r>
  <r>
    <s v="1586059096-10168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7"/>
    <s v="2&gt;1 LOW MOUNTED FULL KIT SHORT"/>
    <s v="ZTPH049SKB-08"/>
    <s v="TRIUMPH BONNEVILLE"/>
    <n v="770.16"/>
    <n v="855.74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36-4.JPG"/>
    <m/>
    <m/>
  </r>
  <r>
    <s v="1586059096-10169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7"/>
    <s v="2&gt;1 LOW MOUNTED FULL KIT SHORT"/>
    <s v="ZTPH049SKB-08"/>
    <s v="TRIUMPH BONNEVILLE"/>
    <n v="770.16"/>
    <n v="855.74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508-zard%20short%20web.jpg"/>
    <m/>
    <m/>
  </r>
  <r>
    <s v="1586059096-10170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7"/>
    <s v="2&gt;1 LOW MOUNTED FULL KIT SHORT"/>
    <s v="ZTPH049SKB-08"/>
    <s v="TRIUMPH BONNEVILLE"/>
    <n v="770.16"/>
    <n v="855.74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990-scarichi%20moto%20zard%20spazzolato.jpg"/>
    <m/>
    <m/>
  </r>
  <r>
    <s v="1586059096-10171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7"/>
    <s v="2&gt;1 LOW MOUNTED FULL KIT SHORT"/>
    <s v="ZTPH049SKB-08"/>
    <s v="TRIUMPH BONNEVILLE"/>
    <n v="770.16"/>
    <n v="855.74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m/>
    <s v="CATALYZED"/>
    <n v="202.87"/>
  </r>
  <r>
    <s v="1586059096-10172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7"/>
    <s v="2&gt;1 LOW MOUNTED FULL KIT SHORT"/>
    <s v="ZTPH049SKB-08"/>
    <s v="TRIUMPH BONNEVILLE"/>
    <n v="770.16"/>
    <n v="855.74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m/>
    <s v="BLACK COATING"/>
    <n v="169.67"/>
  </r>
  <r>
    <s v="1586059096-10173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7"/>
    <s v="2&gt;1 LOW MOUNTED FULL KIT SHORT"/>
    <s v="ZTPH049SKB-08"/>
    <s v="TRIUMPH BONNEVILLE"/>
    <n v="770.16"/>
    <n v="855.74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m/>
    <s v="POLISHED"/>
    <n v="96.64"/>
  </r>
  <r>
    <s v="1586059100-10174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8"/>
    <s v="SPECIAL EDITION FULL KIT SHORT VERSION"/>
    <s v="ZTPH053SKB"/>
    <s v="TRIUMPH BONNEVILLE"/>
    <n v="798.2"/>
    <n v="886.89"/>
    <s v="&lt;p&gt;2&amp;gt;1 STEEL RACING FULL KIT&lt;/p&gt;_x000a_&lt;p&gt;ORIGINAL FULL KIT WEIGHT: KG 9.3&lt;br&gt;ZARD FULL KIT WEIGHT: KG 5.5&lt;/p&gt;_x000a_&lt;p&gt;BLACK AND SILVER WIRE MESH&amp;nbsp;IS SUPPLIED WITH HEAT SHIELD&lt;/p&gt;_x000a_&lt;p&gt;HARD INCREASE IN THE MID-RANGE AND SPEAKING ABOUT MAXIMUM POWER COMPARED TO THE ORIGINAL EXHAUST SYSTEM.&lt;/p&gt;_x000a_&lt;p&gt;ASTONISHING SOUND.&lt;/p&gt;"/>
    <s v="https://shop.officineitalianezard.it/contents/imgs/products/1_1053-scarico%20triumph%20bonneville%20scrambler%20thruxton%20Zard.jpg"/>
    <m/>
    <m/>
  </r>
  <r>
    <s v="1586059100-10175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8"/>
    <s v="SPECIAL EDITION FULL KIT SHORT VERSION"/>
    <s v="ZTPH053SKB"/>
    <s v="TRIUMPH BONNEVILLE"/>
    <n v="798.2"/>
    <n v="886.89"/>
    <s v="&lt;p&gt;2&amp;gt;1 STEEL RACING FULL KIT&lt;/p&gt;_x000a_&lt;p&gt;ORIGINAL FULL KIT WEIGHT: KG 9.3&lt;br&gt;ZARD FULL KIT WEIGHT: KG 5.5&lt;/p&gt;_x000a_&lt;p&gt;BLACK AND SILVER WIRE MESH&amp;nbsp;IS SUPPLIED WITH HEAT SHIELD&lt;/p&gt;_x000a_&lt;p&gt;HARD INCREASE IN THE MID-RANGE AND SPEAKING ABOUT MAXIMUM POWER COMPARED TO THE ORIGINAL EXHAUST SYSTEM.&lt;/p&gt;_x000a_&lt;p&gt;ASTONISHING SOUND.&lt;/p&gt;"/>
    <s v="https://shop.officineitalianezard.it/contents/imgs/products/1_1060-scarico%20scrambler%20zard1.jpg"/>
    <m/>
    <m/>
  </r>
  <r>
    <s v="1586059100-10176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8"/>
    <s v="SPECIAL EDITION FULL KIT SHORT VERSION"/>
    <s v="ZTPH053SKB"/>
    <s v="TRIUMPH BONNEVILLE"/>
    <n v="798.2"/>
    <n v="886.89"/>
    <s v="&lt;p&gt;2&amp;gt;1 STEEL RACING FULL KIT&lt;/p&gt;_x000a_&lt;p&gt;ORIGINAL FULL KIT WEIGHT: KG 9.3&lt;br&gt;ZARD FULL KIT WEIGHT: KG 5.5&lt;/p&gt;_x000a_&lt;p&gt;BLACK AND SILVER WIRE MESH&amp;nbsp;IS SUPPLIED WITH HEAT SHIELD&lt;/p&gt;_x000a_&lt;p&gt;HARD INCREASE IN THE MID-RANGE AND SPEAKING ABOUT MAXIMUM POWER COMPARED TO THE ORIGINAL EXHAUST SYSTEM.&lt;/p&gt;_x000a_&lt;p&gt;ASTONISHING SOUND.&lt;/p&gt;"/>
    <s v="https://shop.officineitalianezard.it/contents/imgs/products/1_1061-scarico%20scrambler%20zard2.jpg"/>
    <m/>
    <m/>
  </r>
  <r>
    <s v="1586059100-10177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8"/>
    <s v="SPECIAL EDITION FULL KIT SHORT VERSION"/>
    <s v="ZTPH053SKB"/>
    <s v="TRIUMPH BONNEVILLE"/>
    <n v="798.2"/>
    <n v="886.89"/>
    <s v="&lt;p&gt;2&amp;gt;1 STEEL RACING FULL KIT&lt;/p&gt;_x000a_&lt;p&gt;ORIGINAL FULL KIT WEIGHT: KG 9.3&lt;br&gt;ZARD FULL KIT WEIGHT: KG 5.5&lt;/p&gt;_x000a_&lt;p&gt;BLACK AND SILVER WIRE MESH&amp;nbsp;IS SUPPLIED WITH HEAT SHIELD&lt;/p&gt;_x000a_&lt;p&gt;HARD INCREASE IN THE MID-RANGE AND SPEAKING ABOUT MAXIMUM POWER COMPARED TO THE ORIGINAL EXHAUST SYSTEM.&lt;/p&gt;_x000a_&lt;p&gt;ASTONISHING SOUND.&lt;/p&gt;"/>
    <s v="https://shop.officineitalianezard.it/contents/imgs/products/1_1096-brushed.jpg"/>
    <m/>
    <m/>
  </r>
  <r>
    <s v="1586059100-10178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8"/>
    <s v="SPECIAL EDITION FULL KIT SHORT VERSION"/>
    <s v="ZTPH053SKB"/>
    <s v="TRIUMPH BONNEVILLE"/>
    <n v="798.2"/>
    <n v="886.89"/>
    <s v="&lt;p&gt;2&amp;gt;1 STEEL RACING FULL KIT&lt;/p&gt;_x000a_&lt;p&gt;ORIGINAL FULL KIT WEIGHT: KG 9.3&lt;br&gt;ZARD FULL KIT WEIGHT: KG 5.5&lt;/p&gt;_x000a_&lt;p&gt;BLACK AND SILVER WIRE MESH&amp;nbsp;IS SUPPLIED WITH HEAT SHIELD&lt;/p&gt;_x000a_&lt;p&gt;HARD INCREASE IN THE MID-RANGE AND SPEAKING ABOUT MAXIMUM POWER COMPARED TO THE ORIGINAL EXHAUST SYSTEM.&lt;/p&gt;_x000a_&lt;p&gt;ASTONISHING SOUND.&lt;/p&gt;"/>
    <s v="https://shop.officineitalianezard.it/contents/imgs/products/1_1097-inox-paracalore%20nero.jpg"/>
    <m/>
    <m/>
  </r>
  <r>
    <s v="1586059100-10179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8"/>
    <s v="SPECIAL EDITION FULL KIT SHORT VERSION"/>
    <s v="ZTPH053SKB"/>
    <s v="TRIUMPH BONNEVILLE"/>
    <n v="798.2"/>
    <n v="886.89"/>
    <s v="&lt;p&gt;2&amp;gt;1 STEEL RACING FULL KIT&lt;/p&gt;_x000a_&lt;p&gt;ORIGINAL FULL KIT WEIGHT: KG 9.3&lt;br&gt;ZARD FULL KIT WEIGHT: KG 5.5&lt;/p&gt;_x000a_&lt;p&gt;BLACK AND SILVER WIRE MESH&amp;nbsp;IS SUPPLIED WITH HEAT SHIELD&lt;/p&gt;_x000a_&lt;p&gt;HARD INCREASE IN THE MID-RANGE AND SPEAKING ABOUT MAXIMUM POWER COMPARED TO THE ORIGINAL EXHAUST SYSTEM.&lt;/p&gt;_x000a_&lt;p&gt;ASTONISHING SOUND.&lt;/p&gt;"/>
    <m/>
    <s v="EURO 3 HOMOLOGATED"/>
    <n v="77.459999999999994"/>
  </r>
  <r>
    <s v="1586059100-10180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8"/>
    <s v="SPECIAL EDITION FULL KIT SHORT VERSION"/>
    <s v="ZTPH053SKB"/>
    <s v="TRIUMPH BONNEVILLE"/>
    <n v="798.2"/>
    <n v="886.89"/>
    <s v="&lt;p&gt;2&amp;gt;1 STEEL RACING FULL KIT&lt;/p&gt;_x000a_&lt;p&gt;ORIGINAL FULL KIT WEIGHT: KG 9.3&lt;br&gt;ZARD FULL KIT WEIGHT: KG 5.5&lt;/p&gt;_x000a_&lt;p&gt;BLACK AND SILVER WIRE MESH&amp;nbsp;IS SUPPLIED WITH HEAT SHIELD&lt;/p&gt;_x000a_&lt;p&gt;HARD INCREASE IN THE MID-RANGE AND SPEAKING ABOUT MAXIMUM POWER COMPARED TO THE ORIGINAL EXHAUST SYSTEM.&lt;/p&gt;_x000a_&lt;p&gt;ASTONISHING SOUND.&lt;/p&gt;"/>
    <m/>
    <s v="BLACK COATING"/>
    <n v="169.67"/>
  </r>
  <r>
    <s v="1586059100-10181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48"/>
    <s v="SPECIAL EDITION FULL KIT SHORT VERSION"/>
    <s v="ZTPH053SKB"/>
    <s v="TRIUMPH BONNEVILLE"/>
    <n v="798.2"/>
    <n v="886.89"/>
    <s v="&lt;p&gt;2&amp;gt;1 STEEL RACING FULL KIT&lt;/p&gt;_x000a_&lt;p&gt;ORIGINAL FULL KIT WEIGHT: KG 9.3&lt;br&gt;ZARD FULL KIT WEIGHT: KG 5.5&lt;/p&gt;_x000a_&lt;p&gt;BLACK AND SILVER WIRE MESH&amp;nbsp;IS SUPPLIED WITH HEAT SHIELD&lt;/p&gt;_x000a_&lt;p&gt;HARD INCREASE IN THE MID-RANGE AND SPEAKING ABOUT MAXIMUM POWER COMPARED TO THE ORIGINAL EXHAUST SYSTEM.&lt;/p&gt;_x000a_&lt;p&gt;ASTONISHING SOUND.&lt;/p&gt;"/>
    <m/>
    <s v="BLACK HEAT SHIELDS"/>
    <n v="53.85"/>
  </r>
  <r>
    <s v="1586059103-10182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9"/>
    <s v="SPECIAL EDITION FULL KIT SHORT VERSION"/>
    <s v="ZTPH053SKB"/>
    <s v="TRIUMPH BONNEVILLE"/>
    <n v="798.2"/>
    <n v="886.89"/>
    <s v="&lt;p&gt;2&amp;gt;1 STEEL RACING FULL KIT&lt;/p&gt;_x000a_&lt;p&gt;ORIGINAL FULL KIT WEIGHT: KG 9.3&lt;br&gt;ZARD FULL KIT WEIGHT: KG 5.5&lt;/p&gt;_x000a_&lt;p&gt;BLACK AND SILVER WIRE MESH&amp;nbsp;IS SUPPLIED WITH HEAT SHIELD&lt;/p&gt;_x000a_&lt;p&gt;HARD INCREASE IN THE MID-RANGE AND SPEAKING ABOUT MAXIMUM POWER COMPARED TO THE ORIGINAL EXHAUST SYSTEM.&lt;/p&gt;_x000a_&lt;p&gt;ASTONISHING SOUND.&lt;/p&gt;"/>
    <s v="https://shop.officineitalianezard.it/contents/imgs/products/1_1055-scarico%20triumph%20bonneville%20scrambler%20thruxton%20Zard.jpg"/>
    <m/>
    <m/>
  </r>
  <r>
    <s v="1586059103-10183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9"/>
    <s v="SPECIAL EDITION FULL KIT SHORT VERSION"/>
    <s v="ZTPH053SKB"/>
    <s v="TRIUMPH BONNEVILLE"/>
    <n v="798.2"/>
    <n v="886.89"/>
    <s v="&lt;p&gt;2&amp;gt;1 STEEL RACING FULL KIT&lt;/p&gt;_x000a_&lt;p&gt;ORIGINAL FULL KIT WEIGHT: KG 9.3&lt;br&gt;ZARD FULL KIT WEIGHT: KG 5.5&lt;/p&gt;_x000a_&lt;p&gt;BLACK AND SILVER WIRE MESH&amp;nbsp;IS SUPPLIED WITH HEAT SHIELD&lt;/p&gt;_x000a_&lt;p&gt;HARD INCREASE IN THE MID-RANGE AND SPEAKING ABOUT MAXIMUM POWER COMPARED TO THE ORIGINAL EXHAUST SYSTEM.&lt;/p&gt;_x000a_&lt;p&gt;ASTONISHING SOUND.&lt;/p&gt;"/>
    <s v="https://shop.officineitalianezard.it/contents/imgs/products/1_1062-scarico%20scrambler%20zard1.jpg"/>
    <m/>
    <m/>
  </r>
  <r>
    <s v="1586059103-10184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9"/>
    <s v="SPECIAL EDITION FULL KIT SHORT VERSION"/>
    <s v="ZTPH053SKB"/>
    <s v="TRIUMPH BONNEVILLE"/>
    <n v="798.2"/>
    <n v="886.89"/>
    <s v="&lt;p&gt;2&amp;gt;1 STEEL RACING FULL KIT&lt;/p&gt;_x000a_&lt;p&gt;ORIGINAL FULL KIT WEIGHT: KG 9.3&lt;br&gt;ZARD FULL KIT WEIGHT: KG 5.5&lt;/p&gt;_x000a_&lt;p&gt;BLACK AND SILVER WIRE MESH&amp;nbsp;IS SUPPLIED WITH HEAT SHIELD&lt;/p&gt;_x000a_&lt;p&gt;HARD INCREASE IN THE MID-RANGE AND SPEAKING ABOUT MAXIMUM POWER COMPARED TO THE ORIGINAL EXHAUST SYSTEM.&lt;/p&gt;_x000a_&lt;p&gt;ASTONISHING SOUND.&lt;/p&gt;"/>
    <s v="https://shop.officineitalianezard.it/contents/imgs/products/1_1063-scarico%20scrambler%20zard2.jpg"/>
    <m/>
    <m/>
  </r>
  <r>
    <s v="1586059103-10185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9"/>
    <s v="SPECIAL EDITION FULL KIT SHORT VERSION"/>
    <s v="ZTPH053SKB"/>
    <s v="TRIUMPH BONNEVILLE"/>
    <n v="798.2"/>
    <n v="886.89"/>
    <s v="&lt;p&gt;2&amp;gt;1 STEEL RACING FULL KIT&lt;/p&gt;_x000a_&lt;p&gt;ORIGINAL FULL KIT WEIGHT: KG 9.3&lt;br&gt;ZARD FULL KIT WEIGHT: KG 5.5&lt;/p&gt;_x000a_&lt;p&gt;BLACK AND SILVER WIRE MESH&amp;nbsp;IS SUPPLIED WITH HEAT SHIELD&lt;/p&gt;_x000a_&lt;p&gt;HARD INCREASE IN THE MID-RANGE AND SPEAKING ABOUT MAXIMUM POWER COMPARED TO THE ORIGINAL EXHAUST SYSTEM.&lt;/p&gt;_x000a_&lt;p&gt;ASTONISHING SOUND.&lt;/p&gt;"/>
    <s v="https://shop.officineitalianezard.it/contents/imgs/products/1_1098-brushed.jpg"/>
    <m/>
    <m/>
  </r>
  <r>
    <s v="1586059103-10186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9"/>
    <s v="SPECIAL EDITION FULL KIT SHORT VERSION"/>
    <s v="ZTPH053SKB"/>
    <s v="TRIUMPH BONNEVILLE"/>
    <n v="798.2"/>
    <n v="886.89"/>
    <s v="&lt;p&gt;2&amp;gt;1 STEEL RACING FULL KIT&lt;/p&gt;_x000a_&lt;p&gt;ORIGINAL FULL KIT WEIGHT: KG 9.3&lt;br&gt;ZARD FULL KIT WEIGHT: KG 5.5&lt;/p&gt;_x000a_&lt;p&gt;BLACK AND SILVER WIRE MESH&amp;nbsp;IS SUPPLIED WITH HEAT SHIELD&lt;/p&gt;_x000a_&lt;p&gt;HARD INCREASE IN THE MID-RANGE AND SPEAKING ABOUT MAXIMUM POWER COMPARED TO THE ORIGINAL EXHAUST SYSTEM.&lt;/p&gt;_x000a_&lt;p&gt;ASTONISHING SOUND.&lt;/p&gt;"/>
    <s v="https://shop.officineitalianezard.it/contents/imgs/products/1_1099-inox-paracalore%20nero.jpg"/>
    <m/>
    <m/>
  </r>
  <r>
    <s v="1586059103-10187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9"/>
    <s v="SPECIAL EDITION FULL KIT SHORT VERSION"/>
    <s v="ZTPH053SKB"/>
    <s v="TRIUMPH BONNEVILLE"/>
    <n v="798.2"/>
    <n v="886.89"/>
    <s v="&lt;p&gt;2&amp;gt;1 STEEL RACING FULL KIT&lt;/p&gt;_x000a_&lt;p&gt;ORIGINAL FULL KIT WEIGHT: KG 9.3&lt;br&gt;ZARD FULL KIT WEIGHT: KG 5.5&lt;/p&gt;_x000a_&lt;p&gt;BLACK AND SILVER WIRE MESH&amp;nbsp;IS SUPPLIED WITH HEAT SHIELD&lt;/p&gt;_x000a_&lt;p&gt;HARD INCREASE IN THE MID-RANGE AND SPEAKING ABOUT MAXIMUM POWER COMPARED TO THE ORIGINAL EXHAUST SYSTEM.&lt;/p&gt;_x000a_&lt;p&gt;ASTONISHING SOUND.&lt;/p&gt;"/>
    <m/>
    <s v="CATALYZED"/>
    <n v="202.87"/>
  </r>
  <r>
    <s v="1586059103-10188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9"/>
    <s v="SPECIAL EDITION FULL KIT SHORT VERSION"/>
    <s v="ZTPH053SKB"/>
    <s v="TRIUMPH BONNEVILLE"/>
    <n v="798.2"/>
    <n v="886.89"/>
    <s v="&lt;p&gt;2&amp;gt;1 STEEL RACING FULL KIT&lt;/p&gt;_x000a_&lt;p&gt;ORIGINAL FULL KIT WEIGHT: KG 9.3&lt;br&gt;ZARD FULL KIT WEIGHT: KG 5.5&lt;/p&gt;_x000a_&lt;p&gt;BLACK AND SILVER WIRE MESH&amp;nbsp;IS SUPPLIED WITH HEAT SHIELD&lt;/p&gt;_x000a_&lt;p&gt;HARD INCREASE IN THE MID-RANGE AND SPEAKING ABOUT MAXIMUM POWER COMPARED TO THE ORIGINAL EXHAUST SYSTEM.&lt;/p&gt;_x000a_&lt;p&gt;ASTONISHING SOUND.&lt;/p&gt;"/>
    <m/>
    <s v="BLACK COATING"/>
    <n v="169.67"/>
  </r>
  <r>
    <s v="1586059103-10189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49"/>
    <s v="SPECIAL EDITION FULL KIT SHORT VERSION"/>
    <s v="ZTPH053SKB"/>
    <s v="TRIUMPH BONNEVILLE"/>
    <n v="798.2"/>
    <n v="886.89"/>
    <s v="&lt;p&gt;2&amp;gt;1 STEEL RACING FULL KIT&lt;/p&gt;_x000a_&lt;p&gt;ORIGINAL FULL KIT WEIGHT: KG 9.3&lt;br&gt;ZARD FULL KIT WEIGHT: KG 5.5&lt;/p&gt;_x000a_&lt;p&gt;BLACK AND SILVER WIRE MESH&amp;nbsp;IS SUPPLIED WITH HEAT SHIELD&lt;/p&gt;_x000a_&lt;p&gt;HARD INCREASE IN THE MID-RANGE AND SPEAKING ABOUT MAXIMUM POWER COMPARED TO THE ORIGINAL EXHAUST SYSTEM.&lt;/p&gt;_x000a_&lt;p&gt;ASTONISHING SOUND.&lt;/p&gt;"/>
    <m/>
    <s v="BLACK HEAT SHIELDS"/>
    <n v="53.85"/>
  </r>
  <r>
    <s v="1586059106-10190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50"/>
    <s v="SPECIAL EDITION FULL KIT 'UNICA'"/>
    <s v="ZTPH056SKB-08"/>
    <s v="TRIUMPH SCRAMBLER 900 &lt; 2015"/>
    <n v="798.2"/>
    <n v="886.89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1323-1.jpg"/>
    <m/>
    <m/>
  </r>
  <r>
    <s v="1586059106-10191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50"/>
    <s v="SPECIAL EDITION FULL KIT 'UNICA'"/>
    <s v="ZTPH056SKB-08"/>
    <s v="TRIUMPH SCRAMBLER 900 &lt; 2015"/>
    <n v="798.2"/>
    <n v="886.89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1325-Triumph-Scrambler-Alo-Barber-Proraso-Scarico.jpg"/>
    <m/>
    <m/>
  </r>
  <r>
    <s v="1586059106-10192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50"/>
    <s v="SPECIAL EDITION FULL KIT 'UNICA'"/>
    <s v="ZTPH056SKB-08"/>
    <s v="TRIUMPH SCRAMBLER 900 &lt; 2015"/>
    <n v="798.2"/>
    <n v="886.89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1324-Triumph-Scrambler-Alo-Barber-Proraso-Barbiere.jpg"/>
    <m/>
    <m/>
  </r>
  <r>
    <s v="1586059106-10193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50"/>
    <s v="SPECIAL EDITION FULL KIT 'UNICA'"/>
    <s v="ZTPH056SKB-08"/>
    <s v="TRIUMPH SCRAMBLER 900 &lt; 2015"/>
    <n v="798.2"/>
    <n v="886.89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1343-scrambler%20exhaust%20zard.jpg"/>
    <m/>
    <m/>
  </r>
  <r>
    <s v="1586059106-10194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50"/>
    <s v="SPECIAL EDITION FULL KIT 'UNICA'"/>
    <s v="ZTPH056SKB-08"/>
    <s v="TRIUMPH SCRAMBLER 900 &lt; 2015"/>
    <n v="798.2"/>
    <n v="886.89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1723-1066-scarico%20scrambler%20zard1.jpg"/>
    <m/>
    <m/>
  </r>
  <r>
    <s v="1586059106-10195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50"/>
    <s v="SPECIAL EDITION FULL KIT 'UNICA'"/>
    <s v="ZTPH056SKB-08"/>
    <s v="TRIUMPH SCRAMBLER 900 &lt; 2015"/>
    <n v="798.2"/>
    <n v="886.89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1724-1067-scarico%20scrambler%20zard2.jpg"/>
    <m/>
    <m/>
  </r>
  <r>
    <s v="1586059106-10196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50"/>
    <s v="SPECIAL EDITION FULL KIT 'UNICA'"/>
    <s v="ZTPH056SKB-08"/>
    <s v="TRIUMPH SCRAMBLER 900 &lt; 2015"/>
    <n v="798.2"/>
    <n v="886.89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m/>
    <s v="EURO 3 HOMOLOGATED"/>
    <n v="77.459999999999994"/>
  </r>
  <r>
    <s v="1586059106-10197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50"/>
    <s v="SPECIAL EDITION FULL KIT 'UNICA'"/>
    <s v="ZTPH056SKB-08"/>
    <s v="TRIUMPH SCRAMBLER 900 &lt; 2015"/>
    <n v="798.2"/>
    <n v="886.89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m/>
    <s v="BLACK COATING"/>
    <n v="169.67"/>
  </r>
  <r>
    <s v="1586059106-10198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50"/>
    <s v="SPECIAL EDITION FULL KIT 'UNICA'"/>
    <s v="ZTPH056SKB-08"/>
    <s v="TRIUMPH SCRAMBLER 900 &lt; 2015"/>
    <n v="798.2"/>
    <n v="886.89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m/>
    <s v="POLISHED"/>
    <n v="96.64"/>
  </r>
  <r>
    <s v="1586059106-10199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50"/>
    <s v="SPECIAL EDITION FULL KIT 'UNICA'"/>
    <s v="ZTPH056SKB-08"/>
    <s v="TRIUMPH SCRAMBLER 900 &lt; 2015"/>
    <n v="798.2"/>
    <n v="886.89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m/>
    <s v="BLACK + STEEL HEAT SHIELD"/>
    <n v="169.67"/>
  </r>
  <r>
    <s v="1586059106-10200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50"/>
    <s v="SPECIAL EDITION FULL KIT 'UNICA'"/>
    <s v="ZTPH056SKB-08"/>
    <s v="TRIUMPH SCRAMBLER 900 &lt; 2015"/>
    <n v="798.2"/>
    <n v="886.89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m/>
    <s v="BLACK HEAT SHIELD"/>
    <n v="53.85"/>
  </r>
  <r>
    <s v="1586059109-10201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51"/>
    <s v="SPECIAL EDITION FULL KIT 'UNICA'"/>
    <s v="ZTPH056SKB-08"/>
    <s v="TRIUMPH SCRAMBLER 900 &lt; 2015"/>
    <n v="798.2"/>
    <n v="886.89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1326-1.jpg"/>
    <m/>
    <m/>
  </r>
  <r>
    <s v="1586059109-10202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51"/>
    <s v="SPECIAL EDITION FULL KIT 'UNICA'"/>
    <s v="ZTPH056SKB-08"/>
    <s v="TRIUMPH SCRAMBLER 900 &lt; 2015"/>
    <n v="798.2"/>
    <n v="886.89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1328-Triumph-Scrambler-Alo-Barber-Proraso-Scarico.jpg"/>
    <m/>
    <m/>
  </r>
  <r>
    <s v="1586059109-10203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51"/>
    <s v="SPECIAL EDITION FULL KIT 'UNICA'"/>
    <s v="ZTPH056SKB-08"/>
    <s v="TRIUMPH SCRAMBLER 900 &lt; 2015"/>
    <n v="798.2"/>
    <n v="886.89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1327-Triumph-Scrambler-Alo-Barber-Proraso-Barbiere.jpg"/>
    <m/>
    <m/>
  </r>
  <r>
    <s v="1586059109-10204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51"/>
    <s v="SPECIAL EDITION FULL KIT 'UNICA'"/>
    <s v="ZTPH056SKB-08"/>
    <s v="TRIUMPH SCRAMBLER 900 &lt; 2015"/>
    <n v="798.2"/>
    <n v="886.89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1344-scrambler%20exhaust%20zard.jpg"/>
    <m/>
    <m/>
  </r>
  <r>
    <s v="1586059109-10205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51"/>
    <s v="SPECIAL EDITION FULL KIT 'UNICA'"/>
    <s v="ZTPH056SKB-08"/>
    <s v="TRIUMPH SCRAMBLER 900 &lt; 2015"/>
    <n v="798.2"/>
    <n v="886.89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1725-1066-scarico%20scrambler%20zard1.jpg"/>
    <m/>
    <m/>
  </r>
  <r>
    <s v="1586059109-10206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51"/>
    <s v="SPECIAL EDITION FULL KIT 'UNICA'"/>
    <s v="ZTPH056SKB-08"/>
    <s v="TRIUMPH SCRAMBLER 900 &lt; 2015"/>
    <n v="798.2"/>
    <n v="886.89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s v="https://shop.officineitalianezard.it/contents/imgs/products/1_1726-1067-scarico%20scrambler%20zard2.jpg"/>
    <m/>
    <m/>
  </r>
  <r>
    <s v="1586059109-10207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51"/>
    <s v="SPECIAL EDITION FULL KIT 'UNICA'"/>
    <s v="ZTPH056SKB-08"/>
    <s v="TRIUMPH SCRAMBLER 900 &lt; 2015"/>
    <n v="798.2"/>
    <n v="886.89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m/>
    <s v="CATALYZED"/>
    <n v="202.87"/>
  </r>
  <r>
    <s v="1586059109-10208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51"/>
    <s v="SPECIAL EDITION FULL KIT 'UNICA'"/>
    <s v="ZTPH056SKB-08"/>
    <s v="TRIUMPH SCRAMBLER 900 &lt; 2015"/>
    <n v="798.2"/>
    <n v="886.89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m/>
    <s v="BLACK COATING"/>
    <n v="169.67"/>
  </r>
  <r>
    <s v="1586059109-10209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51"/>
    <s v="SPECIAL EDITION FULL KIT 'UNICA'"/>
    <s v="ZTPH056SKB-08"/>
    <s v="TRIUMPH SCRAMBLER 900 &lt; 2015"/>
    <n v="798.2"/>
    <n v="886.89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m/>
    <s v="POLISHED"/>
    <n v="96.64"/>
  </r>
  <r>
    <s v="1586059109-10210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51"/>
    <s v="SPECIAL EDITION FULL KIT 'UNICA'"/>
    <s v="ZTPH056SKB-08"/>
    <s v="TRIUMPH SCRAMBLER 900 &lt; 2015"/>
    <n v="798.2"/>
    <n v="886.89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m/>
    <s v="BLACK + STEEL HEAT SHIELD"/>
    <n v="169.67"/>
  </r>
  <r>
    <s v="1586059109-10211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51"/>
    <s v="SPECIAL EDITION FULL KIT 'UNICA'"/>
    <s v="ZTPH056SKB-08"/>
    <s v="TRIUMPH SCRAMBLER 900 &lt; 2015"/>
    <n v="798.2"/>
    <n v="886.89"/>
    <s v="&lt;p&gt;2&amp;gt;1 STEEL RACING FULL KIT&lt;/p&gt;_x000a_&lt;p&gt;ORIGINAL FULL KIT WEIGHT: KG 9.3&lt;br&gt;ZARD FULL KIT WEIGHT: KG 5.5&lt;/p&gt;_x000a_&lt;p&gt;HARD INCREASE IN THE MID-RANGE AND SPEAKING ABOUT MAXIMUM POWER COMPARED TO THE ORIGINAL EXHAUST SYSTEM.&lt;/p&gt;_x000a_&lt;p&gt;ASTONISHING SOUND.&lt;/p&gt;"/>
    <m/>
    <s v="BLACK HEAT SHIELD"/>
    <n v="53.85"/>
  </r>
  <r>
    <s v="1586059111-10212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52"/>
    <s v="BAD CHILD 2&gt;1 FULL KIT"/>
    <s v="ZTPH057SKB-08"/>
    <s v="TRIUMPH BONNEVILLE"/>
    <n v="770.16"/>
    <n v="855.74"/>
    <s v="&lt;p&gt;2&amp;gt;1 STEEL RACING FULL KIT WITH REMOVABLE DB KILLER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"/>
    <s v="https://shop.officineitalianezard.it/contents/imgs/products/1_1333-1ridotta.jpg"/>
    <m/>
    <m/>
  </r>
  <r>
    <s v="1586059111-10213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52"/>
    <s v="BAD CHILD 2&gt;1 FULL KIT"/>
    <s v="ZTPH057SKB-08"/>
    <s v="TRIUMPH BONNEVILLE"/>
    <n v="770.16"/>
    <n v="855.74"/>
    <s v="&lt;p&gt;2&amp;gt;1 STEEL RACING FULL KIT WITH REMOVABLE DB KILLER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"/>
    <s v="https://shop.officineitalianezard.it/contents/imgs/products/1_1334-2.jpg"/>
    <m/>
    <m/>
  </r>
  <r>
    <s v="1586059111-10214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52"/>
    <s v="BAD CHILD 2&gt;1 FULL KIT"/>
    <s v="ZTPH057SKB-08"/>
    <s v="TRIUMPH BONNEVILLE"/>
    <n v="770.16"/>
    <n v="855.74"/>
    <s v="&lt;p&gt;2&amp;gt;1 STEEL RACING FULL KIT WITH REMOVABLE DB KILLER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"/>
    <s v="https://shop.officineitalianezard.it/contents/imgs/products/1_1335-3.jpg"/>
    <m/>
    <m/>
  </r>
  <r>
    <s v="1586059111-10215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52"/>
    <s v="BAD CHILD 2&gt;1 FULL KIT"/>
    <s v="ZTPH057SKB-08"/>
    <s v="TRIUMPH BONNEVILLE"/>
    <n v="770.16"/>
    <n v="855.74"/>
    <s v="&lt;p&gt;2&amp;gt;1 STEEL RACING FULL KIT WITH REMOVABLE DB KILLER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"/>
    <m/>
    <s v="EURO 3 HOMOLOGATED"/>
    <n v="77.459999999999994"/>
  </r>
  <r>
    <s v="1586059111-10216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52"/>
    <s v="BAD CHILD 2&gt;1 FULL KIT"/>
    <s v="ZTPH057SKB-08"/>
    <s v="TRIUMPH BONNEVILLE"/>
    <n v="770.16"/>
    <n v="855.74"/>
    <s v="&lt;p&gt;2&amp;gt;1 STEEL RACING FULL KIT WITH REMOVABLE DB KILLER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"/>
    <m/>
    <s v="BLACK COATING"/>
    <n v="169.67"/>
  </r>
  <r>
    <s v="1586059111-10217"/>
    <s v="https://shop.officineitalianezard.it/en/products/"/>
    <m/>
    <s v="https://shop.officineitalianezard.it/en/triumph-zard-exhaust/"/>
    <s v="THRUXTON"/>
    <s v="https://shop.officineitalianezard.it/en/triumph-thruxton-exhaust/"/>
    <s v="CARBURETTOR"/>
    <x v="52"/>
    <s v="BAD CHILD 2&gt;1 FULL KIT"/>
    <s v="ZTPH057SKB-08"/>
    <s v="TRIUMPH BONNEVILLE"/>
    <n v="770.16"/>
    <n v="855.74"/>
    <s v="&lt;p&gt;2&amp;gt;1 STEEL RACING FULL KIT WITH REMOVABLE DB KILLER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"/>
    <m/>
    <s v="POLISHED"/>
    <n v="96.64"/>
  </r>
  <r>
    <s v="1586059114-10218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53"/>
    <s v="BAD CHILD 2&gt;1 FULL KIT"/>
    <s v="ZTPH057SKB-08"/>
    <s v="TRIUMPH BONNEVILLE"/>
    <n v="770.16"/>
    <n v="855.74"/>
    <s v="&lt;p&gt;2&amp;gt;1 STEEL RACING FULL KIT WITH REMOVABLE DB KILLER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"/>
    <s v="https://shop.officineitalianezard.it/contents/imgs/products/1_1336-1ridotta.jpg"/>
    <m/>
    <m/>
  </r>
  <r>
    <s v="1586059114-10219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53"/>
    <s v="BAD CHILD 2&gt;1 FULL KIT"/>
    <s v="ZTPH057SKB-08"/>
    <s v="TRIUMPH BONNEVILLE"/>
    <n v="770.16"/>
    <n v="855.74"/>
    <s v="&lt;p&gt;2&amp;gt;1 STEEL RACING FULL KIT WITH REMOVABLE DB KILLER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"/>
    <s v="https://shop.officineitalianezard.it/contents/imgs/products/1_1337-2.jpg"/>
    <m/>
    <m/>
  </r>
  <r>
    <s v="1586059114-10220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53"/>
    <s v="BAD CHILD 2&gt;1 FULL KIT"/>
    <s v="ZTPH057SKB-08"/>
    <s v="TRIUMPH BONNEVILLE"/>
    <n v="770.16"/>
    <n v="855.74"/>
    <s v="&lt;p&gt;2&amp;gt;1 STEEL RACING FULL KIT WITH REMOVABLE DB KILLER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"/>
    <s v="https://shop.officineitalianezard.it/contents/imgs/products/1_1338-3.jpg"/>
    <m/>
    <m/>
  </r>
  <r>
    <s v="1586059114-10221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53"/>
    <s v="BAD CHILD 2&gt;1 FULL KIT"/>
    <s v="ZTPH057SKB-08"/>
    <s v="TRIUMPH BONNEVILLE"/>
    <n v="770.16"/>
    <n v="855.74"/>
    <s v="&lt;p&gt;2&amp;gt;1 STEEL RACING FULL KIT WITH REMOVABLE DB KILLER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"/>
    <m/>
    <s v="CATALYZED"/>
    <n v="202.87"/>
  </r>
  <r>
    <s v="1586059114-10222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53"/>
    <s v="BAD CHILD 2&gt;1 FULL KIT"/>
    <s v="ZTPH057SKB-08"/>
    <s v="TRIUMPH BONNEVILLE"/>
    <n v="770.16"/>
    <n v="855.74"/>
    <s v="&lt;p&gt;2&amp;gt;1 STEEL RACING FULL KIT WITH REMOVABLE DB KILLER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"/>
    <m/>
    <s v="BLACK COATING"/>
    <n v="169.67"/>
  </r>
  <r>
    <s v="1586059114-10223"/>
    <s v="https://shop.officineitalianezard.it/en/products/"/>
    <m/>
    <s v="https://shop.officineitalianezard.it/en/triumph-zard-exhaust/"/>
    <s v="THRUXTON"/>
    <s v="https://shop.officineitalianezard.it/en/triumph-thruxton-exhaust/"/>
    <s v="INJECTION"/>
    <x v="53"/>
    <s v="BAD CHILD 2&gt;1 FULL KIT"/>
    <s v="ZTPH057SKB-08"/>
    <s v="TRIUMPH BONNEVILLE"/>
    <n v="770.16"/>
    <n v="855.74"/>
    <s v="&lt;p&gt;2&amp;gt;1 STEEL RACING FULL KIT WITH REMOVABLE DB KILLER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"/>
    <m/>
    <s v="POLISHED"/>
    <n v="96.64"/>
  </r>
  <r>
    <s v="1586059119-10224"/>
    <s v="https://shop.officineitalianezard.it/en/products/"/>
    <m/>
    <s v="https://shop.officineitalianezard.it/en/triumph-zard-exhaust/"/>
    <s v="STREET TWIN 2016/19"/>
    <s v="https://shop.officineitalianezard.it/en/triumph-street-twin-exhaust/"/>
    <s v="STEEL VERSION"/>
    <x v="54"/>
    <s v="N.2 SILENCERS"/>
    <s v="ZTPH058SSR"/>
    <s v="TRIUMPH STREET TWIN 2016/19"/>
    <n v="647.70000000000005"/>
    <n v="719.67"/>
    <s v="&lt;p&gt;N.2 STEEL RACING SILENCERS WITH REMOVABLE DBKILLERS&lt;/p&gt;_x000a_&lt;p&gt;ORIGINAL SILENCERS WEIGHT: KG 6.8&lt;/p&gt;_x000a_&lt;p&gt;ZARD SILENCERS WEIGHT: KG 3&lt;/p&gt;_x000a_&lt;p&gt;HARD INCREASE, COMPARED TO THE ORIGINAL EXHAUST SYSTEM, IN TERMS OF TORQUE AND POWER AT ANY RANGE.&lt;/p&gt;_x000a_&lt;p&gt;ASTONISHING SOUND.&lt;/p&gt;_x000a_&lt;p&gt;&lt;strong&gt;NOTICE&lt;/strong&gt;: TO REMOVE THE CATALYZER PLEASE CHECK OUR &lt;a href=&quot;https://shop.officineitalianezard.it/en/products/index/kit-decatalizzatore-per-triumph-bonneville-t120-thruxton-r-e-street-twin-zard-7761-187/&quot;&gt;DECATALYZER KIT&lt;/a&gt;&lt;/p&gt;"/>
    <s v="https://shop.officineitalianezard.it/contents/imgs/products/1_1358-triumph%20street%20twin%20exhaust%20scarichi%20triumph%20street%20twin.jpg"/>
    <m/>
    <m/>
  </r>
  <r>
    <s v="1586059119-10225"/>
    <s v="https://shop.officineitalianezard.it/en/products/"/>
    <m/>
    <s v="https://shop.officineitalianezard.it/en/triumph-zard-exhaust/"/>
    <s v="STREET TWIN 2016/19"/>
    <s v="https://shop.officineitalianezard.it/en/triumph-street-twin-exhaust/"/>
    <s v="STEEL VERSION"/>
    <x v="54"/>
    <s v="N.2 SILENCERS"/>
    <s v="ZTPH058SSR"/>
    <s v="TRIUMPH STREET TWIN 2016/19"/>
    <n v="647.70000000000005"/>
    <n v="719.67"/>
    <s v="&lt;p&gt;N.2 STEEL RACING SILENCERS WITH REMOVABLE DBKILLERS&lt;/p&gt;_x000a_&lt;p&gt;ORIGINAL SILENCERS WEIGHT: KG 6.8&lt;/p&gt;_x000a_&lt;p&gt;ZARD SILENCERS WEIGHT: KG 3&lt;/p&gt;_x000a_&lt;p&gt;HARD INCREASE, COMPARED TO THE ORIGINAL EXHAUST SYSTEM, IN TERMS OF TORQUE AND POWER AT ANY RANGE.&lt;/p&gt;_x000a_&lt;p&gt;ASTONISHING SOUND.&lt;/p&gt;_x000a_&lt;p&gt;&lt;strong&gt;NOTICE&lt;/strong&gt;: TO REMOVE THE CATALYZER PLEASE CHECK OUR &lt;a href=&quot;https://shop.officineitalianezard.it/en/products/index/kit-decatalizzatore-per-triumph-bonneville-t120-thruxton-r-e-street-twin-zard-7761-187/&quot;&gt;DECATALYZER KIT&lt;/a&gt;&lt;/p&gt;"/>
    <s v="https://shop.officineitalianezard.it/contents/imgs/products/1_1355-street%20twin%20exhaust%20street%20twin%20scarichi%20triumph%20zard.jpg"/>
    <m/>
    <m/>
  </r>
  <r>
    <s v="1586059119-10226"/>
    <s v="https://shop.officineitalianezard.it/en/products/"/>
    <m/>
    <s v="https://shop.officineitalianezard.it/en/triumph-zard-exhaust/"/>
    <s v="STREET TWIN 2016/19"/>
    <s v="https://shop.officineitalianezard.it/en/triumph-street-twin-exhaust/"/>
    <s v="STEEL VERSION"/>
    <x v="54"/>
    <s v="N.2 SILENCERS"/>
    <s v="ZTPH058SSR"/>
    <s v="TRIUMPH STREET TWIN 2016/19"/>
    <n v="647.70000000000005"/>
    <n v="719.67"/>
    <s v="&lt;p&gt;N.2 STEEL RACING SILENCERS WITH REMOVABLE DBKILLERS&lt;/p&gt;_x000a_&lt;p&gt;ORIGINAL SILENCERS WEIGHT: KG 6.8&lt;/p&gt;_x000a_&lt;p&gt;ZARD SILENCERS WEIGHT: KG 3&lt;/p&gt;_x000a_&lt;p&gt;HARD INCREASE, COMPARED TO THE ORIGINAL EXHAUST SYSTEM, IN TERMS OF TORQUE AND POWER AT ANY RANGE.&lt;/p&gt;_x000a_&lt;p&gt;ASTONISHING SOUND.&lt;/p&gt;_x000a_&lt;p&gt;&lt;strong&gt;NOTICE&lt;/strong&gt;: TO REMOVE THE CATALYZER PLEASE CHECK OUR &lt;a href=&quot;https://shop.officineitalianezard.it/en/products/index/kit-decatalizzatore-per-triumph-bonneville-t120-thruxton-r-e-street-twin-zard-7761-187/&quot;&gt;DECATALYZER KIT&lt;/a&gt;&lt;/p&gt;"/>
    <s v="https://shop.officineitalianezard.it/contents/imgs/products/1_1357-triumph%20street%20twin%20zard%20scarichi%20marmitta.jpg"/>
    <m/>
    <m/>
  </r>
  <r>
    <s v="1586059119-10227"/>
    <s v="https://shop.officineitalianezard.it/en/products/"/>
    <m/>
    <s v="https://shop.officineitalianezard.it/en/triumph-zard-exhaust/"/>
    <s v="STREET TWIN 2016/19"/>
    <s v="https://shop.officineitalianezard.it/en/triumph-street-twin-exhaust/"/>
    <s v="STEEL VERSION"/>
    <x v="54"/>
    <s v="N.2 SILENCERS"/>
    <s v="ZTPH058SSR"/>
    <s v="TRIUMPH STREET TWIN 2016/19"/>
    <n v="647.70000000000005"/>
    <n v="719.67"/>
    <s v="&lt;p&gt;N.2 STEEL RACING SILENCERS WITH REMOVABLE DBKILLERS&lt;/p&gt;_x000a_&lt;p&gt;ORIGINAL SILENCERS WEIGHT: KG 6.8&lt;/p&gt;_x000a_&lt;p&gt;ZARD SILENCERS WEIGHT: KG 3&lt;/p&gt;_x000a_&lt;p&gt;HARD INCREASE, COMPARED TO THE ORIGINAL EXHAUST SYSTEM, IN TERMS OF TORQUE AND POWER AT ANY RANGE.&lt;/p&gt;_x000a_&lt;p&gt;ASTONISHING SOUND.&lt;/p&gt;_x000a_&lt;p&gt;&lt;strong&gt;NOTICE&lt;/strong&gt;: TO REMOVE THE CATALYZER PLEASE CHECK OUR &lt;a href=&quot;https://shop.officineitalianezard.it/en/products/index/kit-decatalizzatore-per-triumph-bonneville-t120-thruxton-r-e-street-twin-zard-7761-187/&quot;&gt;DECATALYZER KIT&lt;/a&gt;&lt;/p&gt;"/>
    <s v="https://shop.officineitalianezard.it/contents/imgs/products/1_1354-street%20twin%20exhaust%20scarichi%20zard%20street%20twin.jpg"/>
    <m/>
    <m/>
  </r>
  <r>
    <s v="1586059119-10228"/>
    <s v="https://shop.officineitalianezard.it/en/products/"/>
    <m/>
    <s v="https://shop.officineitalianezard.it/en/triumph-zard-exhaust/"/>
    <s v="STREET TWIN 2016/19"/>
    <s v="https://shop.officineitalianezard.it/en/triumph-street-twin-exhaust/"/>
    <s v="STEEL VERSION"/>
    <x v="54"/>
    <s v="N.2 SILENCERS"/>
    <s v="ZTPH058SSR"/>
    <s v="TRIUMPH STREET TWIN 2016/19"/>
    <n v="647.70000000000005"/>
    <n v="719.67"/>
    <s v="&lt;p&gt;N.2 STEEL RACING SILENCERS WITH REMOVABLE DBKILLERS&lt;/p&gt;_x000a_&lt;p&gt;ORIGINAL SILENCERS WEIGHT: KG 6.8&lt;/p&gt;_x000a_&lt;p&gt;ZARD SILENCERS WEIGHT: KG 3&lt;/p&gt;_x000a_&lt;p&gt;HARD INCREASE, COMPARED TO THE ORIGINAL EXHAUST SYSTEM, IN TERMS OF TORQUE AND POWER AT ANY RANGE.&lt;/p&gt;_x000a_&lt;p&gt;ASTONISHING SOUND.&lt;/p&gt;_x000a_&lt;p&gt;&lt;strong&gt;NOTICE&lt;/strong&gt;: TO REMOVE THE CATALYZER PLEASE CHECK OUR &lt;a href=&quot;https://shop.officineitalianezard.it/en/products/index/kit-decatalizzatore-per-triumph-bonneville-t120-thruxton-r-e-street-twin-zard-7761-187/&quot;&gt;DECATALYZER KIT&lt;/a&gt;&lt;/p&gt;"/>
    <s v="https://shop.officineitalianezard.it/contents/imgs/products/1_1667-triumph%20t120%20street%20twin%20exhaust.jpg"/>
    <m/>
    <m/>
  </r>
  <r>
    <s v="1586059119-10229"/>
    <s v="https://shop.officineitalianezard.it/en/products/"/>
    <m/>
    <s v="https://shop.officineitalianezard.it/en/triumph-zard-exhaust/"/>
    <s v="STREET TWIN 2016/19"/>
    <s v="https://shop.officineitalianezard.it/en/triumph-street-twin-exhaust/"/>
    <s v="STEEL VERSION"/>
    <x v="54"/>
    <s v="N.2 SILENCERS"/>
    <s v="ZTPH058SSR"/>
    <s v="TRIUMPH STREET TWIN 2016/19"/>
    <n v="647.70000000000005"/>
    <n v="719.67"/>
    <s v="&lt;p&gt;N.2 STEEL RACING SILENCERS WITH REMOVABLE DBKILLERS&lt;/p&gt;_x000a_&lt;p&gt;ORIGINAL SILENCERS WEIGHT: KG 6.8&lt;/p&gt;_x000a_&lt;p&gt;ZARD SILENCERS WEIGHT: KG 3&lt;/p&gt;_x000a_&lt;p&gt;HARD INCREASE, COMPARED TO THE ORIGINAL EXHAUST SYSTEM, IN TERMS OF TORQUE AND POWER AT ANY RANGE.&lt;/p&gt;_x000a_&lt;p&gt;ASTONISHING SOUND.&lt;/p&gt;_x000a_&lt;p&gt;&lt;strong&gt;NOTICE&lt;/strong&gt;: TO REMOVE THE CATALYZER PLEASE CHECK OUR &lt;a href=&quot;https://shop.officineitalianezard.it/en/products/index/kit-decatalizzatore-per-triumph-bonneville-t120-thruxton-r-e-street-twin-zard-7761-187/&quot;&gt;DECATALYZER KIT&lt;/a&gt;&lt;/p&gt;"/>
    <s v="https://shop.officineitalianezard.it/contents/imgs/products/1_1743-scarico%20bonneville%20t120%20scarico%20triumph%20street%20twin.jpg"/>
    <m/>
    <m/>
  </r>
  <r>
    <s v="1586059119-10230"/>
    <s v="https://shop.officineitalianezard.it/en/products/"/>
    <m/>
    <s v="https://shop.officineitalianezard.it/en/triumph-zard-exhaust/"/>
    <s v="STREET TWIN 2016/19"/>
    <s v="https://shop.officineitalianezard.it/en/triumph-street-twin-exhaust/"/>
    <s v="STEEL VERSION"/>
    <x v="54"/>
    <s v="N.2 SILENCERS"/>
    <s v="ZTPH058SSR"/>
    <s v="TRIUMPH STREET TWIN 2016/19"/>
    <n v="647.70000000000005"/>
    <n v="719.67"/>
    <s v="&lt;p&gt;N.2 STEEL RACING SILENCERS WITH REMOVABLE DBKILLERS&lt;/p&gt;_x000a_&lt;p&gt;ORIGINAL SILENCERS WEIGHT: KG 6.8&lt;/p&gt;_x000a_&lt;p&gt;ZARD SILENCERS WEIGHT: KG 3&lt;/p&gt;_x000a_&lt;p&gt;HARD INCREASE, COMPARED TO THE ORIGINAL EXHAUST SYSTEM, IN TERMS OF TORQUE AND POWER AT ANY RANGE.&lt;/p&gt;_x000a_&lt;p&gt;ASTONISHING SOUND.&lt;/p&gt;_x000a_&lt;p&gt;&lt;strong&gt;NOTICE&lt;/strong&gt;: TO REMOVE THE CATALYZER PLEASE CHECK OUR &lt;a href=&quot;https://shop.officineitalianezard.it/en/products/index/kit-decatalizzatore-per-triumph-bonneville-t120-thruxton-r-e-street-twin-zard-7761-187/&quot;&gt;DECATALYZER KIT&lt;/a&gt;&lt;/p&gt;"/>
    <m/>
    <s v="EURO 4 HOMOLOGATED"/>
    <n v="38.36"/>
  </r>
  <r>
    <s v="1586059119-10231"/>
    <s v="https://shop.officineitalianezard.it/en/products/"/>
    <m/>
    <s v="https://shop.officineitalianezard.it/en/triumph-zard-exhaust/"/>
    <s v="STREET TWIN 2016/19"/>
    <s v="https://shop.officineitalianezard.it/en/triumph-street-twin-exhaust/"/>
    <s v="STEEL VERSION"/>
    <x v="54"/>
    <s v="N.2 SILENCERS"/>
    <s v="ZTPH058SSR"/>
    <s v="TRIUMPH STREET TWIN 2016/19"/>
    <n v="647.70000000000005"/>
    <n v="719.67"/>
    <s v="&lt;p&gt;N.2 STEEL RACING SILENCERS WITH REMOVABLE DBKILLERS&lt;/p&gt;_x000a_&lt;p&gt;ORIGINAL SILENCERS WEIGHT: KG 6.8&lt;/p&gt;_x000a_&lt;p&gt;ZARD SILENCERS WEIGHT: KG 3&lt;/p&gt;_x000a_&lt;p&gt;HARD INCREASE, COMPARED TO THE ORIGINAL EXHAUST SYSTEM, IN TERMS OF TORQUE AND POWER AT ANY RANGE.&lt;/p&gt;_x000a_&lt;p&gt;ASTONISHING SOUND.&lt;/p&gt;_x000a_&lt;p&gt;&lt;strong&gt;NOTICE&lt;/strong&gt;: TO REMOVE THE CATALYZER PLEASE CHECK OUR &lt;a href=&quot;https://shop.officineitalianezard.it/en/products/index/kit-decatalizzatore-per-triumph-bonneville-t120-thruxton-r-e-street-twin-zard-7761-187/&quot;&gt;DECATALYZER KIT&lt;/a&gt;&lt;/p&gt;"/>
    <m/>
    <s v="BLACK COATING"/>
    <n v="192.54"/>
  </r>
  <r>
    <s v="1586059119-10232"/>
    <s v="https://shop.officineitalianezard.it/en/products/"/>
    <m/>
    <s v="https://shop.officineitalianezard.it/en/triumph-zard-exhaust/"/>
    <s v="STREET TWIN 2016/19"/>
    <s v="https://shop.officineitalianezard.it/en/triumph-street-twin-exhaust/"/>
    <s v="STEEL VERSION"/>
    <x v="54"/>
    <s v="N.2 SILENCERS"/>
    <s v="ZTPH058SSR"/>
    <s v="TRIUMPH STREET TWIN 2016/19"/>
    <n v="647.70000000000005"/>
    <n v="719.67"/>
    <s v="&lt;p&gt;N.2 STEEL RACING SILENCERS WITH REMOVABLE DBKILLERS&lt;/p&gt;_x000a_&lt;p&gt;ORIGINAL SILENCERS WEIGHT: KG 6.8&lt;/p&gt;_x000a_&lt;p&gt;ZARD SILENCERS WEIGHT: KG 3&lt;/p&gt;_x000a_&lt;p&gt;HARD INCREASE, COMPARED TO THE ORIGINAL EXHAUST SYSTEM, IN TERMS OF TORQUE AND POWER AT ANY RANGE.&lt;/p&gt;_x000a_&lt;p&gt;ASTONISHING SOUND.&lt;/p&gt;_x000a_&lt;p&gt;&lt;strong&gt;NOTICE&lt;/strong&gt;: TO REMOVE THE CATALYZER PLEASE CHECK OUR &lt;a href=&quot;https://shop.officineitalianezard.it/en/products/index/kit-decatalizzatore-per-triumph-bonneville-t120-thruxton-r-e-street-twin-zard-7761-187/&quot;&gt;DECATALYZER KIT&lt;/a&gt;&lt;/p&gt;"/>
    <m/>
    <s v="MIRROR POLISHING"/>
    <n v="42.05"/>
  </r>
  <r>
    <s v="1586059122-10233"/>
    <s v="https://shop.officineitalianezard.it/en/products/"/>
    <m/>
    <s v="https://shop.officineitalianezard.it/en/triumph-zard-exhaust/"/>
    <s v="STREET TWIN 2016/19"/>
    <s v="https://shop.officineitalianezard.it/en/triumph-street-twin-exhaust/"/>
    <s v="2&gt;1 VERSION"/>
    <x v="55"/>
    <s v="HIGH MOUNTED FULL KIT"/>
    <s v="ZTPH075SKA"/>
    <s v="TRIUMPH STREET TWIN 2016/19"/>
    <n v="911.8"/>
    <n v="1013.11"/>
    <s v="&lt;p&gt;2&amp;gt;1 STEEL RACING FULL KIT WITH REMOVABLE DBKILLER.&lt;/p&gt;_x000a_&lt;p&gt;ORIGINAL FULL KIT WEIGHT: 14.3 KG&lt;br&gt;ZARD FULL KIT WEIGHT: 7 KG&lt;/p&gt;_x000a_&lt;p&gt;ASTONISHING SOUND,&amp;nbsp;EXCLUSIVE DESIGN.&lt;/p&gt;_x000a_&lt;p&gt;FITTING KIT INCLUDED.&lt;/p&gt;_x000a_&lt;p&gt;&lt;/p&gt;"/>
    <s v="https://shop.officineitalianezard.it/contents/imgs/products/1_1929-1.jpg"/>
    <m/>
    <m/>
  </r>
  <r>
    <s v="1586059122-10234"/>
    <s v="https://shop.officineitalianezard.it/en/products/"/>
    <m/>
    <s v="https://shop.officineitalianezard.it/en/triumph-zard-exhaust/"/>
    <s v="STREET TWIN 2016/19"/>
    <s v="https://shop.officineitalianezard.it/en/triumph-street-twin-exhaust/"/>
    <s v="2&gt;1 VERSION"/>
    <x v="55"/>
    <s v="HIGH MOUNTED FULL KIT"/>
    <s v="ZTPH075SKA"/>
    <s v="TRIUMPH STREET TWIN 2016/19"/>
    <n v="911.8"/>
    <n v="1013.11"/>
    <s v="&lt;p&gt;2&amp;gt;1 STEEL RACING FULL KIT WITH REMOVABLE DBKILLER.&lt;/p&gt;_x000a_&lt;p&gt;ORIGINAL FULL KIT WEIGHT: 14.3 KG&lt;br&gt;ZARD FULL KIT WEIGHT: 7 KG&lt;/p&gt;_x000a_&lt;p&gt;ASTONISHING SOUND,&amp;nbsp;EXCLUSIVE DESIGN.&lt;/p&gt;_x000a_&lt;p&gt;FITTING KIT INCLUDED.&lt;/p&gt;_x000a_&lt;p&gt;&lt;/p&gt;"/>
    <s v="https://shop.officineitalianezard.it/contents/imgs/products/1_1932-2.jpg"/>
    <m/>
    <m/>
  </r>
  <r>
    <s v="1586059122-10235"/>
    <s v="https://shop.officineitalianezard.it/en/products/"/>
    <m/>
    <s v="https://shop.officineitalianezard.it/en/triumph-zard-exhaust/"/>
    <s v="STREET TWIN 2016/19"/>
    <s v="https://shop.officineitalianezard.it/en/triumph-street-twin-exhaust/"/>
    <s v="2&gt;1 VERSION"/>
    <x v="55"/>
    <s v="HIGH MOUNTED FULL KIT"/>
    <s v="ZTPH075SKA"/>
    <s v="TRIUMPH STREET TWIN 2016/19"/>
    <n v="911.8"/>
    <n v="1013.11"/>
    <s v="&lt;p&gt;2&amp;gt;1 STEEL RACING FULL KIT WITH REMOVABLE DBKILLER.&lt;/p&gt;_x000a_&lt;p&gt;ORIGINAL FULL KIT WEIGHT: 14.3 KG&lt;br&gt;ZARD FULL KIT WEIGHT: 7 KG&lt;/p&gt;_x000a_&lt;p&gt;ASTONISHING SOUND,&amp;nbsp;EXCLUSIVE DESIGN.&lt;/p&gt;_x000a_&lt;p&gt;FITTING KIT INCLUDED.&lt;/p&gt;_x000a_&lt;p&gt;&lt;/p&gt;"/>
    <s v="https://shop.officineitalianezard.it/contents/imgs/products/1_1931-3.jpg"/>
    <m/>
    <m/>
  </r>
  <r>
    <s v="1586059122-10236"/>
    <s v="https://shop.officineitalianezard.it/en/products/"/>
    <m/>
    <s v="https://shop.officineitalianezard.it/en/triumph-zard-exhaust/"/>
    <s v="STREET TWIN 2016/19"/>
    <s v="https://shop.officineitalianezard.it/en/triumph-street-twin-exhaust/"/>
    <s v="2&gt;1 VERSION"/>
    <x v="55"/>
    <s v="HIGH MOUNTED FULL KIT"/>
    <s v="ZTPH075SKA"/>
    <s v="TRIUMPH STREET TWIN 2016/19"/>
    <n v="911.8"/>
    <n v="1013.11"/>
    <s v="&lt;p&gt;2&amp;gt;1 STEEL RACING FULL KIT WITH REMOVABLE DBKILLER.&lt;/p&gt;_x000a_&lt;p&gt;ORIGINAL FULL KIT WEIGHT: 14.3 KG&lt;br&gt;ZARD FULL KIT WEIGHT: 7 KG&lt;/p&gt;_x000a_&lt;p&gt;ASTONISHING SOUND,&amp;nbsp;EXCLUSIVE DESIGN.&lt;/p&gt;_x000a_&lt;p&gt;FITTING KIT INCLUDED.&lt;/p&gt;_x000a_&lt;p&gt;&lt;/p&gt;"/>
    <s v="https://shop.officineitalianezard.it/contents/imgs/products/1_1930-4.jpg"/>
    <m/>
    <m/>
  </r>
  <r>
    <s v="1586059122-10237"/>
    <s v="https://shop.officineitalianezard.it/en/products/"/>
    <m/>
    <s v="https://shop.officineitalianezard.it/en/triumph-zard-exhaust/"/>
    <s v="STREET TWIN 2016/19"/>
    <s v="https://shop.officineitalianezard.it/en/triumph-street-twin-exhaust/"/>
    <s v="2&gt;1 VERSION"/>
    <x v="55"/>
    <s v="HIGH MOUNTED FULL KIT"/>
    <s v="ZTPH075SKA"/>
    <s v="TRIUMPH STREET TWIN 2016/19"/>
    <n v="911.8"/>
    <n v="1013.11"/>
    <s v="&lt;p&gt;2&amp;gt;1 STEEL RACING FULL KIT WITH REMOVABLE DBKILLER.&lt;/p&gt;_x000a_&lt;p&gt;ORIGINAL FULL KIT WEIGHT: 14.3 KG&lt;br&gt;ZARD FULL KIT WEIGHT: 7 KG&lt;/p&gt;_x000a_&lt;p&gt;ASTONISHING SOUND,&amp;nbsp;EXCLUSIVE DESIGN.&lt;/p&gt;_x000a_&lt;p&gt;FITTING KIT INCLUDED.&lt;/p&gt;_x000a_&lt;p&gt;&lt;/p&gt;"/>
    <m/>
    <s v="BLACK COATING"/>
    <n v="216.89"/>
  </r>
  <r>
    <s v="1586059122-10238"/>
    <s v="https://shop.officineitalianezard.it/en/products/"/>
    <m/>
    <s v="https://shop.officineitalianezard.it/en/triumph-zard-exhaust/"/>
    <s v="STREET TWIN 2016/19"/>
    <s v="https://shop.officineitalianezard.it/en/triumph-street-twin-exhaust/"/>
    <s v="2&gt;1 VERSION"/>
    <x v="55"/>
    <s v="HIGH MOUNTED FULL KIT"/>
    <s v="ZTPH075SKA"/>
    <s v="TRIUMPH STREET TWIN 2016/19"/>
    <n v="911.8"/>
    <n v="1013.11"/>
    <s v="&lt;p&gt;2&amp;gt;1 STEEL RACING FULL KIT WITH REMOVABLE DBKILLER.&lt;/p&gt;_x000a_&lt;p&gt;ORIGINAL FULL KIT WEIGHT: 14.3 KG&lt;br&gt;ZARD FULL KIT WEIGHT: 7 KG&lt;/p&gt;_x000a_&lt;p&gt;ASTONISHING SOUND,&amp;nbsp;EXCLUSIVE DESIGN.&lt;/p&gt;_x000a_&lt;p&gt;FITTING KIT INCLUDED.&lt;/p&gt;_x000a_&lt;p&gt;&lt;/p&gt;"/>
    <m/>
    <s v="GOLD VERSION END CAP"/>
    <n v="46.48"/>
  </r>
  <r>
    <s v="1586059124-10239"/>
    <s v="https://shop.officineitalianezard.it/en/products/"/>
    <m/>
    <s v="https://shop.officineitalianezard.it/en/triumph-zard-exhaust/"/>
    <s v="STREET TWIN 2016/19"/>
    <s v="https://shop.officineitalianezard.it/en/triumph-street-twin-exhaust/"/>
    <s v="CROSS VERSION"/>
    <x v="56"/>
    <s v="2&gt;1 FULL KIT"/>
    <s v="ZTPH087SKR"/>
    <s v="TRIUMPH STREET TWIN 2016/19"/>
    <n v="691.23"/>
    <n v="768.03"/>
    <s v="&lt;p&gt;2&amp;gt;1 STEEL RACING FULL KIT CROSS VERSION WITH REMOVABLE DB KILLER&lt;/p&gt;_x000a_&lt;p&gt;&lt;span&gt;THE EXHAUST REMOVES OEM CATALYZER&lt;/span&gt;&lt;/p&gt;_x000a_&lt;p&gt;ORIGINAL FULL KIT&amp;nbsp;WEIGHT:&amp;nbsp;&lt;span&gt;14,3&lt;/span&gt;&lt;span&gt;&amp;nbsp;KG&lt;br&gt;&lt;/span&gt;&lt;span&gt;ZARD&amp;nbsp;&lt;/span&gt;&lt;span&gt;FULL KIT&lt;/span&gt;&lt;span&gt;&amp;nbsp;WEIGHT: 3,1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"/>
    <s v="https://shop.officineitalianezard.it/contents/imgs/products/1_2340-scarico%20triumph%20street%20twin%20-%20zard%20cross.jpg"/>
    <m/>
    <m/>
  </r>
  <r>
    <s v="1586059124-10240"/>
    <s v="https://shop.officineitalianezard.it/en/products/"/>
    <m/>
    <s v="https://shop.officineitalianezard.it/en/triumph-zard-exhaust/"/>
    <s v="STREET TWIN 2016/19"/>
    <s v="https://shop.officineitalianezard.it/en/triumph-street-twin-exhaust/"/>
    <s v="CROSS VERSION"/>
    <x v="56"/>
    <s v="2&gt;1 FULL KIT"/>
    <s v="ZTPH087SKR"/>
    <s v="TRIUMPH STREET TWIN 2016/19"/>
    <n v="691.23"/>
    <n v="768.03"/>
    <s v="&lt;p&gt;2&amp;gt;1 STEEL RACING FULL KIT CROSS VERSION WITH REMOVABLE DB KILLER&lt;/p&gt;_x000a_&lt;p&gt;&lt;span&gt;THE EXHAUST REMOVES OEM CATALYZER&lt;/span&gt;&lt;/p&gt;_x000a_&lt;p&gt;ORIGINAL FULL KIT&amp;nbsp;WEIGHT:&amp;nbsp;&lt;span&gt;14,3&lt;/span&gt;&lt;span&gt;&amp;nbsp;KG&lt;br&gt;&lt;/span&gt;&lt;span&gt;ZARD&amp;nbsp;&lt;/span&gt;&lt;span&gt;FULL KIT&lt;/span&gt;&lt;span&gt;&amp;nbsp;WEIGHT: 3,1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"/>
    <s v="https://shop.officineitalianezard.it/contents/imgs/products/1_2338-scarico%20completo%20street%20twin%20-%20zard.jpg"/>
    <m/>
    <m/>
  </r>
  <r>
    <s v="1586059124-10241"/>
    <s v="https://shop.officineitalianezard.it/en/products/"/>
    <m/>
    <s v="https://shop.officineitalianezard.it/en/triumph-zard-exhaust/"/>
    <s v="STREET TWIN 2016/19"/>
    <s v="https://shop.officineitalianezard.it/en/triumph-street-twin-exhaust/"/>
    <s v="CROSS VERSION"/>
    <x v="56"/>
    <s v="2&gt;1 FULL KIT"/>
    <s v="ZTPH087SKR"/>
    <s v="TRIUMPH STREET TWIN 2016/19"/>
    <n v="691.23"/>
    <n v="768.03"/>
    <s v="&lt;p&gt;2&amp;gt;1 STEEL RACING FULL KIT CROSS VERSION WITH REMOVABLE DB KILLER&lt;/p&gt;_x000a_&lt;p&gt;&lt;span&gt;THE EXHAUST REMOVES OEM CATALYZER&lt;/span&gt;&lt;/p&gt;_x000a_&lt;p&gt;ORIGINAL FULL KIT&amp;nbsp;WEIGHT:&amp;nbsp;&lt;span&gt;14,3&lt;/span&gt;&lt;span&gt;&amp;nbsp;KG&lt;br&gt;&lt;/span&gt;&lt;span&gt;ZARD&amp;nbsp;&lt;/span&gt;&lt;span&gt;FULL KIT&lt;/span&gt;&lt;span&gt;&amp;nbsp;WEIGHT: 3,1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"/>
    <s v="https://shop.officineitalianezard.it/contents/imgs/products/1_2339-street%20twin%20exhaust%20-%20zard.jpg"/>
    <m/>
    <m/>
  </r>
  <r>
    <s v="1586059124-10242"/>
    <s v="https://shop.officineitalianezard.it/en/products/"/>
    <m/>
    <s v="https://shop.officineitalianezard.it/en/triumph-zard-exhaust/"/>
    <s v="STREET TWIN 2016/19"/>
    <s v="https://shop.officineitalianezard.it/en/triumph-street-twin-exhaust/"/>
    <s v="CROSS VERSION"/>
    <x v="56"/>
    <s v="2&gt;1 FULL KIT"/>
    <s v="ZTPH087SKR"/>
    <s v="TRIUMPH STREET TWIN 2016/19"/>
    <n v="691.23"/>
    <n v="768.03"/>
    <s v="&lt;p&gt;2&amp;gt;1 STEEL RACING FULL KIT CROSS VERSION WITH REMOVABLE DB KILLER&lt;/p&gt;_x000a_&lt;p&gt;&lt;span&gt;THE EXHAUST REMOVES OEM CATALYZER&lt;/span&gt;&lt;/p&gt;_x000a_&lt;p&gt;ORIGINAL FULL KIT&amp;nbsp;WEIGHT:&amp;nbsp;&lt;span&gt;14,3&lt;/span&gt;&lt;span&gt;&amp;nbsp;KG&lt;br&gt;&lt;/span&gt;&lt;span&gt;ZARD&amp;nbsp;&lt;/span&gt;&lt;span&gt;FULL KIT&lt;/span&gt;&lt;span&gt;&amp;nbsp;WEIGHT: 3,1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"/>
    <s v="https://shop.officineitalianezard.it/contents/imgs/products/1_2385-scarico%20street%20twin%20nero%20zard.jpg"/>
    <m/>
    <m/>
  </r>
  <r>
    <s v="1586059124-10243"/>
    <s v="https://shop.officineitalianezard.it/en/products/"/>
    <m/>
    <s v="https://shop.officineitalianezard.it/en/triumph-zard-exhaust/"/>
    <s v="STREET TWIN 2016/19"/>
    <s v="https://shop.officineitalianezard.it/en/triumph-street-twin-exhaust/"/>
    <s v="CROSS VERSION"/>
    <x v="56"/>
    <s v="2&gt;1 FULL KIT"/>
    <s v="ZTPH087SKR"/>
    <s v="TRIUMPH STREET TWIN 2016/19"/>
    <n v="691.23"/>
    <n v="768.03"/>
    <s v="&lt;p&gt;2&amp;gt;1 STEEL RACING FULL KIT CROSS VERSION WITH REMOVABLE DB KILLER&lt;/p&gt;_x000a_&lt;p&gt;&lt;span&gt;THE EXHAUST REMOVES OEM CATALYZER&lt;/span&gt;&lt;/p&gt;_x000a_&lt;p&gt;ORIGINAL FULL KIT&amp;nbsp;WEIGHT:&amp;nbsp;&lt;span&gt;14,3&lt;/span&gt;&lt;span&gt;&amp;nbsp;KG&lt;br&gt;&lt;/span&gt;&lt;span&gt;ZARD&amp;nbsp;&lt;/span&gt;&lt;span&gt;FULL KIT&lt;/span&gt;&lt;span&gt;&amp;nbsp;WEIGHT: 3,1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"/>
    <s v="https://shop.officineitalianezard.it/contents/imgs/products/1_2376-945-scarichi%20moto%20zard%20cross.jpg"/>
    <m/>
    <m/>
  </r>
  <r>
    <s v="1586059124-10244"/>
    <s v="https://shop.officineitalianezard.it/en/products/"/>
    <m/>
    <s v="https://shop.officineitalianezard.it/en/triumph-zard-exhaust/"/>
    <s v="STREET TWIN 2016/19"/>
    <s v="https://shop.officineitalianezard.it/en/triumph-street-twin-exhaust/"/>
    <s v="CROSS VERSION"/>
    <x v="56"/>
    <s v="2&gt;1 FULL KIT"/>
    <s v="ZTPH087SKR"/>
    <s v="TRIUMPH STREET TWIN 2016/19"/>
    <n v="691.23"/>
    <n v="768.03"/>
    <s v="&lt;p&gt;2&amp;gt;1 STEEL RACING FULL KIT CROSS VERSION WITH REMOVABLE DB KILLER&lt;/p&gt;_x000a_&lt;p&gt;&lt;span&gt;THE EXHAUST REMOVES OEM CATALYZER&lt;/span&gt;&lt;/p&gt;_x000a_&lt;p&gt;ORIGINAL FULL KIT&amp;nbsp;WEIGHT:&amp;nbsp;&lt;span&gt;14,3&lt;/span&gt;&lt;span&gt;&amp;nbsp;KG&lt;br&gt;&lt;/span&gt;&lt;span&gt;ZARD&amp;nbsp;&lt;/span&gt;&lt;span&gt;FULL KIT&lt;/span&gt;&lt;span&gt;&amp;nbsp;WEIGHT: 3,1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"/>
    <m/>
    <s v="BLACK COATING"/>
    <n v="169.67"/>
  </r>
  <r>
    <s v="1586059124-10245"/>
    <s v="https://shop.officineitalianezard.it/en/products/"/>
    <m/>
    <s v="https://shop.officineitalianezard.it/en/triumph-zard-exhaust/"/>
    <s v="STREET TWIN 2016/19"/>
    <s v="https://shop.officineitalianezard.it/en/triumph-street-twin-exhaust/"/>
    <s v="CROSS VERSION"/>
    <x v="56"/>
    <s v="2&gt;1 FULL KIT"/>
    <s v="ZTPH087SKR"/>
    <s v="TRIUMPH STREET TWIN 2016/19"/>
    <n v="691.23"/>
    <n v="768.03"/>
    <s v="&lt;p&gt;2&amp;gt;1 STEEL RACING FULL KIT CROSS VERSION WITH REMOVABLE DB KILLER&lt;/p&gt;_x000a_&lt;p&gt;&lt;span&gt;THE EXHAUST REMOVES OEM CATALYZER&lt;/span&gt;&lt;/p&gt;_x000a_&lt;p&gt;ORIGINAL FULL KIT&amp;nbsp;WEIGHT:&amp;nbsp;&lt;span&gt;14,3&lt;/span&gt;&lt;span&gt;&amp;nbsp;KG&lt;br&gt;&lt;/span&gt;&lt;span&gt;ZARD&amp;nbsp;&lt;/span&gt;&lt;span&gt;FULL KIT&lt;/span&gt;&lt;span&gt;&amp;nbsp;WEIGHT: 3,1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"/>
    <m/>
    <s v="MIRROR POLISHING"/>
    <n v="96.64"/>
  </r>
  <r>
    <s v="1586059129-10246"/>
    <s v="https://shop.officineitalianezard.it/en/products/"/>
    <m/>
    <s v="https://shop.officineitalianezard.it/en/triumph-zard-exhaust/"/>
    <s v="STREET TRIPLE 765 2017-19"/>
    <s v="https://shop.officineitalianezard.it/en/triumph-street-triple-765-2017-19-exhaust/"/>
    <s v="SHORT VERSION"/>
    <x v="57"/>
    <s v="SLIP-ON SILENCER"/>
    <s v="ZTPH089STR-FC"/>
    <s v="TRIUMPH STREET TRIPLE 765 2017/19"/>
    <n v="641.07000000000005"/>
    <n v="712.3"/>
    <s v="&lt;p&gt;STAINLESS STEEL RACING SLIP-ON WITH TITANIUM&lt;br&gt;SLEEVE SILENCER AND REMOVABLE DB KILLER&lt;/p&gt;_x000a_&lt;p&gt;EURO 4 HOMOLOGATED VERSION AVAILABLE AS OPTIONAL&lt;/p&gt;_x000a_&lt;p&gt;CARBON ENDCAP AND CARBON HEAT SHIELD INCLUDED&lt;/p&gt;_x000a_&lt;p&gt;ORIGINAL EXHAUST WEIGHT: 6.5 KG&lt;br&gt;ZARD EXHAUST WEIGHT: 3.4 KG&lt;/p&gt;_x000a_&lt;p&gt;THE INSTALLATION OF ZARD EXHAUST DOES NOT&lt;br&gt;IMPLY ANY MODIFICATION TO ECU.&lt;/p&gt;_x000a_&lt;p&gt;EXCLUSIVE DESIGN, ASTONISHING SOUND.&lt;/p&gt;"/>
    <s v="https://shop.officineitalianezard.it/contents/imgs/products/1_2542-scarico%20triumph%20street%20triple%20765%20zard%20exhaust%201%20.jpg"/>
    <m/>
    <m/>
  </r>
  <r>
    <s v="1586059129-10247"/>
    <s v="https://shop.officineitalianezard.it/en/products/"/>
    <m/>
    <s v="https://shop.officineitalianezard.it/en/triumph-zard-exhaust/"/>
    <s v="STREET TRIPLE 765 2017-19"/>
    <s v="https://shop.officineitalianezard.it/en/triumph-street-triple-765-2017-19-exhaust/"/>
    <s v="SHORT VERSION"/>
    <x v="57"/>
    <s v="SLIP-ON SILENCER"/>
    <s v="ZTPH089STR-FC"/>
    <s v="TRIUMPH STREET TRIPLE 765 2017/19"/>
    <n v="641.07000000000005"/>
    <n v="712.3"/>
    <s v="&lt;p&gt;STAINLESS STEEL RACING SLIP-ON WITH TITANIUM&lt;br&gt;SLEEVE SILENCER AND REMOVABLE DB KILLER&lt;/p&gt;_x000a_&lt;p&gt;EURO 4 HOMOLOGATED VERSION AVAILABLE AS OPTIONAL&lt;/p&gt;_x000a_&lt;p&gt;CARBON ENDCAP AND CARBON HEAT SHIELD INCLUDED&lt;/p&gt;_x000a_&lt;p&gt;ORIGINAL EXHAUST WEIGHT: 6.5 KG&lt;br&gt;ZARD EXHAUST WEIGHT: 3.4 KG&lt;/p&gt;_x000a_&lt;p&gt;THE INSTALLATION OF ZARD EXHAUST DOES NOT&lt;br&gt;IMPLY ANY MODIFICATION TO ECU.&lt;/p&gt;_x000a_&lt;p&gt;EXCLUSIVE DESIGN, ASTONISHING SOUND.&lt;/p&gt;"/>
    <s v="https://shop.officineitalianezard.it/contents/imgs/products/1_2539-scarico%20triumph%20street%20triple%20765%20zard%20exhaust%202.jpg"/>
    <m/>
    <m/>
  </r>
  <r>
    <s v="1586059129-10248"/>
    <s v="https://shop.officineitalianezard.it/en/products/"/>
    <m/>
    <s v="https://shop.officineitalianezard.it/en/triumph-zard-exhaust/"/>
    <s v="STREET TRIPLE 765 2017-19"/>
    <s v="https://shop.officineitalianezard.it/en/triumph-street-triple-765-2017-19-exhaust/"/>
    <s v="SHORT VERSION"/>
    <x v="57"/>
    <s v="SLIP-ON SILENCER"/>
    <s v="ZTPH089STR-FC"/>
    <s v="TRIUMPH STREET TRIPLE 765 2017/19"/>
    <n v="641.07000000000005"/>
    <n v="712.3"/>
    <s v="&lt;p&gt;STAINLESS STEEL RACING SLIP-ON WITH TITANIUM&lt;br&gt;SLEEVE SILENCER AND REMOVABLE DB KILLER&lt;/p&gt;_x000a_&lt;p&gt;EURO 4 HOMOLOGATED VERSION AVAILABLE AS OPTIONAL&lt;/p&gt;_x000a_&lt;p&gt;CARBON ENDCAP AND CARBON HEAT SHIELD INCLUDED&lt;/p&gt;_x000a_&lt;p&gt;ORIGINAL EXHAUST WEIGHT: 6.5 KG&lt;br&gt;ZARD EXHAUST WEIGHT: 3.4 KG&lt;/p&gt;_x000a_&lt;p&gt;THE INSTALLATION OF ZARD EXHAUST DOES NOT&lt;br&gt;IMPLY ANY MODIFICATION TO ECU.&lt;/p&gt;_x000a_&lt;p&gt;EXCLUSIVE DESIGN, ASTONISHING SOUND.&lt;/p&gt;"/>
    <s v="https://shop.officineitalianezard.it/contents/imgs/products/1_2541-scarico%20triumph%20street%20triple%20765%20zard%20exhaust%204.jpg"/>
    <m/>
    <m/>
  </r>
  <r>
    <s v="1586059129-10249"/>
    <s v="https://shop.officineitalianezard.it/en/products/"/>
    <m/>
    <s v="https://shop.officineitalianezard.it/en/triumph-zard-exhaust/"/>
    <s v="STREET TRIPLE 765 2017-19"/>
    <s v="https://shop.officineitalianezard.it/en/triumph-street-triple-765-2017-19-exhaust/"/>
    <s v="SHORT VERSION"/>
    <x v="57"/>
    <s v="SLIP-ON SILENCER"/>
    <s v="ZTPH089STR-FC"/>
    <s v="TRIUMPH STREET TRIPLE 765 2017/19"/>
    <n v="641.07000000000005"/>
    <n v="712.3"/>
    <s v="&lt;p&gt;STAINLESS STEEL RACING SLIP-ON WITH TITANIUM&lt;br&gt;SLEEVE SILENCER AND REMOVABLE DB KILLER&lt;/p&gt;_x000a_&lt;p&gt;EURO 4 HOMOLOGATED VERSION AVAILABLE AS OPTIONAL&lt;/p&gt;_x000a_&lt;p&gt;CARBON ENDCAP AND CARBON HEAT SHIELD INCLUDED&lt;/p&gt;_x000a_&lt;p&gt;ORIGINAL EXHAUST WEIGHT: 6.5 KG&lt;br&gt;ZARD EXHAUST WEIGHT: 3.4 KG&lt;/p&gt;_x000a_&lt;p&gt;THE INSTALLATION OF ZARD EXHAUST DOES NOT&lt;br&gt;IMPLY ANY MODIFICATION TO ECU.&lt;/p&gt;_x000a_&lt;p&gt;EXCLUSIVE DESIGN, ASTONISHING SOUND.&lt;/p&gt;"/>
    <s v="https://shop.officineitalianezard.it/contents/imgs/products/1_2540-scarico%20triumph%20street%20triple%20765%20zard%20exhaust%203.jpg"/>
    <m/>
    <m/>
  </r>
  <r>
    <s v="1586059129-10250"/>
    <s v="https://shop.officineitalianezard.it/en/products/"/>
    <m/>
    <s v="https://shop.officineitalianezard.it/en/triumph-zard-exhaust/"/>
    <s v="STREET TRIPLE 765 2017-19"/>
    <s v="https://shop.officineitalianezard.it/en/triumph-street-triple-765-2017-19-exhaust/"/>
    <s v="SHORT VERSION"/>
    <x v="57"/>
    <s v="SLIP-ON SILENCER"/>
    <s v="ZTPH089STR-FC"/>
    <s v="TRIUMPH STREET TRIPLE 765 2017/19"/>
    <n v="641.07000000000005"/>
    <n v="712.3"/>
    <s v="&lt;p&gt;STAINLESS STEEL RACING SLIP-ON WITH TITANIUM&lt;br&gt;SLEEVE SILENCER AND REMOVABLE DB KILLER&lt;/p&gt;_x000a_&lt;p&gt;EURO 4 HOMOLOGATED VERSION AVAILABLE AS OPTIONAL&lt;/p&gt;_x000a_&lt;p&gt;CARBON ENDCAP AND CARBON HEAT SHIELD INCLUDED&lt;/p&gt;_x000a_&lt;p&gt;ORIGINAL EXHAUST WEIGHT: 6.5 KG&lt;br&gt;ZARD EXHAUST WEIGHT: 3.4 KG&lt;/p&gt;_x000a_&lt;p&gt;THE INSTALLATION OF ZARD EXHAUST DOES NOT&lt;br&gt;IMPLY ANY MODIFICATION TO ECU.&lt;/p&gt;_x000a_&lt;p&gt;EXCLUSIVE DESIGN, ASTONISHING SOUND.&lt;/p&gt;"/>
    <m/>
    <s v="EURO 4 HOMOLOGATED"/>
    <n v="22.13"/>
  </r>
  <r>
    <s v="1586059134-10251"/>
    <s v="https://shop.officineitalianezard.it/en/products/"/>
    <m/>
    <s v="https://shop.officineitalianezard.it/en/triumph-zard-exhaust/"/>
    <s v="STREET TRIPLE MY 2013-2016"/>
    <s v="https://shop.officineitalianezard.it/en/triumph-street-triple-m-y-2013-2016-exhaust/"/>
    <s v="CONICAL VERSION"/>
    <x v="58"/>
    <s v="LOW MOUNTED SILENCER"/>
    <s v="ZTPH516SSR"/>
    <s v="TRIUMPH STREET TRIPLE M.Y. 2013"/>
    <n v="374.02"/>
    <n v="415.57"/>
    <s v="&lt;p&gt;STEEL RACING SILENCER&lt;/p&gt;_x000a_&lt;p&gt;HARD INCREASE, COMPARED TO THE ORIGINAL EXHAUST SYSTEM, IN TERMS OF TORQUE AND POWER AT ANY RANGE.&lt;/p&gt;_x000a_&lt;p&gt;ASTONISHING SOUND.&lt;/p&gt;_x000a_&lt;p&gt;ZARD CONICAL SILENCER CAN BE FITTED ON 3&amp;gt;1 ZARD HEADERS KIT TO HAVE AN HARD INCREASE OF PERFORMANCES BUT ALSO ON ORIGINAL HEADERS.&lt;/p&gt;"/>
    <s v="https://shop.officineitalianezard.it/contents/imgs/products/1_187-1.jpg"/>
    <m/>
    <m/>
  </r>
  <r>
    <s v="1586059134-10252"/>
    <s v="https://shop.officineitalianezard.it/en/products/"/>
    <m/>
    <s v="https://shop.officineitalianezard.it/en/triumph-zard-exhaust/"/>
    <s v="STREET TRIPLE MY 2013-2016"/>
    <s v="https://shop.officineitalianezard.it/en/triumph-street-triple-m-y-2013-2016-exhaust/"/>
    <s v="CONICAL VERSION"/>
    <x v="58"/>
    <s v="LOW MOUNTED SILENCER"/>
    <s v="ZTPH516SSR"/>
    <s v="TRIUMPH STREET TRIPLE M.Y. 2013"/>
    <n v="374.02"/>
    <n v="415.57"/>
    <s v="&lt;p&gt;STEEL RACING SILENCER&lt;/p&gt;_x000a_&lt;p&gt;HARD INCREASE, COMPARED TO THE ORIGINAL EXHAUST SYSTEM, IN TERMS OF TORQUE AND POWER AT ANY RANGE.&lt;/p&gt;_x000a_&lt;p&gt;ASTONISHING SOUND.&lt;/p&gt;_x000a_&lt;p&gt;ZARD CONICAL SILENCER CAN BE FITTED ON 3&amp;gt;1 ZARD HEADERS KIT TO HAVE AN HARD INCREASE OF PERFORMANCES BUT ALSO ON ORIGINAL HEADERS.&lt;/p&gt;"/>
    <s v="https://shop.officineitalianezard.it/contents/imgs/products/1_189-4.jpg"/>
    <m/>
    <m/>
  </r>
  <r>
    <s v="1586059134-10253"/>
    <s v="https://shop.officineitalianezard.it/en/products/"/>
    <m/>
    <s v="https://shop.officineitalianezard.it/en/triumph-zard-exhaust/"/>
    <s v="STREET TRIPLE MY 2013-2016"/>
    <s v="https://shop.officineitalianezard.it/en/triumph-street-triple-m-y-2013-2016-exhaust/"/>
    <s v="CONICAL VERSION"/>
    <x v="58"/>
    <s v="LOW MOUNTED SILENCER"/>
    <s v="ZTPH516SSR"/>
    <s v="TRIUMPH STREET TRIPLE M.Y. 2013"/>
    <n v="374.02"/>
    <n v="415.57"/>
    <s v="&lt;p&gt;STEEL RACING SILENCER&lt;/p&gt;_x000a_&lt;p&gt;HARD INCREASE, COMPARED TO THE ORIGINAL EXHAUST SYSTEM, IN TERMS OF TORQUE AND POWER AT ANY RANGE.&lt;/p&gt;_x000a_&lt;p&gt;ASTONISHING SOUND.&lt;/p&gt;_x000a_&lt;p&gt;ZARD CONICAL SILENCER CAN BE FITTED ON 3&amp;gt;1 ZARD HEADERS KIT TO HAVE AN HARD INCREASE OF PERFORMANCES BUT ALSO ON ORIGINAL HEADERS.&lt;/p&gt;"/>
    <s v="https://shop.officineitalianezard.it/contents/imgs/products/1_188-3.jpg"/>
    <m/>
    <m/>
  </r>
  <r>
    <s v="1586059134-10254"/>
    <s v="https://shop.officineitalianezard.it/en/products/"/>
    <m/>
    <s v="https://shop.officineitalianezard.it/en/triumph-zard-exhaust/"/>
    <s v="STREET TRIPLE MY 2013-2016"/>
    <s v="https://shop.officineitalianezard.it/en/triumph-street-triple-m-y-2013-2016-exhaust/"/>
    <s v="CONICAL VERSION"/>
    <x v="58"/>
    <s v="LOW MOUNTED SILENCER"/>
    <s v="ZTPH516SSR"/>
    <s v="TRIUMPH STREET TRIPLE M.Y. 2013"/>
    <n v="374.02"/>
    <n v="415.57"/>
    <s v="&lt;p&gt;STEEL RACING SILENCER&lt;/p&gt;_x000a_&lt;p&gt;HARD INCREASE, COMPARED TO THE ORIGINAL EXHAUST SYSTEM, IN TERMS OF TORQUE AND POWER AT ANY RANGE.&lt;/p&gt;_x000a_&lt;p&gt;ASTONISHING SOUND.&lt;/p&gt;_x000a_&lt;p&gt;ZARD CONICAL SILENCER CAN BE FITTED ON 3&amp;gt;1 ZARD HEADERS KIT TO HAVE AN HARD INCREASE OF PERFORMANCES BUT ALSO ON ORIGINAL HEADERS.&lt;/p&gt;"/>
    <m/>
    <s v="EURO 3 HOMOLOGATED"/>
    <n v="53.85"/>
  </r>
  <r>
    <s v="1586059134-10255"/>
    <s v="https://shop.officineitalianezard.it/en/products/"/>
    <m/>
    <s v="https://shop.officineitalianezard.it/en/triumph-zard-exhaust/"/>
    <s v="STREET TRIPLE MY 2013-2016"/>
    <s v="https://shop.officineitalianezard.it/en/triumph-street-triple-m-y-2013-2016-exhaust/"/>
    <s v="CONICAL VERSION"/>
    <x v="58"/>
    <s v="LOW MOUNTED SILENCER"/>
    <s v="ZTPH516SSR"/>
    <s v="TRIUMPH STREET TRIPLE M.Y. 2013"/>
    <n v="374.02"/>
    <n v="415.57"/>
    <s v="&lt;p&gt;STEEL RACING SILENCER&lt;/p&gt;_x000a_&lt;p&gt;HARD INCREASE, COMPARED TO THE ORIGINAL EXHAUST SYSTEM, IN TERMS OF TORQUE AND POWER AT ANY RANGE.&lt;/p&gt;_x000a_&lt;p&gt;ASTONISHING SOUND.&lt;/p&gt;_x000a_&lt;p&gt;ZARD CONICAL SILENCER CAN BE FITTED ON 3&amp;gt;1 ZARD HEADERS KIT TO HAVE AN HARD INCREASE OF PERFORMANCES BUT ALSO ON ORIGINAL HEADERS.&lt;/p&gt;"/>
    <m/>
    <s v="BLACK COATING"/>
    <n v="77.459999999999994"/>
  </r>
  <r>
    <s v="1586059134-10256"/>
    <s v="https://shop.officineitalianezard.it/en/products/"/>
    <m/>
    <s v="https://shop.officineitalianezard.it/en/triumph-zard-exhaust/"/>
    <s v="STREET TRIPLE MY 2013-2016"/>
    <s v="https://shop.officineitalianezard.it/en/triumph-street-triple-m-y-2013-2016-exhaust/"/>
    <s v="CONICAL VERSION"/>
    <x v="58"/>
    <s v="LOW MOUNTED SILENCER"/>
    <s v="ZTPH516SSR"/>
    <s v="TRIUMPH STREET TRIPLE M.Y. 2013"/>
    <n v="374.02"/>
    <n v="415.57"/>
    <s v="&lt;p&gt;STEEL RACING SILENCER&lt;/p&gt;_x000a_&lt;p&gt;HARD INCREASE, COMPARED TO THE ORIGINAL EXHAUST SYSTEM, IN TERMS OF TORQUE AND POWER AT ANY RANGE.&lt;/p&gt;_x000a_&lt;p&gt;ASTONISHING SOUND.&lt;/p&gt;_x000a_&lt;p&gt;ZARD CONICAL SILENCER CAN BE FITTED ON 3&amp;gt;1 ZARD HEADERS KIT TO HAVE AN HARD INCREASE OF PERFORMANCES BUT ALSO ON ORIGINAL HEADERS.&lt;/p&gt;"/>
    <m/>
    <s v="CARBON ENDCAP"/>
    <n v="37.619999999999997"/>
  </r>
  <r>
    <s v="1586059136-10257"/>
    <s v="https://shop.officineitalianezard.it/en/products/"/>
    <m/>
    <s v="https://shop.officineitalianezard.it/en/triumph-zard-exhaust/"/>
    <s v="STREET TRIPLE MY 2013-2016"/>
    <s v="https://shop.officineitalianezard.it/en/triumph-street-triple-m-y-2013-2016-exhaust/"/>
    <s v="SHORT VERSION"/>
    <x v="59"/>
    <s v="LOW MOUNTED SILENCER"/>
    <s v="ZTPH515SSR"/>
    <s v="TRIUMPH STREET TRIPLE M.Y. 2013"/>
    <n v="432.3"/>
    <n v="480.33"/>
    <s v="&lt;p&gt;STEEL RACING SILENCER&lt;/p&gt;_x000a_&lt;p&gt;HARD INCREASE, COMPARED TO THE ORIGINAL EXHAUST SYSTEM, IN TERMS OF TORQUE AND POWER AT ANY RANGE.&lt;/p&gt;_x000a_&lt;p&gt;ASTONISHING SOUND.&lt;/p&gt;_x000a_&lt;p&gt;ZARD SHORT SILENCER CAN BE FITTED ON 3&amp;gt;1 ZARD HEADERS KIT TO HAVE AN HARD INCREASE OF PERFORMANCES BUT ALSO ON ORIGINAL HEADERS.&lt;/p&gt;"/>
    <s v="https://shop.officineitalianezard.it/contents/imgs/products/1_181-3.jpg"/>
    <m/>
    <m/>
  </r>
  <r>
    <s v="1586059136-10258"/>
    <s v="https://shop.officineitalianezard.it/en/products/"/>
    <m/>
    <s v="https://shop.officineitalianezard.it/en/triumph-zard-exhaust/"/>
    <s v="STREET TRIPLE MY 2013-2016"/>
    <s v="https://shop.officineitalianezard.it/en/triumph-street-triple-m-y-2013-2016-exhaust/"/>
    <s v="SHORT VERSION"/>
    <x v="59"/>
    <s v="LOW MOUNTED SILENCER"/>
    <s v="ZTPH515SSR"/>
    <s v="TRIUMPH STREET TRIPLE M.Y. 2013"/>
    <n v="432.3"/>
    <n v="480.33"/>
    <s v="&lt;p&gt;STEEL RACING SILENCER&lt;/p&gt;_x000a_&lt;p&gt;HARD INCREASE, COMPARED TO THE ORIGINAL EXHAUST SYSTEM, IN TERMS OF TORQUE AND POWER AT ANY RANGE.&lt;/p&gt;_x000a_&lt;p&gt;ASTONISHING SOUND.&lt;/p&gt;_x000a_&lt;p&gt;ZARD SHORT SILENCER CAN BE FITTED ON 3&amp;gt;1 ZARD HEADERS KIT TO HAVE AN HARD INCREASE OF PERFORMANCES BUT ALSO ON ORIGINAL HEADERS.&lt;/p&gt;"/>
    <s v="https://shop.officineitalianezard.it/contents/imgs/products/1_182-4.jpg"/>
    <m/>
    <m/>
  </r>
  <r>
    <s v="1586059136-10259"/>
    <s v="https://shop.officineitalianezard.it/en/products/"/>
    <m/>
    <s v="https://shop.officineitalianezard.it/en/triumph-zard-exhaust/"/>
    <s v="STREET TRIPLE MY 2013-2016"/>
    <s v="https://shop.officineitalianezard.it/en/triumph-street-triple-m-y-2013-2016-exhaust/"/>
    <s v="SHORT VERSION"/>
    <x v="59"/>
    <s v="LOW MOUNTED SILENCER"/>
    <s v="ZTPH515SSR"/>
    <s v="TRIUMPH STREET TRIPLE M.Y. 2013"/>
    <n v="432.3"/>
    <n v="480.33"/>
    <s v="&lt;p&gt;STEEL RACING SILENCER&lt;/p&gt;_x000a_&lt;p&gt;HARD INCREASE, COMPARED TO THE ORIGINAL EXHAUST SYSTEM, IN TERMS OF TORQUE AND POWER AT ANY RANGE.&lt;/p&gt;_x000a_&lt;p&gt;ASTONISHING SOUND.&lt;/p&gt;_x000a_&lt;p&gt;ZARD SHORT SILENCER CAN BE FITTED ON 3&amp;gt;1 ZARD HEADERS KIT TO HAVE AN HARD INCREASE OF PERFORMANCES BUT ALSO ON ORIGINAL HEADERS.&lt;/p&gt;"/>
    <s v="https://shop.officineitalianezard.it/contents/imgs/products/1_179-1.jpg"/>
    <m/>
    <m/>
  </r>
  <r>
    <s v="1586059136-10260"/>
    <s v="https://shop.officineitalianezard.it/en/products/"/>
    <m/>
    <s v="https://shop.officineitalianezard.it/en/triumph-zard-exhaust/"/>
    <s v="STREET TRIPLE MY 2013-2016"/>
    <s v="https://shop.officineitalianezard.it/en/triumph-street-triple-m-y-2013-2016-exhaust/"/>
    <s v="SHORT VERSION"/>
    <x v="59"/>
    <s v="LOW MOUNTED SILENCER"/>
    <s v="ZTPH515SSR"/>
    <s v="TRIUMPH STREET TRIPLE M.Y. 2013"/>
    <n v="432.3"/>
    <n v="480.33"/>
    <s v="&lt;p&gt;STEEL RACING SILENCER&lt;/p&gt;_x000a_&lt;p&gt;HARD INCREASE, COMPARED TO THE ORIGINAL EXHAUST SYSTEM, IN TERMS OF TORQUE AND POWER AT ANY RANGE.&lt;/p&gt;_x000a_&lt;p&gt;ASTONISHING SOUND.&lt;/p&gt;_x000a_&lt;p&gt;ZARD SHORT SILENCER CAN BE FITTED ON 3&amp;gt;1 ZARD HEADERS KIT TO HAVE AN HARD INCREASE OF PERFORMANCES BUT ALSO ON ORIGINAL HEADERS.&lt;/p&gt;"/>
    <s v="https://shop.officineitalianezard.it/contents/imgs/products/1_180-2.jpg"/>
    <m/>
    <m/>
  </r>
  <r>
    <s v="1586059136-10261"/>
    <s v="https://shop.officineitalianezard.it/en/products/"/>
    <m/>
    <s v="https://shop.officineitalianezard.it/en/triumph-zard-exhaust/"/>
    <s v="STREET TRIPLE MY 2013-2016"/>
    <s v="https://shop.officineitalianezard.it/en/triumph-street-triple-m-y-2013-2016-exhaust/"/>
    <s v="SHORT VERSION"/>
    <x v="59"/>
    <s v="LOW MOUNTED SILENCER"/>
    <s v="ZTPH515SSR"/>
    <s v="TRIUMPH STREET TRIPLE M.Y. 2013"/>
    <n v="432.3"/>
    <n v="480.33"/>
    <s v="&lt;p&gt;STEEL RACING SILENCER&lt;/p&gt;_x000a_&lt;p&gt;HARD INCREASE, COMPARED TO THE ORIGINAL EXHAUST SYSTEM, IN TERMS OF TORQUE AND POWER AT ANY RANGE.&lt;/p&gt;_x000a_&lt;p&gt;ASTONISHING SOUND.&lt;/p&gt;_x000a_&lt;p&gt;ZARD SHORT SILENCER CAN BE FITTED ON 3&amp;gt;1 ZARD HEADERS KIT TO HAVE AN HARD INCREASE OF PERFORMANCES BUT ALSO ON ORIGINAL HEADERS.&lt;/p&gt;"/>
    <s v="https://shop.officineitalianezard.it/contents/imgs/products/1_1026-street%20nero%20short%20zard.jpg"/>
    <m/>
    <m/>
  </r>
  <r>
    <s v="1586059136-10262"/>
    <s v="https://shop.officineitalianezard.it/en/products/"/>
    <m/>
    <s v="https://shop.officineitalianezard.it/en/triumph-zard-exhaust/"/>
    <s v="STREET TRIPLE MY 2013-2016"/>
    <s v="https://shop.officineitalianezard.it/en/triumph-street-triple-m-y-2013-2016-exhaust/"/>
    <s v="SHORT VERSION"/>
    <x v="59"/>
    <s v="LOW MOUNTED SILENCER"/>
    <s v="ZTPH515SSR"/>
    <s v="TRIUMPH STREET TRIPLE M.Y. 2013"/>
    <n v="432.3"/>
    <n v="480.33"/>
    <s v="&lt;p&gt;STEEL RACING SILENCER&lt;/p&gt;_x000a_&lt;p&gt;HARD INCREASE, COMPARED TO THE ORIGINAL EXHAUST SYSTEM, IN TERMS OF TORQUE AND POWER AT ANY RANGE.&lt;/p&gt;_x000a_&lt;p&gt;ASTONISHING SOUND.&lt;/p&gt;_x000a_&lt;p&gt;ZARD SHORT SILENCER CAN BE FITTED ON 3&amp;gt;1 ZARD HEADERS KIT TO HAVE AN HARD INCREASE OF PERFORMANCES BUT ALSO ON ORIGINAL HEADERS.&lt;/p&gt;"/>
    <m/>
    <s v="EURO 3 HOMOLOGATED"/>
    <n v="37.619999999999997"/>
  </r>
  <r>
    <s v="1586059136-10263"/>
    <s v="https://shop.officineitalianezard.it/en/products/"/>
    <m/>
    <s v="https://shop.officineitalianezard.it/en/triumph-zard-exhaust/"/>
    <s v="STREET TRIPLE MY 2013-2016"/>
    <s v="https://shop.officineitalianezard.it/en/triumph-street-triple-m-y-2013-2016-exhaust/"/>
    <s v="SHORT VERSION"/>
    <x v="59"/>
    <s v="LOW MOUNTED SILENCER"/>
    <s v="ZTPH515SSR"/>
    <s v="TRIUMPH STREET TRIPLE M.Y. 2013"/>
    <n v="432.3"/>
    <n v="480.33"/>
    <s v="&lt;p&gt;STEEL RACING SILENCER&lt;/p&gt;_x000a_&lt;p&gt;HARD INCREASE, COMPARED TO THE ORIGINAL EXHAUST SYSTEM, IN TERMS OF TORQUE AND POWER AT ANY RANGE.&lt;/p&gt;_x000a_&lt;p&gt;ASTONISHING SOUND.&lt;/p&gt;_x000a_&lt;p&gt;ZARD SHORT SILENCER CAN BE FITTED ON 3&amp;gt;1 ZARD HEADERS KIT TO HAVE AN HARD INCREASE OF PERFORMANCES BUT ALSO ON ORIGINAL HEADERS.&lt;/p&gt;"/>
    <m/>
    <s v="BLACK COATING"/>
    <n v="77.459999999999994"/>
  </r>
  <r>
    <s v="1586059141-10264"/>
    <s v="https://shop.officineitalianezard.it/en/products/"/>
    <m/>
    <s v="https://shop.officineitalianezard.it/en/triumph-zard-exhaust/"/>
    <s v="STREET TRIPLE 675"/>
    <s v="https://shop.officineitalianezard.it/en/triumph-street-triple-675-exhaust/"/>
    <s v="PENTA VERSION"/>
    <x v="60"/>
    <s v="HIGH MOUNTED SILENCERS"/>
    <s v="ZTPH040SSR"/>
    <s v="TRIUMPH STREET TRIPLE 675"/>
    <n v="523.03"/>
    <n v="581.15"/>
    <s v="&lt;p&gt;STEEL-ALUMINIUM BLACK RACING SILENCERS&lt;/p&gt;_x000a_&lt;p&gt;ORIGINAL FULL KIT WEIGHT: KG 7.3&lt;br&gt;ZARD FULL KIT WEIGHT: KG 1.9&lt;/p&gt;_x000a_&lt;p&gt;BLACK, HARD INCREASE, COMPARED TO THE ORIGINAL EXHAUST SYSTEM, IN TERMS OF TORQUE AND POWER AT ANY RANGE.&lt;/p&gt;_x000a_&lt;p&gt;ASTONISHING SOUND.&lt;/p&gt;"/>
    <s v="https://shop.officineitalianezard.it/contents/imgs/products/1_176-2.jpg"/>
    <m/>
    <m/>
  </r>
  <r>
    <s v="1586059141-10265"/>
    <s v="https://shop.officineitalianezard.it/en/products/"/>
    <m/>
    <s v="https://shop.officineitalianezard.it/en/triumph-zard-exhaust/"/>
    <s v="STREET TRIPLE 675"/>
    <s v="https://shop.officineitalianezard.it/en/triumph-street-triple-675-exhaust/"/>
    <s v="PENTA VERSION"/>
    <x v="60"/>
    <s v="HIGH MOUNTED SILENCERS"/>
    <s v="ZTPH040SSR"/>
    <s v="TRIUMPH STREET TRIPLE 675"/>
    <n v="523.03"/>
    <n v="581.15"/>
    <s v="&lt;p&gt;STEEL-ALUMINIUM BLACK RACING SILENCERS&lt;/p&gt;_x000a_&lt;p&gt;ORIGINAL FULL KIT WEIGHT: KG 7.3&lt;br&gt;ZARD FULL KIT WEIGHT: KG 1.9&lt;/p&gt;_x000a_&lt;p&gt;BLACK, HARD INCREASE, COMPARED TO THE ORIGINAL EXHAUST SYSTEM, IN TERMS OF TORQUE AND POWER AT ANY RANGE.&lt;/p&gt;_x000a_&lt;p&gt;ASTONISHING SOUND.&lt;/p&gt;"/>
    <s v="https://shop.officineitalianezard.it/contents/imgs/products/1_175-1.jpg"/>
    <m/>
    <m/>
  </r>
  <r>
    <s v="1586059141-10266"/>
    <s v="https://shop.officineitalianezard.it/en/products/"/>
    <m/>
    <s v="https://shop.officineitalianezard.it/en/triumph-zard-exhaust/"/>
    <s v="STREET TRIPLE 675"/>
    <s v="https://shop.officineitalianezard.it/en/triumph-street-triple-675-exhaust/"/>
    <s v="PENTA VERSION"/>
    <x v="60"/>
    <s v="HIGH MOUNTED SILENCERS"/>
    <s v="ZTPH040SSR"/>
    <s v="TRIUMPH STREET TRIPLE 675"/>
    <n v="523.03"/>
    <n v="581.15"/>
    <s v="&lt;p&gt;STEEL-ALUMINIUM BLACK RACING SILENCERS&lt;/p&gt;_x000a_&lt;p&gt;ORIGINAL FULL KIT WEIGHT: KG 7.3&lt;br&gt;ZARD FULL KIT WEIGHT: KG 1.9&lt;/p&gt;_x000a_&lt;p&gt;BLACK, HARD INCREASE, COMPARED TO THE ORIGINAL EXHAUST SYSTEM, IN TERMS OF TORQUE AND POWER AT ANY RANGE.&lt;/p&gt;_x000a_&lt;p&gt;ASTONISHING SOUND.&lt;/p&gt;"/>
    <m/>
    <s v="HOMOLOGATED ALUMINIUM ONLY"/>
    <n v="77.459999999999994"/>
  </r>
  <r>
    <s v="1586059141-10267"/>
    <s v="https://shop.officineitalianezard.it/en/products/"/>
    <m/>
    <s v="https://shop.officineitalianezard.it/en/triumph-zard-exhaust/"/>
    <s v="STREET TRIPLE 675"/>
    <s v="https://shop.officineitalianezard.it/en/triumph-street-triple-675-exhaust/"/>
    <s v="PENTA VERSION"/>
    <x v="60"/>
    <s v="HIGH MOUNTED SILENCERS"/>
    <s v="ZTPH040SSR"/>
    <s v="TRIUMPH STREET TRIPLE 675"/>
    <n v="523.03"/>
    <n v="581.15"/>
    <s v="&lt;p&gt;STEEL-ALUMINIUM BLACK RACING SILENCERS&lt;/p&gt;_x000a_&lt;p&gt;ORIGINAL FULL KIT WEIGHT: KG 7.3&lt;br&gt;ZARD FULL KIT WEIGHT: KG 1.9&lt;/p&gt;_x000a_&lt;p&gt;BLACK, HARD INCREASE, COMPARED TO THE ORIGINAL EXHAUST SYSTEM, IN TERMS OF TORQUE AND POWER AT ANY RANGE.&lt;/p&gt;_x000a_&lt;p&gt;ASTONISHING SOUND.&lt;/p&gt;"/>
    <m/>
    <s v="SILVER"/>
    <n v="77.459999999999994"/>
  </r>
  <r>
    <s v="1586059141-10268"/>
    <s v="https://shop.officineitalianezard.it/en/products/"/>
    <m/>
    <s v="https://shop.officineitalianezard.it/en/triumph-zard-exhaust/"/>
    <s v="STREET TRIPLE 675"/>
    <s v="https://shop.officineitalianezard.it/en/triumph-street-triple-675-exhaust/"/>
    <s v="PENTA VERSION"/>
    <x v="60"/>
    <s v="HIGH MOUNTED SILENCERS"/>
    <s v="ZTPH040SSR"/>
    <s v="TRIUMPH STREET TRIPLE 675"/>
    <n v="523.03"/>
    <n v="581.15"/>
    <s v="&lt;p&gt;STEEL-ALUMINIUM BLACK RACING SILENCERS&lt;/p&gt;_x000a_&lt;p&gt;ORIGINAL FULL KIT WEIGHT: KG 7.3&lt;br&gt;ZARD FULL KIT WEIGHT: KG 1.9&lt;/p&gt;_x000a_&lt;p&gt;BLACK, HARD INCREASE, COMPARED TO THE ORIGINAL EXHAUST SYSTEM, IN TERMS OF TORQUE AND POWER AT ANY RANGE.&lt;/p&gt;_x000a_&lt;p&gt;ASTONISHING SOUND.&lt;/p&gt;"/>
    <m/>
    <s v="CARBON 'PENTA' ENDCAP"/>
    <n v="75.25"/>
  </r>
  <r>
    <s v="1586059144-10269"/>
    <s v="https://shop.officineitalianezard.it/en/products/"/>
    <m/>
    <s v="https://shop.officineitalianezard.it/en/triumph-zard-exhaust/"/>
    <s v="STREET TRIPLE 675"/>
    <s v="https://shop.officineitalianezard.it/en/triumph-street-triple-675-exhaust/"/>
    <s v="CONICAL VERSION"/>
    <x v="61"/>
    <s v="LOW MOUNTED SILENCER"/>
    <s v="ZTPH512SSR"/>
    <s v="TRIUMPH STREET TRIPLE 675"/>
    <n v="396.89"/>
    <n v="440.98"/>
    <s v="&lt;p&gt;STEEL RACING SILENCER&lt;/p&gt;_x000a_&lt;p&gt;ORIGINAL FULL KIT WEIGHT: KG 7.3&lt;br&gt;ZARD FULL KIT WEIGHT: KG 1.9&lt;/p&gt;_x000a_&lt;p&gt;HARD INCREASE, COMPARED TO THE ORIGINAL EXHAUST SYSTEM, IN TERMS OF TORQUE AND POWER AT ANY RANGE.&lt;/p&gt;_x000a_&lt;p&gt;ASTONISHING SOUND.&lt;/p&gt;"/>
    <s v="https://shop.officineitalianezard.it/contents/imgs/products/1_173-Street_Triple_sil_basso_3.jpg"/>
    <m/>
    <m/>
  </r>
  <r>
    <s v="1586059144-10270"/>
    <s v="https://shop.officineitalianezard.it/en/products/"/>
    <m/>
    <s v="https://shop.officineitalianezard.it/en/triumph-zard-exhaust/"/>
    <s v="STREET TRIPLE 675"/>
    <s v="https://shop.officineitalianezard.it/en/triumph-street-triple-675-exhaust/"/>
    <s v="CONICAL VERSION"/>
    <x v="61"/>
    <s v="LOW MOUNTED SILENCER"/>
    <s v="ZTPH512SSR"/>
    <s v="TRIUMPH STREET TRIPLE 675"/>
    <n v="396.89"/>
    <n v="440.98"/>
    <s v="&lt;p&gt;STEEL RACING SILENCER&lt;/p&gt;_x000a_&lt;p&gt;ORIGINAL FULL KIT WEIGHT: KG 7.3&lt;br&gt;ZARD FULL KIT WEIGHT: KG 1.9&lt;/p&gt;_x000a_&lt;p&gt;HARD INCREASE, COMPARED TO THE ORIGINAL EXHAUST SYSTEM, IN TERMS OF TORQUE AND POWER AT ANY RANGE.&lt;/p&gt;_x000a_&lt;p&gt;ASTONISHING SOUND.&lt;/p&gt;"/>
    <s v="https://shop.officineitalianezard.it/contents/imgs/products/1_172-silenz-basso-street-5.jpg"/>
    <m/>
    <m/>
  </r>
  <r>
    <s v="1586059144-10271"/>
    <s v="https://shop.officineitalianezard.it/en/products/"/>
    <m/>
    <s v="https://shop.officineitalianezard.it/en/triumph-zard-exhaust/"/>
    <s v="STREET TRIPLE 675"/>
    <s v="https://shop.officineitalianezard.it/en/triumph-street-triple-675-exhaust/"/>
    <s v="CONICAL VERSION"/>
    <x v="61"/>
    <s v="LOW MOUNTED SILENCER"/>
    <s v="ZTPH512SSR"/>
    <s v="TRIUMPH STREET TRIPLE 675"/>
    <n v="396.89"/>
    <n v="440.98"/>
    <s v="&lt;p&gt;STEEL RACING SILENCER&lt;/p&gt;_x000a_&lt;p&gt;ORIGINAL FULL KIT WEIGHT: KG 7.3&lt;br&gt;ZARD FULL KIT WEIGHT: KG 1.9&lt;/p&gt;_x000a_&lt;p&gt;HARD INCREASE, COMPARED TO THE ORIGINAL EXHAUST SYSTEM, IN TERMS OF TORQUE AND POWER AT ANY RANGE.&lt;/p&gt;_x000a_&lt;p&gt;ASTONISHING SOUND.&lt;/p&gt;"/>
    <s v="https://shop.officineitalianezard.it/contents/imgs/products/1_174-Street_Triple_sil_basso_2.jpg"/>
    <m/>
    <m/>
  </r>
  <r>
    <s v="1586059144-10272"/>
    <s v="https://shop.officineitalianezard.it/en/products/"/>
    <m/>
    <s v="https://shop.officineitalianezard.it/en/triumph-zard-exhaust/"/>
    <s v="STREET TRIPLE 675"/>
    <s v="https://shop.officineitalianezard.it/en/triumph-street-triple-675-exhaust/"/>
    <s v="CONICAL VERSION"/>
    <x v="61"/>
    <s v="LOW MOUNTED SILENCER"/>
    <s v="ZTPH512SSR"/>
    <s v="TRIUMPH STREET TRIPLE 675"/>
    <n v="396.89"/>
    <n v="440.98"/>
    <s v="&lt;p&gt;STEEL RACING SILENCER&lt;/p&gt;_x000a_&lt;p&gt;ORIGINAL FULL KIT WEIGHT: KG 7.3&lt;br&gt;ZARD FULL KIT WEIGHT: KG 1.9&lt;/p&gt;_x000a_&lt;p&gt;HARD INCREASE, COMPARED TO THE ORIGINAL EXHAUST SYSTEM, IN TERMS OF TORQUE AND POWER AT ANY RANGE.&lt;/p&gt;_x000a_&lt;p&gt;ASTONISHING SOUND.&lt;/p&gt;"/>
    <m/>
    <s v="EURO 3 HOMOLOGATED"/>
    <n v="37.619999999999997"/>
  </r>
  <r>
    <s v="1586059144-10273"/>
    <s v="https://shop.officineitalianezard.it/en/products/"/>
    <m/>
    <s v="https://shop.officineitalianezard.it/en/triumph-zard-exhaust/"/>
    <s v="STREET TRIPLE 675"/>
    <s v="https://shop.officineitalianezard.it/en/triumph-street-triple-675-exhaust/"/>
    <s v="CONICAL VERSION"/>
    <x v="61"/>
    <s v="LOW MOUNTED SILENCER"/>
    <s v="ZTPH512SSR"/>
    <s v="TRIUMPH STREET TRIPLE 675"/>
    <n v="396.89"/>
    <n v="440.98"/>
    <s v="&lt;p&gt;STEEL RACING SILENCER&lt;/p&gt;_x000a_&lt;p&gt;ORIGINAL FULL KIT WEIGHT: KG 7.3&lt;br&gt;ZARD FULL KIT WEIGHT: KG 1.9&lt;/p&gt;_x000a_&lt;p&gt;HARD INCREASE, COMPARED TO THE ORIGINAL EXHAUST SYSTEM, IN TERMS OF TORQUE AND POWER AT ANY RANGE.&lt;/p&gt;_x000a_&lt;p&gt;ASTONISHING SOUND.&lt;/p&gt;"/>
    <m/>
    <s v="BLACK COATING"/>
    <n v="77.459999999999994"/>
  </r>
  <r>
    <s v="1586059144-10274"/>
    <s v="https://shop.officineitalianezard.it/en/products/"/>
    <m/>
    <s v="https://shop.officineitalianezard.it/en/triumph-zard-exhaust/"/>
    <s v="STREET TRIPLE 675"/>
    <s v="https://shop.officineitalianezard.it/en/triumph-street-triple-675-exhaust/"/>
    <s v="CONICAL VERSION"/>
    <x v="61"/>
    <s v="LOW MOUNTED SILENCER"/>
    <s v="ZTPH512SSR"/>
    <s v="TRIUMPH STREET TRIPLE 675"/>
    <n v="396.89"/>
    <n v="440.98"/>
    <s v="&lt;p&gt;STEEL RACING SILENCER&lt;/p&gt;_x000a_&lt;p&gt;ORIGINAL FULL KIT WEIGHT: KG 7.3&lt;br&gt;ZARD FULL KIT WEIGHT: KG 1.9&lt;/p&gt;_x000a_&lt;p&gt;HARD INCREASE, COMPARED TO THE ORIGINAL EXHAUST SYSTEM, IN TERMS OF TORQUE AND POWER AT ANY RANGE.&lt;/p&gt;_x000a_&lt;p&gt;ASTONISHING SOUND.&lt;/p&gt;"/>
    <m/>
    <s v="CARBON ENDCAP"/>
    <n v="37.619999999999997"/>
  </r>
  <r>
    <s v="1586059146-10275"/>
    <s v="https://shop.officineitalianezard.it/en/products/"/>
    <m/>
    <s v="https://shop.officineitalianezard.it/en/triumph-zard-exhaust/"/>
    <s v="STREET TRIPLE 675"/>
    <s v="https://shop.officineitalianezard.it/en/triumph-street-triple-675-exhaust/"/>
    <s v="CONICAL VERSION"/>
    <x v="62"/>
    <s v="3&gt;1 FULL KIT"/>
    <s v="ZTPH040SKR"/>
    <s v="TRIUMPH STREET TRIPLE 675"/>
    <n v="949.43"/>
    <n v="1054.92"/>
    <s v="&lt;p&gt;3&amp;gt;1 STEEL RACING FULL KIT&lt;/p&gt;_x000a_&lt;p&gt;ORIGINAL FULL KIT WEIGHT: KG 12.3&lt;br&gt;ZARD RACING FULL KIT WEIGHT: KG 3.9&lt;br&gt;ZARD HOMOLOGATED FULL KIT WEIGHT: KG 5&lt;/p&gt;_x000a_&lt;p&gt;HARD INCREASE, COMPARED TO THE ORIGINAL EXHAUST SYSTEM, IN TERMS OF TORQUE AND POWER AT ANY RANGE.&lt;/p&gt;_x000a_&lt;p&gt;ASTONISHING SOUND.&lt;/p&gt;"/>
    <s v="https://shop.officineitalianezard.it/contents/imgs/products/1_169-street-kit-conico-basso-3.jpg"/>
    <m/>
    <m/>
  </r>
  <r>
    <s v="1586059146-10276"/>
    <s v="https://shop.officineitalianezard.it/en/products/"/>
    <m/>
    <s v="https://shop.officineitalianezard.it/en/triumph-zard-exhaust/"/>
    <s v="STREET TRIPLE 675"/>
    <s v="https://shop.officineitalianezard.it/en/triumph-street-triple-675-exhaust/"/>
    <s v="CONICAL VERSION"/>
    <x v="62"/>
    <s v="3&gt;1 FULL KIT"/>
    <s v="ZTPH040SKR"/>
    <s v="TRIUMPH STREET TRIPLE 675"/>
    <n v="949.43"/>
    <n v="1054.92"/>
    <s v="&lt;p&gt;3&amp;gt;1 STEEL RACING FULL KIT&lt;/p&gt;_x000a_&lt;p&gt;ORIGINAL FULL KIT WEIGHT: KG 12.3&lt;br&gt;ZARD RACING FULL KIT WEIGHT: KG 3.9&lt;br&gt;ZARD HOMOLOGATED FULL KIT WEIGHT: KG 5&lt;/p&gt;_x000a_&lt;p&gt;HARD INCREASE, COMPARED TO THE ORIGINAL EXHAUST SYSTEM, IN TERMS OF TORQUE AND POWER AT ANY RANGE.&lt;/p&gt;_x000a_&lt;p&gt;ASTONISHING SOUND.&lt;/p&gt;"/>
    <s v="https://shop.officineitalianezard.it/contents/imgs/products/1_171-streetbassogallery1.jpg"/>
    <m/>
    <m/>
  </r>
  <r>
    <s v="1586059146-10277"/>
    <s v="https://shop.officineitalianezard.it/en/products/"/>
    <m/>
    <s v="https://shop.officineitalianezard.it/en/triumph-zard-exhaust/"/>
    <s v="STREET TRIPLE 675"/>
    <s v="https://shop.officineitalianezard.it/en/triumph-street-triple-675-exhaust/"/>
    <s v="CONICAL VERSION"/>
    <x v="62"/>
    <s v="3&gt;1 FULL KIT"/>
    <s v="ZTPH040SKR"/>
    <s v="TRIUMPH STREET TRIPLE 675"/>
    <n v="949.43"/>
    <n v="1054.92"/>
    <s v="&lt;p&gt;3&amp;gt;1 STEEL RACING FULL KIT&lt;/p&gt;_x000a_&lt;p&gt;ORIGINAL FULL KIT WEIGHT: KG 12.3&lt;br&gt;ZARD RACING FULL KIT WEIGHT: KG 3.9&lt;br&gt;ZARD HOMOLOGATED FULL KIT WEIGHT: KG 5&lt;/p&gt;_x000a_&lt;p&gt;HARD INCREASE, COMPARED TO THE ORIGINAL EXHAUST SYSTEM, IN TERMS OF TORQUE AND POWER AT ANY RANGE.&lt;/p&gt;_x000a_&lt;p&gt;ASTONISHING SOUND.&lt;/p&gt;"/>
    <s v="https://shop.officineitalianezard.it/contents/imgs/products/1_170-streetbassogallery3.jpg"/>
    <m/>
    <m/>
  </r>
  <r>
    <s v="1586059146-10278"/>
    <s v="https://shop.officineitalianezard.it/en/products/"/>
    <m/>
    <s v="https://shop.officineitalianezard.it/en/triumph-zard-exhaust/"/>
    <s v="STREET TRIPLE 675"/>
    <s v="https://shop.officineitalianezard.it/en/triumph-street-triple-675-exhaust/"/>
    <s v="CONICAL VERSION"/>
    <x v="62"/>
    <s v="3&gt;1 FULL KIT"/>
    <s v="ZTPH040SKR"/>
    <s v="TRIUMPH STREET TRIPLE 675"/>
    <n v="949.43"/>
    <n v="1054.92"/>
    <s v="&lt;p&gt;3&amp;gt;1 STEEL RACING FULL KIT&lt;/p&gt;_x000a_&lt;p&gt;ORIGINAL FULL KIT WEIGHT: KG 12.3&lt;br&gt;ZARD RACING FULL KIT WEIGHT: KG 3.9&lt;br&gt;ZARD HOMOLOGATED FULL KIT WEIGHT: KG 5&lt;/p&gt;_x000a_&lt;p&gt;HARD INCREASE, COMPARED TO THE ORIGINAL EXHAUST SYSTEM, IN TERMS OF TORQUE AND POWER AT ANY RANGE.&lt;/p&gt;_x000a_&lt;p&gt;ASTONISHING SOUND.&lt;/p&gt;"/>
    <m/>
    <s v="EURO 3 HOMOLOGATED"/>
    <n v="131.31"/>
  </r>
  <r>
    <s v="1586059146-10279"/>
    <s v="https://shop.officineitalianezard.it/en/products/"/>
    <m/>
    <s v="https://shop.officineitalianezard.it/en/triumph-zard-exhaust/"/>
    <s v="STREET TRIPLE 675"/>
    <s v="https://shop.officineitalianezard.it/en/triumph-street-triple-675-exhaust/"/>
    <s v="CONICAL VERSION"/>
    <x v="62"/>
    <s v="3&gt;1 FULL KIT"/>
    <s v="ZTPH040SKR"/>
    <s v="TRIUMPH STREET TRIPLE 675"/>
    <n v="949.43"/>
    <n v="1054.92"/>
    <s v="&lt;p&gt;3&amp;gt;1 STEEL RACING FULL KIT&lt;/p&gt;_x000a_&lt;p&gt;ORIGINAL FULL KIT WEIGHT: KG 12.3&lt;br&gt;ZARD RACING FULL KIT WEIGHT: KG 3.9&lt;br&gt;ZARD HOMOLOGATED FULL KIT WEIGHT: KG 5&lt;/p&gt;_x000a_&lt;p&gt;HARD INCREASE, COMPARED TO THE ORIGINAL EXHAUST SYSTEM, IN TERMS OF TORQUE AND POWER AT ANY RANGE.&lt;/p&gt;_x000a_&lt;p&gt;ASTONISHING SOUND.&lt;/p&gt;"/>
    <m/>
    <s v="BLACK COATING"/>
    <n v="169.67"/>
  </r>
  <r>
    <s v="1586059146-10280"/>
    <s v="https://shop.officineitalianezard.it/en/products/"/>
    <m/>
    <s v="https://shop.officineitalianezard.it/en/triumph-zard-exhaust/"/>
    <s v="STREET TRIPLE 675"/>
    <s v="https://shop.officineitalianezard.it/en/triumph-street-triple-675-exhaust/"/>
    <s v="CONICAL VERSION"/>
    <x v="62"/>
    <s v="3&gt;1 FULL KIT"/>
    <s v="ZTPH040SKR"/>
    <s v="TRIUMPH STREET TRIPLE 675"/>
    <n v="949.43"/>
    <n v="1054.92"/>
    <s v="&lt;p&gt;3&amp;gt;1 STEEL RACING FULL KIT&lt;/p&gt;_x000a_&lt;p&gt;ORIGINAL FULL KIT WEIGHT: KG 12.3&lt;br&gt;ZARD RACING FULL KIT WEIGHT: KG 3.9&lt;br&gt;ZARD HOMOLOGATED FULL KIT WEIGHT: KG 5&lt;/p&gt;_x000a_&lt;p&gt;HARD INCREASE, COMPARED TO THE ORIGINAL EXHAUST SYSTEM, IN TERMS OF TORQUE AND POWER AT ANY RANGE.&lt;/p&gt;_x000a_&lt;p&gt;ASTONISHING SOUND.&lt;/p&gt;"/>
    <m/>
    <s v="CARBON ENDCAP"/>
    <n v="37.619999999999997"/>
  </r>
  <r>
    <s v="1586059151-10281"/>
    <s v="https://shop.officineitalianezard.it/en/products/"/>
    <m/>
    <s v="https://shop.officineitalianezard.it/en/triumph-zard-exhaust/"/>
    <s v="SPEED TWIN M.Y. 2018-19"/>
    <s v="https://shop.officineitalianezard.it/en/triumph-speed-twin-zard-exhausts/"/>
    <s v="SP VERSION"/>
    <x v="63"/>
    <s v="2&gt;1 FULL KIT"/>
    <s v="ZTPH092SKR"/>
    <s v="TRIUMPH SPEED TWIN 2018-2019"/>
    <n v="811.48"/>
    <n v="901.64"/>
    <s v="&lt;p&gt;2&amp;gt;1 STAINLESS STEELL RACING FULL KIT WITH REMOVABLE&lt;br&gt;DB-KILLERS. CARBON END-CAP AVAILABLE AS OPTIONAL&lt;/p&gt;_x000a_&lt;p&gt;ORIGINAL FULL KIT WEIGHT:&amp;nbsp;&lt;br&gt;ZARD FULL KIT WEIGHT: 4.1 KG&lt;/p&gt;_x000a_&lt;p&gt;THE INSTALLATION OF ZARD EXHAUST FOR TRIUMPH SPEED TWIN&lt;br&gt;DOES NOT IMPLY ANY MODIFICATION TO ECU&lt;/p&gt;_x000a_&lt;p&gt;HARD INCREASE, COMPARED TO THE ORIGINAL EXHAUST SYSTEM,&lt;br&gt;IN TERMS OF TORQUE AND POWER AT ANY RANGE, ASTONISHING SOUND.&lt;/p&gt;_x000a_&lt;p&gt;&lt;strong&gt;NOTICE&lt;/strong&gt;: THIS PRODUCT FITS ALSO ON TRIUMPH THRUXTON-R RACING ONLY&lt;/p&gt;"/>
    <s v="https://shop.officineitalianezard.it/contents/imgs/products/1_2593-1%20scarico%20triumph%20speed%20twin%20scarichi%20zard%20exhaust.jpg"/>
    <m/>
    <m/>
  </r>
  <r>
    <s v="1586059151-10282"/>
    <s v="https://shop.officineitalianezard.it/en/products/"/>
    <m/>
    <s v="https://shop.officineitalianezard.it/en/triumph-zard-exhaust/"/>
    <s v="SPEED TWIN M.Y. 2018-19"/>
    <s v="https://shop.officineitalianezard.it/en/triumph-speed-twin-zard-exhausts/"/>
    <s v="SP VERSION"/>
    <x v="63"/>
    <s v="2&gt;1 FULL KIT"/>
    <s v="ZTPH092SKR"/>
    <s v="TRIUMPH SPEED TWIN 2018-2019"/>
    <n v="811.48"/>
    <n v="901.64"/>
    <s v="&lt;p&gt;2&amp;gt;1 STAINLESS STEELL RACING FULL KIT WITH REMOVABLE&lt;br&gt;DB-KILLERS. CARBON END-CAP AVAILABLE AS OPTIONAL&lt;/p&gt;_x000a_&lt;p&gt;ORIGINAL FULL KIT WEIGHT:&amp;nbsp;&lt;br&gt;ZARD FULL KIT WEIGHT: 4.1 KG&lt;/p&gt;_x000a_&lt;p&gt;THE INSTALLATION OF ZARD EXHAUST FOR TRIUMPH SPEED TWIN&lt;br&gt;DOES NOT IMPLY ANY MODIFICATION TO ECU&lt;/p&gt;_x000a_&lt;p&gt;HARD INCREASE, COMPARED TO THE ORIGINAL EXHAUST SYSTEM,&lt;br&gt;IN TERMS OF TORQUE AND POWER AT ANY RANGE, ASTONISHING SOUND.&lt;/p&gt;_x000a_&lt;p&gt;&lt;strong&gt;NOTICE&lt;/strong&gt;: THIS PRODUCT FITS ALSO ON TRIUMPH THRUXTON-R RACING ONLY&lt;/p&gt;"/>
    <s v="https://shop.officineitalianezard.it/contents/imgs/products/1_2597-2%20scarico%20triumph%20speed%20twin%20scarichi%20zard%20exhaust.jpg"/>
    <m/>
    <m/>
  </r>
  <r>
    <s v="1586059151-10283"/>
    <s v="https://shop.officineitalianezard.it/en/products/"/>
    <m/>
    <s v="https://shop.officineitalianezard.it/en/triumph-zard-exhaust/"/>
    <s v="SPEED TWIN M.Y. 2018-19"/>
    <s v="https://shop.officineitalianezard.it/en/triumph-speed-twin-zard-exhausts/"/>
    <s v="SP VERSION"/>
    <x v="63"/>
    <s v="2&gt;1 FULL KIT"/>
    <s v="ZTPH092SKR"/>
    <s v="TRIUMPH SPEED TWIN 2018-2019"/>
    <n v="811.48"/>
    <n v="901.64"/>
    <s v="&lt;p&gt;2&amp;gt;1 STAINLESS STEELL RACING FULL KIT WITH REMOVABLE&lt;br&gt;DB-KILLERS. CARBON END-CAP AVAILABLE AS OPTIONAL&lt;/p&gt;_x000a_&lt;p&gt;ORIGINAL FULL KIT WEIGHT:&amp;nbsp;&lt;br&gt;ZARD FULL KIT WEIGHT: 4.1 KG&lt;/p&gt;_x000a_&lt;p&gt;THE INSTALLATION OF ZARD EXHAUST FOR TRIUMPH SPEED TWIN&lt;br&gt;DOES NOT IMPLY ANY MODIFICATION TO ECU&lt;/p&gt;_x000a_&lt;p&gt;HARD INCREASE, COMPARED TO THE ORIGINAL EXHAUST SYSTEM,&lt;br&gt;IN TERMS OF TORQUE AND POWER AT ANY RANGE, ASTONISHING SOUND.&lt;/p&gt;_x000a_&lt;p&gt;&lt;strong&gt;NOTICE&lt;/strong&gt;: THIS PRODUCT FITS ALSO ON TRIUMPH THRUXTON-R RACING ONLY&lt;/p&gt;"/>
    <s v="https://shop.officineitalianezard.it/contents/imgs/products/1_2594-3%20scarico%20triumph%20speed%20twin%20scarichi%20zard%20exhaust.jpg"/>
    <m/>
    <m/>
  </r>
  <r>
    <s v="1586059151-10284"/>
    <s v="https://shop.officineitalianezard.it/en/products/"/>
    <m/>
    <s v="https://shop.officineitalianezard.it/en/triumph-zard-exhaust/"/>
    <s v="SPEED TWIN M.Y. 2018-19"/>
    <s v="https://shop.officineitalianezard.it/en/triumph-speed-twin-zard-exhausts/"/>
    <s v="SP VERSION"/>
    <x v="63"/>
    <s v="2&gt;1 FULL KIT"/>
    <s v="ZTPH092SKR"/>
    <s v="TRIUMPH SPEED TWIN 2018-2019"/>
    <n v="811.48"/>
    <n v="901.64"/>
    <s v="&lt;p&gt;2&amp;gt;1 STAINLESS STEELL RACING FULL KIT WITH REMOVABLE&lt;br&gt;DB-KILLERS. CARBON END-CAP AVAILABLE AS OPTIONAL&lt;/p&gt;_x000a_&lt;p&gt;ORIGINAL FULL KIT WEIGHT:&amp;nbsp;&lt;br&gt;ZARD FULL KIT WEIGHT: 4.1 KG&lt;/p&gt;_x000a_&lt;p&gt;THE INSTALLATION OF ZARD EXHAUST FOR TRIUMPH SPEED TWIN&lt;br&gt;DOES NOT IMPLY ANY MODIFICATION TO ECU&lt;/p&gt;_x000a_&lt;p&gt;HARD INCREASE, COMPARED TO THE ORIGINAL EXHAUST SYSTEM,&lt;br&gt;IN TERMS OF TORQUE AND POWER AT ANY RANGE, ASTONISHING SOUND.&lt;/p&gt;_x000a_&lt;p&gt;&lt;strong&gt;NOTICE&lt;/strong&gt;: THIS PRODUCT FITS ALSO ON TRIUMPH THRUXTON-R RACING ONLY&lt;/p&gt;"/>
    <s v="https://shop.officineitalianezard.it/contents/imgs/products/1_2595-4%20scarico%20triumph%20speed%20twin%20scarichi%20zard%20exhaust.jpg"/>
    <m/>
    <m/>
  </r>
  <r>
    <s v="1586059151-10285"/>
    <s v="https://shop.officineitalianezard.it/en/products/"/>
    <m/>
    <s v="https://shop.officineitalianezard.it/en/triumph-zard-exhaust/"/>
    <s v="SPEED TWIN M.Y. 2018-19"/>
    <s v="https://shop.officineitalianezard.it/en/triumph-speed-twin-zard-exhausts/"/>
    <s v="SP VERSION"/>
    <x v="63"/>
    <s v="2&gt;1 FULL KIT"/>
    <s v="ZTPH092SKR"/>
    <s v="TRIUMPH SPEED TWIN 2018-2019"/>
    <n v="811.48"/>
    <n v="901.64"/>
    <s v="&lt;p&gt;2&amp;gt;1 STAINLESS STEELL RACING FULL KIT WITH REMOVABLE&lt;br&gt;DB-KILLERS. CARBON END-CAP AVAILABLE AS OPTIONAL&lt;/p&gt;_x000a_&lt;p&gt;ORIGINAL FULL KIT WEIGHT:&amp;nbsp;&lt;br&gt;ZARD FULL KIT WEIGHT: 4.1 KG&lt;/p&gt;_x000a_&lt;p&gt;THE INSTALLATION OF ZARD EXHAUST FOR TRIUMPH SPEED TWIN&lt;br&gt;DOES NOT IMPLY ANY MODIFICATION TO ECU&lt;/p&gt;_x000a_&lt;p&gt;HARD INCREASE, COMPARED TO THE ORIGINAL EXHAUST SYSTEM,&lt;br&gt;IN TERMS OF TORQUE AND POWER AT ANY RANGE, ASTONISHING SOUND.&lt;/p&gt;_x000a_&lt;p&gt;&lt;strong&gt;NOTICE&lt;/strong&gt;: THIS PRODUCT FITS ALSO ON TRIUMPH THRUXTON-R RACING ONLY&lt;/p&gt;"/>
    <s v="https://shop.officineitalianezard.it/contents/imgs/products/1_2596-5%20scarico%20triumph%20speed%20twin%20scarichi%20zard%20exhaust.jpg"/>
    <m/>
    <m/>
  </r>
  <r>
    <s v="1586059151-10286"/>
    <s v="https://shop.officineitalianezard.it/en/products/"/>
    <m/>
    <s v="https://shop.officineitalianezard.it/en/triumph-zard-exhaust/"/>
    <s v="SPEED TWIN M.Y. 2018-19"/>
    <s v="https://shop.officineitalianezard.it/en/triumph-speed-twin-zard-exhausts/"/>
    <s v="SP VERSION"/>
    <x v="63"/>
    <s v="2&gt;1 FULL KIT"/>
    <s v="ZTPH092SKR"/>
    <s v="TRIUMPH SPEED TWIN 2018-2019"/>
    <n v="811.48"/>
    <n v="901.64"/>
    <s v="&lt;p&gt;2&amp;gt;1 STAINLESS STEELL RACING FULL KIT WITH REMOVABLE&lt;br&gt;DB-KILLERS. CARBON END-CAP AVAILABLE AS OPTIONAL&lt;/p&gt;_x000a_&lt;p&gt;ORIGINAL FULL KIT WEIGHT:&amp;nbsp;&lt;br&gt;ZARD FULL KIT WEIGHT: 4.1 KG&lt;/p&gt;_x000a_&lt;p&gt;THE INSTALLATION OF ZARD EXHAUST FOR TRIUMPH SPEED TWIN&lt;br&gt;DOES NOT IMPLY ANY MODIFICATION TO ECU&lt;/p&gt;_x000a_&lt;p&gt;HARD INCREASE, COMPARED TO THE ORIGINAL EXHAUST SYSTEM,&lt;br&gt;IN TERMS OF TORQUE AND POWER AT ANY RANGE, ASTONISHING SOUND.&lt;/p&gt;_x000a_&lt;p&gt;&lt;strong&gt;NOTICE&lt;/strong&gt;: THIS PRODUCT FITS ALSO ON TRIUMPH THRUXTON-R RACING ONLY&lt;/p&gt;"/>
    <m/>
    <s v="BLACK COATING"/>
    <n v="169.67"/>
  </r>
  <r>
    <s v="1586059151-10287"/>
    <s v="https://shop.officineitalianezard.it/en/products/"/>
    <m/>
    <s v="https://shop.officineitalianezard.it/en/triumph-zard-exhaust/"/>
    <s v="SPEED TWIN M.Y. 2018-19"/>
    <s v="https://shop.officineitalianezard.it/en/triumph-speed-twin-zard-exhausts/"/>
    <s v="SP VERSION"/>
    <x v="63"/>
    <s v="2&gt;1 FULL KIT"/>
    <s v="ZTPH092SKR"/>
    <s v="TRIUMPH SPEED TWIN 2018-2019"/>
    <n v="811.48"/>
    <n v="901.64"/>
    <s v="&lt;p&gt;2&amp;gt;1 STAINLESS STEELL RACING FULL KIT WITH REMOVABLE&lt;br&gt;DB-KILLERS. CARBON END-CAP AVAILABLE AS OPTIONAL&lt;/p&gt;_x000a_&lt;p&gt;ORIGINAL FULL KIT WEIGHT:&amp;nbsp;&lt;br&gt;ZARD FULL KIT WEIGHT: 4.1 KG&lt;/p&gt;_x000a_&lt;p&gt;THE INSTALLATION OF ZARD EXHAUST FOR TRIUMPH SPEED TWIN&lt;br&gt;DOES NOT IMPLY ANY MODIFICATION TO ECU&lt;/p&gt;_x000a_&lt;p&gt;HARD INCREASE, COMPARED TO THE ORIGINAL EXHAUST SYSTEM,&lt;br&gt;IN TERMS OF TORQUE AND POWER AT ANY RANGE, ASTONISHING SOUND.&lt;/p&gt;_x000a_&lt;p&gt;&lt;strong&gt;NOTICE&lt;/strong&gt;: THIS PRODUCT FITS ALSO ON TRIUMPH THRUXTON-R RACING ONLY&lt;/p&gt;"/>
    <m/>
    <s v="CARBON END-CAP"/>
    <n v="36.89"/>
  </r>
  <r>
    <s v="1586059154-10288"/>
    <s v="https://shop.officineitalianezard.it/en/products/"/>
    <m/>
    <s v="https://shop.officineitalianezard.it/en/triumph-zard-exhaust/"/>
    <s v="SPEED TWIN M.Y. 2018-19"/>
    <s v="https://shop.officineitalianezard.it/en/triumph-speed-twin-zard-exhausts/"/>
    <s v="SP VERSION"/>
    <x v="64"/>
    <s v="N. 2 SLIP-ONS"/>
    <s v="ZTPH093SSR"/>
    <s v="TRIUMPH SPEED TWIN 2018-2019"/>
    <n v="686.07"/>
    <n v="762.3"/>
    <s v="&lt;p&gt;N.2 STAINLESS STEEL RACING SLIP-ONS WITH REMOVABLE&lt;br&gt;DBKILLERS. EURO 4 HOMOLOGATED VERSION AND CARBON END-CAPS&lt;br&gt;AVAILABLE AS OPTIONALS.&lt;/p&gt;_x000a_&lt;p&gt;ORIGINAL SILENCERS WEIGHT: 5.8 KG&lt;br&gt;ZARD SILENCERS WEIGHT: 3.6 KG&lt;/p&gt;_x000a_&lt;p&gt;THE INSTALLATION OF ZARD EXHAUST FOR TRIUMPH SPEED TWIN&lt;br&gt;DOES NOT IMPLY ANY MODIFICATION TO ECU&lt;/p&gt;_x000a_&lt;p&gt;SIGNIFICANT INCREASE, COMPARED TO THE ORIGINAL EXHAUST SYSTEM,&lt;br&gt;IN TERMS OF TORQUE AND POWER AT ANY RANGE, ASTONISHING SOUND.&lt;/p&gt;_x000a_&lt;p&gt;&lt;strong&gt;NOTICE&lt;/strong&gt;: THIS PRODUCT FITS ALSO ON TRIUMPH THRUXTON-R RACING ONLY&lt;/p&gt;_x000a_&lt;p&gt;&lt;span style=&quot;color: #ff0000;&quot;&gt;&lt;strong&gt;&lt;a href=&quot;https://shop.officineitalianezard.it/en/decatalyzer-kit-for-triumph-bonneville-t120-thruxton-r-street-twin-speed-twin-zard/&quot; style=&quot;color: #ff0000;&quot;&gt;FIND OUT THE ZARD DECATALYZER KIT&lt;/a&gt;&lt;/strong&gt;&lt;/span&gt;&lt;/p&gt;"/>
    <s v="https://shop.officineitalianezard.it/contents/imgs/products/1_2676-scarichi%20triumph%20speed%20twin.jpg"/>
    <m/>
    <m/>
  </r>
  <r>
    <s v="1586059154-10289"/>
    <s v="https://shop.officineitalianezard.it/en/products/"/>
    <m/>
    <s v="https://shop.officineitalianezard.it/en/triumph-zard-exhaust/"/>
    <s v="SPEED TWIN M.Y. 2018-19"/>
    <s v="https://shop.officineitalianezard.it/en/triumph-speed-twin-zard-exhausts/"/>
    <s v="SP VERSION"/>
    <x v="64"/>
    <s v="N. 2 SLIP-ONS"/>
    <s v="ZTPH093SSR"/>
    <s v="TRIUMPH SPEED TWIN 2018-2019"/>
    <n v="686.07"/>
    <n v="762.3"/>
    <s v="&lt;p&gt;N.2 STAINLESS STEEL RACING SLIP-ONS WITH REMOVABLE&lt;br&gt;DBKILLERS. EURO 4 HOMOLOGATED VERSION AND CARBON END-CAPS&lt;br&gt;AVAILABLE AS OPTIONALS.&lt;/p&gt;_x000a_&lt;p&gt;ORIGINAL SILENCERS WEIGHT: 5.8 KG&lt;br&gt;ZARD SILENCERS WEIGHT: 3.6 KG&lt;/p&gt;_x000a_&lt;p&gt;THE INSTALLATION OF ZARD EXHAUST FOR TRIUMPH SPEED TWIN&lt;br&gt;DOES NOT IMPLY ANY MODIFICATION TO ECU&lt;/p&gt;_x000a_&lt;p&gt;SIGNIFICANT INCREASE, COMPARED TO THE ORIGINAL EXHAUST SYSTEM,&lt;br&gt;IN TERMS OF TORQUE AND POWER AT ANY RANGE, ASTONISHING SOUND.&lt;/p&gt;_x000a_&lt;p&gt;&lt;strong&gt;NOTICE&lt;/strong&gt;: THIS PRODUCT FITS ALSO ON TRIUMPH THRUXTON-R RACING ONLY&lt;/p&gt;_x000a_&lt;p&gt;&lt;span style=&quot;color: #ff0000;&quot;&gt;&lt;strong&gt;&lt;a href=&quot;https://shop.officineitalianezard.it/en/decatalyzer-kit-for-triumph-bonneville-t120-thruxton-r-street-twin-speed-twin-zard/&quot; style=&quot;color: #ff0000;&quot;&gt;FIND OUT THE ZARD DECATALYZER KIT&lt;/a&gt;&lt;/strong&gt;&lt;/span&gt;&lt;/p&gt;"/>
    <s v="https://shop.officineitalianezard.it/contents/imgs/products/1_2598-1%20scarico%20triumph%20speed%20twin%20scarichi%20zard%20exhaust.jpg"/>
    <m/>
    <m/>
  </r>
  <r>
    <s v="1586059154-10290"/>
    <s v="https://shop.officineitalianezard.it/en/products/"/>
    <m/>
    <s v="https://shop.officineitalianezard.it/en/triumph-zard-exhaust/"/>
    <s v="SPEED TWIN M.Y. 2018-19"/>
    <s v="https://shop.officineitalianezard.it/en/triumph-speed-twin-zard-exhausts/"/>
    <s v="SP VERSION"/>
    <x v="64"/>
    <s v="N. 2 SLIP-ONS"/>
    <s v="ZTPH093SSR"/>
    <s v="TRIUMPH SPEED TWIN 2018-2019"/>
    <n v="686.07"/>
    <n v="762.3"/>
    <s v="&lt;p&gt;N.2 STAINLESS STEEL RACING SLIP-ONS WITH REMOVABLE&lt;br&gt;DBKILLERS. EURO 4 HOMOLOGATED VERSION AND CARBON END-CAPS&lt;br&gt;AVAILABLE AS OPTIONALS.&lt;/p&gt;_x000a_&lt;p&gt;ORIGINAL SILENCERS WEIGHT: 5.8 KG&lt;br&gt;ZARD SILENCERS WEIGHT: 3.6 KG&lt;/p&gt;_x000a_&lt;p&gt;THE INSTALLATION OF ZARD EXHAUST FOR TRIUMPH SPEED TWIN&lt;br&gt;DOES NOT IMPLY ANY MODIFICATION TO ECU&lt;/p&gt;_x000a_&lt;p&gt;SIGNIFICANT INCREASE, COMPARED TO THE ORIGINAL EXHAUST SYSTEM,&lt;br&gt;IN TERMS OF TORQUE AND POWER AT ANY RANGE, ASTONISHING SOUND.&lt;/p&gt;_x000a_&lt;p&gt;&lt;strong&gt;NOTICE&lt;/strong&gt;: THIS PRODUCT FITS ALSO ON TRIUMPH THRUXTON-R RACING ONLY&lt;/p&gt;_x000a_&lt;p&gt;&lt;span style=&quot;color: #ff0000;&quot;&gt;&lt;strong&gt;&lt;a href=&quot;https://shop.officineitalianezard.it/en/decatalyzer-kit-for-triumph-bonneville-t120-thruxton-r-street-twin-speed-twin-zard/&quot; style=&quot;color: #ff0000;&quot;&gt;FIND OUT THE ZARD DECATALYZER KIT&lt;/a&gt;&lt;/strong&gt;&lt;/span&gt;&lt;/p&gt;"/>
    <s v="https://shop.officineitalianezard.it/contents/imgs/products/1_2602-2%20scarico%20triumph%20speed%20twin%20scarichi%20zard%20exhaust.jpg"/>
    <m/>
    <m/>
  </r>
  <r>
    <s v="1586059154-10291"/>
    <s v="https://shop.officineitalianezard.it/en/products/"/>
    <m/>
    <s v="https://shop.officineitalianezard.it/en/triumph-zard-exhaust/"/>
    <s v="SPEED TWIN M.Y. 2018-19"/>
    <s v="https://shop.officineitalianezard.it/en/triumph-speed-twin-zard-exhausts/"/>
    <s v="SP VERSION"/>
    <x v="64"/>
    <s v="N. 2 SLIP-ONS"/>
    <s v="ZTPH093SSR"/>
    <s v="TRIUMPH SPEED TWIN 2018-2019"/>
    <n v="686.07"/>
    <n v="762.3"/>
    <s v="&lt;p&gt;N.2 STAINLESS STEEL RACING SLIP-ONS WITH REMOVABLE&lt;br&gt;DBKILLERS. EURO 4 HOMOLOGATED VERSION AND CARBON END-CAPS&lt;br&gt;AVAILABLE AS OPTIONALS.&lt;/p&gt;_x000a_&lt;p&gt;ORIGINAL SILENCERS WEIGHT: 5.8 KG&lt;br&gt;ZARD SILENCERS WEIGHT: 3.6 KG&lt;/p&gt;_x000a_&lt;p&gt;THE INSTALLATION OF ZARD EXHAUST FOR TRIUMPH SPEED TWIN&lt;br&gt;DOES NOT IMPLY ANY MODIFICATION TO ECU&lt;/p&gt;_x000a_&lt;p&gt;SIGNIFICANT INCREASE, COMPARED TO THE ORIGINAL EXHAUST SYSTEM,&lt;br&gt;IN TERMS OF TORQUE AND POWER AT ANY RANGE, ASTONISHING SOUND.&lt;/p&gt;_x000a_&lt;p&gt;&lt;strong&gt;NOTICE&lt;/strong&gt;: THIS PRODUCT FITS ALSO ON TRIUMPH THRUXTON-R RACING ONLY&lt;/p&gt;_x000a_&lt;p&gt;&lt;span style=&quot;color: #ff0000;&quot;&gt;&lt;strong&gt;&lt;a href=&quot;https://shop.officineitalianezard.it/en/decatalyzer-kit-for-triumph-bonneville-t120-thruxton-r-street-twin-speed-twin-zard/&quot; style=&quot;color: #ff0000;&quot;&gt;FIND OUT THE ZARD DECATALYZER KIT&lt;/a&gt;&lt;/strong&gt;&lt;/span&gt;&lt;/p&gt;"/>
    <s v="https://shop.officineitalianezard.it/contents/imgs/products/1_2599-3%20scarico%20triumph%20speed%20twin%20scarichi%20zard%20exhaust.jpg"/>
    <m/>
    <m/>
  </r>
  <r>
    <s v="1586059154-10292"/>
    <s v="https://shop.officineitalianezard.it/en/products/"/>
    <m/>
    <s v="https://shop.officineitalianezard.it/en/triumph-zard-exhaust/"/>
    <s v="SPEED TWIN M.Y. 2018-19"/>
    <s v="https://shop.officineitalianezard.it/en/triumph-speed-twin-zard-exhausts/"/>
    <s v="SP VERSION"/>
    <x v="64"/>
    <s v="N. 2 SLIP-ONS"/>
    <s v="ZTPH093SSR"/>
    <s v="TRIUMPH SPEED TWIN 2018-2019"/>
    <n v="686.07"/>
    <n v="762.3"/>
    <s v="&lt;p&gt;N.2 STAINLESS STEEL RACING SLIP-ONS WITH REMOVABLE&lt;br&gt;DBKILLERS. EURO 4 HOMOLOGATED VERSION AND CARBON END-CAPS&lt;br&gt;AVAILABLE AS OPTIONALS.&lt;/p&gt;_x000a_&lt;p&gt;ORIGINAL SILENCERS WEIGHT: 5.8 KG&lt;br&gt;ZARD SILENCERS WEIGHT: 3.6 KG&lt;/p&gt;_x000a_&lt;p&gt;THE INSTALLATION OF ZARD EXHAUST FOR TRIUMPH SPEED TWIN&lt;br&gt;DOES NOT IMPLY ANY MODIFICATION TO ECU&lt;/p&gt;_x000a_&lt;p&gt;SIGNIFICANT INCREASE, COMPARED TO THE ORIGINAL EXHAUST SYSTEM,&lt;br&gt;IN TERMS OF TORQUE AND POWER AT ANY RANGE, ASTONISHING SOUND.&lt;/p&gt;_x000a_&lt;p&gt;&lt;strong&gt;NOTICE&lt;/strong&gt;: THIS PRODUCT FITS ALSO ON TRIUMPH THRUXTON-R RACING ONLY&lt;/p&gt;_x000a_&lt;p&gt;&lt;span style=&quot;color: #ff0000;&quot;&gt;&lt;strong&gt;&lt;a href=&quot;https://shop.officineitalianezard.it/en/decatalyzer-kit-for-triumph-bonneville-t120-thruxton-r-street-twin-speed-twin-zard/&quot; style=&quot;color: #ff0000;&quot;&gt;FIND OUT THE ZARD DECATALYZER KIT&lt;/a&gt;&lt;/strong&gt;&lt;/span&gt;&lt;/p&gt;"/>
    <s v="https://shop.officineitalianezard.it/contents/imgs/products/1_2601-4%20scarico%20triumph%20speed%20twin%20scarichi%20zard%20exhaust.jpg"/>
    <m/>
    <m/>
  </r>
  <r>
    <s v="1586059154-10293"/>
    <s v="https://shop.officineitalianezard.it/en/products/"/>
    <m/>
    <s v="https://shop.officineitalianezard.it/en/triumph-zard-exhaust/"/>
    <s v="SPEED TWIN M.Y. 2018-19"/>
    <s v="https://shop.officineitalianezard.it/en/triumph-speed-twin-zard-exhausts/"/>
    <s v="SP VERSION"/>
    <x v="64"/>
    <s v="N. 2 SLIP-ONS"/>
    <s v="ZTPH093SSR"/>
    <s v="TRIUMPH SPEED TWIN 2018-2019"/>
    <n v="686.07"/>
    <n v="762.3"/>
    <s v="&lt;p&gt;N.2 STAINLESS STEEL RACING SLIP-ONS WITH REMOVABLE&lt;br&gt;DBKILLERS. EURO 4 HOMOLOGATED VERSION AND CARBON END-CAPS&lt;br&gt;AVAILABLE AS OPTIONALS.&lt;/p&gt;_x000a_&lt;p&gt;ORIGINAL SILENCERS WEIGHT: 5.8 KG&lt;br&gt;ZARD SILENCERS WEIGHT: 3.6 KG&lt;/p&gt;_x000a_&lt;p&gt;THE INSTALLATION OF ZARD EXHAUST FOR TRIUMPH SPEED TWIN&lt;br&gt;DOES NOT IMPLY ANY MODIFICATION TO ECU&lt;/p&gt;_x000a_&lt;p&gt;SIGNIFICANT INCREASE, COMPARED TO THE ORIGINAL EXHAUST SYSTEM,&lt;br&gt;IN TERMS OF TORQUE AND POWER AT ANY RANGE, ASTONISHING SOUND.&lt;/p&gt;_x000a_&lt;p&gt;&lt;strong&gt;NOTICE&lt;/strong&gt;: THIS PRODUCT FITS ALSO ON TRIUMPH THRUXTON-R RACING ONLY&lt;/p&gt;_x000a_&lt;p&gt;&lt;span style=&quot;color: #ff0000;&quot;&gt;&lt;strong&gt;&lt;a href=&quot;https://shop.officineitalianezard.it/en/decatalyzer-kit-for-triumph-bonneville-t120-thruxton-r-street-twin-speed-twin-zard/&quot; style=&quot;color: #ff0000;&quot;&gt;FIND OUT THE ZARD DECATALYZER KIT&lt;/a&gt;&lt;/strong&gt;&lt;/span&gt;&lt;/p&gt;"/>
    <s v="https://shop.officineitalianezard.it/contents/imgs/products/1_2600-5%20scarico%20triumph%20speed%20twin%20scarichi%20zard%20exhaust.jpg"/>
    <m/>
    <m/>
  </r>
  <r>
    <s v="1586059154-10294"/>
    <s v="https://shop.officineitalianezard.it/en/products/"/>
    <m/>
    <s v="https://shop.officineitalianezard.it/en/triumph-zard-exhaust/"/>
    <s v="SPEED TWIN M.Y. 2018-19"/>
    <s v="https://shop.officineitalianezard.it/en/triumph-speed-twin-zard-exhausts/"/>
    <s v="SP VERSION"/>
    <x v="64"/>
    <s v="N. 2 SLIP-ONS"/>
    <s v="ZTPH093SSR"/>
    <s v="TRIUMPH SPEED TWIN 2018-2019"/>
    <n v="686.07"/>
    <n v="762.3"/>
    <s v="&lt;p&gt;N.2 STAINLESS STEEL RACING SLIP-ONS WITH REMOVABLE&lt;br&gt;DBKILLERS. EURO 4 HOMOLOGATED VERSION AND CARBON END-CAPS&lt;br&gt;AVAILABLE AS OPTIONALS.&lt;/p&gt;_x000a_&lt;p&gt;ORIGINAL SILENCERS WEIGHT: 5.8 KG&lt;br&gt;ZARD SILENCERS WEIGHT: 3.6 KG&lt;/p&gt;_x000a_&lt;p&gt;THE INSTALLATION OF ZARD EXHAUST FOR TRIUMPH SPEED TWIN&lt;br&gt;DOES NOT IMPLY ANY MODIFICATION TO ECU&lt;/p&gt;_x000a_&lt;p&gt;SIGNIFICANT INCREASE, COMPARED TO THE ORIGINAL EXHAUST SYSTEM,&lt;br&gt;IN TERMS OF TORQUE AND POWER AT ANY RANGE, ASTONISHING SOUND.&lt;/p&gt;_x000a_&lt;p&gt;&lt;strong&gt;NOTICE&lt;/strong&gt;: THIS PRODUCT FITS ALSO ON TRIUMPH THRUXTON-R RACING ONLY&lt;/p&gt;_x000a_&lt;p&gt;&lt;span style=&quot;color: #ff0000;&quot;&gt;&lt;strong&gt;&lt;a href=&quot;https://shop.officineitalianezard.it/en/decatalyzer-kit-for-triumph-bonneville-t120-thruxton-r-street-twin-speed-twin-zard/&quot; style=&quot;color: #ff0000;&quot;&gt;FIND OUT THE ZARD DECATALYZER KIT&lt;/a&gt;&lt;/strong&gt;&lt;/span&gt;&lt;/p&gt;"/>
    <m/>
    <s v="EURO 4 HOMOLOGATED"/>
    <n v="125.41"/>
  </r>
  <r>
    <s v="1586059154-10295"/>
    <s v="https://shop.officineitalianezard.it/en/products/"/>
    <m/>
    <s v="https://shop.officineitalianezard.it/en/triumph-zard-exhaust/"/>
    <s v="SPEED TWIN M.Y. 2018-19"/>
    <s v="https://shop.officineitalianezard.it/en/triumph-speed-twin-zard-exhausts/"/>
    <s v="SP VERSION"/>
    <x v="64"/>
    <s v="N. 2 SLIP-ONS"/>
    <s v="ZTPH093SSR"/>
    <s v="TRIUMPH SPEED TWIN 2018-2019"/>
    <n v="686.07"/>
    <n v="762.3"/>
    <s v="&lt;p&gt;N.2 STAINLESS STEEL RACING SLIP-ONS WITH REMOVABLE&lt;br&gt;DBKILLERS. EURO 4 HOMOLOGATED VERSION AND CARBON END-CAPS&lt;br&gt;AVAILABLE AS OPTIONALS.&lt;/p&gt;_x000a_&lt;p&gt;ORIGINAL SILENCERS WEIGHT: 5.8 KG&lt;br&gt;ZARD SILENCERS WEIGHT: 3.6 KG&lt;/p&gt;_x000a_&lt;p&gt;THE INSTALLATION OF ZARD EXHAUST FOR TRIUMPH SPEED TWIN&lt;br&gt;DOES NOT IMPLY ANY MODIFICATION TO ECU&lt;/p&gt;_x000a_&lt;p&gt;SIGNIFICANT INCREASE, COMPARED TO THE ORIGINAL EXHAUST SYSTEM,&lt;br&gt;IN TERMS OF TORQUE AND POWER AT ANY RANGE, ASTONISHING SOUND.&lt;/p&gt;_x000a_&lt;p&gt;&lt;strong&gt;NOTICE&lt;/strong&gt;: THIS PRODUCT FITS ALSO ON TRIUMPH THRUXTON-R RACING ONLY&lt;/p&gt;_x000a_&lt;p&gt;&lt;span style=&quot;color: #ff0000;&quot;&gt;&lt;strong&gt;&lt;a href=&quot;https://shop.officineitalianezard.it/en/decatalyzer-kit-for-triumph-bonneville-t120-thruxton-r-street-twin-speed-twin-zard/&quot; style=&quot;color: #ff0000;&quot;&gt;FIND OUT THE ZARD DECATALYZER KIT&lt;/a&gt;&lt;/strong&gt;&lt;/span&gt;&lt;/p&gt;"/>
    <m/>
    <s v="CARBON END-CAPS"/>
    <n v="70.08"/>
  </r>
  <r>
    <s v="1586059156-10296"/>
    <s v="https://shop.officineitalianezard.it/en/products/"/>
    <m/>
    <s v="https://shop.officineitalianezard.it/en/triumph-zard-exhaust/"/>
    <s v="SPEED TWIN M.Y. 2018-19"/>
    <s v="https://shop.officineitalianezard.it/en/triumph-speed-twin-zard-exhausts/"/>
    <s v="CONICAL VERSION"/>
    <x v="65"/>
    <s v="N.2 SLIP-ONS"/>
    <s v="ZTPH090SSR"/>
    <s v="TRIUMPH SPEED TWIN 2018-2019"/>
    <n v="715.57"/>
    <n v="795.08"/>
    <s v="&lt;p&gt;N.2 STAINLESS STEEL RACING SLIP-ONS WITH REMOVABLE DBKILLERS.&lt;br&gt;EURO 4 HOMOLOGATED VERSION AND CARBON END-CAPS AVAILABLE AS OPTIONALS.&lt;/p&gt;_x000a_&lt;p&gt;ORIGINAL SILENCERS WEIGHT: 5.8 KG&lt;br&gt;ZARD SILENCERS WEIGHT: 3.8 KG&lt;/p&gt;_x000a_&lt;p&gt;THE INSTALLATION OF ZARD EXHAUST FOR TRIUMPH SPEED TWIN&lt;br&gt;DOES NOT IMPLY ANY MODIFICATION TO ECU&lt;/p&gt;_x000a_&lt;p&gt;SIGNIFICANT INCREASE, COMPARED TO THE ORIGINAL EXHAUST SYSTEM,&lt;br&gt;IN TERMS OF TORQUE AND POWER AT ANY RANGE, ASTONISHING SOUND.&lt;/p&gt;_x000a_&lt;p&gt;&lt;strong&gt;NOTICE&lt;/strong&gt;: THIS PRODUCT FITS ALSO ON TRIUMPH THRUXTON-R RACING ONLY&lt;/p&gt;_x000a_&lt;p&gt;&lt;span style=&quot;color: #ff0000;&quot;&gt;&lt;strong&gt;&lt;a href=&quot;https://shop.officineitalianezard.it/en/decatalyzer-kit-for-triumph-bonneville-t120-thruxton-r-street-twin-speed-twin-zard/&quot; style=&quot;color: #ff0000;&quot;&gt;FIND OUT THE ZARD DECATALYZER KIT FOR TRIUMPH SPEED TWIN&lt;/a&gt;&lt;/strong&gt;&lt;/span&gt;&lt;/p&gt;"/>
    <s v="https://shop.officineitalianezard.it/contents/imgs/products/1_2603-1%20scarico%20triumph%20speed%20twin%20scarichi%20zard%20exhaust.jpg"/>
    <m/>
    <m/>
  </r>
  <r>
    <s v="1586059156-10297"/>
    <s v="https://shop.officineitalianezard.it/en/products/"/>
    <m/>
    <s v="https://shop.officineitalianezard.it/en/triumph-zard-exhaust/"/>
    <s v="SPEED TWIN M.Y. 2018-19"/>
    <s v="https://shop.officineitalianezard.it/en/triumph-speed-twin-zard-exhausts/"/>
    <s v="CONICAL VERSION"/>
    <x v="65"/>
    <s v="N.2 SLIP-ONS"/>
    <s v="ZTPH090SSR"/>
    <s v="TRIUMPH SPEED TWIN 2018-2019"/>
    <n v="715.57"/>
    <n v="795.08"/>
    <s v="&lt;p&gt;N.2 STAINLESS STEEL RACING SLIP-ONS WITH REMOVABLE DBKILLERS.&lt;br&gt;EURO 4 HOMOLOGATED VERSION AND CARBON END-CAPS AVAILABLE AS OPTIONALS.&lt;/p&gt;_x000a_&lt;p&gt;ORIGINAL SILENCERS WEIGHT: 5.8 KG&lt;br&gt;ZARD SILENCERS WEIGHT: 3.8 KG&lt;/p&gt;_x000a_&lt;p&gt;THE INSTALLATION OF ZARD EXHAUST FOR TRIUMPH SPEED TWIN&lt;br&gt;DOES NOT IMPLY ANY MODIFICATION TO ECU&lt;/p&gt;_x000a_&lt;p&gt;SIGNIFICANT INCREASE, COMPARED TO THE ORIGINAL EXHAUST SYSTEM,&lt;br&gt;IN TERMS OF TORQUE AND POWER AT ANY RANGE, ASTONISHING SOUND.&lt;/p&gt;_x000a_&lt;p&gt;&lt;strong&gt;NOTICE&lt;/strong&gt;: THIS PRODUCT FITS ALSO ON TRIUMPH THRUXTON-R RACING ONLY&lt;/p&gt;_x000a_&lt;p&gt;&lt;span style=&quot;color: #ff0000;&quot;&gt;&lt;strong&gt;&lt;a href=&quot;https://shop.officineitalianezard.it/en/decatalyzer-kit-for-triumph-bonneville-t120-thruxton-r-street-twin-speed-twin-zard/&quot; style=&quot;color: #ff0000;&quot;&gt;FIND OUT THE ZARD DECATALYZER KIT FOR TRIUMPH SPEED TWIN&lt;/a&gt;&lt;/strong&gt;&lt;/span&gt;&lt;/p&gt;"/>
    <s v="https://shop.officineitalianezard.it/contents/imgs/products/1_2607-2%20scarico%20triumph%20speed%20twin%20scarichi%20zard%20exhaust.jpg"/>
    <m/>
    <m/>
  </r>
  <r>
    <s v="1586059156-10298"/>
    <s v="https://shop.officineitalianezard.it/en/products/"/>
    <m/>
    <s v="https://shop.officineitalianezard.it/en/triumph-zard-exhaust/"/>
    <s v="SPEED TWIN M.Y. 2018-19"/>
    <s v="https://shop.officineitalianezard.it/en/triumph-speed-twin-zard-exhausts/"/>
    <s v="CONICAL VERSION"/>
    <x v="65"/>
    <s v="N.2 SLIP-ONS"/>
    <s v="ZTPH090SSR"/>
    <s v="TRIUMPH SPEED TWIN 2018-2019"/>
    <n v="715.57"/>
    <n v="795.08"/>
    <s v="&lt;p&gt;N.2 STAINLESS STEEL RACING SLIP-ONS WITH REMOVABLE DBKILLERS.&lt;br&gt;EURO 4 HOMOLOGATED VERSION AND CARBON END-CAPS AVAILABLE AS OPTIONALS.&lt;/p&gt;_x000a_&lt;p&gt;ORIGINAL SILENCERS WEIGHT: 5.8 KG&lt;br&gt;ZARD SILENCERS WEIGHT: 3.8 KG&lt;/p&gt;_x000a_&lt;p&gt;THE INSTALLATION OF ZARD EXHAUST FOR TRIUMPH SPEED TWIN&lt;br&gt;DOES NOT IMPLY ANY MODIFICATION TO ECU&lt;/p&gt;_x000a_&lt;p&gt;SIGNIFICANT INCREASE, COMPARED TO THE ORIGINAL EXHAUST SYSTEM,&lt;br&gt;IN TERMS OF TORQUE AND POWER AT ANY RANGE, ASTONISHING SOUND.&lt;/p&gt;_x000a_&lt;p&gt;&lt;strong&gt;NOTICE&lt;/strong&gt;: THIS PRODUCT FITS ALSO ON TRIUMPH THRUXTON-R RACING ONLY&lt;/p&gt;_x000a_&lt;p&gt;&lt;span style=&quot;color: #ff0000;&quot;&gt;&lt;strong&gt;&lt;a href=&quot;https://shop.officineitalianezard.it/en/decatalyzer-kit-for-triumph-bonneville-t120-thruxton-r-street-twin-speed-twin-zard/&quot; style=&quot;color: #ff0000;&quot;&gt;FIND OUT THE ZARD DECATALYZER KIT FOR TRIUMPH SPEED TWIN&lt;/a&gt;&lt;/strong&gt;&lt;/span&gt;&lt;/p&gt;"/>
    <s v="https://shop.officineitalianezard.it/contents/imgs/products/1_2604-3%20scarico%20triumph%20speed%20twin%20scarichi%20zard%20exhaust.jpg"/>
    <m/>
    <m/>
  </r>
  <r>
    <s v="1586059156-10299"/>
    <s v="https://shop.officineitalianezard.it/en/products/"/>
    <m/>
    <s v="https://shop.officineitalianezard.it/en/triumph-zard-exhaust/"/>
    <s v="SPEED TWIN M.Y. 2018-19"/>
    <s v="https://shop.officineitalianezard.it/en/triumph-speed-twin-zard-exhausts/"/>
    <s v="CONICAL VERSION"/>
    <x v="65"/>
    <s v="N.2 SLIP-ONS"/>
    <s v="ZTPH090SSR"/>
    <s v="TRIUMPH SPEED TWIN 2018-2019"/>
    <n v="715.57"/>
    <n v="795.08"/>
    <s v="&lt;p&gt;N.2 STAINLESS STEEL RACING SLIP-ONS WITH REMOVABLE DBKILLERS.&lt;br&gt;EURO 4 HOMOLOGATED VERSION AND CARBON END-CAPS AVAILABLE AS OPTIONALS.&lt;/p&gt;_x000a_&lt;p&gt;ORIGINAL SILENCERS WEIGHT: 5.8 KG&lt;br&gt;ZARD SILENCERS WEIGHT: 3.8 KG&lt;/p&gt;_x000a_&lt;p&gt;THE INSTALLATION OF ZARD EXHAUST FOR TRIUMPH SPEED TWIN&lt;br&gt;DOES NOT IMPLY ANY MODIFICATION TO ECU&lt;/p&gt;_x000a_&lt;p&gt;SIGNIFICANT INCREASE, COMPARED TO THE ORIGINAL EXHAUST SYSTEM,&lt;br&gt;IN TERMS OF TORQUE AND POWER AT ANY RANGE, ASTONISHING SOUND.&lt;/p&gt;_x000a_&lt;p&gt;&lt;strong&gt;NOTICE&lt;/strong&gt;: THIS PRODUCT FITS ALSO ON TRIUMPH THRUXTON-R RACING ONLY&lt;/p&gt;_x000a_&lt;p&gt;&lt;span style=&quot;color: #ff0000;&quot;&gt;&lt;strong&gt;&lt;a href=&quot;https://shop.officineitalianezard.it/en/decatalyzer-kit-for-triumph-bonneville-t120-thruxton-r-street-twin-speed-twin-zard/&quot; style=&quot;color: #ff0000;&quot;&gt;FIND OUT THE ZARD DECATALYZER KIT FOR TRIUMPH SPEED TWIN&lt;/a&gt;&lt;/strong&gt;&lt;/span&gt;&lt;/p&gt;"/>
    <s v="https://shop.officineitalianezard.it/contents/imgs/products/1_2605-4%20scarico%20triumph%20speed%20twin%20scarichi%20zard%20exhaust.jpg"/>
    <m/>
    <m/>
  </r>
  <r>
    <s v="1586059156-10300"/>
    <s v="https://shop.officineitalianezard.it/en/products/"/>
    <m/>
    <s v="https://shop.officineitalianezard.it/en/triumph-zard-exhaust/"/>
    <s v="SPEED TWIN M.Y. 2018-19"/>
    <s v="https://shop.officineitalianezard.it/en/triumph-speed-twin-zard-exhausts/"/>
    <s v="CONICAL VERSION"/>
    <x v="65"/>
    <s v="N.2 SLIP-ONS"/>
    <s v="ZTPH090SSR"/>
    <s v="TRIUMPH SPEED TWIN 2018-2019"/>
    <n v="715.57"/>
    <n v="795.08"/>
    <s v="&lt;p&gt;N.2 STAINLESS STEEL RACING SLIP-ONS WITH REMOVABLE DBKILLERS.&lt;br&gt;EURO 4 HOMOLOGATED VERSION AND CARBON END-CAPS AVAILABLE AS OPTIONALS.&lt;/p&gt;_x000a_&lt;p&gt;ORIGINAL SILENCERS WEIGHT: 5.8 KG&lt;br&gt;ZARD SILENCERS WEIGHT: 3.8 KG&lt;/p&gt;_x000a_&lt;p&gt;THE INSTALLATION OF ZARD EXHAUST FOR TRIUMPH SPEED TWIN&lt;br&gt;DOES NOT IMPLY ANY MODIFICATION TO ECU&lt;/p&gt;_x000a_&lt;p&gt;SIGNIFICANT INCREASE, COMPARED TO THE ORIGINAL EXHAUST SYSTEM,&lt;br&gt;IN TERMS OF TORQUE AND POWER AT ANY RANGE, ASTONISHING SOUND.&lt;/p&gt;_x000a_&lt;p&gt;&lt;strong&gt;NOTICE&lt;/strong&gt;: THIS PRODUCT FITS ALSO ON TRIUMPH THRUXTON-R RACING ONLY&lt;/p&gt;_x000a_&lt;p&gt;&lt;span style=&quot;color: #ff0000;&quot;&gt;&lt;strong&gt;&lt;a href=&quot;https://shop.officineitalianezard.it/en/decatalyzer-kit-for-triumph-bonneville-t120-thruxton-r-street-twin-speed-twin-zard/&quot; style=&quot;color: #ff0000;&quot;&gt;FIND OUT THE ZARD DECATALYZER KIT FOR TRIUMPH SPEED TWIN&lt;/a&gt;&lt;/strong&gt;&lt;/span&gt;&lt;/p&gt;"/>
    <s v="https://shop.officineitalianezard.it/contents/imgs/products/1_2606-5%20scarico%20triumph%20speed%20twin%20scarichi%20zard%20exhaust.jpg"/>
    <m/>
    <m/>
  </r>
  <r>
    <s v="1586059156-10301"/>
    <s v="https://shop.officineitalianezard.it/en/products/"/>
    <m/>
    <s v="https://shop.officineitalianezard.it/en/triumph-zard-exhaust/"/>
    <s v="SPEED TWIN M.Y. 2018-19"/>
    <s v="https://shop.officineitalianezard.it/en/triumph-speed-twin-zard-exhausts/"/>
    <s v="CONICAL VERSION"/>
    <x v="65"/>
    <s v="N.2 SLIP-ONS"/>
    <s v="ZTPH090SSR"/>
    <s v="TRIUMPH SPEED TWIN 2018-2019"/>
    <n v="715.57"/>
    <n v="795.08"/>
    <s v="&lt;p&gt;N.2 STAINLESS STEEL RACING SLIP-ONS WITH REMOVABLE DBKILLERS.&lt;br&gt;EURO 4 HOMOLOGATED VERSION AND CARBON END-CAPS AVAILABLE AS OPTIONALS.&lt;/p&gt;_x000a_&lt;p&gt;ORIGINAL SILENCERS WEIGHT: 5.8 KG&lt;br&gt;ZARD SILENCERS WEIGHT: 3.8 KG&lt;/p&gt;_x000a_&lt;p&gt;THE INSTALLATION OF ZARD EXHAUST FOR TRIUMPH SPEED TWIN&lt;br&gt;DOES NOT IMPLY ANY MODIFICATION TO ECU&lt;/p&gt;_x000a_&lt;p&gt;SIGNIFICANT INCREASE, COMPARED TO THE ORIGINAL EXHAUST SYSTEM,&lt;br&gt;IN TERMS OF TORQUE AND POWER AT ANY RANGE, ASTONISHING SOUND.&lt;/p&gt;_x000a_&lt;p&gt;&lt;strong&gt;NOTICE&lt;/strong&gt;: THIS PRODUCT FITS ALSO ON TRIUMPH THRUXTON-R RACING ONLY&lt;/p&gt;_x000a_&lt;p&gt;&lt;span style=&quot;color: #ff0000;&quot;&gt;&lt;strong&gt;&lt;a href=&quot;https://shop.officineitalianezard.it/en/decatalyzer-kit-for-triumph-bonneville-t120-thruxton-r-street-twin-speed-twin-zard/&quot; style=&quot;color: #ff0000;&quot;&gt;FIND OUT THE ZARD DECATALYZER KIT FOR TRIUMPH SPEED TWIN&lt;/a&gt;&lt;/strong&gt;&lt;/span&gt;&lt;/p&gt;"/>
    <m/>
    <s v="EURO 4 HOMOLOGATED"/>
    <n v="118.03"/>
  </r>
  <r>
    <s v="1586059156-10302"/>
    <s v="https://shop.officineitalianezard.it/en/products/"/>
    <m/>
    <s v="https://shop.officineitalianezard.it/en/triumph-zard-exhaust/"/>
    <s v="SPEED TWIN M.Y. 2018-19"/>
    <s v="https://shop.officineitalianezard.it/en/triumph-speed-twin-zard-exhausts/"/>
    <s v="CONICAL VERSION"/>
    <x v="65"/>
    <s v="N.2 SLIP-ONS"/>
    <s v="ZTPH090SSR"/>
    <s v="TRIUMPH SPEED TWIN 2018-2019"/>
    <n v="715.57"/>
    <n v="795.08"/>
    <s v="&lt;p&gt;N.2 STAINLESS STEEL RACING SLIP-ONS WITH REMOVABLE DBKILLERS.&lt;br&gt;EURO 4 HOMOLOGATED VERSION AND CARBON END-CAPS AVAILABLE AS OPTIONALS.&lt;/p&gt;_x000a_&lt;p&gt;ORIGINAL SILENCERS WEIGHT: 5.8 KG&lt;br&gt;ZARD SILENCERS WEIGHT: 3.8 KG&lt;/p&gt;_x000a_&lt;p&gt;THE INSTALLATION OF ZARD EXHAUST FOR TRIUMPH SPEED TWIN&lt;br&gt;DOES NOT IMPLY ANY MODIFICATION TO ECU&lt;/p&gt;_x000a_&lt;p&gt;SIGNIFICANT INCREASE, COMPARED TO THE ORIGINAL EXHAUST SYSTEM,&lt;br&gt;IN TERMS OF TORQUE AND POWER AT ANY RANGE, ASTONISHING SOUND.&lt;/p&gt;_x000a_&lt;p&gt;&lt;strong&gt;NOTICE&lt;/strong&gt;: THIS PRODUCT FITS ALSO ON TRIUMPH THRUXTON-R RACING ONLY&lt;/p&gt;_x000a_&lt;p&gt;&lt;span style=&quot;color: #ff0000;&quot;&gt;&lt;strong&gt;&lt;a href=&quot;https://shop.officineitalianezard.it/en/decatalyzer-kit-for-triumph-bonneville-t120-thruxton-r-street-twin-speed-twin-zard/&quot; style=&quot;color: #ff0000;&quot;&gt;FIND OUT THE ZARD DECATALYZER KIT FOR TRIUMPH SPEED TWIN&lt;/a&gt;&lt;/strong&gt;&lt;/span&gt;&lt;/p&gt;"/>
    <m/>
    <s v="CARBON END-CAPS"/>
    <n v="70.08"/>
  </r>
  <r>
    <s v="1586059163-10303"/>
    <s v="https://shop.officineitalianezard.it/en/products/"/>
    <m/>
    <s v="https://shop.officineitalianezard.it/en/triumph-zard-exhaust/"/>
    <s v="SPEED TRIPLE 955 02/04"/>
    <s v="https://shop.officineitalianezard.it/en/triumph-speed-triple-955-02-04-exhaust/"/>
    <s v="CONICAL VERSION"/>
    <x v="66"/>
    <s v="SILENCER"/>
    <s v="ZTPH032SSR"/>
    <s v="TRIUMPH SPEED TRIPLE 955 02/04"/>
    <n v="329.02"/>
    <n v="365.57"/>
    <s v="&lt;p&gt;STEEL RACING SILENCER&lt;/p&gt;_x000a_&lt;p&gt;ORIGINAL SILENCER WEIGHT: KG 6.85&lt;br&gt;ZARD SILENCER WEIGHT: KG 1.9&lt;/p&gt;_x000a_&lt;p&gt;HARD INCREASE, COMPARED TO THE ORIGINAL EXHAUST SYSTEM, IN TERMS OF TORQUE AND POWER AT ANY RANGE.&lt;/p&gt;_x000a_&lt;p&gt;ASTONISHING SOUND.&lt;/p&gt;"/>
    <s v="https://shop.officineitalianezard.it/contents/imgs/products/1_168-Speed0204sil.jpg"/>
    <m/>
    <m/>
  </r>
  <r>
    <s v="1586059163-10304"/>
    <s v="https://shop.officineitalianezard.it/en/products/"/>
    <m/>
    <s v="https://shop.officineitalianezard.it/en/triumph-zard-exhaust/"/>
    <s v="SPEED TRIPLE 955 02/04"/>
    <s v="https://shop.officineitalianezard.it/en/triumph-speed-triple-955-02-04-exhaust/"/>
    <s v="CONICAL VERSION"/>
    <x v="66"/>
    <s v="SILENCER"/>
    <s v="ZTPH032SSR"/>
    <s v="TRIUMPH SPEED TRIPLE 955 02/04"/>
    <n v="329.02"/>
    <n v="365.57"/>
    <s v="&lt;p&gt;STEEL RACING SILENCER&lt;/p&gt;_x000a_&lt;p&gt;ORIGINAL SILENCER WEIGHT: KG 6.85&lt;br&gt;ZARD SILENCER WEIGHT: KG 1.9&lt;/p&gt;_x000a_&lt;p&gt;HARD INCREASE, COMPARED TO THE ORIGINAL EXHAUST SYSTEM, IN TERMS OF TORQUE AND POWER AT ANY RANGE.&lt;/p&gt;_x000a_&lt;p&gt;ASTONISHING SOUND.&lt;/p&gt;"/>
    <m/>
    <s v="EURO 3 HOMOLOGATED"/>
    <n v="42.05"/>
  </r>
  <r>
    <s v="1586059163-10305"/>
    <s v="https://shop.officineitalianezard.it/en/products/"/>
    <m/>
    <s v="https://shop.officineitalianezard.it/en/triumph-zard-exhaust/"/>
    <s v="SPEED TRIPLE 955 02/04"/>
    <s v="https://shop.officineitalianezard.it/en/triumph-speed-triple-955-02-04-exhaust/"/>
    <s v="CONICAL VERSION"/>
    <x v="66"/>
    <s v="SILENCER"/>
    <s v="ZTPH032SSR"/>
    <s v="TRIUMPH SPEED TRIPLE 955 02/04"/>
    <n v="329.02"/>
    <n v="365.57"/>
    <s v="&lt;p&gt;STEEL RACING SILENCER&lt;/p&gt;_x000a_&lt;p&gt;ORIGINAL SILENCER WEIGHT: KG 6.85&lt;br&gt;ZARD SILENCER WEIGHT: KG 1.9&lt;/p&gt;_x000a_&lt;p&gt;HARD INCREASE, COMPARED TO THE ORIGINAL EXHAUST SYSTEM, IN TERMS OF TORQUE AND POWER AT ANY RANGE.&lt;/p&gt;_x000a_&lt;p&gt;ASTONISHING SOUND.&lt;/p&gt;"/>
    <m/>
    <s v="RACING TITANIUM"/>
    <n v="216.15"/>
  </r>
  <r>
    <s v="1586059163-10306"/>
    <s v="https://shop.officineitalianezard.it/en/products/"/>
    <m/>
    <s v="https://shop.officineitalianezard.it/en/triumph-zard-exhaust/"/>
    <s v="SPEED TRIPLE 955 02/04"/>
    <s v="https://shop.officineitalianezard.it/en/triumph-speed-triple-955-02-04-exhaust/"/>
    <s v="CONICAL VERSION"/>
    <x v="66"/>
    <s v="SILENCER"/>
    <s v="ZTPH032SSR"/>
    <s v="TRIUMPH SPEED TRIPLE 955 02/04"/>
    <n v="329.02"/>
    <n v="365.57"/>
    <s v="&lt;p&gt;STEEL RACING SILENCER&lt;/p&gt;_x000a_&lt;p&gt;ORIGINAL SILENCER WEIGHT: KG 6.85&lt;br&gt;ZARD SILENCER WEIGHT: KG 1.9&lt;/p&gt;_x000a_&lt;p&gt;HARD INCREASE, COMPARED TO THE ORIGINAL EXHAUST SYSTEM, IN TERMS OF TORQUE AND POWER AT ANY RANGE.&lt;/p&gt;_x000a_&lt;p&gt;ASTONISHING SOUND.&lt;/p&gt;"/>
    <m/>
    <s v="HOMOLOGATED TITANIUM"/>
    <n v="281.8"/>
  </r>
  <r>
    <s v="1586059163-10307"/>
    <s v="https://shop.officineitalianezard.it/en/products/"/>
    <m/>
    <s v="https://shop.officineitalianezard.it/en/triumph-zard-exhaust/"/>
    <s v="SPEED TRIPLE 955 02/04"/>
    <s v="https://shop.officineitalianezard.it/en/triumph-speed-triple-955-02-04-exhaust/"/>
    <s v="CONICAL VERSION"/>
    <x v="66"/>
    <s v="SILENCER"/>
    <s v="ZTPH032SSR"/>
    <s v="TRIUMPH SPEED TRIPLE 955 02/04"/>
    <n v="329.02"/>
    <n v="365.57"/>
    <s v="&lt;p&gt;STEEL RACING SILENCER&lt;/p&gt;_x000a_&lt;p&gt;ORIGINAL SILENCER WEIGHT: KG 6.85&lt;br&gt;ZARD SILENCER WEIGHT: KG 1.9&lt;/p&gt;_x000a_&lt;p&gt;HARD INCREASE, COMPARED TO THE ORIGINAL EXHAUST SYSTEM, IN TERMS OF TORQUE AND POWER AT ANY RANGE.&lt;/p&gt;_x000a_&lt;p&gt;ASTONISHING SOUND.&lt;/p&gt;"/>
    <m/>
    <s v="BLACK COATING"/>
    <n v="77.459999999999994"/>
  </r>
  <r>
    <s v="1586059163-10308"/>
    <s v="https://shop.officineitalianezard.it/en/products/"/>
    <m/>
    <s v="https://shop.officineitalianezard.it/en/triumph-zard-exhaust/"/>
    <s v="SPEED TRIPLE 955 02/04"/>
    <s v="https://shop.officineitalianezard.it/en/triumph-speed-triple-955-02-04-exhaust/"/>
    <s v="CONICAL VERSION"/>
    <x v="66"/>
    <s v="SILENCER"/>
    <s v="ZTPH032SSR"/>
    <s v="TRIUMPH SPEED TRIPLE 955 02/04"/>
    <n v="329.02"/>
    <n v="365.57"/>
    <s v="&lt;p&gt;STEEL RACING SILENCER&lt;/p&gt;_x000a_&lt;p&gt;ORIGINAL SILENCER WEIGHT: KG 6.85&lt;br&gt;ZARD SILENCER WEIGHT: KG 1.9&lt;/p&gt;_x000a_&lt;p&gt;HARD INCREASE, COMPARED TO THE ORIGINAL EXHAUST SYSTEM, IN TERMS OF TORQUE AND POWER AT ANY RANGE.&lt;/p&gt;_x000a_&lt;p&gt;ASTONISHING SOUND.&lt;/p&gt;"/>
    <m/>
    <s v="CARBON ENDCAP"/>
    <n v="37.619999999999997"/>
  </r>
  <r>
    <s v="1586059165-10309"/>
    <s v="https://shop.officineitalianezard.it/en/products/"/>
    <m/>
    <s v="https://shop.officineitalianezard.it/en/triumph-zard-exhaust/"/>
    <s v="SPEED TRIPLE 955 02/04"/>
    <s v="https://shop.officineitalianezard.it/en/triumph-speed-triple-955-02-04-exhaust/"/>
    <s v="CONICAL VERSION"/>
    <x v="67"/>
    <s v="3&gt;1 FULL KIT"/>
    <s v="ZTPH032SKR"/>
    <s v="TRIUMPH SPEED TRIPLE 955 02/04"/>
    <n v="907.38"/>
    <n v="1008.2"/>
    <s v="&lt;p&gt;3&amp;gt;1 STEEL RACING FULL KIT&lt;/p&gt;_x000a_&lt;p&gt;ORIGINAL FULL KIT WEIGHT: KG 13&lt;br&gt;ZARD FULL KIT WEIGHT: KG 4.6&lt;/p&gt;_x000a_&lt;p&gt;HARD INCREASE, COMPARED TO THE ORIGINAL EXHAUST SYSTEM, IN TERMS OF TORQUE AND POWER AT ANY RANGE.&lt;/p&gt;_x000a_&lt;p&gt;ASTONISHING SOUND.&lt;/p&gt;"/>
    <s v="https://shop.officineitalianezard.it/contents/imgs/products/1_167-speed0204kit.jpg"/>
    <m/>
    <m/>
  </r>
  <r>
    <s v="1586059165-10310"/>
    <s v="https://shop.officineitalianezard.it/en/products/"/>
    <m/>
    <s v="https://shop.officineitalianezard.it/en/triumph-zard-exhaust/"/>
    <s v="SPEED TRIPLE 955 02/04"/>
    <s v="https://shop.officineitalianezard.it/en/triumph-speed-triple-955-02-04-exhaust/"/>
    <s v="CONICAL VERSION"/>
    <x v="67"/>
    <s v="3&gt;1 FULL KIT"/>
    <s v="ZTPH032SKR"/>
    <s v="TRIUMPH SPEED TRIPLE 955 02/04"/>
    <n v="907.38"/>
    <n v="1008.2"/>
    <s v="&lt;p&gt;3&amp;gt;1 STEEL RACING FULL KIT&lt;/p&gt;_x000a_&lt;p&gt;ORIGINAL FULL KIT WEIGHT: KG 13&lt;br&gt;ZARD FULL KIT WEIGHT: KG 4.6&lt;/p&gt;_x000a_&lt;p&gt;HARD INCREASE, COMPARED TO THE ORIGINAL EXHAUST SYSTEM, IN TERMS OF TORQUE AND POWER AT ANY RANGE.&lt;/p&gt;_x000a_&lt;p&gt;ASTONISHING SOUND.&lt;/p&gt;"/>
    <m/>
    <s v="STEEL HOMOLOGATED"/>
    <n v="30.98"/>
  </r>
  <r>
    <s v="1586059165-10311"/>
    <s v="https://shop.officineitalianezard.it/en/products/"/>
    <m/>
    <s v="https://shop.officineitalianezard.it/en/triumph-zard-exhaust/"/>
    <s v="SPEED TRIPLE 955 02/04"/>
    <s v="https://shop.officineitalianezard.it/en/triumph-speed-triple-955-02-04-exhaust/"/>
    <s v="CONICAL VERSION"/>
    <x v="67"/>
    <s v="3&gt;1 FULL KIT"/>
    <s v="ZTPH032SKR"/>
    <s v="TRIUMPH SPEED TRIPLE 955 02/04"/>
    <n v="907.38"/>
    <n v="1008.2"/>
    <s v="&lt;p&gt;3&amp;gt;1 STEEL RACING FULL KIT&lt;/p&gt;_x000a_&lt;p&gt;ORIGINAL FULL KIT WEIGHT: KG 13&lt;br&gt;ZARD FULL KIT WEIGHT: KG 4.6&lt;/p&gt;_x000a_&lt;p&gt;HARD INCREASE, COMPARED TO THE ORIGINAL EXHAUST SYSTEM, IN TERMS OF TORQUE AND POWER AT ANY RANGE.&lt;/p&gt;_x000a_&lt;p&gt;ASTONISHING SOUND.&lt;/p&gt;"/>
    <m/>
    <s v="RACING TITANIUM"/>
    <n v="770.9"/>
  </r>
  <r>
    <s v="1586059165-10312"/>
    <s v="https://shop.officineitalianezard.it/en/products/"/>
    <m/>
    <s v="https://shop.officineitalianezard.it/en/triumph-zard-exhaust/"/>
    <s v="SPEED TRIPLE 955 02/04"/>
    <s v="https://shop.officineitalianezard.it/en/triumph-speed-triple-955-02-04-exhaust/"/>
    <s v="CONICAL VERSION"/>
    <x v="67"/>
    <s v="3&gt;1 FULL KIT"/>
    <s v="ZTPH032SKR"/>
    <s v="TRIUMPH SPEED TRIPLE 955 02/04"/>
    <n v="907.38"/>
    <n v="1008.2"/>
    <s v="&lt;p&gt;3&amp;gt;1 STEEL RACING FULL KIT&lt;/p&gt;_x000a_&lt;p&gt;ORIGINAL FULL KIT WEIGHT: KG 13&lt;br&gt;ZARD FULL KIT WEIGHT: KG 4.6&lt;/p&gt;_x000a_&lt;p&gt;HARD INCREASE, COMPARED TO THE ORIGINAL EXHAUST SYSTEM, IN TERMS OF TORQUE AND POWER AT ANY RANGE.&lt;/p&gt;_x000a_&lt;p&gt;ASTONISHING SOUND.&lt;/p&gt;"/>
    <m/>
    <s v="TITANIUM HOMOLOGATED"/>
    <n v="823.28"/>
  </r>
  <r>
    <s v="1586059165-10313"/>
    <s v="https://shop.officineitalianezard.it/en/products/"/>
    <m/>
    <s v="https://shop.officineitalianezard.it/en/triumph-zard-exhaust/"/>
    <s v="SPEED TRIPLE 955 02/04"/>
    <s v="https://shop.officineitalianezard.it/en/triumph-speed-triple-955-02-04-exhaust/"/>
    <s v="CONICAL VERSION"/>
    <x v="67"/>
    <s v="3&gt;1 FULL KIT"/>
    <s v="ZTPH032SKR"/>
    <s v="TRIUMPH SPEED TRIPLE 955 02/04"/>
    <n v="907.38"/>
    <n v="1008.2"/>
    <s v="&lt;p&gt;3&amp;gt;1 STEEL RACING FULL KIT&lt;/p&gt;_x000a_&lt;p&gt;ORIGINAL FULL KIT WEIGHT: KG 13&lt;br&gt;ZARD FULL KIT WEIGHT: KG 4.6&lt;/p&gt;_x000a_&lt;p&gt;HARD INCREASE, COMPARED TO THE ORIGINAL EXHAUST SYSTEM, IN TERMS OF TORQUE AND POWER AT ANY RANGE.&lt;/p&gt;_x000a_&lt;p&gt;ASTONISHING SOUND.&lt;/p&gt;"/>
    <m/>
    <s v="BLACK COATING"/>
    <n v="169.67"/>
  </r>
  <r>
    <s v="1586059165-10314"/>
    <s v="https://shop.officineitalianezard.it/en/products/"/>
    <m/>
    <s v="https://shop.officineitalianezard.it/en/triumph-zard-exhaust/"/>
    <s v="SPEED TRIPLE 955 02/04"/>
    <s v="https://shop.officineitalianezard.it/en/triumph-speed-triple-955-02-04-exhaust/"/>
    <s v="CONICAL VERSION"/>
    <x v="67"/>
    <s v="3&gt;1 FULL KIT"/>
    <s v="ZTPH032SKR"/>
    <s v="TRIUMPH SPEED TRIPLE 955 02/04"/>
    <n v="907.38"/>
    <n v="1008.2"/>
    <s v="&lt;p&gt;3&amp;gt;1 STEEL RACING FULL KIT&lt;/p&gt;_x000a_&lt;p&gt;ORIGINAL FULL KIT WEIGHT: KG 13&lt;br&gt;ZARD FULL KIT WEIGHT: KG 4.6&lt;/p&gt;_x000a_&lt;p&gt;HARD INCREASE, COMPARED TO THE ORIGINAL EXHAUST SYSTEM, IN TERMS OF TORQUE AND POWER AT ANY RANGE.&lt;/p&gt;_x000a_&lt;p&gt;ASTONISHING SOUND.&lt;/p&gt;"/>
    <m/>
    <s v="CARBON ENDCAP"/>
    <n v="37.619999999999997"/>
  </r>
  <r>
    <s v="1586059171-10315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CONICAL VERSION"/>
    <x v="68"/>
    <s v="LOW MOUNTED SILENCER"/>
    <s v="ZTPH506SSR"/>
    <s v="TRIUMPH SPEED TRIPLE 1050 &gt; M.Y. 2011"/>
    <n v="338.61"/>
    <n v="376.23"/>
    <s v="&lt;p&gt;LOW MOUNTED INOX RACING SILENCER&lt;/p&gt;_x000a_&lt;p&gt;ORIGINAL SILENCER WEIGHT: KG 9,5&lt;br&gt;ZARD SILENCER WEIGHT: KG 2.2&lt;/p&gt;_x000a_&lt;p&gt;HARD INCREASE, COMPARED TO THE ORIGINAL EXHAUST SYSTEM, IN TERMS OF TORQUE AND POWER AT ANY RANGE (+2 HP FOR THE STREET LEGAL VERSION AND +4 HP FOR THE RACING ONE).&lt;/p&gt;_x000a_&lt;p&gt;ASTONISHING SOUND.&lt;/p&gt;_x000a_&lt;p&gt;&lt;strong&gt;THE SILENCER CAN BE FITTED ALSO ON 2016 VERSION.&lt;/strong&gt;&lt;/p&gt;"/>
    <s v="https://shop.officineitalianezard.it/contents/imgs/products/1_510-zard%20triumph%20conico.jpg"/>
    <m/>
    <m/>
  </r>
  <r>
    <s v="1586059171-10316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CONICAL VERSION"/>
    <x v="68"/>
    <s v="LOW MOUNTED SILENCER"/>
    <s v="ZTPH506SSR"/>
    <s v="TRIUMPH SPEED TRIPLE 1050 &gt; M.Y. 2011"/>
    <n v="338.61"/>
    <n v="376.23"/>
    <s v="&lt;p&gt;LOW MOUNTED INOX RACING SILENCER&lt;/p&gt;_x000a_&lt;p&gt;ORIGINAL SILENCER WEIGHT: KG 9,5&lt;br&gt;ZARD SILENCER WEIGHT: KG 2.2&lt;/p&gt;_x000a_&lt;p&gt;HARD INCREASE, COMPARED TO THE ORIGINAL EXHAUST SYSTEM, IN TERMS OF TORQUE AND POWER AT ANY RANGE (+2 HP FOR THE STREET LEGAL VERSION AND +4 HP FOR THE RACING ONE).&lt;/p&gt;_x000a_&lt;p&gt;ASTONISHING SOUND.&lt;/p&gt;_x000a_&lt;p&gt;&lt;strong&gt;THE SILENCER CAN BE FITTED ALSO ON 2016 VERSION.&lt;/strong&gt;&lt;/p&gt;"/>
    <s v="https://shop.officineitalianezard.it/contents/imgs/products/1_160-speed2011cono-2.jpg"/>
    <m/>
    <m/>
  </r>
  <r>
    <s v="1586059171-10317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CONICAL VERSION"/>
    <x v="68"/>
    <s v="LOW MOUNTED SILENCER"/>
    <s v="ZTPH506SSR"/>
    <s v="TRIUMPH SPEED TRIPLE 1050 &gt; M.Y. 2011"/>
    <n v="338.61"/>
    <n v="376.23"/>
    <s v="&lt;p&gt;LOW MOUNTED INOX RACING SILENCER&lt;/p&gt;_x000a_&lt;p&gt;ORIGINAL SILENCER WEIGHT: KG 9,5&lt;br&gt;ZARD SILENCER WEIGHT: KG 2.2&lt;/p&gt;_x000a_&lt;p&gt;HARD INCREASE, COMPARED TO THE ORIGINAL EXHAUST SYSTEM, IN TERMS OF TORQUE AND POWER AT ANY RANGE (+2 HP FOR THE STREET LEGAL VERSION AND +4 HP FOR THE RACING ONE).&lt;/p&gt;_x000a_&lt;p&gt;ASTONISHING SOUND.&lt;/p&gt;_x000a_&lt;p&gt;&lt;strong&gt;THE SILENCER CAN BE FITTED ALSO ON 2016 VERSION.&lt;/strong&gt;&lt;/p&gt;"/>
    <s v="https://shop.officineitalianezard.it/contents/imgs/products/1_161-speed2011cono-4.jpg"/>
    <m/>
    <m/>
  </r>
  <r>
    <s v="1586059171-10318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CONICAL VERSION"/>
    <x v="68"/>
    <s v="LOW MOUNTED SILENCER"/>
    <s v="ZTPH506SSR"/>
    <s v="TRIUMPH SPEED TRIPLE 1050 &gt; M.Y. 2011"/>
    <n v="338.61"/>
    <n v="376.23"/>
    <s v="&lt;p&gt;LOW MOUNTED INOX RACING SILENCER&lt;/p&gt;_x000a_&lt;p&gt;ORIGINAL SILENCER WEIGHT: KG 9,5&lt;br&gt;ZARD SILENCER WEIGHT: KG 2.2&lt;/p&gt;_x000a_&lt;p&gt;HARD INCREASE, COMPARED TO THE ORIGINAL EXHAUST SYSTEM, IN TERMS OF TORQUE AND POWER AT ANY RANGE (+2 HP FOR THE STREET LEGAL VERSION AND +4 HP FOR THE RACING ONE).&lt;/p&gt;_x000a_&lt;p&gt;ASTONISHING SOUND.&lt;/p&gt;_x000a_&lt;p&gt;&lt;strong&gt;THE SILENCER CAN BE FITTED ALSO ON 2016 VERSION.&lt;/strong&gt;&lt;/p&gt;"/>
    <s v="https://shop.officineitalianezard.it/contents/imgs/products/1_159-speed2011cono-1.jpg"/>
    <m/>
    <m/>
  </r>
  <r>
    <s v="1586059171-10319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CONICAL VERSION"/>
    <x v="68"/>
    <s v="LOW MOUNTED SILENCER"/>
    <s v="ZTPH506SSR"/>
    <s v="TRIUMPH SPEED TRIPLE 1050 &gt; M.Y. 2011"/>
    <n v="338.61"/>
    <n v="376.23"/>
    <s v="&lt;p&gt;LOW MOUNTED INOX RACING SILENCER&lt;/p&gt;_x000a_&lt;p&gt;ORIGINAL SILENCER WEIGHT: KG 9,5&lt;br&gt;ZARD SILENCER WEIGHT: KG 2.2&lt;/p&gt;_x000a_&lt;p&gt;HARD INCREASE, COMPARED TO THE ORIGINAL EXHAUST SYSTEM, IN TERMS OF TORQUE AND POWER AT ANY RANGE (+2 HP FOR THE STREET LEGAL VERSION AND +4 HP FOR THE RACING ONE).&lt;/p&gt;_x000a_&lt;p&gt;ASTONISHING SOUND.&lt;/p&gt;_x000a_&lt;p&gt;&lt;strong&gt;THE SILENCER CAN BE FITTED ALSO ON 2016 VERSION.&lt;/strong&gt;&lt;/p&gt;"/>
    <m/>
    <s v="EURO 3 HOMOLOGATED"/>
    <n v="42.05"/>
  </r>
  <r>
    <s v="1586059171-10320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CONICAL VERSION"/>
    <x v="68"/>
    <s v="LOW MOUNTED SILENCER"/>
    <s v="ZTPH506SSR"/>
    <s v="TRIUMPH SPEED TRIPLE 1050 &gt; M.Y. 2011"/>
    <n v="338.61"/>
    <n v="376.23"/>
    <s v="&lt;p&gt;LOW MOUNTED INOX RACING SILENCER&lt;/p&gt;_x000a_&lt;p&gt;ORIGINAL SILENCER WEIGHT: KG 9,5&lt;br&gt;ZARD SILENCER WEIGHT: KG 2.2&lt;/p&gt;_x000a_&lt;p&gt;HARD INCREASE, COMPARED TO THE ORIGINAL EXHAUST SYSTEM, IN TERMS OF TORQUE AND POWER AT ANY RANGE (+2 HP FOR THE STREET LEGAL VERSION AND +4 HP FOR THE RACING ONE).&lt;/p&gt;_x000a_&lt;p&gt;ASTONISHING SOUND.&lt;/p&gt;_x000a_&lt;p&gt;&lt;strong&gt;THE SILENCER CAN BE FITTED ALSO ON 2016 VERSION.&lt;/strong&gt;&lt;/p&gt;"/>
    <m/>
    <s v="TITANIUM RACING"/>
    <n v="221.31"/>
  </r>
  <r>
    <s v="1586059171-10321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CONICAL VERSION"/>
    <x v="68"/>
    <s v="LOW MOUNTED SILENCER"/>
    <s v="ZTPH506SSR"/>
    <s v="TRIUMPH SPEED TRIPLE 1050 &gt; M.Y. 2011"/>
    <n v="338.61"/>
    <n v="376.23"/>
    <s v="&lt;p&gt;LOW MOUNTED INOX RACING SILENCER&lt;/p&gt;_x000a_&lt;p&gt;ORIGINAL SILENCER WEIGHT: KG 9,5&lt;br&gt;ZARD SILENCER WEIGHT: KG 2.2&lt;/p&gt;_x000a_&lt;p&gt;HARD INCREASE, COMPARED TO THE ORIGINAL EXHAUST SYSTEM, IN TERMS OF TORQUE AND POWER AT ANY RANGE (+2 HP FOR THE STREET LEGAL VERSION AND +4 HP FOR THE RACING ONE).&lt;/p&gt;_x000a_&lt;p&gt;ASTONISHING SOUND.&lt;/p&gt;_x000a_&lt;p&gt;&lt;strong&gt;THE SILENCER CAN BE FITTED ALSO ON 2016 VERSION.&lt;/strong&gt;&lt;/p&gt;"/>
    <m/>
    <s v="TITANIUM HOMOLOGATED"/>
    <n v="285.49"/>
  </r>
  <r>
    <s v="1586059171-10322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CONICAL VERSION"/>
    <x v="68"/>
    <s v="LOW MOUNTED SILENCER"/>
    <s v="ZTPH506SSR"/>
    <s v="TRIUMPH SPEED TRIPLE 1050 &gt; M.Y. 2011"/>
    <n v="338.61"/>
    <n v="376.23"/>
    <s v="&lt;p&gt;LOW MOUNTED INOX RACING SILENCER&lt;/p&gt;_x000a_&lt;p&gt;ORIGINAL SILENCER WEIGHT: KG 9,5&lt;br&gt;ZARD SILENCER WEIGHT: KG 2.2&lt;/p&gt;_x000a_&lt;p&gt;HARD INCREASE, COMPARED TO THE ORIGINAL EXHAUST SYSTEM, IN TERMS OF TORQUE AND POWER AT ANY RANGE (+2 HP FOR THE STREET LEGAL VERSION AND +4 HP FOR THE RACING ONE).&lt;/p&gt;_x000a_&lt;p&gt;ASTONISHING SOUND.&lt;/p&gt;_x000a_&lt;p&gt;&lt;strong&gt;THE SILENCER CAN BE FITTED ALSO ON 2016 VERSION.&lt;/strong&gt;&lt;/p&gt;"/>
    <m/>
    <s v="BLACK COATING"/>
    <n v="77.459999999999994"/>
  </r>
  <r>
    <s v="1586059171-10323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CONICAL VERSION"/>
    <x v="68"/>
    <s v="LOW MOUNTED SILENCER"/>
    <s v="ZTPH506SSR"/>
    <s v="TRIUMPH SPEED TRIPLE 1050 &gt; M.Y. 2011"/>
    <n v="338.61"/>
    <n v="376.23"/>
    <s v="&lt;p&gt;LOW MOUNTED INOX RACING SILENCER&lt;/p&gt;_x000a_&lt;p&gt;ORIGINAL SILENCER WEIGHT: KG 9,5&lt;br&gt;ZARD SILENCER WEIGHT: KG 2.2&lt;/p&gt;_x000a_&lt;p&gt;HARD INCREASE, COMPARED TO THE ORIGINAL EXHAUST SYSTEM, IN TERMS OF TORQUE AND POWER AT ANY RANGE (+2 HP FOR THE STREET LEGAL VERSION AND +4 HP FOR THE RACING ONE).&lt;/p&gt;_x000a_&lt;p&gt;ASTONISHING SOUND.&lt;/p&gt;_x000a_&lt;p&gt;&lt;strong&gt;THE SILENCER CAN BE FITTED ALSO ON 2016 VERSION.&lt;/strong&gt;&lt;/p&gt;"/>
    <m/>
    <s v="CARBON ENDCAP"/>
    <n v="37.619999999999997"/>
  </r>
  <r>
    <s v="1586059173-10324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PENTA VERSION"/>
    <x v="69"/>
    <s v="HIGH MOUNTED SILENCERS"/>
    <s v="ZTPH510ASR"/>
    <s v="TRIUMPH SPEED TRIPLE 1050 &gt; M.Y. 2011"/>
    <n v="523.03"/>
    <n v="581.15"/>
    <s v="&lt;p&gt;HIGHT MOUNTED STEEL-BLACK ALUMINIUM RACING SILENCERS&lt;/p&gt;_x000a_&lt;p&gt;ORIGINAL FULL KIT WEIGHT: KG 9.5&lt;br&gt;ZARD FULL KIT WEIGHT: KG 3.6&lt;/p&gt;_x000a_&lt;p&gt;HARD INCREASE, COMPARED TO THE ORIGINAL EXHAUST SYSTEM, IN TERMS OF TORQUE AND POWER AT ANY RANGE (+2 HP FOR THE STREET LEGAL VERSION AND +4 HP FOR THE RACING ONE).&lt;/p&gt;_x000a_&lt;p&gt;ASTONISHING SOUND.&lt;/p&gt;"/>
    <s v="https://shop.officineitalianezard.it/contents/imgs/products/1_165-2.jpg"/>
    <m/>
    <m/>
  </r>
  <r>
    <s v="1586059173-10325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PENTA VERSION"/>
    <x v="69"/>
    <s v="HIGH MOUNTED SILENCERS"/>
    <s v="ZTPH510ASR"/>
    <s v="TRIUMPH SPEED TRIPLE 1050 &gt; M.Y. 2011"/>
    <n v="523.03"/>
    <n v="581.15"/>
    <s v="&lt;p&gt;HIGHT MOUNTED STEEL-BLACK ALUMINIUM RACING SILENCERS&lt;/p&gt;_x000a_&lt;p&gt;ORIGINAL FULL KIT WEIGHT: KG 9.5&lt;br&gt;ZARD FULL KIT WEIGHT: KG 3.6&lt;/p&gt;_x000a_&lt;p&gt;HARD INCREASE, COMPARED TO THE ORIGINAL EXHAUST SYSTEM, IN TERMS OF TORQUE AND POWER AT ANY RANGE (+2 HP FOR THE STREET LEGAL VERSION AND +4 HP FOR THE RACING ONE).&lt;/p&gt;_x000a_&lt;p&gt;ASTONISHING SOUND.&lt;/p&gt;"/>
    <s v="https://shop.officineitalianezard.it/contents/imgs/products/1_166-1.jpg"/>
    <m/>
    <m/>
  </r>
  <r>
    <s v="1586059173-10326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PENTA VERSION"/>
    <x v="69"/>
    <s v="HIGH MOUNTED SILENCERS"/>
    <s v="ZTPH510ASR"/>
    <s v="TRIUMPH SPEED TRIPLE 1050 &gt; M.Y. 2011"/>
    <n v="523.03"/>
    <n v="581.15"/>
    <s v="&lt;p&gt;HIGHT MOUNTED STEEL-BLACK ALUMINIUM RACING SILENCERS&lt;/p&gt;_x000a_&lt;p&gt;ORIGINAL FULL KIT WEIGHT: KG 9.5&lt;br&gt;ZARD FULL KIT WEIGHT: KG 3.6&lt;/p&gt;_x000a_&lt;p&gt;HARD INCREASE, COMPARED TO THE ORIGINAL EXHAUST SYSTEM, IN TERMS OF TORQUE AND POWER AT ANY RANGE (+2 HP FOR THE STREET LEGAL VERSION AND +4 HP FOR THE RACING ONE).&lt;/p&gt;_x000a_&lt;p&gt;ASTONISHING SOUND.&lt;/p&gt;"/>
    <m/>
    <s v="CARBON RACING ONLY"/>
    <n v="131.31"/>
  </r>
  <r>
    <s v="1586059173-10327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PENTA VERSION"/>
    <x v="69"/>
    <s v="HIGH MOUNTED SILENCERS"/>
    <s v="ZTPH510ASR"/>
    <s v="TRIUMPH SPEED TRIPLE 1050 &gt; M.Y. 2011"/>
    <n v="523.03"/>
    <n v="581.15"/>
    <s v="&lt;p&gt;HIGHT MOUNTED STEEL-BLACK ALUMINIUM RACING SILENCERS&lt;/p&gt;_x000a_&lt;p&gt;ORIGINAL FULL KIT WEIGHT: KG 9.5&lt;br&gt;ZARD FULL KIT WEIGHT: KG 3.6&lt;/p&gt;_x000a_&lt;p&gt;HARD INCREASE, COMPARED TO THE ORIGINAL EXHAUST SYSTEM, IN TERMS OF TORQUE AND POWER AT ANY RANGE (+2 HP FOR THE STREET LEGAL VERSION AND +4 HP FOR THE RACING ONE).&lt;/p&gt;_x000a_&lt;p&gt;ASTONISHING SOUND.&lt;/p&gt;"/>
    <m/>
    <s v="HOMOLOGATED ALU."/>
    <n v="72.3"/>
  </r>
  <r>
    <s v="1586059173-10328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PENTA VERSION"/>
    <x v="69"/>
    <s v="HIGH MOUNTED SILENCERS"/>
    <s v="ZTPH510ASR"/>
    <s v="TRIUMPH SPEED TRIPLE 1050 &gt; M.Y. 2011"/>
    <n v="523.03"/>
    <n v="581.15"/>
    <s v="&lt;p&gt;HIGHT MOUNTED STEEL-BLACK ALUMINIUM RACING SILENCERS&lt;/p&gt;_x000a_&lt;p&gt;ORIGINAL FULL KIT WEIGHT: KG 9.5&lt;br&gt;ZARD FULL KIT WEIGHT: KG 3.6&lt;/p&gt;_x000a_&lt;p&gt;HARD INCREASE, COMPARED TO THE ORIGINAL EXHAUST SYSTEM, IN TERMS OF TORQUE AND POWER AT ANY RANGE (+2 HP FOR THE STREET LEGAL VERSION AND +4 HP FOR THE RACING ONE).&lt;/p&gt;_x000a_&lt;p&gt;ASTONISHING SOUND.&lt;/p&gt;"/>
    <m/>
    <s v="SILVER"/>
    <n v="77.459999999999994"/>
  </r>
  <r>
    <s v="1586059173-10329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PENTA VERSION"/>
    <x v="69"/>
    <s v="HIGH MOUNTED SILENCERS"/>
    <s v="ZTPH510ASR"/>
    <s v="TRIUMPH SPEED TRIPLE 1050 &gt; M.Y. 2011"/>
    <n v="523.03"/>
    <n v="581.15"/>
    <s v="&lt;p&gt;HIGHT MOUNTED STEEL-BLACK ALUMINIUM RACING SILENCERS&lt;/p&gt;_x000a_&lt;p&gt;ORIGINAL FULL KIT WEIGHT: KG 9.5&lt;br&gt;ZARD FULL KIT WEIGHT: KG 3.6&lt;/p&gt;_x000a_&lt;p&gt;HARD INCREASE, COMPARED TO THE ORIGINAL EXHAUST SYSTEM, IN TERMS OF TORQUE AND POWER AT ANY RANGE (+2 HP FOR THE STREET LEGAL VERSION AND +4 HP FOR THE RACING ONE).&lt;/p&gt;_x000a_&lt;p&gt;ASTONISHING SOUND.&lt;/p&gt;"/>
    <m/>
    <s v="CARBON 'PENTA' ENDCAP"/>
    <n v="75.25"/>
  </r>
  <r>
    <s v="1586059176-10330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CONICAL VERSION"/>
    <x v="70"/>
    <s v="3&gt;1 FULL KIT"/>
    <s v="ZTPH506SKR"/>
    <s v="TRIUMPH SPEED TRIPLE 1050 &gt; M.Y. 2011"/>
    <n v="925.08"/>
    <n v="1027.8699999999999"/>
    <s v="&lt;p&gt;3&amp;gt;1 STEEL RACING FULL KIT&lt;/p&gt;_x000a_&lt;p&gt;ORIGINAL FULL KIT WEIGHT: KG 13&lt;br&gt;ZARD FULL KIT WEIGHT: KG 5.2&lt;/p&gt;_x000a_&lt;p&gt;HARD INCREASE, COMPARED TO THE ORIGINAL EXHAUST SYSTEM, IN TERMS OF TORQUE AND POWER AT ANY RANGE (+2 HP FOR THE STREET LEGAL VERSION AND +5.5 HP FOR THE RACING ONE).&lt;/p&gt;_x000a_&lt;p&gt;ASTONISHING SOUND.&lt;/p&gt;"/>
    <s v="https://shop.officineitalianezard.it/contents/imgs/products/1_1040-2_510-zard%20triumph%20conico.jpg"/>
    <m/>
    <m/>
  </r>
  <r>
    <s v="1586059176-10331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CONICAL VERSION"/>
    <x v="70"/>
    <s v="3&gt;1 FULL KIT"/>
    <s v="ZTPH506SKR"/>
    <s v="TRIUMPH SPEED TRIPLE 1050 &gt; M.Y. 2011"/>
    <n v="925.08"/>
    <n v="1027.8699999999999"/>
    <s v="&lt;p&gt;3&amp;gt;1 STEEL RACING FULL KIT&lt;/p&gt;_x000a_&lt;p&gt;ORIGINAL FULL KIT WEIGHT: KG 13&lt;br&gt;ZARD FULL KIT WEIGHT: KG 5.2&lt;/p&gt;_x000a_&lt;p&gt;HARD INCREASE, COMPARED TO THE ORIGINAL EXHAUST SYSTEM, IN TERMS OF TORQUE AND POWER AT ANY RANGE (+2 HP FOR THE STREET LEGAL VERSION AND +5.5 HP FOR THE RACING ONE).&lt;/p&gt;_x000a_&lt;p&gt;ASTONISHING SOUND.&lt;/p&gt;"/>
    <m/>
    <s v="HOMOLOGATED INOX"/>
    <n v="123.2"/>
  </r>
  <r>
    <s v="1586059176-10332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CONICAL VERSION"/>
    <x v="70"/>
    <s v="3&gt;1 FULL KIT"/>
    <s v="ZTPH506SKR"/>
    <s v="TRIUMPH SPEED TRIPLE 1050 &gt; M.Y. 2011"/>
    <n v="925.08"/>
    <n v="1027.8699999999999"/>
    <s v="&lt;p&gt;3&amp;gt;1 STEEL RACING FULL KIT&lt;/p&gt;_x000a_&lt;p&gt;ORIGINAL FULL KIT WEIGHT: KG 13&lt;br&gt;ZARD FULL KIT WEIGHT: KG 5.2&lt;/p&gt;_x000a_&lt;p&gt;HARD INCREASE, COMPARED TO THE ORIGINAL EXHAUST SYSTEM, IN TERMS OF TORQUE AND POWER AT ANY RANGE (+2 HP FOR THE STREET LEGAL VERSION AND +5.5 HP FOR THE RACING ONE).&lt;/p&gt;_x000a_&lt;p&gt;ASTONISHING SOUND.&lt;/p&gt;"/>
    <m/>
    <s v="STEEL-TITANIUM RACING"/>
    <n v="227.21"/>
  </r>
  <r>
    <s v="1586059176-10333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CONICAL VERSION"/>
    <x v="70"/>
    <s v="3&gt;1 FULL KIT"/>
    <s v="ZTPH506SKR"/>
    <s v="TRIUMPH SPEED TRIPLE 1050 &gt; M.Y. 2011"/>
    <n v="925.08"/>
    <n v="1027.8699999999999"/>
    <s v="&lt;p&gt;3&amp;gt;1 STEEL RACING FULL KIT&lt;/p&gt;_x000a_&lt;p&gt;ORIGINAL FULL KIT WEIGHT: KG 13&lt;br&gt;ZARD FULL KIT WEIGHT: KG 5.2&lt;/p&gt;_x000a_&lt;p&gt;HARD INCREASE, COMPARED TO THE ORIGINAL EXHAUST SYSTEM, IN TERMS OF TORQUE AND POWER AT ANY RANGE (+2 HP FOR THE STREET LEGAL VERSION AND +5.5 HP FOR THE RACING ONE).&lt;/p&gt;_x000a_&lt;p&gt;ASTONISHING SOUND.&lt;/p&gt;"/>
    <m/>
    <s v="STEEL-TITANIUM HOMOLOGATED"/>
    <n v="335.66"/>
  </r>
  <r>
    <s v="1586059176-10334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CONICAL VERSION"/>
    <x v="70"/>
    <s v="3&gt;1 FULL KIT"/>
    <s v="ZTPH506SKR"/>
    <s v="TRIUMPH SPEED TRIPLE 1050 &gt; M.Y. 2011"/>
    <n v="925.08"/>
    <n v="1027.8699999999999"/>
    <s v="&lt;p&gt;3&amp;gt;1 STEEL RACING FULL KIT&lt;/p&gt;_x000a_&lt;p&gt;ORIGINAL FULL KIT WEIGHT: KG 13&lt;br&gt;ZARD FULL KIT WEIGHT: KG 5.2&lt;/p&gt;_x000a_&lt;p&gt;HARD INCREASE, COMPARED TO THE ORIGINAL EXHAUST SYSTEM, IN TERMS OF TORQUE AND POWER AT ANY RANGE (+2 HP FOR THE STREET LEGAL VERSION AND +5.5 HP FOR THE RACING ONE).&lt;/p&gt;_x000a_&lt;p&gt;ASTONISHING SOUND.&lt;/p&gt;"/>
    <m/>
    <s v="FULL TITANIUM RACING"/>
    <n v="801.89"/>
  </r>
  <r>
    <s v="1586059176-10335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CONICAL VERSION"/>
    <x v="70"/>
    <s v="3&gt;1 FULL KIT"/>
    <s v="ZTPH506SKR"/>
    <s v="TRIUMPH SPEED TRIPLE 1050 &gt; M.Y. 2011"/>
    <n v="925.08"/>
    <n v="1027.8699999999999"/>
    <s v="&lt;p&gt;3&amp;gt;1 STEEL RACING FULL KIT&lt;/p&gt;_x000a_&lt;p&gt;ORIGINAL FULL KIT WEIGHT: KG 13&lt;br&gt;ZARD FULL KIT WEIGHT: KG 5.2&lt;/p&gt;_x000a_&lt;p&gt;HARD INCREASE, COMPARED TO THE ORIGINAL EXHAUST SYSTEM, IN TERMS OF TORQUE AND POWER AT ANY RANGE (+2 HP FOR THE STREET LEGAL VERSION AND +5.5 HP FOR THE RACING ONE).&lt;/p&gt;_x000a_&lt;p&gt;ASTONISHING SOUND.&lt;/p&gt;"/>
    <m/>
    <s v="FULL TITANIUM HOMOLOGATED"/>
    <n v="937.62"/>
  </r>
  <r>
    <s v="1586059176-10336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CONICAL VERSION"/>
    <x v="70"/>
    <s v="3&gt;1 FULL KIT"/>
    <s v="ZTPH506SKR"/>
    <s v="TRIUMPH SPEED TRIPLE 1050 &gt; M.Y. 2011"/>
    <n v="925.08"/>
    <n v="1027.8699999999999"/>
    <s v="&lt;p&gt;3&amp;gt;1 STEEL RACING FULL KIT&lt;/p&gt;_x000a_&lt;p&gt;ORIGINAL FULL KIT WEIGHT: KG 13&lt;br&gt;ZARD FULL KIT WEIGHT: KG 5.2&lt;/p&gt;_x000a_&lt;p&gt;HARD INCREASE, COMPARED TO THE ORIGINAL EXHAUST SYSTEM, IN TERMS OF TORQUE AND POWER AT ANY RANGE (+2 HP FOR THE STREET LEGAL VERSION AND +5.5 HP FOR THE RACING ONE).&lt;/p&gt;_x000a_&lt;p&gt;ASTONISHING SOUND.&lt;/p&gt;"/>
    <m/>
    <s v="BLACK COATING"/>
    <n v="169.67"/>
  </r>
  <r>
    <s v="1586059176-10337"/>
    <s v="https://shop.officineitalianezard.it/en/products/"/>
    <m/>
    <s v="https://shop.officineitalianezard.it/en/triumph-zard-exhaust/"/>
    <s v="SPEED TRIPLE 1050 &gt; M.Y. 2011"/>
    <s v="https://shop.officineitalianezard.it/en/triumph-speed-triple-1050-m-y-2011-exhaust/"/>
    <s v="CONICAL VERSION"/>
    <x v="70"/>
    <s v="3&gt;1 FULL KIT"/>
    <s v="ZTPH506SKR"/>
    <s v="TRIUMPH SPEED TRIPLE 1050 &gt; M.Y. 2011"/>
    <n v="925.08"/>
    <n v="1027.8699999999999"/>
    <s v="&lt;p&gt;3&amp;gt;1 STEEL RACING FULL KIT&lt;/p&gt;_x000a_&lt;p&gt;ORIGINAL FULL KIT WEIGHT: KG 13&lt;br&gt;ZARD FULL KIT WEIGHT: KG 5.2&lt;/p&gt;_x000a_&lt;p&gt;HARD INCREASE, COMPARED TO THE ORIGINAL EXHAUST SYSTEM, IN TERMS OF TORQUE AND POWER AT ANY RANGE (+2 HP FOR THE STREET LEGAL VERSION AND +5.5 HP FOR THE RACING ONE).&lt;/p&gt;_x000a_&lt;p&gt;ASTONISHING SOUND.&lt;/p&gt;"/>
    <m/>
    <s v="CARBON ENDCAP"/>
    <n v="37.619999999999997"/>
  </r>
  <r>
    <s v="1586059182-10338"/>
    <s v="https://shop.officineitalianezard.it/en/products/"/>
    <m/>
    <s v="https://shop.officineitalianezard.it/en/triumph-zard-exhaust/"/>
    <s v="SPEED TRIPLE 1050 M.Y. 07-10"/>
    <s v="https://shop.officineitalianezard.it/en/triumph-speed-triple-1050-m-y-07-10/"/>
    <s v="CONICAL VERSION"/>
    <x v="71"/>
    <s v="SILENCER"/>
    <s v="ZTPH038SSR"/>
    <s v="TRIUMPH SPEED TRIPLE 1050 M.Y. 07-10"/>
    <n v="329.02"/>
    <n v="365.57"/>
    <s v="&lt;p&gt;STEEL SILENCER INOX RACING&lt;/p&gt;_x000a_&lt;p&gt;ORIGINAL SILENCER WEIGHT: KG 9,5&lt;br&gt;ZARD SILENCER WEIGHT: KG 1,6&lt;/p&gt;_x000a_&lt;p&gt;HARD INCREASE IN TERMS OF TORQUE AND POWER AT ANY RANGE.&lt;/p&gt;_x000a_&lt;p&gt;ASTONISHING SOUND.&lt;/p&gt;"/>
    <s v="https://shop.officineitalianezard.it/contents/imgs/products/1_509-2_152-speed07-10kitbianco2.jpg"/>
    <m/>
    <m/>
  </r>
  <r>
    <s v="1586059182-10339"/>
    <s v="https://shop.officineitalianezard.it/en/products/"/>
    <m/>
    <s v="https://shop.officineitalianezard.it/en/triumph-zard-exhaust/"/>
    <s v="SPEED TRIPLE 1050 M.Y. 07-10"/>
    <s v="https://shop.officineitalianezard.it/en/triumph-speed-triple-1050-m-y-07-10/"/>
    <s v="CONICAL VERSION"/>
    <x v="71"/>
    <s v="SILENCER"/>
    <s v="ZTPH038SSR"/>
    <s v="TRIUMPH SPEED TRIPLE 1050 M.Y. 07-10"/>
    <n v="329.02"/>
    <n v="365.57"/>
    <s v="&lt;p&gt;STEEL SILENCER INOX RACING&lt;/p&gt;_x000a_&lt;p&gt;ORIGINAL SILENCER WEIGHT: KG 9,5&lt;br&gt;ZARD SILENCER WEIGHT: KG 1,6&lt;/p&gt;_x000a_&lt;p&gt;HARD INCREASE IN TERMS OF TORQUE AND POWER AT ANY RANGE.&lt;/p&gt;_x000a_&lt;p&gt;ASTONISHING SOUND.&lt;/p&gt;"/>
    <m/>
    <s v="CATALYSED"/>
    <n v="136.47999999999999"/>
  </r>
  <r>
    <s v="1586059182-10340"/>
    <s v="https://shop.officineitalianezard.it/en/products/"/>
    <m/>
    <s v="https://shop.officineitalianezard.it/en/triumph-zard-exhaust/"/>
    <s v="SPEED TRIPLE 1050 M.Y. 07-10"/>
    <s v="https://shop.officineitalianezard.it/en/triumph-speed-triple-1050-m-y-07-10/"/>
    <s v="CONICAL VERSION"/>
    <x v="71"/>
    <s v="SILENCER"/>
    <s v="ZTPH038SSR"/>
    <s v="TRIUMPH SPEED TRIPLE 1050 M.Y. 07-10"/>
    <n v="329.02"/>
    <n v="365.57"/>
    <s v="&lt;p&gt;STEEL SILENCER INOX RACING&lt;/p&gt;_x000a_&lt;p&gt;ORIGINAL SILENCER WEIGHT: KG 9,5&lt;br&gt;ZARD SILENCER WEIGHT: KG 1,6&lt;/p&gt;_x000a_&lt;p&gt;HARD INCREASE IN TERMS OF TORQUE AND POWER AT ANY RANGE.&lt;/p&gt;_x000a_&lt;p&gt;ASTONISHING SOUND.&lt;/p&gt;"/>
    <m/>
    <s v="FULL TITANIUM RACING"/>
    <n v="216.89"/>
  </r>
  <r>
    <s v="1586059182-10341"/>
    <s v="https://shop.officineitalianezard.it/en/products/"/>
    <m/>
    <s v="https://shop.officineitalianezard.it/en/triumph-zard-exhaust/"/>
    <s v="SPEED TRIPLE 1050 M.Y. 07-10"/>
    <s v="https://shop.officineitalianezard.it/en/triumph-speed-triple-1050-m-y-07-10/"/>
    <s v="CONICAL VERSION"/>
    <x v="71"/>
    <s v="SILENCER"/>
    <s v="ZTPH038SSR"/>
    <s v="TRIUMPH SPEED TRIPLE 1050 M.Y. 07-10"/>
    <n v="329.02"/>
    <n v="365.57"/>
    <s v="&lt;p&gt;STEEL SILENCER INOX RACING&lt;/p&gt;_x000a_&lt;p&gt;ORIGINAL SILENCER WEIGHT: KG 9,5&lt;br&gt;ZARD SILENCER WEIGHT: KG 1,6&lt;/p&gt;_x000a_&lt;p&gt;HARD INCREASE IN TERMS OF TORQUE AND POWER AT ANY RANGE.&lt;/p&gt;_x000a_&lt;p&gt;ASTONISHING SOUND.&lt;/p&gt;"/>
    <m/>
    <s v="FULL TITANIUM CATALYSED"/>
    <n v="385.82"/>
  </r>
  <r>
    <s v="1586059182-10342"/>
    <s v="https://shop.officineitalianezard.it/en/products/"/>
    <m/>
    <s v="https://shop.officineitalianezard.it/en/triumph-zard-exhaust/"/>
    <s v="SPEED TRIPLE 1050 M.Y. 07-10"/>
    <s v="https://shop.officineitalianezard.it/en/triumph-speed-triple-1050-m-y-07-10/"/>
    <s v="CONICAL VERSION"/>
    <x v="71"/>
    <s v="SILENCER"/>
    <s v="ZTPH038SSR"/>
    <s v="TRIUMPH SPEED TRIPLE 1050 M.Y. 07-10"/>
    <n v="329.02"/>
    <n v="365.57"/>
    <s v="&lt;p&gt;STEEL SILENCER INOX RACING&lt;/p&gt;_x000a_&lt;p&gt;ORIGINAL SILENCER WEIGHT: KG 9,5&lt;br&gt;ZARD SILENCER WEIGHT: KG 1,6&lt;/p&gt;_x000a_&lt;p&gt;HARD INCREASE IN TERMS OF TORQUE AND POWER AT ANY RANGE.&lt;/p&gt;_x000a_&lt;p&gt;ASTONISHING SOUND.&lt;/p&gt;"/>
    <m/>
    <s v="BLACK COATING"/>
    <n v="77.459999999999994"/>
  </r>
  <r>
    <s v="1586059182-10343"/>
    <s v="https://shop.officineitalianezard.it/en/products/"/>
    <m/>
    <s v="https://shop.officineitalianezard.it/en/triumph-zard-exhaust/"/>
    <s v="SPEED TRIPLE 1050 M.Y. 07-10"/>
    <s v="https://shop.officineitalianezard.it/en/triumph-speed-triple-1050-m-y-07-10/"/>
    <s v="CONICAL VERSION"/>
    <x v="71"/>
    <s v="SILENCER"/>
    <s v="ZTPH038SSR"/>
    <s v="TRIUMPH SPEED TRIPLE 1050 M.Y. 07-10"/>
    <n v="329.02"/>
    <n v="365.57"/>
    <s v="&lt;p&gt;STEEL SILENCER INOX RACING&lt;/p&gt;_x000a_&lt;p&gt;ORIGINAL SILENCER WEIGHT: KG 9,5&lt;br&gt;ZARD SILENCER WEIGHT: KG 1,6&lt;/p&gt;_x000a_&lt;p&gt;HARD INCREASE IN TERMS OF TORQUE AND POWER AT ANY RANGE.&lt;/p&gt;_x000a_&lt;p&gt;ASTONISHING SOUND.&lt;/p&gt;"/>
    <m/>
    <s v="CARBON ENDCAP"/>
    <n v="37.619999999999997"/>
  </r>
  <r>
    <s v="1586059184-10344"/>
    <s v="https://shop.officineitalianezard.it/en/products/"/>
    <m/>
    <s v="https://shop.officineitalianezard.it/en/triumph-zard-exhaust/"/>
    <s v="SPEED TRIPLE 1050 M.Y. 07-10"/>
    <s v="https://shop.officineitalianezard.it/en/triumph-speed-triple-1050-m-y-07-10/"/>
    <s v="CONICAL VERSION"/>
    <x v="72"/>
    <s v="3&gt;1 FULL KIT"/>
    <s v="ZTPH038SKR"/>
    <s v="TRIUMPH SPEED TRIPLE 1050 M.Y. 07-10"/>
    <n v="907.38"/>
    <n v="1008.2"/>
    <s v="&lt;p&gt;3&amp;gt;1 STEEL RACING FULL KIT&lt;/p&gt;_x000a_&lt;p&gt;ORIGINAL FULL KIT WEIGHT: KG 13.2&lt;br&gt;ZARD RACING FULL KIT WEIGHT: KG 4.6&lt;br&gt;ZARD HOMOLOGATED FULL KIT WEIGHT: KG 5.2&lt;/p&gt;_x000a_&lt;p&gt;HARD INCREASE IN TERMS OF TORQUE AND POWER AT ANY RANGE.&lt;br&gt;ASTONISHING SOUND.&lt;/p&gt;"/>
    <s v="https://shop.officineitalianezard.it/contents/imgs/products/1_154-triumph-speedtriple1050-corto-lato-dx-2_rid_new.jpg"/>
    <m/>
    <m/>
  </r>
  <r>
    <s v="1586059184-10345"/>
    <s v="https://shop.officineitalianezard.it/en/products/"/>
    <m/>
    <s v="https://shop.officineitalianezard.it/en/triumph-zard-exhaust/"/>
    <s v="SPEED TRIPLE 1050 M.Y. 07-10"/>
    <s v="https://shop.officineitalianezard.it/en/triumph-speed-triple-1050-m-y-07-10/"/>
    <s v="CONICAL VERSION"/>
    <x v="72"/>
    <s v="3&gt;1 FULL KIT"/>
    <s v="ZTPH038SKR"/>
    <s v="TRIUMPH SPEED TRIPLE 1050 M.Y. 07-10"/>
    <n v="907.38"/>
    <n v="1008.2"/>
    <s v="&lt;p&gt;3&amp;gt;1 STEEL RACING FULL KIT&lt;/p&gt;_x000a_&lt;p&gt;ORIGINAL FULL KIT WEIGHT: KG 13.2&lt;br&gt;ZARD RACING FULL KIT WEIGHT: KG 4.6&lt;br&gt;ZARD HOMOLOGATED FULL KIT WEIGHT: KG 5.2&lt;/p&gt;_x000a_&lt;p&gt;HARD INCREASE IN TERMS OF TORQUE AND POWER AT ANY RANGE.&lt;br&gt;ASTONISHING SOUND.&lt;/p&gt;"/>
    <s v="https://shop.officineitalianezard.it/contents/imgs/products/1_152-speed07-10kitbianco2.jpg"/>
    <m/>
    <m/>
  </r>
  <r>
    <s v="1586059184-10346"/>
    <s v="https://shop.officineitalianezard.it/en/products/"/>
    <m/>
    <s v="https://shop.officineitalianezard.it/en/triumph-zard-exhaust/"/>
    <s v="SPEED TRIPLE 1050 M.Y. 07-10"/>
    <s v="https://shop.officineitalianezard.it/en/triumph-speed-triple-1050-m-y-07-10/"/>
    <s v="CONICAL VERSION"/>
    <x v="72"/>
    <s v="3&gt;1 FULL KIT"/>
    <s v="ZTPH038SKR"/>
    <s v="TRIUMPH SPEED TRIPLE 1050 M.Y. 07-10"/>
    <n v="907.38"/>
    <n v="1008.2"/>
    <s v="&lt;p&gt;3&amp;gt;1 STEEL RACING FULL KIT&lt;/p&gt;_x000a_&lt;p&gt;ORIGINAL FULL KIT WEIGHT: KG 13.2&lt;br&gt;ZARD RACING FULL KIT WEIGHT: KG 4.6&lt;br&gt;ZARD HOMOLOGATED FULL KIT WEIGHT: KG 5.2&lt;/p&gt;_x000a_&lt;p&gt;HARD INCREASE IN TERMS OF TORQUE AND POWER AT ANY RANGE.&lt;br&gt;ASTONISHING SOUND.&lt;/p&gt;"/>
    <s v="https://shop.officineitalianezard.it/contents/imgs/products/1_153-speed07-10kitbianco3.jpg"/>
    <m/>
    <m/>
  </r>
  <r>
    <s v="1586059184-10347"/>
    <s v="https://shop.officineitalianezard.it/en/products/"/>
    <m/>
    <s v="https://shop.officineitalianezard.it/en/triumph-zard-exhaust/"/>
    <s v="SPEED TRIPLE 1050 M.Y. 07-10"/>
    <s v="https://shop.officineitalianezard.it/en/triumph-speed-triple-1050-m-y-07-10/"/>
    <s v="CONICAL VERSION"/>
    <x v="72"/>
    <s v="3&gt;1 FULL KIT"/>
    <s v="ZTPH038SKR"/>
    <s v="TRIUMPH SPEED TRIPLE 1050 M.Y. 07-10"/>
    <n v="907.38"/>
    <n v="1008.2"/>
    <s v="&lt;p&gt;3&amp;gt;1 STEEL RACING FULL KIT&lt;/p&gt;_x000a_&lt;p&gt;ORIGINAL FULL KIT WEIGHT: KG 13.2&lt;br&gt;ZARD RACING FULL KIT WEIGHT: KG 4.6&lt;br&gt;ZARD HOMOLOGATED FULL KIT WEIGHT: KG 5.2&lt;/p&gt;_x000a_&lt;p&gt;HARD INCREASE IN TERMS OF TORQUE AND POWER AT ANY RANGE.&lt;br&gt;ASTONISHING SOUND.&lt;/p&gt;"/>
    <m/>
    <s v="HOMOLOGATED-CATALYSED"/>
    <n v="123.2"/>
  </r>
  <r>
    <s v="1586059184-10348"/>
    <s v="https://shop.officineitalianezard.it/en/products/"/>
    <m/>
    <s v="https://shop.officineitalianezard.it/en/triumph-zard-exhaust/"/>
    <s v="SPEED TRIPLE 1050 M.Y. 07-10"/>
    <s v="https://shop.officineitalianezard.it/en/triumph-speed-triple-1050-m-y-07-10/"/>
    <s v="CONICAL VERSION"/>
    <x v="72"/>
    <s v="3&gt;1 FULL KIT"/>
    <s v="ZTPH038SKR"/>
    <s v="TRIUMPH SPEED TRIPLE 1050 M.Y. 07-10"/>
    <n v="907.38"/>
    <n v="1008.2"/>
    <s v="&lt;p&gt;3&amp;gt;1 STEEL RACING FULL KIT&lt;/p&gt;_x000a_&lt;p&gt;ORIGINAL FULL KIT WEIGHT: KG 13.2&lt;br&gt;ZARD RACING FULL KIT WEIGHT: KG 4.6&lt;br&gt;ZARD HOMOLOGATED FULL KIT WEIGHT: KG 5.2&lt;/p&gt;_x000a_&lt;p&gt;HARD INCREASE IN TERMS OF TORQUE AND POWER AT ANY RANGE.&lt;br&gt;ASTONISHING SOUND.&lt;/p&gt;"/>
    <m/>
    <s v="TITANIUM RACING"/>
    <n v="786.39"/>
  </r>
  <r>
    <s v="1586059184-10349"/>
    <s v="https://shop.officineitalianezard.it/en/products/"/>
    <m/>
    <s v="https://shop.officineitalianezard.it/en/triumph-zard-exhaust/"/>
    <s v="SPEED TRIPLE 1050 M.Y. 07-10"/>
    <s v="https://shop.officineitalianezard.it/en/triumph-speed-triple-1050-m-y-07-10/"/>
    <s v="CONICAL VERSION"/>
    <x v="72"/>
    <s v="3&gt;1 FULL KIT"/>
    <s v="ZTPH038SKR"/>
    <s v="TRIUMPH SPEED TRIPLE 1050 M.Y. 07-10"/>
    <n v="907.38"/>
    <n v="1008.2"/>
    <s v="&lt;p&gt;3&amp;gt;1 STEEL RACING FULL KIT&lt;/p&gt;_x000a_&lt;p&gt;ORIGINAL FULL KIT WEIGHT: KG 13.2&lt;br&gt;ZARD RACING FULL KIT WEIGHT: KG 4.6&lt;br&gt;ZARD HOMOLOGATED FULL KIT WEIGHT: KG 5.2&lt;/p&gt;_x000a_&lt;p&gt;HARD INCREASE IN TERMS OF TORQUE AND POWER AT ANY RANGE.&lt;br&gt;ASTONISHING SOUND.&lt;/p&gt;"/>
    <m/>
    <s v="TITANIUM HOMOLOGATED-CATALYSED"/>
    <n v="917.7"/>
  </r>
  <r>
    <s v="1586059184-10350"/>
    <s v="https://shop.officineitalianezard.it/en/products/"/>
    <m/>
    <s v="https://shop.officineitalianezard.it/en/triumph-zard-exhaust/"/>
    <s v="SPEED TRIPLE 1050 M.Y. 07-10"/>
    <s v="https://shop.officineitalianezard.it/en/triumph-speed-triple-1050-m-y-07-10/"/>
    <s v="CONICAL VERSION"/>
    <x v="72"/>
    <s v="3&gt;1 FULL KIT"/>
    <s v="ZTPH038SKR"/>
    <s v="TRIUMPH SPEED TRIPLE 1050 M.Y. 07-10"/>
    <n v="907.38"/>
    <n v="1008.2"/>
    <s v="&lt;p&gt;3&amp;gt;1 STEEL RACING FULL KIT&lt;/p&gt;_x000a_&lt;p&gt;ORIGINAL FULL KIT WEIGHT: KG 13.2&lt;br&gt;ZARD RACING FULL KIT WEIGHT: KG 4.6&lt;br&gt;ZARD HOMOLOGATED FULL KIT WEIGHT: KG 5.2&lt;/p&gt;_x000a_&lt;p&gt;HARD INCREASE IN TERMS OF TORQUE AND POWER AT ANY RANGE.&lt;br&gt;ASTONISHING SOUND.&lt;/p&gt;"/>
    <m/>
    <s v="BLACK COATING"/>
    <n v="169.67"/>
  </r>
  <r>
    <s v="1586059184-10351"/>
    <s v="https://shop.officineitalianezard.it/en/products/"/>
    <m/>
    <s v="https://shop.officineitalianezard.it/en/triumph-zard-exhaust/"/>
    <s v="SPEED TRIPLE 1050 M.Y. 07-10"/>
    <s v="https://shop.officineitalianezard.it/en/triumph-speed-triple-1050-m-y-07-10/"/>
    <s v="CONICAL VERSION"/>
    <x v="72"/>
    <s v="3&gt;1 FULL KIT"/>
    <s v="ZTPH038SKR"/>
    <s v="TRIUMPH SPEED TRIPLE 1050 M.Y. 07-10"/>
    <n v="907.38"/>
    <n v="1008.2"/>
    <s v="&lt;p&gt;3&amp;gt;1 STEEL RACING FULL KIT&lt;/p&gt;_x000a_&lt;p&gt;ORIGINAL FULL KIT WEIGHT: KG 13.2&lt;br&gt;ZARD RACING FULL KIT WEIGHT: KG 4.6&lt;br&gt;ZARD HOMOLOGATED FULL KIT WEIGHT: KG 5.2&lt;/p&gt;_x000a_&lt;p&gt;HARD INCREASE IN TERMS OF TORQUE AND POWER AT ANY RANGE.&lt;br&gt;ASTONISHING SOUND.&lt;/p&gt;"/>
    <m/>
    <s v="CARBON ENDCAP"/>
    <n v="37.619999999999997"/>
  </r>
  <r>
    <s v="1586059190-10352"/>
    <s v="https://shop.officineitalianezard.it/en/products/"/>
    <m/>
    <s v="https://shop.officineitalianezard.it/en/triumph-zard-exhaust/"/>
    <s v="SPEED TRIPLE 1050 M.Y. 05-06"/>
    <s v="https://shop.officineitalianezard.it/en/triumph-speed-triple-1050-m-y-05-06-exhaust/"/>
    <s v="CONICAL VERSION"/>
    <x v="73"/>
    <s v="SILENCER"/>
    <s v="ZTPH031SSR"/>
    <s v="TRIUMPH SPEED TRIPLE 1050 M.Y. 05-06"/>
    <n v="329.02"/>
    <n v="365.57"/>
    <s v="&lt;p&gt;STEEL SILENCER RACING&lt;/p&gt;_x000a_&lt;p&gt;ORIGINAL SILENCER WEIGHT: KG 9.5&lt;br&gt;ZARD SILENCER WEIGHT: KG 1.9&lt;/p&gt;_x000a_&lt;p&gt;HARD INCREASE IN TERMS OF TORQUE AND POWER AT ANY RANGE COMPARED TO THE ORIGINAL SYSTEM.&lt;/p&gt;_x000a_&lt;p&gt;ASTONISHING SOUND.&lt;/p&gt;"/>
    <s v="https://shop.officineitalianezard.it/contents/imgs/products/1_150-2speedsil.jpg"/>
    <m/>
    <m/>
  </r>
  <r>
    <s v="1586059190-10353"/>
    <s v="https://shop.officineitalianezard.it/en/products/"/>
    <m/>
    <s v="https://shop.officineitalianezard.it/en/triumph-zard-exhaust/"/>
    <s v="SPEED TRIPLE 1050 M.Y. 05-06"/>
    <s v="https://shop.officineitalianezard.it/en/triumph-speed-triple-1050-m-y-05-06-exhaust/"/>
    <s v="CONICAL VERSION"/>
    <x v="73"/>
    <s v="SILENCER"/>
    <s v="ZTPH031SSR"/>
    <s v="TRIUMPH SPEED TRIPLE 1050 M.Y. 05-06"/>
    <n v="329.02"/>
    <n v="365.57"/>
    <s v="&lt;p&gt;STEEL SILENCER RACING&lt;/p&gt;_x000a_&lt;p&gt;ORIGINAL SILENCER WEIGHT: KG 9.5&lt;br&gt;ZARD SILENCER WEIGHT: KG 1.9&lt;/p&gt;_x000a_&lt;p&gt;HARD INCREASE IN TERMS OF TORQUE AND POWER AT ANY RANGE COMPARED TO THE ORIGINAL SYSTEM.&lt;/p&gt;_x000a_&lt;p&gt;ASTONISHING SOUND.&lt;/p&gt;"/>
    <s v="https://shop.officineitalianezard.it/contents/imgs/products/1_149-1speedsil.jpg"/>
    <m/>
    <m/>
  </r>
  <r>
    <s v="1586059190-10354"/>
    <s v="https://shop.officineitalianezard.it/en/products/"/>
    <m/>
    <s v="https://shop.officineitalianezard.it/en/triumph-zard-exhaust/"/>
    <s v="SPEED TRIPLE 1050 M.Y. 05-06"/>
    <s v="https://shop.officineitalianezard.it/en/triumph-speed-triple-1050-m-y-05-06-exhaust/"/>
    <s v="CONICAL VERSION"/>
    <x v="73"/>
    <s v="SILENCER"/>
    <s v="ZTPH031SSR"/>
    <s v="TRIUMPH SPEED TRIPLE 1050 M.Y. 05-06"/>
    <n v="329.02"/>
    <n v="365.57"/>
    <s v="&lt;p&gt;STEEL SILENCER RACING&lt;/p&gt;_x000a_&lt;p&gt;ORIGINAL SILENCER WEIGHT: KG 9.5&lt;br&gt;ZARD SILENCER WEIGHT: KG 1.9&lt;/p&gt;_x000a_&lt;p&gt;HARD INCREASE IN TERMS OF TORQUE AND POWER AT ANY RANGE COMPARED TO THE ORIGINAL SYSTEM.&lt;/p&gt;_x000a_&lt;p&gt;ASTONISHING SOUND.&lt;/p&gt;"/>
    <m/>
    <s v="EURO 3 HOMOLOGATED"/>
    <n v="42.05"/>
  </r>
  <r>
    <s v="1586059190-10355"/>
    <s v="https://shop.officineitalianezard.it/en/products/"/>
    <m/>
    <s v="https://shop.officineitalianezard.it/en/triumph-zard-exhaust/"/>
    <s v="SPEED TRIPLE 1050 M.Y. 05-06"/>
    <s v="https://shop.officineitalianezard.it/en/triumph-speed-triple-1050-m-y-05-06-exhaust/"/>
    <s v="CONICAL VERSION"/>
    <x v="73"/>
    <s v="SILENCER"/>
    <s v="ZTPH031SSR"/>
    <s v="TRIUMPH SPEED TRIPLE 1050 M.Y. 05-06"/>
    <n v="329.02"/>
    <n v="365.57"/>
    <s v="&lt;p&gt;STEEL SILENCER RACING&lt;/p&gt;_x000a_&lt;p&gt;ORIGINAL SILENCER WEIGHT: KG 9.5&lt;br&gt;ZARD SILENCER WEIGHT: KG 1.9&lt;/p&gt;_x000a_&lt;p&gt;HARD INCREASE IN TERMS OF TORQUE AND POWER AT ANY RANGE COMPARED TO THE ORIGINAL SYSTEM.&lt;/p&gt;_x000a_&lt;p&gt;ASTONISHING SOUND.&lt;/p&gt;"/>
    <m/>
    <s v="STEEL HOMOLOGATED CATALYSED"/>
    <n v="136.47999999999999"/>
  </r>
  <r>
    <s v="1586059190-10356"/>
    <s v="https://shop.officineitalianezard.it/en/products/"/>
    <m/>
    <s v="https://shop.officineitalianezard.it/en/triumph-zard-exhaust/"/>
    <s v="SPEED TRIPLE 1050 M.Y. 05-06"/>
    <s v="https://shop.officineitalianezard.it/en/triumph-speed-triple-1050-m-y-05-06-exhaust/"/>
    <s v="CONICAL VERSION"/>
    <x v="73"/>
    <s v="SILENCER"/>
    <s v="ZTPH031SSR"/>
    <s v="TRIUMPH SPEED TRIPLE 1050 M.Y. 05-06"/>
    <n v="329.02"/>
    <n v="365.57"/>
    <s v="&lt;p&gt;STEEL SILENCER RACING&lt;/p&gt;_x000a_&lt;p&gt;ORIGINAL SILENCER WEIGHT: KG 9.5&lt;br&gt;ZARD SILENCER WEIGHT: KG 1.9&lt;/p&gt;_x000a_&lt;p&gt;HARD INCREASE IN TERMS OF TORQUE AND POWER AT ANY RANGE COMPARED TO THE ORIGINAL SYSTEM.&lt;/p&gt;_x000a_&lt;p&gt;ASTONISHING SOUND.&lt;/p&gt;"/>
    <m/>
    <s v="RACING TITANIUM"/>
    <n v="216.15"/>
  </r>
  <r>
    <s v="1586059190-10357"/>
    <s v="https://shop.officineitalianezard.it/en/products/"/>
    <m/>
    <s v="https://shop.officineitalianezard.it/en/triumph-zard-exhaust/"/>
    <s v="SPEED TRIPLE 1050 M.Y. 05-06"/>
    <s v="https://shop.officineitalianezard.it/en/triumph-speed-triple-1050-m-y-05-06-exhaust/"/>
    <s v="CONICAL VERSION"/>
    <x v="73"/>
    <s v="SILENCER"/>
    <s v="ZTPH031SSR"/>
    <s v="TRIUMPH SPEED TRIPLE 1050 M.Y. 05-06"/>
    <n v="329.02"/>
    <n v="365.57"/>
    <s v="&lt;p&gt;STEEL SILENCER RACING&lt;/p&gt;_x000a_&lt;p&gt;ORIGINAL SILENCER WEIGHT: KG 9.5&lt;br&gt;ZARD SILENCER WEIGHT: KG 1.9&lt;/p&gt;_x000a_&lt;p&gt;HARD INCREASE IN TERMS OF TORQUE AND POWER AT ANY RANGE COMPARED TO THE ORIGINAL SYSTEM.&lt;/p&gt;_x000a_&lt;p&gt;ASTONISHING SOUND.&lt;/p&gt;"/>
    <m/>
    <s v="HOMOLOGATED TITANIUM"/>
    <n v="281.8"/>
  </r>
  <r>
    <s v="1586059190-10358"/>
    <s v="https://shop.officineitalianezard.it/en/products/"/>
    <m/>
    <s v="https://shop.officineitalianezard.it/en/triumph-zard-exhaust/"/>
    <s v="SPEED TRIPLE 1050 M.Y. 05-06"/>
    <s v="https://shop.officineitalianezard.it/en/triumph-speed-triple-1050-m-y-05-06-exhaust/"/>
    <s v="CONICAL VERSION"/>
    <x v="73"/>
    <s v="SILENCER"/>
    <s v="ZTPH031SSR"/>
    <s v="TRIUMPH SPEED TRIPLE 1050 M.Y. 05-06"/>
    <n v="329.02"/>
    <n v="365.57"/>
    <s v="&lt;p&gt;STEEL SILENCER RACING&lt;/p&gt;_x000a_&lt;p&gt;ORIGINAL SILENCER WEIGHT: KG 9.5&lt;br&gt;ZARD SILENCER WEIGHT: KG 1.9&lt;/p&gt;_x000a_&lt;p&gt;HARD INCREASE IN TERMS OF TORQUE AND POWER AT ANY RANGE COMPARED TO THE ORIGINAL SYSTEM.&lt;/p&gt;_x000a_&lt;p&gt;ASTONISHING SOUND.&lt;/p&gt;"/>
    <m/>
    <s v="TITANIUM HOMOLOGATED-CATALYSED"/>
    <n v="385.82"/>
  </r>
  <r>
    <s v="1586059190-10359"/>
    <s v="https://shop.officineitalianezard.it/en/products/"/>
    <m/>
    <s v="https://shop.officineitalianezard.it/en/triumph-zard-exhaust/"/>
    <s v="SPEED TRIPLE 1050 M.Y. 05-06"/>
    <s v="https://shop.officineitalianezard.it/en/triumph-speed-triple-1050-m-y-05-06-exhaust/"/>
    <s v="CONICAL VERSION"/>
    <x v="73"/>
    <s v="SILENCER"/>
    <s v="ZTPH031SSR"/>
    <s v="TRIUMPH SPEED TRIPLE 1050 M.Y. 05-06"/>
    <n v="329.02"/>
    <n v="365.57"/>
    <s v="&lt;p&gt;STEEL SILENCER RACING&lt;/p&gt;_x000a_&lt;p&gt;ORIGINAL SILENCER WEIGHT: KG 9.5&lt;br&gt;ZARD SILENCER WEIGHT: KG 1.9&lt;/p&gt;_x000a_&lt;p&gt;HARD INCREASE IN TERMS OF TORQUE AND POWER AT ANY RANGE COMPARED TO THE ORIGINAL SYSTEM.&lt;/p&gt;_x000a_&lt;p&gt;ASTONISHING SOUND.&lt;/p&gt;"/>
    <m/>
    <s v="BLACK COATING"/>
    <n v="77.459999999999994"/>
  </r>
  <r>
    <s v="1586059190-10360"/>
    <s v="https://shop.officineitalianezard.it/en/products/"/>
    <m/>
    <s v="https://shop.officineitalianezard.it/en/triumph-zard-exhaust/"/>
    <s v="SPEED TRIPLE 1050 M.Y. 05-06"/>
    <s v="https://shop.officineitalianezard.it/en/triumph-speed-triple-1050-m-y-05-06-exhaust/"/>
    <s v="CONICAL VERSION"/>
    <x v="73"/>
    <s v="SILENCER"/>
    <s v="ZTPH031SSR"/>
    <s v="TRIUMPH SPEED TRIPLE 1050 M.Y. 05-06"/>
    <n v="329.02"/>
    <n v="365.57"/>
    <s v="&lt;p&gt;STEEL SILENCER RACING&lt;/p&gt;_x000a_&lt;p&gt;ORIGINAL SILENCER WEIGHT: KG 9.5&lt;br&gt;ZARD SILENCER WEIGHT: KG 1.9&lt;/p&gt;_x000a_&lt;p&gt;HARD INCREASE IN TERMS OF TORQUE AND POWER AT ANY RANGE COMPARED TO THE ORIGINAL SYSTEM.&lt;/p&gt;_x000a_&lt;p&gt;ASTONISHING SOUND.&lt;/p&gt;"/>
    <m/>
    <s v="CARBON ENDCAP"/>
    <n v="37.619999999999997"/>
  </r>
  <r>
    <s v="1586059192-10361"/>
    <s v="https://shop.officineitalianezard.it/en/products/"/>
    <m/>
    <s v="https://shop.officineitalianezard.it/en/triumph-zard-exhaust/"/>
    <s v="SPEED TRIPLE 1050 M.Y. 05-06"/>
    <s v="https://shop.officineitalianezard.it/en/triumph-speed-triple-1050-m-y-05-06-exhaust/"/>
    <s v="CONICAL VERSION"/>
    <x v="74"/>
    <s v="3&gt;1 FULL KIT"/>
    <s v="ZTPH031SKR"/>
    <s v="TRIUMPH SPEED TRIPLE 1050 M.Y. 05-06"/>
    <n v="907.38"/>
    <n v="1008.2"/>
    <s v="&lt;p&gt;3&amp;gt;1 STEEL RACING FULL KIT&lt;/p&gt;_x000a_&lt;p&gt;ORIGINAL FULL KIT WEIGHT: KG 13&lt;br&gt;ZARD FULL KITWEIGHT: KG 4.2&lt;/p&gt;_x000a_&lt;p&gt;HARD INCREASE IN TERMS OF TORQUE AND POWER AT ANY RANGE COMPARED TO THE ORIGINAL SYSTEM.&lt;/p&gt;_x000a_&lt;p&gt;ASTONISHING SOUND.&lt;/p&gt;"/>
    <s v="https://shop.officineitalianezard.it/contents/imgs/products/1_144-3triumph-speedtriple1050-dx-2.jpg"/>
    <m/>
    <m/>
  </r>
  <r>
    <s v="1586059192-10362"/>
    <s v="https://shop.officineitalianezard.it/en/products/"/>
    <m/>
    <s v="https://shop.officineitalianezard.it/en/triumph-zard-exhaust/"/>
    <s v="SPEED TRIPLE 1050 M.Y. 05-06"/>
    <s v="https://shop.officineitalianezard.it/en/triumph-speed-triple-1050-m-y-05-06-exhaust/"/>
    <s v="CONICAL VERSION"/>
    <x v="74"/>
    <s v="3&gt;1 FULL KIT"/>
    <s v="ZTPH031SKR"/>
    <s v="TRIUMPH SPEED TRIPLE 1050 M.Y. 05-06"/>
    <n v="907.38"/>
    <n v="1008.2"/>
    <s v="&lt;p&gt;3&amp;gt;1 STEEL RACING FULL KIT&lt;/p&gt;_x000a_&lt;p&gt;ORIGINAL FULL KIT WEIGHT: KG 13&lt;br&gt;ZARD FULL KITWEIGHT: KG 4.2&lt;/p&gt;_x000a_&lt;p&gt;HARD INCREASE IN TERMS OF TORQUE AND POWER AT ANY RANGE COMPARED TO THE ORIGINAL SYSTEM.&lt;/p&gt;_x000a_&lt;p&gt;ASTONISHING SOUND.&lt;/p&gt;"/>
    <s v="https://shop.officineitalianezard.it/contents/imgs/products/1_143-1speedtriple0506kit3.jpg"/>
    <m/>
    <m/>
  </r>
  <r>
    <s v="1586059192-10363"/>
    <s v="https://shop.officineitalianezard.it/en/products/"/>
    <m/>
    <s v="https://shop.officineitalianezard.it/en/triumph-zard-exhaust/"/>
    <s v="SPEED TRIPLE 1050 M.Y. 05-06"/>
    <s v="https://shop.officineitalianezard.it/en/triumph-speed-triple-1050-m-y-05-06-exhaust/"/>
    <s v="CONICAL VERSION"/>
    <x v="74"/>
    <s v="3&gt;1 FULL KIT"/>
    <s v="ZTPH031SKR"/>
    <s v="TRIUMPH SPEED TRIPLE 1050 M.Y. 05-06"/>
    <n v="907.38"/>
    <n v="1008.2"/>
    <s v="&lt;p&gt;3&amp;gt;1 STEEL RACING FULL KIT&lt;/p&gt;_x000a_&lt;p&gt;ORIGINAL FULL KIT WEIGHT: KG 13&lt;br&gt;ZARD FULL KITWEIGHT: KG 4.2&lt;/p&gt;_x000a_&lt;p&gt;HARD INCREASE IN TERMS OF TORQUE AND POWER AT ANY RANGE COMPARED TO THE ORIGINAL SYSTEM.&lt;/p&gt;_x000a_&lt;p&gt;ASTONISHING SOUND.&lt;/p&gt;"/>
    <s v="https://shop.officineitalianezard.it/contents/imgs/products/1_145-2speedtriple0506kit.jpg"/>
    <m/>
    <m/>
  </r>
  <r>
    <s v="1586059192-10364"/>
    <s v="https://shop.officineitalianezard.it/en/products/"/>
    <m/>
    <s v="https://shop.officineitalianezard.it/en/triumph-zard-exhaust/"/>
    <s v="SPEED TRIPLE 1050 M.Y. 05-06"/>
    <s v="https://shop.officineitalianezard.it/en/triumph-speed-triple-1050-m-y-05-06-exhaust/"/>
    <s v="CONICAL VERSION"/>
    <x v="74"/>
    <s v="3&gt;1 FULL KIT"/>
    <s v="ZTPH031SKR"/>
    <s v="TRIUMPH SPEED TRIPLE 1050 M.Y. 05-06"/>
    <n v="907.38"/>
    <n v="1008.2"/>
    <s v="&lt;p&gt;3&amp;gt;1 STEEL RACING FULL KIT&lt;/p&gt;_x000a_&lt;p&gt;ORIGINAL FULL KIT WEIGHT: KG 13&lt;br&gt;ZARD FULL KITWEIGHT: KG 4.2&lt;/p&gt;_x000a_&lt;p&gt;HARD INCREASE IN TERMS OF TORQUE AND POWER AT ANY RANGE COMPARED TO THE ORIGINAL SYSTEM.&lt;/p&gt;_x000a_&lt;p&gt;ASTONISHING SOUND.&lt;/p&gt;"/>
    <m/>
    <s v="STEEL HOMOLOGATED"/>
    <n v="30.98"/>
  </r>
  <r>
    <s v="1586059192-10365"/>
    <s v="https://shop.officineitalianezard.it/en/products/"/>
    <m/>
    <s v="https://shop.officineitalianezard.it/en/triumph-zard-exhaust/"/>
    <s v="SPEED TRIPLE 1050 M.Y. 05-06"/>
    <s v="https://shop.officineitalianezard.it/en/triumph-speed-triple-1050-m-y-05-06-exhaust/"/>
    <s v="CONICAL VERSION"/>
    <x v="74"/>
    <s v="3&gt;1 FULL KIT"/>
    <s v="ZTPH031SKR"/>
    <s v="TRIUMPH SPEED TRIPLE 1050 M.Y. 05-06"/>
    <n v="907.38"/>
    <n v="1008.2"/>
    <s v="&lt;p&gt;3&amp;gt;1 STEEL RACING FULL KIT&lt;/p&gt;_x000a_&lt;p&gt;ORIGINAL FULL KIT WEIGHT: KG 13&lt;br&gt;ZARD FULL KITWEIGHT: KG 4.2&lt;/p&gt;_x000a_&lt;p&gt;HARD INCREASE IN TERMS OF TORQUE AND POWER AT ANY RANGE COMPARED TO THE ORIGINAL SYSTEM.&lt;/p&gt;_x000a_&lt;p&gt;ASTONISHING SOUND.&lt;/p&gt;"/>
    <m/>
    <s v="STEEL HOMOLOGATED CATALYSED"/>
    <n v="123.2"/>
  </r>
  <r>
    <s v="1586059192-10366"/>
    <s v="https://shop.officineitalianezard.it/en/products/"/>
    <m/>
    <s v="https://shop.officineitalianezard.it/en/triumph-zard-exhaust/"/>
    <s v="SPEED TRIPLE 1050 M.Y. 05-06"/>
    <s v="https://shop.officineitalianezard.it/en/triumph-speed-triple-1050-m-y-05-06-exhaust/"/>
    <s v="CONICAL VERSION"/>
    <x v="74"/>
    <s v="3&gt;1 FULL KIT"/>
    <s v="ZTPH031SKR"/>
    <s v="TRIUMPH SPEED TRIPLE 1050 M.Y. 05-06"/>
    <n v="907.38"/>
    <n v="1008.2"/>
    <s v="&lt;p&gt;3&amp;gt;1 STEEL RACING FULL KIT&lt;/p&gt;_x000a_&lt;p&gt;ORIGINAL FULL KIT WEIGHT: KG 13&lt;br&gt;ZARD FULL KITWEIGHT: KG 4.2&lt;/p&gt;_x000a_&lt;p&gt;HARD INCREASE IN TERMS OF TORQUE AND POWER AT ANY RANGE COMPARED TO THE ORIGINAL SYSTEM.&lt;/p&gt;_x000a_&lt;p&gt;ASTONISHING SOUND.&lt;/p&gt;"/>
    <m/>
    <s v="TITANIUM RACING"/>
    <n v="786.39"/>
  </r>
  <r>
    <s v="1586059192-10367"/>
    <s v="https://shop.officineitalianezard.it/en/products/"/>
    <m/>
    <s v="https://shop.officineitalianezard.it/en/triumph-zard-exhaust/"/>
    <s v="SPEED TRIPLE 1050 M.Y. 05-06"/>
    <s v="https://shop.officineitalianezard.it/en/triumph-speed-triple-1050-m-y-05-06-exhaust/"/>
    <s v="CONICAL VERSION"/>
    <x v="74"/>
    <s v="3&gt;1 FULL KIT"/>
    <s v="ZTPH031SKR"/>
    <s v="TRIUMPH SPEED TRIPLE 1050 M.Y. 05-06"/>
    <n v="907.38"/>
    <n v="1008.2"/>
    <s v="&lt;p&gt;3&amp;gt;1 STEEL RACING FULL KIT&lt;/p&gt;_x000a_&lt;p&gt;ORIGINAL FULL KIT WEIGHT: KG 13&lt;br&gt;ZARD FULL KITWEIGHT: KG 4.2&lt;/p&gt;_x000a_&lt;p&gt;HARD INCREASE IN TERMS OF TORQUE AND POWER AT ANY RANGE COMPARED TO THE ORIGINAL SYSTEM.&lt;/p&gt;_x000a_&lt;p&gt;ASTONISHING SOUND.&lt;/p&gt;"/>
    <m/>
    <s v="TITANIUM HOMOLOGATED"/>
    <n v="823.28"/>
  </r>
  <r>
    <s v="1586059192-10368"/>
    <s v="https://shop.officineitalianezard.it/en/products/"/>
    <m/>
    <s v="https://shop.officineitalianezard.it/en/triumph-zard-exhaust/"/>
    <s v="SPEED TRIPLE 1050 M.Y. 05-06"/>
    <s v="https://shop.officineitalianezard.it/en/triumph-speed-triple-1050-m-y-05-06-exhaust/"/>
    <s v="CONICAL VERSION"/>
    <x v="74"/>
    <s v="3&gt;1 FULL KIT"/>
    <s v="ZTPH031SKR"/>
    <s v="TRIUMPH SPEED TRIPLE 1050 M.Y. 05-06"/>
    <n v="907.38"/>
    <n v="1008.2"/>
    <s v="&lt;p&gt;3&amp;gt;1 STEEL RACING FULL KIT&lt;/p&gt;_x000a_&lt;p&gt;ORIGINAL FULL KIT WEIGHT: KG 13&lt;br&gt;ZARD FULL KITWEIGHT: KG 4.2&lt;/p&gt;_x000a_&lt;p&gt;HARD INCREASE IN TERMS OF TORQUE AND POWER AT ANY RANGE COMPARED TO THE ORIGINAL SYSTEM.&lt;/p&gt;_x000a_&lt;p&gt;ASTONISHING SOUND.&lt;/p&gt;"/>
    <m/>
    <s v="TITANIUM HOMOLOGATED-CATALYSED"/>
    <n v="917.7"/>
  </r>
  <r>
    <s v="1586059192-10369"/>
    <s v="https://shop.officineitalianezard.it/en/products/"/>
    <m/>
    <s v="https://shop.officineitalianezard.it/en/triumph-zard-exhaust/"/>
    <s v="SPEED TRIPLE 1050 M.Y. 05-06"/>
    <s v="https://shop.officineitalianezard.it/en/triumph-speed-triple-1050-m-y-05-06-exhaust/"/>
    <s v="CONICAL VERSION"/>
    <x v="74"/>
    <s v="3&gt;1 FULL KIT"/>
    <s v="ZTPH031SKR"/>
    <s v="TRIUMPH SPEED TRIPLE 1050 M.Y. 05-06"/>
    <n v="907.38"/>
    <n v="1008.2"/>
    <s v="&lt;p&gt;3&amp;gt;1 STEEL RACING FULL KIT&lt;/p&gt;_x000a_&lt;p&gt;ORIGINAL FULL KIT WEIGHT: KG 13&lt;br&gt;ZARD FULL KITWEIGHT: KG 4.2&lt;/p&gt;_x000a_&lt;p&gt;HARD INCREASE IN TERMS OF TORQUE AND POWER AT ANY RANGE COMPARED TO THE ORIGINAL SYSTEM.&lt;/p&gt;_x000a_&lt;p&gt;ASTONISHING SOUND.&lt;/p&gt;"/>
    <m/>
    <s v="BLACK COATING"/>
    <n v="169.67"/>
  </r>
  <r>
    <s v="1586059192-10370"/>
    <s v="https://shop.officineitalianezard.it/en/products/"/>
    <m/>
    <s v="https://shop.officineitalianezard.it/en/triumph-zard-exhaust/"/>
    <s v="SPEED TRIPLE 1050 M.Y. 05-06"/>
    <s v="https://shop.officineitalianezard.it/en/triumph-speed-triple-1050-m-y-05-06-exhaust/"/>
    <s v="CONICAL VERSION"/>
    <x v="74"/>
    <s v="3&gt;1 FULL KIT"/>
    <s v="ZTPH031SKR"/>
    <s v="TRIUMPH SPEED TRIPLE 1050 M.Y. 05-06"/>
    <n v="907.38"/>
    <n v="1008.2"/>
    <s v="&lt;p&gt;3&amp;gt;1 STEEL RACING FULL KIT&lt;/p&gt;_x000a_&lt;p&gt;ORIGINAL FULL KIT WEIGHT: KG 13&lt;br&gt;ZARD FULL KITWEIGHT: KG 4.2&lt;/p&gt;_x000a_&lt;p&gt;HARD INCREASE IN TERMS OF TORQUE AND POWER AT ANY RANGE COMPARED TO THE ORIGINAL SYSTEM.&lt;/p&gt;_x000a_&lt;p&gt;ASTONISHING SOUND.&lt;/p&gt;"/>
    <m/>
    <s v="CARBON ENDCAP"/>
    <n v="37.619999999999997"/>
  </r>
  <r>
    <s v="1586059197-10371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CONICAL VERSION"/>
    <x v="75"/>
    <s v="2&gt;1 FULL KIT"/>
    <s v="ZTPH078SKR"/>
    <s v="TRIUMPH STREET SCRAMBLER 2017/19"/>
    <n v="755.41"/>
    <n v="839.34"/>
    <s v="&lt;p&gt;&lt;strong&gt;&lt;/strong&gt;2&amp;gt;1 STEEL RACING FULL KIT CONICAL VERSION WITH REMOVABLE DB KILLER&lt;/p&gt;_x000a_&lt;p&gt;ORIGINAL FULL KIT&amp;nbsp;WEIGHT: 9,8 KG&lt;br&gt;&lt;span&gt;ZARD&amp;nbsp;&lt;/span&gt;&lt;span&gt;FULL KIT&lt;/span&gt;&lt;span&gt;&amp;nbsp;WEIGHT: 4,8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,&amp;nbsp;EXCLUSIVE DESIGN.&lt;/span&gt;&lt;/p&gt;_x000a_&lt;p&gt;&lt;/p&gt;"/>
    <s v="https://shop.officineitalianezard.it/contents/imgs/products/1_2099-scarico%20triumph%20street%20scrambler%201.jpg"/>
    <m/>
    <m/>
  </r>
  <r>
    <s v="1586059197-10372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CONICAL VERSION"/>
    <x v="75"/>
    <s v="2&gt;1 FULL KIT"/>
    <s v="ZTPH078SKR"/>
    <s v="TRIUMPH STREET SCRAMBLER 2017/19"/>
    <n v="755.41"/>
    <n v="839.34"/>
    <s v="&lt;p&gt;&lt;strong&gt;&lt;/strong&gt;2&amp;gt;1 STEEL RACING FULL KIT CONICAL VERSION WITH REMOVABLE DB KILLER&lt;/p&gt;_x000a_&lt;p&gt;ORIGINAL FULL KIT&amp;nbsp;WEIGHT: 9,8 KG&lt;br&gt;&lt;span&gt;ZARD&amp;nbsp;&lt;/span&gt;&lt;span&gt;FULL KIT&lt;/span&gt;&lt;span&gt;&amp;nbsp;WEIGHT: 4,8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,&amp;nbsp;EXCLUSIVE DESIGN.&lt;/span&gt;&lt;/p&gt;_x000a_&lt;p&gt;&lt;/p&gt;"/>
    <s v="https://shop.officineitalianezard.it/contents/imgs/products/1_2097-scarico%20triumph%20street%20scrambler%202.jpg"/>
    <m/>
    <m/>
  </r>
  <r>
    <s v="1586059197-10373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CONICAL VERSION"/>
    <x v="75"/>
    <s v="2&gt;1 FULL KIT"/>
    <s v="ZTPH078SKR"/>
    <s v="TRIUMPH STREET SCRAMBLER 2017/19"/>
    <n v="755.41"/>
    <n v="839.34"/>
    <s v="&lt;p&gt;&lt;strong&gt;&lt;/strong&gt;2&amp;gt;1 STEEL RACING FULL KIT CONICAL VERSION WITH REMOVABLE DB KILLER&lt;/p&gt;_x000a_&lt;p&gt;ORIGINAL FULL KIT&amp;nbsp;WEIGHT: 9,8 KG&lt;br&gt;&lt;span&gt;ZARD&amp;nbsp;&lt;/span&gt;&lt;span&gt;FULL KIT&lt;/span&gt;&lt;span&gt;&amp;nbsp;WEIGHT: 4,8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,&amp;nbsp;EXCLUSIVE DESIGN.&lt;/span&gt;&lt;/p&gt;_x000a_&lt;p&gt;&lt;/p&gt;"/>
    <s v="https://shop.officineitalianezard.it/contents/imgs/products/1_2098-scarico%20triumph%20street%20scrambler%203.jpg"/>
    <m/>
    <m/>
  </r>
  <r>
    <s v="1586059197-10374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CONICAL VERSION"/>
    <x v="75"/>
    <s v="2&gt;1 FULL KIT"/>
    <s v="ZTPH078SKR"/>
    <s v="TRIUMPH STREET SCRAMBLER 2017/19"/>
    <n v="755.41"/>
    <n v="839.34"/>
    <s v="&lt;p&gt;&lt;strong&gt;&lt;/strong&gt;2&amp;gt;1 STEEL RACING FULL KIT CONICAL VERSION WITH REMOVABLE DB KILLER&lt;/p&gt;_x000a_&lt;p&gt;ORIGINAL FULL KIT&amp;nbsp;WEIGHT: 9,8 KG&lt;br&gt;&lt;span&gt;ZARD&amp;nbsp;&lt;/span&gt;&lt;span&gt;FULL KIT&lt;/span&gt;&lt;span&gt;&amp;nbsp;WEIGHT: 4,8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,&amp;nbsp;EXCLUSIVE DESIGN.&lt;/span&gt;&lt;/p&gt;_x000a_&lt;p&gt;&lt;/p&gt;"/>
    <m/>
    <s v="BLACK COATING"/>
    <n v="169.67"/>
  </r>
  <r>
    <s v="1586059197-10375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CONICAL VERSION"/>
    <x v="75"/>
    <s v="2&gt;1 FULL KIT"/>
    <s v="ZTPH078SKR"/>
    <s v="TRIUMPH STREET SCRAMBLER 2017/19"/>
    <n v="755.41"/>
    <n v="839.34"/>
    <s v="&lt;p&gt;&lt;strong&gt;&lt;/strong&gt;2&amp;gt;1 STEEL RACING FULL KIT CONICAL VERSION WITH REMOVABLE DB KILLER&lt;/p&gt;_x000a_&lt;p&gt;ORIGINAL FULL KIT&amp;nbsp;WEIGHT: 9,8 KG&lt;br&gt;&lt;span&gt;ZARD&amp;nbsp;&lt;/span&gt;&lt;span&gt;FULL KIT&lt;/span&gt;&lt;span&gt;&amp;nbsp;WEIGHT: 4,8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,&amp;nbsp;EXCLUSIVE DESIGN.&lt;/span&gt;&lt;/p&gt;_x000a_&lt;p&gt;&lt;/p&gt;"/>
    <m/>
    <s v="MIRROR POLISHING"/>
    <n v="96.64"/>
  </r>
  <r>
    <s v="1586059199-10376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CROSS VERSION"/>
    <x v="76"/>
    <s v="2&gt;1 FULL KIT"/>
    <s v="ZTPH079SKR"/>
    <s v="TRIUMPH STREET SCRAMBLER 2017/19"/>
    <n v="691.23"/>
    <n v="768.03"/>
    <s v="&lt;p&gt;2&amp;gt;1 STEEL RACING FULL KIT CROSS VERSION WITH REMOVABLE DB KILLER&lt;/p&gt;_x000a_&lt;p&gt;ORIGINAL FULL KIT&amp;nbsp;WEIGHT: 9,8 KG&lt;br&gt;&lt;span&gt;ZARD&amp;nbsp;&lt;/span&gt;&lt;span&gt;FULL KIT&lt;/span&gt;&lt;span&gt;&amp;nbsp;WEIGHT: 3,1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s v="https://shop.officineitalianezard.it/contents/imgs/products/1_2104-scarico%20street%20scrambler%20-%20street%20scrambler%20exhaust%201.jpg"/>
    <m/>
    <m/>
  </r>
  <r>
    <s v="1586059199-10377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CROSS VERSION"/>
    <x v="76"/>
    <s v="2&gt;1 FULL KIT"/>
    <s v="ZTPH079SKR"/>
    <s v="TRIUMPH STREET SCRAMBLER 2017/19"/>
    <n v="691.23"/>
    <n v="768.03"/>
    <s v="&lt;p&gt;2&amp;gt;1 STEEL RACING FULL KIT CROSS VERSION WITH REMOVABLE DB KILLER&lt;/p&gt;_x000a_&lt;p&gt;ORIGINAL FULL KIT&amp;nbsp;WEIGHT: 9,8 KG&lt;br&gt;&lt;span&gt;ZARD&amp;nbsp;&lt;/span&gt;&lt;span&gt;FULL KIT&lt;/span&gt;&lt;span&gt;&amp;nbsp;WEIGHT: 3,1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s v="https://shop.officineitalianezard.it/contents/imgs/products/1_2103-scarico%20street%20scrambler%20-%20street%20scrambler%20exhaust%202.jpg"/>
    <m/>
    <m/>
  </r>
  <r>
    <s v="1586059199-10378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CROSS VERSION"/>
    <x v="76"/>
    <s v="2&gt;1 FULL KIT"/>
    <s v="ZTPH079SKR"/>
    <s v="TRIUMPH STREET SCRAMBLER 2017/19"/>
    <n v="691.23"/>
    <n v="768.03"/>
    <s v="&lt;p&gt;2&amp;gt;1 STEEL RACING FULL KIT CROSS VERSION WITH REMOVABLE DB KILLER&lt;/p&gt;_x000a_&lt;p&gt;ORIGINAL FULL KIT&amp;nbsp;WEIGHT: 9,8 KG&lt;br&gt;&lt;span&gt;ZARD&amp;nbsp;&lt;/span&gt;&lt;span&gt;FULL KIT&lt;/span&gt;&lt;span&gt;&amp;nbsp;WEIGHT: 3,1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s v="https://shop.officineitalianezard.it/contents/imgs/products/1_2105-scarico%20street%20scrambler%20-%20street%20scrambler%20exhaust%203.jpg"/>
    <m/>
    <m/>
  </r>
  <r>
    <s v="1586059199-10379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CROSS VERSION"/>
    <x v="76"/>
    <s v="2&gt;1 FULL KIT"/>
    <s v="ZTPH079SKR"/>
    <s v="TRIUMPH STREET SCRAMBLER 2017/19"/>
    <n v="691.23"/>
    <n v="768.03"/>
    <s v="&lt;p&gt;2&amp;gt;1 STEEL RACING FULL KIT CROSS VERSION WITH REMOVABLE DB KILLER&lt;/p&gt;_x000a_&lt;p&gt;ORIGINAL FULL KIT&amp;nbsp;WEIGHT: 9,8 KG&lt;br&gt;&lt;span&gt;ZARD&amp;nbsp;&lt;/span&gt;&lt;span&gt;FULL KIT&lt;/span&gt;&lt;span&gt;&amp;nbsp;WEIGHT: 3,1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m/>
    <s v="BLACK COATING"/>
    <n v="169.67"/>
  </r>
  <r>
    <s v="1586059199-10380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CROSS VERSION"/>
    <x v="76"/>
    <s v="2&gt;1 FULL KIT"/>
    <s v="ZTPH079SKR"/>
    <s v="TRIUMPH STREET SCRAMBLER 2017/19"/>
    <n v="691.23"/>
    <n v="768.03"/>
    <s v="&lt;p&gt;2&amp;gt;1 STEEL RACING FULL KIT CROSS VERSION WITH REMOVABLE DB KILLER&lt;/p&gt;_x000a_&lt;p&gt;ORIGINAL FULL KIT&amp;nbsp;WEIGHT: 9,8 KG&lt;br&gt;&lt;span&gt;ZARD&amp;nbsp;&lt;/span&gt;&lt;span&gt;FULL KIT&lt;/span&gt;&lt;span&gt;&amp;nbsp;WEIGHT: 3,1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m/>
    <s v="POLISHED"/>
    <n v="96.64"/>
  </r>
  <r>
    <s v="1586059201-10381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TIGER 70 VERSION"/>
    <x v="77"/>
    <s v="2&gt;1 FULL KIT"/>
    <s v="ZTPH080SKR"/>
    <s v="TRIUMPH STREET SCRAMBLER 2017/19"/>
    <n v="836.56"/>
    <n v="929.51"/>
    <s v="&lt;p&gt;2&amp;gt;1 STEEL RACING FULL KIT TIGER 70 VERSION WITH REMOVABLE DB KILLER&lt;/p&gt;_x000a_&lt;p&gt;ORIGINAL FULL KIT&amp;nbsp;WEIGHT: 9,8 KG&lt;br&gt;&lt;span&gt;ZARD&amp;nbsp;&lt;/span&gt;&lt;span&gt;FULL KIT&lt;/span&gt;&lt;span&gt;&amp;nbsp;WEIGHT: 3,7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s v="https://shop.officineitalianezard.it/contents/imgs/products/1_2110-scarico%20street%20scrambler%20zard%20exhaust%201.jpg"/>
    <m/>
    <m/>
  </r>
  <r>
    <s v="1586059201-10382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TIGER 70 VERSION"/>
    <x v="77"/>
    <s v="2&gt;1 FULL KIT"/>
    <s v="ZTPH080SKR"/>
    <s v="TRIUMPH STREET SCRAMBLER 2017/19"/>
    <n v="836.56"/>
    <n v="929.51"/>
    <s v="&lt;p&gt;2&amp;gt;1 STEEL RACING FULL KIT TIGER 70 VERSION WITH REMOVABLE DB KILLER&lt;/p&gt;_x000a_&lt;p&gt;ORIGINAL FULL KIT&amp;nbsp;WEIGHT: 9,8 KG&lt;br&gt;&lt;span&gt;ZARD&amp;nbsp;&lt;/span&gt;&lt;span&gt;FULL KIT&lt;/span&gt;&lt;span&gt;&amp;nbsp;WEIGHT: 3,7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s v="https://shop.officineitalianezard.it/contents/imgs/products/1_2109-scarico%20street%20scrambler%20zard%20exhaust%202.jpg"/>
    <m/>
    <m/>
  </r>
  <r>
    <s v="1586059201-10383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TIGER 70 VERSION"/>
    <x v="77"/>
    <s v="2&gt;1 FULL KIT"/>
    <s v="ZTPH080SKR"/>
    <s v="TRIUMPH STREET SCRAMBLER 2017/19"/>
    <n v="836.56"/>
    <n v="929.51"/>
    <s v="&lt;p&gt;2&amp;gt;1 STEEL RACING FULL KIT TIGER 70 VERSION WITH REMOVABLE DB KILLER&lt;/p&gt;_x000a_&lt;p&gt;ORIGINAL FULL KIT&amp;nbsp;WEIGHT: 9,8 KG&lt;br&gt;&lt;span&gt;ZARD&amp;nbsp;&lt;/span&gt;&lt;span&gt;FULL KIT&lt;/span&gt;&lt;span&gt;&amp;nbsp;WEIGHT: 3,7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s v="https://shop.officineitalianezard.it/contents/imgs/products/1_2164-scarico%20street%20scrambler%20zard%20-%204.jpg"/>
    <m/>
    <m/>
  </r>
  <r>
    <s v="1586059201-10384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TIGER 70 VERSION"/>
    <x v="77"/>
    <s v="2&gt;1 FULL KIT"/>
    <s v="ZTPH080SKR"/>
    <s v="TRIUMPH STREET SCRAMBLER 2017/19"/>
    <n v="836.56"/>
    <n v="929.51"/>
    <s v="&lt;p&gt;2&amp;gt;1 STEEL RACING FULL KIT TIGER 70 VERSION WITH REMOVABLE DB KILLER&lt;/p&gt;_x000a_&lt;p&gt;ORIGINAL FULL KIT&amp;nbsp;WEIGHT: 9,8 KG&lt;br&gt;&lt;span&gt;ZARD&amp;nbsp;&lt;/span&gt;&lt;span&gt;FULL KIT&lt;/span&gt;&lt;span&gt;&amp;nbsp;WEIGHT: 3,7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s v="https://shop.officineitalianezard.it/contents/imgs/products/1_2111-scarico%20street%20scrambler%20zard%20exhaust%203.jpg"/>
    <m/>
    <m/>
  </r>
  <r>
    <s v="1586059201-10385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TIGER 70 VERSION"/>
    <x v="77"/>
    <s v="2&gt;1 FULL KIT"/>
    <s v="ZTPH080SKR"/>
    <s v="TRIUMPH STREET SCRAMBLER 2017/19"/>
    <n v="836.56"/>
    <n v="929.51"/>
    <s v="&lt;p&gt;2&amp;gt;1 STEEL RACING FULL KIT TIGER 70 VERSION WITH REMOVABLE DB KILLER&lt;/p&gt;_x000a_&lt;p&gt;ORIGINAL FULL KIT&amp;nbsp;WEIGHT: 9,8 KG&lt;br&gt;&lt;span&gt;ZARD&amp;nbsp;&lt;/span&gt;&lt;span&gt;FULL KIT&lt;/span&gt;&lt;span&gt;&amp;nbsp;WEIGHT: 3,7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s v="https://shop.officineitalianezard.it/contents/imgs/products/1_2378-scarico%20street%20scambler%20zard%20nero.jpg"/>
    <m/>
    <m/>
  </r>
  <r>
    <s v="1586059201-10386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TIGER 70 VERSION"/>
    <x v="77"/>
    <s v="2&gt;1 FULL KIT"/>
    <s v="ZTPH080SKR"/>
    <s v="TRIUMPH STREET SCRAMBLER 2017/19"/>
    <n v="836.56"/>
    <n v="929.51"/>
    <s v="&lt;p&gt;2&amp;gt;1 STEEL RACING FULL KIT TIGER 70 VERSION WITH REMOVABLE DB KILLER&lt;/p&gt;_x000a_&lt;p&gt;ORIGINAL FULL KIT&amp;nbsp;WEIGHT: 9,8 KG&lt;br&gt;&lt;span&gt;ZARD&amp;nbsp;&lt;/span&gt;&lt;span&gt;FULL KIT&lt;/span&gt;&lt;span&gt;&amp;nbsp;WEIGHT: 3,7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m/>
    <s v="BLACK COATING"/>
    <n v="216.89"/>
  </r>
  <r>
    <s v="1586059201-10387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TIGER 70 VERSION"/>
    <x v="77"/>
    <s v="2&gt;1 FULL KIT"/>
    <s v="ZTPH080SKR"/>
    <s v="TRIUMPH STREET SCRAMBLER 2017/19"/>
    <n v="836.56"/>
    <n v="929.51"/>
    <s v="&lt;p&gt;2&amp;gt;1 STEEL RACING FULL KIT TIGER 70 VERSION WITH REMOVABLE DB KILLER&lt;/p&gt;_x000a_&lt;p&gt;ORIGINAL FULL KIT&amp;nbsp;WEIGHT: 9,8 KG&lt;br&gt;&lt;span&gt;ZARD&amp;nbsp;&lt;/span&gt;&lt;span&gt;FULL KIT&lt;/span&gt;&lt;span&gt;&amp;nbsp;WEIGHT: 3,7&amp;nbsp;&lt;/span&gt;&lt;span&gt;KG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m/>
    <s v="GOLD VERSION END CAP"/>
    <n v="46.48"/>
  </r>
  <r>
    <s v="1586059204-10388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CONICAL VERSION"/>
    <x v="78"/>
    <s v="2&gt;1 FULL KIT"/>
    <s v="ZTPH085SKR"/>
    <s v="TRIUMPH STREET SCRAMBLER 2017/19"/>
    <n v="871.23"/>
    <n v="968.03"/>
    <s v="&lt;p&gt;2&amp;gt;1 STEEL RACING FULL KIT&amp;nbsp;WITH REMOVABLE DBKILLER&lt;/p&gt;_x000a_&lt;p&gt;ORIGINAL FULL KIT&amp;nbsp;WEIGHT: 9,8 KG&lt;br&gt;&lt;span&gt;ZARD&amp;nbsp;&lt;/span&gt;&lt;span&gt;FULL KIT&lt;/span&gt;&lt;span&gt;&amp;nbsp;WEIGHT: 4,2&amp;nbsp;&lt;/span&gt;&lt;span&gt;KG&lt;/span&gt;&lt;/p&gt;_x000a_&lt;p&gt;&lt;span&gt;BLACK AND SILVER WIRE MESH&amp;nbsp;IS SUPPLIED WITH HEAT SHIELD OF BLACK CERAMIC COATING VERSION.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s v="https://shop.officineitalianezard.it/contents/imgs/products/1_2140-scarico%20street%20scrambler%20zard%20street%20scrambker%20exhaust%201.jpg"/>
    <m/>
    <m/>
  </r>
  <r>
    <s v="1586059204-10389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CONICAL VERSION"/>
    <x v="78"/>
    <s v="2&gt;1 FULL KIT"/>
    <s v="ZTPH085SKR"/>
    <s v="TRIUMPH STREET SCRAMBLER 2017/19"/>
    <n v="871.23"/>
    <n v="968.03"/>
    <s v="&lt;p&gt;2&amp;gt;1 STEEL RACING FULL KIT&amp;nbsp;WITH REMOVABLE DBKILLER&lt;/p&gt;_x000a_&lt;p&gt;ORIGINAL FULL KIT&amp;nbsp;WEIGHT: 9,8 KG&lt;br&gt;&lt;span&gt;ZARD&amp;nbsp;&lt;/span&gt;&lt;span&gt;FULL KIT&lt;/span&gt;&lt;span&gt;&amp;nbsp;WEIGHT: 4,2&amp;nbsp;&lt;/span&gt;&lt;span&gt;KG&lt;/span&gt;&lt;/p&gt;_x000a_&lt;p&gt;&lt;span&gt;BLACK AND SILVER WIRE MESH&amp;nbsp;IS SUPPLIED WITH HEAT SHIELD OF BLACK CERAMIC COATING VERSION.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s v="https://shop.officineitalianezard.it/contents/imgs/products/1_2139-scarico%20street%20scrambler%20zard%20street%20scrambker%20exhaust%202.jpg"/>
    <m/>
    <m/>
  </r>
  <r>
    <s v="1586059204-10390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CONICAL VERSION"/>
    <x v="78"/>
    <s v="2&gt;1 FULL KIT"/>
    <s v="ZTPH085SKR"/>
    <s v="TRIUMPH STREET SCRAMBLER 2017/19"/>
    <n v="871.23"/>
    <n v="968.03"/>
    <s v="&lt;p&gt;2&amp;gt;1 STEEL RACING FULL KIT&amp;nbsp;WITH REMOVABLE DBKILLER&lt;/p&gt;_x000a_&lt;p&gt;ORIGINAL FULL KIT&amp;nbsp;WEIGHT: 9,8 KG&lt;br&gt;&lt;span&gt;ZARD&amp;nbsp;&lt;/span&gt;&lt;span&gt;FULL KIT&lt;/span&gt;&lt;span&gt;&amp;nbsp;WEIGHT: 4,2&amp;nbsp;&lt;/span&gt;&lt;span&gt;KG&lt;/span&gt;&lt;/p&gt;_x000a_&lt;p&gt;&lt;span&gt;BLACK AND SILVER WIRE MESH&amp;nbsp;IS SUPPLIED WITH HEAT SHIELD OF BLACK CERAMIC COATING VERSION.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s v="https://shop.officineitalianezard.it/contents/imgs/products/1_2141-scarico%20street%20scrambler%20zard%20street%20scrambker%20exhaust%203.jpg"/>
    <m/>
    <m/>
  </r>
  <r>
    <s v="1586059204-10391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CONICAL VERSION"/>
    <x v="78"/>
    <s v="2&gt;1 FULL KIT"/>
    <s v="ZTPH085SKR"/>
    <s v="TRIUMPH STREET SCRAMBLER 2017/19"/>
    <n v="871.23"/>
    <n v="968.03"/>
    <s v="&lt;p&gt;2&amp;gt;1 STEEL RACING FULL KIT&amp;nbsp;WITH REMOVABLE DBKILLER&lt;/p&gt;_x000a_&lt;p&gt;ORIGINAL FULL KIT&amp;nbsp;WEIGHT: 9,8 KG&lt;br&gt;&lt;span&gt;ZARD&amp;nbsp;&lt;/span&gt;&lt;span&gt;FULL KIT&lt;/span&gt;&lt;span&gt;&amp;nbsp;WEIGHT: 4,2&amp;nbsp;&lt;/span&gt;&lt;span&gt;KG&lt;/span&gt;&lt;/p&gt;_x000a_&lt;p&gt;&lt;span&gt;BLACK AND SILVER WIRE MESH&amp;nbsp;IS SUPPLIED WITH HEAT SHIELD OF BLACK CERAMIC COATING VERSION.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s v="https://shop.officineitalianezard.it/contents/imgs/products/1_2293-scarico%20street%20scrambler%20paracalore%20neri.jpg"/>
    <m/>
    <m/>
  </r>
  <r>
    <s v="1586059204-10392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CONICAL VERSION"/>
    <x v="78"/>
    <s v="2&gt;1 FULL KIT"/>
    <s v="ZTPH085SKR"/>
    <s v="TRIUMPH STREET SCRAMBLER 2017/19"/>
    <n v="871.23"/>
    <n v="968.03"/>
    <s v="&lt;p&gt;2&amp;gt;1 STEEL RACING FULL KIT&amp;nbsp;WITH REMOVABLE DBKILLER&lt;/p&gt;_x000a_&lt;p&gt;ORIGINAL FULL KIT&amp;nbsp;WEIGHT: 9,8 KG&lt;br&gt;&lt;span&gt;ZARD&amp;nbsp;&lt;/span&gt;&lt;span&gt;FULL KIT&lt;/span&gt;&lt;span&gt;&amp;nbsp;WEIGHT: 4,2&amp;nbsp;&lt;/span&gt;&lt;span&gt;KG&lt;/span&gt;&lt;/p&gt;_x000a_&lt;p&gt;&lt;span&gt;BLACK AND SILVER WIRE MESH&amp;nbsp;IS SUPPLIED WITH HEAT SHIELD OF BLACK CERAMIC COATING VERSION.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s v="https://shop.officineitalianezard.it/contents/imgs/products/1_2294-scarico%20street%20scrambler%20zard.jpg"/>
    <m/>
    <m/>
  </r>
  <r>
    <s v="1586059204-10393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CONICAL VERSION"/>
    <x v="78"/>
    <s v="2&gt;1 FULL KIT"/>
    <s v="ZTPH085SKR"/>
    <s v="TRIUMPH STREET SCRAMBLER 2017/19"/>
    <n v="871.23"/>
    <n v="968.03"/>
    <s v="&lt;p&gt;2&amp;gt;1 STEEL RACING FULL KIT&amp;nbsp;WITH REMOVABLE DBKILLER&lt;/p&gt;_x000a_&lt;p&gt;ORIGINAL FULL KIT&amp;nbsp;WEIGHT: 9,8 KG&lt;br&gt;&lt;span&gt;ZARD&amp;nbsp;&lt;/span&gt;&lt;span&gt;FULL KIT&lt;/span&gt;&lt;span&gt;&amp;nbsp;WEIGHT: 4,2&amp;nbsp;&lt;/span&gt;&lt;span&gt;KG&lt;/span&gt;&lt;/p&gt;_x000a_&lt;p&gt;&lt;span&gt;BLACK AND SILVER WIRE MESH&amp;nbsp;IS SUPPLIED WITH HEAT SHIELD OF BLACK CERAMIC COATING VERSION.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s v="https://shop.officineitalianezard.it/contents/imgs/products/1_2295-street%20scrambler%20exhaust.jpg"/>
    <m/>
    <m/>
  </r>
  <r>
    <s v="1586059204-10394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CONICAL VERSION"/>
    <x v="78"/>
    <s v="2&gt;1 FULL KIT"/>
    <s v="ZTPH085SKR"/>
    <s v="TRIUMPH STREET SCRAMBLER 2017/19"/>
    <n v="871.23"/>
    <n v="968.03"/>
    <s v="&lt;p&gt;2&amp;gt;1 STEEL RACING FULL KIT&amp;nbsp;WITH REMOVABLE DBKILLER&lt;/p&gt;_x000a_&lt;p&gt;ORIGINAL FULL KIT&amp;nbsp;WEIGHT: 9,8 KG&lt;br&gt;&lt;span&gt;ZARD&amp;nbsp;&lt;/span&gt;&lt;span&gt;FULL KIT&lt;/span&gt;&lt;span&gt;&amp;nbsp;WEIGHT: 4,2&amp;nbsp;&lt;/span&gt;&lt;span&gt;KG&lt;/span&gt;&lt;/p&gt;_x000a_&lt;p&gt;&lt;span&gt;BLACK AND SILVER WIRE MESH&amp;nbsp;IS SUPPLIED WITH HEAT SHIELD OF BLACK CERAMIC COATING VERSION.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m/>
    <s v="BLACK COATING"/>
    <n v="169.67"/>
  </r>
  <r>
    <s v="1586059204-10395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CONICAL VERSION"/>
    <x v="78"/>
    <s v="2&gt;1 FULL KIT"/>
    <s v="ZTPH085SKR"/>
    <s v="TRIUMPH STREET SCRAMBLER 2017/19"/>
    <n v="871.23"/>
    <n v="968.03"/>
    <s v="&lt;p&gt;2&amp;gt;1 STEEL RACING FULL KIT&amp;nbsp;WITH REMOVABLE DBKILLER&lt;/p&gt;_x000a_&lt;p&gt;ORIGINAL FULL KIT&amp;nbsp;WEIGHT: 9,8 KG&lt;br&gt;&lt;span&gt;ZARD&amp;nbsp;&lt;/span&gt;&lt;span&gt;FULL KIT&lt;/span&gt;&lt;span&gt;&amp;nbsp;WEIGHT: 4,2&amp;nbsp;&lt;/span&gt;&lt;span&gt;KG&lt;/span&gt;&lt;/p&gt;_x000a_&lt;p&gt;&lt;span&gt;BLACK AND SILVER WIRE MESH&amp;nbsp;IS SUPPLIED WITH HEAT SHIELD OF BLACK CERAMIC COATING VERSION.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m/>
    <s v="BLACK + STEEL HEAT SHIELD"/>
    <n v="138.69"/>
  </r>
  <r>
    <s v="1586059204-10396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CONICAL VERSION"/>
    <x v="78"/>
    <s v="2&gt;1 FULL KIT"/>
    <s v="ZTPH085SKR"/>
    <s v="TRIUMPH STREET SCRAMBLER 2017/19"/>
    <n v="871.23"/>
    <n v="968.03"/>
    <s v="&lt;p&gt;2&amp;gt;1 STEEL RACING FULL KIT&amp;nbsp;WITH REMOVABLE DBKILLER&lt;/p&gt;_x000a_&lt;p&gt;ORIGINAL FULL KIT&amp;nbsp;WEIGHT: 9,8 KG&lt;br&gt;&lt;span&gt;ZARD&amp;nbsp;&lt;/span&gt;&lt;span&gt;FULL KIT&lt;/span&gt;&lt;span&gt;&amp;nbsp;WEIGHT: 4,2&amp;nbsp;&lt;/span&gt;&lt;span&gt;KG&lt;/span&gt;&lt;/p&gt;_x000a_&lt;p&gt;&lt;span&gt;BLACK AND SILVER WIRE MESH&amp;nbsp;IS SUPPLIED WITH HEAT SHIELD OF BLACK CERAMIC COATING VERSION.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m/>
    <s v="MIRROR POLISHING"/>
    <n v="96.64"/>
  </r>
  <r>
    <s v="1586059204-10397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CONICAL VERSION"/>
    <x v="78"/>
    <s v="2&gt;1 FULL KIT"/>
    <s v="ZTPH085SKR"/>
    <s v="TRIUMPH STREET SCRAMBLER 2017/19"/>
    <n v="871.23"/>
    <n v="968.03"/>
    <s v="&lt;p&gt;2&amp;gt;1 STEEL RACING FULL KIT&amp;nbsp;WITH REMOVABLE DBKILLER&lt;/p&gt;_x000a_&lt;p&gt;ORIGINAL FULL KIT&amp;nbsp;WEIGHT: 9,8 KG&lt;br&gt;&lt;span&gt;ZARD&amp;nbsp;&lt;/span&gt;&lt;span&gt;FULL KIT&lt;/span&gt;&lt;span&gt;&amp;nbsp;WEIGHT: 4,2&amp;nbsp;&lt;/span&gt;&lt;span&gt;KG&lt;/span&gt;&lt;/p&gt;_x000a_&lt;p&gt;&lt;span&gt;BLACK AND SILVER WIRE MESH&amp;nbsp;IS SUPPLIED WITH HEAT SHIELD OF BLACK CERAMIC COATING VERSION.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m/>
    <s v="BLACK HEAT SHIELDS"/>
    <n v="53.85"/>
  </r>
  <r>
    <s v="1586059206-10398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LIMITED EDITION"/>
    <x v="79"/>
    <s v="2&gt;1 FULL KIT"/>
    <s v="ZTPH084SKR"/>
    <s v="TRIUMPH STREET SCRAMBLER 2017/19"/>
    <n v="832.87"/>
    <n v="925.41"/>
    <s v="&lt;p&gt;2&amp;gt;1 STEEL RACING FULL KIT&amp;nbsp;WITH REMOVABLE DBKILLER&lt;/p&gt;_x000a_&lt;p&gt;ORIGINAL FULL KIT&amp;nbsp;WEIGHT: 9,8 KG&lt;br&gt;&lt;span&gt;ZARD&amp;nbsp;&lt;/span&gt;&lt;span&gt;FULL KIT&lt;/span&gt;&lt;span&gt;&amp;nbsp;WEIGHT: 4,4&amp;nbsp;&lt;/span&gt;&lt;span&gt;KG&lt;/span&gt;&lt;/p&gt;_x000a_&lt;p&gt;&lt;span&gt;BLACK AND SILVER WIRE MESH&amp;nbsp;IS SUPPLIED WITH HEAT SHIELD OF BLACK CERAMIC COATING VERSION.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s v="https://shop.officineitalianezard.it/contents/imgs/products/1_2134-scarico%20street%20scrambler%20zard%20scarichi%201.jpg"/>
    <m/>
    <m/>
  </r>
  <r>
    <s v="1586059206-10399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LIMITED EDITION"/>
    <x v="79"/>
    <s v="2&gt;1 FULL KIT"/>
    <s v="ZTPH084SKR"/>
    <s v="TRIUMPH STREET SCRAMBLER 2017/19"/>
    <n v="832.87"/>
    <n v="925.41"/>
    <s v="&lt;p&gt;2&amp;gt;1 STEEL RACING FULL KIT&amp;nbsp;WITH REMOVABLE DBKILLER&lt;/p&gt;_x000a_&lt;p&gt;ORIGINAL FULL KIT&amp;nbsp;WEIGHT: 9,8 KG&lt;br&gt;&lt;span&gt;ZARD&amp;nbsp;&lt;/span&gt;&lt;span&gt;FULL KIT&lt;/span&gt;&lt;span&gt;&amp;nbsp;WEIGHT: 4,4&amp;nbsp;&lt;/span&gt;&lt;span&gt;KG&lt;/span&gt;&lt;/p&gt;_x000a_&lt;p&gt;&lt;span&gt;BLACK AND SILVER WIRE MESH&amp;nbsp;IS SUPPLIED WITH HEAT SHIELD OF BLACK CERAMIC COATING VERSION.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s v="https://shop.officineitalianezard.it/contents/imgs/products/1_2133-scarico%20street%20scrambler%20zard%20scarichi%202.jpg"/>
    <m/>
    <m/>
  </r>
  <r>
    <s v="1586059206-10400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LIMITED EDITION"/>
    <x v="79"/>
    <s v="2&gt;1 FULL KIT"/>
    <s v="ZTPH084SKR"/>
    <s v="TRIUMPH STREET SCRAMBLER 2017/19"/>
    <n v="832.87"/>
    <n v="925.41"/>
    <s v="&lt;p&gt;2&amp;gt;1 STEEL RACING FULL KIT&amp;nbsp;WITH REMOVABLE DBKILLER&lt;/p&gt;_x000a_&lt;p&gt;ORIGINAL FULL KIT&amp;nbsp;WEIGHT: 9,8 KG&lt;br&gt;&lt;span&gt;ZARD&amp;nbsp;&lt;/span&gt;&lt;span&gt;FULL KIT&lt;/span&gt;&lt;span&gt;&amp;nbsp;WEIGHT: 4,4&amp;nbsp;&lt;/span&gt;&lt;span&gt;KG&lt;/span&gt;&lt;/p&gt;_x000a_&lt;p&gt;&lt;span&gt;BLACK AND SILVER WIRE MESH&amp;nbsp;IS SUPPLIED WITH HEAT SHIELD OF BLACK CERAMIC COATING VERSION.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s v="https://shop.officineitalianezard.it/contents/imgs/products/1_2186-2135-scarico%20street%20scrambler%20zard%20scarichi%203.jpg"/>
    <m/>
    <m/>
  </r>
  <r>
    <s v="1586059206-10401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LIMITED EDITION"/>
    <x v="79"/>
    <s v="2&gt;1 FULL KIT"/>
    <s v="ZTPH084SKR"/>
    <s v="TRIUMPH STREET SCRAMBLER 2017/19"/>
    <n v="832.87"/>
    <n v="925.41"/>
    <s v="&lt;p&gt;2&amp;gt;1 STEEL RACING FULL KIT&amp;nbsp;WITH REMOVABLE DBKILLER&lt;/p&gt;_x000a_&lt;p&gt;ORIGINAL FULL KIT&amp;nbsp;WEIGHT: 9,8 KG&lt;br&gt;&lt;span&gt;ZARD&amp;nbsp;&lt;/span&gt;&lt;span&gt;FULL KIT&lt;/span&gt;&lt;span&gt;&amp;nbsp;WEIGHT: 4,4&amp;nbsp;&lt;/span&gt;&lt;span&gt;KG&lt;/span&gt;&lt;/p&gt;_x000a_&lt;p&gt;&lt;span&gt;BLACK AND SILVER WIRE MESH&amp;nbsp;IS SUPPLIED WITH HEAT SHIELD OF BLACK CERAMIC COATING VERSION.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s v="https://shop.officineitalianezard.it/contents/imgs/products/1_2297-1067-scarico%20scrambler%20zard2.jpg"/>
    <m/>
    <m/>
  </r>
  <r>
    <s v="1586059206-10402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LIMITED EDITION"/>
    <x v="79"/>
    <s v="2&gt;1 FULL KIT"/>
    <s v="ZTPH084SKR"/>
    <s v="TRIUMPH STREET SCRAMBLER 2017/19"/>
    <n v="832.87"/>
    <n v="925.41"/>
    <s v="&lt;p&gt;2&amp;gt;1 STEEL RACING FULL KIT&amp;nbsp;WITH REMOVABLE DBKILLER&lt;/p&gt;_x000a_&lt;p&gt;ORIGINAL FULL KIT&amp;nbsp;WEIGHT: 9,8 KG&lt;br&gt;&lt;span&gt;ZARD&amp;nbsp;&lt;/span&gt;&lt;span&gt;FULL KIT&lt;/span&gt;&lt;span&gt;&amp;nbsp;WEIGHT: 4,4&amp;nbsp;&lt;/span&gt;&lt;span&gt;KG&lt;/span&gt;&lt;/p&gt;_x000a_&lt;p&gt;&lt;span&gt;BLACK AND SILVER WIRE MESH&amp;nbsp;IS SUPPLIED WITH HEAT SHIELD OF BLACK CERAMIC COATING VERSION.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m/>
    <s v="BLACK COATING"/>
    <n v="169.67"/>
  </r>
  <r>
    <s v="1586059206-10403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LIMITED EDITION"/>
    <x v="79"/>
    <s v="2&gt;1 FULL KIT"/>
    <s v="ZTPH084SKR"/>
    <s v="TRIUMPH STREET SCRAMBLER 2017/19"/>
    <n v="832.87"/>
    <n v="925.41"/>
    <s v="&lt;p&gt;2&amp;gt;1 STEEL RACING FULL KIT&amp;nbsp;WITH REMOVABLE DBKILLER&lt;/p&gt;_x000a_&lt;p&gt;ORIGINAL FULL KIT&amp;nbsp;WEIGHT: 9,8 KG&lt;br&gt;&lt;span&gt;ZARD&amp;nbsp;&lt;/span&gt;&lt;span&gt;FULL KIT&lt;/span&gt;&lt;span&gt;&amp;nbsp;WEIGHT: 4,4&amp;nbsp;&lt;/span&gt;&lt;span&gt;KG&lt;/span&gt;&lt;/p&gt;_x000a_&lt;p&gt;&lt;span&gt;BLACK AND SILVER WIRE MESH&amp;nbsp;IS SUPPLIED WITH HEAT SHIELD OF BLACK CERAMIC COATING VERSION.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m/>
    <s v="BLACK + STEEL HEAT SHIELD"/>
    <n v="169.67"/>
  </r>
  <r>
    <s v="1586059206-10404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LIMITED EDITION"/>
    <x v="79"/>
    <s v="2&gt;1 FULL KIT"/>
    <s v="ZTPH084SKR"/>
    <s v="TRIUMPH STREET SCRAMBLER 2017/19"/>
    <n v="832.87"/>
    <n v="925.41"/>
    <s v="&lt;p&gt;2&amp;gt;1 STEEL RACING FULL KIT&amp;nbsp;WITH REMOVABLE DBKILLER&lt;/p&gt;_x000a_&lt;p&gt;ORIGINAL FULL KIT&amp;nbsp;WEIGHT: 9,8 KG&lt;br&gt;&lt;span&gt;ZARD&amp;nbsp;&lt;/span&gt;&lt;span&gt;FULL KIT&lt;/span&gt;&lt;span&gt;&amp;nbsp;WEIGHT: 4,4&amp;nbsp;&lt;/span&gt;&lt;span&gt;KG&lt;/span&gt;&lt;/p&gt;_x000a_&lt;p&gt;&lt;span&gt;BLACK AND SILVER WIRE MESH&amp;nbsp;IS SUPPLIED WITH HEAT SHIELD OF BLACK CERAMIC COATING VERSION.&lt;/span&gt;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ASTONISHING SOUND.&lt;/span&gt;&lt;/p&gt;_x000a_&lt;p&gt;&lt;/p&gt;"/>
    <m/>
    <s v="BLACK HEAT SHIELDS"/>
    <n v="53.85"/>
  </r>
  <r>
    <s v="1586059209-10405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SIX-DAYS"/>
    <x v="80"/>
    <s v="N. 2 SLIP-ON SILENCERS"/>
    <s v="ZTPH086SSR"/>
    <s v="TRIUMPH STREET SCRAMBLER 2017/19"/>
    <n v="609.34"/>
    <n v="677.05"/>
    <s v="&lt;p&gt;N. 2 SLIP-ON STEEL SILENCERS WITH REMOVABLE DBKILLERS&lt;/p&gt;_x000a_&lt;p&gt;ORIGINAL SILENCERS&amp;nbsp;WEIGHT: 5.4&amp;nbsp;KG&lt;br&gt;&lt;span&gt;ZARD&amp;nbsp;&lt;/span&gt;&lt;span&gt;SILENCERS&lt;/span&gt;&lt;span&gt;: 3.4&amp;nbsp;&lt;/span&gt;&lt;span&gt;KG&lt;/span&gt;&lt;/p&gt;_x000a_&lt;p&gt;THE INSTALLATION OF ZARD EXHAUST DOES NOT IMPLY ANY MODIFICATION TO ECU.&lt;br&gt;THE BOX INCLUDES ALL PARTS FOR THE FITMENT OF ZARD EXHAUST.&lt;/p&gt;_x000a_&lt;p&gt;&lt;span&gt;SILVER WIRE MESH&amp;nbsp;IS SUPPLIED WITH HEAT SHIELD OF BLACK CERAMIC COATING VERSION.&lt;/span&gt;&lt;/p&gt;_x000a_&lt;p&gt;&lt;span&gt;HARD INCREASE, COMPARED TO THE ORIGINAL EXHAUST SYSTEM.&lt;/span&gt;&lt;/p&gt;_x000a_&lt;p&gt;&lt;span&gt;ASTONISHING SOUND.&lt;/span&gt;&lt;/p&gt;_x000a_&lt;p&gt;&lt;/p&gt;"/>
    <s v="https://shop.officineitalianezard.it/contents/imgs/products/1_2155-scarico%20street%20scrambler%20zard%20exhaust%201.jpg"/>
    <m/>
    <m/>
  </r>
  <r>
    <s v="1586059209-10406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SIX-DAYS"/>
    <x v="80"/>
    <s v="N. 2 SLIP-ON SILENCERS"/>
    <s v="ZTPH086SSR"/>
    <s v="TRIUMPH STREET SCRAMBLER 2017/19"/>
    <n v="609.34"/>
    <n v="677.05"/>
    <s v="&lt;p&gt;N. 2 SLIP-ON STEEL SILENCERS WITH REMOVABLE DBKILLERS&lt;/p&gt;_x000a_&lt;p&gt;ORIGINAL SILENCERS&amp;nbsp;WEIGHT: 5.4&amp;nbsp;KG&lt;br&gt;&lt;span&gt;ZARD&amp;nbsp;&lt;/span&gt;&lt;span&gt;SILENCERS&lt;/span&gt;&lt;span&gt;: 3.4&amp;nbsp;&lt;/span&gt;&lt;span&gt;KG&lt;/span&gt;&lt;/p&gt;_x000a_&lt;p&gt;THE INSTALLATION OF ZARD EXHAUST DOES NOT IMPLY ANY MODIFICATION TO ECU.&lt;br&gt;THE BOX INCLUDES ALL PARTS FOR THE FITMENT OF ZARD EXHAUST.&lt;/p&gt;_x000a_&lt;p&gt;&lt;span&gt;SILVER WIRE MESH&amp;nbsp;IS SUPPLIED WITH HEAT SHIELD OF BLACK CERAMIC COATING VERSION.&lt;/span&gt;&lt;/p&gt;_x000a_&lt;p&gt;&lt;span&gt;HARD INCREASE, COMPARED TO THE ORIGINAL EXHAUST SYSTEM.&lt;/span&gt;&lt;/p&gt;_x000a_&lt;p&gt;&lt;span&gt;ASTONISHING SOUND.&lt;/span&gt;&lt;/p&gt;_x000a_&lt;p&gt;&lt;/p&gt;"/>
    <s v="https://shop.officineitalianezard.it/contents/imgs/products/1_2181-scarico%20street%20scrambler%20zard%20exhaust%202.jpg"/>
    <m/>
    <m/>
  </r>
  <r>
    <s v="1586059209-10407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SIX-DAYS"/>
    <x v="80"/>
    <s v="N. 2 SLIP-ON SILENCERS"/>
    <s v="ZTPH086SSR"/>
    <s v="TRIUMPH STREET SCRAMBLER 2017/19"/>
    <n v="609.34"/>
    <n v="677.05"/>
    <s v="&lt;p&gt;N. 2 SLIP-ON STEEL SILENCERS WITH REMOVABLE DBKILLERS&lt;/p&gt;_x000a_&lt;p&gt;ORIGINAL SILENCERS&amp;nbsp;WEIGHT: 5.4&amp;nbsp;KG&lt;br&gt;&lt;span&gt;ZARD&amp;nbsp;&lt;/span&gt;&lt;span&gt;SILENCERS&lt;/span&gt;&lt;span&gt;: 3.4&amp;nbsp;&lt;/span&gt;&lt;span&gt;KG&lt;/span&gt;&lt;/p&gt;_x000a_&lt;p&gt;THE INSTALLATION OF ZARD EXHAUST DOES NOT IMPLY ANY MODIFICATION TO ECU.&lt;br&gt;THE BOX INCLUDES ALL PARTS FOR THE FITMENT OF ZARD EXHAUST.&lt;/p&gt;_x000a_&lt;p&gt;&lt;span&gt;SILVER WIRE MESH&amp;nbsp;IS SUPPLIED WITH HEAT SHIELD OF BLACK CERAMIC COATING VERSION.&lt;/span&gt;&lt;/p&gt;_x000a_&lt;p&gt;&lt;span&gt;HARD INCREASE, COMPARED TO THE ORIGINAL EXHAUST SYSTEM.&lt;/span&gt;&lt;/p&gt;_x000a_&lt;p&gt;&lt;span&gt;ASTONISHING SOUND.&lt;/span&gt;&lt;/p&gt;_x000a_&lt;p&gt;&lt;/p&gt;"/>
    <s v="https://shop.officineitalianezard.it/contents/imgs/products/1_2156-scarico%20street%20scrambler%20zard%20exhaust%203.jpg"/>
    <m/>
    <m/>
  </r>
  <r>
    <s v="1586059209-10408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SIX-DAYS"/>
    <x v="80"/>
    <s v="N. 2 SLIP-ON SILENCERS"/>
    <s v="ZTPH086SSR"/>
    <s v="TRIUMPH STREET SCRAMBLER 2017/19"/>
    <n v="609.34"/>
    <n v="677.05"/>
    <s v="&lt;p&gt;N. 2 SLIP-ON STEEL SILENCERS WITH REMOVABLE DBKILLERS&lt;/p&gt;_x000a_&lt;p&gt;ORIGINAL SILENCERS&amp;nbsp;WEIGHT: 5.4&amp;nbsp;KG&lt;br&gt;&lt;span&gt;ZARD&amp;nbsp;&lt;/span&gt;&lt;span&gt;SILENCERS&lt;/span&gt;&lt;span&gt;: 3.4&amp;nbsp;&lt;/span&gt;&lt;span&gt;KG&lt;/span&gt;&lt;/p&gt;_x000a_&lt;p&gt;THE INSTALLATION OF ZARD EXHAUST DOES NOT IMPLY ANY MODIFICATION TO ECU.&lt;br&gt;THE BOX INCLUDES ALL PARTS FOR THE FITMENT OF ZARD EXHAUST.&lt;/p&gt;_x000a_&lt;p&gt;&lt;span&gt;SILVER WIRE MESH&amp;nbsp;IS SUPPLIED WITH HEAT SHIELD OF BLACK CERAMIC COATING VERSION.&lt;/span&gt;&lt;/p&gt;_x000a_&lt;p&gt;&lt;span&gt;HARD INCREASE, COMPARED TO THE ORIGINAL EXHAUST SYSTEM.&lt;/span&gt;&lt;/p&gt;_x000a_&lt;p&gt;&lt;span&gt;ASTONISHING SOUND.&lt;/span&gt;&lt;/p&gt;_x000a_&lt;p&gt;&lt;/p&gt;"/>
    <s v="https://shop.officineitalianezard.it/contents/imgs/products/1_2296-street%20scrambler%20slip%20on.jpg"/>
    <m/>
    <m/>
  </r>
  <r>
    <s v="1586059209-10409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SIX-DAYS"/>
    <x v="80"/>
    <s v="N. 2 SLIP-ON SILENCERS"/>
    <s v="ZTPH086SSR"/>
    <s v="TRIUMPH STREET SCRAMBLER 2017/19"/>
    <n v="609.34"/>
    <n v="677.05"/>
    <s v="&lt;p&gt;N. 2 SLIP-ON STEEL SILENCERS WITH REMOVABLE DBKILLERS&lt;/p&gt;_x000a_&lt;p&gt;ORIGINAL SILENCERS&amp;nbsp;WEIGHT: 5.4&amp;nbsp;KG&lt;br&gt;&lt;span&gt;ZARD&amp;nbsp;&lt;/span&gt;&lt;span&gt;SILENCERS&lt;/span&gt;&lt;span&gt;: 3.4&amp;nbsp;&lt;/span&gt;&lt;span&gt;KG&lt;/span&gt;&lt;/p&gt;_x000a_&lt;p&gt;THE INSTALLATION OF ZARD EXHAUST DOES NOT IMPLY ANY MODIFICATION TO ECU.&lt;br&gt;THE BOX INCLUDES ALL PARTS FOR THE FITMENT OF ZARD EXHAUST.&lt;/p&gt;_x000a_&lt;p&gt;&lt;span&gt;SILVER WIRE MESH&amp;nbsp;IS SUPPLIED WITH HEAT SHIELD OF BLACK CERAMIC COATING VERSION.&lt;/span&gt;&lt;/p&gt;_x000a_&lt;p&gt;&lt;span&gt;HARD INCREASE, COMPARED TO THE ORIGINAL EXHAUST SYSTEM.&lt;/span&gt;&lt;/p&gt;_x000a_&lt;p&gt;&lt;span&gt;ASTONISHING SOUND.&lt;/span&gt;&lt;/p&gt;_x000a_&lt;p&gt;&lt;/p&gt;"/>
    <m/>
    <s v="EURO 4 HOMOLOGATED"/>
    <n v="107.7"/>
  </r>
  <r>
    <s v="1586059209-10410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SIX-DAYS"/>
    <x v="80"/>
    <s v="N. 2 SLIP-ON SILENCERS"/>
    <s v="ZTPH086SSR"/>
    <s v="TRIUMPH STREET SCRAMBLER 2017/19"/>
    <n v="609.34"/>
    <n v="677.05"/>
    <s v="&lt;p&gt;N. 2 SLIP-ON STEEL SILENCERS WITH REMOVABLE DBKILLERS&lt;/p&gt;_x000a_&lt;p&gt;ORIGINAL SILENCERS&amp;nbsp;WEIGHT: 5.4&amp;nbsp;KG&lt;br&gt;&lt;span&gt;ZARD&amp;nbsp;&lt;/span&gt;&lt;span&gt;SILENCERS&lt;/span&gt;&lt;span&gt;: 3.4&amp;nbsp;&lt;/span&gt;&lt;span&gt;KG&lt;/span&gt;&lt;/p&gt;_x000a_&lt;p&gt;THE INSTALLATION OF ZARD EXHAUST DOES NOT IMPLY ANY MODIFICATION TO ECU.&lt;br&gt;THE BOX INCLUDES ALL PARTS FOR THE FITMENT OF ZARD EXHAUST.&lt;/p&gt;_x000a_&lt;p&gt;&lt;span&gt;SILVER WIRE MESH&amp;nbsp;IS SUPPLIED WITH HEAT SHIELD OF BLACK CERAMIC COATING VERSION.&lt;/span&gt;&lt;/p&gt;_x000a_&lt;p&gt;&lt;span&gt;HARD INCREASE, COMPARED TO THE ORIGINAL EXHAUST SYSTEM.&lt;/span&gt;&lt;/p&gt;_x000a_&lt;p&gt;&lt;span&gt;ASTONISHING SOUND.&lt;/span&gt;&lt;/p&gt;_x000a_&lt;p&gt;&lt;/p&gt;"/>
    <m/>
    <s v="BLACK COATING"/>
    <n v="169.67"/>
  </r>
  <r>
    <s v="1586059209-10411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SIX-DAYS"/>
    <x v="80"/>
    <s v="N. 2 SLIP-ON SILENCERS"/>
    <s v="ZTPH086SSR"/>
    <s v="TRIUMPH STREET SCRAMBLER 2017/19"/>
    <n v="609.34"/>
    <n v="677.05"/>
    <s v="&lt;p&gt;N. 2 SLIP-ON STEEL SILENCERS WITH REMOVABLE DBKILLERS&lt;/p&gt;_x000a_&lt;p&gt;ORIGINAL SILENCERS&amp;nbsp;WEIGHT: 5.4&amp;nbsp;KG&lt;br&gt;&lt;span&gt;ZARD&amp;nbsp;&lt;/span&gt;&lt;span&gt;SILENCERS&lt;/span&gt;&lt;span&gt;: 3.4&amp;nbsp;&lt;/span&gt;&lt;span&gt;KG&lt;/span&gt;&lt;/p&gt;_x000a_&lt;p&gt;THE INSTALLATION OF ZARD EXHAUST DOES NOT IMPLY ANY MODIFICATION TO ECU.&lt;br&gt;THE BOX INCLUDES ALL PARTS FOR THE FITMENT OF ZARD EXHAUST.&lt;/p&gt;_x000a_&lt;p&gt;&lt;span&gt;SILVER WIRE MESH&amp;nbsp;IS SUPPLIED WITH HEAT SHIELD OF BLACK CERAMIC COATING VERSION.&lt;/span&gt;&lt;/p&gt;_x000a_&lt;p&gt;&lt;span&gt;HARD INCREASE, COMPARED TO THE ORIGINAL EXHAUST SYSTEM.&lt;/span&gt;&lt;/p&gt;_x000a_&lt;p&gt;&lt;span&gt;ASTONISHING SOUND.&lt;/span&gt;&lt;/p&gt;_x000a_&lt;p&gt;&lt;/p&gt;"/>
    <m/>
    <s v="BLACK COATING ON HEAT SHIELD"/>
    <n v="53.85"/>
  </r>
  <r>
    <s v="1586059212-10412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SLIP-ON VERSION"/>
    <x v="81"/>
    <s v="N. 2 SILENCERS"/>
    <s v="ZTPH088SSR"/>
    <s v="TRIUMPH STREET SCRAMBLER 2017/19"/>
    <n v="607.13"/>
    <n v="674.59"/>
    <s v="&lt;p&gt;N. 2 SLIP-ON STEEL SILENCERS WITH REMOVABLE DBKILLERS&lt;/p&gt;_x000a_&lt;p&gt;ORIGINAL SILENCERS&amp;nbsp;WEIGHT: 5.4&amp;nbsp;KG&lt;br&gt;&lt;span&gt;ZARD&amp;nbsp;&lt;/span&gt;&lt;span&gt;SILENCERS&lt;/span&gt;&lt;span&gt;: 3.4&amp;nbsp;&lt;/span&gt;&lt;span&gt;KG&lt;/span&gt;&lt;/p&gt;_x000a_&lt;p&gt;THE INSTALLATION OF ZARD EXHAUST DOES NOT IMPLY ANY MODIFICATION TO ECU.&lt;br&gt;THE BOX INCLUDES ALL PARTS FOR THE FITMENT OF ZARD EXHAUST.&lt;/p&gt;_x000a_&lt;p&gt;&lt;span&gt;SILVER WIRE MESH&amp;nbsp;IS SUPPLIED WITH HEAT SHIELD OF BLACK CERAMIC COATING VERSION.&lt;/span&gt;&lt;/p&gt;_x000a_&lt;p&gt;&lt;span&gt;HARD INCREASE, COMPARED TO THE ORIGINAL EXHAUST SYSTEM.&lt;br&gt;&lt;/span&gt;&lt;span&gt;ASTONISHING SOUND.&lt;/span&gt;&lt;/p&gt;"/>
    <s v="https://shop.officineitalianezard.it/contents/imgs/products/1_2471-scarico%20triumph%20street%20scrambler%20-%20zard%20exhaust%201.jpg"/>
    <m/>
    <m/>
  </r>
  <r>
    <s v="1586059212-10413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SLIP-ON VERSION"/>
    <x v="81"/>
    <s v="N. 2 SILENCERS"/>
    <s v="ZTPH088SSR"/>
    <s v="TRIUMPH STREET SCRAMBLER 2017/19"/>
    <n v="607.13"/>
    <n v="674.59"/>
    <s v="&lt;p&gt;N. 2 SLIP-ON STEEL SILENCERS WITH REMOVABLE DBKILLERS&lt;/p&gt;_x000a_&lt;p&gt;ORIGINAL SILENCERS&amp;nbsp;WEIGHT: 5.4&amp;nbsp;KG&lt;br&gt;&lt;span&gt;ZARD&amp;nbsp;&lt;/span&gt;&lt;span&gt;SILENCERS&lt;/span&gt;&lt;span&gt;: 3.4&amp;nbsp;&lt;/span&gt;&lt;span&gt;KG&lt;/span&gt;&lt;/p&gt;_x000a_&lt;p&gt;THE INSTALLATION OF ZARD EXHAUST DOES NOT IMPLY ANY MODIFICATION TO ECU.&lt;br&gt;THE BOX INCLUDES ALL PARTS FOR THE FITMENT OF ZARD EXHAUST.&lt;/p&gt;_x000a_&lt;p&gt;&lt;span&gt;SILVER WIRE MESH&amp;nbsp;IS SUPPLIED WITH HEAT SHIELD OF BLACK CERAMIC COATING VERSION.&lt;/span&gt;&lt;/p&gt;_x000a_&lt;p&gt;&lt;span&gt;HARD INCREASE, COMPARED TO THE ORIGINAL EXHAUST SYSTEM.&lt;br&gt;&lt;/span&gt;&lt;span&gt;ASTONISHING SOUND.&lt;/span&gt;&lt;/p&gt;"/>
    <s v="https://shop.officineitalianezard.it/contents/imgs/products/1_2472-scarico%20triumph%20street%20scrambler%20-%20zard%20exhaust%202.jpg"/>
    <m/>
    <m/>
  </r>
  <r>
    <s v="1586059212-10414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SLIP-ON VERSION"/>
    <x v="81"/>
    <s v="N. 2 SILENCERS"/>
    <s v="ZTPH088SSR"/>
    <s v="TRIUMPH STREET SCRAMBLER 2017/19"/>
    <n v="607.13"/>
    <n v="674.59"/>
    <s v="&lt;p&gt;N. 2 SLIP-ON STEEL SILENCERS WITH REMOVABLE DBKILLERS&lt;/p&gt;_x000a_&lt;p&gt;ORIGINAL SILENCERS&amp;nbsp;WEIGHT: 5.4&amp;nbsp;KG&lt;br&gt;&lt;span&gt;ZARD&amp;nbsp;&lt;/span&gt;&lt;span&gt;SILENCERS&lt;/span&gt;&lt;span&gt;: 3.4&amp;nbsp;&lt;/span&gt;&lt;span&gt;KG&lt;/span&gt;&lt;/p&gt;_x000a_&lt;p&gt;THE INSTALLATION OF ZARD EXHAUST DOES NOT IMPLY ANY MODIFICATION TO ECU.&lt;br&gt;THE BOX INCLUDES ALL PARTS FOR THE FITMENT OF ZARD EXHAUST.&lt;/p&gt;_x000a_&lt;p&gt;&lt;span&gt;SILVER WIRE MESH&amp;nbsp;IS SUPPLIED WITH HEAT SHIELD OF BLACK CERAMIC COATING VERSION.&lt;/span&gt;&lt;/p&gt;_x000a_&lt;p&gt;&lt;span&gt;HARD INCREASE, COMPARED TO THE ORIGINAL EXHAUST SYSTEM.&lt;br&gt;&lt;/span&gt;&lt;span&gt;ASTONISHING SOUND.&lt;/span&gt;&lt;/p&gt;"/>
    <s v="https://shop.officineitalianezard.it/contents/imgs/products/1_2473-scarico%20triumph%20street%20scrambler%20-%20zard%20exhaust%203.jpg"/>
    <m/>
    <m/>
  </r>
  <r>
    <s v="1586059212-10415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SLIP-ON VERSION"/>
    <x v="81"/>
    <s v="N. 2 SILENCERS"/>
    <s v="ZTPH088SSR"/>
    <s v="TRIUMPH STREET SCRAMBLER 2017/19"/>
    <n v="607.13"/>
    <n v="674.59"/>
    <s v="&lt;p&gt;N. 2 SLIP-ON STEEL SILENCERS WITH REMOVABLE DBKILLERS&lt;/p&gt;_x000a_&lt;p&gt;ORIGINAL SILENCERS&amp;nbsp;WEIGHT: 5.4&amp;nbsp;KG&lt;br&gt;&lt;span&gt;ZARD&amp;nbsp;&lt;/span&gt;&lt;span&gt;SILENCERS&lt;/span&gt;&lt;span&gt;: 3.4&amp;nbsp;&lt;/span&gt;&lt;span&gt;KG&lt;/span&gt;&lt;/p&gt;_x000a_&lt;p&gt;THE INSTALLATION OF ZARD EXHAUST DOES NOT IMPLY ANY MODIFICATION TO ECU.&lt;br&gt;THE BOX INCLUDES ALL PARTS FOR THE FITMENT OF ZARD EXHAUST.&lt;/p&gt;_x000a_&lt;p&gt;&lt;span&gt;SILVER WIRE MESH&amp;nbsp;IS SUPPLIED WITH HEAT SHIELD OF BLACK CERAMIC COATING VERSION.&lt;/span&gt;&lt;/p&gt;_x000a_&lt;p&gt;&lt;span&gt;HARD INCREASE, COMPARED TO THE ORIGINAL EXHAUST SYSTEM.&lt;br&gt;&lt;/span&gt;&lt;span&gt;ASTONISHING SOUND.&lt;/span&gt;&lt;/p&gt;"/>
    <m/>
    <s v="EURO 4 HOMOLOGATED"/>
    <n v="104.02"/>
  </r>
  <r>
    <s v="1586059212-10416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SLIP-ON VERSION"/>
    <x v="81"/>
    <s v="N. 2 SILENCERS"/>
    <s v="ZTPH088SSR"/>
    <s v="TRIUMPH STREET SCRAMBLER 2017/19"/>
    <n v="607.13"/>
    <n v="674.59"/>
    <s v="&lt;p&gt;N. 2 SLIP-ON STEEL SILENCERS WITH REMOVABLE DBKILLERS&lt;/p&gt;_x000a_&lt;p&gt;ORIGINAL SILENCERS&amp;nbsp;WEIGHT: 5.4&amp;nbsp;KG&lt;br&gt;&lt;span&gt;ZARD&amp;nbsp;&lt;/span&gt;&lt;span&gt;SILENCERS&lt;/span&gt;&lt;span&gt;: 3.4&amp;nbsp;&lt;/span&gt;&lt;span&gt;KG&lt;/span&gt;&lt;/p&gt;_x000a_&lt;p&gt;THE INSTALLATION OF ZARD EXHAUST DOES NOT IMPLY ANY MODIFICATION TO ECU.&lt;br&gt;THE BOX INCLUDES ALL PARTS FOR THE FITMENT OF ZARD EXHAUST.&lt;/p&gt;_x000a_&lt;p&gt;&lt;span&gt;SILVER WIRE MESH&amp;nbsp;IS SUPPLIED WITH HEAT SHIELD OF BLACK CERAMIC COATING VERSION.&lt;/span&gt;&lt;/p&gt;_x000a_&lt;p&gt;&lt;span&gt;HARD INCREASE, COMPARED TO THE ORIGINAL EXHAUST SYSTEM.&lt;br&gt;&lt;/span&gt;&lt;span&gt;ASTONISHING SOUND.&lt;/span&gt;&lt;/p&gt;"/>
    <m/>
    <s v="BLACK CERAMIC COATING"/>
    <n v="162.30000000000001"/>
  </r>
  <r>
    <s v="1586059212-10417"/>
    <s v="https://shop.officineitalianezard.it/en/products/"/>
    <m/>
    <s v="https://shop.officineitalianezard.it/en/triumph-zard-exhaust/"/>
    <s v="STREET SCRAMBLER 2017/19"/>
    <s v="https://shop.officineitalianezard.it/en/triumph-street-scrambler-exhaust/"/>
    <s v="SLIP-ON VERSION"/>
    <x v="81"/>
    <s v="N. 2 SILENCERS"/>
    <s v="ZTPH088SSR"/>
    <s v="TRIUMPH STREET SCRAMBLER 2017/19"/>
    <n v="607.13"/>
    <n v="674.59"/>
    <s v="&lt;p&gt;N. 2 SLIP-ON STEEL SILENCERS WITH REMOVABLE DBKILLERS&lt;/p&gt;_x000a_&lt;p&gt;ORIGINAL SILENCERS&amp;nbsp;WEIGHT: 5.4&amp;nbsp;KG&lt;br&gt;&lt;span&gt;ZARD&amp;nbsp;&lt;/span&gt;&lt;span&gt;SILENCERS&lt;/span&gt;&lt;span&gt;: 3.4&amp;nbsp;&lt;/span&gt;&lt;span&gt;KG&lt;/span&gt;&lt;/p&gt;_x000a_&lt;p&gt;THE INSTALLATION OF ZARD EXHAUST DOES NOT IMPLY ANY MODIFICATION TO ECU.&lt;br&gt;THE BOX INCLUDES ALL PARTS FOR THE FITMENT OF ZARD EXHAUST.&lt;/p&gt;_x000a_&lt;p&gt;&lt;span&gt;SILVER WIRE MESH&amp;nbsp;IS SUPPLIED WITH HEAT SHIELD OF BLACK CERAMIC COATING VERSION.&lt;/span&gt;&lt;/p&gt;_x000a_&lt;p&gt;&lt;span&gt;HARD INCREASE, COMPARED TO THE ORIGINAL EXHAUST SYSTEM.&lt;br&gt;&lt;/span&gt;&lt;span&gt;ASTONISHING SOUND.&lt;/span&gt;&lt;/p&gt;"/>
    <m/>
    <s v="BLACK HEAT SHIELD"/>
    <n v="51.64"/>
  </r>
  <r>
    <s v="1586059217-10418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2"/>
    <s v="HIGHT MOUNTED FULL KIT 2&gt;1"/>
    <s v="ZTPH034SKA"/>
    <s v="TRIUMPH SCRAMBLER 900 &lt; 2015"/>
    <n v="739.92"/>
    <n v="822.13"/>
    <s v="&lt;p&gt;2&amp;gt;1 STEEL RACING HIGHT MOUNTED FULL KIT&amp;nbsp;&lt;/p&gt;_x000a_&lt;p&gt;ORIGINAL FULL KIT WEIGHT: KG 11.6&lt;br&gt;ZARD FULL KIT WEIGHT: KG 4.4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&lt;/p&gt;_x000a_&lt;p&gt;&amp;nbsp;&lt;/p&gt;"/>
    <s v="https://shop.officineitalianezard.it/contents/imgs/products/1_1369-zard.jpg"/>
    <m/>
    <m/>
  </r>
  <r>
    <s v="1586059217-10419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2"/>
    <s v="HIGHT MOUNTED FULL KIT 2&gt;1"/>
    <s v="ZTPH034SKA"/>
    <s v="TRIUMPH SCRAMBLER 900 &lt; 2015"/>
    <n v="739.92"/>
    <n v="822.13"/>
    <s v="&lt;p&gt;2&amp;gt;1 STEEL RACING HIGHT MOUNTED FULL KIT&amp;nbsp;&lt;/p&gt;_x000a_&lt;p&gt;ORIGINAL FULL KIT WEIGHT: KG 11.6&lt;br&gt;ZARD FULL KIT WEIGHT: KG 4.4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&lt;/p&gt;_x000a_&lt;p&gt;&amp;nbsp;&lt;/p&gt;"/>
    <s v="https://shop.officineitalianezard.it/contents/imgs/products/1_502-zard%20nera.jpg"/>
    <m/>
    <m/>
  </r>
  <r>
    <s v="1586059217-10420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2"/>
    <s v="HIGHT MOUNTED FULL KIT 2&gt;1"/>
    <s v="ZTPH034SKA"/>
    <s v="TRIUMPH SCRAMBLER 900 &lt; 2015"/>
    <n v="739.92"/>
    <n v="822.13"/>
    <s v="&lt;p&gt;2&amp;gt;1 STEEL RACING HIGHT MOUNTED FULL KIT&amp;nbsp;&lt;/p&gt;_x000a_&lt;p&gt;ORIGINAL FULL KIT WEIGHT: KG 11.6&lt;br&gt;ZARD FULL KIT WEIGHT: KG 4.4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&lt;/p&gt;_x000a_&lt;p&gt;&amp;nbsp;&lt;/p&gt;"/>
    <s v="https://shop.officineitalianezard.it/contents/imgs/products/1_81-garys-triumph-007.jpg"/>
    <m/>
    <m/>
  </r>
  <r>
    <s v="1586059217-10421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2"/>
    <s v="HIGHT MOUNTED FULL KIT 2&gt;1"/>
    <s v="ZTPH034SKA"/>
    <s v="TRIUMPH SCRAMBLER 900 &lt; 2015"/>
    <n v="739.92"/>
    <n v="822.13"/>
    <s v="&lt;p&gt;2&amp;gt;1 STEEL RACING HIGHT MOUNTED FULL KIT&amp;nbsp;&lt;/p&gt;_x000a_&lt;p&gt;ORIGINAL FULL KIT WEIGHT: KG 11.6&lt;br&gt;ZARD FULL KIT WEIGHT: KG 4.4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&lt;/p&gt;_x000a_&lt;p&gt;&amp;nbsp;&lt;/p&gt;"/>
    <s v="https://shop.officineitalianezard.it/contents/imgs/products/1_1730-1066-scarico%20scrambler%20zard1.jpg"/>
    <m/>
    <m/>
  </r>
  <r>
    <s v="1586059217-10422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2"/>
    <s v="HIGHT MOUNTED FULL KIT 2&gt;1"/>
    <s v="ZTPH034SKA"/>
    <s v="TRIUMPH SCRAMBLER 900 &lt; 2015"/>
    <n v="739.92"/>
    <n v="822.13"/>
    <s v="&lt;p&gt;2&amp;gt;1 STEEL RACING HIGHT MOUNTED FULL KIT&amp;nbsp;&lt;/p&gt;_x000a_&lt;p&gt;ORIGINAL FULL KIT WEIGHT: KG 11.6&lt;br&gt;ZARD FULL KIT WEIGHT: KG 4.4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&lt;/p&gt;_x000a_&lt;p&gt;&amp;nbsp;&lt;/p&gt;"/>
    <s v="https://shop.officineitalianezard.it/contents/imgs/products/1_1731-1066-scarico%20scrambler%20zard1.jpg"/>
    <m/>
    <m/>
  </r>
  <r>
    <s v="1586059217-10423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2"/>
    <s v="HIGHT MOUNTED FULL KIT 2&gt;1"/>
    <s v="ZTPH034SKA"/>
    <s v="TRIUMPH SCRAMBLER 900 &lt; 2015"/>
    <n v="739.92"/>
    <n v="822.13"/>
    <s v="&lt;p&gt;2&amp;gt;1 STEEL RACING HIGHT MOUNTED FULL KIT&amp;nbsp;&lt;/p&gt;_x000a_&lt;p&gt;ORIGINAL FULL KIT WEIGHT: KG 11.6&lt;br&gt;ZARD FULL KIT WEIGHT: KG 4.4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&lt;/p&gt;_x000a_&lt;p&gt;&amp;nbsp;&lt;/p&gt;"/>
    <m/>
    <s v="CATALYSED"/>
    <n v="207.3"/>
  </r>
  <r>
    <s v="1586059217-10424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2"/>
    <s v="HIGHT MOUNTED FULL KIT 2&gt;1"/>
    <s v="ZTPH034SKA"/>
    <s v="TRIUMPH SCRAMBLER 900 &lt; 2015"/>
    <n v="739.92"/>
    <n v="822.13"/>
    <s v="&lt;p&gt;2&amp;gt;1 STEEL RACING HIGHT MOUNTED FULL KIT&amp;nbsp;&lt;/p&gt;_x000a_&lt;p&gt;ORIGINAL FULL KIT WEIGHT: KG 11.6&lt;br&gt;ZARD FULL KIT WEIGHT: KG 4.4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&lt;/p&gt;_x000a_&lt;p&gt;&amp;nbsp;&lt;/p&gt;"/>
    <m/>
    <s v="BLACK COATING"/>
    <n v="169.67"/>
  </r>
  <r>
    <s v="1586059217-10425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2"/>
    <s v="HIGHT MOUNTED FULL KIT 2&gt;1"/>
    <s v="ZTPH034SKA"/>
    <s v="TRIUMPH SCRAMBLER 900 &lt; 2015"/>
    <n v="739.92"/>
    <n v="822.13"/>
    <s v="&lt;p&gt;2&amp;gt;1 STEEL RACING HIGHT MOUNTED FULL KIT&amp;nbsp;&lt;/p&gt;_x000a_&lt;p&gt;ORIGINAL FULL KIT WEIGHT: KG 11.6&lt;br&gt;ZARD FULL KIT WEIGHT: KG 4.4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&lt;/p&gt;_x000a_&lt;p&gt;&amp;nbsp;&lt;/p&gt;"/>
    <m/>
    <s v="POLISHED"/>
    <n v="96.64"/>
  </r>
  <r>
    <s v="1586059217-10426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2"/>
    <s v="HIGHT MOUNTED FULL KIT 2&gt;1"/>
    <s v="ZTPH034SKA"/>
    <s v="TRIUMPH SCRAMBLER 900 &lt; 2015"/>
    <n v="739.92"/>
    <n v="822.13"/>
    <s v="&lt;p&gt;2&amp;gt;1 STEEL RACING HIGHT MOUNTED FULL KIT&amp;nbsp;&lt;/p&gt;_x000a_&lt;p&gt;ORIGINAL FULL KIT WEIGHT: KG 11.6&lt;br&gt;ZARD FULL KIT WEIGHT: KG 4.4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&lt;/p&gt;_x000a_&lt;p&gt;&amp;nbsp;&lt;/p&gt;"/>
    <m/>
    <s v="BLACK HEAT SHIELDS"/>
    <n v="53.85"/>
  </r>
  <r>
    <s v="1586059219-10427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3"/>
    <s v="HIGHT MOUNTED FULL KIT 2&gt;1"/>
    <s v="ZTPH034SKA"/>
    <s v="TRIUMPH SCRAMBLER 900 &lt; 2015"/>
    <n v="739.92"/>
    <n v="822.13"/>
    <s v="&lt;p&gt;2&amp;gt;1 STEEL RACING HIGHT MOUNTED FULL KIT&amp;nbsp;&lt;/p&gt;_x000a_&lt;p&gt;ORIGINAL FULL KIT WEIGHT: KG 11.6&lt;br&gt;ZARD FULL KIT WEIGHT: KG 4.4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VIDEO:&amp;nbsp;&lt;a href=&quot;https://goo.gl/otwf4E&quot;&gt;https://goo.gl/otwf4E&lt;/a&gt;&lt;br class=&quot;Apple-interchange-newline&quot;&gt;&lt;br&gt;&lt;/p&gt;"/>
    <s v="https://shop.officineitalianezard.it/contents/imgs/products/1_1370-zard.jpg"/>
    <m/>
    <m/>
  </r>
  <r>
    <s v="1586059219-10428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3"/>
    <s v="HIGHT MOUNTED FULL KIT 2&gt;1"/>
    <s v="ZTPH034SKA"/>
    <s v="TRIUMPH SCRAMBLER 900 &lt; 2015"/>
    <n v="739.92"/>
    <n v="822.13"/>
    <s v="&lt;p&gt;2&amp;gt;1 STEEL RACING HIGHT MOUNTED FULL KIT&amp;nbsp;&lt;/p&gt;_x000a_&lt;p&gt;ORIGINAL FULL KIT WEIGHT: KG 11.6&lt;br&gt;ZARD FULL KIT WEIGHT: KG 4.4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VIDEO:&amp;nbsp;&lt;a href=&quot;https://goo.gl/otwf4E&quot;&gt;https://goo.gl/otwf4E&lt;/a&gt;&lt;br class=&quot;Apple-interchange-newline&quot;&gt;&lt;br&gt;&lt;/p&gt;"/>
    <s v="https://shop.officineitalianezard.it/contents/imgs/products/1_503-zard%20nera.jpg"/>
    <m/>
    <m/>
  </r>
  <r>
    <s v="1586059219-10429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3"/>
    <s v="HIGHT MOUNTED FULL KIT 2&gt;1"/>
    <s v="ZTPH034SKA"/>
    <s v="TRIUMPH SCRAMBLER 900 &lt; 2015"/>
    <n v="739.92"/>
    <n v="822.13"/>
    <s v="&lt;p&gt;2&amp;gt;1 STEEL RACING HIGHT MOUNTED FULL KIT&amp;nbsp;&lt;/p&gt;_x000a_&lt;p&gt;ORIGINAL FULL KIT WEIGHT: KG 11.6&lt;br&gt;ZARD FULL KIT WEIGHT: KG 4.4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VIDEO:&amp;nbsp;&lt;a href=&quot;https://goo.gl/otwf4E&quot;&gt;https://goo.gl/otwf4E&lt;/a&gt;&lt;br class=&quot;Apple-interchange-newline&quot;&gt;&lt;br&gt;&lt;/p&gt;"/>
    <s v="https://shop.officineitalianezard.it/contents/imgs/products/1_86-garys-triumph-007.jpg"/>
    <m/>
    <m/>
  </r>
  <r>
    <s v="1586059219-10430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3"/>
    <s v="HIGHT MOUNTED FULL KIT 2&gt;1"/>
    <s v="ZTPH034SKA"/>
    <s v="TRIUMPH SCRAMBLER 900 &lt; 2015"/>
    <n v="739.92"/>
    <n v="822.13"/>
    <s v="&lt;p&gt;2&amp;gt;1 STEEL RACING HIGHT MOUNTED FULL KIT&amp;nbsp;&lt;/p&gt;_x000a_&lt;p&gt;ORIGINAL FULL KIT WEIGHT: KG 11.6&lt;br&gt;ZARD FULL KIT WEIGHT: KG 4.4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VIDEO:&amp;nbsp;&lt;a href=&quot;https://goo.gl/otwf4E&quot;&gt;https://goo.gl/otwf4E&lt;/a&gt;&lt;br class=&quot;Apple-interchange-newline&quot;&gt;&lt;br&gt;&lt;/p&gt;"/>
    <m/>
    <s v="EURO 3 HOMOLOGATED"/>
    <n v="87.05"/>
  </r>
  <r>
    <s v="1586059219-10431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3"/>
    <s v="HIGHT MOUNTED FULL KIT 2&gt;1"/>
    <s v="ZTPH034SKA"/>
    <s v="TRIUMPH SCRAMBLER 900 &lt; 2015"/>
    <n v="739.92"/>
    <n v="822.13"/>
    <s v="&lt;p&gt;2&amp;gt;1 STEEL RACING HIGHT MOUNTED FULL KIT&amp;nbsp;&lt;/p&gt;_x000a_&lt;p&gt;ORIGINAL FULL KIT WEIGHT: KG 11.6&lt;br&gt;ZARD FULL KIT WEIGHT: KG 4.4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VIDEO:&amp;nbsp;&lt;a href=&quot;https://goo.gl/otwf4E&quot;&gt;https://goo.gl/otwf4E&lt;/a&gt;&lt;br class=&quot;Apple-interchange-newline&quot;&gt;&lt;br&gt;&lt;/p&gt;"/>
    <m/>
    <s v="BLACK COATING"/>
    <n v="169.67"/>
  </r>
  <r>
    <s v="1586059219-10432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3"/>
    <s v="HIGHT MOUNTED FULL KIT 2&gt;1"/>
    <s v="ZTPH034SKA"/>
    <s v="TRIUMPH SCRAMBLER 900 &lt; 2015"/>
    <n v="739.92"/>
    <n v="822.13"/>
    <s v="&lt;p&gt;2&amp;gt;1 STEEL RACING HIGHT MOUNTED FULL KIT&amp;nbsp;&lt;/p&gt;_x000a_&lt;p&gt;ORIGINAL FULL KIT WEIGHT: KG 11.6&lt;br&gt;ZARD FULL KIT WEIGHT: KG 4.4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VIDEO:&amp;nbsp;&lt;a href=&quot;https://goo.gl/otwf4E&quot;&gt;https://goo.gl/otwf4E&lt;/a&gt;&lt;br class=&quot;Apple-interchange-newline&quot;&gt;&lt;br&gt;&lt;/p&gt;"/>
    <m/>
    <s v="POLISHED"/>
    <n v="96.64"/>
  </r>
  <r>
    <s v="1586059219-10433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3"/>
    <s v="HIGHT MOUNTED FULL KIT 2&gt;1"/>
    <s v="ZTPH034SKA"/>
    <s v="TRIUMPH SCRAMBLER 900 &lt; 2015"/>
    <n v="739.92"/>
    <n v="822.13"/>
    <s v="&lt;p&gt;2&amp;gt;1 STEEL RACING HIGHT MOUNTED FULL KIT&amp;nbsp;&lt;/p&gt;_x000a_&lt;p&gt;ORIGINAL FULL KIT WEIGHT: KG 11.6&lt;br&gt;ZARD FULL KIT WEIGHT: KG 4.4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VIDEO:&amp;nbsp;&lt;a href=&quot;https://goo.gl/otwf4E&quot;&gt;https://goo.gl/otwf4E&lt;/a&gt;&lt;br class=&quot;Apple-interchange-newline&quot;&gt;&lt;br&gt;&lt;/p&gt;"/>
    <m/>
    <s v="BLACK HEAT SHIELDS"/>
    <n v="53.85"/>
  </r>
  <r>
    <s v="1586059222-10434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4"/>
    <s v="2&gt;1 HIGH MOUNTED SHORT FULL KIT"/>
    <s v="ZTPH048SKA-08"/>
    <s v="TRIUMPH SCRAMBLER 900 &lt; 2015"/>
    <n v="844.67"/>
    <n v="938.52"/>
    <s v="&lt;p&gt;2&amp;gt;1 STEEL RACING HIGH MOUNTED SHORT FULL KIT WITH REMOVABLE DBKILLERS&lt;/p&gt;_x000a_&lt;p&gt;ORIGINAL FULL KIT WEIGHT: KG 11.6&lt;br&gt;ZARD FULL KIT WEIGHT: KG 3.9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&lt;/p&gt;"/>
    <s v="https://shop.officineitalianezard.it/contents/imgs/products/1_505-zard%20triumph%20scrambler.jpg"/>
    <m/>
    <m/>
  </r>
  <r>
    <s v="1586059222-10435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4"/>
    <s v="2&gt;1 HIGH MOUNTED SHORT FULL KIT"/>
    <s v="ZTPH048SKA-08"/>
    <s v="TRIUMPH SCRAMBLER 900 &lt; 2015"/>
    <n v="844.67"/>
    <n v="938.52"/>
    <s v="&lt;p&gt;2&amp;gt;1 STEEL RACING HIGH MOUNTED SHORT FULL KIT WITH REMOVABLE DBKILLERS&lt;/p&gt;_x000a_&lt;p&gt;ORIGINAL FULL KIT WEIGHT: KG 11.6&lt;br&gt;ZARD FULL KIT WEIGHT: KG 3.9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&lt;/p&gt;"/>
    <s v="https://shop.officineitalianezard.it/contents/imgs/products/1_446-1MG_1038.JPG"/>
    <m/>
    <m/>
  </r>
  <r>
    <s v="1586059222-10436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4"/>
    <s v="2&gt;1 HIGH MOUNTED SHORT FULL KIT"/>
    <s v="ZTPH048SKA-08"/>
    <s v="TRIUMPH SCRAMBLER 900 &lt; 2015"/>
    <n v="844.67"/>
    <n v="938.52"/>
    <s v="&lt;p&gt;2&amp;gt;1 STEEL RACING HIGH MOUNTED SHORT FULL KIT WITH REMOVABLE DBKILLERS&lt;/p&gt;_x000a_&lt;p&gt;ORIGINAL FULL KIT WEIGHT: KG 11.6&lt;br&gt;ZARD FULL KIT WEIGHT: KG 3.9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&lt;/p&gt;"/>
    <s v="https://shop.officineitalianezard.it/contents/imgs/products/1_1196-1.jpg"/>
    <m/>
    <m/>
  </r>
  <r>
    <s v="1586059222-10437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4"/>
    <s v="2&gt;1 HIGH MOUNTED SHORT FULL KIT"/>
    <s v="ZTPH048SKA-08"/>
    <s v="TRIUMPH SCRAMBLER 900 &lt; 2015"/>
    <n v="844.67"/>
    <n v="938.52"/>
    <s v="&lt;p&gt;2&amp;gt;1 STEEL RACING HIGH MOUNTED SHORT FULL KIT WITH REMOVABLE DBKILLERS&lt;/p&gt;_x000a_&lt;p&gt;ORIGINAL FULL KIT WEIGHT: KG 11.6&lt;br&gt;ZARD FULL KIT WEIGHT: KG 3.9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&lt;/p&gt;"/>
    <s v="https://shop.officineitalianezard.it/contents/imgs/products/1_1197-2.jpg"/>
    <m/>
    <m/>
  </r>
  <r>
    <s v="1586059222-10438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4"/>
    <s v="2&gt;1 HIGH MOUNTED SHORT FULL KIT"/>
    <s v="ZTPH048SKA-08"/>
    <s v="TRIUMPH SCRAMBLER 900 &lt; 2015"/>
    <n v="844.67"/>
    <n v="938.52"/>
    <s v="&lt;p&gt;2&amp;gt;1 STEEL RACING HIGH MOUNTED SHORT FULL KIT WITH REMOVABLE DBKILLERS&lt;/p&gt;_x000a_&lt;p&gt;ORIGINAL FULL KIT WEIGHT: KG 11.6&lt;br&gt;ZARD FULL KIT WEIGHT: KG 3.9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&lt;/p&gt;"/>
    <s v="https://shop.officineitalianezard.it/contents/imgs/products/1_1198-3.jpg"/>
    <m/>
    <m/>
  </r>
  <r>
    <s v="1586059222-10439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4"/>
    <s v="2&gt;1 HIGH MOUNTED SHORT FULL KIT"/>
    <s v="ZTPH048SKA-08"/>
    <s v="TRIUMPH SCRAMBLER 900 &lt; 2015"/>
    <n v="844.67"/>
    <n v="938.52"/>
    <s v="&lt;p&gt;2&amp;gt;1 STEEL RACING HIGH MOUNTED SHORT FULL KIT WITH REMOVABLE DBKILLERS&lt;/p&gt;_x000a_&lt;p&gt;ORIGINAL FULL KIT WEIGHT: KG 11.6&lt;br&gt;ZARD FULL KIT WEIGHT: KG 3.9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&lt;/p&gt;"/>
    <s v="https://shop.officineitalianezard.it/contents/imgs/products/1_1100-inox-paracalore%20nero.jpg"/>
    <m/>
    <m/>
  </r>
  <r>
    <s v="1586059222-10440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4"/>
    <s v="2&gt;1 HIGH MOUNTED SHORT FULL KIT"/>
    <s v="ZTPH048SKA-08"/>
    <s v="TRIUMPH SCRAMBLER 900 &lt; 2015"/>
    <n v="844.67"/>
    <n v="938.52"/>
    <s v="&lt;p&gt;2&amp;gt;1 STEEL RACING HIGH MOUNTED SHORT FULL KIT WITH REMOVABLE DBKILLERS&lt;/p&gt;_x000a_&lt;p&gt;ORIGINAL FULL KIT WEIGHT: KG 11.6&lt;br&gt;ZARD FULL KIT WEIGHT: KG 3.9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&lt;/p&gt;"/>
    <s v="https://shop.officineitalianezard.it/contents/imgs/products/1_1101-nero.jpg"/>
    <m/>
    <m/>
  </r>
  <r>
    <s v="1586059222-10441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4"/>
    <s v="2&gt;1 HIGH MOUNTED SHORT FULL KIT"/>
    <s v="ZTPH048SKA-08"/>
    <s v="TRIUMPH SCRAMBLER 900 &lt; 2015"/>
    <n v="844.67"/>
    <n v="938.52"/>
    <s v="&lt;p&gt;2&amp;gt;1 STEEL RACING HIGH MOUNTED SHORT FULL KIT WITH REMOVABLE DBKILLERS&lt;/p&gt;_x000a_&lt;p&gt;ORIGINAL FULL KIT WEIGHT: KG 11.6&lt;br&gt;ZARD FULL KIT WEIGHT: KG 3.9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&lt;/p&gt;"/>
    <s v="https://shop.officineitalianezard.it/contents/imgs/products/1_1102-inox.jpg"/>
    <m/>
    <m/>
  </r>
  <r>
    <s v="1586059222-10442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4"/>
    <s v="2&gt;1 HIGH MOUNTED SHORT FULL KIT"/>
    <s v="ZTPH048SKA-08"/>
    <s v="TRIUMPH SCRAMBLER 900 &lt; 2015"/>
    <n v="844.67"/>
    <n v="938.52"/>
    <s v="&lt;p&gt;2&amp;gt;1 STEEL RACING HIGH MOUNTED SHORT FULL KIT WITH REMOVABLE DBKILLERS&lt;/p&gt;_x000a_&lt;p&gt;ORIGINAL FULL KIT WEIGHT: KG 11.6&lt;br&gt;ZARD FULL KIT WEIGHT: KG 3.9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&lt;/p&gt;"/>
    <s v="https://shop.officineitalianezard.it/contents/imgs/products/1_1728-1066-scarico%20scrambler%20zard1.jpg"/>
    <m/>
    <m/>
  </r>
  <r>
    <s v="1586059222-10443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4"/>
    <s v="2&gt;1 HIGH MOUNTED SHORT FULL KIT"/>
    <s v="ZTPH048SKA-08"/>
    <s v="TRIUMPH SCRAMBLER 900 &lt; 2015"/>
    <n v="844.67"/>
    <n v="938.52"/>
    <s v="&lt;p&gt;2&amp;gt;1 STEEL RACING HIGH MOUNTED SHORT FULL KIT WITH REMOVABLE DBKILLERS&lt;/p&gt;_x000a_&lt;p&gt;ORIGINAL FULL KIT WEIGHT: KG 11.6&lt;br&gt;ZARD FULL KIT WEIGHT: KG 3.9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&lt;/p&gt;"/>
    <m/>
    <s v="CATALYSED"/>
    <n v="207.3"/>
  </r>
  <r>
    <s v="1586059222-10444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4"/>
    <s v="2&gt;1 HIGH MOUNTED SHORT FULL KIT"/>
    <s v="ZTPH048SKA-08"/>
    <s v="TRIUMPH SCRAMBLER 900 &lt; 2015"/>
    <n v="844.67"/>
    <n v="938.52"/>
    <s v="&lt;p&gt;2&amp;gt;1 STEEL RACING HIGH MOUNTED SHORT FULL KIT WITH REMOVABLE DBKILLERS&lt;/p&gt;_x000a_&lt;p&gt;ORIGINAL FULL KIT WEIGHT: KG 11.6&lt;br&gt;ZARD FULL KIT WEIGHT: KG 3.9&lt;/p&gt;_x000a_&lt;p&gt;'BLACK CERAMIC COATING' OPTIONAL INCLUDES BOTH BLACK HEAT SHIELDS AND BLACK + SILVER WIRE MESHEES&lt;/p&gt;_x000a_&lt;p&gt;HARD INCREASE IN TERMS OF RESPONSE IN THE RANGE BETWEEN 4000 AND 6500 RPM AND 1.5 MORE HP COMPARED TO THE ORIGINAL EXHAUST SYSTEM.&lt;/p&gt;_x000a_&lt;p&gt;ASTONISHING SOUND.&lt;/p&gt;_x000a_&lt;p&gt;&lt;/p&gt;"/>
    <m/>
    <s v="BLACK COATING"/>
    <n v="169.67"/>
  </r>
  <r>
    <s v="1586059226-10445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5"/>
    <s v="2&gt;1 HIGHT MOUNTING SHORT FULL KIT"/>
    <s v="ZTPH048SKA"/>
    <s v="TRIUMPH SCRAMBLER 900 &lt; 2015"/>
    <n v="844.67"/>
    <n v="938.52"/>
    <s v="&lt;p&gt;2&amp;gt;1 STEEL RACING FULL KIT WITH REMOVABLE DBKILLERS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499-zard%20triumph%20scrambler.jpg"/>
    <m/>
    <m/>
  </r>
  <r>
    <s v="1586059226-10446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5"/>
    <s v="2&gt;1 HIGHT MOUNTING SHORT FULL KIT"/>
    <s v="ZTPH048SKA"/>
    <s v="TRIUMPH SCRAMBLER 900 &lt; 2015"/>
    <n v="844.67"/>
    <n v="938.52"/>
    <s v="&lt;p&gt;2&amp;gt;1 STEEL RACING FULL KIT WITH REMOVABLE DBKILLERS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448-1MG_1038.JPG"/>
    <m/>
    <m/>
  </r>
  <r>
    <s v="1586059226-10447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5"/>
    <s v="2&gt;1 HIGHT MOUNTING SHORT FULL KIT"/>
    <s v="ZTPH048SKA"/>
    <s v="TRIUMPH SCRAMBLER 900 &lt; 2015"/>
    <n v="844.67"/>
    <n v="938.52"/>
    <s v="&lt;p&gt;2&amp;gt;1 STEEL RACING FULL KIT WITH REMOVABLE DBKILLERS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1199-1.jpg"/>
    <m/>
    <m/>
  </r>
  <r>
    <s v="1586059226-10448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5"/>
    <s v="2&gt;1 HIGHT MOUNTING SHORT FULL KIT"/>
    <s v="ZTPH048SKA"/>
    <s v="TRIUMPH SCRAMBLER 900 &lt; 2015"/>
    <n v="844.67"/>
    <n v="938.52"/>
    <s v="&lt;p&gt;2&amp;gt;1 STEEL RACING FULL KIT WITH REMOVABLE DBKILLERS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1200-2.jpg"/>
    <m/>
    <m/>
  </r>
  <r>
    <s v="1586059226-10449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5"/>
    <s v="2&gt;1 HIGHT MOUNTING SHORT FULL KIT"/>
    <s v="ZTPH048SKA"/>
    <s v="TRIUMPH SCRAMBLER 900 &lt; 2015"/>
    <n v="844.67"/>
    <n v="938.52"/>
    <s v="&lt;p&gt;2&amp;gt;1 STEEL RACING FULL KIT WITH REMOVABLE DBKILLERS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1201-3.jpg"/>
    <m/>
    <m/>
  </r>
  <r>
    <s v="1586059226-10450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5"/>
    <s v="2&gt;1 HIGHT MOUNTING SHORT FULL KIT"/>
    <s v="ZTPH048SKA"/>
    <s v="TRIUMPH SCRAMBLER 900 &lt; 2015"/>
    <n v="844.67"/>
    <n v="938.52"/>
    <s v="&lt;p&gt;2&amp;gt;1 STEEL RACING FULL KIT WITH REMOVABLE DBKILLERS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1103-inox-paracalore%20nero.jpg"/>
    <m/>
    <m/>
  </r>
  <r>
    <s v="1586059226-10451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5"/>
    <s v="2&gt;1 HIGHT MOUNTING SHORT FULL KIT"/>
    <s v="ZTPH048SKA"/>
    <s v="TRIUMPH SCRAMBLER 900 &lt; 2015"/>
    <n v="844.67"/>
    <n v="938.52"/>
    <s v="&lt;p&gt;2&amp;gt;1 STEEL RACING FULL KIT WITH REMOVABLE DBKILLERS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1104-nero.jpg"/>
    <m/>
    <m/>
  </r>
  <r>
    <s v="1586059226-10452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5"/>
    <s v="2&gt;1 HIGHT MOUNTING SHORT FULL KIT"/>
    <s v="ZTPH048SKA"/>
    <s v="TRIUMPH SCRAMBLER 900 &lt; 2015"/>
    <n v="844.67"/>
    <n v="938.52"/>
    <s v="&lt;p&gt;2&amp;gt;1 STEEL RACING FULL KIT WITH REMOVABLE DBKILLERS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1105-inox.jpg"/>
    <m/>
    <m/>
  </r>
  <r>
    <s v="1586059226-10453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5"/>
    <s v="2&gt;1 HIGHT MOUNTING SHORT FULL KIT"/>
    <s v="ZTPH048SKA"/>
    <s v="TRIUMPH SCRAMBLER 900 &lt; 2015"/>
    <n v="844.67"/>
    <n v="938.52"/>
    <s v="&lt;p&gt;2&amp;gt;1 STEEL RACING FULL KIT WITH REMOVABLE DBKILLERS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1729-1066-scarico%20scrambler%20zard1.jpg"/>
    <m/>
    <m/>
  </r>
  <r>
    <s v="1586059226-10454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5"/>
    <s v="2&gt;1 HIGHT MOUNTING SHORT FULL KIT"/>
    <s v="ZTPH048SKA"/>
    <s v="TRIUMPH SCRAMBLER 900 &lt; 2015"/>
    <n v="844.67"/>
    <n v="938.52"/>
    <s v="&lt;p&gt;2&amp;gt;1 STEEL RACING FULL KIT WITH REMOVABLE DBKILLERS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m/>
    <s v="HOMOLOGATED"/>
    <n v="87.05"/>
  </r>
  <r>
    <s v="1586059226-10455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5"/>
    <s v="2&gt;1 HIGHT MOUNTING SHORT FULL KIT"/>
    <s v="ZTPH048SKA"/>
    <s v="TRIUMPH SCRAMBLER 900 &lt; 2015"/>
    <n v="844.67"/>
    <n v="938.52"/>
    <s v="&lt;p&gt;2&amp;gt;1 STEEL RACING FULL KIT WITH REMOVABLE DBKILLERS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m/>
    <s v="BLACK COATING"/>
    <n v="169.67"/>
  </r>
  <r>
    <s v="1586059229-10456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6"/>
    <s v="2&gt;1 LOW MOUNTED FULL KIT"/>
    <s v="ZTPH036SKB-08"/>
    <s v="TRIUMPH SCRAMBLER 900 &lt; 2015"/>
    <n v="712.62"/>
    <n v="791.8"/>
    <s v="&lt;p&gt;2&amp;gt;1 STEEL RACING FULL KIT&lt;/p&gt;_x000a_&lt;p&gt;ORIGINAL FULL KIT WEIGHT: KG 11.6&lt;br&gt;ZARD FULL KIT WEIGHT: KG 4&lt;/p&gt;_x000a_&lt;p&gt;HARD INCREASE IN THE RANGE BETWEEN 4000 AND 6500 RPM AND 1.5 MORE HP COMPARED TO THE ORIGINAL EXHAUST SYSTEM.&lt;/p&gt;_x000a_&lt;p&gt;ASTONISHING SOUND.&lt;/p&gt;"/>
    <s v="https://shop.officineitalianezard.it/contents/imgs/products/1_115-1.jpg"/>
    <m/>
    <m/>
  </r>
  <r>
    <s v="1586059229-10457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6"/>
    <s v="2&gt;1 LOW MOUNTED FULL KIT"/>
    <s v="ZTPH036SKB-08"/>
    <s v="TRIUMPH SCRAMBLER 900 &lt; 2015"/>
    <n v="712.62"/>
    <n v="791.8"/>
    <s v="&lt;p&gt;2&amp;gt;1 STEEL RACING FULL KIT&lt;/p&gt;_x000a_&lt;p&gt;ORIGINAL FULL KIT WEIGHT: KG 11.6&lt;br&gt;ZARD FULL KIT WEIGHT: KG 4&lt;/p&gt;_x000a_&lt;p&gt;HARD INCREASE IN THE RANGE BETWEEN 4000 AND 6500 RPM AND 1.5 MORE HP COMPARED TO THE ORIGINAL EXHAUST SYSTEM.&lt;/p&gt;_x000a_&lt;p&gt;ASTONISHING SOUND.&lt;/p&gt;"/>
    <s v="https://shop.officineitalianezard.it/contents/imgs/products/1_114-2.jpg"/>
    <m/>
    <m/>
  </r>
  <r>
    <s v="1586059229-10458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6"/>
    <s v="2&gt;1 LOW MOUNTED FULL KIT"/>
    <s v="ZTPH036SKB-08"/>
    <s v="TRIUMPH SCRAMBLER 900 &lt; 2015"/>
    <n v="712.62"/>
    <n v="791.8"/>
    <s v="&lt;p&gt;2&amp;gt;1 STEEL RACING FULL KIT&lt;/p&gt;_x000a_&lt;p&gt;ORIGINAL FULL KIT WEIGHT: KG 11.6&lt;br&gt;ZARD FULL KIT WEIGHT: KG 4&lt;/p&gt;_x000a_&lt;p&gt;HARD INCREASE IN THE RANGE BETWEEN 4000 AND 6500 RPM AND 1.5 MORE HP COMPARED TO THE ORIGINAL EXHAUST SYSTEM.&lt;/p&gt;_x000a_&lt;p&gt;ASTONISHING SOUND.&lt;/p&gt;"/>
    <s v="https://shop.officineitalianezard.it/contents/imgs/products/1_113-0.jpg"/>
    <m/>
    <m/>
  </r>
  <r>
    <s v="1586059229-10459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6"/>
    <s v="2&gt;1 LOW MOUNTED FULL KIT"/>
    <s v="ZTPH036SKB-08"/>
    <s v="TRIUMPH SCRAMBLER 900 &lt; 2015"/>
    <n v="712.62"/>
    <n v="791.8"/>
    <s v="&lt;p&gt;2&amp;gt;1 STEEL RACING FULL KIT&lt;/p&gt;_x000a_&lt;p&gt;ORIGINAL FULL KIT WEIGHT: KG 11.6&lt;br&gt;ZARD FULL KIT WEIGHT: KG 4&lt;/p&gt;_x000a_&lt;p&gt;HARD INCREASE IN THE RANGE BETWEEN 4000 AND 6500 RPM AND 1.5 MORE HP COMPARED TO THE ORIGINAL EXHAUST SYSTEM.&lt;/p&gt;_x000a_&lt;p&gt;ASTONISHING SOUND.&lt;/p&gt;"/>
    <s v="https://shop.officineitalianezard.it/contents/imgs/products/1_116-3.jpg"/>
    <m/>
    <m/>
  </r>
  <r>
    <s v="1586059229-10460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6"/>
    <s v="2&gt;1 LOW MOUNTED FULL KIT"/>
    <s v="ZTPH036SKB-08"/>
    <s v="TRIUMPH SCRAMBLER 900 &lt; 2015"/>
    <n v="712.62"/>
    <n v="791.8"/>
    <s v="&lt;p&gt;2&amp;gt;1 STEEL RACING FULL KIT&lt;/p&gt;_x000a_&lt;p&gt;ORIGINAL FULL KIT WEIGHT: KG 11.6&lt;br&gt;ZARD FULL KIT WEIGHT: KG 4&lt;/p&gt;_x000a_&lt;p&gt;HARD INCREASE IN THE RANGE BETWEEN 4000 AND 6500 RPM AND 1.5 MORE HP COMPARED TO THE ORIGINAL EXHAUST SYSTEM.&lt;/p&gt;_x000a_&lt;p&gt;ASTONISHING SOUND.&lt;/p&gt;"/>
    <s v="https://shop.officineitalianezard.it/contents/imgs/products/1_117-5.jpg"/>
    <m/>
    <m/>
  </r>
  <r>
    <s v="1586059229-10461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6"/>
    <s v="2&gt;1 LOW MOUNTED FULL KIT"/>
    <s v="ZTPH036SKB-08"/>
    <s v="TRIUMPH SCRAMBLER 900 &lt; 2015"/>
    <n v="712.62"/>
    <n v="791.8"/>
    <s v="&lt;p&gt;2&amp;gt;1 STEEL RACING FULL KIT&lt;/p&gt;_x000a_&lt;p&gt;ORIGINAL FULL KIT WEIGHT: KG 11.6&lt;br&gt;ZARD FULL KIT WEIGHT: KG 4&lt;/p&gt;_x000a_&lt;p&gt;HARD INCREASE IN THE RANGE BETWEEN 4000 AND 6500 RPM AND 1.5 MORE HP COMPARED TO THE ORIGINAL EXHAUST SYSTEM.&lt;/p&gt;_x000a_&lt;p&gt;ASTONISHING SOUND.&lt;/p&gt;"/>
    <m/>
    <s v="CATALYZED"/>
    <n v="202.87"/>
  </r>
  <r>
    <s v="1586059229-10462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86"/>
    <s v="2&gt;1 LOW MOUNTED FULL KIT"/>
    <s v="ZTPH036SKB-08"/>
    <s v="TRIUMPH SCRAMBLER 900 &lt; 2015"/>
    <n v="712.62"/>
    <n v="791.8"/>
    <s v="&lt;p&gt;2&amp;gt;1 STEEL RACING FULL KIT&lt;/p&gt;_x000a_&lt;p&gt;ORIGINAL FULL KIT WEIGHT: KG 11.6&lt;br&gt;ZARD FULL KIT WEIGHT: KG 4&lt;/p&gt;_x000a_&lt;p&gt;HARD INCREASE IN THE RANGE BETWEEN 4000 AND 6500 RPM AND 1.5 MORE HP COMPARED TO THE ORIGINAL EXHAUST SYSTEM.&lt;/p&gt;_x000a_&lt;p&gt;ASTONISHING SOUND.&lt;/p&gt;"/>
    <m/>
    <s v="BLACK COATING"/>
    <n v="169.67"/>
  </r>
  <r>
    <s v="1586059231-10463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7"/>
    <s v="2&gt;1 LOW MOUNTED FULL KIT"/>
    <s v="ZTPH 036 SKB"/>
    <s v="TRIUMPH SCRAMBLER 900 &lt; 2015"/>
    <n v="712.62"/>
    <n v="791.8"/>
    <s v="&lt;p&gt;2&amp;gt;1 STEEL RACING FULL KIT&lt;/p&gt;_x000a_&lt;p&gt;ORIGINAL FULL KIT WEIGHT: KG 11.6&lt;br&gt;ZARD FULL KIT WEIGHT: KG 4&lt;/p&gt;_x000a_&lt;p&gt;HARD INCREASE IN THE RANGE BETWEEN 4000 AND 6500 RPM AND 1.5 MORE HP COMPARED TO THE ORIGINAL EXHAUST SYSTEM.&lt;/p&gt;_x000a_&lt;p&gt;ASTONISHING SOUND.&lt;/p&gt;"/>
    <s v="https://shop.officineitalianezard.it/contents/imgs/products/1_120-1.jpg"/>
    <m/>
    <m/>
  </r>
  <r>
    <s v="1586059231-10464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7"/>
    <s v="2&gt;1 LOW MOUNTED FULL KIT"/>
    <s v="ZTPH 036 SKB"/>
    <s v="TRIUMPH SCRAMBLER 900 &lt; 2015"/>
    <n v="712.62"/>
    <n v="791.8"/>
    <s v="&lt;p&gt;2&amp;gt;1 STEEL RACING FULL KIT&lt;/p&gt;_x000a_&lt;p&gt;ORIGINAL FULL KIT WEIGHT: KG 11.6&lt;br&gt;ZARD FULL KIT WEIGHT: KG 4&lt;/p&gt;_x000a_&lt;p&gt;HARD INCREASE IN THE RANGE BETWEEN 4000 AND 6500 RPM AND 1.5 MORE HP COMPARED TO THE ORIGINAL EXHAUST SYSTEM.&lt;/p&gt;_x000a_&lt;p&gt;ASTONISHING SOUND.&lt;/p&gt;"/>
    <s v="https://shop.officineitalianezard.it/contents/imgs/products/1_119-2.jpg"/>
    <m/>
    <m/>
  </r>
  <r>
    <s v="1586059231-10465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7"/>
    <s v="2&gt;1 LOW MOUNTED FULL KIT"/>
    <s v="ZTPH 036 SKB"/>
    <s v="TRIUMPH SCRAMBLER 900 &lt; 2015"/>
    <n v="712.62"/>
    <n v="791.8"/>
    <s v="&lt;p&gt;2&amp;gt;1 STEEL RACING FULL KIT&lt;/p&gt;_x000a_&lt;p&gt;ORIGINAL FULL KIT WEIGHT: KG 11.6&lt;br&gt;ZARD FULL KIT WEIGHT: KG 4&lt;/p&gt;_x000a_&lt;p&gt;HARD INCREASE IN THE RANGE BETWEEN 4000 AND 6500 RPM AND 1.5 MORE HP COMPARED TO THE ORIGINAL EXHAUST SYSTEM.&lt;/p&gt;_x000a_&lt;p&gt;ASTONISHING SOUND.&lt;/p&gt;"/>
    <s v="https://shop.officineitalianezard.it/contents/imgs/products/1_118-0.jpg"/>
    <m/>
    <m/>
  </r>
  <r>
    <s v="1586059231-10466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7"/>
    <s v="2&gt;1 LOW MOUNTED FULL KIT"/>
    <s v="ZTPH 036 SKB"/>
    <s v="TRIUMPH SCRAMBLER 900 &lt; 2015"/>
    <n v="712.62"/>
    <n v="791.8"/>
    <s v="&lt;p&gt;2&amp;gt;1 STEEL RACING FULL KIT&lt;/p&gt;_x000a_&lt;p&gt;ORIGINAL FULL KIT WEIGHT: KG 11.6&lt;br&gt;ZARD FULL KIT WEIGHT: KG 4&lt;/p&gt;_x000a_&lt;p&gt;HARD INCREASE IN THE RANGE BETWEEN 4000 AND 6500 RPM AND 1.5 MORE HP COMPARED TO THE ORIGINAL EXHAUST SYSTEM.&lt;/p&gt;_x000a_&lt;p&gt;ASTONISHING SOUND.&lt;/p&gt;"/>
    <s v="https://shop.officineitalianezard.it/contents/imgs/products/1_121-3.jpg"/>
    <m/>
    <m/>
  </r>
  <r>
    <s v="1586059231-10467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7"/>
    <s v="2&gt;1 LOW MOUNTED FULL KIT"/>
    <s v="ZTPH 036 SKB"/>
    <s v="TRIUMPH SCRAMBLER 900 &lt; 2015"/>
    <n v="712.62"/>
    <n v="791.8"/>
    <s v="&lt;p&gt;2&amp;gt;1 STEEL RACING FULL KIT&lt;/p&gt;_x000a_&lt;p&gt;ORIGINAL FULL KIT WEIGHT: KG 11.6&lt;br&gt;ZARD FULL KIT WEIGHT: KG 4&lt;/p&gt;_x000a_&lt;p&gt;HARD INCREASE IN THE RANGE BETWEEN 4000 AND 6500 RPM AND 1.5 MORE HP COMPARED TO THE ORIGINAL EXHAUST SYSTEM.&lt;/p&gt;_x000a_&lt;p&gt;ASTONISHING SOUND.&lt;/p&gt;"/>
    <s v="https://shop.officineitalianezard.it/contents/imgs/products/1_122-5.jpg"/>
    <m/>
    <m/>
  </r>
  <r>
    <s v="1586059231-10468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7"/>
    <s v="2&gt;1 LOW MOUNTED FULL KIT"/>
    <s v="ZTPH 036 SKB"/>
    <s v="TRIUMPH SCRAMBLER 900 &lt; 2015"/>
    <n v="712.62"/>
    <n v="791.8"/>
    <s v="&lt;p&gt;2&amp;gt;1 STEEL RACING FULL KIT&lt;/p&gt;_x000a_&lt;p&gt;ORIGINAL FULL KIT WEIGHT: KG 11.6&lt;br&gt;ZARD FULL KIT WEIGHT: KG 4&lt;/p&gt;_x000a_&lt;p&gt;HARD INCREASE IN THE RANGE BETWEEN 4000 AND 6500 RPM AND 1.5 MORE HP COMPARED TO THE ORIGINAL EXHAUST SYSTEM.&lt;/p&gt;_x000a_&lt;p&gt;ASTONISHING SOUND.&lt;/p&gt;"/>
    <m/>
    <s v="POLISHED"/>
    <n v="96.64"/>
  </r>
  <r>
    <s v="1586059231-10469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7"/>
    <s v="2&gt;1 LOW MOUNTED FULL KIT"/>
    <s v="ZTPH 036 SKB"/>
    <s v="TRIUMPH SCRAMBLER 900 &lt; 2015"/>
    <n v="712.62"/>
    <n v="791.8"/>
    <s v="&lt;p&gt;2&amp;gt;1 STEEL RACING FULL KIT&lt;/p&gt;_x000a_&lt;p&gt;ORIGINAL FULL KIT WEIGHT: KG 11.6&lt;br&gt;ZARD FULL KIT WEIGHT: KG 4&lt;/p&gt;_x000a_&lt;p&gt;HARD INCREASE IN THE RANGE BETWEEN 4000 AND 6500 RPM AND 1.5 MORE HP COMPARED TO THE ORIGINAL EXHAUST SYSTEM.&lt;/p&gt;_x000a_&lt;p&gt;ASTONISHING SOUND.&lt;/p&gt;"/>
    <m/>
    <s v="BLACK CERAMIC COATING"/>
    <n v="169.67"/>
  </r>
  <r>
    <s v="1586059231-10470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7"/>
    <s v="2&gt;1 LOW MOUNTED FULL KIT"/>
    <s v="ZTPH 036 SKB"/>
    <s v="TRIUMPH SCRAMBLER 900 &lt; 2015"/>
    <n v="712.62"/>
    <n v="791.8"/>
    <s v="&lt;p&gt;2&amp;gt;1 STEEL RACING FULL KIT&lt;/p&gt;_x000a_&lt;p&gt;ORIGINAL FULL KIT WEIGHT: KG 11.6&lt;br&gt;ZARD FULL KIT WEIGHT: KG 4&lt;/p&gt;_x000a_&lt;p&gt;HARD INCREASE IN THE RANGE BETWEEN 4000 AND 6500 RPM AND 1.5 MORE HP COMPARED TO THE ORIGINAL EXHAUST SYSTEM.&lt;/p&gt;_x000a_&lt;p&gt;ASTONISHING SOUND.&lt;/p&gt;"/>
    <m/>
    <s v="HOMOLOGATED"/>
    <n v="77.459999999999994"/>
  </r>
  <r>
    <s v="1586059233-10471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8"/>
    <s v="2&gt;1 FULL KIT CROSS"/>
    <s v="ZTPH 034 SKC"/>
    <s v="TRIUMPH SCRAMBLER 900 &lt; 2015"/>
    <n v="691.23"/>
    <n v="768.03"/>
    <s v="&lt;p&gt;2&amp;gt;1 STEEL RACING FULL KIT&lt;/p&gt;_x000a_&lt;p&gt;ORIGINAL FULL KIT WEIGHT: KG 11,6&lt;br&gt;ZARD FULL KIT WEIGHT: KG 2.2&lt;/p&gt;_x000a_&lt;p&gt;HARD INCREASE IN THE RANGE BETWEEN 4000 AND 6500 RPM AND 2 MORE HP COMPARED TO THE ORIGINAL EXHAUST SYSTEM.&lt;/p&gt;_x000a_&lt;p&gt;ASTONISHING SOUND.&lt;/p&gt;"/>
    <s v="https://shop.officineitalianezard.it/contents/imgs/products/1_1215-zard%20cross.jpg"/>
    <m/>
    <m/>
  </r>
  <r>
    <s v="1586059233-10472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8"/>
    <s v="2&gt;1 FULL KIT CROSS"/>
    <s v="ZTPH 034 SKC"/>
    <s v="TRIUMPH SCRAMBLER 900 &lt; 2015"/>
    <n v="691.23"/>
    <n v="768.03"/>
    <s v="&lt;p&gt;2&amp;gt;1 STEEL RACING FULL KIT&lt;/p&gt;_x000a_&lt;p&gt;ORIGINAL FULL KIT WEIGHT: KG 11,6&lt;br&gt;ZARD FULL KIT WEIGHT: KG 2.2&lt;/p&gt;_x000a_&lt;p&gt;HARD INCREASE IN THE RANGE BETWEEN 4000 AND 6500 RPM AND 2 MORE HP COMPARED TO THE ORIGINAL EXHAUST SYSTEM.&lt;/p&gt;_x000a_&lt;p&gt;ASTONISHING SOUND.&lt;/p&gt;"/>
    <s v="https://shop.officineitalianezard.it/contents/imgs/products/1_127-0.jpg"/>
    <m/>
    <m/>
  </r>
  <r>
    <s v="1586059233-10473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8"/>
    <s v="2&gt;1 FULL KIT CROSS"/>
    <s v="ZTPH 034 SKC"/>
    <s v="TRIUMPH SCRAMBLER 900 &lt; 2015"/>
    <n v="691.23"/>
    <n v="768.03"/>
    <s v="&lt;p&gt;2&amp;gt;1 STEEL RACING FULL KIT&lt;/p&gt;_x000a_&lt;p&gt;ORIGINAL FULL KIT WEIGHT: KG 11,6&lt;br&gt;ZARD FULL KIT WEIGHT: KG 2.2&lt;/p&gt;_x000a_&lt;p&gt;HARD INCREASE IN THE RANGE BETWEEN 4000 AND 6500 RPM AND 2 MORE HP COMPARED TO THE ORIGINAL EXHAUST SYSTEM.&lt;/p&gt;_x000a_&lt;p&gt;ASTONISHING SOUND.&lt;/p&gt;"/>
    <s v="https://shop.officineitalianezard.it/contents/imgs/products/1_947-scarichi%20moto%20zard%20cross.jpg"/>
    <m/>
    <m/>
  </r>
  <r>
    <s v="1586059233-10474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8"/>
    <s v="2&gt;1 FULL KIT CROSS"/>
    <s v="ZTPH 034 SKC"/>
    <s v="TRIUMPH SCRAMBLER 900 &lt; 2015"/>
    <n v="691.23"/>
    <n v="768.03"/>
    <s v="&lt;p&gt;2&amp;gt;1 STEEL RACING FULL KIT&lt;/p&gt;_x000a_&lt;p&gt;ORIGINAL FULL KIT WEIGHT: KG 11,6&lt;br&gt;ZARD FULL KIT WEIGHT: KG 2.2&lt;/p&gt;_x000a_&lt;p&gt;HARD INCREASE IN THE RANGE BETWEEN 4000 AND 6500 RPM AND 2 MORE HP COMPARED TO THE ORIGINAL EXHAUST SYSTEM.&lt;/p&gt;_x000a_&lt;p&gt;ASTONISHING SOUND.&lt;/p&gt;"/>
    <s v="https://shop.officineitalianezard.it/contents/imgs/products/1_1149-11017541_10153917985646632_8025402486644623573_n.jpg"/>
    <m/>
    <m/>
  </r>
  <r>
    <s v="1586059233-10475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8"/>
    <s v="2&gt;1 FULL KIT CROSS"/>
    <s v="ZTPH 034 SKC"/>
    <s v="TRIUMPH SCRAMBLER 900 &lt; 2015"/>
    <n v="691.23"/>
    <n v="768.03"/>
    <s v="&lt;p&gt;2&amp;gt;1 STEEL RACING FULL KIT&lt;/p&gt;_x000a_&lt;p&gt;ORIGINAL FULL KIT WEIGHT: KG 11,6&lt;br&gt;ZARD FULL KIT WEIGHT: KG 2.2&lt;/p&gt;_x000a_&lt;p&gt;HARD INCREASE IN THE RANGE BETWEEN 4000 AND 6500 RPM AND 2 MORE HP COMPARED TO THE ORIGINAL EXHAUST SYSTEM.&lt;/p&gt;_x000a_&lt;p&gt;ASTONISHING SOUND.&lt;/p&gt;"/>
    <s v="https://shop.officineitalianezard.it/contents/imgs/products/1_1148-11259175_10153917986126632_709285374156847894_n.jpg"/>
    <m/>
    <m/>
  </r>
  <r>
    <s v="1586059233-10476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8"/>
    <s v="2&gt;1 FULL KIT CROSS"/>
    <s v="ZTPH 034 SKC"/>
    <s v="TRIUMPH SCRAMBLER 900 &lt; 2015"/>
    <n v="691.23"/>
    <n v="768.03"/>
    <s v="&lt;p&gt;2&amp;gt;1 STEEL RACING FULL KIT&lt;/p&gt;_x000a_&lt;p&gt;ORIGINAL FULL KIT WEIGHT: KG 11,6&lt;br&gt;ZARD FULL KIT WEIGHT: KG 2.2&lt;/p&gt;_x000a_&lt;p&gt;HARD INCREASE IN THE RANGE BETWEEN 4000 AND 6500 RPM AND 2 MORE HP COMPARED TO THE ORIGINAL EXHAUST SYSTEM.&lt;/p&gt;_x000a_&lt;p&gt;ASTONISHING SOUND.&lt;/p&gt;"/>
    <m/>
    <s v="BLACK CERAMIC COATING"/>
    <n v="169.67"/>
  </r>
  <r>
    <s v="1586059233-10477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88"/>
    <s v="2&gt;1 FULL KIT CROSS"/>
    <s v="ZTPH 034 SKC"/>
    <s v="TRIUMPH SCRAMBLER 900 &lt; 2015"/>
    <n v="691.23"/>
    <n v="768.03"/>
    <s v="&lt;p&gt;2&amp;gt;1 STEEL RACING FULL KIT&lt;/p&gt;_x000a_&lt;p&gt;ORIGINAL FULL KIT WEIGHT: KG 11,6&lt;br&gt;ZARD FULL KIT WEIGHT: KG 2.2&lt;/p&gt;_x000a_&lt;p&gt;HARD INCREASE IN THE RANGE BETWEEN 4000 AND 6500 RPM AND 2 MORE HP COMPARED TO THE ORIGINAL EXHAUST SYSTEM.&lt;/p&gt;_x000a_&lt;p&gt;ASTONISHING SOUND.&lt;/p&gt;"/>
    <m/>
    <s v="POLISHED"/>
    <n v="96.64"/>
  </r>
  <r>
    <s v="1586059236-10478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ONICAL VERSION"/>
    <x v="89"/>
    <s v="2&gt;1 FULL KIT"/>
    <s v="ZTPH077SKR"/>
    <s v="TRIUMPH BONNEVILLE"/>
    <n v="755.41"/>
    <n v="839.34"/>
    <s v="&lt;p&gt;2&amp;gt;1 STEEL RACING CONICAL FULL KIT&lt;/p&gt;_x000a_&lt;p&gt;ORIGINAL FULL KIT WEIGHT: KG 9.3&lt;/p&gt;_x000a_&lt;p&gt;ZARD FULL KIT WEIGHT: KG 6.7&lt;/p&gt;_x000a_&lt;p&gt;HARD INCREASE IN TERMS OF RESPONSE IN THE RANGE BETWEEN 4000 AND 6500 RPM AND 1,5 MORE HP COMPARED TO THE ORIGINAL EXHAUST SYSTEM.&lt;/p&gt;_x000a_&lt;p&gt;FITTING KIT INCLUDED, ASTONISHING SOUND.&lt;/p&gt;"/>
    <s v="https://shop.officineitalianezard.it/contents/imgs/products/1_2089-zard-singolo-bonneville3.jpg"/>
    <m/>
    <m/>
  </r>
  <r>
    <s v="1586059236-10479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ONICAL VERSION"/>
    <x v="89"/>
    <s v="2&gt;1 FULL KIT"/>
    <s v="ZTPH077SKR"/>
    <s v="TRIUMPH BONNEVILLE"/>
    <n v="755.41"/>
    <n v="839.34"/>
    <s v="&lt;p&gt;2&amp;gt;1 STEEL RACING CONICAL FULL KIT&lt;/p&gt;_x000a_&lt;p&gt;ORIGINAL FULL KIT WEIGHT: KG 9.3&lt;/p&gt;_x000a_&lt;p&gt;ZARD FULL KIT WEIGHT: KG 6.7&lt;/p&gt;_x000a_&lt;p&gt;HARD INCREASE IN TERMS OF RESPONSE IN THE RANGE BETWEEN 4000 AND 6500 RPM AND 1,5 MORE HP COMPARED TO THE ORIGINAL EXHAUST SYSTEM.&lt;/p&gt;_x000a_&lt;p&gt;FITTING KIT INCLUDED, ASTONISHING SOUND.&lt;/p&gt;"/>
    <s v="https://shop.officineitalianezard.it/contents/imgs/products/1_2091-zard-singolo-bonneville4.jpg"/>
    <m/>
    <m/>
  </r>
  <r>
    <s v="1586059236-10480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ONICAL VERSION"/>
    <x v="89"/>
    <s v="2&gt;1 FULL KIT"/>
    <s v="ZTPH077SKR"/>
    <s v="TRIUMPH BONNEVILLE"/>
    <n v="755.41"/>
    <n v="839.34"/>
    <s v="&lt;p&gt;2&amp;gt;1 STEEL RACING CONICAL FULL KIT&lt;/p&gt;_x000a_&lt;p&gt;ORIGINAL FULL KIT WEIGHT: KG 9.3&lt;/p&gt;_x000a_&lt;p&gt;ZARD FULL KIT WEIGHT: KG 6.7&lt;/p&gt;_x000a_&lt;p&gt;HARD INCREASE IN TERMS OF RESPONSE IN THE RANGE BETWEEN 4000 AND 6500 RPM AND 1,5 MORE HP COMPARED TO THE ORIGINAL EXHAUST SYSTEM.&lt;/p&gt;_x000a_&lt;p&gt;FITTING KIT INCLUDED, ASTONISHING SOUND.&lt;/p&gt;"/>
    <s v="https://shop.officineitalianezard.it/contents/imgs/products/1_2090-zard-singolo-bonneville2.jpg"/>
    <m/>
    <m/>
  </r>
  <r>
    <s v="1586059236-10481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ONICAL VERSION"/>
    <x v="89"/>
    <s v="2&gt;1 FULL KIT"/>
    <s v="ZTPH077SKR"/>
    <s v="TRIUMPH BONNEVILLE"/>
    <n v="755.41"/>
    <n v="839.34"/>
    <s v="&lt;p&gt;2&amp;gt;1 STEEL RACING CONICAL FULL KIT&lt;/p&gt;_x000a_&lt;p&gt;ORIGINAL FULL KIT WEIGHT: KG 9.3&lt;/p&gt;_x000a_&lt;p&gt;ZARD FULL KIT WEIGHT: KG 6.7&lt;/p&gt;_x000a_&lt;p&gt;HARD INCREASE IN TERMS OF RESPONSE IN THE RANGE BETWEEN 4000 AND 6500 RPM AND 1,5 MORE HP COMPARED TO THE ORIGINAL EXHAUST SYSTEM.&lt;/p&gt;_x000a_&lt;p&gt;FITTING KIT INCLUDED, ASTONISHING SOUND.&lt;/p&gt;"/>
    <s v="https://shop.officineitalianezard.it/contents/imgs/products/1_2092-zard%20scrambler.jpg"/>
    <m/>
    <m/>
  </r>
  <r>
    <s v="1586059236-10482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ONICAL VERSION"/>
    <x v="89"/>
    <s v="2&gt;1 FULL KIT"/>
    <s v="ZTPH077SKR"/>
    <s v="TRIUMPH BONNEVILLE"/>
    <n v="755.41"/>
    <n v="839.34"/>
    <s v="&lt;p&gt;2&amp;gt;1 STEEL RACING CONICAL FULL KIT&lt;/p&gt;_x000a_&lt;p&gt;ORIGINAL FULL KIT WEIGHT: KG 9.3&lt;/p&gt;_x000a_&lt;p&gt;ZARD FULL KIT WEIGHT: KG 6.7&lt;/p&gt;_x000a_&lt;p&gt;HARD INCREASE IN TERMS OF RESPONSE IN THE RANGE BETWEEN 4000 AND 6500 RPM AND 1,5 MORE HP COMPARED TO THE ORIGINAL EXHAUST SYSTEM.&lt;/p&gt;_x000a_&lt;p&gt;FITTING KIT INCLUDED, ASTONISHING SOUND.&lt;/p&gt;"/>
    <s v="https://shop.officineitalianezard.it/contents/imgs/products/1_2093-zard%20scrambler%202.jpg"/>
    <m/>
    <m/>
  </r>
  <r>
    <s v="1586059236-10483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ONICAL VERSION"/>
    <x v="89"/>
    <s v="2&gt;1 FULL KIT"/>
    <s v="ZTPH077SKR"/>
    <s v="TRIUMPH BONNEVILLE"/>
    <n v="755.41"/>
    <n v="839.34"/>
    <s v="&lt;p&gt;2&amp;gt;1 STEEL RACING CONICAL FULL KIT&lt;/p&gt;_x000a_&lt;p&gt;ORIGINAL FULL KIT WEIGHT: KG 9.3&lt;/p&gt;_x000a_&lt;p&gt;ZARD FULL KIT WEIGHT: KG 6.7&lt;/p&gt;_x000a_&lt;p&gt;HARD INCREASE IN TERMS OF RESPONSE IN THE RANGE BETWEEN 4000 AND 6500 RPM AND 1,5 MORE HP COMPARED TO THE ORIGINAL EXHAUST SYSTEM.&lt;/p&gt;_x000a_&lt;p&gt;FITTING KIT INCLUDED, ASTONISHING SOUND.&lt;/p&gt;"/>
    <m/>
    <s v="HOMOLOGATED"/>
    <n v="77.459999999999994"/>
  </r>
  <r>
    <s v="1586059236-10484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ONICAL VERSION"/>
    <x v="89"/>
    <s v="2&gt;1 FULL KIT"/>
    <s v="ZTPH077SKR"/>
    <s v="TRIUMPH BONNEVILLE"/>
    <n v="755.41"/>
    <n v="839.34"/>
    <s v="&lt;p&gt;2&amp;gt;1 STEEL RACING CONICAL FULL KIT&lt;/p&gt;_x000a_&lt;p&gt;ORIGINAL FULL KIT WEIGHT: KG 9.3&lt;/p&gt;_x000a_&lt;p&gt;ZARD FULL KIT WEIGHT: KG 6.7&lt;/p&gt;_x000a_&lt;p&gt;HARD INCREASE IN TERMS OF RESPONSE IN THE RANGE BETWEEN 4000 AND 6500 RPM AND 1,5 MORE HP COMPARED TO THE ORIGINAL EXHAUST SYSTEM.&lt;/p&gt;_x000a_&lt;p&gt;FITTING KIT INCLUDED, ASTONISHING SOUND.&lt;/p&gt;"/>
    <m/>
    <s v="BLACK CERAMIC COATING"/>
    <n v="169.67"/>
  </r>
  <r>
    <s v="1586059236-10485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ONICAL VERSION"/>
    <x v="89"/>
    <s v="2&gt;1 FULL KIT"/>
    <s v="ZTPH077SKR"/>
    <s v="TRIUMPH BONNEVILLE"/>
    <n v="755.41"/>
    <n v="839.34"/>
    <s v="&lt;p&gt;2&amp;gt;1 STEEL RACING CONICAL FULL KIT&lt;/p&gt;_x000a_&lt;p&gt;ORIGINAL FULL KIT WEIGHT: KG 9.3&lt;/p&gt;_x000a_&lt;p&gt;ZARD FULL KIT WEIGHT: KG 6.7&lt;/p&gt;_x000a_&lt;p&gt;HARD INCREASE IN TERMS OF RESPONSE IN THE RANGE BETWEEN 4000 AND 6500 RPM AND 1,5 MORE HP COMPARED TO THE ORIGINAL EXHAUST SYSTEM.&lt;/p&gt;_x000a_&lt;p&gt;FITTING KIT INCLUDED, ASTONISHING SOUND.&lt;/p&gt;"/>
    <m/>
    <s v="MIRROR POLISHING"/>
    <n v="96.64"/>
  </r>
  <r>
    <s v="1586059236-10486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ONICAL VERSION"/>
    <x v="89"/>
    <s v="2&gt;1 FULL KIT"/>
    <s v="ZTPH077SKR"/>
    <s v="TRIUMPH BONNEVILLE"/>
    <n v="755.41"/>
    <n v="839.34"/>
    <s v="&lt;p&gt;2&amp;gt;1 STEEL RACING CONICAL FULL KIT&lt;/p&gt;_x000a_&lt;p&gt;ORIGINAL FULL KIT WEIGHT: KG 9.3&lt;/p&gt;_x000a_&lt;p&gt;ZARD FULL KIT WEIGHT: KG 6.7&lt;/p&gt;_x000a_&lt;p&gt;HARD INCREASE IN TERMS OF RESPONSE IN THE RANGE BETWEEN 4000 AND 6500 RPM AND 1,5 MORE HP COMPARED TO THE ORIGINAL EXHAUST SYSTEM.&lt;/p&gt;_x000a_&lt;p&gt;FITTING KIT INCLUDED, ASTONISHING SOUND.&lt;/p&gt;"/>
    <m/>
    <s v="CATALYZED"/>
    <n v="202.87"/>
  </r>
  <r>
    <s v="1586059238-10487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0"/>
    <s v="2&gt;1 FULL KIT CROSS"/>
    <s v="ZTPH034SKC-08"/>
    <s v="TRIUMPH SCRAMBLER 900 &lt; 2015"/>
    <n v="691.23"/>
    <n v="768.03"/>
    <s v="&lt;p&gt;2&amp;gt;1 STEEL RACING FULL KIT&lt;/p&gt;_x000a_&lt;p&gt;ORIGINAL FULL KIT WEIGHT: KG 11,6&lt;br&gt;ZARD FULL KIT WEIGHT: KG 2.2&lt;/p&gt;_x000a_&lt;p&gt;HARD INCREASE IN THE RANGE BETWEEN 4000 AND 6500 RPM AND 2 MORE HP COMPARED TO THE ORIGINAL EXHAUST SYSTEM.&lt;/p&gt;_x000a_&lt;p&gt;ASTONISHING SOUND.&lt;/p&gt;"/>
    <s v="https://shop.officineitalianezard.it/contents/imgs/products/1_1214-zard%20cross.jpg"/>
    <m/>
    <m/>
  </r>
  <r>
    <s v="1586059238-10488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0"/>
    <s v="2&gt;1 FULL KIT CROSS"/>
    <s v="ZTPH034SKC-08"/>
    <s v="TRIUMPH SCRAMBLER 900 &lt; 2015"/>
    <n v="691.23"/>
    <n v="768.03"/>
    <s v="&lt;p&gt;2&amp;gt;1 STEEL RACING FULL KIT&lt;/p&gt;_x000a_&lt;p&gt;ORIGINAL FULL KIT WEIGHT: KG 11,6&lt;br&gt;ZARD FULL KIT WEIGHT: KG 2.2&lt;/p&gt;_x000a_&lt;p&gt;HARD INCREASE IN THE RANGE BETWEEN 4000 AND 6500 RPM AND 2 MORE HP COMPARED TO THE ORIGINAL EXHAUST SYSTEM.&lt;/p&gt;_x000a_&lt;p&gt;ASTONISHING SOUND.&lt;/p&gt;"/>
    <s v="https://shop.officineitalianezard.it/contents/imgs/products/1_2408-triumph%20scrambler%20scarico%20basso%20cross%20zard%202.jpg"/>
    <m/>
    <m/>
  </r>
  <r>
    <s v="1586059238-10489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0"/>
    <s v="2&gt;1 FULL KIT CROSS"/>
    <s v="ZTPH034SKC-08"/>
    <s v="TRIUMPH SCRAMBLER 900 &lt; 2015"/>
    <n v="691.23"/>
    <n v="768.03"/>
    <s v="&lt;p&gt;2&amp;gt;1 STEEL RACING FULL KIT&lt;/p&gt;_x000a_&lt;p&gt;ORIGINAL FULL KIT WEIGHT: KG 11,6&lt;br&gt;ZARD FULL KIT WEIGHT: KG 2.2&lt;/p&gt;_x000a_&lt;p&gt;HARD INCREASE IN THE RANGE BETWEEN 4000 AND 6500 RPM AND 2 MORE HP COMPARED TO THE ORIGINAL EXHAUST SYSTEM.&lt;/p&gt;_x000a_&lt;p&gt;ASTONISHING SOUND.&lt;/p&gt;"/>
    <s v="https://shop.officineitalianezard.it/contents/imgs/products/1_123-0.jpg"/>
    <m/>
    <m/>
  </r>
  <r>
    <s v="1586059238-10490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0"/>
    <s v="2&gt;1 FULL KIT CROSS"/>
    <s v="ZTPH034SKC-08"/>
    <s v="TRIUMPH SCRAMBLER 900 &lt; 2015"/>
    <n v="691.23"/>
    <n v="768.03"/>
    <s v="&lt;p&gt;2&amp;gt;1 STEEL RACING FULL KIT&lt;/p&gt;_x000a_&lt;p&gt;ORIGINAL FULL KIT WEIGHT: KG 11,6&lt;br&gt;ZARD FULL KIT WEIGHT: KG 2.2&lt;/p&gt;_x000a_&lt;p&gt;HARD INCREASE IN THE RANGE BETWEEN 4000 AND 6500 RPM AND 2 MORE HP COMPARED TO THE ORIGINAL EXHAUST SYSTEM.&lt;/p&gt;_x000a_&lt;p&gt;ASTONISHING SOUND.&lt;/p&gt;"/>
    <s v="https://shop.officineitalianezard.it/contents/imgs/products/1_946-scarichi%20moto%20zard%20cross.jpg"/>
    <m/>
    <m/>
  </r>
  <r>
    <s v="1586059238-10491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0"/>
    <s v="2&gt;1 FULL KIT CROSS"/>
    <s v="ZTPH034SKC-08"/>
    <s v="TRIUMPH SCRAMBLER 900 &lt; 2015"/>
    <n v="691.23"/>
    <n v="768.03"/>
    <s v="&lt;p&gt;2&amp;gt;1 STEEL RACING FULL KIT&lt;/p&gt;_x000a_&lt;p&gt;ORIGINAL FULL KIT WEIGHT: KG 11,6&lt;br&gt;ZARD FULL KIT WEIGHT: KG 2.2&lt;/p&gt;_x000a_&lt;p&gt;HARD INCREASE IN THE RANGE BETWEEN 4000 AND 6500 RPM AND 2 MORE HP COMPARED TO THE ORIGINAL EXHAUST SYSTEM.&lt;/p&gt;_x000a_&lt;p&gt;ASTONISHING SOUND.&lt;/p&gt;"/>
    <s v="https://shop.officineitalianezard.it/contents/imgs/products/1_1147-11017541_10153917985646632_8025402486644623573_n.jpg"/>
    <m/>
    <m/>
  </r>
  <r>
    <s v="1586059238-10492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0"/>
    <s v="2&gt;1 FULL KIT CROSS"/>
    <s v="ZTPH034SKC-08"/>
    <s v="TRIUMPH SCRAMBLER 900 &lt; 2015"/>
    <n v="691.23"/>
    <n v="768.03"/>
    <s v="&lt;p&gt;2&amp;gt;1 STEEL RACING FULL KIT&lt;/p&gt;_x000a_&lt;p&gt;ORIGINAL FULL KIT WEIGHT: KG 11,6&lt;br&gt;ZARD FULL KIT WEIGHT: KG 2.2&lt;/p&gt;_x000a_&lt;p&gt;HARD INCREASE IN THE RANGE BETWEEN 4000 AND 6500 RPM AND 2 MORE HP COMPARED TO THE ORIGINAL EXHAUST SYSTEM.&lt;/p&gt;_x000a_&lt;p&gt;ASTONISHING SOUND.&lt;/p&gt;"/>
    <s v="https://shop.officineitalianezard.it/contents/imgs/products/1_1146-11259175_10153917986126632_709285374156847894_n.jpg"/>
    <m/>
    <m/>
  </r>
  <r>
    <s v="1586059238-10493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0"/>
    <s v="2&gt;1 FULL KIT CROSS"/>
    <s v="ZTPH034SKC-08"/>
    <s v="TRIUMPH SCRAMBLER 900 &lt; 2015"/>
    <n v="691.23"/>
    <n v="768.03"/>
    <s v="&lt;p&gt;2&amp;gt;1 STEEL RACING FULL KIT&lt;/p&gt;_x000a_&lt;p&gt;ORIGINAL FULL KIT WEIGHT: KG 11,6&lt;br&gt;ZARD FULL KIT WEIGHT: KG 2.2&lt;/p&gt;_x000a_&lt;p&gt;HARD INCREASE IN THE RANGE BETWEEN 4000 AND 6500 RPM AND 2 MORE HP COMPARED TO THE ORIGINAL EXHAUST SYSTEM.&lt;/p&gt;_x000a_&lt;p&gt;ASTONISHING SOUND.&lt;/p&gt;"/>
    <m/>
    <s v="BLACK COATING"/>
    <n v="169.67"/>
  </r>
  <r>
    <s v="1586059238-10494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0"/>
    <s v="2&gt;1 FULL KIT CROSS"/>
    <s v="ZTPH034SKC-08"/>
    <s v="TRIUMPH SCRAMBLER 900 &lt; 2015"/>
    <n v="691.23"/>
    <n v="768.03"/>
    <s v="&lt;p&gt;2&amp;gt;1 STEEL RACING FULL KIT&lt;/p&gt;_x000a_&lt;p&gt;ORIGINAL FULL KIT WEIGHT: KG 11,6&lt;br&gt;ZARD FULL KIT WEIGHT: KG 2.2&lt;/p&gt;_x000a_&lt;p&gt;HARD INCREASE IN THE RANGE BETWEEN 4000 AND 6500 RPM AND 2 MORE HP COMPARED TO THE ORIGINAL EXHAUST SYSTEM.&lt;/p&gt;_x000a_&lt;p&gt;ASTONISHING SOUND.&lt;/p&gt;"/>
    <m/>
    <s v="POLISHED"/>
    <n v="96.64"/>
  </r>
  <r>
    <s v="1586059240-10495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1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2371-scarico%20scrambler.jpg"/>
    <m/>
    <m/>
  </r>
  <r>
    <s v="1586059240-10496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1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927-2.jpg"/>
    <m/>
    <m/>
  </r>
  <r>
    <s v="1586059240-10497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1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936-scarichi%20moto.jpg"/>
    <m/>
    <m/>
  </r>
  <r>
    <s v="1586059240-10498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1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928-3.jpg"/>
    <m/>
    <m/>
  </r>
  <r>
    <s v="1586059240-10499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1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1064-scarico%20scrambler%20zard1.jpg"/>
    <m/>
    <m/>
  </r>
  <r>
    <s v="1586059240-10500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1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1065-scarico%20scrambler%20zard2.jpg"/>
    <m/>
    <m/>
  </r>
  <r>
    <s v="1586059240-10501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1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1092-brushed.jpg"/>
    <m/>
    <m/>
  </r>
  <r>
    <s v="1586059240-10502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1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1093-inox-paracalore%20nero.jpg"/>
    <m/>
    <m/>
  </r>
  <r>
    <s v="1586059240-10503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1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1202-1.jpg"/>
    <m/>
    <m/>
  </r>
  <r>
    <s v="1586059240-10504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1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1203-2.jpg"/>
    <m/>
    <m/>
  </r>
  <r>
    <s v="1586059240-10505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1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1204-3.jpg"/>
    <m/>
    <m/>
  </r>
  <r>
    <s v="1586059240-10506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1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m/>
    <s v="CATALYSED"/>
    <n v="207.3"/>
  </r>
  <r>
    <s v="1586059240-10507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1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m/>
    <s v="BLACK COATING"/>
    <n v="169.67"/>
  </r>
  <r>
    <s v="1586059240-10508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1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m/>
    <s v="BLACK VERSION + STEEL HEAT SHIELD"/>
    <n v="169.67"/>
  </r>
  <r>
    <s v="1586059240-10509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1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'BLACK CERAMIC COATING' OPTIONAL INCLUDES BOTH BLACK HEAT SHIELDS AND BLACK + SILVER WIRE MESHEES&lt;/p&gt;_x000a_&lt;p&gt;HARD INCREASE IN THE RANGE BETWEEN 4000 AND 6500 RPM AND 1.5 MORE HP COMPARED TO THE ORIGINAL EXHAUST SYSTEM.&lt;/p&gt;_x000a_&lt;p&gt;ASTONISHING SOUND.&lt;/p&gt;_x000a_&lt;p&gt;&lt;/p&gt;"/>
    <m/>
    <s v="BLACK HEAT SHIELDS"/>
    <n v="53.85"/>
  </r>
  <r>
    <s v="1586059242-10510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92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BLACK AND SILVER WIRE MESH&amp;nbsp;IS SUPPLIED WITH HEAT SHIELD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2372-scarico%20scrambler.jpg"/>
    <m/>
    <m/>
  </r>
  <r>
    <s v="1586059242-10511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92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BLACK AND SILVER WIRE MESH&amp;nbsp;IS SUPPLIED WITH HEAT SHIELD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930-2.jpg"/>
    <m/>
    <m/>
  </r>
  <r>
    <s v="1586059242-10512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92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BLACK AND SILVER WIRE MESH&amp;nbsp;IS SUPPLIED WITH HEAT SHIELD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937-scarichi%20moto.jpg"/>
    <m/>
    <m/>
  </r>
  <r>
    <s v="1586059242-10513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92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BLACK AND SILVER WIRE MESH&amp;nbsp;IS SUPPLIED WITH HEAT SHIELD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931-3.jpg"/>
    <m/>
    <m/>
  </r>
  <r>
    <s v="1586059242-10514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92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BLACK AND SILVER WIRE MESH&amp;nbsp;IS SUPPLIED WITH HEAT SHIELD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1066-scarico%20scrambler%20zard1.jpg"/>
    <m/>
    <m/>
  </r>
  <r>
    <s v="1586059242-10515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92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BLACK AND SILVER WIRE MESH&amp;nbsp;IS SUPPLIED WITH HEAT SHIELD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1067-scarico%20scrambler%20zard2.jpg"/>
    <m/>
    <m/>
  </r>
  <r>
    <s v="1586059242-10516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92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BLACK AND SILVER WIRE MESH&amp;nbsp;IS SUPPLIED WITH HEAT SHIELD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1094-brushed.jpg"/>
    <m/>
    <m/>
  </r>
  <r>
    <s v="1586059242-10517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92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BLACK AND SILVER WIRE MESH&amp;nbsp;IS SUPPLIED WITH HEAT SHIELD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1095-inox-paracalore%20nero.jpg"/>
    <m/>
    <m/>
  </r>
  <r>
    <s v="1586059242-10518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92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BLACK AND SILVER WIRE MESH&amp;nbsp;IS SUPPLIED WITH HEAT SHIELD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1205-1.jpg"/>
    <m/>
    <m/>
  </r>
  <r>
    <s v="1586059242-10519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92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BLACK AND SILVER WIRE MESH&amp;nbsp;IS SUPPLIED WITH HEAT SHIELD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1206-2.jpg"/>
    <m/>
    <m/>
  </r>
  <r>
    <s v="1586059242-10520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92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BLACK AND SILVER WIRE MESH&amp;nbsp;IS SUPPLIED WITH HEAT SHIELD&lt;/p&gt;_x000a_&lt;p&gt;HARD INCREASE IN THE RANGE BETWEEN 4000 AND 6500 RPM AND 1.5 MORE HP COMPARED TO THE ORIGINAL EXHAUST SYSTEM.&lt;/p&gt;_x000a_&lt;p&gt;ASTONISHING SOUND.&lt;/p&gt;_x000a_&lt;p&gt;&lt;/p&gt;"/>
    <s v="https://shop.officineitalianezard.it/contents/imgs/products/1_1207-3.jpg"/>
    <m/>
    <m/>
  </r>
  <r>
    <s v="1586059242-10521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92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BLACK AND SILVER WIRE MESH&amp;nbsp;IS SUPPLIED WITH HEAT SHIELD&lt;/p&gt;_x000a_&lt;p&gt;HARD INCREASE IN THE RANGE BETWEEN 4000 AND 6500 RPM AND 1.5 MORE HP COMPARED TO THE ORIGINAL EXHAUST SYSTEM.&lt;/p&gt;_x000a_&lt;p&gt;ASTONISHING SOUND.&lt;/p&gt;_x000a_&lt;p&gt;&lt;/p&gt;"/>
    <m/>
    <s v="EURO 3 HOMOLOGATED"/>
    <n v="86.31"/>
  </r>
  <r>
    <s v="1586059242-10522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92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BLACK AND SILVER WIRE MESH&amp;nbsp;IS SUPPLIED WITH HEAT SHIELD&lt;/p&gt;_x000a_&lt;p&gt;HARD INCREASE IN THE RANGE BETWEEN 4000 AND 6500 RPM AND 1.5 MORE HP COMPARED TO THE ORIGINAL EXHAUST SYSTEM.&lt;/p&gt;_x000a_&lt;p&gt;ASTONISHING SOUND.&lt;/p&gt;_x000a_&lt;p&gt;&lt;/p&gt;"/>
    <m/>
    <s v="BLACK COATING"/>
    <n v="169.67"/>
  </r>
  <r>
    <s v="1586059242-10523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92"/>
    <s v="2&gt;1 FULL KIT SPECIAL EDITION"/>
    <s v="ZTPH052SKA"/>
    <s v="TRIUMPH SCRAMBLER 900 &lt; 2015"/>
    <n v="884.51"/>
    <n v="982.79"/>
    <s v="&lt;p&gt;2&amp;gt;1 STEEL FULL KIT RACING WITH REMOVABLE DB KILLER&lt;/p&gt;_x000a_&lt;p&gt;ORIGINAL FULL KIT WEIGHT: KG 11.6&lt;br&gt;ZARD FULL KIT WEIGHT: KG 3.9&lt;/p&gt;_x000a_&lt;p&gt;BLACK AND SILVER WIRE MESH&amp;nbsp;IS SUPPLIED WITH HEAT SHIELD&lt;/p&gt;_x000a_&lt;p&gt;HARD INCREASE IN THE RANGE BETWEEN 4000 AND 6500 RPM AND 1.5 MORE HP COMPARED TO THE ORIGINAL EXHAUST SYSTEM.&lt;/p&gt;_x000a_&lt;p&gt;ASTONISHING SOUND.&lt;/p&gt;_x000a_&lt;p&gt;&lt;/p&gt;"/>
    <m/>
    <s v="BLACK HEAT SHIELDS"/>
    <n v="53.85"/>
  </r>
  <r>
    <s v="1586059245-10524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93"/>
    <s v="2&gt;1 GOLD EDITION FULL KIT"/>
    <s v="ZTPH055SKA"/>
    <s v="TRIUMPH SCRAMBLER 900 &lt; 2015"/>
    <n v="922.87"/>
    <n v="1025.4100000000001"/>
    <s v="&lt;p&gt;2&amp;gt;1 STEEL RACING GOLD EDITION FULL KIT&lt;/p&gt;_x000a_&lt;p&gt;THE BLACK CERAMIC COATED VERSION AS STEEL HEAT SHIELD GRILL&lt;/p&gt;"/>
    <s v="https://shop.officineitalianezard.it/contents/imgs/products/1_1232-1.jpg"/>
    <m/>
    <m/>
  </r>
  <r>
    <s v="1586059245-10525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93"/>
    <s v="2&gt;1 GOLD EDITION FULL KIT"/>
    <s v="ZTPH055SKA"/>
    <s v="TRIUMPH SCRAMBLER 900 &lt; 2015"/>
    <n v="922.87"/>
    <n v="1025.4100000000001"/>
    <s v="&lt;p&gt;2&amp;gt;1 STEEL RACING GOLD EDITION FULL KIT&lt;/p&gt;_x000a_&lt;p&gt;THE BLACK CERAMIC COATED VERSION AS STEEL HEAT SHIELD GRILL&lt;/p&gt;"/>
    <s v="https://shop.officineitalianezard.it/contents/imgs/products/1_1233-2.jpg"/>
    <m/>
    <m/>
  </r>
  <r>
    <s v="1586059245-10526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93"/>
    <s v="2&gt;1 GOLD EDITION FULL KIT"/>
    <s v="ZTPH055SKA"/>
    <s v="TRIUMPH SCRAMBLER 900 &lt; 2015"/>
    <n v="922.87"/>
    <n v="1025.4100000000001"/>
    <s v="&lt;p&gt;2&amp;gt;1 STEEL RACING GOLD EDITION FULL KIT&lt;/p&gt;_x000a_&lt;p&gt;THE BLACK CERAMIC COATED VERSION AS STEEL HEAT SHIELD GRILL&lt;/p&gt;"/>
    <s v="https://shop.officineitalianezard.it/contents/imgs/products/1_1234-3.jpg"/>
    <m/>
    <m/>
  </r>
  <r>
    <s v="1586059245-10527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93"/>
    <s v="2&gt;1 GOLD EDITION FULL KIT"/>
    <s v="ZTPH055SKA"/>
    <s v="TRIUMPH SCRAMBLER 900 &lt; 2015"/>
    <n v="922.87"/>
    <n v="1025.4100000000001"/>
    <s v="&lt;p&gt;2&amp;gt;1 STEEL RACING GOLD EDITION FULL KIT&lt;/p&gt;_x000a_&lt;p&gt;THE BLACK CERAMIC COATED VERSION AS STEEL HEAT SHIELD GRILL&lt;/p&gt;"/>
    <s v="https://shop.officineitalianezard.it/contents/imgs/products/1_1367-gold%20nero.jpg"/>
    <m/>
    <m/>
  </r>
  <r>
    <s v="1586059245-10528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93"/>
    <s v="2&gt;1 GOLD EDITION FULL KIT"/>
    <s v="ZTPH055SKA"/>
    <s v="TRIUMPH SCRAMBLER 900 &lt; 2015"/>
    <n v="922.87"/>
    <n v="1025.4100000000001"/>
    <s v="&lt;p&gt;2&amp;gt;1 STEEL RACING GOLD EDITION FULL KIT&lt;/p&gt;_x000a_&lt;p&gt;THE BLACK CERAMIC COATED VERSION AS STEEL HEAT SHIELD GRILL&lt;/p&gt;"/>
    <s v="https://shop.officineitalianezard.it/contents/imgs/products/1_1246-borsone.jpg"/>
    <m/>
    <m/>
  </r>
  <r>
    <s v="1586059245-10529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93"/>
    <s v="2&gt;1 GOLD EDITION FULL KIT"/>
    <s v="ZTPH055SKA"/>
    <s v="TRIUMPH SCRAMBLER 900 &lt; 2015"/>
    <n v="922.87"/>
    <n v="1025.4100000000001"/>
    <s v="&lt;p&gt;2&amp;gt;1 STEEL RACING GOLD EDITION FULL KIT&lt;/p&gt;_x000a_&lt;p&gt;THE BLACK CERAMIC COATED VERSION AS STEEL HEAT SHIELD GRILL&lt;/p&gt;"/>
    <m/>
    <s v="EURO 3 HOMOLOGATED"/>
    <n v="86.31"/>
  </r>
  <r>
    <s v="1586059245-10530"/>
    <s v="https://shop.officineitalianezard.it/en/products/"/>
    <m/>
    <s v="https://shop.officineitalianezard.it/en/triumph-zard-exhaust/"/>
    <s v="SCRAMBLER &lt; M.Y. 2016"/>
    <s v="https://shop.officineitalianezard.it/en/triumph-scrambler-exhaust/"/>
    <s v="CARBURETTOR"/>
    <x v="93"/>
    <s v="2&gt;1 GOLD EDITION FULL KIT"/>
    <s v="ZTPH055SKA"/>
    <s v="TRIUMPH SCRAMBLER 900 &lt; 2015"/>
    <n v="922.87"/>
    <n v="1025.4100000000001"/>
    <s v="&lt;p&gt;2&amp;gt;1 STEEL RACING GOLD EDITION FULL KIT&lt;/p&gt;_x000a_&lt;p&gt;THE BLACK CERAMIC COATED VERSION AS STEEL HEAT SHIELD GRILL&lt;/p&gt;"/>
    <m/>
    <s v="BLACK COATING"/>
    <n v="169.67"/>
  </r>
  <r>
    <s v="1586059247-10531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4"/>
    <s v="2&gt;1 GOLD EDITION FULL KIT"/>
    <s v="ZTPH055SKA"/>
    <s v="TRIUMPH SCRAMBLER 900 &lt; 2015"/>
    <n v="922.87"/>
    <n v="1025.4100000000001"/>
    <s v="&lt;p&gt;2&amp;gt;1 STEEL RACING GOLD EDITION FULL KIT&lt;/p&gt;_x000a_&lt;p&gt;THE BLACK CERAMIC COATED VERSION AS STEEL HEAT SHIELD GRILL&lt;/p&gt;"/>
    <s v="https://shop.officineitalianezard.it/contents/imgs/products/1_1235-1.jpg"/>
    <m/>
    <m/>
  </r>
  <r>
    <s v="1586059247-10532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4"/>
    <s v="2&gt;1 GOLD EDITION FULL KIT"/>
    <s v="ZTPH055SKA"/>
    <s v="TRIUMPH SCRAMBLER 900 &lt; 2015"/>
    <n v="922.87"/>
    <n v="1025.4100000000001"/>
    <s v="&lt;p&gt;2&amp;gt;1 STEEL RACING GOLD EDITION FULL KIT&lt;/p&gt;_x000a_&lt;p&gt;THE BLACK CERAMIC COATED VERSION AS STEEL HEAT SHIELD GRILL&lt;/p&gt;"/>
    <s v="https://shop.officineitalianezard.it/contents/imgs/products/1_1236-2.jpg"/>
    <m/>
    <m/>
  </r>
  <r>
    <s v="1586059247-10533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4"/>
    <s v="2&gt;1 GOLD EDITION FULL KIT"/>
    <s v="ZTPH055SKA"/>
    <s v="TRIUMPH SCRAMBLER 900 &lt; 2015"/>
    <n v="922.87"/>
    <n v="1025.4100000000001"/>
    <s v="&lt;p&gt;2&amp;gt;1 STEEL RACING GOLD EDITION FULL KIT&lt;/p&gt;_x000a_&lt;p&gt;THE BLACK CERAMIC COATED VERSION AS STEEL HEAT SHIELD GRILL&lt;/p&gt;"/>
    <s v="https://shop.officineitalianezard.it/contents/imgs/products/1_1237-3.jpg"/>
    <m/>
    <m/>
  </r>
  <r>
    <s v="1586059247-10534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4"/>
    <s v="2&gt;1 GOLD EDITION FULL KIT"/>
    <s v="ZTPH055SKA"/>
    <s v="TRIUMPH SCRAMBLER 900 &lt; 2015"/>
    <n v="922.87"/>
    <n v="1025.4100000000001"/>
    <s v="&lt;p&gt;2&amp;gt;1 STEEL RACING GOLD EDITION FULL KIT&lt;/p&gt;_x000a_&lt;p&gt;THE BLACK CERAMIC COATED VERSION AS STEEL HEAT SHIELD GRILL&lt;/p&gt;"/>
    <s v="https://shop.officineitalianezard.it/contents/imgs/products/1_1368-gold%20nero.jpg"/>
    <m/>
    <m/>
  </r>
  <r>
    <s v="1586059247-10535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4"/>
    <s v="2&gt;1 GOLD EDITION FULL KIT"/>
    <s v="ZTPH055SKA"/>
    <s v="TRIUMPH SCRAMBLER 900 &lt; 2015"/>
    <n v="922.87"/>
    <n v="1025.4100000000001"/>
    <s v="&lt;p&gt;2&amp;gt;1 STEEL RACING GOLD EDITION FULL KIT&lt;/p&gt;_x000a_&lt;p&gt;THE BLACK CERAMIC COATED VERSION AS STEEL HEAT SHIELD GRILL&lt;/p&gt;"/>
    <s v="https://shop.officineitalianezard.it/contents/imgs/products/1_1247-borsone.jpg"/>
    <m/>
    <m/>
  </r>
  <r>
    <s v="1586059247-10536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4"/>
    <s v="2&gt;1 GOLD EDITION FULL KIT"/>
    <s v="ZTPH055SKA"/>
    <s v="TRIUMPH SCRAMBLER 900 &lt; 2015"/>
    <n v="922.87"/>
    <n v="1025.4100000000001"/>
    <s v="&lt;p&gt;2&amp;gt;1 STEEL RACING GOLD EDITION FULL KIT&lt;/p&gt;_x000a_&lt;p&gt;THE BLACK CERAMIC COATED VERSION AS STEEL HEAT SHIELD GRILL&lt;/p&gt;"/>
    <m/>
    <s v="EURO 3 HOMOLOGATED"/>
    <n v="207.3"/>
  </r>
  <r>
    <s v="1586059247-10537"/>
    <s v="https://shop.officineitalianezard.it/en/products/"/>
    <m/>
    <s v="https://shop.officineitalianezard.it/en/triumph-zard-exhaust/"/>
    <s v="SCRAMBLER &lt; M.Y. 2016"/>
    <s v="https://shop.officineitalianezard.it/en/triumph-scrambler-exhaust/"/>
    <s v="INJECTION"/>
    <x v="94"/>
    <s v="2&gt;1 GOLD EDITION FULL KIT"/>
    <s v="ZTPH055SKA"/>
    <s v="TRIUMPH SCRAMBLER 900 &lt; 2015"/>
    <n v="922.87"/>
    <n v="1025.4100000000001"/>
    <s v="&lt;p&gt;2&amp;gt;1 STEEL RACING GOLD EDITION FULL KIT&lt;/p&gt;_x000a_&lt;p&gt;THE BLACK CERAMIC COATED VERSION AS STEEL HEAT SHIELD GRILL&lt;/p&gt;"/>
    <m/>
    <s v="BLACK COATING"/>
    <n v="169.67"/>
  </r>
  <r>
    <s v="1586059252-10538"/>
    <s v="https://shop.officineitalianezard.it/en/products/"/>
    <m/>
    <s v="https://shop.officineitalianezard.it/en/triumph-zard-exhaust/"/>
    <s v="SCRAMBLER 1200 M.Y. 2019"/>
    <s v="https://shop.officineitalianezard.it/en/triumph-scrambler-1200/"/>
    <s v="2&gt;1&gt;2 VERSION"/>
    <x v="95"/>
    <s v="DECATALYZER KIT"/>
    <s v="ZTPH091SCR"/>
    <s v="TRIUMPH SCRAMBLER 1200 M.Y. 2019"/>
    <n v="302.45999999999998"/>
    <n v="336.07"/>
    <s v="&lt;p&gt;&lt;span&gt;2&amp;gt;1&amp;gt;2&amp;nbsp;&lt;/span&gt;STAINLESS STEEL DECATALYZER KIT&lt;br&gt;WITH RACING COMPENSATOR.&lt;/p&gt;_x000a_&lt;p&gt;THIS KIT REPLACES TRIUMPH OEM CATALYZER GIVING A HIGH&lt;br&gt;REDUCTION OF PERCEIVED HEAT, GREATER INCREASE OF GAS&lt;br&gt;EXTRACTION, A SIGNIFICANT IMPROVEMENT OF THE POWER&lt;br&gt;CURVE AND A WEIGHT SAVING OF 2 KG.&lt;/p&gt;_x000a_&lt;p&gt;OEM CATALYZER KIT WEIGHT: 2.9 KG&lt;br&gt;ZARD DECATALYZER KIT WEIGHT: 1.2 KG&lt;/p&gt;_x000a_&lt;p&gt;EASY AND FAST FITTING WITH OEM HEAT SHIELDS.&lt;/p&gt;_x000a_&lt;p&gt;NOTICE: THE INSTALLATION OF ZARD EXHAUST&lt;br&gt;DOES NOT IMPLY ANY MODIFICATION TO ECU.&lt;/p&gt;"/>
    <s v="https://shop.officineitalianezard.it/contents/imgs/products/1_2588-decatalizzatore%20triumph%20scrambler%201200.jpg"/>
    <m/>
    <m/>
  </r>
  <r>
    <s v="1586059252-10539"/>
    <s v="https://shop.officineitalianezard.it/en/products/"/>
    <m/>
    <s v="https://shop.officineitalianezard.it/en/triumph-zard-exhaust/"/>
    <s v="SCRAMBLER 1200 M.Y. 2019"/>
    <s v="https://shop.officineitalianezard.it/en/triumph-scrambler-1200/"/>
    <s v="2&gt;1&gt;2 VERSION"/>
    <x v="95"/>
    <s v="DECATALYZER KIT"/>
    <s v="ZTPH091SCR"/>
    <s v="TRIUMPH SCRAMBLER 1200 M.Y. 2019"/>
    <n v="302.45999999999998"/>
    <n v="336.07"/>
    <s v="&lt;p&gt;&lt;span&gt;2&amp;gt;1&amp;gt;2&amp;nbsp;&lt;/span&gt;STAINLESS STEEL DECATALYZER KIT&lt;br&gt;WITH RACING COMPENSATOR.&lt;/p&gt;_x000a_&lt;p&gt;THIS KIT REPLACES TRIUMPH OEM CATALYZER GIVING A HIGH&lt;br&gt;REDUCTION OF PERCEIVED HEAT, GREATER INCREASE OF GAS&lt;br&gt;EXTRACTION, A SIGNIFICANT IMPROVEMENT OF THE POWER&lt;br&gt;CURVE AND A WEIGHT SAVING OF 2 KG.&lt;/p&gt;_x000a_&lt;p&gt;OEM CATALYZER KIT WEIGHT: 2.9 KG&lt;br&gt;ZARD DECATALYZER KIT WEIGHT: 1.2 KG&lt;/p&gt;_x000a_&lt;p&gt;EASY AND FAST FITTING WITH OEM HEAT SHIELDS.&lt;/p&gt;_x000a_&lt;p&gt;NOTICE: THE INSTALLATION OF ZARD EXHAUST&lt;br&gt;DOES NOT IMPLY ANY MODIFICATION TO ECU.&lt;/p&gt;"/>
    <s v="https://shop.officineitalianezard.it/contents/imgs/products/1_2568-decatalizzatore%20triumph%20scrambler%201200%20-%20zard%202.jpg"/>
    <m/>
    <m/>
  </r>
  <r>
    <s v="1586059252-10540"/>
    <s v="https://shop.officineitalianezard.it/en/products/"/>
    <m/>
    <s v="https://shop.officineitalianezard.it/en/triumph-zard-exhaust/"/>
    <s v="SCRAMBLER 1200 M.Y. 2019"/>
    <s v="https://shop.officineitalianezard.it/en/triumph-scrambler-1200/"/>
    <s v="2&gt;1&gt;2 VERSION"/>
    <x v="95"/>
    <s v="DECATALYZER KIT"/>
    <s v="ZTPH091SCR"/>
    <s v="TRIUMPH SCRAMBLER 1200 M.Y. 2019"/>
    <n v="302.45999999999998"/>
    <n v="336.07"/>
    <s v="&lt;p&gt;&lt;span&gt;2&amp;gt;1&amp;gt;2&amp;nbsp;&lt;/span&gt;STAINLESS STEEL DECATALYZER KIT&lt;br&gt;WITH RACING COMPENSATOR.&lt;/p&gt;_x000a_&lt;p&gt;THIS KIT REPLACES TRIUMPH OEM CATALYZER GIVING A HIGH&lt;br&gt;REDUCTION OF PERCEIVED HEAT, GREATER INCREASE OF GAS&lt;br&gt;EXTRACTION, A SIGNIFICANT IMPROVEMENT OF THE POWER&lt;br&gt;CURVE AND A WEIGHT SAVING OF 2 KG.&lt;/p&gt;_x000a_&lt;p&gt;OEM CATALYZER KIT WEIGHT: 2.9 KG&lt;br&gt;ZARD DECATALYZER KIT WEIGHT: 1.2 KG&lt;/p&gt;_x000a_&lt;p&gt;EASY AND FAST FITTING WITH OEM HEAT SHIELDS.&lt;/p&gt;_x000a_&lt;p&gt;NOTICE: THE INSTALLATION OF ZARD EXHAUST&lt;br&gt;DOES NOT IMPLY ANY MODIFICATION TO ECU.&lt;/p&gt;"/>
    <s v="https://shop.officineitalianezard.it/contents/imgs/products/1_2569-decatalizzatore%20triumph%20scrambler%201200%20-%20zard%201.jpg"/>
    <m/>
    <m/>
  </r>
  <r>
    <s v="1586059252-10541"/>
    <s v="https://shop.officineitalianezard.it/en/products/"/>
    <m/>
    <s v="https://shop.officineitalianezard.it/en/triumph-zard-exhaust/"/>
    <s v="SCRAMBLER 1200 M.Y. 2019"/>
    <s v="https://shop.officineitalianezard.it/en/triumph-scrambler-1200/"/>
    <s v="2&gt;1&gt;2 VERSION"/>
    <x v="95"/>
    <s v="DECATALYZER KIT"/>
    <s v="ZTPH091SCR"/>
    <s v="TRIUMPH SCRAMBLER 1200 M.Y. 2019"/>
    <n v="302.45999999999998"/>
    <n v="336.07"/>
    <s v="&lt;p&gt;&lt;span&gt;2&amp;gt;1&amp;gt;2&amp;nbsp;&lt;/span&gt;STAINLESS STEEL DECATALYZER KIT&lt;br&gt;WITH RACING COMPENSATOR.&lt;/p&gt;_x000a_&lt;p&gt;THIS KIT REPLACES TRIUMPH OEM CATALYZER GIVING A HIGH&lt;br&gt;REDUCTION OF PERCEIVED HEAT, GREATER INCREASE OF GAS&lt;br&gt;EXTRACTION, A SIGNIFICANT IMPROVEMENT OF THE POWER&lt;br&gt;CURVE AND A WEIGHT SAVING OF 2 KG.&lt;/p&gt;_x000a_&lt;p&gt;OEM CATALYZER KIT WEIGHT: 2.9 KG&lt;br&gt;ZARD DECATALYZER KIT WEIGHT: 1.2 KG&lt;/p&gt;_x000a_&lt;p&gt;EASY AND FAST FITTING WITH OEM HEAT SHIELDS.&lt;/p&gt;_x000a_&lt;p&gt;NOTICE: THE INSTALLATION OF ZARD EXHAUST&lt;br&gt;DOES NOT IMPLY ANY MODIFICATION TO ECU.&lt;/p&gt;"/>
    <s v="https://shop.officineitalianezard.it/contents/imgs/products/1_2567-decatalizzatore%20triumph%20scrambler%201200%20-%20zard.jpg"/>
    <m/>
    <m/>
  </r>
  <r>
    <s v="1586059255-10542"/>
    <s v="https://shop.officineitalianezard.it/en/products/"/>
    <m/>
    <s v="https://shop.officineitalianezard.it/en/triumph-zard-exhaust/"/>
    <s v="SCRAMBLER 1200 M.Y. 2019"/>
    <s v="https://shop.officineitalianezard.it/en/triumph-scrambler-1200/"/>
    <s v="SLIP-ON VERSION"/>
    <x v="96"/>
    <s v="SILENCERS"/>
    <s v="ZTPH091SSR"/>
    <s v="TRIUMPH SCRAMBLER 1200 M.Y. 2019"/>
    <n v="619.66999999999996"/>
    <n v="688.52"/>
    <s v="&lt;p&gt;STAINLESS STEEL SLIP-ONS WITH REMOVABLE DB-KILLERS.&lt;br&gt;EURO 4 HOMOLOGATED VERSION AVAILABLE AS OPTIONA.&lt;/p&gt;_x000a_&lt;p&gt;ORIGINAL EXHAUST WEIGHT: 6.4 KG&lt;br&gt;ZARD EXHAUST WEIGHT: 3.9 KG&lt;/p&gt;_x000a_&lt;p&gt;SIGNIFICANT INCREASE, COMPARED TO THE ORIGINAL EXHAUST SYSTEM,&lt;br&gt;IN TERMS OF TORQUE AND POWER AT ANY RANGE, ASTONISHING SOUND.&lt;/p&gt;_x000a_&lt;p&gt;&lt;span style=&quot;color: #ff0000;&quot;&gt;&lt;strong&gt;&lt;a href=&quot;https://shop.officineitalianezard.it/en/triumph-scrambler-1200-decatalyzer-kit/&quot; style=&quot;color: #ff0000;&quot;&gt;FIND OUT THE ZARD DECATALYZER KIT&lt;/a&gt;&lt;/strong&gt;&lt;/span&gt;&lt;/p&gt;"/>
    <s v="https://shop.officineitalianezard.it/contents/imgs/products/1_2583-scarico%20triumph%20scrambler%201200%20-%20zard%20exhaust%201.jpg"/>
    <m/>
    <m/>
  </r>
  <r>
    <s v="1586059255-10543"/>
    <s v="https://shop.officineitalianezard.it/en/products/"/>
    <m/>
    <s v="https://shop.officineitalianezard.it/en/triumph-zard-exhaust/"/>
    <s v="SCRAMBLER 1200 M.Y. 2019"/>
    <s v="https://shop.officineitalianezard.it/en/triumph-scrambler-1200/"/>
    <s v="SLIP-ON VERSION"/>
    <x v="96"/>
    <s v="SILENCERS"/>
    <s v="ZTPH091SSR"/>
    <s v="TRIUMPH SCRAMBLER 1200 M.Y. 2019"/>
    <n v="619.66999999999996"/>
    <n v="688.52"/>
    <s v="&lt;p&gt;STAINLESS STEEL SLIP-ONS WITH REMOVABLE DB-KILLERS.&lt;br&gt;EURO 4 HOMOLOGATED VERSION AVAILABLE AS OPTIONA.&lt;/p&gt;_x000a_&lt;p&gt;ORIGINAL EXHAUST WEIGHT: 6.4 KG&lt;br&gt;ZARD EXHAUST WEIGHT: 3.9 KG&lt;/p&gt;_x000a_&lt;p&gt;SIGNIFICANT INCREASE, COMPARED TO THE ORIGINAL EXHAUST SYSTEM,&lt;br&gt;IN TERMS OF TORQUE AND POWER AT ANY RANGE, ASTONISHING SOUND.&lt;/p&gt;_x000a_&lt;p&gt;&lt;span style=&quot;color: #ff0000;&quot;&gt;&lt;strong&gt;&lt;a href=&quot;https://shop.officineitalianezard.it/en/triumph-scrambler-1200-decatalyzer-kit/&quot; style=&quot;color: #ff0000;&quot;&gt;FIND OUT THE ZARD DECATALYZER KIT&lt;/a&gt;&lt;/strong&gt;&lt;/span&gt;&lt;/p&gt;"/>
    <s v="https://shop.officineitalianezard.it/contents/imgs/products/1_2591-scarico%20triumph%20scrambler%201200%20-%20zard%20exhaust%204.jpg"/>
    <m/>
    <m/>
  </r>
  <r>
    <s v="1586059255-10544"/>
    <s v="https://shop.officineitalianezard.it/en/products/"/>
    <m/>
    <s v="https://shop.officineitalianezard.it/en/triumph-zard-exhaust/"/>
    <s v="SCRAMBLER 1200 M.Y. 2019"/>
    <s v="https://shop.officineitalianezard.it/en/triumph-scrambler-1200/"/>
    <s v="SLIP-ON VERSION"/>
    <x v="96"/>
    <s v="SILENCERS"/>
    <s v="ZTPH091SSR"/>
    <s v="TRIUMPH SCRAMBLER 1200 M.Y. 2019"/>
    <n v="619.66999999999996"/>
    <n v="688.52"/>
    <s v="&lt;p&gt;STAINLESS STEEL SLIP-ONS WITH REMOVABLE DB-KILLERS.&lt;br&gt;EURO 4 HOMOLOGATED VERSION AVAILABLE AS OPTIONA.&lt;/p&gt;_x000a_&lt;p&gt;ORIGINAL EXHAUST WEIGHT: 6.4 KG&lt;br&gt;ZARD EXHAUST WEIGHT: 3.9 KG&lt;/p&gt;_x000a_&lt;p&gt;SIGNIFICANT INCREASE, COMPARED TO THE ORIGINAL EXHAUST SYSTEM,&lt;br&gt;IN TERMS OF TORQUE AND POWER AT ANY RANGE, ASTONISHING SOUND.&lt;/p&gt;_x000a_&lt;p&gt;&lt;span style=&quot;color: #ff0000;&quot;&gt;&lt;strong&gt;&lt;a href=&quot;https://shop.officineitalianezard.it/en/triumph-scrambler-1200-decatalyzer-kit/&quot; style=&quot;color: #ff0000;&quot;&gt;FIND OUT THE ZARD DECATALYZER KIT&lt;/a&gt;&lt;/strong&gt;&lt;/span&gt;&lt;/p&gt;"/>
    <s v="https://shop.officineitalianezard.it/contents/imgs/products/1_2584-scarico%20triumph%20scrambler%201200%20-%20zard%20exhaust%202.jpg"/>
    <m/>
    <m/>
  </r>
  <r>
    <s v="1586059255-10545"/>
    <s v="https://shop.officineitalianezard.it/en/products/"/>
    <m/>
    <s v="https://shop.officineitalianezard.it/en/triumph-zard-exhaust/"/>
    <s v="SCRAMBLER 1200 M.Y. 2019"/>
    <s v="https://shop.officineitalianezard.it/en/triumph-scrambler-1200/"/>
    <s v="SLIP-ON VERSION"/>
    <x v="96"/>
    <s v="SILENCERS"/>
    <s v="ZTPH091SSR"/>
    <s v="TRIUMPH SCRAMBLER 1200 M.Y. 2019"/>
    <n v="619.66999999999996"/>
    <n v="688.52"/>
    <s v="&lt;p&gt;STAINLESS STEEL SLIP-ONS WITH REMOVABLE DB-KILLERS.&lt;br&gt;EURO 4 HOMOLOGATED VERSION AVAILABLE AS OPTIONA.&lt;/p&gt;_x000a_&lt;p&gt;ORIGINAL EXHAUST WEIGHT: 6.4 KG&lt;br&gt;ZARD EXHAUST WEIGHT: 3.9 KG&lt;/p&gt;_x000a_&lt;p&gt;SIGNIFICANT INCREASE, COMPARED TO THE ORIGINAL EXHAUST SYSTEM,&lt;br&gt;IN TERMS OF TORQUE AND POWER AT ANY RANGE, ASTONISHING SOUND.&lt;/p&gt;_x000a_&lt;p&gt;&lt;span style=&quot;color: #ff0000;&quot;&gt;&lt;strong&gt;&lt;a href=&quot;https://shop.officineitalianezard.it/en/triumph-scrambler-1200-decatalyzer-kit/&quot; style=&quot;color: #ff0000;&quot;&gt;FIND OUT THE ZARD DECATALYZER KIT&lt;/a&gt;&lt;/strong&gt;&lt;/span&gt;&lt;/p&gt;"/>
    <s v="https://shop.officineitalianezard.it/contents/imgs/products/1_2592-triumph%20scrambler%201200.jpg"/>
    <m/>
    <m/>
  </r>
  <r>
    <s v="1586059255-10546"/>
    <s v="https://shop.officineitalianezard.it/en/products/"/>
    <m/>
    <s v="https://shop.officineitalianezard.it/en/triumph-zard-exhaust/"/>
    <s v="SCRAMBLER 1200 M.Y. 2019"/>
    <s v="https://shop.officineitalianezard.it/en/triumph-scrambler-1200/"/>
    <s v="SLIP-ON VERSION"/>
    <x v="96"/>
    <s v="SILENCERS"/>
    <s v="ZTPH091SSR"/>
    <s v="TRIUMPH SCRAMBLER 1200 M.Y. 2019"/>
    <n v="619.66999999999996"/>
    <n v="688.52"/>
    <s v="&lt;p&gt;STAINLESS STEEL SLIP-ONS WITH REMOVABLE DB-KILLERS.&lt;br&gt;EURO 4 HOMOLOGATED VERSION AVAILABLE AS OPTIONA.&lt;/p&gt;_x000a_&lt;p&gt;ORIGINAL EXHAUST WEIGHT: 6.4 KG&lt;br&gt;ZARD EXHAUST WEIGHT: 3.9 KG&lt;/p&gt;_x000a_&lt;p&gt;SIGNIFICANT INCREASE, COMPARED TO THE ORIGINAL EXHAUST SYSTEM,&lt;br&gt;IN TERMS OF TORQUE AND POWER AT ANY RANGE, ASTONISHING SOUND.&lt;/p&gt;_x000a_&lt;p&gt;&lt;span style=&quot;color: #ff0000;&quot;&gt;&lt;strong&gt;&lt;a href=&quot;https://shop.officineitalianezard.it/en/triumph-scrambler-1200-decatalyzer-kit/&quot; style=&quot;color: #ff0000;&quot;&gt;FIND OUT THE ZARD DECATALYZER KIT&lt;/a&gt;&lt;/strong&gt;&lt;/span&gt;&lt;/p&gt;"/>
    <s v="https://shop.officineitalianezard.it/contents/imgs/products/1_2590-scarico%20triumph%20scrambler%201200%20-%20zard%20exhaust%203.jpg"/>
    <m/>
    <m/>
  </r>
  <r>
    <s v="1586059255-10547"/>
    <s v="https://shop.officineitalianezard.it/en/products/"/>
    <m/>
    <s v="https://shop.officineitalianezard.it/en/triumph-zard-exhaust/"/>
    <s v="SCRAMBLER 1200 M.Y. 2019"/>
    <s v="https://shop.officineitalianezard.it/en/triumph-scrambler-1200/"/>
    <s v="SLIP-ON VERSION"/>
    <x v="96"/>
    <s v="SILENCERS"/>
    <s v="ZTPH091SSR"/>
    <s v="TRIUMPH SCRAMBLER 1200 M.Y. 2019"/>
    <n v="619.66999999999996"/>
    <n v="688.52"/>
    <s v="&lt;p&gt;STAINLESS STEEL SLIP-ONS WITH REMOVABLE DB-KILLERS.&lt;br&gt;EURO 4 HOMOLOGATED VERSION AVAILABLE AS OPTIONA.&lt;/p&gt;_x000a_&lt;p&gt;ORIGINAL EXHAUST WEIGHT: 6.4 KG&lt;br&gt;ZARD EXHAUST WEIGHT: 3.9 KG&lt;/p&gt;_x000a_&lt;p&gt;SIGNIFICANT INCREASE, COMPARED TO THE ORIGINAL EXHAUST SYSTEM,&lt;br&gt;IN TERMS OF TORQUE AND POWER AT ANY RANGE, ASTONISHING SOUND.&lt;/p&gt;_x000a_&lt;p&gt;&lt;span style=&quot;color: #ff0000;&quot;&gt;&lt;strong&gt;&lt;a href=&quot;https://shop.officineitalianezard.it/en/triumph-scrambler-1200-decatalyzer-kit/&quot; style=&quot;color: #ff0000;&quot;&gt;FIND OUT THE ZARD DECATALYZER KIT&lt;/a&gt;&lt;/strong&gt;&lt;/span&gt;&lt;/p&gt;"/>
    <s v="https://shop.officineitalianezard.it/contents/imgs/products/1_2589-triumph%20scrambler%201200%20exhaust%20-%20zard.jpg"/>
    <m/>
    <m/>
  </r>
  <r>
    <s v="1586059255-10548"/>
    <s v="https://shop.officineitalianezard.it/en/products/"/>
    <m/>
    <s v="https://shop.officineitalianezard.it/en/triumph-zard-exhaust/"/>
    <s v="SCRAMBLER 1200 M.Y. 2019"/>
    <s v="https://shop.officineitalianezard.it/en/triumph-scrambler-1200/"/>
    <s v="SLIP-ON VERSION"/>
    <x v="96"/>
    <s v="SILENCERS"/>
    <s v="ZTPH091SSR"/>
    <s v="TRIUMPH SCRAMBLER 1200 M.Y. 2019"/>
    <n v="619.66999999999996"/>
    <n v="688.52"/>
    <s v="&lt;p&gt;STAINLESS STEEL SLIP-ONS WITH REMOVABLE DB-KILLERS.&lt;br&gt;EURO 4 HOMOLOGATED VERSION AVAILABLE AS OPTIONA.&lt;/p&gt;_x000a_&lt;p&gt;ORIGINAL EXHAUST WEIGHT: 6.4 KG&lt;br&gt;ZARD EXHAUST WEIGHT: 3.9 KG&lt;/p&gt;_x000a_&lt;p&gt;SIGNIFICANT INCREASE, COMPARED TO THE ORIGINAL EXHAUST SYSTEM,&lt;br&gt;IN TERMS OF TORQUE AND POWER AT ANY RANGE, ASTONISHING SOUND.&lt;/p&gt;_x000a_&lt;p&gt;&lt;span style=&quot;color: #ff0000;&quot;&gt;&lt;strong&gt;&lt;a href=&quot;https://shop.officineitalianezard.it/en/triumph-scrambler-1200-decatalyzer-kit/&quot; style=&quot;color: #ff0000;&quot;&gt;FIND OUT THE ZARD DECATALYZER KIT&lt;/a&gt;&lt;/strong&gt;&lt;/span&gt;&lt;/p&gt;"/>
    <m/>
    <s v="EURO 4 HOMOLOGATED"/>
    <n v="51.64"/>
  </r>
  <r>
    <s v="1586059255-10549"/>
    <s v="https://shop.officineitalianezard.it/en/products/"/>
    <m/>
    <s v="https://shop.officineitalianezard.it/en/triumph-zard-exhaust/"/>
    <s v="SCRAMBLER 1200 M.Y. 2019"/>
    <s v="https://shop.officineitalianezard.it/en/triumph-scrambler-1200/"/>
    <s v="SLIP-ON VERSION"/>
    <x v="96"/>
    <s v="SILENCERS"/>
    <s v="ZTPH091SSR"/>
    <s v="TRIUMPH SCRAMBLER 1200 M.Y. 2019"/>
    <n v="619.66999999999996"/>
    <n v="688.52"/>
    <s v="&lt;p&gt;STAINLESS STEEL SLIP-ONS WITH REMOVABLE DB-KILLERS.&lt;br&gt;EURO 4 HOMOLOGATED VERSION AVAILABLE AS OPTIONA.&lt;/p&gt;_x000a_&lt;p&gt;ORIGINAL EXHAUST WEIGHT: 6.4 KG&lt;br&gt;ZARD EXHAUST WEIGHT: 3.9 KG&lt;/p&gt;_x000a_&lt;p&gt;SIGNIFICANT INCREASE, COMPARED TO THE ORIGINAL EXHAUST SYSTEM,&lt;br&gt;IN TERMS OF TORQUE AND POWER AT ANY RANGE, ASTONISHING SOUND.&lt;/p&gt;_x000a_&lt;p&gt;&lt;span style=&quot;color: #ff0000;&quot;&gt;&lt;strong&gt;&lt;a href=&quot;https://shop.officineitalianezard.it/en/triumph-scrambler-1200-decatalyzer-kit/&quot; style=&quot;color: #ff0000;&quot;&gt;FIND OUT THE ZARD DECATALYZER KIT&lt;/a&gt;&lt;/strong&gt;&lt;/span&gt;&lt;/p&gt;"/>
    <m/>
    <s v="CARBON END-CAPS COVERS"/>
    <n v="77.459999999999994"/>
  </r>
  <r>
    <s v="1586059255-10550"/>
    <s v="https://shop.officineitalianezard.it/en/products/"/>
    <m/>
    <s v="https://shop.officineitalianezard.it/en/triumph-zard-exhaust/"/>
    <s v="SCRAMBLER 1200 M.Y. 2019"/>
    <s v="https://shop.officineitalianezard.it/en/triumph-scrambler-1200/"/>
    <s v="SLIP-ON VERSION"/>
    <x v="96"/>
    <s v="SILENCERS"/>
    <s v="ZTPH091SSR"/>
    <s v="TRIUMPH SCRAMBLER 1200 M.Y. 2019"/>
    <n v="619.66999999999996"/>
    <n v="688.52"/>
    <s v="&lt;p&gt;STAINLESS STEEL SLIP-ONS WITH REMOVABLE DB-KILLERS.&lt;br&gt;EURO 4 HOMOLOGATED VERSION AVAILABLE AS OPTIONA.&lt;/p&gt;_x000a_&lt;p&gt;ORIGINAL EXHAUST WEIGHT: 6.4 KG&lt;br&gt;ZARD EXHAUST WEIGHT: 3.9 KG&lt;/p&gt;_x000a_&lt;p&gt;SIGNIFICANT INCREASE, COMPARED TO THE ORIGINAL EXHAUST SYSTEM,&lt;br&gt;IN TERMS OF TORQUE AND POWER AT ANY RANGE, ASTONISHING SOUND.&lt;/p&gt;_x000a_&lt;p&gt;&lt;span style=&quot;color: #ff0000;&quot;&gt;&lt;strong&gt;&lt;a href=&quot;https://shop.officineitalianezard.it/en/triumph-scrambler-1200-decatalyzer-kit/&quot; style=&quot;color: #ff0000;&quot;&gt;FIND OUT THE ZARD DECATALYZER KIT&lt;/a&gt;&lt;/strong&gt;&lt;/span&gt;&lt;/p&gt;"/>
    <m/>
    <s v="BLACK COATING"/>
    <n v="162.30000000000001"/>
  </r>
  <r>
    <s v="1586059257-10551"/>
    <s v="https://shop.officineitalianezard.it/en/products/"/>
    <m/>
    <s v="https://shop.officineitalianezard.it/en/triumph-zard-exhaust/"/>
    <s v="SCRAMBLER 1200 M.Y. 2019"/>
    <s v="https://shop.officineitalianezard.it/en/triumph-scrambler-1200/"/>
    <s v="LOW MOUNTED VERSION"/>
    <x v="97"/>
    <s v="FULL KIT"/>
    <s v="ZTPH094SKR"/>
    <s v="TRIUMPH SCRAMBLER 1200 M.Y. 2019"/>
    <n v="944.26"/>
    <n v="1049.18"/>
    <s v="&lt;p&gt;&lt;strong&gt;&lt;/strong&gt;STAINLESS STEEL&amp;nbsp;2&amp;gt;1&amp;nbsp;RACING FULL KIT WITH REMOVABLE&lt;br&gt;DB-KILLERS AND CARBON END-CAP.&lt;br&gt;&lt;br&gt;&lt;strong&gt;EURO 4 HOMOLOGATED VERSION AVAILABLE AS OPTIONAL&lt;/strong&gt;&lt;br&gt;&lt;br&gt;ORIGINAL FULL KIT WEIGHT:&amp;nbsp;10.2&lt;span&gt;&amp;nbsp;&lt;/span&gt;KG&lt;br&gt;ZARD FULL KIT WEIGHT:&amp;nbsp;5.2&lt;span&gt;&amp;nbsp;&lt;/span&gt;KG&lt;/p&gt;_x000a_&lt;p&gt;SIGNIFICANT INCREASE, COMPARED TO THE ORIGINAL EXHAUST SYSTEM,&lt;br&gt;IN TERMS OF TORQUE AND POWER AT ANY RANGE, ASTONISHING SOUND.&lt;/p&gt;_x000a_&lt;p&gt;&lt;strong&gt;NOTICE&lt;/strong&gt;:&amp;nbsp;&lt;span&gt;ALUMINIUM SIDE PANEL WITH LEATHER CASE INCLUDED&lt;/span&gt;&lt;/p&gt;"/>
    <s v="https://shop.officineitalianezard.it/contents/imgs/products/1_2727-scarico%20basso%20triumph%20scrambler%201200%20zard%20exhaust%20low%20mounted%20full%20kit%20exhaust.jpg"/>
    <m/>
    <m/>
  </r>
  <r>
    <s v="1586059257-10552"/>
    <s v="https://shop.officineitalianezard.it/en/products/"/>
    <m/>
    <s v="https://shop.officineitalianezard.it/en/triumph-zard-exhaust/"/>
    <s v="SCRAMBLER 1200 M.Y. 2019"/>
    <s v="https://shop.officineitalianezard.it/en/triumph-scrambler-1200/"/>
    <s v="LOW MOUNTED VERSION"/>
    <x v="97"/>
    <s v="FULL KIT"/>
    <s v="ZTPH094SKR"/>
    <s v="TRIUMPH SCRAMBLER 1200 M.Y. 2019"/>
    <n v="944.26"/>
    <n v="1049.18"/>
    <s v="&lt;p&gt;&lt;strong&gt;&lt;/strong&gt;STAINLESS STEEL&amp;nbsp;2&amp;gt;1&amp;nbsp;RACING FULL KIT WITH REMOVABLE&lt;br&gt;DB-KILLERS AND CARBON END-CAP.&lt;br&gt;&lt;br&gt;&lt;strong&gt;EURO 4 HOMOLOGATED VERSION AVAILABLE AS OPTIONAL&lt;/strong&gt;&lt;br&gt;&lt;br&gt;ORIGINAL FULL KIT WEIGHT:&amp;nbsp;10.2&lt;span&gt;&amp;nbsp;&lt;/span&gt;KG&lt;br&gt;ZARD FULL KIT WEIGHT:&amp;nbsp;5.2&lt;span&gt;&amp;nbsp;&lt;/span&gt;KG&lt;/p&gt;_x000a_&lt;p&gt;SIGNIFICANT INCREASE, COMPARED TO THE ORIGINAL EXHAUST SYSTEM,&lt;br&gt;IN TERMS OF TORQUE AND POWER AT ANY RANGE, ASTONISHING SOUND.&lt;/p&gt;_x000a_&lt;p&gt;&lt;strong&gt;NOTICE&lt;/strong&gt;:&amp;nbsp;&lt;span&gt;ALUMINIUM SIDE PANEL WITH LEATHER CASE INCLUDED&lt;/span&gt;&lt;/p&gt;"/>
    <s v="https://shop.officineitalianezard.it/contents/imgs/products/1_2642-scarico%20completo%20triumph%20scrambler%201200%20-%20zard%201.jpg"/>
    <m/>
    <m/>
  </r>
  <r>
    <s v="1586059257-10553"/>
    <s v="https://shop.officineitalianezard.it/en/products/"/>
    <m/>
    <s v="https://shop.officineitalianezard.it/en/triumph-zard-exhaust/"/>
    <s v="SCRAMBLER 1200 M.Y. 2019"/>
    <s v="https://shop.officineitalianezard.it/en/triumph-scrambler-1200/"/>
    <s v="LOW MOUNTED VERSION"/>
    <x v="97"/>
    <s v="FULL KIT"/>
    <s v="ZTPH094SKR"/>
    <s v="TRIUMPH SCRAMBLER 1200 M.Y. 2019"/>
    <n v="944.26"/>
    <n v="1049.18"/>
    <s v="&lt;p&gt;&lt;strong&gt;&lt;/strong&gt;STAINLESS STEEL&amp;nbsp;2&amp;gt;1&amp;nbsp;RACING FULL KIT WITH REMOVABLE&lt;br&gt;DB-KILLERS AND CARBON END-CAP.&lt;br&gt;&lt;br&gt;&lt;strong&gt;EURO 4 HOMOLOGATED VERSION AVAILABLE AS OPTIONAL&lt;/strong&gt;&lt;br&gt;&lt;br&gt;ORIGINAL FULL KIT WEIGHT:&amp;nbsp;10.2&lt;span&gt;&amp;nbsp;&lt;/span&gt;KG&lt;br&gt;ZARD FULL KIT WEIGHT:&amp;nbsp;5.2&lt;span&gt;&amp;nbsp;&lt;/span&gt;KG&lt;/p&gt;_x000a_&lt;p&gt;SIGNIFICANT INCREASE, COMPARED TO THE ORIGINAL EXHAUST SYSTEM,&lt;br&gt;IN TERMS OF TORQUE AND POWER AT ANY RANGE, ASTONISHING SOUND.&lt;/p&gt;_x000a_&lt;p&gt;&lt;strong&gt;NOTICE&lt;/strong&gt;:&amp;nbsp;&lt;span&gt;ALUMINIUM SIDE PANEL WITH LEATHER CASE INCLUDED&lt;/span&gt;&lt;/p&gt;"/>
    <s v="https://shop.officineitalianezard.it/contents/imgs/products/1_2643-scarico%20completo%20triumph%20scrambler%201200%20-%20zard%202.jpg"/>
    <m/>
    <m/>
  </r>
  <r>
    <s v="1586059257-10554"/>
    <s v="https://shop.officineitalianezard.it/en/products/"/>
    <m/>
    <s v="https://shop.officineitalianezard.it/en/triumph-zard-exhaust/"/>
    <s v="SCRAMBLER 1200 M.Y. 2019"/>
    <s v="https://shop.officineitalianezard.it/en/triumph-scrambler-1200/"/>
    <s v="LOW MOUNTED VERSION"/>
    <x v="97"/>
    <s v="FULL KIT"/>
    <s v="ZTPH094SKR"/>
    <s v="TRIUMPH SCRAMBLER 1200 M.Y. 2019"/>
    <n v="944.26"/>
    <n v="1049.18"/>
    <s v="&lt;p&gt;&lt;strong&gt;&lt;/strong&gt;STAINLESS STEEL&amp;nbsp;2&amp;gt;1&amp;nbsp;RACING FULL KIT WITH REMOVABLE&lt;br&gt;DB-KILLERS AND CARBON END-CAP.&lt;br&gt;&lt;br&gt;&lt;strong&gt;EURO 4 HOMOLOGATED VERSION AVAILABLE AS OPTIONAL&lt;/strong&gt;&lt;br&gt;&lt;br&gt;ORIGINAL FULL KIT WEIGHT:&amp;nbsp;10.2&lt;span&gt;&amp;nbsp;&lt;/span&gt;KG&lt;br&gt;ZARD FULL KIT WEIGHT:&amp;nbsp;5.2&lt;span&gt;&amp;nbsp;&lt;/span&gt;KG&lt;/p&gt;_x000a_&lt;p&gt;SIGNIFICANT INCREASE, COMPARED TO THE ORIGINAL EXHAUST SYSTEM,&lt;br&gt;IN TERMS OF TORQUE AND POWER AT ANY RANGE, ASTONISHING SOUND.&lt;/p&gt;_x000a_&lt;p&gt;&lt;strong&gt;NOTICE&lt;/strong&gt;:&amp;nbsp;&lt;span&gt;ALUMINIUM SIDE PANEL WITH LEATHER CASE INCLUDED&lt;/span&gt;&lt;/p&gt;"/>
    <s v="https://shop.officineitalianezard.it/contents/imgs/products/1_2677-scrambler%201200%20exhaust%20-%20zard%20-%20black.jpg"/>
    <m/>
    <m/>
  </r>
  <r>
    <s v="1586059257-10555"/>
    <s v="https://shop.officineitalianezard.it/en/products/"/>
    <m/>
    <s v="https://shop.officineitalianezard.it/en/triumph-zard-exhaust/"/>
    <s v="SCRAMBLER 1200 M.Y. 2019"/>
    <s v="https://shop.officineitalianezard.it/en/triumph-scrambler-1200/"/>
    <s v="LOW MOUNTED VERSION"/>
    <x v="97"/>
    <s v="FULL KIT"/>
    <s v="ZTPH094SKR"/>
    <s v="TRIUMPH SCRAMBLER 1200 M.Y. 2019"/>
    <n v="944.26"/>
    <n v="1049.18"/>
    <s v="&lt;p&gt;&lt;strong&gt;&lt;/strong&gt;STAINLESS STEEL&amp;nbsp;2&amp;gt;1&amp;nbsp;RACING FULL KIT WITH REMOVABLE&lt;br&gt;DB-KILLERS AND CARBON END-CAP.&lt;br&gt;&lt;br&gt;&lt;strong&gt;EURO 4 HOMOLOGATED VERSION AVAILABLE AS OPTIONAL&lt;/strong&gt;&lt;br&gt;&lt;br&gt;ORIGINAL FULL KIT WEIGHT:&amp;nbsp;10.2&lt;span&gt;&amp;nbsp;&lt;/span&gt;KG&lt;br&gt;ZARD FULL KIT WEIGHT:&amp;nbsp;5.2&lt;span&gt;&amp;nbsp;&lt;/span&gt;KG&lt;/p&gt;_x000a_&lt;p&gt;SIGNIFICANT INCREASE, COMPARED TO THE ORIGINAL EXHAUST SYSTEM,&lt;br&gt;IN TERMS OF TORQUE AND POWER AT ANY RANGE, ASTONISHING SOUND.&lt;/p&gt;_x000a_&lt;p&gt;&lt;strong&gt;NOTICE&lt;/strong&gt;:&amp;nbsp;&lt;span&gt;ALUMINIUM SIDE PANEL WITH LEATHER CASE INCLUDED&lt;/span&gt;&lt;/p&gt;"/>
    <s v="https://shop.officineitalianezard.it/contents/imgs/products/1_2644-scarico%20completo%20triumph%20scrambler%201200%20-%20zard%203.jpg"/>
    <m/>
    <m/>
  </r>
  <r>
    <s v="1586059257-10556"/>
    <s v="https://shop.officineitalianezard.it/en/products/"/>
    <m/>
    <s v="https://shop.officineitalianezard.it/en/triumph-zard-exhaust/"/>
    <s v="SCRAMBLER 1200 M.Y. 2019"/>
    <s v="https://shop.officineitalianezard.it/en/triumph-scrambler-1200/"/>
    <s v="LOW MOUNTED VERSION"/>
    <x v="97"/>
    <s v="FULL KIT"/>
    <s v="ZTPH094SKR"/>
    <s v="TRIUMPH SCRAMBLER 1200 M.Y. 2019"/>
    <n v="944.26"/>
    <n v="1049.18"/>
    <s v="&lt;p&gt;&lt;strong&gt;&lt;/strong&gt;STAINLESS STEEL&amp;nbsp;2&amp;gt;1&amp;nbsp;RACING FULL KIT WITH REMOVABLE&lt;br&gt;DB-KILLERS AND CARBON END-CAP.&lt;br&gt;&lt;br&gt;&lt;strong&gt;EURO 4 HOMOLOGATED VERSION AVAILABLE AS OPTIONAL&lt;/strong&gt;&lt;br&gt;&lt;br&gt;ORIGINAL FULL KIT WEIGHT:&amp;nbsp;10.2&lt;span&gt;&amp;nbsp;&lt;/span&gt;KG&lt;br&gt;ZARD FULL KIT WEIGHT:&amp;nbsp;5.2&lt;span&gt;&amp;nbsp;&lt;/span&gt;KG&lt;/p&gt;_x000a_&lt;p&gt;SIGNIFICANT INCREASE, COMPARED TO THE ORIGINAL EXHAUST SYSTEM,&lt;br&gt;IN TERMS OF TORQUE AND POWER AT ANY RANGE, ASTONISHING SOUND.&lt;/p&gt;_x000a_&lt;p&gt;&lt;strong&gt;NOTICE&lt;/strong&gt;:&amp;nbsp;&lt;span&gt;ALUMINIUM SIDE PANEL WITH LEATHER CASE INCLUDED&lt;/span&gt;&lt;/p&gt;"/>
    <m/>
    <s v="BLACK COATING"/>
    <n v="169.67"/>
  </r>
  <r>
    <s v="1586059257-10557"/>
    <s v="https://shop.officineitalianezard.it/en/products/"/>
    <m/>
    <s v="https://shop.officineitalianezard.it/en/triumph-zard-exhaust/"/>
    <s v="SCRAMBLER 1200 M.Y. 2019"/>
    <s v="https://shop.officineitalianezard.it/en/triumph-scrambler-1200/"/>
    <s v="LOW MOUNTED VERSION"/>
    <x v="97"/>
    <s v="FULL KIT"/>
    <s v="ZTPH094SKR"/>
    <s v="TRIUMPH SCRAMBLER 1200 M.Y. 2019"/>
    <n v="944.26"/>
    <n v="1049.18"/>
    <s v="&lt;p&gt;&lt;strong&gt;&lt;/strong&gt;STAINLESS STEEL&amp;nbsp;2&amp;gt;1&amp;nbsp;RACING FULL KIT WITH REMOVABLE&lt;br&gt;DB-KILLERS AND CARBON END-CAP.&lt;br&gt;&lt;br&gt;&lt;strong&gt;EURO 4 HOMOLOGATED VERSION AVAILABLE AS OPTIONAL&lt;/strong&gt;&lt;br&gt;&lt;br&gt;ORIGINAL FULL KIT WEIGHT:&amp;nbsp;10.2&lt;span&gt;&amp;nbsp;&lt;/span&gt;KG&lt;br&gt;ZARD FULL KIT WEIGHT:&amp;nbsp;5.2&lt;span&gt;&amp;nbsp;&lt;/span&gt;KG&lt;/p&gt;_x000a_&lt;p&gt;SIGNIFICANT INCREASE, COMPARED TO THE ORIGINAL EXHAUST SYSTEM,&lt;br&gt;IN TERMS OF TORQUE AND POWER AT ANY RANGE, ASTONISHING SOUND.&lt;/p&gt;_x000a_&lt;p&gt;&lt;strong&gt;NOTICE&lt;/strong&gt;:&amp;nbsp;&lt;span&gt;ALUMINIUM SIDE PANEL WITH LEATHER CASE INCLUDED&lt;/span&gt;&lt;/p&gt;"/>
    <m/>
    <s v="EURO 4 HOMOLOGATED"/>
    <n v="160.66"/>
  </r>
  <r>
    <s v="1586059262-10558"/>
    <s v="https://shop.officineitalianezard.it/en/products/"/>
    <m/>
    <s v="https://shop.officineitalianezard.it/en/triumph-zard-exhaust/"/>
    <s v="ROCKET III"/>
    <s v="https://shop.officineitalianezard.it/en/triumph-rocket-iii-exhaust/"/>
    <s v="SPORT VERSION"/>
    <x v="98"/>
    <s v="06-18 FULL KIT"/>
    <s v="ZTPH500SKS"/>
    <s v="TRIUMPH ROCKET III"/>
    <n v="1570.57"/>
    <n v="1745.08"/>
    <s v="&lt;p&gt;3&amp;gt;1 STEEL RACING FULL KIT SPORT VERSION&lt;/p&gt;_x000a_&lt;p&gt;ORIGINAL EXHAUST SYSTEM WEIGHT: KG 21.5&lt;br&gt;ZARD EXHAUST SYSTEM WEIGHT: KG 4.3&lt;/p&gt;_x000a_&lt;p&gt;HARD INCREASE IN TERMS OF TORQUE AT LOW-RANGE/MID-RANGE AND + 1.5 HP COMPARED TO THE ORIGINAL SYSTEM.&lt;/p&gt;_x000a_&lt;p&gt;ASTONISHING SOUND.&lt;/p&gt;"/>
    <s v="https://shop.officineitalianezard.it/contents/imgs/products/1_69-2.jpg"/>
    <m/>
    <m/>
  </r>
  <r>
    <s v="1586059262-10559"/>
    <s v="https://shop.officineitalianezard.it/en/products/"/>
    <m/>
    <s v="https://shop.officineitalianezard.it/en/triumph-zard-exhaust/"/>
    <s v="ROCKET III"/>
    <s v="https://shop.officineitalianezard.it/en/triumph-rocket-iii-exhaust/"/>
    <s v="SPORT VERSION"/>
    <x v="98"/>
    <s v="06-18 FULL KIT"/>
    <s v="ZTPH500SKS"/>
    <s v="TRIUMPH ROCKET III"/>
    <n v="1570.57"/>
    <n v="1745.08"/>
    <s v="&lt;p&gt;3&amp;gt;1 STEEL RACING FULL KIT SPORT VERSION&lt;/p&gt;_x000a_&lt;p&gt;ORIGINAL EXHAUST SYSTEM WEIGHT: KG 21.5&lt;br&gt;ZARD EXHAUST SYSTEM WEIGHT: KG 4.3&lt;/p&gt;_x000a_&lt;p&gt;HARD INCREASE IN TERMS OF TORQUE AT LOW-RANGE/MID-RANGE AND + 1.5 HP COMPARED TO THE ORIGINAL SYSTEM.&lt;/p&gt;_x000a_&lt;p&gt;ASTONISHING SOUND.&lt;/p&gt;"/>
    <s v="https://shop.officineitalianezard.it/contents/imgs/products/1_477-intera.jpg"/>
    <m/>
    <m/>
  </r>
  <r>
    <s v="1586059262-10560"/>
    <s v="https://shop.officineitalianezard.it/en/products/"/>
    <m/>
    <s v="https://shop.officineitalianezard.it/en/triumph-zard-exhaust/"/>
    <s v="ROCKET III"/>
    <s v="https://shop.officineitalianezard.it/en/triumph-rocket-iii-exhaust/"/>
    <s v="SPORT VERSION"/>
    <x v="98"/>
    <s v="06-18 FULL KIT"/>
    <s v="ZTPH500SKS"/>
    <s v="TRIUMPH ROCKET III"/>
    <n v="1570.57"/>
    <n v="1745.08"/>
    <s v="&lt;p&gt;3&amp;gt;1 STEEL RACING FULL KIT SPORT VERSION&lt;/p&gt;_x000a_&lt;p&gt;ORIGINAL EXHAUST SYSTEM WEIGHT: KG 21.5&lt;br&gt;ZARD EXHAUST SYSTEM WEIGHT: KG 4.3&lt;/p&gt;_x000a_&lt;p&gt;HARD INCREASE IN TERMS OF TORQUE AT LOW-RANGE/MID-RANGE AND + 1.5 HP COMPARED TO THE ORIGINAL SYSTEM.&lt;/p&gt;_x000a_&lt;p&gt;ASTONISHING SOUND.&lt;/p&gt;"/>
    <s v="https://shop.officineitalianezard.it/contents/imgs/products/1_478-terminale.jpg"/>
    <m/>
    <m/>
  </r>
  <r>
    <s v="1586059262-10561"/>
    <s v="https://shop.officineitalianezard.it/en/products/"/>
    <m/>
    <s v="https://shop.officineitalianezard.it/en/triumph-zard-exhaust/"/>
    <s v="ROCKET III"/>
    <s v="https://shop.officineitalianezard.it/en/triumph-rocket-iii-exhaust/"/>
    <s v="SPORT VERSION"/>
    <x v="98"/>
    <s v="06-18 FULL KIT"/>
    <s v="ZTPH500SKS"/>
    <s v="TRIUMPH ROCKET III"/>
    <n v="1570.57"/>
    <n v="1745.08"/>
    <s v="&lt;p&gt;3&amp;gt;1 STEEL RACING FULL KIT SPORT VERSION&lt;/p&gt;_x000a_&lt;p&gt;ORIGINAL EXHAUST SYSTEM WEIGHT: KG 21.5&lt;br&gt;ZARD EXHAUST SYSTEM WEIGHT: KG 4.3&lt;/p&gt;_x000a_&lt;p&gt;HARD INCREASE IN TERMS OF TORQUE AT LOW-RANGE/MID-RANGE AND + 1.5 HP COMPARED TO THE ORIGINAL SYSTEM.&lt;/p&gt;_x000a_&lt;p&gt;ASTONISHING SOUND.&lt;/p&gt;"/>
    <s v="https://shop.officineitalianezard.it/contents/imgs/products/1_476-foto.jpg"/>
    <m/>
    <m/>
  </r>
  <r>
    <s v="1586059262-10562"/>
    <s v="https://shop.officineitalianezard.it/en/products/"/>
    <m/>
    <s v="https://shop.officineitalianezard.it/en/triumph-zard-exhaust/"/>
    <s v="ROCKET III"/>
    <s v="https://shop.officineitalianezard.it/en/triumph-rocket-iii-exhaust/"/>
    <s v="SPORT VERSION"/>
    <x v="98"/>
    <s v="06-18 FULL KIT"/>
    <s v="ZTPH500SKS"/>
    <s v="TRIUMPH ROCKET III"/>
    <n v="1570.57"/>
    <n v="1745.08"/>
    <s v="&lt;p&gt;3&amp;gt;1 STEEL RACING FULL KIT SPORT VERSION&lt;/p&gt;_x000a_&lt;p&gt;ORIGINAL EXHAUST SYSTEM WEIGHT: KG 21.5&lt;br&gt;ZARD EXHAUST SYSTEM WEIGHT: KG 4.3&lt;/p&gt;_x000a_&lt;p&gt;HARD INCREASE IN TERMS OF TORQUE AT LOW-RANGE/MID-RANGE AND + 1.5 HP COMPARED TO THE ORIGINAL SYSTEM.&lt;/p&gt;_x000a_&lt;p&gt;ASTONISHING SOUND.&lt;/p&gt;"/>
    <m/>
    <s v="EURO 3 HOMOLOGATED"/>
    <n v="192.54"/>
  </r>
  <r>
    <s v="1586059262-10563"/>
    <s v="https://shop.officineitalianezard.it/en/products/"/>
    <m/>
    <s v="https://shop.officineitalianezard.it/en/triumph-zard-exhaust/"/>
    <s v="ROCKET III"/>
    <s v="https://shop.officineitalianezard.it/en/triumph-rocket-iii-exhaust/"/>
    <s v="SPORT VERSION"/>
    <x v="98"/>
    <s v="06-18 FULL KIT"/>
    <s v="ZTPH500SKS"/>
    <s v="TRIUMPH ROCKET III"/>
    <n v="1570.57"/>
    <n v="1745.08"/>
    <s v="&lt;p&gt;3&amp;gt;1 STEEL RACING FULL KIT SPORT VERSION&lt;/p&gt;_x000a_&lt;p&gt;ORIGINAL EXHAUST SYSTEM WEIGHT: KG 21.5&lt;br&gt;ZARD EXHAUST SYSTEM WEIGHT: KG 4.3&lt;/p&gt;_x000a_&lt;p&gt;HARD INCREASE IN TERMS OF TORQUE AT LOW-RANGE/MID-RANGE AND + 1.5 HP COMPARED TO THE ORIGINAL SYSTEM.&lt;/p&gt;_x000a_&lt;p&gt;ASTONISHING SOUND.&lt;/p&gt;"/>
    <m/>
    <s v="BLACK COATING"/>
    <n v="169.67"/>
  </r>
  <r>
    <s v="1586059265-10564"/>
    <s v="https://shop.officineitalianezard.it/en/products/"/>
    <m/>
    <s v="https://shop.officineitalianezard.it/en/triumph-zard-exhaust/"/>
    <s v="ROCKET III"/>
    <s v="https://shop.officineitalianezard.it/en/triumph-rocket-iii-exhaust/"/>
    <s v="SPORT VERSION SNAKE WELDED"/>
    <x v="99"/>
    <s v="06-18 FULL KIT"/>
    <s v="ZTPH501SKS"/>
    <s v="TRIUMPH ROCKET III"/>
    <n v="1694.51"/>
    <n v="1882.79"/>
    <s v="&lt;p&gt;STEEL 3&amp;gt;1 SNAKE WELDED FULL KIT RACING&amp;nbsp;&lt;/p&gt;_x000a_&lt;p&gt;ORIGINAL EXHAUST SYSTEM WEIGHT: KG 21.5&lt;br&gt;ZARD EXHAUST SYSTEM WEIGHT: KG 4.3&lt;/p&gt;_x000a_&lt;p&gt;THE EXHAUST CAN BE FITTED ON ROADSTER AND TOURING VERSIONS.&lt;/p&gt;_x000a_&lt;p&gt;HARD INCREASE IN TERMS OF TORQUE AT LOW-RANGE/MID-RANGE AND + 1.5 HP COMPARED TO THE ORIGINAL SYSTEM.&lt;/p&gt;_x000a_&lt;p&gt;ASTONISHING SOUND.&lt;/p&gt;"/>
    <s v="https://shop.officineitalianezard.it/contents/imgs/products/1_70-1ROCKET.jpg"/>
    <m/>
    <m/>
  </r>
  <r>
    <s v="1586059265-10565"/>
    <s v="https://shop.officineitalianezard.it/en/products/"/>
    <m/>
    <s v="https://shop.officineitalianezard.it/en/triumph-zard-exhaust/"/>
    <s v="ROCKET III"/>
    <s v="https://shop.officineitalianezard.it/en/triumph-rocket-iii-exhaust/"/>
    <s v="SPORT VERSION SNAKE WELDED"/>
    <x v="99"/>
    <s v="06-18 FULL KIT"/>
    <s v="ZTPH501SKS"/>
    <s v="TRIUMPH ROCKET III"/>
    <n v="1694.51"/>
    <n v="1882.79"/>
    <s v="&lt;p&gt;STEEL 3&amp;gt;1 SNAKE WELDED FULL KIT RACING&amp;nbsp;&lt;/p&gt;_x000a_&lt;p&gt;ORIGINAL EXHAUST SYSTEM WEIGHT: KG 21.5&lt;br&gt;ZARD EXHAUST SYSTEM WEIGHT: KG 4.3&lt;/p&gt;_x000a_&lt;p&gt;THE EXHAUST CAN BE FITTED ON ROADSTER AND TOURING VERSIONS.&lt;/p&gt;_x000a_&lt;p&gt;HARD INCREASE IN TERMS OF TORQUE AT LOW-RANGE/MID-RANGE AND + 1.5 HP COMPARED TO THE ORIGINAL SYSTEM.&lt;/p&gt;_x000a_&lt;p&gt;ASTONISHING SOUND.&lt;/p&gt;"/>
    <s v="https://shop.officineitalianezard.it/contents/imgs/products/1_71-rocket-kit-laterale-003.jpg"/>
    <m/>
    <m/>
  </r>
  <r>
    <s v="1586059265-10566"/>
    <s v="https://shop.officineitalianezard.it/en/products/"/>
    <m/>
    <s v="https://shop.officineitalianezard.it/en/triumph-zard-exhaust/"/>
    <s v="ROCKET III"/>
    <s v="https://shop.officineitalianezard.it/en/triumph-rocket-iii-exhaust/"/>
    <s v="SPORT VERSION SNAKE WELDED"/>
    <x v="99"/>
    <s v="06-18 FULL KIT"/>
    <s v="ZTPH501SKS"/>
    <s v="TRIUMPH ROCKET III"/>
    <n v="1694.51"/>
    <n v="1882.79"/>
    <s v="&lt;p&gt;STEEL 3&amp;gt;1 SNAKE WELDED FULL KIT RACING&amp;nbsp;&lt;/p&gt;_x000a_&lt;p&gt;ORIGINAL EXHAUST SYSTEM WEIGHT: KG 21.5&lt;br&gt;ZARD EXHAUST SYSTEM WEIGHT: KG 4.3&lt;/p&gt;_x000a_&lt;p&gt;THE EXHAUST CAN BE FITTED ON ROADSTER AND TOURING VERSIONS.&lt;/p&gt;_x000a_&lt;p&gt;HARD INCREASE IN TERMS OF TORQUE AT LOW-RANGE/MID-RANGE AND + 1.5 HP COMPARED TO THE ORIGINAL SYSTEM.&lt;/p&gt;_x000a_&lt;p&gt;ASTONISHING SOUND.&lt;/p&gt;"/>
    <s v="https://shop.officineitalianezard.it/contents/imgs/products/1_72-rocket-kit-laterale-00444.jpg"/>
    <m/>
    <m/>
  </r>
  <r>
    <s v="1586059265-10567"/>
    <s v="https://shop.officineitalianezard.it/en/products/"/>
    <m/>
    <s v="https://shop.officineitalianezard.it/en/triumph-zard-exhaust/"/>
    <s v="ROCKET III"/>
    <s v="https://shop.officineitalianezard.it/en/triumph-rocket-iii-exhaust/"/>
    <s v="SPORT VERSION SNAKE WELDED"/>
    <x v="99"/>
    <s v="06-18 FULL KIT"/>
    <s v="ZTPH501SKS"/>
    <s v="TRIUMPH ROCKET III"/>
    <n v="1694.51"/>
    <n v="1882.79"/>
    <s v="&lt;p&gt;STEEL 3&amp;gt;1 SNAKE WELDED FULL KIT RACING&amp;nbsp;&lt;/p&gt;_x000a_&lt;p&gt;ORIGINAL EXHAUST SYSTEM WEIGHT: KG 21.5&lt;br&gt;ZARD EXHAUST SYSTEM WEIGHT: KG 4.3&lt;/p&gt;_x000a_&lt;p&gt;THE EXHAUST CAN BE FITTED ON ROADSTER AND TOURING VERSIONS.&lt;/p&gt;_x000a_&lt;p&gt;HARD INCREASE IN TERMS OF TORQUE AT LOW-RANGE/MID-RANGE AND + 1.5 HP COMPARED TO THE ORIGINAL SYSTEM.&lt;/p&gt;_x000a_&lt;p&gt;ASTONISHING SOUND.&lt;/p&gt;"/>
    <s v="https://shop.officineitalianezard.it/contents/imgs/products/1_73-rocket2010-3_0.jpg"/>
    <m/>
    <m/>
  </r>
  <r>
    <s v="1586059265-10568"/>
    <s v="https://shop.officineitalianezard.it/en/products/"/>
    <m/>
    <s v="https://shop.officineitalianezard.it/en/triumph-zard-exhaust/"/>
    <s v="ROCKET III"/>
    <s v="https://shop.officineitalianezard.it/en/triumph-rocket-iii-exhaust/"/>
    <s v="SPORT VERSION SNAKE WELDED"/>
    <x v="99"/>
    <s v="06-18 FULL KIT"/>
    <s v="ZTPH501SKS"/>
    <s v="TRIUMPH ROCKET III"/>
    <n v="1694.51"/>
    <n v="1882.79"/>
    <s v="&lt;p&gt;STEEL 3&amp;gt;1 SNAKE WELDED FULL KIT RACING&amp;nbsp;&lt;/p&gt;_x000a_&lt;p&gt;ORIGINAL EXHAUST SYSTEM WEIGHT: KG 21.5&lt;br&gt;ZARD EXHAUST SYSTEM WEIGHT: KG 4.3&lt;/p&gt;_x000a_&lt;p&gt;THE EXHAUST CAN BE FITTED ON ROADSTER AND TOURING VERSIONS.&lt;/p&gt;_x000a_&lt;p&gt;HARD INCREASE IN TERMS OF TORQUE AT LOW-RANGE/MID-RANGE AND + 1.5 HP COMPARED TO THE ORIGINAL SYSTEM.&lt;/p&gt;_x000a_&lt;p&gt;ASTONISHING SOUND.&lt;/p&gt;"/>
    <s v="https://shop.officineitalianezard.it/contents/imgs/products/1_74-rocket2010-2_0.jpg"/>
    <m/>
    <m/>
  </r>
  <r>
    <s v="1586059265-10569"/>
    <s v="https://shop.officineitalianezard.it/en/products/"/>
    <m/>
    <s v="https://shop.officineitalianezard.it/en/triumph-zard-exhaust/"/>
    <s v="ROCKET III"/>
    <s v="https://shop.officineitalianezard.it/en/triumph-rocket-iii-exhaust/"/>
    <s v="SPORT VERSION SNAKE WELDED"/>
    <x v="99"/>
    <s v="06-18 FULL KIT"/>
    <s v="ZTPH501SKS"/>
    <s v="TRIUMPH ROCKET III"/>
    <n v="1694.51"/>
    <n v="1882.79"/>
    <s v="&lt;p&gt;STEEL 3&amp;gt;1 SNAKE WELDED FULL KIT RACING&amp;nbsp;&lt;/p&gt;_x000a_&lt;p&gt;ORIGINAL EXHAUST SYSTEM WEIGHT: KG 21.5&lt;br&gt;ZARD EXHAUST SYSTEM WEIGHT: KG 4.3&lt;/p&gt;_x000a_&lt;p&gt;THE EXHAUST CAN BE FITTED ON ROADSTER AND TOURING VERSIONS.&lt;/p&gt;_x000a_&lt;p&gt;HARD INCREASE IN TERMS OF TORQUE AT LOW-RANGE/MID-RANGE AND + 1.5 HP COMPARED TO THE ORIGINAL SYSTEM.&lt;/p&gt;_x000a_&lt;p&gt;ASTONISHING SOUND.&lt;/p&gt;"/>
    <s v="https://shop.officineitalianezard.it/contents/imgs/products/1_475-2_142-1.jpg"/>
    <m/>
    <m/>
  </r>
  <r>
    <s v="1586059265-10570"/>
    <s v="https://shop.officineitalianezard.it/en/products/"/>
    <m/>
    <s v="https://shop.officineitalianezard.it/en/triumph-zard-exhaust/"/>
    <s v="ROCKET III"/>
    <s v="https://shop.officineitalianezard.it/en/triumph-rocket-iii-exhaust/"/>
    <s v="SPORT VERSION SNAKE WELDED"/>
    <x v="99"/>
    <s v="06-18 FULL KIT"/>
    <s v="ZTPH501SKS"/>
    <s v="TRIUMPH ROCKET III"/>
    <n v="1694.51"/>
    <n v="1882.79"/>
    <s v="&lt;p&gt;STEEL 3&amp;gt;1 SNAKE WELDED FULL KIT RACING&amp;nbsp;&lt;/p&gt;_x000a_&lt;p&gt;ORIGINAL EXHAUST SYSTEM WEIGHT: KG 21.5&lt;br&gt;ZARD EXHAUST SYSTEM WEIGHT: KG 4.3&lt;/p&gt;_x000a_&lt;p&gt;THE EXHAUST CAN BE FITTED ON ROADSTER AND TOURING VERSIONS.&lt;/p&gt;_x000a_&lt;p&gt;HARD INCREASE IN TERMS OF TORQUE AT LOW-RANGE/MID-RANGE AND + 1.5 HP COMPARED TO THE ORIGINAL SYSTEM.&lt;/p&gt;_x000a_&lt;p&gt;ASTONISHING SOUND.&lt;/p&gt;"/>
    <s v="https://shop.officineitalianezard.it/contents/imgs/products/1_474-2_69-2.jpg"/>
    <m/>
    <m/>
  </r>
  <r>
    <s v="1586059265-10571"/>
    <s v="https://shop.officineitalianezard.it/en/products/"/>
    <m/>
    <s v="https://shop.officineitalianezard.it/en/triumph-zard-exhaust/"/>
    <s v="ROCKET III"/>
    <s v="https://shop.officineitalianezard.it/en/triumph-rocket-iii-exhaust/"/>
    <s v="SPORT VERSION SNAKE WELDED"/>
    <x v="99"/>
    <s v="06-18 FULL KIT"/>
    <s v="ZTPH501SKS"/>
    <s v="TRIUMPH ROCKET III"/>
    <n v="1694.51"/>
    <n v="1882.79"/>
    <s v="&lt;p&gt;STEEL 3&amp;gt;1 SNAKE WELDED FULL KIT RACING&amp;nbsp;&lt;/p&gt;_x000a_&lt;p&gt;ORIGINAL EXHAUST SYSTEM WEIGHT: KG 21.5&lt;br&gt;ZARD EXHAUST SYSTEM WEIGHT: KG 4.3&lt;/p&gt;_x000a_&lt;p&gt;THE EXHAUST CAN BE FITTED ON ROADSTER AND TOURING VERSIONS.&lt;/p&gt;_x000a_&lt;p&gt;HARD INCREASE IN TERMS OF TORQUE AT LOW-RANGE/MID-RANGE AND + 1.5 HP COMPARED TO THE ORIGINAL SYSTEM.&lt;/p&gt;_x000a_&lt;p&gt;ASTONISHING SOUND.&lt;/p&gt;"/>
    <m/>
    <s v="EURO 3 HOMOLOGATED"/>
    <n v="165.98"/>
  </r>
  <r>
    <s v="1586059265-10572"/>
    <s v="https://shop.officineitalianezard.it/en/products/"/>
    <m/>
    <s v="https://shop.officineitalianezard.it/en/triumph-zard-exhaust/"/>
    <s v="ROCKET III"/>
    <s v="https://shop.officineitalianezard.it/en/triumph-rocket-iii-exhaust/"/>
    <s v="SPORT VERSION SNAKE WELDED"/>
    <x v="99"/>
    <s v="06-18 FULL KIT"/>
    <s v="ZTPH501SKS"/>
    <s v="TRIUMPH ROCKET III"/>
    <n v="1694.51"/>
    <n v="1882.79"/>
    <s v="&lt;p&gt;STEEL 3&amp;gt;1 SNAKE WELDED FULL KIT RACING&amp;nbsp;&lt;/p&gt;_x000a_&lt;p&gt;ORIGINAL EXHAUST SYSTEM WEIGHT: KG 21.5&lt;br&gt;ZARD EXHAUST SYSTEM WEIGHT: KG 4.3&lt;/p&gt;_x000a_&lt;p&gt;THE EXHAUST CAN BE FITTED ON ROADSTER AND TOURING VERSIONS.&lt;/p&gt;_x000a_&lt;p&gt;HARD INCREASE IN TERMS OF TORQUE AT LOW-RANGE/MID-RANGE AND + 1.5 HP COMPARED TO THE ORIGINAL SYSTEM.&lt;/p&gt;_x000a_&lt;p&gt;ASTONISHING SOUND.&lt;/p&gt;"/>
    <m/>
    <s v="BLACK COATING"/>
    <n v="169.67"/>
  </r>
  <r>
    <s v="1586059267-10573"/>
    <s v="https://shop.officineitalianezard.it/en/products/"/>
    <m/>
    <s v="https://shop.officineitalianezard.it/en/triumph-zard-exhaust/"/>
    <s v="ROCKET III"/>
    <s v="https://shop.officineitalianezard.it/en/triumph-rocket-iii-exhaust/"/>
    <s v="STEEL-CARBON"/>
    <x v="100"/>
    <s v="PENTA SILENCERS KIT"/>
    <s v="ZTPH037SKS"/>
    <s v="TRIUMPH ROCKET III"/>
    <n v="1119.0999999999999"/>
    <n v="1243.44"/>
    <s v="&lt;p&gt;PENTA STEEL-CARBON RACING SILENCERS KIT&lt;/p&gt;_x000a_&lt;p&gt;ORIGINAL EXHAUST SYSTEM WEIGHT: KG 19&lt;br&gt;ZARD RACING SILENCERS KIT WEIGHT: KG 3.7&lt;br&gt;ZARD HOMOLOGATED SILENCERS KIT WEIGHT: KG 4.5&lt;/p&gt;_x000a_&lt;p&gt;THE EXHAUST CAN'T BE FITTED ON ROADSTER AND TOURING VERSION.&lt;/p&gt;_x000a_&lt;p&gt;HARD INCREASE IN TERMS OF TORQUE AND POWER AT ANY RANGE&lt;/p&gt;_x000a_&lt;p&gt;ASTONISHING SOUND.&lt;/p&gt;"/>
    <s v="https://shop.officineitalianezard.it/contents/imgs/products/1_1374-66-S8000729%20ombra%20copy.jpg"/>
    <m/>
    <m/>
  </r>
  <r>
    <s v="1586059267-10574"/>
    <s v="https://shop.officineitalianezard.it/en/products/"/>
    <m/>
    <s v="https://shop.officineitalianezard.it/en/triumph-zard-exhaust/"/>
    <s v="ROCKET III"/>
    <s v="https://shop.officineitalianezard.it/en/triumph-rocket-iii-exhaust/"/>
    <s v="STEEL-CARBON"/>
    <x v="100"/>
    <s v="PENTA SILENCERS KIT"/>
    <s v="ZTPH037SKS"/>
    <s v="TRIUMPH ROCKET III"/>
    <n v="1119.0999999999999"/>
    <n v="1243.44"/>
    <s v="&lt;p&gt;PENTA STEEL-CARBON RACING SILENCERS KIT&lt;/p&gt;_x000a_&lt;p&gt;ORIGINAL EXHAUST SYSTEM WEIGHT: KG 19&lt;br&gt;ZARD RACING SILENCERS KIT WEIGHT: KG 3.7&lt;br&gt;ZARD HOMOLOGATED SILENCERS KIT WEIGHT: KG 4.5&lt;/p&gt;_x000a_&lt;p&gt;THE EXHAUST CAN'T BE FITTED ON ROADSTER AND TOURING VERSION.&lt;/p&gt;_x000a_&lt;p&gt;HARD INCREASE IN TERMS OF TORQUE AND POWER AT ANY RANGE&lt;/p&gt;_x000a_&lt;p&gt;ASTONISHING SOUND.&lt;/p&gt;"/>
    <s v="https://shop.officineitalianezard.it/contents/imgs/products/1_1375-67-S8000737%20copy.jpg"/>
    <m/>
    <m/>
  </r>
  <r>
    <s v="1586059267-10575"/>
    <s v="https://shop.officineitalianezard.it/en/products/"/>
    <m/>
    <s v="https://shop.officineitalianezard.it/en/triumph-zard-exhaust/"/>
    <s v="ROCKET III"/>
    <s v="https://shop.officineitalianezard.it/en/triumph-rocket-iii-exhaust/"/>
    <s v="STEEL-CARBON"/>
    <x v="100"/>
    <s v="PENTA SILENCERS KIT"/>
    <s v="ZTPH037SKS"/>
    <s v="TRIUMPH ROCKET III"/>
    <n v="1119.0999999999999"/>
    <n v="1243.44"/>
    <s v="&lt;p&gt;PENTA STEEL-CARBON RACING SILENCERS KIT&lt;/p&gt;_x000a_&lt;p&gt;ORIGINAL EXHAUST SYSTEM WEIGHT: KG 19&lt;br&gt;ZARD RACING SILENCERS KIT WEIGHT: KG 3.7&lt;br&gt;ZARD HOMOLOGATED SILENCERS KIT WEIGHT: KG 4.5&lt;/p&gt;_x000a_&lt;p&gt;THE EXHAUST CAN'T BE FITTED ON ROADSTER AND TOURING VERSION.&lt;/p&gt;_x000a_&lt;p&gt;HARD INCREASE IN TERMS OF TORQUE AND POWER AT ANY RANGE&lt;/p&gt;_x000a_&lt;p&gt;ASTONISHING SOUND.&lt;/p&gt;"/>
    <m/>
    <s v="CARBON 'PENTA' ENDCAP"/>
    <n v="75.25"/>
  </r>
  <r>
    <s v="1586059269-10576"/>
    <s v="https://shop.officineitalianezard.it/en/products/"/>
    <m/>
    <s v="https://shop.officineitalianezard.it/en/triumph-zard-exhaust/"/>
    <s v="ROCKET III"/>
    <s v="https://shop.officineitalianezard.it/en/triumph-rocket-iii-exhaust/"/>
    <s v="STEEL-ALUMINIUM"/>
    <x v="101"/>
    <s v="PENTA SILENCERS KIT"/>
    <s v="ZTPH037AKS"/>
    <s v="TRIUMPH ROCKET III"/>
    <n v="1056.3900000000001"/>
    <n v="1173.77"/>
    <s v="&lt;p&gt;RACING PENTA SILENCERS KIT IN STEEL-BLACK COATED ALUMINIUM&lt;/p&gt;_x000a_&lt;p&gt;ORIGINAL EXHAUST SYSTEM WEIGHT: KG 19&lt;br&gt;ZARD RACING SILENCERS KIT WEIGHT: KG 3.7&lt;br&gt;ZARD HOMOLOGATED SILENCERS KIT WEIGHT: KG 4.5&lt;/p&gt;_x000a_&lt;p&gt;THE EXHAUST CAN'T BE FITTED ON ROADSTER AND TOURING ABS VERSION.&lt;/p&gt;_x000a_&lt;p&gt;HARD INCREASE IN TERMS OF TORQUE AND POWER AT ANY RANGE&lt;br&gt;ASTONISHING SOUND.&amp;nbsp;&lt;/p&gt;"/>
    <s v="https://shop.officineitalianezard.it/contents/imgs/products/1_66-S8000729%20ombra%20copy.jpg"/>
    <m/>
    <m/>
  </r>
  <r>
    <s v="1586059269-10577"/>
    <s v="https://shop.officineitalianezard.it/en/products/"/>
    <m/>
    <s v="https://shop.officineitalianezard.it/en/triumph-zard-exhaust/"/>
    <s v="ROCKET III"/>
    <s v="https://shop.officineitalianezard.it/en/triumph-rocket-iii-exhaust/"/>
    <s v="STEEL-ALUMINIUM"/>
    <x v="101"/>
    <s v="PENTA SILENCERS KIT"/>
    <s v="ZTPH037AKS"/>
    <s v="TRIUMPH ROCKET III"/>
    <n v="1056.3900000000001"/>
    <n v="1173.77"/>
    <s v="&lt;p&gt;RACING PENTA SILENCERS KIT IN STEEL-BLACK COATED ALUMINIUM&lt;/p&gt;_x000a_&lt;p&gt;ORIGINAL EXHAUST SYSTEM WEIGHT: KG 19&lt;br&gt;ZARD RACING SILENCERS KIT WEIGHT: KG 3.7&lt;br&gt;ZARD HOMOLOGATED SILENCERS KIT WEIGHT: KG 4.5&lt;/p&gt;_x000a_&lt;p&gt;THE EXHAUST CAN'T BE FITTED ON ROADSTER AND TOURING ABS VERSION.&lt;/p&gt;_x000a_&lt;p&gt;HARD INCREASE IN TERMS OF TORQUE AND POWER AT ANY RANGE&lt;br&gt;ASTONISHING SOUND.&amp;nbsp;&lt;/p&gt;"/>
    <s v="https://shop.officineitalianezard.it/contents/imgs/products/1_67-S8000737%20copy.jpg"/>
    <m/>
    <m/>
  </r>
  <r>
    <s v="1586059269-10578"/>
    <s v="https://shop.officineitalianezard.it/en/products/"/>
    <m/>
    <s v="https://shop.officineitalianezard.it/en/triumph-zard-exhaust/"/>
    <s v="ROCKET III"/>
    <s v="https://shop.officineitalianezard.it/en/triumph-rocket-iii-exhaust/"/>
    <s v="STEEL-ALUMINIUM"/>
    <x v="101"/>
    <s v="PENTA SILENCERS KIT"/>
    <s v="ZTPH037AKS"/>
    <s v="TRIUMPH ROCKET III"/>
    <n v="1056.3900000000001"/>
    <n v="1173.77"/>
    <s v="&lt;p&gt;RACING PENTA SILENCERS KIT IN STEEL-BLACK COATED ALUMINIUM&lt;/p&gt;_x000a_&lt;p&gt;ORIGINAL EXHAUST SYSTEM WEIGHT: KG 19&lt;br&gt;ZARD RACING SILENCERS KIT WEIGHT: KG 3.7&lt;br&gt;ZARD HOMOLOGATED SILENCERS KIT WEIGHT: KG 4.5&lt;/p&gt;_x000a_&lt;p&gt;THE EXHAUST CAN'T BE FITTED ON ROADSTER AND TOURING ABS VERSION.&lt;/p&gt;_x000a_&lt;p&gt;HARD INCREASE IN TERMS OF TORQUE AND POWER AT ANY RANGE&lt;br&gt;ASTONISHING SOUND.&amp;nbsp;&lt;/p&gt;"/>
    <m/>
    <s v="EURO 3 HOMOLOGATED"/>
    <n v="308.36"/>
  </r>
  <r>
    <s v="1586059269-10579"/>
    <s v="https://shop.officineitalianezard.it/en/products/"/>
    <m/>
    <s v="https://shop.officineitalianezard.it/en/triumph-zard-exhaust/"/>
    <s v="ROCKET III"/>
    <s v="https://shop.officineitalianezard.it/en/triumph-rocket-iii-exhaust/"/>
    <s v="STEEL-ALUMINIUM"/>
    <x v="101"/>
    <s v="PENTA SILENCERS KIT"/>
    <s v="ZTPH037AKS"/>
    <s v="TRIUMPH ROCKET III"/>
    <n v="1056.3900000000001"/>
    <n v="1173.77"/>
    <s v="&lt;p&gt;RACING PENTA SILENCERS KIT IN STEEL-BLACK COATED ALUMINIUM&lt;/p&gt;_x000a_&lt;p&gt;ORIGINAL EXHAUST SYSTEM WEIGHT: KG 19&lt;br&gt;ZARD RACING SILENCERS KIT WEIGHT: KG 3.7&lt;br&gt;ZARD HOMOLOGATED SILENCERS KIT WEIGHT: KG 4.5&lt;/p&gt;_x000a_&lt;p&gt;THE EXHAUST CAN'T BE FITTED ON ROADSTER AND TOURING ABS VERSION.&lt;/p&gt;_x000a_&lt;p&gt;HARD INCREASE IN TERMS OF TORQUE AND POWER AT ANY RANGE&lt;br&gt;ASTONISHING SOUND.&amp;nbsp;&lt;/p&gt;"/>
    <m/>
    <s v="CARBON 'PENTA' ENDCAP"/>
    <n v="75.25"/>
  </r>
  <r>
    <s v="1586059274-10580"/>
    <s v="https://shop.officineitalianezard.it/en/products/"/>
    <m/>
    <s v="https://shop.officineitalianezard.it/en/triumph-zard-exhaust/"/>
    <s v="DAYTONA &gt; M.Y. 2013"/>
    <s v="https://shop.officineitalianezard.it/en/triumph-daytona-m-y-2013-exhaust/"/>
    <s v="SHORT VERSION"/>
    <x v="102"/>
    <s v="LOW MOUNTED SILENCER"/>
    <s v="ZTPH033SSR-13"/>
    <s v="TRIUMPH DAYTONA &gt; M.Y. 2013"/>
    <n v="432.3"/>
    <n v="480.33"/>
    <s v="&lt;p&gt;STEEL RACING SILENCER&lt;/p&gt;_x000a_&lt;p&gt;HARD INCREASE, COMPARED TO THE ORIGINAL EXHAUST SYSTEM, IN TERMS OF TORQUE AND POWER AT ANY RANGE.&lt;/p&gt;_x000a_&lt;p&gt;ASTONISHING SOUND.&lt;/p&gt;_x000a_&lt;p&gt;ZARD SHORT SILENCER CAN BE FITTED ON 3&amp;gt;1 ZARD HEADERS KIT TO HAVE AN HARD INCREASE OF PERFORMANCES BUT ALSO ON ORIGINAL HEADERS.&lt;/p&gt;"/>
    <s v="https://shop.officineitalianezard.it/contents/imgs/products/1_1216-1ridotta.jpg"/>
    <m/>
    <m/>
  </r>
  <r>
    <s v="1586059274-10581"/>
    <s v="https://shop.officineitalianezard.it/en/products/"/>
    <m/>
    <s v="https://shop.officineitalianezard.it/en/triumph-zard-exhaust/"/>
    <s v="DAYTONA &gt; M.Y. 2013"/>
    <s v="https://shop.officineitalianezard.it/en/triumph-daytona-m-y-2013-exhaust/"/>
    <s v="SHORT VERSION"/>
    <x v="102"/>
    <s v="LOW MOUNTED SILENCER"/>
    <s v="ZTPH033SSR-13"/>
    <s v="TRIUMPH DAYTONA &gt; M.Y. 2013"/>
    <n v="432.3"/>
    <n v="480.33"/>
    <s v="&lt;p&gt;STEEL RACING SILENCER&lt;/p&gt;_x000a_&lt;p&gt;HARD INCREASE, COMPARED TO THE ORIGINAL EXHAUST SYSTEM, IN TERMS OF TORQUE AND POWER AT ANY RANGE.&lt;/p&gt;_x000a_&lt;p&gt;ASTONISHING SOUND.&lt;/p&gt;_x000a_&lt;p&gt;ZARD SHORT SILENCER CAN BE FITTED ON 3&amp;gt;1 ZARD HEADERS KIT TO HAVE AN HARD INCREASE OF PERFORMANCES BUT ALSO ON ORIGINAL HEADERS.&lt;/p&gt;"/>
    <s v="https://shop.officineitalianezard.it/contents/imgs/products/1_1221-3ridotta.jpg"/>
    <m/>
    <m/>
  </r>
  <r>
    <s v="1586059274-10582"/>
    <s v="https://shop.officineitalianezard.it/en/products/"/>
    <m/>
    <s v="https://shop.officineitalianezard.it/en/triumph-zard-exhaust/"/>
    <s v="DAYTONA &gt; M.Y. 2013"/>
    <s v="https://shop.officineitalianezard.it/en/triumph-daytona-m-y-2013-exhaust/"/>
    <s v="SHORT VERSION"/>
    <x v="102"/>
    <s v="LOW MOUNTED SILENCER"/>
    <s v="ZTPH033SSR-13"/>
    <s v="TRIUMPH DAYTONA &gt; M.Y. 2013"/>
    <n v="432.3"/>
    <n v="480.33"/>
    <s v="&lt;p&gt;STEEL RACING SILENCER&lt;/p&gt;_x000a_&lt;p&gt;HARD INCREASE, COMPARED TO THE ORIGINAL EXHAUST SYSTEM, IN TERMS OF TORQUE AND POWER AT ANY RANGE.&lt;/p&gt;_x000a_&lt;p&gt;ASTONISHING SOUND.&lt;/p&gt;_x000a_&lt;p&gt;ZARD SHORT SILENCER CAN BE FITTED ON 3&amp;gt;1 ZARD HEADERS KIT TO HAVE AN HARD INCREASE OF PERFORMANCES BUT ALSO ON ORIGINAL HEADERS.&lt;/p&gt;"/>
    <s v="https://shop.officineitalianezard.it/contents/imgs/products/1_1217-2ridotta.jpg"/>
    <m/>
    <m/>
  </r>
  <r>
    <s v="1586059274-10583"/>
    <s v="https://shop.officineitalianezard.it/en/products/"/>
    <m/>
    <s v="https://shop.officineitalianezard.it/en/triumph-zard-exhaust/"/>
    <s v="DAYTONA &gt; M.Y. 2013"/>
    <s v="https://shop.officineitalianezard.it/en/triumph-daytona-m-y-2013-exhaust/"/>
    <s v="SHORT VERSION"/>
    <x v="102"/>
    <s v="LOW MOUNTED SILENCER"/>
    <s v="ZTPH033SSR-13"/>
    <s v="TRIUMPH DAYTONA &gt; M.Y. 2013"/>
    <n v="432.3"/>
    <n v="480.33"/>
    <s v="&lt;p&gt;STEEL RACING SILENCER&lt;/p&gt;_x000a_&lt;p&gt;HARD INCREASE, COMPARED TO THE ORIGINAL EXHAUST SYSTEM, IN TERMS OF TORQUE AND POWER AT ANY RANGE.&lt;/p&gt;_x000a_&lt;p&gt;ASTONISHING SOUND.&lt;/p&gt;_x000a_&lt;p&gt;ZARD SHORT SILENCER CAN BE FITTED ON 3&amp;gt;1 ZARD HEADERS KIT TO HAVE AN HARD INCREASE OF PERFORMANCES BUT ALSO ON ORIGINAL HEADERS.&lt;/p&gt;"/>
    <m/>
    <s v="EURO 3 HOMOLOGATED"/>
    <n v="37.619999999999997"/>
  </r>
  <r>
    <s v="1586059274-10584"/>
    <s v="https://shop.officineitalianezard.it/en/products/"/>
    <m/>
    <s v="https://shop.officineitalianezard.it/en/triumph-zard-exhaust/"/>
    <s v="DAYTONA &gt; M.Y. 2013"/>
    <s v="https://shop.officineitalianezard.it/en/triumph-daytona-m-y-2013-exhaust/"/>
    <s v="SHORT VERSION"/>
    <x v="102"/>
    <s v="LOW MOUNTED SILENCER"/>
    <s v="ZTPH033SSR-13"/>
    <s v="TRIUMPH DAYTONA &gt; M.Y. 2013"/>
    <n v="432.3"/>
    <n v="480.33"/>
    <s v="&lt;p&gt;STEEL RACING SILENCER&lt;/p&gt;_x000a_&lt;p&gt;HARD INCREASE, COMPARED TO THE ORIGINAL EXHAUST SYSTEM, IN TERMS OF TORQUE AND POWER AT ANY RANGE.&lt;/p&gt;_x000a_&lt;p&gt;ASTONISHING SOUND.&lt;/p&gt;_x000a_&lt;p&gt;ZARD SHORT SILENCER CAN BE FITTED ON 3&amp;gt;1 ZARD HEADERS KIT TO HAVE AN HARD INCREASE OF PERFORMANCES BUT ALSO ON ORIGINAL HEADERS.&lt;/p&gt;"/>
    <m/>
    <s v="BLACK COATING"/>
    <n v="77.459999999999994"/>
  </r>
  <r>
    <s v="1586059274-10585"/>
    <s v="https://shop.officineitalianezard.it/en/products/"/>
    <m/>
    <s v="https://shop.officineitalianezard.it/en/triumph-zard-exhaust/"/>
    <s v="DAYTONA &gt; M.Y. 2013"/>
    <s v="https://shop.officineitalianezard.it/en/triumph-daytona-m-y-2013-exhaust/"/>
    <s v="SHORT VERSION"/>
    <x v="102"/>
    <s v="LOW MOUNTED SILENCER"/>
    <s v="ZTPH033SSR-13"/>
    <s v="TRIUMPH DAYTONA &gt; M.Y. 2013"/>
    <n v="432.3"/>
    <n v="480.33"/>
    <s v="&lt;p&gt;STEEL RACING SILENCER&lt;/p&gt;_x000a_&lt;p&gt;HARD INCREASE, COMPARED TO THE ORIGINAL EXHAUST SYSTEM, IN TERMS OF TORQUE AND POWER AT ANY RANGE.&lt;/p&gt;_x000a_&lt;p&gt;ASTONISHING SOUND.&lt;/p&gt;_x000a_&lt;p&gt;ZARD SHORT SILENCER CAN BE FITTED ON 3&amp;gt;1 ZARD HEADERS KIT TO HAVE AN HARD INCREASE OF PERFORMANCES BUT ALSO ON ORIGINAL HEADERS.&lt;/p&gt;"/>
    <m/>
    <s v="CARBON ENDCAP"/>
    <n v="42.05"/>
  </r>
  <r>
    <s v="1586059276-10586"/>
    <s v="https://shop.officineitalianezard.it/en/products/"/>
    <m/>
    <s v="https://shop.officineitalianezard.it/en/triumph-zard-exhaust/"/>
    <s v="DAYTONA &gt; M.Y. 2013"/>
    <s v="https://shop.officineitalianezard.it/en/triumph-daytona-m-y-2013-exhaust/"/>
    <s v="SHORT VERSION"/>
    <x v="103"/>
    <s v="FULL KIT"/>
    <s v="ZTPH033SKR-13"/>
    <s v="TRIUMPH DAYTONA &gt; M.Y. 2013"/>
    <n v="1077.05"/>
    <n v="1196.72"/>
    <s v="&lt;p&gt;3&amp;gt;1 STEEL RACING FULL KIT&lt;/p&gt;_x000a_&lt;p&gt;HARD INCREASE, COMPARED TO THE ORIGINAL EXHAUST SYSTEM, IN TERMS OF TORQUE AND POWER AT ANY RANGE.&lt;/p&gt;_x000a_&lt;p&gt;ASTONISHING SOUND.&lt;/p&gt;"/>
    <s v="https://shop.officineitalianezard.it/contents/imgs/products/1_1219-triumph%20daytona%20exhaust%20full%20kit%20zard.jpg"/>
    <m/>
    <m/>
  </r>
  <r>
    <s v="1586059276-10587"/>
    <s v="https://shop.officineitalianezard.it/en/products/"/>
    <m/>
    <s v="https://shop.officineitalianezard.it/en/triumph-zard-exhaust/"/>
    <s v="DAYTONA &gt; M.Y. 2013"/>
    <s v="https://shop.officineitalianezard.it/en/triumph-daytona-m-y-2013-exhaust/"/>
    <s v="SHORT VERSION"/>
    <x v="103"/>
    <s v="FULL KIT"/>
    <s v="ZTPH033SKR-13"/>
    <s v="TRIUMPH DAYTONA &gt; M.Y. 2013"/>
    <n v="1077.05"/>
    <n v="1196.72"/>
    <s v="&lt;p&gt;3&amp;gt;1 STEEL RACING FULL KIT&lt;/p&gt;_x000a_&lt;p&gt;HARD INCREASE, COMPARED TO THE ORIGINAL EXHAUST SYSTEM, IN TERMS OF TORQUE AND POWER AT ANY RANGE.&lt;/p&gt;_x000a_&lt;p&gt;ASTONISHING SOUND.&lt;/p&gt;"/>
    <s v="https://shop.officineitalianezard.it/contents/imgs/products/1_1222-full%20kit%20triumph%20daytona%20zard.jpg"/>
    <m/>
    <m/>
  </r>
  <r>
    <s v="1586059276-10588"/>
    <s v="https://shop.officineitalianezard.it/en/products/"/>
    <m/>
    <s v="https://shop.officineitalianezard.it/en/triumph-zard-exhaust/"/>
    <s v="DAYTONA &gt; M.Y. 2013"/>
    <s v="https://shop.officineitalianezard.it/en/triumph-daytona-m-y-2013-exhaust/"/>
    <s v="SHORT VERSION"/>
    <x v="103"/>
    <s v="FULL KIT"/>
    <s v="ZTPH033SKR-13"/>
    <s v="TRIUMPH DAYTONA &gt; M.Y. 2013"/>
    <n v="1077.05"/>
    <n v="1196.72"/>
    <s v="&lt;p&gt;3&amp;gt;1 STEEL RACING FULL KIT&lt;/p&gt;_x000a_&lt;p&gt;HARD INCREASE, COMPARED TO THE ORIGINAL EXHAUST SYSTEM, IN TERMS OF TORQUE AND POWER AT ANY RANGE.&lt;/p&gt;_x000a_&lt;p&gt;ASTONISHING SOUND.&lt;/p&gt;"/>
    <s v="https://shop.officineitalianezard.it/contents/imgs/products/1_1220-triumph%20daytona%20scarichi.jpg"/>
    <m/>
    <m/>
  </r>
  <r>
    <s v="1586059276-10589"/>
    <s v="https://shop.officineitalianezard.it/en/products/"/>
    <m/>
    <s v="https://shop.officineitalianezard.it/en/triumph-zard-exhaust/"/>
    <s v="DAYTONA &gt; M.Y. 2013"/>
    <s v="https://shop.officineitalianezard.it/en/triumph-daytona-m-y-2013-exhaust/"/>
    <s v="SHORT VERSION"/>
    <x v="103"/>
    <s v="FULL KIT"/>
    <s v="ZTPH033SKR-13"/>
    <s v="TRIUMPH DAYTONA &gt; M.Y. 2013"/>
    <n v="1077.05"/>
    <n v="1196.72"/>
    <s v="&lt;p&gt;3&amp;gt;1 STEEL RACING FULL KIT&lt;/p&gt;_x000a_&lt;p&gt;HARD INCREASE, COMPARED TO THE ORIGINAL EXHAUST SYSTEM, IN TERMS OF TORQUE AND POWER AT ANY RANGE.&lt;/p&gt;_x000a_&lt;p&gt;ASTONISHING SOUND.&lt;/p&gt;"/>
    <m/>
    <s v="EURO 3 HOMOLOGATED"/>
    <n v="37.619999999999997"/>
  </r>
  <r>
    <s v="1586059276-10590"/>
    <s v="https://shop.officineitalianezard.it/en/products/"/>
    <m/>
    <s v="https://shop.officineitalianezard.it/en/triumph-zard-exhaust/"/>
    <s v="DAYTONA &gt; M.Y. 2013"/>
    <s v="https://shop.officineitalianezard.it/en/triumph-daytona-m-y-2013-exhaust/"/>
    <s v="SHORT VERSION"/>
    <x v="103"/>
    <s v="FULL KIT"/>
    <s v="ZTPH033SKR-13"/>
    <s v="TRIUMPH DAYTONA &gt; M.Y. 2013"/>
    <n v="1077.05"/>
    <n v="1196.72"/>
    <s v="&lt;p&gt;3&amp;gt;1 STEEL RACING FULL KIT&lt;/p&gt;_x000a_&lt;p&gt;HARD INCREASE, COMPARED TO THE ORIGINAL EXHAUST SYSTEM, IN TERMS OF TORQUE AND POWER AT ANY RANGE.&lt;/p&gt;_x000a_&lt;p&gt;ASTONISHING SOUND.&lt;/p&gt;"/>
    <m/>
    <s v="BLACK COATING"/>
    <n v="169.67"/>
  </r>
  <r>
    <s v="1586059276-10591"/>
    <s v="https://shop.officineitalianezard.it/en/products/"/>
    <m/>
    <s v="https://shop.officineitalianezard.it/en/triumph-zard-exhaust/"/>
    <s v="DAYTONA &gt; M.Y. 2013"/>
    <s v="https://shop.officineitalianezard.it/en/triumph-daytona-m-y-2013-exhaust/"/>
    <s v="SHORT VERSION"/>
    <x v="103"/>
    <s v="FULL KIT"/>
    <s v="ZTPH033SKR-13"/>
    <s v="TRIUMPH DAYTONA &gt; M.Y. 2013"/>
    <n v="1077.05"/>
    <n v="1196.72"/>
    <s v="&lt;p&gt;3&amp;gt;1 STEEL RACING FULL KIT&lt;/p&gt;_x000a_&lt;p&gt;HARD INCREASE, COMPARED TO THE ORIGINAL EXHAUST SYSTEM, IN TERMS OF TORQUE AND POWER AT ANY RANGE.&lt;/p&gt;_x000a_&lt;p&gt;ASTONISHING SOUND.&lt;/p&gt;"/>
    <m/>
    <s v="CARBON ENDCAP"/>
    <n v="42.05"/>
  </r>
  <r>
    <s v="1586059281-10592"/>
    <s v="https://shop.officineitalianezard.it/en/products/"/>
    <m/>
    <s v="https://shop.officineitalianezard.it/en/triumph-zard-exhaust/"/>
    <s v="DAYTONA 675 M.Y. 2009"/>
    <s v="https://shop.officineitalianezard.it/en/triumph-daytona-675-m-y-2009/"/>
    <s v="SIDE VERSION"/>
    <x v="104"/>
    <s v="FULL  KIT"/>
    <s v="ZTPH033SKR-09"/>
    <s v="TRIUMPH DAYTONA 675 M.Y. 2009"/>
    <n v="1194.3399999999999"/>
    <n v="1327.05"/>
    <s v="&lt;p&gt;3&amp;gt;1 STEEL RACING FULL KIT&lt;/p&gt;_x000a_&lt;p&gt;ORIGINAL FULL KIT WEIGHT: KG 12.2&lt;br&gt;ZARD FULL KIT RACING WEIGHT: KG 4.2&lt;br&gt;ZARD FULL KIT HOMOLOGATED WEIGHT: KG 5.1&lt;/p&gt;_x000a_&lt;p&gt;HARD INCREASE IN TERMS OF TORQUE AT LOW-RANGE/MID-RANGE AND + 5 HP COMPARED TO THE ORIGINAL SYSTEM. ASTONISHING SOUND.&lt;/p&gt;"/>
    <s v="https://shop.officineitalianezard.it/contents/imgs/products/1_63-daytona-rossa2.jpg"/>
    <m/>
    <m/>
  </r>
  <r>
    <s v="1586059281-10593"/>
    <s v="https://shop.officineitalianezard.it/en/products/"/>
    <m/>
    <s v="https://shop.officineitalianezard.it/en/triumph-zard-exhaust/"/>
    <s v="DAYTONA 675 M.Y. 2009"/>
    <s v="https://shop.officineitalianezard.it/en/triumph-daytona-675-m-y-2009/"/>
    <s v="SIDE VERSION"/>
    <x v="104"/>
    <s v="FULL  KIT"/>
    <s v="ZTPH033SKR-09"/>
    <s v="TRIUMPH DAYTONA 675 M.Y. 2009"/>
    <n v="1194.3399999999999"/>
    <n v="1327.05"/>
    <s v="&lt;p&gt;3&amp;gt;1 STEEL RACING FULL KIT&lt;/p&gt;_x000a_&lt;p&gt;ORIGINAL FULL KIT WEIGHT: KG 12.2&lt;br&gt;ZARD FULL KIT RACING WEIGHT: KG 4.2&lt;br&gt;ZARD FULL KIT HOMOLOGATED WEIGHT: KG 5.1&lt;/p&gt;_x000a_&lt;p&gt;HARD INCREASE IN TERMS OF TORQUE AT LOW-RANGE/MID-RANGE AND + 5 HP COMPARED TO THE ORIGINAL SYSTEM. ASTONISHING SOUND.&lt;/p&gt;"/>
    <s v="https://shop.officineitalianezard.it/contents/imgs/products/1_62-daytona-rossa1.jpg"/>
    <m/>
    <m/>
  </r>
  <r>
    <s v="1586059281-10594"/>
    <s v="https://shop.officineitalianezard.it/en/products/"/>
    <m/>
    <s v="https://shop.officineitalianezard.it/en/triumph-zard-exhaust/"/>
    <s v="DAYTONA 675 M.Y. 2009"/>
    <s v="https://shop.officineitalianezard.it/en/triumph-daytona-675-m-y-2009/"/>
    <s v="SIDE VERSION"/>
    <x v="104"/>
    <s v="FULL  KIT"/>
    <s v="ZTPH033SKR-09"/>
    <s v="TRIUMPH DAYTONA 675 M.Y. 2009"/>
    <n v="1194.3399999999999"/>
    <n v="1327.05"/>
    <s v="&lt;p&gt;3&amp;gt;1 STEEL RACING FULL KIT&lt;/p&gt;_x000a_&lt;p&gt;ORIGINAL FULL KIT WEIGHT: KG 12.2&lt;br&gt;ZARD FULL KIT RACING WEIGHT: KG 4.2&lt;br&gt;ZARD FULL KIT HOMOLOGATED WEIGHT: KG 5.1&lt;/p&gt;_x000a_&lt;p&gt;HARD INCREASE IN TERMS OF TORQUE AT LOW-RANGE/MID-RANGE AND + 5 HP COMPARED TO THE ORIGINAL SYSTEM. ASTONISHING SOUND.&lt;/p&gt;"/>
    <m/>
    <s v="CATALYSED"/>
    <n v="80.41"/>
  </r>
  <r>
    <s v="1586059281-10595"/>
    <s v="https://shop.officineitalianezard.it/en/products/"/>
    <m/>
    <s v="https://shop.officineitalianezard.it/en/triumph-zard-exhaust/"/>
    <s v="DAYTONA 675 M.Y. 2009"/>
    <s v="https://shop.officineitalianezard.it/en/triumph-daytona-675-m-y-2009/"/>
    <s v="SIDE VERSION"/>
    <x v="104"/>
    <s v="FULL  KIT"/>
    <s v="ZTPH033SKR-09"/>
    <s v="TRIUMPH DAYTONA 675 M.Y. 2009"/>
    <n v="1194.3399999999999"/>
    <n v="1327.05"/>
    <s v="&lt;p&gt;3&amp;gt;1 STEEL RACING FULL KIT&lt;/p&gt;_x000a_&lt;p&gt;ORIGINAL FULL KIT WEIGHT: KG 12.2&lt;br&gt;ZARD FULL KIT RACING WEIGHT: KG 4.2&lt;br&gt;ZARD FULL KIT HOMOLOGATED WEIGHT: KG 5.1&lt;/p&gt;_x000a_&lt;p&gt;HARD INCREASE IN TERMS OF TORQUE AT LOW-RANGE/MID-RANGE AND + 5 HP COMPARED TO THE ORIGINAL SYSTEM. ASTONISHING SOUND.&lt;/p&gt;"/>
    <m/>
    <s v="BLACK COATING"/>
    <n v="169.67"/>
  </r>
  <r>
    <s v="1586059286-10596"/>
    <s v="https://shop.officineitalianezard.it/en/products/"/>
    <m/>
    <s v="https://shop.officineitalianezard.it/en/triumph-zard-exhaust/"/>
    <s v="DAYTONA 675"/>
    <s v="https://shop.officineitalianezard.it/en/triumph-daytona-675-exhaust/"/>
    <s v="UNDERSEAT VERSION"/>
    <x v="105"/>
    <s v="FULL KIT"/>
    <s v="ZTPH 033 SKS"/>
    <s v="TRIUMPH DAYTONA 675"/>
    <n v="1175.9000000000001"/>
    <n v="1306.56"/>
    <s v="&lt;p&gt;3&amp;gt;1 STEEL RACING FULL KIT&lt;/p&gt;_x000a_&lt;p&gt;ORIGINAL FULL KIT WEIGHT: KG 12.2&lt;br&gt;ZARD RACING FULL KIT WEIGHT: KG 3.9&lt;br&gt;ZARD HOMOLOGATED FULL KIT WEIGHT: KG 5.1&lt;/p&gt;_x000a_&lt;p&gt;HARD INCREASE IN TERMS OF TORQUE AT LOW-RANGE/MID-RANGE AND + 1.5 HP COMPARED TO THE ORIGINAL SYSTEM. ASTONISHING SOUND.&lt;/p&gt;"/>
    <s v="https://shop.officineitalianezard.it/contents/imgs/products/1_59-daytona-gialla2.jpg"/>
    <m/>
    <m/>
  </r>
  <r>
    <s v="1586059286-10597"/>
    <s v="https://shop.officineitalianezard.it/en/products/"/>
    <m/>
    <s v="https://shop.officineitalianezard.it/en/triumph-zard-exhaust/"/>
    <s v="DAYTONA 675"/>
    <s v="https://shop.officineitalianezard.it/en/triumph-daytona-675-exhaust/"/>
    <s v="UNDERSEAT VERSION"/>
    <x v="105"/>
    <s v="FULL KIT"/>
    <s v="ZTPH 033 SKS"/>
    <s v="TRIUMPH DAYTONA 675"/>
    <n v="1175.9000000000001"/>
    <n v="1306.56"/>
    <s v="&lt;p&gt;3&amp;gt;1 STEEL RACING FULL KIT&lt;/p&gt;_x000a_&lt;p&gt;ORIGINAL FULL KIT WEIGHT: KG 12.2&lt;br&gt;ZARD RACING FULL KIT WEIGHT: KG 3.9&lt;br&gt;ZARD HOMOLOGATED FULL KIT WEIGHT: KG 5.1&lt;/p&gt;_x000a_&lt;p&gt;HARD INCREASE IN TERMS OF TORQUE AT LOW-RANGE/MID-RANGE AND + 1.5 HP COMPARED TO THE ORIGINAL SYSTEM. ASTONISHING SOUND.&lt;/p&gt;"/>
    <s v="https://shop.officineitalianezard.it/contents/imgs/products/1_58-daytona-gialla1.jpg"/>
    <m/>
    <m/>
  </r>
  <r>
    <s v="1586059286-10598"/>
    <s v="https://shop.officineitalianezard.it/en/products/"/>
    <m/>
    <s v="https://shop.officineitalianezard.it/en/triumph-zard-exhaust/"/>
    <s v="DAYTONA 675"/>
    <s v="https://shop.officineitalianezard.it/en/triumph-daytona-675-exhaust/"/>
    <s v="UNDERSEAT VERSION"/>
    <x v="105"/>
    <s v="FULL KIT"/>
    <s v="ZTPH 033 SKS"/>
    <s v="TRIUMPH DAYTONA 675"/>
    <n v="1175.9000000000001"/>
    <n v="1306.56"/>
    <s v="&lt;p&gt;3&amp;gt;1 STEEL RACING FULL KIT&lt;/p&gt;_x000a_&lt;p&gt;ORIGINAL FULL KIT WEIGHT: KG 12.2&lt;br&gt;ZARD RACING FULL KIT WEIGHT: KG 3.9&lt;br&gt;ZARD HOMOLOGATED FULL KIT WEIGHT: KG 5.1&lt;/p&gt;_x000a_&lt;p&gt;HARD INCREASE IN TERMS OF TORQUE AT LOW-RANGE/MID-RANGE AND + 1.5 HP COMPARED TO THE ORIGINAL SYSTEM. ASTONISHING SOUND.&lt;/p&gt;"/>
    <m/>
    <s v="BLACK CERAMIC COATING"/>
    <n v="169.67"/>
  </r>
  <r>
    <s v="1586059289-10599"/>
    <s v="https://shop.officineitalianezard.it/en/products/"/>
    <m/>
    <s v="https://shop.officineitalianezard.it/en/triumph-zard-exhaust/"/>
    <s v="DAYTONA 675"/>
    <s v="https://shop.officineitalianezard.it/en/triumph-daytona-675-exhaust/"/>
    <s v="SIDE VERSION"/>
    <x v="106"/>
    <s v="FULL KIT"/>
    <s v="ZTPH033SKR"/>
    <s v="TRIUMPH DAYTONA 675"/>
    <n v="1077.05"/>
    <n v="1196.72"/>
    <s v="&lt;p&gt;2&amp;gt;1 STEEL RACING FULL KIT&lt;/p&gt;_x000a_&lt;p&gt;ORIGINAL SILENCER WEIGHT: KG 12.2&lt;br&gt;ZARD SILENCER WEIGHT: KG 4.2&lt;/p&gt;_x000a_&lt;p&gt;HARD INCREASE IN TERMS OF TORQUE AT LOW-RANGE/MID-RANGE AND + 5 HP COMPARED TO THE ORIGINAL SYSTEM. ASTONISHING SOUND.&lt;/p&gt;"/>
    <s v="https://shop.officineitalianezard.it/contents/imgs/products/1_61-daytona-rossa2.jpg"/>
    <m/>
    <m/>
  </r>
  <r>
    <s v="1586059289-10600"/>
    <s v="https://shop.officineitalianezard.it/en/products/"/>
    <m/>
    <s v="https://shop.officineitalianezard.it/en/triumph-zard-exhaust/"/>
    <s v="DAYTONA 675"/>
    <s v="https://shop.officineitalianezard.it/en/triumph-daytona-675-exhaust/"/>
    <s v="SIDE VERSION"/>
    <x v="106"/>
    <s v="FULL KIT"/>
    <s v="ZTPH033SKR"/>
    <s v="TRIUMPH DAYTONA 675"/>
    <n v="1077.05"/>
    <n v="1196.72"/>
    <s v="&lt;p&gt;2&amp;gt;1 STEEL RACING FULL KIT&lt;/p&gt;_x000a_&lt;p&gt;ORIGINAL SILENCER WEIGHT: KG 12.2&lt;br&gt;ZARD SILENCER WEIGHT: KG 4.2&lt;/p&gt;_x000a_&lt;p&gt;HARD INCREASE IN TERMS OF TORQUE AT LOW-RANGE/MID-RANGE AND + 5 HP COMPARED TO THE ORIGINAL SYSTEM. ASTONISHING SOUND.&lt;/p&gt;"/>
    <s v="https://shop.officineitalianezard.it/contents/imgs/products/1_60-daytona-rossa1.jpg"/>
    <m/>
    <m/>
  </r>
  <r>
    <s v="1586059289-10601"/>
    <s v="https://shop.officineitalianezard.it/en/products/"/>
    <m/>
    <s v="https://shop.officineitalianezard.it/en/triumph-zard-exhaust/"/>
    <s v="DAYTONA 675"/>
    <s v="https://shop.officineitalianezard.it/en/triumph-daytona-675-exhaust/"/>
    <s v="SIDE VERSION"/>
    <x v="106"/>
    <s v="FULL KIT"/>
    <s v="ZTPH033SKR"/>
    <s v="TRIUMPH DAYTONA 675"/>
    <n v="1077.05"/>
    <n v="1196.72"/>
    <s v="&lt;p&gt;2&amp;gt;1 STEEL RACING FULL KIT&lt;/p&gt;_x000a_&lt;p&gt;ORIGINAL SILENCER WEIGHT: KG 12.2&lt;br&gt;ZARD SILENCER WEIGHT: KG 4.2&lt;/p&gt;_x000a_&lt;p&gt;HARD INCREASE IN TERMS OF TORQUE AT LOW-RANGE/MID-RANGE AND + 5 HP COMPARED TO THE ORIGINAL SYSTEM. ASTONISHING SOUND.&lt;/p&gt;"/>
    <m/>
    <s v="CATALYSED"/>
    <n v="77.459999999999994"/>
  </r>
  <r>
    <s v="1586059289-10602"/>
    <s v="https://shop.officineitalianezard.it/en/products/"/>
    <m/>
    <s v="https://shop.officineitalianezard.it/en/triumph-zard-exhaust/"/>
    <s v="DAYTONA 675"/>
    <s v="https://shop.officineitalianezard.it/en/triumph-daytona-675-exhaust/"/>
    <s v="SIDE VERSION"/>
    <x v="106"/>
    <s v="FULL KIT"/>
    <s v="ZTPH033SKR"/>
    <s v="TRIUMPH DAYTONA 675"/>
    <n v="1077.05"/>
    <n v="1196.72"/>
    <s v="&lt;p&gt;2&amp;gt;1 STEEL RACING FULL KIT&lt;/p&gt;_x000a_&lt;p&gt;ORIGINAL SILENCER WEIGHT: KG 12.2&lt;br&gt;ZARD SILENCER WEIGHT: KG 4.2&lt;/p&gt;_x000a_&lt;p&gt;HARD INCREASE IN TERMS OF TORQUE AT LOW-RANGE/MID-RANGE AND + 5 HP COMPARED TO THE ORIGINAL SYSTEM. ASTONISHING SOUND.&lt;/p&gt;"/>
    <m/>
    <s v="BLACK COATING"/>
    <n v="169.67"/>
  </r>
  <r>
    <s v="1586059293-10603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BRUSHED ALUMINIUM VERSION"/>
    <x v="107"/>
    <s v="SIDE PANELS"/>
    <s v="ZTPH065F"/>
    <s v="SPECIAL PARTS"/>
    <n v="154.18"/>
    <n v="171.31"/>
    <s v="&lt;p&gt;BRUSHED ALUMINIUM LEFT+RIGHT SIDE PANELS&amp;nbsp;&lt;/p&gt;_x000a_&lt;p&gt;&lt;strong&gt;MODELS COMPATIBILITY&lt;/strong&gt;:&lt;/p&gt;_x000a_&lt;p&gt;TRIUMPH BONNEVILLE T100&amp;nbsp;&lt;span&gt;M.Y. 2017&lt;/span&gt;, TRIUMPH BONNEVILLE T120, TRIUMPH STREET TWIN,&amp;nbsp;&lt;span&gt;TRIUMPH STREET-CUP, TRIUMPH STREET SCRAMBLER&lt;/span&gt;&lt;/p&gt;_x000a_&lt;p&gt;MATT BLACK PAINTED VERSION AVAILABLE AS OPTIONAL.&lt;/p&gt;_x000a_&lt;p&gt;FITTING KIT INCLUDED.&lt;/p&gt;_x000a_&lt;p&gt;&lt;strong&gt;NOTICE: NOT COMPATIBLE WITH HIGH MOUNT EXHAUST&lt;/strong&gt;&lt;/p&gt;"/>
    <s v="https://shop.officineitalianezard.it/contents/imgs/products/1_1829-zard%20triumph%20side%20panels.jpg"/>
    <m/>
    <m/>
  </r>
  <r>
    <s v="1586059293-10604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BRUSHED ALUMINIUM VERSION"/>
    <x v="107"/>
    <s v="SIDE PANELS"/>
    <s v="ZTPH065F"/>
    <s v="SPECIAL PARTS"/>
    <n v="154.18"/>
    <n v="171.31"/>
    <s v="&lt;p&gt;BRUSHED ALUMINIUM LEFT+RIGHT SIDE PANELS&amp;nbsp;&lt;/p&gt;_x000a_&lt;p&gt;&lt;strong&gt;MODELS COMPATIBILITY&lt;/strong&gt;:&lt;/p&gt;_x000a_&lt;p&gt;TRIUMPH BONNEVILLE T100&amp;nbsp;&lt;span&gt;M.Y. 2017&lt;/span&gt;, TRIUMPH BONNEVILLE T120, TRIUMPH STREET TWIN,&amp;nbsp;&lt;span&gt;TRIUMPH STREET-CUP, TRIUMPH STREET SCRAMBLER&lt;/span&gt;&lt;/p&gt;_x000a_&lt;p&gt;MATT BLACK PAINTED VERSION AVAILABLE AS OPTIONAL.&lt;/p&gt;_x000a_&lt;p&gt;FITTING KIT INCLUDED.&lt;/p&gt;_x000a_&lt;p&gt;&lt;strong&gt;NOTICE: NOT COMPATIBLE WITH HIGH MOUNT EXHAUST&lt;/strong&gt;&lt;/p&gt;"/>
    <m/>
    <s v="MATT BLACK PAINTED"/>
    <n v="22.87"/>
  </r>
  <r>
    <s v="1586059296-10605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BOTTLE DESIGN"/>
    <x v="108"/>
    <s v="N. 2 STEEL SILENCERS"/>
    <s v="ZTPH061SSR"/>
    <s v="TRIUMPH BONNEVILLE T120 2016/19"/>
    <n v="585.74"/>
    <n v="650.82000000000005"/>
    <s v="&lt;p&gt;N. 2 STEEL RACING SILENCER WITH REMOVABLE DB KILLER&lt;/p&gt;_x000a_&lt;p&gt;ORIGINAL SILENCERS WEIGHT:&amp;nbsp;&lt;span&gt;6.4 KG&lt;br&gt;&lt;/span&gt;ZARD SILENCERS WEIGHT: 4.2 KG&lt;/p&gt;_x000a_&lt;p&gt;ASTONISHING SOUND, CLASSIC BOTTLE&amp;nbsp;DESIGN.&lt;/p&gt;_x000a_&lt;p&gt;FITTING KIT INCLUDED.&lt;/p&gt;_x000a_&lt;p&gt;&lt;/p&gt;"/>
    <s v="https://shop.officineitalianezard.it/contents/imgs/products/1_1383-triumph%20bonneville%20t120%20exhaust%20-%20zard%20-%20scarichi%20triumph%20bonneville%20t120%20-%201.jpg"/>
    <m/>
    <m/>
  </r>
  <r>
    <s v="1586059296-10606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BOTTLE DESIGN"/>
    <x v="108"/>
    <s v="N. 2 STEEL SILENCERS"/>
    <s v="ZTPH061SSR"/>
    <s v="TRIUMPH BONNEVILLE T120 2016/19"/>
    <n v="585.74"/>
    <n v="650.82000000000005"/>
    <s v="&lt;p&gt;N. 2 STEEL RACING SILENCER WITH REMOVABLE DB KILLER&lt;/p&gt;_x000a_&lt;p&gt;ORIGINAL SILENCERS WEIGHT:&amp;nbsp;&lt;span&gt;6.4 KG&lt;br&gt;&lt;/span&gt;ZARD SILENCERS WEIGHT: 4.2 KG&lt;/p&gt;_x000a_&lt;p&gt;ASTONISHING SOUND, CLASSIC BOTTLE&amp;nbsp;DESIGN.&lt;/p&gt;_x000a_&lt;p&gt;FITTING KIT INCLUDED.&lt;/p&gt;_x000a_&lt;p&gt;&lt;/p&gt;"/>
    <s v="https://shop.officineitalianezard.it/contents/imgs/products/1_1384-triumph%20bonneville%20t120%20exhaust%20-%20zard%20-%20scarichi%20triumph%20bonneville%20t120%20-%202.jpg"/>
    <m/>
    <m/>
  </r>
  <r>
    <s v="1586059296-10607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BOTTLE DESIGN"/>
    <x v="108"/>
    <s v="N. 2 STEEL SILENCERS"/>
    <s v="ZTPH061SSR"/>
    <s v="TRIUMPH BONNEVILLE T120 2016/19"/>
    <n v="585.74"/>
    <n v="650.82000000000005"/>
    <s v="&lt;p&gt;N. 2 STEEL RACING SILENCER WITH REMOVABLE DB KILLER&lt;/p&gt;_x000a_&lt;p&gt;ORIGINAL SILENCERS WEIGHT:&amp;nbsp;&lt;span&gt;6.4 KG&lt;br&gt;&lt;/span&gt;ZARD SILENCERS WEIGHT: 4.2 KG&lt;/p&gt;_x000a_&lt;p&gt;ASTONISHING SOUND, CLASSIC BOTTLE&amp;nbsp;DESIGN.&lt;/p&gt;_x000a_&lt;p&gt;FITTING KIT INCLUDED.&lt;/p&gt;_x000a_&lt;p&gt;&lt;/p&gt;"/>
    <s v="https://shop.officineitalianezard.it/contents/imgs/products/1_1385-triumph%20bonneville%20t120%20exhaust%20-%20zard%20-%20scarichi%20triumph%20bonneville%20t120%20-%203.jpg"/>
    <m/>
    <m/>
  </r>
  <r>
    <s v="1586059296-10608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BOTTLE DESIGN"/>
    <x v="108"/>
    <s v="N. 2 STEEL SILENCERS"/>
    <s v="ZTPH061SSR"/>
    <s v="TRIUMPH BONNEVILLE T120 2016/19"/>
    <n v="585.74"/>
    <n v="650.82000000000005"/>
    <s v="&lt;p&gt;N. 2 STEEL RACING SILENCER WITH REMOVABLE DB KILLER&lt;/p&gt;_x000a_&lt;p&gt;ORIGINAL SILENCERS WEIGHT:&amp;nbsp;&lt;span&gt;6.4 KG&lt;br&gt;&lt;/span&gt;ZARD SILENCERS WEIGHT: 4.2 KG&lt;/p&gt;_x000a_&lt;p&gt;ASTONISHING SOUND, CLASSIC BOTTLE&amp;nbsp;DESIGN.&lt;/p&gt;_x000a_&lt;p&gt;FITTING KIT INCLUDED.&lt;/p&gt;_x000a_&lt;p&gt;&lt;/p&gt;"/>
    <m/>
    <s v="EURO 4 HOMOLOGATED"/>
    <n v="23.61"/>
  </r>
  <r>
    <s v="1586059296-10609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BOTTLE DESIGN"/>
    <x v="108"/>
    <s v="N. 2 STEEL SILENCERS"/>
    <s v="ZTPH061SSR"/>
    <s v="TRIUMPH BONNEVILLE T120 2016/19"/>
    <n v="585.74"/>
    <n v="650.82000000000005"/>
    <s v="&lt;p&gt;N. 2 STEEL RACING SILENCER WITH REMOVABLE DB KILLER&lt;/p&gt;_x000a_&lt;p&gt;ORIGINAL SILENCERS WEIGHT:&amp;nbsp;&lt;span&gt;6.4 KG&lt;br&gt;&lt;/span&gt;ZARD SILENCERS WEIGHT: 4.2 KG&lt;/p&gt;_x000a_&lt;p&gt;ASTONISHING SOUND, CLASSIC BOTTLE&amp;nbsp;DESIGN.&lt;/p&gt;_x000a_&lt;p&gt;FITTING KIT INCLUDED.&lt;/p&gt;_x000a_&lt;p&gt;&lt;/p&gt;"/>
    <m/>
    <s v="BLACK COATING"/>
    <n v="93.69"/>
  </r>
  <r>
    <s v="1586059296-10610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BOTTLE DESIGN"/>
    <x v="108"/>
    <s v="N. 2 STEEL SILENCERS"/>
    <s v="ZTPH061SSR"/>
    <s v="TRIUMPH BONNEVILLE T120 2016/19"/>
    <n v="585.74"/>
    <n v="650.82000000000005"/>
    <s v="&lt;p&gt;N. 2 STEEL RACING SILENCER WITH REMOVABLE DB KILLER&lt;/p&gt;_x000a_&lt;p&gt;ORIGINAL SILENCERS WEIGHT:&amp;nbsp;&lt;span&gt;6.4 KG&lt;br&gt;&lt;/span&gt;ZARD SILENCERS WEIGHT: 4.2 KG&lt;/p&gt;_x000a_&lt;p&gt;ASTONISHING SOUND, CLASSIC BOTTLE&amp;nbsp;DESIGN.&lt;/p&gt;_x000a_&lt;p&gt;FITTING KIT INCLUDED.&lt;/p&gt;_x000a_&lt;p&gt;&lt;/p&gt;"/>
    <m/>
    <s v="MIRROR POLISHED"/>
    <n v="61.97"/>
  </r>
  <r>
    <s v="1586059298-10611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KEEPING OEM CATALYZER"/>
    <x v="109"/>
    <s v="2&gt;2 KIT"/>
    <s v="ZTPH064SSR"/>
    <s v="TRIUMPH BONNEVILLE T120 2016/19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br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strong&gt;HOMOLOGATED VERSION AVAILABLE SOON.&lt;/strong&gt;&lt;/p&gt;"/>
    <s v="https://shop.officineitalianezard.it/contents/imgs/products/1_1784-1777-1769-1564-T120%20CONVERSION%20KIT.jpg"/>
    <m/>
    <m/>
  </r>
  <r>
    <s v="1586059298-10612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KEEPING OEM CATALYZER"/>
    <x v="109"/>
    <s v="2&gt;2 KIT"/>
    <s v="ZTPH064SSR"/>
    <s v="TRIUMPH BONNEVILLE T120 2016/19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br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strong&gt;HOMOLOGATED VERSION AVAILABLE SOON.&lt;/strong&gt;&lt;/p&gt;"/>
    <s v="https://shop.officineitalianezard.it/contents/imgs/products/1_1426-bonneville%20t120%20scarichi%20t120%20exhaust%20zard%201.jpg"/>
    <m/>
    <m/>
  </r>
  <r>
    <s v="1586059298-10613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KEEPING OEM CATALYZER"/>
    <x v="109"/>
    <s v="2&gt;2 KIT"/>
    <s v="ZTPH064SSR"/>
    <s v="TRIUMPH BONNEVILLE T120 2016/19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br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strong&gt;HOMOLOGATED VERSION AVAILABLE SOON.&lt;/strong&gt;&lt;/p&gt;"/>
    <s v="https://shop.officineitalianezard.it/contents/imgs/products/1_1427-bonneville%20t120%20scarichi%20t120%20exhaust%20zard%202.jpg"/>
    <m/>
    <m/>
  </r>
  <r>
    <s v="1586059298-10614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KEEPING OEM CATALYZER"/>
    <x v="109"/>
    <s v="2&gt;2 KIT"/>
    <s v="ZTPH064SSR"/>
    <s v="TRIUMPH BONNEVILLE T120 2016/19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br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strong&gt;HOMOLOGATED VERSION AVAILABLE SOON.&lt;/strong&gt;&lt;/p&gt;"/>
    <s v="https://shop.officineitalianezard.it/contents/imgs/products/1_1669-triumph%20t120%20street%20twin%20exhaust.jpg"/>
    <m/>
    <m/>
  </r>
  <r>
    <s v="1586059298-10615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KEEPING OEM CATALYZER"/>
    <x v="109"/>
    <s v="2&gt;2 KIT"/>
    <s v="ZTPH064SSR"/>
    <s v="TRIUMPH BONNEVILLE T120 2016/19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br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strong&gt;HOMOLOGATED VERSION AVAILABLE SOON.&lt;/strong&gt;&lt;/p&gt;"/>
    <s v="https://shop.officineitalianezard.it/contents/imgs/products/1_1783-1776-1767-1503-1.jpg"/>
    <m/>
    <m/>
  </r>
  <r>
    <s v="1586059298-10616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KEEPING OEM CATALYZER"/>
    <x v="109"/>
    <s v="2&gt;2 KIT"/>
    <s v="ZTPH064SSR"/>
    <s v="TRIUMPH BONNEVILLE T120 2016/19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br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strong&gt;HOMOLOGATED VERSION AVAILABLE SOON.&lt;/strong&gt;&lt;/p&gt;"/>
    <s v="https://shop.officineitalianezard.it/contents/imgs/products/1_1782-1770-1768-1504-2.jpg"/>
    <m/>
    <m/>
  </r>
  <r>
    <s v="1586059298-10617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KEEPING OEM CATALYZER"/>
    <x v="109"/>
    <s v="2&gt;2 KIT"/>
    <s v="ZTPH064SSR"/>
    <s v="TRIUMPH BONNEVILLE T120 2016/19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br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strong&gt;HOMOLOGATED VERSION AVAILABLE SOON.&lt;/strong&gt;&lt;/p&gt;"/>
    <s v="https://shop.officineitalianezard.it/contents/imgs/products/1_1428-bonneville%20t120%20scarichi%20t120%20exhaust%20zard%203.jpg"/>
    <m/>
    <m/>
  </r>
  <r>
    <s v="1586059298-10618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KEEPING OEM CATALYZER"/>
    <x v="109"/>
    <s v="2&gt;2 KIT"/>
    <s v="ZTPH064SSR"/>
    <s v="TRIUMPH BONNEVILLE T120 2016/19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br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strong&gt;HOMOLOGATED VERSION AVAILABLE SOON.&lt;/strong&gt;&lt;/p&gt;"/>
    <s v="https://shop.officineitalianezard.it/contents/imgs/products/1_1429-bonneville%20t120%20scarichi%20t120%20exhaust%20zard%204.jpg"/>
    <m/>
    <m/>
  </r>
  <r>
    <s v="1586059298-10619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KEEPING OEM CATALYZER"/>
    <x v="109"/>
    <s v="2&gt;2 KIT"/>
    <s v="ZTPH064SSR"/>
    <s v="TRIUMPH BONNEVILLE T120 2016/19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br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strong&gt;HOMOLOGATED VERSION AVAILABLE SOON.&lt;/strong&gt;&lt;/p&gt;"/>
    <s v="https://shop.officineitalianezard.it/contents/imgs/products/1_1651-t120%20neri%20zard.jpg"/>
    <m/>
    <m/>
  </r>
  <r>
    <s v="1586059298-10620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KEEPING OEM CATALYZER"/>
    <x v="109"/>
    <s v="2&gt;2 KIT"/>
    <s v="ZTPH064SSR"/>
    <s v="TRIUMPH BONNEVILLE T120 2016/19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br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strong&gt;HOMOLOGATED VERSION AVAILABLE SOON.&lt;/strong&gt;&lt;/p&gt;"/>
    <s v="https://shop.officineitalianezard.it/contents/imgs/products/1_1741-scarico%20bonneville%20t120%20scarico%20triumph%20street%20twin.jpg"/>
    <m/>
    <m/>
  </r>
  <r>
    <s v="1586059298-10621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KEEPING OEM CATALYZER"/>
    <x v="109"/>
    <s v="2&gt;2 KIT"/>
    <s v="ZTPH064SSR"/>
    <s v="TRIUMPH BONNEVILLE T120 2016/19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br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strong&gt;HOMOLOGATED VERSION AVAILABLE SOON.&lt;/strong&gt;&lt;/p&gt;"/>
    <m/>
    <s v="EURO 4 HOMOLOGATED"/>
    <n v="100.33"/>
  </r>
  <r>
    <s v="1586059298-10622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KEEPING OEM CATALYZER"/>
    <x v="109"/>
    <s v="2&gt;2 KIT"/>
    <s v="ZTPH064SSR"/>
    <s v="TRIUMPH BONNEVILLE T120 2016/19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br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strong&gt;HOMOLOGATED VERSION AVAILABLE SOON.&lt;/strong&gt;&lt;/p&gt;"/>
    <m/>
    <s v="BLACK COATING"/>
    <n v="192.54"/>
  </r>
  <r>
    <s v="1586059298-10623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KEEPING OEM CATALYZER"/>
    <x v="109"/>
    <s v="2&gt;2 KIT"/>
    <s v="ZTPH064SSR"/>
    <s v="TRIUMPH BONNEVILLE T120 2016/19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br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strong&gt;HOMOLOGATED VERSION AVAILABLE SOON.&lt;/strong&gt;&lt;/p&gt;"/>
    <m/>
    <s v="MIRROR POLISHED"/>
    <n v="65.66"/>
  </r>
  <r>
    <s v="1586059298-10624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KEEPING OEM CATALYZER"/>
    <x v="109"/>
    <s v="2&gt;2 KIT"/>
    <s v="ZTPH064SSR"/>
    <s v="TRIUMPH BONNEVILLE T120 2016/19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br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strong&gt;HOMOLOGATED VERSION AVAILABLE SOON.&lt;/strong&gt;&lt;/p&gt;"/>
    <m/>
    <s v="BACK MOUNTING KIT"/>
    <n v="223.52"/>
  </r>
  <r>
    <s v="1586059300-10625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RACING VERSION"/>
    <x v="110"/>
    <s v="2&gt;2 FULL KIT"/>
    <s v="ZTPH065SKR"/>
    <s v="TRIUMPH BONNEVILLE T120 2016/19"/>
    <n v="855.74"/>
    <n v="950.82"/>
    <s v="&lt;p&gt;&lt;strong&gt;FOR YOUR T12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/p&gt;"/>
    <s v="https://shop.officineitalianezard.it/contents/imgs/products/1_1777-1769-1564-T120%20CONVERSION%20KIT.jpg"/>
    <m/>
    <m/>
  </r>
  <r>
    <s v="1586059300-10626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RACING VERSION"/>
    <x v="110"/>
    <s v="2&gt;2 FULL KIT"/>
    <s v="ZTPH065SKR"/>
    <s v="TRIUMPH BONNEVILLE T120 2016/19"/>
    <n v="855.74"/>
    <n v="950.82"/>
    <s v="&lt;p&gt;&lt;strong&gt;FOR YOUR T12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/p&gt;"/>
    <s v="https://shop.officineitalianezard.it/contents/imgs/products/1_1779-1426-bonneville%20t120%20scarichi%20t120%20exhaust%20zard%201.jpg"/>
    <m/>
    <m/>
  </r>
  <r>
    <s v="1586059300-10627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RACING VERSION"/>
    <x v="110"/>
    <s v="2&gt;2 FULL KIT"/>
    <s v="ZTPH065SKR"/>
    <s v="TRIUMPH BONNEVILLE T120 2016/19"/>
    <n v="855.74"/>
    <n v="950.82"/>
    <s v="&lt;p&gt;&lt;strong&gt;FOR YOUR T12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/p&gt;"/>
    <s v="https://shop.officineitalianezard.it/contents/imgs/products/1_1780-1427-bonneville%20t120%20scarichi%20t120%20exhaust%20zard%202.jpg"/>
    <m/>
    <m/>
  </r>
  <r>
    <s v="1586059300-10628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RACING VERSION"/>
    <x v="110"/>
    <s v="2&gt;2 FULL KIT"/>
    <s v="ZTPH065SKR"/>
    <s v="TRIUMPH BONNEVILLE T120 2016/19"/>
    <n v="855.74"/>
    <n v="950.82"/>
    <s v="&lt;p&gt;&lt;strong&gt;FOR YOUR T12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/p&gt;"/>
    <s v="https://shop.officineitalianezard.it/contents/imgs/products/1_1774-1670-triumph%20t120%20street%20twin%20exhaust.jpg"/>
    <m/>
    <m/>
  </r>
  <r>
    <s v="1586059300-10629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RACING VERSION"/>
    <x v="110"/>
    <s v="2&gt;2 FULL KIT"/>
    <s v="ZTPH065SKR"/>
    <s v="TRIUMPH BONNEVILLE T120 2016/19"/>
    <n v="855.74"/>
    <n v="950.82"/>
    <s v="&lt;p&gt;&lt;strong&gt;FOR YOUR T12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/p&gt;"/>
    <s v="https://shop.officineitalianezard.it/contents/imgs/products/1_1776-1767-1503-1.jpg"/>
    <m/>
    <m/>
  </r>
  <r>
    <s v="1586059300-10630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RACING VERSION"/>
    <x v="110"/>
    <s v="2&gt;2 FULL KIT"/>
    <s v="ZTPH065SKR"/>
    <s v="TRIUMPH BONNEVILLE T120 2016/19"/>
    <n v="855.74"/>
    <n v="950.82"/>
    <s v="&lt;p&gt;&lt;strong&gt;FOR YOUR T12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/p&gt;"/>
    <s v="https://shop.officineitalianezard.it/contents/imgs/products/1_1770-1768-1504-2.jpg"/>
    <m/>
    <m/>
  </r>
  <r>
    <s v="1586059300-10631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RACING VERSION"/>
    <x v="110"/>
    <s v="2&gt;2 FULL KIT"/>
    <s v="ZTPH065SKR"/>
    <s v="TRIUMPH BONNEVILLE T120 2016/19"/>
    <n v="855.74"/>
    <n v="950.82"/>
    <s v="&lt;p&gt;&lt;strong&gt;FOR YOUR T12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/p&gt;"/>
    <s v="https://shop.officineitalianezard.it/contents/imgs/products/1_1771-1433-bonneville%20t120%20scarichi%20t120%20exhaust%20zard%204.jpg"/>
    <m/>
    <m/>
  </r>
  <r>
    <s v="1586059300-10632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RACING VERSION"/>
    <x v="110"/>
    <s v="2&gt;2 FULL KIT"/>
    <s v="ZTPH065SKR"/>
    <s v="TRIUMPH BONNEVILLE T120 2016/19"/>
    <n v="855.74"/>
    <n v="950.82"/>
    <s v="&lt;p&gt;&lt;strong&gt;FOR YOUR T12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/p&gt;"/>
    <s v="https://shop.officineitalianezard.it/contents/imgs/products/1_1772-1432-bonneville%20t120%20scarichi%20t120%20exhaust%20zard%203.jpg"/>
    <m/>
    <m/>
  </r>
  <r>
    <s v="1586059300-10633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RACING VERSION"/>
    <x v="110"/>
    <s v="2&gt;2 FULL KIT"/>
    <s v="ZTPH065SKR"/>
    <s v="TRIUMPH BONNEVILLE T120 2016/19"/>
    <n v="855.74"/>
    <n v="950.82"/>
    <s v="&lt;p&gt;&lt;strong&gt;FOR YOUR T12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/p&gt;"/>
    <s v="https://shop.officineitalianezard.it/contents/imgs/products/1_1773-1650-t120%20neri%20zard.jpg"/>
    <m/>
    <m/>
  </r>
  <r>
    <s v="1586059300-10634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RACING VERSION"/>
    <x v="110"/>
    <s v="2&gt;2 FULL KIT"/>
    <s v="ZTPH065SKR"/>
    <s v="TRIUMPH BONNEVILLE T120 2016/19"/>
    <n v="855.74"/>
    <n v="950.82"/>
    <s v="&lt;p&gt;&lt;strong&gt;FOR YOUR T12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/p&gt;"/>
    <s v="https://shop.officineitalianezard.it/contents/imgs/products/1_1775-1740-scarico%20bonneville%20t120%20scarico%20triumph%20street%20twin.jpg"/>
    <m/>
    <m/>
  </r>
  <r>
    <s v="1586059300-10635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RACING VERSION"/>
    <x v="110"/>
    <s v="2&gt;2 FULL KIT"/>
    <s v="ZTPH065SKR"/>
    <s v="TRIUMPH BONNEVILLE T120 2016/19"/>
    <n v="855.74"/>
    <n v="950.82"/>
    <s v="&lt;p&gt;&lt;strong&gt;FOR YOUR T12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/p&gt;"/>
    <m/>
    <s v="BLACK COATING"/>
    <n v="192.54"/>
  </r>
  <r>
    <s v="1586059300-10636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RACING VERSION"/>
    <x v="110"/>
    <s v="2&gt;2 FULL KIT"/>
    <s v="ZTPH065SKR"/>
    <s v="TRIUMPH BONNEVILLE T120 2016/19"/>
    <n v="855.74"/>
    <n v="950.82"/>
    <s v="&lt;p&gt;&lt;strong&gt;FOR YOUR T12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/p&gt;"/>
    <m/>
    <s v="MIRROR POLISHED"/>
    <n v="65.66"/>
  </r>
  <r>
    <s v="1586059300-10637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RACING VERSION"/>
    <x v="110"/>
    <s v="2&gt;2 FULL KIT"/>
    <s v="ZTPH065SKR"/>
    <s v="TRIUMPH BONNEVILLE T120 2016/19"/>
    <n v="855.74"/>
    <n v="950.82"/>
    <s v="&lt;p&gt;&lt;strong&gt;FOR YOUR T12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/p&gt;"/>
    <m/>
    <s v="BACK MOUNTING KIT"/>
    <n v="223.52"/>
  </r>
  <r>
    <s v="1586059303-10638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2&gt;2 VERSION"/>
    <x v="111"/>
    <s v="HIGH MOUNTED FULL KIT"/>
    <s v="ZTPH066SKA"/>
    <s v="TRIUMPH BONNEVILLE T120 2016/19"/>
    <n v="911.8"/>
    <n v="1013.11"/>
    <s v="&lt;p&gt;2&amp;gt;2 STEEL RACING FULL KIT WITH REMOVABLE DBKILLERS.&lt;/p&gt;_x000a_&lt;p&gt;ORIGINAL FULL KIT WEIGHT: 14.3 KG&lt;br&gt;ZARD FULL KIT WEIGHT: 7 KG&lt;/p&gt;_x000a_&lt;p&gt;THE BLACK COATED EXHAUST KEEP&amp;nbsp;STEEL HEATSHIELD GRID&lt;/p&gt;_x000a_&lt;p class=&quot;p1&quot;&gt;&lt;span style=&quot;color: #ff0000;&quot;&gt;&lt;strong&gt;FOR A PROPER FITMENT YOU NEED THE RIGHT ZARD SIDE PANEL (INCLUDED IN BRUSHED VERSION). THE LEFT SIDE PANEL IS AVAILABLE AS OPTIONAL.&lt;/strong&gt;&lt;/span&gt;&lt;/p&gt;_x000a_&lt;p&gt;ASTONISHING SOUND,&amp;nbsp;EXCLUSIVE DESIGN.&lt;/p&gt;"/>
    <s v="https://shop.officineitalianezard.it/contents/imgs/products/1_1510-1.jpg"/>
    <m/>
    <m/>
  </r>
  <r>
    <s v="1586059303-10639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2&gt;2 VERSION"/>
    <x v="111"/>
    <s v="HIGH MOUNTED FULL KIT"/>
    <s v="ZTPH066SKA"/>
    <s v="TRIUMPH BONNEVILLE T120 2016/19"/>
    <n v="911.8"/>
    <n v="1013.11"/>
    <s v="&lt;p&gt;2&amp;gt;2 STEEL RACING FULL KIT WITH REMOVABLE DBKILLERS.&lt;/p&gt;_x000a_&lt;p&gt;ORIGINAL FULL KIT WEIGHT: 14.3 KG&lt;br&gt;ZARD FULL KIT WEIGHT: 7 KG&lt;/p&gt;_x000a_&lt;p&gt;THE BLACK COATED EXHAUST KEEP&amp;nbsp;STEEL HEATSHIELD GRID&lt;/p&gt;_x000a_&lt;p class=&quot;p1&quot;&gt;&lt;span style=&quot;color: #ff0000;&quot;&gt;&lt;strong&gt;FOR A PROPER FITMENT YOU NEED THE RIGHT ZARD SIDE PANEL (INCLUDED IN BRUSHED VERSION). THE LEFT SIDE PANEL IS AVAILABLE AS OPTIONAL.&lt;/strong&gt;&lt;/span&gt;&lt;/p&gt;_x000a_&lt;p&gt;ASTONISHING SOUND,&amp;nbsp;EXCLUSIVE DESIGN.&lt;/p&gt;"/>
    <s v="https://shop.officineitalianezard.it/contents/imgs/products/1_1511-2.jpg"/>
    <m/>
    <m/>
  </r>
  <r>
    <s v="1586059303-10640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2&gt;2 VERSION"/>
    <x v="111"/>
    <s v="HIGH MOUNTED FULL KIT"/>
    <s v="ZTPH066SKA"/>
    <s v="TRIUMPH BONNEVILLE T120 2016/19"/>
    <n v="911.8"/>
    <n v="1013.11"/>
    <s v="&lt;p&gt;2&amp;gt;2 STEEL RACING FULL KIT WITH REMOVABLE DBKILLERS.&lt;/p&gt;_x000a_&lt;p&gt;ORIGINAL FULL KIT WEIGHT: 14.3 KG&lt;br&gt;ZARD FULL KIT WEIGHT: 7 KG&lt;/p&gt;_x000a_&lt;p&gt;THE BLACK COATED EXHAUST KEEP&amp;nbsp;STEEL HEATSHIELD GRID&lt;/p&gt;_x000a_&lt;p class=&quot;p1&quot;&gt;&lt;span style=&quot;color: #ff0000;&quot;&gt;&lt;strong&gt;FOR A PROPER FITMENT YOU NEED THE RIGHT ZARD SIDE PANEL (INCLUDED IN BRUSHED VERSION). THE LEFT SIDE PANEL IS AVAILABLE AS OPTIONAL.&lt;/strong&gt;&lt;/span&gt;&lt;/p&gt;_x000a_&lt;p&gt;ASTONISHING SOUND,&amp;nbsp;EXCLUSIVE DESIGN.&lt;/p&gt;"/>
    <s v="https://shop.officineitalianezard.it/contents/imgs/products/1_1512-3.jpg"/>
    <m/>
    <m/>
  </r>
  <r>
    <s v="1586059303-10641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2&gt;2 VERSION"/>
    <x v="111"/>
    <s v="HIGH MOUNTED FULL KIT"/>
    <s v="ZTPH066SKA"/>
    <s v="TRIUMPH BONNEVILLE T120 2016/19"/>
    <n v="911.8"/>
    <n v="1013.11"/>
    <s v="&lt;p&gt;2&amp;gt;2 STEEL RACING FULL KIT WITH REMOVABLE DBKILLERS.&lt;/p&gt;_x000a_&lt;p&gt;ORIGINAL FULL KIT WEIGHT: 14.3 KG&lt;br&gt;ZARD FULL KIT WEIGHT: 7 KG&lt;/p&gt;_x000a_&lt;p&gt;THE BLACK COATED EXHAUST KEEP&amp;nbsp;STEEL HEATSHIELD GRID&lt;/p&gt;_x000a_&lt;p class=&quot;p1&quot;&gt;&lt;span style=&quot;color: #ff0000;&quot;&gt;&lt;strong&gt;FOR A PROPER FITMENT YOU NEED THE RIGHT ZARD SIDE PANEL (INCLUDED IN BRUSHED VERSION). THE LEFT SIDE PANEL IS AVAILABLE AS OPTIONAL.&lt;/strong&gt;&lt;/span&gt;&lt;/p&gt;_x000a_&lt;p&gt;ASTONISHING SOUND,&amp;nbsp;EXCLUSIVE DESIGN.&lt;/p&gt;"/>
    <s v="https://shop.officineitalianezard.it/contents/imgs/products/1_1746-scarico%20bonneville%20t120%20scarico%20triumph%20street%20twin.jpg"/>
    <m/>
    <m/>
  </r>
  <r>
    <s v="1586059303-10642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2&gt;2 VERSION"/>
    <x v="111"/>
    <s v="HIGH MOUNTED FULL KIT"/>
    <s v="ZTPH066SKA"/>
    <s v="TRIUMPH BONNEVILLE T120 2016/19"/>
    <n v="911.8"/>
    <n v="1013.11"/>
    <s v="&lt;p&gt;2&amp;gt;2 STEEL RACING FULL KIT WITH REMOVABLE DBKILLERS.&lt;/p&gt;_x000a_&lt;p&gt;ORIGINAL FULL KIT WEIGHT: 14.3 KG&lt;br&gt;ZARD FULL KIT WEIGHT: 7 KG&lt;/p&gt;_x000a_&lt;p&gt;THE BLACK COATED EXHAUST KEEP&amp;nbsp;STEEL HEATSHIELD GRID&lt;/p&gt;_x000a_&lt;p class=&quot;p1&quot;&gt;&lt;span style=&quot;color: #ff0000;&quot;&gt;&lt;strong&gt;FOR A PROPER FITMENT YOU NEED THE RIGHT ZARD SIDE PANEL (INCLUDED IN BRUSHED VERSION). THE LEFT SIDE PANEL IS AVAILABLE AS OPTIONAL.&lt;/strong&gt;&lt;/span&gt;&lt;/p&gt;_x000a_&lt;p&gt;ASTONISHING SOUND,&amp;nbsp;EXCLUSIVE DESIGN.&lt;/p&gt;"/>
    <s v="https://shop.officineitalianezard.it/contents/imgs/products/1_1827-1.jpg"/>
    <m/>
    <m/>
  </r>
  <r>
    <s v="1586059303-10643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2&gt;2 VERSION"/>
    <x v="111"/>
    <s v="HIGH MOUNTED FULL KIT"/>
    <s v="ZTPH066SKA"/>
    <s v="TRIUMPH BONNEVILLE T120 2016/19"/>
    <n v="911.8"/>
    <n v="1013.11"/>
    <s v="&lt;p&gt;2&amp;gt;2 STEEL RACING FULL KIT WITH REMOVABLE DBKILLERS.&lt;/p&gt;_x000a_&lt;p&gt;ORIGINAL FULL KIT WEIGHT: 14.3 KG&lt;br&gt;ZARD FULL KIT WEIGHT: 7 KG&lt;/p&gt;_x000a_&lt;p&gt;THE BLACK COATED EXHAUST KEEP&amp;nbsp;STEEL HEATSHIELD GRID&lt;/p&gt;_x000a_&lt;p class=&quot;p1&quot;&gt;&lt;span style=&quot;color: #ff0000;&quot;&gt;&lt;strong&gt;FOR A PROPER FITMENT YOU NEED THE RIGHT ZARD SIDE PANEL (INCLUDED IN BRUSHED VERSION). THE LEFT SIDE PANEL IS AVAILABLE AS OPTIONAL.&lt;/strong&gt;&lt;/span&gt;&lt;/p&gt;_x000a_&lt;p&gt;ASTONISHING SOUND,&amp;nbsp;EXCLUSIVE DESIGN.&lt;/p&gt;"/>
    <s v="https://shop.officineitalianezard.it/contents/imgs/products/1_1828-2.jpg"/>
    <m/>
    <m/>
  </r>
  <r>
    <s v="1586059303-10644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2&gt;2 VERSION"/>
    <x v="111"/>
    <s v="HIGH MOUNTED FULL KIT"/>
    <s v="ZTPH066SKA"/>
    <s v="TRIUMPH BONNEVILLE T120 2016/19"/>
    <n v="911.8"/>
    <n v="1013.11"/>
    <s v="&lt;p&gt;2&amp;gt;2 STEEL RACING FULL KIT WITH REMOVABLE DBKILLERS.&lt;/p&gt;_x000a_&lt;p&gt;ORIGINAL FULL KIT WEIGHT: 14.3 KG&lt;br&gt;ZARD FULL KIT WEIGHT: 7 KG&lt;/p&gt;_x000a_&lt;p&gt;THE BLACK COATED EXHAUST KEEP&amp;nbsp;STEEL HEATSHIELD GRID&lt;/p&gt;_x000a_&lt;p class=&quot;p1&quot;&gt;&lt;span style=&quot;color: #ff0000;&quot;&gt;&lt;strong&gt;FOR A PROPER FITMENT YOU NEED THE RIGHT ZARD SIDE PANEL (INCLUDED IN BRUSHED VERSION). THE LEFT SIDE PANEL IS AVAILABLE AS OPTIONAL.&lt;/strong&gt;&lt;/span&gt;&lt;/p&gt;_x000a_&lt;p&gt;ASTONISHING SOUND,&amp;nbsp;EXCLUSIVE DESIGN.&lt;/p&gt;"/>
    <s v="https://shop.officineitalianezard.it/contents/imgs/products/1_1988-x20170606_201815.jpg"/>
    <m/>
    <m/>
  </r>
  <r>
    <s v="1586059303-10645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2&gt;2 VERSION"/>
    <x v="111"/>
    <s v="HIGH MOUNTED FULL KIT"/>
    <s v="ZTPH066SKA"/>
    <s v="TRIUMPH BONNEVILLE T120 2016/19"/>
    <n v="911.8"/>
    <n v="1013.11"/>
    <s v="&lt;p&gt;2&amp;gt;2 STEEL RACING FULL KIT WITH REMOVABLE DBKILLERS.&lt;/p&gt;_x000a_&lt;p&gt;ORIGINAL FULL KIT WEIGHT: 14.3 KG&lt;br&gt;ZARD FULL KIT WEIGHT: 7 KG&lt;/p&gt;_x000a_&lt;p&gt;THE BLACK COATED EXHAUST KEEP&amp;nbsp;STEEL HEATSHIELD GRID&lt;/p&gt;_x000a_&lt;p class=&quot;p1&quot;&gt;&lt;span style=&quot;color: #ff0000;&quot;&gt;&lt;strong&gt;FOR A PROPER FITMENT YOU NEED THE RIGHT ZARD SIDE PANEL (INCLUDED IN BRUSHED VERSION). THE LEFT SIDE PANEL IS AVAILABLE AS OPTIONAL.&lt;/strong&gt;&lt;/span&gt;&lt;/p&gt;_x000a_&lt;p&gt;ASTONISHING SOUND,&amp;nbsp;EXCLUSIVE DESIGN.&lt;/p&gt;"/>
    <m/>
    <s v="BRUSHED"/>
    <n v="23.61"/>
  </r>
  <r>
    <s v="1586059303-10646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2&gt;2 VERSION"/>
    <x v="111"/>
    <s v="HIGH MOUNTED FULL KIT"/>
    <s v="ZTPH066SKA"/>
    <s v="TRIUMPH BONNEVILLE T120 2016/19"/>
    <n v="911.8"/>
    <n v="1013.11"/>
    <s v="&lt;p&gt;2&amp;gt;2 STEEL RACING FULL KIT WITH REMOVABLE DBKILLERS.&lt;/p&gt;_x000a_&lt;p&gt;ORIGINAL FULL KIT WEIGHT: 14.3 KG&lt;br&gt;ZARD FULL KIT WEIGHT: 7 KG&lt;/p&gt;_x000a_&lt;p&gt;THE BLACK COATED EXHAUST KEEP&amp;nbsp;STEEL HEATSHIELD GRID&lt;/p&gt;_x000a_&lt;p class=&quot;p1&quot;&gt;&lt;span style=&quot;color: #ff0000;&quot;&gt;&lt;strong&gt;FOR A PROPER FITMENT YOU NEED THE RIGHT ZARD SIDE PANEL (INCLUDED IN BRUSHED VERSION). THE LEFT SIDE PANEL IS AVAILABLE AS OPTIONAL.&lt;/strong&gt;&lt;/span&gt;&lt;/p&gt;_x000a_&lt;p&gt;ASTONISHING SOUND,&amp;nbsp;EXCLUSIVE DESIGN.&lt;/p&gt;"/>
    <m/>
    <s v="BLACK CERAMIC COATING"/>
    <n v="216.89"/>
  </r>
  <r>
    <s v="1586059303-10647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2&gt;2 VERSION"/>
    <x v="111"/>
    <s v="HIGH MOUNTED FULL KIT"/>
    <s v="ZTPH066SKA"/>
    <s v="TRIUMPH BONNEVILLE T120 2016/19"/>
    <n v="911.8"/>
    <n v="1013.11"/>
    <s v="&lt;p&gt;2&amp;gt;2 STEEL RACING FULL KIT WITH REMOVABLE DBKILLERS.&lt;/p&gt;_x000a_&lt;p&gt;ORIGINAL FULL KIT WEIGHT: 14.3 KG&lt;br&gt;ZARD FULL KIT WEIGHT: 7 KG&lt;/p&gt;_x000a_&lt;p&gt;THE BLACK COATED EXHAUST KEEP&amp;nbsp;STEEL HEATSHIELD GRID&lt;/p&gt;_x000a_&lt;p class=&quot;p1&quot;&gt;&lt;span style=&quot;color: #ff0000;&quot;&gt;&lt;strong&gt;FOR A PROPER FITMENT YOU NEED THE RIGHT ZARD SIDE PANEL (INCLUDED IN BRUSHED VERSION). THE LEFT SIDE PANEL IS AVAILABLE AS OPTIONAL.&lt;/strong&gt;&lt;/span&gt;&lt;/p&gt;_x000a_&lt;p&gt;ASTONISHING SOUND,&amp;nbsp;EXCLUSIVE DESIGN.&lt;/p&gt;"/>
    <m/>
    <s v="RIGHT BRUSHED ALUMINIUM SIDE PANEL"/>
    <n v="77.459999999999994"/>
  </r>
  <r>
    <s v="1586059303-10648"/>
    <s v="https://shop.officineitalianezard.it/en/products/"/>
    <m/>
    <s v="https://shop.officineitalianezard.it/en/triumph-zard-exhaust/"/>
    <s v="BONNEVILLE T120 2016/19"/>
    <s v="https://shop.officineitalianezard.it/en/triumph-bonneville-t-120-exhaust/"/>
    <s v="2&gt;2 VERSION"/>
    <x v="111"/>
    <s v="HIGH MOUNTED FULL KIT"/>
    <s v="ZTPH066SKA"/>
    <s v="TRIUMPH BONNEVILLE T120 2016/19"/>
    <n v="911.8"/>
    <n v="1013.11"/>
    <s v="&lt;p&gt;2&amp;gt;2 STEEL RACING FULL KIT WITH REMOVABLE DBKILLERS.&lt;/p&gt;_x000a_&lt;p&gt;ORIGINAL FULL KIT WEIGHT: 14.3 KG&lt;br&gt;ZARD FULL KIT WEIGHT: 7 KG&lt;/p&gt;_x000a_&lt;p&gt;THE BLACK COATED EXHAUST KEEP&amp;nbsp;STEEL HEATSHIELD GRID&lt;/p&gt;_x000a_&lt;p class=&quot;p1&quot;&gt;&lt;span style=&quot;color: #ff0000;&quot;&gt;&lt;strong&gt;FOR A PROPER FITMENT YOU NEED THE RIGHT ZARD SIDE PANEL (INCLUDED IN BRUSHED VERSION). THE LEFT SIDE PANEL IS AVAILABLE AS OPTIONAL.&lt;/strong&gt;&lt;/span&gt;&lt;/p&gt;_x000a_&lt;p&gt;ASTONISHING SOUND,&amp;nbsp;EXCLUSIVE DESIGN.&lt;/p&gt;"/>
    <m/>
    <s v="LEFT BRUSHED ALUMINIUM SIDE PANEL"/>
    <n v="77.459999999999994"/>
  </r>
  <r>
    <s v="1586059307-10649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RACING VERSION"/>
    <x v="112"/>
    <s v="2&gt;2 FULL KIT"/>
    <s v="ZTPH072SKR"/>
    <s v="TRIUMPH BONNEVILLE T100 M.Y. 2017"/>
    <n v="855.74"/>
    <n v="950.82"/>
    <s v="&lt;p&gt;&lt;strong&gt;FOR YOUR T10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s v="https://shop.officineitalianezard.it/contents/imgs/products/1_1878-triumph%20bonneville%20t100%20scaricho%20basso.jpg"/>
    <m/>
    <m/>
  </r>
  <r>
    <s v="1586059307-10650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RACING VERSION"/>
    <x v="112"/>
    <s v="2&gt;2 FULL KIT"/>
    <s v="ZTPH072SKR"/>
    <s v="TRIUMPH BONNEVILLE T100 M.Y. 2017"/>
    <n v="855.74"/>
    <n v="950.82"/>
    <s v="&lt;p&gt;&lt;strong&gt;FOR YOUR T10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s v="https://shop.officineitalianezard.it/contents/imgs/products/1_1879-1.jpg"/>
    <m/>
    <m/>
  </r>
  <r>
    <s v="1586059307-10651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RACING VERSION"/>
    <x v="112"/>
    <s v="2&gt;2 FULL KIT"/>
    <s v="ZTPH072SKR"/>
    <s v="TRIUMPH BONNEVILLE T100 M.Y. 2017"/>
    <n v="855.74"/>
    <n v="950.82"/>
    <s v="&lt;p&gt;&lt;strong&gt;FOR YOUR T10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s v="https://shop.officineitalianezard.it/contents/imgs/products/1_1882-2.jpg"/>
    <m/>
    <m/>
  </r>
  <r>
    <s v="1586059307-10652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RACING VERSION"/>
    <x v="112"/>
    <s v="2&gt;2 FULL KIT"/>
    <s v="ZTPH072SKR"/>
    <s v="TRIUMPH BONNEVILLE T100 M.Y. 2017"/>
    <n v="855.74"/>
    <n v="950.82"/>
    <s v="&lt;p&gt;&lt;strong&gt;FOR YOUR T10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s v="https://shop.officineitalianezard.it/contents/imgs/products/1_1881-3.jpg"/>
    <m/>
    <m/>
  </r>
  <r>
    <s v="1586059307-10653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RACING VERSION"/>
    <x v="112"/>
    <s v="2&gt;2 FULL KIT"/>
    <s v="ZTPH072SKR"/>
    <s v="TRIUMPH BONNEVILLE T100 M.Y. 2017"/>
    <n v="855.74"/>
    <n v="950.82"/>
    <s v="&lt;p&gt;&lt;strong&gt;FOR YOUR T10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s v="https://shop.officineitalianezard.it/contents/imgs/products/1_1880-4.jpg"/>
    <m/>
    <m/>
  </r>
  <r>
    <s v="1586059307-10654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RACING VERSION"/>
    <x v="112"/>
    <s v="2&gt;2 FULL KIT"/>
    <s v="ZTPH072SKR"/>
    <s v="TRIUMPH BONNEVILLE T100 M.Y. 2017"/>
    <n v="855.74"/>
    <n v="950.82"/>
    <s v="&lt;p&gt;&lt;strong&gt;FOR YOUR T10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s v="https://shop.officineitalianezard.it/contents/imgs/products/1_1883-1.jpg"/>
    <m/>
    <m/>
  </r>
  <r>
    <s v="1586059307-10655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RACING VERSION"/>
    <x v="112"/>
    <s v="2&gt;2 FULL KIT"/>
    <s v="ZTPH072SKR"/>
    <s v="TRIUMPH BONNEVILLE T100 M.Y. 2017"/>
    <n v="855.74"/>
    <n v="950.82"/>
    <s v="&lt;p&gt;&lt;strong&gt;FOR YOUR T10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s v="https://shop.officineitalianezard.it/contents/imgs/products/1_1886-2.jpg"/>
    <m/>
    <m/>
  </r>
  <r>
    <s v="1586059307-10656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RACING VERSION"/>
    <x v="112"/>
    <s v="2&gt;2 FULL KIT"/>
    <s v="ZTPH072SKR"/>
    <s v="TRIUMPH BONNEVILLE T100 M.Y. 2017"/>
    <n v="855.74"/>
    <n v="950.82"/>
    <s v="&lt;p&gt;&lt;strong&gt;FOR YOUR T10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s v="https://shop.officineitalianezard.it/contents/imgs/products/1_1885-3.jpg"/>
    <m/>
    <m/>
  </r>
  <r>
    <s v="1586059307-10657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RACING VERSION"/>
    <x v="112"/>
    <s v="2&gt;2 FULL KIT"/>
    <s v="ZTPH072SKR"/>
    <s v="TRIUMPH BONNEVILLE T100 M.Y. 2017"/>
    <n v="855.74"/>
    <n v="950.82"/>
    <s v="&lt;p&gt;&lt;strong&gt;FOR YOUR T10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s v="https://shop.officineitalianezard.it/contents/imgs/products/1_1884-4.jpg"/>
    <m/>
    <m/>
  </r>
  <r>
    <s v="1586059307-10658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RACING VERSION"/>
    <x v="112"/>
    <s v="2&gt;2 FULL KIT"/>
    <s v="ZTPH072SKR"/>
    <s v="TRIUMPH BONNEVILLE T100 M.Y. 2017"/>
    <n v="855.74"/>
    <n v="950.82"/>
    <s v="&lt;p&gt;&lt;strong&gt;FOR YOUR T10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s v="https://shop.officineitalianezard.it/contents/imgs/products/1_1871-1650-t120%20neri%20zard.jpg"/>
    <m/>
    <m/>
  </r>
  <r>
    <s v="1586059307-10659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RACING VERSION"/>
    <x v="112"/>
    <s v="2&gt;2 FULL KIT"/>
    <s v="ZTPH072SKR"/>
    <s v="TRIUMPH BONNEVILLE T100 M.Y. 2017"/>
    <n v="855.74"/>
    <n v="950.82"/>
    <s v="&lt;p&gt;&lt;strong&gt;FOR YOUR T10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s v="https://shop.officineitalianezard.it/contents/imgs/products/1_1873-1740-scarico%20bonneville%20t120%20scarico%20triumph%20street%20twin.jpg"/>
    <m/>
    <m/>
  </r>
  <r>
    <s v="1586059307-10660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RACING VERSION"/>
    <x v="112"/>
    <s v="2&gt;2 FULL KIT"/>
    <s v="ZTPH072SKR"/>
    <s v="TRIUMPH BONNEVILLE T100 M.Y. 2017"/>
    <n v="855.74"/>
    <n v="950.82"/>
    <s v="&lt;p&gt;&lt;strong&gt;FOR YOUR T10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m/>
    <s v="BLACK COATING"/>
    <n v="192.54"/>
  </r>
  <r>
    <s v="1586059307-10661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RACING VERSION"/>
    <x v="112"/>
    <s v="2&gt;2 FULL KIT"/>
    <s v="ZTPH072SKR"/>
    <s v="TRIUMPH BONNEVILLE T100 M.Y. 2017"/>
    <n v="855.74"/>
    <n v="950.82"/>
    <s v="&lt;p&gt;&lt;strong&gt;FOR YOUR T10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m/>
    <s v="MIRROR POLISHED"/>
    <n v="65.66"/>
  </r>
  <r>
    <s v="1586059307-10662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RACING VERSION"/>
    <x v="112"/>
    <s v="2&gt;2 FULL KIT"/>
    <s v="ZTPH072SKR"/>
    <s v="TRIUMPH BONNEVILLE T100 M.Y. 2017"/>
    <n v="855.74"/>
    <n v="950.82"/>
    <s v="&lt;p&gt;&lt;strong&gt;FOR YOUR T100: A UNIQUE KIT, TWO DIFFERENT SOLUTIONS!&lt;/strong&gt;&lt;/p&gt;_x000a_&lt;p&gt;2&amp;gt;2 STEEL RACING FULL KIT WITH REMOVABLE DB KILLERS&lt;/p&gt;_x000a_&lt;p&gt;THE EXHAUST REMOVES OEM CATALYZER STARTING FROM CYLINDER HEAD OUTPUT TO SILENCERS.&lt;/p&gt;_x000a_&lt;p&gt;THE EXHAUST CAN BE FITTED IN LOW MOUNTED POSITION UNDER FOOTREST OR IN BACK MOUNTED POSITION BUYING 'BACK MOUNTED KIT' AVAILABLE AS OPTIONAL.&lt;/p&gt;_x000a_&lt;p&gt;ZARD SILENCERS KIT CONSISTS OF STEEL LEFT+RIGHT HEADERS PIPE, STEEL LEFT+RIGHT SILENCERS AND FITTING KIT.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m/>
    <s v="BACK MOUNTING KIT"/>
    <n v="223.52"/>
  </r>
  <r>
    <s v="1586059311-10663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KEEPING OEM CATALYZER"/>
    <x v="113"/>
    <s v="2&gt;2 KIT"/>
    <s v="ZTPH071SSR"/>
    <s v="TRIUMPH BONNEVILLE T100 M.Y. 2017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/p&gt;_x000a_&lt;p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s v="https://shop.officineitalianezard.it/contents/imgs/products/1_1867-triumph%20bonneville%20t100%20scaricho%20basso.jpg"/>
    <m/>
    <m/>
  </r>
  <r>
    <s v="1586059311-10664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KEEPING OEM CATALYZER"/>
    <x v="113"/>
    <s v="2&gt;2 KIT"/>
    <s v="ZTPH071SSR"/>
    <s v="TRIUMPH BONNEVILLE T100 M.Y. 2017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/p&gt;_x000a_&lt;p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s v="https://shop.officineitalianezard.it/contents/imgs/products/1_1858-1.jpg"/>
    <m/>
    <m/>
  </r>
  <r>
    <s v="1586059311-10665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KEEPING OEM CATALYZER"/>
    <x v="113"/>
    <s v="2&gt;2 KIT"/>
    <s v="ZTPH071SSR"/>
    <s v="TRIUMPH BONNEVILLE T100 M.Y. 2017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/p&gt;_x000a_&lt;p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s v="https://shop.officineitalianezard.it/contents/imgs/products/1_1861-2.jpg"/>
    <m/>
    <m/>
  </r>
  <r>
    <s v="1586059311-10666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KEEPING OEM CATALYZER"/>
    <x v="113"/>
    <s v="2&gt;2 KIT"/>
    <s v="ZTPH071SSR"/>
    <s v="TRIUMPH BONNEVILLE T100 M.Y. 2017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/p&gt;_x000a_&lt;p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s v="https://shop.officineitalianezard.it/contents/imgs/products/1_1860-3.jpg"/>
    <m/>
    <m/>
  </r>
  <r>
    <s v="1586059311-10667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KEEPING OEM CATALYZER"/>
    <x v="113"/>
    <s v="2&gt;2 KIT"/>
    <s v="ZTPH071SSR"/>
    <s v="TRIUMPH BONNEVILLE T100 M.Y. 2017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/p&gt;_x000a_&lt;p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s v="https://shop.officineitalianezard.it/contents/imgs/products/1_1859-4.jpg"/>
    <m/>
    <m/>
  </r>
  <r>
    <s v="1586059311-10668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KEEPING OEM CATALYZER"/>
    <x v="113"/>
    <s v="2&gt;2 KIT"/>
    <s v="ZTPH071SSR"/>
    <s v="TRIUMPH BONNEVILLE T100 M.Y. 2017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/p&gt;_x000a_&lt;p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s v="https://shop.officineitalianezard.it/contents/imgs/products/1_1862-1.jpg"/>
    <m/>
    <m/>
  </r>
  <r>
    <s v="1586059311-10669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KEEPING OEM CATALYZER"/>
    <x v="113"/>
    <s v="2&gt;2 KIT"/>
    <s v="ZTPH071SSR"/>
    <s v="TRIUMPH BONNEVILLE T100 M.Y. 2017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/p&gt;_x000a_&lt;p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s v="https://shop.officineitalianezard.it/contents/imgs/products/1_1865-2.jpg"/>
    <m/>
    <m/>
  </r>
  <r>
    <s v="1586059311-10670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KEEPING OEM CATALYZER"/>
    <x v="113"/>
    <s v="2&gt;2 KIT"/>
    <s v="ZTPH071SSR"/>
    <s v="TRIUMPH BONNEVILLE T100 M.Y. 2017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/p&gt;_x000a_&lt;p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s v="https://shop.officineitalianezard.it/contents/imgs/products/1_1864-3.jpg"/>
    <m/>
    <m/>
  </r>
  <r>
    <s v="1586059311-10671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KEEPING OEM CATALYZER"/>
    <x v="113"/>
    <s v="2&gt;2 KIT"/>
    <s v="ZTPH071SSR"/>
    <s v="TRIUMPH BONNEVILLE T100 M.Y. 2017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/p&gt;_x000a_&lt;p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s v="https://shop.officineitalianezard.it/contents/imgs/products/1_1863-4.jpg"/>
    <m/>
    <m/>
  </r>
  <r>
    <s v="1586059311-10672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KEEPING OEM CATALYZER"/>
    <x v="113"/>
    <s v="2&gt;2 KIT"/>
    <s v="ZTPH071SSR"/>
    <s v="TRIUMPH BONNEVILLE T100 M.Y. 2017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/p&gt;_x000a_&lt;p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s v="https://shop.officineitalianezard.it/contents/imgs/products/1_1852-t120%20neri%20zard.jpg"/>
    <m/>
    <m/>
  </r>
  <r>
    <s v="1586059311-10673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KEEPING OEM CATALYZER"/>
    <x v="113"/>
    <s v="2&gt;2 KIT"/>
    <s v="ZTPH071SSR"/>
    <s v="TRIUMPH BONNEVILLE T100 M.Y. 2017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/p&gt;_x000a_&lt;p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s v="https://shop.officineitalianezard.it/contents/imgs/products/1_1854-scarico%20bonneville%20t120%20scarico%20triumph%20street%20twin.jpg"/>
    <m/>
    <m/>
  </r>
  <r>
    <s v="1586059311-10674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KEEPING OEM CATALYZER"/>
    <x v="113"/>
    <s v="2&gt;2 KIT"/>
    <s v="ZTPH071SSR"/>
    <s v="TRIUMPH BONNEVILLE T100 M.Y. 2017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/p&gt;_x000a_&lt;p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m/>
    <s v="BLACK COATING"/>
    <n v="192.54"/>
  </r>
  <r>
    <s v="1586059311-10675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KEEPING OEM CATALYZER"/>
    <x v="113"/>
    <s v="2&gt;2 KIT"/>
    <s v="ZTPH071SSR"/>
    <s v="TRIUMPH BONNEVILLE T100 M.Y. 2017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/p&gt;_x000a_&lt;p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m/>
    <s v="MIRROR POLISHED"/>
    <n v="65.66"/>
  </r>
  <r>
    <s v="1586059311-10676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KEEPING OEM CATALYZER"/>
    <x v="113"/>
    <s v="2&gt;2 KIT"/>
    <s v="ZTPH071SSR"/>
    <s v="TRIUMPH BONNEVILLE T100 M.Y. 2017"/>
    <n v="894.1"/>
    <n v="993.44"/>
    <s v="&lt;p&gt;2&amp;gt;2 STEEL RACING FULL KIT WITH REMOVABLE DB KILLERS.&lt;/p&gt;_x000a_&lt;p&gt;THE EXHAUST KEEPS OEM CATALYZER AND CONSISTS OF TWO HEADER PIPES&amp;nbsp;&lt;span&gt;STARTING FROM THE CYLINDER HEAD OUTPUT TO OEM CATALYZER AND TWO SILENCERS.&lt;/span&gt;&lt;/p&gt;_x000a_&lt;p&gt;ORIGINAL EXHAUST WEIGHT: 14.3 KG&lt;/p&gt;_x000a_&lt;p&gt;ZARD EXHAUST WEIGHT: 4.4 KG&lt;/p&gt;_x000a_&lt;p&gt;ZARD SILENCERS KIT CONSISTS OF STEEL LEFT+RIGHT HEADERS PIPE, STEEL LEFT+RIGHT SILENCERS AND FITTING KIT.&lt;/p&gt;_x000a_&lt;p&gt;&lt;span&gt;THE EXHAUST CAN BE FITTED IN LOW MOUNTED POSITION UNDER FOOTREST OR IN BACK MOUNTED POSITION BUYING 'BACK MOUNTED KIT' AVAILABLE AS OPTIONAL.&lt;/span&gt;&lt;/p&gt;_x000a_&lt;p&gt;HARD INCREASE, COMPARED TO THE ORIGINAL EXHAUST SYSTEM, IN TERMS OF TORQUE AND POWER AT ANY RANGE.&lt;/p&gt;_x000a_&lt;p&gt;ASTONISHING SOUND.&lt;/p&gt;_x000a_&lt;p&gt;&lt;iframe src=&quot;https://www.youtube.com/embed/n_M2mIW_8pk&quot; allowfullscreen=&quot;allowfullscreen&quot; width=&quot;298&quot; height=&quot;168&quot; frameborder=&quot;0&quot;&gt;&lt;/iframe&gt;&lt;/p&gt;_x000a_&lt;p&gt;&lt;/p&gt;"/>
    <m/>
    <s v="BACK MOUNTING KIT"/>
    <n v="223.52"/>
  </r>
  <r>
    <s v="1586059314-10677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BOTTLE DESIGN"/>
    <x v="114"/>
    <s v="N. 2 STEEL SILENCERS"/>
    <s v="ZTPH070SSR"/>
    <s v="TRIUMPH BONNEVILLE T100 M.Y. 2017"/>
    <n v="585.74"/>
    <n v="650.82000000000005"/>
    <s v="&lt;p&gt;N. 2 STEEL RACING SILENCER WITH REMOVABLE DB KILLERS&lt;/p&gt;_x000a_&lt;p&gt;ORIGINAL SILENCERS WEIGHT:&amp;nbsp;&lt;span&gt;6.4 KG&lt;br&gt;&lt;/span&gt;ZARD SILENCERS WEIGHT: 4.2 KG&lt;/p&gt;_x000a_&lt;p&gt;ASTONISHING SOUND, CLASSIC BOTTLE&amp;nbsp;DESIGN.&lt;/p&gt;_x000a_&lt;p&gt;FITTING KIT INCLUDED.&lt;/p&gt;_x000a_&lt;p&gt;&lt;/p&gt;"/>
    <s v="https://shop.officineitalianezard.it/contents/imgs/products/1_1847-triumph%20t%20100%20exhaust%20zard%201.jpg"/>
    <m/>
    <m/>
  </r>
  <r>
    <s v="1586059314-10678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BOTTLE DESIGN"/>
    <x v="114"/>
    <s v="N. 2 STEEL SILENCERS"/>
    <s v="ZTPH070SSR"/>
    <s v="TRIUMPH BONNEVILLE T100 M.Y. 2017"/>
    <n v="585.74"/>
    <n v="650.82000000000005"/>
    <s v="&lt;p&gt;N. 2 STEEL RACING SILENCER WITH REMOVABLE DB KILLERS&lt;/p&gt;_x000a_&lt;p&gt;ORIGINAL SILENCERS WEIGHT:&amp;nbsp;&lt;span&gt;6.4 KG&lt;br&gt;&lt;/span&gt;ZARD SILENCERS WEIGHT: 4.2 KG&lt;/p&gt;_x000a_&lt;p&gt;ASTONISHING SOUND, CLASSIC BOTTLE&amp;nbsp;DESIGN.&lt;/p&gt;_x000a_&lt;p&gt;FITTING KIT INCLUDED.&lt;/p&gt;_x000a_&lt;p&gt;&lt;/p&gt;"/>
    <s v="https://shop.officineitalianezard.it/contents/imgs/products/1_1845-t100%20scarichi%20zard%202.jpg"/>
    <m/>
    <m/>
  </r>
  <r>
    <s v="1586059314-10679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BOTTLE DESIGN"/>
    <x v="114"/>
    <s v="N. 2 STEEL SILENCERS"/>
    <s v="ZTPH070SSR"/>
    <s v="TRIUMPH BONNEVILLE T100 M.Y. 2017"/>
    <n v="585.74"/>
    <n v="650.82000000000005"/>
    <s v="&lt;p&gt;N. 2 STEEL RACING SILENCER WITH REMOVABLE DB KILLERS&lt;/p&gt;_x000a_&lt;p&gt;ORIGINAL SILENCERS WEIGHT:&amp;nbsp;&lt;span&gt;6.4 KG&lt;br&gt;&lt;/span&gt;ZARD SILENCERS WEIGHT: 4.2 KG&lt;/p&gt;_x000a_&lt;p&gt;ASTONISHING SOUND, CLASSIC BOTTLE&amp;nbsp;DESIGN.&lt;/p&gt;_x000a_&lt;p&gt;FITTING KIT INCLUDED.&lt;/p&gt;_x000a_&lt;p&gt;&lt;/p&gt;"/>
    <s v="https://shop.officineitalianezard.it/contents/imgs/products/1_1846-t100%20zard%20exhaust.jpg"/>
    <m/>
    <m/>
  </r>
  <r>
    <s v="1586059314-10680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BOTTLE DESIGN"/>
    <x v="114"/>
    <s v="N. 2 STEEL SILENCERS"/>
    <s v="ZTPH070SSR"/>
    <s v="TRIUMPH BONNEVILLE T100 M.Y. 2017"/>
    <n v="585.74"/>
    <n v="650.82000000000005"/>
    <s v="&lt;p&gt;N. 2 STEEL RACING SILENCER WITH REMOVABLE DB KILLERS&lt;/p&gt;_x000a_&lt;p&gt;ORIGINAL SILENCERS WEIGHT:&amp;nbsp;&lt;span&gt;6.4 KG&lt;br&gt;&lt;/span&gt;ZARD SILENCERS WEIGHT: 4.2 KG&lt;/p&gt;_x000a_&lt;p&gt;ASTONISHING SOUND, CLASSIC BOTTLE&amp;nbsp;DESIGN.&lt;/p&gt;_x000a_&lt;p&gt;FITTING KIT INCLUDED.&lt;/p&gt;_x000a_&lt;p&gt;&lt;/p&gt;"/>
    <s v="https://shop.officineitalianezard.it/contents/imgs/products/1_1844-scarichi%20triumph%20t%20100.jpg"/>
    <m/>
    <m/>
  </r>
  <r>
    <s v="1586059314-10681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BOTTLE DESIGN"/>
    <x v="114"/>
    <s v="N. 2 STEEL SILENCERS"/>
    <s v="ZTPH070SSR"/>
    <s v="TRIUMPH BONNEVILLE T100 M.Y. 2017"/>
    <n v="585.74"/>
    <n v="650.82000000000005"/>
    <s v="&lt;p&gt;N. 2 STEEL RACING SILENCER WITH REMOVABLE DB KILLERS&lt;/p&gt;_x000a_&lt;p&gt;ORIGINAL SILENCERS WEIGHT:&amp;nbsp;&lt;span&gt;6.4 KG&lt;br&gt;&lt;/span&gt;ZARD SILENCERS WEIGHT: 4.2 KG&lt;/p&gt;_x000a_&lt;p&gt;ASTONISHING SOUND, CLASSIC BOTTLE&amp;nbsp;DESIGN.&lt;/p&gt;_x000a_&lt;p&gt;FITTING KIT INCLUDED.&lt;/p&gt;_x000a_&lt;p&gt;&lt;/p&gt;"/>
    <m/>
    <s v="BLACK COATING"/>
    <n v="93.69"/>
  </r>
  <r>
    <s v="1586059314-10682"/>
    <s v="https://shop.officineitalianezard.it/en/products/"/>
    <m/>
    <s v="https://shop.officineitalianezard.it/en/triumph-zard-exhaust/"/>
    <s v="BONNEVILLE T100 M.Y. 2017"/>
    <s v="https://shop.officineitalianezard.it/en/triumph-bonneville-t-100-m-y-2017/"/>
    <s v="BOTTLE DESIGN"/>
    <x v="114"/>
    <s v="N. 2 STEEL SILENCERS"/>
    <s v="ZTPH070SSR"/>
    <s v="TRIUMPH BONNEVILLE T100 M.Y. 2017"/>
    <n v="585.74"/>
    <n v="650.82000000000005"/>
    <s v="&lt;p&gt;N. 2 STEEL RACING SILENCER WITH REMOVABLE DB KILLERS&lt;/p&gt;_x000a_&lt;p&gt;ORIGINAL SILENCERS WEIGHT:&amp;nbsp;&lt;span&gt;6.4 KG&lt;br&gt;&lt;/span&gt;ZARD SILENCERS WEIGHT: 4.2 KG&lt;/p&gt;_x000a_&lt;p&gt;ASTONISHING SOUND, CLASSIC BOTTLE&amp;nbsp;DESIGN.&lt;/p&gt;_x000a_&lt;p&gt;FITTING KIT INCLUDED.&lt;/p&gt;_x000a_&lt;p&gt;&lt;/p&gt;"/>
    <m/>
    <s v="MIRROR POLISHED"/>
    <n v="61.97"/>
  </r>
  <r>
    <s v="1586059319-10683"/>
    <s v="https://shop.officineitalianezard.it/en/products/"/>
    <m/>
    <s v="https://shop.officineitalianezard.it/en/triumph-zard-exhaust/"/>
    <s v="Bonneville"/>
    <s v="https://shop.officineitalianezard.it/en/triumph-bonneville-exhaust/"/>
    <s v="CARBURETTOR"/>
    <x v="115"/>
    <s v="LOW MOUNTED FULL KIT CARBURETTOR"/>
    <s v="ZTPH 036 SKB"/>
    <s v="TRIUMPH BONNEVILLE"/>
    <n v="712.62"/>
    <n v="791.8"/>
    <s v="&lt;p&gt;2&amp;gt;1 STEEL RACING FULL KIT&lt;/p&gt;_x000a_&lt;p&gt;ORIGINAL FULL KIT WEIGHT: KG 9.3&lt;br&gt;ZARD FULL KIT WEIGHT: KG 6.85&lt;/p&gt;_x000a_&lt;p&gt;VERY CONSISTENT INCREASE IN TERMS OF RESPONSE IN THE RANGE BETWEEN 4000 AND 6500 RPM AND 1.5 MORE HP COMPARED TO THE ORIGINAL EXHAUST SYSTEM. ASTONISHING SOUND.&lt;/p&gt;"/>
    <s v="https://shop.officineitalianezard.it/contents/imgs/products/1_20-2.jpg"/>
    <m/>
    <m/>
  </r>
  <r>
    <s v="1586059319-10684"/>
    <s v="https://shop.officineitalianezard.it/en/products/"/>
    <m/>
    <s v="https://shop.officineitalianezard.it/en/triumph-zard-exhaust/"/>
    <s v="Bonneville"/>
    <s v="https://shop.officineitalianezard.it/en/triumph-bonneville-exhaust/"/>
    <s v="CARBURETTOR"/>
    <x v="115"/>
    <s v="LOW MOUNTED FULL KIT CARBURETTOR"/>
    <s v="ZTPH 036 SKB"/>
    <s v="TRIUMPH BONNEVILLE"/>
    <n v="712.62"/>
    <n v="791.8"/>
    <s v="&lt;p&gt;2&amp;gt;1 STEEL RACING FULL KIT&lt;/p&gt;_x000a_&lt;p&gt;ORIGINAL FULL KIT WEIGHT: KG 9.3&lt;br&gt;ZARD FULL KIT WEIGHT: KG 6.85&lt;/p&gt;_x000a_&lt;p&gt;VERY CONSISTENT INCREASE IN TERMS OF RESPONSE IN THE RANGE BETWEEN 4000 AND 6500 RPM AND 1.5 MORE HP COMPARED TO THE ORIGINAL EXHAUST SYSTEM. ASTONISHING SOUND.&lt;/p&gt;"/>
    <s v="https://shop.officineitalianezard.it/contents/imgs/products/1_1002-ABASSO.jpg"/>
    <m/>
    <m/>
  </r>
  <r>
    <s v="1586059319-10685"/>
    <s v="https://shop.officineitalianezard.it/en/products/"/>
    <m/>
    <s v="https://shop.officineitalianezard.it/en/triumph-zard-exhaust/"/>
    <s v="Bonneville"/>
    <s v="https://shop.officineitalianezard.it/en/triumph-bonneville-exhaust/"/>
    <s v="CARBURETTOR"/>
    <x v="115"/>
    <s v="LOW MOUNTED FULL KIT CARBURETTOR"/>
    <s v="ZTPH 036 SKB"/>
    <s v="TRIUMPH BONNEVILLE"/>
    <n v="712.62"/>
    <n v="791.8"/>
    <s v="&lt;p&gt;2&amp;gt;1 STEEL RACING FULL KIT&lt;/p&gt;_x000a_&lt;p&gt;ORIGINAL FULL KIT WEIGHT: KG 9.3&lt;br&gt;ZARD FULL KIT WEIGHT: KG 6.85&lt;/p&gt;_x000a_&lt;p&gt;VERY CONSISTENT INCREASE IN TERMS OF RESPONSE IN THE RANGE BETWEEN 4000 AND 6500 RPM AND 1.5 MORE HP COMPARED TO THE ORIGINAL EXHAUST SYSTEM. ASTONISHING SOUND.&lt;/p&gt;"/>
    <s v="https://shop.officineitalianezard.it/contents/imgs/products/1_1003-bBASSO.jpg"/>
    <m/>
    <m/>
  </r>
  <r>
    <s v="1586059319-10686"/>
    <s v="https://shop.officineitalianezard.it/en/products/"/>
    <m/>
    <s v="https://shop.officineitalianezard.it/en/triumph-zard-exhaust/"/>
    <s v="Bonneville"/>
    <s v="https://shop.officineitalianezard.it/en/triumph-bonneville-exhaust/"/>
    <s v="CARBURETTOR"/>
    <x v="115"/>
    <s v="LOW MOUNTED FULL KIT CARBURETTOR"/>
    <s v="ZTPH 036 SKB"/>
    <s v="TRIUMPH BONNEVILLE"/>
    <n v="712.62"/>
    <n v="791.8"/>
    <s v="&lt;p&gt;2&amp;gt;1 STEEL RACING FULL KIT&lt;/p&gt;_x000a_&lt;p&gt;ORIGINAL FULL KIT WEIGHT: KG 9.3&lt;br&gt;ZARD FULL KIT WEIGHT: KG 6.85&lt;/p&gt;_x000a_&lt;p&gt;VERY CONSISTENT INCREASE IN TERMS OF RESPONSE IN THE RANGE BETWEEN 4000 AND 6500 RPM AND 1.5 MORE HP COMPARED TO THE ORIGINAL EXHAUST SYSTEM. ASTONISHING SOUND.&lt;/p&gt;"/>
    <s v="https://shop.officineitalianezard.it/contents/imgs/products/1_19-1.jpg"/>
    <m/>
    <m/>
  </r>
  <r>
    <s v="1586059319-10687"/>
    <s v="https://shop.officineitalianezard.it/en/products/"/>
    <m/>
    <s v="https://shop.officineitalianezard.it/en/triumph-zard-exhaust/"/>
    <s v="Bonneville"/>
    <s v="https://shop.officineitalianezard.it/en/triumph-bonneville-exhaust/"/>
    <s v="CARBURETTOR"/>
    <x v="115"/>
    <s v="LOW MOUNTED FULL KIT CARBURETTOR"/>
    <s v="ZTPH 036 SKB"/>
    <s v="TRIUMPH BONNEVILLE"/>
    <n v="712.62"/>
    <n v="791.8"/>
    <s v="&lt;p&gt;2&amp;gt;1 STEEL RACING FULL KIT&lt;/p&gt;_x000a_&lt;p&gt;ORIGINAL FULL KIT WEIGHT: KG 9.3&lt;br&gt;ZARD FULL KIT WEIGHT: KG 6.85&lt;/p&gt;_x000a_&lt;p&gt;VERY CONSISTENT INCREASE IN TERMS OF RESPONSE IN THE RANGE BETWEEN 4000 AND 6500 RPM AND 1.5 MORE HP COMPARED TO THE ORIGINAL EXHAUST SYSTEM. ASTONISHING SOUND.&lt;/p&gt;"/>
    <m/>
    <s v="BLACK CERAMIC COATING"/>
    <n v="169.67"/>
  </r>
  <r>
    <s v="1586059319-10688"/>
    <s v="https://shop.officineitalianezard.it/en/products/"/>
    <m/>
    <s v="https://shop.officineitalianezard.it/en/triumph-zard-exhaust/"/>
    <s v="Bonneville"/>
    <s v="https://shop.officineitalianezard.it/en/triumph-bonneville-exhaust/"/>
    <s v="CARBURETTOR"/>
    <x v="115"/>
    <s v="LOW MOUNTED FULL KIT CARBURETTOR"/>
    <s v="ZTPH 036 SKB"/>
    <s v="TRIUMPH BONNEVILLE"/>
    <n v="712.62"/>
    <n v="791.8"/>
    <s v="&lt;p&gt;2&amp;gt;1 STEEL RACING FULL KIT&lt;/p&gt;_x000a_&lt;p&gt;ORIGINAL FULL KIT WEIGHT: KG 9.3&lt;br&gt;ZARD FULL KIT WEIGHT: KG 6.85&lt;/p&gt;_x000a_&lt;p&gt;VERY CONSISTENT INCREASE IN TERMS OF RESPONSE IN THE RANGE BETWEEN 4000 AND 6500 RPM AND 1.5 MORE HP COMPARED TO THE ORIGINAL EXHAUST SYSTEM. ASTONISHING SOUND.&lt;/p&gt;"/>
    <m/>
    <s v="HOMOLOGATED"/>
    <n v="77.459999999999994"/>
  </r>
  <r>
    <s v="1586059322-10689"/>
    <s v="https://shop.officineitalianezard.it/en/products/"/>
    <m/>
    <s v="https://shop.officineitalianezard.it/en/triumph-zard-exhaust/"/>
    <s v="Bonneville"/>
    <s v="https://shop.officineitalianezard.it/en/triumph-bonneville-exhaust/"/>
    <s v="INJECTION"/>
    <x v="116"/>
    <s v="LOW MOUNTED FULL KIT  INJECTION"/>
    <s v="ZTPH036SKB-08"/>
    <s v="TRIUMPH BONNEVILLE"/>
    <n v="712.62"/>
    <n v="791.8"/>
    <s v="&lt;p&gt;2&amp;gt;1 STEEL RACING FULL KIT&lt;/p&gt;_x000a_&lt;p&gt;ORIGINAL FULL KIT WEIGHT: KG 9.3&lt;br&gt;ZARD FULL KIT WEIGHT: KG 6.85&lt;/p&gt;_x000a_&lt;p&gt;VERY CONSISTENT INCREASE IN TERMS OF RESPONSE IN THE RANGE BETWEEN 4000 AND 6500 RPM AND 1.5 MORE HP COMPARED TO THE ORIGINAL EXHAUST SYSTEM. ASTONISHING SOUND.&lt;/p&gt;"/>
    <s v="https://shop.officineitalianezard.it/contents/imgs/products/1_18-2.jpg"/>
    <m/>
    <m/>
  </r>
  <r>
    <s v="1586059322-10690"/>
    <s v="https://shop.officineitalianezard.it/en/products/"/>
    <m/>
    <s v="https://shop.officineitalianezard.it/en/triumph-zard-exhaust/"/>
    <s v="Bonneville"/>
    <s v="https://shop.officineitalianezard.it/en/triumph-bonneville-exhaust/"/>
    <s v="INJECTION"/>
    <x v="116"/>
    <s v="LOW MOUNTED FULL KIT  INJECTION"/>
    <s v="ZTPH036SKB-08"/>
    <s v="TRIUMPH BONNEVILLE"/>
    <n v="712.62"/>
    <n v="791.8"/>
    <s v="&lt;p&gt;2&amp;gt;1 STEEL RACING FULL KIT&lt;/p&gt;_x000a_&lt;p&gt;ORIGINAL FULL KIT WEIGHT: KG 9.3&lt;br&gt;ZARD FULL KIT WEIGHT: KG 6.85&lt;/p&gt;_x000a_&lt;p&gt;VERY CONSISTENT INCREASE IN TERMS OF RESPONSE IN THE RANGE BETWEEN 4000 AND 6500 RPM AND 1.5 MORE HP COMPARED TO THE ORIGINAL EXHAUST SYSTEM. ASTONISHING SOUND.&lt;/p&gt;"/>
    <s v="https://shop.officineitalianezard.it/contents/imgs/products/1_17-1.jpg"/>
    <m/>
    <m/>
  </r>
  <r>
    <s v="1586059322-10691"/>
    <s v="https://shop.officineitalianezard.it/en/products/"/>
    <m/>
    <s v="https://shop.officineitalianezard.it/en/triumph-zard-exhaust/"/>
    <s v="Bonneville"/>
    <s v="https://shop.officineitalianezard.it/en/triumph-bonneville-exhaust/"/>
    <s v="INJECTION"/>
    <x v="116"/>
    <s v="LOW MOUNTED FULL KIT  INJECTION"/>
    <s v="ZTPH036SKB-08"/>
    <s v="TRIUMPH BONNEVILLE"/>
    <n v="712.62"/>
    <n v="791.8"/>
    <s v="&lt;p&gt;2&amp;gt;1 STEEL RACING FULL KIT&lt;/p&gt;_x000a_&lt;p&gt;ORIGINAL FULL KIT WEIGHT: KG 9.3&lt;br&gt;ZARD FULL KIT WEIGHT: KG 6.85&lt;/p&gt;_x000a_&lt;p&gt;VERY CONSISTENT INCREASE IN TERMS OF RESPONSE IN THE RANGE BETWEEN 4000 AND 6500 RPM AND 1.5 MORE HP COMPARED TO THE ORIGINAL EXHAUST SYSTEM. ASTONISHING SOUND.&lt;/p&gt;"/>
    <s v="https://shop.officineitalianezard.it/contents/imgs/products/1_1004-ABASSO.jpg"/>
    <m/>
    <m/>
  </r>
  <r>
    <s v="1586059322-10692"/>
    <s v="https://shop.officineitalianezard.it/en/products/"/>
    <m/>
    <s v="https://shop.officineitalianezard.it/en/triumph-zard-exhaust/"/>
    <s v="Bonneville"/>
    <s v="https://shop.officineitalianezard.it/en/triumph-bonneville-exhaust/"/>
    <s v="INJECTION"/>
    <x v="116"/>
    <s v="LOW MOUNTED FULL KIT  INJECTION"/>
    <s v="ZTPH036SKB-08"/>
    <s v="TRIUMPH BONNEVILLE"/>
    <n v="712.62"/>
    <n v="791.8"/>
    <s v="&lt;p&gt;2&amp;gt;1 STEEL RACING FULL KIT&lt;/p&gt;_x000a_&lt;p&gt;ORIGINAL FULL KIT WEIGHT: KG 9.3&lt;br&gt;ZARD FULL KIT WEIGHT: KG 6.85&lt;/p&gt;_x000a_&lt;p&gt;VERY CONSISTENT INCREASE IN TERMS OF RESPONSE IN THE RANGE BETWEEN 4000 AND 6500 RPM AND 1.5 MORE HP COMPARED TO THE ORIGINAL EXHAUST SYSTEM. ASTONISHING SOUND.&lt;/p&gt;"/>
    <s v="https://shop.officineitalianezard.it/contents/imgs/products/1_1005-bBASSO.jpg"/>
    <m/>
    <m/>
  </r>
  <r>
    <s v="1586059322-10693"/>
    <s v="https://shop.officineitalianezard.it/en/products/"/>
    <m/>
    <s v="https://shop.officineitalianezard.it/en/triumph-zard-exhaust/"/>
    <s v="Bonneville"/>
    <s v="https://shop.officineitalianezard.it/en/triumph-bonneville-exhaust/"/>
    <s v="INJECTION"/>
    <x v="116"/>
    <s v="LOW MOUNTED FULL KIT  INJECTION"/>
    <s v="ZTPH036SKB-08"/>
    <s v="TRIUMPH BONNEVILLE"/>
    <n v="712.62"/>
    <n v="791.8"/>
    <s v="&lt;p&gt;2&amp;gt;1 STEEL RACING FULL KIT&lt;/p&gt;_x000a_&lt;p&gt;ORIGINAL FULL KIT WEIGHT: KG 9.3&lt;br&gt;ZARD FULL KIT WEIGHT: KG 6.85&lt;/p&gt;_x000a_&lt;p&gt;VERY CONSISTENT INCREASE IN TERMS OF RESPONSE IN THE RANGE BETWEEN 4000 AND 6500 RPM AND 1.5 MORE HP COMPARED TO THE ORIGINAL EXHAUST SYSTEM. ASTONISHING SOUND.&lt;/p&gt;"/>
    <m/>
    <s v="BLACK COATING"/>
    <n v="169.67"/>
  </r>
  <r>
    <s v="1586059322-10694"/>
    <s v="https://shop.officineitalianezard.it/en/products/"/>
    <m/>
    <s v="https://shop.officineitalianezard.it/en/triumph-zard-exhaust/"/>
    <s v="Bonneville"/>
    <s v="https://shop.officineitalianezard.it/en/triumph-bonneville-exhaust/"/>
    <s v="INJECTION"/>
    <x v="116"/>
    <s v="LOW MOUNTED FULL KIT  INJECTION"/>
    <s v="ZTPH036SKB-08"/>
    <s v="TRIUMPH BONNEVILLE"/>
    <n v="712.62"/>
    <n v="791.8"/>
    <s v="&lt;p&gt;2&amp;gt;1 STEEL RACING FULL KIT&lt;/p&gt;_x000a_&lt;p&gt;ORIGINAL FULL KIT WEIGHT: KG 9.3&lt;br&gt;ZARD FULL KIT WEIGHT: KG 6.85&lt;/p&gt;_x000a_&lt;p&gt;VERY CONSISTENT INCREASE IN TERMS OF RESPONSE IN THE RANGE BETWEEN 4000 AND 6500 RPM AND 1.5 MORE HP COMPARED TO THE ORIGINAL EXHAUST SYSTEM. ASTONISHING SOUND.&lt;/p&gt;"/>
    <m/>
    <s v="CATALYZED"/>
    <n v="202.87"/>
  </r>
  <r>
    <s v="1586059324-10695"/>
    <s v="https://shop.officineitalianezard.it/en/products/"/>
    <m/>
    <s v="https://shop.officineitalianezard.it/en/triumph-zard-exhaust/"/>
    <s v="Bonneville"/>
    <s v="https://shop.officineitalianezard.it/en/triumph-bonneville-exhaust/"/>
    <s v="CARBURETTOR"/>
    <x v="117"/>
    <s v="FULL KIT CROSS VERSION"/>
    <s v="ZTPH 034 SKC"/>
    <s v="TRIUMPH BONNEVILLE"/>
    <n v="691.23"/>
    <n v="768.03"/>
    <s v="&lt;p&gt;STEEL FULL KIT AVAILABLE IN RACING VERSION WITH REMOVABLE DB-KILLER&lt;/p&gt;_x000a_&lt;p&gt;ORIGINAL FULL KIT WEIGHT: KG 9.3&lt;br&gt;ZARD FULL KIT WEIGHT: KG 2.2&lt;/p&gt;_x000a_&lt;p&gt;HARD INCREASE IN TERMS OF RESPONSE IN THE RANGE BETWEEN 4000 AND 6500 RPM AND 3 MORE HP COMPARED TO THE DEFAULT EXHAUST SYSTEM. ASTONISHING SOUND.&lt;/p&gt;"/>
    <s v="https://shop.officineitalianezard.it/contents/imgs/products/1_1212-zard%20cross.jpg"/>
    <m/>
    <m/>
  </r>
  <r>
    <s v="1586059324-10696"/>
    <s v="https://shop.officineitalianezard.it/en/products/"/>
    <m/>
    <s v="https://shop.officineitalianezard.it/en/triumph-zard-exhaust/"/>
    <s v="Bonneville"/>
    <s v="https://shop.officineitalianezard.it/en/triumph-bonneville-exhaust/"/>
    <s v="CARBURETTOR"/>
    <x v="117"/>
    <s v="FULL KIT CROSS VERSION"/>
    <s v="ZTPH 034 SKC"/>
    <s v="TRIUMPH BONNEVILLE"/>
    <n v="691.23"/>
    <n v="768.03"/>
    <s v="&lt;p&gt;STEEL FULL KIT AVAILABLE IN RACING VERSION WITH REMOVABLE DB-KILLER&lt;/p&gt;_x000a_&lt;p&gt;ORIGINAL FULL KIT WEIGHT: KG 9.3&lt;br&gt;ZARD FULL KIT WEIGHT: KG 2.2&lt;/p&gt;_x000a_&lt;p&gt;HARD INCREASE IN TERMS OF RESPONSE IN THE RANGE BETWEEN 4000 AND 6500 RPM AND 3 MORE HP COMPARED TO THE DEFAULT EXHAUST SYSTEM. ASTONISHING SOUND.&lt;/p&gt;"/>
    <s v="https://shop.officineitalianezard.it/contents/imgs/products/1_38-2.jpg"/>
    <m/>
    <m/>
  </r>
  <r>
    <s v="1586059324-10697"/>
    <s v="https://shop.officineitalianezard.it/en/products/"/>
    <m/>
    <s v="https://shop.officineitalianezard.it/en/triumph-zard-exhaust/"/>
    <s v="Bonneville"/>
    <s v="https://shop.officineitalianezard.it/en/triumph-bonneville-exhaust/"/>
    <s v="CARBURETTOR"/>
    <x v="117"/>
    <s v="FULL KIT CROSS VERSION"/>
    <s v="ZTPH 034 SKC"/>
    <s v="TRIUMPH BONNEVILLE"/>
    <n v="691.23"/>
    <n v="768.03"/>
    <s v="&lt;p&gt;STEEL FULL KIT AVAILABLE IN RACING VERSION WITH REMOVABLE DB-KILLER&lt;/p&gt;_x000a_&lt;p&gt;ORIGINAL FULL KIT WEIGHT: KG 9.3&lt;br&gt;ZARD FULL KIT WEIGHT: KG 2.2&lt;/p&gt;_x000a_&lt;p&gt;HARD INCREASE IN TERMS OF RESPONSE IN THE RANGE BETWEEN 4000 AND 6500 RPM AND 3 MORE HP COMPARED TO THE DEFAULT EXHAUST SYSTEM. ASTONISHING SOUND.&lt;/p&gt;"/>
    <s v="https://shop.officineitalianezard.it/contents/imgs/products/1_944-scarichi%20moto%20zard%20cross.jpg"/>
    <m/>
    <m/>
  </r>
  <r>
    <s v="1586059324-10698"/>
    <s v="https://shop.officineitalianezard.it/en/products/"/>
    <m/>
    <s v="https://shop.officineitalianezard.it/en/triumph-zard-exhaust/"/>
    <s v="Bonneville"/>
    <s v="https://shop.officineitalianezard.it/en/triumph-bonneville-exhaust/"/>
    <s v="CARBURETTOR"/>
    <x v="117"/>
    <s v="FULL KIT CROSS VERSION"/>
    <s v="ZTPH 034 SKC"/>
    <s v="TRIUMPH BONNEVILLE"/>
    <n v="691.23"/>
    <n v="768.03"/>
    <s v="&lt;p&gt;STEEL FULL KIT AVAILABLE IN RACING VERSION WITH REMOVABLE DB-KILLER&lt;/p&gt;_x000a_&lt;p&gt;ORIGINAL FULL KIT WEIGHT: KG 9.3&lt;br&gt;ZARD FULL KIT WEIGHT: KG 2.2&lt;/p&gt;_x000a_&lt;p&gt;HARD INCREASE IN TERMS OF RESPONSE IN THE RANGE BETWEEN 4000 AND 6500 RPM AND 3 MORE HP COMPARED TO THE DEFAULT EXHAUST SYSTEM. ASTONISHING SOUND.&lt;/p&gt;"/>
    <s v="https://shop.officineitalianezard.it/contents/imgs/products/1_1143-11017541_10153917985646632_8025402486644623573_n.jpg"/>
    <m/>
    <m/>
  </r>
  <r>
    <s v="1586059324-10699"/>
    <s v="https://shop.officineitalianezard.it/en/products/"/>
    <m/>
    <s v="https://shop.officineitalianezard.it/en/triumph-zard-exhaust/"/>
    <s v="Bonneville"/>
    <s v="https://shop.officineitalianezard.it/en/triumph-bonneville-exhaust/"/>
    <s v="CARBURETTOR"/>
    <x v="117"/>
    <s v="FULL KIT CROSS VERSION"/>
    <s v="ZTPH 034 SKC"/>
    <s v="TRIUMPH BONNEVILLE"/>
    <n v="691.23"/>
    <n v="768.03"/>
    <s v="&lt;p&gt;STEEL FULL KIT AVAILABLE IN RACING VERSION WITH REMOVABLE DB-KILLER&lt;/p&gt;_x000a_&lt;p&gt;ORIGINAL FULL KIT WEIGHT: KG 9.3&lt;br&gt;ZARD FULL KIT WEIGHT: KG 2.2&lt;/p&gt;_x000a_&lt;p&gt;HARD INCREASE IN TERMS OF RESPONSE IN THE RANGE BETWEEN 4000 AND 6500 RPM AND 3 MORE HP COMPARED TO THE DEFAULT EXHAUST SYSTEM. ASTONISHING SOUND.&lt;/p&gt;"/>
    <s v="https://shop.officineitalianezard.it/contents/imgs/products/1_1142-11259175_10153917986126632_709285374156847894_n.jpg"/>
    <m/>
    <m/>
  </r>
  <r>
    <s v="1586059324-10700"/>
    <s v="https://shop.officineitalianezard.it/en/products/"/>
    <m/>
    <s v="https://shop.officineitalianezard.it/en/triumph-zard-exhaust/"/>
    <s v="Bonneville"/>
    <s v="https://shop.officineitalianezard.it/en/triumph-bonneville-exhaust/"/>
    <s v="CARBURETTOR"/>
    <x v="117"/>
    <s v="FULL KIT CROSS VERSION"/>
    <s v="ZTPH 034 SKC"/>
    <s v="TRIUMPH BONNEVILLE"/>
    <n v="691.23"/>
    <n v="768.03"/>
    <s v="&lt;p&gt;STEEL FULL KIT AVAILABLE IN RACING VERSION WITH REMOVABLE DB-KILLER&lt;/p&gt;_x000a_&lt;p&gt;ORIGINAL FULL KIT WEIGHT: KG 9.3&lt;br&gt;ZARD FULL KIT WEIGHT: KG 2.2&lt;/p&gt;_x000a_&lt;p&gt;HARD INCREASE IN TERMS OF RESPONSE IN THE RANGE BETWEEN 4000 AND 6500 RPM AND 3 MORE HP COMPARED TO THE DEFAULT EXHAUST SYSTEM. ASTONISHING SOUND.&lt;/p&gt;"/>
    <m/>
    <s v="BLACK CERAMIC COATING"/>
    <n v="169.67"/>
  </r>
  <r>
    <s v="1586059327-10701"/>
    <s v="https://shop.officineitalianezard.it/en/products/"/>
    <m/>
    <s v="https://shop.officineitalianezard.it/en/triumph-zard-exhaust/"/>
    <s v="Bonneville"/>
    <s v="https://shop.officineitalianezard.it/en/triumph-bonneville-exhaust/"/>
    <s v="INJECTION"/>
    <x v="118"/>
    <s v="FULL KIT CROSS VERSION"/>
    <s v="ZTPH034SKC-08"/>
    <s v="TRIUMPH BONNEVILLE"/>
    <n v="557.32000000000005"/>
    <n v="557.32000000000005"/>
    <s v="&lt;p&gt;2&amp;gt;1 STEEL FULL KIT AVAILABLE IN RACING VERSION WITH REMOVABLE DB-KILLER&lt;/p&gt;_x000a_&lt;p&gt;ORIGINAL FULL KIT WEIGHT: KG 9.3&lt;br&gt;ZARD FULL KIT WEIGHT: KG 2.2&lt;/p&gt;_x000a_&lt;p&gt;HARD INCREASE IN TERMS OF RESPONSE IN THE RANGE BETWEEN 4000 AND 6500 RPM AND 3 MORE HP COMPARED TO THE ORIGINAL EXHAUST SYSTEM. ASTONISHING SOUND.&lt;/p&gt;"/>
    <s v="https://shop.officineitalianezard.it/contents/imgs/products/1_1213-zard%20cross.jpg"/>
    <m/>
    <m/>
  </r>
  <r>
    <s v="1586059327-10702"/>
    <s v="https://shop.officineitalianezard.it/en/products/"/>
    <m/>
    <s v="https://shop.officineitalianezard.it/en/triumph-zard-exhaust/"/>
    <s v="Bonneville"/>
    <s v="https://shop.officineitalianezard.it/en/triumph-bonneville-exhaust/"/>
    <s v="INJECTION"/>
    <x v="118"/>
    <s v="FULL KIT CROSS VERSION"/>
    <s v="ZTPH034SKC-08"/>
    <s v="TRIUMPH BONNEVILLE"/>
    <n v="557.32000000000005"/>
    <n v="557.32000000000005"/>
    <s v="&lt;p&gt;2&amp;gt;1 STEEL FULL KIT AVAILABLE IN RACING VERSION WITH REMOVABLE DB-KILLER&lt;/p&gt;_x000a_&lt;p&gt;ORIGINAL FULL KIT WEIGHT: KG 9.3&lt;br&gt;ZARD FULL KIT WEIGHT: KG 2.2&lt;/p&gt;_x000a_&lt;p&gt;HARD INCREASE IN TERMS OF RESPONSE IN THE RANGE BETWEEN 4000 AND 6500 RPM AND 3 MORE HP COMPARED TO THE ORIGINAL EXHAUST SYSTEM. ASTONISHING SOUND.&lt;/p&gt;"/>
    <s v="https://shop.officineitalianezard.it/contents/imgs/products/1_41-2.jpg"/>
    <m/>
    <m/>
  </r>
  <r>
    <s v="1586059327-10703"/>
    <s v="https://shop.officineitalianezard.it/en/products/"/>
    <m/>
    <s v="https://shop.officineitalianezard.it/en/triumph-zard-exhaust/"/>
    <s v="Bonneville"/>
    <s v="https://shop.officineitalianezard.it/en/triumph-bonneville-exhaust/"/>
    <s v="INJECTION"/>
    <x v="118"/>
    <s v="FULL KIT CROSS VERSION"/>
    <s v="ZTPH034SKC-08"/>
    <s v="TRIUMPH BONNEVILLE"/>
    <n v="557.32000000000005"/>
    <n v="557.32000000000005"/>
    <s v="&lt;p&gt;2&amp;gt;1 STEEL FULL KIT AVAILABLE IN RACING VERSION WITH REMOVABLE DB-KILLER&lt;/p&gt;_x000a_&lt;p&gt;ORIGINAL FULL KIT WEIGHT: KG 9.3&lt;br&gt;ZARD FULL KIT WEIGHT: KG 2.2&lt;/p&gt;_x000a_&lt;p&gt;HARD INCREASE IN TERMS OF RESPONSE IN THE RANGE BETWEEN 4000 AND 6500 RPM AND 3 MORE HP COMPARED TO THE ORIGINAL EXHAUST SYSTEM. ASTONISHING SOUND.&lt;/p&gt;"/>
    <s v="https://shop.officineitalianezard.it/contents/imgs/products/1_945-scarichi%20moto%20zard%20cross.jpg"/>
    <m/>
    <m/>
  </r>
  <r>
    <s v="1586059327-10704"/>
    <s v="https://shop.officineitalianezard.it/en/products/"/>
    <m/>
    <s v="https://shop.officineitalianezard.it/en/triumph-zard-exhaust/"/>
    <s v="Bonneville"/>
    <s v="https://shop.officineitalianezard.it/en/triumph-bonneville-exhaust/"/>
    <s v="INJECTION"/>
    <x v="118"/>
    <s v="FULL KIT CROSS VERSION"/>
    <s v="ZTPH034SKC-08"/>
    <s v="TRIUMPH BONNEVILLE"/>
    <n v="557.32000000000005"/>
    <n v="557.32000000000005"/>
    <s v="&lt;p&gt;2&amp;gt;1 STEEL FULL KIT AVAILABLE IN RACING VERSION WITH REMOVABLE DB-KILLER&lt;/p&gt;_x000a_&lt;p&gt;ORIGINAL FULL KIT WEIGHT: KG 9.3&lt;br&gt;ZARD FULL KIT WEIGHT: KG 2.2&lt;/p&gt;_x000a_&lt;p&gt;HARD INCREASE IN TERMS OF RESPONSE IN THE RANGE BETWEEN 4000 AND 6500 RPM AND 3 MORE HP COMPARED TO THE ORIGINAL EXHAUST SYSTEM. ASTONISHING SOUND.&lt;/p&gt;"/>
    <s v="https://shop.officineitalianezard.it/contents/imgs/products/1_1145-11017541_10153917985646632_8025402486644623573_n.jpg"/>
    <m/>
    <m/>
  </r>
  <r>
    <s v="1586059327-10705"/>
    <s v="https://shop.officineitalianezard.it/en/products/"/>
    <m/>
    <s v="https://shop.officineitalianezard.it/en/triumph-zard-exhaust/"/>
    <s v="Bonneville"/>
    <s v="https://shop.officineitalianezard.it/en/triumph-bonneville-exhaust/"/>
    <s v="INJECTION"/>
    <x v="118"/>
    <s v="FULL KIT CROSS VERSION"/>
    <s v="ZTPH034SKC-08"/>
    <s v="TRIUMPH BONNEVILLE"/>
    <n v="557.32000000000005"/>
    <n v="557.32000000000005"/>
    <s v="&lt;p&gt;2&amp;gt;1 STEEL FULL KIT AVAILABLE IN RACING VERSION WITH REMOVABLE DB-KILLER&lt;/p&gt;_x000a_&lt;p&gt;ORIGINAL FULL KIT WEIGHT: KG 9.3&lt;br&gt;ZARD FULL KIT WEIGHT: KG 2.2&lt;/p&gt;_x000a_&lt;p&gt;HARD INCREASE IN TERMS OF RESPONSE IN THE RANGE BETWEEN 4000 AND 6500 RPM AND 3 MORE HP COMPARED TO THE ORIGINAL EXHAUST SYSTEM. ASTONISHING SOUND.&lt;/p&gt;"/>
    <s v="https://shop.officineitalianezard.it/contents/imgs/products/1_1144-11259175_10153917986126632_709285374156847894_n.jpg"/>
    <m/>
    <m/>
  </r>
  <r>
    <s v="1586059327-10706"/>
    <s v="https://shop.officineitalianezard.it/en/products/"/>
    <m/>
    <s v="https://shop.officineitalianezard.it/en/triumph-zard-exhaust/"/>
    <s v="Bonneville"/>
    <s v="https://shop.officineitalianezard.it/en/triumph-bonneville-exhaust/"/>
    <s v="INJECTION"/>
    <x v="118"/>
    <s v="FULL KIT CROSS VERSION"/>
    <s v="ZTPH034SKC-08"/>
    <s v="TRIUMPH BONNEVILLE"/>
    <n v="557.32000000000005"/>
    <n v="557.32000000000005"/>
    <s v="&lt;p&gt;2&amp;gt;1 STEEL FULL KIT AVAILABLE IN RACING VERSION WITH REMOVABLE DB-KILLER&lt;/p&gt;_x000a_&lt;p&gt;ORIGINAL FULL KIT WEIGHT: KG 9.3&lt;br&gt;ZARD FULL KIT WEIGHT: KG 2.2&lt;/p&gt;_x000a_&lt;p&gt;HARD INCREASE IN TERMS OF RESPONSE IN THE RANGE BETWEEN 4000 AND 6500 RPM AND 3 MORE HP COMPARED TO THE ORIGINAL EXHAUST SYSTEM. ASTONISHING SOUND.&lt;/p&gt;"/>
    <m/>
    <s v="BLACK COATING"/>
    <n v="169.67"/>
  </r>
  <r>
    <s v="1586059327-10707"/>
    <s v="https://shop.officineitalianezard.it/en/products/"/>
    <m/>
    <s v="https://shop.officineitalianezard.it/en/triumph-zard-exhaust/"/>
    <s v="Bonneville"/>
    <s v="https://shop.officineitalianezard.it/en/triumph-bonneville-exhaust/"/>
    <s v="INJECTION"/>
    <x v="118"/>
    <s v="FULL KIT CROSS VERSION"/>
    <s v="ZTPH034SKC-08"/>
    <s v="TRIUMPH BONNEVILLE"/>
    <n v="557.32000000000005"/>
    <n v="557.32000000000005"/>
    <s v="&lt;p&gt;2&amp;gt;1 STEEL FULL KIT AVAILABLE IN RACING VERSION WITH REMOVABLE DB-KILLER&lt;/p&gt;_x000a_&lt;p&gt;ORIGINAL FULL KIT WEIGHT: KG 9.3&lt;br&gt;ZARD FULL KIT WEIGHT: KG 2.2&lt;/p&gt;_x000a_&lt;p&gt;HARD INCREASE IN TERMS OF RESPONSE IN THE RANGE BETWEEN 4000 AND 6500 RPM AND 3 MORE HP COMPARED TO THE ORIGINAL EXHAUST SYSTEM. ASTONISHING SOUND.&lt;/p&gt;"/>
    <m/>
    <s v="POLISHED"/>
    <n v="96.64"/>
  </r>
  <r>
    <s v="1586059329-10708"/>
    <s v="https://shop.officineitalianezard.it/en/products/"/>
    <m/>
    <s v="https://shop.officineitalianezard.it/en/triumph-zard-exhaust/"/>
    <s v="Bonneville"/>
    <s v="https://shop.officineitalianezard.it/en/triumph-bonneville-exhaust/"/>
    <s v="INJECTION"/>
    <x v="119"/>
    <s v="POLISHED SILENCERS FOR BONNEVILLE SE"/>
    <s v="ZTPH041SSR"/>
    <s v="TRIUMPH BONNEVILLE"/>
    <n v="460.33"/>
    <n v="511.48"/>
    <s v="&lt;p&gt;STEEL POLISHED SILENCERS WITH REMOVABLE DB KILLER&lt;/p&gt;_x000a_&lt;p&gt;ORIGINAL SILENCERS WEIGHT: KG 6.8&lt;br&gt;ZARD SILENCERS WEIGHT: KG 3&lt;/p&gt;_x000a_&lt;p&gt;HARD INCREASE IN TERMS OF RESPONSE IN THE RANGE BETWEEN 4000 AND 6500 RPM AND 1,5 MORE HP COMPARED TO THE ORIGINAL EXHAUST SYSTEM. ASTONISHING SOUND.&lt;/p&gt;"/>
    <s v="https://shop.officineitalianezard.it/contents/imgs/products/1_53-1.jpg"/>
    <m/>
    <m/>
  </r>
  <r>
    <s v="1586059329-10709"/>
    <s v="https://shop.officineitalianezard.it/en/products/"/>
    <m/>
    <s v="https://shop.officineitalianezard.it/en/triumph-zard-exhaust/"/>
    <s v="Bonneville"/>
    <s v="https://shop.officineitalianezard.it/en/triumph-bonneville-exhaust/"/>
    <s v="INJECTION"/>
    <x v="119"/>
    <s v="POLISHED SILENCERS FOR BONNEVILLE SE"/>
    <s v="ZTPH041SSR"/>
    <s v="TRIUMPH BONNEVILLE"/>
    <n v="460.33"/>
    <n v="511.48"/>
    <s v="&lt;p&gt;STEEL POLISHED SILENCERS WITH REMOVABLE DB KILLER&lt;/p&gt;_x000a_&lt;p&gt;ORIGINAL SILENCERS WEIGHT: KG 6.8&lt;br&gt;ZARD SILENCERS WEIGHT: KG 3&lt;/p&gt;_x000a_&lt;p&gt;HARD INCREASE IN TERMS OF RESPONSE IN THE RANGE BETWEEN 4000 AND 6500 RPM AND 1,5 MORE HP COMPARED TO THE ORIGINAL EXHAUST SYSTEM. ASTONISHING SOUND.&lt;/p&gt;"/>
    <s v="https://shop.officineitalianezard.it/contents/imgs/products/1_54-3.jpg"/>
    <m/>
    <m/>
  </r>
  <r>
    <s v="1586059329-10710"/>
    <s v="https://shop.officineitalianezard.it/en/products/"/>
    <m/>
    <s v="https://shop.officineitalianezard.it/en/triumph-zard-exhaust/"/>
    <s v="Bonneville"/>
    <s v="https://shop.officineitalianezard.it/en/triumph-bonneville-exhaust/"/>
    <s v="INJECTION"/>
    <x v="119"/>
    <s v="POLISHED SILENCERS FOR BONNEVILLE SE"/>
    <s v="ZTPH041SSR"/>
    <s v="TRIUMPH BONNEVILLE"/>
    <n v="460.33"/>
    <n v="511.48"/>
    <s v="&lt;p&gt;STEEL POLISHED SILENCERS WITH REMOVABLE DB KILLER&lt;/p&gt;_x000a_&lt;p&gt;ORIGINAL SILENCERS WEIGHT: KG 6.8&lt;br&gt;ZARD SILENCERS WEIGHT: KG 3&lt;/p&gt;_x000a_&lt;p&gt;HARD INCREASE IN TERMS OF RESPONSE IN THE RANGE BETWEEN 4000 AND 6500 RPM AND 1,5 MORE HP COMPARED TO THE ORIGINAL EXHAUST SYSTEM. ASTONISHING SOUND.&lt;/p&gt;"/>
    <s v="https://shop.officineitalianezard.it/contents/imgs/products/1_55-2.jpg"/>
    <m/>
    <m/>
  </r>
  <r>
    <s v="1586059329-10711"/>
    <s v="https://shop.officineitalianezard.it/en/products/"/>
    <m/>
    <s v="https://shop.officineitalianezard.it/en/triumph-zard-exhaust/"/>
    <s v="Bonneville"/>
    <s v="https://shop.officineitalianezard.it/en/triumph-bonneville-exhaust/"/>
    <s v="INJECTION"/>
    <x v="119"/>
    <s v="POLISHED SILENCERS FOR BONNEVILLE SE"/>
    <s v="ZTPH041SSR"/>
    <s v="TRIUMPH BONNEVILLE"/>
    <n v="460.33"/>
    <n v="511.48"/>
    <s v="&lt;p&gt;STEEL POLISHED SILENCERS WITH REMOVABLE DB KILLER&lt;/p&gt;_x000a_&lt;p&gt;ORIGINAL SILENCERS WEIGHT: KG 6.8&lt;br&gt;ZARD SILENCERS WEIGHT: KG 3&lt;/p&gt;_x000a_&lt;p&gt;HARD INCREASE IN TERMS OF RESPONSE IN THE RANGE BETWEEN 4000 AND 6500 RPM AND 1,5 MORE HP COMPARED TO THE ORIGINAL EXHAUST SYSTEM. ASTONISHING SOUND.&lt;/p&gt;"/>
    <m/>
    <s v="HOMOL. CATALYSED"/>
    <n v="150.49"/>
  </r>
  <r>
    <s v="1586059329-10712"/>
    <s v="https://shop.officineitalianezard.it/en/products/"/>
    <m/>
    <s v="https://shop.officineitalianezard.it/en/triumph-zard-exhaust/"/>
    <s v="Bonneville"/>
    <s v="https://shop.officineitalianezard.it/en/triumph-bonneville-exhaust/"/>
    <s v="INJECTION"/>
    <x v="119"/>
    <s v="POLISHED SILENCERS FOR BONNEVILLE SE"/>
    <s v="ZTPH041SSR"/>
    <s v="TRIUMPH BONNEVILLE"/>
    <n v="460.33"/>
    <n v="511.48"/>
    <s v="&lt;p&gt;STEEL POLISHED SILENCERS WITH REMOVABLE DB KILLER&lt;/p&gt;_x000a_&lt;p&gt;ORIGINAL SILENCERS WEIGHT: KG 6.8&lt;br&gt;ZARD SILENCERS WEIGHT: KG 3&lt;/p&gt;_x000a_&lt;p&gt;HARD INCREASE IN TERMS OF RESPONSE IN THE RANGE BETWEEN 4000 AND 6500 RPM AND 1,5 MORE HP COMPARED TO THE ORIGINAL EXHAUST SYSTEM. ASTONISHING SOUND.&lt;/p&gt;"/>
    <m/>
    <s v="BLACK COATING"/>
    <n v="151.22999999999999"/>
  </r>
  <r>
    <s v="1586059331-10713"/>
    <s v="https://shop.officineitalianezard.it/en/products/"/>
    <m/>
    <s v="https://shop.officineitalianezard.it/en/triumph-zard-exhaust/"/>
    <s v="Bonneville"/>
    <s v="https://shop.officineitalianezard.it/en/triumph-bonneville-exhaust/"/>
    <s v="STEEL VERSION"/>
    <x v="120"/>
    <s v="2&gt;2 FULL KIT"/>
    <s v="ZTPH076SKR"/>
    <s v="TRIUMPH BONNEVILLE"/>
    <n v="770.16"/>
    <n v="855.74"/>
    <s v="&lt;p&gt;2&amp;gt;2 STEEL RACING FULL KIT WITH REMOVABLE DBKILLERS FOR CARBURETTORS AND INJECTIONS MODELS&lt;/p&gt;_x000a_&lt;p&gt;ORIGINAL SILENCERS WEIGHT: KG 11.8&lt;br&gt;ZARD SILENCERS WEIGHT: KG&amp;nbsp;4.8&lt;/p&gt;_x000a_&lt;p&gt;HARD INCREASE, COMPARED TO THE ORIGINAL EXHAUST SYSTEM, IN TERMS OF TORQUE AND POWER AT ANY RANGE.&lt;/p&gt;_x000a_&lt;p&gt;ASTONISHING SOUND.&lt;/p&gt;_x000a_&lt;p&gt;&lt;strong&gt;NOTICE:&amp;nbsp;TO A PROPER FITMENT OF THE&amp;nbsp;LEFT SILENCER THERE IS A SMALL 'DENT' IN THE BACK SIDE.&lt;/strong&gt;&lt;/p&gt;_x000a_&lt;p&gt;&lt;/p&gt;"/>
    <s v="https://shop.officineitalianezard.it/contents/imgs/products/1_2007-1.jpg"/>
    <m/>
    <m/>
  </r>
  <r>
    <s v="1586059331-10714"/>
    <s v="https://shop.officineitalianezard.it/en/products/"/>
    <m/>
    <s v="https://shop.officineitalianezard.it/en/triumph-zard-exhaust/"/>
    <s v="Bonneville"/>
    <s v="https://shop.officineitalianezard.it/en/triumph-bonneville-exhaust/"/>
    <s v="STEEL VERSION"/>
    <x v="120"/>
    <s v="2&gt;2 FULL KIT"/>
    <s v="ZTPH076SKR"/>
    <s v="TRIUMPH BONNEVILLE"/>
    <n v="770.16"/>
    <n v="855.74"/>
    <s v="&lt;p&gt;2&amp;gt;2 STEEL RACING FULL KIT WITH REMOVABLE DBKILLERS FOR CARBURETTORS AND INJECTIONS MODELS&lt;/p&gt;_x000a_&lt;p&gt;ORIGINAL SILENCERS WEIGHT: KG 11.8&lt;br&gt;ZARD SILENCERS WEIGHT: KG&amp;nbsp;4.8&lt;/p&gt;_x000a_&lt;p&gt;HARD INCREASE, COMPARED TO THE ORIGINAL EXHAUST SYSTEM, IN TERMS OF TORQUE AND POWER AT ANY RANGE.&lt;/p&gt;_x000a_&lt;p&gt;ASTONISHING SOUND.&lt;/p&gt;_x000a_&lt;p&gt;&lt;strong&gt;NOTICE:&amp;nbsp;TO A PROPER FITMENT OF THE&amp;nbsp;LEFT SILENCER THERE IS A SMALL 'DENT' IN THE BACK SIDE.&lt;/strong&gt;&lt;/p&gt;_x000a_&lt;p&gt;&lt;/p&gt;"/>
    <s v="https://shop.officineitalianezard.it/contents/imgs/products/1_2011-2.jpg"/>
    <m/>
    <m/>
  </r>
  <r>
    <s v="1586059331-10715"/>
    <s v="https://shop.officineitalianezard.it/en/products/"/>
    <m/>
    <s v="https://shop.officineitalianezard.it/en/triumph-zard-exhaust/"/>
    <s v="Bonneville"/>
    <s v="https://shop.officineitalianezard.it/en/triumph-bonneville-exhaust/"/>
    <s v="STEEL VERSION"/>
    <x v="120"/>
    <s v="2&gt;2 FULL KIT"/>
    <s v="ZTPH076SKR"/>
    <s v="TRIUMPH BONNEVILLE"/>
    <n v="770.16"/>
    <n v="855.74"/>
    <s v="&lt;p&gt;2&amp;gt;2 STEEL RACING FULL KIT WITH REMOVABLE DBKILLERS FOR CARBURETTORS AND INJECTIONS MODELS&lt;/p&gt;_x000a_&lt;p&gt;ORIGINAL SILENCERS WEIGHT: KG 11.8&lt;br&gt;ZARD SILENCERS WEIGHT: KG&amp;nbsp;4.8&lt;/p&gt;_x000a_&lt;p&gt;HARD INCREASE, COMPARED TO THE ORIGINAL EXHAUST SYSTEM, IN TERMS OF TORQUE AND POWER AT ANY RANGE.&lt;/p&gt;_x000a_&lt;p&gt;ASTONISHING SOUND.&lt;/p&gt;_x000a_&lt;p&gt;&lt;strong&gt;NOTICE:&amp;nbsp;TO A PROPER FITMENT OF THE&amp;nbsp;LEFT SILENCER THERE IS A SMALL 'DENT' IN THE BACK SIDE.&lt;/strong&gt;&lt;/p&gt;_x000a_&lt;p&gt;&lt;/p&gt;"/>
    <s v="https://shop.officineitalianezard.it/contents/imgs/products/1_2010-3.jpg"/>
    <m/>
    <m/>
  </r>
  <r>
    <s v="1586059331-10716"/>
    <s v="https://shop.officineitalianezard.it/en/products/"/>
    <m/>
    <s v="https://shop.officineitalianezard.it/en/triumph-zard-exhaust/"/>
    <s v="Bonneville"/>
    <s v="https://shop.officineitalianezard.it/en/triumph-bonneville-exhaust/"/>
    <s v="STEEL VERSION"/>
    <x v="120"/>
    <s v="2&gt;2 FULL KIT"/>
    <s v="ZTPH076SKR"/>
    <s v="TRIUMPH BONNEVILLE"/>
    <n v="770.16"/>
    <n v="855.74"/>
    <s v="&lt;p&gt;2&amp;gt;2 STEEL RACING FULL KIT WITH REMOVABLE DBKILLERS FOR CARBURETTORS AND INJECTIONS MODELS&lt;/p&gt;_x000a_&lt;p&gt;ORIGINAL SILENCERS WEIGHT: KG 11.8&lt;br&gt;ZARD SILENCERS WEIGHT: KG&amp;nbsp;4.8&lt;/p&gt;_x000a_&lt;p&gt;HARD INCREASE, COMPARED TO THE ORIGINAL EXHAUST SYSTEM, IN TERMS OF TORQUE AND POWER AT ANY RANGE.&lt;/p&gt;_x000a_&lt;p&gt;ASTONISHING SOUND.&lt;/p&gt;_x000a_&lt;p&gt;&lt;strong&gt;NOTICE:&amp;nbsp;TO A PROPER FITMENT OF THE&amp;nbsp;LEFT SILENCER THERE IS A SMALL 'DENT' IN THE BACK SIDE.&lt;/strong&gt;&lt;/p&gt;_x000a_&lt;p&gt;&lt;/p&gt;"/>
    <s v="https://shop.officineitalianezard.it/contents/imgs/products/1_2008-5.jpg"/>
    <m/>
    <m/>
  </r>
  <r>
    <s v="1586059331-10717"/>
    <s v="https://shop.officineitalianezard.it/en/products/"/>
    <m/>
    <s v="https://shop.officineitalianezard.it/en/triumph-zard-exhaust/"/>
    <s v="Bonneville"/>
    <s v="https://shop.officineitalianezard.it/en/triumph-bonneville-exhaust/"/>
    <s v="STEEL VERSION"/>
    <x v="120"/>
    <s v="2&gt;2 FULL KIT"/>
    <s v="ZTPH076SKR"/>
    <s v="TRIUMPH BONNEVILLE"/>
    <n v="770.16"/>
    <n v="855.74"/>
    <s v="&lt;p&gt;2&amp;gt;2 STEEL RACING FULL KIT WITH REMOVABLE DBKILLERS FOR CARBURETTORS AND INJECTIONS MODELS&lt;/p&gt;_x000a_&lt;p&gt;ORIGINAL SILENCERS WEIGHT: KG 11.8&lt;br&gt;ZARD SILENCERS WEIGHT: KG&amp;nbsp;4.8&lt;/p&gt;_x000a_&lt;p&gt;HARD INCREASE, COMPARED TO THE ORIGINAL EXHAUST SYSTEM, IN TERMS OF TORQUE AND POWER AT ANY RANGE.&lt;/p&gt;_x000a_&lt;p&gt;ASTONISHING SOUND.&lt;/p&gt;_x000a_&lt;p&gt;&lt;strong&gt;NOTICE:&amp;nbsp;TO A PROPER FITMENT OF THE&amp;nbsp;LEFT SILENCER THERE IS A SMALL 'DENT' IN THE BACK SIDE.&lt;/strong&gt;&lt;/p&gt;_x000a_&lt;p&gt;&lt;/p&gt;"/>
    <s v="https://shop.officineitalianezard.it/contents/imgs/products/1_2009-4.jpg"/>
    <m/>
    <m/>
  </r>
  <r>
    <s v="1586059331-10718"/>
    <s v="https://shop.officineitalianezard.it/en/products/"/>
    <m/>
    <s v="https://shop.officineitalianezard.it/en/triumph-zard-exhaust/"/>
    <s v="Bonneville"/>
    <s v="https://shop.officineitalianezard.it/en/triumph-bonneville-exhaust/"/>
    <s v="STEEL VERSION"/>
    <x v="120"/>
    <s v="2&gt;2 FULL KIT"/>
    <s v="ZTPH076SKR"/>
    <s v="TRIUMPH BONNEVILLE"/>
    <n v="770.16"/>
    <n v="855.74"/>
    <s v="&lt;p&gt;2&amp;gt;2 STEEL RACING FULL KIT WITH REMOVABLE DBKILLERS FOR CARBURETTORS AND INJECTIONS MODELS&lt;/p&gt;_x000a_&lt;p&gt;ORIGINAL SILENCERS WEIGHT: KG 11.8&lt;br&gt;ZARD SILENCERS WEIGHT: KG&amp;nbsp;4.8&lt;/p&gt;_x000a_&lt;p&gt;HARD INCREASE, COMPARED TO THE ORIGINAL EXHAUST SYSTEM, IN TERMS OF TORQUE AND POWER AT ANY RANGE.&lt;/p&gt;_x000a_&lt;p&gt;ASTONISHING SOUND.&lt;/p&gt;_x000a_&lt;p&gt;&lt;strong&gt;NOTICE:&amp;nbsp;TO A PROPER FITMENT OF THE&amp;nbsp;LEFT SILENCER THERE IS A SMALL 'DENT' IN THE BACK SIDE.&lt;/strong&gt;&lt;/p&gt;_x000a_&lt;p&gt;&lt;/p&gt;"/>
    <s v="https://shop.officineitalianezard.it/contents/imgs/products/1_2012-1773-1650-t120%20neri%20zard.jpg"/>
    <m/>
    <m/>
  </r>
  <r>
    <s v="1586059331-10719"/>
    <s v="https://shop.officineitalianezard.it/en/products/"/>
    <m/>
    <s v="https://shop.officineitalianezard.it/en/triumph-zard-exhaust/"/>
    <s v="Bonneville"/>
    <s v="https://shop.officineitalianezard.it/en/triumph-bonneville-exhaust/"/>
    <s v="STEEL VERSION"/>
    <x v="120"/>
    <s v="2&gt;2 FULL KIT"/>
    <s v="ZTPH076SKR"/>
    <s v="TRIUMPH BONNEVILLE"/>
    <n v="770.16"/>
    <n v="855.74"/>
    <s v="&lt;p&gt;2&amp;gt;2 STEEL RACING FULL KIT WITH REMOVABLE DBKILLERS FOR CARBURETTORS AND INJECTIONS MODELS&lt;/p&gt;_x000a_&lt;p&gt;ORIGINAL SILENCERS WEIGHT: KG 11.8&lt;br&gt;ZARD SILENCERS WEIGHT: KG&amp;nbsp;4.8&lt;/p&gt;_x000a_&lt;p&gt;HARD INCREASE, COMPARED TO THE ORIGINAL EXHAUST SYSTEM, IN TERMS OF TORQUE AND POWER AT ANY RANGE.&lt;/p&gt;_x000a_&lt;p&gt;ASTONISHING SOUND.&lt;/p&gt;_x000a_&lt;p&gt;&lt;strong&gt;NOTICE:&amp;nbsp;TO A PROPER FITMENT OF THE&amp;nbsp;LEFT SILENCER THERE IS A SMALL 'DENT' IN THE BACK SIDE.&lt;/strong&gt;&lt;/p&gt;_x000a_&lt;p&gt;&lt;/p&gt;"/>
    <s v="https://shop.officineitalianezard.it/contents/imgs/products/1_2013-1775-1740-scarico%20bonneville%20t120%20scarico%20triumph%20street%20twin.jpg"/>
    <m/>
    <m/>
  </r>
  <r>
    <s v="1586059331-10720"/>
    <s v="https://shop.officineitalianezard.it/en/products/"/>
    <m/>
    <s v="https://shop.officineitalianezard.it/en/triumph-zard-exhaust/"/>
    <s v="Bonneville"/>
    <s v="https://shop.officineitalianezard.it/en/triumph-bonneville-exhaust/"/>
    <s v="STEEL VERSION"/>
    <x v="120"/>
    <s v="2&gt;2 FULL KIT"/>
    <s v="ZTPH076SKR"/>
    <s v="TRIUMPH BONNEVILLE"/>
    <n v="770.16"/>
    <n v="855.74"/>
    <s v="&lt;p&gt;2&amp;gt;2 STEEL RACING FULL KIT WITH REMOVABLE DBKILLERS FOR CARBURETTORS AND INJECTIONS MODELS&lt;/p&gt;_x000a_&lt;p&gt;ORIGINAL SILENCERS WEIGHT: KG 11.8&lt;br&gt;ZARD SILENCERS WEIGHT: KG&amp;nbsp;4.8&lt;/p&gt;_x000a_&lt;p&gt;HARD INCREASE, COMPARED TO THE ORIGINAL EXHAUST SYSTEM, IN TERMS OF TORQUE AND POWER AT ANY RANGE.&lt;/p&gt;_x000a_&lt;p&gt;ASTONISHING SOUND.&lt;/p&gt;_x000a_&lt;p&gt;&lt;strong&gt;NOTICE:&amp;nbsp;TO A PROPER FITMENT OF THE&amp;nbsp;LEFT SILENCER THERE IS A SMALL 'DENT' IN THE BACK SIDE.&lt;/strong&gt;&lt;/p&gt;_x000a_&lt;p&gt;&lt;/p&gt;"/>
    <m/>
    <s v="BLACK COATING"/>
    <n v="192.54"/>
  </r>
  <r>
    <s v="1586059331-10721"/>
    <s v="https://shop.officineitalianezard.it/en/products/"/>
    <m/>
    <s v="https://shop.officineitalianezard.it/en/triumph-zard-exhaust/"/>
    <s v="Bonneville"/>
    <s v="https://shop.officineitalianezard.it/en/triumph-bonneville-exhaust/"/>
    <s v="STEEL VERSION"/>
    <x v="120"/>
    <s v="2&gt;2 FULL KIT"/>
    <s v="ZTPH076SKR"/>
    <s v="TRIUMPH BONNEVILLE"/>
    <n v="770.16"/>
    <n v="855.74"/>
    <s v="&lt;p&gt;2&amp;gt;2 STEEL RACING FULL KIT WITH REMOVABLE DBKILLERS FOR CARBURETTORS AND INJECTIONS MODELS&lt;/p&gt;_x000a_&lt;p&gt;ORIGINAL SILENCERS WEIGHT: KG 11.8&lt;br&gt;ZARD SILENCERS WEIGHT: KG&amp;nbsp;4.8&lt;/p&gt;_x000a_&lt;p&gt;HARD INCREASE, COMPARED TO THE ORIGINAL EXHAUST SYSTEM, IN TERMS OF TORQUE AND POWER AT ANY RANGE.&lt;/p&gt;_x000a_&lt;p&gt;ASTONISHING SOUND.&lt;/p&gt;_x000a_&lt;p&gt;&lt;strong&gt;NOTICE:&amp;nbsp;TO A PROPER FITMENT OF THE&amp;nbsp;LEFT SILENCER THERE IS A SMALL 'DENT' IN THE BACK SIDE.&lt;/strong&gt;&lt;/p&gt;_x000a_&lt;p&gt;&lt;/p&gt;"/>
    <m/>
    <s v="MIRROR POLISHED"/>
    <n v="65.66"/>
  </r>
  <r>
    <s v="1586059336-10722"/>
    <s v="https://shop.officineitalianezard.it/en/products/"/>
    <m/>
    <s v="https://shop.officineitalianezard.it/en/triumph-zard-exhaust/"/>
    <s v="BOBBER 2017/19"/>
    <s v="https://shop.officineitalianezard.it/en/triumph-bobber-exhaust/"/>
    <s v="STEEL VERSION"/>
    <x v="121"/>
    <s v="HEADERS KIT"/>
    <s v="ZTPH069SCR"/>
    <s v="TRIUMPH BOBBER 2017/19"/>
    <n v="270"/>
    <n v="300"/>
    <s v="&lt;p&gt;&lt;span&gt;2&amp;gt;2 STEEL RACING HEADERS KIT&lt;/span&gt;&lt;/p&gt;_x000a_&lt;p&gt;HARD INCREASE, COMPARED TO THE ORIGINAL EXHAUST SYSTEM, IN TERMS OF TORQUE AND POWER AT ANY RANGE&lt;/p&gt;_x000a_&lt;p&gt;ASTONISHING SOUND&lt;/p&gt;_x000a_&lt;p&gt;&lt;strong&gt;NOTICE&lt;/strong&gt;: ZARD HEADERS KIT FOR TRIUMPH BOBBER FITS WITH ZARD SILENCERS ONLY&lt;/p&gt;_x000a_&lt;p&gt;&lt;/p&gt;"/>
    <s v="https://shop.officineitalianezard.it/contents/imgs/products/1_2263-collettori%20zard%20bobber.jpg"/>
    <m/>
    <m/>
  </r>
  <r>
    <s v="1586059336-10723"/>
    <s v="https://shop.officineitalianezard.it/en/products/"/>
    <m/>
    <s v="https://shop.officineitalianezard.it/en/triumph-zard-exhaust/"/>
    <s v="BOBBER 2017/19"/>
    <s v="https://shop.officineitalianezard.it/en/triumph-bobber-exhaust/"/>
    <s v="STEEL VERSION"/>
    <x v="121"/>
    <s v="HEADERS KIT"/>
    <s v="ZTPH069SCR"/>
    <s v="TRIUMPH BOBBER 2017/19"/>
    <n v="270"/>
    <n v="300"/>
    <s v="&lt;p&gt;&lt;span&gt;2&amp;gt;2 STEEL RACING HEADERS KIT&lt;/span&gt;&lt;/p&gt;_x000a_&lt;p&gt;HARD INCREASE, COMPARED TO THE ORIGINAL EXHAUST SYSTEM, IN TERMS OF TORQUE AND POWER AT ANY RANGE&lt;/p&gt;_x000a_&lt;p&gt;ASTONISHING SOUND&lt;/p&gt;_x000a_&lt;p&gt;&lt;strong&gt;NOTICE&lt;/strong&gt;: ZARD HEADERS KIT FOR TRIUMPH BOBBER FITS WITH ZARD SILENCERS ONLY&lt;/p&gt;_x000a_&lt;p&gt;&lt;/p&gt;"/>
    <s v="https://shop.officineitalianezard.it/contents/imgs/products/1_2264-collettori%20triumph%20bobber%20-%20zard.jpg"/>
    <m/>
    <m/>
  </r>
  <r>
    <s v="1586059336-10724"/>
    <s v="https://shop.officineitalianezard.it/en/products/"/>
    <m/>
    <s v="https://shop.officineitalianezard.it/en/triumph-zard-exhaust/"/>
    <s v="BOBBER 2017/19"/>
    <s v="https://shop.officineitalianezard.it/en/triumph-bobber-exhaust/"/>
    <s v="STEEL VERSION"/>
    <x v="121"/>
    <s v="HEADERS KIT"/>
    <s v="ZTPH069SCR"/>
    <s v="TRIUMPH BOBBER 2017/19"/>
    <n v="270"/>
    <n v="300"/>
    <s v="&lt;p&gt;&lt;span&gt;2&amp;gt;2 STEEL RACING HEADERS KIT&lt;/span&gt;&lt;/p&gt;_x000a_&lt;p&gt;HARD INCREASE, COMPARED TO THE ORIGINAL EXHAUST SYSTEM, IN TERMS OF TORQUE AND POWER AT ANY RANGE&lt;/p&gt;_x000a_&lt;p&gt;ASTONISHING SOUND&lt;/p&gt;_x000a_&lt;p&gt;&lt;strong&gt;NOTICE&lt;/strong&gt;: ZARD HEADERS KIT FOR TRIUMPH BOBBER FITS WITH ZARD SILENCERS ONLY&lt;/p&gt;_x000a_&lt;p&gt;&lt;/p&gt;"/>
    <m/>
    <s v="BLACK COATING"/>
    <n v="77.459999999999994"/>
  </r>
  <r>
    <s v="1586059339-10725"/>
    <s v="https://shop.officineitalianezard.it/en/products/"/>
    <m/>
    <s v="https://shop.officineitalianezard.it/en/triumph-zard-exhaust/"/>
    <s v="BOBBER 2017/19"/>
    <s v="https://shop.officineitalianezard.it/en/triumph-bobber-exhaust/"/>
    <s v="STEEL VERSION"/>
    <x v="122"/>
    <s v="N. 2 SILENCERS"/>
    <s v="ZTPH069SSR"/>
    <s v="TRIUMPH BOBBER 2017/19"/>
    <n v="663.2"/>
    <n v="736.89"/>
    <s v="&lt;p&gt;N. 2 STEEL RACING SILENCERS WITH REMOVABLE DB KILLERS&lt;/p&gt;_x000a_&lt;p&gt;&lt;span&gt;THE EXHAUST KEEPS OEM CATALYZER&lt;/span&gt;&lt;/p&gt;_x000a_&lt;p&gt;ORIGINAL SILENCERS WEIGHT: KG&amp;nbsp;5.7&lt;br&gt;ZARD SILENCERS WEIGHT: KG&amp;nbsp;2.8&lt;/p&gt;_x000a_&lt;p&gt;HARD INCREASE, COMPARED TO THE ORIGINAL EXHAUST SYSTEM, IN TERMS OF TORQUE AND POWER AT ANY RANGE.&lt;/p&gt;_x000a_&lt;p&gt;ASTONISHING SOUND.&lt;/p&gt;_x000a_&lt;p&gt;HOMOLOGATED VERSION SOON AVAILABLE.&lt;/p&gt;_x000a_&lt;p&gt;&lt;strong&gt;&amp;nbsp;&lt;/strong&gt;&lt;/p&gt;"/>
    <s v="https://shop.officineitalianezard.it/contents/imgs/products/1_1830-1%20scarico%20triumph%20bobber%20-%20zard.jpg"/>
    <m/>
    <m/>
  </r>
  <r>
    <s v="1586059339-10726"/>
    <s v="https://shop.officineitalianezard.it/en/products/"/>
    <m/>
    <s v="https://shop.officineitalianezard.it/en/triumph-zard-exhaust/"/>
    <s v="BOBBER 2017/19"/>
    <s v="https://shop.officineitalianezard.it/en/triumph-bobber-exhaust/"/>
    <s v="STEEL VERSION"/>
    <x v="122"/>
    <s v="N. 2 SILENCERS"/>
    <s v="ZTPH069SSR"/>
    <s v="TRIUMPH BOBBER 2017/19"/>
    <n v="663.2"/>
    <n v="736.89"/>
    <s v="&lt;p&gt;N. 2 STEEL RACING SILENCERS WITH REMOVABLE DB KILLERS&lt;/p&gt;_x000a_&lt;p&gt;&lt;span&gt;THE EXHAUST KEEPS OEM CATALYZER&lt;/span&gt;&lt;/p&gt;_x000a_&lt;p&gt;ORIGINAL SILENCERS WEIGHT: KG&amp;nbsp;5.7&lt;br&gt;ZARD SILENCERS WEIGHT: KG&amp;nbsp;2.8&lt;/p&gt;_x000a_&lt;p&gt;HARD INCREASE, COMPARED TO THE ORIGINAL EXHAUST SYSTEM, IN TERMS OF TORQUE AND POWER AT ANY RANGE.&lt;/p&gt;_x000a_&lt;p&gt;ASTONISHING SOUND.&lt;/p&gt;_x000a_&lt;p&gt;HOMOLOGATED VERSION SOON AVAILABLE.&lt;/p&gt;_x000a_&lt;p&gt;&lt;strong&gt;&amp;nbsp;&lt;/strong&gt;&lt;/p&gt;"/>
    <s v="https://shop.officineitalianezard.it/contents/imgs/products/1_1834-2%20triumph%20bobber%20exhaust%20-%20zard.jpg"/>
    <m/>
    <m/>
  </r>
  <r>
    <s v="1586059339-10727"/>
    <s v="https://shop.officineitalianezard.it/en/products/"/>
    <m/>
    <s v="https://shop.officineitalianezard.it/en/triumph-zard-exhaust/"/>
    <s v="BOBBER 2017/19"/>
    <s v="https://shop.officineitalianezard.it/en/triumph-bobber-exhaust/"/>
    <s v="STEEL VERSION"/>
    <x v="122"/>
    <s v="N. 2 SILENCERS"/>
    <s v="ZTPH069SSR"/>
    <s v="TRIUMPH BOBBER 2017/19"/>
    <n v="663.2"/>
    <n v="736.89"/>
    <s v="&lt;p&gt;N. 2 STEEL RACING SILENCERS WITH REMOVABLE DB KILLERS&lt;/p&gt;_x000a_&lt;p&gt;&lt;span&gt;THE EXHAUST KEEPS OEM CATALYZER&lt;/span&gt;&lt;/p&gt;_x000a_&lt;p&gt;ORIGINAL SILENCERS WEIGHT: KG&amp;nbsp;5.7&lt;br&gt;ZARD SILENCERS WEIGHT: KG&amp;nbsp;2.8&lt;/p&gt;_x000a_&lt;p&gt;HARD INCREASE, COMPARED TO THE ORIGINAL EXHAUST SYSTEM, IN TERMS OF TORQUE AND POWER AT ANY RANGE.&lt;/p&gt;_x000a_&lt;p&gt;ASTONISHING SOUND.&lt;/p&gt;_x000a_&lt;p&gt;HOMOLOGATED VERSION SOON AVAILABLE.&lt;/p&gt;_x000a_&lt;p&gt;&lt;strong&gt;&amp;nbsp;&lt;/strong&gt;&lt;/p&gt;"/>
    <s v="https://shop.officineitalianezard.it/contents/imgs/products/1_1833-3%20scarichi%20triumph%20bobber%20-%20zard.jpg"/>
    <m/>
    <m/>
  </r>
  <r>
    <s v="1586059339-10728"/>
    <s v="https://shop.officineitalianezard.it/en/products/"/>
    <m/>
    <s v="https://shop.officineitalianezard.it/en/triumph-zard-exhaust/"/>
    <s v="BOBBER 2017/19"/>
    <s v="https://shop.officineitalianezard.it/en/triumph-bobber-exhaust/"/>
    <s v="STEEL VERSION"/>
    <x v="122"/>
    <s v="N. 2 SILENCERS"/>
    <s v="ZTPH069SSR"/>
    <s v="TRIUMPH BOBBER 2017/19"/>
    <n v="663.2"/>
    <n v="736.89"/>
    <s v="&lt;p&gt;N. 2 STEEL RACING SILENCERS WITH REMOVABLE DB KILLERS&lt;/p&gt;_x000a_&lt;p&gt;&lt;span&gt;THE EXHAUST KEEPS OEM CATALYZER&lt;/span&gt;&lt;/p&gt;_x000a_&lt;p&gt;ORIGINAL SILENCERS WEIGHT: KG&amp;nbsp;5.7&lt;br&gt;ZARD SILENCERS WEIGHT: KG&amp;nbsp;2.8&lt;/p&gt;_x000a_&lt;p&gt;HARD INCREASE, COMPARED TO THE ORIGINAL EXHAUST SYSTEM, IN TERMS OF TORQUE AND POWER AT ANY RANGE.&lt;/p&gt;_x000a_&lt;p&gt;ASTONISHING SOUND.&lt;/p&gt;_x000a_&lt;p&gt;HOMOLOGATED VERSION SOON AVAILABLE.&lt;/p&gt;_x000a_&lt;p&gt;&lt;strong&gt;&amp;nbsp;&lt;/strong&gt;&lt;/p&gt;"/>
    <s v="https://shop.officineitalianezard.it/contents/imgs/products/1_1832-4%20triumph%20bobber%20-%20zard.jpg"/>
    <m/>
    <m/>
  </r>
  <r>
    <s v="1586059339-10729"/>
    <s v="https://shop.officineitalianezard.it/en/products/"/>
    <m/>
    <s v="https://shop.officineitalianezard.it/en/triumph-zard-exhaust/"/>
    <s v="BOBBER 2017/19"/>
    <s v="https://shop.officineitalianezard.it/en/triumph-bobber-exhaust/"/>
    <s v="STEEL VERSION"/>
    <x v="122"/>
    <s v="N. 2 SILENCERS"/>
    <s v="ZTPH069SSR"/>
    <s v="TRIUMPH BOBBER 2017/19"/>
    <n v="663.2"/>
    <n v="736.89"/>
    <s v="&lt;p&gt;N. 2 STEEL RACING SILENCERS WITH REMOVABLE DB KILLERS&lt;/p&gt;_x000a_&lt;p&gt;&lt;span&gt;THE EXHAUST KEEPS OEM CATALYZER&lt;/span&gt;&lt;/p&gt;_x000a_&lt;p&gt;ORIGINAL SILENCERS WEIGHT: KG&amp;nbsp;5.7&lt;br&gt;ZARD SILENCERS WEIGHT: KG&amp;nbsp;2.8&lt;/p&gt;_x000a_&lt;p&gt;HARD INCREASE, COMPARED TO THE ORIGINAL EXHAUST SYSTEM, IN TERMS OF TORQUE AND POWER AT ANY RANGE.&lt;/p&gt;_x000a_&lt;p&gt;ASTONISHING SOUND.&lt;/p&gt;_x000a_&lt;p&gt;HOMOLOGATED VERSION SOON AVAILABLE.&lt;/p&gt;_x000a_&lt;p&gt;&lt;strong&gt;&amp;nbsp;&lt;/strong&gt;&lt;/p&gt;"/>
    <s v="https://shop.officineitalianezard.it/contents/imgs/products/1_1831-5%20triumph%20bobber%20exhaust%20-%20scarichi%20triumph.jpg"/>
    <m/>
    <m/>
  </r>
  <r>
    <s v="1586059339-10730"/>
    <s v="https://shop.officineitalianezard.it/en/products/"/>
    <m/>
    <s v="https://shop.officineitalianezard.it/en/triumph-zard-exhaust/"/>
    <s v="BOBBER 2017/19"/>
    <s v="https://shop.officineitalianezard.it/en/triumph-bobber-exhaust/"/>
    <s v="STEEL VERSION"/>
    <x v="122"/>
    <s v="N. 2 SILENCERS"/>
    <s v="ZTPH069SSR"/>
    <s v="TRIUMPH BOBBER 2017/19"/>
    <n v="663.2"/>
    <n v="736.89"/>
    <s v="&lt;p&gt;N. 2 STEEL RACING SILENCERS WITH REMOVABLE DB KILLERS&lt;/p&gt;_x000a_&lt;p&gt;&lt;span&gt;THE EXHAUST KEEPS OEM CATALYZER&lt;/span&gt;&lt;/p&gt;_x000a_&lt;p&gt;ORIGINAL SILENCERS WEIGHT: KG&amp;nbsp;5.7&lt;br&gt;ZARD SILENCERS WEIGHT: KG&amp;nbsp;2.8&lt;/p&gt;_x000a_&lt;p&gt;HARD INCREASE, COMPARED TO THE ORIGINAL EXHAUST SYSTEM, IN TERMS OF TORQUE AND POWER AT ANY RANGE.&lt;/p&gt;_x000a_&lt;p&gt;ASTONISHING SOUND.&lt;/p&gt;_x000a_&lt;p&gt;HOMOLOGATED VERSION SOON AVAILABLE.&lt;/p&gt;_x000a_&lt;p&gt;&lt;strong&gt;&amp;nbsp;&lt;/strong&gt;&lt;/p&gt;"/>
    <s v="https://shop.officineitalianezard.it/contents/imgs/products/1_1835-TRIUMPH%20BOBBER.jpg"/>
    <m/>
    <m/>
  </r>
  <r>
    <s v="1586059339-10731"/>
    <s v="https://shop.officineitalianezard.it/en/products/"/>
    <m/>
    <s v="https://shop.officineitalianezard.it/en/triumph-zard-exhaust/"/>
    <s v="BOBBER 2017/19"/>
    <s v="https://shop.officineitalianezard.it/en/triumph-bobber-exhaust/"/>
    <s v="STEEL VERSION"/>
    <x v="122"/>
    <s v="N. 2 SILENCERS"/>
    <s v="ZTPH069SSR"/>
    <s v="TRIUMPH BOBBER 2017/19"/>
    <n v="663.2"/>
    <n v="736.89"/>
    <s v="&lt;p&gt;N. 2 STEEL RACING SILENCERS WITH REMOVABLE DB KILLERS&lt;/p&gt;_x000a_&lt;p&gt;&lt;span&gt;THE EXHAUST KEEPS OEM CATALYZER&lt;/span&gt;&lt;/p&gt;_x000a_&lt;p&gt;ORIGINAL SILENCERS WEIGHT: KG&amp;nbsp;5.7&lt;br&gt;ZARD SILENCERS WEIGHT: KG&amp;nbsp;2.8&lt;/p&gt;_x000a_&lt;p&gt;HARD INCREASE, COMPARED TO THE ORIGINAL EXHAUST SYSTEM, IN TERMS OF TORQUE AND POWER AT ANY RANGE.&lt;/p&gt;_x000a_&lt;p&gt;ASTONISHING SOUND.&lt;/p&gt;_x000a_&lt;p&gt;HOMOLOGATED VERSION SOON AVAILABLE.&lt;/p&gt;_x000a_&lt;p&gt;&lt;strong&gt;&amp;nbsp;&lt;/strong&gt;&lt;/p&gt;"/>
    <m/>
    <s v="EURO 4 HOMOLOGATED"/>
    <n v="38.36"/>
  </r>
  <r>
    <s v="1586059339-10732"/>
    <s v="https://shop.officineitalianezard.it/en/products/"/>
    <m/>
    <s v="https://shop.officineitalianezard.it/en/triumph-zard-exhaust/"/>
    <s v="BOBBER 2017/19"/>
    <s v="https://shop.officineitalianezard.it/en/triumph-bobber-exhaust/"/>
    <s v="STEEL VERSION"/>
    <x v="122"/>
    <s v="N. 2 SILENCERS"/>
    <s v="ZTPH069SSR"/>
    <s v="TRIUMPH BOBBER 2017/19"/>
    <n v="663.2"/>
    <n v="736.89"/>
    <s v="&lt;p&gt;N. 2 STEEL RACING SILENCERS WITH REMOVABLE DB KILLERS&lt;/p&gt;_x000a_&lt;p&gt;&lt;span&gt;THE EXHAUST KEEPS OEM CATALYZER&lt;/span&gt;&lt;/p&gt;_x000a_&lt;p&gt;ORIGINAL SILENCERS WEIGHT: KG&amp;nbsp;5.7&lt;br&gt;ZARD SILENCERS WEIGHT: KG&amp;nbsp;2.8&lt;/p&gt;_x000a_&lt;p&gt;HARD INCREASE, COMPARED TO THE ORIGINAL EXHAUST SYSTEM, IN TERMS OF TORQUE AND POWER AT ANY RANGE.&lt;/p&gt;_x000a_&lt;p&gt;ASTONISHING SOUND.&lt;/p&gt;_x000a_&lt;p&gt;HOMOLOGATED VERSION SOON AVAILABLE.&lt;/p&gt;_x000a_&lt;p&gt;&lt;strong&gt;&amp;nbsp;&lt;/strong&gt;&lt;/p&gt;"/>
    <m/>
    <s v="BLACK COATING"/>
    <n v="192.54"/>
  </r>
  <r>
    <s v="1586059348-10733"/>
    <s v="https://shop.officineitalianezard.it/en/products/"/>
    <m/>
    <s v="https://shop.officineitalianezard.it/en/quadro-zard-exhaust/"/>
    <s v="QUADRO 4"/>
    <s v="https://shop.officineitalianezard.it/en/quadro-quadro-4-exhaust/"/>
    <s v="STEEL VERSION"/>
    <x v="123"/>
    <s v="SILENCER"/>
    <s v="ZQ100SSR"/>
    <s v="QUADRO 3-4"/>
    <n v="469.92"/>
    <n v="522.13"/>
    <s v="&lt;p&gt;STEEL SILENCER RACING WITH REMOVABLE DB KILLER&lt;/p&gt;"/>
    <s v="https://shop.officineitalianezard.it/contents/imgs/products/1_1256-12244232_901849399897786_7898076898959205240_o.jpg"/>
    <m/>
    <m/>
  </r>
  <r>
    <s v="1586059348-10734"/>
    <s v="https://shop.officineitalianezard.it/en/products/"/>
    <m/>
    <s v="https://shop.officineitalianezard.it/en/quadro-zard-exhaust/"/>
    <s v="QUADRO 4"/>
    <s v="https://shop.officineitalianezard.it/en/quadro-quadro-4-exhaust/"/>
    <s v="STEEL VERSION"/>
    <x v="123"/>
    <s v="SILENCER"/>
    <s v="ZQ100SSR"/>
    <s v="QUADRO 3-4"/>
    <n v="469.92"/>
    <n v="522.13"/>
    <s v="&lt;p&gt;STEEL SILENCER RACING WITH REMOVABLE DB KILLER&lt;/p&gt;"/>
    <s v="https://shop.officineitalianezard.it/contents/imgs/products/1_1258-12291666_901849426564450_5068136124102986536_o.jpg"/>
    <m/>
    <m/>
  </r>
  <r>
    <s v="1586059348-10735"/>
    <s v="https://shop.officineitalianezard.it/en/products/"/>
    <m/>
    <s v="https://shop.officineitalianezard.it/en/quadro-zard-exhaust/"/>
    <s v="QUADRO 4"/>
    <s v="https://shop.officineitalianezard.it/en/quadro-quadro-4-exhaust/"/>
    <s v="STEEL VERSION"/>
    <x v="123"/>
    <s v="SILENCER"/>
    <s v="ZQ100SSR"/>
    <s v="QUADRO 3-4"/>
    <n v="469.92"/>
    <n v="522.13"/>
    <s v="&lt;p&gt;STEEL SILENCER RACING WITH REMOVABLE DB KILLER&lt;/p&gt;"/>
    <s v="https://shop.officineitalianezard.it/contents/imgs/products/1_1257-12291120_901849349897791_7826490639037684674_o.jpg"/>
    <m/>
    <m/>
  </r>
  <r>
    <s v="1586059348-10736"/>
    <s v="https://shop.officineitalianezard.it/en/products/"/>
    <m/>
    <s v="https://shop.officineitalianezard.it/en/quadro-zard-exhaust/"/>
    <s v="QUADRO 4"/>
    <s v="https://shop.officineitalianezard.it/en/quadro-quadro-4-exhaust/"/>
    <s v="STEEL VERSION"/>
    <x v="123"/>
    <s v="SILENCER"/>
    <s v="ZQ100SSR"/>
    <s v="QUADRO 3-4"/>
    <n v="469.92"/>
    <n v="522.13"/>
    <s v="&lt;p&gt;STEEL SILENCER RACING WITH REMOVABLE DB KILLER&lt;/p&gt;"/>
    <s v="https://shop.officineitalianezard.it/contents/imgs/products/1_1259-12244654_901849536564439_7691203218270463075_o.jpg"/>
    <m/>
    <m/>
  </r>
  <r>
    <s v="1586059348-10737"/>
    <s v="https://shop.officineitalianezard.it/en/products/"/>
    <m/>
    <s v="https://shop.officineitalianezard.it/en/quadro-zard-exhaust/"/>
    <s v="QUADRO 4"/>
    <s v="https://shop.officineitalianezard.it/en/quadro-quadro-4-exhaust/"/>
    <s v="STEEL VERSION"/>
    <x v="123"/>
    <s v="SILENCER"/>
    <s v="ZQ100SSR"/>
    <s v="QUADRO 3-4"/>
    <n v="469.92"/>
    <n v="522.13"/>
    <s v="&lt;p&gt;STEEL SILENCER RACING WITH REMOVABLE DB KILLER&lt;/p&gt;"/>
    <m/>
    <s v="BLACK CERAMIC COATING"/>
    <n v="77.459999999999994"/>
  </r>
  <r>
    <s v="1586059355-10738"/>
    <s v="https://shop.officineitalianezard.it/en/products/"/>
    <m/>
    <s v="https://shop.officineitalianezard.it/en/piaggio-zard-exhaust/"/>
    <s v="VESPA GTS 300 2014/19"/>
    <s v="https://shop.officineitalianezard.it/en/piaggio-vespa-gts-gtv-250-300-exhaust/"/>
    <s v="STEEL VERSION"/>
    <x v="124"/>
    <s v="SILENCER"/>
    <s v="ZP001SSR"/>
    <s v="PIAGGIO VESPA GTS 300 2014/19"/>
    <n v="535.57000000000005"/>
    <n v="595.08000000000004"/>
    <s v="&lt;p&gt;STEEL RACING SILENCER + MIDDLE HEADER PIPE&lt;/p&gt;_x000a_&lt;p&gt;ORIGINAL EXHAUST WEIGHT:&amp;nbsp;&lt;span&gt;6.4 KG&lt;br&gt;&lt;/span&gt;ZARD EXHAUST WEIGHT: 3.3 KG&lt;/p&gt;_x000a_&lt;p&gt;BLACK EXHAUST WITH POLISHED ENDCAP, BLACK ENDCAP AVAILABLE AS OPTIONAL&lt;/p&gt;_x000a_&lt;p&gt;ASTONISHING SOUND&lt;/p&gt;"/>
    <s v="https://shop.officineitalianezard.it/contents/imgs/products/1_1238-1.jpg"/>
    <m/>
    <m/>
  </r>
  <r>
    <s v="1586059355-10739"/>
    <s v="https://shop.officineitalianezard.it/en/products/"/>
    <m/>
    <s v="https://shop.officineitalianezard.it/en/piaggio-zard-exhaust/"/>
    <s v="VESPA GTS 300 2014/19"/>
    <s v="https://shop.officineitalianezard.it/en/piaggio-vespa-gts-gtv-250-300-exhaust/"/>
    <s v="STEEL VERSION"/>
    <x v="124"/>
    <s v="SILENCER"/>
    <s v="ZP001SSR"/>
    <s v="PIAGGIO VESPA GTS 300 2014/19"/>
    <n v="535.57000000000005"/>
    <n v="595.08000000000004"/>
    <s v="&lt;p&gt;STEEL RACING SILENCER + MIDDLE HEADER PIPE&lt;/p&gt;_x000a_&lt;p&gt;ORIGINAL EXHAUST WEIGHT:&amp;nbsp;&lt;span&gt;6.4 KG&lt;br&gt;&lt;/span&gt;ZARD EXHAUST WEIGHT: 3.3 KG&lt;/p&gt;_x000a_&lt;p&gt;BLACK EXHAUST WITH POLISHED ENDCAP, BLACK ENDCAP AVAILABLE AS OPTIONAL&lt;/p&gt;_x000a_&lt;p&gt;ASTONISHING SOUND&lt;/p&gt;"/>
    <s v="https://shop.officineitalianezard.it/contents/imgs/products/1_1239-2.jpg"/>
    <m/>
    <m/>
  </r>
  <r>
    <s v="1586059355-10740"/>
    <s v="https://shop.officineitalianezard.it/en/products/"/>
    <m/>
    <s v="https://shop.officineitalianezard.it/en/piaggio-zard-exhaust/"/>
    <s v="VESPA GTS 300 2014/19"/>
    <s v="https://shop.officineitalianezard.it/en/piaggio-vespa-gts-gtv-250-300-exhaust/"/>
    <s v="STEEL VERSION"/>
    <x v="124"/>
    <s v="SILENCER"/>
    <s v="ZP001SSR"/>
    <s v="PIAGGIO VESPA GTS 300 2014/19"/>
    <n v="535.57000000000005"/>
    <n v="595.08000000000004"/>
    <s v="&lt;p&gt;STEEL RACING SILENCER + MIDDLE HEADER PIPE&lt;/p&gt;_x000a_&lt;p&gt;ORIGINAL EXHAUST WEIGHT:&amp;nbsp;&lt;span&gt;6.4 KG&lt;br&gt;&lt;/span&gt;ZARD EXHAUST WEIGHT: 3.3 KG&lt;/p&gt;_x000a_&lt;p&gt;BLACK EXHAUST WITH POLISHED ENDCAP, BLACK ENDCAP AVAILABLE AS OPTIONAL&lt;/p&gt;_x000a_&lt;p&gt;ASTONISHING SOUND&lt;/p&gt;"/>
    <s v="https://shop.officineitalianezard.it/contents/imgs/products/1_2180-scarico%20vespa%20gts.jpg"/>
    <m/>
    <m/>
  </r>
  <r>
    <s v="1586059355-10741"/>
    <s v="https://shop.officineitalianezard.it/en/products/"/>
    <m/>
    <s v="https://shop.officineitalianezard.it/en/piaggio-zard-exhaust/"/>
    <s v="VESPA GTS 300 2014/19"/>
    <s v="https://shop.officineitalianezard.it/en/piaggio-vespa-gts-gtv-250-300-exhaust/"/>
    <s v="STEEL VERSION"/>
    <x v="124"/>
    <s v="SILENCER"/>
    <s v="ZP001SSR"/>
    <s v="PIAGGIO VESPA GTS 300 2014/19"/>
    <n v="535.57000000000005"/>
    <n v="595.08000000000004"/>
    <s v="&lt;p&gt;STEEL RACING SILENCER + MIDDLE HEADER PIPE&lt;/p&gt;_x000a_&lt;p&gt;ORIGINAL EXHAUST WEIGHT:&amp;nbsp;&lt;span&gt;6.4 KG&lt;br&gt;&lt;/span&gt;ZARD EXHAUST WEIGHT: 3.3 KG&lt;/p&gt;_x000a_&lt;p&gt;BLACK EXHAUST WITH POLISHED ENDCAP, BLACK ENDCAP AVAILABLE AS OPTIONAL&lt;/p&gt;_x000a_&lt;p&gt;ASTONISHING SOUND&lt;/p&gt;"/>
    <m/>
    <s v="EURO 3 HOMOLOGATED"/>
    <n v="28.03"/>
  </r>
  <r>
    <s v="1586059361-10742"/>
    <s v="https://shop.officineitalianezard.it/en/products/"/>
    <m/>
    <s v="https://shop.officineitalianezard.it/en/norton-zard-exhaust/"/>
    <s v="NORTON COMMANDO 961 SE"/>
    <s v="https://shop.officineitalianezard.it/en/norton-commando-961-se-exhaust/"/>
    <s v="STEEL VERSION"/>
    <x v="125"/>
    <s v="2&gt;1 FULL KIT"/>
    <s v="ZNRT001SKR"/>
    <s v="NORTON COMMANDO 961 SE"/>
    <n v="1518.93"/>
    <n v="1687.7"/>
    <s v="&lt;p&gt;2&amp;lt;1 STEEL RACING FULL KIT WITH REMOVABLE DB KILLER&lt;/p&gt;_x000a_&lt;p&gt;HARD INCREASE, COMPARED TO THE ORIGINAL EXHAUST SYSTEM, IN TERMS OF TORQUE AND POWER AT ANY RANGE.&lt;/p&gt;_x000a_&lt;p&gt;N.B. THE FULL KIT MUST BE FITTED WITH ZARD STEEL FOOTREST (INCLUDED IN FITTING KIT).&lt;/p&gt;_x000a_&lt;p class=&quot;p1&quot;&gt;ASTONISHING SOUND.&lt;/p&gt;"/>
    <s v="https://shop.officineitalianezard.it/contents/imgs/products/1_1379-norton%20zard%201%200.jpg"/>
    <m/>
    <m/>
  </r>
  <r>
    <s v="1586059361-10743"/>
    <s v="https://shop.officineitalianezard.it/en/products/"/>
    <m/>
    <s v="https://shop.officineitalianezard.it/en/norton-zard-exhaust/"/>
    <s v="NORTON COMMANDO 961 SE"/>
    <s v="https://shop.officineitalianezard.it/en/norton-commando-961-se-exhaust/"/>
    <s v="STEEL VERSION"/>
    <x v="125"/>
    <s v="2&gt;1 FULL KIT"/>
    <s v="ZNRT001SKR"/>
    <s v="NORTON COMMANDO 961 SE"/>
    <n v="1518.93"/>
    <n v="1687.7"/>
    <s v="&lt;p&gt;2&amp;lt;1 STEEL RACING FULL KIT WITH REMOVABLE DB KILLER&lt;/p&gt;_x000a_&lt;p&gt;HARD INCREASE, COMPARED TO THE ORIGINAL EXHAUST SYSTEM, IN TERMS OF TORQUE AND POWER AT ANY RANGE.&lt;/p&gt;_x000a_&lt;p&gt;N.B. THE FULL KIT MUST BE FITTED WITH ZARD STEEL FOOTREST (INCLUDED IN FITTING KIT).&lt;/p&gt;_x000a_&lt;p class=&quot;p1&quot;&gt;ASTONISHING SOUND.&lt;/p&gt;"/>
    <s v="https://shop.officineitalianezard.it/contents/imgs/products/1_1380-norton%20zard%202.jpg"/>
    <m/>
    <m/>
  </r>
  <r>
    <s v="1586059361-10744"/>
    <s v="https://shop.officineitalianezard.it/en/products/"/>
    <m/>
    <s v="https://shop.officineitalianezard.it/en/norton-zard-exhaust/"/>
    <s v="NORTON COMMANDO 961 SE"/>
    <s v="https://shop.officineitalianezard.it/en/norton-commando-961-se-exhaust/"/>
    <s v="STEEL VERSION"/>
    <x v="125"/>
    <s v="2&gt;1 FULL KIT"/>
    <s v="ZNRT001SKR"/>
    <s v="NORTON COMMANDO 961 SE"/>
    <n v="1518.93"/>
    <n v="1687.7"/>
    <s v="&lt;p&gt;2&amp;lt;1 STEEL RACING FULL KIT WITH REMOVABLE DB KILLER&lt;/p&gt;_x000a_&lt;p&gt;HARD INCREASE, COMPARED TO THE ORIGINAL EXHAUST SYSTEM, IN TERMS OF TORQUE AND POWER AT ANY RANGE.&lt;/p&gt;_x000a_&lt;p&gt;N.B. THE FULL KIT MUST BE FITTED WITH ZARD STEEL FOOTREST (INCLUDED IN FITTING KIT).&lt;/p&gt;_x000a_&lt;p class=&quot;p1&quot;&gt;ASTONISHING SOUND.&lt;/p&gt;"/>
    <m/>
    <s v="FULL TITANIUM"/>
    <n v="547.38"/>
  </r>
  <r>
    <s v="1586059361-10745"/>
    <s v="https://shop.officineitalianezard.it/en/products/"/>
    <m/>
    <s v="https://shop.officineitalianezard.it/en/norton-zard-exhaust/"/>
    <s v="NORTON COMMANDO 961 SE"/>
    <s v="https://shop.officineitalianezard.it/en/norton-commando-961-se-exhaust/"/>
    <s v="STEEL VERSION"/>
    <x v="125"/>
    <s v="2&gt;1 FULL KIT"/>
    <s v="ZNRT001SKR"/>
    <s v="NORTON COMMANDO 961 SE"/>
    <n v="1518.93"/>
    <n v="1687.7"/>
    <s v="&lt;p&gt;2&amp;lt;1 STEEL RACING FULL KIT WITH REMOVABLE DB KILLER&lt;/p&gt;_x000a_&lt;p&gt;HARD INCREASE, COMPARED TO THE ORIGINAL EXHAUST SYSTEM, IN TERMS OF TORQUE AND POWER AT ANY RANGE.&lt;/p&gt;_x000a_&lt;p&gt;N.B. THE FULL KIT MUST BE FITTED WITH ZARD STEEL FOOTREST (INCLUDED IN FITTING KIT).&lt;/p&gt;_x000a_&lt;p class=&quot;p1&quot;&gt;ASTONISHING SOUND.&lt;/p&gt;"/>
    <m/>
    <s v="BLACK CERAMIC COATING"/>
    <n v="200.66"/>
  </r>
  <r>
    <s v="1586059370-10746"/>
    <s v="https://shop.officineitalianezard.it/en/products/"/>
    <m/>
    <s v="https://shop.officineitalianezard.it/en/moto-guzzi-zard-exhaust/"/>
    <s v="V9 BOBBER - ROAMER 2016/19"/>
    <s v="https://shop.officineitalianezard.it/en/moto-guzzi-v9-bobber-roamer-exhaust/"/>
    <s v="BIG VERSION"/>
    <x v="126"/>
    <s v="N. 2 SILENCERS"/>
    <s v="ZG080SSR"/>
    <s v="MOTO GUZZI V9 BOBBER-ROAMER 2016/19"/>
    <n v="670.57"/>
    <n v="745.08"/>
    <s v="&lt;p&gt;&lt;strong&gt;LAUNCH OFFER!&lt;/strong&gt;&lt;/p&gt;_x000a_&lt;p&gt;N.2 STEEL RACING SILENCERS WITH REMOVABLE DB KILLER.&lt;/p&gt;_x000a_&lt;p&gt;ASTONISHING SOUND,&amp;nbsp;EXCLUSIVE DESIGN.&lt;/p&gt;_x000a_&lt;p&gt;FITTING KIT INCLUDED.&lt;/p&gt;_x000a_&lt;p&gt;&lt;/p&gt;"/>
    <s v="https://shop.officineitalianezard.it/contents/imgs/products/1_1471-1.jpg"/>
    <m/>
    <m/>
  </r>
  <r>
    <s v="1586059370-10747"/>
    <s v="https://shop.officineitalianezard.it/en/products/"/>
    <m/>
    <s v="https://shop.officineitalianezard.it/en/moto-guzzi-zard-exhaust/"/>
    <s v="V9 BOBBER - ROAMER 2016/19"/>
    <s v="https://shop.officineitalianezard.it/en/moto-guzzi-v9-bobber-roamer-exhaust/"/>
    <s v="BIG VERSION"/>
    <x v="126"/>
    <s v="N. 2 SILENCERS"/>
    <s v="ZG080SSR"/>
    <s v="MOTO GUZZI V9 BOBBER-ROAMER 2016/19"/>
    <n v="670.57"/>
    <n v="745.08"/>
    <s v="&lt;p&gt;&lt;strong&gt;LAUNCH OFFER!&lt;/strong&gt;&lt;/p&gt;_x000a_&lt;p&gt;N.2 STEEL RACING SILENCERS WITH REMOVABLE DB KILLER.&lt;/p&gt;_x000a_&lt;p&gt;ASTONISHING SOUND,&amp;nbsp;EXCLUSIVE DESIGN.&lt;/p&gt;_x000a_&lt;p&gt;FITTING KIT INCLUDED.&lt;/p&gt;_x000a_&lt;p&gt;&lt;/p&gt;"/>
    <s v="https://shop.officineitalianezard.it/contents/imgs/products/1_1472-2.jpg"/>
    <m/>
    <m/>
  </r>
  <r>
    <s v="1586059370-10748"/>
    <s v="https://shop.officineitalianezard.it/en/products/"/>
    <m/>
    <s v="https://shop.officineitalianezard.it/en/moto-guzzi-zard-exhaust/"/>
    <s v="V9 BOBBER - ROAMER 2016/19"/>
    <s v="https://shop.officineitalianezard.it/en/moto-guzzi-v9-bobber-roamer-exhaust/"/>
    <s v="BIG VERSION"/>
    <x v="126"/>
    <s v="N. 2 SILENCERS"/>
    <s v="ZG080SSR"/>
    <s v="MOTO GUZZI V9 BOBBER-ROAMER 2016/19"/>
    <n v="670.57"/>
    <n v="745.08"/>
    <s v="&lt;p&gt;&lt;strong&gt;LAUNCH OFFER!&lt;/strong&gt;&lt;/p&gt;_x000a_&lt;p&gt;N.2 STEEL RACING SILENCERS WITH REMOVABLE DB KILLER.&lt;/p&gt;_x000a_&lt;p&gt;ASTONISHING SOUND,&amp;nbsp;EXCLUSIVE DESIGN.&lt;/p&gt;_x000a_&lt;p&gt;FITTING KIT INCLUDED.&lt;/p&gt;_x000a_&lt;p&gt;&lt;/p&gt;"/>
    <s v="https://shop.officineitalianezard.it/contents/imgs/products/1_1473-3.jpg"/>
    <m/>
    <m/>
  </r>
  <r>
    <s v="1586059370-10749"/>
    <s v="https://shop.officineitalianezard.it/en/products/"/>
    <m/>
    <s v="https://shop.officineitalianezard.it/en/moto-guzzi-zard-exhaust/"/>
    <s v="V9 BOBBER - ROAMER 2016/19"/>
    <s v="https://shop.officineitalianezard.it/en/moto-guzzi-v9-bobber-roamer-exhaust/"/>
    <s v="BIG VERSION"/>
    <x v="126"/>
    <s v="N. 2 SILENCERS"/>
    <s v="ZG080SSR"/>
    <s v="MOTO GUZZI V9 BOBBER-ROAMER 2016/19"/>
    <n v="670.57"/>
    <n v="745.08"/>
    <s v="&lt;p&gt;&lt;strong&gt;LAUNCH OFFER!&lt;/strong&gt;&lt;/p&gt;_x000a_&lt;p&gt;N.2 STEEL RACING SILENCERS WITH REMOVABLE DB KILLER.&lt;/p&gt;_x000a_&lt;p&gt;ASTONISHING SOUND,&amp;nbsp;EXCLUSIVE DESIGN.&lt;/p&gt;_x000a_&lt;p&gt;FITTING KIT INCLUDED.&lt;/p&gt;_x000a_&lt;p&gt;&lt;/p&gt;"/>
    <s v="https://shop.officineitalianezard.it/contents/imgs/products/1_1474-4.jpg"/>
    <m/>
    <m/>
  </r>
  <r>
    <s v="1586059370-10750"/>
    <s v="https://shop.officineitalianezard.it/en/products/"/>
    <m/>
    <s v="https://shop.officineitalianezard.it/en/moto-guzzi-zard-exhaust/"/>
    <s v="V9 BOBBER - ROAMER 2016/19"/>
    <s v="https://shop.officineitalianezard.it/en/moto-guzzi-v9-bobber-roamer-exhaust/"/>
    <s v="BIG VERSION"/>
    <x v="126"/>
    <s v="N. 2 SILENCERS"/>
    <s v="ZG080SSR"/>
    <s v="MOTO GUZZI V9 BOBBER-ROAMER 2016/19"/>
    <n v="670.57"/>
    <n v="745.08"/>
    <s v="&lt;p&gt;&lt;strong&gt;LAUNCH OFFER!&lt;/strong&gt;&lt;/p&gt;_x000a_&lt;p&gt;N.2 STEEL RACING SILENCERS WITH REMOVABLE DB KILLER.&lt;/p&gt;_x000a_&lt;p&gt;ASTONISHING SOUND,&amp;nbsp;EXCLUSIVE DESIGN.&lt;/p&gt;_x000a_&lt;p&gt;FITTING KIT INCLUDED.&lt;/p&gt;_x000a_&lt;p&gt;&lt;/p&gt;"/>
    <s v="https://shop.officineitalianezard.it/contents/imgs/products/1_2158-2028-scarico%20moto%20guzzi%20v9%20zard.jpg"/>
    <m/>
    <m/>
  </r>
  <r>
    <s v="1586059370-10751"/>
    <s v="https://shop.officineitalianezard.it/en/products/"/>
    <m/>
    <s v="https://shop.officineitalianezard.it/en/moto-guzzi-zard-exhaust/"/>
    <s v="V9 BOBBER - ROAMER 2016/19"/>
    <s v="https://shop.officineitalianezard.it/en/moto-guzzi-v9-bobber-roamer-exhaust/"/>
    <s v="BIG VERSION"/>
    <x v="126"/>
    <s v="N. 2 SILENCERS"/>
    <s v="ZG080SSR"/>
    <s v="MOTO GUZZI V9 BOBBER-ROAMER 2016/19"/>
    <n v="670.57"/>
    <n v="745.08"/>
    <s v="&lt;p&gt;&lt;strong&gt;LAUNCH OFFER!&lt;/strong&gt;&lt;/p&gt;_x000a_&lt;p&gt;N.2 STEEL RACING SILENCERS WITH REMOVABLE DB KILLER.&lt;/p&gt;_x000a_&lt;p&gt;ASTONISHING SOUND,&amp;nbsp;EXCLUSIVE DESIGN.&lt;/p&gt;_x000a_&lt;p&gt;FITTING KIT INCLUDED.&lt;/p&gt;_x000a_&lt;p&gt;&lt;/p&gt;"/>
    <m/>
    <s v="EURO 4 HOMOLOGATED"/>
    <n v="138.69"/>
  </r>
  <r>
    <s v="1586059370-10752"/>
    <s v="https://shop.officineitalianezard.it/en/products/"/>
    <m/>
    <s v="https://shop.officineitalianezard.it/en/moto-guzzi-zard-exhaust/"/>
    <s v="V9 BOBBER - ROAMER 2016/19"/>
    <s v="https://shop.officineitalianezard.it/en/moto-guzzi-v9-bobber-roamer-exhaust/"/>
    <s v="BIG VERSION"/>
    <x v="126"/>
    <s v="N. 2 SILENCERS"/>
    <s v="ZG080SSR"/>
    <s v="MOTO GUZZI V9 BOBBER-ROAMER 2016/19"/>
    <n v="670.57"/>
    <n v="745.08"/>
    <s v="&lt;p&gt;&lt;strong&gt;LAUNCH OFFER!&lt;/strong&gt;&lt;/p&gt;_x000a_&lt;p&gt;N.2 STEEL RACING SILENCERS WITH REMOVABLE DB KILLER.&lt;/p&gt;_x000a_&lt;p&gt;ASTONISHING SOUND,&amp;nbsp;EXCLUSIVE DESIGN.&lt;/p&gt;_x000a_&lt;p&gt;FITTING KIT INCLUDED.&lt;/p&gt;_x000a_&lt;p&gt;&lt;/p&gt;"/>
    <m/>
    <s v="BLACK COATING"/>
    <n v="77.459999999999994"/>
  </r>
  <r>
    <s v="1586059370-10753"/>
    <s v="https://shop.officineitalianezard.it/en/products/"/>
    <m/>
    <s v="https://shop.officineitalianezard.it/en/moto-guzzi-zard-exhaust/"/>
    <s v="V9 BOBBER - ROAMER 2016/19"/>
    <s v="https://shop.officineitalianezard.it/en/moto-guzzi-v9-bobber-roamer-exhaust/"/>
    <s v="BIG VERSION"/>
    <x v="126"/>
    <s v="N. 2 SILENCERS"/>
    <s v="ZG080SSR"/>
    <s v="MOTO GUZZI V9 BOBBER-ROAMER 2016/19"/>
    <n v="670.57"/>
    <n v="745.08"/>
    <s v="&lt;p&gt;&lt;strong&gt;LAUNCH OFFER!&lt;/strong&gt;&lt;/p&gt;_x000a_&lt;p&gt;N.2 STEEL RACING SILENCERS WITH REMOVABLE DB KILLER.&lt;/p&gt;_x000a_&lt;p&gt;ASTONISHING SOUND,&amp;nbsp;EXCLUSIVE DESIGN.&lt;/p&gt;_x000a_&lt;p&gt;FITTING KIT INCLUDED.&lt;/p&gt;_x000a_&lt;p&gt;&lt;/p&gt;"/>
    <m/>
    <s v="GOLD/BRONZED LOGO PLATE AND END-CAP"/>
    <n v="61.97"/>
  </r>
  <r>
    <s v="1586059370-10754"/>
    <s v="https://shop.officineitalianezard.it/en/products/"/>
    <m/>
    <s v="https://shop.officineitalianezard.it/en/moto-guzzi-zard-exhaust/"/>
    <s v="V9 BOBBER - ROAMER 2016/19"/>
    <s v="https://shop.officineitalianezard.it/en/moto-guzzi-v9-bobber-roamer-exhaust/"/>
    <s v="BIG VERSION"/>
    <x v="126"/>
    <s v="N. 2 SILENCERS"/>
    <s v="ZG080SSR"/>
    <s v="MOTO GUZZI V9 BOBBER-ROAMER 2016/19"/>
    <n v="670.57"/>
    <n v="745.08"/>
    <s v="&lt;p&gt;&lt;strong&gt;LAUNCH OFFER!&lt;/strong&gt;&lt;/p&gt;_x000a_&lt;p&gt;N.2 STEEL RACING SILENCERS WITH REMOVABLE DB KILLER.&lt;/p&gt;_x000a_&lt;p&gt;ASTONISHING SOUND,&amp;nbsp;EXCLUSIVE DESIGN.&lt;/p&gt;_x000a_&lt;p&gt;FITTING KIT INCLUDED.&lt;/p&gt;_x000a_&lt;p&gt;&lt;/p&gt;"/>
    <m/>
    <s v="MIRROR POLISHED"/>
    <n v="51.64"/>
  </r>
  <r>
    <s v="1586059372-10755"/>
    <s v="https://shop.officineitalianezard.it/en/products/"/>
    <m/>
    <s v="https://shop.officineitalianezard.it/en/moto-guzzi-zard-exhaust/"/>
    <s v="V9 BOBBER - ROAMER 2016/19"/>
    <s v="https://shop.officineitalianezard.it/en/moto-guzzi-v9-bobber-roamer-exhaust/"/>
    <s v="SLIM VERSION"/>
    <x v="127"/>
    <s v="N. 2 SILENCERS"/>
    <s v="ZG081SSR"/>
    <s v="MOTO GUZZI V9 BOBBER-ROAMER 2016/19"/>
    <n v="686.07"/>
    <n v="762.3"/>
    <s v="&lt;p&gt;&lt;strong&gt;LAUNCH OFFER!&lt;/strong&gt;&lt;/p&gt;_x000a_&lt;p&gt;N.2 STEEL RACING SILENCERS WITH REMOVABLE DB KILLER.&lt;/p&gt;_x000a_&lt;p&gt;ZARD SILENCERS WEIGHT: 4.6 KG&amp;nbsp;&lt;/p&gt;_x000a_&lt;p&gt;ASTONISHING SOUND,&amp;nbsp;EXCLUSIVE DESIGN.&lt;/p&gt;_x000a_&lt;p&gt;FITTING KIT INCLUDED.&lt;/p&gt;_x000a_&lt;p&gt;&lt;/p&gt;"/>
    <s v="https://shop.officineitalianezard.it/contents/imgs/products/1_1889-scarichi%20moto%20guzzi%20v9%201%20zard.jpg"/>
    <m/>
    <m/>
  </r>
  <r>
    <s v="1586059372-10756"/>
    <s v="https://shop.officineitalianezard.it/en/products/"/>
    <m/>
    <s v="https://shop.officineitalianezard.it/en/moto-guzzi-zard-exhaust/"/>
    <s v="V9 BOBBER - ROAMER 2016/19"/>
    <s v="https://shop.officineitalianezard.it/en/moto-guzzi-v9-bobber-roamer-exhaust/"/>
    <s v="SLIM VERSION"/>
    <x v="127"/>
    <s v="N. 2 SILENCERS"/>
    <s v="ZG081SSR"/>
    <s v="MOTO GUZZI V9 BOBBER-ROAMER 2016/19"/>
    <n v="686.07"/>
    <n v="762.3"/>
    <s v="&lt;p&gt;&lt;strong&gt;LAUNCH OFFER!&lt;/strong&gt;&lt;/p&gt;_x000a_&lt;p&gt;N.2 STEEL RACING SILENCERS WITH REMOVABLE DB KILLER.&lt;/p&gt;_x000a_&lt;p&gt;ZARD SILENCERS WEIGHT: 4.6 KG&amp;nbsp;&lt;/p&gt;_x000a_&lt;p&gt;ASTONISHING SOUND,&amp;nbsp;EXCLUSIVE DESIGN.&lt;/p&gt;_x000a_&lt;p&gt;FITTING KIT INCLUDED.&lt;/p&gt;_x000a_&lt;p&gt;&lt;/p&gt;"/>
    <s v="https://shop.officineitalianezard.it/contents/imgs/products/1_1890-scarichi%20moto%20guzzi%20v9%202%20zard.jpg"/>
    <m/>
    <m/>
  </r>
  <r>
    <s v="1586059372-10757"/>
    <s v="https://shop.officineitalianezard.it/en/products/"/>
    <m/>
    <s v="https://shop.officineitalianezard.it/en/moto-guzzi-zard-exhaust/"/>
    <s v="V9 BOBBER - ROAMER 2016/19"/>
    <s v="https://shop.officineitalianezard.it/en/moto-guzzi-v9-bobber-roamer-exhaust/"/>
    <s v="SLIM VERSION"/>
    <x v="127"/>
    <s v="N. 2 SILENCERS"/>
    <s v="ZG081SSR"/>
    <s v="MOTO GUZZI V9 BOBBER-ROAMER 2016/19"/>
    <n v="686.07"/>
    <n v="762.3"/>
    <s v="&lt;p&gt;&lt;strong&gt;LAUNCH OFFER!&lt;/strong&gt;&lt;/p&gt;_x000a_&lt;p&gt;N.2 STEEL RACING SILENCERS WITH REMOVABLE DB KILLER.&lt;/p&gt;_x000a_&lt;p&gt;ZARD SILENCERS WEIGHT: 4.6 KG&amp;nbsp;&lt;/p&gt;_x000a_&lt;p&gt;ASTONISHING SOUND,&amp;nbsp;EXCLUSIVE DESIGN.&lt;/p&gt;_x000a_&lt;p&gt;FITTING KIT INCLUDED.&lt;/p&gt;_x000a_&lt;p&gt;&lt;/p&gt;"/>
    <s v="https://shop.officineitalianezard.it/contents/imgs/products/1_1481-3.jpg"/>
    <m/>
    <m/>
  </r>
  <r>
    <s v="1586059372-10758"/>
    <s v="https://shop.officineitalianezard.it/en/products/"/>
    <m/>
    <s v="https://shop.officineitalianezard.it/en/moto-guzzi-zard-exhaust/"/>
    <s v="V9 BOBBER - ROAMER 2016/19"/>
    <s v="https://shop.officineitalianezard.it/en/moto-guzzi-v9-bobber-roamer-exhaust/"/>
    <s v="SLIM VERSION"/>
    <x v="127"/>
    <s v="N. 2 SILENCERS"/>
    <s v="ZG081SSR"/>
    <s v="MOTO GUZZI V9 BOBBER-ROAMER 2016/19"/>
    <n v="686.07"/>
    <n v="762.3"/>
    <s v="&lt;p&gt;&lt;strong&gt;LAUNCH OFFER!&lt;/strong&gt;&lt;/p&gt;_x000a_&lt;p&gt;N.2 STEEL RACING SILENCERS WITH REMOVABLE DB KILLER.&lt;/p&gt;_x000a_&lt;p&gt;ZARD SILENCERS WEIGHT: 4.6 KG&amp;nbsp;&lt;/p&gt;_x000a_&lt;p&gt;ASTONISHING SOUND,&amp;nbsp;EXCLUSIVE DESIGN.&lt;/p&gt;_x000a_&lt;p&gt;FITTING KIT INCLUDED.&lt;/p&gt;_x000a_&lt;p&gt;&lt;/p&gt;"/>
    <s v="https://shop.officineitalianezard.it/contents/imgs/products/1_1897-moto%20guzzi%20v9%20scarichi%20zard.jpg"/>
    <m/>
    <m/>
  </r>
  <r>
    <s v="1586059372-10759"/>
    <s v="https://shop.officineitalianezard.it/en/products/"/>
    <m/>
    <s v="https://shop.officineitalianezard.it/en/moto-guzzi-zard-exhaust/"/>
    <s v="V9 BOBBER - ROAMER 2016/19"/>
    <s v="https://shop.officineitalianezard.it/en/moto-guzzi-v9-bobber-roamer-exhaust/"/>
    <s v="SLIM VERSION"/>
    <x v="127"/>
    <s v="N. 2 SILENCERS"/>
    <s v="ZG081SSR"/>
    <s v="MOTO GUZZI V9 BOBBER-ROAMER 2016/19"/>
    <n v="686.07"/>
    <n v="762.3"/>
    <s v="&lt;p&gt;&lt;strong&gt;LAUNCH OFFER!&lt;/strong&gt;&lt;/p&gt;_x000a_&lt;p&gt;N.2 STEEL RACING SILENCERS WITH REMOVABLE DB KILLER.&lt;/p&gt;_x000a_&lt;p&gt;ZARD SILENCERS WEIGHT: 4.6 KG&amp;nbsp;&lt;/p&gt;_x000a_&lt;p&gt;ASTONISHING SOUND,&amp;nbsp;EXCLUSIVE DESIGN.&lt;/p&gt;_x000a_&lt;p&gt;FITTING KIT INCLUDED.&lt;/p&gt;_x000a_&lt;p&gt;&lt;/p&gt;"/>
    <m/>
    <s v="EURO 4 HOMOLOGATED"/>
    <n v="123.2"/>
  </r>
  <r>
    <s v="1586059372-10760"/>
    <s v="https://shop.officineitalianezard.it/en/products/"/>
    <m/>
    <s v="https://shop.officineitalianezard.it/en/moto-guzzi-zard-exhaust/"/>
    <s v="V9 BOBBER - ROAMER 2016/19"/>
    <s v="https://shop.officineitalianezard.it/en/moto-guzzi-v9-bobber-roamer-exhaust/"/>
    <s v="SLIM VERSION"/>
    <x v="127"/>
    <s v="N. 2 SILENCERS"/>
    <s v="ZG081SSR"/>
    <s v="MOTO GUZZI V9 BOBBER-ROAMER 2016/19"/>
    <n v="686.07"/>
    <n v="762.3"/>
    <s v="&lt;p&gt;&lt;strong&gt;LAUNCH OFFER!&lt;/strong&gt;&lt;/p&gt;_x000a_&lt;p&gt;N.2 STEEL RACING SILENCERS WITH REMOVABLE DB KILLER.&lt;/p&gt;_x000a_&lt;p&gt;ZARD SILENCERS WEIGHT: 4.6 KG&amp;nbsp;&lt;/p&gt;_x000a_&lt;p&gt;ASTONISHING SOUND,&amp;nbsp;EXCLUSIVE DESIGN.&lt;/p&gt;_x000a_&lt;p&gt;FITTING KIT INCLUDED.&lt;/p&gt;_x000a_&lt;p&gt;&lt;/p&gt;"/>
    <m/>
    <s v="BLACK COATING"/>
    <n v="77.459999999999994"/>
  </r>
  <r>
    <s v="1586059372-10761"/>
    <s v="https://shop.officineitalianezard.it/en/products/"/>
    <m/>
    <s v="https://shop.officineitalianezard.it/en/moto-guzzi-zard-exhaust/"/>
    <s v="V9 BOBBER - ROAMER 2016/19"/>
    <s v="https://shop.officineitalianezard.it/en/moto-guzzi-v9-bobber-roamer-exhaust/"/>
    <s v="SLIM VERSION"/>
    <x v="127"/>
    <s v="N. 2 SILENCERS"/>
    <s v="ZG081SSR"/>
    <s v="MOTO GUZZI V9 BOBBER-ROAMER 2016/19"/>
    <n v="686.07"/>
    <n v="762.3"/>
    <s v="&lt;p&gt;&lt;strong&gt;LAUNCH OFFER!&lt;/strong&gt;&lt;/p&gt;_x000a_&lt;p&gt;N.2 STEEL RACING SILENCERS WITH REMOVABLE DB KILLER.&lt;/p&gt;_x000a_&lt;p&gt;ZARD SILENCERS WEIGHT: 4.6 KG&amp;nbsp;&lt;/p&gt;_x000a_&lt;p&gt;ASTONISHING SOUND,&amp;nbsp;EXCLUSIVE DESIGN.&lt;/p&gt;_x000a_&lt;p&gt;FITTING KIT INCLUDED.&lt;/p&gt;_x000a_&lt;p&gt;&lt;/p&gt;"/>
    <m/>
    <s v="BRONZED LOGO PLATE, HOSE CLAMP AND END-CAP"/>
    <n v="61.97"/>
  </r>
  <r>
    <s v="1586059377-10762"/>
    <s v="https://shop.officineitalianezard.it/en/products/"/>
    <m/>
    <s v="https://shop.officineitalianezard.it/en/moto-guzzi-zard-exhaust/"/>
    <s v="V85 TT M.Y. 2019"/>
    <s v="https://shop.officineitalianezard.it/en/moto-guzzi-v85-tt-exhaust-2/"/>
    <s v="SLIP-ON VERSION"/>
    <x v="128"/>
    <s v="SILENCER"/>
    <s v="ZG085SSR"/>
    <s v="MOTO GUZZI V85 TT"/>
    <n v="464.75"/>
    <n v="516.39"/>
    <s v="&lt;p&gt;&lt;strong&gt;&lt;/strong&gt;STAINLESS STEEL (SANDBLASTED FINISH) RACING SLIP-ON WITH REMOVABLE DB KILLERS&lt;br&gt;EURO 4 HOMOLOGATED VERSION AVAILABLE AS OPTIONAL&lt;/p&gt;_x000a_&lt;p&gt;CARBON CLAMP, END-CAP AND HEAT SHIELD INCLUDED&lt;/p&gt;_x000a_&lt;p&gt;ORIGINAL EXHAUST WEIGHT: 5.3 KG&lt;br&gt;ZARD EXHAUST WEIGHT: 3 KG&lt;/p&gt;_x000a_&lt;p&gt;&lt;span&gt;THE INSTALLATION OF ZARD EXHAUST DOES NOT&lt;/span&gt;&lt;br&gt;&lt;span&gt;IMPLY ANY MODIFICATION TO ECU&lt;/span&gt;&lt;/p&gt;_x000a_&lt;p&gt;SIGNIFICANT&amp;nbsp;INCREASE, COMPARED TO THE ORIGINAL EXHAUST SYSTEM,&lt;br&gt;IN TERMS OF TORQUE AND POWER AT ANY RANGE, ASTONISHING SOUND.&lt;/p&gt;"/>
    <s v="https://shop.officineitalianezard.it/contents/imgs/products/1_2675-scarico%20moto%20guzzi%20v85.jpg"/>
    <m/>
    <m/>
  </r>
  <r>
    <s v="1586059377-10763"/>
    <s v="https://shop.officineitalianezard.it/en/products/"/>
    <m/>
    <s v="https://shop.officineitalianezard.it/en/moto-guzzi-zard-exhaust/"/>
    <s v="V85 TT M.Y. 2019"/>
    <s v="https://shop.officineitalianezard.it/en/moto-guzzi-v85-tt-exhaust-2/"/>
    <s v="SLIP-ON VERSION"/>
    <x v="128"/>
    <s v="SILENCER"/>
    <s v="ZG085SSR"/>
    <s v="MOTO GUZZI V85 TT"/>
    <n v="464.75"/>
    <n v="516.39"/>
    <s v="&lt;p&gt;&lt;strong&gt;&lt;/strong&gt;STAINLESS STEEL (SANDBLASTED FINISH) RACING SLIP-ON WITH REMOVABLE DB KILLERS&lt;br&gt;EURO 4 HOMOLOGATED VERSION AVAILABLE AS OPTIONAL&lt;/p&gt;_x000a_&lt;p&gt;CARBON CLAMP, END-CAP AND HEAT SHIELD INCLUDED&lt;/p&gt;_x000a_&lt;p&gt;ORIGINAL EXHAUST WEIGHT: 5.3 KG&lt;br&gt;ZARD EXHAUST WEIGHT: 3 KG&lt;/p&gt;_x000a_&lt;p&gt;&lt;span&gt;THE INSTALLATION OF ZARD EXHAUST DOES NOT&lt;/span&gt;&lt;br&gt;&lt;span&gt;IMPLY ANY MODIFICATION TO ECU&lt;/span&gt;&lt;/p&gt;_x000a_&lt;p&gt;SIGNIFICANT&amp;nbsp;INCREASE, COMPARED TO THE ORIGINAL EXHAUST SYSTEM,&lt;br&gt;IN TERMS OF TORQUE AND POWER AT ANY RANGE, ASTONISHING SOUND.&lt;/p&gt;"/>
    <s v="https://shop.officineitalianezard.it/contents/imgs/products/1_2587-scarico%20moto%20guzzi%20v85%20tt%20zard%20inox.jpg"/>
    <m/>
    <m/>
  </r>
  <r>
    <s v="1586059377-10764"/>
    <s v="https://shop.officineitalianezard.it/en/products/"/>
    <m/>
    <s v="https://shop.officineitalianezard.it/en/moto-guzzi-zard-exhaust/"/>
    <s v="V85 TT M.Y. 2019"/>
    <s v="https://shop.officineitalianezard.it/en/moto-guzzi-v85-tt-exhaust-2/"/>
    <s v="SLIP-ON VERSION"/>
    <x v="128"/>
    <s v="SILENCER"/>
    <s v="ZG085SSR"/>
    <s v="MOTO GUZZI V85 TT"/>
    <n v="464.75"/>
    <n v="516.39"/>
    <s v="&lt;p&gt;&lt;strong&gt;&lt;/strong&gt;STAINLESS STEEL (SANDBLASTED FINISH) RACING SLIP-ON WITH REMOVABLE DB KILLERS&lt;br&gt;EURO 4 HOMOLOGATED VERSION AVAILABLE AS OPTIONAL&lt;/p&gt;_x000a_&lt;p&gt;CARBON CLAMP, END-CAP AND HEAT SHIELD INCLUDED&lt;/p&gt;_x000a_&lt;p&gt;ORIGINAL EXHAUST WEIGHT: 5.3 KG&lt;br&gt;ZARD EXHAUST WEIGHT: 3 KG&lt;/p&gt;_x000a_&lt;p&gt;&lt;span&gt;THE INSTALLATION OF ZARD EXHAUST DOES NOT&lt;/span&gt;&lt;br&gt;&lt;span&gt;IMPLY ANY MODIFICATION TO ECU&lt;/span&gt;&lt;/p&gt;_x000a_&lt;p&gt;SIGNIFICANT&amp;nbsp;INCREASE, COMPARED TO THE ORIGINAL EXHAUST SYSTEM,&lt;br&gt;IN TERMS OF TORQUE AND POWER AT ANY RANGE, ASTONISHING SOUND.&lt;/p&gt;"/>
    <s v="https://shop.officineitalianezard.it/contents/imgs/products/1_2551-scarico%20moto%20guzzi%20v85%20tt%20zard%201.jpg"/>
    <m/>
    <m/>
  </r>
  <r>
    <s v="1586059377-10765"/>
    <s v="https://shop.officineitalianezard.it/en/products/"/>
    <m/>
    <s v="https://shop.officineitalianezard.it/en/moto-guzzi-zard-exhaust/"/>
    <s v="V85 TT M.Y. 2019"/>
    <s v="https://shop.officineitalianezard.it/en/moto-guzzi-v85-tt-exhaust-2/"/>
    <s v="SLIP-ON VERSION"/>
    <x v="128"/>
    <s v="SILENCER"/>
    <s v="ZG085SSR"/>
    <s v="MOTO GUZZI V85 TT"/>
    <n v="464.75"/>
    <n v="516.39"/>
    <s v="&lt;p&gt;&lt;strong&gt;&lt;/strong&gt;STAINLESS STEEL (SANDBLASTED FINISH) RACING SLIP-ON WITH REMOVABLE DB KILLERS&lt;br&gt;EURO 4 HOMOLOGATED VERSION AVAILABLE AS OPTIONAL&lt;/p&gt;_x000a_&lt;p&gt;CARBON CLAMP, END-CAP AND HEAT SHIELD INCLUDED&lt;/p&gt;_x000a_&lt;p&gt;ORIGINAL EXHAUST WEIGHT: 5.3 KG&lt;br&gt;ZARD EXHAUST WEIGHT: 3 KG&lt;/p&gt;_x000a_&lt;p&gt;&lt;span&gt;THE INSTALLATION OF ZARD EXHAUST DOES NOT&lt;/span&gt;&lt;br&gt;&lt;span&gt;IMPLY ANY MODIFICATION TO ECU&lt;/span&gt;&lt;/p&gt;_x000a_&lt;p&gt;SIGNIFICANT&amp;nbsp;INCREASE, COMPARED TO THE ORIGINAL EXHAUST SYSTEM,&lt;br&gt;IN TERMS OF TORQUE AND POWER AT ANY RANGE, ASTONISHING SOUND.&lt;/p&gt;"/>
    <s v="https://shop.officineitalianezard.it/contents/imgs/products/1_2552-scarico%20moto%20guzzi%20v85%20tt%20zard%202.jpg"/>
    <m/>
    <m/>
  </r>
  <r>
    <s v="1586059377-10766"/>
    <s v="https://shop.officineitalianezard.it/en/products/"/>
    <m/>
    <s v="https://shop.officineitalianezard.it/en/moto-guzzi-zard-exhaust/"/>
    <s v="V85 TT M.Y. 2019"/>
    <s v="https://shop.officineitalianezard.it/en/moto-guzzi-v85-tt-exhaust-2/"/>
    <s v="SLIP-ON VERSION"/>
    <x v="128"/>
    <s v="SILENCER"/>
    <s v="ZG085SSR"/>
    <s v="MOTO GUZZI V85 TT"/>
    <n v="464.75"/>
    <n v="516.39"/>
    <s v="&lt;p&gt;&lt;strong&gt;&lt;/strong&gt;STAINLESS STEEL (SANDBLASTED FINISH) RACING SLIP-ON WITH REMOVABLE DB KILLERS&lt;br&gt;EURO 4 HOMOLOGATED VERSION AVAILABLE AS OPTIONAL&lt;/p&gt;_x000a_&lt;p&gt;CARBON CLAMP, END-CAP AND HEAT SHIELD INCLUDED&lt;/p&gt;_x000a_&lt;p&gt;ORIGINAL EXHAUST WEIGHT: 5.3 KG&lt;br&gt;ZARD EXHAUST WEIGHT: 3 KG&lt;/p&gt;_x000a_&lt;p&gt;&lt;span&gt;THE INSTALLATION OF ZARD EXHAUST DOES NOT&lt;/span&gt;&lt;br&gt;&lt;span&gt;IMPLY ANY MODIFICATION TO ECU&lt;/span&gt;&lt;/p&gt;_x000a_&lt;p&gt;SIGNIFICANT&amp;nbsp;INCREASE, COMPARED TO THE ORIGINAL EXHAUST SYSTEM,&lt;br&gt;IN TERMS OF TORQUE AND POWER AT ANY RANGE, ASTONISHING SOUND.&lt;/p&gt;"/>
    <s v="https://shop.officineitalianezard.it/contents/imgs/products/1_2553-scarico%20moto%20guzzi%20v85%20tt%20zard%203.jpg"/>
    <m/>
    <m/>
  </r>
  <r>
    <s v="1586059377-10767"/>
    <s v="https://shop.officineitalianezard.it/en/products/"/>
    <m/>
    <s v="https://shop.officineitalianezard.it/en/moto-guzzi-zard-exhaust/"/>
    <s v="V85 TT M.Y. 2019"/>
    <s v="https://shop.officineitalianezard.it/en/moto-guzzi-v85-tt-exhaust-2/"/>
    <s v="SLIP-ON VERSION"/>
    <x v="128"/>
    <s v="SILENCER"/>
    <s v="ZG085SSR"/>
    <s v="MOTO GUZZI V85 TT"/>
    <n v="464.75"/>
    <n v="516.39"/>
    <s v="&lt;p&gt;&lt;strong&gt;&lt;/strong&gt;STAINLESS STEEL (SANDBLASTED FINISH) RACING SLIP-ON WITH REMOVABLE DB KILLERS&lt;br&gt;EURO 4 HOMOLOGATED VERSION AVAILABLE AS OPTIONAL&lt;/p&gt;_x000a_&lt;p&gt;CARBON CLAMP, END-CAP AND HEAT SHIELD INCLUDED&lt;/p&gt;_x000a_&lt;p&gt;ORIGINAL EXHAUST WEIGHT: 5.3 KG&lt;br&gt;ZARD EXHAUST WEIGHT: 3 KG&lt;/p&gt;_x000a_&lt;p&gt;&lt;span&gt;THE INSTALLATION OF ZARD EXHAUST DOES NOT&lt;/span&gt;&lt;br&gt;&lt;span&gt;IMPLY ANY MODIFICATION TO ECU&lt;/span&gt;&lt;/p&gt;_x000a_&lt;p&gt;SIGNIFICANT&amp;nbsp;INCREASE, COMPARED TO THE ORIGINAL EXHAUST SYSTEM,&lt;br&gt;IN TERMS OF TORQUE AND POWER AT ANY RANGE, ASTONISHING SOUND.&lt;/p&gt;"/>
    <s v="https://shop.officineitalianezard.it/contents/imgs/products/1_2554-scarico%20moto%20guzzi%20v85%20tt%20zard%204.jpg"/>
    <m/>
    <m/>
  </r>
  <r>
    <s v="1586059377-10768"/>
    <s v="https://shop.officineitalianezard.it/en/products/"/>
    <m/>
    <s v="https://shop.officineitalianezard.it/en/moto-guzzi-zard-exhaust/"/>
    <s v="V85 TT M.Y. 2019"/>
    <s v="https://shop.officineitalianezard.it/en/moto-guzzi-v85-tt-exhaust-2/"/>
    <s v="SLIP-ON VERSION"/>
    <x v="128"/>
    <s v="SILENCER"/>
    <s v="ZG085SSR"/>
    <s v="MOTO GUZZI V85 TT"/>
    <n v="464.75"/>
    <n v="516.39"/>
    <s v="&lt;p&gt;&lt;strong&gt;&lt;/strong&gt;STAINLESS STEEL (SANDBLASTED FINISH) RACING SLIP-ON WITH REMOVABLE DB KILLERS&lt;br&gt;EURO 4 HOMOLOGATED VERSION AVAILABLE AS OPTIONAL&lt;/p&gt;_x000a_&lt;p&gt;CARBON CLAMP, END-CAP AND HEAT SHIELD INCLUDED&lt;/p&gt;_x000a_&lt;p&gt;ORIGINAL EXHAUST WEIGHT: 5.3 KG&lt;br&gt;ZARD EXHAUST WEIGHT: 3 KG&lt;/p&gt;_x000a_&lt;p&gt;&lt;span&gt;THE INSTALLATION OF ZARD EXHAUST DOES NOT&lt;/span&gt;&lt;br&gt;&lt;span&gt;IMPLY ANY MODIFICATION TO ECU&lt;/span&gt;&lt;/p&gt;_x000a_&lt;p&gt;SIGNIFICANT&amp;nbsp;INCREASE, COMPARED TO THE ORIGINAL EXHAUST SYSTEM,&lt;br&gt;IN TERMS OF TORQUE AND POWER AT ANY RANGE, ASTONISHING SOUND.&lt;/p&gt;"/>
    <m/>
    <s v="EURO 4 HOMOLOGATED"/>
    <n v="14.75"/>
  </r>
  <r>
    <s v="1586059377-10769"/>
    <s v="https://shop.officineitalianezard.it/en/products/"/>
    <m/>
    <s v="https://shop.officineitalianezard.it/en/moto-guzzi-zard-exhaust/"/>
    <s v="V85 TT M.Y. 2019"/>
    <s v="https://shop.officineitalianezard.it/en/moto-guzzi-v85-tt-exhaust-2/"/>
    <s v="SLIP-ON VERSION"/>
    <x v="128"/>
    <s v="SILENCER"/>
    <s v="ZG085SSR"/>
    <s v="MOTO GUZZI V85 TT"/>
    <n v="464.75"/>
    <n v="516.39"/>
    <s v="&lt;p&gt;&lt;strong&gt;&lt;/strong&gt;STAINLESS STEEL (SANDBLASTED FINISH) RACING SLIP-ON WITH REMOVABLE DB KILLERS&lt;br&gt;EURO 4 HOMOLOGATED VERSION AVAILABLE AS OPTIONAL&lt;/p&gt;_x000a_&lt;p&gt;CARBON CLAMP, END-CAP AND HEAT SHIELD INCLUDED&lt;/p&gt;_x000a_&lt;p&gt;ORIGINAL EXHAUST WEIGHT: 5.3 KG&lt;br&gt;ZARD EXHAUST WEIGHT: 3 KG&lt;/p&gt;_x000a_&lt;p&gt;&lt;span&gt;THE INSTALLATION OF ZARD EXHAUST DOES NOT&lt;/span&gt;&lt;br&gt;&lt;span&gt;IMPLY ANY MODIFICATION TO ECU&lt;/span&gt;&lt;/p&gt;_x000a_&lt;p&gt;SIGNIFICANT&amp;nbsp;INCREASE, COMPARED TO THE ORIGINAL EXHAUST SYSTEM,&lt;br&gt;IN TERMS OF TORQUE AND POWER AT ANY RANGE, ASTONISHING SOUND.&lt;/p&gt;"/>
    <m/>
    <s v="TITANIUM SLEEVE"/>
    <n v="81.150000000000006"/>
  </r>
  <r>
    <s v="1586059377-10770"/>
    <s v="https://shop.officineitalianezard.it/en/products/"/>
    <m/>
    <s v="https://shop.officineitalianezard.it/en/moto-guzzi-zard-exhaust/"/>
    <s v="V85 TT M.Y. 2019"/>
    <s v="https://shop.officineitalianezard.it/en/moto-guzzi-v85-tt-exhaust-2/"/>
    <s v="SLIP-ON VERSION"/>
    <x v="128"/>
    <s v="SILENCER"/>
    <s v="ZG085SSR"/>
    <s v="MOTO GUZZI V85 TT"/>
    <n v="464.75"/>
    <n v="516.39"/>
    <s v="&lt;p&gt;&lt;strong&gt;&lt;/strong&gt;STAINLESS STEEL (SANDBLASTED FINISH) RACING SLIP-ON WITH REMOVABLE DB KILLERS&lt;br&gt;EURO 4 HOMOLOGATED VERSION AVAILABLE AS OPTIONAL&lt;/p&gt;_x000a_&lt;p&gt;CARBON CLAMP, END-CAP AND HEAT SHIELD INCLUDED&lt;/p&gt;_x000a_&lt;p&gt;ORIGINAL EXHAUST WEIGHT: 5.3 KG&lt;br&gt;ZARD EXHAUST WEIGHT: 3 KG&lt;/p&gt;_x000a_&lt;p&gt;&lt;span&gt;THE INSTALLATION OF ZARD EXHAUST DOES NOT&lt;/span&gt;&lt;br&gt;&lt;span&gt;IMPLY ANY MODIFICATION TO ECU&lt;/span&gt;&lt;/p&gt;_x000a_&lt;p&gt;SIGNIFICANT&amp;nbsp;INCREASE, COMPARED TO THE ORIGINAL EXHAUST SYSTEM,&lt;br&gt;IN TERMS OF TORQUE AND POWER AT ANY RANGE, ASTONISHING SOUND.&lt;/p&gt;"/>
    <m/>
    <s v="BLACK SLEEVE"/>
    <n v="66.39"/>
  </r>
  <r>
    <s v="1586059382-10771"/>
    <s v="https://shop.officineitalianezard.it/en/products/"/>
    <m/>
    <s v="https://shop.officineitalianezard.it/en/moto-guzzi-zard-exhaust/"/>
    <s v="V7 STONE"/>
    <s v="https://shop.officineitalianezard.it/en/moto-guzzi-v7-stone-exhaust/"/>
    <s v="CONICAL VERSION"/>
    <x v="129"/>
    <s v="M.Y. 08-11 SILENCERS"/>
    <s v="ZG076SSR"/>
    <s v="MOTO GUZZI V7 STONE"/>
    <n v="432.3"/>
    <n v="480.33"/>
    <s v="&lt;p&gt;N.2 STEEL SILENCERS RACING WITH REMOVABLE DB KILLER&lt;/p&gt;_x000a_&lt;p&gt;ORIGINAL EXHAUST WEIGHT: KG 7.2&lt;br&gt;ZARD EXHAUST WEIGHT:: KG 4.2&lt;/p&gt;_x000a_&lt;p&gt;HARD INCREASE, COMPARED TO THE ORIGINAL EXHAUST SYSTEM, IN TERMS OF TORQUE AND POWER AT ANY RANGE (+2 HP)&lt;/p&gt;_x000a_&lt;p&gt;ASTONISHING SOUND&lt;/p&gt;"/>
    <s v="https://shop.officineitalianezard.it/contents/imgs/products/1_2404-terminali%20silenziatori%20scarico%20moto%20guzzi%20v7II%20-%20zard%201.jpg"/>
    <m/>
    <m/>
  </r>
  <r>
    <s v="1586059382-10772"/>
    <s v="https://shop.officineitalianezard.it/en/products/"/>
    <m/>
    <s v="https://shop.officineitalianezard.it/en/moto-guzzi-zard-exhaust/"/>
    <s v="V7 STONE"/>
    <s v="https://shop.officineitalianezard.it/en/moto-guzzi-v7-stone-exhaust/"/>
    <s v="CONICAL VERSION"/>
    <x v="129"/>
    <s v="M.Y. 08-11 SILENCERS"/>
    <s v="ZG076SSR"/>
    <s v="MOTO GUZZI V7 STONE"/>
    <n v="432.3"/>
    <n v="480.33"/>
    <s v="&lt;p&gt;N.2 STEEL SILENCERS RACING WITH REMOVABLE DB KILLER&lt;/p&gt;_x000a_&lt;p&gt;ORIGINAL EXHAUST WEIGHT: KG 7.2&lt;br&gt;ZARD EXHAUST WEIGHT:: KG 4.2&lt;/p&gt;_x000a_&lt;p&gt;HARD INCREASE, COMPARED TO THE ORIGINAL EXHAUST SYSTEM, IN TERMS OF TORQUE AND POWER AT ANY RANGE (+2 HP)&lt;/p&gt;_x000a_&lt;p&gt;ASTONISHING SOUND&lt;/p&gt;"/>
    <s v="https://shop.officineitalianezard.it/contents/imgs/products/1_2400-terminali%20silenziatori%20scarico%20moto%20guzzi%20v7II%20-%20zard%202.jpg"/>
    <m/>
    <m/>
  </r>
  <r>
    <s v="1586059382-10773"/>
    <s v="https://shop.officineitalianezard.it/en/products/"/>
    <m/>
    <s v="https://shop.officineitalianezard.it/en/moto-guzzi-zard-exhaust/"/>
    <s v="V7 STONE"/>
    <s v="https://shop.officineitalianezard.it/en/moto-guzzi-v7-stone-exhaust/"/>
    <s v="CONICAL VERSION"/>
    <x v="129"/>
    <s v="M.Y. 08-11 SILENCERS"/>
    <s v="ZG076SSR"/>
    <s v="MOTO GUZZI V7 STONE"/>
    <n v="432.3"/>
    <n v="480.33"/>
    <s v="&lt;p&gt;N.2 STEEL SILENCERS RACING WITH REMOVABLE DB KILLER&lt;/p&gt;_x000a_&lt;p&gt;ORIGINAL EXHAUST WEIGHT: KG 7.2&lt;br&gt;ZARD EXHAUST WEIGHT:: KG 4.2&lt;/p&gt;_x000a_&lt;p&gt;HARD INCREASE, COMPARED TO THE ORIGINAL EXHAUST SYSTEM, IN TERMS OF TORQUE AND POWER AT ANY RANGE (+2 HP)&lt;/p&gt;_x000a_&lt;p&gt;ASTONISHING SOUND&lt;/p&gt;"/>
    <s v="https://shop.officineitalianezard.it/contents/imgs/products/1_2401-terminali%20silenziatori%20scarico%20moto%20guzzi%20v7II%20-%20zard%203.jpg"/>
    <m/>
    <m/>
  </r>
  <r>
    <s v="1586059382-10774"/>
    <s v="https://shop.officineitalianezard.it/en/products/"/>
    <m/>
    <s v="https://shop.officineitalianezard.it/en/moto-guzzi-zard-exhaust/"/>
    <s v="V7 STONE"/>
    <s v="https://shop.officineitalianezard.it/en/moto-guzzi-v7-stone-exhaust/"/>
    <s v="CONICAL VERSION"/>
    <x v="129"/>
    <s v="M.Y. 08-11 SILENCERS"/>
    <s v="ZG076SSR"/>
    <s v="MOTO GUZZI V7 STONE"/>
    <n v="432.3"/>
    <n v="480.33"/>
    <s v="&lt;p&gt;N.2 STEEL SILENCERS RACING WITH REMOVABLE DB KILLER&lt;/p&gt;_x000a_&lt;p&gt;ORIGINAL EXHAUST WEIGHT: KG 7.2&lt;br&gt;ZARD EXHAUST WEIGHT:: KG 4.2&lt;/p&gt;_x000a_&lt;p&gt;HARD INCREASE, COMPARED TO THE ORIGINAL EXHAUST SYSTEM, IN TERMS OF TORQUE AND POWER AT ANY RANGE (+2 HP)&lt;/p&gt;_x000a_&lt;p&gt;ASTONISHING SOUND&lt;/p&gt;"/>
    <s v="https://shop.officineitalianezard.it/contents/imgs/products/1_2402-terminali%20silenziatori%20scarico%20moto%20guzzi%20v7II%20-%20zard%204.jpg"/>
    <m/>
    <m/>
  </r>
  <r>
    <s v="1586059382-10775"/>
    <s v="https://shop.officineitalianezard.it/en/products/"/>
    <m/>
    <s v="https://shop.officineitalianezard.it/en/moto-guzzi-zard-exhaust/"/>
    <s v="V7 STONE"/>
    <s v="https://shop.officineitalianezard.it/en/moto-guzzi-v7-stone-exhaust/"/>
    <s v="CONICAL VERSION"/>
    <x v="129"/>
    <s v="M.Y. 08-11 SILENCERS"/>
    <s v="ZG076SSR"/>
    <s v="MOTO GUZZI V7 STONE"/>
    <n v="432.3"/>
    <n v="480.33"/>
    <s v="&lt;p&gt;N.2 STEEL SILENCERS RACING WITH REMOVABLE DB KILLER&lt;/p&gt;_x000a_&lt;p&gt;ORIGINAL EXHAUST WEIGHT: KG 7.2&lt;br&gt;ZARD EXHAUST WEIGHT:: KG 4.2&lt;/p&gt;_x000a_&lt;p&gt;HARD INCREASE, COMPARED TO THE ORIGINAL EXHAUST SYSTEM, IN TERMS OF TORQUE AND POWER AT ANY RANGE (+2 HP)&lt;/p&gt;_x000a_&lt;p&gt;ASTONISHING SOUND&lt;/p&gt;"/>
    <s v="https://shop.officineitalianezard.it/contents/imgs/products/1_2403-terminali%20silenziatori%20scarico%20moto%20guzzi%20v7II%20-%20zard%205.jpg"/>
    <m/>
    <m/>
  </r>
  <r>
    <s v="1586059382-10776"/>
    <s v="https://shop.officineitalianezard.it/en/products/"/>
    <m/>
    <s v="https://shop.officineitalianezard.it/en/moto-guzzi-zard-exhaust/"/>
    <s v="V7 STONE"/>
    <s v="https://shop.officineitalianezard.it/en/moto-guzzi-v7-stone-exhaust/"/>
    <s v="CONICAL VERSION"/>
    <x v="129"/>
    <s v="M.Y. 08-11 SILENCERS"/>
    <s v="ZG076SSR"/>
    <s v="MOTO GUZZI V7 STONE"/>
    <n v="432.3"/>
    <n v="480.33"/>
    <s v="&lt;p&gt;N.2 STEEL SILENCERS RACING WITH REMOVABLE DB KILLER&lt;/p&gt;_x000a_&lt;p&gt;ORIGINAL EXHAUST WEIGHT: KG 7.2&lt;br&gt;ZARD EXHAUST WEIGHT:: KG 4.2&lt;/p&gt;_x000a_&lt;p&gt;HARD INCREASE, COMPARED TO THE ORIGINAL EXHAUST SYSTEM, IN TERMS OF TORQUE AND POWER AT ANY RANGE (+2 HP)&lt;/p&gt;_x000a_&lt;p&gt;ASTONISHING SOUND&lt;/p&gt;"/>
    <s v="https://shop.officineitalianezard.it/contents/imgs/products/1_2427-terminali%20silenziatori%20scarico%20moto%20guzzi%20v7II%20-%20zard%206.jpg"/>
    <m/>
    <m/>
  </r>
  <r>
    <s v="1586059382-10777"/>
    <s v="https://shop.officineitalianezard.it/en/products/"/>
    <m/>
    <s v="https://shop.officineitalianezard.it/en/moto-guzzi-zard-exhaust/"/>
    <s v="V7 STONE"/>
    <s v="https://shop.officineitalianezard.it/en/moto-guzzi-v7-stone-exhaust/"/>
    <s v="CONICAL VERSION"/>
    <x v="129"/>
    <s v="M.Y. 08-11 SILENCERS"/>
    <s v="ZG076SSR"/>
    <s v="MOTO GUZZI V7 STONE"/>
    <n v="432.3"/>
    <n v="480.33"/>
    <s v="&lt;p&gt;N.2 STEEL SILENCERS RACING WITH REMOVABLE DB KILLER&lt;/p&gt;_x000a_&lt;p&gt;ORIGINAL EXHAUST WEIGHT: KG 7.2&lt;br&gt;ZARD EXHAUST WEIGHT:: KG 4.2&lt;/p&gt;_x000a_&lt;p&gt;HARD INCREASE, COMPARED TO THE ORIGINAL EXHAUST SYSTEM, IN TERMS OF TORQUE AND POWER AT ANY RANGE (+2 HP)&lt;/p&gt;_x000a_&lt;p&gt;ASTONISHING SOUND&lt;/p&gt;"/>
    <m/>
    <s v="MIRROR POLISHED"/>
    <n v="51.64"/>
  </r>
  <r>
    <s v="1586059382-10778"/>
    <s v="https://shop.officineitalianezard.it/en/products/"/>
    <m/>
    <s v="https://shop.officineitalianezard.it/en/moto-guzzi-zard-exhaust/"/>
    <s v="V7 STONE"/>
    <s v="https://shop.officineitalianezard.it/en/moto-guzzi-v7-stone-exhaust/"/>
    <s v="CONICAL VERSION"/>
    <x v="129"/>
    <s v="M.Y. 08-11 SILENCERS"/>
    <s v="ZG076SSR"/>
    <s v="MOTO GUZZI V7 STONE"/>
    <n v="432.3"/>
    <n v="480.33"/>
    <s v="&lt;p&gt;N.2 STEEL SILENCERS RACING WITH REMOVABLE DB KILLER&lt;/p&gt;_x000a_&lt;p&gt;ORIGINAL EXHAUST WEIGHT: KG 7.2&lt;br&gt;ZARD EXHAUST WEIGHT:: KG 4.2&lt;/p&gt;_x000a_&lt;p&gt;HARD INCREASE, COMPARED TO THE ORIGINAL EXHAUST SYSTEM, IN TERMS OF TORQUE AND POWER AT ANY RANGE (+2 HP)&lt;/p&gt;_x000a_&lt;p&gt;ASTONISHING SOUND&lt;/p&gt;"/>
    <m/>
    <s v="HOMOLOGATED"/>
    <n v="132.05000000000001"/>
  </r>
  <r>
    <s v="1586059382-10779"/>
    <s v="https://shop.officineitalianezard.it/en/products/"/>
    <m/>
    <s v="https://shop.officineitalianezard.it/en/moto-guzzi-zard-exhaust/"/>
    <s v="V7 STONE"/>
    <s v="https://shop.officineitalianezard.it/en/moto-guzzi-v7-stone-exhaust/"/>
    <s v="CONICAL VERSION"/>
    <x v="129"/>
    <s v="M.Y. 08-11 SILENCERS"/>
    <s v="ZG076SSR"/>
    <s v="MOTO GUZZI V7 STONE"/>
    <n v="432.3"/>
    <n v="480.33"/>
    <s v="&lt;p&gt;N.2 STEEL SILENCERS RACING WITH REMOVABLE DB KILLER&lt;/p&gt;_x000a_&lt;p&gt;ORIGINAL EXHAUST WEIGHT: KG 7.2&lt;br&gt;ZARD EXHAUST WEIGHT:: KG 4.2&lt;/p&gt;_x000a_&lt;p&gt;HARD INCREASE, COMPARED TO THE ORIGINAL EXHAUST SYSTEM, IN TERMS OF TORQUE AND POWER AT ANY RANGE (+2 HP)&lt;/p&gt;_x000a_&lt;p&gt;ASTONISHING SOUND&lt;/p&gt;"/>
    <m/>
    <s v="BLACK CERAMIC COATING"/>
    <n v="169.67"/>
  </r>
  <r>
    <s v="1586059387-10780"/>
    <s v="https://shop.officineitalianezard.it/en/products/"/>
    <m/>
    <s v="https://shop.officineitalianezard.it/en/moto-guzzi-zard-exhaust/"/>
    <s v="V7 CLASSIC - V7 II SPECIAL - V7 II STONE 2008/15"/>
    <s v="https://shop.officineitalianezard.it/en/moto-guzzi-v7-classic-v7-special-v7-ii-stone-exhaust/"/>
    <s v="CONICAL VERSION"/>
    <x v="130"/>
    <s v="M.Y 08-15 SILENCERS"/>
    <s v="ZG076SSR"/>
    <s v="MOTO GUZZI V7 CLASSIC 2008/15"/>
    <n v="432.3"/>
    <n v="480.33"/>
    <s v="&lt;p&gt;N.2 STEEL RACING SILENCERS WITH REMOVABLE DB KILLER&lt;/p&gt;_x000a_&lt;p&gt;ORIGINAL EXHAUST WEIGHT: KG 7.2&lt;br&gt;ZARD EXHAUST WEIGHT: KG 4.2&lt;/p&gt;_x000a_&lt;p&gt;HARD INCREASE, COMPARED TO THE ORIGINAL EXHAUST SYSTEM, IN TERMS OF TORQUE AND POWER AT ANY RANGE (+2 HP)&lt;/p&gt;_x000a_&lt;p&gt;ASTONISHING SOUND&lt;/p&gt;"/>
    <s v="https://shop.officineitalianezard.it/contents/imgs/products/1_2399-terminali%20silenziatori%20scarico%20moto%20guzzi%20v7II%20-%20zard%201.jpg"/>
    <m/>
    <m/>
  </r>
  <r>
    <s v="1586059387-10781"/>
    <s v="https://shop.officineitalianezard.it/en/products/"/>
    <m/>
    <s v="https://shop.officineitalianezard.it/en/moto-guzzi-zard-exhaust/"/>
    <s v="V7 CLASSIC - V7 II SPECIAL - V7 II STONE 2008/15"/>
    <s v="https://shop.officineitalianezard.it/en/moto-guzzi-v7-classic-v7-special-v7-ii-stone-exhaust/"/>
    <s v="CONICAL VERSION"/>
    <x v="130"/>
    <s v="M.Y 08-15 SILENCERS"/>
    <s v="ZG076SSR"/>
    <s v="MOTO GUZZI V7 CLASSIC 2008/15"/>
    <n v="432.3"/>
    <n v="480.33"/>
    <s v="&lt;p&gt;N.2 STEEL RACING SILENCERS WITH REMOVABLE DB KILLER&lt;/p&gt;_x000a_&lt;p&gt;ORIGINAL EXHAUST WEIGHT: KG 7.2&lt;br&gt;ZARD EXHAUST WEIGHT: KG 4.2&lt;/p&gt;_x000a_&lt;p&gt;HARD INCREASE, COMPARED TO THE ORIGINAL EXHAUST SYSTEM, IN TERMS OF TORQUE AND POWER AT ANY RANGE (+2 HP)&lt;/p&gt;_x000a_&lt;p&gt;ASTONISHING SOUND&lt;/p&gt;"/>
    <s v="https://shop.officineitalianezard.it/contents/imgs/products/1_2395-terminali%20silenziatori%20scarico%20moto%20guzzi%20v7II%20-%20zard%202.jpg"/>
    <m/>
    <m/>
  </r>
  <r>
    <s v="1586059387-10782"/>
    <s v="https://shop.officineitalianezard.it/en/products/"/>
    <m/>
    <s v="https://shop.officineitalianezard.it/en/moto-guzzi-zard-exhaust/"/>
    <s v="V7 CLASSIC - V7 II SPECIAL - V7 II STONE 2008/15"/>
    <s v="https://shop.officineitalianezard.it/en/moto-guzzi-v7-classic-v7-special-v7-ii-stone-exhaust/"/>
    <s v="CONICAL VERSION"/>
    <x v="130"/>
    <s v="M.Y 08-15 SILENCERS"/>
    <s v="ZG076SSR"/>
    <s v="MOTO GUZZI V7 CLASSIC 2008/15"/>
    <n v="432.3"/>
    <n v="480.33"/>
    <s v="&lt;p&gt;N.2 STEEL RACING SILENCERS WITH REMOVABLE DB KILLER&lt;/p&gt;_x000a_&lt;p&gt;ORIGINAL EXHAUST WEIGHT: KG 7.2&lt;br&gt;ZARD EXHAUST WEIGHT: KG 4.2&lt;/p&gt;_x000a_&lt;p&gt;HARD INCREASE, COMPARED TO THE ORIGINAL EXHAUST SYSTEM, IN TERMS OF TORQUE AND POWER AT ANY RANGE (+2 HP)&lt;/p&gt;_x000a_&lt;p&gt;ASTONISHING SOUND&lt;/p&gt;"/>
    <s v="https://shop.officineitalianezard.it/contents/imgs/products/1_2396-terminali%20silenziatori%20scarico%20moto%20guzzi%20v7II%20-%20zard%203.jpg"/>
    <m/>
    <m/>
  </r>
  <r>
    <s v="1586059387-10783"/>
    <s v="https://shop.officineitalianezard.it/en/products/"/>
    <m/>
    <s v="https://shop.officineitalianezard.it/en/moto-guzzi-zard-exhaust/"/>
    <s v="V7 CLASSIC - V7 II SPECIAL - V7 II STONE 2008/15"/>
    <s v="https://shop.officineitalianezard.it/en/moto-guzzi-v7-classic-v7-special-v7-ii-stone-exhaust/"/>
    <s v="CONICAL VERSION"/>
    <x v="130"/>
    <s v="M.Y 08-15 SILENCERS"/>
    <s v="ZG076SSR"/>
    <s v="MOTO GUZZI V7 CLASSIC 2008/15"/>
    <n v="432.3"/>
    <n v="480.33"/>
    <s v="&lt;p&gt;N.2 STEEL RACING SILENCERS WITH REMOVABLE DB KILLER&lt;/p&gt;_x000a_&lt;p&gt;ORIGINAL EXHAUST WEIGHT: KG 7.2&lt;br&gt;ZARD EXHAUST WEIGHT: KG 4.2&lt;/p&gt;_x000a_&lt;p&gt;HARD INCREASE, COMPARED TO THE ORIGINAL EXHAUST SYSTEM, IN TERMS OF TORQUE AND POWER AT ANY RANGE (+2 HP)&lt;/p&gt;_x000a_&lt;p&gt;ASTONISHING SOUND&lt;/p&gt;"/>
    <s v="https://shop.officineitalianezard.it/contents/imgs/products/1_2397-terminali%20silenziatori%20scarico%20moto%20guzzi%20v7II%20-%20zard%204.jpg"/>
    <m/>
    <m/>
  </r>
  <r>
    <s v="1586059387-10784"/>
    <s v="https://shop.officineitalianezard.it/en/products/"/>
    <m/>
    <s v="https://shop.officineitalianezard.it/en/moto-guzzi-zard-exhaust/"/>
    <s v="V7 CLASSIC - V7 II SPECIAL - V7 II STONE 2008/15"/>
    <s v="https://shop.officineitalianezard.it/en/moto-guzzi-v7-classic-v7-special-v7-ii-stone-exhaust/"/>
    <s v="CONICAL VERSION"/>
    <x v="130"/>
    <s v="M.Y 08-15 SILENCERS"/>
    <s v="ZG076SSR"/>
    <s v="MOTO GUZZI V7 CLASSIC 2008/15"/>
    <n v="432.3"/>
    <n v="480.33"/>
    <s v="&lt;p&gt;N.2 STEEL RACING SILENCERS WITH REMOVABLE DB KILLER&lt;/p&gt;_x000a_&lt;p&gt;ORIGINAL EXHAUST WEIGHT: KG 7.2&lt;br&gt;ZARD EXHAUST WEIGHT: KG 4.2&lt;/p&gt;_x000a_&lt;p&gt;HARD INCREASE, COMPARED TO THE ORIGINAL EXHAUST SYSTEM, IN TERMS OF TORQUE AND POWER AT ANY RANGE (+2 HP)&lt;/p&gt;_x000a_&lt;p&gt;ASTONISHING SOUND&lt;/p&gt;"/>
    <s v="https://shop.officineitalianezard.it/contents/imgs/products/1_2398-terminali%20silenziatori%20scarico%20moto%20guzzi%20v7II%20-%20zard%205.jpg"/>
    <m/>
    <m/>
  </r>
  <r>
    <s v="1586059387-10785"/>
    <s v="https://shop.officineitalianezard.it/en/products/"/>
    <m/>
    <s v="https://shop.officineitalianezard.it/en/moto-guzzi-zard-exhaust/"/>
    <s v="V7 CLASSIC - V7 II SPECIAL - V7 II STONE 2008/15"/>
    <s v="https://shop.officineitalianezard.it/en/moto-guzzi-v7-classic-v7-special-v7-ii-stone-exhaust/"/>
    <s v="CONICAL VERSION"/>
    <x v="130"/>
    <s v="M.Y 08-15 SILENCERS"/>
    <s v="ZG076SSR"/>
    <s v="MOTO GUZZI V7 CLASSIC 2008/15"/>
    <n v="432.3"/>
    <n v="480.33"/>
    <s v="&lt;p&gt;N.2 STEEL RACING SILENCERS WITH REMOVABLE DB KILLER&lt;/p&gt;_x000a_&lt;p&gt;ORIGINAL EXHAUST WEIGHT: KG 7.2&lt;br&gt;ZARD EXHAUST WEIGHT: KG 4.2&lt;/p&gt;_x000a_&lt;p&gt;HARD INCREASE, COMPARED TO THE ORIGINAL EXHAUST SYSTEM, IN TERMS OF TORQUE AND POWER AT ANY RANGE (+2 HP)&lt;/p&gt;_x000a_&lt;p&gt;ASTONISHING SOUND&lt;/p&gt;"/>
    <s v="https://shop.officineitalianezard.it/contents/imgs/products/1_2426-terminali%20silenziatori%20scarico%20moto%20guzzi%20v7II%20-%20zard%206.jpg"/>
    <m/>
    <m/>
  </r>
  <r>
    <s v="1586059387-10786"/>
    <s v="https://shop.officineitalianezard.it/en/products/"/>
    <m/>
    <s v="https://shop.officineitalianezard.it/en/moto-guzzi-zard-exhaust/"/>
    <s v="V7 CLASSIC - V7 II SPECIAL - V7 II STONE 2008/15"/>
    <s v="https://shop.officineitalianezard.it/en/moto-guzzi-v7-classic-v7-special-v7-ii-stone-exhaust/"/>
    <s v="CONICAL VERSION"/>
    <x v="130"/>
    <s v="M.Y 08-15 SILENCERS"/>
    <s v="ZG076SSR"/>
    <s v="MOTO GUZZI V7 CLASSIC 2008/15"/>
    <n v="432.3"/>
    <n v="480.33"/>
    <s v="&lt;p&gt;N.2 STEEL RACING SILENCERS WITH REMOVABLE DB KILLER&lt;/p&gt;_x000a_&lt;p&gt;ORIGINAL EXHAUST WEIGHT: KG 7.2&lt;br&gt;ZARD EXHAUST WEIGHT: KG 4.2&lt;/p&gt;_x000a_&lt;p&gt;HARD INCREASE, COMPARED TO THE ORIGINAL EXHAUST SYSTEM, IN TERMS OF TORQUE AND POWER AT ANY RANGE (+2 HP)&lt;/p&gt;_x000a_&lt;p&gt;ASTONISHING SOUND&lt;/p&gt;"/>
    <m/>
    <s v="EURO 3 HOMOLOGATED"/>
    <n v="132.05000000000001"/>
  </r>
  <r>
    <s v="1586059387-10787"/>
    <s v="https://shop.officineitalianezard.it/en/products/"/>
    <m/>
    <s v="https://shop.officineitalianezard.it/en/moto-guzzi-zard-exhaust/"/>
    <s v="V7 CLASSIC - V7 II SPECIAL - V7 II STONE 2008/15"/>
    <s v="https://shop.officineitalianezard.it/en/moto-guzzi-v7-classic-v7-special-v7-ii-stone-exhaust/"/>
    <s v="CONICAL VERSION"/>
    <x v="130"/>
    <s v="M.Y 08-15 SILENCERS"/>
    <s v="ZG076SSR"/>
    <s v="MOTO GUZZI V7 CLASSIC 2008/15"/>
    <n v="432.3"/>
    <n v="480.33"/>
    <s v="&lt;p&gt;N.2 STEEL RACING SILENCERS WITH REMOVABLE DB KILLER&lt;/p&gt;_x000a_&lt;p&gt;ORIGINAL EXHAUST WEIGHT: KG 7.2&lt;br&gt;ZARD EXHAUST WEIGHT: KG 4.2&lt;/p&gt;_x000a_&lt;p&gt;HARD INCREASE, COMPARED TO THE ORIGINAL EXHAUST SYSTEM, IN TERMS OF TORQUE AND POWER AT ANY RANGE (+2 HP)&lt;/p&gt;_x000a_&lt;p&gt;ASTONISHING SOUND&lt;/p&gt;"/>
    <m/>
    <s v="BLACK COATING"/>
    <n v="169.67"/>
  </r>
  <r>
    <s v="1586059387-10788"/>
    <s v="https://shop.officineitalianezard.it/en/products/"/>
    <m/>
    <s v="https://shop.officineitalianezard.it/en/moto-guzzi-zard-exhaust/"/>
    <s v="V7 CLASSIC - V7 II SPECIAL - V7 II STONE 2008/15"/>
    <s v="https://shop.officineitalianezard.it/en/moto-guzzi-v7-classic-v7-special-v7-ii-stone-exhaust/"/>
    <s v="CONICAL VERSION"/>
    <x v="130"/>
    <s v="M.Y 08-15 SILENCERS"/>
    <s v="ZG076SSR"/>
    <s v="MOTO GUZZI V7 CLASSIC 2008/15"/>
    <n v="432.3"/>
    <n v="480.33"/>
    <s v="&lt;p&gt;N.2 STEEL RACING SILENCERS WITH REMOVABLE DB KILLER&lt;/p&gt;_x000a_&lt;p&gt;ORIGINAL EXHAUST WEIGHT: KG 7.2&lt;br&gt;ZARD EXHAUST WEIGHT: KG 4.2&lt;/p&gt;_x000a_&lt;p&gt;HARD INCREASE, COMPARED TO THE ORIGINAL EXHAUST SYSTEM, IN TERMS OF TORQUE AND POWER AT ANY RANGE (+2 HP)&lt;/p&gt;_x000a_&lt;p&gt;ASTONISHING SOUND&lt;/p&gt;"/>
    <m/>
    <s v="MIRROR POLISHED"/>
    <n v="51.64"/>
  </r>
  <r>
    <s v="1586059393-10789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1"/>
    <s v="M.Y. 12-13 SILENCERS + HEADERS KIT"/>
    <s v="ZG075SKR-12"/>
    <s v="MOTO GUZZI V7 CAFÈ RACER/CAFÈ CLASSIC"/>
    <n v="751.72"/>
    <n v="835.25"/>
    <s v="&lt;p&gt;N.2 STEEL SILENCERS + STEEL HEADERS RACING&lt;/p&gt;_x000a_&lt;p&gt;ORIGINAL FULL KIT WEIGHT: KG 12.5&lt;br&gt;ZARD FULL KIT WEIGHT: KG 6.3&lt;/p&gt;_x000a_&lt;p&gt;HEADERS ARE AVAILABLE IN RACING VERSION ONLY&lt;/p&gt;_x000a_&lt;p&gt;HARD INCREASE, COMPARED TO THE ORIGINAL EXHAUST SYSTEM, IN TERMS OF TORQUE AND POWER AT ANY RANGE.&lt;/p&gt;_x000a_&lt;p&gt;ASTONISHING SOUND.&lt;/p&gt;"/>
    <s v="https://shop.officineitalianezard.it/contents/imgs/products/1_714-2_693-moto%20guzzi%20v7%20scarico%20zard.jpg"/>
    <m/>
    <m/>
  </r>
  <r>
    <s v="1586059393-10790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1"/>
    <s v="M.Y. 12-13 SILENCERS + HEADERS KIT"/>
    <s v="ZG075SKR-12"/>
    <s v="MOTO GUZZI V7 CAFÈ RACER/CAFÈ CLASSIC"/>
    <n v="751.72"/>
    <n v="835.25"/>
    <s v="&lt;p&gt;N.2 STEEL SILENCERS + STEEL HEADERS RACING&lt;/p&gt;_x000a_&lt;p&gt;ORIGINAL FULL KIT WEIGHT: KG 12.5&lt;br&gt;ZARD FULL KIT WEIGHT: KG 6.3&lt;/p&gt;_x000a_&lt;p&gt;HEADERS ARE AVAILABLE IN RACING VERSION ONLY&lt;/p&gt;_x000a_&lt;p&gt;HARD INCREASE, COMPARED TO THE ORIGINAL EXHAUST SYSTEM, IN TERMS OF TORQUE AND POWER AT ANY RANGE.&lt;/p&gt;_x000a_&lt;p&gt;ASTONISHING SOUND.&lt;/p&gt;"/>
    <s v="https://shop.officineitalianezard.it/contents/imgs/products/1_710-2_564-scarico%20moto%20guzzi%20zard%202.jpg"/>
    <m/>
    <m/>
  </r>
  <r>
    <s v="1586059393-10791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1"/>
    <s v="M.Y. 12-13 SILENCERS + HEADERS KIT"/>
    <s v="ZG075SKR-12"/>
    <s v="MOTO GUZZI V7 CAFÈ RACER/CAFÈ CLASSIC"/>
    <n v="751.72"/>
    <n v="835.25"/>
    <s v="&lt;p&gt;N.2 STEEL SILENCERS + STEEL HEADERS RACING&lt;/p&gt;_x000a_&lt;p&gt;ORIGINAL FULL KIT WEIGHT: KG 12.5&lt;br&gt;ZARD FULL KIT WEIGHT: KG 6.3&lt;/p&gt;_x000a_&lt;p&gt;HEADERS ARE AVAILABLE IN RACING VERSION ONLY&lt;/p&gt;_x000a_&lt;p&gt;HARD INCREASE, COMPARED TO THE ORIGINAL EXHAUST SYSTEM, IN TERMS OF TORQUE AND POWER AT ANY RANGE.&lt;/p&gt;_x000a_&lt;p&gt;ASTONISHING SOUND.&lt;/p&gt;"/>
    <s v="https://shop.officineitalianezard.it/contents/imgs/products/1_711-2_566-scarico%20moto%20guzzi%20zard%203.jpg"/>
    <m/>
    <m/>
  </r>
  <r>
    <s v="1586059393-10792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1"/>
    <s v="M.Y. 12-13 SILENCERS + HEADERS KIT"/>
    <s v="ZG075SKR-12"/>
    <s v="MOTO GUZZI V7 CAFÈ RACER/CAFÈ CLASSIC"/>
    <n v="751.72"/>
    <n v="835.25"/>
    <s v="&lt;p&gt;N.2 STEEL SILENCERS + STEEL HEADERS RACING&lt;/p&gt;_x000a_&lt;p&gt;ORIGINAL FULL KIT WEIGHT: KG 12.5&lt;br&gt;ZARD FULL KIT WEIGHT: KG 6.3&lt;/p&gt;_x000a_&lt;p&gt;HEADERS ARE AVAILABLE IN RACING VERSION ONLY&lt;/p&gt;_x000a_&lt;p&gt;HARD INCREASE, COMPARED TO THE ORIGINAL EXHAUST SYSTEM, IN TERMS OF TORQUE AND POWER AT ANY RANGE.&lt;/p&gt;_x000a_&lt;p&gt;ASTONISHING SOUND.&lt;/p&gt;"/>
    <s v="https://shop.officineitalianezard.it/contents/imgs/products/1_712-2_568-scarico%20moto%20guzzi%20zard%202.jpg"/>
    <m/>
    <m/>
  </r>
  <r>
    <s v="1586059393-10793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1"/>
    <s v="M.Y. 12-13 SILENCERS + HEADERS KIT"/>
    <s v="ZG075SKR-12"/>
    <s v="MOTO GUZZI V7 CAFÈ RACER/CAFÈ CLASSIC"/>
    <n v="751.72"/>
    <n v="835.25"/>
    <s v="&lt;p&gt;N.2 STEEL SILENCERS + STEEL HEADERS RACING&lt;/p&gt;_x000a_&lt;p&gt;ORIGINAL FULL KIT WEIGHT: KG 12.5&lt;br&gt;ZARD FULL KIT WEIGHT: KG 6.3&lt;/p&gt;_x000a_&lt;p&gt;HEADERS ARE AVAILABLE IN RACING VERSION ONLY&lt;/p&gt;_x000a_&lt;p&gt;HARD INCREASE, COMPARED TO THE ORIGINAL EXHAUST SYSTEM, IN TERMS OF TORQUE AND POWER AT ANY RANGE.&lt;/p&gt;_x000a_&lt;p&gt;ASTONISHING SOUND.&lt;/p&gt;"/>
    <s v="https://shop.officineitalianezard.it/contents/imgs/products/1_713-2_574-scarico%20moto%20guzzi%20zard%201.jpg"/>
    <m/>
    <m/>
  </r>
  <r>
    <s v="1586059393-10794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1"/>
    <s v="M.Y. 12-13 SILENCERS + HEADERS KIT"/>
    <s v="ZG075SKR-12"/>
    <s v="MOTO GUZZI V7 CAFÈ RACER/CAFÈ CLASSIC"/>
    <n v="751.72"/>
    <n v="835.25"/>
    <s v="&lt;p&gt;N.2 STEEL SILENCERS + STEEL HEADERS RACING&lt;/p&gt;_x000a_&lt;p&gt;ORIGINAL FULL KIT WEIGHT: KG 12.5&lt;br&gt;ZARD FULL KIT WEIGHT: KG 6.3&lt;/p&gt;_x000a_&lt;p&gt;HEADERS ARE AVAILABLE IN RACING VERSION ONLY&lt;/p&gt;_x000a_&lt;p&gt;HARD INCREASE, COMPARED TO THE ORIGINAL EXHAUST SYSTEM, IN TERMS OF TORQUE AND POWER AT ANY RANGE.&lt;/p&gt;_x000a_&lt;p&gt;ASTONISHING SOUND.&lt;/p&gt;"/>
    <m/>
    <s v="EURO 3 HOMOLOGATED"/>
    <n v="112.13"/>
  </r>
  <r>
    <s v="1586059393-10795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1"/>
    <s v="M.Y. 12-13 SILENCERS + HEADERS KIT"/>
    <s v="ZG075SKR-12"/>
    <s v="MOTO GUZZI V7 CAFÈ RACER/CAFÈ CLASSIC"/>
    <n v="751.72"/>
    <n v="835.25"/>
    <s v="&lt;p&gt;N.2 STEEL SILENCERS + STEEL HEADERS RACING&lt;/p&gt;_x000a_&lt;p&gt;ORIGINAL FULL KIT WEIGHT: KG 12.5&lt;br&gt;ZARD FULL KIT WEIGHT: KG 6.3&lt;/p&gt;_x000a_&lt;p&gt;HEADERS ARE AVAILABLE IN RACING VERSION ONLY&lt;/p&gt;_x000a_&lt;p&gt;HARD INCREASE, COMPARED TO THE ORIGINAL EXHAUST SYSTEM, IN TERMS OF TORQUE AND POWER AT ANY RANGE.&lt;/p&gt;_x000a_&lt;p&gt;ASTONISHING SOUND.&lt;/p&gt;"/>
    <m/>
    <s v="BLACK COATING"/>
    <n v="300.98"/>
  </r>
  <r>
    <s v="1586059393-10796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1"/>
    <s v="M.Y. 12-13 SILENCERS + HEADERS KIT"/>
    <s v="ZG075SKR-12"/>
    <s v="MOTO GUZZI V7 CAFÈ RACER/CAFÈ CLASSIC"/>
    <n v="751.72"/>
    <n v="835.25"/>
    <s v="&lt;p&gt;N.2 STEEL SILENCERS + STEEL HEADERS RACING&lt;/p&gt;_x000a_&lt;p&gt;ORIGINAL FULL KIT WEIGHT: KG 12.5&lt;br&gt;ZARD FULL KIT WEIGHT: KG 6.3&lt;/p&gt;_x000a_&lt;p&gt;HEADERS ARE AVAILABLE IN RACING VERSION ONLY&lt;/p&gt;_x000a_&lt;p&gt;HARD INCREASE, COMPARED TO THE ORIGINAL EXHAUST SYSTEM, IN TERMS OF TORQUE AND POWER AT ANY RANGE.&lt;/p&gt;_x000a_&lt;p&gt;ASTONISHING SOUND.&lt;/p&gt;"/>
    <m/>
    <s v="POLISHED"/>
    <n v="96.64"/>
  </r>
  <r>
    <s v="1586059396-10797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2"/>
    <s v="M.Y. 09-10 SILENCERS + HEADERS KIT"/>
    <s v="ZG075SKR"/>
    <s v="MOTO GUZZI V7 CAFÈ RACER/CAFÈ CLASSIC"/>
    <n v="751.72"/>
    <n v="835.25"/>
    <s v="&lt;p&gt;N.2 STEEL SILENCERS + STEEL HEADERS RACING&lt;/p&gt;_x000a_&lt;p&gt;ORIGINAL FULL KIT WEIGHT: KG 12.5&lt;br&gt;ZARD FULL KIT WEIGHT: KG 6.3&lt;/p&gt;_x000a_&lt;p&gt;HEADERS ARE AVAILABLE IN RACING VERSION ONLY&lt;/p&gt;_x000a_&lt;p&gt;HARD INCREASE, COMPARED TO THE ORIGINAL EXHAUST SYSTEM, IN TERMS OF TORQUE AND POWER AT ANY RANGE.&lt;/p&gt;_x000a_&lt;p&gt;ASTONISHING SOUND.&lt;/p&gt;"/>
    <s v="https://shop.officineitalianezard.it/contents/imgs/products/1_701-2_693-moto%20guzzi%20v7%20scarico%20zard.jpg"/>
    <m/>
    <m/>
  </r>
  <r>
    <s v="1586059396-10798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2"/>
    <s v="M.Y. 09-10 SILENCERS + HEADERS KIT"/>
    <s v="ZG075SKR"/>
    <s v="MOTO GUZZI V7 CAFÈ RACER/CAFÈ CLASSIC"/>
    <n v="751.72"/>
    <n v="835.25"/>
    <s v="&lt;p&gt;N.2 STEEL SILENCERS + STEEL HEADERS RACING&lt;/p&gt;_x000a_&lt;p&gt;ORIGINAL FULL KIT WEIGHT: KG 12.5&lt;br&gt;ZARD FULL KIT WEIGHT: KG 6.3&lt;/p&gt;_x000a_&lt;p&gt;HEADERS ARE AVAILABLE IN RACING VERSION ONLY&lt;/p&gt;_x000a_&lt;p&gt;HARD INCREASE, COMPARED TO THE ORIGINAL EXHAUST SYSTEM, IN TERMS OF TORQUE AND POWER AT ANY RANGE.&lt;/p&gt;_x000a_&lt;p&gt;ASTONISHING SOUND.&lt;/p&gt;"/>
    <s v="https://shop.officineitalianezard.it/contents/imgs/products/1_697-2_564-scarico%20moto%20guzzi%20zard%202.jpg"/>
    <m/>
    <m/>
  </r>
  <r>
    <s v="1586059396-10799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2"/>
    <s v="M.Y. 09-10 SILENCERS + HEADERS KIT"/>
    <s v="ZG075SKR"/>
    <s v="MOTO GUZZI V7 CAFÈ RACER/CAFÈ CLASSIC"/>
    <n v="751.72"/>
    <n v="835.25"/>
    <s v="&lt;p&gt;N.2 STEEL SILENCERS + STEEL HEADERS RACING&lt;/p&gt;_x000a_&lt;p&gt;ORIGINAL FULL KIT WEIGHT: KG 12.5&lt;br&gt;ZARD FULL KIT WEIGHT: KG 6.3&lt;/p&gt;_x000a_&lt;p&gt;HEADERS ARE AVAILABLE IN RACING VERSION ONLY&lt;/p&gt;_x000a_&lt;p&gt;HARD INCREASE, COMPARED TO THE ORIGINAL EXHAUST SYSTEM, IN TERMS OF TORQUE AND POWER AT ANY RANGE.&lt;/p&gt;_x000a_&lt;p&gt;ASTONISHING SOUND.&lt;/p&gt;"/>
    <s v="https://shop.officineitalianezard.it/contents/imgs/products/1_698-2_566-scarico%20moto%20guzzi%20zard%203.jpg"/>
    <m/>
    <m/>
  </r>
  <r>
    <s v="1586059396-10800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2"/>
    <s v="M.Y. 09-10 SILENCERS + HEADERS KIT"/>
    <s v="ZG075SKR"/>
    <s v="MOTO GUZZI V7 CAFÈ RACER/CAFÈ CLASSIC"/>
    <n v="751.72"/>
    <n v="835.25"/>
    <s v="&lt;p&gt;N.2 STEEL SILENCERS + STEEL HEADERS RACING&lt;/p&gt;_x000a_&lt;p&gt;ORIGINAL FULL KIT WEIGHT: KG 12.5&lt;br&gt;ZARD FULL KIT WEIGHT: KG 6.3&lt;/p&gt;_x000a_&lt;p&gt;HEADERS ARE AVAILABLE IN RACING VERSION ONLY&lt;/p&gt;_x000a_&lt;p&gt;HARD INCREASE, COMPARED TO THE ORIGINAL EXHAUST SYSTEM, IN TERMS OF TORQUE AND POWER AT ANY RANGE.&lt;/p&gt;_x000a_&lt;p&gt;ASTONISHING SOUND.&lt;/p&gt;"/>
    <s v="https://shop.officineitalianezard.it/contents/imgs/products/1_699-2_568-scarico%20moto%20guzzi%20zard%202.jpg"/>
    <m/>
    <m/>
  </r>
  <r>
    <s v="1586059396-10801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2"/>
    <s v="M.Y. 09-10 SILENCERS + HEADERS KIT"/>
    <s v="ZG075SKR"/>
    <s v="MOTO GUZZI V7 CAFÈ RACER/CAFÈ CLASSIC"/>
    <n v="751.72"/>
    <n v="835.25"/>
    <s v="&lt;p&gt;N.2 STEEL SILENCERS + STEEL HEADERS RACING&lt;/p&gt;_x000a_&lt;p&gt;ORIGINAL FULL KIT WEIGHT: KG 12.5&lt;br&gt;ZARD FULL KIT WEIGHT: KG 6.3&lt;/p&gt;_x000a_&lt;p&gt;HEADERS ARE AVAILABLE IN RACING VERSION ONLY&lt;/p&gt;_x000a_&lt;p&gt;HARD INCREASE, COMPARED TO THE ORIGINAL EXHAUST SYSTEM, IN TERMS OF TORQUE AND POWER AT ANY RANGE.&lt;/p&gt;_x000a_&lt;p&gt;ASTONISHING SOUND.&lt;/p&gt;"/>
    <s v="https://shop.officineitalianezard.it/contents/imgs/products/1_700-2_574-scarico%20moto%20guzzi%20zard%201.jpg"/>
    <m/>
    <m/>
  </r>
  <r>
    <s v="1586059396-10802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2"/>
    <s v="M.Y. 09-10 SILENCERS + HEADERS KIT"/>
    <s v="ZG075SKR"/>
    <s v="MOTO GUZZI V7 CAFÈ RACER/CAFÈ CLASSIC"/>
    <n v="751.72"/>
    <n v="835.25"/>
    <s v="&lt;p&gt;N.2 STEEL SILENCERS + STEEL HEADERS RACING&lt;/p&gt;_x000a_&lt;p&gt;ORIGINAL FULL KIT WEIGHT: KG 12.5&lt;br&gt;ZARD FULL KIT WEIGHT: KG 6.3&lt;/p&gt;_x000a_&lt;p&gt;HEADERS ARE AVAILABLE IN RACING VERSION ONLY&lt;/p&gt;_x000a_&lt;p&gt;HARD INCREASE, COMPARED TO THE ORIGINAL EXHAUST SYSTEM, IN TERMS OF TORQUE AND POWER AT ANY RANGE.&lt;/p&gt;_x000a_&lt;p&gt;ASTONISHING SOUND.&lt;/p&gt;"/>
    <m/>
    <s v="HOMOLOGATED"/>
    <n v="112.13"/>
  </r>
  <r>
    <s v="1586059396-10803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2"/>
    <s v="M.Y. 09-10 SILENCERS + HEADERS KIT"/>
    <s v="ZG075SKR"/>
    <s v="MOTO GUZZI V7 CAFÈ RACER/CAFÈ CLASSIC"/>
    <n v="751.72"/>
    <n v="835.25"/>
    <s v="&lt;p&gt;N.2 STEEL SILENCERS + STEEL HEADERS RACING&lt;/p&gt;_x000a_&lt;p&gt;ORIGINAL FULL KIT WEIGHT: KG 12.5&lt;br&gt;ZARD FULL KIT WEIGHT: KG 6.3&lt;/p&gt;_x000a_&lt;p&gt;HEADERS ARE AVAILABLE IN RACING VERSION ONLY&lt;/p&gt;_x000a_&lt;p&gt;HARD INCREASE, COMPARED TO THE ORIGINAL EXHAUST SYSTEM, IN TERMS OF TORQUE AND POWER AT ANY RANGE.&lt;/p&gt;_x000a_&lt;p&gt;ASTONISHING SOUND.&lt;/p&gt;"/>
    <m/>
    <s v="BLACK CERAMIC COATING"/>
    <n v="300.98"/>
  </r>
  <r>
    <s v="1586059396-10804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2"/>
    <s v="M.Y. 09-10 SILENCERS + HEADERS KIT"/>
    <s v="ZG075SKR"/>
    <s v="MOTO GUZZI V7 CAFÈ RACER/CAFÈ CLASSIC"/>
    <n v="751.72"/>
    <n v="835.25"/>
    <s v="&lt;p&gt;N.2 STEEL SILENCERS + STEEL HEADERS RACING&lt;/p&gt;_x000a_&lt;p&gt;ORIGINAL FULL KIT WEIGHT: KG 12.5&lt;br&gt;ZARD FULL KIT WEIGHT: KG 6.3&lt;/p&gt;_x000a_&lt;p&gt;HEADERS ARE AVAILABLE IN RACING VERSION ONLY&lt;/p&gt;_x000a_&lt;p&gt;HARD INCREASE, COMPARED TO THE ORIGINAL EXHAUST SYSTEM, IN TERMS OF TORQUE AND POWER AT ANY RANGE.&lt;/p&gt;_x000a_&lt;p&gt;ASTONISHING SOUND.&lt;/p&gt;"/>
    <m/>
    <s v="POLISHED"/>
    <n v="96.64"/>
  </r>
  <r>
    <s v="1586059398-10805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STEEL VERSION"/>
    <x v="133"/>
    <s v="M.Y. 12-13 HEADERS KIT"/>
    <s v="ZG 075 SCR-12"/>
    <s v="MOTO GUZZI V7 CAFÈ RACER/CAFÈ CLASSIC"/>
    <n v="464.75"/>
    <n v="516.39"/>
    <s v="&lt;p&gt;STEEL HEADERS KIT RACING&lt;/p&gt;_x000a_&lt;p&gt;ORIGINAL HEADERS KIT WEIGHT: KG 5.3&lt;br&gt;ZARD HEADERS KIT WEIGHT: KG 2.1&lt;/p&gt;_x000a_&lt;p&gt;HARD INCREASE, COMPARED TO THE ORIGINAL EXHAUST SYSTEM, IN TERMS OF TORQUE AND POWER AT ANY RANGE IF FITTED WITH ZARD MUFFLERS.&lt;/p&gt;_x000a_&lt;p&gt;THE MANIFOLD KIT COULD BE ALSO FITTED WITH THE ORIGINAL MUFFLERS.&lt;/p&gt;"/>
    <s v="https://shop.officineitalianezard.it/contents/imgs/products/1_708-2_574-scarico%20moto%20guzzi%20zard%201.jpg"/>
    <m/>
    <m/>
  </r>
  <r>
    <s v="1586059398-10806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STEEL VERSION"/>
    <x v="133"/>
    <s v="M.Y. 12-13 HEADERS KIT"/>
    <s v="ZG 075 SCR-12"/>
    <s v="MOTO GUZZI V7 CAFÈ RACER/CAFÈ CLASSIC"/>
    <n v="464.75"/>
    <n v="516.39"/>
    <s v="&lt;p&gt;STEEL HEADERS KIT RACING&lt;/p&gt;_x000a_&lt;p&gt;ORIGINAL HEADERS KIT WEIGHT: KG 5.3&lt;br&gt;ZARD HEADERS KIT WEIGHT: KG 2.1&lt;/p&gt;_x000a_&lt;p&gt;HARD INCREASE, COMPARED TO THE ORIGINAL EXHAUST SYSTEM, IN TERMS OF TORQUE AND POWER AT ANY RANGE IF FITTED WITH ZARD MUFFLERS.&lt;/p&gt;_x000a_&lt;p&gt;THE MANIFOLD KIT COULD BE ALSO FITTED WITH THE ORIGINAL MUFFLERS.&lt;/p&gt;"/>
    <s v="https://shop.officineitalianezard.it/contents/imgs/products/1_707-2_564-scarico%20moto%20guzzi%20zard%202.jpg"/>
    <m/>
    <m/>
  </r>
  <r>
    <s v="1586059398-10807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STEEL VERSION"/>
    <x v="133"/>
    <s v="M.Y. 12-13 HEADERS KIT"/>
    <s v="ZG 075 SCR-12"/>
    <s v="MOTO GUZZI V7 CAFÈ RACER/CAFÈ CLASSIC"/>
    <n v="464.75"/>
    <n v="516.39"/>
    <s v="&lt;p&gt;STEEL HEADERS KIT RACING&lt;/p&gt;_x000a_&lt;p&gt;ORIGINAL HEADERS KIT WEIGHT: KG 5.3&lt;br&gt;ZARD HEADERS KIT WEIGHT: KG 2.1&lt;/p&gt;_x000a_&lt;p&gt;HARD INCREASE, COMPARED TO THE ORIGINAL EXHAUST SYSTEM, IN TERMS OF TORQUE AND POWER AT ANY RANGE IF FITTED WITH ZARD MUFFLERS.&lt;/p&gt;_x000a_&lt;p&gt;THE MANIFOLD KIT COULD BE ALSO FITTED WITH THE ORIGINAL MUFFLERS.&lt;/p&gt;"/>
    <s v="https://shop.officineitalianezard.it/contents/imgs/products/1_709-2_693-moto%20guzzi%20v7%20scarico%20zard.jpg"/>
    <m/>
    <m/>
  </r>
  <r>
    <s v="1586059398-10808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STEEL VERSION"/>
    <x v="133"/>
    <s v="M.Y. 12-13 HEADERS KIT"/>
    <s v="ZG 075 SCR-12"/>
    <s v="MOTO GUZZI V7 CAFÈ RACER/CAFÈ CLASSIC"/>
    <n v="464.75"/>
    <n v="516.39"/>
    <s v="&lt;p&gt;STEEL HEADERS KIT RACING&lt;/p&gt;_x000a_&lt;p&gt;ORIGINAL HEADERS KIT WEIGHT: KG 5.3&lt;br&gt;ZARD HEADERS KIT WEIGHT: KG 2.1&lt;/p&gt;_x000a_&lt;p&gt;HARD INCREASE, COMPARED TO THE ORIGINAL EXHAUST SYSTEM, IN TERMS OF TORQUE AND POWER AT ANY RANGE IF FITTED WITH ZARD MUFFLERS.&lt;/p&gt;_x000a_&lt;p&gt;THE MANIFOLD KIT COULD BE ALSO FITTED WITH THE ORIGINAL MUFFLERS.&lt;/p&gt;"/>
    <m/>
    <s v="BLACK COATING"/>
    <n v="123.2"/>
  </r>
  <r>
    <s v="1586059398-10809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STEEL VERSION"/>
    <x v="133"/>
    <s v="M.Y. 12-13 HEADERS KIT"/>
    <s v="ZG 075 SCR-12"/>
    <s v="MOTO GUZZI V7 CAFÈ RACER/CAFÈ CLASSIC"/>
    <n v="464.75"/>
    <n v="516.39"/>
    <s v="&lt;p&gt;STEEL HEADERS KIT RACING&lt;/p&gt;_x000a_&lt;p&gt;ORIGINAL HEADERS KIT WEIGHT: KG 5.3&lt;br&gt;ZARD HEADERS KIT WEIGHT: KG 2.1&lt;/p&gt;_x000a_&lt;p&gt;HARD INCREASE, COMPARED TO THE ORIGINAL EXHAUST SYSTEM, IN TERMS OF TORQUE AND POWER AT ANY RANGE IF FITTED WITH ZARD MUFFLERS.&lt;/p&gt;_x000a_&lt;p&gt;THE MANIFOLD KIT COULD BE ALSO FITTED WITH THE ORIGINAL MUFFLERS.&lt;/p&gt;"/>
    <m/>
    <s v="MIRROR POLISHED"/>
    <n v="51.64"/>
  </r>
  <r>
    <s v="1586059401-10810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STEEL VERSION"/>
    <x v="134"/>
    <s v="M.Y. 09-10 HEADERS KIT"/>
    <s v="ZG075SCR"/>
    <s v="MOTO GUZZI V7 CAFÈ RACER/CAFÈ CLASSIC"/>
    <n v="464.75"/>
    <n v="516.39"/>
    <s v="&lt;p&gt;STEEL HEADERS KIT RACING&lt;/p&gt;_x000a_&lt;p&gt;ORIGINAL HEADERS KIT WEIGHT: KG 5.3&lt;br&gt;ZARD HEADERS KIT WEIGHT: KG 2.1&lt;/p&gt;_x000a_&lt;p&gt;HARD INCREASE, COMPARED TO THE ORIGINAL EXHAUST SYSTEM, IN TERMS OF TORQUE AND POWER AT ANY RANGE IF FITTED WITH ZARD MUFFLERS.&lt;/p&gt;_x000a_&lt;p&gt;THE MANIFOLD KIT COULD BE ALSO FITTED WITH THE ORIGINAL MUFFLERS.&lt;/p&gt;"/>
    <s v="https://shop.officineitalianezard.it/contents/imgs/products/1_695-2_574-scarico%20moto%20guzzi%20zard%201.jpg"/>
    <m/>
    <m/>
  </r>
  <r>
    <s v="1586059401-10811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STEEL VERSION"/>
    <x v="134"/>
    <s v="M.Y. 09-10 HEADERS KIT"/>
    <s v="ZG075SCR"/>
    <s v="MOTO GUZZI V7 CAFÈ RACER/CAFÈ CLASSIC"/>
    <n v="464.75"/>
    <n v="516.39"/>
    <s v="&lt;p&gt;STEEL HEADERS KIT RACING&lt;/p&gt;_x000a_&lt;p&gt;ORIGINAL HEADERS KIT WEIGHT: KG 5.3&lt;br&gt;ZARD HEADERS KIT WEIGHT: KG 2.1&lt;/p&gt;_x000a_&lt;p&gt;HARD INCREASE, COMPARED TO THE ORIGINAL EXHAUST SYSTEM, IN TERMS OF TORQUE AND POWER AT ANY RANGE IF FITTED WITH ZARD MUFFLERS.&lt;/p&gt;_x000a_&lt;p&gt;THE MANIFOLD KIT COULD BE ALSO FITTED WITH THE ORIGINAL MUFFLERS.&lt;/p&gt;"/>
    <s v="https://shop.officineitalianezard.it/contents/imgs/products/1_694-2_564-scarico%20moto%20guzzi%20zard%202.jpg"/>
    <m/>
    <m/>
  </r>
  <r>
    <s v="1586059401-10812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STEEL VERSION"/>
    <x v="134"/>
    <s v="M.Y. 09-10 HEADERS KIT"/>
    <s v="ZG075SCR"/>
    <s v="MOTO GUZZI V7 CAFÈ RACER/CAFÈ CLASSIC"/>
    <n v="464.75"/>
    <n v="516.39"/>
    <s v="&lt;p&gt;STEEL HEADERS KIT RACING&lt;/p&gt;_x000a_&lt;p&gt;ORIGINAL HEADERS KIT WEIGHT: KG 5.3&lt;br&gt;ZARD HEADERS KIT WEIGHT: KG 2.1&lt;/p&gt;_x000a_&lt;p&gt;HARD INCREASE, COMPARED TO THE ORIGINAL EXHAUST SYSTEM, IN TERMS OF TORQUE AND POWER AT ANY RANGE IF FITTED WITH ZARD MUFFLERS.&lt;/p&gt;_x000a_&lt;p&gt;THE MANIFOLD KIT COULD BE ALSO FITTED WITH THE ORIGINAL MUFFLERS.&lt;/p&gt;"/>
    <s v="https://shop.officineitalianezard.it/contents/imgs/products/1_696-2_693-moto%20guzzi%20v7%20scarico%20zard.jpg"/>
    <m/>
    <m/>
  </r>
  <r>
    <s v="1586059401-10813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STEEL VERSION"/>
    <x v="134"/>
    <s v="M.Y. 09-10 HEADERS KIT"/>
    <s v="ZG075SCR"/>
    <s v="MOTO GUZZI V7 CAFÈ RACER/CAFÈ CLASSIC"/>
    <n v="464.75"/>
    <n v="516.39"/>
    <s v="&lt;p&gt;STEEL HEADERS KIT RACING&lt;/p&gt;_x000a_&lt;p&gt;ORIGINAL HEADERS KIT WEIGHT: KG 5.3&lt;br&gt;ZARD HEADERS KIT WEIGHT: KG 2.1&lt;/p&gt;_x000a_&lt;p&gt;HARD INCREASE, COMPARED TO THE ORIGINAL EXHAUST SYSTEM, IN TERMS OF TORQUE AND POWER AT ANY RANGE IF FITTED WITH ZARD MUFFLERS.&lt;/p&gt;_x000a_&lt;p&gt;THE MANIFOLD KIT COULD BE ALSO FITTED WITH THE ORIGINAL MUFFLERS.&lt;/p&gt;"/>
    <m/>
    <s v="BLACK COATING"/>
    <n v="123.2"/>
  </r>
  <r>
    <s v="1586059401-10814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STEEL VERSION"/>
    <x v="134"/>
    <s v="M.Y. 09-10 HEADERS KIT"/>
    <s v="ZG075SCR"/>
    <s v="MOTO GUZZI V7 CAFÈ RACER/CAFÈ CLASSIC"/>
    <n v="464.75"/>
    <n v="516.39"/>
    <s v="&lt;p&gt;STEEL HEADERS KIT RACING&lt;/p&gt;_x000a_&lt;p&gt;ORIGINAL HEADERS KIT WEIGHT: KG 5.3&lt;br&gt;ZARD HEADERS KIT WEIGHT: KG 2.1&lt;/p&gt;_x000a_&lt;p&gt;HARD INCREASE, COMPARED TO THE ORIGINAL EXHAUST SYSTEM, IN TERMS OF TORQUE AND POWER AT ANY RANGE IF FITTED WITH ZARD MUFFLERS.&lt;/p&gt;_x000a_&lt;p&gt;THE MANIFOLD KIT COULD BE ALSO FITTED WITH THE ORIGINAL MUFFLERS.&lt;/p&gt;"/>
    <m/>
    <s v="MIRROR POLISHED"/>
    <n v="51.64"/>
  </r>
  <r>
    <s v="1586059403-10815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5"/>
    <s v="M.Y. 09-12 SILENCERS"/>
    <s v="ZG075SSR"/>
    <s v="MOTO GUZZI V7 CAFÈ RACER/CAFÈ CLASSIC"/>
    <n v="432.3"/>
    <n v="480.33"/>
    <s v="&lt;p&gt;&lt;strong&gt;SILENCERS CAN BE FITTED ON V7 II RACER VERSION&lt;/strong&gt;&lt;/p&gt;_x000a_&lt;p&gt;N.2 STEEL SILENCERS RACING WITH REMOVABLE DB KILLER&lt;/p&gt;_x000a_&lt;p&gt;ORIGINAL EXHAUST WEIGHT: KG 7.2&lt;br&gt;ZARD SILENCER WEIGHT: KG 4.2&lt;/p&gt;_x000a_&lt;p&gt;HARD INCREASE, COMPARED TO THE ORIGINAL EXHAUST SYSTEM, IN TERMS OF TORQUE AND POWER AT ANY RANGE (+2 HP).&lt;/p&gt;_x000a_&lt;p&gt;ASTONISHING SOUND.&lt;/p&gt;"/>
    <s v="https://shop.officineitalianezard.it/contents/imgs/products/1_574-scarico%20moto%20guzzi%20zard%201.jpg"/>
    <m/>
    <m/>
  </r>
  <r>
    <s v="1586059403-10816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5"/>
    <s v="M.Y. 09-12 SILENCERS"/>
    <s v="ZG075SSR"/>
    <s v="MOTO GUZZI V7 CAFÈ RACER/CAFÈ CLASSIC"/>
    <n v="432.3"/>
    <n v="480.33"/>
    <s v="&lt;p&gt;&lt;strong&gt;SILENCERS CAN BE FITTED ON V7 II RACER VERSION&lt;/strong&gt;&lt;/p&gt;_x000a_&lt;p&gt;N.2 STEEL SILENCERS RACING WITH REMOVABLE DB KILLER&lt;/p&gt;_x000a_&lt;p&gt;ORIGINAL EXHAUST WEIGHT: KG 7.2&lt;br&gt;ZARD SILENCER WEIGHT: KG 4.2&lt;/p&gt;_x000a_&lt;p&gt;HARD INCREASE, COMPARED TO THE ORIGINAL EXHAUST SYSTEM, IN TERMS OF TORQUE AND POWER AT ANY RANGE (+2 HP).&lt;/p&gt;_x000a_&lt;p&gt;ASTONISHING SOUND.&lt;/p&gt;"/>
    <s v="https://shop.officineitalianezard.it/contents/imgs/products/1_566-scarico%20moto%20guzzi%20zard%203.jpg"/>
    <m/>
    <m/>
  </r>
  <r>
    <s v="1586059403-10817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5"/>
    <s v="M.Y. 09-12 SILENCERS"/>
    <s v="ZG075SSR"/>
    <s v="MOTO GUZZI V7 CAFÈ RACER/CAFÈ CLASSIC"/>
    <n v="432.3"/>
    <n v="480.33"/>
    <s v="&lt;p&gt;&lt;strong&gt;SILENCERS CAN BE FITTED ON V7 II RACER VERSION&lt;/strong&gt;&lt;/p&gt;_x000a_&lt;p&gt;N.2 STEEL SILENCERS RACING WITH REMOVABLE DB KILLER&lt;/p&gt;_x000a_&lt;p&gt;ORIGINAL EXHAUST WEIGHT: KG 7.2&lt;br&gt;ZARD SILENCER WEIGHT: KG 4.2&lt;/p&gt;_x000a_&lt;p&gt;HARD INCREASE, COMPARED TO THE ORIGINAL EXHAUST SYSTEM, IN TERMS OF TORQUE AND POWER AT ANY RANGE (+2 HP).&lt;/p&gt;_x000a_&lt;p&gt;ASTONISHING SOUND.&lt;/p&gt;"/>
    <s v="https://shop.officineitalianezard.it/contents/imgs/products/1_564-scarico%20moto%20guzzi%20zard%202.jpg"/>
    <m/>
    <m/>
  </r>
  <r>
    <s v="1586059403-10818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5"/>
    <s v="M.Y. 09-12 SILENCERS"/>
    <s v="ZG075SSR"/>
    <s v="MOTO GUZZI V7 CAFÈ RACER/CAFÈ CLASSIC"/>
    <n v="432.3"/>
    <n v="480.33"/>
    <s v="&lt;p&gt;&lt;strong&gt;SILENCERS CAN BE FITTED ON V7 II RACER VERSION&lt;/strong&gt;&lt;/p&gt;_x000a_&lt;p&gt;N.2 STEEL SILENCERS RACING WITH REMOVABLE DB KILLER&lt;/p&gt;_x000a_&lt;p&gt;ORIGINAL EXHAUST WEIGHT: KG 7.2&lt;br&gt;ZARD SILENCER WEIGHT: KG 4.2&lt;/p&gt;_x000a_&lt;p&gt;HARD INCREASE, COMPARED TO THE ORIGINAL EXHAUST SYSTEM, IN TERMS OF TORQUE AND POWER AT ANY RANGE (+2 HP).&lt;/p&gt;_x000a_&lt;p&gt;ASTONISHING SOUND.&lt;/p&gt;"/>
    <s v="https://shop.officineitalianezard.it/contents/imgs/products/1_568-scarico%20moto%20guzzi%20zard%202.jpg"/>
    <m/>
    <m/>
  </r>
  <r>
    <s v="1586059403-10819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5"/>
    <s v="M.Y. 09-12 SILENCERS"/>
    <s v="ZG075SSR"/>
    <s v="MOTO GUZZI V7 CAFÈ RACER/CAFÈ CLASSIC"/>
    <n v="432.3"/>
    <n v="480.33"/>
    <s v="&lt;p&gt;&lt;strong&gt;SILENCERS CAN BE FITTED ON V7 II RACER VERSION&lt;/strong&gt;&lt;/p&gt;_x000a_&lt;p&gt;N.2 STEEL SILENCERS RACING WITH REMOVABLE DB KILLER&lt;/p&gt;_x000a_&lt;p&gt;ORIGINAL EXHAUST WEIGHT: KG 7.2&lt;br&gt;ZARD SILENCER WEIGHT: KG 4.2&lt;/p&gt;_x000a_&lt;p&gt;HARD INCREASE, COMPARED TO THE ORIGINAL EXHAUST SYSTEM, IN TERMS OF TORQUE AND POWER AT ANY RANGE (+2 HP).&lt;/p&gt;_x000a_&lt;p&gt;ASTONISHING SOUND.&lt;/p&gt;"/>
    <s v="https://shop.officineitalianezard.it/contents/imgs/products/1_693-moto%20guzzi%20v7%20scarico%20zard.jpg"/>
    <m/>
    <m/>
  </r>
  <r>
    <s v="1586059403-10820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5"/>
    <s v="M.Y. 09-12 SILENCERS"/>
    <s v="ZG075SSR"/>
    <s v="MOTO GUZZI V7 CAFÈ RACER/CAFÈ CLASSIC"/>
    <n v="432.3"/>
    <n v="480.33"/>
    <s v="&lt;p&gt;&lt;strong&gt;SILENCERS CAN BE FITTED ON V7 II RACER VERSION&lt;/strong&gt;&lt;/p&gt;_x000a_&lt;p&gt;N.2 STEEL SILENCERS RACING WITH REMOVABLE DB KILLER&lt;/p&gt;_x000a_&lt;p&gt;ORIGINAL EXHAUST WEIGHT: KG 7.2&lt;br&gt;ZARD SILENCER WEIGHT: KG 4.2&lt;/p&gt;_x000a_&lt;p&gt;HARD INCREASE, COMPARED TO THE ORIGINAL EXHAUST SYSTEM, IN TERMS OF TORQUE AND POWER AT ANY RANGE (+2 HP).&lt;/p&gt;_x000a_&lt;p&gt;ASTONISHING SOUND.&lt;/p&gt;"/>
    <m/>
    <s v="EURO 3 HOMOLOGATED"/>
    <n v="136.47999999999999"/>
  </r>
  <r>
    <s v="1586059403-10821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5"/>
    <s v="M.Y. 09-12 SILENCERS"/>
    <s v="ZG075SSR"/>
    <s v="MOTO GUZZI V7 CAFÈ RACER/CAFÈ CLASSIC"/>
    <n v="432.3"/>
    <n v="480.33"/>
    <s v="&lt;p&gt;&lt;strong&gt;SILENCERS CAN BE FITTED ON V7 II RACER VERSION&lt;/strong&gt;&lt;/p&gt;_x000a_&lt;p&gt;N.2 STEEL SILENCERS RACING WITH REMOVABLE DB KILLER&lt;/p&gt;_x000a_&lt;p&gt;ORIGINAL EXHAUST WEIGHT: KG 7.2&lt;br&gt;ZARD SILENCER WEIGHT: KG 4.2&lt;/p&gt;_x000a_&lt;p&gt;HARD INCREASE, COMPARED TO THE ORIGINAL EXHAUST SYSTEM, IN TERMS OF TORQUE AND POWER AT ANY RANGE (+2 HP).&lt;/p&gt;_x000a_&lt;p&gt;ASTONISHING SOUND.&lt;/p&gt;"/>
    <m/>
    <s v="BLACK COATING"/>
    <n v="169.67"/>
  </r>
  <r>
    <s v="1586059403-10822"/>
    <s v="https://shop.officineitalianezard.it/en/products/"/>
    <m/>
    <s v="https://shop.officineitalianezard.it/en/moto-guzzi-zard-exhaust/"/>
    <s v="V7 CAFÈ RACER-CAFÈ CLASSIC"/>
    <s v="https://shop.officineitalianezard.it/en/moto-guzzi-v7-cafe-racer-cafe-classic-exhuast/"/>
    <s v="CONICAL VERSION"/>
    <x v="135"/>
    <s v="M.Y. 09-12 SILENCERS"/>
    <s v="ZG075SSR"/>
    <s v="MOTO GUZZI V7 CAFÈ RACER/CAFÈ CLASSIC"/>
    <n v="432.3"/>
    <n v="480.33"/>
    <s v="&lt;p&gt;&lt;strong&gt;SILENCERS CAN BE FITTED ON V7 II RACER VERSION&lt;/strong&gt;&lt;/p&gt;_x000a_&lt;p&gt;N.2 STEEL SILENCERS RACING WITH REMOVABLE DB KILLER&lt;/p&gt;_x000a_&lt;p&gt;ORIGINAL EXHAUST WEIGHT: KG 7.2&lt;br&gt;ZARD SILENCER WEIGHT: KG 4.2&lt;/p&gt;_x000a_&lt;p&gt;HARD INCREASE, COMPARED TO THE ORIGINAL EXHAUST SYSTEM, IN TERMS OF TORQUE AND POWER AT ANY RANGE (+2 HP).&lt;/p&gt;_x000a_&lt;p&gt;ASTONISHING SOUND.&lt;/p&gt;"/>
    <m/>
    <s v="MIRROR POLISHED"/>
    <n v="51.64"/>
  </r>
  <r>
    <s v="1586059408-10823"/>
    <s v="https://shop.officineitalianezard.it/en/products/"/>
    <m/>
    <s v="https://shop.officineitalianezard.it/en/moto-guzzi-zard-exhaust/"/>
    <s v="V7 II RACER"/>
    <s v="https://shop.officineitalianezard.it/en/moto-guzzi-v7-ii-racer-exhaust/"/>
    <s v="STEEL VERSION"/>
    <x v="136"/>
    <s v="N. 2 SILENCERS"/>
    <s v="ZG079SSR"/>
    <s v="MOTO GUZZI V7 II RACER"/>
    <n v="469.92"/>
    <n v="522.13"/>
    <s v="&lt;p&gt;N.2 STEEL RACING SILENCERS WITH REMOVABLE DB KILLER.&lt;/p&gt;_x000a_&lt;p&gt;ORIGINAL SILENCERS WEIGHT: 7.7 KG&lt;br&gt;ZARD SILENCERS WEIGHT: 2.8 KG&lt;/p&gt;_x000a_&lt;p&gt;ASTONISHING SOUND,&amp;nbsp;EXCLUSIVE DESIGN.&lt;/p&gt;_x000a_&lt;p&gt;FITTING KIT INCLUDED.&lt;/p&gt;"/>
    <s v="https://shop.officineitalianezard.it/contents/imgs/products/1_1491-1.jpg"/>
    <m/>
    <m/>
  </r>
  <r>
    <s v="1586059408-10824"/>
    <s v="https://shop.officineitalianezard.it/en/products/"/>
    <m/>
    <s v="https://shop.officineitalianezard.it/en/moto-guzzi-zard-exhaust/"/>
    <s v="V7 II RACER"/>
    <s v="https://shop.officineitalianezard.it/en/moto-guzzi-v7-ii-racer-exhaust/"/>
    <s v="STEEL VERSION"/>
    <x v="136"/>
    <s v="N. 2 SILENCERS"/>
    <s v="ZG079SSR"/>
    <s v="MOTO GUZZI V7 II RACER"/>
    <n v="469.92"/>
    <n v="522.13"/>
    <s v="&lt;p&gt;N.2 STEEL RACING SILENCERS WITH REMOVABLE DB KILLER.&lt;/p&gt;_x000a_&lt;p&gt;ORIGINAL SILENCERS WEIGHT: 7.7 KG&lt;br&gt;ZARD SILENCERS WEIGHT: 2.8 KG&lt;/p&gt;_x000a_&lt;p&gt;ASTONISHING SOUND,&amp;nbsp;EXCLUSIVE DESIGN.&lt;/p&gt;_x000a_&lt;p&gt;FITTING KIT INCLUDED.&lt;/p&gt;"/>
    <s v="https://shop.officineitalianezard.it/contents/imgs/products/1_1492-2.jpg"/>
    <m/>
    <m/>
  </r>
  <r>
    <s v="1586059408-10825"/>
    <s v="https://shop.officineitalianezard.it/en/products/"/>
    <m/>
    <s v="https://shop.officineitalianezard.it/en/moto-guzzi-zard-exhaust/"/>
    <s v="V7 II RACER"/>
    <s v="https://shop.officineitalianezard.it/en/moto-guzzi-v7-ii-racer-exhaust/"/>
    <s v="STEEL VERSION"/>
    <x v="136"/>
    <s v="N. 2 SILENCERS"/>
    <s v="ZG079SSR"/>
    <s v="MOTO GUZZI V7 II RACER"/>
    <n v="469.92"/>
    <n v="522.13"/>
    <s v="&lt;p&gt;N.2 STEEL RACING SILENCERS WITH REMOVABLE DB KILLER.&lt;/p&gt;_x000a_&lt;p&gt;ORIGINAL SILENCERS WEIGHT: 7.7 KG&lt;br&gt;ZARD SILENCERS WEIGHT: 2.8 KG&lt;/p&gt;_x000a_&lt;p&gt;ASTONISHING SOUND,&amp;nbsp;EXCLUSIVE DESIGN.&lt;/p&gt;_x000a_&lt;p&gt;FITTING KIT INCLUDED.&lt;/p&gt;"/>
    <s v="https://shop.officineitalianezard.it/contents/imgs/products/1_1493-3.jpg"/>
    <m/>
    <m/>
  </r>
  <r>
    <s v="1586059408-10826"/>
    <s v="https://shop.officineitalianezard.it/en/products/"/>
    <m/>
    <s v="https://shop.officineitalianezard.it/en/moto-guzzi-zard-exhaust/"/>
    <s v="V7 II RACER"/>
    <s v="https://shop.officineitalianezard.it/en/moto-guzzi-v7-ii-racer-exhaust/"/>
    <s v="STEEL VERSION"/>
    <x v="136"/>
    <s v="N. 2 SILENCERS"/>
    <s v="ZG079SSR"/>
    <s v="MOTO GUZZI V7 II RACER"/>
    <n v="469.92"/>
    <n v="522.13"/>
    <s v="&lt;p&gt;N.2 STEEL RACING SILENCERS WITH REMOVABLE DB KILLER.&lt;/p&gt;_x000a_&lt;p&gt;ORIGINAL SILENCERS WEIGHT: 7.7 KG&lt;br&gt;ZARD SILENCERS WEIGHT: 2.8 KG&lt;/p&gt;_x000a_&lt;p&gt;ASTONISHING SOUND,&amp;nbsp;EXCLUSIVE DESIGN.&lt;/p&gt;_x000a_&lt;p&gt;FITTING KIT INCLUDED.&lt;/p&gt;"/>
    <s v="https://shop.officineitalianezard.it/contents/imgs/products/1_1494-4.jpg"/>
    <m/>
    <m/>
  </r>
  <r>
    <s v="1586059408-10827"/>
    <s v="https://shop.officineitalianezard.it/en/products/"/>
    <m/>
    <s v="https://shop.officineitalianezard.it/en/moto-guzzi-zard-exhaust/"/>
    <s v="V7 II RACER"/>
    <s v="https://shop.officineitalianezard.it/en/moto-guzzi-v7-ii-racer-exhaust/"/>
    <s v="STEEL VERSION"/>
    <x v="136"/>
    <s v="N. 2 SILENCERS"/>
    <s v="ZG079SSR"/>
    <s v="MOTO GUZZI V7 II RACER"/>
    <n v="469.92"/>
    <n v="522.13"/>
    <s v="&lt;p&gt;N.2 STEEL RACING SILENCERS WITH REMOVABLE DB KILLER.&lt;/p&gt;_x000a_&lt;p&gt;ORIGINAL SILENCERS WEIGHT: 7.7 KG&lt;br&gt;ZARD SILENCERS WEIGHT: 2.8 KG&lt;/p&gt;_x000a_&lt;p&gt;ASTONISHING SOUND,&amp;nbsp;EXCLUSIVE DESIGN.&lt;/p&gt;_x000a_&lt;p&gt;FITTING KIT INCLUDED.&lt;/p&gt;"/>
    <m/>
    <s v="TITANIUM RACING"/>
    <n v="230.9"/>
  </r>
  <r>
    <s v="1586059414-10828"/>
    <s v="https://shop.officineitalianezard.it/en/products/"/>
    <m/>
    <s v="https://shop.officineitalianezard.it/en/moto-guzzi-zard-exhaust/"/>
    <s v="V7 II &gt; M.Y. 2015"/>
    <s v="https://shop.officineitalianezard.it/en/pages/index/moto-guzzi-v7-ii-m-y-2015-exhaust-169/"/>
    <s v="REGOLARITA'"/>
    <x v="137"/>
    <s v="2&gt;1 FULL KIT"/>
    <s v="ZG090SKR"/>
    <s v="MOTO GUZZI V7 CLASSIC 2008/15"/>
    <n v="761.31"/>
    <n v="845.9"/>
    <s v="&lt;p&gt;STEEL RACING 2&amp;gt;1 FULL KIT.&lt;/p&gt;_x000a_&lt;p&gt;HARD INCREASE, COMPARED TO THE ORIGINAL EXHAUST SYSTEM, IN TERMS OF TORQUE AND POWER AT ANY RANGE.&lt;/p&gt;_x000a_&lt;p&gt;ASTONISHING SOUND.&lt;/p&gt;"/>
    <s v="https://shop.officineitalianezard.it/contents/imgs/products/1_1229-1.jpg"/>
    <m/>
    <m/>
  </r>
  <r>
    <s v="1586059414-10829"/>
    <s v="https://shop.officineitalianezard.it/en/products/"/>
    <m/>
    <s v="https://shop.officineitalianezard.it/en/moto-guzzi-zard-exhaust/"/>
    <s v="V7 II &gt; M.Y. 2015"/>
    <s v="https://shop.officineitalianezard.it/en/pages/index/moto-guzzi-v7-ii-m-y-2015-exhaust-169/"/>
    <s v="REGOLARITA'"/>
    <x v="137"/>
    <s v="2&gt;1 FULL KIT"/>
    <s v="ZG090SKR"/>
    <s v="MOTO GUZZI V7 CLASSIC 2008/15"/>
    <n v="761.31"/>
    <n v="845.9"/>
    <s v="&lt;p&gt;STEEL RACING 2&amp;gt;1 FULL KIT.&lt;/p&gt;_x000a_&lt;p&gt;HARD INCREASE, COMPARED TO THE ORIGINAL EXHAUST SYSTEM, IN TERMS OF TORQUE AND POWER AT ANY RANGE.&lt;/p&gt;_x000a_&lt;p&gt;ASTONISHING SOUND.&lt;/p&gt;"/>
    <s v="https://shop.officineitalianezard.it/contents/imgs/products/1_1230-2.jpg"/>
    <m/>
    <m/>
  </r>
  <r>
    <s v="1586059414-10830"/>
    <s v="https://shop.officineitalianezard.it/en/products/"/>
    <m/>
    <s v="https://shop.officineitalianezard.it/en/moto-guzzi-zard-exhaust/"/>
    <s v="V7 II &gt; M.Y. 2015"/>
    <s v="https://shop.officineitalianezard.it/en/pages/index/moto-guzzi-v7-ii-m-y-2015-exhaust-169/"/>
    <s v="REGOLARITA'"/>
    <x v="137"/>
    <s v="2&gt;1 FULL KIT"/>
    <s v="ZG090SKR"/>
    <s v="MOTO GUZZI V7 CLASSIC 2008/15"/>
    <n v="761.31"/>
    <n v="845.9"/>
    <s v="&lt;p&gt;STEEL RACING 2&amp;gt;1 FULL KIT.&lt;/p&gt;_x000a_&lt;p&gt;HARD INCREASE, COMPARED TO THE ORIGINAL EXHAUST SYSTEM, IN TERMS OF TORQUE AND POWER AT ANY RANGE.&lt;/p&gt;_x000a_&lt;p&gt;ASTONISHING SOUND.&lt;/p&gt;"/>
    <s v="https://shop.officineitalianezard.it/contents/imgs/products/1_1231-3.jpg"/>
    <m/>
    <m/>
  </r>
  <r>
    <s v="1586059414-10831"/>
    <s v="https://shop.officineitalianezard.it/en/products/"/>
    <m/>
    <s v="https://shop.officineitalianezard.it/en/moto-guzzi-zard-exhaust/"/>
    <s v="V7 II &gt; M.Y. 2015"/>
    <s v="https://shop.officineitalianezard.it/en/pages/index/moto-guzzi-v7-ii-m-y-2015-exhaust-169/"/>
    <s v="REGOLARITA'"/>
    <x v="137"/>
    <s v="2&gt;1 FULL KIT"/>
    <s v="ZG090SKR"/>
    <s v="MOTO GUZZI V7 CLASSIC 2008/15"/>
    <n v="761.31"/>
    <n v="845.9"/>
    <s v="&lt;p&gt;STEEL RACING 2&amp;gt;1 FULL KIT.&lt;/p&gt;_x000a_&lt;p&gt;HARD INCREASE, COMPARED TO THE ORIGINAL EXHAUST SYSTEM, IN TERMS OF TORQUE AND POWER AT ANY RANGE.&lt;/p&gt;_x000a_&lt;p&gt;ASTONISHING SOUND.&lt;/p&gt;"/>
    <m/>
    <s v="BLACK COATING"/>
    <n v="169.67"/>
  </r>
  <r>
    <s v="1586059419-10832"/>
    <s v="https://shop.officineitalianezard.it/en/products/"/>
    <m/>
    <s v="https://shop.officineitalianezard.it/en/moto-guzzi-zard-exhaust/"/>
    <s v="V7 III M.Y. 2017"/>
    <s v="https://shop.officineitalianezard.it/en/moto-guzzi-v7-iii-m-y-2017-exhaust/"/>
    <s v="CONICAL VERSION"/>
    <x v="138"/>
    <s v="2&gt;1 FULL KIT"/>
    <s v="ZG084SKR-P2"/>
    <s v="MOTO GUZZI V7 III"/>
    <n v="809.26"/>
    <n v="899.18"/>
    <s v="&lt;p&gt;2&amp;gt;1 RACING&amp;nbsp;FULL KIT WITH REMOVABLE DB KILLERS AND BLACK CERAMIC COATING&lt;/p&gt;_x000a_&lt;p&gt;ORIGINAL&amp;nbsp;FULL KIT WEIGHT:&amp;nbsp;&lt;br&gt;ZARD&amp;nbsp;FULL KIT WEIGHT: 3.9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"/>
    <s v="https://shop.officineitalianezard.it/contents/imgs/products/1_2236-scarico%20guzzi%20v7III%20-%20zard.jpg"/>
    <m/>
    <m/>
  </r>
  <r>
    <s v="1586059419-10833"/>
    <s v="https://shop.officineitalianezard.it/en/products/"/>
    <m/>
    <s v="https://shop.officineitalianezard.it/en/moto-guzzi-zard-exhaust/"/>
    <s v="V7 III M.Y. 2017"/>
    <s v="https://shop.officineitalianezard.it/en/moto-guzzi-v7-iii-m-y-2017-exhaust/"/>
    <s v="CONICAL VERSION"/>
    <x v="138"/>
    <s v="2&gt;1 FULL KIT"/>
    <s v="ZG084SKR-P2"/>
    <s v="MOTO GUZZI V7 III"/>
    <n v="809.26"/>
    <n v="899.18"/>
    <s v="&lt;p&gt;2&amp;gt;1 RACING&amp;nbsp;FULL KIT WITH REMOVABLE DB KILLERS AND BLACK CERAMIC COATING&lt;/p&gt;_x000a_&lt;p&gt;ORIGINAL&amp;nbsp;FULL KIT WEIGHT:&amp;nbsp;&lt;br&gt;ZARD&amp;nbsp;FULL KIT WEIGHT: 3.9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"/>
    <s v="https://shop.officineitalianezard.it/contents/imgs/products/1_2235-zard%20moto%20guzzi%20v7III.jpg"/>
    <m/>
    <m/>
  </r>
  <r>
    <s v="1586059419-10834"/>
    <s v="https://shop.officineitalianezard.it/en/products/"/>
    <m/>
    <s v="https://shop.officineitalianezard.it/en/moto-guzzi-zard-exhaust/"/>
    <s v="V7 III M.Y. 2017"/>
    <s v="https://shop.officineitalianezard.it/en/moto-guzzi-v7-iii-m-y-2017-exhaust/"/>
    <s v="CONICAL VERSION"/>
    <x v="138"/>
    <s v="2&gt;1 FULL KIT"/>
    <s v="ZG084SKR-P2"/>
    <s v="MOTO GUZZI V7 III"/>
    <n v="809.26"/>
    <n v="899.18"/>
    <s v="&lt;p&gt;2&amp;gt;1 RACING&amp;nbsp;FULL KIT WITH REMOVABLE DB KILLERS AND BLACK CERAMIC COATING&lt;/p&gt;_x000a_&lt;p&gt;ORIGINAL&amp;nbsp;FULL KIT WEIGHT:&amp;nbsp;&lt;br&gt;ZARD&amp;nbsp;FULL KIT WEIGHT: 3.9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"/>
    <s v="https://shop.officineitalianezard.it/contents/imgs/products/1_2237-v7III%20exhaust%20-%20zard.jpg"/>
    <m/>
    <m/>
  </r>
  <r>
    <s v="1586059423-10835"/>
    <s v="https://shop.officineitalianezard.it/en/products/"/>
    <m/>
    <s v="https://shop.officineitalianezard.it/en/moto-guzzi-zard-exhaust/"/>
    <s v="V7 III M.Y. 2017"/>
    <s v="https://shop.officineitalianezard.it/en/moto-guzzi-v7-iii-m-y-2017-exhaust/"/>
    <s v="ZUMA VERSION"/>
    <x v="139"/>
    <s v="SILENCERS"/>
    <s v="ZG083SSR-P2"/>
    <s v="MOTO GUZZI V7 III"/>
    <n v="763.52"/>
    <n v="848.36"/>
    <s v="&lt;p&gt;N. 2 STEEL RACING SILENCERS WITH REMOVABLE DB KILLERS AND BLACK CERAMIC COATING&lt;/p&gt;_x000a_&lt;p&gt;&lt;strong&gt;COMPATIBLE WITH ALL V7III VERSIONS:&amp;nbsp;STONE, SPECIAL, RACER, ROUGH, MILANO, CARBON...&lt;/strong&gt;&lt;/p&gt;_x000a_&lt;p&gt;ORIGINAL SILENCERS WEIGHT:&amp;nbsp;&lt;/p&gt;_x000a_&lt;p&gt;ZARD SILENCERS WEIGHT:&amp;nbsp;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"/>
    <s v="https://shop.officineitalianezard.it/contents/imgs/products/1_2232-scarichi%20guzzi%20v7III.jpg"/>
    <m/>
    <m/>
  </r>
  <r>
    <s v="1586059423-10836"/>
    <s v="https://shop.officineitalianezard.it/en/products/"/>
    <m/>
    <s v="https://shop.officineitalianezard.it/en/moto-guzzi-zard-exhaust/"/>
    <s v="V7 III M.Y. 2017"/>
    <s v="https://shop.officineitalianezard.it/en/moto-guzzi-v7-iii-m-y-2017-exhaust/"/>
    <s v="ZUMA VERSION"/>
    <x v="139"/>
    <s v="SILENCERS"/>
    <s v="ZG083SSR-P2"/>
    <s v="MOTO GUZZI V7 III"/>
    <n v="763.52"/>
    <n v="848.36"/>
    <s v="&lt;p&gt;N. 2 STEEL RACING SILENCERS WITH REMOVABLE DB KILLERS AND BLACK CERAMIC COATING&lt;/p&gt;_x000a_&lt;p&gt;&lt;strong&gt;COMPATIBLE WITH ALL V7III VERSIONS:&amp;nbsp;STONE, SPECIAL, RACER, ROUGH, MILANO, CARBON...&lt;/strong&gt;&lt;/p&gt;_x000a_&lt;p&gt;ORIGINAL SILENCERS WEIGHT:&amp;nbsp;&lt;/p&gt;_x000a_&lt;p&gt;ZARD SILENCERS WEIGHT:&amp;nbsp;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"/>
    <s v="https://shop.officineitalianezard.it/contents/imgs/products/1_2234-scarico%20moto%20guzzi%20v7III%20-%20zard.jpg"/>
    <m/>
    <m/>
  </r>
  <r>
    <s v="1586059423-10837"/>
    <s v="https://shop.officineitalianezard.it/en/products/"/>
    <m/>
    <s v="https://shop.officineitalianezard.it/en/moto-guzzi-zard-exhaust/"/>
    <s v="V7 III M.Y. 2017"/>
    <s v="https://shop.officineitalianezard.it/en/moto-guzzi-v7-iii-m-y-2017-exhaust/"/>
    <s v="ZUMA VERSION"/>
    <x v="139"/>
    <s v="SILENCERS"/>
    <s v="ZG083SSR-P2"/>
    <s v="MOTO GUZZI V7 III"/>
    <n v="763.52"/>
    <n v="848.36"/>
    <s v="&lt;p&gt;N. 2 STEEL RACING SILENCERS WITH REMOVABLE DB KILLERS AND BLACK CERAMIC COATING&lt;/p&gt;_x000a_&lt;p&gt;&lt;strong&gt;COMPATIBLE WITH ALL V7III VERSIONS:&amp;nbsp;STONE, SPECIAL, RACER, ROUGH, MILANO, CARBON...&lt;/strong&gt;&lt;/p&gt;_x000a_&lt;p&gt;ORIGINAL SILENCERS WEIGHT:&amp;nbsp;&lt;/p&gt;_x000a_&lt;p&gt;ZARD SILENCERS WEIGHT:&amp;nbsp;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"/>
    <s v="https://shop.officineitalianezard.it/contents/imgs/products/1_2231-moto%20guzzi%20v7III%20scarichi%20-%20zard.jpg"/>
    <m/>
    <m/>
  </r>
  <r>
    <s v="1586059423-10838"/>
    <s v="https://shop.officineitalianezard.it/en/products/"/>
    <m/>
    <s v="https://shop.officineitalianezard.it/en/moto-guzzi-zard-exhaust/"/>
    <s v="V7 III M.Y. 2017"/>
    <s v="https://shop.officineitalianezard.it/en/moto-guzzi-v7-iii-m-y-2017-exhaust/"/>
    <s v="ZUMA VERSION"/>
    <x v="139"/>
    <s v="SILENCERS"/>
    <s v="ZG083SSR-P2"/>
    <s v="MOTO GUZZI V7 III"/>
    <n v="763.52"/>
    <n v="848.36"/>
    <s v="&lt;p&gt;N. 2 STEEL RACING SILENCERS WITH REMOVABLE DB KILLERS AND BLACK CERAMIC COATING&lt;/p&gt;_x000a_&lt;p&gt;&lt;strong&gt;COMPATIBLE WITH ALL V7III VERSIONS:&amp;nbsp;STONE, SPECIAL, RACER, ROUGH, MILANO, CARBON...&lt;/strong&gt;&lt;/p&gt;_x000a_&lt;p&gt;ORIGINAL SILENCERS WEIGHT:&amp;nbsp;&lt;/p&gt;_x000a_&lt;p&gt;ZARD SILENCERS WEIGHT:&amp;nbsp;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"/>
    <s v="https://shop.officineitalianezard.it/contents/imgs/products/1_2233-zard%20moto%20guzzi%20v7III.jpg"/>
    <m/>
    <m/>
  </r>
  <r>
    <s v="1586059423-10839"/>
    <s v="https://shop.officineitalianezard.it/en/products/"/>
    <m/>
    <s v="https://shop.officineitalianezard.it/en/moto-guzzi-zard-exhaust/"/>
    <s v="V7 III M.Y. 2017"/>
    <s v="https://shop.officineitalianezard.it/en/moto-guzzi-v7-iii-m-y-2017-exhaust/"/>
    <s v="ZUMA VERSION"/>
    <x v="139"/>
    <s v="SILENCERS"/>
    <s v="ZG083SSR-P2"/>
    <s v="MOTO GUZZI V7 III"/>
    <n v="763.52"/>
    <n v="848.36"/>
    <s v="&lt;p&gt;N. 2 STEEL RACING SILENCERS WITH REMOVABLE DB KILLERS AND BLACK CERAMIC COATING&lt;/p&gt;_x000a_&lt;p&gt;&lt;strong&gt;COMPATIBLE WITH ALL V7III VERSIONS:&amp;nbsp;STONE, SPECIAL, RACER, ROUGH, MILANO, CARBON...&lt;/strong&gt;&lt;/p&gt;_x000a_&lt;p&gt;ORIGINAL SILENCERS WEIGHT:&amp;nbsp;&lt;/p&gt;_x000a_&lt;p&gt;ZARD SILENCERS WEIGHT:&amp;nbsp;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"/>
    <m/>
    <s v="EURO 4 HOMOLOGATED"/>
    <n v="45.74"/>
  </r>
  <r>
    <s v="1586059425-10840"/>
    <s v="https://shop.officineitalianezard.it/en/products/"/>
    <m/>
    <s v="https://shop.officineitalianezard.it/en/moto-guzzi-zard-exhaust/"/>
    <s v="V7 III M.Y. 2017"/>
    <s v="https://shop.officineitalianezard.it/en/moto-guzzi-v7-iii-m-y-2017-exhaust/"/>
    <s v="ZUMA VERSION"/>
    <x v="140"/>
    <s v="SILENCERS"/>
    <s v="ZG083SSO-CR"/>
    <s v="MOTO GUZZI V7 III"/>
    <n v="780.49"/>
    <n v="867.21"/>
    <s v="&lt;p&gt;N. 2 STEEL&amp;nbsp;HOMOLOGATED SILENCERS WITH REMOVABLE DB KILLERS AND&amp;nbsp;MIRROR POLISHING&lt;/p&gt;_x000a_&lt;p&gt;&lt;strong&gt;COMPATIBLE WITH ALL V7III VERSIONS:&amp;nbsp;STONE, SPECIAL, RACER, ROUGH, MILANO, CARBON...&lt;/strong&gt;&lt;/p&gt;_x000a_&lt;p&gt;ORIGINAL SILENCERS WEIGHT:&amp;nbsp;&lt;/p&gt;_x000a_&lt;p&gt;ZARD SILENCERS WEIGHT:&amp;nbsp;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"/>
    <s v="https://shop.officineitalianezard.it/contents/imgs/products/1_2721-scarichi%20guzzi%20v7III.jpg"/>
    <m/>
    <m/>
  </r>
  <r>
    <s v="1586059425-10841"/>
    <s v="https://shop.officineitalianezard.it/en/products/"/>
    <m/>
    <s v="https://shop.officineitalianezard.it/en/moto-guzzi-zard-exhaust/"/>
    <s v="V7 III M.Y. 2017"/>
    <s v="https://shop.officineitalianezard.it/en/moto-guzzi-v7-iii-m-y-2017-exhaust/"/>
    <s v="ZUMA VERSION"/>
    <x v="140"/>
    <s v="SILENCERS"/>
    <s v="ZG083SSO-CR"/>
    <s v="MOTO GUZZI V7 III"/>
    <n v="780.49"/>
    <n v="867.21"/>
    <s v="&lt;p&gt;N. 2 STEEL&amp;nbsp;HOMOLOGATED SILENCERS WITH REMOVABLE DB KILLERS AND&amp;nbsp;MIRROR POLISHING&lt;/p&gt;_x000a_&lt;p&gt;&lt;strong&gt;COMPATIBLE WITH ALL V7III VERSIONS:&amp;nbsp;STONE, SPECIAL, RACER, ROUGH, MILANO, CARBON...&lt;/strong&gt;&lt;/p&gt;_x000a_&lt;p&gt;ORIGINAL SILENCERS WEIGHT:&amp;nbsp;&lt;/p&gt;_x000a_&lt;p&gt;ZARD SILENCERS WEIGHT:&amp;nbsp;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"/>
    <s v="https://shop.officineitalianezard.it/contents/imgs/products/1_2723-scarico%20moto%20guzzi%20v7III%20-%20zard.jpg"/>
    <m/>
    <m/>
  </r>
  <r>
    <s v="1586059425-10842"/>
    <s v="https://shop.officineitalianezard.it/en/products/"/>
    <m/>
    <s v="https://shop.officineitalianezard.it/en/moto-guzzi-zard-exhaust/"/>
    <s v="V7 III M.Y. 2017"/>
    <s v="https://shop.officineitalianezard.it/en/moto-guzzi-v7-iii-m-y-2017-exhaust/"/>
    <s v="ZUMA VERSION"/>
    <x v="140"/>
    <s v="SILENCERS"/>
    <s v="ZG083SSO-CR"/>
    <s v="MOTO GUZZI V7 III"/>
    <n v="780.49"/>
    <n v="867.21"/>
    <s v="&lt;p&gt;N. 2 STEEL&amp;nbsp;HOMOLOGATED SILENCERS WITH REMOVABLE DB KILLERS AND&amp;nbsp;MIRROR POLISHING&lt;/p&gt;_x000a_&lt;p&gt;&lt;strong&gt;COMPATIBLE WITH ALL V7III VERSIONS:&amp;nbsp;STONE, SPECIAL, RACER, ROUGH, MILANO, CARBON...&lt;/strong&gt;&lt;/p&gt;_x000a_&lt;p&gt;ORIGINAL SILENCERS WEIGHT:&amp;nbsp;&lt;/p&gt;_x000a_&lt;p&gt;ZARD SILENCERS WEIGHT:&amp;nbsp;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"/>
    <s v="https://shop.officineitalianezard.it/contents/imgs/products/1_2720-moto%20guzzi%20v7III%20scarichi%20-%20zard.jpg"/>
    <m/>
    <m/>
  </r>
  <r>
    <s v="1586059425-10843"/>
    <s v="https://shop.officineitalianezard.it/en/products/"/>
    <m/>
    <s v="https://shop.officineitalianezard.it/en/moto-guzzi-zard-exhaust/"/>
    <s v="V7 III M.Y. 2017"/>
    <s v="https://shop.officineitalianezard.it/en/moto-guzzi-v7-iii-m-y-2017-exhaust/"/>
    <s v="ZUMA VERSION"/>
    <x v="140"/>
    <s v="SILENCERS"/>
    <s v="ZG083SSO-CR"/>
    <s v="MOTO GUZZI V7 III"/>
    <n v="780.49"/>
    <n v="867.21"/>
    <s v="&lt;p&gt;N. 2 STEEL&amp;nbsp;HOMOLOGATED SILENCERS WITH REMOVABLE DB KILLERS AND&amp;nbsp;MIRROR POLISHING&lt;/p&gt;_x000a_&lt;p&gt;&lt;strong&gt;COMPATIBLE WITH ALL V7III VERSIONS:&amp;nbsp;STONE, SPECIAL, RACER, ROUGH, MILANO, CARBON...&lt;/strong&gt;&lt;/p&gt;_x000a_&lt;p&gt;ORIGINAL SILENCERS WEIGHT:&amp;nbsp;&lt;/p&gt;_x000a_&lt;p&gt;ZARD SILENCERS WEIGHT:&amp;nbsp;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"/>
    <s v="https://shop.officineitalianezard.it/contents/imgs/products/1_2722-zard%20moto%20guzzi%20v7III.jpg"/>
    <m/>
    <m/>
  </r>
  <r>
    <s v="1586059429-10844"/>
    <s v="https://shop.officineitalianezard.it/en/products/"/>
    <m/>
    <s v="https://shop.officineitalianezard.it/en/moto-guzzi-zard-exhaust/"/>
    <s v="SPORT 1200 &gt; M.Y. 2011"/>
    <s v="https://shop.officineitalianezard.it/en/pages/index/moto-guzzi-sport-1200-m-y-2011-113/"/>
    <s v="CONICAL VERSION"/>
    <x v="141"/>
    <s v="SILENCER"/>
    <s v="ZG074SSR-11"/>
    <s v="MOTO GUZZI SPORT 1200 &gt; M.Y. 2011"/>
    <n v="455.16"/>
    <n v="505.74"/>
    <s v="&lt;p&gt;STEEL SILENCER RACING WITH REMOVABLE DB KILLER&lt;/p&gt;_x000a_&lt;p&gt;ORIGINAL SILENCER WEIGHT: KG 7&lt;br&gt;ZARD SILENCER WEIGHT: KG 3.1&lt;/p&gt;_x000a_&lt;p&gt;HARD INCREASE IN TERMS OF TORQUE AT LOW-RANGE/MID-RANGE AND + 3 HP COMPARED TO THE DEFAULT ONE&lt;/p&gt;_x000a_&lt;p&gt;ASTONISHING SOUND&lt;/p&gt;"/>
    <s v="https://shop.officineitalianezard.it/contents/imgs/products/1_618-scarico%20moto%20guzzi%20zard%203.jpg"/>
    <m/>
    <m/>
  </r>
  <r>
    <s v="1586059429-10845"/>
    <s v="https://shop.officineitalianezard.it/en/products/"/>
    <m/>
    <s v="https://shop.officineitalianezard.it/en/moto-guzzi-zard-exhaust/"/>
    <s v="SPORT 1200 &gt; M.Y. 2011"/>
    <s v="https://shop.officineitalianezard.it/en/pages/index/moto-guzzi-sport-1200-m-y-2011-113/"/>
    <s v="CONICAL VERSION"/>
    <x v="141"/>
    <s v="SILENCER"/>
    <s v="ZG074SSR-11"/>
    <s v="MOTO GUZZI SPORT 1200 &gt; M.Y. 2011"/>
    <n v="455.16"/>
    <n v="505.74"/>
    <s v="&lt;p&gt;STEEL SILENCER RACING WITH REMOVABLE DB KILLER&lt;/p&gt;_x000a_&lt;p&gt;ORIGINAL SILENCER WEIGHT: KG 7&lt;br&gt;ZARD SILENCER WEIGHT: KG 3.1&lt;/p&gt;_x000a_&lt;p&gt;HARD INCREASE IN TERMS OF TORQUE AT LOW-RANGE/MID-RANGE AND + 3 HP COMPARED TO THE DEFAULT ONE&lt;/p&gt;_x000a_&lt;p&gt;ASTONISHING SOUND&lt;/p&gt;"/>
    <m/>
    <s v="EURO 3 HOMOLOGATED"/>
    <n v="58.28"/>
  </r>
  <r>
    <s v="1586059429-10846"/>
    <s v="https://shop.officineitalianezard.it/en/products/"/>
    <m/>
    <s v="https://shop.officineitalianezard.it/en/moto-guzzi-zard-exhaust/"/>
    <s v="SPORT 1200 &gt; M.Y. 2011"/>
    <s v="https://shop.officineitalianezard.it/en/pages/index/moto-guzzi-sport-1200-m-y-2011-113/"/>
    <s v="CONICAL VERSION"/>
    <x v="141"/>
    <s v="SILENCER"/>
    <s v="ZG074SSR-11"/>
    <s v="MOTO GUZZI SPORT 1200 &gt; M.Y. 2011"/>
    <n v="455.16"/>
    <n v="505.74"/>
    <s v="&lt;p&gt;STEEL SILENCER RACING WITH REMOVABLE DB KILLER&lt;/p&gt;_x000a_&lt;p&gt;ORIGINAL SILENCER WEIGHT: KG 7&lt;br&gt;ZARD SILENCER WEIGHT: KG 3.1&lt;/p&gt;_x000a_&lt;p&gt;HARD INCREASE IN TERMS OF TORQUE AT LOW-RANGE/MID-RANGE AND + 3 HP COMPARED TO THE DEFAULT ONE&lt;/p&gt;_x000a_&lt;p&gt;ASTONISHING SOUND&lt;/p&gt;"/>
    <m/>
    <s v="BLACK COATING"/>
    <n v="77.459999999999994"/>
  </r>
  <r>
    <s v="1586059429-10847"/>
    <s v="https://shop.officineitalianezard.it/en/products/"/>
    <m/>
    <s v="https://shop.officineitalianezard.it/en/moto-guzzi-zard-exhaust/"/>
    <s v="SPORT 1200 &gt; M.Y. 2011"/>
    <s v="https://shop.officineitalianezard.it/en/pages/index/moto-guzzi-sport-1200-m-y-2011-113/"/>
    <s v="CONICAL VERSION"/>
    <x v="141"/>
    <s v="SILENCER"/>
    <s v="ZG074SSR-11"/>
    <s v="MOTO GUZZI SPORT 1200 &gt; M.Y. 2011"/>
    <n v="455.16"/>
    <n v="505.74"/>
    <s v="&lt;p&gt;STEEL SILENCER RACING WITH REMOVABLE DB KILLER&lt;/p&gt;_x000a_&lt;p&gt;ORIGINAL SILENCER WEIGHT: KG 7&lt;br&gt;ZARD SILENCER WEIGHT: KG 3.1&lt;/p&gt;_x000a_&lt;p&gt;HARD INCREASE IN TERMS OF TORQUE AT LOW-RANGE/MID-RANGE AND + 3 HP COMPARED TO THE DEFAULT ONE&lt;/p&gt;_x000a_&lt;p&gt;ASTONISHING SOUND&lt;/p&gt;"/>
    <m/>
    <s v="CARBON ENDCAP"/>
    <n v="42.05"/>
  </r>
  <r>
    <s v="1586059434-10848"/>
    <s v="https://shop.officineitalianezard.it/en/products/"/>
    <m/>
    <s v="https://shop.officineitalianezard.it/en/moto-guzzi-zard-exhaust/"/>
    <s v="SPORT 1200 &lt; M.Y. 2011"/>
    <s v="https://shop.officineitalianezard.it/en/moto-guzzi-sport-1200-m-y-2011/"/>
    <s v="CONICAL VERSION"/>
    <x v="142"/>
    <s v="SILENCER"/>
    <s v="ZG074SSR"/>
    <s v="MOTO GUZZI SPORT 1200 &lt; M.Y. 2011"/>
    <n v="455.16"/>
    <n v="505.74"/>
    <s v="&lt;p&gt;STEEL SILENCER RACING WITH REMOVABLE DB KILLER&lt;/p&gt;_x000a_&lt;p&gt;ORIGINAL SILENCER WEIGHT: KG 7&lt;br&gt;ZARD SILENCER WEIGHT: KG 3.1&lt;/p&gt;_x000a_&lt;p&gt;HARD INCREASE IN TERMS OF TORQUE AT LOW-RANGE/MID-RANGE AND + 3 HP COMPARED TO THE DEFAULT ONE&lt;/p&gt;_x000a_&lt;p&gt;ASTONISHING SOUND&lt;/p&gt;"/>
    <s v="https://shop.officineitalianezard.it/contents/imgs/products/1_617-scarico%20moto%20guzzi%20zard%203.jpg"/>
    <m/>
    <m/>
  </r>
  <r>
    <s v="1586059434-10849"/>
    <s v="https://shop.officineitalianezard.it/en/products/"/>
    <m/>
    <s v="https://shop.officineitalianezard.it/en/moto-guzzi-zard-exhaust/"/>
    <s v="SPORT 1200 &lt; M.Y. 2011"/>
    <s v="https://shop.officineitalianezard.it/en/moto-guzzi-sport-1200-m-y-2011/"/>
    <s v="CONICAL VERSION"/>
    <x v="142"/>
    <s v="SILENCER"/>
    <s v="ZG074SSR"/>
    <s v="MOTO GUZZI SPORT 1200 &lt; M.Y. 2011"/>
    <n v="455.16"/>
    <n v="505.74"/>
    <s v="&lt;p&gt;STEEL SILENCER RACING WITH REMOVABLE DB KILLER&lt;/p&gt;_x000a_&lt;p&gt;ORIGINAL SILENCER WEIGHT: KG 7&lt;br&gt;ZARD SILENCER WEIGHT: KG 3.1&lt;/p&gt;_x000a_&lt;p&gt;HARD INCREASE IN TERMS OF TORQUE AT LOW-RANGE/MID-RANGE AND + 3 HP COMPARED TO THE DEFAULT ONE&lt;/p&gt;_x000a_&lt;p&gt;ASTONISHING SOUND&lt;/p&gt;"/>
    <m/>
    <s v="EURO 3 HOMOLOGATED"/>
    <n v="58.28"/>
  </r>
  <r>
    <s v="1586059434-10850"/>
    <s v="https://shop.officineitalianezard.it/en/products/"/>
    <m/>
    <s v="https://shop.officineitalianezard.it/en/moto-guzzi-zard-exhaust/"/>
    <s v="SPORT 1200 &lt; M.Y. 2011"/>
    <s v="https://shop.officineitalianezard.it/en/moto-guzzi-sport-1200-m-y-2011/"/>
    <s v="CONICAL VERSION"/>
    <x v="142"/>
    <s v="SILENCER"/>
    <s v="ZG074SSR"/>
    <s v="MOTO GUZZI SPORT 1200 &lt; M.Y. 2011"/>
    <n v="455.16"/>
    <n v="505.74"/>
    <s v="&lt;p&gt;STEEL SILENCER RACING WITH REMOVABLE DB KILLER&lt;/p&gt;_x000a_&lt;p&gt;ORIGINAL SILENCER WEIGHT: KG 7&lt;br&gt;ZARD SILENCER WEIGHT: KG 3.1&lt;/p&gt;_x000a_&lt;p&gt;HARD INCREASE IN TERMS OF TORQUE AT LOW-RANGE/MID-RANGE AND + 3 HP COMPARED TO THE DEFAULT ONE&lt;/p&gt;_x000a_&lt;p&gt;ASTONISHING SOUND&lt;/p&gt;"/>
    <m/>
    <s v="BLACK COATING"/>
    <n v="77.459999999999994"/>
  </r>
  <r>
    <s v="1586059434-10851"/>
    <s v="https://shop.officineitalianezard.it/en/products/"/>
    <m/>
    <s v="https://shop.officineitalianezard.it/en/moto-guzzi-zard-exhaust/"/>
    <s v="SPORT 1200 &lt; M.Y. 2011"/>
    <s v="https://shop.officineitalianezard.it/en/moto-guzzi-sport-1200-m-y-2011/"/>
    <s v="CONICAL VERSION"/>
    <x v="142"/>
    <s v="SILENCER"/>
    <s v="ZG074SSR"/>
    <s v="MOTO GUZZI SPORT 1200 &lt; M.Y. 2011"/>
    <n v="455.16"/>
    <n v="505.74"/>
    <s v="&lt;p&gt;STEEL SILENCER RACING WITH REMOVABLE DB KILLER&lt;/p&gt;_x000a_&lt;p&gt;ORIGINAL SILENCER WEIGHT: KG 7&lt;br&gt;ZARD SILENCER WEIGHT: KG 3.1&lt;/p&gt;_x000a_&lt;p&gt;HARD INCREASE IN TERMS OF TORQUE AT LOW-RANGE/MID-RANGE AND + 3 HP COMPARED TO THE DEFAULT ONE&lt;/p&gt;_x000a_&lt;p&gt;ASTONISHING SOUND&lt;/p&gt;"/>
    <m/>
    <s v="CARBON ENDCAP"/>
    <n v="42.05"/>
  </r>
  <r>
    <s v="1586059439-10852"/>
    <s v="https://shop.officineitalianezard.it/en/products/"/>
    <m/>
    <s v="https://shop.officineitalianezard.it/en/moto-guzzi-zard-exhaust/"/>
    <s v="STELVIO"/>
    <s v="https://shop.officineitalianezard.it/en/moto-guzzi-stelvio-exhaust/"/>
    <s v="CONICAL VERSION"/>
    <x v="143"/>
    <s v="SILENCER"/>
    <s v="ZG073SSR"/>
    <s v="MOTO GUZZI STELVIO"/>
    <n v="475.08"/>
    <n v="527.87"/>
    <s v="&lt;p&gt;STEEL RACING SILENCER WITH REMOVABLE DB KILLER&lt;/p&gt;_x000a_&lt;p&gt;ORIGINAL SILENCER WEIGHT: KG 7&lt;br&gt;ZARD SILENCER WEIGHT: KG 3.1&lt;/p&gt;_x000a_&lt;p&gt;SILENCER CAN BE FITTED ON ALL 2 OR 4 VALVES MODELS&lt;/p&gt;_x000a_&lt;p&gt;&lt;span&gt;STEEL HEAT SHIELD INCLUDED.&lt;/span&gt;&lt;/p&gt;_x000a_&lt;p&gt;HARD INCREASE IN TERMS OF TORQUE AT LOW-RANGE/MID-RANGE AND + 4.6 HP COMPARED TO THE ORIGINAL EXHAUST.&lt;/p&gt;_x000a_&lt;p&gt;ASTONISHING SOUND.&lt;/p&gt;"/>
    <s v="https://shop.officineitalianezard.it/contents/imgs/products/1_691-scarichi%20moto%20zard%20guzzi.jpg"/>
    <m/>
    <m/>
  </r>
  <r>
    <s v="1586059439-10853"/>
    <s v="https://shop.officineitalianezard.it/en/products/"/>
    <m/>
    <s v="https://shop.officineitalianezard.it/en/moto-guzzi-zard-exhaust/"/>
    <s v="STELVIO"/>
    <s v="https://shop.officineitalianezard.it/en/moto-guzzi-stelvio-exhaust/"/>
    <s v="CONICAL VERSION"/>
    <x v="143"/>
    <s v="SILENCER"/>
    <s v="ZG073SSR"/>
    <s v="MOTO GUZZI STELVIO"/>
    <n v="475.08"/>
    <n v="527.87"/>
    <s v="&lt;p&gt;STEEL RACING SILENCER WITH REMOVABLE DB KILLER&lt;/p&gt;_x000a_&lt;p&gt;ORIGINAL SILENCER WEIGHT: KG 7&lt;br&gt;ZARD SILENCER WEIGHT: KG 3.1&lt;/p&gt;_x000a_&lt;p&gt;SILENCER CAN BE FITTED ON ALL 2 OR 4 VALVES MODELS&lt;/p&gt;_x000a_&lt;p&gt;&lt;span&gt;STEEL HEAT SHIELD INCLUDED.&lt;/span&gt;&lt;/p&gt;_x000a_&lt;p&gt;HARD INCREASE IN TERMS OF TORQUE AT LOW-RANGE/MID-RANGE AND + 4.6 HP COMPARED TO THE ORIGINAL EXHAUST.&lt;/p&gt;_x000a_&lt;p&gt;ASTONISHING SOUND.&lt;/p&gt;"/>
    <s v="https://shop.officineitalianezard.it/contents/imgs/products/1_546-scarico%20moto%20guzzi%20zard%202.jpg"/>
    <m/>
    <m/>
  </r>
  <r>
    <s v="1586059439-10854"/>
    <s v="https://shop.officineitalianezard.it/en/products/"/>
    <m/>
    <s v="https://shop.officineitalianezard.it/en/moto-guzzi-zard-exhaust/"/>
    <s v="STELVIO"/>
    <s v="https://shop.officineitalianezard.it/en/moto-guzzi-stelvio-exhaust/"/>
    <s v="CONICAL VERSION"/>
    <x v="143"/>
    <s v="SILENCER"/>
    <s v="ZG073SSR"/>
    <s v="MOTO GUZZI STELVIO"/>
    <n v="475.08"/>
    <n v="527.87"/>
    <s v="&lt;p&gt;STEEL RACING SILENCER WITH REMOVABLE DB KILLER&lt;/p&gt;_x000a_&lt;p&gt;ORIGINAL SILENCER WEIGHT: KG 7&lt;br&gt;ZARD SILENCER WEIGHT: KG 3.1&lt;/p&gt;_x000a_&lt;p&gt;SILENCER CAN BE FITTED ON ALL 2 OR 4 VALVES MODELS&lt;/p&gt;_x000a_&lt;p&gt;&lt;span&gt;STEEL HEAT SHIELD INCLUDED.&lt;/span&gt;&lt;/p&gt;_x000a_&lt;p&gt;HARD INCREASE IN TERMS OF TORQUE AT LOW-RANGE/MID-RANGE AND + 4.6 HP COMPARED TO THE ORIGINAL EXHAUST.&lt;/p&gt;_x000a_&lt;p&gt;ASTONISHING SOUND.&lt;/p&gt;"/>
    <m/>
    <s v="EURO 3 HOMOLOGATED"/>
    <n v="47.95"/>
  </r>
  <r>
    <s v="1586059439-10855"/>
    <s v="https://shop.officineitalianezard.it/en/products/"/>
    <m/>
    <s v="https://shop.officineitalianezard.it/en/moto-guzzi-zard-exhaust/"/>
    <s v="STELVIO"/>
    <s v="https://shop.officineitalianezard.it/en/moto-guzzi-stelvio-exhaust/"/>
    <s v="CONICAL VERSION"/>
    <x v="143"/>
    <s v="SILENCER"/>
    <s v="ZG073SSR"/>
    <s v="MOTO GUZZI STELVIO"/>
    <n v="475.08"/>
    <n v="527.87"/>
    <s v="&lt;p&gt;STEEL RACING SILENCER WITH REMOVABLE DB KILLER&lt;/p&gt;_x000a_&lt;p&gt;ORIGINAL SILENCER WEIGHT: KG 7&lt;br&gt;ZARD SILENCER WEIGHT: KG 3.1&lt;/p&gt;_x000a_&lt;p&gt;SILENCER CAN BE FITTED ON ALL 2 OR 4 VALVES MODELS&lt;/p&gt;_x000a_&lt;p&gt;&lt;span&gt;STEEL HEAT SHIELD INCLUDED.&lt;/span&gt;&lt;/p&gt;_x000a_&lt;p&gt;HARD INCREASE IN TERMS OF TORQUE AT LOW-RANGE/MID-RANGE AND + 4.6 HP COMPARED TO THE ORIGINAL EXHAUST.&lt;/p&gt;_x000a_&lt;p&gt;ASTONISHING SOUND.&lt;/p&gt;"/>
    <m/>
    <s v="BLACK COATING"/>
    <n v="77.459999999999994"/>
  </r>
  <r>
    <s v="1586059439-10856"/>
    <s v="https://shop.officineitalianezard.it/en/products/"/>
    <m/>
    <s v="https://shop.officineitalianezard.it/en/moto-guzzi-zard-exhaust/"/>
    <s v="STELVIO"/>
    <s v="https://shop.officineitalianezard.it/en/moto-guzzi-stelvio-exhaust/"/>
    <s v="CONICAL VERSION"/>
    <x v="143"/>
    <s v="SILENCER"/>
    <s v="ZG073SSR"/>
    <s v="MOTO GUZZI STELVIO"/>
    <n v="475.08"/>
    <n v="527.87"/>
    <s v="&lt;p&gt;STEEL RACING SILENCER WITH REMOVABLE DB KILLER&lt;/p&gt;_x000a_&lt;p&gt;ORIGINAL SILENCER WEIGHT: KG 7&lt;br&gt;ZARD SILENCER WEIGHT: KG 3.1&lt;/p&gt;_x000a_&lt;p&gt;SILENCER CAN BE FITTED ON ALL 2 OR 4 VALVES MODELS&lt;/p&gt;_x000a_&lt;p&gt;&lt;span&gt;STEEL HEAT SHIELD INCLUDED.&lt;/span&gt;&lt;/p&gt;_x000a_&lt;p&gt;HARD INCREASE IN TERMS OF TORQUE AT LOW-RANGE/MID-RANGE AND + 4.6 HP COMPARED TO THE ORIGINAL EXHAUST.&lt;/p&gt;_x000a_&lt;p&gt;ASTONISHING SOUND.&lt;/p&gt;"/>
    <m/>
    <s v="CARBON ENDCAP"/>
    <n v="42.05"/>
  </r>
  <r>
    <s v="1586059444-10857"/>
    <s v="https://shop.officineitalianezard.it/en/products/"/>
    <m/>
    <s v="https://shop.officineitalianezard.it/en/moto-guzzi-zard-exhaust/"/>
    <s v="NORGE &gt; M.Y. 2011"/>
    <s v="https://shop.officineitalianezard.it/en/moto-guzzi-norge-m-y-2011/"/>
    <s v="CONICAL VERSION"/>
    <x v="144"/>
    <s v="SILENCER"/>
    <s v="ZG072SSR-11"/>
    <s v="MOTO GUZZI NORGE &gt; M.Y. 2011"/>
    <n v="455.16"/>
    <n v="505.74"/>
    <s v="&lt;p&gt;STEEL SILENCER RACING WITH REMOVABLE DB KILLER&lt;/p&gt;_x000a_&lt;p&gt;ORIGINAL SILENCER WEIGHT: KG 7&lt;br&gt;ZARD SILENCER WEIGHT: KG 3.1&lt;/p&gt;_x000a_&lt;p&gt;HARD INCREASE IN TERMS OF TORQUE AT LOW-RANGE/MID-RANGE AND + 3 HP COMPARED TO THE ORIGINAL EXHAUST.&lt;/p&gt;_x000a_&lt;p&gt;ASTONISHING SOUND.&lt;/p&gt;"/>
    <s v="https://shop.officineitalianezard.it/contents/imgs/products/1_689-scarico%20moto%20guzzi%20zard%201.jpg"/>
    <m/>
    <m/>
  </r>
  <r>
    <s v="1586059444-10858"/>
    <s v="https://shop.officineitalianezard.it/en/products/"/>
    <m/>
    <s v="https://shop.officineitalianezard.it/en/moto-guzzi-zard-exhaust/"/>
    <s v="NORGE &gt; M.Y. 2011"/>
    <s v="https://shop.officineitalianezard.it/en/moto-guzzi-norge-m-y-2011/"/>
    <s v="CONICAL VERSION"/>
    <x v="144"/>
    <s v="SILENCER"/>
    <s v="ZG072SSR-11"/>
    <s v="MOTO GUZZI NORGE &gt; M.Y. 2011"/>
    <n v="455.16"/>
    <n v="505.74"/>
    <s v="&lt;p&gt;STEEL SILENCER RACING WITH REMOVABLE DB KILLER&lt;/p&gt;_x000a_&lt;p&gt;ORIGINAL SILENCER WEIGHT: KG 7&lt;br&gt;ZARD SILENCER WEIGHT: KG 3.1&lt;/p&gt;_x000a_&lt;p&gt;HARD INCREASE IN TERMS OF TORQUE AT LOW-RANGE/MID-RANGE AND + 3 HP COMPARED TO THE ORIGINAL EXHAUST.&lt;/p&gt;_x000a_&lt;p&gt;ASTONISHING SOUND.&lt;/p&gt;"/>
    <s v="https://shop.officineitalianezard.it/contents/imgs/products/1_690-scarico%20moto%20guzzi%20zard%202.jpg"/>
    <m/>
    <m/>
  </r>
  <r>
    <s v="1586059444-10859"/>
    <s v="https://shop.officineitalianezard.it/en/products/"/>
    <m/>
    <s v="https://shop.officineitalianezard.it/en/moto-guzzi-zard-exhaust/"/>
    <s v="NORGE &gt; M.Y. 2011"/>
    <s v="https://shop.officineitalianezard.it/en/moto-guzzi-norge-m-y-2011/"/>
    <s v="CONICAL VERSION"/>
    <x v="144"/>
    <s v="SILENCER"/>
    <s v="ZG072SSR-11"/>
    <s v="MOTO GUZZI NORGE &gt; M.Y. 2011"/>
    <n v="455.16"/>
    <n v="505.74"/>
    <s v="&lt;p&gt;STEEL SILENCER RACING WITH REMOVABLE DB KILLER&lt;/p&gt;_x000a_&lt;p&gt;ORIGINAL SILENCER WEIGHT: KG 7&lt;br&gt;ZARD SILENCER WEIGHT: KG 3.1&lt;/p&gt;_x000a_&lt;p&gt;HARD INCREASE IN TERMS OF TORQUE AT LOW-RANGE/MID-RANGE AND + 3 HP COMPARED TO THE ORIGINAL EXHAUST.&lt;/p&gt;_x000a_&lt;p&gt;ASTONISHING SOUND.&lt;/p&gt;"/>
    <m/>
    <s v="EURO 3 HOMOLOGATED"/>
    <n v="58.28"/>
  </r>
  <r>
    <s v="1586059444-10860"/>
    <s v="https://shop.officineitalianezard.it/en/products/"/>
    <m/>
    <s v="https://shop.officineitalianezard.it/en/moto-guzzi-zard-exhaust/"/>
    <s v="NORGE &gt; M.Y. 2011"/>
    <s v="https://shop.officineitalianezard.it/en/moto-guzzi-norge-m-y-2011/"/>
    <s v="CONICAL VERSION"/>
    <x v="144"/>
    <s v="SILENCER"/>
    <s v="ZG072SSR-11"/>
    <s v="MOTO GUZZI NORGE &gt; M.Y. 2011"/>
    <n v="455.16"/>
    <n v="505.74"/>
    <s v="&lt;p&gt;STEEL SILENCER RACING WITH REMOVABLE DB KILLER&lt;/p&gt;_x000a_&lt;p&gt;ORIGINAL SILENCER WEIGHT: KG 7&lt;br&gt;ZARD SILENCER WEIGHT: KG 3.1&lt;/p&gt;_x000a_&lt;p&gt;HARD INCREASE IN TERMS OF TORQUE AT LOW-RANGE/MID-RANGE AND + 3 HP COMPARED TO THE ORIGINAL EXHAUST.&lt;/p&gt;_x000a_&lt;p&gt;ASTONISHING SOUND.&lt;/p&gt;"/>
    <m/>
    <s v="BLACK COATING"/>
    <n v="77.459999999999994"/>
  </r>
  <r>
    <s v="1586059444-10861"/>
    <s v="https://shop.officineitalianezard.it/en/products/"/>
    <m/>
    <s v="https://shop.officineitalianezard.it/en/moto-guzzi-zard-exhaust/"/>
    <s v="NORGE &gt; M.Y. 2011"/>
    <s v="https://shop.officineitalianezard.it/en/moto-guzzi-norge-m-y-2011/"/>
    <s v="CONICAL VERSION"/>
    <x v="144"/>
    <s v="SILENCER"/>
    <s v="ZG072SSR-11"/>
    <s v="MOTO GUZZI NORGE &gt; M.Y. 2011"/>
    <n v="455.16"/>
    <n v="505.74"/>
    <s v="&lt;p&gt;STEEL SILENCER RACING WITH REMOVABLE DB KILLER&lt;/p&gt;_x000a_&lt;p&gt;ORIGINAL SILENCER WEIGHT: KG 7&lt;br&gt;ZARD SILENCER WEIGHT: KG 3.1&lt;/p&gt;_x000a_&lt;p&gt;HARD INCREASE IN TERMS OF TORQUE AT LOW-RANGE/MID-RANGE AND + 3 HP COMPARED TO THE ORIGINAL EXHAUST.&lt;/p&gt;_x000a_&lt;p&gt;ASTONISHING SOUND.&lt;/p&gt;"/>
    <m/>
    <s v="CARBON ENDCAP"/>
    <n v="42.05"/>
  </r>
  <r>
    <s v="1586059449-10862"/>
    <s v="https://shop.officineitalianezard.it/en/products/"/>
    <m/>
    <s v="https://shop.officineitalianezard.it/en/moto-guzzi-zard-exhaust/"/>
    <s v="NORGE &lt; M.Y. 2011"/>
    <s v="https://shop.officineitalianezard.it/en/moto-guzzi-norge-m-y-2011-exhaust/"/>
    <s v="CONICAL VERSION"/>
    <x v="145"/>
    <s v="SILENCER"/>
    <s v="ZG072SSR"/>
    <s v="MOTO GUZZI NORGE &lt; M.Y. 2011"/>
    <n v="455.16"/>
    <n v="505.74"/>
    <s v="&lt;p&gt;STEEL SILENCER RACING WITH REMOVABLE DB KILLER&lt;/p&gt;_x000a_&lt;p&gt;ORIGINAL SILENCER WEIGHT: KG 7&lt;br&gt;ZARD SILENCER WEIGHT: KG 3.1&lt;/p&gt;_x000a_&lt;p&gt;HARD INCREASE IN TERMS OF TORQUE AT LOW-RANGE/MID-RANGE AND + 3 HP COMPARED TO THE ORIGINAL EXHAUST.&lt;/p&gt;_x000a_&lt;p&gt;ASTONISHING SOUND.&lt;/p&gt;"/>
    <s v="https://shop.officineitalianezard.it/contents/imgs/products/1_543-scarico%20moto%20guzzi%20zard%201.jpg"/>
    <m/>
    <m/>
  </r>
  <r>
    <s v="1586059449-10863"/>
    <s v="https://shop.officineitalianezard.it/en/products/"/>
    <m/>
    <s v="https://shop.officineitalianezard.it/en/moto-guzzi-zard-exhaust/"/>
    <s v="NORGE &lt; M.Y. 2011"/>
    <s v="https://shop.officineitalianezard.it/en/moto-guzzi-norge-m-y-2011-exhaust/"/>
    <s v="CONICAL VERSION"/>
    <x v="145"/>
    <s v="SILENCER"/>
    <s v="ZG072SSR"/>
    <s v="MOTO GUZZI NORGE &lt; M.Y. 2011"/>
    <n v="455.16"/>
    <n v="505.74"/>
    <s v="&lt;p&gt;STEEL SILENCER RACING WITH REMOVABLE DB KILLER&lt;/p&gt;_x000a_&lt;p&gt;ORIGINAL SILENCER WEIGHT: KG 7&lt;br&gt;ZARD SILENCER WEIGHT: KG 3.1&lt;/p&gt;_x000a_&lt;p&gt;HARD INCREASE IN TERMS OF TORQUE AT LOW-RANGE/MID-RANGE AND + 3 HP COMPARED TO THE ORIGINAL EXHAUST.&lt;/p&gt;_x000a_&lt;p&gt;ASTONISHING SOUND.&lt;/p&gt;"/>
    <s v="https://shop.officineitalianezard.it/contents/imgs/products/1_544-scarico%20moto%20guzzi%20zard%202.jpg"/>
    <m/>
    <m/>
  </r>
  <r>
    <s v="1586059449-10864"/>
    <s v="https://shop.officineitalianezard.it/en/products/"/>
    <m/>
    <s v="https://shop.officineitalianezard.it/en/moto-guzzi-zard-exhaust/"/>
    <s v="NORGE &lt; M.Y. 2011"/>
    <s v="https://shop.officineitalianezard.it/en/moto-guzzi-norge-m-y-2011-exhaust/"/>
    <s v="CONICAL VERSION"/>
    <x v="145"/>
    <s v="SILENCER"/>
    <s v="ZG072SSR"/>
    <s v="MOTO GUZZI NORGE &lt; M.Y. 2011"/>
    <n v="455.16"/>
    <n v="505.74"/>
    <s v="&lt;p&gt;STEEL SILENCER RACING WITH REMOVABLE DB KILLER&lt;/p&gt;_x000a_&lt;p&gt;ORIGINAL SILENCER WEIGHT: KG 7&lt;br&gt;ZARD SILENCER WEIGHT: KG 3.1&lt;/p&gt;_x000a_&lt;p&gt;HARD INCREASE IN TERMS OF TORQUE AT LOW-RANGE/MID-RANGE AND + 3 HP COMPARED TO THE ORIGINAL EXHAUST.&lt;/p&gt;_x000a_&lt;p&gt;ASTONISHING SOUND.&lt;/p&gt;"/>
    <m/>
    <s v="EURO 3 HOMOLOGATED"/>
    <n v="58.28"/>
  </r>
  <r>
    <s v="1586059449-10865"/>
    <s v="https://shop.officineitalianezard.it/en/products/"/>
    <m/>
    <s v="https://shop.officineitalianezard.it/en/moto-guzzi-zard-exhaust/"/>
    <s v="NORGE &lt; M.Y. 2011"/>
    <s v="https://shop.officineitalianezard.it/en/moto-guzzi-norge-m-y-2011-exhaust/"/>
    <s v="CONICAL VERSION"/>
    <x v="145"/>
    <s v="SILENCER"/>
    <s v="ZG072SSR"/>
    <s v="MOTO GUZZI NORGE &lt; M.Y. 2011"/>
    <n v="455.16"/>
    <n v="505.74"/>
    <s v="&lt;p&gt;STEEL SILENCER RACING WITH REMOVABLE DB KILLER&lt;/p&gt;_x000a_&lt;p&gt;ORIGINAL SILENCER WEIGHT: KG 7&lt;br&gt;ZARD SILENCER WEIGHT: KG 3.1&lt;/p&gt;_x000a_&lt;p&gt;HARD INCREASE IN TERMS OF TORQUE AT LOW-RANGE/MID-RANGE AND + 3 HP COMPARED TO THE ORIGINAL EXHAUST.&lt;/p&gt;_x000a_&lt;p&gt;ASTONISHING SOUND.&lt;/p&gt;"/>
    <m/>
    <s v="BLACK COATING"/>
    <n v="77.459999999999994"/>
  </r>
  <r>
    <s v="1586059449-10866"/>
    <s v="https://shop.officineitalianezard.it/en/products/"/>
    <m/>
    <s v="https://shop.officineitalianezard.it/en/moto-guzzi-zard-exhaust/"/>
    <s v="NORGE &lt; M.Y. 2011"/>
    <s v="https://shop.officineitalianezard.it/en/moto-guzzi-norge-m-y-2011-exhaust/"/>
    <s v="CONICAL VERSION"/>
    <x v="145"/>
    <s v="SILENCER"/>
    <s v="ZG072SSR"/>
    <s v="MOTO GUZZI NORGE &lt; M.Y. 2011"/>
    <n v="455.16"/>
    <n v="505.74"/>
    <s v="&lt;p&gt;STEEL SILENCER RACING WITH REMOVABLE DB KILLER&lt;/p&gt;_x000a_&lt;p&gt;ORIGINAL SILENCER WEIGHT: KG 7&lt;br&gt;ZARD SILENCER WEIGHT: KG 3.1&lt;/p&gt;_x000a_&lt;p&gt;HARD INCREASE IN TERMS OF TORQUE AT LOW-RANGE/MID-RANGE AND + 3 HP COMPARED TO THE ORIGINAL EXHAUST.&lt;/p&gt;_x000a_&lt;p&gt;ASTONISHING SOUND.&lt;/p&gt;"/>
    <m/>
    <s v="CARBON ENDCAP"/>
    <n v="42.05"/>
  </r>
  <r>
    <s v="1586059453-10867"/>
    <s v="https://shop.officineitalianezard.it/en/products/"/>
    <m/>
    <s v="https://shop.officineitalianezard.it/en/moto-guzzi-zard-exhaust/"/>
    <s v="LE MANS"/>
    <s v="https://shop.officineitalianezard.it/en/moto-guzzi-le-mans-exhaust/"/>
    <s v="STEEL VERSION"/>
    <x v="146"/>
    <s v="2&gt;2 FULL KIT"/>
    <s v="ZG095SKR"/>
    <s v="MOTO GUZZI LE MANS"/>
    <n v="840.25"/>
    <n v="933.61"/>
    <s v="&lt;p&gt;STEEL 2&amp;gt;2 RACING FULL KIT WITH REMOVABLE DB KILLER&lt;/p&gt;_x000a_&lt;p&gt;HARD INCREASE, COMPARED TO THE ORIGINAL EXHAUST SYSTEM, IN TERMS OF TORQUE AND POWER AT ANY RANGE&lt;/p&gt;_x000a_&lt;p&gt;ASTONISHING SOUND&lt;/p&gt;_x000a_&lt;p&gt;&lt;span&gt;AVAILABLE ON DEMAND ONLY. DELIVERY 4 WORKING WEEKS FROM ORDER.&lt;/span&gt;&lt;/p&gt;"/>
    <s v="https://shop.officineitalianezard.it/contents/imgs/products/1_1245-lemans1sito.jpg"/>
    <m/>
    <m/>
  </r>
  <r>
    <s v="1586059453-10868"/>
    <s v="https://shop.officineitalianezard.it/en/products/"/>
    <m/>
    <s v="https://shop.officineitalianezard.it/en/moto-guzzi-zard-exhaust/"/>
    <s v="LE MANS"/>
    <s v="https://shop.officineitalianezard.it/en/moto-guzzi-le-mans-exhaust/"/>
    <s v="STEEL VERSION"/>
    <x v="146"/>
    <s v="2&gt;2 FULL KIT"/>
    <s v="ZG095SKR"/>
    <s v="MOTO GUZZI LE MANS"/>
    <n v="840.25"/>
    <n v="933.61"/>
    <s v="&lt;p&gt;STEEL 2&amp;gt;2 RACING FULL KIT WITH REMOVABLE DB KILLER&lt;/p&gt;_x000a_&lt;p&gt;HARD INCREASE, COMPARED TO THE ORIGINAL EXHAUST SYSTEM, IN TERMS OF TORQUE AND POWER AT ANY RANGE&lt;/p&gt;_x000a_&lt;p&gt;ASTONISHING SOUND&lt;/p&gt;_x000a_&lt;p&gt;&lt;span&gt;AVAILABLE ON DEMAND ONLY. DELIVERY 4 WORKING WEEKS FROM ORDER.&lt;/span&gt;&lt;/p&gt;"/>
    <s v="https://shop.officineitalianezard.it/contents/imgs/products/1_1836-le%20mans%20guzzi%20zard%202.jpg"/>
    <m/>
    <m/>
  </r>
  <r>
    <s v="1586059453-10869"/>
    <s v="https://shop.officineitalianezard.it/en/products/"/>
    <m/>
    <s v="https://shop.officineitalianezard.it/en/moto-guzzi-zard-exhaust/"/>
    <s v="LE MANS"/>
    <s v="https://shop.officineitalianezard.it/en/moto-guzzi-le-mans-exhaust/"/>
    <s v="STEEL VERSION"/>
    <x v="146"/>
    <s v="2&gt;2 FULL KIT"/>
    <s v="ZG095SKR"/>
    <s v="MOTO GUZZI LE MANS"/>
    <n v="840.25"/>
    <n v="933.61"/>
    <s v="&lt;p&gt;STEEL 2&amp;gt;2 RACING FULL KIT WITH REMOVABLE DB KILLER&lt;/p&gt;_x000a_&lt;p&gt;HARD INCREASE, COMPARED TO THE ORIGINAL EXHAUST SYSTEM, IN TERMS OF TORQUE AND POWER AT ANY RANGE&lt;/p&gt;_x000a_&lt;p&gt;ASTONISHING SOUND&lt;/p&gt;_x000a_&lt;p&gt;&lt;span&gt;AVAILABLE ON DEMAND ONLY. DELIVERY 4 WORKING WEEKS FROM ORDER.&lt;/span&gt;&lt;/p&gt;"/>
    <s v="https://shop.officineitalianezard.it/contents/imgs/products/1_1837-le%20mans%20guzzi%20zard.jpg"/>
    <m/>
    <m/>
  </r>
  <r>
    <s v="1586059453-10870"/>
    <s v="https://shop.officineitalianezard.it/en/products/"/>
    <m/>
    <s v="https://shop.officineitalianezard.it/en/moto-guzzi-zard-exhaust/"/>
    <s v="LE MANS"/>
    <s v="https://shop.officineitalianezard.it/en/moto-guzzi-le-mans-exhaust/"/>
    <s v="STEEL VERSION"/>
    <x v="146"/>
    <s v="2&gt;2 FULL KIT"/>
    <s v="ZG095SKR"/>
    <s v="MOTO GUZZI LE MANS"/>
    <n v="840.25"/>
    <n v="933.61"/>
    <s v="&lt;p&gt;STEEL 2&amp;gt;2 RACING FULL KIT WITH REMOVABLE DB KILLER&lt;/p&gt;_x000a_&lt;p&gt;HARD INCREASE, COMPARED TO THE ORIGINAL EXHAUST SYSTEM, IN TERMS OF TORQUE AND POWER AT ANY RANGE&lt;/p&gt;_x000a_&lt;p&gt;ASTONISHING SOUND&lt;/p&gt;_x000a_&lt;p&gt;&lt;span&gt;AVAILABLE ON DEMAND ONLY. DELIVERY 4 WORKING WEEKS FROM ORDER.&lt;/span&gt;&lt;/p&gt;"/>
    <s v="https://shop.officineitalianezard.it/contents/imgs/products/1_1795-13559111_1769807879932699_4177920961974432603_o.jpg"/>
    <m/>
    <m/>
  </r>
  <r>
    <s v="1586059453-10871"/>
    <s v="https://shop.officineitalianezard.it/en/products/"/>
    <m/>
    <s v="https://shop.officineitalianezard.it/en/moto-guzzi-zard-exhaust/"/>
    <s v="LE MANS"/>
    <s v="https://shop.officineitalianezard.it/en/moto-guzzi-le-mans-exhaust/"/>
    <s v="STEEL VERSION"/>
    <x v="146"/>
    <s v="2&gt;2 FULL KIT"/>
    <s v="ZG095SKR"/>
    <s v="MOTO GUZZI LE MANS"/>
    <n v="840.25"/>
    <n v="933.61"/>
    <s v="&lt;p&gt;STEEL 2&amp;gt;2 RACING FULL KIT WITH REMOVABLE DB KILLER&lt;/p&gt;_x000a_&lt;p&gt;HARD INCREASE, COMPARED TO THE ORIGINAL EXHAUST SYSTEM, IN TERMS OF TORQUE AND POWER AT ANY RANGE&lt;/p&gt;_x000a_&lt;p&gt;ASTONISHING SOUND&lt;/p&gt;_x000a_&lt;p&gt;&lt;span&gt;AVAILABLE ON DEMAND ONLY. DELIVERY 4 WORKING WEEKS FROM ORDER.&lt;/span&gt;&lt;/p&gt;"/>
    <s v="https://shop.officineitalianezard.it/contents/imgs/products/1_1796-13575928_1769805463266274_5658087586871920989_o.jpg"/>
    <m/>
    <m/>
  </r>
  <r>
    <s v="1586059453-10872"/>
    <s v="https://shop.officineitalianezard.it/en/products/"/>
    <m/>
    <s v="https://shop.officineitalianezard.it/en/moto-guzzi-zard-exhaust/"/>
    <s v="LE MANS"/>
    <s v="https://shop.officineitalianezard.it/en/moto-guzzi-le-mans-exhaust/"/>
    <s v="STEEL VERSION"/>
    <x v="146"/>
    <s v="2&gt;2 FULL KIT"/>
    <s v="ZG095SKR"/>
    <s v="MOTO GUZZI LE MANS"/>
    <n v="840.25"/>
    <n v="933.61"/>
    <s v="&lt;p&gt;STEEL 2&amp;gt;2 RACING FULL KIT WITH REMOVABLE DB KILLER&lt;/p&gt;_x000a_&lt;p&gt;HARD INCREASE, COMPARED TO THE ORIGINAL EXHAUST SYSTEM, IN TERMS OF TORQUE AND POWER AT ANY RANGE&lt;/p&gt;_x000a_&lt;p&gt;ASTONISHING SOUND&lt;/p&gt;_x000a_&lt;p&gt;&lt;span&gt;AVAILABLE ON DEMAND ONLY. DELIVERY 4 WORKING WEEKS FROM ORDER.&lt;/span&gt;&lt;/p&gt;"/>
    <s v="https://shop.officineitalianezard.it/contents/imgs/products/1_1797-13576619_1767553100158177_4073183710709924169_o.jpg"/>
    <m/>
    <m/>
  </r>
  <r>
    <s v="1586059453-10873"/>
    <s v="https://shop.officineitalianezard.it/en/products/"/>
    <m/>
    <s v="https://shop.officineitalianezard.it/en/moto-guzzi-zard-exhaust/"/>
    <s v="LE MANS"/>
    <s v="https://shop.officineitalianezard.it/en/moto-guzzi-le-mans-exhaust/"/>
    <s v="STEEL VERSION"/>
    <x v="146"/>
    <s v="2&gt;2 FULL KIT"/>
    <s v="ZG095SKR"/>
    <s v="MOTO GUZZI LE MANS"/>
    <n v="840.25"/>
    <n v="933.61"/>
    <s v="&lt;p&gt;STEEL 2&amp;gt;2 RACING FULL KIT WITH REMOVABLE DB KILLER&lt;/p&gt;_x000a_&lt;p&gt;HARD INCREASE, COMPARED TO THE ORIGINAL EXHAUST SYSTEM, IN TERMS OF TORQUE AND POWER AT ANY RANGE&lt;/p&gt;_x000a_&lt;p&gt;ASTONISHING SOUND&lt;/p&gt;_x000a_&lt;p&gt;&lt;span&gt;AVAILABLE ON DEMAND ONLY. DELIVERY 4 WORKING WEEKS FROM ORDER.&lt;/span&gt;&lt;/p&gt;"/>
    <m/>
    <s v="BLACK COATING"/>
    <n v="169.67"/>
  </r>
  <r>
    <s v="1586059453-10874"/>
    <s v="https://shop.officineitalianezard.it/en/products/"/>
    <m/>
    <s v="https://shop.officineitalianezard.it/en/moto-guzzi-zard-exhaust/"/>
    <s v="LE MANS"/>
    <s v="https://shop.officineitalianezard.it/en/moto-guzzi-le-mans-exhaust/"/>
    <s v="STEEL VERSION"/>
    <x v="146"/>
    <s v="2&gt;2 FULL KIT"/>
    <s v="ZG095SKR"/>
    <s v="MOTO GUZZI LE MANS"/>
    <n v="840.25"/>
    <n v="933.61"/>
    <s v="&lt;p&gt;STEEL 2&amp;gt;2 RACING FULL KIT WITH REMOVABLE DB KILLER&lt;/p&gt;_x000a_&lt;p&gt;HARD INCREASE, COMPARED TO THE ORIGINAL EXHAUST SYSTEM, IN TERMS OF TORQUE AND POWER AT ANY RANGE&lt;/p&gt;_x000a_&lt;p&gt;ASTONISHING SOUND&lt;/p&gt;_x000a_&lt;p&gt;&lt;span&gt;AVAILABLE ON DEMAND ONLY. DELIVERY 4 WORKING WEEKS FROM ORDER.&lt;/span&gt;&lt;/p&gt;"/>
    <m/>
    <s v="POLISHED"/>
    <n v="96.64"/>
  </r>
  <r>
    <s v="1586059458-10875"/>
    <s v="https://shop.officineitalianezard.it/en/products/"/>
    <m/>
    <s v="https://shop.officineitalianezard.it/en/moto-guzzi-zard-exhaust/"/>
    <s v="GRISO"/>
    <s v="https://shop.officineitalianezard.it/en/moto-guzzi-griso-exhaust/"/>
    <s v="CONICAL VERSION"/>
    <x v="147"/>
    <s v="SILENCER"/>
    <s v="ZG070SSR-B"/>
    <s v="MOTO GUZZI GRISO"/>
    <n v="455.16"/>
    <n v="505.74"/>
    <s v="&lt;p&gt;STEEL SILENCER RACING WITH REMOVABLE DB KILLER&lt;/p&gt;_x000a_&lt;p&gt;WEIGHT OF THE ORIGINAL FULL KIT: KG 8.5&lt;br&gt;WEIGHT OF THE ZARD STREET LEGAL MUFFLER WITH CAT: KG 3.2&lt;/p&gt;_x000a_&lt;p&gt;SILENCER CAN BE FITTED ON ALL TWO AND FOUR VALVES MODELS&lt;/p&gt;_x000a_&lt;p&gt;HARD INCREASE, COMPARED TO THE ORIGINAL EXHAUST SYSTEM, IN TERMS OF TORQUE AND POWER (+3 HP) AT ANY RANGE.&lt;/p&gt;_x000a_&lt;p&gt;THE MUFFLER FIT ON THE 2011 VERSION OF THE GRISO.&lt;/p&gt;_x000a_&lt;p&gt;ASTONISHING SOUND.&lt;/p&gt;_x000a_&lt;p&gt;SILENCER FITS ALSO ON 2015 MODELS&lt;/p&gt;"/>
    <s v="https://shop.officineitalianezard.it/contents/imgs/products/1_688-scarichi%20moto%20zard%20guzzi.jpg"/>
    <m/>
    <m/>
  </r>
  <r>
    <s v="1586059458-10876"/>
    <s v="https://shop.officineitalianezard.it/en/products/"/>
    <m/>
    <s v="https://shop.officineitalianezard.it/en/moto-guzzi-zard-exhaust/"/>
    <s v="GRISO"/>
    <s v="https://shop.officineitalianezard.it/en/moto-guzzi-griso-exhaust/"/>
    <s v="CONICAL VERSION"/>
    <x v="147"/>
    <s v="SILENCER"/>
    <s v="ZG070SSR-B"/>
    <s v="MOTO GUZZI GRISO"/>
    <n v="455.16"/>
    <n v="505.74"/>
    <s v="&lt;p&gt;STEEL SILENCER RACING WITH REMOVABLE DB KILLER&lt;/p&gt;_x000a_&lt;p&gt;WEIGHT OF THE ORIGINAL FULL KIT: KG 8.5&lt;br&gt;WEIGHT OF THE ZARD STREET LEGAL MUFFLER WITH CAT: KG 3.2&lt;/p&gt;_x000a_&lt;p&gt;SILENCER CAN BE FITTED ON ALL TWO AND FOUR VALVES MODELS&lt;/p&gt;_x000a_&lt;p&gt;HARD INCREASE, COMPARED TO THE ORIGINAL EXHAUST SYSTEM, IN TERMS OF TORQUE AND POWER (+3 HP) AT ANY RANGE.&lt;/p&gt;_x000a_&lt;p&gt;THE MUFFLER FIT ON THE 2011 VERSION OF THE GRISO.&lt;/p&gt;_x000a_&lt;p&gt;ASTONISHING SOUND.&lt;/p&gt;_x000a_&lt;p&gt;SILENCER FITS ALSO ON 2015 MODELS&lt;/p&gt;"/>
    <s v="https://shop.officineitalianezard.it/contents/imgs/products/1_541-scarico%20moto%20guzzi%20zard%201.jpg"/>
    <m/>
    <m/>
  </r>
  <r>
    <s v="1586059458-10877"/>
    <s v="https://shop.officineitalianezard.it/en/products/"/>
    <m/>
    <s v="https://shop.officineitalianezard.it/en/moto-guzzi-zard-exhaust/"/>
    <s v="GRISO"/>
    <s v="https://shop.officineitalianezard.it/en/moto-guzzi-griso-exhaust/"/>
    <s v="CONICAL VERSION"/>
    <x v="147"/>
    <s v="SILENCER"/>
    <s v="ZG070SSR-B"/>
    <s v="MOTO GUZZI GRISO"/>
    <n v="455.16"/>
    <n v="505.74"/>
    <s v="&lt;p&gt;STEEL SILENCER RACING WITH REMOVABLE DB KILLER&lt;/p&gt;_x000a_&lt;p&gt;WEIGHT OF THE ORIGINAL FULL KIT: KG 8.5&lt;br&gt;WEIGHT OF THE ZARD STREET LEGAL MUFFLER WITH CAT: KG 3.2&lt;/p&gt;_x000a_&lt;p&gt;SILENCER CAN BE FITTED ON ALL TWO AND FOUR VALVES MODELS&lt;/p&gt;_x000a_&lt;p&gt;HARD INCREASE, COMPARED TO THE ORIGINAL EXHAUST SYSTEM, IN TERMS OF TORQUE AND POWER (+3 HP) AT ANY RANGE.&lt;/p&gt;_x000a_&lt;p&gt;THE MUFFLER FIT ON THE 2011 VERSION OF THE GRISO.&lt;/p&gt;_x000a_&lt;p&gt;ASTONISHING SOUND.&lt;/p&gt;_x000a_&lt;p&gt;SILENCER FITS ALSO ON 2015 MODELS&lt;/p&gt;"/>
    <s v="https://shop.officineitalianezard.it/contents/imgs/products/1_542-scarichi%20moto.jpg"/>
    <m/>
    <m/>
  </r>
  <r>
    <s v="1586059458-10878"/>
    <s v="https://shop.officineitalianezard.it/en/products/"/>
    <m/>
    <s v="https://shop.officineitalianezard.it/en/moto-guzzi-zard-exhaust/"/>
    <s v="GRISO"/>
    <s v="https://shop.officineitalianezard.it/en/moto-guzzi-griso-exhaust/"/>
    <s v="CONICAL VERSION"/>
    <x v="147"/>
    <s v="SILENCER"/>
    <s v="ZG070SSR-B"/>
    <s v="MOTO GUZZI GRISO"/>
    <n v="455.16"/>
    <n v="505.74"/>
    <s v="&lt;p&gt;STEEL SILENCER RACING WITH REMOVABLE DB KILLER&lt;/p&gt;_x000a_&lt;p&gt;WEIGHT OF THE ORIGINAL FULL KIT: KG 8.5&lt;br&gt;WEIGHT OF THE ZARD STREET LEGAL MUFFLER WITH CAT: KG 3.2&lt;/p&gt;_x000a_&lt;p&gt;SILENCER CAN BE FITTED ON ALL TWO AND FOUR VALVES MODELS&lt;/p&gt;_x000a_&lt;p&gt;HARD INCREASE, COMPARED TO THE ORIGINAL EXHAUST SYSTEM, IN TERMS OF TORQUE AND POWER (+3 HP) AT ANY RANGE.&lt;/p&gt;_x000a_&lt;p&gt;THE MUFFLER FIT ON THE 2011 VERSION OF THE GRISO.&lt;/p&gt;_x000a_&lt;p&gt;ASTONISHING SOUND.&lt;/p&gt;_x000a_&lt;p&gt;SILENCER FITS ALSO ON 2015 MODELS&lt;/p&gt;"/>
    <m/>
    <s v="EURO 3 HOMOLOGATED"/>
    <n v="58.28"/>
  </r>
  <r>
    <s v="1586059458-10879"/>
    <s v="https://shop.officineitalianezard.it/en/products/"/>
    <m/>
    <s v="https://shop.officineitalianezard.it/en/moto-guzzi-zard-exhaust/"/>
    <s v="GRISO"/>
    <s v="https://shop.officineitalianezard.it/en/moto-guzzi-griso-exhaust/"/>
    <s v="CONICAL VERSION"/>
    <x v="147"/>
    <s v="SILENCER"/>
    <s v="ZG070SSR-B"/>
    <s v="MOTO GUZZI GRISO"/>
    <n v="455.16"/>
    <n v="505.74"/>
    <s v="&lt;p&gt;STEEL SILENCER RACING WITH REMOVABLE DB KILLER&lt;/p&gt;_x000a_&lt;p&gt;WEIGHT OF THE ORIGINAL FULL KIT: KG 8.5&lt;br&gt;WEIGHT OF THE ZARD STREET LEGAL MUFFLER WITH CAT: KG 3.2&lt;/p&gt;_x000a_&lt;p&gt;SILENCER CAN BE FITTED ON ALL TWO AND FOUR VALVES MODELS&lt;/p&gt;_x000a_&lt;p&gt;HARD INCREASE, COMPARED TO THE ORIGINAL EXHAUST SYSTEM, IN TERMS OF TORQUE AND POWER (+3 HP) AT ANY RANGE.&lt;/p&gt;_x000a_&lt;p&gt;THE MUFFLER FIT ON THE 2011 VERSION OF THE GRISO.&lt;/p&gt;_x000a_&lt;p&gt;ASTONISHING SOUND.&lt;/p&gt;_x000a_&lt;p&gt;SILENCER FITS ALSO ON 2015 MODELS&lt;/p&gt;"/>
    <m/>
    <s v="BLACK COATING"/>
    <n v="0"/>
  </r>
  <r>
    <s v="1586059458-10880"/>
    <s v="https://shop.officineitalianezard.it/en/products/"/>
    <m/>
    <s v="https://shop.officineitalianezard.it/en/moto-guzzi-zard-exhaust/"/>
    <s v="GRISO"/>
    <s v="https://shop.officineitalianezard.it/en/moto-guzzi-griso-exhaust/"/>
    <s v="CONICAL VERSION"/>
    <x v="147"/>
    <s v="SILENCER"/>
    <s v="ZG070SSR-B"/>
    <s v="MOTO GUZZI GRISO"/>
    <n v="455.16"/>
    <n v="505.74"/>
    <s v="&lt;p&gt;STEEL SILENCER RACING WITH REMOVABLE DB KILLER&lt;/p&gt;_x000a_&lt;p&gt;WEIGHT OF THE ORIGINAL FULL KIT: KG 8.5&lt;br&gt;WEIGHT OF THE ZARD STREET LEGAL MUFFLER WITH CAT: KG 3.2&lt;/p&gt;_x000a_&lt;p&gt;SILENCER CAN BE FITTED ON ALL TWO AND FOUR VALVES MODELS&lt;/p&gt;_x000a_&lt;p&gt;HARD INCREASE, COMPARED TO THE ORIGINAL EXHAUST SYSTEM, IN TERMS OF TORQUE AND POWER (+3 HP) AT ANY RANGE.&lt;/p&gt;_x000a_&lt;p&gt;THE MUFFLER FIT ON THE 2011 VERSION OF THE GRISO.&lt;/p&gt;_x000a_&lt;p&gt;ASTONISHING SOUND.&lt;/p&gt;_x000a_&lt;p&gt;SILENCER FITS ALSO ON 2015 MODELS&lt;/p&gt;"/>
    <m/>
    <s v="CARBON ENDCAP"/>
    <n v="42.05"/>
  </r>
  <r>
    <s v="1586059463-10881"/>
    <s v="https://shop.officineitalianezard.it/en/products/"/>
    <m/>
    <s v="https://shop.officineitalianezard.it/en/moto-guzzi-zard-exhaust/"/>
    <s v="CALIFORNIA &gt; M.Y. 2013"/>
    <s v="https://shop.officineitalianezard.it/en/moto-guzzi-california-m-y-2013-exhaust/"/>
    <s v="BLACK VERSION"/>
    <x v="148"/>
    <s v="N. 2 SILENCERS"/>
    <s v="ZG078SSR"/>
    <s v="MOTO GUZZI CALIFORNIA &gt; M.Y. 2013"/>
    <n v="708.93"/>
    <n v="787.7"/>
    <s v="&lt;p&gt;N. 2 BLACK STEEL SILENCERS RACING WITH REMOVABLE DB KILLER.&lt;/p&gt;_x000a_&lt;p&gt;BLACK CERAMIC COATING.&lt;/p&gt;_x000a_&lt;p&gt;HARD INCREASE, COMPARED TO THE ORIGINAL EXHAUST SYSTEM, IN TERMS OF TORQUE AND POWER AT ANY RANGE.&lt;/p&gt;_x000a_&lt;p&gt;ASTONISHING SOUND.&lt;/p&gt;_x000a_&lt;p&gt;&lt;/p&gt;"/>
    <s v="https://shop.officineitalianezard.it/contents/imgs/products/1_967-1.jpg"/>
    <m/>
    <m/>
  </r>
  <r>
    <s v="1586059463-10882"/>
    <s v="https://shop.officineitalianezard.it/en/products/"/>
    <m/>
    <s v="https://shop.officineitalianezard.it/en/moto-guzzi-zard-exhaust/"/>
    <s v="CALIFORNIA &gt; M.Y. 2013"/>
    <s v="https://shop.officineitalianezard.it/en/moto-guzzi-california-m-y-2013-exhaust/"/>
    <s v="BLACK VERSION"/>
    <x v="148"/>
    <s v="N. 2 SILENCERS"/>
    <s v="ZG078SSR"/>
    <s v="MOTO GUZZI CALIFORNIA &gt; M.Y. 2013"/>
    <n v="708.93"/>
    <n v="787.7"/>
    <s v="&lt;p&gt;N. 2 BLACK STEEL SILENCERS RACING WITH REMOVABLE DB KILLER.&lt;/p&gt;_x000a_&lt;p&gt;BLACK CERAMIC COATING.&lt;/p&gt;_x000a_&lt;p&gt;HARD INCREASE, COMPARED TO THE ORIGINAL EXHAUST SYSTEM, IN TERMS OF TORQUE AND POWER AT ANY RANGE.&lt;/p&gt;_x000a_&lt;p&gt;ASTONISHING SOUND.&lt;/p&gt;_x000a_&lt;p&gt;&lt;/p&gt;"/>
    <s v="https://shop.officineitalianezard.it/contents/imgs/products/1_968-2.jpg"/>
    <m/>
    <m/>
  </r>
  <r>
    <s v="1586059463-10883"/>
    <s v="https://shop.officineitalianezard.it/en/products/"/>
    <m/>
    <s v="https://shop.officineitalianezard.it/en/moto-guzzi-zard-exhaust/"/>
    <s v="CALIFORNIA &gt; M.Y. 2013"/>
    <s v="https://shop.officineitalianezard.it/en/moto-guzzi-california-m-y-2013-exhaust/"/>
    <s v="BLACK VERSION"/>
    <x v="148"/>
    <s v="N. 2 SILENCERS"/>
    <s v="ZG078SSR"/>
    <s v="MOTO GUZZI CALIFORNIA &gt; M.Y. 2013"/>
    <n v="708.93"/>
    <n v="787.7"/>
    <s v="&lt;p&gt;N. 2 BLACK STEEL SILENCERS RACING WITH REMOVABLE DB KILLER.&lt;/p&gt;_x000a_&lt;p&gt;BLACK CERAMIC COATING.&lt;/p&gt;_x000a_&lt;p&gt;HARD INCREASE, COMPARED TO THE ORIGINAL EXHAUST SYSTEM, IN TERMS OF TORQUE AND POWER AT ANY RANGE.&lt;/p&gt;_x000a_&lt;p&gt;ASTONISHING SOUND.&lt;/p&gt;_x000a_&lt;p&gt;&lt;/p&gt;"/>
    <s v="https://shop.officineitalianezard.it/contents/imgs/products/1_969-3.jpg"/>
    <m/>
    <m/>
  </r>
  <r>
    <s v="1586059463-10884"/>
    <s v="https://shop.officineitalianezard.it/en/products/"/>
    <m/>
    <s v="https://shop.officineitalianezard.it/en/moto-guzzi-zard-exhaust/"/>
    <s v="CALIFORNIA &gt; M.Y. 2013"/>
    <s v="https://shop.officineitalianezard.it/en/moto-guzzi-california-m-y-2013-exhaust/"/>
    <s v="BLACK VERSION"/>
    <x v="148"/>
    <s v="N. 2 SILENCERS"/>
    <s v="ZG078SSR"/>
    <s v="MOTO GUZZI CALIFORNIA &gt; M.Y. 2013"/>
    <n v="708.93"/>
    <n v="787.7"/>
    <s v="&lt;p&gt;N. 2 BLACK STEEL SILENCERS RACING WITH REMOVABLE DB KILLER.&lt;/p&gt;_x000a_&lt;p&gt;BLACK CERAMIC COATING.&lt;/p&gt;_x000a_&lt;p&gt;HARD INCREASE, COMPARED TO THE ORIGINAL EXHAUST SYSTEM, IN TERMS OF TORQUE AND POWER AT ANY RANGE.&lt;/p&gt;_x000a_&lt;p&gt;ASTONISHING SOUND.&lt;/p&gt;_x000a_&lt;p&gt;&lt;/p&gt;"/>
    <m/>
    <s v="EURO 3 HOMOLOGATED"/>
    <n v="30.98"/>
  </r>
  <r>
    <s v="1586059463-10885"/>
    <s v="https://shop.officineitalianezard.it/en/products/"/>
    <m/>
    <s v="https://shop.officineitalianezard.it/en/moto-guzzi-zard-exhaust/"/>
    <s v="CALIFORNIA &gt; M.Y. 2013"/>
    <s v="https://shop.officineitalianezard.it/en/moto-guzzi-california-m-y-2013-exhaust/"/>
    <s v="BLACK VERSION"/>
    <x v="148"/>
    <s v="N. 2 SILENCERS"/>
    <s v="ZG078SSR"/>
    <s v="MOTO GUZZI CALIFORNIA &gt; M.Y. 2013"/>
    <n v="708.93"/>
    <n v="787.7"/>
    <s v="&lt;p&gt;N. 2 BLACK STEEL SILENCERS RACING WITH REMOVABLE DB KILLER.&lt;/p&gt;_x000a_&lt;p&gt;BLACK CERAMIC COATING.&lt;/p&gt;_x000a_&lt;p&gt;HARD INCREASE, COMPARED TO THE ORIGINAL EXHAUST SYSTEM, IN TERMS OF TORQUE AND POWER AT ANY RANGE.&lt;/p&gt;_x000a_&lt;p&gt;ASTONISHING SOUND.&lt;/p&gt;_x000a_&lt;p&gt;&lt;/p&gt;"/>
    <m/>
    <s v="STEEL SATIN"/>
    <n v="0"/>
  </r>
  <r>
    <s v="1586059463-10886"/>
    <s v="https://shop.officineitalianezard.it/en/products/"/>
    <m/>
    <s v="https://shop.officineitalianezard.it/en/moto-guzzi-zard-exhaust/"/>
    <s v="CALIFORNIA &gt; M.Y. 2013"/>
    <s v="https://shop.officineitalianezard.it/en/moto-guzzi-california-m-y-2013-exhaust/"/>
    <s v="BLACK VERSION"/>
    <x v="148"/>
    <s v="N. 2 SILENCERS"/>
    <s v="ZG078SSR"/>
    <s v="MOTO GUZZI CALIFORNIA &gt; M.Y. 2013"/>
    <n v="708.93"/>
    <n v="787.7"/>
    <s v="&lt;p&gt;N. 2 BLACK STEEL SILENCERS RACING WITH REMOVABLE DB KILLER.&lt;/p&gt;_x000a_&lt;p&gt;BLACK CERAMIC COATING.&lt;/p&gt;_x000a_&lt;p&gt;HARD INCREASE, COMPARED TO THE ORIGINAL EXHAUST SYSTEM, IN TERMS OF TORQUE AND POWER AT ANY RANGE.&lt;/p&gt;_x000a_&lt;p&gt;ASTONISHING SOUND.&lt;/p&gt;_x000a_&lt;p&gt;&lt;/p&gt;"/>
    <m/>
    <s v="MIRROR POLISHED"/>
    <n v="15.49"/>
  </r>
  <r>
    <s v="1586059463-10887"/>
    <s v="https://shop.officineitalianezard.it/en/products/"/>
    <m/>
    <s v="https://shop.officineitalianezard.it/en/moto-guzzi-zard-exhaust/"/>
    <s v="CALIFORNIA &gt; M.Y. 2013"/>
    <s v="https://shop.officineitalianezard.it/en/moto-guzzi-california-m-y-2013-exhaust/"/>
    <s v="BLACK VERSION"/>
    <x v="148"/>
    <s v="N. 2 SILENCERS"/>
    <s v="ZG078SSR"/>
    <s v="MOTO GUZZI CALIFORNIA &gt; M.Y. 2013"/>
    <n v="708.93"/>
    <n v="787.7"/>
    <s v="&lt;p&gt;N. 2 BLACK STEEL SILENCERS RACING WITH REMOVABLE DB KILLER.&lt;/p&gt;_x000a_&lt;p&gt;BLACK CERAMIC COATING.&lt;/p&gt;_x000a_&lt;p&gt;HARD INCREASE, COMPARED TO THE ORIGINAL EXHAUST SYSTEM, IN TERMS OF TORQUE AND POWER AT ANY RANGE.&lt;/p&gt;_x000a_&lt;p&gt;ASTONISHING SOUND.&lt;/p&gt;_x000a_&lt;p&gt;&lt;/p&gt;"/>
    <m/>
    <s v="BLACK COATING ON ORIGINAL HEADERS"/>
    <n v="146.80000000000001"/>
  </r>
  <r>
    <s v="1586059469-10888"/>
    <s v="https://shop.officineitalianezard.it/en/products/"/>
    <m/>
    <s v="https://shop.officineitalianezard.it/en/moto-guzzi-zard-exhaust/"/>
    <s v="BREVA 1200 &gt; M.Y. 2011"/>
    <s v="https://shop.officineitalianezard.it/en/moto-guzzi-breva-1200-m-y-2011-exhaust/"/>
    <s v="CONICAL VERSION"/>
    <x v="149"/>
    <s v="SILENCER"/>
    <s v="ZG071SSR-11"/>
    <s v="MOTO GUZZI BREVA 1200 &gt; M.Y. 2011"/>
    <n v="455.16"/>
    <n v="505.74"/>
    <s v="&lt;p&gt;STEEL RACING SILENCER WITH REMOVABLE DB KILLER&lt;/p&gt;_x000a_&lt;p&gt;ORIGINAL SILENCER WEIGHT: KG 7&lt;br&gt;ZARD SILENCER WEIGHT: KG 3.1&lt;/p&gt;_x000a_&lt;p&gt;HARD INCREASE, COMPARED TO THE ORIGINAL EXHAUST SYSTEM, IN TERMS OF TORQUE AND POWER (+3 HP) AT ANY RANGE.&lt;/p&gt;_x000a_&lt;p&gt;ASTONISHING SOUND.&lt;/p&gt;_x000a_&lt;p&gt;&amp;nbsp;&lt;/p&gt;"/>
    <s v="https://shop.officineitalianezard.it/contents/imgs/products/1_686-scarico%20moto%20guzzi%20zard%201.jpg"/>
    <m/>
    <m/>
  </r>
  <r>
    <s v="1586059469-10889"/>
    <s v="https://shop.officineitalianezard.it/en/products/"/>
    <m/>
    <s v="https://shop.officineitalianezard.it/en/moto-guzzi-zard-exhaust/"/>
    <s v="BREVA 1200 &gt; M.Y. 2011"/>
    <s v="https://shop.officineitalianezard.it/en/moto-guzzi-breva-1200-m-y-2011-exhaust/"/>
    <s v="CONICAL VERSION"/>
    <x v="149"/>
    <s v="SILENCER"/>
    <s v="ZG071SSR-11"/>
    <s v="MOTO GUZZI BREVA 1200 &gt; M.Y. 2011"/>
    <n v="455.16"/>
    <n v="505.74"/>
    <s v="&lt;p&gt;STEEL RACING SILENCER WITH REMOVABLE DB KILLER&lt;/p&gt;_x000a_&lt;p&gt;ORIGINAL SILENCER WEIGHT: KG 7&lt;br&gt;ZARD SILENCER WEIGHT: KG 3.1&lt;/p&gt;_x000a_&lt;p&gt;HARD INCREASE, COMPARED TO THE ORIGINAL EXHAUST SYSTEM, IN TERMS OF TORQUE AND POWER (+3 HP) AT ANY RANGE.&lt;/p&gt;_x000a_&lt;p&gt;ASTONISHING SOUND.&lt;/p&gt;_x000a_&lt;p&gt;&amp;nbsp;&lt;/p&gt;"/>
    <s v="https://shop.officineitalianezard.it/contents/imgs/products/1_687-scarico%20moto%20guzzi%20zard%202.jpg"/>
    <m/>
    <m/>
  </r>
  <r>
    <s v="1586059469-10890"/>
    <s v="https://shop.officineitalianezard.it/en/products/"/>
    <m/>
    <s v="https://shop.officineitalianezard.it/en/moto-guzzi-zard-exhaust/"/>
    <s v="BREVA 1200 &gt; M.Y. 2011"/>
    <s v="https://shop.officineitalianezard.it/en/moto-guzzi-breva-1200-m-y-2011-exhaust/"/>
    <s v="CONICAL VERSION"/>
    <x v="149"/>
    <s v="SILENCER"/>
    <s v="ZG071SSR-11"/>
    <s v="MOTO GUZZI BREVA 1200 &gt; M.Y. 2011"/>
    <n v="455.16"/>
    <n v="505.74"/>
    <s v="&lt;p&gt;STEEL RACING SILENCER WITH REMOVABLE DB KILLER&lt;/p&gt;_x000a_&lt;p&gt;ORIGINAL SILENCER WEIGHT: KG 7&lt;br&gt;ZARD SILENCER WEIGHT: KG 3.1&lt;/p&gt;_x000a_&lt;p&gt;HARD INCREASE, COMPARED TO THE ORIGINAL EXHAUST SYSTEM, IN TERMS OF TORQUE AND POWER (+3 HP) AT ANY RANGE.&lt;/p&gt;_x000a_&lt;p&gt;ASTONISHING SOUND.&lt;/p&gt;_x000a_&lt;p&gt;&amp;nbsp;&lt;/p&gt;"/>
    <m/>
    <s v="EURO 3 HOMOLOGATED"/>
    <n v="58.28"/>
  </r>
  <r>
    <s v="1586059469-10891"/>
    <s v="https://shop.officineitalianezard.it/en/products/"/>
    <m/>
    <s v="https://shop.officineitalianezard.it/en/moto-guzzi-zard-exhaust/"/>
    <s v="BREVA 1200 &gt; M.Y. 2011"/>
    <s v="https://shop.officineitalianezard.it/en/moto-guzzi-breva-1200-m-y-2011-exhaust/"/>
    <s v="CONICAL VERSION"/>
    <x v="149"/>
    <s v="SILENCER"/>
    <s v="ZG071SSR-11"/>
    <s v="MOTO GUZZI BREVA 1200 &gt; M.Y. 2011"/>
    <n v="455.16"/>
    <n v="505.74"/>
    <s v="&lt;p&gt;STEEL RACING SILENCER WITH REMOVABLE DB KILLER&lt;/p&gt;_x000a_&lt;p&gt;ORIGINAL SILENCER WEIGHT: KG 7&lt;br&gt;ZARD SILENCER WEIGHT: KG 3.1&lt;/p&gt;_x000a_&lt;p&gt;HARD INCREASE, COMPARED TO THE ORIGINAL EXHAUST SYSTEM, IN TERMS OF TORQUE AND POWER (+3 HP) AT ANY RANGE.&lt;/p&gt;_x000a_&lt;p&gt;ASTONISHING SOUND.&lt;/p&gt;_x000a_&lt;p&gt;&amp;nbsp;&lt;/p&gt;"/>
    <m/>
    <s v="BLACK COATING"/>
    <n v="77.459999999999994"/>
  </r>
  <r>
    <s v="1586059469-10892"/>
    <s v="https://shop.officineitalianezard.it/en/products/"/>
    <m/>
    <s v="https://shop.officineitalianezard.it/en/moto-guzzi-zard-exhaust/"/>
    <s v="BREVA 1200 &gt; M.Y. 2011"/>
    <s v="https://shop.officineitalianezard.it/en/moto-guzzi-breva-1200-m-y-2011-exhaust/"/>
    <s v="CONICAL VERSION"/>
    <x v="149"/>
    <s v="SILENCER"/>
    <s v="ZG071SSR-11"/>
    <s v="MOTO GUZZI BREVA 1200 &gt; M.Y. 2011"/>
    <n v="455.16"/>
    <n v="505.74"/>
    <s v="&lt;p&gt;STEEL RACING SILENCER WITH REMOVABLE DB KILLER&lt;/p&gt;_x000a_&lt;p&gt;ORIGINAL SILENCER WEIGHT: KG 7&lt;br&gt;ZARD SILENCER WEIGHT: KG 3.1&lt;/p&gt;_x000a_&lt;p&gt;HARD INCREASE, COMPARED TO THE ORIGINAL EXHAUST SYSTEM, IN TERMS OF TORQUE AND POWER (+3 HP) AT ANY RANGE.&lt;/p&gt;_x000a_&lt;p&gt;ASTONISHING SOUND.&lt;/p&gt;_x000a_&lt;p&gt;&amp;nbsp;&lt;/p&gt;"/>
    <m/>
    <s v="CARBON ENDCAP"/>
    <n v="42.05"/>
  </r>
  <r>
    <s v="1586059474-10893"/>
    <s v="https://shop.officineitalianezard.it/en/products/"/>
    <m/>
    <s v="https://shop.officineitalianezard.it/en/moto-guzzi-zard-exhaust/"/>
    <s v="BREVA 850-1200 &lt; M.Y. 2011"/>
    <s v="https://shop.officineitalianezard.it/en/moto-guzzi-breva-1200-m-y-201-exhaust/"/>
    <s v="CONICAL VERSION"/>
    <x v="150"/>
    <s v="SILENCER"/>
    <s v="ZG071SSR"/>
    <s v="MOTO GUZZI BREVA 850-1200 &lt; M.Y. 2011"/>
    <n v="455.16"/>
    <n v="505.74"/>
    <s v="&lt;p&gt;STEEL RACING SILENCER WITH REMOVABLE DB KILLER&lt;/p&gt;_x000a_&lt;p&gt;ORIGINAL SILENCER WEIGHT: KG 7&lt;br&gt;ZARD SILENCER WEIGHT: KG 3.1&lt;/p&gt;_x000a_&lt;p&gt;HARD INCREASE, COMPARED TO THE ORIGINAL EXHAUST SYSTEM, IN TERMS OF TORQUE AND POWER (+3 HP) AT ANY RANGE.&lt;/p&gt;_x000a_&lt;p&gt;ASTONISHING SOUND.&lt;/p&gt;_x000a_&lt;p&gt;&amp;nbsp;&lt;/p&gt;"/>
    <s v="https://shop.officineitalianezard.it/contents/imgs/products/1_538-scarico%20moto%20guzzi%20zard%201.jpg"/>
    <m/>
    <m/>
  </r>
  <r>
    <s v="1586059474-10894"/>
    <s v="https://shop.officineitalianezard.it/en/products/"/>
    <m/>
    <s v="https://shop.officineitalianezard.it/en/moto-guzzi-zard-exhaust/"/>
    <s v="BREVA 850-1200 &lt; M.Y. 2011"/>
    <s v="https://shop.officineitalianezard.it/en/moto-guzzi-breva-1200-m-y-201-exhaust/"/>
    <s v="CONICAL VERSION"/>
    <x v="150"/>
    <s v="SILENCER"/>
    <s v="ZG071SSR"/>
    <s v="MOTO GUZZI BREVA 850-1200 &lt; M.Y. 2011"/>
    <n v="455.16"/>
    <n v="505.74"/>
    <s v="&lt;p&gt;STEEL RACING SILENCER WITH REMOVABLE DB KILLER&lt;/p&gt;_x000a_&lt;p&gt;ORIGINAL SILENCER WEIGHT: KG 7&lt;br&gt;ZARD SILENCER WEIGHT: KG 3.1&lt;/p&gt;_x000a_&lt;p&gt;HARD INCREASE, COMPARED TO THE ORIGINAL EXHAUST SYSTEM, IN TERMS OF TORQUE AND POWER (+3 HP) AT ANY RANGE.&lt;/p&gt;_x000a_&lt;p&gt;ASTONISHING SOUND.&lt;/p&gt;_x000a_&lt;p&gt;&amp;nbsp;&lt;/p&gt;"/>
    <s v="https://shop.officineitalianezard.it/contents/imgs/products/1_539-scarico%20moto%20guzzi%20zard%202.jpg"/>
    <m/>
    <m/>
  </r>
  <r>
    <s v="1586059474-10895"/>
    <s v="https://shop.officineitalianezard.it/en/products/"/>
    <m/>
    <s v="https://shop.officineitalianezard.it/en/moto-guzzi-zard-exhaust/"/>
    <s v="BREVA 850-1200 &lt; M.Y. 2011"/>
    <s v="https://shop.officineitalianezard.it/en/moto-guzzi-breva-1200-m-y-201-exhaust/"/>
    <s v="CONICAL VERSION"/>
    <x v="150"/>
    <s v="SILENCER"/>
    <s v="ZG071SSR"/>
    <s v="MOTO GUZZI BREVA 850-1200 &lt; M.Y. 2011"/>
    <n v="455.16"/>
    <n v="505.74"/>
    <s v="&lt;p&gt;STEEL RACING SILENCER WITH REMOVABLE DB KILLER&lt;/p&gt;_x000a_&lt;p&gt;ORIGINAL SILENCER WEIGHT: KG 7&lt;br&gt;ZARD SILENCER WEIGHT: KG 3.1&lt;/p&gt;_x000a_&lt;p&gt;HARD INCREASE, COMPARED TO THE ORIGINAL EXHAUST SYSTEM, IN TERMS OF TORQUE AND POWER (+3 HP) AT ANY RANGE.&lt;/p&gt;_x000a_&lt;p&gt;ASTONISHING SOUND.&lt;/p&gt;_x000a_&lt;p&gt;&amp;nbsp;&lt;/p&gt;"/>
    <m/>
    <s v="EURO 3 HOMOLOGATED"/>
    <n v="58.28"/>
  </r>
  <r>
    <s v="1586059474-10896"/>
    <s v="https://shop.officineitalianezard.it/en/products/"/>
    <m/>
    <s v="https://shop.officineitalianezard.it/en/moto-guzzi-zard-exhaust/"/>
    <s v="BREVA 850-1200 &lt; M.Y. 2011"/>
    <s v="https://shop.officineitalianezard.it/en/moto-guzzi-breva-1200-m-y-201-exhaust/"/>
    <s v="CONICAL VERSION"/>
    <x v="150"/>
    <s v="SILENCER"/>
    <s v="ZG071SSR"/>
    <s v="MOTO GUZZI BREVA 850-1200 &lt; M.Y. 2011"/>
    <n v="455.16"/>
    <n v="505.74"/>
    <s v="&lt;p&gt;STEEL RACING SILENCER WITH REMOVABLE DB KILLER&lt;/p&gt;_x000a_&lt;p&gt;ORIGINAL SILENCER WEIGHT: KG 7&lt;br&gt;ZARD SILENCER WEIGHT: KG 3.1&lt;/p&gt;_x000a_&lt;p&gt;HARD INCREASE, COMPARED TO THE ORIGINAL EXHAUST SYSTEM, IN TERMS OF TORQUE AND POWER (+3 HP) AT ANY RANGE.&lt;/p&gt;_x000a_&lt;p&gt;ASTONISHING SOUND.&lt;/p&gt;_x000a_&lt;p&gt;&amp;nbsp;&lt;/p&gt;"/>
    <m/>
    <s v="BLACK COATING"/>
    <n v="77.459999999999994"/>
  </r>
  <r>
    <s v="1586059474-10897"/>
    <s v="https://shop.officineitalianezard.it/en/products/"/>
    <m/>
    <s v="https://shop.officineitalianezard.it/en/moto-guzzi-zard-exhaust/"/>
    <s v="BREVA 850-1200 &lt; M.Y. 2011"/>
    <s v="https://shop.officineitalianezard.it/en/moto-guzzi-breva-1200-m-y-201-exhaust/"/>
    <s v="CONICAL VERSION"/>
    <x v="150"/>
    <s v="SILENCER"/>
    <s v="ZG071SSR"/>
    <s v="MOTO GUZZI BREVA 850-1200 &lt; M.Y. 2011"/>
    <n v="455.16"/>
    <n v="505.74"/>
    <s v="&lt;p&gt;STEEL RACING SILENCER WITH REMOVABLE DB KILLER&lt;/p&gt;_x000a_&lt;p&gt;ORIGINAL SILENCER WEIGHT: KG 7&lt;br&gt;ZARD SILENCER WEIGHT: KG 3.1&lt;/p&gt;_x000a_&lt;p&gt;HARD INCREASE, COMPARED TO THE ORIGINAL EXHAUST SYSTEM, IN TERMS OF TORQUE AND POWER (+3 HP) AT ANY RANGE.&lt;/p&gt;_x000a_&lt;p&gt;ASTONISHING SOUND.&lt;/p&gt;_x000a_&lt;p&gt;&amp;nbsp;&lt;/p&gt;"/>
    <m/>
    <s v="CARBON ENDCAP"/>
    <n v="42.05"/>
  </r>
  <r>
    <s v="1586059482-10898"/>
    <s v="https://shop.officineitalianezard.it/en/products/"/>
    <m/>
    <s v="https://shop.officineitalianezard.it/en/kymco-zard-exhaust/"/>
    <s v="XCITING R 500i"/>
    <s v="https://shop.officineitalianezard.it/en/kymco-xciting-r-500i/"/>
    <s v="PENTA VERSION"/>
    <x v="151"/>
    <s v="SILENCER"/>
    <s v="ZK 386 ASR"/>
    <s v="KYMCO XCITING R 500i"/>
    <n v="329.75"/>
    <n v="366.39"/>
    <s v="&lt;p&gt;STEEL-ALUMINIUM BLACK SILENCER RACING WITH REMOVABLE DB KILLER&lt;/p&gt;_x000a_&lt;p&gt;ORIGINAL SILENCER WEIGHT: KG 7&lt;br&gt;ZARD SILENCER WEIGHT: KG 2.1&lt;/p&gt;_x000a_&lt;p&gt;HARD INCREASE, COMPARED TO THE ORIGINAL EXHAUST SYSTEM, IN TERMS OF TORQUE AND POWER AT ANY RANGE (+2 HP).&lt;/p&gt;_x000a_&lt;p&gt;ASTONISHING SOUND.&lt;/p&gt;"/>
    <s v="https://shop.officineitalianezard.it/contents/imgs/products/1_706-scarichi%20moto%20zard%20kymco%202.jpg"/>
    <m/>
    <m/>
  </r>
  <r>
    <s v="1586059482-10899"/>
    <s v="https://shop.officineitalianezard.it/en/products/"/>
    <m/>
    <s v="https://shop.officineitalianezard.it/en/kymco-zard-exhaust/"/>
    <s v="XCITING R 500i"/>
    <s v="https://shop.officineitalianezard.it/en/kymco-xciting-r-500i/"/>
    <s v="PENTA VERSION"/>
    <x v="151"/>
    <s v="SILENCER"/>
    <s v="ZK 386 ASR"/>
    <s v="KYMCO XCITING R 500i"/>
    <n v="329.75"/>
    <n v="366.39"/>
    <s v="&lt;p&gt;STEEL-ALUMINIUM BLACK SILENCER RACING WITH REMOVABLE DB KILLER&lt;/p&gt;_x000a_&lt;p&gt;ORIGINAL SILENCER WEIGHT: KG 7&lt;br&gt;ZARD SILENCER WEIGHT: KG 2.1&lt;/p&gt;_x000a_&lt;p&gt;HARD INCREASE, COMPARED TO THE ORIGINAL EXHAUST SYSTEM, IN TERMS OF TORQUE AND POWER AT ANY RANGE (+2 HP).&lt;/p&gt;_x000a_&lt;p&gt;ASTONISHING SOUND.&lt;/p&gt;"/>
    <s v="https://shop.officineitalianezard.it/contents/imgs/products/1_705-scarichi%20moto%20zard%20kymco%201.jpg"/>
    <m/>
    <m/>
  </r>
  <r>
    <s v="1586059482-10900"/>
    <s v="https://shop.officineitalianezard.it/en/products/"/>
    <m/>
    <s v="https://shop.officineitalianezard.it/en/kymco-zard-exhaust/"/>
    <s v="XCITING R 500i"/>
    <s v="https://shop.officineitalianezard.it/en/kymco-xciting-r-500i/"/>
    <s v="PENTA VERSION"/>
    <x v="151"/>
    <s v="SILENCER"/>
    <s v="ZK 386 ASR"/>
    <s v="KYMCO XCITING R 500i"/>
    <n v="329.75"/>
    <n v="366.39"/>
    <s v="&lt;p&gt;STEEL-ALUMINIUM BLACK SILENCER RACING WITH REMOVABLE DB KILLER&lt;/p&gt;_x000a_&lt;p&gt;ORIGINAL SILENCER WEIGHT: KG 7&lt;br&gt;ZARD SILENCER WEIGHT: KG 2.1&lt;/p&gt;_x000a_&lt;p&gt;HARD INCREASE, COMPARED TO THE ORIGINAL EXHAUST SYSTEM, IN TERMS OF TORQUE AND POWER AT ANY RANGE (+2 HP).&lt;/p&gt;_x000a_&lt;p&gt;ASTONISHING SOUND.&lt;/p&gt;"/>
    <m/>
    <s v="HOMOLOGATED"/>
    <n v="54.59"/>
  </r>
  <r>
    <s v="1586059482-10901"/>
    <s v="https://shop.officineitalianezard.it/en/products/"/>
    <m/>
    <s v="https://shop.officineitalianezard.it/en/kymco-zard-exhaust/"/>
    <s v="XCITING R 500i"/>
    <s v="https://shop.officineitalianezard.it/en/kymco-xciting-r-500i/"/>
    <s v="PENTA VERSION"/>
    <x v="151"/>
    <s v="SILENCER"/>
    <s v="ZK 386 ASR"/>
    <s v="KYMCO XCITING R 500i"/>
    <n v="329.75"/>
    <n v="366.39"/>
    <s v="&lt;p&gt;STEEL-ALUMINIUM BLACK SILENCER RACING WITH REMOVABLE DB KILLER&lt;/p&gt;_x000a_&lt;p&gt;ORIGINAL SILENCER WEIGHT: KG 7&lt;br&gt;ZARD SILENCER WEIGHT: KG 2.1&lt;/p&gt;_x000a_&lt;p&gt;HARD INCREASE, COMPARED TO THE ORIGINAL EXHAUST SYSTEM, IN TERMS OF TORQUE AND POWER AT ANY RANGE (+2 HP).&lt;/p&gt;_x000a_&lt;p&gt;ASTONISHING SOUND.&lt;/p&gt;"/>
    <m/>
    <s v="CARBON ENDCAP"/>
    <n v="37.619999999999997"/>
  </r>
  <r>
    <s v="1586059489-10902"/>
    <s v="https://shop.officineitalianezard.it/en/products/"/>
    <m/>
    <s v="https://shop.officineitalianezard.it/en/kymco-zard-exhaust/"/>
    <s v="XCITING R 300i"/>
    <s v="https://shop.officineitalianezard.it/en/scarico-kymco-xciting-r-300i-exhaust/"/>
    <s v="PENTA VERSION"/>
    <x v="152"/>
    <s v="SILENCER"/>
    <s v="ZK 385 ASR"/>
    <s v="KYMCO XCITING R 300i"/>
    <n v="329.75"/>
    <n v="366.39"/>
    <s v="&lt;p&gt;STEEL-ALUMINIUM BLACK SILENCER RACING WITH REMOVABLE DB KILLER&lt;/p&gt;_x000a_&lt;p&gt;ORIGINAL SILENCER WEIGHT: KG 7&lt;br&gt;ZARD SILENCER WEIGHT: KG 2.1&lt;/p&gt;_x000a_&lt;p&gt;HARD INCREASE, COMPARED TO THE ORIGINAL EXHAUST SYSTEM, IN TERMS OF TORQUE AND POWER AT ANY RANGE (+2 HP).&lt;/p&gt;_x000a_&lt;p&gt;ASTONISHING SOUND.&lt;/p&gt;"/>
    <s v="https://shop.officineitalianezard.it/contents/imgs/products/1_704-scarichi%20moto%20zard%20kymco%202.jpg"/>
    <m/>
    <m/>
  </r>
  <r>
    <s v="1586059489-10903"/>
    <s v="https://shop.officineitalianezard.it/en/products/"/>
    <m/>
    <s v="https://shop.officineitalianezard.it/en/kymco-zard-exhaust/"/>
    <s v="XCITING R 300i"/>
    <s v="https://shop.officineitalianezard.it/en/scarico-kymco-xciting-r-300i-exhaust/"/>
    <s v="PENTA VERSION"/>
    <x v="152"/>
    <s v="SILENCER"/>
    <s v="ZK 385 ASR"/>
    <s v="KYMCO XCITING R 300i"/>
    <n v="329.75"/>
    <n v="366.39"/>
    <s v="&lt;p&gt;STEEL-ALUMINIUM BLACK SILENCER RACING WITH REMOVABLE DB KILLER&lt;/p&gt;_x000a_&lt;p&gt;ORIGINAL SILENCER WEIGHT: KG 7&lt;br&gt;ZARD SILENCER WEIGHT: KG 2.1&lt;/p&gt;_x000a_&lt;p&gt;HARD INCREASE, COMPARED TO THE ORIGINAL EXHAUST SYSTEM, IN TERMS OF TORQUE AND POWER AT ANY RANGE (+2 HP).&lt;/p&gt;_x000a_&lt;p&gt;ASTONISHING SOUND.&lt;/p&gt;"/>
    <m/>
    <s v="HOMOLOGATED"/>
    <n v="54.59"/>
  </r>
  <r>
    <s v="1586059489-10904"/>
    <s v="https://shop.officineitalianezard.it/en/products/"/>
    <m/>
    <s v="https://shop.officineitalianezard.it/en/kymco-zard-exhaust/"/>
    <s v="XCITING R 300i"/>
    <s v="https://shop.officineitalianezard.it/en/scarico-kymco-xciting-r-300i-exhaust/"/>
    <s v="PENTA VERSION"/>
    <x v="152"/>
    <s v="SILENCER"/>
    <s v="ZK 385 ASR"/>
    <s v="KYMCO XCITING R 300i"/>
    <n v="329.75"/>
    <n v="366.39"/>
    <s v="&lt;p&gt;STEEL-ALUMINIUM BLACK SILENCER RACING WITH REMOVABLE DB KILLER&lt;/p&gt;_x000a_&lt;p&gt;ORIGINAL SILENCER WEIGHT: KG 7&lt;br&gt;ZARD SILENCER WEIGHT: KG 2.1&lt;/p&gt;_x000a_&lt;p&gt;HARD INCREASE, COMPARED TO THE ORIGINAL EXHAUST SYSTEM, IN TERMS OF TORQUE AND POWER AT ANY RANGE (+2 HP).&lt;/p&gt;_x000a_&lt;p&gt;ASTONISHING SOUND.&lt;/p&gt;"/>
    <m/>
    <s v="CARBON ENDCAP"/>
    <n v="37.619999999999997"/>
  </r>
  <r>
    <s v="1586059494-10905"/>
    <s v="https://shop.officineitalianezard.it/en/products/"/>
    <m/>
    <s v="https://shop.officineitalianezard.it/en/kymco-zard-exhaust/"/>
    <s v="DOWNTOWN 300i"/>
    <s v="https://shop.officineitalianezard.it/en/kymco-downtown-300i-exhaust/"/>
    <s v="PENTA VERSION"/>
    <x v="153"/>
    <s v="SILENCER"/>
    <s v="ZK 384 ASR"/>
    <s v="KYMCO DOWNTOWN 300i"/>
    <n v="329.75"/>
    <n v="366.39"/>
    <s v="&lt;p&gt;STEEL-ALUMINIUM BLACK SILENCER RACING WITH REMOVABLE DB KILLER&lt;/p&gt;_x000a_&lt;p&gt;ORIGINAL SILENCER WEIGHT: KG 7&lt;br&gt;ZARD SILENCER WEIGHT: KG 2.1&lt;/p&gt;_x000a_&lt;p&gt;HARD INCREASE, COMPARED TO THE ORIGINAL EXHAUST SYSTEM, IN TERMS OF TORQUE AND POWER AT ANY RANGE (+2 HP).&lt;/p&gt;_x000a_&lt;p&gt;ASTONISHING SOUND.&lt;/p&gt;"/>
    <s v="https://shop.officineitalianezard.it/contents/imgs/products/1_702-scarichi%20moto%20zard%20kymco%201.jpg"/>
    <m/>
    <m/>
  </r>
  <r>
    <s v="1586059494-10906"/>
    <s v="https://shop.officineitalianezard.it/en/products/"/>
    <m/>
    <s v="https://shop.officineitalianezard.it/en/kymco-zard-exhaust/"/>
    <s v="DOWNTOWN 300i"/>
    <s v="https://shop.officineitalianezard.it/en/kymco-downtown-300i-exhaust/"/>
    <s v="PENTA VERSION"/>
    <x v="153"/>
    <s v="SILENCER"/>
    <s v="ZK 384 ASR"/>
    <s v="KYMCO DOWNTOWN 300i"/>
    <n v="329.75"/>
    <n v="366.39"/>
    <s v="&lt;p&gt;STEEL-ALUMINIUM BLACK SILENCER RACING WITH REMOVABLE DB KILLER&lt;/p&gt;_x000a_&lt;p&gt;ORIGINAL SILENCER WEIGHT: KG 7&lt;br&gt;ZARD SILENCER WEIGHT: KG 2.1&lt;/p&gt;_x000a_&lt;p&gt;HARD INCREASE, COMPARED TO THE ORIGINAL EXHAUST SYSTEM, IN TERMS OF TORQUE AND POWER AT ANY RANGE (+2 HP).&lt;/p&gt;_x000a_&lt;p&gt;ASTONISHING SOUND.&lt;/p&gt;"/>
    <m/>
    <s v="CARBON ENDCAP"/>
    <n v="37.619999999999997"/>
  </r>
  <r>
    <s v="1586059494-10907"/>
    <s v="https://shop.officineitalianezard.it/en/products/"/>
    <m/>
    <s v="https://shop.officineitalianezard.it/en/kymco-zard-exhaust/"/>
    <s v="DOWNTOWN 300i"/>
    <s v="https://shop.officineitalianezard.it/en/kymco-downtown-300i-exhaust/"/>
    <s v="PENTA VERSION"/>
    <x v="153"/>
    <s v="SILENCER"/>
    <s v="ZK 384 ASR"/>
    <s v="KYMCO DOWNTOWN 300i"/>
    <n v="329.75"/>
    <n v="366.39"/>
    <s v="&lt;p&gt;STEEL-ALUMINIUM BLACK SILENCER RACING WITH REMOVABLE DB KILLER&lt;/p&gt;_x000a_&lt;p&gt;ORIGINAL SILENCER WEIGHT: KG 7&lt;br&gt;ZARD SILENCER WEIGHT: KG 2.1&lt;/p&gt;_x000a_&lt;p&gt;HARD INCREASE, COMPARED TO THE ORIGINAL EXHAUST SYSTEM, IN TERMS OF TORQUE AND POWER AT ANY RANGE (+2 HP).&lt;/p&gt;_x000a_&lt;p&gt;ASTONISHING SOUND.&lt;/p&gt;"/>
    <m/>
    <s v="HOMOLOGATED"/>
    <n v="54.59"/>
  </r>
  <r>
    <s v="1586059500-10908"/>
    <s v="https://shop.officineitalianezard.it/en/products/"/>
    <m/>
    <s v="https://shop.officineitalianezard.it/en/ktm-zard-exhaust/"/>
    <s v="KTM 1050/1190/1290 ADVENTURE 2013/16"/>
    <s v="https://shop.officineitalianezard.it/en/ktm-1190-adventure-exhaust/"/>
    <s v="PENTA-R VERSION"/>
    <x v="154"/>
    <s v="SILENCER"/>
    <s v="ZKTM225SSR"/>
    <s v="KTM 1050/1190/1290 ADVENTURE 2013/16"/>
    <n v="501.64"/>
    <n v="557.38"/>
    <s v="&lt;p&gt;STEEL RACING SILENCER WITH&amp;nbsp;CARBON ENDCAP AND HEAT SHIELD.&lt;/p&gt;_x000a_&lt;p&gt;ORIGINAL SILENCER WEIGHT: KG 6.1&lt;/p&gt;_x000a_&lt;p&gt;ZARD STEEL SILENCER WEIGHT: KG 3.3&lt;/p&gt;_x000a_&lt;p&gt;ZARD TITANIUM SILENCER WEIGHT: KG 3&lt;/p&gt;_x000a_&lt;p&gt;HARD INCREASE IN TERMS OF RESPONSE IN THE MID-RANGE AND MORE MAXIMUM POWER COMPARED TO THE DEFAULT EXHAUST SYSTEM.&lt;/p&gt;_x000a_&lt;p&gt;ASTONISHING SOUND.&lt;/p&gt;"/>
    <s v="https://shop.officineitalianezard.it/contents/imgs/products/1_2429-scarichi%20moto%20-%20scarico%20per%20ktm%201190%20adventure%20-%20zard1.jpg"/>
    <m/>
    <m/>
  </r>
  <r>
    <s v="1586059500-10909"/>
    <s v="https://shop.officineitalianezard.it/en/products/"/>
    <m/>
    <s v="https://shop.officineitalianezard.it/en/ktm-zard-exhaust/"/>
    <s v="KTM 1050/1190/1290 ADVENTURE 2013/16"/>
    <s v="https://shop.officineitalianezard.it/en/ktm-1190-adventure-exhaust/"/>
    <s v="PENTA-R VERSION"/>
    <x v="154"/>
    <s v="SILENCER"/>
    <s v="ZKTM225SSR"/>
    <s v="KTM 1050/1190/1290 ADVENTURE 2013/16"/>
    <n v="501.64"/>
    <n v="557.38"/>
    <s v="&lt;p&gt;STEEL RACING SILENCER WITH&amp;nbsp;CARBON ENDCAP AND HEAT SHIELD.&lt;/p&gt;_x000a_&lt;p&gt;ORIGINAL SILENCER WEIGHT: KG 6.1&lt;/p&gt;_x000a_&lt;p&gt;ZARD STEEL SILENCER WEIGHT: KG 3.3&lt;/p&gt;_x000a_&lt;p&gt;ZARD TITANIUM SILENCER WEIGHT: KG 3&lt;/p&gt;_x000a_&lt;p&gt;HARD INCREASE IN TERMS OF RESPONSE IN THE MID-RANGE AND MORE MAXIMUM POWER COMPARED TO THE DEFAULT EXHAUST SYSTEM.&lt;/p&gt;_x000a_&lt;p&gt;ASTONISHING SOUND.&lt;/p&gt;"/>
    <s v="https://shop.officineitalianezard.it/contents/imgs/products/1_2430-scarichi%20moto%20-%20scarico%20per%20ktm%201190%20adventure%20-%20zard2.jpg"/>
    <m/>
    <m/>
  </r>
  <r>
    <s v="1586059500-10910"/>
    <s v="https://shop.officineitalianezard.it/en/products/"/>
    <m/>
    <s v="https://shop.officineitalianezard.it/en/ktm-zard-exhaust/"/>
    <s v="KTM 1050/1190/1290 ADVENTURE 2013/16"/>
    <s v="https://shop.officineitalianezard.it/en/ktm-1190-adventure-exhaust/"/>
    <s v="PENTA-R VERSION"/>
    <x v="154"/>
    <s v="SILENCER"/>
    <s v="ZKTM225SSR"/>
    <s v="KTM 1050/1190/1290 ADVENTURE 2013/16"/>
    <n v="501.64"/>
    <n v="557.38"/>
    <s v="&lt;p&gt;STEEL RACING SILENCER WITH&amp;nbsp;CARBON ENDCAP AND HEAT SHIELD.&lt;/p&gt;_x000a_&lt;p&gt;ORIGINAL SILENCER WEIGHT: KG 6.1&lt;/p&gt;_x000a_&lt;p&gt;ZARD STEEL SILENCER WEIGHT: KG 3.3&lt;/p&gt;_x000a_&lt;p&gt;ZARD TITANIUM SILENCER WEIGHT: KG 3&lt;/p&gt;_x000a_&lt;p&gt;HARD INCREASE IN TERMS OF RESPONSE IN THE MID-RANGE AND MORE MAXIMUM POWER COMPARED TO THE DEFAULT EXHAUST SYSTEM.&lt;/p&gt;_x000a_&lt;p&gt;ASTONISHING SOUND.&lt;/p&gt;"/>
    <s v="https://shop.officineitalianezard.it/contents/imgs/products/1_490-1.jpg"/>
    <m/>
    <m/>
  </r>
  <r>
    <s v="1586059500-10911"/>
    <s v="https://shop.officineitalianezard.it/en/products/"/>
    <m/>
    <s v="https://shop.officineitalianezard.it/en/ktm-zard-exhaust/"/>
    <s v="KTM 1050/1190/1290 ADVENTURE 2013/16"/>
    <s v="https://shop.officineitalianezard.it/en/ktm-1190-adventure-exhaust/"/>
    <s v="PENTA-R VERSION"/>
    <x v="154"/>
    <s v="SILENCER"/>
    <s v="ZKTM225SSR"/>
    <s v="KTM 1050/1190/1290 ADVENTURE 2013/16"/>
    <n v="501.64"/>
    <n v="557.38"/>
    <s v="&lt;p&gt;STEEL RACING SILENCER WITH&amp;nbsp;CARBON ENDCAP AND HEAT SHIELD.&lt;/p&gt;_x000a_&lt;p&gt;ORIGINAL SILENCER WEIGHT: KG 6.1&lt;/p&gt;_x000a_&lt;p&gt;ZARD STEEL SILENCER WEIGHT: KG 3.3&lt;/p&gt;_x000a_&lt;p&gt;ZARD TITANIUM SILENCER WEIGHT: KG 3&lt;/p&gt;_x000a_&lt;p&gt;HARD INCREASE IN TERMS OF RESPONSE IN THE MID-RANGE AND MORE MAXIMUM POWER COMPARED TO THE DEFAULT EXHAUST SYSTEM.&lt;/p&gt;_x000a_&lt;p&gt;ASTONISHING SOUND.&lt;/p&gt;"/>
    <s v="https://shop.officineitalianezard.it/contents/imgs/products/1_978-carbon%20exhaust.jpg"/>
    <m/>
    <m/>
  </r>
  <r>
    <s v="1586059500-10912"/>
    <s v="https://shop.officineitalianezard.it/en/products/"/>
    <m/>
    <s v="https://shop.officineitalianezard.it/en/ktm-zard-exhaust/"/>
    <s v="KTM 1050/1190/1290 ADVENTURE 2013/16"/>
    <s v="https://shop.officineitalianezard.it/en/ktm-1190-adventure-exhaust/"/>
    <s v="PENTA-R VERSION"/>
    <x v="154"/>
    <s v="SILENCER"/>
    <s v="ZKTM225SSR"/>
    <s v="KTM 1050/1190/1290 ADVENTURE 2013/16"/>
    <n v="501.64"/>
    <n v="557.38"/>
    <s v="&lt;p&gt;STEEL RACING SILENCER WITH&amp;nbsp;CARBON ENDCAP AND HEAT SHIELD.&lt;/p&gt;_x000a_&lt;p&gt;ORIGINAL SILENCER WEIGHT: KG 6.1&lt;/p&gt;_x000a_&lt;p&gt;ZARD STEEL SILENCER WEIGHT: KG 3.3&lt;/p&gt;_x000a_&lt;p&gt;ZARD TITANIUM SILENCER WEIGHT: KG 3&lt;/p&gt;_x000a_&lt;p&gt;HARD INCREASE IN TERMS OF RESPONSE IN THE MID-RANGE AND MORE MAXIMUM POWER COMPARED TO THE DEFAULT EXHAUST SYSTEM.&lt;/p&gt;_x000a_&lt;p&gt;ASTONISHING SOUND.&lt;/p&gt;"/>
    <s v="https://shop.officineitalianezard.it/contents/imgs/products/1_975-zard%20exhaust%20carbon.jpg"/>
    <m/>
    <m/>
  </r>
  <r>
    <s v="1586059500-10913"/>
    <s v="https://shop.officineitalianezard.it/en/products/"/>
    <m/>
    <s v="https://shop.officineitalianezard.it/en/ktm-zard-exhaust/"/>
    <s v="KTM 1050/1190/1290 ADVENTURE 2013/16"/>
    <s v="https://shop.officineitalianezard.it/en/ktm-1190-adventure-exhaust/"/>
    <s v="PENTA-R VERSION"/>
    <x v="154"/>
    <s v="SILENCER"/>
    <s v="ZKTM225SSR"/>
    <s v="KTM 1050/1190/1290 ADVENTURE 2013/16"/>
    <n v="501.64"/>
    <n v="557.38"/>
    <s v="&lt;p&gt;STEEL RACING SILENCER WITH&amp;nbsp;CARBON ENDCAP AND HEAT SHIELD.&lt;/p&gt;_x000a_&lt;p&gt;ORIGINAL SILENCER WEIGHT: KG 6.1&lt;/p&gt;_x000a_&lt;p&gt;ZARD STEEL SILENCER WEIGHT: KG 3.3&lt;/p&gt;_x000a_&lt;p&gt;ZARD TITANIUM SILENCER WEIGHT: KG 3&lt;/p&gt;_x000a_&lt;p&gt;HARD INCREASE IN TERMS OF RESPONSE IN THE MID-RANGE AND MORE MAXIMUM POWER COMPARED TO THE DEFAULT EXHAUST SYSTEM.&lt;/p&gt;_x000a_&lt;p&gt;ASTONISHING SOUND.&lt;/p&gt;"/>
    <m/>
    <s v="EURO 3 HOMOLOGATED"/>
    <n v="18.440000000000001"/>
  </r>
  <r>
    <s v="1586059500-10914"/>
    <s v="https://shop.officineitalianezard.it/en/products/"/>
    <m/>
    <s v="https://shop.officineitalianezard.it/en/ktm-zard-exhaust/"/>
    <s v="KTM 1050/1190/1290 ADVENTURE 2013/16"/>
    <s v="https://shop.officineitalianezard.it/en/ktm-1190-adventure-exhaust/"/>
    <s v="PENTA-R VERSION"/>
    <x v="154"/>
    <s v="SILENCER"/>
    <s v="ZKTM225SSR"/>
    <s v="KTM 1050/1190/1290 ADVENTURE 2013/16"/>
    <n v="501.64"/>
    <n v="557.38"/>
    <s v="&lt;p&gt;STEEL RACING SILENCER WITH&amp;nbsp;CARBON ENDCAP AND HEAT SHIELD.&lt;/p&gt;_x000a_&lt;p&gt;ORIGINAL SILENCER WEIGHT: KG 6.1&lt;/p&gt;_x000a_&lt;p&gt;ZARD STEEL SILENCER WEIGHT: KG 3.3&lt;/p&gt;_x000a_&lt;p&gt;ZARD TITANIUM SILENCER WEIGHT: KG 3&lt;/p&gt;_x000a_&lt;p&gt;HARD INCREASE IN TERMS OF RESPONSE IN THE MID-RANGE AND MORE MAXIMUM POWER COMPARED TO THE DEFAULT EXHAUST SYSTEM.&lt;/p&gt;_x000a_&lt;p&gt;ASTONISHING SOUND.&lt;/p&gt;"/>
    <m/>
    <s v="RACING TITANIUM"/>
    <n v="81.150000000000006"/>
  </r>
  <r>
    <s v="1586059500-10915"/>
    <s v="https://shop.officineitalianezard.it/en/products/"/>
    <m/>
    <s v="https://shop.officineitalianezard.it/en/ktm-zard-exhaust/"/>
    <s v="KTM 1050/1190/1290 ADVENTURE 2013/16"/>
    <s v="https://shop.officineitalianezard.it/en/ktm-1190-adventure-exhaust/"/>
    <s v="PENTA-R VERSION"/>
    <x v="154"/>
    <s v="SILENCER"/>
    <s v="ZKTM225SSR"/>
    <s v="KTM 1050/1190/1290 ADVENTURE 2013/16"/>
    <n v="501.64"/>
    <n v="557.38"/>
    <s v="&lt;p&gt;STEEL RACING SILENCER WITH&amp;nbsp;CARBON ENDCAP AND HEAT SHIELD.&lt;/p&gt;_x000a_&lt;p&gt;ORIGINAL SILENCER WEIGHT: KG 6.1&lt;/p&gt;_x000a_&lt;p&gt;ZARD STEEL SILENCER WEIGHT: KG 3.3&lt;/p&gt;_x000a_&lt;p&gt;ZARD TITANIUM SILENCER WEIGHT: KG 3&lt;/p&gt;_x000a_&lt;p&gt;HARD INCREASE IN TERMS OF RESPONSE IN THE MID-RANGE AND MORE MAXIMUM POWER COMPARED TO THE DEFAULT EXHAUST SYSTEM.&lt;/p&gt;_x000a_&lt;p&gt;ASTONISHING SOUND.&lt;/p&gt;"/>
    <m/>
    <s v="HOMOLOGATED TITANIUM"/>
    <n v="100.33"/>
  </r>
  <r>
    <s v="1586059500-10916"/>
    <s v="https://shop.officineitalianezard.it/en/products/"/>
    <m/>
    <s v="https://shop.officineitalianezard.it/en/ktm-zard-exhaust/"/>
    <s v="KTM 1050/1190/1290 ADVENTURE 2013/16"/>
    <s v="https://shop.officineitalianezard.it/en/ktm-1190-adventure-exhaust/"/>
    <s v="PENTA-R VERSION"/>
    <x v="154"/>
    <s v="SILENCER"/>
    <s v="ZKTM225SSR"/>
    <s v="KTM 1050/1190/1290 ADVENTURE 2013/16"/>
    <n v="501.64"/>
    <n v="557.38"/>
    <s v="&lt;p&gt;STEEL RACING SILENCER WITH&amp;nbsp;CARBON ENDCAP AND HEAT SHIELD.&lt;/p&gt;_x000a_&lt;p&gt;ORIGINAL SILENCER WEIGHT: KG 6.1&lt;/p&gt;_x000a_&lt;p&gt;ZARD STEEL SILENCER WEIGHT: KG 3.3&lt;/p&gt;_x000a_&lt;p&gt;ZARD TITANIUM SILENCER WEIGHT: KG 3&lt;/p&gt;_x000a_&lt;p&gt;HARD INCREASE IN TERMS OF RESPONSE IN THE MID-RANGE AND MORE MAXIMUM POWER COMPARED TO THE DEFAULT EXHAUST SYSTEM.&lt;/p&gt;_x000a_&lt;p&gt;ASTONISHING SOUND.&lt;/p&gt;"/>
    <m/>
    <s v="RACING CARBON VERSION"/>
    <n v="99.59"/>
  </r>
  <r>
    <s v="1586059500-10917"/>
    <s v="https://shop.officineitalianezard.it/en/products/"/>
    <m/>
    <s v="https://shop.officineitalianezard.it/en/ktm-zard-exhaust/"/>
    <s v="KTM 1050/1190/1290 ADVENTURE 2013/16"/>
    <s v="https://shop.officineitalianezard.it/en/ktm-1190-adventure-exhaust/"/>
    <s v="PENTA-R VERSION"/>
    <x v="154"/>
    <s v="SILENCER"/>
    <s v="ZKTM225SSR"/>
    <s v="KTM 1050/1190/1290 ADVENTURE 2013/16"/>
    <n v="501.64"/>
    <n v="557.38"/>
    <s v="&lt;p&gt;STEEL RACING SILENCER WITH&amp;nbsp;CARBON ENDCAP AND HEAT SHIELD.&lt;/p&gt;_x000a_&lt;p&gt;ORIGINAL SILENCER WEIGHT: KG 6.1&lt;/p&gt;_x000a_&lt;p&gt;ZARD STEEL SILENCER WEIGHT: KG 3.3&lt;/p&gt;_x000a_&lt;p&gt;ZARD TITANIUM SILENCER WEIGHT: KG 3&lt;/p&gt;_x000a_&lt;p&gt;HARD INCREASE IN TERMS OF RESPONSE IN THE MID-RANGE AND MORE MAXIMUM POWER COMPARED TO THE DEFAULT EXHAUST SYSTEM.&lt;/p&gt;_x000a_&lt;p&gt;ASTONISHING SOUND.&lt;/p&gt;"/>
    <m/>
    <s v="HOMOLOGATED CARBON VERSION"/>
    <n v="104.75"/>
  </r>
  <r>
    <s v="1586059505-10918"/>
    <s v="https://shop.officineitalianezard.it/en/products/"/>
    <m/>
    <s v="https://shop.officineitalianezard.it/en/ktm-zard-exhaust/"/>
    <s v="KTM DUKE 390 2010/12"/>
    <s v="https://shop.officineitalianezard.it/en/ktm-duke-390-exhaust/"/>
    <s v="PENTA VERSION"/>
    <x v="155"/>
    <s v="LOW MOUNTED SILENCER"/>
    <s v="ZKTM224APR"/>
    <s v="KTM DUKE 390 2010/12"/>
    <n v="451.48"/>
    <n v="501.64"/>
    <s v="&lt;p&gt;LOW MOUNTED STEEL-ALUMINIUM BLACK RACING SILENCER&amp;nbsp;&lt;/p&gt;_x000a_&lt;p&gt;ZARD SILENCER WEIGHT: KG 1.7&lt;/p&gt;_x000a_&lt;p&gt;HARD INCREASE IN TERMS OF RESPONSE IN THE RANGE BETWEEN 4000 AND 6500 RPM AND 1.5 MORE HP COMPARED TO THE ORIGINAL EXHAUST SYSTEM.&lt;/p&gt;_x000a_&lt;p&gt;ASTONISHING SOUND.&lt;/p&gt;"/>
    <s v="https://shop.officineitalianezard.it/contents/imgs/products/1_496-2.jpg"/>
    <m/>
    <m/>
  </r>
  <r>
    <s v="1586059505-10919"/>
    <s v="https://shop.officineitalianezard.it/en/products/"/>
    <m/>
    <s v="https://shop.officineitalianezard.it/en/ktm-zard-exhaust/"/>
    <s v="KTM DUKE 390 2010/12"/>
    <s v="https://shop.officineitalianezard.it/en/ktm-duke-390-exhaust/"/>
    <s v="PENTA VERSION"/>
    <x v="155"/>
    <s v="LOW MOUNTED SILENCER"/>
    <s v="ZKTM224APR"/>
    <s v="KTM DUKE 390 2010/12"/>
    <n v="451.48"/>
    <n v="501.64"/>
    <s v="&lt;p&gt;LOW MOUNTED STEEL-ALUMINIUM BLACK RACING SILENCER&amp;nbsp;&lt;/p&gt;_x000a_&lt;p&gt;ZARD SILENCER WEIGHT: KG 1.7&lt;/p&gt;_x000a_&lt;p&gt;HARD INCREASE IN TERMS OF RESPONSE IN THE RANGE BETWEEN 4000 AND 6500 RPM AND 1.5 MORE HP COMPARED TO THE ORIGINAL EXHAUST SYSTEM.&lt;/p&gt;_x000a_&lt;p&gt;ASTONISHING SOUND.&lt;/p&gt;"/>
    <s v="https://shop.officineitalianezard.it/contents/imgs/products/1_497-3.jpg"/>
    <m/>
    <m/>
  </r>
  <r>
    <s v="1586059505-10920"/>
    <s v="https://shop.officineitalianezard.it/en/products/"/>
    <m/>
    <s v="https://shop.officineitalianezard.it/en/ktm-zard-exhaust/"/>
    <s v="KTM DUKE 390 2010/12"/>
    <s v="https://shop.officineitalianezard.it/en/ktm-duke-390-exhaust/"/>
    <s v="PENTA VERSION"/>
    <x v="155"/>
    <s v="LOW MOUNTED SILENCER"/>
    <s v="ZKTM224APR"/>
    <s v="KTM DUKE 390 2010/12"/>
    <n v="451.48"/>
    <n v="501.64"/>
    <s v="&lt;p&gt;LOW MOUNTED STEEL-ALUMINIUM BLACK RACING SILENCER&amp;nbsp;&lt;/p&gt;_x000a_&lt;p&gt;ZARD SILENCER WEIGHT: KG 1.7&lt;/p&gt;_x000a_&lt;p&gt;HARD INCREASE IN TERMS OF RESPONSE IN THE RANGE BETWEEN 4000 AND 6500 RPM AND 1.5 MORE HP COMPARED TO THE ORIGINAL EXHAUST SYSTEM.&lt;/p&gt;_x000a_&lt;p&gt;ASTONISHING SOUND.&lt;/p&gt;"/>
    <s v="https://shop.officineitalianezard.it/contents/imgs/products/1_495-1.jpg"/>
    <m/>
    <m/>
  </r>
  <r>
    <s v="1586059505-10921"/>
    <s v="https://shop.officineitalianezard.it/en/products/"/>
    <m/>
    <s v="https://shop.officineitalianezard.it/en/ktm-zard-exhaust/"/>
    <s v="KTM DUKE 390 2010/12"/>
    <s v="https://shop.officineitalianezard.it/en/ktm-duke-390-exhaust/"/>
    <s v="PENTA VERSION"/>
    <x v="155"/>
    <s v="LOW MOUNTED SILENCER"/>
    <s v="ZKTM224APR"/>
    <s v="KTM DUKE 390 2010/12"/>
    <n v="451.48"/>
    <n v="501.64"/>
    <s v="&lt;p&gt;LOW MOUNTED STEEL-ALUMINIUM BLACK RACING SILENCER&amp;nbsp;&lt;/p&gt;_x000a_&lt;p&gt;ZARD SILENCER WEIGHT: KG 1.7&lt;/p&gt;_x000a_&lt;p&gt;HARD INCREASE IN TERMS OF RESPONSE IN THE RANGE BETWEEN 4000 AND 6500 RPM AND 1.5 MORE HP COMPARED TO THE ORIGINAL EXHAUST SYSTEM.&lt;/p&gt;_x000a_&lt;p&gt;ASTONISHING SOUND.&lt;/p&gt;"/>
    <m/>
    <s v="EURO 3 HOMOLOGATED"/>
    <n v="47.21"/>
  </r>
  <r>
    <s v="1586059505-10922"/>
    <s v="https://shop.officineitalianezard.it/en/products/"/>
    <m/>
    <s v="https://shop.officineitalianezard.it/en/ktm-zard-exhaust/"/>
    <s v="KTM DUKE 390 2010/12"/>
    <s v="https://shop.officineitalianezard.it/en/ktm-duke-390-exhaust/"/>
    <s v="PENTA VERSION"/>
    <x v="155"/>
    <s v="LOW MOUNTED SILENCER"/>
    <s v="ZKTM224APR"/>
    <s v="KTM DUKE 390 2010/12"/>
    <n v="451.48"/>
    <n v="501.64"/>
    <s v="&lt;p&gt;LOW MOUNTED STEEL-ALUMINIUM BLACK RACING SILENCER&amp;nbsp;&lt;/p&gt;_x000a_&lt;p&gt;ZARD SILENCER WEIGHT: KG 1.7&lt;/p&gt;_x000a_&lt;p&gt;HARD INCREASE IN TERMS OF RESPONSE IN THE RANGE BETWEEN 4000 AND 6500 RPM AND 1.5 MORE HP COMPARED TO THE ORIGINAL EXHAUST SYSTEM.&lt;/p&gt;_x000a_&lt;p&gt;ASTONISHING SOUND.&lt;/p&gt;"/>
    <m/>
    <s v="CARBON ENDCAP"/>
    <n v="37.619999999999997"/>
  </r>
  <r>
    <s v="1586059510-10923"/>
    <s v="https://shop.officineitalianezard.it/en/products/"/>
    <m/>
    <s v="https://shop.officineitalianezard.it/en/ktm-zard-exhaust/"/>
    <s v="KTM 950 SM-SMT 2006/08"/>
    <s v="https://shop.officineitalianezard.it/en/ktm-950-sm-990-sm-smt-exhaust/"/>
    <s v="PENTA VERSION"/>
    <x v="156"/>
    <s v="HIGH MOUNTED SILENCERS"/>
    <s v="ZKTM221ASR"/>
    <s v="KTM 950 SM/SMT 2006/08"/>
    <n v="742.87"/>
    <n v="825.41"/>
    <s v="&lt;p&gt;STEEL-ALUMINIUM BLACK RACING SILENCERS&lt;/p&gt;_x000a_&lt;p&gt;ZARD HOMOLOGATED CAT. SILENCERS WEIGHT : KG 3.4&lt;/p&gt;_x000a_&lt;p&gt;HARD INCREASE COMPARED TO THE ORIGINAL EXHAUST SYSTEM.&lt;/p&gt;_x000a_&lt;p&gt;ASTONISHING SOUND.&lt;/p&gt;"/>
    <s v="https://shop.officineitalianezard.it/contents/imgs/products/1_624-2_483-2.jpg"/>
    <m/>
    <m/>
  </r>
  <r>
    <s v="1586059510-10924"/>
    <s v="https://shop.officineitalianezard.it/en/products/"/>
    <m/>
    <s v="https://shop.officineitalianezard.it/en/ktm-zard-exhaust/"/>
    <s v="KTM 950 SM-SMT 2006/08"/>
    <s v="https://shop.officineitalianezard.it/en/ktm-950-sm-990-sm-smt-exhaust/"/>
    <s v="PENTA VERSION"/>
    <x v="156"/>
    <s v="HIGH MOUNTED SILENCERS"/>
    <s v="ZKTM221ASR"/>
    <s v="KTM 950 SM/SMT 2006/08"/>
    <n v="742.87"/>
    <n v="825.41"/>
    <s v="&lt;p&gt;STEEL-ALUMINIUM BLACK RACING SILENCERS&lt;/p&gt;_x000a_&lt;p&gt;ZARD HOMOLOGATED CAT. SILENCERS WEIGHT : KG 3.4&lt;/p&gt;_x000a_&lt;p&gt;HARD INCREASE COMPARED TO THE ORIGINAL EXHAUST SYSTEM.&lt;/p&gt;_x000a_&lt;p&gt;ASTONISHING SOUND.&lt;/p&gt;"/>
    <s v="https://shop.officineitalianezard.it/contents/imgs/products/1_625-2_484-3.jpg"/>
    <m/>
    <m/>
  </r>
  <r>
    <s v="1586059510-10925"/>
    <s v="https://shop.officineitalianezard.it/en/products/"/>
    <m/>
    <s v="https://shop.officineitalianezard.it/en/ktm-zard-exhaust/"/>
    <s v="KTM 950 SM-SMT 2006/08"/>
    <s v="https://shop.officineitalianezard.it/en/ktm-950-sm-990-sm-smt-exhaust/"/>
    <s v="PENTA VERSION"/>
    <x v="156"/>
    <s v="HIGH MOUNTED SILENCERS"/>
    <s v="ZKTM221ASR"/>
    <s v="KTM 950 SM/SMT 2006/08"/>
    <n v="742.87"/>
    <n v="825.41"/>
    <s v="&lt;p&gt;STEEL-ALUMINIUM BLACK RACING SILENCERS&lt;/p&gt;_x000a_&lt;p&gt;ZARD HOMOLOGATED CAT. SILENCERS WEIGHT : KG 3.4&lt;/p&gt;_x000a_&lt;p&gt;HARD INCREASE COMPARED TO THE ORIGINAL EXHAUST SYSTEM.&lt;/p&gt;_x000a_&lt;p&gt;ASTONISHING SOUND.&lt;/p&gt;"/>
    <s v="https://shop.officineitalianezard.it/contents/imgs/products/1_482-1.jpg"/>
    <m/>
    <m/>
  </r>
  <r>
    <s v="1586059510-10926"/>
    <s v="https://shop.officineitalianezard.it/en/products/"/>
    <m/>
    <s v="https://shop.officineitalianezard.it/en/ktm-zard-exhaust/"/>
    <s v="KTM 950 SM-SMT 2006/08"/>
    <s v="https://shop.officineitalianezard.it/en/ktm-950-sm-990-sm-smt-exhaust/"/>
    <s v="PENTA VERSION"/>
    <x v="156"/>
    <s v="HIGH MOUNTED SILENCERS"/>
    <s v="ZKTM221ASR"/>
    <s v="KTM 950 SM/SMT 2006/08"/>
    <n v="742.87"/>
    <n v="825.41"/>
    <s v="&lt;p&gt;STEEL-ALUMINIUM BLACK RACING SILENCERS&lt;/p&gt;_x000a_&lt;p&gt;ZARD HOMOLOGATED CAT. SILENCERS WEIGHT : KG 3.4&lt;/p&gt;_x000a_&lt;p&gt;HARD INCREASE COMPARED TO THE ORIGINAL EXHAUST SYSTEM.&lt;/p&gt;_x000a_&lt;p&gt;ASTONISHING SOUND.&lt;/p&gt;"/>
    <m/>
    <s v="EURO 3 HOMOLOGATED"/>
    <n v="93.69"/>
  </r>
  <r>
    <s v="1586059510-10927"/>
    <s v="https://shop.officineitalianezard.it/en/products/"/>
    <m/>
    <s v="https://shop.officineitalianezard.it/en/ktm-zard-exhaust/"/>
    <s v="KTM 950 SM-SMT 2006/08"/>
    <s v="https://shop.officineitalianezard.it/en/ktm-950-sm-990-sm-smt-exhaust/"/>
    <s v="PENTA VERSION"/>
    <x v="156"/>
    <s v="HIGH MOUNTED SILENCERS"/>
    <s v="ZKTM221ASR"/>
    <s v="KTM 950 SM/SMT 2006/08"/>
    <n v="742.87"/>
    <n v="825.41"/>
    <s v="&lt;p&gt;STEEL-ALUMINIUM BLACK RACING SILENCERS&lt;/p&gt;_x000a_&lt;p&gt;ZARD HOMOLOGATED CAT. SILENCERS WEIGHT : KG 3.4&lt;/p&gt;_x000a_&lt;p&gt;HARD INCREASE COMPARED TO THE ORIGINAL EXHAUST SYSTEM.&lt;/p&gt;_x000a_&lt;p&gt;ASTONISHING SOUND.&lt;/p&gt;"/>
    <m/>
    <s v="RACING CARBON"/>
    <n v="168.93"/>
  </r>
  <r>
    <s v="1586059510-10928"/>
    <s v="https://shop.officineitalianezard.it/en/products/"/>
    <m/>
    <s v="https://shop.officineitalianezard.it/en/ktm-zard-exhaust/"/>
    <s v="KTM 950 SM-SMT 2006/08"/>
    <s v="https://shop.officineitalianezard.it/en/ktm-950-sm-990-sm-smt-exhaust/"/>
    <s v="PENTA VERSION"/>
    <x v="156"/>
    <s v="HIGH MOUNTED SILENCERS"/>
    <s v="ZKTM221ASR"/>
    <s v="KTM 950 SM/SMT 2006/08"/>
    <n v="742.87"/>
    <n v="825.41"/>
    <s v="&lt;p&gt;STEEL-ALUMINIUM BLACK RACING SILENCERS&lt;/p&gt;_x000a_&lt;p&gt;ZARD HOMOLOGATED CAT. SILENCERS WEIGHT : KG 3.4&lt;/p&gt;_x000a_&lt;p&gt;HARD INCREASE COMPARED TO THE ORIGINAL EXHAUST SYSTEM.&lt;/p&gt;_x000a_&lt;p&gt;ASTONISHING SOUND.&lt;/p&gt;"/>
    <m/>
    <s v="CARBON END CAP"/>
    <n v="75.25"/>
  </r>
  <r>
    <s v="1586059517-10929"/>
    <s v="https://shop.officineitalianezard.it/en/products/"/>
    <m/>
    <s v="https://shop.officineitalianezard.it/en/ktm-zard-exhaust/"/>
    <s v="KTM 690 SM 2006/08"/>
    <s v="https://shop.officineitalianezard.it/en/ktm-690-sm-exhaust/"/>
    <s v="CONICAL VERSION"/>
    <x v="157"/>
    <s v="2&gt;2 FULL KIT"/>
    <s v="ZKTM220SKR"/>
    <s v="KTM 690 SM 2006/2008"/>
    <n v="827.7"/>
    <n v="919.67"/>
    <s v="&lt;p&gt;2&amp;gt;2 FULL KIT STEEL RACING&lt;/p&gt;_x000a_&lt;p&gt;HARD INCREASE IN TERMS OF RESPONSE IN THE RANGE BETWEEN LOW AND MEDIUM REVS COMPARED TO THE ORIGINAL EXHAUST SYSTEM.&lt;/p&gt;_x000a_&lt;p&gt;ASTONISHING SOUND.&lt;/p&gt;"/>
    <s v="https://shop.officineitalianezard.it/contents/imgs/products/1_481-2.jpg"/>
    <m/>
    <m/>
  </r>
  <r>
    <s v="1586059517-10930"/>
    <s v="https://shop.officineitalianezard.it/en/products/"/>
    <m/>
    <s v="https://shop.officineitalianezard.it/en/ktm-zard-exhaust/"/>
    <s v="KTM 690 SM 2006/08"/>
    <s v="https://shop.officineitalianezard.it/en/ktm-690-sm-exhaust/"/>
    <s v="CONICAL VERSION"/>
    <x v="157"/>
    <s v="2&gt;2 FULL KIT"/>
    <s v="ZKTM220SKR"/>
    <s v="KTM 690 SM 2006/2008"/>
    <n v="827.7"/>
    <n v="919.67"/>
    <s v="&lt;p&gt;2&amp;gt;2 FULL KIT STEEL RACING&lt;/p&gt;_x000a_&lt;p&gt;HARD INCREASE IN TERMS OF RESPONSE IN THE RANGE BETWEEN LOW AND MEDIUM REVS COMPARED TO THE ORIGINAL EXHAUST SYSTEM.&lt;/p&gt;_x000a_&lt;p&gt;ASTONISHING SOUND.&lt;/p&gt;"/>
    <s v="https://shop.officineitalianezard.it/contents/imgs/products/1_480-3.jpg"/>
    <m/>
    <m/>
  </r>
  <r>
    <s v="1586059517-10931"/>
    <s v="https://shop.officineitalianezard.it/en/products/"/>
    <m/>
    <s v="https://shop.officineitalianezard.it/en/ktm-zard-exhaust/"/>
    <s v="KTM 690 SM 2006/08"/>
    <s v="https://shop.officineitalianezard.it/en/ktm-690-sm-exhaust/"/>
    <s v="CONICAL VERSION"/>
    <x v="157"/>
    <s v="2&gt;2 FULL KIT"/>
    <s v="ZKTM220SKR"/>
    <s v="KTM 690 SM 2006/2008"/>
    <n v="827.7"/>
    <n v="919.67"/>
    <s v="&lt;p&gt;2&amp;gt;2 FULL KIT STEEL RACING&lt;/p&gt;_x000a_&lt;p&gt;HARD INCREASE IN TERMS OF RESPONSE IN THE RANGE BETWEEN LOW AND MEDIUM REVS COMPARED TO THE ORIGINAL EXHAUST SYSTEM.&lt;/p&gt;_x000a_&lt;p&gt;ASTONISHING SOUND.&lt;/p&gt;"/>
    <s v="https://shop.officineitalianezard.it/contents/imgs/products/1_479-1.jpg"/>
    <m/>
    <m/>
  </r>
  <r>
    <s v="1586059517-10932"/>
    <s v="https://shop.officineitalianezard.it/en/products/"/>
    <m/>
    <s v="https://shop.officineitalianezard.it/en/ktm-zard-exhaust/"/>
    <s v="KTM 690 SM 2006/08"/>
    <s v="https://shop.officineitalianezard.it/en/ktm-690-sm-exhaust/"/>
    <s v="CONICAL VERSION"/>
    <x v="157"/>
    <s v="2&gt;2 FULL KIT"/>
    <s v="ZKTM220SKR"/>
    <s v="KTM 690 SM 2006/2008"/>
    <n v="827.7"/>
    <n v="919.67"/>
    <s v="&lt;p&gt;2&amp;gt;2 FULL KIT STEEL RACING&lt;/p&gt;_x000a_&lt;p&gt;HARD INCREASE IN TERMS OF RESPONSE IN THE RANGE BETWEEN LOW AND MEDIUM REVS COMPARED TO THE ORIGINAL EXHAUST SYSTEM.&lt;/p&gt;_x000a_&lt;p&gt;ASTONISHING SOUND.&lt;/p&gt;"/>
    <m/>
    <s v="EURO 3 HOMOLOGATED"/>
    <n v="93.69"/>
  </r>
  <r>
    <s v="1586059517-10933"/>
    <s v="https://shop.officineitalianezard.it/en/products/"/>
    <m/>
    <s v="https://shop.officineitalianezard.it/en/ktm-zard-exhaust/"/>
    <s v="KTM 690 SM 2006/08"/>
    <s v="https://shop.officineitalianezard.it/en/ktm-690-sm-exhaust/"/>
    <s v="CONICAL VERSION"/>
    <x v="157"/>
    <s v="2&gt;2 FULL KIT"/>
    <s v="ZKTM220SKR"/>
    <s v="KTM 690 SM 2006/2008"/>
    <n v="827.7"/>
    <n v="919.67"/>
    <s v="&lt;p&gt;2&amp;gt;2 FULL KIT STEEL RACING&lt;/p&gt;_x000a_&lt;p&gt;HARD INCREASE IN TERMS OF RESPONSE IN THE RANGE BETWEEN LOW AND MEDIUM REVS COMPARED TO THE ORIGINAL EXHAUST SYSTEM.&lt;/p&gt;_x000a_&lt;p&gt;ASTONISHING SOUND.&lt;/p&gt;"/>
    <m/>
    <s v="BLACK COATING"/>
    <n v="246.39"/>
  </r>
  <r>
    <s v="1586059517-10934"/>
    <s v="https://shop.officineitalianezard.it/en/products/"/>
    <m/>
    <s v="https://shop.officineitalianezard.it/en/ktm-zard-exhaust/"/>
    <s v="KTM 690 SM 2006/08"/>
    <s v="https://shop.officineitalianezard.it/en/ktm-690-sm-exhaust/"/>
    <s v="CONICAL VERSION"/>
    <x v="157"/>
    <s v="2&gt;2 FULL KIT"/>
    <s v="ZKTM220SKR"/>
    <s v="KTM 690 SM 2006/2008"/>
    <n v="827.7"/>
    <n v="919.67"/>
    <s v="&lt;p&gt;2&amp;gt;2 FULL KIT STEEL RACING&lt;/p&gt;_x000a_&lt;p&gt;HARD INCREASE IN TERMS OF RESPONSE IN THE RANGE BETWEEN LOW AND MEDIUM REVS COMPARED TO THE ORIGINAL EXHAUST SYSTEM.&lt;/p&gt;_x000a_&lt;p&gt;ASTONISHING SOUND.&lt;/p&gt;"/>
    <m/>
    <s v="FULL RACING TITANIUM"/>
    <n v="469.92"/>
  </r>
  <r>
    <s v="1586059517-10935"/>
    <s v="https://shop.officineitalianezard.it/en/products/"/>
    <m/>
    <s v="https://shop.officineitalianezard.it/en/ktm-zard-exhaust/"/>
    <s v="KTM 690 SM 2006/08"/>
    <s v="https://shop.officineitalianezard.it/en/ktm-690-sm-exhaust/"/>
    <s v="CONICAL VERSION"/>
    <x v="157"/>
    <s v="2&gt;2 FULL KIT"/>
    <s v="ZKTM220SKR"/>
    <s v="KTM 690 SM 2006/2008"/>
    <n v="827.7"/>
    <n v="919.67"/>
    <s v="&lt;p&gt;2&amp;gt;2 FULL KIT STEEL RACING&lt;/p&gt;_x000a_&lt;p&gt;HARD INCREASE IN TERMS OF RESPONSE IN THE RANGE BETWEEN LOW AND MEDIUM REVS COMPARED TO THE ORIGINAL EXHAUST SYSTEM.&lt;/p&gt;_x000a_&lt;p&gt;ASTONISHING SOUND.&lt;/p&gt;"/>
    <m/>
    <s v="INOX MANIFOLD + TITANIUM SIL. RACING"/>
    <n v="159.34"/>
  </r>
  <r>
    <s v="1586059517-10936"/>
    <s v="https://shop.officineitalianezard.it/en/products/"/>
    <m/>
    <s v="https://shop.officineitalianezard.it/en/ktm-zard-exhaust/"/>
    <s v="KTM 690 SM 2006/08"/>
    <s v="https://shop.officineitalianezard.it/en/ktm-690-sm-exhaust/"/>
    <s v="CONICAL VERSION"/>
    <x v="157"/>
    <s v="2&gt;2 FULL KIT"/>
    <s v="ZKTM220SKR"/>
    <s v="KTM 690 SM 2006/2008"/>
    <n v="827.7"/>
    <n v="919.67"/>
    <s v="&lt;p&gt;2&amp;gt;2 FULL KIT STEEL RACING&lt;/p&gt;_x000a_&lt;p&gt;HARD INCREASE IN TERMS OF RESPONSE IN THE RANGE BETWEEN LOW AND MEDIUM REVS COMPARED TO THE ORIGINAL EXHAUST SYSTEM.&lt;/p&gt;_x000a_&lt;p&gt;ASTONISHING SOUND.&lt;/p&gt;"/>
    <m/>
    <s v="INOX MANIFOLD + TIT. SILENCER HOM. CAT."/>
    <n v="253.77"/>
  </r>
  <r>
    <s v="1586059517-10937"/>
    <s v="https://shop.officineitalianezard.it/en/products/"/>
    <m/>
    <s v="https://shop.officineitalianezard.it/en/ktm-zard-exhaust/"/>
    <s v="KTM 690 SM 2006/08"/>
    <s v="https://shop.officineitalianezard.it/en/ktm-690-sm-exhaust/"/>
    <s v="CONICAL VERSION"/>
    <x v="157"/>
    <s v="2&gt;2 FULL KIT"/>
    <s v="ZKTM220SKR"/>
    <s v="KTM 690 SM 2006/2008"/>
    <n v="827.7"/>
    <n v="919.67"/>
    <s v="&lt;p&gt;2&amp;gt;2 FULL KIT STEEL RACING&lt;/p&gt;_x000a_&lt;p&gt;HARD INCREASE IN TERMS OF RESPONSE IN THE RANGE BETWEEN LOW AND MEDIUM REVS COMPARED TO THE ORIGINAL EXHAUST SYSTEM.&lt;/p&gt;_x000a_&lt;p&gt;ASTONISHING SOUND.&lt;/p&gt;"/>
    <m/>
    <s v="FULL HOMOLOGATED TITANIUM"/>
    <n v="564.34"/>
  </r>
  <r>
    <s v="1586059517-10938"/>
    <s v="https://shop.officineitalianezard.it/en/products/"/>
    <m/>
    <s v="https://shop.officineitalianezard.it/en/ktm-zard-exhaust/"/>
    <s v="KTM 690 SM 2006/08"/>
    <s v="https://shop.officineitalianezard.it/en/ktm-690-sm-exhaust/"/>
    <s v="CONICAL VERSION"/>
    <x v="157"/>
    <s v="2&gt;2 FULL KIT"/>
    <s v="ZKTM220SKR"/>
    <s v="KTM 690 SM 2006/2008"/>
    <n v="827.7"/>
    <n v="919.67"/>
    <s v="&lt;p&gt;2&amp;gt;2 FULL KIT STEEL RACING&lt;/p&gt;_x000a_&lt;p&gt;HARD INCREASE IN TERMS OF RESPONSE IN THE RANGE BETWEEN LOW AND MEDIUM REVS COMPARED TO THE ORIGINAL EXHAUST SYSTEM.&lt;/p&gt;_x000a_&lt;p&gt;ASTONISHING SOUND.&lt;/p&gt;"/>
    <m/>
    <s v="CARBON END CAP"/>
    <n v="75.25"/>
  </r>
  <r>
    <s v="1586059521-10939"/>
    <s v="https://shop.officineitalianezard.it/en/products/"/>
    <m/>
    <s v="https://shop.officineitalianezard.it/en/ktm-zard-exhaust/"/>
    <s v="450 SX-F"/>
    <s v="https://shop.officineitalianezard.it/en/ktm-450-sx-f-exhaust/"/>
    <s v="STEEL-ALUMINIUM VERSION"/>
    <x v="158"/>
    <s v="FULL KIT"/>
    <s v="ZKTM229SKR-FC"/>
    <s v="KTM 450 SX-F"/>
    <n v="705.25"/>
    <n v="783.61"/>
    <s v="&lt;p&gt;STEEL-TITANIUM FULL KIT WITH CARBON ENDCAP.&lt;/p&gt;_x000a_&lt;p&gt;ORIGINAL EXHAUST WEIGHT:&lt;/p&gt;_x000a_&lt;p&gt;ZARD FULL KIT WEIGHT:&lt;/p&gt;_x000a_&lt;p&gt;HARD INCREASE, COMPARED TO THE ORIGINAL EXHAUST SYSTEM, IN TERMS OF TORQUE AND POWER AT ANY RANGE.&lt;/p&gt;_x000a_&lt;p&gt;FITTING KIT INCLUDED.&lt;/p&gt;"/>
    <s v="https://shop.officineitalianezard.it/contents/imgs/products/1_1666-450.jpg"/>
    <m/>
    <m/>
  </r>
  <r>
    <s v="1586059521-10940"/>
    <s v="https://shop.officineitalianezard.it/en/products/"/>
    <m/>
    <s v="https://shop.officineitalianezard.it/en/ktm-zard-exhaust/"/>
    <s v="450 SX-F"/>
    <s v="https://shop.officineitalianezard.it/en/ktm-450-sx-f-exhaust/"/>
    <s v="STEEL-ALUMINIUM VERSION"/>
    <x v="158"/>
    <s v="FULL KIT"/>
    <s v="ZKTM229SKR-FC"/>
    <s v="KTM 450 SX-F"/>
    <n v="705.25"/>
    <n v="783.61"/>
    <s v="&lt;p&gt;STEEL-TITANIUM FULL KIT WITH CARBON ENDCAP.&lt;/p&gt;_x000a_&lt;p&gt;ORIGINAL EXHAUST WEIGHT:&lt;/p&gt;_x000a_&lt;p&gt;ZARD FULL KIT WEIGHT:&lt;/p&gt;_x000a_&lt;p&gt;HARD INCREASE, COMPARED TO THE ORIGINAL EXHAUST SYSTEM, IN TERMS OF TORQUE AND POWER AT ANY RANGE.&lt;/p&gt;_x000a_&lt;p&gt;FITTING KIT INCLUDED.&lt;/p&gt;"/>
    <m/>
    <s v="FULL TITANIUM"/>
    <n v="118.03"/>
  </r>
  <r>
    <s v="1586059527-10941"/>
    <s v="https://shop.officineitalianezard.it/en/products/"/>
    <m/>
    <s v="https://shop.officineitalianezard.it/en/ktm-zard-exhaust/"/>
    <s v="350 SX-F"/>
    <s v="https://shop.officineitalianezard.it/en/ktm-350-sx-f-exhaust/"/>
    <s v="STEEL-ALUMINIUM VERSION"/>
    <x v="159"/>
    <s v="FULL KIT"/>
    <s v="ZKTM232SKR-FC"/>
    <s v="KTM 350 SX-F"/>
    <n v="694.18"/>
    <n v="771.31"/>
    <s v="&lt;p&gt;STEEL-TITANIUM FULL KIT WITH CARBON ENDCAP.&lt;/p&gt;_x000a_&lt;p&gt;ORIGINAL EXHAUST WEIGHT:&amp;nbsp;3,2 KG&amp;nbsp;&lt;/p&gt;_x000a_&lt;p&gt;ZARD STEEL FULL KIT WEIGHT: 3 KG&lt;/p&gt;_x000a_&lt;p&gt;ZARD TITANIUM FULL KIT WEIGHT: 2,5 KG&lt;/p&gt;_x000a_&lt;p&gt;HARD INCREASE, COMPARED TO THE ORIGINAL EXHAUST SYSTEM, IN TERMS OF TORQUE AND POWER AT ANY RANGE.&lt;/p&gt;_x000a_&lt;p&gt;FITTING KIT INCLUDED.&lt;/p&gt;"/>
    <s v="https://shop.officineitalianezard.it/contents/imgs/products/1_2289-scarico%20ktm%20350%20sxf%20scarico%20zard.jpg"/>
    <m/>
    <m/>
  </r>
  <r>
    <s v="1586059527-10942"/>
    <s v="https://shop.officineitalianezard.it/en/products/"/>
    <m/>
    <s v="https://shop.officineitalianezard.it/en/ktm-zard-exhaust/"/>
    <s v="350 SX-F"/>
    <s v="https://shop.officineitalianezard.it/en/ktm-350-sx-f-exhaust/"/>
    <s v="STEEL-ALUMINIUM VERSION"/>
    <x v="159"/>
    <s v="FULL KIT"/>
    <s v="ZKTM232SKR-FC"/>
    <s v="KTM 350 SX-F"/>
    <n v="694.18"/>
    <n v="771.31"/>
    <s v="&lt;p&gt;STEEL-TITANIUM FULL KIT WITH CARBON ENDCAP.&lt;/p&gt;_x000a_&lt;p&gt;ORIGINAL EXHAUST WEIGHT:&amp;nbsp;3,2 KG&amp;nbsp;&lt;/p&gt;_x000a_&lt;p&gt;ZARD STEEL FULL KIT WEIGHT: 3 KG&lt;/p&gt;_x000a_&lt;p&gt;ZARD TITANIUM FULL KIT WEIGHT: 2,5 KG&lt;/p&gt;_x000a_&lt;p&gt;HARD INCREASE, COMPARED TO THE ORIGINAL EXHAUST SYSTEM, IN TERMS OF TORQUE AND POWER AT ANY RANGE.&lt;/p&gt;_x000a_&lt;p&gt;FITTING KIT INCLUDED.&lt;/p&gt;"/>
    <s v="https://shop.officineitalianezard.it/contents/imgs/products/1_2291-scarico%20ktm%20350%20sxf%20zard%202.jpg"/>
    <m/>
    <m/>
  </r>
  <r>
    <s v="1586059527-10943"/>
    <s v="https://shop.officineitalianezard.it/en/products/"/>
    <m/>
    <s v="https://shop.officineitalianezard.it/en/ktm-zard-exhaust/"/>
    <s v="350 SX-F"/>
    <s v="https://shop.officineitalianezard.it/en/ktm-350-sx-f-exhaust/"/>
    <s v="STEEL-ALUMINIUM VERSION"/>
    <x v="159"/>
    <s v="FULL KIT"/>
    <s v="ZKTM232SKR-FC"/>
    <s v="KTM 350 SX-F"/>
    <n v="694.18"/>
    <n v="771.31"/>
    <s v="&lt;p&gt;STEEL-TITANIUM FULL KIT WITH CARBON ENDCAP.&lt;/p&gt;_x000a_&lt;p&gt;ORIGINAL EXHAUST WEIGHT:&amp;nbsp;3,2 KG&amp;nbsp;&lt;/p&gt;_x000a_&lt;p&gt;ZARD STEEL FULL KIT WEIGHT: 3 KG&lt;/p&gt;_x000a_&lt;p&gt;ZARD TITANIUM FULL KIT WEIGHT: 2,5 KG&lt;/p&gt;_x000a_&lt;p&gt;HARD INCREASE, COMPARED TO THE ORIGINAL EXHAUST SYSTEM, IN TERMS OF TORQUE AND POWER AT ANY RANGE.&lt;/p&gt;_x000a_&lt;p&gt;FITTING KIT INCLUDED.&lt;/p&gt;"/>
    <s v="https://shop.officineitalianezard.it/contents/imgs/products/1_2290-scarico%20ktm%20350%20sxf%20zard%203.jpg"/>
    <m/>
    <m/>
  </r>
  <r>
    <s v="1586059532-10944"/>
    <s v="https://shop.officineitalianezard.it/en/products/"/>
    <m/>
    <s v="https://shop.officineitalianezard.it/en/ktm-zard-exhaust/"/>
    <s v="250 SX-F &gt; M.Y 2016"/>
    <s v="https://shop.officineitalianezard.it/en/ktm-250-sx-f-exhaust/"/>
    <s v="STEEL-TITANIUM VERSION"/>
    <x v="160"/>
    <s v="FULL KIT"/>
    <s v="ZKTM231SKR-FC"/>
    <s v="KTM 250 SX-F"/>
    <n v="686.8"/>
    <n v="763.11"/>
    <s v="&lt;p&gt;STEEL-TITANIUM RACING FULL KIT WITH CARBON ENDCAP&lt;/p&gt;_x000a_&lt;p&gt;ORIGINAL EXHAUST WEIGHT: 3,2 KG&lt;/p&gt;_x000a_&lt;p&gt;ZARD STEEL-TITANIUM FULL KIT WEIGHT: 3 KG&lt;/p&gt;_x000a_&lt;p&gt;ZARD FULL TITANIUM FULL KIT WEIGHT: 2,5 KG&lt;/p&gt;_x000a_&lt;p&gt;HARD INCREASE, COMPARED TO THE ORIGINAL EXHAUST SYSTEM, IN TERMS OF TORQUE AND POWER AT ANY RANGE.&lt;/p&gt;_x000a_&lt;p&gt;FITTING KIT INCLUDED.&lt;/p&gt;"/>
    <s v="https://shop.officineitalianezard.it/contents/imgs/products/1_2265-scarico%20ktm%20250%20sxf%20-%20zard%201.jpg"/>
    <m/>
    <m/>
  </r>
  <r>
    <s v="1586059532-10945"/>
    <s v="https://shop.officineitalianezard.it/en/products/"/>
    <m/>
    <s v="https://shop.officineitalianezard.it/en/ktm-zard-exhaust/"/>
    <s v="250 SX-F &gt; M.Y 2016"/>
    <s v="https://shop.officineitalianezard.it/en/ktm-250-sx-f-exhaust/"/>
    <s v="STEEL-TITANIUM VERSION"/>
    <x v="160"/>
    <s v="FULL KIT"/>
    <s v="ZKTM231SKR-FC"/>
    <s v="KTM 250 SX-F"/>
    <n v="686.8"/>
    <n v="763.11"/>
    <s v="&lt;p&gt;STEEL-TITANIUM RACING FULL KIT WITH CARBON ENDCAP&lt;/p&gt;_x000a_&lt;p&gt;ORIGINAL EXHAUST WEIGHT: 3,2 KG&lt;/p&gt;_x000a_&lt;p&gt;ZARD STEEL-TITANIUM FULL KIT WEIGHT: 3 KG&lt;/p&gt;_x000a_&lt;p&gt;ZARD FULL TITANIUM FULL KIT WEIGHT: 2,5 KG&lt;/p&gt;_x000a_&lt;p&gt;HARD INCREASE, COMPARED TO THE ORIGINAL EXHAUST SYSTEM, IN TERMS OF TORQUE AND POWER AT ANY RANGE.&lt;/p&gt;_x000a_&lt;p&gt;FITTING KIT INCLUDED.&lt;/p&gt;"/>
    <s v="https://shop.officineitalianezard.it/contents/imgs/products/1_2266-scarico%20ktm%20250%20sxf%20-%20zard%203.jpg"/>
    <m/>
    <m/>
  </r>
  <r>
    <s v="1586059532-10946"/>
    <s v="https://shop.officineitalianezard.it/en/products/"/>
    <m/>
    <s v="https://shop.officineitalianezard.it/en/ktm-zard-exhaust/"/>
    <s v="250 SX-F &gt; M.Y 2016"/>
    <s v="https://shop.officineitalianezard.it/en/ktm-250-sx-f-exhaust/"/>
    <s v="STEEL-TITANIUM VERSION"/>
    <x v="160"/>
    <s v="FULL KIT"/>
    <s v="ZKTM231SKR-FC"/>
    <s v="KTM 250 SX-F"/>
    <n v="686.8"/>
    <n v="763.11"/>
    <s v="&lt;p&gt;STEEL-TITANIUM RACING FULL KIT WITH CARBON ENDCAP&lt;/p&gt;_x000a_&lt;p&gt;ORIGINAL EXHAUST WEIGHT: 3,2 KG&lt;/p&gt;_x000a_&lt;p&gt;ZARD STEEL-TITANIUM FULL KIT WEIGHT: 3 KG&lt;/p&gt;_x000a_&lt;p&gt;ZARD FULL TITANIUM FULL KIT WEIGHT: 2,5 KG&lt;/p&gt;_x000a_&lt;p&gt;HARD INCREASE, COMPARED TO THE ORIGINAL EXHAUST SYSTEM, IN TERMS OF TORQUE AND POWER AT ANY RANGE.&lt;/p&gt;_x000a_&lt;p&gt;FITTING KIT INCLUDED.&lt;/p&gt;"/>
    <s v="https://shop.officineitalianezard.it/contents/imgs/products/1_2268-scarico%20ktm%20250%20sxf%20-%20zard%204.jpg"/>
    <m/>
    <m/>
  </r>
  <r>
    <s v="1586059532-10947"/>
    <s v="https://shop.officineitalianezard.it/en/products/"/>
    <m/>
    <s v="https://shop.officineitalianezard.it/en/ktm-zard-exhaust/"/>
    <s v="250 SX-F &gt; M.Y 2016"/>
    <s v="https://shop.officineitalianezard.it/en/ktm-250-sx-f-exhaust/"/>
    <s v="STEEL-TITANIUM VERSION"/>
    <x v="160"/>
    <s v="FULL KIT"/>
    <s v="ZKTM231SKR-FC"/>
    <s v="KTM 250 SX-F"/>
    <n v="686.8"/>
    <n v="763.11"/>
    <s v="&lt;p&gt;STEEL-TITANIUM RACING FULL KIT WITH CARBON ENDCAP&lt;/p&gt;_x000a_&lt;p&gt;ORIGINAL EXHAUST WEIGHT: 3,2 KG&lt;/p&gt;_x000a_&lt;p&gt;ZARD STEEL-TITANIUM FULL KIT WEIGHT: 3 KG&lt;/p&gt;_x000a_&lt;p&gt;ZARD FULL TITANIUM FULL KIT WEIGHT: 2,5 KG&lt;/p&gt;_x000a_&lt;p&gt;HARD INCREASE, COMPARED TO THE ORIGINAL EXHAUST SYSTEM, IN TERMS OF TORQUE AND POWER AT ANY RANGE.&lt;/p&gt;_x000a_&lt;p&gt;FITTING KIT INCLUDED.&lt;/p&gt;"/>
    <m/>
    <s v="FULL TITANIUM"/>
    <n v="117.3"/>
  </r>
  <r>
    <s v="1586059536-10948"/>
    <s v="https://shop.officineitalianezard.it/en/products/"/>
    <m/>
    <s v="https://shop.officineitalianezard.it/en/ktm-zard-exhaust/"/>
    <s v="250 EXC"/>
    <s v="https://shop.officineitalianezard.it/en/ktm-250-exc-exhaust/"/>
    <s v="STEEL-TITANIUM VERSION"/>
    <x v="161"/>
    <s v="FULL KIT"/>
    <s v="ZKTM230SSR-FC"/>
    <s v="KTM 250 EXC"/>
    <n v="292.87"/>
    <n v="325.41000000000003"/>
    <s v="&lt;p&gt;STEEL-TITANIUM&amp;nbsp;RACING SILENCER&amp;nbsp;WITH CARBON ENDCAP.&lt;/p&gt;_x000a_&lt;p&gt;&lt;/p&gt;_x000a_&lt;p&gt;HARD INCREASE, COMPARED TO THE ORIGINAL EXHAUST SYSTEM, IN TERMS OF TORQUE AND POWER AT ANY RANGE.&lt;/p&gt;_x000a_&lt;p&gt;FITTING KIT INCLUDED.&lt;/p&gt;"/>
    <s v="https://shop.officineitalianezard.it/contents/imgs/products/1_2286-ktm%20250%20exc%20scarico%20zard%202.jpg"/>
    <m/>
    <m/>
  </r>
  <r>
    <s v="1586059536-10949"/>
    <s v="https://shop.officineitalianezard.it/en/products/"/>
    <m/>
    <s v="https://shop.officineitalianezard.it/en/ktm-zard-exhaust/"/>
    <s v="250 EXC"/>
    <s v="https://shop.officineitalianezard.it/en/ktm-250-exc-exhaust/"/>
    <s v="STEEL-TITANIUM VERSION"/>
    <x v="161"/>
    <s v="FULL KIT"/>
    <s v="ZKTM230SSR-FC"/>
    <s v="KTM 250 EXC"/>
    <n v="292.87"/>
    <n v="325.41000000000003"/>
    <s v="&lt;p&gt;STEEL-TITANIUM&amp;nbsp;RACING SILENCER&amp;nbsp;WITH CARBON ENDCAP.&lt;/p&gt;_x000a_&lt;p&gt;&lt;/p&gt;_x000a_&lt;p&gt;HARD INCREASE, COMPARED TO THE ORIGINAL EXHAUST SYSTEM, IN TERMS OF TORQUE AND POWER AT ANY RANGE.&lt;/p&gt;_x000a_&lt;p&gt;FITTING KIT INCLUDED.&lt;/p&gt;"/>
    <s v="https://shop.officineitalianezard.it/contents/imgs/products/1_2287-ktm%20250%20exc%20scarico%20zard%203.jpg"/>
    <m/>
    <m/>
  </r>
  <r>
    <s v="1586059536-10950"/>
    <s v="https://shop.officineitalianezard.it/en/products/"/>
    <m/>
    <s v="https://shop.officineitalianezard.it/en/ktm-zard-exhaust/"/>
    <s v="250 EXC"/>
    <s v="https://shop.officineitalianezard.it/en/ktm-250-exc-exhaust/"/>
    <s v="STEEL-TITANIUM VERSION"/>
    <x v="161"/>
    <s v="FULL KIT"/>
    <s v="ZKTM230SSR-FC"/>
    <s v="KTM 250 EXC"/>
    <n v="292.87"/>
    <n v="325.41000000000003"/>
    <s v="&lt;p&gt;STEEL-TITANIUM&amp;nbsp;RACING SILENCER&amp;nbsp;WITH CARBON ENDCAP.&lt;/p&gt;_x000a_&lt;p&gt;&lt;/p&gt;_x000a_&lt;p&gt;HARD INCREASE, COMPARED TO THE ORIGINAL EXHAUST SYSTEM, IN TERMS OF TORQUE AND POWER AT ANY RANGE.&lt;/p&gt;_x000a_&lt;p&gt;FITTING KIT INCLUDED.&lt;/p&gt;"/>
    <s v="https://shop.officineitalianezard.it/contents/imgs/products/1_2285-ktm%20250%20exc%20scarico%20zard%201.jpg"/>
    <m/>
    <m/>
  </r>
  <r>
    <s v="1586059543-10951"/>
    <s v="https://shop.officineitalianezard.it/en/products/"/>
    <m/>
    <s v="https://shop.officineitalianezard.it/en/kawasaki-zard-exhaust/"/>
    <s v="W 800 2010/17"/>
    <s v="https://shop.officineitalianezard.it/en/kawasaki-w-800-exhaust/"/>
    <s v="CONICAL VERSION"/>
    <x v="162"/>
    <s v="2&gt;1 FULL KIT"/>
    <s v="ZKAW173SKR"/>
    <s v="KAWASAKI W800 2010/17"/>
    <n v="719.26"/>
    <n v="799.18"/>
    <s v="&lt;p&gt;2&amp;gt;1 STEEL RACING FULL KIT WITH REMOVABLE DB KILLER&lt;/p&gt;_x000a_&lt;p&gt;ZARD FULL KIT WEIGHT: 2.9 KG&lt;/p&gt;_x000a_&lt;p&gt;HARD INCREASE, COMPARED TO THE ORIGINAL EXHAUST SYSTEM, IN TERMS OF TORQUE AND POWER AT ANY RANGE&lt;/p&gt;_x000a_&lt;p&gt;ASTONISHING SOUND&lt;/p&gt;"/>
    <s v="https://shop.officineitalianezard.it/contents/imgs/products/1_870-W800CONICALBLACK3.JPG"/>
    <m/>
    <m/>
  </r>
  <r>
    <s v="1586059543-10952"/>
    <s v="https://shop.officineitalianezard.it/en/products/"/>
    <m/>
    <s v="https://shop.officineitalianezard.it/en/kawasaki-zard-exhaust/"/>
    <s v="W 800 2010/17"/>
    <s v="https://shop.officineitalianezard.it/en/kawasaki-w-800-exhaust/"/>
    <s v="CONICAL VERSION"/>
    <x v="162"/>
    <s v="2&gt;1 FULL KIT"/>
    <s v="ZKAW173SKR"/>
    <s v="KAWASAKI W800 2010/17"/>
    <n v="719.26"/>
    <n v="799.18"/>
    <s v="&lt;p&gt;2&amp;gt;1 STEEL RACING FULL KIT WITH REMOVABLE DB KILLER&lt;/p&gt;_x000a_&lt;p&gt;ZARD FULL KIT WEIGHT: 2.9 KG&lt;/p&gt;_x000a_&lt;p&gt;HARD INCREASE, COMPARED TO THE ORIGINAL EXHAUST SYSTEM, IN TERMS OF TORQUE AND POWER AT ANY RANGE&lt;/p&gt;_x000a_&lt;p&gt;ASTONISHING SOUND&lt;/p&gt;"/>
    <s v="https://shop.officineitalianezard.it/contents/imgs/products/1_868-W800CONICO6.JPG"/>
    <m/>
    <m/>
  </r>
  <r>
    <s v="1586059543-10953"/>
    <s v="https://shop.officineitalianezard.it/en/products/"/>
    <m/>
    <s v="https://shop.officineitalianezard.it/en/kawasaki-zard-exhaust/"/>
    <s v="W 800 2010/17"/>
    <s v="https://shop.officineitalianezard.it/en/kawasaki-w-800-exhaust/"/>
    <s v="CONICAL VERSION"/>
    <x v="162"/>
    <s v="2&gt;1 FULL KIT"/>
    <s v="ZKAW173SKR"/>
    <s v="KAWASAKI W800 2010/17"/>
    <n v="719.26"/>
    <n v="799.18"/>
    <s v="&lt;p&gt;2&amp;gt;1 STEEL RACING FULL KIT WITH REMOVABLE DB KILLER&lt;/p&gt;_x000a_&lt;p&gt;ZARD FULL KIT WEIGHT: 2.9 KG&lt;/p&gt;_x000a_&lt;p&gt;HARD INCREASE, COMPARED TO THE ORIGINAL EXHAUST SYSTEM, IN TERMS OF TORQUE AND POWER AT ANY RANGE&lt;/p&gt;_x000a_&lt;p&gt;ASTONISHING SOUND&lt;/p&gt;"/>
    <s v="https://shop.officineitalianezard.it/contents/imgs/products/1_869-W800CONICO3.JPG"/>
    <m/>
    <m/>
  </r>
  <r>
    <s v="1586059543-10954"/>
    <s v="https://shop.officineitalianezard.it/en/products/"/>
    <m/>
    <s v="https://shop.officineitalianezard.it/en/kawasaki-zard-exhaust/"/>
    <s v="W 800 2010/17"/>
    <s v="https://shop.officineitalianezard.it/en/kawasaki-w-800-exhaust/"/>
    <s v="CONICAL VERSION"/>
    <x v="162"/>
    <s v="2&gt;1 FULL KIT"/>
    <s v="ZKAW173SKR"/>
    <s v="KAWASAKI W800 2010/17"/>
    <n v="719.26"/>
    <n v="799.18"/>
    <s v="&lt;p&gt;2&amp;gt;1 STEEL RACING FULL KIT WITH REMOVABLE DB KILLER&lt;/p&gt;_x000a_&lt;p&gt;ZARD FULL KIT WEIGHT: 2.9 KG&lt;/p&gt;_x000a_&lt;p&gt;HARD INCREASE, COMPARED TO THE ORIGINAL EXHAUST SYSTEM, IN TERMS OF TORQUE AND POWER AT ANY RANGE&lt;/p&gt;_x000a_&lt;p&gt;ASTONISHING SOUND&lt;/p&gt;"/>
    <s v="https://shop.officineitalianezard.it/contents/imgs/products/1_871-W800CONICALBLACK2.JPG"/>
    <m/>
    <m/>
  </r>
  <r>
    <s v="1586059543-10955"/>
    <s v="https://shop.officineitalianezard.it/en/products/"/>
    <m/>
    <s v="https://shop.officineitalianezard.it/en/kawasaki-zard-exhaust/"/>
    <s v="W 800 2010/17"/>
    <s v="https://shop.officineitalianezard.it/en/kawasaki-w-800-exhaust/"/>
    <s v="CONICAL VERSION"/>
    <x v="162"/>
    <s v="2&gt;1 FULL KIT"/>
    <s v="ZKAW173SKR"/>
    <s v="KAWASAKI W800 2010/17"/>
    <n v="719.26"/>
    <n v="799.18"/>
    <s v="&lt;p&gt;2&amp;gt;1 STEEL RACING FULL KIT WITH REMOVABLE DB KILLER&lt;/p&gt;_x000a_&lt;p&gt;ZARD FULL KIT WEIGHT: 2.9 KG&lt;/p&gt;_x000a_&lt;p&gt;HARD INCREASE, COMPARED TO THE ORIGINAL EXHAUST SYSTEM, IN TERMS OF TORQUE AND POWER AT ANY RANGE&lt;/p&gt;_x000a_&lt;p&gt;ASTONISHING SOUND&lt;/p&gt;"/>
    <s v="https://shop.officineitalianezard.it/contents/imgs/products/1_1386-kawasaki%20w800%20exhaust%20zard.jpg"/>
    <m/>
    <m/>
  </r>
  <r>
    <s v="1586059543-10956"/>
    <s v="https://shop.officineitalianezard.it/en/products/"/>
    <m/>
    <s v="https://shop.officineitalianezard.it/en/kawasaki-zard-exhaust/"/>
    <s v="W 800 2010/17"/>
    <s v="https://shop.officineitalianezard.it/en/kawasaki-w-800-exhaust/"/>
    <s v="CONICAL VERSION"/>
    <x v="162"/>
    <s v="2&gt;1 FULL KIT"/>
    <s v="ZKAW173SKR"/>
    <s v="KAWASAKI W800 2010/17"/>
    <n v="719.26"/>
    <n v="799.18"/>
    <s v="&lt;p&gt;2&amp;gt;1 STEEL RACING FULL KIT WITH REMOVABLE DB KILLER&lt;/p&gt;_x000a_&lt;p&gt;ZARD FULL KIT WEIGHT: 2.9 KG&lt;/p&gt;_x000a_&lt;p&gt;HARD INCREASE, COMPARED TO THE ORIGINAL EXHAUST SYSTEM, IN TERMS OF TORQUE AND POWER AT ANY RANGE&lt;/p&gt;_x000a_&lt;p&gt;ASTONISHING SOUND&lt;/p&gt;"/>
    <m/>
    <s v="BLACK COATING"/>
    <n v="169.67"/>
  </r>
  <r>
    <s v="1586059543-10957"/>
    <s v="https://shop.officineitalianezard.it/en/products/"/>
    <m/>
    <s v="https://shop.officineitalianezard.it/en/kawasaki-zard-exhaust/"/>
    <s v="W 800 2010/17"/>
    <s v="https://shop.officineitalianezard.it/en/kawasaki-w-800-exhaust/"/>
    <s v="CONICAL VERSION"/>
    <x v="162"/>
    <s v="2&gt;1 FULL KIT"/>
    <s v="ZKAW173SKR"/>
    <s v="KAWASAKI W800 2010/17"/>
    <n v="719.26"/>
    <n v="799.18"/>
    <s v="&lt;p&gt;2&amp;gt;1 STEEL RACING FULL KIT WITH REMOVABLE DB KILLER&lt;/p&gt;_x000a_&lt;p&gt;ZARD FULL KIT WEIGHT: 2.9 KG&lt;/p&gt;_x000a_&lt;p&gt;HARD INCREASE, COMPARED TO THE ORIGINAL EXHAUST SYSTEM, IN TERMS OF TORQUE AND POWER AT ANY RANGE&lt;/p&gt;_x000a_&lt;p&gt;ASTONISHING SOUND&lt;/p&gt;"/>
    <m/>
    <s v="POLISHED"/>
    <n v="96.64"/>
  </r>
  <r>
    <s v="1586059546-10958"/>
    <s v="https://shop.officineitalianezard.it/en/products/"/>
    <m/>
    <s v="https://shop.officineitalianezard.it/en/kawasaki-zard-exhaust/"/>
    <s v="W 800 2010/17"/>
    <s v="https://shop.officineitalianezard.it/en/kawasaki-w-800-exhaust/"/>
    <s v="CROSS VERSION"/>
    <x v="163"/>
    <s v="2&gt;1 FULL KIT"/>
    <s v="ZKAW172SKR"/>
    <s v="KAWASAKI W800 2010/17"/>
    <n v="682.38"/>
    <n v="758.2"/>
    <s v="&lt;p&gt;2&amp;gt;1 FULL KIT STEEL RACING WITH REMOVABLE DB KILLER&lt;/p&gt;_x000a_&lt;p&gt;ZARD FULL KIT WEIGHT: 2.6 KG&lt;/p&gt;_x000a_&lt;p&gt;HARD INCREASE, COMPARED TO THE ORIGINAL EXHAUST SYSTEM, IN TERMS OF TORQUE AND POWER AT ANY RANGE&lt;/p&gt;_x000a_&lt;p&gt;ASTONISHING SOUND&lt;/p&gt;"/>
    <s v="https://shop.officineitalianezard.it/contents/imgs/products/1_867-IMG_0612.JPG"/>
    <m/>
    <m/>
  </r>
  <r>
    <s v="1586059546-10959"/>
    <s v="https://shop.officineitalianezard.it/en/products/"/>
    <m/>
    <s v="https://shop.officineitalianezard.it/en/kawasaki-zard-exhaust/"/>
    <s v="W 800 2010/17"/>
    <s v="https://shop.officineitalianezard.it/en/kawasaki-w-800-exhaust/"/>
    <s v="CROSS VERSION"/>
    <x v="163"/>
    <s v="2&gt;1 FULL KIT"/>
    <s v="ZKAW172SKR"/>
    <s v="KAWASAKI W800 2010/17"/>
    <n v="682.38"/>
    <n v="758.2"/>
    <s v="&lt;p&gt;2&amp;gt;1 FULL KIT STEEL RACING WITH REMOVABLE DB KILLER&lt;/p&gt;_x000a_&lt;p&gt;ZARD FULL KIT WEIGHT: 2.6 KG&lt;/p&gt;_x000a_&lt;p&gt;HARD INCREASE, COMPARED TO THE ORIGINAL EXHAUST SYSTEM, IN TERMS OF TORQUE AND POWER AT ANY RANGE&lt;/p&gt;_x000a_&lt;p&gt;ASTONISHING SOUND&lt;/p&gt;"/>
    <s v="https://shop.officineitalianezard.it/contents/imgs/products/1_866-IMG_0601.JPG"/>
    <m/>
    <m/>
  </r>
  <r>
    <s v="1586059546-10960"/>
    <s v="https://shop.officineitalianezard.it/en/products/"/>
    <m/>
    <s v="https://shop.officineitalianezard.it/en/kawasaki-zard-exhaust/"/>
    <s v="W 800 2010/17"/>
    <s v="https://shop.officineitalianezard.it/en/kawasaki-w-800-exhaust/"/>
    <s v="CROSS VERSION"/>
    <x v="163"/>
    <s v="2&gt;1 FULL KIT"/>
    <s v="ZKAW172SKR"/>
    <s v="KAWASAKI W800 2010/17"/>
    <n v="682.38"/>
    <n v="758.2"/>
    <s v="&lt;p&gt;2&amp;gt;1 FULL KIT STEEL RACING WITH REMOVABLE DB KILLER&lt;/p&gt;_x000a_&lt;p&gt;ZARD FULL KIT WEIGHT: 2.6 KG&lt;/p&gt;_x000a_&lt;p&gt;HARD INCREASE, COMPARED TO THE ORIGINAL EXHAUST SYSTEM, IN TERMS OF TORQUE AND POWER AT ANY RANGE&lt;/p&gt;_x000a_&lt;p&gt;ASTONISHING SOUND&lt;/p&gt;"/>
    <s v="https://shop.officineitalianezard.it/contents/imgs/products/1_864-IMG_0578.JPG"/>
    <m/>
    <m/>
  </r>
  <r>
    <s v="1586059546-10961"/>
    <s v="https://shop.officineitalianezard.it/en/products/"/>
    <m/>
    <s v="https://shop.officineitalianezard.it/en/kawasaki-zard-exhaust/"/>
    <s v="W 800 2010/17"/>
    <s v="https://shop.officineitalianezard.it/en/kawasaki-w-800-exhaust/"/>
    <s v="CROSS VERSION"/>
    <x v="163"/>
    <s v="2&gt;1 FULL KIT"/>
    <s v="ZKAW172SKR"/>
    <s v="KAWASAKI W800 2010/17"/>
    <n v="682.38"/>
    <n v="758.2"/>
    <s v="&lt;p&gt;2&amp;gt;1 FULL KIT STEEL RACING WITH REMOVABLE DB KILLER&lt;/p&gt;_x000a_&lt;p&gt;ZARD FULL KIT WEIGHT: 2.6 KG&lt;/p&gt;_x000a_&lt;p&gt;HARD INCREASE, COMPARED TO THE ORIGINAL EXHAUST SYSTEM, IN TERMS OF TORQUE AND POWER AT ANY RANGE&lt;/p&gt;_x000a_&lt;p&gt;ASTONISHING SOUND&lt;/p&gt;"/>
    <m/>
    <s v="BLACK COATING"/>
    <n v="169.67"/>
  </r>
  <r>
    <s v="1586059551-10962"/>
    <s v="https://shop.officineitalianezard.it/en/products/"/>
    <m/>
    <s v="https://shop.officineitalianezard.it/en/kawasaki-zard-exhaust/"/>
    <s v="Z900 RS 2018/19"/>
    <s v="https://shop.officineitalianezard.it/en/kawasaki-z900-rs-exhaust/"/>
    <s v="4&gt;2&gt;1 VERSION"/>
    <x v="164"/>
    <s v="FULL KIT"/>
    <s v="ZKAW180SKR"/>
    <s v="KAWASAKI Z900 RS 2018/19"/>
    <n v="956.07"/>
    <n v="1062.3"/>
    <s v="&lt;p&gt;4&amp;gt;2&amp;gt;1&amp;nbsp;STEEL RACING FULL KIT WITH REMOVABLE DBKILLER&lt;/p&gt;_x000a_&lt;p&gt;ORIGINAL FULL KIT WEIGHT: 11,5 KG&lt;br&gt;ZARD TITANIUM FULL KIT WEIGHT: 3,6 KG&lt;br&gt;&lt;span&gt;ZARD&amp;nbsp;STEEL FULL KIT WEIGHT&lt;/span&gt;: 5,9 KG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TOTALLY HANDMADE PRODUCT.&lt;/span&gt;&lt;/p&gt;_x000a_&lt;p&gt;&lt;span&gt;ASTONISHING SOUND.&lt;/span&gt;&lt;/p&gt;"/>
    <s v="https://shop.officineitalianezard.it/contents/imgs/products/1_2393-scarico%20kawasaki%20z900rs%20-%20zard%201.jpg"/>
    <m/>
    <m/>
  </r>
  <r>
    <s v="1586059551-10963"/>
    <s v="https://shop.officineitalianezard.it/en/products/"/>
    <m/>
    <s v="https://shop.officineitalianezard.it/en/kawasaki-zard-exhaust/"/>
    <s v="Z900 RS 2018/19"/>
    <s v="https://shop.officineitalianezard.it/en/kawasaki-z900-rs-exhaust/"/>
    <s v="4&gt;2&gt;1 VERSION"/>
    <x v="164"/>
    <s v="FULL KIT"/>
    <s v="ZKAW180SKR"/>
    <s v="KAWASAKI Z900 RS 2018/19"/>
    <n v="956.07"/>
    <n v="1062.3"/>
    <s v="&lt;p&gt;4&amp;gt;2&amp;gt;1&amp;nbsp;STEEL RACING FULL KIT WITH REMOVABLE DBKILLER&lt;/p&gt;_x000a_&lt;p&gt;ORIGINAL FULL KIT WEIGHT: 11,5 KG&lt;br&gt;ZARD TITANIUM FULL KIT WEIGHT: 3,6 KG&lt;br&gt;&lt;span&gt;ZARD&amp;nbsp;STEEL FULL KIT WEIGHT&lt;/span&gt;: 5,9 KG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TOTALLY HANDMADE PRODUCT.&lt;/span&gt;&lt;/p&gt;_x000a_&lt;p&gt;&lt;span&gt;ASTONISHING SOUND.&lt;/span&gt;&lt;/p&gt;"/>
    <s v="https://shop.officineitalianezard.it/contents/imgs/products/1_2390-scarico%20kawasaki%20z900rs%20-%20zard%202.jpg"/>
    <m/>
    <m/>
  </r>
  <r>
    <s v="1586059551-10964"/>
    <s v="https://shop.officineitalianezard.it/en/products/"/>
    <m/>
    <s v="https://shop.officineitalianezard.it/en/kawasaki-zard-exhaust/"/>
    <s v="Z900 RS 2018/19"/>
    <s v="https://shop.officineitalianezard.it/en/kawasaki-z900-rs-exhaust/"/>
    <s v="4&gt;2&gt;1 VERSION"/>
    <x v="164"/>
    <s v="FULL KIT"/>
    <s v="ZKAW180SKR"/>
    <s v="KAWASAKI Z900 RS 2018/19"/>
    <n v="956.07"/>
    <n v="1062.3"/>
    <s v="&lt;p&gt;4&amp;gt;2&amp;gt;1&amp;nbsp;STEEL RACING FULL KIT WITH REMOVABLE DBKILLER&lt;/p&gt;_x000a_&lt;p&gt;ORIGINAL FULL KIT WEIGHT: 11,5 KG&lt;br&gt;ZARD TITANIUM FULL KIT WEIGHT: 3,6 KG&lt;br&gt;&lt;span&gt;ZARD&amp;nbsp;STEEL FULL KIT WEIGHT&lt;/span&gt;: 5,9 KG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TOTALLY HANDMADE PRODUCT.&lt;/span&gt;&lt;/p&gt;_x000a_&lt;p&gt;&lt;span&gt;ASTONISHING SOUND.&lt;/span&gt;&lt;/p&gt;"/>
    <s v="https://shop.officineitalianezard.it/contents/imgs/products/1_2391-scarico%20kawasaki%20z900rs%20-%20zard%203.jpg"/>
    <m/>
    <m/>
  </r>
  <r>
    <s v="1586059551-10965"/>
    <s v="https://shop.officineitalianezard.it/en/products/"/>
    <m/>
    <s v="https://shop.officineitalianezard.it/en/kawasaki-zard-exhaust/"/>
    <s v="Z900 RS 2018/19"/>
    <s v="https://shop.officineitalianezard.it/en/kawasaki-z900-rs-exhaust/"/>
    <s v="4&gt;2&gt;1 VERSION"/>
    <x v="164"/>
    <s v="FULL KIT"/>
    <s v="ZKAW180SKR"/>
    <s v="KAWASAKI Z900 RS 2018/19"/>
    <n v="956.07"/>
    <n v="1062.3"/>
    <s v="&lt;p&gt;4&amp;gt;2&amp;gt;1&amp;nbsp;STEEL RACING FULL KIT WITH REMOVABLE DBKILLER&lt;/p&gt;_x000a_&lt;p&gt;ORIGINAL FULL KIT WEIGHT: 11,5 KG&lt;br&gt;ZARD TITANIUM FULL KIT WEIGHT: 3,6 KG&lt;br&gt;&lt;span&gt;ZARD&amp;nbsp;STEEL FULL KIT WEIGHT&lt;/span&gt;: 5,9 KG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TOTALLY HANDMADE PRODUCT.&lt;/span&gt;&lt;/p&gt;_x000a_&lt;p&gt;&lt;span&gt;ASTONISHING SOUND.&lt;/span&gt;&lt;/p&gt;"/>
    <s v="https://shop.officineitalianezard.it/contents/imgs/products/1_2392-kawasaki%20z900rs%20exhaust%20-%20zard%20black%20version.jpg"/>
    <m/>
    <m/>
  </r>
  <r>
    <s v="1586059551-10966"/>
    <s v="https://shop.officineitalianezard.it/en/products/"/>
    <m/>
    <s v="https://shop.officineitalianezard.it/en/kawasaki-zard-exhaust/"/>
    <s v="Z900 RS 2018/19"/>
    <s v="https://shop.officineitalianezard.it/en/kawasaki-z900-rs-exhaust/"/>
    <s v="4&gt;2&gt;1 VERSION"/>
    <x v="164"/>
    <s v="FULL KIT"/>
    <s v="ZKAW180SKR"/>
    <s v="KAWASAKI Z900 RS 2018/19"/>
    <n v="956.07"/>
    <n v="1062.3"/>
    <s v="&lt;p&gt;4&amp;gt;2&amp;gt;1&amp;nbsp;STEEL RACING FULL KIT WITH REMOVABLE DBKILLER&lt;/p&gt;_x000a_&lt;p&gt;ORIGINAL FULL KIT WEIGHT: 11,5 KG&lt;br&gt;ZARD TITANIUM FULL KIT WEIGHT: 3,6 KG&lt;br&gt;&lt;span&gt;ZARD&amp;nbsp;STEEL FULL KIT WEIGHT&lt;/span&gt;: 5,9 KG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TOTALLY HANDMADE PRODUCT.&lt;/span&gt;&lt;/p&gt;_x000a_&lt;p&gt;&lt;span&gt;ASTONISHING SOUND.&lt;/span&gt;&lt;/p&gt;"/>
    <s v="https://shop.officineitalianezard.it/contents/imgs/products/1_2319-kawasaki%20z900%20zard.jpg"/>
    <m/>
    <m/>
  </r>
  <r>
    <s v="1586059551-10967"/>
    <s v="https://shop.officineitalianezard.it/en/products/"/>
    <m/>
    <s v="https://shop.officineitalianezard.it/en/kawasaki-zard-exhaust/"/>
    <s v="Z900 RS 2018/19"/>
    <s v="https://shop.officineitalianezard.it/en/kawasaki-z900-rs-exhaust/"/>
    <s v="4&gt;2&gt;1 VERSION"/>
    <x v="164"/>
    <s v="FULL KIT"/>
    <s v="ZKAW180SKR"/>
    <s v="KAWASAKI Z900 RS 2018/19"/>
    <n v="956.07"/>
    <n v="1062.3"/>
    <s v="&lt;p&gt;4&amp;gt;2&amp;gt;1&amp;nbsp;STEEL RACING FULL KIT WITH REMOVABLE DBKILLER&lt;/p&gt;_x000a_&lt;p&gt;ORIGINAL FULL KIT WEIGHT: 11,5 KG&lt;br&gt;ZARD TITANIUM FULL KIT WEIGHT: 3,6 KG&lt;br&gt;&lt;span&gt;ZARD&amp;nbsp;STEEL FULL KIT WEIGHT&lt;/span&gt;: 5,9 KG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TOTALLY HANDMADE PRODUCT.&lt;/span&gt;&lt;/p&gt;_x000a_&lt;p&gt;&lt;span&gt;ASTONISHING SOUND.&lt;/span&gt;&lt;/p&gt;"/>
    <s v="https://shop.officineitalianezard.it/contents/imgs/products/1_2421-scarico%20kawasaki%20z900%20rs%20zard%20exhaust%201.jpg"/>
    <m/>
    <m/>
  </r>
  <r>
    <s v="1586059551-10968"/>
    <s v="https://shop.officineitalianezard.it/en/products/"/>
    <m/>
    <s v="https://shop.officineitalianezard.it/en/kawasaki-zard-exhaust/"/>
    <s v="Z900 RS 2018/19"/>
    <s v="https://shop.officineitalianezard.it/en/kawasaki-z900-rs-exhaust/"/>
    <s v="4&gt;2&gt;1 VERSION"/>
    <x v="164"/>
    <s v="FULL KIT"/>
    <s v="ZKAW180SKR"/>
    <s v="KAWASAKI Z900 RS 2018/19"/>
    <n v="956.07"/>
    <n v="1062.3"/>
    <s v="&lt;p&gt;4&amp;gt;2&amp;gt;1&amp;nbsp;STEEL RACING FULL KIT WITH REMOVABLE DBKILLER&lt;/p&gt;_x000a_&lt;p&gt;ORIGINAL FULL KIT WEIGHT: 11,5 KG&lt;br&gt;ZARD TITANIUM FULL KIT WEIGHT: 3,6 KG&lt;br&gt;&lt;span&gt;ZARD&amp;nbsp;STEEL FULL KIT WEIGHT&lt;/span&gt;: 5,9 KG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TOTALLY HANDMADE PRODUCT.&lt;/span&gt;&lt;/p&gt;_x000a_&lt;p&gt;&lt;span&gt;ASTONISHING SOUND.&lt;/span&gt;&lt;/p&gt;"/>
    <s v="https://shop.officineitalianezard.it/contents/imgs/products/1_2424-scarico%20kawasaki%20z900%20rs%20zard%20exhaust%202.jpg"/>
    <m/>
    <m/>
  </r>
  <r>
    <s v="1586059551-10969"/>
    <s v="https://shop.officineitalianezard.it/en/products/"/>
    <m/>
    <s v="https://shop.officineitalianezard.it/en/kawasaki-zard-exhaust/"/>
    <s v="Z900 RS 2018/19"/>
    <s v="https://shop.officineitalianezard.it/en/kawasaki-z900-rs-exhaust/"/>
    <s v="4&gt;2&gt;1 VERSION"/>
    <x v="164"/>
    <s v="FULL KIT"/>
    <s v="ZKAW180SKR"/>
    <s v="KAWASAKI Z900 RS 2018/19"/>
    <n v="956.07"/>
    <n v="1062.3"/>
    <s v="&lt;p&gt;4&amp;gt;2&amp;gt;1&amp;nbsp;STEEL RACING FULL KIT WITH REMOVABLE DBKILLER&lt;/p&gt;_x000a_&lt;p&gt;ORIGINAL FULL KIT WEIGHT: 11,5 KG&lt;br&gt;ZARD TITANIUM FULL KIT WEIGHT: 3,6 KG&lt;br&gt;&lt;span&gt;ZARD&amp;nbsp;STEEL FULL KIT WEIGHT&lt;/span&gt;: 5,9 KG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TOTALLY HANDMADE PRODUCT.&lt;/span&gt;&lt;/p&gt;_x000a_&lt;p&gt;&lt;span&gt;ASTONISHING SOUND.&lt;/span&gt;&lt;/p&gt;"/>
    <s v="https://shop.officineitalianezard.it/contents/imgs/products/1_2423-scarico%20kawasaki%20z900%20rs%20zard%20exhaust%203.jpg"/>
    <m/>
    <m/>
  </r>
  <r>
    <s v="1586059551-10970"/>
    <s v="https://shop.officineitalianezard.it/en/products/"/>
    <m/>
    <s v="https://shop.officineitalianezard.it/en/kawasaki-zard-exhaust/"/>
    <s v="Z900 RS 2018/19"/>
    <s v="https://shop.officineitalianezard.it/en/kawasaki-z900-rs-exhaust/"/>
    <s v="4&gt;2&gt;1 VERSION"/>
    <x v="164"/>
    <s v="FULL KIT"/>
    <s v="ZKAW180SKR"/>
    <s v="KAWASAKI Z900 RS 2018/19"/>
    <n v="956.07"/>
    <n v="1062.3"/>
    <s v="&lt;p&gt;4&amp;gt;2&amp;gt;1&amp;nbsp;STEEL RACING FULL KIT WITH REMOVABLE DBKILLER&lt;/p&gt;_x000a_&lt;p&gt;ORIGINAL FULL KIT WEIGHT: 11,5 KG&lt;br&gt;ZARD TITANIUM FULL KIT WEIGHT: 3,6 KG&lt;br&gt;&lt;span&gt;ZARD&amp;nbsp;STEEL FULL KIT WEIGHT&lt;/span&gt;: 5,9 KG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TOTALLY HANDMADE PRODUCT.&lt;/span&gt;&lt;/p&gt;_x000a_&lt;p&gt;&lt;span&gt;ASTONISHING SOUND.&lt;/span&gt;&lt;/p&gt;"/>
    <s v="https://shop.officineitalianezard.it/contents/imgs/products/1_2422-scarico%20kawasaki%20z900%20rs%20zard%20exhaust%204.jpg"/>
    <m/>
    <m/>
  </r>
  <r>
    <s v="1586059551-10971"/>
    <s v="https://shop.officineitalianezard.it/en/products/"/>
    <m/>
    <s v="https://shop.officineitalianezard.it/en/kawasaki-zard-exhaust/"/>
    <s v="Z900 RS 2018/19"/>
    <s v="https://shop.officineitalianezard.it/en/kawasaki-z900-rs-exhaust/"/>
    <s v="4&gt;2&gt;1 VERSION"/>
    <x v="164"/>
    <s v="FULL KIT"/>
    <s v="ZKAW180SKR"/>
    <s v="KAWASAKI Z900 RS 2018/19"/>
    <n v="956.07"/>
    <n v="1062.3"/>
    <s v="&lt;p&gt;4&amp;gt;2&amp;gt;1&amp;nbsp;STEEL RACING FULL KIT WITH REMOVABLE DBKILLER&lt;/p&gt;_x000a_&lt;p&gt;ORIGINAL FULL KIT WEIGHT: 11,5 KG&lt;br&gt;ZARD TITANIUM FULL KIT WEIGHT: 3,6 KG&lt;br&gt;&lt;span&gt;ZARD&amp;nbsp;STEEL FULL KIT WEIGHT&lt;/span&gt;: 5,9 KG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TOTALLY HANDMADE PRODUCT.&lt;/span&gt;&lt;/p&gt;_x000a_&lt;p&gt;&lt;span&gt;ASTONISHING SOUND.&lt;/span&gt;&lt;/p&gt;"/>
    <m/>
    <s v="STEEL VERSION EURO 4 HOMOLOGATED"/>
    <n v="185.16"/>
  </r>
  <r>
    <s v="1586059551-10972"/>
    <s v="https://shop.officineitalianezard.it/en/products/"/>
    <m/>
    <s v="https://shop.officineitalianezard.it/en/kawasaki-zard-exhaust/"/>
    <s v="Z900 RS 2018/19"/>
    <s v="https://shop.officineitalianezard.it/en/kawasaki-z900-rs-exhaust/"/>
    <s v="4&gt;2&gt;1 VERSION"/>
    <x v="164"/>
    <s v="FULL KIT"/>
    <s v="ZKAW180SKR"/>
    <s v="KAWASAKI Z900 RS 2018/19"/>
    <n v="956.07"/>
    <n v="1062.3"/>
    <s v="&lt;p&gt;4&amp;gt;2&amp;gt;1&amp;nbsp;STEEL RACING FULL KIT WITH REMOVABLE DBKILLER&lt;/p&gt;_x000a_&lt;p&gt;ORIGINAL FULL KIT WEIGHT: 11,5 KG&lt;br&gt;ZARD TITANIUM FULL KIT WEIGHT: 3,6 KG&lt;br&gt;&lt;span&gt;ZARD&amp;nbsp;STEEL FULL KIT WEIGHT&lt;/span&gt;: 5,9 KG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TOTALLY HANDMADE PRODUCT.&lt;/span&gt;&lt;/p&gt;_x000a_&lt;p&gt;&lt;span&gt;ASTONISHING SOUND.&lt;/span&gt;&lt;/p&gt;"/>
    <m/>
    <s v="TITANIUM RACING"/>
    <n v="557.70000000000005"/>
  </r>
  <r>
    <s v="1586059551-10973"/>
    <s v="https://shop.officineitalianezard.it/en/products/"/>
    <m/>
    <s v="https://shop.officineitalianezard.it/en/kawasaki-zard-exhaust/"/>
    <s v="Z900 RS 2018/19"/>
    <s v="https://shop.officineitalianezard.it/en/kawasaki-z900-rs-exhaust/"/>
    <s v="4&gt;2&gt;1 VERSION"/>
    <x v="164"/>
    <s v="FULL KIT"/>
    <s v="ZKAW180SKR"/>
    <s v="KAWASAKI Z900 RS 2018/19"/>
    <n v="956.07"/>
    <n v="1062.3"/>
    <s v="&lt;p&gt;4&amp;gt;2&amp;gt;1&amp;nbsp;STEEL RACING FULL KIT WITH REMOVABLE DBKILLER&lt;/p&gt;_x000a_&lt;p&gt;ORIGINAL FULL KIT WEIGHT: 11,5 KG&lt;br&gt;ZARD TITANIUM FULL KIT WEIGHT: 3,6 KG&lt;br&gt;&lt;span&gt;ZARD&amp;nbsp;STEEL FULL KIT WEIGHT&lt;/span&gt;: 5,9 KG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TOTALLY HANDMADE PRODUCT.&lt;/span&gt;&lt;/p&gt;_x000a_&lt;p&gt;&lt;span&gt;ASTONISHING SOUND.&lt;/span&gt;&lt;/p&gt;"/>
    <m/>
    <s v="TITANIUM EURO 4 HOMOLOGATED"/>
    <n v="755.41"/>
  </r>
  <r>
    <s v="1586059551-10974"/>
    <s v="https://shop.officineitalianezard.it/en/products/"/>
    <m/>
    <s v="https://shop.officineitalianezard.it/en/kawasaki-zard-exhaust/"/>
    <s v="Z900 RS 2018/19"/>
    <s v="https://shop.officineitalianezard.it/en/kawasaki-z900-rs-exhaust/"/>
    <s v="4&gt;2&gt;1 VERSION"/>
    <x v="164"/>
    <s v="FULL KIT"/>
    <s v="ZKAW180SKR"/>
    <s v="KAWASAKI Z900 RS 2018/19"/>
    <n v="956.07"/>
    <n v="1062.3"/>
    <s v="&lt;p&gt;4&amp;gt;2&amp;gt;1&amp;nbsp;STEEL RACING FULL KIT WITH REMOVABLE DBKILLER&lt;/p&gt;_x000a_&lt;p&gt;ORIGINAL FULL KIT WEIGHT: 11,5 KG&lt;br&gt;ZARD TITANIUM FULL KIT WEIGHT: 3,6 KG&lt;br&gt;&lt;span&gt;ZARD&amp;nbsp;STEEL FULL KIT WEIGHT&lt;/span&gt;: 5,9 KG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TOTALLY HANDMADE PRODUCT.&lt;/span&gt;&lt;/p&gt;_x000a_&lt;p&gt;&lt;span&gt;ASTONISHING SOUND.&lt;/span&gt;&lt;/p&gt;"/>
    <m/>
    <s v="SNAKE WELDING"/>
    <n v="138.69"/>
  </r>
  <r>
    <s v="1586059551-10975"/>
    <s v="https://shop.officineitalianezard.it/en/products/"/>
    <m/>
    <s v="https://shop.officineitalianezard.it/en/kawasaki-zard-exhaust/"/>
    <s v="Z900 RS 2018/19"/>
    <s v="https://shop.officineitalianezard.it/en/kawasaki-z900-rs-exhaust/"/>
    <s v="4&gt;2&gt;1 VERSION"/>
    <x v="164"/>
    <s v="FULL KIT"/>
    <s v="ZKAW180SKR"/>
    <s v="KAWASAKI Z900 RS 2018/19"/>
    <n v="956.07"/>
    <n v="1062.3"/>
    <s v="&lt;p&gt;4&amp;gt;2&amp;gt;1&amp;nbsp;STEEL RACING FULL KIT WITH REMOVABLE DBKILLER&lt;/p&gt;_x000a_&lt;p&gt;ORIGINAL FULL KIT WEIGHT: 11,5 KG&lt;br&gt;ZARD TITANIUM FULL KIT WEIGHT: 3,6 KG&lt;br&gt;&lt;span&gt;ZARD&amp;nbsp;STEEL FULL KIT WEIGHT&lt;/span&gt;: 5,9 KG&lt;/p&gt;_x000a_&lt;p&gt;THE INSTALLATION OF ZARD EXHAUST DOES NOT IMPLY ANY MODIFICATION TO ECU.&lt;br&gt;THE BOX INCLUDES ALL PARTS FOR THE FITMENT OF ZARD EXHAUST.&lt;/p&gt;_x000a_&lt;p&gt;&lt;span&gt;HARD INCREASE, COMPARED TO THE ORIGINAL EXHAUST SYSTEM.&lt;/span&gt;&lt;/p&gt;_x000a_&lt;p&gt;&lt;span&gt;TOTALLY HANDMADE PRODUCT.&lt;/span&gt;&lt;/p&gt;_x000a_&lt;p&gt;&lt;span&gt;ASTONISHING SOUND.&lt;/span&gt;&lt;/p&gt;"/>
    <m/>
    <s v="BLACK COATING"/>
    <n v="169.67"/>
  </r>
  <r>
    <s v="1586059554-10976"/>
    <s v="https://shop.officineitalianezard.it/en/products/"/>
    <m/>
    <s v="https://shop.officineitalianezard.it/en/kawasaki-zard-exhaust/"/>
    <s v="Z900 RS 2018/19"/>
    <s v="https://shop.officineitalianezard.it/en/kawasaki-z900-rs-exhaust/"/>
    <s v="SLIP-ON VERSION"/>
    <x v="165"/>
    <s v="SILENCER"/>
    <s v="ZKAW181SSR"/>
    <s v="KAWASAKI Z900 RS 2018/19"/>
    <n v="323.85000000000002"/>
    <n v="359.84"/>
    <s v="&lt;p&gt;STEEL RACING&amp;nbsp;SILENCER WITH REMOVABLE DBKILLER&lt;/p&gt;_x000a_&lt;p&gt;ORIGINAL&amp;nbsp;SILENCER WEIGHT: 2 KG&lt;br&gt;ZARD&amp;nbsp;SILENCER WEIGHT: 1,6 KG&lt;/p&gt;_x000a_&lt;p&gt;THE INSTALLATION OF ZARD EXHAUST DOES NOT IMPLY ANY MODIFICATION TO ECU.&lt;/p&gt;_x000a_&lt;p&gt;THE BOX INCLUDES ALL PARTS FOR THE FITMENT OF ZARD EXHAUST.&lt;/p&gt;_x000a_&lt;p&gt;&lt;span&gt;HARD INCREASE, COMPARED TO THE ORIGINAL EXHAUST SYSTEM.&lt;/span&gt;&lt;/p&gt;_x000a_&lt;p&gt;&lt;span&gt;TOTALLY HANDMADE PRODUCT.&lt;/span&gt;&lt;/p&gt;_x000a_&lt;p&gt;&lt;span&gt;ASTONISHING SOUND.&lt;/span&gt;&lt;/p&gt;"/>
    <s v="https://shop.officineitalianezard.it/contents/imgs/products/1_2442-scarico%20kawasaki%20z900rs%20-%20zard%20exhaust%201.jpg"/>
    <m/>
    <m/>
  </r>
  <r>
    <s v="1586059554-10977"/>
    <s v="https://shop.officineitalianezard.it/en/products/"/>
    <m/>
    <s v="https://shop.officineitalianezard.it/en/kawasaki-zard-exhaust/"/>
    <s v="Z900 RS 2018/19"/>
    <s v="https://shop.officineitalianezard.it/en/kawasaki-z900-rs-exhaust/"/>
    <s v="SLIP-ON VERSION"/>
    <x v="165"/>
    <s v="SILENCER"/>
    <s v="ZKAW181SSR"/>
    <s v="KAWASAKI Z900 RS 2018/19"/>
    <n v="323.85000000000002"/>
    <n v="359.84"/>
    <s v="&lt;p&gt;STEEL RACING&amp;nbsp;SILENCER WITH REMOVABLE DBKILLER&lt;/p&gt;_x000a_&lt;p&gt;ORIGINAL&amp;nbsp;SILENCER WEIGHT: 2 KG&lt;br&gt;ZARD&amp;nbsp;SILENCER WEIGHT: 1,6 KG&lt;/p&gt;_x000a_&lt;p&gt;THE INSTALLATION OF ZARD EXHAUST DOES NOT IMPLY ANY MODIFICATION TO ECU.&lt;/p&gt;_x000a_&lt;p&gt;THE BOX INCLUDES ALL PARTS FOR THE FITMENT OF ZARD EXHAUST.&lt;/p&gt;_x000a_&lt;p&gt;&lt;span&gt;HARD INCREASE, COMPARED TO THE ORIGINAL EXHAUST SYSTEM.&lt;/span&gt;&lt;/p&gt;_x000a_&lt;p&gt;&lt;span&gt;TOTALLY HANDMADE PRODUCT.&lt;/span&gt;&lt;/p&gt;_x000a_&lt;p&gt;&lt;span&gt;ASTONISHING SOUND.&lt;/span&gt;&lt;/p&gt;"/>
    <s v="https://shop.officineitalianezard.it/contents/imgs/products/1_2441-scarico%20kawasaki%20z900rs%20-%20zard%20exhaust%202.jpg"/>
    <m/>
    <m/>
  </r>
  <r>
    <s v="1586059554-10978"/>
    <s v="https://shop.officineitalianezard.it/en/products/"/>
    <m/>
    <s v="https://shop.officineitalianezard.it/en/kawasaki-zard-exhaust/"/>
    <s v="Z900 RS 2018/19"/>
    <s v="https://shop.officineitalianezard.it/en/kawasaki-z900-rs-exhaust/"/>
    <s v="SLIP-ON VERSION"/>
    <x v="165"/>
    <s v="SILENCER"/>
    <s v="ZKAW181SSR"/>
    <s v="KAWASAKI Z900 RS 2018/19"/>
    <n v="323.85000000000002"/>
    <n v="359.84"/>
    <s v="&lt;p&gt;STEEL RACING&amp;nbsp;SILENCER WITH REMOVABLE DBKILLER&lt;/p&gt;_x000a_&lt;p&gt;ORIGINAL&amp;nbsp;SILENCER WEIGHT: 2 KG&lt;br&gt;ZARD&amp;nbsp;SILENCER WEIGHT: 1,6 KG&lt;/p&gt;_x000a_&lt;p&gt;THE INSTALLATION OF ZARD EXHAUST DOES NOT IMPLY ANY MODIFICATION TO ECU.&lt;/p&gt;_x000a_&lt;p&gt;THE BOX INCLUDES ALL PARTS FOR THE FITMENT OF ZARD EXHAUST.&lt;/p&gt;_x000a_&lt;p&gt;&lt;span&gt;HARD INCREASE, COMPARED TO THE ORIGINAL EXHAUST SYSTEM.&lt;/span&gt;&lt;/p&gt;_x000a_&lt;p&gt;&lt;span&gt;TOTALLY HANDMADE PRODUCT.&lt;/span&gt;&lt;/p&gt;_x000a_&lt;p&gt;&lt;span&gt;ASTONISHING SOUND.&lt;/span&gt;&lt;/p&gt;"/>
    <s v="https://shop.officineitalianezard.it/contents/imgs/products/1_2440-scarico%20kawasaki%20z900rs%20-%20zard%20exhaust%203.jpg"/>
    <m/>
    <m/>
  </r>
  <r>
    <s v="1586059554-10979"/>
    <s v="https://shop.officineitalianezard.it/en/products/"/>
    <m/>
    <s v="https://shop.officineitalianezard.it/en/kawasaki-zard-exhaust/"/>
    <s v="Z900 RS 2018/19"/>
    <s v="https://shop.officineitalianezard.it/en/kawasaki-z900-rs-exhaust/"/>
    <s v="SLIP-ON VERSION"/>
    <x v="165"/>
    <s v="SILENCER"/>
    <s v="ZKAW181SSR"/>
    <s v="KAWASAKI Z900 RS 2018/19"/>
    <n v="323.85000000000002"/>
    <n v="359.84"/>
    <s v="&lt;p&gt;STEEL RACING&amp;nbsp;SILENCER WITH REMOVABLE DBKILLER&lt;/p&gt;_x000a_&lt;p&gt;ORIGINAL&amp;nbsp;SILENCER WEIGHT: 2 KG&lt;br&gt;ZARD&amp;nbsp;SILENCER WEIGHT: 1,6 KG&lt;/p&gt;_x000a_&lt;p&gt;THE INSTALLATION OF ZARD EXHAUST DOES NOT IMPLY ANY MODIFICATION TO ECU.&lt;/p&gt;_x000a_&lt;p&gt;THE BOX INCLUDES ALL PARTS FOR THE FITMENT OF ZARD EXHAUST.&lt;/p&gt;_x000a_&lt;p&gt;&lt;span&gt;HARD INCREASE, COMPARED TO THE ORIGINAL EXHAUST SYSTEM.&lt;/span&gt;&lt;/p&gt;_x000a_&lt;p&gt;&lt;span&gt;TOTALLY HANDMADE PRODUCT.&lt;/span&gt;&lt;/p&gt;_x000a_&lt;p&gt;&lt;span&gt;ASTONISHING SOUND.&lt;/span&gt;&lt;/p&gt;"/>
    <s v="https://shop.officineitalianezard.it/contents/imgs/products/1_2418-scarico%20kawasaki%20z900%20rs%20zard%204.jpg"/>
    <m/>
    <m/>
  </r>
  <r>
    <s v="1586059554-10980"/>
    <s v="https://shop.officineitalianezard.it/en/products/"/>
    <m/>
    <s v="https://shop.officineitalianezard.it/en/kawasaki-zard-exhaust/"/>
    <s v="Z900 RS 2018/19"/>
    <s v="https://shop.officineitalianezard.it/en/kawasaki-z900-rs-exhaust/"/>
    <s v="SLIP-ON VERSION"/>
    <x v="165"/>
    <s v="SILENCER"/>
    <s v="ZKAW181SSR"/>
    <s v="KAWASAKI Z900 RS 2018/19"/>
    <n v="323.85000000000002"/>
    <n v="359.84"/>
    <s v="&lt;p&gt;STEEL RACING&amp;nbsp;SILENCER WITH REMOVABLE DBKILLER&lt;/p&gt;_x000a_&lt;p&gt;ORIGINAL&amp;nbsp;SILENCER WEIGHT: 2 KG&lt;br&gt;ZARD&amp;nbsp;SILENCER WEIGHT: 1,6 KG&lt;/p&gt;_x000a_&lt;p&gt;THE INSTALLATION OF ZARD EXHAUST DOES NOT IMPLY ANY MODIFICATION TO ECU.&lt;/p&gt;_x000a_&lt;p&gt;THE BOX INCLUDES ALL PARTS FOR THE FITMENT OF ZARD EXHAUST.&lt;/p&gt;_x000a_&lt;p&gt;&lt;span&gt;HARD INCREASE, COMPARED TO THE ORIGINAL EXHAUST SYSTEM.&lt;/span&gt;&lt;/p&gt;_x000a_&lt;p&gt;&lt;span&gt;TOTALLY HANDMADE PRODUCT.&lt;/span&gt;&lt;/p&gt;_x000a_&lt;p&gt;&lt;span&gt;ASTONISHING SOUND.&lt;/span&gt;&lt;/p&gt;"/>
    <s v="https://shop.officineitalianezard.it/contents/imgs/products/1_2439-scarico%20kawasaki%20z900rs%20nero%20-%20zard%20exhaust.jpg"/>
    <m/>
    <m/>
  </r>
  <r>
    <s v="1586059554-10981"/>
    <s v="https://shop.officineitalianezard.it/en/products/"/>
    <m/>
    <s v="https://shop.officineitalianezard.it/en/kawasaki-zard-exhaust/"/>
    <s v="Z900 RS 2018/19"/>
    <s v="https://shop.officineitalianezard.it/en/kawasaki-z900-rs-exhaust/"/>
    <s v="SLIP-ON VERSION"/>
    <x v="165"/>
    <s v="SILENCER"/>
    <s v="ZKAW181SSR"/>
    <s v="KAWASAKI Z900 RS 2018/19"/>
    <n v="323.85000000000002"/>
    <n v="359.84"/>
    <s v="&lt;p&gt;STEEL RACING&amp;nbsp;SILENCER WITH REMOVABLE DBKILLER&lt;/p&gt;_x000a_&lt;p&gt;ORIGINAL&amp;nbsp;SILENCER WEIGHT: 2 KG&lt;br&gt;ZARD&amp;nbsp;SILENCER WEIGHT: 1,6 KG&lt;/p&gt;_x000a_&lt;p&gt;THE INSTALLATION OF ZARD EXHAUST DOES NOT IMPLY ANY MODIFICATION TO ECU.&lt;/p&gt;_x000a_&lt;p&gt;THE BOX INCLUDES ALL PARTS FOR THE FITMENT OF ZARD EXHAUST.&lt;/p&gt;_x000a_&lt;p&gt;&lt;span&gt;HARD INCREASE, COMPARED TO THE ORIGINAL EXHAUST SYSTEM.&lt;/span&gt;&lt;/p&gt;_x000a_&lt;p&gt;&lt;span&gt;TOTALLY HANDMADE PRODUCT.&lt;/span&gt;&lt;/p&gt;_x000a_&lt;p&gt;&lt;span&gt;ASTONISHING SOUND.&lt;/span&gt;&lt;/p&gt;"/>
    <m/>
    <s v="EURO 4 HOMOLOGATED"/>
    <n v="53.85"/>
  </r>
  <r>
    <s v="1586059554-10982"/>
    <s v="https://shop.officineitalianezard.it/en/products/"/>
    <m/>
    <s v="https://shop.officineitalianezard.it/en/kawasaki-zard-exhaust/"/>
    <s v="Z900 RS 2018/19"/>
    <s v="https://shop.officineitalianezard.it/en/kawasaki-z900-rs-exhaust/"/>
    <s v="SLIP-ON VERSION"/>
    <x v="165"/>
    <s v="SILENCER"/>
    <s v="ZKAW181SSR"/>
    <s v="KAWASAKI Z900 RS 2018/19"/>
    <n v="323.85000000000002"/>
    <n v="359.84"/>
    <s v="&lt;p&gt;STEEL RACING&amp;nbsp;SILENCER WITH REMOVABLE DBKILLER&lt;/p&gt;_x000a_&lt;p&gt;ORIGINAL&amp;nbsp;SILENCER WEIGHT: 2 KG&lt;br&gt;ZARD&amp;nbsp;SILENCER WEIGHT: 1,6 KG&lt;/p&gt;_x000a_&lt;p&gt;THE INSTALLATION OF ZARD EXHAUST DOES NOT IMPLY ANY MODIFICATION TO ECU.&lt;/p&gt;_x000a_&lt;p&gt;THE BOX INCLUDES ALL PARTS FOR THE FITMENT OF ZARD EXHAUST.&lt;/p&gt;_x000a_&lt;p&gt;&lt;span&gt;HARD INCREASE, COMPARED TO THE ORIGINAL EXHAUST SYSTEM.&lt;/span&gt;&lt;/p&gt;_x000a_&lt;p&gt;&lt;span&gt;TOTALLY HANDMADE PRODUCT.&lt;/span&gt;&lt;/p&gt;_x000a_&lt;p&gt;&lt;span&gt;ASTONISHING SOUND.&lt;/span&gt;&lt;/p&gt;"/>
    <m/>
    <s v="BLACK COATING"/>
    <n v="77.459999999999994"/>
  </r>
  <r>
    <s v="1586059560-10983"/>
    <s v="https://shop.officineitalianezard.it/en/products/"/>
    <m/>
    <s v="https://shop.officineitalianezard.it/en/kawasaki-zard-exhaust/"/>
    <s v="Z800-Z800E 2012/16"/>
    <s v="https://shop.officineitalianezard.it/en/kawasaki-z800-z800e-exhaust/"/>
    <s v="STEEL VERSION"/>
    <x v="166"/>
    <s v="HEADERS KIT"/>
    <s v="ZKAW 175 SCR"/>
    <s v="KAWASAKI Z800-Z800E 2012/16"/>
    <n v="582.79"/>
    <n v="647.54"/>
    <s v="&lt;p&gt;STEEL HEADERS KIT RACING&lt;/p&gt;_x000a_&lt;p&gt;WEIGHT OF THE ZARD MANIFOLD: 2.9 KG&lt;/p&gt;_x000a_&lt;p&gt;THE MANIFOLD SHOULD BE FITTED BOTH WITH THE ZARD MUFFLER&lt;br&gt;AND THE FACTORY ORIGINAL ONE&lt;/p&gt;_x000a_&lt;p&gt;HARD INCREASE, COMPARED TO THE ORIGINAL EXHAUST SYSTEM,&lt;br&gt;IN TERMS OF TORQUE AND POWER AT ANY RANGE&lt;/p&gt;_x000a_&lt;p&gt;ASTONISHING SOUND&lt;/p&gt;_x000a_&lt;p&gt;&lt;strong&gt;NOTICE&lt;/strong&gt;: FULL POWER VERSION ONLY&lt;/p&gt;"/>
    <s v="https://shop.officineitalianezard.it/contents/imgs/products/1_879-z800.3.JPG"/>
    <m/>
    <m/>
  </r>
  <r>
    <s v="1586059560-10984"/>
    <s v="https://shop.officineitalianezard.it/en/products/"/>
    <m/>
    <s v="https://shop.officineitalianezard.it/en/kawasaki-zard-exhaust/"/>
    <s v="Z800-Z800E 2012/16"/>
    <s v="https://shop.officineitalianezard.it/en/kawasaki-z800-z800e-exhaust/"/>
    <s v="STEEL VERSION"/>
    <x v="166"/>
    <s v="HEADERS KIT"/>
    <s v="ZKAW 175 SCR"/>
    <s v="KAWASAKI Z800-Z800E 2012/16"/>
    <n v="582.79"/>
    <n v="647.54"/>
    <s v="&lt;p&gt;STEEL HEADERS KIT RACING&lt;/p&gt;_x000a_&lt;p&gt;WEIGHT OF THE ZARD MANIFOLD: 2.9 KG&lt;/p&gt;_x000a_&lt;p&gt;THE MANIFOLD SHOULD BE FITTED BOTH WITH THE ZARD MUFFLER&lt;br&gt;AND THE FACTORY ORIGINAL ONE&lt;/p&gt;_x000a_&lt;p&gt;HARD INCREASE, COMPARED TO THE ORIGINAL EXHAUST SYSTEM,&lt;br&gt;IN TERMS OF TORQUE AND POWER AT ANY RANGE&lt;/p&gt;_x000a_&lt;p&gt;ASTONISHING SOUND&lt;/p&gt;_x000a_&lt;p&gt;&lt;strong&gt;NOTICE&lt;/strong&gt;: FULL POWER VERSION ONLY&lt;/p&gt;"/>
    <s v="https://shop.officineitalianezard.it/contents/imgs/products/1_878-z800.2.JPG"/>
    <m/>
    <m/>
  </r>
  <r>
    <s v="1586059560-10985"/>
    <s v="https://shop.officineitalianezard.it/en/products/"/>
    <m/>
    <s v="https://shop.officineitalianezard.it/en/kawasaki-zard-exhaust/"/>
    <s v="Z800-Z800E 2012/16"/>
    <s v="https://shop.officineitalianezard.it/en/kawasaki-z800-z800e-exhaust/"/>
    <s v="STEEL VERSION"/>
    <x v="166"/>
    <s v="HEADERS KIT"/>
    <s v="ZKAW 175 SCR"/>
    <s v="KAWASAKI Z800-Z800E 2012/16"/>
    <n v="582.79"/>
    <n v="647.54"/>
    <s v="&lt;p&gt;STEEL HEADERS KIT RACING&lt;/p&gt;_x000a_&lt;p&gt;WEIGHT OF THE ZARD MANIFOLD: 2.9 KG&lt;/p&gt;_x000a_&lt;p&gt;THE MANIFOLD SHOULD BE FITTED BOTH WITH THE ZARD MUFFLER&lt;br&gt;AND THE FACTORY ORIGINAL ONE&lt;/p&gt;_x000a_&lt;p&gt;HARD INCREASE, COMPARED TO THE ORIGINAL EXHAUST SYSTEM,&lt;br&gt;IN TERMS OF TORQUE AND POWER AT ANY RANGE&lt;/p&gt;_x000a_&lt;p&gt;ASTONISHING SOUND&lt;/p&gt;_x000a_&lt;p&gt;&lt;strong&gt;NOTICE&lt;/strong&gt;: FULL POWER VERSION ONLY&lt;/p&gt;"/>
    <m/>
    <s v="BLACK COATING"/>
    <n v="77.459999999999994"/>
  </r>
  <r>
    <s v="1586059562-10986"/>
    <s v="https://shop.officineitalianezard.it/en/products/"/>
    <m/>
    <s v="https://shop.officineitalianezard.it/en/kawasaki-zard-exhaust/"/>
    <s v="Z800-Z800E 2012/16"/>
    <s v="https://shop.officineitalianezard.it/en/kawasaki-z800-z800e-exhaust/"/>
    <s v="SHORT VERSION"/>
    <x v="167"/>
    <s v="SILENCER"/>
    <s v="ZKAW 175 SSR"/>
    <s v="KAWASAKI Z800-Z800E 2012/16"/>
    <n v="418.28"/>
    <n v="464.75"/>
    <s v="&lt;p&gt;STEEL SILENCER RACING&lt;/p&gt;_x000a_&lt;p&gt;ZARD SILENCER WEIGHT: 1.7 KG&lt;/p&gt;_x000a_&lt;p&gt;THE MUFFLER SHOULD BE FITTED BOTH ON THE FACTORY AND THE ZARD MANIFOLD&lt;/p&gt;_x000a_&lt;p&gt;HARD INCREASE, COMPARED TO THE ORIGINAL EXHAUST SYSTEM, IN TERMS OF TORQUE AND POWER AT ANY RANGE&lt;/p&gt;_x000a_&lt;p&gt;ASTONISHING SOUND&lt;/p&gt;"/>
    <s v="https://shop.officineitalianezard.it/contents/imgs/products/1_877-z800.JPG"/>
    <m/>
    <m/>
  </r>
  <r>
    <s v="1586059562-10987"/>
    <s v="https://shop.officineitalianezard.it/en/products/"/>
    <m/>
    <s v="https://shop.officineitalianezard.it/en/kawasaki-zard-exhaust/"/>
    <s v="Z800-Z800E 2012/16"/>
    <s v="https://shop.officineitalianezard.it/en/kawasaki-z800-z800e-exhaust/"/>
    <s v="SHORT VERSION"/>
    <x v="167"/>
    <s v="SILENCER"/>
    <s v="ZKAW 175 SSR"/>
    <s v="KAWASAKI Z800-Z800E 2012/16"/>
    <n v="418.28"/>
    <n v="464.75"/>
    <s v="&lt;p&gt;STEEL SILENCER RACING&lt;/p&gt;_x000a_&lt;p&gt;ZARD SILENCER WEIGHT: 1.7 KG&lt;/p&gt;_x000a_&lt;p&gt;THE MUFFLER SHOULD BE FITTED BOTH ON THE FACTORY AND THE ZARD MANIFOLD&lt;/p&gt;_x000a_&lt;p&gt;HARD INCREASE, COMPARED TO THE ORIGINAL EXHAUST SYSTEM, IN TERMS OF TORQUE AND POWER AT ANY RANGE&lt;/p&gt;_x000a_&lt;p&gt;ASTONISHING SOUND&lt;/p&gt;"/>
    <s v="https://shop.officineitalianezard.it/contents/imgs/products/1_875-z800.2.JPG"/>
    <m/>
    <m/>
  </r>
  <r>
    <s v="1586059562-10988"/>
    <s v="https://shop.officineitalianezard.it/en/products/"/>
    <m/>
    <s v="https://shop.officineitalianezard.it/en/kawasaki-zard-exhaust/"/>
    <s v="Z800-Z800E 2012/16"/>
    <s v="https://shop.officineitalianezard.it/en/kawasaki-z800-z800e-exhaust/"/>
    <s v="SHORT VERSION"/>
    <x v="167"/>
    <s v="SILENCER"/>
    <s v="ZKAW 175 SSR"/>
    <s v="KAWASAKI Z800-Z800E 2012/16"/>
    <n v="418.28"/>
    <n v="464.75"/>
    <s v="&lt;p&gt;STEEL SILENCER RACING&lt;/p&gt;_x000a_&lt;p&gt;ZARD SILENCER WEIGHT: 1.7 KG&lt;/p&gt;_x000a_&lt;p&gt;THE MUFFLER SHOULD BE FITTED BOTH ON THE FACTORY AND THE ZARD MANIFOLD&lt;/p&gt;_x000a_&lt;p&gt;HARD INCREASE, COMPARED TO THE ORIGINAL EXHAUST SYSTEM, IN TERMS OF TORQUE AND POWER AT ANY RANGE&lt;/p&gt;_x000a_&lt;p&gt;ASTONISHING SOUND&lt;/p&gt;"/>
    <s v="https://shop.officineitalianezard.it/contents/imgs/products/1_876-z800.3.JPG"/>
    <m/>
    <m/>
  </r>
  <r>
    <s v="1586059562-10989"/>
    <s v="https://shop.officineitalianezard.it/en/products/"/>
    <m/>
    <s v="https://shop.officineitalianezard.it/en/kawasaki-zard-exhaust/"/>
    <s v="Z800-Z800E 2012/16"/>
    <s v="https://shop.officineitalianezard.it/en/kawasaki-z800-z800e-exhaust/"/>
    <s v="SHORT VERSION"/>
    <x v="167"/>
    <s v="SILENCER"/>
    <s v="ZKAW 175 SSR"/>
    <s v="KAWASAKI Z800-Z800E 2012/16"/>
    <n v="418.28"/>
    <n v="464.75"/>
    <s v="&lt;p&gt;STEEL SILENCER RACING&lt;/p&gt;_x000a_&lt;p&gt;ZARD SILENCER WEIGHT: 1.7 KG&lt;/p&gt;_x000a_&lt;p&gt;THE MUFFLER SHOULD BE FITTED BOTH ON THE FACTORY AND THE ZARD MANIFOLD&lt;/p&gt;_x000a_&lt;p&gt;HARD INCREASE, COMPARED TO THE ORIGINAL EXHAUST SYSTEM, IN TERMS OF TORQUE AND POWER AT ANY RANGE&lt;/p&gt;_x000a_&lt;p&gt;ASTONISHING SOUND&lt;/p&gt;"/>
    <m/>
    <s v="EURO 3 HOMOLOGATED"/>
    <n v="47.21"/>
  </r>
  <r>
    <s v="1586059562-10990"/>
    <s v="https://shop.officineitalianezard.it/en/products/"/>
    <m/>
    <s v="https://shop.officineitalianezard.it/en/kawasaki-zard-exhaust/"/>
    <s v="Z800-Z800E 2012/16"/>
    <s v="https://shop.officineitalianezard.it/en/kawasaki-z800-z800e-exhaust/"/>
    <s v="SHORT VERSION"/>
    <x v="167"/>
    <s v="SILENCER"/>
    <s v="ZKAW 175 SSR"/>
    <s v="KAWASAKI Z800-Z800E 2012/16"/>
    <n v="418.28"/>
    <n v="464.75"/>
    <s v="&lt;p&gt;STEEL SILENCER RACING&lt;/p&gt;_x000a_&lt;p&gt;ZARD SILENCER WEIGHT: 1.7 KG&lt;/p&gt;_x000a_&lt;p&gt;THE MUFFLER SHOULD BE FITTED BOTH ON THE FACTORY AND THE ZARD MANIFOLD&lt;/p&gt;_x000a_&lt;p&gt;HARD INCREASE, COMPARED TO THE ORIGINAL EXHAUST SYSTEM, IN TERMS OF TORQUE AND POWER AT ANY RANGE&lt;/p&gt;_x000a_&lt;p&gt;ASTONISHING SOUND&lt;/p&gt;"/>
    <m/>
    <s v="BLACK COATING"/>
    <n v="77.459999999999994"/>
  </r>
  <r>
    <s v="1586059564-10991"/>
    <s v="https://shop.officineitalianezard.it/en/products/"/>
    <m/>
    <s v="https://shop.officineitalianezard.it/en/kawasaki-zard-exhaust/"/>
    <s v="Z800-Z800E 2012/16"/>
    <s v="https://shop.officineitalianezard.it/en/kawasaki-z800-z800e-exhaust/"/>
    <s v="PENTA VERSION"/>
    <x v="168"/>
    <s v="SILENCER"/>
    <s v="ZKAW 175 APR"/>
    <s v="KAWASAKI Z800-Z800E 2012/16"/>
    <n v="380.66"/>
    <n v="422.95"/>
    <s v="&lt;div class=&quot;page-product-descr product-font-size text-font&quot;&gt;_x000a_&lt;p&gt;STEEL-ALUMINIUM BLACK SILENCER RACING WITH REMOVABLE DB KILLER&lt;/p&gt;_x000a_&lt;p&gt;ZARD FULL KIT WEIGHT: 4.6 KG&lt;br&gt;ZARD SILENCER WEIGHT: 1.7 KG&lt;/p&gt;_x000a_&lt;p&gt;THE MUFFLER SHOULD BE FITTED BOTH ON THE FACTORY AND THE ZARD MANIFOLD&lt;/p&gt;_x000a_&lt;p&gt;HARD INCREASE, COMPARED TO THE ORIGINAL EXHAUST SYSTEM, IN TERMS OF TORQUE AND POWER AT ANY RANGE&lt;/p&gt;_x000a_&lt;p&gt;ASTONISHING SOUND&lt;/p&gt;_x000a_&lt;/div&gt;_x000a_&lt;form id=&quot;cart-form&quot; action=&quot;http://zard.madcommerce.com/en/carts/addmultiple&quot; method=&quot;post&quot; name=&quot;cart-form&quot; novalidate=&quot;novalidate&quot; class=&quot;ng-pristine ng-valid&quot;&gt;_x000a_&lt;div class=&quot;page-product-optionals&quot;&gt;&amp;nbsp;&lt;/div&gt;_x000a_&lt;/form&gt;"/>
    <s v="https://shop.officineitalianezard.it/contents/imgs/products/1_885-DSC_0055.JPG"/>
    <m/>
    <m/>
  </r>
  <r>
    <s v="1586059564-10992"/>
    <s v="https://shop.officineitalianezard.it/en/products/"/>
    <m/>
    <s v="https://shop.officineitalianezard.it/en/kawasaki-zard-exhaust/"/>
    <s v="Z800-Z800E 2012/16"/>
    <s v="https://shop.officineitalianezard.it/en/kawasaki-z800-z800e-exhaust/"/>
    <s v="PENTA VERSION"/>
    <x v="168"/>
    <s v="SILENCER"/>
    <s v="ZKAW 175 APR"/>
    <s v="KAWASAKI Z800-Z800E 2012/16"/>
    <n v="380.66"/>
    <n v="422.95"/>
    <s v="&lt;div class=&quot;page-product-descr product-font-size text-font&quot;&gt;_x000a_&lt;p&gt;STEEL-ALUMINIUM BLACK SILENCER RACING WITH REMOVABLE DB KILLER&lt;/p&gt;_x000a_&lt;p&gt;ZARD FULL KIT WEIGHT: 4.6 KG&lt;br&gt;ZARD SILENCER WEIGHT: 1.7 KG&lt;/p&gt;_x000a_&lt;p&gt;THE MUFFLER SHOULD BE FITTED BOTH ON THE FACTORY AND THE ZARD MANIFOLD&lt;/p&gt;_x000a_&lt;p&gt;HARD INCREASE, COMPARED TO THE ORIGINAL EXHAUST SYSTEM, IN TERMS OF TORQUE AND POWER AT ANY RANGE&lt;/p&gt;_x000a_&lt;p&gt;ASTONISHING SOUND&lt;/p&gt;_x000a_&lt;/div&gt;_x000a_&lt;form id=&quot;cart-form&quot; action=&quot;http://zard.madcommerce.com/en/carts/addmultiple&quot; method=&quot;post&quot; name=&quot;cart-form&quot; novalidate=&quot;novalidate&quot; class=&quot;ng-pristine ng-valid&quot;&gt;_x000a_&lt;div class=&quot;page-product-optionals&quot;&gt;&amp;nbsp;&lt;/div&gt;_x000a_&lt;/form&gt;"/>
    <s v="https://shop.officineitalianezard.it/contents/imgs/products/1_884-DSC_0039.JPG"/>
    <m/>
    <m/>
  </r>
  <r>
    <s v="1586059564-10993"/>
    <s v="https://shop.officineitalianezard.it/en/products/"/>
    <m/>
    <s v="https://shop.officineitalianezard.it/en/kawasaki-zard-exhaust/"/>
    <s v="Z800-Z800E 2012/16"/>
    <s v="https://shop.officineitalianezard.it/en/kawasaki-z800-z800e-exhaust/"/>
    <s v="PENTA VERSION"/>
    <x v="168"/>
    <s v="SILENCER"/>
    <s v="ZKAW 175 APR"/>
    <s v="KAWASAKI Z800-Z800E 2012/16"/>
    <n v="380.66"/>
    <n v="422.95"/>
    <s v="&lt;div class=&quot;page-product-descr product-font-size text-font&quot;&gt;_x000a_&lt;p&gt;STEEL-ALUMINIUM BLACK SILENCER RACING WITH REMOVABLE DB KILLER&lt;/p&gt;_x000a_&lt;p&gt;ZARD FULL KIT WEIGHT: 4.6 KG&lt;br&gt;ZARD SILENCER WEIGHT: 1.7 KG&lt;/p&gt;_x000a_&lt;p&gt;THE MUFFLER SHOULD BE FITTED BOTH ON THE FACTORY AND THE ZARD MANIFOLD&lt;/p&gt;_x000a_&lt;p&gt;HARD INCREASE, COMPARED TO THE ORIGINAL EXHAUST SYSTEM, IN TERMS OF TORQUE AND POWER AT ANY RANGE&lt;/p&gt;_x000a_&lt;p&gt;ASTONISHING SOUND&lt;/p&gt;_x000a_&lt;/div&gt;_x000a_&lt;form id=&quot;cart-form&quot; action=&quot;http://zard.madcommerce.com/en/carts/addmultiple&quot; method=&quot;post&quot; name=&quot;cart-form&quot; novalidate=&quot;novalidate&quot; class=&quot;ng-pristine ng-valid&quot;&gt;_x000a_&lt;div class=&quot;page-product-optionals&quot;&gt;&amp;nbsp;&lt;/div&gt;_x000a_&lt;/form&gt;"/>
    <s v="https://shop.officineitalianezard.it/contents/imgs/products/1_886-DSC_0072.JPG"/>
    <m/>
    <m/>
  </r>
  <r>
    <s v="1586059564-10994"/>
    <s v="https://shop.officineitalianezard.it/en/products/"/>
    <m/>
    <s v="https://shop.officineitalianezard.it/en/kawasaki-zard-exhaust/"/>
    <s v="Z800-Z800E 2012/16"/>
    <s v="https://shop.officineitalianezard.it/en/kawasaki-z800-z800e-exhaust/"/>
    <s v="PENTA VERSION"/>
    <x v="168"/>
    <s v="SILENCER"/>
    <s v="ZKAW 175 APR"/>
    <s v="KAWASAKI Z800-Z800E 2012/16"/>
    <n v="380.66"/>
    <n v="422.95"/>
    <s v="&lt;div class=&quot;page-product-descr product-font-size text-font&quot;&gt;_x000a_&lt;p&gt;STEEL-ALUMINIUM BLACK SILENCER RACING WITH REMOVABLE DB KILLER&lt;/p&gt;_x000a_&lt;p&gt;ZARD FULL KIT WEIGHT: 4.6 KG&lt;br&gt;ZARD SILENCER WEIGHT: 1.7 KG&lt;/p&gt;_x000a_&lt;p&gt;THE MUFFLER SHOULD BE FITTED BOTH ON THE FACTORY AND THE ZARD MANIFOLD&lt;/p&gt;_x000a_&lt;p&gt;HARD INCREASE, COMPARED TO THE ORIGINAL EXHAUST SYSTEM, IN TERMS OF TORQUE AND POWER AT ANY RANGE&lt;/p&gt;_x000a_&lt;p&gt;ASTONISHING SOUND&lt;/p&gt;_x000a_&lt;/div&gt;_x000a_&lt;form id=&quot;cart-form&quot; action=&quot;http://zard.madcommerce.com/en/carts/addmultiple&quot; method=&quot;post&quot; name=&quot;cart-form&quot; novalidate=&quot;novalidate&quot; class=&quot;ng-pristine ng-valid&quot;&gt;_x000a_&lt;div class=&quot;page-product-optionals&quot;&gt;&amp;nbsp;&lt;/div&gt;_x000a_&lt;/form&gt;"/>
    <m/>
    <s v="EURO 3 HOMOLOGATED"/>
    <n v="47.21"/>
  </r>
  <r>
    <s v="1586059564-10995"/>
    <s v="https://shop.officineitalianezard.it/en/products/"/>
    <m/>
    <s v="https://shop.officineitalianezard.it/en/kawasaki-zard-exhaust/"/>
    <s v="Z800-Z800E 2012/16"/>
    <s v="https://shop.officineitalianezard.it/en/kawasaki-z800-z800e-exhaust/"/>
    <s v="PENTA VERSION"/>
    <x v="168"/>
    <s v="SILENCER"/>
    <s v="ZKAW 175 APR"/>
    <s v="KAWASAKI Z800-Z800E 2012/16"/>
    <n v="380.66"/>
    <n v="422.95"/>
    <s v="&lt;div class=&quot;page-product-descr product-font-size text-font&quot;&gt;_x000a_&lt;p&gt;STEEL-ALUMINIUM BLACK SILENCER RACING WITH REMOVABLE DB KILLER&lt;/p&gt;_x000a_&lt;p&gt;ZARD FULL KIT WEIGHT: 4.6 KG&lt;br&gt;ZARD SILENCER WEIGHT: 1.7 KG&lt;/p&gt;_x000a_&lt;p&gt;THE MUFFLER SHOULD BE FITTED BOTH ON THE FACTORY AND THE ZARD MANIFOLD&lt;/p&gt;_x000a_&lt;p&gt;HARD INCREASE, COMPARED TO THE ORIGINAL EXHAUST SYSTEM, IN TERMS OF TORQUE AND POWER AT ANY RANGE&lt;/p&gt;_x000a_&lt;p&gt;ASTONISHING SOUND&lt;/p&gt;_x000a_&lt;/div&gt;_x000a_&lt;form id=&quot;cart-form&quot; action=&quot;http://zard.madcommerce.com/en/carts/addmultiple&quot; method=&quot;post&quot; name=&quot;cart-form&quot; novalidate=&quot;novalidate&quot; class=&quot;ng-pristine ng-valid&quot;&gt;_x000a_&lt;div class=&quot;page-product-optionals&quot;&gt;&amp;nbsp;&lt;/div&gt;_x000a_&lt;/form&gt;"/>
    <m/>
    <s v="CARBON ENDCAP"/>
    <n v="37.619999999999997"/>
  </r>
  <r>
    <s v="1586059569-10996"/>
    <s v="https://shop.officineitalianezard.it/en/products/"/>
    <m/>
    <s v="https://shop.officineitalianezard.it/en/kawasaki-zard-exhaust/"/>
    <s v="Z 750 2004/11"/>
    <s v="https://shop.officineitalianezard.it/en/kawasaki-z-750-exhaust/"/>
    <s v="M.Y. 03-06"/>
    <x v="169"/>
    <s v="CONICAL SILENCER"/>
    <s v="ZKAW170SSR-03"/>
    <s v="KAWASAKI Z750 2004/11"/>
    <n v="376.23"/>
    <n v="418.03"/>
    <s v="&lt;p&gt;STEEL RACING SILENCER WITH REMOVABLE DB KILELR&lt;/p&gt;_x000a_&lt;p&gt;ORIGINAL SILENCER WEIGHT: KG 6.4&lt;/p&gt;_x000a_&lt;p&gt;ZARD SILENCER WEIGHT: KG 2.3&lt;/p&gt;_x000a_&lt;p&gt;CARBON ENDCAP&lt;/p&gt;_x000a_&lt;p&gt;HARD INCREASE, COMPARED TO THE ORIGINAL EXHAUST SYSTEM,&lt;br&gt;IN TERMS OF TORQUE AND POWER AT ANY RANGE (+ 4.5 CV).&lt;/p&gt;_x000a_&lt;p&gt;ASTONISHING SOUND&lt;/p&gt;"/>
    <s v="https://shop.officineitalianezard.it/contents/imgs/products/1_862-numero%2035%20copy.jpg"/>
    <m/>
    <m/>
  </r>
  <r>
    <s v="1586059569-10997"/>
    <s v="https://shop.officineitalianezard.it/en/products/"/>
    <m/>
    <s v="https://shop.officineitalianezard.it/en/kawasaki-zard-exhaust/"/>
    <s v="Z 750 2004/11"/>
    <s v="https://shop.officineitalianezard.it/en/kawasaki-z-750-exhaust/"/>
    <s v="M.Y. 03-06"/>
    <x v="169"/>
    <s v="CONICAL SILENCER"/>
    <s v="ZKAW170SSR-03"/>
    <s v="KAWASAKI Z750 2004/11"/>
    <n v="376.23"/>
    <n v="418.03"/>
    <s v="&lt;p&gt;STEEL RACING SILENCER WITH REMOVABLE DB KILELR&lt;/p&gt;_x000a_&lt;p&gt;ORIGINAL SILENCER WEIGHT: KG 6.4&lt;/p&gt;_x000a_&lt;p&gt;ZARD SILENCER WEIGHT: KG 2.3&lt;/p&gt;_x000a_&lt;p&gt;CARBON ENDCAP&lt;/p&gt;_x000a_&lt;p&gt;HARD INCREASE, COMPARED TO THE ORIGINAL EXHAUST SYSTEM,&lt;br&gt;IN TERMS OF TORQUE AND POWER AT ANY RANGE (+ 4.5 CV).&lt;/p&gt;_x000a_&lt;p&gt;ASTONISHING SOUND&lt;/p&gt;"/>
    <s v="https://shop.officineitalianezard.it/contents/imgs/products/1_863-numero%2036%20copy.jpg"/>
    <m/>
    <m/>
  </r>
  <r>
    <s v="1586059569-10998"/>
    <s v="https://shop.officineitalianezard.it/en/products/"/>
    <m/>
    <s v="https://shop.officineitalianezard.it/en/kawasaki-zard-exhaust/"/>
    <s v="Z 750 2004/11"/>
    <s v="https://shop.officineitalianezard.it/en/kawasaki-z-750-exhaust/"/>
    <s v="M.Y. 03-06"/>
    <x v="169"/>
    <s v="CONICAL SILENCER"/>
    <s v="ZKAW170SSR-03"/>
    <s v="KAWASAKI Z750 2004/11"/>
    <n v="376.23"/>
    <n v="418.03"/>
    <s v="&lt;p&gt;STEEL RACING SILENCER WITH REMOVABLE DB KILELR&lt;/p&gt;_x000a_&lt;p&gt;ORIGINAL SILENCER WEIGHT: KG 6.4&lt;/p&gt;_x000a_&lt;p&gt;ZARD SILENCER WEIGHT: KG 2.3&lt;/p&gt;_x000a_&lt;p&gt;CARBON ENDCAP&lt;/p&gt;_x000a_&lt;p&gt;HARD INCREASE, COMPARED TO THE ORIGINAL EXHAUST SYSTEM,&lt;br&gt;IN TERMS OF TORQUE AND POWER AT ANY RANGE (+ 4.5 CV).&lt;/p&gt;_x000a_&lt;p&gt;ASTONISHING SOUND&lt;/p&gt;"/>
    <m/>
    <s v="EURO 3 HOMOLOGATED"/>
    <n v="47.21"/>
  </r>
  <r>
    <s v="1586059569-10999"/>
    <s v="https://shop.officineitalianezard.it/en/products/"/>
    <m/>
    <s v="https://shop.officineitalianezard.it/en/kawasaki-zard-exhaust/"/>
    <s v="Z 750 2004/11"/>
    <s v="https://shop.officineitalianezard.it/en/kawasaki-z-750-exhaust/"/>
    <s v="M.Y. 03-06"/>
    <x v="169"/>
    <s v="CONICAL SILENCER"/>
    <s v="ZKAW170SSR-03"/>
    <s v="KAWASAKI Z750 2004/11"/>
    <n v="376.23"/>
    <n v="418.03"/>
    <s v="&lt;p&gt;STEEL RACING SILENCER WITH REMOVABLE DB KILELR&lt;/p&gt;_x000a_&lt;p&gt;ORIGINAL SILENCER WEIGHT: KG 6.4&lt;/p&gt;_x000a_&lt;p&gt;ZARD SILENCER WEIGHT: KG 2.3&lt;/p&gt;_x000a_&lt;p&gt;CARBON ENDCAP&lt;/p&gt;_x000a_&lt;p&gt;HARD INCREASE, COMPARED TO THE ORIGINAL EXHAUST SYSTEM,&lt;br&gt;IN TERMS OF TORQUE AND POWER AT ANY RANGE (+ 4.5 CV).&lt;/p&gt;_x000a_&lt;p&gt;ASTONISHING SOUND&lt;/p&gt;"/>
    <m/>
    <s v="BLACK COATING"/>
    <n v="77.459999999999994"/>
  </r>
  <r>
    <s v="1586059569-11000"/>
    <s v="https://shop.officineitalianezard.it/en/products/"/>
    <m/>
    <s v="https://shop.officineitalianezard.it/en/kawasaki-zard-exhaust/"/>
    <s v="Z 750 2004/11"/>
    <s v="https://shop.officineitalianezard.it/en/kawasaki-z-750-exhaust/"/>
    <s v="M.Y. 03-06"/>
    <x v="169"/>
    <s v="CONICAL SILENCER"/>
    <s v="ZKAW170SSR-03"/>
    <s v="KAWASAKI Z750 2004/11"/>
    <n v="376.23"/>
    <n v="418.03"/>
    <s v="&lt;p&gt;STEEL RACING SILENCER WITH REMOVABLE DB KILELR&lt;/p&gt;_x000a_&lt;p&gt;ORIGINAL SILENCER WEIGHT: KG 6.4&lt;/p&gt;_x000a_&lt;p&gt;ZARD SILENCER WEIGHT: KG 2.3&lt;/p&gt;_x000a_&lt;p&gt;CARBON ENDCAP&lt;/p&gt;_x000a_&lt;p&gt;HARD INCREASE, COMPARED TO THE ORIGINAL EXHAUST SYSTEM,&lt;br&gt;IN TERMS OF TORQUE AND POWER AT ANY RANGE (+ 4.5 CV).&lt;/p&gt;_x000a_&lt;p&gt;ASTONISHING SOUND&lt;/p&gt;"/>
    <m/>
    <s v="FULL TITANIUM"/>
    <n v="118.03"/>
  </r>
  <r>
    <s v="1586059571-11001"/>
    <s v="https://shop.officineitalianezard.it/en/products/"/>
    <m/>
    <s v="https://shop.officineitalianezard.it/en/kawasaki-zard-exhaust/"/>
    <s v="Z 750 2004/11"/>
    <s v="https://shop.officineitalianezard.it/en/kawasaki-z-750-exhaust/"/>
    <s v="M.Y. 07-14"/>
    <x v="170"/>
    <s v="CONICAL SILENCER"/>
    <s v="ZKAW170SSR-07"/>
    <s v="KAWASAKI Z750 2004/11"/>
    <n v="376.23"/>
    <n v="418.03"/>
    <s v="&lt;p&gt;STEEL RACING SILENCER WITH REMOVABLE DB KILELR&lt;/p&gt;_x000a_&lt;p&gt;ORIGINAL SILENCER WEIGHT: KG 6.4&lt;/p&gt;_x000a_&lt;p&gt;ZARD SILENCER WEIGHT: KG 2.3&lt;/p&gt;_x000a_&lt;p&gt;CARBON ENDCAP&lt;/p&gt;_x000a_&lt;p&gt;HARD INCREASE, COMPARED TO THE ORIGINAL EXHAUST SYSTEM,&lt;br&gt;IN TERMS OF TORQUE AND POWER AT ANY RANGE (+ 4.5 CV).&lt;/p&gt;_x000a_&lt;p&gt;ASTONISHING SOUND&lt;/p&gt;"/>
    <s v="https://shop.officineitalianezard.it/contents/imgs/products/1_2487-numero%2035%20copy.jpg"/>
    <m/>
    <m/>
  </r>
  <r>
    <s v="1586059571-11002"/>
    <s v="https://shop.officineitalianezard.it/en/products/"/>
    <m/>
    <s v="https://shop.officineitalianezard.it/en/kawasaki-zard-exhaust/"/>
    <s v="Z 750 2004/11"/>
    <s v="https://shop.officineitalianezard.it/en/kawasaki-z-750-exhaust/"/>
    <s v="M.Y. 07-14"/>
    <x v="170"/>
    <s v="CONICAL SILENCER"/>
    <s v="ZKAW170SSR-07"/>
    <s v="KAWASAKI Z750 2004/11"/>
    <n v="376.23"/>
    <n v="418.03"/>
    <s v="&lt;p&gt;STEEL RACING SILENCER WITH REMOVABLE DB KILELR&lt;/p&gt;_x000a_&lt;p&gt;ORIGINAL SILENCER WEIGHT: KG 6.4&lt;/p&gt;_x000a_&lt;p&gt;ZARD SILENCER WEIGHT: KG 2.3&lt;/p&gt;_x000a_&lt;p&gt;CARBON ENDCAP&lt;/p&gt;_x000a_&lt;p&gt;HARD INCREASE, COMPARED TO THE ORIGINAL EXHAUST SYSTEM,&lt;br&gt;IN TERMS OF TORQUE AND POWER AT ANY RANGE (+ 4.5 CV).&lt;/p&gt;_x000a_&lt;p&gt;ASTONISHING SOUND&lt;/p&gt;"/>
    <s v="https://shop.officineitalianezard.it/contents/imgs/products/1_2488-numero%2036%20copy.jpg"/>
    <m/>
    <m/>
  </r>
  <r>
    <s v="1586059571-11003"/>
    <s v="https://shop.officineitalianezard.it/en/products/"/>
    <m/>
    <s v="https://shop.officineitalianezard.it/en/kawasaki-zard-exhaust/"/>
    <s v="Z 750 2004/11"/>
    <s v="https://shop.officineitalianezard.it/en/kawasaki-z-750-exhaust/"/>
    <s v="M.Y. 07-14"/>
    <x v="170"/>
    <s v="CONICAL SILENCER"/>
    <s v="ZKAW170SSR-07"/>
    <s v="KAWASAKI Z750 2004/11"/>
    <n v="376.23"/>
    <n v="418.03"/>
    <s v="&lt;p&gt;STEEL RACING SILENCER WITH REMOVABLE DB KILELR&lt;/p&gt;_x000a_&lt;p&gt;ORIGINAL SILENCER WEIGHT: KG 6.4&lt;/p&gt;_x000a_&lt;p&gt;ZARD SILENCER WEIGHT: KG 2.3&lt;/p&gt;_x000a_&lt;p&gt;CARBON ENDCAP&lt;/p&gt;_x000a_&lt;p&gt;HARD INCREASE, COMPARED TO THE ORIGINAL EXHAUST SYSTEM,&lt;br&gt;IN TERMS OF TORQUE AND POWER AT ANY RANGE (+ 4.5 CV).&lt;/p&gt;_x000a_&lt;p&gt;ASTONISHING SOUND&lt;/p&gt;"/>
    <m/>
    <s v="EURO 3 HOMOLOGATED"/>
    <n v="47.21"/>
  </r>
  <r>
    <s v="1586059571-11004"/>
    <s v="https://shop.officineitalianezard.it/en/products/"/>
    <m/>
    <s v="https://shop.officineitalianezard.it/en/kawasaki-zard-exhaust/"/>
    <s v="Z 750 2004/11"/>
    <s v="https://shop.officineitalianezard.it/en/kawasaki-z-750-exhaust/"/>
    <s v="M.Y. 07-14"/>
    <x v="170"/>
    <s v="CONICAL SILENCER"/>
    <s v="ZKAW170SSR-07"/>
    <s v="KAWASAKI Z750 2004/11"/>
    <n v="376.23"/>
    <n v="418.03"/>
    <s v="&lt;p&gt;STEEL RACING SILENCER WITH REMOVABLE DB KILELR&lt;/p&gt;_x000a_&lt;p&gt;ORIGINAL SILENCER WEIGHT: KG 6.4&lt;/p&gt;_x000a_&lt;p&gt;ZARD SILENCER WEIGHT: KG 2.3&lt;/p&gt;_x000a_&lt;p&gt;CARBON ENDCAP&lt;/p&gt;_x000a_&lt;p&gt;HARD INCREASE, COMPARED TO THE ORIGINAL EXHAUST SYSTEM,&lt;br&gt;IN TERMS OF TORQUE AND POWER AT ANY RANGE (+ 4.5 CV).&lt;/p&gt;_x000a_&lt;p&gt;ASTONISHING SOUND&lt;/p&gt;"/>
    <m/>
    <s v="BLACK COATING"/>
    <n v="77.459999999999994"/>
  </r>
  <r>
    <s v="1586059571-11005"/>
    <s v="https://shop.officineitalianezard.it/en/products/"/>
    <m/>
    <s v="https://shop.officineitalianezard.it/en/kawasaki-zard-exhaust/"/>
    <s v="Z 750 2004/11"/>
    <s v="https://shop.officineitalianezard.it/en/kawasaki-z-750-exhaust/"/>
    <s v="M.Y. 07-14"/>
    <x v="170"/>
    <s v="CONICAL SILENCER"/>
    <s v="ZKAW170SSR-07"/>
    <s v="KAWASAKI Z750 2004/11"/>
    <n v="376.23"/>
    <n v="418.03"/>
    <s v="&lt;p&gt;STEEL RACING SILENCER WITH REMOVABLE DB KILELR&lt;/p&gt;_x000a_&lt;p&gt;ORIGINAL SILENCER WEIGHT: KG 6.4&lt;/p&gt;_x000a_&lt;p&gt;ZARD SILENCER WEIGHT: KG 2.3&lt;/p&gt;_x000a_&lt;p&gt;CARBON ENDCAP&lt;/p&gt;_x000a_&lt;p&gt;HARD INCREASE, COMPARED TO THE ORIGINAL EXHAUST SYSTEM,&lt;br&gt;IN TERMS OF TORQUE AND POWER AT ANY RANGE (+ 4.5 CV).&lt;/p&gt;_x000a_&lt;p&gt;ASTONISHING SOUND&lt;/p&gt;"/>
    <m/>
    <s v="FULL TITANIUM"/>
    <n v="118.03"/>
  </r>
  <r>
    <s v="1586059577-11006"/>
    <s v="https://shop.officineitalianezard.it/en/products/"/>
    <m/>
    <s v="https://shop.officineitalianezard.it/en/kawasaki-zard-exhaust/"/>
    <s v="KX KE 250 F"/>
    <s v="https://shop.officineitalianezard.it/en/kawasaki-kx-ke-250-f-exhaust/"/>
    <s v="STEEL VERSION"/>
    <x v="171"/>
    <s v="2&gt;1 FULL KIT"/>
    <s v="ZKAW178SKR"/>
    <s v="KAWASAKI KX KE 250 F"/>
    <n v="755.41"/>
    <n v="839.34"/>
    <s v="&lt;p&gt;STEEL 2&amp;gt;1 FULL KIT WITH REMOVABLE DB KILLER&lt;/p&gt;_x000a_&lt;p&gt;COMPATIBLE WITH OFF ROAD MODELS&lt;/p&gt;_x000a_&lt;p&gt;CARBON END-CAP&lt;/p&gt;_x000a_&lt;p&gt;HARD INCREASE, COMPARED TO THE ORIGINAL EXHAUST SYSTEM, IN TERMS OF TORQUE AND POWER AT ANY RANGE&lt;/p&gt;_x000a_&lt;p&gt;ASTONISHING SOUND&lt;/p&gt;_x000a_&lt;p&gt;&amp;nbsp;&lt;/p&gt;"/>
    <s v="https://shop.officineitalianezard.it/contents/imgs/products/1_1287-1.jpg"/>
    <m/>
    <m/>
  </r>
  <r>
    <s v="1586059581-11007"/>
    <s v="https://shop.officineitalianezard.it/en/products/"/>
    <m/>
    <s v="https://shop.officineitalianezard.it/en/kawasaki-zard-exhaust/"/>
    <s v="KX KE 450 F"/>
    <s v="https://shop.officineitalianezard.it/en/scarico-kawasaki-kx-ke-450-f/"/>
    <s v="STEEL VERSION"/>
    <x v="172"/>
    <s v="2&gt;1 FULL KIT"/>
    <s v="ZKAW177SKR"/>
    <s v="KAWASAKI KX-KE 450F"/>
    <n v="809.26"/>
    <n v="899.18"/>
    <s v="&lt;p&gt;STEEL 2&amp;gt;1 FULL KIT WITH REMOVABLE DB KILLER&lt;/p&gt;_x000a_&lt;p&gt;COMPATIBLE WITH OFF ROAD MODELS&lt;/p&gt;_x000a_&lt;p&gt;CARBON END-CAP&lt;/p&gt;_x000a_&lt;p&gt;HARD INCREASE, COMPARED TO THE ORIGINAL EXHAUST SYSTEM, IN TERMS OF TORQUE AND POWER AT ANY RANGE&lt;/p&gt;_x000a_&lt;p&gt;ASTONISHING SOUND&lt;/p&gt;_x000a_&lt;p&gt;&amp;nbsp;&lt;/p&gt;"/>
    <s v="https://shop.officineitalianezard.it/contents/imgs/products/1_2346-scarico%20kawasaki%20kx%20450%20f%20-%20zard%201.jpg"/>
    <m/>
    <m/>
  </r>
  <r>
    <s v="1586059581-11008"/>
    <s v="https://shop.officineitalianezard.it/en/products/"/>
    <m/>
    <s v="https://shop.officineitalianezard.it/en/kawasaki-zard-exhaust/"/>
    <s v="KX KE 450 F"/>
    <s v="https://shop.officineitalianezard.it/en/scarico-kawasaki-kx-ke-450-f/"/>
    <s v="STEEL VERSION"/>
    <x v="172"/>
    <s v="2&gt;1 FULL KIT"/>
    <s v="ZKAW177SKR"/>
    <s v="KAWASAKI KX-KE 450F"/>
    <n v="809.26"/>
    <n v="899.18"/>
    <s v="&lt;p&gt;STEEL 2&amp;gt;1 FULL KIT WITH REMOVABLE DB KILLER&lt;/p&gt;_x000a_&lt;p&gt;COMPATIBLE WITH OFF ROAD MODELS&lt;/p&gt;_x000a_&lt;p&gt;CARBON END-CAP&lt;/p&gt;_x000a_&lt;p&gt;HARD INCREASE, COMPARED TO THE ORIGINAL EXHAUST SYSTEM, IN TERMS OF TORQUE AND POWER AT ANY RANGE&lt;/p&gt;_x000a_&lt;p&gt;ASTONISHING SOUND&lt;/p&gt;_x000a_&lt;p&gt;&amp;nbsp;&lt;/p&gt;"/>
    <s v="https://shop.officineitalianezard.it/contents/imgs/products/1_2347-scarico%20kawasaki%20kx%20450%20f%20-%20zard%202.jpg"/>
    <m/>
    <m/>
  </r>
  <r>
    <s v="1586059581-11009"/>
    <s v="https://shop.officineitalianezard.it/en/products/"/>
    <m/>
    <s v="https://shop.officineitalianezard.it/en/kawasaki-zard-exhaust/"/>
    <s v="KX KE 450 F"/>
    <s v="https://shop.officineitalianezard.it/en/scarico-kawasaki-kx-ke-450-f/"/>
    <s v="STEEL VERSION"/>
    <x v="172"/>
    <s v="2&gt;1 FULL KIT"/>
    <s v="ZKAW177SKR"/>
    <s v="KAWASAKI KX-KE 450F"/>
    <n v="809.26"/>
    <n v="899.18"/>
    <s v="&lt;p&gt;STEEL 2&amp;gt;1 FULL KIT WITH REMOVABLE DB KILLER&lt;/p&gt;_x000a_&lt;p&gt;COMPATIBLE WITH OFF ROAD MODELS&lt;/p&gt;_x000a_&lt;p&gt;CARBON END-CAP&lt;/p&gt;_x000a_&lt;p&gt;HARD INCREASE, COMPARED TO THE ORIGINAL EXHAUST SYSTEM, IN TERMS OF TORQUE AND POWER AT ANY RANGE&lt;/p&gt;_x000a_&lt;p&gt;ASTONISHING SOUND&lt;/p&gt;_x000a_&lt;p&gt;&amp;nbsp;&lt;/p&gt;"/>
    <s v="https://shop.officineitalianezard.it/contents/imgs/products/1_2345-scarico%20kawasaki%20kx%20450%20f%20-%20zard%203.jpg"/>
    <m/>
    <m/>
  </r>
  <r>
    <s v="1586059586-11010"/>
    <s v="https://shop.officineitalianezard.it/en/products/"/>
    <m/>
    <s v="https://shop.officineitalianezard.it/en/kawasaki-zard-exhaust/"/>
    <s v="NINJA 250-300 2007/13"/>
    <s v="https://shop.officineitalianezard.it/en/kawasaki-ninja-250-300-exhaust/"/>
    <s v="PENTA VERSION"/>
    <x v="173"/>
    <s v="FULL KIT"/>
    <s v="ZKAW 174 SKR"/>
    <s v="KAWASAKI NINJA 250/300 2007/13"/>
    <n v="526.72"/>
    <n v="585.25"/>
    <s v="&lt;p&gt;STEEL-ALUMINIUM BLACK SILENCER RACING WITH REMOVABLE DB KILLER&lt;/p&gt;_x000a_&lt;p&gt;ZARD FULL KIT WEIGHT: 3.1 KG&lt;br&gt;ZARD SILENCER WEIGHT: 1.7 KG&lt;/p&gt;_x000a_&lt;p&gt;HARD INCREASE, COMPARED TO THE ORIGINAL EXHAUST SYSTEM, IN TERMS OF TORQUE AND POWER AT ANY RANGE&lt;/p&gt;_x000a_&lt;p&gt;ASTONISHING SOUND&lt;/p&gt;"/>
    <s v="https://shop.officineitalianezard.it/contents/imgs/products/1_861-ninja1.JPG"/>
    <m/>
    <m/>
  </r>
  <r>
    <s v="1586059586-11011"/>
    <s v="https://shop.officineitalianezard.it/en/products/"/>
    <m/>
    <s v="https://shop.officineitalianezard.it/en/kawasaki-zard-exhaust/"/>
    <s v="NINJA 250-300 2007/13"/>
    <s v="https://shop.officineitalianezard.it/en/kawasaki-ninja-250-300-exhaust/"/>
    <s v="PENTA VERSION"/>
    <x v="173"/>
    <s v="FULL KIT"/>
    <s v="ZKAW 174 SKR"/>
    <s v="KAWASAKI NINJA 250/300 2007/13"/>
    <n v="526.72"/>
    <n v="585.25"/>
    <s v="&lt;p&gt;STEEL-ALUMINIUM BLACK SILENCER RACING WITH REMOVABLE DB KILLER&lt;/p&gt;_x000a_&lt;p&gt;ZARD FULL KIT WEIGHT: 3.1 KG&lt;br&gt;ZARD SILENCER WEIGHT: 1.7 KG&lt;/p&gt;_x000a_&lt;p&gt;HARD INCREASE, COMPARED TO THE ORIGINAL EXHAUST SYSTEM, IN TERMS OF TORQUE AND POWER AT ANY RANGE&lt;/p&gt;_x000a_&lt;p&gt;ASTONISHING SOUND&lt;/p&gt;"/>
    <s v="https://shop.officineitalianezard.it/contents/imgs/products/1_859-ninja.jpg"/>
    <m/>
    <m/>
  </r>
  <r>
    <s v="1586059586-11012"/>
    <s v="https://shop.officineitalianezard.it/en/products/"/>
    <m/>
    <s v="https://shop.officineitalianezard.it/en/kawasaki-zard-exhaust/"/>
    <s v="NINJA 250-300 2007/13"/>
    <s v="https://shop.officineitalianezard.it/en/kawasaki-ninja-250-300-exhaust/"/>
    <s v="PENTA VERSION"/>
    <x v="173"/>
    <s v="FULL KIT"/>
    <s v="ZKAW 174 SKR"/>
    <s v="KAWASAKI NINJA 250/300 2007/13"/>
    <n v="526.72"/>
    <n v="585.25"/>
    <s v="&lt;p&gt;STEEL-ALUMINIUM BLACK SILENCER RACING WITH REMOVABLE DB KILLER&lt;/p&gt;_x000a_&lt;p&gt;ZARD FULL KIT WEIGHT: 3.1 KG&lt;br&gt;ZARD SILENCER WEIGHT: 1.7 KG&lt;/p&gt;_x000a_&lt;p&gt;HARD INCREASE, COMPARED TO THE ORIGINAL EXHAUST SYSTEM, IN TERMS OF TORQUE AND POWER AT ANY RANGE&lt;/p&gt;_x000a_&lt;p&gt;ASTONISHING SOUND&lt;/p&gt;"/>
    <s v="https://shop.officineitalianezard.it/contents/imgs/products/1_860-ninja3.JPG"/>
    <m/>
    <m/>
  </r>
  <r>
    <s v="1586059586-11013"/>
    <s v="https://shop.officineitalianezard.it/en/products/"/>
    <m/>
    <s v="https://shop.officineitalianezard.it/en/kawasaki-zard-exhaust/"/>
    <s v="NINJA 250-300 2007/13"/>
    <s v="https://shop.officineitalianezard.it/en/kawasaki-ninja-250-300-exhaust/"/>
    <s v="PENTA VERSION"/>
    <x v="173"/>
    <s v="FULL KIT"/>
    <s v="ZKAW 174 SKR"/>
    <s v="KAWASAKI NINJA 250/300 2007/13"/>
    <n v="526.72"/>
    <n v="585.25"/>
    <s v="&lt;p&gt;STEEL-ALUMINIUM BLACK SILENCER RACING WITH REMOVABLE DB KILLER&lt;/p&gt;_x000a_&lt;p&gt;ZARD FULL KIT WEIGHT: 3.1 KG&lt;br&gt;ZARD SILENCER WEIGHT: 1.7 KG&lt;/p&gt;_x000a_&lt;p&gt;HARD INCREASE, COMPARED TO THE ORIGINAL EXHAUST SYSTEM, IN TERMS OF TORQUE AND POWER AT ANY RANGE&lt;/p&gt;_x000a_&lt;p&gt;ASTONISHING SOUND&lt;/p&gt;"/>
    <m/>
    <s v="CARBON ENDCAP"/>
    <n v="37.619999999999997"/>
  </r>
  <r>
    <s v="1586059586-11014"/>
    <s v="https://shop.officineitalianezard.it/en/products/"/>
    <m/>
    <s v="https://shop.officineitalianezard.it/en/kawasaki-zard-exhaust/"/>
    <s v="NINJA 250-300 2007/13"/>
    <s v="https://shop.officineitalianezard.it/en/kawasaki-ninja-250-300-exhaust/"/>
    <s v="PENTA VERSION"/>
    <x v="173"/>
    <s v="FULL KIT"/>
    <s v="ZKAW 174 SKR"/>
    <s v="KAWASAKI NINJA 250/300 2007/13"/>
    <n v="526.72"/>
    <n v="585.25"/>
    <s v="&lt;p&gt;STEEL-ALUMINIUM BLACK SILENCER RACING WITH REMOVABLE DB KILLER&lt;/p&gt;_x000a_&lt;p&gt;ZARD FULL KIT WEIGHT: 3.1 KG&lt;br&gt;ZARD SILENCER WEIGHT: 1.7 KG&lt;/p&gt;_x000a_&lt;p&gt;HARD INCREASE, COMPARED TO THE ORIGINAL EXHAUST SYSTEM, IN TERMS OF TORQUE AND POWER AT ANY RANGE&lt;/p&gt;_x000a_&lt;p&gt;ASTONISHING SOUND&lt;/p&gt;"/>
    <m/>
    <s v="STEEL-CARBON"/>
    <n v="103.28"/>
  </r>
  <r>
    <s v="1586059588-11015"/>
    <s v="https://shop.officineitalianezard.it/en/products/"/>
    <m/>
    <s v="https://shop.officineitalianezard.it/en/kawasaki-zard-exhaust/"/>
    <s v="NINJA 250-300 2007/13"/>
    <s v="https://shop.officineitalianezard.it/en/kawasaki-ninja-250-300-exhaust/"/>
    <s v="PENTA VERSION"/>
    <x v="174"/>
    <s v="SILENCER"/>
    <s v="ZKAW 174 SSR"/>
    <s v="KAWASAKI NINJA 250/300 2007/13"/>
    <n v="357.79"/>
    <n v="397.54"/>
    <s v="&lt;p&gt;STEEL-ALUMINIUM BLACK SILENCER RACING WITH REMOVABLE DB KILLER&lt;/p&gt;_x000a_&lt;p&gt;ZARD SILENCER WEIGHT: 1.7 KG&lt;/p&gt;_x000a_&lt;p&gt;HARD INCREASE, COMPARED TO THE ORIGINAL EXHAUST SYSTEM, IN TERMS OF TORQUE AND POWER AT ANY RANGE&lt;/p&gt;_x000a_&lt;p&gt;ASTONISHING SOUND&lt;/p&gt;"/>
    <s v="https://shop.officineitalianezard.it/contents/imgs/products/1_858-ninja1.JPG"/>
    <m/>
    <m/>
  </r>
  <r>
    <s v="1586059588-11016"/>
    <s v="https://shop.officineitalianezard.it/en/products/"/>
    <m/>
    <s v="https://shop.officineitalianezard.it/en/kawasaki-zard-exhaust/"/>
    <s v="NINJA 250-300 2007/13"/>
    <s v="https://shop.officineitalianezard.it/en/kawasaki-ninja-250-300-exhaust/"/>
    <s v="PENTA VERSION"/>
    <x v="174"/>
    <s v="SILENCER"/>
    <s v="ZKAW 174 SSR"/>
    <s v="KAWASAKI NINJA 250/300 2007/13"/>
    <n v="357.79"/>
    <n v="397.54"/>
    <s v="&lt;p&gt;STEEL-ALUMINIUM BLACK SILENCER RACING WITH REMOVABLE DB KILLER&lt;/p&gt;_x000a_&lt;p&gt;ZARD SILENCER WEIGHT: 1.7 KG&lt;/p&gt;_x000a_&lt;p&gt;HARD INCREASE, COMPARED TO THE ORIGINAL EXHAUST SYSTEM, IN TERMS OF TORQUE AND POWER AT ANY RANGE&lt;/p&gt;_x000a_&lt;p&gt;ASTONISHING SOUND&lt;/p&gt;"/>
    <s v="https://shop.officineitalianezard.it/contents/imgs/products/1_856-ninja.jpg"/>
    <m/>
    <m/>
  </r>
  <r>
    <s v="1586059588-11017"/>
    <s v="https://shop.officineitalianezard.it/en/products/"/>
    <m/>
    <s v="https://shop.officineitalianezard.it/en/kawasaki-zard-exhaust/"/>
    <s v="NINJA 250-300 2007/13"/>
    <s v="https://shop.officineitalianezard.it/en/kawasaki-ninja-250-300-exhaust/"/>
    <s v="PENTA VERSION"/>
    <x v="174"/>
    <s v="SILENCER"/>
    <s v="ZKAW 174 SSR"/>
    <s v="KAWASAKI NINJA 250/300 2007/13"/>
    <n v="357.79"/>
    <n v="397.54"/>
    <s v="&lt;p&gt;STEEL-ALUMINIUM BLACK SILENCER RACING WITH REMOVABLE DB KILLER&lt;/p&gt;_x000a_&lt;p&gt;ZARD SILENCER WEIGHT: 1.7 KG&lt;/p&gt;_x000a_&lt;p&gt;HARD INCREASE, COMPARED TO THE ORIGINAL EXHAUST SYSTEM, IN TERMS OF TORQUE AND POWER AT ANY RANGE&lt;/p&gt;_x000a_&lt;p&gt;ASTONISHING SOUND&lt;/p&gt;"/>
    <s v="https://shop.officineitalianezard.it/contents/imgs/products/1_857-ninja3.JPG"/>
    <m/>
    <m/>
  </r>
  <r>
    <s v="1586059588-11018"/>
    <s v="https://shop.officineitalianezard.it/en/products/"/>
    <m/>
    <s v="https://shop.officineitalianezard.it/en/kawasaki-zard-exhaust/"/>
    <s v="NINJA 250-300 2007/13"/>
    <s v="https://shop.officineitalianezard.it/en/kawasaki-ninja-250-300-exhaust/"/>
    <s v="PENTA VERSION"/>
    <x v="174"/>
    <s v="SILENCER"/>
    <s v="ZKAW 174 SSR"/>
    <s v="KAWASAKI NINJA 250/300 2007/13"/>
    <n v="357.79"/>
    <n v="397.54"/>
    <s v="&lt;p&gt;STEEL-ALUMINIUM BLACK SILENCER RACING WITH REMOVABLE DB KILLER&lt;/p&gt;_x000a_&lt;p&gt;ZARD SILENCER WEIGHT: 1.7 KG&lt;/p&gt;_x000a_&lt;p&gt;HARD INCREASE, COMPARED TO THE ORIGINAL EXHAUST SYSTEM, IN TERMS OF TORQUE AND POWER AT ANY RANGE&lt;/p&gt;_x000a_&lt;p&gt;ASTONISHING SOUND&lt;/p&gt;"/>
    <m/>
    <s v="CARBON ENDCAP"/>
    <n v="37.619999999999997"/>
  </r>
  <r>
    <s v="1586059588-11019"/>
    <s v="https://shop.officineitalianezard.it/en/products/"/>
    <m/>
    <s v="https://shop.officineitalianezard.it/en/kawasaki-zard-exhaust/"/>
    <s v="NINJA 250-300 2007/13"/>
    <s v="https://shop.officineitalianezard.it/en/kawasaki-ninja-250-300-exhaust/"/>
    <s v="PENTA VERSION"/>
    <x v="174"/>
    <s v="SILENCER"/>
    <s v="ZKAW 174 SSR"/>
    <s v="KAWASAKI NINJA 250/300 2007/13"/>
    <n v="357.79"/>
    <n v="397.54"/>
    <s v="&lt;p&gt;STEEL-ALUMINIUM BLACK SILENCER RACING WITH REMOVABLE DB KILLER&lt;/p&gt;_x000a_&lt;p&gt;ZARD SILENCER WEIGHT: 1.7 KG&lt;/p&gt;_x000a_&lt;p&gt;HARD INCREASE, COMPARED TO THE ORIGINAL EXHAUST SYSTEM, IN TERMS OF TORQUE AND POWER AT ANY RANGE&lt;/p&gt;_x000a_&lt;p&gt;ASTONISHING SOUND&lt;/p&gt;"/>
    <m/>
    <s v="STEEL-CARBON"/>
    <n v="84.1"/>
  </r>
  <r>
    <s v="1586059593-11020"/>
    <s v="https://shop.officineitalianezard.it/en/products/"/>
    <m/>
    <s v="https://shop.officineitalianezard.it/en/kawasaki-zard-exhaust/"/>
    <s v="ER-6N-ER-6F 2005/16"/>
    <s v="https://shop.officineitalianezard.it/en/kawasaki-er-6n-er-6f-exhaust/"/>
    <s v="PENTA VERSION"/>
    <x v="175"/>
    <s v="2&gt;1 FULL KIT"/>
    <s v="ZKAW171SKR"/>
    <s v="KAWASAKI ER-6N/ER-6F 2005/16"/>
    <n v="593.11"/>
    <n v="659.02"/>
    <s v="&lt;p&gt;2&amp;gt;1 STEEL-ALUMINIUM BLACK FULL KIT RACING WITH REMOVABLE DB KILLER&lt;/p&gt;_x000a_&lt;p&gt;ORIGINAL FULL KIT WEIGHT: 3.1 KG&lt;br&gt;ZARD FULL KIT WEIGHT: 9.5 KG&lt;/p&gt;_x000a_&lt;p&gt;HARD INCREASE, COMPARED TO THE ORIGINAL EXHAUST SYSTEM, IN TERMS OF TORQUE AND POWER AT ANY RANGE&lt;/p&gt;_x000a_&lt;p&gt;ASTONISHING SOUND&lt;/p&gt;"/>
    <s v="https://shop.officineitalianezard.it/contents/imgs/products/1_854-er6n8.JPG"/>
    <m/>
    <m/>
  </r>
  <r>
    <s v="1586059593-11021"/>
    <s v="https://shop.officineitalianezard.it/en/products/"/>
    <m/>
    <s v="https://shop.officineitalianezard.it/en/kawasaki-zard-exhaust/"/>
    <s v="ER-6N-ER-6F 2005/16"/>
    <s v="https://shop.officineitalianezard.it/en/kawasaki-er-6n-er-6f-exhaust/"/>
    <s v="PENTA VERSION"/>
    <x v="175"/>
    <s v="2&gt;1 FULL KIT"/>
    <s v="ZKAW171SKR"/>
    <s v="KAWASAKI ER-6N/ER-6F 2005/16"/>
    <n v="593.11"/>
    <n v="659.02"/>
    <s v="&lt;p&gt;2&amp;gt;1 STEEL-ALUMINIUM BLACK FULL KIT RACING WITH REMOVABLE DB KILLER&lt;/p&gt;_x000a_&lt;p&gt;ORIGINAL FULL KIT WEIGHT: 3.1 KG&lt;br&gt;ZARD FULL KIT WEIGHT: 9.5 KG&lt;/p&gt;_x000a_&lt;p&gt;HARD INCREASE, COMPARED TO THE ORIGINAL EXHAUST SYSTEM, IN TERMS OF TORQUE AND POWER AT ANY RANGE&lt;/p&gt;_x000a_&lt;p&gt;ASTONISHING SOUND&lt;/p&gt;"/>
    <s v="https://shop.officineitalianezard.it/contents/imgs/products/1_853-er6n7.JPG"/>
    <m/>
    <m/>
  </r>
  <r>
    <s v="1586059593-11022"/>
    <s v="https://shop.officineitalianezard.it/en/products/"/>
    <m/>
    <s v="https://shop.officineitalianezard.it/en/kawasaki-zard-exhaust/"/>
    <s v="ER-6N-ER-6F 2005/16"/>
    <s v="https://shop.officineitalianezard.it/en/kawasaki-er-6n-er-6f-exhaust/"/>
    <s v="PENTA VERSION"/>
    <x v="175"/>
    <s v="2&gt;1 FULL KIT"/>
    <s v="ZKAW171SKR"/>
    <s v="KAWASAKI ER-6N/ER-6F 2005/16"/>
    <n v="593.11"/>
    <n v="659.02"/>
    <s v="&lt;p&gt;2&amp;gt;1 STEEL-ALUMINIUM BLACK FULL KIT RACING WITH REMOVABLE DB KILLER&lt;/p&gt;_x000a_&lt;p&gt;ORIGINAL FULL KIT WEIGHT: 3.1 KG&lt;br&gt;ZARD FULL KIT WEIGHT: 9.5 KG&lt;/p&gt;_x000a_&lt;p&gt;HARD INCREASE, COMPARED TO THE ORIGINAL EXHAUST SYSTEM, IN TERMS OF TORQUE AND POWER AT ANY RANGE&lt;/p&gt;_x000a_&lt;p&gt;ASTONISHING SOUND&lt;/p&gt;"/>
    <s v="https://shop.officineitalianezard.it/contents/imgs/products/1_855-er6n3.JPG"/>
    <m/>
    <m/>
  </r>
  <r>
    <s v="1586059593-11023"/>
    <s v="https://shop.officineitalianezard.it/en/products/"/>
    <m/>
    <s v="https://shop.officineitalianezard.it/en/kawasaki-zard-exhaust/"/>
    <s v="ER-6N-ER-6F 2005/16"/>
    <s v="https://shop.officineitalianezard.it/en/kawasaki-er-6n-er-6f-exhaust/"/>
    <s v="PENTA VERSION"/>
    <x v="175"/>
    <s v="2&gt;1 FULL KIT"/>
    <s v="ZKAW171SKR"/>
    <s v="KAWASAKI ER-6N/ER-6F 2005/16"/>
    <n v="593.11"/>
    <n v="659.02"/>
    <s v="&lt;p&gt;2&amp;gt;1 STEEL-ALUMINIUM BLACK FULL KIT RACING WITH REMOVABLE DB KILLER&lt;/p&gt;_x000a_&lt;p&gt;ORIGINAL FULL KIT WEIGHT: 3.1 KG&lt;br&gt;ZARD FULL KIT WEIGHT: 9.5 KG&lt;/p&gt;_x000a_&lt;p&gt;HARD INCREASE, COMPARED TO THE ORIGINAL EXHAUST SYSTEM, IN TERMS OF TORQUE AND POWER AT ANY RANGE&lt;/p&gt;_x000a_&lt;p&gt;ASTONISHING SOUND&lt;/p&gt;"/>
    <m/>
    <s v="CARBON ENDCAP"/>
    <n v="37.619999999999997"/>
  </r>
  <r>
    <s v="1586059600-11024"/>
    <s v="https://shop.officineitalianezard.it/en/products/"/>
    <m/>
    <s v="https://shop.officineitalianezard.it/en/indian/"/>
    <s v="FTR 1200"/>
    <s v="https://shop.officineitalianezard.it/en/indian-ftr-1200-exhaust-zard/"/>
    <s v="LOW MOUNTED VERSION"/>
    <x v="176"/>
    <s v="FULL KIT"/>
    <s v="ZIND001TKR-FC"/>
    <s v="INDIAN FTR 1200 M.Y. 2018/19"/>
    <n v="0"/>
    <n v="0"/>
    <s v="&lt;p&gt;&lt;strong&gt;SOON AVAILABLE!&lt;/strong&gt;&lt;/p&gt;_x000a_&lt;p&gt;&lt;span&gt;STAINLESS STEEL DECATALYZER KIT: € 260,00&lt;/span&gt;&lt;br&gt;&lt;span&gt;TITANIUM DECATALYZER KIT: € 400,00&lt;/span&gt;&lt;br&gt;&lt;span&gt;TITANIUM HEADERS KIT: € 1.080,00&lt;/span&gt;&lt;br&gt;&lt;span&gt;TITANIUM HEADERS KIT WITH SNAKE WELDING: € 1.450,00&lt;/span&gt;&lt;/p&gt;_x000a_&lt;p&gt;ORIGINAL FULL KIT WEIGHT:&amp;nbsp;10 KG&lt;br&gt;&lt;span&gt;ZARD&amp;nbsp;FULL KIT WEIGHT&lt;/span&gt;: 3.7 KG&lt;/p&gt;_x000a_&lt;p&gt;&lt;span&gt;SIGNIFICANT INCREASE, COMPARED TO THE ORIGINAL EXHAUST SYSTEM,&lt;/span&gt;&lt;br&gt;&lt;span&gt;IN TERMS OF TORQUE AND POWER AT ANY RANGE, ASTONISHING SOUND.&lt;/span&gt;&lt;/p&gt;"/>
    <s v="https://shop.officineitalianezard.it/contents/imgs/products/1_2650-scarico%20indian%20ftr%201200%20-%20zard%201.jpg"/>
    <m/>
    <m/>
  </r>
  <r>
    <s v="1586059600-11025"/>
    <s v="https://shop.officineitalianezard.it/en/products/"/>
    <m/>
    <s v="https://shop.officineitalianezard.it/en/indian/"/>
    <s v="FTR 1200"/>
    <s v="https://shop.officineitalianezard.it/en/indian-ftr-1200-exhaust-zard/"/>
    <s v="LOW MOUNTED VERSION"/>
    <x v="176"/>
    <s v="FULL KIT"/>
    <s v="ZIND001TKR-FC"/>
    <s v="INDIAN FTR 1200 M.Y. 2018/19"/>
    <n v="0"/>
    <n v="0"/>
    <s v="&lt;p&gt;&lt;strong&gt;SOON AVAILABLE!&lt;/strong&gt;&lt;/p&gt;_x000a_&lt;p&gt;&lt;span&gt;STAINLESS STEEL DECATALYZER KIT: € 260,00&lt;/span&gt;&lt;br&gt;&lt;span&gt;TITANIUM DECATALYZER KIT: € 400,00&lt;/span&gt;&lt;br&gt;&lt;span&gt;TITANIUM HEADERS KIT: € 1.080,00&lt;/span&gt;&lt;br&gt;&lt;span&gt;TITANIUM HEADERS KIT WITH SNAKE WELDING: € 1.450,00&lt;/span&gt;&lt;/p&gt;_x000a_&lt;p&gt;ORIGINAL FULL KIT WEIGHT:&amp;nbsp;10 KG&lt;br&gt;&lt;span&gt;ZARD&amp;nbsp;FULL KIT WEIGHT&lt;/span&gt;: 3.7 KG&lt;/p&gt;_x000a_&lt;p&gt;&lt;span&gt;SIGNIFICANT INCREASE, COMPARED TO THE ORIGINAL EXHAUST SYSTEM,&lt;/span&gt;&lt;br&gt;&lt;span&gt;IN TERMS OF TORQUE AND POWER AT ANY RANGE, ASTONISHING SOUND.&lt;/span&gt;&lt;/p&gt;"/>
    <s v="https://shop.officineitalianezard.it/contents/imgs/products/1_2651-scarico%20indian%20ftr%201200%20-%20zard%202.jpg"/>
    <m/>
    <m/>
  </r>
  <r>
    <s v="1586059600-11026"/>
    <s v="https://shop.officineitalianezard.it/en/products/"/>
    <m/>
    <s v="https://shop.officineitalianezard.it/en/indian/"/>
    <s v="FTR 1200"/>
    <s v="https://shop.officineitalianezard.it/en/indian-ftr-1200-exhaust-zard/"/>
    <s v="LOW MOUNTED VERSION"/>
    <x v="176"/>
    <s v="FULL KIT"/>
    <s v="ZIND001TKR-FC"/>
    <s v="INDIAN FTR 1200 M.Y. 2018/19"/>
    <n v="0"/>
    <n v="0"/>
    <s v="&lt;p&gt;&lt;strong&gt;SOON AVAILABLE!&lt;/strong&gt;&lt;/p&gt;_x000a_&lt;p&gt;&lt;span&gt;STAINLESS STEEL DECATALYZER KIT: € 260,00&lt;/span&gt;&lt;br&gt;&lt;span&gt;TITANIUM DECATALYZER KIT: € 400,00&lt;/span&gt;&lt;br&gt;&lt;span&gt;TITANIUM HEADERS KIT: € 1.080,00&lt;/span&gt;&lt;br&gt;&lt;span&gt;TITANIUM HEADERS KIT WITH SNAKE WELDING: € 1.450,00&lt;/span&gt;&lt;/p&gt;_x000a_&lt;p&gt;ORIGINAL FULL KIT WEIGHT:&amp;nbsp;10 KG&lt;br&gt;&lt;span&gt;ZARD&amp;nbsp;FULL KIT WEIGHT&lt;/span&gt;: 3.7 KG&lt;/p&gt;_x000a_&lt;p&gt;&lt;span&gt;SIGNIFICANT INCREASE, COMPARED TO THE ORIGINAL EXHAUST SYSTEM,&lt;/span&gt;&lt;br&gt;&lt;span&gt;IN TERMS OF TORQUE AND POWER AT ANY RANGE, ASTONISHING SOUND.&lt;/span&gt;&lt;/p&gt;"/>
    <s v="https://shop.officineitalianezard.it/contents/imgs/products/1_2652-scarico%20indian%20ftr%201200%20-%20zard%203.jpg"/>
    <m/>
    <m/>
  </r>
  <r>
    <s v="1586059602-11027"/>
    <s v="https://shop.officineitalianezard.it/en/products/"/>
    <m/>
    <s v="https://shop.officineitalianezard.it/en/indian/"/>
    <s v="FTR 1200"/>
    <s v="https://shop.officineitalianezard.it/en/indian-ftr-1200-exhaust-zard/"/>
    <s v="LOW MOUNTED VERSION"/>
    <x v="177"/>
    <s v="SLIP-ONS"/>
    <s v="ZIND002TSR-FC"/>
    <s v="INDIAN FTR 1200 M.Y. 2018/19"/>
    <n v="804.1"/>
    <n v="893.44"/>
    <s v="&lt;p&gt;&lt;strong&gt;SOON AVAILABLE!&lt;/strong&gt;&lt;/p&gt;_x000a_&lt;p&gt;TITANIUM RACING SLIP-ONS WITH REMOVABLE DB-KILLERS,&lt;br&gt;CARBON END-CAPS AND CARBON HEAT SHIELD.&lt;/p&gt;_x000a_&lt;p&gt;ORIGINAL FULL KIT WEIGHT:&amp;nbsp;4.3 KG&lt;br&gt;&lt;span&gt;ZARD&amp;nbsp;FULL KIT WEIGHT&lt;/span&gt;:&amp;nbsp;1.8 KG&lt;/p&gt;_x000a_&lt;p&gt;&lt;span&gt;SIGNIFICANT INCREASE, COMPARED TO THE ORIGINAL EXHAUST SYSTEM,&lt;/span&gt;&lt;br&gt;&lt;span&gt;IN TERMS OF TORQUE AND POWER AT ANY RANGE, ASTONISHING SOUND.&lt;/span&gt;&lt;/p&gt;"/>
    <s v="https://shop.officineitalianezard.it/contents/imgs/products/1_2663-scarico%20indian%20ftr%201200.jpg"/>
    <m/>
    <m/>
  </r>
  <r>
    <s v="1586059602-11028"/>
    <s v="https://shop.officineitalianezard.it/en/products/"/>
    <m/>
    <s v="https://shop.officineitalianezard.it/en/indian/"/>
    <s v="FTR 1200"/>
    <s v="https://shop.officineitalianezard.it/en/indian-ftr-1200-exhaust-zard/"/>
    <s v="LOW MOUNTED VERSION"/>
    <x v="177"/>
    <s v="SLIP-ONS"/>
    <s v="ZIND002TSR-FC"/>
    <s v="INDIAN FTR 1200 M.Y. 2018/19"/>
    <n v="804.1"/>
    <n v="893.44"/>
    <s v="&lt;p&gt;&lt;strong&gt;SOON AVAILABLE!&lt;/strong&gt;&lt;/p&gt;_x000a_&lt;p&gt;TITANIUM RACING SLIP-ONS WITH REMOVABLE DB-KILLERS,&lt;br&gt;CARBON END-CAPS AND CARBON HEAT SHIELD.&lt;/p&gt;_x000a_&lt;p&gt;ORIGINAL FULL KIT WEIGHT:&amp;nbsp;4.3 KG&lt;br&gt;&lt;span&gt;ZARD&amp;nbsp;FULL KIT WEIGHT&lt;/span&gt;:&amp;nbsp;1.8 KG&lt;/p&gt;_x000a_&lt;p&gt;&lt;span&gt;SIGNIFICANT INCREASE, COMPARED TO THE ORIGINAL EXHAUST SYSTEM,&lt;/span&gt;&lt;br&gt;&lt;span&gt;IN TERMS OF TORQUE AND POWER AT ANY RANGE, ASTONISHING SOUND.&lt;/span&gt;&lt;/p&gt;"/>
    <s v="https://shop.officineitalianezard.it/contents/imgs/products/1_2656-scarico%20indian%20ftr%201200%20zard%20slip%20on%201.jpg"/>
    <m/>
    <m/>
  </r>
  <r>
    <s v="1586059602-11029"/>
    <s v="https://shop.officineitalianezard.it/en/products/"/>
    <m/>
    <s v="https://shop.officineitalianezard.it/en/indian/"/>
    <s v="FTR 1200"/>
    <s v="https://shop.officineitalianezard.it/en/indian-ftr-1200-exhaust-zard/"/>
    <s v="LOW MOUNTED VERSION"/>
    <x v="177"/>
    <s v="SLIP-ONS"/>
    <s v="ZIND002TSR-FC"/>
    <s v="INDIAN FTR 1200 M.Y. 2018/19"/>
    <n v="804.1"/>
    <n v="893.44"/>
    <s v="&lt;p&gt;&lt;strong&gt;SOON AVAILABLE!&lt;/strong&gt;&lt;/p&gt;_x000a_&lt;p&gt;TITANIUM RACING SLIP-ONS WITH REMOVABLE DB-KILLERS,&lt;br&gt;CARBON END-CAPS AND CARBON HEAT SHIELD.&lt;/p&gt;_x000a_&lt;p&gt;ORIGINAL FULL KIT WEIGHT:&amp;nbsp;4.3 KG&lt;br&gt;&lt;span&gt;ZARD&amp;nbsp;FULL KIT WEIGHT&lt;/span&gt;:&amp;nbsp;1.8 KG&lt;/p&gt;_x000a_&lt;p&gt;&lt;span&gt;SIGNIFICANT INCREASE, COMPARED TO THE ORIGINAL EXHAUST SYSTEM,&lt;/span&gt;&lt;br&gt;&lt;span&gt;IN TERMS OF TORQUE AND POWER AT ANY RANGE, ASTONISHING SOUND.&lt;/span&gt;&lt;/p&gt;"/>
    <s v="https://shop.officineitalianezard.it/contents/imgs/products/1_2657-scarico%20indian%20ftr%201200%20zard%20slip%20on%202.jpg"/>
    <m/>
    <m/>
  </r>
  <r>
    <s v="1586059602-11030"/>
    <s v="https://shop.officineitalianezard.it/en/products/"/>
    <m/>
    <s v="https://shop.officineitalianezard.it/en/indian/"/>
    <s v="FTR 1200"/>
    <s v="https://shop.officineitalianezard.it/en/indian-ftr-1200-exhaust-zard/"/>
    <s v="LOW MOUNTED VERSION"/>
    <x v="177"/>
    <s v="SLIP-ONS"/>
    <s v="ZIND002TSR-FC"/>
    <s v="INDIAN FTR 1200 M.Y. 2018/19"/>
    <n v="804.1"/>
    <n v="893.44"/>
    <s v="&lt;p&gt;&lt;strong&gt;SOON AVAILABLE!&lt;/strong&gt;&lt;/p&gt;_x000a_&lt;p&gt;TITANIUM RACING SLIP-ONS WITH REMOVABLE DB-KILLERS,&lt;br&gt;CARBON END-CAPS AND CARBON HEAT SHIELD.&lt;/p&gt;_x000a_&lt;p&gt;ORIGINAL FULL KIT WEIGHT:&amp;nbsp;4.3 KG&lt;br&gt;&lt;span&gt;ZARD&amp;nbsp;FULL KIT WEIGHT&lt;/span&gt;:&amp;nbsp;1.8 KG&lt;/p&gt;_x000a_&lt;p&gt;&lt;span&gt;SIGNIFICANT INCREASE, COMPARED TO THE ORIGINAL EXHAUST SYSTEM,&lt;/span&gt;&lt;br&gt;&lt;span&gt;IN TERMS OF TORQUE AND POWER AT ANY RANGE, ASTONISHING SOUND.&lt;/span&gt;&lt;/p&gt;"/>
    <s v="https://shop.officineitalianezard.it/contents/imgs/products/1_2658-scarico%20indian%20ftr%201200%20zard%20slip%20on%203.jpg"/>
    <m/>
    <m/>
  </r>
  <r>
    <s v="1586059602-11031"/>
    <s v="https://shop.officineitalianezard.it/en/products/"/>
    <m/>
    <s v="https://shop.officineitalianezard.it/en/indian/"/>
    <s v="FTR 1200"/>
    <s v="https://shop.officineitalianezard.it/en/indian-ftr-1200-exhaust-zard/"/>
    <s v="LOW MOUNTED VERSION"/>
    <x v="177"/>
    <s v="SLIP-ONS"/>
    <s v="ZIND002TSR-FC"/>
    <s v="INDIAN FTR 1200 M.Y. 2018/19"/>
    <n v="804.1"/>
    <n v="893.44"/>
    <s v="&lt;p&gt;&lt;strong&gt;SOON AVAILABLE!&lt;/strong&gt;&lt;/p&gt;_x000a_&lt;p&gt;TITANIUM RACING SLIP-ONS WITH REMOVABLE DB-KILLERS,&lt;br&gt;CARBON END-CAPS AND CARBON HEAT SHIELD.&lt;/p&gt;_x000a_&lt;p&gt;ORIGINAL FULL KIT WEIGHT:&amp;nbsp;4.3 KG&lt;br&gt;&lt;span&gt;ZARD&amp;nbsp;FULL KIT WEIGHT&lt;/span&gt;:&amp;nbsp;1.8 KG&lt;/p&gt;_x000a_&lt;p&gt;&lt;span&gt;SIGNIFICANT INCREASE, COMPARED TO THE ORIGINAL EXHAUST SYSTEM,&lt;/span&gt;&lt;br&gt;&lt;span&gt;IN TERMS OF TORQUE AND POWER AT ANY RANGE, ASTONISHING SOUND.&lt;/span&gt;&lt;/p&gt;"/>
    <m/>
    <s v="EURO 4 HOMOLOGATED"/>
    <n v="147.54"/>
  </r>
  <r>
    <s v="1586059610-11032"/>
    <s v="https://shop.officineitalianezard.it/en/products/"/>
    <m/>
    <s v="https://shop.officineitalianezard.it/en/honda-zard-exhaust/"/>
    <s v="CRF 450 M.Y. 13-14"/>
    <s v="https://shop.officineitalianezard.it/en/honda-crf-450-m-y-13-14-exhaust/"/>
    <s v="1&gt;2 VERSION"/>
    <x v="178"/>
    <s v="FULL KIT"/>
    <s v="ZHND360STKR"/>
    <s v="HONDA CRF 450 M.Y. 13-14"/>
    <n v="848.36"/>
    <n v="942.62"/>
    <s v="&lt;p&gt;1&amp;gt;2 STEEL-TITANIUM RACING FULL KIT WITH REMOVABLE DB KILLERS&lt;/p&gt;_x000a_&lt;p&gt;CARBON END-CAP&lt;/p&gt;_x000a_&lt;p&gt;HARD INCREASE, COMPARED TO THE ORIGINAL EXHAUST SYSTEM, IN TERMS OF TORQUE AND POWER AT ANY RANGE&lt;/p&gt;_x000a_&lt;p&gt;ASTONISHING SOUND&lt;/p&gt;"/>
    <s v="https://shop.officineitalianezard.it/contents/imgs/products/1_980-1.jpg"/>
    <m/>
    <m/>
  </r>
  <r>
    <s v="1586059610-11033"/>
    <s v="https://shop.officineitalianezard.it/en/products/"/>
    <m/>
    <s v="https://shop.officineitalianezard.it/en/honda-zard-exhaust/"/>
    <s v="CRF 450 M.Y. 13-14"/>
    <s v="https://shop.officineitalianezard.it/en/honda-crf-450-m-y-13-14-exhaust/"/>
    <s v="1&gt;2 VERSION"/>
    <x v="178"/>
    <s v="FULL KIT"/>
    <s v="ZHND360STKR"/>
    <s v="HONDA CRF 450 M.Y. 13-14"/>
    <n v="848.36"/>
    <n v="942.62"/>
    <s v="&lt;p&gt;1&amp;gt;2 STEEL-TITANIUM RACING FULL KIT WITH REMOVABLE DB KILLERS&lt;/p&gt;_x000a_&lt;p&gt;CARBON END-CAP&lt;/p&gt;_x000a_&lt;p&gt;HARD INCREASE, COMPARED TO THE ORIGINAL EXHAUST SYSTEM, IN TERMS OF TORQUE AND POWER AT ANY RANGE&lt;/p&gt;_x000a_&lt;p&gt;ASTONISHING SOUND&lt;/p&gt;"/>
    <s v="https://shop.officineitalianezard.it/contents/imgs/products/1_981-2.jpg"/>
    <m/>
    <m/>
  </r>
  <r>
    <s v="1586059610-11034"/>
    <s v="https://shop.officineitalianezard.it/en/products/"/>
    <m/>
    <s v="https://shop.officineitalianezard.it/en/honda-zard-exhaust/"/>
    <s v="CRF 450 M.Y. 13-14"/>
    <s v="https://shop.officineitalianezard.it/en/honda-crf-450-m-y-13-14-exhaust/"/>
    <s v="1&gt;2 VERSION"/>
    <x v="178"/>
    <s v="FULL KIT"/>
    <s v="ZHND360STKR"/>
    <s v="HONDA CRF 450 M.Y. 13-14"/>
    <n v="848.36"/>
    <n v="942.62"/>
    <s v="&lt;p&gt;1&amp;gt;2 STEEL-TITANIUM RACING FULL KIT WITH REMOVABLE DB KILLERS&lt;/p&gt;_x000a_&lt;p&gt;CARBON END-CAP&lt;/p&gt;_x000a_&lt;p&gt;HARD INCREASE, COMPARED TO THE ORIGINAL EXHAUST SYSTEM, IN TERMS OF TORQUE AND POWER AT ANY RANGE&lt;/p&gt;_x000a_&lt;p&gt;ASTONISHING SOUND&lt;/p&gt;"/>
    <s v="https://shop.officineitalianezard.it/contents/imgs/products/1_982-3.jpg"/>
    <m/>
    <m/>
  </r>
  <r>
    <s v="1586059610-11035"/>
    <s v="https://shop.officineitalianezard.it/en/products/"/>
    <m/>
    <s v="https://shop.officineitalianezard.it/en/honda-zard-exhaust/"/>
    <s v="CRF 450 M.Y. 13-14"/>
    <s v="https://shop.officineitalianezard.it/en/honda-crf-450-m-y-13-14-exhaust/"/>
    <s v="1&gt;2 VERSION"/>
    <x v="178"/>
    <s v="FULL KIT"/>
    <s v="ZHND360STKR"/>
    <s v="HONDA CRF 450 M.Y. 13-14"/>
    <n v="848.36"/>
    <n v="942.62"/>
    <s v="&lt;p&gt;1&amp;gt;2 STEEL-TITANIUM RACING FULL KIT WITH REMOVABLE DB KILLERS&lt;/p&gt;_x000a_&lt;p&gt;CARBON END-CAP&lt;/p&gt;_x000a_&lt;p&gt;HARD INCREASE, COMPARED TO THE ORIGINAL EXHAUST SYSTEM, IN TERMS OF TORQUE AND POWER AT ANY RANGE&lt;/p&gt;_x000a_&lt;p&gt;ASTONISHING SOUND&lt;/p&gt;"/>
    <m/>
    <s v="FULL TITANIUM"/>
    <n v="138.69"/>
  </r>
  <r>
    <s v="1586059615-11036"/>
    <s v="https://shop.officineitalianezard.it/en/products/"/>
    <m/>
    <s v="https://shop.officineitalianezard.it/en/honda-zard-exhaust/"/>
    <s v="CRF 250 M.Y. 14-16"/>
    <s v="https://shop.officineitalianezard.it/en/honda-crf-250-m-y-14-16-exhaust/"/>
    <s v="1&gt;2 VERSION"/>
    <x v="179"/>
    <s v="FULL KIT"/>
    <s v="ZHND362STKR"/>
    <s v="HONDA CRF 250 M.Y. 14-16"/>
    <n v="827.7"/>
    <n v="919.67"/>
    <s v="&lt;p&gt;1&amp;gt;2 STEEL-TITANIUM RACING FULL KIT WITH REMOVABLE DB KILLERS&lt;/p&gt;_x000a_&lt;p&gt;CARBON END-CAP&lt;/p&gt;_x000a_&lt;p&gt;ORIGINAL FULL KIT WEIGHT: 4,4 KG&lt;/p&gt;_x000a_&lt;p&gt;ZARD TITANIUM FULL KIT WEIGHT: 4,1 KG&lt;/p&gt;_x000a_&lt;p&gt;HARD INCREASE, COMPARED TO THE ORIGINAL EXHAUST SYSTEM, IN TERMS OF TORQUE AND POWER AT ANY RANGE&lt;/p&gt;_x000a_&lt;p&gt;ASTONISHING SOUND&lt;/p&gt;"/>
    <s v="https://shop.officineitalianezard.it/contents/imgs/products/1_1288-1.jpg"/>
    <m/>
    <m/>
  </r>
  <r>
    <s v="1586059615-11037"/>
    <s v="https://shop.officineitalianezard.it/en/products/"/>
    <m/>
    <s v="https://shop.officineitalianezard.it/en/honda-zard-exhaust/"/>
    <s v="CRF 250 M.Y. 14-16"/>
    <s v="https://shop.officineitalianezard.it/en/honda-crf-250-m-y-14-16-exhaust/"/>
    <s v="1&gt;2 VERSION"/>
    <x v="179"/>
    <s v="FULL KIT"/>
    <s v="ZHND362STKR"/>
    <s v="HONDA CRF 250 M.Y. 14-16"/>
    <n v="827.7"/>
    <n v="919.67"/>
    <s v="&lt;p&gt;1&amp;gt;2 STEEL-TITANIUM RACING FULL KIT WITH REMOVABLE DB KILLERS&lt;/p&gt;_x000a_&lt;p&gt;CARBON END-CAP&lt;/p&gt;_x000a_&lt;p&gt;ORIGINAL FULL KIT WEIGHT: 4,4 KG&lt;/p&gt;_x000a_&lt;p&gt;ZARD TITANIUM FULL KIT WEIGHT: 4,1 KG&lt;/p&gt;_x000a_&lt;p&gt;HARD INCREASE, COMPARED TO THE ORIGINAL EXHAUST SYSTEM, IN TERMS OF TORQUE AND POWER AT ANY RANGE&lt;/p&gt;_x000a_&lt;p&gt;ASTONISHING SOUND&lt;/p&gt;"/>
    <s v="https://shop.officineitalianezard.it/contents/imgs/products/1_1289-2.jpg"/>
    <m/>
    <m/>
  </r>
  <r>
    <s v="1586059615-11038"/>
    <s v="https://shop.officineitalianezard.it/en/products/"/>
    <m/>
    <s v="https://shop.officineitalianezard.it/en/honda-zard-exhaust/"/>
    <s v="CRF 250 M.Y. 14-16"/>
    <s v="https://shop.officineitalianezard.it/en/honda-crf-250-m-y-14-16-exhaust/"/>
    <s v="1&gt;2 VERSION"/>
    <x v="179"/>
    <s v="FULL KIT"/>
    <s v="ZHND362STKR"/>
    <s v="HONDA CRF 250 M.Y. 14-16"/>
    <n v="827.7"/>
    <n v="919.67"/>
    <s v="&lt;p&gt;1&amp;gt;2 STEEL-TITANIUM RACING FULL KIT WITH REMOVABLE DB KILLERS&lt;/p&gt;_x000a_&lt;p&gt;CARBON END-CAP&lt;/p&gt;_x000a_&lt;p&gt;ORIGINAL FULL KIT WEIGHT: 4,4 KG&lt;/p&gt;_x000a_&lt;p&gt;ZARD TITANIUM FULL KIT WEIGHT: 4,1 KG&lt;/p&gt;_x000a_&lt;p&gt;HARD INCREASE, COMPARED TO THE ORIGINAL EXHAUST SYSTEM, IN TERMS OF TORQUE AND POWER AT ANY RANGE&lt;/p&gt;_x000a_&lt;p&gt;ASTONISHING SOUND&lt;/p&gt;"/>
    <s v="https://shop.officineitalianezard.it/contents/imgs/products/1_1290-3.jpg"/>
    <m/>
    <m/>
  </r>
  <r>
    <s v="1586059615-11039"/>
    <s v="https://shop.officineitalianezard.it/en/products/"/>
    <m/>
    <s v="https://shop.officineitalianezard.it/en/honda-zard-exhaust/"/>
    <s v="CRF 250 M.Y. 14-16"/>
    <s v="https://shop.officineitalianezard.it/en/honda-crf-250-m-y-14-16-exhaust/"/>
    <s v="1&gt;2 VERSION"/>
    <x v="179"/>
    <s v="FULL KIT"/>
    <s v="ZHND362STKR"/>
    <s v="HONDA CRF 250 M.Y. 14-16"/>
    <n v="827.7"/>
    <n v="919.67"/>
    <s v="&lt;p&gt;1&amp;gt;2 STEEL-TITANIUM RACING FULL KIT WITH REMOVABLE DB KILLERS&lt;/p&gt;_x000a_&lt;p&gt;CARBON END-CAP&lt;/p&gt;_x000a_&lt;p&gt;ORIGINAL FULL KIT WEIGHT: 4,4 KG&lt;/p&gt;_x000a_&lt;p&gt;ZARD TITANIUM FULL KIT WEIGHT: 4,1 KG&lt;/p&gt;_x000a_&lt;p&gt;HARD INCREASE, COMPARED TO THE ORIGINAL EXHAUST SYSTEM, IN TERMS OF TORQUE AND POWER AT ANY RANGE&lt;/p&gt;_x000a_&lt;p&gt;ASTONISHING SOUND&lt;/p&gt;"/>
    <m/>
    <s v="FULL TITANIUM"/>
    <n v="126.15"/>
  </r>
  <r>
    <s v="1586059620-11040"/>
    <s v="https://shop.officineitalianezard.it/en/products/"/>
    <m/>
    <s v="https://shop.officineitalianezard.it/en/honda-zard-exhaust/"/>
    <s v="CRF 450R M.Y. 17-18"/>
    <s v="https://shop.officineitalianezard.it/en/honda-crf-450r-m-y-17-18-exhaust/"/>
    <s v="1&gt;2 VERSION"/>
    <x v="180"/>
    <s v="FULL KIT"/>
    <s v="ZHND361SKR"/>
    <s v="HONDA CRF 450 M.Y. 17-18"/>
    <n v="886.72"/>
    <n v="985.25"/>
    <s v="&lt;p&gt;ZARD PRESENTS THE NEW HONDA CRF 450R EXHAUST.&lt;/p&gt;_x000a_&lt;p&gt;TESTED AND DEVELOPED IN INTERNATIONAL TRACKS IN COLLABORATION WITH HONDA GAZZA RACING TEAM,&lt;br&gt;ONE OF THE MAIN TEAM IN MOTARD AND CROSS FIELD.&lt;/p&gt;_x000a_&lt;p&gt;THE CONSTRUCTION FEATURES PROVIDE STRONG IMPROVEMENT IN MEDIUM SPEED&lt;br&gt;WITH AN EXCITING INCREASE OF MAXIMUM POWER WITHOUT PENALIZING THE PERFORMANCE AT LOW SPEED.&lt;/p&gt;_x000a_&lt;p&gt;AVAILABLE IN STAINLESS STEEL WITH CARBON ENDCAP WITH AN EXCLUSIVE LOOK.&lt;/p&gt;_x000a_&lt;p&gt;ZARD FULL KIT IS EQUIPPED WITH REMOVABLE DB KILLERS AND RESPECTS THE FMI SOUND LEVEL CONTROL.&lt;/p&gt;"/>
    <s v="https://shop.officineitalianezard.it/contents/imgs/products/1_2349-scarico%20honda%20crf%20450%20motard%20-%20zard%20exhaust.jpg"/>
    <m/>
    <m/>
  </r>
  <r>
    <s v="1586059620-11041"/>
    <s v="https://shop.officineitalianezard.it/en/products/"/>
    <m/>
    <s v="https://shop.officineitalianezard.it/en/honda-zard-exhaust/"/>
    <s v="CRF 450R M.Y. 17-18"/>
    <s v="https://shop.officineitalianezard.it/en/honda-crf-450r-m-y-17-18-exhaust/"/>
    <s v="1&gt;2 VERSION"/>
    <x v="180"/>
    <s v="FULL KIT"/>
    <s v="ZHND361SKR"/>
    <s v="HONDA CRF 450 M.Y. 17-18"/>
    <n v="886.72"/>
    <n v="985.25"/>
    <s v="&lt;p&gt;ZARD PRESENTS THE NEW HONDA CRF 450R EXHAUST.&lt;/p&gt;_x000a_&lt;p&gt;TESTED AND DEVELOPED IN INTERNATIONAL TRACKS IN COLLABORATION WITH HONDA GAZZA RACING TEAM,&lt;br&gt;ONE OF THE MAIN TEAM IN MOTARD AND CROSS FIELD.&lt;/p&gt;_x000a_&lt;p&gt;THE CONSTRUCTION FEATURES PROVIDE STRONG IMPROVEMENT IN MEDIUM SPEED&lt;br&gt;WITH AN EXCITING INCREASE OF MAXIMUM POWER WITHOUT PENALIZING THE PERFORMANCE AT LOW SPEED.&lt;/p&gt;_x000a_&lt;p&gt;AVAILABLE IN STAINLESS STEEL WITH CARBON ENDCAP WITH AN EXCLUSIVE LOOK.&lt;/p&gt;_x000a_&lt;p&gt;ZARD FULL KIT IS EQUIPPED WITH REMOVABLE DB KILLERS AND RESPECTS THE FMI SOUND LEVEL CONTROL.&lt;/p&gt;"/>
    <s v="https://shop.officineitalianezard.it/contents/imgs/products/1_2352-scarichi%20honda%20crf%20450%202017.jpg"/>
    <m/>
    <m/>
  </r>
  <r>
    <s v="1586059620-11042"/>
    <s v="https://shop.officineitalianezard.it/en/products/"/>
    <m/>
    <s v="https://shop.officineitalianezard.it/en/honda-zard-exhaust/"/>
    <s v="CRF 450R M.Y. 17-18"/>
    <s v="https://shop.officineitalianezard.it/en/honda-crf-450r-m-y-17-18-exhaust/"/>
    <s v="1&gt;2 VERSION"/>
    <x v="180"/>
    <s v="FULL KIT"/>
    <s v="ZHND361SKR"/>
    <s v="HONDA CRF 450 M.Y. 17-18"/>
    <n v="886.72"/>
    <n v="985.25"/>
    <s v="&lt;p&gt;ZARD PRESENTS THE NEW HONDA CRF 450R EXHAUST.&lt;/p&gt;_x000a_&lt;p&gt;TESTED AND DEVELOPED IN INTERNATIONAL TRACKS IN COLLABORATION WITH HONDA GAZZA RACING TEAM,&lt;br&gt;ONE OF THE MAIN TEAM IN MOTARD AND CROSS FIELD.&lt;/p&gt;_x000a_&lt;p&gt;THE CONSTRUCTION FEATURES PROVIDE STRONG IMPROVEMENT IN MEDIUM SPEED&lt;br&gt;WITH AN EXCITING INCREASE OF MAXIMUM POWER WITHOUT PENALIZING THE PERFORMANCE AT LOW SPEED.&lt;/p&gt;_x000a_&lt;p&gt;AVAILABLE IN STAINLESS STEEL WITH CARBON ENDCAP WITH AN EXCLUSIVE LOOK.&lt;/p&gt;_x000a_&lt;p&gt;ZARD FULL KIT IS EQUIPPED WITH REMOVABLE DB KILLERS AND RESPECTS THE FMI SOUND LEVEL CONTROL.&lt;/p&gt;"/>
    <s v="https://shop.officineitalianezard.it/contents/imgs/products/1_2351-crf%20450%20exhaust%20-%20zard.jpg"/>
    <m/>
    <m/>
  </r>
  <r>
    <s v="1586059620-11043"/>
    <s v="https://shop.officineitalianezard.it/en/products/"/>
    <m/>
    <s v="https://shop.officineitalianezard.it/en/honda-zard-exhaust/"/>
    <s v="CRF 450R M.Y. 17-18"/>
    <s v="https://shop.officineitalianezard.it/en/honda-crf-450r-m-y-17-18-exhaust/"/>
    <s v="1&gt;2 VERSION"/>
    <x v="180"/>
    <s v="FULL KIT"/>
    <s v="ZHND361SKR"/>
    <s v="HONDA CRF 450 M.Y. 17-18"/>
    <n v="886.72"/>
    <n v="985.25"/>
    <s v="&lt;p&gt;ZARD PRESENTS THE NEW HONDA CRF 450R EXHAUST.&lt;/p&gt;_x000a_&lt;p&gt;TESTED AND DEVELOPED IN INTERNATIONAL TRACKS IN COLLABORATION WITH HONDA GAZZA RACING TEAM,&lt;br&gt;ONE OF THE MAIN TEAM IN MOTARD AND CROSS FIELD.&lt;/p&gt;_x000a_&lt;p&gt;THE CONSTRUCTION FEATURES PROVIDE STRONG IMPROVEMENT IN MEDIUM SPEED&lt;br&gt;WITH AN EXCITING INCREASE OF MAXIMUM POWER WITHOUT PENALIZING THE PERFORMANCE AT LOW SPEED.&lt;/p&gt;_x000a_&lt;p&gt;AVAILABLE IN STAINLESS STEEL WITH CARBON ENDCAP WITH AN EXCLUSIVE LOOK.&lt;/p&gt;_x000a_&lt;p&gt;ZARD FULL KIT IS EQUIPPED WITH REMOVABLE DB KILLERS AND RESPECTS THE FMI SOUND LEVEL CONTROL.&lt;/p&gt;"/>
    <s v="https://shop.officineitalianezard.it/contents/imgs/products/1_2350-terminali%20honda%20crf%20450%20-%20zard.jpg"/>
    <m/>
    <m/>
  </r>
  <r>
    <s v="1586059620-11044"/>
    <s v="https://shop.officineitalianezard.it/en/products/"/>
    <m/>
    <s v="https://shop.officineitalianezard.it/en/honda-zard-exhaust/"/>
    <s v="CRF 450R M.Y. 17-18"/>
    <s v="https://shop.officineitalianezard.it/en/honda-crf-450r-m-y-17-18-exhaust/"/>
    <s v="1&gt;2 VERSION"/>
    <x v="180"/>
    <s v="FULL KIT"/>
    <s v="ZHND361SKR"/>
    <s v="HONDA CRF 450 M.Y. 17-18"/>
    <n v="886.72"/>
    <n v="985.25"/>
    <s v="&lt;p&gt;ZARD PRESENTS THE NEW HONDA CRF 450R EXHAUST.&lt;/p&gt;_x000a_&lt;p&gt;TESTED AND DEVELOPED IN INTERNATIONAL TRACKS IN COLLABORATION WITH HONDA GAZZA RACING TEAM,&lt;br&gt;ONE OF THE MAIN TEAM IN MOTARD AND CROSS FIELD.&lt;/p&gt;_x000a_&lt;p&gt;THE CONSTRUCTION FEATURES PROVIDE STRONG IMPROVEMENT IN MEDIUM SPEED&lt;br&gt;WITH AN EXCITING INCREASE OF MAXIMUM POWER WITHOUT PENALIZING THE PERFORMANCE AT LOW SPEED.&lt;/p&gt;_x000a_&lt;p&gt;AVAILABLE IN STAINLESS STEEL WITH CARBON ENDCAP WITH AN EXCLUSIVE LOOK.&lt;/p&gt;_x000a_&lt;p&gt;ZARD FULL KIT IS EQUIPPED WITH REMOVABLE DB KILLERS AND RESPECTS THE FMI SOUND LEVEL CONTROL.&lt;/p&gt;"/>
    <s v="https://shop.officineitalianezard.it/contents/imgs/products/1_2356-curva%20crf450.jpg"/>
    <m/>
    <m/>
  </r>
  <r>
    <s v="1586059626-11045"/>
    <s v="https://shop.officineitalianezard.it/en/products/"/>
    <m/>
    <s v="https://shop.officineitalianezard.it/en/honda-zard-exhaust/"/>
    <s v="CB 1000 R 2018-2019"/>
    <s v="https://shop.officineitalianezard.it/en/honda-cb-1000-r-2018-2019-exhaust/"/>
    <s v="SLIP-ON VERSION"/>
    <x v="181"/>
    <s v="SILENCER"/>
    <s v="ZHND368STR-FC"/>
    <s v="HONDA CB 1000 R"/>
    <n v="508.28"/>
    <n v="564.75"/>
    <s v="&lt;p&gt;STEEL RACING SILENCER WITH TITANIUM SLEEVE.&lt;br&gt;REMOVABLE DB-KILLER.&lt;br&gt;HOMOLOGATED VERSION AVAILABLE AS OPTIONAL.&lt;/p&gt;_x000a_&lt;p&gt;CARBON END-CAP AND HEAT-SHIELD INCLUDED.&lt;br&gt;&lt;br&gt;ORIGINAL SILENCER WEIGHT: 4,3&lt;span&gt;&amp;nbsp;&lt;/span&gt;KG&lt;br&gt;&lt;span&gt;ZARD&amp;nbsp;SILENCER WEIGHT&lt;/span&gt;&lt;span&gt;:&lt;/span&gt;&amp;nbsp;2,5&lt;span&gt;&amp;nbsp;&lt;/span&gt;KG&lt;/p&gt;_x000a_&lt;p&gt;THE INSTALLATION OF ZARD EXHAUST DOES NOT&lt;br&gt;IMPLY ANY MODIFICATION TO ECU. THE BOX INCLUDES ALL PARTS&lt;br&gt;FOR THE FITMENT OF ZARD EXHAUST.&lt;br&gt;HARD INCREASE, COMPARED TO THE ORIGINAL EXHAUST SYSTEM.&lt;/p&gt;_x000a_&lt;p&gt;ASTONISHING SOUND.&lt;/p&gt;"/>
    <s v="https://shop.officineitalianezard.it/contents/imgs/products/1_2478-scarico%20honda%20cb%201000%20-%20zard%20black.jpg"/>
    <m/>
    <m/>
  </r>
  <r>
    <s v="1586059626-11046"/>
    <s v="https://shop.officineitalianezard.it/en/products/"/>
    <m/>
    <s v="https://shop.officineitalianezard.it/en/honda-zard-exhaust/"/>
    <s v="CB 1000 R 2018-2019"/>
    <s v="https://shop.officineitalianezard.it/en/honda-cb-1000-r-2018-2019-exhaust/"/>
    <s v="SLIP-ON VERSION"/>
    <x v="181"/>
    <s v="SILENCER"/>
    <s v="ZHND368STR-FC"/>
    <s v="HONDA CB 1000 R"/>
    <n v="508.28"/>
    <n v="564.75"/>
    <s v="&lt;p&gt;STEEL RACING SILENCER WITH TITANIUM SLEEVE.&lt;br&gt;REMOVABLE DB-KILLER.&lt;br&gt;HOMOLOGATED VERSION AVAILABLE AS OPTIONAL.&lt;/p&gt;_x000a_&lt;p&gt;CARBON END-CAP AND HEAT-SHIELD INCLUDED.&lt;br&gt;&lt;br&gt;ORIGINAL SILENCER WEIGHT: 4,3&lt;span&gt;&amp;nbsp;&lt;/span&gt;KG&lt;br&gt;&lt;span&gt;ZARD&amp;nbsp;SILENCER WEIGHT&lt;/span&gt;&lt;span&gt;:&lt;/span&gt;&amp;nbsp;2,5&lt;span&gt;&amp;nbsp;&lt;/span&gt;KG&lt;/p&gt;_x000a_&lt;p&gt;THE INSTALLATION OF ZARD EXHAUST DOES NOT&lt;br&gt;IMPLY ANY MODIFICATION TO ECU. THE BOX INCLUDES ALL PARTS&lt;br&gt;FOR THE FITMENT OF ZARD EXHAUST.&lt;br&gt;HARD INCREASE, COMPARED TO THE ORIGINAL EXHAUST SYSTEM.&lt;/p&gt;_x000a_&lt;p&gt;ASTONISHING SOUND.&lt;/p&gt;"/>
    <s v="https://shop.officineitalianezard.it/contents/imgs/products/1_2464-scarico%20honda%20cb%201000%20r%20-%20zard%201.jpg"/>
    <m/>
    <m/>
  </r>
  <r>
    <s v="1586059626-11047"/>
    <s v="https://shop.officineitalianezard.it/en/products/"/>
    <m/>
    <s v="https://shop.officineitalianezard.it/en/honda-zard-exhaust/"/>
    <s v="CB 1000 R 2018-2019"/>
    <s v="https://shop.officineitalianezard.it/en/honda-cb-1000-r-2018-2019-exhaust/"/>
    <s v="SLIP-ON VERSION"/>
    <x v="181"/>
    <s v="SILENCER"/>
    <s v="ZHND368STR-FC"/>
    <s v="HONDA CB 1000 R"/>
    <n v="508.28"/>
    <n v="564.75"/>
    <s v="&lt;p&gt;STEEL RACING SILENCER WITH TITANIUM SLEEVE.&lt;br&gt;REMOVABLE DB-KILLER.&lt;br&gt;HOMOLOGATED VERSION AVAILABLE AS OPTIONAL.&lt;/p&gt;_x000a_&lt;p&gt;CARBON END-CAP AND HEAT-SHIELD INCLUDED.&lt;br&gt;&lt;br&gt;ORIGINAL SILENCER WEIGHT: 4,3&lt;span&gt;&amp;nbsp;&lt;/span&gt;KG&lt;br&gt;&lt;span&gt;ZARD&amp;nbsp;SILENCER WEIGHT&lt;/span&gt;&lt;span&gt;:&lt;/span&gt;&amp;nbsp;2,5&lt;span&gt;&amp;nbsp;&lt;/span&gt;KG&lt;/p&gt;_x000a_&lt;p&gt;THE INSTALLATION OF ZARD EXHAUST DOES NOT&lt;br&gt;IMPLY ANY MODIFICATION TO ECU. THE BOX INCLUDES ALL PARTS&lt;br&gt;FOR THE FITMENT OF ZARD EXHAUST.&lt;br&gt;HARD INCREASE, COMPARED TO THE ORIGINAL EXHAUST SYSTEM.&lt;/p&gt;_x000a_&lt;p&gt;ASTONISHING SOUND.&lt;/p&gt;"/>
    <s v="https://shop.officineitalianezard.it/contents/imgs/products/1_2465-scarico%20honda%20cb%201000%20r%20-%20zard%202.jpg"/>
    <m/>
    <m/>
  </r>
  <r>
    <s v="1586059626-11048"/>
    <s v="https://shop.officineitalianezard.it/en/products/"/>
    <m/>
    <s v="https://shop.officineitalianezard.it/en/honda-zard-exhaust/"/>
    <s v="CB 1000 R 2018-2019"/>
    <s v="https://shop.officineitalianezard.it/en/honda-cb-1000-r-2018-2019-exhaust/"/>
    <s v="SLIP-ON VERSION"/>
    <x v="181"/>
    <s v="SILENCER"/>
    <s v="ZHND368STR-FC"/>
    <s v="HONDA CB 1000 R"/>
    <n v="508.28"/>
    <n v="564.75"/>
    <s v="&lt;p&gt;STEEL RACING SILENCER WITH TITANIUM SLEEVE.&lt;br&gt;REMOVABLE DB-KILLER.&lt;br&gt;HOMOLOGATED VERSION AVAILABLE AS OPTIONAL.&lt;/p&gt;_x000a_&lt;p&gt;CARBON END-CAP AND HEAT-SHIELD INCLUDED.&lt;br&gt;&lt;br&gt;ORIGINAL SILENCER WEIGHT: 4,3&lt;span&gt;&amp;nbsp;&lt;/span&gt;KG&lt;br&gt;&lt;span&gt;ZARD&amp;nbsp;SILENCER WEIGHT&lt;/span&gt;&lt;span&gt;:&lt;/span&gt;&amp;nbsp;2,5&lt;span&gt;&amp;nbsp;&lt;/span&gt;KG&lt;/p&gt;_x000a_&lt;p&gt;THE INSTALLATION OF ZARD EXHAUST DOES NOT&lt;br&gt;IMPLY ANY MODIFICATION TO ECU. THE BOX INCLUDES ALL PARTS&lt;br&gt;FOR THE FITMENT OF ZARD EXHAUST.&lt;br&gt;HARD INCREASE, COMPARED TO THE ORIGINAL EXHAUST SYSTEM.&lt;/p&gt;_x000a_&lt;p&gt;ASTONISHING SOUND.&lt;/p&gt;"/>
    <s v="https://shop.officineitalianezard.it/contents/imgs/products/1_2466-scarico%20honda%20cb%201000%20r%20-%20zard%203.jpg"/>
    <m/>
    <m/>
  </r>
  <r>
    <s v="1586059626-11049"/>
    <s v="https://shop.officineitalianezard.it/en/products/"/>
    <m/>
    <s v="https://shop.officineitalianezard.it/en/honda-zard-exhaust/"/>
    <s v="CB 1000 R 2018-2019"/>
    <s v="https://shop.officineitalianezard.it/en/honda-cb-1000-r-2018-2019-exhaust/"/>
    <s v="SLIP-ON VERSION"/>
    <x v="181"/>
    <s v="SILENCER"/>
    <s v="ZHND368STR-FC"/>
    <s v="HONDA CB 1000 R"/>
    <n v="508.28"/>
    <n v="564.75"/>
    <s v="&lt;p&gt;STEEL RACING SILENCER WITH TITANIUM SLEEVE.&lt;br&gt;REMOVABLE DB-KILLER.&lt;br&gt;HOMOLOGATED VERSION AVAILABLE AS OPTIONAL.&lt;/p&gt;_x000a_&lt;p&gt;CARBON END-CAP AND HEAT-SHIELD INCLUDED.&lt;br&gt;&lt;br&gt;ORIGINAL SILENCER WEIGHT: 4,3&lt;span&gt;&amp;nbsp;&lt;/span&gt;KG&lt;br&gt;&lt;span&gt;ZARD&amp;nbsp;SILENCER WEIGHT&lt;/span&gt;&lt;span&gt;:&lt;/span&gt;&amp;nbsp;2,5&lt;span&gt;&amp;nbsp;&lt;/span&gt;KG&lt;/p&gt;_x000a_&lt;p&gt;THE INSTALLATION OF ZARD EXHAUST DOES NOT&lt;br&gt;IMPLY ANY MODIFICATION TO ECU. THE BOX INCLUDES ALL PARTS&lt;br&gt;FOR THE FITMENT OF ZARD EXHAUST.&lt;br&gt;HARD INCREASE, COMPARED TO THE ORIGINAL EXHAUST SYSTEM.&lt;/p&gt;_x000a_&lt;p&gt;ASTONISHING SOUND.&lt;/p&gt;"/>
    <m/>
    <s v="EURO 4 HOMOLOGATED WITH TITANIUM SLEEVE"/>
    <n v="22.87"/>
  </r>
  <r>
    <s v="1586059626-11050"/>
    <s v="https://shop.officineitalianezard.it/en/products/"/>
    <m/>
    <s v="https://shop.officineitalianezard.it/en/honda-zard-exhaust/"/>
    <s v="CB 1000 R 2018-2019"/>
    <s v="https://shop.officineitalianezard.it/en/honda-cb-1000-r-2018-2019-exhaust/"/>
    <s v="SLIP-ON VERSION"/>
    <x v="181"/>
    <s v="SILENCER"/>
    <s v="ZHND368STR-FC"/>
    <s v="HONDA CB 1000 R"/>
    <n v="508.28"/>
    <n v="564.75"/>
    <s v="&lt;p&gt;STEEL RACING SILENCER WITH TITANIUM SLEEVE.&lt;br&gt;REMOVABLE DB-KILLER.&lt;br&gt;HOMOLOGATED VERSION AVAILABLE AS OPTIONAL.&lt;/p&gt;_x000a_&lt;p&gt;CARBON END-CAP AND HEAT-SHIELD INCLUDED.&lt;br&gt;&lt;br&gt;ORIGINAL SILENCER WEIGHT: 4,3&lt;span&gt;&amp;nbsp;&lt;/span&gt;KG&lt;br&gt;&lt;span&gt;ZARD&amp;nbsp;SILENCER WEIGHT&lt;/span&gt;&lt;span&gt;:&lt;/span&gt;&amp;nbsp;2,5&lt;span&gt;&amp;nbsp;&lt;/span&gt;KG&lt;/p&gt;_x000a_&lt;p&gt;THE INSTALLATION OF ZARD EXHAUST DOES NOT&lt;br&gt;IMPLY ANY MODIFICATION TO ECU. THE BOX INCLUDES ALL PARTS&lt;br&gt;FOR THE FITMENT OF ZARD EXHAUST.&lt;br&gt;HARD INCREASE, COMPARED TO THE ORIGINAL EXHAUST SYSTEM.&lt;/p&gt;_x000a_&lt;p&gt;ASTONISHING SOUND.&lt;/p&gt;"/>
    <m/>
    <s v="BLACK COATING"/>
    <n v="73.77"/>
  </r>
  <r>
    <s v="1586059631-11051"/>
    <s v="https://shop.officineitalianezard.it/en/products/"/>
    <m/>
    <s v="https://shop.officineitalianezard.it/en/honda-zard-exhaust/"/>
    <s v="AFRICA TWIN 2016/19"/>
    <s v="https://shop.officineitalianezard.it/en/honda-africa-twin-m-y-2016-exhaust/"/>
    <s v="STEEL-CARBON VERSION"/>
    <x v="182"/>
    <s v="SILENCER"/>
    <s v="ZHND366SSR-FC"/>
    <s v="AFRICA TWIN 2016/19"/>
    <n v="507.54"/>
    <n v="563.92999999999995"/>
    <s v="&lt;p&gt;STEEL-CARBON RACING SILENCER&amp;nbsp;WITH REMOVABLE DB KILLER.&lt;/p&gt;_x000a_&lt;p&gt;&lt;span&gt;THE BOX INCLUDES ALL PARTS FOR THE FITMENT OF ZARD EXHAUST.&lt;/span&gt;&lt;/p&gt;_x000a_&lt;p&gt;HARD INCREASE, COMPARED TO THE ORIGINAL EXHAUST SYSTEM, IN TERMS OF TORQUE AND POWER AT ANY RANGE.&lt;/p&gt;_x000a_&lt;p&gt;ASTONISHING SOUND,&amp;nbsp;EXCLUSIVE DESIGN.&lt;/p&gt;"/>
    <s v="https://shop.officineitalianezard.it/contents/imgs/products/1_1572-1.jpg"/>
    <m/>
    <m/>
  </r>
  <r>
    <s v="1586059631-11052"/>
    <s v="https://shop.officineitalianezard.it/en/products/"/>
    <m/>
    <s v="https://shop.officineitalianezard.it/en/honda-zard-exhaust/"/>
    <s v="AFRICA TWIN 2016/19"/>
    <s v="https://shop.officineitalianezard.it/en/honda-africa-twin-m-y-2016-exhaust/"/>
    <s v="STEEL-CARBON VERSION"/>
    <x v="182"/>
    <s v="SILENCER"/>
    <s v="ZHND366SSR-FC"/>
    <s v="AFRICA TWIN 2016/19"/>
    <n v="507.54"/>
    <n v="563.92999999999995"/>
    <s v="&lt;p&gt;STEEL-CARBON RACING SILENCER&amp;nbsp;WITH REMOVABLE DB KILLER.&lt;/p&gt;_x000a_&lt;p&gt;&lt;span&gt;THE BOX INCLUDES ALL PARTS FOR THE FITMENT OF ZARD EXHAUST.&lt;/span&gt;&lt;/p&gt;_x000a_&lt;p&gt;HARD INCREASE, COMPARED TO THE ORIGINAL EXHAUST SYSTEM, IN TERMS OF TORQUE AND POWER AT ANY RANGE.&lt;/p&gt;_x000a_&lt;p&gt;ASTONISHING SOUND,&amp;nbsp;EXCLUSIVE DESIGN.&lt;/p&gt;"/>
    <s v="https://shop.officineitalianezard.it/contents/imgs/products/1_1573-2.jpg"/>
    <m/>
    <m/>
  </r>
  <r>
    <s v="1586059631-11053"/>
    <s v="https://shop.officineitalianezard.it/en/products/"/>
    <m/>
    <s v="https://shop.officineitalianezard.it/en/honda-zard-exhaust/"/>
    <s v="AFRICA TWIN 2016/19"/>
    <s v="https://shop.officineitalianezard.it/en/honda-africa-twin-m-y-2016-exhaust/"/>
    <s v="STEEL-CARBON VERSION"/>
    <x v="182"/>
    <s v="SILENCER"/>
    <s v="ZHND366SSR-FC"/>
    <s v="AFRICA TWIN 2016/19"/>
    <n v="507.54"/>
    <n v="563.92999999999995"/>
    <s v="&lt;p&gt;STEEL-CARBON RACING SILENCER&amp;nbsp;WITH REMOVABLE DB KILLER.&lt;/p&gt;_x000a_&lt;p&gt;&lt;span&gt;THE BOX INCLUDES ALL PARTS FOR THE FITMENT OF ZARD EXHAUST.&lt;/span&gt;&lt;/p&gt;_x000a_&lt;p&gt;HARD INCREASE, COMPARED TO THE ORIGINAL EXHAUST SYSTEM, IN TERMS OF TORQUE AND POWER AT ANY RANGE.&lt;/p&gt;_x000a_&lt;p&gt;ASTONISHING SOUND,&amp;nbsp;EXCLUSIVE DESIGN.&lt;/p&gt;"/>
    <s v="https://shop.officineitalianezard.it/contents/imgs/products/1_1574-3.jpg"/>
    <m/>
    <m/>
  </r>
  <r>
    <s v="1586059631-11054"/>
    <s v="https://shop.officineitalianezard.it/en/products/"/>
    <m/>
    <s v="https://shop.officineitalianezard.it/en/honda-zard-exhaust/"/>
    <s v="AFRICA TWIN 2016/19"/>
    <s v="https://shop.officineitalianezard.it/en/honda-africa-twin-m-y-2016-exhaust/"/>
    <s v="STEEL-CARBON VERSION"/>
    <x v="182"/>
    <s v="SILENCER"/>
    <s v="ZHND366SSR-FC"/>
    <s v="AFRICA TWIN 2016/19"/>
    <n v="507.54"/>
    <n v="563.92999999999995"/>
    <s v="&lt;p&gt;STEEL-CARBON RACING SILENCER&amp;nbsp;WITH REMOVABLE DB KILLER.&lt;/p&gt;_x000a_&lt;p&gt;&lt;span&gt;THE BOX INCLUDES ALL PARTS FOR THE FITMENT OF ZARD EXHAUST.&lt;/span&gt;&lt;/p&gt;_x000a_&lt;p&gt;HARD INCREASE, COMPARED TO THE ORIGINAL EXHAUST SYSTEM, IN TERMS OF TORQUE AND POWER AT ANY RANGE.&lt;/p&gt;_x000a_&lt;p&gt;ASTONISHING SOUND,&amp;nbsp;EXCLUSIVE DESIGN.&lt;/p&gt;"/>
    <s v="https://shop.officineitalianezard.it/contents/imgs/products/1_2280-Africa%20Twin%20Zard%20slip%20on.jpg"/>
    <m/>
    <m/>
  </r>
  <r>
    <s v="1586059631-11055"/>
    <s v="https://shop.officineitalianezard.it/en/products/"/>
    <m/>
    <s v="https://shop.officineitalianezard.it/en/honda-zard-exhaust/"/>
    <s v="AFRICA TWIN 2016/19"/>
    <s v="https://shop.officineitalianezard.it/en/honda-africa-twin-m-y-2016-exhaust/"/>
    <s v="STEEL-CARBON VERSION"/>
    <x v="182"/>
    <s v="SILENCER"/>
    <s v="ZHND366SSR-FC"/>
    <s v="AFRICA TWIN 2016/19"/>
    <n v="507.54"/>
    <n v="563.92999999999995"/>
    <s v="&lt;p&gt;STEEL-CARBON RACING SILENCER&amp;nbsp;WITH REMOVABLE DB KILLER.&lt;/p&gt;_x000a_&lt;p&gt;&lt;span&gt;THE BOX INCLUDES ALL PARTS FOR THE FITMENT OF ZARD EXHAUST.&lt;/span&gt;&lt;/p&gt;_x000a_&lt;p&gt;HARD INCREASE, COMPARED TO THE ORIGINAL EXHAUST SYSTEM, IN TERMS OF TORQUE AND POWER AT ANY RANGE.&lt;/p&gt;_x000a_&lt;p&gt;ASTONISHING SOUND,&amp;nbsp;EXCLUSIVE DESIGN.&lt;/p&gt;"/>
    <m/>
    <s v="TITANIUM-CARBON RACING"/>
    <n v="99.59"/>
  </r>
  <r>
    <s v="1586059631-11056"/>
    <s v="https://shop.officineitalianezard.it/en/products/"/>
    <m/>
    <s v="https://shop.officineitalianezard.it/en/honda-zard-exhaust/"/>
    <s v="AFRICA TWIN 2016/19"/>
    <s v="https://shop.officineitalianezard.it/en/honda-africa-twin-m-y-2016-exhaust/"/>
    <s v="STEEL-CARBON VERSION"/>
    <x v="182"/>
    <s v="SILENCER"/>
    <s v="ZHND366SSR-FC"/>
    <s v="AFRICA TWIN 2016/19"/>
    <n v="507.54"/>
    <n v="563.92999999999995"/>
    <s v="&lt;p&gt;STEEL-CARBON RACING SILENCER&amp;nbsp;WITH REMOVABLE DB KILLER.&lt;/p&gt;_x000a_&lt;p&gt;&lt;span&gt;THE BOX INCLUDES ALL PARTS FOR THE FITMENT OF ZARD EXHAUST.&lt;/span&gt;&lt;/p&gt;_x000a_&lt;p&gt;HARD INCREASE, COMPARED TO THE ORIGINAL EXHAUST SYSTEM, IN TERMS OF TORQUE AND POWER AT ANY RANGE.&lt;/p&gt;_x000a_&lt;p&gt;ASTONISHING SOUND,&amp;nbsp;EXCLUSIVE DESIGN.&lt;/p&gt;"/>
    <m/>
    <s v="CARBON RACING"/>
    <n v="122.46"/>
  </r>
  <r>
    <s v="1586059631-11057"/>
    <s v="https://shop.officineitalianezard.it/en/products/"/>
    <m/>
    <s v="https://shop.officineitalianezard.it/en/honda-zard-exhaust/"/>
    <s v="AFRICA TWIN 2016/19"/>
    <s v="https://shop.officineitalianezard.it/en/honda-africa-twin-m-y-2016-exhaust/"/>
    <s v="STEEL-CARBON VERSION"/>
    <x v="182"/>
    <s v="SILENCER"/>
    <s v="ZHND366SSR-FC"/>
    <s v="AFRICA TWIN 2016/19"/>
    <n v="507.54"/>
    <n v="563.92999999999995"/>
    <s v="&lt;p&gt;STEEL-CARBON RACING SILENCER&amp;nbsp;WITH REMOVABLE DB KILLER.&lt;/p&gt;_x000a_&lt;p&gt;&lt;span&gt;THE BOX INCLUDES ALL PARTS FOR THE FITMENT OF ZARD EXHAUST.&lt;/span&gt;&lt;/p&gt;_x000a_&lt;p&gt;HARD INCREASE, COMPARED TO THE ORIGINAL EXHAUST SYSTEM, IN TERMS OF TORQUE AND POWER AT ANY RANGE.&lt;/p&gt;_x000a_&lt;p&gt;ASTONISHING SOUND,&amp;nbsp;EXCLUSIVE DESIGN.&lt;/p&gt;"/>
    <m/>
    <s v="STEEL-CARBON EURO 4 HOMOLOGATED"/>
    <n v="18.440000000000001"/>
  </r>
  <r>
    <s v="1586059631-11058"/>
    <s v="https://shop.officineitalianezard.it/en/products/"/>
    <m/>
    <s v="https://shop.officineitalianezard.it/en/honda-zard-exhaust/"/>
    <s v="AFRICA TWIN 2016/19"/>
    <s v="https://shop.officineitalianezard.it/en/honda-africa-twin-m-y-2016-exhaust/"/>
    <s v="STEEL-CARBON VERSION"/>
    <x v="182"/>
    <s v="SILENCER"/>
    <s v="ZHND366SSR-FC"/>
    <s v="AFRICA TWIN 2016/19"/>
    <n v="507.54"/>
    <n v="563.92999999999995"/>
    <s v="&lt;p&gt;STEEL-CARBON RACING SILENCER&amp;nbsp;WITH REMOVABLE DB KILLER.&lt;/p&gt;_x000a_&lt;p&gt;&lt;span&gt;THE BOX INCLUDES ALL PARTS FOR THE FITMENT OF ZARD EXHAUST.&lt;/span&gt;&lt;/p&gt;_x000a_&lt;p&gt;HARD INCREASE, COMPARED TO THE ORIGINAL EXHAUST SYSTEM, IN TERMS OF TORQUE AND POWER AT ANY RANGE.&lt;/p&gt;_x000a_&lt;p&gt;ASTONISHING SOUND,&amp;nbsp;EXCLUSIVE DESIGN.&lt;/p&gt;"/>
    <m/>
    <s v="TITANIUM-CARBON EURO 4 HOMOLOGATED"/>
    <n v="118.03"/>
  </r>
  <r>
    <s v="1586059636-11059"/>
    <s v="https://shop.officineitalianezard.it/en/products/"/>
    <m/>
    <s v="https://shop.officineitalianezard.it/en/honda-zard-exhaust/"/>
    <s v="AFRICA TWIN 2016/19"/>
    <s v="https://shop.officineitalianezard.it/en/honda-africa-twin-m-y-2016-exhaust/"/>
    <s v="2&gt;1 VERSION"/>
    <x v="183"/>
    <s v="CONICAL FULL KIT"/>
    <s v="ZHND367SKR-FC"/>
    <s v="AFRICA TWIN 2016/19"/>
    <n v="909.59"/>
    <n v="1010.66"/>
    <s v="&lt;p&gt;STEEL RACING 2&amp;gt;1 CONICAL FULL KIT WITH REMOVABLE DB KILLER.&lt;/p&gt;_x000a_&lt;p&gt;&lt;span&gt;THE BOX INCLUDES ALL PARTS FOR THE FITMENT OF ZARD EXHAUST.&lt;/span&gt;&lt;/p&gt;_x000a_&lt;p&gt;HARD INCREASE, COMPARED TO THE ORIGINAL EXHAUST SYSTEM, IN TERMS OF TORQUE AND POWER AT ANY RANGE.&lt;/p&gt;_x000a_&lt;p&gt;ASTONISHING SOUND,&amp;nbsp;EXCLUSIVE DESIGN.&lt;/p&gt;_x000a_&lt;p&gt;&lt;strong&gt;NOTICE&lt;/strong&gt;&lt;span&gt;:&amp;nbsp;THIS FULL KIT FITS WITH GIVI ACCESSORIES&lt;/span&gt;&lt;/p&gt;_x000a_&lt;p&gt;&lt;iframe src=&quot;https://www.youtube.com/embed/TFEhDGnmu4A&quot; allowfullscreen=&quot;allowfullscreen&quot; width=&quot;298&quot; height=&quot;168&quot; frameborder=&quot;0&quot;&gt;&lt;/iframe&gt;&lt;/p&gt;"/>
    <s v="https://shop.officineitalianezard.it/contents/imgs/products/1_2387-scarico%20honda%20africa%20twin.jpg"/>
    <m/>
    <m/>
  </r>
  <r>
    <s v="1586059636-11060"/>
    <s v="https://shop.officineitalianezard.it/en/products/"/>
    <m/>
    <s v="https://shop.officineitalianezard.it/en/honda-zard-exhaust/"/>
    <s v="AFRICA TWIN 2016/19"/>
    <s v="https://shop.officineitalianezard.it/en/honda-africa-twin-m-y-2016-exhaust/"/>
    <s v="2&gt;1 VERSION"/>
    <x v="183"/>
    <s v="CONICAL FULL KIT"/>
    <s v="ZHND367SKR-FC"/>
    <s v="AFRICA TWIN 2016/19"/>
    <n v="909.59"/>
    <n v="1010.66"/>
    <s v="&lt;p&gt;STEEL RACING 2&amp;gt;1 CONICAL FULL KIT WITH REMOVABLE DB KILLER.&lt;/p&gt;_x000a_&lt;p&gt;&lt;span&gt;THE BOX INCLUDES ALL PARTS FOR THE FITMENT OF ZARD EXHAUST.&lt;/span&gt;&lt;/p&gt;_x000a_&lt;p&gt;HARD INCREASE, COMPARED TO THE ORIGINAL EXHAUST SYSTEM, IN TERMS OF TORQUE AND POWER AT ANY RANGE.&lt;/p&gt;_x000a_&lt;p&gt;ASTONISHING SOUND,&amp;nbsp;EXCLUSIVE DESIGN.&lt;/p&gt;_x000a_&lt;p&gt;&lt;strong&gt;NOTICE&lt;/strong&gt;&lt;span&gt;:&amp;nbsp;THIS FULL KIT FITS WITH GIVI ACCESSORIES&lt;/span&gt;&lt;/p&gt;_x000a_&lt;p&gt;&lt;iframe src=&quot;https://www.youtube.com/embed/TFEhDGnmu4A&quot; allowfullscreen=&quot;allowfullscreen&quot; width=&quot;298&quot; height=&quot;168&quot; frameborder=&quot;0&quot;&gt;&lt;/iframe&gt;&lt;/p&gt;"/>
    <s v="https://shop.officineitalianezard.it/contents/imgs/products/1_2389-africa%20twin%20zard%20exhaust.jpg"/>
    <m/>
    <m/>
  </r>
  <r>
    <s v="1586059636-11061"/>
    <s v="https://shop.officineitalianezard.it/en/products/"/>
    <m/>
    <s v="https://shop.officineitalianezard.it/en/honda-zard-exhaust/"/>
    <s v="AFRICA TWIN 2016/19"/>
    <s v="https://shop.officineitalianezard.it/en/honda-africa-twin-m-y-2016-exhaust/"/>
    <s v="2&gt;1 VERSION"/>
    <x v="183"/>
    <s v="CONICAL FULL KIT"/>
    <s v="ZHND367SKR-FC"/>
    <s v="AFRICA TWIN 2016/19"/>
    <n v="909.59"/>
    <n v="1010.66"/>
    <s v="&lt;p&gt;STEEL RACING 2&amp;gt;1 CONICAL FULL KIT WITH REMOVABLE DB KILLER.&lt;/p&gt;_x000a_&lt;p&gt;&lt;span&gt;THE BOX INCLUDES ALL PARTS FOR THE FITMENT OF ZARD EXHAUST.&lt;/span&gt;&lt;/p&gt;_x000a_&lt;p&gt;HARD INCREASE, COMPARED TO THE ORIGINAL EXHAUST SYSTEM, IN TERMS OF TORQUE AND POWER AT ANY RANGE.&lt;/p&gt;_x000a_&lt;p&gt;ASTONISHING SOUND,&amp;nbsp;EXCLUSIVE DESIGN.&lt;/p&gt;_x000a_&lt;p&gt;&lt;strong&gt;NOTICE&lt;/strong&gt;&lt;span&gt;:&amp;nbsp;THIS FULL KIT FITS WITH GIVI ACCESSORIES&lt;/span&gt;&lt;/p&gt;_x000a_&lt;p&gt;&lt;iframe src=&quot;https://www.youtube.com/embed/TFEhDGnmu4A&quot; allowfullscreen=&quot;allowfullscreen&quot; width=&quot;298&quot; height=&quot;168&quot; frameborder=&quot;0&quot;&gt;&lt;/iframe&gt;&lt;/p&gt;"/>
    <s v="https://shop.officineitalianezard.it/contents/imgs/products/1_2358-scarico%20honda%20africa%20twin%20zard%202.jpg"/>
    <m/>
    <m/>
  </r>
  <r>
    <s v="1586059636-11062"/>
    <s v="https://shop.officineitalianezard.it/en/products/"/>
    <m/>
    <s v="https://shop.officineitalianezard.it/en/honda-zard-exhaust/"/>
    <s v="AFRICA TWIN 2016/19"/>
    <s v="https://shop.officineitalianezard.it/en/honda-africa-twin-m-y-2016-exhaust/"/>
    <s v="2&gt;1 VERSION"/>
    <x v="183"/>
    <s v="CONICAL FULL KIT"/>
    <s v="ZHND367SKR-FC"/>
    <s v="AFRICA TWIN 2016/19"/>
    <n v="909.59"/>
    <n v="1010.66"/>
    <s v="&lt;p&gt;STEEL RACING 2&amp;gt;1 CONICAL FULL KIT WITH REMOVABLE DB KILLER.&lt;/p&gt;_x000a_&lt;p&gt;&lt;span&gt;THE BOX INCLUDES ALL PARTS FOR THE FITMENT OF ZARD EXHAUST.&lt;/span&gt;&lt;/p&gt;_x000a_&lt;p&gt;HARD INCREASE, COMPARED TO THE ORIGINAL EXHAUST SYSTEM, IN TERMS OF TORQUE AND POWER AT ANY RANGE.&lt;/p&gt;_x000a_&lt;p&gt;ASTONISHING SOUND,&amp;nbsp;EXCLUSIVE DESIGN.&lt;/p&gt;_x000a_&lt;p&gt;&lt;strong&gt;NOTICE&lt;/strong&gt;&lt;span&gt;:&amp;nbsp;THIS FULL KIT FITS WITH GIVI ACCESSORIES&lt;/span&gt;&lt;/p&gt;_x000a_&lt;p&gt;&lt;iframe src=&quot;https://www.youtube.com/embed/TFEhDGnmu4A&quot; allowfullscreen=&quot;allowfullscreen&quot; width=&quot;298&quot; height=&quot;168&quot; frameborder=&quot;0&quot;&gt;&lt;/iframe&gt;&lt;/p&gt;"/>
    <s v="https://shop.officineitalianezard.it/contents/imgs/products/1_2388-scarico%20zard%20africa%20twin%20-%20zard%20exhaust%20-%20givi%20kit.jpg"/>
    <m/>
    <m/>
  </r>
  <r>
    <s v="1586059636-11063"/>
    <s v="https://shop.officineitalianezard.it/en/products/"/>
    <m/>
    <s v="https://shop.officineitalianezard.it/en/honda-zard-exhaust/"/>
    <s v="AFRICA TWIN 2016/19"/>
    <s v="https://shop.officineitalianezard.it/en/honda-africa-twin-m-y-2016-exhaust/"/>
    <s v="2&gt;1 VERSION"/>
    <x v="183"/>
    <s v="CONICAL FULL KIT"/>
    <s v="ZHND367SKR-FC"/>
    <s v="AFRICA TWIN 2016/19"/>
    <n v="909.59"/>
    <n v="1010.66"/>
    <s v="&lt;p&gt;STEEL RACING 2&amp;gt;1 CONICAL FULL KIT WITH REMOVABLE DB KILLER.&lt;/p&gt;_x000a_&lt;p&gt;&lt;span&gt;THE BOX INCLUDES ALL PARTS FOR THE FITMENT OF ZARD EXHAUST.&lt;/span&gt;&lt;/p&gt;_x000a_&lt;p&gt;HARD INCREASE, COMPARED TO THE ORIGINAL EXHAUST SYSTEM, IN TERMS OF TORQUE AND POWER AT ANY RANGE.&lt;/p&gt;_x000a_&lt;p&gt;ASTONISHING SOUND,&amp;nbsp;EXCLUSIVE DESIGN.&lt;/p&gt;_x000a_&lt;p&gt;&lt;strong&gt;NOTICE&lt;/strong&gt;&lt;span&gt;:&amp;nbsp;THIS FULL KIT FITS WITH GIVI ACCESSORIES&lt;/span&gt;&lt;/p&gt;_x000a_&lt;p&gt;&lt;iframe src=&quot;https://www.youtube.com/embed/TFEhDGnmu4A&quot; allowfullscreen=&quot;allowfullscreen&quot; width=&quot;298&quot; height=&quot;168&quot; frameborder=&quot;0&quot;&gt;&lt;/iframe&gt;&lt;/p&gt;"/>
    <s v="https://shop.officineitalianezard.it/contents/imgs/products/1_2281-Africa%20Twin%20Zard%20Kit.jpg"/>
    <m/>
    <m/>
  </r>
  <r>
    <s v="1586059636-11064"/>
    <s v="https://shop.officineitalianezard.it/en/products/"/>
    <m/>
    <s v="https://shop.officineitalianezard.it/en/honda-zard-exhaust/"/>
    <s v="AFRICA TWIN 2016/19"/>
    <s v="https://shop.officineitalianezard.it/en/honda-africa-twin-m-y-2016-exhaust/"/>
    <s v="2&gt;1 VERSION"/>
    <x v="183"/>
    <s v="CONICAL FULL KIT"/>
    <s v="ZHND367SKR-FC"/>
    <s v="AFRICA TWIN 2016/19"/>
    <n v="909.59"/>
    <n v="1010.66"/>
    <s v="&lt;p&gt;STEEL RACING 2&amp;gt;1 CONICAL FULL KIT WITH REMOVABLE DB KILLER.&lt;/p&gt;_x000a_&lt;p&gt;&lt;span&gt;THE BOX INCLUDES ALL PARTS FOR THE FITMENT OF ZARD EXHAUST.&lt;/span&gt;&lt;/p&gt;_x000a_&lt;p&gt;HARD INCREASE, COMPARED TO THE ORIGINAL EXHAUST SYSTEM, IN TERMS OF TORQUE AND POWER AT ANY RANGE.&lt;/p&gt;_x000a_&lt;p&gt;ASTONISHING SOUND,&amp;nbsp;EXCLUSIVE DESIGN.&lt;/p&gt;_x000a_&lt;p&gt;&lt;strong&gt;NOTICE&lt;/strong&gt;&lt;span&gt;:&amp;nbsp;THIS FULL KIT FITS WITH GIVI ACCESSORIES&lt;/span&gt;&lt;/p&gt;_x000a_&lt;p&gt;&lt;iframe src=&quot;https://www.youtube.com/embed/TFEhDGnmu4A&quot; allowfullscreen=&quot;allowfullscreen&quot; width=&quot;298&quot; height=&quot;168&quot; frameborder=&quot;0&quot;&gt;&lt;/iframe&gt;&lt;/p&gt;"/>
    <m/>
    <s v="FULL TITANIUM"/>
    <n v="362.21"/>
  </r>
  <r>
    <s v="1586059636-11065"/>
    <s v="https://shop.officineitalianezard.it/en/products/"/>
    <m/>
    <s v="https://shop.officineitalianezard.it/en/honda-zard-exhaust/"/>
    <s v="AFRICA TWIN 2016/19"/>
    <s v="https://shop.officineitalianezard.it/en/honda-africa-twin-m-y-2016-exhaust/"/>
    <s v="2&gt;1 VERSION"/>
    <x v="183"/>
    <s v="CONICAL FULL KIT"/>
    <s v="ZHND367SKR-FC"/>
    <s v="AFRICA TWIN 2016/19"/>
    <n v="909.59"/>
    <n v="1010.66"/>
    <s v="&lt;p&gt;STEEL RACING 2&amp;gt;1 CONICAL FULL KIT WITH REMOVABLE DB KILLER.&lt;/p&gt;_x000a_&lt;p&gt;&lt;span&gt;THE BOX INCLUDES ALL PARTS FOR THE FITMENT OF ZARD EXHAUST.&lt;/span&gt;&lt;/p&gt;_x000a_&lt;p&gt;HARD INCREASE, COMPARED TO THE ORIGINAL EXHAUST SYSTEM, IN TERMS OF TORQUE AND POWER AT ANY RANGE.&lt;/p&gt;_x000a_&lt;p&gt;ASTONISHING SOUND,&amp;nbsp;EXCLUSIVE DESIGN.&lt;/p&gt;_x000a_&lt;p&gt;&lt;strong&gt;NOTICE&lt;/strong&gt;&lt;span&gt;:&amp;nbsp;THIS FULL KIT FITS WITH GIVI ACCESSORIES&lt;/span&gt;&lt;/p&gt;_x000a_&lt;p&gt;&lt;iframe src=&quot;https://www.youtube.com/embed/TFEhDGnmu4A&quot; allowfullscreen=&quot;allowfullscreen&quot; width=&quot;298&quot; height=&quot;168&quot; frameborder=&quot;0&quot;&gt;&lt;/iframe&gt;&lt;/p&gt;"/>
    <m/>
    <s v="STEEL HEADERS + TITANIUM SILENCER"/>
    <n v="131.31"/>
  </r>
  <r>
    <s v="1586059645-11066"/>
    <s v="https://shop.officineitalianezard.it/en/products/"/>
    <m/>
    <s v="https://shop.officineitalianezard.it/en/honda-zard-exhaust/"/>
    <s v="AFRICA TWIN 750 1993/00"/>
    <s v="https://shop.officineitalianezard.it/en/honda-africa-twin-exhaust/"/>
    <s v="PENTA-R VERSION"/>
    <x v="184"/>
    <s v="SILENCER"/>
    <s v="ZHND365SSR"/>
    <s v="HONDA AFRICA TWIN"/>
    <n v="501.64"/>
    <n v="557.38"/>
    <s v="&lt;p&gt;STEEL RACING SILENCER WITH&amp;nbsp;CARBON ENDCAP AND HEAT SHIELD.&lt;/p&gt;_x000a_&lt;p&gt;ORIGINAL SILENCER WEIGHT: KG 6.1&lt;br&gt;ZARD STEEL SILENCER WEIGHT: KG 3.3&lt;br&gt;ZARD TITANIUM SILENCER WEIGHT: KG 3&lt;/p&gt;_x000a_&lt;p&gt;HARD INCREASE IN TERMS OF RESPONSE IN THE MID-RANGE AND MORE MAXIMUM POWER COMPARED TO THE DEFAULT EXHAUST SYSTEM.&lt;/p&gt;_x000a_&lt;p&gt;ASTONISHING SOUND.&lt;/p&gt;"/>
    <s v="https://shop.officineitalianezard.it/contents/imgs/products/1_1160-1.jpg"/>
    <m/>
    <m/>
  </r>
  <r>
    <s v="1586059645-11067"/>
    <s v="https://shop.officineitalianezard.it/en/products/"/>
    <m/>
    <s v="https://shop.officineitalianezard.it/en/honda-zard-exhaust/"/>
    <s v="AFRICA TWIN 750 1993/00"/>
    <s v="https://shop.officineitalianezard.it/en/honda-africa-twin-exhaust/"/>
    <s v="PENTA-R VERSION"/>
    <x v="184"/>
    <s v="SILENCER"/>
    <s v="ZHND365SSR"/>
    <s v="HONDA AFRICA TWIN"/>
    <n v="501.64"/>
    <n v="557.38"/>
    <s v="&lt;p&gt;STEEL RACING SILENCER WITH&amp;nbsp;CARBON ENDCAP AND HEAT SHIELD.&lt;/p&gt;_x000a_&lt;p&gt;ORIGINAL SILENCER WEIGHT: KG 6.1&lt;br&gt;ZARD STEEL SILENCER WEIGHT: KG 3.3&lt;br&gt;ZARD TITANIUM SILENCER WEIGHT: KG 3&lt;/p&gt;_x000a_&lt;p&gt;HARD INCREASE IN TERMS OF RESPONSE IN THE MID-RANGE AND MORE MAXIMUM POWER COMPARED TO THE DEFAULT EXHAUST SYSTEM.&lt;/p&gt;_x000a_&lt;p&gt;ASTONISHING SOUND.&lt;/p&gt;"/>
    <s v="https://shop.officineitalianezard.it/contents/imgs/products/1_1161-4.jpg"/>
    <m/>
    <m/>
  </r>
  <r>
    <s v="1586059645-11068"/>
    <s v="https://shop.officineitalianezard.it/en/products/"/>
    <m/>
    <s v="https://shop.officineitalianezard.it/en/honda-zard-exhaust/"/>
    <s v="AFRICA TWIN 750 1993/00"/>
    <s v="https://shop.officineitalianezard.it/en/honda-africa-twin-exhaust/"/>
    <s v="PENTA-R VERSION"/>
    <x v="184"/>
    <s v="SILENCER"/>
    <s v="ZHND365SSR"/>
    <s v="HONDA AFRICA TWIN"/>
    <n v="501.64"/>
    <n v="557.38"/>
    <s v="&lt;p&gt;STEEL RACING SILENCER WITH&amp;nbsp;CARBON ENDCAP AND HEAT SHIELD.&lt;/p&gt;_x000a_&lt;p&gt;ORIGINAL SILENCER WEIGHT: KG 6.1&lt;br&gt;ZARD STEEL SILENCER WEIGHT: KG 3.3&lt;br&gt;ZARD TITANIUM SILENCER WEIGHT: KG 3&lt;/p&gt;_x000a_&lt;p&gt;HARD INCREASE IN TERMS OF RESPONSE IN THE MID-RANGE AND MORE MAXIMUM POWER COMPARED TO THE DEFAULT EXHAUST SYSTEM.&lt;/p&gt;_x000a_&lt;p&gt;ASTONISHING SOUND.&lt;/p&gt;"/>
    <s v="https://shop.officineitalianezard.it/contents/imgs/products/1_1162-2.jpg"/>
    <m/>
    <m/>
  </r>
  <r>
    <s v="1586059645-11069"/>
    <s v="https://shop.officineitalianezard.it/en/products/"/>
    <m/>
    <s v="https://shop.officineitalianezard.it/en/honda-zard-exhaust/"/>
    <s v="AFRICA TWIN 750 1993/00"/>
    <s v="https://shop.officineitalianezard.it/en/honda-africa-twin-exhaust/"/>
    <s v="PENTA-R VERSION"/>
    <x v="184"/>
    <s v="SILENCER"/>
    <s v="ZHND365SSR"/>
    <s v="HONDA AFRICA TWIN"/>
    <n v="501.64"/>
    <n v="557.38"/>
    <s v="&lt;p&gt;STEEL RACING SILENCER WITH&amp;nbsp;CARBON ENDCAP AND HEAT SHIELD.&lt;/p&gt;_x000a_&lt;p&gt;ORIGINAL SILENCER WEIGHT: KG 6.1&lt;br&gt;ZARD STEEL SILENCER WEIGHT: KG 3.3&lt;br&gt;ZARD TITANIUM SILENCER WEIGHT: KG 3&lt;/p&gt;_x000a_&lt;p&gt;HARD INCREASE IN TERMS OF RESPONSE IN THE MID-RANGE AND MORE MAXIMUM POWER COMPARED TO THE DEFAULT EXHAUST SYSTEM.&lt;/p&gt;_x000a_&lt;p&gt;ASTONISHING SOUND.&lt;/p&gt;"/>
    <s v="https://shop.officineitalianezard.it/contents/imgs/products/1_1163-3.jpg"/>
    <m/>
    <m/>
  </r>
  <r>
    <s v="1586059645-11070"/>
    <s v="https://shop.officineitalianezard.it/en/products/"/>
    <m/>
    <s v="https://shop.officineitalianezard.it/en/honda-zard-exhaust/"/>
    <s v="AFRICA TWIN 750 1993/00"/>
    <s v="https://shop.officineitalianezard.it/en/honda-africa-twin-exhaust/"/>
    <s v="PENTA-R VERSION"/>
    <x v="184"/>
    <s v="SILENCER"/>
    <s v="ZHND365SSR"/>
    <s v="HONDA AFRICA TWIN"/>
    <n v="501.64"/>
    <n v="557.38"/>
    <s v="&lt;p&gt;STEEL RACING SILENCER WITH&amp;nbsp;CARBON ENDCAP AND HEAT SHIELD.&lt;/p&gt;_x000a_&lt;p&gt;ORIGINAL SILENCER WEIGHT: KG 6.1&lt;br&gt;ZARD STEEL SILENCER WEIGHT: KG 3.3&lt;br&gt;ZARD TITANIUM SILENCER WEIGHT: KG 3&lt;/p&gt;_x000a_&lt;p&gt;HARD INCREASE IN TERMS OF RESPONSE IN THE MID-RANGE AND MORE MAXIMUM POWER COMPARED TO THE DEFAULT EXHAUST SYSTEM.&lt;/p&gt;_x000a_&lt;p&gt;ASTONISHING SOUND.&lt;/p&gt;"/>
    <m/>
    <s v="RACING TITANIUM"/>
    <n v="81.150000000000006"/>
  </r>
  <r>
    <s v="1586059645-11071"/>
    <s v="https://shop.officineitalianezard.it/en/products/"/>
    <m/>
    <s v="https://shop.officineitalianezard.it/en/honda-zard-exhaust/"/>
    <s v="AFRICA TWIN 750 1993/00"/>
    <s v="https://shop.officineitalianezard.it/en/honda-africa-twin-exhaust/"/>
    <s v="PENTA-R VERSION"/>
    <x v="184"/>
    <s v="SILENCER"/>
    <s v="ZHND365SSR"/>
    <s v="HONDA AFRICA TWIN"/>
    <n v="501.64"/>
    <n v="557.38"/>
    <s v="&lt;p&gt;STEEL RACING SILENCER WITH&amp;nbsp;CARBON ENDCAP AND HEAT SHIELD.&lt;/p&gt;_x000a_&lt;p&gt;ORIGINAL SILENCER WEIGHT: KG 6.1&lt;br&gt;ZARD STEEL SILENCER WEIGHT: KG 3.3&lt;br&gt;ZARD TITANIUM SILENCER WEIGHT: KG 3&lt;/p&gt;_x000a_&lt;p&gt;HARD INCREASE IN TERMS OF RESPONSE IN THE MID-RANGE AND MORE MAXIMUM POWER COMPARED TO THE DEFAULT EXHAUST SYSTEM.&lt;/p&gt;_x000a_&lt;p&gt;ASTONISHING SOUND.&lt;/p&gt;"/>
    <m/>
    <s v="RACING CARBON VERSION"/>
    <n v="99.59"/>
  </r>
  <r>
    <s v="1586059645-11072"/>
    <s v="https://shop.officineitalianezard.it/en/products/"/>
    <m/>
    <s v="https://shop.officineitalianezard.it/en/honda-zard-exhaust/"/>
    <s v="AFRICA TWIN 750 1993/00"/>
    <s v="https://shop.officineitalianezard.it/en/honda-africa-twin-exhaust/"/>
    <s v="PENTA-R VERSION"/>
    <x v="184"/>
    <s v="SILENCER"/>
    <s v="ZHND365SSR"/>
    <s v="HONDA AFRICA TWIN"/>
    <n v="501.64"/>
    <n v="557.38"/>
    <s v="&lt;p&gt;STEEL RACING SILENCER WITH&amp;nbsp;CARBON ENDCAP AND HEAT SHIELD.&lt;/p&gt;_x000a_&lt;p&gt;ORIGINAL SILENCER WEIGHT: KG 6.1&lt;br&gt;ZARD STEEL SILENCER WEIGHT: KG 3.3&lt;br&gt;ZARD TITANIUM SILENCER WEIGHT: KG 3&lt;/p&gt;_x000a_&lt;p&gt;HARD INCREASE IN TERMS OF RESPONSE IN THE MID-RANGE AND MORE MAXIMUM POWER COMPARED TO THE DEFAULT EXHAUST SYSTEM.&lt;/p&gt;_x000a_&lt;p&gt;ASTONISHING SOUND.&lt;/p&gt;"/>
    <m/>
    <s v="BLACK COATING"/>
    <n v="77.459999999999994"/>
  </r>
  <r>
    <s v="1586059653-11073"/>
    <s v="https://shop.officineitalianezard.it/en/products/"/>
    <m/>
    <s v="https://shop.officineitalianezard.it/en/harley-davidson-zard-exhaust/"/>
    <s v="SPORTSTER &gt; M.Y. 2014"/>
    <s v="https://shop.officineitalianezard.it/en/harley-davidson-sportster-m-y-2014-exhaust/"/>
    <s v="CONICAL VERSION"/>
    <x v="185"/>
    <s v="2&gt;1 FULL KIT"/>
    <s v="ZHD 527 SKR-14"/>
    <s v="HARLEY-DAVIDSON SPORTSTER 2014/16"/>
    <n v="696.39"/>
    <n v="773.77"/>
    <s v="&lt;p&gt;2&amp;gt;1 STEEL FULL KIT RACING WITH REMOVABLE DB KILLER&lt;/p&gt;_x000a_&lt;p&gt;MACHINED FROM SOLID ALUMINIUM END-CAP&lt;/p&gt;_x000a_&lt;p&gt;STEEL HEAT SHIELD&lt;/p&gt;_x000a_&lt;p&gt;HARD INCREASE, COMPARED TO THE ORIGINAL EXHAUST SYSTEM, IN TERMS OF TORQUE AND POWER AT ANY RANGE&lt;/p&gt;_x000a_&lt;p&gt;ASTONISHING SOUND&lt;/p&gt;_x000a_&lt;p&gt;COMPATIBLE WITH&amp;nbsp;XL 883 / XL 1200 MODELS&lt;/p&gt;"/>
    <s v="https://shop.officineitalianezard.it/contents/imgs/products/1_849-FOTO%20MOTO%20EICMA%20063.jpg"/>
    <m/>
    <m/>
  </r>
  <r>
    <s v="1586059653-11074"/>
    <s v="https://shop.officineitalianezard.it/en/products/"/>
    <m/>
    <s v="https://shop.officineitalianezard.it/en/harley-davidson-zard-exhaust/"/>
    <s v="SPORTSTER &gt; M.Y. 2014"/>
    <s v="https://shop.officineitalianezard.it/en/harley-davidson-sportster-m-y-2014-exhaust/"/>
    <s v="CONICAL VERSION"/>
    <x v="185"/>
    <s v="2&gt;1 FULL KIT"/>
    <s v="ZHD 527 SKR-14"/>
    <s v="HARLEY-DAVIDSON SPORTSTER 2014/16"/>
    <n v="696.39"/>
    <n v="773.77"/>
    <s v="&lt;p&gt;2&amp;gt;1 STEEL FULL KIT RACING WITH REMOVABLE DB KILLER&lt;/p&gt;_x000a_&lt;p&gt;MACHINED FROM SOLID ALUMINIUM END-CAP&lt;/p&gt;_x000a_&lt;p&gt;STEEL HEAT SHIELD&lt;/p&gt;_x000a_&lt;p&gt;HARD INCREASE, COMPARED TO THE ORIGINAL EXHAUST SYSTEM, IN TERMS OF TORQUE AND POWER AT ANY RANGE&lt;/p&gt;_x000a_&lt;p&gt;ASTONISHING SOUND&lt;/p&gt;_x000a_&lt;p&gt;COMPATIBLE WITH&amp;nbsp;XL 883 / XL 1200 MODELS&lt;/p&gt;"/>
    <s v="https://shop.officineitalianezard.it/contents/imgs/products/1_850-FOTO%20MOTO%20EICMA%20073.jpg"/>
    <m/>
    <m/>
  </r>
  <r>
    <s v="1586059653-11075"/>
    <s v="https://shop.officineitalianezard.it/en/products/"/>
    <m/>
    <s v="https://shop.officineitalianezard.it/en/harley-davidson-zard-exhaust/"/>
    <s v="SPORTSTER &gt; M.Y. 2014"/>
    <s v="https://shop.officineitalianezard.it/en/harley-davidson-sportster-m-y-2014-exhaust/"/>
    <s v="CONICAL VERSION"/>
    <x v="185"/>
    <s v="2&gt;1 FULL KIT"/>
    <s v="ZHD 527 SKR-14"/>
    <s v="HARLEY-DAVIDSON SPORTSTER 2014/16"/>
    <n v="696.39"/>
    <n v="773.77"/>
    <s v="&lt;p&gt;2&amp;gt;1 STEEL FULL KIT RACING WITH REMOVABLE DB KILLER&lt;/p&gt;_x000a_&lt;p&gt;MACHINED FROM SOLID ALUMINIUM END-CAP&lt;/p&gt;_x000a_&lt;p&gt;STEEL HEAT SHIELD&lt;/p&gt;_x000a_&lt;p&gt;HARD INCREASE, COMPARED TO THE ORIGINAL EXHAUST SYSTEM, IN TERMS OF TORQUE AND POWER AT ANY RANGE&lt;/p&gt;_x000a_&lt;p&gt;ASTONISHING SOUND&lt;/p&gt;_x000a_&lt;p&gt;COMPATIBLE WITH&amp;nbsp;XL 883 / XL 1200 MODELS&lt;/p&gt;"/>
    <s v="https://shop.officineitalianezard.it/contents/imgs/products/1_851-FOTO%20MOTO%20EICMA%20081.jpg"/>
    <m/>
    <m/>
  </r>
  <r>
    <s v="1586059653-11076"/>
    <s v="https://shop.officineitalianezard.it/en/products/"/>
    <m/>
    <s v="https://shop.officineitalianezard.it/en/harley-davidson-zard-exhaust/"/>
    <s v="SPORTSTER &gt; M.Y. 2014"/>
    <s v="https://shop.officineitalianezard.it/en/harley-davidson-sportster-m-y-2014-exhaust/"/>
    <s v="CONICAL VERSION"/>
    <x v="185"/>
    <s v="2&gt;1 FULL KIT"/>
    <s v="ZHD 527 SKR-14"/>
    <s v="HARLEY-DAVIDSON SPORTSTER 2014/16"/>
    <n v="696.39"/>
    <n v="773.77"/>
    <s v="&lt;p&gt;2&amp;gt;1 STEEL FULL KIT RACING WITH REMOVABLE DB KILLER&lt;/p&gt;_x000a_&lt;p&gt;MACHINED FROM SOLID ALUMINIUM END-CAP&lt;/p&gt;_x000a_&lt;p&gt;STEEL HEAT SHIELD&lt;/p&gt;_x000a_&lt;p&gt;HARD INCREASE, COMPARED TO THE ORIGINAL EXHAUST SYSTEM, IN TERMS OF TORQUE AND POWER AT ANY RANGE&lt;/p&gt;_x000a_&lt;p&gt;ASTONISHING SOUND&lt;/p&gt;_x000a_&lt;p&gt;COMPATIBLE WITH&amp;nbsp;XL 883 / XL 1200 MODELS&lt;/p&gt;"/>
    <m/>
    <s v="EURO 3 HOMOLOGATED"/>
    <n v="47.21"/>
  </r>
  <r>
    <s v="1586059653-11077"/>
    <s v="https://shop.officineitalianezard.it/en/products/"/>
    <m/>
    <s v="https://shop.officineitalianezard.it/en/harley-davidson-zard-exhaust/"/>
    <s v="SPORTSTER &gt; M.Y. 2014"/>
    <s v="https://shop.officineitalianezard.it/en/harley-davidson-sportster-m-y-2014-exhaust/"/>
    <s v="CONICAL VERSION"/>
    <x v="185"/>
    <s v="2&gt;1 FULL KIT"/>
    <s v="ZHD 527 SKR-14"/>
    <s v="HARLEY-DAVIDSON SPORTSTER 2014/16"/>
    <n v="696.39"/>
    <n v="773.77"/>
    <s v="&lt;p&gt;2&amp;gt;1 STEEL FULL KIT RACING WITH REMOVABLE DB KILLER&lt;/p&gt;_x000a_&lt;p&gt;MACHINED FROM SOLID ALUMINIUM END-CAP&lt;/p&gt;_x000a_&lt;p&gt;STEEL HEAT SHIELD&lt;/p&gt;_x000a_&lt;p&gt;HARD INCREASE, COMPARED TO THE ORIGINAL EXHAUST SYSTEM, IN TERMS OF TORQUE AND POWER AT ANY RANGE&lt;/p&gt;_x000a_&lt;p&gt;ASTONISHING SOUND&lt;/p&gt;_x000a_&lt;p&gt;COMPATIBLE WITH&amp;nbsp;XL 883 / XL 1200 MODELS&lt;/p&gt;"/>
    <m/>
    <s v="BLACK COATING"/>
    <n v="177.05"/>
  </r>
  <r>
    <s v="1586059653-11078"/>
    <s v="https://shop.officineitalianezard.it/en/products/"/>
    <m/>
    <s v="https://shop.officineitalianezard.it/en/harley-davidson-zard-exhaust/"/>
    <s v="SPORTSTER &gt; M.Y. 2014"/>
    <s v="https://shop.officineitalianezard.it/en/harley-davidson-sportster-m-y-2014-exhaust/"/>
    <s v="CONICAL VERSION"/>
    <x v="185"/>
    <s v="2&gt;1 FULL KIT"/>
    <s v="ZHD 527 SKR-14"/>
    <s v="HARLEY-DAVIDSON SPORTSTER 2014/16"/>
    <n v="696.39"/>
    <n v="773.77"/>
    <s v="&lt;p&gt;2&amp;gt;1 STEEL FULL KIT RACING WITH REMOVABLE DB KILLER&lt;/p&gt;_x000a_&lt;p&gt;MACHINED FROM SOLID ALUMINIUM END-CAP&lt;/p&gt;_x000a_&lt;p&gt;STEEL HEAT SHIELD&lt;/p&gt;_x000a_&lt;p&gt;HARD INCREASE, COMPARED TO THE ORIGINAL EXHAUST SYSTEM, IN TERMS OF TORQUE AND POWER AT ANY RANGE&lt;/p&gt;_x000a_&lt;p&gt;ASTONISHING SOUND&lt;/p&gt;_x000a_&lt;p&gt;COMPATIBLE WITH&amp;nbsp;XL 883 / XL 1200 MODELS&lt;/p&gt;"/>
    <m/>
    <s v="MIRROR POLISHED"/>
    <n v="65.66"/>
  </r>
  <r>
    <s v="1586059653-11079"/>
    <s v="https://shop.officineitalianezard.it/en/products/"/>
    <m/>
    <s v="https://shop.officineitalianezard.it/en/harley-davidson-zard-exhaust/"/>
    <s v="SPORTSTER &gt; M.Y. 2014"/>
    <s v="https://shop.officineitalianezard.it/en/harley-davidson-sportster-m-y-2014-exhaust/"/>
    <s v="CONICAL VERSION"/>
    <x v="185"/>
    <s v="2&gt;1 FULL KIT"/>
    <s v="ZHD 527 SKR-14"/>
    <s v="HARLEY-DAVIDSON SPORTSTER 2014/16"/>
    <n v="696.39"/>
    <n v="773.77"/>
    <s v="&lt;p&gt;2&amp;gt;1 STEEL FULL KIT RACING WITH REMOVABLE DB KILLER&lt;/p&gt;_x000a_&lt;p&gt;MACHINED FROM SOLID ALUMINIUM END-CAP&lt;/p&gt;_x000a_&lt;p&gt;STEEL HEAT SHIELD&lt;/p&gt;_x000a_&lt;p&gt;HARD INCREASE, COMPARED TO THE ORIGINAL EXHAUST SYSTEM, IN TERMS OF TORQUE AND POWER AT ANY RANGE&lt;/p&gt;_x000a_&lt;p&gt;ASTONISHING SOUND&lt;/p&gt;_x000a_&lt;p&gt;COMPATIBLE WITH&amp;nbsp;XL 883 / XL 1200 MODELS&lt;/p&gt;"/>
    <m/>
    <s v="SILVER AND BLACK ENDCAP"/>
    <n v="75.25"/>
  </r>
  <r>
    <s v="1586059657-11080"/>
    <s v="https://shop.officineitalianezard.it/en/products/"/>
    <m/>
    <s v="https://shop.officineitalianezard.it/en/harley-davidson-zard-exhaust/"/>
    <s v="SPORTSTER &gt; M.Y. 2014"/>
    <s v="https://shop.officineitalianezard.it/en/harley-davidson-sportster-m-y-2014-exhaust/"/>
    <s v="JOKER VERSION"/>
    <x v="186"/>
    <s v="2&gt;1 FULL KIT"/>
    <s v="ZHD 539 SKR-14"/>
    <s v="HARLEY-DAVIDSON SPORTSTER 2014/16"/>
    <n v="696.39"/>
    <n v="773.77"/>
    <s v="&lt;p&gt;2&amp;gt;1 STEEL FULL KIT RACING WITH REMOVABLE DB KILLER&lt;/p&gt;_x000a_&lt;p&gt;HEAT SHIELD AS A DEFAULT&lt;/p&gt;_x000a_&lt;p&gt;HARD INCREASE, COMPARED TO THE ORIGINAL EXHAUST SYSTEM, IN TERMS OF TORQUE AND POWER AT ANY RANGE&lt;/p&gt;_x000a_&lt;p&gt;ASTONISHING SOUND&lt;/p&gt;_x000a_&lt;p&gt;COMPATIBLE WITH&amp;nbsp;XL 883 / XL 1200 MODELS&lt;/p&gt;"/>
    <s v="https://shop.officineitalianezard.it/contents/imgs/products/1_900-1.jpg"/>
    <m/>
    <m/>
  </r>
  <r>
    <s v="1586059657-11081"/>
    <s v="https://shop.officineitalianezard.it/en/products/"/>
    <m/>
    <s v="https://shop.officineitalianezard.it/en/harley-davidson-zard-exhaust/"/>
    <s v="SPORTSTER &gt; M.Y. 2014"/>
    <s v="https://shop.officineitalianezard.it/en/harley-davidson-sportster-m-y-2014-exhaust/"/>
    <s v="JOKER VERSION"/>
    <x v="186"/>
    <s v="2&gt;1 FULL KIT"/>
    <s v="ZHD 539 SKR-14"/>
    <s v="HARLEY-DAVIDSON SPORTSTER 2014/16"/>
    <n v="696.39"/>
    <n v="773.77"/>
    <s v="&lt;p&gt;2&amp;gt;1 STEEL FULL KIT RACING WITH REMOVABLE DB KILLER&lt;/p&gt;_x000a_&lt;p&gt;HEAT SHIELD AS A DEFAULT&lt;/p&gt;_x000a_&lt;p&gt;HARD INCREASE, COMPARED TO THE ORIGINAL EXHAUST SYSTEM, IN TERMS OF TORQUE AND POWER AT ANY RANGE&lt;/p&gt;_x000a_&lt;p&gt;ASTONISHING SOUND&lt;/p&gt;_x000a_&lt;p&gt;COMPATIBLE WITH&amp;nbsp;XL 883 / XL 1200 MODELS&lt;/p&gt;"/>
    <s v="https://shop.officineitalianezard.it/contents/imgs/products/1_901-2.jpg"/>
    <m/>
    <m/>
  </r>
  <r>
    <s v="1586059657-11082"/>
    <s v="https://shop.officineitalianezard.it/en/products/"/>
    <m/>
    <s v="https://shop.officineitalianezard.it/en/harley-davidson-zard-exhaust/"/>
    <s v="SPORTSTER &gt; M.Y. 2014"/>
    <s v="https://shop.officineitalianezard.it/en/harley-davidson-sportster-m-y-2014-exhaust/"/>
    <s v="JOKER VERSION"/>
    <x v="186"/>
    <s v="2&gt;1 FULL KIT"/>
    <s v="ZHD 539 SKR-14"/>
    <s v="HARLEY-DAVIDSON SPORTSTER 2014/16"/>
    <n v="696.39"/>
    <n v="773.77"/>
    <s v="&lt;p&gt;2&amp;gt;1 STEEL FULL KIT RACING WITH REMOVABLE DB KILLER&lt;/p&gt;_x000a_&lt;p&gt;HEAT SHIELD AS A DEFAULT&lt;/p&gt;_x000a_&lt;p&gt;HARD INCREASE, COMPARED TO THE ORIGINAL EXHAUST SYSTEM, IN TERMS OF TORQUE AND POWER AT ANY RANGE&lt;/p&gt;_x000a_&lt;p&gt;ASTONISHING SOUND&lt;/p&gt;_x000a_&lt;p&gt;COMPATIBLE WITH&amp;nbsp;XL 883 / XL 1200 MODELS&lt;/p&gt;"/>
    <s v="https://shop.officineitalianezard.it/contents/imgs/products/1_902-3.jpg"/>
    <m/>
    <m/>
  </r>
  <r>
    <s v="1586059657-11083"/>
    <s v="https://shop.officineitalianezard.it/en/products/"/>
    <m/>
    <s v="https://shop.officineitalianezard.it/en/harley-davidson-zard-exhaust/"/>
    <s v="SPORTSTER &gt; M.Y. 2014"/>
    <s v="https://shop.officineitalianezard.it/en/harley-davidson-sportster-m-y-2014-exhaust/"/>
    <s v="JOKER VERSION"/>
    <x v="186"/>
    <s v="2&gt;1 FULL KIT"/>
    <s v="ZHD 539 SKR-14"/>
    <s v="HARLEY-DAVIDSON SPORTSTER 2014/16"/>
    <n v="696.39"/>
    <n v="773.77"/>
    <s v="&lt;p&gt;2&amp;gt;1 STEEL FULL KIT RACING WITH REMOVABLE DB KILLER&lt;/p&gt;_x000a_&lt;p&gt;HEAT SHIELD AS A DEFAULT&lt;/p&gt;_x000a_&lt;p&gt;HARD INCREASE, COMPARED TO THE ORIGINAL EXHAUST SYSTEM, IN TERMS OF TORQUE AND POWER AT ANY RANGE&lt;/p&gt;_x000a_&lt;p&gt;ASTONISHING SOUND&lt;/p&gt;_x000a_&lt;p&gt;COMPATIBLE WITH&amp;nbsp;XL 883 / XL 1200 MODELS&lt;/p&gt;"/>
    <s v="https://shop.officineitalianezard.it/contents/imgs/products/1_986-2_846-sposrtstersport1.JPG"/>
    <m/>
    <m/>
  </r>
  <r>
    <s v="1586059657-11084"/>
    <s v="https://shop.officineitalianezard.it/en/products/"/>
    <m/>
    <s v="https://shop.officineitalianezard.it/en/harley-davidson-zard-exhaust/"/>
    <s v="SPORTSTER &gt; M.Y. 2014"/>
    <s v="https://shop.officineitalianezard.it/en/harley-davidson-sportster-m-y-2014-exhaust/"/>
    <s v="JOKER VERSION"/>
    <x v="186"/>
    <s v="2&gt;1 FULL KIT"/>
    <s v="ZHD 539 SKR-14"/>
    <s v="HARLEY-DAVIDSON SPORTSTER 2014/16"/>
    <n v="696.39"/>
    <n v="773.77"/>
    <s v="&lt;p&gt;2&amp;gt;1 STEEL FULL KIT RACING WITH REMOVABLE DB KILLER&lt;/p&gt;_x000a_&lt;p&gt;HEAT SHIELD AS A DEFAULT&lt;/p&gt;_x000a_&lt;p&gt;HARD INCREASE, COMPARED TO THE ORIGINAL EXHAUST SYSTEM, IN TERMS OF TORQUE AND POWER AT ANY RANGE&lt;/p&gt;_x000a_&lt;p&gt;ASTONISHING SOUND&lt;/p&gt;_x000a_&lt;p&gt;COMPATIBLE WITH&amp;nbsp;XL 883 / XL 1200 MODELS&lt;/p&gt;"/>
    <s v="https://shop.officineitalianezard.it/contents/imgs/products/1_843-aggiunta5.jpg"/>
    <m/>
    <m/>
  </r>
  <r>
    <s v="1586059657-11085"/>
    <s v="https://shop.officineitalianezard.it/en/products/"/>
    <m/>
    <s v="https://shop.officineitalianezard.it/en/harley-davidson-zard-exhaust/"/>
    <s v="SPORTSTER &gt; M.Y. 2014"/>
    <s v="https://shop.officineitalianezard.it/en/harley-davidson-sportster-m-y-2014-exhaust/"/>
    <s v="JOKER VERSION"/>
    <x v="186"/>
    <s v="2&gt;1 FULL KIT"/>
    <s v="ZHD 539 SKR-14"/>
    <s v="HARLEY-DAVIDSON SPORTSTER 2014/16"/>
    <n v="696.39"/>
    <n v="773.77"/>
    <s v="&lt;p&gt;2&amp;gt;1 STEEL FULL KIT RACING WITH REMOVABLE DB KILLER&lt;/p&gt;_x000a_&lt;p&gt;HEAT SHIELD AS A DEFAULT&lt;/p&gt;_x000a_&lt;p&gt;HARD INCREASE, COMPARED TO THE ORIGINAL EXHAUST SYSTEM, IN TERMS OF TORQUE AND POWER AT ANY RANGE&lt;/p&gt;_x000a_&lt;p&gt;ASTONISHING SOUND&lt;/p&gt;_x000a_&lt;p&gt;COMPATIBLE WITH&amp;nbsp;XL 883 / XL 1200 MODELS&lt;/p&gt;"/>
    <s v="https://shop.officineitalianezard.it/contents/imgs/products/1_841-aggiunta3.jpg"/>
    <m/>
    <m/>
  </r>
  <r>
    <s v="1586059657-11086"/>
    <s v="https://shop.officineitalianezard.it/en/products/"/>
    <m/>
    <s v="https://shop.officineitalianezard.it/en/harley-davidson-zard-exhaust/"/>
    <s v="SPORTSTER &gt; M.Y. 2014"/>
    <s v="https://shop.officineitalianezard.it/en/harley-davidson-sportster-m-y-2014-exhaust/"/>
    <s v="JOKER VERSION"/>
    <x v="186"/>
    <s v="2&gt;1 FULL KIT"/>
    <s v="ZHD 539 SKR-14"/>
    <s v="HARLEY-DAVIDSON SPORTSTER 2014/16"/>
    <n v="696.39"/>
    <n v="773.77"/>
    <s v="&lt;p&gt;2&amp;gt;1 STEEL FULL KIT RACING WITH REMOVABLE DB KILLER&lt;/p&gt;_x000a_&lt;p&gt;HEAT SHIELD AS A DEFAULT&lt;/p&gt;_x000a_&lt;p&gt;HARD INCREASE, COMPARED TO THE ORIGINAL EXHAUST SYSTEM, IN TERMS OF TORQUE AND POWER AT ANY RANGE&lt;/p&gt;_x000a_&lt;p&gt;ASTONISHING SOUND&lt;/p&gt;_x000a_&lt;p&gt;COMPATIBLE WITH&amp;nbsp;XL 883 / XL 1200 MODELS&lt;/p&gt;"/>
    <s v="https://shop.officineitalianezard.it/contents/imgs/products/1_842-aggiunta4.jpg"/>
    <m/>
    <m/>
  </r>
  <r>
    <s v="1586059657-11087"/>
    <s v="https://shop.officineitalianezard.it/en/products/"/>
    <m/>
    <s v="https://shop.officineitalianezard.it/en/harley-davidson-zard-exhaust/"/>
    <s v="SPORTSTER &gt; M.Y. 2014"/>
    <s v="https://shop.officineitalianezard.it/en/harley-davidson-sportster-m-y-2014-exhaust/"/>
    <s v="JOKER VERSION"/>
    <x v="186"/>
    <s v="2&gt;1 FULL KIT"/>
    <s v="ZHD 539 SKR-14"/>
    <s v="HARLEY-DAVIDSON SPORTSTER 2014/16"/>
    <n v="696.39"/>
    <n v="773.77"/>
    <s v="&lt;p&gt;2&amp;gt;1 STEEL FULL KIT RACING WITH REMOVABLE DB KILLER&lt;/p&gt;_x000a_&lt;p&gt;HEAT SHIELD AS A DEFAULT&lt;/p&gt;_x000a_&lt;p&gt;HARD INCREASE, COMPARED TO THE ORIGINAL EXHAUST SYSTEM, IN TERMS OF TORQUE AND POWER AT ANY RANGE&lt;/p&gt;_x000a_&lt;p&gt;ASTONISHING SOUND&lt;/p&gt;_x000a_&lt;p&gt;COMPATIBLE WITH&amp;nbsp;XL 883 / XL 1200 MODELS&lt;/p&gt;"/>
    <m/>
    <s v="EURO 3 HOMOLOGATED"/>
    <n v="47.21"/>
  </r>
  <r>
    <s v="1586059657-11088"/>
    <s v="https://shop.officineitalianezard.it/en/products/"/>
    <m/>
    <s v="https://shop.officineitalianezard.it/en/harley-davidson-zard-exhaust/"/>
    <s v="SPORTSTER &gt; M.Y. 2014"/>
    <s v="https://shop.officineitalianezard.it/en/harley-davidson-sportster-m-y-2014-exhaust/"/>
    <s v="JOKER VERSION"/>
    <x v="186"/>
    <s v="2&gt;1 FULL KIT"/>
    <s v="ZHD 539 SKR-14"/>
    <s v="HARLEY-DAVIDSON SPORTSTER 2014/16"/>
    <n v="696.39"/>
    <n v="773.77"/>
    <s v="&lt;p&gt;2&amp;gt;1 STEEL FULL KIT RACING WITH REMOVABLE DB KILLER&lt;/p&gt;_x000a_&lt;p&gt;HEAT SHIELD AS A DEFAULT&lt;/p&gt;_x000a_&lt;p&gt;HARD INCREASE, COMPARED TO THE ORIGINAL EXHAUST SYSTEM, IN TERMS OF TORQUE AND POWER AT ANY RANGE&lt;/p&gt;_x000a_&lt;p&gt;ASTONISHING SOUND&lt;/p&gt;_x000a_&lt;p&gt;COMPATIBLE WITH&amp;nbsp;XL 883 / XL 1200 MODELS&lt;/p&gt;"/>
    <m/>
    <s v="BLACK COATING"/>
    <n v="177.05"/>
  </r>
  <r>
    <s v="1586059657-11089"/>
    <s v="https://shop.officineitalianezard.it/en/products/"/>
    <m/>
    <s v="https://shop.officineitalianezard.it/en/harley-davidson-zard-exhaust/"/>
    <s v="SPORTSTER &gt; M.Y. 2014"/>
    <s v="https://shop.officineitalianezard.it/en/harley-davidson-sportster-m-y-2014-exhaust/"/>
    <s v="JOKER VERSION"/>
    <x v="186"/>
    <s v="2&gt;1 FULL KIT"/>
    <s v="ZHD 539 SKR-14"/>
    <s v="HARLEY-DAVIDSON SPORTSTER 2014/16"/>
    <n v="696.39"/>
    <n v="773.77"/>
    <s v="&lt;p&gt;2&amp;gt;1 STEEL FULL KIT RACING WITH REMOVABLE DB KILLER&lt;/p&gt;_x000a_&lt;p&gt;HEAT SHIELD AS A DEFAULT&lt;/p&gt;_x000a_&lt;p&gt;HARD INCREASE, COMPARED TO THE ORIGINAL EXHAUST SYSTEM, IN TERMS OF TORQUE AND POWER AT ANY RANGE&lt;/p&gt;_x000a_&lt;p&gt;ASTONISHING SOUND&lt;/p&gt;_x000a_&lt;p&gt;COMPATIBLE WITH&amp;nbsp;XL 883 / XL 1200 MODELS&lt;/p&gt;"/>
    <m/>
    <s v="MIRROR POLISHED"/>
    <n v="65.66"/>
  </r>
  <r>
    <s v="1586059657-11090"/>
    <s v="https://shop.officineitalianezard.it/en/products/"/>
    <m/>
    <s v="https://shop.officineitalianezard.it/en/harley-davidson-zard-exhaust/"/>
    <s v="SPORTSTER &gt; M.Y. 2014"/>
    <s v="https://shop.officineitalianezard.it/en/harley-davidson-sportster-m-y-2014-exhaust/"/>
    <s v="JOKER VERSION"/>
    <x v="186"/>
    <s v="2&gt;1 FULL KIT"/>
    <s v="ZHD 539 SKR-14"/>
    <s v="HARLEY-DAVIDSON SPORTSTER 2014/16"/>
    <n v="696.39"/>
    <n v="773.77"/>
    <s v="&lt;p&gt;2&amp;gt;1 STEEL FULL KIT RACING WITH REMOVABLE DB KILLER&lt;/p&gt;_x000a_&lt;p&gt;HEAT SHIELD AS A DEFAULT&lt;/p&gt;_x000a_&lt;p&gt;HARD INCREASE, COMPARED TO THE ORIGINAL EXHAUST SYSTEM, IN TERMS OF TORQUE AND POWER AT ANY RANGE&lt;/p&gt;_x000a_&lt;p&gt;ASTONISHING SOUND&lt;/p&gt;_x000a_&lt;p&gt;COMPATIBLE WITH&amp;nbsp;XL 883 / XL 1200 MODELS&lt;/p&gt;"/>
    <m/>
    <s v="SILVER AND BLACK ENDCAP"/>
    <n v="75.25"/>
  </r>
  <r>
    <s v="1586059661-11091"/>
    <s v="https://shop.officineitalianezard.it/en/products/"/>
    <m/>
    <s v="https://shop.officineitalianezard.it/en/harley-davidson-zard-exhaust/"/>
    <s v="SPORTSTER M.Y. 03-13"/>
    <s v="https://shop.officineitalianezard.it/en/harley-davidson-sportster-m-y-03-13-exhaust/"/>
    <s v="SPORT VERSION"/>
    <x v="187"/>
    <s v="2&gt;1 FULL KIT"/>
    <s v="ZHD 539 SKR"/>
    <s v="HARLEY-DAVIDSON SPORTSTER M.Y. 04-13"/>
    <n v="696.39"/>
    <n v="773.77"/>
    <s v="&lt;p&gt;2&amp;gt;1 STEEL FULL KIT RACING WITH REMOVABLE DB KILLER&lt;/p&gt;_x000a_&lt;p&gt;STEEL HEAT SHIELD&lt;/p&gt;_x000a_&lt;p&gt;HARD INCREASE, COMPARED TO THE ORIGINAL EXHAUST SYSTEM, IN TERMS OF TORQUE AND POWER AT ANY RANGE&lt;/p&gt;_x000a_&lt;p&gt;ASTONISHING SOUND&lt;/p&gt;_x000a_&lt;p&gt;COMPATIBLE WITH XL 883 / XL 1200 MODELS&lt;/p&gt;"/>
    <s v="https://shop.officineitalianezard.it/contents/imgs/products/1_987-1A.jpg"/>
    <m/>
    <m/>
  </r>
  <r>
    <s v="1586059661-11092"/>
    <s v="https://shop.officineitalianezard.it/en/products/"/>
    <m/>
    <s v="https://shop.officineitalianezard.it/en/harley-davidson-zard-exhaust/"/>
    <s v="SPORTSTER M.Y. 03-13"/>
    <s v="https://shop.officineitalianezard.it/en/harley-davidson-sportster-m-y-03-13-exhaust/"/>
    <s v="SPORT VERSION"/>
    <x v="187"/>
    <s v="2&gt;1 FULL KIT"/>
    <s v="ZHD 539 SKR"/>
    <s v="HARLEY-DAVIDSON SPORTSTER M.Y. 04-13"/>
    <n v="696.39"/>
    <n v="773.77"/>
    <s v="&lt;p&gt;2&amp;gt;1 STEEL FULL KIT RACING WITH REMOVABLE DB KILLER&lt;/p&gt;_x000a_&lt;p&gt;STEEL HEAT SHIELD&lt;/p&gt;_x000a_&lt;p&gt;HARD INCREASE, COMPARED TO THE ORIGINAL EXHAUST SYSTEM, IN TERMS OF TORQUE AND POWER AT ANY RANGE&lt;/p&gt;_x000a_&lt;p&gt;ASTONISHING SOUND&lt;/p&gt;_x000a_&lt;p&gt;COMPATIBLE WITH XL 883 / XL 1200 MODELS&lt;/p&gt;"/>
    <s v="https://shop.officineitalianezard.it/contents/imgs/products/1_988-45A.jpg"/>
    <m/>
    <m/>
  </r>
  <r>
    <s v="1586059661-11093"/>
    <s v="https://shop.officineitalianezard.it/en/products/"/>
    <m/>
    <s v="https://shop.officineitalianezard.it/en/harley-davidson-zard-exhaust/"/>
    <s v="SPORTSTER M.Y. 03-13"/>
    <s v="https://shop.officineitalianezard.it/en/harley-davidson-sportster-m-y-03-13-exhaust/"/>
    <s v="SPORT VERSION"/>
    <x v="187"/>
    <s v="2&gt;1 FULL KIT"/>
    <s v="ZHD 539 SKR"/>
    <s v="HARLEY-DAVIDSON SPORTSTER M.Y. 04-13"/>
    <n v="696.39"/>
    <n v="773.77"/>
    <s v="&lt;p&gt;2&amp;gt;1 STEEL FULL KIT RACING WITH REMOVABLE DB KILLER&lt;/p&gt;_x000a_&lt;p&gt;STEEL HEAT SHIELD&lt;/p&gt;_x000a_&lt;p&gt;HARD INCREASE, COMPARED TO THE ORIGINAL EXHAUST SYSTEM, IN TERMS OF TORQUE AND POWER AT ANY RANGE&lt;/p&gt;_x000a_&lt;p&gt;ASTONISHING SOUND&lt;/p&gt;_x000a_&lt;p&gt;COMPATIBLE WITH XL 883 / XL 1200 MODELS&lt;/p&gt;"/>
    <s v="https://shop.officineitalianezard.it/contents/imgs/products/1_989-DSC_0021.jpg"/>
    <m/>
    <m/>
  </r>
  <r>
    <s v="1586059661-11094"/>
    <s v="https://shop.officineitalianezard.it/en/products/"/>
    <m/>
    <s v="https://shop.officineitalianezard.it/en/harley-davidson-zard-exhaust/"/>
    <s v="SPORTSTER M.Y. 03-13"/>
    <s v="https://shop.officineitalianezard.it/en/harley-davidson-sportster-m-y-03-13-exhaust/"/>
    <s v="SPORT VERSION"/>
    <x v="187"/>
    <s v="2&gt;1 FULL KIT"/>
    <s v="ZHD 539 SKR"/>
    <s v="HARLEY-DAVIDSON SPORTSTER M.Y. 04-13"/>
    <n v="696.39"/>
    <n v="773.77"/>
    <s v="&lt;p&gt;2&amp;gt;1 STEEL FULL KIT RACING WITH REMOVABLE DB KILLER&lt;/p&gt;_x000a_&lt;p&gt;STEEL HEAT SHIELD&lt;/p&gt;_x000a_&lt;p&gt;HARD INCREASE, COMPARED TO THE ORIGINAL EXHAUST SYSTEM, IN TERMS OF TORQUE AND POWER AT ANY RANGE&lt;/p&gt;_x000a_&lt;p&gt;ASTONISHING SOUND&lt;/p&gt;_x000a_&lt;p&gt;COMPATIBLE WITH XL 883 / XL 1200 MODELS&lt;/p&gt;"/>
    <s v="https://shop.officineitalianezard.it/contents/imgs/products/1_830-sporstersport2.JPG"/>
    <m/>
    <m/>
  </r>
  <r>
    <s v="1586059661-11095"/>
    <s v="https://shop.officineitalianezard.it/en/products/"/>
    <m/>
    <s v="https://shop.officineitalianezard.it/en/harley-davidson-zard-exhaust/"/>
    <s v="SPORTSTER M.Y. 03-13"/>
    <s v="https://shop.officineitalianezard.it/en/harley-davidson-sportster-m-y-03-13-exhaust/"/>
    <s v="SPORT VERSION"/>
    <x v="187"/>
    <s v="2&gt;1 FULL KIT"/>
    <s v="ZHD 539 SKR"/>
    <s v="HARLEY-DAVIDSON SPORTSTER M.Y. 04-13"/>
    <n v="696.39"/>
    <n v="773.77"/>
    <s v="&lt;p&gt;2&amp;gt;1 STEEL FULL KIT RACING WITH REMOVABLE DB KILLER&lt;/p&gt;_x000a_&lt;p&gt;STEEL HEAT SHIELD&lt;/p&gt;_x000a_&lt;p&gt;HARD INCREASE, COMPARED TO THE ORIGINAL EXHAUST SYSTEM, IN TERMS OF TORQUE AND POWER AT ANY RANGE&lt;/p&gt;_x000a_&lt;p&gt;ASTONISHING SOUND&lt;/p&gt;_x000a_&lt;p&gt;COMPATIBLE WITH XL 883 / XL 1200 MODELS&lt;/p&gt;"/>
    <s v="https://shop.officineitalianezard.it/contents/imgs/products/1_831-sposrtstersport1.JPG"/>
    <m/>
    <m/>
  </r>
  <r>
    <s v="1586059661-11096"/>
    <s v="https://shop.officineitalianezard.it/en/products/"/>
    <m/>
    <s v="https://shop.officineitalianezard.it/en/harley-davidson-zard-exhaust/"/>
    <s v="SPORTSTER M.Y. 03-13"/>
    <s v="https://shop.officineitalianezard.it/en/harley-davidson-sportster-m-y-03-13-exhaust/"/>
    <s v="SPORT VERSION"/>
    <x v="187"/>
    <s v="2&gt;1 FULL KIT"/>
    <s v="ZHD 539 SKR"/>
    <s v="HARLEY-DAVIDSON SPORTSTER M.Y. 04-13"/>
    <n v="696.39"/>
    <n v="773.77"/>
    <s v="&lt;p&gt;2&amp;gt;1 STEEL FULL KIT RACING WITH REMOVABLE DB KILLER&lt;/p&gt;_x000a_&lt;p&gt;STEEL HEAT SHIELD&lt;/p&gt;_x000a_&lt;p&gt;HARD INCREASE, COMPARED TO THE ORIGINAL EXHAUST SYSTEM, IN TERMS OF TORQUE AND POWER AT ANY RANGE&lt;/p&gt;_x000a_&lt;p&gt;ASTONISHING SOUND&lt;/p&gt;_x000a_&lt;p&gt;COMPATIBLE WITH XL 883 / XL 1200 MODELS&lt;/p&gt;"/>
    <s v="https://shop.officineitalianezard.it/contents/imgs/products/1_839-aggiunta3.jpg"/>
    <m/>
    <m/>
  </r>
  <r>
    <s v="1586059661-11097"/>
    <s v="https://shop.officineitalianezard.it/en/products/"/>
    <m/>
    <s v="https://shop.officineitalianezard.it/en/harley-davidson-zard-exhaust/"/>
    <s v="SPORTSTER M.Y. 03-13"/>
    <s v="https://shop.officineitalianezard.it/en/harley-davidson-sportster-m-y-03-13-exhaust/"/>
    <s v="SPORT VERSION"/>
    <x v="187"/>
    <s v="2&gt;1 FULL KIT"/>
    <s v="ZHD 539 SKR"/>
    <s v="HARLEY-DAVIDSON SPORTSTER M.Y. 04-13"/>
    <n v="696.39"/>
    <n v="773.77"/>
    <s v="&lt;p&gt;2&amp;gt;1 STEEL FULL KIT RACING WITH REMOVABLE DB KILLER&lt;/p&gt;_x000a_&lt;p&gt;STEEL HEAT SHIELD&lt;/p&gt;_x000a_&lt;p&gt;HARD INCREASE, COMPARED TO THE ORIGINAL EXHAUST SYSTEM, IN TERMS OF TORQUE AND POWER AT ANY RANGE&lt;/p&gt;_x000a_&lt;p&gt;ASTONISHING SOUND&lt;/p&gt;_x000a_&lt;p&gt;COMPATIBLE WITH XL 883 / XL 1200 MODELS&lt;/p&gt;"/>
    <s v="https://shop.officineitalianezard.it/contents/imgs/products/1_840-aggiunta4.jpg"/>
    <m/>
    <m/>
  </r>
  <r>
    <s v="1586059661-11098"/>
    <s v="https://shop.officineitalianezard.it/en/products/"/>
    <m/>
    <s v="https://shop.officineitalianezard.it/en/harley-davidson-zard-exhaust/"/>
    <s v="SPORTSTER M.Y. 03-13"/>
    <s v="https://shop.officineitalianezard.it/en/harley-davidson-sportster-m-y-03-13-exhaust/"/>
    <s v="SPORT VERSION"/>
    <x v="187"/>
    <s v="2&gt;1 FULL KIT"/>
    <s v="ZHD 539 SKR"/>
    <s v="HARLEY-DAVIDSON SPORTSTER M.Y. 04-13"/>
    <n v="696.39"/>
    <n v="773.77"/>
    <s v="&lt;p&gt;2&amp;gt;1 STEEL FULL KIT RACING WITH REMOVABLE DB KILLER&lt;/p&gt;_x000a_&lt;p&gt;STEEL HEAT SHIELD&lt;/p&gt;_x000a_&lt;p&gt;HARD INCREASE, COMPARED TO THE ORIGINAL EXHAUST SYSTEM, IN TERMS OF TORQUE AND POWER AT ANY RANGE&lt;/p&gt;_x000a_&lt;p&gt;ASTONISHING SOUND&lt;/p&gt;_x000a_&lt;p&gt;COMPATIBLE WITH XL 883 / XL 1200 MODELS&lt;/p&gt;"/>
    <m/>
    <s v="EURO 3 HOMOLOGATED"/>
    <n v="47.21"/>
  </r>
  <r>
    <s v="1586059661-11099"/>
    <s v="https://shop.officineitalianezard.it/en/products/"/>
    <m/>
    <s v="https://shop.officineitalianezard.it/en/harley-davidson-zard-exhaust/"/>
    <s v="SPORTSTER M.Y. 03-13"/>
    <s v="https://shop.officineitalianezard.it/en/harley-davidson-sportster-m-y-03-13-exhaust/"/>
    <s v="SPORT VERSION"/>
    <x v="187"/>
    <s v="2&gt;1 FULL KIT"/>
    <s v="ZHD 539 SKR"/>
    <s v="HARLEY-DAVIDSON SPORTSTER M.Y. 04-13"/>
    <n v="696.39"/>
    <n v="773.77"/>
    <s v="&lt;p&gt;2&amp;gt;1 STEEL FULL KIT RACING WITH REMOVABLE DB KILLER&lt;/p&gt;_x000a_&lt;p&gt;STEEL HEAT SHIELD&lt;/p&gt;_x000a_&lt;p&gt;HARD INCREASE, COMPARED TO THE ORIGINAL EXHAUST SYSTEM, IN TERMS OF TORQUE AND POWER AT ANY RANGE&lt;/p&gt;_x000a_&lt;p&gt;ASTONISHING SOUND&lt;/p&gt;_x000a_&lt;p&gt;COMPATIBLE WITH XL 883 / XL 1200 MODELS&lt;/p&gt;"/>
    <m/>
    <s v="BLACK COATING"/>
    <n v="177.05"/>
  </r>
  <r>
    <s v="1586059661-11100"/>
    <s v="https://shop.officineitalianezard.it/en/products/"/>
    <m/>
    <s v="https://shop.officineitalianezard.it/en/harley-davidson-zard-exhaust/"/>
    <s v="SPORTSTER M.Y. 03-13"/>
    <s v="https://shop.officineitalianezard.it/en/harley-davidson-sportster-m-y-03-13-exhaust/"/>
    <s v="SPORT VERSION"/>
    <x v="187"/>
    <s v="2&gt;1 FULL KIT"/>
    <s v="ZHD 539 SKR"/>
    <s v="HARLEY-DAVIDSON SPORTSTER M.Y. 04-13"/>
    <n v="696.39"/>
    <n v="773.77"/>
    <s v="&lt;p&gt;2&amp;gt;1 STEEL FULL KIT RACING WITH REMOVABLE DB KILLER&lt;/p&gt;_x000a_&lt;p&gt;STEEL HEAT SHIELD&lt;/p&gt;_x000a_&lt;p&gt;HARD INCREASE, COMPARED TO THE ORIGINAL EXHAUST SYSTEM, IN TERMS OF TORQUE AND POWER AT ANY RANGE&lt;/p&gt;_x000a_&lt;p&gt;ASTONISHING SOUND&lt;/p&gt;_x000a_&lt;p&gt;COMPATIBLE WITH XL 883 / XL 1200 MODELS&lt;/p&gt;"/>
    <m/>
    <s v="MIRROR POLISHED"/>
    <n v="65.66"/>
  </r>
  <r>
    <s v="1586059665-11101"/>
    <s v="https://shop.officineitalianezard.it/en/products/"/>
    <m/>
    <s v="https://shop.officineitalianezard.it/en/harley-davidson-zard-exhaust/"/>
    <s v="SPORTSTER M.Y. 03-13"/>
    <s v="https://shop.officineitalianezard.it/en/harley-davidson-sportster-m-y-03-13-exhaust/"/>
    <s v="CONICAL VERSION"/>
    <x v="188"/>
    <s v="2&gt;1 FULL KIT"/>
    <s v="ZHD 527 SKR"/>
    <s v="HARLEY-DAVIDSON SPORTSTER M.Y. 04-13"/>
    <n v="696.39"/>
    <n v="773.77"/>
    <s v="&lt;p&gt;2&amp;gt;1 STEEL FULL KIT RACING WITH REMOVABLE DB KILLER&lt;/p&gt;_x000a_&lt;p&gt;MACHINED FROM SOLID ALUMINIUM END-CAP&lt;/p&gt;_x000a_&lt;p&gt;STEEL HEAT SHIELD&lt;/p&gt;_x000a_&lt;p&gt;HARD INCREASE, COMPARED TO THE ORIGINAL EXHAUST SYSTEM, IN TERMS OF TORQUE AND POWER AT ANY RANGE&lt;/p&gt;_x000a_&lt;p&gt;ASTONISHING SOUND&lt;/p&gt;_x000a_&lt;p&gt;COMPATIBLE WITH XL 883 / XL 1200 MODELS&lt;/p&gt;"/>
    <s v="https://shop.officineitalianezard.it/contents/imgs/products/1_823-FOTO%20MOTO%20EICMA%20063.jpg"/>
    <m/>
    <m/>
  </r>
  <r>
    <s v="1586059665-11102"/>
    <s v="https://shop.officineitalianezard.it/en/products/"/>
    <m/>
    <s v="https://shop.officineitalianezard.it/en/harley-davidson-zard-exhaust/"/>
    <s v="SPORTSTER M.Y. 03-13"/>
    <s v="https://shop.officineitalianezard.it/en/harley-davidson-sportster-m-y-03-13-exhaust/"/>
    <s v="CONICAL VERSION"/>
    <x v="188"/>
    <s v="2&gt;1 FULL KIT"/>
    <s v="ZHD 527 SKR"/>
    <s v="HARLEY-DAVIDSON SPORTSTER M.Y. 04-13"/>
    <n v="696.39"/>
    <n v="773.77"/>
    <s v="&lt;p&gt;2&amp;gt;1 STEEL FULL KIT RACING WITH REMOVABLE DB KILLER&lt;/p&gt;_x000a_&lt;p&gt;MACHINED FROM SOLID ALUMINIUM END-CAP&lt;/p&gt;_x000a_&lt;p&gt;STEEL HEAT SHIELD&lt;/p&gt;_x000a_&lt;p&gt;HARD INCREASE, COMPARED TO THE ORIGINAL EXHAUST SYSTEM, IN TERMS OF TORQUE AND POWER AT ANY RANGE&lt;/p&gt;_x000a_&lt;p&gt;ASTONISHING SOUND&lt;/p&gt;_x000a_&lt;p&gt;COMPATIBLE WITH XL 883 / XL 1200 MODELS&lt;/p&gt;"/>
    <s v="https://shop.officineitalianezard.it/contents/imgs/products/1_824-FOTO%20MOTO%20EICMA%20073.jpg"/>
    <m/>
    <m/>
  </r>
  <r>
    <s v="1586059665-11103"/>
    <s v="https://shop.officineitalianezard.it/en/products/"/>
    <m/>
    <s v="https://shop.officineitalianezard.it/en/harley-davidson-zard-exhaust/"/>
    <s v="SPORTSTER M.Y. 03-13"/>
    <s v="https://shop.officineitalianezard.it/en/harley-davidson-sportster-m-y-03-13-exhaust/"/>
    <s v="CONICAL VERSION"/>
    <x v="188"/>
    <s v="2&gt;1 FULL KIT"/>
    <s v="ZHD 527 SKR"/>
    <s v="HARLEY-DAVIDSON SPORTSTER M.Y. 04-13"/>
    <n v="696.39"/>
    <n v="773.77"/>
    <s v="&lt;p&gt;2&amp;gt;1 STEEL FULL KIT RACING WITH REMOVABLE DB KILLER&lt;/p&gt;_x000a_&lt;p&gt;MACHINED FROM SOLID ALUMINIUM END-CAP&lt;/p&gt;_x000a_&lt;p&gt;STEEL HEAT SHIELD&lt;/p&gt;_x000a_&lt;p&gt;HARD INCREASE, COMPARED TO THE ORIGINAL EXHAUST SYSTEM, IN TERMS OF TORQUE AND POWER AT ANY RANGE&lt;/p&gt;_x000a_&lt;p&gt;ASTONISHING SOUND&lt;/p&gt;_x000a_&lt;p&gt;COMPATIBLE WITH XL 883 / XL 1200 MODELS&lt;/p&gt;"/>
    <s v="https://shop.officineitalianezard.it/contents/imgs/products/1_825-FOTO%20MOTO%20EICMA%20081.jpg"/>
    <m/>
    <m/>
  </r>
  <r>
    <s v="1586059665-11104"/>
    <s v="https://shop.officineitalianezard.it/en/products/"/>
    <m/>
    <s v="https://shop.officineitalianezard.it/en/harley-davidson-zard-exhaust/"/>
    <s v="SPORTSTER M.Y. 03-13"/>
    <s v="https://shop.officineitalianezard.it/en/harley-davidson-sportster-m-y-03-13-exhaust/"/>
    <s v="CONICAL VERSION"/>
    <x v="188"/>
    <s v="2&gt;1 FULL KIT"/>
    <s v="ZHD 527 SKR"/>
    <s v="HARLEY-DAVIDSON SPORTSTER M.Y. 04-13"/>
    <n v="696.39"/>
    <n v="773.77"/>
    <s v="&lt;p&gt;2&amp;gt;1 STEEL FULL KIT RACING WITH REMOVABLE DB KILLER&lt;/p&gt;_x000a_&lt;p&gt;MACHINED FROM SOLID ALUMINIUM END-CAP&lt;/p&gt;_x000a_&lt;p&gt;STEEL HEAT SHIELD&lt;/p&gt;_x000a_&lt;p&gt;HARD INCREASE, COMPARED TO THE ORIGINAL EXHAUST SYSTEM, IN TERMS OF TORQUE AND POWER AT ANY RANGE&lt;/p&gt;_x000a_&lt;p&gt;ASTONISHING SOUND&lt;/p&gt;_x000a_&lt;p&gt;COMPATIBLE WITH XL 883 / XL 1200 MODELS&lt;/p&gt;"/>
    <m/>
    <s v="EURO 3 HOMOLOGATED"/>
    <n v="47.21"/>
  </r>
  <r>
    <s v="1586059665-11105"/>
    <s v="https://shop.officineitalianezard.it/en/products/"/>
    <m/>
    <s v="https://shop.officineitalianezard.it/en/harley-davidson-zard-exhaust/"/>
    <s v="SPORTSTER M.Y. 03-13"/>
    <s v="https://shop.officineitalianezard.it/en/harley-davidson-sportster-m-y-03-13-exhaust/"/>
    <s v="CONICAL VERSION"/>
    <x v="188"/>
    <s v="2&gt;1 FULL KIT"/>
    <s v="ZHD 527 SKR"/>
    <s v="HARLEY-DAVIDSON SPORTSTER M.Y. 04-13"/>
    <n v="696.39"/>
    <n v="773.77"/>
    <s v="&lt;p&gt;2&amp;gt;1 STEEL FULL KIT RACING WITH REMOVABLE DB KILLER&lt;/p&gt;_x000a_&lt;p&gt;MACHINED FROM SOLID ALUMINIUM END-CAP&lt;/p&gt;_x000a_&lt;p&gt;STEEL HEAT SHIELD&lt;/p&gt;_x000a_&lt;p&gt;HARD INCREASE, COMPARED TO THE ORIGINAL EXHAUST SYSTEM, IN TERMS OF TORQUE AND POWER AT ANY RANGE&lt;/p&gt;_x000a_&lt;p&gt;ASTONISHING SOUND&lt;/p&gt;_x000a_&lt;p&gt;COMPATIBLE WITH XL 883 / XL 1200 MODELS&lt;/p&gt;"/>
    <m/>
    <s v="MIRROR POLISHED"/>
    <n v="65.66"/>
  </r>
  <r>
    <s v="1586059665-11106"/>
    <s v="https://shop.officineitalianezard.it/en/products/"/>
    <m/>
    <s v="https://shop.officineitalianezard.it/en/harley-davidson-zard-exhaust/"/>
    <s v="SPORTSTER M.Y. 03-13"/>
    <s v="https://shop.officineitalianezard.it/en/harley-davidson-sportster-m-y-03-13-exhaust/"/>
    <s v="CONICAL VERSION"/>
    <x v="188"/>
    <s v="2&gt;1 FULL KIT"/>
    <s v="ZHD 527 SKR"/>
    <s v="HARLEY-DAVIDSON SPORTSTER M.Y. 04-13"/>
    <n v="696.39"/>
    <n v="773.77"/>
    <s v="&lt;p&gt;2&amp;gt;1 STEEL FULL KIT RACING WITH REMOVABLE DB KILLER&lt;/p&gt;_x000a_&lt;p&gt;MACHINED FROM SOLID ALUMINIUM END-CAP&lt;/p&gt;_x000a_&lt;p&gt;STEEL HEAT SHIELD&lt;/p&gt;_x000a_&lt;p&gt;HARD INCREASE, COMPARED TO THE ORIGINAL EXHAUST SYSTEM, IN TERMS OF TORQUE AND POWER AT ANY RANGE&lt;/p&gt;_x000a_&lt;p&gt;ASTONISHING SOUND&lt;/p&gt;_x000a_&lt;p&gt;COMPATIBLE WITH XL 883 / XL 1200 MODELS&lt;/p&gt;"/>
    <m/>
    <s v="BLACK COATING"/>
    <n v="177.05"/>
  </r>
  <r>
    <s v="1586059665-11107"/>
    <s v="https://shop.officineitalianezard.it/en/products/"/>
    <m/>
    <s v="https://shop.officineitalianezard.it/en/harley-davidson-zard-exhaust/"/>
    <s v="SPORTSTER M.Y. 03-13"/>
    <s v="https://shop.officineitalianezard.it/en/harley-davidson-sportster-m-y-03-13-exhaust/"/>
    <s v="CONICAL VERSION"/>
    <x v="188"/>
    <s v="2&gt;1 FULL KIT"/>
    <s v="ZHD 527 SKR"/>
    <s v="HARLEY-DAVIDSON SPORTSTER M.Y. 04-13"/>
    <n v="696.39"/>
    <n v="773.77"/>
    <s v="&lt;p&gt;2&amp;gt;1 STEEL FULL KIT RACING WITH REMOVABLE DB KILLER&lt;/p&gt;_x000a_&lt;p&gt;MACHINED FROM SOLID ALUMINIUM END-CAP&lt;/p&gt;_x000a_&lt;p&gt;STEEL HEAT SHIELD&lt;/p&gt;_x000a_&lt;p&gt;HARD INCREASE, COMPARED TO THE ORIGINAL EXHAUST SYSTEM, IN TERMS OF TORQUE AND POWER AT ANY RANGE&lt;/p&gt;_x000a_&lt;p&gt;ASTONISHING SOUND&lt;/p&gt;_x000a_&lt;p&gt;COMPATIBLE WITH XL 883 / XL 1200 MODELS&lt;/p&gt;"/>
    <m/>
    <s v="SILVER AND BLACK ENDCAP"/>
    <n v="75.25"/>
  </r>
  <r>
    <s v="1586059669-11108"/>
    <s v="https://shop.officineitalianezard.it/en/products/"/>
    <m/>
    <s v="https://shop.officineitalianezard.it/en/harley-davidson-zard-exhaust/"/>
    <s v="XR 1200"/>
    <s v="https://shop.officineitalianezard.it/en/harley-davidson-xr-1200-exhaust/"/>
    <s v="2&gt;1 VERSION"/>
    <x v="189"/>
    <s v="FULL KIT"/>
    <s v="ZHD 513 SKR-T"/>
    <s v="HARLEY-DAVIDSON XR 1200"/>
    <n v="1184.75"/>
    <n v="1316.39"/>
    <s v="&lt;p&gt;2&amp;gt;1 FULL KIT STEEL-TITANIUM RACING WITH REMOVABLE DB KILLER&lt;/p&gt;_x000a_&lt;p&gt;ZARD TITANIUM FULL KIT WEIGHT: 3.4 KG&lt;br&gt;ZARD STEEL FULL KIT WEIGHT: 4.4 KG&lt;/p&gt;_x000a_&lt;p&gt;THE MUFFLER IS ALSO AVAILABLE IN STEEL VERSION&lt;/p&gt;_x000a_&lt;p&gt;HARD INCREASE, COMPARED TO THE ORIGINAL EXHAUST SYSTEM, IN TERMS OF TORQUE AND POWER AT ANY RANGE&lt;/p&gt;_x000a_&lt;p&gt;ASTONISHING SOUND&lt;/p&gt;"/>
    <s v="https://shop.officineitalianezard.it/contents/imgs/products/1_815-HARLEY%20XR1200%20006.jpg"/>
    <m/>
    <m/>
  </r>
  <r>
    <s v="1586059669-11109"/>
    <s v="https://shop.officineitalianezard.it/en/products/"/>
    <m/>
    <s v="https://shop.officineitalianezard.it/en/harley-davidson-zard-exhaust/"/>
    <s v="XR 1200"/>
    <s v="https://shop.officineitalianezard.it/en/harley-davidson-xr-1200-exhaust/"/>
    <s v="2&gt;1 VERSION"/>
    <x v="189"/>
    <s v="FULL KIT"/>
    <s v="ZHD 513 SKR-T"/>
    <s v="HARLEY-DAVIDSON XR 1200"/>
    <n v="1184.75"/>
    <n v="1316.39"/>
    <s v="&lt;p&gt;2&amp;gt;1 FULL KIT STEEL-TITANIUM RACING WITH REMOVABLE DB KILLER&lt;/p&gt;_x000a_&lt;p&gt;ZARD TITANIUM FULL KIT WEIGHT: 3.4 KG&lt;br&gt;ZARD STEEL FULL KIT WEIGHT: 4.4 KG&lt;/p&gt;_x000a_&lt;p&gt;THE MUFFLER IS ALSO AVAILABLE IN STEEL VERSION&lt;/p&gt;_x000a_&lt;p&gt;HARD INCREASE, COMPARED TO THE ORIGINAL EXHAUST SYSTEM, IN TERMS OF TORQUE AND POWER AT ANY RANGE&lt;/p&gt;_x000a_&lt;p&gt;ASTONISHING SOUND&lt;/p&gt;"/>
    <s v="https://shop.officineitalianezard.it/contents/imgs/products/1_813-HARLEY%20DAVIDSON%20XR1200%20010.jpg"/>
    <m/>
    <m/>
  </r>
  <r>
    <s v="1586059669-11110"/>
    <s v="https://shop.officineitalianezard.it/en/products/"/>
    <m/>
    <s v="https://shop.officineitalianezard.it/en/harley-davidson-zard-exhaust/"/>
    <s v="XR 1200"/>
    <s v="https://shop.officineitalianezard.it/en/harley-davidson-xr-1200-exhaust/"/>
    <s v="2&gt;1 VERSION"/>
    <x v="189"/>
    <s v="FULL KIT"/>
    <s v="ZHD 513 SKR-T"/>
    <s v="HARLEY-DAVIDSON XR 1200"/>
    <n v="1184.75"/>
    <n v="1316.39"/>
    <s v="&lt;p&gt;2&amp;gt;1 FULL KIT STEEL-TITANIUM RACING WITH REMOVABLE DB KILLER&lt;/p&gt;_x000a_&lt;p&gt;ZARD TITANIUM FULL KIT WEIGHT: 3.4 KG&lt;br&gt;ZARD STEEL FULL KIT WEIGHT: 4.4 KG&lt;/p&gt;_x000a_&lt;p&gt;THE MUFFLER IS ALSO AVAILABLE IN STEEL VERSION&lt;/p&gt;_x000a_&lt;p&gt;HARD INCREASE, COMPARED TO THE ORIGINAL EXHAUST SYSTEM, IN TERMS OF TORQUE AND POWER AT ANY RANGE&lt;/p&gt;_x000a_&lt;p&gt;ASTONISHING SOUND&lt;/p&gt;"/>
    <s v="https://shop.officineitalianezard.it/contents/imgs/products/1_814-HARLEY%20DAVIDSON%20XR1200%20002.jpg"/>
    <m/>
    <m/>
  </r>
  <r>
    <s v="1586059669-11111"/>
    <s v="https://shop.officineitalianezard.it/en/products/"/>
    <m/>
    <s v="https://shop.officineitalianezard.it/en/harley-davidson-zard-exhaust/"/>
    <s v="XR 1200"/>
    <s v="https://shop.officineitalianezard.it/en/harley-davidson-xr-1200-exhaust/"/>
    <s v="2&gt;1 VERSION"/>
    <x v="189"/>
    <s v="FULL KIT"/>
    <s v="ZHD 513 SKR-T"/>
    <s v="HARLEY-DAVIDSON XR 1200"/>
    <n v="1184.75"/>
    <n v="1316.39"/>
    <s v="&lt;p&gt;2&amp;gt;1 FULL KIT STEEL-TITANIUM RACING WITH REMOVABLE DB KILLER&lt;/p&gt;_x000a_&lt;p&gt;ZARD TITANIUM FULL KIT WEIGHT: 3.4 KG&lt;br&gt;ZARD STEEL FULL KIT WEIGHT: 4.4 KG&lt;/p&gt;_x000a_&lt;p&gt;THE MUFFLER IS ALSO AVAILABLE IN STEEL VERSION&lt;/p&gt;_x000a_&lt;p&gt;HARD INCREASE, COMPARED TO THE ORIGINAL EXHAUST SYSTEM, IN TERMS OF TORQUE AND POWER AT ANY RANGE&lt;/p&gt;_x000a_&lt;p&gt;ASTONISHING SOUND&lt;/p&gt;"/>
    <s v="https://shop.officineitalianezard.it/contents/imgs/products/1_812-IMG_08712.JPG"/>
    <m/>
    <m/>
  </r>
  <r>
    <s v="1586059669-11112"/>
    <s v="https://shop.officineitalianezard.it/en/products/"/>
    <m/>
    <s v="https://shop.officineitalianezard.it/en/harley-davidson-zard-exhaust/"/>
    <s v="XR 1200"/>
    <s v="https://shop.officineitalianezard.it/en/harley-davidson-xr-1200-exhaust/"/>
    <s v="2&gt;1 VERSION"/>
    <x v="189"/>
    <s v="FULL KIT"/>
    <s v="ZHD 513 SKR-T"/>
    <s v="HARLEY-DAVIDSON XR 1200"/>
    <n v="1184.75"/>
    <n v="1316.39"/>
    <s v="&lt;p&gt;2&amp;gt;1 FULL KIT STEEL-TITANIUM RACING WITH REMOVABLE DB KILLER&lt;/p&gt;_x000a_&lt;p&gt;ZARD TITANIUM FULL KIT WEIGHT: 3.4 KG&lt;br&gt;ZARD STEEL FULL KIT WEIGHT: 4.4 KG&lt;/p&gt;_x000a_&lt;p&gt;THE MUFFLER IS ALSO AVAILABLE IN STEEL VERSION&lt;/p&gt;_x000a_&lt;p&gt;HARD INCREASE, COMPARED TO THE ORIGINAL EXHAUST SYSTEM, IN TERMS OF TORQUE AND POWER AT ANY RANGE&lt;/p&gt;_x000a_&lt;p&gt;ASTONISHING SOUND&lt;/p&gt;"/>
    <s v="https://shop.officineitalianezard.it/contents/imgs/products/1_2182-harley-xr1200-zard-exhaust.jpg"/>
    <m/>
    <m/>
  </r>
  <r>
    <s v="1586059669-11113"/>
    <s v="https://shop.officineitalianezard.it/en/products/"/>
    <m/>
    <s v="https://shop.officineitalianezard.it/en/harley-davidson-zard-exhaust/"/>
    <s v="XR 1200"/>
    <s v="https://shop.officineitalianezard.it/en/harley-davidson-xr-1200-exhaust/"/>
    <s v="2&gt;1 VERSION"/>
    <x v="189"/>
    <s v="FULL KIT"/>
    <s v="ZHD 513 SKR-T"/>
    <s v="HARLEY-DAVIDSON XR 1200"/>
    <n v="1184.75"/>
    <n v="1316.39"/>
    <s v="&lt;p&gt;2&amp;gt;1 FULL KIT STEEL-TITANIUM RACING WITH REMOVABLE DB KILLER&lt;/p&gt;_x000a_&lt;p&gt;ZARD TITANIUM FULL KIT WEIGHT: 3.4 KG&lt;br&gt;ZARD STEEL FULL KIT WEIGHT: 4.4 KG&lt;/p&gt;_x000a_&lt;p&gt;THE MUFFLER IS ALSO AVAILABLE IN STEEL VERSION&lt;/p&gt;_x000a_&lt;p&gt;HARD INCREASE, COMPARED TO THE ORIGINAL EXHAUST SYSTEM, IN TERMS OF TORQUE AND POWER AT ANY RANGE&lt;/p&gt;_x000a_&lt;p&gt;ASTONISHING SOUND&lt;/p&gt;"/>
    <m/>
    <s v="HEADER KIT STEEL RACING + SIL. CARB RACING"/>
    <n v="0"/>
  </r>
  <r>
    <s v="1586059669-11114"/>
    <s v="https://shop.officineitalianezard.it/en/products/"/>
    <m/>
    <s v="https://shop.officineitalianezard.it/en/harley-davidson-zard-exhaust/"/>
    <s v="XR 1200"/>
    <s v="https://shop.officineitalianezard.it/en/harley-davidson-xr-1200-exhaust/"/>
    <s v="2&gt;1 VERSION"/>
    <x v="189"/>
    <s v="FULL KIT"/>
    <s v="ZHD 513 SKR-T"/>
    <s v="HARLEY-DAVIDSON XR 1200"/>
    <n v="1184.75"/>
    <n v="1316.39"/>
    <s v="&lt;p&gt;2&amp;gt;1 FULL KIT STEEL-TITANIUM RACING WITH REMOVABLE DB KILLER&lt;/p&gt;_x000a_&lt;p&gt;ZARD TITANIUM FULL KIT WEIGHT: 3.4 KG&lt;br&gt;ZARD STEEL FULL KIT WEIGHT: 4.4 KG&lt;/p&gt;_x000a_&lt;p&gt;THE MUFFLER IS ALSO AVAILABLE IN STEEL VERSION&lt;/p&gt;_x000a_&lt;p&gt;HARD INCREASE, COMPARED TO THE ORIGINAL EXHAUST SYSTEM, IN TERMS OF TORQUE AND POWER AT ANY RANGE&lt;/p&gt;_x000a_&lt;p&gt;ASTONISHING SOUND&lt;/p&gt;"/>
    <m/>
    <s v="HEADER KIT STEEL RACING + SIL. TITANIUM HOM."/>
    <n v="188.11"/>
  </r>
  <r>
    <s v="1586059669-11115"/>
    <s v="https://shop.officineitalianezard.it/en/products/"/>
    <m/>
    <s v="https://shop.officineitalianezard.it/en/harley-davidson-zard-exhaust/"/>
    <s v="XR 1200"/>
    <s v="https://shop.officineitalianezard.it/en/harley-davidson-xr-1200-exhaust/"/>
    <s v="2&gt;1 VERSION"/>
    <x v="189"/>
    <s v="FULL KIT"/>
    <s v="ZHD 513 SKR-T"/>
    <s v="HARLEY-DAVIDSON XR 1200"/>
    <n v="1184.75"/>
    <n v="1316.39"/>
    <s v="&lt;p&gt;2&amp;gt;1 FULL KIT STEEL-TITANIUM RACING WITH REMOVABLE DB KILLER&lt;/p&gt;_x000a_&lt;p&gt;ZARD TITANIUM FULL KIT WEIGHT: 3.4 KG&lt;br&gt;ZARD STEEL FULL KIT WEIGHT: 4.4 KG&lt;/p&gt;_x000a_&lt;p&gt;THE MUFFLER IS ALSO AVAILABLE IN STEEL VERSION&lt;/p&gt;_x000a_&lt;p&gt;HARD INCREASE, COMPARED TO THE ORIGINAL EXHAUST SYSTEM, IN TERMS OF TORQUE AND POWER AT ANY RANGE&lt;/p&gt;_x000a_&lt;p&gt;ASTONISHING SOUND&lt;/p&gt;"/>
    <m/>
    <s v="HEADER KIT STEEL RACING + SIL. CARB. HOM."/>
    <n v="188.11"/>
  </r>
  <r>
    <s v="1586059669-11116"/>
    <s v="https://shop.officineitalianezard.it/en/products/"/>
    <m/>
    <s v="https://shop.officineitalianezard.it/en/harley-davidson-zard-exhaust/"/>
    <s v="XR 1200"/>
    <s v="https://shop.officineitalianezard.it/en/harley-davidson-xr-1200-exhaust/"/>
    <s v="2&gt;1 VERSION"/>
    <x v="189"/>
    <s v="FULL KIT"/>
    <s v="ZHD 513 SKR-T"/>
    <s v="HARLEY-DAVIDSON XR 1200"/>
    <n v="1184.75"/>
    <n v="1316.39"/>
    <s v="&lt;p&gt;2&amp;gt;1 FULL KIT STEEL-TITANIUM RACING WITH REMOVABLE DB KILLER&lt;/p&gt;_x000a_&lt;p&gt;ZARD TITANIUM FULL KIT WEIGHT: 3.4 KG&lt;br&gt;ZARD STEEL FULL KIT WEIGHT: 4.4 KG&lt;/p&gt;_x000a_&lt;p&gt;THE MUFFLER IS ALSO AVAILABLE IN STEEL VERSION&lt;/p&gt;_x000a_&lt;p&gt;HARD INCREASE, COMPARED TO THE ORIGINAL EXHAUST SYSTEM, IN TERMS OF TORQUE AND POWER AT ANY RANGE&lt;/p&gt;_x000a_&lt;p&gt;ASTONISHING SOUND&lt;/p&gt;"/>
    <m/>
    <s v="HEADER KIT TIT. RACING + SIL. TIT. RACING"/>
    <n v="489.84"/>
  </r>
  <r>
    <s v="1586059669-11117"/>
    <s v="https://shop.officineitalianezard.it/en/products/"/>
    <m/>
    <s v="https://shop.officineitalianezard.it/en/harley-davidson-zard-exhaust/"/>
    <s v="XR 1200"/>
    <s v="https://shop.officineitalianezard.it/en/harley-davidson-xr-1200-exhaust/"/>
    <s v="2&gt;1 VERSION"/>
    <x v="189"/>
    <s v="FULL KIT"/>
    <s v="ZHD 513 SKR-T"/>
    <s v="HARLEY-DAVIDSON XR 1200"/>
    <n v="1184.75"/>
    <n v="1316.39"/>
    <s v="&lt;p&gt;2&amp;gt;1 FULL KIT STEEL-TITANIUM RACING WITH REMOVABLE DB KILLER&lt;/p&gt;_x000a_&lt;p&gt;ZARD TITANIUM FULL KIT WEIGHT: 3.4 KG&lt;br&gt;ZARD STEEL FULL KIT WEIGHT: 4.4 KG&lt;/p&gt;_x000a_&lt;p&gt;THE MUFFLER IS ALSO AVAILABLE IN STEEL VERSION&lt;/p&gt;_x000a_&lt;p&gt;HARD INCREASE, COMPARED TO THE ORIGINAL EXHAUST SYSTEM, IN TERMS OF TORQUE AND POWER AT ANY RANGE&lt;/p&gt;_x000a_&lt;p&gt;ASTONISHING SOUND&lt;/p&gt;"/>
    <m/>
    <s v="HEADER KIT TIT. RACING + SIL. TIT. HOM."/>
    <n v="677.95"/>
  </r>
  <r>
    <s v="1586059669-11118"/>
    <s v="https://shop.officineitalianezard.it/en/products/"/>
    <m/>
    <s v="https://shop.officineitalianezard.it/en/harley-davidson-zard-exhaust/"/>
    <s v="XR 1200"/>
    <s v="https://shop.officineitalianezard.it/en/harley-davidson-xr-1200-exhaust/"/>
    <s v="2&gt;1 VERSION"/>
    <x v="189"/>
    <s v="FULL KIT"/>
    <s v="ZHD 513 SKR-T"/>
    <s v="HARLEY-DAVIDSON XR 1200"/>
    <n v="1184.75"/>
    <n v="1316.39"/>
    <s v="&lt;p&gt;2&amp;gt;1 FULL KIT STEEL-TITANIUM RACING WITH REMOVABLE DB KILLER&lt;/p&gt;_x000a_&lt;p&gt;ZARD TITANIUM FULL KIT WEIGHT: 3.4 KG&lt;br&gt;ZARD STEEL FULL KIT WEIGHT: 4.4 KG&lt;/p&gt;_x000a_&lt;p&gt;THE MUFFLER IS ALSO AVAILABLE IN STEEL VERSION&lt;/p&gt;_x000a_&lt;p&gt;HARD INCREASE, COMPARED TO THE ORIGINAL EXHAUST SYSTEM, IN TERMS OF TORQUE AND POWER AT ANY RANGE&lt;/p&gt;_x000a_&lt;p&gt;ASTONISHING SOUND&lt;/p&gt;"/>
    <m/>
    <s v="HEADER KIT TITANIUM RACING + SIL. CARB. RACING"/>
    <n v="489.84"/>
  </r>
  <r>
    <s v="1586059669-11119"/>
    <s v="https://shop.officineitalianezard.it/en/products/"/>
    <m/>
    <s v="https://shop.officineitalianezard.it/en/harley-davidson-zard-exhaust/"/>
    <s v="XR 1200"/>
    <s v="https://shop.officineitalianezard.it/en/harley-davidson-xr-1200-exhaust/"/>
    <s v="2&gt;1 VERSION"/>
    <x v="189"/>
    <s v="FULL KIT"/>
    <s v="ZHD 513 SKR-T"/>
    <s v="HARLEY-DAVIDSON XR 1200"/>
    <n v="1184.75"/>
    <n v="1316.39"/>
    <s v="&lt;p&gt;2&amp;gt;1 FULL KIT STEEL-TITANIUM RACING WITH REMOVABLE DB KILLER&lt;/p&gt;_x000a_&lt;p&gt;ZARD TITANIUM FULL KIT WEIGHT: 3.4 KG&lt;br&gt;ZARD STEEL FULL KIT WEIGHT: 4.4 KG&lt;/p&gt;_x000a_&lt;p&gt;THE MUFFLER IS ALSO AVAILABLE IN STEEL VERSION&lt;/p&gt;_x000a_&lt;p&gt;HARD INCREASE, COMPARED TO THE ORIGINAL EXHAUST SYSTEM, IN TERMS OF TORQUE AND POWER AT ANY RANGE&lt;/p&gt;_x000a_&lt;p&gt;ASTONISHING SOUND&lt;/p&gt;"/>
    <m/>
    <s v="HEADER KIT TIT. RACING + SIL. CARB. HOM."/>
    <n v="677.95"/>
  </r>
  <r>
    <s v="1586059669-11120"/>
    <s v="https://shop.officineitalianezard.it/en/products/"/>
    <m/>
    <s v="https://shop.officineitalianezard.it/en/harley-davidson-zard-exhaust/"/>
    <s v="XR 1200"/>
    <s v="https://shop.officineitalianezard.it/en/harley-davidson-xr-1200-exhaust/"/>
    <s v="2&gt;1 VERSION"/>
    <x v="189"/>
    <s v="FULL KIT"/>
    <s v="ZHD 513 SKR-T"/>
    <s v="HARLEY-DAVIDSON XR 1200"/>
    <n v="1184.75"/>
    <n v="1316.39"/>
    <s v="&lt;p&gt;2&amp;gt;1 FULL KIT STEEL-TITANIUM RACING WITH REMOVABLE DB KILLER&lt;/p&gt;_x000a_&lt;p&gt;ZARD TITANIUM FULL KIT WEIGHT: 3.4 KG&lt;br&gt;ZARD STEEL FULL KIT WEIGHT: 4.4 KG&lt;/p&gt;_x000a_&lt;p&gt;THE MUFFLER IS ALSO AVAILABLE IN STEEL VERSION&lt;/p&gt;_x000a_&lt;p&gt;HARD INCREASE, COMPARED TO THE ORIGINAL EXHAUST SYSTEM, IN TERMS OF TORQUE AND POWER AT ANY RANGE&lt;/p&gt;_x000a_&lt;p&gt;ASTONISHING SOUND&lt;/p&gt;"/>
    <m/>
    <s v="BLACK COATING"/>
    <n v="203.61"/>
  </r>
  <r>
    <s v="1586059677-11121"/>
    <s v="https://shop.officineitalianezard.it/en/products/"/>
    <m/>
    <s v="https://shop.officineitalianezard.it/en/ducati-zard-exhaust/"/>
    <s v="STREETFIGHTER 848/1098"/>
    <s v="https://shop.officineitalianezard.it/en/ducati-streetfighter-1098-exhaust/"/>
    <s v="2&gt;1&gt;2"/>
    <x v="190"/>
    <s v="FULL KIT"/>
    <s v="ZD113SKR"/>
    <s v="DUCATI STREETFIGHTER 848/1098"/>
    <n v="1410.49"/>
    <n v="1567.21"/>
    <s v="&lt;p&gt;2&amp;gt;1&amp;gt;2 STEEL FULL KIT RACING WITH REMOVABLE DB KILLER&lt;br&gt;CARBON END-CAPS AND HEAT-SHIELD&lt;/p&gt;_x000a_&lt;p&gt;ZARD STEEL SILENCERS CAT WEIGHT: KG 8.4&lt;br&gt;ZARD TITANIUM SILENCERS WEIGHT: KG 4.5&lt;/p&gt;_x000a_&lt;p&gt;THE KIT USES THE STANDARD FRONT AND REAR CYLINDER HEAD PIPES.&lt;/p&gt;_x000a_&lt;p&gt;HARD INCREASE, COMPARED TO THE ORIGINAL EXHAUST SYSTEM,&lt;br&gt;IN TERMS OF TORQUE AND POWER AT ANY RANGE (+3 HP FOR THE RACING VERSION)&lt;br&gt;ASTONISHING SOUND.&lt;/p&gt;_x000a_&lt;p&gt;&lt;strong&gt;NOTICE&lt;/strong&gt;&lt;span&gt;: THIS KIT CAN FIT ON STREETFIGHER 848&lt;br&gt;ONLY IN RACING VERSION (NOT HOMOLOGATED)&lt;/span&gt;&lt;/p&gt;_x000a_&lt;p&gt;&lt;/p&gt;"/>
    <s v="https://shop.officineitalianezard.it/contents/imgs/products/1_1461-2_443-streetfighterkit2.jpg"/>
    <m/>
    <m/>
  </r>
  <r>
    <s v="1586059677-11122"/>
    <s v="https://shop.officineitalianezard.it/en/products/"/>
    <m/>
    <s v="https://shop.officineitalianezard.it/en/ducati-zard-exhaust/"/>
    <s v="STREETFIGHTER 848/1098"/>
    <s v="https://shop.officineitalianezard.it/en/ducati-streetfighter-1098-exhaust/"/>
    <s v="2&gt;1&gt;2"/>
    <x v="190"/>
    <s v="FULL KIT"/>
    <s v="ZD113SKR"/>
    <s v="DUCATI STREETFIGHTER 848/1098"/>
    <n v="1410.49"/>
    <n v="1567.21"/>
    <s v="&lt;p&gt;2&amp;gt;1&amp;gt;2 STEEL FULL KIT RACING WITH REMOVABLE DB KILLER&lt;br&gt;CARBON END-CAPS AND HEAT-SHIELD&lt;/p&gt;_x000a_&lt;p&gt;ZARD STEEL SILENCERS CAT WEIGHT: KG 8.4&lt;br&gt;ZARD TITANIUM SILENCERS WEIGHT: KG 4.5&lt;/p&gt;_x000a_&lt;p&gt;THE KIT USES THE STANDARD FRONT AND REAR CYLINDER HEAD PIPES.&lt;/p&gt;_x000a_&lt;p&gt;HARD INCREASE, COMPARED TO THE ORIGINAL EXHAUST SYSTEM,&lt;br&gt;IN TERMS OF TORQUE AND POWER AT ANY RANGE (+3 HP FOR THE RACING VERSION)&lt;br&gt;ASTONISHING SOUND.&lt;/p&gt;_x000a_&lt;p&gt;&lt;strong&gt;NOTICE&lt;/strong&gt;&lt;span&gt;: THIS KIT CAN FIT ON STREETFIGHER 848&lt;br&gt;ONLY IN RACING VERSION (NOT HOMOLOGATED)&lt;/span&gt;&lt;/p&gt;_x000a_&lt;p&gt;&lt;/p&gt;"/>
    <s v="https://shop.officineitalianezard.it/contents/imgs/products/1_1462-2_552-Streetfighterkit4.jpg"/>
    <m/>
    <m/>
  </r>
  <r>
    <s v="1586059677-11123"/>
    <s v="https://shop.officineitalianezard.it/en/products/"/>
    <m/>
    <s v="https://shop.officineitalianezard.it/en/ducati-zard-exhaust/"/>
    <s v="STREETFIGHTER 848/1098"/>
    <s v="https://shop.officineitalianezard.it/en/ducati-streetfighter-1098-exhaust/"/>
    <s v="2&gt;1&gt;2"/>
    <x v="190"/>
    <s v="FULL KIT"/>
    <s v="ZD113SKR"/>
    <s v="DUCATI STREETFIGHTER 848/1098"/>
    <n v="1410.49"/>
    <n v="1567.21"/>
    <s v="&lt;p&gt;2&amp;gt;1&amp;gt;2 STEEL FULL KIT RACING WITH REMOVABLE DB KILLER&lt;br&gt;CARBON END-CAPS AND HEAT-SHIELD&lt;/p&gt;_x000a_&lt;p&gt;ZARD STEEL SILENCERS CAT WEIGHT: KG 8.4&lt;br&gt;ZARD TITANIUM SILENCERS WEIGHT: KG 4.5&lt;/p&gt;_x000a_&lt;p&gt;THE KIT USES THE STANDARD FRONT AND REAR CYLINDER HEAD PIPES.&lt;/p&gt;_x000a_&lt;p&gt;HARD INCREASE, COMPARED TO THE ORIGINAL EXHAUST SYSTEM,&lt;br&gt;IN TERMS OF TORQUE AND POWER AT ANY RANGE (+3 HP FOR THE RACING VERSION)&lt;br&gt;ASTONISHING SOUND.&lt;/p&gt;_x000a_&lt;p&gt;&lt;strong&gt;NOTICE&lt;/strong&gt;&lt;span&gt;: THIS KIT CAN FIT ON STREETFIGHER 848&lt;br&gt;ONLY IN RACING VERSION (NOT HOMOLOGATED)&lt;/span&gt;&lt;/p&gt;_x000a_&lt;p&gt;&lt;/p&gt;"/>
    <m/>
    <s v="HOMOLOGATED CATALYZED STEEL"/>
    <n v="92.21"/>
  </r>
  <r>
    <s v="1586059677-11124"/>
    <s v="https://shop.officineitalianezard.it/en/products/"/>
    <m/>
    <s v="https://shop.officineitalianezard.it/en/ducati-zard-exhaust/"/>
    <s v="STREETFIGHTER 848/1098"/>
    <s v="https://shop.officineitalianezard.it/en/ducati-streetfighter-1098-exhaust/"/>
    <s v="2&gt;1&gt;2"/>
    <x v="190"/>
    <s v="FULL KIT"/>
    <s v="ZD113SKR"/>
    <s v="DUCATI STREETFIGHTER 848/1098"/>
    <n v="1410.49"/>
    <n v="1567.21"/>
    <s v="&lt;p&gt;2&amp;gt;1&amp;gt;2 STEEL FULL KIT RACING WITH REMOVABLE DB KILLER&lt;br&gt;CARBON END-CAPS AND HEAT-SHIELD&lt;/p&gt;_x000a_&lt;p&gt;ZARD STEEL SILENCERS CAT WEIGHT: KG 8.4&lt;br&gt;ZARD TITANIUM SILENCERS WEIGHT: KG 4.5&lt;/p&gt;_x000a_&lt;p&gt;THE KIT USES THE STANDARD FRONT AND REAR CYLINDER HEAD PIPES.&lt;/p&gt;_x000a_&lt;p&gt;HARD INCREASE, COMPARED TO THE ORIGINAL EXHAUST SYSTEM,&lt;br&gt;IN TERMS OF TORQUE AND POWER AT ANY RANGE (+3 HP FOR THE RACING VERSION)&lt;br&gt;ASTONISHING SOUND.&lt;/p&gt;_x000a_&lt;p&gt;&lt;strong&gt;NOTICE&lt;/strong&gt;&lt;span&gt;: THIS KIT CAN FIT ON STREETFIGHER 848&lt;br&gt;ONLY IN RACING VERSION (NOT HOMOLOGATED)&lt;/span&gt;&lt;/p&gt;_x000a_&lt;p&gt;&lt;/p&gt;"/>
    <m/>
    <s v="STEEL TITANIUM HOMOLOGATED"/>
    <n v="300.98"/>
  </r>
  <r>
    <s v="1586059677-11125"/>
    <s v="https://shop.officineitalianezard.it/en/products/"/>
    <m/>
    <s v="https://shop.officineitalianezard.it/en/ducati-zard-exhaust/"/>
    <s v="STREETFIGHTER 848/1098"/>
    <s v="https://shop.officineitalianezard.it/en/ducati-streetfighter-1098-exhaust/"/>
    <s v="2&gt;1&gt;2"/>
    <x v="190"/>
    <s v="FULL KIT"/>
    <s v="ZD113SKR"/>
    <s v="DUCATI STREETFIGHTER 848/1098"/>
    <n v="1410.49"/>
    <n v="1567.21"/>
    <s v="&lt;p&gt;2&amp;gt;1&amp;gt;2 STEEL FULL KIT RACING WITH REMOVABLE DB KILLER&lt;br&gt;CARBON END-CAPS AND HEAT-SHIELD&lt;/p&gt;_x000a_&lt;p&gt;ZARD STEEL SILENCERS CAT WEIGHT: KG 8.4&lt;br&gt;ZARD TITANIUM SILENCERS WEIGHT: KG 4.5&lt;/p&gt;_x000a_&lt;p&gt;THE KIT USES THE STANDARD FRONT AND REAR CYLINDER HEAD PIPES.&lt;/p&gt;_x000a_&lt;p&gt;HARD INCREASE, COMPARED TO THE ORIGINAL EXHAUST SYSTEM,&lt;br&gt;IN TERMS OF TORQUE AND POWER AT ANY RANGE (+3 HP FOR THE RACING VERSION)&lt;br&gt;ASTONISHING SOUND.&lt;/p&gt;_x000a_&lt;p&gt;&lt;strong&gt;NOTICE&lt;/strong&gt;&lt;span&gt;: THIS KIT CAN FIT ON STREETFIGHER 848&lt;br&gt;ONLY IN RACING VERSION (NOT HOMOLOGATED)&lt;/span&gt;&lt;/p&gt;_x000a_&lt;p&gt;&lt;/p&gt;"/>
    <m/>
    <s v="STEEL-TITANIUM RACING"/>
    <n v="206.56"/>
  </r>
  <r>
    <s v="1586059677-11126"/>
    <s v="https://shop.officineitalianezard.it/en/products/"/>
    <m/>
    <s v="https://shop.officineitalianezard.it/en/ducati-zard-exhaust/"/>
    <s v="STREETFIGHTER 848/1098"/>
    <s v="https://shop.officineitalianezard.it/en/ducati-streetfighter-1098-exhaust/"/>
    <s v="2&gt;1&gt;2"/>
    <x v="190"/>
    <s v="FULL KIT"/>
    <s v="ZD113SKR"/>
    <s v="DUCATI STREETFIGHTER 848/1098"/>
    <n v="1410.49"/>
    <n v="1567.21"/>
    <s v="&lt;p&gt;2&amp;gt;1&amp;gt;2 STEEL FULL KIT RACING WITH REMOVABLE DB KILLER&lt;br&gt;CARBON END-CAPS AND HEAT-SHIELD&lt;/p&gt;_x000a_&lt;p&gt;ZARD STEEL SILENCERS CAT WEIGHT: KG 8.4&lt;br&gt;ZARD TITANIUM SILENCERS WEIGHT: KG 4.5&lt;/p&gt;_x000a_&lt;p&gt;THE KIT USES THE STANDARD FRONT AND REAR CYLINDER HEAD PIPES.&lt;/p&gt;_x000a_&lt;p&gt;HARD INCREASE, COMPARED TO THE ORIGINAL EXHAUST SYSTEM,&lt;br&gt;IN TERMS OF TORQUE AND POWER AT ANY RANGE (+3 HP FOR THE RACING VERSION)&lt;br&gt;ASTONISHING SOUND.&lt;/p&gt;_x000a_&lt;p&gt;&lt;strong&gt;NOTICE&lt;/strong&gt;&lt;span&gt;: THIS KIT CAN FIT ON STREETFIGHER 848&lt;br&gt;ONLY IN RACING VERSION (NOT HOMOLOGATED)&lt;/span&gt;&lt;/p&gt;_x000a_&lt;p&gt;&lt;/p&gt;"/>
    <m/>
    <s v="FULL TITANIUM RACING"/>
    <n v="893.36"/>
  </r>
  <r>
    <s v="1586059680-11127"/>
    <s v="https://shop.officineitalianezard.it/en/products/"/>
    <m/>
    <s v="https://shop.officineitalianezard.it/en/ducati-zard-exhaust/"/>
    <s v="STREETFIGHTER 848/1098"/>
    <s v="https://shop.officineitalianezard.it/en/ducati-streetfighter-1098-exhaust/"/>
    <s v="CONICAL VERSION"/>
    <x v="191"/>
    <s v="SILENCERS"/>
    <s v="ZD112SSR"/>
    <s v="DUCATI STREETFIGHTER 848/1098"/>
    <n v="601.97"/>
    <n v="668.85"/>
    <s v="&lt;p&gt;STEEL SILENCERS RACING WITH REMOVABLE DB KILLER&lt;/p&gt;_x000a_&lt;p&gt;ORIGINAL SILENCERS WEIGHT: KG 6&lt;br&gt;ZARD STEEL SILENCERS WEIGHT: KG 3.8&lt;br&gt;ZARD TITANIUM SILENCERS WEIGHT: KG 2.4&lt;/p&gt;_x000a_&lt;p&gt;HARD INCREASE, COMPARED TO THE ORIGINAL EXHAUST SYSTEM,&lt;br&gt;IN TERMS OF TORQUE AND POWER AT ANY RANGE (+3 HP FOR THE RACING VERSION).&lt;/p&gt;_x000a_&lt;p&gt;ASTONISHING SOUND.&lt;/p&gt;_x000a_&lt;p&gt;&lt;strong&gt;NOTICE&lt;/strong&gt;&lt;span&gt;: THIS SILENCERS CAN BE FITTED ALSO ON STREETFIGHTER 848&lt;/span&gt;&lt;/p&gt;"/>
    <s v="https://shop.officineitalianezard.it/contents/imgs/products/1_439-streetfightersilenziatori1.jpg"/>
    <m/>
    <m/>
  </r>
  <r>
    <s v="1586059680-11128"/>
    <s v="https://shop.officineitalianezard.it/en/products/"/>
    <m/>
    <s v="https://shop.officineitalianezard.it/en/ducati-zard-exhaust/"/>
    <s v="STREETFIGHTER 848/1098"/>
    <s v="https://shop.officineitalianezard.it/en/ducati-streetfighter-1098-exhaust/"/>
    <s v="CONICAL VERSION"/>
    <x v="191"/>
    <s v="SILENCERS"/>
    <s v="ZD112SSR"/>
    <s v="DUCATI STREETFIGHTER 848/1098"/>
    <n v="601.97"/>
    <n v="668.85"/>
    <s v="&lt;p&gt;STEEL SILENCERS RACING WITH REMOVABLE DB KILLER&lt;/p&gt;_x000a_&lt;p&gt;ORIGINAL SILENCERS WEIGHT: KG 6&lt;br&gt;ZARD STEEL SILENCERS WEIGHT: KG 3.8&lt;br&gt;ZARD TITANIUM SILENCERS WEIGHT: KG 2.4&lt;/p&gt;_x000a_&lt;p&gt;HARD INCREASE, COMPARED TO THE ORIGINAL EXHAUST SYSTEM,&lt;br&gt;IN TERMS OF TORQUE AND POWER AT ANY RANGE (+3 HP FOR THE RACING VERSION).&lt;/p&gt;_x000a_&lt;p&gt;ASTONISHING SOUND.&lt;/p&gt;_x000a_&lt;p&gt;&lt;strong&gt;NOTICE&lt;/strong&gt;&lt;span&gt;: THIS SILENCERS CAN BE FITTED ALSO ON STREETFIGHTER 848&lt;/span&gt;&lt;/p&gt;"/>
    <s v="https://shop.officineitalianezard.it/contents/imgs/products/1_440-streetfightersilenziatori2.jpg"/>
    <m/>
    <m/>
  </r>
  <r>
    <s v="1586059680-11129"/>
    <s v="https://shop.officineitalianezard.it/en/products/"/>
    <m/>
    <s v="https://shop.officineitalianezard.it/en/ducati-zard-exhaust/"/>
    <s v="STREETFIGHTER 848/1098"/>
    <s v="https://shop.officineitalianezard.it/en/ducati-streetfighter-1098-exhaust/"/>
    <s v="CONICAL VERSION"/>
    <x v="191"/>
    <s v="SILENCERS"/>
    <s v="ZD112SSR"/>
    <s v="DUCATI STREETFIGHTER 848/1098"/>
    <n v="601.97"/>
    <n v="668.85"/>
    <s v="&lt;p&gt;STEEL SILENCERS RACING WITH REMOVABLE DB KILLER&lt;/p&gt;_x000a_&lt;p&gt;ORIGINAL SILENCERS WEIGHT: KG 6&lt;br&gt;ZARD STEEL SILENCERS WEIGHT: KG 3.8&lt;br&gt;ZARD TITANIUM SILENCERS WEIGHT: KG 2.4&lt;/p&gt;_x000a_&lt;p&gt;HARD INCREASE, COMPARED TO THE ORIGINAL EXHAUST SYSTEM,&lt;br&gt;IN TERMS OF TORQUE AND POWER AT ANY RANGE (+3 HP FOR THE RACING VERSION).&lt;/p&gt;_x000a_&lt;p&gt;ASTONISHING SOUND.&lt;/p&gt;_x000a_&lt;p&gt;&lt;strong&gt;NOTICE&lt;/strong&gt;&lt;span&gt;: THIS SILENCERS CAN BE FITTED ALSO ON STREETFIGHTER 848&lt;/span&gt;&lt;/p&gt;"/>
    <s v="https://shop.officineitalianezard.it/contents/imgs/products/1_553-Streetfightersilenziatori3.jpg"/>
    <m/>
    <m/>
  </r>
  <r>
    <s v="1586059680-11130"/>
    <s v="https://shop.officineitalianezard.it/en/products/"/>
    <m/>
    <s v="https://shop.officineitalianezard.it/en/ducati-zard-exhaust/"/>
    <s v="STREETFIGHTER 848/1098"/>
    <s v="https://shop.officineitalianezard.it/en/ducati-streetfighter-1098-exhaust/"/>
    <s v="CONICAL VERSION"/>
    <x v="191"/>
    <s v="SILENCERS"/>
    <s v="ZD112SSR"/>
    <s v="DUCATI STREETFIGHTER 848/1098"/>
    <n v="601.97"/>
    <n v="668.85"/>
    <s v="&lt;p&gt;STEEL SILENCERS RACING WITH REMOVABLE DB KILLER&lt;/p&gt;_x000a_&lt;p&gt;ORIGINAL SILENCERS WEIGHT: KG 6&lt;br&gt;ZARD STEEL SILENCERS WEIGHT: KG 3.8&lt;br&gt;ZARD TITANIUM SILENCERS WEIGHT: KG 2.4&lt;/p&gt;_x000a_&lt;p&gt;HARD INCREASE, COMPARED TO THE ORIGINAL EXHAUST SYSTEM,&lt;br&gt;IN TERMS OF TORQUE AND POWER AT ANY RANGE (+3 HP FOR THE RACING VERSION).&lt;/p&gt;_x000a_&lt;p&gt;ASTONISHING SOUND.&lt;/p&gt;_x000a_&lt;p&gt;&lt;strong&gt;NOTICE&lt;/strong&gt;&lt;span&gt;: THIS SILENCERS CAN BE FITTED ALSO ON STREETFIGHTER 848&lt;/span&gt;&lt;/p&gt;"/>
    <m/>
    <s v="FULL TITANIUM"/>
    <n v="245.66"/>
  </r>
  <r>
    <s v="1586059686-11131"/>
    <s v="https://shop.officineitalianezard.it/en/products/"/>
    <m/>
    <s v="https://shop.officineitalianezard.it/en/ducati-zard-exhaust/"/>
    <s v="SPORT 1000 &amp; PAUL SMART 2005/08"/>
    <s v="https://shop.officineitalianezard.it/en/ducati-smart-1000-paul-smart-exhaust/"/>
    <s v="OVERLAPPED VERSION"/>
    <x v="192"/>
    <s v="SILENCERS"/>
    <s v="ZD019SSR"/>
    <s v="DUCATI SPORT 1000 &amp; PAUL SMART 2005/08"/>
    <n v="594.59"/>
    <n v="660.66"/>
    <s v="&lt;p&gt;N.2 STELL RACING SILENCERS WITH REMOVABLE DB KILLER&lt;/p&gt;_x000a_&lt;p&gt;HIGH RESISTANT BLACK CERAMIC COATING STANDARD EQUIPMENT ON STEEL VERSION&lt;/p&gt;_x000a_&lt;p&gt;BLACK ENDCAPS ON FULL TITANIUM VERSION&lt;/p&gt;_x000a_&lt;p&gt;ORIGINAL SILENCERS WEIGHT: KG 8.5&lt;br&gt;ZARD STEEL SILENCERS WEIGHT: KG 4.4&lt;/p&gt;_x000a_&lt;p&gt;HARD INCREASE, COMPARED TO THE ORIGINAL EXHAUST SYSTEM, IN TERMS OF TORQUE AND POWER AT ANY RANGE (+2 HP FOR THE RACING VERSION).&lt;br&gt;ASTONISHING SOUND.&lt;/p&gt;"/>
    <s v="https://shop.officineitalianezard.it/contents/imgs/products/1_438-ducati-sport-paul-smart-003.jpg"/>
    <m/>
    <m/>
  </r>
  <r>
    <s v="1586059686-11132"/>
    <s v="https://shop.officineitalianezard.it/en/products/"/>
    <m/>
    <s v="https://shop.officineitalianezard.it/en/ducati-zard-exhaust/"/>
    <s v="SPORT 1000 &amp; PAUL SMART 2005/08"/>
    <s v="https://shop.officineitalianezard.it/en/ducati-smart-1000-paul-smart-exhaust/"/>
    <s v="OVERLAPPED VERSION"/>
    <x v="192"/>
    <s v="SILENCERS"/>
    <s v="ZD019SSR"/>
    <s v="DUCATI SPORT 1000 &amp; PAUL SMART 2005/08"/>
    <n v="594.59"/>
    <n v="660.66"/>
    <s v="&lt;p&gt;N.2 STELL RACING SILENCERS WITH REMOVABLE DB KILLER&lt;/p&gt;_x000a_&lt;p&gt;HIGH RESISTANT BLACK CERAMIC COATING STANDARD EQUIPMENT ON STEEL VERSION&lt;/p&gt;_x000a_&lt;p&gt;BLACK ENDCAPS ON FULL TITANIUM VERSION&lt;/p&gt;_x000a_&lt;p&gt;ORIGINAL SILENCERS WEIGHT: KG 8.5&lt;br&gt;ZARD STEEL SILENCERS WEIGHT: KG 4.4&lt;/p&gt;_x000a_&lt;p&gt;HARD INCREASE, COMPARED TO THE ORIGINAL EXHAUST SYSTEM, IN TERMS OF TORQUE AND POWER AT ANY RANGE (+2 HP FOR THE RACING VERSION).&lt;br&gt;ASTONISHING SOUND.&lt;/p&gt;"/>
    <m/>
    <s v="EURO 3 HOMOLOGATED"/>
    <n v="36.89"/>
  </r>
  <r>
    <s v="1586059686-11133"/>
    <s v="https://shop.officineitalianezard.it/en/products/"/>
    <m/>
    <s v="https://shop.officineitalianezard.it/en/ducati-zard-exhaust/"/>
    <s v="SPORT 1000 &amp; PAUL SMART 2005/08"/>
    <s v="https://shop.officineitalianezard.it/en/ducati-smart-1000-paul-smart-exhaust/"/>
    <s v="OVERLAPPED VERSION"/>
    <x v="192"/>
    <s v="SILENCERS"/>
    <s v="ZD019SSR"/>
    <s v="DUCATI SPORT 1000 &amp; PAUL SMART 2005/08"/>
    <n v="594.59"/>
    <n v="660.66"/>
    <s v="&lt;p&gt;N.2 STELL RACING SILENCERS WITH REMOVABLE DB KILLER&lt;/p&gt;_x000a_&lt;p&gt;HIGH RESISTANT BLACK CERAMIC COATING STANDARD EQUIPMENT ON STEEL VERSION&lt;/p&gt;_x000a_&lt;p&gt;BLACK ENDCAPS ON FULL TITANIUM VERSION&lt;/p&gt;_x000a_&lt;p&gt;ORIGINAL SILENCERS WEIGHT: KG 8.5&lt;br&gt;ZARD STEEL SILENCERS WEIGHT: KG 4.4&lt;/p&gt;_x000a_&lt;p&gt;HARD INCREASE, COMPARED TO THE ORIGINAL EXHAUST SYSTEM, IN TERMS OF TORQUE AND POWER AT ANY RANGE (+2 HP FOR THE RACING VERSION).&lt;br&gt;ASTONISHING SOUND.&lt;/p&gt;"/>
    <m/>
    <s v="FULL TITANIUM HOMOLOGATED"/>
    <n v="432.3"/>
  </r>
  <r>
    <s v="1586059686-11134"/>
    <s v="https://shop.officineitalianezard.it/en/products/"/>
    <m/>
    <s v="https://shop.officineitalianezard.it/en/ducati-zard-exhaust/"/>
    <s v="SPORT 1000 &amp; PAUL SMART 2005/08"/>
    <s v="https://shop.officineitalianezard.it/en/ducati-smart-1000-paul-smart-exhaust/"/>
    <s v="OVERLAPPED VERSION"/>
    <x v="192"/>
    <s v="SILENCERS"/>
    <s v="ZD019SSR"/>
    <s v="DUCATI SPORT 1000 &amp; PAUL SMART 2005/08"/>
    <n v="594.59"/>
    <n v="660.66"/>
    <s v="&lt;p&gt;N.2 STELL RACING SILENCERS WITH REMOVABLE DB KILLER&lt;/p&gt;_x000a_&lt;p&gt;HIGH RESISTANT BLACK CERAMIC COATING STANDARD EQUIPMENT ON STEEL VERSION&lt;/p&gt;_x000a_&lt;p&gt;BLACK ENDCAPS ON FULL TITANIUM VERSION&lt;/p&gt;_x000a_&lt;p&gt;ORIGINAL SILENCERS WEIGHT: KG 8.5&lt;br&gt;ZARD STEEL SILENCERS WEIGHT: KG 4.4&lt;/p&gt;_x000a_&lt;p&gt;HARD INCREASE, COMPARED TO THE ORIGINAL EXHAUST SYSTEM, IN TERMS OF TORQUE AND POWER AT ANY RANGE (+2 HP FOR THE RACING VERSION).&lt;br&gt;ASTONISHING SOUND.&lt;/p&gt;"/>
    <m/>
    <s v="FULL TITANIUM RACING"/>
    <n v="354.84"/>
  </r>
  <r>
    <s v="1586059690-11135"/>
    <s v="https://shop.officineitalianezard.it/en/products/"/>
    <m/>
    <s v="https://shop.officineitalianezard.it/en/ducati-zard-exhaust/"/>
    <s v="SPORT 1000 &amp; PAUL SMART 2005/08"/>
    <s v="https://shop.officineitalianezard.it/en/ducati-smart-1000-paul-smart-exhaust/"/>
    <s v="2&gt;2 VERSION"/>
    <x v="193"/>
    <s v="FULL KIT"/>
    <s v="ZD018SKR"/>
    <s v="DUCATI SPORT 1000 &amp; PAUL SMART 2005/08"/>
    <n v="1307.95"/>
    <n v="1453.28"/>
    <s v="&lt;p&gt;2&amp;gt;2 STEEL FULL KIT RACING WITH REMOVABLE DB KILLER&lt;/p&gt;_x000a_&lt;p&gt;ZARD FULL KIT STEEL WEIGHT: KG 5.7&lt;br&gt;ZARD FULL KIT TITANIUM WEIGHT: KG 4.5&lt;/p&gt;_x000a_&lt;p&gt;HARD INCREASE, COMPARED TO THE STANDARD EXHAUST SYSTEM, IN TERMS OF TORQUE AND POWER AT ANY RANGE (+4 HP IN RACING VERSION).&lt;/p&gt;_x000a_&lt;p&gt;ASTONISHING SOUND.&lt;/p&gt;"/>
    <s v="https://shop.officineitalianezard.it/contents/imgs/products/1_430-paul-smart-kit-completo-021.jpg"/>
    <m/>
    <m/>
  </r>
  <r>
    <s v="1586059690-11136"/>
    <s v="https://shop.officineitalianezard.it/en/products/"/>
    <m/>
    <s v="https://shop.officineitalianezard.it/en/ducati-zard-exhaust/"/>
    <s v="SPORT 1000 &amp; PAUL SMART 2005/08"/>
    <s v="https://shop.officineitalianezard.it/en/ducati-smart-1000-paul-smart-exhaust/"/>
    <s v="2&gt;2 VERSION"/>
    <x v="193"/>
    <s v="FULL KIT"/>
    <s v="ZD018SKR"/>
    <s v="DUCATI SPORT 1000 &amp; PAUL SMART 2005/08"/>
    <n v="1307.95"/>
    <n v="1453.28"/>
    <s v="&lt;p&gt;2&amp;gt;2 STEEL FULL KIT RACING WITH REMOVABLE DB KILLER&lt;/p&gt;_x000a_&lt;p&gt;ZARD FULL KIT STEEL WEIGHT: KG 5.7&lt;br&gt;ZARD FULL KIT TITANIUM WEIGHT: KG 4.5&lt;/p&gt;_x000a_&lt;p&gt;HARD INCREASE, COMPARED TO THE STANDARD EXHAUST SYSTEM, IN TERMS OF TORQUE AND POWER AT ANY RANGE (+4 HP IN RACING VERSION).&lt;/p&gt;_x000a_&lt;p&gt;ASTONISHING SOUND.&lt;/p&gt;"/>
    <s v="https://shop.officineitalianezard.it/contents/imgs/products/1_429-paul-smart-kit-completo-001.jpg"/>
    <m/>
    <m/>
  </r>
  <r>
    <s v="1586059690-11137"/>
    <s v="https://shop.officineitalianezard.it/en/products/"/>
    <m/>
    <s v="https://shop.officineitalianezard.it/en/ducati-zard-exhaust/"/>
    <s v="SPORT 1000 &amp; PAUL SMART 2005/08"/>
    <s v="https://shop.officineitalianezard.it/en/ducati-smart-1000-paul-smart-exhaust/"/>
    <s v="2&gt;2 VERSION"/>
    <x v="193"/>
    <s v="FULL KIT"/>
    <s v="ZD018SKR"/>
    <s v="DUCATI SPORT 1000 &amp; PAUL SMART 2005/08"/>
    <n v="1307.95"/>
    <n v="1453.28"/>
    <s v="&lt;p&gt;2&amp;gt;2 STEEL FULL KIT RACING WITH REMOVABLE DB KILLER&lt;/p&gt;_x000a_&lt;p&gt;ZARD FULL KIT STEEL WEIGHT: KG 5.7&lt;br&gt;ZARD FULL KIT TITANIUM WEIGHT: KG 4.5&lt;/p&gt;_x000a_&lt;p&gt;HARD INCREASE, COMPARED TO THE STANDARD EXHAUST SYSTEM, IN TERMS OF TORQUE AND POWER AT ANY RANGE (+4 HP IN RACING VERSION).&lt;/p&gt;_x000a_&lt;p&gt;ASTONISHING SOUND.&lt;/p&gt;"/>
    <s v="https://shop.officineitalianezard.it/contents/imgs/products/1_431-paul-smart-kit-completo-016.jpg"/>
    <m/>
    <m/>
  </r>
  <r>
    <s v="1586059690-11138"/>
    <s v="https://shop.officineitalianezard.it/en/products/"/>
    <m/>
    <s v="https://shop.officineitalianezard.it/en/ducati-zard-exhaust/"/>
    <s v="SPORT 1000 &amp; PAUL SMART 2005/08"/>
    <s v="https://shop.officineitalianezard.it/en/ducati-smart-1000-paul-smart-exhaust/"/>
    <s v="2&gt;2 VERSION"/>
    <x v="193"/>
    <s v="FULL KIT"/>
    <s v="ZD018SKR"/>
    <s v="DUCATI SPORT 1000 &amp; PAUL SMART 2005/08"/>
    <n v="1307.95"/>
    <n v="1453.28"/>
    <s v="&lt;p&gt;2&amp;gt;2 STEEL FULL KIT RACING WITH REMOVABLE DB KILLER&lt;/p&gt;_x000a_&lt;p&gt;ZARD FULL KIT STEEL WEIGHT: KG 5.7&lt;br&gt;ZARD FULL KIT TITANIUM WEIGHT: KG 4.5&lt;/p&gt;_x000a_&lt;p&gt;HARD INCREASE, COMPARED TO THE STANDARD EXHAUST SYSTEM, IN TERMS OF TORQUE AND POWER AT ANY RANGE (+4 HP IN RACING VERSION).&lt;/p&gt;_x000a_&lt;p&gt;ASTONISHING SOUND.&lt;/p&gt;"/>
    <s v="https://shop.officineitalianezard.it/contents/imgs/products/1_531-scarichi%20moto%20scarico%20ducati%20zard.jpg"/>
    <m/>
    <m/>
  </r>
  <r>
    <s v="1586059690-11139"/>
    <s v="https://shop.officineitalianezard.it/en/products/"/>
    <m/>
    <s v="https://shop.officineitalianezard.it/en/ducati-zard-exhaust/"/>
    <s v="SPORT 1000 &amp; PAUL SMART 2005/08"/>
    <s v="https://shop.officineitalianezard.it/en/ducati-smart-1000-paul-smart-exhaust/"/>
    <s v="2&gt;2 VERSION"/>
    <x v="193"/>
    <s v="FULL KIT"/>
    <s v="ZD018SKR"/>
    <s v="DUCATI SPORT 1000 &amp; PAUL SMART 2005/08"/>
    <n v="1307.95"/>
    <n v="1453.28"/>
    <s v="&lt;p&gt;2&amp;gt;2 STEEL FULL KIT RACING WITH REMOVABLE DB KILLER&lt;/p&gt;_x000a_&lt;p&gt;ZARD FULL KIT STEEL WEIGHT: KG 5.7&lt;br&gt;ZARD FULL KIT TITANIUM WEIGHT: KG 4.5&lt;/p&gt;_x000a_&lt;p&gt;HARD INCREASE, COMPARED TO THE STANDARD EXHAUST SYSTEM, IN TERMS OF TORQUE AND POWER AT ANY RANGE (+4 HP IN RACING VERSION).&lt;/p&gt;_x000a_&lt;p&gt;ASTONISHING SOUND.&lt;/p&gt;"/>
    <s v="https://shop.officineitalianezard.it/contents/imgs/products/1_1251-zard%20paul%20smart%20exhaust.jpg"/>
    <m/>
    <m/>
  </r>
  <r>
    <s v="1586059690-11140"/>
    <s v="https://shop.officineitalianezard.it/en/products/"/>
    <m/>
    <s v="https://shop.officineitalianezard.it/en/ducati-zard-exhaust/"/>
    <s v="SPORT 1000 &amp; PAUL SMART 2005/08"/>
    <s v="https://shop.officineitalianezard.it/en/ducati-smart-1000-paul-smart-exhaust/"/>
    <s v="2&gt;2 VERSION"/>
    <x v="193"/>
    <s v="FULL KIT"/>
    <s v="ZD018SKR"/>
    <s v="DUCATI SPORT 1000 &amp; PAUL SMART 2005/08"/>
    <n v="1307.95"/>
    <n v="1453.28"/>
    <s v="&lt;p&gt;2&amp;gt;2 STEEL FULL KIT RACING WITH REMOVABLE DB KILLER&lt;/p&gt;_x000a_&lt;p&gt;ZARD FULL KIT STEEL WEIGHT: KG 5.7&lt;br&gt;ZARD FULL KIT TITANIUM WEIGHT: KG 4.5&lt;/p&gt;_x000a_&lt;p&gt;HARD INCREASE, COMPARED TO THE STANDARD EXHAUST SYSTEM, IN TERMS OF TORQUE AND POWER AT ANY RANGE (+4 HP IN RACING VERSION).&lt;/p&gt;_x000a_&lt;p&gt;ASTONISHING SOUND.&lt;/p&gt;"/>
    <m/>
    <s v="HOMOLOGATED"/>
    <n v="30.98"/>
  </r>
  <r>
    <s v="1586059690-11141"/>
    <s v="https://shop.officineitalianezard.it/en/products/"/>
    <m/>
    <s v="https://shop.officineitalianezard.it/en/ducati-zard-exhaust/"/>
    <s v="SPORT 1000 &amp; PAUL SMART 2005/08"/>
    <s v="https://shop.officineitalianezard.it/en/ducati-smart-1000-paul-smart-exhaust/"/>
    <s v="2&gt;2 VERSION"/>
    <x v="193"/>
    <s v="FULL KIT"/>
    <s v="ZD018SKR"/>
    <s v="DUCATI SPORT 1000 &amp; PAUL SMART 2005/08"/>
    <n v="1307.95"/>
    <n v="1453.28"/>
    <s v="&lt;p&gt;2&amp;gt;2 STEEL FULL KIT RACING WITH REMOVABLE DB KILLER&lt;/p&gt;_x000a_&lt;p&gt;ZARD FULL KIT STEEL WEIGHT: KG 5.7&lt;br&gt;ZARD FULL KIT TITANIUM WEIGHT: KG 4.5&lt;/p&gt;_x000a_&lt;p&gt;HARD INCREASE, COMPARED TO THE STANDARD EXHAUST SYSTEM, IN TERMS OF TORQUE AND POWER AT ANY RANGE (+4 HP IN RACING VERSION).&lt;/p&gt;_x000a_&lt;p&gt;ASTONISHING SOUND.&lt;/p&gt;"/>
    <m/>
    <s v="FULL RACING TITANIUM"/>
    <n v="869.02"/>
  </r>
  <r>
    <s v="1586059690-11142"/>
    <s v="https://shop.officineitalianezard.it/en/products/"/>
    <m/>
    <s v="https://shop.officineitalianezard.it/en/ducati-zard-exhaust/"/>
    <s v="SPORT 1000 &amp; PAUL SMART 2005/08"/>
    <s v="https://shop.officineitalianezard.it/en/ducati-smart-1000-paul-smart-exhaust/"/>
    <s v="2&gt;2 VERSION"/>
    <x v="193"/>
    <s v="FULL KIT"/>
    <s v="ZD018SKR"/>
    <s v="DUCATI SPORT 1000 &amp; PAUL SMART 2005/08"/>
    <n v="1307.95"/>
    <n v="1453.28"/>
    <s v="&lt;p&gt;2&amp;gt;2 STEEL FULL KIT RACING WITH REMOVABLE DB KILLER&lt;/p&gt;_x000a_&lt;p&gt;ZARD FULL KIT STEEL WEIGHT: KG 5.7&lt;br&gt;ZARD FULL KIT TITANIUM WEIGHT: KG 4.5&lt;/p&gt;_x000a_&lt;p&gt;HARD INCREASE, COMPARED TO THE STANDARD EXHAUST SYSTEM, IN TERMS OF TORQUE AND POWER AT ANY RANGE (+4 HP IN RACING VERSION).&lt;/p&gt;_x000a_&lt;p&gt;ASTONISHING SOUND.&lt;/p&gt;"/>
    <m/>
    <s v="FULL HOMOLOGATED TITANIUM"/>
    <n v="977.46"/>
  </r>
  <r>
    <s v="1586059690-11143"/>
    <s v="https://shop.officineitalianezard.it/en/products/"/>
    <m/>
    <s v="https://shop.officineitalianezard.it/en/ducati-zard-exhaust/"/>
    <s v="SPORT 1000 &amp; PAUL SMART 2005/08"/>
    <s v="https://shop.officineitalianezard.it/en/ducati-smart-1000-paul-smart-exhaust/"/>
    <s v="2&gt;2 VERSION"/>
    <x v="193"/>
    <s v="FULL KIT"/>
    <s v="ZD018SKR"/>
    <s v="DUCATI SPORT 1000 &amp; PAUL SMART 2005/08"/>
    <n v="1307.95"/>
    <n v="1453.28"/>
    <s v="&lt;p&gt;2&amp;gt;2 STEEL FULL KIT RACING WITH REMOVABLE DB KILLER&lt;/p&gt;_x000a_&lt;p&gt;ZARD FULL KIT STEEL WEIGHT: KG 5.7&lt;br&gt;ZARD FULL KIT TITANIUM WEIGHT: KG 4.5&lt;/p&gt;_x000a_&lt;p&gt;HARD INCREASE, COMPARED TO THE STANDARD EXHAUST SYSTEM, IN TERMS OF TORQUE AND POWER AT ANY RANGE (+4 HP IN RACING VERSION).&lt;/p&gt;_x000a_&lt;p&gt;ASTONISHING SOUND.&lt;/p&gt;"/>
    <m/>
    <s v="BLACK COATING"/>
    <n v="246.39"/>
  </r>
  <r>
    <s v="1586059690-11144"/>
    <s v="https://shop.officineitalianezard.it/en/products/"/>
    <m/>
    <s v="https://shop.officineitalianezard.it/en/ducati-zard-exhaust/"/>
    <s v="SPORT 1000 &amp; PAUL SMART 2005/08"/>
    <s v="https://shop.officineitalianezard.it/en/ducati-smart-1000-paul-smart-exhaust/"/>
    <s v="2&gt;2 VERSION"/>
    <x v="193"/>
    <s v="FULL KIT"/>
    <s v="ZD018SKR"/>
    <s v="DUCATI SPORT 1000 &amp; PAUL SMART 2005/08"/>
    <n v="1307.95"/>
    <n v="1453.28"/>
    <s v="&lt;p&gt;2&amp;gt;2 STEEL FULL KIT RACING WITH REMOVABLE DB KILLER&lt;/p&gt;_x000a_&lt;p&gt;ZARD FULL KIT STEEL WEIGHT: KG 5.7&lt;br&gt;ZARD FULL KIT TITANIUM WEIGHT: KG 4.5&lt;/p&gt;_x000a_&lt;p&gt;HARD INCREASE, COMPARED TO THE STANDARD EXHAUST SYSTEM, IN TERMS OF TORQUE AND POWER AT ANY RANGE (+4 HP IN RACING VERSION).&lt;/p&gt;_x000a_&lt;p&gt;ASTONISHING SOUND.&lt;/p&gt;"/>
    <m/>
    <s v="FULL TITANIUM SNAKE WELDED"/>
    <n v="1504.18"/>
  </r>
  <r>
    <s v="1586059695-11145"/>
    <s v="https://shop.officineitalianezard.it/en/products/"/>
    <m/>
    <s v="https://shop.officineitalianezard.it/en/ducati-zard-exhaust/"/>
    <s v="XDIAVEL 2016/19"/>
    <s v="https://shop.officineitalianezard.it/en/ducati-xdiavel-exhaust/"/>
    <s v="2&gt;1&gt;2"/>
    <x v="194"/>
    <s v="KIT"/>
    <s v="ZD124SKR"/>
    <s v="DUCATI XDIAVEL 2016/19"/>
    <n v="1693.03"/>
    <n v="1881.15"/>
    <s v="&lt;p&gt;STEEL RACING 2&amp;gt;1&amp;gt;2&amp;nbsp;KIT WITH REMOVABLE DBKILLERS&lt;br&gt;&lt;strong&gt;&lt;/strong&gt;&lt;/p&gt;_x000a_&lt;p&gt;ORIGINAL EXHAUST WEIGHT: 9,5 KG&lt;br&gt;ZARD EXHAUST WEIGHT: 4,2 KG&lt;/p&gt;_x000a_&lt;p&gt;&lt;span&gt;THE INSTALLATION OF ZARD EXHAUST DOES NOT IMPLY&lt;br&gt;ANY MODIFICATION TO ECU&lt;/span&gt;&lt;/p&gt;_x000a_&lt;p&gt;KIT INCLUDES HEAT SHIELD, BACK CARBON FENDER&lt;br&gt;AND THE EXHAUST SERVO ELIMINATOR&lt;/p&gt;_x000a_&lt;p&gt;EXCLUSIVE DESIGN,&amp;nbsp;ASTONISHING SOUND.&lt;/p&gt;_x000a_&lt;p&gt;&lt;strong&gt;&lt;/strong&gt;&lt;/p&gt;"/>
    <s v="https://shop.officineitalianezard.it/contents/imgs/products/1_2521-scarico%20ducati%20xdiavel%20zard%20acciaio%20inox.jpg"/>
    <m/>
    <m/>
  </r>
  <r>
    <s v="1586059695-11146"/>
    <s v="https://shop.officineitalianezard.it/en/products/"/>
    <m/>
    <s v="https://shop.officineitalianezard.it/en/ducati-zard-exhaust/"/>
    <s v="XDIAVEL 2016/19"/>
    <s v="https://shop.officineitalianezard.it/en/ducati-xdiavel-exhaust/"/>
    <s v="2&gt;1&gt;2"/>
    <x v="194"/>
    <s v="KIT"/>
    <s v="ZD124SKR"/>
    <s v="DUCATI XDIAVEL 2016/19"/>
    <n v="1693.03"/>
    <n v="1881.15"/>
    <s v="&lt;p&gt;STEEL RACING 2&amp;gt;1&amp;gt;2&amp;nbsp;KIT WITH REMOVABLE DBKILLERS&lt;br&gt;&lt;strong&gt;&lt;/strong&gt;&lt;/p&gt;_x000a_&lt;p&gt;ORIGINAL EXHAUST WEIGHT: 9,5 KG&lt;br&gt;ZARD EXHAUST WEIGHT: 4,2 KG&lt;/p&gt;_x000a_&lt;p&gt;&lt;span&gt;THE INSTALLATION OF ZARD EXHAUST DOES NOT IMPLY&lt;br&gt;ANY MODIFICATION TO ECU&lt;/span&gt;&lt;/p&gt;_x000a_&lt;p&gt;KIT INCLUDES HEAT SHIELD, BACK CARBON FENDER&lt;br&gt;AND THE EXHAUST SERVO ELIMINATOR&lt;/p&gt;_x000a_&lt;p&gt;EXCLUSIVE DESIGN,&amp;nbsp;ASTONISHING SOUND.&lt;/p&gt;_x000a_&lt;p&gt;&lt;strong&gt;&lt;/strong&gt;&lt;/p&gt;"/>
    <s v="https://shop.officineitalianezard.it/contents/imgs/products/1_2522-scarico%20ducati%20xdiavel%20zard%20nero.jpg"/>
    <m/>
    <m/>
  </r>
  <r>
    <s v="1586059695-11147"/>
    <s v="https://shop.officineitalianezard.it/en/products/"/>
    <m/>
    <s v="https://shop.officineitalianezard.it/en/ducati-zard-exhaust/"/>
    <s v="XDIAVEL 2016/19"/>
    <s v="https://shop.officineitalianezard.it/en/ducati-xdiavel-exhaust/"/>
    <s v="2&gt;1&gt;2"/>
    <x v="194"/>
    <s v="KIT"/>
    <s v="ZD124SKR"/>
    <s v="DUCATI XDIAVEL 2016/19"/>
    <n v="1693.03"/>
    <n v="1881.15"/>
    <s v="&lt;p&gt;STEEL RACING 2&amp;gt;1&amp;gt;2&amp;nbsp;KIT WITH REMOVABLE DBKILLERS&lt;br&gt;&lt;strong&gt;&lt;/strong&gt;&lt;/p&gt;_x000a_&lt;p&gt;ORIGINAL EXHAUST WEIGHT: 9,5 KG&lt;br&gt;ZARD EXHAUST WEIGHT: 4,2 KG&lt;/p&gt;_x000a_&lt;p&gt;&lt;span&gt;THE INSTALLATION OF ZARD EXHAUST DOES NOT IMPLY&lt;br&gt;ANY MODIFICATION TO ECU&lt;/span&gt;&lt;/p&gt;_x000a_&lt;p&gt;KIT INCLUDES HEAT SHIELD, BACK CARBON FENDER&lt;br&gt;AND THE EXHAUST SERVO ELIMINATOR&lt;/p&gt;_x000a_&lt;p&gt;EXCLUSIVE DESIGN,&amp;nbsp;ASTONISHING SOUND.&lt;/p&gt;_x000a_&lt;p&gt;&lt;strong&gt;&lt;/strong&gt;&lt;/p&gt;"/>
    <s v="https://shop.officineitalianezard.it/contents/imgs/products/1_2415-scarico%20xdiavel%20zard%201.jpg"/>
    <m/>
    <m/>
  </r>
  <r>
    <s v="1586059695-11148"/>
    <s v="https://shop.officineitalianezard.it/en/products/"/>
    <m/>
    <s v="https://shop.officineitalianezard.it/en/ducati-zard-exhaust/"/>
    <s v="XDIAVEL 2016/19"/>
    <s v="https://shop.officineitalianezard.it/en/ducati-xdiavel-exhaust/"/>
    <s v="2&gt;1&gt;2"/>
    <x v="194"/>
    <s v="KIT"/>
    <s v="ZD124SKR"/>
    <s v="DUCATI XDIAVEL 2016/19"/>
    <n v="1693.03"/>
    <n v="1881.15"/>
    <s v="&lt;p&gt;STEEL RACING 2&amp;gt;1&amp;gt;2&amp;nbsp;KIT WITH REMOVABLE DBKILLERS&lt;br&gt;&lt;strong&gt;&lt;/strong&gt;&lt;/p&gt;_x000a_&lt;p&gt;ORIGINAL EXHAUST WEIGHT: 9,5 KG&lt;br&gt;ZARD EXHAUST WEIGHT: 4,2 KG&lt;/p&gt;_x000a_&lt;p&gt;&lt;span&gt;THE INSTALLATION OF ZARD EXHAUST DOES NOT IMPLY&lt;br&gt;ANY MODIFICATION TO ECU&lt;/span&gt;&lt;/p&gt;_x000a_&lt;p&gt;KIT INCLUDES HEAT SHIELD, BACK CARBON FENDER&lt;br&gt;AND THE EXHAUST SERVO ELIMINATOR&lt;/p&gt;_x000a_&lt;p&gt;EXCLUSIVE DESIGN,&amp;nbsp;ASTONISHING SOUND.&lt;/p&gt;_x000a_&lt;p&gt;&lt;strong&gt;&lt;/strong&gt;&lt;/p&gt;"/>
    <s v="https://shop.officineitalianezard.it/contents/imgs/products/1_2416-ducati%20xdiavel%20scarichi%202.jpg"/>
    <m/>
    <m/>
  </r>
  <r>
    <s v="1586059695-11149"/>
    <s v="https://shop.officineitalianezard.it/en/products/"/>
    <m/>
    <s v="https://shop.officineitalianezard.it/en/ducati-zard-exhaust/"/>
    <s v="XDIAVEL 2016/19"/>
    <s v="https://shop.officineitalianezard.it/en/ducati-xdiavel-exhaust/"/>
    <s v="2&gt;1&gt;2"/>
    <x v="194"/>
    <s v="KIT"/>
    <s v="ZD124SKR"/>
    <s v="DUCATI XDIAVEL 2016/19"/>
    <n v="1693.03"/>
    <n v="1881.15"/>
    <s v="&lt;p&gt;STEEL RACING 2&amp;gt;1&amp;gt;2&amp;nbsp;KIT WITH REMOVABLE DBKILLERS&lt;br&gt;&lt;strong&gt;&lt;/strong&gt;&lt;/p&gt;_x000a_&lt;p&gt;ORIGINAL EXHAUST WEIGHT: 9,5 KG&lt;br&gt;ZARD EXHAUST WEIGHT: 4,2 KG&lt;/p&gt;_x000a_&lt;p&gt;&lt;span&gt;THE INSTALLATION OF ZARD EXHAUST DOES NOT IMPLY&lt;br&gt;ANY MODIFICATION TO ECU&lt;/span&gt;&lt;/p&gt;_x000a_&lt;p&gt;KIT INCLUDES HEAT SHIELD, BACK CARBON FENDER&lt;br&gt;AND THE EXHAUST SERVO ELIMINATOR&lt;/p&gt;_x000a_&lt;p&gt;EXCLUSIVE DESIGN,&amp;nbsp;ASTONISHING SOUND.&lt;/p&gt;_x000a_&lt;p&gt;&lt;strong&gt;&lt;/strong&gt;&lt;/p&gt;"/>
    <s v="https://shop.officineitalianezard.it/contents/imgs/products/1_2413-1%20nero.jpg"/>
    <m/>
    <m/>
  </r>
  <r>
    <s v="1586059695-11150"/>
    <s v="https://shop.officineitalianezard.it/en/products/"/>
    <m/>
    <s v="https://shop.officineitalianezard.it/en/ducati-zard-exhaust/"/>
    <s v="XDIAVEL 2016/19"/>
    <s v="https://shop.officineitalianezard.it/en/ducati-xdiavel-exhaust/"/>
    <s v="2&gt;1&gt;2"/>
    <x v="194"/>
    <s v="KIT"/>
    <s v="ZD124SKR"/>
    <s v="DUCATI XDIAVEL 2016/19"/>
    <n v="1693.03"/>
    <n v="1881.15"/>
    <s v="&lt;p&gt;STEEL RACING 2&amp;gt;1&amp;gt;2&amp;nbsp;KIT WITH REMOVABLE DBKILLERS&lt;br&gt;&lt;strong&gt;&lt;/strong&gt;&lt;/p&gt;_x000a_&lt;p&gt;ORIGINAL EXHAUST WEIGHT: 9,5 KG&lt;br&gt;ZARD EXHAUST WEIGHT: 4,2 KG&lt;/p&gt;_x000a_&lt;p&gt;&lt;span&gt;THE INSTALLATION OF ZARD EXHAUST DOES NOT IMPLY&lt;br&gt;ANY MODIFICATION TO ECU&lt;/span&gt;&lt;/p&gt;_x000a_&lt;p&gt;KIT INCLUDES HEAT SHIELD, BACK CARBON FENDER&lt;br&gt;AND THE EXHAUST SERVO ELIMINATOR&lt;/p&gt;_x000a_&lt;p&gt;EXCLUSIVE DESIGN,&amp;nbsp;ASTONISHING SOUND.&lt;/p&gt;_x000a_&lt;p&gt;&lt;strong&gt;&lt;/strong&gt;&lt;/p&gt;"/>
    <m/>
    <s v="BLACK CERAMIC COATING"/>
    <n v="192.54"/>
  </r>
  <r>
    <s v="1586059695-11151"/>
    <s v="https://shop.officineitalianezard.it/en/products/"/>
    <m/>
    <s v="https://shop.officineitalianezard.it/en/ducati-zard-exhaust/"/>
    <s v="XDIAVEL 2016/19"/>
    <s v="https://shop.officineitalianezard.it/en/ducati-xdiavel-exhaust/"/>
    <s v="2&gt;1&gt;2"/>
    <x v="194"/>
    <s v="KIT"/>
    <s v="ZD124SKR"/>
    <s v="DUCATI XDIAVEL 2016/19"/>
    <n v="1693.03"/>
    <n v="1881.15"/>
    <s v="&lt;p&gt;STEEL RACING 2&amp;gt;1&amp;gt;2&amp;nbsp;KIT WITH REMOVABLE DBKILLERS&lt;br&gt;&lt;strong&gt;&lt;/strong&gt;&lt;/p&gt;_x000a_&lt;p&gt;ORIGINAL EXHAUST WEIGHT: 9,5 KG&lt;br&gt;ZARD EXHAUST WEIGHT: 4,2 KG&lt;/p&gt;_x000a_&lt;p&gt;&lt;span&gt;THE INSTALLATION OF ZARD EXHAUST DOES NOT IMPLY&lt;br&gt;ANY MODIFICATION TO ECU&lt;/span&gt;&lt;/p&gt;_x000a_&lt;p&gt;KIT INCLUDES HEAT SHIELD, BACK CARBON FENDER&lt;br&gt;AND THE EXHAUST SERVO ELIMINATOR&lt;/p&gt;_x000a_&lt;p&gt;EXCLUSIVE DESIGN,&amp;nbsp;ASTONISHING SOUND.&lt;/p&gt;_x000a_&lt;p&gt;&lt;strong&gt;&lt;/strong&gt;&lt;/p&gt;"/>
    <m/>
    <s v="FRONT CARBON FENDER"/>
    <n v="223.52"/>
  </r>
  <r>
    <s v="1586059695-11152"/>
    <s v="https://shop.officineitalianezard.it/en/products/"/>
    <m/>
    <s v="https://shop.officineitalianezard.it/en/ducati-zard-exhaust/"/>
    <s v="XDIAVEL 2016/19"/>
    <s v="https://shop.officineitalianezard.it/en/ducati-xdiavel-exhaust/"/>
    <s v="2&gt;1&gt;2"/>
    <x v="194"/>
    <s v="KIT"/>
    <s v="ZD124SKR"/>
    <s v="DUCATI XDIAVEL 2016/19"/>
    <n v="1693.03"/>
    <n v="1881.15"/>
    <s v="&lt;p&gt;STEEL RACING 2&amp;gt;1&amp;gt;2&amp;nbsp;KIT WITH REMOVABLE DBKILLERS&lt;br&gt;&lt;strong&gt;&lt;/strong&gt;&lt;/p&gt;_x000a_&lt;p&gt;ORIGINAL EXHAUST WEIGHT: 9,5 KG&lt;br&gt;ZARD EXHAUST WEIGHT: 4,2 KG&lt;/p&gt;_x000a_&lt;p&gt;&lt;span&gt;THE INSTALLATION OF ZARD EXHAUST DOES NOT IMPLY&lt;br&gt;ANY MODIFICATION TO ECU&lt;/span&gt;&lt;/p&gt;_x000a_&lt;p&gt;KIT INCLUDES HEAT SHIELD, BACK CARBON FENDER&lt;br&gt;AND THE EXHAUST SERVO ELIMINATOR&lt;/p&gt;_x000a_&lt;p&gt;EXCLUSIVE DESIGN,&amp;nbsp;ASTONISHING SOUND.&lt;/p&gt;_x000a_&lt;p&gt;&lt;strong&gt;&lt;/strong&gt;&lt;/p&gt;"/>
    <m/>
    <s v="BACK CARBON PLATE-HOLDER FENDER"/>
    <n v="107.7"/>
  </r>
  <r>
    <s v="1586059695-11153"/>
    <s v="https://shop.officineitalianezard.it/en/products/"/>
    <m/>
    <s v="https://shop.officineitalianezard.it/en/ducati-zard-exhaust/"/>
    <s v="XDIAVEL 2016/19"/>
    <s v="https://shop.officineitalianezard.it/en/ducati-xdiavel-exhaust/"/>
    <s v="2&gt;1&gt;2"/>
    <x v="194"/>
    <s v="KIT"/>
    <s v="ZD124SKR"/>
    <s v="DUCATI XDIAVEL 2016/19"/>
    <n v="1693.03"/>
    <n v="1881.15"/>
    <s v="&lt;p&gt;STEEL RACING 2&amp;gt;1&amp;gt;2&amp;nbsp;KIT WITH REMOVABLE DBKILLERS&lt;br&gt;&lt;strong&gt;&lt;/strong&gt;&lt;/p&gt;_x000a_&lt;p&gt;ORIGINAL EXHAUST WEIGHT: 9,5 KG&lt;br&gt;ZARD EXHAUST WEIGHT: 4,2 KG&lt;/p&gt;_x000a_&lt;p&gt;&lt;span&gt;THE INSTALLATION OF ZARD EXHAUST DOES NOT IMPLY&lt;br&gt;ANY MODIFICATION TO ECU&lt;/span&gt;&lt;/p&gt;_x000a_&lt;p&gt;KIT INCLUDES HEAT SHIELD, BACK CARBON FENDER&lt;br&gt;AND THE EXHAUST SERVO ELIMINATOR&lt;/p&gt;_x000a_&lt;p&gt;EXCLUSIVE DESIGN,&amp;nbsp;ASTONISHING SOUND.&lt;/p&gt;_x000a_&lt;p&gt;&lt;strong&gt;&lt;/strong&gt;&lt;/p&gt;"/>
    <m/>
    <s v="EURO 4 HOMOLOGATED"/>
    <n v="604.17999999999995"/>
  </r>
  <r>
    <s v="1586059700-11154"/>
    <s v="https://shop.officineitalianezard.it/en/products/"/>
    <m/>
    <s v="https://shop.officineitalianezard.it/en/ducati-zard-exhaust/"/>
    <s v="SCRAMBLER SIXTY2 2016/19"/>
    <s v="https://shop.officineitalianezard.it/en/ducati-scrambler-sixty-2-exhaust/"/>
    <s v="CONICAL VERSION"/>
    <x v="195"/>
    <s v="SILENCER"/>
    <s v="ZD782SSR"/>
    <s v="SCRAMBLER DUCATI SIXTY2"/>
    <n v="535.57000000000005"/>
    <n v="595.08000000000004"/>
    <s v="&lt;div class=&quot;page-product-descr product-font-size text-font&quot;&gt;_x000a_&lt;p&gt;STEEL RACING SILENCER WITH REMOVABLE DBKILLER + LINK PIPE TO ORIGINAL HEADERS&lt;/p&gt;_x000a_&lt;p&gt;ORIGINAL SILENCER WEIGHT: 5.6 KG&lt;br&gt;ZARD SILENCER WEIGHT: 2.3 KG&lt;/p&gt;_x000a_&lt;p&gt;ASTONISHING SOUND,&amp;nbsp;EXCLUSIVE DESIGN.&lt;/p&gt;_x000a_&lt;p&gt;FITTING KIT INCLUDED.&lt;/p&gt;_x000a_&lt;/div&gt;_x000a_&lt;p&gt;&lt;/p&gt;"/>
    <s v="https://shop.officineitalianezard.it/contents/imgs/products/1_1525-1.jpg"/>
    <m/>
    <m/>
  </r>
  <r>
    <s v="1586059700-11155"/>
    <s v="https://shop.officineitalianezard.it/en/products/"/>
    <m/>
    <s v="https://shop.officineitalianezard.it/en/ducati-zard-exhaust/"/>
    <s v="SCRAMBLER SIXTY2 2016/19"/>
    <s v="https://shop.officineitalianezard.it/en/ducati-scrambler-sixty-2-exhaust/"/>
    <s v="CONICAL VERSION"/>
    <x v="195"/>
    <s v="SILENCER"/>
    <s v="ZD782SSR"/>
    <s v="SCRAMBLER DUCATI SIXTY2"/>
    <n v="535.57000000000005"/>
    <n v="595.08000000000004"/>
    <s v="&lt;div class=&quot;page-product-descr product-font-size text-font&quot;&gt;_x000a_&lt;p&gt;STEEL RACING SILENCER WITH REMOVABLE DBKILLER + LINK PIPE TO ORIGINAL HEADERS&lt;/p&gt;_x000a_&lt;p&gt;ORIGINAL SILENCER WEIGHT: 5.6 KG&lt;br&gt;ZARD SILENCER WEIGHT: 2.3 KG&lt;/p&gt;_x000a_&lt;p&gt;ASTONISHING SOUND,&amp;nbsp;EXCLUSIVE DESIGN.&lt;/p&gt;_x000a_&lt;p&gt;FITTING KIT INCLUDED.&lt;/p&gt;_x000a_&lt;/div&gt;_x000a_&lt;p&gt;&lt;/p&gt;"/>
    <s v="https://shop.officineitalianezard.it/contents/imgs/products/1_1526-2.jpg"/>
    <m/>
    <m/>
  </r>
  <r>
    <s v="1586059700-11156"/>
    <s v="https://shop.officineitalianezard.it/en/products/"/>
    <m/>
    <s v="https://shop.officineitalianezard.it/en/ducati-zard-exhaust/"/>
    <s v="SCRAMBLER SIXTY2 2016/19"/>
    <s v="https://shop.officineitalianezard.it/en/ducati-scrambler-sixty-2-exhaust/"/>
    <s v="CONICAL VERSION"/>
    <x v="195"/>
    <s v="SILENCER"/>
    <s v="ZD782SSR"/>
    <s v="SCRAMBLER DUCATI SIXTY2"/>
    <n v="535.57000000000005"/>
    <n v="595.08000000000004"/>
    <s v="&lt;div class=&quot;page-product-descr product-font-size text-font&quot;&gt;_x000a_&lt;p&gt;STEEL RACING SILENCER WITH REMOVABLE DBKILLER + LINK PIPE TO ORIGINAL HEADERS&lt;/p&gt;_x000a_&lt;p&gt;ORIGINAL SILENCER WEIGHT: 5.6 KG&lt;br&gt;ZARD SILENCER WEIGHT: 2.3 KG&lt;/p&gt;_x000a_&lt;p&gt;ASTONISHING SOUND,&amp;nbsp;EXCLUSIVE DESIGN.&lt;/p&gt;_x000a_&lt;p&gt;FITTING KIT INCLUDED.&lt;/p&gt;_x000a_&lt;/div&gt;_x000a_&lt;p&gt;&lt;/p&gt;"/>
    <s v="https://shop.officineitalianezard.it/contents/imgs/products/1_1527-3.jpg"/>
    <m/>
    <m/>
  </r>
  <r>
    <s v="1586059700-11157"/>
    <s v="https://shop.officineitalianezard.it/en/products/"/>
    <m/>
    <s v="https://shop.officineitalianezard.it/en/ducati-zard-exhaust/"/>
    <s v="SCRAMBLER SIXTY2 2016/19"/>
    <s v="https://shop.officineitalianezard.it/en/ducati-scrambler-sixty-2-exhaust/"/>
    <s v="CONICAL VERSION"/>
    <x v="195"/>
    <s v="SILENCER"/>
    <s v="ZD782SSR"/>
    <s v="SCRAMBLER DUCATI SIXTY2"/>
    <n v="535.57000000000005"/>
    <n v="595.08000000000004"/>
    <s v="&lt;div class=&quot;page-product-descr product-font-size text-font&quot;&gt;_x000a_&lt;p&gt;STEEL RACING SILENCER WITH REMOVABLE DBKILLER + LINK PIPE TO ORIGINAL HEADERS&lt;/p&gt;_x000a_&lt;p&gt;ORIGINAL SILENCER WEIGHT: 5.6 KG&lt;br&gt;ZARD SILENCER WEIGHT: 2.3 KG&lt;/p&gt;_x000a_&lt;p&gt;ASTONISHING SOUND,&amp;nbsp;EXCLUSIVE DESIGN.&lt;/p&gt;_x000a_&lt;p&gt;FITTING KIT INCLUDED.&lt;/p&gt;_x000a_&lt;/div&gt;_x000a_&lt;p&gt;&lt;/p&gt;"/>
    <s v="https://shop.officineitalianezard.it/contents/imgs/products/1_1712-scarico%20scrambler%20ducati%20400%20zard.jpg"/>
    <m/>
    <m/>
  </r>
  <r>
    <s v="1586059700-11158"/>
    <s v="https://shop.officineitalianezard.it/en/products/"/>
    <m/>
    <s v="https://shop.officineitalianezard.it/en/ducati-zard-exhaust/"/>
    <s v="SCRAMBLER SIXTY2 2016/19"/>
    <s v="https://shop.officineitalianezard.it/en/ducati-scrambler-sixty-2-exhaust/"/>
    <s v="CONICAL VERSION"/>
    <x v="195"/>
    <s v="SILENCER"/>
    <s v="ZD782SSR"/>
    <s v="SCRAMBLER DUCATI SIXTY2"/>
    <n v="535.57000000000005"/>
    <n v="595.08000000000004"/>
    <s v="&lt;div class=&quot;page-product-descr product-font-size text-font&quot;&gt;_x000a_&lt;p&gt;STEEL RACING SILENCER WITH REMOVABLE DBKILLER + LINK PIPE TO ORIGINAL HEADERS&lt;/p&gt;_x000a_&lt;p&gt;ORIGINAL SILENCER WEIGHT: 5.6 KG&lt;br&gt;ZARD SILENCER WEIGHT: 2.3 KG&lt;/p&gt;_x000a_&lt;p&gt;ASTONISHING SOUND,&amp;nbsp;EXCLUSIVE DESIGN.&lt;/p&gt;_x000a_&lt;p&gt;FITTING KIT INCLUDED.&lt;/p&gt;_x000a_&lt;/div&gt;_x000a_&lt;p&gt;&lt;/p&gt;"/>
    <m/>
    <s v="BRUSHED"/>
    <n v="23.61"/>
  </r>
  <r>
    <s v="1586059700-11159"/>
    <s v="https://shop.officineitalianezard.it/en/products/"/>
    <m/>
    <s v="https://shop.officineitalianezard.it/en/ducati-zard-exhaust/"/>
    <s v="SCRAMBLER SIXTY2 2016/19"/>
    <s v="https://shop.officineitalianezard.it/en/ducati-scrambler-sixty-2-exhaust/"/>
    <s v="CONICAL VERSION"/>
    <x v="195"/>
    <s v="SILENCER"/>
    <s v="ZD782SSR"/>
    <s v="SCRAMBLER DUCATI SIXTY2"/>
    <n v="535.57000000000005"/>
    <n v="595.08000000000004"/>
    <s v="&lt;div class=&quot;page-product-descr product-font-size text-font&quot;&gt;_x000a_&lt;p&gt;STEEL RACING SILENCER WITH REMOVABLE DBKILLER + LINK PIPE TO ORIGINAL HEADERS&lt;/p&gt;_x000a_&lt;p&gt;ORIGINAL SILENCER WEIGHT: 5.6 KG&lt;br&gt;ZARD SILENCER WEIGHT: 2.3 KG&lt;/p&gt;_x000a_&lt;p&gt;ASTONISHING SOUND,&amp;nbsp;EXCLUSIVE DESIGN.&lt;/p&gt;_x000a_&lt;p&gt;FITTING KIT INCLUDED.&lt;/p&gt;_x000a_&lt;/div&gt;_x000a_&lt;p&gt;&lt;/p&gt;"/>
    <m/>
    <s v="BLACK COATING"/>
    <n v="98.85"/>
  </r>
  <r>
    <s v="1586059702-11160"/>
    <s v="https://shop.officineitalianezard.it/en/products/"/>
    <m/>
    <s v="https://shop.officineitalianezard.it/en/ducati-zard-exhaust/"/>
    <s v="SCRAMBLER SIXTY2 2016/19"/>
    <s v="https://shop.officineitalianezard.it/en/ducati-scrambler-sixty-2-exhaust/"/>
    <s v="CONICAL VERSION"/>
    <x v="196"/>
    <s v="2&gt;1 FULL KIT"/>
    <s v="ZD784SKR"/>
    <s v="SCRAMBLER DUCATI SIXTY2"/>
    <n v="748.03"/>
    <n v="831.15"/>
    <s v="&lt;div class=&quot;page-product-descr product-font-size text-font&quot;&gt;_x000a_&lt;p&gt;&lt;strong&gt;AVAILABLE ON DEMAND ONLY. DELIVERY 4 WORKING WEEKS FROM ORDER.&lt;/strong&gt;&lt;/p&gt;_x000a_&lt;p&gt;2&amp;gt;1 STEEL&amp;nbsp;RACING FULL KIT&amp;nbsp;&lt;/p&gt;_x000a_&lt;p&gt;ORIGINAL FULL KIT&amp;nbsp;WEIGHT: 8&amp;nbsp;KG&lt;br&gt;ZARD&amp;nbsp;&lt;span&gt;TITANIUM&amp;nbsp;&lt;/span&gt;FULL KIT&amp;nbsp;WEIGHT: 1.2 KG&lt;br&gt;ZARD STEEL FULL KIT&amp;nbsp;WEIGHT: 1.7 KG&lt;/p&gt;_x000a_&lt;p&gt;&lt;span&gt;A VERY SPECIAL EXHAUST TOTALLY HANDMADE AND WELDED BY OUR BEST WELDERS.&lt;/span&gt;&lt;/p&gt;_x000a_&lt;p&gt;FITTING KIT INCLUDED.&lt;/p&gt;_x000a_&lt;p&gt;&lt;span&gt;VERY LOUD&amp;nbsp;SOUND,&amp;nbsp;EXCLUSIVE DESIGN.&lt;/span&gt;&lt;/p&gt;_x000a_&lt;/div&gt;_x000a_&lt;p&gt;&lt;/p&gt;"/>
    <s v="https://shop.officineitalianezard.it/contents/imgs/products/1_1791-1.jpg"/>
    <m/>
    <m/>
  </r>
  <r>
    <s v="1586059702-11161"/>
    <s v="https://shop.officineitalianezard.it/en/products/"/>
    <m/>
    <s v="https://shop.officineitalianezard.it/en/ducati-zard-exhaust/"/>
    <s v="SCRAMBLER SIXTY2 2016/19"/>
    <s v="https://shop.officineitalianezard.it/en/ducati-scrambler-sixty-2-exhaust/"/>
    <s v="CONICAL VERSION"/>
    <x v="196"/>
    <s v="2&gt;1 FULL KIT"/>
    <s v="ZD784SKR"/>
    <s v="SCRAMBLER DUCATI SIXTY2"/>
    <n v="748.03"/>
    <n v="831.15"/>
    <s v="&lt;div class=&quot;page-product-descr product-font-size text-font&quot;&gt;_x000a_&lt;p&gt;&lt;strong&gt;AVAILABLE ON DEMAND ONLY. DELIVERY 4 WORKING WEEKS FROM ORDER.&lt;/strong&gt;&lt;/p&gt;_x000a_&lt;p&gt;2&amp;gt;1 STEEL&amp;nbsp;RACING FULL KIT&amp;nbsp;&lt;/p&gt;_x000a_&lt;p&gt;ORIGINAL FULL KIT&amp;nbsp;WEIGHT: 8&amp;nbsp;KG&lt;br&gt;ZARD&amp;nbsp;&lt;span&gt;TITANIUM&amp;nbsp;&lt;/span&gt;FULL KIT&amp;nbsp;WEIGHT: 1.2 KG&lt;br&gt;ZARD STEEL FULL KIT&amp;nbsp;WEIGHT: 1.7 KG&lt;/p&gt;_x000a_&lt;p&gt;&lt;span&gt;A VERY SPECIAL EXHAUST TOTALLY HANDMADE AND WELDED BY OUR BEST WELDERS.&lt;/span&gt;&lt;/p&gt;_x000a_&lt;p&gt;FITTING KIT INCLUDED.&lt;/p&gt;_x000a_&lt;p&gt;&lt;span&gt;VERY LOUD&amp;nbsp;SOUND,&amp;nbsp;EXCLUSIVE DESIGN.&lt;/span&gt;&lt;/p&gt;_x000a_&lt;/div&gt;_x000a_&lt;p&gt;&lt;/p&gt;"/>
    <s v="https://shop.officineitalianezard.it/contents/imgs/products/1_1792-2.jpg"/>
    <m/>
    <m/>
  </r>
  <r>
    <s v="1586059702-11162"/>
    <s v="https://shop.officineitalianezard.it/en/products/"/>
    <m/>
    <s v="https://shop.officineitalianezard.it/en/ducati-zard-exhaust/"/>
    <s v="SCRAMBLER SIXTY2 2016/19"/>
    <s v="https://shop.officineitalianezard.it/en/ducati-scrambler-sixty-2-exhaust/"/>
    <s v="CONICAL VERSION"/>
    <x v="196"/>
    <s v="2&gt;1 FULL KIT"/>
    <s v="ZD784SKR"/>
    <s v="SCRAMBLER DUCATI SIXTY2"/>
    <n v="748.03"/>
    <n v="831.15"/>
    <s v="&lt;div class=&quot;page-product-descr product-font-size text-font&quot;&gt;_x000a_&lt;p&gt;&lt;strong&gt;AVAILABLE ON DEMAND ONLY. DELIVERY 4 WORKING WEEKS FROM ORDER.&lt;/strong&gt;&lt;/p&gt;_x000a_&lt;p&gt;2&amp;gt;1 STEEL&amp;nbsp;RACING FULL KIT&amp;nbsp;&lt;/p&gt;_x000a_&lt;p&gt;ORIGINAL FULL KIT&amp;nbsp;WEIGHT: 8&amp;nbsp;KG&lt;br&gt;ZARD&amp;nbsp;&lt;span&gt;TITANIUM&amp;nbsp;&lt;/span&gt;FULL KIT&amp;nbsp;WEIGHT: 1.2 KG&lt;br&gt;ZARD STEEL FULL KIT&amp;nbsp;WEIGHT: 1.7 KG&lt;/p&gt;_x000a_&lt;p&gt;&lt;span&gt;A VERY SPECIAL EXHAUST TOTALLY HANDMADE AND WELDED BY OUR BEST WELDERS.&lt;/span&gt;&lt;/p&gt;_x000a_&lt;p&gt;FITTING KIT INCLUDED.&lt;/p&gt;_x000a_&lt;p&gt;&lt;span&gt;VERY LOUD&amp;nbsp;SOUND,&amp;nbsp;EXCLUSIVE DESIGN.&lt;/span&gt;&lt;/p&gt;_x000a_&lt;/div&gt;_x000a_&lt;p&gt;&lt;/p&gt;"/>
    <s v="https://shop.officineitalianezard.it/contents/imgs/products/1_1793-3.jpg"/>
    <m/>
    <m/>
  </r>
  <r>
    <s v="1586059702-11163"/>
    <s v="https://shop.officineitalianezard.it/en/products/"/>
    <m/>
    <s v="https://shop.officineitalianezard.it/en/ducati-zard-exhaust/"/>
    <s v="SCRAMBLER SIXTY2 2016/19"/>
    <s v="https://shop.officineitalianezard.it/en/ducati-scrambler-sixty-2-exhaust/"/>
    <s v="CONICAL VERSION"/>
    <x v="196"/>
    <s v="2&gt;1 FULL KIT"/>
    <s v="ZD784SKR"/>
    <s v="SCRAMBLER DUCATI SIXTY2"/>
    <n v="748.03"/>
    <n v="831.15"/>
    <s v="&lt;div class=&quot;page-product-descr product-font-size text-font&quot;&gt;_x000a_&lt;p&gt;&lt;strong&gt;AVAILABLE ON DEMAND ONLY. DELIVERY 4 WORKING WEEKS FROM ORDER.&lt;/strong&gt;&lt;/p&gt;_x000a_&lt;p&gt;2&amp;gt;1 STEEL&amp;nbsp;RACING FULL KIT&amp;nbsp;&lt;/p&gt;_x000a_&lt;p&gt;ORIGINAL FULL KIT&amp;nbsp;WEIGHT: 8&amp;nbsp;KG&lt;br&gt;ZARD&amp;nbsp;&lt;span&gt;TITANIUM&amp;nbsp;&lt;/span&gt;FULL KIT&amp;nbsp;WEIGHT: 1.2 KG&lt;br&gt;ZARD STEEL FULL KIT&amp;nbsp;WEIGHT: 1.7 KG&lt;/p&gt;_x000a_&lt;p&gt;&lt;span&gt;A VERY SPECIAL EXHAUST TOTALLY HANDMADE AND WELDED BY OUR BEST WELDERS.&lt;/span&gt;&lt;/p&gt;_x000a_&lt;p&gt;FITTING KIT INCLUDED.&lt;/p&gt;_x000a_&lt;p&gt;&lt;span&gt;VERY LOUD&amp;nbsp;SOUND,&amp;nbsp;EXCLUSIVE DESIGN.&lt;/span&gt;&lt;/p&gt;_x000a_&lt;/div&gt;_x000a_&lt;p&gt;&lt;/p&gt;"/>
    <m/>
    <s v="FULL TITANIUM"/>
    <n v="562.87"/>
  </r>
  <r>
    <s v="1586059702-11164"/>
    <s v="https://shop.officineitalianezard.it/en/products/"/>
    <m/>
    <s v="https://shop.officineitalianezard.it/en/ducati-zard-exhaust/"/>
    <s v="SCRAMBLER SIXTY2 2016/19"/>
    <s v="https://shop.officineitalianezard.it/en/ducati-scrambler-sixty-2-exhaust/"/>
    <s v="CONICAL VERSION"/>
    <x v="196"/>
    <s v="2&gt;1 FULL KIT"/>
    <s v="ZD784SKR"/>
    <s v="SCRAMBLER DUCATI SIXTY2"/>
    <n v="748.03"/>
    <n v="831.15"/>
    <s v="&lt;div class=&quot;page-product-descr product-font-size text-font&quot;&gt;_x000a_&lt;p&gt;&lt;strong&gt;AVAILABLE ON DEMAND ONLY. DELIVERY 4 WORKING WEEKS FROM ORDER.&lt;/strong&gt;&lt;/p&gt;_x000a_&lt;p&gt;2&amp;gt;1 STEEL&amp;nbsp;RACING FULL KIT&amp;nbsp;&lt;/p&gt;_x000a_&lt;p&gt;ORIGINAL FULL KIT&amp;nbsp;WEIGHT: 8&amp;nbsp;KG&lt;br&gt;ZARD&amp;nbsp;&lt;span&gt;TITANIUM&amp;nbsp;&lt;/span&gt;FULL KIT&amp;nbsp;WEIGHT: 1.2 KG&lt;br&gt;ZARD STEEL FULL KIT&amp;nbsp;WEIGHT: 1.7 KG&lt;/p&gt;_x000a_&lt;p&gt;&lt;span&gt;A VERY SPECIAL EXHAUST TOTALLY HANDMADE AND WELDED BY OUR BEST WELDERS.&lt;/span&gt;&lt;/p&gt;_x000a_&lt;p&gt;FITTING KIT INCLUDED.&lt;/p&gt;_x000a_&lt;p&gt;&lt;span&gt;VERY LOUD&amp;nbsp;SOUND,&amp;nbsp;EXCLUSIVE DESIGN.&lt;/span&gt;&lt;/p&gt;_x000a_&lt;/div&gt;_x000a_&lt;p&gt;&lt;/p&gt;"/>
    <m/>
    <s v="SNAKE WELDED"/>
    <n v="115.82"/>
  </r>
  <r>
    <s v="1586059708-11165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7"/>
    <s v="LOW MOUNTED SILENCER"/>
    <s v="ZD778SSR"/>
    <s v="SCRAMBLER DUCATI"/>
    <n v="531.89"/>
    <n v="590.98"/>
    <s v="&lt;p&gt;STEEL RACING SILENCER WITH REMOVABLE DB KILLERS&lt;/p&gt;_x000a_&lt;p&gt;ORIGINAL SILENCER WEIGHT: 6 KG&lt;br&gt;ZARD SILENCER WEIGHT: 2.5 KG&amp;nbsp;&lt;/p&gt;_x000a_&lt;p&gt;BLACK AND SILVER WIRE MESH&amp;nbsp;IS SUPPLIED WITH HEAT SHIELD OF BLACK CERAMIC COATING VERSION&lt;/p&gt;_x000a_&lt;p&gt;&lt;span&gt;HOMOLOGATED-CATALYZED VERSION AVAILABLE AS OPTIONAL&lt;/span&gt;&lt;/p&gt;_x000a_&lt;p&gt;&lt;span&gt;ASTONISHING SOUND,&amp;nbsp;EXCLUSIVE DESIGN.&lt;/span&gt;&lt;/p&gt;_x000a_&lt;p&gt;N.B IMAGES SHOW STEEL SATIN SILENCER VERSION&lt;/p&gt;_x000a_&lt;p&gt;&lt;span&gt;THE INSTALLATION OF ZARD EXHAUST DOES NOT IMPLY ANY MODIFICATION TO ECU.&lt;/span&gt;&lt;br&gt;&lt;span&gt;THE BOX INCLUDES ALL PARTS FOR THE FITMENT OF ZARD EXHAUST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4 HOMOLOGATION AVAILABLE FROM THE END OF JULY.&lt;/p&gt;_x000a_&lt;p&gt;&lt;/p&gt;"/>
    <s v="https://shop.officineitalianezard.it/contents/imgs/products/1_1141-1.jpg"/>
    <m/>
    <m/>
  </r>
  <r>
    <s v="1586059708-11166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7"/>
    <s v="LOW MOUNTED SILENCER"/>
    <s v="ZD778SSR"/>
    <s v="SCRAMBLER DUCATI"/>
    <n v="531.89"/>
    <n v="590.98"/>
    <s v="&lt;p&gt;STEEL RACING SILENCER WITH REMOVABLE DB KILLERS&lt;/p&gt;_x000a_&lt;p&gt;ORIGINAL SILENCER WEIGHT: 6 KG&lt;br&gt;ZARD SILENCER WEIGHT: 2.5 KG&amp;nbsp;&lt;/p&gt;_x000a_&lt;p&gt;BLACK AND SILVER WIRE MESH&amp;nbsp;IS SUPPLIED WITH HEAT SHIELD OF BLACK CERAMIC COATING VERSION&lt;/p&gt;_x000a_&lt;p&gt;&lt;span&gt;HOMOLOGATED-CATALYZED VERSION AVAILABLE AS OPTIONAL&lt;/span&gt;&lt;/p&gt;_x000a_&lt;p&gt;&lt;span&gt;ASTONISHING SOUND,&amp;nbsp;EXCLUSIVE DESIGN.&lt;/span&gt;&lt;/p&gt;_x000a_&lt;p&gt;N.B IMAGES SHOW STEEL SATIN SILENCER VERSION&lt;/p&gt;_x000a_&lt;p&gt;&lt;span&gt;THE INSTALLATION OF ZARD EXHAUST DOES NOT IMPLY ANY MODIFICATION TO ECU.&lt;/span&gt;&lt;br&gt;&lt;span&gt;THE BOX INCLUDES ALL PARTS FOR THE FITMENT OF ZARD EXHAUST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4 HOMOLOGATION AVAILABLE FROM THE END OF JULY.&lt;/p&gt;_x000a_&lt;p&gt;&lt;/p&gt;"/>
    <s v="https://shop.officineitalianezard.it/contents/imgs/products/1_1208-scrambler%20ducati%20scarico%20paracalore%20nero.jpg"/>
    <m/>
    <m/>
  </r>
  <r>
    <s v="1586059708-11167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7"/>
    <s v="LOW MOUNTED SILENCER"/>
    <s v="ZD778SSR"/>
    <s v="SCRAMBLER DUCATI"/>
    <n v="531.89"/>
    <n v="590.98"/>
    <s v="&lt;p&gt;STEEL RACING SILENCER WITH REMOVABLE DB KILLERS&lt;/p&gt;_x000a_&lt;p&gt;ORIGINAL SILENCER WEIGHT: 6 KG&lt;br&gt;ZARD SILENCER WEIGHT: 2.5 KG&amp;nbsp;&lt;/p&gt;_x000a_&lt;p&gt;BLACK AND SILVER WIRE MESH&amp;nbsp;IS SUPPLIED WITH HEAT SHIELD OF BLACK CERAMIC COATING VERSION&lt;/p&gt;_x000a_&lt;p&gt;&lt;span&gt;HOMOLOGATED-CATALYZED VERSION AVAILABLE AS OPTIONAL&lt;/span&gt;&lt;/p&gt;_x000a_&lt;p&gt;&lt;span&gt;ASTONISHING SOUND,&amp;nbsp;EXCLUSIVE DESIGN.&lt;/span&gt;&lt;/p&gt;_x000a_&lt;p&gt;N.B IMAGES SHOW STEEL SATIN SILENCER VERSION&lt;/p&gt;_x000a_&lt;p&gt;&lt;span&gt;THE INSTALLATION OF ZARD EXHAUST DOES NOT IMPLY ANY MODIFICATION TO ECU.&lt;/span&gt;&lt;br&gt;&lt;span&gt;THE BOX INCLUDES ALL PARTS FOR THE FITMENT OF ZARD EXHAUST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4 HOMOLOGATION AVAILABLE FROM THE END OF JULY.&lt;/p&gt;_x000a_&lt;p&gt;&lt;/p&gt;"/>
    <s v="https://shop.officineitalianezard.it/contents/imgs/products/1_1139-3.jpg"/>
    <m/>
    <m/>
  </r>
  <r>
    <s v="1586059708-11168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7"/>
    <s v="LOW MOUNTED SILENCER"/>
    <s v="ZD778SSR"/>
    <s v="SCRAMBLER DUCATI"/>
    <n v="531.89"/>
    <n v="590.98"/>
    <s v="&lt;p&gt;STEEL RACING SILENCER WITH REMOVABLE DB KILLERS&lt;/p&gt;_x000a_&lt;p&gt;ORIGINAL SILENCER WEIGHT: 6 KG&lt;br&gt;ZARD SILENCER WEIGHT: 2.5 KG&amp;nbsp;&lt;/p&gt;_x000a_&lt;p&gt;BLACK AND SILVER WIRE MESH&amp;nbsp;IS SUPPLIED WITH HEAT SHIELD OF BLACK CERAMIC COATING VERSION&lt;/p&gt;_x000a_&lt;p&gt;&lt;span&gt;HOMOLOGATED-CATALYZED VERSION AVAILABLE AS OPTIONAL&lt;/span&gt;&lt;/p&gt;_x000a_&lt;p&gt;&lt;span&gt;ASTONISHING SOUND,&amp;nbsp;EXCLUSIVE DESIGN.&lt;/span&gt;&lt;/p&gt;_x000a_&lt;p&gt;N.B IMAGES SHOW STEEL SATIN SILENCER VERSION&lt;/p&gt;_x000a_&lt;p&gt;&lt;span&gt;THE INSTALLATION OF ZARD EXHAUST DOES NOT IMPLY ANY MODIFICATION TO ECU.&lt;/span&gt;&lt;br&gt;&lt;span&gt;THE BOX INCLUDES ALL PARTS FOR THE FITMENT OF ZARD EXHAUST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4 HOMOLOGATION AVAILABLE FROM THE END OF JULY.&lt;/p&gt;_x000a_&lt;p&gt;&lt;/p&gt;"/>
    <s v="https://shop.officineitalianezard.it/contents/imgs/products/1_1140-2.jpg"/>
    <m/>
    <m/>
  </r>
  <r>
    <s v="1586059708-11169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7"/>
    <s v="LOW MOUNTED SILENCER"/>
    <s v="ZD778SSR"/>
    <s v="SCRAMBLER DUCATI"/>
    <n v="531.89"/>
    <n v="590.98"/>
    <s v="&lt;p&gt;STEEL RACING SILENCER WITH REMOVABLE DB KILLERS&lt;/p&gt;_x000a_&lt;p&gt;ORIGINAL SILENCER WEIGHT: 6 KG&lt;br&gt;ZARD SILENCER WEIGHT: 2.5 KG&amp;nbsp;&lt;/p&gt;_x000a_&lt;p&gt;BLACK AND SILVER WIRE MESH&amp;nbsp;IS SUPPLIED WITH HEAT SHIELD OF BLACK CERAMIC COATING VERSION&lt;/p&gt;_x000a_&lt;p&gt;&lt;span&gt;HOMOLOGATED-CATALYZED VERSION AVAILABLE AS OPTIONAL&lt;/span&gt;&lt;/p&gt;_x000a_&lt;p&gt;&lt;span&gt;ASTONISHING SOUND,&amp;nbsp;EXCLUSIVE DESIGN.&lt;/span&gt;&lt;/p&gt;_x000a_&lt;p&gt;N.B IMAGES SHOW STEEL SATIN SILENCER VERSION&lt;/p&gt;_x000a_&lt;p&gt;&lt;span&gt;THE INSTALLATION OF ZARD EXHAUST DOES NOT IMPLY ANY MODIFICATION TO ECU.&lt;/span&gt;&lt;br&gt;&lt;span&gt;THE BOX INCLUDES ALL PARTS FOR THE FITMENT OF ZARD EXHAUST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4 HOMOLOGATION AVAILABLE FROM THE END OF JULY.&lt;/p&gt;_x000a_&lt;p&gt;&lt;/p&gt;"/>
    <s v="https://shop.officineitalianezard.it/contents/imgs/products/1_1138-4.jpg"/>
    <m/>
    <m/>
  </r>
  <r>
    <s v="1586059708-11170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7"/>
    <s v="LOW MOUNTED SILENCER"/>
    <s v="ZD778SSR"/>
    <s v="SCRAMBLER DUCATI"/>
    <n v="531.89"/>
    <n v="590.98"/>
    <s v="&lt;p&gt;STEEL RACING SILENCER WITH REMOVABLE DB KILLERS&lt;/p&gt;_x000a_&lt;p&gt;ORIGINAL SILENCER WEIGHT: 6 KG&lt;br&gt;ZARD SILENCER WEIGHT: 2.5 KG&amp;nbsp;&lt;/p&gt;_x000a_&lt;p&gt;BLACK AND SILVER WIRE MESH&amp;nbsp;IS SUPPLIED WITH HEAT SHIELD OF BLACK CERAMIC COATING VERSION&lt;/p&gt;_x000a_&lt;p&gt;&lt;span&gt;HOMOLOGATED-CATALYZED VERSION AVAILABLE AS OPTIONAL&lt;/span&gt;&lt;/p&gt;_x000a_&lt;p&gt;&lt;span&gt;ASTONISHING SOUND,&amp;nbsp;EXCLUSIVE DESIGN.&lt;/span&gt;&lt;/p&gt;_x000a_&lt;p&gt;N.B IMAGES SHOW STEEL SATIN SILENCER VERSION&lt;/p&gt;_x000a_&lt;p&gt;&lt;span&gt;THE INSTALLATION OF ZARD EXHAUST DOES NOT IMPLY ANY MODIFICATION TO ECU.&lt;/span&gt;&lt;br&gt;&lt;span&gt;THE BOX INCLUDES ALL PARTS FOR THE FITMENT OF ZARD EXHAUST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4 HOMOLOGATION AVAILABLE FROM THE END OF JULY.&lt;/p&gt;_x000a_&lt;p&gt;&lt;/p&gt;"/>
    <s v="https://shop.officineitalianezard.it/contents/imgs/products/1_1733-1067-scarico%20scrambler%20zard2.jpg"/>
    <m/>
    <m/>
  </r>
  <r>
    <s v="1586059708-11171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7"/>
    <s v="LOW MOUNTED SILENCER"/>
    <s v="ZD778SSR"/>
    <s v="SCRAMBLER DUCATI"/>
    <n v="531.89"/>
    <n v="590.98"/>
    <s v="&lt;p&gt;STEEL RACING SILENCER WITH REMOVABLE DB KILLERS&lt;/p&gt;_x000a_&lt;p&gt;ORIGINAL SILENCER WEIGHT: 6 KG&lt;br&gt;ZARD SILENCER WEIGHT: 2.5 KG&amp;nbsp;&lt;/p&gt;_x000a_&lt;p&gt;BLACK AND SILVER WIRE MESH&amp;nbsp;IS SUPPLIED WITH HEAT SHIELD OF BLACK CERAMIC COATING VERSION&lt;/p&gt;_x000a_&lt;p&gt;&lt;span&gt;HOMOLOGATED-CATALYZED VERSION AVAILABLE AS OPTIONAL&lt;/span&gt;&lt;/p&gt;_x000a_&lt;p&gt;&lt;span&gt;ASTONISHING SOUND,&amp;nbsp;EXCLUSIVE DESIGN.&lt;/span&gt;&lt;/p&gt;_x000a_&lt;p&gt;N.B IMAGES SHOW STEEL SATIN SILENCER VERSION&lt;/p&gt;_x000a_&lt;p&gt;&lt;span&gt;THE INSTALLATION OF ZARD EXHAUST DOES NOT IMPLY ANY MODIFICATION TO ECU.&lt;/span&gt;&lt;br&gt;&lt;span&gt;THE BOX INCLUDES ALL PARTS FOR THE FITMENT OF ZARD EXHAUST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4 HOMOLOGATION AVAILABLE FROM THE END OF JULY.&lt;/p&gt;_x000a_&lt;p&gt;&lt;/p&gt;"/>
    <s v="https://shop.officineitalianezard.it/contents/imgs/products/1_1734-1066-scarico%20scrambler%20zard1.jpg"/>
    <m/>
    <m/>
  </r>
  <r>
    <s v="1586059708-11172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7"/>
    <s v="LOW MOUNTED SILENCER"/>
    <s v="ZD778SSR"/>
    <s v="SCRAMBLER DUCATI"/>
    <n v="531.89"/>
    <n v="590.98"/>
    <s v="&lt;p&gt;STEEL RACING SILENCER WITH REMOVABLE DB KILLERS&lt;/p&gt;_x000a_&lt;p&gt;ORIGINAL SILENCER WEIGHT: 6 KG&lt;br&gt;ZARD SILENCER WEIGHT: 2.5 KG&amp;nbsp;&lt;/p&gt;_x000a_&lt;p&gt;BLACK AND SILVER WIRE MESH&amp;nbsp;IS SUPPLIED WITH HEAT SHIELD OF BLACK CERAMIC COATING VERSION&lt;/p&gt;_x000a_&lt;p&gt;&lt;span&gt;HOMOLOGATED-CATALYZED VERSION AVAILABLE AS OPTIONAL&lt;/span&gt;&lt;/p&gt;_x000a_&lt;p&gt;&lt;span&gt;ASTONISHING SOUND,&amp;nbsp;EXCLUSIVE DESIGN.&lt;/span&gt;&lt;/p&gt;_x000a_&lt;p&gt;N.B IMAGES SHOW STEEL SATIN SILENCER VERSION&lt;/p&gt;_x000a_&lt;p&gt;&lt;span&gt;THE INSTALLATION OF ZARD EXHAUST DOES NOT IMPLY ANY MODIFICATION TO ECU.&lt;/span&gt;&lt;br&gt;&lt;span&gt;THE BOX INCLUDES ALL PARTS FOR THE FITMENT OF ZARD EXHAUST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4 HOMOLOGATION AVAILABLE FROM THE END OF JULY.&lt;/p&gt;_x000a_&lt;p&gt;&lt;/p&gt;"/>
    <s v="https://shop.officineitalianezard.it/contents/imgs/products/1_1739-bassoneroridotta.jpg"/>
    <m/>
    <m/>
  </r>
  <r>
    <s v="1586059708-11173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7"/>
    <s v="LOW MOUNTED SILENCER"/>
    <s v="ZD778SSR"/>
    <s v="SCRAMBLER DUCATI"/>
    <n v="531.89"/>
    <n v="590.98"/>
    <s v="&lt;p&gt;STEEL RACING SILENCER WITH REMOVABLE DB KILLERS&lt;/p&gt;_x000a_&lt;p&gt;ORIGINAL SILENCER WEIGHT: 6 KG&lt;br&gt;ZARD SILENCER WEIGHT: 2.5 KG&amp;nbsp;&lt;/p&gt;_x000a_&lt;p&gt;BLACK AND SILVER WIRE MESH&amp;nbsp;IS SUPPLIED WITH HEAT SHIELD OF BLACK CERAMIC COATING VERSION&lt;/p&gt;_x000a_&lt;p&gt;&lt;span&gt;HOMOLOGATED-CATALYZED VERSION AVAILABLE AS OPTIONAL&lt;/span&gt;&lt;/p&gt;_x000a_&lt;p&gt;&lt;span&gt;ASTONISHING SOUND,&amp;nbsp;EXCLUSIVE DESIGN.&lt;/span&gt;&lt;/p&gt;_x000a_&lt;p&gt;N.B IMAGES SHOW STEEL SATIN SILENCER VERSION&lt;/p&gt;_x000a_&lt;p&gt;&lt;span&gt;THE INSTALLATION OF ZARD EXHAUST DOES NOT IMPLY ANY MODIFICATION TO ECU.&lt;/span&gt;&lt;br&gt;&lt;span&gt;THE BOX INCLUDES ALL PARTS FOR THE FITMENT OF ZARD EXHAUST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4 HOMOLOGATION AVAILABLE FROM THE END OF JULY.&lt;/p&gt;_x000a_&lt;p&gt;&lt;/p&gt;"/>
    <m/>
    <s v="EURO 3 HOMOLOGATED"/>
    <n v="53.85"/>
  </r>
  <r>
    <s v="1586059708-11174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7"/>
    <s v="LOW MOUNTED SILENCER"/>
    <s v="ZD778SSR"/>
    <s v="SCRAMBLER DUCATI"/>
    <n v="531.89"/>
    <n v="590.98"/>
    <s v="&lt;p&gt;STEEL RACING SILENCER WITH REMOVABLE DB KILLERS&lt;/p&gt;_x000a_&lt;p&gt;ORIGINAL SILENCER WEIGHT: 6 KG&lt;br&gt;ZARD SILENCER WEIGHT: 2.5 KG&amp;nbsp;&lt;/p&gt;_x000a_&lt;p&gt;BLACK AND SILVER WIRE MESH&amp;nbsp;IS SUPPLIED WITH HEAT SHIELD OF BLACK CERAMIC COATING VERSION&lt;/p&gt;_x000a_&lt;p&gt;&lt;span&gt;HOMOLOGATED-CATALYZED VERSION AVAILABLE AS OPTIONAL&lt;/span&gt;&lt;/p&gt;_x000a_&lt;p&gt;&lt;span&gt;ASTONISHING SOUND,&amp;nbsp;EXCLUSIVE DESIGN.&lt;/span&gt;&lt;/p&gt;_x000a_&lt;p&gt;N.B IMAGES SHOW STEEL SATIN SILENCER VERSION&lt;/p&gt;_x000a_&lt;p&gt;&lt;span&gt;THE INSTALLATION OF ZARD EXHAUST DOES NOT IMPLY ANY MODIFICATION TO ECU.&lt;/span&gt;&lt;br&gt;&lt;span&gt;THE BOX INCLUDES ALL PARTS FOR THE FITMENT OF ZARD EXHAUST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4 HOMOLOGATION AVAILABLE FROM THE END OF JULY.&lt;/p&gt;_x000a_&lt;p&gt;&lt;/p&gt;"/>
    <m/>
    <s v="EURO 4 HOMOLOGATED"/>
    <n v="84.84"/>
  </r>
  <r>
    <s v="1586059708-11175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7"/>
    <s v="LOW MOUNTED SILENCER"/>
    <s v="ZD778SSR"/>
    <s v="SCRAMBLER DUCATI"/>
    <n v="531.89"/>
    <n v="590.98"/>
    <s v="&lt;p&gt;STEEL RACING SILENCER WITH REMOVABLE DB KILLERS&lt;/p&gt;_x000a_&lt;p&gt;ORIGINAL SILENCER WEIGHT: 6 KG&lt;br&gt;ZARD SILENCER WEIGHT: 2.5 KG&amp;nbsp;&lt;/p&gt;_x000a_&lt;p&gt;BLACK AND SILVER WIRE MESH&amp;nbsp;IS SUPPLIED WITH HEAT SHIELD OF BLACK CERAMIC COATING VERSION&lt;/p&gt;_x000a_&lt;p&gt;&lt;span&gt;HOMOLOGATED-CATALYZED VERSION AVAILABLE AS OPTIONAL&lt;/span&gt;&lt;/p&gt;_x000a_&lt;p&gt;&lt;span&gt;ASTONISHING SOUND,&amp;nbsp;EXCLUSIVE DESIGN.&lt;/span&gt;&lt;/p&gt;_x000a_&lt;p&gt;N.B IMAGES SHOW STEEL SATIN SILENCER VERSION&lt;/p&gt;_x000a_&lt;p&gt;&lt;span&gt;THE INSTALLATION OF ZARD EXHAUST DOES NOT IMPLY ANY MODIFICATION TO ECU.&lt;/span&gt;&lt;br&gt;&lt;span&gt;THE BOX INCLUDES ALL PARTS FOR THE FITMENT OF ZARD EXHAUST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4 HOMOLOGATION AVAILABLE FROM THE END OF JULY.&lt;/p&gt;_x000a_&lt;p&gt;&lt;/p&gt;"/>
    <m/>
    <s v="BLACK CERAMIC COATING"/>
    <n v="77.459999999999994"/>
  </r>
  <r>
    <s v="1586059708-11176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7"/>
    <s v="LOW MOUNTED SILENCER"/>
    <s v="ZD778SSR"/>
    <s v="SCRAMBLER DUCATI"/>
    <n v="531.89"/>
    <n v="590.98"/>
    <s v="&lt;p&gt;STEEL RACING SILENCER WITH REMOVABLE DB KILLERS&lt;/p&gt;_x000a_&lt;p&gt;ORIGINAL SILENCER WEIGHT: 6 KG&lt;br&gt;ZARD SILENCER WEIGHT: 2.5 KG&amp;nbsp;&lt;/p&gt;_x000a_&lt;p&gt;BLACK AND SILVER WIRE MESH&amp;nbsp;IS SUPPLIED WITH HEAT SHIELD OF BLACK CERAMIC COATING VERSION&lt;/p&gt;_x000a_&lt;p&gt;&lt;span&gt;HOMOLOGATED-CATALYZED VERSION AVAILABLE AS OPTIONAL&lt;/span&gt;&lt;/p&gt;_x000a_&lt;p&gt;&lt;span&gt;ASTONISHING SOUND,&amp;nbsp;EXCLUSIVE DESIGN.&lt;/span&gt;&lt;/p&gt;_x000a_&lt;p&gt;N.B IMAGES SHOW STEEL SATIN SILENCER VERSION&lt;/p&gt;_x000a_&lt;p&gt;&lt;span&gt;THE INSTALLATION OF ZARD EXHAUST DOES NOT IMPLY ANY MODIFICATION TO ECU.&lt;/span&gt;&lt;br&gt;&lt;span&gt;THE BOX INCLUDES ALL PARTS FOR THE FITMENT OF ZARD EXHAUST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4 HOMOLOGATION AVAILABLE FROM THE END OF JULY.&lt;/p&gt;_x000a_&lt;p&gt;&lt;/p&gt;"/>
    <m/>
    <s v="BLACK HEAT SHIELD"/>
    <n v="46.48"/>
  </r>
  <r>
    <s v="1586059711-11177"/>
    <s v="https://shop.officineitalianezard.it/en/products/"/>
    <m/>
    <s v="https://shop.officineitalianezard.it/en/ducati-zard-exhaust/"/>
    <s v="SCRAMBLER 800"/>
    <s v="https://shop.officineitalianezard.it/en/ducati-scrambler-exhaust/"/>
    <s v="SCRAMBLER DUCATI 800 / MONSTER 797 REPLICA"/>
    <x v="198"/>
    <s v="HEADERS KIT"/>
    <s v="ZD783SCR"/>
    <s v="SCRAMBLER DUCATI"/>
    <n v="578.36"/>
    <n v="642.62"/>
    <s v="&lt;p&gt;'SCRAMBLER DUCATI REPLICA'&amp;nbsp;STEEL RACING HEADERS KIT COMPATIBLE WITH DUCATI MONSTER 797&lt;/p&gt;_x000a_&lt;p&gt;BOTH STEEL AND TITANIUM VERSION HAVE&amp;nbsp;'SNAKE TIG WELDINGS' HANDMADE BY OUR BEST WELDERS&lt;/p&gt;_x000a_&lt;p&gt;ORIGINAL HEADERS WEIGHT: 2.7 KG&lt;/p&gt;_x000a_&lt;p class=&quot;p1&quot;&gt;&lt;span class=&quot;s1&quot;&gt;&lt;b&gt;NOTE&lt;/b&gt;: HEAD OUTPUT NOT INCLUDED, PLEASE USE OEM&amp;nbsp;DUCATI ONE.&lt;/span&gt;&lt;/p&gt;_x000a_&lt;p&gt;ZARD TITANIUM HEADERS WEIGHT: 0.9 KG&lt;br&gt;ZARD STEEL HEADERS WEIGHT: 1.4 KG&lt;/p&gt;_x000a_&lt;p&gt;TO IMPROVE BIKE PERFORMANCES AND HAVE A COOL DESIGN,&lt;/p&gt;_x000a_&lt;p&gt;ZARD HEADERS KIT CAN BE COMBINED WITH&amp;nbsp;ONE OF OUR LOW MOUNTED SILENCERS.&lt;/p&gt;_x000a_&lt;p&gt;&lt;/p&gt;"/>
    <s v="https://shop.officineitalianezard.it/contents/imgs/products/1_1803-collettori%20scrambler%20ducati%201.jpg"/>
    <m/>
    <m/>
  </r>
  <r>
    <s v="1586059711-11178"/>
    <s v="https://shop.officineitalianezard.it/en/products/"/>
    <m/>
    <s v="https://shop.officineitalianezard.it/en/ducati-zard-exhaust/"/>
    <s v="SCRAMBLER 800"/>
    <s v="https://shop.officineitalianezard.it/en/ducati-scrambler-exhaust/"/>
    <s v="SCRAMBLER DUCATI 800 / MONSTER 797 REPLICA"/>
    <x v="198"/>
    <s v="HEADERS KIT"/>
    <s v="ZD783SCR"/>
    <s v="SCRAMBLER DUCATI"/>
    <n v="578.36"/>
    <n v="642.62"/>
    <s v="&lt;p&gt;'SCRAMBLER DUCATI REPLICA'&amp;nbsp;STEEL RACING HEADERS KIT COMPATIBLE WITH DUCATI MONSTER 797&lt;/p&gt;_x000a_&lt;p&gt;BOTH STEEL AND TITANIUM VERSION HAVE&amp;nbsp;'SNAKE TIG WELDINGS' HANDMADE BY OUR BEST WELDERS&lt;/p&gt;_x000a_&lt;p&gt;ORIGINAL HEADERS WEIGHT: 2.7 KG&lt;/p&gt;_x000a_&lt;p class=&quot;p1&quot;&gt;&lt;span class=&quot;s1&quot;&gt;&lt;b&gt;NOTE&lt;/b&gt;: HEAD OUTPUT NOT INCLUDED, PLEASE USE OEM&amp;nbsp;DUCATI ONE.&lt;/span&gt;&lt;/p&gt;_x000a_&lt;p&gt;ZARD TITANIUM HEADERS WEIGHT: 0.9 KG&lt;br&gt;ZARD STEEL HEADERS WEIGHT: 1.4 KG&lt;/p&gt;_x000a_&lt;p&gt;TO IMPROVE BIKE PERFORMANCES AND HAVE A COOL DESIGN,&lt;/p&gt;_x000a_&lt;p&gt;ZARD HEADERS KIT CAN BE COMBINED WITH&amp;nbsp;ONE OF OUR LOW MOUNTED SILENCERS.&lt;/p&gt;_x000a_&lt;p&gt;&lt;/p&gt;"/>
    <s v="https://shop.officineitalianezard.it/contents/imgs/products/1_1801-scarico%20scrambler%20ducati.jpg"/>
    <m/>
    <m/>
  </r>
  <r>
    <s v="1586059711-11179"/>
    <s v="https://shop.officineitalianezard.it/en/products/"/>
    <m/>
    <s v="https://shop.officineitalianezard.it/en/ducati-zard-exhaust/"/>
    <s v="SCRAMBLER 800"/>
    <s v="https://shop.officineitalianezard.it/en/ducati-scrambler-exhaust/"/>
    <s v="SCRAMBLER DUCATI 800 / MONSTER 797 REPLICA"/>
    <x v="198"/>
    <s v="HEADERS KIT"/>
    <s v="ZD783SCR"/>
    <s v="SCRAMBLER DUCATI"/>
    <n v="578.36"/>
    <n v="642.62"/>
    <s v="&lt;p&gt;'SCRAMBLER DUCATI REPLICA'&amp;nbsp;STEEL RACING HEADERS KIT COMPATIBLE WITH DUCATI MONSTER 797&lt;/p&gt;_x000a_&lt;p&gt;BOTH STEEL AND TITANIUM VERSION HAVE&amp;nbsp;'SNAKE TIG WELDINGS' HANDMADE BY OUR BEST WELDERS&lt;/p&gt;_x000a_&lt;p&gt;ORIGINAL HEADERS WEIGHT: 2.7 KG&lt;/p&gt;_x000a_&lt;p class=&quot;p1&quot;&gt;&lt;span class=&quot;s1&quot;&gt;&lt;b&gt;NOTE&lt;/b&gt;: HEAD OUTPUT NOT INCLUDED, PLEASE USE OEM&amp;nbsp;DUCATI ONE.&lt;/span&gt;&lt;/p&gt;_x000a_&lt;p&gt;ZARD TITANIUM HEADERS WEIGHT: 0.9 KG&lt;br&gt;ZARD STEEL HEADERS WEIGHT: 1.4 KG&lt;/p&gt;_x000a_&lt;p&gt;TO IMPROVE BIKE PERFORMANCES AND HAVE A COOL DESIGN,&lt;/p&gt;_x000a_&lt;p&gt;ZARD HEADERS KIT CAN BE COMBINED WITH&amp;nbsp;ONE OF OUR LOW MOUNTED SILENCERS.&lt;/p&gt;_x000a_&lt;p&gt;&lt;/p&gt;"/>
    <s v="https://shop.officineitalianezard.it/contents/imgs/products/1_1802-scrambler%20ducati%20titanium.jpg"/>
    <m/>
    <m/>
  </r>
  <r>
    <s v="1586059711-11180"/>
    <s v="https://shop.officineitalianezard.it/en/products/"/>
    <m/>
    <s v="https://shop.officineitalianezard.it/en/ducati-zard-exhaust/"/>
    <s v="SCRAMBLER 800"/>
    <s v="https://shop.officineitalianezard.it/en/ducati-scrambler-exhaust/"/>
    <s v="SCRAMBLER DUCATI 800 / MONSTER 797 REPLICA"/>
    <x v="198"/>
    <s v="HEADERS KIT"/>
    <s v="ZD783SCR"/>
    <s v="SCRAMBLER DUCATI"/>
    <n v="578.36"/>
    <n v="642.62"/>
    <s v="&lt;p&gt;'SCRAMBLER DUCATI REPLICA'&amp;nbsp;STEEL RACING HEADERS KIT COMPATIBLE WITH DUCATI MONSTER 797&lt;/p&gt;_x000a_&lt;p&gt;BOTH STEEL AND TITANIUM VERSION HAVE&amp;nbsp;'SNAKE TIG WELDINGS' HANDMADE BY OUR BEST WELDERS&lt;/p&gt;_x000a_&lt;p&gt;ORIGINAL HEADERS WEIGHT: 2.7 KG&lt;/p&gt;_x000a_&lt;p class=&quot;p1&quot;&gt;&lt;span class=&quot;s1&quot;&gt;&lt;b&gt;NOTE&lt;/b&gt;: HEAD OUTPUT NOT INCLUDED, PLEASE USE OEM&amp;nbsp;DUCATI ONE.&lt;/span&gt;&lt;/p&gt;_x000a_&lt;p&gt;ZARD TITANIUM HEADERS WEIGHT: 0.9 KG&lt;br&gt;ZARD STEEL HEADERS WEIGHT: 1.4 KG&lt;/p&gt;_x000a_&lt;p&gt;TO IMPROVE BIKE PERFORMANCES AND HAVE A COOL DESIGN,&lt;/p&gt;_x000a_&lt;p&gt;ZARD HEADERS KIT CAN BE COMBINED WITH&amp;nbsp;ONE OF OUR LOW MOUNTED SILENCERS.&lt;/p&gt;_x000a_&lt;p&gt;&lt;/p&gt;"/>
    <m/>
    <s v="FULL TITANIUM"/>
    <n v="346.72"/>
  </r>
  <r>
    <s v="1586059711-11181"/>
    <s v="https://shop.officineitalianezard.it/en/products/"/>
    <m/>
    <s v="https://shop.officineitalianezard.it/en/ducati-zard-exhaust/"/>
    <s v="SCRAMBLER 800"/>
    <s v="https://shop.officineitalianezard.it/en/ducati-scrambler-exhaust/"/>
    <s v="SCRAMBLER DUCATI 800 / MONSTER 797 REPLICA"/>
    <x v="198"/>
    <s v="HEADERS KIT"/>
    <s v="ZD783SCR"/>
    <s v="SCRAMBLER DUCATI"/>
    <n v="578.36"/>
    <n v="642.62"/>
    <s v="&lt;p&gt;'SCRAMBLER DUCATI REPLICA'&amp;nbsp;STEEL RACING HEADERS KIT COMPATIBLE WITH DUCATI MONSTER 797&lt;/p&gt;_x000a_&lt;p&gt;BOTH STEEL AND TITANIUM VERSION HAVE&amp;nbsp;'SNAKE TIG WELDINGS' HANDMADE BY OUR BEST WELDERS&lt;/p&gt;_x000a_&lt;p&gt;ORIGINAL HEADERS WEIGHT: 2.7 KG&lt;/p&gt;_x000a_&lt;p class=&quot;p1&quot;&gt;&lt;span class=&quot;s1&quot;&gt;&lt;b&gt;NOTE&lt;/b&gt;: HEAD OUTPUT NOT INCLUDED, PLEASE USE OEM&amp;nbsp;DUCATI ONE.&lt;/span&gt;&lt;/p&gt;_x000a_&lt;p&gt;ZARD TITANIUM HEADERS WEIGHT: 0.9 KG&lt;br&gt;ZARD STEEL HEADERS WEIGHT: 1.4 KG&lt;/p&gt;_x000a_&lt;p&gt;TO IMPROVE BIKE PERFORMANCES AND HAVE A COOL DESIGN,&lt;/p&gt;_x000a_&lt;p&gt;ZARD HEADERS KIT CAN BE COMBINED WITH&amp;nbsp;ONE OF OUR LOW MOUNTED SILENCERS.&lt;/p&gt;_x000a_&lt;p&gt;&lt;/p&gt;"/>
    <m/>
    <s v="BLACK CERAMIC COATING"/>
    <n v="146.80000000000001"/>
  </r>
  <r>
    <s v="1586059713-11182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9"/>
    <s v="HIGH MOUNTED FULL KIT"/>
    <s v="ZD779SKR"/>
    <s v="SCRAMBLER DUCATI"/>
    <n v="749.51"/>
    <n v="832.79"/>
    <s v="&lt;p&gt;2&amp;gt;1 STEEL RACING FULL KIT WITH REMOVABLE DB KILLER&lt;/p&gt;_x000a_&lt;p&gt;ORIGINAL FULL KIT WEIGHT: 8.5 KG&lt;br&gt;ZARD FULL KIT WEIGHT: 4.7 KG&lt;/p&gt;_x000a_&lt;p&gt;&lt;/p&gt;_x000a_&lt;p&gt;'BLACK CERAMIC COATING' OPTIONAL INCLUDES BOTH BLACK HEAT SHIELDS AND BLACK + SILVER WIRE MESHEES&lt;/p&gt;_x000a_&lt;p&gt;HARD INCREASE, COMPARED TO THE ORIGINAL EXHAUST SYSTEM, IN TERMS OF TORQUE AND POWER AT ANY RANGE.&lt;/p&gt;_x000a_&lt;p&gt;ASTONISHING SOUND.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3 HOMOLOGATED VERSION VALID TILL M.Y. 2016&lt;/p&gt;_x000a_&lt;p&gt;&lt;/p&gt;"/>
    <s v="https://shop.officineitalianezard.it/contents/imgs/products/1_1209-scarico%20scrambler%20ducati%20nero.jpg"/>
    <m/>
    <m/>
  </r>
  <r>
    <s v="1586059713-11183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9"/>
    <s v="HIGH MOUNTED FULL KIT"/>
    <s v="ZD779SKR"/>
    <s v="SCRAMBLER DUCATI"/>
    <n v="749.51"/>
    <n v="832.79"/>
    <s v="&lt;p&gt;2&amp;gt;1 STEEL RACING FULL KIT WITH REMOVABLE DB KILLER&lt;/p&gt;_x000a_&lt;p&gt;ORIGINAL FULL KIT WEIGHT: 8.5 KG&lt;br&gt;ZARD FULL KIT WEIGHT: 4.7 KG&lt;/p&gt;_x000a_&lt;p&gt;&lt;/p&gt;_x000a_&lt;p&gt;'BLACK CERAMIC COATING' OPTIONAL INCLUDES BOTH BLACK HEAT SHIELDS AND BLACK + SILVER WIRE MESHEES&lt;/p&gt;_x000a_&lt;p&gt;HARD INCREASE, COMPARED TO THE ORIGINAL EXHAUST SYSTEM, IN TERMS OF TORQUE AND POWER AT ANY RANGE.&lt;/p&gt;_x000a_&lt;p&gt;ASTONISHING SOUND.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3 HOMOLOGATED VERSION VALID TILL M.Y. 2016&lt;/p&gt;_x000a_&lt;p&gt;&lt;/p&gt;"/>
    <s v="https://shop.officineitalianezard.it/contents/imgs/products/1_1271-moto_verde_ridotta.jpg"/>
    <m/>
    <m/>
  </r>
  <r>
    <s v="1586059713-11184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9"/>
    <s v="HIGH MOUNTED FULL KIT"/>
    <s v="ZD779SKR"/>
    <s v="SCRAMBLER DUCATI"/>
    <n v="749.51"/>
    <n v="832.79"/>
    <s v="&lt;p&gt;2&amp;gt;1 STEEL RACING FULL KIT WITH REMOVABLE DB KILLER&lt;/p&gt;_x000a_&lt;p&gt;ORIGINAL FULL KIT WEIGHT: 8.5 KG&lt;br&gt;ZARD FULL KIT WEIGHT: 4.7 KG&lt;/p&gt;_x000a_&lt;p&gt;&lt;/p&gt;_x000a_&lt;p&gt;'BLACK CERAMIC COATING' OPTIONAL INCLUDES BOTH BLACK HEAT SHIELDS AND BLACK + SILVER WIRE MESHEES&lt;/p&gt;_x000a_&lt;p&gt;HARD INCREASE, COMPARED TO THE ORIGINAL EXHAUST SYSTEM, IN TERMS OF TORQUE AND POWER AT ANY RANGE.&lt;/p&gt;_x000a_&lt;p&gt;ASTONISHING SOUND.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3 HOMOLOGATED VERSION VALID TILL M.Y. 2016&lt;/p&gt;_x000a_&lt;p&gt;&lt;/p&gt;"/>
    <s v="https://shop.officineitalianezard.it/contents/imgs/products/1_1176-1.jpg"/>
    <m/>
    <m/>
  </r>
  <r>
    <s v="1586059713-11185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9"/>
    <s v="HIGH MOUNTED FULL KIT"/>
    <s v="ZD779SKR"/>
    <s v="SCRAMBLER DUCATI"/>
    <n v="749.51"/>
    <n v="832.79"/>
    <s v="&lt;p&gt;2&amp;gt;1 STEEL RACING FULL KIT WITH REMOVABLE DB KILLER&lt;/p&gt;_x000a_&lt;p&gt;ORIGINAL FULL KIT WEIGHT: 8.5 KG&lt;br&gt;ZARD FULL KIT WEIGHT: 4.7 KG&lt;/p&gt;_x000a_&lt;p&gt;&lt;/p&gt;_x000a_&lt;p&gt;'BLACK CERAMIC COATING' OPTIONAL INCLUDES BOTH BLACK HEAT SHIELDS AND BLACK + SILVER WIRE MESHEES&lt;/p&gt;_x000a_&lt;p&gt;HARD INCREASE, COMPARED TO THE ORIGINAL EXHAUST SYSTEM, IN TERMS OF TORQUE AND POWER AT ANY RANGE.&lt;/p&gt;_x000a_&lt;p&gt;ASTONISHING SOUND.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3 HOMOLOGATED VERSION VALID TILL M.Y. 2016&lt;/p&gt;_x000a_&lt;p&gt;&lt;/p&gt;"/>
    <s v="https://shop.officineitalianezard.it/contents/imgs/products/1_2486-1272-moto_verdee_2_ridotta.jpg"/>
    <m/>
    <m/>
  </r>
  <r>
    <s v="1586059713-11186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9"/>
    <s v="HIGH MOUNTED FULL KIT"/>
    <s v="ZD779SKR"/>
    <s v="SCRAMBLER DUCATI"/>
    <n v="749.51"/>
    <n v="832.79"/>
    <s v="&lt;p&gt;2&amp;gt;1 STEEL RACING FULL KIT WITH REMOVABLE DB KILLER&lt;/p&gt;_x000a_&lt;p&gt;ORIGINAL FULL KIT WEIGHT: 8.5 KG&lt;br&gt;ZARD FULL KIT WEIGHT: 4.7 KG&lt;/p&gt;_x000a_&lt;p&gt;&lt;/p&gt;_x000a_&lt;p&gt;'BLACK CERAMIC COATING' OPTIONAL INCLUDES BOTH BLACK HEAT SHIELDS AND BLACK + SILVER WIRE MESHEES&lt;/p&gt;_x000a_&lt;p&gt;HARD INCREASE, COMPARED TO THE ORIGINAL EXHAUST SYSTEM, IN TERMS OF TORQUE AND POWER AT ANY RANGE.&lt;/p&gt;_x000a_&lt;p&gt;ASTONISHING SOUND.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3 HOMOLOGATED VERSION VALID TILL M.Y. 2016&lt;/p&gt;_x000a_&lt;p&gt;&lt;/p&gt;"/>
    <s v="https://shop.officineitalianezard.it/contents/imgs/products/1_1177-2.jpg"/>
    <m/>
    <m/>
  </r>
  <r>
    <s v="1586059713-11187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9"/>
    <s v="HIGH MOUNTED FULL KIT"/>
    <s v="ZD779SKR"/>
    <s v="SCRAMBLER DUCATI"/>
    <n v="749.51"/>
    <n v="832.79"/>
    <s v="&lt;p&gt;2&amp;gt;1 STEEL RACING FULL KIT WITH REMOVABLE DB KILLER&lt;/p&gt;_x000a_&lt;p&gt;ORIGINAL FULL KIT WEIGHT: 8.5 KG&lt;br&gt;ZARD FULL KIT WEIGHT: 4.7 KG&lt;/p&gt;_x000a_&lt;p&gt;&lt;/p&gt;_x000a_&lt;p&gt;'BLACK CERAMIC COATING' OPTIONAL INCLUDES BOTH BLACK HEAT SHIELDS AND BLACK + SILVER WIRE MESHEES&lt;/p&gt;_x000a_&lt;p&gt;HARD INCREASE, COMPARED TO THE ORIGINAL EXHAUST SYSTEM, IN TERMS OF TORQUE AND POWER AT ANY RANGE.&lt;/p&gt;_x000a_&lt;p&gt;ASTONISHING SOUND.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3 HOMOLOGATED VERSION VALID TILL M.Y. 2016&lt;/p&gt;_x000a_&lt;p&gt;&lt;/p&gt;"/>
    <s v="https://shop.officineitalianezard.it/contents/imgs/products/1_1179-4.jpg"/>
    <m/>
    <m/>
  </r>
  <r>
    <s v="1586059713-11188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9"/>
    <s v="HIGH MOUNTED FULL KIT"/>
    <s v="ZD779SKR"/>
    <s v="SCRAMBLER DUCATI"/>
    <n v="749.51"/>
    <n v="832.79"/>
    <s v="&lt;p&gt;2&amp;gt;1 STEEL RACING FULL KIT WITH REMOVABLE DB KILLER&lt;/p&gt;_x000a_&lt;p&gt;ORIGINAL FULL KIT WEIGHT: 8.5 KG&lt;br&gt;ZARD FULL KIT WEIGHT: 4.7 KG&lt;/p&gt;_x000a_&lt;p&gt;&lt;/p&gt;_x000a_&lt;p&gt;'BLACK CERAMIC COATING' OPTIONAL INCLUDES BOTH BLACK HEAT SHIELDS AND BLACK + SILVER WIRE MESHEES&lt;/p&gt;_x000a_&lt;p&gt;HARD INCREASE, COMPARED TO THE ORIGINAL EXHAUST SYSTEM, IN TERMS OF TORQUE AND POWER AT ANY RANGE.&lt;/p&gt;_x000a_&lt;p&gt;ASTONISHING SOUND.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3 HOMOLOGATED VERSION VALID TILL M.Y. 2016&lt;/p&gt;_x000a_&lt;p&gt;&lt;/p&gt;"/>
    <s v="https://shop.officineitalianezard.it/contents/imgs/products/1_1732-1066-scarico%20scrambler%20zard1.jpg"/>
    <m/>
    <m/>
  </r>
  <r>
    <s v="1586059713-11189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9"/>
    <s v="HIGH MOUNTED FULL KIT"/>
    <s v="ZD779SKR"/>
    <s v="SCRAMBLER DUCATI"/>
    <n v="749.51"/>
    <n v="832.79"/>
    <s v="&lt;p&gt;2&amp;gt;1 STEEL RACING FULL KIT WITH REMOVABLE DB KILLER&lt;/p&gt;_x000a_&lt;p&gt;ORIGINAL FULL KIT WEIGHT: 8.5 KG&lt;br&gt;ZARD FULL KIT WEIGHT: 4.7 KG&lt;/p&gt;_x000a_&lt;p&gt;&lt;/p&gt;_x000a_&lt;p&gt;'BLACK CERAMIC COATING' OPTIONAL INCLUDES BOTH BLACK HEAT SHIELDS AND BLACK + SILVER WIRE MESHEES&lt;/p&gt;_x000a_&lt;p&gt;HARD INCREASE, COMPARED TO THE ORIGINAL EXHAUST SYSTEM, IN TERMS OF TORQUE AND POWER AT ANY RANGE.&lt;/p&gt;_x000a_&lt;p&gt;ASTONISHING SOUND.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3 HOMOLOGATED VERSION VALID TILL M.Y. 2016&lt;/p&gt;_x000a_&lt;p&gt;&lt;/p&gt;"/>
    <s v="https://shop.officineitalianezard.it/contents/imgs/products/1_1737-1067-scarico%20scrambler%20zard2.jpg"/>
    <m/>
    <m/>
  </r>
  <r>
    <s v="1586059713-11190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9"/>
    <s v="HIGH MOUNTED FULL KIT"/>
    <s v="ZD779SKR"/>
    <s v="SCRAMBLER DUCATI"/>
    <n v="749.51"/>
    <n v="832.79"/>
    <s v="&lt;p&gt;2&amp;gt;1 STEEL RACING FULL KIT WITH REMOVABLE DB KILLER&lt;/p&gt;_x000a_&lt;p&gt;ORIGINAL FULL KIT WEIGHT: 8.5 KG&lt;br&gt;ZARD FULL KIT WEIGHT: 4.7 KG&lt;/p&gt;_x000a_&lt;p&gt;&lt;/p&gt;_x000a_&lt;p&gt;'BLACK CERAMIC COATING' OPTIONAL INCLUDES BOTH BLACK HEAT SHIELDS AND BLACK + SILVER WIRE MESHEES&lt;/p&gt;_x000a_&lt;p&gt;HARD INCREASE, COMPARED TO THE ORIGINAL EXHAUST SYSTEM, IN TERMS OF TORQUE AND POWER AT ANY RANGE.&lt;/p&gt;_x000a_&lt;p&gt;ASTONISHING SOUND.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3 HOMOLOGATED VERSION VALID TILL M.Y. 2016&lt;/p&gt;_x000a_&lt;p&gt;&lt;/p&gt;"/>
    <m/>
    <s v="HOMOLOGATED CAT."/>
    <n v="161.56"/>
  </r>
  <r>
    <s v="1586059713-11191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9"/>
    <s v="HIGH MOUNTED FULL KIT"/>
    <s v="ZD779SKR"/>
    <s v="SCRAMBLER DUCATI"/>
    <n v="749.51"/>
    <n v="832.79"/>
    <s v="&lt;p&gt;2&amp;gt;1 STEEL RACING FULL KIT WITH REMOVABLE DB KILLER&lt;/p&gt;_x000a_&lt;p&gt;ORIGINAL FULL KIT WEIGHT: 8.5 KG&lt;br&gt;ZARD FULL KIT WEIGHT: 4.7 KG&lt;/p&gt;_x000a_&lt;p&gt;&lt;/p&gt;_x000a_&lt;p&gt;'BLACK CERAMIC COATING' OPTIONAL INCLUDES BOTH BLACK HEAT SHIELDS AND BLACK + SILVER WIRE MESHEES&lt;/p&gt;_x000a_&lt;p&gt;HARD INCREASE, COMPARED TO THE ORIGINAL EXHAUST SYSTEM, IN TERMS OF TORQUE AND POWER AT ANY RANGE.&lt;/p&gt;_x000a_&lt;p&gt;ASTONISHING SOUND.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3 HOMOLOGATED VERSION VALID TILL M.Y. 2016&lt;/p&gt;_x000a_&lt;p&gt;&lt;/p&gt;"/>
    <m/>
    <s v="BLACK HEAT SHIELDS"/>
    <n v="53.85"/>
  </r>
  <r>
    <s v="1586059713-11192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9"/>
    <s v="HIGH MOUNTED FULL KIT"/>
    <s v="ZD779SKR"/>
    <s v="SCRAMBLER DUCATI"/>
    <n v="749.51"/>
    <n v="832.79"/>
    <s v="&lt;p&gt;2&amp;gt;1 STEEL RACING FULL KIT WITH REMOVABLE DB KILLER&lt;/p&gt;_x000a_&lt;p&gt;ORIGINAL FULL KIT WEIGHT: 8.5 KG&lt;br&gt;ZARD FULL KIT WEIGHT: 4.7 KG&lt;/p&gt;_x000a_&lt;p&gt;&lt;/p&gt;_x000a_&lt;p&gt;'BLACK CERAMIC COATING' OPTIONAL INCLUDES BOTH BLACK HEAT SHIELDS AND BLACK + SILVER WIRE MESHEES&lt;/p&gt;_x000a_&lt;p&gt;HARD INCREASE, COMPARED TO THE ORIGINAL EXHAUST SYSTEM, IN TERMS OF TORQUE AND POWER AT ANY RANGE.&lt;/p&gt;_x000a_&lt;p&gt;ASTONISHING SOUND.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3 HOMOLOGATED VERSION VALID TILL M.Y. 2016&lt;/p&gt;_x000a_&lt;p&gt;&lt;/p&gt;"/>
    <m/>
    <s v="BLACK COATING"/>
    <n v="169.67"/>
  </r>
  <r>
    <s v="1586059713-11193"/>
    <s v="https://shop.officineitalianezard.it/en/products/"/>
    <m/>
    <s v="https://shop.officineitalianezard.it/en/ducati-zard-exhaust/"/>
    <s v="SCRAMBLER 800"/>
    <s v="https://shop.officineitalianezard.it/en/ducati-scrambler-exhaust/"/>
    <s v="SPECIAL EDITION"/>
    <x v="199"/>
    <s v="HIGH MOUNTED FULL KIT"/>
    <s v="ZD779SKR"/>
    <s v="SCRAMBLER DUCATI"/>
    <n v="749.51"/>
    <n v="832.79"/>
    <s v="&lt;p&gt;2&amp;gt;1 STEEL RACING FULL KIT WITH REMOVABLE DB KILLER&lt;/p&gt;_x000a_&lt;p&gt;ORIGINAL FULL KIT WEIGHT: 8.5 KG&lt;br&gt;ZARD FULL KIT WEIGHT: 4.7 KG&lt;/p&gt;_x000a_&lt;p&gt;&lt;/p&gt;_x000a_&lt;p&gt;'BLACK CERAMIC COATING' OPTIONAL INCLUDES BOTH BLACK HEAT SHIELDS AND BLACK + SILVER WIRE MESHEES&lt;/p&gt;_x000a_&lt;p&gt;HARD INCREASE, COMPARED TO THE ORIGINAL EXHAUST SYSTEM, IN TERMS OF TORQUE AND POWER AT ANY RANGE.&lt;/p&gt;_x000a_&lt;p&gt;ASTONISHING SOUND.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3 HOMOLOGATED VERSION VALID TILL M.Y. 2016&lt;/p&gt;_x000a_&lt;p&gt;&lt;/p&gt;"/>
    <m/>
    <s v="BRUSHED FINISHING"/>
    <n v="45.74"/>
  </r>
  <r>
    <s v="1586059716-11194"/>
    <s v="https://shop.officineitalianezard.it/en/products/"/>
    <m/>
    <s v="https://shop.officineitalianezard.it/en/ducati-zard-exhaust/"/>
    <s v="SCRAMBLER 800"/>
    <s v="https://shop.officineitalianezard.it/en/ducati-scrambler-exhaust/"/>
    <s v="LOW MOUNTED VERSION"/>
    <x v="200"/>
    <s v="SILENCER"/>
    <s v="ZD780SSR"/>
    <s v="SCRAMBLER DUCATI"/>
    <n v="531.89"/>
    <n v="590.98"/>
    <s v="&lt;p&gt;STEEL RACING SILENCER WITH REMOVABLE DB KILLERS&lt;/p&gt;_x000a_&lt;p&gt;CARBON ENDCAP&lt;/p&gt;_x000a_&lt;p&gt;HARD INCREASE, COMPARED TO THE ORIGINAL EXHAUST SYSTEM, IN TERMS OF TORQUE AND POWER AT ANY RANGE.&lt;/p&gt;_x000a_&lt;p&gt;ASTONISHING SOUND.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4 HOMOLOGATION AVAILABLE FROM THE END OF JULY&lt;/p&gt;_x000a_&lt;p&gt;&lt;/p&gt;"/>
    <s v="https://shop.officineitalianezard.it/contents/imgs/products/1_1226-1.jpg"/>
    <m/>
    <m/>
  </r>
  <r>
    <s v="1586059716-11195"/>
    <s v="https://shop.officineitalianezard.it/en/products/"/>
    <m/>
    <s v="https://shop.officineitalianezard.it/en/ducati-zard-exhaust/"/>
    <s v="SCRAMBLER 800"/>
    <s v="https://shop.officineitalianezard.it/en/ducati-scrambler-exhaust/"/>
    <s v="LOW MOUNTED VERSION"/>
    <x v="200"/>
    <s v="SILENCER"/>
    <s v="ZD780SSR"/>
    <s v="SCRAMBLER DUCATI"/>
    <n v="531.89"/>
    <n v="590.98"/>
    <s v="&lt;p&gt;STEEL RACING SILENCER WITH REMOVABLE DB KILLERS&lt;/p&gt;_x000a_&lt;p&gt;CARBON ENDCAP&lt;/p&gt;_x000a_&lt;p&gt;HARD INCREASE, COMPARED TO THE ORIGINAL EXHAUST SYSTEM, IN TERMS OF TORQUE AND POWER AT ANY RANGE.&lt;/p&gt;_x000a_&lt;p&gt;ASTONISHING SOUND.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4 HOMOLOGATION AVAILABLE FROM THE END OF JULY&lt;/p&gt;_x000a_&lt;p&gt;&lt;/p&gt;"/>
    <s v="https://shop.officineitalianezard.it/contents/imgs/products/1_1227-2.jpg"/>
    <m/>
    <m/>
  </r>
  <r>
    <s v="1586059716-11196"/>
    <s v="https://shop.officineitalianezard.it/en/products/"/>
    <m/>
    <s v="https://shop.officineitalianezard.it/en/ducati-zard-exhaust/"/>
    <s v="SCRAMBLER 800"/>
    <s v="https://shop.officineitalianezard.it/en/ducati-scrambler-exhaust/"/>
    <s v="LOW MOUNTED VERSION"/>
    <x v="200"/>
    <s v="SILENCER"/>
    <s v="ZD780SSR"/>
    <s v="SCRAMBLER DUCATI"/>
    <n v="531.89"/>
    <n v="590.98"/>
    <s v="&lt;p&gt;STEEL RACING SILENCER WITH REMOVABLE DB KILLERS&lt;/p&gt;_x000a_&lt;p&gt;CARBON ENDCAP&lt;/p&gt;_x000a_&lt;p&gt;HARD INCREASE, COMPARED TO THE ORIGINAL EXHAUST SYSTEM, IN TERMS OF TORQUE AND POWER AT ANY RANGE.&lt;/p&gt;_x000a_&lt;p&gt;ASTONISHING SOUND.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4 HOMOLOGATION AVAILABLE FROM THE END OF JULY&lt;/p&gt;_x000a_&lt;p&gt;&lt;/p&gt;"/>
    <s v="https://shop.officineitalianezard.it/contents/imgs/products/1_1228-3.jpg"/>
    <m/>
    <m/>
  </r>
  <r>
    <s v="1586059716-11197"/>
    <s v="https://shop.officineitalianezard.it/en/products/"/>
    <m/>
    <s v="https://shop.officineitalianezard.it/en/ducati-zard-exhaust/"/>
    <s v="SCRAMBLER 800"/>
    <s v="https://shop.officineitalianezard.it/en/ducati-scrambler-exhaust/"/>
    <s v="LOW MOUNTED VERSION"/>
    <x v="200"/>
    <s v="SILENCER"/>
    <s v="ZD780SSR"/>
    <s v="SCRAMBLER DUCATI"/>
    <n v="531.89"/>
    <n v="590.98"/>
    <s v="&lt;p&gt;STEEL RACING SILENCER WITH REMOVABLE DB KILLERS&lt;/p&gt;_x000a_&lt;p&gt;CARBON ENDCAP&lt;/p&gt;_x000a_&lt;p&gt;HARD INCREASE, COMPARED TO THE ORIGINAL EXHAUST SYSTEM, IN TERMS OF TORQUE AND POWER AT ANY RANGE.&lt;/p&gt;_x000a_&lt;p&gt;ASTONISHING SOUND.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4 HOMOLOGATION AVAILABLE FROM THE END OF JULY&lt;/p&gt;_x000a_&lt;p&gt;&lt;/p&gt;"/>
    <s v="https://shop.officineitalianezard.it/contents/imgs/products/1_1184-1ridotta.jpg"/>
    <m/>
    <m/>
  </r>
  <r>
    <s v="1586059716-11198"/>
    <s v="https://shop.officineitalianezard.it/en/products/"/>
    <m/>
    <s v="https://shop.officineitalianezard.it/en/ducati-zard-exhaust/"/>
    <s v="SCRAMBLER 800"/>
    <s v="https://shop.officineitalianezard.it/en/ducati-scrambler-exhaust/"/>
    <s v="LOW MOUNTED VERSION"/>
    <x v="200"/>
    <s v="SILENCER"/>
    <s v="ZD780SSR"/>
    <s v="SCRAMBLER DUCATI"/>
    <n v="531.89"/>
    <n v="590.98"/>
    <s v="&lt;p&gt;STEEL RACING SILENCER WITH REMOVABLE DB KILLERS&lt;/p&gt;_x000a_&lt;p&gt;CARBON ENDCAP&lt;/p&gt;_x000a_&lt;p&gt;HARD INCREASE, COMPARED TO THE ORIGINAL EXHAUST SYSTEM, IN TERMS OF TORQUE AND POWER AT ANY RANGE.&lt;/p&gt;_x000a_&lt;p&gt;ASTONISHING SOUND.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4 HOMOLOGATION AVAILABLE FROM THE END OF JULY&lt;/p&gt;_x000a_&lt;p&gt;&lt;/p&gt;"/>
    <s v="https://shop.officineitalianezard.it/contents/imgs/products/1_1185-2ridotta.jpg"/>
    <m/>
    <m/>
  </r>
  <r>
    <s v="1586059716-11199"/>
    <s v="https://shop.officineitalianezard.it/en/products/"/>
    <m/>
    <s v="https://shop.officineitalianezard.it/en/ducati-zard-exhaust/"/>
    <s v="SCRAMBLER 800"/>
    <s v="https://shop.officineitalianezard.it/en/ducati-scrambler-exhaust/"/>
    <s v="LOW MOUNTED VERSION"/>
    <x v="200"/>
    <s v="SILENCER"/>
    <s v="ZD780SSR"/>
    <s v="SCRAMBLER DUCATI"/>
    <n v="531.89"/>
    <n v="590.98"/>
    <s v="&lt;p&gt;STEEL RACING SILENCER WITH REMOVABLE DB KILLERS&lt;/p&gt;_x000a_&lt;p&gt;CARBON ENDCAP&lt;/p&gt;_x000a_&lt;p&gt;HARD INCREASE, COMPARED TO THE ORIGINAL EXHAUST SYSTEM, IN TERMS OF TORQUE AND POWER AT ANY RANGE.&lt;/p&gt;_x000a_&lt;p&gt;ASTONISHING SOUND.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4 HOMOLOGATION AVAILABLE FROM THE END OF JULY&lt;/p&gt;_x000a_&lt;p&gt;&lt;/p&gt;"/>
    <s v="https://shop.officineitalianezard.it/contents/imgs/products/1_1186-3ridotta.jpg"/>
    <m/>
    <m/>
  </r>
  <r>
    <s v="1586059716-11200"/>
    <s v="https://shop.officineitalianezard.it/en/products/"/>
    <m/>
    <s v="https://shop.officineitalianezard.it/en/ducati-zard-exhaust/"/>
    <s v="SCRAMBLER 800"/>
    <s v="https://shop.officineitalianezard.it/en/ducati-scrambler-exhaust/"/>
    <s v="LOW MOUNTED VERSION"/>
    <x v="200"/>
    <s v="SILENCER"/>
    <s v="ZD780SSR"/>
    <s v="SCRAMBLER DUCATI"/>
    <n v="531.89"/>
    <n v="590.98"/>
    <s v="&lt;p&gt;STEEL RACING SILENCER WITH REMOVABLE DB KILLERS&lt;/p&gt;_x000a_&lt;p&gt;CARBON ENDCAP&lt;/p&gt;_x000a_&lt;p&gt;HARD INCREASE, COMPARED TO THE ORIGINAL EXHAUST SYSTEM, IN TERMS OF TORQUE AND POWER AT ANY RANGE.&lt;/p&gt;_x000a_&lt;p&gt;ASTONISHING SOUND.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4 HOMOLOGATION AVAILABLE FROM THE END OF JULY&lt;/p&gt;_x000a_&lt;p&gt;&lt;/p&gt;"/>
    <m/>
    <s v="EURO 3 HOMOLOGATED"/>
    <n v="53.85"/>
  </r>
  <r>
    <s v="1586059716-11201"/>
    <s v="https://shop.officineitalianezard.it/en/products/"/>
    <m/>
    <s v="https://shop.officineitalianezard.it/en/ducati-zard-exhaust/"/>
    <s v="SCRAMBLER 800"/>
    <s v="https://shop.officineitalianezard.it/en/ducati-scrambler-exhaust/"/>
    <s v="LOW MOUNTED VERSION"/>
    <x v="200"/>
    <s v="SILENCER"/>
    <s v="ZD780SSR"/>
    <s v="SCRAMBLER DUCATI"/>
    <n v="531.89"/>
    <n v="590.98"/>
    <s v="&lt;p&gt;STEEL RACING SILENCER WITH REMOVABLE DB KILLERS&lt;/p&gt;_x000a_&lt;p&gt;CARBON ENDCAP&lt;/p&gt;_x000a_&lt;p&gt;HARD INCREASE, COMPARED TO THE ORIGINAL EXHAUST SYSTEM, IN TERMS OF TORQUE AND POWER AT ANY RANGE.&lt;/p&gt;_x000a_&lt;p&gt;ASTONISHING SOUND.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4 HOMOLOGATION AVAILABLE FROM THE END OF JULY&lt;/p&gt;_x000a_&lt;p&gt;&lt;/p&gt;"/>
    <m/>
    <s v="EURO 4 HOMOLOGATED"/>
    <n v="84.84"/>
  </r>
  <r>
    <s v="1586059716-11202"/>
    <s v="https://shop.officineitalianezard.it/en/products/"/>
    <m/>
    <s v="https://shop.officineitalianezard.it/en/ducati-zard-exhaust/"/>
    <s v="SCRAMBLER 800"/>
    <s v="https://shop.officineitalianezard.it/en/ducati-scrambler-exhaust/"/>
    <s v="LOW MOUNTED VERSION"/>
    <x v="200"/>
    <s v="SILENCER"/>
    <s v="ZD780SSR"/>
    <s v="SCRAMBLER DUCATI"/>
    <n v="531.89"/>
    <n v="590.98"/>
    <s v="&lt;p&gt;STEEL RACING SILENCER WITH REMOVABLE DB KILLERS&lt;/p&gt;_x000a_&lt;p&gt;CARBON ENDCAP&lt;/p&gt;_x000a_&lt;p&gt;HARD INCREASE, COMPARED TO THE ORIGINAL EXHAUST SYSTEM, IN TERMS OF TORQUE AND POWER AT ANY RANGE.&lt;/p&gt;_x000a_&lt;p&gt;ASTONISHING SOUND.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NOTICE: EURO 4 HOMOLOGATION AVAILABLE FROM THE END OF JULY&lt;/p&gt;_x000a_&lt;p&gt;&lt;/p&gt;"/>
    <m/>
    <s v="BLACK COATING"/>
    <n v="77.459999999999994"/>
  </r>
  <r>
    <s v="1586059719-11203"/>
    <s v="https://shop.officineitalianezard.it/en/products/"/>
    <m/>
    <s v="https://shop.officineitalianezard.it/en/ducati-zard-exhaust/"/>
    <s v="SCRAMBLER 800"/>
    <s v="https://shop.officineitalianezard.it/en/ducati-scrambler-exhaust/"/>
    <s v="ZUMA"/>
    <x v="201"/>
    <s v="SILENCER"/>
    <s v="ZD781SSR"/>
    <s v="SCRAMBLER DUCATI"/>
    <n v="517.13"/>
    <n v="574.59"/>
    <s v="&lt;div class=&quot;page-product-descr product-font-size text-font&quot;&gt;_x000a_&lt;p&gt;STEEL SILENCER RACING WITH REMOVABLE DB KILLER&lt;/p&gt;_x000a_&lt;p&gt;ORIGINAL SILENCER WEIGHT: 6KG&lt;/p&gt;_x000a_&lt;p&gt;ZARD RACING SILENCER WEIGHT: 1,7KG&lt;br&gt;ZARD HOMOLOGATED SILENCER WEIGHT: 1,8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ASTONISHING SOUND.&lt;/p&gt;_x000a_&lt;p&gt;NOTICE: EURO 4 HOMOLOGATION AVAILABLE FROM THE END OF JULY.&lt;/p&gt;_x000a_&lt;p&gt;&lt;/p&gt;_x000a_&lt;/div&gt;"/>
    <s v="https://shop.officineitalianezard.it/contents/imgs/products/1_1294-1.jpg"/>
    <m/>
    <m/>
  </r>
  <r>
    <s v="1586059719-11204"/>
    <s v="https://shop.officineitalianezard.it/en/products/"/>
    <m/>
    <s v="https://shop.officineitalianezard.it/en/ducati-zard-exhaust/"/>
    <s v="SCRAMBLER 800"/>
    <s v="https://shop.officineitalianezard.it/en/ducati-scrambler-exhaust/"/>
    <s v="ZUMA"/>
    <x v="201"/>
    <s v="SILENCER"/>
    <s v="ZD781SSR"/>
    <s v="SCRAMBLER DUCATI"/>
    <n v="517.13"/>
    <n v="574.59"/>
    <s v="&lt;div class=&quot;page-product-descr product-font-size text-font&quot;&gt;_x000a_&lt;p&gt;STEEL SILENCER RACING WITH REMOVABLE DB KILLER&lt;/p&gt;_x000a_&lt;p&gt;ORIGINAL SILENCER WEIGHT: 6KG&lt;/p&gt;_x000a_&lt;p&gt;ZARD RACING SILENCER WEIGHT: 1,7KG&lt;br&gt;ZARD HOMOLOGATED SILENCER WEIGHT: 1,8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ASTONISHING SOUND.&lt;/p&gt;_x000a_&lt;p&gt;NOTICE: EURO 4 HOMOLOGATION AVAILABLE FROM THE END OF JULY.&lt;/p&gt;_x000a_&lt;p&gt;&lt;/p&gt;_x000a_&lt;/div&gt;"/>
    <s v="https://shop.officineitalianezard.it/contents/imgs/products/1_1295-2.jpg"/>
    <m/>
    <m/>
  </r>
  <r>
    <s v="1586059719-11205"/>
    <s v="https://shop.officineitalianezard.it/en/products/"/>
    <m/>
    <s v="https://shop.officineitalianezard.it/en/ducati-zard-exhaust/"/>
    <s v="SCRAMBLER 800"/>
    <s v="https://shop.officineitalianezard.it/en/ducati-scrambler-exhaust/"/>
    <s v="ZUMA"/>
    <x v="201"/>
    <s v="SILENCER"/>
    <s v="ZD781SSR"/>
    <s v="SCRAMBLER DUCATI"/>
    <n v="517.13"/>
    <n v="574.59"/>
    <s v="&lt;div class=&quot;page-product-descr product-font-size text-font&quot;&gt;_x000a_&lt;p&gt;STEEL SILENCER RACING WITH REMOVABLE DB KILLER&lt;/p&gt;_x000a_&lt;p&gt;ORIGINAL SILENCER WEIGHT: 6KG&lt;/p&gt;_x000a_&lt;p&gt;ZARD RACING SILENCER WEIGHT: 1,7KG&lt;br&gt;ZARD HOMOLOGATED SILENCER WEIGHT: 1,8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ASTONISHING SOUND.&lt;/p&gt;_x000a_&lt;p&gt;NOTICE: EURO 4 HOMOLOGATION AVAILABLE FROM THE END OF JULY.&lt;/p&gt;_x000a_&lt;p&gt;&lt;/p&gt;_x000a_&lt;/div&gt;"/>
    <s v="https://shop.officineitalianezard.it/contents/imgs/products/1_1785-1296-3.jpg"/>
    <m/>
    <m/>
  </r>
  <r>
    <s v="1586059719-11206"/>
    <s v="https://shop.officineitalianezard.it/en/products/"/>
    <m/>
    <s v="https://shop.officineitalianezard.it/en/ducati-zard-exhaust/"/>
    <s v="SCRAMBLER 800"/>
    <s v="https://shop.officineitalianezard.it/en/ducati-scrambler-exhaust/"/>
    <s v="ZUMA"/>
    <x v="201"/>
    <s v="SILENCER"/>
    <s v="ZD781SSR"/>
    <s v="SCRAMBLER DUCATI"/>
    <n v="517.13"/>
    <n v="574.59"/>
    <s v="&lt;div class=&quot;page-product-descr product-font-size text-font&quot;&gt;_x000a_&lt;p&gt;STEEL SILENCER RACING WITH REMOVABLE DB KILLER&lt;/p&gt;_x000a_&lt;p&gt;ORIGINAL SILENCER WEIGHT: 6KG&lt;/p&gt;_x000a_&lt;p&gt;ZARD RACING SILENCER WEIGHT: 1,7KG&lt;br&gt;ZARD HOMOLOGATED SILENCER WEIGHT: 1,8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ASTONISHING SOUND.&lt;/p&gt;_x000a_&lt;p&gt;NOTICE: EURO 4 HOMOLOGATION AVAILABLE FROM THE END OF JULY.&lt;/p&gt;_x000a_&lt;p&gt;&lt;/p&gt;_x000a_&lt;/div&gt;"/>
    <s v="https://shop.officineitalianezard.it/contents/imgs/products/1_1786-1248-scrambler%20ducati%20zard.jpg"/>
    <m/>
    <m/>
  </r>
  <r>
    <s v="1586059719-11207"/>
    <s v="https://shop.officineitalianezard.it/en/products/"/>
    <m/>
    <s v="https://shop.officineitalianezard.it/en/ducati-zard-exhaust/"/>
    <s v="SCRAMBLER 800"/>
    <s v="https://shop.officineitalianezard.it/en/ducati-scrambler-exhaust/"/>
    <s v="ZUMA"/>
    <x v="201"/>
    <s v="SILENCER"/>
    <s v="ZD781SSR"/>
    <s v="SCRAMBLER DUCATI"/>
    <n v="517.13"/>
    <n v="574.59"/>
    <s v="&lt;div class=&quot;page-product-descr product-font-size text-font&quot;&gt;_x000a_&lt;p&gt;STEEL SILENCER RACING WITH REMOVABLE DB KILLER&lt;/p&gt;_x000a_&lt;p&gt;ORIGINAL SILENCER WEIGHT: 6KG&lt;/p&gt;_x000a_&lt;p&gt;ZARD RACING SILENCER WEIGHT: 1,7KG&lt;br&gt;ZARD HOMOLOGATED SILENCER WEIGHT: 1,8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ASTONISHING SOUND.&lt;/p&gt;_x000a_&lt;p&gt;NOTICE: EURO 4 HOMOLOGATION AVAILABLE FROM THE END OF JULY.&lt;/p&gt;_x000a_&lt;p&gt;&lt;/p&gt;_x000a_&lt;/div&gt;"/>
    <s v="https://shop.officineitalianezard.it/contents/imgs/products/1_1249-2.jpg"/>
    <m/>
    <m/>
  </r>
  <r>
    <s v="1586059719-11208"/>
    <s v="https://shop.officineitalianezard.it/en/products/"/>
    <m/>
    <s v="https://shop.officineitalianezard.it/en/ducati-zard-exhaust/"/>
    <s v="SCRAMBLER 800"/>
    <s v="https://shop.officineitalianezard.it/en/ducati-scrambler-exhaust/"/>
    <s v="ZUMA"/>
    <x v="201"/>
    <s v="SILENCER"/>
    <s v="ZD781SSR"/>
    <s v="SCRAMBLER DUCATI"/>
    <n v="517.13"/>
    <n v="574.59"/>
    <s v="&lt;div class=&quot;page-product-descr product-font-size text-font&quot;&gt;_x000a_&lt;p&gt;STEEL SILENCER RACING WITH REMOVABLE DB KILLER&lt;/p&gt;_x000a_&lt;p&gt;ORIGINAL SILENCER WEIGHT: 6KG&lt;/p&gt;_x000a_&lt;p&gt;ZARD RACING SILENCER WEIGHT: 1,7KG&lt;br&gt;ZARD HOMOLOGATED SILENCER WEIGHT: 1,8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ASTONISHING SOUND.&lt;/p&gt;_x000a_&lt;p&gt;NOTICE: EURO 4 HOMOLOGATION AVAILABLE FROM THE END OF JULY.&lt;/p&gt;_x000a_&lt;p&gt;&lt;/p&gt;_x000a_&lt;/div&gt;"/>
    <s v="https://shop.officineitalianezard.it/contents/imgs/products/1_1298-zuma%20nero%20e%20spazzolato.jpg"/>
    <m/>
    <m/>
  </r>
  <r>
    <s v="1586059719-11209"/>
    <s v="https://shop.officineitalianezard.it/en/products/"/>
    <m/>
    <s v="https://shop.officineitalianezard.it/en/ducati-zard-exhaust/"/>
    <s v="SCRAMBLER 800"/>
    <s v="https://shop.officineitalianezard.it/en/ducati-scrambler-exhaust/"/>
    <s v="ZUMA"/>
    <x v="201"/>
    <s v="SILENCER"/>
    <s v="ZD781SSR"/>
    <s v="SCRAMBLER DUCATI"/>
    <n v="517.13"/>
    <n v="574.59"/>
    <s v="&lt;div class=&quot;page-product-descr product-font-size text-font&quot;&gt;_x000a_&lt;p&gt;STEEL SILENCER RACING WITH REMOVABLE DB KILLER&lt;/p&gt;_x000a_&lt;p&gt;ORIGINAL SILENCER WEIGHT: 6KG&lt;/p&gt;_x000a_&lt;p&gt;ZARD RACING SILENCER WEIGHT: 1,7KG&lt;br&gt;ZARD HOMOLOGATED SILENCER WEIGHT: 1,8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ASTONISHING SOUND.&lt;/p&gt;_x000a_&lt;p&gt;NOTICE: EURO 4 HOMOLOGATION AVAILABLE FROM THE END OF JULY.&lt;/p&gt;_x000a_&lt;p&gt;&lt;/p&gt;_x000a_&lt;/div&gt;"/>
    <s v="https://shop.officineitalianezard.it/contents/imgs/products/1_1990-1250-3.jpg"/>
    <m/>
    <m/>
  </r>
  <r>
    <s v="1586059719-11210"/>
    <s v="https://shop.officineitalianezard.it/en/products/"/>
    <m/>
    <s v="https://shop.officineitalianezard.it/en/ducati-zard-exhaust/"/>
    <s v="SCRAMBLER 800"/>
    <s v="https://shop.officineitalianezard.it/en/ducati-scrambler-exhaust/"/>
    <s v="ZUMA"/>
    <x v="201"/>
    <s v="SILENCER"/>
    <s v="ZD781SSR"/>
    <s v="SCRAMBLER DUCATI"/>
    <n v="517.13"/>
    <n v="574.59"/>
    <s v="&lt;div class=&quot;page-product-descr product-font-size text-font&quot;&gt;_x000a_&lt;p&gt;STEEL SILENCER RACING WITH REMOVABLE DB KILLER&lt;/p&gt;_x000a_&lt;p&gt;ORIGINAL SILENCER WEIGHT: 6KG&lt;/p&gt;_x000a_&lt;p&gt;ZARD RACING SILENCER WEIGHT: 1,7KG&lt;br&gt;ZARD HOMOLOGATED SILENCER WEIGHT: 1,8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ASTONISHING SOUND.&lt;/p&gt;_x000a_&lt;p&gt;NOTICE: EURO 4 HOMOLOGATION AVAILABLE FROM THE END OF JULY.&lt;/p&gt;_x000a_&lt;p&gt;&lt;/p&gt;_x000a_&lt;/div&gt;"/>
    <s v="https://shop.officineitalianezard.it/contents/imgs/products/1_1991-1250-32.jpg"/>
    <m/>
    <m/>
  </r>
  <r>
    <s v="1586059719-11211"/>
    <s v="https://shop.officineitalianezard.it/en/products/"/>
    <m/>
    <s v="https://shop.officineitalianezard.it/en/ducati-zard-exhaust/"/>
    <s v="SCRAMBLER 800"/>
    <s v="https://shop.officineitalianezard.it/en/ducati-scrambler-exhaust/"/>
    <s v="ZUMA"/>
    <x v="201"/>
    <s v="SILENCER"/>
    <s v="ZD781SSR"/>
    <s v="SCRAMBLER DUCATI"/>
    <n v="517.13"/>
    <n v="574.59"/>
    <s v="&lt;div class=&quot;page-product-descr product-font-size text-font&quot;&gt;_x000a_&lt;p&gt;STEEL SILENCER RACING WITH REMOVABLE DB KILLER&lt;/p&gt;_x000a_&lt;p&gt;ORIGINAL SILENCER WEIGHT: 6KG&lt;/p&gt;_x000a_&lt;p&gt;ZARD RACING SILENCER WEIGHT: 1,7KG&lt;br&gt;ZARD HOMOLOGATED SILENCER WEIGHT: 1,8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ASTONISHING SOUND.&lt;/p&gt;_x000a_&lt;p&gt;NOTICE: EURO 4 HOMOLOGATION AVAILABLE FROM THE END OF JULY.&lt;/p&gt;_x000a_&lt;p&gt;&lt;/p&gt;_x000a_&lt;/div&gt;"/>
    <s v="https://shop.officineitalianezard.it/contents/imgs/products/1_2014-scrambler%20ducati%20scarico%20zard%20zuma.jpg"/>
    <m/>
    <m/>
  </r>
  <r>
    <s v="1586059719-11212"/>
    <s v="https://shop.officineitalianezard.it/en/products/"/>
    <m/>
    <s v="https://shop.officineitalianezard.it/en/ducati-zard-exhaust/"/>
    <s v="SCRAMBLER 800"/>
    <s v="https://shop.officineitalianezard.it/en/ducati-scrambler-exhaust/"/>
    <s v="ZUMA"/>
    <x v="201"/>
    <s v="SILENCER"/>
    <s v="ZD781SSR"/>
    <s v="SCRAMBLER DUCATI"/>
    <n v="517.13"/>
    <n v="574.59"/>
    <s v="&lt;div class=&quot;page-product-descr product-font-size text-font&quot;&gt;_x000a_&lt;p&gt;STEEL SILENCER RACING WITH REMOVABLE DB KILLER&lt;/p&gt;_x000a_&lt;p&gt;ORIGINAL SILENCER WEIGHT: 6KG&lt;/p&gt;_x000a_&lt;p&gt;ZARD RACING SILENCER WEIGHT: 1,7KG&lt;br&gt;ZARD HOMOLOGATED SILENCER WEIGHT: 1,8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ASTONISHING SOUND.&lt;/p&gt;_x000a_&lt;p&gt;NOTICE: EURO 4 HOMOLOGATION AVAILABLE FROM THE END OF JULY.&lt;/p&gt;_x000a_&lt;p&gt;&lt;/p&gt;_x000a_&lt;/div&gt;"/>
    <s v="https://shop.officineitalianezard.it/contents/imgs/products/1_2329-silenziatore%20zard%20zuma%20-%20logo%20e%20fondello%20neri.jpg"/>
    <m/>
    <m/>
  </r>
  <r>
    <s v="1586059719-11213"/>
    <s v="https://shop.officineitalianezard.it/en/products/"/>
    <m/>
    <s v="https://shop.officineitalianezard.it/en/ducati-zard-exhaust/"/>
    <s v="SCRAMBLER 800"/>
    <s v="https://shop.officineitalianezard.it/en/ducati-scrambler-exhaust/"/>
    <s v="ZUMA"/>
    <x v="201"/>
    <s v="SILENCER"/>
    <s v="ZD781SSR"/>
    <s v="SCRAMBLER DUCATI"/>
    <n v="517.13"/>
    <n v="574.59"/>
    <s v="&lt;div class=&quot;page-product-descr product-font-size text-font&quot;&gt;_x000a_&lt;p&gt;STEEL SILENCER RACING WITH REMOVABLE DB KILLER&lt;/p&gt;_x000a_&lt;p&gt;ORIGINAL SILENCER WEIGHT: 6KG&lt;/p&gt;_x000a_&lt;p&gt;ZARD RACING SILENCER WEIGHT: 1,7KG&lt;br&gt;ZARD HOMOLOGATED SILENCER WEIGHT: 1,8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ASTONISHING SOUND.&lt;/p&gt;_x000a_&lt;p&gt;NOTICE: EURO 4 HOMOLOGATION AVAILABLE FROM THE END OF JULY.&lt;/p&gt;_x000a_&lt;p&gt;&lt;/p&gt;_x000a_&lt;/div&gt;"/>
    <m/>
    <s v="EURO 4 HOMOLOGATED"/>
    <n v="84.84"/>
  </r>
  <r>
    <s v="1586059719-11214"/>
    <s v="https://shop.officineitalianezard.it/en/products/"/>
    <m/>
    <s v="https://shop.officineitalianezard.it/en/ducati-zard-exhaust/"/>
    <s v="SCRAMBLER 800"/>
    <s v="https://shop.officineitalianezard.it/en/ducati-scrambler-exhaust/"/>
    <s v="ZUMA"/>
    <x v="201"/>
    <s v="SILENCER"/>
    <s v="ZD781SSR"/>
    <s v="SCRAMBLER DUCATI"/>
    <n v="517.13"/>
    <n v="574.59"/>
    <s v="&lt;div class=&quot;page-product-descr product-font-size text-font&quot;&gt;_x000a_&lt;p&gt;STEEL SILENCER RACING WITH REMOVABLE DB KILLER&lt;/p&gt;_x000a_&lt;p&gt;ORIGINAL SILENCER WEIGHT: 6KG&lt;/p&gt;_x000a_&lt;p&gt;ZARD RACING SILENCER WEIGHT: 1,7KG&lt;br&gt;ZARD HOMOLOGATED SILENCER WEIGHT: 1,8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p&gt;&lt;strong&gt;COMPATIBILITY MODEL:&lt;/strong&gt;&lt;/p&gt;_x000a_&lt;p&gt;SCRAMBLER URBAN ENDURO 800 CC, SCRAMBLER FULL THROTTLE 800 CC, SCRAMBLER ICON 800 CC, SCRAMBLER CLASSIC 800 CC, SCRAMBLER FLAT TRACK PRO 800 CC, CAFÈ RACER 800 CC.&lt;/p&gt;_x000a_&lt;p&gt;ASTONISHING SOUND.&lt;/p&gt;_x000a_&lt;p&gt;NOTICE: EURO 4 HOMOLOGATION AVAILABLE FROM THE END OF JULY.&lt;/p&gt;_x000a_&lt;p&gt;&lt;/p&gt;_x000a_&lt;/div&gt;"/>
    <m/>
    <s v="BLACK COATING"/>
    <n v="77.459999999999994"/>
  </r>
  <r>
    <s v="1586059721-11215"/>
    <s v="https://shop.officineitalianezard.it/en/products/"/>
    <m/>
    <s v="https://shop.officineitalianezard.it/en/ducati-zard-exhaust/"/>
    <s v="SCRAMBLER 800"/>
    <s v="https://shop.officineitalianezard.it/en/ducati-scrambler-exhaust/"/>
    <s v="CONICAL VERSION"/>
    <x v="202"/>
    <s v="2&gt;1 FULL KIT"/>
    <s v="ZD785SKR"/>
    <s v="SCRAMBLER DUCATI"/>
    <n v="886.72"/>
    <n v="985.25"/>
    <s v="&lt;div class=&quot;page-product-descr product-font-size text-font&quot;&gt;_x000a_&lt;p&gt;&lt;strong&gt;AVAILABLE ON DEMAND ONLY. DELIVERY 4 WORKING WEEKS FROM ORDER.&lt;/strong&gt;&lt;/p&gt;_x000a_&lt;p&gt;2&amp;gt;1 STEEL&amp;nbsp;RACING FULL KIT&amp;nbsp;&lt;/p&gt;_x000a_&lt;p&gt;ORIGINAL FULL KIT WEIGHT: 8.5 KG&lt;br&gt;ZARD FULL KIT WEIGHT: 1.4 KG&lt;/p&gt;_x000a_&lt;p&gt;&lt;span&gt;A VERY SPECIAL EXHAUST TOTALLY HANDMADE AND WELDED BY OUR BEST WELDERS.&lt;/span&gt;&lt;/p&gt;_x000a_&lt;p&gt;FITTING KIT INCLUDED.&lt;/p&gt;_x000a_&lt;p&gt;&lt;strong&gt;NOTE&lt;/strong&gt;: HEAD OUTPUT NOT INCLUDED, PLEASE USE OEM&amp;nbsp;DUCATI ONE.&lt;/p&gt;_x000a_&lt;p&gt;&lt;span&gt;LOUD&amp;nbsp;SOUND,&amp;nbsp;EXCLUSIVE DESIGN.&lt;/span&gt;&lt;/p&gt;_x000a_&lt;p&gt;&lt;strong&gt;COMPATIBILITY MODELS:&lt;/strong&gt;&lt;/p&gt;_x000a_&lt;p&gt;SCRAMBLER URBAN ENDURO 800 CC, SCRAMBLER FULL THROTTLE 800 CC, SCRAMBLER ICON 800 CC, SCRAMBLER CLASSIC 800 CC, SCRAMBLER FLAT TRACK PRO 800 CC, CAFÈ RACER 800 CC.&lt;/p&gt;_x000a_&lt;/div&gt;_x000a_&lt;p&gt;&lt;/p&gt;"/>
    <s v="https://shop.officineitalianezard.it/contents/imgs/products/1_1808-1.jpg"/>
    <m/>
    <m/>
  </r>
  <r>
    <s v="1586059721-11216"/>
    <s v="https://shop.officineitalianezard.it/en/products/"/>
    <m/>
    <s v="https://shop.officineitalianezard.it/en/ducati-zard-exhaust/"/>
    <s v="SCRAMBLER 800"/>
    <s v="https://shop.officineitalianezard.it/en/ducati-scrambler-exhaust/"/>
    <s v="CONICAL VERSION"/>
    <x v="202"/>
    <s v="2&gt;1 FULL KIT"/>
    <s v="ZD785SKR"/>
    <s v="SCRAMBLER DUCATI"/>
    <n v="886.72"/>
    <n v="985.25"/>
    <s v="&lt;div class=&quot;page-product-descr product-font-size text-font&quot;&gt;_x000a_&lt;p&gt;&lt;strong&gt;AVAILABLE ON DEMAND ONLY. DELIVERY 4 WORKING WEEKS FROM ORDER.&lt;/strong&gt;&lt;/p&gt;_x000a_&lt;p&gt;2&amp;gt;1 STEEL&amp;nbsp;RACING FULL KIT&amp;nbsp;&lt;/p&gt;_x000a_&lt;p&gt;ORIGINAL FULL KIT WEIGHT: 8.5 KG&lt;br&gt;ZARD FULL KIT WEIGHT: 1.4 KG&lt;/p&gt;_x000a_&lt;p&gt;&lt;span&gt;A VERY SPECIAL EXHAUST TOTALLY HANDMADE AND WELDED BY OUR BEST WELDERS.&lt;/span&gt;&lt;/p&gt;_x000a_&lt;p&gt;FITTING KIT INCLUDED.&lt;/p&gt;_x000a_&lt;p&gt;&lt;strong&gt;NOTE&lt;/strong&gt;: HEAD OUTPUT NOT INCLUDED, PLEASE USE OEM&amp;nbsp;DUCATI ONE.&lt;/p&gt;_x000a_&lt;p&gt;&lt;span&gt;LOUD&amp;nbsp;SOUND,&amp;nbsp;EXCLUSIVE DESIGN.&lt;/span&gt;&lt;/p&gt;_x000a_&lt;p&gt;&lt;strong&gt;COMPATIBILITY MODELS:&lt;/strong&gt;&lt;/p&gt;_x000a_&lt;p&gt;SCRAMBLER URBAN ENDURO 800 CC, SCRAMBLER FULL THROTTLE 800 CC, SCRAMBLER ICON 800 CC, SCRAMBLER CLASSIC 800 CC, SCRAMBLER FLAT TRACK PRO 800 CC, CAFÈ RACER 800 CC.&lt;/p&gt;_x000a_&lt;/div&gt;_x000a_&lt;p&gt;&lt;/p&gt;"/>
    <s v="https://shop.officineitalianezard.it/contents/imgs/products/1_1810-2.jpg"/>
    <m/>
    <m/>
  </r>
  <r>
    <s v="1586059721-11217"/>
    <s v="https://shop.officineitalianezard.it/en/products/"/>
    <m/>
    <s v="https://shop.officineitalianezard.it/en/ducati-zard-exhaust/"/>
    <s v="SCRAMBLER 800"/>
    <s v="https://shop.officineitalianezard.it/en/ducati-scrambler-exhaust/"/>
    <s v="CONICAL VERSION"/>
    <x v="202"/>
    <s v="2&gt;1 FULL KIT"/>
    <s v="ZD785SKR"/>
    <s v="SCRAMBLER DUCATI"/>
    <n v="886.72"/>
    <n v="985.25"/>
    <s v="&lt;div class=&quot;page-product-descr product-font-size text-font&quot;&gt;_x000a_&lt;p&gt;&lt;strong&gt;AVAILABLE ON DEMAND ONLY. DELIVERY 4 WORKING WEEKS FROM ORDER.&lt;/strong&gt;&lt;/p&gt;_x000a_&lt;p&gt;2&amp;gt;1 STEEL&amp;nbsp;RACING FULL KIT&amp;nbsp;&lt;/p&gt;_x000a_&lt;p&gt;ORIGINAL FULL KIT WEIGHT: 8.5 KG&lt;br&gt;ZARD FULL KIT WEIGHT: 1.4 KG&lt;/p&gt;_x000a_&lt;p&gt;&lt;span&gt;A VERY SPECIAL EXHAUST TOTALLY HANDMADE AND WELDED BY OUR BEST WELDERS.&lt;/span&gt;&lt;/p&gt;_x000a_&lt;p&gt;FITTING KIT INCLUDED.&lt;/p&gt;_x000a_&lt;p&gt;&lt;strong&gt;NOTE&lt;/strong&gt;: HEAD OUTPUT NOT INCLUDED, PLEASE USE OEM&amp;nbsp;DUCATI ONE.&lt;/p&gt;_x000a_&lt;p&gt;&lt;span&gt;LOUD&amp;nbsp;SOUND,&amp;nbsp;EXCLUSIVE DESIGN.&lt;/span&gt;&lt;/p&gt;_x000a_&lt;p&gt;&lt;strong&gt;COMPATIBILITY MODELS:&lt;/strong&gt;&lt;/p&gt;_x000a_&lt;p&gt;SCRAMBLER URBAN ENDURO 800 CC, SCRAMBLER FULL THROTTLE 800 CC, SCRAMBLER ICON 800 CC, SCRAMBLER CLASSIC 800 CC, SCRAMBLER FLAT TRACK PRO 800 CC, CAFÈ RACER 800 CC.&lt;/p&gt;_x000a_&lt;/div&gt;_x000a_&lt;p&gt;&lt;/p&gt;"/>
    <s v="https://shop.officineitalianezard.it/contents/imgs/products/1_1807-3.jpg"/>
    <m/>
    <m/>
  </r>
  <r>
    <s v="1586059721-11218"/>
    <s v="https://shop.officineitalianezard.it/en/products/"/>
    <m/>
    <s v="https://shop.officineitalianezard.it/en/ducati-zard-exhaust/"/>
    <s v="SCRAMBLER 800"/>
    <s v="https://shop.officineitalianezard.it/en/ducati-scrambler-exhaust/"/>
    <s v="CONICAL VERSION"/>
    <x v="202"/>
    <s v="2&gt;1 FULL KIT"/>
    <s v="ZD785SKR"/>
    <s v="SCRAMBLER DUCATI"/>
    <n v="886.72"/>
    <n v="985.25"/>
    <s v="&lt;div class=&quot;page-product-descr product-font-size text-font&quot;&gt;_x000a_&lt;p&gt;&lt;strong&gt;AVAILABLE ON DEMAND ONLY. DELIVERY 4 WORKING WEEKS FROM ORDER.&lt;/strong&gt;&lt;/p&gt;_x000a_&lt;p&gt;2&amp;gt;1 STEEL&amp;nbsp;RACING FULL KIT&amp;nbsp;&lt;/p&gt;_x000a_&lt;p&gt;ORIGINAL FULL KIT WEIGHT: 8.5 KG&lt;br&gt;ZARD FULL KIT WEIGHT: 1.4 KG&lt;/p&gt;_x000a_&lt;p&gt;&lt;span&gt;A VERY SPECIAL EXHAUST TOTALLY HANDMADE AND WELDED BY OUR BEST WELDERS.&lt;/span&gt;&lt;/p&gt;_x000a_&lt;p&gt;FITTING KIT INCLUDED.&lt;/p&gt;_x000a_&lt;p&gt;&lt;strong&gt;NOTE&lt;/strong&gt;: HEAD OUTPUT NOT INCLUDED, PLEASE USE OEM&amp;nbsp;DUCATI ONE.&lt;/p&gt;_x000a_&lt;p&gt;&lt;span&gt;LOUD&amp;nbsp;SOUND,&amp;nbsp;EXCLUSIVE DESIGN.&lt;/span&gt;&lt;/p&gt;_x000a_&lt;p&gt;&lt;strong&gt;COMPATIBILITY MODELS:&lt;/strong&gt;&lt;/p&gt;_x000a_&lt;p&gt;SCRAMBLER URBAN ENDURO 800 CC, SCRAMBLER FULL THROTTLE 800 CC, SCRAMBLER ICON 800 CC, SCRAMBLER CLASSIC 800 CC, SCRAMBLER FLAT TRACK PRO 800 CC, CAFÈ RACER 800 CC.&lt;/p&gt;_x000a_&lt;/div&gt;_x000a_&lt;p&gt;&lt;/p&gt;"/>
    <s v="https://shop.officineitalianezard.it/contents/imgs/products/1_1809-0text.jpg"/>
    <m/>
    <m/>
  </r>
  <r>
    <s v="1586059721-11219"/>
    <s v="https://shop.officineitalianezard.it/en/products/"/>
    <m/>
    <s v="https://shop.officineitalianezard.it/en/ducati-zard-exhaust/"/>
    <s v="SCRAMBLER 800"/>
    <s v="https://shop.officineitalianezard.it/en/ducati-scrambler-exhaust/"/>
    <s v="CONICAL VERSION"/>
    <x v="202"/>
    <s v="2&gt;1 FULL KIT"/>
    <s v="ZD785SKR"/>
    <s v="SCRAMBLER DUCATI"/>
    <n v="886.72"/>
    <n v="985.25"/>
    <s v="&lt;div class=&quot;page-product-descr product-font-size text-font&quot;&gt;_x000a_&lt;p&gt;&lt;strong&gt;AVAILABLE ON DEMAND ONLY. DELIVERY 4 WORKING WEEKS FROM ORDER.&lt;/strong&gt;&lt;/p&gt;_x000a_&lt;p&gt;2&amp;gt;1 STEEL&amp;nbsp;RACING FULL KIT&amp;nbsp;&lt;/p&gt;_x000a_&lt;p&gt;ORIGINAL FULL KIT WEIGHT: 8.5 KG&lt;br&gt;ZARD FULL KIT WEIGHT: 1.4 KG&lt;/p&gt;_x000a_&lt;p&gt;&lt;span&gt;A VERY SPECIAL EXHAUST TOTALLY HANDMADE AND WELDED BY OUR BEST WELDERS.&lt;/span&gt;&lt;/p&gt;_x000a_&lt;p&gt;FITTING KIT INCLUDED.&lt;/p&gt;_x000a_&lt;p&gt;&lt;strong&gt;NOTE&lt;/strong&gt;: HEAD OUTPUT NOT INCLUDED, PLEASE USE OEM&amp;nbsp;DUCATI ONE.&lt;/p&gt;_x000a_&lt;p&gt;&lt;span&gt;LOUD&amp;nbsp;SOUND,&amp;nbsp;EXCLUSIVE DESIGN.&lt;/span&gt;&lt;/p&gt;_x000a_&lt;p&gt;&lt;strong&gt;COMPATIBILITY MODELS:&lt;/strong&gt;&lt;/p&gt;_x000a_&lt;p&gt;SCRAMBLER URBAN ENDURO 800 CC, SCRAMBLER FULL THROTTLE 800 CC, SCRAMBLER ICON 800 CC, SCRAMBLER CLASSIC 800 CC, SCRAMBLER FLAT TRACK PRO 800 CC, CAFÈ RACER 800 CC.&lt;/p&gt;_x000a_&lt;/div&gt;_x000a_&lt;p&gt;&lt;/p&gt;"/>
    <m/>
    <s v="FULL TITANIUM"/>
    <n v="547.38"/>
  </r>
  <r>
    <s v="1586059721-11220"/>
    <s v="https://shop.officineitalianezard.it/en/products/"/>
    <m/>
    <s v="https://shop.officineitalianezard.it/en/ducati-zard-exhaust/"/>
    <s v="SCRAMBLER 800"/>
    <s v="https://shop.officineitalianezard.it/en/ducati-scrambler-exhaust/"/>
    <s v="CONICAL VERSION"/>
    <x v="202"/>
    <s v="2&gt;1 FULL KIT"/>
    <s v="ZD785SKR"/>
    <s v="SCRAMBLER DUCATI"/>
    <n v="886.72"/>
    <n v="985.25"/>
    <s v="&lt;div class=&quot;page-product-descr product-font-size text-font&quot;&gt;_x000a_&lt;p&gt;&lt;strong&gt;AVAILABLE ON DEMAND ONLY. DELIVERY 4 WORKING WEEKS FROM ORDER.&lt;/strong&gt;&lt;/p&gt;_x000a_&lt;p&gt;2&amp;gt;1 STEEL&amp;nbsp;RACING FULL KIT&amp;nbsp;&lt;/p&gt;_x000a_&lt;p&gt;ORIGINAL FULL KIT WEIGHT: 8.5 KG&lt;br&gt;ZARD FULL KIT WEIGHT: 1.4 KG&lt;/p&gt;_x000a_&lt;p&gt;&lt;span&gt;A VERY SPECIAL EXHAUST TOTALLY HANDMADE AND WELDED BY OUR BEST WELDERS.&lt;/span&gt;&lt;/p&gt;_x000a_&lt;p&gt;FITTING KIT INCLUDED.&lt;/p&gt;_x000a_&lt;p&gt;&lt;strong&gt;NOTE&lt;/strong&gt;: HEAD OUTPUT NOT INCLUDED, PLEASE USE OEM&amp;nbsp;DUCATI ONE.&lt;/p&gt;_x000a_&lt;p&gt;&lt;span&gt;LOUD&amp;nbsp;SOUND,&amp;nbsp;EXCLUSIVE DESIGN.&lt;/span&gt;&lt;/p&gt;_x000a_&lt;p&gt;&lt;strong&gt;COMPATIBILITY MODELS:&lt;/strong&gt;&lt;/p&gt;_x000a_&lt;p&gt;SCRAMBLER URBAN ENDURO 800 CC, SCRAMBLER FULL THROTTLE 800 CC, SCRAMBLER ICON 800 CC, SCRAMBLER CLASSIC 800 CC, SCRAMBLER FLAT TRACK PRO 800 CC, CAFÈ RACER 800 CC.&lt;/p&gt;_x000a_&lt;/div&gt;_x000a_&lt;p&gt;&lt;/p&gt;"/>
    <m/>
    <s v="SNAKE WELDED"/>
    <n v="107.7"/>
  </r>
  <r>
    <s v="1586059723-11221"/>
    <s v="https://shop.officineitalianezard.it/en/products/"/>
    <m/>
    <s v="https://shop.officineitalianezard.it/en/ducati-zard-exhaust/"/>
    <s v="SCRAMBLER 800"/>
    <s v="https://shop.officineitalianezard.it/en/ducati-scrambler-exhaust/"/>
    <s v="DESERT SLED VERSION"/>
    <x v="203"/>
    <s v="ZUMA SILENCER"/>
    <s v="ZD794SSR"/>
    <s v="SCRAMBLER DUCATI"/>
    <n v="555.49"/>
    <n v="617.21"/>
    <s v="&lt;div class=&quot;page-product-descr product-font-size text-font&quot;&gt;_x000a_&lt;p&gt;STEEL SILENCER RACING WITH REMOVABLE DB KILLER&lt;/p&gt;_x000a_&lt;p&gt;ORIGINAL SILENCER WEIGHT: 6KG&lt;br&gt;ZARD SILENCER WEIGHT: 1,7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/div&gt;"/>
    <s v="https://shop.officineitalianezard.it/contents/imgs/products/1_2066-scarico%20scrambler%20desert%20sled%20-%20zard%201.jpg"/>
    <m/>
    <m/>
  </r>
  <r>
    <s v="1586059723-11222"/>
    <s v="https://shop.officineitalianezard.it/en/products/"/>
    <m/>
    <s v="https://shop.officineitalianezard.it/en/ducati-zard-exhaust/"/>
    <s v="SCRAMBLER 800"/>
    <s v="https://shop.officineitalianezard.it/en/ducati-scrambler-exhaust/"/>
    <s v="DESERT SLED VERSION"/>
    <x v="203"/>
    <s v="ZUMA SILENCER"/>
    <s v="ZD794SSR"/>
    <s v="SCRAMBLER DUCATI"/>
    <n v="555.49"/>
    <n v="617.21"/>
    <s v="&lt;div class=&quot;page-product-descr product-font-size text-font&quot;&gt;_x000a_&lt;p&gt;STEEL SILENCER RACING WITH REMOVABLE DB KILLER&lt;/p&gt;_x000a_&lt;p&gt;ORIGINAL SILENCER WEIGHT: 6KG&lt;br&gt;ZARD SILENCER WEIGHT: 1,7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/div&gt;"/>
    <s v="https://shop.officineitalianezard.it/contents/imgs/products/1_2069-scarico%20scrambler%20desert%20sled%20-%20zard%202.jpg"/>
    <m/>
    <m/>
  </r>
  <r>
    <s v="1586059723-11223"/>
    <s v="https://shop.officineitalianezard.it/en/products/"/>
    <m/>
    <s v="https://shop.officineitalianezard.it/en/ducati-zard-exhaust/"/>
    <s v="SCRAMBLER 800"/>
    <s v="https://shop.officineitalianezard.it/en/ducati-scrambler-exhaust/"/>
    <s v="DESERT SLED VERSION"/>
    <x v="203"/>
    <s v="ZUMA SILENCER"/>
    <s v="ZD794SSR"/>
    <s v="SCRAMBLER DUCATI"/>
    <n v="555.49"/>
    <n v="617.21"/>
    <s v="&lt;div class=&quot;page-product-descr product-font-size text-font&quot;&gt;_x000a_&lt;p&gt;STEEL SILENCER RACING WITH REMOVABLE DB KILLER&lt;/p&gt;_x000a_&lt;p&gt;ORIGINAL SILENCER WEIGHT: 6KG&lt;br&gt;ZARD SILENCER WEIGHT: 1,7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/div&gt;"/>
    <s v="https://shop.officineitalianezard.it/contents/imgs/products/1_2067-scarico%20scrambler%20desert%20sled%20-%20zard%203.jpg"/>
    <m/>
    <m/>
  </r>
  <r>
    <s v="1586059723-11224"/>
    <s v="https://shop.officineitalianezard.it/en/products/"/>
    <m/>
    <s v="https://shop.officineitalianezard.it/en/ducati-zard-exhaust/"/>
    <s v="SCRAMBLER 800"/>
    <s v="https://shop.officineitalianezard.it/en/ducati-scrambler-exhaust/"/>
    <s v="DESERT SLED VERSION"/>
    <x v="203"/>
    <s v="ZUMA SILENCER"/>
    <s v="ZD794SSR"/>
    <s v="SCRAMBLER DUCATI"/>
    <n v="555.49"/>
    <n v="617.21"/>
    <s v="&lt;div class=&quot;page-product-descr product-font-size text-font&quot;&gt;_x000a_&lt;p&gt;STEEL SILENCER RACING WITH REMOVABLE DB KILLER&lt;/p&gt;_x000a_&lt;p&gt;ORIGINAL SILENCER WEIGHT: 6KG&lt;br&gt;ZARD SILENCER WEIGHT: 1,7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/div&gt;"/>
    <s v="https://shop.officineitalianezard.it/contents/imgs/products/1_2068-scarico%20scrambler%20desert%20sled%20-%20zard%204.jpg"/>
    <m/>
    <m/>
  </r>
  <r>
    <s v="1586059723-11225"/>
    <s v="https://shop.officineitalianezard.it/en/products/"/>
    <m/>
    <s v="https://shop.officineitalianezard.it/en/ducati-zard-exhaust/"/>
    <s v="SCRAMBLER 800"/>
    <s v="https://shop.officineitalianezard.it/en/ducati-scrambler-exhaust/"/>
    <s v="DESERT SLED VERSION"/>
    <x v="203"/>
    <s v="ZUMA SILENCER"/>
    <s v="ZD794SSR"/>
    <s v="SCRAMBLER DUCATI"/>
    <n v="555.49"/>
    <n v="617.21"/>
    <s v="&lt;div class=&quot;page-product-descr product-font-size text-font&quot;&gt;_x000a_&lt;p&gt;STEEL SILENCER RACING WITH REMOVABLE DB KILLER&lt;/p&gt;_x000a_&lt;p&gt;ORIGINAL SILENCER WEIGHT: 6KG&lt;br&gt;ZARD SILENCER WEIGHT: 1,7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/div&gt;"/>
    <s v="https://shop.officineitalianezard.it/contents/imgs/products/1_2070-2014-scrambler%20ducati%20scarico%20zard%20zuma.jpg"/>
    <m/>
    <m/>
  </r>
  <r>
    <s v="1586059723-11226"/>
    <s v="https://shop.officineitalianezard.it/en/products/"/>
    <m/>
    <s v="https://shop.officineitalianezard.it/en/ducati-zard-exhaust/"/>
    <s v="SCRAMBLER 800"/>
    <s v="https://shop.officineitalianezard.it/en/ducati-scrambler-exhaust/"/>
    <s v="DESERT SLED VERSION"/>
    <x v="203"/>
    <s v="ZUMA SILENCER"/>
    <s v="ZD794SSR"/>
    <s v="SCRAMBLER DUCATI"/>
    <n v="555.49"/>
    <n v="617.21"/>
    <s v="&lt;div class=&quot;page-product-descr product-font-size text-font&quot;&gt;_x000a_&lt;p&gt;STEEL SILENCER RACING WITH REMOVABLE DB KILLER&lt;/p&gt;_x000a_&lt;p&gt;ORIGINAL SILENCER WEIGHT: 6KG&lt;br&gt;ZARD SILENCER WEIGHT: 1,7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/div&gt;"/>
    <s v="https://shop.officineitalianezard.it/contents/imgs/products/1_2071-1298-zuma%20nero%20e%20spazzolato.jpg"/>
    <m/>
    <m/>
  </r>
  <r>
    <s v="1586059723-11227"/>
    <s v="https://shop.officineitalianezard.it/en/products/"/>
    <m/>
    <s v="https://shop.officineitalianezard.it/en/ducati-zard-exhaust/"/>
    <s v="SCRAMBLER 800"/>
    <s v="https://shop.officineitalianezard.it/en/ducati-scrambler-exhaust/"/>
    <s v="DESERT SLED VERSION"/>
    <x v="203"/>
    <s v="ZUMA SILENCER"/>
    <s v="ZD794SSR"/>
    <s v="SCRAMBLER DUCATI"/>
    <n v="555.49"/>
    <n v="617.21"/>
    <s v="&lt;div class=&quot;page-product-descr product-font-size text-font&quot;&gt;_x000a_&lt;p&gt;STEEL SILENCER RACING WITH REMOVABLE DB KILLER&lt;/p&gt;_x000a_&lt;p&gt;ORIGINAL SILENCER WEIGHT: 6KG&lt;br&gt;ZARD SILENCER WEIGHT: 1,7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/div&gt;"/>
    <m/>
    <s v="EURO 4 HOMOLOGATED"/>
    <n v="84.84"/>
  </r>
  <r>
    <s v="1586059723-11228"/>
    <s v="https://shop.officineitalianezard.it/en/products/"/>
    <m/>
    <s v="https://shop.officineitalianezard.it/en/ducati-zard-exhaust/"/>
    <s v="SCRAMBLER 800"/>
    <s v="https://shop.officineitalianezard.it/en/ducati-scrambler-exhaust/"/>
    <s v="DESERT SLED VERSION"/>
    <x v="203"/>
    <s v="ZUMA SILENCER"/>
    <s v="ZD794SSR"/>
    <s v="SCRAMBLER DUCATI"/>
    <n v="555.49"/>
    <n v="617.21"/>
    <s v="&lt;div class=&quot;page-product-descr product-font-size text-font&quot;&gt;_x000a_&lt;p&gt;STEEL SILENCER RACING WITH REMOVABLE DB KILLER&lt;/p&gt;_x000a_&lt;p&gt;ORIGINAL SILENCER WEIGHT: 6KG&lt;br&gt;ZARD SILENCER WEIGHT: 1,7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/div&gt;"/>
    <m/>
    <s v="BLACK CERAMIC COATING"/>
    <n v="77.459999999999994"/>
  </r>
  <r>
    <s v="1586059723-11229"/>
    <s v="https://shop.officineitalianezard.it/en/products/"/>
    <m/>
    <s v="https://shop.officineitalianezard.it/en/ducati-zard-exhaust/"/>
    <s v="SCRAMBLER 800"/>
    <s v="https://shop.officineitalianezard.it/en/ducati-scrambler-exhaust/"/>
    <s v="DESERT SLED VERSION"/>
    <x v="203"/>
    <s v="ZUMA SILENCER"/>
    <s v="ZD794SSR"/>
    <s v="SCRAMBLER DUCATI"/>
    <n v="555.49"/>
    <n v="617.21"/>
    <s v="&lt;div class=&quot;page-product-descr product-font-size text-font&quot;&gt;_x000a_&lt;p&gt;STEEL SILENCER RACING WITH REMOVABLE DB KILLER&lt;/p&gt;_x000a_&lt;p&gt;ORIGINAL SILENCER WEIGHT: 6KG&lt;br&gt;ZARD SILENCER WEIGHT: 1,7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/div&gt;"/>
    <m/>
    <s v="STEEL LOGO PLATE AND END CAP"/>
    <n v="22.87"/>
  </r>
  <r>
    <s v="1586059723-11230"/>
    <s v="https://shop.officineitalianezard.it/en/products/"/>
    <m/>
    <s v="https://shop.officineitalianezard.it/en/ducati-zard-exhaust/"/>
    <s v="SCRAMBLER 800"/>
    <s v="https://shop.officineitalianezard.it/en/ducati-scrambler-exhaust/"/>
    <s v="DESERT SLED VERSION"/>
    <x v="203"/>
    <s v="ZUMA SILENCER"/>
    <s v="ZD794SSR"/>
    <s v="SCRAMBLER DUCATI"/>
    <n v="555.49"/>
    <n v="617.21"/>
    <s v="&lt;div class=&quot;page-product-descr product-font-size text-font&quot;&gt;_x000a_&lt;p&gt;STEEL SILENCER RACING WITH REMOVABLE DB KILLER&lt;/p&gt;_x000a_&lt;p&gt;ORIGINAL SILENCER WEIGHT: 6KG&lt;br&gt;ZARD SILENCER WEIGHT: 1,7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/div&gt;"/>
    <m/>
    <s v="BLACK END CAP AND LOGO PLATE"/>
    <n v="61.97"/>
  </r>
  <r>
    <s v="1586059726-11231"/>
    <s v="https://shop.officineitalianezard.it/en/products/"/>
    <m/>
    <s v="https://shop.officineitalianezard.it/en/ducati-zard-exhaust/"/>
    <s v="SCRAMBLER 800"/>
    <s v="https://shop.officineitalianezard.it/en/ducati-scrambler-exhaust/"/>
    <s v="DESERT SLED VERSION"/>
    <x v="204"/>
    <s v="SPECIAL EDITION SILENCER"/>
    <s v="ZD795SSR"/>
    <s v="SCRAMBLER DUCATI"/>
    <n v="570.25"/>
    <n v="633.61"/>
    <s v="&lt;p&gt;STEEL RACING SILENCER WITH REMOVABLE DB KILLERS&lt;/p&gt;_x000a_&lt;p&gt;ORIGINAL SILENCER WEIGHT: 6 KG&lt;br&gt;ZARD SILENCER WEIGHT: 2.5 KG&amp;nbsp;&lt;/p&gt;_x000a_&lt;p&gt;BLACK AND SILVER WIRE MESH&amp;nbsp;IS SUPPLIED WITH HEAT SHIELD OF BLACK&lt;br&gt;CERAMIC COATING VERSION.&amp;nbsp;&lt;span&gt;HOMOLOGATED-CATALYZED VERSION AVAILABLE AS OPTIONAL&lt;/span&gt;&lt;/p&gt;_x000a_&lt;p&gt;&lt;span&gt;ASTONISHING SOUND,&amp;nbsp;EXCLUSIVE DESIGN.&lt;/span&gt;&lt;/p&gt;_x000a_&lt;p&gt;N.B IMAGES SHOW STEEL SATIN SILENCER VERSION&lt;/p&gt;_x000a_&lt;p&gt;&lt;span&gt;THE INSTALLATION OF ZARD EXHAUST DOES NOT IMPLY ANY MODIFICATION TO ECU.&lt;/span&gt;&lt;br&gt;&lt;span&gt;THE BOX INCLUDES ALL PARTS FOR THE FITMENT OF ZARD EXHAUST.&lt;/span&gt;&lt;/p&gt;_x000a_&lt;p&gt;&lt;strong&gt;&lt;/strong&gt;NOTE: DELIVERY IN 4 WEEKS FROM DATA ORDER&lt;/p&gt;_x000a_&lt;p&gt;&lt;/p&gt;_x000a_&lt;p&gt;&lt;/p&gt;"/>
    <s v="https://shop.officineitalianezard.it/contents/imgs/products/1_2080-scrambler%20ducati%20desert%20sled%20scarichi%20-%20zard%201.jpg"/>
    <m/>
    <m/>
  </r>
  <r>
    <s v="1586059726-11232"/>
    <s v="https://shop.officineitalianezard.it/en/products/"/>
    <m/>
    <s v="https://shop.officineitalianezard.it/en/ducati-zard-exhaust/"/>
    <s v="SCRAMBLER 800"/>
    <s v="https://shop.officineitalianezard.it/en/ducati-scrambler-exhaust/"/>
    <s v="DESERT SLED VERSION"/>
    <x v="204"/>
    <s v="SPECIAL EDITION SILENCER"/>
    <s v="ZD795SSR"/>
    <s v="SCRAMBLER DUCATI"/>
    <n v="570.25"/>
    <n v="633.61"/>
    <s v="&lt;p&gt;STEEL RACING SILENCER WITH REMOVABLE DB KILLERS&lt;/p&gt;_x000a_&lt;p&gt;ORIGINAL SILENCER WEIGHT: 6 KG&lt;br&gt;ZARD SILENCER WEIGHT: 2.5 KG&amp;nbsp;&lt;/p&gt;_x000a_&lt;p&gt;BLACK AND SILVER WIRE MESH&amp;nbsp;IS SUPPLIED WITH HEAT SHIELD OF BLACK&lt;br&gt;CERAMIC COATING VERSION.&amp;nbsp;&lt;span&gt;HOMOLOGATED-CATALYZED VERSION AVAILABLE AS OPTIONAL&lt;/span&gt;&lt;/p&gt;_x000a_&lt;p&gt;&lt;span&gt;ASTONISHING SOUND,&amp;nbsp;EXCLUSIVE DESIGN.&lt;/span&gt;&lt;/p&gt;_x000a_&lt;p&gt;N.B IMAGES SHOW STEEL SATIN SILENCER VERSION&lt;/p&gt;_x000a_&lt;p&gt;&lt;span&gt;THE INSTALLATION OF ZARD EXHAUST DOES NOT IMPLY ANY MODIFICATION TO ECU.&lt;/span&gt;&lt;br&gt;&lt;span&gt;THE BOX INCLUDES ALL PARTS FOR THE FITMENT OF ZARD EXHAUST.&lt;/span&gt;&lt;/p&gt;_x000a_&lt;p&gt;&lt;strong&gt;&lt;/strong&gt;NOTE: DELIVERY IN 4 WEEKS FROM DATA ORDER&lt;/p&gt;_x000a_&lt;p&gt;&lt;/p&gt;_x000a_&lt;p&gt;&lt;/p&gt;"/>
    <s v="https://shop.officineitalianezard.it/contents/imgs/products/1_2083-scrambler%20ducati%20desert%20sled%20scarichi%20-%20zard%202.jpg"/>
    <m/>
    <m/>
  </r>
  <r>
    <s v="1586059726-11233"/>
    <s v="https://shop.officineitalianezard.it/en/products/"/>
    <m/>
    <s v="https://shop.officineitalianezard.it/en/ducati-zard-exhaust/"/>
    <s v="SCRAMBLER 800"/>
    <s v="https://shop.officineitalianezard.it/en/ducati-scrambler-exhaust/"/>
    <s v="DESERT SLED VERSION"/>
    <x v="204"/>
    <s v="SPECIAL EDITION SILENCER"/>
    <s v="ZD795SSR"/>
    <s v="SCRAMBLER DUCATI"/>
    <n v="570.25"/>
    <n v="633.61"/>
    <s v="&lt;p&gt;STEEL RACING SILENCER WITH REMOVABLE DB KILLERS&lt;/p&gt;_x000a_&lt;p&gt;ORIGINAL SILENCER WEIGHT: 6 KG&lt;br&gt;ZARD SILENCER WEIGHT: 2.5 KG&amp;nbsp;&lt;/p&gt;_x000a_&lt;p&gt;BLACK AND SILVER WIRE MESH&amp;nbsp;IS SUPPLIED WITH HEAT SHIELD OF BLACK&lt;br&gt;CERAMIC COATING VERSION.&amp;nbsp;&lt;span&gt;HOMOLOGATED-CATALYZED VERSION AVAILABLE AS OPTIONAL&lt;/span&gt;&lt;/p&gt;_x000a_&lt;p&gt;&lt;span&gt;ASTONISHING SOUND,&amp;nbsp;EXCLUSIVE DESIGN.&lt;/span&gt;&lt;/p&gt;_x000a_&lt;p&gt;N.B IMAGES SHOW STEEL SATIN SILENCER VERSION&lt;/p&gt;_x000a_&lt;p&gt;&lt;span&gt;THE INSTALLATION OF ZARD EXHAUST DOES NOT IMPLY ANY MODIFICATION TO ECU.&lt;/span&gt;&lt;br&gt;&lt;span&gt;THE BOX INCLUDES ALL PARTS FOR THE FITMENT OF ZARD EXHAUST.&lt;/span&gt;&lt;/p&gt;_x000a_&lt;p&gt;&lt;strong&gt;&lt;/strong&gt;NOTE: DELIVERY IN 4 WEEKS FROM DATA ORDER&lt;/p&gt;_x000a_&lt;p&gt;&lt;/p&gt;_x000a_&lt;p&gt;&lt;/p&gt;"/>
    <s v="https://shop.officineitalianezard.it/contents/imgs/products/1_2081-scrambler%20ducati%20desert%20sled%20scarichi%20-%20zard%203.jpg"/>
    <m/>
    <m/>
  </r>
  <r>
    <s v="1586059726-11234"/>
    <s v="https://shop.officineitalianezard.it/en/products/"/>
    <m/>
    <s v="https://shop.officineitalianezard.it/en/ducati-zard-exhaust/"/>
    <s v="SCRAMBLER 800"/>
    <s v="https://shop.officineitalianezard.it/en/ducati-scrambler-exhaust/"/>
    <s v="DESERT SLED VERSION"/>
    <x v="204"/>
    <s v="SPECIAL EDITION SILENCER"/>
    <s v="ZD795SSR"/>
    <s v="SCRAMBLER DUCATI"/>
    <n v="570.25"/>
    <n v="633.61"/>
    <s v="&lt;p&gt;STEEL RACING SILENCER WITH REMOVABLE DB KILLERS&lt;/p&gt;_x000a_&lt;p&gt;ORIGINAL SILENCER WEIGHT: 6 KG&lt;br&gt;ZARD SILENCER WEIGHT: 2.5 KG&amp;nbsp;&lt;/p&gt;_x000a_&lt;p&gt;BLACK AND SILVER WIRE MESH&amp;nbsp;IS SUPPLIED WITH HEAT SHIELD OF BLACK&lt;br&gt;CERAMIC COATING VERSION.&amp;nbsp;&lt;span&gt;HOMOLOGATED-CATALYZED VERSION AVAILABLE AS OPTIONAL&lt;/span&gt;&lt;/p&gt;_x000a_&lt;p&gt;&lt;span&gt;ASTONISHING SOUND,&amp;nbsp;EXCLUSIVE DESIGN.&lt;/span&gt;&lt;/p&gt;_x000a_&lt;p&gt;N.B IMAGES SHOW STEEL SATIN SILENCER VERSION&lt;/p&gt;_x000a_&lt;p&gt;&lt;span&gt;THE INSTALLATION OF ZARD EXHAUST DOES NOT IMPLY ANY MODIFICATION TO ECU.&lt;/span&gt;&lt;br&gt;&lt;span&gt;THE BOX INCLUDES ALL PARTS FOR THE FITMENT OF ZARD EXHAUST.&lt;/span&gt;&lt;/p&gt;_x000a_&lt;p&gt;&lt;strong&gt;&lt;/strong&gt;NOTE: DELIVERY IN 4 WEEKS FROM DATA ORDER&lt;/p&gt;_x000a_&lt;p&gt;&lt;/p&gt;_x000a_&lt;p&gt;&lt;/p&gt;"/>
    <s v="https://shop.officineitalianezard.it/contents/imgs/products/1_2082-scrambler%20ducati%20desert%20sled%20scarichi%20-%20zard%204.jpg"/>
    <m/>
    <m/>
  </r>
  <r>
    <s v="1586059726-11235"/>
    <s v="https://shop.officineitalianezard.it/en/products/"/>
    <m/>
    <s v="https://shop.officineitalianezard.it/en/ducati-zard-exhaust/"/>
    <s v="SCRAMBLER 800"/>
    <s v="https://shop.officineitalianezard.it/en/ducati-scrambler-exhaust/"/>
    <s v="DESERT SLED VERSION"/>
    <x v="204"/>
    <s v="SPECIAL EDITION SILENCER"/>
    <s v="ZD795SSR"/>
    <s v="SCRAMBLER DUCATI"/>
    <n v="570.25"/>
    <n v="633.61"/>
    <s v="&lt;p&gt;STEEL RACING SILENCER WITH REMOVABLE DB KILLERS&lt;/p&gt;_x000a_&lt;p&gt;ORIGINAL SILENCER WEIGHT: 6 KG&lt;br&gt;ZARD SILENCER WEIGHT: 2.5 KG&amp;nbsp;&lt;/p&gt;_x000a_&lt;p&gt;BLACK AND SILVER WIRE MESH&amp;nbsp;IS SUPPLIED WITH HEAT SHIELD OF BLACK&lt;br&gt;CERAMIC COATING VERSION.&amp;nbsp;&lt;span&gt;HOMOLOGATED-CATALYZED VERSION AVAILABLE AS OPTIONAL&lt;/span&gt;&lt;/p&gt;_x000a_&lt;p&gt;&lt;span&gt;ASTONISHING SOUND,&amp;nbsp;EXCLUSIVE DESIGN.&lt;/span&gt;&lt;/p&gt;_x000a_&lt;p&gt;N.B IMAGES SHOW STEEL SATIN SILENCER VERSION&lt;/p&gt;_x000a_&lt;p&gt;&lt;span&gt;THE INSTALLATION OF ZARD EXHAUST DOES NOT IMPLY ANY MODIFICATION TO ECU.&lt;/span&gt;&lt;br&gt;&lt;span&gt;THE BOX INCLUDES ALL PARTS FOR THE FITMENT OF ZARD EXHAUST.&lt;/span&gt;&lt;/p&gt;_x000a_&lt;p&gt;&lt;strong&gt;&lt;/strong&gt;NOTE: DELIVERY IN 4 WEEKS FROM DATA ORDER&lt;/p&gt;_x000a_&lt;p&gt;&lt;/p&gt;_x000a_&lt;p&gt;&lt;/p&gt;"/>
    <s v="https://shop.officineitalianezard.it/contents/imgs/products/1_2077-1067-scarico%20scrambler%20zard2.jpg"/>
    <m/>
    <m/>
  </r>
  <r>
    <s v="1586059726-11236"/>
    <s v="https://shop.officineitalianezard.it/en/products/"/>
    <m/>
    <s v="https://shop.officineitalianezard.it/en/ducati-zard-exhaust/"/>
    <s v="SCRAMBLER 800"/>
    <s v="https://shop.officineitalianezard.it/en/ducati-scrambler-exhaust/"/>
    <s v="DESERT SLED VERSION"/>
    <x v="204"/>
    <s v="SPECIAL EDITION SILENCER"/>
    <s v="ZD795SSR"/>
    <s v="SCRAMBLER DUCATI"/>
    <n v="570.25"/>
    <n v="633.61"/>
    <s v="&lt;p&gt;STEEL RACING SILENCER WITH REMOVABLE DB KILLERS&lt;/p&gt;_x000a_&lt;p&gt;ORIGINAL SILENCER WEIGHT: 6 KG&lt;br&gt;ZARD SILENCER WEIGHT: 2.5 KG&amp;nbsp;&lt;/p&gt;_x000a_&lt;p&gt;BLACK AND SILVER WIRE MESH&amp;nbsp;IS SUPPLIED WITH HEAT SHIELD OF BLACK&lt;br&gt;CERAMIC COATING VERSION.&amp;nbsp;&lt;span&gt;HOMOLOGATED-CATALYZED VERSION AVAILABLE AS OPTIONAL&lt;/span&gt;&lt;/p&gt;_x000a_&lt;p&gt;&lt;span&gt;ASTONISHING SOUND,&amp;nbsp;EXCLUSIVE DESIGN.&lt;/span&gt;&lt;/p&gt;_x000a_&lt;p&gt;N.B IMAGES SHOW STEEL SATIN SILENCER VERSION&lt;/p&gt;_x000a_&lt;p&gt;&lt;span&gt;THE INSTALLATION OF ZARD EXHAUST DOES NOT IMPLY ANY MODIFICATION TO ECU.&lt;/span&gt;&lt;br&gt;&lt;span&gt;THE BOX INCLUDES ALL PARTS FOR THE FITMENT OF ZARD EXHAUST.&lt;/span&gt;&lt;/p&gt;_x000a_&lt;p&gt;&lt;strong&gt;&lt;/strong&gt;NOTE: DELIVERY IN 4 WEEKS FROM DATA ORDER&lt;/p&gt;_x000a_&lt;p&gt;&lt;/p&gt;_x000a_&lt;p&gt;&lt;/p&gt;"/>
    <s v="https://shop.officineitalianezard.it/contents/imgs/products/1_2078-1066-scarico%20scrambler%20zard1.jpg"/>
    <m/>
    <m/>
  </r>
  <r>
    <s v="1586059726-11237"/>
    <s v="https://shop.officineitalianezard.it/en/products/"/>
    <m/>
    <s v="https://shop.officineitalianezard.it/en/ducati-zard-exhaust/"/>
    <s v="SCRAMBLER 800"/>
    <s v="https://shop.officineitalianezard.it/en/ducati-scrambler-exhaust/"/>
    <s v="DESERT SLED VERSION"/>
    <x v="204"/>
    <s v="SPECIAL EDITION SILENCER"/>
    <s v="ZD795SSR"/>
    <s v="SCRAMBLER DUCATI"/>
    <n v="570.25"/>
    <n v="633.61"/>
    <s v="&lt;p&gt;STEEL RACING SILENCER WITH REMOVABLE DB KILLERS&lt;/p&gt;_x000a_&lt;p&gt;ORIGINAL SILENCER WEIGHT: 6 KG&lt;br&gt;ZARD SILENCER WEIGHT: 2.5 KG&amp;nbsp;&lt;/p&gt;_x000a_&lt;p&gt;BLACK AND SILVER WIRE MESH&amp;nbsp;IS SUPPLIED WITH HEAT SHIELD OF BLACK&lt;br&gt;CERAMIC COATING VERSION.&amp;nbsp;&lt;span&gt;HOMOLOGATED-CATALYZED VERSION AVAILABLE AS OPTIONAL&lt;/span&gt;&lt;/p&gt;_x000a_&lt;p&gt;&lt;span&gt;ASTONISHING SOUND,&amp;nbsp;EXCLUSIVE DESIGN.&lt;/span&gt;&lt;/p&gt;_x000a_&lt;p&gt;N.B IMAGES SHOW STEEL SATIN SILENCER VERSION&lt;/p&gt;_x000a_&lt;p&gt;&lt;span&gt;THE INSTALLATION OF ZARD EXHAUST DOES NOT IMPLY ANY MODIFICATION TO ECU.&lt;/span&gt;&lt;br&gt;&lt;span&gt;THE BOX INCLUDES ALL PARTS FOR THE FITMENT OF ZARD EXHAUST.&lt;/span&gt;&lt;/p&gt;_x000a_&lt;p&gt;&lt;strong&gt;&lt;/strong&gt;NOTE: DELIVERY IN 4 WEEKS FROM DATA ORDER&lt;/p&gt;_x000a_&lt;p&gt;&lt;/p&gt;_x000a_&lt;p&gt;&lt;/p&gt;"/>
    <s v="https://shop.officineitalianezard.it/contents/imgs/products/1_2079-bassoneroridotta.jpg"/>
    <m/>
    <m/>
  </r>
  <r>
    <s v="1586059726-11238"/>
    <s v="https://shop.officineitalianezard.it/en/products/"/>
    <m/>
    <s v="https://shop.officineitalianezard.it/en/ducati-zard-exhaust/"/>
    <s v="SCRAMBLER 800"/>
    <s v="https://shop.officineitalianezard.it/en/ducati-scrambler-exhaust/"/>
    <s v="DESERT SLED VERSION"/>
    <x v="204"/>
    <s v="SPECIAL EDITION SILENCER"/>
    <s v="ZD795SSR"/>
    <s v="SCRAMBLER DUCATI"/>
    <n v="570.25"/>
    <n v="633.61"/>
    <s v="&lt;p&gt;STEEL RACING SILENCER WITH REMOVABLE DB KILLERS&lt;/p&gt;_x000a_&lt;p&gt;ORIGINAL SILENCER WEIGHT: 6 KG&lt;br&gt;ZARD SILENCER WEIGHT: 2.5 KG&amp;nbsp;&lt;/p&gt;_x000a_&lt;p&gt;BLACK AND SILVER WIRE MESH&amp;nbsp;IS SUPPLIED WITH HEAT SHIELD OF BLACK&lt;br&gt;CERAMIC COATING VERSION.&amp;nbsp;&lt;span&gt;HOMOLOGATED-CATALYZED VERSION AVAILABLE AS OPTIONAL&lt;/span&gt;&lt;/p&gt;_x000a_&lt;p&gt;&lt;span&gt;ASTONISHING SOUND,&amp;nbsp;EXCLUSIVE DESIGN.&lt;/span&gt;&lt;/p&gt;_x000a_&lt;p&gt;N.B IMAGES SHOW STEEL SATIN SILENCER VERSION&lt;/p&gt;_x000a_&lt;p&gt;&lt;span&gt;THE INSTALLATION OF ZARD EXHAUST DOES NOT IMPLY ANY MODIFICATION TO ECU.&lt;/span&gt;&lt;br&gt;&lt;span&gt;THE BOX INCLUDES ALL PARTS FOR THE FITMENT OF ZARD EXHAUST.&lt;/span&gt;&lt;/p&gt;_x000a_&lt;p&gt;&lt;strong&gt;&lt;/strong&gt;NOTE: DELIVERY IN 4 WEEKS FROM DATA ORDER&lt;/p&gt;_x000a_&lt;p&gt;&lt;/p&gt;_x000a_&lt;p&gt;&lt;/p&gt;"/>
    <m/>
    <s v="EURO 4 HOMOLOGATED"/>
    <n v="84.84"/>
  </r>
  <r>
    <s v="1586059726-11239"/>
    <s v="https://shop.officineitalianezard.it/en/products/"/>
    <m/>
    <s v="https://shop.officineitalianezard.it/en/ducati-zard-exhaust/"/>
    <s v="SCRAMBLER 800"/>
    <s v="https://shop.officineitalianezard.it/en/ducati-scrambler-exhaust/"/>
    <s v="DESERT SLED VERSION"/>
    <x v="204"/>
    <s v="SPECIAL EDITION SILENCER"/>
    <s v="ZD795SSR"/>
    <s v="SCRAMBLER DUCATI"/>
    <n v="570.25"/>
    <n v="633.61"/>
    <s v="&lt;p&gt;STEEL RACING SILENCER WITH REMOVABLE DB KILLERS&lt;/p&gt;_x000a_&lt;p&gt;ORIGINAL SILENCER WEIGHT: 6 KG&lt;br&gt;ZARD SILENCER WEIGHT: 2.5 KG&amp;nbsp;&lt;/p&gt;_x000a_&lt;p&gt;BLACK AND SILVER WIRE MESH&amp;nbsp;IS SUPPLIED WITH HEAT SHIELD OF BLACK&lt;br&gt;CERAMIC COATING VERSION.&amp;nbsp;&lt;span&gt;HOMOLOGATED-CATALYZED VERSION AVAILABLE AS OPTIONAL&lt;/span&gt;&lt;/p&gt;_x000a_&lt;p&gt;&lt;span&gt;ASTONISHING SOUND,&amp;nbsp;EXCLUSIVE DESIGN.&lt;/span&gt;&lt;/p&gt;_x000a_&lt;p&gt;N.B IMAGES SHOW STEEL SATIN SILENCER VERSION&lt;/p&gt;_x000a_&lt;p&gt;&lt;span&gt;THE INSTALLATION OF ZARD EXHAUST DOES NOT IMPLY ANY MODIFICATION TO ECU.&lt;/span&gt;&lt;br&gt;&lt;span&gt;THE BOX INCLUDES ALL PARTS FOR THE FITMENT OF ZARD EXHAUST.&lt;/span&gt;&lt;/p&gt;_x000a_&lt;p&gt;&lt;strong&gt;&lt;/strong&gt;NOTE: DELIVERY IN 4 WEEKS FROM DATA ORDER&lt;/p&gt;_x000a_&lt;p&gt;&lt;/p&gt;_x000a_&lt;p&gt;&lt;/p&gt;"/>
    <m/>
    <s v="BLACK CERAMIC COATING"/>
    <n v="77.459999999999994"/>
  </r>
  <r>
    <s v="1586059726-11240"/>
    <s v="https://shop.officineitalianezard.it/en/products/"/>
    <m/>
    <s v="https://shop.officineitalianezard.it/en/ducati-zard-exhaust/"/>
    <s v="SCRAMBLER 800"/>
    <s v="https://shop.officineitalianezard.it/en/ducati-scrambler-exhaust/"/>
    <s v="DESERT SLED VERSION"/>
    <x v="204"/>
    <s v="SPECIAL EDITION SILENCER"/>
    <s v="ZD795SSR"/>
    <s v="SCRAMBLER DUCATI"/>
    <n v="570.25"/>
    <n v="633.61"/>
    <s v="&lt;p&gt;STEEL RACING SILENCER WITH REMOVABLE DB KILLERS&lt;/p&gt;_x000a_&lt;p&gt;ORIGINAL SILENCER WEIGHT: 6 KG&lt;br&gt;ZARD SILENCER WEIGHT: 2.5 KG&amp;nbsp;&lt;/p&gt;_x000a_&lt;p&gt;BLACK AND SILVER WIRE MESH&amp;nbsp;IS SUPPLIED WITH HEAT SHIELD OF BLACK&lt;br&gt;CERAMIC COATING VERSION.&amp;nbsp;&lt;span&gt;HOMOLOGATED-CATALYZED VERSION AVAILABLE AS OPTIONAL&lt;/span&gt;&lt;/p&gt;_x000a_&lt;p&gt;&lt;span&gt;ASTONISHING SOUND,&amp;nbsp;EXCLUSIVE DESIGN.&lt;/span&gt;&lt;/p&gt;_x000a_&lt;p&gt;N.B IMAGES SHOW STEEL SATIN SILENCER VERSION&lt;/p&gt;_x000a_&lt;p&gt;&lt;span&gt;THE INSTALLATION OF ZARD EXHAUST DOES NOT IMPLY ANY MODIFICATION TO ECU.&lt;/span&gt;&lt;br&gt;&lt;span&gt;THE BOX INCLUDES ALL PARTS FOR THE FITMENT OF ZARD EXHAUST.&lt;/span&gt;&lt;/p&gt;_x000a_&lt;p&gt;&lt;strong&gt;&lt;/strong&gt;NOTE: DELIVERY IN 4 WEEKS FROM DATA ORDER&lt;/p&gt;_x000a_&lt;p&gt;&lt;/p&gt;_x000a_&lt;p&gt;&lt;/p&gt;"/>
    <m/>
    <s v="BLACK HEAT SHIELD"/>
    <n v="46.48"/>
  </r>
  <r>
    <s v="1586059729-11241"/>
    <s v="https://shop.officineitalianezard.it/en/products/"/>
    <m/>
    <s v="https://shop.officineitalianezard.it/en/ducati-zard-exhaust/"/>
    <s v="SCRAMBLER 800"/>
    <s v="https://shop.officineitalianezard.it/en/ducati-scrambler-exhaust/"/>
    <s v="EVO-R VERSION"/>
    <x v="205"/>
    <s v="SLIP-ON SILENCER"/>
    <s v="ZDSPECIAL EVO-R"/>
    <s v="SCRAMBLER DUCATI"/>
    <n v="1202.46"/>
    <n v="1336.07"/>
    <s v="&lt;p&gt;SLIP-ON EVO-R SILENCER WITH REMOVABLE DBKILLERS.&lt;/p&gt;_x000a_&lt;p&gt;A SPECIAL EXHAUST WITH INNOVATIVE DESIGN MADE BY HAND IN AISI 304 STAINLESS STEEL BY OUR BEST WELDERS.&lt;/p&gt;_x000a_&lt;p&gt;CARBON HEAT SHIELD.&lt;/p&gt;_x000a_&lt;p&gt;ORIGINAL SILENCER WEIGHT: 6 KG&lt;br&gt;ZARD SILENCER WEIGHT: 2.8 KG&lt;/p&gt;_x000a_&lt;p&gt;HARD INCREASE, COMPARED TO THE ORIGINAL EXHAUST SYSTEM, IN TERMS OF TORQUE AND POWER AT ANY RANGE.&lt;/p&gt;_x000a_&lt;p&gt;&lt;span&gt;ASTONISHING SOUND.&lt;/span&gt;&lt;/p&gt;_x000a_&lt;p&gt;&lt;a href=&quot;https://www.facebook.com/officinezard/videos/1712286135520771/&quot;&gt;&lt;/a&gt;NOT COMPATIBLE WITH DESERT SLED VERSION.&lt;/p&gt;_x000a_&lt;p&gt;&lt;strong&gt;NOTICE&lt;/strong&gt;:&amp;nbsp;THE PHOTOS SHOW THE EVO-R SILENCER COMBINED WITH THE ZARD TITANIUM&amp;nbsp;HEADERS&amp;nbsp;(NOT INCLUDED&amp;nbsp;BUT PURCHASED SEPARATELY IN SNAKE WELDED VERSION)&lt;/p&gt;"/>
    <s v="https://shop.officineitalianezard.it/contents/imgs/products/1_2412-scarico%20scrambler%20ducati%20evo-r%20zard%201.jpg"/>
    <m/>
    <m/>
  </r>
  <r>
    <s v="1586059729-11242"/>
    <s v="https://shop.officineitalianezard.it/en/products/"/>
    <m/>
    <s v="https://shop.officineitalianezard.it/en/ducati-zard-exhaust/"/>
    <s v="SCRAMBLER 800"/>
    <s v="https://shop.officineitalianezard.it/en/ducati-scrambler-exhaust/"/>
    <s v="EVO-R VERSION"/>
    <x v="205"/>
    <s v="SLIP-ON SILENCER"/>
    <s v="ZDSPECIAL EVO-R"/>
    <s v="SCRAMBLER DUCATI"/>
    <n v="1202.46"/>
    <n v="1336.07"/>
    <s v="&lt;p&gt;SLIP-ON EVO-R SILENCER WITH REMOVABLE DBKILLERS.&lt;/p&gt;_x000a_&lt;p&gt;A SPECIAL EXHAUST WITH INNOVATIVE DESIGN MADE BY HAND IN AISI 304 STAINLESS STEEL BY OUR BEST WELDERS.&lt;/p&gt;_x000a_&lt;p&gt;CARBON HEAT SHIELD.&lt;/p&gt;_x000a_&lt;p&gt;ORIGINAL SILENCER WEIGHT: 6 KG&lt;br&gt;ZARD SILENCER WEIGHT: 2.8 KG&lt;/p&gt;_x000a_&lt;p&gt;HARD INCREASE, COMPARED TO THE ORIGINAL EXHAUST SYSTEM, IN TERMS OF TORQUE AND POWER AT ANY RANGE.&lt;/p&gt;_x000a_&lt;p&gt;&lt;span&gt;ASTONISHING SOUND.&lt;/span&gt;&lt;/p&gt;_x000a_&lt;p&gt;&lt;a href=&quot;https://www.facebook.com/officinezard/videos/1712286135520771/&quot;&gt;&lt;/a&gt;NOT COMPATIBLE WITH DESERT SLED VERSION.&lt;/p&gt;_x000a_&lt;p&gt;&lt;strong&gt;NOTICE&lt;/strong&gt;:&amp;nbsp;THE PHOTOS SHOW THE EVO-R SILENCER COMBINED WITH THE ZARD TITANIUM&amp;nbsp;HEADERS&amp;nbsp;(NOT INCLUDED&amp;nbsp;BUT PURCHASED SEPARATELY IN SNAKE WELDED VERSION)&lt;/p&gt;"/>
    <s v="https://shop.officineitalianezard.it/contents/imgs/products/1_2409-scarico%20scrambler%20ducati%20evo-r%20zard%202.jpg"/>
    <m/>
    <m/>
  </r>
  <r>
    <s v="1586059729-11243"/>
    <s v="https://shop.officineitalianezard.it/en/products/"/>
    <m/>
    <s v="https://shop.officineitalianezard.it/en/ducati-zard-exhaust/"/>
    <s v="SCRAMBLER 800"/>
    <s v="https://shop.officineitalianezard.it/en/ducati-scrambler-exhaust/"/>
    <s v="EVO-R VERSION"/>
    <x v="205"/>
    <s v="SLIP-ON SILENCER"/>
    <s v="ZDSPECIAL EVO-R"/>
    <s v="SCRAMBLER DUCATI"/>
    <n v="1202.46"/>
    <n v="1336.07"/>
    <s v="&lt;p&gt;SLIP-ON EVO-R SILENCER WITH REMOVABLE DBKILLERS.&lt;/p&gt;_x000a_&lt;p&gt;A SPECIAL EXHAUST WITH INNOVATIVE DESIGN MADE BY HAND IN AISI 304 STAINLESS STEEL BY OUR BEST WELDERS.&lt;/p&gt;_x000a_&lt;p&gt;CARBON HEAT SHIELD.&lt;/p&gt;_x000a_&lt;p&gt;ORIGINAL SILENCER WEIGHT: 6 KG&lt;br&gt;ZARD SILENCER WEIGHT: 2.8 KG&lt;/p&gt;_x000a_&lt;p&gt;HARD INCREASE, COMPARED TO THE ORIGINAL EXHAUST SYSTEM, IN TERMS OF TORQUE AND POWER AT ANY RANGE.&lt;/p&gt;_x000a_&lt;p&gt;&lt;span&gt;ASTONISHING SOUND.&lt;/span&gt;&lt;/p&gt;_x000a_&lt;p&gt;&lt;a href=&quot;https://www.facebook.com/officinezard/videos/1712286135520771/&quot;&gt;&lt;/a&gt;NOT COMPATIBLE WITH DESERT SLED VERSION.&lt;/p&gt;_x000a_&lt;p&gt;&lt;strong&gt;NOTICE&lt;/strong&gt;:&amp;nbsp;THE PHOTOS SHOW THE EVO-R SILENCER COMBINED WITH THE ZARD TITANIUM&amp;nbsp;HEADERS&amp;nbsp;(NOT INCLUDED&amp;nbsp;BUT PURCHASED SEPARATELY IN SNAKE WELDED VERSION)&lt;/p&gt;"/>
    <s v="https://shop.officineitalianezard.it/contents/imgs/products/1_2410-scarico%20scrambler%20ducati%20evo-r%20zard%203.jpg"/>
    <m/>
    <m/>
  </r>
  <r>
    <s v="1586059729-11244"/>
    <s v="https://shop.officineitalianezard.it/en/products/"/>
    <m/>
    <s v="https://shop.officineitalianezard.it/en/ducati-zard-exhaust/"/>
    <s v="SCRAMBLER 800"/>
    <s v="https://shop.officineitalianezard.it/en/ducati-scrambler-exhaust/"/>
    <s v="EVO-R VERSION"/>
    <x v="205"/>
    <s v="SLIP-ON SILENCER"/>
    <s v="ZDSPECIAL EVO-R"/>
    <s v="SCRAMBLER DUCATI"/>
    <n v="1202.46"/>
    <n v="1336.07"/>
    <s v="&lt;p&gt;SLIP-ON EVO-R SILENCER WITH REMOVABLE DBKILLERS.&lt;/p&gt;_x000a_&lt;p&gt;A SPECIAL EXHAUST WITH INNOVATIVE DESIGN MADE BY HAND IN AISI 304 STAINLESS STEEL BY OUR BEST WELDERS.&lt;/p&gt;_x000a_&lt;p&gt;CARBON HEAT SHIELD.&lt;/p&gt;_x000a_&lt;p&gt;ORIGINAL SILENCER WEIGHT: 6 KG&lt;br&gt;ZARD SILENCER WEIGHT: 2.8 KG&lt;/p&gt;_x000a_&lt;p&gt;HARD INCREASE, COMPARED TO THE ORIGINAL EXHAUST SYSTEM, IN TERMS OF TORQUE AND POWER AT ANY RANGE.&lt;/p&gt;_x000a_&lt;p&gt;&lt;span&gt;ASTONISHING SOUND.&lt;/span&gt;&lt;/p&gt;_x000a_&lt;p&gt;&lt;a href=&quot;https://www.facebook.com/officinezard/videos/1712286135520771/&quot;&gt;&lt;/a&gt;NOT COMPATIBLE WITH DESERT SLED VERSION.&lt;/p&gt;_x000a_&lt;p&gt;&lt;strong&gt;NOTICE&lt;/strong&gt;:&amp;nbsp;THE PHOTOS SHOW THE EVO-R SILENCER COMBINED WITH THE ZARD TITANIUM&amp;nbsp;HEADERS&amp;nbsp;(NOT INCLUDED&amp;nbsp;BUT PURCHASED SEPARATELY IN SNAKE WELDED VERSION)&lt;/p&gt;"/>
    <s v="https://shop.officineitalianezard.it/contents/imgs/products/1_2428-evo-r%20black%20ridotta.jpg"/>
    <m/>
    <m/>
  </r>
  <r>
    <s v="1586059729-11245"/>
    <s v="https://shop.officineitalianezard.it/en/products/"/>
    <m/>
    <s v="https://shop.officineitalianezard.it/en/ducati-zard-exhaust/"/>
    <s v="SCRAMBLER 800"/>
    <s v="https://shop.officineitalianezard.it/en/ducati-scrambler-exhaust/"/>
    <s v="EVO-R VERSION"/>
    <x v="205"/>
    <s v="SLIP-ON SILENCER"/>
    <s v="ZDSPECIAL EVO-R"/>
    <s v="SCRAMBLER DUCATI"/>
    <n v="1202.46"/>
    <n v="1336.07"/>
    <s v="&lt;p&gt;SLIP-ON EVO-R SILENCER WITH REMOVABLE DBKILLERS.&lt;/p&gt;_x000a_&lt;p&gt;A SPECIAL EXHAUST WITH INNOVATIVE DESIGN MADE BY HAND IN AISI 304 STAINLESS STEEL BY OUR BEST WELDERS.&lt;/p&gt;_x000a_&lt;p&gt;CARBON HEAT SHIELD.&lt;/p&gt;_x000a_&lt;p&gt;ORIGINAL SILENCER WEIGHT: 6 KG&lt;br&gt;ZARD SILENCER WEIGHT: 2.8 KG&lt;/p&gt;_x000a_&lt;p&gt;HARD INCREASE, COMPARED TO THE ORIGINAL EXHAUST SYSTEM, IN TERMS OF TORQUE AND POWER AT ANY RANGE.&lt;/p&gt;_x000a_&lt;p&gt;&lt;span&gt;ASTONISHING SOUND.&lt;/span&gt;&lt;/p&gt;_x000a_&lt;p&gt;&lt;a href=&quot;https://www.facebook.com/officinezard/videos/1712286135520771/&quot;&gt;&lt;/a&gt;NOT COMPATIBLE WITH DESERT SLED VERSION.&lt;/p&gt;_x000a_&lt;p&gt;&lt;strong&gt;NOTICE&lt;/strong&gt;:&amp;nbsp;THE PHOTOS SHOW THE EVO-R SILENCER COMBINED WITH THE ZARD TITANIUM&amp;nbsp;HEADERS&amp;nbsp;(NOT INCLUDED&amp;nbsp;BUT PURCHASED SEPARATELY IN SNAKE WELDED VERSION)&lt;/p&gt;"/>
    <m/>
    <s v="BLACK CERAMIC COATING"/>
    <n v="138.69"/>
  </r>
  <r>
    <s v="1586059734-11246"/>
    <s v="https://shop.officineitalianezard.it/en/products/"/>
    <m/>
    <s v="https://shop.officineitalianezard.it/en/ducati-zard-exhaust/"/>
    <s v="MULTISTRADA 1200 2010/14"/>
    <s v="https://shop.officineitalianezard.it/en/ducati-multistrada-1200-exhaust/"/>
    <s v="PENTA VERSION"/>
    <x v="206"/>
    <s v="SILENCER"/>
    <s v="ZD531ASR"/>
    <s v="DUCATI MULTISTRADA 1200 2010/14"/>
    <n v="497.21"/>
    <n v="552.46"/>
    <s v="&lt;p&gt;STEEL ALUMINIUM BLACK SILENCER RACING WITH REMOVABLE DB KILLER&lt;/p&gt;_x000a_&lt;p&gt;ALUMINIUM HEAT-SHIELD&lt;/p&gt;_x000a_&lt;p&gt;ORIGINAL EXHAUST WEIGHT: KG 2.1&lt;br&gt;ZARD EXHAUST WEIGHT: KG 1.7&lt;/p&gt;_x000a_&lt;p&gt;HARD INCREASE, COMPARED TO THE ORIGINAL EXHAUST SYSTEM, IN TERMS OF TORQUE AND POWER AT ANY RANGE (+2 HP).&lt;/p&gt;_x000a_&lt;p&gt;ASTONISHING SOUND.&lt;/p&gt;"/>
    <s v="https://shop.officineitalianezard.it/contents/imgs/products/1_427-sliponpentamultistrada015.jpg"/>
    <m/>
    <m/>
  </r>
  <r>
    <s v="1586059734-11247"/>
    <s v="https://shop.officineitalianezard.it/en/products/"/>
    <m/>
    <s v="https://shop.officineitalianezard.it/en/ducati-zard-exhaust/"/>
    <s v="MULTISTRADA 1200 2010/14"/>
    <s v="https://shop.officineitalianezard.it/en/ducati-multistrada-1200-exhaust/"/>
    <s v="PENTA VERSION"/>
    <x v="206"/>
    <s v="SILENCER"/>
    <s v="ZD531ASR"/>
    <s v="DUCATI MULTISTRADA 1200 2010/14"/>
    <n v="497.21"/>
    <n v="552.46"/>
    <s v="&lt;p&gt;STEEL ALUMINIUM BLACK SILENCER RACING WITH REMOVABLE DB KILLER&lt;/p&gt;_x000a_&lt;p&gt;ALUMINIUM HEAT-SHIELD&lt;/p&gt;_x000a_&lt;p&gt;ORIGINAL EXHAUST WEIGHT: KG 2.1&lt;br&gt;ZARD EXHAUST WEIGHT: KG 1.7&lt;/p&gt;_x000a_&lt;p&gt;HARD INCREASE, COMPARED TO THE ORIGINAL EXHAUST SYSTEM, IN TERMS OF TORQUE AND POWER AT ANY RANGE (+2 HP).&lt;/p&gt;_x000a_&lt;p&gt;ASTONISHING SOUND.&lt;/p&gt;"/>
    <s v="https://shop.officineitalianezard.it/contents/imgs/products/1_426-sliponpentamultistrada003.jpg"/>
    <m/>
    <m/>
  </r>
  <r>
    <s v="1586059734-11248"/>
    <s v="https://shop.officineitalianezard.it/en/products/"/>
    <m/>
    <s v="https://shop.officineitalianezard.it/en/ducati-zard-exhaust/"/>
    <s v="MULTISTRADA 1200 2010/14"/>
    <s v="https://shop.officineitalianezard.it/en/ducati-multistrada-1200-exhaust/"/>
    <s v="PENTA VERSION"/>
    <x v="206"/>
    <s v="SILENCER"/>
    <s v="ZD531ASR"/>
    <s v="DUCATI MULTISTRADA 1200 2010/14"/>
    <n v="497.21"/>
    <n v="552.46"/>
    <s v="&lt;p&gt;STEEL ALUMINIUM BLACK SILENCER RACING WITH REMOVABLE DB KILLER&lt;/p&gt;_x000a_&lt;p&gt;ALUMINIUM HEAT-SHIELD&lt;/p&gt;_x000a_&lt;p&gt;ORIGINAL EXHAUST WEIGHT: KG 2.1&lt;br&gt;ZARD EXHAUST WEIGHT: KG 1.7&lt;/p&gt;_x000a_&lt;p&gt;HARD INCREASE, COMPARED TO THE ORIGINAL EXHAUST SYSTEM, IN TERMS OF TORQUE AND POWER AT ANY RANGE (+2 HP).&lt;/p&gt;_x000a_&lt;p&gt;ASTONISHING SOUND.&lt;/p&gt;"/>
    <s v="https://shop.officineitalianezard.it/contents/imgs/products/1_428-sliponpentamultistrada014.jpg"/>
    <m/>
    <m/>
  </r>
  <r>
    <s v="1586059734-11249"/>
    <s v="https://shop.officineitalianezard.it/en/products/"/>
    <m/>
    <s v="https://shop.officineitalianezard.it/en/ducati-zard-exhaust/"/>
    <s v="MULTISTRADA 1200 2010/14"/>
    <s v="https://shop.officineitalianezard.it/en/ducati-multistrada-1200-exhaust/"/>
    <s v="PENTA VERSION"/>
    <x v="206"/>
    <s v="SILENCER"/>
    <s v="ZD531ASR"/>
    <s v="DUCATI MULTISTRADA 1200 2010/14"/>
    <n v="497.21"/>
    <n v="552.46"/>
    <s v="&lt;p&gt;STEEL ALUMINIUM BLACK SILENCER RACING WITH REMOVABLE DB KILLER&lt;/p&gt;_x000a_&lt;p&gt;ALUMINIUM HEAT-SHIELD&lt;/p&gt;_x000a_&lt;p&gt;ORIGINAL EXHAUST WEIGHT: KG 2.1&lt;br&gt;ZARD EXHAUST WEIGHT: KG 1.7&lt;/p&gt;_x000a_&lt;p&gt;HARD INCREASE, COMPARED TO THE ORIGINAL EXHAUST SYSTEM, IN TERMS OF TORQUE AND POWER AT ANY RANGE (+2 HP).&lt;/p&gt;_x000a_&lt;p&gt;ASTONISHING SOUND.&lt;/p&gt;"/>
    <m/>
    <s v="EURO 3 HOMOLOGATED"/>
    <n v="38.36"/>
  </r>
  <r>
    <s v="1586059736-11250"/>
    <s v="https://shop.officineitalianezard.it/en/products/"/>
    <m/>
    <s v="https://shop.officineitalianezard.it/en/ducati-zard-exhaust/"/>
    <s v="MULTISTRADA 1200 2010/14"/>
    <s v="https://shop.officineitalianezard.it/en/ducati-multistrada-1200-exhaust/"/>
    <s v="M.Y. 10-14"/>
    <x v="207"/>
    <s v="2&gt;1 PENTA EVO FULL KIT"/>
    <s v="ZD025SKR"/>
    <s v="DUCATI MULTISTRADA 1200 2010/14"/>
    <n v="1034.26"/>
    <n v="1149.18"/>
    <s v="&lt;p&gt;2&amp;gt;1 STEEL-CARBON FULL KIT RACING WITH REMOVABLE DB KILLER&lt;/p&gt;_x000a_&lt;p&gt;ALUMINIUM LASER CUTTED HEAT SHIELD AVAILABLE BLACK OR SILVER.&lt;/p&gt;_x000a_&lt;p&gt;HOMOLOGATED VERSION HAS BLACK STEEL ALUMINIUM SILENCER.&lt;/p&gt;_x000a_&lt;p&gt;ORIGINAL EXHAUST WEIGHT: KG 10.2&lt;br&gt;ZARD EXHAUST WEIGHT: KG 6.2&lt;/p&gt;_x000a_&lt;p&gt;THE KIT INCLUDES AN EXHAUST VALVE.&lt;/p&gt;_x000a_&lt;p&gt;HARD INCREASE, COMPARED TO THE ORIGINAL EXHAUST SYSTEM, IN TERMS OF TORQUE AND POWER AT ANY RANGE (+3 HP).&lt;/p&gt;_x000a_&lt;p&gt;HIGHT REDUCTION OF TEMPERATURE IN THE FOOTREST ZONE.&lt;/p&gt;_x000a_&lt;p&gt;ASTONISHING SOUND.&lt;/p&gt;_x000a_&lt;p&gt;&lt;strong&gt;NOTICE: FULL TITANIUM VERSION AVAILABLE ON DEMAND&lt;/strong&gt;&lt;/p&gt;"/>
    <s v="https://shop.officineitalianezard.it/contents/imgs/products/1_2524-scarico%20ducati%20multistrada%201200%20zard%20exhaust%201.jpg"/>
    <m/>
    <m/>
  </r>
  <r>
    <s v="1586059736-11251"/>
    <s v="https://shop.officineitalianezard.it/en/products/"/>
    <m/>
    <s v="https://shop.officineitalianezard.it/en/ducati-zard-exhaust/"/>
    <s v="MULTISTRADA 1200 2010/14"/>
    <s v="https://shop.officineitalianezard.it/en/ducati-multistrada-1200-exhaust/"/>
    <s v="M.Y. 10-14"/>
    <x v="207"/>
    <s v="2&gt;1 PENTA EVO FULL KIT"/>
    <s v="ZD025SKR"/>
    <s v="DUCATI MULTISTRADA 1200 2010/14"/>
    <n v="1034.26"/>
    <n v="1149.18"/>
    <s v="&lt;p&gt;2&amp;gt;1 STEEL-CARBON FULL KIT RACING WITH REMOVABLE DB KILLER&lt;/p&gt;_x000a_&lt;p&gt;ALUMINIUM LASER CUTTED HEAT SHIELD AVAILABLE BLACK OR SILVER.&lt;/p&gt;_x000a_&lt;p&gt;HOMOLOGATED VERSION HAS BLACK STEEL ALUMINIUM SILENCER.&lt;/p&gt;_x000a_&lt;p&gt;ORIGINAL EXHAUST WEIGHT: KG 10.2&lt;br&gt;ZARD EXHAUST WEIGHT: KG 6.2&lt;/p&gt;_x000a_&lt;p&gt;THE KIT INCLUDES AN EXHAUST VALVE.&lt;/p&gt;_x000a_&lt;p&gt;HARD INCREASE, COMPARED TO THE ORIGINAL EXHAUST SYSTEM, IN TERMS OF TORQUE AND POWER AT ANY RANGE (+3 HP).&lt;/p&gt;_x000a_&lt;p&gt;HIGHT REDUCTION OF TEMPERATURE IN THE FOOTREST ZONE.&lt;/p&gt;_x000a_&lt;p&gt;ASTONISHING SOUND.&lt;/p&gt;_x000a_&lt;p&gt;&lt;strong&gt;NOTICE: FULL TITANIUM VERSION AVAILABLE ON DEMAND&lt;/strong&gt;&lt;/p&gt;"/>
    <s v="https://shop.officineitalianezard.it/contents/imgs/products/1_2525-scarico%20ducati%20multistrada%201200%20zard%20exhaust%202.jpg"/>
    <m/>
    <m/>
  </r>
  <r>
    <s v="1586059736-11252"/>
    <s v="https://shop.officineitalianezard.it/en/products/"/>
    <m/>
    <s v="https://shop.officineitalianezard.it/en/ducati-zard-exhaust/"/>
    <s v="MULTISTRADA 1200 2010/14"/>
    <s v="https://shop.officineitalianezard.it/en/ducati-multistrada-1200-exhaust/"/>
    <s v="M.Y. 10-14"/>
    <x v="207"/>
    <s v="2&gt;1 PENTA EVO FULL KIT"/>
    <s v="ZD025SKR"/>
    <s v="DUCATI MULTISTRADA 1200 2010/14"/>
    <n v="1034.26"/>
    <n v="1149.18"/>
    <s v="&lt;p&gt;2&amp;gt;1 STEEL-CARBON FULL KIT RACING WITH REMOVABLE DB KILLER&lt;/p&gt;_x000a_&lt;p&gt;ALUMINIUM LASER CUTTED HEAT SHIELD AVAILABLE BLACK OR SILVER.&lt;/p&gt;_x000a_&lt;p&gt;HOMOLOGATED VERSION HAS BLACK STEEL ALUMINIUM SILENCER.&lt;/p&gt;_x000a_&lt;p&gt;ORIGINAL EXHAUST WEIGHT: KG 10.2&lt;br&gt;ZARD EXHAUST WEIGHT: KG 6.2&lt;/p&gt;_x000a_&lt;p&gt;THE KIT INCLUDES AN EXHAUST VALVE.&lt;/p&gt;_x000a_&lt;p&gt;HARD INCREASE, COMPARED TO THE ORIGINAL EXHAUST SYSTEM, IN TERMS OF TORQUE AND POWER AT ANY RANGE (+3 HP).&lt;/p&gt;_x000a_&lt;p&gt;HIGHT REDUCTION OF TEMPERATURE IN THE FOOTREST ZONE.&lt;/p&gt;_x000a_&lt;p&gt;ASTONISHING SOUND.&lt;/p&gt;_x000a_&lt;p&gt;&lt;strong&gt;NOTICE: FULL TITANIUM VERSION AVAILABLE ON DEMAND&lt;/strong&gt;&lt;/p&gt;"/>
    <s v="https://shop.officineitalianezard.it/contents/imgs/products/1_2526-scarico%20ducati%20multistrada%201200%20zard%20exhaust%203.jpg"/>
    <m/>
    <m/>
  </r>
  <r>
    <s v="1586059736-11253"/>
    <s v="https://shop.officineitalianezard.it/en/products/"/>
    <m/>
    <s v="https://shop.officineitalianezard.it/en/ducati-zard-exhaust/"/>
    <s v="MULTISTRADA 1200 2010/14"/>
    <s v="https://shop.officineitalianezard.it/en/ducati-multistrada-1200-exhaust/"/>
    <s v="M.Y. 10-14"/>
    <x v="207"/>
    <s v="2&gt;1 PENTA EVO FULL KIT"/>
    <s v="ZD025SKR"/>
    <s v="DUCATI MULTISTRADA 1200 2010/14"/>
    <n v="1034.26"/>
    <n v="1149.18"/>
    <s v="&lt;p&gt;2&amp;gt;1 STEEL-CARBON FULL KIT RACING WITH REMOVABLE DB KILLER&lt;/p&gt;_x000a_&lt;p&gt;ALUMINIUM LASER CUTTED HEAT SHIELD AVAILABLE BLACK OR SILVER.&lt;/p&gt;_x000a_&lt;p&gt;HOMOLOGATED VERSION HAS BLACK STEEL ALUMINIUM SILENCER.&lt;/p&gt;_x000a_&lt;p&gt;ORIGINAL EXHAUST WEIGHT: KG 10.2&lt;br&gt;ZARD EXHAUST WEIGHT: KG 6.2&lt;/p&gt;_x000a_&lt;p&gt;THE KIT INCLUDES AN EXHAUST VALVE.&lt;/p&gt;_x000a_&lt;p&gt;HARD INCREASE, COMPARED TO THE ORIGINAL EXHAUST SYSTEM, IN TERMS OF TORQUE AND POWER AT ANY RANGE (+3 HP).&lt;/p&gt;_x000a_&lt;p&gt;HIGHT REDUCTION OF TEMPERATURE IN THE FOOTREST ZONE.&lt;/p&gt;_x000a_&lt;p&gt;ASTONISHING SOUND.&lt;/p&gt;_x000a_&lt;p&gt;&lt;strong&gt;NOTICE: FULL TITANIUM VERSION AVAILABLE ON DEMAND&lt;/strong&gt;&lt;/p&gt;"/>
    <m/>
    <s v="EURO 3 HOMOLOGATED"/>
    <n v="281.07"/>
  </r>
  <r>
    <s v="1586059736-11254"/>
    <s v="https://shop.officineitalianezard.it/en/products/"/>
    <m/>
    <s v="https://shop.officineitalianezard.it/en/ducati-zard-exhaust/"/>
    <s v="MULTISTRADA 1200 2010/14"/>
    <s v="https://shop.officineitalianezard.it/en/ducati-multistrada-1200-exhaust/"/>
    <s v="M.Y. 10-14"/>
    <x v="207"/>
    <s v="2&gt;1 PENTA EVO FULL KIT"/>
    <s v="ZD025SKR"/>
    <s v="DUCATI MULTISTRADA 1200 2010/14"/>
    <n v="1034.26"/>
    <n v="1149.18"/>
    <s v="&lt;p&gt;2&amp;gt;1 STEEL-CARBON FULL KIT RACING WITH REMOVABLE DB KILLER&lt;/p&gt;_x000a_&lt;p&gt;ALUMINIUM LASER CUTTED HEAT SHIELD AVAILABLE BLACK OR SILVER.&lt;/p&gt;_x000a_&lt;p&gt;HOMOLOGATED VERSION HAS BLACK STEEL ALUMINIUM SILENCER.&lt;/p&gt;_x000a_&lt;p&gt;ORIGINAL EXHAUST WEIGHT: KG 10.2&lt;br&gt;ZARD EXHAUST WEIGHT: KG 6.2&lt;/p&gt;_x000a_&lt;p&gt;THE KIT INCLUDES AN EXHAUST VALVE.&lt;/p&gt;_x000a_&lt;p&gt;HARD INCREASE, COMPARED TO THE ORIGINAL EXHAUST SYSTEM, IN TERMS OF TORQUE AND POWER AT ANY RANGE (+3 HP).&lt;/p&gt;_x000a_&lt;p&gt;HIGHT REDUCTION OF TEMPERATURE IN THE FOOTREST ZONE.&lt;/p&gt;_x000a_&lt;p&gt;ASTONISHING SOUND.&lt;/p&gt;_x000a_&lt;p&gt;&lt;strong&gt;NOTICE: FULL TITANIUM VERSION AVAILABLE ON DEMAND&lt;/strong&gt;&lt;/p&gt;"/>
    <m/>
    <s v="CARBON 'PENTA' ENDCAP"/>
    <n v="75.25"/>
  </r>
  <r>
    <s v="1586059742-11255"/>
    <s v="https://shop.officineitalianezard.it/en/products/"/>
    <m/>
    <s v="https://shop.officineitalianezard.it/en/ducati-zard-exhaust/"/>
    <s v="MULTISTRADA 620/1000/1100"/>
    <s v="https://shop.officineitalianezard.it/en/ducati-multistrada-620-1000-1100-exhaust/"/>
    <s v="UNDER-SEAT VERSION"/>
    <x v="208"/>
    <s v="HEADERS KIT + 2&gt;1&gt;2 SILENCER"/>
    <s v="ZD014SKR"/>
    <s v="DUCATI MULTISTRADA 620/1000/1000S/1100"/>
    <n v="1110.25"/>
    <n v="1233.6099999999999"/>
    <s v="&lt;p&gt;&lt;strong&gt;NOTES: FOR MULTISTRADA 620 IS AVAILABLE ONLY THE SILENCER&amp;nbsp;&lt;/strong&gt;&lt;/p&gt;_x000a_&lt;p&gt;STEEL HEADERS KIT + SILENCERS 2&amp;gt;1&amp;gt;2 RACING&lt;/p&gt;_x000a_&lt;p&gt;CARBON HEAT SHIELD BY DEFAULT&lt;br&gt;STELL LICENCE PLATE STAND AND BLINKERS STAND&lt;/p&gt;_x000a_&lt;p&gt;ZARD SILENCER WEIGHT: KG 5.5&lt;br&gt;ZARD MANIFOLD WEIGHT: KG 2.2&lt;/p&gt;_x000a_&lt;p&gt;HARD INCREASE, COMPARED TO THE ORIGINAL EXHAUST SYSTEM, IN TERMS OF TORQUE AND POWER AT ANY RANGE (+2 HP).&lt;/p&gt;_x000a_&lt;p&gt;ASTONISHING SOUND.&lt;/p&gt;"/>
    <s v="https://shop.officineitalianezard.it/contents/imgs/products/1_410-ducati-multistrada1000-part.jpg"/>
    <m/>
    <m/>
  </r>
  <r>
    <s v="1586059742-11256"/>
    <s v="https://shop.officineitalianezard.it/en/products/"/>
    <m/>
    <s v="https://shop.officineitalianezard.it/en/ducati-zard-exhaust/"/>
    <s v="MULTISTRADA 620/1000/1100"/>
    <s v="https://shop.officineitalianezard.it/en/ducati-multistrada-620-1000-1100-exhaust/"/>
    <s v="UNDER-SEAT VERSION"/>
    <x v="208"/>
    <s v="HEADERS KIT + 2&gt;1&gt;2 SILENCER"/>
    <s v="ZD014SKR"/>
    <s v="DUCATI MULTISTRADA 620/1000/1000S/1100"/>
    <n v="1110.25"/>
    <n v="1233.6099999999999"/>
    <s v="&lt;p&gt;&lt;strong&gt;NOTES: FOR MULTISTRADA 620 IS AVAILABLE ONLY THE SILENCER&amp;nbsp;&lt;/strong&gt;&lt;/p&gt;_x000a_&lt;p&gt;STEEL HEADERS KIT + SILENCERS 2&amp;gt;1&amp;gt;2 RACING&lt;/p&gt;_x000a_&lt;p&gt;CARBON HEAT SHIELD BY DEFAULT&lt;br&gt;STELL LICENCE PLATE STAND AND BLINKERS STAND&lt;/p&gt;_x000a_&lt;p&gt;ZARD SILENCER WEIGHT: KG 5.5&lt;br&gt;ZARD MANIFOLD WEIGHT: KG 2.2&lt;/p&gt;_x000a_&lt;p&gt;HARD INCREASE, COMPARED TO THE ORIGINAL EXHAUST SYSTEM, IN TERMS OF TORQUE AND POWER AT ANY RANGE (+2 HP).&lt;/p&gt;_x000a_&lt;p&gt;ASTONISHING SOUND.&lt;/p&gt;"/>
    <s v="https://shop.officineitalianezard.it/contents/imgs/products/1_411-ducati-multistrada1000.jpg"/>
    <m/>
    <m/>
  </r>
  <r>
    <s v="1586059742-11257"/>
    <s v="https://shop.officineitalianezard.it/en/products/"/>
    <m/>
    <s v="https://shop.officineitalianezard.it/en/ducati-zard-exhaust/"/>
    <s v="MULTISTRADA 620/1000/1100"/>
    <s v="https://shop.officineitalianezard.it/en/ducati-multistrada-620-1000-1100-exhaust/"/>
    <s v="UNDER-SEAT VERSION"/>
    <x v="208"/>
    <s v="HEADERS KIT + 2&gt;1&gt;2 SILENCER"/>
    <s v="ZD014SKR"/>
    <s v="DUCATI MULTISTRADA 620/1000/1000S/1100"/>
    <n v="1110.25"/>
    <n v="1233.6099999999999"/>
    <s v="&lt;p&gt;&lt;strong&gt;NOTES: FOR MULTISTRADA 620 IS AVAILABLE ONLY THE SILENCER&amp;nbsp;&lt;/strong&gt;&lt;/p&gt;_x000a_&lt;p&gt;STEEL HEADERS KIT + SILENCERS 2&amp;gt;1&amp;gt;2 RACING&lt;/p&gt;_x000a_&lt;p&gt;CARBON HEAT SHIELD BY DEFAULT&lt;br&gt;STELL LICENCE PLATE STAND AND BLINKERS STAND&lt;/p&gt;_x000a_&lt;p&gt;ZARD SILENCER WEIGHT: KG 5.5&lt;br&gt;ZARD MANIFOLD WEIGHT: KG 2.2&lt;/p&gt;_x000a_&lt;p&gt;HARD INCREASE, COMPARED TO THE ORIGINAL EXHAUST SYSTEM, IN TERMS OF TORQUE AND POWER AT ANY RANGE (+2 HP).&lt;/p&gt;_x000a_&lt;p&gt;ASTONISHING SOUND.&lt;/p&gt;"/>
    <s v="https://shop.officineitalianezard.it/contents/imgs/products/1_562-scarichi%20moto%20ducati%20zard.jpg"/>
    <m/>
    <m/>
  </r>
  <r>
    <s v="1586059742-11258"/>
    <s v="https://shop.officineitalianezard.it/en/products/"/>
    <m/>
    <s v="https://shop.officineitalianezard.it/en/ducati-zard-exhaust/"/>
    <s v="MULTISTRADA 620/1000/1100"/>
    <s v="https://shop.officineitalianezard.it/en/ducati-multistrada-620-1000-1100-exhaust/"/>
    <s v="UNDER-SEAT VERSION"/>
    <x v="208"/>
    <s v="HEADERS KIT + 2&gt;1&gt;2 SILENCER"/>
    <s v="ZD014SKR"/>
    <s v="DUCATI MULTISTRADA 620/1000/1000S/1100"/>
    <n v="1110.25"/>
    <n v="1233.6099999999999"/>
    <s v="&lt;p&gt;&lt;strong&gt;NOTES: FOR MULTISTRADA 620 IS AVAILABLE ONLY THE SILENCER&amp;nbsp;&lt;/strong&gt;&lt;/p&gt;_x000a_&lt;p&gt;STEEL HEADERS KIT + SILENCERS 2&amp;gt;1&amp;gt;2 RACING&lt;/p&gt;_x000a_&lt;p&gt;CARBON HEAT SHIELD BY DEFAULT&lt;br&gt;STELL LICENCE PLATE STAND AND BLINKERS STAND&lt;/p&gt;_x000a_&lt;p&gt;ZARD SILENCER WEIGHT: KG 5.5&lt;br&gt;ZARD MANIFOLD WEIGHT: KG 2.2&lt;/p&gt;_x000a_&lt;p&gt;HARD INCREASE, COMPARED TO THE ORIGINAL EXHAUST SYSTEM, IN TERMS OF TORQUE AND POWER AT ANY RANGE (+2 HP).&lt;/p&gt;_x000a_&lt;p&gt;ASTONISHING SOUND.&lt;/p&gt;"/>
    <m/>
    <s v="HOMOLOGATED"/>
    <n v="65.66"/>
  </r>
  <r>
    <s v="1586059744-11259"/>
    <s v="https://shop.officineitalianezard.it/en/products/"/>
    <m/>
    <s v="https://shop.officineitalianezard.it/en/ducati-zard-exhaust/"/>
    <s v="MULTISTRADA 620/1000/1100"/>
    <s v="https://shop.officineitalianezard.it/en/ducati-multistrada-620-1000-1100-exhaust/"/>
    <s v="UNDER-SEAT VERSION"/>
    <x v="209"/>
    <s v="SILENCER"/>
    <s v="ZD014SSR"/>
    <s v="DUCATI MULTISTRADA 620/1000/1000S/1100"/>
    <n v="818.11"/>
    <n v="909.02"/>
    <s v="&lt;p&gt;STEEL SILENCER RACING&lt;/p&gt;_x000a_&lt;p&gt;CARBON HEAT SHIELD&lt;br&gt;STEEL LICENCE PLATE STAND AND BLINKERS STAND&lt;/p&gt;_x000a_&lt;p&gt;ZARD SILENCER WEIGHT: KG 5.5&lt;br&gt;HARD INCREASE, COMPARED TO THE ORIGINAL EXHAUST SYSTEM, IN TERMS OF TORQUE AND POWER AT ANY RANGE (+2 HP).&lt;/p&gt;_x000a_&lt;p&gt;ASTONISHING SOUND.&lt;/p&gt;"/>
    <s v="https://shop.officineitalianezard.it/contents/imgs/products/1_408-ducati-multistrada1000-part.jpg"/>
    <m/>
    <m/>
  </r>
  <r>
    <s v="1586059744-11260"/>
    <s v="https://shop.officineitalianezard.it/en/products/"/>
    <m/>
    <s v="https://shop.officineitalianezard.it/en/ducati-zard-exhaust/"/>
    <s v="MULTISTRADA 620/1000/1100"/>
    <s v="https://shop.officineitalianezard.it/en/ducati-multistrada-620-1000-1100-exhaust/"/>
    <s v="UNDER-SEAT VERSION"/>
    <x v="209"/>
    <s v="SILENCER"/>
    <s v="ZD014SSR"/>
    <s v="DUCATI MULTISTRADA 620/1000/1000S/1100"/>
    <n v="818.11"/>
    <n v="909.02"/>
    <s v="&lt;p&gt;STEEL SILENCER RACING&lt;/p&gt;_x000a_&lt;p&gt;CARBON HEAT SHIELD&lt;br&gt;STEEL LICENCE PLATE STAND AND BLINKERS STAND&lt;/p&gt;_x000a_&lt;p&gt;ZARD SILENCER WEIGHT: KG 5.5&lt;br&gt;HARD INCREASE, COMPARED TO THE ORIGINAL EXHAUST SYSTEM, IN TERMS OF TORQUE AND POWER AT ANY RANGE (+2 HP).&lt;/p&gt;_x000a_&lt;p&gt;ASTONISHING SOUND.&lt;/p&gt;"/>
    <s v="https://shop.officineitalianezard.it/contents/imgs/products/1_409-ducati-multistrada1000.jpg"/>
    <m/>
    <m/>
  </r>
  <r>
    <s v="1586059744-11261"/>
    <s v="https://shop.officineitalianezard.it/en/products/"/>
    <m/>
    <s v="https://shop.officineitalianezard.it/en/ducati-zard-exhaust/"/>
    <s v="MULTISTRADA 620/1000/1100"/>
    <s v="https://shop.officineitalianezard.it/en/ducati-multistrada-620-1000-1100-exhaust/"/>
    <s v="UNDER-SEAT VERSION"/>
    <x v="209"/>
    <s v="SILENCER"/>
    <s v="ZD014SSR"/>
    <s v="DUCATI MULTISTRADA 620/1000/1000S/1100"/>
    <n v="818.11"/>
    <n v="909.02"/>
    <s v="&lt;p&gt;STEEL SILENCER RACING&lt;/p&gt;_x000a_&lt;p&gt;CARBON HEAT SHIELD&lt;br&gt;STEEL LICENCE PLATE STAND AND BLINKERS STAND&lt;/p&gt;_x000a_&lt;p&gt;ZARD SILENCER WEIGHT: KG 5.5&lt;br&gt;HARD INCREASE, COMPARED TO THE ORIGINAL EXHAUST SYSTEM, IN TERMS OF TORQUE AND POWER AT ANY RANGE (+2 HP).&lt;/p&gt;_x000a_&lt;p&gt;ASTONISHING SOUND.&lt;/p&gt;"/>
    <s v="https://shop.officineitalianezard.it/contents/imgs/products/1_561-scarichi%20moto%20ducati%20zard.jpg"/>
    <m/>
    <m/>
  </r>
  <r>
    <s v="1586059744-11262"/>
    <s v="https://shop.officineitalianezard.it/en/products/"/>
    <m/>
    <s v="https://shop.officineitalianezard.it/en/ducati-zard-exhaust/"/>
    <s v="MULTISTRADA 620/1000/1100"/>
    <s v="https://shop.officineitalianezard.it/en/ducati-multistrada-620-1000-1100-exhaust/"/>
    <s v="UNDER-SEAT VERSION"/>
    <x v="209"/>
    <s v="SILENCER"/>
    <s v="ZD014SSR"/>
    <s v="DUCATI MULTISTRADA 620/1000/1000S/1100"/>
    <n v="818.11"/>
    <n v="909.02"/>
    <s v="&lt;p&gt;STEEL SILENCER RACING&lt;/p&gt;_x000a_&lt;p&gt;CARBON HEAT SHIELD&lt;br&gt;STEEL LICENCE PLATE STAND AND BLINKERS STAND&lt;/p&gt;_x000a_&lt;p&gt;ZARD SILENCER WEIGHT: KG 5.5&lt;br&gt;HARD INCREASE, COMPARED TO THE ORIGINAL EXHAUST SYSTEM, IN TERMS OF TORQUE AND POWER AT ANY RANGE (+2 HP).&lt;/p&gt;_x000a_&lt;p&gt;ASTONISHING SOUND.&lt;/p&gt;"/>
    <m/>
    <s v="EURO 3 HOMOLOGATED"/>
    <n v="30.98"/>
  </r>
  <r>
    <s v="1586059750-11263"/>
    <s v="https://shop.officineitalianezard.it/en/products/"/>
    <m/>
    <s v="https://shop.officineitalianezard.it/en/ducati-zard-exhaust/"/>
    <s v="MULTISTRADA 1260 2018-19"/>
    <s v="https://shop.officineitalianezard.it/en/multistrada-1260-2018-19/"/>
    <s v="SHORT VERSION"/>
    <x v="210"/>
    <s v="SLIP-ON SILENCER"/>
    <s v="ZD021STR-FC"/>
    <s v="DUCATI MULTISTRADA 1260"/>
    <n v="560.66"/>
    <n v="622.95000000000005"/>
    <s v="&lt;p&gt;STAINLESS STEEL RACING SLIP-ON WITH TITANIUM&lt;br&gt;SLEEVE SILENCER AND REMOVABLE DB KILLER&lt;/p&gt;_x000a_&lt;p&gt;EURO 4 HOMOLOGATED VERSION AVAILABLE AS OPTIONAL&lt;br&gt; &lt;br&gt;CARBON ENDCAP AND CARBON HEAT SHIELD INCLUDED&lt;br&gt; &lt;br&gt;ORIGINAL EXHAUST WEIGHT: 2.6 KG&lt;br&gt;ZARD EXHAUST WEIGHT: 1.3 KG&lt;/p&gt;_x000a_&lt;p&gt;THE INSTALLATION OF ZARD EXHAUST DOES NOT&lt;br&gt;IMPLY ANY MODIFICATION TO ECU.&lt;/p&gt;_x000a_&lt;p&gt;&lt;span&gt;EXCLUSIVE DESIGN,&amp;nbsp;ASTONISHING SOUND.&lt;/span&gt;&lt;/p&gt;"/>
    <s v="https://shop.officineitalianezard.it/contents/imgs/products/1_2538-scarico%20ducati%20multistrada%20zard.jpg"/>
    <m/>
    <m/>
  </r>
  <r>
    <s v="1586059750-11264"/>
    <s v="https://shop.officineitalianezard.it/en/products/"/>
    <m/>
    <s v="https://shop.officineitalianezard.it/en/ducati-zard-exhaust/"/>
    <s v="MULTISTRADA 1260 2018-19"/>
    <s v="https://shop.officineitalianezard.it/en/multistrada-1260-2018-19/"/>
    <s v="SHORT VERSION"/>
    <x v="210"/>
    <s v="SLIP-ON SILENCER"/>
    <s v="ZD021STR-FC"/>
    <s v="DUCATI MULTISTRADA 1260"/>
    <n v="560.66"/>
    <n v="622.95000000000005"/>
    <s v="&lt;p&gt;STAINLESS STEEL RACING SLIP-ON WITH TITANIUM&lt;br&gt;SLEEVE SILENCER AND REMOVABLE DB KILLER&lt;/p&gt;_x000a_&lt;p&gt;EURO 4 HOMOLOGATED VERSION AVAILABLE AS OPTIONAL&lt;br&gt; &lt;br&gt;CARBON ENDCAP AND CARBON HEAT SHIELD INCLUDED&lt;br&gt; &lt;br&gt;ORIGINAL EXHAUST WEIGHT: 2.6 KG&lt;br&gt;ZARD EXHAUST WEIGHT: 1.3 KG&lt;/p&gt;_x000a_&lt;p&gt;THE INSTALLATION OF ZARD EXHAUST DOES NOT&lt;br&gt;IMPLY ANY MODIFICATION TO ECU.&lt;/p&gt;_x000a_&lt;p&gt;&lt;span&gt;EXCLUSIVE DESIGN,&amp;nbsp;ASTONISHING SOUND.&lt;/span&gt;&lt;/p&gt;"/>
    <s v="https://shop.officineitalianezard.it/contents/imgs/products/1_2535-scarico%20ducati%20multistrada%20zard%201.jpg"/>
    <m/>
    <m/>
  </r>
  <r>
    <s v="1586059750-11265"/>
    <s v="https://shop.officineitalianezard.it/en/products/"/>
    <m/>
    <s v="https://shop.officineitalianezard.it/en/ducati-zard-exhaust/"/>
    <s v="MULTISTRADA 1260 2018-19"/>
    <s v="https://shop.officineitalianezard.it/en/multistrada-1260-2018-19/"/>
    <s v="SHORT VERSION"/>
    <x v="210"/>
    <s v="SLIP-ON SILENCER"/>
    <s v="ZD021STR-FC"/>
    <s v="DUCATI MULTISTRADA 1260"/>
    <n v="560.66"/>
    <n v="622.95000000000005"/>
    <s v="&lt;p&gt;STAINLESS STEEL RACING SLIP-ON WITH TITANIUM&lt;br&gt;SLEEVE SILENCER AND REMOVABLE DB KILLER&lt;/p&gt;_x000a_&lt;p&gt;EURO 4 HOMOLOGATED VERSION AVAILABLE AS OPTIONAL&lt;br&gt; &lt;br&gt;CARBON ENDCAP AND CARBON HEAT SHIELD INCLUDED&lt;br&gt; &lt;br&gt;ORIGINAL EXHAUST WEIGHT: 2.6 KG&lt;br&gt;ZARD EXHAUST WEIGHT: 1.3 KG&lt;/p&gt;_x000a_&lt;p&gt;THE INSTALLATION OF ZARD EXHAUST DOES NOT&lt;br&gt;IMPLY ANY MODIFICATION TO ECU.&lt;/p&gt;_x000a_&lt;p&gt;&lt;span&gt;EXCLUSIVE DESIGN,&amp;nbsp;ASTONISHING SOUND.&lt;/span&gt;&lt;/p&gt;"/>
    <s v="https://shop.officineitalianezard.it/contents/imgs/products/1_2536-scarico%20ducati%20multistrada%20zard%202.jpg"/>
    <m/>
    <m/>
  </r>
  <r>
    <s v="1586059750-11266"/>
    <s v="https://shop.officineitalianezard.it/en/products/"/>
    <m/>
    <s v="https://shop.officineitalianezard.it/en/ducati-zard-exhaust/"/>
    <s v="MULTISTRADA 1260 2018-19"/>
    <s v="https://shop.officineitalianezard.it/en/multistrada-1260-2018-19/"/>
    <s v="SHORT VERSION"/>
    <x v="210"/>
    <s v="SLIP-ON SILENCER"/>
    <s v="ZD021STR-FC"/>
    <s v="DUCATI MULTISTRADA 1260"/>
    <n v="560.66"/>
    <n v="622.95000000000005"/>
    <s v="&lt;p&gt;STAINLESS STEEL RACING SLIP-ON WITH TITANIUM&lt;br&gt;SLEEVE SILENCER AND REMOVABLE DB KILLER&lt;/p&gt;_x000a_&lt;p&gt;EURO 4 HOMOLOGATED VERSION AVAILABLE AS OPTIONAL&lt;br&gt; &lt;br&gt;CARBON ENDCAP AND CARBON HEAT SHIELD INCLUDED&lt;br&gt; &lt;br&gt;ORIGINAL EXHAUST WEIGHT: 2.6 KG&lt;br&gt;ZARD EXHAUST WEIGHT: 1.3 KG&lt;/p&gt;_x000a_&lt;p&gt;THE INSTALLATION OF ZARD EXHAUST DOES NOT&lt;br&gt;IMPLY ANY MODIFICATION TO ECU.&lt;/p&gt;_x000a_&lt;p&gt;&lt;span&gt;EXCLUSIVE DESIGN,&amp;nbsp;ASTONISHING SOUND.&lt;/span&gt;&lt;/p&gt;"/>
    <s v="https://shop.officineitalianezard.it/contents/imgs/products/1_2537-scarico%20ducati%20multistrada%20zard%203.jpg"/>
    <m/>
    <m/>
  </r>
  <r>
    <s v="1586059750-11267"/>
    <s v="https://shop.officineitalianezard.it/en/products/"/>
    <m/>
    <s v="https://shop.officineitalianezard.it/en/ducati-zard-exhaust/"/>
    <s v="MULTISTRADA 1260 2018-19"/>
    <s v="https://shop.officineitalianezard.it/en/multistrada-1260-2018-19/"/>
    <s v="SHORT VERSION"/>
    <x v="210"/>
    <s v="SLIP-ON SILENCER"/>
    <s v="ZD021STR-FC"/>
    <s v="DUCATI MULTISTRADA 1260"/>
    <n v="560.66"/>
    <n v="622.95000000000005"/>
    <s v="&lt;p&gt;STAINLESS STEEL RACING SLIP-ON WITH TITANIUM&lt;br&gt;SLEEVE SILENCER AND REMOVABLE DB KILLER&lt;/p&gt;_x000a_&lt;p&gt;EURO 4 HOMOLOGATED VERSION AVAILABLE AS OPTIONAL&lt;br&gt; &lt;br&gt;CARBON ENDCAP AND CARBON HEAT SHIELD INCLUDED&lt;br&gt; &lt;br&gt;ORIGINAL EXHAUST WEIGHT: 2.6 KG&lt;br&gt;ZARD EXHAUST WEIGHT: 1.3 KG&lt;/p&gt;_x000a_&lt;p&gt;THE INSTALLATION OF ZARD EXHAUST DOES NOT&lt;br&gt;IMPLY ANY MODIFICATION TO ECU.&lt;/p&gt;_x000a_&lt;p&gt;&lt;span&gt;EXCLUSIVE DESIGN,&amp;nbsp;ASTONISHING SOUND.&lt;/span&gt;&lt;/p&gt;"/>
    <m/>
    <s v="EURO 4 HOMOLOGATED"/>
    <n v="22.87"/>
  </r>
  <r>
    <s v="1586059755-11268"/>
    <s v="https://shop.officineitalianezard.it/en/products/"/>
    <m/>
    <s v="https://shop.officineitalianezard.it/en/ducati-zard-exhaust/"/>
    <s v="PANIGALE V4/V4S"/>
    <s v="https://shop.officineitalianezard.it/en/ducati-panigale-v4-exhaust/"/>
    <s v="SLIP-ON VERSION"/>
    <x v="211"/>
    <s v="COMPENSATED EXHAUST"/>
    <s v="ZD1101TSR"/>
    <s v="DUCATI PANIGALE V4/V4 S"/>
    <n v="1549.18"/>
    <n v="1721.31"/>
    <s v="&lt;p&gt;&lt;a href=&quot;/en/posts/index/ducati-panigale-v4-exhaust-24-237/&quot;&gt;&lt;span style=&quot;color: #ff0000;&quot;&gt;&lt;strong&gt;THE PERFECT MATCH BETWEEN TECHNOLOGY AND ITALIAN STYLE,&lt;br&gt;READ MORE ABOUT&amp;nbsp;ZARD&amp;nbsp;FOR DUCATI PANIGALE V4,&lt;br&gt;TESTED&amp;nbsp;BY DARIO MARCHETTI!&lt;/strong&gt;&lt;/span&gt;&lt;/a&gt;&lt;/p&gt;_x000a_&lt;p&gt;STAINLESS STEEL SLIP-ON KIT WITH TITANIUM SLEEVE&lt;br&gt;SILENCERS AND CARBON HEAT SHIELDS&lt;/p&gt;_x000a_&lt;p&gt;ORIGINAL EXHAUST WEIGHT:&amp;nbsp;10.1&amp;nbsp;KG&lt;br&gt;&lt;span&gt;ZARD EXHAUST WEIGHT:&amp;nbsp;5 KG&lt;/span&gt;&lt;/p&gt;_x000a_&lt;p&gt;&lt;span&gt;THE INSTALLATION OF ZARD EXHAUST DOES NOT IMPLY ANY&lt;br&gt;MODIFICATION TO ECU.&amp;nbsp;&lt;/span&gt;KIT INCLUDES&amp;nbsp;&lt;span&gt;EXHAUST SERVO ELIMINATOR.&lt;/span&gt;&lt;/p&gt;"/>
    <s v="https://shop.officineitalianezard.it/contents/imgs/products/1_2547-scarichi%20panigale%20v4%20zard%20slip%20on.jpg"/>
    <m/>
    <m/>
  </r>
  <r>
    <s v="1586059755-11269"/>
    <s v="https://shop.officineitalianezard.it/en/products/"/>
    <m/>
    <s v="https://shop.officineitalianezard.it/en/ducati-zard-exhaust/"/>
    <s v="PANIGALE V4/V4S"/>
    <s v="https://shop.officineitalianezard.it/en/ducati-panigale-v4-exhaust/"/>
    <s v="SLIP-ON VERSION"/>
    <x v="211"/>
    <s v="COMPENSATED EXHAUST"/>
    <s v="ZD1101TSR"/>
    <s v="DUCATI PANIGALE V4/V4 S"/>
    <n v="1549.18"/>
    <n v="1721.31"/>
    <s v="&lt;p&gt;&lt;a href=&quot;/en/posts/index/ducati-panigale-v4-exhaust-24-237/&quot;&gt;&lt;span style=&quot;color: #ff0000;&quot;&gt;&lt;strong&gt;THE PERFECT MATCH BETWEEN TECHNOLOGY AND ITALIAN STYLE,&lt;br&gt;READ MORE ABOUT&amp;nbsp;ZARD&amp;nbsp;FOR DUCATI PANIGALE V4,&lt;br&gt;TESTED&amp;nbsp;BY DARIO MARCHETTI!&lt;/strong&gt;&lt;/span&gt;&lt;/a&gt;&lt;/p&gt;_x000a_&lt;p&gt;STAINLESS STEEL SLIP-ON KIT WITH TITANIUM SLEEVE&lt;br&gt;SILENCERS AND CARBON HEAT SHIELDS&lt;/p&gt;_x000a_&lt;p&gt;ORIGINAL EXHAUST WEIGHT:&amp;nbsp;10.1&amp;nbsp;KG&lt;br&gt;&lt;span&gt;ZARD EXHAUST WEIGHT:&amp;nbsp;5 KG&lt;/span&gt;&lt;/p&gt;_x000a_&lt;p&gt;&lt;span&gt;THE INSTALLATION OF ZARD EXHAUST DOES NOT IMPLY ANY&lt;br&gt;MODIFICATION TO ECU.&amp;nbsp;&lt;/span&gt;KIT INCLUDES&amp;nbsp;&lt;span&gt;EXHAUST SERVO ELIMINATOR.&lt;/span&gt;&lt;/p&gt;"/>
    <s v="https://shop.officineitalianezard.it/contents/imgs/products/1_2489-scarico%20ducati%20panigale%20v4%20zard%20-%201.jpg"/>
    <m/>
    <m/>
  </r>
  <r>
    <s v="1586059755-11270"/>
    <s v="https://shop.officineitalianezard.it/en/products/"/>
    <m/>
    <s v="https://shop.officineitalianezard.it/en/ducati-zard-exhaust/"/>
    <s v="PANIGALE V4/V4S"/>
    <s v="https://shop.officineitalianezard.it/en/ducati-panigale-v4-exhaust/"/>
    <s v="SLIP-ON VERSION"/>
    <x v="211"/>
    <s v="COMPENSATED EXHAUST"/>
    <s v="ZD1101TSR"/>
    <s v="DUCATI PANIGALE V4/V4 S"/>
    <n v="1549.18"/>
    <n v="1721.31"/>
    <s v="&lt;p&gt;&lt;a href=&quot;/en/posts/index/ducati-panigale-v4-exhaust-24-237/&quot;&gt;&lt;span style=&quot;color: #ff0000;&quot;&gt;&lt;strong&gt;THE PERFECT MATCH BETWEEN TECHNOLOGY AND ITALIAN STYLE,&lt;br&gt;READ MORE ABOUT&amp;nbsp;ZARD&amp;nbsp;FOR DUCATI PANIGALE V4,&lt;br&gt;TESTED&amp;nbsp;BY DARIO MARCHETTI!&lt;/strong&gt;&lt;/span&gt;&lt;/a&gt;&lt;/p&gt;_x000a_&lt;p&gt;STAINLESS STEEL SLIP-ON KIT WITH TITANIUM SLEEVE&lt;br&gt;SILENCERS AND CARBON HEAT SHIELDS&lt;/p&gt;_x000a_&lt;p&gt;ORIGINAL EXHAUST WEIGHT:&amp;nbsp;10.1&amp;nbsp;KG&lt;br&gt;&lt;span&gt;ZARD EXHAUST WEIGHT:&amp;nbsp;5 KG&lt;/span&gt;&lt;/p&gt;_x000a_&lt;p&gt;&lt;span&gt;THE INSTALLATION OF ZARD EXHAUST DOES NOT IMPLY ANY&lt;br&gt;MODIFICATION TO ECU.&amp;nbsp;&lt;/span&gt;KIT INCLUDES&amp;nbsp;&lt;span&gt;EXHAUST SERVO ELIMINATOR.&lt;/span&gt;&lt;/p&gt;"/>
    <s v="https://shop.officineitalianezard.it/contents/imgs/products/1_2490-scarico%20ducati%20panigale%20v4%20zard%20-%202.jpg"/>
    <m/>
    <m/>
  </r>
  <r>
    <s v="1586059755-11271"/>
    <s v="https://shop.officineitalianezard.it/en/products/"/>
    <m/>
    <s v="https://shop.officineitalianezard.it/en/ducati-zard-exhaust/"/>
    <s v="PANIGALE V4/V4S"/>
    <s v="https://shop.officineitalianezard.it/en/ducati-panigale-v4-exhaust/"/>
    <s v="SLIP-ON VERSION"/>
    <x v="211"/>
    <s v="COMPENSATED EXHAUST"/>
    <s v="ZD1101TSR"/>
    <s v="DUCATI PANIGALE V4/V4 S"/>
    <n v="1549.18"/>
    <n v="1721.31"/>
    <s v="&lt;p&gt;&lt;a href=&quot;/en/posts/index/ducati-panigale-v4-exhaust-24-237/&quot;&gt;&lt;span style=&quot;color: #ff0000;&quot;&gt;&lt;strong&gt;THE PERFECT MATCH BETWEEN TECHNOLOGY AND ITALIAN STYLE,&lt;br&gt;READ MORE ABOUT&amp;nbsp;ZARD&amp;nbsp;FOR DUCATI PANIGALE V4,&lt;br&gt;TESTED&amp;nbsp;BY DARIO MARCHETTI!&lt;/strong&gt;&lt;/span&gt;&lt;/a&gt;&lt;/p&gt;_x000a_&lt;p&gt;STAINLESS STEEL SLIP-ON KIT WITH TITANIUM SLEEVE&lt;br&gt;SILENCERS AND CARBON HEAT SHIELDS&lt;/p&gt;_x000a_&lt;p&gt;ORIGINAL EXHAUST WEIGHT:&amp;nbsp;10.1&amp;nbsp;KG&lt;br&gt;&lt;span&gt;ZARD EXHAUST WEIGHT:&amp;nbsp;5 KG&lt;/span&gt;&lt;/p&gt;_x000a_&lt;p&gt;&lt;span&gt;THE INSTALLATION OF ZARD EXHAUST DOES NOT IMPLY ANY&lt;br&gt;MODIFICATION TO ECU.&amp;nbsp;&lt;/span&gt;KIT INCLUDES&amp;nbsp;&lt;span&gt;EXHAUST SERVO ELIMINATOR.&lt;/span&gt;&lt;/p&gt;"/>
    <s v="https://shop.officineitalianezard.it/contents/imgs/products/1_2491-scarico%20ducati%20panigale%20v4%20zard%20-%203.jpg"/>
    <m/>
    <m/>
  </r>
  <r>
    <s v="1586059755-11272"/>
    <s v="https://shop.officineitalianezard.it/en/products/"/>
    <m/>
    <s v="https://shop.officineitalianezard.it/en/ducati-zard-exhaust/"/>
    <s v="PANIGALE V4/V4S"/>
    <s v="https://shop.officineitalianezard.it/en/ducati-panigale-v4-exhaust/"/>
    <s v="SLIP-ON VERSION"/>
    <x v="211"/>
    <s v="COMPENSATED EXHAUST"/>
    <s v="ZD1101TSR"/>
    <s v="DUCATI PANIGALE V4/V4 S"/>
    <n v="1549.18"/>
    <n v="1721.31"/>
    <s v="&lt;p&gt;&lt;a href=&quot;/en/posts/index/ducati-panigale-v4-exhaust-24-237/&quot;&gt;&lt;span style=&quot;color: #ff0000;&quot;&gt;&lt;strong&gt;THE PERFECT MATCH BETWEEN TECHNOLOGY AND ITALIAN STYLE,&lt;br&gt;READ MORE ABOUT&amp;nbsp;ZARD&amp;nbsp;FOR DUCATI PANIGALE V4,&lt;br&gt;TESTED&amp;nbsp;BY DARIO MARCHETTI!&lt;/strong&gt;&lt;/span&gt;&lt;/a&gt;&lt;/p&gt;_x000a_&lt;p&gt;STAINLESS STEEL SLIP-ON KIT WITH TITANIUM SLEEVE&lt;br&gt;SILENCERS AND CARBON HEAT SHIELDS&lt;/p&gt;_x000a_&lt;p&gt;ORIGINAL EXHAUST WEIGHT:&amp;nbsp;10.1&amp;nbsp;KG&lt;br&gt;&lt;span&gt;ZARD EXHAUST WEIGHT:&amp;nbsp;5 KG&lt;/span&gt;&lt;/p&gt;_x000a_&lt;p&gt;&lt;span&gt;THE INSTALLATION OF ZARD EXHAUST DOES NOT IMPLY ANY&lt;br&gt;MODIFICATION TO ECU.&amp;nbsp;&lt;/span&gt;KIT INCLUDES&amp;nbsp;&lt;span&gt;EXHAUST SERVO ELIMINATOR.&lt;/span&gt;&lt;/p&gt;"/>
    <s v="https://shop.officineitalianezard.it/contents/imgs/products/1_2492-scarico%20ducati%20panigale%20v4%20zard%20-%204.jpg"/>
    <m/>
    <m/>
  </r>
  <r>
    <s v="1586059755-11273"/>
    <s v="https://shop.officineitalianezard.it/en/products/"/>
    <m/>
    <s v="https://shop.officineitalianezard.it/en/ducati-zard-exhaust/"/>
    <s v="PANIGALE V4/V4S"/>
    <s v="https://shop.officineitalianezard.it/en/ducati-panigale-v4-exhaust/"/>
    <s v="SLIP-ON VERSION"/>
    <x v="211"/>
    <s v="COMPENSATED EXHAUST"/>
    <s v="ZD1101TSR"/>
    <s v="DUCATI PANIGALE V4/V4 S"/>
    <n v="1549.18"/>
    <n v="1721.31"/>
    <s v="&lt;p&gt;&lt;a href=&quot;/en/posts/index/ducati-panigale-v4-exhaust-24-237/&quot;&gt;&lt;span style=&quot;color: #ff0000;&quot;&gt;&lt;strong&gt;THE PERFECT MATCH BETWEEN TECHNOLOGY AND ITALIAN STYLE,&lt;br&gt;READ MORE ABOUT&amp;nbsp;ZARD&amp;nbsp;FOR DUCATI PANIGALE V4,&lt;br&gt;TESTED&amp;nbsp;BY DARIO MARCHETTI!&lt;/strong&gt;&lt;/span&gt;&lt;/a&gt;&lt;/p&gt;_x000a_&lt;p&gt;STAINLESS STEEL SLIP-ON KIT WITH TITANIUM SLEEVE&lt;br&gt;SILENCERS AND CARBON HEAT SHIELDS&lt;/p&gt;_x000a_&lt;p&gt;ORIGINAL EXHAUST WEIGHT:&amp;nbsp;10.1&amp;nbsp;KG&lt;br&gt;&lt;span&gt;ZARD EXHAUST WEIGHT:&amp;nbsp;5 KG&lt;/span&gt;&lt;/p&gt;_x000a_&lt;p&gt;&lt;span&gt;THE INSTALLATION OF ZARD EXHAUST DOES NOT IMPLY ANY&lt;br&gt;MODIFICATION TO ECU.&amp;nbsp;&lt;/span&gt;KIT INCLUDES&amp;nbsp;&lt;span&gt;EXHAUST SERVO ELIMINATOR.&lt;/span&gt;&lt;/p&gt;"/>
    <m/>
    <s v="TITANIUM END-CAP"/>
    <n v="148.28"/>
  </r>
  <r>
    <s v="1586059758-11274"/>
    <s v="https://shop.officineitalianezard.it/en/products/"/>
    <m/>
    <s v="https://shop.officineitalianezard.it/en/ducati-zard-exhaust/"/>
    <s v="PANIGALE V4/V4S"/>
    <s v="https://shop.officineitalianezard.it/en/ducati-panigale-v4-exhaust/"/>
    <s v="DM5 VERSION"/>
    <x v="212"/>
    <s v="FULL KIT"/>
    <s v="ZD1100STKR"/>
    <s v="DUCATI PANIGALE V4/V4 S"/>
    <n v="2692.62"/>
    <n v="2991.8"/>
    <s v="&lt;p&gt;#DM5 RACING KIT WITH REMOVABLE DB KILLERS.&lt;/p&gt;_x000a_&lt;p&gt;THE KIT IS COMPOSED BY STAINLESS STEEL HEADERS&lt;br&gt;AND TITANIUM SILENCERS.&lt;br&gt;FULL TITANIUM VERSION AVAILABLE AS OPTIONAL.&lt;/p&gt;_x000a_&lt;p&gt;ORIGINAL EXHAUST WEIGHT: 9.6 KG&lt;br&gt;ZARD EXHAUST WEIGHT: 5.1&lt;span&gt;&amp;nbsp;&lt;/span&gt;&lt;br&gt;POWER: +16 CV&lt;/p&gt;_x000a_&lt;p&gt;&lt;span&gt;THE INSTALLATION OF ZARD EXHAUST DOES NOT IMPLY ANY&lt;br&gt;MODIFICATION TO ECU.&lt;br&gt;&lt;br&gt;&lt;/span&gt;&lt;span&gt;KIT INCLUDES: AIR FILTER SPRINT FILTER®,&amp;nbsp;&lt;/span&gt;&lt;span&gt;EXHAUST SERVO ELIMINATOR&lt;br&gt;AND RACING UNDERBELLY (WHITE).&lt;/span&gt;&lt;/p&gt;_x000a_&lt;p&gt;&lt;span style=&quot;color: #ff0000;&quot;&gt;&lt;strong&gt;FOR FITTING ZARD DM5 EXHAUST, YOU MUST KEEP&lt;br&gt;DUCATI OEM PRIMARY PIPES.&lt;/strong&gt;&lt;/span&gt;&lt;/p&gt;_x000a_&lt;p&gt;&lt;strong&gt;NOTE&lt;/strong&gt;: PICTURES SHOW THE FIRST DM5 VERSION WITH&lt;br&gt;WELDED ENDCAPS ON SILENCERS.&lt;br&gt;MORE PICTURES&amp;nbsp;WILL BE AVAILABLE SOON!&lt;/p&gt;_x000a_&lt;p&gt;&lt;span&gt;AVAILABLE ON DEMAND ONLY. DELIVERY 4 WORKING WEEKS FROM ORDER.&lt;/span&gt;&lt;/p&gt;"/>
    <s v="https://shop.officineitalianezard.it/contents/imgs/products/1_2532-scarico%20ducati%20panigale%20v4%20zard%20exhaust%201.jpg"/>
    <m/>
    <m/>
  </r>
  <r>
    <s v="1586059758-11275"/>
    <s v="https://shop.officineitalianezard.it/en/products/"/>
    <m/>
    <s v="https://shop.officineitalianezard.it/en/ducati-zard-exhaust/"/>
    <s v="PANIGALE V4/V4S"/>
    <s v="https://shop.officineitalianezard.it/en/ducati-panigale-v4-exhaust/"/>
    <s v="DM5 VERSION"/>
    <x v="212"/>
    <s v="FULL KIT"/>
    <s v="ZD1100STKR"/>
    <s v="DUCATI PANIGALE V4/V4 S"/>
    <n v="2692.62"/>
    <n v="2991.8"/>
    <s v="&lt;p&gt;#DM5 RACING KIT WITH REMOVABLE DB KILLERS.&lt;/p&gt;_x000a_&lt;p&gt;THE KIT IS COMPOSED BY STAINLESS STEEL HEADERS&lt;br&gt;AND TITANIUM SILENCERS.&lt;br&gt;FULL TITANIUM VERSION AVAILABLE AS OPTIONAL.&lt;/p&gt;_x000a_&lt;p&gt;ORIGINAL EXHAUST WEIGHT: 9.6 KG&lt;br&gt;ZARD EXHAUST WEIGHT: 5.1&lt;span&gt;&amp;nbsp;&lt;/span&gt;&lt;br&gt;POWER: +16 CV&lt;/p&gt;_x000a_&lt;p&gt;&lt;span&gt;THE INSTALLATION OF ZARD EXHAUST DOES NOT IMPLY ANY&lt;br&gt;MODIFICATION TO ECU.&lt;br&gt;&lt;br&gt;&lt;/span&gt;&lt;span&gt;KIT INCLUDES: AIR FILTER SPRINT FILTER®,&amp;nbsp;&lt;/span&gt;&lt;span&gt;EXHAUST SERVO ELIMINATOR&lt;br&gt;AND RACING UNDERBELLY (WHITE).&lt;/span&gt;&lt;/p&gt;_x000a_&lt;p&gt;&lt;span style=&quot;color: #ff0000;&quot;&gt;&lt;strong&gt;FOR FITTING ZARD DM5 EXHAUST, YOU MUST KEEP&lt;br&gt;DUCATI OEM PRIMARY PIPES.&lt;/strong&gt;&lt;/span&gt;&lt;/p&gt;_x000a_&lt;p&gt;&lt;strong&gt;NOTE&lt;/strong&gt;: PICTURES SHOW THE FIRST DM5 VERSION WITH&lt;br&gt;WELDED ENDCAPS ON SILENCERS.&lt;br&gt;MORE PICTURES&amp;nbsp;WILL BE AVAILABLE SOON!&lt;/p&gt;_x000a_&lt;p&gt;&lt;span&gt;AVAILABLE ON DEMAND ONLY. DELIVERY 4 WORKING WEEKS FROM ORDER.&lt;/span&gt;&lt;/p&gt;"/>
    <s v="https://shop.officineitalianezard.it/contents/imgs/products/1_2530-scarico%20ducati%20panigale%20v4%20zard%20exhaust%202.jpg"/>
    <m/>
    <m/>
  </r>
  <r>
    <s v="1586059758-11276"/>
    <s v="https://shop.officineitalianezard.it/en/products/"/>
    <m/>
    <s v="https://shop.officineitalianezard.it/en/ducati-zard-exhaust/"/>
    <s v="PANIGALE V4/V4S"/>
    <s v="https://shop.officineitalianezard.it/en/ducati-panigale-v4-exhaust/"/>
    <s v="DM5 VERSION"/>
    <x v="212"/>
    <s v="FULL KIT"/>
    <s v="ZD1100STKR"/>
    <s v="DUCATI PANIGALE V4/V4 S"/>
    <n v="2692.62"/>
    <n v="2991.8"/>
    <s v="&lt;p&gt;#DM5 RACING KIT WITH REMOVABLE DB KILLERS.&lt;/p&gt;_x000a_&lt;p&gt;THE KIT IS COMPOSED BY STAINLESS STEEL HEADERS&lt;br&gt;AND TITANIUM SILENCERS.&lt;br&gt;FULL TITANIUM VERSION AVAILABLE AS OPTIONAL.&lt;/p&gt;_x000a_&lt;p&gt;ORIGINAL EXHAUST WEIGHT: 9.6 KG&lt;br&gt;ZARD EXHAUST WEIGHT: 5.1&lt;span&gt;&amp;nbsp;&lt;/span&gt;&lt;br&gt;POWER: +16 CV&lt;/p&gt;_x000a_&lt;p&gt;&lt;span&gt;THE INSTALLATION OF ZARD EXHAUST DOES NOT IMPLY ANY&lt;br&gt;MODIFICATION TO ECU.&lt;br&gt;&lt;br&gt;&lt;/span&gt;&lt;span&gt;KIT INCLUDES: AIR FILTER SPRINT FILTER®,&amp;nbsp;&lt;/span&gt;&lt;span&gt;EXHAUST SERVO ELIMINATOR&lt;br&gt;AND RACING UNDERBELLY (WHITE).&lt;/span&gt;&lt;/p&gt;_x000a_&lt;p&gt;&lt;span style=&quot;color: #ff0000;&quot;&gt;&lt;strong&gt;FOR FITTING ZARD DM5 EXHAUST, YOU MUST KEEP&lt;br&gt;DUCATI OEM PRIMARY PIPES.&lt;/strong&gt;&lt;/span&gt;&lt;/p&gt;_x000a_&lt;p&gt;&lt;strong&gt;NOTE&lt;/strong&gt;: PICTURES SHOW THE FIRST DM5 VERSION WITH&lt;br&gt;WELDED ENDCAPS ON SILENCERS.&lt;br&gt;MORE PICTURES&amp;nbsp;WILL BE AVAILABLE SOON!&lt;/p&gt;_x000a_&lt;p&gt;&lt;span&gt;AVAILABLE ON DEMAND ONLY. DELIVERY 4 WORKING WEEKS FROM ORDER.&lt;/span&gt;&lt;/p&gt;"/>
    <s v="https://shop.officineitalianezard.it/contents/imgs/products/1_2527-scarico%20ducati%20panigale%20v4%20zard%20exhaust%203.jpg"/>
    <m/>
    <m/>
  </r>
  <r>
    <s v="1586059758-11277"/>
    <s v="https://shop.officineitalianezard.it/en/products/"/>
    <m/>
    <s v="https://shop.officineitalianezard.it/en/ducati-zard-exhaust/"/>
    <s v="PANIGALE V4/V4S"/>
    <s v="https://shop.officineitalianezard.it/en/ducati-panigale-v4-exhaust/"/>
    <s v="DM5 VERSION"/>
    <x v="212"/>
    <s v="FULL KIT"/>
    <s v="ZD1100STKR"/>
    <s v="DUCATI PANIGALE V4/V4 S"/>
    <n v="2692.62"/>
    <n v="2991.8"/>
    <s v="&lt;p&gt;#DM5 RACING KIT WITH REMOVABLE DB KILLERS.&lt;/p&gt;_x000a_&lt;p&gt;THE KIT IS COMPOSED BY STAINLESS STEEL HEADERS&lt;br&gt;AND TITANIUM SILENCERS.&lt;br&gt;FULL TITANIUM VERSION AVAILABLE AS OPTIONAL.&lt;/p&gt;_x000a_&lt;p&gt;ORIGINAL EXHAUST WEIGHT: 9.6 KG&lt;br&gt;ZARD EXHAUST WEIGHT: 5.1&lt;span&gt;&amp;nbsp;&lt;/span&gt;&lt;br&gt;POWER: +16 CV&lt;/p&gt;_x000a_&lt;p&gt;&lt;span&gt;THE INSTALLATION OF ZARD EXHAUST DOES NOT IMPLY ANY&lt;br&gt;MODIFICATION TO ECU.&lt;br&gt;&lt;br&gt;&lt;/span&gt;&lt;span&gt;KIT INCLUDES: AIR FILTER SPRINT FILTER®,&amp;nbsp;&lt;/span&gt;&lt;span&gt;EXHAUST SERVO ELIMINATOR&lt;br&gt;AND RACING UNDERBELLY (WHITE).&lt;/span&gt;&lt;/p&gt;_x000a_&lt;p&gt;&lt;span style=&quot;color: #ff0000;&quot;&gt;&lt;strong&gt;FOR FITTING ZARD DM5 EXHAUST, YOU MUST KEEP&lt;br&gt;DUCATI OEM PRIMARY PIPES.&lt;/strong&gt;&lt;/span&gt;&lt;/p&gt;_x000a_&lt;p&gt;&lt;strong&gt;NOTE&lt;/strong&gt;: PICTURES SHOW THE FIRST DM5 VERSION WITH&lt;br&gt;WELDED ENDCAPS ON SILENCERS.&lt;br&gt;MORE PICTURES&amp;nbsp;WILL BE AVAILABLE SOON!&lt;/p&gt;_x000a_&lt;p&gt;&lt;span&gt;AVAILABLE ON DEMAND ONLY. DELIVERY 4 WORKING WEEKS FROM ORDER.&lt;/span&gt;&lt;/p&gt;"/>
    <s v="https://shop.officineitalianezard.it/contents/imgs/products/1_2531-scarico%20ducati%20panigale%20v4%20zard%20exhaust%205.jpg"/>
    <m/>
    <m/>
  </r>
  <r>
    <s v="1586059758-11278"/>
    <s v="https://shop.officineitalianezard.it/en/products/"/>
    <m/>
    <s v="https://shop.officineitalianezard.it/en/ducati-zard-exhaust/"/>
    <s v="PANIGALE V4/V4S"/>
    <s v="https://shop.officineitalianezard.it/en/ducati-panigale-v4-exhaust/"/>
    <s v="DM5 VERSION"/>
    <x v="212"/>
    <s v="FULL KIT"/>
    <s v="ZD1100STKR"/>
    <s v="DUCATI PANIGALE V4/V4 S"/>
    <n v="2692.62"/>
    <n v="2991.8"/>
    <s v="&lt;p&gt;#DM5 RACING KIT WITH REMOVABLE DB KILLERS.&lt;/p&gt;_x000a_&lt;p&gt;THE KIT IS COMPOSED BY STAINLESS STEEL HEADERS&lt;br&gt;AND TITANIUM SILENCERS.&lt;br&gt;FULL TITANIUM VERSION AVAILABLE AS OPTIONAL.&lt;/p&gt;_x000a_&lt;p&gt;ORIGINAL EXHAUST WEIGHT: 9.6 KG&lt;br&gt;ZARD EXHAUST WEIGHT: 5.1&lt;span&gt;&amp;nbsp;&lt;/span&gt;&lt;br&gt;POWER: +16 CV&lt;/p&gt;_x000a_&lt;p&gt;&lt;span&gt;THE INSTALLATION OF ZARD EXHAUST DOES NOT IMPLY ANY&lt;br&gt;MODIFICATION TO ECU.&lt;br&gt;&lt;br&gt;&lt;/span&gt;&lt;span&gt;KIT INCLUDES: AIR FILTER SPRINT FILTER®,&amp;nbsp;&lt;/span&gt;&lt;span&gt;EXHAUST SERVO ELIMINATOR&lt;br&gt;AND RACING UNDERBELLY (WHITE).&lt;/span&gt;&lt;/p&gt;_x000a_&lt;p&gt;&lt;span style=&quot;color: #ff0000;&quot;&gt;&lt;strong&gt;FOR FITTING ZARD DM5 EXHAUST, YOU MUST KEEP&lt;br&gt;DUCATI OEM PRIMARY PIPES.&lt;/strong&gt;&lt;/span&gt;&lt;/p&gt;_x000a_&lt;p&gt;&lt;strong&gt;NOTE&lt;/strong&gt;: PICTURES SHOW THE FIRST DM5 VERSION WITH&lt;br&gt;WELDED ENDCAPS ON SILENCERS.&lt;br&gt;MORE PICTURES&amp;nbsp;WILL BE AVAILABLE SOON!&lt;/p&gt;_x000a_&lt;p&gt;&lt;span&gt;AVAILABLE ON DEMAND ONLY. DELIVERY 4 WORKING WEEKS FROM ORDER.&lt;/span&gt;&lt;/p&gt;"/>
    <s v="https://shop.officineitalianezard.it/contents/imgs/products/1_2529-scarico%20ducati%20panigale%20v4%20zard%20exhaust%206.jpg"/>
    <m/>
    <m/>
  </r>
  <r>
    <s v="1586059758-11279"/>
    <s v="https://shop.officineitalianezard.it/en/products/"/>
    <m/>
    <s v="https://shop.officineitalianezard.it/en/ducati-zard-exhaust/"/>
    <s v="PANIGALE V4/V4S"/>
    <s v="https://shop.officineitalianezard.it/en/ducati-panigale-v4-exhaust/"/>
    <s v="DM5 VERSION"/>
    <x v="212"/>
    <s v="FULL KIT"/>
    <s v="ZD1100STKR"/>
    <s v="DUCATI PANIGALE V4/V4 S"/>
    <n v="2692.62"/>
    <n v="2991.8"/>
    <s v="&lt;p&gt;#DM5 RACING KIT WITH REMOVABLE DB KILLERS.&lt;/p&gt;_x000a_&lt;p&gt;THE KIT IS COMPOSED BY STAINLESS STEEL HEADERS&lt;br&gt;AND TITANIUM SILENCERS.&lt;br&gt;FULL TITANIUM VERSION AVAILABLE AS OPTIONAL.&lt;/p&gt;_x000a_&lt;p&gt;ORIGINAL EXHAUST WEIGHT: 9.6 KG&lt;br&gt;ZARD EXHAUST WEIGHT: 5.1&lt;span&gt;&amp;nbsp;&lt;/span&gt;&lt;br&gt;POWER: +16 CV&lt;/p&gt;_x000a_&lt;p&gt;&lt;span&gt;THE INSTALLATION OF ZARD EXHAUST DOES NOT IMPLY ANY&lt;br&gt;MODIFICATION TO ECU.&lt;br&gt;&lt;br&gt;&lt;/span&gt;&lt;span&gt;KIT INCLUDES: AIR FILTER SPRINT FILTER®,&amp;nbsp;&lt;/span&gt;&lt;span&gt;EXHAUST SERVO ELIMINATOR&lt;br&gt;AND RACING UNDERBELLY (WHITE).&lt;/span&gt;&lt;/p&gt;_x000a_&lt;p&gt;&lt;span style=&quot;color: #ff0000;&quot;&gt;&lt;strong&gt;FOR FITTING ZARD DM5 EXHAUST, YOU MUST KEEP&lt;br&gt;DUCATI OEM PRIMARY PIPES.&lt;/strong&gt;&lt;/span&gt;&lt;/p&gt;_x000a_&lt;p&gt;&lt;strong&gt;NOTE&lt;/strong&gt;: PICTURES SHOW THE FIRST DM5 VERSION WITH&lt;br&gt;WELDED ENDCAPS ON SILENCERS.&lt;br&gt;MORE PICTURES&amp;nbsp;WILL BE AVAILABLE SOON!&lt;/p&gt;_x000a_&lt;p&gt;&lt;span&gt;AVAILABLE ON DEMAND ONLY. DELIVERY 4 WORKING WEEKS FROM ORDER.&lt;/span&gt;&lt;/p&gt;"/>
    <s v="https://shop.officineitalianezard.it/contents/imgs/products/1_2528-scarico%20ducati%20panigale%20v4%20zard%20exhaust%204.jpg"/>
    <m/>
    <m/>
  </r>
  <r>
    <s v="1586059758-11280"/>
    <s v="https://shop.officineitalianezard.it/en/products/"/>
    <m/>
    <s v="https://shop.officineitalianezard.it/en/ducati-zard-exhaust/"/>
    <s v="PANIGALE V4/V4S"/>
    <s v="https://shop.officineitalianezard.it/en/ducati-panigale-v4-exhaust/"/>
    <s v="DM5 VERSION"/>
    <x v="212"/>
    <s v="FULL KIT"/>
    <s v="ZD1100STKR"/>
    <s v="DUCATI PANIGALE V4/V4 S"/>
    <n v="2692.62"/>
    <n v="2991.8"/>
    <s v="&lt;p&gt;#DM5 RACING KIT WITH REMOVABLE DB KILLERS.&lt;/p&gt;_x000a_&lt;p&gt;THE KIT IS COMPOSED BY STAINLESS STEEL HEADERS&lt;br&gt;AND TITANIUM SILENCERS.&lt;br&gt;FULL TITANIUM VERSION AVAILABLE AS OPTIONAL.&lt;/p&gt;_x000a_&lt;p&gt;ORIGINAL EXHAUST WEIGHT: 9.6 KG&lt;br&gt;ZARD EXHAUST WEIGHT: 5.1&lt;span&gt;&amp;nbsp;&lt;/span&gt;&lt;br&gt;POWER: +16 CV&lt;/p&gt;_x000a_&lt;p&gt;&lt;span&gt;THE INSTALLATION OF ZARD EXHAUST DOES NOT IMPLY ANY&lt;br&gt;MODIFICATION TO ECU.&lt;br&gt;&lt;br&gt;&lt;/span&gt;&lt;span&gt;KIT INCLUDES: AIR FILTER SPRINT FILTER®,&amp;nbsp;&lt;/span&gt;&lt;span&gt;EXHAUST SERVO ELIMINATOR&lt;br&gt;AND RACING UNDERBELLY (WHITE).&lt;/span&gt;&lt;/p&gt;_x000a_&lt;p&gt;&lt;span style=&quot;color: #ff0000;&quot;&gt;&lt;strong&gt;FOR FITTING ZARD DM5 EXHAUST, YOU MUST KEEP&lt;br&gt;DUCATI OEM PRIMARY PIPES.&lt;/strong&gt;&lt;/span&gt;&lt;/p&gt;_x000a_&lt;p&gt;&lt;strong&gt;NOTE&lt;/strong&gt;: PICTURES SHOW THE FIRST DM5 VERSION WITH&lt;br&gt;WELDED ENDCAPS ON SILENCERS.&lt;br&gt;MORE PICTURES&amp;nbsp;WILL BE AVAILABLE SOON!&lt;/p&gt;_x000a_&lt;p&gt;&lt;span&gt;AVAILABLE ON DEMAND ONLY. DELIVERY 4 WORKING WEEKS FROM ORDER.&lt;/span&gt;&lt;/p&gt;"/>
    <m/>
    <s v="FULL TITANIUM"/>
    <n v="405.74"/>
  </r>
  <r>
    <s v="1586059762-11281"/>
    <s v="https://shop.officineitalianezard.it/en/products/"/>
    <m/>
    <s v="https://shop.officineitalianezard.it/en/ducati-zard-exhaust/"/>
    <s v="MULTISTRADA 950 2018-2019"/>
    <s v="https://shop.officineitalianezard.it/en/ducati-multistrada-950-exhaust-zard/"/>
    <s v="SHORT VERSION"/>
    <x v="213"/>
    <s v="SLIP-ON SILENCER"/>
    <s v="ZD022STR-FC"/>
    <s v="DUCATI MULTISTRADA 950"/>
    <n v="516.39"/>
    <n v="573.77"/>
    <s v="&lt;p&gt;STAINLESS STEEL RACING SLIP-ON WITH TITANIUM&lt;br&gt;SLEEVE SILENCER AND REMOVABLE DB KILLER&lt;/p&gt;_x000a_&lt;p&gt;CARBON ENDCAP INCLUDED&lt;br&gt; &lt;br&gt;ORIGINAL EXHAUST WEIGHT: 2.6 KG&lt;br&gt;ZARD EXHAUST WEIGHT: 1 KG&lt;/p&gt;_x000a_&lt;p&gt;THE INSTALLATION OF ZARD EXHAUST DOES NOT&lt;br&gt;IMPLY ANY MODIFICATION TO ECU.&lt;/p&gt;_x000a_&lt;p&gt;&lt;span&gt;EXCLUSIVE DESIGN,&amp;nbsp;ASTONISHING SOUND.&lt;/span&gt;&lt;/p&gt;"/>
    <s v="https://shop.officineitalianezard.it/contents/imgs/products/1_2614-scarico%20ducati%20multistrada%20950%20-%20zard%20exhaust%201.jpg"/>
    <m/>
    <m/>
  </r>
  <r>
    <s v="1586059762-11282"/>
    <s v="https://shop.officineitalianezard.it/en/products/"/>
    <m/>
    <s v="https://shop.officineitalianezard.it/en/ducati-zard-exhaust/"/>
    <s v="MULTISTRADA 950 2018-2019"/>
    <s v="https://shop.officineitalianezard.it/en/ducati-multistrada-950-exhaust-zard/"/>
    <s v="SHORT VERSION"/>
    <x v="213"/>
    <s v="SLIP-ON SILENCER"/>
    <s v="ZD022STR-FC"/>
    <s v="DUCATI MULTISTRADA 950"/>
    <n v="516.39"/>
    <n v="573.77"/>
    <s v="&lt;p&gt;STAINLESS STEEL RACING SLIP-ON WITH TITANIUM&lt;br&gt;SLEEVE SILENCER AND REMOVABLE DB KILLER&lt;/p&gt;_x000a_&lt;p&gt;CARBON ENDCAP INCLUDED&lt;br&gt; &lt;br&gt;ORIGINAL EXHAUST WEIGHT: 2.6 KG&lt;br&gt;ZARD EXHAUST WEIGHT: 1 KG&lt;/p&gt;_x000a_&lt;p&gt;THE INSTALLATION OF ZARD EXHAUST DOES NOT&lt;br&gt;IMPLY ANY MODIFICATION TO ECU.&lt;/p&gt;_x000a_&lt;p&gt;&lt;span&gt;EXCLUSIVE DESIGN,&amp;nbsp;ASTONISHING SOUND.&lt;/span&gt;&lt;/p&gt;"/>
    <s v="https://shop.officineitalianezard.it/contents/imgs/products/1_2615-scarico%20ducati%20multistrada%20950%20-%20zard%20exhaust%202.jpg"/>
    <m/>
    <m/>
  </r>
  <r>
    <s v="1586059762-11283"/>
    <s v="https://shop.officineitalianezard.it/en/products/"/>
    <m/>
    <s v="https://shop.officineitalianezard.it/en/ducati-zard-exhaust/"/>
    <s v="MULTISTRADA 950 2018-2019"/>
    <s v="https://shop.officineitalianezard.it/en/ducati-multistrada-950-exhaust-zard/"/>
    <s v="SHORT VERSION"/>
    <x v="213"/>
    <s v="SLIP-ON SILENCER"/>
    <s v="ZD022STR-FC"/>
    <s v="DUCATI MULTISTRADA 950"/>
    <n v="516.39"/>
    <n v="573.77"/>
    <s v="&lt;p&gt;STAINLESS STEEL RACING SLIP-ON WITH TITANIUM&lt;br&gt;SLEEVE SILENCER AND REMOVABLE DB KILLER&lt;/p&gt;_x000a_&lt;p&gt;CARBON ENDCAP INCLUDED&lt;br&gt; &lt;br&gt;ORIGINAL EXHAUST WEIGHT: 2.6 KG&lt;br&gt;ZARD EXHAUST WEIGHT: 1 KG&lt;/p&gt;_x000a_&lt;p&gt;THE INSTALLATION OF ZARD EXHAUST DOES NOT&lt;br&gt;IMPLY ANY MODIFICATION TO ECU.&lt;/p&gt;_x000a_&lt;p&gt;&lt;span&gt;EXCLUSIVE DESIGN,&amp;nbsp;ASTONISHING SOUND.&lt;/span&gt;&lt;/p&gt;"/>
    <s v="https://shop.officineitalianezard.it/contents/imgs/products/1_2616-scarico%20ducati%20multistrada%20950%20-%20zard%20exhaust%203.jpg"/>
    <m/>
    <m/>
  </r>
  <r>
    <s v="1586059767-11284"/>
    <s v="https://shop.officineitalianezard.it/en/products/"/>
    <m/>
    <s v="https://shop.officineitalianezard.it/en/ducati-zard-exhaust/"/>
    <s v="MONSTER S4RS - T. STRETTA"/>
    <s v="https://shop.officineitalianezard.it/en/ducati-monster-s4rs-t-stretta-exhaust/"/>
    <s v="OVERLAPPED VERSION"/>
    <x v="214"/>
    <s v="SILENCERS"/>
    <s v="ZD028HSR-1"/>
    <s v="DUCATI MONSTER S4RS / TESTA STRETTA"/>
    <n v="672.05"/>
    <n v="746.72"/>
    <s v="&lt;p&gt;N.2 STEEL CARBON SILENCERS RACING WITH REMOVABLE DB KILLER&lt;/p&gt;_x000a_&lt;p&gt;ZARD SILENCERS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s v="https://shop.officineitalianezard.it/contents/imgs/products/1_407-ducati-monster-s4r-laterale.jpg"/>
    <m/>
    <m/>
  </r>
  <r>
    <s v="1586059767-11285"/>
    <s v="https://shop.officineitalianezard.it/en/products/"/>
    <m/>
    <s v="https://shop.officineitalianezard.it/en/ducati-zard-exhaust/"/>
    <s v="MONSTER S4RS - T. STRETTA"/>
    <s v="https://shop.officineitalianezard.it/en/ducati-monster-s4rs-t-stretta-exhaust/"/>
    <s v="OVERLAPPED VERSION"/>
    <x v="214"/>
    <s v="SILENCERS"/>
    <s v="ZD028HSR-1"/>
    <s v="DUCATI MONSTER S4RS / TESTA STRETTA"/>
    <n v="672.05"/>
    <n v="746.72"/>
    <s v="&lt;p&gt;N.2 STEEL CARBON SILENCERS RACING WITH REMOVABLE DB KILLER&lt;/p&gt;_x000a_&lt;p&gt;ZARD SILENCERS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EURO 3 HOMOLOGATED"/>
    <n v="42.05"/>
  </r>
  <r>
    <s v="1586059767-11286"/>
    <s v="https://shop.officineitalianezard.it/en/products/"/>
    <m/>
    <s v="https://shop.officineitalianezard.it/en/ducati-zard-exhaust/"/>
    <s v="MONSTER S4RS - T. STRETTA"/>
    <s v="https://shop.officineitalianezard.it/en/ducati-monster-s4rs-t-stretta-exhaust/"/>
    <s v="OVERLAPPED VERSION"/>
    <x v="214"/>
    <s v="SILENCERS"/>
    <s v="ZD028HSR-1"/>
    <s v="DUCATI MONSTER S4RS / TESTA STRETTA"/>
    <n v="672.05"/>
    <n v="746.72"/>
    <s v="&lt;p&gt;N.2 STEEL CARBON SILENCERS RACING WITH REMOVABLE DB KILLER&lt;/p&gt;_x000a_&lt;p&gt;ZARD SILENCERS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FULL TITANIUM RACING"/>
    <n v="0"/>
  </r>
  <r>
    <s v="1586059767-11287"/>
    <s v="https://shop.officineitalianezard.it/en/products/"/>
    <m/>
    <s v="https://shop.officineitalianezard.it/en/ducati-zard-exhaust/"/>
    <s v="MONSTER S4RS - T. STRETTA"/>
    <s v="https://shop.officineitalianezard.it/en/ducati-monster-s4rs-t-stretta-exhaust/"/>
    <s v="OVERLAPPED VERSION"/>
    <x v="214"/>
    <s v="SILENCERS"/>
    <s v="ZD028HSR-1"/>
    <s v="DUCATI MONSTER S4RS / TESTA STRETTA"/>
    <n v="672.05"/>
    <n v="746.72"/>
    <s v="&lt;p&gt;N.2 STEEL CARBON SILENCERS RACING WITH REMOVABLE DB KILLER&lt;/p&gt;_x000a_&lt;p&gt;ZARD SILENCERS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BLACK ENDCAP"/>
    <n v="46.48"/>
  </r>
  <r>
    <s v="1586059770-11288"/>
    <s v="https://shop.officineitalianezard.it/en/products/"/>
    <m/>
    <s v="https://shop.officineitalianezard.it/en/ducati-zard-exhaust/"/>
    <s v="MONSTER S4RS - T. STRETTA"/>
    <s v="https://shop.officineitalianezard.it/en/ducati-monster-s4rs-t-stretta-exhaust/"/>
    <s v="LH-RH VERSION"/>
    <x v="215"/>
    <s v="HIGHT MOUNTED SILENCERS"/>
    <s v="ZD028LSR-1"/>
    <s v="DUCATI MONSTER S4RS / TESTA STRETTA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s v="https://shop.officineitalianezard.it/contents/imgs/products/1_397-monsters4r2.jpg"/>
    <m/>
    <m/>
  </r>
  <r>
    <s v="1586059770-11289"/>
    <s v="https://shop.officineitalianezard.it/en/products/"/>
    <m/>
    <s v="https://shop.officineitalianezard.it/en/ducati-zard-exhaust/"/>
    <s v="MONSTER S4RS - T. STRETTA"/>
    <s v="https://shop.officineitalianezard.it/en/ducati-monster-s4rs-t-stretta-exhaust/"/>
    <s v="LH-RH VERSION"/>
    <x v="215"/>
    <s v="HIGHT MOUNTED SILENCERS"/>
    <s v="ZD028LSR-1"/>
    <s v="DUCATI MONSTER S4RS / TESTA STRETTA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s v="https://shop.officineitalianezard.it/contents/imgs/products/1_395-ducati-monster.jpg"/>
    <m/>
    <m/>
  </r>
  <r>
    <s v="1586059770-11290"/>
    <s v="https://shop.officineitalianezard.it/en/products/"/>
    <m/>
    <s v="https://shop.officineitalianezard.it/en/ducati-zard-exhaust/"/>
    <s v="MONSTER S4RS - T. STRETTA"/>
    <s v="https://shop.officineitalianezard.it/en/ducati-monster-s4rs-t-stretta-exhaust/"/>
    <s v="LH-RH VERSION"/>
    <x v="215"/>
    <s v="HIGHT MOUNTED SILENCERS"/>
    <s v="ZD028LSR-1"/>
    <s v="DUCATI MONSTER S4RS / TESTA STRETTA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s v="https://shop.officineitalianezard.it/contents/imgs/products/1_396-monsters4r1.jpg"/>
    <m/>
    <m/>
  </r>
  <r>
    <s v="1586059770-11291"/>
    <s v="https://shop.officineitalianezard.it/en/products/"/>
    <m/>
    <s v="https://shop.officineitalianezard.it/en/ducati-zard-exhaust/"/>
    <s v="MONSTER S4RS - T. STRETTA"/>
    <s v="https://shop.officineitalianezard.it/en/ducati-monster-s4rs-t-stretta-exhaust/"/>
    <s v="LH-RH VERSION"/>
    <x v="215"/>
    <s v="HIGHT MOUNTED SILENCERS"/>
    <s v="ZD028LSR-1"/>
    <s v="DUCATI MONSTER S4RS / TESTA STRETTA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m/>
    <s v="EURO 3 HOMOLOGATED"/>
    <n v="53.85"/>
  </r>
  <r>
    <s v="1586059770-11292"/>
    <s v="https://shop.officineitalianezard.it/en/products/"/>
    <m/>
    <s v="https://shop.officineitalianezard.it/en/ducati-zard-exhaust/"/>
    <s v="MONSTER S4RS - T. STRETTA"/>
    <s v="https://shop.officineitalianezard.it/en/ducati-monster-s4rs-t-stretta-exhaust/"/>
    <s v="LH-RH VERSION"/>
    <x v="215"/>
    <s v="HIGHT MOUNTED SILENCERS"/>
    <s v="ZD028LSR-1"/>
    <s v="DUCATI MONSTER S4RS / TESTA STRETTA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m/>
    <s v="FULL TITANIUM RACING"/>
    <n v="0"/>
  </r>
  <r>
    <s v="1586059770-11293"/>
    <s v="https://shop.officineitalianezard.it/en/products/"/>
    <m/>
    <s v="https://shop.officineitalianezard.it/en/ducati-zard-exhaust/"/>
    <s v="MONSTER S4RS - T. STRETTA"/>
    <s v="https://shop.officineitalianezard.it/en/ducati-monster-s4rs-t-stretta-exhaust/"/>
    <s v="LH-RH VERSION"/>
    <x v="215"/>
    <s v="HIGHT MOUNTED SILENCERS"/>
    <s v="ZD028LSR-1"/>
    <s v="DUCATI MONSTER S4RS / TESTA STRETTA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m/>
    <s v="BLACK ENDCAP"/>
    <n v="46.48"/>
  </r>
  <r>
    <s v="1586059772-11294"/>
    <s v="https://shop.officineitalianezard.it/en/products/"/>
    <m/>
    <s v="https://shop.officineitalianezard.it/en/ducati-zard-exhaust/"/>
    <s v="MONSTER S4RS - T. STRETTA"/>
    <s v="https://shop.officineitalianezard.it/en/ducati-monster-s4rs-t-stretta-exhaust/"/>
    <s v="2&gt;2 LH-RH VERSION"/>
    <x v="216"/>
    <s v="HEADER KIT + HIGHT MOUNTED SILENCERS"/>
    <s v="ZD020SKR"/>
    <s v="DUCATI MONSTER S4RS / TESTA STRETTA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s v="https://shop.officineitalianezard.it/contents/imgs/products/1_393-monsters4r1.jpg"/>
    <m/>
    <m/>
  </r>
  <r>
    <s v="1586059772-11295"/>
    <s v="https://shop.officineitalianezard.it/en/products/"/>
    <m/>
    <s v="https://shop.officineitalianezard.it/en/ducati-zard-exhaust/"/>
    <s v="MONSTER S4RS - T. STRETTA"/>
    <s v="https://shop.officineitalianezard.it/en/ducati-monster-s4rs-t-stretta-exhaust/"/>
    <s v="2&gt;2 LH-RH VERSION"/>
    <x v="216"/>
    <s v="HEADER KIT + HIGHT MOUNTED SILENCERS"/>
    <s v="ZD020SKR"/>
    <s v="DUCATI MONSTER S4RS / TESTA STRETTA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s v="https://shop.officineitalianezard.it/contents/imgs/products/1_392-ducati-monster.jpg"/>
    <m/>
    <m/>
  </r>
  <r>
    <s v="1586059772-11296"/>
    <s v="https://shop.officineitalianezard.it/en/products/"/>
    <m/>
    <s v="https://shop.officineitalianezard.it/en/ducati-zard-exhaust/"/>
    <s v="MONSTER S4RS - T. STRETTA"/>
    <s v="https://shop.officineitalianezard.it/en/ducati-monster-s4rs-t-stretta-exhaust/"/>
    <s v="2&gt;2 LH-RH VERSION"/>
    <x v="216"/>
    <s v="HEADER KIT + HIGHT MOUNTED SILENCERS"/>
    <s v="ZD020SKR"/>
    <s v="DUCATI MONSTER S4RS / TESTA STRETTA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s v="https://shop.officineitalianezard.it/contents/imgs/products/1_394-monsters4r2.jpg"/>
    <m/>
    <m/>
  </r>
  <r>
    <s v="1586059772-11297"/>
    <s v="https://shop.officineitalianezard.it/en/products/"/>
    <m/>
    <s v="https://shop.officineitalianezard.it/en/ducati-zard-exhaust/"/>
    <s v="MONSTER S4RS - T. STRETTA"/>
    <s v="https://shop.officineitalianezard.it/en/ducati-monster-s4rs-t-stretta-exhaust/"/>
    <s v="2&gt;2 LH-RH VERSION"/>
    <x v="216"/>
    <s v="HEADER KIT + HIGHT MOUNTED SILENCERS"/>
    <s v="ZD020SKR"/>
    <s v="DUCATI MONSTER S4RS / TESTA STRETTA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EURO 3 HOMOLOGATED"/>
    <n v="53.85"/>
  </r>
  <r>
    <s v="1586059772-11298"/>
    <s v="https://shop.officineitalianezard.it/en/products/"/>
    <m/>
    <s v="https://shop.officineitalianezard.it/en/ducati-zard-exhaust/"/>
    <s v="MONSTER S4RS - T. STRETTA"/>
    <s v="https://shop.officineitalianezard.it/en/ducati-monster-s4rs-t-stretta-exhaust/"/>
    <s v="2&gt;2 LH-RH VERSION"/>
    <x v="216"/>
    <s v="HEADER KIT + HIGHT MOUNTED SILENCERS"/>
    <s v="ZD020SKR"/>
    <s v="DUCATI MONSTER S4RS / TESTA STRETTA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STEEL TITANIUM RACING"/>
    <n v="0"/>
  </r>
  <r>
    <s v="1586059772-11299"/>
    <s v="https://shop.officineitalianezard.it/en/products/"/>
    <m/>
    <s v="https://shop.officineitalianezard.it/en/ducati-zard-exhaust/"/>
    <s v="MONSTER S4RS - T. STRETTA"/>
    <s v="https://shop.officineitalianezard.it/en/ducati-monster-s4rs-t-stretta-exhaust/"/>
    <s v="2&gt;2 LH-RH VERSION"/>
    <x v="216"/>
    <s v="HEADER KIT + HIGHT MOUNTED SILENCERS"/>
    <s v="ZD020SKR"/>
    <s v="DUCATI MONSTER S4RS / TESTA STRETTA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BLACK ENDCAP"/>
    <n v="46.48"/>
  </r>
  <r>
    <s v="1586059779-11300"/>
    <s v="https://shop.officineitalianezard.it/en/products/"/>
    <m/>
    <s v="https://shop.officineitalianezard.it/en/ducati-zard-exhaust/"/>
    <s v="MONSTER S4R"/>
    <s v="https://shop.officineitalianezard.it/en/ducati-monster-s4r-exhaust/"/>
    <s v="LH-RH VERSION"/>
    <x v="217"/>
    <s v="HIGHT MOUNTED SILENCERS"/>
    <s v="ZD024LSR-1"/>
    <s v="DUCATI MONSTER S2R 1000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s v="https://shop.officineitalianezard.it/contents/imgs/products/1_380-monsters2r10003.jpg"/>
    <m/>
    <m/>
  </r>
  <r>
    <s v="1586059779-11301"/>
    <s v="https://shop.officineitalianezard.it/en/products/"/>
    <m/>
    <s v="https://shop.officineitalianezard.it/en/ducati-zard-exhaust/"/>
    <s v="MONSTER S4R"/>
    <s v="https://shop.officineitalianezard.it/en/ducati-monster-s4r-exhaust/"/>
    <s v="LH-RH VERSION"/>
    <x v="217"/>
    <s v="HIGHT MOUNTED SILENCERS"/>
    <s v="ZD024LSR-1"/>
    <s v="DUCATI MONSTER S2R 1000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s v="https://shop.officineitalianezard.it/contents/imgs/products/1_379-ducati-monster.jpg"/>
    <m/>
    <m/>
  </r>
  <r>
    <s v="1586059779-11302"/>
    <s v="https://shop.officineitalianezard.it/en/products/"/>
    <m/>
    <s v="https://shop.officineitalianezard.it/en/ducati-zard-exhaust/"/>
    <s v="MONSTER S4R"/>
    <s v="https://shop.officineitalianezard.it/en/ducati-monster-s4r-exhaust/"/>
    <s v="LH-RH VERSION"/>
    <x v="217"/>
    <s v="HIGHT MOUNTED SILENCERS"/>
    <s v="ZD024LSR-1"/>
    <s v="DUCATI MONSTER S2R 1000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m/>
    <s v="EURO 3 HOMOLOGATED"/>
    <n v="54.59"/>
  </r>
  <r>
    <s v="1586059779-11303"/>
    <s v="https://shop.officineitalianezard.it/en/products/"/>
    <m/>
    <s v="https://shop.officineitalianezard.it/en/ducati-zard-exhaust/"/>
    <s v="MONSTER S4R"/>
    <s v="https://shop.officineitalianezard.it/en/ducati-monster-s4r-exhaust/"/>
    <s v="LH-RH VERSION"/>
    <x v="217"/>
    <s v="HIGHT MOUNTED SILENCERS"/>
    <s v="ZD024LSR-1"/>
    <s v="DUCATI MONSTER S2R 1000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m/>
    <s v="FULL TITANIUM RACING"/>
    <n v="0"/>
  </r>
  <r>
    <s v="1586059779-11304"/>
    <s v="https://shop.officineitalianezard.it/en/products/"/>
    <m/>
    <s v="https://shop.officineitalianezard.it/en/ducati-zard-exhaust/"/>
    <s v="MONSTER S4R"/>
    <s v="https://shop.officineitalianezard.it/en/ducati-monster-s4r-exhaust/"/>
    <s v="LH-RH VERSION"/>
    <x v="217"/>
    <s v="HIGHT MOUNTED SILENCERS"/>
    <s v="ZD024LSR-1"/>
    <s v="DUCATI MONSTER S2R 1000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m/>
    <s v="BLACK ENDCAP"/>
    <n v="46.48"/>
  </r>
  <r>
    <s v="1586059782-11305"/>
    <s v="https://shop.officineitalianezard.it/en/products/"/>
    <m/>
    <s v="https://shop.officineitalianezard.it/en/ducati-zard-exhaust/"/>
    <s v="MONSTER S4R"/>
    <s v="https://shop.officineitalianezard.it/en/ducati-monster-s4r-exhaust/"/>
    <s v="2&gt;2 LH-RH VERSION"/>
    <x v="218"/>
    <s v="HEADER KIT + HIGHT MOUNTED SILENCERS"/>
    <s v="ZD017SKR"/>
    <s v="DUCATI MONSTER S2R 1000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s v="https://shop.officineitalianezard.it/contents/imgs/products/1_377-monsters2r10003.jpg"/>
    <m/>
    <m/>
  </r>
  <r>
    <s v="1586059782-11306"/>
    <s v="https://shop.officineitalianezard.it/en/products/"/>
    <m/>
    <s v="https://shop.officineitalianezard.it/en/ducati-zard-exhaust/"/>
    <s v="MONSTER S4R"/>
    <s v="https://shop.officineitalianezard.it/en/ducati-monster-s4r-exhaust/"/>
    <s v="2&gt;2 LH-RH VERSION"/>
    <x v="218"/>
    <s v="HEADER KIT + HIGHT MOUNTED SILENCERS"/>
    <s v="ZD017SKR"/>
    <s v="DUCATI MONSTER S2R 1000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s v="https://shop.officineitalianezard.it/contents/imgs/products/1_376-ducati-monster.jpg"/>
    <m/>
    <m/>
  </r>
  <r>
    <s v="1586059782-11307"/>
    <s v="https://shop.officineitalianezard.it/en/products/"/>
    <m/>
    <s v="https://shop.officineitalianezard.it/en/ducati-zard-exhaust/"/>
    <s v="MONSTER S4R"/>
    <s v="https://shop.officineitalianezard.it/en/ducati-monster-s4r-exhaust/"/>
    <s v="2&gt;2 LH-RH VERSION"/>
    <x v="218"/>
    <s v="HEADER KIT + HIGHT MOUNTED SILENCERS"/>
    <s v="ZD017SKR"/>
    <s v="DUCATI MONSTER S2R 1000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s v="https://shop.officineitalianezard.it/contents/imgs/products/1_378-monsters2r10002.jpg"/>
    <m/>
    <m/>
  </r>
  <r>
    <s v="1586059782-11308"/>
    <s v="https://shop.officineitalianezard.it/en/products/"/>
    <m/>
    <s v="https://shop.officineitalianezard.it/en/ducati-zard-exhaust/"/>
    <s v="MONSTER S4R"/>
    <s v="https://shop.officineitalianezard.it/en/ducati-monster-s4r-exhaust/"/>
    <s v="2&gt;2 LH-RH VERSION"/>
    <x v="218"/>
    <s v="HEADER KIT + HIGHT MOUNTED SILENCERS"/>
    <s v="ZD017SKR"/>
    <s v="DUCATI MONSTER S2R 1000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STEEL TITANIUM RACING"/>
    <n v="0"/>
  </r>
  <r>
    <s v="1586059782-11309"/>
    <s v="https://shop.officineitalianezard.it/en/products/"/>
    <m/>
    <s v="https://shop.officineitalianezard.it/en/ducati-zard-exhaust/"/>
    <s v="MONSTER S4R"/>
    <s v="https://shop.officineitalianezard.it/en/ducati-monster-s4r-exhaust/"/>
    <s v="2&gt;2 LH-RH VERSION"/>
    <x v="218"/>
    <s v="HEADER KIT + HIGHT MOUNTED SILENCERS"/>
    <s v="ZD017SKR"/>
    <s v="DUCATI MONSTER S2R 1000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BLACK ENDCAP"/>
    <n v="46.48"/>
  </r>
  <r>
    <s v="1586059787-11310"/>
    <s v="https://shop.officineitalianezard.it/en/products/"/>
    <m/>
    <s v="https://shop.officineitalianezard.it/en/ducati-zard-exhaust/"/>
    <s v="MONSTER S2R 1000"/>
    <s v="https://shop.officineitalianezard.it/en/ducati-monster-s2r-1000-exhaust/"/>
    <s v="OVERLAPPED VERSION"/>
    <x v="219"/>
    <s v="SILENCERS"/>
    <s v="ZD024HSR-1"/>
    <s v="DUCATI MONSTER S2R 1000"/>
    <n v="672.05"/>
    <n v="746.72"/>
    <s v="&lt;p&gt;N.2 STEEL CARBON SILENCERS RACING WITH REMOVABLE DB KILLER&lt;/p&gt;_x000a_&lt;p&gt;ZARD SILENCERS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s v="https://shop.officineitalianezard.it/contents/imgs/products/1_388-monstersovrapp-1.jpg"/>
    <m/>
    <m/>
  </r>
  <r>
    <s v="1586059787-11311"/>
    <s v="https://shop.officineitalianezard.it/en/products/"/>
    <m/>
    <s v="https://shop.officineitalianezard.it/en/ducati-zard-exhaust/"/>
    <s v="MONSTER S2R 1000"/>
    <s v="https://shop.officineitalianezard.it/en/ducati-monster-s2r-1000-exhaust/"/>
    <s v="OVERLAPPED VERSION"/>
    <x v="219"/>
    <s v="SILENCERS"/>
    <s v="ZD024HSR-1"/>
    <s v="DUCATI MONSTER S2R 1000"/>
    <n v="672.05"/>
    <n v="746.72"/>
    <s v="&lt;p&gt;N.2 STEEL CARBON SILENCERS RACING WITH REMOVABLE DB KILLER&lt;/p&gt;_x000a_&lt;p&gt;ZARD SILENCERS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EURO 3 HOMOLOGATED"/>
    <n v="42.05"/>
  </r>
  <r>
    <s v="1586059787-11312"/>
    <s v="https://shop.officineitalianezard.it/en/products/"/>
    <m/>
    <s v="https://shop.officineitalianezard.it/en/ducati-zard-exhaust/"/>
    <s v="MONSTER S2R 1000"/>
    <s v="https://shop.officineitalianezard.it/en/ducati-monster-s2r-1000-exhaust/"/>
    <s v="OVERLAPPED VERSION"/>
    <x v="219"/>
    <s v="SILENCERS"/>
    <s v="ZD024HSR-1"/>
    <s v="DUCATI MONSTER S2R 1000"/>
    <n v="672.05"/>
    <n v="746.72"/>
    <s v="&lt;p&gt;N.2 STEEL CARBON SILENCERS RACING WITH REMOVABLE DB KILLER&lt;/p&gt;_x000a_&lt;p&gt;ZARD SILENCERS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FULL TITANIUM RACING"/>
    <n v="0"/>
  </r>
  <r>
    <s v="1586059787-11313"/>
    <s v="https://shop.officineitalianezard.it/en/products/"/>
    <m/>
    <s v="https://shop.officineitalianezard.it/en/ducati-zard-exhaust/"/>
    <s v="MONSTER S2R 1000"/>
    <s v="https://shop.officineitalianezard.it/en/ducati-monster-s2r-1000-exhaust/"/>
    <s v="OVERLAPPED VERSION"/>
    <x v="219"/>
    <s v="SILENCERS"/>
    <s v="ZD024HSR-1"/>
    <s v="DUCATI MONSTER S2R 1000"/>
    <n v="672.05"/>
    <n v="746.72"/>
    <s v="&lt;p&gt;N.2 STEEL CARBON SILENCERS RACING WITH REMOVABLE DB KILLER&lt;/p&gt;_x000a_&lt;p&gt;ZARD SILENCERS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BLACK ENDCAP"/>
    <n v="46.48"/>
  </r>
  <r>
    <s v="1586059790-11314"/>
    <s v="https://shop.officineitalianezard.it/en/products/"/>
    <m/>
    <s v="https://shop.officineitalianezard.it/en/ducati-zard-exhaust/"/>
    <s v="MONSTER S2R 1000"/>
    <s v="https://shop.officineitalianezard.it/en/ducati-monster-s2r-1000-exhaust/"/>
    <s v="LH-RH VERSION"/>
    <x v="220"/>
    <s v="HIGHT MOUNTED SILENCERS"/>
    <s v="ZD024LSR-1"/>
    <s v="DUCATI MONSTER S2R 1000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s v="https://shop.officineitalianezard.it/contents/imgs/products/1_380-monsters2r10003.jpg"/>
    <m/>
    <m/>
  </r>
  <r>
    <s v="1586059790-11315"/>
    <s v="https://shop.officineitalianezard.it/en/products/"/>
    <m/>
    <s v="https://shop.officineitalianezard.it/en/ducati-zard-exhaust/"/>
    <s v="MONSTER S2R 1000"/>
    <s v="https://shop.officineitalianezard.it/en/ducati-monster-s2r-1000-exhaust/"/>
    <s v="LH-RH VERSION"/>
    <x v="220"/>
    <s v="HIGHT MOUNTED SILENCERS"/>
    <s v="ZD024LSR-1"/>
    <s v="DUCATI MONSTER S2R 1000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s v="https://shop.officineitalianezard.it/contents/imgs/products/1_379-ducati-monster.jpg"/>
    <m/>
    <m/>
  </r>
  <r>
    <s v="1586059790-11316"/>
    <s v="https://shop.officineitalianezard.it/en/products/"/>
    <m/>
    <s v="https://shop.officineitalianezard.it/en/ducati-zard-exhaust/"/>
    <s v="MONSTER S2R 1000"/>
    <s v="https://shop.officineitalianezard.it/en/ducati-monster-s2r-1000-exhaust/"/>
    <s v="LH-RH VERSION"/>
    <x v="220"/>
    <s v="HIGHT MOUNTED SILENCERS"/>
    <s v="ZD024LSR-1"/>
    <s v="DUCATI MONSTER S2R 1000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m/>
    <s v="EURO 3 HOMOLOGATED"/>
    <n v="54.59"/>
  </r>
  <r>
    <s v="1586059790-11317"/>
    <s v="https://shop.officineitalianezard.it/en/products/"/>
    <m/>
    <s v="https://shop.officineitalianezard.it/en/ducati-zard-exhaust/"/>
    <s v="MONSTER S2R 1000"/>
    <s v="https://shop.officineitalianezard.it/en/ducati-monster-s2r-1000-exhaust/"/>
    <s v="LH-RH VERSION"/>
    <x v="220"/>
    <s v="HIGHT MOUNTED SILENCERS"/>
    <s v="ZD024LSR-1"/>
    <s v="DUCATI MONSTER S2R 1000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m/>
    <s v="FULL TITANIUM RACING"/>
    <n v="0"/>
  </r>
  <r>
    <s v="1586059790-11318"/>
    <s v="https://shop.officineitalianezard.it/en/products/"/>
    <m/>
    <s v="https://shop.officineitalianezard.it/en/ducati-zard-exhaust/"/>
    <s v="MONSTER S2R 1000"/>
    <s v="https://shop.officineitalianezard.it/en/ducati-monster-s2r-1000-exhaust/"/>
    <s v="LH-RH VERSION"/>
    <x v="220"/>
    <s v="HIGHT MOUNTED SILENCERS"/>
    <s v="ZD024LSR-1"/>
    <s v="DUCATI MONSTER S2R 1000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m/>
    <s v="BLACK ENDCAP"/>
    <n v="46.48"/>
  </r>
  <r>
    <s v="1586059792-11319"/>
    <s v="https://shop.officineitalianezard.it/en/products/"/>
    <m/>
    <s v="https://shop.officineitalianezard.it/en/ducati-zard-exhaust/"/>
    <s v="MONSTER S2R 1000"/>
    <s v="https://shop.officineitalianezard.it/en/ducati-monster-s2r-1000-exhaust/"/>
    <s v="2&gt;2 LH-RH VERSION"/>
    <x v="221"/>
    <s v="HEADER KIT + HIGHT MOUNTED SILENCERS"/>
    <s v="ZD017SKR"/>
    <s v="DUCATI MONSTER S2R 1000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s v="https://shop.officineitalianezard.it/contents/imgs/products/1_377-monsters2r10003.jpg"/>
    <m/>
    <m/>
  </r>
  <r>
    <s v="1586059792-11320"/>
    <s v="https://shop.officineitalianezard.it/en/products/"/>
    <m/>
    <s v="https://shop.officineitalianezard.it/en/ducati-zard-exhaust/"/>
    <s v="MONSTER S2R 1000"/>
    <s v="https://shop.officineitalianezard.it/en/ducati-monster-s2r-1000-exhaust/"/>
    <s v="2&gt;2 LH-RH VERSION"/>
    <x v="221"/>
    <s v="HEADER KIT + HIGHT MOUNTED SILENCERS"/>
    <s v="ZD017SKR"/>
    <s v="DUCATI MONSTER S2R 1000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s v="https://shop.officineitalianezard.it/contents/imgs/products/1_376-ducati-monster.jpg"/>
    <m/>
    <m/>
  </r>
  <r>
    <s v="1586059792-11321"/>
    <s v="https://shop.officineitalianezard.it/en/products/"/>
    <m/>
    <s v="https://shop.officineitalianezard.it/en/ducati-zard-exhaust/"/>
    <s v="MONSTER S2R 1000"/>
    <s v="https://shop.officineitalianezard.it/en/ducati-monster-s2r-1000-exhaust/"/>
    <s v="2&gt;2 LH-RH VERSION"/>
    <x v="221"/>
    <s v="HEADER KIT + HIGHT MOUNTED SILENCERS"/>
    <s v="ZD017SKR"/>
    <s v="DUCATI MONSTER S2R 1000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s v="https://shop.officineitalianezard.it/contents/imgs/products/1_378-monsters2r10002.jpg"/>
    <m/>
    <m/>
  </r>
  <r>
    <s v="1586059792-11322"/>
    <s v="https://shop.officineitalianezard.it/en/products/"/>
    <m/>
    <s v="https://shop.officineitalianezard.it/en/ducati-zard-exhaust/"/>
    <s v="MONSTER S2R 1000"/>
    <s v="https://shop.officineitalianezard.it/en/ducati-monster-s2r-1000-exhaust/"/>
    <s v="2&gt;2 LH-RH VERSION"/>
    <x v="221"/>
    <s v="HEADER KIT + HIGHT MOUNTED SILENCERS"/>
    <s v="ZD017SKR"/>
    <s v="DUCATI MONSTER S2R 1000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STEEL TITANIUM RACING"/>
    <n v="0"/>
  </r>
  <r>
    <s v="1586059792-11323"/>
    <s v="https://shop.officineitalianezard.it/en/products/"/>
    <m/>
    <s v="https://shop.officineitalianezard.it/en/ducati-zard-exhaust/"/>
    <s v="MONSTER S2R 1000"/>
    <s v="https://shop.officineitalianezard.it/en/ducati-monster-s2r-1000-exhaust/"/>
    <s v="2&gt;2 LH-RH VERSION"/>
    <x v="221"/>
    <s v="HEADER KIT + HIGHT MOUNTED SILENCERS"/>
    <s v="ZD017SKR"/>
    <s v="DUCATI MONSTER S2R 1000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BLACK ENDCAP"/>
    <n v="46.48"/>
  </r>
  <r>
    <s v="1586059796-11324"/>
    <s v="https://shop.officineitalianezard.it/en/products/"/>
    <m/>
    <s v="https://shop.officineitalianezard.it/en/ducati-zard-exhaust/"/>
    <s v="MONSTER S2R 800 MY 06/08"/>
    <s v="https://shop.officineitalianezard.it/en/ducati-monster-s2r-800-m-y-06-08-exhaust/"/>
    <s v="2&gt;2 LH-RH VERSION"/>
    <x v="222"/>
    <s v="HEADER KIT + HIGHT MOUNTED SILENCERS"/>
    <s v="ZD016SKR"/>
    <s v="DUCATI MONSTER S2R 800 MY 06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s v="https://shop.officineitalianezard.it/contents/imgs/products/1_367-ducati-monster-S2R800-part.jpg"/>
    <m/>
    <m/>
  </r>
  <r>
    <s v="1586059796-11325"/>
    <s v="https://shop.officineitalianezard.it/en/products/"/>
    <m/>
    <s v="https://shop.officineitalianezard.it/en/ducati-zard-exhaust/"/>
    <s v="MONSTER S2R 800 MY 06/08"/>
    <s v="https://shop.officineitalianezard.it/en/ducati-monster-s2r-800-m-y-06-08-exhaust/"/>
    <s v="2&gt;2 LH-RH VERSION"/>
    <x v="222"/>
    <s v="HEADER KIT + HIGHT MOUNTED SILENCERS"/>
    <s v="ZD016SKR"/>
    <s v="DUCATI MONSTER S2R 800 MY 06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s v="https://shop.officineitalianezard.it/contents/imgs/products/1_366-ducati-monster-S2R800-dx.jpg"/>
    <m/>
    <m/>
  </r>
  <r>
    <s v="1586059796-11326"/>
    <s v="https://shop.officineitalianezard.it/en/products/"/>
    <m/>
    <s v="https://shop.officineitalianezard.it/en/ducati-zard-exhaust/"/>
    <s v="MONSTER S2R 800 MY 06/08"/>
    <s v="https://shop.officineitalianezard.it/en/ducati-monster-s2r-800-m-y-06-08-exhaust/"/>
    <s v="2&gt;2 LH-RH VERSION"/>
    <x v="222"/>
    <s v="HEADER KIT + HIGHT MOUNTED SILENCERS"/>
    <s v="ZD016SKR"/>
    <s v="DUCATI MONSTER S2R 800 MY 06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EURO 3 HOMOLOGATED"/>
    <n v="53.85"/>
  </r>
  <r>
    <s v="1586059796-11327"/>
    <s v="https://shop.officineitalianezard.it/en/products/"/>
    <m/>
    <s v="https://shop.officineitalianezard.it/en/ducati-zard-exhaust/"/>
    <s v="MONSTER S2R 800 MY 06/08"/>
    <s v="https://shop.officineitalianezard.it/en/ducati-monster-s2r-800-m-y-06-08-exhaust/"/>
    <s v="2&gt;2 LH-RH VERSION"/>
    <x v="222"/>
    <s v="HEADER KIT + HIGHT MOUNTED SILENCERS"/>
    <s v="ZD016SKR"/>
    <s v="DUCATI MONSTER S2R 800 MY 06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STEEL-TITANIUM"/>
    <n v="0"/>
  </r>
  <r>
    <s v="1586059796-11328"/>
    <s v="https://shop.officineitalianezard.it/en/products/"/>
    <m/>
    <s v="https://shop.officineitalianezard.it/en/ducati-zard-exhaust/"/>
    <s v="MONSTER S2R 800 MY 06/08"/>
    <s v="https://shop.officineitalianezard.it/en/ducati-monster-s2r-800-m-y-06-08-exhaust/"/>
    <s v="2&gt;2 LH-RH VERSION"/>
    <x v="222"/>
    <s v="HEADER KIT + HIGHT MOUNTED SILENCERS"/>
    <s v="ZD016SKR"/>
    <s v="DUCATI MONSTER S2R 800 MY 06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BLACK ENDCAP"/>
    <n v="46.48"/>
  </r>
  <r>
    <s v="1586059799-11329"/>
    <s v="https://shop.officineitalianezard.it/en/products/"/>
    <m/>
    <s v="https://shop.officineitalianezard.it/en/ducati-zard-exhaust/"/>
    <s v="MONSTER S2R 800 MY 06/08"/>
    <s v="https://shop.officineitalianezard.it/en/ducati-monster-s2r-800-m-y-06-08-exhaust/"/>
    <s v="STEEL VERSION"/>
    <x v="223"/>
    <s v="HEADERS KIT"/>
    <s v="ZD025LCR"/>
    <s v="DUCATI MONSTER S2R 800 MY 06"/>
    <n v="635.16"/>
    <n v="705.74"/>
    <s v="&lt;p&gt;STEEL HEADERS KIT RACING FOR HIGHT MOUNTED ZARD LH-RH&amp;nbsp;SILENCERS&lt;/p&gt;_x000a_&lt;p&gt;ZARD HEADERS WEIGHT: KG 1.7&lt;/p&gt;_x000a_&lt;p&gt;HARD INCREASE, COMPARED TO THE ORIGINAL EXHAUST SYSTEM, IN TERMS OF TORQUE AND POWER AT ANY RANGE (+2.5 FOR THE SOLE MUFFLERS, + 5 HP FOR THE FULL KITS).&lt;/p&gt;_x000a_&lt;p&gt;ASTONISHING SOUND.&lt;/p&gt;"/>
    <s v="https://shop.officineitalianezard.it/contents/imgs/products/1_372-ducati-monster-S2R800-dx.jpg"/>
    <m/>
    <m/>
  </r>
  <r>
    <s v="1586059799-11330"/>
    <s v="https://shop.officineitalianezard.it/en/products/"/>
    <m/>
    <s v="https://shop.officineitalianezard.it/en/ducati-zard-exhaust/"/>
    <s v="MONSTER S2R 800 MY 06/08"/>
    <s v="https://shop.officineitalianezard.it/en/ducati-monster-s2r-800-m-y-06-08-exhaust/"/>
    <s v="STEEL VERSION"/>
    <x v="223"/>
    <s v="HEADERS KIT"/>
    <s v="ZD025LCR"/>
    <s v="DUCATI MONSTER S2R 800 MY 06"/>
    <n v="635.16"/>
    <n v="705.74"/>
    <s v="&lt;p&gt;STEEL HEADERS KIT RACING FOR HIGHT MOUNTED ZARD LH-RH&amp;nbsp;SILENCERS&lt;/p&gt;_x000a_&lt;p&gt;ZARD HEADERS WEIGHT: KG 1.7&lt;/p&gt;_x000a_&lt;p&gt;HARD INCREASE, COMPARED TO THE ORIGINAL EXHAUST SYSTEM, IN TERMS OF TORQUE AND POWER AT ANY RANGE (+2.5 FOR THE SOLE MUFFLERS, + 5 HP FOR THE FULL KITS).&lt;/p&gt;_x000a_&lt;p&gt;ASTONISHING SOUND.&lt;/p&gt;"/>
    <m/>
    <s v="BLACK CERAMIC COATING"/>
    <n v="77.459999999999994"/>
  </r>
  <r>
    <s v="1586059801-11331"/>
    <s v="https://shop.officineitalianezard.it/en/products/"/>
    <m/>
    <s v="https://shop.officineitalianezard.it/en/ducati-zard-exhaust/"/>
    <s v="MONSTER S2R 800 MY 06/08"/>
    <s v="https://shop.officineitalianezard.it/en/ducati-monster-s2r-800-m-y-06-08-exhaust/"/>
    <s v="LH-RH VERSION"/>
    <x v="224"/>
    <s v="HIGHT MOUNTED SILENCERS"/>
    <s v="ZD024LSR-1"/>
    <s v="DUCATI MONSTER S2R 800 MY 06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s v="https://shop.officineitalianezard.it/contents/imgs/products/1_370-ducati-monster-S2R800-dx.jpg"/>
    <m/>
    <m/>
  </r>
  <r>
    <s v="1586059801-11332"/>
    <s v="https://shop.officineitalianezard.it/en/products/"/>
    <m/>
    <s v="https://shop.officineitalianezard.it/en/ducati-zard-exhaust/"/>
    <s v="MONSTER S2R 800 MY 06/08"/>
    <s v="https://shop.officineitalianezard.it/en/ducati-monster-s2r-800-m-y-06-08-exhaust/"/>
    <s v="LH-RH VERSION"/>
    <x v="224"/>
    <s v="HIGHT MOUNTED SILENCERS"/>
    <s v="ZD024LSR-1"/>
    <s v="DUCATI MONSTER S2R 800 MY 06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s v="https://shop.officineitalianezard.it/contents/imgs/products/1_371-ducati-monster-S2R800-part.jpg"/>
    <m/>
    <m/>
  </r>
  <r>
    <s v="1586059801-11333"/>
    <s v="https://shop.officineitalianezard.it/en/products/"/>
    <m/>
    <s v="https://shop.officineitalianezard.it/en/ducati-zard-exhaust/"/>
    <s v="MONSTER S2R 800 MY 06/08"/>
    <s v="https://shop.officineitalianezard.it/en/ducati-monster-s2r-800-m-y-06-08-exhaust/"/>
    <s v="LH-RH VERSION"/>
    <x v="224"/>
    <s v="HIGHT MOUNTED SILENCERS"/>
    <s v="ZD024LSR-1"/>
    <s v="DUCATI MONSTER S2R 800 MY 06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m/>
    <s v="EURO 3 HOMOLOGATED"/>
    <n v="54.59"/>
  </r>
  <r>
    <s v="1586059801-11334"/>
    <s v="https://shop.officineitalianezard.it/en/products/"/>
    <m/>
    <s v="https://shop.officineitalianezard.it/en/ducati-zard-exhaust/"/>
    <s v="MONSTER S2R 800 MY 06/08"/>
    <s v="https://shop.officineitalianezard.it/en/ducati-monster-s2r-800-m-y-06-08-exhaust/"/>
    <s v="LH-RH VERSION"/>
    <x v="224"/>
    <s v="HIGHT MOUNTED SILENCERS"/>
    <s v="ZD024LSR-1"/>
    <s v="DUCATI MONSTER S2R 800 MY 06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m/>
    <s v="FULL TITANIUM RACING"/>
    <n v="0"/>
  </r>
  <r>
    <s v="1586059801-11335"/>
    <s v="https://shop.officineitalianezard.it/en/products/"/>
    <m/>
    <s v="https://shop.officineitalianezard.it/en/ducati-zard-exhaust/"/>
    <s v="MONSTER S2R 800 MY 06/08"/>
    <s v="https://shop.officineitalianezard.it/en/ducati-monster-s2r-800-m-y-06-08-exhaust/"/>
    <s v="LH-RH VERSION"/>
    <x v="224"/>
    <s v="HIGHT MOUNTED SILENCERS"/>
    <s v="ZD024LSR-1"/>
    <s v="DUCATI MONSTER S2R 800 MY 06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m/>
    <s v="BLACK ENDCAP"/>
    <n v="46.48"/>
  </r>
  <r>
    <s v="1586059803-11336"/>
    <s v="https://shop.officineitalianezard.it/en/products/"/>
    <m/>
    <s v="https://shop.officineitalianezard.it/en/ducati-zard-exhaust/"/>
    <s v="MONSTER S2R 800 MY 06/08"/>
    <s v="https://shop.officineitalianezard.it/en/ducati-monster-s2r-800-m-y-06-08-exhaust/"/>
    <s v="OVERLAPPED VERSION"/>
    <x v="225"/>
    <s v="SILENCERS"/>
    <s v="ZD024HSR-1"/>
    <s v="DUCATI MONSTER S2R 800 MY 06"/>
    <n v="672.05"/>
    <n v="746.72"/>
    <s v="&lt;p&gt;N.2 STEEL CARBON SILENCERS RACING WITH REMOVABLE DB KILLER&lt;/p&gt;_x000a_&lt;p&gt;ZARD SILENCERS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s v="https://shop.officineitalianezard.it/contents/imgs/products/1_558-374-ducati-monster-S2R800-dx.jpg"/>
    <m/>
    <m/>
  </r>
  <r>
    <s v="1586059803-11337"/>
    <s v="https://shop.officineitalianezard.it/en/products/"/>
    <m/>
    <s v="https://shop.officineitalianezard.it/en/ducati-zard-exhaust/"/>
    <s v="MONSTER S2R 800 MY 06/08"/>
    <s v="https://shop.officineitalianezard.it/en/ducati-monster-s2r-800-m-y-06-08-exhaust/"/>
    <s v="OVERLAPPED VERSION"/>
    <x v="225"/>
    <s v="SILENCERS"/>
    <s v="ZD024HSR-1"/>
    <s v="DUCATI MONSTER S2R 800 MY 06"/>
    <n v="672.05"/>
    <n v="746.72"/>
    <s v="&lt;p&gt;N.2 STEEL CARBON SILENCERS RACING WITH REMOVABLE DB KILLER&lt;/p&gt;_x000a_&lt;p&gt;ZARD SILENCERS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EURO 3 HOMOLOGATED"/>
    <n v="42.05"/>
  </r>
  <r>
    <s v="1586059803-11338"/>
    <s v="https://shop.officineitalianezard.it/en/products/"/>
    <m/>
    <s v="https://shop.officineitalianezard.it/en/ducati-zard-exhaust/"/>
    <s v="MONSTER S2R 800 MY 06/08"/>
    <s v="https://shop.officineitalianezard.it/en/ducati-monster-s2r-800-m-y-06-08-exhaust/"/>
    <s v="OVERLAPPED VERSION"/>
    <x v="225"/>
    <s v="SILENCERS"/>
    <s v="ZD024HSR-1"/>
    <s v="DUCATI MONSTER S2R 800 MY 06"/>
    <n v="672.05"/>
    <n v="746.72"/>
    <s v="&lt;p&gt;N.2 STEEL CARBON SILENCERS RACING WITH REMOVABLE DB KILLER&lt;/p&gt;_x000a_&lt;p&gt;ZARD SILENCERS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BLACK ENDCAP"/>
    <n v="46.48"/>
  </r>
  <r>
    <s v="1586059803-11339"/>
    <s v="https://shop.officineitalianezard.it/en/products/"/>
    <m/>
    <s v="https://shop.officineitalianezard.it/en/ducati-zard-exhaust/"/>
    <s v="MONSTER S2R 800 MY 06/08"/>
    <s v="https://shop.officineitalianezard.it/en/ducati-monster-s2r-800-m-y-06-08-exhaust/"/>
    <s v="OVERLAPPED VERSION"/>
    <x v="225"/>
    <s v="SILENCERS"/>
    <s v="ZD024HSR-1"/>
    <s v="DUCATI MONSTER S2R 800 MY 06"/>
    <n v="672.05"/>
    <n v="746.72"/>
    <s v="&lt;p&gt;N.2 STEEL CARBON SILENCERS RACING WITH REMOVABLE DB KILLER&lt;/p&gt;_x000a_&lt;p&gt;ZARD SILENCERS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FULL TITANIUM RACING"/>
    <n v="0"/>
  </r>
  <r>
    <s v="1586059809-11340"/>
    <s v="https://shop.officineitalianezard.it/en/products/"/>
    <m/>
    <s v="https://shop.officineitalianezard.it/en/ducati-zard-exhaust/"/>
    <s v="MONSTER S2R 800 MY 06"/>
    <s v="https://shop.officineitalianezard.it/en/ducati-monster-s2r-800-m-y-06-exhaust/"/>
    <s v="OVERLAPPED VERSION"/>
    <x v="226"/>
    <s v="SILENCERS"/>
    <s v="ZD024HSR-1"/>
    <s v="DUCATI MONSTER S2R 800 MY 06"/>
    <n v="672.05"/>
    <n v="746.72"/>
    <s v="&lt;p&gt;N.2 STEEL CARBON SILENCERS RACING WITH REMOVABLE DB KILLER&lt;/p&gt;_x000a_&lt;p&gt;ZARD SILENCERS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s v="https://shop.officineitalianezard.it/contents/imgs/products/1_558-374-ducati-monster-S2R800-dx.jpg"/>
    <m/>
    <m/>
  </r>
  <r>
    <s v="1586059809-11341"/>
    <s v="https://shop.officineitalianezard.it/en/products/"/>
    <m/>
    <s v="https://shop.officineitalianezard.it/en/ducati-zard-exhaust/"/>
    <s v="MONSTER S2R 800 MY 06"/>
    <s v="https://shop.officineitalianezard.it/en/ducati-monster-s2r-800-m-y-06-exhaust/"/>
    <s v="OVERLAPPED VERSION"/>
    <x v="226"/>
    <s v="SILENCERS"/>
    <s v="ZD024HSR-1"/>
    <s v="DUCATI MONSTER S2R 800 MY 06"/>
    <n v="672.05"/>
    <n v="746.72"/>
    <s v="&lt;p&gt;N.2 STEEL CARBON SILENCERS RACING WITH REMOVABLE DB KILLER&lt;/p&gt;_x000a_&lt;p&gt;ZARD SILENCERS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EURO 3 HOMOLOGATED"/>
    <n v="42.05"/>
  </r>
  <r>
    <s v="1586059809-11342"/>
    <s v="https://shop.officineitalianezard.it/en/products/"/>
    <m/>
    <s v="https://shop.officineitalianezard.it/en/ducati-zard-exhaust/"/>
    <s v="MONSTER S2R 800 MY 06"/>
    <s v="https://shop.officineitalianezard.it/en/ducati-monster-s2r-800-m-y-06-exhaust/"/>
    <s v="OVERLAPPED VERSION"/>
    <x v="226"/>
    <s v="SILENCERS"/>
    <s v="ZD024HSR-1"/>
    <s v="DUCATI MONSTER S2R 800 MY 06"/>
    <n v="672.05"/>
    <n v="746.72"/>
    <s v="&lt;p&gt;N.2 STEEL CARBON SILENCERS RACING WITH REMOVABLE DB KILLER&lt;/p&gt;_x000a_&lt;p&gt;ZARD SILENCERS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BLACK ENDCAP"/>
    <n v="46.48"/>
  </r>
  <r>
    <s v="1586059809-11343"/>
    <s v="https://shop.officineitalianezard.it/en/products/"/>
    <m/>
    <s v="https://shop.officineitalianezard.it/en/ducati-zard-exhaust/"/>
    <s v="MONSTER S2R 800 MY 06"/>
    <s v="https://shop.officineitalianezard.it/en/ducati-monster-s2r-800-m-y-06-exhaust/"/>
    <s v="OVERLAPPED VERSION"/>
    <x v="226"/>
    <s v="SILENCERS"/>
    <s v="ZD024HSR-1"/>
    <s v="DUCATI MONSTER S2R 800 MY 06"/>
    <n v="672.05"/>
    <n v="746.72"/>
    <s v="&lt;p&gt;N.2 STEEL CARBON SILENCERS RACING WITH REMOVABLE DB KILLER&lt;/p&gt;_x000a_&lt;p&gt;ZARD SILENCERS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FULL TITANIUM RACING"/>
    <n v="0"/>
  </r>
  <r>
    <s v="1586059812-11344"/>
    <s v="https://shop.officineitalianezard.it/en/products/"/>
    <m/>
    <s v="https://shop.officineitalianezard.it/en/ducati-zard-exhaust/"/>
    <s v="MONSTER S2R 800 MY 06"/>
    <s v="https://shop.officineitalianezard.it/en/ducati-monster-s2r-800-m-y-06-exhaust/"/>
    <s v="LH-RH VERSION"/>
    <x v="227"/>
    <s v="HIGHT MOUNTED SILENCERS"/>
    <s v="ZD024LSR-1"/>
    <s v="DUCATI MONSTER S2R 800 MY 06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s v="https://shop.officineitalianezard.it/contents/imgs/products/1_370-ducati-monster-S2R800-dx.jpg"/>
    <m/>
    <m/>
  </r>
  <r>
    <s v="1586059812-11345"/>
    <s v="https://shop.officineitalianezard.it/en/products/"/>
    <m/>
    <s v="https://shop.officineitalianezard.it/en/ducati-zard-exhaust/"/>
    <s v="MONSTER S2R 800 MY 06"/>
    <s v="https://shop.officineitalianezard.it/en/ducati-monster-s2r-800-m-y-06-exhaust/"/>
    <s v="LH-RH VERSION"/>
    <x v="227"/>
    <s v="HIGHT MOUNTED SILENCERS"/>
    <s v="ZD024LSR-1"/>
    <s v="DUCATI MONSTER S2R 800 MY 06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s v="https://shop.officineitalianezard.it/contents/imgs/products/1_371-ducati-monster-S2R800-part.jpg"/>
    <m/>
    <m/>
  </r>
  <r>
    <s v="1586059812-11346"/>
    <s v="https://shop.officineitalianezard.it/en/products/"/>
    <m/>
    <s v="https://shop.officineitalianezard.it/en/ducati-zard-exhaust/"/>
    <s v="MONSTER S2R 800 MY 06"/>
    <s v="https://shop.officineitalianezard.it/en/ducati-monster-s2r-800-m-y-06-exhaust/"/>
    <s v="LH-RH VERSION"/>
    <x v="227"/>
    <s v="HIGHT MOUNTED SILENCERS"/>
    <s v="ZD024LSR-1"/>
    <s v="DUCATI MONSTER S2R 800 MY 06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m/>
    <s v="EURO 3 HOMOLOGATED"/>
    <n v="54.59"/>
  </r>
  <r>
    <s v="1586059812-11347"/>
    <s v="https://shop.officineitalianezard.it/en/products/"/>
    <m/>
    <s v="https://shop.officineitalianezard.it/en/ducati-zard-exhaust/"/>
    <s v="MONSTER S2R 800 MY 06"/>
    <s v="https://shop.officineitalianezard.it/en/ducati-monster-s2r-800-m-y-06-exhaust/"/>
    <s v="LH-RH VERSION"/>
    <x v="227"/>
    <s v="HIGHT MOUNTED SILENCERS"/>
    <s v="ZD024LSR-1"/>
    <s v="DUCATI MONSTER S2R 800 MY 06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m/>
    <s v="FULL TITANIUM RACING"/>
    <n v="0"/>
  </r>
  <r>
    <s v="1586059812-11348"/>
    <s v="https://shop.officineitalianezard.it/en/products/"/>
    <m/>
    <s v="https://shop.officineitalianezard.it/en/ducati-zard-exhaust/"/>
    <s v="MONSTER S2R 800 MY 06"/>
    <s v="https://shop.officineitalianezard.it/en/ducati-monster-s2r-800-m-y-06-exhaust/"/>
    <s v="LH-RH VERSION"/>
    <x v="227"/>
    <s v="HIGHT MOUNTED SILENCERS"/>
    <s v="ZD024LSR-1"/>
    <s v="DUCATI MONSTER S2R 800 MY 06"/>
    <n v="700.82"/>
    <n v="778.69"/>
    <s v="&lt;p&gt;STEEL-CARBON SILENCERS RACING WITH REMOVABLE DB KILLER&lt;/p&gt;_x000a_&lt;p&gt;ZARD SILENCERS WEIGHT: KG 3.8&lt;br&gt;ZARD MANIFOLD WEIGHT: KG 1.7&lt;/p&gt;_x000a_&lt;p&gt;HARD INCREASE, COMPARED TO THE STANDARD EXHAUST SYSTEM, IN TERMS OF TORQUE AND POWER AT ANY RANGE (+2.5 FOR THE SOLE MUFFLERS, + 5 HP FOR THE FULL KITS).&lt;/p&gt;_x000a_&lt;p&gt;ASTONISHING SOUND.&lt;/p&gt;"/>
    <m/>
    <s v="BLACK ENDCAP"/>
    <n v="46.48"/>
  </r>
  <r>
    <s v="1586059815-11349"/>
    <s v="https://shop.officineitalianezard.it/en/products/"/>
    <m/>
    <s v="https://shop.officineitalianezard.it/en/ducati-zard-exhaust/"/>
    <s v="MONSTER S2R 800 MY 06"/>
    <s v="https://shop.officineitalianezard.it/en/ducati-monster-s2r-800-m-y-06-exhaust/"/>
    <s v="2&gt;2 LH-RH VERSION"/>
    <x v="228"/>
    <s v="HEADER KIT + HIGHT MOUNTED SILENCERS"/>
    <s v="ZD016SKR"/>
    <s v="DUCATI MONSTER S2R 800 MY 06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s v="https://shop.officineitalianezard.it/contents/imgs/products/1_367-ducati-monster-S2R800-part.jpg"/>
    <m/>
    <m/>
  </r>
  <r>
    <s v="1586059815-11350"/>
    <s v="https://shop.officineitalianezard.it/en/products/"/>
    <m/>
    <s v="https://shop.officineitalianezard.it/en/ducati-zard-exhaust/"/>
    <s v="MONSTER S2R 800 MY 06"/>
    <s v="https://shop.officineitalianezard.it/en/ducati-monster-s2r-800-m-y-06-exhaust/"/>
    <s v="2&gt;2 LH-RH VERSION"/>
    <x v="228"/>
    <s v="HEADER KIT + HIGHT MOUNTED SILENCERS"/>
    <s v="ZD016SKR"/>
    <s v="DUCATI MONSTER S2R 800 MY 06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s v="https://shop.officineitalianezard.it/contents/imgs/products/1_366-ducati-monster-S2R800-dx.jpg"/>
    <m/>
    <m/>
  </r>
  <r>
    <s v="1586059815-11351"/>
    <s v="https://shop.officineitalianezard.it/en/products/"/>
    <m/>
    <s v="https://shop.officineitalianezard.it/en/ducati-zard-exhaust/"/>
    <s v="MONSTER S2R 800 MY 06"/>
    <s v="https://shop.officineitalianezard.it/en/ducati-monster-s2r-800-m-y-06-exhaust/"/>
    <s v="2&gt;2 LH-RH VERSION"/>
    <x v="228"/>
    <s v="HEADER KIT + HIGHT MOUNTED SILENCERS"/>
    <s v="ZD016SKR"/>
    <s v="DUCATI MONSTER S2R 800 MY 06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EURO 3 HOMOLOGATED"/>
    <n v="53.85"/>
  </r>
  <r>
    <s v="1586059815-11352"/>
    <s v="https://shop.officineitalianezard.it/en/products/"/>
    <m/>
    <s v="https://shop.officineitalianezard.it/en/ducati-zard-exhaust/"/>
    <s v="MONSTER S2R 800 MY 06"/>
    <s v="https://shop.officineitalianezard.it/en/ducati-monster-s2r-800-m-y-06-exhaust/"/>
    <s v="2&gt;2 LH-RH VERSION"/>
    <x v="228"/>
    <s v="HEADER KIT + HIGHT MOUNTED SILENCERS"/>
    <s v="ZD016SKR"/>
    <s v="DUCATI MONSTER S2R 800 MY 06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STEEL-TITANIUM"/>
    <n v="0"/>
  </r>
  <r>
    <s v="1586059815-11353"/>
    <s v="https://shop.officineitalianezard.it/en/products/"/>
    <m/>
    <s v="https://shop.officineitalianezard.it/en/ducati-zard-exhaust/"/>
    <s v="MONSTER S2R 800 MY 06"/>
    <s v="https://shop.officineitalianezard.it/en/ducati-monster-s2r-800-m-y-06-exhaust/"/>
    <s v="2&gt;2 LH-RH VERSION"/>
    <x v="228"/>
    <s v="HEADER KIT + HIGHT MOUNTED SILENCERS"/>
    <s v="ZD016SKR"/>
    <s v="DUCATI MONSTER S2R 800 MY 06"/>
    <n v="1085.9000000000001"/>
    <n v="1206.56"/>
    <s v="&lt;p&gt;HEADER KIT + HIGHT MOUNTED SILENCERS STEEL-CARBON RACING WITH REMOVABLE DB KILLER&lt;/p&gt;_x000a_&lt;p&gt;ZARD FULL KIT WEIGHT: KG 3.8&lt;br&gt;ZARD MANIFOLD WEIGHT: KG 1.7&lt;/p&gt;_x000a_&lt;p&gt;HARD INCREASE, COMPARED TO THE ORIGINAL EXHAUST SYSTEM, IN TERMS OF TORQUE AND POWER AT ANY RANGE (+2.5 FOR THE SOLE MUFFLERS, + 5 HP FOR THE FULL KITS).&lt;/p&gt;_x000a_&lt;p&gt;ASTONISHING SOUND.&lt;/p&gt;"/>
    <m/>
    <s v="BLACK ENDCAP"/>
    <n v="46.48"/>
  </r>
  <r>
    <s v="1586059820-11354"/>
    <s v="https://shop.officineitalianezard.it/en/products/"/>
    <m/>
    <s v="https://shop.officineitalianezard.it/en/ducati-zard-exhaust/"/>
    <s v="MONSTER 1200 S M.Y. 2016"/>
    <s v="https://shop.officineitalianezard.it/en/ducati-monster-1200-s-exhaust/"/>
    <s v="2&gt;1&gt;2 VERSION"/>
    <x v="229"/>
    <s v="FULL KIT"/>
    <s v="ZD125SKR"/>
    <s v="DUCATI MONSTER 1200 S"/>
    <n v="2162.9499999999998"/>
    <n v="2403.2800000000002"/>
    <s v="&lt;p&gt;2&amp;gt;1&amp;gt;2 STEEL RACING FULL KIT.&lt;/p&gt;_x000a_&lt;p&gt;&lt;span&gt;A VERY SPECIAL EXHAUST TOTALLY HANDMADE AND WELDED BY OUR BEST WELDERS.&lt;/span&gt;&lt;/p&gt;_x000a_&lt;p&gt;ORIGINAL EXHAUST WEIGHT: 12 KG&lt;br&gt;ZARD FULL KIT WEIGHT: 8 KG&lt;/p&gt;_x000a_&lt;p&gt;&lt;span&gt;THE INSTALLATION OF ZARD EXHAUST DOES NOT IMPLY ANY MODIFICATION TO ECU.&lt;/span&gt;&lt;/p&gt;_x000a_&lt;p&gt;&lt;span&gt;HARD INCREASE, COMPARED TO THE ORIGINAL EXHAUST SYSTEM, IN TERMS OF TORQUE AND POWER AT ANY RANGE.&lt;/span&gt;&lt;/p&gt;_x000a_&lt;p&gt;ASTONISHING SOUND,&amp;nbsp;EXCLUSIVE DESIGN.&lt;/p&gt;_x000a_&lt;p&gt;FITTING KIT INCLUDED.&lt;/p&gt;_x000a_&lt;p&gt;PHOTOS BY ARRICK MAURICE&lt;/p&gt;"/>
    <s v="https://shop.officineitalianezard.it/contents/imgs/products/1_2159-1705-1.jpg"/>
    <m/>
    <m/>
  </r>
  <r>
    <s v="1586059820-11355"/>
    <s v="https://shop.officineitalianezard.it/en/products/"/>
    <m/>
    <s v="https://shop.officineitalianezard.it/en/ducati-zard-exhaust/"/>
    <s v="MONSTER 1200 S M.Y. 2016"/>
    <s v="https://shop.officineitalianezard.it/en/ducati-monster-1200-s-exhaust/"/>
    <s v="2&gt;1&gt;2 VERSION"/>
    <x v="229"/>
    <s v="FULL KIT"/>
    <s v="ZD125SKR"/>
    <s v="DUCATI MONSTER 1200 S"/>
    <n v="2162.9499999999998"/>
    <n v="2403.2800000000002"/>
    <s v="&lt;p&gt;2&amp;gt;1&amp;gt;2 STEEL RACING FULL KIT.&lt;/p&gt;_x000a_&lt;p&gt;&lt;span&gt;A VERY SPECIAL EXHAUST TOTALLY HANDMADE AND WELDED BY OUR BEST WELDERS.&lt;/span&gt;&lt;/p&gt;_x000a_&lt;p&gt;ORIGINAL EXHAUST WEIGHT: 12 KG&lt;br&gt;ZARD FULL KIT WEIGHT: 8 KG&lt;/p&gt;_x000a_&lt;p&gt;&lt;span&gt;THE INSTALLATION OF ZARD EXHAUST DOES NOT IMPLY ANY MODIFICATION TO ECU.&lt;/span&gt;&lt;/p&gt;_x000a_&lt;p&gt;&lt;span&gt;HARD INCREASE, COMPARED TO THE ORIGINAL EXHAUST SYSTEM, IN TERMS OF TORQUE AND POWER AT ANY RANGE.&lt;/span&gt;&lt;/p&gt;_x000a_&lt;p&gt;ASTONISHING SOUND,&amp;nbsp;EXCLUSIVE DESIGN.&lt;/p&gt;_x000a_&lt;p&gt;FITTING KIT INCLUDED.&lt;/p&gt;_x000a_&lt;p&gt;PHOTOS BY ARRICK MAURICE&lt;/p&gt;"/>
    <s v="https://shop.officineitalianezard.it/contents/imgs/products/1_2160-1706-2.jpg"/>
    <m/>
    <m/>
  </r>
  <r>
    <s v="1586059820-11356"/>
    <s v="https://shop.officineitalianezard.it/en/products/"/>
    <m/>
    <s v="https://shop.officineitalianezard.it/en/ducati-zard-exhaust/"/>
    <s v="MONSTER 1200 S M.Y. 2016"/>
    <s v="https://shop.officineitalianezard.it/en/ducati-monster-1200-s-exhaust/"/>
    <s v="2&gt;1&gt;2 VERSION"/>
    <x v="229"/>
    <s v="FULL KIT"/>
    <s v="ZD125SKR"/>
    <s v="DUCATI MONSTER 1200 S"/>
    <n v="2162.9499999999998"/>
    <n v="2403.2800000000002"/>
    <s v="&lt;p&gt;2&amp;gt;1&amp;gt;2 STEEL RACING FULL KIT.&lt;/p&gt;_x000a_&lt;p&gt;&lt;span&gt;A VERY SPECIAL EXHAUST TOTALLY HANDMADE AND WELDED BY OUR BEST WELDERS.&lt;/span&gt;&lt;/p&gt;_x000a_&lt;p&gt;ORIGINAL EXHAUST WEIGHT: 12 KG&lt;br&gt;ZARD FULL KIT WEIGHT: 8 KG&lt;/p&gt;_x000a_&lt;p&gt;&lt;span&gt;THE INSTALLATION OF ZARD EXHAUST DOES NOT IMPLY ANY MODIFICATION TO ECU.&lt;/span&gt;&lt;/p&gt;_x000a_&lt;p&gt;&lt;span&gt;HARD INCREASE, COMPARED TO THE ORIGINAL EXHAUST SYSTEM, IN TERMS OF TORQUE AND POWER AT ANY RANGE.&lt;/span&gt;&lt;/p&gt;_x000a_&lt;p&gt;ASTONISHING SOUND,&amp;nbsp;EXCLUSIVE DESIGN.&lt;/p&gt;_x000a_&lt;p&gt;FITTING KIT INCLUDED.&lt;/p&gt;_x000a_&lt;p&gt;PHOTOS BY ARRICK MAURICE&lt;/p&gt;"/>
    <s v="https://shop.officineitalianezard.it/contents/imgs/products/1_2308-zard-5.jpg"/>
    <m/>
    <m/>
  </r>
  <r>
    <s v="1586059820-11357"/>
    <s v="https://shop.officineitalianezard.it/en/products/"/>
    <m/>
    <s v="https://shop.officineitalianezard.it/en/ducati-zard-exhaust/"/>
    <s v="MONSTER 1200 S M.Y. 2016"/>
    <s v="https://shop.officineitalianezard.it/en/ducati-monster-1200-s-exhaust/"/>
    <s v="2&gt;1&gt;2 VERSION"/>
    <x v="229"/>
    <s v="FULL KIT"/>
    <s v="ZD125SKR"/>
    <s v="DUCATI MONSTER 1200 S"/>
    <n v="2162.9499999999998"/>
    <n v="2403.2800000000002"/>
    <s v="&lt;p&gt;2&amp;gt;1&amp;gt;2 STEEL RACING FULL KIT.&lt;/p&gt;_x000a_&lt;p&gt;&lt;span&gt;A VERY SPECIAL EXHAUST TOTALLY HANDMADE AND WELDED BY OUR BEST WELDERS.&lt;/span&gt;&lt;/p&gt;_x000a_&lt;p&gt;ORIGINAL EXHAUST WEIGHT: 12 KG&lt;br&gt;ZARD FULL KIT WEIGHT: 8 KG&lt;/p&gt;_x000a_&lt;p&gt;&lt;span&gt;THE INSTALLATION OF ZARD EXHAUST DOES NOT IMPLY ANY MODIFICATION TO ECU.&lt;/span&gt;&lt;/p&gt;_x000a_&lt;p&gt;&lt;span&gt;HARD INCREASE, COMPARED TO THE ORIGINAL EXHAUST SYSTEM, IN TERMS OF TORQUE AND POWER AT ANY RANGE.&lt;/span&gt;&lt;/p&gt;_x000a_&lt;p&gt;ASTONISHING SOUND,&amp;nbsp;EXCLUSIVE DESIGN.&lt;/p&gt;_x000a_&lt;p&gt;FITTING KIT INCLUDED.&lt;/p&gt;_x000a_&lt;p&gt;PHOTOS BY ARRICK MAURICE&lt;/p&gt;"/>
    <s v="https://shop.officineitalianezard.it/contents/imgs/products/1_2309-zard-4.jpg"/>
    <m/>
    <m/>
  </r>
  <r>
    <s v="1586059820-11358"/>
    <s v="https://shop.officineitalianezard.it/en/products/"/>
    <m/>
    <s v="https://shop.officineitalianezard.it/en/ducati-zard-exhaust/"/>
    <s v="MONSTER 1200 S M.Y. 2016"/>
    <s v="https://shop.officineitalianezard.it/en/ducati-monster-1200-s-exhaust/"/>
    <s v="2&gt;1&gt;2 VERSION"/>
    <x v="229"/>
    <s v="FULL KIT"/>
    <s v="ZD125SKR"/>
    <s v="DUCATI MONSTER 1200 S"/>
    <n v="2162.9499999999998"/>
    <n v="2403.2800000000002"/>
    <s v="&lt;p&gt;2&amp;gt;1&amp;gt;2 STEEL RACING FULL KIT.&lt;/p&gt;_x000a_&lt;p&gt;&lt;span&gt;A VERY SPECIAL EXHAUST TOTALLY HANDMADE AND WELDED BY OUR BEST WELDERS.&lt;/span&gt;&lt;/p&gt;_x000a_&lt;p&gt;ORIGINAL EXHAUST WEIGHT: 12 KG&lt;br&gt;ZARD FULL KIT WEIGHT: 8 KG&lt;/p&gt;_x000a_&lt;p&gt;&lt;span&gt;THE INSTALLATION OF ZARD EXHAUST DOES NOT IMPLY ANY MODIFICATION TO ECU.&lt;/span&gt;&lt;/p&gt;_x000a_&lt;p&gt;&lt;span&gt;HARD INCREASE, COMPARED TO THE ORIGINAL EXHAUST SYSTEM, IN TERMS OF TORQUE AND POWER AT ANY RANGE.&lt;/span&gt;&lt;/p&gt;_x000a_&lt;p&gt;ASTONISHING SOUND,&amp;nbsp;EXCLUSIVE DESIGN.&lt;/p&gt;_x000a_&lt;p&gt;FITTING KIT INCLUDED.&lt;/p&gt;_x000a_&lt;p&gt;PHOTOS BY ARRICK MAURICE&lt;/p&gt;"/>
    <s v="https://shop.officineitalianezard.it/contents/imgs/products/1_2310-zard-3.jpg"/>
    <m/>
    <m/>
  </r>
  <r>
    <s v="1586059820-11359"/>
    <s v="https://shop.officineitalianezard.it/en/products/"/>
    <m/>
    <s v="https://shop.officineitalianezard.it/en/ducati-zard-exhaust/"/>
    <s v="MONSTER 1200 S M.Y. 2016"/>
    <s v="https://shop.officineitalianezard.it/en/ducati-monster-1200-s-exhaust/"/>
    <s v="2&gt;1&gt;2 VERSION"/>
    <x v="229"/>
    <s v="FULL KIT"/>
    <s v="ZD125SKR"/>
    <s v="DUCATI MONSTER 1200 S"/>
    <n v="2162.9499999999998"/>
    <n v="2403.2800000000002"/>
    <s v="&lt;p&gt;2&amp;gt;1&amp;gt;2 STEEL RACING FULL KIT.&lt;/p&gt;_x000a_&lt;p&gt;&lt;span&gt;A VERY SPECIAL EXHAUST TOTALLY HANDMADE AND WELDED BY OUR BEST WELDERS.&lt;/span&gt;&lt;/p&gt;_x000a_&lt;p&gt;ORIGINAL EXHAUST WEIGHT: 12 KG&lt;br&gt;ZARD FULL KIT WEIGHT: 8 KG&lt;/p&gt;_x000a_&lt;p&gt;&lt;span&gt;THE INSTALLATION OF ZARD EXHAUST DOES NOT IMPLY ANY MODIFICATION TO ECU.&lt;/span&gt;&lt;/p&gt;_x000a_&lt;p&gt;&lt;span&gt;HARD INCREASE, COMPARED TO THE ORIGINAL EXHAUST SYSTEM, IN TERMS OF TORQUE AND POWER AT ANY RANGE.&lt;/span&gt;&lt;/p&gt;_x000a_&lt;p&gt;ASTONISHING SOUND,&amp;nbsp;EXCLUSIVE DESIGN.&lt;/p&gt;_x000a_&lt;p&gt;FITTING KIT INCLUDED.&lt;/p&gt;_x000a_&lt;p&gt;PHOTOS BY ARRICK MAURICE&lt;/p&gt;"/>
    <s v="https://shop.officineitalianezard.it/contents/imgs/products/1_2311-zard-2.jpg"/>
    <m/>
    <m/>
  </r>
  <r>
    <s v="1586059820-11360"/>
    <s v="https://shop.officineitalianezard.it/en/products/"/>
    <m/>
    <s v="https://shop.officineitalianezard.it/en/ducati-zard-exhaust/"/>
    <s v="MONSTER 1200 S M.Y. 2016"/>
    <s v="https://shop.officineitalianezard.it/en/ducati-monster-1200-s-exhaust/"/>
    <s v="2&gt;1&gt;2 VERSION"/>
    <x v="229"/>
    <s v="FULL KIT"/>
    <s v="ZD125SKR"/>
    <s v="DUCATI MONSTER 1200 S"/>
    <n v="2162.9499999999998"/>
    <n v="2403.2800000000002"/>
    <s v="&lt;p&gt;2&amp;gt;1&amp;gt;2 STEEL RACING FULL KIT.&lt;/p&gt;_x000a_&lt;p&gt;&lt;span&gt;A VERY SPECIAL EXHAUST TOTALLY HANDMADE AND WELDED BY OUR BEST WELDERS.&lt;/span&gt;&lt;/p&gt;_x000a_&lt;p&gt;ORIGINAL EXHAUST WEIGHT: 12 KG&lt;br&gt;ZARD FULL KIT WEIGHT: 8 KG&lt;/p&gt;_x000a_&lt;p&gt;&lt;span&gt;THE INSTALLATION OF ZARD EXHAUST DOES NOT IMPLY ANY MODIFICATION TO ECU.&lt;/span&gt;&lt;/p&gt;_x000a_&lt;p&gt;&lt;span&gt;HARD INCREASE, COMPARED TO THE ORIGINAL EXHAUST SYSTEM, IN TERMS OF TORQUE AND POWER AT ANY RANGE.&lt;/span&gt;&lt;/p&gt;_x000a_&lt;p&gt;ASTONISHING SOUND,&amp;nbsp;EXCLUSIVE DESIGN.&lt;/p&gt;_x000a_&lt;p&gt;FITTING KIT INCLUDED.&lt;/p&gt;_x000a_&lt;p&gt;PHOTOS BY ARRICK MAURICE&lt;/p&gt;"/>
    <s v="https://shop.officineitalianezard.it/contents/imgs/products/1_2312-zard-1.jpg"/>
    <m/>
    <m/>
  </r>
  <r>
    <s v="1586059820-11361"/>
    <s v="https://shop.officineitalianezard.it/en/products/"/>
    <m/>
    <s v="https://shop.officineitalianezard.it/en/ducati-zard-exhaust/"/>
    <s v="MONSTER 1200 S M.Y. 2016"/>
    <s v="https://shop.officineitalianezard.it/en/ducati-monster-1200-s-exhaust/"/>
    <s v="2&gt;1&gt;2 VERSION"/>
    <x v="229"/>
    <s v="FULL KIT"/>
    <s v="ZD125SKR"/>
    <s v="DUCATI MONSTER 1200 S"/>
    <n v="2162.9499999999998"/>
    <n v="2403.2800000000002"/>
    <s v="&lt;p&gt;2&amp;gt;1&amp;gt;2 STEEL RACING FULL KIT.&lt;/p&gt;_x000a_&lt;p&gt;&lt;span&gt;A VERY SPECIAL EXHAUST TOTALLY HANDMADE AND WELDED BY OUR BEST WELDERS.&lt;/span&gt;&lt;/p&gt;_x000a_&lt;p&gt;ORIGINAL EXHAUST WEIGHT: 12 KG&lt;br&gt;ZARD FULL KIT WEIGHT: 8 KG&lt;/p&gt;_x000a_&lt;p&gt;&lt;span&gt;THE INSTALLATION OF ZARD EXHAUST DOES NOT IMPLY ANY MODIFICATION TO ECU.&lt;/span&gt;&lt;/p&gt;_x000a_&lt;p&gt;&lt;span&gt;HARD INCREASE, COMPARED TO THE ORIGINAL EXHAUST SYSTEM, IN TERMS OF TORQUE AND POWER AT ANY RANGE.&lt;/span&gt;&lt;/p&gt;_x000a_&lt;p&gt;ASTONISHING SOUND,&amp;nbsp;EXCLUSIVE DESIGN.&lt;/p&gt;_x000a_&lt;p&gt;FITTING KIT INCLUDED.&lt;/p&gt;_x000a_&lt;p&gt;PHOTOS BY ARRICK MAURICE&lt;/p&gt;"/>
    <m/>
    <s v="FULL TITANIUM"/>
    <n v="846.15"/>
  </r>
  <r>
    <s v="1586059820-11362"/>
    <s v="https://shop.officineitalianezard.it/en/products/"/>
    <m/>
    <s v="https://shop.officineitalianezard.it/en/ducati-zard-exhaust/"/>
    <s v="MONSTER 1200 S M.Y. 2016"/>
    <s v="https://shop.officineitalianezard.it/en/ducati-monster-1200-s-exhaust/"/>
    <s v="2&gt;1&gt;2 VERSION"/>
    <x v="229"/>
    <s v="FULL KIT"/>
    <s v="ZD125SKR"/>
    <s v="DUCATI MONSTER 1200 S"/>
    <n v="2162.9499999999998"/>
    <n v="2403.2800000000002"/>
    <s v="&lt;p&gt;2&amp;gt;1&amp;gt;2 STEEL RACING FULL KIT.&lt;/p&gt;_x000a_&lt;p&gt;&lt;span&gt;A VERY SPECIAL EXHAUST TOTALLY HANDMADE AND WELDED BY OUR BEST WELDERS.&lt;/span&gt;&lt;/p&gt;_x000a_&lt;p&gt;ORIGINAL EXHAUST WEIGHT: 12 KG&lt;br&gt;ZARD FULL KIT WEIGHT: 8 KG&lt;/p&gt;_x000a_&lt;p&gt;&lt;span&gt;THE INSTALLATION OF ZARD EXHAUST DOES NOT IMPLY ANY MODIFICATION TO ECU.&lt;/span&gt;&lt;/p&gt;_x000a_&lt;p&gt;&lt;span&gt;HARD INCREASE, COMPARED TO THE ORIGINAL EXHAUST SYSTEM, IN TERMS OF TORQUE AND POWER AT ANY RANGE.&lt;/span&gt;&lt;/p&gt;_x000a_&lt;p&gt;ASTONISHING SOUND,&amp;nbsp;EXCLUSIVE DESIGN.&lt;/p&gt;_x000a_&lt;p&gt;FITTING KIT INCLUDED.&lt;/p&gt;_x000a_&lt;p&gt;PHOTOS BY ARRICK MAURICE&lt;/p&gt;"/>
    <m/>
    <s v="BLACK COATING"/>
    <n v="300.98"/>
  </r>
  <r>
    <s v="1586059825-11363"/>
    <s v="https://shop.officineitalianezard.it/en/products/"/>
    <m/>
    <s v="https://shop.officineitalianezard.it/en/ducati-zard-exhaust/"/>
    <s v="MONSTER 1200 R-S M.Y. 2016 &gt; 2018"/>
    <s v="https://shop.officineitalianezard.it/en/ducati-monster-1200-r-s-exhaust/"/>
    <s v="2&gt;1&gt;2 VERSION"/>
    <x v="230"/>
    <s v="FULL KIT"/>
    <s v="ZD126SKR"/>
    <s v="DUCATI MONSTER 1200 R"/>
    <n v="2210.16"/>
    <n v="2455.7399999999998"/>
    <s v="&lt;p&gt;2&amp;gt;1&amp;gt;2 STEEL RACING FULL KIT.&lt;/p&gt;_x000a_&lt;p&gt;&lt;span&gt;A VERY SPECIAL EXHAUST TOTALLY HANDMADE AND WELDED BY OUR BEST WELDERS.&lt;/span&gt;&lt;/p&gt;_x000a_&lt;p&gt;ORIGINAL EXHAUST WEIGHT: 12 KG&lt;br&gt;ZARD FULL KIT WEIGHT: 8 KG&lt;/p&gt;_x000a_&lt;p&gt;&lt;span&gt;THE INSTALLATION OF ZARD EXHAUST DOES NOT IMPLY ANY MODIFICATION TO ECU.&lt;/span&gt;&lt;/p&gt;_x000a_&lt;p&gt;&lt;span&gt;HARD INCREASE, COMPARED TO THE ORIGINAL EXHAUST SYSTEM, IN TERMS OF TORQUE AND POWER AT ANY RANGE.&lt;/span&gt;&lt;/p&gt;_x000a_&lt;p&gt;ASTONISHING SOUND,&amp;nbsp;EXCLUSIVE DESIGN.&lt;/p&gt;_x000a_&lt;p&gt;FITTING KIT INCLUDED.&lt;/p&gt;_x000a_&lt;p&gt;PHOTOS BY ARRICK MAURICE&lt;/p&gt;"/>
    <s v="https://shop.officineitalianezard.it/contents/imgs/products/1_1705-1.jpg"/>
    <m/>
    <m/>
  </r>
  <r>
    <s v="1586059825-11364"/>
    <s v="https://shop.officineitalianezard.it/en/products/"/>
    <m/>
    <s v="https://shop.officineitalianezard.it/en/ducati-zard-exhaust/"/>
    <s v="MONSTER 1200 R-S M.Y. 2016 &gt; 2018"/>
    <s v="https://shop.officineitalianezard.it/en/ducati-monster-1200-r-s-exhaust/"/>
    <s v="2&gt;1&gt;2 VERSION"/>
    <x v="230"/>
    <s v="FULL KIT"/>
    <s v="ZD126SKR"/>
    <s v="DUCATI MONSTER 1200 R"/>
    <n v="2210.16"/>
    <n v="2455.7399999999998"/>
    <s v="&lt;p&gt;2&amp;gt;1&amp;gt;2 STEEL RACING FULL KIT.&lt;/p&gt;_x000a_&lt;p&gt;&lt;span&gt;A VERY SPECIAL EXHAUST TOTALLY HANDMADE AND WELDED BY OUR BEST WELDERS.&lt;/span&gt;&lt;/p&gt;_x000a_&lt;p&gt;ORIGINAL EXHAUST WEIGHT: 12 KG&lt;br&gt;ZARD FULL KIT WEIGHT: 8 KG&lt;/p&gt;_x000a_&lt;p&gt;&lt;span&gt;THE INSTALLATION OF ZARD EXHAUST DOES NOT IMPLY ANY MODIFICATION TO ECU.&lt;/span&gt;&lt;/p&gt;_x000a_&lt;p&gt;&lt;span&gt;HARD INCREASE, COMPARED TO THE ORIGINAL EXHAUST SYSTEM, IN TERMS OF TORQUE AND POWER AT ANY RANGE.&lt;/span&gt;&lt;/p&gt;_x000a_&lt;p&gt;ASTONISHING SOUND,&amp;nbsp;EXCLUSIVE DESIGN.&lt;/p&gt;_x000a_&lt;p&gt;FITTING KIT INCLUDED.&lt;/p&gt;_x000a_&lt;p&gt;PHOTOS BY ARRICK MAURICE&lt;/p&gt;"/>
    <s v="https://shop.officineitalianezard.it/contents/imgs/products/1_1706-2.jpg"/>
    <m/>
    <m/>
  </r>
  <r>
    <s v="1586059825-11365"/>
    <s v="https://shop.officineitalianezard.it/en/products/"/>
    <m/>
    <s v="https://shop.officineitalianezard.it/en/ducati-zard-exhaust/"/>
    <s v="MONSTER 1200 R-S M.Y. 2016 &gt; 2018"/>
    <s v="https://shop.officineitalianezard.it/en/ducati-monster-1200-r-s-exhaust/"/>
    <s v="2&gt;1&gt;2 VERSION"/>
    <x v="230"/>
    <s v="FULL KIT"/>
    <s v="ZD126SKR"/>
    <s v="DUCATI MONSTER 1200 R"/>
    <n v="2210.16"/>
    <n v="2455.7399999999998"/>
    <s v="&lt;p&gt;2&amp;gt;1&amp;gt;2 STEEL RACING FULL KIT.&lt;/p&gt;_x000a_&lt;p&gt;&lt;span&gt;A VERY SPECIAL EXHAUST TOTALLY HANDMADE AND WELDED BY OUR BEST WELDERS.&lt;/span&gt;&lt;/p&gt;_x000a_&lt;p&gt;ORIGINAL EXHAUST WEIGHT: 12 KG&lt;br&gt;ZARD FULL KIT WEIGHT: 8 KG&lt;/p&gt;_x000a_&lt;p&gt;&lt;span&gt;THE INSTALLATION OF ZARD EXHAUST DOES NOT IMPLY ANY MODIFICATION TO ECU.&lt;/span&gt;&lt;/p&gt;_x000a_&lt;p&gt;&lt;span&gt;HARD INCREASE, COMPARED TO THE ORIGINAL EXHAUST SYSTEM, IN TERMS OF TORQUE AND POWER AT ANY RANGE.&lt;/span&gt;&lt;/p&gt;_x000a_&lt;p&gt;ASTONISHING SOUND,&amp;nbsp;EXCLUSIVE DESIGN.&lt;/p&gt;_x000a_&lt;p&gt;FITTING KIT INCLUDED.&lt;/p&gt;_x000a_&lt;p&gt;PHOTOS BY ARRICK MAURICE&lt;/p&gt;"/>
    <s v="https://shop.officineitalianezard.it/contents/imgs/products/1_2303-zard-5.jpg"/>
    <m/>
    <m/>
  </r>
  <r>
    <s v="1586059825-11366"/>
    <s v="https://shop.officineitalianezard.it/en/products/"/>
    <m/>
    <s v="https://shop.officineitalianezard.it/en/ducati-zard-exhaust/"/>
    <s v="MONSTER 1200 R-S M.Y. 2016 &gt; 2018"/>
    <s v="https://shop.officineitalianezard.it/en/ducati-monster-1200-r-s-exhaust/"/>
    <s v="2&gt;1&gt;2 VERSION"/>
    <x v="230"/>
    <s v="FULL KIT"/>
    <s v="ZD126SKR"/>
    <s v="DUCATI MONSTER 1200 R"/>
    <n v="2210.16"/>
    <n v="2455.7399999999998"/>
    <s v="&lt;p&gt;2&amp;gt;1&amp;gt;2 STEEL RACING FULL KIT.&lt;/p&gt;_x000a_&lt;p&gt;&lt;span&gt;A VERY SPECIAL EXHAUST TOTALLY HANDMADE AND WELDED BY OUR BEST WELDERS.&lt;/span&gt;&lt;/p&gt;_x000a_&lt;p&gt;ORIGINAL EXHAUST WEIGHT: 12 KG&lt;br&gt;ZARD FULL KIT WEIGHT: 8 KG&lt;/p&gt;_x000a_&lt;p&gt;&lt;span&gt;THE INSTALLATION OF ZARD EXHAUST DOES NOT IMPLY ANY MODIFICATION TO ECU.&lt;/span&gt;&lt;/p&gt;_x000a_&lt;p&gt;&lt;span&gt;HARD INCREASE, COMPARED TO THE ORIGINAL EXHAUST SYSTEM, IN TERMS OF TORQUE AND POWER AT ANY RANGE.&lt;/span&gt;&lt;/p&gt;_x000a_&lt;p&gt;ASTONISHING SOUND,&amp;nbsp;EXCLUSIVE DESIGN.&lt;/p&gt;_x000a_&lt;p&gt;FITTING KIT INCLUDED.&lt;/p&gt;_x000a_&lt;p&gt;PHOTOS BY ARRICK MAURICE&lt;/p&gt;"/>
    <s v="https://shop.officineitalianezard.it/contents/imgs/products/1_2304-zard-4.jpg"/>
    <m/>
    <m/>
  </r>
  <r>
    <s v="1586059825-11367"/>
    <s v="https://shop.officineitalianezard.it/en/products/"/>
    <m/>
    <s v="https://shop.officineitalianezard.it/en/ducati-zard-exhaust/"/>
    <s v="MONSTER 1200 R-S M.Y. 2016 &gt; 2018"/>
    <s v="https://shop.officineitalianezard.it/en/ducati-monster-1200-r-s-exhaust/"/>
    <s v="2&gt;1&gt;2 VERSION"/>
    <x v="230"/>
    <s v="FULL KIT"/>
    <s v="ZD126SKR"/>
    <s v="DUCATI MONSTER 1200 R"/>
    <n v="2210.16"/>
    <n v="2455.7399999999998"/>
    <s v="&lt;p&gt;2&amp;gt;1&amp;gt;2 STEEL RACING FULL KIT.&lt;/p&gt;_x000a_&lt;p&gt;&lt;span&gt;A VERY SPECIAL EXHAUST TOTALLY HANDMADE AND WELDED BY OUR BEST WELDERS.&lt;/span&gt;&lt;/p&gt;_x000a_&lt;p&gt;ORIGINAL EXHAUST WEIGHT: 12 KG&lt;br&gt;ZARD FULL KIT WEIGHT: 8 KG&lt;/p&gt;_x000a_&lt;p&gt;&lt;span&gt;THE INSTALLATION OF ZARD EXHAUST DOES NOT IMPLY ANY MODIFICATION TO ECU.&lt;/span&gt;&lt;/p&gt;_x000a_&lt;p&gt;&lt;span&gt;HARD INCREASE, COMPARED TO THE ORIGINAL EXHAUST SYSTEM, IN TERMS OF TORQUE AND POWER AT ANY RANGE.&lt;/span&gt;&lt;/p&gt;_x000a_&lt;p&gt;ASTONISHING SOUND,&amp;nbsp;EXCLUSIVE DESIGN.&lt;/p&gt;_x000a_&lt;p&gt;FITTING KIT INCLUDED.&lt;/p&gt;_x000a_&lt;p&gt;PHOTOS BY ARRICK MAURICE&lt;/p&gt;"/>
    <s v="https://shop.officineitalianezard.it/contents/imgs/products/1_2305-zard-3.jpg"/>
    <m/>
    <m/>
  </r>
  <r>
    <s v="1586059825-11368"/>
    <s v="https://shop.officineitalianezard.it/en/products/"/>
    <m/>
    <s v="https://shop.officineitalianezard.it/en/ducati-zard-exhaust/"/>
    <s v="MONSTER 1200 R-S M.Y. 2016 &gt; 2018"/>
    <s v="https://shop.officineitalianezard.it/en/ducati-monster-1200-r-s-exhaust/"/>
    <s v="2&gt;1&gt;2 VERSION"/>
    <x v="230"/>
    <s v="FULL KIT"/>
    <s v="ZD126SKR"/>
    <s v="DUCATI MONSTER 1200 R"/>
    <n v="2210.16"/>
    <n v="2455.7399999999998"/>
    <s v="&lt;p&gt;2&amp;gt;1&amp;gt;2 STEEL RACING FULL KIT.&lt;/p&gt;_x000a_&lt;p&gt;&lt;span&gt;A VERY SPECIAL EXHAUST TOTALLY HANDMADE AND WELDED BY OUR BEST WELDERS.&lt;/span&gt;&lt;/p&gt;_x000a_&lt;p&gt;ORIGINAL EXHAUST WEIGHT: 12 KG&lt;br&gt;ZARD FULL KIT WEIGHT: 8 KG&lt;/p&gt;_x000a_&lt;p&gt;&lt;span&gt;THE INSTALLATION OF ZARD EXHAUST DOES NOT IMPLY ANY MODIFICATION TO ECU.&lt;/span&gt;&lt;/p&gt;_x000a_&lt;p&gt;&lt;span&gt;HARD INCREASE, COMPARED TO THE ORIGINAL EXHAUST SYSTEM, IN TERMS OF TORQUE AND POWER AT ANY RANGE.&lt;/span&gt;&lt;/p&gt;_x000a_&lt;p&gt;ASTONISHING SOUND,&amp;nbsp;EXCLUSIVE DESIGN.&lt;/p&gt;_x000a_&lt;p&gt;FITTING KIT INCLUDED.&lt;/p&gt;_x000a_&lt;p&gt;PHOTOS BY ARRICK MAURICE&lt;/p&gt;"/>
    <s v="https://shop.officineitalianezard.it/contents/imgs/products/1_2306-zard-2.jpg"/>
    <m/>
    <m/>
  </r>
  <r>
    <s v="1586059825-11369"/>
    <s v="https://shop.officineitalianezard.it/en/products/"/>
    <m/>
    <s v="https://shop.officineitalianezard.it/en/ducati-zard-exhaust/"/>
    <s v="MONSTER 1200 R-S M.Y. 2016 &gt; 2018"/>
    <s v="https://shop.officineitalianezard.it/en/ducati-monster-1200-r-s-exhaust/"/>
    <s v="2&gt;1&gt;2 VERSION"/>
    <x v="230"/>
    <s v="FULL KIT"/>
    <s v="ZD126SKR"/>
    <s v="DUCATI MONSTER 1200 R"/>
    <n v="2210.16"/>
    <n v="2455.7399999999998"/>
    <s v="&lt;p&gt;2&amp;gt;1&amp;gt;2 STEEL RACING FULL KIT.&lt;/p&gt;_x000a_&lt;p&gt;&lt;span&gt;A VERY SPECIAL EXHAUST TOTALLY HANDMADE AND WELDED BY OUR BEST WELDERS.&lt;/span&gt;&lt;/p&gt;_x000a_&lt;p&gt;ORIGINAL EXHAUST WEIGHT: 12 KG&lt;br&gt;ZARD FULL KIT WEIGHT: 8 KG&lt;/p&gt;_x000a_&lt;p&gt;&lt;span&gt;THE INSTALLATION OF ZARD EXHAUST DOES NOT IMPLY ANY MODIFICATION TO ECU.&lt;/span&gt;&lt;/p&gt;_x000a_&lt;p&gt;&lt;span&gt;HARD INCREASE, COMPARED TO THE ORIGINAL EXHAUST SYSTEM, IN TERMS OF TORQUE AND POWER AT ANY RANGE.&lt;/span&gt;&lt;/p&gt;_x000a_&lt;p&gt;ASTONISHING SOUND,&amp;nbsp;EXCLUSIVE DESIGN.&lt;/p&gt;_x000a_&lt;p&gt;FITTING KIT INCLUDED.&lt;/p&gt;_x000a_&lt;p&gt;PHOTOS BY ARRICK MAURICE&lt;/p&gt;"/>
    <s v="https://shop.officineitalianezard.it/contents/imgs/products/1_2307-zard-1.jpg"/>
    <m/>
    <m/>
  </r>
  <r>
    <s v="1586059825-11370"/>
    <s v="https://shop.officineitalianezard.it/en/products/"/>
    <m/>
    <s v="https://shop.officineitalianezard.it/en/ducati-zard-exhaust/"/>
    <s v="MONSTER 1200 R-S M.Y. 2016 &gt; 2018"/>
    <s v="https://shop.officineitalianezard.it/en/ducati-monster-1200-r-s-exhaust/"/>
    <s v="2&gt;1&gt;2 VERSION"/>
    <x v="230"/>
    <s v="FULL KIT"/>
    <s v="ZD126SKR"/>
    <s v="DUCATI MONSTER 1200 R"/>
    <n v="2210.16"/>
    <n v="2455.7399999999998"/>
    <s v="&lt;p&gt;2&amp;gt;1&amp;gt;2 STEEL RACING FULL KIT.&lt;/p&gt;_x000a_&lt;p&gt;&lt;span&gt;A VERY SPECIAL EXHAUST TOTALLY HANDMADE AND WELDED BY OUR BEST WELDERS.&lt;/span&gt;&lt;/p&gt;_x000a_&lt;p&gt;ORIGINAL EXHAUST WEIGHT: 12 KG&lt;br&gt;ZARD FULL KIT WEIGHT: 8 KG&lt;/p&gt;_x000a_&lt;p&gt;&lt;span&gt;THE INSTALLATION OF ZARD EXHAUST DOES NOT IMPLY ANY MODIFICATION TO ECU.&lt;/span&gt;&lt;/p&gt;_x000a_&lt;p&gt;&lt;span&gt;HARD INCREASE, COMPARED TO THE ORIGINAL EXHAUST SYSTEM, IN TERMS OF TORQUE AND POWER AT ANY RANGE.&lt;/span&gt;&lt;/p&gt;_x000a_&lt;p&gt;ASTONISHING SOUND,&amp;nbsp;EXCLUSIVE DESIGN.&lt;/p&gt;_x000a_&lt;p&gt;FITTING KIT INCLUDED.&lt;/p&gt;_x000a_&lt;p&gt;PHOTOS BY ARRICK MAURICE&lt;/p&gt;"/>
    <m/>
    <s v="FULL TITANIUM"/>
    <n v="846.15"/>
  </r>
  <r>
    <s v="1586059825-11371"/>
    <s v="https://shop.officineitalianezard.it/en/products/"/>
    <m/>
    <s v="https://shop.officineitalianezard.it/en/ducati-zard-exhaust/"/>
    <s v="MONSTER 1200 R-S M.Y. 2016 &gt; 2018"/>
    <s v="https://shop.officineitalianezard.it/en/ducati-monster-1200-r-s-exhaust/"/>
    <s v="2&gt;1&gt;2 VERSION"/>
    <x v="230"/>
    <s v="FULL KIT"/>
    <s v="ZD126SKR"/>
    <s v="DUCATI MONSTER 1200 R"/>
    <n v="2210.16"/>
    <n v="2455.7399999999998"/>
    <s v="&lt;p&gt;2&amp;gt;1&amp;gt;2 STEEL RACING FULL KIT.&lt;/p&gt;_x000a_&lt;p&gt;&lt;span&gt;A VERY SPECIAL EXHAUST TOTALLY HANDMADE AND WELDED BY OUR BEST WELDERS.&lt;/span&gt;&lt;/p&gt;_x000a_&lt;p&gt;ORIGINAL EXHAUST WEIGHT: 12 KG&lt;br&gt;ZARD FULL KIT WEIGHT: 8 KG&lt;/p&gt;_x000a_&lt;p&gt;&lt;span&gt;THE INSTALLATION OF ZARD EXHAUST DOES NOT IMPLY ANY MODIFICATION TO ECU.&lt;/span&gt;&lt;/p&gt;_x000a_&lt;p&gt;&lt;span&gt;HARD INCREASE, COMPARED TO THE ORIGINAL EXHAUST SYSTEM, IN TERMS OF TORQUE AND POWER AT ANY RANGE.&lt;/span&gt;&lt;/p&gt;_x000a_&lt;p&gt;ASTONISHING SOUND,&amp;nbsp;EXCLUSIVE DESIGN.&lt;/p&gt;_x000a_&lt;p&gt;FITTING KIT INCLUDED.&lt;/p&gt;_x000a_&lt;p&gt;PHOTOS BY ARRICK MAURICE&lt;/p&gt;"/>
    <m/>
    <s v="BLACK COATING"/>
    <n v="300.98"/>
  </r>
  <r>
    <s v="1586059830-11372"/>
    <s v="https://shop.officineitalianezard.it/en/products/"/>
    <m/>
    <s v="https://shop.officineitalianezard.it/en/ducati-zard-exhaust/"/>
    <s v="MONSTER 1100 EVO"/>
    <s v="https://shop.officineitalianezard.it/en/ducati-monster-1100-evo-exhaust/"/>
    <s v="OVERLAPPED VERSION"/>
    <x v="231"/>
    <s v="SILENCERS"/>
    <s v="ZD118CSR"/>
    <s v="DUCATI MONSTER 1100 EVO"/>
    <n v="668.36"/>
    <n v="742.62"/>
    <s v="&lt;p&gt;STEEL-CARBON SILENCERS RACING WITH REMOVABLE DB KILLER&lt;/p&gt;_x000a_&lt;p&gt;CARBON HEAT SHIELD&lt;/p&gt;_x000a_&lt;p&gt;ALUMINIUM BLACK MACHINED FROM SOLID END-CAP.&lt;/p&gt;_x000a_&lt;p&gt;ORIGINAL EXHAUST WEIGHT: 5.8 KG&lt;br&gt;ZARD SILENCERS WEIGHT: KG 3.3&lt;/p&gt;_x000a_&lt;p&gt;HARD INCREASE, COMPARED TO THE ORIGINAL EXHAUST SYSTEM, IN TERMS OF TORQUE AND POWER AT ANY RANGE.&lt;/p&gt;_x000a_&lt;p&gt;ASTONISHING SOUND.&lt;/p&gt;"/>
    <s v="https://shop.officineitalianezard.it/contents/imgs/products/1_557-scarichi%20moto%20ducati%20monster%201100%20evo%20zard.jpg"/>
    <m/>
    <m/>
  </r>
  <r>
    <s v="1586059830-11373"/>
    <s v="https://shop.officineitalianezard.it/en/products/"/>
    <m/>
    <s v="https://shop.officineitalianezard.it/en/ducati-zard-exhaust/"/>
    <s v="MONSTER 1100 EVO"/>
    <s v="https://shop.officineitalianezard.it/en/ducati-monster-1100-evo-exhaust/"/>
    <s v="OVERLAPPED VERSION"/>
    <x v="231"/>
    <s v="SILENCERS"/>
    <s v="ZD118CSR"/>
    <s v="DUCATI MONSTER 1100 EVO"/>
    <n v="668.36"/>
    <n v="742.62"/>
    <s v="&lt;p&gt;STEEL-CARBON SILENCERS RACING WITH REMOVABLE DB KILLER&lt;/p&gt;_x000a_&lt;p&gt;CARBON HEAT SHIELD&lt;/p&gt;_x000a_&lt;p&gt;ALUMINIUM BLACK MACHINED FROM SOLID END-CAP.&lt;/p&gt;_x000a_&lt;p&gt;ORIGINAL EXHAUST WEIGHT: 5.8 KG&lt;br&gt;ZARD SILENCERS WEIGHT: KG 3.3&lt;/p&gt;_x000a_&lt;p&gt;HARD INCREASE, COMPARED TO THE ORIGINAL EXHAUST SYSTEM, IN TERMS OF TORQUE AND POWER AT ANY RANGE.&lt;/p&gt;_x000a_&lt;p&gt;ASTONISHING SOUND.&lt;/p&gt;"/>
    <s v="https://shop.officineitalianezard.it/contents/imgs/products/1_555-scarichi%20moto%20ducati%20monster%201100%20evo%20zard%202.jpg"/>
    <m/>
    <m/>
  </r>
  <r>
    <s v="1586059830-11374"/>
    <s v="https://shop.officineitalianezard.it/en/products/"/>
    <m/>
    <s v="https://shop.officineitalianezard.it/en/ducati-zard-exhaust/"/>
    <s v="MONSTER 1100 EVO"/>
    <s v="https://shop.officineitalianezard.it/en/ducati-monster-1100-evo-exhaust/"/>
    <s v="OVERLAPPED VERSION"/>
    <x v="231"/>
    <s v="SILENCERS"/>
    <s v="ZD118CSR"/>
    <s v="DUCATI MONSTER 1100 EVO"/>
    <n v="668.36"/>
    <n v="742.62"/>
    <s v="&lt;p&gt;STEEL-CARBON SILENCERS RACING WITH REMOVABLE DB KILLER&lt;/p&gt;_x000a_&lt;p&gt;CARBON HEAT SHIELD&lt;/p&gt;_x000a_&lt;p&gt;ALUMINIUM BLACK MACHINED FROM SOLID END-CAP.&lt;/p&gt;_x000a_&lt;p&gt;ORIGINAL EXHAUST WEIGHT: 5.8 KG&lt;br&gt;ZARD SILENCERS WEIGHT: KG 3.3&lt;/p&gt;_x000a_&lt;p&gt;HARD INCREASE, COMPARED TO THE ORIGINAL EXHAUST SYSTEM, IN TERMS OF TORQUE AND POWER AT ANY RANGE.&lt;/p&gt;_x000a_&lt;p&gt;ASTONISHING SOUND.&lt;/p&gt;"/>
    <s v="https://shop.officineitalianezard.it/contents/imgs/products/1_556-scarichi%20moto%20ducati%20monster%201100%20evo%20zard%203.jpg"/>
    <m/>
    <m/>
  </r>
  <r>
    <s v="1586059830-11375"/>
    <s v="https://shop.officineitalianezard.it/en/products/"/>
    <m/>
    <s v="https://shop.officineitalianezard.it/en/ducati-zard-exhaust/"/>
    <s v="MONSTER 1100 EVO"/>
    <s v="https://shop.officineitalianezard.it/en/ducati-monster-1100-evo-exhaust/"/>
    <s v="OVERLAPPED VERSION"/>
    <x v="231"/>
    <s v="SILENCERS"/>
    <s v="ZD118CSR"/>
    <s v="DUCATI MONSTER 1100 EVO"/>
    <n v="668.36"/>
    <n v="742.62"/>
    <s v="&lt;p&gt;STEEL-CARBON SILENCERS RACING WITH REMOVABLE DB KILLER&lt;/p&gt;_x000a_&lt;p&gt;CARBON HEAT SHIELD&lt;/p&gt;_x000a_&lt;p&gt;ALUMINIUM BLACK MACHINED FROM SOLID END-CAP.&lt;/p&gt;_x000a_&lt;p&gt;ORIGINAL EXHAUST WEIGHT: 5.8 KG&lt;br&gt;ZARD SILENCERS WEIGHT: KG 3.3&lt;/p&gt;_x000a_&lt;p&gt;HARD INCREASE, COMPARED TO THE ORIGINAL EXHAUST SYSTEM, IN TERMS OF TORQUE AND POWER AT ANY RANGE.&lt;/p&gt;_x000a_&lt;p&gt;ASTONISHING SOUND.&lt;/p&gt;"/>
    <s v="https://shop.officineitalianezard.it/contents/imgs/products/1_559-scarichi%20moto%20ducati%20zard.jpg"/>
    <m/>
    <m/>
  </r>
  <r>
    <s v="1586059830-11376"/>
    <s v="https://shop.officineitalianezard.it/en/products/"/>
    <m/>
    <s v="https://shop.officineitalianezard.it/en/ducati-zard-exhaust/"/>
    <s v="MONSTER 1100 EVO"/>
    <s v="https://shop.officineitalianezard.it/en/ducati-monster-1100-evo-exhaust/"/>
    <s v="OVERLAPPED VERSION"/>
    <x v="231"/>
    <s v="SILENCERS"/>
    <s v="ZD118CSR"/>
    <s v="DUCATI MONSTER 1100 EVO"/>
    <n v="668.36"/>
    <n v="742.62"/>
    <s v="&lt;p&gt;STEEL-CARBON SILENCERS RACING WITH REMOVABLE DB KILLER&lt;/p&gt;_x000a_&lt;p&gt;CARBON HEAT SHIELD&lt;/p&gt;_x000a_&lt;p&gt;ALUMINIUM BLACK MACHINED FROM SOLID END-CAP.&lt;/p&gt;_x000a_&lt;p&gt;ORIGINAL EXHAUST WEIGHT: 5.8 KG&lt;br&gt;ZARD SILENCERS WEIGHT: KG 3.3&lt;/p&gt;_x000a_&lt;p&gt;HARD INCREASE, COMPARED TO THE ORIGINAL EXHAUST SYSTEM, IN TERMS OF TORQUE AND POWER AT ANY RANGE.&lt;/p&gt;_x000a_&lt;p&gt;ASTONISHING SOUND.&lt;/p&gt;"/>
    <m/>
    <s v="STEEL-CARBON HOMOLOGATED"/>
    <n v="49.43"/>
  </r>
  <r>
    <s v="1586059830-11377"/>
    <s v="https://shop.officineitalianezard.it/en/products/"/>
    <m/>
    <s v="https://shop.officineitalianezard.it/en/ducati-zard-exhaust/"/>
    <s v="MONSTER 1100 EVO"/>
    <s v="https://shop.officineitalianezard.it/en/ducati-monster-1100-evo-exhaust/"/>
    <s v="OVERLAPPED VERSION"/>
    <x v="231"/>
    <s v="SILENCERS"/>
    <s v="ZD118CSR"/>
    <s v="DUCATI MONSTER 1100 EVO"/>
    <n v="668.36"/>
    <n v="742.62"/>
    <s v="&lt;p&gt;STEEL-CARBON SILENCERS RACING WITH REMOVABLE DB KILLER&lt;/p&gt;_x000a_&lt;p&gt;CARBON HEAT SHIELD&lt;/p&gt;_x000a_&lt;p&gt;ALUMINIUM BLACK MACHINED FROM SOLID END-CAP.&lt;/p&gt;_x000a_&lt;p&gt;ORIGINAL EXHAUST WEIGHT: 5.8 KG&lt;br&gt;ZARD SILENCERS WEIGHT: KG 3.3&lt;/p&gt;_x000a_&lt;p&gt;HARD INCREASE, COMPARED TO THE ORIGINAL EXHAUST SYSTEM, IN TERMS OF TORQUE AND POWER AT ANY RANGE.&lt;/p&gt;_x000a_&lt;p&gt;ASTONISHING SOUND.&lt;/p&gt;"/>
    <m/>
    <s v="STEEL TITANIUM RACING"/>
    <n v="0"/>
  </r>
  <r>
    <s v="1586059830-11378"/>
    <s v="https://shop.officineitalianezard.it/en/products/"/>
    <m/>
    <s v="https://shop.officineitalianezard.it/en/ducati-zard-exhaust/"/>
    <s v="MONSTER 1100 EVO"/>
    <s v="https://shop.officineitalianezard.it/en/ducati-monster-1100-evo-exhaust/"/>
    <s v="OVERLAPPED VERSION"/>
    <x v="231"/>
    <s v="SILENCERS"/>
    <s v="ZD118CSR"/>
    <s v="DUCATI MONSTER 1100 EVO"/>
    <n v="668.36"/>
    <n v="742.62"/>
    <s v="&lt;p&gt;STEEL-CARBON SILENCERS RACING WITH REMOVABLE DB KILLER&lt;/p&gt;_x000a_&lt;p&gt;CARBON HEAT SHIELD&lt;/p&gt;_x000a_&lt;p&gt;ALUMINIUM BLACK MACHINED FROM SOLID END-CAP.&lt;/p&gt;_x000a_&lt;p&gt;ORIGINAL EXHAUST WEIGHT: 5.8 KG&lt;br&gt;ZARD SILENCERS WEIGHT: KG 3.3&lt;/p&gt;_x000a_&lt;p&gt;HARD INCREASE, COMPARED TO THE ORIGINAL EXHAUST SYSTEM, IN TERMS OF TORQUE AND POWER AT ANY RANGE.&lt;/p&gt;_x000a_&lt;p&gt;ASTONISHING SOUND.&lt;/p&gt;"/>
    <m/>
    <s v="STEEL-TITANIUM HOMOLOGATED"/>
    <n v="49.43"/>
  </r>
  <r>
    <s v="1586059834-11379"/>
    <s v="https://shop.officineitalianezard.it/en/products/"/>
    <m/>
    <s v="https://shop.officineitalianezard.it/en/ducati-zard-exhaust/"/>
    <s v="MONSTER 821 2015/17"/>
    <s v="https://shop.officineitalianezard.it/en/ducati-monster-821-exhaust/"/>
    <s v="STEEL VERSION"/>
    <x v="232"/>
    <s v="SILENCER"/>
    <s v="ZD119SSR"/>
    <s v="DUCATI MONSTER 821 2015/17"/>
    <n v="561.39"/>
    <n v="623.77"/>
    <s v="&lt;p&gt;CARBON RACING SILENCER WITH REMOVABLE DB KILLER.&lt;/p&gt;_x000a_&lt;p&gt;CARBON END CAP.&lt;/p&gt;_x000a_&lt;p&gt;CARBON HEAT SHIELDS.&lt;/p&gt;_x000a_&lt;p&gt;ORIGINAL SILENCER WEIGHT: 5,3KG&lt;br&gt;ZARD SILENCER WEIGHT: 2KG&lt;/p&gt;_x000a_&lt;p&gt;HARD INCREASE, COMPARED TO THE ORIGINAL EXHAUST SYSTEM, IN TERMS OF TORQUE AND POWER AT ANY RANGE.&lt;/p&gt;_x000a_&lt;p&gt;ASTONISHING SOUND.&lt;/p&gt;"/>
    <s v="https://shop.officineitalianezard.it/contents/imgs/products/1_1309-1.jpg"/>
    <m/>
    <m/>
  </r>
  <r>
    <s v="1586059834-11380"/>
    <s v="https://shop.officineitalianezard.it/en/products/"/>
    <m/>
    <s v="https://shop.officineitalianezard.it/en/ducati-zard-exhaust/"/>
    <s v="MONSTER 821 2015/17"/>
    <s v="https://shop.officineitalianezard.it/en/ducati-monster-821-exhaust/"/>
    <s v="STEEL VERSION"/>
    <x v="232"/>
    <s v="SILENCER"/>
    <s v="ZD119SSR"/>
    <s v="DUCATI MONSTER 821 2015/17"/>
    <n v="561.39"/>
    <n v="623.77"/>
    <s v="&lt;p&gt;CARBON RACING SILENCER WITH REMOVABLE DB KILLER.&lt;/p&gt;_x000a_&lt;p&gt;CARBON END CAP.&lt;/p&gt;_x000a_&lt;p&gt;CARBON HEAT SHIELDS.&lt;/p&gt;_x000a_&lt;p&gt;ORIGINAL SILENCER WEIGHT: 5,3KG&lt;br&gt;ZARD SILENCER WEIGHT: 2KG&lt;/p&gt;_x000a_&lt;p&gt;HARD INCREASE, COMPARED TO THE ORIGINAL EXHAUST SYSTEM, IN TERMS OF TORQUE AND POWER AT ANY RANGE.&lt;/p&gt;_x000a_&lt;p&gt;ASTONISHING SOUND.&lt;/p&gt;"/>
    <s v="https://shop.officineitalianezard.it/contents/imgs/products/1_1310-2.jpg"/>
    <m/>
    <m/>
  </r>
  <r>
    <s v="1586059834-11381"/>
    <s v="https://shop.officineitalianezard.it/en/products/"/>
    <m/>
    <s v="https://shop.officineitalianezard.it/en/ducati-zard-exhaust/"/>
    <s v="MONSTER 821 2015/17"/>
    <s v="https://shop.officineitalianezard.it/en/ducati-monster-821-exhaust/"/>
    <s v="STEEL VERSION"/>
    <x v="232"/>
    <s v="SILENCER"/>
    <s v="ZD119SSR"/>
    <s v="DUCATI MONSTER 821 2015/17"/>
    <n v="561.39"/>
    <n v="623.77"/>
    <s v="&lt;p&gt;CARBON RACING SILENCER WITH REMOVABLE DB KILLER.&lt;/p&gt;_x000a_&lt;p&gt;CARBON END CAP.&lt;/p&gt;_x000a_&lt;p&gt;CARBON HEAT SHIELDS.&lt;/p&gt;_x000a_&lt;p&gt;ORIGINAL SILENCER WEIGHT: 5,3KG&lt;br&gt;ZARD SILENCER WEIGHT: 2KG&lt;/p&gt;_x000a_&lt;p&gt;HARD INCREASE, COMPARED TO THE ORIGINAL EXHAUST SYSTEM, IN TERMS OF TORQUE AND POWER AT ANY RANGE.&lt;/p&gt;_x000a_&lt;p&gt;ASTONISHING SOUND.&lt;/p&gt;"/>
    <s v="https://shop.officineitalianezard.it/contents/imgs/products/1_1311-4.jpg"/>
    <m/>
    <m/>
  </r>
  <r>
    <s v="1586059840-11382"/>
    <s v="https://shop.officineitalianezard.it/en/products/"/>
    <m/>
    <s v="https://shop.officineitalianezard.it/en/ducati-zard-exhaust/"/>
    <s v="MONSTER 797 2017/19"/>
    <s v="https://shop.officineitalianezard.it/en/ducati-monster-797-exhaust/"/>
    <s v="CONICAL VERSION"/>
    <x v="233"/>
    <s v="2&gt;1 FULL KIT"/>
    <s v="ZD789SKR"/>
    <s v="DUCATI MONSTER 797 2017/19"/>
    <n v="886.72"/>
    <n v="985.25"/>
    <s v="&lt;div class=&quot;page-product-descr product-font-size text-font&quot;&gt;_x000a_&lt;p&gt;&lt;strong&gt;AVAILABLE ON DEMAND ONLY. DELIVERY 4 WORKING WEEKS FROM ORDER.&lt;/strong&gt;&lt;/p&gt;_x000a_&lt;p&gt;2&amp;gt;1 STEEL&amp;nbsp;RACING FULL KIT&amp;nbsp;&lt;/p&gt;_x000a_&lt;p&gt;ORIGINAL FULL KIT WEIGHT: 8.5 KG&lt;br&gt;ZARD FULL KIT WEIGHT: 1.4 KG&lt;/p&gt;_x000a_&lt;p&gt;&lt;span&gt;A VERY SPECIAL EXHAUST TOTALLY HANDMADE AND WELDED BY OUR BEST WELDERS.&lt;/span&gt;&lt;/p&gt;_x000a_&lt;p&gt;FITTING KIT INCLUDED.&lt;/p&gt;_x000a_&lt;p&gt;&lt;strong&gt;NOTE&lt;/strong&gt;: HEAD OUTPUT NOT INCLUDED, PLEASE USE OEM&amp;nbsp;DUCATI ONE.&lt;/p&gt;_x000a_&lt;p&gt;ALL THE PHOTOS SHOW THE FULL TITANIUM VERSION&lt;/p&gt;_x000a_&lt;p&gt;&lt;span&gt;LOUD&amp;nbsp;SOUND,&amp;nbsp;EXCLUSIVE DESIGN.&lt;/span&gt;&lt;/p&gt;_x000a_&lt;/div&gt;"/>
    <s v="https://shop.officineitalianezard.it/contents/imgs/products/1_1959-1.jpg"/>
    <m/>
    <m/>
  </r>
  <r>
    <s v="1586059840-11383"/>
    <s v="https://shop.officineitalianezard.it/en/products/"/>
    <m/>
    <s v="https://shop.officineitalianezard.it/en/ducati-zard-exhaust/"/>
    <s v="MONSTER 797 2017/19"/>
    <s v="https://shop.officineitalianezard.it/en/ducati-monster-797-exhaust/"/>
    <s v="CONICAL VERSION"/>
    <x v="233"/>
    <s v="2&gt;1 FULL KIT"/>
    <s v="ZD789SKR"/>
    <s v="DUCATI MONSTER 797 2017/19"/>
    <n v="886.72"/>
    <n v="985.25"/>
    <s v="&lt;div class=&quot;page-product-descr product-font-size text-font&quot;&gt;_x000a_&lt;p&gt;&lt;strong&gt;AVAILABLE ON DEMAND ONLY. DELIVERY 4 WORKING WEEKS FROM ORDER.&lt;/strong&gt;&lt;/p&gt;_x000a_&lt;p&gt;2&amp;gt;1 STEEL&amp;nbsp;RACING FULL KIT&amp;nbsp;&lt;/p&gt;_x000a_&lt;p&gt;ORIGINAL FULL KIT WEIGHT: 8.5 KG&lt;br&gt;ZARD FULL KIT WEIGHT: 1.4 KG&lt;/p&gt;_x000a_&lt;p&gt;&lt;span&gt;A VERY SPECIAL EXHAUST TOTALLY HANDMADE AND WELDED BY OUR BEST WELDERS.&lt;/span&gt;&lt;/p&gt;_x000a_&lt;p&gt;FITTING KIT INCLUDED.&lt;/p&gt;_x000a_&lt;p&gt;&lt;strong&gt;NOTE&lt;/strong&gt;: HEAD OUTPUT NOT INCLUDED, PLEASE USE OEM&amp;nbsp;DUCATI ONE.&lt;/p&gt;_x000a_&lt;p&gt;ALL THE PHOTOS SHOW THE FULL TITANIUM VERSION&lt;/p&gt;_x000a_&lt;p&gt;&lt;span&gt;LOUD&amp;nbsp;SOUND,&amp;nbsp;EXCLUSIVE DESIGN.&lt;/span&gt;&lt;/p&gt;_x000a_&lt;/div&gt;"/>
    <s v="https://shop.officineitalianezard.it/contents/imgs/products/1_1958-2.jpg"/>
    <m/>
    <m/>
  </r>
  <r>
    <s v="1586059840-11384"/>
    <s v="https://shop.officineitalianezard.it/en/products/"/>
    <m/>
    <s v="https://shop.officineitalianezard.it/en/ducati-zard-exhaust/"/>
    <s v="MONSTER 797 2017/19"/>
    <s v="https://shop.officineitalianezard.it/en/ducati-monster-797-exhaust/"/>
    <s v="CONICAL VERSION"/>
    <x v="233"/>
    <s v="2&gt;1 FULL KIT"/>
    <s v="ZD789SKR"/>
    <s v="DUCATI MONSTER 797 2017/19"/>
    <n v="886.72"/>
    <n v="985.25"/>
    <s v="&lt;div class=&quot;page-product-descr product-font-size text-font&quot;&gt;_x000a_&lt;p&gt;&lt;strong&gt;AVAILABLE ON DEMAND ONLY. DELIVERY 4 WORKING WEEKS FROM ORDER.&lt;/strong&gt;&lt;/p&gt;_x000a_&lt;p&gt;2&amp;gt;1 STEEL&amp;nbsp;RACING FULL KIT&amp;nbsp;&lt;/p&gt;_x000a_&lt;p&gt;ORIGINAL FULL KIT WEIGHT: 8.5 KG&lt;br&gt;ZARD FULL KIT WEIGHT: 1.4 KG&lt;/p&gt;_x000a_&lt;p&gt;&lt;span&gt;A VERY SPECIAL EXHAUST TOTALLY HANDMADE AND WELDED BY OUR BEST WELDERS.&lt;/span&gt;&lt;/p&gt;_x000a_&lt;p&gt;FITTING KIT INCLUDED.&lt;/p&gt;_x000a_&lt;p&gt;&lt;strong&gt;NOTE&lt;/strong&gt;: HEAD OUTPUT NOT INCLUDED, PLEASE USE OEM&amp;nbsp;DUCATI ONE.&lt;/p&gt;_x000a_&lt;p&gt;ALL THE PHOTOS SHOW THE FULL TITANIUM VERSION&lt;/p&gt;_x000a_&lt;p&gt;&lt;span&gt;LOUD&amp;nbsp;SOUND,&amp;nbsp;EXCLUSIVE DESIGN.&lt;/span&gt;&lt;/p&gt;_x000a_&lt;/div&gt;"/>
    <s v="https://shop.officineitalianezard.it/contents/imgs/products/1_1960-3.jpg"/>
    <m/>
    <m/>
  </r>
  <r>
    <s v="1586059840-11385"/>
    <s v="https://shop.officineitalianezard.it/en/products/"/>
    <m/>
    <s v="https://shop.officineitalianezard.it/en/ducati-zard-exhaust/"/>
    <s v="MONSTER 797 2017/19"/>
    <s v="https://shop.officineitalianezard.it/en/ducati-monster-797-exhaust/"/>
    <s v="CONICAL VERSION"/>
    <x v="233"/>
    <s v="2&gt;1 FULL KIT"/>
    <s v="ZD789SKR"/>
    <s v="DUCATI MONSTER 797 2017/19"/>
    <n v="886.72"/>
    <n v="985.25"/>
    <s v="&lt;div class=&quot;page-product-descr product-font-size text-font&quot;&gt;_x000a_&lt;p&gt;&lt;strong&gt;AVAILABLE ON DEMAND ONLY. DELIVERY 4 WORKING WEEKS FROM ORDER.&lt;/strong&gt;&lt;/p&gt;_x000a_&lt;p&gt;2&amp;gt;1 STEEL&amp;nbsp;RACING FULL KIT&amp;nbsp;&lt;/p&gt;_x000a_&lt;p&gt;ORIGINAL FULL KIT WEIGHT: 8.5 KG&lt;br&gt;ZARD FULL KIT WEIGHT: 1.4 KG&lt;/p&gt;_x000a_&lt;p&gt;&lt;span&gt;A VERY SPECIAL EXHAUST TOTALLY HANDMADE AND WELDED BY OUR BEST WELDERS.&lt;/span&gt;&lt;/p&gt;_x000a_&lt;p&gt;FITTING KIT INCLUDED.&lt;/p&gt;_x000a_&lt;p&gt;&lt;strong&gt;NOTE&lt;/strong&gt;: HEAD OUTPUT NOT INCLUDED, PLEASE USE OEM&amp;nbsp;DUCATI ONE.&lt;/p&gt;_x000a_&lt;p&gt;ALL THE PHOTOS SHOW THE FULL TITANIUM VERSION&lt;/p&gt;_x000a_&lt;p&gt;&lt;span&gt;LOUD&amp;nbsp;SOUND,&amp;nbsp;EXCLUSIVE DESIGN.&lt;/span&gt;&lt;/p&gt;_x000a_&lt;/div&gt;"/>
    <s v="https://shop.officineitalianezard.it/contents/imgs/products/1_1962-1803-collettori%20scrambler%20ducati%201.jpg"/>
    <m/>
    <m/>
  </r>
  <r>
    <s v="1586059840-11386"/>
    <s v="https://shop.officineitalianezard.it/en/products/"/>
    <m/>
    <s v="https://shop.officineitalianezard.it/en/ducati-zard-exhaust/"/>
    <s v="MONSTER 797 2017/19"/>
    <s v="https://shop.officineitalianezard.it/en/ducati-monster-797-exhaust/"/>
    <s v="CONICAL VERSION"/>
    <x v="233"/>
    <s v="2&gt;1 FULL KIT"/>
    <s v="ZD789SKR"/>
    <s v="DUCATI MONSTER 797 2017/19"/>
    <n v="886.72"/>
    <n v="985.25"/>
    <s v="&lt;div class=&quot;page-product-descr product-font-size text-font&quot;&gt;_x000a_&lt;p&gt;&lt;strong&gt;AVAILABLE ON DEMAND ONLY. DELIVERY 4 WORKING WEEKS FROM ORDER.&lt;/strong&gt;&lt;/p&gt;_x000a_&lt;p&gt;2&amp;gt;1 STEEL&amp;nbsp;RACING FULL KIT&amp;nbsp;&lt;/p&gt;_x000a_&lt;p&gt;ORIGINAL FULL KIT WEIGHT: 8.5 KG&lt;br&gt;ZARD FULL KIT WEIGHT: 1.4 KG&lt;/p&gt;_x000a_&lt;p&gt;&lt;span&gt;A VERY SPECIAL EXHAUST TOTALLY HANDMADE AND WELDED BY OUR BEST WELDERS.&lt;/span&gt;&lt;/p&gt;_x000a_&lt;p&gt;FITTING KIT INCLUDED.&lt;/p&gt;_x000a_&lt;p&gt;&lt;strong&gt;NOTE&lt;/strong&gt;: HEAD OUTPUT NOT INCLUDED, PLEASE USE OEM&amp;nbsp;DUCATI ONE.&lt;/p&gt;_x000a_&lt;p&gt;ALL THE PHOTOS SHOW THE FULL TITANIUM VERSION&lt;/p&gt;_x000a_&lt;p&gt;&lt;span&gt;LOUD&amp;nbsp;SOUND,&amp;nbsp;EXCLUSIVE DESIGN.&lt;/span&gt;&lt;/p&gt;_x000a_&lt;/div&gt;"/>
    <m/>
    <s v="FULL TITANIUM"/>
    <n v="547.38"/>
  </r>
  <r>
    <s v="1586059840-11387"/>
    <s v="https://shop.officineitalianezard.it/en/products/"/>
    <m/>
    <s v="https://shop.officineitalianezard.it/en/ducati-zard-exhaust/"/>
    <s v="MONSTER 797 2017/19"/>
    <s v="https://shop.officineitalianezard.it/en/ducati-monster-797-exhaust/"/>
    <s v="CONICAL VERSION"/>
    <x v="233"/>
    <s v="2&gt;1 FULL KIT"/>
    <s v="ZD789SKR"/>
    <s v="DUCATI MONSTER 797 2017/19"/>
    <n v="886.72"/>
    <n v="985.25"/>
    <s v="&lt;div class=&quot;page-product-descr product-font-size text-font&quot;&gt;_x000a_&lt;p&gt;&lt;strong&gt;AVAILABLE ON DEMAND ONLY. DELIVERY 4 WORKING WEEKS FROM ORDER.&lt;/strong&gt;&lt;/p&gt;_x000a_&lt;p&gt;2&amp;gt;1 STEEL&amp;nbsp;RACING FULL KIT&amp;nbsp;&lt;/p&gt;_x000a_&lt;p&gt;ORIGINAL FULL KIT WEIGHT: 8.5 KG&lt;br&gt;ZARD FULL KIT WEIGHT: 1.4 KG&lt;/p&gt;_x000a_&lt;p&gt;&lt;span&gt;A VERY SPECIAL EXHAUST TOTALLY HANDMADE AND WELDED BY OUR BEST WELDERS.&lt;/span&gt;&lt;/p&gt;_x000a_&lt;p&gt;FITTING KIT INCLUDED.&lt;/p&gt;_x000a_&lt;p&gt;&lt;strong&gt;NOTE&lt;/strong&gt;: HEAD OUTPUT NOT INCLUDED, PLEASE USE OEM&amp;nbsp;DUCATI ONE.&lt;/p&gt;_x000a_&lt;p&gt;ALL THE PHOTOS SHOW THE FULL TITANIUM VERSION&lt;/p&gt;_x000a_&lt;p&gt;&lt;span&gt;LOUD&amp;nbsp;SOUND,&amp;nbsp;EXCLUSIVE DESIGN.&lt;/span&gt;&lt;/p&gt;_x000a_&lt;/div&gt;"/>
    <m/>
    <s v="SNAKE WELDED"/>
    <n v="115.82"/>
  </r>
  <r>
    <s v="1586059842-11388"/>
    <s v="https://shop.officineitalianezard.it/en/products/"/>
    <m/>
    <s v="https://shop.officineitalianezard.it/en/ducati-zard-exhaust/"/>
    <s v="MONSTER 797 2017/19"/>
    <s v="https://shop.officineitalianezard.it/en/ducati-monster-797-exhaust/"/>
    <s v="LOW MOUNTED VERSION"/>
    <x v="234"/>
    <s v="SILENCER"/>
    <s v="ZD787SSR"/>
    <s v="DUCATI MONSTER 797 2017/19"/>
    <n v="531.89"/>
    <n v="590.98"/>
    <s v="&lt;p&gt;STEEL RACING SILENCER WITH REMOVABLE DB KILLERS&lt;/p&gt;_x000a_&lt;p&gt;CARBON ENDCAP&lt;/p&gt;_x000a_&lt;p&gt;HARD INCREASE, COMPARED TO THE ORIGINAL EXHAUST SYSTEM, IN TERMS OF TORQUE AND POWER AT ANY RANGE.&lt;/p&gt;_x000a_&lt;p&gt;ASTONISHING SOUND.&lt;/p&gt;_x000a_&lt;p&gt;&lt;strong&gt;&lt;/strong&gt;&lt;/p&gt;"/>
    <s v="https://shop.officineitalianezard.it/contents/imgs/products/1_2317-1.jpg"/>
    <m/>
    <m/>
  </r>
  <r>
    <s v="1586059842-11389"/>
    <s v="https://shop.officineitalianezard.it/en/products/"/>
    <m/>
    <s v="https://shop.officineitalianezard.it/en/ducati-zard-exhaust/"/>
    <s v="MONSTER 797 2017/19"/>
    <s v="https://shop.officineitalianezard.it/en/ducati-monster-797-exhaust/"/>
    <s v="LOW MOUNTED VERSION"/>
    <x v="234"/>
    <s v="SILENCER"/>
    <s v="ZD787SSR"/>
    <s v="DUCATI MONSTER 797 2017/19"/>
    <n v="531.89"/>
    <n v="590.98"/>
    <s v="&lt;p&gt;STEEL RACING SILENCER WITH REMOVABLE DB KILLERS&lt;/p&gt;_x000a_&lt;p&gt;CARBON ENDCAP&lt;/p&gt;_x000a_&lt;p&gt;HARD INCREASE, COMPARED TO THE ORIGINAL EXHAUST SYSTEM, IN TERMS OF TORQUE AND POWER AT ANY RANGE.&lt;/p&gt;_x000a_&lt;p&gt;ASTONISHING SOUND.&lt;/p&gt;_x000a_&lt;p&gt;&lt;strong&gt;&lt;/strong&gt;&lt;/p&gt;"/>
    <s v="https://shop.officineitalianezard.it/contents/imgs/products/1_2316-2.jpg"/>
    <m/>
    <m/>
  </r>
  <r>
    <s v="1586059842-11390"/>
    <s v="https://shop.officineitalianezard.it/en/products/"/>
    <m/>
    <s v="https://shop.officineitalianezard.it/en/ducati-zard-exhaust/"/>
    <s v="MONSTER 797 2017/19"/>
    <s v="https://shop.officineitalianezard.it/en/ducati-monster-797-exhaust/"/>
    <s v="LOW MOUNTED VERSION"/>
    <x v="234"/>
    <s v="SILENCER"/>
    <s v="ZD787SSR"/>
    <s v="DUCATI MONSTER 797 2017/19"/>
    <n v="531.89"/>
    <n v="590.98"/>
    <s v="&lt;p&gt;STEEL RACING SILENCER WITH REMOVABLE DB KILLERS&lt;/p&gt;_x000a_&lt;p&gt;CARBON ENDCAP&lt;/p&gt;_x000a_&lt;p&gt;HARD INCREASE, COMPARED TO THE ORIGINAL EXHAUST SYSTEM, IN TERMS OF TORQUE AND POWER AT ANY RANGE.&lt;/p&gt;_x000a_&lt;p&gt;ASTONISHING SOUND.&lt;/p&gt;_x000a_&lt;p&gt;&lt;strong&gt;&lt;/strong&gt;&lt;/p&gt;"/>
    <s v="https://shop.officineitalianezard.it/contents/imgs/products/1_2318-3.jpg"/>
    <m/>
    <m/>
  </r>
  <r>
    <s v="1586059842-11391"/>
    <s v="https://shop.officineitalianezard.it/en/products/"/>
    <m/>
    <s v="https://shop.officineitalianezard.it/en/ducati-zard-exhaust/"/>
    <s v="MONSTER 797 2017/19"/>
    <s v="https://shop.officineitalianezard.it/en/ducati-monster-797-exhaust/"/>
    <s v="LOW MOUNTED VERSION"/>
    <x v="234"/>
    <s v="SILENCER"/>
    <s v="ZD787SSR"/>
    <s v="DUCATI MONSTER 797 2017/19"/>
    <n v="531.89"/>
    <n v="590.98"/>
    <s v="&lt;p&gt;STEEL RACING SILENCER WITH REMOVABLE DB KILLERS&lt;/p&gt;_x000a_&lt;p&gt;CARBON ENDCAP&lt;/p&gt;_x000a_&lt;p&gt;HARD INCREASE, COMPARED TO THE ORIGINAL EXHAUST SYSTEM, IN TERMS OF TORQUE AND POWER AT ANY RANGE.&lt;/p&gt;_x000a_&lt;p&gt;ASTONISHING SOUND.&lt;/p&gt;_x000a_&lt;p&gt;&lt;strong&gt;&lt;/strong&gt;&lt;/p&gt;"/>
    <s v="https://shop.officineitalianezard.it/contents/imgs/products/1_1942-ducati%20monster%20797%20scarichi%20zard%20exhaust%20monster.jpg"/>
    <m/>
    <m/>
  </r>
  <r>
    <s v="1586059842-11392"/>
    <s v="https://shop.officineitalianezard.it/en/products/"/>
    <m/>
    <s v="https://shop.officineitalianezard.it/en/ducati-zard-exhaust/"/>
    <s v="MONSTER 797 2017/19"/>
    <s v="https://shop.officineitalianezard.it/en/ducati-monster-797-exhaust/"/>
    <s v="LOW MOUNTED VERSION"/>
    <x v="234"/>
    <s v="SILENCER"/>
    <s v="ZD787SSR"/>
    <s v="DUCATI MONSTER 797 2017/19"/>
    <n v="531.89"/>
    <n v="590.98"/>
    <s v="&lt;p&gt;STEEL RACING SILENCER WITH REMOVABLE DB KILLERS&lt;/p&gt;_x000a_&lt;p&gt;CARBON ENDCAP&lt;/p&gt;_x000a_&lt;p&gt;HARD INCREASE, COMPARED TO THE ORIGINAL EXHAUST SYSTEM, IN TERMS OF TORQUE AND POWER AT ANY RANGE.&lt;/p&gt;_x000a_&lt;p&gt;ASTONISHING SOUND.&lt;/p&gt;_x000a_&lt;p&gt;&lt;strong&gt;&lt;/strong&gt;&lt;/p&gt;"/>
    <m/>
    <s v="EURO 4 HOMOLOGATED"/>
    <n v="84.84"/>
  </r>
  <r>
    <s v="1586059842-11393"/>
    <s v="https://shop.officineitalianezard.it/en/products/"/>
    <m/>
    <s v="https://shop.officineitalianezard.it/en/ducati-zard-exhaust/"/>
    <s v="MONSTER 797 2017/19"/>
    <s v="https://shop.officineitalianezard.it/en/ducati-monster-797-exhaust/"/>
    <s v="LOW MOUNTED VERSION"/>
    <x v="234"/>
    <s v="SILENCER"/>
    <s v="ZD787SSR"/>
    <s v="DUCATI MONSTER 797 2017/19"/>
    <n v="531.89"/>
    <n v="590.98"/>
    <s v="&lt;p&gt;STEEL RACING SILENCER WITH REMOVABLE DB KILLERS&lt;/p&gt;_x000a_&lt;p&gt;CARBON ENDCAP&lt;/p&gt;_x000a_&lt;p&gt;HARD INCREASE, COMPARED TO THE ORIGINAL EXHAUST SYSTEM, IN TERMS OF TORQUE AND POWER AT ANY RANGE.&lt;/p&gt;_x000a_&lt;p&gt;ASTONISHING SOUND.&lt;/p&gt;_x000a_&lt;p&gt;&lt;strong&gt;&lt;/strong&gt;&lt;/p&gt;"/>
    <m/>
    <s v="BLACK COATING"/>
    <n v="77.459999999999994"/>
  </r>
  <r>
    <s v="1586059845-11394"/>
    <s v="https://shop.officineitalianezard.it/en/products/"/>
    <m/>
    <s v="https://shop.officineitalianezard.it/en/ducati-zard-exhaust/"/>
    <s v="MONSTER 797 2017/19"/>
    <s v="https://shop.officineitalianezard.it/en/ducati-monster-797-exhaust/"/>
    <s v="ZUMA"/>
    <x v="235"/>
    <s v="SILENCER"/>
    <s v="ZD788SSR"/>
    <s v="DUCATI MONSTER 797 2017/19"/>
    <n v="517.13"/>
    <n v="574.59"/>
    <s v="&lt;div class=&quot;page-product-descr product-font-size text-font&quot;&gt;_x000a_&lt;p&gt;STEEL SILENCER RACING WITH REMOVABLE DB KILLER&lt;/p&gt;_x000a_&lt;p&gt;ORIGINAL SILENCER WEIGHT: 6KG&lt;br&gt;ZARD SILENCER WEIGHT: 1,7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p&gt;&lt;strong&gt;&lt;/strong&gt;&lt;/p&gt;_x000a_&lt;/div&gt;"/>
    <s v="https://shop.officineitalianezard.it/contents/imgs/products/1_1950-1.jpg"/>
    <m/>
    <m/>
  </r>
  <r>
    <s v="1586059845-11395"/>
    <s v="https://shop.officineitalianezard.it/en/products/"/>
    <m/>
    <s v="https://shop.officineitalianezard.it/en/ducati-zard-exhaust/"/>
    <s v="MONSTER 797 2017/19"/>
    <s v="https://shop.officineitalianezard.it/en/ducati-monster-797-exhaust/"/>
    <s v="ZUMA"/>
    <x v="235"/>
    <s v="SILENCER"/>
    <s v="ZD788SSR"/>
    <s v="DUCATI MONSTER 797 2017/19"/>
    <n v="517.13"/>
    <n v="574.59"/>
    <s v="&lt;div class=&quot;page-product-descr product-font-size text-font&quot;&gt;_x000a_&lt;p&gt;STEEL SILENCER RACING WITH REMOVABLE DB KILLER&lt;/p&gt;_x000a_&lt;p&gt;ORIGINAL SILENCER WEIGHT: 6KG&lt;br&gt;ZARD SILENCER WEIGHT: 1,7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p&gt;&lt;strong&gt;&lt;/strong&gt;&lt;/p&gt;_x000a_&lt;/div&gt;"/>
    <s v="https://shop.officineitalianezard.it/contents/imgs/products/1_1952-2.jpg"/>
    <m/>
    <m/>
  </r>
  <r>
    <s v="1586059845-11396"/>
    <s v="https://shop.officineitalianezard.it/en/products/"/>
    <m/>
    <s v="https://shop.officineitalianezard.it/en/ducati-zard-exhaust/"/>
    <s v="MONSTER 797 2017/19"/>
    <s v="https://shop.officineitalianezard.it/en/ducati-monster-797-exhaust/"/>
    <s v="ZUMA"/>
    <x v="235"/>
    <s v="SILENCER"/>
    <s v="ZD788SSR"/>
    <s v="DUCATI MONSTER 797 2017/19"/>
    <n v="517.13"/>
    <n v="574.59"/>
    <s v="&lt;div class=&quot;page-product-descr product-font-size text-font&quot;&gt;_x000a_&lt;p&gt;STEEL SILENCER RACING WITH REMOVABLE DB KILLER&lt;/p&gt;_x000a_&lt;p&gt;ORIGINAL SILENCER WEIGHT: 6KG&lt;br&gt;ZARD SILENCER WEIGHT: 1,7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p&gt;&lt;strong&gt;&lt;/strong&gt;&lt;/p&gt;_x000a_&lt;/div&gt;"/>
    <s v="https://shop.officineitalianezard.it/contents/imgs/products/1_1951-3.jpg"/>
    <m/>
    <m/>
  </r>
  <r>
    <s v="1586059845-11397"/>
    <s v="https://shop.officineitalianezard.it/en/products/"/>
    <m/>
    <s v="https://shop.officineitalianezard.it/en/ducati-zard-exhaust/"/>
    <s v="MONSTER 797 2017/19"/>
    <s v="https://shop.officineitalianezard.it/en/ducati-monster-797-exhaust/"/>
    <s v="ZUMA"/>
    <x v="235"/>
    <s v="SILENCER"/>
    <s v="ZD788SSR"/>
    <s v="DUCATI MONSTER 797 2017/19"/>
    <n v="517.13"/>
    <n v="574.59"/>
    <s v="&lt;div class=&quot;page-product-descr product-font-size text-font&quot;&gt;_x000a_&lt;p&gt;STEEL SILENCER RACING WITH REMOVABLE DB KILLER&lt;/p&gt;_x000a_&lt;p&gt;ORIGINAL SILENCER WEIGHT: 6KG&lt;br&gt;ZARD SILENCER WEIGHT: 1,7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p&gt;&lt;strong&gt;&lt;/strong&gt;&lt;/p&gt;_x000a_&lt;/div&gt;"/>
    <s v="https://shop.officineitalianezard.it/contents/imgs/products/1_1953-4.jpg"/>
    <m/>
    <m/>
  </r>
  <r>
    <s v="1586059845-11398"/>
    <s v="https://shop.officineitalianezard.it/en/products/"/>
    <m/>
    <s v="https://shop.officineitalianezard.it/en/ducati-zard-exhaust/"/>
    <s v="MONSTER 797 2017/19"/>
    <s v="https://shop.officineitalianezard.it/en/ducati-monster-797-exhaust/"/>
    <s v="ZUMA"/>
    <x v="235"/>
    <s v="SILENCER"/>
    <s v="ZD788SSR"/>
    <s v="DUCATI MONSTER 797 2017/19"/>
    <n v="517.13"/>
    <n v="574.59"/>
    <s v="&lt;div class=&quot;page-product-descr product-font-size text-font&quot;&gt;_x000a_&lt;p&gt;STEEL SILENCER RACING WITH REMOVABLE DB KILLER&lt;/p&gt;_x000a_&lt;p&gt;ORIGINAL SILENCER WEIGHT: 6KG&lt;br&gt;ZARD SILENCER WEIGHT: 1,7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p&gt;&lt;strong&gt;&lt;/strong&gt;&lt;/p&gt;_x000a_&lt;/div&gt;"/>
    <s v="https://shop.officineitalianezard.it/contents/imgs/products/1_1961-1298-zuma%20nero%20e%20spazzolato.jpg"/>
    <m/>
    <m/>
  </r>
  <r>
    <s v="1586059845-11399"/>
    <s v="https://shop.officineitalianezard.it/en/products/"/>
    <m/>
    <s v="https://shop.officineitalianezard.it/en/ducati-zard-exhaust/"/>
    <s v="MONSTER 797 2017/19"/>
    <s v="https://shop.officineitalianezard.it/en/ducati-monster-797-exhaust/"/>
    <s v="ZUMA"/>
    <x v="235"/>
    <s v="SILENCER"/>
    <s v="ZD788SSR"/>
    <s v="DUCATI MONSTER 797 2017/19"/>
    <n v="517.13"/>
    <n v="574.59"/>
    <s v="&lt;div class=&quot;page-product-descr product-font-size text-font&quot;&gt;_x000a_&lt;p&gt;STEEL SILENCER RACING WITH REMOVABLE DB KILLER&lt;/p&gt;_x000a_&lt;p&gt;ORIGINAL SILENCER WEIGHT: 6KG&lt;br&gt;ZARD SILENCER WEIGHT: 1,7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p&gt;&lt;strong&gt;&lt;/strong&gt;&lt;/p&gt;_x000a_&lt;/div&gt;"/>
    <m/>
    <s v="EURO 4 HOMOLOGATED"/>
    <n v="84.84"/>
  </r>
  <r>
    <s v="1586059845-11400"/>
    <s v="https://shop.officineitalianezard.it/en/products/"/>
    <m/>
    <s v="https://shop.officineitalianezard.it/en/ducati-zard-exhaust/"/>
    <s v="MONSTER 797 2017/19"/>
    <s v="https://shop.officineitalianezard.it/en/ducati-monster-797-exhaust/"/>
    <s v="ZUMA"/>
    <x v="235"/>
    <s v="SILENCER"/>
    <s v="ZD788SSR"/>
    <s v="DUCATI MONSTER 797 2017/19"/>
    <n v="517.13"/>
    <n v="574.59"/>
    <s v="&lt;div class=&quot;page-product-descr product-font-size text-font&quot;&gt;_x000a_&lt;p&gt;STEEL SILENCER RACING WITH REMOVABLE DB KILLER&lt;/p&gt;_x000a_&lt;p&gt;ORIGINAL SILENCER WEIGHT: 6KG&lt;br&gt;ZARD SILENCER WEIGHT: 1,7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p&gt;&lt;strong&gt;&lt;/strong&gt;&lt;/p&gt;_x000a_&lt;/div&gt;"/>
    <m/>
    <s v="STEEL LOGO PLATE AND END CAP"/>
    <n v="22.87"/>
  </r>
  <r>
    <s v="1586059845-11401"/>
    <s v="https://shop.officineitalianezard.it/en/products/"/>
    <m/>
    <s v="https://shop.officineitalianezard.it/en/ducati-zard-exhaust/"/>
    <s v="MONSTER 797 2017/19"/>
    <s v="https://shop.officineitalianezard.it/en/ducati-monster-797-exhaust/"/>
    <s v="ZUMA"/>
    <x v="235"/>
    <s v="SILENCER"/>
    <s v="ZD788SSR"/>
    <s v="DUCATI MONSTER 797 2017/19"/>
    <n v="517.13"/>
    <n v="574.59"/>
    <s v="&lt;div class=&quot;page-product-descr product-font-size text-font&quot;&gt;_x000a_&lt;p&gt;STEEL SILENCER RACING WITH REMOVABLE DB KILLER&lt;/p&gt;_x000a_&lt;p&gt;ORIGINAL SILENCER WEIGHT: 6KG&lt;br&gt;ZARD SILENCER WEIGHT: 1,7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p&gt;&lt;strong&gt;&lt;/strong&gt;&lt;/p&gt;_x000a_&lt;/div&gt;"/>
    <m/>
    <s v="BLACK END CAP AND LOGO PLATE"/>
    <n v="61.97"/>
  </r>
  <r>
    <s v="1586059845-11402"/>
    <s v="https://shop.officineitalianezard.it/en/products/"/>
    <m/>
    <s v="https://shop.officineitalianezard.it/en/ducati-zard-exhaust/"/>
    <s v="MONSTER 797 2017/19"/>
    <s v="https://shop.officineitalianezard.it/en/ducati-monster-797-exhaust/"/>
    <s v="ZUMA"/>
    <x v="235"/>
    <s v="SILENCER"/>
    <s v="ZD788SSR"/>
    <s v="DUCATI MONSTER 797 2017/19"/>
    <n v="517.13"/>
    <n v="574.59"/>
    <s v="&lt;div class=&quot;page-product-descr product-font-size text-font&quot;&gt;_x000a_&lt;p&gt;STEEL SILENCER RACING WITH REMOVABLE DB KILLER&lt;/p&gt;_x000a_&lt;p&gt;ORIGINAL SILENCER WEIGHT: 6KG&lt;br&gt;ZARD SILENCER WEIGHT: 1,7KG&lt;/p&gt;_x000a_&lt;p&gt;THE INSTALLATION OF ZARD EXHAUST DOES NOT IMPLY ANY MODIFICATION TO ECU.&lt;br&gt;THE BOX INCLUDES ALL PARTS FOR THE FITMENT OF ZARD EXHAUST.&lt;/p&gt;_x000a_&lt;p&gt;&lt;span&gt;HARD INCREASE, COMPARED TO THE ORIGINAL EXHAUST SYSTEM, IN TERMS OF TORQUE AND POWER AT ANY RANGE&lt;/span&gt;&lt;/p&gt;_x000a_&lt;p&gt;&lt;span&gt;ASTONISHING SOUND,&amp;nbsp;EXCLUSIVE DESIGN.&lt;/span&gt;&lt;/p&gt;_x000a_&lt;p&gt;&lt;strong&gt;&lt;/strong&gt;&lt;/p&gt;_x000a_&lt;/div&gt;"/>
    <m/>
    <s v="BLACK COATING"/>
    <n v="77.459999999999994"/>
  </r>
  <r>
    <s v="1586059850-11403"/>
    <s v="https://shop.officineitalianezard.it/en/products/"/>
    <m/>
    <s v="https://shop.officineitalianezard.it/en/ducati-zard-exhaust/"/>
    <s v="MONSTER 696/796/1100"/>
    <s v="https://shop.officineitalianezard.it/en/ducati-monster-696-796-1100-exhaust/"/>
    <s v="PENTA VERSION"/>
    <x v="236"/>
    <s v="SILENCERS"/>
    <s v="ZD115APR"/>
    <s v="DUCATI MONSTER 696/796/1100"/>
    <n v="630"/>
    <n v="700"/>
    <s v="&lt;p&gt;N.2 STEEL-ALUMINIUM BLACK SILENCERS RACING WITH REMOVABLE DB KILLER&lt;/p&gt;_x000a_&lt;p&gt;ORIGINAL SILENCERS WEIGHT: KG 6.6&lt;br&gt;ZARD HOMOLOGATED CARBON SILENCERS WEIGHT: KG 3.9&lt;/p&gt;_x000a_&lt;p&gt;HARD INCREASE, COMPARED TO THE ORIGINAL EXHAUST SYSTEM, IN TERMS OF TORQUE AND POWER (+2.5 HP) AT ANY RANGE.&lt;/p&gt;_x000a_&lt;p&gt;ASTONISHING SOUND.&lt;/p&gt;"/>
    <s v="https://shop.officineitalianezard.it/contents/imgs/products/1_360-monster696-penta-part.jpg"/>
    <m/>
    <m/>
  </r>
  <r>
    <s v="1586059850-11404"/>
    <s v="https://shop.officineitalianezard.it/en/products/"/>
    <m/>
    <s v="https://shop.officineitalianezard.it/en/ducati-zard-exhaust/"/>
    <s v="MONSTER 696/796/1100"/>
    <s v="https://shop.officineitalianezard.it/en/ducati-monster-696-796-1100-exhaust/"/>
    <s v="PENTA VERSION"/>
    <x v="236"/>
    <s v="SILENCERS"/>
    <s v="ZD115APR"/>
    <s v="DUCATI MONSTER 696/796/1100"/>
    <n v="630"/>
    <n v="700"/>
    <s v="&lt;p&gt;N.2 STEEL-ALUMINIUM BLACK SILENCERS RACING WITH REMOVABLE DB KILLER&lt;/p&gt;_x000a_&lt;p&gt;ORIGINAL SILENCERS WEIGHT: KG 6.6&lt;br&gt;ZARD HOMOLOGATED CARBON SILENCERS WEIGHT: KG 3.9&lt;/p&gt;_x000a_&lt;p&gt;HARD INCREASE, COMPARED TO THE ORIGINAL EXHAUST SYSTEM, IN TERMS OF TORQUE AND POWER (+2.5 HP) AT ANY RANGE.&lt;/p&gt;_x000a_&lt;p&gt;ASTONISHING SOUND.&lt;/p&gt;"/>
    <s v="https://shop.officineitalianezard.it/contents/imgs/products/1_361-monster696-penta.jpg"/>
    <m/>
    <m/>
  </r>
  <r>
    <s v="1586059850-11405"/>
    <s v="https://shop.officineitalianezard.it/en/products/"/>
    <m/>
    <s v="https://shop.officineitalianezard.it/en/ducati-zard-exhaust/"/>
    <s v="MONSTER 696/796/1100"/>
    <s v="https://shop.officineitalianezard.it/en/ducati-monster-696-796-1100-exhaust/"/>
    <s v="PENTA VERSION"/>
    <x v="236"/>
    <s v="SILENCERS"/>
    <s v="ZD115APR"/>
    <s v="DUCATI MONSTER 696/796/1100"/>
    <n v="630"/>
    <n v="700"/>
    <s v="&lt;p&gt;N.2 STEEL-ALUMINIUM BLACK SILENCERS RACING WITH REMOVABLE DB KILLER&lt;/p&gt;_x000a_&lt;p&gt;ORIGINAL SILENCERS WEIGHT: KG 6.6&lt;br&gt;ZARD HOMOLOGATED CARBON SILENCERS WEIGHT: KG 3.9&lt;/p&gt;_x000a_&lt;p&gt;HARD INCREASE, COMPARED TO THE ORIGINAL EXHAUST SYSTEM, IN TERMS OF TORQUE AND POWER (+2.5 HP) AT ANY RANGE.&lt;/p&gt;_x000a_&lt;p&gt;ASTONISHING SOUND.&lt;/p&gt;"/>
    <s v="https://shop.officineitalianezard.it/contents/imgs/products/1_362-monster1100pentasil1.jpg"/>
    <m/>
    <m/>
  </r>
  <r>
    <s v="1586059850-11406"/>
    <s v="https://shop.officineitalianezard.it/en/products/"/>
    <m/>
    <s v="https://shop.officineitalianezard.it/en/ducati-zard-exhaust/"/>
    <s v="MONSTER 696/796/1100"/>
    <s v="https://shop.officineitalianezard.it/en/ducati-monster-696-796-1100-exhaust/"/>
    <s v="PENTA VERSION"/>
    <x v="236"/>
    <s v="SILENCERS"/>
    <s v="ZD115APR"/>
    <s v="DUCATI MONSTER 696/796/1100"/>
    <n v="630"/>
    <n v="700"/>
    <s v="&lt;p&gt;N.2 STEEL-ALUMINIUM BLACK SILENCERS RACING WITH REMOVABLE DB KILLER&lt;/p&gt;_x000a_&lt;p&gt;ORIGINAL SILENCERS WEIGHT: KG 6.6&lt;br&gt;ZARD HOMOLOGATED CARBON SILENCERS WEIGHT: KG 3.9&lt;/p&gt;_x000a_&lt;p&gt;HARD INCREASE, COMPARED TO THE ORIGINAL EXHAUST SYSTEM, IN TERMS OF TORQUE AND POWER (+2.5 HP) AT ANY RANGE.&lt;/p&gt;_x000a_&lt;p&gt;ASTONISHING SOUND.&lt;/p&gt;"/>
    <m/>
    <s v="CARBON END CAP"/>
    <n v="75.25"/>
  </r>
  <r>
    <s v="1586059850-11407"/>
    <s v="https://shop.officineitalianezard.it/en/products/"/>
    <m/>
    <s v="https://shop.officineitalianezard.it/en/ducati-zard-exhaust/"/>
    <s v="MONSTER 696/796/1100"/>
    <s v="https://shop.officineitalianezard.it/en/ducati-monster-696-796-1100-exhaust/"/>
    <s v="PENTA VERSION"/>
    <x v="236"/>
    <s v="SILENCERS"/>
    <s v="ZD115APR"/>
    <s v="DUCATI MONSTER 696/796/1100"/>
    <n v="630"/>
    <n v="700"/>
    <s v="&lt;p&gt;N.2 STEEL-ALUMINIUM BLACK SILENCERS RACING WITH REMOVABLE DB KILLER&lt;/p&gt;_x000a_&lt;p&gt;ORIGINAL SILENCERS WEIGHT: KG 6.6&lt;br&gt;ZARD HOMOLOGATED CARBON SILENCERS WEIGHT: KG 3.9&lt;/p&gt;_x000a_&lt;p&gt;HARD INCREASE, COMPARED TO THE ORIGINAL EXHAUST SYSTEM, IN TERMS OF TORQUE AND POWER (+2.5 HP) AT ANY RANGE.&lt;/p&gt;_x000a_&lt;p&gt;ASTONISHING SOUND.&lt;/p&gt;"/>
    <m/>
    <s v="STEEL-ALUMINIUM HOMOLOGATED"/>
    <n v="96.64"/>
  </r>
  <r>
    <s v="1586059850-11408"/>
    <s v="https://shop.officineitalianezard.it/en/products/"/>
    <m/>
    <s v="https://shop.officineitalianezard.it/en/ducati-zard-exhaust/"/>
    <s v="MONSTER 696/796/1100"/>
    <s v="https://shop.officineitalianezard.it/en/ducati-monster-696-796-1100-exhaust/"/>
    <s v="PENTA VERSION"/>
    <x v="236"/>
    <s v="SILENCERS"/>
    <s v="ZD115APR"/>
    <s v="DUCATI MONSTER 696/796/1100"/>
    <n v="630"/>
    <n v="700"/>
    <s v="&lt;p&gt;N.2 STEEL-ALUMINIUM BLACK SILENCERS RACING WITH REMOVABLE DB KILLER&lt;/p&gt;_x000a_&lt;p&gt;ORIGINAL SILENCERS WEIGHT: KG 6.6&lt;br&gt;ZARD HOMOLOGATED CARBON SILENCERS WEIGHT: KG 3.9&lt;/p&gt;_x000a_&lt;p&gt;HARD INCREASE, COMPARED TO THE ORIGINAL EXHAUST SYSTEM, IN TERMS OF TORQUE AND POWER (+2.5 HP) AT ANY RANGE.&lt;/p&gt;_x000a_&lt;p&gt;ASTONISHING SOUND.&lt;/p&gt;"/>
    <m/>
    <s v="STEEL-CARBON RACING"/>
    <n v="125.41"/>
  </r>
  <r>
    <s v="1586059853-11409"/>
    <s v="https://shop.officineitalianezard.it/en/products/"/>
    <m/>
    <s v="https://shop.officineitalianezard.it/en/ducati-zard-exhaust/"/>
    <s v="MONSTER 696/796/1100"/>
    <s v="https://shop.officineitalianezard.it/en/ducati-monster-696-796-1100-exhaust/"/>
    <s v="CONICAL VERSION"/>
    <x v="237"/>
    <s v="SILENCERS"/>
    <s v="ZD115SSR"/>
    <s v="DUCATI MONSTER 696/796/1100"/>
    <n v="639.59"/>
    <n v="710.66"/>
    <s v="&lt;p&gt;N.2 STEEL SILENCERS RACING WITH REMOVABLE DB KILLER&lt;/p&gt;_x000a_&lt;p&gt;ORIGINAL SILENCERS WEIGHT: KG 6.6&lt;br&gt;ZARD SILENCERS WEIGHT: KG 4&lt;/p&gt;_x000a_&lt;p&gt;HARD INCREASE, COMPARED TO THE ORIGINAL EXHAUST SYSTEM, IN TERMS OF TORQUE AND POWER (+2.5 HP) AT ANY RANGE.&lt;/p&gt;_x000a_&lt;p&gt;ASTONISHING SOUND.&lt;/p&gt;"/>
    <s v="https://shop.officineitalianezard.it/contents/imgs/products/1_358-monster696cono2.jpg"/>
    <m/>
    <m/>
  </r>
  <r>
    <s v="1586059853-11410"/>
    <s v="https://shop.officineitalianezard.it/en/products/"/>
    <m/>
    <s v="https://shop.officineitalianezard.it/en/ducati-zard-exhaust/"/>
    <s v="MONSTER 696/796/1100"/>
    <s v="https://shop.officineitalianezard.it/en/ducati-monster-696-796-1100-exhaust/"/>
    <s v="CONICAL VERSION"/>
    <x v="237"/>
    <s v="SILENCERS"/>
    <s v="ZD115SSR"/>
    <s v="DUCATI MONSTER 696/796/1100"/>
    <n v="639.59"/>
    <n v="710.66"/>
    <s v="&lt;p&gt;N.2 STEEL SILENCERS RACING WITH REMOVABLE DB KILLER&lt;/p&gt;_x000a_&lt;p&gt;ORIGINAL SILENCERS WEIGHT: KG 6.6&lt;br&gt;ZARD SILENCERS WEIGHT: KG 4&lt;/p&gt;_x000a_&lt;p&gt;HARD INCREASE, COMPARED TO THE ORIGINAL EXHAUST SYSTEM, IN TERMS OF TORQUE AND POWER (+2.5 HP) AT ANY RANGE.&lt;/p&gt;_x000a_&lt;p&gt;ASTONISHING SOUND.&lt;/p&gt;"/>
    <s v="https://shop.officineitalianezard.it/contents/imgs/products/1_356-monster696cono1.jpg"/>
    <m/>
    <m/>
  </r>
  <r>
    <s v="1586059853-11411"/>
    <s v="https://shop.officineitalianezard.it/en/products/"/>
    <m/>
    <s v="https://shop.officineitalianezard.it/en/ducati-zard-exhaust/"/>
    <s v="MONSTER 696/796/1100"/>
    <s v="https://shop.officineitalianezard.it/en/ducati-monster-696-796-1100-exhaust/"/>
    <s v="CONICAL VERSION"/>
    <x v="237"/>
    <s v="SILENCERS"/>
    <s v="ZD115SSR"/>
    <s v="DUCATI MONSTER 696/796/1100"/>
    <n v="639.59"/>
    <n v="710.66"/>
    <s v="&lt;p&gt;N.2 STEEL SILENCERS RACING WITH REMOVABLE DB KILLER&lt;/p&gt;_x000a_&lt;p&gt;ORIGINAL SILENCERS WEIGHT: KG 6.6&lt;br&gt;ZARD SILENCERS WEIGHT: KG 4&lt;/p&gt;_x000a_&lt;p&gt;HARD INCREASE, COMPARED TO THE ORIGINAL EXHAUST SYSTEM, IN TERMS OF TORQUE AND POWER (+2.5 HP) AT ANY RANGE.&lt;/p&gt;_x000a_&lt;p&gt;ASTONISHING SOUND.&lt;/p&gt;"/>
    <s v="https://shop.officineitalianezard.it/contents/imgs/products/1_357-monster696cono3.jpg"/>
    <m/>
    <m/>
  </r>
  <r>
    <s v="1586059853-11412"/>
    <s v="https://shop.officineitalianezard.it/en/products/"/>
    <m/>
    <s v="https://shop.officineitalianezard.it/en/ducati-zard-exhaust/"/>
    <s v="MONSTER 696/796/1100"/>
    <s v="https://shop.officineitalianezard.it/en/ducati-monster-696-796-1100-exhaust/"/>
    <s v="CONICAL VERSION"/>
    <x v="237"/>
    <s v="SILENCERS"/>
    <s v="ZD115SSR"/>
    <s v="DUCATI MONSTER 696/796/1100"/>
    <n v="639.59"/>
    <n v="710.66"/>
    <s v="&lt;p&gt;N.2 STEEL SILENCERS RACING WITH REMOVABLE DB KILLER&lt;/p&gt;_x000a_&lt;p&gt;ORIGINAL SILENCERS WEIGHT: KG 6.6&lt;br&gt;ZARD SILENCERS WEIGHT: KG 4&lt;/p&gt;_x000a_&lt;p&gt;HARD INCREASE, COMPARED TO THE ORIGINAL EXHAUST SYSTEM, IN TERMS OF TORQUE AND POWER (+2.5 HP) AT ANY RANGE.&lt;/p&gt;_x000a_&lt;p&gt;ASTONISHING SOUND.&lt;/p&gt;"/>
    <s v="https://shop.officineitalianezard.it/contents/imgs/products/1_359-monster696cono4.jpg"/>
    <m/>
    <m/>
  </r>
  <r>
    <s v="1586059853-11413"/>
    <s v="https://shop.officineitalianezard.it/en/products/"/>
    <m/>
    <s v="https://shop.officineitalianezard.it/en/ducati-zard-exhaust/"/>
    <s v="MONSTER 696/796/1100"/>
    <s v="https://shop.officineitalianezard.it/en/ducati-monster-696-796-1100-exhaust/"/>
    <s v="CONICAL VERSION"/>
    <x v="237"/>
    <s v="SILENCERS"/>
    <s v="ZD115SSR"/>
    <s v="DUCATI MONSTER 696/796/1100"/>
    <n v="639.59"/>
    <n v="710.66"/>
    <s v="&lt;p&gt;N.2 STEEL SILENCERS RACING WITH REMOVABLE DB KILLER&lt;/p&gt;_x000a_&lt;p&gt;ORIGINAL SILENCERS WEIGHT: KG 6.6&lt;br&gt;ZARD SILENCERS WEIGHT: KG 4&lt;/p&gt;_x000a_&lt;p&gt;HARD INCREASE, COMPARED TO THE ORIGINAL EXHAUST SYSTEM, IN TERMS OF TORQUE AND POWER (+2.5 HP) AT ANY RANGE.&lt;/p&gt;_x000a_&lt;p&gt;ASTONISHING SOUND.&lt;/p&gt;"/>
    <s v="https://shop.officineitalianezard.it/contents/imgs/products/1_551-scarichi%20moto%20ducati%20zard.jpg"/>
    <m/>
    <m/>
  </r>
  <r>
    <s v="1586059853-11414"/>
    <s v="https://shop.officineitalianezard.it/en/products/"/>
    <m/>
    <s v="https://shop.officineitalianezard.it/en/ducati-zard-exhaust/"/>
    <s v="MONSTER 696/796/1100"/>
    <s v="https://shop.officineitalianezard.it/en/ducati-monster-696-796-1100-exhaust/"/>
    <s v="CONICAL VERSION"/>
    <x v="237"/>
    <s v="SILENCERS"/>
    <s v="ZD115SSR"/>
    <s v="DUCATI MONSTER 696/796/1100"/>
    <n v="639.59"/>
    <n v="710.66"/>
    <s v="&lt;p&gt;N.2 STEEL SILENCERS RACING WITH REMOVABLE DB KILLER&lt;/p&gt;_x000a_&lt;p&gt;ORIGINAL SILENCERS WEIGHT: KG 6.6&lt;br&gt;ZARD SILENCERS WEIGHT: KG 4&lt;/p&gt;_x000a_&lt;p&gt;HARD INCREASE, COMPARED TO THE ORIGINAL EXHAUST SYSTEM, IN TERMS OF TORQUE AND POWER (+2.5 HP) AT ANY RANGE.&lt;/p&gt;_x000a_&lt;p&gt;ASTONISHING SOUND.&lt;/p&gt;"/>
    <m/>
    <s v="STEEL HOMOLOGATED"/>
    <n v="96.64"/>
  </r>
  <r>
    <s v="1586059853-11415"/>
    <s v="https://shop.officineitalianezard.it/en/products/"/>
    <m/>
    <s v="https://shop.officineitalianezard.it/en/ducati-zard-exhaust/"/>
    <s v="MONSTER 696/796/1100"/>
    <s v="https://shop.officineitalianezard.it/en/ducati-monster-696-796-1100-exhaust/"/>
    <s v="CONICAL VERSION"/>
    <x v="237"/>
    <s v="SILENCERS"/>
    <s v="ZD115SSR"/>
    <s v="DUCATI MONSTER 696/796/1100"/>
    <n v="639.59"/>
    <n v="710.66"/>
    <s v="&lt;p&gt;N.2 STEEL SILENCERS RACING WITH REMOVABLE DB KILLER&lt;/p&gt;_x000a_&lt;p&gt;ORIGINAL SILENCERS WEIGHT: KG 6.6&lt;br&gt;ZARD SILENCERS WEIGHT: KG 4&lt;/p&gt;_x000a_&lt;p&gt;HARD INCREASE, COMPARED TO THE ORIGINAL EXHAUST SYSTEM, IN TERMS OF TORQUE AND POWER (+2.5 HP) AT ANY RANGE.&lt;/p&gt;_x000a_&lt;p&gt;ASTONISHING SOUND.&lt;/p&gt;"/>
    <m/>
    <s v="STEEL-TITANIUM RACING"/>
    <n v="135"/>
  </r>
  <r>
    <s v="1586059853-11416"/>
    <s v="https://shop.officineitalianezard.it/en/products/"/>
    <m/>
    <s v="https://shop.officineitalianezard.it/en/ducati-zard-exhaust/"/>
    <s v="MONSTER 696/796/1100"/>
    <s v="https://shop.officineitalianezard.it/en/ducati-monster-696-796-1100-exhaust/"/>
    <s v="CONICAL VERSION"/>
    <x v="237"/>
    <s v="SILENCERS"/>
    <s v="ZD115SSR"/>
    <s v="DUCATI MONSTER 696/796/1100"/>
    <n v="639.59"/>
    <n v="710.66"/>
    <s v="&lt;p&gt;N.2 STEEL SILENCERS RACING WITH REMOVABLE DB KILLER&lt;/p&gt;_x000a_&lt;p&gt;ORIGINAL SILENCERS WEIGHT: KG 6.6&lt;br&gt;ZARD SILENCERS WEIGHT: KG 4&lt;/p&gt;_x000a_&lt;p&gt;HARD INCREASE, COMPARED TO THE ORIGINAL EXHAUST SYSTEM, IN TERMS OF TORQUE AND POWER (+2.5 HP) AT ANY RANGE.&lt;/p&gt;_x000a_&lt;p&gt;ASTONISHING SOUND.&lt;/p&gt;"/>
    <m/>
    <s v="STEEL-TITANIUM HOMOLOGATED"/>
    <n v="232.38"/>
  </r>
  <r>
    <s v="1586059853-11417"/>
    <s v="https://shop.officineitalianezard.it/en/products/"/>
    <m/>
    <s v="https://shop.officineitalianezard.it/en/ducati-zard-exhaust/"/>
    <s v="MONSTER 696/796/1100"/>
    <s v="https://shop.officineitalianezard.it/en/ducati-monster-696-796-1100-exhaust/"/>
    <s v="CONICAL VERSION"/>
    <x v="237"/>
    <s v="SILENCERS"/>
    <s v="ZD115SSR"/>
    <s v="DUCATI MONSTER 696/796/1100"/>
    <n v="639.59"/>
    <n v="710.66"/>
    <s v="&lt;p&gt;N.2 STEEL SILENCERS RACING WITH REMOVABLE DB KILLER&lt;/p&gt;_x000a_&lt;p&gt;ORIGINAL SILENCERS WEIGHT: KG 6.6&lt;br&gt;ZARD SILENCERS WEIGHT: KG 4&lt;/p&gt;_x000a_&lt;p&gt;HARD INCREASE, COMPARED TO THE ORIGINAL EXHAUST SYSTEM, IN TERMS OF TORQUE AND POWER (+2.5 HP) AT ANY RANGE.&lt;/p&gt;_x000a_&lt;p&gt;ASTONISHING SOUND.&lt;/p&gt;"/>
    <m/>
    <s v="STEEL-CARBON RACING"/>
    <n v="135"/>
  </r>
  <r>
    <s v="1586059853-11418"/>
    <s v="https://shop.officineitalianezard.it/en/products/"/>
    <m/>
    <s v="https://shop.officineitalianezard.it/en/ducati-zard-exhaust/"/>
    <s v="MONSTER 696/796/1100"/>
    <s v="https://shop.officineitalianezard.it/en/ducati-monster-696-796-1100-exhaust/"/>
    <s v="CONICAL VERSION"/>
    <x v="237"/>
    <s v="SILENCERS"/>
    <s v="ZD115SSR"/>
    <s v="DUCATI MONSTER 696/796/1100"/>
    <n v="639.59"/>
    <n v="710.66"/>
    <s v="&lt;p&gt;N.2 STEEL SILENCERS RACING WITH REMOVABLE DB KILLER&lt;/p&gt;_x000a_&lt;p&gt;ORIGINAL SILENCERS WEIGHT: KG 6.6&lt;br&gt;ZARD SILENCERS WEIGHT: KG 4&lt;/p&gt;_x000a_&lt;p&gt;HARD INCREASE, COMPARED TO THE ORIGINAL EXHAUST SYSTEM, IN TERMS OF TORQUE AND POWER (+2.5 HP) AT ANY RANGE.&lt;/p&gt;_x000a_&lt;p&gt;ASTONISHING SOUND.&lt;/p&gt;"/>
    <m/>
    <s v="CARBON ENDCAP"/>
    <n v="84.84"/>
  </r>
  <r>
    <s v="1586059857-11419"/>
    <s v="https://shop.officineitalianezard.it/en/products/"/>
    <m/>
    <s v="https://shop.officineitalianezard.it/en/ducati-zard-exhaust/"/>
    <s v="HYPERMOTARD - SP M.Y. 2013"/>
    <s v="https://shop.officineitalianezard.it/en/ducati-hypermotard-sp-m-y-2013-exhaust/"/>
    <s v="PENTA VERSION"/>
    <x v="238"/>
    <s v="SILENCER"/>
    <s v="ZD123SSR"/>
    <m/>
    <n v="409.43"/>
    <n v="454.92"/>
    <s v="&lt;p&gt;STEEL-CARBON SILENCER WITH REMOVABLE DB KILLER&lt;/p&gt;_x000a_&lt;p&gt;CARBON HEAT SHIELD.&lt;/p&gt;_x000a_&lt;p&gt;HARD INCREASE, COMPARED TO THE ORIGINAL EXHAUST SYSTEM, IN TERMS OF TORQUE AND POWER AT ANY RANGE.&lt;/p&gt;_x000a_&lt;p&gt;ASTONISHING SOUND.&lt;/p&gt;"/>
    <s v="https://shop.officineitalianezard.it/contents/imgs/products/1_906-5.jpg"/>
    <m/>
    <m/>
  </r>
  <r>
    <s v="1586059857-11420"/>
    <s v="https://shop.officineitalianezard.it/en/products/"/>
    <m/>
    <s v="https://shop.officineitalianezard.it/en/ducati-zard-exhaust/"/>
    <s v="HYPERMOTARD - SP M.Y. 2013"/>
    <s v="https://shop.officineitalianezard.it/en/ducati-hypermotard-sp-m-y-2013-exhaust/"/>
    <s v="PENTA VERSION"/>
    <x v="238"/>
    <s v="SILENCER"/>
    <s v="ZD123SSR"/>
    <m/>
    <n v="409.43"/>
    <n v="454.92"/>
    <s v="&lt;p&gt;STEEL-CARBON SILENCER WITH REMOVABLE DB KILLER&lt;/p&gt;_x000a_&lt;p&gt;CARBON HEAT SHIELD.&lt;/p&gt;_x000a_&lt;p&gt;HARD INCREASE, COMPARED TO THE ORIGINAL EXHAUST SYSTEM, IN TERMS OF TORQUE AND POWER AT ANY RANGE.&lt;/p&gt;_x000a_&lt;p&gt;ASTONISHING SOUND.&lt;/p&gt;"/>
    <s v="https://shop.officineitalianezard.it/contents/imgs/products/1_903-1.jpg"/>
    <m/>
    <m/>
  </r>
  <r>
    <s v="1586059857-11421"/>
    <s v="https://shop.officineitalianezard.it/en/products/"/>
    <m/>
    <s v="https://shop.officineitalianezard.it/en/ducati-zard-exhaust/"/>
    <s v="HYPERMOTARD - SP M.Y. 2013"/>
    <s v="https://shop.officineitalianezard.it/en/ducati-hypermotard-sp-m-y-2013-exhaust/"/>
    <s v="PENTA VERSION"/>
    <x v="238"/>
    <s v="SILENCER"/>
    <s v="ZD123SSR"/>
    <m/>
    <n v="409.43"/>
    <n v="454.92"/>
    <s v="&lt;p&gt;STEEL-CARBON SILENCER WITH REMOVABLE DB KILLER&lt;/p&gt;_x000a_&lt;p&gt;CARBON HEAT SHIELD.&lt;/p&gt;_x000a_&lt;p&gt;HARD INCREASE, COMPARED TO THE ORIGINAL EXHAUST SYSTEM, IN TERMS OF TORQUE AND POWER AT ANY RANGE.&lt;/p&gt;_x000a_&lt;p&gt;ASTONISHING SOUND.&lt;/p&gt;"/>
    <s v="https://shop.officineitalianezard.it/contents/imgs/products/1_904-2.jpg"/>
    <m/>
    <m/>
  </r>
  <r>
    <s v="1586059857-11422"/>
    <s v="https://shop.officineitalianezard.it/en/products/"/>
    <m/>
    <s v="https://shop.officineitalianezard.it/en/ducati-zard-exhaust/"/>
    <s v="HYPERMOTARD - SP M.Y. 2013"/>
    <s v="https://shop.officineitalianezard.it/en/ducati-hypermotard-sp-m-y-2013-exhaust/"/>
    <s v="PENTA VERSION"/>
    <x v="238"/>
    <s v="SILENCER"/>
    <s v="ZD123SSR"/>
    <m/>
    <n v="409.43"/>
    <n v="454.92"/>
    <s v="&lt;p&gt;STEEL-CARBON SILENCER WITH REMOVABLE DB KILLER&lt;/p&gt;_x000a_&lt;p&gt;CARBON HEAT SHIELD.&lt;/p&gt;_x000a_&lt;p&gt;HARD INCREASE, COMPARED TO THE ORIGINAL EXHAUST SYSTEM, IN TERMS OF TORQUE AND POWER AT ANY RANGE.&lt;/p&gt;_x000a_&lt;p&gt;ASTONISHING SOUND.&lt;/p&gt;"/>
    <s v="https://shop.officineitalianezard.it/contents/imgs/products/1_905-4.jpg"/>
    <m/>
    <m/>
  </r>
  <r>
    <s v="1586059857-11423"/>
    <s v="https://shop.officineitalianezard.it/en/products/"/>
    <m/>
    <s v="https://shop.officineitalianezard.it/en/ducati-zard-exhaust/"/>
    <s v="HYPERMOTARD - SP M.Y. 2013"/>
    <s v="https://shop.officineitalianezard.it/en/ducati-hypermotard-sp-m-y-2013-exhaust/"/>
    <s v="PENTA VERSION"/>
    <x v="238"/>
    <s v="SILENCER"/>
    <s v="ZD123SSR"/>
    <m/>
    <n v="409.43"/>
    <n v="454.92"/>
    <s v="&lt;p&gt;STEEL-CARBON SILENCER WITH REMOVABLE DB KILLER&lt;/p&gt;_x000a_&lt;p&gt;CARBON HEAT SHIELD.&lt;/p&gt;_x000a_&lt;p&gt;HARD INCREASE, COMPARED TO THE ORIGINAL EXHAUST SYSTEM, IN TERMS OF TORQUE AND POWER AT ANY RANGE.&lt;/p&gt;_x000a_&lt;p&gt;ASTONISHING SOUND.&lt;/p&gt;"/>
    <m/>
    <s v="EURO 3 HOMOLOGATED"/>
    <n v="18.440000000000001"/>
  </r>
  <r>
    <s v="1586059857-11424"/>
    <s v="https://shop.officineitalianezard.it/en/products/"/>
    <m/>
    <s v="https://shop.officineitalianezard.it/en/ducati-zard-exhaust/"/>
    <s v="HYPERMOTARD - SP M.Y. 2013"/>
    <s v="https://shop.officineitalianezard.it/en/ducati-hypermotard-sp-m-y-2013-exhaust/"/>
    <s v="PENTA VERSION"/>
    <x v="238"/>
    <s v="SILENCER"/>
    <s v="ZD123SSR"/>
    <m/>
    <n v="409.43"/>
    <n v="454.92"/>
    <s v="&lt;p&gt;STEEL-CARBON SILENCER WITH REMOVABLE DB KILLER&lt;/p&gt;_x000a_&lt;p&gt;CARBON HEAT SHIELD.&lt;/p&gt;_x000a_&lt;p&gt;HARD INCREASE, COMPARED TO THE ORIGINAL EXHAUST SYSTEM, IN TERMS OF TORQUE AND POWER AT ANY RANGE.&lt;/p&gt;_x000a_&lt;p&gt;ASTONISHING SOUND.&lt;/p&gt;"/>
    <m/>
    <s v="BLACK COATING"/>
    <n v="77.459999999999994"/>
  </r>
  <r>
    <s v="1586059857-11425"/>
    <s v="https://shop.officineitalianezard.it/en/products/"/>
    <m/>
    <s v="https://shop.officineitalianezard.it/en/ducati-zard-exhaust/"/>
    <s v="HYPERMOTARD - SP M.Y. 2013"/>
    <s v="https://shop.officineitalianezard.it/en/ducati-hypermotard-sp-m-y-2013-exhaust/"/>
    <s v="PENTA VERSION"/>
    <x v="238"/>
    <s v="SILENCER"/>
    <s v="ZD123SSR"/>
    <m/>
    <n v="409.43"/>
    <n v="454.92"/>
    <s v="&lt;p&gt;STEEL-CARBON SILENCER WITH REMOVABLE DB KILLER&lt;/p&gt;_x000a_&lt;p&gt;CARBON HEAT SHIELD.&lt;/p&gt;_x000a_&lt;p&gt;HARD INCREASE, COMPARED TO THE ORIGINAL EXHAUST SYSTEM, IN TERMS OF TORQUE AND POWER AT ANY RANGE.&lt;/p&gt;_x000a_&lt;p&gt;ASTONISHING SOUND.&lt;/p&gt;"/>
    <m/>
    <s v="FULL TITANIO"/>
    <n v="37.619999999999997"/>
  </r>
  <r>
    <s v="1586059863-11426"/>
    <s v="https://shop.officineitalianezard.it/en/products/"/>
    <m/>
    <s v="https://shop.officineitalianezard.it/en/ducati-zard-exhaust/"/>
    <s v="HYPERMOTARD 950 - SP M.Y. 2019"/>
    <s v="https://shop.officineitalianezard.it/en/ducati-hypermotard-950/"/>
    <s v="GT VERSION"/>
    <x v="239"/>
    <s v="SLIP-ONS"/>
    <s v="ZD127SSR"/>
    <s v="DUCATI HYPERMOTARD 950 / 950 SP M.Y. 2019"/>
    <n v="627.04999999999995"/>
    <n v="696.72"/>
    <s v="&lt;p&gt;STAINLESS STEEL RACING SLIP-ONS WITH SANDBLASTED&lt;br&gt;FINISH AND REMOVABLE DBKILLERS.&lt;/p&gt;_x000a_&lt;p&gt;EURO 4 HOMOLOGATED VERSION AVAILABLE AS OPTIONAL,&lt;br&gt;BLACK&amp;nbsp;END-CAPS INCLUDED.&lt;/p&gt;_x000a_&lt;p&gt;&lt;span&gt;&lt;strong&gt;NOTICE&lt;/strong&gt;: THE PACKAGE INCLUDE CARBON SIDE COVER&lt;br&gt;&lt;/span&gt;&lt;span&gt;THAT PERFECTLY FOLLOW THE SIDE PANELS.&lt;/span&gt;&lt;/p&gt;_x000a_&lt;p&gt;ORIGINAL&amp;nbsp;EXHAUSTS WEIGHT: 4.8 KG&lt;br&gt;ZARD SLIP-ONS WEIGHT:&amp;nbsp;3 KG&lt;/p&gt;_x000a_&lt;p&gt;&lt;span&gt;THE INSTALLATION OF ZARD EXHAUST FOR DUCATI&lt;br&gt;HYPERMOTARD 950 AND DUCATI HYPERMOTARD 950 SP&lt;br&gt;DOES NOT&amp;nbsp;&lt;/span&gt;&lt;span&gt;IMPLY ANY MODIFICATION TO ECU&lt;/span&gt;&lt;/p&gt;_x000a_&lt;p&gt;SIGNIFICANT&amp;nbsp;INCREASE, COMPARED TO THE ORIGINAL EXHAUST SYSTEM,&lt;br&gt;&lt;span&gt;IN TERMS OF TORQUE AND POWER AT ANY RANGE, ASTONISHING SOUND.&lt;/span&gt;&lt;/p&gt;"/>
    <s v="https://shop.officineitalianezard.it/contents/imgs/products/1_2582-scarichi%20hypermotard%20sp%202019%20zard%201.jpg"/>
    <m/>
    <m/>
  </r>
  <r>
    <s v="1586059863-11427"/>
    <s v="https://shop.officineitalianezard.it/en/products/"/>
    <m/>
    <s v="https://shop.officineitalianezard.it/en/ducati-zard-exhaust/"/>
    <s v="HYPERMOTARD 950 - SP M.Y. 2019"/>
    <s v="https://shop.officineitalianezard.it/en/ducati-hypermotard-950/"/>
    <s v="GT VERSION"/>
    <x v="239"/>
    <s v="SLIP-ONS"/>
    <s v="ZD127SSR"/>
    <s v="DUCATI HYPERMOTARD 950 / 950 SP M.Y. 2019"/>
    <n v="627.04999999999995"/>
    <n v="696.72"/>
    <s v="&lt;p&gt;STAINLESS STEEL RACING SLIP-ONS WITH SANDBLASTED&lt;br&gt;FINISH AND REMOVABLE DBKILLERS.&lt;/p&gt;_x000a_&lt;p&gt;EURO 4 HOMOLOGATED VERSION AVAILABLE AS OPTIONAL,&lt;br&gt;BLACK&amp;nbsp;END-CAPS INCLUDED.&lt;/p&gt;_x000a_&lt;p&gt;&lt;span&gt;&lt;strong&gt;NOTICE&lt;/strong&gt;: THE PACKAGE INCLUDE CARBON SIDE COVER&lt;br&gt;&lt;/span&gt;&lt;span&gt;THAT PERFECTLY FOLLOW THE SIDE PANELS.&lt;/span&gt;&lt;/p&gt;_x000a_&lt;p&gt;ORIGINAL&amp;nbsp;EXHAUSTS WEIGHT: 4.8 KG&lt;br&gt;ZARD SLIP-ONS WEIGHT:&amp;nbsp;3 KG&lt;/p&gt;_x000a_&lt;p&gt;&lt;span&gt;THE INSTALLATION OF ZARD EXHAUST FOR DUCATI&lt;br&gt;HYPERMOTARD 950 AND DUCATI HYPERMOTARD 950 SP&lt;br&gt;DOES NOT&amp;nbsp;&lt;/span&gt;&lt;span&gt;IMPLY ANY MODIFICATION TO ECU&lt;/span&gt;&lt;/p&gt;_x000a_&lt;p&gt;SIGNIFICANT&amp;nbsp;INCREASE, COMPARED TO THE ORIGINAL EXHAUST SYSTEM,&lt;br&gt;&lt;span&gt;IN TERMS OF TORQUE AND POWER AT ANY RANGE, ASTONISHING SOUND.&lt;/span&gt;&lt;/p&gt;"/>
    <s v="https://shop.officineitalianezard.it/contents/imgs/products/1_2581-scarichi%20hypermotard%20sp%202019%20zard%202.jpg"/>
    <m/>
    <m/>
  </r>
  <r>
    <s v="1586059863-11428"/>
    <s v="https://shop.officineitalianezard.it/en/products/"/>
    <m/>
    <s v="https://shop.officineitalianezard.it/en/ducati-zard-exhaust/"/>
    <s v="HYPERMOTARD 950 - SP M.Y. 2019"/>
    <s v="https://shop.officineitalianezard.it/en/ducati-hypermotard-950/"/>
    <s v="GT VERSION"/>
    <x v="239"/>
    <s v="SLIP-ONS"/>
    <s v="ZD127SSR"/>
    <s v="DUCATI HYPERMOTARD 950 / 950 SP M.Y. 2019"/>
    <n v="627.04999999999995"/>
    <n v="696.72"/>
    <s v="&lt;p&gt;STAINLESS STEEL RACING SLIP-ONS WITH SANDBLASTED&lt;br&gt;FINISH AND REMOVABLE DBKILLERS.&lt;/p&gt;_x000a_&lt;p&gt;EURO 4 HOMOLOGATED VERSION AVAILABLE AS OPTIONAL,&lt;br&gt;BLACK&amp;nbsp;END-CAPS INCLUDED.&lt;/p&gt;_x000a_&lt;p&gt;&lt;span&gt;&lt;strong&gt;NOTICE&lt;/strong&gt;: THE PACKAGE INCLUDE CARBON SIDE COVER&lt;br&gt;&lt;/span&gt;&lt;span&gt;THAT PERFECTLY FOLLOW THE SIDE PANELS.&lt;/span&gt;&lt;/p&gt;_x000a_&lt;p&gt;ORIGINAL&amp;nbsp;EXHAUSTS WEIGHT: 4.8 KG&lt;br&gt;ZARD SLIP-ONS WEIGHT:&amp;nbsp;3 KG&lt;/p&gt;_x000a_&lt;p&gt;&lt;span&gt;THE INSTALLATION OF ZARD EXHAUST FOR DUCATI&lt;br&gt;HYPERMOTARD 950 AND DUCATI HYPERMOTARD 950 SP&lt;br&gt;DOES NOT&amp;nbsp;&lt;/span&gt;&lt;span&gt;IMPLY ANY MODIFICATION TO ECU&lt;/span&gt;&lt;/p&gt;_x000a_&lt;p&gt;SIGNIFICANT&amp;nbsp;INCREASE, COMPARED TO THE ORIGINAL EXHAUST SYSTEM,&lt;br&gt;&lt;span&gt;IN TERMS OF TORQUE AND POWER AT ANY RANGE, ASTONISHING SOUND.&lt;/span&gt;&lt;/p&gt;"/>
    <s v="https://shop.officineitalianezard.it/contents/imgs/products/1_2580-scarichi%20hypermotard%20sp%202019%20zard%203.jpg"/>
    <m/>
    <m/>
  </r>
  <r>
    <s v="1586059863-11429"/>
    <s v="https://shop.officineitalianezard.it/en/products/"/>
    <m/>
    <s v="https://shop.officineitalianezard.it/en/ducati-zard-exhaust/"/>
    <s v="HYPERMOTARD 950 - SP M.Y. 2019"/>
    <s v="https://shop.officineitalianezard.it/en/ducati-hypermotard-950/"/>
    <s v="GT VERSION"/>
    <x v="239"/>
    <s v="SLIP-ONS"/>
    <s v="ZD127SSR"/>
    <s v="DUCATI HYPERMOTARD 950 / 950 SP M.Y. 2019"/>
    <n v="627.04999999999995"/>
    <n v="696.72"/>
    <s v="&lt;p&gt;STAINLESS STEEL RACING SLIP-ONS WITH SANDBLASTED&lt;br&gt;FINISH AND REMOVABLE DBKILLERS.&lt;/p&gt;_x000a_&lt;p&gt;EURO 4 HOMOLOGATED VERSION AVAILABLE AS OPTIONAL,&lt;br&gt;BLACK&amp;nbsp;END-CAPS INCLUDED.&lt;/p&gt;_x000a_&lt;p&gt;&lt;span&gt;&lt;strong&gt;NOTICE&lt;/strong&gt;: THE PACKAGE INCLUDE CARBON SIDE COVER&lt;br&gt;&lt;/span&gt;&lt;span&gt;THAT PERFECTLY FOLLOW THE SIDE PANELS.&lt;/span&gt;&lt;/p&gt;_x000a_&lt;p&gt;ORIGINAL&amp;nbsp;EXHAUSTS WEIGHT: 4.8 KG&lt;br&gt;ZARD SLIP-ONS WEIGHT:&amp;nbsp;3 KG&lt;/p&gt;_x000a_&lt;p&gt;&lt;span&gt;THE INSTALLATION OF ZARD EXHAUST FOR DUCATI&lt;br&gt;HYPERMOTARD 950 AND DUCATI HYPERMOTARD 950 SP&lt;br&gt;DOES NOT&amp;nbsp;&lt;/span&gt;&lt;span&gt;IMPLY ANY MODIFICATION TO ECU&lt;/span&gt;&lt;/p&gt;_x000a_&lt;p&gt;SIGNIFICANT&amp;nbsp;INCREASE, COMPARED TO THE ORIGINAL EXHAUST SYSTEM,&lt;br&gt;&lt;span&gt;IN TERMS OF TORQUE AND POWER AT ANY RANGE, ASTONISHING SOUND.&lt;/span&gt;&lt;/p&gt;"/>
    <s v="https://shop.officineitalianezard.it/contents/imgs/products/1_2579-scarichi%20hypermotard%20sp%202019%20zard%204.jpg"/>
    <m/>
    <m/>
  </r>
  <r>
    <s v="1586059863-11430"/>
    <s v="https://shop.officineitalianezard.it/en/products/"/>
    <m/>
    <s v="https://shop.officineitalianezard.it/en/ducati-zard-exhaust/"/>
    <s v="HYPERMOTARD 950 - SP M.Y. 2019"/>
    <s v="https://shop.officineitalianezard.it/en/ducati-hypermotard-950/"/>
    <s v="GT VERSION"/>
    <x v="239"/>
    <s v="SLIP-ONS"/>
    <s v="ZD127SSR"/>
    <s v="DUCATI HYPERMOTARD 950 / 950 SP M.Y. 2019"/>
    <n v="627.04999999999995"/>
    <n v="696.72"/>
    <s v="&lt;p&gt;STAINLESS STEEL RACING SLIP-ONS WITH SANDBLASTED&lt;br&gt;FINISH AND REMOVABLE DBKILLERS.&lt;/p&gt;_x000a_&lt;p&gt;EURO 4 HOMOLOGATED VERSION AVAILABLE AS OPTIONAL,&lt;br&gt;BLACK&amp;nbsp;END-CAPS INCLUDED.&lt;/p&gt;_x000a_&lt;p&gt;&lt;span&gt;&lt;strong&gt;NOTICE&lt;/strong&gt;: THE PACKAGE INCLUDE CARBON SIDE COVER&lt;br&gt;&lt;/span&gt;&lt;span&gt;THAT PERFECTLY FOLLOW THE SIDE PANELS.&lt;/span&gt;&lt;/p&gt;_x000a_&lt;p&gt;ORIGINAL&amp;nbsp;EXHAUSTS WEIGHT: 4.8 KG&lt;br&gt;ZARD SLIP-ONS WEIGHT:&amp;nbsp;3 KG&lt;/p&gt;_x000a_&lt;p&gt;&lt;span&gt;THE INSTALLATION OF ZARD EXHAUST FOR DUCATI&lt;br&gt;HYPERMOTARD 950 AND DUCATI HYPERMOTARD 950 SP&lt;br&gt;DOES NOT&amp;nbsp;&lt;/span&gt;&lt;span&gt;IMPLY ANY MODIFICATION TO ECU&lt;/span&gt;&lt;/p&gt;_x000a_&lt;p&gt;SIGNIFICANT&amp;nbsp;INCREASE, COMPARED TO THE ORIGINAL EXHAUST SYSTEM,&lt;br&gt;&lt;span&gt;IN TERMS OF TORQUE AND POWER AT ANY RANGE, ASTONISHING SOUND.&lt;/span&gt;&lt;/p&gt;"/>
    <s v="https://shop.officineitalianezard.it/contents/imgs/products/1_2578-scarichi%20hypermotard%20sp%202019%20zard%20carbonio.jpg"/>
    <m/>
    <m/>
  </r>
  <r>
    <s v="1586059863-11431"/>
    <s v="https://shop.officineitalianezard.it/en/products/"/>
    <m/>
    <s v="https://shop.officineitalianezard.it/en/ducati-zard-exhaust/"/>
    <s v="HYPERMOTARD 950 - SP M.Y. 2019"/>
    <s v="https://shop.officineitalianezard.it/en/ducati-hypermotard-950/"/>
    <s v="GT VERSION"/>
    <x v="239"/>
    <s v="SLIP-ONS"/>
    <s v="ZD127SSR"/>
    <s v="DUCATI HYPERMOTARD 950 / 950 SP M.Y. 2019"/>
    <n v="627.04999999999995"/>
    <n v="696.72"/>
    <s v="&lt;p&gt;STAINLESS STEEL RACING SLIP-ONS WITH SANDBLASTED&lt;br&gt;FINISH AND REMOVABLE DBKILLERS.&lt;/p&gt;_x000a_&lt;p&gt;EURO 4 HOMOLOGATED VERSION AVAILABLE AS OPTIONAL,&lt;br&gt;BLACK&amp;nbsp;END-CAPS INCLUDED.&lt;/p&gt;_x000a_&lt;p&gt;&lt;span&gt;&lt;strong&gt;NOTICE&lt;/strong&gt;: THE PACKAGE INCLUDE CARBON SIDE COVER&lt;br&gt;&lt;/span&gt;&lt;span&gt;THAT PERFECTLY FOLLOW THE SIDE PANELS.&lt;/span&gt;&lt;/p&gt;_x000a_&lt;p&gt;ORIGINAL&amp;nbsp;EXHAUSTS WEIGHT: 4.8 KG&lt;br&gt;ZARD SLIP-ONS WEIGHT:&amp;nbsp;3 KG&lt;/p&gt;_x000a_&lt;p&gt;&lt;span&gt;THE INSTALLATION OF ZARD EXHAUST FOR DUCATI&lt;br&gt;HYPERMOTARD 950 AND DUCATI HYPERMOTARD 950 SP&lt;br&gt;DOES NOT&amp;nbsp;&lt;/span&gt;&lt;span&gt;IMPLY ANY MODIFICATION TO ECU&lt;/span&gt;&lt;/p&gt;_x000a_&lt;p&gt;SIGNIFICANT&amp;nbsp;INCREASE, COMPARED TO THE ORIGINAL EXHAUST SYSTEM,&lt;br&gt;&lt;span&gt;IN TERMS OF TORQUE AND POWER AT ANY RANGE, ASTONISHING SOUND.&lt;/span&gt;&lt;/p&gt;"/>
    <m/>
    <s v="CARBON ENDCAP"/>
    <n v="77.459999999999994"/>
  </r>
  <r>
    <s v="1586059863-11432"/>
    <s v="https://shop.officineitalianezard.it/en/products/"/>
    <m/>
    <s v="https://shop.officineitalianezard.it/en/ducati-zard-exhaust/"/>
    <s v="HYPERMOTARD 950 - SP M.Y. 2019"/>
    <s v="https://shop.officineitalianezard.it/en/ducati-hypermotard-950/"/>
    <s v="GT VERSION"/>
    <x v="239"/>
    <s v="SLIP-ONS"/>
    <s v="ZD127SSR"/>
    <s v="DUCATI HYPERMOTARD 950 / 950 SP M.Y. 2019"/>
    <n v="627.04999999999995"/>
    <n v="696.72"/>
    <s v="&lt;p&gt;STAINLESS STEEL RACING SLIP-ONS WITH SANDBLASTED&lt;br&gt;FINISH AND REMOVABLE DBKILLERS.&lt;/p&gt;_x000a_&lt;p&gt;EURO 4 HOMOLOGATED VERSION AVAILABLE AS OPTIONAL,&lt;br&gt;BLACK&amp;nbsp;END-CAPS INCLUDED.&lt;/p&gt;_x000a_&lt;p&gt;&lt;span&gt;&lt;strong&gt;NOTICE&lt;/strong&gt;: THE PACKAGE INCLUDE CARBON SIDE COVER&lt;br&gt;&lt;/span&gt;&lt;span&gt;THAT PERFECTLY FOLLOW THE SIDE PANELS.&lt;/span&gt;&lt;/p&gt;_x000a_&lt;p&gt;ORIGINAL&amp;nbsp;EXHAUSTS WEIGHT: 4.8 KG&lt;br&gt;ZARD SLIP-ONS WEIGHT:&amp;nbsp;3 KG&lt;/p&gt;_x000a_&lt;p&gt;&lt;span&gt;THE INSTALLATION OF ZARD EXHAUST FOR DUCATI&lt;br&gt;HYPERMOTARD 950 AND DUCATI HYPERMOTARD 950 SP&lt;br&gt;DOES NOT&amp;nbsp;&lt;/span&gt;&lt;span&gt;IMPLY ANY MODIFICATION TO ECU&lt;/span&gt;&lt;/p&gt;_x000a_&lt;p&gt;SIGNIFICANT&amp;nbsp;INCREASE, COMPARED TO THE ORIGINAL EXHAUST SYSTEM,&lt;br&gt;&lt;span&gt;IN TERMS OF TORQUE AND POWER AT ANY RANGE, ASTONISHING SOUND.&lt;/span&gt;&lt;/p&gt;"/>
    <m/>
    <s v="EURO 4 HOMOLOGATED"/>
    <n v="14.75"/>
  </r>
  <r>
    <s v="1586059865-11433"/>
    <s v="https://shop.officineitalianezard.it/en/products/"/>
    <m/>
    <s v="https://shop.officineitalianezard.it/en/ducati-zard-exhaust/"/>
    <s v="HYPERMOTARD 950 - SP M.Y. 2019"/>
    <s v="https://shop.officineitalianezard.it/en/ducati-hypermotard-950/"/>
    <s v="TOP GUN VERSION"/>
    <x v="240"/>
    <s v="SLIP-ONS"/>
    <s v="ZD128SSR"/>
    <s v="DUCATI HYPERMOTARD 950 / 950 SP M.Y. 2019"/>
    <n v="627.04999999999995"/>
    <n v="696.72"/>
    <s v="&lt;p&gt;STAINLESS STEEL RACING SLIP-ONS WITH SANDBLASTED&lt;br&gt;FINISH AND REMOVABLE DBKILLERS.&lt;/p&gt;_x000a_&lt;p&gt;EURO 4 HOMOLOGATED VERSION AVAILABLE AS OPTIONAL,&lt;br&gt;CARBON END-CAPS INCLUDED.&lt;/p&gt;_x000a_&lt;p&gt;&lt;span&gt;&lt;strong&gt;NOTICE&lt;/strong&gt;: THE PACKAGE INCLUDE CARBON SIDE COVER&lt;br&gt;&lt;/span&gt;&lt;span&gt;THAT PERFECTLY FOLLOW THE SIDE PANELS.&lt;/span&gt;&lt;/p&gt;_x000a_&lt;p&gt;ORIGINAL&amp;nbsp;EXHAUSTS WEIGHT: 4.8 KG&lt;br&gt;ZARD SLIP-ONS WEIGHT: 2.6 KG&lt;/p&gt;_x000a_&lt;p&gt;&lt;span&gt;THE INSTALLATION OF ZARD EXHAUST FOR DUCATI&lt;br&gt;HYPERMOTARD 950 AND DUCATI HYPERMOTARD 950 SP&lt;br&gt;DOES NOT&amp;nbsp;&lt;/span&gt;&lt;span&gt;IMPLY ANY MODIFICATION TO ECU&lt;/span&gt;&lt;/p&gt;_x000a_&lt;p&gt;SIGNIFICANT&amp;nbsp;INCREASE, COMPARED TO THE ORIGINAL EXHAUST SYSTEM,&lt;br&gt;&lt;span&gt;IN TERMS OF TORQUE AND POWER AT ANY RANGE, ASTONISHING SOUND.&lt;/span&gt;&lt;/p&gt;"/>
    <s v="https://shop.officineitalianezard.it/contents/imgs/products/1_2573-scarico%20ducati%20hypermotard%20zard%201.jpg"/>
    <m/>
    <m/>
  </r>
  <r>
    <s v="1586059865-11434"/>
    <s v="https://shop.officineitalianezard.it/en/products/"/>
    <m/>
    <s v="https://shop.officineitalianezard.it/en/ducati-zard-exhaust/"/>
    <s v="HYPERMOTARD 950 - SP M.Y. 2019"/>
    <s v="https://shop.officineitalianezard.it/en/ducati-hypermotard-950/"/>
    <s v="TOP GUN VERSION"/>
    <x v="240"/>
    <s v="SLIP-ONS"/>
    <s v="ZD128SSR"/>
    <s v="DUCATI HYPERMOTARD 950 / 950 SP M.Y. 2019"/>
    <n v="627.04999999999995"/>
    <n v="696.72"/>
    <s v="&lt;p&gt;STAINLESS STEEL RACING SLIP-ONS WITH SANDBLASTED&lt;br&gt;FINISH AND REMOVABLE DBKILLERS.&lt;/p&gt;_x000a_&lt;p&gt;EURO 4 HOMOLOGATED VERSION AVAILABLE AS OPTIONAL,&lt;br&gt;CARBON END-CAPS INCLUDED.&lt;/p&gt;_x000a_&lt;p&gt;&lt;span&gt;&lt;strong&gt;NOTICE&lt;/strong&gt;: THE PACKAGE INCLUDE CARBON SIDE COVER&lt;br&gt;&lt;/span&gt;&lt;span&gt;THAT PERFECTLY FOLLOW THE SIDE PANELS.&lt;/span&gt;&lt;/p&gt;_x000a_&lt;p&gt;ORIGINAL&amp;nbsp;EXHAUSTS WEIGHT: 4.8 KG&lt;br&gt;ZARD SLIP-ONS WEIGHT: 2.6 KG&lt;/p&gt;_x000a_&lt;p&gt;&lt;span&gt;THE INSTALLATION OF ZARD EXHAUST FOR DUCATI&lt;br&gt;HYPERMOTARD 950 AND DUCATI HYPERMOTARD 950 SP&lt;br&gt;DOES NOT&amp;nbsp;&lt;/span&gt;&lt;span&gt;IMPLY ANY MODIFICATION TO ECU&lt;/span&gt;&lt;/p&gt;_x000a_&lt;p&gt;SIGNIFICANT&amp;nbsp;INCREASE, COMPARED TO THE ORIGINAL EXHAUST SYSTEM,&lt;br&gt;&lt;span&gt;IN TERMS OF TORQUE AND POWER AT ANY RANGE, ASTONISHING SOUND.&lt;/span&gt;&lt;/p&gt;"/>
    <s v="https://shop.officineitalianezard.it/contents/imgs/products/1_2572-scarico%20ducati%20hypermotard%20zard%202.jpg"/>
    <m/>
    <m/>
  </r>
  <r>
    <s v="1586059865-11435"/>
    <s v="https://shop.officineitalianezard.it/en/products/"/>
    <m/>
    <s v="https://shop.officineitalianezard.it/en/ducati-zard-exhaust/"/>
    <s v="HYPERMOTARD 950 - SP M.Y. 2019"/>
    <s v="https://shop.officineitalianezard.it/en/ducati-hypermotard-950/"/>
    <s v="TOP GUN VERSION"/>
    <x v="240"/>
    <s v="SLIP-ONS"/>
    <s v="ZD128SSR"/>
    <s v="DUCATI HYPERMOTARD 950 / 950 SP M.Y. 2019"/>
    <n v="627.04999999999995"/>
    <n v="696.72"/>
    <s v="&lt;p&gt;STAINLESS STEEL RACING SLIP-ONS WITH SANDBLASTED&lt;br&gt;FINISH AND REMOVABLE DBKILLERS.&lt;/p&gt;_x000a_&lt;p&gt;EURO 4 HOMOLOGATED VERSION AVAILABLE AS OPTIONAL,&lt;br&gt;CARBON END-CAPS INCLUDED.&lt;/p&gt;_x000a_&lt;p&gt;&lt;span&gt;&lt;strong&gt;NOTICE&lt;/strong&gt;: THE PACKAGE INCLUDE CARBON SIDE COVER&lt;br&gt;&lt;/span&gt;&lt;span&gt;THAT PERFECTLY FOLLOW THE SIDE PANELS.&lt;/span&gt;&lt;/p&gt;_x000a_&lt;p&gt;ORIGINAL&amp;nbsp;EXHAUSTS WEIGHT: 4.8 KG&lt;br&gt;ZARD SLIP-ONS WEIGHT: 2.6 KG&lt;/p&gt;_x000a_&lt;p&gt;&lt;span&gt;THE INSTALLATION OF ZARD EXHAUST FOR DUCATI&lt;br&gt;HYPERMOTARD 950 AND DUCATI HYPERMOTARD 950 SP&lt;br&gt;DOES NOT&amp;nbsp;&lt;/span&gt;&lt;span&gt;IMPLY ANY MODIFICATION TO ECU&lt;/span&gt;&lt;/p&gt;_x000a_&lt;p&gt;SIGNIFICANT&amp;nbsp;INCREASE, COMPARED TO THE ORIGINAL EXHAUST SYSTEM,&lt;br&gt;&lt;span&gt;IN TERMS OF TORQUE AND POWER AT ANY RANGE, ASTONISHING SOUND.&lt;/span&gt;&lt;/p&gt;"/>
    <s v="https://shop.officineitalianezard.it/contents/imgs/products/1_2571-scarico%20ducati%20hypermotard%20zard%203.jpg"/>
    <m/>
    <m/>
  </r>
  <r>
    <s v="1586059865-11436"/>
    <s v="https://shop.officineitalianezard.it/en/products/"/>
    <m/>
    <s v="https://shop.officineitalianezard.it/en/ducati-zard-exhaust/"/>
    <s v="HYPERMOTARD 950 - SP M.Y. 2019"/>
    <s v="https://shop.officineitalianezard.it/en/ducati-hypermotard-950/"/>
    <s v="TOP GUN VERSION"/>
    <x v="240"/>
    <s v="SLIP-ONS"/>
    <s v="ZD128SSR"/>
    <s v="DUCATI HYPERMOTARD 950 / 950 SP M.Y. 2019"/>
    <n v="627.04999999999995"/>
    <n v="696.72"/>
    <s v="&lt;p&gt;STAINLESS STEEL RACING SLIP-ONS WITH SANDBLASTED&lt;br&gt;FINISH AND REMOVABLE DBKILLERS.&lt;/p&gt;_x000a_&lt;p&gt;EURO 4 HOMOLOGATED VERSION AVAILABLE AS OPTIONAL,&lt;br&gt;CARBON END-CAPS INCLUDED.&lt;/p&gt;_x000a_&lt;p&gt;&lt;span&gt;&lt;strong&gt;NOTICE&lt;/strong&gt;: THE PACKAGE INCLUDE CARBON SIDE COVER&lt;br&gt;&lt;/span&gt;&lt;span&gt;THAT PERFECTLY FOLLOW THE SIDE PANELS.&lt;/span&gt;&lt;/p&gt;_x000a_&lt;p&gt;ORIGINAL&amp;nbsp;EXHAUSTS WEIGHT: 4.8 KG&lt;br&gt;ZARD SLIP-ONS WEIGHT: 2.6 KG&lt;/p&gt;_x000a_&lt;p&gt;&lt;span&gt;THE INSTALLATION OF ZARD EXHAUST FOR DUCATI&lt;br&gt;HYPERMOTARD 950 AND DUCATI HYPERMOTARD 950 SP&lt;br&gt;DOES NOT&amp;nbsp;&lt;/span&gt;&lt;span&gt;IMPLY ANY MODIFICATION TO ECU&lt;/span&gt;&lt;/p&gt;_x000a_&lt;p&gt;SIGNIFICANT&amp;nbsp;INCREASE, COMPARED TO THE ORIGINAL EXHAUST SYSTEM,&lt;br&gt;&lt;span&gt;IN TERMS OF TORQUE AND POWER AT ANY RANGE, ASTONISHING SOUND.&lt;/span&gt;&lt;/p&gt;"/>
    <s v="https://shop.officineitalianezard.it/contents/imgs/products/1_2570-scarico%20ducati%20hypermotard%20zard%204.jpg"/>
    <m/>
    <m/>
  </r>
  <r>
    <s v="1586059865-11437"/>
    <s v="https://shop.officineitalianezard.it/en/products/"/>
    <m/>
    <s v="https://shop.officineitalianezard.it/en/ducati-zard-exhaust/"/>
    <s v="HYPERMOTARD 950 - SP M.Y. 2019"/>
    <s v="https://shop.officineitalianezard.it/en/ducati-hypermotard-950/"/>
    <s v="TOP GUN VERSION"/>
    <x v="240"/>
    <s v="SLIP-ONS"/>
    <s v="ZD128SSR"/>
    <s v="DUCATI HYPERMOTARD 950 / 950 SP M.Y. 2019"/>
    <n v="627.04999999999995"/>
    <n v="696.72"/>
    <s v="&lt;p&gt;STAINLESS STEEL RACING SLIP-ONS WITH SANDBLASTED&lt;br&gt;FINISH AND REMOVABLE DBKILLERS.&lt;/p&gt;_x000a_&lt;p&gt;EURO 4 HOMOLOGATED VERSION AVAILABLE AS OPTIONAL,&lt;br&gt;CARBON END-CAPS INCLUDED.&lt;/p&gt;_x000a_&lt;p&gt;&lt;span&gt;&lt;strong&gt;NOTICE&lt;/strong&gt;: THE PACKAGE INCLUDE CARBON SIDE COVER&lt;br&gt;&lt;/span&gt;&lt;span&gt;THAT PERFECTLY FOLLOW THE SIDE PANELS.&lt;/span&gt;&lt;/p&gt;_x000a_&lt;p&gt;ORIGINAL&amp;nbsp;EXHAUSTS WEIGHT: 4.8 KG&lt;br&gt;ZARD SLIP-ONS WEIGHT: 2.6 KG&lt;/p&gt;_x000a_&lt;p&gt;&lt;span&gt;THE INSTALLATION OF ZARD EXHAUST FOR DUCATI&lt;br&gt;HYPERMOTARD 950 AND DUCATI HYPERMOTARD 950 SP&lt;br&gt;DOES NOT&amp;nbsp;&lt;/span&gt;&lt;span&gt;IMPLY ANY MODIFICATION TO ECU&lt;/span&gt;&lt;/p&gt;_x000a_&lt;p&gt;SIGNIFICANT&amp;nbsp;INCREASE, COMPARED TO THE ORIGINAL EXHAUST SYSTEM,&lt;br&gt;&lt;span&gt;IN TERMS OF TORQUE AND POWER AT ANY RANGE, ASTONISHING SOUND.&lt;/span&gt;&lt;/p&gt;"/>
    <m/>
    <s v="EURO 4 HOMOLOGATED"/>
    <n v="29.51"/>
  </r>
  <r>
    <s v="1586059871-11438"/>
    <s v="https://shop.officineitalianezard.it/en/products/"/>
    <m/>
    <s v="https://shop.officineitalianezard.it/en/ducati-zard-exhaust/"/>
    <s v="HYPERMOTARD 1100 EVO"/>
    <s v="https://shop.officineitalianezard.it/en/ducati-hypermotard-1100-evo-exhaust/"/>
    <s v="SCUDO VERSION"/>
    <x v="241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s v="https://shop.officineitalianezard.it/contents/imgs/products/1_316-hypelateralekittitanio4.jpg"/>
    <m/>
    <m/>
  </r>
  <r>
    <s v="1586059871-11439"/>
    <s v="https://shop.officineitalianezard.it/en/products/"/>
    <m/>
    <s v="https://shop.officineitalianezard.it/en/ducati-zard-exhaust/"/>
    <s v="HYPERMOTARD 1100 EVO"/>
    <s v="https://shop.officineitalianezard.it/en/ducati-hypermotard-1100-evo-exhaust/"/>
    <s v="SCUDO VERSION"/>
    <x v="241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s v="https://shop.officineitalianezard.it/contents/imgs/products/1_315-hypekitlateraleinox.jpg"/>
    <m/>
    <m/>
  </r>
  <r>
    <s v="1586059871-11440"/>
    <s v="https://shop.officineitalianezard.it/en/products/"/>
    <m/>
    <s v="https://shop.officineitalianezard.it/en/ducati-zard-exhaust/"/>
    <s v="HYPERMOTARD 1100 EVO"/>
    <s v="https://shop.officineitalianezard.it/en/ducati-hypermotard-1100-evo-exhaust/"/>
    <s v="SCUDO VERSION"/>
    <x v="241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s v="https://shop.officineitalianezard.it/contents/imgs/products/1_317-hypekitlateraleinox3.jpg"/>
    <m/>
    <m/>
  </r>
  <r>
    <s v="1586059871-11441"/>
    <s v="https://shop.officineitalianezard.it/en/products/"/>
    <m/>
    <s v="https://shop.officineitalianezard.it/en/ducati-zard-exhaust/"/>
    <s v="HYPERMOTARD 1100 EVO"/>
    <s v="https://shop.officineitalianezard.it/en/ducati-hypermotard-1100-evo-exhaust/"/>
    <s v="SCUDO VERSION"/>
    <x v="241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s v="https://shop.officineitalianezard.it/contents/imgs/products/1_318-hypekitlateraleinox2.jpg"/>
    <m/>
    <m/>
  </r>
  <r>
    <s v="1586059871-11442"/>
    <s v="https://shop.officineitalianezard.it/en/products/"/>
    <m/>
    <s v="https://shop.officineitalianezard.it/en/ducati-zard-exhaust/"/>
    <s v="HYPERMOTARD 1100 EVO"/>
    <s v="https://shop.officineitalianezard.it/en/ducati-hypermotard-1100-evo-exhaust/"/>
    <s v="SCUDO VERSION"/>
    <x v="241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m/>
    <s v="STEEL-TITANIUM RACING"/>
    <n v="195.49"/>
  </r>
  <r>
    <s v="1586059871-11443"/>
    <s v="https://shop.officineitalianezard.it/en/products/"/>
    <m/>
    <s v="https://shop.officineitalianezard.it/en/ducati-zard-exhaust/"/>
    <s v="HYPERMOTARD 1100 EVO"/>
    <s v="https://shop.officineitalianezard.it/en/ducati-hypermotard-1100-evo-exhaust/"/>
    <s v="SCUDO VERSION"/>
    <x v="241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m/>
    <s v="FULL TITANIUM RACING"/>
    <n v="370.33"/>
  </r>
  <r>
    <s v="1586059871-11444"/>
    <s v="https://shop.officineitalianezard.it/en/products/"/>
    <m/>
    <s v="https://shop.officineitalianezard.it/en/ducati-zard-exhaust/"/>
    <s v="HYPERMOTARD 1100 EVO"/>
    <s v="https://shop.officineitalianezard.it/en/ducati-hypermotard-1100-evo-exhaust/"/>
    <s v="SCUDO VERSION"/>
    <x v="241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m/>
    <s v="FULL TITANIUM HOMOLOGATED"/>
    <n v="567.29999999999995"/>
  </r>
  <r>
    <s v="1586059871-11445"/>
    <s v="https://shop.officineitalianezard.it/en/products/"/>
    <m/>
    <s v="https://shop.officineitalianezard.it/en/ducati-zard-exhaust/"/>
    <s v="HYPERMOTARD 1100 EVO"/>
    <s v="https://shop.officineitalianezard.it/en/ducati-hypermotard-1100-evo-exhaust/"/>
    <s v="SCUDO VERSION"/>
    <x v="241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m/>
    <s v="STEEL-ALUMINIUM HOMOLOGATED"/>
    <n v="195.49"/>
  </r>
  <r>
    <s v="1586059871-11446"/>
    <s v="https://shop.officineitalianezard.it/en/products/"/>
    <m/>
    <s v="https://shop.officineitalianezard.it/en/ducati-zard-exhaust/"/>
    <s v="HYPERMOTARD 1100 EVO"/>
    <s v="https://shop.officineitalianezard.it/en/ducati-hypermotard-1100-evo-exhaust/"/>
    <s v="SCUDO VERSION"/>
    <x v="241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m/>
    <s v="STEEL-TITANIUM HOMOLOGATED"/>
    <n v="391.72"/>
  </r>
  <r>
    <s v="1586059875-11447"/>
    <s v="https://shop.officineitalianezard.it/en/products/"/>
    <m/>
    <s v="https://shop.officineitalianezard.it/en/ducati-zard-exhaust/"/>
    <s v="HYPERMOTARD 1100"/>
    <s v="https://shop.officineitalianezard.it/en/ducati-hypermotard-1100-exhaust/"/>
    <s v="SCUDO VERSION"/>
    <x v="242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s v="https://shop.officineitalianezard.it/contents/imgs/products/1_316-hypelateralekittitanio4.jpg"/>
    <m/>
    <m/>
  </r>
  <r>
    <s v="1586059875-11448"/>
    <s v="https://shop.officineitalianezard.it/en/products/"/>
    <m/>
    <s v="https://shop.officineitalianezard.it/en/ducati-zard-exhaust/"/>
    <s v="HYPERMOTARD 1100"/>
    <s v="https://shop.officineitalianezard.it/en/ducati-hypermotard-1100-exhaust/"/>
    <s v="SCUDO VERSION"/>
    <x v="242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s v="https://shop.officineitalianezard.it/contents/imgs/products/1_315-hypekitlateraleinox.jpg"/>
    <m/>
    <m/>
  </r>
  <r>
    <s v="1586059875-11449"/>
    <s v="https://shop.officineitalianezard.it/en/products/"/>
    <m/>
    <s v="https://shop.officineitalianezard.it/en/ducati-zard-exhaust/"/>
    <s v="HYPERMOTARD 1100"/>
    <s v="https://shop.officineitalianezard.it/en/ducati-hypermotard-1100-exhaust/"/>
    <s v="SCUDO VERSION"/>
    <x v="242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s v="https://shop.officineitalianezard.it/contents/imgs/products/1_317-hypekitlateraleinox3.jpg"/>
    <m/>
    <m/>
  </r>
  <r>
    <s v="1586059875-11450"/>
    <s v="https://shop.officineitalianezard.it/en/products/"/>
    <m/>
    <s v="https://shop.officineitalianezard.it/en/ducati-zard-exhaust/"/>
    <s v="HYPERMOTARD 1100"/>
    <s v="https://shop.officineitalianezard.it/en/ducati-hypermotard-1100-exhaust/"/>
    <s v="SCUDO VERSION"/>
    <x v="242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s v="https://shop.officineitalianezard.it/contents/imgs/products/1_318-hypekitlateraleinox2.jpg"/>
    <m/>
    <m/>
  </r>
  <r>
    <s v="1586059875-11451"/>
    <s v="https://shop.officineitalianezard.it/en/products/"/>
    <m/>
    <s v="https://shop.officineitalianezard.it/en/ducati-zard-exhaust/"/>
    <s v="HYPERMOTARD 1100"/>
    <s v="https://shop.officineitalianezard.it/en/ducati-hypermotard-1100-exhaust/"/>
    <s v="SCUDO VERSION"/>
    <x v="242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m/>
    <s v="STEEL-TITANIUM RACING"/>
    <n v="195.49"/>
  </r>
  <r>
    <s v="1586059875-11452"/>
    <s v="https://shop.officineitalianezard.it/en/products/"/>
    <m/>
    <s v="https://shop.officineitalianezard.it/en/ducati-zard-exhaust/"/>
    <s v="HYPERMOTARD 1100"/>
    <s v="https://shop.officineitalianezard.it/en/ducati-hypermotard-1100-exhaust/"/>
    <s v="SCUDO VERSION"/>
    <x v="242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m/>
    <s v="FULL TITANIUM RACING"/>
    <n v="370.33"/>
  </r>
  <r>
    <s v="1586059875-11453"/>
    <s v="https://shop.officineitalianezard.it/en/products/"/>
    <m/>
    <s v="https://shop.officineitalianezard.it/en/ducati-zard-exhaust/"/>
    <s v="HYPERMOTARD 1100"/>
    <s v="https://shop.officineitalianezard.it/en/ducati-hypermotard-1100-exhaust/"/>
    <s v="SCUDO VERSION"/>
    <x v="242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m/>
    <s v="FULL TITANIUM HOMOLOGATED"/>
    <n v="567.29999999999995"/>
  </r>
  <r>
    <s v="1586059875-11454"/>
    <s v="https://shop.officineitalianezard.it/en/products/"/>
    <m/>
    <s v="https://shop.officineitalianezard.it/en/ducati-zard-exhaust/"/>
    <s v="HYPERMOTARD 1100"/>
    <s v="https://shop.officineitalianezard.it/en/ducati-hypermotard-1100-exhaust/"/>
    <s v="SCUDO VERSION"/>
    <x v="242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m/>
    <s v="STEEL-ALUMINIUM HOMOLOGATED"/>
    <n v="195.49"/>
  </r>
  <r>
    <s v="1586059875-11455"/>
    <s v="https://shop.officineitalianezard.it/en/products/"/>
    <m/>
    <s v="https://shop.officineitalianezard.it/en/ducati-zard-exhaust/"/>
    <s v="HYPERMOTARD 1100"/>
    <s v="https://shop.officineitalianezard.it/en/ducati-hypermotard-1100-exhaust/"/>
    <s v="SCUDO VERSION"/>
    <x v="242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m/>
    <s v="STEEL-TITANIUM HOMOLOGATED"/>
    <n v="391.72"/>
  </r>
  <r>
    <s v="1586059878-11456"/>
    <s v="https://shop.officineitalianezard.it/en/products/"/>
    <m/>
    <s v="https://shop.officineitalianezard.it/en/ducati-zard-exhaust/"/>
    <s v="HYPERMOTARD 1100"/>
    <s v="https://shop.officineitalianezard.it/en/ducati-hypermotard-1100-exhaust/"/>
    <s v="TOP-GUN VERSION"/>
    <x v="243"/>
    <s v="SILENCER"/>
    <s v="ZD110SSR"/>
    <s v="DUCATI HYPERMOTARD 796"/>
    <n v="627.04999999999995"/>
    <n v="696.72"/>
    <s v="&lt;p&gt;STEEL-CARBON SILENCER RACING WITH REMOVABLE DB KILLER&lt;/p&gt;_x000a_&lt;p&gt;ORIGINAL SILENCER WEIGHT&amp;nbsp;(WITHOUT LICENCE PLATE STAND): KG 6.6&lt;br&gt;ZARD SILENCER WEIGHT: KG 3.8&lt;br&gt;ORIGINAL MUFFLER WEIGHT: KG 5&lt;/p&gt;_x000a_&lt;p&gt;WEIGHT OF THE ZARD MANIFOLD (NO CAT): KG 2.75&lt;/p&gt;_x000a_&lt;p&gt;CARBON HEAT-SHIELDS.&lt;/p&gt;_x000a_&lt;p&gt;THE EXHAUST INCLUDES THE ZARD LICENCE-PLATE BRACKET, THE FITTING KIT FOR THE ORIGINAL ONE AND THE&amp;nbsp;&lt;span class=&quot;s1&quot;&gt;SIDE CARBON PANELS&lt;/span&gt;&lt;/p&gt;_x000a_&lt;p&gt;HARD INCREASE, COMPARED TO THE ORIGINAL EXHAUST SYSTEM, IN TERMS OF TORQUE AND POWER AT ANY RANGE.&lt;/p&gt;_x000a_&lt;p&gt;ASTONISHING SOUND.&lt;/p&gt;"/>
    <s v="https://shop.officineitalianezard.it/contents/imgs/products/1_306-ducati-hypermotard_top-gun_004.jpg"/>
    <m/>
    <m/>
  </r>
  <r>
    <s v="1586059878-11457"/>
    <s v="https://shop.officineitalianezard.it/en/products/"/>
    <m/>
    <s v="https://shop.officineitalianezard.it/en/ducati-zard-exhaust/"/>
    <s v="HYPERMOTARD 1100"/>
    <s v="https://shop.officineitalianezard.it/en/ducati-hypermotard-1100-exhaust/"/>
    <s v="TOP-GUN VERSION"/>
    <x v="243"/>
    <s v="SILENCER"/>
    <s v="ZD110SSR"/>
    <s v="DUCATI HYPERMOTARD 796"/>
    <n v="627.04999999999995"/>
    <n v="696.72"/>
    <s v="&lt;p&gt;STEEL-CARBON SILENCER RACING WITH REMOVABLE DB KILLER&lt;/p&gt;_x000a_&lt;p&gt;ORIGINAL SILENCER WEIGHT&amp;nbsp;(WITHOUT LICENCE PLATE STAND): KG 6.6&lt;br&gt;ZARD SILENCER WEIGHT: KG 3.8&lt;br&gt;ORIGINAL MUFFLER WEIGHT: KG 5&lt;/p&gt;_x000a_&lt;p&gt;WEIGHT OF THE ZARD MANIFOLD (NO CAT): KG 2.75&lt;/p&gt;_x000a_&lt;p&gt;CARBON HEAT-SHIELDS.&lt;/p&gt;_x000a_&lt;p&gt;THE EXHAUST INCLUDES THE ZARD LICENCE-PLATE BRACKET, THE FITTING KIT FOR THE ORIGINAL ONE AND THE&amp;nbsp;&lt;span class=&quot;s1&quot;&gt;SIDE CARBON PANELS&lt;/span&gt;&lt;/p&gt;_x000a_&lt;p&gt;HARD INCREASE, COMPARED TO THE ORIGINAL EXHAUST SYSTEM, IN TERMS OF TORQUE AND POWER AT ANY RANGE.&lt;/p&gt;_x000a_&lt;p&gt;ASTONISHING SOUND.&lt;/p&gt;"/>
    <s v="https://shop.officineitalianezard.it/contents/imgs/products/1_305-ducati-hypermotard_top-gun_002.jpg"/>
    <m/>
    <m/>
  </r>
  <r>
    <s v="1586059878-11458"/>
    <s v="https://shop.officineitalianezard.it/en/products/"/>
    <m/>
    <s v="https://shop.officineitalianezard.it/en/ducati-zard-exhaust/"/>
    <s v="HYPERMOTARD 1100"/>
    <s v="https://shop.officineitalianezard.it/en/ducati-hypermotard-1100-exhaust/"/>
    <s v="TOP-GUN VERSION"/>
    <x v="243"/>
    <s v="SILENCER"/>
    <s v="ZD110SSR"/>
    <s v="DUCATI HYPERMOTARD 796"/>
    <n v="627.04999999999995"/>
    <n v="696.72"/>
    <s v="&lt;p&gt;STEEL-CARBON SILENCER RACING WITH REMOVABLE DB KILLER&lt;/p&gt;_x000a_&lt;p&gt;ORIGINAL SILENCER WEIGHT&amp;nbsp;(WITHOUT LICENCE PLATE STAND): KG 6.6&lt;br&gt;ZARD SILENCER WEIGHT: KG 3.8&lt;br&gt;ORIGINAL MUFFLER WEIGHT: KG 5&lt;/p&gt;_x000a_&lt;p&gt;WEIGHT OF THE ZARD MANIFOLD (NO CAT): KG 2.75&lt;/p&gt;_x000a_&lt;p&gt;CARBON HEAT-SHIELDS.&lt;/p&gt;_x000a_&lt;p&gt;THE EXHAUST INCLUDES THE ZARD LICENCE-PLATE BRACKET, THE FITTING KIT FOR THE ORIGINAL ONE AND THE&amp;nbsp;&lt;span class=&quot;s1&quot;&gt;SIDE CARBON PANELS&lt;/span&gt;&lt;/p&gt;_x000a_&lt;p&gt;HARD INCREASE, COMPARED TO THE ORIGINAL EXHAUST SYSTEM, IN TERMS OF TORQUE AND POWER AT ANY RANGE.&lt;/p&gt;_x000a_&lt;p&gt;ASTONISHING SOUND.&lt;/p&gt;"/>
    <s v="https://shop.officineitalianezard.it/contents/imgs/products/1_307-ducati-hypermotard_top-gun_003.jpg"/>
    <m/>
    <m/>
  </r>
  <r>
    <s v="1586059878-11459"/>
    <s v="https://shop.officineitalianezard.it/en/products/"/>
    <m/>
    <s v="https://shop.officineitalianezard.it/en/ducati-zard-exhaust/"/>
    <s v="HYPERMOTARD 1100"/>
    <s v="https://shop.officineitalianezard.it/en/ducati-hypermotard-1100-exhaust/"/>
    <s v="TOP-GUN VERSION"/>
    <x v="243"/>
    <s v="SILENCER"/>
    <s v="ZD110SSR"/>
    <s v="DUCATI HYPERMOTARD 796"/>
    <n v="627.04999999999995"/>
    <n v="696.72"/>
    <s v="&lt;p&gt;STEEL-CARBON SILENCER RACING WITH REMOVABLE DB KILLER&lt;/p&gt;_x000a_&lt;p&gt;ORIGINAL SILENCER WEIGHT&amp;nbsp;(WITHOUT LICENCE PLATE STAND): KG 6.6&lt;br&gt;ZARD SILENCER WEIGHT: KG 3.8&lt;br&gt;ORIGINAL MUFFLER WEIGHT: KG 5&lt;/p&gt;_x000a_&lt;p&gt;WEIGHT OF THE ZARD MANIFOLD (NO CAT): KG 2.75&lt;/p&gt;_x000a_&lt;p&gt;CARBON HEAT-SHIELDS.&lt;/p&gt;_x000a_&lt;p&gt;THE EXHAUST INCLUDES THE ZARD LICENCE-PLATE BRACKET, THE FITTING KIT FOR THE ORIGINAL ONE AND THE&amp;nbsp;&lt;span class=&quot;s1&quot;&gt;SIDE CARBON PANELS&lt;/span&gt;&lt;/p&gt;_x000a_&lt;p&gt;HARD INCREASE, COMPARED TO THE ORIGINAL EXHAUST SYSTEM, IN TERMS OF TORQUE AND POWER AT ANY RANGE.&lt;/p&gt;_x000a_&lt;p&gt;ASTONISHING SOUND.&lt;/p&gt;"/>
    <s v="https://shop.officineitalianezard.it/contents/imgs/products/1_1122-DSCN1977.JPG"/>
    <m/>
    <m/>
  </r>
  <r>
    <s v="1586059878-11460"/>
    <s v="https://shop.officineitalianezard.it/en/products/"/>
    <m/>
    <s v="https://shop.officineitalianezard.it/en/ducati-zard-exhaust/"/>
    <s v="HYPERMOTARD 1100"/>
    <s v="https://shop.officineitalianezard.it/en/ducati-hypermotard-1100-exhaust/"/>
    <s v="TOP-GUN VERSION"/>
    <x v="243"/>
    <s v="SILENCER"/>
    <s v="ZD110SSR"/>
    <s v="DUCATI HYPERMOTARD 796"/>
    <n v="627.04999999999995"/>
    <n v="696.72"/>
    <s v="&lt;p&gt;STEEL-CARBON SILENCER RACING WITH REMOVABLE DB KILLER&lt;/p&gt;_x000a_&lt;p&gt;ORIGINAL SILENCER WEIGHT&amp;nbsp;(WITHOUT LICENCE PLATE STAND): KG 6.6&lt;br&gt;ZARD SILENCER WEIGHT: KG 3.8&lt;br&gt;ORIGINAL MUFFLER WEIGHT: KG 5&lt;/p&gt;_x000a_&lt;p&gt;WEIGHT OF THE ZARD MANIFOLD (NO CAT): KG 2.75&lt;/p&gt;_x000a_&lt;p&gt;CARBON HEAT-SHIELDS.&lt;/p&gt;_x000a_&lt;p&gt;THE EXHAUST INCLUDES THE ZARD LICENCE-PLATE BRACKET, THE FITTING KIT FOR THE ORIGINAL ONE AND THE&amp;nbsp;&lt;span class=&quot;s1&quot;&gt;SIDE CARBON PANELS&lt;/span&gt;&lt;/p&gt;_x000a_&lt;p&gt;HARD INCREASE, COMPARED TO THE ORIGINAL EXHAUST SYSTEM, IN TERMS OF TORQUE AND POWER AT ANY RANGE.&lt;/p&gt;_x000a_&lt;p&gt;ASTONISHING SOUND.&lt;/p&gt;"/>
    <s v="https://shop.officineitalianezard.it/contents/imgs/products/1_1123-Hyper.jpg"/>
    <m/>
    <m/>
  </r>
  <r>
    <s v="1586059878-11461"/>
    <s v="https://shop.officineitalianezard.it/en/products/"/>
    <m/>
    <s v="https://shop.officineitalianezard.it/en/ducati-zard-exhaust/"/>
    <s v="HYPERMOTARD 1100"/>
    <s v="https://shop.officineitalianezard.it/en/ducati-hypermotard-1100-exhaust/"/>
    <s v="TOP-GUN VERSION"/>
    <x v="243"/>
    <s v="SILENCER"/>
    <s v="ZD110SSR"/>
    <s v="DUCATI HYPERMOTARD 796"/>
    <n v="627.04999999999995"/>
    <n v="696.72"/>
    <s v="&lt;p&gt;STEEL-CARBON SILENCER RACING WITH REMOVABLE DB KILLER&lt;/p&gt;_x000a_&lt;p&gt;ORIGINAL SILENCER WEIGHT&amp;nbsp;(WITHOUT LICENCE PLATE STAND): KG 6.6&lt;br&gt;ZARD SILENCER WEIGHT: KG 3.8&lt;br&gt;ORIGINAL MUFFLER WEIGHT: KG 5&lt;/p&gt;_x000a_&lt;p&gt;WEIGHT OF THE ZARD MANIFOLD (NO CAT): KG 2.75&lt;/p&gt;_x000a_&lt;p&gt;CARBON HEAT-SHIELDS.&lt;/p&gt;_x000a_&lt;p&gt;THE EXHAUST INCLUDES THE ZARD LICENCE-PLATE BRACKET, THE FITTING KIT FOR THE ORIGINAL ONE AND THE&amp;nbsp;&lt;span class=&quot;s1&quot;&gt;SIDE CARBON PANELS&lt;/span&gt;&lt;/p&gt;_x000a_&lt;p&gt;HARD INCREASE, COMPARED TO THE ORIGINAL EXHAUST SYSTEM, IN TERMS OF TORQUE AND POWER AT ANY RANGE.&lt;/p&gt;_x000a_&lt;p&gt;ASTONISHING SOUND.&lt;/p&gt;"/>
    <m/>
    <s v="EURO 3 HOMOLOGATED"/>
    <n v="69.34"/>
  </r>
  <r>
    <s v="1586059878-11462"/>
    <s v="https://shop.officineitalianezard.it/en/products/"/>
    <m/>
    <s v="https://shop.officineitalianezard.it/en/ducati-zard-exhaust/"/>
    <s v="HYPERMOTARD 1100"/>
    <s v="https://shop.officineitalianezard.it/en/ducati-hypermotard-1100-exhaust/"/>
    <s v="TOP-GUN VERSION"/>
    <x v="243"/>
    <s v="SILENCER"/>
    <s v="ZD110SSR"/>
    <s v="DUCATI HYPERMOTARD 796"/>
    <n v="627.04999999999995"/>
    <n v="696.72"/>
    <s v="&lt;p&gt;STEEL-CARBON SILENCER RACING WITH REMOVABLE DB KILLER&lt;/p&gt;_x000a_&lt;p&gt;ORIGINAL SILENCER WEIGHT&amp;nbsp;(WITHOUT LICENCE PLATE STAND): KG 6.6&lt;br&gt;ZARD SILENCER WEIGHT: KG 3.8&lt;br&gt;ORIGINAL MUFFLER WEIGHT: KG 5&lt;/p&gt;_x000a_&lt;p&gt;WEIGHT OF THE ZARD MANIFOLD (NO CAT): KG 2.75&lt;/p&gt;_x000a_&lt;p&gt;CARBON HEAT-SHIELDS.&lt;/p&gt;_x000a_&lt;p&gt;THE EXHAUST INCLUDES THE ZARD LICENCE-PLATE BRACKET, THE FITTING KIT FOR THE ORIGINAL ONE AND THE&amp;nbsp;&lt;span class=&quot;s1&quot;&gt;SIDE CARBON PANELS&lt;/span&gt;&lt;/p&gt;_x000a_&lt;p&gt;HARD INCREASE, COMPARED TO THE ORIGINAL EXHAUST SYSTEM, IN TERMS OF TORQUE AND POWER AT ANY RANGE.&lt;/p&gt;_x000a_&lt;p&gt;ASTONISHING SOUND.&lt;/p&gt;"/>
    <m/>
    <s v="BLACK ENDCAP"/>
    <n v="46.48"/>
  </r>
  <r>
    <s v="1586059882-11463"/>
    <s v="https://shop.officineitalianezard.it/en/products/"/>
    <m/>
    <s v="https://shop.officineitalianezard.it/en/ducati-zard-exhaust/"/>
    <s v="HYPERMOTARD 1100"/>
    <s v="https://shop.officineitalianezard.it/en/ducati-hypermotard-1100-exhaust/"/>
    <s v="PENTA VERSION"/>
    <x v="244"/>
    <s v="SILENCERS"/>
    <s v="ZD111ASR"/>
    <s v="DUCATI HYPERMOTARD 796"/>
    <n v="729.59"/>
    <n v="810.66"/>
    <s v="&lt;p&gt;STEEL-ALUMINIUM SILENCERS RACING WITH REMOVABLE DB KILLER&lt;/p&gt;_x000a_&lt;p&gt;ORIGINAL SILENCERS WEIGHT: KG 5.6&lt;br&gt;ZARD ALUMINIUM SILENCERS WEIGHT: KG 4&lt;/p&gt;_x000a_&lt;p&gt;ZARD CARBON SILENCERS WEIGHT: KG 3.7&lt;/p&gt;_x000a_&lt;p&gt;ORIGINAL MUFFLERS WEIGHT: KG 5&lt;/p&gt;_x000a_&lt;p&gt;WEIGHT OF THE ZARD MANIFOLD: KG 2.75&lt;/p&gt;_x000a_&lt;p&gt;CARBON HEAT-SHIELDS&lt;/p&gt;_x000a_&lt;p&gt;THE EXHAUST INCLUDES THE ZARD LICENCE-PLATE BRACKET, THE FITTING KIT FOR THE ORIGINAL ONE AND THE SIDE CARBON PANELS&lt;/p&gt;_x000a_&lt;p&gt;HARD INCREASE, COMPARED TO THE ORIGINAL EXHAUST SYSTEM, IN TERMS OF TORQUE AND POWER AT ANY RANGE.&lt;/p&gt;_x000a_&lt;p&gt;ASTONISHING SOUND.&lt;/p&gt;"/>
    <s v="https://shop.officineitalianezard.it/contents/imgs/products/1_311-ducati-hypermotard_penta_002.jpg"/>
    <m/>
    <m/>
  </r>
  <r>
    <s v="1586059882-11464"/>
    <s v="https://shop.officineitalianezard.it/en/products/"/>
    <m/>
    <s v="https://shop.officineitalianezard.it/en/ducati-zard-exhaust/"/>
    <s v="HYPERMOTARD 1100"/>
    <s v="https://shop.officineitalianezard.it/en/ducati-hypermotard-1100-exhaust/"/>
    <s v="PENTA VERSION"/>
    <x v="244"/>
    <s v="SILENCERS"/>
    <s v="ZD111ASR"/>
    <s v="DUCATI HYPERMOTARD 796"/>
    <n v="729.59"/>
    <n v="810.66"/>
    <s v="&lt;p&gt;STEEL-ALUMINIUM SILENCERS RACING WITH REMOVABLE DB KILLER&lt;/p&gt;_x000a_&lt;p&gt;ORIGINAL SILENCERS WEIGHT: KG 5.6&lt;br&gt;ZARD ALUMINIUM SILENCERS WEIGHT: KG 4&lt;/p&gt;_x000a_&lt;p&gt;ZARD CARBON SILENCERS WEIGHT: KG 3.7&lt;/p&gt;_x000a_&lt;p&gt;ORIGINAL MUFFLERS WEIGHT: KG 5&lt;/p&gt;_x000a_&lt;p&gt;WEIGHT OF THE ZARD MANIFOLD: KG 2.75&lt;/p&gt;_x000a_&lt;p&gt;CARBON HEAT-SHIELDS&lt;/p&gt;_x000a_&lt;p&gt;THE EXHAUST INCLUDES THE ZARD LICENCE-PLATE BRACKET, THE FITTING KIT FOR THE ORIGINAL ONE AND THE SIDE CARBON PANELS&lt;/p&gt;_x000a_&lt;p&gt;HARD INCREASE, COMPARED TO THE ORIGINAL EXHAUST SYSTEM, IN TERMS OF TORQUE AND POWER AT ANY RANGE.&lt;/p&gt;_x000a_&lt;p&gt;ASTONISHING SOUND.&lt;/p&gt;"/>
    <s v="https://shop.officineitalianezard.it/contents/imgs/products/1_312-ducati-hypermotard_penta_003.jpg"/>
    <m/>
    <m/>
  </r>
  <r>
    <s v="1586059882-11465"/>
    <s v="https://shop.officineitalianezard.it/en/products/"/>
    <m/>
    <s v="https://shop.officineitalianezard.it/en/ducati-zard-exhaust/"/>
    <s v="HYPERMOTARD 1100"/>
    <s v="https://shop.officineitalianezard.it/en/ducati-hypermotard-1100-exhaust/"/>
    <s v="PENTA VERSION"/>
    <x v="244"/>
    <s v="SILENCERS"/>
    <s v="ZD111ASR"/>
    <s v="DUCATI HYPERMOTARD 796"/>
    <n v="729.59"/>
    <n v="810.66"/>
    <s v="&lt;p&gt;STEEL-ALUMINIUM SILENCERS RACING WITH REMOVABLE DB KILLER&lt;/p&gt;_x000a_&lt;p&gt;ORIGINAL SILENCERS WEIGHT: KG 5.6&lt;br&gt;ZARD ALUMINIUM SILENCERS WEIGHT: KG 4&lt;/p&gt;_x000a_&lt;p&gt;ZARD CARBON SILENCERS WEIGHT: KG 3.7&lt;/p&gt;_x000a_&lt;p&gt;ORIGINAL MUFFLERS WEIGHT: KG 5&lt;/p&gt;_x000a_&lt;p&gt;WEIGHT OF THE ZARD MANIFOLD: KG 2.75&lt;/p&gt;_x000a_&lt;p&gt;CARBON HEAT-SHIELDS&lt;/p&gt;_x000a_&lt;p&gt;THE EXHAUST INCLUDES THE ZARD LICENCE-PLATE BRACKET, THE FITTING KIT FOR THE ORIGINAL ONE AND THE SIDE CARBON PANELS&lt;/p&gt;_x000a_&lt;p&gt;HARD INCREASE, COMPARED TO THE ORIGINAL EXHAUST SYSTEM, IN TERMS OF TORQUE AND POWER AT ANY RANGE.&lt;/p&gt;_x000a_&lt;p&gt;ASTONISHING SOUND.&lt;/p&gt;"/>
    <m/>
    <s v="STEEL-ALUMINIUM HOMOLOGATED"/>
    <n v="33.200000000000003"/>
  </r>
  <r>
    <s v="1586059882-11466"/>
    <s v="https://shop.officineitalianezard.it/en/products/"/>
    <m/>
    <s v="https://shop.officineitalianezard.it/en/ducati-zard-exhaust/"/>
    <s v="HYPERMOTARD 1100"/>
    <s v="https://shop.officineitalianezard.it/en/ducati-hypermotard-1100-exhaust/"/>
    <s v="PENTA VERSION"/>
    <x v="244"/>
    <s v="SILENCERS"/>
    <s v="ZD111ASR"/>
    <s v="DUCATI HYPERMOTARD 796"/>
    <n v="729.59"/>
    <n v="810.66"/>
    <s v="&lt;p&gt;STEEL-ALUMINIUM SILENCERS RACING WITH REMOVABLE DB KILLER&lt;/p&gt;_x000a_&lt;p&gt;ORIGINAL SILENCERS WEIGHT: KG 5.6&lt;br&gt;ZARD ALUMINIUM SILENCERS WEIGHT: KG 4&lt;/p&gt;_x000a_&lt;p&gt;ZARD CARBON SILENCERS WEIGHT: KG 3.7&lt;/p&gt;_x000a_&lt;p&gt;ORIGINAL MUFFLERS WEIGHT: KG 5&lt;/p&gt;_x000a_&lt;p&gt;WEIGHT OF THE ZARD MANIFOLD: KG 2.75&lt;/p&gt;_x000a_&lt;p&gt;CARBON HEAT-SHIELDS&lt;/p&gt;_x000a_&lt;p&gt;THE EXHAUST INCLUDES THE ZARD LICENCE-PLATE BRACKET, THE FITTING KIT FOR THE ORIGINAL ONE AND THE SIDE CARBON PANELS&lt;/p&gt;_x000a_&lt;p&gt;HARD INCREASE, COMPARED TO THE ORIGINAL EXHAUST SYSTEM, IN TERMS OF TORQUE AND POWER AT ANY RANGE.&lt;/p&gt;_x000a_&lt;p&gt;ASTONISHING SOUND.&lt;/p&gt;"/>
    <m/>
    <s v="CARBON END CAP"/>
    <n v="75.25"/>
  </r>
  <r>
    <s v="1586059882-11467"/>
    <s v="https://shop.officineitalianezard.it/en/products/"/>
    <m/>
    <s v="https://shop.officineitalianezard.it/en/ducati-zard-exhaust/"/>
    <s v="HYPERMOTARD 1100"/>
    <s v="https://shop.officineitalianezard.it/en/ducati-hypermotard-1100-exhaust/"/>
    <s v="PENTA VERSION"/>
    <x v="244"/>
    <s v="SILENCERS"/>
    <s v="ZD111ASR"/>
    <s v="DUCATI HYPERMOTARD 796"/>
    <n v="729.59"/>
    <n v="810.66"/>
    <s v="&lt;p&gt;STEEL-ALUMINIUM SILENCERS RACING WITH REMOVABLE DB KILLER&lt;/p&gt;_x000a_&lt;p&gt;ORIGINAL SILENCERS WEIGHT: KG 5.6&lt;br&gt;ZARD ALUMINIUM SILENCERS WEIGHT: KG 4&lt;/p&gt;_x000a_&lt;p&gt;ZARD CARBON SILENCERS WEIGHT: KG 3.7&lt;/p&gt;_x000a_&lt;p&gt;ORIGINAL MUFFLERS WEIGHT: KG 5&lt;/p&gt;_x000a_&lt;p&gt;WEIGHT OF THE ZARD MANIFOLD: KG 2.75&lt;/p&gt;_x000a_&lt;p&gt;CARBON HEAT-SHIELDS&lt;/p&gt;_x000a_&lt;p&gt;THE EXHAUST INCLUDES THE ZARD LICENCE-PLATE BRACKET, THE FITTING KIT FOR THE ORIGINAL ONE AND THE SIDE CARBON PANELS&lt;/p&gt;_x000a_&lt;p&gt;HARD INCREASE, COMPARED TO THE ORIGINAL EXHAUST SYSTEM, IN TERMS OF TORQUE AND POWER AT ANY RANGE.&lt;/p&gt;_x000a_&lt;p&gt;ASTONISHING SOUND.&lt;/p&gt;"/>
    <m/>
    <s v="STEEL-CARBON RACING"/>
    <n v="33.200000000000003"/>
  </r>
  <r>
    <s v="1586059887-11468"/>
    <s v="https://shop.officineitalianezard.it/en/products/"/>
    <m/>
    <s v="https://shop.officineitalianezard.it/en/ducati-zard-exhaust/"/>
    <s v="HYPERMOTARD 796"/>
    <s v="https://shop.officineitalianezard.it/en/ducati-hypermotard-796-exhaust/"/>
    <s v="SCUDO VERSION"/>
    <x v="245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s v="https://shop.officineitalianezard.it/contents/imgs/products/1_316-hypelateralekittitanio4.jpg"/>
    <m/>
    <m/>
  </r>
  <r>
    <s v="1586059887-11469"/>
    <s v="https://shop.officineitalianezard.it/en/products/"/>
    <m/>
    <s v="https://shop.officineitalianezard.it/en/ducati-zard-exhaust/"/>
    <s v="HYPERMOTARD 796"/>
    <s v="https://shop.officineitalianezard.it/en/ducati-hypermotard-796-exhaust/"/>
    <s v="SCUDO VERSION"/>
    <x v="245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s v="https://shop.officineitalianezard.it/contents/imgs/products/1_315-hypekitlateraleinox.jpg"/>
    <m/>
    <m/>
  </r>
  <r>
    <s v="1586059887-11470"/>
    <s v="https://shop.officineitalianezard.it/en/products/"/>
    <m/>
    <s v="https://shop.officineitalianezard.it/en/ducati-zard-exhaust/"/>
    <s v="HYPERMOTARD 796"/>
    <s v="https://shop.officineitalianezard.it/en/ducati-hypermotard-796-exhaust/"/>
    <s v="SCUDO VERSION"/>
    <x v="245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s v="https://shop.officineitalianezard.it/contents/imgs/products/1_317-hypekitlateraleinox3.jpg"/>
    <m/>
    <m/>
  </r>
  <r>
    <s v="1586059887-11471"/>
    <s v="https://shop.officineitalianezard.it/en/products/"/>
    <m/>
    <s v="https://shop.officineitalianezard.it/en/ducati-zard-exhaust/"/>
    <s v="HYPERMOTARD 796"/>
    <s v="https://shop.officineitalianezard.it/en/ducati-hypermotard-796-exhaust/"/>
    <s v="SCUDO VERSION"/>
    <x v="245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s v="https://shop.officineitalianezard.it/contents/imgs/products/1_318-hypekitlateraleinox2.jpg"/>
    <m/>
    <m/>
  </r>
  <r>
    <s v="1586059887-11472"/>
    <s v="https://shop.officineitalianezard.it/en/products/"/>
    <m/>
    <s v="https://shop.officineitalianezard.it/en/ducati-zard-exhaust/"/>
    <s v="HYPERMOTARD 796"/>
    <s v="https://shop.officineitalianezard.it/en/ducati-hypermotard-796-exhaust/"/>
    <s v="SCUDO VERSION"/>
    <x v="245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m/>
    <s v="STEEL-TITANIUM RACING"/>
    <n v="195.49"/>
  </r>
  <r>
    <s v="1586059887-11473"/>
    <s v="https://shop.officineitalianezard.it/en/products/"/>
    <m/>
    <s v="https://shop.officineitalianezard.it/en/ducati-zard-exhaust/"/>
    <s v="HYPERMOTARD 796"/>
    <s v="https://shop.officineitalianezard.it/en/ducati-hypermotard-796-exhaust/"/>
    <s v="SCUDO VERSION"/>
    <x v="245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m/>
    <s v="FULL TITANIUM RACING"/>
    <n v="370.33"/>
  </r>
  <r>
    <s v="1586059887-11474"/>
    <s v="https://shop.officineitalianezard.it/en/products/"/>
    <m/>
    <s v="https://shop.officineitalianezard.it/en/ducati-zard-exhaust/"/>
    <s v="HYPERMOTARD 796"/>
    <s v="https://shop.officineitalianezard.it/en/ducati-hypermotard-796-exhaust/"/>
    <s v="SCUDO VERSION"/>
    <x v="245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m/>
    <s v="FULL TITANIUM HOMOLOGATED"/>
    <n v="567.29999999999995"/>
  </r>
  <r>
    <s v="1586059887-11475"/>
    <s v="https://shop.officineitalianezard.it/en/products/"/>
    <m/>
    <s v="https://shop.officineitalianezard.it/en/ducati-zard-exhaust/"/>
    <s v="HYPERMOTARD 796"/>
    <s v="https://shop.officineitalianezard.it/en/ducati-hypermotard-796-exhaust/"/>
    <s v="SCUDO VERSION"/>
    <x v="245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m/>
    <s v="STEEL-ALUMINIUM HOMOLOGATED"/>
    <n v="195.49"/>
  </r>
  <r>
    <s v="1586059887-11476"/>
    <s v="https://shop.officineitalianezard.it/en/products/"/>
    <m/>
    <s v="https://shop.officineitalianezard.it/en/ducati-zard-exhaust/"/>
    <s v="HYPERMOTARD 796"/>
    <s v="https://shop.officineitalianezard.it/en/ducati-hypermotard-796-exhaust/"/>
    <s v="SCUDO VERSION"/>
    <x v="245"/>
    <s v="2&gt;1 FULL KIT"/>
    <s v="ZD108SKR/ZD110SKR/ZD114SKR"/>
    <s v="DUCATI HYPERMOTARD 796"/>
    <n v="919.92"/>
    <n v="1022.13"/>
    <s v="&lt;p&gt;2&amp;gt;1 STEEL FULL KIT RACING WITH REMOVABLE DB KILLER&lt;/p&gt;_x000a_&lt;p&gt;CARBONIUM END-CAP AND HEAT-SHIELD&amp;nbsp;&lt;/p&gt;_x000a_&lt;p&gt;ORIGINAL FULL KIT WEIGHT (WITH NO LICENCE PLATE STAND): KG 5.6&lt;br&gt;ZARD STEEL FULL KIT WEIGHT: KG 3.1&lt;br&gt;ZARD TITANIUM FULL KIT WEIGHT: KG 1.9&lt;br&gt;ORIGINAL MANIFOLD WEIGHT: KG 5&lt;br&gt;ZARD HEADERS WEIGHT (NO CAT): KG 2.75&lt;/p&gt;_x000a_&lt;p&gt;HARD INCREASE, COMPARED TO THE ORIGINAL EXHAUST SYSTEM, IN TERMS OF TORQUE AND POWER AT ANY RANGE.&lt;/p&gt;_x000a_&lt;p&gt;ASTONISHING SOUND.&lt;/p&gt;"/>
    <m/>
    <s v="STEEL-TITANIUM HOMOLOGATED"/>
    <n v="391.72"/>
  </r>
  <r>
    <s v="1586059890-11477"/>
    <s v="https://shop.officineitalianezard.it/en/products/"/>
    <m/>
    <s v="https://shop.officineitalianezard.it/en/ducati-zard-exhaust/"/>
    <s v="HYPERMOTARD 796"/>
    <s v="https://shop.officineitalianezard.it/en/ducati-hypermotard-796-exhaust/"/>
    <s v="PENTA VERSION"/>
    <x v="246"/>
    <s v="SILENCERS"/>
    <s v="ZD111ASR"/>
    <s v="DUCATI HYPERMOTARD 796"/>
    <n v="729.59"/>
    <n v="810.66"/>
    <s v="&lt;p&gt;STEEL-ALUMINIUM SILENCERS RACING WITH REMOVABLE DB KILLER&lt;/p&gt;_x000a_&lt;p&gt;ORIGINAL SILENCERS WEIGHT: KG 5.6&lt;br&gt;ZARD ALUMINIUM SILENCERS WEIGHT: KG 4&lt;/p&gt;_x000a_&lt;p&gt;ZARD CARBON SILENCERS WEIGHT: KG 3.7&lt;/p&gt;_x000a_&lt;p&gt;ORIGINAL MUFFLERS WEIGHT: KG 5&lt;/p&gt;_x000a_&lt;p&gt;WEIGHT OF THE ZARD MANIFOLD: KG 2.75&lt;/p&gt;_x000a_&lt;p&gt;CARBON HEAT-SHIELDS&lt;/p&gt;_x000a_&lt;p&gt;THE EXHAUST INCLUDES THE ZARD LICENCE-PLATE BRACKET, THE FITTING KIT FOR THE ORIGINAL ONE AND THE SIDE CARBON PANELS&lt;/p&gt;_x000a_&lt;p&gt;HARD INCREASE, COMPARED TO THE ORIGINAL EXHAUST SYSTEM, IN TERMS OF TORQUE AND POWER AT ANY RANGE.&lt;/p&gt;_x000a_&lt;p&gt;ASTONISHING SOUND.&lt;/p&gt;"/>
    <s v="https://shop.officineitalianezard.it/contents/imgs/products/1_311-ducati-hypermotard_penta_002.jpg"/>
    <m/>
    <m/>
  </r>
  <r>
    <s v="1586059890-11478"/>
    <s v="https://shop.officineitalianezard.it/en/products/"/>
    <m/>
    <s v="https://shop.officineitalianezard.it/en/ducati-zard-exhaust/"/>
    <s v="HYPERMOTARD 796"/>
    <s v="https://shop.officineitalianezard.it/en/ducati-hypermotard-796-exhaust/"/>
    <s v="PENTA VERSION"/>
    <x v="246"/>
    <s v="SILENCERS"/>
    <s v="ZD111ASR"/>
    <s v="DUCATI HYPERMOTARD 796"/>
    <n v="729.59"/>
    <n v="810.66"/>
    <s v="&lt;p&gt;STEEL-ALUMINIUM SILENCERS RACING WITH REMOVABLE DB KILLER&lt;/p&gt;_x000a_&lt;p&gt;ORIGINAL SILENCERS WEIGHT: KG 5.6&lt;br&gt;ZARD ALUMINIUM SILENCERS WEIGHT: KG 4&lt;/p&gt;_x000a_&lt;p&gt;ZARD CARBON SILENCERS WEIGHT: KG 3.7&lt;/p&gt;_x000a_&lt;p&gt;ORIGINAL MUFFLERS WEIGHT: KG 5&lt;/p&gt;_x000a_&lt;p&gt;WEIGHT OF THE ZARD MANIFOLD: KG 2.75&lt;/p&gt;_x000a_&lt;p&gt;CARBON HEAT-SHIELDS&lt;/p&gt;_x000a_&lt;p&gt;THE EXHAUST INCLUDES THE ZARD LICENCE-PLATE BRACKET, THE FITTING KIT FOR THE ORIGINAL ONE AND THE SIDE CARBON PANELS&lt;/p&gt;_x000a_&lt;p&gt;HARD INCREASE, COMPARED TO THE ORIGINAL EXHAUST SYSTEM, IN TERMS OF TORQUE AND POWER AT ANY RANGE.&lt;/p&gt;_x000a_&lt;p&gt;ASTONISHING SOUND.&lt;/p&gt;"/>
    <s v="https://shop.officineitalianezard.it/contents/imgs/products/1_312-ducati-hypermotard_penta_003.jpg"/>
    <m/>
    <m/>
  </r>
  <r>
    <s v="1586059890-11479"/>
    <s v="https://shop.officineitalianezard.it/en/products/"/>
    <m/>
    <s v="https://shop.officineitalianezard.it/en/ducati-zard-exhaust/"/>
    <s v="HYPERMOTARD 796"/>
    <s v="https://shop.officineitalianezard.it/en/ducati-hypermotard-796-exhaust/"/>
    <s v="PENTA VERSION"/>
    <x v="246"/>
    <s v="SILENCERS"/>
    <s v="ZD111ASR"/>
    <s v="DUCATI HYPERMOTARD 796"/>
    <n v="729.59"/>
    <n v="810.66"/>
    <s v="&lt;p&gt;STEEL-ALUMINIUM SILENCERS RACING WITH REMOVABLE DB KILLER&lt;/p&gt;_x000a_&lt;p&gt;ORIGINAL SILENCERS WEIGHT: KG 5.6&lt;br&gt;ZARD ALUMINIUM SILENCERS WEIGHT: KG 4&lt;/p&gt;_x000a_&lt;p&gt;ZARD CARBON SILENCERS WEIGHT: KG 3.7&lt;/p&gt;_x000a_&lt;p&gt;ORIGINAL MUFFLERS WEIGHT: KG 5&lt;/p&gt;_x000a_&lt;p&gt;WEIGHT OF THE ZARD MANIFOLD: KG 2.75&lt;/p&gt;_x000a_&lt;p&gt;CARBON HEAT-SHIELDS&lt;/p&gt;_x000a_&lt;p&gt;THE EXHAUST INCLUDES THE ZARD LICENCE-PLATE BRACKET, THE FITTING KIT FOR THE ORIGINAL ONE AND THE SIDE CARBON PANELS&lt;/p&gt;_x000a_&lt;p&gt;HARD INCREASE, COMPARED TO THE ORIGINAL EXHAUST SYSTEM, IN TERMS OF TORQUE AND POWER AT ANY RANGE.&lt;/p&gt;_x000a_&lt;p&gt;ASTONISHING SOUND.&lt;/p&gt;"/>
    <m/>
    <s v="STEEL-ALUMINIUM HOMOLOGATED"/>
    <n v="33.200000000000003"/>
  </r>
  <r>
    <s v="1586059890-11480"/>
    <s v="https://shop.officineitalianezard.it/en/products/"/>
    <m/>
    <s v="https://shop.officineitalianezard.it/en/ducati-zard-exhaust/"/>
    <s v="HYPERMOTARD 796"/>
    <s v="https://shop.officineitalianezard.it/en/ducati-hypermotard-796-exhaust/"/>
    <s v="PENTA VERSION"/>
    <x v="246"/>
    <s v="SILENCERS"/>
    <s v="ZD111ASR"/>
    <s v="DUCATI HYPERMOTARD 796"/>
    <n v="729.59"/>
    <n v="810.66"/>
    <s v="&lt;p&gt;STEEL-ALUMINIUM SILENCERS RACING WITH REMOVABLE DB KILLER&lt;/p&gt;_x000a_&lt;p&gt;ORIGINAL SILENCERS WEIGHT: KG 5.6&lt;br&gt;ZARD ALUMINIUM SILENCERS WEIGHT: KG 4&lt;/p&gt;_x000a_&lt;p&gt;ZARD CARBON SILENCERS WEIGHT: KG 3.7&lt;/p&gt;_x000a_&lt;p&gt;ORIGINAL MUFFLERS WEIGHT: KG 5&lt;/p&gt;_x000a_&lt;p&gt;WEIGHT OF THE ZARD MANIFOLD: KG 2.75&lt;/p&gt;_x000a_&lt;p&gt;CARBON HEAT-SHIELDS&lt;/p&gt;_x000a_&lt;p&gt;THE EXHAUST INCLUDES THE ZARD LICENCE-PLATE BRACKET, THE FITTING KIT FOR THE ORIGINAL ONE AND THE SIDE CARBON PANELS&lt;/p&gt;_x000a_&lt;p&gt;HARD INCREASE, COMPARED TO THE ORIGINAL EXHAUST SYSTEM, IN TERMS OF TORQUE AND POWER AT ANY RANGE.&lt;/p&gt;_x000a_&lt;p&gt;ASTONISHING SOUND.&lt;/p&gt;"/>
    <m/>
    <s v="CARBON END CAP"/>
    <n v="75.25"/>
  </r>
  <r>
    <s v="1586059890-11481"/>
    <s v="https://shop.officineitalianezard.it/en/products/"/>
    <m/>
    <s v="https://shop.officineitalianezard.it/en/ducati-zard-exhaust/"/>
    <s v="HYPERMOTARD 796"/>
    <s v="https://shop.officineitalianezard.it/en/ducati-hypermotard-796-exhaust/"/>
    <s v="PENTA VERSION"/>
    <x v="246"/>
    <s v="SILENCERS"/>
    <s v="ZD111ASR"/>
    <s v="DUCATI HYPERMOTARD 796"/>
    <n v="729.59"/>
    <n v="810.66"/>
    <s v="&lt;p&gt;STEEL-ALUMINIUM SILENCERS RACING WITH REMOVABLE DB KILLER&lt;/p&gt;_x000a_&lt;p&gt;ORIGINAL SILENCERS WEIGHT: KG 5.6&lt;br&gt;ZARD ALUMINIUM SILENCERS WEIGHT: KG 4&lt;/p&gt;_x000a_&lt;p&gt;ZARD CARBON SILENCERS WEIGHT: KG 3.7&lt;/p&gt;_x000a_&lt;p&gt;ORIGINAL MUFFLERS WEIGHT: KG 5&lt;/p&gt;_x000a_&lt;p&gt;WEIGHT OF THE ZARD MANIFOLD: KG 2.75&lt;/p&gt;_x000a_&lt;p&gt;CARBON HEAT-SHIELDS&lt;/p&gt;_x000a_&lt;p&gt;THE EXHAUST INCLUDES THE ZARD LICENCE-PLATE BRACKET, THE FITTING KIT FOR THE ORIGINAL ONE AND THE SIDE CARBON PANELS&lt;/p&gt;_x000a_&lt;p&gt;HARD INCREASE, COMPARED TO THE ORIGINAL EXHAUST SYSTEM, IN TERMS OF TORQUE AND POWER AT ANY RANGE.&lt;/p&gt;_x000a_&lt;p&gt;ASTONISHING SOUND.&lt;/p&gt;"/>
    <m/>
    <s v="STEEL-CARBON RACING"/>
    <n v="33.200000000000003"/>
  </r>
  <r>
    <s v="1586059895-11482"/>
    <s v="https://shop.officineitalianezard.it/en/products/"/>
    <m/>
    <s v="https://shop.officineitalianezard.it/en/ducati-zard-exhaust/"/>
    <s v="GT 1000"/>
    <s v="https://shop.officineitalianezard.it/en/ducati-gt-1000-exhaust/"/>
    <s v="LOW MOUNTED VERSION"/>
    <x v="247"/>
    <s v="SILENCERS"/>
    <s v="ZD120SSR"/>
    <s v="DUCATI GT 1000"/>
    <n v="893.36"/>
    <n v="992.62"/>
    <s v="&lt;p&gt;STEEL RACING SILENCERS WITH REMOVABLE DBKILLER&lt;/p&gt;_x000a_&lt;p&gt;SILENCERS UNICUE DESIGN IS DUE TO 'SNAKE WELDING' TOTALLY HANDMADE&lt;/p&gt;_x000a_&lt;p&gt;HARD INCREASE, COMPARED TO THE ORIGINAL EXHAUST SYSTEM, IN TERMS OF TORQUE AND POWER AT ANY RANGE.&lt;/p&gt;_x000a_&lt;p&gt;ASTONISHING SOUND.&lt;/p&gt;"/>
    <s v="https://shop.officineitalianezard.it/contents/imgs/products/1_529-new.jpg"/>
    <m/>
    <m/>
  </r>
  <r>
    <s v="1586059895-11483"/>
    <s v="https://shop.officineitalianezard.it/en/products/"/>
    <m/>
    <s v="https://shop.officineitalianezard.it/en/ducati-zard-exhaust/"/>
    <s v="GT 1000"/>
    <s v="https://shop.officineitalianezard.it/en/ducati-gt-1000-exhaust/"/>
    <s v="LOW MOUNTED VERSION"/>
    <x v="247"/>
    <s v="SILENCERS"/>
    <s v="ZD120SSR"/>
    <s v="DUCATI GT 1000"/>
    <n v="893.36"/>
    <n v="992.62"/>
    <s v="&lt;p&gt;STEEL RACING SILENCERS WITH REMOVABLE DBKILLER&lt;/p&gt;_x000a_&lt;p&gt;SILENCERS UNICUE DESIGN IS DUE TO 'SNAKE WELDING' TOTALLY HANDMADE&lt;/p&gt;_x000a_&lt;p&gt;HARD INCREASE, COMPARED TO THE ORIGINAL EXHAUST SYSTEM, IN TERMS OF TORQUE AND POWER AT ANY RANGE.&lt;/p&gt;_x000a_&lt;p&gt;ASTONISHING SOUND.&lt;/p&gt;"/>
    <s v="https://shop.officineitalianezard.it/contents/imgs/products/1_563-scarichi%20moto%20gt%201000%20zard%20ducati.jpg"/>
    <m/>
    <m/>
  </r>
  <r>
    <s v="1586059895-11484"/>
    <s v="https://shop.officineitalianezard.it/en/products/"/>
    <m/>
    <s v="https://shop.officineitalianezard.it/en/ducati-zard-exhaust/"/>
    <s v="GT 1000"/>
    <s v="https://shop.officineitalianezard.it/en/ducati-gt-1000-exhaust/"/>
    <s v="LOW MOUNTED VERSION"/>
    <x v="247"/>
    <s v="SILENCERS"/>
    <s v="ZD120SSR"/>
    <s v="DUCATI GT 1000"/>
    <n v="893.36"/>
    <n v="992.62"/>
    <s v="&lt;p&gt;STEEL RACING SILENCERS WITH REMOVABLE DBKILLER&lt;/p&gt;_x000a_&lt;p&gt;SILENCERS UNICUE DESIGN IS DUE TO 'SNAKE WELDING' TOTALLY HANDMADE&lt;/p&gt;_x000a_&lt;p&gt;HARD INCREASE, COMPARED TO THE ORIGINAL EXHAUST SYSTEM, IN TERMS OF TORQUE AND POWER AT ANY RANGE.&lt;/p&gt;_x000a_&lt;p&gt;ASTONISHING SOUND.&lt;/p&gt;"/>
    <s v="https://shop.officineitalianezard.it/contents/imgs/products/1_2026-ducati%20gt%201000%20scarichi%20zard.jpg"/>
    <m/>
    <m/>
  </r>
  <r>
    <s v="1586059895-11485"/>
    <s v="https://shop.officineitalianezard.it/en/products/"/>
    <m/>
    <s v="https://shop.officineitalianezard.it/en/ducati-zard-exhaust/"/>
    <s v="GT 1000"/>
    <s v="https://shop.officineitalianezard.it/en/ducati-gt-1000-exhaust/"/>
    <s v="LOW MOUNTED VERSION"/>
    <x v="247"/>
    <s v="SILENCERS"/>
    <s v="ZD120SSR"/>
    <s v="DUCATI GT 1000"/>
    <n v="893.36"/>
    <n v="992.62"/>
    <s v="&lt;p&gt;STEEL RACING SILENCERS WITH REMOVABLE DBKILLER&lt;/p&gt;_x000a_&lt;p&gt;SILENCERS UNICUE DESIGN IS DUE TO 'SNAKE WELDING' TOTALLY HANDMADE&lt;/p&gt;_x000a_&lt;p&gt;HARD INCREASE, COMPARED TO THE ORIGINAL EXHAUST SYSTEM, IN TERMS OF TORQUE AND POWER AT ANY RANGE.&lt;/p&gt;_x000a_&lt;p&gt;ASTONISHING SOUND.&lt;/p&gt;"/>
    <m/>
    <s v="BLACK COATING"/>
    <n v="154.18"/>
  </r>
  <r>
    <s v="1586059895-11486"/>
    <s v="https://shop.officineitalianezard.it/en/products/"/>
    <m/>
    <s v="https://shop.officineitalianezard.it/en/ducati-zard-exhaust/"/>
    <s v="GT 1000"/>
    <s v="https://shop.officineitalianezard.it/en/ducati-gt-1000-exhaust/"/>
    <s v="LOW MOUNTED VERSION"/>
    <x v="247"/>
    <s v="SILENCERS"/>
    <s v="ZD120SSR"/>
    <s v="DUCATI GT 1000"/>
    <n v="893.36"/>
    <n v="992.62"/>
    <s v="&lt;p&gt;STEEL RACING SILENCERS WITH REMOVABLE DBKILLER&lt;/p&gt;_x000a_&lt;p&gt;SILENCERS UNICUE DESIGN IS DUE TO 'SNAKE WELDING' TOTALLY HANDMADE&lt;/p&gt;_x000a_&lt;p&gt;HARD INCREASE, COMPARED TO THE ORIGINAL EXHAUST SYSTEM, IN TERMS OF TORQUE AND POWER AT ANY RANGE.&lt;/p&gt;_x000a_&lt;p&gt;ASTONISHING SOUND.&lt;/p&gt;"/>
    <m/>
    <s v="FULL TITANIUM"/>
    <n v="389.51"/>
  </r>
  <r>
    <s v="1586059899-11487"/>
    <s v="https://shop.officineitalianezard.it/en/products/"/>
    <m/>
    <s v="https://shop.officineitalianezard.it/en/ducati-zard-exhaust/"/>
    <s v="DIAVEL 2011-2018"/>
    <s v="https://shop.officineitalianezard.it/en/ducati-diavel-2011-2018-exhaust/"/>
    <s v="LIMITED EDITION"/>
    <x v="248"/>
    <s v="SILENCER"/>
    <s v="ZD117LIMSSR"/>
    <s v="DUCATI DIAVEL 2011-2017"/>
    <n v="1043.8499999999999"/>
    <n v="1159.8399999999999"/>
    <s v="&lt;p&gt;STEEL SILENCER RACING&lt;/p&gt;_x000a_&lt;p&gt;LIMITED PARTS, DELIVERED IN A PRECIOUS WOODEN BOX WITH LASER CUTTED ZARD LOGO&lt;/p&gt;_x000a_&lt;p&gt;ZARD STEEL SILENCER WEIGHT: 2,9 KG&lt;/p&gt;_x000a_&lt;p&gt;ZARD TITANIUM SILENCER WEIGHT: 2,9 KG&lt;/p&gt;_x000a_&lt;p&gt;HARD INCREASE, COMPARED TO THE STANDARD EXHAUST SYSTEM, IN TERMS OF TORQUE AND POWER AT ANY RANGE.&lt;/p&gt;_x000a_&lt;p&gt;ASTONISHING SOUND.&lt;/p&gt;_x000a_&lt;p&gt;N.B. FULL TITANIUM SILENCER IS AVAILABLE IN RACING VERSION ONLY&lt;/p&gt;"/>
    <s v="https://shop.officineitalianezard.it/contents/imgs/products/1_301-diaveledlimit2.jpg"/>
    <m/>
    <m/>
  </r>
  <r>
    <s v="1586059899-11488"/>
    <s v="https://shop.officineitalianezard.it/en/products/"/>
    <m/>
    <s v="https://shop.officineitalianezard.it/en/ducati-zard-exhaust/"/>
    <s v="DIAVEL 2011-2018"/>
    <s v="https://shop.officineitalianezard.it/en/ducati-diavel-2011-2018-exhaust/"/>
    <s v="LIMITED EDITION"/>
    <x v="248"/>
    <s v="SILENCER"/>
    <s v="ZD117LIMSSR"/>
    <s v="DUCATI DIAVEL 2011-2017"/>
    <n v="1043.8499999999999"/>
    <n v="1159.8399999999999"/>
    <s v="&lt;p&gt;STEEL SILENCER RACING&lt;/p&gt;_x000a_&lt;p&gt;LIMITED PARTS, DELIVERED IN A PRECIOUS WOODEN BOX WITH LASER CUTTED ZARD LOGO&lt;/p&gt;_x000a_&lt;p&gt;ZARD STEEL SILENCER WEIGHT: 2,9 KG&lt;/p&gt;_x000a_&lt;p&gt;ZARD TITANIUM SILENCER WEIGHT: 2,9 KG&lt;/p&gt;_x000a_&lt;p&gt;HARD INCREASE, COMPARED TO THE STANDARD EXHAUST SYSTEM, IN TERMS OF TORQUE AND POWER AT ANY RANGE.&lt;/p&gt;_x000a_&lt;p&gt;ASTONISHING SOUND.&lt;/p&gt;_x000a_&lt;p&gt;N.B. FULL TITANIUM SILENCER IS AVAILABLE IN RACING VERSION ONLY&lt;/p&gt;"/>
    <s v="https://shop.officineitalianezard.it/contents/imgs/products/1_300-diaveledlimit1.jpg"/>
    <m/>
    <m/>
  </r>
  <r>
    <s v="1586059899-11489"/>
    <s v="https://shop.officineitalianezard.it/en/products/"/>
    <m/>
    <s v="https://shop.officineitalianezard.it/en/ducati-zard-exhaust/"/>
    <s v="DIAVEL 2011-2018"/>
    <s v="https://shop.officineitalianezard.it/en/ducati-diavel-2011-2018-exhaust/"/>
    <s v="LIMITED EDITION"/>
    <x v="248"/>
    <s v="SILENCER"/>
    <s v="ZD117LIMSSR"/>
    <s v="DUCATI DIAVEL 2011-2017"/>
    <n v="1043.8499999999999"/>
    <n v="1159.8399999999999"/>
    <s v="&lt;p&gt;STEEL SILENCER RACING&lt;/p&gt;_x000a_&lt;p&gt;LIMITED PARTS, DELIVERED IN A PRECIOUS WOODEN BOX WITH LASER CUTTED ZARD LOGO&lt;/p&gt;_x000a_&lt;p&gt;ZARD STEEL SILENCER WEIGHT: 2,9 KG&lt;/p&gt;_x000a_&lt;p&gt;ZARD TITANIUM SILENCER WEIGHT: 2,9 KG&lt;/p&gt;_x000a_&lt;p&gt;HARD INCREASE, COMPARED TO THE STANDARD EXHAUST SYSTEM, IN TERMS OF TORQUE AND POWER AT ANY RANGE.&lt;/p&gt;_x000a_&lt;p&gt;ASTONISHING SOUND.&lt;/p&gt;_x000a_&lt;p&gt;N.B. FULL TITANIUM SILENCER IS AVAILABLE IN RACING VERSION ONLY&lt;/p&gt;"/>
    <s v="https://shop.officineitalianezard.it/contents/imgs/products/1_1127-diavel%20zard%20limited.jpg"/>
    <m/>
    <m/>
  </r>
  <r>
    <s v="1586059899-11490"/>
    <s v="https://shop.officineitalianezard.it/en/products/"/>
    <m/>
    <s v="https://shop.officineitalianezard.it/en/ducati-zard-exhaust/"/>
    <s v="DIAVEL 2011-2018"/>
    <s v="https://shop.officineitalianezard.it/en/ducati-diavel-2011-2018-exhaust/"/>
    <s v="LIMITED EDITION"/>
    <x v="248"/>
    <s v="SILENCER"/>
    <s v="ZD117LIMSSR"/>
    <s v="DUCATI DIAVEL 2011-2017"/>
    <n v="1043.8499999999999"/>
    <n v="1159.8399999999999"/>
    <s v="&lt;p&gt;STEEL SILENCER RACING&lt;/p&gt;_x000a_&lt;p&gt;LIMITED PARTS, DELIVERED IN A PRECIOUS WOODEN BOX WITH LASER CUTTED ZARD LOGO&lt;/p&gt;_x000a_&lt;p&gt;ZARD STEEL SILENCER WEIGHT: 2,9 KG&lt;/p&gt;_x000a_&lt;p&gt;ZARD TITANIUM SILENCER WEIGHT: 2,9 KG&lt;/p&gt;_x000a_&lt;p&gt;HARD INCREASE, COMPARED TO THE STANDARD EXHAUST SYSTEM, IN TERMS OF TORQUE AND POWER AT ANY RANGE.&lt;/p&gt;_x000a_&lt;p&gt;ASTONISHING SOUND.&lt;/p&gt;_x000a_&lt;p&gt;N.B. FULL TITANIUM SILENCER IS AVAILABLE IN RACING VERSION ONLY&lt;/p&gt;"/>
    <s v="https://shop.officineitalianezard.it/contents/imgs/products/1_1463-ducati%20diavel%20exhaust%20.jpg"/>
    <m/>
    <m/>
  </r>
  <r>
    <s v="1586059899-11491"/>
    <s v="https://shop.officineitalianezard.it/en/products/"/>
    <m/>
    <s v="https://shop.officineitalianezard.it/en/ducati-zard-exhaust/"/>
    <s v="DIAVEL 2011-2018"/>
    <s v="https://shop.officineitalianezard.it/en/ducati-diavel-2011-2018-exhaust/"/>
    <s v="LIMITED EDITION"/>
    <x v="248"/>
    <s v="SILENCER"/>
    <s v="ZD117LIMSSR"/>
    <s v="DUCATI DIAVEL 2011-2017"/>
    <n v="1043.8499999999999"/>
    <n v="1159.8399999999999"/>
    <s v="&lt;p&gt;STEEL SILENCER RACING&lt;/p&gt;_x000a_&lt;p&gt;LIMITED PARTS, DELIVERED IN A PRECIOUS WOODEN BOX WITH LASER CUTTED ZARD LOGO&lt;/p&gt;_x000a_&lt;p&gt;ZARD STEEL SILENCER WEIGHT: 2,9 KG&lt;/p&gt;_x000a_&lt;p&gt;ZARD TITANIUM SILENCER WEIGHT: 2,9 KG&lt;/p&gt;_x000a_&lt;p&gt;HARD INCREASE, COMPARED TO THE STANDARD EXHAUST SYSTEM, IN TERMS OF TORQUE AND POWER AT ANY RANGE.&lt;/p&gt;_x000a_&lt;p&gt;ASTONISHING SOUND.&lt;/p&gt;_x000a_&lt;p&gt;N.B. FULL TITANIUM SILENCER IS AVAILABLE IN RACING VERSION ONLY&lt;/p&gt;"/>
    <m/>
    <s v="BLACK CERAMIC COATING"/>
    <n v="131.31"/>
  </r>
  <r>
    <s v="1586059899-11492"/>
    <s v="https://shop.officineitalianezard.it/en/products/"/>
    <m/>
    <s v="https://shop.officineitalianezard.it/en/ducati-zard-exhaust/"/>
    <s v="DIAVEL 2011-2018"/>
    <s v="https://shop.officineitalianezard.it/en/ducati-diavel-2011-2018-exhaust/"/>
    <s v="LIMITED EDITION"/>
    <x v="248"/>
    <s v="SILENCER"/>
    <s v="ZD117LIMSSR"/>
    <s v="DUCATI DIAVEL 2011-2017"/>
    <n v="1043.8499999999999"/>
    <n v="1159.8399999999999"/>
    <s v="&lt;p&gt;STEEL SILENCER RACING&lt;/p&gt;_x000a_&lt;p&gt;LIMITED PARTS, DELIVERED IN A PRECIOUS WOODEN BOX WITH LASER CUTTED ZARD LOGO&lt;/p&gt;_x000a_&lt;p&gt;ZARD STEEL SILENCER WEIGHT: 2,9 KG&lt;/p&gt;_x000a_&lt;p&gt;ZARD TITANIUM SILENCER WEIGHT: 2,9 KG&lt;/p&gt;_x000a_&lt;p&gt;HARD INCREASE, COMPARED TO THE STANDARD EXHAUST SYSTEM, IN TERMS OF TORQUE AND POWER AT ANY RANGE.&lt;/p&gt;_x000a_&lt;p&gt;ASTONISHING SOUND.&lt;/p&gt;_x000a_&lt;p&gt;N.B. FULL TITANIUM SILENCER IS AVAILABLE IN RACING VERSION ONLY&lt;/p&gt;"/>
    <m/>
    <s v="FULL TITANIUM RACING"/>
    <n v="115.82"/>
  </r>
  <r>
    <s v="1586059899-11493"/>
    <s v="https://shop.officineitalianezard.it/en/products/"/>
    <m/>
    <s v="https://shop.officineitalianezard.it/en/ducati-zard-exhaust/"/>
    <s v="DIAVEL 2011-2018"/>
    <s v="https://shop.officineitalianezard.it/en/ducati-diavel-2011-2018-exhaust/"/>
    <s v="LIMITED EDITION"/>
    <x v="248"/>
    <s v="SILENCER"/>
    <s v="ZD117LIMSSR"/>
    <s v="DUCATI DIAVEL 2011-2017"/>
    <n v="1043.8499999999999"/>
    <n v="1159.8399999999999"/>
    <s v="&lt;p&gt;STEEL SILENCER RACING&lt;/p&gt;_x000a_&lt;p&gt;LIMITED PARTS, DELIVERED IN A PRECIOUS WOODEN BOX WITH LASER CUTTED ZARD LOGO&lt;/p&gt;_x000a_&lt;p&gt;ZARD STEEL SILENCER WEIGHT: 2,9 KG&lt;/p&gt;_x000a_&lt;p&gt;ZARD TITANIUM SILENCER WEIGHT: 2,9 KG&lt;/p&gt;_x000a_&lt;p&gt;HARD INCREASE, COMPARED TO THE STANDARD EXHAUST SYSTEM, IN TERMS OF TORQUE AND POWER AT ANY RANGE.&lt;/p&gt;_x000a_&lt;p&gt;ASTONISHING SOUND.&lt;/p&gt;_x000a_&lt;p&gt;N.B. FULL TITANIUM SILENCER IS AVAILABLE IN RACING VERSION ONLY&lt;/p&gt;"/>
    <m/>
    <s v="BLACK COATING FOR ORIGINAL HEADERS PIPE"/>
    <n v="216.15"/>
  </r>
  <r>
    <s v="1586059899-11494"/>
    <s v="https://shop.officineitalianezard.it/en/products/"/>
    <m/>
    <s v="https://shop.officineitalianezard.it/en/ducati-zard-exhaust/"/>
    <s v="DIAVEL 2011-2018"/>
    <s v="https://shop.officineitalianezard.it/en/ducati-diavel-2011-2018-exhaust/"/>
    <s v="LIMITED EDITION"/>
    <x v="248"/>
    <s v="SILENCER"/>
    <s v="ZD117LIMSSR"/>
    <s v="DUCATI DIAVEL 2011-2017"/>
    <n v="1043.8499999999999"/>
    <n v="1159.8399999999999"/>
    <s v="&lt;p&gt;STEEL SILENCER RACING&lt;/p&gt;_x000a_&lt;p&gt;LIMITED PARTS, DELIVERED IN A PRECIOUS WOODEN BOX WITH LASER CUTTED ZARD LOGO&lt;/p&gt;_x000a_&lt;p&gt;ZARD STEEL SILENCER WEIGHT: 2,9 KG&lt;/p&gt;_x000a_&lt;p&gt;ZARD TITANIUM SILENCER WEIGHT: 2,9 KG&lt;/p&gt;_x000a_&lt;p&gt;HARD INCREASE, COMPARED TO THE STANDARD EXHAUST SYSTEM, IN TERMS OF TORQUE AND POWER AT ANY RANGE.&lt;/p&gt;_x000a_&lt;p&gt;ASTONISHING SOUND.&lt;/p&gt;_x000a_&lt;p&gt;N.B. FULL TITANIUM SILENCER IS AVAILABLE IN RACING VERSION ONLY&lt;/p&gt;"/>
    <m/>
    <s v="EURO 3 HOMOLOGATED"/>
    <n v="75.25"/>
  </r>
  <r>
    <s v="1586059901-11495"/>
    <s v="https://shop.officineitalianezard.it/en/products/"/>
    <m/>
    <s v="https://shop.officineitalianezard.it/en/ducati-zard-exhaust/"/>
    <s v="DIAVEL 2011-2018"/>
    <s v="https://shop.officineitalianezard.it/en/ducati-diavel-2011-2018-exhaust/"/>
    <s v="2&gt;1 VERSION"/>
    <x v="249"/>
    <s v="HEADERS KIT"/>
    <s v="ZD117SCR"/>
    <s v="DUCATI DIAVEL 2011-2017"/>
    <n v="1032.79"/>
    <n v="1147.54"/>
    <s v="&lt;p&gt;2&amp;gt;1 STEEL RACING HEADERS KIT&amp;nbsp;&lt;/p&gt;_x000a_&lt;p&gt;ZARD STEEL COLLECTOR KIT WEIGHT : 2.4 KG&lt;/p&gt;_x000a_&lt;p&gt;ZARD TITANIUM COLLECTOR KIT WEIGHT : 1.7 KG&lt;/p&gt;_x000a_&lt;p&gt;HEADERS KIT NEEDS TO BE FITTED WITH OEM HEAD-OUTLET OF HORIZONTAL PIPE AND OEM HEAT SHIELD&lt;/p&gt;_x000a_&lt;p&gt;HARD INCREASE, COMPARED TO THE ORIGINAL EXHAUST SYSTEM, IN TERMS OF TORQUE AND POWER AT ANY RANGE.&lt;/p&gt;_x000a_&lt;p&gt;ASTONISHING SOUND.&lt;/p&gt;_x000a_&lt;p&gt;&lt;strong&gt;NOTICE: COMPATIBLE WITH OEM SILENCER&lt;/strong&gt;&lt;/p&gt;"/>
    <s v="https://shop.officineitalianezard.it/contents/imgs/products/1_1049-ducati%20diavel%20exhaust2.jpg"/>
    <m/>
    <m/>
  </r>
  <r>
    <s v="1586059901-11496"/>
    <s v="https://shop.officineitalianezard.it/en/products/"/>
    <m/>
    <s v="https://shop.officineitalianezard.it/en/ducati-zard-exhaust/"/>
    <s v="DIAVEL 2011-2018"/>
    <s v="https://shop.officineitalianezard.it/en/ducati-diavel-2011-2018-exhaust/"/>
    <s v="2&gt;1 VERSION"/>
    <x v="249"/>
    <s v="HEADERS KIT"/>
    <s v="ZD117SCR"/>
    <s v="DUCATI DIAVEL 2011-2017"/>
    <n v="1032.79"/>
    <n v="1147.54"/>
    <s v="&lt;p&gt;2&amp;gt;1 STEEL RACING HEADERS KIT&amp;nbsp;&lt;/p&gt;_x000a_&lt;p&gt;ZARD STEEL COLLECTOR KIT WEIGHT : 2.4 KG&lt;/p&gt;_x000a_&lt;p&gt;ZARD TITANIUM COLLECTOR KIT WEIGHT : 1.7 KG&lt;/p&gt;_x000a_&lt;p&gt;HEADERS KIT NEEDS TO BE FITTED WITH OEM HEAD-OUTLET OF HORIZONTAL PIPE AND OEM HEAT SHIELD&lt;/p&gt;_x000a_&lt;p&gt;HARD INCREASE, COMPARED TO THE ORIGINAL EXHAUST SYSTEM, IN TERMS OF TORQUE AND POWER AT ANY RANGE.&lt;/p&gt;_x000a_&lt;p&gt;ASTONISHING SOUND.&lt;/p&gt;_x000a_&lt;p&gt;&lt;strong&gt;NOTICE: COMPATIBLE WITH OEM SILENCER&lt;/strong&gt;&lt;/p&gt;"/>
    <s v="https://shop.officineitalianezard.it/contents/imgs/products/1_298-diavelcolltitanio2.jpg"/>
    <m/>
    <m/>
  </r>
  <r>
    <s v="1586059901-11497"/>
    <s v="https://shop.officineitalianezard.it/en/products/"/>
    <m/>
    <s v="https://shop.officineitalianezard.it/en/ducati-zard-exhaust/"/>
    <s v="DIAVEL 2011-2018"/>
    <s v="https://shop.officineitalianezard.it/en/ducati-diavel-2011-2018-exhaust/"/>
    <s v="2&gt;1 VERSION"/>
    <x v="249"/>
    <s v="HEADERS KIT"/>
    <s v="ZD117SCR"/>
    <s v="DUCATI DIAVEL 2011-2017"/>
    <n v="1032.79"/>
    <n v="1147.54"/>
    <s v="&lt;p&gt;2&amp;gt;1 STEEL RACING HEADERS KIT&amp;nbsp;&lt;/p&gt;_x000a_&lt;p&gt;ZARD STEEL COLLECTOR KIT WEIGHT : 2.4 KG&lt;/p&gt;_x000a_&lt;p&gt;ZARD TITANIUM COLLECTOR KIT WEIGHT : 1.7 KG&lt;/p&gt;_x000a_&lt;p&gt;HEADERS KIT NEEDS TO BE FITTED WITH OEM HEAD-OUTLET OF HORIZONTAL PIPE AND OEM HEAT SHIELD&lt;/p&gt;_x000a_&lt;p&gt;HARD INCREASE, COMPARED TO THE ORIGINAL EXHAUST SYSTEM, IN TERMS OF TORQUE AND POWER AT ANY RANGE.&lt;/p&gt;_x000a_&lt;p&gt;ASTONISHING SOUND.&lt;/p&gt;_x000a_&lt;p&gt;&lt;strong&gt;NOTICE: COMPATIBLE WITH OEM SILENCER&lt;/strong&gt;&lt;/p&gt;"/>
    <s v="https://shop.officineitalianezard.it/contents/imgs/products/1_1050-ducati%20diavel%20exhaust1.jpg"/>
    <m/>
    <m/>
  </r>
  <r>
    <s v="1586059901-11498"/>
    <s v="https://shop.officineitalianezard.it/en/products/"/>
    <m/>
    <s v="https://shop.officineitalianezard.it/en/ducati-zard-exhaust/"/>
    <s v="DIAVEL 2011-2018"/>
    <s v="https://shop.officineitalianezard.it/en/ducati-diavel-2011-2018-exhaust/"/>
    <s v="2&gt;1 VERSION"/>
    <x v="249"/>
    <s v="HEADERS KIT"/>
    <s v="ZD117SCR"/>
    <s v="DUCATI DIAVEL 2011-2017"/>
    <n v="1032.79"/>
    <n v="1147.54"/>
    <s v="&lt;p&gt;2&amp;gt;1 STEEL RACING HEADERS KIT&amp;nbsp;&lt;/p&gt;_x000a_&lt;p&gt;ZARD STEEL COLLECTOR KIT WEIGHT : 2.4 KG&lt;/p&gt;_x000a_&lt;p&gt;ZARD TITANIUM COLLECTOR KIT WEIGHT : 1.7 KG&lt;/p&gt;_x000a_&lt;p&gt;HEADERS KIT NEEDS TO BE FITTED WITH OEM HEAD-OUTLET OF HORIZONTAL PIPE AND OEM HEAT SHIELD&lt;/p&gt;_x000a_&lt;p&gt;HARD INCREASE, COMPARED TO THE ORIGINAL EXHAUST SYSTEM, IN TERMS OF TORQUE AND POWER AT ANY RANGE.&lt;/p&gt;_x000a_&lt;p&gt;ASTONISHING SOUND.&lt;/p&gt;_x000a_&lt;p&gt;&lt;strong&gt;NOTICE: COMPATIBLE WITH OEM SILENCER&lt;/strong&gt;&lt;/p&gt;"/>
    <m/>
    <s v="BLACK CERAMIC COATING"/>
    <n v="216.15"/>
  </r>
  <r>
    <s v="1586059901-11499"/>
    <s v="https://shop.officineitalianezard.it/en/products/"/>
    <m/>
    <s v="https://shop.officineitalianezard.it/en/ducati-zard-exhaust/"/>
    <s v="DIAVEL 2011-2018"/>
    <s v="https://shop.officineitalianezard.it/en/ducati-diavel-2011-2018-exhaust/"/>
    <s v="2&gt;1 VERSION"/>
    <x v="249"/>
    <s v="HEADERS KIT"/>
    <s v="ZD117SCR"/>
    <s v="DUCATI DIAVEL 2011-2017"/>
    <n v="1032.79"/>
    <n v="1147.54"/>
    <s v="&lt;p&gt;2&amp;gt;1 STEEL RACING HEADERS KIT&amp;nbsp;&lt;/p&gt;_x000a_&lt;p&gt;ZARD STEEL COLLECTOR KIT WEIGHT : 2.4 KG&lt;/p&gt;_x000a_&lt;p&gt;ZARD TITANIUM COLLECTOR KIT WEIGHT : 1.7 KG&lt;/p&gt;_x000a_&lt;p&gt;HEADERS KIT NEEDS TO BE FITTED WITH OEM HEAD-OUTLET OF HORIZONTAL PIPE AND OEM HEAT SHIELD&lt;/p&gt;_x000a_&lt;p&gt;HARD INCREASE, COMPARED TO THE ORIGINAL EXHAUST SYSTEM, IN TERMS OF TORQUE AND POWER AT ANY RANGE.&lt;/p&gt;_x000a_&lt;p&gt;ASTONISHING SOUND.&lt;/p&gt;_x000a_&lt;p&gt;&lt;strong&gt;NOTICE: COMPATIBLE WITH OEM SILENCER&lt;/strong&gt;&lt;/p&gt;"/>
    <m/>
    <s v="FULL TITANIO"/>
    <n v="940.57"/>
  </r>
  <r>
    <s v="1586059904-11500"/>
    <s v="https://shop.officineitalianezard.it/en/products/"/>
    <m/>
    <s v="https://shop.officineitalianezard.it/en/ducati-zard-exhaust/"/>
    <s v="DIAVEL 2011-2018"/>
    <s v="https://shop.officineitalianezard.it/en/ducati-diavel-2011-2018-exhaust/"/>
    <s v="STEEL VERSION"/>
    <x v="250"/>
    <s v="SILENCER"/>
    <s v="ZD117SSR"/>
    <s v="DUCATI DIAVEL 2011-2017"/>
    <n v="685.33"/>
    <n v="761.48"/>
    <s v="&lt;p&gt;STEEL SILENCER RACING&amp;nbsp;&lt;/p&gt;_x000a_&lt;p&gt;MACHINED FROM SOLID ALUMINIUM END-CAP&amp;nbsp;&lt;/p&gt;_x000a_&lt;p&gt;BLACK STEEL HEAT SHIELD&lt;/p&gt;_x000a_&lt;p&gt;CARBON COVER IS AVAILABLE AS OPTIONAL AND CAN BE FITTED ON BLACK STEEL SILENCER ONLY&lt;/p&gt;_x000a_&lt;p&gt;ZARD EXHAUST WEIGHT: 4 KG&lt;/p&gt;_x000a_&lt;p&gt;THE SILENCER CAN BE FITTED ON ORIGINAL DUCATI HEADERS OR ON ZARD COLLECTOR TO HAVE BEST PERFORMANCES AND UNIQUE DESIGN.&lt;/p&gt;_x000a_&lt;p&gt;IL SILENZIATORE PUO' ESSERE MONTATO SUL COLLETTORE ORIGINALE DUCATI OPPURE SUL COLLETTORE ZARD DEDICATO, PER UN NOTEVOLE AUMENTO DELLE PERFORMANCE E UN'ESTETICA ACCATTIVANTE.&lt;/p&gt;_x000a_&lt;p&gt;HARD INCREASE, COMPARED TO THE ORIGINAL EXHAUST SYSTEM, IN TERMS OF TORQUE AND POWER AT ANY RANGE.&lt;/p&gt;_x000a_&lt;p&gt;ASTONISHING SOUND.&lt;/p&gt;_x000a_&lt;p&gt;&lt;/p&gt;"/>
    <s v="https://shop.officineitalianezard.it/contents/imgs/products/1_1892-diavelzard.jpg"/>
    <m/>
    <m/>
  </r>
  <r>
    <s v="1586059904-11501"/>
    <s v="https://shop.officineitalianezard.it/en/products/"/>
    <m/>
    <s v="https://shop.officineitalianezard.it/en/ducati-zard-exhaust/"/>
    <s v="DIAVEL 2011-2018"/>
    <s v="https://shop.officineitalianezard.it/en/ducati-diavel-2011-2018-exhaust/"/>
    <s v="STEEL VERSION"/>
    <x v="250"/>
    <s v="SILENCER"/>
    <s v="ZD117SSR"/>
    <s v="DUCATI DIAVEL 2011-2017"/>
    <n v="685.33"/>
    <n v="761.48"/>
    <s v="&lt;p&gt;STEEL SILENCER RACING&amp;nbsp;&lt;/p&gt;_x000a_&lt;p&gt;MACHINED FROM SOLID ALUMINIUM END-CAP&amp;nbsp;&lt;/p&gt;_x000a_&lt;p&gt;BLACK STEEL HEAT SHIELD&lt;/p&gt;_x000a_&lt;p&gt;CARBON COVER IS AVAILABLE AS OPTIONAL AND CAN BE FITTED ON BLACK STEEL SILENCER ONLY&lt;/p&gt;_x000a_&lt;p&gt;ZARD EXHAUST WEIGHT: 4 KG&lt;/p&gt;_x000a_&lt;p&gt;THE SILENCER CAN BE FITTED ON ORIGINAL DUCATI HEADERS OR ON ZARD COLLECTOR TO HAVE BEST PERFORMANCES AND UNIQUE DESIGN.&lt;/p&gt;_x000a_&lt;p&gt;IL SILENZIATORE PUO' ESSERE MONTATO SUL COLLETTORE ORIGINALE DUCATI OPPURE SUL COLLETTORE ZARD DEDICATO, PER UN NOTEVOLE AUMENTO DELLE PERFORMANCE E UN'ESTETICA ACCATTIVANTE.&lt;/p&gt;_x000a_&lt;p&gt;HARD INCREASE, COMPARED TO THE ORIGINAL EXHAUST SYSTEM, IN TERMS OF TORQUE AND POWER AT ANY RANGE.&lt;/p&gt;_x000a_&lt;p&gt;ASTONISHING SOUND.&lt;/p&gt;_x000a_&lt;p&gt;&lt;/p&gt;"/>
    <s v="https://shop.officineitalianezard.it/contents/imgs/products/1_619-scarichi%20moto%20ducati%20zard%20diavel%201.jpg"/>
    <m/>
    <m/>
  </r>
  <r>
    <s v="1586059904-11502"/>
    <s v="https://shop.officineitalianezard.it/en/products/"/>
    <m/>
    <s v="https://shop.officineitalianezard.it/en/ducati-zard-exhaust/"/>
    <s v="DIAVEL 2011-2018"/>
    <s v="https://shop.officineitalianezard.it/en/ducati-diavel-2011-2018-exhaust/"/>
    <s v="STEEL VERSION"/>
    <x v="250"/>
    <s v="SILENCER"/>
    <s v="ZD117SSR"/>
    <s v="DUCATI DIAVEL 2011-2017"/>
    <n v="685.33"/>
    <n v="761.48"/>
    <s v="&lt;p&gt;STEEL SILENCER RACING&amp;nbsp;&lt;/p&gt;_x000a_&lt;p&gt;MACHINED FROM SOLID ALUMINIUM END-CAP&amp;nbsp;&lt;/p&gt;_x000a_&lt;p&gt;BLACK STEEL HEAT SHIELD&lt;/p&gt;_x000a_&lt;p&gt;CARBON COVER IS AVAILABLE AS OPTIONAL AND CAN BE FITTED ON BLACK STEEL SILENCER ONLY&lt;/p&gt;_x000a_&lt;p&gt;ZARD EXHAUST WEIGHT: 4 KG&lt;/p&gt;_x000a_&lt;p&gt;THE SILENCER CAN BE FITTED ON ORIGINAL DUCATI HEADERS OR ON ZARD COLLECTOR TO HAVE BEST PERFORMANCES AND UNIQUE DESIGN.&lt;/p&gt;_x000a_&lt;p&gt;IL SILENZIATORE PUO' ESSERE MONTATO SUL COLLETTORE ORIGINALE DUCATI OPPURE SUL COLLETTORE ZARD DEDICATO, PER UN NOTEVOLE AUMENTO DELLE PERFORMANCE E UN'ESTETICA ACCATTIVANTE.&lt;/p&gt;_x000a_&lt;p&gt;HARD INCREASE, COMPARED TO THE ORIGINAL EXHAUST SYSTEM, IN TERMS OF TORQUE AND POWER AT ANY RANGE.&lt;/p&gt;_x000a_&lt;p&gt;ASTONISHING SOUND.&lt;/p&gt;_x000a_&lt;p&gt;&lt;/p&gt;"/>
    <s v="https://shop.officineitalianezard.it/contents/imgs/products/1_620-scarichi%20moto%20ducati%20zard%20diavel%202.jpg"/>
    <m/>
    <m/>
  </r>
  <r>
    <s v="1586059904-11503"/>
    <s v="https://shop.officineitalianezard.it/en/products/"/>
    <m/>
    <s v="https://shop.officineitalianezard.it/en/ducati-zard-exhaust/"/>
    <s v="DIAVEL 2011-2018"/>
    <s v="https://shop.officineitalianezard.it/en/ducati-diavel-2011-2018-exhaust/"/>
    <s v="STEEL VERSION"/>
    <x v="250"/>
    <s v="SILENCER"/>
    <s v="ZD117SSR"/>
    <s v="DUCATI DIAVEL 2011-2017"/>
    <n v="685.33"/>
    <n v="761.48"/>
    <s v="&lt;p&gt;STEEL SILENCER RACING&amp;nbsp;&lt;/p&gt;_x000a_&lt;p&gt;MACHINED FROM SOLID ALUMINIUM END-CAP&amp;nbsp;&lt;/p&gt;_x000a_&lt;p&gt;BLACK STEEL HEAT SHIELD&lt;/p&gt;_x000a_&lt;p&gt;CARBON COVER IS AVAILABLE AS OPTIONAL AND CAN BE FITTED ON BLACK STEEL SILENCER ONLY&lt;/p&gt;_x000a_&lt;p&gt;ZARD EXHAUST WEIGHT: 4 KG&lt;/p&gt;_x000a_&lt;p&gt;THE SILENCER CAN BE FITTED ON ORIGINAL DUCATI HEADERS OR ON ZARD COLLECTOR TO HAVE BEST PERFORMANCES AND UNIQUE DESIGN.&lt;/p&gt;_x000a_&lt;p&gt;IL SILENZIATORE PUO' ESSERE MONTATO SUL COLLETTORE ORIGINALE DUCATI OPPURE SUL COLLETTORE ZARD DEDICATO, PER UN NOTEVOLE AUMENTO DELLE PERFORMANCE E UN'ESTETICA ACCATTIVANTE.&lt;/p&gt;_x000a_&lt;p&gt;HARD INCREASE, COMPARED TO THE ORIGINAL EXHAUST SYSTEM, IN TERMS OF TORQUE AND POWER AT ANY RANGE.&lt;/p&gt;_x000a_&lt;p&gt;ASTONISHING SOUND.&lt;/p&gt;_x000a_&lt;p&gt;&lt;/p&gt;"/>
    <s v="https://shop.officineitalianezard.it/contents/imgs/products/1_621-scarichi%20moto%20ducati%20zard%20diavel%205.jpg"/>
    <m/>
    <m/>
  </r>
  <r>
    <s v="1586059904-11504"/>
    <s v="https://shop.officineitalianezard.it/en/products/"/>
    <m/>
    <s v="https://shop.officineitalianezard.it/en/ducati-zard-exhaust/"/>
    <s v="DIAVEL 2011-2018"/>
    <s v="https://shop.officineitalianezard.it/en/ducati-diavel-2011-2018-exhaust/"/>
    <s v="STEEL VERSION"/>
    <x v="250"/>
    <s v="SILENCER"/>
    <s v="ZD117SSR"/>
    <s v="DUCATI DIAVEL 2011-2017"/>
    <n v="685.33"/>
    <n v="761.48"/>
    <s v="&lt;p&gt;STEEL SILENCER RACING&amp;nbsp;&lt;/p&gt;_x000a_&lt;p&gt;MACHINED FROM SOLID ALUMINIUM END-CAP&amp;nbsp;&lt;/p&gt;_x000a_&lt;p&gt;BLACK STEEL HEAT SHIELD&lt;/p&gt;_x000a_&lt;p&gt;CARBON COVER IS AVAILABLE AS OPTIONAL AND CAN BE FITTED ON BLACK STEEL SILENCER ONLY&lt;/p&gt;_x000a_&lt;p&gt;ZARD EXHAUST WEIGHT: 4 KG&lt;/p&gt;_x000a_&lt;p&gt;THE SILENCER CAN BE FITTED ON ORIGINAL DUCATI HEADERS OR ON ZARD COLLECTOR TO HAVE BEST PERFORMANCES AND UNIQUE DESIGN.&lt;/p&gt;_x000a_&lt;p&gt;IL SILENZIATORE PUO' ESSERE MONTATO SUL COLLETTORE ORIGINALE DUCATI OPPURE SUL COLLETTORE ZARD DEDICATO, PER UN NOTEVOLE AUMENTO DELLE PERFORMANCE E UN'ESTETICA ACCATTIVANTE.&lt;/p&gt;_x000a_&lt;p&gt;HARD INCREASE, COMPARED TO THE ORIGINAL EXHAUST SYSTEM, IN TERMS OF TORQUE AND POWER AT ANY RANGE.&lt;/p&gt;_x000a_&lt;p&gt;ASTONISHING SOUND.&lt;/p&gt;_x000a_&lt;p&gt;&lt;/p&gt;"/>
    <s v="https://shop.officineitalianezard.it/contents/imgs/products/1_622-scarichi%20moto%20ducati%20zard%20diavel%203.jpg"/>
    <m/>
    <m/>
  </r>
  <r>
    <s v="1586059904-11505"/>
    <s v="https://shop.officineitalianezard.it/en/products/"/>
    <m/>
    <s v="https://shop.officineitalianezard.it/en/ducati-zard-exhaust/"/>
    <s v="DIAVEL 2011-2018"/>
    <s v="https://shop.officineitalianezard.it/en/ducati-diavel-2011-2018-exhaust/"/>
    <s v="STEEL VERSION"/>
    <x v="250"/>
    <s v="SILENCER"/>
    <s v="ZD117SSR"/>
    <s v="DUCATI DIAVEL 2011-2017"/>
    <n v="685.33"/>
    <n v="761.48"/>
    <s v="&lt;p&gt;STEEL SILENCER RACING&amp;nbsp;&lt;/p&gt;_x000a_&lt;p&gt;MACHINED FROM SOLID ALUMINIUM END-CAP&amp;nbsp;&lt;/p&gt;_x000a_&lt;p&gt;BLACK STEEL HEAT SHIELD&lt;/p&gt;_x000a_&lt;p&gt;CARBON COVER IS AVAILABLE AS OPTIONAL AND CAN BE FITTED ON BLACK STEEL SILENCER ONLY&lt;/p&gt;_x000a_&lt;p&gt;ZARD EXHAUST WEIGHT: 4 KG&lt;/p&gt;_x000a_&lt;p&gt;THE SILENCER CAN BE FITTED ON ORIGINAL DUCATI HEADERS OR ON ZARD COLLECTOR TO HAVE BEST PERFORMANCES AND UNIQUE DESIGN.&lt;/p&gt;_x000a_&lt;p&gt;IL SILENZIATORE PUO' ESSERE MONTATO SUL COLLETTORE ORIGINALE DUCATI OPPURE SUL COLLETTORE ZARD DEDICATO, PER UN NOTEVOLE AUMENTO DELLE PERFORMANCE E UN'ESTETICA ACCATTIVANTE.&lt;/p&gt;_x000a_&lt;p&gt;HARD INCREASE, COMPARED TO THE ORIGINAL EXHAUST SYSTEM, IN TERMS OF TORQUE AND POWER AT ANY RANGE.&lt;/p&gt;_x000a_&lt;p&gt;ASTONISHING SOUND.&lt;/p&gt;_x000a_&lt;p&gt;&lt;/p&gt;"/>
    <s v="https://shop.officineitalianezard.it/contents/imgs/products/1_623-scarichi%20moto%20ducati%20zard%20diavel%204.jpg"/>
    <m/>
    <m/>
  </r>
  <r>
    <s v="1586059904-11506"/>
    <s v="https://shop.officineitalianezard.it/en/products/"/>
    <m/>
    <s v="https://shop.officineitalianezard.it/en/ducati-zard-exhaust/"/>
    <s v="DIAVEL 2011-2018"/>
    <s v="https://shop.officineitalianezard.it/en/ducati-diavel-2011-2018-exhaust/"/>
    <s v="STEEL VERSION"/>
    <x v="250"/>
    <s v="SILENCER"/>
    <s v="ZD117SSR"/>
    <s v="DUCATI DIAVEL 2011-2017"/>
    <n v="685.33"/>
    <n v="761.48"/>
    <s v="&lt;p&gt;STEEL SILENCER RACING&amp;nbsp;&lt;/p&gt;_x000a_&lt;p&gt;MACHINED FROM SOLID ALUMINIUM END-CAP&amp;nbsp;&lt;/p&gt;_x000a_&lt;p&gt;BLACK STEEL HEAT SHIELD&lt;/p&gt;_x000a_&lt;p&gt;CARBON COVER IS AVAILABLE AS OPTIONAL AND CAN BE FITTED ON BLACK STEEL SILENCER ONLY&lt;/p&gt;_x000a_&lt;p&gt;ZARD EXHAUST WEIGHT: 4 KG&lt;/p&gt;_x000a_&lt;p&gt;THE SILENCER CAN BE FITTED ON ORIGINAL DUCATI HEADERS OR ON ZARD COLLECTOR TO HAVE BEST PERFORMANCES AND UNIQUE DESIGN.&lt;/p&gt;_x000a_&lt;p&gt;IL SILENZIATORE PUO' ESSERE MONTATO SUL COLLETTORE ORIGINALE DUCATI OPPURE SUL COLLETTORE ZARD DEDICATO, PER UN NOTEVOLE AUMENTO DELLE PERFORMANCE E UN'ESTETICA ACCATTIVANTE.&lt;/p&gt;_x000a_&lt;p&gt;HARD INCREASE, COMPARED TO THE ORIGINAL EXHAUST SYSTEM, IN TERMS OF TORQUE AND POWER AT ANY RANGE.&lt;/p&gt;_x000a_&lt;p&gt;ASTONISHING SOUND.&lt;/p&gt;_x000a_&lt;p&gt;&lt;/p&gt;"/>
    <m/>
    <s v="CARBON ENDCAP"/>
    <n v="93.69"/>
  </r>
  <r>
    <s v="1586059904-11507"/>
    <s v="https://shop.officineitalianezard.it/en/products/"/>
    <m/>
    <s v="https://shop.officineitalianezard.it/en/ducati-zard-exhaust/"/>
    <s v="DIAVEL 2011-2018"/>
    <s v="https://shop.officineitalianezard.it/en/ducati-diavel-2011-2018-exhaust/"/>
    <s v="STEEL VERSION"/>
    <x v="250"/>
    <s v="SILENCER"/>
    <s v="ZD117SSR"/>
    <s v="DUCATI DIAVEL 2011-2017"/>
    <n v="685.33"/>
    <n v="761.48"/>
    <s v="&lt;p&gt;STEEL SILENCER RACING&amp;nbsp;&lt;/p&gt;_x000a_&lt;p&gt;MACHINED FROM SOLID ALUMINIUM END-CAP&amp;nbsp;&lt;/p&gt;_x000a_&lt;p&gt;BLACK STEEL HEAT SHIELD&lt;/p&gt;_x000a_&lt;p&gt;CARBON COVER IS AVAILABLE AS OPTIONAL AND CAN BE FITTED ON BLACK STEEL SILENCER ONLY&lt;/p&gt;_x000a_&lt;p&gt;ZARD EXHAUST WEIGHT: 4 KG&lt;/p&gt;_x000a_&lt;p&gt;THE SILENCER CAN BE FITTED ON ORIGINAL DUCATI HEADERS OR ON ZARD COLLECTOR TO HAVE BEST PERFORMANCES AND UNIQUE DESIGN.&lt;/p&gt;_x000a_&lt;p&gt;IL SILENZIATORE PUO' ESSERE MONTATO SUL COLLETTORE ORIGINALE DUCATI OPPURE SUL COLLETTORE ZARD DEDICATO, PER UN NOTEVOLE AUMENTO DELLE PERFORMANCE E UN'ESTETICA ACCATTIVANTE.&lt;/p&gt;_x000a_&lt;p&gt;HARD INCREASE, COMPARED TO THE ORIGINAL EXHAUST SYSTEM, IN TERMS OF TORQUE AND POWER AT ANY RANGE.&lt;/p&gt;_x000a_&lt;p&gt;ASTONISHING SOUND.&lt;/p&gt;_x000a_&lt;p&gt;&lt;/p&gt;"/>
    <m/>
    <s v="BLACK CERAMIC COATING"/>
    <n v="0"/>
  </r>
  <r>
    <s v="1586059904-11508"/>
    <s v="https://shop.officineitalianezard.it/en/products/"/>
    <m/>
    <s v="https://shop.officineitalianezard.it/en/ducati-zard-exhaust/"/>
    <s v="DIAVEL 2011-2018"/>
    <s v="https://shop.officineitalianezard.it/en/ducati-diavel-2011-2018-exhaust/"/>
    <s v="STEEL VERSION"/>
    <x v="250"/>
    <s v="SILENCER"/>
    <s v="ZD117SSR"/>
    <s v="DUCATI DIAVEL 2011-2017"/>
    <n v="685.33"/>
    <n v="761.48"/>
    <s v="&lt;p&gt;STEEL SILENCER RACING&amp;nbsp;&lt;/p&gt;_x000a_&lt;p&gt;MACHINED FROM SOLID ALUMINIUM END-CAP&amp;nbsp;&lt;/p&gt;_x000a_&lt;p&gt;BLACK STEEL HEAT SHIELD&lt;/p&gt;_x000a_&lt;p&gt;CARBON COVER IS AVAILABLE AS OPTIONAL AND CAN BE FITTED ON BLACK STEEL SILENCER ONLY&lt;/p&gt;_x000a_&lt;p&gt;ZARD EXHAUST WEIGHT: 4 KG&lt;/p&gt;_x000a_&lt;p&gt;THE SILENCER CAN BE FITTED ON ORIGINAL DUCATI HEADERS OR ON ZARD COLLECTOR TO HAVE BEST PERFORMANCES AND UNIQUE DESIGN.&lt;/p&gt;_x000a_&lt;p&gt;IL SILENZIATORE PUO' ESSERE MONTATO SUL COLLETTORE ORIGINALE DUCATI OPPURE SUL COLLETTORE ZARD DEDICATO, PER UN NOTEVOLE AUMENTO DELLE PERFORMANCE E UN'ESTETICA ACCATTIVANTE.&lt;/p&gt;_x000a_&lt;p&gt;HARD INCREASE, COMPARED TO THE ORIGINAL EXHAUST SYSTEM, IN TERMS OF TORQUE AND POWER AT ANY RANGE.&lt;/p&gt;_x000a_&lt;p&gt;ASTONISHING SOUND.&lt;/p&gt;_x000a_&lt;p&gt;&lt;/p&gt;"/>
    <m/>
    <s v="BLACK ENDCAP"/>
    <n v="42.05"/>
  </r>
  <r>
    <s v="1586059904-11509"/>
    <s v="https://shop.officineitalianezard.it/en/products/"/>
    <m/>
    <s v="https://shop.officineitalianezard.it/en/ducati-zard-exhaust/"/>
    <s v="DIAVEL 2011-2018"/>
    <s v="https://shop.officineitalianezard.it/en/ducati-diavel-2011-2018-exhaust/"/>
    <s v="STEEL VERSION"/>
    <x v="250"/>
    <s v="SILENCER"/>
    <s v="ZD117SSR"/>
    <s v="DUCATI DIAVEL 2011-2017"/>
    <n v="685.33"/>
    <n v="761.48"/>
    <s v="&lt;p&gt;STEEL SILENCER RACING&amp;nbsp;&lt;/p&gt;_x000a_&lt;p&gt;MACHINED FROM SOLID ALUMINIUM END-CAP&amp;nbsp;&lt;/p&gt;_x000a_&lt;p&gt;BLACK STEEL HEAT SHIELD&lt;/p&gt;_x000a_&lt;p&gt;CARBON COVER IS AVAILABLE AS OPTIONAL AND CAN BE FITTED ON BLACK STEEL SILENCER ONLY&lt;/p&gt;_x000a_&lt;p&gt;ZARD EXHAUST WEIGHT: 4 KG&lt;/p&gt;_x000a_&lt;p&gt;THE SILENCER CAN BE FITTED ON ORIGINAL DUCATI HEADERS OR ON ZARD COLLECTOR TO HAVE BEST PERFORMANCES AND UNIQUE DESIGN.&lt;/p&gt;_x000a_&lt;p&gt;IL SILENZIATORE PUO' ESSERE MONTATO SUL COLLETTORE ORIGINALE DUCATI OPPURE SUL COLLETTORE ZARD DEDICATO, PER UN NOTEVOLE AUMENTO DELLE PERFORMANCE E UN'ESTETICA ACCATTIVANTE.&lt;/p&gt;_x000a_&lt;p&gt;HARD INCREASE, COMPARED TO THE ORIGINAL EXHAUST SYSTEM, IN TERMS OF TORQUE AND POWER AT ANY RANGE.&lt;/p&gt;_x000a_&lt;p&gt;ASTONISHING SOUND.&lt;/p&gt;_x000a_&lt;p&gt;&lt;/p&gt;"/>
    <m/>
    <s v="CARBON SILENCER COVER"/>
    <n v="217.62"/>
  </r>
  <r>
    <s v="1586059904-11510"/>
    <s v="https://shop.officineitalianezard.it/en/products/"/>
    <m/>
    <s v="https://shop.officineitalianezard.it/en/ducati-zard-exhaust/"/>
    <s v="DIAVEL 2011-2018"/>
    <s v="https://shop.officineitalianezard.it/en/ducati-diavel-2011-2018-exhaust/"/>
    <s v="STEEL VERSION"/>
    <x v="250"/>
    <s v="SILENCER"/>
    <s v="ZD117SSR"/>
    <s v="DUCATI DIAVEL 2011-2017"/>
    <n v="685.33"/>
    <n v="761.48"/>
    <s v="&lt;p&gt;STEEL SILENCER RACING&amp;nbsp;&lt;/p&gt;_x000a_&lt;p&gt;MACHINED FROM SOLID ALUMINIUM END-CAP&amp;nbsp;&lt;/p&gt;_x000a_&lt;p&gt;BLACK STEEL HEAT SHIELD&lt;/p&gt;_x000a_&lt;p&gt;CARBON COVER IS AVAILABLE AS OPTIONAL AND CAN BE FITTED ON BLACK STEEL SILENCER ONLY&lt;/p&gt;_x000a_&lt;p&gt;ZARD EXHAUST WEIGHT: 4 KG&lt;/p&gt;_x000a_&lt;p&gt;THE SILENCER CAN BE FITTED ON ORIGINAL DUCATI HEADERS OR ON ZARD COLLECTOR TO HAVE BEST PERFORMANCES AND UNIQUE DESIGN.&lt;/p&gt;_x000a_&lt;p&gt;IL SILENZIATORE PUO' ESSERE MONTATO SUL COLLETTORE ORIGINALE DUCATI OPPURE SUL COLLETTORE ZARD DEDICATO, PER UN NOTEVOLE AUMENTO DELLE PERFORMANCE E UN'ESTETICA ACCATTIVANTE.&lt;/p&gt;_x000a_&lt;p&gt;HARD INCREASE, COMPARED TO THE ORIGINAL EXHAUST SYSTEM, IN TERMS OF TORQUE AND POWER AT ANY RANGE.&lt;/p&gt;_x000a_&lt;p&gt;ASTONISHING SOUND.&lt;/p&gt;_x000a_&lt;p&gt;&lt;/p&gt;"/>
    <m/>
    <s v="BLACK COATING FOR ORIGINAL HEADERS PIPE"/>
    <n v="216.15"/>
  </r>
  <r>
    <s v="1586059904-11511"/>
    <s v="https://shop.officineitalianezard.it/en/products/"/>
    <m/>
    <s v="https://shop.officineitalianezard.it/en/ducati-zard-exhaust/"/>
    <s v="DIAVEL 2011-2018"/>
    <s v="https://shop.officineitalianezard.it/en/ducati-diavel-2011-2018-exhaust/"/>
    <s v="STEEL VERSION"/>
    <x v="250"/>
    <s v="SILENCER"/>
    <s v="ZD117SSR"/>
    <s v="DUCATI DIAVEL 2011-2017"/>
    <n v="685.33"/>
    <n v="761.48"/>
    <s v="&lt;p&gt;STEEL SILENCER RACING&amp;nbsp;&lt;/p&gt;_x000a_&lt;p&gt;MACHINED FROM SOLID ALUMINIUM END-CAP&amp;nbsp;&lt;/p&gt;_x000a_&lt;p&gt;BLACK STEEL HEAT SHIELD&lt;/p&gt;_x000a_&lt;p&gt;CARBON COVER IS AVAILABLE AS OPTIONAL AND CAN BE FITTED ON BLACK STEEL SILENCER ONLY&lt;/p&gt;_x000a_&lt;p&gt;ZARD EXHAUST WEIGHT: 4 KG&lt;/p&gt;_x000a_&lt;p&gt;THE SILENCER CAN BE FITTED ON ORIGINAL DUCATI HEADERS OR ON ZARD COLLECTOR TO HAVE BEST PERFORMANCES AND UNIQUE DESIGN.&lt;/p&gt;_x000a_&lt;p&gt;IL SILENZIATORE PUO' ESSERE MONTATO SUL COLLETTORE ORIGINALE DUCATI OPPURE SUL COLLETTORE ZARD DEDICATO, PER UN NOTEVOLE AUMENTO DELLE PERFORMANCE E UN'ESTETICA ACCATTIVANTE.&lt;/p&gt;_x000a_&lt;p&gt;HARD INCREASE, COMPARED TO THE ORIGINAL EXHAUST SYSTEM, IN TERMS OF TORQUE AND POWER AT ANY RANGE.&lt;/p&gt;_x000a_&lt;p&gt;ASTONISHING SOUND.&lt;/p&gt;_x000a_&lt;p&gt;&lt;/p&gt;"/>
    <m/>
    <s v="EURO 3 HOMOLOGATED"/>
    <n v="61.97"/>
  </r>
  <r>
    <s v="1586059910-11512"/>
    <s v="https://shop.officineitalianezard.it/en/products/"/>
    <m/>
    <s v="https://shop.officineitalianezard.it/en/ducati-zard-exhaust/"/>
    <s v="1199 PANIGALE"/>
    <s v="https://shop.officineitalianezard.it/en/ducati-1199-panigale-exhaust/"/>
    <s v="UNDERSEAT VERSION"/>
    <x v="251"/>
    <s v="2&gt;1&gt;2 FULL KIT"/>
    <s v="ZD1199SKR-1"/>
    <s v="DUCATI 1199 PANIGALE"/>
    <n v="1740.25"/>
    <n v="1933.61"/>
    <s v="&lt;p&gt;2&amp;gt;1&amp;gt;2 STEEL-ALUMINIUM BLACK FULL KIT RACING WITH REMOVABLE DB KILLER&lt;/p&gt;_x000a_&lt;p&gt;THE EXHAUST CAN BE FITTED ONLY MODIFYING ORIGINAL TAIL OR USING OPTIONAL ZARD RESIN TAIL.&lt;/p&gt;_x000a_&lt;p&gt;ORIGINAL FULL KIT WEIGHT: KG 10&lt;br&gt;ZARD STEEL-ALUMINIUM WEIGHT: KG 6.2&lt;br&gt;HEADERS DIAMETERS: 60.3 TO 63.5mm&lt;/p&gt;_x000a_&lt;p&gt;CARBON END-CAPS.&lt;/p&gt;_x000a_&lt;p&gt;HARD INCREASE, COMPARED TO THE ORIGINAL EXHAUST SYSTEM, IN TERMS OF TORQUE AND POWER (+20 HP) AT MEDIUM RANGE.&lt;/p&gt;_x000a_&lt;p&gt;ASTONISHING SOUND.&lt;/p&gt;_x000a_&lt;p&gt;&lt;/p&gt;"/>
    <s v="https://shop.officineitalianezard.it/contents/imgs/products/1_530-DSCN2898.jpg"/>
    <m/>
    <m/>
  </r>
  <r>
    <s v="1586059910-11513"/>
    <s v="https://shop.officineitalianezard.it/en/products/"/>
    <m/>
    <s v="https://shop.officineitalianezard.it/en/ducati-zard-exhaust/"/>
    <s v="1199 PANIGALE"/>
    <s v="https://shop.officineitalianezard.it/en/ducati-1199-panigale-exhaust/"/>
    <s v="UNDERSEAT VERSION"/>
    <x v="251"/>
    <s v="2&gt;1&gt;2 FULL KIT"/>
    <s v="ZD1199SKR-1"/>
    <s v="DUCATI 1199 PANIGALE"/>
    <n v="1740.25"/>
    <n v="1933.61"/>
    <s v="&lt;p&gt;2&amp;gt;1&amp;gt;2 STEEL-ALUMINIUM BLACK FULL KIT RACING WITH REMOVABLE DB KILLER&lt;/p&gt;_x000a_&lt;p&gt;THE EXHAUST CAN BE FITTED ONLY MODIFYING ORIGINAL TAIL OR USING OPTIONAL ZARD RESIN TAIL.&lt;/p&gt;_x000a_&lt;p&gt;ORIGINAL FULL KIT WEIGHT: KG 10&lt;br&gt;ZARD STEEL-ALUMINIUM WEIGHT: KG 6.2&lt;br&gt;HEADERS DIAMETERS: 60.3 TO 63.5mm&lt;/p&gt;_x000a_&lt;p&gt;CARBON END-CAPS.&lt;/p&gt;_x000a_&lt;p&gt;HARD INCREASE, COMPARED TO THE ORIGINAL EXHAUST SYSTEM, IN TERMS OF TORQUE AND POWER (+20 HP) AT MEDIUM RANGE.&lt;/p&gt;_x000a_&lt;p&gt;ASTONISHING SOUND.&lt;/p&gt;_x000a_&lt;p&gt;&lt;/p&gt;"/>
    <s v="https://shop.officineitalianezard.it/contents/imgs/products/1_279-panigalezard3.jpg"/>
    <m/>
    <m/>
  </r>
  <r>
    <s v="1586059910-11514"/>
    <s v="https://shop.officineitalianezard.it/en/products/"/>
    <m/>
    <s v="https://shop.officineitalianezard.it/en/ducati-zard-exhaust/"/>
    <s v="1199 PANIGALE"/>
    <s v="https://shop.officineitalianezard.it/en/ducati-1199-panigale-exhaust/"/>
    <s v="UNDERSEAT VERSION"/>
    <x v="251"/>
    <s v="2&gt;1&gt;2 FULL KIT"/>
    <s v="ZD1199SKR-1"/>
    <s v="DUCATI 1199 PANIGALE"/>
    <n v="1740.25"/>
    <n v="1933.61"/>
    <s v="&lt;p&gt;2&amp;gt;1&amp;gt;2 STEEL-ALUMINIUM BLACK FULL KIT RACING WITH REMOVABLE DB KILLER&lt;/p&gt;_x000a_&lt;p&gt;THE EXHAUST CAN BE FITTED ONLY MODIFYING ORIGINAL TAIL OR USING OPTIONAL ZARD RESIN TAIL.&lt;/p&gt;_x000a_&lt;p&gt;ORIGINAL FULL KIT WEIGHT: KG 10&lt;br&gt;ZARD STEEL-ALUMINIUM WEIGHT: KG 6.2&lt;br&gt;HEADERS DIAMETERS: 60.3 TO 63.5mm&lt;/p&gt;_x000a_&lt;p&gt;CARBON END-CAPS.&lt;/p&gt;_x000a_&lt;p&gt;HARD INCREASE, COMPARED TO THE ORIGINAL EXHAUST SYSTEM, IN TERMS OF TORQUE AND POWER (+20 HP) AT MEDIUM RANGE.&lt;/p&gt;_x000a_&lt;p&gt;ASTONISHING SOUND.&lt;/p&gt;_x000a_&lt;p&gt;&lt;/p&gt;"/>
    <s v="https://shop.officineitalianezard.it/contents/imgs/products/1_1048-ducati%20panigale%20exhaust%20by%20zard.jpg"/>
    <m/>
    <m/>
  </r>
  <r>
    <s v="1586059910-11515"/>
    <s v="https://shop.officineitalianezard.it/en/products/"/>
    <m/>
    <s v="https://shop.officineitalianezard.it/en/ducati-zard-exhaust/"/>
    <s v="1199 PANIGALE"/>
    <s v="https://shop.officineitalianezard.it/en/ducati-1199-panigale-exhaust/"/>
    <s v="UNDERSEAT VERSION"/>
    <x v="251"/>
    <s v="2&gt;1&gt;2 FULL KIT"/>
    <s v="ZD1199SKR-1"/>
    <s v="DUCATI 1199 PANIGALE"/>
    <n v="1740.25"/>
    <n v="1933.61"/>
    <s v="&lt;p&gt;2&amp;gt;1&amp;gt;2 STEEL-ALUMINIUM BLACK FULL KIT RACING WITH REMOVABLE DB KILLER&lt;/p&gt;_x000a_&lt;p&gt;THE EXHAUST CAN BE FITTED ONLY MODIFYING ORIGINAL TAIL OR USING OPTIONAL ZARD RESIN TAIL.&lt;/p&gt;_x000a_&lt;p&gt;ORIGINAL FULL KIT WEIGHT: KG 10&lt;br&gt;ZARD STEEL-ALUMINIUM WEIGHT: KG 6.2&lt;br&gt;HEADERS DIAMETERS: 60.3 TO 63.5mm&lt;/p&gt;_x000a_&lt;p&gt;CARBON END-CAPS.&lt;/p&gt;_x000a_&lt;p&gt;HARD INCREASE, COMPARED TO THE ORIGINAL EXHAUST SYSTEM, IN TERMS OF TORQUE AND POWER (+20 HP) AT MEDIUM RANGE.&lt;/p&gt;_x000a_&lt;p&gt;ASTONISHING SOUND.&lt;/p&gt;_x000a_&lt;p&gt;&lt;/p&gt;"/>
    <s v="https://shop.officineitalianezard.it/contents/imgs/products/1_1045-saldature%20zard.jpg"/>
    <m/>
    <m/>
  </r>
  <r>
    <s v="1586059910-11516"/>
    <s v="https://shop.officineitalianezard.it/en/products/"/>
    <m/>
    <s v="https://shop.officineitalianezard.it/en/ducati-zard-exhaust/"/>
    <s v="1199 PANIGALE"/>
    <s v="https://shop.officineitalianezard.it/en/ducati-1199-panigale-exhaust/"/>
    <s v="UNDERSEAT VERSION"/>
    <x v="251"/>
    <s v="2&gt;1&gt;2 FULL KIT"/>
    <s v="ZD1199SKR-1"/>
    <s v="DUCATI 1199 PANIGALE"/>
    <n v="1740.25"/>
    <n v="1933.61"/>
    <s v="&lt;p&gt;2&amp;gt;1&amp;gt;2 STEEL-ALUMINIUM BLACK FULL KIT RACING WITH REMOVABLE DB KILLER&lt;/p&gt;_x000a_&lt;p&gt;THE EXHAUST CAN BE FITTED ONLY MODIFYING ORIGINAL TAIL OR USING OPTIONAL ZARD RESIN TAIL.&lt;/p&gt;_x000a_&lt;p&gt;ORIGINAL FULL KIT WEIGHT: KG 10&lt;br&gt;ZARD STEEL-ALUMINIUM WEIGHT: KG 6.2&lt;br&gt;HEADERS DIAMETERS: 60.3 TO 63.5mm&lt;/p&gt;_x000a_&lt;p&gt;CARBON END-CAPS.&lt;/p&gt;_x000a_&lt;p&gt;HARD INCREASE, COMPARED TO THE ORIGINAL EXHAUST SYSTEM, IN TERMS OF TORQUE AND POWER (+20 HP) AT MEDIUM RANGE.&lt;/p&gt;_x000a_&lt;p&gt;ASTONISHING SOUND.&lt;/p&gt;_x000a_&lt;p&gt;&lt;/p&gt;"/>
    <m/>
    <s v="RAW RESIN TAIL KIT WHITE"/>
    <n v="154.18"/>
  </r>
  <r>
    <s v="1586059910-11517"/>
    <s v="https://shop.officineitalianezard.it/en/products/"/>
    <m/>
    <s v="https://shop.officineitalianezard.it/en/ducati-zard-exhaust/"/>
    <s v="1199 PANIGALE"/>
    <s v="https://shop.officineitalianezard.it/en/ducati-1199-panigale-exhaust/"/>
    <s v="UNDERSEAT VERSION"/>
    <x v="251"/>
    <s v="2&gt;1&gt;2 FULL KIT"/>
    <s v="ZD1199SKR-1"/>
    <s v="DUCATI 1199 PANIGALE"/>
    <n v="1740.25"/>
    <n v="1933.61"/>
    <s v="&lt;p&gt;2&amp;gt;1&amp;gt;2 STEEL-ALUMINIUM BLACK FULL KIT RACING WITH REMOVABLE DB KILLER&lt;/p&gt;_x000a_&lt;p&gt;THE EXHAUST CAN BE FITTED ONLY MODIFYING ORIGINAL TAIL OR USING OPTIONAL ZARD RESIN TAIL.&lt;/p&gt;_x000a_&lt;p&gt;ORIGINAL FULL KIT WEIGHT: KG 10&lt;br&gt;ZARD STEEL-ALUMINIUM WEIGHT: KG 6.2&lt;br&gt;HEADERS DIAMETERS: 60.3 TO 63.5mm&lt;/p&gt;_x000a_&lt;p&gt;CARBON END-CAPS.&lt;/p&gt;_x000a_&lt;p&gt;HARD INCREASE, COMPARED TO THE ORIGINAL EXHAUST SYSTEM, IN TERMS OF TORQUE AND POWER (+20 HP) AT MEDIUM RANGE.&lt;/p&gt;_x000a_&lt;p&gt;ASTONISHING SOUND.&lt;/p&gt;_x000a_&lt;p&gt;&lt;/p&gt;"/>
    <m/>
    <s v="FULL TITANIUM"/>
    <n v="1024.67"/>
  </r>
  <r>
    <s v="1586059910-11518"/>
    <s v="https://shop.officineitalianezard.it/en/products/"/>
    <m/>
    <s v="https://shop.officineitalianezard.it/en/ducati-zard-exhaust/"/>
    <s v="1199 PANIGALE"/>
    <s v="https://shop.officineitalianezard.it/en/ducati-1199-panigale-exhaust/"/>
    <s v="UNDERSEAT VERSION"/>
    <x v="251"/>
    <s v="2&gt;1&gt;2 FULL KIT"/>
    <s v="ZD1199SKR-1"/>
    <s v="DUCATI 1199 PANIGALE"/>
    <n v="1740.25"/>
    <n v="1933.61"/>
    <s v="&lt;p&gt;2&amp;gt;1&amp;gt;2 STEEL-ALUMINIUM BLACK FULL KIT RACING WITH REMOVABLE DB KILLER&lt;/p&gt;_x000a_&lt;p&gt;THE EXHAUST CAN BE FITTED ONLY MODIFYING ORIGINAL TAIL OR USING OPTIONAL ZARD RESIN TAIL.&lt;/p&gt;_x000a_&lt;p&gt;ORIGINAL FULL KIT WEIGHT: KG 10&lt;br&gt;ZARD STEEL-ALUMINIUM WEIGHT: KG 6.2&lt;br&gt;HEADERS DIAMETERS: 60.3 TO 63.5mm&lt;/p&gt;_x000a_&lt;p&gt;CARBON END-CAPS.&lt;/p&gt;_x000a_&lt;p&gt;HARD INCREASE, COMPARED TO THE ORIGINAL EXHAUST SYSTEM, IN TERMS OF TORQUE AND POWER (+20 HP) AT MEDIUM RANGE.&lt;/p&gt;_x000a_&lt;p&gt;ASTONISHING SOUND.&lt;/p&gt;_x000a_&lt;p&gt;&lt;/p&gt;"/>
    <m/>
    <s v="STEEL HEADERS KIT + TITANIUM"/>
    <n v="497.95"/>
  </r>
  <r>
    <s v="1586059912-11519"/>
    <s v="https://shop.officineitalianezard.it/en/products/"/>
    <m/>
    <s v="https://shop.officineitalianezard.it/en/ducati-zard-exhaust/"/>
    <s v="1199 PANIGALE"/>
    <s v="https://shop.officineitalianezard.it/en/ducati-1199-panigale-exhaust/"/>
    <s v="2&gt;1&gt;2 VERSION"/>
    <x v="252"/>
    <s v="FULL KIT"/>
    <s v="ZD1199SKR-2"/>
    <s v="DUCATI 1199 PANIGALE"/>
    <n v="1534.43"/>
    <n v="1704.92"/>
    <s v="&lt;p&gt;2&amp;gt;1&amp;gt;2 STEEL RACING FULL KIT&lt;/p&gt;_x000a_&lt;p&gt;ORIGINAL EXHAUST WEIGHT: 10 KG&lt;br&gt;STEEL FULL KIT ZARD WEIGHT: 6.6 KG&lt;br&gt;TITANIUM FULL KIT ZARD WEIGHT: 4.5 KG&lt;/p&gt;_x000a_&lt;p&gt;HARD INCREASE, COMPARED TO THE ORIGINAL EXHAUST SYSTEM, IN TERMS OF TORQUE AND POWER AT ANY RANGE.&lt;/p&gt;_x000a_&lt;p&gt;FITTING KIT INCLUDED.&lt;/p&gt;_x000a_&lt;p&gt;NOTE: ORIGINAL HORIZONTAL PIPE HAS NOT BE REMOVED, BACK HEADER PIPE IS STEEL&lt;/p&gt;_x000a_&lt;p&gt;&lt;span&gt;THE INSTALLATION OF ZARD EXHAUST DOES NOT IMPLY ANY MODIFICATION TO ECU.&lt;/span&gt;&lt;br&gt;&lt;span&gt;THE BOX INCLUDES ALL PARTS FOR THE FITMENT OF ZARD EXHAUST.&lt;/span&gt;&lt;/p&gt;_x000a_&lt;p&gt;&lt;span&gt;'GOLD' VERSION END CAPS HAVE A GOLD FINISH, BLACK END CAPS ARE PAINTED WITH HIGH TEMPERATURE RESISTANT COATING FORMULATED TO WITHSTAND INTERNAL EXHAUST GAS TEMPERATURES OF OVER 2,000 DEGREES FAHRENHEIT.&amp;nbsp;&lt;/span&gt;&lt;/p&gt;"/>
    <s v="https://shop.officineitalianezard.it/contents/imgs/products/1_1906-1%20ducati%20panigale%201199%20scarichi%20zard.jpg"/>
    <m/>
    <m/>
  </r>
  <r>
    <s v="1586059912-11520"/>
    <s v="https://shop.officineitalianezard.it/en/products/"/>
    <m/>
    <s v="https://shop.officineitalianezard.it/en/ducati-zard-exhaust/"/>
    <s v="1199 PANIGALE"/>
    <s v="https://shop.officineitalianezard.it/en/ducati-1199-panigale-exhaust/"/>
    <s v="2&gt;1&gt;2 VERSION"/>
    <x v="252"/>
    <s v="FULL KIT"/>
    <s v="ZD1199SKR-2"/>
    <s v="DUCATI 1199 PANIGALE"/>
    <n v="1534.43"/>
    <n v="1704.92"/>
    <s v="&lt;p&gt;2&amp;gt;1&amp;gt;2 STEEL RACING FULL KIT&lt;/p&gt;_x000a_&lt;p&gt;ORIGINAL EXHAUST WEIGHT: 10 KG&lt;br&gt;STEEL FULL KIT ZARD WEIGHT: 6.6 KG&lt;br&gt;TITANIUM FULL KIT ZARD WEIGHT: 4.5 KG&lt;/p&gt;_x000a_&lt;p&gt;HARD INCREASE, COMPARED TO THE ORIGINAL EXHAUST SYSTEM, IN TERMS OF TORQUE AND POWER AT ANY RANGE.&lt;/p&gt;_x000a_&lt;p&gt;FITTING KIT INCLUDED.&lt;/p&gt;_x000a_&lt;p&gt;NOTE: ORIGINAL HORIZONTAL PIPE HAS NOT BE REMOVED, BACK HEADER PIPE IS STEEL&lt;/p&gt;_x000a_&lt;p&gt;&lt;span&gt;THE INSTALLATION OF ZARD EXHAUST DOES NOT IMPLY ANY MODIFICATION TO ECU.&lt;/span&gt;&lt;br&gt;&lt;span&gt;THE BOX INCLUDES ALL PARTS FOR THE FITMENT OF ZARD EXHAUST.&lt;/span&gt;&lt;/p&gt;_x000a_&lt;p&gt;&lt;span&gt;'GOLD' VERSION END CAPS HAVE A GOLD FINISH, BLACK END CAPS ARE PAINTED WITH HIGH TEMPERATURE RESISTANT COATING FORMULATED TO WITHSTAND INTERNAL EXHAUST GAS TEMPERATURES OF OVER 2,000 DEGREES FAHRENHEIT.&amp;nbsp;&lt;/span&gt;&lt;/p&gt;"/>
    <s v="https://shop.officineitalianezard.it/contents/imgs/products/1_1910-2%20panigale%201199%20scarichi%20zard%20exhaust.jpg"/>
    <m/>
    <m/>
  </r>
  <r>
    <s v="1586059912-11521"/>
    <s v="https://shop.officineitalianezard.it/en/products/"/>
    <m/>
    <s v="https://shop.officineitalianezard.it/en/ducati-zard-exhaust/"/>
    <s v="1199 PANIGALE"/>
    <s v="https://shop.officineitalianezard.it/en/ducati-1199-panigale-exhaust/"/>
    <s v="2&gt;1&gt;2 VERSION"/>
    <x v="252"/>
    <s v="FULL KIT"/>
    <s v="ZD1199SKR-2"/>
    <s v="DUCATI 1199 PANIGALE"/>
    <n v="1534.43"/>
    <n v="1704.92"/>
    <s v="&lt;p&gt;2&amp;gt;1&amp;gt;2 STEEL RACING FULL KIT&lt;/p&gt;_x000a_&lt;p&gt;ORIGINAL EXHAUST WEIGHT: 10 KG&lt;br&gt;STEEL FULL KIT ZARD WEIGHT: 6.6 KG&lt;br&gt;TITANIUM FULL KIT ZARD WEIGHT: 4.5 KG&lt;/p&gt;_x000a_&lt;p&gt;HARD INCREASE, COMPARED TO THE ORIGINAL EXHAUST SYSTEM, IN TERMS OF TORQUE AND POWER AT ANY RANGE.&lt;/p&gt;_x000a_&lt;p&gt;FITTING KIT INCLUDED.&lt;/p&gt;_x000a_&lt;p&gt;NOTE: ORIGINAL HORIZONTAL PIPE HAS NOT BE REMOVED, BACK HEADER PIPE IS STEEL&lt;/p&gt;_x000a_&lt;p&gt;&lt;span&gt;THE INSTALLATION OF ZARD EXHAUST DOES NOT IMPLY ANY MODIFICATION TO ECU.&lt;/span&gt;&lt;br&gt;&lt;span&gt;THE BOX INCLUDES ALL PARTS FOR THE FITMENT OF ZARD EXHAUST.&lt;/span&gt;&lt;/p&gt;_x000a_&lt;p&gt;&lt;span&gt;'GOLD' VERSION END CAPS HAVE A GOLD FINISH, BLACK END CAPS ARE PAINTED WITH HIGH TEMPERATURE RESISTANT COATING FORMULATED TO WITHSTAND INTERNAL EXHAUST GAS TEMPERATURES OF OVER 2,000 DEGREES FAHRENHEIT.&amp;nbsp;&lt;/span&gt;&lt;/p&gt;"/>
    <s v="https://shop.officineitalianezard.it/contents/imgs/products/1_1909-3%20ducati%20panigale%201199%20zard.jpg"/>
    <m/>
    <m/>
  </r>
  <r>
    <s v="1586059912-11522"/>
    <s v="https://shop.officineitalianezard.it/en/products/"/>
    <m/>
    <s v="https://shop.officineitalianezard.it/en/ducati-zard-exhaust/"/>
    <s v="1199 PANIGALE"/>
    <s v="https://shop.officineitalianezard.it/en/ducati-1199-panigale-exhaust/"/>
    <s v="2&gt;1&gt;2 VERSION"/>
    <x v="252"/>
    <s v="FULL KIT"/>
    <s v="ZD1199SKR-2"/>
    <s v="DUCATI 1199 PANIGALE"/>
    <n v="1534.43"/>
    <n v="1704.92"/>
    <s v="&lt;p&gt;2&amp;gt;1&amp;gt;2 STEEL RACING FULL KIT&lt;/p&gt;_x000a_&lt;p&gt;ORIGINAL EXHAUST WEIGHT: 10 KG&lt;br&gt;STEEL FULL KIT ZARD WEIGHT: 6.6 KG&lt;br&gt;TITANIUM FULL KIT ZARD WEIGHT: 4.5 KG&lt;/p&gt;_x000a_&lt;p&gt;HARD INCREASE, COMPARED TO THE ORIGINAL EXHAUST SYSTEM, IN TERMS OF TORQUE AND POWER AT ANY RANGE.&lt;/p&gt;_x000a_&lt;p&gt;FITTING KIT INCLUDED.&lt;/p&gt;_x000a_&lt;p&gt;NOTE: ORIGINAL HORIZONTAL PIPE HAS NOT BE REMOVED, BACK HEADER PIPE IS STEEL&lt;/p&gt;_x000a_&lt;p&gt;&lt;span&gt;THE INSTALLATION OF ZARD EXHAUST DOES NOT IMPLY ANY MODIFICATION TO ECU.&lt;/span&gt;&lt;br&gt;&lt;span&gt;THE BOX INCLUDES ALL PARTS FOR THE FITMENT OF ZARD EXHAUST.&lt;/span&gt;&lt;/p&gt;_x000a_&lt;p&gt;&lt;span&gt;'GOLD' VERSION END CAPS HAVE A GOLD FINISH, BLACK END CAPS ARE PAINTED WITH HIGH TEMPERATURE RESISTANT COATING FORMULATED TO WITHSTAND INTERNAL EXHAUST GAS TEMPERATURES OF OVER 2,000 DEGREES FAHRENHEIT.&amp;nbsp;&lt;/span&gt;&lt;/p&gt;"/>
    <s v="https://shop.officineitalianezard.it/contents/imgs/products/1_1908-4%20ducati%20panigale%201199%20exhaust.jpg"/>
    <m/>
    <m/>
  </r>
  <r>
    <s v="1586059912-11523"/>
    <s v="https://shop.officineitalianezard.it/en/products/"/>
    <m/>
    <s v="https://shop.officineitalianezard.it/en/ducati-zard-exhaust/"/>
    <s v="1199 PANIGALE"/>
    <s v="https://shop.officineitalianezard.it/en/ducati-1199-panigale-exhaust/"/>
    <s v="2&gt;1&gt;2 VERSION"/>
    <x v="252"/>
    <s v="FULL KIT"/>
    <s v="ZD1199SKR-2"/>
    <s v="DUCATI 1199 PANIGALE"/>
    <n v="1534.43"/>
    <n v="1704.92"/>
    <s v="&lt;p&gt;2&amp;gt;1&amp;gt;2 STEEL RACING FULL KIT&lt;/p&gt;_x000a_&lt;p&gt;ORIGINAL EXHAUST WEIGHT: 10 KG&lt;br&gt;STEEL FULL KIT ZARD WEIGHT: 6.6 KG&lt;br&gt;TITANIUM FULL KIT ZARD WEIGHT: 4.5 KG&lt;/p&gt;_x000a_&lt;p&gt;HARD INCREASE, COMPARED TO THE ORIGINAL EXHAUST SYSTEM, IN TERMS OF TORQUE AND POWER AT ANY RANGE.&lt;/p&gt;_x000a_&lt;p&gt;FITTING KIT INCLUDED.&lt;/p&gt;_x000a_&lt;p&gt;NOTE: ORIGINAL HORIZONTAL PIPE HAS NOT BE REMOVED, BACK HEADER PIPE IS STEEL&lt;/p&gt;_x000a_&lt;p&gt;&lt;span&gt;THE INSTALLATION OF ZARD EXHAUST DOES NOT IMPLY ANY MODIFICATION TO ECU.&lt;/span&gt;&lt;br&gt;&lt;span&gt;THE BOX INCLUDES ALL PARTS FOR THE FITMENT OF ZARD EXHAUST.&lt;/span&gt;&lt;/p&gt;_x000a_&lt;p&gt;&lt;span&gt;'GOLD' VERSION END CAPS HAVE A GOLD FINISH, BLACK END CAPS ARE PAINTED WITH HIGH TEMPERATURE RESISTANT COATING FORMULATED TO WITHSTAND INTERNAL EXHAUST GAS TEMPERATURES OF OVER 2,000 DEGREES FAHRENHEIT.&amp;nbsp;&lt;/span&gt;&lt;/p&gt;"/>
    <s v="https://shop.officineitalianezard.it/contents/imgs/products/1_1911-5%20ducati%20panigale%201199%20exhaust.jpg"/>
    <m/>
    <m/>
  </r>
  <r>
    <s v="1586059912-11524"/>
    <s v="https://shop.officineitalianezard.it/en/products/"/>
    <m/>
    <s v="https://shop.officineitalianezard.it/en/ducati-zard-exhaust/"/>
    <s v="1199 PANIGALE"/>
    <s v="https://shop.officineitalianezard.it/en/ducati-1199-panigale-exhaust/"/>
    <s v="2&gt;1&gt;2 VERSION"/>
    <x v="252"/>
    <s v="FULL KIT"/>
    <s v="ZD1199SKR-2"/>
    <s v="DUCATI 1199 PANIGALE"/>
    <n v="1534.43"/>
    <n v="1704.92"/>
    <s v="&lt;p&gt;2&amp;gt;1&amp;gt;2 STEEL RACING FULL KIT&lt;/p&gt;_x000a_&lt;p&gt;ORIGINAL EXHAUST WEIGHT: 10 KG&lt;br&gt;STEEL FULL KIT ZARD WEIGHT: 6.6 KG&lt;br&gt;TITANIUM FULL KIT ZARD WEIGHT: 4.5 KG&lt;/p&gt;_x000a_&lt;p&gt;HARD INCREASE, COMPARED TO THE ORIGINAL EXHAUST SYSTEM, IN TERMS OF TORQUE AND POWER AT ANY RANGE.&lt;/p&gt;_x000a_&lt;p&gt;FITTING KIT INCLUDED.&lt;/p&gt;_x000a_&lt;p&gt;NOTE: ORIGINAL HORIZONTAL PIPE HAS NOT BE REMOVED, BACK HEADER PIPE IS STEEL&lt;/p&gt;_x000a_&lt;p&gt;&lt;span&gt;THE INSTALLATION OF ZARD EXHAUST DOES NOT IMPLY ANY MODIFICATION TO ECU.&lt;/span&gt;&lt;br&gt;&lt;span&gt;THE BOX INCLUDES ALL PARTS FOR THE FITMENT OF ZARD EXHAUST.&lt;/span&gt;&lt;/p&gt;_x000a_&lt;p&gt;&lt;span&gt;'GOLD' VERSION END CAPS HAVE A GOLD FINISH, BLACK END CAPS ARE PAINTED WITH HIGH TEMPERATURE RESISTANT COATING FORMULATED TO WITHSTAND INTERNAL EXHAUST GAS TEMPERATURES OF OVER 2,000 DEGREES FAHRENHEIT.&amp;nbsp;&lt;/span&gt;&lt;/p&gt;"/>
    <s v="https://shop.officineitalianezard.it/contents/imgs/products/1_1905-7%20ducati%20panigale%20scarichi%20zard%20959%201199.jpg"/>
    <m/>
    <m/>
  </r>
  <r>
    <s v="1586059912-11525"/>
    <s v="https://shop.officineitalianezard.it/en/products/"/>
    <m/>
    <s v="https://shop.officineitalianezard.it/en/ducati-zard-exhaust/"/>
    <s v="1199 PANIGALE"/>
    <s v="https://shop.officineitalianezard.it/en/ducati-1199-panigale-exhaust/"/>
    <s v="2&gt;1&gt;2 VERSION"/>
    <x v="252"/>
    <s v="FULL KIT"/>
    <s v="ZD1199SKR-2"/>
    <s v="DUCATI 1199 PANIGALE"/>
    <n v="1534.43"/>
    <n v="1704.92"/>
    <s v="&lt;p&gt;2&amp;gt;1&amp;gt;2 STEEL RACING FULL KIT&lt;/p&gt;_x000a_&lt;p&gt;ORIGINAL EXHAUST WEIGHT: 10 KG&lt;br&gt;STEEL FULL KIT ZARD WEIGHT: 6.6 KG&lt;br&gt;TITANIUM FULL KIT ZARD WEIGHT: 4.5 KG&lt;/p&gt;_x000a_&lt;p&gt;HARD INCREASE, COMPARED TO THE ORIGINAL EXHAUST SYSTEM, IN TERMS OF TORQUE AND POWER AT ANY RANGE.&lt;/p&gt;_x000a_&lt;p&gt;FITTING KIT INCLUDED.&lt;/p&gt;_x000a_&lt;p&gt;NOTE: ORIGINAL HORIZONTAL PIPE HAS NOT BE REMOVED, BACK HEADER PIPE IS STEEL&lt;/p&gt;_x000a_&lt;p&gt;&lt;span&gt;THE INSTALLATION OF ZARD EXHAUST DOES NOT IMPLY ANY MODIFICATION TO ECU.&lt;/span&gt;&lt;br&gt;&lt;span&gt;THE BOX INCLUDES ALL PARTS FOR THE FITMENT OF ZARD EXHAUST.&lt;/span&gt;&lt;/p&gt;_x000a_&lt;p&gt;&lt;span&gt;'GOLD' VERSION END CAPS HAVE A GOLD FINISH, BLACK END CAPS ARE PAINTED WITH HIGH TEMPERATURE RESISTANT COATING FORMULATED TO WITHSTAND INTERNAL EXHAUST GAS TEMPERATURES OF OVER 2,000 DEGREES FAHRENHEIT.&amp;nbsp;&lt;/span&gt;&lt;/p&gt;"/>
    <s v="https://shop.officineitalianezard.it/contents/imgs/products/1_1907-6%201199%20panigale%20zard%20scarichi.jpg"/>
    <m/>
    <m/>
  </r>
  <r>
    <s v="1586059912-11526"/>
    <s v="https://shop.officineitalianezard.it/en/products/"/>
    <m/>
    <s v="https://shop.officineitalianezard.it/en/ducati-zard-exhaust/"/>
    <s v="1199 PANIGALE"/>
    <s v="https://shop.officineitalianezard.it/en/ducati-1199-panigale-exhaust/"/>
    <s v="2&gt;1&gt;2 VERSION"/>
    <x v="252"/>
    <s v="FULL KIT"/>
    <s v="ZD1199SKR-2"/>
    <s v="DUCATI 1199 PANIGALE"/>
    <n v="1534.43"/>
    <n v="1704.92"/>
    <s v="&lt;p&gt;2&amp;gt;1&amp;gt;2 STEEL RACING FULL KIT&lt;/p&gt;_x000a_&lt;p&gt;ORIGINAL EXHAUST WEIGHT: 10 KG&lt;br&gt;STEEL FULL KIT ZARD WEIGHT: 6.6 KG&lt;br&gt;TITANIUM FULL KIT ZARD WEIGHT: 4.5 KG&lt;/p&gt;_x000a_&lt;p&gt;HARD INCREASE, COMPARED TO THE ORIGINAL EXHAUST SYSTEM, IN TERMS OF TORQUE AND POWER AT ANY RANGE.&lt;/p&gt;_x000a_&lt;p&gt;FITTING KIT INCLUDED.&lt;/p&gt;_x000a_&lt;p&gt;NOTE: ORIGINAL HORIZONTAL PIPE HAS NOT BE REMOVED, BACK HEADER PIPE IS STEEL&lt;/p&gt;_x000a_&lt;p&gt;&lt;span&gt;THE INSTALLATION OF ZARD EXHAUST DOES NOT IMPLY ANY MODIFICATION TO ECU.&lt;/span&gt;&lt;br&gt;&lt;span&gt;THE BOX INCLUDES ALL PARTS FOR THE FITMENT OF ZARD EXHAUST.&lt;/span&gt;&lt;/p&gt;_x000a_&lt;p&gt;&lt;span&gt;'GOLD' VERSION END CAPS HAVE A GOLD FINISH, BLACK END CAPS ARE PAINTED WITH HIGH TEMPERATURE RESISTANT COATING FORMULATED TO WITHSTAND INTERNAL EXHAUST GAS TEMPERATURES OF OVER 2,000 DEGREES FAHRENHEIT.&amp;nbsp;&lt;/span&gt;&lt;/p&gt;"/>
    <m/>
    <s v="STEEL HEADERS + TITANIUM SILENCER"/>
    <n v="496.48"/>
  </r>
  <r>
    <s v="1586059912-11527"/>
    <s v="https://shop.officineitalianezard.it/en/products/"/>
    <m/>
    <s v="https://shop.officineitalianezard.it/en/ducati-zard-exhaust/"/>
    <s v="1199 PANIGALE"/>
    <s v="https://shop.officineitalianezard.it/en/ducati-1199-panigale-exhaust/"/>
    <s v="2&gt;1&gt;2 VERSION"/>
    <x v="252"/>
    <s v="FULL KIT"/>
    <s v="ZD1199SKR-2"/>
    <s v="DUCATI 1199 PANIGALE"/>
    <n v="1534.43"/>
    <n v="1704.92"/>
    <s v="&lt;p&gt;2&amp;gt;1&amp;gt;2 STEEL RACING FULL KIT&lt;/p&gt;_x000a_&lt;p&gt;ORIGINAL EXHAUST WEIGHT: 10 KG&lt;br&gt;STEEL FULL KIT ZARD WEIGHT: 6.6 KG&lt;br&gt;TITANIUM FULL KIT ZARD WEIGHT: 4.5 KG&lt;/p&gt;_x000a_&lt;p&gt;HARD INCREASE, COMPARED TO THE ORIGINAL EXHAUST SYSTEM, IN TERMS OF TORQUE AND POWER AT ANY RANGE.&lt;/p&gt;_x000a_&lt;p&gt;FITTING KIT INCLUDED.&lt;/p&gt;_x000a_&lt;p&gt;NOTE: ORIGINAL HORIZONTAL PIPE HAS NOT BE REMOVED, BACK HEADER PIPE IS STEEL&lt;/p&gt;_x000a_&lt;p&gt;&lt;span&gt;THE INSTALLATION OF ZARD EXHAUST DOES NOT IMPLY ANY MODIFICATION TO ECU.&lt;/span&gt;&lt;br&gt;&lt;span&gt;THE BOX INCLUDES ALL PARTS FOR THE FITMENT OF ZARD EXHAUST.&lt;/span&gt;&lt;/p&gt;_x000a_&lt;p&gt;&lt;span&gt;'GOLD' VERSION END CAPS HAVE A GOLD FINISH, BLACK END CAPS ARE PAINTED WITH HIGH TEMPERATURE RESISTANT COATING FORMULATED TO WITHSTAND INTERNAL EXHAUST GAS TEMPERATURES OF OVER 2,000 DEGREES FAHRENHEIT.&amp;nbsp;&lt;/span&gt;&lt;/p&gt;"/>
    <m/>
    <s v="FULL TITANIUM"/>
    <n v="878.61"/>
  </r>
  <r>
    <s v="1586059914-11528"/>
    <s v="https://shop.officineitalianezard.it/en/products/"/>
    <m/>
    <s v="https://shop.officineitalianezard.it/en/ducati-zard-exhaust/"/>
    <s v="1199 PANIGALE"/>
    <s v="https://shop.officineitalianezard.it/en/ducati-1199-panigale-exhaust/"/>
    <s v="2&gt;1&gt;2 VERSION"/>
    <x v="253"/>
    <s v="FULL KIT"/>
    <s v="ZD1199TKR-3"/>
    <s v="DUCATI 1199 PANIGALE"/>
    <n v="2428.52"/>
    <n v="2698.36"/>
    <s v="&lt;p&gt;2&amp;gt;1&amp;gt;2 TITANIUM RACING FULL KIT&lt;/p&gt;_x000a_&lt;p&gt;A VERY SPECIAL EXHAUST TOTALLY HANDMADE AND WELDED BY OUR BEST WELDERS.&lt;/p&gt;_x000a_&lt;p&gt;ORIGINAL EXHAUST WEIGHT: 10 KG&lt;br&gt;ZARD EXHAUST WEIGHT: 4.2 KG&lt;/p&gt;_x000a_&lt;p&gt;HARD INCREASE, COMPARED TO THE ORIGINAL EXHAUST SYSTEM, IN TERMS OF TORQUE AND POWER AT ANY RANGE.&lt;/p&gt;_x000a_&lt;p&gt;FITTING KIT INCLUDED.&lt;/p&gt;_x000a_&lt;p&gt;&lt;strong&gt;NOTICE: AVAILABLE ON DEMAND ONLY. DELIVERY 4 WORKING WEEKS FROM ORDER.&lt;/strong&gt;&lt;/p&gt;_x000a_&lt;p&gt;&lt;strong&gt;FOR A PROPER FITMENT OF THE EXHAUST YOU NEED TO REMOVE THE LOWER FAIRINGS (PLEASE SEE THE PHOTOS).&lt;/strong&gt;&lt;/p&gt;_x000a_&lt;p&gt;&lt;strong&gt;THE INSTALLATION OF ZARD EXHAUST DOES NOT IMPLY ANY MODIFICATION TO ECU.&lt;/strong&gt;&lt;/p&gt;"/>
    <s v="https://shop.officineitalianezard.it/contents/imgs/products/1_1999-1.jpg"/>
    <m/>
    <m/>
  </r>
  <r>
    <s v="1586059914-11529"/>
    <s v="https://shop.officineitalianezard.it/en/products/"/>
    <m/>
    <s v="https://shop.officineitalianezard.it/en/ducati-zard-exhaust/"/>
    <s v="1199 PANIGALE"/>
    <s v="https://shop.officineitalianezard.it/en/ducati-1199-panigale-exhaust/"/>
    <s v="2&gt;1&gt;2 VERSION"/>
    <x v="253"/>
    <s v="FULL KIT"/>
    <s v="ZD1199TKR-3"/>
    <s v="DUCATI 1199 PANIGALE"/>
    <n v="2428.52"/>
    <n v="2698.36"/>
    <s v="&lt;p&gt;2&amp;gt;1&amp;gt;2 TITANIUM RACING FULL KIT&lt;/p&gt;_x000a_&lt;p&gt;A VERY SPECIAL EXHAUST TOTALLY HANDMADE AND WELDED BY OUR BEST WELDERS.&lt;/p&gt;_x000a_&lt;p&gt;ORIGINAL EXHAUST WEIGHT: 10 KG&lt;br&gt;ZARD EXHAUST WEIGHT: 4.2 KG&lt;/p&gt;_x000a_&lt;p&gt;HARD INCREASE, COMPARED TO THE ORIGINAL EXHAUST SYSTEM, IN TERMS OF TORQUE AND POWER AT ANY RANGE.&lt;/p&gt;_x000a_&lt;p&gt;FITTING KIT INCLUDED.&lt;/p&gt;_x000a_&lt;p&gt;&lt;strong&gt;NOTICE: AVAILABLE ON DEMAND ONLY. DELIVERY 4 WORKING WEEKS FROM ORDER.&lt;/strong&gt;&lt;/p&gt;_x000a_&lt;p&gt;&lt;strong&gt;FOR A PROPER FITMENT OF THE EXHAUST YOU NEED TO REMOVE THE LOWER FAIRINGS (PLEASE SEE THE PHOTOS).&lt;/strong&gt;&lt;/p&gt;_x000a_&lt;p&gt;&lt;strong&gt;THE INSTALLATION OF ZARD EXHAUST DOES NOT IMPLY ANY MODIFICATION TO ECU.&lt;/strong&gt;&lt;/p&gt;"/>
    <s v="https://shop.officineitalianezard.it/contents/imgs/products/1_2006-2.jpg"/>
    <m/>
    <m/>
  </r>
  <r>
    <s v="1586059914-11530"/>
    <s v="https://shop.officineitalianezard.it/en/products/"/>
    <m/>
    <s v="https://shop.officineitalianezard.it/en/ducati-zard-exhaust/"/>
    <s v="1199 PANIGALE"/>
    <s v="https://shop.officineitalianezard.it/en/ducati-1199-panigale-exhaust/"/>
    <s v="2&gt;1&gt;2 VERSION"/>
    <x v="253"/>
    <s v="FULL KIT"/>
    <s v="ZD1199TKR-3"/>
    <s v="DUCATI 1199 PANIGALE"/>
    <n v="2428.52"/>
    <n v="2698.36"/>
    <s v="&lt;p&gt;2&amp;gt;1&amp;gt;2 TITANIUM RACING FULL KIT&lt;/p&gt;_x000a_&lt;p&gt;A VERY SPECIAL EXHAUST TOTALLY HANDMADE AND WELDED BY OUR BEST WELDERS.&lt;/p&gt;_x000a_&lt;p&gt;ORIGINAL EXHAUST WEIGHT: 10 KG&lt;br&gt;ZARD EXHAUST WEIGHT: 4.2 KG&lt;/p&gt;_x000a_&lt;p&gt;HARD INCREASE, COMPARED TO THE ORIGINAL EXHAUST SYSTEM, IN TERMS OF TORQUE AND POWER AT ANY RANGE.&lt;/p&gt;_x000a_&lt;p&gt;FITTING KIT INCLUDED.&lt;/p&gt;_x000a_&lt;p&gt;&lt;strong&gt;NOTICE: AVAILABLE ON DEMAND ONLY. DELIVERY 4 WORKING WEEKS FROM ORDER.&lt;/strong&gt;&lt;/p&gt;_x000a_&lt;p&gt;&lt;strong&gt;FOR A PROPER FITMENT OF THE EXHAUST YOU NEED TO REMOVE THE LOWER FAIRINGS (PLEASE SEE THE PHOTOS).&lt;/strong&gt;&lt;/p&gt;_x000a_&lt;p&gt;&lt;strong&gt;THE INSTALLATION OF ZARD EXHAUST DOES NOT IMPLY ANY MODIFICATION TO ECU.&lt;/strong&gt;&lt;/p&gt;"/>
    <s v="https://shop.officineitalianezard.it/contents/imgs/products/1_2005-3.jpg"/>
    <m/>
    <m/>
  </r>
  <r>
    <s v="1586059914-11531"/>
    <s v="https://shop.officineitalianezard.it/en/products/"/>
    <m/>
    <s v="https://shop.officineitalianezard.it/en/ducati-zard-exhaust/"/>
    <s v="1199 PANIGALE"/>
    <s v="https://shop.officineitalianezard.it/en/ducati-1199-panigale-exhaust/"/>
    <s v="2&gt;1&gt;2 VERSION"/>
    <x v="253"/>
    <s v="FULL KIT"/>
    <s v="ZD1199TKR-3"/>
    <s v="DUCATI 1199 PANIGALE"/>
    <n v="2428.52"/>
    <n v="2698.36"/>
    <s v="&lt;p&gt;2&amp;gt;1&amp;gt;2 TITANIUM RACING FULL KIT&lt;/p&gt;_x000a_&lt;p&gt;A VERY SPECIAL EXHAUST TOTALLY HANDMADE AND WELDED BY OUR BEST WELDERS.&lt;/p&gt;_x000a_&lt;p&gt;ORIGINAL EXHAUST WEIGHT: 10 KG&lt;br&gt;ZARD EXHAUST WEIGHT: 4.2 KG&lt;/p&gt;_x000a_&lt;p&gt;HARD INCREASE, COMPARED TO THE ORIGINAL EXHAUST SYSTEM, IN TERMS OF TORQUE AND POWER AT ANY RANGE.&lt;/p&gt;_x000a_&lt;p&gt;FITTING KIT INCLUDED.&lt;/p&gt;_x000a_&lt;p&gt;&lt;strong&gt;NOTICE: AVAILABLE ON DEMAND ONLY. DELIVERY 4 WORKING WEEKS FROM ORDER.&lt;/strong&gt;&lt;/p&gt;_x000a_&lt;p&gt;&lt;strong&gt;FOR A PROPER FITMENT OF THE EXHAUST YOU NEED TO REMOVE THE LOWER FAIRINGS (PLEASE SEE THE PHOTOS).&lt;/strong&gt;&lt;/p&gt;_x000a_&lt;p&gt;&lt;strong&gt;THE INSTALLATION OF ZARD EXHAUST DOES NOT IMPLY ANY MODIFICATION TO ECU.&lt;/strong&gt;&lt;/p&gt;"/>
    <s v="https://shop.officineitalianezard.it/contents/imgs/products/1_2003-5.jpg"/>
    <m/>
    <m/>
  </r>
  <r>
    <s v="1586059914-11532"/>
    <s v="https://shop.officineitalianezard.it/en/products/"/>
    <m/>
    <s v="https://shop.officineitalianezard.it/en/ducati-zard-exhaust/"/>
    <s v="1199 PANIGALE"/>
    <s v="https://shop.officineitalianezard.it/en/ducati-1199-panigale-exhaust/"/>
    <s v="2&gt;1&gt;2 VERSION"/>
    <x v="253"/>
    <s v="FULL KIT"/>
    <s v="ZD1199TKR-3"/>
    <s v="DUCATI 1199 PANIGALE"/>
    <n v="2428.52"/>
    <n v="2698.36"/>
    <s v="&lt;p&gt;2&amp;gt;1&amp;gt;2 TITANIUM RACING FULL KIT&lt;/p&gt;_x000a_&lt;p&gt;A VERY SPECIAL EXHAUST TOTALLY HANDMADE AND WELDED BY OUR BEST WELDERS.&lt;/p&gt;_x000a_&lt;p&gt;ORIGINAL EXHAUST WEIGHT: 10 KG&lt;br&gt;ZARD EXHAUST WEIGHT: 4.2 KG&lt;/p&gt;_x000a_&lt;p&gt;HARD INCREASE, COMPARED TO THE ORIGINAL EXHAUST SYSTEM, IN TERMS OF TORQUE AND POWER AT ANY RANGE.&lt;/p&gt;_x000a_&lt;p&gt;FITTING KIT INCLUDED.&lt;/p&gt;_x000a_&lt;p&gt;&lt;strong&gt;NOTICE: AVAILABLE ON DEMAND ONLY. DELIVERY 4 WORKING WEEKS FROM ORDER.&lt;/strong&gt;&lt;/p&gt;_x000a_&lt;p&gt;&lt;strong&gt;FOR A PROPER FITMENT OF THE EXHAUST YOU NEED TO REMOVE THE LOWER FAIRINGS (PLEASE SEE THE PHOTOS).&lt;/strong&gt;&lt;/p&gt;_x000a_&lt;p&gt;&lt;strong&gt;THE INSTALLATION OF ZARD EXHAUST DOES NOT IMPLY ANY MODIFICATION TO ECU.&lt;/strong&gt;&lt;/p&gt;"/>
    <s v="https://shop.officineitalianezard.it/contents/imgs/products/1_2004-4.jpg"/>
    <m/>
    <m/>
  </r>
  <r>
    <s v="1586059914-11533"/>
    <s v="https://shop.officineitalianezard.it/en/products/"/>
    <m/>
    <s v="https://shop.officineitalianezard.it/en/ducati-zard-exhaust/"/>
    <s v="1199 PANIGALE"/>
    <s v="https://shop.officineitalianezard.it/en/ducati-1199-panigale-exhaust/"/>
    <s v="2&gt;1&gt;2 VERSION"/>
    <x v="253"/>
    <s v="FULL KIT"/>
    <s v="ZD1199TKR-3"/>
    <s v="DUCATI 1199 PANIGALE"/>
    <n v="2428.52"/>
    <n v="2698.36"/>
    <s v="&lt;p&gt;2&amp;gt;1&amp;gt;2 TITANIUM RACING FULL KIT&lt;/p&gt;_x000a_&lt;p&gt;A VERY SPECIAL EXHAUST TOTALLY HANDMADE AND WELDED BY OUR BEST WELDERS.&lt;/p&gt;_x000a_&lt;p&gt;ORIGINAL EXHAUST WEIGHT: 10 KG&lt;br&gt;ZARD EXHAUST WEIGHT: 4.2 KG&lt;/p&gt;_x000a_&lt;p&gt;HARD INCREASE, COMPARED TO THE ORIGINAL EXHAUST SYSTEM, IN TERMS OF TORQUE AND POWER AT ANY RANGE.&lt;/p&gt;_x000a_&lt;p&gt;FITTING KIT INCLUDED.&lt;/p&gt;_x000a_&lt;p&gt;&lt;strong&gt;NOTICE: AVAILABLE ON DEMAND ONLY. DELIVERY 4 WORKING WEEKS FROM ORDER.&lt;/strong&gt;&lt;/p&gt;_x000a_&lt;p&gt;&lt;strong&gt;FOR A PROPER FITMENT OF THE EXHAUST YOU NEED TO REMOVE THE LOWER FAIRINGS (PLEASE SEE THE PHOTOS).&lt;/strong&gt;&lt;/p&gt;_x000a_&lt;p&gt;&lt;strong&gt;THE INSTALLATION OF ZARD EXHAUST DOES NOT IMPLY ANY MODIFICATION TO ECU.&lt;/strong&gt;&lt;/p&gt;"/>
    <s v="https://shop.officineitalianezard.it/contents/imgs/products/1_2002-6.jpg"/>
    <m/>
    <m/>
  </r>
  <r>
    <s v="1586059914-11534"/>
    <s v="https://shop.officineitalianezard.it/en/products/"/>
    <m/>
    <s v="https://shop.officineitalianezard.it/en/ducati-zard-exhaust/"/>
    <s v="1199 PANIGALE"/>
    <s v="https://shop.officineitalianezard.it/en/ducati-1199-panigale-exhaust/"/>
    <s v="2&gt;1&gt;2 VERSION"/>
    <x v="253"/>
    <s v="FULL KIT"/>
    <s v="ZD1199TKR-3"/>
    <s v="DUCATI 1199 PANIGALE"/>
    <n v="2428.52"/>
    <n v="2698.36"/>
    <s v="&lt;p&gt;2&amp;gt;1&amp;gt;2 TITANIUM RACING FULL KIT&lt;/p&gt;_x000a_&lt;p&gt;A VERY SPECIAL EXHAUST TOTALLY HANDMADE AND WELDED BY OUR BEST WELDERS.&lt;/p&gt;_x000a_&lt;p&gt;ORIGINAL EXHAUST WEIGHT: 10 KG&lt;br&gt;ZARD EXHAUST WEIGHT: 4.2 KG&lt;/p&gt;_x000a_&lt;p&gt;HARD INCREASE, COMPARED TO THE ORIGINAL EXHAUST SYSTEM, IN TERMS OF TORQUE AND POWER AT ANY RANGE.&lt;/p&gt;_x000a_&lt;p&gt;FITTING KIT INCLUDED.&lt;/p&gt;_x000a_&lt;p&gt;&lt;strong&gt;NOTICE: AVAILABLE ON DEMAND ONLY. DELIVERY 4 WORKING WEEKS FROM ORDER.&lt;/strong&gt;&lt;/p&gt;_x000a_&lt;p&gt;&lt;strong&gt;FOR A PROPER FITMENT OF THE EXHAUST YOU NEED TO REMOVE THE LOWER FAIRINGS (PLEASE SEE THE PHOTOS).&lt;/strong&gt;&lt;/p&gt;_x000a_&lt;p&gt;&lt;strong&gt;THE INSTALLATION OF ZARD EXHAUST DOES NOT IMPLY ANY MODIFICATION TO ECU.&lt;/strong&gt;&lt;/p&gt;"/>
    <s v="https://shop.officineitalianezard.it/contents/imgs/products/1_2001-7.jpg"/>
    <m/>
    <m/>
  </r>
  <r>
    <s v="1586059914-11535"/>
    <s v="https://shop.officineitalianezard.it/en/products/"/>
    <m/>
    <s v="https://shop.officineitalianezard.it/en/ducati-zard-exhaust/"/>
    <s v="1199 PANIGALE"/>
    <s v="https://shop.officineitalianezard.it/en/ducati-1199-panigale-exhaust/"/>
    <s v="2&gt;1&gt;2 VERSION"/>
    <x v="253"/>
    <s v="FULL KIT"/>
    <s v="ZD1199TKR-3"/>
    <s v="DUCATI 1199 PANIGALE"/>
    <n v="2428.52"/>
    <n v="2698.36"/>
    <s v="&lt;p&gt;2&amp;gt;1&amp;gt;2 TITANIUM RACING FULL KIT&lt;/p&gt;_x000a_&lt;p&gt;A VERY SPECIAL EXHAUST TOTALLY HANDMADE AND WELDED BY OUR BEST WELDERS.&lt;/p&gt;_x000a_&lt;p&gt;ORIGINAL EXHAUST WEIGHT: 10 KG&lt;br&gt;ZARD EXHAUST WEIGHT: 4.2 KG&lt;/p&gt;_x000a_&lt;p&gt;HARD INCREASE, COMPARED TO THE ORIGINAL EXHAUST SYSTEM, IN TERMS OF TORQUE AND POWER AT ANY RANGE.&lt;/p&gt;_x000a_&lt;p&gt;FITTING KIT INCLUDED.&lt;/p&gt;_x000a_&lt;p&gt;&lt;strong&gt;NOTICE: AVAILABLE ON DEMAND ONLY. DELIVERY 4 WORKING WEEKS FROM ORDER.&lt;/strong&gt;&lt;/p&gt;_x000a_&lt;p&gt;&lt;strong&gt;FOR A PROPER FITMENT OF THE EXHAUST YOU NEED TO REMOVE THE LOWER FAIRINGS (PLEASE SEE THE PHOTOS).&lt;/strong&gt;&lt;/p&gt;_x000a_&lt;p&gt;&lt;strong&gt;THE INSTALLATION OF ZARD EXHAUST DOES NOT IMPLY ANY MODIFICATION TO ECU.&lt;/strong&gt;&lt;/p&gt;"/>
    <s v="https://shop.officineitalianezard.it/contents/imgs/products/1_2000-smontato.jpg"/>
    <m/>
    <m/>
  </r>
  <r>
    <s v="1586059920-11536"/>
    <s v="https://shop.officineitalianezard.it/en/products/"/>
    <m/>
    <s v="https://shop.officineitalianezard.it/en/ducati-zard-exhaust/"/>
    <s v="959 PANIGALE"/>
    <s v="https://shop.officineitalianezard.it/en/ducati-959-panigale-exhaust/"/>
    <s v="2&gt;1&gt;2 VERSION"/>
    <x v="254"/>
    <s v="FULL KIT"/>
    <s v="ZD959SKR"/>
    <s v="DUCATI 959 PANIGALE"/>
    <n v="1380.25"/>
    <n v="1533.61"/>
    <s v="&lt;p&gt;2&amp;gt;1&amp;gt;2 STEEL RACING FULL KIT FOR DOUBLE SEAT. VERSION&lt;/p&gt;_x000a_&lt;p&gt;ORIGINAL EXHAUST WEIGHT: 10 KG&lt;br&gt;STEEL FULL KIT ZARD WEIGHT: 6.6 KG&lt;br&gt;TITANIUM FULL KIT ZARD WEIGHT: 4.5 KG&lt;/p&gt;_x000a_&lt;p&gt;HARD INCREASE, COMPARED TO THE ORIGINAL EXHAUST SYSTEM, IN TERMS OF TORQUE AND POWER AT ANY RANGE.&lt;/p&gt;_x000a_&lt;p&gt;FITTING KIT INCLUDED.&lt;/p&gt;_x000a_&lt;p&gt;NOTE: ORIGINAL HORIZONTAL PIPE HAS NOT BE REMOVED, BACK HEADER PIPE IS STEEL&lt;/p&gt;_x000a_&lt;p&gt;&lt;span&gt;THE INSTALLATION OF ZARD EXHAUST DOES NOT IMPLY ANY MODIFICATION TO ECU.&lt;/span&gt;&lt;br&gt;&lt;span&gt;THE BOX INCLUDES ALL PARTS FOR THE FITMENT OF ZARD EXHAUST.&lt;/span&gt;&lt;/p&gt;_x000a_&lt;p&gt;&lt;span&gt;'GOLD' VERSION END CAPS HAVE A GOLD FINISH, BLACK END CAPS ARE PAINTED WITH HIGH TEMPERATURE RESISTANT COATING FORMULATED TO WITHSTAND INTERNAL EXHAUST GAS TEMPERATURES OF OVER 2,000 DEGREES FAHRENHEIT.&amp;nbsp;&lt;/span&gt;&lt;/p&gt;_x000a_&lt;p&gt;&lt;/p&gt;_x000a_&lt;p&gt;&lt;strong&gt;&amp;nbsp;&lt;/strong&gt;&lt;/p&gt;"/>
    <s v="https://shop.officineitalianezard.it/contents/imgs/products/1_1761-1.jpg"/>
    <m/>
    <m/>
  </r>
  <r>
    <s v="1586059920-11537"/>
    <s v="https://shop.officineitalianezard.it/en/products/"/>
    <m/>
    <s v="https://shop.officineitalianezard.it/en/ducati-zard-exhaust/"/>
    <s v="959 PANIGALE"/>
    <s v="https://shop.officineitalianezard.it/en/ducati-959-panigale-exhaust/"/>
    <s v="2&gt;1&gt;2 VERSION"/>
    <x v="254"/>
    <s v="FULL KIT"/>
    <s v="ZD959SKR"/>
    <s v="DUCATI 959 PANIGALE"/>
    <n v="1380.25"/>
    <n v="1533.61"/>
    <s v="&lt;p&gt;2&amp;gt;1&amp;gt;2 STEEL RACING FULL KIT FOR DOUBLE SEAT. VERSION&lt;/p&gt;_x000a_&lt;p&gt;ORIGINAL EXHAUST WEIGHT: 10 KG&lt;br&gt;STEEL FULL KIT ZARD WEIGHT: 6.6 KG&lt;br&gt;TITANIUM FULL KIT ZARD WEIGHT: 4.5 KG&lt;/p&gt;_x000a_&lt;p&gt;HARD INCREASE, COMPARED TO THE ORIGINAL EXHAUST SYSTEM, IN TERMS OF TORQUE AND POWER AT ANY RANGE.&lt;/p&gt;_x000a_&lt;p&gt;FITTING KIT INCLUDED.&lt;/p&gt;_x000a_&lt;p&gt;NOTE: ORIGINAL HORIZONTAL PIPE HAS NOT BE REMOVED, BACK HEADER PIPE IS STEEL&lt;/p&gt;_x000a_&lt;p&gt;&lt;span&gt;THE INSTALLATION OF ZARD EXHAUST DOES NOT IMPLY ANY MODIFICATION TO ECU.&lt;/span&gt;&lt;br&gt;&lt;span&gt;THE BOX INCLUDES ALL PARTS FOR THE FITMENT OF ZARD EXHAUST.&lt;/span&gt;&lt;/p&gt;_x000a_&lt;p&gt;&lt;span&gt;'GOLD' VERSION END CAPS HAVE A GOLD FINISH, BLACK END CAPS ARE PAINTED WITH HIGH TEMPERATURE RESISTANT COATING FORMULATED TO WITHSTAND INTERNAL EXHAUST GAS TEMPERATURES OF OVER 2,000 DEGREES FAHRENHEIT.&amp;nbsp;&lt;/span&gt;&lt;/p&gt;_x000a_&lt;p&gt;&lt;/p&gt;_x000a_&lt;p&gt;&lt;strong&gt;&amp;nbsp;&lt;/strong&gt;&lt;/p&gt;"/>
    <s v="https://shop.officineitalianezard.it/contents/imgs/products/1_1762-2.jpg"/>
    <m/>
    <m/>
  </r>
  <r>
    <s v="1586059920-11538"/>
    <s v="https://shop.officineitalianezard.it/en/products/"/>
    <m/>
    <s v="https://shop.officineitalianezard.it/en/ducati-zard-exhaust/"/>
    <s v="959 PANIGALE"/>
    <s v="https://shop.officineitalianezard.it/en/ducati-959-panigale-exhaust/"/>
    <s v="2&gt;1&gt;2 VERSION"/>
    <x v="254"/>
    <s v="FULL KIT"/>
    <s v="ZD959SKR"/>
    <s v="DUCATI 959 PANIGALE"/>
    <n v="1380.25"/>
    <n v="1533.61"/>
    <s v="&lt;p&gt;2&amp;gt;1&amp;gt;2 STEEL RACING FULL KIT FOR DOUBLE SEAT. VERSION&lt;/p&gt;_x000a_&lt;p&gt;ORIGINAL EXHAUST WEIGHT: 10 KG&lt;br&gt;STEEL FULL KIT ZARD WEIGHT: 6.6 KG&lt;br&gt;TITANIUM FULL KIT ZARD WEIGHT: 4.5 KG&lt;/p&gt;_x000a_&lt;p&gt;HARD INCREASE, COMPARED TO THE ORIGINAL EXHAUST SYSTEM, IN TERMS OF TORQUE AND POWER AT ANY RANGE.&lt;/p&gt;_x000a_&lt;p&gt;FITTING KIT INCLUDED.&lt;/p&gt;_x000a_&lt;p&gt;NOTE: ORIGINAL HORIZONTAL PIPE HAS NOT BE REMOVED, BACK HEADER PIPE IS STEEL&lt;/p&gt;_x000a_&lt;p&gt;&lt;span&gt;THE INSTALLATION OF ZARD EXHAUST DOES NOT IMPLY ANY MODIFICATION TO ECU.&lt;/span&gt;&lt;br&gt;&lt;span&gt;THE BOX INCLUDES ALL PARTS FOR THE FITMENT OF ZARD EXHAUST.&lt;/span&gt;&lt;/p&gt;_x000a_&lt;p&gt;&lt;span&gt;'GOLD' VERSION END CAPS HAVE A GOLD FINISH, BLACK END CAPS ARE PAINTED WITH HIGH TEMPERATURE RESISTANT COATING FORMULATED TO WITHSTAND INTERNAL EXHAUST GAS TEMPERATURES OF OVER 2,000 DEGREES FAHRENHEIT.&amp;nbsp;&lt;/span&gt;&lt;/p&gt;_x000a_&lt;p&gt;&lt;/p&gt;_x000a_&lt;p&gt;&lt;strong&gt;&amp;nbsp;&lt;/strong&gt;&lt;/p&gt;"/>
    <s v="https://shop.officineitalianezard.it/contents/imgs/products/1_1838-4.jpg"/>
    <m/>
    <m/>
  </r>
  <r>
    <s v="1586059920-11539"/>
    <s v="https://shop.officineitalianezard.it/en/products/"/>
    <m/>
    <s v="https://shop.officineitalianezard.it/en/ducati-zard-exhaust/"/>
    <s v="959 PANIGALE"/>
    <s v="https://shop.officineitalianezard.it/en/ducati-959-panigale-exhaust/"/>
    <s v="2&gt;1&gt;2 VERSION"/>
    <x v="254"/>
    <s v="FULL KIT"/>
    <s v="ZD959SKR"/>
    <s v="DUCATI 959 PANIGALE"/>
    <n v="1380.25"/>
    <n v="1533.61"/>
    <s v="&lt;p&gt;2&amp;gt;1&amp;gt;2 STEEL RACING FULL KIT FOR DOUBLE SEAT. VERSION&lt;/p&gt;_x000a_&lt;p&gt;ORIGINAL EXHAUST WEIGHT: 10 KG&lt;br&gt;STEEL FULL KIT ZARD WEIGHT: 6.6 KG&lt;br&gt;TITANIUM FULL KIT ZARD WEIGHT: 4.5 KG&lt;/p&gt;_x000a_&lt;p&gt;HARD INCREASE, COMPARED TO THE ORIGINAL EXHAUST SYSTEM, IN TERMS OF TORQUE AND POWER AT ANY RANGE.&lt;/p&gt;_x000a_&lt;p&gt;FITTING KIT INCLUDED.&lt;/p&gt;_x000a_&lt;p&gt;NOTE: ORIGINAL HORIZONTAL PIPE HAS NOT BE REMOVED, BACK HEADER PIPE IS STEEL&lt;/p&gt;_x000a_&lt;p&gt;&lt;span&gt;THE INSTALLATION OF ZARD EXHAUST DOES NOT IMPLY ANY MODIFICATION TO ECU.&lt;/span&gt;&lt;br&gt;&lt;span&gt;THE BOX INCLUDES ALL PARTS FOR THE FITMENT OF ZARD EXHAUST.&lt;/span&gt;&lt;/p&gt;_x000a_&lt;p&gt;&lt;span&gt;'GOLD' VERSION END CAPS HAVE A GOLD FINISH, BLACK END CAPS ARE PAINTED WITH HIGH TEMPERATURE RESISTANT COATING FORMULATED TO WITHSTAND INTERNAL EXHAUST GAS TEMPERATURES OF OVER 2,000 DEGREES FAHRENHEIT.&amp;nbsp;&lt;/span&gt;&lt;/p&gt;_x000a_&lt;p&gt;&lt;/p&gt;_x000a_&lt;p&gt;&lt;strong&gt;&amp;nbsp;&lt;/strong&gt;&lt;/p&gt;"/>
    <s v="https://shop.officineitalianezard.it/contents/imgs/products/1_1763-3.jpg"/>
    <m/>
    <m/>
  </r>
  <r>
    <s v="1586059920-11540"/>
    <s v="https://shop.officineitalianezard.it/en/products/"/>
    <m/>
    <s v="https://shop.officineitalianezard.it/en/ducati-zard-exhaust/"/>
    <s v="959 PANIGALE"/>
    <s v="https://shop.officineitalianezard.it/en/ducati-959-panigale-exhaust/"/>
    <s v="2&gt;1&gt;2 VERSION"/>
    <x v="254"/>
    <s v="FULL KIT"/>
    <s v="ZD959SKR"/>
    <s v="DUCATI 959 PANIGALE"/>
    <n v="1380.25"/>
    <n v="1533.61"/>
    <s v="&lt;p&gt;2&amp;gt;1&amp;gt;2 STEEL RACING FULL KIT FOR DOUBLE SEAT. VERSION&lt;/p&gt;_x000a_&lt;p&gt;ORIGINAL EXHAUST WEIGHT: 10 KG&lt;br&gt;STEEL FULL KIT ZARD WEIGHT: 6.6 KG&lt;br&gt;TITANIUM FULL KIT ZARD WEIGHT: 4.5 KG&lt;/p&gt;_x000a_&lt;p&gt;HARD INCREASE, COMPARED TO THE ORIGINAL EXHAUST SYSTEM, IN TERMS OF TORQUE AND POWER AT ANY RANGE.&lt;/p&gt;_x000a_&lt;p&gt;FITTING KIT INCLUDED.&lt;/p&gt;_x000a_&lt;p&gt;NOTE: ORIGINAL HORIZONTAL PIPE HAS NOT BE REMOVED, BACK HEADER PIPE IS STEEL&lt;/p&gt;_x000a_&lt;p&gt;&lt;span&gt;THE INSTALLATION OF ZARD EXHAUST DOES NOT IMPLY ANY MODIFICATION TO ECU.&lt;/span&gt;&lt;br&gt;&lt;span&gt;THE BOX INCLUDES ALL PARTS FOR THE FITMENT OF ZARD EXHAUST.&lt;/span&gt;&lt;/p&gt;_x000a_&lt;p&gt;&lt;span&gt;'GOLD' VERSION END CAPS HAVE A GOLD FINISH, BLACK END CAPS ARE PAINTED WITH HIGH TEMPERATURE RESISTANT COATING FORMULATED TO WITHSTAND INTERNAL EXHAUST GAS TEMPERATURES OF OVER 2,000 DEGREES FAHRENHEIT.&amp;nbsp;&lt;/span&gt;&lt;/p&gt;_x000a_&lt;p&gt;&lt;/p&gt;_x000a_&lt;p&gt;&lt;strong&gt;&amp;nbsp;&lt;/strong&gt;&lt;/p&gt;"/>
    <s v="https://shop.officineitalianezard.it/contents/imgs/products/1_1765-scarico%20ducati%20panigale.jpg"/>
    <m/>
    <m/>
  </r>
  <r>
    <s v="1586059920-11541"/>
    <s v="https://shop.officineitalianezard.it/en/products/"/>
    <m/>
    <s v="https://shop.officineitalianezard.it/en/ducati-zard-exhaust/"/>
    <s v="959 PANIGALE"/>
    <s v="https://shop.officineitalianezard.it/en/ducati-959-panigale-exhaust/"/>
    <s v="2&gt;1&gt;2 VERSION"/>
    <x v="254"/>
    <s v="FULL KIT"/>
    <s v="ZD959SKR"/>
    <s v="DUCATI 959 PANIGALE"/>
    <n v="1380.25"/>
    <n v="1533.61"/>
    <s v="&lt;p&gt;2&amp;gt;1&amp;gt;2 STEEL RACING FULL KIT FOR DOUBLE SEAT. VERSION&lt;/p&gt;_x000a_&lt;p&gt;ORIGINAL EXHAUST WEIGHT: 10 KG&lt;br&gt;STEEL FULL KIT ZARD WEIGHT: 6.6 KG&lt;br&gt;TITANIUM FULL KIT ZARD WEIGHT: 4.5 KG&lt;/p&gt;_x000a_&lt;p&gt;HARD INCREASE, COMPARED TO THE ORIGINAL EXHAUST SYSTEM, IN TERMS OF TORQUE AND POWER AT ANY RANGE.&lt;/p&gt;_x000a_&lt;p&gt;FITTING KIT INCLUDED.&lt;/p&gt;_x000a_&lt;p&gt;NOTE: ORIGINAL HORIZONTAL PIPE HAS NOT BE REMOVED, BACK HEADER PIPE IS STEEL&lt;/p&gt;_x000a_&lt;p&gt;&lt;span&gt;THE INSTALLATION OF ZARD EXHAUST DOES NOT IMPLY ANY MODIFICATION TO ECU.&lt;/span&gt;&lt;br&gt;&lt;span&gt;THE BOX INCLUDES ALL PARTS FOR THE FITMENT OF ZARD EXHAUST.&lt;/span&gt;&lt;/p&gt;_x000a_&lt;p&gt;&lt;span&gt;'GOLD' VERSION END CAPS HAVE A GOLD FINISH, BLACK END CAPS ARE PAINTED WITH HIGH TEMPERATURE RESISTANT COATING FORMULATED TO WITHSTAND INTERNAL EXHAUST GAS TEMPERATURES OF OVER 2,000 DEGREES FAHRENHEIT.&amp;nbsp;&lt;/span&gt;&lt;/p&gt;_x000a_&lt;p&gt;&lt;/p&gt;_x000a_&lt;p&gt;&lt;strong&gt;&amp;nbsp;&lt;/strong&gt;&lt;/p&gt;"/>
    <s v="https://shop.officineitalianezard.it/contents/imgs/products/1_1764-0.jpg"/>
    <m/>
    <m/>
  </r>
  <r>
    <s v="1586059920-11542"/>
    <s v="https://shop.officineitalianezard.it/en/products/"/>
    <m/>
    <s v="https://shop.officineitalianezard.it/en/ducati-zard-exhaust/"/>
    <s v="959 PANIGALE"/>
    <s v="https://shop.officineitalianezard.it/en/ducati-959-panigale-exhaust/"/>
    <s v="2&gt;1&gt;2 VERSION"/>
    <x v="254"/>
    <s v="FULL KIT"/>
    <s v="ZD959SKR"/>
    <s v="DUCATI 959 PANIGALE"/>
    <n v="1380.25"/>
    <n v="1533.61"/>
    <s v="&lt;p&gt;2&amp;gt;1&amp;gt;2 STEEL RACING FULL KIT FOR DOUBLE SEAT. VERSION&lt;/p&gt;_x000a_&lt;p&gt;ORIGINAL EXHAUST WEIGHT: 10 KG&lt;br&gt;STEEL FULL KIT ZARD WEIGHT: 6.6 KG&lt;br&gt;TITANIUM FULL KIT ZARD WEIGHT: 4.5 KG&lt;/p&gt;_x000a_&lt;p&gt;HARD INCREASE, COMPARED TO THE ORIGINAL EXHAUST SYSTEM, IN TERMS OF TORQUE AND POWER AT ANY RANGE.&lt;/p&gt;_x000a_&lt;p&gt;FITTING KIT INCLUDED.&lt;/p&gt;_x000a_&lt;p&gt;NOTE: ORIGINAL HORIZONTAL PIPE HAS NOT BE REMOVED, BACK HEADER PIPE IS STEEL&lt;/p&gt;_x000a_&lt;p&gt;&lt;span&gt;THE INSTALLATION OF ZARD EXHAUST DOES NOT IMPLY ANY MODIFICATION TO ECU.&lt;/span&gt;&lt;br&gt;&lt;span&gt;THE BOX INCLUDES ALL PARTS FOR THE FITMENT OF ZARD EXHAUST.&lt;/span&gt;&lt;/p&gt;_x000a_&lt;p&gt;&lt;span&gt;'GOLD' VERSION END CAPS HAVE A GOLD FINISH, BLACK END CAPS ARE PAINTED WITH HIGH TEMPERATURE RESISTANT COATING FORMULATED TO WITHSTAND INTERNAL EXHAUST GAS TEMPERATURES OF OVER 2,000 DEGREES FAHRENHEIT.&amp;nbsp;&lt;/span&gt;&lt;/p&gt;_x000a_&lt;p&gt;&lt;/p&gt;_x000a_&lt;p&gt;&lt;strong&gt;&amp;nbsp;&lt;/strong&gt;&lt;/p&gt;"/>
    <s v="https://shop.officineitalianezard.it/contents/imgs/products/1_1840-959panigale_Zard_powercurve.jpg"/>
    <m/>
    <m/>
  </r>
  <r>
    <s v="1586059920-11543"/>
    <s v="https://shop.officineitalianezard.it/en/products/"/>
    <m/>
    <s v="https://shop.officineitalianezard.it/en/ducati-zard-exhaust/"/>
    <s v="959 PANIGALE"/>
    <s v="https://shop.officineitalianezard.it/en/ducati-959-panigale-exhaust/"/>
    <s v="2&gt;1&gt;2 VERSION"/>
    <x v="254"/>
    <s v="FULL KIT"/>
    <s v="ZD959SKR"/>
    <s v="DUCATI 959 PANIGALE"/>
    <n v="1380.25"/>
    <n v="1533.61"/>
    <s v="&lt;p&gt;2&amp;gt;1&amp;gt;2 STEEL RACING FULL KIT FOR DOUBLE SEAT. VERSION&lt;/p&gt;_x000a_&lt;p&gt;ORIGINAL EXHAUST WEIGHT: 10 KG&lt;br&gt;STEEL FULL KIT ZARD WEIGHT: 6.6 KG&lt;br&gt;TITANIUM FULL KIT ZARD WEIGHT: 4.5 KG&lt;/p&gt;_x000a_&lt;p&gt;HARD INCREASE, COMPARED TO THE ORIGINAL EXHAUST SYSTEM, IN TERMS OF TORQUE AND POWER AT ANY RANGE.&lt;/p&gt;_x000a_&lt;p&gt;FITTING KIT INCLUDED.&lt;/p&gt;_x000a_&lt;p&gt;NOTE: ORIGINAL HORIZONTAL PIPE HAS NOT BE REMOVED, BACK HEADER PIPE IS STEEL&lt;/p&gt;_x000a_&lt;p&gt;&lt;span&gt;THE INSTALLATION OF ZARD EXHAUST DOES NOT IMPLY ANY MODIFICATION TO ECU.&lt;/span&gt;&lt;br&gt;&lt;span&gt;THE BOX INCLUDES ALL PARTS FOR THE FITMENT OF ZARD EXHAUST.&lt;/span&gt;&lt;/p&gt;_x000a_&lt;p&gt;&lt;span&gt;'GOLD' VERSION END CAPS HAVE A GOLD FINISH, BLACK END CAPS ARE PAINTED WITH HIGH TEMPERATURE RESISTANT COATING FORMULATED TO WITHSTAND INTERNAL EXHAUST GAS TEMPERATURES OF OVER 2,000 DEGREES FAHRENHEIT.&amp;nbsp;&lt;/span&gt;&lt;/p&gt;_x000a_&lt;p&gt;&lt;/p&gt;_x000a_&lt;p&gt;&lt;strong&gt;&amp;nbsp;&lt;/strong&gt;&lt;/p&gt;"/>
    <m/>
    <s v="STEEL HEADERS + TITANIUM SILENCER"/>
    <n v="496.48"/>
  </r>
  <r>
    <s v="1586059920-11544"/>
    <s v="https://shop.officineitalianezard.it/en/products/"/>
    <m/>
    <s v="https://shop.officineitalianezard.it/en/ducati-zard-exhaust/"/>
    <s v="959 PANIGALE"/>
    <s v="https://shop.officineitalianezard.it/en/ducati-959-panigale-exhaust/"/>
    <s v="2&gt;1&gt;2 VERSION"/>
    <x v="254"/>
    <s v="FULL KIT"/>
    <s v="ZD959SKR"/>
    <s v="DUCATI 959 PANIGALE"/>
    <n v="1380.25"/>
    <n v="1533.61"/>
    <s v="&lt;p&gt;2&amp;gt;1&amp;gt;2 STEEL RACING FULL KIT FOR DOUBLE SEAT. VERSION&lt;/p&gt;_x000a_&lt;p&gt;ORIGINAL EXHAUST WEIGHT: 10 KG&lt;br&gt;STEEL FULL KIT ZARD WEIGHT: 6.6 KG&lt;br&gt;TITANIUM FULL KIT ZARD WEIGHT: 4.5 KG&lt;/p&gt;_x000a_&lt;p&gt;HARD INCREASE, COMPARED TO THE ORIGINAL EXHAUST SYSTEM, IN TERMS OF TORQUE AND POWER AT ANY RANGE.&lt;/p&gt;_x000a_&lt;p&gt;FITTING KIT INCLUDED.&lt;/p&gt;_x000a_&lt;p&gt;NOTE: ORIGINAL HORIZONTAL PIPE HAS NOT BE REMOVED, BACK HEADER PIPE IS STEEL&lt;/p&gt;_x000a_&lt;p&gt;&lt;span&gt;THE INSTALLATION OF ZARD EXHAUST DOES NOT IMPLY ANY MODIFICATION TO ECU.&lt;/span&gt;&lt;br&gt;&lt;span&gt;THE BOX INCLUDES ALL PARTS FOR THE FITMENT OF ZARD EXHAUST.&lt;/span&gt;&lt;/p&gt;_x000a_&lt;p&gt;&lt;span&gt;'GOLD' VERSION END CAPS HAVE A GOLD FINISH, BLACK END CAPS ARE PAINTED WITH HIGH TEMPERATURE RESISTANT COATING FORMULATED TO WITHSTAND INTERNAL EXHAUST GAS TEMPERATURES OF OVER 2,000 DEGREES FAHRENHEIT.&amp;nbsp;&lt;/span&gt;&lt;/p&gt;_x000a_&lt;p&gt;&lt;/p&gt;_x000a_&lt;p&gt;&lt;strong&gt;&amp;nbsp;&lt;/strong&gt;&lt;/p&gt;"/>
    <m/>
    <s v="FULL TITANIUM"/>
    <n v="878.61"/>
  </r>
  <r>
    <s v="1586059925-11545"/>
    <s v="https://shop.officineitalianezard.it/en/products/"/>
    <m/>
    <s v="https://shop.officineitalianezard.it/en/ducati-zard-exhaust/"/>
    <s v="848-1098R/S-1198R/S"/>
    <s v="https://shop.officineitalianezard.it/en/ducati-848-1098-r-s-1198-r-s-exhaust/"/>
    <s v="PENTA VERSION"/>
    <x v="255"/>
    <s v="848/1098R-S/1198R-S SILENCERS"/>
    <s v="ZD010SSR"/>
    <s v="848/1098R-S/1198R-S"/>
    <n v="790.08"/>
    <n v="877.87"/>
    <s v="&lt;p&gt;STEEL-CARBON UNDER-SEAT SILENCERS RACING WITH REMOVABLE DB KILLER&lt;/p&gt;_x000a_&lt;p&gt;ORIGINAL SILENCER WEIGHT: KG 5.2&lt;br&gt;ZARD SILENCER WEIGHT: KG 4.2&lt;br&gt;ZARD SILENCER CARBON WEIGHT: KG 3.8&lt;/p&gt;_x000a_&lt;p&gt;HARD INCREASE, COMPARED TO THE STANDARD EXHAUST SYSTEM, IN TERMS OF TORQUE AND POWER (+4 HP) AT ANY RANGE.&lt;/p&gt;_x000a_&lt;p&gt;ASTONISHING SOUND.&lt;/p&gt;"/>
    <s v="https://shop.officineitalianezard.it/contents/imgs/products/1_251-ducati1098s-penta-part2.jpg"/>
    <m/>
    <m/>
  </r>
  <r>
    <s v="1586059925-11546"/>
    <s v="https://shop.officineitalianezard.it/en/products/"/>
    <m/>
    <s v="https://shop.officineitalianezard.it/en/ducati-zard-exhaust/"/>
    <s v="848-1098R/S-1198R/S"/>
    <s v="https://shop.officineitalianezard.it/en/ducati-848-1098-r-s-1198-r-s-exhaust/"/>
    <s v="PENTA VERSION"/>
    <x v="255"/>
    <s v="848/1098R-S/1198R-S SILENCERS"/>
    <s v="ZD010SSR"/>
    <s v="848/1098R-S/1198R-S"/>
    <n v="790.08"/>
    <n v="877.87"/>
    <s v="&lt;p&gt;STEEL-CARBON UNDER-SEAT SILENCERS RACING WITH REMOVABLE DB KILLER&lt;/p&gt;_x000a_&lt;p&gt;ORIGINAL SILENCER WEIGHT: KG 5.2&lt;br&gt;ZARD SILENCER WEIGHT: KG 4.2&lt;br&gt;ZARD SILENCER CARBON WEIGHT: KG 3.8&lt;/p&gt;_x000a_&lt;p&gt;HARD INCREASE, COMPARED TO THE STANDARD EXHAUST SYSTEM, IN TERMS OF TORQUE AND POWER (+4 HP) AT ANY RANGE.&lt;/p&gt;_x000a_&lt;p&gt;ASTONISHING SOUND.&lt;/p&gt;"/>
    <s v="https://shop.officineitalianezard.it/contents/imgs/products/1_250-1098penta3.jpg"/>
    <m/>
    <m/>
  </r>
  <r>
    <s v="1586059925-11547"/>
    <s v="https://shop.officineitalianezard.it/en/products/"/>
    <m/>
    <s v="https://shop.officineitalianezard.it/en/ducati-zard-exhaust/"/>
    <s v="848-1098R/S-1198R/S"/>
    <s v="https://shop.officineitalianezard.it/en/ducati-848-1098-r-s-1198-r-s-exhaust/"/>
    <s v="PENTA VERSION"/>
    <x v="255"/>
    <s v="848/1098R-S/1198R-S SILENCERS"/>
    <s v="ZD010SSR"/>
    <s v="848/1098R-S/1198R-S"/>
    <n v="790.08"/>
    <n v="877.87"/>
    <s v="&lt;p&gt;STEEL-CARBON UNDER-SEAT SILENCERS RACING WITH REMOVABLE DB KILLER&lt;/p&gt;_x000a_&lt;p&gt;ORIGINAL SILENCER WEIGHT: KG 5.2&lt;br&gt;ZARD SILENCER WEIGHT: KG 4.2&lt;br&gt;ZARD SILENCER CARBON WEIGHT: KG 3.8&lt;/p&gt;_x000a_&lt;p&gt;HARD INCREASE, COMPARED TO THE STANDARD EXHAUST SYSTEM, IN TERMS OF TORQUE AND POWER (+4 HP) AT ANY RANGE.&lt;/p&gt;_x000a_&lt;p&gt;ASTONISHING SOUND.&lt;/p&gt;"/>
    <s v="https://shop.officineitalianezard.it/contents/imgs/products/1_252-ducati1098s-penta-part1.jpg"/>
    <m/>
    <m/>
  </r>
  <r>
    <s v="1586059925-11548"/>
    <s v="https://shop.officineitalianezard.it/en/products/"/>
    <m/>
    <s v="https://shop.officineitalianezard.it/en/ducati-zard-exhaust/"/>
    <s v="848-1098R/S-1198R/S"/>
    <s v="https://shop.officineitalianezard.it/en/ducati-848-1098-r-s-1198-r-s-exhaust/"/>
    <s v="PENTA VERSION"/>
    <x v="255"/>
    <s v="848/1098R-S/1198R-S SILENCERS"/>
    <s v="ZD010SSR"/>
    <s v="848/1098R-S/1198R-S"/>
    <n v="790.08"/>
    <n v="877.87"/>
    <s v="&lt;p&gt;STEEL-CARBON UNDER-SEAT SILENCERS RACING WITH REMOVABLE DB KILLER&lt;/p&gt;_x000a_&lt;p&gt;ORIGINAL SILENCER WEIGHT: KG 5.2&lt;br&gt;ZARD SILENCER WEIGHT: KG 4.2&lt;br&gt;ZARD SILENCER CARBON WEIGHT: KG 3.8&lt;/p&gt;_x000a_&lt;p&gt;HARD INCREASE, COMPARED TO THE STANDARD EXHAUST SYSTEM, IN TERMS OF TORQUE AND POWER (+4 HP) AT ANY RANGE.&lt;/p&gt;_x000a_&lt;p&gt;ASTONISHING SOUND.&lt;/p&gt;"/>
    <s v="https://shop.officineitalianezard.it/contents/imgs/products/1_253-ducati-1098_001.jpg"/>
    <m/>
    <m/>
  </r>
  <r>
    <s v="1586059925-11549"/>
    <s v="https://shop.officineitalianezard.it/en/products/"/>
    <m/>
    <s v="https://shop.officineitalianezard.it/en/ducati-zard-exhaust/"/>
    <s v="848-1098R/S-1198R/S"/>
    <s v="https://shop.officineitalianezard.it/en/ducati-848-1098-r-s-1198-r-s-exhaust/"/>
    <s v="PENTA VERSION"/>
    <x v="255"/>
    <s v="848/1098R-S/1198R-S SILENCERS"/>
    <s v="ZD010SSR"/>
    <s v="848/1098R-S/1198R-S"/>
    <n v="790.08"/>
    <n v="877.87"/>
    <s v="&lt;p&gt;STEEL-CARBON UNDER-SEAT SILENCERS RACING WITH REMOVABLE DB KILLER&lt;/p&gt;_x000a_&lt;p&gt;ORIGINAL SILENCER WEIGHT: KG 5.2&lt;br&gt;ZARD SILENCER WEIGHT: KG 4.2&lt;br&gt;ZARD SILENCER CARBON WEIGHT: KG 3.8&lt;/p&gt;_x000a_&lt;p&gt;HARD INCREASE, COMPARED TO THE STANDARD EXHAUST SYSTEM, IN TERMS OF TORQUE AND POWER (+4 HP) AT ANY RANGE.&lt;/p&gt;_x000a_&lt;p&gt;ASTONISHING SOUND.&lt;/p&gt;"/>
    <m/>
    <s v="CARBON 'PENTA' ENDCAP"/>
    <n v="75.25"/>
  </r>
  <r>
    <s v="1586059929-11550"/>
    <s v="https://shop.officineitalianezard.it/en/products/"/>
    <m/>
    <s v="https://shop.officineitalianezard.it/en/ducati-zard-exhaust/"/>
    <s v="848-1098R/S-1198R/S"/>
    <s v="https://shop.officineitalianezard.it/en/ducati-848-1098-r-s-1198-r-s-exhaust/"/>
    <s v="PENTA EVO VERSION"/>
    <x v="256"/>
    <s v="848/1098R-S/1198R-S SILENCERS"/>
    <s v="ZD010SSR-E"/>
    <s v="848/1098R-S/1198R-S"/>
    <n v="864.59"/>
    <n v="960.66"/>
    <s v="&lt;p&gt;STEEL-CARBON PENTA EVO SILENCERS RACING WITH REMOVABLE DB KILLER&lt;/p&gt;_x000a_&lt;p&gt;THE PENTA EVO MUFFLER HAS A PARTICULAR SHAPE, OVAL AT THE BASE THAT DYNAMICALLY EVOLVES IN A PENTAGON AT THE END.&lt;/p&gt;_x000a_&lt;p&gt;HOMOLOGATED VERSION HAS STEEL-ALUMINIUM BLACK SILENCERS&amp;nbsp;&lt;/p&gt;_x000a_&lt;p&gt;ORIGINAL SILENCERS WEIGHT: KG 5.2&lt;br&gt;ZARD ALUMINIUM SILENCERS WEIGHT: KG 4.2&lt;br&gt;ZARD CARBON SILENCERS WEIGHT: KG 3.8&lt;/p&gt;_x000a_&lt;p&gt;HARD INCREASE, COMPARED TO THE ORIGINAL EXHAUST SYSTEM, IN TERMS OF TORQUE AND POWER AT ANY RANGE (+4 HP FOR THE RACING VERSION AND + 2.8 HP FOR THE STREET LEGAL MODEL).&lt;/p&gt;_x000a_&lt;p&gt;ASTONISHING SOUND.&lt;/p&gt;_x000a_&lt;p&gt;POWER CURVE: &lt;a href=&quot;http://shop.officineitalianezard.it//public/contents/imgs/cms/1198_slip-on_omo.pdf&quot;&gt;DOWNLOAD&lt;/a&gt;&lt;/p&gt;"/>
    <s v="https://shop.officineitalianezard.it/contents/imgs/products/1_254-1.jpg"/>
    <m/>
    <m/>
  </r>
  <r>
    <s v="1586059929-11551"/>
    <s v="https://shop.officineitalianezard.it/en/products/"/>
    <m/>
    <s v="https://shop.officineitalianezard.it/en/ducati-zard-exhaust/"/>
    <s v="848-1098R/S-1198R/S"/>
    <s v="https://shop.officineitalianezard.it/en/ducati-848-1098-r-s-1198-r-s-exhaust/"/>
    <s v="PENTA EVO VERSION"/>
    <x v="256"/>
    <s v="848/1098R-S/1198R-S SILENCERS"/>
    <s v="ZD010SSR-E"/>
    <s v="848/1098R-S/1198R-S"/>
    <n v="864.59"/>
    <n v="960.66"/>
    <s v="&lt;p&gt;STEEL-CARBON PENTA EVO SILENCERS RACING WITH REMOVABLE DB KILLER&lt;/p&gt;_x000a_&lt;p&gt;THE PENTA EVO MUFFLER HAS A PARTICULAR SHAPE, OVAL AT THE BASE THAT DYNAMICALLY EVOLVES IN A PENTAGON AT THE END.&lt;/p&gt;_x000a_&lt;p&gt;HOMOLOGATED VERSION HAS STEEL-ALUMINIUM BLACK SILENCERS&amp;nbsp;&lt;/p&gt;_x000a_&lt;p&gt;ORIGINAL SILENCERS WEIGHT: KG 5.2&lt;br&gt;ZARD ALUMINIUM SILENCERS WEIGHT: KG 4.2&lt;br&gt;ZARD CARBON SILENCERS WEIGHT: KG 3.8&lt;/p&gt;_x000a_&lt;p&gt;HARD INCREASE, COMPARED TO THE ORIGINAL EXHAUST SYSTEM, IN TERMS OF TORQUE AND POWER AT ANY RANGE (+4 HP FOR THE RACING VERSION AND + 2.8 HP FOR THE STREET LEGAL MODEL).&lt;/p&gt;_x000a_&lt;p&gt;ASTONISHING SOUND.&lt;/p&gt;_x000a_&lt;p&gt;POWER CURVE: &lt;a href=&quot;http://shop.officineitalianezard.it//public/contents/imgs/cms/1198_slip-on_omo.pdf&quot;&gt;DOWNLOAD&lt;/a&gt;&lt;/p&gt;"/>
    <s v="https://shop.officineitalianezard.it/contents/imgs/products/1_255-2.jpg"/>
    <m/>
    <m/>
  </r>
  <r>
    <s v="1586059929-11552"/>
    <s v="https://shop.officineitalianezard.it/en/products/"/>
    <m/>
    <s v="https://shop.officineitalianezard.it/en/ducati-zard-exhaust/"/>
    <s v="848-1098R/S-1198R/S"/>
    <s v="https://shop.officineitalianezard.it/en/ducati-848-1098-r-s-1198-r-s-exhaust/"/>
    <s v="PENTA EVO VERSION"/>
    <x v="256"/>
    <s v="848/1098R-S/1198R-S SILENCERS"/>
    <s v="ZD010SSR-E"/>
    <s v="848/1098R-S/1198R-S"/>
    <n v="864.59"/>
    <n v="960.66"/>
    <s v="&lt;p&gt;STEEL-CARBON PENTA EVO SILENCERS RACING WITH REMOVABLE DB KILLER&lt;/p&gt;_x000a_&lt;p&gt;THE PENTA EVO MUFFLER HAS A PARTICULAR SHAPE, OVAL AT THE BASE THAT DYNAMICALLY EVOLVES IN A PENTAGON AT THE END.&lt;/p&gt;_x000a_&lt;p&gt;HOMOLOGATED VERSION HAS STEEL-ALUMINIUM BLACK SILENCERS&amp;nbsp;&lt;/p&gt;_x000a_&lt;p&gt;ORIGINAL SILENCERS WEIGHT: KG 5.2&lt;br&gt;ZARD ALUMINIUM SILENCERS WEIGHT: KG 4.2&lt;br&gt;ZARD CARBON SILENCERS WEIGHT: KG 3.8&lt;/p&gt;_x000a_&lt;p&gt;HARD INCREASE, COMPARED TO THE ORIGINAL EXHAUST SYSTEM, IN TERMS OF TORQUE AND POWER AT ANY RANGE (+4 HP FOR THE RACING VERSION AND + 2.8 HP FOR THE STREET LEGAL MODEL).&lt;/p&gt;_x000a_&lt;p&gt;ASTONISHING SOUND.&lt;/p&gt;_x000a_&lt;p&gt;POWER CURVE: &lt;a href=&quot;http://shop.officineitalianezard.it//public/contents/imgs/cms/1198_slip-on_omo.pdf&quot;&gt;DOWNLOAD&lt;/a&gt;&lt;/p&gt;"/>
    <m/>
    <s v="EURO 3 HOMOLOGATED"/>
    <n v="132.05000000000001"/>
  </r>
  <r>
    <s v="1586059931-11553"/>
    <s v="https://shop.officineitalianezard.it/en/products/"/>
    <m/>
    <s v="https://shop.officineitalianezard.it/en/ducati-zard-exhaust/"/>
    <s v="848-1098R/S-1198R/S"/>
    <s v="https://shop.officineitalianezard.it/en/ducati-848-1098-r-s-1198-r-s-exhaust/"/>
    <s v="PENTA EVO VERSION"/>
    <x v="257"/>
    <s v="848/1098S FULL KIT 2&gt;1&gt;2"/>
    <s v="ZD010SKR"/>
    <s v="848/1098R-S/1198R-S"/>
    <n v="1707.05"/>
    <n v="1896.72"/>
    <s v="&lt;p&gt;2&amp;gt;1&amp;gt;2 STEEL-CARBON FULL KIT RACING WITH REMOVABLE DB KILLER&lt;/p&gt;_x000a_&lt;p&gt;THE PENTA EVO MUFFLER HAS A PARTICULAR SHAPE, OVAL AT THE BASE THAT DYNAMICALLY EVOLVES IN A PENTAGON AT THE END.&lt;/p&gt;_x000a_&lt;p&gt;ORIGINAL FULL KIT WEIGHT: KG 8.7&lt;/p&gt;_x000a_&lt;p&gt;ZARD ALUMINIUM FULL KIT &amp;nbsp;WEIGHT: KG 6.7&lt;br&gt;ZARD CARBON FULL KIT: KG 6.3&lt;/p&gt;_x000a_&lt;p&gt;HEADERS DIAMETERS: 60 TO 63.5mm&lt;/p&gt;_x000a_&lt;p&gt;HARD INCREASE, COMPARED TO THE ORIGINAL EXHAUST SYSTEM, IN TERMS OF TORQUE AND POWER (+4 HP) AT ANY RANGE.&lt;/p&gt;_x000a_&lt;p&gt;ASTONISHING SOUND.&lt;/p&gt;"/>
    <s v="https://shop.officineitalianezard.it/contents/imgs/products/1_256-0.jpg"/>
    <m/>
    <m/>
  </r>
  <r>
    <s v="1586059931-11554"/>
    <s v="https://shop.officineitalianezard.it/en/products/"/>
    <m/>
    <s v="https://shop.officineitalianezard.it/en/ducati-zard-exhaust/"/>
    <s v="848-1098R/S-1198R/S"/>
    <s v="https://shop.officineitalianezard.it/en/ducati-848-1098-r-s-1198-r-s-exhaust/"/>
    <s v="PENTA EVO VERSION"/>
    <x v="257"/>
    <s v="848/1098S FULL KIT 2&gt;1&gt;2"/>
    <s v="ZD010SKR"/>
    <s v="848/1098R-S/1198R-S"/>
    <n v="1707.05"/>
    <n v="1896.72"/>
    <s v="&lt;p&gt;2&amp;gt;1&amp;gt;2 STEEL-CARBON FULL KIT RACING WITH REMOVABLE DB KILLER&lt;/p&gt;_x000a_&lt;p&gt;THE PENTA EVO MUFFLER HAS A PARTICULAR SHAPE, OVAL AT THE BASE THAT DYNAMICALLY EVOLVES IN A PENTAGON AT THE END.&lt;/p&gt;_x000a_&lt;p&gt;ORIGINAL FULL KIT WEIGHT: KG 8.7&lt;/p&gt;_x000a_&lt;p&gt;ZARD ALUMINIUM FULL KIT &amp;nbsp;WEIGHT: KG 6.7&lt;br&gt;ZARD CARBON FULL KIT: KG 6.3&lt;/p&gt;_x000a_&lt;p&gt;HEADERS DIAMETERS: 60 TO 63.5mm&lt;/p&gt;_x000a_&lt;p&gt;HARD INCREASE, COMPARED TO THE ORIGINAL EXHAUST SYSTEM, IN TERMS OF TORQUE AND POWER (+4 HP) AT ANY RANGE.&lt;/p&gt;_x000a_&lt;p&gt;ASTONISHING SOUND.&lt;/p&gt;"/>
    <s v="https://shop.officineitalianezard.it/contents/imgs/products/1_257-2.jpg"/>
    <m/>
    <m/>
  </r>
  <r>
    <s v="1586059931-11555"/>
    <s v="https://shop.officineitalianezard.it/en/products/"/>
    <m/>
    <s v="https://shop.officineitalianezard.it/en/ducati-zard-exhaust/"/>
    <s v="848-1098R/S-1198R/S"/>
    <s v="https://shop.officineitalianezard.it/en/ducati-848-1098-r-s-1198-r-s-exhaust/"/>
    <s v="PENTA EVO VERSION"/>
    <x v="257"/>
    <s v="848/1098S FULL KIT 2&gt;1&gt;2"/>
    <s v="ZD010SKR"/>
    <s v="848/1098R-S/1198R-S"/>
    <n v="1707.05"/>
    <n v="1896.72"/>
    <s v="&lt;p&gt;2&amp;gt;1&amp;gt;2 STEEL-CARBON FULL KIT RACING WITH REMOVABLE DB KILLER&lt;/p&gt;_x000a_&lt;p&gt;THE PENTA EVO MUFFLER HAS A PARTICULAR SHAPE, OVAL AT THE BASE THAT DYNAMICALLY EVOLVES IN A PENTAGON AT THE END.&lt;/p&gt;_x000a_&lt;p&gt;ORIGINAL FULL KIT WEIGHT: KG 8.7&lt;/p&gt;_x000a_&lt;p&gt;ZARD ALUMINIUM FULL KIT &amp;nbsp;WEIGHT: KG 6.7&lt;br&gt;ZARD CARBON FULL KIT: KG 6.3&lt;/p&gt;_x000a_&lt;p&gt;HEADERS DIAMETERS: 60 TO 63.5mm&lt;/p&gt;_x000a_&lt;p&gt;HARD INCREASE, COMPARED TO THE ORIGINAL EXHAUST SYSTEM, IN TERMS OF TORQUE AND POWER (+4 HP) AT ANY RANGE.&lt;/p&gt;_x000a_&lt;p&gt;ASTONISHING SOUND.&lt;/p&gt;"/>
    <s v="https://shop.officineitalianezard.it/contents/imgs/products/1_258-1.jpg"/>
    <m/>
    <m/>
  </r>
  <r>
    <s v="1586059935-11556"/>
    <s v="https://shop.officineitalianezard.it/en/products/"/>
    <m/>
    <s v="https://shop.officineitalianezard.it/en/ducati-zard-exhaust/"/>
    <s v="848-1098R/S-1198R/S"/>
    <s v="https://shop.officineitalianezard.it/en/ducati-848-1098-r-s-1198-r-s-exhaust/"/>
    <s v="PENTA EVO VERSION"/>
    <x v="258"/>
    <s v="1098 R-S/1198 R-S 2&gt;1&gt;2 FULL KIT"/>
    <s v="ZD010SRR"/>
    <s v="848/1098R-S/1198R-S"/>
    <n v="1800.74"/>
    <n v="2000.82"/>
    <s v="&lt;p&gt;2&amp;gt;1&amp;gt;2 STEEL-CARBON FULL KIT RACING WITH REMOVABLE DB KILLER&lt;/p&gt;_x000a_&lt;p&gt;THE PENTA EVO MUFFLER HAS A PARTICULAR SHAPE, OVAL AT THE BASE THAT DYNAMICALLY EVOLVES IN A PENTAGON AT THE END.&lt;/p&gt;_x000a_&lt;p&gt;CARBON ENDCAPS.&lt;/p&gt;_x000a_&lt;p&gt;ORIGINAL FULL KIT WEIGHT: KG 8.7&lt;br&gt;ZARD ALUMINIUM FULL KIT WEIGHT: KG 6.7&lt;br&gt;ZARD CARBON FULL KIT: KG 6.3&lt;/p&gt;_x000a_&lt;p&gt;HEADERS DIAMETERS: 60 TO 63.5mm&lt;/p&gt;_x000a_&lt;p&gt;HARD INCREASE, COMPARED TO THE ORIGINAL EXHAUST SYSTEM, IN TERMS OF TORQUE AND POWER (+4 HP) AT ANY RANGE.&lt;/p&gt;_x000a_&lt;p&gt;ASTONISHING SOUND.&lt;/p&gt;_x000a_&lt;p&gt;POWER CURVE: &lt;a href=&quot;http://shop.officineitalianezard.it//public/contents/imgs/cms/kit_zard_1198_racing_8_cv.pdf&quot;&gt;DOWNLOAD&lt;/a&gt;&lt;/p&gt;"/>
    <s v="https://shop.officineitalianezard.it/contents/imgs/products/1_259-0.jpg"/>
    <m/>
    <m/>
  </r>
  <r>
    <s v="1586059935-11557"/>
    <s v="https://shop.officineitalianezard.it/en/products/"/>
    <m/>
    <s v="https://shop.officineitalianezard.it/en/ducati-zard-exhaust/"/>
    <s v="848-1098R/S-1198R/S"/>
    <s v="https://shop.officineitalianezard.it/en/ducati-848-1098-r-s-1198-r-s-exhaust/"/>
    <s v="PENTA EVO VERSION"/>
    <x v="258"/>
    <s v="1098 R-S/1198 R-S 2&gt;1&gt;2 FULL KIT"/>
    <s v="ZD010SRR"/>
    <s v="848/1098R-S/1198R-S"/>
    <n v="1800.74"/>
    <n v="2000.82"/>
    <s v="&lt;p&gt;2&amp;gt;1&amp;gt;2 STEEL-CARBON FULL KIT RACING WITH REMOVABLE DB KILLER&lt;/p&gt;_x000a_&lt;p&gt;THE PENTA EVO MUFFLER HAS A PARTICULAR SHAPE, OVAL AT THE BASE THAT DYNAMICALLY EVOLVES IN A PENTAGON AT THE END.&lt;/p&gt;_x000a_&lt;p&gt;CARBON ENDCAPS.&lt;/p&gt;_x000a_&lt;p&gt;ORIGINAL FULL KIT WEIGHT: KG 8.7&lt;br&gt;ZARD ALUMINIUM FULL KIT WEIGHT: KG 6.7&lt;br&gt;ZARD CARBON FULL KIT: KG 6.3&lt;/p&gt;_x000a_&lt;p&gt;HEADERS DIAMETERS: 60 TO 63.5mm&lt;/p&gt;_x000a_&lt;p&gt;HARD INCREASE, COMPARED TO THE ORIGINAL EXHAUST SYSTEM, IN TERMS OF TORQUE AND POWER (+4 HP) AT ANY RANGE.&lt;/p&gt;_x000a_&lt;p&gt;ASTONISHING SOUND.&lt;/p&gt;_x000a_&lt;p&gt;POWER CURVE: &lt;a href=&quot;http://shop.officineitalianezard.it//public/contents/imgs/cms/kit_zard_1198_racing_8_cv.pdf&quot;&gt;DOWNLOAD&lt;/a&gt;&lt;/p&gt;"/>
    <s v="https://shop.officineitalianezard.it/contents/imgs/products/1_260-2.jpg"/>
    <m/>
    <m/>
  </r>
  <r>
    <s v="1586059935-11558"/>
    <s v="https://shop.officineitalianezard.it/en/products/"/>
    <m/>
    <s v="https://shop.officineitalianezard.it/en/ducati-zard-exhaust/"/>
    <s v="848-1098R/S-1198R/S"/>
    <s v="https://shop.officineitalianezard.it/en/ducati-848-1098-r-s-1198-r-s-exhaust/"/>
    <s v="PENTA EVO VERSION"/>
    <x v="258"/>
    <s v="1098 R-S/1198 R-S 2&gt;1&gt;2 FULL KIT"/>
    <s v="ZD010SRR"/>
    <s v="848/1098R-S/1198R-S"/>
    <n v="1800.74"/>
    <n v="2000.82"/>
    <s v="&lt;p&gt;2&amp;gt;1&amp;gt;2 STEEL-CARBON FULL KIT RACING WITH REMOVABLE DB KILLER&lt;/p&gt;_x000a_&lt;p&gt;THE PENTA EVO MUFFLER HAS A PARTICULAR SHAPE, OVAL AT THE BASE THAT DYNAMICALLY EVOLVES IN A PENTAGON AT THE END.&lt;/p&gt;_x000a_&lt;p&gt;CARBON ENDCAPS.&lt;/p&gt;_x000a_&lt;p&gt;ORIGINAL FULL KIT WEIGHT: KG 8.7&lt;br&gt;ZARD ALUMINIUM FULL KIT WEIGHT: KG 6.7&lt;br&gt;ZARD CARBON FULL KIT: KG 6.3&lt;/p&gt;_x000a_&lt;p&gt;HEADERS DIAMETERS: 60 TO 63.5mm&lt;/p&gt;_x000a_&lt;p&gt;HARD INCREASE, COMPARED TO THE ORIGINAL EXHAUST SYSTEM, IN TERMS OF TORQUE AND POWER (+4 HP) AT ANY RANGE.&lt;/p&gt;_x000a_&lt;p&gt;ASTONISHING SOUND.&lt;/p&gt;_x000a_&lt;p&gt;POWER CURVE: &lt;a href=&quot;http://shop.officineitalianezard.it//public/contents/imgs/cms/kit_zard_1198_racing_8_cv.pdf&quot;&gt;DOWNLOAD&lt;/a&gt;&lt;/p&gt;"/>
    <s v="https://shop.officineitalianezard.it/contents/imgs/products/1_261-1.jpg"/>
    <m/>
    <m/>
  </r>
  <r>
    <s v="1586059940-11559"/>
    <s v="https://shop.officineitalianezard.it/en/products/"/>
    <m/>
    <s v="https://shop.officineitalianezard.it/en/ducati-zard-exhaust/"/>
    <s v="749/999 SINGLE-SEAT"/>
    <s v="https://shop.officineitalianezard.it/en/ducati-749-999-single-seat-exhaust/"/>
    <s v="UNDERSEAT VERSION"/>
    <x v="259"/>
    <s v="FULL KIT 2&gt;1&gt;2"/>
    <s v="ZD013SMR-11"/>
    <s v="DUCATI 749/999 MONOPOSTO"/>
    <n v="1399.43"/>
    <n v="1554.92"/>
    <s v="&lt;p&gt;2&amp;gt;1&amp;gt;2 STEEL RACING FULL KIT&lt;/p&gt;_x000a_&lt;p&gt;THE KIT INCLUDES THE CARBON HEAT SHIELD FOR MUFFLER&lt;/p&gt;_x000a_&lt;p&gt;SUITABLE FOR SINGLE-SIT VERSION:749 R 03-04, 999 MY 03-06, 999 S MY 04-06, 999 R MY 03-06&amp;nbsp;&lt;/p&gt;_x000a_&lt;p&gt;ZARD MUFFLER WEIGHT: KG 4.5&lt;/p&gt;_x000a_&lt;p&gt;ZARD MANIFOLD WEIGHT: KG 3.5&lt;/p&gt;_x000a_&lt;p&gt;HEADERS PIPES Ø 50mm&lt;br&gt;PIPES Ø 54-63.5mm&lt;br&gt;SILENCERS Ø 60mm&lt;/p&gt;_x000a_&lt;p&gt;HARD INCREASE, COMPARED TO THE ORIGINAL EXHAUST SYSTEM, IN TERMS OF TORQUE AND POWER (+6 HP ON 749 AND +9 HP ON 999) AT ANY RANGE.&lt;/p&gt;_x000a_&lt;p&gt;ASTONISHING SOUND.&lt;/p&gt;"/>
    <s v="https://shop.officineitalianezard.it/contents/imgs/products/1_245-ducati999mono.jpg"/>
    <m/>
    <m/>
  </r>
  <r>
    <s v="1586059940-11560"/>
    <s v="https://shop.officineitalianezard.it/en/products/"/>
    <m/>
    <s v="https://shop.officineitalianezard.it/en/ducati-zard-exhaust/"/>
    <s v="749/999 SINGLE-SEAT"/>
    <s v="https://shop.officineitalianezard.it/en/ducati-749-999-single-seat-exhaust/"/>
    <s v="UNDERSEAT VERSION"/>
    <x v="259"/>
    <s v="FULL KIT 2&gt;1&gt;2"/>
    <s v="ZD013SMR-11"/>
    <s v="DUCATI 749/999 MONOPOSTO"/>
    <n v="1399.43"/>
    <n v="1554.92"/>
    <s v="&lt;p&gt;2&amp;gt;1&amp;gt;2 STEEL RACING FULL KIT&lt;/p&gt;_x000a_&lt;p&gt;THE KIT INCLUDES THE CARBON HEAT SHIELD FOR MUFFLER&lt;/p&gt;_x000a_&lt;p&gt;SUITABLE FOR SINGLE-SIT VERSION:749 R 03-04, 999 MY 03-06, 999 S MY 04-06, 999 R MY 03-06&amp;nbsp;&lt;/p&gt;_x000a_&lt;p&gt;ZARD MUFFLER WEIGHT: KG 4.5&lt;/p&gt;_x000a_&lt;p&gt;ZARD MANIFOLD WEIGHT: KG 3.5&lt;/p&gt;_x000a_&lt;p&gt;HEADERS PIPES Ø 50mm&lt;br&gt;PIPES Ø 54-63.5mm&lt;br&gt;SILENCERS Ø 60mm&lt;/p&gt;_x000a_&lt;p&gt;HARD INCREASE, COMPARED TO THE ORIGINAL EXHAUST SYSTEM, IN TERMS OF TORQUE AND POWER (+6 HP ON 749 AND +9 HP ON 999) AT ANY RANGE.&lt;/p&gt;_x000a_&lt;p&gt;ASTONISHING SOUND.&lt;/p&gt;"/>
    <s v="https://shop.officineitalianezard.it/contents/imgs/products/1_533-SCARICO%20DUCATI%20ZARD%20SCARICHI%20MOTO.jpg"/>
    <m/>
    <m/>
  </r>
  <r>
    <s v="1586059945-11561"/>
    <s v="https://shop.officineitalianezard.it/en/products/"/>
    <m/>
    <s v="https://shop.officineitalianezard.it/en/ducati-zard-exhaust/"/>
    <s v="749/999 DOUBLE-SEAT"/>
    <s v="https://shop.officineitalianezard.it/en/ducati-749-999-double-seat-exhaust/"/>
    <s v="UNDERSEAT VERSION"/>
    <x v="260"/>
    <s v="FULL KIT 2&gt;1&gt;2"/>
    <s v="ZD013SBR-11"/>
    <s v="DUCATI 749/999 BIPOSTO"/>
    <n v="1287.3"/>
    <n v="1430.33"/>
    <s v="&lt;p&gt;2&amp;gt;1&amp;gt;2 &amp;nbsp;STEEL RACING FULL KIT&amp;nbsp;&lt;/p&gt;_x000a_&lt;p&gt;ZARD MUFFLER WEIGHT: KG 4.5&lt;br&gt;ZARD MANIFOLD WEIGHT: KG 3.5&lt;/p&gt;_x000a_&lt;p&gt;HEADERS PIPES Ø 50mm&lt;br&gt;PIPES Ø 54-63.5mm&lt;br&gt;SILENCERS Ø 60mm&lt;/p&gt;_x000a_&lt;p&gt;SUITABLE FOR DOUBLE-SIT VERSION: 749 MY 03-05, 749S 03-05, 999 MY 05-06, 999S MY 04-06&lt;/p&gt;_x000a_&lt;p&gt;HARD INCREASE, COMPARED TO THE ORIGINAL EXHAUST SYSTEM, IN TERMS OF TORQUE AND POWER (+6 HP ON 749 AND +9 HP ON 999) AT ANY RANGE.&lt;/p&gt;_x000a_&lt;p&gt;ASTONISHING SOUND.&lt;/p&gt;"/>
    <s v="https://shop.officineitalianezard.it/contents/imgs/products/1_535-SCARICO%20DUCATI%20ZARD%20SCARICHI%20MOTO.jpg"/>
    <m/>
    <m/>
  </r>
  <r>
    <s v="1586059945-11562"/>
    <s v="https://shop.officineitalianezard.it/en/products/"/>
    <m/>
    <s v="https://shop.officineitalianezard.it/en/ducati-zard-exhaust/"/>
    <s v="749/999 DOUBLE-SEAT"/>
    <s v="https://shop.officineitalianezard.it/en/ducati-749-999-double-seat-exhaust/"/>
    <s v="UNDERSEAT VERSION"/>
    <x v="260"/>
    <s v="FULL KIT 2&gt;1&gt;2"/>
    <s v="ZD013SBR-11"/>
    <s v="DUCATI 749/999 BIPOSTO"/>
    <n v="1287.3"/>
    <n v="1430.33"/>
    <s v="&lt;p&gt;2&amp;gt;1&amp;gt;2 &amp;nbsp;STEEL RACING FULL KIT&amp;nbsp;&lt;/p&gt;_x000a_&lt;p&gt;ZARD MUFFLER WEIGHT: KG 4.5&lt;br&gt;ZARD MANIFOLD WEIGHT: KG 3.5&lt;/p&gt;_x000a_&lt;p&gt;HEADERS PIPES Ø 50mm&lt;br&gt;PIPES Ø 54-63.5mm&lt;br&gt;SILENCERS Ø 60mm&lt;/p&gt;_x000a_&lt;p&gt;SUITABLE FOR DOUBLE-SIT VERSION: 749 MY 03-05, 749S 03-05, 999 MY 05-06, 999S MY 04-06&lt;/p&gt;_x000a_&lt;p&gt;HARD INCREASE, COMPARED TO THE ORIGINAL EXHAUST SYSTEM, IN TERMS OF TORQUE AND POWER (+6 HP ON 749 AND +9 HP ON 999) AT ANY RANGE.&lt;/p&gt;_x000a_&lt;p&gt;ASTONISHING SOUND.&lt;/p&gt;"/>
    <s v="https://shop.officineitalianezard.it/contents/imgs/products/1_536-SCARICO%20DUCATI%20ZARD%20SCARICHI%20MOTO.jpg"/>
    <m/>
    <m/>
  </r>
  <r>
    <s v="1586059945-11563"/>
    <s v="https://shop.officineitalianezard.it/en/products/"/>
    <m/>
    <s v="https://shop.officineitalianezard.it/en/ducati-zard-exhaust/"/>
    <s v="749/999 DOUBLE-SEAT"/>
    <s v="https://shop.officineitalianezard.it/en/ducati-749-999-double-seat-exhaust/"/>
    <s v="UNDERSEAT VERSION"/>
    <x v="260"/>
    <s v="FULL KIT 2&gt;1&gt;2"/>
    <s v="ZD013SBR-11"/>
    <s v="DUCATI 749/999 BIPOSTO"/>
    <n v="1287.3"/>
    <n v="1430.33"/>
    <s v="&lt;p&gt;2&amp;gt;1&amp;gt;2 &amp;nbsp;STEEL RACING FULL KIT&amp;nbsp;&lt;/p&gt;_x000a_&lt;p&gt;ZARD MUFFLER WEIGHT: KG 4.5&lt;br&gt;ZARD MANIFOLD WEIGHT: KG 3.5&lt;/p&gt;_x000a_&lt;p&gt;HEADERS PIPES Ø 50mm&lt;br&gt;PIPES Ø 54-63.5mm&lt;br&gt;SILENCERS Ø 60mm&lt;/p&gt;_x000a_&lt;p&gt;SUITABLE FOR DOUBLE-SIT VERSION: 749 MY 03-05, 749S 03-05, 999 MY 05-06, 999S MY 04-06&lt;/p&gt;_x000a_&lt;p&gt;HARD INCREASE, COMPARED TO THE ORIGINAL EXHAUST SYSTEM, IN TERMS OF TORQUE AND POWER (+6 HP ON 749 AND +9 HP ON 999) AT ANY RANGE.&lt;/p&gt;_x000a_&lt;p&gt;ASTONISHING SOUND.&lt;/p&gt;"/>
    <s v="https://shop.officineitalianezard.it/contents/imgs/products/1_537-SCARICO%20DUCATI%20ZARD%20SCARICHI%20MOTO.jpg"/>
    <m/>
    <m/>
  </r>
  <r>
    <s v="1586059952-11564"/>
    <s v="https://shop.officineitalianezard.it/en/products/"/>
    <m/>
    <s v="https://shop.officineitalianezard.it/en/can-am-exhaust/"/>
    <s v="SPIDER"/>
    <s v="https://shop.officineitalianezard.it/en/can-am-spider-exhaust/"/>
    <s v="CONICAL VERSION"/>
    <x v="261"/>
    <s v="SILENCER"/>
    <s v="ZCAN380SSR"/>
    <s v="CAN-AM SPIDER"/>
    <n v="593.11"/>
    <n v="659.02"/>
    <s v="&lt;p&gt;STEEL RACING SILENCER WITH REMOVABLE DB KILLER&lt;/p&gt;_x000a_&lt;p&gt;ONE MORE DB KILLER ADDED (SUPERIOR DIAMETER)&lt;/p&gt;_x000a_&lt;p&gt;HARD INCREASE, COMPARED TO THE ORIGINAL EXHAUST SYSTEM, IN TERMS OF TORQUE AND POWER AT ANY RANGE.&lt;/p&gt;_x000a_&lt;p&gt;ASTONISHING SOUND.&lt;/p&gt;"/>
    <s v="https://shop.officineitalianezard.it/contents/imgs/products/1_1038-scarico%20can-am%20zard.jpg"/>
    <m/>
    <m/>
  </r>
  <r>
    <s v="1586059952-11565"/>
    <s v="https://shop.officineitalianezard.it/en/products/"/>
    <m/>
    <s v="https://shop.officineitalianezard.it/en/can-am-exhaust/"/>
    <s v="SPIDER"/>
    <s v="https://shop.officineitalianezard.it/en/can-am-spider-exhaust/"/>
    <s v="CONICAL VERSION"/>
    <x v="261"/>
    <s v="SILENCER"/>
    <s v="ZCAN380SSR"/>
    <s v="CAN-AM SPIDER"/>
    <n v="593.11"/>
    <n v="659.02"/>
    <s v="&lt;p&gt;STEEL RACING SILENCER WITH REMOVABLE DB KILLER&lt;/p&gt;_x000a_&lt;p&gt;ONE MORE DB KILLER ADDED (SUPERIOR DIAMETER)&lt;/p&gt;_x000a_&lt;p&gt;HARD INCREASE, COMPARED TO THE ORIGINAL EXHAUST SYSTEM, IN TERMS OF TORQUE AND POWER AT ANY RANGE.&lt;/p&gt;_x000a_&lt;p&gt;ASTONISHING SOUND.&lt;/p&gt;"/>
    <s v="https://shop.officineitalianezard.it/contents/imgs/products/1_1037-scarico%20can-am%20zard%202.jpg"/>
    <m/>
    <m/>
  </r>
  <r>
    <s v="1586059952-11566"/>
    <s v="https://shop.officineitalianezard.it/en/products/"/>
    <m/>
    <s v="https://shop.officineitalianezard.it/en/can-am-exhaust/"/>
    <s v="SPIDER"/>
    <s v="https://shop.officineitalianezard.it/en/can-am-spider-exhaust/"/>
    <s v="CONICAL VERSION"/>
    <x v="261"/>
    <s v="SILENCER"/>
    <s v="ZCAN380SSR"/>
    <s v="CAN-AM SPIDER"/>
    <n v="593.11"/>
    <n v="659.02"/>
    <s v="&lt;p&gt;STEEL RACING SILENCER WITH REMOVABLE DB KILLER&lt;/p&gt;_x000a_&lt;p&gt;ONE MORE DB KILLER ADDED (SUPERIOR DIAMETER)&lt;/p&gt;_x000a_&lt;p&gt;HARD INCREASE, COMPARED TO THE ORIGINAL EXHAUST SYSTEM, IN TERMS OF TORQUE AND POWER AT ANY RANGE.&lt;/p&gt;_x000a_&lt;p&gt;ASTONISHING SOUND.&lt;/p&gt;"/>
    <m/>
    <s v="MIRROR POLISHED"/>
    <n v="65.66"/>
  </r>
  <r>
    <s v="1586059952-11567"/>
    <s v="https://shop.officineitalianezard.it/en/products/"/>
    <m/>
    <s v="https://shop.officineitalianezard.it/en/can-am-exhaust/"/>
    <s v="SPIDER"/>
    <s v="https://shop.officineitalianezard.it/en/can-am-spider-exhaust/"/>
    <s v="CONICAL VERSION"/>
    <x v="261"/>
    <s v="SILENCER"/>
    <s v="ZCAN380SSR"/>
    <s v="CAN-AM SPIDER"/>
    <n v="593.11"/>
    <n v="659.02"/>
    <s v="&lt;p&gt;STEEL RACING SILENCER WITH REMOVABLE DB KILLER&lt;/p&gt;_x000a_&lt;p&gt;ONE MORE DB KILLER ADDED (SUPERIOR DIAMETER)&lt;/p&gt;_x000a_&lt;p&gt;HARD INCREASE, COMPARED TO THE ORIGINAL EXHAUST SYSTEM, IN TERMS OF TORQUE AND POWER AT ANY RANGE.&lt;/p&gt;_x000a_&lt;p&gt;ASTONISHING SOUND.&lt;/p&gt;"/>
    <m/>
    <s v="BLACK CERAMIC COATING"/>
    <n v="77.459999999999994"/>
  </r>
  <r>
    <s v="1586059959-11568"/>
    <s v="https://shop.officineitalianezard.it/en/products/"/>
    <m/>
    <s v="https://shop.officineitalianezard.it/en/bmw-zard-exaust/"/>
    <s v="R 1200 S"/>
    <s v="https://shop.officineitalianezard.it/en/bmw-r-1200-s-exhaust/"/>
    <s v="UNDER-SEAT VERSION"/>
    <x v="262"/>
    <s v="SILENCER"/>
    <s v="ZBMW082SSO-S"/>
    <s v="BMW R 1200 S"/>
    <n v="554.75"/>
    <n v="616.39"/>
    <s v="&lt;p&gt;STEEL SILENCER HOMOLOGATED&lt;/p&gt;_x000a_&lt;p&gt;ORIGINAL SILENCER WEIGHT: KG 6&lt;br&gt;ZARD SILENCER WEIGHT: KG 5.3&lt;/p&gt;_x000a_&lt;p&gt;HARD INCREASE, COMPARED TO THE ORIGINAL EXHAUST SYSTEM, IN TERMS OF TORQUE AND POWER AT ANY RANGE&lt;/p&gt;_x000a_&lt;p&gt;ASTONISHING SOUND&lt;/p&gt;"/>
    <s v="https://shop.officineitalianezard.it/contents/imgs/products/1_808-S8000005.JPG"/>
    <m/>
    <m/>
  </r>
  <r>
    <s v="1586059959-11569"/>
    <s v="https://shop.officineitalianezard.it/en/products/"/>
    <m/>
    <s v="https://shop.officineitalianezard.it/en/bmw-zard-exaust/"/>
    <s v="R 1200 S"/>
    <s v="https://shop.officineitalianezard.it/en/bmw-r-1200-s-exhaust/"/>
    <s v="UNDER-SEAT VERSION"/>
    <x v="262"/>
    <s v="SILENCER"/>
    <s v="ZBMW082SSO-S"/>
    <s v="BMW R 1200 S"/>
    <n v="554.75"/>
    <n v="616.39"/>
    <s v="&lt;p&gt;STEEL SILENCER HOMOLOGATED&lt;/p&gt;_x000a_&lt;p&gt;ORIGINAL SILENCER WEIGHT: KG 6&lt;br&gt;ZARD SILENCER WEIGHT: KG 5.3&lt;/p&gt;_x000a_&lt;p&gt;HARD INCREASE, COMPARED TO THE ORIGINAL EXHAUST SYSTEM, IN TERMS OF TORQUE AND POWER AT ANY RANGE&lt;/p&gt;_x000a_&lt;p&gt;ASTONISHING SOUND&lt;/p&gt;"/>
    <s v="https://shop.officineitalianezard.it/contents/imgs/products/1_787-scarichi%20moto%20zard%20bmw%201.jpg"/>
    <m/>
    <m/>
  </r>
  <r>
    <s v="1586059959-11570"/>
    <s v="https://shop.officineitalianezard.it/en/products/"/>
    <m/>
    <s v="https://shop.officineitalianezard.it/en/bmw-zard-exaust/"/>
    <s v="R 1200 S"/>
    <s v="https://shop.officineitalianezard.it/en/bmw-r-1200-s-exhaust/"/>
    <s v="UNDER-SEAT VERSION"/>
    <x v="262"/>
    <s v="SILENCER"/>
    <s v="ZBMW082SSO-S"/>
    <s v="BMW R 1200 S"/>
    <n v="554.75"/>
    <n v="616.39"/>
    <s v="&lt;p&gt;STEEL SILENCER HOMOLOGATED&lt;/p&gt;_x000a_&lt;p&gt;ORIGINAL SILENCER WEIGHT: KG 6&lt;br&gt;ZARD SILENCER WEIGHT: KG 5.3&lt;/p&gt;_x000a_&lt;p&gt;HARD INCREASE, COMPARED TO THE ORIGINAL EXHAUST SYSTEM, IN TERMS OF TORQUE AND POWER AT ANY RANGE&lt;/p&gt;_x000a_&lt;p&gt;ASTONISHING SOUND&lt;/p&gt;"/>
    <s v="https://shop.officineitalianezard.it/contents/imgs/products/1_809-S8000010.JPG"/>
    <m/>
    <m/>
  </r>
  <r>
    <s v="1586059965-11571"/>
    <s v="https://shop.officineitalianezard.it/en/products/"/>
    <m/>
    <s v="https://shop.officineitalianezard.it/en/bmw-zard-exaust/"/>
    <s v="R 1200 R M.Y. 11-13"/>
    <s v="https://shop.officineitalianezard.it/en/bmw-r-1200-r-m-y-11-13-exhaust/"/>
    <s v="STEEL VERSION"/>
    <x v="263"/>
    <s v="HEADERS KIT"/>
    <s v="ZBMW518SCR"/>
    <s v="BMW R 1200 R M.Y. 11-13"/>
    <n v="320.16000000000003"/>
    <n v="355.74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s v="https://shop.officineitalianezard.it/contents/imgs/products/1_922-Collettorecomp.1.JPG"/>
    <m/>
    <m/>
  </r>
  <r>
    <s v="1586059965-11572"/>
    <s v="https://shop.officineitalianezard.it/en/products/"/>
    <m/>
    <s v="https://shop.officineitalianezard.it/en/bmw-zard-exaust/"/>
    <s v="R 1200 R M.Y. 11-13"/>
    <s v="https://shop.officineitalianezard.it/en/bmw-r-1200-r-m-y-11-13-exhaust/"/>
    <s v="STEEL VERSION"/>
    <x v="263"/>
    <s v="HEADERS KIT"/>
    <s v="ZBMW518SCR"/>
    <s v="BMW R 1200 R M.Y. 11-13"/>
    <n v="320.16000000000003"/>
    <n v="355.74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s v="https://shop.officineitalianezard.it/contents/imgs/products/1_923-Collettorecomp.2.JPG"/>
    <m/>
    <m/>
  </r>
  <r>
    <s v="1586059965-11573"/>
    <s v="https://shop.officineitalianezard.it/en/products/"/>
    <m/>
    <s v="https://shop.officineitalianezard.it/en/bmw-zard-exaust/"/>
    <s v="R 1200 R M.Y. 11-13"/>
    <s v="https://shop.officineitalianezard.it/en/bmw-r-1200-r-m-y-11-13-exhaust/"/>
    <s v="STEEL VERSION"/>
    <x v="263"/>
    <s v="HEADERS KIT"/>
    <s v="ZBMW518SCR"/>
    <s v="BMW R 1200 R M.Y. 11-13"/>
    <n v="320.16000000000003"/>
    <n v="355.74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s v="https://shop.officineitalianezard.it/contents/imgs/products/1_924-Collettorecomp.3.JPG"/>
    <m/>
    <m/>
  </r>
  <r>
    <s v="1586059965-11574"/>
    <s v="https://shop.officineitalianezard.it/en/products/"/>
    <m/>
    <s v="https://shop.officineitalianezard.it/en/bmw-zard-exaust/"/>
    <s v="R 1200 R M.Y. 11-13"/>
    <s v="https://shop.officineitalianezard.it/en/bmw-r-1200-r-m-y-11-13-exhaust/"/>
    <s v="STEEL VERSION"/>
    <x v="263"/>
    <s v="HEADERS KIT"/>
    <s v="ZBMW518SCR"/>
    <s v="BMW R 1200 R M.Y. 11-13"/>
    <n v="320.16000000000003"/>
    <n v="355.74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s v="https://shop.officineitalianezard.it/contents/imgs/products/1_925-Collettorecomp.JPG"/>
    <m/>
    <m/>
  </r>
  <r>
    <s v="1586059965-11575"/>
    <s v="https://shop.officineitalianezard.it/en/products/"/>
    <m/>
    <s v="https://shop.officineitalianezard.it/en/bmw-zard-exaust/"/>
    <s v="R 1200 R M.Y. 11-13"/>
    <s v="https://shop.officineitalianezard.it/en/bmw-r-1200-r-m-y-11-13-exhaust/"/>
    <s v="STEEL VERSION"/>
    <x v="263"/>
    <s v="HEADERS KIT"/>
    <s v="ZBMW518SCR"/>
    <s v="BMW R 1200 R M.Y. 11-13"/>
    <n v="320.16000000000003"/>
    <n v="355.74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m/>
    <s v="BLACK COATING"/>
    <n v="77.459999999999994"/>
  </r>
  <r>
    <s v="1586059965-11576"/>
    <s v="https://shop.officineitalianezard.it/en/products/"/>
    <m/>
    <s v="https://shop.officineitalianezard.it/en/bmw-zard-exaust/"/>
    <s v="R 1200 R M.Y. 11-13"/>
    <s v="https://shop.officineitalianezard.it/en/bmw-r-1200-r-m-y-11-13-exhaust/"/>
    <s v="STEEL VERSION"/>
    <x v="263"/>
    <s v="HEADERS KIT"/>
    <s v="ZBMW518SCR"/>
    <s v="BMW R 1200 R M.Y. 11-13"/>
    <n v="320.16000000000003"/>
    <n v="355.74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m/>
    <s v="MIRROR POLISHED"/>
    <n v="47.21"/>
  </r>
  <r>
    <s v="1586059965-11577"/>
    <s v="https://shop.officineitalianezard.it/en/products/"/>
    <m/>
    <s v="https://shop.officineitalianezard.it/en/bmw-zard-exaust/"/>
    <s v="R 1200 R M.Y. 11-13"/>
    <s v="https://shop.officineitalianezard.it/en/bmw-r-1200-r-m-y-11-13-exhaust/"/>
    <s v="STEEL VERSION"/>
    <x v="263"/>
    <s v="HEADERS KIT"/>
    <s v="ZBMW518SCR"/>
    <s v="BMW R 1200 R M.Y. 11-13"/>
    <n v="320.16000000000003"/>
    <n v="355.74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m/>
    <s v="STAINLESS STEEL WITH COMPENSER"/>
    <n v="84.1"/>
  </r>
  <r>
    <s v="1586059965-11578"/>
    <s v="https://shop.officineitalianezard.it/en/products/"/>
    <m/>
    <s v="https://shop.officineitalianezard.it/en/bmw-zard-exaust/"/>
    <s v="R 1200 R M.Y. 11-13"/>
    <s v="https://shop.officineitalianezard.it/en/bmw-r-1200-r-m-y-11-13-exhaust/"/>
    <s v="STEEL VERSION"/>
    <x v="263"/>
    <s v="HEADERS KIT"/>
    <s v="ZBMW518SCR"/>
    <s v="BMW R 1200 R M.Y. 11-13"/>
    <n v="320.16000000000003"/>
    <n v="355.74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m/>
    <s v="TITANIUM WITH COMPENSER"/>
    <n v="338.61"/>
  </r>
  <r>
    <s v="1586059969-11579"/>
    <s v="https://shop.officineitalianezard.it/en/products/"/>
    <m/>
    <s v="https://shop.officineitalianezard.it/en/bmw-zard-exaust/"/>
    <s v="R 1200 R M.Y. 11-13"/>
    <s v="https://shop.officineitalianezard.it/en/bmw-r-1200-r-m-y-11-13-exhaust/"/>
    <s v="CONICAL VERSION"/>
    <x v="264"/>
    <s v="SILENCER"/>
    <s v="ZBMW518SSR-S"/>
    <s v="BMW R 1200 R M.Y. 11-13"/>
    <n v="379.18"/>
    <n v="421.31"/>
    <s v="&lt;p&gt;STEEL SILENCER RACING ..&amp;nbsp;&lt;/p&gt;_x000a_&lt;p&gt;ORIGINAL SILENCER WEIGHT: KG 6.2&lt;br&gt;ZARD SILENCER WEIGHT: KG 3&lt;/p&gt;_x000a_&lt;p&gt;HARD INCREASE, COMPARED TO THE ORIGINAL EXHAUST SYSTEM, IN TERMS OF TORQUE AND POWER AT ANY RANGE&lt;/p&gt;_x000a_&lt;p&gt;ASTONISHING SOUND&lt;/p&gt;"/>
    <s v="https://shop.officineitalianezard.it/contents/imgs/products/1_912-scarichi%20moto%20zard%20bmw%20r%201200%20r%201.jpg"/>
    <m/>
    <m/>
  </r>
  <r>
    <s v="1586059969-11580"/>
    <s v="https://shop.officineitalianezard.it/en/products/"/>
    <m/>
    <s v="https://shop.officineitalianezard.it/en/bmw-zard-exaust/"/>
    <s v="R 1200 R M.Y. 11-13"/>
    <s v="https://shop.officineitalianezard.it/en/bmw-r-1200-r-m-y-11-13-exhaust/"/>
    <s v="CONICAL VERSION"/>
    <x v="264"/>
    <s v="SILENCER"/>
    <s v="ZBMW518SSR-S"/>
    <s v="BMW R 1200 R M.Y. 11-13"/>
    <n v="379.18"/>
    <n v="421.31"/>
    <s v="&lt;p&gt;STEEL SILENCER RACING ..&amp;nbsp;&lt;/p&gt;_x000a_&lt;p&gt;ORIGINAL SILENCER WEIGHT: KG 6.2&lt;br&gt;ZARD SILENCER WEIGHT: KG 3&lt;/p&gt;_x000a_&lt;p&gt;HARD INCREASE, COMPARED TO THE ORIGINAL EXHAUST SYSTEM, IN TERMS OF TORQUE AND POWER AT ANY RANGE&lt;/p&gt;_x000a_&lt;p&gt;ASTONISHING SOUND&lt;/p&gt;"/>
    <s v="https://shop.officineitalianezard.it/contents/imgs/products/1_913-scarichi%20moto%20zard%20bmw%20r%201200%20r%202.jpg"/>
    <m/>
    <m/>
  </r>
  <r>
    <s v="1586059969-11581"/>
    <s v="https://shop.officineitalianezard.it/en/products/"/>
    <m/>
    <s v="https://shop.officineitalianezard.it/en/bmw-zard-exaust/"/>
    <s v="R 1200 R M.Y. 11-13"/>
    <s v="https://shop.officineitalianezard.it/en/bmw-r-1200-r-m-y-11-13-exhaust/"/>
    <s v="CONICAL VERSION"/>
    <x v="264"/>
    <s v="SILENCER"/>
    <s v="ZBMW518SSR-S"/>
    <s v="BMW R 1200 R M.Y. 11-13"/>
    <n v="379.18"/>
    <n v="421.31"/>
    <s v="&lt;p&gt;STEEL SILENCER RACING ..&amp;nbsp;&lt;/p&gt;_x000a_&lt;p&gt;ORIGINAL SILENCER WEIGHT: KG 6.2&lt;br&gt;ZARD SILENCER WEIGHT: KG 3&lt;/p&gt;_x000a_&lt;p&gt;HARD INCREASE, COMPARED TO THE ORIGINAL EXHAUST SYSTEM, IN TERMS OF TORQUE AND POWER AT ANY RANGE&lt;/p&gt;_x000a_&lt;p&gt;ASTONISHING SOUND&lt;/p&gt;"/>
    <m/>
    <s v="HOMOLOGATED EURO 3"/>
    <n v="23.61"/>
  </r>
  <r>
    <s v="1586059969-11582"/>
    <s v="https://shop.officineitalianezard.it/en/products/"/>
    <m/>
    <s v="https://shop.officineitalianezard.it/en/bmw-zard-exaust/"/>
    <s v="R 1200 R M.Y. 11-13"/>
    <s v="https://shop.officineitalianezard.it/en/bmw-r-1200-r-m-y-11-13-exhaust/"/>
    <s v="CONICAL VERSION"/>
    <x v="264"/>
    <s v="SILENCER"/>
    <s v="ZBMW518SSR-S"/>
    <s v="BMW R 1200 R M.Y. 11-13"/>
    <n v="379.18"/>
    <n v="421.31"/>
    <s v="&lt;p&gt;STEEL SILENCER RACING ..&amp;nbsp;&lt;/p&gt;_x000a_&lt;p&gt;ORIGINAL SILENCER WEIGHT: KG 6.2&lt;br&gt;ZARD SILENCER WEIGHT: KG 3&lt;/p&gt;_x000a_&lt;p&gt;HARD INCREASE, COMPARED TO THE ORIGINAL EXHAUST SYSTEM, IN TERMS OF TORQUE AND POWER AT ANY RANGE&lt;/p&gt;_x000a_&lt;p&gt;ASTONISHING SOUND&lt;/p&gt;"/>
    <m/>
    <s v="BLACK COATING"/>
    <n v="77.459999999999994"/>
  </r>
  <r>
    <s v="1586059969-11583"/>
    <s v="https://shop.officineitalianezard.it/en/products/"/>
    <m/>
    <s v="https://shop.officineitalianezard.it/en/bmw-zard-exaust/"/>
    <s v="R 1200 R M.Y. 11-13"/>
    <s v="https://shop.officineitalianezard.it/en/bmw-r-1200-r-m-y-11-13-exhaust/"/>
    <s v="CONICAL VERSION"/>
    <x v="264"/>
    <s v="SILENCER"/>
    <s v="ZBMW518SSR-S"/>
    <s v="BMW R 1200 R M.Y. 11-13"/>
    <n v="379.18"/>
    <n v="421.31"/>
    <s v="&lt;p&gt;STEEL SILENCER RACING ..&amp;nbsp;&lt;/p&gt;_x000a_&lt;p&gt;ORIGINAL SILENCER WEIGHT: KG 6.2&lt;br&gt;ZARD SILENCER WEIGHT: KG 3&lt;/p&gt;_x000a_&lt;p&gt;HARD INCREASE, COMPARED TO THE ORIGINAL EXHAUST SYSTEM, IN TERMS OF TORQUE AND POWER AT ANY RANGE&lt;/p&gt;_x000a_&lt;p&gt;ASTONISHING SOUND&lt;/p&gt;"/>
    <m/>
    <s v="MIRROR POLISHED"/>
    <n v="19.18"/>
  </r>
  <r>
    <s v="1586059969-11584"/>
    <s v="https://shop.officineitalianezard.it/en/products/"/>
    <m/>
    <s v="https://shop.officineitalianezard.it/en/bmw-zard-exaust/"/>
    <s v="R 1200 R M.Y. 11-13"/>
    <s v="https://shop.officineitalianezard.it/en/bmw-r-1200-r-m-y-11-13-exhaust/"/>
    <s v="CONICAL VERSION"/>
    <x v="264"/>
    <s v="SILENCER"/>
    <s v="ZBMW518SSR-S"/>
    <s v="BMW R 1200 R M.Y. 11-13"/>
    <n v="379.18"/>
    <n v="421.31"/>
    <s v="&lt;p&gt;STEEL SILENCER RACING ..&amp;nbsp;&lt;/p&gt;_x000a_&lt;p&gt;ORIGINAL SILENCER WEIGHT: KG 6.2&lt;br&gt;ZARD SILENCER WEIGHT: KG 3&lt;/p&gt;_x000a_&lt;p&gt;HARD INCREASE, COMPARED TO THE ORIGINAL EXHAUST SYSTEM, IN TERMS OF TORQUE AND POWER AT ANY RANGE&lt;/p&gt;_x000a_&lt;p&gt;ASTONISHING SOUND&lt;/p&gt;"/>
    <m/>
    <s v="CARBON ENDCAP"/>
    <n v="42.05"/>
  </r>
  <r>
    <s v="1586059975-11585"/>
    <s v="https://shop.officineitalianezard.it/en/products/"/>
    <m/>
    <s v="https://shop.officineitalianezard.it/en/bmw-zard-exaust/"/>
    <s v="R 1250 GS &gt; 2019"/>
    <s v="https://shop.officineitalianezard.it/en/bmw-r-1250-gs-exhaust/"/>
    <s v="SLIP-ON VERSION"/>
    <x v="265"/>
    <s v="SILENCER"/>
    <s v="ZBMW523SSR-FC"/>
    <s v="BMW R 1250 GS &gt; 2019"/>
    <n v="487.62"/>
    <n v="541.79999999999995"/>
    <s v="&lt;p&gt;STEEL RACING SILENCER WITH&amp;nbsp;CARBON ENDCAP AND HEAT SHIELD.&lt;br&gt;REMOVABLE DB-KILLERS.&lt;/p&gt;_x000a_&lt;p&gt;ORIGINAL SILENCER WEIGHT: KG 5.3&lt;br&gt;ZARD SILENCER WEIGHT: KG 3.1&lt;/p&gt;_x000a_&lt;p&gt;HARD INCREASE IN TERMS OF RESPONSE IN THE MID-RANGE AND MORE&lt;br&gt;MAXIMUM POWER COMPARED TO THE DEFAULT EXHAUST SYSTEM,&lt;br&gt;ASTONISHING SOUND.&lt;/p&gt;"/>
    <s v="https://shop.officineitalianezard.it/contents/imgs/products/1_2461-scarico%20bmw%201250%20gs%20-%20zard%201.jpg"/>
    <m/>
    <m/>
  </r>
  <r>
    <s v="1586059975-11586"/>
    <s v="https://shop.officineitalianezard.it/en/products/"/>
    <m/>
    <s v="https://shop.officineitalianezard.it/en/bmw-zard-exaust/"/>
    <s v="R 1250 GS &gt; 2019"/>
    <s v="https://shop.officineitalianezard.it/en/bmw-r-1250-gs-exhaust/"/>
    <s v="SLIP-ON VERSION"/>
    <x v="265"/>
    <s v="SILENCER"/>
    <s v="ZBMW523SSR-FC"/>
    <s v="BMW R 1250 GS &gt; 2019"/>
    <n v="487.62"/>
    <n v="541.79999999999995"/>
    <s v="&lt;p&gt;STEEL RACING SILENCER WITH&amp;nbsp;CARBON ENDCAP AND HEAT SHIELD.&lt;br&gt;REMOVABLE DB-KILLERS.&lt;/p&gt;_x000a_&lt;p&gt;ORIGINAL SILENCER WEIGHT: KG 5.3&lt;br&gt;ZARD SILENCER WEIGHT: KG 3.1&lt;/p&gt;_x000a_&lt;p&gt;HARD INCREASE IN TERMS OF RESPONSE IN THE MID-RANGE AND MORE&lt;br&gt;MAXIMUM POWER COMPARED TO THE DEFAULT EXHAUST SYSTEM,&lt;br&gt;ASTONISHING SOUND.&lt;/p&gt;"/>
    <s v="https://shop.officineitalianezard.it/contents/imgs/products/1_2462-scarico%20bmw%201250%20gs%20-%20zard%202.jpg"/>
    <m/>
    <m/>
  </r>
  <r>
    <s v="1586059975-11587"/>
    <s v="https://shop.officineitalianezard.it/en/products/"/>
    <m/>
    <s v="https://shop.officineitalianezard.it/en/bmw-zard-exaust/"/>
    <s v="R 1250 GS &gt; 2019"/>
    <s v="https://shop.officineitalianezard.it/en/bmw-r-1250-gs-exhaust/"/>
    <s v="SLIP-ON VERSION"/>
    <x v="265"/>
    <s v="SILENCER"/>
    <s v="ZBMW523SSR-FC"/>
    <s v="BMW R 1250 GS &gt; 2019"/>
    <n v="487.62"/>
    <n v="541.79999999999995"/>
    <s v="&lt;p&gt;STEEL RACING SILENCER WITH&amp;nbsp;CARBON ENDCAP AND HEAT SHIELD.&lt;br&gt;REMOVABLE DB-KILLERS.&lt;/p&gt;_x000a_&lt;p&gt;ORIGINAL SILENCER WEIGHT: KG 5.3&lt;br&gt;ZARD SILENCER WEIGHT: KG 3.1&lt;/p&gt;_x000a_&lt;p&gt;HARD INCREASE IN TERMS OF RESPONSE IN THE MID-RANGE AND MORE&lt;br&gt;MAXIMUM POWER COMPARED TO THE DEFAULT EXHAUST SYSTEM,&lt;br&gt;ASTONISHING SOUND.&lt;/p&gt;"/>
    <s v="https://shop.officineitalianezard.it/contents/imgs/products/1_2463-scarico%20bmw%201250%20gs%20-%20zard%203.jpg"/>
    <m/>
    <m/>
  </r>
  <r>
    <s v="1586059975-11588"/>
    <s v="https://shop.officineitalianezard.it/en/products/"/>
    <m/>
    <s v="https://shop.officineitalianezard.it/en/bmw-zard-exaust/"/>
    <s v="R 1250 GS &gt; 2019"/>
    <s v="https://shop.officineitalianezard.it/en/bmw-r-1250-gs-exhaust/"/>
    <s v="SLIP-ON VERSION"/>
    <x v="265"/>
    <s v="SILENCER"/>
    <s v="ZBMW523SSR-FC"/>
    <s v="BMW R 1250 GS &gt; 2019"/>
    <n v="487.62"/>
    <n v="541.79999999999995"/>
    <s v="&lt;p&gt;STEEL RACING SILENCER WITH&amp;nbsp;CARBON ENDCAP AND HEAT SHIELD.&lt;br&gt;REMOVABLE DB-KILLERS.&lt;/p&gt;_x000a_&lt;p&gt;ORIGINAL SILENCER WEIGHT: KG 5.3&lt;br&gt;ZARD SILENCER WEIGHT: KG 3.1&lt;/p&gt;_x000a_&lt;p&gt;HARD INCREASE IN TERMS OF RESPONSE IN THE MID-RANGE AND MORE&lt;br&gt;MAXIMUM POWER COMPARED TO THE DEFAULT EXHAUST SYSTEM,&lt;br&gt;ASTONISHING SOUND.&lt;/p&gt;"/>
    <m/>
    <s v="HOMOLOGATED"/>
    <n v="73.77"/>
  </r>
  <r>
    <s v="1586059975-11589"/>
    <s v="https://shop.officineitalianezard.it/en/products/"/>
    <m/>
    <s v="https://shop.officineitalianezard.it/en/bmw-zard-exaust/"/>
    <s v="R 1250 GS &gt; 2019"/>
    <s v="https://shop.officineitalianezard.it/en/bmw-r-1250-gs-exhaust/"/>
    <s v="SLIP-ON VERSION"/>
    <x v="265"/>
    <s v="SILENCER"/>
    <s v="ZBMW523SSR-FC"/>
    <s v="BMW R 1250 GS &gt; 2019"/>
    <n v="487.62"/>
    <n v="541.79999999999995"/>
    <s v="&lt;p&gt;STEEL RACING SILENCER WITH&amp;nbsp;CARBON ENDCAP AND HEAT SHIELD.&lt;br&gt;REMOVABLE DB-KILLERS.&lt;/p&gt;_x000a_&lt;p&gt;ORIGINAL SILENCER WEIGHT: KG 5.3&lt;br&gt;ZARD SILENCER WEIGHT: KG 3.1&lt;/p&gt;_x000a_&lt;p&gt;HARD INCREASE IN TERMS OF RESPONSE IN THE MID-RANGE AND MORE&lt;br&gt;MAXIMUM POWER COMPARED TO THE DEFAULT EXHAUST SYSTEM,&lt;br&gt;ASTONISHING SOUND.&lt;/p&gt;"/>
    <m/>
    <s v="TITANIUM VERSION"/>
    <n v="77.459999999999994"/>
  </r>
  <r>
    <s v="1586059975-11590"/>
    <s v="https://shop.officineitalianezard.it/en/products/"/>
    <m/>
    <s v="https://shop.officineitalianezard.it/en/bmw-zard-exaust/"/>
    <s v="R 1250 GS &gt; 2019"/>
    <s v="https://shop.officineitalianezard.it/en/bmw-r-1250-gs-exhaust/"/>
    <s v="SLIP-ON VERSION"/>
    <x v="265"/>
    <s v="SILENCER"/>
    <s v="ZBMW523SSR-FC"/>
    <s v="BMW R 1250 GS &gt; 2019"/>
    <n v="487.62"/>
    <n v="541.79999999999995"/>
    <s v="&lt;p&gt;STEEL RACING SILENCER WITH&amp;nbsp;CARBON ENDCAP AND HEAT SHIELD.&lt;br&gt;REMOVABLE DB-KILLERS.&lt;/p&gt;_x000a_&lt;p&gt;ORIGINAL SILENCER WEIGHT: KG 5.3&lt;br&gt;ZARD SILENCER WEIGHT: KG 3.1&lt;/p&gt;_x000a_&lt;p&gt;HARD INCREASE IN TERMS OF RESPONSE IN THE MID-RANGE AND MORE&lt;br&gt;MAXIMUM POWER COMPARED TO THE DEFAULT EXHAUST SYSTEM,&lt;br&gt;ASTONISHING SOUND.&lt;/p&gt;"/>
    <m/>
    <s v="CARBON VERSION"/>
    <n v="95.9"/>
  </r>
  <r>
    <s v="1586059981-11591"/>
    <s v="https://shop.officineitalianezard.it/en/products/"/>
    <m/>
    <s v="https://shop.officineitalianezard.it/en/bmw-zard-exaust/"/>
    <s v="R 1200 R M.Y. 09-10"/>
    <s v="https://shop.officineitalianezard.it/en/bmw-r-1200-r-m-y-09-10-exhaust/"/>
    <s v="STEEL VERSION"/>
    <x v="266"/>
    <s v="HEADERS KIT"/>
    <s v="ZBMW084SCR"/>
    <s v="BMW R 1200 R M.Y. 09-10"/>
    <n v="300.98"/>
    <n v="334.43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s v="https://shop.officineitalianezard.it/contents/imgs/products/1_918-Collettorecomp.1.JPG"/>
    <m/>
    <m/>
  </r>
  <r>
    <s v="1586059981-11592"/>
    <s v="https://shop.officineitalianezard.it/en/products/"/>
    <m/>
    <s v="https://shop.officineitalianezard.it/en/bmw-zard-exaust/"/>
    <s v="R 1200 R M.Y. 09-10"/>
    <s v="https://shop.officineitalianezard.it/en/bmw-r-1200-r-m-y-09-10-exhaust/"/>
    <s v="STEEL VERSION"/>
    <x v="266"/>
    <s v="HEADERS KIT"/>
    <s v="ZBMW084SCR"/>
    <s v="BMW R 1200 R M.Y. 09-10"/>
    <n v="300.98"/>
    <n v="334.43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s v="https://shop.officineitalianezard.it/contents/imgs/products/1_919-Collettorecomp.2.JPG"/>
    <m/>
    <m/>
  </r>
  <r>
    <s v="1586059981-11593"/>
    <s v="https://shop.officineitalianezard.it/en/products/"/>
    <m/>
    <s v="https://shop.officineitalianezard.it/en/bmw-zard-exaust/"/>
    <s v="R 1200 R M.Y. 09-10"/>
    <s v="https://shop.officineitalianezard.it/en/bmw-r-1200-r-m-y-09-10-exhaust/"/>
    <s v="STEEL VERSION"/>
    <x v="266"/>
    <s v="HEADERS KIT"/>
    <s v="ZBMW084SCR"/>
    <s v="BMW R 1200 R M.Y. 09-10"/>
    <n v="300.98"/>
    <n v="334.43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s v="https://shop.officineitalianezard.it/contents/imgs/products/1_920-Collettorecomp.3.JPG"/>
    <m/>
    <m/>
  </r>
  <r>
    <s v="1586059981-11594"/>
    <s v="https://shop.officineitalianezard.it/en/products/"/>
    <m/>
    <s v="https://shop.officineitalianezard.it/en/bmw-zard-exaust/"/>
    <s v="R 1200 R M.Y. 09-10"/>
    <s v="https://shop.officineitalianezard.it/en/bmw-r-1200-r-m-y-09-10-exhaust/"/>
    <s v="STEEL VERSION"/>
    <x v="266"/>
    <s v="HEADERS KIT"/>
    <s v="ZBMW084SCR"/>
    <s v="BMW R 1200 R M.Y. 09-10"/>
    <n v="300.98"/>
    <n v="334.43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s v="https://shop.officineitalianezard.it/contents/imgs/products/1_921-Collettorecomp.JPG"/>
    <m/>
    <m/>
  </r>
  <r>
    <s v="1586059981-11595"/>
    <s v="https://shop.officineitalianezard.it/en/products/"/>
    <m/>
    <s v="https://shop.officineitalianezard.it/en/bmw-zard-exaust/"/>
    <s v="R 1200 R M.Y. 09-10"/>
    <s v="https://shop.officineitalianezard.it/en/bmw-r-1200-r-m-y-09-10-exhaust/"/>
    <s v="STEEL VERSION"/>
    <x v="266"/>
    <s v="HEADERS KIT"/>
    <s v="ZBMW084SCR"/>
    <s v="BMW R 1200 R M.Y. 09-10"/>
    <n v="300.98"/>
    <n v="334.43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m/>
    <s v="MIRROR POLISHED"/>
    <n v="47.21"/>
  </r>
  <r>
    <s v="1586059981-11596"/>
    <s v="https://shop.officineitalianezard.it/en/products/"/>
    <m/>
    <s v="https://shop.officineitalianezard.it/en/bmw-zard-exaust/"/>
    <s v="R 1200 R M.Y. 09-10"/>
    <s v="https://shop.officineitalianezard.it/en/bmw-r-1200-r-m-y-09-10-exhaust/"/>
    <s v="STEEL VERSION"/>
    <x v="266"/>
    <s v="HEADERS KIT"/>
    <s v="ZBMW084SCR"/>
    <s v="BMW R 1200 R M.Y. 09-10"/>
    <n v="300.98"/>
    <n v="334.43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m/>
    <s v="BLACK COATING"/>
    <n v="77.459999999999994"/>
  </r>
  <r>
    <s v="1586059983-11597"/>
    <s v="https://shop.officineitalianezard.it/en/products/"/>
    <m/>
    <s v="https://shop.officineitalianezard.it/en/bmw-zard-exaust/"/>
    <s v="R 1200 R M.Y. 09-10"/>
    <s v="https://shop.officineitalianezard.it/en/bmw-r-1200-r-m-y-09-10-exhaust/"/>
    <s v="CONICAL VERSION"/>
    <x v="267"/>
    <s v="SILENCER"/>
    <s v="ZBMW085SSR-S"/>
    <s v="BMW R 1200 R M.Y. 09-10"/>
    <n v="369.59"/>
    <n v="410.66"/>
    <s v="&lt;p&gt;STEEL RACING SILENCER WITH REMOVABLE DB KILLER&amp;nbsp;&lt;/p&gt;_x000a_&lt;p&gt;ORIGINAL SILENCER WEIGHT: KG 6.2&lt;br&gt;ZARD SILENCER WEIGHT: KG 3&lt;/p&gt;_x000a_&lt;p&gt;HARD INCREASE, COMPARED TO THE ORIGINAL EXHAUST SYSTEM, IN TERMS OF TORQUE AND POWER AT ANY RANGE&lt;/p&gt;_x000a_&lt;p&gt;ASTONISHING SOUND&lt;/p&gt;"/>
    <s v="https://shop.officineitalianezard.it/contents/imgs/products/1_911-scarichi%20moto%20zard%20bmw%20r%201200%20r%202.jpg"/>
    <m/>
    <m/>
  </r>
  <r>
    <s v="1586059983-11598"/>
    <s v="https://shop.officineitalianezard.it/en/products/"/>
    <m/>
    <s v="https://shop.officineitalianezard.it/en/bmw-zard-exaust/"/>
    <s v="R 1200 R M.Y. 09-10"/>
    <s v="https://shop.officineitalianezard.it/en/bmw-r-1200-r-m-y-09-10-exhaust/"/>
    <s v="CONICAL VERSION"/>
    <x v="267"/>
    <s v="SILENCER"/>
    <s v="ZBMW085SSR-S"/>
    <s v="BMW R 1200 R M.Y. 09-10"/>
    <n v="369.59"/>
    <n v="410.66"/>
    <s v="&lt;p&gt;STEEL RACING SILENCER WITH REMOVABLE DB KILLER&amp;nbsp;&lt;/p&gt;_x000a_&lt;p&gt;ORIGINAL SILENCER WEIGHT: KG 6.2&lt;br&gt;ZARD SILENCER WEIGHT: KG 3&lt;/p&gt;_x000a_&lt;p&gt;HARD INCREASE, COMPARED TO THE ORIGINAL EXHAUST SYSTEM, IN TERMS OF TORQUE AND POWER AT ANY RANGE&lt;/p&gt;_x000a_&lt;p&gt;ASTONISHING SOUND&lt;/p&gt;"/>
    <s v="https://shop.officineitalianezard.it/contents/imgs/products/1_932-R1200R.jpg"/>
    <m/>
    <m/>
  </r>
  <r>
    <s v="1586059983-11599"/>
    <s v="https://shop.officineitalianezard.it/en/products/"/>
    <m/>
    <s v="https://shop.officineitalianezard.it/en/bmw-zard-exaust/"/>
    <s v="R 1200 R M.Y. 09-10"/>
    <s v="https://shop.officineitalianezard.it/en/bmw-r-1200-r-m-y-09-10-exhaust/"/>
    <s v="CONICAL VERSION"/>
    <x v="267"/>
    <s v="SILENCER"/>
    <s v="ZBMW085SSR-S"/>
    <s v="BMW R 1200 R M.Y. 09-10"/>
    <n v="369.59"/>
    <n v="410.66"/>
    <s v="&lt;p&gt;STEEL RACING SILENCER WITH REMOVABLE DB KILLER&amp;nbsp;&lt;/p&gt;_x000a_&lt;p&gt;ORIGINAL SILENCER WEIGHT: KG 6.2&lt;br&gt;ZARD SILENCER WEIGHT: KG 3&lt;/p&gt;_x000a_&lt;p&gt;HARD INCREASE, COMPARED TO THE ORIGINAL EXHAUST SYSTEM, IN TERMS OF TORQUE AND POWER AT ANY RANGE&lt;/p&gt;_x000a_&lt;p&gt;ASTONISHING SOUND&lt;/p&gt;"/>
    <m/>
    <s v="HOMOLOGATED EURO 3"/>
    <n v="23.61"/>
  </r>
  <r>
    <s v="1586059983-11600"/>
    <s v="https://shop.officineitalianezard.it/en/products/"/>
    <m/>
    <s v="https://shop.officineitalianezard.it/en/bmw-zard-exaust/"/>
    <s v="R 1200 R M.Y. 09-10"/>
    <s v="https://shop.officineitalianezard.it/en/bmw-r-1200-r-m-y-09-10-exhaust/"/>
    <s v="CONICAL VERSION"/>
    <x v="267"/>
    <s v="SILENCER"/>
    <s v="ZBMW085SSR-S"/>
    <s v="BMW R 1200 R M.Y. 09-10"/>
    <n v="369.59"/>
    <n v="410.66"/>
    <s v="&lt;p&gt;STEEL RACING SILENCER WITH REMOVABLE DB KILLER&amp;nbsp;&lt;/p&gt;_x000a_&lt;p&gt;ORIGINAL SILENCER WEIGHT: KG 6.2&lt;br&gt;ZARD SILENCER WEIGHT: KG 3&lt;/p&gt;_x000a_&lt;p&gt;HARD INCREASE, COMPARED TO THE ORIGINAL EXHAUST SYSTEM, IN TERMS OF TORQUE AND POWER AT ANY RANGE&lt;/p&gt;_x000a_&lt;p&gt;ASTONISHING SOUND&lt;/p&gt;"/>
    <m/>
    <s v="BLACK COATING"/>
    <n v="77.459999999999994"/>
  </r>
  <r>
    <s v="1586059983-11601"/>
    <s v="https://shop.officineitalianezard.it/en/products/"/>
    <m/>
    <s v="https://shop.officineitalianezard.it/en/bmw-zard-exaust/"/>
    <s v="R 1200 R M.Y. 09-10"/>
    <s v="https://shop.officineitalianezard.it/en/bmw-r-1200-r-m-y-09-10-exhaust/"/>
    <s v="CONICAL VERSION"/>
    <x v="267"/>
    <s v="SILENCER"/>
    <s v="ZBMW085SSR-S"/>
    <s v="BMW R 1200 R M.Y. 09-10"/>
    <n v="369.59"/>
    <n v="410.66"/>
    <s v="&lt;p&gt;STEEL RACING SILENCER WITH REMOVABLE DB KILLER&amp;nbsp;&lt;/p&gt;_x000a_&lt;p&gt;ORIGINAL SILENCER WEIGHT: KG 6.2&lt;br&gt;ZARD SILENCER WEIGHT: KG 3&lt;/p&gt;_x000a_&lt;p&gt;HARD INCREASE, COMPARED TO THE ORIGINAL EXHAUST SYSTEM, IN TERMS OF TORQUE AND POWER AT ANY RANGE&lt;/p&gt;_x000a_&lt;p&gt;ASTONISHING SOUND&lt;/p&gt;"/>
    <m/>
    <s v="MIRROR POLISHED"/>
    <n v="19.18"/>
  </r>
  <r>
    <s v="1586059983-11602"/>
    <s v="https://shop.officineitalianezard.it/en/products/"/>
    <m/>
    <s v="https://shop.officineitalianezard.it/en/bmw-zard-exaust/"/>
    <s v="R 1200 R M.Y. 09-10"/>
    <s v="https://shop.officineitalianezard.it/en/bmw-r-1200-r-m-y-09-10-exhaust/"/>
    <s v="CONICAL VERSION"/>
    <x v="267"/>
    <s v="SILENCER"/>
    <s v="ZBMW085SSR-S"/>
    <s v="BMW R 1200 R M.Y. 09-10"/>
    <n v="369.59"/>
    <n v="410.66"/>
    <s v="&lt;p&gt;STEEL RACING SILENCER WITH REMOVABLE DB KILLER&amp;nbsp;&lt;/p&gt;_x000a_&lt;p&gt;ORIGINAL SILENCER WEIGHT: KG 6.2&lt;br&gt;ZARD SILENCER WEIGHT: KG 3&lt;/p&gt;_x000a_&lt;p&gt;HARD INCREASE, COMPARED TO THE ORIGINAL EXHAUST SYSTEM, IN TERMS OF TORQUE AND POWER AT ANY RANGE&lt;/p&gt;_x000a_&lt;p&gt;ASTONISHING SOUND&lt;/p&gt;"/>
    <m/>
    <s v="CARBON ENDCAP"/>
    <n v="42.05"/>
  </r>
  <r>
    <s v="1586059988-11603"/>
    <s v="https://shop.officineitalianezard.it/en/products/"/>
    <m/>
    <s v="https://shop.officineitalianezard.it/en/bmw-zard-exaust/"/>
    <s v="R 1200 R M.Y. 04-08"/>
    <s v="https://shop.officineitalianezard.it/en/bmw-r-1200-r-m-y-04-08-exhaust/"/>
    <s v="CONICAL VERSION"/>
    <x v="268"/>
    <s v="SILENCER"/>
    <s v="ZBMW084SSR-S"/>
    <s v="BMW R 1200 R M.Y. 04-08"/>
    <n v="369.59"/>
    <n v="410.66"/>
    <s v="&lt;p&gt;STEEL SILENCER RACING WITH REMOVABLE DBKILLER&lt;/p&gt;_x000a_&lt;p&gt;ORIGINAL SILENCER WEIGHT: KG 6.2&lt;br&gt;ZARD SILENCER WEIGHT: KG 3&lt;/p&gt;_x000a_&lt;p&gt;HARD INCREASE, COMPARED TO THE ORIGINAL EXHAUST SYSTEM, IN TERMS OF TORQUE AND POWER AT ANY RANGE&lt;/p&gt;_x000a_&lt;p&gt;ASTONISHING SOUND&lt;/p&gt;"/>
    <s v="https://shop.officineitalianezard.it/contents/imgs/products/1_909-scarichi%20moto%20zard%20bmw%20r%201200%20r%202.jpg"/>
    <m/>
    <m/>
  </r>
  <r>
    <s v="1586059988-11604"/>
    <s v="https://shop.officineitalianezard.it/en/products/"/>
    <m/>
    <s v="https://shop.officineitalianezard.it/en/bmw-zard-exaust/"/>
    <s v="R 1200 R M.Y. 04-08"/>
    <s v="https://shop.officineitalianezard.it/en/bmw-r-1200-r-m-y-04-08-exhaust/"/>
    <s v="CONICAL VERSION"/>
    <x v="268"/>
    <s v="SILENCER"/>
    <s v="ZBMW084SSR-S"/>
    <s v="BMW R 1200 R M.Y. 04-08"/>
    <n v="369.59"/>
    <n v="410.66"/>
    <s v="&lt;p&gt;STEEL SILENCER RACING WITH REMOVABLE DBKILLER&lt;/p&gt;_x000a_&lt;p&gt;ORIGINAL SILENCER WEIGHT: KG 6.2&lt;br&gt;ZARD SILENCER WEIGHT: KG 3&lt;/p&gt;_x000a_&lt;p&gt;HARD INCREASE, COMPARED TO THE ORIGINAL EXHAUST SYSTEM, IN TERMS OF TORQUE AND POWER AT ANY RANGE&lt;/p&gt;_x000a_&lt;p&gt;ASTONISHING SOUND&lt;/p&gt;"/>
    <s v="https://shop.officineitalianezard.it/contents/imgs/products/1_933-R1200R.jpg"/>
    <m/>
    <m/>
  </r>
  <r>
    <s v="1586059988-11605"/>
    <s v="https://shop.officineitalianezard.it/en/products/"/>
    <m/>
    <s v="https://shop.officineitalianezard.it/en/bmw-zard-exaust/"/>
    <s v="R 1200 R M.Y. 04-08"/>
    <s v="https://shop.officineitalianezard.it/en/bmw-r-1200-r-m-y-04-08-exhaust/"/>
    <s v="CONICAL VERSION"/>
    <x v="268"/>
    <s v="SILENCER"/>
    <s v="ZBMW084SSR-S"/>
    <s v="BMW R 1200 R M.Y. 04-08"/>
    <n v="369.59"/>
    <n v="410.66"/>
    <s v="&lt;p&gt;STEEL SILENCER RACING WITH REMOVABLE DBKILLER&lt;/p&gt;_x000a_&lt;p&gt;ORIGINAL SILENCER WEIGHT: KG 6.2&lt;br&gt;ZARD SILENCER WEIGHT: KG 3&lt;/p&gt;_x000a_&lt;p&gt;HARD INCREASE, COMPARED TO THE ORIGINAL EXHAUST SYSTEM, IN TERMS OF TORQUE AND POWER AT ANY RANGE&lt;/p&gt;_x000a_&lt;p&gt;ASTONISHING SOUND&lt;/p&gt;"/>
    <m/>
    <s v="HOMOLOGATED EURO 3"/>
    <n v="23.61"/>
  </r>
  <r>
    <s v="1586059988-11606"/>
    <s v="https://shop.officineitalianezard.it/en/products/"/>
    <m/>
    <s v="https://shop.officineitalianezard.it/en/bmw-zard-exaust/"/>
    <s v="R 1200 R M.Y. 04-08"/>
    <s v="https://shop.officineitalianezard.it/en/bmw-r-1200-r-m-y-04-08-exhaust/"/>
    <s v="CONICAL VERSION"/>
    <x v="268"/>
    <s v="SILENCER"/>
    <s v="ZBMW084SSR-S"/>
    <s v="BMW R 1200 R M.Y. 04-08"/>
    <n v="369.59"/>
    <n v="410.66"/>
    <s v="&lt;p&gt;STEEL SILENCER RACING WITH REMOVABLE DBKILLER&lt;/p&gt;_x000a_&lt;p&gt;ORIGINAL SILENCER WEIGHT: KG 6.2&lt;br&gt;ZARD SILENCER WEIGHT: KG 3&lt;/p&gt;_x000a_&lt;p&gt;HARD INCREASE, COMPARED TO THE ORIGINAL EXHAUST SYSTEM, IN TERMS OF TORQUE AND POWER AT ANY RANGE&lt;/p&gt;_x000a_&lt;p&gt;ASTONISHING SOUND&lt;/p&gt;"/>
    <m/>
    <s v="BLACK COATING"/>
    <n v="77.459999999999994"/>
  </r>
  <r>
    <s v="1586059988-11607"/>
    <s v="https://shop.officineitalianezard.it/en/products/"/>
    <m/>
    <s v="https://shop.officineitalianezard.it/en/bmw-zard-exaust/"/>
    <s v="R 1200 R M.Y. 04-08"/>
    <s v="https://shop.officineitalianezard.it/en/bmw-r-1200-r-m-y-04-08-exhaust/"/>
    <s v="CONICAL VERSION"/>
    <x v="268"/>
    <s v="SILENCER"/>
    <s v="ZBMW084SSR-S"/>
    <s v="BMW R 1200 R M.Y. 04-08"/>
    <n v="369.59"/>
    <n v="410.66"/>
    <s v="&lt;p&gt;STEEL SILENCER RACING WITH REMOVABLE DBKILLER&lt;/p&gt;_x000a_&lt;p&gt;ORIGINAL SILENCER WEIGHT: KG 6.2&lt;br&gt;ZARD SILENCER WEIGHT: KG 3&lt;/p&gt;_x000a_&lt;p&gt;HARD INCREASE, COMPARED TO THE ORIGINAL EXHAUST SYSTEM, IN TERMS OF TORQUE AND POWER AT ANY RANGE&lt;/p&gt;_x000a_&lt;p&gt;ASTONISHING SOUND&lt;/p&gt;"/>
    <m/>
    <s v="MIRROR POLISHED"/>
    <n v="19.18"/>
  </r>
  <r>
    <s v="1586059988-11608"/>
    <s v="https://shop.officineitalianezard.it/en/products/"/>
    <m/>
    <s v="https://shop.officineitalianezard.it/en/bmw-zard-exaust/"/>
    <s v="R 1200 R M.Y. 04-08"/>
    <s v="https://shop.officineitalianezard.it/en/bmw-r-1200-r-m-y-04-08-exhaust/"/>
    <s v="CONICAL VERSION"/>
    <x v="268"/>
    <s v="SILENCER"/>
    <s v="ZBMW084SSR-S"/>
    <s v="BMW R 1200 R M.Y. 04-08"/>
    <n v="369.59"/>
    <n v="410.66"/>
    <s v="&lt;p&gt;STEEL SILENCER RACING WITH REMOVABLE DBKILLER&lt;/p&gt;_x000a_&lt;p&gt;ORIGINAL SILENCER WEIGHT: KG 6.2&lt;br&gt;ZARD SILENCER WEIGHT: KG 3&lt;/p&gt;_x000a_&lt;p&gt;HARD INCREASE, COMPARED TO THE ORIGINAL EXHAUST SYSTEM, IN TERMS OF TORQUE AND POWER AT ANY RANGE&lt;/p&gt;_x000a_&lt;p&gt;ASTONISHING SOUND&lt;/p&gt;"/>
    <m/>
    <s v="CARBON ENDCAP"/>
    <n v="42.05"/>
  </r>
  <r>
    <s v="1586059993-11609"/>
    <s v="https://shop.officineitalianezard.it/en/products/"/>
    <m/>
    <s v="https://shop.officineitalianezard.it/en/bmw-zard-exaust/"/>
    <s v="R 1200 GS 2013-2018"/>
    <s v="https://shop.officineitalianezard.it/en/bmw-r-1200-gs-2013-2018-exhaust/"/>
    <s v="PENTA-R VERSION"/>
    <x v="269"/>
    <s v="SILENCER"/>
    <s v="ZBMW521SSR"/>
    <s v="BMW R1200 GS / ADVENTURE  &gt; M.Y.  2014"/>
    <n v="509.75"/>
    <n v="566.39"/>
    <s v="&lt;p&gt;STEEL RACING SILENCER WITH&amp;nbsp;CARBON ENDCAP AND HEAT SHIELD.&lt;/p&gt;_x000a_&lt;p&gt;ORIGINAL SILENCER WEIGHT: KG 6.1&lt;br&gt;ZARD STEEL SILENCER WEIGHT: KG 3.3&lt;br&gt;ZARD TITANIUM SILENCER WEIGHT: KG 3&lt;/p&gt;_x000a_&lt;p&gt;HARD INCREASE IN TERMS OF RESPONSE IN THE MID-RANGE AND MORE MAXIMUM POWER COMPARED TO THE DEFAULT EXHAUST SYSTEM.&lt;/p&gt;_x000a_&lt;p&gt;ASTONISHING SOUND.&lt;/p&gt;"/>
    <s v="https://shop.officineitalianezard.it/contents/imgs/products/1_2270-scarico%20bmw%20gs%201200%20-%20zard%201.jpg"/>
    <m/>
    <m/>
  </r>
  <r>
    <s v="1586059993-11610"/>
    <s v="https://shop.officineitalianezard.it/en/products/"/>
    <m/>
    <s v="https://shop.officineitalianezard.it/en/bmw-zard-exaust/"/>
    <s v="R 1200 GS 2013-2018"/>
    <s v="https://shop.officineitalianezard.it/en/bmw-r-1200-gs-2013-2018-exhaust/"/>
    <s v="PENTA-R VERSION"/>
    <x v="269"/>
    <s v="SILENCER"/>
    <s v="ZBMW521SSR"/>
    <s v="BMW R1200 GS / ADVENTURE  &gt; M.Y.  2014"/>
    <n v="509.75"/>
    <n v="566.39"/>
    <s v="&lt;p&gt;STEEL RACING SILENCER WITH&amp;nbsp;CARBON ENDCAP AND HEAT SHIELD.&lt;/p&gt;_x000a_&lt;p&gt;ORIGINAL SILENCER WEIGHT: KG 6.1&lt;br&gt;ZARD STEEL SILENCER WEIGHT: KG 3.3&lt;br&gt;ZARD TITANIUM SILENCER WEIGHT: KG 3&lt;/p&gt;_x000a_&lt;p&gt;HARD INCREASE IN TERMS OF RESPONSE IN THE MID-RANGE AND MORE MAXIMUM POWER COMPARED TO THE DEFAULT EXHAUST SYSTEM.&lt;/p&gt;_x000a_&lt;p&gt;ASTONISHING SOUND.&lt;/p&gt;"/>
    <s v="https://shop.officineitalianezard.it/contents/imgs/products/1_2269-scarico%20bmw%20gs%201200%20-%20zard%202.jpg"/>
    <m/>
    <m/>
  </r>
  <r>
    <s v="1586059993-11611"/>
    <s v="https://shop.officineitalianezard.it/en/products/"/>
    <m/>
    <s v="https://shop.officineitalianezard.it/en/bmw-zard-exaust/"/>
    <s v="R 1200 GS 2013-2018"/>
    <s v="https://shop.officineitalianezard.it/en/bmw-r-1200-gs-2013-2018-exhaust/"/>
    <s v="PENTA-R VERSION"/>
    <x v="269"/>
    <s v="SILENCER"/>
    <s v="ZBMW521SSR"/>
    <s v="BMW R1200 GS / ADVENTURE  &gt; M.Y.  2014"/>
    <n v="509.75"/>
    <n v="566.39"/>
    <s v="&lt;p&gt;STEEL RACING SILENCER WITH&amp;nbsp;CARBON ENDCAP AND HEAT SHIELD.&lt;/p&gt;_x000a_&lt;p&gt;ORIGINAL SILENCER WEIGHT: KG 6.1&lt;br&gt;ZARD STEEL SILENCER WEIGHT: KG 3.3&lt;br&gt;ZARD TITANIUM SILENCER WEIGHT: KG 3&lt;/p&gt;_x000a_&lt;p&gt;HARD INCREASE IN TERMS OF RESPONSE IN THE MID-RANGE AND MORE MAXIMUM POWER COMPARED TO THE DEFAULT EXHAUST SYSTEM.&lt;/p&gt;_x000a_&lt;p&gt;ASTONISHING SOUND.&lt;/p&gt;"/>
    <s v="https://shop.officineitalianezard.it/contents/imgs/products/1_2271-scarico%20bmw%20gs%201200%20-%20zard%203.jpg"/>
    <m/>
    <m/>
  </r>
  <r>
    <s v="1586059993-11612"/>
    <s v="https://shop.officineitalianezard.it/en/products/"/>
    <m/>
    <s v="https://shop.officineitalianezard.it/en/bmw-zard-exaust/"/>
    <s v="R 1200 GS 2013-2018"/>
    <s v="https://shop.officineitalianezard.it/en/bmw-r-1200-gs-2013-2018-exhaust/"/>
    <s v="PENTA-R VERSION"/>
    <x v="269"/>
    <s v="SILENCER"/>
    <s v="ZBMW521SSR"/>
    <s v="BMW R1200 GS / ADVENTURE  &gt; M.Y.  2014"/>
    <n v="509.75"/>
    <n v="566.39"/>
    <s v="&lt;p&gt;STEEL RACING SILENCER WITH&amp;nbsp;CARBON ENDCAP AND HEAT SHIELD.&lt;/p&gt;_x000a_&lt;p&gt;ORIGINAL SILENCER WEIGHT: KG 6.1&lt;br&gt;ZARD STEEL SILENCER WEIGHT: KG 3.3&lt;br&gt;ZARD TITANIUM SILENCER WEIGHT: KG 3&lt;/p&gt;_x000a_&lt;p&gt;HARD INCREASE IN TERMS OF RESPONSE IN THE MID-RANGE AND MORE MAXIMUM POWER COMPARED TO THE DEFAULT EXHAUST SYSTEM.&lt;/p&gt;_x000a_&lt;p&gt;ASTONISHING SOUND.&lt;/p&gt;"/>
    <s v="https://shop.officineitalianezard.it/contents/imgs/products/1_805-1.jpg"/>
    <m/>
    <m/>
  </r>
  <r>
    <s v="1586059993-11613"/>
    <s v="https://shop.officineitalianezard.it/en/products/"/>
    <m/>
    <s v="https://shop.officineitalianezard.it/en/bmw-zard-exaust/"/>
    <s v="R 1200 GS 2013-2018"/>
    <s v="https://shop.officineitalianezard.it/en/bmw-r-1200-gs-2013-2018-exhaust/"/>
    <s v="PENTA-R VERSION"/>
    <x v="269"/>
    <s v="SILENCER"/>
    <s v="ZBMW521SSR"/>
    <s v="BMW R1200 GS / ADVENTURE  &gt; M.Y.  2014"/>
    <n v="509.75"/>
    <n v="566.39"/>
    <s v="&lt;p&gt;STEEL RACING SILENCER WITH&amp;nbsp;CARBON ENDCAP AND HEAT SHIELD.&lt;/p&gt;_x000a_&lt;p&gt;ORIGINAL SILENCER WEIGHT: KG 6.1&lt;br&gt;ZARD STEEL SILENCER WEIGHT: KG 3.3&lt;br&gt;ZARD TITANIUM SILENCER WEIGHT: KG 3&lt;/p&gt;_x000a_&lt;p&gt;HARD INCREASE IN TERMS OF RESPONSE IN THE MID-RANGE AND MORE MAXIMUM POWER COMPARED TO THE DEFAULT EXHAUST SYSTEM.&lt;/p&gt;_x000a_&lt;p&gt;ASTONISHING SOUND.&lt;/p&gt;"/>
    <s v="https://shop.officineitalianezard.it/contents/imgs/products/1_807-3.jpg"/>
    <m/>
    <m/>
  </r>
  <r>
    <s v="1586059993-11614"/>
    <s v="https://shop.officineitalianezard.it/en/products/"/>
    <m/>
    <s v="https://shop.officineitalianezard.it/en/bmw-zard-exaust/"/>
    <s v="R 1200 GS 2013-2018"/>
    <s v="https://shop.officineitalianezard.it/en/bmw-r-1200-gs-2013-2018-exhaust/"/>
    <s v="PENTA-R VERSION"/>
    <x v="269"/>
    <s v="SILENCER"/>
    <s v="ZBMW521SSR"/>
    <s v="BMW R1200 GS / ADVENTURE  &gt; M.Y.  2014"/>
    <n v="509.75"/>
    <n v="566.39"/>
    <s v="&lt;p&gt;STEEL RACING SILENCER WITH&amp;nbsp;CARBON ENDCAP AND HEAT SHIELD.&lt;/p&gt;_x000a_&lt;p&gt;ORIGINAL SILENCER WEIGHT: KG 6.1&lt;br&gt;ZARD STEEL SILENCER WEIGHT: KG 3.3&lt;br&gt;ZARD TITANIUM SILENCER WEIGHT: KG 3&lt;/p&gt;_x000a_&lt;p&gt;HARD INCREASE IN TERMS OF RESPONSE IN THE MID-RANGE AND MORE MAXIMUM POWER COMPARED TO THE DEFAULT EXHAUST SYSTEM.&lt;/p&gt;_x000a_&lt;p&gt;ASTONISHING SOUND.&lt;/p&gt;"/>
    <s v="https://shop.officineitalianezard.it/contents/imgs/products/1_970-1.jpg"/>
    <m/>
    <m/>
  </r>
  <r>
    <s v="1586059993-11615"/>
    <s v="https://shop.officineitalianezard.it/en/products/"/>
    <m/>
    <s v="https://shop.officineitalianezard.it/en/bmw-zard-exaust/"/>
    <s v="R 1200 GS 2013-2018"/>
    <s v="https://shop.officineitalianezard.it/en/bmw-r-1200-gs-2013-2018-exhaust/"/>
    <s v="PENTA-R VERSION"/>
    <x v="269"/>
    <s v="SILENCER"/>
    <s v="ZBMW521SSR"/>
    <s v="BMW R1200 GS / ADVENTURE  &gt; M.Y.  2014"/>
    <n v="509.75"/>
    <n v="566.39"/>
    <s v="&lt;p&gt;STEEL RACING SILENCER WITH&amp;nbsp;CARBON ENDCAP AND HEAT SHIELD.&lt;/p&gt;_x000a_&lt;p&gt;ORIGINAL SILENCER WEIGHT: KG 6.1&lt;br&gt;ZARD STEEL SILENCER WEIGHT: KG 3.3&lt;br&gt;ZARD TITANIUM SILENCER WEIGHT: KG 3&lt;/p&gt;_x000a_&lt;p&gt;HARD INCREASE IN TERMS OF RESPONSE IN THE MID-RANGE AND MORE MAXIMUM POWER COMPARED TO THE DEFAULT EXHAUST SYSTEM.&lt;/p&gt;_x000a_&lt;p&gt;ASTONISHING SOUND.&lt;/p&gt;"/>
    <s v="https://shop.officineitalianezard.it/contents/imgs/products/1_971-2.jpg"/>
    <m/>
    <m/>
  </r>
  <r>
    <s v="1586059993-11616"/>
    <s v="https://shop.officineitalianezard.it/en/products/"/>
    <m/>
    <s v="https://shop.officineitalianezard.it/en/bmw-zard-exaust/"/>
    <s v="R 1200 GS 2013-2018"/>
    <s v="https://shop.officineitalianezard.it/en/bmw-r-1200-gs-2013-2018-exhaust/"/>
    <s v="PENTA-R VERSION"/>
    <x v="269"/>
    <s v="SILENCER"/>
    <s v="ZBMW521SSR"/>
    <s v="BMW R1200 GS / ADVENTURE  &gt; M.Y.  2014"/>
    <n v="509.75"/>
    <n v="566.39"/>
    <s v="&lt;p&gt;STEEL RACING SILENCER WITH&amp;nbsp;CARBON ENDCAP AND HEAT SHIELD.&lt;/p&gt;_x000a_&lt;p&gt;ORIGINAL SILENCER WEIGHT: KG 6.1&lt;br&gt;ZARD STEEL SILENCER WEIGHT: KG 3.3&lt;br&gt;ZARD TITANIUM SILENCER WEIGHT: KG 3&lt;/p&gt;_x000a_&lt;p&gt;HARD INCREASE IN TERMS OF RESPONSE IN THE MID-RANGE AND MORE MAXIMUM POWER COMPARED TO THE DEFAULT EXHAUST SYSTEM.&lt;/p&gt;_x000a_&lt;p&gt;ASTONISHING SOUND.&lt;/p&gt;"/>
    <s v="https://shop.officineitalianezard.it/contents/imgs/products/1_972-3.jpg"/>
    <m/>
    <m/>
  </r>
  <r>
    <s v="1586059993-11617"/>
    <s v="https://shop.officineitalianezard.it/en/products/"/>
    <m/>
    <s v="https://shop.officineitalianezard.it/en/bmw-zard-exaust/"/>
    <s v="R 1200 GS 2013-2018"/>
    <s v="https://shop.officineitalianezard.it/en/bmw-r-1200-gs-2013-2018-exhaust/"/>
    <s v="PENTA-R VERSION"/>
    <x v="269"/>
    <s v="SILENCER"/>
    <s v="ZBMW521SSR"/>
    <s v="BMW R1200 GS / ADVENTURE  &gt; M.Y.  2014"/>
    <n v="509.75"/>
    <n v="566.39"/>
    <s v="&lt;p&gt;STEEL RACING SILENCER WITH&amp;nbsp;CARBON ENDCAP AND HEAT SHIELD.&lt;/p&gt;_x000a_&lt;p&gt;ORIGINAL SILENCER WEIGHT: KG 6.1&lt;br&gt;ZARD STEEL SILENCER WEIGHT: KG 3.3&lt;br&gt;ZARD TITANIUM SILENCER WEIGHT: KG 3&lt;/p&gt;_x000a_&lt;p&gt;HARD INCREASE IN TERMS OF RESPONSE IN THE MID-RANGE AND MORE MAXIMUM POWER COMPARED TO THE DEFAULT EXHAUST SYSTEM.&lt;/p&gt;_x000a_&lt;p&gt;ASTONISHING SOUND.&lt;/p&gt;"/>
    <s v="https://shop.officineitalianezard.it/contents/imgs/products/1_979-carbon%20exhaust.jpg"/>
    <m/>
    <m/>
  </r>
  <r>
    <s v="1586059993-11618"/>
    <s v="https://shop.officineitalianezard.it/en/products/"/>
    <m/>
    <s v="https://shop.officineitalianezard.it/en/bmw-zard-exaust/"/>
    <s v="R 1200 GS 2013-2018"/>
    <s v="https://shop.officineitalianezard.it/en/bmw-r-1200-gs-2013-2018-exhaust/"/>
    <s v="PENTA-R VERSION"/>
    <x v="269"/>
    <s v="SILENCER"/>
    <s v="ZBMW521SSR"/>
    <s v="BMW R1200 GS / ADVENTURE  &gt; M.Y.  2014"/>
    <n v="509.75"/>
    <n v="566.39"/>
    <s v="&lt;p&gt;STEEL RACING SILENCER WITH&amp;nbsp;CARBON ENDCAP AND HEAT SHIELD.&lt;/p&gt;_x000a_&lt;p&gt;ORIGINAL SILENCER WEIGHT: KG 6.1&lt;br&gt;ZARD STEEL SILENCER WEIGHT: KG 3.3&lt;br&gt;ZARD TITANIUM SILENCER WEIGHT: KG 3&lt;/p&gt;_x000a_&lt;p&gt;HARD INCREASE IN TERMS OF RESPONSE IN THE MID-RANGE AND MORE MAXIMUM POWER COMPARED TO THE DEFAULT EXHAUST SYSTEM.&lt;/p&gt;_x000a_&lt;p&gt;ASTONISHING SOUND.&lt;/p&gt;"/>
    <m/>
    <s v="TITANIUM VERSION"/>
    <n v="81.150000000000006"/>
  </r>
  <r>
    <s v="1586059993-11619"/>
    <s v="https://shop.officineitalianezard.it/en/products/"/>
    <m/>
    <s v="https://shop.officineitalianezard.it/en/bmw-zard-exaust/"/>
    <s v="R 1200 GS 2013-2018"/>
    <s v="https://shop.officineitalianezard.it/en/bmw-r-1200-gs-2013-2018-exhaust/"/>
    <s v="PENTA-R VERSION"/>
    <x v="269"/>
    <s v="SILENCER"/>
    <s v="ZBMW521SSR"/>
    <s v="BMW R1200 GS / ADVENTURE  &gt; M.Y.  2014"/>
    <n v="509.75"/>
    <n v="566.39"/>
    <s v="&lt;p&gt;STEEL RACING SILENCER WITH&amp;nbsp;CARBON ENDCAP AND HEAT SHIELD.&lt;/p&gt;_x000a_&lt;p&gt;ORIGINAL SILENCER WEIGHT: KG 6.1&lt;br&gt;ZARD STEEL SILENCER WEIGHT: KG 3.3&lt;br&gt;ZARD TITANIUM SILENCER WEIGHT: KG 3&lt;/p&gt;_x000a_&lt;p&gt;HARD INCREASE IN TERMS OF RESPONSE IN THE MID-RANGE AND MORE MAXIMUM POWER COMPARED TO THE DEFAULT EXHAUST SYSTEM.&lt;/p&gt;_x000a_&lt;p&gt;ASTONISHING SOUND.&lt;/p&gt;"/>
    <m/>
    <s v="CARBON VERSION"/>
    <n v="100.33"/>
  </r>
  <r>
    <s v="1586059993-11620"/>
    <s v="https://shop.officineitalianezard.it/en/products/"/>
    <m/>
    <s v="https://shop.officineitalianezard.it/en/bmw-zard-exaust/"/>
    <s v="R 1200 GS 2013-2018"/>
    <s v="https://shop.officineitalianezard.it/en/bmw-r-1200-gs-2013-2018-exhaust/"/>
    <s v="PENTA-R VERSION"/>
    <x v="269"/>
    <s v="SILENCER"/>
    <s v="ZBMW521SSR"/>
    <s v="BMW R1200 GS / ADVENTURE  &gt; M.Y.  2014"/>
    <n v="509.75"/>
    <n v="566.39"/>
    <s v="&lt;p&gt;STEEL RACING SILENCER WITH&amp;nbsp;CARBON ENDCAP AND HEAT SHIELD.&lt;/p&gt;_x000a_&lt;p&gt;ORIGINAL SILENCER WEIGHT: KG 6.1&lt;br&gt;ZARD STEEL SILENCER WEIGHT: KG 3.3&lt;br&gt;ZARD TITANIUM SILENCER WEIGHT: KG 3&lt;/p&gt;_x000a_&lt;p&gt;HARD INCREASE IN TERMS OF RESPONSE IN THE MID-RANGE AND MORE MAXIMUM POWER COMPARED TO THE DEFAULT EXHAUST SYSTEM.&lt;/p&gt;_x000a_&lt;p&gt;ASTONISHING SOUND.&lt;/p&gt;"/>
    <m/>
    <s v="HOMOLOGATED EURO 3"/>
    <n v="23.61"/>
  </r>
  <r>
    <s v="1586059993-11621"/>
    <s v="https://shop.officineitalianezard.it/en/products/"/>
    <m/>
    <s v="https://shop.officineitalianezard.it/en/bmw-zard-exaust/"/>
    <s v="R 1200 GS 2013-2018"/>
    <s v="https://shop.officineitalianezard.it/en/bmw-r-1200-gs-2013-2018-exhaust/"/>
    <s v="PENTA-R VERSION"/>
    <x v="269"/>
    <s v="SILENCER"/>
    <s v="ZBMW521SSR"/>
    <s v="BMW R1200 GS / ADVENTURE  &gt; M.Y.  2014"/>
    <n v="509.75"/>
    <n v="566.39"/>
    <s v="&lt;p&gt;STEEL RACING SILENCER WITH&amp;nbsp;CARBON ENDCAP AND HEAT SHIELD.&lt;/p&gt;_x000a_&lt;p&gt;ORIGINAL SILENCER WEIGHT: KG 6.1&lt;br&gt;ZARD STEEL SILENCER WEIGHT: KG 3.3&lt;br&gt;ZARD TITANIUM SILENCER WEIGHT: KG 3&lt;/p&gt;_x000a_&lt;p&gt;HARD INCREASE IN TERMS OF RESPONSE IN THE MID-RANGE AND MORE MAXIMUM POWER COMPARED TO THE DEFAULT EXHAUST SYSTEM.&lt;/p&gt;_x000a_&lt;p&gt;ASTONISHING SOUND.&lt;/p&gt;"/>
    <m/>
    <s v="EURO 4 HOMOLOGATED"/>
    <n v="77.459999999999994"/>
  </r>
  <r>
    <s v="1586059996-11622"/>
    <s v="https://shop.officineitalianezard.it/en/products/"/>
    <m/>
    <s v="https://shop.officineitalianezard.it/en/bmw-zard-exaust/"/>
    <s v="R 1200 GS 2013-2018"/>
    <s v="https://shop.officineitalianezard.it/en/bmw-r-1200-gs-2013-2018-exhaust/"/>
    <s v="STAINLESS STEEL VERSION"/>
    <x v="270"/>
    <s v="HEADERS KIT"/>
    <s v="ZBMW521SCR"/>
    <s v="BMW R1200 GS / ADVENTURE  &gt; M.Y.  2014"/>
    <n v="383.61"/>
    <n v="426.23"/>
    <s v="&lt;p&gt;&lt;span&gt;STAINLESS STEEL RACING HEADERS KIT WITH COMPENSER&lt;/span&gt;&lt;span&gt;&lt;br&gt;&lt;br&gt;ORIGINAL HEADERS KIT WEIGHT: 3 KG&lt;br&gt;ZARD&amp;nbsp;HEADERS KIT WEIGHT: 2.6 KG&lt;/span&gt;&lt;/p&gt;_x000a_&lt;p&gt;&lt;span&gt;HARD INCREASE, COMPARED TO THE STANDARD EXHAUST SYSTEM,&lt;br&gt;IN TERMS OF TORQUE AND POWER AT ANY RANGE (+5 HP),&lt;br&gt;IF FITTED WITH ZARD&amp;nbsp;PENTA-R&amp;nbsp;SLIP-ON&lt;/span&gt;&lt;/p&gt;_x000a_&lt;p&gt;&lt;span&gt;&lt;/span&gt;&lt;/p&gt;"/>
    <s v="https://shop.officineitalianezard.it/contents/imgs/products/1_2544-1.jpg"/>
    <m/>
    <m/>
  </r>
  <r>
    <s v="1586059996-11623"/>
    <s v="https://shop.officineitalianezard.it/en/products/"/>
    <m/>
    <s v="https://shop.officineitalianezard.it/en/bmw-zard-exaust/"/>
    <s v="R 1200 GS 2013-2018"/>
    <s v="https://shop.officineitalianezard.it/en/bmw-r-1200-gs-2013-2018-exhaust/"/>
    <s v="STAINLESS STEEL VERSION"/>
    <x v="270"/>
    <s v="HEADERS KIT"/>
    <s v="ZBMW521SCR"/>
    <s v="BMW R1200 GS / ADVENTURE  &gt; M.Y.  2014"/>
    <n v="383.61"/>
    <n v="426.23"/>
    <s v="&lt;p&gt;&lt;span&gt;STAINLESS STEEL RACING HEADERS KIT WITH COMPENSER&lt;/span&gt;&lt;span&gt;&lt;br&gt;&lt;br&gt;ORIGINAL HEADERS KIT WEIGHT: 3 KG&lt;br&gt;ZARD&amp;nbsp;HEADERS KIT WEIGHT: 2.6 KG&lt;/span&gt;&lt;/p&gt;_x000a_&lt;p&gt;&lt;span&gt;HARD INCREASE, COMPARED TO THE STANDARD EXHAUST SYSTEM,&lt;br&gt;IN TERMS OF TORQUE AND POWER AT ANY RANGE (+5 HP),&lt;br&gt;IF FITTED WITH ZARD&amp;nbsp;PENTA-R&amp;nbsp;SLIP-ON&lt;/span&gt;&lt;/p&gt;_x000a_&lt;p&gt;&lt;span&gt;&lt;/span&gt;&lt;/p&gt;"/>
    <s v="https://shop.officineitalianezard.it/contents/imgs/products/1_2543-0.jpg"/>
    <m/>
    <m/>
  </r>
  <r>
    <s v="1586059996-11624"/>
    <s v="https://shop.officineitalianezard.it/en/products/"/>
    <m/>
    <s v="https://shop.officineitalianezard.it/en/bmw-zard-exaust/"/>
    <s v="R 1200 GS 2013-2018"/>
    <s v="https://shop.officineitalianezard.it/en/bmw-r-1200-gs-2013-2018-exhaust/"/>
    <s v="STAINLESS STEEL VERSION"/>
    <x v="270"/>
    <s v="HEADERS KIT"/>
    <s v="ZBMW521SCR"/>
    <s v="BMW R1200 GS / ADVENTURE  &gt; M.Y.  2014"/>
    <n v="383.61"/>
    <n v="426.23"/>
    <s v="&lt;p&gt;&lt;span&gt;STAINLESS STEEL RACING HEADERS KIT WITH COMPENSER&lt;/span&gt;&lt;span&gt;&lt;br&gt;&lt;br&gt;ORIGINAL HEADERS KIT WEIGHT: 3 KG&lt;br&gt;ZARD&amp;nbsp;HEADERS KIT WEIGHT: 2.6 KG&lt;/span&gt;&lt;/p&gt;_x000a_&lt;p&gt;&lt;span&gt;HARD INCREASE, COMPARED TO THE STANDARD EXHAUST SYSTEM,&lt;br&gt;IN TERMS OF TORQUE AND POWER AT ANY RANGE (+5 HP),&lt;br&gt;IF FITTED WITH ZARD&amp;nbsp;PENTA-R&amp;nbsp;SLIP-ON&lt;/span&gt;&lt;/p&gt;_x000a_&lt;p&gt;&lt;span&gt;&lt;/span&gt;&lt;/p&gt;"/>
    <s v="https://shop.officineitalianezard.it/contents/imgs/products/1_2545-2.jpg"/>
    <m/>
    <m/>
  </r>
  <r>
    <s v="1586060002-11625"/>
    <s v="https://shop.officineitalianezard.it/en/products/"/>
    <m/>
    <s v="https://shop.officineitalianezard.it/en/bmw-zard-exaust/"/>
    <s v="R 1200 GS M.Y. 10-12"/>
    <s v="https://shop.officineitalianezard.it/en/bmw-r-1200-gs-m-y-10-12-exhaust/"/>
    <s v="STEEL VERSION"/>
    <x v="271"/>
    <s v="HEADERS KIT"/>
    <s v="ZBMW 516 SC"/>
    <s v="BMW R 1200 GS M.Y. 10-12"/>
    <n v="310.57"/>
    <n v="345.08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s v="https://shop.officineitalianezard.it/contents/imgs/products/1_779-Collettorecomp.1.JPG"/>
    <m/>
    <m/>
  </r>
  <r>
    <s v="1586060002-11626"/>
    <s v="https://shop.officineitalianezard.it/en/products/"/>
    <m/>
    <s v="https://shop.officineitalianezard.it/en/bmw-zard-exaust/"/>
    <s v="R 1200 GS M.Y. 10-12"/>
    <s v="https://shop.officineitalianezard.it/en/bmw-r-1200-gs-m-y-10-12-exhaust/"/>
    <s v="STEEL VERSION"/>
    <x v="271"/>
    <s v="HEADERS KIT"/>
    <s v="ZBMW 516 SC"/>
    <s v="BMW R 1200 GS M.Y. 10-12"/>
    <n v="310.57"/>
    <n v="345.08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s v="https://shop.officineitalianezard.it/contents/imgs/products/1_780-Collettorecomp.2.JPG"/>
    <m/>
    <m/>
  </r>
  <r>
    <s v="1586060002-11627"/>
    <s v="https://shop.officineitalianezard.it/en/products/"/>
    <m/>
    <s v="https://shop.officineitalianezard.it/en/bmw-zard-exaust/"/>
    <s v="R 1200 GS M.Y. 10-12"/>
    <s v="https://shop.officineitalianezard.it/en/bmw-r-1200-gs-m-y-10-12-exhaust/"/>
    <s v="STEEL VERSION"/>
    <x v="271"/>
    <s v="HEADERS KIT"/>
    <s v="ZBMW 516 SC"/>
    <s v="BMW R 1200 GS M.Y. 10-12"/>
    <n v="310.57"/>
    <n v="345.08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s v="https://shop.officineitalianezard.it/contents/imgs/products/1_781-Collettorecomp.3.JPG"/>
    <m/>
    <m/>
  </r>
  <r>
    <s v="1586060002-11628"/>
    <s v="https://shop.officineitalianezard.it/en/products/"/>
    <m/>
    <s v="https://shop.officineitalianezard.it/en/bmw-zard-exaust/"/>
    <s v="R 1200 GS M.Y. 10-12"/>
    <s v="https://shop.officineitalianezard.it/en/bmw-r-1200-gs-m-y-10-12-exhaust/"/>
    <s v="STEEL VERSION"/>
    <x v="271"/>
    <s v="HEADERS KIT"/>
    <s v="ZBMW 516 SC"/>
    <s v="BMW R 1200 GS M.Y. 10-12"/>
    <n v="310.57"/>
    <n v="345.08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s v="https://shop.officineitalianezard.it/contents/imgs/products/1_782-Collettorecomp.JPG"/>
    <m/>
    <m/>
  </r>
  <r>
    <s v="1586060002-11629"/>
    <s v="https://shop.officineitalianezard.it/en/products/"/>
    <m/>
    <s v="https://shop.officineitalianezard.it/en/bmw-zard-exaust/"/>
    <s v="R 1200 GS M.Y. 10-12"/>
    <s v="https://shop.officineitalianezard.it/en/bmw-r-1200-gs-m-y-10-12-exhaust/"/>
    <s v="STEEL VERSION"/>
    <x v="271"/>
    <s v="HEADERS KIT"/>
    <s v="ZBMW 516 SC"/>
    <s v="BMW R 1200 GS M.Y. 10-12"/>
    <n v="310.57"/>
    <n v="345.08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m/>
    <s v="BLACK COATING"/>
    <n v="77.459999999999994"/>
  </r>
  <r>
    <s v="1586060002-11630"/>
    <s v="https://shop.officineitalianezard.it/en/products/"/>
    <m/>
    <s v="https://shop.officineitalianezard.it/en/bmw-zard-exaust/"/>
    <s v="R 1200 GS M.Y. 10-12"/>
    <s v="https://shop.officineitalianezard.it/en/bmw-r-1200-gs-m-y-10-12-exhaust/"/>
    <s v="STEEL VERSION"/>
    <x v="271"/>
    <s v="HEADERS KIT"/>
    <s v="ZBMW 516 SC"/>
    <s v="BMW R 1200 GS M.Y. 10-12"/>
    <n v="310.57"/>
    <n v="345.08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m/>
    <s v="FULL TITANIUM"/>
    <n v="253.77"/>
  </r>
  <r>
    <s v="1586060002-11631"/>
    <s v="https://shop.officineitalianezard.it/en/products/"/>
    <m/>
    <s v="https://shop.officineitalianezard.it/en/bmw-zard-exaust/"/>
    <s v="R 1200 GS M.Y. 10-12"/>
    <s v="https://shop.officineitalianezard.it/en/bmw-r-1200-gs-m-y-10-12-exhaust/"/>
    <s v="STEEL VERSION"/>
    <x v="271"/>
    <s v="HEADERS KIT"/>
    <s v="ZBMW 516 SC"/>
    <s v="BMW R 1200 GS M.Y. 10-12"/>
    <n v="310.57"/>
    <n v="345.08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m/>
    <s v="STEEL WITH COMPENSER"/>
    <n v="93.69"/>
  </r>
  <r>
    <s v="1586060002-11632"/>
    <s v="https://shop.officineitalianezard.it/en/products/"/>
    <m/>
    <s v="https://shop.officineitalianezard.it/en/bmw-zard-exaust/"/>
    <s v="R 1200 GS M.Y. 10-12"/>
    <s v="https://shop.officineitalianezard.it/en/bmw-r-1200-gs-m-y-10-12-exhaust/"/>
    <s v="STEEL VERSION"/>
    <x v="271"/>
    <s v="HEADERS KIT"/>
    <s v="ZBMW 516 SC"/>
    <s v="BMW R 1200 GS M.Y. 10-12"/>
    <n v="310.57"/>
    <n v="345.08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m/>
    <s v="TITANIUM WITH COMPENSER"/>
    <n v="347.46"/>
  </r>
  <r>
    <s v="1586060002-11633"/>
    <s v="https://shop.officineitalianezard.it/en/products/"/>
    <m/>
    <s v="https://shop.officineitalianezard.it/en/bmw-zard-exaust/"/>
    <s v="R 1200 GS M.Y. 10-12"/>
    <s v="https://shop.officineitalianezard.it/en/bmw-r-1200-gs-m-y-10-12-exhaust/"/>
    <s v="STEEL VERSION"/>
    <x v="271"/>
    <s v="HEADERS KIT"/>
    <s v="ZBMW 516 SC"/>
    <s v="BMW R 1200 GS M.Y. 10-12"/>
    <n v="310.57"/>
    <n v="345.08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lt;br class=&quot;Apple-interchange-newline&quot;&gt;&lt;br&gt;&lt;/p&gt;"/>
    <m/>
    <s v="MIRROR POLISHED"/>
    <n v="47.21"/>
  </r>
  <r>
    <s v="1586060005-11634"/>
    <s v="https://shop.officineitalianezard.it/en/products/"/>
    <m/>
    <s v="https://shop.officineitalianezard.it/en/bmw-zard-exaust/"/>
    <s v="R 1200 GS M.Y. 10-12"/>
    <s v="https://shop.officineitalianezard.it/en/bmw-r-1200-gs-m-y-10-12-exhaust/"/>
    <s v="PENTA VERSION"/>
    <x v="272"/>
    <s v="SILENCER"/>
    <s v="ZBMW 517 APR"/>
    <s v="BMW R 1200 GS M.Y. 10-12"/>
    <n v="394.67"/>
    <n v="438.52"/>
    <s v="&lt;p&gt;STEEL-ALUMINIUM BLACK SILENCER RACING WITH REMOVABLE DB KILLER&lt;/p&gt;_x000a_&lt;p&gt;THE EXHAUST CAN BE FITTED ON &quot;ADVENTURE&quot; V ERSION&lt;/p&gt;_x000a_&lt;p&gt;ORIGINAL SILENCER WEIGHT: KG 6.2&lt;/p&gt;_x000a_&lt;p&gt;ZARD SILENCER WEIGHT: KG 2.7&lt;/p&gt;_x000a_&lt;p&gt;HARD INCREASE, COMPARED TO THE STANDARD EXHAUST SYSTEM, IN TERMS OF TORQUE AND POWER AT ANY RANGE&lt;/p&gt;_x000a_&lt;p&gt;ASTONISHING SOUND&lt;/p&gt;"/>
    <s v="https://shop.officineitalianezard.it/contents/imgs/products/1_797-scarichi%20moto%20zard%20bmw1.jpg"/>
    <m/>
    <m/>
  </r>
  <r>
    <s v="1586060005-11635"/>
    <s v="https://shop.officineitalianezard.it/en/products/"/>
    <m/>
    <s v="https://shop.officineitalianezard.it/en/bmw-zard-exaust/"/>
    <s v="R 1200 GS M.Y. 10-12"/>
    <s v="https://shop.officineitalianezard.it/en/bmw-r-1200-gs-m-y-10-12-exhaust/"/>
    <s v="PENTA VERSION"/>
    <x v="272"/>
    <s v="SILENCER"/>
    <s v="ZBMW 517 APR"/>
    <s v="BMW R 1200 GS M.Y. 10-12"/>
    <n v="394.67"/>
    <n v="438.52"/>
    <s v="&lt;p&gt;STEEL-ALUMINIUM BLACK SILENCER RACING WITH REMOVABLE DB KILLER&lt;/p&gt;_x000a_&lt;p&gt;THE EXHAUST CAN BE FITTED ON &quot;ADVENTURE&quot; V ERSION&lt;/p&gt;_x000a_&lt;p&gt;ORIGINAL SILENCER WEIGHT: KG 6.2&lt;/p&gt;_x000a_&lt;p&gt;ZARD SILENCER WEIGHT: KG 2.7&lt;/p&gt;_x000a_&lt;p&gt;HARD INCREASE, COMPARED TO THE STANDARD EXHAUST SYSTEM, IN TERMS OF TORQUE AND POWER AT ANY RANGE&lt;/p&gt;_x000a_&lt;p&gt;ASTONISHING SOUND&lt;/p&gt;"/>
    <s v="https://shop.officineitalianezard.it/contents/imgs/products/1_798-scarichi%20moto%20zard%20bmw2.jpg"/>
    <m/>
    <m/>
  </r>
  <r>
    <s v="1586060005-11636"/>
    <s v="https://shop.officineitalianezard.it/en/products/"/>
    <m/>
    <s v="https://shop.officineitalianezard.it/en/bmw-zard-exaust/"/>
    <s v="R 1200 GS M.Y. 10-12"/>
    <s v="https://shop.officineitalianezard.it/en/bmw-r-1200-gs-m-y-10-12-exhaust/"/>
    <s v="PENTA VERSION"/>
    <x v="272"/>
    <s v="SILENCER"/>
    <s v="ZBMW 517 APR"/>
    <s v="BMW R 1200 GS M.Y. 10-12"/>
    <n v="394.67"/>
    <n v="438.52"/>
    <s v="&lt;p&gt;STEEL-ALUMINIUM BLACK SILENCER RACING WITH REMOVABLE DB KILLER&lt;/p&gt;_x000a_&lt;p&gt;THE EXHAUST CAN BE FITTED ON &quot;ADVENTURE&quot; V ERSION&lt;/p&gt;_x000a_&lt;p&gt;ORIGINAL SILENCER WEIGHT: KG 6.2&lt;/p&gt;_x000a_&lt;p&gt;ZARD SILENCER WEIGHT: KG 2.7&lt;/p&gt;_x000a_&lt;p&gt;HARD INCREASE, COMPARED TO THE STANDARD EXHAUST SYSTEM, IN TERMS OF TORQUE AND POWER AT ANY RANGE&lt;/p&gt;_x000a_&lt;p&gt;ASTONISHING SOUND&lt;/p&gt;"/>
    <s v="https://shop.officineitalianezard.it/contents/imgs/products/1_799-scarichi%20moto%20zard%20bmw3.jpg"/>
    <m/>
    <m/>
  </r>
  <r>
    <s v="1586060005-11637"/>
    <s v="https://shop.officineitalianezard.it/en/products/"/>
    <m/>
    <s v="https://shop.officineitalianezard.it/en/bmw-zard-exaust/"/>
    <s v="R 1200 GS M.Y. 10-12"/>
    <s v="https://shop.officineitalianezard.it/en/bmw-r-1200-gs-m-y-10-12-exhaust/"/>
    <s v="PENTA VERSION"/>
    <x v="272"/>
    <s v="SILENCER"/>
    <s v="ZBMW 517 APR"/>
    <s v="BMW R 1200 GS M.Y. 10-12"/>
    <n v="394.67"/>
    <n v="438.52"/>
    <s v="&lt;p&gt;STEEL-ALUMINIUM BLACK SILENCER RACING WITH REMOVABLE DB KILLER&lt;/p&gt;_x000a_&lt;p&gt;THE EXHAUST CAN BE FITTED ON &quot;ADVENTURE&quot; V ERSION&lt;/p&gt;_x000a_&lt;p&gt;ORIGINAL SILENCER WEIGHT: KG 6.2&lt;/p&gt;_x000a_&lt;p&gt;ZARD SILENCER WEIGHT: KG 2.7&lt;/p&gt;_x000a_&lt;p&gt;HARD INCREASE, COMPARED TO THE STANDARD EXHAUST SYSTEM, IN TERMS OF TORQUE AND POWER AT ANY RANGE&lt;/p&gt;_x000a_&lt;p&gt;ASTONISHING SOUND&lt;/p&gt;"/>
    <m/>
    <s v="EURO 3 HOMOLOGATED"/>
    <n v="28.77"/>
  </r>
  <r>
    <s v="1586060005-11638"/>
    <s v="https://shop.officineitalianezard.it/en/products/"/>
    <m/>
    <s v="https://shop.officineitalianezard.it/en/bmw-zard-exaust/"/>
    <s v="R 1200 GS M.Y. 10-12"/>
    <s v="https://shop.officineitalianezard.it/en/bmw-r-1200-gs-m-y-10-12-exhaust/"/>
    <s v="PENTA VERSION"/>
    <x v="272"/>
    <s v="SILENCER"/>
    <s v="ZBMW 517 APR"/>
    <s v="BMW R 1200 GS M.Y. 10-12"/>
    <n v="394.67"/>
    <n v="438.52"/>
    <s v="&lt;p&gt;STEEL-ALUMINIUM BLACK SILENCER RACING WITH REMOVABLE DB KILLER&lt;/p&gt;_x000a_&lt;p&gt;THE EXHAUST CAN BE FITTED ON &quot;ADVENTURE&quot; V ERSION&lt;/p&gt;_x000a_&lt;p&gt;ORIGINAL SILENCER WEIGHT: KG 6.2&lt;/p&gt;_x000a_&lt;p&gt;ZARD SILENCER WEIGHT: KG 2.7&lt;/p&gt;_x000a_&lt;p&gt;HARD INCREASE, COMPARED TO THE STANDARD EXHAUST SYSTEM, IN TERMS OF TORQUE AND POWER AT ANY RANGE&lt;/p&gt;_x000a_&lt;p&gt;ASTONISHING SOUND&lt;/p&gt;"/>
    <m/>
    <s v="CARBON (RACING ONLY)"/>
    <n v="84.84"/>
  </r>
  <r>
    <s v="1586060005-11639"/>
    <s v="https://shop.officineitalianezard.it/en/products/"/>
    <m/>
    <s v="https://shop.officineitalianezard.it/en/bmw-zard-exaust/"/>
    <s v="R 1200 GS M.Y. 10-12"/>
    <s v="https://shop.officineitalianezard.it/en/bmw-r-1200-gs-m-y-10-12-exhaust/"/>
    <s v="PENTA VERSION"/>
    <x v="272"/>
    <s v="SILENCER"/>
    <s v="ZBMW 517 APR"/>
    <s v="BMW R 1200 GS M.Y. 10-12"/>
    <n v="394.67"/>
    <n v="438.52"/>
    <s v="&lt;p&gt;STEEL-ALUMINIUM BLACK SILENCER RACING WITH REMOVABLE DB KILLER&lt;/p&gt;_x000a_&lt;p&gt;THE EXHAUST CAN BE FITTED ON &quot;ADVENTURE&quot; V ERSION&lt;/p&gt;_x000a_&lt;p&gt;ORIGINAL SILENCER WEIGHT: KG 6.2&lt;/p&gt;_x000a_&lt;p&gt;ZARD SILENCER WEIGHT: KG 2.7&lt;/p&gt;_x000a_&lt;p&gt;HARD INCREASE, COMPARED TO THE STANDARD EXHAUST SYSTEM, IN TERMS OF TORQUE AND POWER AT ANY RANGE&lt;/p&gt;_x000a_&lt;p&gt;ASTONISHING SOUND&lt;/p&gt;"/>
    <m/>
    <s v="CARBON ENDCAP"/>
    <n v="37.619999999999997"/>
  </r>
  <r>
    <s v="1586060007-11640"/>
    <s v="https://shop.officineitalianezard.it/en/products/"/>
    <m/>
    <s v="https://shop.officineitalianezard.it/en/bmw-zard-exaust/"/>
    <s v="R 1200 GS M.Y. 10-12"/>
    <s v="https://shop.officineitalianezard.it/en/bmw-r-1200-gs-m-y-10-12-exhaust/"/>
    <s v="CONICAL VERSION"/>
    <x v="273"/>
    <s v="SILENCER"/>
    <s v="ZBMW 516 SSR-S"/>
    <s v="BMW R 1200 GS M.Y. 10-12"/>
    <n v="357.79"/>
    <n v="397.54"/>
    <s v="&lt;p&gt;STEEL SILENCER RACING WITH REMOVABLE DB KILLER&lt;/p&gt;_x000a_&lt;p&gt;THE EXHAUST CAN BE FITTED ON &quot;ADVENTURE&quot; VERSION&lt;/p&gt;_x000a_&lt;p&gt;ORIGINAL SILENCER WEIGHT: KG 6.2&lt;br&gt;ZARD SILENCER WEIGHT: KG 3&lt;/p&gt;_x000a_&lt;p&gt;HARD INCREASE, COMPARED TO THE ORIGINAL EXHAUST SYSTEM, IN TERMS OF TORQUE AND POWER AT ANY RANGE (+2 HP)&lt;/p&gt;_x000a_&lt;p&gt;ASTONISHING SOUND&lt;/p&gt;"/>
    <s v="https://shop.officineitalianezard.it/contents/imgs/products/1_777-scarichi%20moto%20zard%20bmw%202.jpg"/>
    <m/>
    <m/>
  </r>
  <r>
    <s v="1586060007-11641"/>
    <s v="https://shop.officineitalianezard.it/en/products/"/>
    <m/>
    <s v="https://shop.officineitalianezard.it/en/bmw-zard-exaust/"/>
    <s v="R 1200 GS M.Y. 10-12"/>
    <s v="https://shop.officineitalianezard.it/en/bmw-r-1200-gs-m-y-10-12-exhaust/"/>
    <s v="CONICAL VERSION"/>
    <x v="273"/>
    <s v="SILENCER"/>
    <s v="ZBMW 516 SSR-S"/>
    <s v="BMW R 1200 GS M.Y. 10-12"/>
    <n v="357.79"/>
    <n v="397.54"/>
    <s v="&lt;p&gt;STEEL SILENCER RACING WITH REMOVABLE DB KILLER&lt;/p&gt;_x000a_&lt;p&gt;THE EXHAUST CAN BE FITTED ON &quot;ADVENTURE&quot; VERSION&lt;/p&gt;_x000a_&lt;p&gt;ORIGINAL SILENCER WEIGHT: KG 6.2&lt;br&gt;ZARD SILENCER WEIGHT: KG 3&lt;/p&gt;_x000a_&lt;p&gt;HARD INCREASE, COMPARED TO THE ORIGINAL EXHAUST SYSTEM, IN TERMS OF TORQUE AND POWER AT ANY RANGE (+2 HP)&lt;/p&gt;_x000a_&lt;p&gt;ASTONISHING SOUND&lt;/p&gt;"/>
    <s v="https://shop.officineitalianezard.it/contents/imgs/products/1_776-scarichi%20moto%20zard%20bmw%201.jpg"/>
    <m/>
    <m/>
  </r>
  <r>
    <s v="1586060007-11642"/>
    <s v="https://shop.officineitalianezard.it/en/products/"/>
    <m/>
    <s v="https://shop.officineitalianezard.it/en/bmw-zard-exaust/"/>
    <s v="R 1200 GS M.Y. 10-12"/>
    <s v="https://shop.officineitalianezard.it/en/bmw-r-1200-gs-m-y-10-12-exhaust/"/>
    <s v="CONICAL VERSION"/>
    <x v="273"/>
    <s v="SILENCER"/>
    <s v="ZBMW 516 SSR-S"/>
    <s v="BMW R 1200 GS M.Y. 10-12"/>
    <n v="357.79"/>
    <n v="397.54"/>
    <s v="&lt;p&gt;STEEL SILENCER RACING WITH REMOVABLE DB KILLER&lt;/p&gt;_x000a_&lt;p&gt;THE EXHAUST CAN BE FITTED ON &quot;ADVENTURE&quot; VERSION&lt;/p&gt;_x000a_&lt;p&gt;ORIGINAL SILENCER WEIGHT: KG 6.2&lt;br&gt;ZARD SILENCER WEIGHT: KG 3&lt;/p&gt;_x000a_&lt;p&gt;HARD INCREASE, COMPARED TO THE ORIGINAL EXHAUST SYSTEM, IN TERMS OF TORQUE AND POWER AT ANY RANGE (+2 HP)&lt;/p&gt;_x000a_&lt;p&gt;ASTONISHING SOUND&lt;/p&gt;"/>
    <s v="https://shop.officineitalianezard.it/contents/imgs/products/1_778-scarichi%20moto%20zard%20bmw%203.jpg"/>
    <m/>
    <m/>
  </r>
  <r>
    <s v="1586060007-11643"/>
    <s v="https://shop.officineitalianezard.it/en/products/"/>
    <m/>
    <s v="https://shop.officineitalianezard.it/en/bmw-zard-exaust/"/>
    <s v="R 1200 GS M.Y. 10-12"/>
    <s v="https://shop.officineitalianezard.it/en/bmw-r-1200-gs-m-y-10-12-exhaust/"/>
    <s v="CONICAL VERSION"/>
    <x v="273"/>
    <s v="SILENCER"/>
    <s v="ZBMW 516 SSR-S"/>
    <s v="BMW R 1200 GS M.Y. 10-12"/>
    <n v="357.79"/>
    <n v="397.54"/>
    <s v="&lt;p&gt;STEEL SILENCER RACING WITH REMOVABLE DB KILLER&lt;/p&gt;_x000a_&lt;p&gt;THE EXHAUST CAN BE FITTED ON &quot;ADVENTURE&quot; VERSION&lt;/p&gt;_x000a_&lt;p&gt;ORIGINAL SILENCER WEIGHT: KG 6.2&lt;br&gt;ZARD SILENCER WEIGHT: KG 3&lt;/p&gt;_x000a_&lt;p&gt;HARD INCREASE, COMPARED TO THE ORIGINAL EXHAUST SYSTEM, IN TERMS OF TORQUE AND POWER AT ANY RANGE (+2 HP)&lt;/p&gt;_x000a_&lt;p&gt;ASTONISHING SOUND&lt;/p&gt;"/>
    <m/>
    <s v="HOMOLOGATED EURO 3"/>
    <n v="23.61"/>
  </r>
  <r>
    <s v="1586060007-11644"/>
    <s v="https://shop.officineitalianezard.it/en/products/"/>
    <m/>
    <s v="https://shop.officineitalianezard.it/en/bmw-zard-exaust/"/>
    <s v="R 1200 GS M.Y. 10-12"/>
    <s v="https://shop.officineitalianezard.it/en/bmw-r-1200-gs-m-y-10-12-exhaust/"/>
    <s v="CONICAL VERSION"/>
    <x v="273"/>
    <s v="SILENCER"/>
    <s v="ZBMW 516 SSR-S"/>
    <s v="BMW R 1200 GS M.Y. 10-12"/>
    <n v="357.79"/>
    <n v="397.54"/>
    <s v="&lt;p&gt;STEEL SILENCER RACING WITH REMOVABLE DB KILLER&lt;/p&gt;_x000a_&lt;p&gt;THE EXHAUST CAN BE FITTED ON &quot;ADVENTURE&quot; VERSION&lt;/p&gt;_x000a_&lt;p&gt;ORIGINAL SILENCER WEIGHT: KG 6.2&lt;br&gt;ZARD SILENCER WEIGHT: KG 3&lt;/p&gt;_x000a_&lt;p&gt;HARD INCREASE, COMPARED TO THE ORIGINAL EXHAUST SYSTEM, IN TERMS OF TORQUE AND POWER AT ANY RANGE (+2 HP)&lt;/p&gt;_x000a_&lt;p&gt;ASTONISHING SOUND&lt;/p&gt;"/>
    <m/>
    <s v="BLACK COATING"/>
    <n v="77.459999999999994"/>
  </r>
  <r>
    <s v="1586060007-11645"/>
    <s v="https://shop.officineitalianezard.it/en/products/"/>
    <m/>
    <s v="https://shop.officineitalianezard.it/en/bmw-zard-exaust/"/>
    <s v="R 1200 GS M.Y. 10-12"/>
    <s v="https://shop.officineitalianezard.it/en/bmw-r-1200-gs-m-y-10-12-exhaust/"/>
    <s v="CONICAL VERSION"/>
    <x v="273"/>
    <s v="SILENCER"/>
    <s v="ZBMW 516 SSR-S"/>
    <s v="BMW R 1200 GS M.Y. 10-12"/>
    <n v="357.79"/>
    <n v="397.54"/>
    <s v="&lt;p&gt;STEEL SILENCER RACING WITH REMOVABLE DB KILLER&lt;/p&gt;_x000a_&lt;p&gt;THE EXHAUST CAN BE FITTED ON &quot;ADVENTURE&quot; VERSION&lt;/p&gt;_x000a_&lt;p&gt;ORIGINAL SILENCER WEIGHT: KG 6.2&lt;br&gt;ZARD SILENCER WEIGHT: KG 3&lt;/p&gt;_x000a_&lt;p&gt;HARD INCREASE, COMPARED TO THE ORIGINAL EXHAUST SYSTEM, IN TERMS OF TORQUE AND POWER AT ANY RANGE (+2 HP)&lt;/p&gt;_x000a_&lt;p&gt;ASTONISHING SOUND&lt;/p&gt;"/>
    <m/>
    <s v="MIRROR POLISHED"/>
    <n v="22.87"/>
  </r>
  <r>
    <s v="1586060007-11646"/>
    <s v="https://shop.officineitalianezard.it/en/products/"/>
    <m/>
    <s v="https://shop.officineitalianezard.it/en/bmw-zard-exaust/"/>
    <s v="R 1200 GS M.Y. 10-12"/>
    <s v="https://shop.officineitalianezard.it/en/bmw-r-1200-gs-m-y-10-12-exhaust/"/>
    <s v="CONICAL VERSION"/>
    <x v="273"/>
    <s v="SILENCER"/>
    <s v="ZBMW 516 SSR-S"/>
    <s v="BMW R 1200 GS M.Y. 10-12"/>
    <n v="357.79"/>
    <n v="397.54"/>
    <s v="&lt;p&gt;STEEL SILENCER RACING WITH REMOVABLE DB KILLER&lt;/p&gt;_x000a_&lt;p&gt;THE EXHAUST CAN BE FITTED ON &quot;ADVENTURE&quot; VERSION&lt;/p&gt;_x000a_&lt;p&gt;ORIGINAL SILENCER WEIGHT: KG 6.2&lt;br&gt;ZARD SILENCER WEIGHT: KG 3&lt;/p&gt;_x000a_&lt;p&gt;HARD INCREASE, COMPARED TO THE ORIGINAL EXHAUST SYSTEM, IN TERMS OF TORQUE AND POWER AT ANY RANGE (+2 HP)&lt;/p&gt;_x000a_&lt;p&gt;ASTONISHING SOUND&lt;/p&gt;"/>
    <m/>
    <s v="CARBON ENDCAP"/>
    <n v="42.05"/>
  </r>
  <r>
    <s v="1586060013-11647"/>
    <s v="https://shop.officineitalianezard.it/en/products/"/>
    <m/>
    <s v="https://shop.officineitalianezard.it/en/bmw-zard-exaust/"/>
    <s v="R 1200 GS M.Y. 04-09"/>
    <s v="https://shop.officineitalianezard.it/en/bmw-r-1200-gs-m-y-04-09-exhaust/"/>
    <s v="STEEL VERSION"/>
    <x v="274"/>
    <s v="HEADERS KIT"/>
    <s v="ZBMW 080 SCR"/>
    <s v="BMW R 1200 GS M.Y. 04-09"/>
    <n v="281.8"/>
    <n v="313.11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amp;nbsp;&lt;/p&gt;"/>
    <s v="https://shop.officineitalianezard.it/contents/imgs/products/1_772-Collettorecomp.1.JPG"/>
    <m/>
    <m/>
  </r>
  <r>
    <s v="1586060013-11648"/>
    <s v="https://shop.officineitalianezard.it/en/products/"/>
    <m/>
    <s v="https://shop.officineitalianezard.it/en/bmw-zard-exaust/"/>
    <s v="R 1200 GS M.Y. 04-09"/>
    <s v="https://shop.officineitalianezard.it/en/bmw-r-1200-gs-m-y-04-09-exhaust/"/>
    <s v="STEEL VERSION"/>
    <x v="274"/>
    <s v="HEADERS KIT"/>
    <s v="ZBMW 080 SCR"/>
    <s v="BMW R 1200 GS M.Y. 04-09"/>
    <n v="281.8"/>
    <n v="313.11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amp;nbsp;&lt;/p&gt;"/>
    <s v="https://shop.officineitalianezard.it/contents/imgs/products/1_773-Collettorecomp.2.JPG"/>
    <m/>
    <m/>
  </r>
  <r>
    <s v="1586060013-11649"/>
    <s v="https://shop.officineitalianezard.it/en/products/"/>
    <m/>
    <s v="https://shop.officineitalianezard.it/en/bmw-zard-exaust/"/>
    <s v="R 1200 GS M.Y. 04-09"/>
    <s v="https://shop.officineitalianezard.it/en/bmw-r-1200-gs-m-y-04-09-exhaust/"/>
    <s v="STEEL VERSION"/>
    <x v="274"/>
    <s v="HEADERS KIT"/>
    <s v="ZBMW 080 SCR"/>
    <s v="BMW R 1200 GS M.Y. 04-09"/>
    <n v="281.8"/>
    <n v="313.11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amp;nbsp;&lt;/p&gt;"/>
    <s v="https://shop.officineitalianezard.it/contents/imgs/products/1_774-Collettorecomp.3.JPG"/>
    <m/>
    <m/>
  </r>
  <r>
    <s v="1586060013-11650"/>
    <s v="https://shop.officineitalianezard.it/en/products/"/>
    <m/>
    <s v="https://shop.officineitalianezard.it/en/bmw-zard-exaust/"/>
    <s v="R 1200 GS M.Y. 04-09"/>
    <s v="https://shop.officineitalianezard.it/en/bmw-r-1200-gs-m-y-04-09-exhaust/"/>
    <s v="STEEL VERSION"/>
    <x v="274"/>
    <s v="HEADERS KIT"/>
    <s v="ZBMW 080 SCR"/>
    <s v="BMW R 1200 GS M.Y. 04-09"/>
    <n v="281.8"/>
    <n v="313.11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amp;nbsp;&lt;/p&gt;"/>
    <s v="https://shop.officineitalianezard.it/contents/imgs/products/1_775-Collettorecomp.JPG"/>
    <m/>
    <m/>
  </r>
  <r>
    <s v="1586060013-11651"/>
    <s v="https://shop.officineitalianezard.it/en/products/"/>
    <m/>
    <s v="https://shop.officineitalianezard.it/en/bmw-zard-exaust/"/>
    <s v="R 1200 GS M.Y. 04-09"/>
    <s v="https://shop.officineitalianezard.it/en/bmw-r-1200-gs-m-y-04-09-exhaust/"/>
    <s v="STEEL VERSION"/>
    <x v="274"/>
    <s v="HEADERS KIT"/>
    <s v="ZBMW 080 SCR"/>
    <s v="BMW R 1200 GS M.Y. 04-09"/>
    <n v="281.8"/>
    <n v="313.11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amp;nbsp;&lt;/p&gt;"/>
    <m/>
    <s v="STEEL WITH COMPENSER"/>
    <n v="93.69"/>
  </r>
  <r>
    <s v="1586060013-11652"/>
    <s v="https://shop.officineitalianezard.it/en/products/"/>
    <m/>
    <s v="https://shop.officineitalianezard.it/en/bmw-zard-exaust/"/>
    <s v="R 1200 GS M.Y. 04-09"/>
    <s v="https://shop.officineitalianezard.it/en/bmw-r-1200-gs-m-y-04-09-exhaust/"/>
    <s v="STEEL VERSION"/>
    <x v="274"/>
    <s v="HEADERS KIT"/>
    <s v="ZBMW 080 SCR"/>
    <s v="BMW R 1200 GS M.Y. 04-09"/>
    <n v="281.8"/>
    <n v="313.11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amp;nbsp;&lt;/p&gt;"/>
    <m/>
    <s v="TITANIUM WITH COMPENSER"/>
    <n v="347.46"/>
  </r>
  <r>
    <s v="1586060013-11653"/>
    <s v="https://shop.officineitalianezard.it/en/products/"/>
    <m/>
    <s v="https://shop.officineitalianezard.it/en/bmw-zard-exaust/"/>
    <s v="R 1200 GS M.Y. 04-09"/>
    <s v="https://shop.officineitalianezard.it/en/bmw-r-1200-gs-m-y-04-09-exhaust/"/>
    <s v="STEEL VERSION"/>
    <x v="274"/>
    <s v="HEADERS KIT"/>
    <s v="ZBMW 080 SCR"/>
    <s v="BMW R 1200 GS M.Y. 04-09"/>
    <n v="281.8"/>
    <n v="313.11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amp;nbsp;&lt;/p&gt;"/>
    <m/>
    <s v="MIRROR POLISHED"/>
    <n v="47.21"/>
  </r>
  <r>
    <s v="1586060013-11654"/>
    <s v="https://shop.officineitalianezard.it/en/products/"/>
    <m/>
    <s v="https://shop.officineitalianezard.it/en/bmw-zard-exaust/"/>
    <s v="R 1200 GS M.Y. 04-09"/>
    <s v="https://shop.officineitalianezard.it/en/bmw-r-1200-gs-m-y-04-09-exhaust/"/>
    <s v="STEEL VERSION"/>
    <x v="274"/>
    <s v="HEADERS KIT"/>
    <s v="ZBMW 080 SCR"/>
    <s v="BMW R 1200 GS M.Y. 04-09"/>
    <n v="281.8"/>
    <n v="313.11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amp;nbsp;&lt;/p&gt;"/>
    <m/>
    <s v="FULL TITANIUM"/>
    <n v="253.77"/>
  </r>
  <r>
    <s v="1586060013-11655"/>
    <s v="https://shop.officineitalianezard.it/en/products/"/>
    <m/>
    <s v="https://shop.officineitalianezard.it/en/bmw-zard-exaust/"/>
    <s v="R 1200 GS M.Y. 04-09"/>
    <s v="https://shop.officineitalianezard.it/en/bmw-r-1200-gs-m-y-04-09-exhaust/"/>
    <s v="STEEL VERSION"/>
    <x v="274"/>
    <s v="HEADERS KIT"/>
    <s v="ZBMW 080 SCR"/>
    <s v="BMW R 1200 GS M.Y. 04-09"/>
    <n v="281.8"/>
    <n v="313.11"/>
    <s v="&lt;p&gt;STEEL RACING HEADERS KIT&lt;/p&gt;_x000a_&lt;p&gt;THE EXHAUST CAN BE FITTED ON &quot;ADVENTURE&quot; VERSION&lt;/p&gt;_x000a_&lt;p&gt;ORIGINAL HEADERS KIT WEIGHT: KG 4.3&lt;br&gt;ZARD HEADERS KIT WEIGHT: KG 3&lt;/p&gt;_x000a_&lt;p&gt;HARD INCREASE, COMPARED TO THE STANDARD EXHAUST SYSTEM, IN TERMS OF TORQUE AND POWER AT ANY RANGE (+5 HP), IF FITTED WITH ZARD CONICAL OR PENTA SILENCER.&lt;/p&gt;_x000a_&lt;p&gt;&amp;nbsp;&lt;/p&gt;"/>
    <m/>
    <s v="BLACK COATING"/>
    <n v="77.459999999999994"/>
  </r>
  <r>
    <s v="1586060016-11656"/>
    <s v="https://shop.officineitalianezard.it/en/products/"/>
    <m/>
    <s v="https://shop.officineitalianezard.it/en/bmw-zard-exaust/"/>
    <s v="R 1200 GS M.Y. 04-09"/>
    <s v="https://shop.officineitalianezard.it/en/bmw-r-1200-gs-m-y-04-09-exhaust/"/>
    <s v="PENTA VERSION"/>
    <x v="275"/>
    <s v="SILENCER"/>
    <s v="ZBMW 520 APR"/>
    <s v="BMW R 1200 GS M.Y. 04-09"/>
    <n v="394.67"/>
    <n v="438.52"/>
    <s v="&lt;p&gt;STEEL-ALUMINIUM BLACK SILENCER RACING WITH REMOVABLE DB KILLER&lt;/p&gt;_x000a_&lt;p&gt;THE EXHAUST CAN BE FITTED ON &quot;ADVENTURE&quot; V ERSION&lt;/p&gt;_x000a_&lt;p&gt;ORIGINAL SILENCER WEIGHT: KG 6.2&lt;/p&gt;_x000a_&lt;p&gt;ZARD SILENCER WEIGHT: KG 2.7&lt;/p&gt;_x000a_&lt;p&gt;HARD INCREASE, COMPARED TO THE STANDARD EXHAUST SYSTEM, IN TERMS OF TORQUE AND POWER AT ANY RANGE&lt;/p&gt;_x000a_&lt;p&gt;ASTONISHING SOUND&lt;/p&gt;"/>
    <s v="https://shop.officineitalianezard.it/contents/imgs/products/1_768-scarichi%20moto%20zard1a.jpg"/>
    <m/>
    <m/>
  </r>
  <r>
    <s v="1586060016-11657"/>
    <s v="https://shop.officineitalianezard.it/en/products/"/>
    <m/>
    <s v="https://shop.officineitalianezard.it/en/bmw-zard-exaust/"/>
    <s v="R 1200 GS M.Y. 04-09"/>
    <s v="https://shop.officineitalianezard.it/en/bmw-r-1200-gs-m-y-04-09-exhaust/"/>
    <s v="PENTA VERSION"/>
    <x v="275"/>
    <s v="SILENCER"/>
    <s v="ZBMW 520 APR"/>
    <s v="BMW R 1200 GS M.Y. 04-09"/>
    <n v="394.67"/>
    <n v="438.52"/>
    <s v="&lt;p&gt;STEEL-ALUMINIUM BLACK SILENCER RACING WITH REMOVABLE DB KILLER&lt;/p&gt;_x000a_&lt;p&gt;THE EXHAUST CAN BE FITTED ON &quot;ADVENTURE&quot; V ERSION&lt;/p&gt;_x000a_&lt;p&gt;ORIGINAL SILENCER WEIGHT: KG 6.2&lt;/p&gt;_x000a_&lt;p&gt;ZARD SILENCER WEIGHT: KG 2.7&lt;/p&gt;_x000a_&lt;p&gt;HARD INCREASE, COMPARED TO THE STANDARD EXHAUST SYSTEM, IN TERMS OF TORQUE AND POWER AT ANY RANGE&lt;/p&gt;_x000a_&lt;p&gt;ASTONISHING SOUND&lt;/p&gt;"/>
    <s v="https://shop.officineitalianezard.it/contents/imgs/products/1_769-scarichi%20moto%20zard1aa.jpg"/>
    <m/>
    <m/>
  </r>
  <r>
    <s v="1586060016-11658"/>
    <s v="https://shop.officineitalianezard.it/en/products/"/>
    <m/>
    <s v="https://shop.officineitalianezard.it/en/bmw-zard-exaust/"/>
    <s v="R 1200 GS M.Y. 04-09"/>
    <s v="https://shop.officineitalianezard.it/en/bmw-r-1200-gs-m-y-04-09-exhaust/"/>
    <s v="PENTA VERSION"/>
    <x v="275"/>
    <s v="SILENCER"/>
    <s v="ZBMW 520 APR"/>
    <s v="BMW R 1200 GS M.Y. 04-09"/>
    <n v="394.67"/>
    <n v="438.52"/>
    <s v="&lt;p&gt;STEEL-ALUMINIUM BLACK SILENCER RACING WITH REMOVABLE DB KILLER&lt;/p&gt;_x000a_&lt;p&gt;THE EXHAUST CAN BE FITTED ON &quot;ADVENTURE&quot; V ERSION&lt;/p&gt;_x000a_&lt;p&gt;ORIGINAL SILENCER WEIGHT: KG 6.2&lt;/p&gt;_x000a_&lt;p&gt;ZARD SILENCER WEIGHT: KG 2.7&lt;/p&gt;_x000a_&lt;p&gt;HARD INCREASE, COMPARED TO THE STANDARD EXHAUST SYSTEM, IN TERMS OF TORQUE AND POWER AT ANY RANGE&lt;/p&gt;_x000a_&lt;p&gt;ASTONISHING SOUND&lt;/p&gt;"/>
    <s v="https://shop.officineitalianezard.it/contents/imgs/products/1_770-scarichi%20moto%20zard1b.jpg"/>
    <m/>
    <m/>
  </r>
  <r>
    <s v="1586060016-11659"/>
    <s v="https://shop.officineitalianezard.it/en/products/"/>
    <m/>
    <s v="https://shop.officineitalianezard.it/en/bmw-zard-exaust/"/>
    <s v="R 1200 GS M.Y. 04-09"/>
    <s v="https://shop.officineitalianezard.it/en/bmw-r-1200-gs-m-y-04-09-exhaust/"/>
    <s v="PENTA VERSION"/>
    <x v="275"/>
    <s v="SILENCER"/>
    <s v="ZBMW 520 APR"/>
    <s v="BMW R 1200 GS M.Y. 04-09"/>
    <n v="394.67"/>
    <n v="438.52"/>
    <s v="&lt;p&gt;STEEL-ALUMINIUM BLACK SILENCER RACING WITH REMOVABLE DB KILLER&lt;/p&gt;_x000a_&lt;p&gt;THE EXHAUST CAN BE FITTED ON &quot;ADVENTURE&quot; V ERSION&lt;/p&gt;_x000a_&lt;p&gt;ORIGINAL SILENCER WEIGHT: KG 6.2&lt;/p&gt;_x000a_&lt;p&gt;ZARD SILENCER WEIGHT: KG 2.7&lt;/p&gt;_x000a_&lt;p&gt;HARD INCREASE, COMPARED TO THE STANDARD EXHAUST SYSTEM, IN TERMS OF TORQUE AND POWER AT ANY RANGE&lt;/p&gt;_x000a_&lt;p&gt;ASTONISHING SOUND&lt;/p&gt;"/>
    <s v="https://shop.officineitalianezard.it/contents/imgs/products/1_771-scarichi%20moto%20zard1c.jpg"/>
    <m/>
    <m/>
  </r>
  <r>
    <s v="1586060016-11660"/>
    <s v="https://shop.officineitalianezard.it/en/products/"/>
    <m/>
    <s v="https://shop.officineitalianezard.it/en/bmw-zard-exaust/"/>
    <s v="R 1200 GS M.Y. 04-09"/>
    <s v="https://shop.officineitalianezard.it/en/bmw-r-1200-gs-m-y-04-09-exhaust/"/>
    <s v="PENTA VERSION"/>
    <x v="275"/>
    <s v="SILENCER"/>
    <s v="ZBMW 520 APR"/>
    <s v="BMW R 1200 GS M.Y. 04-09"/>
    <n v="394.67"/>
    <n v="438.52"/>
    <s v="&lt;p&gt;STEEL-ALUMINIUM BLACK SILENCER RACING WITH REMOVABLE DB KILLER&lt;/p&gt;_x000a_&lt;p&gt;THE EXHAUST CAN BE FITTED ON &quot;ADVENTURE&quot; V ERSION&lt;/p&gt;_x000a_&lt;p&gt;ORIGINAL SILENCER WEIGHT: KG 6.2&lt;/p&gt;_x000a_&lt;p&gt;ZARD SILENCER WEIGHT: KG 2.7&lt;/p&gt;_x000a_&lt;p&gt;HARD INCREASE, COMPARED TO THE STANDARD EXHAUST SYSTEM, IN TERMS OF TORQUE AND POWER AT ANY RANGE&lt;/p&gt;_x000a_&lt;p&gt;ASTONISHING SOUND&lt;/p&gt;"/>
    <m/>
    <s v="EURO 3 HOMOLOGATED"/>
    <n v="28.77"/>
  </r>
  <r>
    <s v="1586060016-11661"/>
    <s v="https://shop.officineitalianezard.it/en/products/"/>
    <m/>
    <s v="https://shop.officineitalianezard.it/en/bmw-zard-exaust/"/>
    <s v="R 1200 GS M.Y. 04-09"/>
    <s v="https://shop.officineitalianezard.it/en/bmw-r-1200-gs-m-y-04-09-exhaust/"/>
    <s v="PENTA VERSION"/>
    <x v="275"/>
    <s v="SILENCER"/>
    <s v="ZBMW 520 APR"/>
    <s v="BMW R 1200 GS M.Y. 04-09"/>
    <n v="394.67"/>
    <n v="438.52"/>
    <s v="&lt;p&gt;STEEL-ALUMINIUM BLACK SILENCER RACING WITH REMOVABLE DB KILLER&lt;/p&gt;_x000a_&lt;p&gt;THE EXHAUST CAN BE FITTED ON &quot;ADVENTURE&quot; V ERSION&lt;/p&gt;_x000a_&lt;p&gt;ORIGINAL SILENCER WEIGHT: KG 6.2&lt;/p&gt;_x000a_&lt;p&gt;ZARD SILENCER WEIGHT: KG 2.7&lt;/p&gt;_x000a_&lt;p&gt;HARD INCREASE, COMPARED TO THE STANDARD EXHAUST SYSTEM, IN TERMS OF TORQUE AND POWER AT ANY RANGE&lt;/p&gt;_x000a_&lt;p&gt;ASTONISHING SOUND&lt;/p&gt;"/>
    <m/>
    <s v="CARBON (RACING ONLY)"/>
    <n v="190.33"/>
  </r>
  <r>
    <s v="1586060016-11662"/>
    <s v="https://shop.officineitalianezard.it/en/products/"/>
    <m/>
    <s v="https://shop.officineitalianezard.it/en/bmw-zard-exaust/"/>
    <s v="R 1200 GS M.Y. 04-09"/>
    <s v="https://shop.officineitalianezard.it/en/bmw-r-1200-gs-m-y-04-09-exhaust/"/>
    <s v="PENTA VERSION"/>
    <x v="275"/>
    <s v="SILENCER"/>
    <s v="ZBMW 520 APR"/>
    <s v="BMW R 1200 GS M.Y. 04-09"/>
    <n v="394.67"/>
    <n v="438.52"/>
    <s v="&lt;p&gt;STEEL-ALUMINIUM BLACK SILENCER RACING WITH REMOVABLE DB KILLER&lt;/p&gt;_x000a_&lt;p&gt;THE EXHAUST CAN BE FITTED ON &quot;ADVENTURE&quot; V ERSION&lt;/p&gt;_x000a_&lt;p&gt;ORIGINAL SILENCER WEIGHT: KG 6.2&lt;/p&gt;_x000a_&lt;p&gt;ZARD SILENCER WEIGHT: KG 2.7&lt;/p&gt;_x000a_&lt;p&gt;HARD INCREASE, COMPARED TO THE STANDARD EXHAUST SYSTEM, IN TERMS OF TORQUE AND POWER AT ANY RANGE&lt;/p&gt;_x000a_&lt;p&gt;ASTONISHING SOUND&lt;/p&gt;"/>
    <m/>
    <s v="CARBON ENDCAP"/>
    <n v="37.619999999999997"/>
  </r>
  <r>
    <s v="1586060018-11663"/>
    <s v="https://shop.officineitalianezard.it/en/products/"/>
    <m/>
    <s v="https://shop.officineitalianezard.it/en/bmw-zard-exaust/"/>
    <s v="R 1200 GS M.Y. 04-09"/>
    <s v="https://shop.officineitalianezard.it/en/bmw-r-1200-gs-m-y-04-09-exhaust/"/>
    <s v="CONICAL VERSION"/>
    <x v="276"/>
    <s v="SILENCER"/>
    <s v="ZBMW 080 SSR-S"/>
    <s v="BMW R 1200 GS M.Y. 04-09"/>
    <n v="347.46"/>
    <n v="386.07"/>
    <s v="&lt;p&gt;STEEL SILENCER RACING WITH REMOVABLE DB KILLER&lt;/p&gt;_x000a_&lt;p&gt;THE EXHAUST CAN BE FITTED ON &quot;ADVENTURE&quot; VERSION&lt;/p&gt;_x000a_&lt;p&gt;ORIGINAL SILENCER WEIGHT: KG 6.2&lt;br&gt;ZARD SILENCER WEIGHT: KG 3&lt;/p&gt;_x000a_&lt;p&gt;HARD INCREASE, COMPARED TO THE ORIGINAL EXHAUST SYSTEM, IN TERMS OF TORQUE AND POWER AT ANY RANGE (+2 HP)&lt;/p&gt;_x000a_&lt;p&gt;ASTONISHING SOUND&lt;/p&gt;"/>
    <s v="https://shop.officineitalianezard.it/contents/imgs/products/1_762-scarichi%20moto%20zard%20bmw1.jpg"/>
    <m/>
    <m/>
  </r>
  <r>
    <s v="1586060018-11664"/>
    <s v="https://shop.officineitalianezard.it/en/products/"/>
    <m/>
    <s v="https://shop.officineitalianezard.it/en/bmw-zard-exaust/"/>
    <s v="R 1200 GS M.Y. 04-09"/>
    <s v="https://shop.officineitalianezard.it/en/bmw-r-1200-gs-m-y-04-09-exhaust/"/>
    <s v="CONICAL VERSION"/>
    <x v="276"/>
    <s v="SILENCER"/>
    <s v="ZBMW 080 SSR-S"/>
    <s v="BMW R 1200 GS M.Y. 04-09"/>
    <n v="347.46"/>
    <n v="386.07"/>
    <s v="&lt;p&gt;STEEL SILENCER RACING WITH REMOVABLE DB KILLER&lt;/p&gt;_x000a_&lt;p&gt;THE EXHAUST CAN BE FITTED ON &quot;ADVENTURE&quot; VERSION&lt;/p&gt;_x000a_&lt;p&gt;ORIGINAL SILENCER WEIGHT: KG 6.2&lt;br&gt;ZARD SILENCER WEIGHT: KG 3&lt;/p&gt;_x000a_&lt;p&gt;HARD INCREASE, COMPARED TO THE ORIGINAL EXHAUST SYSTEM, IN TERMS OF TORQUE AND POWER AT ANY RANGE (+2 HP)&lt;/p&gt;_x000a_&lt;p&gt;ASTONISHING SOUND&lt;/p&gt;"/>
    <s v="https://shop.officineitalianezard.it/contents/imgs/products/1_763-scarichi%20moto%20zard%20bmw2.jpg"/>
    <m/>
    <m/>
  </r>
  <r>
    <s v="1586060018-11665"/>
    <s v="https://shop.officineitalianezard.it/en/products/"/>
    <m/>
    <s v="https://shop.officineitalianezard.it/en/bmw-zard-exaust/"/>
    <s v="R 1200 GS M.Y. 04-09"/>
    <s v="https://shop.officineitalianezard.it/en/bmw-r-1200-gs-m-y-04-09-exhaust/"/>
    <s v="CONICAL VERSION"/>
    <x v="276"/>
    <s v="SILENCER"/>
    <s v="ZBMW 080 SSR-S"/>
    <s v="BMW R 1200 GS M.Y. 04-09"/>
    <n v="347.46"/>
    <n v="386.07"/>
    <s v="&lt;p&gt;STEEL SILENCER RACING WITH REMOVABLE DB KILLER&lt;/p&gt;_x000a_&lt;p&gt;THE EXHAUST CAN BE FITTED ON &quot;ADVENTURE&quot; VERSION&lt;/p&gt;_x000a_&lt;p&gt;ORIGINAL SILENCER WEIGHT: KG 6.2&lt;br&gt;ZARD SILENCER WEIGHT: KG 3&lt;/p&gt;_x000a_&lt;p&gt;HARD INCREASE, COMPARED TO THE ORIGINAL EXHAUST SYSTEM, IN TERMS OF TORQUE AND POWER AT ANY RANGE (+2 HP)&lt;/p&gt;_x000a_&lt;p&gt;ASTONISHING SOUND&lt;/p&gt;"/>
    <m/>
    <s v="HOMOLOGATED EURO 3"/>
    <n v="23.61"/>
  </r>
  <r>
    <s v="1586060018-11666"/>
    <s v="https://shop.officineitalianezard.it/en/products/"/>
    <m/>
    <s v="https://shop.officineitalianezard.it/en/bmw-zard-exaust/"/>
    <s v="R 1200 GS M.Y. 04-09"/>
    <s v="https://shop.officineitalianezard.it/en/bmw-r-1200-gs-m-y-04-09-exhaust/"/>
    <s v="CONICAL VERSION"/>
    <x v="276"/>
    <s v="SILENCER"/>
    <s v="ZBMW 080 SSR-S"/>
    <s v="BMW R 1200 GS M.Y. 04-09"/>
    <n v="347.46"/>
    <n v="386.07"/>
    <s v="&lt;p&gt;STEEL SILENCER RACING WITH REMOVABLE DB KILLER&lt;/p&gt;_x000a_&lt;p&gt;THE EXHAUST CAN BE FITTED ON &quot;ADVENTURE&quot; VERSION&lt;/p&gt;_x000a_&lt;p&gt;ORIGINAL SILENCER WEIGHT: KG 6.2&lt;br&gt;ZARD SILENCER WEIGHT: KG 3&lt;/p&gt;_x000a_&lt;p&gt;HARD INCREASE, COMPARED TO THE ORIGINAL EXHAUST SYSTEM, IN TERMS OF TORQUE AND POWER AT ANY RANGE (+2 HP)&lt;/p&gt;_x000a_&lt;p&gt;ASTONISHING SOUND&lt;/p&gt;"/>
    <m/>
    <s v="BLACK COATING"/>
    <n v="77.459999999999994"/>
  </r>
  <r>
    <s v="1586060018-11667"/>
    <s v="https://shop.officineitalianezard.it/en/products/"/>
    <m/>
    <s v="https://shop.officineitalianezard.it/en/bmw-zard-exaust/"/>
    <s v="R 1200 GS M.Y. 04-09"/>
    <s v="https://shop.officineitalianezard.it/en/bmw-r-1200-gs-m-y-04-09-exhaust/"/>
    <s v="CONICAL VERSION"/>
    <x v="276"/>
    <s v="SILENCER"/>
    <s v="ZBMW 080 SSR-S"/>
    <s v="BMW R 1200 GS M.Y. 04-09"/>
    <n v="347.46"/>
    <n v="386.07"/>
    <s v="&lt;p&gt;STEEL SILENCER RACING WITH REMOVABLE DB KILLER&lt;/p&gt;_x000a_&lt;p&gt;THE EXHAUST CAN BE FITTED ON &quot;ADVENTURE&quot; VERSION&lt;/p&gt;_x000a_&lt;p&gt;ORIGINAL SILENCER WEIGHT: KG 6.2&lt;br&gt;ZARD SILENCER WEIGHT: KG 3&lt;/p&gt;_x000a_&lt;p&gt;HARD INCREASE, COMPARED TO THE ORIGINAL EXHAUST SYSTEM, IN TERMS OF TORQUE AND POWER AT ANY RANGE (+2 HP)&lt;/p&gt;_x000a_&lt;p&gt;ASTONISHING SOUND&lt;/p&gt;"/>
    <m/>
    <s v="CARBON ENDCAP"/>
    <n v="42.05"/>
  </r>
  <r>
    <s v="1586060018-11668"/>
    <s v="https://shop.officineitalianezard.it/en/products/"/>
    <m/>
    <s v="https://shop.officineitalianezard.it/en/bmw-zard-exaust/"/>
    <s v="R 1200 GS M.Y. 04-09"/>
    <s v="https://shop.officineitalianezard.it/en/bmw-r-1200-gs-m-y-04-09-exhaust/"/>
    <s v="CONICAL VERSION"/>
    <x v="276"/>
    <s v="SILENCER"/>
    <s v="ZBMW 080 SSR-S"/>
    <s v="BMW R 1200 GS M.Y. 04-09"/>
    <n v="347.46"/>
    <n v="386.07"/>
    <s v="&lt;p&gt;STEEL SILENCER RACING WITH REMOVABLE DB KILLER&lt;/p&gt;_x000a_&lt;p&gt;THE EXHAUST CAN BE FITTED ON &quot;ADVENTURE&quot; VERSION&lt;/p&gt;_x000a_&lt;p&gt;ORIGINAL SILENCER WEIGHT: KG 6.2&lt;br&gt;ZARD SILENCER WEIGHT: KG 3&lt;/p&gt;_x000a_&lt;p&gt;HARD INCREASE, COMPARED TO THE ORIGINAL EXHAUST SYSTEM, IN TERMS OF TORQUE AND POWER AT ANY RANGE (+2 HP)&lt;/p&gt;_x000a_&lt;p&gt;ASTONISHING SOUND&lt;/p&gt;"/>
    <m/>
    <s v="MIRROR POLISHED"/>
    <n v="19.18"/>
  </r>
  <r>
    <s v="1586060023-11669"/>
    <s v="https://shop.officineitalianezard.it/en/products/"/>
    <m/>
    <s v="https://shop.officineitalianezard.it/en/bmw-zard-exaust/"/>
    <s v="R 850 GS - R 1150 GS - R 1150 R"/>
    <s v="https://shop.officineitalianezard.it/en/bmw-r-850-gs-r-1150-gs-r-1150-r-exhaust/"/>
    <s v="STEEL VERSION"/>
    <x v="277"/>
    <s v="DECATALYZER"/>
    <s v="ZBMW 514 SCR"/>
    <s v="BMW R 850 GS / R 1150 GS / R 1150 R"/>
    <n v="235.33"/>
    <n v="261.48"/>
    <s v="&lt;p&gt;STEEL RACING CENTRAL DECATALYZER&lt;/p&gt;_x000a_&lt;p&gt;ORIGINAL CENTRAL WEIGHT: KG 4.5&lt;br&gt;ZARD CENTRAL WEIGHT: KG 3&lt;/p&gt;_x000a_&lt;p&gt;HARD INCREASE IN TERMS OF TORQUE AND POWER AT ANY RANGE (+5 HP) IF FITTED WITH ZARD CONICAL SILENCER.&lt;/p&gt;"/>
    <s v="https://shop.officineitalianezard.it/contents/imgs/products/1_760-scarichi%20moto%20zard%20bmw%205.jpg"/>
    <m/>
    <m/>
  </r>
  <r>
    <s v="1586060023-11670"/>
    <s v="https://shop.officineitalianezard.it/en/products/"/>
    <m/>
    <s v="https://shop.officineitalianezard.it/en/bmw-zard-exaust/"/>
    <s v="R 850 GS - R 1150 GS - R 1150 R"/>
    <s v="https://shop.officineitalianezard.it/en/bmw-r-850-gs-r-1150-gs-r-1150-r-exhaust/"/>
    <s v="STEEL VERSION"/>
    <x v="277"/>
    <s v="DECATALYZER"/>
    <s v="ZBMW 514 SCR"/>
    <s v="BMW R 850 GS / R 1150 GS / R 1150 R"/>
    <n v="235.33"/>
    <n v="261.48"/>
    <s v="&lt;p&gt;STEEL RACING CENTRAL DECATALYZER&lt;/p&gt;_x000a_&lt;p&gt;ORIGINAL CENTRAL WEIGHT: KG 4.5&lt;br&gt;ZARD CENTRAL WEIGHT: KG 3&lt;/p&gt;_x000a_&lt;p&gt;HARD INCREASE IN TERMS OF TORQUE AND POWER AT ANY RANGE (+5 HP) IF FITTED WITH ZARD CONICAL SILENCER.&lt;/p&gt;"/>
    <s v="https://shop.officineitalianezard.it/contents/imgs/products/1_758-scarichi%20moto%20zard%20bmw%202.jpg"/>
    <m/>
    <m/>
  </r>
  <r>
    <s v="1586060023-11671"/>
    <s v="https://shop.officineitalianezard.it/en/products/"/>
    <m/>
    <s v="https://shop.officineitalianezard.it/en/bmw-zard-exaust/"/>
    <s v="R 850 GS - R 1150 GS - R 1150 R"/>
    <s v="https://shop.officineitalianezard.it/en/bmw-r-850-gs-r-1150-gs-r-1150-r-exhaust/"/>
    <s v="STEEL VERSION"/>
    <x v="277"/>
    <s v="DECATALYZER"/>
    <s v="ZBMW 514 SCR"/>
    <s v="BMW R 850 GS / R 1150 GS / R 1150 R"/>
    <n v="235.33"/>
    <n v="261.48"/>
    <s v="&lt;p&gt;STEEL RACING CENTRAL DECATALYZER&lt;/p&gt;_x000a_&lt;p&gt;ORIGINAL CENTRAL WEIGHT: KG 4.5&lt;br&gt;ZARD CENTRAL WEIGHT: KG 3&lt;/p&gt;_x000a_&lt;p&gt;HARD INCREASE IN TERMS OF TORQUE AND POWER AT ANY RANGE (+5 HP) IF FITTED WITH ZARD CONICAL SILENCER.&lt;/p&gt;"/>
    <m/>
    <s v="BLACK COATING"/>
    <n v="77.459999999999994"/>
  </r>
  <r>
    <s v="1586060023-11672"/>
    <s v="https://shop.officineitalianezard.it/en/products/"/>
    <m/>
    <s v="https://shop.officineitalianezard.it/en/bmw-zard-exaust/"/>
    <s v="R 850 GS - R 1150 GS - R 1150 R"/>
    <s v="https://shop.officineitalianezard.it/en/bmw-r-850-gs-r-1150-gs-r-1150-r-exhaust/"/>
    <s v="STEEL VERSION"/>
    <x v="277"/>
    <s v="DECATALYZER"/>
    <s v="ZBMW 514 SCR"/>
    <s v="BMW R 850 GS / R 1150 GS / R 1150 R"/>
    <n v="235.33"/>
    <n v="261.48"/>
    <s v="&lt;p&gt;STEEL RACING CENTRAL DECATALYZER&lt;/p&gt;_x000a_&lt;p&gt;ORIGINAL CENTRAL WEIGHT: KG 4.5&lt;br&gt;ZARD CENTRAL WEIGHT: KG 3&lt;/p&gt;_x000a_&lt;p&gt;HARD INCREASE IN TERMS OF TORQUE AND POWER AT ANY RANGE (+5 HP) IF FITTED WITH ZARD CONICAL SILENCER.&lt;/p&gt;"/>
    <m/>
    <s v="MIRROR POLISHED"/>
    <n v="47.21"/>
  </r>
  <r>
    <s v="1586060025-11673"/>
    <s v="https://shop.officineitalianezard.it/en/products/"/>
    <m/>
    <s v="https://shop.officineitalianezard.it/en/bmw-zard-exaust/"/>
    <s v="R 850 GS - R 1150 GS - R 1150 R"/>
    <s v="https://shop.officineitalianezard.it/en/bmw-r-850-gs-r-1150-gs-r-1150-r-exhaust/"/>
    <s v="CONICAL VERSION"/>
    <x v="278"/>
    <s v="SILENCER"/>
    <s v="ZBMW 514 SSR-S"/>
    <s v="BMW R 850 GS / R 1150 GS / R 1150 R"/>
    <n v="320.16000000000003"/>
    <n v="355.74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"/>
    <s v="https://shop.officineitalianezard.it/contents/imgs/products/1_753-scarichi%20moto%20zard%20bmw%201.jpg"/>
    <m/>
    <m/>
  </r>
  <r>
    <s v="1586060025-11674"/>
    <s v="https://shop.officineitalianezard.it/en/products/"/>
    <m/>
    <s v="https://shop.officineitalianezard.it/en/bmw-zard-exaust/"/>
    <s v="R 850 GS - R 1150 GS - R 1150 R"/>
    <s v="https://shop.officineitalianezard.it/en/bmw-r-850-gs-r-1150-gs-r-1150-r-exhaust/"/>
    <s v="CONICAL VERSION"/>
    <x v="278"/>
    <s v="SILENCER"/>
    <s v="ZBMW 514 SSR-S"/>
    <s v="BMW R 850 GS / R 1150 GS / R 1150 R"/>
    <n v="320.16000000000003"/>
    <n v="355.74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"/>
    <s v="https://shop.officineitalianezard.it/contents/imgs/products/1_756-scarichi%20moto%20zard%20bmw%205.jpg"/>
    <m/>
    <m/>
  </r>
  <r>
    <s v="1586060025-11675"/>
    <s v="https://shop.officineitalianezard.it/en/products/"/>
    <m/>
    <s v="https://shop.officineitalianezard.it/en/bmw-zard-exaust/"/>
    <s v="R 850 GS - R 1150 GS - R 1150 R"/>
    <s v="https://shop.officineitalianezard.it/en/bmw-r-850-gs-r-1150-gs-r-1150-r-exhaust/"/>
    <s v="CONICAL VERSION"/>
    <x v="278"/>
    <s v="SILENCER"/>
    <s v="ZBMW 514 SSR-S"/>
    <s v="BMW R 850 GS / R 1150 GS / R 1150 R"/>
    <n v="320.16000000000003"/>
    <n v="355.74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"/>
    <s v="https://shop.officineitalianezard.it/contents/imgs/products/1_754-scarichi%20moto%20zard%20bmw%202.jpg"/>
    <m/>
    <m/>
  </r>
  <r>
    <s v="1586060025-11676"/>
    <s v="https://shop.officineitalianezard.it/en/products/"/>
    <m/>
    <s v="https://shop.officineitalianezard.it/en/bmw-zard-exaust/"/>
    <s v="R 850 GS - R 1150 GS - R 1150 R"/>
    <s v="https://shop.officineitalianezard.it/en/bmw-r-850-gs-r-1150-gs-r-1150-r-exhaust/"/>
    <s v="CONICAL VERSION"/>
    <x v="278"/>
    <s v="SILENCER"/>
    <s v="ZBMW 514 SSR-S"/>
    <s v="BMW R 850 GS / R 1150 GS / R 1150 R"/>
    <n v="320.16000000000003"/>
    <n v="355.74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"/>
    <s v="https://shop.officineitalianezard.it/contents/imgs/products/1_755-scarichi%20moto%20zard%20bmw%204.jpg"/>
    <m/>
    <m/>
  </r>
  <r>
    <s v="1586060025-11677"/>
    <s v="https://shop.officineitalianezard.it/en/products/"/>
    <m/>
    <s v="https://shop.officineitalianezard.it/en/bmw-zard-exaust/"/>
    <s v="R 850 GS - R 1150 GS - R 1150 R"/>
    <s v="https://shop.officineitalianezard.it/en/bmw-r-850-gs-r-1150-gs-r-1150-r-exhaust/"/>
    <s v="CONICAL VERSION"/>
    <x v="278"/>
    <s v="SILENCER"/>
    <s v="ZBMW 514 SSR-S"/>
    <s v="BMW R 850 GS / R 1150 GS / R 1150 R"/>
    <n v="320.16000000000003"/>
    <n v="355.74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"/>
    <m/>
    <s v="HOMOLOGATED EURO 3"/>
    <n v="23.61"/>
  </r>
  <r>
    <s v="1586060025-11678"/>
    <s v="https://shop.officineitalianezard.it/en/products/"/>
    <m/>
    <s v="https://shop.officineitalianezard.it/en/bmw-zard-exaust/"/>
    <s v="R 850 GS - R 1150 GS - R 1150 R"/>
    <s v="https://shop.officineitalianezard.it/en/bmw-r-850-gs-r-1150-gs-r-1150-r-exhaust/"/>
    <s v="CONICAL VERSION"/>
    <x v="278"/>
    <s v="SILENCER"/>
    <s v="ZBMW 514 SSR-S"/>
    <s v="BMW R 850 GS / R 1150 GS / R 1150 R"/>
    <n v="320.16000000000003"/>
    <n v="355.74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"/>
    <m/>
    <s v="BLACK COATING"/>
    <n v="77.459999999999994"/>
  </r>
  <r>
    <s v="1586060025-11679"/>
    <s v="https://shop.officineitalianezard.it/en/products/"/>
    <m/>
    <s v="https://shop.officineitalianezard.it/en/bmw-zard-exaust/"/>
    <s v="R 850 GS - R 1150 GS - R 1150 R"/>
    <s v="https://shop.officineitalianezard.it/en/bmw-r-850-gs-r-1150-gs-r-1150-r-exhaust/"/>
    <s v="CONICAL VERSION"/>
    <x v="278"/>
    <s v="SILENCER"/>
    <s v="ZBMW 514 SSR-S"/>
    <s v="BMW R 850 GS / R 1150 GS / R 1150 R"/>
    <n v="320.16000000000003"/>
    <n v="355.74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"/>
    <m/>
    <s v="MIRROR POLISHED"/>
    <n v="19.18"/>
  </r>
  <r>
    <s v="1586060025-11680"/>
    <s v="https://shop.officineitalianezard.it/en/products/"/>
    <m/>
    <s v="https://shop.officineitalianezard.it/en/bmw-zard-exaust/"/>
    <s v="R 850 GS - R 1150 GS - R 1150 R"/>
    <s v="https://shop.officineitalianezard.it/en/bmw-r-850-gs-r-1150-gs-r-1150-r-exhaust/"/>
    <s v="CONICAL VERSION"/>
    <x v="278"/>
    <s v="SILENCER"/>
    <s v="ZBMW 514 SSR-S"/>
    <s v="BMW R 850 GS / R 1150 GS / R 1150 R"/>
    <n v="320.16000000000003"/>
    <n v="355.74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"/>
    <m/>
    <s v="CARBON ENDCAP"/>
    <n v="42.05"/>
  </r>
  <r>
    <s v="1586060029-11681"/>
    <s v="https://shop.officineitalianezard.it/en/products/"/>
    <m/>
    <s v="https://shop.officineitalianezard.it/en/bmw-zard-exaust/"/>
    <s v="R 1150"/>
    <s v="https://shop.officineitalianezard.it/en/bmw-r-1150-exhaust/"/>
    <s v="RACING VERSION"/>
    <x v="279"/>
    <s v="SILENCER KIT"/>
    <s v="ZBMW532SKR"/>
    <s v="BMW R 1150"/>
    <n v="686.07"/>
    <n v="762.3"/>
    <s v="&lt;p&gt;STEEL SILENCER RACING WITH REMOVABLE DB KILLER&lt;/p&gt;_x000a_&lt;p&gt;&lt;span&gt;ZARD&amp;nbsp;SILENCER + DECAT. CAN BE FITTED ON ORIGINAL BMW&amp;nbsp;HEADERS (2&amp;gt;1)&lt;/span&gt;&lt;/p&gt;_x000a_&lt;p&gt;HARD INCREASE, COMPARED TO THE ORIGINAL EXHAUST SYSTEM, IN TERMS OF TORQUE AND POWER AT ANY RANGE.&lt;/p&gt;_x000a_&lt;p&gt;ASTONISHING SOUND.&lt;/p&gt;_x000a_&lt;p&gt;AVAILABLE IN 4 WEEKS FROM ORDER.&lt;/p&gt;_x000a_&lt;p&gt;GOLD&amp;nbsp;END CAP AND LOGO PLATE AVAILABLE AS OPTIONAL&lt;/p&gt;_x000a_&lt;p&gt;&lt;strong&gt;COMPATIBILITY MODEL:&lt;/strong&gt; R 1150 R, R 1150 RS, R 1150 ROCKSTER, R 850 R&amp;nbsp;II&lt;/p&gt;_x000a_&lt;p&gt;&lt;span&gt;&lt;/span&gt;&lt;/p&gt;"/>
    <s v="https://shop.officineitalianezard.it/contents/imgs/products/1_2355-2040-scarico%20bmw%20R1150%20zard1.jpg"/>
    <m/>
    <m/>
  </r>
  <r>
    <s v="1586060029-11682"/>
    <s v="https://shop.officineitalianezard.it/en/products/"/>
    <m/>
    <s v="https://shop.officineitalianezard.it/en/bmw-zard-exaust/"/>
    <s v="R 1150"/>
    <s v="https://shop.officineitalianezard.it/en/bmw-r-1150-exhaust/"/>
    <s v="RACING VERSION"/>
    <x v="279"/>
    <s v="SILENCER KIT"/>
    <s v="ZBMW532SKR"/>
    <s v="BMW R 1150"/>
    <n v="686.07"/>
    <n v="762.3"/>
    <s v="&lt;p&gt;STEEL SILENCER RACING WITH REMOVABLE DB KILLER&lt;/p&gt;_x000a_&lt;p&gt;&lt;span&gt;ZARD&amp;nbsp;SILENCER + DECAT. CAN BE FITTED ON ORIGINAL BMW&amp;nbsp;HEADERS (2&amp;gt;1)&lt;/span&gt;&lt;/p&gt;_x000a_&lt;p&gt;HARD INCREASE, COMPARED TO THE ORIGINAL EXHAUST SYSTEM, IN TERMS OF TORQUE AND POWER AT ANY RANGE.&lt;/p&gt;_x000a_&lt;p&gt;ASTONISHING SOUND.&lt;/p&gt;_x000a_&lt;p&gt;AVAILABLE IN 4 WEEKS FROM ORDER.&lt;/p&gt;_x000a_&lt;p&gt;GOLD&amp;nbsp;END CAP AND LOGO PLATE AVAILABLE AS OPTIONAL&lt;/p&gt;_x000a_&lt;p&gt;&lt;strong&gt;COMPATIBILITY MODEL:&lt;/strong&gt; R 1150 R, R 1150 RS, R 1150 ROCKSTER, R 850 R&amp;nbsp;II&lt;/p&gt;_x000a_&lt;p&gt;&lt;span&gt;&lt;/span&gt;&lt;/p&gt;"/>
    <s v="https://shop.officineitalianezard.it/contents/imgs/products/1_2041-scarico%20bmw%20R1150%20zard2.jpg"/>
    <m/>
    <m/>
  </r>
  <r>
    <s v="1586060029-11683"/>
    <s v="https://shop.officineitalianezard.it/en/products/"/>
    <m/>
    <s v="https://shop.officineitalianezard.it/en/bmw-zard-exaust/"/>
    <s v="R 1150"/>
    <s v="https://shop.officineitalianezard.it/en/bmw-r-1150-exhaust/"/>
    <s v="RACING VERSION"/>
    <x v="279"/>
    <s v="SILENCER KIT"/>
    <s v="ZBMW532SKR"/>
    <s v="BMW R 1150"/>
    <n v="686.07"/>
    <n v="762.3"/>
    <s v="&lt;p&gt;STEEL SILENCER RACING WITH REMOVABLE DB KILLER&lt;/p&gt;_x000a_&lt;p&gt;&lt;span&gt;ZARD&amp;nbsp;SILENCER + DECAT. CAN BE FITTED ON ORIGINAL BMW&amp;nbsp;HEADERS (2&amp;gt;1)&lt;/span&gt;&lt;/p&gt;_x000a_&lt;p&gt;HARD INCREASE, COMPARED TO THE ORIGINAL EXHAUST SYSTEM, IN TERMS OF TORQUE AND POWER AT ANY RANGE.&lt;/p&gt;_x000a_&lt;p&gt;ASTONISHING SOUND.&lt;/p&gt;_x000a_&lt;p&gt;AVAILABLE IN 4 WEEKS FROM ORDER.&lt;/p&gt;_x000a_&lt;p&gt;GOLD&amp;nbsp;END CAP AND LOGO PLATE AVAILABLE AS OPTIONAL&lt;/p&gt;_x000a_&lt;p&gt;&lt;strong&gt;COMPATIBILITY MODEL:&lt;/strong&gt; R 1150 R, R 1150 RS, R 1150 ROCKSTER, R 850 R&amp;nbsp;II&lt;/p&gt;_x000a_&lt;p&gt;&lt;span&gt;&lt;/span&gt;&lt;/p&gt;"/>
    <s v="https://shop.officineitalianezard.it/contents/imgs/products/1_2042-scarico%20bmw%20R1150%20zard3.jpg"/>
    <m/>
    <m/>
  </r>
  <r>
    <s v="1586060029-11684"/>
    <s v="https://shop.officineitalianezard.it/en/products/"/>
    <m/>
    <s v="https://shop.officineitalianezard.it/en/bmw-zard-exaust/"/>
    <s v="R 1150"/>
    <s v="https://shop.officineitalianezard.it/en/bmw-r-1150-exhaust/"/>
    <s v="RACING VERSION"/>
    <x v="279"/>
    <s v="SILENCER KIT"/>
    <s v="ZBMW532SKR"/>
    <s v="BMW R 1150"/>
    <n v="686.07"/>
    <n v="762.3"/>
    <s v="&lt;p&gt;STEEL SILENCER RACING WITH REMOVABLE DB KILLER&lt;/p&gt;_x000a_&lt;p&gt;&lt;span&gt;ZARD&amp;nbsp;SILENCER + DECAT. CAN BE FITTED ON ORIGINAL BMW&amp;nbsp;HEADERS (2&amp;gt;1)&lt;/span&gt;&lt;/p&gt;_x000a_&lt;p&gt;HARD INCREASE, COMPARED TO THE ORIGINAL EXHAUST SYSTEM, IN TERMS OF TORQUE AND POWER AT ANY RANGE.&lt;/p&gt;_x000a_&lt;p&gt;ASTONISHING SOUND.&lt;/p&gt;_x000a_&lt;p&gt;AVAILABLE IN 4 WEEKS FROM ORDER.&lt;/p&gt;_x000a_&lt;p&gt;GOLD&amp;nbsp;END CAP AND LOGO PLATE AVAILABLE AS OPTIONAL&lt;/p&gt;_x000a_&lt;p&gt;&lt;strong&gt;COMPATIBILITY MODEL:&lt;/strong&gt; R 1150 R, R 1150 RS, R 1150 ROCKSTER, R 850 R&amp;nbsp;II&lt;/p&gt;_x000a_&lt;p&gt;&lt;span&gt;&lt;/span&gt;&lt;/p&gt;"/>
    <s v="https://shop.officineitalianezard.it/contents/imgs/products/1_2043-scarico%20bmw%20R1150%20zard4.jpg"/>
    <m/>
    <m/>
  </r>
  <r>
    <s v="1586060029-11685"/>
    <s v="https://shop.officineitalianezard.it/en/products/"/>
    <m/>
    <s v="https://shop.officineitalianezard.it/en/bmw-zard-exaust/"/>
    <s v="R 1150"/>
    <s v="https://shop.officineitalianezard.it/en/bmw-r-1150-exhaust/"/>
    <s v="RACING VERSION"/>
    <x v="279"/>
    <s v="SILENCER KIT"/>
    <s v="ZBMW532SKR"/>
    <s v="BMW R 1150"/>
    <n v="686.07"/>
    <n v="762.3"/>
    <s v="&lt;p&gt;STEEL SILENCER RACING WITH REMOVABLE DB KILLER&lt;/p&gt;_x000a_&lt;p&gt;&lt;span&gt;ZARD&amp;nbsp;SILENCER + DECAT. CAN BE FITTED ON ORIGINAL BMW&amp;nbsp;HEADERS (2&amp;gt;1)&lt;/span&gt;&lt;/p&gt;_x000a_&lt;p&gt;HARD INCREASE, COMPARED TO THE ORIGINAL EXHAUST SYSTEM, IN TERMS OF TORQUE AND POWER AT ANY RANGE.&lt;/p&gt;_x000a_&lt;p&gt;ASTONISHING SOUND.&lt;/p&gt;_x000a_&lt;p&gt;AVAILABLE IN 4 WEEKS FROM ORDER.&lt;/p&gt;_x000a_&lt;p&gt;GOLD&amp;nbsp;END CAP AND LOGO PLATE AVAILABLE AS OPTIONAL&lt;/p&gt;_x000a_&lt;p&gt;&lt;strong&gt;COMPATIBILITY MODEL:&lt;/strong&gt; R 1150 R, R 1150 RS, R 1150 ROCKSTER, R 850 R&amp;nbsp;II&lt;/p&gt;_x000a_&lt;p&gt;&lt;span&gt;&lt;/span&gt;&lt;/p&gt;"/>
    <s v="https://shop.officineitalianezard.it/contents/imgs/products/1_2045-scarico%20bmw%20R1150%20zard5.jpg"/>
    <m/>
    <m/>
  </r>
  <r>
    <s v="1586060029-11686"/>
    <s v="https://shop.officineitalianezard.it/en/products/"/>
    <m/>
    <s v="https://shop.officineitalianezard.it/en/bmw-zard-exaust/"/>
    <s v="R 1150"/>
    <s v="https://shop.officineitalianezard.it/en/bmw-r-1150-exhaust/"/>
    <s v="RACING VERSION"/>
    <x v="279"/>
    <s v="SILENCER KIT"/>
    <s v="ZBMW532SKR"/>
    <s v="BMW R 1150"/>
    <n v="686.07"/>
    <n v="762.3"/>
    <s v="&lt;p&gt;STEEL SILENCER RACING WITH REMOVABLE DB KILLER&lt;/p&gt;_x000a_&lt;p&gt;&lt;span&gt;ZARD&amp;nbsp;SILENCER + DECAT. CAN BE FITTED ON ORIGINAL BMW&amp;nbsp;HEADERS (2&amp;gt;1)&lt;/span&gt;&lt;/p&gt;_x000a_&lt;p&gt;HARD INCREASE, COMPARED TO THE ORIGINAL EXHAUST SYSTEM, IN TERMS OF TORQUE AND POWER AT ANY RANGE.&lt;/p&gt;_x000a_&lt;p&gt;ASTONISHING SOUND.&lt;/p&gt;_x000a_&lt;p&gt;AVAILABLE IN 4 WEEKS FROM ORDER.&lt;/p&gt;_x000a_&lt;p&gt;GOLD&amp;nbsp;END CAP AND LOGO PLATE AVAILABLE AS OPTIONAL&lt;/p&gt;_x000a_&lt;p&gt;&lt;strong&gt;COMPATIBILITY MODEL:&lt;/strong&gt; R 1150 R, R 1150 RS, R 1150 ROCKSTER, R 850 R&amp;nbsp;II&lt;/p&gt;_x000a_&lt;p&gt;&lt;span&gt;&lt;/span&gt;&lt;/p&gt;"/>
    <m/>
    <s v="BLACK COATING"/>
    <n v="77.459999999999994"/>
  </r>
  <r>
    <s v="1586060029-11687"/>
    <s v="https://shop.officineitalianezard.it/en/products/"/>
    <m/>
    <s v="https://shop.officineitalianezard.it/en/bmw-zard-exaust/"/>
    <s v="R 1150"/>
    <s v="https://shop.officineitalianezard.it/en/bmw-r-1150-exhaust/"/>
    <s v="RACING VERSION"/>
    <x v="279"/>
    <s v="SILENCER KIT"/>
    <s v="ZBMW532SKR"/>
    <s v="BMW R 1150"/>
    <n v="686.07"/>
    <n v="762.3"/>
    <s v="&lt;p&gt;STEEL SILENCER RACING WITH REMOVABLE DB KILLER&lt;/p&gt;_x000a_&lt;p&gt;&lt;span&gt;ZARD&amp;nbsp;SILENCER + DECAT. CAN BE FITTED ON ORIGINAL BMW&amp;nbsp;HEADERS (2&amp;gt;1)&lt;/span&gt;&lt;/p&gt;_x000a_&lt;p&gt;HARD INCREASE, COMPARED TO THE ORIGINAL EXHAUST SYSTEM, IN TERMS OF TORQUE AND POWER AT ANY RANGE.&lt;/p&gt;_x000a_&lt;p&gt;ASTONISHING SOUND.&lt;/p&gt;_x000a_&lt;p&gt;AVAILABLE IN 4 WEEKS FROM ORDER.&lt;/p&gt;_x000a_&lt;p&gt;GOLD&amp;nbsp;END CAP AND LOGO PLATE AVAILABLE AS OPTIONAL&lt;/p&gt;_x000a_&lt;p&gt;&lt;strong&gt;COMPATIBILITY MODEL:&lt;/strong&gt; R 1150 R, R 1150 RS, R 1150 ROCKSTER, R 850 R&amp;nbsp;II&lt;/p&gt;_x000a_&lt;p&gt;&lt;span&gt;&lt;/span&gt;&lt;/p&gt;"/>
    <m/>
    <s v="BLACK CERAMIC COATING ON ORIGINAL HEADERS"/>
    <n v="138.69"/>
  </r>
  <r>
    <s v="1586060029-11688"/>
    <s v="https://shop.officineitalianezard.it/en/products/"/>
    <m/>
    <s v="https://shop.officineitalianezard.it/en/bmw-zard-exaust/"/>
    <s v="R 1150"/>
    <s v="https://shop.officineitalianezard.it/en/bmw-r-1150-exhaust/"/>
    <s v="RACING VERSION"/>
    <x v="279"/>
    <s v="SILENCER KIT"/>
    <s v="ZBMW532SKR"/>
    <s v="BMW R 1150"/>
    <n v="686.07"/>
    <n v="762.3"/>
    <s v="&lt;p&gt;STEEL SILENCER RACING WITH REMOVABLE DB KILLER&lt;/p&gt;_x000a_&lt;p&gt;&lt;span&gt;ZARD&amp;nbsp;SILENCER + DECAT. CAN BE FITTED ON ORIGINAL BMW&amp;nbsp;HEADERS (2&amp;gt;1)&lt;/span&gt;&lt;/p&gt;_x000a_&lt;p&gt;HARD INCREASE, COMPARED TO THE ORIGINAL EXHAUST SYSTEM, IN TERMS OF TORQUE AND POWER AT ANY RANGE.&lt;/p&gt;_x000a_&lt;p&gt;ASTONISHING SOUND.&lt;/p&gt;_x000a_&lt;p&gt;AVAILABLE IN 4 WEEKS FROM ORDER.&lt;/p&gt;_x000a_&lt;p&gt;GOLD&amp;nbsp;END CAP AND LOGO PLATE AVAILABLE AS OPTIONAL&lt;/p&gt;_x000a_&lt;p&gt;&lt;strong&gt;COMPATIBILITY MODEL:&lt;/strong&gt; R 1150 R, R 1150 RS, R 1150 ROCKSTER, R 850 R&amp;nbsp;II&lt;/p&gt;_x000a_&lt;p&gt;&lt;span&gt;&lt;/span&gt;&lt;/p&gt;"/>
    <m/>
    <s v="GOLD END CAP AND LOGO PLATE"/>
    <n v="46.48"/>
  </r>
  <r>
    <s v="1586060034-11689"/>
    <s v="https://shop.officineitalianezard.it/en/products/"/>
    <m/>
    <s v="https://shop.officineitalianezard.it/en/bmw-zard-exaust/"/>
    <s v="K 1200 S-R"/>
    <s v="https://shop.officineitalianezard.it/en/bmw-k-1200-s-r-exhaust/"/>
    <s v="CONICAL VERSION"/>
    <x v="280"/>
    <s v="SILENCER"/>
    <s v="ZBMW081SSO-S"/>
    <s v="BMW K 1200 S/R"/>
    <n v="485.41"/>
    <n v="539.34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s v="https://shop.officineitalianezard.it/contents/imgs/products/1_795-2_752-scarichi%20moto%20zard%20bmw1.jpg"/>
    <m/>
    <m/>
  </r>
  <r>
    <s v="1586060034-11690"/>
    <s v="https://shop.officineitalianezard.it/en/products/"/>
    <m/>
    <s v="https://shop.officineitalianezard.it/en/bmw-zard-exaust/"/>
    <s v="K 1200 S-R"/>
    <s v="https://shop.officineitalianezard.it/en/bmw-k-1200-s-r-exhaust/"/>
    <s v="CONICAL VERSION"/>
    <x v="280"/>
    <s v="SILENCER"/>
    <s v="ZBMW081SSO-S"/>
    <s v="BMW K 1200 S/R"/>
    <n v="485.41"/>
    <n v="539.34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m/>
    <s v="HOMOLOGATED EURO 3"/>
    <n v="23.61"/>
  </r>
  <r>
    <s v="1586060034-11691"/>
    <s v="https://shop.officineitalianezard.it/en/products/"/>
    <m/>
    <s v="https://shop.officineitalianezard.it/en/bmw-zard-exaust/"/>
    <s v="K 1200 S-R"/>
    <s v="https://shop.officineitalianezard.it/en/bmw-k-1200-s-r-exhaust/"/>
    <s v="CONICAL VERSION"/>
    <x v="280"/>
    <s v="SILENCER"/>
    <s v="ZBMW081SSO-S"/>
    <s v="BMW K 1200 S/R"/>
    <n v="485.41"/>
    <n v="539.34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m/>
    <s v="BLACK COATING"/>
    <n v="77.459999999999994"/>
  </r>
  <r>
    <s v="1586060034-11692"/>
    <s v="https://shop.officineitalianezard.it/en/products/"/>
    <m/>
    <s v="https://shop.officineitalianezard.it/en/bmw-zard-exaust/"/>
    <s v="K 1200 S-R"/>
    <s v="https://shop.officineitalianezard.it/en/bmw-k-1200-s-r-exhaust/"/>
    <s v="CONICAL VERSION"/>
    <x v="280"/>
    <s v="SILENCER"/>
    <s v="ZBMW081SSO-S"/>
    <s v="BMW K 1200 S/R"/>
    <n v="485.41"/>
    <n v="539.34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m/>
    <s v="MIRROR POLISHED"/>
    <n v="19.18"/>
  </r>
  <r>
    <s v="1586060034-11693"/>
    <s v="https://shop.officineitalianezard.it/en/products/"/>
    <m/>
    <s v="https://shop.officineitalianezard.it/en/bmw-zard-exaust/"/>
    <s v="K 1200 S-R"/>
    <s v="https://shop.officineitalianezard.it/en/bmw-k-1200-s-r-exhaust/"/>
    <s v="CONICAL VERSION"/>
    <x v="280"/>
    <s v="SILENCER"/>
    <s v="ZBMW081SSO-S"/>
    <s v="BMW K 1200 S/R"/>
    <n v="485.41"/>
    <n v="539.34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m/>
    <s v="CARBON ENDCAP"/>
    <n v="42.05"/>
  </r>
  <r>
    <s v="1586060041-11694"/>
    <s v="https://shop.officineitalianezard.it/en/products/"/>
    <m/>
    <s v="https://shop.officineitalianezard.it/en/bmw-zard-exaust/"/>
    <s v="R45-R65"/>
    <s v="https://shop.officineitalianezard.it/en/bmw-r-45-r-65-exhaust/"/>
    <s v="2&gt;2 VERSION"/>
    <x v="281"/>
    <s v="FULL KIT"/>
    <s v="ZBMW533SKR"/>
    <s v="BMW R45-R65"/>
    <n v="809.26"/>
    <n v="899.18"/>
    <s v="&lt;p&gt;2&amp;gt;2&amp;nbsp;STEEL RACING&amp;nbsp;FULL KIT WITH REMOVABLE DB KILLERS&lt;/p&gt;_x000a_&lt;p&gt;HARD INCREASE, COMPARED TO THE ORIGINAL EXHAUST SYSTEM, IN TERMS OF TORQUE AND POWER AT ANY RANGE.&lt;/p&gt;_x000a_&lt;p&gt;ASTONISHING SOUND.&lt;/p&gt;_x000a_&lt;p&gt;AVAILABLE IN 4 WEEKS FROM ORDER.&lt;/p&gt;_x000a_&lt;p&gt;&lt;/p&gt;"/>
    <s v="https://shop.officineitalianezard.it/contents/imgs/products/1_2051-bmw%20r%20exhaust%20zard%20.jpg"/>
    <m/>
    <m/>
  </r>
  <r>
    <s v="1586060041-11695"/>
    <s v="https://shop.officineitalianezard.it/en/products/"/>
    <m/>
    <s v="https://shop.officineitalianezard.it/en/bmw-zard-exaust/"/>
    <s v="R45-R65"/>
    <s v="https://shop.officineitalianezard.it/en/bmw-r-45-r-65-exhaust/"/>
    <s v="2&gt;2 VERSION"/>
    <x v="281"/>
    <s v="FULL KIT"/>
    <s v="ZBMW533SKR"/>
    <s v="BMW R45-R65"/>
    <n v="809.26"/>
    <n v="899.18"/>
    <s v="&lt;p&gt;2&amp;gt;2&amp;nbsp;STEEL RACING&amp;nbsp;FULL KIT WITH REMOVABLE DB KILLERS&lt;/p&gt;_x000a_&lt;p&gt;HARD INCREASE, COMPARED TO THE ORIGINAL EXHAUST SYSTEM, IN TERMS OF TORQUE AND POWER AT ANY RANGE.&lt;/p&gt;_x000a_&lt;p&gt;ASTONISHING SOUND.&lt;/p&gt;_x000a_&lt;p&gt;AVAILABLE IN 4 WEEKS FROM ORDER.&lt;/p&gt;_x000a_&lt;p&gt;&lt;/p&gt;"/>
    <s v="https://shop.officineitalianezard.it/contents/imgs/products/1_2054-bmw%20r100%20scarico%20-%20zard%201.jpg"/>
    <m/>
    <m/>
  </r>
  <r>
    <s v="1586060041-11696"/>
    <s v="https://shop.officineitalianezard.it/en/products/"/>
    <m/>
    <s v="https://shop.officineitalianezard.it/en/bmw-zard-exaust/"/>
    <s v="R45-R65"/>
    <s v="https://shop.officineitalianezard.it/en/bmw-r-45-r-65-exhaust/"/>
    <s v="2&gt;2 VERSION"/>
    <x v="281"/>
    <s v="FULL KIT"/>
    <s v="ZBMW533SKR"/>
    <s v="BMW R45-R65"/>
    <n v="809.26"/>
    <n v="899.18"/>
    <s v="&lt;p&gt;2&amp;gt;2&amp;nbsp;STEEL RACING&amp;nbsp;FULL KIT WITH REMOVABLE DB KILLERS&lt;/p&gt;_x000a_&lt;p&gt;HARD INCREASE, COMPARED TO THE ORIGINAL EXHAUST SYSTEM, IN TERMS OF TORQUE AND POWER AT ANY RANGE.&lt;/p&gt;_x000a_&lt;p&gt;ASTONISHING SOUND.&lt;/p&gt;_x000a_&lt;p&gt;AVAILABLE IN 4 WEEKS FROM ORDER.&lt;/p&gt;_x000a_&lt;p&gt;&lt;/p&gt;"/>
    <s v="https://shop.officineitalianezard.it/contents/imgs/products/1_2055-bmw%20r100%20scarico%20-%20zard%202.jpg"/>
    <m/>
    <m/>
  </r>
  <r>
    <s v="1586060041-11697"/>
    <s v="https://shop.officineitalianezard.it/en/products/"/>
    <m/>
    <s v="https://shop.officineitalianezard.it/en/bmw-zard-exaust/"/>
    <s v="R45-R65"/>
    <s v="https://shop.officineitalianezard.it/en/bmw-r-45-r-65-exhaust/"/>
    <s v="2&gt;2 VERSION"/>
    <x v="281"/>
    <s v="FULL KIT"/>
    <s v="ZBMW533SKR"/>
    <s v="BMW R45-R65"/>
    <n v="809.26"/>
    <n v="899.18"/>
    <s v="&lt;p&gt;2&amp;gt;2&amp;nbsp;STEEL RACING&amp;nbsp;FULL KIT WITH REMOVABLE DB KILLERS&lt;/p&gt;_x000a_&lt;p&gt;HARD INCREASE, COMPARED TO THE ORIGINAL EXHAUST SYSTEM, IN TERMS OF TORQUE AND POWER AT ANY RANGE.&lt;/p&gt;_x000a_&lt;p&gt;ASTONISHING SOUND.&lt;/p&gt;_x000a_&lt;p&gt;AVAILABLE IN 4 WEEKS FROM ORDER.&lt;/p&gt;_x000a_&lt;p&gt;&lt;/p&gt;"/>
    <s v="https://shop.officineitalianezard.it/contents/imgs/products/1_2052-bmw%20r65%20r45%20scarico%20-%20zard.jpg"/>
    <m/>
    <m/>
  </r>
  <r>
    <s v="1586060041-11698"/>
    <s v="https://shop.officineitalianezard.it/en/products/"/>
    <m/>
    <s v="https://shop.officineitalianezard.it/en/bmw-zard-exaust/"/>
    <s v="R45-R65"/>
    <s v="https://shop.officineitalianezard.it/en/bmw-r-45-r-65-exhaust/"/>
    <s v="2&gt;2 VERSION"/>
    <x v="281"/>
    <s v="FULL KIT"/>
    <s v="ZBMW533SKR"/>
    <s v="BMW R45-R65"/>
    <n v="809.26"/>
    <n v="899.18"/>
    <s v="&lt;p&gt;2&amp;gt;2&amp;nbsp;STEEL RACING&amp;nbsp;FULL KIT WITH REMOVABLE DB KILLERS&lt;/p&gt;_x000a_&lt;p&gt;HARD INCREASE, COMPARED TO THE ORIGINAL EXHAUST SYSTEM, IN TERMS OF TORQUE AND POWER AT ANY RANGE.&lt;/p&gt;_x000a_&lt;p&gt;ASTONISHING SOUND.&lt;/p&gt;_x000a_&lt;p&gt;AVAILABLE IN 4 WEEKS FROM ORDER.&lt;/p&gt;_x000a_&lt;p&gt;&lt;/p&gt;"/>
    <s v="https://shop.officineitalianezard.it/contents/imgs/products/1_2053-bmw%20r80%20scarico%20-%20zard%201.jpg"/>
    <m/>
    <m/>
  </r>
  <r>
    <s v="1586060041-11699"/>
    <s v="https://shop.officineitalianezard.it/en/products/"/>
    <m/>
    <s v="https://shop.officineitalianezard.it/en/bmw-zard-exaust/"/>
    <s v="R45-R65"/>
    <s v="https://shop.officineitalianezard.it/en/bmw-r-45-r-65-exhaust/"/>
    <s v="2&gt;2 VERSION"/>
    <x v="281"/>
    <s v="FULL KIT"/>
    <s v="ZBMW533SKR"/>
    <s v="BMW R45-R65"/>
    <n v="809.26"/>
    <n v="899.18"/>
    <s v="&lt;p&gt;2&amp;gt;2&amp;nbsp;STEEL RACING&amp;nbsp;FULL KIT WITH REMOVABLE DB KILLERS&lt;/p&gt;_x000a_&lt;p&gt;HARD INCREASE, COMPARED TO THE ORIGINAL EXHAUST SYSTEM, IN TERMS OF TORQUE AND POWER AT ANY RANGE.&lt;/p&gt;_x000a_&lt;p&gt;ASTONISHING SOUND.&lt;/p&gt;_x000a_&lt;p&gt;AVAILABLE IN 4 WEEKS FROM ORDER.&lt;/p&gt;_x000a_&lt;p&gt;&lt;/p&gt;"/>
    <m/>
    <s v="BLACK COATING"/>
    <n v="216.15"/>
  </r>
  <r>
    <s v="1586060041-11700"/>
    <s v="https://shop.officineitalianezard.it/en/products/"/>
    <m/>
    <s v="https://shop.officineitalianezard.it/en/bmw-zard-exaust/"/>
    <s v="R45-R65"/>
    <s v="https://shop.officineitalianezard.it/en/bmw-r-45-r-65-exhaust/"/>
    <s v="2&gt;2 VERSION"/>
    <x v="281"/>
    <s v="FULL KIT"/>
    <s v="ZBMW533SKR"/>
    <s v="BMW R45-R65"/>
    <n v="809.26"/>
    <n v="899.18"/>
    <s v="&lt;p&gt;2&amp;gt;2&amp;nbsp;STEEL RACING&amp;nbsp;FULL KIT WITH REMOVABLE DB KILLERS&lt;/p&gt;_x000a_&lt;p&gt;HARD INCREASE, COMPARED TO THE ORIGINAL EXHAUST SYSTEM, IN TERMS OF TORQUE AND POWER AT ANY RANGE.&lt;/p&gt;_x000a_&lt;p&gt;ASTONISHING SOUND.&lt;/p&gt;_x000a_&lt;p&gt;AVAILABLE IN 4 WEEKS FROM ORDER.&lt;/p&gt;_x000a_&lt;p&gt;&lt;/p&gt;"/>
    <m/>
    <s v="MIRROR POLISHED"/>
    <n v="115.82"/>
  </r>
  <r>
    <s v="1586060046-11701"/>
    <s v="https://shop.officineitalianezard.it/en/products/"/>
    <m/>
    <s v="https://shop.officineitalianezard.it/en/bmw-zard-exaust/"/>
    <s v="R80-R100"/>
    <s v="https://shop.officineitalianezard.it/en/bmw-r-80-r-100-exhaust/"/>
    <s v="2&gt;2 VERSION"/>
    <x v="282"/>
    <s v="FULL KIT"/>
    <s v="ZBMW534SKR"/>
    <s v="BMW R80-R100"/>
    <n v="832.87"/>
    <n v="925.41"/>
    <s v="&lt;p&gt;2&amp;gt;2&amp;nbsp;STEEL RACING&amp;nbsp;FULL KIT WITH REMOVABLE DB KILLERS&lt;/p&gt;_x000a_&lt;p&gt;HARD INCREASE, COMPARED TO THE ORIGINAL EXHAUST SYSTEM, IN TERMS OF TORQUE AND POWER AT ANY RANGE.&lt;/p&gt;_x000a_&lt;p&gt;ASTONISHING SOUND.&lt;/p&gt;_x000a_&lt;p&gt;AVAILABLE IN 4 WEEKS FROM ORDER.&lt;/p&gt;_x000a_&lt;p&gt;&lt;/p&gt;"/>
    <s v="https://shop.officineitalianezard.it/contents/imgs/products/1_2354-2056-bmw%20r%20exhaust%20zard%20.jpg"/>
    <m/>
    <m/>
  </r>
  <r>
    <s v="1586060046-11702"/>
    <s v="https://shop.officineitalianezard.it/en/products/"/>
    <m/>
    <s v="https://shop.officineitalianezard.it/en/bmw-zard-exaust/"/>
    <s v="R80-R100"/>
    <s v="https://shop.officineitalianezard.it/en/bmw-r-80-r-100-exhaust/"/>
    <s v="2&gt;2 VERSION"/>
    <x v="282"/>
    <s v="FULL KIT"/>
    <s v="ZBMW534SKR"/>
    <s v="BMW R80-R100"/>
    <n v="832.87"/>
    <n v="925.41"/>
    <s v="&lt;p&gt;2&amp;gt;2&amp;nbsp;STEEL RACING&amp;nbsp;FULL KIT WITH REMOVABLE DB KILLERS&lt;/p&gt;_x000a_&lt;p&gt;HARD INCREASE, COMPARED TO THE ORIGINAL EXHAUST SYSTEM, IN TERMS OF TORQUE AND POWER AT ANY RANGE.&lt;/p&gt;_x000a_&lt;p&gt;ASTONISHING SOUND.&lt;/p&gt;_x000a_&lt;p&gt;AVAILABLE IN 4 WEEKS FROM ORDER.&lt;/p&gt;_x000a_&lt;p&gt;&lt;/p&gt;"/>
    <s v="https://shop.officineitalianezard.it/contents/imgs/products/1_2059-bmw%20r100%20scarico%20-%20zard%201.jpg"/>
    <m/>
    <m/>
  </r>
  <r>
    <s v="1586060046-11703"/>
    <s v="https://shop.officineitalianezard.it/en/products/"/>
    <m/>
    <s v="https://shop.officineitalianezard.it/en/bmw-zard-exaust/"/>
    <s v="R80-R100"/>
    <s v="https://shop.officineitalianezard.it/en/bmw-r-80-r-100-exhaust/"/>
    <s v="2&gt;2 VERSION"/>
    <x v="282"/>
    <s v="FULL KIT"/>
    <s v="ZBMW534SKR"/>
    <s v="BMW R80-R100"/>
    <n v="832.87"/>
    <n v="925.41"/>
    <s v="&lt;p&gt;2&amp;gt;2&amp;nbsp;STEEL RACING&amp;nbsp;FULL KIT WITH REMOVABLE DB KILLERS&lt;/p&gt;_x000a_&lt;p&gt;HARD INCREASE, COMPARED TO THE ORIGINAL EXHAUST SYSTEM, IN TERMS OF TORQUE AND POWER AT ANY RANGE.&lt;/p&gt;_x000a_&lt;p&gt;ASTONISHING SOUND.&lt;/p&gt;_x000a_&lt;p&gt;AVAILABLE IN 4 WEEKS FROM ORDER.&lt;/p&gt;_x000a_&lt;p&gt;&lt;/p&gt;"/>
    <s v="https://shop.officineitalianezard.it/contents/imgs/products/1_2060-bmw%20r100%20scarico%20-%20zard%202.jpg"/>
    <m/>
    <m/>
  </r>
  <r>
    <s v="1586060046-11704"/>
    <s v="https://shop.officineitalianezard.it/en/products/"/>
    <m/>
    <s v="https://shop.officineitalianezard.it/en/bmw-zard-exaust/"/>
    <s v="R80-R100"/>
    <s v="https://shop.officineitalianezard.it/en/bmw-r-80-r-100-exhaust/"/>
    <s v="2&gt;2 VERSION"/>
    <x v="282"/>
    <s v="FULL KIT"/>
    <s v="ZBMW534SKR"/>
    <s v="BMW R80-R100"/>
    <n v="832.87"/>
    <n v="925.41"/>
    <s v="&lt;p&gt;2&amp;gt;2&amp;nbsp;STEEL RACING&amp;nbsp;FULL KIT WITH REMOVABLE DB KILLERS&lt;/p&gt;_x000a_&lt;p&gt;HARD INCREASE, COMPARED TO THE ORIGINAL EXHAUST SYSTEM, IN TERMS OF TORQUE AND POWER AT ANY RANGE.&lt;/p&gt;_x000a_&lt;p&gt;ASTONISHING SOUND.&lt;/p&gt;_x000a_&lt;p&gt;AVAILABLE IN 4 WEEKS FROM ORDER.&lt;/p&gt;_x000a_&lt;p&gt;&lt;/p&gt;"/>
    <s v="https://shop.officineitalianezard.it/contents/imgs/products/1_2057-bmw%20r65%20r45%20scarico%20-%20zard.jpg"/>
    <m/>
    <m/>
  </r>
  <r>
    <s v="1586060046-11705"/>
    <s v="https://shop.officineitalianezard.it/en/products/"/>
    <m/>
    <s v="https://shop.officineitalianezard.it/en/bmw-zard-exaust/"/>
    <s v="R80-R100"/>
    <s v="https://shop.officineitalianezard.it/en/bmw-r-80-r-100-exhaust/"/>
    <s v="2&gt;2 VERSION"/>
    <x v="282"/>
    <s v="FULL KIT"/>
    <s v="ZBMW534SKR"/>
    <s v="BMW R80-R100"/>
    <n v="832.87"/>
    <n v="925.41"/>
    <s v="&lt;p&gt;2&amp;gt;2&amp;nbsp;STEEL RACING&amp;nbsp;FULL KIT WITH REMOVABLE DB KILLERS&lt;/p&gt;_x000a_&lt;p&gt;HARD INCREASE, COMPARED TO THE ORIGINAL EXHAUST SYSTEM, IN TERMS OF TORQUE AND POWER AT ANY RANGE.&lt;/p&gt;_x000a_&lt;p&gt;ASTONISHING SOUND.&lt;/p&gt;_x000a_&lt;p&gt;AVAILABLE IN 4 WEEKS FROM ORDER.&lt;/p&gt;_x000a_&lt;p&gt;&lt;/p&gt;"/>
    <s v="https://shop.officineitalianezard.it/contents/imgs/products/1_2058-bmw%20r80%20scarico%20-%20zard%201.jpg"/>
    <m/>
    <m/>
  </r>
  <r>
    <s v="1586060046-11706"/>
    <s v="https://shop.officineitalianezard.it/en/products/"/>
    <m/>
    <s v="https://shop.officineitalianezard.it/en/bmw-zard-exaust/"/>
    <s v="R80-R100"/>
    <s v="https://shop.officineitalianezard.it/en/bmw-r-80-r-100-exhaust/"/>
    <s v="2&gt;2 VERSION"/>
    <x v="282"/>
    <s v="FULL KIT"/>
    <s v="ZBMW534SKR"/>
    <s v="BMW R80-R100"/>
    <n v="832.87"/>
    <n v="925.41"/>
    <s v="&lt;p&gt;2&amp;gt;2&amp;nbsp;STEEL RACING&amp;nbsp;FULL KIT WITH REMOVABLE DB KILLERS&lt;/p&gt;_x000a_&lt;p&gt;HARD INCREASE, COMPARED TO THE ORIGINAL EXHAUST SYSTEM, IN TERMS OF TORQUE AND POWER AT ANY RANGE.&lt;/p&gt;_x000a_&lt;p&gt;ASTONISHING SOUND.&lt;/p&gt;_x000a_&lt;p&gt;AVAILABLE IN 4 WEEKS FROM ORDER.&lt;/p&gt;_x000a_&lt;p&gt;&lt;/p&gt;"/>
    <m/>
    <s v="BLACK COATING"/>
    <n v="216.15"/>
  </r>
  <r>
    <s v="1586060046-11707"/>
    <s v="https://shop.officineitalianezard.it/en/products/"/>
    <m/>
    <s v="https://shop.officineitalianezard.it/en/bmw-zard-exaust/"/>
    <s v="R80-R100"/>
    <s v="https://shop.officineitalianezard.it/en/bmw-r-80-r-100-exhaust/"/>
    <s v="2&gt;2 VERSION"/>
    <x v="282"/>
    <s v="FULL KIT"/>
    <s v="ZBMW534SKR"/>
    <s v="BMW R80-R100"/>
    <n v="832.87"/>
    <n v="925.41"/>
    <s v="&lt;p&gt;2&amp;gt;2&amp;nbsp;STEEL RACING&amp;nbsp;FULL KIT WITH REMOVABLE DB KILLERS&lt;/p&gt;_x000a_&lt;p&gt;HARD INCREASE, COMPARED TO THE ORIGINAL EXHAUST SYSTEM, IN TERMS OF TORQUE AND POWER AT ANY RANGE.&lt;/p&gt;_x000a_&lt;p&gt;ASTONISHING SOUND.&lt;/p&gt;_x000a_&lt;p&gt;AVAILABLE IN 4 WEEKS FROM ORDER.&lt;/p&gt;_x000a_&lt;p&gt;&lt;/p&gt;"/>
    <m/>
    <s v="MIRROR POLISHED"/>
    <n v="115.82"/>
  </r>
  <r>
    <s v="1586060052-11708"/>
    <s v="https://shop.officineitalianezard.it/en/products/"/>
    <m/>
    <s v="https://shop.officineitalianezard.it/en/bmw-zard-exaust/"/>
    <s v="K 100"/>
    <s v="https://shop.officineitalianezard.it/en/bmw-k-100-exhaust/"/>
    <s v="RACING VERSION"/>
    <x v="283"/>
    <s v="SILENCER KIT"/>
    <s v="ZBMW531SKR"/>
    <s v="BMW K100"/>
    <n v="601.23"/>
    <n v="668.03"/>
    <s v="&lt;p&gt;STEEL SILENCER RACING WITH REMOVABLE DB KILLER&lt;/p&gt;_x000a_&lt;p&gt;&lt;span&gt;THE SILENCER CAN BE FITTED ON ORIGINAL BMW&amp;nbsp;HEADERS (4&amp;gt;2&amp;gt;1)&lt;/span&gt;&lt;/p&gt;_x000a_&lt;p&gt;HARD INCREASE, COMPARED TO THE ORIGINAL EXHAUST SYSTEM, IN TERMS OF TORQUE AND POWER AT ANY RANGE.&lt;/p&gt;_x000a_&lt;p&gt;ASTONISHING SOUND.&lt;/p&gt;_x000a_&lt;p&gt;AVAILABLE IN 4 WEEKS FROM ORDER.&lt;/p&gt;_x000a_&lt;p&gt;GOLD&amp;nbsp;END CAP AND LOGO PLATE AVAILABLE AS OPTIONAL&lt;/p&gt;_x000a_&lt;p&gt;&lt;strong&gt;COMPATIBILITY MODEL:&lt;/strong&gt;&amp;nbsp;K 100, K 100 RS, K 100 RT, K 100 LT, K RS 16, K 1100 LT, K 1100 RS.&lt;/p&gt;_x000a_&lt;p&gt;&lt;span&gt;&lt;/span&gt;&lt;/p&gt;"/>
    <s v="https://shop.officineitalianezard.it/contents/imgs/products/1_2353-2029-scarico%20bmw%20k100%20zard1.jpg"/>
    <m/>
    <m/>
  </r>
  <r>
    <s v="1586060052-11709"/>
    <s v="https://shop.officineitalianezard.it/en/products/"/>
    <m/>
    <s v="https://shop.officineitalianezard.it/en/bmw-zard-exaust/"/>
    <s v="K 100"/>
    <s v="https://shop.officineitalianezard.it/en/bmw-k-100-exhaust/"/>
    <s v="RACING VERSION"/>
    <x v="283"/>
    <s v="SILENCER KIT"/>
    <s v="ZBMW531SKR"/>
    <s v="BMW K100"/>
    <n v="601.23"/>
    <n v="668.03"/>
    <s v="&lt;p&gt;STEEL SILENCER RACING WITH REMOVABLE DB KILLER&lt;/p&gt;_x000a_&lt;p&gt;&lt;span&gt;THE SILENCER CAN BE FITTED ON ORIGINAL BMW&amp;nbsp;HEADERS (4&amp;gt;2&amp;gt;1)&lt;/span&gt;&lt;/p&gt;_x000a_&lt;p&gt;HARD INCREASE, COMPARED TO THE ORIGINAL EXHAUST SYSTEM, IN TERMS OF TORQUE AND POWER AT ANY RANGE.&lt;/p&gt;_x000a_&lt;p&gt;ASTONISHING SOUND.&lt;/p&gt;_x000a_&lt;p&gt;AVAILABLE IN 4 WEEKS FROM ORDER.&lt;/p&gt;_x000a_&lt;p&gt;GOLD&amp;nbsp;END CAP AND LOGO PLATE AVAILABLE AS OPTIONAL&lt;/p&gt;_x000a_&lt;p&gt;&lt;strong&gt;COMPATIBILITY MODEL:&lt;/strong&gt;&amp;nbsp;K 100, K 100 RS, K 100 RT, K 100 LT, K RS 16, K 1100 LT, K 1100 RS.&lt;/p&gt;_x000a_&lt;p&gt;&lt;span&gt;&lt;/span&gt;&lt;/p&gt;"/>
    <s v="https://shop.officineitalianezard.it/contents/imgs/products/1_2030-scarico%20bmw%20k100%20zard3.jpg"/>
    <m/>
    <m/>
  </r>
  <r>
    <s v="1586060052-11710"/>
    <s v="https://shop.officineitalianezard.it/en/products/"/>
    <m/>
    <s v="https://shop.officineitalianezard.it/en/bmw-zard-exaust/"/>
    <s v="K 100"/>
    <s v="https://shop.officineitalianezard.it/en/bmw-k-100-exhaust/"/>
    <s v="RACING VERSION"/>
    <x v="283"/>
    <s v="SILENCER KIT"/>
    <s v="ZBMW531SKR"/>
    <s v="BMW K100"/>
    <n v="601.23"/>
    <n v="668.03"/>
    <s v="&lt;p&gt;STEEL SILENCER RACING WITH REMOVABLE DB KILLER&lt;/p&gt;_x000a_&lt;p&gt;&lt;span&gt;THE SILENCER CAN BE FITTED ON ORIGINAL BMW&amp;nbsp;HEADERS (4&amp;gt;2&amp;gt;1)&lt;/span&gt;&lt;/p&gt;_x000a_&lt;p&gt;HARD INCREASE, COMPARED TO THE ORIGINAL EXHAUST SYSTEM, IN TERMS OF TORQUE AND POWER AT ANY RANGE.&lt;/p&gt;_x000a_&lt;p&gt;ASTONISHING SOUND.&lt;/p&gt;_x000a_&lt;p&gt;AVAILABLE IN 4 WEEKS FROM ORDER.&lt;/p&gt;_x000a_&lt;p&gt;GOLD&amp;nbsp;END CAP AND LOGO PLATE AVAILABLE AS OPTIONAL&lt;/p&gt;_x000a_&lt;p&gt;&lt;strong&gt;COMPATIBILITY MODEL:&lt;/strong&gt;&amp;nbsp;K 100, K 100 RS, K 100 RT, K 100 LT, K RS 16, K 1100 LT, K 1100 RS.&lt;/p&gt;_x000a_&lt;p&gt;&lt;span&gt;&lt;/span&gt;&lt;/p&gt;"/>
    <s v="https://shop.officineitalianezard.it/contents/imgs/products/1_2031-scarico%20bmw%20k100%20zard2.jpg"/>
    <m/>
    <m/>
  </r>
  <r>
    <s v="1586060052-11711"/>
    <s v="https://shop.officineitalianezard.it/en/products/"/>
    <m/>
    <s v="https://shop.officineitalianezard.it/en/bmw-zard-exaust/"/>
    <s v="K 100"/>
    <s v="https://shop.officineitalianezard.it/en/bmw-k-100-exhaust/"/>
    <s v="RACING VERSION"/>
    <x v="283"/>
    <s v="SILENCER KIT"/>
    <s v="ZBMW531SKR"/>
    <s v="BMW K100"/>
    <n v="601.23"/>
    <n v="668.03"/>
    <s v="&lt;p&gt;STEEL SILENCER RACING WITH REMOVABLE DB KILLER&lt;/p&gt;_x000a_&lt;p&gt;&lt;span&gt;THE SILENCER CAN BE FITTED ON ORIGINAL BMW&amp;nbsp;HEADERS (4&amp;gt;2&amp;gt;1)&lt;/span&gt;&lt;/p&gt;_x000a_&lt;p&gt;HARD INCREASE, COMPARED TO THE ORIGINAL EXHAUST SYSTEM, IN TERMS OF TORQUE AND POWER AT ANY RANGE.&lt;/p&gt;_x000a_&lt;p&gt;ASTONISHING SOUND.&lt;/p&gt;_x000a_&lt;p&gt;AVAILABLE IN 4 WEEKS FROM ORDER.&lt;/p&gt;_x000a_&lt;p&gt;GOLD&amp;nbsp;END CAP AND LOGO PLATE AVAILABLE AS OPTIONAL&lt;/p&gt;_x000a_&lt;p&gt;&lt;strong&gt;COMPATIBILITY MODEL:&lt;/strong&gt;&amp;nbsp;K 100, K 100 RS, K 100 RT, K 100 LT, K RS 16, K 1100 LT, K 1100 RS.&lt;/p&gt;_x000a_&lt;p&gt;&lt;span&gt;&lt;/span&gt;&lt;/p&gt;"/>
    <s v="https://shop.officineitalianezard.it/contents/imgs/products/1_2034-scarico%20bmw%20k100%20zard5.jpg"/>
    <m/>
    <m/>
  </r>
  <r>
    <s v="1586060052-11712"/>
    <s v="https://shop.officineitalianezard.it/en/products/"/>
    <m/>
    <s v="https://shop.officineitalianezard.it/en/bmw-zard-exaust/"/>
    <s v="K 100"/>
    <s v="https://shop.officineitalianezard.it/en/bmw-k-100-exhaust/"/>
    <s v="RACING VERSION"/>
    <x v="283"/>
    <s v="SILENCER KIT"/>
    <s v="ZBMW531SKR"/>
    <s v="BMW K100"/>
    <n v="601.23"/>
    <n v="668.03"/>
    <s v="&lt;p&gt;STEEL SILENCER RACING WITH REMOVABLE DB KILLER&lt;/p&gt;_x000a_&lt;p&gt;&lt;span&gt;THE SILENCER CAN BE FITTED ON ORIGINAL BMW&amp;nbsp;HEADERS (4&amp;gt;2&amp;gt;1)&lt;/span&gt;&lt;/p&gt;_x000a_&lt;p&gt;HARD INCREASE, COMPARED TO THE ORIGINAL EXHAUST SYSTEM, IN TERMS OF TORQUE AND POWER AT ANY RANGE.&lt;/p&gt;_x000a_&lt;p&gt;ASTONISHING SOUND.&lt;/p&gt;_x000a_&lt;p&gt;AVAILABLE IN 4 WEEKS FROM ORDER.&lt;/p&gt;_x000a_&lt;p&gt;GOLD&amp;nbsp;END CAP AND LOGO PLATE AVAILABLE AS OPTIONAL&lt;/p&gt;_x000a_&lt;p&gt;&lt;strong&gt;COMPATIBILITY MODEL:&lt;/strong&gt;&amp;nbsp;K 100, K 100 RS, K 100 RT, K 100 LT, K RS 16, K 1100 LT, K 1100 RS.&lt;/p&gt;_x000a_&lt;p&gt;&lt;span&gt;&lt;/span&gt;&lt;/p&gt;"/>
    <s v="https://shop.officineitalianezard.it/contents/imgs/products/1_2033-scarico%20bmw%20k100%20zard4.jpg"/>
    <m/>
    <m/>
  </r>
  <r>
    <s v="1586060052-11713"/>
    <s v="https://shop.officineitalianezard.it/en/products/"/>
    <m/>
    <s v="https://shop.officineitalianezard.it/en/bmw-zard-exaust/"/>
    <s v="K 100"/>
    <s v="https://shop.officineitalianezard.it/en/bmw-k-100-exhaust/"/>
    <s v="RACING VERSION"/>
    <x v="283"/>
    <s v="SILENCER KIT"/>
    <s v="ZBMW531SKR"/>
    <s v="BMW K100"/>
    <n v="601.23"/>
    <n v="668.03"/>
    <s v="&lt;p&gt;STEEL SILENCER RACING WITH REMOVABLE DB KILLER&lt;/p&gt;_x000a_&lt;p&gt;&lt;span&gt;THE SILENCER CAN BE FITTED ON ORIGINAL BMW&amp;nbsp;HEADERS (4&amp;gt;2&amp;gt;1)&lt;/span&gt;&lt;/p&gt;_x000a_&lt;p&gt;HARD INCREASE, COMPARED TO THE ORIGINAL EXHAUST SYSTEM, IN TERMS OF TORQUE AND POWER AT ANY RANGE.&lt;/p&gt;_x000a_&lt;p&gt;ASTONISHING SOUND.&lt;/p&gt;_x000a_&lt;p&gt;AVAILABLE IN 4 WEEKS FROM ORDER.&lt;/p&gt;_x000a_&lt;p&gt;GOLD&amp;nbsp;END CAP AND LOGO PLATE AVAILABLE AS OPTIONAL&lt;/p&gt;_x000a_&lt;p&gt;&lt;strong&gt;COMPATIBILITY MODEL:&lt;/strong&gt;&amp;nbsp;K 100, K 100 RS, K 100 RT, K 100 LT, K RS 16, K 1100 LT, K 1100 RS.&lt;/p&gt;_x000a_&lt;p&gt;&lt;span&gt;&lt;/span&gt;&lt;/p&gt;"/>
    <s v="https://shop.officineitalianezard.it/contents/imgs/products/1_2148-scarico%20bmw%20k100.jpg"/>
    <m/>
    <m/>
  </r>
  <r>
    <s v="1586060052-11714"/>
    <s v="https://shop.officineitalianezard.it/en/products/"/>
    <m/>
    <s v="https://shop.officineitalianezard.it/en/bmw-zard-exaust/"/>
    <s v="K 100"/>
    <s v="https://shop.officineitalianezard.it/en/bmw-k-100-exhaust/"/>
    <s v="RACING VERSION"/>
    <x v="283"/>
    <s v="SILENCER KIT"/>
    <s v="ZBMW531SKR"/>
    <s v="BMW K100"/>
    <n v="601.23"/>
    <n v="668.03"/>
    <s v="&lt;p&gt;STEEL SILENCER RACING WITH REMOVABLE DB KILLER&lt;/p&gt;_x000a_&lt;p&gt;&lt;span&gt;THE SILENCER CAN BE FITTED ON ORIGINAL BMW&amp;nbsp;HEADERS (4&amp;gt;2&amp;gt;1)&lt;/span&gt;&lt;/p&gt;_x000a_&lt;p&gt;HARD INCREASE, COMPARED TO THE ORIGINAL EXHAUST SYSTEM, IN TERMS OF TORQUE AND POWER AT ANY RANGE.&lt;/p&gt;_x000a_&lt;p&gt;ASTONISHING SOUND.&lt;/p&gt;_x000a_&lt;p&gt;AVAILABLE IN 4 WEEKS FROM ORDER.&lt;/p&gt;_x000a_&lt;p&gt;GOLD&amp;nbsp;END CAP AND LOGO PLATE AVAILABLE AS OPTIONAL&lt;/p&gt;_x000a_&lt;p&gt;&lt;strong&gt;COMPATIBILITY MODEL:&lt;/strong&gt;&amp;nbsp;K 100, K 100 RS, K 100 RT, K 100 LT, K RS 16, K 1100 LT, K 1100 RS.&lt;/p&gt;_x000a_&lt;p&gt;&lt;span&gt;&lt;/span&gt;&lt;/p&gt;"/>
    <m/>
    <s v="BLACK COATING"/>
    <n v="77.459999999999994"/>
  </r>
  <r>
    <s v="1586060052-11715"/>
    <s v="https://shop.officineitalianezard.it/en/products/"/>
    <m/>
    <s v="https://shop.officineitalianezard.it/en/bmw-zard-exaust/"/>
    <s v="K 100"/>
    <s v="https://shop.officineitalianezard.it/en/bmw-k-100-exhaust/"/>
    <s v="RACING VERSION"/>
    <x v="283"/>
    <s v="SILENCER KIT"/>
    <s v="ZBMW531SKR"/>
    <s v="BMW K100"/>
    <n v="601.23"/>
    <n v="668.03"/>
    <s v="&lt;p&gt;STEEL SILENCER RACING WITH REMOVABLE DB KILLER&lt;/p&gt;_x000a_&lt;p&gt;&lt;span&gt;THE SILENCER CAN BE FITTED ON ORIGINAL BMW&amp;nbsp;HEADERS (4&amp;gt;2&amp;gt;1)&lt;/span&gt;&lt;/p&gt;_x000a_&lt;p&gt;HARD INCREASE, COMPARED TO THE ORIGINAL EXHAUST SYSTEM, IN TERMS OF TORQUE AND POWER AT ANY RANGE.&lt;/p&gt;_x000a_&lt;p&gt;ASTONISHING SOUND.&lt;/p&gt;_x000a_&lt;p&gt;AVAILABLE IN 4 WEEKS FROM ORDER.&lt;/p&gt;_x000a_&lt;p&gt;GOLD&amp;nbsp;END CAP AND LOGO PLATE AVAILABLE AS OPTIONAL&lt;/p&gt;_x000a_&lt;p&gt;&lt;strong&gt;COMPATIBILITY MODEL:&lt;/strong&gt;&amp;nbsp;K 100, K 100 RS, K 100 RT, K 100 LT, K RS 16, K 1100 LT, K 1100 RS.&lt;/p&gt;_x000a_&lt;p&gt;&lt;span&gt;&lt;/span&gt;&lt;/p&gt;"/>
    <m/>
    <s v="BLACK CERAMIC COATING ON ORIGINAL HEADERS"/>
    <n v="138.69"/>
  </r>
  <r>
    <s v="1586060052-11716"/>
    <s v="https://shop.officineitalianezard.it/en/products/"/>
    <m/>
    <s v="https://shop.officineitalianezard.it/en/bmw-zard-exaust/"/>
    <s v="K 100"/>
    <s v="https://shop.officineitalianezard.it/en/bmw-k-100-exhaust/"/>
    <s v="RACING VERSION"/>
    <x v="283"/>
    <s v="SILENCER KIT"/>
    <s v="ZBMW531SKR"/>
    <s v="BMW K100"/>
    <n v="601.23"/>
    <n v="668.03"/>
    <s v="&lt;p&gt;STEEL SILENCER RACING WITH REMOVABLE DB KILLER&lt;/p&gt;_x000a_&lt;p&gt;&lt;span&gt;THE SILENCER CAN BE FITTED ON ORIGINAL BMW&amp;nbsp;HEADERS (4&amp;gt;2&amp;gt;1)&lt;/span&gt;&lt;/p&gt;_x000a_&lt;p&gt;HARD INCREASE, COMPARED TO THE ORIGINAL EXHAUST SYSTEM, IN TERMS OF TORQUE AND POWER AT ANY RANGE.&lt;/p&gt;_x000a_&lt;p&gt;ASTONISHING SOUND.&lt;/p&gt;_x000a_&lt;p&gt;AVAILABLE IN 4 WEEKS FROM ORDER.&lt;/p&gt;_x000a_&lt;p&gt;GOLD&amp;nbsp;END CAP AND LOGO PLATE AVAILABLE AS OPTIONAL&lt;/p&gt;_x000a_&lt;p&gt;&lt;strong&gt;COMPATIBILITY MODEL:&lt;/strong&gt;&amp;nbsp;K 100, K 100 RS, K 100 RT, K 100 LT, K RS 16, K 1100 LT, K 1100 RS.&lt;/p&gt;_x000a_&lt;p&gt;&lt;span&gt;&lt;/span&gt;&lt;/p&gt;"/>
    <m/>
    <s v="GOLD END CAP AND LOGO PLATE"/>
    <n v="46.48"/>
  </r>
  <r>
    <s v="1586060057-11717"/>
    <s v="https://shop.officineitalianezard.it/en/products/"/>
    <m/>
    <s v="https://shop.officineitalianezard.it/en/bmw-zard-exaust/"/>
    <s v="R NINE-T &gt; M.Y. 2017"/>
    <s v="https://shop.officineitalianezard.it/en/bmw-r-nine-t-m-y-2017-exhaust/"/>
    <s v="LIMITED EDITION"/>
    <x v="284"/>
    <s v="2&gt;1 HEADERS KIT"/>
    <s v="ZBMW526SCR-LIM-17"/>
    <s v="BMW NINE-T 1200"/>
    <n v="601.97"/>
    <n v="668.85"/>
    <s v="&lt;p&gt;2&amp;gt;1 STEEL RACING &lt;strong&gt;SNAKE WELDED&lt;/strong&gt; HEADERS KIT&amp;nbsp;&lt;/p&gt;_x000a_&lt;p&gt;HEADERS KIT CAN BE FITTED WITH ORIGINAL SILENCERS&lt;/p&gt;_x000a_&lt;p&gt;ORIGINAL HEADERS KIT WEIGHT: KG 4.4&lt;br&gt;ZARD STEEL HEADERS KIT WEIGHT: 3.8&lt;/p&gt;_x000a_&lt;p&gt;HARD INCREASE, COMPARED TO THE ORIGINAL EXHAUST SYSTEM, IN TERMS OF TORQUE AND POWER AT ANY RANGE.&lt;/p&gt;_x000a_&lt;p&gt;ASTONISHING SOUND.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NINE-T&lt;/a&gt;&lt;/p&gt;"/>
    <s v="https://shop.officineitalianezard.it/contents/imgs/products/1_2719-scarichi%20moto%20zard%20collettori%20titanio%20bmw%20r%20nine%20t_1.jpg"/>
    <m/>
    <m/>
  </r>
  <r>
    <s v="1586060057-11718"/>
    <s v="https://shop.officineitalianezard.it/en/products/"/>
    <m/>
    <s v="https://shop.officineitalianezard.it/en/bmw-zard-exaust/"/>
    <s v="R NINE-T &gt; M.Y. 2017"/>
    <s v="https://shop.officineitalianezard.it/en/bmw-r-nine-t-m-y-2017-exhaust/"/>
    <s v="LIMITED EDITION"/>
    <x v="284"/>
    <s v="2&gt;1 HEADERS KIT"/>
    <s v="ZBMW526SCR-LIM-17"/>
    <s v="BMW NINE-T 1200"/>
    <n v="601.97"/>
    <n v="668.85"/>
    <s v="&lt;p&gt;2&amp;gt;1 STEEL RACING &lt;strong&gt;SNAKE WELDED&lt;/strong&gt; HEADERS KIT&amp;nbsp;&lt;/p&gt;_x000a_&lt;p&gt;HEADERS KIT CAN BE FITTED WITH ORIGINAL SILENCERS&lt;/p&gt;_x000a_&lt;p&gt;ORIGINAL HEADERS KIT WEIGHT: KG 4.4&lt;br&gt;ZARD STEEL HEADERS KIT WEIGHT: 3.8&lt;/p&gt;_x000a_&lt;p&gt;HARD INCREASE, COMPARED TO THE ORIGINAL EXHAUST SYSTEM, IN TERMS OF TORQUE AND POWER AT ANY RANGE.&lt;/p&gt;_x000a_&lt;p&gt;ASTONISHING SOUND.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NINE-T&lt;/a&gt;&lt;/p&gt;"/>
    <s v="https://shop.officineitalianezard.it/contents/imgs/products/1_2366-1.jpg"/>
    <m/>
    <m/>
  </r>
  <r>
    <s v="1586060057-11719"/>
    <s v="https://shop.officineitalianezard.it/en/products/"/>
    <m/>
    <s v="https://shop.officineitalianezard.it/en/bmw-zard-exaust/"/>
    <s v="R NINE-T &gt; M.Y. 2017"/>
    <s v="https://shop.officineitalianezard.it/en/bmw-r-nine-t-m-y-2017-exhaust/"/>
    <s v="LIMITED EDITION"/>
    <x v="284"/>
    <s v="2&gt;1 HEADERS KIT"/>
    <s v="ZBMW526SCR-LIM-17"/>
    <s v="BMW NINE-T 1200"/>
    <n v="601.97"/>
    <n v="668.85"/>
    <s v="&lt;p&gt;2&amp;gt;1 STEEL RACING &lt;strong&gt;SNAKE WELDED&lt;/strong&gt; HEADERS KIT&amp;nbsp;&lt;/p&gt;_x000a_&lt;p&gt;HEADERS KIT CAN BE FITTED WITH ORIGINAL SILENCERS&lt;/p&gt;_x000a_&lt;p&gt;ORIGINAL HEADERS KIT WEIGHT: KG 4.4&lt;br&gt;ZARD STEEL HEADERS KIT WEIGHT: 3.8&lt;/p&gt;_x000a_&lt;p&gt;HARD INCREASE, COMPARED TO THE ORIGINAL EXHAUST SYSTEM, IN TERMS OF TORQUE AND POWER AT ANY RANGE.&lt;/p&gt;_x000a_&lt;p&gt;ASTONISHING SOUND.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NINE-T&lt;/a&gt;&lt;/p&gt;"/>
    <s v="https://shop.officineitalianezard.it/contents/imgs/products/1_2367-2.jpg"/>
    <m/>
    <m/>
  </r>
  <r>
    <s v="1586060057-11720"/>
    <s v="https://shop.officineitalianezard.it/en/products/"/>
    <m/>
    <s v="https://shop.officineitalianezard.it/en/bmw-zard-exaust/"/>
    <s v="R NINE-T &gt; M.Y. 2017"/>
    <s v="https://shop.officineitalianezard.it/en/bmw-r-nine-t-m-y-2017-exhaust/"/>
    <s v="LIMITED EDITION"/>
    <x v="284"/>
    <s v="2&gt;1 HEADERS KIT"/>
    <s v="ZBMW526SCR-LIM-17"/>
    <s v="BMW NINE-T 1200"/>
    <n v="601.97"/>
    <n v="668.85"/>
    <s v="&lt;p&gt;2&amp;gt;1 STEEL RACING &lt;strong&gt;SNAKE WELDED&lt;/strong&gt; HEADERS KIT&amp;nbsp;&lt;/p&gt;_x000a_&lt;p&gt;HEADERS KIT CAN BE FITTED WITH ORIGINAL SILENCERS&lt;/p&gt;_x000a_&lt;p&gt;ORIGINAL HEADERS KIT WEIGHT: KG 4.4&lt;br&gt;ZARD STEEL HEADERS KIT WEIGHT: 3.8&lt;/p&gt;_x000a_&lt;p&gt;HARD INCREASE, COMPARED TO THE ORIGINAL EXHAUST SYSTEM, IN TERMS OF TORQUE AND POWER AT ANY RANGE.&lt;/p&gt;_x000a_&lt;p&gt;ASTONISHING SOUND.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NINE-T&lt;/a&gt;&lt;/p&gt;"/>
    <s v="https://shop.officineitalianezard.it/contents/imgs/products/1_2369-r9t.jpg"/>
    <m/>
    <m/>
  </r>
  <r>
    <s v="1586060057-11721"/>
    <s v="https://shop.officineitalianezard.it/en/products/"/>
    <m/>
    <s v="https://shop.officineitalianezard.it/en/bmw-zard-exaust/"/>
    <s v="R NINE-T &gt; M.Y. 2017"/>
    <s v="https://shop.officineitalianezard.it/en/bmw-r-nine-t-m-y-2017-exhaust/"/>
    <s v="LIMITED EDITION"/>
    <x v="284"/>
    <s v="2&gt;1 HEADERS KIT"/>
    <s v="ZBMW526SCR-LIM-17"/>
    <s v="BMW NINE-T 1200"/>
    <n v="601.97"/>
    <n v="668.85"/>
    <s v="&lt;p&gt;2&amp;gt;1 STEEL RACING &lt;strong&gt;SNAKE WELDED&lt;/strong&gt; HEADERS KIT&amp;nbsp;&lt;/p&gt;_x000a_&lt;p&gt;HEADERS KIT CAN BE FITTED WITH ORIGINAL SILENCERS&lt;/p&gt;_x000a_&lt;p&gt;ORIGINAL HEADERS KIT WEIGHT: KG 4.4&lt;br&gt;ZARD STEEL HEADERS KIT WEIGHT: 3.8&lt;/p&gt;_x000a_&lt;p&gt;HARD INCREASE, COMPARED TO THE ORIGINAL EXHAUST SYSTEM, IN TERMS OF TORQUE AND POWER AT ANY RANGE.&lt;/p&gt;_x000a_&lt;p&gt;ASTONISHING SOUND.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NINE-T&lt;/a&gt;&lt;/p&gt;"/>
    <m/>
    <s v="FULL TITANIUM RACING"/>
    <n v="185.9"/>
  </r>
  <r>
    <s v="1586060057-11722"/>
    <s v="https://shop.officineitalianezard.it/en/products/"/>
    <m/>
    <s v="https://shop.officineitalianezard.it/en/bmw-zard-exaust/"/>
    <s v="R NINE-T &gt; M.Y. 2017"/>
    <s v="https://shop.officineitalianezard.it/en/bmw-r-nine-t-m-y-2017-exhaust/"/>
    <s v="LIMITED EDITION"/>
    <x v="284"/>
    <s v="2&gt;1 HEADERS KIT"/>
    <s v="ZBMW526SCR-LIM-17"/>
    <s v="BMW NINE-T 1200"/>
    <n v="601.97"/>
    <n v="668.85"/>
    <s v="&lt;p&gt;2&amp;gt;1 STEEL RACING &lt;strong&gt;SNAKE WELDED&lt;/strong&gt; HEADERS KIT&amp;nbsp;&lt;/p&gt;_x000a_&lt;p&gt;HEADERS KIT CAN BE FITTED WITH ORIGINAL SILENCERS&lt;/p&gt;_x000a_&lt;p&gt;ORIGINAL HEADERS KIT WEIGHT: KG 4.4&lt;br&gt;ZARD STEEL HEADERS KIT WEIGHT: 3.8&lt;/p&gt;_x000a_&lt;p&gt;HARD INCREASE, COMPARED TO THE ORIGINAL EXHAUST SYSTEM, IN TERMS OF TORQUE AND POWER AT ANY RANGE.&lt;/p&gt;_x000a_&lt;p&gt;ASTONISHING SOUND.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NINE-T&lt;/a&gt;&lt;/p&gt;"/>
    <m/>
    <s v="BLACK CERAMIC COATING"/>
    <n v="123.2"/>
  </r>
  <r>
    <s v="1586060060-11723"/>
    <s v="https://shop.officineitalianezard.it/en/products/"/>
    <m/>
    <s v="https://shop.officineitalianezard.it/en/bmw-zard-exaust/"/>
    <s v="R NINE-T &gt; M.Y. 2017"/>
    <s v="https://shop.officineitalianezard.it/en/bmw-r-nine-t-m-y-2017-exhaust/"/>
    <s v="2&gt;1 VERSION"/>
    <x v="285"/>
    <s v="HEADERS KIT"/>
    <s v="ZBMW525SCR-17"/>
    <s v="BMW NINE-T 1200"/>
    <n v="422.7"/>
    <n v="469.67"/>
    <s v="&lt;p&gt;2&amp;gt;1 STEEL RACING HEADERS KIT&amp;nbsp;&lt;/p&gt;_x000a_&lt;p&gt;HEADERS KIT CAN BE FITTED WITH ORIGINAL SILENCERS&lt;/p&gt;_x000a_&lt;p&gt;ORIGINAL HEADERS KIT WEIGHT: KG 4.4&lt;/p&gt;_x000a_&lt;p&gt;ZARD STEEL HEADERS KIT WEIGHT: 3.8&lt;/p&gt;_x000a_&lt;p&gt;HARD INCREASE, COMPARED TO THE ORIGINAL EXHAUST SYSTEM, IN TERMS OF TORQUE AND POWER AT ANY RANGE.&lt;/p&gt;_x000a_&lt;p&gt;ASTONISHING SOUND.&lt;/p&gt;_x000a_&lt;p&gt;N.B.: PHOTOS ARE REFERRED TO&amp;nbsp;STEEL VERSION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NINE-T&lt;/a&gt;&lt;/p&gt;_x000a_&lt;p&gt;&amp;nbsp;&lt;/p&gt;"/>
    <s v="https://shop.officineitalianezard.it/contents/imgs/products/1_2394-kit%20collettori%20bmw%20r%20ninet%20zard.jpg"/>
    <m/>
    <m/>
  </r>
  <r>
    <s v="1586060060-11724"/>
    <s v="https://shop.officineitalianezard.it/en/products/"/>
    <m/>
    <s v="https://shop.officineitalianezard.it/en/bmw-zard-exaust/"/>
    <s v="R NINE-T &gt; M.Y. 2017"/>
    <s v="https://shop.officineitalianezard.it/en/bmw-r-nine-t-m-y-2017-exhaust/"/>
    <s v="2&gt;1 VERSION"/>
    <x v="285"/>
    <s v="HEADERS KIT"/>
    <s v="ZBMW525SCR-17"/>
    <s v="BMW NINE-T 1200"/>
    <n v="422.7"/>
    <n v="469.67"/>
    <s v="&lt;p&gt;2&amp;gt;1 STEEL RACING HEADERS KIT&amp;nbsp;&lt;/p&gt;_x000a_&lt;p&gt;HEADERS KIT CAN BE FITTED WITH ORIGINAL SILENCERS&lt;/p&gt;_x000a_&lt;p&gt;ORIGINAL HEADERS KIT WEIGHT: KG 4.4&lt;/p&gt;_x000a_&lt;p&gt;ZARD STEEL HEADERS KIT WEIGHT: 3.8&lt;/p&gt;_x000a_&lt;p&gt;HARD INCREASE, COMPARED TO THE ORIGINAL EXHAUST SYSTEM, IN TERMS OF TORQUE AND POWER AT ANY RANGE.&lt;/p&gt;_x000a_&lt;p&gt;ASTONISHING SOUND.&lt;/p&gt;_x000a_&lt;p&gt;N.B.: PHOTOS ARE REFERRED TO&amp;nbsp;STEEL VERSION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NINE-T&lt;/a&gt;&lt;/p&gt;_x000a_&lt;p&gt;&amp;nbsp;&lt;/p&gt;"/>
    <m/>
    <s v="FULL TITANIUM RACING"/>
    <n v="185.9"/>
  </r>
  <r>
    <s v="1586060060-11725"/>
    <s v="https://shop.officineitalianezard.it/en/products/"/>
    <m/>
    <s v="https://shop.officineitalianezard.it/en/bmw-zard-exaust/"/>
    <s v="R NINE-T &gt; M.Y. 2017"/>
    <s v="https://shop.officineitalianezard.it/en/bmw-r-nine-t-m-y-2017-exhaust/"/>
    <s v="2&gt;1 VERSION"/>
    <x v="285"/>
    <s v="HEADERS KIT"/>
    <s v="ZBMW525SCR-17"/>
    <s v="BMW NINE-T 1200"/>
    <n v="422.7"/>
    <n v="469.67"/>
    <s v="&lt;p&gt;2&amp;gt;1 STEEL RACING HEADERS KIT&amp;nbsp;&lt;/p&gt;_x000a_&lt;p&gt;HEADERS KIT CAN BE FITTED WITH ORIGINAL SILENCERS&lt;/p&gt;_x000a_&lt;p&gt;ORIGINAL HEADERS KIT WEIGHT: KG 4.4&lt;/p&gt;_x000a_&lt;p&gt;ZARD STEEL HEADERS KIT WEIGHT: 3.8&lt;/p&gt;_x000a_&lt;p&gt;HARD INCREASE, COMPARED TO THE ORIGINAL EXHAUST SYSTEM, IN TERMS OF TORQUE AND POWER AT ANY RANGE.&lt;/p&gt;_x000a_&lt;p&gt;ASTONISHING SOUND.&lt;/p&gt;_x000a_&lt;p&gt;N.B.: PHOTOS ARE REFERRED TO&amp;nbsp;STEEL VERSION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NINE-T&lt;/a&gt;&lt;/p&gt;_x000a_&lt;p&gt;&amp;nbsp;&lt;/p&gt;"/>
    <m/>
    <s v="BLACK CERAMIC COATING"/>
    <n v="123.2"/>
  </r>
  <r>
    <s v="1586060062-11726"/>
    <s v="https://shop.officineitalianezard.it/en/products/"/>
    <m/>
    <s v="https://shop.officineitalianezard.it/en/bmw-zard-exaust/"/>
    <s v="R NINE-T &gt; M.Y. 2017"/>
    <s v="https://shop.officineitalianezard.it/en/bmw-r-nine-t-m-y-2017-exhaust/"/>
    <s v="HARDY"/>
    <x v="286"/>
    <s v="SILENCERS"/>
    <s v="ZBMW541SSR"/>
    <s v="BMW R NINE-T SCRAMBLER M.Y. 2017"/>
    <n v="743.61"/>
    <n v="826.23"/>
    <s v="&lt;p&gt;N. 2 SILENCERS WITH REMOVABLE DB KILLERS HARDY VERSION&lt;/p&gt;_x000a_&lt;p&gt;ORIGINAL SILENCER WEIGHT: 4,8 KG&lt;/p&gt;_x000a_&lt;p&gt;ZARD SILENCERS WEIGHT: 3,8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Y MODELS:&lt;/strong&gt; BMW R NINE-T SCRAMBLER&lt;/p&gt;"/>
    <s v="https://shop.officineitalianezard.it/contents/imgs/products/1_2674-bmw%20nine%20t%20zard%20exhaust.jpg"/>
    <m/>
    <m/>
  </r>
  <r>
    <s v="1586060062-11727"/>
    <s v="https://shop.officineitalianezard.it/en/products/"/>
    <m/>
    <s v="https://shop.officineitalianezard.it/en/bmw-zard-exaust/"/>
    <s v="R NINE-T &gt; M.Y. 2017"/>
    <s v="https://shop.officineitalianezard.it/en/bmw-r-nine-t-m-y-2017-exhaust/"/>
    <s v="HARDY"/>
    <x v="286"/>
    <s v="SILENCERS"/>
    <s v="ZBMW541SSR"/>
    <s v="BMW R NINE-T SCRAMBLER M.Y. 2017"/>
    <n v="743.61"/>
    <n v="826.23"/>
    <s v="&lt;p&gt;N. 2 SILENCERS WITH REMOVABLE DB KILLERS HARDY VERSION&lt;/p&gt;_x000a_&lt;p&gt;ORIGINAL SILENCER WEIGHT: 4,8 KG&lt;/p&gt;_x000a_&lt;p&gt;ZARD SILENCERS WEIGHT: 3,8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Y MODELS:&lt;/strong&gt; BMW R NINE-T SCRAMBLER&lt;/p&gt;"/>
    <s v="https://shop.officineitalianezard.it/contents/imgs/products/1_2209-scarico%20bmw%20r%20nine%20t%20scrambler%20-%20zard%201.jpg"/>
    <m/>
    <m/>
  </r>
  <r>
    <s v="1586060062-11728"/>
    <s v="https://shop.officineitalianezard.it/en/products/"/>
    <m/>
    <s v="https://shop.officineitalianezard.it/en/bmw-zard-exaust/"/>
    <s v="R NINE-T &gt; M.Y. 2017"/>
    <s v="https://shop.officineitalianezard.it/en/bmw-r-nine-t-m-y-2017-exhaust/"/>
    <s v="HARDY"/>
    <x v="286"/>
    <s v="SILENCERS"/>
    <s v="ZBMW541SSR"/>
    <s v="BMW R NINE-T SCRAMBLER M.Y. 2017"/>
    <n v="743.61"/>
    <n v="826.23"/>
    <s v="&lt;p&gt;N. 2 SILENCERS WITH REMOVABLE DB KILLERS HARDY VERSION&lt;/p&gt;_x000a_&lt;p&gt;ORIGINAL SILENCER WEIGHT: 4,8 KG&lt;/p&gt;_x000a_&lt;p&gt;ZARD SILENCERS WEIGHT: 3,8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Y MODELS:&lt;/strong&gt; BMW R NINE-T SCRAMBLER&lt;/p&gt;"/>
    <s v="https://shop.officineitalianezard.it/contents/imgs/products/1_2208-scarico%20bmw%20r%20nine%20t%20scrambler%20-%20zard%202.jpg"/>
    <m/>
    <m/>
  </r>
  <r>
    <s v="1586060062-11729"/>
    <s v="https://shop.officineitalianezard.it/en/products/"/>
    <m/>
    <s v="https://shop.officineitalianezard.it/en/bmw-zard-exaust/"/>
    <s v="R NINE-T &gt; M.Y. 2017"/>
    <s v="https://shop.officineitalianezard.it/en/bmw-r-nine-t-m-y-2017-exhaust/"/>
    <s v="HARDY"/>
    <x v="286"/>
    <s v="SILENCERS"/>
    <s v="ZBMW541SSR"/>
    <s v="BMW R NINE-T SCRAMBLER M.Y. 2017"/>
    <n v="743.61"/>
    <n v="826.23"/>
    <s v="&lt;p&gt;N. 2 SILENCERS WITH REMOVABLE DB KILLERS HARDY VERSION&lt;/p&gt;_x000a_&lt;p&gt;ORIGINAL SILENCER WEIGHT: 4,8 KG&lt;/p&gt;_x000a_&lt;p&gt;ZARD SILENCERS WEIGHT: 3,8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Y MODELS:&lt;/strong&gt; BMW R NINE-T SCRAMBLER&lt;/p&gt;"/>
    <s v="https://shop.officineitalianezard.it/contents/imgs/products/1_2210-scarico%20bmw%20r%20nine%20t%20scrambler%20-%20zard%203.jpg"/>
    <m/>
    <m/>
  </r>
  <r>
    <s v="1586060062-11730"/>
    <s v="https://shop.officineitalianezard.it/en/products/"/>
    <m/>
    <s v="https://shop.officineitalianezard.it/en/bmw-zard-exaust/"/>
    <s v="R NINE-T &gt; M.Y. 2017"/>
    <s v="https://shop.officineitalianezard.it/en/bmw-r-nine-t-m-y-2017-exhaust/"/>
    <s v="HARDY"/>
    <x v="286"/>
    <s v="SILENCERS"/>
    <s v="ZBMW541SSR"/>
    <s v="BMW R NINE-T SCRAMBLER M.Y. 2017"/>
    <n v="743.61"/>
    <n v="826.23"/>
    <s v="&lt;p&gt;N. 2 SILENCERS WITH REMOVABLE DB KILLERS HARDY VERSION&lt;/p&gt;_x000a_&lt;p&gt;ORIGINAL SILENCER WEIGHT: 4,8 KG&lt;/p&gt;_x000a_&lt;p&gt;ZARD SILENCERS WEIGHT: 3,8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Y MODELS:&lt;/strong&gt; BMW R NINE-T SCRAMBLER&lt;/p&gt;"/>
    <m/>
    <s v="BLACK CERAMIC COATING"/>
    <n v="192.54"/>
  </r>
  <r>
    <s v="1586060062-11731"/>
    <s v="https://shop.officineitalianezard.it/en/products/"/>
    <m/>
    <s v="https://shop.officineitalianezard.it/en/bmw-zard-exaust/"/>
    <s v="R NINE-T &gt; M.Y. 2017"/>
    <s v="https://shop.officineitalianezard.it/en/bmw-r-nine-t-m-y-2017-exhaust/"/>
    <s v="HARDY"/>
    <x v="286"/>
    <s v="SILENCERS"/>
    <s v="ZBMW541SSR"/>
    <s v="BMW R NINE-T SCRAMBLER M.Y. 2017"/>
    <n v="743.61"/>
    <n v="826.23"/>
    <s v="&lt;p&gt;N. 2 SILENCERS WITH REMOVABLE DB KILLERS HARDY VERSION&lt;/p&gt;_x000a_&lt;p&gt;ORIGINAL SILENCER WEIGHT: 4,8 KG&lt;/p&gt;_x000a_&lt;p&gt;ZARD SILENCERS WEIGHT: 3,8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Y MODELS:&lt;/strong&gt; BMW R NINE-T SCRAMBLER&lt;/p&gt;"/>
    <m/>
    <s v="EURO 4 HOMOLOGATED"/>
    <n v="98.11"/>
  </r>
  <r>
    <s v="1586060065-11732"/>
    <s v="https://shop.officineitalianezard.it/en/products/"/>
    <m/>
    <s v="https://shop.officineitalianezard.it/en/bmw-zard-exaust/"/>
    <s v="R NINE-T &gt; M.Y. 2017"/>
    <s v="https://shop.officineitalianezard.it/en/bmw-r-nine-t-m-y-2017-exhaust/"/>
    <s v="LIMITED EDITION"/>
    <x v="287"/>
    <s v="HIGH SILENCER"/>
    <s v="ZBMW543SSR"/>
    <s v="BMW R NINE-T SCRAMBLER M.Y. 2017"/>
    <n v="649.17999999999995"/>
    <n v="721.31"/>
    <s v="&lt;p&gt;STEEL RACING SILENCER WITH REMOVABLE DB KILLERS&lt;/p&gt;_x000a_&lt;p&gt;ORIGINAL SILENCER WEIGHT: 4,8 KG&lt;/p&gt;_x000a_&lt;p&gt;ZARD SILENCER WEIGHT: 2,6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&lt;/strong&gt;:&amp;nbsp;&lt;span&gt;BMW R NINE-T SCRAMBLER&lt;/span&gt;&lt;/p&gt;"/>
    <s v="https://shop.officineitalianezard.it/contents/imgs/products/1_2214-1.jpg"/>
    <m/>
    <m/>
  </r>
  <r>
    <s v="1586060065-11733"/>
    <s v="https://shop.officineitalianezard.it/en/products/"/>
    <m/>
    <s v="https://shop.officineitalianezard.it/en/bmw-zard-exaust/"/>
    <s v="R NINE-T &gt; M.Y. 2017"/>
    <s v="https://shop.officineitalianezard.it/en/bmw-r-nine-t-m-y-2017-exhaust/"/>
    <s v="LIMITED EDITION"/>
    <x v="287"/>
    <s v="HIGH SILENCER"/>
    <s v="ZBMW543SSR"/>
    <s v="BMW R NINE-T SCRAMBLER M.Y. 2017"/>
    <n v="649.17999999999995"/>
    <n v="721.31"/>
    <s v="&lt;p&gt;STEEL RACING SILENCER WITH REMOVABLE DB KILLERS&lt;/p&gt;_x000a_&lt;p&gt;ORIGINAL SILENCER WEIGHT: 4,8 KG&lt;/p&gt;_x000a_&lt;p&gt;ZARD SILENCER WEIGHT: 2,6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&lt;/strong&gt;:&amp;nbsp;&lt;span&gt;BMW R NINE-T SCRAMBLER&lt;/span&gt;&lt;/p&gt;"/>
    <s v="https://shop.officineitalianezard.it/contents/imgs/products/1_2215-5.jpg"/>
    <m/>
    <m/>
  </r>
  <r>
    <s v="1586060065-11734"/>
    <s v="https://shop.officineitalianezard.it/en/products/"/>
    <m/>
    <s v="https://shop.officineitalianezard.it/en/bmw-zard-exaust/"/>
    <s v="R NINE-T &gt; M.Y. 2017"/>
    <s v="https://shop.officineitalianezard.it/en/bmw-r-nine-t-m-y-2017-exhaust/"/>
    <s v="LIMITED EDITION"/>
    <x v="287"/>
    <s v="HIGH SILENCER"/>
    <s v="ZBMW543SSR"/>
    <s v="BMW R NINE-T SCRAMBLER M.Y. 2017"/>
    <n v="649.17999999999995"/>
    <n v="721.31"/>
    <s v="&lt;p&gt;STEEL RACING SILENCER WITH REMOVABLE DB KILLERS&lt;/p&gt;_x000a_&lt;p&gt;ORIGINAL SILENCER WEIGHT: 4,8 KG&lt;/p&gt;_x000a_&lt;p&gt;ZARD SILENCER WEIGHT: 2,6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&lt;/strong&gt;:&amp;nbsp;&lt;span&gt;BMW R NINE-T SCRAMBLER&lt;/span&gt;&lt;/p&gt;"/>
    <s v="https://shop.officineitalianezard.it/contents/imgs/products/1_2217-3.jpg"/>
    <m/>
    <m/>
  </r>
  <r>
    <s v="1586060065-11735"/>
    <s v="https://shop.officineitalianezard.it/en/products/"/>
    <m/>
    <s v="https://shop.officineitalianezard.it/en/bmw-zard-exaust/"/>
    <s v="R NINE-T &gt; M.Y. 2017"/>
    <s v="https://shop.officineitalianezard.it/en/bmw-r-nine-t-m-y-2017-exhaust/"/>
    <s v="LIMITED EDITION"/>
    <x v="287"/>
    <s v="HIGH SILENCER"/>
    <s v="ZBMW543SSR"/>
    <s v="BMW R NINE-T SCRAMBLER M.Y. 2017"/>
    <n v="649.17999999999995"/>
    <n v="721.31"/>
    <s v="&lt;p&gt;STEEL RACING SILENCER WITH REMOVABLE DB KILLERS&lt;/p&gt;_x000a_&lt;p&gt;ORIGINAL SILENCER WEIGHT: 4,8 KG&lt;/p&gt;_x000a_&lt;p&gt;ZARD SILENCER WEIGHT: 2,6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&lt;/strong&gt;:&amp;nbsp;&lt;span&gt;BMW R NINE-T SCRAMBLER&lt;/span&gt;&lt;/p&gt;"/>
    <s v="https://shop.officineitalianezard.it/contents/imgs/products/1_2218-2.jpg"/>
    <m/>
    <m/>
  </r>
  <r>
    <s v="1586060065-11736"/>
    <s v="https://shop.officineitalianezard.it/en/products/"/>
    <m/>
    <s v="https://shop.officineitalianezard.it/en/bmw-zard-exaust/"/>
    <s v="R NINE-T &gt; M.Y. 2017"/>
    <s v="https://shop.officineitalianezard.it/en/bmw-r-nine-t-m-y-2017-exhaust/"/>
    <s v="LIMITED EDITION"/>
    <x v="287"/>
    <s v="HIGH SILENCER"/>
    <s v="ZBMW543SSR"/>
    <s v="BMW R NINE-T SCRAMBLER M.Y. 2017"/>
    <n v="649.17999999999995"/>
    <n v="721.31"/>
    <s v="&lt;p&gt;STEEL RACING SILENCER WITH REMOVABLE DB KILLERS&lt;/p&gt;_x000a_&lt;p&gt;ORIGINAL SILENCER WEIGHT: 4,8 KG&lt;/p&gt;_x000a_&lt;p&gt;ZARD SILENCER WEIGHT: 2,6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&lt;/strong&gt;:&amp;nbsp;&lt;span&gt;BMW R NINE-T SCRAMBLER&lt;/span&gt;&lt;/p&gt;"/>
    <s v="https://shop.officineitalianezard.it/contents/imgs/products/1_2216-4.jpg"/>
    <m/>
    <m/>
  </r>
  <r>
    <s v="1586060065-11737"/>
    <s v="https://shop.officineitalianezard.it/en/products/"/>
    <m/>
    <s v="https://shop.officineitalianezard.it/en/bmw-zard-exaust/"/>
    <s v="R NINE-T &gt; M.Y. 2017"/>
    <s v="https://shop.officineitalianezard.it/en/bmw-r-nine-t-m-y-2017-exhaust/"/>
    <s v="LIMITED EDITION"/>
    <x v="287"/>
    <s v="HIGH SILENCER"/>
    <s v="ZBMW543SSR"/>
    <s v="BMW R NINE-T SCRAMBLER M.Y. 2017"/>
    <n v="649.17999999999995"/>
    <n v="721.31"/>
    <s v="&lt;p&gt;STEEL RACING SILENCER WITH REMOVABLE DB KILLERS&lt;/p&gt;_x000a_&lt;p&gt;ORIGINAL SILENCER WEIGHT: 4,8 KG&lt;/p&gt;_x000a_&lt;p&gt;ZARD SILENCER WEIGHT: 2,6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&lt;/strong&gt;:&amp;nbsp;&lt;span&gt;BMW R NINE-T SCRAMBLER&lt;/span&gt;&lt;/p&gt;"/>
    <s v="https://shop.officineitalianezard.it/contents/imgs/products/1_2377-scarico%20bmw%20nine%20t%20scrambler%20zard%20nero.jpg"/>
    <m/>
    <m/>
  </r>
  <r>
    <s v="1586060065-11738"/>
    <s v="https://shop.officineitalianezard.it/en/products/"/>
    <m/>
    <s v="https://shop.officineitalianezard.it/en/bmw-zard-exaust/"/>
    <s v="R NINE-T &gt; M.Y. 2017"/>
    <s v="https://shop.officineitalianezard.it/en/bmw-r-nine-t-m-y-2017-exhaust/"/>
    <s v="LIMITED EDITION"/>
    <x v="287"/>
    <s v="HIGH SILENCER"/>
    <s v="ZBMW543SSR"/>
    <s v="BMW R NINE-T SCRAMBLER M.Y. 2017"/>
    <n v="649.17999999999995"/>
    <n v="721.31"/>
    <s v="&lt;p&gt;STEEL RACING SILENCER WITH REMOVABLE DB KILLERS&lt;/p&gt;_x000a_&lt;p&gt;ORIGINAL SILENCER WEIGHT: 4,8 KG&lt;/p&gt;_x000a_&lt;p&gt;ZARD SILENCER WEIGHT: 2,6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&lt;/strong&gt;:&amp;nbsp;&lt;span&gt;BMW R NINE-T SCRAMBLER&lt;/span&gt;&lt;/p&gt;"/>
    <m/>
    <s v="BLACK CERAMIC COATING"/>
    <n v="132.05000000000001"/>
  </r>
  <r>
    <s v="1586060065-11739"/>
    <s v="https://shop.officineitalianezard.it/en/products/"/>
    <m/>
    <s v="https://shop.officineitalianezard.it/en/bmw-zard-exaust/"/>
    <s v="R NINE-T &gt; M.Y. 2017"/>
    <s v="https://shop.officineitalianezard.it/en/bmw-r-nine-t-m-y-2017-exhaust/"/>
    <s v="LIMITED EDITION"/>
    <x v="287"/>
    <s v="HIGH SILENCER"/>
    <s v="ZBMW543SSR"/>
    <s v="BMW R NINE-T SCRAMBLER M.Y. 2017"/>
    <n v="649.17999999999995"/>
    <n v="721.31"/>
    <s v="&lt;p&gt;STEEL RACING SILENCER WITH REMOVABLE DB KILLERS&lt;/p&gt;_x000a_&lt;p&gt;ORIGINAL SILENCER WEIGHT: 4,8 KG&lt;/p&gt;_x000a_&lt;p&gt;ZARD SILENCER WEIGHT: 2,6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&lt;/strong&gt;:&amp;nbsp;&lt;span&gt;BMW R NINE-T SCRAMBLER&lt;/span&gt;&lt;/p&gt;"/>
    <m/>
    <s v="STEEL MESH FOR END-CAP"/>
    <n v="77.459999999999994"/>
  </r>
  <r>
    <s v="1586060065-11740"/>
    <s v="https://shop.officineitalianezard.it/en/products/"/>
    <m/>
    <s v="https://shop.officineitalianezard.it/en/bmw-zard-exaust/"/>
    <s v="R NINE-T &gt; M.Y. 2017"/>
    <s v="https://shop.officineitalianezard.it/en/bmw-r-nine-t-m-y-2017-exhaust/"/>
    <s v="LIMITED EDITION"/>
    <x v="287"/>
    <s v="HIGH SILENCER"/>
    <s v="ZBMW543SSR"/>
    <s v="BMW R NINE-T SCRAMBLER M.Y. 2017"/>
    <n v="649.17999999999995"/>
    <n v="721.31"/>
    <s v="&lt;p&gt;STEEL RACING SILENCER WITH REMOVABLE DB KILLERS&lt;/p&gt;_x000a_&lt;p&gt;ORIGINAL SILENCER WEIGHT: 4,8 KG&lt;/p&gt;_x000a_&lt;p&gt;ZARD SILENCER WEIGHT: 2,6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&lt;/strong&gt;:&amp;nbsp;&lt;span&gt;BMW R NINE-T SCRAMBLER&lt;/span&gt;&lt;/p&gt;"/>
    <m/>
    <s v="EURO 4 HOMOLOGATED"/>
    <n v="46.48"/>
  </r>
  <r>
    <s v="1586060068-11741"/>
    <s v="https://shop.officineitalianezard.it/en/products/"/>
    <m/>
    <s v="https://shop.officineitalianezard.it/en/bmw-zard-exaust/"/>
    <s v="R NINE-T &gt; M.Y. 2017"/>
    <s v="https://shop.officineitalianezard.it/en/bmw-r-nine-t-m-y-2017-exhaust/"/>
    <s v="THUNDERBOLT VERSION"/>
    <x v="288"/>
    <s v="N. 2 OVERLAPPED SILENCERS"/>
    <s v="ZBMW542SSR"/>
    <s v="BMW R NINE-T SCRAMBLER M.Y. 2017"/>
    <n v="837.3"/>
    <n v="930.33"/>
    <s v="&lt;p&gt;N. 2 OVERLAPPED SILENCERS WITH REMOVABLE DB KILLERS THUNDERBOLT VERSION&lt;/p&gt;_x000a_&lt;p&gt;ORIGINAL SILENCER WEIGHT: 4,8 KG&lt;/p&gt;_x000a_&lt;p&gt;ZARD SILENCER WEIGHT: 4,1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:&lt;/strong&gt; BMW R NINE-T SCRAMBLER&lt;/p&gt;"/>
    <s v="https://shop.officineitalianezard.it/contents/imgs/products/1_2212-scarico%20bmw%20nine%20t%20scrambler%20-%20zard%201.jpg"/>
    <m/>
    <m/>
  </r>
  <r>
    <s v="1586060068-11742"/>
    <s v="https://shop.officineitalianezard.it/en/products/"/>
    <m/>
    <s v="https://shop.officineitalianezard.it/en/bmw-zard-exaust/"/>
    <s v="R NINE-T &gt; M.Y. 2017"/>
    <s v="https://shop.officineitalianezard.it/en/bmw-r-nine-t-m-y-2017-exhaust/"/>
    <s v="THUNDERBOLT VERSION"/>
    <x v="288"/>
    <s v="N. 2 OVERLAPPED SILENCERS"/>
    <s v="ZBMW542SSR"/>
    <s v="BMW R NINE-T SCRAMBLER M.Y. 2017"/>
    <n v="837.3"/>
    <n v="930.33"/>
    <s v="&lt;p&gt;N. 2 OVERLAPPED SILENCERS WITH REMOVABLE DB KILLERS THUNDERBOLT VERSION&lt;/p&gt;_x000a_&lt;p&gt;ORIGINAL SILENCER WEIGHT: 4,8 KG&lt;/p&gt;_x000a_&lt;p&gt;ZARD SILENCER WEIGHT: 4,1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:&lt;/strong&gt; BMW R NINE-T SCRAMBLER&lt;/p&gt;"/>
    <s v="https://shop.officineitalianezard.it/contents/imgs/products/1_2211-scarico%20bmw%20nine%20t%20scrambler%20-%20zard%202.jpg"/>
    <m/>
    <m/>
  </r>
  <r>
    <s v="1586060068-11743"/>
    <s v="https://shop.officineitalianezard.it/en/products/"/>
    <m/>
    <s v="https://shop.officineitalianezard.it/en/bmw-zard-exaust/"/>
    <s v="R NINE-T &gt; M.Y. 2017"/>
    <s v="https://shop.officineitalianezard.it/en/bmw-r-nine-t-m-y-2017-exhaust/"/>
    <s v="THUNDERBOLT VERSION"/>
    <x v="288"/>
    <s v="N. 2 OVERLAPPED SILENCERS"/>
    <s v="ZBMW542SSR"/>
    <s v="BMW R NINE-T SCRAMBLER M.Y. 2017"/>
    <n v="837.3"/>
    <n v="930.33"/>
    <s v="&lt;p&gt;N. 2 OVERLAPPED SILENCERS WITH REMOVABLE DB KILLERS THUNDERBOLT VERSION&lt;/p&gt;_x000a_&lt;p&gt;ORIGINAL SILENCER WEIGHT: 4,8 KG&lt;/p&gt;_x000a_&lt;p&gt;ZARD SILENCER WEIGHT: 4,1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:&lt;/strong&gt; BMW R NINE-T SCRAMBLER&lt;/p&gt;"/>
    <s v="https://shop.officineitalianezard.it/contents/imgs/products/1_2213-scarico%20bmw%20nine%20t%20scrambler%20-%20zard%203.jpg"/>
    <m/>
    <m/>
  </r>
  <r>
    <s v="1586060068-11744"/>
    <s v="https://shop.officineitalianezard.it/en/products/"/>
    <m/>
    <s v="https://shop.officineitalianezard.it/en/bmw-zard-exaust/"/>
    <s v="R NINE-T &gt; M.Y. 2017"/>
    <s v="https://shop.officineitalianezard.it/en/bmw-r-nine-t-m-y-2017-exhaust/"/>
    <s v="THUNDERBOLT VERSION"/>
    <x v="288"/>
    <s v="N. 2 OVERLAPPED SILENCERS"/>
    <s v="ZBMW542SSR"/>
    <s v="BMW R NINE-T SCRAMBLER M.Y. 2017"/>
    <n v="837.3"/>
    <n v="930.33"/>
    <s v="&lt;p&gt;N. 2 OVERLAPPED SILENCERS WITH REMOVABLE DB KILLERS THUNDERBOLT VERSION&lt;/p&gt;_x000a_&lt;p&gt;ORIGINAL SILENCER WEIGHT: 4,8 KG&lt;/p&gt;_x000a_&lt;p&gt;ZARD SILENCER WEIGHT: 4,1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:&lt;/strong&gt; BMW R NINE-T SCRAMBLER&lt;/p&gt;"/>
    <m/>
    <s v="BLACK CERAMIC COATING"/>
    <n v="192.54"/>
  </r>
  <r>
    <s v="1586060068-11745"/>
    <s v="https://shop.officineitalianezard.it/en/products/"/>
    <m/>
    <s v="https://shop.officineitalianezard.it/en/bmw-zard-exaust/"/>
    <s v="R NINE-T &gt; M.Y. 2017"/>
    <s v="https://shop.officineitalianezard.it/en/bmw-r-nine-t-m-y-2017-exhaust/"/>
    <s v="THUNDERBOLT VERSION"/>
    <x v="288"/>
    <s v="N. 2 OVERLAPPED SILENCERS"/>
    <s v="ZBMW542SSR"/>
    <s v="BMW R NINE-T SCRAMBLER M.Y. 2017"/>
    <n v="837.3"/>
    <n v="930.33"/>
    <s v="&lt;p&gt;N. 2 OVERLAPPED SILENCERS WITH REMOVABLE DB KILLERS THUNDERBOLT VERSION&lt;/p&gt;_x000a_&lt;p&gt;ORIGINAL SILENCER WEIGHT: 4,8 KG&lt;/p&gt;_x000a_&lt;p&gt;ZARD SILENCER WEIGHT: 4,1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:&lt;/strong&gt; BMW R NINE-T SCRAMBLER&lt;/p&gt;"/>
    <m/>
    <s v="EURO 4 HOMOLOGATED"/>
    <n v="56.07"/>
  </r>
  <r>
    <s v="1586060070-11746"/>
    <s v="https://shop.officineitalianezard.it/en/products/"/>
    <m/>
    <s v="https://shop.officineitalianezard.it/en/bmw-zard-exaust/"/>
    <s v="R NINE-T &gt; M.Y. 2017"/>
    <s v="https://shop.officineitalianezard.it/en/bmw-r-nine-t-m-y-2017-exhaust/"/>
    <s v="GP VERSION"/>
    <x v="289"/>
    <s v="2&gt;1 FULL KIT"/>
    <s v="ZBMW536SKR"/>
    <s v="BMW R NINE-T RACER M.Y. 2017"/>
    <n v="1063.77"/>
    <n v="1181.97"/>
    <s v="&lt;p&gt;2&amp;gt;1&amp;nbsp;STEEL RACING&amp;nbsp;FULL KIT GP VERSION&lt;/p&gt;_x000a_&lt;p&gt;ORIGINAL EXHAUST WEIGHT: 8,9 KG&lt;/p&gt;_x000a_&lt;p&gt;ZARD FULL KIT WEIGHT:&amp;nbsp;4.6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&lt;/strong&gt;: BMW R NINE-T, BMW R NINE-T PURE, BMW R NINE-T RACER, BMW R NINE-T URBAN G/S&lt;/p&gt;"/>
    <s v="https://shop.officineitalianezard.it/contents/imgs/products/1_2407-1.jpg"/>
    <m/>
    <m/>
  </r>
  <r>
    <s v="1586060070-11747"/>
    <s v="https://shop.officineitalianezard.it/en/products/"/>
    <m/>
    <s v="https://shop.officineitalianezard.it/en/bmw-zard-exaust/"/>
    <s v="R NINE-T &gt; M.Y. 2017"/>
    <s v="https://shop.officineitalianezard.it/en/bmw-r-nine-t-m-y-2017-exhaust/"/>
    <s v="GP VERSION"/>
    <x v="289"/>
    <s v="2&gt;1 FULL KIT"/>
    <s v="ZBMW536SKR"/>
    <s v="BMW R NINE-T RACER M.Y. 2017"/>
    <n v="1063.77"/>
    <n v="1181.97"/>
    <s v="&lt;p&gt;2&amp;gt;1&amp;nbsp;STEEL RACING&amp;nbsp;FULL KIT GP VERSION&lt;/p&gt;_x000a_&lt;p&gt;ORIGINAL EXHAUST WEIGHT: 8,9 KG&lt;/p&gt;_x000a_&lt;p&gt;ZARD FULL KIT WEIGHT:&amp;nbsp;4.6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&lt;/strong&gt;: BMW R NINE-T, BMW R NINE-T PURE, BMW R NINE-T RACER, BMW R NINE-T URBAN G/S&lt;/p&gt;"/>
    <s v="https://shop.officineitalianezard.it/contents/imgs/products/1_2405-2.jpg"/>
    <m/>
    <m/>
  </r>
  <r>
    <s v="1586060070-11748"/>
    <s v="https://shop.officineitalianezard.it/en/products/"/>
    <m/>
    <s v="https://shop.officineitalianezard.it/en/bmw-zard-exaust/"/>
    <s v="R NINE-T &gt; M.Y. 2017"/>
    <s v="https://shop.officineitalianezard.it/en/bmw-r-nine-t-m-y-2017-exhaust/"/>
    <s v="GP VERSION"/>
    <x v="289"/>
    <s v="2&gt;1 FULL KIT"/>
    <s v="ZBMW536SKR"/>
    <s v="BMW R NINE-T RACER M.Y. 2017"/>
    <n v="1063.77"/>
    <n v="1181.97"/>
    <s v="&lt;p&gt;2&amp;gt;1&amp;nbsp;STEEL RACING&amp;nbsp;FULL KIT GP VERSION&lt;/p&gt;_x000a_&lt;p&gt;ORIGINAL EXHAUST WEIGHT: 8,9 KG&lt;/p&gt;_x000a_&lt;p&gt;ZARD FULL KIT WEIGHT:&amp;nbsp;4.6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&lt;/strong&gt;: BMW R NINE-T, BMW R NINE-T PURE, BMW R NINE-T RACER, BMW R NINE-T URBAN G/S&lt;/p&gt;"/>
    <s v="https://shop.officineitalianezard.it/contents/imgs/products/1_2406-3.jpg"/>
    <m/>
    <m/>
  </r>
  <r>
    <s v="1586060070-11749"/>
    <s v="https://shop.officineitalianezard.it/en/products/"/>
    <m/>
    <s v="https://shop.officineitalianezard.it/en/bmw-zard-exaust/"/>
    <s v="R NINE-T &gt; M.Y. 2017"/>
    <s v="https://shop.officineitalianezard.it/en/bmw-r-nine-t-m-y-2017-exhaust/"/>
    <s v="GP VERSION"/>
    <x v="289"/>
    <s v="2&gt;1 FULL KIT"/>
    <s v="ZBMW536SKR"/>
    <s v="BMW R NINE-T RACER M.Y. 2017"/>
    <n v="1063.77"/>
    <n v="1181.97"/>
    <s v="&lt;p&gt;2&amp;gt;1&amp;nbsp;STEEL RACING&amp;nbsp;FULL KIT GP VERSION&lt;/p&gt;_x000a_&lt;p&gt;ORIGINAL EXHAUST WEIGHT: 8,9 KG&lt;/p&gt;_x000a_&lt;p&gt;ZARD FULL KIT WEIGHT:&amp;nbsp;4.6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&lt;/strong&gt;: BMW R NINE-T, BMW R NINE-T PURE, BMW R NINE-T RACER, BMW R NINE-T URBAN G/S&lt;/p&gt;"/>
    <m/>
    <s v="BLACK CERAMIC COATING"/>
    <n v="244.18"/>
  </r>
  <r>
    <s v="1586060073-11750"/>
    <s v="https://shop.officineitalianezard.it/en/products/"/>
    <m/>
    <s v="https://shop.officineitalianezard.it/en/bmw-zard-exaust/"/>
    <s v="R NINE-T &gt; M.Y. 2017"/>
    <s v="https://shop.officineitalianezard.it/en/bmw-r-nine-t-m-y-2017-exhaust/"/>
    <s v="HIGH LIMITED"/>
    <x v="290"/>
    <s v="SILENCER"/>
    <s v="ZBMW544SSR"/>
    <s v="BMW R NINE-T M.Y. 2017"/>
    <n v="649.17999999999995"/>
    <n v="721.31"/>
    <s v="&lt;p&gt;STEEL&amp;nbsp;RACING SILENCER WITH REMOVABLE DB KILLERS&lt;/p&gt;_x000a_&lt;p&gt;&lt;strong&gt;NOTICE:&amp;nbsp;PHOTOS SHOWS A TITANIUM FULL KIT WITH ZARD HEADERS, SOLD SEPARATELY&lt;/strong&gt;&lt;/p&gt;_x000a_&lt;p&gt;ORIGINAL SILENCER WEIGHT: 4,5 KG&lt;/p&gt;_x000a_&lt;p&gt;ZARD SILENCER WEIGHT: 2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:&lt;/strong&gt;&amp;nbsp;BMW R NINE-T, BMW R NINE-T PURE, BMW R NINE-T URBAN G/S&lt;/p&gt;_x000a_&lt;p&gt;&lt;strong&gt;THE PRODUCT WAS PHOTOGRAPHED DURING PROTOTYPE PHASE.&lt;br&gt;ZARD COULD RESERVE THE RIGHT TO CHANGE AND/OR REPLACE SOME AESTHETIC DEATAILS.&lt;br&gt;IMAGES HAS TO BE CONSIDERED FOR INDICATIVE PURPOSE.&lt;/strong&gt;&lt;/p&gt;"/>
    <s v="https://shop.officineitalianezard.it/contents/imgs/products/1_2360-scarico%20bmw%20r%20nine%20t%20zard%201.jpg"/>
    <m/>
    <m/>
  </r>
  <r>
    <s v="1586060073-11751"/>
    <s v="https://shop.officineitalianezard.it/en/products/"/>
    <m/>
    <s v="https://shop.officineitalianezard.it/en/bmw-zard-exaust/"/>
    <s v="R NINE-T &gt; M.Y. 2017"/>
    <s v="https://shop.officineitalianezard.it/en/bmw-r-nine-t-m-y-2017-exhaust/"/>
    <s v="HIGH LIMITED"/>
    <x v="290"/>
    <s v="SILENCER"/>
    <s v="ZBMW544SSR"/>
    <s v="BMW R NINE-T M.Y. 2017"/>
    <n v="649.17999999999995"/>
    <n v="721.31"/>
    <s v="&lt;p&gt;STEEL&amp;nbsp;RACING SILENCER WITH REMOVABLE DB KILLERS&lt;/p&gt;_x000a_&lt;p&gt;&lt;strong&gt;NOTICE:&amp;nbsp;PHOTOS SHOWS A TITANIUM FULL KIT WITH ZARD HEADERS, SOLD SEPARATELY&lt;/strong&gt;&lt;/p&gt;_x000a_&lt;p&gt;ORIGINAL SILENCER WEIGHT: 4,5 KG&lt;/p&gt;_x000a_&lt;p&gt;ZARD SILENCER WEIGHT: 2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:&lt;/strong&gt;&amp;nbsp;BMW R NINE-T, BMW R NINE-T PURE, BMW R NINE-T URBAN G/S&lt;/p&gt;_x000a_&lt;p&gt;&lt;strong&gt;THE PRODUCT WAS PHOTOGRAPHED DURING PROTOTYPE PHASE.&lt;br&gt;ZARD COULD RESERVE THE RIGHT TO CHANGE AND/OR REPLACE SOME AESTHETIC DEATAILS.&lt;br&gt;IMAGES HAS TO BE CONSIDERED FOR INDICATIVE PURPOSE.&lt;/strong&gt;&lt;/p&gt;"/>
    <s v="https://shop.officineitalianezard.it/contents/imgs/products/1_2361-scarico%20bmw%20r%20nine%20t%20zard%202.jpg"/>
    <m/>
    <m/>
  </r>
  <r>
    <s v="1586060073-11752"/>
    <s v="https://shop.officineitalianezard.it/en/products/"/>
    <m/>
    <s v="https://shop.officineitalianezard.it/en/bmw-zard-exaust/"/>
    <s v="R NINE-T &gt; M.Y. 2017"/>
    <s v="https://shop.officineitalianezard.it/en/bmw-r-nine-t-m-y-2017-exhaust/"/>
    <s v="HIGH LIMITED"/>
    <x v="290"/>
    <s v="SILENCER"/>
    <s v="ZBMW544SSR"/>
    <s v="BMW R NINE-T M.Y. 2017"/>
    <n v="649.17999999999995"/>
    <n v="721.31"/>
    <s v="&lt;p&gt;STEEL&amp;nbsp;RACING SILENCER WITH REMOVABLE DB KILLERS&lt;/p&gt;_x000a_&lt;p&gt;&lt;strong&gt;NOTICE:&amp;nbsp;PHOTOS SHOWS A TITANIUM FULL KIT WITH ZARD HEADERS, SOLD SEPARATELY&lt;/strong&gt;&lt;/p&gt;_x000a_&lt;p&gt;ORIGINAL SILENCER WEIGHT: 4,5 KG&lt;/p&gt;_x000a_&lt;p&gt;ZARD SILENCER WEIGHT: 2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:&lt;/strong&gt;&amp;nbsp;BMW R NINE-T, BMW R NINE-T PURE, BMW R NINE-T URBAN G/S&lt;/p&gt;_x000a_&lt;p&gt;&lt;strong&gt;THE PRODUCT WAS PHOTOGRAPHED DURING PROTOTYPE PHASE.&lt;br&gt;ZARD COULD RESERVE THE RIGHT TO CHANGE AND/OR REPLACE SOME AESTHETIC DEATAILS.&lt;br&gt;IMAGES HAS TO BE CONSIDERED FOR INDICATIVE PURPOSE.&lt;/strong&gt;&lt;/p&gt;"/>
    <s v="https://shop.officineitalianezard.it/contents/imgs/products/1_2362-scarico%20bmw%20r%20nine%20t%20zard%203.jpg"/>
    <m/>
    <m/>
  </r>
  <r>
    <s v="1586060073-11753"/>
    <s v="https://shop.officineitalianezard.it/en/products/"/>
    <m/>
    <s v="https://shop.officineitalianezard.it/en/bmw-zard-exaust/"/>
    <s v="R NINE-T &gt; M.Y. 2017"/>
    <s v="https://shop.officineitalianezard.it/en/bmw-r-nine-t-m-y-2017-exhaust/"/>
    <s v="HIGH LIMITED"/>
    <x v="290"/>
    <s v="SILENCER"/>
    <s v="ZBMW544SSR"/>
    <s v="BMW R NINE-T M.Y. 2017"/>
    <n v="649.17999999999995"/>
    <n v="721.31"/>
    <s v="&lt;p&gt;STEEL&amp;nbsp;RACING SILENCER WITH REMOVABLE DB KILLERS&lt;/p&gt;_x000a_&lt;p&gt;&lt;strong&gt;NOTICE:&amp;nbsp;PHOTOS SHOWS A TITANIUM FULL KIT WITH ZARD HEADERS, SOLD SEPARATELY&lt;/strong&gt;&lt;/p&gt;_x000a_&lt;p&gt;ORIGINAL SILENCER WEIGHT: 4,5 KG&lt;/p&gt;_x000a_&lt;p&gt;ZARD SILENCER WEIGHT: 2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:&lt;/strong&gt;&amp;nbsp;BMW R NINE-T, BMW R NINE-T PURE, BMW R NINE-T URBAN G/S&lt;/p&gt;_x000a_&lt;p&gt;&lt;strong&gt;THE PRODUCT WAS PHOTOGRAPHED DURING PROTOTYPE PHASE.&lt;br&gt;ZARD COULD RESERVE THE RIGHT TO CHANGE AND/OR REPLACE SOME AESTHETIC DEATAILS.&lt;br&gt;IMAGES HAS TO BE CONSIDERED FOR INDICATIVE PURPOSE.&lt;/strong&gt;&lt;/p&gt;"/>
    <s v="https://shop.officineitalianezard.it/contents/imgs/products/1_2386-scarico%20bmw%20r%20nine%20t%20zard%204.jpg"/>
    <m/>
    <m/>
  </r>
  <r>
    <s v="1586060073-11754"/>
    <s v="https://shop.officineitalianezard.it/en/products/"/>
    <m/>
    <s v="https://shop.officineitalianezard.it/en/bmw-zard-exaust/"/>
    <s v="R NINE-T &gt; M.Y. 2017"/>
    <s v="https://shop.officineitalianezard.it/en/bmw-r-nine-t-m-y-2017-exhaust/"/>
    <s v="HIGH LIMITED"/>
    <x v="290"/>
    <s v="SILENCER"/>
    <s v="ZBMW544SSR"/>
    <s v="BMW R NINE-T M.Y. 2017"/>
    <n v="649.17999999999995"/>
    <n v="721.31"/>
    <s v="&lt;p&gt;STEEL&amp;nbsp;RACING SILENCER WITH REMOVABLE DB KILLERS&lt;/p&gt;_x000a_&lt;p&gt;&lt;strong&gt;NOTICE:&amp;nbsp;PHOTOS SHOWS A TITANIUM FULL KIT WITH ZARD HEADERS, SOLD SEPARATELY&lt;/strong&gt;&lt;/p&gt;_x000a_&lt;p&gt;ORIGINAL SILENCER WEIGHT: 4,5 KG&lt;/p&gt;_x000a_&lt;p&gt;ZARD SILENCER WEIGHT: 2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:&lt;/strong&gt;&amp;nbsp;BMW R NINE-T, BMW R NINE-T PURE, BMW R NINE-T URBAN G/S&lt;/p&gt;_x000a_&lt;p&gt;&lt;strong&gt;THE PRODUCT WAS PHOTOGRAPHED DURING PROTOTYPE PHASE.&lt;br&gt;ZARD COULD RESERVE THE RIGHT TO CHANGE AND/OR REPLACE SOME AESTHETIC DEATAILS.&lt;br&gt;IMAGES HAS TO BE CONSIDERED FOR INDICATIVE PURPOSE.&lt;/strong&gt;&lt;/p&gt;"/>
    <m/>
    <s v="BLACK CERAMIC COATING"/>
    <n v="132.05000000000001"/>
  </r>
  <r>
    <s v="1586060073-11755"/>
    <s v="https://shop.officineitalianezard.it/en/products/"/>
    <m/>
    <s v="https://shop.officineitalianezard.it/en/bmw-zard-exaust/"/>
    <s v="R NINE-T &gt; M.Y. 2017"/>
    <s v="https://shop.officineitalianezard.it/en/bmw-r-nine-t-m-y-2017-exhaust/"/>
    <s v="HIGH LIMITED"/>
    <x v="290"/>
    <s v="SILENCER"/>
    <s v="ZBMW544SSR"/>
    <s v="BMW R NINE-T M.Y. 2017"/>
    <n v="649.17999999999995"/>
    <n v="721.31"/>
    <s v="&lt;p&gt;STEEL&amp;nbsp;RACING SILENCER WITH REMOVABLE DB KILLERS&lt;/p&gt;_x000a_&lt;p&gt;&lt;strong&gt;NOTICE:&amp;nbsp;PHOTOS SHOWS A TITANIUM FULL KIT WITH ZARD HEADERS, SOLD SEPARATELY&lt;/strong&gt;&lt;/p&gt;_x000a_&lt;p&gt;ORIGINAL SILENCER WEIGHT: 4,5 KG&lt;/p&gt;_x000a_&lt;p&gt;ZARD SILENCER WEIGHT: 2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:&lt;/strong&gt;&amp;nbsp;BMW R NINE-T, BMW R NINE-T PURE, BMW R NINE-T URBAN G/S&lt;/p&gt;_x000a_&lt;p&gt;&lt;strong&gt;THE PRODUCT WAS PHOTOGRAPHED DURING PROTOTYPE PHASE.&lt;br&gt;ZARD COULD RESERVE THE RIGHT TO CHANGE AND/OR REPLACE SOME AESTHETIC DEATAILS.&lt;br&gt;IMAGES HAS TO BE CONSIDERED FOR INDICATIVE PURPOSE.&lt;/strong&gt;&lt;/p&gt;"/>
    <m/>
    <s v="STEEL MESH FOR END-CAP"/>
    <n v="77.459999999999994"/>
  </r>
  <r>
    <s v="1586060073-11756"/>
    <s v="https://shop.officineitalianezard.it/en/products/"/>
    <m/>
    <s v="https://shop.officineitalianezard.it/en/bmw-zard-exaust/"/>
    <s v="R NINE-T &gt; M.Y. 2017"/>
    <s v="https://shop.officineitalianezard.it/en/bmw-r-nine-t-m-y-2017-exhaust/"/>
    <s v="HIGH LIMITED"/>
    <x v="290"/>
    <s v="SILENCER"/>
    <s v="ZBMW544SSR"/>
    <s v="BMW R NINE-T M.Y. 2017"/>
    <n v="649.17999999999995"/>
    <n v="721.31"/>
    <s v="&lt;p&gt;STEEL&amp;nbsp;RACING SILENCER WITH REMOVABLE DB KILLERS&lt;/p&gt;_x000a_&lt;p&gt;&lt;strong&gt;NOTICE:&amp;nbsp;PHOTOS SHOWS A TITANIUM FULL KIT WITH ZARD HEADERS, SOLD SEPARATELY&lt;/strong&gt;&lt;/p&gt;_x000a_&lt;p&gt;ORIGINAL SILENCER WEIGHT: 4,5 KG&lt;/p&gt;_x000a_&lt;p&gt;ZARD SILENCER WEIGHT: 2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:&lt;/strong&gt;&amp;nbsp;BMW R NINE-T, BMW R NINE-T PURE, BMW R NINE-T URBAN G/S&lt;/p&gt;_x000a_&lt;p&gt;&lt;strong&gt;THE PRODUCT WAS PHOTOGRAPHED DURING PROTOTYPE PHASE.&lt;br&gt;ZARD COULD RESERVE THE RIGHT TO CHANGE AND/OR REPLACE SOME AESTHETIC DEATAILS.&lt;br&gt;IMAGES HAS TO BE CONSIDERED FOR INDICATIVE PURPOSE.&lt;/strong&gt;&lt;/p&gt;"/>
    <m/>
    <s v="EURO 4 HOMOLOGATED"/>
    <n v="47.21"/>
  </r>
  <r>
    <s v="1586060075-11757"/>
    <s v="https://shop.officineitalianezard.it/en/products/"/>
    <m/>
    <s v="https://shop.officineitalianezard.it/en/bmw-zard-exaust/"/>
    <s v="R NINE-T &gt; M.Y. 2017"/>
    <s v="https://shop.officineitalianezard.it/en/bmw-r-nine-t-m-y-2017-exhaust/"/>
    <s v="HIGH LIMITED VERSION"/>
    <x v="291"/>
    <s v="SILENCER"/>
    <s v="ZBMW538SSR"/>
    <s v="BMW R NINE-T URBAN G/S M.Y. 2017"/>
    <n v="649.17999999999995"/>
    <n v="721.31"/>
    <s v="&lt;p&gt;STEEL SILENCER RACING WITH REMOVABLE DB KILLERS&lt;/p&gt;_x000a_&lt;p&gt;ORIGINAL SILENCER WEIGHT: 4,4 KG&lt;/p&gt;_x000a_&lt;p&gt;ZARD SILENCER WEIGHT: 2,6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pan&gt;&lt;strong&gt;COMPATIBILITY MODELS&lt;/strong&gt;: BMW R NINE-T, BMW R NINE-T PURE, BMW R NINE-T URBAN G/S&lt;/span&gt;&lt;/p&gt;_x000a_&lt;p&gt;&lt;strong&gt;THE PRODUCT WAS PHOTOGRAPHED DURING PROTOTYPE PHASE.&lt;br&gt;ZARD COULD RESERVE THE RIGHT TO CHANGE AND/OR REPLACE SOME AESTHETIC DEATAILS.&lt;br&gt;IMAGES HAS TO BE CONSIDERED FOR INDICATIVE PURPOSE.&lt;/strong&gt;&lt;/p&gt;"/>
    <s v="https://shop.officineitalianezard.it/contents/imgs/products/1_2194-scarico%20bmw%20r%20nine%20t%20urban%20gs%20zard%20-%201.jpg"/>
    <m/>
    <m/>
  </r>
  <r>
    <s v="1586060075-11758"/>
    <s v="https://shop.officineitalianezard.it/en/products/"/>
    <m/>
    <s v="https://shop.officineitalianezard.it/en/bmw-zard-exaust/"/>
    <s v="R NINE-T &gt; M.Y. 2017"/>
    <s v="https://shop.officineitalianezard.it/en/bmw-r-nine-t-m-y-2017-exhaust/"/>
    <s v="HIGH LIMITED VERSION"/>
    <x v="291"/>
    <s v="SILENCER"/>
    <s v="ZBMW538SSR"/>
    <s v="BMW R NINE-T URBAN G/S M.Y. 2017"/>
    <n v="649.17999999999995"/>
    <n v="721.31"/>
    <s v="&lt;p&gt;STEEL SILENCER RACING WITH REMOVABLE DB KILLERS&lt;/p&gt;_x000a_&lt;p&gt;ORIGINAL SILENCER WEIGHT: 4,4 KG&lt;/p&gt;_x000a_&lt;p&gt;ZARD SILENCER WEIGHT: 2,6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pan&gt;&lt;strong&gt;COMPATIBILITY MODELS&lt;/strong&gt;: BMW R NINE-T, BMW R NINE-T PURE, BMW R NINE-T URBAN G/S&lt;/span&gt;&lt;/p&gt;_x000a_&lt;p&gt;&lt;strong&gt;THE PRODUCT WAS PHOTOGRAPHED DURING PROTOTYPE PHASE.&lt;br&gt;ZARD COULD RESERVE THE RIGHT TO CHANGE AND/OR REPLACE SOME AESTHETIC DEATAILS.&lt;br&gt;IMAGES HAS TO BE CONSIDERED FOR INDICATIVE PURPOSE.&lt;/strong&gt;&lt;/p&gt;"/>
    <s v="https://shop.officineitalianezard.it/contents/imgs/products/1_2195-scarico%20bmw%20r%20nine%20t%20urban%20gs%20zard%20-%204.jpg"/>
    <m/>
    <m/>
  </r>
  <r>
    <s v="1586060075-11759"/>
    <s v="https://shop.officineitalianezard.it/en/products/"/>
    <m/>
    <s v="https://shop.officineitalianezard.it/en/bmw-zard-exaust/"/>
    <s v="R NINE-T &gt; M.Y. 2017"/>
    <s v="https://shop.officineitalianezard.it/en/bmw-r-nine-t-m-y-2017-exhaust/"/>
    <s v="HIGH LIMITED VERSION"/>
    <x v="291"/>
    <s v="SILENCER"/>
    <s v="ZBMW538SSR"/>
    <s v="BMW R NINE-T URBAN G/S M.Y. 2017"/>
    <n v="649.17999999999995"/>
    <n v="721.31"/>
    <s v="&lt;p&gt;STEEL SILENCER RACING WITH REMOVABLE DB KILLERS&lt;/p&gt;_x000a_&lt;p&gt;ORIGINAL SILENCER WEIGHT: 4,4 KG&lt;/p&gt;_x000a_&lt;p&gt;ZARD SILENCER WEIGHT: 2,6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pan&gt;&lt;strong&gt;COMPATIBILITY MODELS&lt;/strong&gt;: BMW R NINE-T, BMW R NINE-T PURE, BMW R NINE-T URBAN G/S&lt;/span&gt;&lt;/p&gt;_x000a_&lt;p&gt;&lt;strong&gt;THE PRODUCT WAS PHOTOGRAPHED DURING PROTOTYPE PHASE.&lt;br&gt;ZARD COULD RESERVE THE RIGHT TO CHANGE AND/OR REPLACE SOME AESTHETIC DEATAILS.&lt;br&gt;IMAGES HAS TO BE CONSIDERED FOR INDICATIVE PURPOSE.&lt;/strong&gt;&lt;/p&gt;"/>
    <s v="https://shop.officineitalianezard.it/contents/imgs/products/1_2197-scarico%20bmw%20r%20nine%20t%20urban%20gs%20zard%20-%203.jpg"/>
    <m/>
    <m/>
  </r>
  <r>
    <s v="1586060075-11760"/>
    <s v="https://shop.officineitalianezard.it/en/products/"/>
    <m/>
    <s v="https://shop.officineitalianezard.it/en/bmw-zard-exaust/"/>
    <s v="R NINE-T &gt; M.Y. 2017"/>
    <s v="https://shop.officineitalianezard.it/en/bmw-r-nine-t-m-y-2017-exhaust/"/>
    <s v="HIGH LIMITED VERSION"/>
    <x v="291"/>
    <s v="SILENCER"/>
    <s v="ZBMW538SSR"/>
    <s v="BMW R NINE-T URBAN G/S M.Y. 2017"/>
    <n v="649.17999999999995"/>
    <n v="721.31"/>
    <s v="&lt;p&gt;STEEL SILENCER RACING WITH REMOVABLE DB KILLERS&lt;/p&gt;_x000a_&lt;p&gt;ORIGINAL SILENCER WEIGHT: 4,4 KG&lt;/p&gt;_x000a_&lt;p&gt;ZARD SILENCER WEIGHT: 2,6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pan&gt;&lt;strong&gt;COMPATIBILITY MODELS&lt;/strong&gt;: BMW R NINE-T, BMW R NINE-T PURE, BMW R NINE-T URBAN G/S&lt;/span&gt;&lt;/p&gt;_x000a_&lt;p&gt;&lt;strong&gt;THE PRODUCT WAS PHOTOGRAPHED DURING PROTOTYPE PHASE.&lt;br&gt;ZARD COULD RESERVE THE RIGHT TO CHANGE AND/OR REPLACE SOME AESTHETIC DEATAILS.&lt;br&gt;IMAGES HAS TO BE CONSIDERED FOR INDICATIVE PURPOSE.&lt;/strong&gt;&lt;/p&gt;"/>
    <s v="https://shop.officineitalianezard.it/contents/imgs/products/1_2198-scarico%20bmw%20r%20nine%20t%20urban%20gs%20zard%20-%202.jpg"/>
    <m/>
    <m/>
  </r>
  <r>
    <s v="1586060075-11761"/>
    <s v="https://shop.officineitalianezard.it/en/products/"/>
    <m/>
    <s v="https://shop.officineitalianezard.it/en/bmw-zard-exaust/"/>
    <s v="R NINE-T &gt; M.Y. 2017"/>
    <s v="https://shop.officineitalianezard.it/en/bmw-r-nine-t-m-y-2017-exhaust/"/>
    <s v="HIGH LIMITED VERSION"/>
    <x v="291"/>
    <s v="SILENCER"/>
    <s v="ZBMW538SSR"/>
    <s v="BMW R NINE-T URBAN G/S M.Y. 2017"/>
    <n v="649.17999999999995"/>
    <n v="721.31"/>
    <s v="&lt;p&gt;STEEL SILENCER RACING WITH REMOVABLE DB KILLERS&lt;/p&gt;_x000a_&lt;p&gt;ORIGINAL SILENCER WEIGHT: 4,4 KG&lt;/p&gt;_x000a_&lt;p&gt;ZARD SILENCER WEIGHT: 2,6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pan&gt;&lt;strong&gt;COMPATIBILITY MODELS&lt;/strong&gt;: BMW R NINE-T, BMW R NINE-T PURE, BMW R NINE-T URBAN G/S&lt;/span&gt;&lt;/p&gt;_x000a_&lt;p&gt;&lt;strong&gt;THE PRODUCT WAS PHOTOGRAPHED DURING PROTOTYPE PHASE.&lt;br&gt;ZARD COULD RESERVE THE RIGHT TO CHANGE AND/OR REPLACE SOME AESTHETIC DEATAILS.&lt;br&gt;IMAGES HAS TO BE CONSIDERED FOR INDICATIVE PURPOSE.&lt;/strong&gt;&lt;/p&gt;"/>
    <s v="https://shop.officineitalianezard.it/contents/imgs/products/1_2196-scarico%20bmw%20r%20nine%20t%20urban%20gs%20zard%20-%205.jpg"/>
    <m/>
    <m/>
  </r>
  <r>
    <s v="1586060075-11762"/>
    <s v="https://shop.officineitalianezard.it/en/products/"/>
    <m/>
    <s v="https://shop.officineitalianezard.it/en/bmw-zard-exaust/"/>
    <s v="R NINE-T &gt; M.Y. 2017"/>
    <s v="https://shop.officineitalianezard.it/en/bmw-r-nine-t-m-y-2017-exhaust/"/>
    <s v="HIGH LIMITED VERSION"/>
    <x v="291"/>
    <s v="SILENCER"/>
    <s v="ZBMW538SSR"/>
    <s v="BMW R NINE-T URBAN G/S M.Y. 2017"/>
    <n v="649.17999999999995"/>
    <n v="721.31"/>
    <s v="&lt;p&gt;STEEL SILENCER RACING WITH REMOVABLE DB KILLERS&lt;/p&gt;_x000a_&lt;p&gt;ORIGINAL SILENCER WEIGHT: 4,4 KG&lt;/p&gt;_x000a_&lt;p&gt;ZARD SILENCER WEIGHT: 2,6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pan&gt;&lt;strong&gt;COMPATIBILITY MODELS&lt;/strong&gt;: BMW R NINE-T, BMW R NINE-T PURE, BMW R NINE-T URBAN G/S&lt;/span&gt;&lt;/p&gt;_x000a_&lt;p&gt;&lt;strong&gt;THE PRODUCT WAS PHOTOGRAPHED DURING PROTOTYPE PHASE.&lt;br&gt;ZARD COULD RESERVE THE RIGHT TO CHANGE AND/OR REPLACE SOME AESTHETIC DEATAILS.&lt;br&gt;IMAGES HAS TO BE CONSIDERED FOR INDICATIVE PURPOSE.&lt;/strong&gt;&lt;/p&gt;"/>
    <m/>
    <s v="BLACK CERAMIC COATING"/>
    <n v="132.05000000000001"/>
  </r>
  <r>
    <s v="1586060075-11763"/>
    <s v="https://shop.officineitalianezard.it/en/products/"/>
    <m/>
    <s v="https://shop.officineitalianezard.it/en/bmw-zard-exaust/"/>
    <s v="R NINE-T &gt; M.Y. 2017"/>
    <s v="https://shop.officineitalianezard.it/en/bmw-r-nine-t-m-y-2017-exhaust/"/>
    <s v="HIGH LIMITED VERSION"/>
    <x v="291"/>
    <s v="SILENCER"/>
    <s v="ZBMW538SSR"/>
    <s v="BMW R NINE-T URBAN G/S M.Y. 2017"/>
    <n v="649.17999999999995"/>
    <n v="721.31"/>
    <s v="&lt;p&gt;STEEL SILENCER RACING WITH REMOVABLE DB KILLERS&lt;/p&gt;_x000a_&lt;p&gt;ORIGINAL SILENCER WEIGHT: 4,4 KG&lt;/p&gt;_x000a_&lt;p&gt;ZARD SILENCER WEIGHT: 2,6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pan&gt;&lt;strong&gt;COMPATIBILITY MODELS&lt;/strong&gt;: BMW R NINE-T, BMW R NINE-T PURE, BMW R NINE-T URBAN G/S&lt;/span&gt;&lt;/p&gt;_x000a_&lt;p&gt;&lt;strong&gt;THE PRODUCT WAS PHOTOGRAPHED DURING PROTOTYPE PHASE.&lt;br&gt;ZARD COULD RESERVE THE RIGHT TO CHANGE AND/OR REPLACE SOME AESTHETIC DEATAILS.&lt;br&gt;IMAGES HAS TO BE CONSIDERED FOR INDICATIVE PURPOSE.&lt;/strong&gt;&lt;/p&gt;"/>
    <m/>
    <s v="STEEL MESH FOR END-CAP"/>
    <n v="77.459999999999994"/>
  </r>
  <r>
    <s v="1586060075-11764"/>
    <s v="https://shop.officineitalianezard.it/en/products/"/>
    <m/>
    <s v="https://shop.officineitalianezard.it/en/bmw-zard-exaust/"/>
    <s v="R NINE-T &gt; M.Y. 2017"/>
    <s v="https://shop.officineitalianezard.it/en/bmw-r-nine-t-m-y-2017-exhaust/"/>
    <s v="HIGH LIMITED VERSION"/>
    <x v="291"/>
    <s v="SILENCER"/>
    <s v="ZBMW538SSR"/>
    <s v="BMW R NINE-T URBAN G/S M.Y. 2017"/>
    <n v="649.17999999999995"/>
    <n v="721.31"/>
    <s v="&lt;p&gt;STEEL SILENCER RACING WITH REMOVABLE DB KILLERS&lt;/p&gt;_x000a_&lt;p&gt;ORIGINAL SILENCER WEIGHT: 4,4 KG&lt;/p&gt;_x000a_&lt;p&gt;ZARD SILENCER WEIGHT: 2,6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pan&gt;&lt;strong&gt;COMPATIBILITY MODELS&lt;/strong&gt;: BMW R NINE-T, BMW R NINE-T PURE, BMW R NINE-T URBAN G/S&lt;/span&gt;&lt;/p&gt;_x000a_&lt;p&gt;&lt;strong&gt;THE PRODUCT WAS PHOTOGRAPHED DURING PROTOTYPE PHASE.&lt;br&gt;ZARD COULD RESERVE THE RIGHT TO CHANGE AND/OR REPLACE SOME AESTHETIC DEATAILS.&lt;br&gt;IMAGES HAS TO BE CONSIDERED FOR INDICATIVE PURPOSE.&lt;/strong&gt;&lt;/p&gt;"/>
    <m/>
    <s v="EURO 4 HOMOLOGATED"/>
    <n v="46.48"/>
  </r>
  <r>
    <s v="1586060078-11765"/>
    <s v="https://shop.officineitalianezard.it/en/products/"/>
    <m/>
    <s v="https://shop.officineitalianezard.it/en/bmw-zard-exaust/"/>
    <s v="R NINE-T &gt; M.Y. 2017"/>
    <s v="https://shop.officineitalianezard.it/en/bmw-r-nine-t-m-y-2017-exhaust/"/>
    <s v="R80 VERSION"/>
    <x v="292"/>
    <s v="SILENCER"/>
    <s v="ZBMW545SSR"/>
    <s v="BMW R NINE-T URBAN G/S M.Y. 2017"/>
    <n v="649.17999999999995"/>
    <n v="721.31"/>
    <s v="&lt;p&gt;&lt;strong&gt;&lt;/strong&gt;STEEL SILENCER RACING WITH REMOVABLE DB KILLER R80 VERSION&lt;/p&gt;_x000a_&lt;p&gt;ORIGINAL SILENCER WEIGHT: 4,4 KG&lt;/p&gt;_x000a_&lt;p&gt;ZARD SILENCER WEIGHT: 2,5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:&lt;/strong&gt;&lt;span&gt;&amp;nbsp;&lt;/span&gt;&lt;span&gt;BMW R NINE-T, BMW R NINE-T PURE, BMW R NINE-T URBAN G/S&lt;/span&gt;&lt;/p&gt;_x000a_&lt;p&gt;&lt;span&gt;&lt;strong&gt;NOTICE:&amp;nbsp; ZARD COULD RESERVE THE RIGHT TO CHANGE AND/OR REPLACE&lt;br&gt;SOME AESTHETIC DEATAILS. IMAGES HAS TO BE CONSIDERED&lt;br&gt;FOR INDICATIVE PURPOSE.&lt;/strong&gt;&lt;/span&gt;&lt;/p&gt;"/>
    <s v="https://shop.officineitalianezard.it/contents/imgs/products/1_2474-scarico%20bmw%20nine%20r80%20zard%20exhaust.jpg"/>
    <m/>
    <m/>
  </r>
  <r>
    <s v="1586060078-11766"/>
    <s v="https://shop.officineitalianezard.it/en/products/"/>
    <m/>
    <s v="https://shop.officineitalianezard.it/en/bmw-zard-exaust/"/>
    <s v="R NINE-T &gt; M.Y. 2017"/>
    <s v="https://shop.officineitalianezard.it/en/bmw-r-nine-t-m-y-2017-exhaust/"/>
    <s v="R80 VERSION"/>
    <x v="292"/>
    <s v="SILENCER"/>
    <s v="ZBMW545SSR"/>
    <s v="BMW R NINE-T URBAN G/S M.Y. 2017"/>
    <n v="649.17999999999995"/>
    <n v="721.31"/>
    <s v="&lt;p&gt;&lt;strong&gt;&lt;/strong&gt;STEEL SILENCER RACING WITH REMOVABLE DB KILLER R80 VERSION&lt;/p&gt;_x000a_&lt;p&gt;ORIGINAL SILENCER WEIGHT: 4,4 KG&lt;/p&gt;_x000a_&lt;p&gt;ZARD SILENCER WEIGHT: 2,5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:&lt;/strong&gt;&lt;span&gt;&amp;nbsp;&lt;/span&gt;&lt;span&gt;BMW R NINE-T, BMW R NINE-T PURE, BMW R NINE-T URBAN G/S&lt;/span&gt;&lt;/p&gt;_x000a_&lt;p&gt;&lt;span&gt;&lt;strong&gt;NOTICE:&amp;nbsp; ZARD COULD RESERVE THE RIGHT TO CHANGE AND/OR REPLACE&lt;br&gt;SOME AESTHETIC DEATAILS. IMAGES HAS TO BE CONSIDERED&lt;br&gt;FOR INDICATIVE PURPOSE.&lt;/strong&gt;&lt;/span&gt;&lt;/p&gt;"/>
    <s v="https://shop.officineitalianezard.it/contents/imgs/products/1_2206-scarico%20bmw%20urban%20gs%201.jpg"/>
    <m/>
    <m/>
  </r>
  <r>
    <s v="1586060078-11767"/>
    <s v="https://shop.officineitalianezard.it/en/products/"/>
    <m/>
    <s v="https://shop.officineitalianezard.it/en/bmw-zard-exaust/"/>
    <s v="R NINE-T &gt; M.Y. 2017"/>
    <s v="https://shop.officineitalianezard.it/en/bmw-r-nine-t-m-y-2017-exhaust/"/>
    <s v="R80 VERSION"/>
    <x v="292"/>
    <s v="SILENCER"/>
    <s v="ZBMW545SSR"/>
    <s v="BMW R NINE-T URBAN G/S M.Y. 2017"/>
    <n v="649.17999999999995"/>
    <n v="721.31"/>
    <s v="&lt;p&gt;&lt;strong&gt;&lt;/strong&gt;STEEL SILENCER RACING WITH REMOVABLE DB KILLER R80 VERSION&lt;/p&gt;_x000a_&lt;p&gt;ORIGINAL SILENCER WEIGHT: 4,4 KG&lt;/p&gt;_x000a_&lt;p&gt;ZARD SILENCER WEIGHT: 2,5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:&lt;/strong&gt;&lt;span&gt;&amp;nbsp;&lt;/span&gt;&lt;span&gt;BMW R NINE-T, BMW R NINE-T PURE, BMW R NINE-T URBAN G/S&lt;/span&gt;&lt;/p&gt;_x000a_&lt;p&gt;&lt;span&gt;&lt;strong&gt;NOTICE:&amp;nbsp; ZARD COULD RESERVE THE RIGHT TO CHANGE AND/OR REPLACE&lt;br&gt;SOME AESTHETIC DEATAILS. IMAGES HAS TO BE CONSIDERED&lt;br&gt;FOR INDICATIVE PURPOSE.&lt;/strong&gt;&lt;/span&gt;&lt;/p&gt;"/>
    <s v="https://shop.officineitalianezard.it/contents/imgs/products/1_2205-scarico%20bmw%20urban%20gs%202.jpg"/>
    <m/>
    <m/>
  </r>
  <r>
    <s v="1586060078-11768"/>
    <s v="https://shop.officineitalianezard.it/en/products/"/>
    <m/>
    <s v="https://shop.officineitalianezard.it/en/bmw-zard-exaust/"/>
    <s v="R NINE-T &gt; M.Y. 2017"/>
    <s v="https://shop.officineitalianezard.it/en/bmw-r-nine-t-m-y-2017-exhaust/"/>
    <s v="R80 VERSION"/>
    <x v="292"/>
    <s v="SILENCER"/>
    <s v="ZBMW545SSR"/>
    <s v="BMW R NINE-T URBAN G/S M.Y. 2017"/>
    <n v="649.17999999999995"/>
    <n v="721.31"/>
    <s v="&lt;p&gt;&lt;strong&gt;&lt;/strong&gt;STEEL SILENCER RACING WITH REMOVABLE DB KILLER R80 VERSION&lt;/p&gt;_x000a_&lt;p&gt;ORIGINAL SILENCER WEIGHT: 4,4 KG&lt;/p&gt;_x000a_&lt;p&gt;ZARD SILENCER WEIGHT: 2,5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:&lt;/strong&gt;&lt;span&gt;&amp;nbsp;&lt;/span&gt;&lt;span&gt;BMW R NINE-T, BMW R NINE-T PURE, BMW R NINE-T URBAN G/S&lt;/span&gt;&lt;/p&gt;_x000a_&lt;p&gt;&lt;span&gt;&lt;strong&gt;NOTICE:&amp;nbsp; ZARD COULD RESERVE THE RIGHT TO CHANGE AND/OR REPLACE&lt;br&gt;SOME AESTHETIC DEATAILS. IMAGES HAS TO BE CONSIDERED&lt;br&gt;FOR INDICATIVE PURPOSE.&lt;/strong&gt;&lt;/span&gt;&lt;/p&gt;"/>
    <s v="https://shop.officineitalianezard.it/contents/imgs/products/1_2207-scarico%20bmw%20urban%20gs%203.jpg"/>
    <m/>
    <m/>
  </r>
  <r>
    <s v="1586060078-11769"/>
    <s v="https://shop.officineitalianezard.it/en/products/"/>
    <m/>
    <s v="https://shop.officineitalianezard.it/en/bmw-zard-exaust/"/>
    <s v="R NINE-T &gt; M.Y. 2017"/>
    <s v="https://shop.officineitalianezard.it/en/bmw-r-nine-t-m-y-2017-exhaust/"/>
    <s v="R80 VERSION"/>
    <x v="292"/>
    <s v="SILENCER"/>
    <s v="ZBMW545SSR"/>
    <s v="BMW R NINE-T URBAN G/S M.Y. 2017"/>
    <n v="649.17999999999995"/>
    <n v="721.31"/>
    <s v="&lt;p&gt;&lt;strong&gt;&lt;/strong&gt;STEEL SILENCER RACING WITH REMOVABLE DB KILLER R80 VERSION&lt;/p&gt;_x000a_&lt;p&gt;ORIGINAL SILENCER WEIGHT: 4,4 KG&lt;/p&gt;_x000a_&lt;p&gt;ZARD SILENCER WEIGHT: 2,5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:&lt;/strong&gt;&lt;span&gt;&amp;nbsp;&lt;/span&gt;&lt;span&gt;BMW R NINE-T, BMW R NINE-T PURE, BMW R NINE-T URBAN G/S&lt;/span&gt;&lt;/p&gt;_x000a_&lt;p&gt;&lt;span&gt;&lt;strong&gt;NOTICE:&amp;nbsp; ZARD COULD RESERVE THE RIGHT TO CHANGE AND/OR REPLACE&lt;br&gt;SOME AESTHETIC DEATAILS. IMAGES HAS TO BE CONSIDERED&lt;br&gt;FOR INDICATIVE PURPOSE.&lt;/strong&gt;&lt;/span&gt;&lt;/p&gt;"/>
    <m/>
    <s v="BLACK CERAMIC COATING"/>
    <n v="132.05000000000001"/>
  </r>
  <r>
    <s v="1586060078-11770"/>
    <s v="https://shop.officineitalianezard.it/en/products/"/>
    <m/>
    <s v="https://shop.officineitalianezard.it/en/bmw-zard-exaust/"/>
    <s v="R NINE-T &gt; M.Y. 2017"/>
    <s v="https://shop.officineitalianezard.it/en/bmw-r-nine-t-m-y-2017-exhaust/"/>
    <s v="R80 VERSION"/>
    <x v="292"/>
    <s v="SILENCER"/>
    <s v="ZBMW545SSR"/>
    <s v="BMW R NINE-T URBAN G/S M.Y. 2017"/>
    <n v="649.17999999999995"/>
    <n v="721.31"/>
    <s v="&lt;p&gt;&lt;strong&gt;&lt;/strong&gt;STEEL SILENCER RACING WITH REMOVABLE DB KILLER R80 VERSION&lt;/p&gt;_x000a_&lt;p&gt;ORIGINAL SILENCER WEIGHT: 4,4 KG&lt;/p&gt;_x000a_&lt;p&gt;ZARD SILENCER WEIGHT: 2,5 KG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:&lt;/strong&gt;&lt;span&gt;&amp;nbsp;&lt;/span&gt;&lt;span&gt;BMW R NINE-T, BMW R NINE-T PURE, BMW R NINE-T URBAN G/S&lt;/span&gt;&lt;/p&gt;_x000a_&lt;p&gt;&lt;span&gt;&lt;strong&gt;NOTICE:&amp;nbsp; ZARD COULD RESERVE THE RIGHT TO CHANGE AND/OR REPLACE&lt;br&gt;SOME AESTHETIC DEATAILS. IMAGES HAS TO BE CONSIDERED&lt;br&gt;FOR INDICATIVE PURPOSE.&lt;/strong&gt;&lt;/span&gt;&lt;/p&gt;"/>
    <m/>
    <s v="EURO 4 HOMOLOGATED"/>
    <n v="47.21"/>
  </r>
  <r>
    <s v="1586060080-11771"/>
    <s v="https://shop.officineitalianezard.it/en/products/"/>
    <m/>
    <s v="https://shop.officineitalianezard.it/en/bmw-zard-exaust/"/>
    <s v="R NINE-T &gt; M.Y. 2017"/>
    <s v="https://shop.officineitalianezard.it/en/bmw-r-nine-t-m-y-2017-exhaust/"/>
    <s v="GP VERSION"/>
    <x v="293"/>
    <s v="SLIP-ON"/>
    <s v="ZBMW536SSR"/>
    <s v="BMW R NINE-T RACER M.Y. 2017"/>
    <n v="522.29999999999995"/>
    <n v="580.33000000000004"/>
    <s v="&lt;p&gt;RACING&amp;nbsp;SLIP-ON GP VERSION&lt;/p&gt;_x000a_&lt;p&gt;&lt;strong&gt;NOTICE: PICTURES SHOW THE ZARD GP SLIP-ON WITH ZARD HEADERS KIT&lt;/strong&gt;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&lt;/strong&gt;: BMW R NINE-T, BMW R NINE-T PURE, BMW R NINE-T RACER, BMW R NINE-T URBAN G/S&lt;/p&gt;"/>
    <s v="https://shop.officineitalianezard.it/contents/imgs/products/1_2726-1.jpg"/>
    <m/>
    <m/>
  </r>
  <r>
    <s v="1586060080-11772"/>
    <s v="https://shop.officineitalianezard.it/en/products/"/>
    <m/>
    <s v="https://shop.officineitalianezard.it/en/bmw-zard-exaust/"/>
    <s v="R NINE-T &gt; M.Y. 2017"/>
    <s v="https://shop.officineitalianezard.it/en/bmw-r-nine-t-m-y-2017-exhaust/"/>
    <s v="GP VERSION"/>
    <x v="293"/>
    <s v="SLIP-ON"/>
    <s v="ZBMW536SSR"/>
    <s v="BMW R NINE-T RACER M.Y. 2017"/>
    <n v="522.29999999999995"/>
    <n v="580.33000000000004"/>
    <s v="&lt;p&gt;RACING&amp;nbsp;SLIP-ON GP VERSION&lt;/p&gt;_x000a_&lt;p&gt;&lt;strong&gt;NOTICE: PICTURES SHOW THE ZARD GP SLIP-ON WITH ZARD HEADERS KIT&lt;/strong&gt;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&lt;/strong&gt;: BMW R NINE-T, BMW R NINE-T PURE, BMW R NINE-T RACER, BMW R NINE-T URBAN G/S&lt;/p&gt;"/>
    <s v="https://shop.officineitalianezard.it/contents/imgs/products/1_2724-2.jpg"/>
    <m/>
    <m/>
  </r>
  <r>
    <s v="1586060080-11773"/>
    <s v="https://shop.officineitalianezard.it/en/products/"/>
    <m/>
    <s v="https://shop.officineitalianezard.it/en/bmw-zard-exaust/"/>
    <s v="R NINE-T &gt; M.Y. 2017"/>
    <s v="https://shop.officineitalianezard.it/en/bmw-r-nine-t-m-y-2017-exhaust/"/>
    <s v="GP VERSION"/>
    <x v="293"/>
    <s v="SLIP-ON"/>
    <s v="ZBMW536SSR"/>
    <s v="BMW R NINE-T RACER M.Y. 2017"/>
    <n v="522.29999999999995"/>
    <n v="580.33000000000004"/>
    <s v="&lt;p&gt;RACING&amp;nbsp;SLIP-ON GP VERSION&lt;/p&gt;_x000a_&lt;p&gt;&lt;strong&gt;NOTICE: PICTURES SHOW THE ZARD GP SLIP-ON WITH ZARD HEADERS KIT&lt;/strong&gt;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&lt;/strong&gt;: BMW R NINE-T, BMW R NINE-T PURE, BMW R NINE-T RACER, BMW R NINE-T URBAN G/S&lt;/p&gt;"/>
    <s v="https://shop.officineitalianezard.it/contents/imgs/products/1_2725-3.jpg"/>
    <m/>
    <m/>
  </r>
  <r>
    <s v="1586060080-11774"/>
    <s v="https://shop.officineitalianezard.it/en/products/"/>
    <m/>
    <s v="https://shop.officineitalianezard.it/en/bmw-zard-exaust/"/>
    <s v="R NINE-T &gt; M.Y. 2017"/>
    <s v="https://shop.officineitalianezard.it/en/bmw-r-nine-t-m-y-2017-exhaust/"/>
    <s v="GP VERSION"/>
    <x v="293"/>
    <s v="SLIP-ON"/>
    <s v="ZBMW536SSR"/>
    <s v="BMW R NINE-T RACER M.Y. 2017"/>
    <n v="522.29999999999995"/>
    <n v="580.33000000000004"/>
    <s v="&lt;p&gt;RACING&amp;nbsp;SLIP-ON GP VERSION&lt;/p&gt;_x000a_&lt;p&gt;&lt;strong&gt;NOTICE: PICTURES SHOW THE ZARD GP SLIP-ON WITH ZARD HEADERS KIT&lt;/strong&gt;&lt;/p&gt;_x000a_&lt;p&gt;THE INSTALLATION OF ZARD EXHAUST DOES NOT IMPLY ANY MODIFICATION TO ECU.&lt;br&gt;THE BOX INCLUDES ALL PARTS FOR THE FITMENT OF ZARD EXHAUST.&lt;/p&gt;_x000a_&lt;p&gt;HARD INCREASE, COMPARED TO THE ORIGINAL EXHAUST SYSTEM.&lt;/p&gt;_x000a_&lt;p&gt;ASTONISHING SOUND.&lt;/p&gt;_x000a_&lt;p&gt;&lt;strong&gt;COMPATIBILITY MODELS&lt;/strong&gt;: BMW R NINE-T, BMW R NINE-T PURE, BMW R NINE-T RACER, BMW R NINE-T URBAN G/S&lt;/p&gt;"/>
    <m/>
    <s v="BLACK COATING"/>
    <n v="77.459999999999994"/>
  </r>
  <r>
    <s v="1586060085-11775"/>
    <s v="https://shop.officineitalianezard.it/en/products/"/>
    <m/>
    <s v="https://shop.officineitalianezard.it/en/bmw-zard-exaust/"/>
    <s v="R NINE-T 1200"/>
    <s v="https://shop.officineitalianezard.it/en/bmw-r-nine-t-1200-exhaust/"/>
    <s v="2&gt;2 VERSION"/>
    <x v="294"/>
    <s v="TITANIUM FULL KIT"/>
    <s v="ZBMW530TKR"/>
    <s v="BMW NINE-T 1200"/>
    <n v="2505.25"/>
    <n v="2783.61"/>
    <s v="&lt;p&gt;2&amp;gt;1&amp;gt;2 TITANIUM RACING FULL KIT&lt;/p&gt;_x000a_&lt;p&gt;A VERY SPECIAL EXHAUST TOTALLY HANDMADE AND WELDED BY OUR BEST WELDERS.&lt;/p&gt;_x000a_&lt;p&gt;ORIGINAL FULL KIT WEIGHT: 8.8 KG&amp;nbsp;&lt;br&gt;ZARD STEEL FULL KIT WEIGHT: 2.7 KG&lt;/p&gt;_x000a_&lt;p&gt;HARD INCREASE, COMPARED TO THE ORIGINAL EXHAUST SYSTEM, IN TERMS OF TORQUE AND POWER AT ANY RANGE.&lt;/p&gt;_x000a_&lt;p&gt;ASTONISHING SOUND.&lt;/p&gt;_x000a_&lt;p&gt;AVAILABLE ON DEMAND ONLY. DELIVERY 4 WORKING WEEKS FROM ORDER.&lt;/p&gt;_x000a_&lt;p&gt;&lt;a href=&quot;http://shop.officineitalianezard.it/it/products/index/scarico-bmw-nine-t-zard-7666-143/&quot;&gt;DISCOVER THE ZARD ACCESSORIES FOR YOUR BMW NINE-T&lt;/a&gt;&lt;/p&gt;_x000a_&lt;p&gt;NOTE: THE EXHAUST FITS STANDARD FOOT FONTROLS&lt;/p&gt;_x000a_&lt;p&gt;&amp;nbsp;&lt;/p&gt;"/>
    <s v="https://shop.officineitalianezard.it/contents/imgs/products/1_1447-1.jpg"/>
    <m/>
    <m/>
  </r>
  <r>
    <s v="1586060085-11776"/>
    <s v="https://shop.officineitalianezard.it/en/products/"/>
    <m/>
    <s v="https://shop.officineitalianezard.it/en/bmw-zard-exaust/"/>
    <s v="R NINE-T 1200"/>
    <s v="https://shop.officineitalianezard.it/en/bmw-r-nine-t-1200-exhaust/"/>
    <s v="2&gt;2 VERSION"/>
    <x v="294"/>
    <s v="TITANIUM FULL KIT"/>
    <s v="ZBMW530TKR"/>
    <s v="BMW NINE-T 1200"/>
    <n v="2505.25"/>
    <n v="2783.61"/>
    <s v="&lt;p&gt;2&amp;gt;1&amp;gt;2 TITANIUM RACING FULL KIT&lt;/p&gt;_x000a_&lt;p&gt;A VERY SPECIAL EXHAUST TOTALLY HANDMADE AND WELDED BY OUR BEST WELDERS.&lt;/p&gt;_x000a_&lt;p&gt;ORIGINAL FULL KIT WEIGHT: 8.8 KG&amp;nbsp;&lt;br&gt;ZARD STEEL FULL KIT WEIGHT: 2.7 KG&lt;/p&gt;_x000a_&lt;p&gt;HARD INCREASE, COMPARED TO THE ORIGINAL EXHAUST SYSTEM, IN TERMS OF TORQUE AND POWER AT ANY RANGE.&lt;/p&gt;_x000a_&lt;p&gt;ASTONISHING SOUND.&lt;/p&gt;_x000a_&lt;p&gt;AVAILABLE ON DEMAND ONLY. DELIVERY 4 WORKING WEEKS FROM ORDER.&lt;/p&gt;_x000a_&lt;p&gt;&lt;a href=&quot;http://shop.officineitalianezard.it/it/products/index/scarico-bmw-nine-t-zard-7666-143/&quot;&gt;DISCOVER THE ZARD ACCESSORIES FOR YOUR BMW NINE-T&lt;/a&gt;&lt;/p&gt;_x000a_&lt;p&gt;NOTE: THE EXHAUST FITS STANDARD FOOT FONTROLS&lt;/p&gt;_x000a_&lt;p&gt;&amp;nbsp;&lt;/p&gt;"/>
    <s v="https://shop.officineitalianezard.it/contents/imgs/products/1_1448-3.jpg"/>
    <m/>
    <m/>
  </r>
  <r>
    <s v="1586060085-11777"/>
    <s v="https://shop.officineitalianezard.it/en/products/"/>
    <m/>
    <s v="https://shop.officineitalianezard.it/en/bmw-zard-exaust/"/>
    <s v="R NINE-T 1200"/>
    <s v="https://shop.officineitalianezard.it/en/bmw-r-nine-t-1200-exhaust/"/>
    <s v="2&gt;2 VERSION"/>
    <x v="294"/>
    <s v="TITANIUM FULL KIT"/>
    <s v="ZBMW530TKR"/>
    <s v="BMW NINE-T 1200"/>
    <n v="2505.25"/>
    <n v="2783.61"/>
    <s v="&lt;p&gt;2&amp;gt;1&amp;gt;2 TITANIUM RACING FULL KIT&lt;/p&gt;_x000a_&lt;p&gt;A VERY SPECIAL EXHAUST TOTALLY HANDMADE AND WELDED BY OUR BEST WELDERS.&lt;/p&gt;_x000a_&lt;p&gt;ORIGINAL FULL KIT WEIGHT: 8.8 KG&amp;nbsp;&lt;br&gt;ZARD STEEL FULL KIT WEIGHT: 2.7 KG&lt;/p&gt;_x000a_&lt;p&gt;HARD INCREASE, COMPARED TO THE ORIGINAL EXHAUST SYSTEM, IN TERMS OF TORQUE AND POWER AT ANY RANGE.&lt;/p&gt;_x000a_&lt;p&gt;ASTONISHING SOUND.&lt;/p&gt;_x000a_&lt;p&gt;AVAILABLE ON DEMAND ONLY. DELIVERY 4 WORKING WEEKS FROM ORDER.&lt;/p&gt;_x000a_&lt;p&gt;&lt;a href=&quot;http://shop.officineitalianezard.it/it/products/index/scarico-bmw-nine-t-zard-7666-143/&quot;&gt;DISCOVER THE ZARD ACCESSORIES FOR YOUR BMW NINE-T&lt;/a&gt;&lt;/p&gt;_x000a_&lt;p&gt;NOTE: THE EXHAUST FITS STANDARD FOOT FONTROLS&lt;/p&gt;_x000a_&lt;p&gt;&amp;nbsp;&lt;/p&gt;"/>
    <s v="https://shop.officineitalianezard.it/contents/imgs/products/1_1449-2.jpg"/>
    <m/>
    <m/>
  </r>
  <r>
    <s v="1586060085-11778"/>
    <s v="https://shop.officineitalianezard.it/en/products/"/>
    <m/>
    <s v="https://shop.officineitalianezard.it/en/bmw-zard-exaust/"/>
    <s v="R NINE-T 1200"/>
    <s v="https://shop.officineitalianezard.it/en/bmw-r-nine-t-1200-exhaust/"/>
    <s v="2&gt;2 VERSION"/>
    <x v="294"/>
    <s v="TITANIUM FULL KIT"/>
    <s v="ZBMW530TKR"/>
    <s v="BMW NINE-T 1200"/>
    <n v="2505.25"/>
    <n v="2783.61"/>
    <s v="&lt;p&gt;2&amp;gt;1&amp;gt;2 TITANIUM RACING FULL KIT&lt;/p&gt;_x000a_&lt;p&gt;A VERY SPECIAL EXHAUST TOTALLY HANDMADE AND WELDED BY OUR BEST WELDERS.&lt;/p&gt;_x000a_&lt;p&gt;ORIGINAL FULL KIT WEIGHT: 8.8 KG&amp;nbsp;&lt;br&gt;ZARD STEEL FULL KIT WEIGHT: 2.7 KG&lt;/p&gt;_x000a_&lt;p&gt;HARD INCREASE, COMPARED TO THE ORIGINAL EXHAUST SYSTEM, IN TERMS OF TORQUE AND POWER AT ANY RANGE.&lt;/p&gt;_x000a_&lt;p&gt;ASTONISHING SOUND.&lt;/p&gt;_x000a_&lt;p&gt;AVAILABLE ON DEMAND ONLY. DELIVERY 4 WORKING WEEKS FROM ORDER.&lt;/p&gt;_x000a_&lt;p&gt;&lt;a href=&quot;http://shop.officineitalianezard.it/it/products/index/scarico-bmw-nine-t-zard-7666-143/&quot;&gt;DISCOVER THE ZARD ACCESSORIES FOR YOUR BMW NINE-T&lt;/a&gt;&lt;/p&gt;_x000a_&lt;p&gt;NOTE: THE EXHAUST FITS STANDARD FOOT FONTROLS&lt;/p&gt;_x000a_&lt;p&gt;&amp;nbsp;&lt;/p&gt;"/>
    <s v="https://shop.officineitalianezard.it/contents/imgs/products/1_2146-r9t.jpg"/>
    <m/>
    <m/>
  </r>
  <r>
    <s v="1586060088-11779"/>
    <s v="https://shop.officineitalianezard.it/en/products/"/>
    <m/>
    <s v="https://shop.officineitalianezard.it/en/bmw-zard-exaust/"/>
    <s v="R NINE-T 1200"/>
    <s v="https://shop.officineitalianezard.it/en/bmw-r-nine-t-1200-exhaust/"/>
    <s v="2&gt;2 VERSION"/>
    <x v="295"/>
    <s v="TITANIUM FULL KIT"/>
    <s v="ZBMW529TKR"/>
    <s v="BMW NINE-T 1200"/>
    <n v="2727.3"/>
    <n v="3030.33"/>
    <s v="&lt;p&gt;2&amp;gt;1&amp;gt;2 TITANIUM RACING FULL KIT WITH REMOVABLE DB KILLERS&lt;/p&gt;_x000a_&lt;p&gt;A VERY SPECIAL EXHAUST TOTALLY HANDMADE AND WELDED BY OUR BEST WELDERS.&lt;/p&gt;_x000a_&lt;p&gt;CNC BUILD ALUMINIUM ENDCAP&lt;/p&gt;_x000a_&lt;p&gt;ORIGINAL FULL KIT WEIGHT: 8.8 KG&amp;nbsp;&lt;br&gt;ZARD STEEL FULL KIT WEIGHT: 3.5 KG&lt;/p&gt;_x000a_&lt;p&gt;HARD INCREASE, COMPARED TO THE ORIGINAL EXHAUST SYSTEM, IN TERMS OF TORQUE AND POWER AT ANY RANGE.&lt;/p&gt;_x000a_&lt;p&gt;ASTONISHING SOUND.&lt;/p&gt;_x000a_&lt;p&gt;AVAILABLE ON DEMAND ONLY. DELIVERY 4 WORKING WEEKS FROM ORDER.&lt;/p&gt;_x000a_&lt;p&gt;FITTING MANUAL:&amp;nbsp;&lt;a href=&quot;http://shop.officineitalianezard.it//public/contents/imgs/cms/zbmw529tkr.pdf&quot;&gt;DOWNLOAD&lt;/a&gt;&lt;/p&gt;_x000a_&lt;p&gt;&lt;a href=&quot;http://shop.officineitalianezard.it/it/products/index/scarico-bmw-nine-t-zard-7666-143/&quot;&gt;DISCOVER THE ZARD ACCESSORIES FOR YOUR BMW NINE-T&lt;/a&gt;&lt;/p&gt;"/>
    <s v="https://shop.officineitalianezard.it/contents/imgs/products/1_1376-1.jpg"/>
    <m/>
    <m/>
  </r>
  <r>
    <s v="1586060088-11780"/>
    <s v="https://shop.officineitalianezard.it/en/products/"/>
    <m/>
    <s v="https://shop.officineitalianezard.it/en/bmw-zard-exaust/"/>
    <s v="R NINE-T 1200"/>
    <s v="https://shop.officineitalianezard.it/en/bmw-r-nine-t-1200-exhaust/"/>
    <s v="2&gt;2 VERSION"/>
    <x v="295"/>
    <s v="TITANIUM FULL KIT"/>
    <s v="ZBMW529TKR"/>
    <s v="BMW NINE-T 1200"/>
    <n v="2727.3"/>
    <n v="3030.33"/>
    <s v="&lt;p&gt;2&amp;gt;1&amp;gt;2 TITANIUM RACING FULL KIT WITH REMOVABLE DB KILLERS&lt;/p&gt;_x000a_&lt;p&gt;A VERY SPECIAL EXHAUST TOTALLY HANDMADE AND WELDED BY OUR BEST WELDERS.&lt;/p&gt;_x000a_&lt;p&gt;CNC BUILD ALUMINIUM ENDCAP&lt;/p&gt;_x000a_&lt;p&gt;ORIGINAL FULL KIT WEIGHT: 8.8 KG&amp;nbsp;&lt;br&gt;ZARD STEEL FULL KIT WEIGHT: 3.5 KG&lt;/p&gt;_x000a_&lt;p&gt;HARD INCREASE, COMPARED TO THE ORIGINAL EXHAUST SYSTEM, IN TERMS OF TORQUE AND POWER AT ANY RANGE.&lt;/p&gt;_x000a_&lt;p&gt;ASTONISHING SOUND.&lt;/p&gt;_x000a_&lt;p&gt;AVAILABLE ON DEMAND ONLY. DELIVERY 4 WORKING WEEKS FROM ORDER.&lt;/p&gt;_x000a_&lt;p&gt;FITTING MANUAL:&amp;nbsp;&lt;a href=&quot;http://shop.officineitalianezard.it//public/contents/imgs/cms/zbmw529tkr.pdf&quot;&gt;DOWNLOAD&lt;/a&gt;&lt;/p&gt;_x000a_&lt;p&gt;&lt;a href=&quot;http://shop.officineitalianezard.it/it/products/index/scarico-bmw-nine-t-zard-7666-143/&quot;&gt;DISCOVER THE ZARD ACCESSORIES FOR YOUR BMW NINE-T&lt;/a&gt;&lt;/p&gt;"/>
    <s v="https://shop.officineitalianezard.it/contents/imgs/products/1_1377-2.jpg"/>
    <m/>
    <m/>
  </r>
  <r>
    <s v="1586060088-11781"/>
    <s v="https://shop.officineitalianezard.it/en/products/"/>
    <m/>
    <s v="https://shop.officineitalianezard.it/en/bmw-zard-exaust/"/>
    <s v="R NINE-T 1200"/>
    <s v="https://shop.officineitalianezard.it/en/bmw-r-nine-t-1200-exhaust/"/>
    <s v="2&gt;2 VERSION"/>
    <x v="295"/>
    <s v="TITANIUM FULL KIT"/>
    <s v="ZBMW529TKR"/>
    <s v="BMW NINE-T 1200"/>
    <n v="2727.3"/>
    <n v="3030.33"/>
    <s v="&lt;p&gt;2&amp;gt;1&amp;gt;2 TITANIUM RACING FULL KIT WITH REMOVABLE DB KILLERS&lt;/p&gt;_x000a_&lt;p&gt;A VERY SPECIAL EXHAUST TOTALLY HANDMADE AND WELDED BY OUR BEST WELDERS.&lt;/p&gt;_x000a_&lt;p&gt;CNC BUILD ALUMINIUM ENDCAP&lt;/p&gt;_x000a_&lt;p&gt;ORIGINAL FULL KIT WEIGHT: 8.8 KG&amp;nbsp;&lt;br&gt;ZARD STEEL FULL KIT WEIGHT: 3.5 KG&lt;/p&gt;_x000a_&lt;p&gt;HARD INCREASE, COMPARED TO THE ORIGINAL EXHAUST SYSTEM, IN TERMS OF TORQUE AND POWER AT ANY RANGE.&lt;/p&gt;_x000a_&lt;p&gt;ASTONISHING SOUND.&lt;/p&gt;_x000a_&lt;p&gt;AVAILABLE ON DEMAND ONLY. DELIVERY 4 WORKING WEEKS FROM ORDER.&lt;/p&gt;_x000a_&lt;p&gt;FITTING MANUAL:&amp;nbsp;&lt;a href=&quot;http://shop.officineitalianezard.it//public/contents/imgs/cms/zbmw529tkr.pdf&quot;&gt;DOWNLOAD&lt;/a&gt;&lt;/p&gt;_x000a_&lt;p&gt;&lt;a href=&quot;http://shop.officineitalianezard.it/it/products/index/scarico-bmw-nine-t-zard-7666-143/&quot;&gt;DISCOVER THE ZARD ACCESSORIES FOR YOUR BMW NINE-T&lt;/a&gt;&lt;/p&gt;"/>
    <s v="https://shop.officineitalianezard.it/contents/imgs/products/1_1378-3.jpg"/>
    <m/>
    <m/>
  </r>
  <r>
    <s v="1586060088-11782"/>
    <s v="https://shop.officineitalianezard.it/en/products/"/>
    <m/>
    <s v="https://shop.officineitalianezard.it/en/bmw-zard-exaust/"/>
    <s v="R NINE-T 1200"/>
    <s v="https://shop.officineitalianezard.it/en/bmw-r-nine-t-1200-exhaust/"/>
    <s v="2&gt;2 VERSION"/>
    <x v="295"/>
    <s v="TITANIUM FULL KIT"/>
    <s v="ZBMW529TKR"/>
    <s v="BMW NINE-T 1200"/>
    <n v="2727.3"/>
    <n v="3030.33"/>
    <s v="&lt;p&gt;2&amp;gt;1&amp;gt;2 TITANIUM RACING FULL KIT WITH REMOVABLE DB KILLERS&lt;/p&gt;_x000a_&lt;p&gt;A VERY SPECIAL EXHAUST TOTALLY HANDMADE AND WELDED BY OUR BEST WELDERS.&lt;/p&gt;_x000a_&lt;p&gt;CNC BUILD ALUMINIUM ENDCAP&lt;/p&gt;_x000a_&lt;p&gt;ORIGINAL FULL KIT WEIGHT: 8.8 KG&amp;nbsp;&lt;br&gt;ZARD STEEL FULL KIT WEIGHT: 3.5 KG&lt;/p&gt;_x000a_&lt;p&gt;HARD INCREASE, COMPARED TO THE ORIGINAL EXHAUST SYSTEM, IN TERMS OF TORQUE AND POWER AT ANY RANGE.&lt;/p&gt;_x000a_&lt;p&gt;ASTONISHING SOUND.&lt;/p&gt;_x000a_&lt;p&gt;AVAILABLE ON DEMAND ONLY. DELIVERY 4 WORKING WEEKS FROM ORDER.&lt;/p&gt;_x000a_&lt;p&gt;FITTING MANUAL:&amp;nbsp;&lt;a href=&quot;http://shop.officineitalianezard.it//public/contents/imgs/cms/zbmw529tkr.pdf&quot;&gt;DOWNLOAD&lt;/a&gt;&lt;/p&gt;_x000a_&lt;p&gt;&lt;a href=&quot;http://shop.officineitalianezard.it/it/products/index/scarico-bmw-nine-t-zard-7666-143/&quot;&gt;DISCOVER THE ZARD ACCESSORIES FOR YOUR BMW NINE-T&lt;/a&gt;&lt;/p&gt;"/>
    <s v="https://shop.officineitalianezard.it/contents/imgs/products/1_2147-r9t.jpg"/>
    <m/>
    <m/>
  </r>
  <r>
    <s v="1586060090-11783"/>
    <s v="https://shop.officineitalianezard.it/en/products/"/>
    <m/>
    <s v="https://shop.officineitalianezard.it/en/bmw-zard-exaust/"/>
    <s v="R NINE-T 1200"/>
    <s v="https://shop.officineitalianezard.it/en/bmw-r-nine-t-1200-exhaust/"/>
    <s v="LIMITED EDITION"/>
    <x v="296"/>
    <s v="2&gt;2 HEADERS KIT"/>
    <s v="ZBMW526SCR-LIM"/>
    <s v="BMW NINE-T 1200"/>
    <n v="601.97"/>
    <n v="668.85"/>
    <s v="&lt;p&gt;2&amp;gt;2 STEEL RACING HEADERS KIT&amp;nbsp;&lt;/p&gt;_x000a_&lt;p&gt;HEADERS KIT CAN BE FITTED WITH ORIGINAL SILENCERS&lt;/p&gt;_x000a_&lt;p&gt;ORIGINAL HEADERS KIT WEIGHT: KG 4.4&lt;br&gt;ZARD STEEL HEADERS KIT WEIGHT: 3.8&lt;/p&gt;_x000a_&lt;p&gt;HARD INCREASE, COMPARED TO THE ORIGINAL EXHAUST SYSTEM, IN TERMS OF TORQUE AND POWER AT ANY RANGE.&lt;/p&gt;_x000a_&lt;p&gt;ASTONISHING SOUND.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NINE-T&lt;/a&gt;&lt;/p&gt;"/>
    <s v="https://shop.officineitalianezard.it/contents/imgs/products/1_962-1.jpg"/>
    <m/>
    <m/>
  </r>
  <r>
    <s v="1586060090-11784"/>
    <s v="https://shop.officineitalianezard.it/en/products/"/>
    <m/>
    <s v="https://shop.officineitalianezard.it/en/bmw-zard-exaust/"/>
    <s v="R NINE-T 1200"/>
    <s v="https://shop.officineitalianezard.it/en/bmw-r-nine-t-1200-exhaust/"/>
    <s v="LIMITED EDITION"/>
    <x v="296"/>
    <s v="2&gt;2 HEADERS KIT"/>
    <s v="ZBMW526SCR-LIM"/>
    <s v="BMW NINE-T 1200"/>
    <n v="601.97"/>
    <n v="668.85"/>
    <s v="&lt;p&gt;2&amp;gt;2 STEEL RACING HEADERS KIT&amp;nbsp;&lt;/p&gt;_x000a_&lt;p&gt;HEADERS KIT CAN BE FITTED WITH ORIGINAL SILENCERS&lt;/p&gt;_x000a_&lt;p&gt;ORIGINAL HEADERS KIT WEIGHT: KG 4.4&lt;br&gt;ZARD STEEL HEADERS KIT WEIGHT: 3.8&lt;/p&gt;_x000a_&lt;p&gt;HARD INCREASE, COMPARED TO THE ORIGINAL EXHAUST SYSTEM, IN TERMS OF TORQUE AND POWER AT ANY RANGE.&lt;/p&gt;_x000a_&lt;p&gt;ASTONISHING SOUND.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NINE-T&lt;/a&gt;&lt;/p&gt;"/>
    <s v="https://shop.officineitalianezard.it/contents/imgs/products/1_963-2.jpg"/>
    <m/>
    <m/>
  </r>
  <r>
    <s v="1586060090-11785"/>
    <s v="https://shop.officineitalianezard.it/en/products/"/>
    <m/>
    <s v="https://shop.officineitalianezard.it/en/bmw-zard-exaust/"/>
    <s v="R NINE-T 1200"/>
    <s v="https://shop.officineitalianezard.it/en/bmw-r-nine-t-1200-exhaust/"/>
    <s v="LIMITED EDITION"/>
    <x v="296"/>
    <s v="2&gt;2 HEADERS KIT"/>
    <s v="ZBMW526SCR-LIM"/>
    <s v="BMW NINE-T 1200"/>
    <n v="601.97"/>
    <n v="668.85"/>
    <s v="&lt;p&gt;2&amp;gt;2 STEEL RACING HEADERS KIT&amp;nbsp;&lt;/p&gt;_x000a_&lt;p&gt;HEADERS KIT CAN BE FITTED WITH ORIGINAL SILENCERS&lt;/p&gt;_x000a_&lt;p&gt;ORIGINAL HEADERS KIT WEIGHT: KG 4.4&lt;br&gt;ZARD STEEL HEADERS KIT WEIGHT: 3.8&lt;/p&gt;_x000a_&lt;p&gt;HARD INCREASE, COMPARED TO THE ORIGINAL EXHAUST SYSTEM, IN TERMS OF TORQUE AND POWER AT ANY RANGE.&lt;/p&gt;_x000a_&lt;p&gt;ASTONISHING SOUND.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NINE-T&lt;/a&gt;&lt;/p&gt;"/>
    <s v="https://shop.officineitalianezard.it/contents/imgs/products/1_1121-SCARICO%20NINE-T%20ZARD.jpg"/>
    <m/>
    <m/>
  </r>
  <r>
    <s v="1586060090-11786"/>
    <s v="https://shop.officineitalianezard.it/en/products/"/>
    <m/>
    <s v="https://shop.officineitalianezard.it/en/bmw-zard-exaust/"/>
    <s v="R NINE-T 1200"/>
    <s v="https://shop.officineitalianezard.it/en/bmw-r-nine-t-1200-exhaust/"/>
    <s v="LIMITED EDITION"/>
    <x v="296"/>
    <s v="2&gt;2 HEADERS KIT"/>
    <s v="ZBMW526SCR-LIM"/>
    <s v="BMW NINE-T 1200"/>
    <n v="601.97"/>
    <n v="668.85"/>
    <s v="&lt;p&gt;2&amp;gt;2 STEEL RACING HEADERS KIT&amp;nbsp;&lt;/p&gt;_x000a_&lt;p&gt;HEADERS KIT CAN BE FITTED WITH ORIGINAL SILENCERS&lt;/p&gt;_x000a_&lt;p&gt;ORIGINAL HEADERS KIT WEIGHT: KG 4.4&lt;br&gt;ZARD STEEL HEADERS KIT WEIGHT: 3.8&lt;/p&gt;_x000a_&lt;p&gt;HARD INCREASE, COMPARED TO THE ORIGINAL EXHAUST SYSTEM, IN TERMS OF TORQUE AND POWER AT ANY RANGE.&lt;/p&gt;_x000a_&lt;p&gt;ASTONISHING SOUND.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NINE-T&lt;/a&gt;&lt;/p&gt;"/>
    <s v="https://shop.officineitalianezard.it/contents/imgs/products/1_2143-r9t.jpg"/>
    <m/>
    <m/>
  </r>
  <r>
    <s v="1586060090-11787"/>
    <s v="https://shop.officineitalianezard.it/en/products/"/>
    <m/>
    <s v="https://shop.officineitalianezard.it/en/bmw-zard-exaust/"/>
    <s v="R NINE-T 1200"/>
    <s v="https://shop.officineitalianezard.it/en/bmw-r-nine-t-1200-exhaust/"/>
    <s v="LIMITED EDITION"/>
    <x v="296"/>
    <s v="2&gt;2 HEADERS KIT"/>
    <s v="ZBMW526SCR-LIM"/>
    <s v="BMW NINE-T 1200"/>
    <n v="601.97"/>
    <n v="668.85"/>
    <s v="&lt;p&gt;2&amp;gt;2 STEEL RACING HEADERS KIT&amp;nbsp;&lt;/p&gt;_x000a_&lt;p&gt;HEADERS KIT CAN BE FITTED WITH ORIGINAL SILENCERS&lt;/p&gt;_x000a_&lt;p&gt;ORIGINAL HEADERS KIT WEIGHT: KG 4.4&lt;br&gt;ZARD STEEL HEADERS KIT WEIGHT: 3.8&lt;/p&gt;_x000a_&lt;p&gt;HARD INCREASE, COMPARED TO THE ORIGINAL EXHAUST SYSTEM, IN TERMS OF TORQUE AND POWER AT ANY RANGE.&lt;/p&gt;_x000a_&lt;p&gt;ASTONISHING SOUND.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NINE-T&lt;/a&gt;&lt;/p&gt;"/>
    <m/>
    <s v="FULL TITANIUM"/>
    <n v="185.9"/>
  </r>
  <r>
    <s v="1586060090-11788"/>
    <s v="https://shop.officineitalianezard.it/en/products/"/>
    <m/>
    <s v="https://shop.officineitalianezard.it/en/bmw-zard-exaust/"/>
    <s v="R NINE-T 1200"/>
    <s v="https://shop.officineitalianezard.it/en/bmw-r-nine-t-1200-exhaust/"/>
    <s v="LIMITED EDITION"/>
    <x v="296"/>
    <s v="2&gt;2 HEADERS KIT"/>
    <s v="ZBMW526SCR-LIM"/>
    <s v="BMW NINE-T 1200"/>
    <n v="601.97"/>
    <n v="668.85"/>
    <s v="&lt;p&gt;2&amp;gt;2 STEEL RACING HEADERS KIT&amp;nbsp;&lt;/p&gt;_x000a_&lt;p&gt;HEADERS KIT CAN BE FITTED WITH ORIGINAL SILENCERS&lt;/p&gt;_x000a_&lt;p&gt;ORIGINAL HEADERS KIT WEIGHT: KG 4.4&lt;br&gt;ZARD STEEL HEADERS KIT WEIGHT: 3.8&lt;/p&gt;_x000a_&lt;p&gt;HARD INCREASE, COMPARED TO THE ORIGINAL EXHAUST SYSTEM, IN TERMS OF TORQUE AND POWER AT ANY RANGE.&lt;/p&gt;_x000a_&lt;p&gt;ASTONISHING SOUND.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NINE-T&lt;/a&gt;&lt;/p&gt;"/>
    <m/>
    <s v="BLACK CERAMIC COATING"/>
    <n v="123.2"/>
  </r>
  <r>
    <s v="1586060090-11789"/>
    <s v="https://shop.officineitalianezard.it/en/products/"/>
    <m/>
    <s v="https://shop.officineitalianezard.it/en/bmw-zard-exaust/"/>
    <s v="R NINE-T 1200"/>
    <s v="https://shop.officineitalianezard.it/en/bmw-r-nine-t-1200-exhaust/"/>
    <s v="LIMITED EDITION"/>
    <x v="296"/>
    <s v="2&gt;2 HEADERS KIT"/>
    <s v="ZBMW526SCR-LIM"/>
    <s v="BMW NINE-T 1200"/>
    <n v="601.97"/>
    <n v="668.85"/>
    <s v="&lt;p&gt;2&amp;gt;2 STEEL RACING HEADERS KIT&amp;nbsp;&lt;/p&gt;_x000a_&lt;p&gt;HEADERS KIT CAN BE FITTED WITH ORIGINAL SILENCERS&lt;/p&gt;_x000a_&lt;p&gt;ORIGINAL HEADERS KIT WEIGHT: KG 4.4&lt;br&gt;ZARD STEEL HEADERS KIT WEIGHT: 3.8&lt;/p&gt;_x000a_&lt;p&gt;HARD INCREASE, COMPARED TO THE ORIGINAL EXHAUST SYSTEM, IN TERMS OF TORQUE AND POWER AT ANY RANGE.&lt;/p&gt;_x000a_&lt;p&gt;ASTONISHING SOUND.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NINE-T&lt;/a&gt;&lt;/p&gt;"/>
    <m/>
    <s v="EURO 3 HOMOLOGATED"/>
    <n v="93.69"/>
  </r>
  <r>
    <s v="1586060095-11790"/>
    <s v="https://shop.officineitalianezard.it/en/products/"/>
    <m/>
    <s v="https://shop.officineitalianezard.it/en/bmw-zard-exaust/"/>
    <s v="R NINE-T 1200"/>
    <s v="https://shop.officineitalianezard.it/en/bmw-r-nine-t-1200-exhaust/"/>
    <s v="2&gt;2 VERSION"/>
    <x v="297"/>
    <s v="HEADERS KIT"/>
    <s v="ZBMW525SCR"/>
    <s v="BMW NINE-T 1200"/>
    <n v="422.7"/>
    <n v="469.67"/>
    <s v="&lt;p&gt;2&amp;gt;2 STEEL RACING HEADERS KIT&amp;nbsp;&lt;/p&gt;_x000a_&lt;p&gt;HEADERS KIT CAN BE FITTED WITH ORIGINAL SILENCERS&lt;/p&gt;_x000a_&lt;p&gt;ORIGINAL HEADERS KIT WEIGHT: KG 4.4&lt;/p&gt;_x000a_&lt;p&gt;ZARD STEEL HEADERS KIT WEIGHT: 3.8&lt;/p&gt;_x000a_&lt;p&gt;HARD INCREASE, COMPARED TO THE ORIGINAL EXHAUST SYSTEM, IN TERMS OF TORQUE AND POWER AT ANY RANGE.&lt;/p&gt;_x000a_&lt;p&gt;ASTONISHING SOUND.&lt;/p&gt;_x000a_&lt;p&gt;N.B.: PHOTOS ARE REFERRED TO LIMITED VERSION WITH SNAKE WELDED PIPES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NINE-T&lt;/a&gt;&lt;/p&gt;_x000a_&lt;p&gt;&amp;nbsp;&lt;/p&gt;"/>
    <s v="https://shop.officineitalianezard.it/contents/imgs/products/1_959-1.jpg"/>
    <m/>
    <m/>
  </r>
  <r>
    <s v="1586060095-11791"/>
    <s v="https://shop.officineitalianezard.it/en/products/"/>
    <m/>
    <s v="https://shop.officineitalianezard.it/en/bmw-zard-exaust/"/>
    <s v="R NINE-T 1200"/>
    <s v="https://shop.officineitalianezard.it/en/bmw-r-nine-t-1200-exhaust/"/>
    <s v="2&gt;2 VERSION"/>
    <x v="297"/>
    <s v="HEADERS KIT"/>
    <s v="ZBMW525SCR"/>
    <s v="BMW NINE-T 1200"/>
    <n v="422.7"/>
    <n v="469.67"/>
    <s v="&lt;p&gt;2&amp;gt;2 STEEL RACING HEADERS KIT&amp;nbsp;&lt;/p&gt;_x000a_&lt;p&gt;HEADERS KIT CAN BE FITTED WITH ORIGINAL SILENCERS&lt;/p&gt;_x000a_&lt;p&gt;ORIGINAL HEADERS KIT WEIGHT: KG 4.4&lt;/p&gt;_x000a_&lt;p&gt;ZARD STEEL HEADERS KIT WEIGHT: 3.8&lt;/p&gt;_x000a_&lt;p&gt;HARD INCREASE, COMPARED TO THE ORIGINAL EXHAUST SYSTEM, IN TERMS OF TORQUE AND POWER AT ANY RANGE.&lt;/p&gt;_x000a_&lt;p&gt;ASTONISHING SOUND.&lt;/p&gt;_x000a_&lt;p&gt;N.B.: PHOTOS ARE REFERRED TO LIMITED VERSION WITH SNAKE WELDED PIPES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NINE-T&lt;/a&gt;&lt;/p&gt;_x000a_&lt;p&gt;&amp;nbsp;&lt;/p&gt;"/>
    <s v="https://shop.officineitalianezard.it/contents/imgs/products/1_960-2.jpg"/>
    <m/>
    <m/>
  </r>
  <r>
    <s v="1586060095-11792"/>
    <s v="https://shop.officineitalianezard.it/en/products/"/>
    <m/>
    <s v="https://shop.officineitalianezard.it/en/bmw-zard-exaust/"/>
    <s v="R NINE-T 1200"/>
    <s v="https://shop.officineitalianezard.it/en/bmw-r-nine-t-1200-exhaust/"/>
    <s v="2&gt;2 VERSION"/>
    <x v="297"/>
    <s v="HEADERS KIT"/>
    <s v="ZBMW525SCR"/>
    <s v="BMW NINE-T 1200"/>
    <n v="422.7"/>
    <n v="469.67"/>
    <s v="&lt;p&gt;2&amp;gt;2 STEEL RACING HEADERS KIT&amp;nbsp;&lt;/p&gt;_x000a_&lt;p&gt;HEADERS KIT CAN BE FITTED WITH ORIGINAL SILENCERS&lt;/p&gt;_x000a_&lt;p&gt;ORIGINAL HEADERS KIT WEIGHT: KG 4.4&lt;/p&gt;_x000a_&lt;p&gt;ZARD STEEL HEADERS KIT WEIGHT: 3.8&lt;/p&gt;_x000a_&lt;p&gt;HARD INCREASE, COMPARED TO THE ORIGINAL EXHAUST SYSTEM, IN TERMS OF TORQUE AND POWER AT ANY RANGE.&lt;/p&gt;_x000a_&lt;p&gt;ASTONISHING SOUND.&lt;/p&gt;_x000a_&lt;p&gt;N.B.: PHOTOS ARE REFERRED TO LIMITED VERSION WITH SNAKE WELDED PIPES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NINE-T&lt;/a&gt;&lt;/p&gt;_x000a_&lt;p&gt;&amp;nbsp;&lt;/p&gt;"/>
    <s v="https://shop.officineitalianezard.it/contents/imgs/products/1_1120-SCARICO%20NINE-T%20ZARD.jpg"/>
    <m/>
    <m/>
  </r>
  <r>
    <s v="1586060095-11793"/>
    <s v="https://shop.officineitalianezard.it/en/products/"/>
    <m/>
    <s v="https://shop.officineitalianezard.it/en/bmw-zard-exaust/"/>
    <s v="R NINE-T 1200"/>
    <s v="https://shop.officineitalianezard.it/en/bmw-r-nine-t-1200-exhaust/"/>
    <s v="2&gt;2 VERSION"/>
    <x v="297"/>
    <s v="HEADERS KIT"/>
    <s v="ZBMW525SCR"/>
    <s v="BMW NINE-T 1200"/>
    <n v="422.7"/>
    <n v="469.67"/>
    <s v="&lt;p&gt;2&amp;gt;2 STEEL RACING HEADERS KIT&amp;nbsp;&lt;/p&gt;_x000a_&lt;p&gt;HEADERS KIT CAN BE FITTED WITH ORIGINAL SILENCERS&lt;/p&gt;_x000a_&lt;p&gt;ORIGINAL HEADERS KIT WEIGHT: KG 4.4&lt;/p&gt;_x000a_&lt;p&gt;ZARD STEEL HEADERS KIT WEIGHT: 3.8&lt;/p&gt;_x000a_&lt;p&gt;HARD INCREASE, COMPARED TO THE ORIGINAL EXHAUST SYSTEM, IN TERMS OF TORQUE AND POWER AT ANY RANGE.&lt;/p&gt;_x000a_&lt;p&gt;ASTONISHING SOUND.&lt;/p&gt;_x000a_&lt;p&gt;N.B.: PHOTOS ARE REFERRED TO LIMITED VERSION WITH SNAKE WELDED PIPES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NINE-T&lt;/a&gt;&lt;/p&gt;_x000a_&lt;p&gt;&amp;nbsp;&lt;/p&gt;"/>
    <m/>
    <s v="FULL TITANIUM RACING"/>
    <n v="185.9"/>
  </r>
  <r>
    <s v="1586060095-11794"/>
    <s v="https://shop.officineitalianezard.it/en/products/"/>
    <m/>
    <s v="https://shop.officineitalianezard.it/en/bmw-zard-exaust/"/>
    <s v="R NINE-T 1200"/>
    <s v="https://shop.officineitalianezard.it/en/bmw-r-nine-t-1200-exhaust/"/>
    <s v="2&gt;2 VERSION"/>
    <x v="297"/>
    <s v="HEADERS KIT"/>
    <s v="ZBMW525SCR"/>
    <s v="BMW NINE-T 1200"/>
    <n v="422.7"/>
    <n v="469.67"/>
    <s v="&lt;p&gt;2&amp;gt;2 STEEL RACING HEADERS KIT&amp;nbsp;&lt;/p&gt;_x000a_&lt;p&gt;HEADERS KIT CAN BE FITTED WITH ORIGINAL SILENCERS&lt;/p&gt;_x000a_&lt;p&gt;ORIGINAL HEADERS KIT WEIGHT: KG 4.4&lt;/p&gt;_x000a_&lt;p&gt;ZARD STEEL HEADERS KIT WEIGHT: 3.8&lt;/p&gt;_x000a_&lt;p&gt;HARD INCREASE, COMPARED TO THE ORIGINAL EXHAUST SYSTEM, IN TERMS OF TORQUE AND POWER AT ANY RANGE.&lt;/p&gt;_x000a_&lt;p&gt;ASTONISHING SOUND.&lt;/p&gt;_x000a_&lt;p&gt;N.B.: PHOTOS ARE REFERRED TO LIMITED VERSION WITH SNAKE WELDED PIPES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NINE-T&lt;/a&gt;&lt;/p&gt;_x000a_&lt;p&gt;&amp;nbsp;&lt;/p&gt;"/>
    <m/>
    <s v="BLACK CERAMIC COATING"/>
    <n v="123.2"/>
  </r>
  <r>
    <s v="1586060095-11795"/>
    <s v="https://shop.officineitalianezard.it/en/products/"/>
    <m/>
    <s v="https://shop.officineitalianezard.it/en/bmw-zard-exaust/"/>
    <s v="R NINE-T 1200"/>
    <s v="https://shop.officineitalianezard.it/en/bmw-r-nine-t-1200-exhaust/"/>
    <s v="2&gt;2 VERSION"/>
    <x v="297"/>
    <s v="HEADERS KIT"/>
    <s v="ZBMW525SCR"/>
    <s v="BMW NINE-T 1200"/>
    <n v="422.7"/>
    <n v="469.67"/>
    <s v="&lt;p&gt;2&amp;gt;2 STEEL RACING HEADERS KIT&amp;nbsp;&lt;/p&gt;_x000a_&lt;p&gt;HEADERS KIT CAN BE FITTED WITH ORIGINAL SILENCERS&lt;/p&gt;_x000a_&lt;p&gt;ORIGINAL HEADERS KIT WEIGHT: KG 4.4&lt;/p&gt;_x000a_&lt;p&gt;ZARD STEEL HEADERS KIT WEIGHT: 3.8&lt;/p&gt;_x000a_&lt;p&gt;HARD INCREASE, COMPARED TO THE ORIGINAL EXHAUST SYSTEM, IN TERMS OF TORQUE AND POWER AT ANY RANGE.&lt;/p&gt;_x000a_&lt;p&gt;ASTONISHING SOUND.&lt;/p&gt;_x000a_&lt;p&gt;N.B.: PHOTOS ARE REFERRED TO LIMITED VERSION WITH SNAKE WELDED PIPES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NINE-T&lt;/a&gt;&lt;/p&gt;_x000a_&lt;p&gt;&amp;nbsp;&lt;/p&gt;"/>
    <m/>
    <s v="EURO 3 HOMOLOGATED"/>
    <n v="93.69"/>
  </r>
  <r>
    <s v="1586060098-11796"/>
    <s v="https://shop.officineitalianezard.it/en/products/"/>
    <m/>
    <s v="https://shop.officineitalianezard.it/en/bmw-zard-exaust/"/>
    <s v="R NINE-T 1200"/>
    <s v="https://shop.officineitalianezard.it/en/bmw-r-nine-t-1200-exhaust/"/>
    <s v="LIMITED EDITION"/>
    <x v="298"/>
    <s v="N. 2 SILENCERS"/>
    <s v="ZBMW526SSR-LIM"/>
    <s v="BMW NINE-T 1200"/>
    <n v="793.77"/>
    <n v="881.97"/>
    <s v="&lt;p&gt;N. 2 STEEL RACING SILENCERS WITH REMOVABLE DB KILLERS.&lt;/p&gt;_x000a_&lt;p&gt;LIMITED VERSION&lt;/p&gt;_x000a_&lt;p&gt;ORIGINAL SILENCER WEIGHT: KG 4.4&lt;br&gt;ZARD STEEL SILENCERS WEIGHT: KG 4.2&lt;/p&gt;_x000a_&lt;p&gt;BLACK &amp;amp; SILVER MACHINED FROM SOLID ALUMINIUM END-CAP.&lt;/p&gt;_x000a_&lt;p&gt;ZARD SILENCERS CAN BE FITTED WITH ORIGINAL HEADERS KIT.&lt;/p&gt;_x000a_&lt;p&gt;THE EXHAUST CAN BE FITTED OF ONE CITY MOTORBIKE VERSION USING THE BRACKET AVAILABLE AS OPTIONAL.&lt;/p&gt;_x000a_&lt;p&gt;HARD INCREASE, COMPARED TO THE ORIGINAL EXHAUST SYSTEM, IN TERMS OF TORQUE AND POWER AT ANY RANGE.&lt;/p&gt;_x000a_&lt;p&gt;ASTONISHING SOUND.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ZARD NINE - T&lt;/a&gt;&lt;/p&gt;"/>
    <s v="https://shop.officineitalianezard.it/contents/imgs/products/1_953-1.jpg"/>
    <m/>
    <m/>
  </r>
  <r>
    <s v="1586060098-11797"/>
    <s v="https://shop.officineitalianezard.it/en/products/"/>
    <m/>
    <s v="https://shop.officineitalianezard.it/en/bmw-zard-exaust/"/>
    <s v="R NINE-T 1200"/>
    <s v="https://shop.officineitalianezard.it/en/bmw-r-nine-t-1200-exhaust/"/>
    <s v="LIMITED EDITION"/>
    <x v="298"/>
    <s v="N. 2 SILENCERS"/>
    <s v="ZBMW526SSR-LIM"/>
    <s v="BMW NINE-T 1200"/>
    <n v="793.77"/>
    <n v="881.97"/>
    <s v="&lt;p&gt;N. 2 STEEL RACING SILENCERS WITH REMOVABLE DB KILLERS.&lt;/p&gt;_x000a_&lt;p&gt;LIMITED VERSION&lt;/p&gt;_x000a_&lt;p&gt;ORIGINAL SILENCER WEIGHT: KG 4.4&lt;br&gt;ZARD STEEL SILENCERS WEIGHT: KG 4.2&lt;/p&gt;_x000a_&lt;p&gt;BLACK &amp;amp; SILVER MACHINED FROM SOLID ALUMINIUM END-CAP.&lt;/p&gt;_x000a_&lt;p&gt;ZARD SILENCERS CAN BE FITTED WITH ORIGINAL HEADERS KIT.&lt;/p&gt;_x000a_&lt;p&gt;THE EXHAUST CAN BE FITTED OF ONE CITY MOTORBIKE VERSION USING THE BRACKET AVAILABLE AS OPTIONAL.&lt;/p&gt;_x000a_&lt;p&gt;HARD INCREASE, COMPARED TO THE ORIGINAL EXHAUST SYSTEM, IN TERMS OF TORQUE AND POWER AT ANY RANGE.&lt;/p&gt;_x000a_&lt;p&gt;ASTONISHING SOUND.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ZARD NINE - T&lt;/a&gt;&lt;/p&gt;"/>
    <s v="https://shop.officineitalianezard.it/contents/imgs/products/1_954-2.jpg"/>
    <m/>
    <m/>
  </r>
  <r>
    <s v="1586060098-11798"/>
    <s v="https://shop.officineitalianezard.it/en/products/"/>
    <m/>
    <s v="https://shop.officineitalianezard.it/en/bmw-zard-exaust/"/>
    <s v="R NINE-T 1200"/>
    <s v="https://shop.officineitalianezard.it/en/bmw-r-nine-t-1200-exhaust/"/>
    <s v="LIMITED EDITION"/>
    <x v="298"/>
    <s v="N. 2 SILENCERS"/>
    <s v="ZBMW526SSR-LIM"/>
    <s v="BMW NINE-T 1200"/>
    <n v="793.77"/>
    <n v="881.97"/>
    <s v="&lt;p&gt;N. 2 STEEL RACING SILENCERS WITH REMOVABLE DB KILLERS.&lt;/p&gt;_x000a_&lt;p&gt;LIMITED VERSION&lt;/p&gt;_x000a_&lt;p&gt;ORIGINAL SILENCER WEIGHT: KG 4.4&lt;br&gt;ZARD STEEL SILENCERS WEIGHT: KG 4.2&lt;/p&gt;_x000a_&lt;p&gt;BLACK &amp;amp; SILVER MACHINED FROM SOLID ALUMINIUM END-CAP.&lt;/p&gt;_x000a_&lt;p&gt;ZARD SILENCERS CAN BE FITTED WITH ORIGINAL HEADERS KIT.&lt;/p&gt;_x000a_&lt;p&gt;THE EXHAUST CAN BE FITTED OF ONE CITY MOTORBIKE VERSION USING THE BRACKET AVAILABLE AS OPTIONAL.&lt;/p&gt;_x000a_&lt;p&gt;HARD INCREASE, COMPARED TO THE ORIGINAL EXHAUST SYSTEM, IN TERMS OF TORQUE AND POWER AT ANY RANGE.&lt;/p&gt;_x000a_&lt;p&gt;ASTONISHING SOUND.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ZARD NINE - T&lt;/a&gt;&lt;/p&gt;"/>
    <s v="https://shop.officineitalianezard.it/contents/imgs/products/1_955-3.jpg"/>
    <m/>
    <m/>
  </r>
  <r>
    <s v="1586060098-11799"/>
    <s v="https://shop.officineitalianezard.it/en/products/"/>
    <m/>
    <s v="https://shop.officineitalianezard.it/en/bmw-zard-exaust/"/>
    <s v="R NINE-T 1200"/>
    <s v="https://shop.officineitalianezard.it/en/bmw-r-nine-t-1200-exhaust/"/>
    <s v="LIMITED EDITION"/>
    <x v="298"/>
    <s v="N. 2 SILENCERS"/>
    <s v="ZBMW526SSR-LIM"/>
    <s v="BMW NINE-T 1200"/>
    <n v="793.77"/>
    <n v="881.97"/>
    <s v="&lt;p&gt;N. 2 STEEL RACING SILENCERS WITH REMOVABLE DB KILLERS.&lt;/p&gt;_x000a_&lt;p&gt;LIMITED VERSION&lt;/p&gt;_x000a_&lt;p&gt;ORIGINAL SILENCER WEIGHT: KG 4.4&lt;br&gt;ZARD STEEL SILENCERS WEIGHT: KG 4.2&lt;/p&gt;_x000a_&lt;p&gt;BLACK &amp;amp; SILVER MACHINED FROM SOLID ALUMINIUM END-CAP.&lt;/p&gt;_x000a_&lt;p&gt;ZARD SILENCERS CAN BE FITTED WITH ORIGINAL HEADERS KIT.&lt;/p&gt;_x000a_&lt;p&gt;THE EXHAUST CAN BE FITTED OF ONE CITY MOTORBIKE VERSION USING THE BRACKET AVAILABLE AS OPTIONAL.&lt;/p&gt;_x000a_&lt;p&gt;HARD INCREASE, COMPARED TO THE ORIGINAL EXHAUST SYSTEM, IN TERMS OF TORQUE AND POWER AT ANY RANGE.&lt;/p&gt;_x000a_&lt;p&gt;ASTONISHING SOUND.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ZARD NINE - T&lt;/a&gt;&lt;/p&gt;"/>
    <s v="https://shop.officineitalianezard.it/contents/imgs/products/1_1119-SCARICO%20NINE-T%20ZARD.jpg"/>
    <m/>
    <m/>
  </r>
  <r>
    <s v="1586060098-11800"/>
    <s v="https://shop.officineitalianezard.it/en/products/"/>
    <m/>
    <s v="https://shop.officineitalianezard.it/en/bmw-zard-exaust/"/>
    <s v="R NINE-T 1200"/>
    <s v="https://shop.officineitalianezard.it/en/bmw-r-nine-t-1200-exhaust/"/>
    <s v="LIMITED EDITION"/>
    <x v="298"/>
    <s v="N. 2 SILENCERS"/>
    <s v="ZBMW526SSR-LIM"/>
    <s v="BMW NINE-T 1200"/>
    <n v="793.77"/>
    <n v="881.97"/>
    <s v="&lt;p&gt;N. 2 STEEL RACING SILENCERS WITH REMOVABLE DB KILLERS.&lt;/p&gt;_x000a_&lt;p&gt;LIMITED VERSION&lt;/p&gt;_x000a_&lt;p&gt;ORIGINAL SILENCER WEIGHT: KG 4.4&lt;br&gt;ZARD STEEL SILENCERS WEIGHT: KG 4.2&lt;/p&gt;_x000a_&lt;p&gt;BLACK &amp;amp; SILVER MACHINED FROM SOLID ALUMINIUM END-CAP.&lt;/p&gt;_x000a_&lt;p&gt;ZARD SILENCERS CAN BE FITTED WITH ORIGINAL HEADERS KIT.&lt;/p&gt;_x000a_&lt;p&gt;THE EXHAUST CAN BE FITTED OF ONE CITY MOTORBIKE VERSION USING THE BRACKET AVAILABLE AS OPTIONAL.&lt;/p&gt;_x000a_&lt;p&gt;HARD INCREASE, COMPARED TO THE ORIGINAL EXHAUST SYSTEM, IN TERMS OF TORQUE AND POWER AT ANY RANGE.&lt;/p&gt;_x000a_&lt;p&gt;ASTONISHING SOUND.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ZARD NINE - T&lt;/a&gt;&lt;/p&gt;"/>
    <m/>
    <s v="HOMOLOGATED"/>
    <n v="46.48"/>
  </r>
  <r>
    <s v="1586060098-11801"/>
    <s v="https://shop.officineitalianezard.it/en/products/"/>
    <m/>
    <s v="https://shop.officineitalianezard.it/en/bmw-zard-exaust/"/>
    <s v="R NINE-T 1200"/>
    <s v="https://shop.officineitalianezard.it/en/bmw-r-nine-t-1200-exhaust/"/>
    <s v="LIMITED EDITION"/>
    <x v="298"/>
    <s v="N. 2 SILENCERS"/>
    <s v="ZBMW526SSR-LIM"/>
    <s v="BMW NINE-T 1200"/>
    <n v="793.77"/>
    <n v="881.97"/>
    <s v="&lt;p&gt;N. 2 STEEL RACING SILENCERS WITH REMOVABLE DB KILLERS.&lt;/p&gt;_x000a_&lt;p&gt;LIMITED VERSION&lt;/p&gt;_x000a_&lt;p&gt;ORIGINAL SILENCER WEIGHT: KG 4.4&lt;br&gt;ZARD STEEL SILENCERS WEIGHT: KG 4.2&lt;/p&gt;_x000a_&lt;p&gt;BLACK &amp;amp; SILVER MACHINED FROM SOLID ALUMINIUM END-CAP.&lt;/p&gt;_x000a_&lt;p&gt;ZARD SILENCERS CAN BE FITTED WITH ORIGINAL HEADERS KIT.&lt;/p&gt;_x000a_&lt;p&gt;THE EXHAUST CAN BE FITTED OF ONE CITY MOTORBIKE VERSION USING THE BRACKET AVAILABLE AS OPTIONAL.&lt;/p&gt;_x000a_&lt;p&gt;HARD INCREASE, COMPARED TO THE ORIGINAL EXHAUST SYSTEM, IN TERMS OF TORQUE AND POWER AT ANY RANGE.&lt;/p&gt;_x000a_&lt;p&gt;ASTONISHING SOUND.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ZARD NINE - T&lt;/a&gt;&lt;/p&gt;"/>
    <m/>
    <s v="ONE SEATED BRACKET"/>
    <n v="69.34"/>
  </r>
  <r>
    <s v="1586060098-11802"/>
    <s v="https://shop.officineitalianezard.it/en/products/"/>
    <m/>
    <s v="https://shop.officineitalianezard.it/en/bmw-zard-exaust/"/>
    <s v="R NINE-T 1200"/>
    <s v="https://shop.officineitalianezard.it/en/bmw-r-nine-t-1200-exhaust/"/>
    <s v="LIMITED EDITION"/>
    <x v="298"/>
    <s v="N. 2 SILENCERS"/>
    <s v="ZBMW526SSR-LIM"/>
    <s v="BMW NINE-T 1200"/>
    <n v="793.77"/>
    <n v="881.97"/>
    <s v="&lt;p&gt;N. 2 STEEL RACING SILENCERS WITH REMOVABLE DB KILLERS.&lt;/p&gt;_x000a_&lt;p&gt;LIMITED VERSION&lt;/p&gt;_x000a_&lt;p&gt;ORIGINAL SILENCER WEIGHT: KG 4.4&lt;br&gt;ZARD STEEL SILENCERS WEIGHT: KG 4.2&lt;/p&gt;_x000a_&lt;p&gt;BLACK &amp;amp; SILVER MACHINED FROM SOLID ALUMINIUM END-CAP.&lt;/p&gt;_x000a_&lt;p&gt;ZARD SILENCERS CAN BE FITTED WITH ORIGINAL HEADERS KIT.&lt;/p&gt;_x000a_&lt;p&gt;THE EXHAUST CAN BE FITTED OF ONE CITY MOTORBIKE VERSION USING THE BRACKET AVAILABLE AS OPTIONAL.&lt;/p&gt;_x000a_&lt;p&gt;HARD INCREASE, COMPARED TO THE ORIGINAL EXHAUST SYSTEM, IN TERMS OF TORQUE AND POWER AT ANY RANGE.&lt;/p&gt;_x000a_&lt;p&gt;ASTONISHING SOUND.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ZARD NINE - T&lt;/a&gt;&lt;/p&gt;"/>
    <m/>
    <s v="FULL TITANIUM"/>
    <n v="154.91999999999999"/>
  </r>
  <r>
    <s v="1586060098-11803"/>
    <s v="https://shop.officineitalianezard.it/en/products/"/>
    <m/>
    <s v="https://shop.officineitalianezard.it/en/bmw-zard-exaust/"/>
    <s v="R NINE-T 1200"/>
    <s v="https://shop.officineitalianezard.it/en/bmw-r-nine-t-1200-exhaust/"/>
    <s v="LIMITED EDITION"/>
    <x v="298"/>
    <s v="N. 2 SILENCERS"/>
    <s v="ZBMW526SSR-LIM"/>
    <s v="BMW NINE-T 1200"/>
    <n v="793.77"/>
    <n v="881.97"/>
    <s v="&lt;p&gt;N. 2 STEEL RACING SILENCERS WITH REMOVABLE DB KILLERS.&lt;/p&gt;_x000a_&lt;p&gt;LIMITED VERSION&lt;/p&gt;_x000a_&lt;p&gt;ORIGINAL SILENCER WEIGHT: KG 4.4&lt;br&gt;ZARD STEEL SILENCERS WEIGHT: KG 4.2&lt;/p&gt;_x000a_&lt;p&gt;BLACK &amp;amp; SILVER MACHINED FROM SOLID ALUMINIUM END-CAP.&lt;/p&gt;_x000a_&lt;p&gt;ZARD SILENCERS CAN BE FITTED WITH ORIGINAL HEADERS KIT.&lt;/p&gt;_x000a_&lt;p&gt;THE EXHAUST CAN BE FITTED OF ONE CITY MOTORBIKE VERSION USING THE BRACKET AVAILABLE AS OPTIONAL.&lt;/p&gt;_x000a_&lt;p&gt;HARD INCREASE, COMPARED TO THE ORIGINAL EXHAUST SYSTEM, IN TERMS OF TORQUE AND POWER AT ANY RANGE.&lt;/p&gt;_x000a_&lt;p&gt;ASTONISHING SOUND.&lt;/p&gt;_x000a_&lt;p&gt;SOUND TEST:&amp;nbsp;&lt;a href=&quot;http://youtu.be/DJe9a-qfmqI&quot;&gt;http://youtu.be/DJe9a-qfmqI&lt;/a&gt;&lt;/p&gt;_x000a_&lt;p&gt;&lt;a href=&quot;http://shop.officineitalianezard.it/it/products/index/scarico-bmw-nine-t-zard-7666-143/&quot;&gt;DISCOVER THE ZARD ACCESSORIES FOR YOUR BMW ZARD NINE - T&lt;/a&gt;&lt;/p&gt;"/>
    <m/>
    <s v="BLACK CERAMIC COATING"/>
    <n v="169.67"/>
  </r>
  <r>
    <s v="1586060100-11804"/>
    <s v="https://shop.officineitalianezard.it/en/products/"/>
    <m/>
    <s v="https://shop.officineitalianezard.it/en/bmw-zard-exaust/"/>
    <s v="R NINE-T 1200"/>
    <s v="https://shop.officineitalianezard.it/en/bmw-r-nine-t-1200-exhaust/"/>
    <s v="2&gt;1 FULL KIT"/>
    <x v="299"/>
    <s v="BAD CHILD"/>
    <s v="ZBMW527SKR"/>
    <s v="BMW NINE-T 1200"/>
    <n v="878.61"/>
    <n v="976.23"/>
    <s v="&lt;p&gt;2&amp;gt;1 STEEL RACING FULL KIT WITH REMOVABLE DB KILLER&lt;/p&gt;_x000a_&lt;p&gt;HOMOLOGATED-CATALYSED VERSION AVAILABLE AS OPTIONAL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_x000a_&lt;p&gt;&lt;a href=&quot;http://shop.officineitalianezard.it/it/products/index/scarico-bmw-nine-t-zard-7666-143/&quot;&gt;DISCOVER THE ZARD ACCESSORIES FOR YOUR BMW NINE-T&lt;/a&gt;&lt;/p&gt;_x000a_&lt;p&gt;&lt;strong&gt;NOTICE&lt;/strong&gt;: ON TITANIUM VERSION FULL KIT IS POSSIBLE TO GET THE 'SNAKE WELDED' HEADERS (AVAILABLE AS OPTIONAL)&lt;/p&gt;"/>
    <s v="https://shop.officineitalianezard.it/contents/imgs/products/1_1134-1.jpg"/>
    <m/>
    <m/>
  </r>
  <r>
    <s v="1586060100-11805"/>
    <s v="https://shop.officineitalianezard.it/en/products/"/>
    <m/>
    <s v="https://shop.officineitalianezard.it/en/bmw-zard-exaust/"/>
    <s v="R NINE-T 1200"/>
    <s v="https://shop.officineitalianezard.it/en/bmw-r-nine-t-1200-exhaust/"/>
    <s v="2&gt;1 FULL KIT"/>
    <x v="299"/>
    <s v="BAD CHILD"/>
    <s v="ZBMW527SKR"/>
    <s v="BMW NINE-T 1200"/>
    <n v="878.61"/>
    <n v="976.23"/>
    <s v="&lt;p&gt;2&amp;gt;1 STEEL RACING FULL KIT WITH REMOVABLE DB KILLER&lt;/p&gt;_x000a_&lt;p&gt;HOMOLOGATED-CATALYSED VERSION AVAILABLE AS OPTIONAL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_x000a_&lt;p&gt;&lt;a href=&quot;http://shop.officineitalianezard.it/it/products/index/scarico-bmw-nine-t-zard-7666-143/&quot;&gt;DISCOVER THE ZARD ACCESSORIES FOR YOUR BMW NINE-T&lt;/a&gt;&lt;/p&gt;_x000a_&lt;p&gt;&lt;strong&gt;NOTICE&lt;/strong&gt;: ON TITANIUM VERSION FULL KIT IS POSSIBLE TO GET THE 'SNAKE WELDED' HEADERS (AVAILABLE AS OPTIONAL)&lt;/p&gt;"/>
    <s v="https://shop.officineitalianezard.it/contents/imgs/products/1_1136-2.jpg"/>
    <m/>
    <m/>
  </r>
  <r>
    <s v="1586060100-11806"/>
    <s v="https://shop.officineitalianezard.it/en/products/"/>
    <m/>
    <s v="https://shop.officineitalianezard.it/en/bmw-zard-exaust/"/>
    <s v="R NINE-T 1200"/>
    <s v="https://shop.officineitalianezard.it/en/bmw-r-nine-t-1200-exhaust/"/>
    <s v="2&gt;1 FULL KIT"/>
    <x v="299"/>
    <s v="BAD CHILD"/>
    <s v="ZBMW527SKR"/>
    <s v="BMW NINE-T 1200"/>
    <n v="878.61"/>
    <n v="976.23"/>
    <s v="&lt;p&gt;2&amp;gt;1 STEEL RACING FULL KIT WITH REMOVABLE DB KILLER&lt;/p&gt;_x000a_&lt;p&gt;HOMOLOGATED-CATALYSED VERSION AVAILABLE AS OPTIONAL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_x000a_&lt;p&gt;&lt;a href=&quot;http://shop.officineitalianezard.it/it/products/index/scarico-bmw-nine-t-zard-7666-143/&quot;&gt;DISCOVER THE ZARD ACCESSORIES FOR YOUR BMW NINE-T&lt;/a&gt;&lt;/p&gt;_x000a_&lt;p&gt;&lt;strong&gt;NOTICE&lt;/strong&gt;: ON TITANIUM VERSION FULL KIT IS POSSIBLE TO GET THE 'SNAKE WELDED' HEADERS (AVAILABLE AS OPTIONAL)&lt;/p&gt;"/>
    <s v="https://shop.officineitalianezard.it/contents/imgs/products/1_1137-3.jpg"/>
    <m/>
    <m/>
  </r>
  <r>
    <s v="1586060100-11807"/>
    <s v="https://shop.officineitalianezard.it/en/products/"/>
    <m/>
    <s v="https://shop.officineitalianezard.it/en/bmw-zard-exaust/"/>
    <s v="R NINE-T 1200"/>
    <s v="https://shop.officineitalianezard.it/en/bmw-r-nine-t-1200-exhaust/"/>
    <s v="2&gt;1 FULL KIT"/>
    <x v="299"/>
    <s v="BAD CHILD"/>
    <s v="ZBMW527SKR"/>
    <s v="BMW NINE-T 1200"/>
    <n v="878.61"/>
    <n v="976.23"/>
    <s v="&lt;p&gt;2&amp;gt;1 STEEL RACING FULL KIT WITH REMOVABLE DB KILLER&lt;/p&gt;_x000a_&lt;p&gt;HOMOLOGATED-CATALYSED VERSION AVAILABLE AS OPTIONAL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_x000a_&lt;p&gt;&lt;a href=&quot;http://shop.officineitalianezard.it/it/products/index/scarico-bmw-nine-t-zard-7666-143/&quot;&gt;DISCOVER THE ZARD ACCESSORIES FOR YOUR BMW NINE-T&lt;/a&gt;&lt;/p&gt;_x000a_&lt;p&gt;&lt;strong&gt;NOTICE&lt;/strong&gt;: ON TITANIUM VERSION FULL KIT IS POSSIBLE TO GET THE 'SNAKE WELDED' HEADERS (AVAILABLE AS OPTIONAL)&lt;/p&gt;"/>
    <s v="https://shop.officineitalianezard.it/contents/imgs/products/1_1135-4.jpg"/>
    <m/>
    <m/>
  </r>
  <r>
    <s v="1586060100-11808"/>
    <s v="https://shop.officineitalianezard.it/en/products/"/>
    <m/>
    <s v="https://shop.officineitalianezard.it/en/bmw-zard-exaust/"/>
    <s v="R NINE-T 1200"/>
    <s v="https://shop.officineitalianezard.it/en/bmw-r-nine-t-1200-exhaust/"/>
    <s v="2&gt;1 FULL KIT"/>
    <x v="299"/>
    <s v="BAD CHILD"/>
    <s v="ZBMW527SKR"/>
    <s v="BMW NINE-T 1200"/>
    <n v="878.61"/>
    <n v="976.23"/>
    <s v="&lt;p&gt;2&amp;gt;1 STEEL RACING FULL KIT WITH REMOVABLE DB KILLER&lt;/p&gt;_x000a_&lt;p&gt;HOMOLOGATED-CATALYSED VERSION AVAILABLE AS OPTIONAL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_x000a_&lt;p&gt;&lt;a href=&quot;http://shop.officineitalianezard.it/it/products/index/scarico-bmw-nine-t-zard-7666-143/&quot;&gt;DISCOVER THE ZARD ACCESSORIES FOR YOUR BMW NINE-T&lt;/a&gt;&lt;/p&gt;_x000a_&lt;p&gt;&lt;strong&gt;NOTICE&lt;/strong&gt;: ON TITANIUM VERSION FULL KIT IS POSSIBLE TO GET THE 'SNAKE WELDED' HEADERS (AVAILABLE AS OPTIONAL)&lt;/p&gt;"/>
    <s v="https://shop.officineitalianezard.it/contents/imgs/products/1_1402-2_1255-zard-badchild-titanio.jpg"/>
    <m/>
    <m/>
  </r>
  <r>
    <s v="1586060100-11809"/>
    <s v="https://shop.officineitalianezard.it/en/products/"/>
    <m/>
    <s v="https://shop.officineitalianezard.it/en/bmw-zard-exaust/"/>
    <s v="R NINE-T 1200"/>
    <s v="https://shop.officineitalianezard.it/en/bmw-r-nine-t-1200-exhaust/"/>
    <s v="2&gt;1 FULL KIT"/>
    <x v="299"/>
    <s v="BAD CHILD"/>
    <s v="ZBMW527SKR"/>
    <s v="BMW NINE-T 1200"/>
    <n v="878.61"/>
    <n v="976.23"/>
    <s v="&lt;p&gt;2&amp;gt;1 STEEL RACING FULL KIT WITH REMOVABLE DB KILLER&lt;/p&gt;_x000a_&lt;p&gt;HOMOLOGATED-CATALYSED VERSION AVAILABLE AS OPTIONAL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_x000a_&lt;p&gt;&lt;a href=&quot;http://shop.officineitalianezard.it/it/products/index/scarico-bmw-nine-t-zard-7666-143/&quot;&gt;DISCOVER THE ZARD ACCESSORIES FOR YOUR BMW NINE-T&lt;/a&gt;&lt;/p&gt;_x000a_&lt;p&gt;&lt;strong&gt;NOTICE&lt;/strong&gt;: ON TITANIUM VERSION FULL KIT IS POSSIBLE TO GET THE 'SNAKE WELDED' HEADERS (AVAILABLE AS OPTIONAL)&lt;/p&gt;"/>
    <s v="https://shop.officineitalianezard.it/contents/imgs/products/1_2179-1401-nine%20t%20zard%20omnia%20racing.jpg"/>
    <m/>
    <m/>
  </r>
  <r>
    <s v="1586060100-11810"/>
    <s v="https://shop.officineitalianezard.it/en/products/"/>
    <m/>
    <s v="https://shop.officineitalianezard.it/en/bmw-zard-exaust/"/>
    <s v="R NINE-T 1200"/>
    <s v="https://shop.officineitalianezard.it/en/bmw-r-nine-t-1200-exhaust/"/>
    <s v="2&gt;1 FULL KIT"/>
    <x v="299"/>
    <s v="BAD CHILD"/>
    <s v="ZBMW527SKR"/>
    <s v="BMW NINE-T 1200"/>
    <n v="878.61"/>
    <n v="976.23"/>
    <s v="&lt;p&gt;2&amp;gt;1 STEEL RACING FULL KIT WITH REMOVABLE DB KILLER&lt;/p&gt;_x000a_&lt;p&gt;HOMOLOGATED-CATALYSED VERSION AVAILABLE AS OPTIONAL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_x000a_&lt;p&gt;&lt;a href=&quot;http://shop.officineitalianezard.it/it/products/index/scarico-bmw-nine-t-zard-7666-143/&quot;&gt;DISCOVER THE ZARD ACCESSORIES FOR YOUR BMW NINE-T&lt;/a&gt;&lt;/p&gt;_x000a_&lt;p&gt;&lt;strong&gt;NOTICE&lt;/strong&gt;: ON TITANIUM VERSION FULL KIT IS POSSIBLE TO GET THE 'SNAKE WELDED' HEADERS (AVAILABLE AS OPTIONAL)&lt;/p&gt;"/>
    <m/>
    <s v="HOMOLOGATED"/>
    <n v="115.82"/>
  </r>
  <r>
    <s v="1586060100-11811"/>
    <s v="https://shop.officineitalianezard.it/en/products/"/>
    <m/>
    <s v="https://shop.officineitalianezard.it/en/bmw-zard-exaust/"/>
    <s v="R NINE-T 1200"/>
    <s v="https://shop.officineitalianezard.it/en/bmw-r-nine-t-1200-exhaust/"/>
    <s v="2&gt;1 FULL KIT"/>
    <x v="299"/>
    <s v="BAD CHILD"/>
    <s v="ZBMW527SKR"/>
    <s v="BMW NINE-T 1200"/>
    <n v="878.61"/>
    <n v="976.23"/>
    <s v="&lt;p&gt;2&amp;gt;1 STEEL RACING FULL KIT WITH REMOVABLE DB KILLER&lt;/p&gt;_x000a_&lt;p&gt;HOMOLOGATED-CATALYSED VERSION AVAILABLE AS OPTIONAL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_x000a_&lt;p&gt;&lt;a href=&quot;http://shop.officineitalianezard.it/it/products/index/scarico-bmw-nine-t-zard-7666-143/&quot;&gt;DISCOVER THE ZARD ACCESSORIES FOR YOUR BMW NINE-T&lt;/a&gt;&lt;/p&gt;_x000a_&lt;p&gt;&lt;strong&gt;NOTICE&lt;/strong&gt;: ON TITANIUM VERSION FULL KIT IS POSSIBLE TO GET THE 'SNAKE WELDED' HEADERS (AVAILABLE AS OPTIONAL)&lt;/p&gt;"/>
    <m/>
    <s v="FULL TITANIUM HOMOLOGATED"/>
    <n v="578.36"/>
  </r>
  <r>
    <s v="1586060100-11812"/>
    <s v="https://shop.officineitalianezard.it/en/products/"/>
    <m/>
    <s v="https://shop.officineitalianezard.it/en/bmw-zard-exaust/"/>
    <s v="R NINE-T 1200"/>
    <s v="https://shop.officineitalianezard.it/en/bmw-r-nine-t-1200-exhaust/"/>
    <s v="2&gt;1 FULL KIT"/>
    <x v="299"/>
    <s v="BAD CHILD"/>
    <s v="ZBMW527SKR"/>
    <s v="BMW NINE-T 1200"/>
    <n v="878.61"/>
    <n v="976.23"/>
    <s v="&lt;p&gt;2&amp;gt;1 STEEL RACING FULL KIT WITH REMOVABLE DB KILLER&lt;/p&gt;_x000a_&lt;p&gt;HOMOLOGATED-CATALYSED VERSION AVAILABLE AS OPTIONAL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_x000a_&lt;p&gt;&lt;a href=&quot;http://shop.officineitalianezard.it/it/products/index/scarico-bmw-nine-t-zard-7666-143/&quot;&gt;DISCOVER THE ZARD ACCESSORIES FOR YOUR BMW NINE-T&lt;/a&gt;&lt;/p&gt;_x000a_&lt;p&gt;&lt;strong&gt;NOTICE&lt;/strong&gt;: ON TITANIUM VERSION FULL KIT IS POSSIBLE TO GET THE 'SNAKE WELDED' HEADERS (AVAILABLE AS OPTIONAL)&lt;/p&gt;"/>
    <m/>
    <s v="BLACK CERAMIC COATING"/>
    <n v="200.66"/>
  </r>
  <r>
    <s v="1586060100-11813"/>
    <s v="https://shop.officineitalianezard.it/en/products/"/>
    <m/>
    <s v="https://shop.officineitalianezard.it/en/bmw-zard-exaust/"/>
    <s v="R NINE-T 1200"/>
    <s v="https://shop.officineitalianezard.it/en/bmw-r-nine-t-1200-exhaust/"/>
    <s v="2&gt;1 FULL KIT"/>
    <x v="299"/>
    <s v="BAD CHILD"/>
    <s v="ZBMW527SKR"/>
    <s v="BMW NINE-T 1200"/>
    <n v="878.61"/>
    <n v="976.23"/>
    <s v="&lt;p&gt;2&amp;gt;1 STEEL RACING FULL KIT WITH REMOVABLE DB KILLER&lt;/p&gt;_x000a_&lt;p&gt;HOMOLOGATED-CATALYSED VERSION AVAILABLE AS OPTIONAL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_x000a_&lt;p&gt;&lt;a href=&quot;http://shop.officineitalianezard.it/it/products/index/scarico-bmw-nine-t-zard-7666-143/&quot;&gt;DISCOVER THE ZARD ACCESSORIES FOR YOUR BMW NINE-T&lt;/a&gt;&lt;/p&gt;_x000a_&lt;p&gt;&lt;strong&gt;NOTICE&lt;/strong&gt;: ON TITANIUM VERSION FULL KIT IS POSSIBLE TO GET THE 'SNAKE WELDED' HEADERS (AVAILABLE AS OPTIONAL)&lt;/p&gt;"/>
    <m/>
    <s v="SNAKE WELDED HEADERS"/>
    <n v="178.52"/>
  </r>
  <r>
    <s v="1586060100-11814"/>
    <s v="https://shop.officineitalianezard.it/en/products/"/>
    <m/>
    <s v="https://shop.officineitalianezard.it/en/bmw-zard-exaust/"/>
    <s v="R NINE-T 1200"/>
    <s v="https://shop.officineitalianezard.it/en/bmw-r-nine-t-1200-exhaust/"/>
    <s v="2&gt;1 FULL KIT"/>
    <x v="299"/>
    <s v="BAD CHILD"/>
    <s v="ZBMW527SKR"/>
    <s v="BMW NINE-T 1200"/>
    <n v="878.61"/>
    <n v="976.23"/>
    <s v="&lt;p&gt;2&amp;gt;1 STEEL RACING FULL KIT WITH REMOVABLE DB KILLER&lt;/p&gt;_x000a_&lt;p&gt;HOMOLOGATED-CATALYSED VERSION AVAILABLE AS OPTIONAL&lt;/p&gt;_x000a_&lt;p&gt;ORIGINAL FULL KIT WEIGHT: 8.8 KG&amp;nbsp;&lt;br&gt;ZARD STEEL FULL KIT WEIGHT: 5.3 KG&lt;/p&gt;_x000a_&lt;p&gt;HARD INCREASE, COMPARED TO THE ORIGINAL EXHAUST SYSTEM, IN TERMS OF TORQUE AND POWER AT ANY RANGE.&lt;/p&gt;_x000a_&lt;p&gt;ASTONISHING SOUND.&lt;/p&gt;_x000a_&lt;p&gt;&lt;a href=&quot;http://shop.officineitalianezard.it/it/products/index/scarico-bmw-nine-t-zard-7666-143/&quot;&gt;DISCOVER THE ZARD ACCESSORIES FOR YOUR BMW NINE-T&lt;/a&gt;&lt;/p&gt;_x000a_&lt;p&gt;&lt;strong&gt;NOTICE&lt;/strong&gt;: ON TITANIUM VERSION FULL KIT IS POSSIBLE TO GET THE 'SNAKE WELDED' HEADERS (AVAILABLE AS OPTIONAL)&lt;/p&gt;"/>
    <m/>
    <s v="FULL TITANIUM RACING"/>
    <n v="424.18"/>
  </r>
  <r>
    <s v="1586060102-11815"/>
    <s v="https://shop.officineitalianezard.it/en/products/"/>
    <m/>
    <s v="https://shop.officineitalianezard.it/en/bmw-zard-exaust/"/>
    <s v="R NINE-T 1200"/>
    <s v="https://shop.officineitalianezard.it/en/bmw-r-nine-t-1200-exhaust/"/>
    <s v="SILENCER"/>
    <x v="300"/>
    <s v="BAD CHILD"/>
    <s v="ZBMW527SSR"/>
    <s v="BMW NINE-T 1200"/>
    <n v="469.92"/>
    <n v="522.13"/>
    <s v="&lt;p&gt;STEEL RACING SILENCER WITH REMOVABLE DB KILLER.&lt;/p&gt;_x000a_&lt;p&gt;ORIGINAL SILENCER WEIGHT: KG 4.4&lt;br&gt;ZARD STEEL SILENCER WEIGHT: KG 2&lt;/p&gt;_x000a_&lt;p&gt;ZARD SILENCER CAN BE FITTED WITH ORIGINAL HEADERS KIT OR, FOR A TOP PERFORMANCE, WITH ZARD HEADERS KIT.&lt;/p&gt;_x000a_&lt;p&gt;HARD INCREASE, COMPARED TO THE ORIGINAL EXHAUST SYSTEM, IN TERMS OF TORQUE AND POWER AT ANY RANGE.&lt;/p&gt;_x000a_&lt;p&gt;ASTONISHING SOUND.&lt;/p&gt;_x000a_&lt;p&gt;&lt;a href=&quot;http://shop.officineitalianezard.it/it/products/index/scarico-bmw-nine-t-zard-7666-143/&quot;&gt;DISCOVER THE ZARD ACCESSORIES FOR YOUR BMW NINE-T&lt;/a&gt;&lt;/p&gt;"/>
    <s v="https://shop.officineitalianezard.it/contents/imgs/products/1_1128-1.jpg"/>
    <m/>
    <m/>
  </r>
  <r>
    <s v="1586060102-11816"/>
    <s v="https://shop.officineitalianezard.it/en/products/"/>
    <m/>
    <s v="https://shop.officineitalianezard.it/en/bmw-zard-exaust/"/>
    <s v="R NINE-T 1200"/>
    <s v="https://shop.officineitalianezard.it/en/bmw-r-nine-t-1200-exhaust/"/>
    <s v="SILENCER"/>
    <x v="300"/>
    <s v="BAD CHILD"/>
    <s v="ZBMW527SSR"/>
    <s v="BMW NINE-T 1200"/>
    <n v="469.92"/>
    <n v="522.13"/>
    <s v="&lt;p&gt;STEEL RACING SILENCER WITH REMOVABLE DB KILLER.&lt;/p&gt;_x000a_&lt;p&gt;ORIGINAL SILENCER WEIGHT: KG 4.4&lt;br&gt;ZARD STEEL SILENCER WEIGHT: KG 2&lt;/p&gt;_x000a_&lt;p&gt;ZARD SILENCER CAN BE FITTED WITH ORIGINAL HEADERS KIT OR, FOR A TOP PERFORMANCE, WITH ZARD HEADERS KIT.&lt;/p&gt;_x000a_&lt;p&gt;HARD INCREASE, COMPARED TO THE ORIGINAL EXHAUST SYSTEM, IN TERMS OF TORQUE AND POWER AT ANY RANGE.&lt;/p&gt;_x000a_&lt;p&gt;ASTONISHING SOUND.&lt;/p&gt;_x000a_&lt;p&gt;&lt;a href=&quot;http://shop.officineitalianezard.it/it/products/index/scarico-bmw-nine-t-zard-7666-143/&quot;&gt;DISCOVER THE ZARD ACCESSORIES FOR YOUR BMW NINE-T&lt;/a&gt;&lt;/p&gt;"/>
    <s v="https://shop.officineitalianezard.it/contents/imgs/products/1_1131-2.jpg"/>
    <m/>
    <m/>
  </r>
  <r>
    <s v="1586060102-11817"/>
    <s v="https://shop.officineitalianezard.it/en/products/"/>
    <m/>
    <s v="https://shop.officineitalianezard.it/en/bmw-zard-exaust/"/>
    <s v="R NINE-T 1200"/>
    <s v="https://shop.officineitalianezard.it/en/bmw-r-nine-t-1200-exhaust/"/>
    <s v="SILENCER"/>
    <x v="300"/>
    <s v="BAD CHILD"/>
    <s v="ZBMW527SSR"/>
    <s v="BMW NINE-T 1200"/>
    <n v="469.92"/>
    <n v="522.13"/>
    <s v="&lt;p&gt;STEEL RACING SILENCER WITH REMOVABLE DB KILLER.&lt;/p&gt;_x000a_&lt;p&gt;ORIGINAL SILENCER WEIGHT: KG 4.4&lt;br&gt;ZARD STEEL SILENCER WEIGHT: KG 2&lt;/p&gt;_x000a_&lt;p&gt;ZARD SILENCER CAN BE FITTED WITH ORIGINAL HEADERS KIT OR, FOR A TOP PERFORMANCE, WITH ZARD HEADERS KIT.&lt;/p&gt;_x000a_&lt;p&gt;HARD INCREASE, COMPARED TO THE ORIGINAL EXHAUST SYSTEM, IN TERMS OF TORQUE AND POWER AT ANY RANGE.&lt;/p&gt;_x000a_&lt;p&gt;ASTONISHING SOUND.&lt;/p&gt;_x000a_&lt;p&gt;&lt;a href=&quot;http://shop.officineitalianezard.it/it/products/index/scarico-bmw-nine-t-zard-7666-143/&quot;&gt;DISCOVER THE ZARD ACCESSORIES FOR YOUR BMW NINE-T&lt;/a&gt;&lt;/p&gt;"/>
    <s v="https://shop.officineitalianezard.it/contents/imgs/products/1_1133-3.jpg"/>
    <m/>
    <m/>
  </r>
  <r>
    <s v="1586060102-11818"/>
    <s v="https://shop.officineitalianezard.it/en/products/"/>
    <m/>
    <s v="https://shop.officineitalianezard.it/en/bmw-zard-exaust/"/>
    <s v="R NINE-T 1200"/>
    <s v="https://shop.officineitalianezard.it/en/bmw-r-nine-t-1200-exhaust/"/>
    <s v="SILENCER"/>
    <x v="300"/>
    <s v="BAD CHILD"/>
    <s v="ZBMW527SSR"/>
    <s v="BMW NINE-T 1200"/>
    <n v="469.92"/>
    <n v="522.13"/>
    <s v="&lt;p&gt;STEEL RACING SILENCER WITH REMOVABLE DB KILLER.&lt;/p&gt;_x000a_&lt;p&gt;ORIGINAL SILENCER WEIGHT: KG 4.4&lt;br&gt;ZARD STEEL SILENCER WEIGHT: KG 2&lt;/p&gt;_x000a_&lt;p&gt;ZARD SILENCER CAN BE FITTED WITH ORIGINAL HEADERS KIT OR, FOR A TOP PERFORMANCE, WITH ZARD HEADERS KIT.&lt;/p&gt;_x000a_&lt;p&gt;HARD INCREASE, COMPARED TO THE ORIGINAL EXHAUST SYSTEM, IN TERMS OF TORQUE AND POWER AT ANY RANGE.&lt;/p&gt;_x000a_&lt;p&gt;ASTONISHING SOUND.&lt;/p&gt;_x000a_&lt;p&gt;&lt;a href=&quot;http://shop.officineitalianezard.it/it/products/index/scarico-bmw-nine-t-zard-7666-143/&quot;&gt;DISCOVER THE ZARD ACCESSORIES FOR YOUR BMW NINE-T&lt;/a&gt;&lt;/p&gt;"/>
    <s v="https://shop.officineitalianezard.it/contents/imgs/products/1_1130-4.jpg"/>
    <m/>
    <m/>
  </r>
  <r>
    <s v="1586060102-11819"/>
    <s v="https://shop.officineitalianezard.it/en/products/"/>
    <m/>
    <s v="https://shop.officineitalianezard.it/en/bmw-zard-exaust/"/>
    <s v="R NINE-T 1200"/>
    <s v="https://shop.officineitalianezard.it/en/bmw-r-nine-t-1200-exhaust/"/>
    <s v="SILENCER"/>
    <x v="300"/>
    <s v="BAD CHILD"/>
    <s v="ZBMW527SSR"/>
    <s v="BMW NINE-T 1200"/>
    <n v="469.92"/>
    <n v="522.13"/>
    <s v="&lt;p&gt;STEEL RACING SILENCER WITH REMOVABLE DB KILLER.&lt;/p&gt;_x000a_&lt;p&gt;ORIGINAL SILENCER WEIGHT: KG 4.4&lt;br&gt;ZARD STEEL SILENCER WEIGHT: KG 2&lt;/p&gt;_x000a_&lt;p&gt;ZARD SILENCER CAN BE FITTED WITH ORIGINAL HEADERS KIT OR, FOR A TOP PERFORMANCE, WITH ZARD HEADERS KIT.&lt;/p&gt;_x000a_&lt;p&gt;HARD INCREASE, COMPARED TO THE ORIGINAL EXHAUST SYSTEM, IN TERMS OF TORQUE AND POWER AT ANY RANGE.&lt;/p&gt;_x000a_&lt;p&gt;ASTONISHING SOUND.&lt;/p&gt;_x000a_&lt;p&gt;&lt;a href=&quot;http://shop.officineitalianezard.it/it/products/index/scarico-bmw-nine-t-zard-7666-143/&quot;&gt;DISCOVER THE ZARD ACCESSORIES FOR YOUR BMW NINE-T&lt;/a&gt;&lt;/p&gt;"/>
    <s v="https://shop.officineitalianezard.it/contents/imgs/products/1_1210-silenziatore%20zard%20bmw%20nine%20bad%20child%20-%20low%20res.jpg"/>
    <m/>
    <m/>
  </r>
  <r>
    <s v="1586060102-11820"/>
    <s v="https://shop.officineitalianezard.it/en/products/"/>
    <m/>
    <s v="https://shop.officineitalianezard.it/en/bmw-zard-exaust/"/>
    <s v="R NINE-T 1200"/>
    <s v="https://shop.officineitalianezard.it/en/bmw-r-nine-t-1200-exhaust/"/>
    <s v="SILENCER"/>
    <x v="300"/>
    <s v="BAD CHILD"/>
    <s v="ZBMW527SSR"/>
    <s v="BMW NINE-T 1200"/>
    <n v="469.92"/>
    <n v="522.13"/>
    <s v="&lt;p&gt;STEEL RACING SILENCER WITH REMOVABLE DB KILLER.&lt;/p&gt;_x000a_&lt;p&gt;ORIGINAL SILENCER WEIGHT: KG 4.4&lt;br&gt;ZARD STEEL SILENCER WEIGHT: KG 2&lt;/p&gt;_x000a_&lt;p&gt;ZARD SILENCER CAN BE FITTED WITH ORIGINAL HEADERS KIT OR, FOR A TOP PERFORMANCE, WITH ZARD HEADERS KIT.&lt;/p&gt;_x000a_&lt;p&gt;HARD INCREASE, COMPARED TO THE ORIGINAL EXHAUST SYSTEM, IN TERMS OF TORQUE AND POWER AT ANY RANGE.&lt;/p&gt;_x000a_&lt;p&gt;ASTONISHING SOUND.&lt;/p&gt;_x000a_&lt;p&gt;&lt;a href=&quot;http://shop.officineitalianezard.it/it/products/index/scarico-bmw-nine-t-zard-7666-143/&quot;&gt;DISCOVER THE ZARD ACCESSORIES FOR YOUR BMW NINE-T&lt;/a&gt;&lt;/p&gt;"/>
    <s v="https://shop.officineitalianezard.it/contents/imgs/products/1_1255-zard-badchild-titanio.jpg"/>
    <m/>
    <m/>
  </r>
  <r>
    <s v="1586060102-11821"/>
    <s v="https://shop.officineitalianezard.it/en/products/"/>
    <m/>
    <s v="https://shop.officineitalianezard.it/en/bmw-zard-exaust/"/>
    <s v="R NINE-T 1200"/>
    <s v="https://shop.officineitalianezard.it/en/bmw-r-nine-t-1200-exhaust/"/>
    <s v="SILENCER"/>
    <x v="300"/>
    <s v="BAD CHILD"/>
    <s v="ZBMW527SSR"/>
    <s v="BMW NINE-T 1200"/>
    <n v="469.92"/>
    <n v="522.13"/>
    <s v="&lt;p&gt;STEEL RACING SILENCER WITH REMOVABLE DB KILLER.&lt;/p&gt;_x000a_&lt;p&gt;ORIGINAL SILENCER WEIGHT: KG 4.4&lt;br&gt;ZARD STEEL SILENCER WEIGHT: KG 2&lt;/p&gt;_x000a_&lt;p&gt;ZARD SILENCER CAN BE FITTED WITH ORIGINAL HEADERS KIT OR, FOR A TOP PERFORMANCE, WITH ZARD HEADERS KIT.&lt;/p&gt;_x000a_&lt;p&gt;HARD INCREASE, COMPARED TO THE ORIGINAL EXHAUST SYSTEM, IN TERMS OF TORQUE AND POWER AT ANY RANGE.&lt;/p&gt;_x000a_&lt;p&gt;ASTONISHING SOUND.&lt;/p&gt;_x000a_&lt;p&gt;&lt;a href=&quot;http://shop.officineitalianezard.it/it/products/index/scarico-bmw-nine-t-zard-7666-143/&quot;&gt;DISCOVER THE ZARD ACCESSORIES FOR YOUR BMW NINE-T&lt;/a&gt;&lt;/p&gt;"/>
    <m/>
    <s v="TITANIUM SIL. + BLACK ENDCAP"/>
    <n v="169.67"/>
  </r>
  <r>
    <s v="1586060102-11822"/>
    <s v="https://shop.officineitalianezard.it/en/products/"/>
    <m/>
    <s v="https://shop.officineitalianezard.it/en/bmw-zard-exaust/"/>
    <s v="R NINE-T 1200"/>
    <s v="https://shop.officineitalianezard.it/en/bmw-r-nine-t-1200-exhaust/"/>
    <s v="SILENCER"/>
    <x v="300"/>
    <s v="BAD CHILD"/>
    <s v="ZBMW527SSR"/>
    <s v="BMW NINE-T 1200"/>
    <n v="469.92"/>
    <n v="522.13"/>
    <s v="&lt;p&gt;STEEL RACING SILENCER WITH REMOVABLE DB KILLER.&lt;/p&gt;_x000a_&lt;p&gt;ORIGINAL SILENCER WEIGHT: KG 4.4&lt;br&gt;ZARD STEEL SILENCER WEIGHT: KG 2&lt;/p&gt;_x000a_&lt;p&gt;ZARD SILENCER CAN BE FITTED WITH ORIGINAL HEADERS KIT OR, FOR A TOP PERFORMANCE, WITH ZARD HEADERS KIT.&lt;/p&gt;_x000a_&lt;p&gt;HARD INCREASE, COMPARED TO THE ORIGINAL EXHAUST SYSTEM, IN TERMS OF TORQUE AND POWER AT ANY RANGE.&lt;/p&gt;_x000a_&lt;p&gt;ASTONISHING SOUND.&lt;/p&gt;_x000a_&lt;p&gt;&lt;a href=&quot;http://shop.officineitalianezard.it/it/products/index/scarico-bmw-nine-t-zard-7666-143/&quot;&gt;DISCOVER THE ZARD ACCESSORIES FOR YOUR BMW NINE-T&lt;/a&gt;&lt;/p&gt;"/>
    <m/>
    <s v="HOMOLOGATED"/>
    <n v="38.36"/>
  </r>
  <r>
    <s v="1586060102-11823"/>
    <s v="https://shop.officineitalianezard.it/en/products/"/>
    <m/>
    <s v="https://shop.officineitalianezard.it/en/bmw-zard-exaust/"/>
    <s v="R NINE-T 1200"/>
    <s v="https://shop.officineitalianezard.it/en/bmw-r-nine-t-1200-exhaust/"/>
    <s v="SILENCER"/>
    <x v="300"/>
    <s v="BAD CHILD"/>
    <s v="ZBMW527SSR"/>
    <s v="BMW NINE-T 1200"/>
    <n v="469.92"/>
    <n v="522.13"/>
    <s v="&lt;p&gt;STEEL RACING SILENCER WITH REMOVABLE DB KILLER.&lt;/p&gt;_x000a_&lt;p&gt;ORIGINAL SILENCER WEIGHT: KG 4.4&lt;br&gt;ZARD STEEL SILENCER WEIGHT: KG 2&lt;/p&gt;_x000a_&lt;p&gt;ZARD SILENCER CAN BE FITTED WITH ORIGINAL HEADERS KIT OR, FOR A TOP PERFORMANCE, WITH ZARD HEADERS KIT.&lt;/p&gt;_x000a_&lt;p&gt;HARD INCREASE, COMPARED TO THE ORIGINAL EXHAUST SYSTEM, IN TERMS OF TORQUE AND POWER AT ANY RANGE.&lt;/p&gt;_x000a_&lt;p&gt;ASTONISHING SOUND.&lt;/p&gt;_x000a_&lt;p&gt;&lt;a href=&quot;http://shop.officineitalianezard.it/it/products/index/scarico-bmw-nine-t-zard-7666-143/&quot;&gt;DISCOVER THE ZARD ACCESSORIES FOR YOUR BMW NINE-T&lt;/a&gt;&lt;/p&gt;"/>
    <m/>
    <s v="BLACK CERAMIC COATING"/>
    <n v="77.459999999999994"/>
  </r>
  <r>
    <s v="1586060102-11824"/>
    <s v="https://shop.officineitalianezard.it/en/products/"/>
    <m/>
    <s v="https://shop.officineitalianezard.it/en/bmw-zard-exaust/"/>
    <s v="R NINE-T 1200"/>
    <s v="https://shop.officineitalianezard.it/en/bmw-r-nine-t-1200-exhaust/"/>
    <s v="SILENCER"/>
    <x v="300"/>
    <s v="BAD CHILD"/>
    <s v="ZBMW527SSR"/>
    <s v="BMW NINE-T 1200"/>
    <n v="469.92"/>
    <n v="522.13"/>
    <s v="&lt;p&gt;STEEL RACING SILENCER WITH REMOVABLE DB KILLER.&lt;/p&gt;_x000a_&lt;p&gt;ORIGINAL SILENCER WEIGHT: KG 4.4&lt;br&gt;ZARD STEEL SILENCER WEIGHT: KG 2&lt;/p&gt;_x000a_&lt;p&gt;ZARD SILENCER CAN BE FITTED WITH ORIGINAL HEADERS KIT OR, FOR A TOP PERFORMANCE, WITH ZARD HEADERS KIT.&lt;/p&gt;_x000a_&lt;p&gt;HARD INCREASE, COMPARED TO THE ORIGINAL EXHAUST SYSTEM, IN TERMS OF TORQUE AND POWER AT ANY RANGE.&lt;/p&gt;_x000a_&lt;p&gt;ASTONISHING SOUND.&lt;/p&gt;_x000a_&lt;p&gt;&lt;a href=&quot;http://shop.officineitalianezard.it/it/products/index/scarico-bmw-nine-t-zard-7666-143/&quot;&gt;DISCOVER THE ZARD ACCESSORIES FOR YOUR BMW NINE-T&lt;/a&gt;&lt;/p&gt;"/>
    <m/>
    <s v="ACCESSORIES"/>
    <n v="0"/>
  </r>
  <r>
    <s v="1586060105-11825"/>
    <s v="https://shop.officineitalianezard.it/en/products/"/>
    <m/>
    <s v="https://shop.officineitalianezard.it/en/bmw-zard-exaust/"/>
    <s v="R NINE-T 1200"/>
    <s v="https://shop.officineitalianezard.it/en/bmw-r-nine-t-1200-exhaust/"/>
    <s v="BMW R-NINE T"/>
    <x v="301"/>
    <s v="ACCESSORIES"/>
    <s v="ZBMW528-1234"/>
    <s v="BMW NINE-T 1200"/>
    <n v="0"/>
    <n v="0"/>
    <s v="&lt;p&gt;&lt;strong&gt;N.B. ACCESSORIES AVAILABLE ON DEMAND&lt;/strong&gt;&lt;/p&gt;_x000a_&lt;p&gt;KIT ACCESSORIES BMW NINE-T CAPITAN SCAPPAMENTO&lt;/p&gt;_x000a_&lt;p&gt;FOR THE INSTALLATION OF THE AIR FILTER IT IS NECESSARY TO CUT THE ORIGINAL HEAT SHIELD AS THE PROVIDED TEMPLATE.&amp;nbsp;&lt;/p&gt;_x000a_&lt;p class=&quot;p1&quot;&gt;&lt;strong&gt;&lt;span class=&quot;s1&quot;&gt;TITANIUM DUCT INTAKE AND COVER FITS ALSO ON NINE-T SCRAMBLER, PURE, RACER E URBAN G/S.&lt;/span&gt;&lt;/strong&gt;&lt;/p&gt;_x000a_&lt;p class=&quot;p1&quot;&gt;FITTING MANUAL:&amp;nbsp;&lt;a href=&quot;http://shop.officineitalianezard.it//public/contents/imgs/cms/istruzioni.pdf&quot;&gt;DOWNLOAD&lt;/a&gt;&lt;/p&gt;_x000a_&lt;p&gt;&amp;nbsp;&lt;/p&gt;"/>
    <s v="https://shop.officineitalianezard.it/contents/imgs/products/1_1351-3.jpg"/>
    <m/>
    <m/>
  </r>
  <r>
    <s v="1586060105-11826"/>
    <s v="https://shop.officineitalianezard.it/en/products/"/>
    <m/>
    <s v="https://shop.officineitalianezard.it/en/bmw-zard-exaust/"/>
    <s v="R NINE-T 1200"/>
    <s v="https://shop.officineitalianezard.it/en/bmw-r-nine-t-1200-exhaust/"/>
    <s v="BMW R-NINE T"/>
    <x v="301"/>
    <s v="ACCESSORIES"/>
    <s v="ZBMW528-1234"/>
    <s v="BMW NINE-T 1200"/>
    <n v="0"/>
    <n v="0"/>
    <s v="&lt;p&gt;&lt;strong&gt;N.B. ACCESSORIES AVAILABLE ON DEMAND&lt;/strong&gt;&lt;/p&gt;_x000a_&lt;p&gt;KIT ACCESSORIES BMW NINE-T CAPITAN SCAPPAMENTO&lt;/p&gt;_x000a_&lt;p&gt;FOR THE INSTALLATION OF THE AIR FILTER IT IS NECESSARY TO CUT THE ORIGINAL HEAT SHIELD AS THE PROVIDED TEMPLATE.&amp;nbsp;&lt;/p&gt;_x000a_&lt;p class=&quot;p1&quot;&gt;&lt;strong&gt;&lt;span class=&quot;s1&quot;&gt;TITANIUM DUCT INTAKE AND COVER FITS ALSO ON NINE-T SCRAMBLER, PURE, RACER E URBAN G/S.&lt;/span&gt;&lt;/strong&gt;&lt;/p&gt;_x000a_&lt;p class=&quot;p1&quot;&gt;FITTING MANUAL:&amp;nbsp;&lt;a href=&quot;http://shop.officineitalianezard.it//public/contents/imgs/cms/istruzioni.pdf&quot;&gt;DOWNLOAD&lt;/a&gt;&lt;/p&gt;_x000a_&lt;p&gt;&amp;nbsp;&lt;/p&gt;"/>
    <s v="https://shop.officineitalianezard.it/contents/imgs/products/1_1349-nine-scappamento-zard.jpg"/>
    <m/>
    <m/>
  </r>
  <r>
    <s v="1586060105-11827"/>
    <s v="https://shop.officineitalianezard.it/en/products/"/>
    <m/>
    <s v="https://shop.officineitalianezard.it/en/bmw-zard-exaust/"/>
    <s v="R NINE-T 1200"/>
    <s v="https://shop.officineitalianezard.it/en/bmw-r-nine-t-1200-exhaust/"/>
    <s v="BMW R-NINE T"/>
    <x v="301"/>
    <s v="ACCESSORIES"/>
    <s v="ZBMW528-1234"/>
    <s v="BMW NINE-T 1200"/>
    <n v="0"/>
    <n v="0"/>
    <s v="&lt;p&gt;&lt;strong&gt;N.B. ACCESSORIES AVAILABLE ON DEMAND&lt;/strong&gt;&lt;/p&gt;_x000a_&lt;p&gt;KIT ACCESSORIES BMW NINE-T CAPITAN SCAPPAMENTO&lt;/p&gt;_x000a_&lt;p&gt;FOR THE INSTALLATION OF THE AIR FILTER IT IS NECESSARY TO CUT THE ORIGINAL HEAT SHIELD AS THE PROVIDED TEMPLATE.&amp;nbsp;&lt;/p&gt;_x000a_&lt;p class=&quot;p1&quot;&gt;&lt;strong&gt;&lt;span class=&quot;s1&quot;&gt;TITANIUM DUCT INTAKE AND COVER FITS ALSO ON NINE-T SCRAMBLER, PURE, RACER E URBAN G/S.&lt;/span&gt;&lt;/strong&gt;&lt;/p&gt;_x000a_&lt;p class=&quot;p1&quot;&gt;FITTING MANUAL:&amp;nbsp;&lt;a href=&quot;http://shop.officineitalianezard.it//public/contents/imgs/cms/istruzioni.pdf&quot;&gt;DOWNLOAD&lt;/a&gt;&lt;/p&gt;_x000a_&lt;p&gt;&amp;nbsp;&lt;/p&gt;"/>
    <s v="https://shop.officineitalianezard.it/contents/imgs/products/1_1350-2.jpg"/>
    <m/>
    <m/>
  </r>
  <r>
    <s v="1586060105-11828"/>
    <s v="https://shop.officineitalianezard.it/en/products/"/>
    <m/>
    <s v="https://shop.officineitalianezard.it/en/bmw-zard-exaust/"/>
    <s v="R NINE-T 1200"/>
    <s v="https://shop.officineitalianezard.it/en/bmw-r-nine-t-1200-exhaust/"/>
    <s v="BMW R-NINE T"/>
    <x v="301"/>
    <s v="ACCESSORIES"/>
    <s v="ZBMW528-1234"/>
    <s v="BMW NINE-T 1200"/>
    <n v="0"/>
    <n v="0"/>
    <s v="&lt;p&gt;&lt;strong&gt;N.B. ACCESSORIES AVAILABLE ON DEMAND&lt;/strong&gt;&lt;/p&gt;_x000a_&lt;p&gt;KIT ACCESSORIES BMW NINE-T CAPITAN SCAPPAMENTO&lt;/p&gt;_x000a_&lt;p&gt;FOR THE INSTALLATION OF THE AIR FILTER IT IS NECESSARY TO CUT THE ORIGINAL HEAT SHIELD AS THE PROVIDED TEMPLATE.&amp;nbsp;&lt;/p&gt;_x000a_&lt;p class=&quot;p1&quot;&gt;&lt;strong&gt;&lt;span class=&quot;s1&quot;&gt;TITANIUM DUCT INTAKE AND COVER FITS ALSO ON NINE-T SCRAMBLER, PURE, RACER E URBAN G/S.&lt;/span&gt;&lt;/strong&gt;&lt;/p&gt;_x000a_&lt;p class=&quot;p1&quot;&gt;FITTING MANUAL:&amp;nbsp;&lt;a href=&quot;http://shop.officineitalianezard.it//public/contents/imgs/cms/istruzioni.pdf&quot;&gt;DOWNLOAD&lt;/a&gt;&lt;/p&gt;_x000a_&lt;p&gt;&amp;nbsp;&lt;/p&gt;"/>
    <s v="https://shop.officineitalianezard.it/contents/imgs/products/1_1352-4.jpg"/>
    <m/>
    <m/>
  </r>
  <r>
    <s v="1586060105-11829"/>
    <s v="https://shop.officineitalianezard.it/en/products/"/>
    <m/>
    <s v="https://shop.officineitalianezard.it/en/bmw-zard-exaust/"/>
    <s v="R NINE-T 1200"/>
    <s v="https://shop.officineitalianezard.it/en/bmw-r-nine-t-1200-exhaust/"/>
    <s v="BMW R-NINE T"/>
    <x v="301"/>
    <s v="ACCESSORIES"/>
    <s v="ZBMW528-1234"/>
    <s v="BMW NINE-T 1200"/>
    <n v="0"/>
    <n v="0"/>
    <s v="&lt;p&gt;&lt;strong&gt;N.B. ACCESSORIES AVAILABLE ON DEMAND&lt;/strong&gt;&lt;/p&gt;_x000a_&lt;p&gt;KIT ACCESSORIES BMW NINE-T CAPITAN SCAPPAMENTO&lt;/p&gt;_x000a_&lt;p&gt;FOR THE INSTALLATION OF THE AIR FILTER IT IS NECESSARY TO CUT THE ORIGINAL HEAT SHIELD AS THE PROVIDED TEMPLATE.&amp;nbsp;&lt;/p&gt;_x000a_&lt;p class=&quot;p1&quot;&gt;&lt;strong&gt;&lt;span class=&quot;s1&quot;&gt;TITANIUM DUCT INTAKE AND COVER FITS ALSO ON NINE-T SCRAMBLER, PURE, RACER E URBAN G/S.&lt;/span&gt;&lt;/strong&gt;&lt;/p&gt;_x000a_&lt;p class=&quot;p1&quot;&gt;FITTING MANUAL:&amp;nbsp;&lt;a href=&quot;http://shop.officineitalianezard.it//public/contents/imgs/cms/istruzioni.pdf&quot;&gt;DOWNLOAD&lt;/a&gt;&lt;/p&gt;_x000a_&lt;p&gt;&amp;nbsp;&lt;/p&gt;"/>
    <s v="https://shop.officineitalianezard.it/contents/imgs/products/1_1372-cover%20titanio.jpg"/>
    <m/>
    <m/>
  </r>
  <r>
    <s v="1586060105-11830"/>
    <s v="https://shop.officineitalianezard.it/en/products/"/>
    <m/>
    <s v="https://shop.officineitalianezard.it/en/bmw-zard-exaust/"/>
    <s v="R NINE-T 1200"/>
    <s v="https://shop.officineitalianezard.it/en/bmw-r-nine-t-1200-exhaust/"/>
    <s v="BMW R-NINE T"/>
    <x v="301"/>
    <s v="ACCESSORIES"/>
    <s v="ZBMW528-1234"/>
    <s v="BMW NINE-T 1200"/>
    <n v="0"/>
    <n v="0"/>
    <s v="&lt;p&gt;&lt;strong&gt;N.B. ACCESSORIES AVAILABLE ON DEMAND&lt;/strong&gt;&lt;/p&gt;_x000a_&lt;p&gt;KIT ACCESSORIES BMW NINE-T CAPITAN SCAPPAMENTO&lt;/p&gt;_x000a_&lt;p&gt;FOR THE INSTALLATION OF THE AIR FILTER IT IS NECESSARY TO CUT THE ORIGINAL HEAT SHIELD AS THE PROVIDED TEMPLATE.&amp;nbsp;&lt;/p&gt;_x000a_&lt;p class=&quot;p1&quot;&gt;&lt;strong&gt;&lt;span class=&quot;s1&quot;&gt;TITANIUM DUCT INTAKE AND COVER FITS ALSO ON NINE-T SCRAMBLER, PURE, RACER E URBAN G/S.&lt;/span&gt;&lt;/strong&gt;&lt;/p&gt;_x000a_&lt;p class=&quot;p1&quot;&gt;FITTING MANUAL:&amp;nbsp;&lt;a href=&quot;http://shop.officineitalianezard.it//public/contents/imgs/cms/istruzioni.pdf&quot;&gt;DOWNLOAD&lt;/a&gt;&lt;/p&gt;_x000a_&lt;p&gt;&amp;nbsp;&lt;/p&gt;"/>
    <s v="https://shop.officineitalianezard.it/contents/imgs/products/1_1371-condotto%20titanio.jpg"/>
    <m/>
    <m/>
  </r>
  <r>
    <s v="1586060105-11831"/>
    <s v="https://shop.officineitalianezard.it/en/products/"/>
    <m/>
    <s v="https://shop.officineitalianezard.it/en/bmw-zard-exaust/"/>
    <s v="R NINE-T 1200"/>
    <s v="https://shop.officineitalianezard.it/en/bmw-r-nine-t-1200-exhaust/"/>
    <s v="BMW R-NINE T"/>
    <x v="301"/>
    <s v="ACCESSORIES"/>
    <s v="ZBMW528-1234"/>
    <s v="BMW NINE-T 1200"/>
    <n v="0"/>
    <n v="0"/>
    <s v="&lt;p&gt;&lt;strong&gt;N.B. ACCESSORIES AVAILABLE ON DEMAND&lt;/strong&gt;&lt;/p&gt;_x000a_&lt;p&gt;KIT ACCESSORIES BMW NINE-T CAPITAN SCAPPAMENTO&lt;/p&gt;_x000a_&lt;p&gt;FOR THE INSTALLATION OF THE AIR FILTER IT IS NECESSARY TO CUT THE ORIGINAL HEAT SHIELD AS THE PROVIDED TEMPLATE.&amp;nbsp;&lt;/p&gt;_x000a_&lt;p class=&quot;p1&quot;&gt;&lt;strong&gt;&lt;span class=&quot;s1&quot;&gt;TITANIUM DUCT INTAKE AND COVER FITS ALSO ON NINE-T SCRAMBLER, PURE, RACER E URBAN G/S.&lt;/span&gt;&lt;/strong&gt;&lt;/p&gt;_x000a_&lt;p class=&quot;p1&quot;&gt;FITTING MANUAL:&amp;nbsp;&lt;a href=&quot;http://shop.officineitalianezard.it//public/contents/imgs/cms/istruzioni.pdf&quot;&gt;DOWNLOAD&lt;/a&gt;&lt;/p&gt;_x000a_&lt;p&gt;&amp;nbsp;&lt;/p&gt;"/>
    <s v="https://shop.officineitalianezard.it/contents/imgs/products/1_1716-cupolino%20bianco%20ridotta.jpg"/>
    <m/>
    <m/>
  </r>
  <r>
    <s v="1586060105-11832"/>
    <s v="https://shop.officineitalianezard.it/en/products/"/>
    <m/>
    <s v="https://shop.officineitalianezard.it/en/bmw-zard-exaust/"/>
    <s v="R NINE-T 1200"/>
    <s v="https://shop.officineitalianezard.it/en/bmw-r-nine-t-1200-exhaust/"/>
    <s v="BMW R-NINE T"/>
    <x v="301"/>
    <s v="ACCESSORIES"/>
    <s v="ZBMW528-1234"/>
    <s v="BMW NINE-T 1200"/>
    <n v="0"/>
    <n v="0"/>
    <s v="&lt;p&gt;&lt;strong&gt;N.B. ACCESSORIES AVAILABLE ON DEMAND&lt;/strong&gt;&lt;/p&gt;_x000a_&lt;p&gt;KIT ACCESSORIES BMW NINE-T CAPITAN SCAPPAMENTO&lt;/p&gt;_x000a_&lt;p&gt;FOR THE INSTALLATION OF THE AIR FILTER IT IS NECESSARY TO CUT THE ORIGINAL HEAT SHIELD AS THE PROVIDED TEMPLATE.&amp;nbsp;&lt;/p&gt;_x000a_&lt;p class=&quot;p1&quot;&gt;&lt;strong&gt;&lt;span class=&quot;s1&quot;&gt;TITANIUM DUCT INTAKE AND COVER FITS ALSO ON NINE-T SCRAMBLER, PURE, RACER E URBAN G/S.&lt;/span&gt;&lt;/strong&gt;&lt;/p&gt;_x000a_&lt;p class=&quot;p1&quot;&gt;FITTING MANUAL:&amp;nbsp;&lt;a href=&quot;http://shop.officineitalianezard.it//public/contents/imgs/cms/istruzioni.pdf&quot;&gt;DOWNLOAD&lt;/a&gt;&lt;/p&gt;_x000a_&lt;p&gt;&amp;nbsp;&lt;/p&gt;"/>
    <m/>
    <s v="STEEL FENDER"/>
    <n v="89.26"/>
  </r>
  <r>
    <s v="1586060105-11833"/>
    <s v="https://shop.officineitalianezard.it/en/products/"/>
    <m/>
    <s v="https://shop.officineitalianezard.it/en/bmw-zard-exaust/"/>
    <s v="R NINE-T 1200"/>
    <s v="https://shop.officineitalianezard.it/en/bmw-r-nine-t-1200-exhaust/"/>
    <s v="BMW R-NINE T"/>
    <x v="301"/>
    <s v="ACCESSORIES"/>
    <s v="ZBMW528-1234"/>
    <s v="BMW NINE-T 1200"/>
    <n v="0"/>
    <n v="0"/>
    <s v="&lt;p&gt;&lt;strong&gt;N.B. ACCESSORIES AVAILABLE ON DEMAND&lt;/strong&gt;&lt;/p&gt;_x000a_&lt;p&gt;KIT ACCESSORIES BMW NINE-T CAPITAN SCAPPAMENTO&lt;/p&gt;_x000a_&lt;p&gt;FOR THE INSTALLATION OF THE AIR FILTER IT IS NECESSARY TO CUT THE ORIGINAL HEAT SHIELD AS THE PROVIDED TEMPLATE.&amp;nbsp;&lt;/p&gt;_x000a_&lt;p class=&quot;p1&quot;&gt;&lt;strong&gt;&lt;span class=&quot;s1&quot;&gt;TITANIUM DUCT INTAKE AND COVER FITS ALSO ON NINE-T SCRAMBLER, PURE, RACER E URBAN G/S.&lt;/span&gt;&lt;/strong&gt;&lt;/p&gt;_x000a_&lt;p class=&quot;p1&quot;&gt;FITTING MANUAL:&amp;nbsp;&lt;a href=&quot;http://shop.officineitalianezard.it//public/contents/imgs/cms/istruzioni.pdf&quot;&gt;DOWNLOAD&lt;/a&gt;&lt;/p&gt;_x000a_&lt;p&gt;&amp;nbsp;&lt;/p&gt;"/>
    <m/>
    <s v="TITANIUM DUCT INTAKE"/>
    <n v="479.51"/>
  </r>
  <r>
    <s v="1586060105-11834"/>
    <s v="https://shop.officineitalianezard.it/en/products/"/>
    <m/>
    <s v="https://shop.officineitalianezard.it/en/bmw-zard-exaust/"/>
    <s v="R NINE-T 1200"/>
    <s v="https://shop.officineitalianezard.it/en/bmw-r-nine-t-1200-exhaust/"/>
    <s v="BMW R-NINE T"/>
    <x v="301"/>
    <s v="ACCESSORIES"/>
    <s v="ZBMW528-1234"/>
    <s v="BMW NINE-T 1200"/>
    <n v="0"/>
    <n v="0"/>
    <s v="&lt;p&gt;&lt;strong&gt;N.B. ACCESSORIES AVAILABLE ON DEMAND&lt;/strong&gt;&lt;/p&gt;_x000a_&lt;p&gt;KIT ACCESSORIES BMW NINE-T CAPITAN SCAPPAMENTO&lt;/p&gt;_x000a_&lt;p&gt;FOR THE INSTALLATION OF THE AIR FILTER IT IS NECESSARY TO CUT THE ORIGINAL HEAT SHIELD AS THE PROVIDED TEMPLATE.&amp;nbsp;&lt;/p&gt;_x000a_&lt;p class=&quot;p1&quot;&gt;&lt;strong&gt;&lt;span class=&quot;s1&quot;&gt;TITANIUM DUCT INTAKE AND COVER FITS ALSO ON NINE-T SCRAMBLER, PURE, RACER E URBAN G/S.&lt;/span&gt;&lt;/strong&gt;&lt;/p&gt;_x000a_&lt;p class=&quot;p1&quot;&gt;FITTING MANUAL:&amp;nbsp;&lt;a href=&quot;http://shop.officineitalianezard.it//public/contents/imgs/cms/istruzioni.pdf&quot;&gt;DOWNLOAD&lt;/a&gt;&lt;/p&gt;_x000a_&lt;p&gt;&amp;nbsp;&lt;/p&gt;"/>
    <m/>
    <s v="TITANIUM INTAKE COVER RH+LH"/>
    <n v="246.39"/>
  </r>
  <r>
    <s v="1586060108-11835"/>
    <s v="https://shop.officineitalianezard.it/en/products/"/>
    <m/>
    <s v="https://shop.officineitalianezard.it/en/bmw-zard-exaust/"/>
    <s v="R NINE-T 1200"/>
    <s v="https://shop.officineitalianezard.it/en/bmw-r-nine-t-1200-exhaust/"/>
    <s v="CAPITAN SCAPPAMENTO"/>
    <x v="302"/>
    <s v="FULL KIT"/>
    <s v="ZBMW528TKR"/>
    <s v="BMW NINE-T 1200"/>
    <n v="1695.98"/>
    <n v="1884.43"/>
    <s v="&lt;p&gt;2&amp;gt;2 TITANIUM RACING FULL KIT WITH REMOVABLE DB KILLERS&lt;/p&gt;_x000a_&lt;p&gt;ORIGINAL FULL KIT WEIGHT: KG 8.8&lt;br&gt;TITANIUM ZARD FULL KIT WEIGHT: 4.5&lt;/p&gt;_x000a_&lt;p&gt;HARD INCREASE, COMPARED TO THE ORIGINAL EXHAUST SYSTEM, IN TERMS OF TORQUE AND POWER AT ANY RANGE.&lt;/p&gt;_x000a_&lt;p&gt;ASTONISHING SOUND.&lt;/p&gt;_x000a_&lt;p&gt;N.B. FOR THE INSTALLATION OF THE AIR FILTER IT IS NECESSARY TO CUT THE ORIGINAL HEAT SHIELD AS THE PROVIDED TEMPLATE.&amp;nbsp;&lt;/p&gt;"/>
    <s v="https://shop.officineitalianezard.it/contents/imgs/products/1_1270-nine-scappamento-zard.jpg"/>
    <m/>
    <m/>
  </r>
  <r>
    <s v="1586060108-11836"/>
    <s v="https://shop.officineitalianezard.it/en/products/"/>
    <m/>
    <s v="https://shop.officineitalianezard.it/en/bmw-zard-exaust/"/>
    <s v="R NINE-T 1200"/>
    <s v="https://shop.officineitalianezard.it/en/bmw-r-nine-t-1200-exhaust/"/>
    <s v="CAPITAN SCAPPAMENTO"/>
    <x v="302"/>
    <s v="FULL KIT"/>
    <s v="ZBMW528TKR"/>
    <s v="BMW NINE-T 1200"/>
    <n v="1695.98"/>
    <n v="1884.43"/>
    <s v="&lt;p&gt;2&amp;gt;2 TITANIUM RACING FULL KIT WITH REMOVABLE DB KILLERS&lt;/p&gt;_x000a_&lt;p&gt;ORIGINAL FULL KIT WEIGHT: KG 8.8&lt;br&gt;TITANIUM ZARD FULL KIT WEIGHT: 4.5&lt;/p&gt;_x000a_&lt;p&gt;HARD INCREASE, COMPARED TO THE ORIGINAL EXHAUST SYSTEM, IN TERMS OF TORQUE AND POWER AT ANY RANGE.&lt;/p&gt;_x000a_&lt;p&gt;ASTONISHING SOUND.&lt;/p&gt;_x000a_&lt;p&gt;N.B. FOR THE INSTALLATION OF THE AIR FILTER IT IS NECESSARY TO CUT THE ORIGINAL HEAT SHIELD AS THE PROVIDED TEMPLATE.&amp;nbsp;&lt;/p&gt;"/>
    <s v="https://shop.officineitalianezard.it/contents/imgs/products/1_1345-2.jpg"/>
    <m/>
    <m/>
  </r>
  <r>
    <s v="1586060108-11837"/>
    <s v="https://shop.officineitalianezard.it/en/products/"/>
    <m/>
    <s v="https://shop.officineitalianezard.it/en/bmw-zard-exaust/"/>
    <s v="R NINE-T 1200"/>
    <s v="https://shop.officineitalianezard.it/en/bmw-r-nine-t-1200-exhaust/"/>
    <s v="CAPITAN SCAPPAMENTO"/>
    <x v="302"/>
    <s v="FULL KIT"/>
    <s v="ZBMW528TKR"/>
    <s v="BMW NINE-T 1200"/>
    <n v="1695.98"/>
    <n v="1884.43"/>
    <s v="&lt;p&gt;2&amp;gt;2 TITANIUM RACING FULL KIT WITH REMOVABLE DB KILLERS&lt;/p&gt;_x000a_&lt;p&gt;ORIGINAL FULL KIT WEIGHT: KG 8.8&lt;br&gt;TITANIUM ZARD FULL KIT WEIGHT: 4.5&lt;/p&gt;_x000a_&lt;p&gt;HARD INCREASE, COMPARED TO THE ORIGINAL EXHAUST SYSTEM, IN TERMS OF TORQUE AND POWER AT ANY RANGE.&lt;/p&gt;_x000a_&lt;p&gt;ASTONISHING SOUND.&lt;/p&gt;_x000a_&lt;p&gt;N.B. FOR THE INSTALLATION OF THE AIR FILTER IT IS NECESSARY TO CUT THE ORIGINAL HEAT SHIELD AS THE PROVIDED TEMPLATE.&amp;nbsp;&lt;/p&gt;"/>
    <s v="https://shop.officineitalianezard.it/contents/imgs/products/1_1346-3.jpg"/>
    <m/>
    <m/>
  </r>
  <r>
    <s v="1586060108-11838"/>
    <s v="https://shop.officineitalianezard.it/en/products/"/>
    <m/>
    <s v="https://shop.officineitalianezard.it/en/bmw-zard-exaust/"/>
    <s v="R NINE-T 1200"/>
    <s v="https://shop.officineitalianezard.it/en/bmw-r-nine-t-1200-exhaust/"/>
    <s v="CAPITAN SCAPPAMENTO"/>
    <x v="302"/>
    <s v="FULL KIT"/>
    <s v="ZBMW528TKR"/>
    <s v="BMW NINE-T 1200"/>
    <n v="1695.98"/>
    <n v="1884.43"/>
    <s v="&lt;p&gt;2&amp;gt;2 TITANIUM RACING FULL KIT WITH REMOVABLE DB KILLERS&lt;/p&gt;_x000a_&lt;p&gt;ORIGINAL FULL KIT WEIGHT: KG 8.8&lt;br&gt;TITANIUM ZARD FULL KIT WEIGHT: 4.5&lt;/p&gt;_x000a_&lt;p&gt;HARD INCREASE, COMPARED TO THE ORIGINAL EXHAUST SYSTEM, IN TERMS OF TORQUE AND POWER AT ANY RANGE.&lt;/p&gt;_x000a_&lt;p&gt;ASTONISHING SOUND.&lt;/p&gt;_x000a_&lt;p&gt;N.B. FOR THE INSTALLATION OF THE AIR FILTER IT IS NECESSARY TO CUT THE ORIGINAL HEAT SHIELD AS THE PROVIDED TEMPLATE.&amp;nbsp;&lt;/p&gt;"/>
    <s v="https://shop.officineitalianezard.it/contents/imgs/products/1_1347-4.jpg"/>
    <m/>
    <m/>
  </r>
  <r>
    <s v="1586060108-11839"/>
    <s v="https://shop.officineitalianezard.it/en/products/"/>
    <m/>
    <s v="https://shop.officineitalianezard.it/en/bmw-zard-exaust/"/>
    <s v="R NINE-T 1200"/>
    <s v="https://shop.officineitalianezard.it/en/bmw-r-nine-t-1200-exhaust/"/>
    <s v="CAPITAN SCAPPAMENTO"/>
    <x v="302"/>
    <s v="FULL KIT"/>
    <s v="ZBMW528TKR"/>
    <s v="BMW NINE-T 1200"/>
    <n v="1695.98"/>
    <n v="1884.43"/>
    <s v="&lt;p&gt;2&amp;gt;2 TITANIUM RACING FULL KIT WITH REMOVABLE DB KILLERS&lt;/p&gt;_x000a_&lt;p&gt;ORIGINAL FULL KIT WEIGHT: KG 8.8&lt;br&gt;TITANIUM ZARD FULL KIT WEIGHT: 4.5&lt;/p&gt;_x000a_&lt;p&gt;HARD INCREASE, COMPARED TO THE ORIGINAL EXHAUST SYSTEM, IN TERMS OF TORQUE AND POWER AT ANY RANGE.&lt;/p&gt;_x000a_&lt;p&gt;ASTONISHING SOUND.&lt;/p&gt;_x000a_&lt;p&gt;N.B. FOR THE INSTALLATION OF THE AIR FILTER IT IS NECESSARY TO CUT THE ORIGINAL HEAT SHIELD AS THE PROVIDED TEMPLATE.&amp;nbsp;&lt;/p&gt;"/>
    <s v="https://shop.officineitalianezard.it/contents/imgs/products/1_1348-5.jpg"/>
    <m/>
    <m/>
  </r>
  <r>
    <s v="1586060108-11840"/>
    <s v="https://shop.officineitalianezard.it/en/products/"/>
    <m/>
    <s v="https://shop.officineitalianezard.it/en/bmw-zard-exaust/"/>
    <s v="R NINE-T 1200"/>
    <s v="https://shop.officineitalianezard.it/en/bmw-r-nine-t-1200-exhaust/"/>
    <s v="CAPITAN SCAPPAMENTO"/>
    <x v="302"/>
    <s v="FULL KIT"/>
    <s v="ZBMW528TKR"/>
    <s v="BMW NINE-T 1200"/>
    <n v="1695.98"/>
    <n v="1884.43"/>
    <s v="&lt;p&gt;2&amp;gt;2 TITANIUM RACING FULL KIT WITH REMOVABLE DB KILLERS&lt;/p&gt;_x000a_&lt;p&gt;ORIGINAL FULL KIT WEIGHT: KG 8.8&lt;br&gt;TITANIUM ZARD FULL KIT WEIGHT: 4.5&lt;/p&gt;_x000a_&lt;p&gt;HARD INCREASE, COMPARED TO THE ORIGINAL EXHAUST SYSTEM, IN TERMS OF TORQUE AND POWER AT ANY RANGE.&lt;/p&gt;_x000a_&lt;p&gt;ASTONISHING SOUND.&lt;/p&gt;_x000a_&lt;p&gt;N.B. FOR THE INSTALLATION OF THE AIR FILTER IT IS NECESSARY TO CUT THE ORIGINAL HEAT SHIELD AS THE PROVIDED TEMPLATE.&amp;nbsp;&lt;/p&gt;"/>
    <s v="https://shop.officineitalianezard.it/contents/imgs/products/1_1373-silenziatori%20bmw%20nine%20t%20zard%20scappamento.jpg"/>
    <m/>
    <m/>
  </r>
  <r>
    <s v="1586060108-11841"/>
    <s v="https://shop.officineitalianezard.it/en/products/"/>
    <m/>
    <s v="https://shop.officineitalianezard.it/en/bmw-zard-exaust/"/>
    <s v="R NINE-T 1200"/>
    <s v="https://shop.officineitalianezard.it/en/bmw-r-nine-t-1200-exhaust/"/>
    <s v="CAPITAN SCAPPAMENTO"/>
    <x v="302"/>
    <s v="FULL KIT"/>
    <s v="ZBMW528TKR"/>
    <s v="BMW NINE-T 1200"/>
    <n v="1695.98"/>
    <n v="1884.43"/>
    <s v="&lt;p&gt;2&amp;gt;2 TITANIUM RACING FULL KIT WITH REMOVABLE DB KILLERS&lt;/p&gt;_x000a_&lt;p&gt;ORIGINAL FULL KIT WEIGHT: KG 8.8&lt;br&gt;TITANIUM ZARD FULL KIT WEIGHT: 4.5&lt;/p&gt;_x000a_&lt;p&gt;HARD INCREASE, COMPARED TO THE ORIGINAL EXHAUST SYSTEM, IN TERMS OF TORQUE AND POWER AT ANY RANGE.&lt;/p&gt;_x000a_&lt;p&gt;ASTONISHING SOUND.&lt;/p&gt;_x000a_&lt;p&gt;N.B. FOR THE INSTALLATION OF THE AIR FILTER IT IS NECESSARY TO CUT THE ORIGINAL HEAT SHIELD AS THE PROVIDED TEMPLATE.&amp;nbsp;&lt;/p&gt;"/>
    <s v="https://shop.officineitalianezard.it/contents/imgs/products/1_2145-r9t.jpg"/>
    <m/>
    <m/>
  </r>
  <r>
    <s v="1586060108-11842"/>
    <s v="https://shop.officineitalianezard.it/en/products/"/>
    <m/>
    <s v="https://shop.officineitalianezard.it/en/bmw-zard-exaust/"/>
    <s v="R NINE-T 1200"/>
    <s v="https://shop.officineitalianezard.it/en/bmw-r-nine-t-1200-exhaust/"/>
    <s v="CAPITAN SCAPPAMENTO"/>
    <x v="302"/>
    <s v="FULL KIT"/>
    <s v="ZBMW528TKR"/>
    <s v="BMW NINE-T 1200"/>
    <n v="1695.98"/>
    <n v="1884.43"/>
    <s v="&lt;p&gt;2&amp;gt;2 TITANIUM RACING FULL KIT WITH REMOVABLE DB KILLERS&lt;/p&gt;_x000a_&lt;p&gt;ORIGINAL FULL KIT WEIGHT: KG 8.8&lt;br&gt;TITANIUM ZARD FULL KIT WEIGHT: 4.5&lt;/p&gt;_x000a_&lt;p&gt;HARD INCREASE, COMPARED TO THE ORIGINAL EXHAUST SYSTEM, IN TERMS OF TORQUE AND POWER AT ANY RANGE.&lt;/p&gt;_x000a_&lt;p&gt;ASTONISHING SOUND.&lt;/p&gt;_x000a_&lt;p&gt;N.B. FOR THE INSTALLATION OF THE AIR FILTER IT IS NECESSARY TO CUT THE ORIGINAL HEAT SHIELD AS THE PROVIDED TEMPLATE.&amp;nbsp;&lt;/p&gt;"/>
    <m/>
    <s v="STEEL FENDER"/>
    <n v="89.26"/>
  </r>
  <r>
    <s v="1586060108-11843"/>
    <s v="https://shop.officineitalianezard.it/en/products/"/>
    <m/>
    <s v="https://shop.officineitalianezard.it/en/bmw-zard-exaust/"/>
    <s v="R NINE-T 1200"/>
    <s v="https://shop.officineitalianezard.it/en/bmw-r-nine-t-1200-exhaust/"/>
    <s v="CAPITAN SCAPPAMENTO"/>
    <x v="302"/>
    <s v="FULL KIT"/>
    <s v="ZBMW528TKR"/>
    <s v="BMW NINE-T 1200"/>
    <n v="1695.98"/>
    <n v="1884.43"/>
    <s v="&lt;p&gt;2&amp;gt;2 TITANIUM RACING FULL KIT WITH REMOVABLE DB KILLERS&lt;/p&gt;_x000a_&lt;p&gt;ORIGINAL FULL KIT WEIGHT: KG 8.8&lt;br&gt;TITANIUM ZARD FULL KIT WEIGHT: 4.5&lt;/p&gt;_x000a_&lt;p&gt;HARD INCREASE, COMPARED TO THE ORIGINAL EXHAUST SYSTEM, IN TERMS OF TORQUE AND POWER AT ANY RANGE.&lt;/p&gt;_x000a_&lt;p&gt;ASTONISHING SOUND.&lt;/p&gt;_x000a_&lt;p&gt;N.B. FOR THE INSTALLATION OF THE AIR FILTER IT IS NECESSARY TO CUT THE ORIGINAL HEAT SHIELD AS THE PROVIDED TEMPLATE.&amp;nbsp;&lt;/p&gt;"/>
    <m/>
    <s v="TITANIUM DUCT INTAKE"/>
    <n v="479.51"/>
  </r>
  <r>
    <s v="1586060108-11844"/>
    <s v="https://shop.officineitalianezard.it/en/products/"/>
    <m/>
    <s v="https://shop.officineitalianezard.it/en/bmw-zard-exaust/"/>
    <s v="R NINE-T 1200"/>
    <s v="https://shop.officineitalianezard.it/en/bmw-r-nine-t-1200-exhaust/"/>
    <s v="CAPITAN SCAPPAMENTO"/>
    <x v="302"/>
    <s v="FULL KIT"/>
    <s v="ZBMW528TKR"/>
    <s v="BMW NINE-T 1200"/>
    <n v="1695.98"/>
    <n v="1884.43"/>
    <s v="&lt;p&gt;2&amp;gt;2 TITANIUM RACING FULL KIT WITH REMOVABLE DB KILLERS&lt;/p&gt;_x000a_&lt;p&gt;ORIGINAL FULL KIT WEIGHT: KG 8.8&lt;br&gt;TITANIUM ZARD FULL KIT WEIGHT: 4.5&lt;/p&gt;_x000a_&lt;p&gt;HARD INCREASE, COMPARED TO THE ORIGINAL EXHAUST SYSTEM, IN TERMS OF TORQUE AND POWER AT ANY RANGE.&lt;/p&gt;_x000a_&lt;p&gt;ASTONISHING SOUND.&lt;/p&gt;_x000a_&lt;p&gt;N.B. FOR THE INSTALLATION OF THE AIR FILTER IT IS NECESSARY TO CUT THE ORIGINAL HEAT SHIELD AS THE PROVIDED TEMPLATE.&amp;nbsp;&lt;/p&gt;"/>
    <m/>
    <s v="TITANIUM INTAKE COVER RH+LH"/>
    <n v="246.39"/>
  </r>
  <r>
    <s v="1586060114-11845"/>
    <s v="https://shop.officineitalianezard.it/en/products/"/>
    <m/>
    <s v="https://shop.officineitalianezard.it/en/bmw-zard-exaust/"/>
    <s v="F 800 S-ST"/>
    <s v="https://shop.officineitalianezard.it/en/bmw-f-800-s-st-exhaust/"/>
    <s v="CONICAL VERSION"/>
    <x v="303"/>
    <s v="SILENCER"/>
    <s v="ZBMW083SSR-S"/>
    <s v="BMW F 800 S/ST"/>
    <n v="423.44"/>
    <n v="470.49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s v="https://shop.officineitalianezard.it/contents/imgs/products/1_804-scarichi%20moto%20zard%20bmw1.jpg"/>
    <m/>
    <m/>
  </r>
  <r>
    <s v="1586060114-11846"/>
    <s v="https://shop.officineitalianezard.it/en/products/"/>
    <m/>
    <s v="https://shop.officineitalianezard.it/en/bmw-zard-exaust/"/>
    <s v="F 800 S-ST"/>
    <s v="https://shop.officineitalianezard.it/en/bmw-f-800-s-st-exhaust/"/>
    <s v="CONICAL VERSION"/>
    <x v="303"/>
    <s v="SILENCER"/>
    <s v="ZBMW083SSR-S"/>
    <s v="BMW F 800 S/ST"/>
    <n v="423.44"/>
    <n v="470.49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m/>
    <s v="HOMOLOGATED EURO 3"/>
    <n v="23.61"/>
  </r>
  <r>
    <s v="1586060114-11847"/>
    <s v="https://shop.officineitalianezard.it/en/products/"/>
    <m/>
    <s v="https://shop.officineitalianezard.it/en/bmw-zard-exaust/"/>
    <s v="F 800 S-ST"/>
    <s v="https://shop.officineitalianezard.it/en/bmw-f-800-s-st-exhaust/"/>
    <s v="CONICAL VERSION"/>
    <x v="303"/>
    <s v="SILENCER"/>
    <s v="ZBMW083SSR-S"/>
    <s v="BMW F 800 S/ST"/>
    <n v="423.44"/>
    <n v="470.49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m/>
    <s v="BLACK COATING"/>
    <n v="77.459999999999994"/>
  </r>
  <r>
    <s v="1586060114-11848"/>
    <s v="https://shop.officineitalianezard.it/en/products/"/>
    <m/>
    <s v="https://shop.officineitalianezard.it/en/bmw-zard-exaust/"/>
    <s v="F 800 S-ST"/>
    <s v="https://shop.officineitalianezard.it/en/bmw-f-800-s-st-exhaust/"/>
    <s v="CONICAL VERSION"/>
    <x v="303"/>
    <s v="SILENCER"/>
    <s v="ZBMW083SSR-S"/>
    <s v="BMW F 800 S/ST"/>
    <n v="423.44"/>
    <n v="470.49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m/>
    <s v="MIRROR POLISHED"/>
    <n v="19.18"/>
  </r>
  <r>
    <s v="1586060114-11849"/>
    <s v="https://shop.officineitalianezard.it/en/products/"/>
    <m/>
    <s v="https://shop.officineitalianezard.it/en/bmw-zard-exaust/"/>
    <s v="F 800 S-ST"/>
    <s v="https://shop.officineitalianezard.it/en/bmw-f-800-s-st-exhaust/"/>
    <s v="CONICAL VERSION"/>
    <x v="303"/>
    <s v="SILENCER"/>
    <s v="ZBMW083SSR-S"/>
    <s v="BMW F 800 S/ST"/>
    <n v="423.44"/>
    <n v="470.49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m/>
    <s v="CARBON ENDCAP"/>
    <n v="42.05"/>
  </r>
  <r>
    <s v="1586060121-11850"/>
    <s v="https://shop.officineitalianezard.it/en/products/"/>
    <m/>
    <s v="https://shop.officineitalianezard.it/en/bmw-zard-exaust/"/>
    <s v="F 800 R 2009/11"/>
    <s v="https://shop.officineitalianezard.it/en/bmw-f-800-r-exhaust/"/>
    <s v="CONICAL VERSION"/>
    <x v="304"/>
    <s v="SILENCER"/>
    <s v="ZBMW519SSR-S"/>
    <s v="BMW F 800 R 2009/11"/>
    <n v="394.67"/>
    <n v="438.52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s v="https://shop.officineitalianezard.it/contents/imgs/products/1_749-scarichi%20moto%20zard%20bmw%201.jpg"/>
    <m/>
    <m/>
  </r>
  <r>
    <s v="1586060121-11851"/>
    <s v="https://shop.officineitalianezard.it/en/products/"/>
    <m/>
    <s v="https://shop.officineitalianezard.it/en/bmw-zard-exaust/"/>
    <s v="F 800 R 2009/11"/>
    <s v="https://shop.officineitalianezard.it/en/bmw-f-800-r-exhaust/"/>
    <s v="CONICAL VERSION"/>
    <x v="304"/>
    <s v="SILENCER"/>
    <s v="ZBMW519SSR-S"/>
    <s v="BMW F 800 R 2009/11"/>
    <n v="394.67"/>
    <n v="438.52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s v="https://shop.officineitalianezard.it/contents/imgs/products/1_796-scarichi%20moto%20bmw%20zard.jpg"/>
    <m/>
    <m/>
  </r>
  <r>
    <s v="1586060121-11852"/>
    <s v="https://shop.officineitalianezard.it/en/products/"/>
    <m/>
    <s v="https://shop.officineitalianezard.it/en/bmw-zard-exaust/"/>
    <s v="F 800 R 2009/11"/>
    <s v="https://shop.officineitalianezard.it/en/bmw-f-800-r-exhaust/"/>
    <s v="CONICAL VERSION"/>
    <x v="304"/>
    <s v="SILENCER"/>
    <s v="ZBMW519SSR-S"/>
    <s v="BMW F 800 R 2009/11"/>
    <n v="394.67"/>
    <n v="438.52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s v="https://shop.officineitalianezard.it/contents/imgs/products/1_750-scarichi%20moto%20zard%20bmw%202.jpg"/>
    <m/>
    <m/>
  </r>
  <r>
    <s v="1586060121-11853"/>
    <s v="https://shop.officineitalianezard.it/en/products/"/>
    <m/>
    <s v="https://shop.officineitalianezard.it/en/bmw-zard-exaust/"/>
    <s v="F 800 R 2009/11"/>
    <s v="https://shop.officineitalianezard.it/en/bmw-f-800-r-exhaust/"/>
    <s v="CONICAL VERSION"/>
    <x v="304"/>
    <s v="SILENCER"/>
    <s v="ZBMW519SSR-S"/>
    <s v="BMW F 800 R 2009/11"/>
    <n v="394.67"/>
    <n v="438.52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m/>
    <s v="HOMOLOGATED EURO 3"/>
    <n v="23.61"/>
  </r>
  <r>
    <s v="1586060121-11854"/>
    <s v="https://shop.officineitalianezard.it/en/products/"/>
    <m/>
    <s v="https://shop.officineitalianezard.it/en/bmw-zard-exaust/"/>
    <s v="F 800 R 2009/11"/>
    <s v="https://shop.officineitalianezard.it/en/bmw-f-800-r-exhaust/"/>
    <s v="CONICAL VERSION"/>
    <x v="304"/>
    <s v="SILENCER"/>
    <s v="ZBMW519SSR-S"/>
    <s v="BMW F 800 R 2009/11"/>
    <n v="394.67"/>
    <n v="438.52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m/>
    <s v="BLACK COATING"/>
    <n v="77.459999999999994"/>
  </r>
  <r>
    <s v="1586060121-11855"/>
    <s v="https://shop.officineitalianezard.it/en/products/"/>
    <m/>
    <s v="https://shop.officineitalianezard.it/en/bmw-zard-exaust/"/>
    <s v="F 800 R 2009/11"/>
    <s v="https://shop.officineitalianezard.it/en/bmw-f-800-r-exhaust/"/>
    <s v="CONICAL VERSION"/>
    <x v="304"/>
    <s v="SILENCER"/>
    <s v="ZBMW519SSR-S"/>
    <s v="BMW F 800 R 2009/11"/>
    <n v="394.67"/>
    <n v="438.52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m/>
    <s v="MIRROR POLISHED"/>
    <n v="19.18"/>
  </r>
  <r>
    <s v="1586060121-11856"/>
    <s v="https://shop.officineitalianezard.it/en/products/"/>
    <m/>
    <s v="https://shop.officineitalianezard.it/en/bmw-zard-exaust/"/>
    <s v="F 800 R 2009/11"/>
    <s v="https://shop.officineitalianezard.it/en/bmw-f-800-r-exhaust/"/>
    <s v="CONICAL VERSION"/>
    <x v="304"/>
    <s v="SILENCER"/>
    <s v="ZBMW519SSR-S"/>
    <s v="BMW F 800 R 2009/11"/>
    <n v="394.67"/>
    <n v="438.52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m/>
    <s v="CARBON ENDCAP"/>
    <n v="42.05"/>
  </r>
  <r>
    <s v="1586060127-11857"/>
    <s v="https://shop.officineitalianezard.it/en/products/"/>
    <m/>
    <s v="https://shop.officineitalianezard.it/en/bmw-zard-exaust/"/>
    <s v="F 800 GS 2008/15"/>
    <s v="https://shop.officineitalianezard.it/en/bmw-f-800-gs-exhaust/"/>
    <s v="CONICAL VERSION"/>
    <x v="305"/>
    <s v="SILENCER"/>
    <s v="ZBMW 524 SSR-S"/>
    <s v="BMW F 800 GS 2008/15"/>
    <n v="394.67"/>
    <n v="438.52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s v="https://shop.officineitalianezard.it/contents/imgs/products/1_791-scarichi%20moto%20zard%20bmw2.jpg"/>
    <m/>
    <m/>
  </r>
  <r>
    <s v="1586060127-11858"/>
    <s v="https://shop.officineitalianezard.it/en/products/"/>
    <m/>
    <s v="https://shop.officineitalianezard.it/en/bmw-zard-exaust/"/>
    <s v="F 800 GS 2008/15"/>
    <s v="https://shop.officineitalianezard.it/en/bmw-f-800-gs-exhaust/"/>
    <s v="CONICAL VERSION"/>
    <x v="305"/>
    <s v="SILENCER"/>
    <s v="ZBMW 524 SSR-S"/>
    <s v="BMW F 800 GS 2008/15"/>
    <n v="394.67"/>
    <n v="438.52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s v="https://shop.officineitalianezard.it/contents/imgs/products/1_790-scarichi%20moto%20zard%20bmw1.jpg"/>
    <m/>
    <m/>
  </r>
  <r>
    <s v="1586060127-11859"/>
    <s v="https://shop.officineitalianezard.it/en/products/"/>
    <m/>
    <s v="https://shop.officineitalianezard.it/en/bmw-zard-exaust/"/>
    <s v="F 800 GS 2008/15"/>
    <s v="https://shop.officineitalianezard.it/en/bmw-f-800-gs-exhaust/"/>
    <s v="CONICAL VERSION"/>
    <x v="305"/>
    <s v="SILENCER"/>
    <s v="ZBMW 524 SSR-S"/>
    <s v="BMW F 800 GS 2008/15"/>
    <n v="394.67"/>
    <n v="438.52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s v="https://shop.officineitalianezard.it/contents/imgs/products/1_793-scarichi%20moto%20zard%20bmw4.jpg"/>
    <m/>
    <m/>
  </r>
  <r>
    <s v="1586060127-11860"/>
    <s v="https://shop.officineitalianezard.it/en/products/"/>
    <m/>
    <s v="https://shop.officineitalianezard.it/en/bmw-zard-exaust/"/>
    <s v="F 800 GS 2008/15"/>
    <s v="https://shop.officineitalianezard.it/en/bmw-f-800-gs-exhaust/"/>
    <s v="CONICAL VERSION"/>
    <x v="305"/>
    <s v="SILENCER"/>
    <s v="ZBMW 524 SSR-S"/>
    <s v="BMW F 800 GS 2008/15"/>
    <n v="394.67"/>
    <n v="438.52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s v="https://shop.officineitalianezard.it/contents/imgs/products/1_794-scarichi%20moto%20zard%20bmw3.jpg"/>
    <m/>
    <m/>
  </r>
  <r>
    <s v="1586060127-11861"/>
    <s v="https://shop.officineitalianezard.it/en/products/"/>
    <m/>
    <s v="https://shop.officineitalianezard.it/en/bmw-zard-exaust/"/>
    <s v="F 800 GS 2008/15"/>
    <s v="https://shop.officineitalianezard.it/en/bmw-f-800-gs-exhaust/"/>
    <s v="CONICAL VERSION"/>
    <x v="305"/>
    <s v="SILENCER"/>
    <s v="ZBMW 524 SSR-S"/>
    <s v="BMW F 800 GS 2008/15"/>
    <n v="394.67"/>
    <n v="438.52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m/>
    <s v="HOMOLOGATED EURO 3"/>
    <n v="23.61"/>
  </r>
  <r>
    <s v="1586060127-11862"/>
    <s v="https://shop.officineitalianezard.it/en/products/"/>
    <m/>
    <s v="https://shop.officineitalianezard.it/en/bmw-zard-exaust/"/>
    <s v="F 800 GS 2008/15"/>
    <s v="https://shop.officineitalianezard.it/en/bmw-f-800-gs-exhaust/"/>
    <s v="CONICAL VERSION"/>
    <x v="305"/>
    <s v="SILENCER"/>
    <s v="ZBMW 524 SSR-S"/>
    <s v="BMW F 800 GS 2008/15"/>
    <n v="394.67"/>
    <n v="438.52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m/>
    <s v="BLACK COATING"/>
    <n v="77.459999999999994"/>
  </r>
  <r>
    <s v="1586060127-11863"/>
    <s v="https://shop.officineitalianezard.it/en/products/"/>
    <m/>
    <s v="https://shop.officineitalianezard.it/en/bmw-zard-exaust/"/>
    <s v="F 800 GS 2008/15"/>
    <s v="https://shop.officineitalianezard.it/en/bmw-f-800-gs-exhaust/"/>
    <s v="CONICAL VERSION"/>
    <x v="305"/>
    <s v="SILENCER"/>
    <s v="ZBMW 524 SSR-S"/>
    <s v="BMW F 800 GS 2008/15"/>
    <n v="394.67"/>
    <n v="438.52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m/>
    <s v="CARBON ENDCAP"/>
    <n v="42.05"/>
  </r>
  <r>
    <s v="1586060127-11864"/>
    <s v="https://shop.officineitalianezard.it/en/products/"/>
    <m/>
    <s v="https://shop.officineitalianezard.it/en/bmw-zard-exaust/"/>
    <s v="F 800 GS 2008/15"/>
    <s v="https://shop.officineitalianezard.it/en/bmw-f-800-gs-exhaust/"/>
    <s v="CONICAL VERSION"/>
    <x v="305"/>
    <s v="SILENCER"/>
    <s v="ZBMW 524 SSR-S"/>
    <s v="BMW F 800 GS 2008/15"/>
    <n v="394.67"/>
    <n v="438.52"/>
    <s v="&lt;p&gt;STEEL SILENCER RACING WITH REMOVABLE DB KILLER&lt;/p&gt;_x000a_&lt;p&gt;ORIGINAL SILENCER WEIGHT: KG 6.5&lt;br&gt;ZARD SILENCER WEIGHT: KG 3.2&lt;/p&gt;_x000a_&lt;p&gt;HARD INCREASE, COMPARED TO THE STANDARD EXHAUST SYSTEM, IN TERMS OF TORQUE AND POWER AT ANY RANGE (+2 HP)&lt;/p&gt;_x000a_&lt;p&gt;ASTONISHING SOUND&lt;/p&gt;"/>
    <m/>
    <s v="MIRROR POLISHED"/>
    <n v="19.18"/>
  </r>
  <r>
    <s v="1586060134-11865"/>
    <s v="https://shop.officineitalianezard.it/en/products/"/>
    <m/>
    <s v="https://shop.officineitalianezard.it/en/bimota-zard-exhaust/"/>
    <s v="TESI 3D"/>
    <s v="https://shop.officineitalianezard.it/en/bimota-tesi-3-d-exhaust/"/>
    <s v="PENTA VERSION"/>
    <x v="306"/>
    <s v="SILENCERS"/>
    <s v="ZB 083 SSR"/>
    <s v="BIMOTA TESI 3D"/>
    <n v="925.08"/>
    <n v="1027.8699999999999"/>
    <s v="&lt;p&gt;N. 2 STEEL-CARBON RACING SILENCERS WITH REMOVABLE DB KILLER&lt;/p&gt;_x000a_&lt;p&gt;ORIGINAL EXHAUST WEIGHT: KG 6.2&lt;br&gt;ZARD SILENCERS WEIGHT: KG 2.6&lt;/p&gt;_x000a_&lt;p&gt;HARD INCREASE, COMPARED TO THE ORIGINAL EXHAUST SYSTEM, IN TERMS OF TORQUE AND POWER AT ANY RANGE&lt;/p&gt;_x000a_&lt;p&gt;ASTONISHING SOUND&lt;/p&gt;"/>
    <s v="https://shop.officineitalianezard.it/contents/imgs/products/1_681-scarichi%20moto%20zard%20bimota1.jpg"/>
    <m/>
    <m/>
  </r>
  <r>
    <s v="1586060134-11866"/>
    <s v="https://shop.officineitalianezard.it/en/products/"/>
    <m/>
    <s v="https://shop.officineitalianezard.it/en/bimota-zard-exhaust/"/>
    <s v="TESI 3D"/>
    <s v="https://shop.officineitalianezard.it/en/bimota-tesi-3-d-exhaust/"/>
    <s v="PENTA VERSION"/>
    <x v="306"/>
    <s v="SILENCERS"/>
    <s v="ZB 083 SSR"/>
    <s v="BIMOTA TESI 3D"/>
    <n v="925.08"/>
    <n v="1027.8699999999999"/>
    <s v="&lt;p&gt;N. 2 STEEL-CARBON RACING SILENCERS WITH REMOVABLE DB KILLER&lt;/p&gt;_x000a_&lt;p&gt;ORIGINAL EXHAUST WEIGHT: KG 6.2&lt;br&gt;ZARD SILENCERS WEIGHT: KG 2.6&lt;/p&gt;_x000a_&lt;p&gt;HARD INCREASE, COMPARED TO THE ORIGINAL EXHAUST SYSTEM, IN TERMS OF TORQUE AND POWER AT ANY RANGE&lt;/p&gt;_x000a_&lt;p&gt;ASTONISHING SOUND&lt;/p&gt;"/>
    <s v="https://shop.officineitalianezard.it/contents/imgs/products/1_682-scarichi%20moto%20zard%20bimota2.jpg"/>
    <m/>
    <m/>
  </r>
  <r>
    <s v="1586060134-11867"/>
    <s v="https://shop.officineitalianezard.it/en/products/"/>
    <m/>
    <s v="https://shop.officineitalianezard.it/en/bimota-zard-exhaust/"/>
    <s v="TESI 3D"/>
    <s v="https://shop.officineitalianezard.it/en/bimota-tesi-3-d-exhaust/"/>
    <s v="PENTA VERSION"/>
    <x v="306"/>
    <s v="SILENCERS"/>
    <s v="ZB 083 SSR"/>
    <s v="BIMOTA TESI 3D"/>
    <n v="925.08"/>
    <n v="1027.8699999999999"/>
    <s v="&lt;p&gt;N. 2 STEEL-CARBON RACING SILENCERS WITH REMOVABLE DB KILLER&lt;/p&gt;_x000a_&lt;p&gt;ORIGINAL EXHAUST WEIGHT: KG 6.2&lt;br&gt;ZARD SILENCERS WEIGHT: KG 2.6&lt;/p&gt;_x000a_&lt;p&gt;HARD INCREASE, COMPARED TO THE ORIGINAL EXHAUST SYSTEM, IN TERMS OF TORQUE AND POWER AT ANY RANGE&lt;/p&gt;_x000a_&lt;p&gt;ASTONISHING SOUND&lt;/p&gt;"/>
    <m/>
    <s v="CARBON 'PENTA' ENDCAP"/>
    <n v="75.25"/>
  </r>
  <r>
    <s v="1586060139-11868"/>
    <s v="https://shop.officineitalianezard.it/en/products/"/>
    <m/>
    <s v="https://shop.officineitalianezard.it/en/bimota-zard-exhaust/"/>
    <s v="DB 6 DELIRIO"/>
    <s v="https://shop.officineitalianezard.it/en/bimota-d-b-6-delirio-exhaust/"/>
    <s v="PENTA VERSION"/>
    <x v="307"/>
    <s v="HEADERS KIT + SILENCERS"/>
    <s v="ZB 082 SKR"/>
    <s v="BIMOTA DB 6 DELIRIO"/>
    <n v="1317.54"/>
    <n v="1463.93"/>
    <s v="&lt;p&gt;HORIZONTAL + VERTICAL PIPE + N.2 STEEL-CARBON SILENCERS RACING WITH REMOVABLE DB KILLER&lt;/p&gt;_x000a_&lt;p&gt;ORIGINAL EXHAUST WEIGHT: KG 6.2&lt;br&gt;ZARD SILENCERS WEIGHT: KG 2.6&lt;/p&gt;_x000a_&lt;p&gt;ZARD HEADERS KIT RACING NO CAT.: KG 0.6&lt;/p&gt;_x000a_&lt;p&gt;HARD INCREASE, COMPARED TO THE ORIGINAL EXHAUST SYSTEM, IN TERMS OF TORQUE AND POWER AT ANY RANGE&lt;/p&gt;_x000a_&lt;p&gt;ASTONISHING SOUND&lt;/p&gt;"/>
    <s v="https://shop.officineitalianezard.it/contents/imgs/products/1_743-scarichi%20moto%20zard%20bimota%202.jpg"/>
    <m/>
    <m/>
  </r>
  <r>
    <s v="1586060139-11869"/>
    <s v="https://shop.officineitalianezard.it/en/products/"/>
    <m/>
    <s v="https://shop.officineitalianezard.it/en/bimota-zard-exhaust/"/>
    <s v="DB 6 DELIRIO"/>
    <s v="https://shop.officineitalianezard.it/en/bimota-d-b-6-delirio-exhaust/"/>
    <s v="PENTA VERSION"/>
    <x v="307"/>
    <s v="HEADERS KIT + SILENCERS"/>
    <s v="ZB 082 SKR"/>
    <s v="BIMOTA DB 6 DELIRIO"/>
    <n v="1317.54"/>
    <n v="1463.93"/>
    <s v="&lt;p&gt;HORIZONTAL + VERTICAL PIPE + N.2 STEEL-CARBON SILENCERS RACING WITH REMOVABLE DB KILLER&lt;/p&gt;_x000a_&lt;p&gt;ORIGINAL EXHAUST WEIGHT: KG 6.2&lt;br&gt;ZARD SILENCERS WEIGHT: KG 2.6&lt;/p&gt;_x000a_&lt;p&gt;ZARD HEADERS KIT RACING NO CAT.: KG 0.6&lt;/p&gt;_x000a_&lt;p&gt;HARD INCREASE, COMPARED TO THE ORIGINAL EXHAUST SYSTEM, IN TERMS OF TORQUE AND POWER AT ANY RANGE&lt;/p&gt;_x000a_&lt;p&gt;ASTONISHING SOUND&lt;/p&gt;"/>
    <s v="https://shop.officineitalianezard.it/contents/imgs/products/1_741-scarichi%20moto%20zard%20bimota%201.jpg"/>
    <m/>
    <m/>
  </r>
  <r>
    <s v="1586060139-11870"/>
    <s v="https://shop.officineitalianezard.it/en/products/"/>
    <m/>
    <s v="https://shop.officineitalianezard.it/en/bimota-zard-exhaust/"/>
    <s v="DB 6 DELIRIO"/>
    <s v="https://shop.officineitalianezard.it/en/bimota-d-b-6-delirio-exhaust/"/>
    <s v="PENTA VERSION"/>
    <x v="307"/>
    <s v="HEADERS KIT + SILENCERS"/>
    <s v="ZB 082 SKR"/>
    <s v="BIMOTA DB 6 DELIRIO"/>
    <n v="1317.54"/>
    <n v="1463.93"/>
    <s v="&lt;p&gt;HORIZONTAL + VERTICAL PIPE + N.2 STEEL-CARBON SILENCERS RACING WITH REMOVABLE DB KILLER&lt;/p&gt;_x000a_&lt;p&gt;ORIGINAL EXHAUST WEIGHT: KG 6.2&lt;br&gt;ZARD SILENCERS WEIGHT: KG 2.6&lt;/p&gt;_x000a_&lt;p&gt;ZARD HEADERS KIT RACING NO CAT.: KG 0.6&lt;/p&gt;_x000a_&lt;p&gt;HARD INCREASE, COMPARED TO THE ORIGINAL EXHAUST SYSTEM, IN TERMS OF TORQUE AND POWER AT ANY RANGE&lt;/p&gt;_x000a_&lt;p&gt;ASTONISHING SOUND&lt;/p&gt;"/>
    <s v="https://shop.officineitalianezard.it/contents/imgs/products/1_742-scarichi%20moto%20zard%20bimota%203.jpg"/>
    <m/>
    <m/>
  </r>
  <r>
    <s v="1586060139-11871"/>
    <s v="https://shop.officineitalianezard.it/en/products/"/>
    <m/>
    <s v="https://shop.officineitalianezard.it/en/bimota-zard-exhaust/"/>
    <s v="DB 6 DELIRIO"/>
    <s v="https://shop.officineitalianezard.it/en/bimota-d-b-6-delirio-exhaust/"/>
    <s v="PENTA VERSION"/>
    <x v="307"/>
    <s v="HEADERS KIT + SILENCERS"/>
    <s v="ZB 082 SKR"/>
    <s v="BIMOTA DB 6 DELIRIO"/>
    <n v="1317.54"/>
    <n v="1463.93"/>
    <s v="&lt;p&gt;HORIZONTAL + VERTICAL PIPE + N.2 STEEL-CARBON SILENCERS RACING WITH REMOVABLE DB KILLER&lt;/p&gt;_x000a_&lt;p&gt;ORIGINAL EXHAUST WEIGHT: KG 6.2&lt;br&gt;ZARD SILENCERS WEIGHT: KG 2.6&lt;/p&gt;_x000a_&lt;p&gt;ZARD HEADERS KIT RACING NO CAT.: KG 0.6&lt;/p&gt;_x000a_&lt;p&gt;HARD INCREASE, COMPARED TO THE ORIGINAL EXHAUST SYSTEM, IN TERMS OF TORQUE AND POWER AT ANY RANGE&lt;/p&gt;_x000a_&lt;p&gt;ASTONISHING SOUND&lt;/p&gt;"/>
    <m/>
    <s v="CARBON 'PENTA' ENDCAP"/>
    <n v="75.25"/>
  </r>
  <r>
    <s v="1586060143-11872"/>
    <s v="https://shop.officineitalianezard.it/en/products/"/>
    <m/>
    <s v="https://shop.officineitalianezard.it/en/bimota-zard-exhaust/"/>
    <s v="DB 6 DELIRIO"/>
    <s v="https://shop.officineitalianezard.it/en/bimota-d-b-6-delirio-exhaust/"/>
    <s v="PENTA VERSION"/>
    <x v="308"/>
    <s v="SILENCERS"/>
    <s v="ZB 082 SSR"/>
    <s v="BIMOTA DB 6 DELIRIO"/>
    <n v="925.08"/>
    <n v="1027.8699999999999"/>
    <s v="&lt;p&gt;N.2 STEEL-CARBON SILENCERS RACING WITH REMOVABLE DB KILLER&lt;/p&gt;_x000a_&lt;p&gt;ORIGINAL EXHAUST WEIGHT: KG 6.2&lt;br&gt;ZARD SILENCERS WEIGHT: KG 2.6&lt;/p&gt;_x000a_&lt;p&gt;HARD INCREASE, COMPARED TO THE ORIGINAL EXHAUST SYSTEM, IN TERMS OF TORQUE AND POWER AT ANY RANGE&lt;/p&gt;_x000a_&lt;p&gt;ASTONISHING SOUND&lt;/p&gt;"/>
    <s v="https://shop.officineitalianezard.it/contents/imgs/products/1_680-scarichi%20moto%20zard%20bimota%202.jpg"/>
    <m/>
    <m/>
  </r>
  <r>
    <s v="1586060143-11873"/>
    <s v="https://shop.officineitalianezard.it/en/products/"/>
    <m/>
    <s v="https://shop.officineitalianezard.it/en/bimota-zard-exhaust/"/>
    <s v="DB 6 DELIRIO"/>
    <s v="https://shop.officineitalianezard.it/en/bimota-d-b-6-delirio-exhaust/"/>
    <s v="PENTA VERSION"/>
    <x v="308"/>
    <s v="SILENCERS"/>
    <s v="ZB 082 SSR"/>
    <s v="BIMOTA DB 6 DELIRIO"/>
    <n v="925.08"/>
    <n v="1027.8699999999999"/>
    <s v="&lt;p&gt;N.2 STEEL-CARBON SILENCERS RACING WITH REMOVABLE DB KILLER&lt;/p&gt;_x000a_&lt;p&gt;ORIGINAL EXHAUST WEIGHT: KG 6.2&lt;br&gt;ZARD SILENCERS WEIGHT: KG 2.6&lt;/p&gt;_x000a_&lt;p&gt;HARD INCREASE, COMPARED TO THE ORIGINAL EXHAUST SYSTEM, IN TERMS OF TORQUE AND POWER AT ANY RANGE&lt;/p&gt;_x000a_&lt;p&gt;ASTONISHING SOUND&lt;/p&gt;"/>
    <s v="https://shop.officineitalianezard.it/contents/imgs/products/1_678-scarichi%20moto%20zard%20bimota%201.jpg"/>
    <m/>
    <m/>
  </r>
  <r>
    <s v="1586060143-11874"/>
    <s v="https://shop.officineitalianezard.it/en/products/"/>
    <m/>
    <s v="https://shop.officineitalianezard.it/en/bimota-zard-exhaust/"/>
    <s v="DB 6 DELIRIO"/>
    <s v="https://shop.officineitalianezard.it/en/bimota-d-b-6-delirio-exhaust/"/>
    <s v="PENTA VERSION"/>
    <x v="308"/>
    <s v="SILENCERS"/>
    <s v="ZB 082 SSR"/>
    <s v="BIMOTA DB 6 DELIRIO"/>
    <n v="925.08"/>
    <n v="1027.8699999999999"/>
    <s v="&lt;p&gt;N.2 STEEL-CARBON SILENCERS RACING WITH REMOVABLE DB KILLER&lt;/p&gt;_x000a_&lt;p&gt;ORIGINAL EXHAUST WEIGHT: KG 6.2&lt;br&gt;ZARD SILENCERS WEIGHT: KG 2.6&lt;/p&gt;_x000a_&lt;p&gt;HARD INCREASE, COMPARED TO THE ORIGINAL EXHAUST SYSTEM, IN TERMS OF TORQUE AND POWER AT ANY RANGE&lt;/p&gt;_x000a_&lt;p&gt;ASTONISHING SOUND&lt;/p&gt;"/>
    <s v="https://shop.officineitalianezard.it/contents/imgs/products/1_679-scarichi%20moto%20zard%20bimota%203.jpg"/>
    <m/>
    <m/>
  </r>
  <r>
    <s v="1586060143-11875"/>
    <s v="https://shop.officineitalianezard.it/en/products/"/>
    <m/>
    <s v="https://shop.officineitalianezard.it/en/bimota-zard-exhaust/"/>
    <s v="DB 6 DELIRIO"/>
    <s v="https://shop.officineitalianezard.it/en/bimota-d-b-6-delirio-exhaust/"/>
    <s v="PENTA VERSION"/>
    <x v="308"/>
    <s v="SILENCERS"/>
    <s v="ZB 082 SSR"/>
    <s v="BIMOTA DB 6 DELIRIO"/>
    <n v="925.08"/>
    <n v="1027.8699999999999"/>
    <s v="&lt;p&gt;N.2 STEEL-CARBON SILENCERS RACING WITH REMOVABLE DB KILLER&lt;/p&gt;_x000a_&lt;p&gt;ORIGINAL EXHAUST WEIGHT: KG 6.2&lt;br&gt;ZARD SILENCERS WEIGHT: KG 2.6&lt;/p&gt;_x000a_&lt;p&gt;HARD INCREASE, COMPARED TO THE ORIGINAL EXHAUST SYSTEM, IN TERMS OF TORQUE AND POWER AT ANY RANGE&lt;/p&gt;_x000a_&lt;p&gt;ASTONISHING SOUND&lt;/p&gt;"/>
    <m/>
    <s v="CARBON 'PENTA' ENDCAP"/>
    <n v="75.25"/>
  </r>
  <r>
    <s v="1586060148-11876"/>
    <s v="https://shop.officineitalianezard.it/en/products/"/>
    <m/>
    <s v="https://shop.officineitalianezard.it/en/bimota-zard-exhaust/"/>
    <s v="DB 5 M.Y. 07-2012"/>
    <s v="https://shop.officineitalianezard.it/en/bimota-d-b-5-m-y-07-2012-exhaust/"/>
    <s v="PENTA VERSION"/>
    <x v="309"/>
    <s v="HEADERS KIT + SILENCERS"/>
    <s v="ZB 081 SKR"/>
    <s v="BIMOTA DB 5 M.Y. 07-2012"/>
    <n v="1226.07"/>
    <n v="1362.3"/>
    <s v="&lt;p&gt;CENTRAL HEADERS + HORIZONTAL PIPE + N.2 STEEL-CARBON SILENCER RACING WITH REMOVABLE DB KILLER&amp;nbsp;&lt;/p&gt;_x000a_&lt;p&gt;ORIGINAL SILENCERS WEIGHT: KG 6.1&lt;br&gt;ZARD SILENCERS WEIGHT: KG 2.9&lt;br&gt;HEADERS KIT WEIGHT: KG 0.6&lt;/p&gt;_x000a_&lt;p&gt;HARD INCREASE, COMPARED TO THE ORIGINAL EXHAUST SYSTEM, IN TERMS OF TORQUE AND POWER AT ANY RANGE&lt;/p&gt;_x000a_&lt;p&gt;ASTONISHING SOUND&lt;/p&gt;"/>
    <s v="https://shop.officineitalianezard.it/contents/imgs/products/1_734-scarichi%20moto%20zard%20bimota1.jpg"/>
    <m/>
    <m/>
  </r>
  <r>
    <s v="1586060148-11877"/>
    <s v="https://shop.officineitalianezard.it/en/products/"/>
    <m/>
    <s v="https://shop.officineitalianezard.it/en/bimota-zard-exhaust/"/>
    <s v="DB 5 M.Y. 07-2012"/>
    <s v="https://shop.officineitalianezard.it/en/bimota-d-b-5-m-y-07-2012-exhaust/"/>
    <s v="PENTA VERSION"/>
    <x v="309"/>
    <s v="HEADERS KIT + SILENCERS"/>
    <s v="ZB 081 SKR"/>
    <s v="BIMOTA DB 5 M.Y. 07-2012"/>
    <n v="1226.07"/>
    <n v="1362.3"/>
    <s v="&lt;p&gt;CENTRAL HEADERS + HORIZONTAL PIPE + N.2 STEEL-CARBON SILENCER RACING WITH REMOVABLE DB KILLER&amp;nbsp;&lt;/p&gt;_x000a_&lt;p&gt;ORIGINAL SILENCERS WEIGHT: KG 6.1&lt;br&gt;ZARD SILENCERS WEIGHT: KG 2.9&lt;br&gt;HEADERS KIT WEIGHT: KG 0.6&lt;/p&gt;_x000a_&lt;p&gt;HARD INCREASE, COMPARED TO THE ORIGINAL EXHAUST SYSTEM, IN TERMS OF TORQUE AND POWER AT ANY RANGE&lt;/p&gt;_x000a_&lt;p&gt;ASTONISHING SOUND&lt;/p&gt;"/>
    <s v="https://shop.officineitalianezard.it/contents/imgs/products/1_735-scarichi%20moto%20zard%20bimota2.jpg"/>
    <m/>
    <m/>
  </r>
  <r>
    <s v="1586060148-11878"/>
    <s v="https://shop.officineitalianezard.it/en/products/"/>
    <m/>
    <s v="https://shop.officineitalianezard.it/en/bimota-zard-exhaust/"/>
    <s v="DB 5 M.Y. 07-2012"/>
    <s v="https://shop.officineitalianezard.it/en/bimota-d-b-5-m-y-07-2012-exhaust/"/>
    <s v="PENTA VERSION"/>
    <x v="309"/>
    <s v="HEADERS KIT + SILENCERS"/>
    <s v="ZB 081 SKR"/>
    <s v="BIMOTA DB 5 M.Y. 07-2012"/>
    <n v="1226.07"/>
    <n v="1362.3"/>
    <s v="&lt;p&gt;CENTRAL HEADERS + HORIZONTAL PIPE + N.2 STEEL-CARBON SILENCER RACING WITH REMOVABLE DB KILLER&amp;nbsp;&lt;/p&gt;_x000a_&lt;p&gt;ORIGINAL SILENCERS WEIGHT: KG 6.1&lt;br&gt;ZARD SILENCERS WEIGHT: KG 2.9&lt;br&gt;HEADERS KIT WEIGHT: KG 0.6&lt;/p&gt;_x000a_&lt;p&gt;HARD INCREASE, COMPARED TO THE ORIGINAL EXHAUST SYSTEM, IN TERMS OF TORQUE AND POWER AT ANY RANGE&lt;/p&gt;_x000a_&lt;p&gt;ASTONISHING SOUND&lt;/p&gt;"/>
    <s v="https://shop.officineitalianezard.it/contents/imgs/products/1_736-bimota-db5-retro-dx.jpg"/>
    <m/>
    <m/>
  </r>
  <r>
    <s v="1586060148-11879"/>
    <s v="https://shop.officineitalianezard.it/en/products/"/>
    <m/>
    <s v="https://shop.officineitalianezard.it/en/bimota-zard-exhaust/"/>
    <s v="DB 5 M.Y. 07-2012"/>
    <s v="https://shop.officineitalianezard.it/en/bimota-d-b-5-m-y-07-2012-exhaust/"/>
    <s v="PENTA VERSION"/>
    <x v="309"/>
    <s v="HEADERS KIT + SILENCERS"/>
    <s v="ZB 081 SKR"/>
    <s v="BIMOTA DB 5 M.Y. 07-2012"/>
    <n v="1226.07"/>
    <n v="1362.3"/>
    <s v="&lt;p&gt;CENTRAL HEADERS + HORIZONTAL PIPE + N.2 STEEL-CARBON SILENCER RACING WITH REMOVABLE DB KILLER&amp;nbsp;&lt;/p&gt;_x000a_&lt;p&gt;ORIGINAL SILENCERS WEIGHT: KG 6.1&lt;br&gt;ZARD SILENCERS WEIGHT: KG 2.9&lt;br&gt;HEADERS KIT WEIGHT: KG 0.6&lt;/p&gt;_x000a_&lt;p&gt;HARD INCREASE, COMPARED TO THE ORIGINAL EXHAUST SYSTEM, IN TERMS OF TORQUE AND POWER AT ANY RANGE&lt;/p&gt;_x000a_&lt;p&gt;ASTONISHING SOUND&lt;/p&gt;"/>
    <m/>
    <s v="CARBON 'PENTA' ENDCAP"/>
    <n v="75.25"/>
  </r>
  <r>
    <s v="1586060153-11880"/>
    <s v="https://shop.officineitalianezard.it/en/products/"/>
    <m/>
    <s v="https://shop.officineitalianezard.it/en/bimota-zard-exhaust/"/>
    <s v="DB 5 M.Y. 05-06"/>
    <s v="https://shop.officineitalianezard.it/en/bimota-d-b-5-m-y-05-06-exhaust/"/>
    <s v="PENTA VERSION"/>
    <x v="310"/>
    <s v="SILENCERS"/>
    <s v="ZB 080 SSR"/>
    <s v="BIMOTA DB 5 M.Y. 05-06"/>
    <n v="930.25"/>
    <n v="1033.6099999999999"/>
    <s v="&lt;p&gt;N.2 STEEL-CARBON SILENCERS RACING WITH REMOVABLE DB KILLER&lt;/p&gt;_x000a_&lt;p&gt;ORIGINAL SILENCERS WEIGHT: KG 6.2&lt;br&gt;ZARD SILENCERS WEIGHT: KG 1.9&lt;/p&gt;_x000a_&lt;p&gt;HARD INCREASE, COMPARED TO THE ORIGINAL EXHAUST SYSTEM, IN TERMS OF TORQUE AND POWER AT ANY RANGE&lt;/p&gt;_x000a_&lt;p&gt;ASTONISHING SOUND&lt;/p&gt;"/>
    <s v="https://shop.officineitalianezard.it/contents/imgs/products/1_672-scarichi%20moto%20zard%20bimota1.jpg"/>
    <m/>
    <m/>
  </r>
  <r>
    <s v="1586060153-11881"/>
    <s v="https://shop.officineitalianezard.it/en/products/"/>
    <m/>
    <s v="https://shop.officineitalianezard.it/en/bimota-zard-exhaust/"/>
    <s v="DB 5 M.Y. 05-06"/>
    <s v="https://shop.officineitalianezard.it/en/bimota-d-b-5-m-y-05-06-exhaust/"/>
    <s v="PENTA VERSION"/>
    <x v="310"/>
    <s v="SILENCERS"/>
    <s v="ZB 080 SSR"/>
    <s v="BIMOTA DB 5 M.Y. 05-06"/>
    <n v="930.25"/>
    <n v="1033.6099999999999"/>
    <s v="&lt;p&gt;N.2 STEEL-CARBON SILENCERS RACING WITH REMOVABLE DB KILLER&lt;/p&gt;_x000a_&lt;p&gt;ORIGINAL SILENCERS WEIGHT: KG 6.2&lt;br&gt;ZARD SILENCERS WEIGHT: KG 1.9&lt;/p&gt;_x000a_&lt;p&gt;HARD INCREASE, COMPARED TO THE ORIGINAL EXHAUST SYSTEM, IN TERMS OF TORQUE AND POWER AT ANY RANGE&lt;/p&gt;_x000a_&lt;p&gt;ASTONISHING SOUND&lt;/p&gt;"/>
    <s v="https://shop.officineitalianezard.it/contents/imgs/products/1_673-scarichi%20moto%20zard%20bimota2.jpg"/>
    <m/>
    <m/>
  </r>
  <r>
    <s v="1586060153-11882"/>
    <s v="https://shop.officineitalianezard.it/en/products/"/>
    <m/>
    <s v="https://shop.officineitalianezard.it/en/bimota-zard-exhaust/"/>
    <s v="DB 5 M.Y. 05-06"/>
    <s v="https://shop.officineitalianezard.it/en/bimota-d-b-5-m-y-05-06-exhaust/"/>
    <s v="PENTA VERSION"/>
    <x v="310"/>
    <s v="SILENCERS"/>
    <s v="ZB 080 SSR"/>
    <s v="BIMOTA DB 5 M.Y. 05-06"/>
    <n v="930.25"/>
    <n v="1033.6099999999999"/>
    <s v="&lt;p&gt;N.2 STEEL-CARBON SILENCERS RACING WITH REMOVABLE DB KILLER&lt;/p&gt;_x000a_&lt;p&gt;ORIGINAL SILENCERS WEIGHT: KG 6.2&lt;br&gt;ZARD SILENCERS WEIGHT: KG 1.9&lt;/p&gt;_x000a_&lt;p&gt;HARD INCREASE, COMPARED TO THE ORIGINAL EXHAUST SYSTEM, IN TERMS OF TORQUE AND POWER AT ANY RANGE&lt;/p&gt;_x000a_&lt;p&gt;ASTONISHING SOUND&lt;/p&gt;"/>
    <s v="https://shop.officineitalianezard.it/contents/imgs/products/1_729-bimota-db5-retro-dx.jpg"/>
    <m/>
    <m/>
  </r>
  <r>
    <s v="1586060153-11883"/>
    <s v="https://shop.officineitalianezard.it/en/products/"/>
    <m/>
    <s v="https://shop.officineitalianezard.it/en/bimota-zard-exhaust/"/>
    <s v="DB 5 M.Y. 05-06"/>
    <s v="https://shop.officineitalianezard.it/en/bimota-d-b-5-m-y-05-06-exhaust/"/>
    <s v="PENTA VERSION"/>
    <x v="310"/>
    <s v="SILENCERS"/>
    <s v="ZB 080 SSR"/>
    <s v="BIMOTA DB 5 M.Y. 05-06"/>
    <n v="930.25"/>
    <n v="1033.6099999999999"/>
    <s v="&lt;p&gt;N.2 STEEL-CARBON SILENCERS RACING WITH REMOVABLE DB KILLER&lt;/p&gt;_x000a_&lt;p&gt;ORIGINAL SILENCERS WEIGHT: KG 6.2&lt;br&gt;ZARD SILENCERS WEIGHT: KG 1.9&lt;/p&gt;_x000a_&lt;p&gt;HARD INCREASE, COMPARED TO THE ORIGINAL EXHAUST SYSTEM, IN TERMS OF TORQUE AND POWER AT ANY RANGE&lt;/p&gt;_x000a_&lt;p&gt;ASTONISHING SOUND&lt;/p&gt;"/>
    <m/>
    <s v="CARBON 'PENTA' ENDCAP"/>
    <n v="75.25"/>
  </r>
  <r>
    <s v="1586060160-11884"/>
    <s v="https://shop.officineitalianezard.it/en/products/"/>
    <m/>
    <s v="https://shop.officineitalianezard.it/en/aprilia-zard-exhaust/"/>
    <s v="SHIVER"/>
    <s v="https://shop.officineitalianezard.it/en/aprilia-shiver-exhaust/"/>
    <s v="STEEL VERSION"/>
    <x v="311"/>
    <s v="HEADER KIT"/>
    <s v="ZA132SCR"/>
    <s v="APRILIA SHIVER"/>
    <n v="241.97"/>
    <n v="268.85000000000002"/>
    <s v="&lt;p&gt;HEADER KIT STEEL RACING&lt;/p&gt;_x000a_&lt;p&gt;ORIGINAL HEADER KIT WEIGHT: KG 2.5&lt;br&gt;ZARD HEADER KIT WEIGHT: KG 1.3&lt;/p&gt;_x000a_&lt;p&gt;HARD INCREASE, COMPARED TO THE ORIGINAL EXHAUST SYSTEM, IN TERMS OF TORQUE AND POWER AT ANY RANGE&lt;/p&gt;_x000a_&lt;p&gt;ASTONISHING SOUND&lt;/p&gt;"/>
    <s v="https://shop.officineitalianezard.it/contents/imgs/products/1_717-Immagine%20005.jpg"/>
    <m/>
    <m/>
  </r>
  <r>
    <s v="1586060160-11885"/>
    <s v="https://shop.officineitalianezard.it/en/products/"/>
    <m/>
    <s v="https://shop.officineitalianezard.it/en/aprilia-zard-exhaust/"/>
    <s v="SHIVER"/>
    <s v="https://shop.officineitalianezard.it/en/aprilia-shiver-exhaust/"/>
    <s v="STEEL VERSION"/>
    <x v="311"/>
    <s v="HEADER KIT"/>
    <s v="ZA132SCR"/>
    <s v="APRILIA SHIVER"/>
    <n v="241.97"/>
    <n v="268.85000000000002"/>
    <s v="&lt;p&gt;HEADER KIT STEEL RACING&lt;/p&gt;_x000a_&lt;p&gt;ORIGINAL HEADER KIT WEIGHT: KG 2.5&lt;br&gt;ZARD HEADER KIT WEIGHT: KG 1.3&lt;/p&gt;_x000a_&lt;p&gt;HARD INCREASE, COMPARED TO THE ORIGINAL EXHAUST SYSTEM, IN TERMS OF TORQUE AND POWER AT ANY RANGE&lt;/p&gt;_x000a_&lt;p&gt;ASTONISHING SOUND&lt;/p&gt;"/>
    <s v="https://shop.officineitalianezard.it/contents/imgs/products/1_716-Immagine%20004.jpg"/>
    <m/>
    <m/>
  </r>
  <r>
    <s v="1586060160-11886"/>
    <s v="https://shop.officineitalianezard.it/en/products/"/>
    <m/>
    <s v="https://shop.officineitalianezard.it/en/aprilia-zard-exhaust/"/>
    <s v="SHIVER"/>
    <s v="https://shop.officineitalianezard.it/en/aprilia-shiver-exhaust/"/>
    <s v="STEEL VERSION"/>
    <x v="311"/>
    <s v="HEADER KIT"/>
    <s v="ZA132SCR"/>
    <s v="APRILIA SHIVER"/>
    <n v="241.97"/>
    <n v="268.85000000000002"/>
    <s v="&lt;p&gt;HEADER KIT STEEL RACING&lt;/p&gt;_x000a_&lt;p&gt;ORIGINAL HEADER KIT WEIGHT: KG 2.5&lt;br&gt;ZARD HEADER KIT WEIGHT: KG 1.3&lt;/p&gt;_x000a_&lt;p&gt;HARD INCREASE, COMPARED TO THE ORIGINAL EXHAUST SYSTEM, IN TERMS OF TORQUE AND POWER AT ANY RANGE&lt;/p&gt;_x000a_&lt;p&gt;ASTONISHING SOUND&lt;/p&gt;"/>
    <m/>
    <s v="BLACK CERAMIC COATING"/>
    <n v="123.2"/>
  </r>
  <r>
    <s v="1586060162-11887"/>
    <s v="https://shop.officineitalianezard.it/en/products/"/>
    <m/>
    <s v="https://shop.officineitalianezard.it/en/aprilia-zard-exhaust/"/>
    <s v="SHIVER"/>
    <s v="https://shop.officineitalianezard.it/en/aprilia-shiver-exhaust/"/>
    <s v="PENTA VERSION"/>
    <x v="312"/>
    <s v="SILENCERS"/>
    <s v="ZA132SSR-AS"/>
    <s v="APRILIA SHIVER"/>
    <n v="725.9"/>
    <n v="806.56"/>
    <s v="&lt;p&gt;N.2 STEEL-ALUMINIUM SILVER SILENCERS RACING WITH REMOVABLE DB KILLER&lt;/p&gt;_x000a_&lt;p&gt;WEIGHT OF THE ZARD CARBONIUM MUFFLER: KG 3.7&lt;br&gt;WEIGHT OF THE ZARD ALUMINIUM MUFFLER: KG 3.3&lt;/p&gt;_x000a_&lt;p&gt;HARD INCREASE, COMPARED TO THE ORIGINAL EXHAUST SYSTEM, IN TERMS OF TORQUE AND POWER AT ANY RANGE&lt;/p&gt;_x000a_&lt;p&gt;ASTONISHING SOUND&lt;/p&gt;"/>
    <s v="https://shop.officineitalianezard.it/contents/imgs/products/1_633-Immagine%20004.jpg"/>
    <m/>
    <m/>
  </r>
  <r>
    <s v="1586060162-11888"/>
    <s v="https://shop.officineitalianezard.it/en/products/"/>
    <m/>
    <s v="https://shop.officineitalianezard.it/en/aprilia-zard-exhaust/"/>
    <s v="SHIVER"/>
    <s v="https://shop.officineitalianezard.it/en/aprilia-shiver-exhaust/"/>
    <s v="PENTA VERSION"/>
    <x v="312"/>
    <s v="SILENCERS"/>
    <s v="ZA132SSR-AS"/>
    <s v="APRILIA SHIVER"/>
    <n v="725.9"/>
    <n v="806.56"/>
    <s v="&lt;p&gt;N.2 STEEL-ALUMINIUM SILVER SILENCERS RACING WITH REMOVABLE DB KILLER&lt;/p&gt;_x000a_&lt;p&gt;WEIGHT OF THE ZARD CARBONIUM MUFFLER: KG 3.7&lt;br&gt;WEIGHT OF THE ZARD ALUMINIUM MUFFLER: KG 3.3&lt;/p&gt;_x000a_&lt;p&gt;HARD INCREASE, COMPARED TO THE ORIGINAL EXHAUST SYSTEM, IN TERMS OF TORQUE AND POWER AT ANY RANGE&lt;/p&gt;_x000a_&lt;p&gt;ASTONISHING SOUND&lt;/p&gt;"/>
    <s v="https://shop.officineitalianezard.it/contents/imgs/products/1_634-Immagine%20005.jpg"/>
    <m/>
    <m/>
  </r>
  <r>
    <s v="1586060162-11889"/>
    <s v="https://shop.officineitalianezard.it/en/products/"/>
    <m/>
    <s v="https://shop.officineitalianezard.it/en/aprilia-zard-exhaust/"/>
    <s v="SHIVER"/>
    <s v="https://shop.officineitalianezard.it/en/aprilia-shiver-exhaust/"/>
    <s v="PENTA VERSION"/>
    <x v="312"/>
    <s v="SILENCERS"/>
    <s v="ZA132SSR-AS"/>
    <s v="APRILIA SHIVER"/>
    <n v="725.9"/>
    <n v="806.56"/>
    <s v="&lt;p&gt;N.2 STEEL-ALUMINIUM SILVER SILENCERS RACING WITH REMOVABLE DB KILLER&lt;/p&gt;_x000a_&lt;p&gt;WEIGHT OF THE ZARD CARBONIUM MUFFLER: KG 3.7&lt;br&gt;WEIGHT OF THE ZARD ALUMINIUM MUFFLER: KG 3.3&lt;/p&gt;_x000a_&lt;p&gt;HARD INCREASE, COMPARED TO THE ORIGINAL EXHAUST SYSTEM, IN TERMS OF TORQUE AND POWER AT ANY RANGE&lt;/p&gt;_x000a_&lt;p&gt;ASTONISHING SOUND&lt;/p&gt;"/>
    <s v="https://shop.officineitalianezard.it/contents/imgs/products/1_635-Immagine%20009.jpg"/>
    <m/>
    <m/>
  </r>
  <r>
    <s v="1586060162-11890"/>
    <s v="https://shop.officineitalianezard.it/en/products/"/>
    <m/>
    <s v="https://shop.officineitalianezard.it/en/aprilia-zard-exhaust/"/>
    <s v="SHIVER"/>
    <s v="https://shop.officineitalianezard.it/en/aprilia-shiver-exhaust/"/>
    <s v="PENTA VERSION"/>
    <x v="312"/>
    <s v="SILENCERS"/>
    <s v="ZA132SSR-AS"/>
    <s v="APRILIA SHIVER"/>
    <n v="725.9"/>
    <n v="806.56"/>
    <s v="&lt;p&gt;N.2 STEEL-ALUMINIUM SILVER SILENCERS RACING WITH REMOVABLE DB KILLER&lt;/p&gt;_x000a_&lt;p&gt;WEIGHT OF THE ZARD CARBONIUM MUFFLER: KG 3.7&lt;br&gt;WEIGHT OF THE ZARD ALUMINIUM MUFFLER: KG 3.3&lt;/p&gt;_x000a_&lt;p&gt;HARD INCREASE, COMPARED TO THE ORIGINAL EXHAUST SYSTEM, IN TERMS OF TORQUE AND POWER AT ANY RANGE&lt;/p&gt;_x000a_&lt;p&gt;ASTONISHING SOUND&lt;/p&gt;"/>
    <m/>
    <s v="BLACK SILENCERS HOMOLOGATED"/>
    <n v="82.62"/>
  </r>
  <r>
    <s v="1586060162-11891"/>
    <s v="https://shop.officineitalianezard.it/en/products/"/>
    <m/>
    <s v="https://shop.officineitalianezard.it/en/aprilia-zard-exhaust/"/>
    <s v="SHIVER"/>
    <s v="https://shop.officineitalianezard.it/en/aprilia-shiver-exhaust/"/>
    <s v="PENTA VERSION"/>
    <x v="312"/>
    <s v="SILENCERS"/>
    <s v="ZA132SSR-AS"/>
    <s v="APRILIA SHIVER"/>
    <n v="725.9"/>
    <n v="806.56"/>
    <s v="&lt;p&gt;N.2 STEEL-ALUMINIUM SILVER SILENCERS RACING WITH REMOVABLE DB KILLER&lt;/p&gt;_x000a_&lt;p&gt;WEIGHT OF THE ZARD CARBONIUM MUFFLER: KG 3.7&lt;br&gt;WEIGHT OF THE ZARD ALUMINIUM MUFFLER: KG 3.3&lt;/p&gt;_x000a_&lt;p&gt;HARD INCREASE, COMPARED TO THE ORIGINAL EXHAUST SYSTEM, IN TERMS OF TORQUE AND POWER AT ANY RANGE&lt;/p&gt;_x000a_&lt;p&gt;ASTONISHING SOUND&lt;/p&gt;"/>
    <m/>
    <s v="CARBON SILENCERS RACING"/>
    <n v="106.97"/>
  </r>
  <r>
    <s v="1586060162-11892"/>
    <s v="https://shop.officineitalianezard.it/en/products/"/>
    <m/>
    <s v="https://shop.officineitalianezard.it/en/aprilia-zard-exhaust/"/>
    <s v="SHIVER"/>
    <s v="https://shop.officineitalianezard.it/en/aprilia-shiver-exhaust/"/>
    <s v="PENTA VERSION"/>
    <x v="312"/>
    <s v="SILENCERS"/>
    <s v="ZA132SSR-AS"/>
    <s v="APRILIA SHIVER"/>
    <n v="725.9"/>
    <n v="806.56"/>
    <s v="&lt;p&gt;N.2 STEEL-ALUMINIUM SILVER SILENCERS RACING WITH REMOVABLE DB KILLER&lt;/p&gt;_x000a_&lt;p&gt;WEIGHT OF THE ZARD CARBONIUM MUFFLER: KG 3.7&lt;br&gt;WEIGHT OF THE ZARD ALUMINIUM MUFFLER: KG 3.3&lt;/p&gt;_x000a_&lt;p&gt;HARD INCREASE, COMPARED TO THE ORIGINAL EXHAUST SYSTEM, IN TERMS OF TORQUE AND POWER AT ANY RANGE&lt;/p&gt;_x000a_&lt;p&gt;ASTONISHING SOUND&lt;/p&gt;"/>
    <m/>
    <s v="SILVER SILENCERS HOMOLOGATED"/>
    <n v="48.69"/>
  </r>
  <r>
    <s v="1586060162-11893"/>
    <s v="https://shop.officineitalianezard.it/en/products/"/>
    <m/>
    <s v="https://shop.officineitalianezard.it/en/aprilia-zard-exhaust/"/>
    <s v="SHIVER"/>
    <s v="https://shop.officineitalianezard.it/en/aprilia-shiver-exhaust/"/>
    <s v="PENTA VERSION"/>
    <x v="312"/>
    <s v="SILENCERS"/>
    <s v="ZA132SSR-AS"/>
    <s v="APRILIA SHIVER"/>
    <n v="725.9"/>
    <n v="806.56"/>
    <s v="&lt;p&gt;N.2 STEEL-ALUMINIUM SILVER SILENCERS RACING WITH REMOVABLE DB KILLER&lt;/p&gt;_x000a_&lt;p&gt;WEIGHT OF THE ZARD CARBONIUM MUFFLER: KG 3.7&lt;br&gt;WEIGHT OF THE ZARD ALUMINIUM MUFFLER: KG 3.3&lt;/p&gt;_x000a_&lt;p&gt;HARD INCREASE, COMPARED TO THE ORIGINAL EXHAUST SYSTEM, IN TERMS OF TORQUE AND POWER AT ANY RANGE&lt;/p&gt;_x000a_&lt;p&gt;ASTONISHING SOUND&lt;/p&gt;"/>
    <m/>
    <s v="BLACK SILENCERS RACING"/>
    <n v="44.26"/>
  </r>
  <r>
    <s v="1586060167-11894"/>
    <s v="https://shop.officineitalianezard.it/en/products/"/>
    <m/>
    <s v="https://shop.officineitalianezard.it/en/aprilia-zard-exhaust/"/>
    <s v="DORSODURO 750"/>
    <s v="https://shop.officineitalianezard.it/en/aprilia-dorsoduro-750-exhaust/"/>
    <s v="STEEL VERSION"/>
    <x v="313"/>
    <s v="HEADERS KIT"/>
    <s v="ZA130SCR"/>
    <s v="APRILIA DORSODURO 750"/>
    <n v="241.97"/>
    <n v="268.85000000000002"/>
    <s v="&lt;p&gt;STEEL HEADER KIT RACING&lt;/p&gt;_x000a_&lt;p&gt;&lt;br&gt;ORIGINAL HEADER KIT WEIGHT: KG 2.5&lt;br&gt;ZARD HEADER KIT WEIGHT: KG 1.38&lt;/p&gt;_x000a_&lt;p&gt;HARD INCREASE, COMPARED TO THE ORIGINAL EXHAUST SYSTEM, IN TERMS OF TORQUE AND POWER AT ANY RANGE&lt;/p&gt;"/>
    <s v="https://shop.officineitalianezard.it/contents/imgs/products/1_631-aprilia-dorsoduro.jpg"/>
    <m/>
    <m/>
  </r>
  <r>
    <s v="1586060167-11895"/>
    <s v="https://shop.officineitalianezard.it/en/products/"/>
    <m/>
    <s v="https://shop.officineitalianezard.it/en/aprilia-zard-exhaust/"/>
    <s v="DORSODURO 750"/>
    <s v="https://shop.officineitalianezard.it/en/aprilia-dorsoduro-750-exhaust/"/>
    <s v="STEEL VERSION"/>
    <x v="313"/>
    <s v="HEADERS KIT"/>
    <s v="ZA130SCR"/>
    <s v="APRILIA DORSODURO 750"/>
    <n v="241.97"/>
    <n v="268.85000000000002"/>
    <s v="&lt;p&gt;STEEL HEADER KIT RACING&lt;/p&gt;_x000a_&lt;p&gt;&lt;br&gt;ORIGINAL HEADER KIT WEIGHT: KG 2.5&lt;br&gt;ZARD HEADER KIT WEIGHT: KG 1.38&lt;/p&gt;_x000a_&lt;p&gt;HARD INCREASE, COMPARED TO THE ORIGINAL EXHAUST SYSTEM, IN TERMS OF TORQUE AND POWER AT ANY RANGE&lt;/p&gt;"/>
    <m/>
    <s v="BLACK CERAMIC COATING"/>
    <n v="123.2"/>
  </r>
  <r>
    <s v="1586060170-11896"/>
    <s v="https://shop.officineitalianezard.it/en/products/"/>
    <m/>
    <s v="https://shop.officineitalianezard.it/en/aprilia-zard-exhaust/"/>
    <s v="DORSODURO 750"/>
    <s v="https://shop.officineitalianezard.it/en/aprilia-dorsoduro-750-exhaust/"/>
    <s v="PENTA VERSION"/>
    <x v="314"/>
    <s v="SILENCERS"/>
    <s v="ZA130SSR-AS"/>
    <s v="APRILIA DORSODURO 750"/>
    <n v="717.05"/>
    <n v="796.72"/>
    <s v="&lt;p&gt;N.2 STEEL-ALUMINIUM SILVER SILENCERS RACING WITH REMOVABLE DB KILLER&lt;/p&gt;_x000a_&lt;p&gt;ORIGINAL SILENCERS WEIGHT: KG 10&lt;br&gt;ZARD CARBON SILENCERS WEIGHT: KG 3.7&lt;br&gt;ZARD ALUMINIUM SILENCERS WEIGHT: KG 3.3&lt;/p&gt;_x000a_&lt;p&gt;&lt;br&gt;HARD INCREASE, COMPARED TO THE ORIGINAL EXHAUST SYSTEM, IN TERMS OF TORQUE AND POWER AT ANY RANGE&lt;/p&gt;_x000a_&lt;p&gt;ASTONISHING SOUND&lt;/p&gt;"/>
    <s v="https://shop.officineitalianezard.it/contents/imgs/products/1_715-2_630-aprilia-dorsoduro.jpg"/>
    <m/>
    <m/>
  </r>
  <r>
    <s v="1586060170-11897"/>
    <s v="https://shop.officineitalianezard.it/en/products/"/>
    <m/>
    <s v="https://shop.officineitalianezard.it/en/aprilia-zard-exhaust/"/>
    <s v="DORSODURO 750"/>
    <s v="https://shop.officineitalianezard.it/en/aprilia-dorsoduro-750-exhaust/"/>
    <s v="PENTA VERSION"/>
    <x v="314"/>
    <s v="SILENCERS"/>
    <s v="ZA130SSR-AS"/>
    <s v="APRILIA DORSODURO 750"/>
    <n v="717.05"/>
    <n v="796.72"/>
    <s v="&lt;p&gt;N.2 STEEL-ALUMINIUM SILVER SILENCERS RACING WITH REMOVABLE DB KILLER&lt;/p&gt;_x000a_&lt;p&gt;ORIGINAL SILENCERS WEIGHT: KG 10&lt;br&gt;ZARD CARBON SILENCERS WEIGHT: KG 3.7&lt;br&gt;ZARD ALUMINIUM SILENCERS WEIGHT: KG 3.3&lt;/p&gt;_x000a_&lt;p&gt;&lt;br&gt;HARD INCREASE, COMPARED TO THE ORIGINAL EXHAUST SYSTEM, IN TERMS OF TORQUE AND POWER AT ANY RANGE&lt;/p&gt;_x000a_&lt;p&gt;ASTONISHING SOUND&lt;/p&gt;"/>
    <m/>
    <s v="SILVER SILENCERS HOMOLOGATED"/>
    <n v="53.11"/>
  </r>
  <r>
    <s v="1586060170-11898"/>
    <s v="https://shop.officineitalianezard.it/en/products/"/>
    <m/>
    <s v="https://shop.officineitalianezard.it/en/aprilia-zard-exhaust/"/>
    <s v="DORSODURO 750"/>
    <s v="https://shop.officineitalianezard.it/en/aprilia-dorsoduro-750-exhaust/"/>
    <s v="PENTA VERSION"/>
    <x v="314"/>
    <s v="SILENCERS"/>
    <s v="ZA130SSR-AS"/>
    <s v="APRILIA DORSODURO 750"/>
    <n v="717.05"/>
    <n v="796.72"/>
    <s v="&lt;p&gt;N.2 STEEL-ALUMINIUM SILVER SILENCERS RACING WITH REMOVABLE DB KILLER&lt;/p&gt;_x000a_&lt;p&gt;ORIGINAL SILENCERS WEIGHT: KG 10&lt;br&gt;ZARD CARBON SILENCERS WEIGHT: KG 3.7&lt;br&gt;ZARD ALUMINIUM SILENCERS WEIGHT: KG 3.3&lt;/p&gt;_x000a_&lt;p&gt;&lt;br&gt;HARD INCREASE, COMPARED TO THE ORIGINAL EXHAUST SYSTEM, IN TERMS OF TORQUE AND POWER AT ANY RANGE&lt;/p&gt;_x000a_&lt;p&gt;ASTONISHING SOUND&lt;/p&gt;"/>
    <m/>
    <s v="BLACK SILENCERS HOMOLOGATED"/>
    <n v="82.62"/>
  </r>
  <r>
    <s v="1586060170-11899"/>
    <s v="https://shop.officineitalianezard.it/en/products/"/>
    <m/>
    <s v="https://shop.officineitalianezard.it/en/aprilia-zard-exhaust/"/>
    <s v="DORSODURO 750"/>
    <s v="https://shop.officineitalianezard.it/en/aprilia-dorsoduro-750-exhaust/"/>
    <s v="PENTA VERSION"/>
    <x v="314"/>
    <s v="SILENCERS"/>
    <s v="ZA130SSR-AS"/>
    <s v="APRILIA DORSODURO 750"/>
    <n v="717.05"/>
    <n v="796.72"/>
    <s v="&lt;p&gt;N.2 STEEL-ALUMINIUM SILVER SILENCERS RACING WITH REMOVABLE DB KILLER&lt;/p&gt;_x000a_&lt;p&gt;ORIGINAL SILENCERS WEIGHT: KG 10&lt;br&gt;ZARD CARBON SILENCERS WEIGHT: KG 3.7&lt;br&gt;ZARD ALUMINIUM SILENCERS WEIGHT: KG 3.3&lt;/p&gt;_x000a_&lt;p&gt;&lt;br&gt;HARD INCREASE, COMPARED TO THE ORIGINAL EXHAUST SYSTEM, IN TERMS OF TORQUE AND POWER AT ANY RANGE&lt;/p&gt;_x000a_&lt;p&gt;ASTONISHING SOUND&lt;/p&gt;"/>
    <m/>
    <s v="BLACK SILENCERS RACING"/>
    <n v="44.26"/>
  </r>
  <r>
    <s v="1586060170-11900"/>
    <s v="https://shop.officineitalianezard.it/en/products/"/>
    <m/>
    <s v="https://shop.officineitalianezard.it/en/aprilia-zard-exhaust/"/>
    <s v="DORSODURO 750"/>
    <s v="https://shop.officineitalianezard.it/en/aprilia-dorsoduro-750-exhaust/"/>
    <s v="PENTA VERSION"/>
    <x v="314"/>
    <s v="SILENCERS"/>
    <s v="ZA130SSR-AS"/>
    <s v="APRILIA DORSODURO 750"/>
    <n v="717.05"/>
    <n v="796.72"/>
    <s v="&lt;p&gt;N.2 STEEL-ALUMINIUM SILVER SILENCERS RACING WITH REMOVABLE DB KILLER&lt;/p&gt;_x000a_&lt;p&gt;ORIGINAL SILENCERS WEIGHT: KG 10&lt;br&gt;ZARD CARBON SILENCERS WEIGHT: KG 3.7&lt;br&gt;ZARD ALUMINIUM SILENCERS WEIGHT: KG 3.3&lt;/p&gt;_x000a_&lt;p&gt;&lt;br&gt;HARD INCREASE, COMPARED TO THE ORIGINAL EXHAUST SYSTEM, IN TERMS OF TORQUE AND POWER AT ANY RANGE&lt;/p&gt;_x000a_&lt;p&gt;ASTONISHING SOUND&lt;/p&gt;"/>
    <m/>
    <s v="CARBON SILENCERS RACING"/>
    <n v="101.07"/>
  </r>
  <r>
    <s v="1586060170-11901"/>
    <s v="https://shop.officineitalianezard.it/en/products/"/>
    <m/>
    <s v="https://shop.officineitalianezard.it/en/aprilia-zard-exhaust/"/>
    <s v="DORSODURO 750"/>
    <s v="https://shop.officineitalianezard.it/en/aprilia-dorsoduro-750-exhaust/"/>
    <s v="PENTA VERSION"/>
    <x v="314"/>
    <s v="SILENCERS"/>
    <s v="ZA130SSR-AS"/>
    <s v="APRILIA DORSODURO 750"/>
    <n v="717.05"/>
    <n v="796.72"/>
    <s v="&lt;p&gt;N.2 STEEL-ALUMINIUM SILVER SILENCERS RACING WITH REMOVABLE DB KILLER&lt;/p&gt;_x000a_&lt;p&gt;ORIGINAL SILENCERS WEIGHT: KG 10&lt;br&gt;ZARD CARBON SILENCERS WEIGHT: KG 3.7&lt;br&gt;ZARD ALUMINIUM SILENCERS WEIGHT: KG 3.3&lt;/p&gt;_x000a_&lt;p&gt;&lt;br&gt;HARD INCREASE, COMPARED TO THE ORIGINAL EXHAUST SYSTEM, IN TERMS OF TORQUE AND POWER AT ANY RANGE&lt;/p&gt;_x000a_&lt;p&gt;ASTONISHING SOUND&lt;/p&gt;"/>
    <m/>
    <s v="CARBON 'PENTA' ENDCAP"/>
    <n v="75.25"/>
  </r>
  <r>
    <m/>
    <m/>
    <m/>
    <m/>
    <m/>
    <m/>
    <m/>
    <x v="315"/>
    <m/>
    <m/>
    <m/>
    <m/>
    <m/>
    <m/>
    <m/>
    <m/>
    <m/>
  </r>
  <r>
    <m/>
    <m/>
    <m/>
    <m/>
    <m/>
    <m/>
    <m/>
    <x v="315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DBB900-4852-594F-95E3-A0F3FE094594}" name="variant_counts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320" firstHeaderRow="1" firstDataRow="1" firstDataCol="1"/>
  <pivotFields count="17"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17">
        <item x="90"/>
        <item x="189"/>
        <item x="84"/>
        <item x="85"/>
        <item x="86"/>
        <item x="13"/>
        <item x="12"/>
        <item x="70"/>
        <item x="74"/>
        <item x="269"/>
        <item x="295"/>
        <item x="302"/>
        <item x="294"/>
        <item x="301"/>
        <item x="299"/>
        <item x="300"/>
        <item x="270"/>
        <item x="293"/>
        <item x="286"/>
        <item x="113"/>
        <item x="112"/>
        <item x="110"/>
        <item x="109"/>
        <item x="108"/>
        <item x="99"/>
        <item x="39"/>
        <item x="16"/>
        <item x="253"/>
        <item x="259"/>
        <item x="260"/>
        <item x="252"/>
        <item x="254"/>
        <item x="251"/>
        <item x="250"/>
        <item x="249"/>
        <item x="248"/>
        <item x="239"/>
        <item x="240"/>
        <item x="231"/>
        <item x="229"/>
        <item x="230"/>
        <item x="233"/>
        <item x="235"/>
        <item x="232"/>
        <item x="210"/>
        <item x="213"/>
        <item x="211"/>
        <item x="212"/>
        <item x="193"/>
        <item x="192"/>
        <item x="258"/>
        <item x="72"/>
        <item x="62"/>
        <item x="67"/>
        <item x="43"/>
        <item x="117"/>
        <item x="118"/>
        <item x="6"/>
        <item x="5"/>
        <item x="4"/>
        <item x="7"/>
        <item x="87"/>
        <item x="45"/>
        <item x="44"/>
        <item x="106"/>
        <item x="104"/>
        <item x="41"/>
        <item x="94"/>
        <item x="93"/>
        <item x="134"/>
        <item x="92"/>
        <item x="91"/>
        <item x="36"/>
        <item x="37"/>
        <item x="82"/>
        <item x="83"/>
        <item x="184"/>
        <item x="176"/>
        <item x="177"/>
        <item x="166"/>
        <item x="165"/>
        <item x="164"/>
        <item x="132"/>
        <item x="131"/>
        <item x="161"/>
        <item x="115"/>
        <item x="116"/>
        <item x="46"/>
        <item x="47"/>
        <item x="35"/>
        <item x="147"/>
        <item x="146"/>
        <item x="135"/>
        <item x="136"/>
        <item x="140"/>
        <item x="138"/>
        <item x="128"/>
        <item x="127"/>
        <item x="126"/>
        <item x="137"/>
        <item x="33"/>
        <item x="32"/>
        <item x="31"/>
        <item x="298"/>
        <item x="256"/>
        <item x="69"/>
        <item x="34"/>
        <item x="100"/>
        <item x="101"/>
        <item x="18"/>
        <item x="60"/>
        <item x="119"/>
        <item x="168"/>
        <item x="182"/>
        <item x="183"/>
        <item x="312"/>
        <item x="311"/>
        <item x="265"/>
        <item x="283"/>
        <item x="292"/>
        <item x="291"/>
        <item x="290"/>
        <item x="289"/>
        <item x="288"/>
        <item x="287"/>
        <item x="279"/>
        <item x="281"/>
        <item x="282"/>
        <item x="261"/>
        <item x="237"/>
        <item x="277"/>
        <item x="234"/>
        <item x="247"/>
        <item x="246"/>
        <item x="244"/>
        <item x="245"/>
        <item x="242"/>
        <item x="241"/>
        <item x="243"/>
        <item x="238"/>
        <item x="206"/>
        <item x="209"/>
        <item x="208"/>
        <item x="207"/>
        <item x="194"/>
        <item x="257"/>
        <item x="88"/>
        <item x="42"/>
        <item x="105"/>
        <item x="228"/>
        <item x="222"/>
        <item x="221"/>
        <item x="218"/>
        <item x="133"/>
        <item x="181"/>
        <item x="179"/>
        <item x="180"/>
        <item x="175"/>
        <item x="174"/>
        <item x="173"/>
        <item x="163"/>
        <item x="162"/>
        <item x="169"/>
        <item x="170"/>
        <item x="167"/>
        <item x="190"/>
        <item x="216"/>
        <item x="223"/>
        <item x="160"/>
        <item x="158"/>
        <item x="159"/>
        <item x="157"/>
        <item x="156"/>
        <item x="154"/>
        <item x="155"/>
        <item x="145"/>
        <item x="144"/>
        <item x="150"/>
        <item x="149"/>
        <item x="143"/>
        <item x="139"/>
        <item x="130"/>
        <item x="129"/>
        <item x="30"/>
        <item x="29"/>
        <item x="227"/>
        <item x="224"/>
        <item x="220"/>
        <item x="217"/>
        <item x="215"/>
        <item x="226"/>
        <item x="225"/>
        <item x="219"/>
        <item x="214"/>
        <item x="191"/>
        <item x="125"/>
        <item x="28"/>
        <item x="255"/>
        <item x="236"/>
        <item x="152"/>
        <item x="151"/>
        <item x="310"/>
        <item x="308"/>
        <item x="306"/>
        <item x="309"/>
        <item x="307"/>
        <item x="204"/>
        <item x="142"/>
        <item x="141"/>
        <item x="121"/>
        <item x="89"/>
        <item x="102"/>
        <item x="103"/>
        <item x="38"/>
        <item x="188"/>
        <item x="187"/>
        <item x="186"/>
        <item x="185"/>
        <item x="278"/>
        <item x="276"/>
        <item x="273"/>
        <item x="268"/>
        <item x="267"/>
        <item x="264"/>
        <item x="15"/>
        <item x="172"/>
        <item x="171"/>
        <item x="9"/>
        <item x="10"/>
        <item x="178"/>
        <item x="274"/>
        <item x="271"/>
        <item x="313"/>
        <item x="123"/>
        <item x="153"/>
        <item x="275"/>
        <item x="272"/>
        <item x="21"/>
        <item x="24"/>
        <item x="25"/>
        <item x="20"/>
        <item x="23"/>
        <item x="22"/>
        <item x="26"/>
        <item x="27"/>
        <item x="197"/>
        <item x="195"/>
        <item x="196"/>
        <item x="198"/>
        <item x="203"/>
        <item x="199"/>
        <item x="200"/>
        <item x="205"/>
        <item x="202"/>
        <item x="201"/>
        <item x="19"/>
        <item x="98"/>
        <item x="61"/>
        <item x="68"/>
        <item x="58"/>
        <item x="59"/>
        <item x="122"/>
        <item x="53"/>
        <item x="52"/>
        <item x="120"/>
        <item x="48"/>
        <item x="49"/>
        <item x="51"/>
        <item x="50"/>
        <item x="111"/>
        <item x="95"/>
        <item x="96"/>
        <item x="97"/>
        <item x="107"/>
        <item x="73"/>
        <item x="71"/>
        <item x="66"/>
        <item x="65"/>
        <item x="64"/>
        <item x="63"/>
        <item x="78"/>
        <item x="77"/>
        <item x="76"/>
        <item x="75"/>
        <item x="80"/>
        <item x="81"/>
        <item x="79"/>
        <item x="57"/>
        <item x="54"/>
        <item x="55"/>
        <item x="56"/>
        <item x="114"/>
        <item x="40"/>
        <item x="124"/>
        <item x="14"/>
        <item x="1"/>
        <item x="11"/>
        <item x="8"/>
        <item x="3"/>
        <item x="2"/>
        <item x="0"/>
        <item x="148"/>
        <item x="305"/>
        <item x="304"/>
        <item x="303"/>
        <item x="280"/>
        <item x="263"/>
        <item x="284"/>
        <item x="296"/>
        <item x="297"/>
        <item x="285"/>
        <item x="266"/>
        <item x="17"/>
        <item x="262"/>
        <item x="314"/>
        <item x="3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7"/>
  </rowFields>
  <rowItems count="3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 t="grand">
      <x/>
    </i>
  </rowItems>
  <colItems count="1">
    <i/>
  </colItems>
  <dataFields count="1">
    <dataField name="Count of option-name" fld="1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2955D96-B301-0741-AA6E-53235DD2562E}">
  <we:reference id="wa104380727" version="1.0.0.2" store="en-001" storeType="OMEX"/>
  <we:alternateReferences>
    <we:reference id="wa104380727" version="1.0.0.2" store="wa104380727" storeType="OMEX"/>
  </we:alternateReferences>
  <we:properties/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020"/>
  <sheetViews>
    <sheetView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W2" sqref="W2"/>
    </sheetView>
  </sheetViews>
  <sheetFormatPr baseColWidth="10" defaultRowHeight="16" x14ac:dyDescent="0.2"/>
  <cols>
    <col min="1" max="1" width="61" customWidth="1"/>
    <col min="2" max="2" width="12.33203125" hidden="1" customWidth="1"/>
    <col min="3" max="3" width="12.5" hidden="1" customWidth="1"/>
    <col min="4" max="4" width="14.83203125" hidden="1" customWidth="1"/>
    <col min="5" max="5" width="89.5" bestFit="1" customWidth="1"/>
    <col min="6" max="6" width="105" bestFit="1" customWidth="1"/>
    <col min="7" max="7" width="255.83203125" bestFit="1" customWidth="1"/>
    <col min="8" max="8" width="9.5" bestFit="1" customWidth="1"/>
    <col min="9" max="9" width="11.5" bestFit="1" customWidth="1"/>
    <col min="10" max="10" width="7.5" bestFit="1" customWidth="1"/>
    <col min="11" max="11" width="11.5" bestFit="1" customWidth="1"/>
    <col min="12" max="12" width="15.6640625" bestFit="1" customWidth="1"/>
    <col min="13" max="13" width="45.1640625" bestFit="1" customWidth="1"/>
    <col min="14" max="14" width="15.6640625" bestFit="1" customWidth="1"/>
    <col min="15" max="15" width="15.33203125" bestFit="1" customWidth="1"/>
    <col min="16" max="16" width="15.6640625" bestFit="1" customWidth="1"/>
    <col min="17" max="17" width="15.33203125" bestFit="1" customWidth="1"/>
    <col min="18" max="18" width="28.33203125" bestFit="1" customWidth="1"/>
    <col min="19" max="19" width="15.6640625" bestFit="1" customWidth="1"/>
    <col min="20" max="20" width="24.5" bestFit="1" customWidth="1"/>
    <col min="21" max="21" width="23" bestFit="1" customWidth="1"/>
    <col min="22" max="22" width="25.83203125" bestFit="1" customWidth="1"/>
    <col min="23" max="23" width="14.1640625" style="5" bestFit="1" customWidth="1"/>
    <col min="24" max="24" width="24.6640625" bestFit="1" customWidth="1"/>
    <col min="25" max="25" width="25.1640625" bestFit="1" customWidth="1"/>
    <col min="26" max="26" width="16.5" bestFit="1" customWidth="1"/>
    <col min="27" max="27" width="16.83203125" bestFit="1" customWidth="1"/>
    <col min="28" max="28" width="163.83203125" bestFit="1" customWidth="1"/>
    <col min="29" max="29" width="15.83203125" bestFit="1" customWidth="1"/>
    <col min="30" max="30" width="15.6640625" bestFit="1" customWidth="1"/>
    <col min="31" max="31" width="11" bestFit="1" customWidth="1"/>
    <col min="32" max="32" width="11.1640625" bestFit="1" customWidth="1"/>
    <col min="33" max="33" width="16.6640625" bestFit="1" customWidth="1"/>
    <col min="34" max="34" width="40.33203125" bestFit="1" customWidth="1"/>
    <col min="35" max="35" width="25.6640625" bestFit="1" customWidth="1"/>
    <col min="36" max="36" width="28.33203125" bestFit="1" customWidth="1"/>
    <col min="37" max="37" width="23.5" bestFit="1" customWidth="1"/>
    <col min="38" max="38" width="35.5" bestFit="1" customWidth="1"/>
    <col min="39" max="39" width="33" bestFit="1" customWidth="1"/>
    <col min="40" max="40" width="27.33203125" bestFit="1" customWidth="1"/>
    <col min="41" max="41" width="32.6640625" bestFit="1" customWidth="1"/>
    <col min="42" max="46" width="32.33203125" bestFit="1" customWidth="1"/>
    <col min="47" max="47" width="15.33203125" bestFit="1" customWidth="1"/>
    <col min="48" max="48" width="20.33203125" bestFit="1" customWidth="1"/>
    <col min="49" max="49" width="17.5" bestFit="1" customWidth="1"/>
    <col min="50" max="50" width="14.6640625" bestFit="1" customWidth="1"/>
  </cols>
  <sheetData>
    <row r="1" spans="1:50" s="6" customFormat="1" x14ac:dyDescent="0.2">
      <c r="A1" s="6" t="s">
        <v>115</v>
      </c>
      <c r="B1" s="6" t="s">
        <v>102</v>
      </c>
      <c r="C1" s="6" t="s">
        <v>116</v>
      </c>
      <c r="D1" s="6" t="s">
        <v>110</v>
      </c>
      <c r="E1" s="6" t="s">
        <v>0</v>
      </c>
      <c r="F1" s="6" t="s">
        <v>1</v>
      </c>
      <c r="G1" s="6" t="s">
        <v>2</v>
      </c>
      <c r="H1" s="6" t="s">
        <v>3</v>
      </c>
      <c r="I1" s="6" t="s">
        <v>4</v>
      </c>
      <c r="J1" s="6" t="s">
        <v>5</v>
      </c>
      <c r="K1" s="6" t="s">
        <v>6</v>
      </c>
      <c r="L1" s="6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7" t="s">
        <v>18</v>
      </c>
      <c r="X1" s="6" t="s">
        <v>19</v>
      </c>
      <c r="Y1" s="6" t="s">
        <v>20</v>
      </c>
      <c r="Z1" s="6" t="s">
        <v>21</v>
      </c>
      <c r="AA1" s="6" t="s">
        <v>22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  <c r="AL1" s="6" t="s">
        <v>33</v>
      </c>
      <c r="AM1" s="6" t="s">
        <v>34</v>
      </c>
      <c r="AN1" s="6" t="s">
        <v>35</v>
      </c>
      <c r="AO1" s="6" t="s">
        <v>36</v>
      </c>
      <c r="AP1" s="6" t="s">
        <v>37</v>
      </c>
      <c r="AQ1" s="6" t="s">
        <v>38</v>
      </c>
      <c r="AR1" s="6" t="s">
        <v>39</v>
      </c>
      <c r="AS1" s="6" t="s">
        <v>40</v>
      </c>
      <c r="AT1" s="6" t="s">
        <v>41</v>
      </c>
      <c r="AU1" s="6" t="s">
        <v>42</v>
      </c>
      <c r="AV1" s="6" t="s">
        <v>43</v>
      </c>
      <c r="AW1" s="6" t="s">
        <v>44</v>
      </c>
      <c r="AX1" s="6" t="s">
        <v>45</v>
      </c>
    </row>
    <row r="2" spans="1:50" x14ac:dyDescent="0.2">
      <c r="A2" t="str">
        <f t="shared" ref="A2:A65" si="0">source_product_link_href</f>
        <v>https://shop.officineitalianezard.it/en/yamaha-xsr-900-exhaust-zard/</v>
      </c>
      <c r="B2" t="b">
        <f>COUNTIF($A$2:$A2, A2)&gt;1</f>
        <v>0</v>
      </c>
      <c r="C2" t="b">
        <f t="shared" ref="C2:C65" si="1">NOT(ISBLANK(source_option_name))</f>
        <v>0</v>
      </c>
      <c r="D2">
        <f>VLOOKUP(A2,variant_counts!A:B, 2, FALSE)</f>
        <v>3</v>
      </c>
      <c r="E2" t="str">
        <f>FormatShopifyHandle(F2)</f>
        <v>zard-exhaust-31-full-kit-yamaha-xsr-900-201619-short-version-zy102skr</v>
      </c>
      <c r="F2" t="str">
        <f t="shared" ref="F2:F65" si="2">UPPER("ZARD EXHAUST " &amp; source_title &amp; " " &amp; source_brand &amp; " " &amp; source_bike &amp; " " &amp; source_product_link &amp; " " &amp; source_sku)</f>
        <v>ZARD EXHAUST 3&gt;1 FULL KIT YAMAHA XSR 900 2016/19 SHORT VERSION ZY102SKR</v>
      </c>
      <c r="G2" t="str">
        <f t="shared" ref="G2:G65" si="3">IF($B2=FALSE, source_description, "")</f>
        <v>&lt;p&gt;3&amp;gt;1 STEEL FULL KIT RACING WITH REMOVABLE DB KILLER&lt;/p&gt;
&lt;p&gt;ORIGINAL FULL KIT WEIGHT: 8.5KG&lt;br&gt;ZARD FULL KIT WEIGHT: 4.2KG&lt;/p&gt;
&lt;p&gt;HARD INCREASE COMPARED TO THE ORIGINAL EXHAUST SYSTEM.&lt;/p&gt;
&lt;p&gt;ASTONISHING SOUND.&lt;/p&gt;
&lt;p&gt;&lt;strong&gt;&lt;/strong&gt;&lt;/p&gt;
&lt;p&gt;&lt;/p&gt;</v>
      </c>
      <c r="H2" t="str">
        <f>IF($B2=FALSE, "ZARD", "")</f>
        <v>ZARD</v>
      </c>
      <c r="I2" t="str">
        <f>IF($B2=FALSE, "Exhaust Pipe", "")</f>
        <v>Exhaust Pipe</v>
      </c>
      <c r="J2" t="str">
        <f>IF($B2=FALSE, "Test", "")</f>
        <v>Test</v>
      </c>
      <c r="K2" t="b">
        <f>IF($B2=FALSE, FALSE, "")</f>
        <v>0</v>
      </c>
      <c r="L2" t="str">
        <f t="shared" ref="L2:L65" si="4">IF(AND(variant_count=0,duplicated=FALSE),"Title",IF(OR(AND(variant_count=1,duplicated=FALSE), source_option_name&lt;&gt;""), "Option", ""))</f>
        <v/>
      </c>
      <c r="M2" t="str">
        <f t="shared" ref="M2:M65" si="5">IF(option1_name="Title", "Default Title", IF(AND(option1_name="Option",ISBLANK(source_option_name)),"DEFAULT",IF(ISBLANK(source_option_name), "", source_option_name)))</f>
        <v/>
      </c>
      <c r="R2" t="str">
        <f t="shared" ref="R2:R65" si="6">IF(option1_name &lt;&gt; "", source_sku, "")</f>
        <v/>
      </c>
      <c r="S2" t="str">
        <f t="shared" ref="S2:S65" si="7">IF(option1_name &lt;&gt; "", 0, "")</f>
        <v/>
      </c>
      <c r="U2" t="str">
        <f t="shared" ref="U2:U65" si="8">IF(option1_name &lt;&gt; "", "continue", "")</f>
        <v/>
      </c>
      <c r="V2" t="str">
        <f t="shared" ref="V2:V65" si="9">IF(option1_name &lt;&gt; "", "manual", "")</f>
        <v/>
      </c>
      <c r="W2" s="5" t="str">
        <f t="shared" ref="W2:W65" si="10">IF(option1_name&lt;&gt;"",(source_price_original+source_option_price)*eur_usd,"")</f>
        <v/>
      </c>
      <c r="Y2" t="str">
        <f t="shared" ref="Y2:Y65" si="11">IF(option1_name&lt;&gt;"",TRUE,"")</f>
        <v/>
      </c>
      <c r="Z2" t="str">
        <f t="shared" ref="Z2:Z65" si="12">IF(option1_name&lt;&gt;"",FALSE,"")</f>
        <v/>
      </c>
      <c r="AB2" t="str">
        <f t="shared" ref="AB2:AB65" si="13">IF(ISBLANK(source_image), "", source_image)</f>
        <v>https://shop.officineitalianezard.it/contents/imgs/products/1_1453-1.jpg</v>
      </c>
      <c r="AE2" t="b">
        <v>0</v>
      </c>
    </row>
    <row r="3" spans="1:50" x14ac:dyDescent="0.2">
      <c r="A3" t="str">
        <f t="shared" si="0"/>
        <v>https://shop.officineitalianezard.it/en/yamaha-xsr-900-exhaust-zard/</v>
      </c>
      <c r="B3" t="b">
        <f>COUNTIF($A$2:$A3, A3)&gt;1</f>
        <v>1</v>
      </c>
      <c r="C3" t="b">
        <f t="shared" si="1"/>
        <v>0</v>
      </c>
      <c r="D3">
        <f>VLOOKUP(A3,variant_counts!A:B, 2, FALSE)</f>
        <v>3</v>
      </c>
      <c r="E3" t="str">
        <f t="shared" ref="E3:E66" si="14">FormatShopifyHandle(F3)</f>
        <v>zard-exhaust-31-full-kit-yamaha-xsr-900-201619-short-version-zy102skr</v>
      </c>
      <c r="F3" t="str">
        <f t="shared" si="2"/>
        <v>ZARD EXHAUST 3&gt;1 FULL KIT YAMAHA XSR 900 2016/19 SHORT VERSION ZY102SKR</v>
      </c>
      <c r="G3" t="str">
        <f t="shared" si="3"/>
        <v/>
      </c>
      <c r="H3" t="str">
        <f t="shared" ref="H3:H66" si="15">IF($B3=FALSE, "ZARD", "")</f>
        <v/>
      </c>
      <c r="I3" t="str">
        <f t="shared" ref="I3:I66" si="16">IF($B3=FALSE, "Exhaust Pipe", "")</f>
        <v/>
      </c>
      <c r="J3" t="str">
        <f t="shared" ref="J3:J66" si="17">IF($B3=FALSE, "Test", "")</f>
        <v/>
      </c>
      <c r="K3" t="str">
        <f t="shared" ref="K3:K66" si="18">IF($B3=FALSE, FALSE, "")</f>
        <v/>
      </c>
      <c r="L3" t="str">
        <f t="shared" si="4"/>
        <v/>
      </c>
      <c r="M3" t="str">
        <f t="shared" si="5"/>
        <v/>
      </c>
      <c r="R3" t="str">
        <f t="shared" si="6"/>
        <v/>
      </c>
      <c r="S3" t="str">
        <f t="shared" si="7"/>
        <v/>
      </c>
      <c r="U3" t="str">
        <f t="shared" si="8"/>
        <v/>
      </c>
      <c r="V3" t="str">
        <f t="shared" si="9"/>
        <v/>
      </c>
      <c r="W3" s="5" t="str">
        <f t="shared" si="10"/>
        <v/>
      </c>
      <c r="Y3" t="str">
        <f t="shared" si="11"/>
        <v/>
      </c>
      <c r="Z3" t="str">
        <f t="shared" si="12"/>
        <v/>
      </c>
      <c r="AB3" t="str">
        <f t="shared" si="13"/>
        <v>https://shop.officineitalianezard.it/contents/imgs/products/1_1454-2.jpg</v>
      </c>
      <c r="AE3" t="b">
        <v>0</v>
      </c>
    </row>
    <row r="4" spans="1:50" x14ac:dyDescent="0.2">
      <c r="A4" t="str">
        <f t="shared" si="0"/>
        <v>https://shop.officineitalianezard.it/en/yamaha-xsr-900-exhaust-zard/</v>
      </c>
      <c r="B4" t="b">
        <f>COUNTIF($A$2:$A4, A4)&gt;1</f>
        <v>1</v>
      </c>
      <c r="C4" t="b">
        <f t="shared" si="1"/>
        <v>0</v>
      </c>
      <c r="D4">
        <f>VLOOKUP(A4,variant_counts!A:B, 2, FALSE)</f>
        <v>3</v>
      </c>
      <c r="E4" t="str">
        <f t="shared" si="14"/>
        <v>zard-exhaust-31-full-kit-yamaha-xsr-900-201619-short-version-zy102skr</v>
      </c>
      <c r="F4" t="str">
        <f t="shared" si="2"/>
        <v>ZARD EXHAUST 3&gt;1 FULL KIT YAMAHA XSR 900 2016/19 SHORT VERSION ZY102SKR</v>
      </c>
      <c r="G4" t="str">
        <f t="shared" si="3"/>
        <v/>
      </c>
      <c r="H4" t="str">
        <f t="shared" si="15"/>
        <v/>
      </c>
      <c r="I4" t="str">
        <f t="shared" si="16"/>
        <v/>
      </c>
      <c r="J4" t="str">
        <f t="shared" si="17"/>
        <v/>
      </c>
      <c r="K4" t="str">
        <f t="shared" si="18"/>
        <v/>
      </c>
      <c r="L4" t="str">
        <f t="shared" si="4"/>
        <v/>
      </c>
      <c r="M4" t="str">
        <f t="shared" si="5"/>
        <v/>
      </c>
      <c r="R4" t="str">
        <f t="shared" si="6"/>
        <v/>
      </c>
      <c r="S4" t="str">
        <f t="shared" si="7"/>
        <v/>
      </c>
      <c r="U4" t="str">
        <f t="shared" si="8"/>
        <v/>
      </c>
      <c r="V4" t="str">
        <f t="shared" si="9"/>
        <v/>
      </c>
      <c r="W4" s="5" t="str">
        <f t="shared" si="10"/>
        <v/>
      </c>
      <c r="Y4" t="str">
        <f t="shared" si="11"/>
        <v/>
      </c>
      <c r="Z4" t="str">
        <f t="shared" si="12"/>
        <v/>
      </c>
      <c r="AB4" t="str">
        <f t="shared" si="13"/>
        <v>https://shop.officineitalianezard.it/contents/imgs/products/1_1455-3.jpg</v>
      </c>
      <c r="AE4" t="b">
        <v>0</v>
      </c>
    </row>
    <row r="5" spans="1:50" x14ac:dyDescent="0.2">
      <c r="A5" t="str">
        <f t="shared" si="0"/>
        <v>https://shop.officineitalianezard.it/en/yamaha-xsr-900-exhaust-zard/</v>
      </c>
      <c r="B5" t="b">
        <f>COUNTIF($A$2:$A5, A5)&gt;1</f>
        <v>1</v>
      </c>
      <c r="C5" t="b">
        <f t="shared" si="1"/>
        <v>0</v>
      </c>
      <c r="D5">
        <f>VLOOKUP(A5,variant_counts!A:B, 2, FALSE)</f>
        <v>3</v>
      </c>
      <c r="E5" t="str">
        <f t="shared" si="14"/>
        <v>zard-exhaust-31-full-kit-yamaha-xsr-900-201619-short-version-zy102skr</v>
      </c>
      <c r="F5" t="str">
        <f t="shared" si="2"/>
        <v>ZARD EXHAUST 3&gt;1 FULL KIT YAMAHA XSR 900 2016/19 SHORT VERSION ZY102SKR</v>
      </c>
      <c r="G5" t="str">
        <f t="shared" si="3"/>
        <v/>
      </c>
      <c r="H5" t="str">
        <f t="shared" si="15"/>
        <v/>
      </c>
      <c r="I5" t="str">
        <f t="shared" si="16"/>
        <v/>
      </c>
      <c r="J5" t="str">
        <f t="shared" si="17"/>
        <v/>
      </c>
      <c r="K5" t="str">
        <f t="shared" si="18"/>
        <v/>
      </c>
      <c r="L5" t="str">
        <f t="shared" si="4"/>
        <v/>
      </c>
      <c r="M5" t="str">
        <f t="shared" si="5"/>
        <v/>
      </c>
      <c r="R5" t="str">
        <f t="shared" si="6"/>
        <v/>
      </c>
      <c r="S5" t="str">
        <f t="shared" si="7"/>
        <v/>
      </c>
      <c r="U5" t="str">
        <f t="shared" si="8"/>
        <v/>
      </c>
      <c r="V5" t="str">
        <f t="shared" si="9"/>
        <v/>
      </c>
      <c r="W5" s="5" t="str">
        <f t="shared" si="10"/>
        <v/>
      </c>
      <c r="Y5" t="str">
        <f t="shared" si="11"/>
        <v/>
      </c>
      <c r="Z5" t="str">
        <f t="shared" si="12"/>
        <v/>
      </c>
      <c r="AB5" t="str">
        <f t="shared" si="13"/>
        <v>https://shop.officineitalianezard.it/contents/imgs/products/1_2020-1721-scarico%20xsr900%20mt07%20xsr700%20mt09%20yamaha%20zard.jpg</v>
      </c>
      <c r="AE5" t="b">
        <v>0</v>
      </c>
    </row>
    <row r="6" spans="1:50" x14ac:dyDescent="0.2">
      <c r="A6" t="str">
        <f t="shared" si="0"/>
        <v>https://shop.officineitalianezard.it/en/yamaha-xsr-900-exhaust-zard/</v>
      </c>
      <c r="B6" t="b">
        <f>COUNTIF($A$2:$A6, A6)&gt;1</f>
        <v>1</v>
      </c>
      <c r="C6" t="b">
        <f t="shared" si="1"/>
        <v>0</v>
      </c>
      <c r="D6">
        <f>VLOOKUP(A6,variant_counts!A:B, 2, FALSE)</f>
        <v>3</v>
      </c>
      <c r="E6" t="str">
        <f t="shared" si="14"/>
        <v>zard-exhaust-31-full-kit-yamaha-xsr-900-201619-short-version-zy102skr</v>
      </c>
      <c r="F6" t="str">
        <f t="shared" si="2"/>
        <v>ZARD EXHAUST 3&gt;1 FULL KIT YAMAHA XSR 900 2016/19 SHORT VERSION ZY102SKR</v>
      </c>
      <c r="G6" t="str">
        <f t="shared" si="3"/>
        <v/>
      </c>
      <c r="H6" t="str">
        <f t="shared" si="15"/>
        <v/>
      </c>
      <c r="I6" t="str">
        <f t="shared" si="16"/>
        <v/>
      </c>
      <c r="J6" t="str">
        <f t="shared" si="17"/>
        <v/>
      </c>
      <c r="K6" t="str">
        <f t="shared" si="18"/>
        <v/>
      </c>
      <c r="L6" t="str">
        <f t="shared" si="4"/>
        <v/>
      </c>
      <c r="M6" t="str">
        <f t="shared" si="5"/>
        <v/>
      </c>
      <c r="R6" t="str">
        <f t="shared" si="6"/>
        <v/>
      </c>
      <c r="S6" t="str">
        <f t="shared" si="7"/>
        <v/>
      </c>
      <c r="U6" t="str">
        <f t="shared" si="8"/>
        <v/>
      </c>
      <c r="V6" t="str">
        <f t="shared" si="9"/>
        <v/>
      </c>
      <c r="W6" s="5" t="str">
        <f t="shared" si="10"/>
        <v/>
      </c>
      <c r="Y6" t="str">
        <f t="shared" si="11"/>
        <v/>
      </c>
      <c r="Z6" t="str">
        <f t="shared" si="12"/>
        <v/>
      </c>
      <c r="AB6" t="str">
        <f t="shared" si="13"/>
        <v>https://shop.officineitalianezard.it/contents/imgs/products/1_2021-scarico%20xsr%20900%20nero%20-%20zard.jpg</v>
      </c>
      <c r="AE6" t="b">
        <v>0</v>
      </c>
    </row>
    <row r="7" spans="1:50" x14ac:dyDescent="0.2">
      <c r="A7" t="str">
        <f t="shared" si="0"/>
        <v>https://shop.officineitalianezard.it/en/yamaha-xsr-900-exhaust-zard/</v>
      </c>
      <c r="B7" t="b">
        <f>COUNTIF($A$2:$A7, A7)&gt;1</f>
        <v>1</v>
      </c>
      <c r="C7" t="b">
        <f t="shared" si="1"/>
        <v>1</v>
      </c>
      <c r="D7">
        <f>VLOOKUP(A7,variant_counts!A:B, 2, FALSE)</f>
        <v>3</v>
      </c>
      <c r="E7" t="str">
        <f t="shared" si="14"/>
        <v>zard-exhaust-31-full-kit-yamaha-xsr-900-201619-short-version-zy102skr</v>
      </c>
      <c r="F7" t="str">
        <f t="shared" si="2"/>
        <v>ZARD EXHAUST 3&gt;1 FULL KIT YAMAHA XSR 900 2016/19 SHORT VERSION ZY102SKR</v>
      </c>
      <c r="G7" t="str">
        <f t="shared" si="3"/>
        <v/>
      </c>
      <c r="H7" t="str">
        <f t="shared" si="15"/>
        <v/>
      </c>
      <c r="I7" t="str">
        <f t="shared" si="16"/>
        <v/>
      </c>
      <c r="J7" t="str">
        <f t="shared" si="17"/>
        <v/>
      </c>
      <c r="K7" t="str">
        <f t="shared" si="18"/>
        <v/>
      </c>
      <c r="L7" t="str">
        <f t="shared" si="4"/>
        <v>Option</v>
      </c>
      <c r="M7" t="str">
        <f t="shared" si="5"/>
        <v>BLACK COATING</v>
      </c>
      <c r="R7" t="str">
        <f t="shared" si="6"/>
        <v>ZY102SKR</v>
      </c>
      <c r="S7">
        <f t="shared" si="7"/>
        <v>0</v>
      </c>
      <c r="U7" t="str">
        <f t="shared" si="8"/>
        <v>continue</v>
      </c>
      <c r="V7" t="str">
        <f t="shared" si="9"/>
        <v>manual</v>
      </c>
      <c r="W7" s="5">
        <f t="shared" si="10"/>
        <v>1049.9490000000001</v>
      </c>
      <c r="Y7" t="b">
        <f t="shared" si="11"/>
        <v>1</v>
      </c>
      <c r="Z7" t="b">
        <f t="shared" si="12"/>
        <v>0</v>
      </c>
      <c r="AB7" t="str">
        <f t="shared" si="13"/>
        <v/>
      </c>
      <c r="AE7" t="b">
        <v>0</v>
      </c>
    </row>
    <row r="8" spans="1:50" x14ac:dyDescent="0.2">
      <c r="A8" t="str">
        <f t="shared" si="0"/>
        <v>https://shop.officineitalianezard.it/en/yamaha-xsr-900-exhaust-zard/</v>
      </c>
      <c r="B8" t="b">
        <f>COUNTIF($A$2:$A8, A8)&gt;1</f>
        <v>1</v>
      </c>
      <c r="C8" t="b">
        <f t="shared" si="1"/>
        <v>1</v>
      </c>
      <c r="D8">
        <f>VLOOKUP(A8,variant_counts!A:B, 2, FALSE)</f>
        <v>3</v>
      </c>
      <c r="E8" t="str">
        <f t="shared" si="14"/>
        <v>zard-exhaust-31-full-kit-yamaha-xsr-900-201619-short-version-zy102skr</v>
      </c>
      <c r="F8" t="str">
        <f t="shared" si="2"/>
        <v>ZARD EXHAUST 3&gt;1 FULL KIT YAMAHA XSR 900 2016/19 SHORT VERSION ZY102SKR</v>
      </c>
      <c r="G8" t="str">
        <f t="shared" si="3"/>
        <v/>
      </c>
      <c r="H8" t="str">
        <f t="shared" si="15"/>
        <v/>
      </c>
      <c r="I8" t="str">
        <f t="shared" si="16"/>
        <v/>
      </c>
      <c r="J8" t="str">
        <f t="shared" si="17"/>
        <v/>
      </c>
      <c r="K8" t="str">
        <f t="shared" si="18"/>
        <v/>
      </c>
      <c r="L8" t="str">
        <f t="shared" si="4"/>
        <v>Option</v>
      </c>
      <c r="M8" t="str">
        <f t="shared" si="5"/>
        <v>CARBON ENDCAP</v>
      </c>
      <c r="R8" t="str">
        <f t="shared" si="6"/>
        <v>ZY102SKR</v>
      </c>
      <c r="S8">
        <f t="shared" si="7"/>
        <v>0</v>
      </c>
      <c r="U8" t="str">
        <f t="shared" si="8"/>
        <v>continue</v>
      </c>
      <c r="V8" t="str">
        <f t="shared" si="9"/>
        <v>manual</v>
      </c>
      <c r="W8" s="5">
        <f t="shared" si="10"/>
        <v>903.37350000000015</v>
      </c>
      <c r="Y8" t="b">
        <f t="shared" si="11"/>
        <v>1</v>
      </c>
      <c r="Z8" t="b">
        <f t="shared" si="12"/>
        <v>0</v>
      </c>
      <c r="AB8" t="str">
        <f t="shared" si="13"/>
        <v/>
      </c>
      <c r="AE8" t="b">
        <v>0</v>
      </c>
    </row>
    <row r="9" spans="1:50" x14ac:dyDescent="0.2">
      <c r="A9" t="str">
        <f t="shared" si="0"/>
        <v>https://shop.officineitalianezard.it/en/yamaha-xsr-900-exhaust-zard/</v>
      </c>
      <c r="B9" t="b">
        <f>COUNTIF($A$2:$A9, A9)&gt;1</f>
        <v>1</v>
      </c>
      <c r="C9" t="b">
        <f t="shared" si="1"/>
        <v>1</v>
      </c>
      <c r="D9">
        <f>VLOOKUP(A9,variant_counts!A:B, 2, FALSE)</f>
        <v>3</v>
      </c>
      <c r="E9" t="str">
        <f t="shared" si="14"/>
        <v>zard-exhaust-31-full-kit-yamaha-xsr-900-201619-short-version-zy102skr</v>
      </c>
      <c r="F9" t="str">
        <f t="shared" si="2"/>
        <v>ZARD EXHAUST 3&gt;1 FULL KIT YAMAHA XSR 900 2016/19 SHORT VERSION ZY102SKR</v>
      </c>
      <c r="G9" t="str">
        <f t="shared" si="3"/>
        <v/>
      </c>
      <c r="H9" t="str">
        <f t="shared" si="15"/>
        <v/>
      </c>
      <c r="I9" t="str">
        <f t="shared" si="16"/>
        <v/>
      </c>
      <c r="J9" t="str">
        <f t="shared" si="17"/>
        <v/>
      </c>
      <c r="K9" t="str">
        <f t="shared" si="18"/>
        <v/>
      </c>
      <c r="L9" t="str">
        <f t="shared" si="4"/>
        <v>Option</v>
      </c>
      <c r="M9" t="str">
        <f t="shared" si="5"/>
        <v>LOGO PLATE AND HOSE CLAMP BRONZED</v>
      </c>
      <c r="R9" t="str">
        <f t="shared" si="6"/>
        <v>ZY102SKR</v>
      </c>
      <c r="S9">
        <f t="shared" si="7"/>
        <v>0</v>
      </c>
      <c r="U9" t="str">
        <f t="shared" si="8"/>
        <v>continue</v>
      </c>
      <c r="V9" t="str">
        <f t="shared" si="9"/>
        <v>manual</v>
      </c>
      <c r="W9" s="5">
        <f t="shared" si="10"/>
        <v>930.40200000000016</v>
      </c>
      <c r="Y9" t="b">
        <f t="shared" si="11"/>
        <v>1</v>
      </c>
      <c r="Z9" t="b">
        <f t="shared" si="12"/>
        <v>0</v>
      </c>
      <c r="AB9" t="str">
        <f t="shared" si="13"/>
        <v/>
      </c>
      <c r="AE9" t="b">
        <v>0</v>
      </c>
    </row>
    <row r="10" spans="1:50" x14ac:dyDescent="0.2">
      <c r="A10" t="str">
        <f t="shared" si="0"/>
        <v>https://shop.officineitalianezard.it/en/yamaha-mt-09-exhaust-2/</v>
      </c>
      <c r="B10" t="b">
        <f>COUNTIF($A$2:$A10, A10)&gt;1</f>
        <v>0</v>
      </c>
      <c r="C10" t="b">
        <f t="shared" si="1"/>
        <v>0</v>
      </c>
      <c r="D10">
        <f>VLOOKUP(A10,variant_counts!A:B, 2, FALSE)</f>
        <v>3</v>
      </c>
      <c r="E10" t="str">
        <f t="shared" si="14"/>
        <v>zard-exhaust-31-full-kit-yamaha-xsr-900-201619-short-version-zy106skr</v>
      </c>
      <c r="F10" t="str">
        <f t="shared" si="2"/>
        <v>ZARD EXHAUST 3&gt;1 FULL KIT YAMAHA XSR 900 2016/19 SHORT VERSION ZY106SKR</v>
      </c>
      <c r="G10" t="str">
        <f t="shared" si="3"/>
        <v>&lt;p&gt;3&amp;gt;1 STEEL FULL KIT RACING WITH REMOVABLE DB KILLER&lt;/p&gt;
&lt;p&gt;ORIGINAL FULL KIT WEIGHT: 8.5 KG&lt;br&gt;ZARD RACING FULL KIT WEIGHT: 3.8 KG&lt;/p&gt;
&lt;p&gt;CARBON ENDCAP&lt;/p&gt;
&lt;p&gt;HARD INCREASE COMPARED TO THE ORIGINAL EXHAUST SYSTEM.&lt;/p&gt;
&lt;p&gt;ASTONISHING SOUND.&lt;/p&gt;
&lt;p&gt;&lt;strong&gt;COMPATIBLE WITH YAMAHA MT-09 AND XSR900.&lt;/strong&gt;&lt;/p&gt;
&lt;p&gt;&lt;/p&gt;</v>
      </c>
      <c r="H10" t="str">
        <f t="shared" si="15"/>
        <v>ZARD</v>
      </c>
      <c r="I10" t="str">
        <f t="shared" si="16"/>
        <v>Exhaust Pipe</v>
      </c>
      <c r="J10" t="str">
        <f t="shared" si="17"/>
        <v>Test</v>
      </c>
      <c r="K10" t="b">
        <f t="shared" si="18"/>
        <v>0</v>
      </c>
      <c r="L10" t="str">
        <f t="shared" si="4"/>
        <v/>
      </c>
      <c r="M10" t="str">
        <f t="shared" si="5"/>
        <v/>
      </c>
      <c r="R10" t="str">
        <f t="shared" si="6"/>
        <v/>
      </c>
      <c r="S10" t="str">
        <f t="shared" si="7"/>
        <v/>
      </c>
      <c r="U10" t="str">
        <f t="shared" si="8"/>
        <v/>
      </c>
      <c r="V10" t="str">
        <f t="shared" si="9"/>
        <v/>
      </c>
      <c r="W10" s="5" t="str">
        <f t="shared" si="10"/>
        <v/>
      </c>
      <c r="Y10" t="str">
        <f t="shared" si="11"/>
        <v/>
      </c>
      <c r="Z10" t="str">
        <f t="shared" si="12"/>
        <v/>
      </c>
      <c r="AB10" t="str">
        <f t="shared" si="13"/>
        <v>https://shop.officineitalianezard.it/contents/imgs/products/1_2189-scarico%20yamaha%20mt09.jpg</v>
      </c>
      <c r="AE10" t="b">
        <v>0</v>
      </c>
    </row>
    <row r="11" spans="1:50" x14ac:dyDescent="0.2">
      <c r="A11" t="str">
        <f t="shared" si="0"/>
        <v>https://shop.officineitalianezard.it/en/yamaha-mt-09-exhaust-2/</v>
      </c>
      <c r="B11" t="b">
        <f>COUNTIF($A$2:$A11, A11)&gt;1</f>
        <v>1</v>
      </c>
      <c r="C11" t="b">
        <f t="shared" si="1"/>
        <v>0</v>
      </c>
      <c r="D11">
        <f>VLOOKUP(A11,variant_counts!A:B, 2, FALSE)</f>
        <v>3</v>
      </c>
      <c r="E11" t="str">
        <f t="shared" si="14"/>
        <v>zard-exhaust-31-full-kit-yamaha-xsr-900-201619-short-version-zy106skr</v>
      </c>
      <c r="F11" t="str">
        <f t="shared" si="2"/>
        <v>ZARD EXHAUST 3&gt;1 FULL KIT YAMAHA XSR 900 2016/19 SHORT VERSION ZY106SKR</v>
      </c>
      <c r="G11" t="str">
        <f t="shared" si="3"/>
        <v/>
      </c>
      <c r="H11" t="str">
        <f t="shared" si="15"/>
        <v/>
      </c>
      <c r="I11" t="str">
        <f t="shared" si="16"/>
        <v/>
      </c>
      <c r="J11" t="str">
        <f t="shared" si="17"/>
        <v/>
      </c>
      <c r="K11" t="str">
        <f t="shared" si="18"/>
        <v/>
      </c>
      <c r="L11" t="str">
        <f t="shared" si="4"/>
        <v/>
      </c>
      <c r="M11" t="str">
        <f t="shared" si="5"/>
        <v/>
      </c>
      <c r="R11" t="str">
        <f t="shared" si="6"/>
        <v/>
      </c>
      <c r="S11" t="str">
        <f t="shared" si="7"/>
        <v/>
      </c>
      <c r="U11" t="str">
        <f t="shared" si="8"/>
        <v/>
      </c>
      <c r="V11" t="str">
        <f t="shared" si="9"/>
        <v/>
      </c>
      <c r="W11" s="5" t="str">
        <f t="shared" si="10"/>
        <v/>
      </c>
      <c r="Y11" t="str">
        <f t="shared" si="11"/>
        <v/>
      </c>
      <c r="Z11" t="str">
        <f t="shared" si="12"/>
        <v/>
      </c>
      <c r="AB11" t="str">
        <f t="shared" si="13"/>
        <v>https://shop.officineitalianezard.it/contents/imgs/products/1_2187-mt09%20scarico%20-%20zard.jpg</v>
      </c>
      <c r="AE11" t="b">
        <v>0</v>
      </c>
    </row>
    <row r="12" spans="1:50" x14ac:dyDescent="0.2">
      <c r="A12" t="str">
        <f t="shared" si="0"/>
        <v>https://shop.officineitalianezard.it/en/yamaha-mt-09-exhaust-2/</v>
      </c>
      <c r="B12" t="b">
        <f>COUNTIF($A$2:$A12, A12)&gt;1</f>
        <v>1</v>
      </c>
      <c r="C12" t="b">
        <f t="shared" si="1"/>
        <v>0</v>
      </c>
      <c r="D12">
        <f>VLOOKUP(A12,variant_counts!A:B, 2, FALSE)</f>
        <v>3</v>
      </c>
      <c r="E12" t="str">
        <f t="shared" si="14"/>
        <v>zard-exhaust-31-full-kit-yamaha-xsr-900-201619-short-version-zy106skr</v>
      </c>
      <c r="F12" t="str">
        <f t="shared" si="2"/>
        <v>ZARD EXHAUST 3&gt;1 FULL KIT YAMAHA XSR 900 2016/19 SHORT VERSION ZY106SKR</v>
      </c>
      <c r="G12" t="str">
        <f t="shared" si="3"/>
        <v/>
      </c>
      <c r="H12" t="str">
        <f t="shared" si="15"/>
        <v/>
      </c>
      <c r="I12" t="str">
        <f t="shared" si="16"/>
        <v/>
      </c>
      <c r="J12" t="str">
        <f t="shared" si="17"/>
        <v/>
      </c>
      <c r="K12" t="str">
        <f t="shared" si="18"/>
        <v/>
      </c>
      <c r="L12" t="str">
        <f t="shared" si="4"/>
        <v/>
      </c>
      <c r="M12" t="str">
        <f t="shared" si="5"/>
        <v/>
      </c>
      <c r="R12" t="str">
        <f t="shared" si="6"/>
        <v/>
      </c>
      <c r="S12" t="str">
        <f t="shared" si="7"/>
        <v/>
      </c>
      <c r="U12" t="str">
        <f t="shared" si="8"/>
        <v/>
      </c>
      <c r="V12" t="str">
        <f t="shared" si="9"/>
        <v/>
      </c>
      <c r="W12" s="5" t="str">
        <f t="shared" si="10"/>
        <v/>
      </c>
      <c r="Y12" t="str">
        <f t="shared" si="11"/>
        <v/>
      </c>
      <c r="Z12" t="str">
        <f t="shared" si="12"/>
        <v/>
      </c>
      <c r="AB12" t="str">
        <f t="shared" si="13"/>
        <v>https://shop.officineitalianezard.it/contents/imgs/products/1_2188-mt09%20exhaust.jpg</v>
      </c>
      <c r="AE12" t="b">
        <v>0</v>
      </c>
    </row>
    <row r="13" spans="1:50" x14ac:dyDescent="0.2">
      <c r="A13" t="str">
        <f t="shared" si="0"/>
        <v>https://shop.officineitalianezard.it/en/yamaha-mt-09-exhaust-2/</v>
      </c>
      <c r="B13" t="b">
        <f>COUNTIF($A$2:$A13, A13)&gt;1</f>
        <v>1</v>
      </c>
      <c r="C13" t="b">
        <f t="shared" si="1"/>
        <v>0</v>
      </c>
      <c r="D13">
        <f>VLOOKUP(A13,variant_counts!A:B, 2, FALSE)</f>
        <v>3</v>
      </c>
      <c r="E13" t="str">
        <f t="shared" si="14"/>
        <v>zard-exhaust-31-full-kit-yamaha-xsr-900-201619-short-version-zy106skr</v>
      </c>
      <c r="F13" t="str">
        <f t="shared" si="2"/>
        <v>ZARD EXHAUST 3&gt;1 FULL KIT YAMAHA XSR 900 2016/19 SHORT VERSION ZY106SKR</v>
      </c>
      <c r="G13" t="str">
        <f t="shared" si="3"/>
        <v/>
      </c>
      <c r="H13" t="str">
        <f t="shared" si="15"/>
        <v/>
      </c>
      <c r="I13" t="str">
        <f t="shared" si="16"/>
        <v/>
      </c>
      <c r="J13" t="str">
        <f t="shared" si="17"/>
        <v/>
      </c>
      <c r="K13" t="str">
        <f t="shared" si="18"/>
        <v/>
      </c>
      <c r="L13" t="str">
        <f t="shared" si="4"/>
        <v/>
      </c>
      <c r="M13" t="str">
        <f t="shared" si="5"/>
        <v/>
      </c>
      <c r="R13" t="str">
        <f t="shared" si="6"/>
        <v/>
      </c>
      <c r="S13" t="str">
        <f t="shared" si="7"/>
        <v/>
      </c>
      <c r="U13" t="str">
        <f t="shared" si="8"/>
        <v/>
      </c>
      <c r="V13" t="str">
        <f t="shared" si="9"/>
        <v/>
      </c>
      <c r="W13" s="5" t="str">
        <f t="shared" si="10"/>
        <v/>
      </c>
      <c r="Y13" t="str">
        <f t="shared" si="11"/>
        <v/>
      </c>
      <c r="Z13" t="str">
        <f t="shared" si="12"/>
        <v/>
      </c>
      <c r="AB13" t="str">
        <f t="shared" si="13"/>
        <v>https://shop.officineitalianezard.it/contents/imgs/products/1_2190-scarico%20mt%2009.jpg</v>
      </c>
      <c r="AE13" t="b">
        <v>0</v>
      </c>
    </row>
    <row r="14" spans="1:50" x14ac:dyDescent="0.2">
      <c r="A14" t="str">
        <f t="shared" si="0"/>
        <v>https://shop.officineitalianezard.it/en/yamaha-mt-09-exhaust-2/</v>
      </c>
      <c r="B14" t="b">
        <f>COUNTIF($A$2:$A14, A14)&gt;1</f>
        <v>1</v>
      </c>
      <c r="C14" t="b">
        <f t="shared" si="1"/>
        <v>0</v>
      </c>
      <c r="D14">
        <f>VLOOKUP(A14,variant_counts!A:B, 2, FALSE)</f>
        <v>3</v>
      </c>
      <c r="E14" t="str">
        <f t="shared" si="14"/>
        <v>zard-exhaust-31-full-kit-yamaha-xsr-900-201619-short-version-zy106skr</v>
      </c>
      <c r="F14" t="str">
        <f t="shared" si="2"/>
        <v>ZARD EXHAUST 3&gt;1 FULL KIT YAMAHA XSR 900 2016/19 SHORT VERSION ZY106SKR</v>
      </c>
      <c r="G14" t="str">
        <f t="shared" si="3"/>
        <v/>
      </c>
      <c r="H14" t="str">
        <f t="shared" si="15"/>
        <v/>
      </c>
      <c r="I14" t="str">
        <f t="shared" si="16"/>
        <v/>
      </c>
      <c r="J14" t="str">
        <f t="shared" si="17"/>
        <v/>
      </c>
      <c r="K14" t="str">
        <f t="shared" si="18"/>
        <v/>
      </c>
      <c r="L14" t="str">
        <f t="shared" si="4"/>
        <v/>
      </c>
      <c r="M14" t="str">
        <f t="shared" si="5"/>
        <v/>
      </c>
      <c r="R14" t="str">
        <f t="shared" si="6"/>
        <v/>
      </c>
      <c r="S14" t="str">
        <f t="shared" si="7"/>
        <v/>
      </c>
      <c r="U14" t="str">
        <f t="shared" si="8"/>
        <v/>
      </c>
      <c r="V14" t="str">
        <f t="shared" si="9"/>
        <v/>
      </c>
      <c r="W14" s="5" t="str">
        <f t="shared" si="10"/>
        <v/>
      </c>
      <c r="Y14" t="str">
        <f t="shared" si="11"/>
        <v/>
      </c>
      <c r="Z14" t="str">
        <f t="shared" si="12"/>
        <v/>
      </c>
      <c r="AB14" t="str">
        <f t="shared" si="13"/>
        <v>https://shop.officineitalianezard.it/contents/imgs/products/1_2313-scarico%20yamaha%20mt09%20zard%201.jpg</v>
      </c>
      <c r="AE14" t="b">
        <v>0</v>
      </c>
    </row>
    <row r="15" spans="1:50" x14ac:dyDescent="0.2">
      <c r="A15" t="str">
        <f t="shared" si="0"/>
        <v>https://shop.officineitalianezard.it/en/yamaha-mt-09-exhaust-2/</v>
      </c>
      <c r="B15" t="b">
        <f>COUNTIF($A$2:$A15, A15)&gt;1</f>
        <v>1</v>
      </c>
      <c r="C15" t="b">
        <f t="shared" si="1"/>
        <v>0</v>
      </c>
      <c r="D15">
        <f>VLOOKUP(A15,variant_counts!A:B, 2, FALSE)</f>
        <v>3</v>
      </c>
      <c r="E15" t="str">
        <f t="shared" si="14"/>
        <v>zard-exhaust-31-full-kit-yamaha-xsr-900-201619-short-version-zy106skr</v>
      </c>
      <c r="F15" t="str">
        <f t="shared" si="2"/>
        <v>ZARD EXHAUST 3&gt;1 FULL KIT YAMAHA XSR 900 2016/19 SHORT VERSION ZY106SKR</v>
      </c>
      <c r="G15" t="str">
        <f t="shared" si="3"/>
        <v/>
      </c>
      <c r="H15" t="str">
        <f t="shared" si="15"/>
        <v/>
      </c>
      <c r="I15" t="str">
        <f t="shared" si="16"/>
        <v/>
      </c>
      <c r="J15" t="str">
        <f t="shared" si="17"/>
        <v/>
      </c>
      <c r="K15" t="str">
        <f t="shared" si="18"/>
        <v/>
      </c>
      <c r="L15" t="str">
        <f t="shared" si="4"/>
        <v/>
      </c>
      <c r="M15" t="str">
        <f t="shared" si="5"/>
        <v/>
      </c>
      <c r="R15" t="str">
        <f t="shared" si="6"/>
        <v/>
      </c>
      <c r="S15" t="str">
        <f t="shared" si="7"/>
        <v/>
      </c>
      <c r="U15" t="str">
        <f t="shared" si="8"/>
        <v/>
      </c>
      <c r="V15" t="str">
        <f t="shared" si="9"/>
        <v/>
      </c>
      <c r="W15" s="5" t="str">
        <f t="shared" si="10"/>
        <v/>
      </c>
      <c r="Y15" t="str">
        <f t="shared" si="11"/>
        <v/>
      </c>
      <c r="Z15" t="str">
        <f t="shared" si="12"/>
        <v/>
      </c>
      <c r="AB15" t="str">
        <f t="shared" si="13"/>
        <v>https://shop.officineitalianezard.it/contents/imgs/products/1_2315-scarico%20omologato%20euro%204%20yamaha%20mt09%20-%20zard.jpg</v>
      </c>
      <c r="AE15" t="b">
        <v>0</v>
      </c>
    </row>
    <row r="16" spans="1:50" x14ac:dyDescent="0.2">
      <c r="A16" t="str">
        <f t="shared" si="0"/>
        <v>https://shop.officineitalianezard.it/en/yamaha-mt-09-exhaust-2/</v>
      </c>
      <c r="B16" t="b">
        <f>COUNTIF($A$2:$A16, A16)&gt;1</f>
        <v>1</v>
      </c>
      <c r="C16" t="b">
        <f t="shared" si="1"/>
        <v>0</v>
      </c>
      <c r="D16">
        <f>VLOOKUP(A16,variant_counts!A:B, 2, FALSE)</f>
        <v>3</v>
      </c>
      <c r="E16" t="str">
        <f t="shared" si="14"/>
        <v>zard-exhaust-31-full-kit-yamaha-xsr-900-201619-short-version-zy106skr</v>
      </c>
      <c r="F16" t="str">
        <f t="shared" si="2"/>
        <v>ZARD EXHAUST 3&gt;1 FULL KIT YAMAHA XSR 900 2016/19 SHORT VERSION ZY106SKR</v>
      </c>
      <c r="G16" t="str">
        <f t="shared" si="3"/>
        <v/>
      </c>
      <c r="H16" t="str">
        <f t="shared" si="15"/>
        <v/>
      </c>
      <c r="I16" t="str">
        <f t="shared" si="16"/>
        <v/>
      </c>
      <c r="J16" t="str">
        <f t="shared" si="17"/>
        <v/>
      </c>
      <c r="K16" t="str">
        <f t="shared" si="18"/>
        <v/>
      </c>
      <c r="L16" t="str">
        <f t="shared" si="4"/>
        <v/>
      </c>
      <c r="M16" t="str">
        <f t="shared" si="5"/>
        <v/>
      </c>
      <c r="R16" t="str">
        <f t="shared" si="6"/>
        <v/>
      </c>
      <c r="S16" t="str">
        <f t="shared" si="7"/>
        <v/>
      </c>
      <c r="U16" t="str">
        <f t="shared" si="8"/>
        <v/>
      </c>
      <c r="V16" t="str">
        <f t="shared" si="9"/>
        <v/>
      </c>
      <c r="W16" s="5" t="str">
        <f t="shared" si="10"/>
        <v/>
      </c>
      <c r="Y16" t="str">
        <f t="shared" si="11"/>
        <v/>
      </c>
      <c r="Z16" t="str">
        <f t="shared" si="12"/>
        <v/>
      </c>
      <c r="AB16" t="str">
        <f t="shared" si="13"/>
        <v>https://shop.officineitalianezard.it/contents/imgs/products/1_2314-scarico%20yamaha%20mt09%20zard%202.jpg</v>
      </c>
      <c r="AE16" t="b">
        <v>0</v>
      </c>
    </row>
    <row r="17" spans="1:31" x14ac:dyDescent="0.2">
      <c r="A17" t="str">
        <f t="shared" si="0"/>
        <v>https://shop.officineitalianezard.it/en/yamaha-mt-09-exhaust-2/</v>
      </c>
      <c r="B17" t="b">
        <f>COUNTIF($A$2:$A17, A17)&gt;1</f>
        <v>1</v>
      </c>
      <c r="C17" t="b">
        <f t="shared" si="1"/>
        <v>1</v>
      </c>
      <c r="D17">
        <f>VLOOKUP(A17,variant_counts!A:B, 2, FALSE)</f>
        <v>3</v>
      </c>
      <c r="E17" t="str">
        <f t="shared" si="14"/>
        <v>zard-exhaust-31-full-kit-yamaha-xsr-900-201619-short-version-zy106skr</v>
      </c>
      <c r="F17" t="str">
        <f t="shared" si="2"/>
        <v>ZARD EXHAUST 3&gt;1 FULL KIT YAMAHA XSR 900 2016/19 SHORT VERSION ZY106SKR</v>
      </c>
      <c r="G17" t="str">
        <f t="shared" si="3"/>
        <v/>
      </c>
      <c r="H17" t="str">
        <f t="shared" si="15"/>
        <v/>
      </c>
      <c r="I17" t="str">
        <f t="shared" si="16"/>
        <v/>
      </c>
      <c r="J17" t="str">
        <f t="shared" si="17"/>
        <v/>
      </c>
      <c r="K17" t="str">
        <f t="shared" si="18"/>
        <v/>
      </c>
      <c r="L17" t="str">
        <f t="shared" si="4"/>
        <v>Option</v>
      </c>
      <c r="M17" t="str">
        <f t="shared" si="5"/>
        <v>EURO 4 HOMOLOGATED</v>
      </c>
      <c r="R17" t="str">
        <f t="shared" si="6"/>
        <v>ZY106SKR</v>
      </c>
      <c r="S17">
        <f t="shared" si="7"/>
        <v>0</v>
      </c>
      <c r="U17" t="str">
        <f t="shared" si="8"/>
        <v>continue</v>
      </c>
      <c r="V17" t="str">
        <f t="shared" si="9"/>
        <v>manual</v>
      </c>
      <c r="W17" s="5">
        <f t="shared" si="10"/>
        <v>1091.4408000000001</v>
      </c>
      <c r="Y17" t="b">
        <f t="shared" si="11"/>
        <v>1</v>
      </c>
      <c r="Z17" t="b">
        <f t="shared" si="12"/>
        <v>0</v>
      </c>
      <c r="AB17" t="str">
        <f t="shared" si="13"/>
        <v/>
      </c>
      <c r="AE17" t="b">
        <v>0</v>
      </c>
    </row>
    <row r="18" spans="1:31" x14ac:dyDescent="0.2">
      <c r="A18" t="str">
        <f t="shared" si="0"/>
        <v>https://shop.officineitalianezard.it/en/yamaha-mt-09-exhaust-2/</v>
      </c>
      <c r="B18" t="b">
        <f>COUNTIF($A$2:$A18, A18)&gt;1</f>
        <v>1</v>
      </c>
      <c r="C18" t="b">
        <f t="shared" si="1"/>
        <v>1</v>
      </c>
      <c r="D18">
        <f>VLOOKUP(A18,variant_counts!A:B, 2, FALSE)</f>
        <v>3</v>
      </c>
      <c r="E18" t="str">
        <f t="shared" si="14"/>
        <v>zard-exhaust-31-full-kit-yamaha-xsr-900-201619-short-version-zy106skr</v>
      </c>
      <c r="F18" t="str">
        <f t="shared" si="2"/>
        <v>ZARD EXHAUST 3&gt;1 FULL KIT YAMAHA XSR 900 2016/19 SHORT VERSION ZY106SKR</v>
      </c>
      <c r="G18" t="str">
        <f t="shared" si="3"/>
        <v/>
      </c>
      <c r="H18" t="str">
        <f t="shared" si="15"/>
        <v/>
      </c>
      <c r="I18" t="str">
        <f t="shared" si="16"/>
        <v/>
      </c>
      <c r="J18" t="str">
        <f t="shared" si="17"/>
        <v/>
      </c>
      <c r="K18" t="str">
        <f t="shared" si="18"/>
        <v/>
      </c>
      <c r="L18" t="str">
        <f t="shared" si="4"/>
        <v>Option</v>
      </c>
      <c r="M18" t="str">
        <f t="shared" si="5"/>
        <v>BLACK COATING</v>
      </c>
      <c r="R18" t="str">
        <f t="shared" si="6"/>
        <v>ZY106SKR</v>
      </c>
      <c r="S18">
        <f t="shared" si="7"/>
        <v>0</v>
      </c>
      <c r="U18" t="str">
        <f t="shared" si="8"/>
        <v>continue</v>
      </c>
      <c r="V18" t="str">
        <f t="shared" si="9"/>
        <v>manual</v>
      </c>
      <c r="W18" s="5">
        <f t="shared" si="10"/>
        <v>1186.4235000000001</v>
      </c>
      <c r="Y18" t="b">
        <f t="shared" si="11"/>
        <v>1</v>
      </c>
      <c r="Z18" t="b">
        <f t="shared" si="12"/>
        <v>0</v>
      </c>
      <c r="AB18" t="str">
        <f t="shared" si="13"/>
        <v/>
      </c>
      <c r="AE18" t="b">
        <v>0</v>
      </c>
    </row>
    <row r="19" spans="1:31" x14ac:dyDescent="0.2">
      <c r="A19" t="str">
        <f t="shared" si="0"/>
        <v>https://shop.officineitalianezard.it/en/yamaha-mt-09-exhaust-2/</v>
      </c>
      <c r="B19" t="b">
        <f>COUNTIF($A$2:$A19, A19)&gt;1</f>
        <v>1</v>
      </c>
      <c r="C19" t="b">
        <f t="shared" si="1"/>
        <v>1</v>
      </c>
      <c r="D19">
        <f>VLOOKUP(A19,variant_counts!A:B, 2, FALSE)</f>
        <v>3</v>
      </c>
      <c r="E19" t="str">
        <f t="shared" si="14"/>
        <v>zard-exhaust-31-full-kit-yamaha-xsr-900-201619-short-version-zy106skr</v>
      </c>
      <c r="F19" t="str">
        <f t="shared" si="2"/>
        <v>ZARD EXHAUST 3&gt;1 FULL KIT YAMAHA XSR 900 2016/19 SHORT VERSION ZY106SKR</v>
      </c>
      <c r="G19" t="str">
        <f t="shared" si="3"/>
        <v/>
      </c>
      <c r="H19" t="str">
        <f t="shared" si="15"/>
        <v/>
      </c>
      <c r="I19" t="str">
        <f t="shared" si="16"/>
        <v/>
      </c>
      <c r="J19" t="str">
        <f t="shared" si="17"/>
        <v/>
      </c>
      <c r="K19" t="str">
        <f t="shared" si="18"/>
        <v/>
      </c>
      <c r="L19" t="str">
        <f t="shared" si="4"/>
        <v>Option</v>
      </c>
      <c r="M19" t="str">
        <f t="shared" si="5"/>
        <v>TITANIUM SILENCER WITH BLACK HEADERS KIT</v>
      </c>
      <c r="R19" t="str">
        <f t="shared" si="6"/>
        <v>ZY106SKR</v>
      </c>
      <c r="S19">
        <f t="shared" si="7"/>
        <v>0</v>
      </c>
      <c r="U19" t="str">
        <f t="shared" si="8"/>
        <v>continue</v>
      </c>
      <c r="V19" t="str">
        <f t="shared" si="9"/>
        <v>manual</v>
      </c>
      <c r="W19" s="5">
        <f t="shared" si="10"/>
        <v>1203.6174000000001</v>
      </c>
      <c r="Y19" t="b">
        <f t="shared" si="11"/>
        <v>1</v>
      </c>
      <c r="Z19" t="b">
        <f t="shared" si="12"/>
        <v>0</v>
      </c>
      <c r="AB19" t="str">
        <f t="shared" si="13"/>
        <v/>
      </c>
      <c r="AE19" t="b">
        <v>0</v>
      </c>
    </row>
    <row r="20" spans="1:31" x14ac:dyDescent="0.2">
      <c r="A20" t="str">
        <f t="shared" si="0"/>
        <v>https://shop.officineitalianezard.it/en/yamaha-xsr-700-exhaust-zard/</v>
      </c>
      <c r="B20" t="b">
        <f>COUNTIF($A$2:$A20, A20)&gt;1</f>
        <v>0</v>
      </c>
      <c r="C20" t="b">
        <f t="shared" si="1"/>
        <v>0</v>
      </c>
      <c r="D20">
        <f>VLOOKUP(A20,variant_counts!A:B, 2, FALSE)</f>
        <v>4</v>
      </c>
      <c r="E20" t="str">
        <f t="shared" si="14"/>
        <v>zard-exhaust-21-full-kit-yamaha-xsr-700-201619-short-version-zy103skr</v>
      </c>
      <c r="F20" t="str">
        <f t="shared" si="2"/>
        <v>ZARD EXHAUST 2&gt;1 FULL KIT YAMAHA XSR 700 2016/19 SHORT VERSION ZY103SKR</v>
      </c>
      <c r="G20" t="str">
        <f t="shared" si="3"/>
        <v>&lt;p&gt;2&amp;gt;1 STEEL FULL KIT RACING WITH REMOVABLE DB KILLER&lt;/p&gt;
&lt;p&gt;ORIGINAL FULL KIT WEIGHT: 7.2KG&lt;br&gt;ZARD FULL KIT WEIGHT: 3.7KG&lt;/p&gt;
&lt;p&gt;HARD INCREASE COMPARED TO THE ORIGINAL EXHAUST SYSTEM.&lt;/p&gt;
&lt;p&gt;ASTONISHING SOUND.&lt;/p&gt;</v>
      </c>
      <c r="H20" t="str">
        <f t="shared" si="15"/>
        <v>ZARD</v>
      </c>
      <c r="I20" t="str">
        <f t="shared" si="16"/>
        <v>Exhaust Pipe</v>
      </c>
      <c r="J20" t="str">
        <f t="shared" si="17"/>
        <v>Test</v>
      </c>
      <c r="K20" t="b">
        <f t="shared" si="18"/>
        <v>0</v>
      </c>
      <c r="L20" t="str">
        <f t="shared" si="4"/>
        <v/>
      </c>
      <c r="M20" t="str">
        <f t="shared" si="5"/>
        <v/>
      </c>
      <c r="R20" t="str">
        <f t="shared" si="6"/>
        <v/>
      </c>
      <c r="S20" t="str">
        <f t="shared" si="7"/>
        <v/>
      </c>
      <c r="U20" t="str">
        <f t="shared" si="8"/>
        <v/>
      </c>
      <c r="V20" t="str">
        <f t="shared" si="9"/>
        <v/>
      </c>
      <c r="W20" s="5" t="str">
        <f t="shared" si="10"/>
        <v/>
      </c>
      <c r="Y20" t="str">
        <f t="shared" si="11"/>
        <v/>
      </c>
      <c r="Z20" t="str">
        <f t="shared" si="12"/>
        <v/>
      </c>
      <c r="AB20" t="str">
        <f t="shared" si="13"/>
        <v>https://shop.officineitalianezard.it/contents/imgs/products/1_1460-xsr700ridotta.jpg</v>
      </c>
      <c r="AE20" t="b">
        <v>0</v>
      </c>
    </row>
    <row r="21" spans="1:31" x14ac:dyDescent="0.2">
      <c r="A21" t="str">
        <f t="shared" si="0"/>
        <v>https://shop.officineitalianezard.it/en/yamaha-xsr-700-exhaust-zard/</v>
      </c>
      <c r="B21" t="b">
        <f>COUNTIF($A$2:$A21, A21)&gt;1</f>
        <v>1</v>
      </c>
      <c r="C21" t="b">
        <f t="shared" si="1"/>
        <v>0</v>
      </c>
      <c r="D21">
        <f>VLOOKUP(A21,variant_counts!A:B, 2, FALSE)</f>
        <v>4</v>
      </c>
      <c r="E21" t="str">
        <f t="shared" si="14"/>
        <v>zard-exhaust-21-full-kit-yamaha-xsr-700-201619-short-version-zy103skr</v>
      </c>
      <c r="F21" t="str">
        <f t="shared" si="2"/>
        <v>ZARD EXHAUST 2&gt;1 FULL KIT YAMAHA XSR 700 2016/19 SHORT VERSION ZY103SKR</v>
      </c>
      <c r="G21" t="str">
        <f t="shared" si="3"/>
        <v/>
      </c>
      <c r="H21" t="str">
        <f t="shared" si="15"/>
        <v/>
      </c>
      <c r="I21" t="str">
        <f t="shared" si="16"/>
        <v/>
      </c>
      <c r="J21" t="str">
        <f t="shared" si="17"/>
        <v/>
      </c>
      <c r="K21" t="str">
        <f t="shared" si="18"/>
        <v/>
      </c>
      <c r="L21" t="str">
        <f t="shared" si="4"/>
        <v/>
      </c>
      <c r="M21" t="str">
        <f t="shared" si="5"/>
        <v/>
      </c>
      <c r="R21" t="str">
        <f t="shared" si="6"/>
        <v/>
      </c>
      <c r="S21" t="str">
        <f t="shared" si="7"/>
        <v/>
      </c>
      <c r="U21" t="str">
        <f t="shared" si="8"/>
        <v/>
      </c>
      <c r="V21" t="str">
        <f t="shared" si="9"/>
        <v/>
      </c>
      <c r="W21" s="5" t="str">
        <f t="shared" si="10"/>
        <v/>
      </c>
      <c r="Y21" t="str">
        <f t="shared" si="11"/>
        <v/>
      </c>
      <c r="Z21" t="str">
        <f t="shared" si="12"/>
        <v/>
      </c>
      <c r="AB21" t="str">
        <f t="shared" si="13"/>
        <v>https://shop.officineitalianezard.it/contents/imgs/products/1_1459-mt07zard-alluminio-ridotta.jpg</v>
      </c>
      <c r="AE21" t="b">
        <v>0</v>
      </c>
    </row>
    <row r="22" spans="1:31" x14ac:dyDescent="0.2">
      <c r="A22" t="str">
        <f t="shared" si="0"/>
        <v>https://shop.officineitalianezard.it/en/yamaha-xsr-700-exhaust-zard/</v>
      </c>
      <c r="B22" t="b">
        <f>COUNTIF($A$2:$A22, A22)&gt;1</f>
        <v>1</v>
      </c>
      <c r="C22" t="b">
        <f t="shared" si="1"/>
        <v>0</v>
      </c>
      <c r="D22">
        <f>VLOOKUP(A22,variant_counts!A:B, 2, FALSE)</f>
        <v>4</v>
      </c>
      <c r="E22" t="str">
        <f t="shared" si="14"/>
        <v>zard-exhaust-21-full-kit-yamaha-xsr-700-201619-short-version-zy103skr</v>
      </c>
      <c r="F22" t="str">
        <f t="shared" si="2"/>
        <v>ZARD EXHAUST 2&gt;1 FULL KIT YAMAHA XSR 700 2016/19 SHORT VERSION ZY103SKR</v>
      </c>
      <c r="G22" t="str">
        <f t="shared" si="3"/>
        <v/>
      </c>
      <c r="H22" t="str">
        <f t="shared" si="15"/>
        <v/>
      </c>
      <c r="I22" t="str">
        <f t="shared" si="16"/>
        <v/>
      </c>
      <c r="J22" t="str">
        <f t="shared" si="17"/>
        <v/>
      </c>
      <c r="K22" t="str">
        <f t="shared" si="18"/>
        <v/>
      </c>
      <c r="L22" t="str">
        <f t="shared" si="4"/>
        <v/>
      </c>
      <c r="M22" t="str">
        <f t="shared" si="5"/>
        <v/>
      </c>
      <c r="R22" t="str">
        <f t="shared" si="6"/>
        <v/>
      </c>
      <c r="S22" t="str">
        <f t="shared" si="7"/>
        <v/>
      </c>
      <c r="U22" t="str">
        <f t="shared" si="8"/>
        <v/>
      </c>
      <c r="V22" t="str">
        <f t="shared" si="9"/>
        <v/>
      </c>
      <c r="W22" s="5" t="str">
        <f t="shared" si="10"/>
        <v/>
      </c>
      <c r="Y22" t="str">
        <f t="shared" si="11"/>
        <v/>
      </c>
      <c r="Z22" t="str">
        <f t="shared" si="12"/>
        <v/>
      </c>
      <c r="AB22" t="str">
        <f t="shared" si="13"/>
        <v>https://shop.officineitalianezard.it/contents/imgs/products/1_2015-1721-scarico%20xsr900%20mt07%20xsr700%20mt09%20yamaha%20zard.jpg</v>
      </c>
      <c r="AE22" t="b">
        <v>0</v>
      </c>
    </row>
    <row r="23" spans="1:31" x14ac:dyDescent="0.2">
      <c r="A23" t="str">
        <f t="shared" si="0"/>
        <v>https://shop.officineitalianezard.it/en/yamaha-xsr-700-exhaust-zard/</v>
      </c>
      <c r="B23" t="b">
        <f>COUNTIF($A$2:$A23, A23)&gt;1</f>
        <v>1</v>
      </c>
      <c r="C23" t="b">
        <f t="shared" si="1"/>
        <v>0</v>
      </c>
      <c r="D23">
        <f>VLOOKUP(A23,variant_counts!A:B, 2, FALSE)</f>
        <v>4</v>
      </c>
      <c r="E23" t="str">
        <f t="shared" si="14"/>
        <v>zard-exhaust-21-full-kit-yamaha-xsr-700-201619-short-version-zy103skr</v>
      </c>
      <c r="F23" t="str">
        <f t="shared" si="2"/>
        <v>ZARD EXHAUST 2&gt;1 FULL KIT YAMAHA XSR 700 2016/19 SHORT VERSION ZY103SKR</v>
      </c>
      <c r="G23" t="str">
        <f t="shared" si="3"/>
        <v/>
      </c>
      <c r="H23" t="str">
        <f t="shared" si="15"/>
        <v/>
      </c>
      <c r="I23" t="str">
        <f t="shared" si="16"/>
        <v/>
      </c>
      <c r="J23" t="str">
        <f t="shared" si="17"/>
        <v/>
      </c>
      <c r="K23" t="str">
        <f t="shared" si="18"/>
        <v/>
      </c>
      <c r="L23" t="str">
        <f t="shared" si="4"/>
        <v/>
      </c>
      <c r="M23" t="str">
        <f t="shared" si="5"/>
        <v/>
      </c>
      <c r="R23" t="str">
        <f t="shared" si="6"/>
        <v/>
      </c>
      <c r="S23" t="str">
        <f t="shared" si="7"/>
        <v/>
      </c>
      <c r="U23" t="str">
        <f t="shared" si="8"/>
        <v/>
      </c>
      <c r="V23" t="str">
        <f t="shared" si="9"/>
        <v/>
      </c>
      <c r="W23" s="5" t="str">
        <f t="shared" si="10"/>
        <v/>
      </c>
      <c r="Y23" t="str">
        <f t="shared" si="11"/>
        <v/>
      </c>
      <c r="Z23" t="str">
        <f t="shared" si="12"/>
        <v/>
      </c>
      <c r="AB23" t="str">
        <f t="shared" si="13"/>
        <v>https://shop.officineitalianezard.it/contents/imgs/products/1_2016-scarico%20xsr%20900%20nero%20-%20zard.jpg</v>
      </c>
      <c r="AE23" t="b">
        <v>0</v>
      </c>
    </row>
    <row r="24" spans="1:31" x14ac:dyDescent="0.2">
      <c r="A24" t="str">
        <f t="shared" si="0"/>
        <v>https://shop.officineitalianezard.it/en/yamaha-xsr-700-exhaust-zard/</v>
      </c>
      <c r="B24" t="b">
        <f>COUNTIF($A$2:$A24, A24)&gt;1</f>
        <v>1</v>
      </c>
      <c r="C24" t="b">
        <f t="shared" si="1"/>
        <v>1</v>
      </c>
      <c r="D24">
        <f>VLOOKUP(A24,variant_counts!A:B, 2, FALSE)</f>
        <v>4</v>
      </c>
      <c r="E24" t="str">
        <f t="shared" si="14"/>
        <v>zard-exhaust-21-full-kit-yamaha-xsr-700-201619-short-version-zy103skr</v>
      </c>
      <c r="F24" t="str">
        <f t="shared" si="2"/>
        <v>ZARD EXHAUST 2&gt;1 FULL KIT YAMAHA XSR 700 2016/19 SHORT VERSION ZY103SKR</v>
      </c>
      <c r="G24" t="str">
        <f t="shared" si="3"/>
        <v/>
      </c>
      <c r="H24" t="str">
        <f t="shared" si="15"/>
        <v/>
      </c>
      <c r="I24" t="str">
        <f t="shared" si="16"/>
        <v/>
      </c>
      <c r="J24" t="str">
        <f t="shared" si="17"/>
        <v/>
      </c>
      <c r="K24" t="str">
        <f t="shared" si="18"/>
        <v/>
      </c>
      <c r="L24" t="str">
        <f t="shared" si="4"/>
        <v>Option</v>
      </c>
      <c r="M24" t="str">
        <f t="shared" si="5"/>
        <v>EURO 4 HOMOLOGATED</v>
      </c>
      <c r="R24" t="str">
        <f t="shared" si="6"/>
        <v>ZY103SKR</v>
      </c>
      <c r="S24">
        <f t="shared" si="7"/>
        <v>0</v>
      </c>
      <c r="U24" t="str">
        <f t="shared" si="8"/>
        <v>continue</v>
      </c>
      <c r="V24" t="str">
        <f t="shared" si="9"/>
        <v>manual</v>
      </c>
      <c r="W24" s="5">
        <f t="shared" si="10"/>
        <v>892.18470000000002</v>
      </c>
      <c r="Y24" t="b">
        <f t="shared" si="11"/>
        <v>1</v>
      </c>
      <c r="Z24" t="b">
        <f t="shared" si="12"/>
        <v>0</v>
      </c>
      <c r="AB24" t="str">
        <f t="shared" si="13"/>
        <v/>
      </c>
      <c r="AE24" t="b">
        <v>0</v>
      </c>
    </row>
    <row r="25" spans="1:31" x14ac:dyDescent="0.2">
      <c r="A25" t="str">
        <f t="shared" si="0"/>
        <v>https://shop.officineitalianezard.it/en/yamaha-xsr-700-exhaust-zard/</v>
      </c>
      <c r="B25" t="b">
        <f>COUNTIF($A$2:$A25, A25)&gt;1</f>
        <v>1</v>
      </c>
      <c r="C25" t="b">
        <f t="shared" si="1"/>
        <v>1</v>
      </c>
      <c r="D25">
        <f>VLOOKUP(A25,variant_counts!A:B, 2, FALSE)</f>
        <v>4</v>
      </c>
      <c r="E25" t="str">
        <f t="shared" si="14"/>
        <v>zard-exhaust-21-full-kit-yamaha-xsr-700-201619-short-version-zy103skr</v>
      </c>
      <c r="F25" t="str">
        <f t="shared" si="2"/>
        <v>ZARD EXHAUST 2&gt;1 FULL KIT YAMAHA XSR 700 2016/19 SHORT VERSION ZY103SKR</v>
      </c>
      <c r="G25" t="str">
        <f t="shared" si="3"/>
        <v/>
      </c>
      <c r="H25" t="str">
        <f t="shared" si="15"/>
        <v/>
      </c>
      <c r="I25" t="str">
        <f t="shared" si="16"/>
        <v/>
      </c>
      <c r="J25" t="str">
        <f t="shared" si="17"/>
        <v/>
      </c>
      <c r="K25" t="str">
        <f t="shared" si="18"/>
        <v/>
      </c>
      <c r="L25" t="str">
        <f t="shared" si="4"/>
        <v>Option</v>
      </c>
      <c r="M25" t="str">
        <f t="shared" si="5"/>
        <v>BLACK COATING</v>
      </c>
      <c r="R25" t="str">
        <f t="shared" si="6"/>
        <v>ZY103SKR</v>
      </c>
      <c r="S25">
        <f t="shared" si="7"/>
        <v>0</v>
      </c>
      <c r="U25" t="str">
        <f t="shared" si="8"/>
        <v>continue</v>
      </c>
      <c r="V25" t="str">
        <f t="shared" si="9"/>
        <v>manual</v>
      </c>
      <c r="W25" s="5">
        <f t="shared" si="10"/>
        <v>987.16740000000004</v>
      </c>
      <c r="Y25" t="b">
        <f t="shared" si="11"/>
        <v>1</v>
      </c>
      <c r="Z25" t="b">
        <f t="shared" si="12"/>
        <v>0</v>
      </c>
      <c r="AB25" t="str">
        <f t="shared" si="13"/>
        <v/>
      </c>
      <c r="AE25" t="b">
        <v>0</v>
      </c>
    </row>
    <row r="26" spans="1:31" x14ac:dyDescent="0.2">
      <c r="A26" t="str">
        <f t="shared" si="0"/>
        <v>https://shop.officineitalianezard.it/en/yamaha-xsr-700-exhaust-zard/</v>
      </c>
      <c r="B26" t="b">
        <f>COUNTIF($A$2:$A26, A26)&gt;1</f>
        <v>1</v>
      </c>
      <c r="C26" t="b">
        <f t="shared" si="1"/>
        <v>1</v>
      </c>
      <c r="D26">
        <f>VLOOKUP(A26,variant_counts!A:B, 2, FALSE)</f>
        <v>4</v>
      </c>
      <c r="E26" t="str">
        <f t="shared" si="14"/>
        <v>zard-exhaust-21-full-kit-yamaha-xsr-700-201619-short-version-zy103skr</v>
      </c>
      <c r="F26" t="str">
        <f t="shared" si="2"/>
        <v>ZARD EXHAUST 2&gt;1 FULL KIT YAMAHA XSR 700 2016/19 SHORT VERSION ZY103SKR</v>
      </c>
      <c r="G26" t="str">
        <f t="shared" si="3"/>
        <v/>
      </c>
      <c r="H26" t="str">
        <f t="shared" si="15"/>
        <v/>
      </c>
      <c r="I26" t="str">
        <f t="shared" si="16"/>
        <v/>
      </c>
      <c r="J26" t="str">
        <f t="shared" si="17"/>
        <v/>
      </c>
      <c r="K26" t="str">
        <f t="shared" si="18"/>
        <v/>
      </c>
      <c r="L26" t="str">
        <f t="shared" si="4"/>
        <v>Option</v>
      </c>
      <c r="M26" t="str">
        <f t="shared" si="5"/>
        <v>CARBON ENDCAP</v>
      </c>
      <c r="R26" t="str">
        <f t="shared" si="6"/>
        <v>ZY103SKR</v>
      </c>
      <c r="S26">
        <f t="shared" si="7"/>
        <v>0</v>
      </c>
      <c r="U26" t="str">
        <f t="shared" si="8"/>
        <v>continue</v>
      </c>
      <c r="V26" t="str">
        <f t="shared" si="9"/>
        <v>manual</v>
      </c>
      <c r="W26" s="5">
        <f t="shared" si="10"/>
        <v>840.59190000000001</v>
      </c>
      <c r="Y26" t="b">
        <f t="shared" si="11"/>
        <v>1</v>
      </c>
      <c r="Z26" t="b">
        <f t="shared" si="12"/>
        <v>0</v>
      </c>
      <c r="AB26" t="str">
        <f t="shared" si="13"/>
        <v/>
      </c>
      <c r="AE26" t="b">
        <v>0</v>
      </c>
    </row>
    <row r="27" spans="1:31" x14ac:dyDescent="0.2">
      <c r="A27" t="str">
        <f t="shared" si="0"/>
        <v>https://shop.officineitalianezard.it/en/yamaha-xsr-700-exhaust-zard/</v>
      </c>
      <c r="B27" t="b">
        <f>COUNTIF($A$2:$A27, A27)&gt;1</f>
        <v>1</v>
      </c>
      <c r="C27" t="b">
        <f t="shared" si="1"/>
        <v>1</v>
      </c>
      <c r="D27">
        <f>VLOOKUP(A27,variant_counts!A:B, 2, FALSE)</f>
        <v>4</v>
      </c>
      <c r="E27" t="str">
        <f t="shared" si="14"/>
        <v>zard-exhaust-21-full-kit-yamaha-xsr-700-201619-short-version-zy103skr</v>
      </c>
      <c r="F27" t="str">
        <f t="shared" si="2"/>
        <v>ZARD EXHAUST 2&gt;1 FULL KIT YAMAHA XSR 700 2016/19 SHORT VERSION ZY103SKR</v>
      </c>
      <c r="G27" t="str">
        <f t="shared" si="3"/>
        <v/>
      </c>
      <c r="H27" t="str">
        <f t="shared" si="15"/>
        <v/>
      </c>
      <c r="I27" t="str">
        <f t="shared" si="16"/>
        <v/>
      </c>
      <c r="J27" t="str">
        <f t="shared" si="17"/>
        <v/>
      </c>
      <c r="K27" t="str">
        <f t="shared" si="18"/>
        <v/>
      </c>
      <c r="L27" t="str">
        <f t="shared" si="4"/>
        <v>Option</v>
      </c>
      <c r="M27" t="str">
        <f t="shared" si="5"/>
        <v>LOGO PLATE AND HOSE CLAMP BRONZED</v>
      </c>
      <c r="R27" t="str">
        <f t="shared" si="6"/>
        <v>ZY103SKR</v>
      </c>
      <c r="S27">
        <f t="shared" si="7"/>
        <v>0</v>
      </c>
      <c r="U27" t="str">
        <f t="shared" si="8"/>
        <v>continue</v>
      </c>
      <c r="V27" t="str">
        <f t="shared" si="9"/>
        <v>manual</v>
      </c>
      <c r="W27" s="5">
        <f t="shared" si="10"/>
        <v>867.62040000000002</v>
      </c>
      <c r="Y27" t="b">
        <f t="shared" si="11"/>
        <v>1</v>
      </c>
      <c r="Z27" t="b">
        <f t="shared" si="12"/>
        <v>0</v>
      </c>
      <c r="AB27" t="str">
        <f t="shared" si="13"/>
        <v/>
      </c>
      <c r="AE27" t="b">
        <v>0</v>
      </c>
    </row>
    <row r="28" spans="1:31" x14ac:dyDescent="0.2">
      <c r="A28" t="str">
        <f t="shared" si="0"/>
        <v>https://shop.officineitalianezard.it/en/yamaha-tenere-700-zard-exhaust/</v>
      </c>
      <c r="B28" t="b">
        <f>COUNTIF($A$2:$A28, A28)&gt;1</f>
        <v>0</v>
      </c>
      <c r="C28" t="b">
        <f t="shared" si="1"/>
        <v>0</v>
      </c>
      <c r="D28">
        <f>VLOOKUP(A28,variant_counts!A:B, 2, FALSE)</f>
        <v>3</v>
      </c>
      <c r="E28" t="str">
        <f t="shared" si="14"/>
        <v>zard-exhaust-slip-on-yamaha-tenere-700-201920-low-mounted-version-zy101ssr</v>
      </c>
      <c r="F28" t="str">
        <f t="shared" si="2"/>
        <v>ZARD EXHAUST SLIP-ON YAMAHA TENERE 700 2019/20 LOW MOUNTED VERSION ZY101SSR</v>
      </c>
      <c r="G28" t="str">
        <f t="shared" si="3"/>
        <v>&lt;p&gt;STAINLESS STEEL RACING SLIP-ON WITH REMOVABLE DB KILLERS&lt;br&gt;EURO 4 HOMOLOGATED VERSION AVAILABLE AS OPTIONAL&lt;/p&gt;
&lt;p&gt;CARBON CLAMP, END-CAP, HEEL PROTECTION AND HEAT SHIELD INCLUDED&lt;/p&gt;
&lt;p&gt;ORIGINAL EXHAUST WEIGHT: 5 KG&lt;br&gt;ZARD EXHAUST WEIGHT (STAINLESS STEEL): 3.3 KG&lt;br&gt;ZARD EXHAUST WEIGHT (TITANIUM): 2.7 KG&lt;/p&gt;
&lt;p&gt;THE INSTALLATION OF ZARD EXHAUST DOES NOT&lt;br&gt;IMPLY ANY MODIFICATION TO ECU.&lt;/p&gt;
&lt;p&gt;SIGNIFICANT INCREASE, COMPARED TO THE ORIGINAL EXHAUST SYSTEM,&lt;br&gt;IN TERMS OF TORQUE AND POWER AT ANY RANGE, ASTONISHING SOUND.&lt;/p&gt;
&lt;p&gt;&lt;strong&gt;NOTICE:&lt;/strong&gt; CAN BE FITTED WITH SIDE BAGS AND CENTRAL STAND.&lt;/p&gt;</v>
      </c>
      <c r="H28" t="str">
        <f t="shared" si="15"/>
        <v>ZARD</v>
      </c>
      <c r="I28" t="str">
        <f t="shared" si="16"/>
        <v>Exhaust Pipe</v>
      </c>
      <c r="J28" t="str">
        <f t="shared" si="17"/>
        <v>Test</v>
      </c>
      <c r="K28" t="b">
        <f t="shared" si="18"/>
        <v>0</v>
      </c>
      <c r="L28" t="str">
        <f t="shared" si="4"/>
        <v/>
      </c>
      <c r="M28" t="str">
        <f t="shared" si="5"/>
        <v/>
      </c>
      <c r="R28" t="str">
        <f t="shared" si="6"/>
        <v/>
      </c>
      <c r="S28" t="str">
        <f t="shared" si="7"/>
        <v/>
      </c>
      <c r="U28" t="str">
        <f t="shared" si="8"/>
        <v/>
      </c>
      <c r="V28" t="str">
        <f t="shared" si="9"/>
        <v/>
      </c>
      <c r="W28" s="5" t="str">
        <f t="shared" si="10"/>
        <v/>
      </c>
      <c r="Y28" t="str">
        <f t="shared" si="11"/>
        <v/>
      </c>
      <c r="Z28" t="str">
        <f t="shared" si="12"/>
        <v/>
      </c>
      <c r="AB28" t="str">
        <f t="shared" si="13"/>
        <v>https://shop.officineitalianezard.it/contents/imgs/products/1_2687-scarichi%20yamaha%20tenere%20700%20scarico%20zard%20-%20omologato%20exhaust%201.jpg</v>
      </c>
      <c r="AE28" t="b">
        <v>0</v>
      </c>
    </row>
    <row r="29" spans="1:31" x14ac:dyDescent="0.2">
      <c r="A29" t="str">
        <f t="shared" si="0"/>
        <v>https://shop.officineitalianezard.it/en/yamaha-tenere-700-zard-exhaust/</v>
      </c>
      <c r="B29" t="b">
        <f>COUNTIF($A$2:$A29, A29)&gt;1</f>
        <v>1</v>
      </c>
      <c r="C29" t="b">
        <f t="shared" si="1"/>
        <v>0</v>
      </c>
      <c r="D29">
        <f>VLOOKUP(A29,variant_counts!A:B, 2, FALSE)</f>
        <v>3</v>
      </c>
      <c r="E29" t="str">
        <f t="shared" si="14"/>
        <v>zard-exhaust-slip-on-yamaha-tenere-700-201920-low-mounted-version-zy101ssr</v>
      </c>
      <c r="F29" t="str">
        <f t="shared" si="2"/>
        <v>ZARD EXHAUST SLIP-ON YAMAHA TENERE 700 2019/20 LOW MOUNTED VERSION ZY101SSR</v>
      </c>
      <c r="G29" t="str">
        <f t="shared" si="3"/>
        <v/>
      </c>
      <c r="H29" t="str">
        <f t="shared" si="15"/>
        <v/>
      </c>
      <c r="I29" t="str">
        <f t="shared" si="16"/>
        <v/>
      </c>
      <c r="J29" t="str">
        <f t="shared" si="17"/>
        <v/>
      </c>
      <c r="K29" t="str">
        <f t="shared" si="18"/>
        <v/>
      </c>
      <c r="L29" t="str">
        <f t="shared" si="4"/>
        <v/>
      </c>
      <c r="M29" t="str">
        <f t="shared" si="5"/>
        <v/>
      </c>
      <c r="R29" t="str">
        <f t="shared" si="6"/>
        <v/>
      </c>
      <c r="S29" t="str">
        <f t="shared" si="7"/>
        <v/>
      </c>
      <c r="U29" t="str">
        <f t="shared" si="8"/>
        <v/>
      </c>
      <c r="V29" t="str">
        <f t="shared" si="9"/>
        <v/>
      </c>
      <c r="W29" s="5" t="str">
        <f t="shared" si="10"/>
        <v/>
      </c>
      <c r="Y29" t="str">
        <f t="shared" si="11"/>
        <v/>
      </c>
      <c r="Z29" t="str">
        <f t="shared" si="12"/>
        <v/>
      </c>
      <c r="AB29" t="str">
        <f t="shared" si="13"/>
        <v>https://shop.officineitalianezard.it/contents/imgs/products/1_2688-scarichi%20yamaha%20tenere%20700%20scarico%20zard%20-%20omologato%20exhaust%202.jpg</v>
      </c>
      <c r="AE29" t="b">
        <v>0</v>
      </c>
    </row>
    <row r="30" spans="1:31" x14ac:dyDescent="0.2">
      <c r="A30" t="str">
        <f t="shared" si="0"/>
        <v>https://shop.officineitalianezard.it/en/yamaha-tenere-700-zard-exhaust/</v>
      </c>
      <c r="B30" t="b">
        <f>COUNTIF($A$2:$A30, A30)&gt;1</f>
        <v>1</v>
      </c>
      <c r="C30" t="b">
        <f t="shared" si="1"/>
        <v>0</v>
      </c>
      <c r="D30">
        <f>VLOOKUP(A30,variant_counts!A:B, 2, FALSE)</f>
        <v>3</v>
      </c>
      <c r="E30" t="str">
        <f t="shared" si="14"/>
        <v>zard-exhaust-slip-on-yamaha-tenere-700-201920-low-mounted-version-zy101ssr</v>
      </c>
      <c r="F30" t="str">
        <f t="shared" si="2"/>
        <v>ZARD EXHAUST SLIP-ON YAMAHA TENERE 700 2019/20 LOW MOUNTED VERSION ZY101SSR</v>
      </c>
      <c r="G30" t="str">
        <f t="shared" si="3"/>
        <v/>
      </c>
      <c r="H30" t="str">
        <f t="shared" si="15"/>
        <v/>
      </c>
      <c r="I30" t="str">
        <f t="shared" si="16"/>
        <v/>
      </c>
      <c r="J30" t="str">
        <f t="shared" si="17"/>
        <v/>
      </c>
      <c r="K30" t="str">
        <f t="shared" si="18"/>
        <v/>
      </c>
      <c r="L30" t="str">
        <f t="shared" si="4"/>
        <v/>
      </c>
      <c r="M30" t="str">
        <f t="shared" si="5"/>
        <v/>
      </c>
      <c r="R30" t="str">
        <f t="shared" si="6"/>
        <v/>
      </c>
      <c r="S30" t="str">
        <f t="shared" si="7"/>
        <v/>
      </c>
      <c r="U30" t="str">
        <f t="shared" si="8"/>
        <v/>
      </c>
      <c r="V30" t="str">
        <f t="shared" si="9"/>
        <v/>
      </c>
      <c r="W30" s="5" t="str">
        <f t="shared" si="10"/>
        <v/>
      </c>
      <c r="Y30" t="str">
        <f t="shared" si="11"/>
        <v/>
      </c>
      <c r="Z30" t="str">
        <f t="shared" si="12"/>
        <v/>
      </c>
      <c r="AB30" t="str">
        <f t="shared" si="13"/>
        <v>https://shop.officineitalianezard.it/contents/imgs/products/1_2690-scarichi%20yamaha%20tenere%20700%20scarico%20zard%20-%20omologato%20exhaust%20black.jpg</v>
      </c>
      <c r="AE30" t="b">
        <v>0</v>
      </c>
    </row>
    <row r="31" spans="1:31" x14ac:dyDescent="0.2">
      <c r="A31" t="str">
        <f t="shared" si="0"/>
        <v>https://shop.officineitalianezard.it/en/yamaha-tenere-700-zard-exhaust/</v>
      </c>
      <c r="B31" t="b">
        <f>COUNTIF($A$2:$A31, A31)&gt;1</f>
        <v>1</v>
      </c>
      <c r="C31" t="b">
        <f t="shared" si="1"/>
        <v>0</v>
      </c>
      <c r="D31">
        <f>VLOOKUP(A31,variant_counts!A:B, 2, FALSE)</f>
        <v>3</v>
      </c>
      <c r="E31" t="str">
        <f t="shared" si="14"/>
        <v>zard-exhaust-slip-on-yamaha-tenere-700-201920-low-mounted-version-zy101ssr</v>
      </c>
      <c r="F31" t="str">
        <f t="shared" si="2"/>
        <v>ZARD EXHAUST SLIP-ON YAMAHA TENERE 700 2019/20 LOW MOUNTED VERSION ZY101SSR</v>
      </c>
      <c r="G31" t="str">
        <f t="shared" si="3"/>
        <v/>
      </c>
      <c r="H31" t="str">
        <f t="shared" si="15"/>
        <v/>
      </c>
      <c r="I31" t="str">
        <f t="shared" si="16"/>
        <v/>
      </c>
      <c r="J31" t="str">
        <f t="shared" si="17"/>
        <v/>
      </c>
      <c r="K31" t="str">
        <f t="shared" si="18"/>
        <v/>
      </c>
      <c r="L31" t="str">
        <f t="shared" si="4"/>
        <v/>
      </c>
      <c r="M31" t="str">
        <f t="shared" si="5"/>
        <v/>
      </c>
      <c r="R31" t="str">
        <f t="shared" si="6"/>
        <v/>
      </c>
      <c r="S31" t="str">
        <f t="shared" si="7"/>
        <v/>
      </c>
      <c r="U31" t="str">
        <f t="shared" si="8"/>
        <v/>
      </c>
      <c r="V31" t="str">
        <f t="shared" si="9"/>
        <v/>
      </c>
      <c r="W31" s="5" t="str">
        <f t="shared" si="10"/>
        <v/>
      </c>
      <c r="Y31" t="str">
        <f t="shared" si="11"/>
        <v/>
      </c>
      <c r="Z31" t="str">
        <f t="shared" si="12"/>
        <v/>
      </c>
      <c r="AB31" t="str">
        <f t="shared" si="13"/>
        <v>https://shop.officineitalianezard.it/contents/imgs/products/1_2689-scarichi%20yamaha%20tenere%20700%20scarico%20zard%20-%20omologato%20exhaust%203.jpg</v>
      </c>
      <c r="AE31" t="b">
        <v>0</v>
      </c>
    </row>
    <row r="32" spans="1:31" x14ac:dyDescent="0.2">
      <c r="A32" t="str">
        <f t="shared" si="0"/>
        <v>https://shop.officineitalianezard.it/en/yamaha-tenere-700-zard-exhaust/</v>
      </c>
      <c r="B32" t="b">
        <f>COUNTIF($A$2:$A32, A32)&gt;1</f>
        <v>1</v>
      </c>
      <c r="C32" t="b">
        <f t="shared" si="1"/>
        <v>1</v>
      </c>
      <c r="D32">
        <f>VLOOKUP(A32,variant_counts!A:B, 2, FALSE)</f>
        <v>3</v>
      </c>
      <c r="E32" t="str">
        <f t="shared" si="14"/>
        <v>zard-exhaust-slip-on-yamaha-tenere-700-201920-low-mounted-version-zy101ssr</v>
      </c>
      <c r="F32" t="str">
        <f t="shared" si="2"/>
        <v>ZARD EXHAUST SLIP-ON YAMAHA TENERE 700 2019/20 LOW MOUNTED VERSION ZY101SSR</v>
      </c>
      <c r="G32" t="str">
        <f t="shared" si="3"/>
        <v/>
      </c>
      <c r="H32" t="str">
        <f t="shared" si="15"/>
        <v/>
      </c>
      <c r="I32" t="str">
        <f t="shared" si="16"/>
        <v/>
      </c>
      <c r="J32" t="str">
        <f t="shared" si="17"/>
        <v/>
      </c>
      <c r="K32" t="str">
        <f t="shared" si="18"/>
        <v/>
      </c>
      <c r="L32" t="str">
        <f t="shared" si="4"/>
        <v>Option</v>
      </c>
      <c r="M32" t="str">
        <f t="shared" si="5"/>
        <v>EURO 4 HOMOLOGATED</v>
      </c>
      <c r="R32" t="str">
        <f t="shared" si="6"/>
        <v>ZY101SSR</v>
      </c>
      <c r="S32">
        <f t="shared" si="7"/>
        <v>0</v>
      </c>
      <c r="U32" t="str">
        <f t="shared" si="8"/>
        <v>continue</v>
      </c>
      <c r="V32" t="str">
        <f t="shared" si="9"/>
        <v>manual</v>
      </c>
      <c r="W32" s="5">
        <f t="shared" si="10"/>
        <v>598.66740000000004</v>
      </c>
      <c r="Y32" t="b">
        <f t="shared" si="11"/>
        <v>1</v>
      </c>
      <c r="Z32" t="b">
        <f t="shared" si="12"/>
        <v>0</v>
      </c>
      <c r="AB32" t="str">
        <f t="shared" si="13"/>
        <v/>
      </c>
      <c r="AE32" t="b">
        <v>0</v>
      </c>
    </row>
    <row r="33" spans="1:31" x14ac:dyDescent="0.2">
      <c r="A33" t="str">
        <f t="shared" si="0"/>
        <v>https://shop.officineitalianezard.it/en/yamaha-tenere-700-zard-exhaust/</v>
      </c>
      <c r="B33" t="b">
        <f>COUNTIF($A$2:$A33, A33)&gt;1</f>
        <v>1</v>
      </c>
      <c r="C33" t="b">
        <f t="shared" si="1"/>
        <v>1</v>
      </c>
      <c r="D33">
        <f>VLOOKUP(A33,variant_counts!A:B, 2, FALSE)</f>
        <v>3</v>
      </c>
      <c r="E33" t="str">
        <f t="shared" si="14"/>
        <v>zard-exhaust-slip-on-yamaha-tenere-700-201920-low-mounted-version-zy101ssr</v>
      </c>
      <c r="F33" t="str">
        <f t="shared" si="2"/>
        <v>ZARD EXHAUST SLIP-ON YAMAHA TENERE 700 2019/20 LOW MOUNTED VERSION ZY101SSR</v>
      </c>
      <c r="G33" t="str">
        <f t="shared" si="3"/>
        <v/>
      </c>
      <c r="H33" t="str">
        <f t="shared" si="15"/>
        <v/>
      </c>
      <c r="I33" t="str">
        <f t="shared" si="16"/>
        <v/>
      </c>
      <c r="J33" t="str">
        <f t="shared" si="17"/>
        <v/>
      </c>
      <c r="K33" t="str">
        <f t="shared" si="18"/>
        <v/>
      </c>
      <c r="L33" t="str">
        <f t="shared" si="4"/>
        <v>Option</v>
      </c>
      <c r="M33" t="str">
        <f t="shared" si="5"/>
        <v>TITANIUM SLEEVE</v>
      </c>
      <c r="R33" t="str">
        <f t="shared" si="6"/>
        <v>ZY101SSR</v>
      </c>
      <c r="S33">
        <f t="shared" si="7"/>
        <v>0</v>
      </c>
      <c r="U33" t="str">
        <f t="shared" si="8"/>
        <v>continue</v>
      </c>
      <c r="V33" t="str">
        <f t="shared" si="9"/>
        <v>manual</v>
      </c>
      <c r="W33" s="5">
        <f t="shared" si="10"/>
        <v>672.37140000000011</v>
      </c>
      <c r="Y33" t="b">
        <f t="shared" si="11"/>
        <v>1</v>
      </c>
      <c r="Z33" t="b">
        <f t="shared" si="12"/>
        <v>0</v>
      </c>
      <c r="AB33" t="str">
        <f t="shared" si="13"/>
        <v/>
      </c>
      <c r="AE33" t="b">
        <v>0</v>
      </c>
    </row>
    <row r="34" spans="1:31" x14ac:dyDescent="0.2">
      <c r="A34" t="str">
        <f t="shared" si="0"/>
        <v>https://shop.officineitalianezard.it/en/yamaha-tenere-700-zard-exhaust/</v>
      </c>
      <c r="B34" t="b">
        <f>COUNTIF($A$2:$A34, A34)&gt;1</f>
        <v>1</v>
      </c>
      <c r="C34" t="b">
        <f t="shared" si="1"/>
        <v>1</v>
      </c>
      <c r="D34">
        <f>VLOOKUP(A34,variant_counts!A:B, 2, FALSE)</f>
        <v>3</v>
      </c>
      <c r="E34" t="str">
        <f t="shared" si="14"/>
        <v>zard-exhaust-slip-on-yamaha-tenere-700-201920-low-mounted-version-zy101ssr</v>
      </c>
      <c r="F34" t="str">
        <f t="shared" si="2"/>
        <v>ZARD EXHAUST SLIP-ON YAMAHA TENERE 700 2019/20 LOW MOUNTED VERSION ZY101SSR</v>
      </c>
      <c r="G34" t="str">
        <f t="shared" si="3"/>
        <v/>
      </c>
      <c r="H34" t="str">
        <f t="shared" si="15"/>
        <v/>
      </c>
      <c r="I34" t="str">
        <f t="shared" si="16"/>
        <v/>
      </c>
      <c r="J34" t="str">
        <f t="shared" si="17"/>
        <v/>
      </c>
      <c r="K34" t="str">
        <f t="shared" si="18"/>
        <v/>
      </c>
      <c r="L34" t="str">
        <f t="shared" si="4"/>
        <v>Option</v>
      </c>
      <c r="M34" t="str">
        <f t="shared" si="5"/>
        <v>BLACK COATING</v>
      </c>
      <c r="R34" t="str">
        <f t="shared" si="6"/>
        <v>ZY101SSR</v>
      </c>
      <c r="S34">
        <f t="shared" si="7"/>
        <v>0</v>
      </c>
      <c r="U34" t="str">
        <f t="shared" si="8"/>
        <v>continue</v>
      </c>
      <c r="V34" t="str">
        <f t="shared" si="9"/>
        <v>manual</v>
      </c>
      <c r="W34" s="5">
        <f t="shared" si="10"/>
        <v>623.2428000000001</v>
      </c>
      <c r="Y34" t="b">
        <f t="shared" si="11"/>
        <v>1</v>
      </c>
      <c r="Z34" t="b">
        <f t="shared" si="12"/>
        <v>0</v>
      </c>
      <c r="AB34" t="str">
        <f t="shared" si="13"/>
        <v/>
      </c>
      <c r="AE34" t="b">
        <v>0</v>
      </c>
    </row>
    <row r="35" spans="1:31" x14ac:dyDescent="0.2">
      <c r="A35" t="str">
        <f t="shared" si="0"/>
        <v>https://shop.officineitalianezard.it/en/full-kit-zard-t-max-4/</v>
      </c>
      <c r="B35" t="b">
        <f>COUNTIF($A$2:$A35, A35)&gt;1</f>
        <v>0</v>
      </c>
      <c r="C35" t="b">
        <f t="shared" si="1"/>
        <v>0</v>
      </c>
      <c r="D35">
        <f>VLOOKUP(A35,variant_counts!A:B, 2, FALSE)</f>
        <v>3</v>
      </c>
      <c r="E35" t="str">
        <f t="shared" si="14"/>
        <v>zard-exhaust-full-kit-yamaha-t-max-530-conical-version-zy-094-skr</v>
      </c>
      <c r="F35" t="str">
        <f t="shared" si="2"/>
        <v>ZARD EXHAUST FULL KIT YAMAHA T-MAX 530 CONICAL VERSION ZY 094 SKR</v>
      </c>
      <c r="G35" t="str">
        <f t="shared" si="3"/>
        <v>&lt;p&gt;STEEL FULL KIT RACING WITH REMOVABLE DB KILLER&lt;/p&gt;
&lt;p&gt;ZARD FULL KIT STEEL-TITANIUM WEIGHT: 2.1 KG&lt;br&gt;ZARD FULL KIT STEEL WEIGHT: 3.5 KG&lt;/p&gt;
&lt;p&gt;HARD INCREASE, COMPARED TO THE ORIGINAL EXHAUST SYSTEM, IN TERMS OF TORQUE AND POWER AT ANY RANGE&lt;/p&gt;
&lt;p&gt;ASTONISHING SOUND&lt;/p&gt;</v>
      </c>
      <c r="H35" t="str">
        <f t="shared" si="15"/>
        <v>ZARD</v>
      </c>
      <c r="I35" t="str">
        <f t="shared" si="16"/>
        <v>Exhaust Pipe</v>
      </c>
      <c r="J35" t="str">
        <f t="shared" si="17"/>
        <v>Test</v>
      </c>
      <c r="K35" t="b">
        <f t="shared" si="18"/>
        <v>0</v>
      </c>
      <c r="L35" t="str">
        <f t="shared" si="4"/>
        <v/>
      </c>
      <c r="M35" t="str">
        <f t="shared" si="5"/>
        <v/>
      </c>
      <c r="R35" t="str">
        <f t="shared" si="6"/>
        <v/>
      </c>
      <c r="S35" t="str">
        <f t="shared" si="7"/>
        <v/>
      </c>
      <c r="U35" t="str">
        <f t="shared" si="8"/>
        <v/>
      </c>
      <c r="V35" t="str">
        <f t="shared" si="9"/>
        <v/>
      </c>
      <c r="W35" s="5" t="str">
        <f t="shared" si="10"/>
        <v/>
      </c>
      <c r="Y35" t="str">
        <f t="shared" si="11"/>
        <v/>
      </c>
      <c r="Z35" t="str">
        <f t="shared" si="12"/>
        <v/>
      </c>
      <c r="AB35" t="str">
        <f t="shared" si="13"/>
        <v>https://shop.officineitalianezard.it/contents/imgs/products/1_661-4scarichi%20t-max%20yamaha%20zard2.jpg</v>
      </c>
      <c r="AE35" t="b">
        <v>0</v>
      </c>
    </row>
    <row r="36" spans="1:31" x14ac:dyDescent="0.2">
      <c r="A36" t="str">
        <f t="shared" si="0"/>
        <v>https://shop.officineitalianezard.it/en/full-kit-zard-t-max-4/</v>
      </c>
      <c r="B36" t="b">
        <f>COUNTIF($A$2:$A36, A36)&gt;1</f>
        <v>1</v>
      </c>
      <c r="C36" t="b">
        <f t="shared" si="1"/>
        <v>0</v>
      </c>
      <c r="D36">
        <f>VLOOKUP(A36,variant_counts!A:B, 2, FALSE)</f>
        <v>3</v>
      </c>
      <c r="E36" t="str">
        <f t="shared" si="14"/>
        <v>zard-exhaust-full-kit-yamaha-t-max-530-conical-version-zy-094-skr</v>
      </c>
      <c r="F36" t="str">
        <f t="shared" si="2"/>
        <v>ZARD EXHAUST FULL KIT YAMAHA T-MAX 530 CONICAL VERSION ZY 094 SKR</v>
      </c>
      <c r="G36" t="str">
        <f t="shared" si="3"/>
        <v/>
      </c>
      <c r="H36" t="str">
        <f t="shared" si="15"/>
        <v/>
      </c>
      <c r="I36" t="str">
        <f t="shared" si="16"/>
        <v/>
      </c>
      <c r="J36" t="str">
        <f t="shared" si="17"/>
        <v/>
      </c>
      <c r="K36" t="str">
        <f t="shared" si="18"/>
        <v/>
      </c>
      <c r="L36" t="str">
        <f t="shared" si="4"/>
        <v/>
      </c>
      <c r="M36" t="str">
        <f t="shared" si="5"/>
        <v/>
      </c>
      <c r="R36" t="str">
        <f t="shared" si="6"/>
        <v/>
      </c>
      <c r="S36" t="str">
        <f t="shared" si="7"/>
        <v/>
      </c>
      <c r="U36" t="str">
        <f t="shared" si="8"/>
        <v/>
      </c>
      <c r="V36" t="str">
        <f t="shared" si="9"/>
        <v/>
      </c>
      <c r="W36" s="5" t="str">
        <f t="shared" si="10"/>
        <v/>
      </c>
      <c r="Y36" t="str">
        <f t="shared" si="11"/>
        <v/>
      </c>
      <c r="Z36" t="str">
        <f t="shared" si="12"/>
        <v/>
      </c>
      <c r="AB36" t="str">
        <f t="shared" si="13"/>
        <v>https://shop.officineitalianezard.it/contents/imgs/products/1_660-3scarichi%20t-max%20yamaha%20zard1.jpg</v>
      </c>
      <c r="AE36" t="b">
        <v>0</v>
      </c>
    </row>
    <row r="37" spans="1:31" x14ac:dyDescent="0.2">
      <c r="A37" t="str">
        <f t="shared" si="0"/>
        <v>https://shop.officineitalianezard.it/en/full-kit-zard-t-max-4/</v>
      </c>
      <c r="B37" t="b">
        <f>COUNTIF($A$2:$A37, A37)&gt;1</f>
        <v>1</v>
      </c>
      <c r="C37" t="b">
        <f t="shared" si="1"/>
        <v>0</v>
      </c>
      <c r="D37">
        <f>VLOOKUP(A37,variant_counts!A:B, 2, FALSE)</f>
        <v>3</v>
      </c>
      <c r="E37" t="str">
        <f t="shared" si="14"/>
        <v>zard-exhaust-full-kit-yamaha-t-max-530-conical-version-zy-094-skr</v>
      </c>
      <c r="F37" t="str">
        <f t="shared" si="2"/>
        <v>ZARD EXHAUST FULL KIT YAMAHA T-MAX 530 CONICAL VERSION ZY 094 SKR</v>
      </c>
      <c r="G37" t="str">
        <f t="shared" si="3"/>
        <v/>
      </c>
      <c r="H37" t="str">
        <f t="shared" si="15"/>
        <v/>
      </c>
      <c r="I37" t="str">
        <f t="shared" si="16"/>
        <v/>
      </c>
      <c r="J37" t="str">
        <f t="shared" si="17"/>
        <v/>
      </c>
      <c r="K37" t="str">
        <f t="shared" si="18"/>
        <v/>
      </c>
      <c r="L37" t="str">
        <f t="shared" si="4"/>
        <v/>
      </c>
      <c r="M37" t="str">
        <f t="shared" si="5"/>
        <v/>
      </c>
      <c r="R37" t="str">
        <f t="shared" si="6"/>
        <v/>
      </c>
      <c r="S37" t="str">
        <f t="shared" si="7"/>
        <v/>
      </c>
      <c r="U37" t="str">
        <f t="shared" si="8"/>
        <v/>
      </c>
      <c r="V37" t="str">
        <f t="shared" si="9"/>
        <v/>
      </c>
      <c r="W37" s="5" t="str">
        <f t="shared" si="10"/>
        <v/>
      </c>
      <c r="Y37" t="str">
        <f t="shared" si="11"/>
        <v/>
      </c>
      <c r="Z37" t="str">
        <f t="shared" si="12"/>
        <v/>
      </c>
      <c r="AB37" t="str">
        <f t="shared" si="13"/>
        <v>https://shop.officineitalianezard.it/contents/imgs/products/1_897-YAMAHA%20T-MAX%20BIANCO%20002.jpg</v>
      </c>
      <c r="AE37" t="b">
        <v>0</v>
      </c>
    </row>
    <row r="38" spans="1:31" x14ac:dyDescent="0.2">
      <c r="A38" t="str">
        <f t="shared" si="0"/>
        <v>https://shop.officineitalianezard.it/en/full-kit-zard-t-max-4/</v>
      </c>
      <c r="B38" t="b">
        <f>COUNTIF($A$2:$A38, A38)&gt;1</f>
        <v>1</v>
      </c>
      <c r="C38" t="b">
        <f t="shared" si="1"/>
        <v>0</v>
      </c>
      <c r="D38">
        <f>VLOOKUP(A38,variant_counts!A:B, 2, FALSE)</f>
        <v>3</v>
      </c>
      <c r="E38" t="str">
        <f t="shared" si="14"/>
        <v>zard-exhaust-full-kit-yamaha-t-max-530-conical-version-zy-094-skr</v>
      </c>
      <c r="F38" t="str">
        <f t="shared" si="2"/>
        <v>ZARD EXHAUST FULL KIT YAMAHA T-MAX 530 CONICAL VERSION ZY 094 SKR</v>
      </c>
      <c r="G38" t="str">
        <f t="shared" si="3"/>
        <v/>
      </c>
      <c r="H38" t="str">
        <f t="shared" si="15"/>
        <v/>
      </c>
      <c r="I38" t="str">
        <f t="shared" si="16"/>
        <v/>
      </c>
      <c r="J38" t="str">
        <f t="shared" si="17"/>
        <v/>
      </c>
      <c r="K38" t="str">
        <f t="shared" si="18"/>
        <v/>
      </c>
      <c r="L38" t="str">
        <f t="shared" si="4"/>
        <v/>
      </c>
      <c r="M38" t="str">
        <f t="shared" si="5"/>
        <v/>
      </c>
      <c r="R38" t="str">
        <f t="shared" si="6"/>
        <v/>
      </c>
      <c r="S38" t="str">
        <f t="shared" si="7"/>
        <v/>
      </c>
      <c r="U38" t="str">
        <f t="shared" si="8"/>
        <v/>
      </c>
      <c r="V38" t="str">
        <f t="shared" si="9"/>
        <v/>
      </c>
      <c r="W38" s="5" t="str">
        <f t="shared" si="10"/>
        <v/>
      </c>
      <c r="Y38" t="str">
        <f t="shared" si="11"/>
        <v/>
      </c>
      <c r="Z38" t="str">
        <f t="shared" si="12"/>
        <v/>
      </c>
      <c r="AB38" t="str">
        <f t="shared" si="13"/>
        <v>https://shop.officineitalianezard.it/contents/imgs/products/1_671-nero.jpg</v>
      </c>
      <c r="AE38" t="b">
        <v>0</v>
      </c>
    </row>
    <row r="39" spans="1:31" x14ac:dyDescent="0.2">
      <c r="A39" t="str">
        <f t="shared" si="0"/>
        <v>https://shop.officineitalianezard.it/en/full-kit-zard-t-max-4/</v>
      </c>
      <c r="B39" t="b">
        <f>COUNTIF($A$2:$A39, A39)&gt;1</f>
        <v>1</v>
      </c>
      <c r="C39" t="b">
        <f t="shared" si="1"/>
        <v>1</v>
      </c>
      <c r="D39">
        <f>VLOOKUP(A39,variant_counts!A:B, 2, FALSE)</f>
        <v>3</v>
      </c>
      <c r="E39" t="str">
        <f t="shared" si="14"/>
        <v>zard-exhaust-full-kit-yamaha-t-max-530-conical-version-zy-094-skr</v>
      </c>
      <c r="F39" t="str">
        <f t="shared" si="2"/>
        <v>ZARD EXHAUST FULL KIT YAMAHA T-MAX 530 CONICAL VERSION ZY 094 SKR</v>
      </c>
      <c r="G39" t="str">
        <f t="shared" si="3"/>
        <v/>
      </c>
      <c r="H39" t="str">
        <f t="shared" si="15"/>
        <v/>
      </c>
      <c r="I39" t="str">
        <f t="shared" si="16"/>
        <v/>
      </c>
      <c r="J39" t="str">
        <f t="shared" si="17"/>
        <v/>
      </c>
      <c r="K39" t="str">
        <f t="shared" si="18"/>
        <v/>
      </c>
      <c r="L39" t="str">
        <f t="shared" si="4"/>
        <v>Option</v>
      </c>
      <c r="M39" t="str">
        <f t="shared" si="5"/>
        <v>EURO 3 HOMOLOGATED</v>
      </c>
      <c r="R39" t="str">
        <f t="shared" si="6"/>
        <v>ZY 094 SKR</v>
      </c>
      <c r="S39">
        <f t="shared" si="7"/>
        <v>0</v>
      </c>
      <c r="U39" t="str">
        <f t="shared" si="8"/>
        <v>continue</v>
      </c>
      <c r="V39" t="str">
        <f t="shared" si="9"/>
        <v>manual</v>
      </c>
      <c r="W39" s="5">
        <f t="shared" si="10"/>
        <v>721.0449000000001</v>
      </c>
      <c r="Y39" t="b">
        <f t="shared" si="11"/>
        <v>1</v>
      </c>
      <c r="Z39" t="b">
        <f t="shared" si="12"/>
        <v>0</v>
      </c>
      <c r="AB39" t="str">
        <f t="shared" si="13"/>
        <v/>
      </c>
      <c r="AE39" t="b">
        <v>0</v>
      </c>
    </row>
    <row r="40" spans="1:31" x14ac:dyDescent="0.2">
      <c r="A40" t="str">
        <f t="shared" si="0"/>
        <v>https://shop.officineitalianezard.it/en/full-kit-zard-t-max-4/</v>
      </c>
      <c r="B40" t="b">
        <f>COUNTIF($A$2:$A40, A40)&gt;1</f>
        <v>1</v>
      </c>
      <c r="C40" t="b">
        <f t="shared" si="1"/>
        <v>1</v>
      </c>
      <c r="D40">
        <f>VLOOKUP(A40,variant_counts!A:B, 2, FALSE)</f>
        <v>3</v>
      </c>
      <c r="E40" t="str">
        <f t="shared" si="14"/>
        <v>zard-exhaust-full-kit-yamaha-t-max-530-conical-version-zy-094-skr</v>
      </c>
      <c r="F40" t="str">
        <f t="shared" si="2"/>
        <v>ZARD EXHAUST FULL KIT YAMAHA T-MAX 530 CONICAL VERSION ZY 094 SKR</v>
      </c>
      <c r="G40" t="str">
        <f t="shared" si="3"/>
        <v/>
      </c>
      <c r="H40" t="str">
        <f t="shared" si="15"/>
        <v/>
      </c>
      <c r="I40" t="str">
        <f t="shared" si="16"/>
        <v/>
      </c>
      <c r="J40" t="str">
        <f t="shared" si="17"/>
        <v/>
      </c>
      <c r="K40" t="str">
        <f t="shared" si="18"/>
        <v/>
      </c>
      <c r="L40" t="str">
        <f t="shared" si="4"/>
        <v>Option</v>
      </c>
      <c r="M40" t="str">
        <f t="shared" si="5"/>
        <v>BLACK COATING</v>
      </c>
      <c r="R40" t="str">
        <f t="shared" si="6"/>
        <v>ZY 094 SKR</v>
      </c>
      <c r="S40">
        <f t="shared" si="7"/>
        <v>0</v>
      </c>
      <c r="U40" t="str">
        <f t="shared" si="8"/>
        <v>continue</v>
      </c>
      <c r="V40" t="str">
        <f t="shared" si="9"/>
        <v>manual</v>
      </c>
      <c r="W40" s="5">
        <f t="shared" si="10"/>
        <v>815.20620000000008</v>
      </c>
      <c r="Y40" t="b">
        <f t="shared" si="11"/>
        <v>1</v>
      </c>
      <c r="Z40" t="b">
        <f t="shared" si="12"/>
        <v>0</v>
      </c>
      <c r="AB40" t="str">
        <f t="shared" si="13"/>
        <v/>
      </c>
      <c r="AE40" t="b">
        <v>0</v>
      </c>
    </row>
    <row r="41" spans="1:31" x14ac:dyDescent="0.2">
      <c r="A41" t="str">
        <f t="shared" si="0"/>
        <v>https://shop.officineitalianezard.it/en/full-kit-zard-t-max-4/</v>
      </c>
      <c r="B41" t="b">
        <f>COUNTIF($A$2:$A41, A41)&gt;1</f>
        <v>1</v>
      </c>
      <c r="C41" t="b">
        <f t="shared" si="1"/>
        <v>1</v>
      </c>
      <c r="D41">
        <f>VLOOKUP(A41,variant_counts!A:B, 2, FALSE)</f>
        <v>3</v>
      </c>
      <c r="E41" t="str">
        <f t="shared" si="14"/>
        <v>zard-exhaust-full-kit-yamaha-t-max-530-conical-version-zy-094-skr</v>
      </c>
      <c r="F41" t="str">
        <f t="shared" si="2"/>
        <v>ZARD EXHAUST FULL KIT YAMAHA T-MAX 530 CONICAL VERSION ZY 094 SKR</v>
      </c>
      <c r="G41" t="str">
        <f t="shared" si="3"/>
        <v/>
      </c>
      <c r="H41" t="str">
        <f t="shared" si="15"/>
        <v/>
      </c>
      <c r="I41" t="str">
        <f t="shared" si="16"/>
        <v/>
      </c>
      <c r="J41" t="str">
        <f t="shared" si="17"/>
        <v/>
      </c>
      <c r="K41" t="str">
        <f t="shared" si="18"/>
        <v/>
      </c>
      <c r="L41" t="str">
        <f t="shared" si="4"/>
        <v>Option</v>
      </c>
      <c r="M41" t="str">
        <f t="shared" si="5"/>
        <v>STEEL HEADERS KIT + TITANIUM SIL.</v>
      </c>
      <c r="R41" t="str">
        <f t="shared" si="6"/>
        <v>ZY 094 SKR</v>
      </c>
      <c r="S41">
        <f t="shared" si="7"/>
        <v>0</v>
      </c>
      <c r="U41" t="str">
        <f t="shared" si="8"/>
        <v>continue</v>
      </c>
      <c r="V41" t="str">
        <f t="shared" si="9"/>
        <v>manual</v>
      </c>
      <c r="W41" s="5">
        <f t="shared" si="10"/>
        <v>721.0449000000001</v>
      </c>
      <c r="Y41" t="b">
        <f t="shared" si="11"/>
        <v>1</v>
      </c>
      <c r="Z41" t="b">
        <f t="shared" si="12"/>
        <v>0</v>
      </c>
      <c r="AB41" t="str">
        <f t="shared" si="13"/>
        <v/>
      </c>
      <c r="AE41" t="b">
        <v>0</v>
      </c>
    </row>
    <row r="42" spans="1:31" x14ac:dyDescent="0.2">
      <c r="A42" t="str">
        <f t="shared" si="0"/>
        <v>https://shop.officineitalianezard.it/en/full-kit-zard-t-max-3/</v>
      </c>
      <c r="B42" t="b">
        <f>COUNTIF($A$2:$A42, A42)&gt;1</f>
        <v>0</v>
      </c>
      <c r="C42" t="b">
        <f t="shared" si="1"/>
        <v>0</v>
      </c>
      <c r="D42">
        <f>VLOOKUP(A42,variant_counts!A:B, 2, FALSE)</f>
        <v>3</v>
      </c>
      <c r="E42" t="str">
        <f t="shared" si="14"/>
        <v>zard-exhaust-full-kit-yamaha-t-max-08-11-conical-version-zy-092-skr</v>
      </c>
      <c r="F42" t="str">
        <f t="shared" si="2"/>
        <v>ZARD EXHAUST FULL KIT YAMAHA T-MAX 08-11 CONICAL VERSION ZY 092 SKR</v>
      </c>
      <c r="G42" t="str">
        <f t="shared" si="3"/>
        <v>&lt;p&gt;STEEL FULL KIT RACING WITH REMOVABLE DB KILLER&lt;/p&gt;
&lt;p&gt;ZARD FULL KIT STEEL-TITANIUM WEIGHT: 2.1 KG&lt;br&gt;ZARD FULL KIT STEEL WEIGHT: 3.5 KG&lt;/p&gt;
&lt;p&gt;HARD INCREASE, COMPARED TO THE ORIGINAL EXHAUST SYSTEM, IN TERMS OF TORQUE AND POWER AT ANY RANGE&lt;/p&gt;
&lt;p&gt;ASTONISHING SOUND&lt;/p&gt;</v>
      </c>
      <c r="H42" t="str">
        <f t="shared" si="15"/>
        <v>ZARD</v>
      </c>
      <c r="I42" t="str">
        <f t="shared" si="16"/>
        <v>Exhaust Pipe</v>
      </c>
      <c r="J42" t="str">
        <f t="shared" si="17"/>
        <v>Test</v>
      </c>
      <c r="K42" t="b">
        <f t="shared" si="18"/>
        <v>0</v>
      </c>
      <c r="L42" t="str">
        <f t="shared" si="4"/>
        <v/>
      </c>
      <c r="M42" t="str">
        <f t="shared" si="5"/>
        <v/>
      </c>
      <c r="R42" t="str">
        <f t="shared" si="6"/>
        <v/>
      </c>
      <c r="S42" t="str">
        <f t="shared" si="7"/>
        <v/>
      </c>
      <c r="U42" t="str">
        <f t="shared" si="8"/>
        <v/>
      </c>
      <c r="V42" t="str">
        <f t="shared" si="9"/>
        <v/>
      </c>
      <c r="W42" s="5" t="str">
        <f t="shared" si="10"/>
        <v/>
      </c>
      <c r="Y42" t="str">
        <f t="shared" si="11"/>
        <v/>
      </c>
      <c r="Z42" t="str">
        <f t="shared" si="12"/>
        <v/>
      </c>
      <c r="AB42" t="str">
        <f t="shared" si="13"/>
        <v>https://shop.officineitalianezard.it/contents/imgs/products/1_658-4scarichi%20t-max%20yamaha%20zard1.jpg</v>
      </c>
      <c r="AE42" t="b">
        <v>0</v>
      </c>
    </row>
    <row r="43" spans="1:31" x14ac:dyDescent="0.2">
      <c r="A43" t="str">
        <f t="shared" si="0"/>
        <v>https://shop.officineitalianezard.it/en/full-kit-zard-t-max-3/</v>
      </c>
      <c r="B43" t="b">
        <f>COUNTIF($A$2:$A43, A43)&gt;1</f>
        <v>1</v>
      </c>
      <c r="C43" t="b">
        <f t="shared" si="1"/>
        <v>0</v>
      </c>
      <c r="D43">
        <f>VLOOKUP(A43,variant_counts!A:B, 2, FALSE)</f>
        <v>3</v>
      </c>
      <c r="E43" t="str">
        <f t="shared" si="14"/>
        <v>zard-exhaust-full-kit-yamaha-t-max-08-11-conical-version-zy-092-skr</v>
      </c>
      <c r="F43" t="str">
        <f t="shared" si="2"/>
        <v>ZARD EXHAUST FULL KIT YAMAHA T-MAX 08-11 CONICAL VERSION ZY 092 SKR</v>
      </c>
      <c r="G43" t="str">
        <f t="shared" si="3"/>
        <v/>
      </c>
      <c r="H43" t="str">
        <f t="shared" si="15"/>
        <v/>
      </c>
      <c r="I43" t="str">
        <f t="shared" si="16"/>
        <v/>
      </c>
      <c r="J43" t="str">
        <f t="shared" si="17"/>
        <v/>
      </c>
      <c r="K43" t="str">
        <f t="shared" si="18"/>
        <v/>
      </c>
      <c r="L43" t="str">
        <f t="shared" si="4"/>
        <v/>
      </c>
      <c r="M43" t="str">
        <f t="shared" si="5"/>
        <v/>
      </c>
      <c r="R43" t="str">
        <f t="shared" si="6"/>
        <v/>
      </c>
      <c r="S43" t="str">
        <f t="shared" si="7"/>
        <v/>
      </c>
      <c r="U43" t="str">
        <f t="shared" si="8"/>
        <v/>
      </c>
      <c r="V43" t="str">
        <f t="shared" si="9"/>
        <v/>
      </c>
      <c r="W43" s="5" t="str">
        <f t="shared" si="10"/>
        <v/>
      </c>
      <c r="Y43" t="str">
        <f t="shared" si="11"/>
        <v/>
      </c>
      <c r="Z43" t="str">
        <f t="shared" si="12"/>
        <v/>
      </c>
      <c r="AB43" t="str">
        <f t="shared" si="13"/>
        <v>https://shop.officineitalianezard.it/contents/imgs/products/1_655-4scarichi%20t-max%20yamaha%20zard2.jpg</v>
      </c>
      <c r="AE43" t="b">
        <v>0</v>
      </c>
    </row>
    <row r="44" spans="1:31" x14ac:dyDescent="0.2">
      <c r="A44" t="str">
        <f t="shared" si="0"/>
        <v>https://shop.officineitalianezard.it/en/full-kit-zard-t-max-3/</v>
      </c>
      <c r="B44" t="b">
        <f>COUNTIF($A$2:$A44, A44)&gt;1</f>
        <v>1</v>
      </c>
      <c r="C44" t="b">
        <f t="shared" si="1"/>
        <v>0</v>
      </c>
      <c r="D44">
        <f>VLOOKUP(A44,variant_counts!A:B, 2, FALSE)</f>
        <v>3</v>
      </c>
      <c r="E44" t="str">
        <f t="shared" si="14"/>
        <v>zard-exhaust-full-kit-yamaha-t-max-08-11-conical-version-zy-092-skr</v>
      </c>
      <c r="F44" t="str">
        <f t="shared" si="2"/>
        <v>ZARD EXHAUST FULL KIT YAMAHA T-MAX 08-11 CONICAL VERSION ZY 092 SKR</v>
      </c>
      <c r="G44" t="str">
        <f t="shared" si="3"/>
        <v/>
      </c>
      <c r="H44" t="str">
        <f t="shared" si="15"/>
        <v/>
      </c>
      <c r="I44" t="str">
        <f t="shared" si="16"/>
        <v/>
      </c>
      <c r="J44" t="str">
        <f t="shared" si="17"/>
        <v/>
      </c>
      <c r="K44" t="str">
        <f t="shared" si="18"/>
        <v/>
      </c>
      <c r="L44" t="str">
        <f t="shared" si="4"/>
        <v/>
      </c>
      <c r="M44" t="str">
        <f t="shared" si="5"/>
        <v/>
      </c>
      <c r="R44" t="str">
        <f t="shared" si="6"/>
        <v/>
      </c>
      <c r="S44" t="str">
        <f t="shared" si="7"/>
        <v/>
      </c>
      <c r="U44" t="str">
        <f t="shared" si="8"/>
        <v/>
      </c>
      <c r="V44" t="str">
        <f t="shared" si="9"/>
        <v/>
      </c>
      <c r="W44" s="5" t="str">
        <f t="shared" si="10"/>
        <v/>
      </c>
      <c r="Y44" t="str">
        <f t="shared" si="11"/>
        <v/>
      </c>
      <c r="Z44" t="str">
        <f t="shared" si="12"/>
        <v/>
      </c>
      <c r="AB44" t="str">
        <f t="shared" si="13"/>
        <v>https://shop.officineitalianezard.it/contents/imgs/products/1_654-3scarichi%20t-max%20yamaha%20zard1.jpg</v>
      </c>
      <c r="AE44" t="b">
        <v>0</v>
      </c>
    </row>
    <row r="45" spans="1:31" x14ac:dyDescent="0.2">
      <c r="A45" t="str">
        <f t="shared" si="0"/>
        <v>https://shop.officineitalianezard.it/en/full-kit-zard-t-max-3/</v>
      </c>
      <c r="B45" t="b">
        <f>COUNTIF($A$2:$A45, A45)&gt;1</f>
        <v>1</v>
      </c>
      <c r="C45" t="b">
        <f t="shared" si="1"/>
        <v>0</v>
      </c>
      <c r="D45">
        <f>VLOOKUP(A45,variant_counts!A:B, 2, FALSE)</f>
        <v>3</v>
      </c>
      <c r="E45" t="str">
        <f t="shared" si="14"/>
        <v>zard-exhaust-full-kit-yamaha-t-max-08-11-conical-version-zy-092-skr</v>
      </c>
      <c r="F45" t="str">
        <f t="shared" si="2"/>
        <v>ZARD EXHAUST FULL KIT YAMAHA T-MAX 08-11 CONICAL VERSION ZY 092 SKR</v>
      </c>
      <c r="G45" t="str">
        <f t="shared" si="3"/>
        <v/>
      </c>
      <c r="H45" t="str">
        <f t="shared" si="15"/>
        <v/>
      </c>
      <c r="I45" t="str">
        <f t="shared" si="16"/>
        <v/>
      </c>
      <c r="J45" t="str">
        <f t="shared" si="17"/>
        <v/>
      </c>
      <c r="K45" t="str">
        <f t="shared" si="18"/>
        <v/>
      </c>
      <c r="L45" t="str">
        <f t="shared" si="4"/>
        <v/>
      </c>
      <c r="M45" t="str">
        <f t="shared" si="5"/>
        <v/>
      </c>
      <c r="R45" t="str">
        <f t="shared" si="6"/>
        <v/>
      </c>
      <c r="S45" t="str">
        <f t="shared" si="7"/>
        <v/>
      </c>
      <c r="U45" t="str">
        <f t="shared" si="8"/>
        <v/>
      </c>
      <c r="V45" t="str">
        <f t="shared" si="9"/>
        <v/>
      </c>
      <c r="W45" s="5" t="str">
        <f t="shared" si="10"/>
        <v/>
      </c>
      <c r="Y45" t="str">
        <f t="shared" si="11"/>
        <v/>
      </c>
      <c r="Z45" t="str">
        <f t="shared" si="12"/>
        <v/>
      </c>
      <c r="AB45" t="str">
        <f t="shared" si="13"/>
        <v>https://shop.officineitalianezard.it/contents/imgs/products/1_895-YAMAHA%20T-MAX%20BIANCO%20002.jpg</v>
      </c>
      <c r="AE45" t="b">
        <v>0</v>
      </c>
    </row>
    <row r="46" spans="1:31" x14ac:dyDescent="0.2">
      <c r="A46" t="str">
        <f t="shared" si="0"/>
        <v>https://shop.officineitalianezard.it/en/full-kit-zard-t-max-3/</v>
      </c>
      <c r="B46" t="b">
        <f>COUNTIF($A$2:$A46, A46)&gt;1</f>
        <v>1</v>
      </c>
      <c r="C46" t="b">
        <f t="shared" si="1"/>
        <v>0</v>
      </c>
      <c r="D46">
        <f>VLOOKUP(A46,variant_counts!A:B, 2, FALSE)</f>
        <v>3</v>
      </c>
      <c r="E46" t="str">
        <f t="shared" si="14"/>
        <v>zard-exhaust-full-kit-yamaha-t-max-08-11-conical-version-zy-092-skr</v>
      </c>
      <c r="F46" t="str">
        <f t="shared" si="2"/>
        <v>ZARD EXHAUST FULL KIT YAMAHA T-MAX 08-11 CONICAL VERSION ZY 092 SKR</v>
      </c>
      <c r="G46" t="str">
        <f t="shared" si="3"/>
        <v/>
      </c>
      <c r="H46" t="str">
        <f t="shared" si="15"/>
        <v/>
      </c>
      <c r="I46" t="str">
        <f t="shared" si="16"/>
        <v/>
      </c>
      <c r="J46" t="str">
        <f t="shared" si="17"/>
        <v/>
      </c>
      <c r="K46" t="str">
        <f t="shared" si="18"/>
        <v/>
      </c>
      <c r="L46" t="str">
        <f t="shared" si="4"/>
        <v/>
      </c>
      <c r="M46" t="str">
        <f t="shared" si="5"/>
        <v/>
      </c>
      <c r="R46" t="str">
        <f t="shared" si="6"/>
        <v/>
      </c>
      <c r="S46" t="str">
        <f t="shared" si="7"/>
        <v/>
      </c>
      <c r="U46" t="str">
        <f t="shared" si="8"/>
        <v/>
      </c>
      <c r="V46" t="str">
        <f t="shared" si="9"/>
        <v/>
      </c>
      <c r="W46" s="5" t="str">
        <f t="shared" si="10"/>
        <v/>
      </c>
      <c r="Y46" t="str">
        <f t="shared" si="11"/>
        <v/>
      </c>
      <c r="Z46" t="str">
        <f t="shared" si="12"/>
        <v/>
      </c>
      <c r="AB46" t="str">
        <f t="shared" si="13"/>
        <v>https://shop.officineitalianezard.it/contents/imgs/products/1_896-nero.jpg</v>
      </c>
      <c r="AE46" t="b">
        <v>0</v>
      </c>
    </row>
    <row r="47" spans="1:31" x14ac:dyDescent="0.2">
      <c r="A47" t="str">
        <f t="shared" si="0"/>
        <v>https://shop.officineitalianezard.it/en/full-kit-zard-t-max-3/</v>
      </c>
      <c r="B47" t="b">
        <f>COUNTIF($A$2:$A47, A47)&gt;1</f>
        <v>1</v>
      </c>
      <c r="C47" t="b">
        <f t="shared" si="1"/>
        <v>0</v>
      </c>
      <c r="D47">
        <f>VLOOKUP(A47,variant_counts!A:B, 2, FALSE)</f>
        <v>3</v>
      </c>
      <c r="E47" t="str">
        <f t="shared" si="14"/>
        <v>zard-exhaust-full-kit-yamaha-t-max-08-11-conical-version-zy-092-skr</v>
      </c>
      <c r="F47" t="str">
        <f t="shared" si="2"/>
        <v>ZARD EXHAUST FULL KIT YAMAHA T-MAX 08-11 CONICAL VERSION ZY 092 SKR</v>
      </c>
      <c r="G47" t="str">
        <f t="shared" si="3"/>
        <v/>
      </c>
      <c r="H47" t="str">
        <f t="shared" si="15"/>
        <v/>
      </c>
      <c r="I47" t="str">
        <f t="shared" si="16"/>
        <v/>
      </c>
      <c r="J47" t="str">
        <f t="shared" si="17"/>
        <v/>
      </c>
      <c r="K47" t="str">
        <f t="shared" si="18"/>
        <v/>
      </c>
      <c r="L47" t="str">
        <f t="shared" si="4"/>
        <v/>
      </c>
      <c r="M47" t="str">
        <f t="shared" si="5"/>
        <v/>
      </c>
      <c r="R47" t="str">
        <f t="shared" si="6"/>
        <v/>
      </c>
      <c r="S47" t="str">
        <f t="shared" si="7"/>
        <v/>
      </c>
      <c r="U47" t="str">
        <f t="shared" si="8"/>
        <v/>
      </c>
      <c r="V47" t="str">
        <f t="shared" si="9"/>
        <v/>
      </c>
      <c r="W47" s="5" t="str">
        <f t="shared" si="10"/>
        <v/>
      </c>
      <c r="Y47" t="str">
        <f t="shared" si="11"/>
        <v/>
      </c>
      <c r="Z47" t="str">
        <f t="shared" si="12"/>
        <v/>
      </c>
      <c r="AB47" t="str">
        <f t="shared" si="13"/>
        <v>https://shop.officineitalianezard.it/contents/imgs/products/1_898-1scarichi%20t-max%20yamaha%20zard1.jpg</v>
      </c>
      <c r="AE47" t="b">
        <v>0</v>
      </c>
    </row>
    <row r="48" spans="1:31" x14ac:dyDescent="0.2">
      <c r="A48" t="str">
        <f t="shared" si="0"/>
        <v>https://shop.officineitalianezard.it/en/full-kit-zard-t-max-3/</v>
      </c>
      <c r="B48" t="b">
        <f>COUNTIF($A$2:$A48, A48)&gt;1</f>
        <v>1</v>
      </c>
      <c r="C48" t="b">
        <f t="shared" si="1"/>
        <v>0</v>
      </c>
      <c r="D48">
        <f>VLOOKUP(A48,variant_counts!A:B, 2, FALSE)</f>
        <v>3</v>
      </c>
      <c r="E48" t="str">
        <f t="shared" si="14"/>
        <v>zard-exhaust-full-kit-yamaha-t-max-08-11-conical-version-zy-092-skr</v>
      </c>
      <c r="F48" t="str">
        <f t="shared" si="2"/>
        <v>ZARD EXHAUST FULL KIT YAMAHA T-MAX 08-11 CONICAL VERSION ZY 092 SKR</v>
      </c>
      <c r="G48" t="str">
        <f t="shared" si="3"/>
        <v/>
      </c>
      <c r="H48" t="str">
        <f t="shared" si="15"/>
        <v/>
      </c>
      <c r="I48" t="str">
        <f t="shared" si="16"/>
        <v/>
      </c>
      <c r="J48" t="str">
        <f t="shared" si="17"/>
        <v/>
      </c>
      <c r="K48" t="str">
        <f t="shared" si="18"/>
        <v/>
      </c>
      <c r="L48" t="str">
        <f t="shared" si="4"/>
        <v/>
      </c>
      <c r="M48" t="str">
        <f t="shared" si="5"/>
        <v/>
      </c>
      <c r="R48" t="str">
        <f t="shared" si="6"/>
        <v/>
      </c>
      <c r="S48" t="str">
        <f t="shared" si="7"/>
        <v/>
      </c>
      <c r="U48" t="str">
        <f t="shared" si="8"/>
        <v/>
      </c>
      <c r="V48" t="str">
        <f t="shared" si="9"/>
        <v/>
      </c>
      <c r="W48" s="5" t="str">
        <f t="shared" si="10"/>
        <v/>
      </c>
      <c r="Y48" t="str">
        <f t="shared" si="11"/>
        <v/>
      </c>
      <c r="Z48" t="str">
        <f t="shared" si="12"/>
        <v/>
      </c>
      <c r="AB48" t="str">
        <f t="shared" si="13"/>
        <v>https://shop.officineitalianezard.it/contents/imgs/products/1_899-3scarichi%20t-max%20yamaha%20zard2.jpg</v>
      </c>
      <c r="AE48" t="b">
        <v>0</v>
      </c>
    </row>
    <row r="49" spans="1:31" x14ac:dyDescent="0.2">
      <c r="A49" t="str">
        <f t="shared" si="0"/>
        <v>https://shop.officineitalianezard.it/en/full-kit-zard-t-max-3/</v>
      </c>
      <c r="B49" t="b">
        <f>COUNTIF($A$2:$A49, A49)&gt;1</f>
        <v>1</v>
      </c>
      <c r="C49" t="b">
        <f t="shared" si="1"/>
        <v>1</v>
      </c>
      <c r="D49">
        <f>VLOOKUP(A49,variant_counts!A:B, 2, FALSE)</f>
        <v>3</v>
      </c>
      <c r="E49" t="str">
        <f t="shared" si="14"/>
        <v>zard-exhaust-full-kit-yamaha-t-max-08-11-conical-version-zy-092-skr</v>
      </c>
      <c r="F49" t="str">
        <f t="shared" si="2"/>
        <v>ZARD EXHAUST FULL KIT YAMAHA T-MAX 08-11 CONICAL VERSION ZY 092 SKR</v>
      </c>
      <c r="G49" t="str">
        <f t="shared" si="3"/>
        <v/>
      </c>
      <c r="H49" t="str">
        <f t="shared" si="15"/>
        <v/>
      </c>
      <c r="I49" t="str">
        <f t="shared" si="16"/>
        <v/>
      </c>
      <c r="J49" t="str">
        <f t="shared" si="17"/>
        <v/>
      </c>
      <c r="K49" t="str">
        <f t="shared" si="18"/>
        <v/>
      </c>
      <c r="L49" t="str">
        <f t="shared" si="4"/>
        <v>Option</v>
      </c>
      <c r="M49" t="str">
        <f t="shared" si="5"/>
        <v>EURO 3 HOMOLOGATED</v>
      </c>
      <c r="R49" t="str">
        <f t="shared" si="6"/>
        <v>ZY 092 SKR</v>
      </c>
      <c r="S49">
        <f t="shared" si="7"/>
        <v>0</v>
      </c>
      <c r="U49" t="str">
        <f t="shared" si="8"/>
        <v>continue</v>
      </c>
      <c r="V49" t="str">
        <f t="shared" si="9"/>
        <v>manual</v>
      </c>
      <c r="W49" s="5">
        <f t="shared" si="10"/>
        <v>721.0449000000001</v>
      </c>
      <c r="Y49" t="b">
        <f t="shared" si="11"/>
        <v>1</v>
      </c>
      <c r="Z49" t="b">
        <f t="shared" si="12"/>
        <v>0</v>
      </c>
      <c r="AB49" t="str">
        <f t="shared" si="13"/>
        <v/>
      </c>
      <c r="AE49" t="b">
        <v>0</v>
      </c>
    </row>
    <row r="50" spans="1:31" x14ac:dyDescent="0.2">
      <c r="A50" t="str">
        <f t="shared" si="0"/>
        <v>https://shop.officineitalianezard.it/en/full-kit-zard-t-max-3/</v>
      </c>
      <c r="B50" t="b">
        <f>COUNTIF($A$2:$A50, A50)&gt;1</f>
        <v>1</v>
      </c>
      <c r="C50" t="b">
        <f t="shared" si="1"/>
        <v>1</v>
      </c>
      <c r="D50">
        <f>VLOOKUP(A50,variant_counts!A:B, 2, FALSE)</f>
        <v>3</v>
      </c>
      <c r="E50" t="str">
        <f t="shared" si="14"/>
        <v>zard-exhaust-full-kit-yamaha-t-max-08-11-conical-version-zy-092-skr</v>
      </c>
      <c r="F50" t="str">
        <f t="shared" si="2"/>
        <v>ZARD EXHAUST FULL KIT YAMAHA T-MAX 08-11 CONICAL VERSION ZY 092 SKR</v>
      </c>
      <c r="G50" t="str">
        <f t="shared" si="3"/>
        <v/>
      </c>
      <c r="H50" t="str">
        <f t="shared" si="15"/>
        <v/>
      </c>
      <c r="I50" t="str">
        <f t="shared" si="16"/>
        <v/>
      </c>
      <c r="J50" t="str">
        <f t="shared" si="17"/>
        <v/>
      </c>
      <c r="K50" t="str">
        <f t="shared" si="18"/>
        <v/>
      </c>
      <c r="L50" t="str">
        <f t="shared" si="4"/>
        <v>Option</v>
      </c>
      <c r="M50" t="str">
        <f t="shared" si="5"/>
        <v>BLACK COATING</v>
      </c>
      <c r="R50" t="str">
        <f t="shared" si="6"/>
        <v>ZY 092 SKR</v>
      </c>
      <c r="S50">
        <f t="shared" si="7"/>
        <v>0</v>
      </c>
      <c r="U50" t="str">
        <f t="shared" si="8"/>
        <v>continue</v>
      </c>
      <c r="V50" t="str">
        <f t="shared" si="9"/>
        <v>manual</v>
      </c>
      <c r="W50" s="5">
        <f t="shared" si="10"/>
        <v>815.20620000000008</v>
      </c>
      <c r="Y50" t="b">
        <f t="shared" si="11"/>
        <v>1</v>
      </c>
      <c r="Z50" t="b">
        <f t="shared" si="12"/>
        <v>0</v>
      </c>
      <c r="AB50" t="str">
        <f t="shared" si="13"/>
        <v/>
      </c>
      <c r="AE50" t="b">
        <v>0</v>
      </c>
    </row>
    <row r="51" spans="1:31" x14ac:dyDescent="0.2">
      <c r="A51" t="str">
        <f t="shared" si="0"/>
        <v>https://shop.officineitalianezard.it/en/full-kit-zard-t-max-3/</v>
      </c>
      <c r="B51" t="b">
        <f>COUNTIF($A$2:$A51, A51)&gt;1</f>
        <v>1</v>
      </c>
      <c r="C51" t="b">
        <f t="shared" si="1"/>
        <v>1</v>
      </c>
      <c r="D51">
        <f>VLOOKUP(A51,variant_counts!A:B, 2, FALSE)</f>
        <v>3</v>
      </c>
      <c r="E51" t="str">
        <f t="shared" si="14"/>
        <v>zard-exhaust-full-kit-yamaha-t-max-08-11-conical-version-zy-092-skr</v>
      </c>
      <c r="F51" t="str">
        <f t="shared" si="2"/>
        <v>ZARD EXHAUST FULL KIT YAMAHA T-MAX 08-11 CONICAL VERSION ZY 092 SKR</v>
      </c>
      <c r="G51" t="str">
        <f t="shared" si="3"/>
        <v/>
      </c>
      <c r="H51" t="str">
        <f t="shared" si="15"/>
        <v/>
      </c>
      <c r="I51" t="str">
        <f t="shared" si="16"/>
        <v/>
      </c>
      <c r="J51" t="str">
        <f t="shared" si="17"/>
        <v/>
      </c>
      <c r="K51" t="str">
        <f t="shared" si="18"/>
        <v/>
      </c>
      <c r="L51" t="str">
        <f t="shared" si="4"/>
        <v>Option</v>
      </c>
      <c r="M51" t="str">
        <f t="shared" si="5"/>
        <v>STEEL HEADERS KIT + TITANIUM SIL.</v>
      </c>
      <c r="R51" t="str">
        <f t="shared" si="6"/>
        <v>ZY 092 SKR</v>
      </c>
      <c r="S51">
        <f t="shared" si="7"/>
        <v>0</v>
      </c>
      <c r="U51" t="str">
        <f t="shared" si="8"/>
        <v>continue</v>
      </c>
      <c r="V51" t="str">
        <f t="shared" si="9"/>
        <v>manual</v>
      </c>
      <c r="W51" s="5">
        <f t="shared" si="10"/>
        <v>721.0449000000001</v>
      </c>
      <c r="Y51" t="b">
        <f t="shared" si="11"/>
        <v>1</v>
      </c>
      <c r="Z51" t="b">
        <f t="shared" si="12"/>
        <v>0</v>
      </c>
      <c r="AB51" t="str">
        <f t="shared" si="13"/>
        <v/>
      </c>
      <c r="AE51" t="b">
        <v>0</v>
      </c>
    </row>
    <row r="52" spans="1:31" x14ac:dyDescent="0.2">
      <c r="A52" t="str">
        <f t="shared" si="0"/>
        <v>https://shop.officineitalianezard.it/en/full-kit-zard-t-max-2/</v>
      </c>
      <c r="B52" t="b">
        <f>COUNTIF($A$2:$A52, A52)&gt;1</f>
        <v>0</v>
      </c>
      <c r="C52" t="b">
        <f t="shared" si="1"/>
        <v>0</v>
      </c>
      <c r="D52">
        <f>VLOOKUP(A52,variant_counts!A:B, 2, FALSE)</f>
        <v>3</v>
      </c>
      <c r="E52" t="str">
        <f t="shared" si="14"/>
        <v>zard-exhaust-full-kit-yamaha-t-max-04-07-conical-version-zy-091-skr</v>
      </c>
      <c r="F52" t="str">
        <f t="shared" si="2"/>
        <v>ZARD EXHAUST FULL KIT YAMAHA T-MAX 04-07 CONICAL VERSION ZY 091 SKR</v>
      </c>
      <c r="G52" t="str">
        <f t="shared" si="3"/>
        <v>&lt;p&gt;STEEL FULL KIT RACING WITH REMOVABLE DB KILLER&lt;/p&gt;
&lt;p&gt;ZARD FULL KIT STEEL-TITANIUM WEIGHT: 2.1 KG&lt;br&gt;ZARD FULL KIT STEEL WEIGHT: 3.5 KG&lt;/p&gt;
&lt;p&gt;HARD INCREASE, COMPARED TO THE ORIGINAL EXHAUST SYSTEM, IN TERMS OF TORQUE AND POWER AT ANY RANGE&lt;/p&gt;
&lt;p&gt;ASTONISHING SOUND&lt;/p&gt;</v>
      </c>
      <c r="H52" t="str">
        <f t="shared" si="15"/>
        <v>ZARD</v>
      </c>
      <c r="I52" t="str">
        <f t="shared" si="16"/>
        <v>Exhaust Pipe</v>
      </c>
      <c r="J52" t="str">
        <f t="shared" si="17"/>
        <v>Test</v>
      </c>
      <c r="K52" t="b">
        <f t="shared" si="18"/>
        <v>0</v>
      </c>
      <c r="L52" t="str">
        <f t="shared" si="4"/>
        <v/>
      </c>
      <c r="M52" t="str">
        <f t="shared" si="5"/>
        <v/>
      </c>
      <c r="R52" t="str">
        <f t="shared" si="6"/>
        <v/>
      </c>
      <c r="S52" t="str">
        <f t="shared" si="7"/>
        <v/>
      </c>
      <c r="U52" t="str">
        <f t="shared" si="8"/>
        <v/>
      </c>
      <c r="V52" t="str">
        <f t="shared" si="9"/>
        <v/>
      </c>
      <c r="W52" s="5" t="str">
        <f t="shared" si="10"/>
        <v/>
      </c>
      <c r="Y52" t="str">
        <f t="shared" si="11"/>
        <v/>
      </c>
      <c r="Z52" t="str">
        <f t="shared" si="12"/>
        <v/>
      </c>
      <c r="AB52" t="str">
        <f t="shared" si="13"/>
        <v>https://shop.officineitalianezard.it/contents/imgs/products/1_646-2scarichi%20t-max%20yamaha%20zard2.jpg</v>
      </c>
      <c r="AE52" t="b">
        <v>0</v>
      </c>
    </row>
    <row r="53" spans="1:31" x14ac:dyDescent="0.2">
      <c r="A53" t="str">
        <f t="shared" si="0"/>
        <v>https://shop.officineitalianezard.it/en/full-kit-zard-t-max-2/</v>
      </c>
      <c r="B53" t="b">
        <f>COUNTIF($A$2:$A53, A53)&gt;1</f>
        <v>1</v>
      </c>
      <c r="C53" t="b">
        <f t="shared" si="1"/>
        <v>0</v>
      </c>
      <c r="D53">
        <f>VLOOKUP(A53,variant_counts!A:B, 2, FALSE)</f>
        <v>3</v>
      </c>
      <c r="E53" t="str">
        <f t="shared" si="14"/>
        <v>zard-exhaust-full-kit-yamaha-t-max-04-07-conical-version-zy-091-skr</v>
      </c>
      <c r="F53" t="str">
        <f t="shared" si="2"/>
        <v>ZARD EXHAUST FULL KIT YAMAHA T-MAX 04-07 CONICAL VERSION ZY 091 SKR</v>
      </c>
      <c r="G53" t="str">
        <f t="shared" si="3"/>
        <v/>
      </c>
      <c r="H53" t="str">
        <f t="shared" si="15"/>
        <v/>
      </c>
      <c r="I53" t="str">
        <f t="shared" si="16"/>
        <v/>
      </c>
      <c r="J53" t="str">
        <f t="shared" si="17"/>
        <v/>
      </c>
      <c r="K53" t="str">
        <f t="shared" si="18"/>
        <v/>
      </c>
      <c r="L53" t="str">
        <f t="shared" si="4"/>
        <v/>
      </c>
      <c r="M53" t="str">
        <f t="shared" si="5"/>
        <v/>
      </c>
      <c r="R53" t="str">
        <f t="shared" si="6"/>
        <v/>
      </c>
      <c r="S53" t="str">
        <f t="shared" si="7"/>
        <v/>
      </c>
      <c r="U53" t="str">
        <f t="shared" si="8"/>
        <v/>
      </c>
      <c r="V53" t="str">
        <f t="shared" si="9"/>
        <v/>
      </c>
      <c r="W53" s="5" t="str">
        <f t="shared" si="10"/>
        <v/>
      </c>
      <c r="Y53" t="str">
        <f t="shared" si="11"/>
        <v/>
      </c>
      <c r="Z53" t="str">
        <f t="shared" si="12"/>
        <v/>
      </c>
      <c r="AB53" t="str">
        <f t="shared" si="13"/>
        <v>https://shop.officineitalianezard.it/contents/imgs/products/1_648-2scarichi%20t-max%20yamaha%20zard1.jpg</v>
      </c>
      <c r="AE53" t="b">
        <v>0</v>
      </c>
    </row>
    <row r="54" spans="1:31" x14ac:dyDescent="0.2">
      <c r="A54" t="str">
        <f t="shared" si="0"/>
        <v>https://shop.officineitalianezard.it/en/full-kit-zard-t-max-2/</v>
      </c>
      <c r="B54" t="b">
        <f>COUNTIF($A$2:$A54, A54)&gt;1</f>
        <v>1</v>
      </c>
      <c r="C54" t="b">
        <f t="shared" si="1"/>
        <v>0</v>
      </c>
      <c r="D54">
        <f>VLOOKUP(A54,variant_counts!A:B, 2, FALSE)</f>
        <v>3</v>
      </c>
      <c r="E54" t="str">
        <f t="shared" si="14"/>
        <v>zard-exhaust-full-kit-yamaha-t-max-04-07-conical-version-zy-091-skr</v>
      </c>
      <c r="F54" t="str">
        <f t="shared" si="2"/>
        <v>ZARD EXHAUST FULL KIT YAMAHA T-MAX 04-07 CONICAL VERSION ZY 091 SKR</v>
      </c>
      <c r="G54" t="str">
        <f t="shared" si="3"/>
        <v/>
      </c>
      <c r="H54" t="str">
        <f t="shared" si="15"/>
        <v/>
      </c>
      <c r="I54" t="str">
        <f t="shared" si="16"/>
        <v/>
      </c>
      <c r="J54" t="str">
        <f t="shared" si="17"/>
        <v/>
      </c>
      <c r="K54" t="str">
        <f t="shared" si="18"/>
        <v/>
      </c>
      <c r="L54" t="str">
        <f t="shared" si="4"/>
        <v/>
      </c>
      <c r="M54" t="str">
        <f t="shared" si="5"/>
        <v/>
      </c>
      <c r="R54" t="str">
        <f t="shared" si="6"/>
        <v/>
      </c>
      <c r="S54" t="str">
        <f t="shared" si="7"/>
        <v/>
      </c>
      <c r="U54" t="str">
        <f t="shared" si="8"/>
        <v/>
      </c>
      <c r="V54" t="str">
        <f t="shared" si="9"/>
        <v/>
      </c>
      <c r="W54" s="5" t="str">
        <f t="shared" si="10"/>
        <v/>
      </c>
      <c r="Y54" t="str">
        <f t="shared" si="11"/>
        <v/>
      </c>
      <c r="Z54" t="str">
        <f t="shared" si="12"/>
        <v/>
      </c>
      <c r="AB54" t="str">
        <f t="shared" si="13"/>
        <v>https://shop.officineitalianezard.it/contents/imgs/products/1_649-3scarichi%20t-max%20yamaha%20zard1.jpg</v>
      </c>
      <c r="AE54" t="b">
        <v>0</v>
      </c>
    </row>
    <row r="55" spans="1:31" x14ac:dyDescent="0.2">
      <c r="A55" t="str">
        <f t="shared" si="0"/>
        <v>https://shop.officineitalianezard.it/en/full-kit-zard-t-max-2/</v>
      </c>
      <c r="B55" t="b">
        <f>COUNTIF($A$2:$A55, A55)&gt;1</f>
        <v>1</v>
      </c>
      <c r="C55" t="b">
        <f t="shared" si="1"/>
        <v>0</v>
      </c>
      <c r="D55">
        <f>VLOOKUP(A55,variant_counts!A:B, 2, FALSE)</f>
        <v>3</v>
      </c>
      <c r="E55" t="str">
        <f t="shared" si="14"/>
        <v>zard-exhaust-full-kit-yamaha-t-max-04-07-conical-version-zy-091-skr</v>
      </c>
      <c r="F55" t="str">
        <f t="shared" si="2"/>
        <v>ZARD EXHAUST FULL KIT YAMAHA T-MAX 04-07 CONICAL VERSION ZY 091 SKR</v>
      </c>
      <c r="G55" t="str">
        <f t="shared" si="3"/>
        <v/>
      </c>
      <c r="H55" t="str">
        <f t="shared" si="15"/>
        <v/>
      </c>
      <c r="I55" t="str">
        <f t="shared" si="16"/>
        <v/>
      </c>
      <c r="J55" t="str">
        <f t="shared" si="17"/>
        <v/>
      </c>
      <c r="K55" t="str">
        <f t="shared" si="18"/>
        <v/>
      </c>
      <c r="L55" t="str">
        <f t="shared" si="4"/>
        <v/>
      </c>
      <c r="M55" t="str">
        <f t="shared" si="5"/>
        <v/>
      </c>
      <c r="R55" t="str">
        <f t="shared" si="6"/>
        <v/>
      </c>
      <c r="S55" t="str">
        <f t="shared" si="7"/>
        <v/>
      </c>
      <c r="U55" t="str">
        <f t="shared" si="8"/>
        <v/>
      </c>
      <c r="V55" t="str">
        <f t="shared" si="9"/>
        <v/>
      </c>
      <c r="W55" s="5" t="str">
        <f t="shared" si="10"/>
        <v/>
      </c>
      <c r="Y55" t="str">
        <f t="shared" si="11"/>
        <v/>
      </c>
      <c r="Z55" t="str">
        <f t="shared" si="12"/>
        <v/>
      </c>
      <c r="AB55" t="str">
        <f t="shared" si="13"/>
        <v>https://shop.officineitalianezard.it/contents/imgs/products/1_894-YAMAHA%20T-MAX%20BIANCO%20002.jpg</v>
      </c>
      <c r="AE55" t="b">
        <v>0</v>
      </c>
    </row>
    <row r="56" spans="1:31" x14ac:dyDescent="0.2">
      <c r="A56" t="str">
        <f t="shared" si="0"/>
        <v>https://shop.officineitalianezard.it/en/full-kit-zard-t-max-2/</v>
      </c>
      <c r="B56" t="b">
        <f>COUNTIF($A$2:$A56, A56)&gt;1</f>
        <v>1</v>
      </c>
      <c r="C56" t="b">
        <f t="shared" si="1"/>
        <v>0</v>
      </c>
      <c r="D56">
        <f>VLOOKUP(A56,variant_counts!A:B, 2, FALSE)</f>
        <v>3</v>
      </c>
      <c r="E56" t="str">
        <f t="shared" si="14"/>
        <v>zard-exhaust-full-kit-yamaha-t-max-04-07-conical-version-zy-091-skr</v>
      </c>
      <c r="F56" t="str">
        <f t="shared" si="2"/>
        <v>ZARD EXHAUST FULL KIT YAMAHA T-MAX 04-07 CONICAL VERSION ZY 091 SKR</v>
      </c>
      <c r="G56" t="str">
        <f t="shared" si="3"/>
        <v/>
      </c>
      <c r="H56" t="str">
        <f t="shared" si="15"/>
        <v/>
      </c>
      <c r="I56" t="str">
        <f t="shared" si="16"/>
        <v/>
      </c>
      <c r="J56" t="str">
        <f t="shared" si="17"/>
        <v/>
      </c>
      <c r="K56" t="str">
        <f t="shared" si="18"/>
        <v/>
      </c>
      <c r="L56" t="str">
        <f t="shared" si="4"/>
        <v/>
      </c>
      <c r="M56" t="str">
        <f t="shared" si="5"/>
        <v/>
      </c>
      <c r="R56" t="str">
        <f t="shared" si="6"/>
        <v/>
      </c>
      <c r="S56" t="str">
        <f t="shared" si="7"/>
        <v/>
      </c>
      <c r="U56" t="str">
        <f t="shared" si="8"/>
        <v/>
      </c>
      <c r="V56" t="str">
        <f t="shared" si="9"/>
        <v/>
      </c>
      <c r="W56" s="5" t="str">
        <f t="shared" si="10"/>
        <v/>
      </c>
      <c r="Y56" t="str">
        <f t="shared" si="11"/>
        <v/>
      </c>
      <c r="Z56" t="str">
        <f t="shared" si="12"/>
        <v/>
      </c>
      <c r="AB56" t="str">
        <f t="shared" si="13"/>
        <v>https://shop.officineitalianezard.it/contents/imgs/products/1_893-nero.jpg</v>
      </c>
      <c r="AE56" t="b">
        <v>0</v>
      </c>
    </row>
    <row r="57" spans="1:31" x14ac:dyDescent="0.2">
      <c r="A57" t="str">
        <f t="shared" si="0"/>
        <v>https://shop.officineitalianezard.it/en/full-kit-zard-t-max-2/</v>
      </c>
      <c r="B57" t="b">
        <f>COUNTIF($A$2:$A57, A57)&gt;1</f>
        <v>1</v>
      </c>
      <c r="C57" t="b">
        <f t="shared" si="1"/>
        <v>1</v>
      </c>
      <c r="D57">
        <f>VLOOKUP(A57,variant_counts!A:B, 2, FALSE)</f>
        <v>3</v>
      </c>
      <c r="E57" t="str">
        <f t="shared" si="14"/>
        <v>zard-exhaust-full-kit-yamaha-t-max-04-07-conical-version-zy-091-skr</v>
      </c>
      <c r="F57" t="str">
        <f t="shared" si="2"/>
        <v>ZARD EXHAUST FULL KIT YAMAHA T-MAX 04-07 CONICAL VERSION ZY 091 SKR</v>
      </c>
      <c r="G57" t="str">
        <f t="shared" si="3"/>
        <v/>
      </c>
      <c r="H57" t="str">
        <f t="shared" si="15"/>
        <v/>
      </c>
      <c r="I57" t="str">
        <f t="shared" si="16"/>
        <v/>
      </c>
      <c r="J57" t="str">
        <f t="shared" si="17"/>
        <v/>
      </c>
      <c r="K57" t="str">
        <f t="shared" si="18"/>
        <v/>
      </c>
      <c r="L57" t="str">
        <f t="shared" si="4"/>
        <v>Option</v>
      </c>
      <c r="M57" t="str">
        <f t="shared" si="5"/>
        <v>EURO 3 HOMOLOGATED</v>
      </c>
      <c r="R57" t="str">
        <f t="shared" si="6"/>
        <v>ZY 091 SKR</v>
      </c>
      <c r="S57">
        <f t="shared" si="7"/>
        <v>0</v>
      </c>
      <c r="U57" t="str">
        <f t="shared" si="8"/>
        <v>continue</v>
      </c>
      <c r="V57" t="str">
        <f t="shared" si="9"/>
        <v>manual</v>
      </c>
      <c r="W57" s="5">
        <f t="shared" si="10"/>
        <v>721.0449000000001</v>
      </c>
      <c r="Y57" t="b">
        <f t="shared" si="11"/>
        <v>1</v>
      </c>
      <c r="Z57" t="b">
        <f t="shared" si="12"/>
        <v>0</v>
      </c>
      <c r="AB57" t="str">
        <f t="shared" si="13"/>
        <v/>
      </c>
      <c r="AE57" t="b">
        <v>0</v>
      </c>
    </row>
    <row r="58" spans="1:31" x14ac:dyDescent="0.2">
      <c r="A58" t="str">
        <f t="shared" si="0"/>
        <v>https://shop.officineitalianezard.it/en/full-kit-zard-t-max-2/</v>
      </c>
      <c r="B58" t="b">
        <f>COUNTIF($A$2:$A58, A58)&gt;1</f>
        <v>1</v>
      </c>
      <c r="C58" t="b">
        <f t="shared" si="1"/>
        <v>1</v>
      </c>
      <c r="D58">
        <f>VLOOKUP(A58,variant_counts!A:B, 2, FALSE)</f>
        <v>3</v>
      </c>
      <c r="E58" t="str">
        <f t="shared" si="14"/>
        <v>zard-exhaust-full-kit-yamaha-t-max-04-07-conical-version-zy-091-skr</v>
      </c>
      <c r="F58" t="str">
        <f t="shared" si="2"/>
        <v>ZARD EXHAUST FULL KIT YAMAHA T-MAX 04-07 CONICAL VERSION ZY 091 SKR</v>
      </c>
      <c r="G58" t="str">
        <f t="shared" si="3"/>
        <v/>
      </c>
      <c r="H58" t="str">
        <f t="shared" si="15"/>
        <v/>
      </c>
      <c r="I58" t="str">
        <f t="shared" si="16"/>
        <v/>
      </c>
      <c r="J58" t="str">
        <f t="shared" si="17"/>
        <v/>
      </c>
      <c r="K58" t="str">
        <f t="shared" si="18"/>
        <v/>
      </c>
      <c r="L58" t="str">
        <f t="shared" si="4"/>
        <v>Option</v>
      </c>
      <c r="M58" t="str">
        <f t="shared" si="5"/>
        <v>BLACK COATING</v>
      </c>
      <c r="R58" t="str">
        <f t="shared" si="6"/>
        <v>ZY 091 SKR</v>
      </c>
      <c r="S58">
        <f t="shared" si="7"/>
        <v>0</v>
      </c>
      <c r="U58" t="str">
        <f t="shared" si="8"/>
        <v>continue</v>
      </c>
      <c r="V58" t="str">
        <f t="shared" si="9"/>
        <v>manual</v>
      </c>
      <c r="W58" s="5">
        <f t="shared" si="10"/>
        <v>815.20620000000008</v>
      </c>
      <c r="Y58" t="b">
        <f t="shared" si="11"/>
        <v>1</v>
      </c>
      <c r="Z58" t="b">
        <f t="shared" si="12"/>
        <v>0</v>
      </c>
      <c r="AB58" t="str">
        <f t="shared" si="13"/>
        <v/>
      </c>
      <c r="AE58" t="b">
        <v>0</v>
      </c>
    </row>
    <row r="59" spans="1:31" x14ac:dyDescent="0.2">
      <c r="A59" t="str">
        <f t="shared" si="0"/>
        <v>https://shop.officineitalianezard.it/en/full-kit-zard-t-max-2/</v>
      </c>
      <c r="B59" t="b">
        <f>COUNTIF($A$2:$A59, A59)&gt;1</f>
        <v>1</v>
      </c>
      <c r="C59" t="b">
        <f t="shared" si="1"/>
        <v>1</v>
      </c>
      <c r="D59">
        <f>VLOOKUP(A59,variant_counts!A:B, 2, FALSE)</f>
        <v>3</v>
      </c>
      <c r="E59" t="str">
        <f t="shared" si="14"/>
        <v>zard-exhaust-full-kit-yamaha-t-max-04-07-conical-version-zy-091-skr</v>
      </c>
      <c r="F59" t="str">
        <f t="shared" si="2"/>
        <v>ZARD EXHAUST FULL KIT YAMAHA T-MAX 04-07 CONICAL VERSION ZY 091 SKR</v>
      </c>
      <c r="G59" t="str">
        <f t="shared" si="3"/>
        <v/>
      </c>
      <c r="H59" t="str">
        <f t="shared" si="15"/>
        <v/>
      </c>
      <c r="I59" t="str">
        <f t="shared" si="16"/>
        <v/>
      </c>
      <c r="J59" t="str">
        <f t="shared" si="17"/>
        <v/>
      </c>
      <c r="K59" t="str">
        <f t="shared" si="18"/>
        <v/>
      </c>
      <c r="L59" t="str">
        <f t="shared" si="4"/>
        <v>Option</v>
      </c>
      <c r="M59" t="str">
        <f t="shared" si="5"/>
        <v>STEEL HEADERS KIT + TITANIUM SIL.</v>
      </c>
      <c r="R59" t="str">
        <f t="shared" si="6"/>
        <v>ZY 091 SKR</v>
      </c>
      <c r="S59">
        <f t="shared" si="7"/>
        <v>0</v>
      </c>
      <c r="U59" t="str">
        <f t="shared" si="8"/>
        <v>continue</v>
      </c>
      <c r="V59" t="str">
        <f t="shared" si="9"/>
        <v>manual</v>
      </c>
      <c r="W59" s="5">
        <f t="shared" si="10"/>
        <v>721.0449000000001</v>
      </c>
      <c r="Y59" t="b">
        <f t="shared" si="11"/>
        <v>1</v>
      </c>
      <c r="Z59" t="b">
        <f t="shared" si="12"/>
        <v>0</v>
      </c>
      <c r="AB59" t="str">
        <f t="shared" si="13"/>
        <v/>
      </c>
      <c r="AE59" t="b">
        <v>0</v>
      </c>
    </row>
    <row r="60" spans="1:31" x14ac:dyDescent="0.2">
      <c r="A60" t="str">
        <f t="shared" si="0"/>
        <v>https://shop.officineitalianezard.it/en/full-kit-zard-t-max/</v>
      </c>
      <c r="B60" t="b">
        <f>COUNTIF($A$2:$A60, A60)&gt;1</f>
        <v>0</v>
      </c>
      <c r="C60" t="b">
        <f t="shared" si="1"/>
        <v>0</v>
      </c>
      <c r="D60">
        <f>VLOOKUP(A60,variant_counts!A:B, 2, FALSE)</f>
        <v>3</v>
      </c>
      <c r="E60" t="str">
        <f t="shared" si="14"/>
        <v>zard-exhaust-full-kit-yamaha-t-max-00-03-conical-version-zy-093-skr</v>
      </c>
      <c r="F60" t="str">
        <f t="shared" si="2"/>
        <v>ZARD EXHAUST FULL KIT YAMAHA T-MAX 00-03 CONICAL VERSION ZY 093 SKR</v>
      </c>
      <c r="G60" t="str">
        <f t="shared" si="3"/>
        <v>&lt;p&gt;STEEL FULL KIT RACING WITH REMOVABLE DB KILLER&lt;/p&gt;
&lt;p&gt;ZARD FULL KIT STEEL-TITANIUM WEIGHT: 2.1 KG&lt;br&gt;ZARD FULL KIT STEEL WEIGHT: 3.5 KG&lt;/p&gt;
&lt;p&gt;HARD INCREASE, COMPARED TO THE ORIGINAL EXHAUST SYSTEM, IN TERMS OF TORQUE AND POWER AT ANY RANGE&lt;/p&gt;
&lt;p&gt;ASTONISHING SOUND&lt;/p&gt;</v>
      </c>
      <c r="H60" t="str">
        <f t="shared" si="15"/>
        <v>ZARD</v>
      </c>
      <c r="I60" t="str">
        <f t="shared" si="16"/>
        <v>Exhaust Pipe</v>
      </c>
      <c r="J60" t="str">
        <f t="shared" si="17"/>
        <v>Test</v>
      </c>
      <c r="K60" t="b">
        <f t="shared" si="18"/>
        <v>0</v>
      </c>
      <c r="L60" t="str">
        <f t="shared" si="4"/>
        <v/>
      </c>
      <c r="M60" t="str">
        <f t="shared" si="5"/>
        <v/>
      </c>
      <c r="R60" t="str">
        <f t="shared" si="6"/>
        <v/>
      </c>
      <c r="S60" t="str">
        <f t="shared" si="7"/>
        <v/>
      </c>
      <c r="U60" t="str">
        <f t="shared" si="8"/>
        <v/>
      </c>
      <c r="V60" t="str">
        <f t="shared" si="9"/>
        <v/>
      </c>
      <c r="W60" s="5" t="str">
        <f t="shared" si="10"/>
        <v/>
      </c>
      <c r="Y60" t="str">
        <f t="shared" si="11"/>
        <v/>
      </c>
      <c r="Z60" t="str">
        <f t="shared" si="12"/>
        <v/>
      </c>
      <c r="AB60" t="str">
        <f t="shared" si="13"/>
        <v>https://shop.officineitalianezard.it/contents/imgs/products/1_891-2scarichi%20t-max%20yamaha%20zard2.jpg</v>
      </c>
      <c r="AE60" t="b">
        <v>0</v>
      </c>
    </row>
    <row r="61" spans="1:31" x14ac:dyDescent="0.2">
      <c r="A61" t="str">
        <f t="shared" si="0"/>
        <v>https://shop.officineitalianezard.it/en/full-kit-zard-t-max/</v>
      </c>
      <c r="B61" t="b">
        <f>COUNTIF($A$2:$A61, A61)&gt;1</f>
        <v>1</v>
      </c>
      <c r="C61" t="b">
        <f t="shared" si="1"/>
        <v>0</v>
      </c>
      <c r="D61">
        <f>VLOOKUP(A61,variant_counts!A:B, 2, FALSE)</f>
        <v>3</v>
      </c>
      <c r="E61" t="str">
        <f t="shared" si="14"/>
        <v>zard-exhaust-full-kit-yamaha-t-max-00-03-conical-version-zy-093-skr</v>
      </c>
      <c r="F61" t="str">
        <f t="shared" si="2"/>
        <v>ZARD EXHAUST FULL KIT YAMAHA T-MAX 00-03 CONICAL VERSION ZY 093 SKR</v>
      </c>
      <c r="G61" t="str">
        <f t="shared" si="3"/>
        <v/>
      </c>
      <c r="H61" t="str">
        <f t="shared" si="15"/>
        <v/>
      </c>
      <c r="I61" t="str">
        <f t="shared" si="16"/>
        <v/>
      </c>
      <c r="J61" t="str">
        <f t="shared" si="17"/>
        <v/>
      </c>
      <c r="K61" t="str">
        <f t="shared" si="18"/>
        <v/>
      </c>
      <c r="L61" t="str">
        <f t="shared" si="4"/>
        <v/>
      </c>
      <c r="M61" t="str">
        <f t="shared" si="5"/>
        <v/>
      </c>
      <c r="R61" t="str">
        <f t="shared" si="6"/>
        <v/>
      </c>
      <c r="S61" t="str">
        <f t="shared" si="7"/>
        <v/>
      </c>
      <c r="U61" t="str">
        <f t="shared" si="8"/>
        <v/>
      </c>
      <c r="V61" t="str">
        <f t="shared" si="9"/>
        <v/>
      </c>
      <c r="W61" s="5" t="str">
        <f t="shared" si="10"/>
        <v/>
      </c>
      <c r="Y61" t="str">
        <f t="shared" si="11"/>
        <v/>
      </c>
      <c r="Z61" t="str">
        <f t="shared" si="12"/>
        <v/>
      </c>
      <c r="AB61" t="str">
        <f t="shared" si="13"/>
        <v>https://shop.officineitalianezard.it/contents/imgs/products/1_638-2scarichi%20t-max%20yamaha%20zard1.jpg</v>
      </c>
      <c r="AE61" t="b">
        <v>0</v>
      </c>
    </row>
    <row r="62" spans="1:31" x14ac:dyDescent="0.2">
      <c r="A62" t="str">
        <f t="shared" si="0"/>
        <v>https://shop.officineitalianezard.it/en/full-kit-zard-t-max/</v>
      </c>
      <c r="B62" t="b">
        <f>COUNTIF($A$2:$A62, A62)&gt;1</f>
        <v>1</v>
      </c>
      <c r="C62" t="b">
        <f t="shared" si="1"/>
        <v>0</v>
      </c>
      <c r="D62">
        <f>VLOOKUP(A62,variant_counts!A:B, 2, FALSE)</f>
        <v>3</v>
      </c>
      <c r="E62" t="str">
        <f t="shared" si="14"/>
        <v>zard-exhaust-full-kit-yamaha-t-max-00-03-conical-version-zy-093-skr</v>
      </c>
      <c r="F62" t="str">
        <f t="shared" si="2"/>
        <v>ZARD EXHAUST FULL KIT YAMAHA T-MAX 00-03 CONICAL VERSION ZY 093 SKR</v>
      </c>
      <c r="G62" t="str">
        <f t="shared" si="3"/>
        <v/>
      </c>
      <c r="H62" t="str">
        <f t="shared" si="15"/>
        <v/>
      </c>
      <c r="I62" t="str">
        <f t="shared" si="16"/>
        <v/>
      </c>
      <c r="J62" t="str">
        <f t="shared" si="17"/>
        <v/>
      </c>
      <c r="K62" t="str">
        <f t="shared" si="18"/>
        <v/>
      </c>
      <c r="L62" t="str">
        <f t="shared" si="4"/>
        <v/>
      </c>
      <c r="M62" t="str">
        <f t="shared" si="5"/>
        <v/>
      </c>
      <c r="R62" t="str">
        <f t="shared" si="6"/>
        <v/>
      </c>
      <c r="S62" t="str">
        <f t="shared" si="7"/>
        <v/>
      </c>
      <c r="U62" t="str">
        <f t="shared" si="8"/>
        <v/>
      </c>
      <c r="V62" t="str">
        <f t="shared" si="9"/>
        <v/>
      </c>
      <c r="W62" s="5" t="str">
        <f t="shared" si="10"/>
        <v/>
      </c>
      <c r="Y62" t="str">
        <f t="shared" si="11"/>
        <v/>
      </c>
      <c r="Z62" t="str">
        <f t="shared" si="12"/>
        <v/>
      </c>
      <c r="AB62" t="str">
        <f t="shared" si="13"/>
        <v>https://shop.officineitalianezard.it/contents/imgs/products/1_639-3scarichi%20t-max%20yamaha%20zard1.jpg</v>
      </c>
      <c r="AE62" t="b">
        <v>0</v>
      </c>
    </row>
    <row r="63" spans="1:31" x14ac:dyDescent="0.2">
      <c r="A63" t="str">
        <f t="shared" si="0"/>
        <v>https://shop.officineitalianezard.it/en/full-kit-zard-t-max/</v>
      </c>
      <c r="B63" t="b">
        <f>COUNTIF($A$2:$A63, A63)&gt;1</f>
        <v>1</v>
      </c>
      <c r="C63" t="b">
        <f t="shared" si="1"/>
        <v>0</v>
      </c>
      <c r="D63">
        <f>VLOOKUP(A63,variant_counts!A:B, 2, FALSE)</f>
        <v>3</v>
      </c>
      <c r="E63" t="str">
        <f t="shared" si="14"/>
        <v>zard-exhaust-full-kit-yamaha-t-max-00-03-conical-version-zy-093-skr</v>
      </c>
      <c r="F63" t="str">
        <f t="shared" si="2"/>
        <v>ZARD EXHAUST FULL KIT YAMAHA T-MAX 00-03 CONICAL VERSION ZY 093 SKR</v>
      </c>
      <c r="G63" t="str">
        <f t="shared" si="3"/>
        <v/>
      </c>
      <c r="H63" t="str">
        <f t="shared" si="15"/>
        <v/>
      </c>
      <c r="I63" t="str">
        <f t="shared" si="16"/>
        <v/>
      </c>
      <c r="J63" t="str">
        <f t="shared" si="17"/>
        <v/>
      </c>
      <c r="K63" t="str">
        <f t="shared" si="18"/>
        <v/>
      </c>
      <c r="L63" t="str">
        <f t="shared" si="4"/>
        <v/>
      </c>
      <c r="M63" t="str">
        <f t="shared" si="5"/>
        <v/>
      </c>
      <c r="R63" t="str">
        <f t="shared" si="6"/>
        <v/>
      </c>
      <c r="S63" t="str">
        <f t="shared" si="7"/>
        <v/>
      </c>
      <c r="U63" t="str">
        <f t="shared" si="8"/>
        <v/>
      </c>
      <c r="V63" t="str">
        <f t="shared" si="9"/>
        <v/>
      </c>
      <c r="W63" s="5" t="str">
        <f t="shared" si="10"/>
        <v/>
      </c>
      <c r="Y63" t="str">
        <f t="shared" si="11"/>
        <v/>
      </c>
      <c r="Z63" t="str">
        <f t="shared" si="12"/>
        <v/>
      </c>
      <c r="AB63" t="str">
        <f t="shared" si="13"/>
        <v>https://shop.officineitalianezard.it/contents/imgs/products/1_890-YAMAHA%20T-MAX%20BIANCO%20002.jpg</v>
      </c>
      <c r="AE63" t="b">
        <v>0</v>
      </c>
    </row>
    <row r="64" spans="1:31" x14ac:dyDescent="0.2">
      <c r="A64" t="str">
        <f t="shared" si="0"/>
        <v>https://shop.officineitalianezard.it/en/full-kit-zard-t-max/</v>
      </c>
      <c r="B64" t="b">
        <f>COUNTIF($A$2:$A64, A64)&gt;1</f>
        <v>1</v>
      </c>
      <c r="C64" t="b">
        <f t="shared" si="1"/>
        <v>0</v>
      </c>
      <c r="D64">
        <f>VLOOKUP(A64,variant_counts!A:B, 2, FALSE)</f>
        <v>3</v>
      </c>
      <c r="E64" t="str">
        <f t="shared" si="14"/>
        <v>zard-exhaust-full-kit-yamaha-t-max-00-03-conical-version-zy-093-skr</v>
      </c>
      <c r="F64" t="str">
        <f t="shared" si="2"/>
        <v>ZARD EXHAUST FULL KIT YAMAHA T-MAX 00-03 CONICAL VERSION ZY 093 SKR</v>
      </c>
      <c r="G64" t="str">
        <f t="shared" si="3"/>
        <v/>
      </c>
      <c r="H64" t="str">
        <f t="shared" si="15"/>
        <v/>
      </c>
      <c r="I64" t="str">
        <f t="shared" si="16"/>
        <v/>
      </c>
      <c r="J64" t="str">
        <f t="shared" si="17"/>
        <v/>
      </c>
      <c r="K64" t="str">
        <f t="shared" si="18"/>
        <v/>
      </c>
      <c r="L64" t="str">
        <f t="shared" si="4"/>
        <v/>
      </c>
      <c r="M64" t="str">
        <f t="shared" si="5"/>
        <v/>
      </c>
      <c r="R64" t="str">
        <f t="shared" si="6"/>
        <v/>
      </c>
      <c r="S64" t="str">
        <f t="shared" si="7"/>
        <v/>
      </c>
      <c r="U64" t="str">
        <f t="shared" si="8"/>
        <v/>
      </c>
      <c r="V64" t="str">
        <f t="shared" si="9"/>
        <v/>
      </c>
      <c r="W64" s="5" t="str">
        <f t="shared" si="10"/>
        <v/>
      </c>
      <c r="Y64" t="str">
        <f t="shared" si="11"/>
        <v/>
      </c>
      <c r="Z64" t="str">
        <f t="shared" si="12"/>
        <v/>
      </c>
      <c r="AB64" t="str">
        <f t="shared" si="13"/>
        <v>https://shop.officineitalianezard.it/contents/imgs/products/1_892-nero.jpg</v>
      </c>
      <c r="AE64" t="b">
        <v>0</v>
      </c>
    </row>
    <row r="65" spans="1:31" x14ac:dyDescent="0.2">
      <c r="A65" t="str">
        <f t="shared" si="0"/>
        <v>https://shop.officineitalianezard.it/en/full-kit-zard-t-max/</v>
      </c>
      <c r="B65" t="b">
        <f>COUNTIF($A$2:$A65, A65)&gt;1</f>
        <v>1</v>
      </c>
      <c r="C65" t="b">
        <f t="shared" si="1"/>
        <v>1</v>
      </c>
      <c r="D65">
        <f>VLOOKUP(A65,variant_counts!A:B, 2, FALSE)</f>
        <v>3</v>
      </c>
      <c r="E65" t="str">
        <f t="shared" si="14"/>
        <v>zard-exhaust-full-kit-yamaha-t-max-00-03-conical-version-zy-093-skr</v>
      </c>
      <c r="F65" t="str">
        <f t="shared" si="2"/>
        <v>ZARD EXHAUST FULL KIT YAMAHA T-MAX 00-03 CONICAL VERSION ZY 093 SKR</v>
      </c>
      <c r="G65" t="str">
        <f t="shared" si="3"/>
        <v/>
      </c>
      <c r="H65" t="str">
        <f t="shared" si="15"/>
        <v/>
      </c>
      <c r="I65" t="str">
        <f t="shared" si="16"/>
        <v/>
      </c>
      <c r="J65" t="str">
        <f t="shared" si="17"/>
        <v/>
      </c>
      <c r="K65" t="str">
        <f t="shared" si="18"/>
        <v/>
      </c>
      <c r="L65" t="str">
        <f t="shared" si="4"/>
        <v>Option</v>
      </c>
      <c r="M65" t="str">
        <f t="shared" si="5"/>
        <v>EURO 3 HOMOLOGATED</v>
      </c>
      <c r="R65" t="str">
        <f t="shared" si="6"/>
        <v>ZY 093 SKR</v>
      </c>
      <c r="S65">
        <f t="shared" si="7"/>
        <v>0</v>
      </c>
      <c r="U65" t="str">
        <f t="shared" si="8"/>
        <v>continue</v>
      </c>
      <c r="V65" t="str">
        <f t="shared" si="9"/>
        <v>manual</v>
      </c>
      <c r="W65" s="5">
        <f t="shared" si="10"/>
        <v>679.27560000000005</v>
      </c>
      <c r="Y65" t="b">
        <f t="shared" si="11"/>
        <v>1</v>
      </c>
      <c r="Z65" t="b">
        <f t="shared" si="12"/>
        <v>0</v>
      </c>
      <c r="AB65" t="str">
        <f t="shared" si="13"/>
        <v/>
      </c>
      <c r="AE65" t="b">
        <v>0</v>
      </c>
    </row>
    <row r="66" spans="1:31" x14ac:dyDescent="0.2">
      <c r="A66" t="str">
        <f t="shared" ref="A66:A129" si="19">source_product_link_href</f>
        <v>https://shop.officineitalianezard.it/en/full-kit-zard-t-max/</v>
      </c>
      <c r="B66" t="b">
        <f>COUNTIF($A$2:$A66, A66)&gt;1</f>
        <v>1</v>
      </c>
      <c r="C66" t="b">
        <f t="shared" ref="C66:C129" si="20">NOT(ISBLANK(source_option_name))</f>
        <v>1</v>
      </c>
      <c r="D66">
        <f>VLOOKUP(A66,variant_counts!A:B, 2, FALSE)</f>
        <v>3</v>
      </c>
      <c r="E66" t="str">
        <f t="shared" si="14"/>
        <v>zard-exhaust-full-kit-yamaha-t-max-00-03-conical-version-zy-093-skr</v>
      </c>
      <c r="F66" t="str">
        <f t="shared" ref="F66:F129" si="21">UPPER("ZARD EXHAUST " &amp; source_title &amp; " " &amp; source_brand &amp; " " &amp; source_bike &amp; " " &amp; source_product_link &amp; " " &amp; source_sku)</f>
        <v>ZARD EXHAUST FULL KIT YAMAHA T-MAX 00-03 CONICAL VERSION ZY 093 SKR</v>
      </c>
      <c r="G66" t="str">
        <f t="shared" ref="G66:G129" si="22">IF($B66=FALSE, source_description, "")</f>
        <v/>
      </c>
      <c r="H66" t="str">
        <f t="shared" si="15"/>
        <v/>
      </c>
      <c r="I66" t="str">
        <f t="shared" si="16"/>
        <v/>
      </c>
      <c r="J66" t="str">
        <f t="shared" si="17"/>
        <v/>
      </c>
      <c r="K66" t="str">
        <f t="shared" si="18"/>
        <v/>
      </c>
      <c r="L66" t="str">
        <f t="shared" ref="L66:L129" si="23">IF(AND(variant_count=0,duplicated=FALSE),"Title",IF(OR(AND(variant_count=1,duplicated=FALSE), source_option_name&lt;&gt;""), "Option", ""))</f>
        <v>Option</v>
      </c>
      <c r="M66" t="str">
        <f t="shared" ref="M66:M129" si="24">IF(option1_name="Title", "Default Title", IF(AND(option1_name="Option",ISBLANK(source_option_name)),"DEFAULT",IF(ISBLANK(source_option_name), "", source_option_name)))</f>
        <v>STEEL HEADERS KIT + TITANIUM SIL.</v>
      </c>
      <c r="R66" t="str">
        <f t="shared" ref="R66:R129" si="25">IF(option1_name &lt;&gt; "", source_sku, "")</f>
        <v>ZY 093 SKR</v>
      </c>
      <c r="S66">
        <f t="shared" ref="S66:S129" si="26">IF(option1_name &lt;&gt; "", 0, "")</f>
        <v>0</v>
      </c>
      <c r="U66" t="str">
        <f t="shared" ref="U66:U129" si="27">IF(option1_name &lt;&gt; "", "continue", "")</f>
        <v>continue</v>
      </c>
      <c r="V66" t="str">
        <f t="shared" ref="V66:V129" si="28">IF(option1_name &lt;&gt; "", "manual", "")</f>
        <v>manual</v>
      </c>
      <c r="W66" s="5">
        <f t="shared" ref="W66:W129" si="29">IF(option1_name&lt;&gt;"",(source_price_original+source_option_price)*eur_usd,"")</f>
        <v>721.0449000000001</v>
      </c>
      <c r="Y66" t="b">
        <f t="shared" ref="Y66:Y129" si="30">IF(option1_name&lt;&gt;"",TRUE,"")</f>
        <v>1</v>
      </c>
      <c r="Z66" t="b">
        <f t="shared" ref="Z66:Z129" si="31">IF(option1_name&lt;&gt;"",FALSE,"")</f>
        <v>0</v>
      </c>
      <c r="AB66" t="str">
        <f t="shared" ref="AB66:AB129" si="32">IF(ISBLANK(source_image), "", source_image)</f>
        <v/>
      </c>
      <c r="AE66" t="b">
        <v>0</v>
      </c>
    </row>
    <row r="67" spans="1:31" x14ac:dyDescent="0.2">
      <c r="A67" t="str">
        <f t="shared" si="19"/>
        <v>https://shop.officineitalianezard.it/en/full-kit-zard-t-max/</v>
      </c>
      <c r="B67" t="b">
        <f>COUNTIF($A$2:$A67, A67)&gt;1</f>
        <v>1</v>
      </c>
      <c r="C67" t="b">
        <f t="shared" si="20"/>
        <v>1</v>
      </c>
      <c r="D67">
        <f>VLOOKUP(A67,variant_counts!A:B, 2, FALSE)</f>
        <v>3</v>
      </c>
      <c r="E67" t="str">
        <f t="shared" ref="E67:E130" si="33">FormatShopifyHandle(F67)</f>
        <v>zard-exhaust-full-kit-yamaha-t-max-00-03-conical-version-zy-093-skr</v>
      </c>
      <c r="F67" t="str">
        <f t="shared" si="21"/>
        <v>ZARD EXHAUST FULL KIT YAMAHA T-MAX 00-03 CONICAL VERSION ZY 093 SKR</v>
      </c>
      <c r="G67" t="str">
        <f t="shared" si="22"/>
        <v/>
      </c>
      <c r="H67" t="str">
        <f t="shared" ref="H67:H130" si="34">IF($B67=FALSE, "ZARD", "")</f>
        <v/>
      </c>
      <c r="I67" t="str">
        <f t="shared" ref="I67:I130" si="35">IF($B67=FALSE, "Exhaust Pipe", "")</f>
        <v/>
      </c>
      <c r="J67" t="str">
        <f t="shared" ref="J67:J130" si="36">IF($B67=FALSE, "Test", "")</f>
        <v/>
      </c>
      <c r="K67" t="str">
        <f t="shared" ref="K67:K130" si="37">IF($B67=FALSE, FALSE, "")</f>
        <v/>
      </c>
      <c r="L67" t="str">
        <f t="shared" si="23"/>
        <v>Option</v>
      </c>
      <c r="M67" t="str">
        <f t="shared" si="24"/>
        <v>BLACK COATING</v>
      </c>
      <c r="R67" t="str">
        <f t="shared" si="25"/>
        <v>ZY 093 SKR</v>
      </c>
      <c r="S67">
        <f t="shared" si="26"/>
        <v>0</v>
      </c>
      <c r="U67" t="str">
        <f t="shared" si="27"/>
        <v>continue</v>
      </c>
      <c r="V67" t="str">
        <f t="shared" si="28"/>
        <v>manual</v>
      </c>
      <c r="W67" s="5">
        <f t="shared" si="29"/>
        <v>815.20620000000008</v>
      </c>
      <c r="Y67" t="b">
        <f t="shared" si="30"/>
        <v>1</v>
      </c>
      <c r="Z67" t="b">
        <f t="shared" si="31"/>
        <v>0</v>
      </c>
      <c r="AB67" t="str">
        <f t="shared" si="32"/>
        <v/>
      </c>
      <c r="AE67" t="b">
        <v>0</v>
      </c>
    </row>
    <row r="68" spans="1:31" x14ac:dyDescent="0.2">
      <c r="A68" t="str">
        <f t="shared" si="19"/>
        <v>https://shop.officineitalianezard.it/en/yamaha-t-max-exhaust-zard/</v>
      </c>
      <c r="B68" t="b">
        <f>COUNTIF($A$2:$A68, A68)&gt;1</f>
        <v>0</v>
      </c>
      <c r="C68" t="b">
        <f t="shared" si="20"/>
        <v>0</v>
      </c>
      <c r="D68">
        <f>VLOOKUP(A68,variant_counts!A:B, 2, FALSE)</f>
        <v>1</v>
      </c>
      <c r="E68" t="str">
        <f t="shared" si="33"/>
        <v>zard-exhaust-21-full-kit-yamaha-t-max-201719-conical-version-zy098skr-fc</v>
      </c>
      <c r="F68" t="str">
        <f t="shared" si="21"/>
        <v>ZARD EXHAUST 2&gt;1 FULL KIT YAMAHA T-MAX 2017/19 CONICAL VERSION ZY098SKR-FC</v>
      </c>
      <c r="G68" t="str">
        <f t="shared" si="22"/>
        <v>&lt;p&gt;BLACK&amp;nbsp;2&amp;gt;1 RACING FULL KIT WITH REMOVABLE DB KILLER&amp;nbsp;CONICAL VERSION&lt;/p&gt;
&lt;p&gt;CARBON END-CAP&lt;/p&gt;
&lt;p&gt;ORIGINAL&amp;nbsp;FULL KIT WEIGHT: 8,1 KG&lt;br&gt;ZARD RACING FULL KIT WEIGHT: 4,4 KG&lt;br&gt;&lt;span&gt;ZARD&amp;nbsp;HOMOLOGATED FULL KIT WEIGHT: 5,3 KG&lt;/span&gt;&lt;/p&gt;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</v>
      </c>
      <c r="H68" t="str">
        <f t="shared" si="34"/>
        <v>ZARD</v>
      </c>
      <c r="I68" t="str">
        <f t="shared" si="35"/>
        <v>Exhaust Pipe</v>
      </c>
      <c r="J68" t="str">
        <f t="shared" si="36"/>
        <v>Test</v>
      </c>
      <c r="K68" t="b">
        <f t="shared" si="37"/>
        <v>0</v>
      </c>
      <c r="L68" t="str">
        <f t="shared" si="23"/>
        <v>Option</v>
      </c>
      <c r="M68" t="str">
        <f t="shared" si="24"/>
        <v>DEFAULT</v>
      </c>
      <c r="R68" t="str">
        <f t="shared" si="25"/>
        <v>ZY098SKR-FC</v>
      </c>
      <c r="S68">
        <f t="shared" si="26"/>
        <v>0</v>
      </c>
      <c r="U68" t="str">
        <f t="shared" si="27"/>
        <v>continue</v>
      </c>
      <c r="V68" t="str">
        <f t="shared" si="28"/>
        <v>manual</v>
      </c>
      <c r="W68" s="5">
        <f t="shared" si="29"/>
        <v>1207.3470000000002</v>
      </c>
      <c r="Y68" t="b">
        <f t="shared" si="30"/>
        <v>1</v>
      </c>
      <c r="Z68" t="b">
        <f t="shared" si="31"/>
        <v>0</v>
      </c>
      <c r="AB68" t="str">
        <f t="shared" si="32"/>
        <v>https://shop.officineitalianezard.it/contents/imgs/products/1_2331-scarico%20yamaha%20tmax%20-%20zard.jpg</v>
      </c>
      <c r="AE68" t="b">
        <v>0</v>
      </c>
    </row>
    <row r="69" spans="1:31" x14ac:dyDescent="0.2">
      <c r="A69" t="str">
        <f t="shared" si="19"/>
        <v>https://shop.officineitalianezard.it/en/yamaha-t-max-exhaust-zard/</v>
      </c>
      <c r="B69" t="b">
        <f>COUNTIF($A$2:$A69, A69)&gt;1</f>
        <v>1</v>
      </c>
      <c r="C69" t="b">
        <f t="shared" si="20"/>
        <v>0</v>
      </c>
      <c r="D69">
        <f>VLOOKUP(A69,variant_counts!A:B, 2, FALSE)</f>
        <v>1</v>
      </c>
      <c r="E69" t="str">
        <f t="shared" si="33"/>
        <v>zard-exhaust-21-full-kit-yamaha-t-max-201719-conical-version-zy098skr-fc</v>
      </c>
      <c r="F69" t="str">
        <f t="shared" si="21"/>
        <v>ZARD EXHAUST 2&gt;1 FULL KIT YAMAHA T-MAX 2017/19 CONICAL VERSION ZY098SKR-FC</v>
      </c>
      <c r="G69" t="str">
        <f t="shared" si="22"/>
        <v/>
      </c>
      <c r="H69" t="str">
        <f t="shared" si="34"/>
        <v/>
      </c>
      <c r="I69" t="str">
        <f t="shared" si="35"/>
        <v/>
      </c>
      <c r="J69" t="str">
        <f t="shared" si="36"/>
        <v/>
      </c>
      <c r="K69" t="str">
        <f t="shared" si="37"/>
        <v/>
      </c>
      <c r="L69" t="str">
        <f t="shared" si="23"/>
        <v/>
      </c>
      <c r="M69" t="str">
        <f t="shared" si="24"/>
        <v/>
      </c>
      <c r="R69" t="str">
        <f t="shared" si="25"/>
        <v/>
      </c>
      <c r="S69" t="str">
        <f t="shared" si="26"/>
        <v/>
      </c>
      <c r="U69" t="str">
        <f t="shared" si="27"/>
        <v/>
      </c>
      <c r="V69" t="str">
        <f t="shared" si="28"/>
        <v/>
      </c>
      <c r="W69" s="5" t="str">
        <f t="shared" si="29"/>
        <v/>
      </c>
      <c r="Y69" t="str">
        <f t="shared" si="30"/>
        <v/>
      </c>
      <c r="Z69" t="str">
        <f t="shared" si="31"/>
        <v/>
      </c>
      <c r="AB69" t="str">
        <f t="shared" si="32"/>
        <v>https://shop.officineitalianezard.it/contents/imgs/products/1_2330-scarichi%20yamaha%20t%20max%20-%20zard.jpg</v>
      </c>
      <c r="AE69" t="b">
        <v>0</v>
      </c>
    </row>
    <row r="70" spans="1:31" x14ac:dyDescent="0.2">
      <c r="A70" t="str">
        <f t="shared" si="19"/>
        <v>https://shop.officineitalianezard.it/en/yamaha-t-max-exhaust-zard/</v>
      </c>
      <c r="B70" t="b">
        <f>COUNTIF($A$2:$A70, A70)&gt;1</f>
        <v>1</v>
      </c>
      <c r="C70" t="b">
        <f t="shared" si="20"/>
        <v>0</v>
      </c>
      <c r="D70">
        <f>VLOOKUP(A70,variant_counts!A:B, 2, FALSE)</f>
        <v>1</v>
      </c>
      <c r="E70" t="str">
        <f t="shared" si="33"/>
        <v>zard-exhaust-21-full-kit-yamaha-t-max-201719-conical-version-zy098skr-fc</v>
      </c>
      <c r="F70" t="str">
        <f t="shared" si="21"/>
        <v>ZARD EXHAUST 2&gt;1 FULL KIT YAMAHA T-MAX 2017/19 CONICAL VERSION ZY098SKR-FC</v>
      </c>
      <c r="G70" t="str">
        <f t="shared" si="22"/>
        <v/>
      </c>
      <c r="H70" t="str">
        <f t="shared" si="34"/>
        <v/>
      </c>
      <c r="I70" t="str">
        <f t="shared" si="35"/>
        <v/>
      </c>
      <c r="J70" t="str">
        <f t="shared" si="36"/>
        <v/>
      </c>
      <c r="K70" t="str">
        <f t="shared" si="37"/>
        <v/>
      </c>
      <c r="L70" t="str">
        <f t="shared" si="23"/>
        <v/>
      </c>
      <c r="M70" t="str">
        <f t="shared" si="24"/>
        <v/>
      </c>
      <c r="R70" t="str">
        <f t="shared" si="25"/>
        <v/>
      </c>
      <c r="S70" t="str">
        <f t="shared" si="26"/>
        <v/>
      </c>
      <c r="U70" t="str">
        <f t="shared" si="27"/>
        <v/>
      </c>
      <c r="V70" t="str">
        <f t="shared" si="28"/>
        <v/>
      </c>
      <c r="W70" s="5" t="str">
        <f t="shared" si="29"/>
        <v/>
      </c>
      <c r="Y70" t="str">
        <f t="shared" si="30"/>
        <v/>
      </c>
      <c r="Z70" t="str">
        <f t="shared" si="31"/>
        <v/>
      </c>
      <c r="AB70" t="str">
        <f t="shared" si="32"/>
        <v>https://shop.officineitalianezard.it/contents/imgs/products/1_2332-yamaha%20tmax%20exhaust%20-%20zard.jpg</v>
      </c>
      <c r="AE70" t="b">
        <v>0</v>
      </c>
    </row>
    <row r="71" spans="1:31" x14ac:dyDescent="0.2">
      <c r="A71" t="str">
        <f t="shared" si="19"/>
        <v>https://shop.officineitalianezard.it/en/yamaha-t-max-exhaust-zard/</v>
      </c>
      <c r="B71" t="b">
        <f>COUNTIF($A$2:$A71, A71)&gt;1</f>
        <v>1</v>
      </c>
      <c r="C71" t="b">
        <f t="shared" si="20"/>
        <v>1</v>
      </c>
      <c r="D71">
        <f>VLOOKUP(A71,variant_counts!A:B, 2, FALSE)</f>
        <v>1</v>
      </c>
      <c r="E71" t="str">
        <f t="shared" si="33"/>
        <v>zard-exhaust-21-full-kit-yamaha-t-max-201719-conical-version-zy098skr-fc</v>
      </c>
      <c r="F71" t="str">
        <f t="shared" si="21"/>
        <v>ZARD EXHAUST 2&gt;1 FULL KIT YAMAHA T-MAX 2017/19 CONICAL VERSION ZY098SKR-FC</v>
      </c>
      <c r="G71" t="str">
        <f t="shared" si="22"/>
        <v/>
      </c>
      <c r="H71" t="str">
        <f t="shared" si="34"/>
        <v/>
      </c>
      <c r="I71" t="str">
        <f t="shared" si="35"/>
        <v/>
      </c>
      <c r="J71" t="str">
        <f t="shared" si="36"/>
        <v/>
      </c>
      <c r="K71" t="str">
        <f t="shared" si="37"/>
        <v/>
      </c>
      <c r="L71" t="str">
        <f t="shared" si="23"/>
        <v>Option</v>
      </c>
      <c r="M71" t="str">
        <f t="shared" si="24"/>
        <v>EURO 4 HOMOLOGATED</v>
      </c>
      <c r="R71" t="str">
        <f t="shared" si="25"/>
        <v>ZY098SKR-FC</v>
      </c>
      <c r="S71">
        <f t="shared" si="26"/>
        <v>0</v>
      </c>
      <c r="U71" t="str">
        <f t="shared" si="27"/>
        <v>continue</v>
      </c>
      <c r="V71" t="str">
        <f t="shared" si="28"/>
        <v>manual</v>
      </c>
      <c r="W71" s="5">
        <f t="shared" si="29"/>
        <v>1321.1664000000001</v>
      </c>
      <c r="Y71" t="b">
        <f t="shared" si="30"/>
        <v>1</v>
      </c>
      <c r="Z71" t="b">
        <f t="shared" si="31"/>
        <v>0</v>
      </c>
      <c r="AB71" t="str">
        <f t="shared" si="32"/>
        <v/>
      </c>
      <c r="AE71" t="b">
        <v>0</v>
      </c>
    </row>
    <row r="72" spans="1:31" x14ac:dyDescent="0.2">
      <c r="A72" t="str">
        <f t="shared" si="19"/>
        <v>https://shop.officineitalianezard.it/en/products/index/zard-exhaust-yamaha-wr250f2016-7631-176/</v>
      </c>
      <c r="B72" t="b">
        <f>COUNTIF($A$2:$A72, A72)&gt;1</f>
        <v>0</v>
      </c>
      <c r="C72" t="b">
        <f t="shared" si="20"/>
        <v>0</v>
      </c>
      <c r="D72">
        <f>VLOOKUP(A72,variant_counts!A:B, 2, FALSE)</f>
        <v>1</v>
      </c>
      <c r="E72" t="str">
        <f t="shared" si="33"/>
        <v>zard-exhaust-silencer-yamaha-wr-250-f-2016-racing-version-zcy001ssr</v>
      </c>
      <c r="F72" t="str">
        <f t="shared" si="21"/>
        <v>ZARD EXHAUST SILENCER YAMAHA WR 250 F 2016 RACING VERSION ZCY001SSR</v>
      </c>
      <c r="G72" t="str">
        <f t="shared" si="22"/>
        <v>&lt;p&gt;STEEL/ALU/CARB SILENCER RACING WITH REMOVABLE DB KILLERS&lt;/p&gt;
&lt;p&gt;CARBON END-CAP&lt;/p&gt;
&lt;p&gt;HARD INCREASE, COMPARED TO THE ORIGINAL EXHAUST SYSTEM, IN TERMS OF TORQUE AND POWER AT ANY RANGE&lt;/p&gt;
&lt;p&gt;ASTONISHING SOUND&lt;/p&gt;</v>
      </c>
      <c r="H72" t="str">
        <f t="shared" si="34"/>
        <v>ZARD</v>
      </c>
      <c r="I72" t="str">
        <f t="shared" si="35"/>
        <v>Exhaust Pipe</v>
      </c>
      <c r="J72" t="str">
        <f t="shared" si="36"/>
        <v>Test</v>
      </c>
      <c r="K72" t="b">
        <f t="shared" si="37"/>
        <v>0</v>
      </c>
      <c r="L72" t="str">
        <f t="shared" si="23"/>
        <v>Option</v>
      </c>
      <c r="M72" t="str">
        <f t="shared" si="24"/>
        <v>DEFAULT</v>
      </c>
      <c r="R72" t="str">
        <f t="shared" si="25"/>
        <v>ZCY001SSR</v>
      </c>
      <c r="S72">
        <f t="shared" si="26"/>
        <v>0</v>
      </c>
      <c r="U72" t="str">
        <f t="shared" si="27"/>
        <v>continue</v>
      </c>
      <c r="V72" t="str">
        <f t="shared" si="28"/>
        <v>manual</v>
      </c>
      <c r="W72" s="5">
        <f t="shared" si="29"/>
        <v>383.03880000000004</v>
      </c>
      <c r="Y72" t="b">
        <f t="shared" si="30"/>
        <v>1</v>
      </c>
      <c r="Z72" t="b">
        <f t="shared" si="31"/>
        <v>0</v>
      </c>
      <c r="AB72" t="str">
        <f t="shared" si="32"/>
        <v>https://shop.officineitalianezard.it/contents/imgs/products/1_1261-1.jpg%20.jpg</v>
      </c>
      <c r="AE72" t="b">
        <v>0</v>
      </c>
    </row>
    <row r="73" spans="1:31" x14ac:dyDescent="0.2">
      <c r="A73" t="str">
        <f t="shared" si="19"/>
        <v>https://shop.officineitalianezard.it/en/products/index/zard-exhaust-yamaha-wr250f2016-7631-176/</v>
      </c>
      <c r="B73" t="b">
        <f>COUNTIF($A$2:$A73, A73)&gt;1</f>
        <v>1</v>
      </c>
      <c r="C73" t="b">
        <f t="shared" si="20"/>
        <v>0</v>
      </c>
      <c r="D73">
        <f>VLOOKUP(A73,variant_counts!A:B, 2, FALSE)</f>
        <v>1</v>
      </c>
      <c r="E73" t="str">
        <f t="shared" si="33"/>
        <v>zard-exhaust-silencer-yamaha-wr-250-f-2016-racing-version-zcy001ssr</v>
      </c>
      <c r="F73" t="str">
        <f t="shared" si="21"/>
        <v>ZARD EXHAUST SILENCER YAMAHA WR 250 F 2016 RACING VERSION ZCY001SSR</v>
      </c>
      <c r="G73" t="str">
        <f t="shared" si="22"/>
        <v/>
      </c>
      <c r="H73" t="str">
        <f t="shared" si="34"/>
        <v/>
      </c>
      <c r="I73" t="str">
        <f t="shared" si="35"/>
        <v/>
      </c>
      <c r="J73" t="str">
        <f t="shared" si="36"/>
        <v/>
      </c>
      <c r="K73" t="str">
        <f t="shared" si="37"/>
        <v/>
      </c>
      <c r="L73" t="str">
        <f t="shared" si="23"/>
        <v/>
      </c>
      <c r="M73" t="str">
        <f t="shared" si="24"/>
        <v/>
      </c>
      <c r="R73" t="str">
        <f t="shared" si="25"/>
        <v/>
      </c>
      <c r="S73" t="str">
        <f t="shared" si="26"/>
        <v/>
      </c>
      <c r="U73" t="str">
        <f t="shared" si="27"/>
        <v/>
      </c>
      <c r="V73" t="str">
        <f t="shared" si="28"/>
        <v/>
      </c>
      <c r="W73" s="5" t="str">
        <f t="shared" si="29"/>
        <v/>
      </c>
      <c r="Y73" t="str">
        <f t="shared" si="30"/>
        <v/>
      </c>
      <c r="Z73" t="str">
        <f t="shared" si="31"/>
        <v/>
      </c>
      <c r="AB73" t="str">
        <f t="shared" si="32"/>
        <v>https://shop.officineitalianezard.it/contents/imgs/products/1_1262-2.jpg</v>
      </c>
      <c r="AE73" t="b">
        <v>0</v>
      </c>
    </row>
    <row r="74" spans="1:31" x14ac:dyDescent="0.2">
      <c r="A74" t="str">
        <f t="shared" si="19"/>
        <v>https://shop.officineitalianezard.it/en/products/index/zard-exhaust-yamaha-wr250f2016-7631-176/</v>
      </c>
      <c r="B74" t="b">
        <f>COUNTIF($A$2:$A74, A74)&gt;1</f>
        <v>1</v>
      </c>
      <c r="C74" t="b">
        <f t="shared" si="20"/>
        <v>0</v>
      </c>
      <c r="D74">
        <f>VLOOKUP(A74,variant_counts!A:B, 2, FALSE)</f>
        <v>1</v>
      </c>
      <c r="E74" t="str">
        <f t="shared" si="33"/>
        <v>zard-exhaust-silencer-yamaha-wr-250-f-2016-racing-version-zcy001ssr</v>
      </c>
      <c r="F74" t="str">
        <f t="shared" si="21"/>
        <v>ZARD EXHAUST SILENCER YAMAHA WR 250 F 2016 RACING VERSION ZCY001SSR</v>
      </c>
      <c r="G74" t="str">
        <f t="shared" si="22"/>
        <v/>
      </c>
      <c r="H74" t="str">
        <f t="shared" si="34"/>
        <v/>
      </c>
      <c r="I74" t="str">
        <f t="shared" si="35"/>
        <v/>
      </c>
      <c r="J74" t="str">
        <f t="shared" si="36"/>
        <v/>
      </c>
      <c r="K74" t="str">
        <f t="shared" si="37"/>
        <v/>
      </c>
      <c r="L74" t="str">
        <f t="shared" si="23"/>
        <v/>
      </c>
      <c r="M74" t="str">
        <f t="shared" si="24"/>
        <v/>
      </c>
      <c r="R74" t="str">
        <f t="shared" si="25"/>
        <v/>
      </c>
      <c r="S74" t="str">
        <f t="shared" si="26"/>
        <v/>
      </c>
      <c r="U74" t="str">
        <f t="shared" si="27"/>
        <v/>
      </c>
      <c r="V74" t="str">
        <f t="shared" si="28"/>
        <v/>
      </c>
      <c r="W74" s="5" t="str">
        <f t="shared" si="29"/>
        <v/>
      </c>
      <c r="Y74" t="str">
        <f t="shared" si="30"/>
        <v/>
      </c>
      <c r="Z74" t="str">
        <f t="shared" si="31"/>
        <v/>
      </c>
      <c r="AB74" t="str">
        <f t="shared" si="32"/>
        <v>https://shop.officineitalianezard.it/contents/imgs/products/1_1263-3.jpg</v>
      </c>
      <c r="AE74" t="b">
        <v>0</v>
      </c>
    </row>
    <row r="75" spans="1:31" x14ac:dyDescent="0.2">
      <c r="A75" t="str">
        <f t="shared" si="19"/>
        <v>https://shop.officineitalianezard.it/en/products/index/zard-exhaust-yamaha-wr250f2016-7631-176/</v>
      </c>
      <c r="B75" t="b">
        <f>COUNTIF($A$2:$A75, A75)&gt;1</f>
        <v>1</v>
      </c>
      <c r="C75" t="b">
        <f t="shared" si="20"/>
        <v>1</v>
      </c>
      <c r="D75">
        <f>VLOOKUP(A75,variant_counts!A:B, 2, FALSE)</f>
        <v>1</v>
      </c>
      <c r="E75" t="str">
        <f t="shared" si="33"/>
        <v>zard-exhaust-silencer-yamaha-wr-250-f-2016-racing-version-zcy001ssr</v>
      </c>
      <c r="F75" t="str">
        <f t="shared" si="21"/>
        <v>ZARD EXHAUST SILENCER YAMAHA WR 250 F 2016 RACING VERSION ZCY001SSR</v>
      </c>
      <c r="G75" t="str">
        <f t="shared" si="22"/>
        <v/>
      </c>
      <c r="H75" t="str">
        <f t="shared" si="34"/>
        <v/>
      </c>
      <c r="I75" t="str">
        <f t="shared" si="35"/>
        <v/>
      </c>
      <c r="J75" t="str">
        <f t="shared" si="36"/>
        <v/>
      </c>
      <c r="K75" t="str">
        <f t="shared" si="37"/>
        <v/>
      </c>
      <c r="L75" t="str">
        <f t="shared" si="23"/>
        <v>Option</v>
      </c>
      <c r="M75" t="str">
        <f t="shared" si="24"/>
        <v>TITANIUM RACING</v>
      </c>
      <c r="R75" t="str">
        <f t="shared" si="25"/>
        <v>ZCY001SSR</v>
      </c>
      <c r="S75">
        <f t="shared" si="26"/>
        <v>0</v>
      </c>
      <c r="U75" t="str">
        <f t="shared" si="27"/>
        <v>continue</v>
      </c>
      <c r="V75" t="str">
        <f t="shared" si="28"/>
        <v>manual</v>
      </c>
      <c r="W75" s="5">
        <f t="shared" si="29"/>
        <v>414.15210000000008</v>
      </c>
      <c r="Y75" t="b">
        <f t="shared" si="30"/>
        <v>1</v>
      </c>
      <c r="Z75" t="b">
        <f t="shared" si="31"/>
        <v>0</v>
      </c>
      <c r="AB75" t="str">
        <f t="shared" si="32"/>
        <v/>
      </c>
      <c r="AE75" t="b">
        <v>0</v>
      </c>
    </row>
    <row r="76" spans="1:31" x14ac:dyDescent="0.2">
      <c r="A76" t="str">
        <f t="shared" si="19"/>
        <v>https://shop.officineitalianezard.it/en/products/index/zard-exhaust-yamaha-wr250f2016-7632-176/</v>
      </c>
      <c r="B76" t="b">
        <f>COUNTIF($A$2:$A76, A76)&gt;1</f>
        <v>0</v>
      </c>
      <c r="C76" t="b">
        <f t="shared" si="20"/>
        <v>0</v>
      </c>
      <c r="D76">
        <f>VLOOKUP(A76,variant_counts!A:B, 2, FALSE)</f>
        <v>0</v>
      </c>
      <c r="E76" t="str">
        <f t="shared" si="33"/>
        <v>zard-exhaust-headers-kit-yamaha-wr-250-f-2016-racing-version-zcy001scr</v>
      </c>
      <c r="F76" t="str">
        <f t="shared" si="21"/>
        <v>ZARD EXHAUST HEADERS KIT YAMAHA WR 250 F 2016 RACING VERSION ZCY001SCR</v>
      </c>
      <c r="G76" t="str">
        <f t="shared" si="22"/>
        <v>&lt;p&gt;STEEL RACING HEADERS KIT&lt;/p&gt;
&lt;p&gt;HARD INCREASE, COMPARED TO THE ORIGINAL EXHAUST SYSTEM, IN TERMS OF TORQUE AND POWER AT ANY RANGE&lt;/p&gt;
&lt;p&gt;ASTONISHING SOUND&lt;/p&gt;</v>
      </c>
      <c r="H76" t="str">
        <f t="shared" si="34"/>
        <v>ZARD</v>
      </c>
      <c r="I76" t="str">
        <f t="shared" si="35"/>
        <v>Exhaust Pipe</v>
      </c>
      <c r="J76" t="str">
        <f t="shared" si="36"/>
        <v>Test</v>
      </c>
      <c r="K76" t="b">
        <f t="shared" si="37"/>
        <v>0</v>
      </c>
      <c r="L76" t="str">
        <f t="shared" si="23"/>
        <v>Title</v>
      </c>
      <c r="M76" t="str">
        <f t="shared" si="24"/>
        <v>Default Title</v>
      </c>
      <c r="R76" t="str">
        <f t="shared" si="25"/>
        <v>ZCY001SCR</v>
      </c>
      <c r="S76">
        <f t="shared" si="26"/>
        <v>0</v>
      </c>
      <c r="U76" t="str">
        <f t="shared" si="27"/>
        <v>continue</v>
      </c>
      <c r="V76" t="str">
        <f t="shared" si="28"/>
        <v>manual</v>
      </c>
      <c r="W76" s="5">
        <f t="shared" si="29"/>
        <v>452.19180000000006</v>
      </c>
      <c r="Y76" t="b">
        <f t="shared" si="30"/>
        <v>1</v>
      </c>
      <c r="Z76" t="b">
        <f t="shared" si="31"/>
        <v>0</v>
      </c>
      <c r="AB76" t="str">
        <f t="shared" si="32"/>
        <v>https://shop.officineitalianezard.it/contents/imgs/products/1_1264-1.jpg%20.jpg</v>
      </c>
      <c r="AE76" t="b">
        <v>0</v>
      </c>
    </row>
    <row r="77" spans="1:31" x14ac:dyDescent="0.2">
      <c r="A77" t="str">
        <f t="shared" si="19"/>
        <v>https://shop.officineitalianezard.it/en/products/index/zard-exhaust-yamaha-wr250f2016-7632-176/</v>
      </c>
      <c r="B77" t="b">
        <f>COUNTIF($A$2:$A77, A77)&gt;1</f>
        <v>1</v>
      </c>
      <c r="C77" t="b">
        <f t="shared" si="20"/>
        <v>0</v>
      </c>
      <c r="D77">
        <f>VLOOKUP(A77,variant_counts!A:B, 2, FALSE)</f>
        <v>0</v>
      </c>
      <c r="E77" t="str">
        <f t="shared" si="33"/>
        <v>zard-exhaust-headers-kit-yamaha-wr-250-f-2016-racing-version-zcy001scr</v>
      </c>
      <c r="F77" t="str">
        <f t="shared" si="21"/>
        <v>ZARD EXHAUST HEADERS KIT YAMAHA WR 250 F 2016 RACING VERSION ZCY001SCR</v>
      </c>
      <c r="G77" t="str">
        <f t="shared" si="22"/>
        <v/>
      </c>
      <c r="H77" t="str">
        <f t="shared" si="34"/>
        <v/>
      </c>
      <c r="I77" t="str">
        <f t="shared" si="35"/>
        <v/>
      </c>
      <c r="J77" t="str">
        <f t="shared" si="36"/>
        <v/>
      </c>
      <c r="K77" t="str">
        <f t="shared" si="37"/>
        <v/>
      </c>
      <c r="L77" t="str">
        <f t="shared" si="23"/>
        <v/>
      </c>
      <c r="M77" t="str">
        <f t="shared" si="24"/>
        <v/>
      </c>
      <c r="R77" t="str">
        <f t="shared" si="25"/>
        <v/>
      </c>
      <c r="S77" t="str">
        <f t="shared" si="26"/>
        <v/>
      </c>
      <c r="U77" t="str">
        <f t="shared" si="27"/>
        <v/>
      </c>
      <c r="V77" t="str">
        <f t="shared" si="28"/>
        <v/>
      </c>
      <c r="W77" s="5" t="str">
        <f t="shared" si="29"/>
        <v/>
      </c>
      <c r="Y77" t="str">
        <f t="shared" si="30"/>
        <v/>
      </c>
      <c r="Z77" t="str">
        <f t="shared" si="31"/>
        <v/>
      </c>
      <c r="AB77" t="str">
        <f t="shared" si="32"/>
        <v>https://shop.officineitalianezard.it/contents/imgs/products/1_1265-2.jpg</v>
      </c>
      <c r="AE77" t="b">
        <v>0</v>
      </c>
    </row>
    <row r="78" spans="1:31" x14ac:dyDescent="0.2">
      <c r="A78" t="str">
        <f t="shared" si="19"/>
        <v>https://shop.officineitalianezard.it/en/products/index/zard-exhaust-yamaha-wr250f2016-7632-176/</v>
      </c>
      <c r="B78" t="b">
        <f>COUNTIF($A$2:$A78, A78)&gt;1</f>
        <v>1</v>
      </c>
      <c r="C78" t="b">
        <f t="shared" si="20"/>
        <v>0</v>
      </c>
      <c r="D78">
        <f>VLOOKUP(A78,variant_counts!A:B, 2, FALSE)</f>
        <v>0</v>
      </c>
      <c r="E78" t="str">
        <f t="shared" si="33"/>
        <v>zard-exhaust-headers-kit-yamaha-wr-250-f-2016-racing-version-zcy001scr</v>
      </c>
      <c r="F78" t="str">
        <f t="shared" si="21"/>
        <v>ZARD EXHAUST HEADERS KIT YAMAHA WR 250 F 2016 RACING VERSION ZCY001SCR</v>
      </c>
      <c r="G78" t="str">
        <f t="shared" si="22"/>
        <v/>
      </c>
      <c r="H78" t="str">
        <f t="shared" si="34"/>
        <v/>
      </c>
      <c r="I78" t="str">
        <f t="shared" si="35"/>
        <v/>
      </c>
      <c r="J78" t="str">
        <f t="shared" si="36"/>
        <v/>
      </c>
      <c r="K78" t="str">
        <f t="shared" si="37"/>
        <v/>
      </c>
      <c r="L78" t="str">
        <f t="shared" si="23"/>
        <v/>
      </c>
      <c r="M78" t="str">
        <f t="shared" si="24"/>
        <v/>
      </c>
      <c r="R78" t="str">
        <f t="shared" si="25"/>
        <v/>
      </c>
      <c r="S78" t="str">
        <f t="shared" si="26"/>
        <v/>
      </c>
      <c r="U78" t="str">
        <f t="shared" si="27"/>
        <v/>
      </c>
      <c r="V78" t="str">
        <f t="shared" si="28"/>
        <v/>
      </c>
      <c r="W78" s="5" t="str">
        <f t="shared" si="29"/>
        <v/>
      </c>
      <c r="Y78" t="str">
        <f t="shared" si="30"/>
        <v/>
      </c>
      <c r="Z78" t="str">
        <f t="shared" si="31"/>
        <v/>
      </c>
      <c r="AB78" t="str">
        <f t="shared" si="32"/>
        <v>https://shop.officineitalianezard.it/contents/imgs/products/1_1266-3.jpg</v>
      </c>
      <c r="AE78" t="b">
        <v>0</v>
      </c>
    </row>
    <row r="79" spans="1:31" x14ac:dyDescent="0.2">
      <c r="A79" t="str">
        <f t="shared" si="19"/>
        <v>https://shop.officineitalianezard.it/en/yamaha-mt-09-exhaust-3/</v>
      </c>
      <c r="B79" t="b">
        <f>COUNTIF($A$2:$A79, A79)&gt;1</f>
        <v>0</v>
      </c>
      <c r="C79" t="b">
        <f t="shared" si="20"/>
        <v>0</v>
      </c>
      <c r="D79">
        <f>VLOOKUP(A79,variant_counts!A:B, 2, FALSE)</f>
        <v>3</v>
      </c>
      <c r="E79" t="str">
        <f t="shared" si="33"/>
        <v>zard-exhaust-31-full-kit-yamaha-tracer-900-201819-short-version-zy106skr-t</v>
      </c>
      <c r="F79" t="str">
        <f t="shared" si="21"/>
        <v>ZARD EXHAUST 3&gt;1 FULL KIT YAMAHA TRACER 900 2018/19 SHORT VERSION ZY106SKR-T</v>
      </c>
      <c r="G79" t="str">
        <f t="shared" si="22"/>
        <v>&lt;p&gt;3&amp;gt;1 STEEL FULL KIT RACING WITH REMOVABLE DB KILLER&lt;/p&gt;
&lt;p&gt;ORIGINAL FULL KIT WEIGHT: 8.5 KG&lt;br&gt;ZARD RACING FULL KIT WEIGHT: 3.8 KG&lt;/p&gt;
&lt;p&gt;CARBON ENDCAP&lt;/p&gt;
&lt;p&gt;HARD INCREASE COMPARED TO THE ORIGINAL EXHAUST SYSTEM.&lt;/p&gt;
&lt;p&gt;ASTONISHING SOUND.&lt;/p&gt;
&lt;p&gt;&lt;strong&gt;&lt;/strong&gt;&lt;/p&gt;</v>
      </c>
      <c r="H79" t="str">
        <f t="shared" si="34"/>
        <v>ZARD</v>
      </c>
      <c r="I79" t="str">
        <f t="shared" si="35"/>
        <v>Exhaust Pipe</v>
      </c>
      <c r="J79" t="str">
        <f t="shared" si="36"/>
        <v>Test</v>
      </c>
      <c r="K79" t="b">
        <f t="shared" si="37"/>
        <v>0</v>
      </c>
      <c r="L79" t="str">
        <f t="shared" si="23"/>
        <v/>
      </c>
      <c r="M79" t="str">
        <f t="shared" si="24"/>
        <v/>
      </c>
      <c r="R79" t="str">
        <f t="shared" si="25"/>
        <v/>
      </c>
      <c r="S79" t="str">
        <f t="shared" si="26"/>
        <v/>
      </c>
      <c r="U79" t="str">
        <f t="shared" si="27"/>
        <v/>
      </c>
      <c r="V79" t="str">
        <f t="shared" si="28"/>
        <v/>
      </c>
      <c r="W79" s="5" t="str">
        <f t="shared" si="29"/>
        <v/>
      </c>
      <c r="Y79" t="str">
        <f t="shared" si="30"/>
        <v/>
      </c>
      <c r="Z79" t="str">
        <f t="shared" si="31"/>
        <v/>
      </c>
      <c r="AB79" t="str">
        <f t="shared" si="32"/>
        <v>https://shop.officineitalianezard.it/contents/imgs/products/1_2564-scarico%20mt%2009%20tracer%20-%20zard%201.jpg</v>
      </c>
      <c r="AE79" t="b">
        <v>0</v>
      </c>
    </row>
    <row r="80" spans="1:31" x14ac:dyDescent="0.2">
      <c r="A80" t="str">
        <f t="shared" si="19"/>
        <v>https://shop.officineitalianezard.it/en/yamaha-mt-09-exhaust-3/</v>
      </c>
      <c r="B80" t="b">
        <f>COUNTIF($A$2:$A80, A80)&gt;1</f>
        <v>1</v>
      </c>
      <c r="C80" t="b">
        <f t="shared" si="20"/>
        <v>0</v>
      </c>
      <c r="D80">
        <f>VLOOKUP(A80,variant_counts!A:B, 2, FALSE)</f>
        <v>3</v>
      </c>
      <c r="E80" t="str">
        <f t="shared" si="33"/>
        <v>zard-exhaust-31-full-kit-yamaha-tracer-900-201819-short-version-zy106skr-t</v>
      </c>
      <c r="F80" t="str">
        <f t="shared" si="21"/>
        <v>ZARD EXHAUST 3&gt;1 FULL KIT YAMAHA TRACER 900 2018/19 SHORT VERSION ZY106SKR-T</v>
      </c>
      <c r="G80" t="str">
        <f t="shared" si="22"/>
        <v/>
      </c>
      <c r="H80" t="str">
        <f t="shared" si="34"/>
        <v/>
      </c>
      <c r="I80" t="str">
        <f t="shared" si="35"/>
        <v/>
      </c>
      <c r="J80" t="str">
        <f t="shared" si="36"/>
        <v/>
      </c>
      <c r="K80" t="str">
        <f t="shared" si="37"/>
        <v/>
      </c>
      <c r="L80" t="str">
        <f t="shared" si="23"/>
        <v/>
      </c>
      <c r="M80" t="str">
        <f t="shared" si="24"/>
        <v/>
      </c>
      <c r="R80" t="str">
        <f t="shared" si="25"/>
        <v/>
      </c>
      <c r="S80" t="str">
        <f t="shared" si="26"/>
        <v/>
      </c>
      <c r="U80" t="str">
        <f t="shared" si="27"/>
        <v/>
      </c>
      <c r="V80" t="str">
        <f t="shared" si="28"/>
        <v/>
      </c>
      <c r="W80" s="5" t="str">
        <f t="shared" si="29"/>
        <v/>
      </c>
      <c r="Y80" t="str">
        <f t="shared" si="30"/>
        <v/>
      </c>
      <c r="Z80" t="str">
        <f t="shared" si="31"/>
        <v/>
      </c>
      <c r="AB80" t="str">
        <f t="shared" si="32"/>
        <v>https://shop.officineitalianezard.it/contents/imgs/products/1_2565-scarico%20mt%2009%20tracer%20-%20zard%202.jpg</v>
      </c>
      <c r="AE80" t="b">
        <v>0</v>
      </c>
    </row>
    <row r="81" spans="1:31" x14ac:dyDescent="0.2">
      <c r="A81" t="str">
        <f t="shared" si="19"/>
        <v>https://shop.officineitalianezard.it/en/yamaha-mt-09-exhaust-3/</v>
      </c>
      <c r="B81" t="b">
        <f>COUNTIF($A$2:$A81, A81)&gt;1</f>
        <v>1</v>
      </c>
      <c r="C81" t="b">
        <f t="shared" si="20"/>
        <v>0</v>
      </c>
      <c r="D81">
        <f>VLOOKUP(A81,variant_counts!A:B, 2, FALSE)</f>
        <v>3</v>
      </c>
      <c r="E81" t="str">
        <f t="shared" si="33"/>
        <v>zard-exhaust-31-full-kit-yamaha-tracer-900-201819-short-version-zy106skr-t</v>
      </c>
      <c r="F81" t="str">
        <f t="shared" si="21"/>
        <v>ZARD EXHAUST 3&gt;1 FULL KIT YAMAHA TRACER 900 2018/19 SHORT VERSION ZY106SKR-T</v>
      </c>
      <c r="G81" t="str">
        <f t="shared" si="22"/>
        <v/>
      </c>
      <c r="H81" t="str">
        <f t="shared" si="34"/>
        <v/>
      </c>
      <c r="I81" t="str">
        <f t="shared" si="35"/>
        <v/>
      </c>
      <c r="J81" t="str">
        <f t="shared" si="36"/>
        <v/>
      </c>
      <c r="K81" t="str">
        <f t="shared" si="37"/>
        <v/>
      </c>
      <c r="L81" t="str">
        <f t="shared" si="23"/>
        <v/>
      </c>
      <c r="M81" t="str">
        <f t="shared" si="24"/>
        <v/>
      </c>
      <c r="R81" t="str">
        <f t="shared" si="25"/>
        <v/>
      </c>
      <c r="S81" t="str">
        <f t="shared" si="26"/>
        <v/>
      </c>
      <c r="U81" t="str">
        <f t="shared" si="27"/>
        <v/>
      </c>
      <c r="V81" t="str">
        <f t="shared" si="28"/>
        <v/>
      </c>
      <c r="W81" s="5" t="str">
        <f t="shared" si="29"/>
        <v/>
      </c>
      <c r="Y81" t="str">
        <f t="shared" si="30"/>
        <v/>
      </c>
      <c r="Z81" t="str">
        <f t="shared" si="31"/>
        <v/>
      </c>
      <c r="AB81" t="str">
        <f t="shared" si="32"/>
        <v>https://shop.officineitalianezard.it/contents/imgs/products/1_2566-scarico%20mt%2009%20tracer%20-%20zard%203.jpg</v>
      </c>
      <c r="AE81" t="b">
        <v>0</v>
      </c>
    </row>
    <row r="82" spans="1:31" x14ac:dyDescent="0.2">
      <c r="A82" t="str">
        <f t="shared" si="19"/>
        <v>https://shop.officineitalianezard.it/en/yamaha-mt-09-exhaust-3/</v>
      </c>
      <c r="B82" t="b">
        <f>COUNTIF($A$2:$A82, A82)&gt;1</f>
        <v>1</v>
      </c>
      <c r="C82" t="b">
        <f t="shared" si="20"/>
        <v>1</v>
      </c>
      <c r="D82">
        <f>VLOOKUP(A82,variant_counts!A:B, 2, FALSE)</f>
        <v>3</v>
      </c>
      <c r="E82" t="str">
        <f t="shared" si="33"/>
        <v>zard-exhaust-31-full-kit-yamaha-tracer-900-201819-short-version-zy106skr-t</v>
      </c>
      <c r="F82" t="str">
        <f t="shared" si="21"/>
        <v>ZARD EXHAUST 3&gt;1 FULL KIT YAMAHA TRACER 900 2018/19 SHORT VERSION ZY106SKR-T</v>
      </c>
      <c r="G82" t="str">
        <f t="shared" si="22"/>
        <v/>
      </c>
      <c r="H82" t="str">
        <f t="shared" si="34"/>
        <v/>
      </c>
      <c r="I82" t="str">
        <f t="shared" si="35"/>
        <v/>
      </c>
      <c r="J82" t="str">
        <f t="shared" si="36"/>
        <v/>
      </c>
      <c r="K82" t="str">
        <f t="shared" si="37"/>
        <v/>
      </c>
      <c r="L82" t="str">
        <f t="shared" si="23"/>
        <v>Option</v>
      </c>
      <c r="M82" t="str">
        <f t="shared" si="24"/>
        <v>EURO 4 HOMOLOGATED</v>
      </c>
      <c r="R82" t="str">
        <f t="shared" si="25"/>
        <v>ZY106SKR-T</v>
      </c>
      <c r="S82">
        <f t="shared" si="26"/>
        <v>0</v>
      </c>
      <c r="U82" t="str">
        <f t="shared" si="27"/>
        <v>continue</v>
      </c>
      <c r="V82" t="str">
        <f t="shared" si="28"/>
        <v>manual</v>
      </c>
      <c r="W82" s="5">
        <f t="shared" si="29"/>
        <v>1091.4408000000001</v>
      </c>
      <c r="Y82" t="b">
        <f t="shared" si="30"/>
        <v>1</v>
      </c>
      <c r="Z82" t="b">
        <f t="shared" si="31"/>
        <v>0</v>
      </c>
      <c r="AB82" t="str">
        <f t="shared" si="32"/>
        <v/>
      </c>
      <c r="AE82" t="b">
        <v>0</v>
      </c>
    </row>
    <row r="83" spans="1:31" x14ac:dyDescent="0.2">
      <c r="A83" t="str">
        <f t="shared" si="19"/>
        <v>https://shop.officineitalianezard.it/en/yamaha-mt-09-exhaust-3/</v>
      </c>
      <c r="B83" t="b">
        <f>COUNTIF($A$2:$A83, A83)&gt;1</f>
        <v>1</v>
      </c>
      <c r="C83" t="b">
        <f t="shared" si="20"/>
        <v>1</v>
      </c>
      <c r="D83">
        <f>VLOOKUP(A83,variant_counts!A:B, 2, FALSE)</f>
        <v>3</v>
      </c>
      <c r="E83" t="str">
        <f t="shared" si="33"/>
        <v>zard-exhaust-31-full-kit-yamaha-tracer-900-201819-short-version-zy106skr-t</v>
      </c>
      <c r="F83" t="str">
        <f t="shared" si="21"/>
        <v>ZARD EXHAUST 3&gt;1 FULL KIT YAMAHA TRACER 900 2018/19 SHORT VERSION ZY106SKR-T</v>
      </c>
      <c r="G83" t="str">
        <f t="shared" si="22"/>
        <v/>
      </c>
      <c r="H83" t="str">
        <f t="shared" si="34"/>
        <v/>
      </c>
      <c r="I83" t="str">
        <f t="shared" si="35"/>
        <v/>
      </c>
      <c r="J83" t="str">
        <f t="shared" si="36"/>
        <v/>
      </c>
      <c r="K83" t="str">
        <f t="shared" si="37"/>
        <v/>
      </c>
      <c r="L83" t="str">
        <f t="shared" si="23"/>
        <v>Option</v>
      </c>
      <c r="M83" t="str">
        <f t="shared" si="24"/>
        <v>TITANIUM SILENCER WITH BLACK HEADERS KIT</v>
      </c>
      <c r="R83" t="str">
        <f t="shared" si="25"/>
        <v>ZY106SKR-T</v>
      </c>
      <c r="S83">
        <f t="shared" si="26"/>
        <v>0</v>
      </c>
      <c r="U83" t="str">
        <f t="shared" si="27"/>
        <v>continue</v>
      </c>
      <c r="V83" t="str">
        <f t="shared" si="28"/>
        <v>manual</v>
      </c>
      <c r="W83" s="5">
        <f t="shared" si="29"/>
        <v>1203.6174000000001</v>
      </c>
      <c r="Y83" t="b">
        <f t="shared" si="30"/>
        <v>1</v>
      </c>
      <c r="Z83" t="b">
        <f t="shared" si="31"/>
        <v>0</v>
      </c>
      <c r="AB83" t="str">
        <f t="shared" si="32"/>
        <v/>
      </c>
      <c r="AE83" t="b">
        <v>0</v>
      </c>
    </row>
    <row r="84" spans="1:31" x14ac:dyDescent="0.2">
      <c r="A84" t="str">
        <f t="shared" si="19"/>
        <v>https://shop.officineitalianezard.it/en/yamaha-mt-09-exhaust-3/</v>
      </c>
      <c r="B84" t="b">
        <f>COUNTIF($A$2:$A84, A84)&gt;1</f>
        <v>1</v>
      </c>
      <c r="C84" t="b">
        <f t="shared" si="20"/>
        <v>1</v>
      </c>
      <c r="D84">
        <f>VLOOKUP(A84,variant_counts!A:B, 2, FALSE)</f>
        <v>3</v>
      </c>
      <c r="E84" t="str">
        <f t="shared" si="33"/>
        <v>zard-exhaust-31-full-kit-yamaha-tracer-900-201819-short-version-zy106skr-t</v>
      </c>
      <c r="F84" t="str">
        <f t="shared" si="21"/>
        <v>ZARD EXHAUST 3&gt;1 FULL KIT YAMAHA TRACER 900 2018/19 SHORT VERSION ZY106SKR-T</v>
      </c>
      <c r="G84" t="str">
        <f t="shared" si="22"/>
        <v/>
      </c>
      <c r="H84" t="str">
        <f t="shared" si="34"/>
        <v/>
      </c>
      <c r="I84" t="str">
        <f t="shared" si="35"/>
        <v/>
      </c>
      <c r="J84" t="str">
        <f t="shared" si="36"/>
        <v/>
      </c>
      <c r="K84" t="str">
        <f t="shared" si="37"/>
        <v/>
      </c>
      <c r="L84" t="str">
        <f t="shared" si="23"/>
        <v>Option</v>
      </c>
      <c r="M84" t="str">
        <f t="shared" si="24"/>
        <v>BLACK COATING</v>
      </c>
      <c r="R84" t="str">
        <f t="shared" si="25"/>
        <v>ZY106SKR-T</v>
      </c>
      <c r="S84">
        <f t="shared" si="26"/>
        <v>0</v>
      </c>
      <c r="U84" t="str">
        <f t="shared" si="27"/>
        <v>continue</v>
      </c>
      <c r="V84" t="str">
        <f t="shared" si="28"/>
        <v>manual</v>
      </c>
      <c r="W84" s="5">
        <f t="shared" si="29"/>
        <v>1186.4235000000001</v>
      </c>
      <c r="Y84" t="b">
        <f t="shared" si="30"/>
        <v>1</v>
      </c>
      <c r="Z84" t="b">
        <f t="shared" si="31"/>
        <v>0</v>
      </c>
      <c r="AB84" t="str">
        <f t="shared" si="32"/>
        <v/>
      </c>
      <c r="AE84" t="b">
        <v>0</v>
      </c>
    </row>
    <row r="85" spans="1:31" x14ac:dyDescent="0.2">
      <c r="A85" t="str">
        <f t="shared" si="19"/>
        <v>https://shop.officineitalianezard.it/en/2-1-zard-full-kit-for-yamaha-mt-10/</v>
      </c>
      <c r="B85" t="b">
        <f>COUNTIF($A$2:$A85, A85)&gt;1</f>
        <v>0</v>
      </c>
      <c r="C85" t="b">
        <f t="shared" si="20"/>
        <v>0</v>
      </c>
      <c r="D85">
        <f>VLOOKUP(A85,variant_counts!A:B, 2, FALSE)</f>
        <v>4</v>
      </c>
      <c r="E85" t="str">
        <f t="shared" si="33"/>
        <v>zard-exhaust-31-full-kit-yamaha-tracer-900-201516-short-version-zy097skr</v>
      </c>
      <c r="F85" t="str">
        <f t="shared" si="21"/>
        <v>ZARD EXHAUST 3&gt;1 FULL KIT YAMAHA TRACER 900 2015/16 SHORT VERSION ZY097SKR</v>
      </c>
      <c r="G85" t="str">
        <f t="shared" si="22"/>
        <v>&lt;p&gt;3&amp;gt;1 STEEL FULL KIT RACING WITH REMOVABLE DB KILLER&lt;/p&gt;
&lt;p&gt;ORIGINAL FULL KIT WEIGHT: 8.5KG&lt;br&gt;ZARD FULL KIT WEIGHT: 4.2KG&lt;/p&gt;
&lt;p&gt;HARD INCREASE COMPARED TO THE ORIGINAL EXHAUST SYSTEM.&lt;/p&gt;
&lt;p&gt;ASTONISHING SOUND.&lt;/p&gt;
&lt;p&gt;&lt;/p&gt;</v>
      </c>
      <c r="H85" t="str">
        <f t="shared" si="34"/>
        <v>ZARD</v>
      </c>
      <c r="I85" t="str">
        <f t="shared" si="35"/>
        <v>Exhaust Pipe</v>
      </c>
      <c r="J85" t="str">
        <f t="shared" si="36"/>
        <v>Test</v>
      </c>
      <c r="K85" t="b">
        <f t="shared" si="37"/>
        <v>0</v>
      </c>
      <c r="L85" t="str">
        <f t="shared" si="23"/>
        <v/>
      </c>
      <c r="M85" t="str">
        <f t="shared" si="24"/>
        <v/>
      </c>
      <c r="R85" t="str">
        <f t="shared" si="25"/>
        <v/>
      </c>
      <c r="S85" t="str">
        <f t="shared" si="26"/>
        <v/>
      </c>
      <c r="U85" t="str">
        <f t="shared" si="27"/>
        <v/>
      </c>
      <c r="V85" t="str">
        <f t="shared" si="28"/>
        <v/>
      </c>
      <c r="W85" s="5" t="str">
        <f t="shared" si="29"/>
        <v/>
      </c>
      <c r="Y85" t="str">
        <f t="shared" si="30"/>
        <v/>
      </c>
      <c r="Z85" t="str">
        <f t="shared" si="31"/>
        <v/>
      </c>
      <c r="AB85" t="str">
        <f t="shared" si="32"/>
        <v>https://shop.officineitalianezard.it/contents/imgs/products/1_1315-1.jpg</v>
      </c>
      <c r="AE85" t="b">
        <v>0</v>
      </c>
    </row>
    <row r="86" spans="1:31" x14ac:dyDescent="0.2">
      <c r="A86" t="str">
        <f t="shared" si="19"/>
        <v>https://shop.officineitalianezard.it/en/2-1-zard-full-kit-for-yamaha-mt-10/</v>
      </c>
      <c r="B86" t="b">
        <f>COUNTIF($A$2:$A86, A86)&gt;1</f>
        <v>1</v>
      </c>
      <c r="C86" t="b">
        <f t="shared" si="20"/>
        <v>0</v>
      </c>
      <c r="D86">
        <f>VLOOKUP(A86,variant_counts!A:B, 2, FALSE)</f>
        <v>4</v>
      </c>
      <c r="E86" t="str">
        <f t="shared" si="33"/>
        <v>zard-exhaust-31-full-kit-yamaha-tracer-900-201516-short-version-zy097skr</v>
      </c>
      <c r="F86" t="str">
        <f t="shared" si="21"/>
        <v>ZARD EXHAUST 3&gt;1 FULL KIT YAMAHA TRACER 900 2015/16 SHORT VERSION ZY097SKR</v>
      </c>
      <c r="G86" t="str">
        <f t="shared" si="22"/>
        <v/>
      </c>
      <c r="H86" t="str">
        <f t="shared" si="34"/>
        <v/>
      </c>
      <c r="I86" t="str">
        <f t="shared" si="35"/>
        <v/>
      </c>
      <c r="J86" t="str">
        <f t="shared" si="36"/>
        <v/>
      </c>
      <c r="K86" t="str">
        <f t="shared" si="37"/>
        <v/>
      </c>
      <c r="L86" t="str">
        <f t="shared" si="23"/>
        <v/>
      </c>
      <c r="M86" t="str">
        <f t="shared" si="24"/>
        <v/>
      </c>
      <c r="R86" t="str">
        <f t="shared" si="25"/>
        <v/>
      </c>
      <c r="S86" t="str">
        <f t="shared" si="26"/>
        <v/>
      </c>
      <c r="U86" t="str">
        <f t="shared" si="27"/>
        <v/>
      </c>
      <c r="V86" t="str">
        <f t="shared" si="28"/>
        <v/>
      </c>
      <c r="W86" s="5" t="str">
        <f t="shared" si="29"/>
        <v/>
      </c>
      <c r="Y86" t="str">
        <f t="shared" si="30"/>
        <v/>
      </c>
      <c r="Z86" t="str">
        <f t="shared" si="31"/>
        <v/>
      </c>
      <c r="AB86" t="str">
        <f t="shared" si="32"/>
        <v>https://shop.officineitalianezard.it/contents/imgs/products/1_1316-2.jpg</v>
      </c>
      <c r="AE86" t="b">
        <v>0</v>
      </c>
    </row>
    <row r="87" spans="1:31" x14ac:dyDescent="0.2">
      <c r="A87" t="str">
        <f t="shared" si="19"/>
        <v>https://shop.officineitalianezard.it/en/2-1-zard-full-kit-for-yamaha-mt-10/</v>
      </c>
      <c r="B87" t="b">
        <f>COUNTIF($A$2:$A87, A87)&gt;1</f>
        <v>1</v>
      </c>
      <c r="C87" t="b">
        <f t="shared" si="20"/>
        <v>0</v>
      </c>
      <c r="D87">
        <f>VLOOKUP(A87,variant_counts!A:B, 2, FALSE)</f>
        <v>4</v>
      </c>
      <c r="E87" t="str">
        <f t="shared" si="33"/>
        <v>zard-exhaust-31-full-kit-yamaha-tracer-900-201516-short-version-zy097skr</v>
      </c>
      <c r="F87" t="str">
        <f t="shared" si="21"/>
        <v>ZARD EXHAUST 3&gt;1 FULL KIT YAMAHA TRACER 900 2015/16 SHORT VERSION ZY097SKR</v>
      </c>
      <c r="G87" t="str">
        <f t="shared" si="22"/>
        <v/>
      </c>
      <c r="H87" t="str">
        <f t="shared" si="34"/>
        <v/>
      </c>
      <c r="I87" t="str">
        <f t="shared" si="35"/>
        <v/>
      </c>
      <c r="J87" t="str">
        <f t="shared" si="36"/>
        <v/>
      </c>
      <c r="K87" t="str">
        <f t="shared" si="37"/>
        <v/>
      </c>
      <c r="L87" t="str">
        <f t="shared" si="23"/>
        <v/>
      </c>
      <c r="M87" t="str">
        <f t="shared" si="24"/>
        <v/>
      </c>
      <c r="R87" t="str">
        <f t="shared" si="25"/>
        <v/>
      </c>
      <c r="S87" t="str">
        <f t="shared" si="26"/>
        <v/>
      </c>
      <c r="U87" t="str">
        <f t="shared" si="27"/>
        <v/>
      </c>
      <c r="V87" t="str">
        <f t="shared" si="28"/>
        <v/>
      </c>
      <c r="W87" s="5" t="str">
        <f t="shared" si="29"/>
        <v/>
      </c>
      <c r="Y87" t="str">
        <f t="shared" si="30"/>
        <v/>
      </c>
      <c r="Z87" t="str">
        <f t="shared" si="31"/>
        <v/>
      </c>
      <c r="AB87" t="str">
        <f t="shared" si="32"/>
        <v>https://shop.officineitalianezard.it/contents/imgs/products/1_1317-3.jpg</v>
      </c>
      <c r="AE87" t="b">
        <v>0</v>
      </c>
    </row>
    <row r="88" spans="1:31" x14ac:dyDescent="0.2">
      <c r="A88" t="str">
        <f t="shared" si="19"/>
        <v>https://shop.officineitalianezard.it/en/2-1-zard-full-kit-for-yamaha-mt-10/</v>
      </c>
      <c r="B88" t="b">
        <f>COUNTIF($A$2:$A88, A88)&gt;1</f>
        <v>1</v>
      </c>
      <c r="C88" t="b">
        <f t="shared" si="20"/>
        <v>0</v>
      </c>
      <c r="D88">
        <f>VLOOKUP(A88,variant_counts!A:B, 2, FALSE)</f>
        <v>4</v>
      </c>
      <c r="E88" t="str">
        <f t="shared" si="33"/>
        <v>zard-exhaust-31-full-kit-yamaha-tracer-900-201516-short-version-zy097skr</v>
      </c>
      <c r="F88" t="str">
        <f t="shared" si="21"/>
        <v>ZARD EXHAUST 3&gt;1 FULL KIT YAMAHA TRACER 900 2015/16 SHORT VERSION ZY097SKR</v>
      </c>
      <c r="G88" t="str">
        <f t="shared" si="22"/>
        <v/>
      </c>
      <c r="H88" t="str">
        <f t="shared" si="34"/>
        <v/>
      </c>
      <c r="I88" t="str">
        <f t="shared" si="35"/>
        <v/>
      </c>
      <c r="J88" t="str">
        <f t="shared" si="36"/>
        <v/>
      </c>
      <c r="K88" t="str">
        <f t="shared" si="37"/>
        <v/>
      </c>
      <c r="L88" t="str">
        <f t="shared" si="23"/>
        <v/>
      </c>
      <c r="M88" t="str">
        <f t="shared" si="24"/>
        <v/>
      </c>
      <c r="R88" t="str">
        <f t="shared" si="25"/>
        <v/>
      </c>
      <c r="S88" t="str">
        <f t="shared" si="26"/>
        <v/>
      </c>
      <c r="U88" t="str">
        <f t="shared" si="27"/>
        <v/>
      </c>
      <c r="V88" t="str">
        <f t="shared" si="28"/>
        <v/>
      </c>
      <c r="W88" s="5" t="str">
        <f t="shared" si="29"/>
        <v/>
      </c>
      <c r="Y88" t="str">
        <f t="shared" si="30"/>
        <v/>
      </c>
      <c r="Z88" t="str">
        <f t="shared" si="31"/>
        <v/>
      </c>
      <c r="AB88" t="str">
        <f t="shared" si="32"/>
        <v>https://shop.officineitalianezard.it/contents/imgs/products/1_2024-1721-scarico%20xsr900%20mt07%20xsr700%20mt09%20yamaha%20zard.jpg</v>
      </c>
      <c r="AE88" t="b">
        <v>0</v>
      </c>
    </row>
    <row r="89" spans="1:31" x14ac:dyDescent="0.2">
      <c r="A89" t="str">
        <f t="shared" si="19"/>
        <v>https://shop.officineitalianezard.it/en/2-1-zard-full-kit-for-yamaha-mt-10/</v>
      </c>
      <c r="B89" t="b">
        <f>COUNTIF($A$2:$A89, A89)&gt;1</f>
        <v>1</v>
      </c>
      <c r="C89" t="b">
        <f t="shared" si="20"/>
        <v>0</v>
      </c>
      <c r="D89">
        <f>VLOOKUP(A89,variant_counts!A:B, 2, FALSE)</f>
        <v>4</v>
      </c>
      <c r="E89" t="str">
        <f t="shared" si="33"/>
        <v>zard-exhaust-31-full-kit-yamaha-tracer-900-201516-short-version-zy097skr</v>
      </c>
      <c r="F89" t="str">
        <f t="shared" si="21"/>
        <v>ZARD EXHAUST 3&gt;1 FULL KIT YAMAHA TRACER 900 2015/16 SHORT VERSION ZY097SKR</v>
      </c>
      <c r="G89" t="str">
        <f t="shared" si="22"/>
        <v/>
      </c>
      <c r="H89" t="str">
        <f t="shared" si="34"/>
        <v/>
      </c>
      <c r="I89" t="str">
        <f t="shared" si="35"/>
        <v/>
      </c>
      <c r="J89" t="str">
        <f t="shared" si="36"/>
        <v/>
      </c>
      <c r="K89" t="str">
        <f t="shared" si="37"/>
        <v/>
      </c>
      <c r="L89" t="str">
        <f t="shared" si="23"/>
        <v/>
      </c>
      <c r="M89" t="str">
        <f t="shared" si="24"/>
        <v/>
      </c>
      <c r="R89" t="str">
        <f t="shared" si="25"/>
        <v/>
      </c>
      <c r="S89" t="str">
        <f t="shared" si="26"/>
        <v/>
      </c>
      <c r="U89" t="str">
        <f t="shared" si="27"/>
        <v/>
      </c>
      <c r="V89" t="str">
        <f t="shared" si="28"/>
        <v/>
      </c>
      <c r="W89" s="5" t="str">
        <f t="shared" si="29"/>
        <v/>
      </c>
      <c r="Y89" t="str">
        <f t="shared" si="30"/>
        <v/>
      </c>
      <c r="Z89" t="str">
        <f t="shared" si="31"/>
        <v/>
      </c>
      <c r="AB89" t="str">
        <f t="shared" si="32"/>
        <v>https://shop.officineitalianezard.it/contents/imgs/products/1_2025-scarico%20xsr%20900%20nero%20-%20zard.jpg</v>
      </c>
      <c r="AE89" t="b">
        <v>0</v>
      </c>
    </row>
    <row r="90" spans="1:31" x14ac:dyDescent="0.2">
      <c r="A90" t="str">
        <f t="shared" si="19"/>
        <v>https://shop.officineitalianezard.it/en/2-1-zard-full-kit-for-yamaha-mt-10/</v>
      </c>
      <c r="B90" t="b">
        <f>COUNTIF($A$2:$A90, A90)&gt;1</f>
        <v>1</v>
      </c>
      <c r="C90" t="b">
        <f t="shared" si="20"/>
        <v>1</v>
      </c>
      <c r="D90">
        <f>VLOOKUP(A90,variant_counts!A:B, 2, FALSE)</f>
        <v>4</v>
      </c>
      <c r="E90" t="str">
        <f t="shared" si="33"/>
        <v>zard-exhaust-31-full-kit-yamaha-tracer-900-201516-short-version-zy097skr</v>
      </c>
      <c r="F90" t="str">
        <f t="shared" si="21"/>
        <v>ZARD EXHAUST 3&gt;1 FULL KIT YAMAHA TRACER 900 2015/16 SHORT VERSION ZY097SKR</v>
      </c>
      <c r="G90" t="str">
        <f t="shared" si="22"/>
        <v/>
      </c>
      <c r="H90" t="str">
        <f t="shared" si="34"/>
        <v/>
      </c>
      <c r="I90" t="str">
        <f t="shared" si="35"/>
        <v/>
      </c>
      <c r="J90" t="str">
        <f t="shared" si="36"/>
        <v/>
      </c>
      <c r="K90" t="str">
        <f t="shared" si="37"/>
        <v/>
      </c>
      <c r="L90" t="str">
        <f t="shared" si="23"/>
        <v>Option</v>
      </c>
      <c r="M90" t="str">
        <f t="shared" si="24"/>
        <v>EURO 3 HOMOLOGATED</v>
      </c>
      <c r="R90" t="str">
        <f t="shared" si="25"/>
        <v>ZY097SKR</v>
      </c>
      <c r="S90">
        <f t="shared" si="26"/>
        <v>0</v>
      </c>
      <c r="U90" t="str">
        <f t="shared" si="27"/>
        <v>continue</v>
      </c>
      <c r="V90" t="str">
        <f t="shared" si="28"/>
        <v>manual</v>
      </c>
      <c r="W90" s="5">
        <f t="shared" si="29"/>
        <v>913.20810000000017</v>
      </c>
      <c r="Y90" t="b">
        <f t="shared" si="30"/>
        <v>1</v>
      </c>
      <c r="Z90" t="b">
        <f t="shared" si="31"/>
        <v>0</v>
      </c>
      <c r="AB90" t="str">
        <f t="shared" si="32"/>
        <v/>
      </c>
      <c r="AE90" t="b">
        <v>0</v>
      </c>
    </row>
    <row r="91" spans="1:31" x14ac:dyDescent="0.2">
      <c r="A91" t="str">
        <f t="shared" si="19"/>
        <v>https://shop.officineitalianezard.it/en/2-1-zard-full-kit-for-yamaha-mt-10/</v>
      </c>
      <c r="B91" t="b">
        <f>COUNTIF($A$2:$A91, A91)&gt;1</f>
        <v>1</v>
      </c>
      <c r="C91" t="b">
        <f t="shared" si="20"/>
        <v>1</v>
      </c>
      <c r="D91">
        <f>VLOOKUP(A91,variant_counts!A:B, 2, FALSE)</f>
        <v>4</v>
      </c>
      <c r="E91" t="str">
        <f t="shared" si="33"/>
        <v>zard-exhaust-31-full-kit-yamaha-tracer-900-201516-short-version-zy097skr</v>
      </c>
      <c r="F91" t="str">
        <f t="shared" si="21"/>
        <v>ZARD EXHAUST 3&gt;1 FULL KIT YAMAHA TRACER 900 2015/16 SHORT VERSION ZY097SKR</v>
      </c>
      <c r="G91" t="str">
        <f t="shared" si="22"/>
        <v/>
      </c>
      <c r="H91" t="str">
        <f t="shared" si="34"/>
        <v/>
      </c>
      <c r="I91" t="str">
        <f t="shared" si="35"/>
        <v/>
      </c>
      <c r="J91" t="str">
        <f t="shared" si="36"/>
        <v/>
      </c>
      <c r="K91" t="str">
        <f t="shared" si="37"/>
        <v/>
      </c>
      <c r="L91" t="str">
        <f t="shared" si="23"/>
        <v>Option</v>
      </c>
      <c r="M91" t="str">
        <f t="shared" si="24"/>
        <v>BLACK COATING</v>
      </c>
      <c r="R91" t="str">
        <f t="shared" si="25"/>
        <v>ZY097SKR</v>
      </c>
      <c r="S91">
        <f t="shared" si="26"/>
        <v>0</v>
      </c>
      <c r="U91" t="str">
        <f t="shared" si="27"/>
        <v>continue</v>
      </c>
      <c r="V91" t="str">
        <f t="shared" si="28"/>
        <v>manual</v>
      </c>
      <c r="W91" s="5">
        <f t="shared" si="29"/>
        <v>1049.9490000000001</v>
      </c>
      <c r="Y91" t="b">
        <f t="shared" si="30"/>
        <v>1</v>
      </c>
      <c r="Z91" t="b">
        <f t="shared" si="31"/>
        <v>0</v>
      </c>
      <c r="AB91" t="str">
        <f t="shared" si="32"/>
        <v/>
      </c>
      <c r="AE91" t="b">
        <v>0</v>
      </c>
    </row>
    <row r="92" spans="1:31" x14ac:dyDescent="0.2">
      <c r="A92" t="str">
        <f t="shared" si="19"/>
        <v>https://shop.officineitalianezard.it/en/2-1-zard-full-kit-for-yamaha-mt-10/</v>
      </c>
      <c r="B92" t="b">
        <f>COUNTIF($A$2:$A92, A92)&gt;1</f>
        <v>1</v>
      </c>
      <c r="C92" t="b">
        <f t="shared" si="20"/>
        <v>1</v>
      </c>
      <c r="D92">
        <f>VLOOKUP(A92,variant_counts!A:B, 2, FALSE)</f>
        <v>4</v>
      </c>
      <c r="E92" t="str">
        <f t="shared" si="33"/>
        <v>zard-exhaust-31-full-kit-yamaha-tracer-900-201516-short-version-zy097skr</v>
      </c>
      <c r="F92" t="str">
        <f t="shared" si="21"/>
        <v>ZARD EXHAUST 3&gt;1 FULL KIT YAMAHA TRACER 900 2015/16 SHORT VERSION ZY097SKR</v>
      </c>
      <c r="G92" t="str">
        <f t="shared" si="22"/>
        <v/>
      </c>
      <c r="H92" t="str">
        <f t="shared" si="34"/>
        <v/>
      </c>
      <c r="I92" t="str">
        <f t="shared" si="35"/>
        <v/>
      </c>
      <c r="J92" t="str">
        <f t="shared" si="36"/>
        <v/>
      </c>
      <c r="K92" t="str">
        <f t="shared" si="37"/>
        <v/>
      </c>
      <c r="L92" t="str">
        <f t="shared" si="23"/>
        <v>Option</v>
      </c>
      <c r="M92" t="str">
        <f t="shared" si="24"/>
        <v>CARBON ENDCAP</v>
      </c>
      <c r="R92" t="str">
        <f t="shared" si="25"/>
        <v>ZY097SKR</v>
      </c>
      <c r="S92">
        <f t="shared" si="26"/>
        <v>0</v>
      </c>
      <c r="U92" t="str">
        <f t="shared" si="27"/>
        <v>continue</v>
      </c>
      <c r="V92" t="str">
        <f t="shared" si="28"/>
        <v>manual</v>
      </c>
      <c r="W92" s="5">
        <f t="shared" si="29"/>
        <v>903.37350000000015</v>
      </c>
      <c r="Y92" t="b">
        <f t="shared" si="30"/>
        <v>1</v>
      </c>
      <c r="Z92" t="b">
        <f t="shared" si="31"/>
        <v>0</v>
      </c>
      <c r="AB92" t="str">
        <f t="shared" si="32"/>
        <v/>
      </c>
      <c r="AE92" t="b">
        <v>0</v>
      </c>
    </row>
    <row r="93" spans="1:31" x14ac:dyDescent="0.2">
      <c r="A93" t="str">
        <f t="shared" si="19"/>
        <v>https://shop.officineitalianezard.it/en/2-1-zard-full-kit-for-yamaha-mt-10/</v>
      </c>
      <c r="B93" t="b">
        <f>COUNTIF($A$2:$A93, A93)&gt;1</f>
        <v>1</v>
      </c>
      <c r="C93" t="b">
        <f t="shared" si="20"/>
        <v>1</v>
      </c>
      <c r="D93">
        <f>VLOOKUP(A93,variant_counts!A:B, 2, FALSE)</f>
        <v>4</v>
      </c>
      <c r="E93" t="str">
        <f t="shared" si="33"/>
        <v>zard-exhaust-31-full-kit-yamaha-tracer-900-201516-short-version-zy097skr</v>
      </c>
      <c r="F93" t="str">
        <f t="shared" si="21"/>
        <v>ZARD EXHAUST 3&gt;1 FULL KIT YAMAHA TRACER 900 2015/16 SHORT VERSION ZY097SKR</v>
      </c>
      <c r="G93" t="str">
        <f t="shared" si="22"/>
        <v/>
      </c>
      <c r="H93" t="str">
        <f t="shared" si="34"/>
        <v/>
      </c>
      <c r="I93" t="str">
        <f t="shared" si="35"/>
        <v/>
      </c>
      <c r="J93" t="str">
        <f t="shared" si="36"/>
        <v/>
      </c>
      <c r="K93" t="str">
        <f t="shared" si="37"/>
        <v/>
      </c>
      <c r="L93" t="str">
        <f t="shared" si="23"/>
        <v>Option</v>
      </c>
      <c r="M93" t="str">
        <f t="shared" si="24"/>
        <v>LOGO PLATE AND HOSE CLAMP BRONZED</v>
      </c>
      <c r="R93" t="str">
        <f t="shared" si="25"/>
        <v>ZY097SKR</v>
      </c>
      <c r="S93">
        <f t="shared" si="26"/>
        <v>0</v>
      </c>
      <c r="U93" t="str">
        <f t="shared" si="27"/>
        <v>continue</v>
      </c>
      <c r="V93" t="str">
        <f t="shared" si="28"/>
        <v>manual</v>
      </c>
      <c r="W93" s="5">
        <f t="shared" si="29"/>
        <v>930.40200000000016</v>
      </c>
      <c r="Y93" t="b">
        <f t="shared" si="30"/>
        <v>1</v>
      </c>
      <c r="Z93" t="b">
        <f t="shared" si="31"/>
        <v>0</v>
      </c>
      <c r="AB93" t="str">
        <f t="shared" si="32"/>
        <v/>
      </c>
      <c r="AE93" t="b">
        <v>0</v>
      </c>
    </row>
    <row r="94" spans="1:31" x14ac:dyDescent="0.2">
      <c r="A94" t="str">
        <f t="shared" si="19"/>
        <v>https://shop.officineitalianezard.it/en/2-1-zard-full-kit-for-yamaha-mt-09/</v>
      </c>
      <c r="B94" t="b">
        <f>COUNTIF($A$2:$A94, A94)&gt;1</f>
        <v>0</v>
      </c>
      <c r="C94" t="b">
        <f t="shared" si="20"/>
        <v>0</v>
      </c>
      <c r="D94">
        <f>VLOOKUP(A94,variant_counts!A:B, 2, FALSE)</f>
        <v>4</v>
      </c>
      <c r="E94" t="str">
        <f t="shared" si="33"/>
        <v>zard-exhaust-31-full-kit-yamaha-mt-09-201316-short-version-zy096skr</v>
      </c>
      <c r="F94" t="str">
        <f t="shared" si="21"/>
        <v>ZARD EXHAUST 3&gt;1 FULL KIT YAMAHA MT-09 2013/16 SHORT VERSION ZY096SKR</v>
      </c>
      <c r="G94" t="str">
        <f t="shared" si="22"/>
        <v>&lt;p&gt;3&amp;gt;1 STEEL FULL KIT RACING WITH REMOVABLE DB KILLER&lt;/p&gt;
&lt;p&gt;ORIGINAL FULL KIT WEIGHT: 8.5KG&lt;br&gt;ZARD FULL KIT WEIGHT: 4.2KG&lt;/p&gt;
&lt;p&gt;HARD INCREASE COMPARED TO THE ORIGINAL EXHAUST SYSTEM.&lt;/p&gt;
&lt;p&gt;ASTONISHING SOUND.&lt;/p&gt;
&lt;p&gt;&lt;/p&gt;</v>
      </c>
      <c r="H94" t="str">
        <f t="shared" si="34"/>
        <v>ZARD</v>
      </c>
      <c r="I94" t="str">
        <f t="shared" si="35"/>
        <v>Exhaust Pipe</v>
      </c>
      <c r="J94" t="str">
        <f t="shared" si="36"/>
        <v>Test</v>
      </c>
      <c r="K94" t="b">
        <f t="shared" si="37"/>
        <v>0</v>
      </c>
      <c r="L94" t="str">
        <f t="shared" si="23"/>
        <v/>
      </c>
      <c r="M94" t="str">
        <f t="shared" si="24"/>
        <v/>
      </c>
      <c r="R94" t="str">
        <f t="shared" si="25"/>
        <v/>
      </c>
      <c r="S94" t="str">
        <f t="shared" si="26"/>
        <v/>
      </c>
      <c r="U94" t="str">
        <f t="shared" si="27"/>
        <v/>
      </c>
      <c r="V94" t="str">
        <f t="shared" si="28"/>
        <v/>
      </c>
      <c r="W94" s="5" t="str">
        <f t="shared" si="29"/>
        <v/>
      </c>
      <c r="Y94" t="str">
        <f t="shared" si="30"/>
        <v/>
      </c>
      <c r="Z94" t="str">
        <f t="shared" si="31"/>
        <v/>
      </c>
      <c r="AB94" t="str">
        <f t="shared" si="32"/>
        <v>https://shop.officineitalianezard.it/contents/imgs/products/1_1016-1.jpg</v>
      </c>
      <c r="AE94" t="b">
        <v>0</v>
      </c>
    </row>
    <row r="95" spans="1:31" x14ac:dyDescent="0.2">
      <c r="A95" t="str">
        <f t="shared" si="19"/>
        <v>https://shop.officineitalianezard.it/en/2-1-zard-full-kit-for-yamaha-mt-09/</v>
      </c>
      <c r="B95" t="b">
        <f>COUNTIF($A$2:$A95, A95)&gt;1</f>
        <v>1</v>
      </c>
      <c r="C95" t="b">
        <f t="shared" si="20"/>
        <v>0</v>
      </c>
      <c r="D95">
        <f>VLOOKUP(A95,variant_counts!A:B, 2, FALSE)</f>
        <v>4</v>
      </c>
      <c r="E95" t="str">
        <f t="shared" si="33"/>
        <v>zard-exhaust-31-full-kit-yamaha-mt-09-201316-short-version-zy096skr</v>
      </c>
      <c r="F95" t="str">
        <f t="shared" si="21"/>
        <v>ZARD EXHAUST 3&gt;1 FULL KIT YAMAHA MT-09 2013/16 SHORT VERSION ZY096SKR</v>
      </c>
      <c r="G95" t="str">
        <f t="shared" si="22"/>
        <v/>
      </c>
      <c r="H95" t="str">
        <f t="shared" si="34"/>
        <v/>
      </c>
      <c r="I95" t="str">
        <f t="shared" si="35"/>
        <v/>
      </c>
      <c r="J95" t="str">
        <f t="shared" si="36"/>
        <v/>
      </c>
      <c r="K95" t="str">
        <f t="shared" si="37"/>
        <v/>
      </c>
      <c r="L95" t="str">
        <f t="shared" si="23"/>
        <v/>
      </c>
      <c r="M95" t="str">
        <f t="shared" si="24"/>
        <v/>
      </c>
      <c r="R95" t="str">
        <f t="shared" si="25"/>
        <v/>
      </c>
      <c r="S95" t="str">
        <f t="shared" si="26"/>
        <v/>
      </c>
      <c r="U95" t="str">
        <f t="shared" si="27"/>
        <v/>
      </c>
      <c r="V95" t="str">
        <f t="shared" si="28"/>
        <v/>
      </c>
      <c r="W95" s="5" t="str">
        <f t="shared" si="29"/>
        <v/>
      </c>
      <c r="Y95" t="str">
        <f t="shared" si="30"/>
        <v/>
      </c>
      <c r="Z95" t="str">
        <f t="shared" si="31"/>
        <v/>
      </c>
      <c r="AB95" t="str">
        <f t="shared" si="32"/>
        <v>https://shop.officineitalianezard.it/contents/imgs/products/1_1017-2.jpg</v>
      </c>
      <c r="AE95" t="b">
        <v>0</v>
      </c>
    </row>
    <row r="96" spans="1:31" x14ac:dyDescent="0.2">
      <c r="A96" t="str">
        <f t="shared" si="19"/>
        <v>https://shop.officineitalianezard.it/en/2-1-zard-full-kit-for-yamaha-mt-09/</v>
      </c>
      <c r="B96" t="b">
        <f>COUNTIF($A$2:$A96, A96)&gt;1</f>
        <v>1</v>
      </c>
      <c r="C96" t="b">
        <f t="shared" si="20"/>
        <v>0</v>
      </c>
      <c r="D96">
        <f>VLOOKUP(A96,variant_counts!A:B, 2, FALSE)</f>
        <v>4</v>
      </c>
      <c r="E96" t="str">
        <f t="shared" si="33"/>
        <v>zard-exhaust-31-full-kit-yamaha-mt-09-201316-short-version-zy096skr</v>
      </c>
      <c r="F96" t="str">
        <f t="shared" si="21"/>
        <v>ZARD EXHAUST 3&gt;1 FULL KIT YAMAHA MT-09 2013/16 SHORT VERSION ZY096SKR</v>
      </c>
      <c r="G96" t="str">
        <f t="shared" si="22"/>
        <v/>
      </c>
      <c r="H96" t="str">
        <f t="shared" si="34"/>
        <v/>
      </c>
      <c r="I96" t="str">
        <f t="shared" si="35"/>
        <v/>
      </c>
      <c r="J96" t="str">
        <f t="shared" si="36"/>
        <v/>
      </c>
      <c r="K96" t="str">
        <f t="shared" si="37"/>
        <v/>
      </c>
      <c r="L96" t="str">
        <f t="shared" si="23"/>
        <v/>
      </c>
      <c r="M96" t="str">
        <f t="shared" si="24"/>
        <v/>
      </c>
      <c r="R96" t="str">
        <f t="shared" si="25"/>
        <v/>
      </c>
      <c r="S96" t="str">
        <f t="shared" si="26"/>
        <v/>
      </c>
      <c r="U96" t="str">
        <f t="shared" si="27"/>
        <v/>
      </c>
      <c r="V96" t="str">
        <f t="shared" si="28"/>
        <v/>
      </c>
      <c r="W96" s="5" t="str">
        <f t="shared" si="29"/>
        <v/>
      </c>
      <c r="Y96" t="str">
        <f t="shared" si="30"/>
        <v/>
      </c>
      <c r="Z96" t="str">
        <f t="shared" si="31"/>
        <v/>
      </c>
      <c r="AB96" t="str">
        <f t="shared" si="32"/>
        <v>https://shop.officineitalianezard.it/contents/imgs/products/1_1018-3.jpg</v>
      </c>
      <c r="AE96" t="b">
        <v>0</v>
      </c>
    </row>
    <row r="97" spans="1:31" x14ac:dyDescent="0.2">
      <c r="A97" t="str">
        <f t="shared" si="19"/>
        <v>https://shop.officineitalianezard.it/en/2-1-zard-full-kit-for-yamaha-mt-09/</v>
      </c>
      <c r="B97" t="b">
        <f>COUNTIF($A$2:$A97, A97)&gt;1</f>
        <v>1</v>
      </c>
      <c r="C97" t="b">
        <f t="shared" si="20"/>
        <v>0</v>
      </c>
      <c r="D97">
        <f>VLOOKUP(A97,variant_counts!A:B, 2, FALSE)</f>
        <v>4</v>
      </c>
      <c r="E97" t="str">
        <f t="shared" si="33"/>
        <v>zard-exhaust-31-full-kit-yamaha-mt-09-201316-short-version-zy096skr</v>
      </c>
      <c r="F97" t="str">
        <f t="shared" si="21"/>
        <v>ZARD EXHAUST 3&gt;1 FULL KIT YAMAHA MT-09 2013/16 SHORT VERSION ZY096SKR</v>
      </c>
      <c r="G97" t="str">
        <f t="shared" si="22"/>
        <v/>
      </c>
      <c r="H97" t="str">
        <f t="shared" si="34"/>
        <v/>
      </c>
      <c r="I97" t="str">
        <f t="shared" si="35"/>
        <v/>
      </c>
      <c r="J97" t="str">
        <f t="shared" si="36"/>
        <v/>
      </c>
      <c r="K97" t="str">
        <f t="shared" si="37"/>
        <v/>
      </c>
      <c r="L97" t="str">
        <f t="shared" si="23"/>
        <v/>
      </c>
      <c r="M97" t="str">
        <f t="shared" si="24"/>
        <v/>
      </c>
      <c r="R97" t="str">
        <f t="shared" si="25"/>
        <v/>
      </c>
      <c r="S97" t="str">
        <f t="shared" si="26"/>
        <v/>
      </c>
      <c r="U97" t="str">
        <f t="shared" si="27"/>
        <v/>
      </c>
      <c r="V97" t="str">
        <f t="shared" si="28"/>
        <v/>
      </c>
      <c r="W97" s="5" t="str">
        <f t="shared" si="29"/>
        <v/>
      </c>
      <c r="Y97" t="str">
        <f t="shared" si="30"/>
        <v/>
      </c>
      <c r="Z97" t="str">
        <f t="shared" si="31"/>
        <v/>
      </c>
      <c r="AB97" t="str">
        <f t="shared" si="32"/>
        <v>https://shop.officineitalianezard.it/contents/imgs/products/1_2022-1721-scarico%20xsr900%20mt07%20xsr700%20mt09%20yamaha%20zard.jpg</v>
      </c>
      <c r="AE97" t="b">
        <v>0</v>
      </c>
    </row>
    <row r="98" spans="1:31" x14ac:dyDescent="0.2">
      <c r="A98" t="str">
        <f t="shared" si="19"/>
        <v>https://shop.officineitalianezard.it/en/2-1-zard-full-kit-for-yamaha-mt-09/</v>
      </c>
      <c r="B98" t="b">
        <f>COUNTIF($A$2:$A98, A98)&gt;1</f>
        <v>1</v>
      </c>
      <c r="C98" t="b">
        <f t="shared" si="20"/>
        <v>0</v>
      </c>
      <c r="D98">
        <f>VLOOKUP(A98,variant_counts!A:B, 2, FALSE)</f>
        <v>4</v>
      </c>
      <c r="E98" t="str">
        <f t="shared" si="33"/>
        <v>zard-exhaust-31-full-kit-yamaha-mt-09-201316-short-version-zy096skr</v>
      </c>
      <c r="F98" t="str">
        <f t="shared" si="21"/>
        <v>ZARD EXHAUST 3&gt;1 FULL KIT YAMAHA MT-09 2013/16 SHORT VERSION ZY096SKR</v>
      </c>
      <c r="G98" t="str">
        <f t="shared" si="22"/>
        <v/>
      </c>
      <c r="H98" t="str">
        <f t="shared" si="34"/>
        <v/>
      </c>
      <c r="I98" t="str">
        <f t="shared" si="35"/>
        <v/>
      </c>
      <c r="J98" t="str">
        <f t="shared" si="36"/>
        <v/>
      </c>
      <c r="K98" t="str">
        <f t="shared" si="37"/>
        <v/>
      </c>
      <c r="L98" t="str">
        <f t="shared" si="23"/>
        <v/>
      </c>
      <c r="M98" t="str">
        <f t="shared" si="24"/>
        <v/>
      </c>
      <c r="R98" t="str">
        <f t="shared" si="25"/>
        <v/>
      </c>
      <c r="S98" t="str">
        <f t="shared" si="26"/>
        <v/>
      </c>
      <c r="U98" t="str">
        <f t="shared" si="27"/>
        <v/>
      </c>
      <c r="V98" t="str">
        <f t="shared" si="28"/>
        <v/>
      </c>
      <c r="W98" s="5" t="str">
        <f t="shared" si="29"/>
        <v/>
      </c>
      <c r="Y98" t="str">
        <f t="shared" si="30"/>
        <v/>
      </c>
      <c r="Z98" t="str">
        <f t="shared" si="31"/>
        <v/>
      </c>
      <c r="AB98" t="str">
        <f t="shared" si="32"/>
        <v>https://shop.officineitalianezard.it/contents/imgs/products/1_2023-scarico%20xsr%20900%20nero%20-%20zard.jpg</v>
      </c>
      <c r="AE98" t="b">
        <v>0</v>
      </c>
    </row>
    <row r="99" spans="1:31" x14ac:dyDescent="0.2">
      <c r="A99" t="str">
        <f t="shared" si="19"/>
        <v>https://shop.officineitalianezard.it/en/2-1-zard-full-kit-for-yamaha-mt-09/</v>
      </c>
      <c r="B99" t="b">
        <f>COUNTIF($A$2:$A99, A99)&gt;1</f>
        <v>1</v>
      </c>
      <c r="C99" t="b">
        <f t="shared" si="20"/>
        <v>1</v>
      </c>
      <c r="D99">
        <f>VLOOKUP(A99,variant_counts!A:B, 2, FALSE)</f>
        <v>4</v>
      </c>
      <c r="E99" t="str">
        <f t="shared" si="33"/>
        <v>zard-exhaust-31-full-kit-yamaha-mt-09-201316-short-version-zy096skr</v>
      </c>
      <c r="F99" t="str">
        <f t="shared" si="21"/>
        <v>ZARD EXHAUST 3&gt;1 FULL KIT YAMAHA MT-09 2013/16 SHORT VERSION ZY096SKR</v>
      </c>
      <c r="G99" t="str">
        <f t="shared" si="22"/>
        <v/>
      </c>
      <c r="H99" t="str">
        <f t="shared" si="34"/>
        <v/>
      </c>
      <c r="I99" t="str">
        <f t="shared" si="35"/>
        <v/>
      </c>
      <c r="J99" t="str">
        <f t="shared" si="36"/>
        <v/>
      </c>
      <c r="K99" t="str">
        <f t="shared" si="37"/>
        <v/>
      </c>
      <c r="L99" t="str">
        <f t="shared" si="23"/>
        <v>Option</v>
      </c>
      <c r="M99" t="str">
        <f t="shared" si="24"/>
        <v>EURO 3 HOMOLOGATED</v>
      </c>
      <c r="R99" t="str">
        <f t="shared" si="25"/>
        <v>ZY096SKR</v>
      </c>
      <c r="S99">
        <f t="shared" si="26"/>
        <v>0</v>
      </c>
      <c r="U99" t="str">
        <f t="shared" si="27"/>
        <v>continue</v>
      </c>
      <c r="V99" t="str">
        <f t="shared" si="28"/>
        <v>manual</v>
      </c>
      <c r="W99" s="5">
        <f t="shared" si="29"/>
        <v>913.20810000000017</v>
      </c>
      <c r="Y99" t="b">
        <f t="shared" si="30"/>
        <v>1</v>
      </c>
      <c r="Z99" t="b">
        <f t="shared" si="31"/>
        <v>0</v>
      </c>
      <c r="AB99" t="str">
        <f t="shared" si="32"/>
        <v/>
      </c>
      <c r="AE99" t="b">
        <v>0</v>
      </c>
    </row>
    <row r="100" spans="1:31" x14ac:dyDescent="0.2">
      <c r="A100" t="str">
        <f t="shared" si="19"/>
        <v>https://shop.officineitalianezard.it/en/2-1-zard-full-kit-for-yamaha-mt-09/</v>
      </c>
      <c r="B100" t="b">
        <f>COUNTIF($A$2:$A100, A100)&gt;1</f>
        <v>1</v>
      </c>
      <c r="C100" t="b">
        <f t="shared" si="20"/>
        <v>1</v>
      </c>
      <c r="D100">
        <f>VLOOKUP(A100,variant_counts!A:B, 2, FALSE)</f>
        <v>4</v>
      </c>
      <c r="E100" t="str">
        <f t="shared" si="33"/>
        <v>zard-exhaust-31-full-kit-yamaha-mt-09-201316-short-version-zy096skr</v>
      </c>
      <c r="F100" t="str">
        <f t="shared" si="21"/>
        <v>ZARD EXHAUST 3&gt;1 FULL KIT YAMAHA MT-09 2013/16 SHORT VERSION ZY096SKR</v>
      </c>
      <c r="G100" t="str">
        <f t="shared" si="22"/>
        <v/>
      </c>
      <c r="H100" t="str">
        <f t="shared" si="34"/>
        <v/>
      </c>
      <c r="I100" t="str">
        <f t="shared" si="35"/>
        <v/>
      </c>
      <c r="J100" t="str">
        <f t="shared" si="36"/>
        <v/>
      </c>
      <c r="K100" t="str">
        <f t="shared" si="37"/>
        <v/>
      </c>
      <c r="L100" t="str">
        <f t="shared" si="23"/>
        <v>Option</v>
      </c>
      <c r="M100" t="str">
        <f t="shared" si="24"/>
        <v>BLACK COATING</v>
      </c>
      <c r="R100" t="str">
        <f t="shared" si="25"/>
        <v>ZY096SKR</v>
      </c>
      <c r="S100">
        <f t="shared" si="26"/>
        <v>0</v>
      </c>
      <c r="U100" t="str">
        <f t="shared" si="27"/>
        <v>continue</v>
      </c>
      <c r="V100" t="str">
        <f t="shared" si="28"/>
        <v>manual</v>
      </c>
      <c r="W100" s="5">
        <f t="shared" si="29"/>
        <v>1049.9490000000001</v>
      </c>
      <c r="Y100" t="b">
        <f t="shared" si="30"/>
        <v>1</v>
      </c>
      <c r="Z100" t="b">
        <f t="shared" si="31"/>
        <v>0</v>
      </c>
      <c r="AB100" t="str">
        <f t="shared" si="32"/>
        <v/>
      </c>
      <c r="AE100" t="b">
        <v>0</v>
      </c>
    </row>
    <row r="101" spans="1:31" x14ac:dyDescent="0.2">
      <c r="A101" t="str">
        <f t="shared" si="19"/>
        <v>https://shop.officineitalianezard.it/en/2-1-zard-full-kit-for-yamaha-mt-09/</v>
      </c>
      <c r="B101" t="b">
        <f>COUNTIF($A$2:$A101, A101)&gt;1</f>
        <v>1</v>
      </c>
      <c r="C101" t="b">
        <f t="shared" si="20"/>
        <v>1</v>
      </c>
      <c r="D101">
        <f>VLOOKUP(A101,variant_counts!A:B, 2, FALSE)</f>
        <v>4</v>
      </c>
      <c r="E101" t="str">
        <f t="shared" si="33"/>
        <v>zard-exhaust-31-full-kit-yamaha-mt-09-201316-short-version-zy096skr</v>
      </c>
      <c r="F101" t="str">
        <f t="shared" si="21"/>
        <v>ZARD EXHAUST 3&gt;1 FULL KIT YAMAHA MT-09 2013/16 SHORT VERSION ZY096SKR</v>
      </c>
      <c r="G101" t="str">
        <f t="shared" si="22"/>
        <v/>
      </c>
      <c r="H101" t="str">
        <f t="shared" si="34"/>
        <v/>
      </c>
      <c r="I101" t="str">
        <f t="shared" si="35"/>
        <v/>
      </c>
      <c r="J101" t="str">
        <f t="shared" si="36"/>
        <v/>
      </c>
      <c r="K101" t="str">
        <f t="shared" si="37"/>
        <v/>
      </c>
      <c r="L101" t="str">
        <f t="shared" si="23"/>
        <v>Option</v>
      </c>
      <c r="M101" t="str">
        <f t="shared" si="24"/>
        <v>CARBON ENDCAP</v>
      </c>
      <c r="R101" t="str">
        <f t="shared" si="25"/>
        <v>ZY096SKR</v>
      </c>
      <c r="S101">
        <f t="shared" si="26"/>
        <v>0</v>
      </c>
      <c r="U101" t="str">
        <f t="shared" si="27"/>
        <v>continue</v>
      </c>
      <c r="V101" t="str">
        <f t="shared" si="28"/>
        <v>manual</v>
      </c>
      <c r="W101" s="5">
        <f t="shared" si="29"/>
        <v>903.37350000000015</v>
      </c>
      <c r="Y101" t="b">
        <f t="shared" si="30"/>
        <v>1</v>
      </c>
      <c r="Z101" t="b">
        <f t="shared" si="31"/>
        <v>0</v>
      </c>
      <c r="AB101" t="str">
        <f t="shared" si="32"/>
        <v/>
      </c>
      <c r="AE101" t="b">
        <v>0</v>
      </c>
    </row>
    <row r="102" spans="1:31" x14ac:dyDescent="0.2">
      <c r="A102" t="str">
        <f t="shared" si="19"/>
        <v>https://shop.officineitalianezard.it/en/2-1-zard-full-kit-for-yamaha-mt-09/</v>
      </c>
      <c r="B102" t="b">
        <f>COUNTIF($A$2:$A102, A102)&gt;1</f>
        <v>1</v>
      </c>
      <c r="C102" t="b">
        <f t="shared" si="20"/>
        <v>1</v>
      </c>
      <c r="D102">
        <f>VLOOKUP(A102,variant_counts!A:B, 2, FALSE)</f>
        <v>4</v>
      </c>
      <c r="E102" t="str">
        <f t="shared" si="33"/>
        <v>zard-exhaust-31-full-kit-yamaha-mt-09-201316-short-version-zy096skr</v>
      </c>
      <c r="F102" t="str">
        <f t="shared" si="21"/>
        <v>ZARD EXHAUST 3&gt;1 FULL KIT YAMAHA MT-09 2013/16 SHORT VERSION ZY096SKR</v>
      </c>
      <c r="G102" t="str">
        <f t="shared" si="22"/>
        <v/>
      </c>
      <c r="H102" t="str">
        <f t="shared" si="34"/>
        <v/>
      </c>
      <c r="I102" t="str">
        <f t="shared" si="35"/>
        <v/>
      </c>
      <c r="J102" t="str">
        <f t="shared" si="36"/>
        <v/>
      </c>
      <c r="K102" t="str">
        <f t="shared" si="37"/>
        <v/>
      </c>
      <c r="L102" t="str">
        <f t="shared" si="23"/>
        <v>Option</v>
      </c>
      <c r="M102" t="str">
        <f t="shared" si="24"/>
        <v>LOGO PLATE AND HOSE CLAMP BRONZED</v>
      </c>
      <c r="R102" t="str">
        <f t="shared" si="25"/>
        <v>ZY096SKR</v>
      </c>
      <c r="S102">
        <f t="shared" si="26"/>
        <v>0</v>
      </c>
      <c r="U102" t="str">
        <f t="shared" si="27"/>
        <v>continue</v>
      </c>
      <c r="V102" t="str">
        <f t="shared" si="28"/>
        <v>manual</v>
      </c>
      <c r="W102" s="5">
        <f t="shared" si="29"/>
        <v>930.40200000000016</v>
      </c>
      <c r="Y102" t="b">
        <f t="shared" si="30"/>
        <v>1</v>
      </c>
      <c r="Z102" t="b">
        <f t="shared" si="31"/>
        <v>0</v>
      </c>
      <c r="AB102" t="str">
        <f t="shared" si="32"/>
        <v/>
      </c>
      <c r="AE102" t="b">
        <v>0</v>
      </c>
    </row>
    <row r="103" spans="1:31" x14ac:dyDescent="0.2">
      <c r="A103" t="str">
        <f t="shared" si="19"/>
        <v>https://shop.officineitalianezard.it/en/yamaha-mt-07-exhaust-zard/</v>
      </c>
      <c r="B103" t="b">
        <f>COUNTIF($A$2:$A103, A103)&gt;1</f>
        <v>0</v>
      </c>
      <c r="C103" t="b">
        <f t="shared" si="20"/>
        <v>0</v>
      </c>
      <c r="D103">
        <f>VLOOKUP(A103,variant_counts!A:B, 2, FALSE)</f>
        <v>5</v>
      </c>
      <c r="E103" t="str">
        <f t="shared" si="33"/>
        <v>zard-exhaust-21-full-kit-yamaha-mt-07-201419-short-version-zy095skr</v>
      </c>
      <c r="F103" t="str">
        <f t="shared" si="21"/>
        <v>ZARD EXHAUST 2&gt;1 FULL KIT YAMAHA MT-07 2014/19 SHORT VERSION ZY095SKR</v>
      </c>
      <c r="G103" t="str">
        <f t="shared" si="22"/>
        <v>&lt;p&gt;2&amp;gt;1 STEEL FULL KIT RACING WITH REMOVABLE DB KILLER&lt;/p&gt;
&lt;p&gt;ORIGINAL FULL KIT WEIGHT: 7.2 KG&lt;br&gt;ZARD FULL KIT WEIGHT: 3.7 KG&lt;/p&gt;
&lt;p&gt;HARD INCREASE COMPARED TO THE ORIGINAL EXHAUST SYSTEM.&lt;/p&gt;
&lt;p&gt;ASTONISHING SOUND.&lt;/p&gt;</v>
      </c>
      <c r="H103" t="str">
        <f t="shared" si="34"/>
        <v>ZARD</v>
      </c>
      <c r="I103" t="str">
        <f t="shared" si="35"/>
        <v>Exhaust Pipe</v>
      </c>
      <c r="J103" t="str">
        <f t="shared" si="36"/>
        <v>Test</v>
      </c>
      <c r="K103" t="b">
        <f t="shared" si="37"/>
        <v>0</v>
      </c>
      <c r="L103" t="str">
        <f t="shared" si="23"/>
        <v/>
      </c>
      <c r="M103" t="str">
        <f t="shared" si="24"/>
        <v/>
      </c>
      <c r="R103" t="str">
        <f t="shared" si="25"/>
        <v/>
      </c>
      <c r="S103" t="str">
        <f t="shared" si="26"/>
        <v/>
      </c>
      <c r="U103" t="str">
        <f t="shared" si="27"/>
        <v/>
      </c>
      <c r="V103" t="str">
        <f t="shared" si="28"/>
        <v/>
      </c>
      <c r="W103" s="5" t="str">
        <f t="shared" si="29"/>
        <v/>
      </c>
      <c r="Y103" t="str">
        <f t="shared" si="30"/>
        <v/>
      </c>
      <c r="Z103" t="str">
        <f t="shared" si="31"/>
        <v/>
      </c>
      <c r="AB103" t="str">
        <f t="shared" si="32"/>
        <v>https://shop.officineitalianezard.it/contents/imgs/products/1_2520-scarico%20xsr%20700%20mt%2007%20zard%203.jpg</v>
      </c>
      <c r="AE103" t="b">
        <v>0</v>
      </c>
    </row>
    <row r="104" spans="1:31" x14ac:dyDescent="0.2">
      <c r="A104" t="str">
        <f t="shared" si="19"/>
        <v>https://shop.officineitalianezard.it/en/yamaha-mt-07-exhaust-zard/</v>
      </c>
      <c r="B104" t="b">
        <f>COUNTIF($A$2:$A104, A104)&gt;1</f>
        <v>1</v>
      </c>
      <c r="C104" t="b">
        <f t="shared" si="20"/>
        <v>0</v>
      </c>
      <c r="D104">
        <f>VLOOKUP(A104,variant_counts!A:B, 2, FALSE)</f>
        <v>5</v>
      </c>
      <c r="E104" t="str">
        <f t="shared" si="33"/>
        <v>zard-exhaust-21-full-kit-yamaha-mt-07-201419-short-version-zy095skr</v>
      </c>
      <c r="F104" t="str">
        <f t="shared" si="21"/>
        <v>ZARD EXHAUST 2&gt;1 FULL KIT YAMAHA MT-07 2014/19 SHORT VERSION ZY095SKR</v>
      </c>
      <c r="G104" t="str">
        <f t="shared" si="22"/>
        <v/>
      </c>
      <c r="H104" t="str">
        <f t="shared" si="34"/>
        <v/>
      </c>
      <c r="I104" t="str">
        <f t="shared" si="35"/>
        <v/>
      </c>
      <c r="J104" t="str">
        <f t="shared" si="36"/>
        <v/>
      </c>
      <c r="K104" t="str">
        <f t="shared" si="37"/>
        <v/>
      </c>
      <c r="L104" t="str">
        <f t="shared" si="23"/>
        <v/>
      </c>
      <c r="M104" t="str">
        <f t="shared" si="24"/>
        <v/>
      </c>
      <c r="R104" t="str">
        <f t="shared" si="25"/>
        <v/>
      </c>
      <c r="S104" t="str">
        <f t="shared" si="26"/>
        <v/>
      </c>
      <c r="U104" t="str">
        <f t="shared" si="27"/>
        <v/>
      </c>
      <c r="V104" t="str">
        <f t="shared" si="28"/>
        <v/>
      </c>
      <c r="W104" s="5" t="str">
        <f t="shared" si="29"/>
        <v/>
      </c>
      <c r="Y104" t="str">
        <f t="shared" si="30"/>
        <v/>
      </c>
      <c r="Z104" t="str">
        <f t="shared" si="31"/>
        <v/>
      </c>
      <c r="AB104" t="str">
        <f t="shared" si="32"/>
        <v>https://shop.officineitalianezard.it/contents/imgs/products/1_2518-scarico%20xsr%20700%20mt%2007%20zard%201.jpg</v>
      </c>
      <c r="AE104" t="b">
        <v>0</v>
      </c>
    </row>
    <row r="105" spans="1:31" x14ac:dyDescent="0.2">
      <c r="A105" t="str">
        <f t="shared" si="19"/>
        <v>https://shop.officineitalianezard.it/en/yamaha-mt-07-exhaust-zard/</v>
      </c>
      <c r="B105" t="b">
        <f>COUNTIF($A$2:$A105, A105)&gt;1</f>
        <v>1</v>
      </c>
      <c r="C105" t="b">
        <f t="shared" si="20"/>
        <v>0</v>
      </c>
      <c r="D105">
        <f>VLOOKUP(A105,variant_counts!A:B, 2, FALSE)</f>
        <v>5</v>
      </c>
      <c r="E105" t="str">
        <f t="shared" si="33"/>
        <v>zard-exhaust-21-full-kit-yamaha-mt-07-201419-short-version-zy095skr</v>
      </c>
      <c r="F105" t="str">
        <f t="shared" si="21"/>
        <v>ZARD EXHAUST 2&gt;1 FULL KIT YAMAHA MT-07 2014/19 SHORT VERSION ZY095SKR</v>
      </c>
      <c r="G105" t="str">
        <f t="shared" si="22"/>
        <v/>
      </c>
      <c r="H105" t="str">
        <f t="shared" si="34"/>
        <v/>
      </c>
      <c r="I105" t="str">
        <f t="shared" si="35"/>
        <v/>
      </c>
      <c r="J105" t="str">
        <f t="shared" si="36"/>
        <v/>
      </c>
      <c r="K105" t="str">
        <f t="shared" si="37"/>
        <v/>
      </c>
      <c r="L105" t="str">
        <f t="shared" si="23"/>
        <v/>
      </c>
      <c r="M105" t="str">
        <f t="shared" si="24"/>
        <v/>
      </c>
      <c r="R105" t="str">
        <f t="shared" si="25"/>
        <v/>
      </c>
      <c r="S105" t="str">
        <f t="shared" si="26"/>
        <v/>
      </c>
      <c r="U105" t="str">
        <f t="shared" si="27"/>
        <v/>
      </c>
      <c r="V105" t="str">
        <f t="shared" si="28"/>
        <v/>
      </c>
      <c r="W105" s="5" t="str">
        <f t="shared" si="29"/>
        <v/>
      </c>
      <c r="Y105" t="str">
        <f t="shared" si="30"/>
        <v/>
      </c>
      <c r="Z105" t="str">
        <f t="shared" si="31"/>
        <v/>
      </c>
      <c r="AB105" t="str">
        <f t="shared" si="32"/>
        <v>https://shop.officineitalianezard.it/contents/imgs/products/1_2519-scarico%20xsr%20700%20mt%2007%20zard%202.jpg</v>
      </c>
      <c r="AE105" t="b">
        <v>0</v>
      </c>
    </row>
    <row r="106" spans="1:31" x14ac:dyDescent="0.2">
      <c r="A106" t="str">
        <f t="shared" si="19"/>
        <v>https://shop.officineitalianezard.it/en/yamaha-mt-07-exhaust-zard/</v>
      </c>
      <c r="B106" t="b">
        <f>COUNTIF($A$2:$A106, A106)&gt;1</f>
        <v>1</v>
      </c>
      <c r="C106" t="b">
        <f t="shared" si="20"/>
        <v>0</v>
      </c>
      <c r="D106">
        <f>VLOOKUP(A106,variant_counts!A:B, 2, FALSE)</f>
        <v>5</v>
      </c>
      <c r="E106" t="str">
        <f t="shared" si="33"/>
        <v>zard-exhaust-21-full-kit-yamaha-mt-07-201419-short-version-zy095skr</v>
      </c>
      <c r="F106" t="str">
        <f t="shared" si="21"/>
        <v>ZARD EXHAUST 2&gt;1 FULL KIT YAMAHA MT-07 2014/19 SHORT VERSION ZY095SKR</v>
      </c>
      <c r="G106" t="str">
        <f t="shared" si="22"/>
        <v/>
      </c>
      <c r="H106" t="str">
        <f t="shared" si="34"/>
        <v/>
      </c>
      <c r="I106" t="str">
        <f t="shared" si="35"/>
        <v/>
      </c>
      <c r="J106" t="str">
        <f t="shared" si="36"/>
        <v/>
      </c>
      <c r="K106" t="str">
        <f t="shared" si="37"/>
        <v/>
      </c>
      <c r="L106" t="str">
        <f t="shared" si="23"/>
        <v/>
      </c>
      <c r="M106" t="str">
        <f t="shared" si="24"/>
        <v/>
      </c>
      <c r="R106" t="str">
        <f t="shared" si="25"/>
        <v/>
      </c>
      <c r="S106" t="str">
        <f t="shared" si="26"/>
        <v/>
      </c>
      <c r="U106" t="str">
        <f t="shared" si="27"/>
        <v/>
      </c>
      <c r="V106" t="str">
        <f t="shared" si="28"/>
        <v/>
      </c>
      <c r="W106" s="5" t="str">
        <f t="shared" si="29"/>
        <v/>
      </c>
      <c r="Y106" t="str">
        <f t="shared" si="30"/>
        <v/>
      </c>
      <c r="Z106" t="str">
        <f t="shared" si="31"/>
        <v/>
      </c>
      <c r="AB106" t="str">
        <f t="shared" si="32"/>
        <v>https://shop.officineitalianezard.it/contents/imgs/products/1_2523-scarichi%20yamaha%20mt%2007.jpg</v>
      </c>
      <c r="AE106" t="b">
        <v>0</v>
      </c>
    </row>
    <row r="107" spans="1:31" x14ac:dyDescent="0.2">
      <c r="A107" t="str">
        <f t="shared" si="19"/>
        <v>https://shop.officineitalianezard.it/en/yamaha-mt-07-exhaust-zard/</v>
      </c>
      <c r="B107" t="b">
        <f>COUNTIF($A$2:$A107, A107)&gt;1</f>
        <v>1</v>
      </c>
      <c r="C107" t="b">
        <f t="shared" si="20"/>
        <v>0</v>
      </c>
      <c r="D107">
        <f>VLOOKUP(A107,variant_counts!A:B, 2, FALSE)</f>
        <v>5</v>
      </c>
      <c r="E107" t="str">
        <f t="shared" si="33"/>
        <v>zard-exhaust-21-full-kit-yamaha-mt-07-201419-short-version-zy095skr</v>
      </c>
      <c r="F107" t="str">
        <f t="shared" si="21"/>
        <v>ZARD EXHAUST 2&gt;1 FULL KIT YAMAHA MT-07 2014/19 SHORT VERSION ZY095SKR</v>
      </c>
      <c r="G107" t="str">
        <f t="shared" si="22"/>
        <v/>
      </c>
      <c r="H107" t="str">
        <f t="shared" si="34"/>
        <v/>
      </c>
      <c r="I107" t="str">
        <f t="shared" si="35"/>
        <v/>
      </c>
      <c r="J107" t="str">
        <f t="shared" si="36"/>
        <v/>
      </c>
      <c r="K107" t="str">
        <f t="shared" si="37"/>
        <v/>
      </c>
      <c r="L107" t="str">
        <f t="shared" si="23"/>
        <v/>
      </c>
      <c r="M107" t="str">
        <f t="shared" si="24"/>
        <v/>
      </c>
      <c r="R107" t="str">
        <f t="shared" si="25"/>
        <v/>
      </c>
      <c r="S107" t="str">
        <f t="shared" si="26"/>
        <v/>
      </c>
      <c r="U107" t="str">
        <f t="shared" si="27"/>
        <v/>
      </c>
      <c r="V107" t="str">
        <f t="shared" si="28"/>
        <v/>
      </c>
      <c r="W107" s="5" t="str">
        <f t="shared" si="29"/>
        <v/>
      </c>
      <c r="Y107" t="str">
        <f t="shared" si="30"/>
        <v/>
      </c>
      <c r="Z107" t="str">
        <f t="shared" si="31"/>
        <v/>
      </c>
      <c r="AB107" t="str">
        <f t="shared" si="32"/>
        <v>https://shop.officineitalianezard.it/contents/imgs/products/1_2165-2%20yamaha%20mt%2007%20exhaust%20zard.jpg</v>
      </c>
      <c r="AE107" t="b">
        <v>0</v>
      </c>
    </row>
    <row r="108" spans="1:31" x14ac:dyDescent="0.2">
      <c r="A108" t="str">
        <f t="shared" si="19"/>
        <v>https://shop.officineitalianezard.it/en/yamaha-mt-07-exhaust-zard/</v>
      </c>
      <c r="B108" t="b">
        <f>COUNTIF($A$2:$A108, A108)&gt;1</f>
        <v>1</v>
      </c>
      <c r="C108" t="b">
        <f t="shared" si="20"/>
        <v>0</v>
      </c>
      <c r="D108">
        <f>VLOOKUP(A108,variant_counts!A:B, 2, FALSE)</f>
        <v>5</v>
      </c>
      <c r="E108" t="str">
        <f t="shared" si="33"/>
        <v>zard-exhaust-21-full-kit-yamaha-mt-07-201419-short-version-zy095skr</v>
      </c>
      <c r="F108" t="str">
        <f t="shared" si="21"/>
        <v>ZARD EXHAUST 2&gt;1 FULL KIT YAMAHA MT-07 2014/19 SHORT VERSION ZY095SKR</v>
      </c>
      <c r="G108" t="str">
        <f t="shared" si="22"/>
        <v/>
      </c>
      <c r="H108" t="str">
        <f t="shared" si="34"/>
        <v/>
      </c>
      <c r="I108" t="str">
        <f t="shared" si="35"/>
        <v/>
      </c>
      <c r="J108" t="str">
        <f t="shared" si="36"/>
        <v/>
      </c>
      <c r="K108" t="str">
        <f t="shared" si="37"/>
        <v/>
      </c>
      <c r="L108" t="str">
        <f t="shared" si="23"/>
        <v/>
      </c>
      <c r="M108" t="str">
        <f t="shared" si="24"/>
        <v/>
      </c>
      <c r="R108" t="str">
        <f t="shared" si="25"/>
        <v/>
      </c>
      <c r="S108" t="str">
        <f t="shared" si="26"/>
        <v/>
      </c>
      <c r="U108" t="str">
        <f t="shared" si="27"/>
        <v/>
      </c>
      <c r="V108" t="str">
        <f t="shared" si="28"/>
        <v/>
      </c>
      <c r="W108" s="5" t="str">
        <f t="shared" si="29"/>
        <v/>
      </c>
      <c r="Y108" t="str">
        <f t="shared" si="30"/>
        <v/>
      </c>
      <c r="Z108" t="str">
        <f t="shared" si="31"/>
        <v/>
      </c>
      <c r="AB108" t="str">
        <f t="shared" si="32"/>
        <v>https://shop.officineitalianezard.it/contents/imgs/products/1_2167-3%20yamaha%20mt%2007%20zard%20exhaust.jpg</v>
      </c>
      <c r="AE108" t="b">
        <v>0</v>
      </c>
    </row>
    <row r="109" spans="1:31" x14ac:dyDescent="0.2">
      <c r="A109" t="str">
        <f t="shared" si="19"/>
        <v>https://shop.officineitalianezard.it/en/yamaha-mt-07-exhaust-zard/</v>
      </c>
      <c r="B109" t="b">
        <f>COUNTIF($A$2:$A109, A109)&gt;1</f>
        <v>1</v>
      </c>
      <c r="C109" t="b">
        <f t="shared" si="20"/>
        <v>0</v>
      </c>
      <c r="D109">
        <f>VLOOKUP(A109,variant_counts!A:B, 2, FALSE)</f>
        <v>5</v>
      </c>
      <c r="E109" t="str">
        <f t="shared" si="33"/>
        <v>zard-exhaust-21-full-kit-yamaha-mt-07-201419-short-version-zy095skr</v>
      </c>
      <c r="F109" t="str">
        <f t="shared" si="21"/>
        <v>ZARD EXHAUST 2&gt;1 FULL KIT YAMAHA MT-07 2014/19 SHORT VERSION ZY095SKR</v>
      </c>
      <c r="G109" t="str">
        <f t="shared" si="22"/>
        <v/>
      </c>
      <c r="H109" t="str">
        <f t="shared" si="34"/>
        <v/>
      </c>
      <c r="I109" t="str">
        <f t="shared" si="35"/>
        <v/>
      </c>
      <c r="J109" t="str">
        <f t="shared" si="36"/>
        <v/>
      </c>
      <c r="K109" t="str">
        <f t="shared" si="37"/>
        <v/>
      </c>
      <c r="L109" t="str">
        <f t="shared" si="23"/>
        <v/>
      </c>
      <c r="M109" t="str">
        <f t="shared" si="24"/>
        <v/>
      </c>
      <c r="R109" t="str">
        <f t="shared" si="25"/>
        <v/>
      </c>
      <c r="S109" t="str">
        <f t="shared" si="26"/>
        <v/>
      </c>
      <c r="U109" t="str">
        <f t="shared" si="27"/>
        <v/>
      </c>
      <c r="V109" t="str">
        <f t="shared" si="28"/>
        <v/>
      </c>
      <c r="W109" s="5" t="str">
        <f t="shared" si="29"/>
        <v/>
      </c>
      <c r="Y109" t="str">
        <f t="shared" si="30"/>
        <v/>
      </c>
      <c r="Z109" t="str">
        <f t="shared" si="31"/>
        <v/>
      </c>
      <c r="AB109" t="str">
        <f t="shared" si="32"/>
        <v>https://shop.officineitalianezard.it/contents/imgs/products/1_934-1.jpg</v>
      </c>
      <c r="AE109" t="b">
        <v>0</v>
      </c>
    </row>
    <row r="110" spans="1:31" x14ac:dyDescent="0.2">
      <c r="A110" t="str">
        <f t="shared" si="19"/>
        <v>https://shop.officineitalianezard.it/en/yamaha-mt-07-exhaust-zard/</v>
      </c>
      <c r="B110" t="b">
        <f>COUNTIF($A$2:$A110, A110)&gt;1</f>
        <v>1</v>
      </c>
      <c r="C110" t="b">
        <f t="shared" si="20"/>
        <v>0</v>
      </c>
      <c r="D110">
        <f>VLOOKUP(A110,variant_counts!A:B, 2, FALSE)</f>
        <v>5</v>
      </c>
      <c r="E110" t="str">
        <f t="shared" si="33"/>
        <v>zard-exhaust-21-full-kit-yamaha-mt-07-201419-short-version-zy095skr</v>
      </c>
      <c r="F110" t="str">
        <f t="shared" si="21"/>
        <v>ZARD EXHAUST 2&gt;1 FULL KIT YAMAHA MT-07 2014/19 SHORT VERSION ZY095SKR</v>
      </c>
      <c r="G110" t="str">
        <f t="shared" si="22"/>
        <v/>
      </c>
      <c r="H110" t="str">
        <f t="shared" si="34"/>
        <v/>
      </c>
      <c r="I110" t="str">
        <f t="shared" si="35"/>
        <v/>
      </c>
      <c r="J110" t="str">
        <f t="shared" si="36"/>
        <v/>
      </c>
      <c r="K110" t="str">
        <f t="shared" si="37"/>
        <v/>
      </c>
      <c r="L110" t="str">
        <f t="shared" si="23"/>
        <v/>
      </c>
      <c r="M110" t="str">
        <f t="shared" si="24"/>
        <v/>
      </c>
      <c r="R110" t="str">
        <f t="shared" si="25"/>
        <v/>
      </c>
      <c r="S110" t="str">
        <f t="shared" si="26"/>
        <v/>
      </c>
      <c r="U110" t="str">
        <f t="shared" si="27"/>
        <v/>
      </c>
      <c r="V110" t="str">
        <f t="shared" si="28"/>
        <v/>
      </c>
      <c r="W110" s="5" t="str">
        <f t="shared" si="29"/>
        <v/>
      </c>
      <c r="Y110" t="str">
        <f t="shared" si="30"/>
        <v/>
      </c>
      <c r="Z110" t="str">
        <f t="shared" si="31"/>
        <v/>
      </c>
      <c r="AB110" t="str">
        <f t="shared" si="32"/>
        <v>https://shop.officineitalianezard.it/contents/imgs/products/1_938-2.jpg</v>
      </c>
      <c r="AE110" t="b">
        <v>0</v>
      </c>
    </row>
    <row r="111" spans="1:31" x14ac:dyDescent="0.2">
      <c r="A111" t="str">
        <f t="shared" si="19"/>
        <v>https://shop.officineitalianezard.it/en/yamaha-mt-07-exhaust-zard/</v>
      </c>
      <c r="B111" t="b">
        <f>COUNTIF($A$2:$A111, A111)&gt;1</f>
        <v>1</v>
      </c>
      <c r="C111" t="b">
        <f t="shared" si="20"/>
        <v>0</v>
      </c>
      <c r="D111">
        <f>VLOOKUP(A111,variant_counts!A:B, 2, FALSE)</f>
        <v>5</v>
      </c>
      <c r="E111" t="str">
        <f t="shared" si="33"/>
        <v>zard-exhaust-21-full-kit-yamaha-mt-07-201419-short-version-zy095skr</v>
      </c>
      <c r="F111" t="str">
        <f t="shared" si="21"/>
        <v>ZARD EXHAUST 2&gt;1 FULL KIT YAMAHA MT-07 2014/19 SHORT VERSION ZY095SKR</v>
      </c>
      <c r="G111" t="str">
        <f t="shared" si="22"/>
        <v/>
      </c>
      <c r="H111" t="str">
        <f t="shared" si="34"/>
        <v/>
      </c>
      <c r="I111" t="str">
        <f t="shared" si="35"/>
        <v/>
      </c>
      <c r="J111" t="str">
        <f t="shared" si="36"/>
        <v/>
      </c>
      <c r="K111" t="str">
        <f t="shared" si="37"/>
        <v/>
      </c>
      <c r="L111" t="str">
        <f t="shared" si="23"/>
        <v/>
      </c>
      <c r="M111" t="str">
        <f t="shared" si="24"/>
        <v/>
      </c>
      <c r="R111" t="str">
        <f t="shared" si="25"/>
        <v/>
      </c>
      <c r="S111" t="str">
        <f t="shared" si="26"/>
        <v/>
      </c>
      <c r="U111" t="str">
        <f t="shared" si="27"/>
        <v/>
      </c>
      <c r="V111" t="str">
        <f t="shared" si="28"/>
        <v/>
      </c>
      <c r="W111" s="5" t="str">
        <f t="shared" si="29"/>
        <v/>
      </c>
      <c r="Y111" t="str">
        <f t="shared" si="30"/>
        <v/>
      </c>
      <c r="Z111" t="str">
        <f t="shared" si="31"/>
        <v/>
      </c>
      <c r="AB111" t="str">
        <f t="shared" si="32"/>
        <v>https://shop.officineitalianezard.it/contents/imgs/products/1_2019-939-3.jpg</v>
      </c>
      <c r="AE111" t="b">
        <v>0</v>
      </c>
    </row>
    <row r="112" spans="1:31" x14ac:dyDescent="0.2">
      <c r="A112" t="str">
        <f t="shared" si="19"/>
        <v>https://shop.officineitalianezard.it/en/yamaha-mt-07-exhaust-zard/</v>
      </c>
      <c r="B112" t="b">
        <f>COUNTIF($A$2:$A112, A112)&gt;1</f>
        <v>1</v>
      </c>
      <c r="C112" t="b">
        <f t="shared" si="20"/>
        <v>0</v>
      </c>
      <c r="D112">
        <f>VLOOKUP(A112,variant_counts!A:B, 2, FALSE)</f>
        <v>5</v>
      </c>
      <c r="E112" t="str">
        <f t="shared" si="33"/>
        <v>zard-exhaust-21-full-kit-yamaha-mt-07-201419-short-version-zy095skr</v>
      </c>
      <c r="F112" t="str">
        <f t="shared" si="21"/>
        <v>ZARD EXHAUST 2&gt;1 FULL KIT YAMAHA MT-07 2014/19 SHORT VERSION ZY095SKR</v>
      </c>
      <c r="G112" t="str">
        <f t="shared" si="22"/>
        <v/>
      </c>
      <c r="H112" t="str">
        <f t="shared" si="34"/>
        <v/>
      </c>
      <c r="I112" t="str">
        <f t="shared" si="35"/>
        <v/>
      </c>
      <c r="J112" t="str">
        <f t="shared" si="36"/>
        <v/>
      </c>
      <c r="K112" t="str">
        <f t="shared" si="37"/>
        <v/>
      </c>
      <c r="L112" t="str">
        <f t="shared" si="23"/>
        <v/>
      </c>
      <c r="M112" t="str">
        <f t="shared" si="24"/>
        <v/>
      </c>
      <c r="R112" t="str">
        <f t="shared" si="25"/>
        <v/>
      </c>
      <c r="S112" t="str">
        <f t="shared" si="26"/>
        <v/>
      </c>
      <c r="U112" t="str">
        <f t="shared" si="27"/>
        <v/>
      </c>
      <c r="V112" t="str">
        <f t="shared" si="28"/>
        <v/>
      </c>
      <c r="W112" s="5" t="str">
        <f t="shared" si="29"/>
        <v/>
      </c>
      <c r="Y112" t="str">
        <f t="shared" si="30"/>
        <v/>
      </c>
      <c r="Z112" t="str">
        <f t="shared" si="31"/>
        <v/>
      </c>
      <c r="AB112" t="str">
        <f t="shared" si="32"/>
        <v>https://shop.officineitalianezard.it/contents/imgs/products/1_2017-1721-scarico%20xsr900%20mt07%20xsr700%20mt09%20yamaha%20zard.jpg</v>
      </c>
      <c r="AE112" t="b">
        <v>0</v>
      </c>
    </row>
    <row r="113" spans="1:31" x14ac:dyDescent="0.2">
      <c r="A113" t="str">
        <f t="shared" si="19"/>
        <v>https://shop.officineitalianezard.it/en/yamaha-mt-07-exhaust-zard/</v>
      </c>
      <c r="B113" t="b">
        <f>COUNTIF($A$2:$A113, A113)&gt;1</f>
        <v>1</v>
      </c>
      <c r="C113" t="b">
        <f t="shared" si="20"/>
        <v>1</v>
      </c>
      <c r="D113">
        <f>VLOOKUP(A113,variant_counts!A:B, 2, FALSE)</f>
        <v>5</v>
      </c>
      <c r="E113" t="str">
        <f t="shared" si="33"/>
        <v>zard-exhaust-21-full-kit-yamaha-mt-07-201419-short-version-zy095skr</v>
      </c>
      <c r="F113" t="str">
        <f t="shared" si="21"/>
        <v>ZARD EXHAUST 2&gt;1 FULL KIT YAMAHA MT-07 2014/19 SHORT VERSION ZY095SKR</v>
      </c>
      <c r="G113" t="str">
        <f t="shared" si="22"/>
        <v/>
      </c>
      <c r="H113" t="str">
        <f t="shared" si="34"/>
        <v/>
      </c>
      <c r="I113" t="str">
        <f t="shared" si="35"/>
        <v/>
      </c>
      <c r="J113" t="str">
        <f t="shared" si="36"/>
        <v/>
      </c>
      <c r="K113" t="str">
        <f t="shared" si="37"/>
        <v/>
      </c>
      <c r="L113" t="str">
        <f t="shared" si="23"/>
        <v>Option</v>
      </c>
      <c r="M113" t="str">
        <f t="shared" si="24"/>
        <v>EURO 4 HOMOLOGATED</v>
      </c>
      <c r="R113" t="str">
        <f t="shared" si="25"/>
        <v>ZY095SKR</v>
      </c>
      <c r="S113">
        <f t="shared" si="26"/>
        <v>0</v>
      </c>
      <c r="U113" t="str">
        <f t="shared" si="27"/>
        <v>continue</v>
      </c>
      <c r="V113" t="str">
        <f t="shared" si="28"/>
        <v>manual</v>
      </c>
      <c r="W113" s="5">
        <f t="shared" si="29"/>
        <v>892.18470000000002</v>
      </c>
      <c r="Y113" t="b">
        <f t="shared" si="30"/>
        <v>1</v>
      </c>
      <c r="Z113" t="b">
        <f t="shared" si="31"/>
        <v>0</v>
      </c>
      <c r="AB113" t="str">
        <f t="shared" si="32"/>
        <v/>
      </c>
      <c r="AE113" t="b">
        <v>0</v>
      </c>
    </row>
    <row r="114" spans="1:31" x14ac:dyDescent="0.2">
      <c r="A114" t="str">
        <f t="shared" si="19"/>
        <v>https://shop.officineitalianezard.it/en/yamaha-mt-07-exhaust-zard/</v>
      </c>
      <c r="B114" t="b">
        <f>COUNTIF($A$2:$A114, A114)&gt;1</f>
        <v>1</v>
      </c>
      <c r="C114" t="b">
        <f t="shared" si="20"/>
        <v>1</v>
      </c>
      <c r="D114">
        <f>VLOOKUP(A114,variant_counts!A:B, 2, FALSE)</f>
        <v>5</v>
      </c>
      <c r="E114" t="str">
        <f t="shared" si="33"/>
        <v>zard-exhaust-21-full-kit-yamaha-mt-07-201419-short-version-zy095skr</v>
      </c>
      <c r="F114" t="str">
        <f t="shared" si="21"/>
        <v>ZARD EXHAUST 2&gt;1 FULL KIT YAMAHA MT-07 2014/19 SHORT VERSION ZY095SKR</v>
      </c>
      <c r="G114" t="str">
        <f t="shared" si="22"/>
        <v/>
      </c>
      <c r="H114" t="str">
        <f t="shared" si="34"/>
        <v/>
      </c>
      <c r="I114" t="str">
        <f t="shared" si="35"/>
        <v/>
      </c>
      <c r="J114" t="str">
        <f t="shared" si="36"/>
        <v/>
      </c>
      <c r="K114" t="str">
        <f t="shared" si="37"/>
        <v/>
      </c>
      <c r="L114" t="str">
        <f t="shared" si="23"/>
        <v>Option</v>
      </c>
      <c r="M114" t="str">
        <f t="shared" si="24"/>
        <v>EURO 3 HOMOLOGATED</v>
      </c>
      <c r="R114" t="str">
        <f t="shared" si="25"/>
        <v>ZY095SKR</v>
      </c>
      <c r="S114">
        <f t="shared" si="26"/>
        <v>0</v>
      </c>
      <c r="U114" t="str">
        <f t="shared" si="27"/>
        <v>continue</v>
      </c>
      <c r="V114" t="str">
        <f t="shared" si="28"/>
        <v>manual</v>
      </c>
      <c r="W114" s="5">
        <f t="shared" si="29"/>
        <v>849.60509999999999</v>
      </c>
      <c r="Y114" t="b">
        <f t="shared" si="30"/>
        <v>1</v>
      </c>
      <c r="Z114" t="b">
        <f t="shared" si="31"/>
        <v>0</v>
      </c>
      <c r="AB114" t="str">
        <f t="shared" si="32"/>
        <v/>
      </c>
      <c r="AE114" t="b">
        <v>0</v>
      </c>
    </row>
    <row r="115" spans="1:31" x14ac:dyDescent="0.2">
      <c r="A115" t="str">
        <f t="shared" si="19"/>
        <v>https://shop.officineitalianezard.it/en/yamaha-mt-07-exhaust-zard/</v>
      </c>
      <c r="B115" t="b">
        <f>COUNTIF($A$2:$A115, A115)&gt;1</f>
        <v>1</v>
      </c>
      <c r="C115" t="b">
        <f t="shared" si="20"/>
        <v>1</v>
      </c>
      <c r="D115">
        <f>VLOOKUP(A115,variant_counts!A:B, 2, FALSE)</f>
        <v>5</v>
      </c>
      <c r="E115" t="str">
        <f t="shared" si="33"/>
        <v>zard-exhaust-21-full-kit-yamaha-mt-07-201419-short-version-zy095skr</v>
      </c>
      <c r="F115" t="str">
        <f t="shared" si="21"/>
        <v>ZARD EXHAUST 2&gt;1 FULL KIT YAMAHA MT-07 2014/19 SHORT VERSION ZY095SKR</v>
      </c>
      <c r="G115" t="str">
        <f t="shared" si="22"/>
        <v/>
      </c>
      <c r="H115" t="str">
        <f t="shared" si="34"/>
        <v/>
      </c>
      <c r="I115" t="str">
        <f t="shared" si="35"/>
        <v/>
      </c>
      <c r="J115" t="str">
        <f t="shared" si="36"/>
        <v/>
      </c>
      <c r="K115" t="str">
        <f t="shared" si="37"/>
        <v/>
      </c>
      <c r="L115" t="str">
        <f t="shared" si="23"/>
        <v>Option</v>
      </c>
      <c r="M115" t="str">
        <f t="shared" si="24"/>
        <v>BLACK COATING</v>
      </c>
      <c r="R115" t="str">
        <f t="shared" si="25"/>
        <v>ZY095SKR</v>
      </c>
      <c r="S115">
        <f t="shared" si="26"/>
        <v>0</v>
      </c>
      <c r="U115" t="str">
        <f t="shared" si="27"/>
        <v>continue</v>
      </c>
      <c r="V115" t="str">
        <f t="shared" si="28"/>
        <v>manual</v>
      </c>
      <c r="W115" s="5">
        <f t="shared" si="29"/>
        <v>987.16740000000004</v>
      </c>
      <c r="Y115" t="b">
        <f t="shared" si="30"/>
        <v>1</v>
      </c>
      <c r="Z115" t="b">
        <f t="shared" si="31"/>
        <v>0</v>
      </c>
      <c r="AB115" t="str">
        <f t="shared" si="32"/>
        <v/>
      </c>
      <c r="AE115" t="b">
        <v>0</v>
      </c>
    </row>
    <row r="116" spans="1:31" x14ac:dyDescent="0.2">
      <c r="A116" t="str">
        <f t="shared" si="19"/>
        <v>https://shop.officineitalianezard.it/en/yamaha-mt-07-exhaust-zard/</v>
      </c>
      <c r="B116" t="b">
        <f>COUNTIF($A$2:$A116, A116)&gt;1</f>
        <v>1</v>
      </c>
      <c r="C116" t="b">
        <f t="shared" si="20"/>
        <v>1</v>
      </c>
      <c r="D116">
        <f>VLOOKUP(A116,variant_counts!A:B, 2, FALSE)</f>
        <v>5</v>
      </c>
      <c r="E116" t="str">
        <f t="shared" si="33"/>
        <v>zard-exhaust-21-full-kit-yamaha-mt-07-201419-short-version-zy095skr</v>
      </c>
      <c r="F116" t="str">
        <f t="shared" si="21"/>
        <v>ZARD EXHAUST 2&gt;1 FULL KIT YAMAHA MT-07 2014/19 SHORT VERSION ZY095SKR</v>
      </c>
      <c r="G116" t="str">
        <f t="shared" si="22"/>
        <v/>
      </c>
      <c r="H116" t="str">
        <f t="shared" si="34"/>
        <v/>
      </c>
      <c r="I116" t="str">
        <f t="shared" si="35"/>
        <v/>
      </c>
      <c r="J116" t="str">
        <f t="shared" si="36"/>
        <v/>
      </c>
      <c r="K116" t="str">
        <f t="shared" si="37"/>
        <v/>
      </c>
      <c r="L116" t="str">
        <f t="shared" si="23"/>
        <v>Option</v>
      </c>
      <c r="M116" t="str">
        <f t="shared" si="24"/>
        <v>CARBON ENDCAP</v>
      </c>
      <c r="R116" t="str">
        <f t="shared" si="25"/>
        <v>ZY095SKR</v>
      </c>
      <c r="S116">
        <f t="shared" si="26"/>
        <v>0</v>
      </c>
      <c r="U116" t="str">
        <f t="shared" si="27"/>
        <v>continue</v>
      </c>
      <c r="V116" t="str">
        <f t="shared" si="28"/>
        <v>manual</v>
      </c>
      <c r="W116" s="5">
        <f t="shared" si="29"/>
        <v>840.59190000000001</v>
      </c>
      <c r="Y116" t="b">
        <f t="shared" si="30"/>
        <v>1</v>
      </c>
      <c r="Z116" t="b">
        <f t="shared" si="31"/>
        <v>0</v>
      </c>
      <c r="AB116" t="str">
        <f t="shared" si="32"/>
        <v/>
      </c>
      <c r="AE116" t="b">
        <v>0</v>
      </c>
    </row>
    <row r="117" spans="1:31" x14ac:dyDescent="0.2">
      <c r="A117" t="str">
        <f t="shared" si="19"/>
        <v>https://shop.officineitalianezard.it/en/yamaha-mt-07-exhaust-zard/</v>
      </c>
      <c r="B117" t="b">
        <f>COUNTIF($A$2:$A117, A117)&gt;1</f>
        <v>1</v>
      </c>
      <c r="C117" t="b">
        <f t="shared" si="20"/>
        <v>1</v>
      </c>
      <c r="D117">
        <f>VLOOKUP(A117,variant_counts!A:B, 2, FALSE)</f>
        <v>5</v>
      </c>
      <c r="E117" t="str">
        <f t="shared" si="33"/>
        <v>zard-exhaust-21-full-kit-yamaha-mt-07-201419-short-version-zy095skr</v>
      </c>
      <c r="F117" t="str">
        <f t="shared" si="21"/>
        <v>ZARD EXHAUST 2&gt;1 FULL KIT YAMAHA MT-07 2014/19 SHORT VERSION ZY095SKR</v>
      </c>
      <c r="G117" t="str">
        <f t="shared" si="22"/>
        <v/>
      </c>
      <c r="H117" t="str">
        <f t="shared" si="34"/>
        <v/>
      </c>
      <c r="I117" t="str">
        <f t="shared" si="35"/>
        <v/>
      </c>
      <c r="J117" t="str">
        <f t="shared" si="36"/>
        <v/>
      </c>
      <c r="K117" t="str">
        <f t="shared" si="37"/>
        <v/>
      </c>
      <c r="L117" t="str">
        <f t="shared" si="23"/>
        <v>Option</v>
      </c>
      <c r="M117" t="str">
        <f t="shared" si="24"/>
        <v>LOGO PLATE AND HOSE CLAMP BRONZED</v>
      </c>
      <c r="R117" t="str">
        <f t="shared" si="25"/>
        <v>ZY095SKR</v>
      </c>
      <c r="S117">
        <f t="shared" si="26"/>
        <v>0</v>
      </c>
      <c r="U117" t="str">
        <f t="shared" si="27"/>
        <v>continue</v>
      </c>
      <c r="V117" t="str">
        <f t="shared" si="28"/>
        <v>manual</v>
      </c>
      <c r="W117" s="5">
        <f t="shared" si="29"/>
        <v>867.62040000000002</v>
      </c>
      <c r="Y117" t="b">
        <f t="shared" si="30"/>
        <v>1</v>
      </c>
      <c r="Z117" t="b">
        <f t="shared" si="31"/>
        <v>0</v>
      </c>
      <c r="AB117" t="str">
        <f t="shared" si="32"/>
        <v/>
      </c>
      <c r="AE117" t="b">
        <v>0</v>
      </c>
    </row>
    <row r="118" spans="1:31" x14ac:dyDescent="0.2">
      <c r="A118" t="str">
        <f t="shared" si="19"/>
        <v>https://shop.officineitalianezard.it/en/products/index/zard-conical-silencer-yamaha-r6-7405-101/</v>
      </c>
      <c r="B118" t="b">
        <f>COUNTIF($A$2:$A118, A118)&gt;1</f>
        <v>0</v>
      </c>
      <c r="C118" t="b">
        <f t="shared" si="20"/>
        <v>0</v>
      </c>
      <c r="D118">
        <f>VLOOKUP(A118,variant_counts!A:B, 2, FALSE)</f>
        <v>2</v>
      </c>
      <c r="E118" t="str">
        <f t="shared" si="33"/>
        <v>zard-exhaust-silencer-yamaha-r6-conical-version-zy-090-ssr</v>
      </c>
      <c r="F118" t="str">
        <f t="shared" si="21"/>
        <v>ZARD EXHAUST SILENCER YAMAHA R6 CONICAL VERSION ZY 090 SSR</v>
      </c>
      <c r="G118" t="str">
        <f t="shared" si="22"/>
        <v>&lt;p&gt;STEEL SILENCER RACING WITH REMOVABLE DB KILLER&lt;/p&gt;
&lt;p&gt;WEIGHT OF THE ZARD MUFFLER: KG 1.9&lt;/p&gt;
&lt;p&gt;HARD INCREASE, COMPARED TO THE ORIGINAL EXHAUST SYSTEM, IN TERMS OF TORQUE AND POWER AT ANY RANGE&lt;/p&gt;
&lt;p&gt;ASTONISHING SOUND&lt;/p&gt;</v>
      </c>
      <c r="H118" t="str">
        <f t="shared" si="34"/>
        <v>ZARD</v>
      </c>
      <c r="I118" t="str">
        <f t="shared" si="35"/>
        <v>Exhaust Pipe</v>
      </c>
      <c r="J118" t="str">
        <f t="shared" si="36"/>
        <v>Test</v>
      </c>
      <c r="K118" t="b">
        <f t="shared" si="37"/>
        <v>0</v>
      </c>
      <c r="L118" t="str">
        <f t="shared" si="23"/>
        <v/>
      </c>
      <c r="M118" t="str">
        <f t="shared" si="24"/>
        <v/>
      </c>
      <c r="R118" t="str">
        <f t="shared" si="25"/>
        <v/>
      </c>
      <c r="S118" t="str">
        <f t="shared" si="26"/>
        <v/>
      </c>
      <c r="U118" t="str">
        <f t="shared" si="27"/>
        <v/>
      </c>
      <c r="V118" t="str">
        <f t="shared" si="28"/>
        <v/>
      </c>
      <c r="W118" s="5" t="str">
        <f t="shared" si="29"/>
        <v/>
      </c>
      <c r="Y118" t="str">
        <f t="shared" si="30"/>
        <v/>
      </c>
      <c r="Z118" t="str">
        <f t="shared" si="31"/>
        <v/>
      </c>
      <c r="AB118" t="str">
        <f t="shared" si="32"/>
        <v>https://shop.officineitalianezard.it/contents/imgs/products/1_636-yamaha-r6.jpg</v>
      </c>
      <c r="AE118" t="b">
        <v>0</v>
      </c>
    </row>
    <row r="119" spans="1:31" x14ac:dyDescent="0.2">
      <c r="A119" t="str">
        <f t="shared" si="19"/>
        <v>https://shop.officineitalianezard.it/en/products/index/zard-conical-silencer-yamaha-r6-7405-101/</v>
      </c>
      <c r="B119" t="b">
        <f>COUNTIF($A$2:$A119, A119)&gt;1</f>
        <v>1</v>
      </c>
      <c r="C119" t="b">
        <f t="shared" si="20"/>
        <v>1</v>
      </c>
      <c r="D119">
        <f>VLOOKUP(A119,variant_counts!A:B, 2, FALSE)</f>
        <v>2</v>
      </c>
      <c r="E119" t="str">
        <f t="shared" si="33"/>
        <v>zard-exhaust-silencer-yamaha-r6-conical-version-zy-090-ssr</v>
      </c>
      <c r="F119" t="str">
        <f t="shared" si="21"/>
        <v>ZARD EXHAUST SILENCER YAMAHA R6 CONICAL VERSION ZY 090 SSR</v>
      </c>
      <c r="G119" t="str">
        <f t="shared" si="22"/>
        <v/>
      </c>
      <c r="H119" t="str">
        <f t="shared" si="34"/>
        <v/>
      </c>
      <c r="I119" t="str">
        <f t="shared" si="35"/>
        <v/>
      </c>
      <c r="J119" t="str">
        <f t="shared" si="36"/>
        <v/>
      </c>
      <c r="K119" t="str">
        <f t="shared" si="37"/>
        <v/>
      </c>
      <c r="L119" t="str">
        <f t="shared" si="23"/>
        <v>Option</v>
      </c>
      <c r="M119" t="str">
        <f t="shared" si="24"/>
        <v>EURO 3 HOMOLOGATED</v>
      </c>
      <c r="R119" t="str">
        <f t="shared" si="25"/>
        <v>ZY 090 SSR</v>
      </c>
      <c r="S119">
        <f t="shared" si="26"/>
        <v>0</v>
      </c>
      <c r="U119" t="str">
        <f t="shared" si="27"/>
        <v>continue</v>
      </c>
      <c r="V119" t="str">
        <f t="shared" si="28"/>
        <v>manual</v>
      </c>
      <c r="W119" s="5">
        <f t="shared" si="29"/>
        <v>328.81530000000004</v>
      </c>
      <c r="Y119" t="b">
        <f t="shared" si="30"/>
        <v>1</v>
      </c>
      <c r="Z119" t="b">
        <f t="shared" si="31"/>
        <v>0</v>
      </c>
      <c r="AB119" t="str">
        <f t="shared" si="32"/>
        <v/>
      </c>
      <c r="AE119" t="b">
        <v>0</v>
      </c>
    </row>
    <row r="120" spans="1:31" x14ac:dyDescent="0.2">
      <c r="A120" t="str">
        <f t="shared" si="19"/>
        <v>https://shop.officineitalianezard.it/en/products/index/zard-conical-silencer-yamaha-r6-7405-101/</v>
      </c>
      <c r="B120" t="b">
        <f>COUNTIF($A$2:$A120, A120)&gt;1</f>
        <v>1</v>
      </c>
      <c r="C120" t="b">
        <f t="shared" si="20"/>
        <v>1</v>
      </c>
      <c r="D120">
        <f>VLOOKUP(A120,variant_counts!A:B, 2, FALSE)</f>
        <v>2</v>
      </c>
      <c r="E120" t="str">
        <f t="shared" si="33"/>
        <v>zard-exhaust-silencer-yamaha-r6-conical-version-zy-090-ssr</v>
      </c>
      <c r="F120" t="str">
        <f t="shared" si="21"/>
        <v>ZARD EXHAUST SILENCER YAMAHA R6 CONICAL VERSION ZY 090 SSR</v>
      </c>
      <c r="G120" t="str">
        <f t="shared" si="22"/>
        <v/>
      </c>
      <c r="H120" t="str">
        <f t="shared" si="34"/>
        <v/>
      </c>
      <c r="I120" t="str">
        <f t="shared" si="35"/>
        <v/>
      </c>
      <c r="J120" t="str">
        <f t="shared" si="36"/>
        <v/>
      </c>
      <c r="K120" t="str">
        <f t="shared" si="37"/>
        <v/>
      </c>
      <c r="L120" t="str">
        <f t="shared" si="23"/>
        <v>Option</v>
      </c>
      <c r="M120" t="str">
        <f t="shared" si="24"/>
        <v>FULL TITANIUM</v>
      </c>
      <c r="R120" t="str">
        <f t="shared" si="25"/>
        <v>ZY 090 SSR</v>
      </c>
      <c r="S120">
        <f t="shared" si="26"/>
        <v>0</v>
      </c>
      <c r="U120" t="str">
        <f t="shared" si="27"/>
        <v>continue</v>
      </c>
      <c r="V120" t="str">
        <f t="shared" si="28"/>
        <v>manual</v>
      </c>
      <c r="W120" s="5">
        <f t="shared" si="29"/>
        <v>438.53880000000009</v>
      </c>
      <c r="Y120" t="b">
        <f t="shared" si="30"/>
        <v>1</v>
      </c>
      <c r="Z120" t="b">
        <f t="shared" si="31"/>
        <v>0</v>
      </c>
      <c r="AB120" t="str">
        <f t="shared" si="32"/>
        <v/>
      </c>
      <c r="AE120" t="b">
        <v>0</v>
      </c>
    </row>
    <row r="121" spans="1:31" x14ac:dyDescent="0.2">
      <c r="A121" t="str">
        <f t="shared" si="19"/>
        <v>https://shop.officineitalianezard.it/en/decatalyzer-zard-yamaha-r1/</v>
      </c>
      <c r="B121" t="b">
        <f>COUNTIF($A$2:$A121, A121)&gt;1</f>
        <v>0</v>
      </c>
      <c r="C121" t="b">
        <f t="shared" si="20"/>
        <v>0</v>
      </c>
      <c r="D121">
        <f>VLOOKUP(A121,variant_counts!A:B, 2, FALSE)</f>
        <v>1</v>
      </c>
      <c r="E121" t="str">
        <f t="shared" si="33"/>
        <v>zard-exhaust-stell-silencer-decatalyzer-kit-yamaha-r1-my-2015-racing-version-zy100skr</v>
      </c>
      <c r="F121" t="str">
        <f t="shared" si="21"/>
        <v>ZARD EXHAUST STELL SILENCER + DECATALYZER KIT YAMAHA R1 M.Y. 2015 RACING VERSION ZY100SKR</v>
      </c>
      <c r="G121" t="str">
        <f t="shared" si="22"/>
        <v>&lt;p&gt;STEEL SILENCER RACING WITH REMOVABLE DB KILLER&lt;/p&gt;
&lt;p&gt;HARD INCREASE, COMPARED TO THE ORIGINAL EXHAUST SYSTEM, IN TERMS OF TORQUE AND POWER AT ANY RANGE&lt;/p&gt;
&lt;p&gt;ASTONISHING SOUND.&lt;/p&gt;</v>
      </c>
      <c r="H121" t="str">
        <f t="shared" si="34"/>
        <v>ZARD</v>
      </c>
      <c r="I121" t="str">
        <f t="shared" si="35"/>
        <v>Exhaust Pipe</v>
      </c>
      <c r="J121" t="str">
        <f t="shared" si="36"/>
        <v>Test</v>
      </c>
      <c r="K121" t="b">
        <f t="shared" si="37"/>
        <v>0</v>
      </c>
      <c r="L121" t="str">
        <f t="shared" si="23"/>
        <v>Option</v>
      </c>
      <c r="M121" t="str">
        <f t="shared" si="24"/>
        <v>DEFAULT</v>
      </c>
      <c r="R121" t="str">
        <f t="shared" si="25"/>
        <v>ZY100SKR</v>
      </c>
      <c r="S121">
        <f t="shared" si="26"/>
        <v>0</v>
      </c>
      <c r="U121" t="str">
        <f t="shared" si="27"/>
        <v>continue</v>
      </c>
      <c r="V121" t="str">
        <f t="shared" si="28"/>
        <v>manual</v>
      </c>
      <c r="W121" s="5">
        <f t="shared" si="29"/>
        <v>1254.6663000000001</v>
      </c>
      <c r="Y121" t="b">
        <f t="shared" si="30"/>
        <v>1</v>
      </c>
      <c r="Z121" t="b">
        <f t="shared" si="31"/>
        <v>0</v>
      </c>
      <c r="AB121" t="str">
        <f t="shared" si="32"/>
        <v>https://shop.officineitalianezard.it/contents/imgs/products/1_1277-1nodbkiller.jpg</v>
      </c>
      <c r="AE121" t="b">
        <v>0</v>
      </c>
    </row>
    <row r="122" spans="1:31" x14ac:dyDescent="0.2">
      <c r="A122" t="str">
        <f t="shared" si="19"/>
        <v>https://shop.officineitalianezard.it/en/decatalyzer-zard-yamaha-r1/</v>
      </c>
      <c r="B122" t="b">
        <f>COUNTIF($A$2:$A122, A122)&gt;1</f>
        <v>1</v>
      </c>
      <c r="C122" t="b">
        <f t="shared" si="20"/>
        <v>0</v>
      </c>
      <c r="D122">
        <f>VLOOKUP(A122,variant_counts!A:B, 2, FALSE)</f>
        <v>1</v>
      </c>
      <c r="E122" t="str">
        <f t="shared" si="33"/>
        <v>zard-exhaust-stell-silencer-decatalyzer-kit-yamaha-r1-my-2015-racing-version-zy100skr</v>
      </c>
      <c r="F122" t="str">
        <f t="shared" si="21"/>
        <v>ZARD EXHAUST STELL SILENCER + DECATALYZER KIT YAMAHA R1 M.Y. 2015 RACING VERSION ZY100SKR</v>
      </c>
      <c r="G122" t="str">
        <f t="shared" si="22"/>
        <v/>
      </c>
      <c r="H122" t="str">
        <f t="shared" si="34"/>
        <v/>
      </c>
      <c r="I122" t="str">
        <f t="shared" si="35"/>
        <v/>
      </c>
      <c r="J122" t="str">
        <f t="shared" si="36"/>
        <v/>
      </c>
      <c r="K122" t="str">
        <f t="shared" si="37"/>
        <v/>
      </c>
      <c r="L122" t="str">
        <f t="shared" si="23"/>
        <v/>
      </c>
      <c r="M122" t="str">
        <f t="shared" si="24"/>
        <v/>
      </c>
      <c r="R122" t="str">
        <f t="shared" si="25"/>
        <v/>
      </c>
      <c r="S122" t="str">
        <f t="shared" si="26"/>
        <v/>
      </c>
      <c r="U122" t="str">
        <f t="shared" si="27"/>
        <v/>
      </c>
      <c r="V122" t="str">
        <f t="shared" si="28"/>
        <v/>
      </c>
      <c r="W122" s="5" t="str">
        <f t="shared" si="29"/>
        <v/>
      </c>
      <c r="Y122" t="str">
        <f t="shared" si="30"/>
        <v/>
      </c>
      <c r="Z122" t="str">
        <f t="shared" si="31"/>
        <v/>
      </c>
      <c r="AB122" t="str">
        <f t="shared" si="32"/>
        <v>https://shop.officineitalianezard.it/contents/imgs/products/1_1278-2nodbkiller.jpg</v>
      </c>
      <c r="AE122" t="b">
        <v>0</v>
      </c>
    </row>
    <row r="123" spans="1:31" x14ac:dyDescent="0.2">
      <c r="A123" t="str">
        <f t="shared" si="19"/>
        <v>https://shop.officineitalianezard.it/en/decatalyzer-zard-yamaha-r1/</v>
      </c>
      <c r="B123" t="b">
        <f>COUNTIF($A$2:$A123, A123)&gt;1</f>
        <v>1</v>
      </c>
      <c r="C123" t="b">
        <f t="shared" si="20"/>
        <v>1</v>
      </c>
      <c r="D123">
        <f>VLOOKUP(A123,variant_counts!A:B, 2, FALSE)</f>
        <v>1</v>
      </c>
      <c r="E123" t="str">
        <f t="shared" si="33"/>
        <v>zard-exhaust-stell-silencer-decatalyzer-kit-yamaha-r1-my-2015-racing-version-zy100skr</v>
      </c>
      <c r="F123" t="str">
        <f t="shared" si="21"/>
        <v>ZARD EXHAUST STELL SILENCER + DECATALYZER KIT YAMAHA R1 M.Y. 2015 RACING VERSION ZY100SKR</v>
      </c>
      <c r="G123" t="str">
        <f t="shared" si="22"/>
        <v/>
      </c>
      <c r="H123" t="str">
        <f t="shared" si="34"/>
        <v/>
      </c>
      <c r="I123" t="str">
        <f t="shared" si="35"/>
        <v/>
      </c>
      <c r="J123" t="str">
        <f t="shared" si="36"/>
        <v/>
      </c>
      <c r="K123" t="str">
        <f t="shared" si="37"/>
        <v/>
      </c>
      <c r="L123" t="str">
        <f t="shared" si="23"/>
        <v>Option</v>
      </c>
      <c r="M123" t="str">
        <f t="shared" si="24"/>
        <v>FULL TITANIUM</v>
      </c>
      <c r="R123" t="str">
        <f t="shared" si="25"/>
        <v>ZY100SKR</v>
      </c>
      <c r="S123">
        <f t="shared" si="26"/>
        <v>0</v>
      </c>
      <c r="U123" t="str">
        <f t="shared" si="27"/>
        <v>continue</v>
      </c>
      <c r="V123" t="str">
        <f t="shared" si="28"/>
        <v>manual</v>
      </c>
      <c r="W123" s="5">
        <f t="shared" si="29"/>
        <v>1558.4622000000002</v>
      </c>
      <c r="Y123" t="b">
        <f t="shared" si="30"/>
        <v>1</v>
      </c>
      <c r="Z123" t="b">
        <f t="shared" si="31"/>
        <v>0</v>
      </c>
      <c r="AB123" t="str">
        <f t="shared" si="32"/>
        <v/>
      </c>
      <c r="AE123" t="b">
        <v>0</v>
      </c>
    </row>
    <row r="124" spans="1:31" x14ac:dyDescent="0.2">
      <c r="A124" t="str">
        <f t="shared" si="19"/>
        <v>https://shop.officineitalianezard.it/en/zard-penta-silencers-suzuki-gsr-750/</v>
      </c>
      <c r="B124" t="b">
        <f>COUNTIF($A$2:$A124, A124)&gt;1</f>
        <v>0</v>
      </c>
      <c r="C124" t="b">
        <f t="shared" si="20"/>
        <v>0</v>
      </c>
      <c r="D124">
        <f>VLOOKUP(A124,variant_counts!A:B, 2, FALSE)</f>
        <v>4</v>
      </c>
      <c r="E124" t="str">
        <f t="shared" si="33"/>
        <v>zard-exhaust-silencer-suzuki-suzuki-gsr-750-penta-version-zs523asr</v>
      </c>
      <c r="F124" t="str">
        <f t="shared" si="21"/>
        <v>ZARD EXHAUST SILENCER SUZUKI SUZUKI GSR 750 PENTA VERSION ZS523ASR</v>
      </c>
      <c r="G124" t="str">
        <f t="shared" si="22"/>
        <v>&lt;p&gt;STEEL-ALUMINIUM BLACK SILENCER RACING WITH REMOVABLE DB KILLER&lt;/p&gt;
&lt;p&gt;ZARD SILENCER WEIGHT: KG 4.5&lt;/p&gt;
&lt;p&gt;HARD INCREASE, COMPARED TO THE ORIGINAL EXHAUST SYSTEM, IN TERMS OF TORQUE AND POWER (+ 5 HP) AT ANY RANGE.&lt;/p&gt;
&lt;p&gt;ASTONISHING SOUND.&lt;/p&gt;</v>
      </c>
      <c r="H124" t="str">
        <f t="shared" si="34"/>
        <v>ZARD</v>
      </c>
      <c r="I124" t="str">
        <f t="shared" si="35"/>
        <v>Exhaust Pipe</v>
      </c>
      <c r="J124" t="str">
        <f t="shared" si="36"/>
        <v>Test</v>
      </c>
      <c r="K124" t="b">
        <f t="shared" si="37"/>
        <v>0</v>
      </c>
      <c r="L124" t="str">
        <f t="shared" si="23"/>
        <v/>
      </c>
      <c r="M124" t="str">
        <f t="shared" si="24"/>
        <v/>
      </c>
      <c r="R124" t="str">
        <f t="shared" si="25"/>
        <v/>
      </c>
      <c r="S124" t="str">
        <f t="shared" si="26"/>
        <v/>
      </c>
      <c r="U124" t="str">
        <f t="shared" si="27"/>
        <v/>
      </c>
      <c r="V124" t="str">
        <f t="shared" si="28"/>
        <v/>
      </c>
      <c r="W124" s="5" t="str">
        <f t="shared" si="29"/>
        <v/>
      </c>
      <c r="Y124" t="str">
        <f t="shared" si="30"/>
        <v/>
      </c>
      <c r="Z124" t="str">
        <f t="shared" si="31"/>
        <v/>
      </c>
      <c r="AB124" t="str">
        <f t="shared" si="32"/>
        <v>https://shop.officineitalianezard.it/contents/imgs/products/1_628-2_585-scarichi%20moto%20zard.jpg</v>
      </c>
      <c r="AE124" t="b">
        <v>0</v>
      </c>
    </row>
    <row r="125" spans="1:31" x14ac:dyDescent="0.2">
      <c r="A125" t="str">
        <f t="shared" si="19"/>
        <v>https://shop.officineitalianezard.it/en/zard-penta-silencers-suzuki-gsr-750/</v>
      </c>
      <c r="B125" t="b">
        <f>COUNTIF($A$2:$A125, A125)&gt;1</f>
        <v>1</v>
      </c>
      <c r="C125" t="b">
        <f t="shared" si="20"/>
        <v>0</v>
      </c>
      <c r="D125">
        <f>VLOOKUP(A125,variant_counts!A:B, 2, FALSE)</f>
        <v>4</v>
      </c>
      <c r="E125" t="str">
        <f t="shared" si="33"/>
        <v>zard-exhaust-silencer-suzuki-suzuki-gsr-750-penta-version-zs523asr</v>
      </c>
      <c r="F125" t="str">
        <f t="shared" si="21"/>
        <v>ZARD EXHAUST SILENCER SUZUKI SUZUKI GSR 750 PENTA VERSION ZS523ASR</v>
      </c>
      <c r="G125" t="str">
        <f t="shared" si="22"/>
        <v/>
      </c>
      <c r="H125" t="str">
        <f t="shared" si="34"/>
        <v/>
      </c>
      <c r="I125" t="str">
        <f t="shared" si="35"/>
        <v/>
      </c>
      <c r="J125" t="str">
        <f t="shared" si="36"/>
        <v/>
      </c>
      <c r="K125" t="str">
        <f t="shared" si="37"/>
        <v/>
      </c>
      <c r="L125" t="str">
        <f t="shared" si="23"/>
        <v/>
      </c>
      <c r="M125" t="str">
        <f t="shared" si="24"/>
        <v/>
      </c>
      <c r="R125" t="str">
        <f t="shared" si="25"/>
        <v/>
      </c>
      <c r="S125" t="str">
        <f t="shared" si="26"/>
        <v/>
      </c>
      <c r="U125" t="str">
        <f t="shared" si="27"/>
        <v/>
      </c>
      <c r="V125" t="str">
        <f t="shared" si="28"/>
        <v/>
      </c>
      <c r="W125" s="5" t="str">
        <f t="shared" si="29"/>
        <v/>
      </c>
      <c r="Y125" t="str">
        <f t="shared" si="30"/>
        <v/>
      </c>
      <c r="Z125" t="str">
        <f t="shared" si="31"/>
        <v/>
      </c>
      <c r="AB125" t="str">
        <f t="shared" si="32"/>
        <v>https://shop.officineitalianezard.it/contents/imgs/products/1_627-2_584-scarichi%20moto%20zard.jpg</v>
      </c>
      <c r="AE125" t="b">
        <v>0</v>
      </c>
    </row>
    <row r="126" spans="1:31" x14ac:dyDescent="0.2">
      <c r="A126" t="str">
        <f t="shared" si="19"/>
        <v>https://shop.officineitalianezard.it/en/zard-penta-silencers-suzuki-gsr-750/</v>
      </c>
      <c r="B126" t="b">
        <f>COUNTIF($A$2:$A126, A126)&gt;1</f>
        <v>1</v>
      </c>
      <c r="C126" t="b">
        <f t="shared" si="20"/>
        <v>0</v>
      </c>
      <c r="D126">
        <f>VLOOKUP(A126,variant_counts!A:B, 2, FALSE)</f>
        <v>4</v>
      </c>
      <c r="E126" t="str">
        <f t="shared" si="33"/>
        <v>zard-exhaust-silencer-suzuki-suzuki-gsr-750-penta-version-zs523asr</v>
      </c>
      <c r="F126" t="str">
        <f t="shared" si="21"/>
        <v>ZARD EXHAUST SILENCER SUZUKI SUZUKI GSR 750 PENTA VERSION ZS523ASR</v>
      </c>
      <c r="G126" t="str">
        <f t="shared" si="22"/>
        <v/>
      </c>
      <c r="H126" t="str">
        <f t="shared" si="34"/>
        <v/>
      </c>
      <c r="I126" t="str">
        <f t="shared" si="35"/>
        <v/>
      </c>
      <c r="J126" t="str">
        <f t="shared" si="36"/>
        <v/>
      </c>
      <c r="K126" t="str">
        <f t="shared" si="37"/>
        <v/>
      </c>
      <c r="L126" t="str">
        <f t="shared" si="23"/>
        <v/>
      </c>
      <c r="M126" t="str">
        <f t="shared" si="24"/>
        <v/>
      </c>
      <c r="R126" t="str">
        <f t="shared" si="25"/>
        <v/>
      </c>
      <c r="S126" t="str">
        <f t="shared" si="26"/>
        <v/>
      </c>
      <c r="U126" t="str">
        <f t="shared" si="27"/>
        <v/>
      </c>
      <c r="V126" t="str">
        <f t="shared" si="28"/>
        <v/>
      </c>
      <c r="W126" s="5" t="str">
        <f t="shared" si="29"/>
        <v/>
      </c>
      <c r="Y126" t="str">
        <f t="shared" si="30"/>
        <v/>
      </c>
      <c r="Z126" t="str">
        <f t="shared" si="31"/>
        <v/>
      </c>
      <c r="AB126" t="str">
        <f t="shared" si="32"/>
        <v>https://shop.officineitalianezard.it/contents/imgs/products/1_629-2_586-scarichi%20moto%20zard.jpg</v>
      </c>
      <c r="AE126" t="b">
        <v>0</v>
      </c>
    </row>
    <row r="127" spans="1:31" x14ac:dyDescent="0.2">
      <c r="A127" t="str">
        <f t="shared" si="19"/>
        <v>https://shop.officineitalianezard.it/en/zard-penta-silencers-suzuki-gsr-750/</v>
      </c>
      <c r="B127" t="b">
        <f>COUNTIF($A$2:$A127, A127)&gt;1</f>
        <v>1</v>
      </c>
      <c r="C127" t="b">
        <f t="shared" si="20"/>
        <v>1</v>
      </c>
      <c r="D127">
        <f>VLOOKUP(A127,variant_counts!A:B, 2, FALSE)</f>
        <v>4</v>
      </c>
      <c r="E127" t="str">
        <f t="shared" si="33"/>
        <v>zard-exhaust-silencer-suzuki-suzuki-gsr-750-penta-version-zs523asr</v>
      </c>
      <c r="F127" t="str">
        <f t="shared" si="21"/>
        <v>ZARD EXHAUST SILENCER SUZUKI SUZUKI GSR 750 PENTA VERSION ZS523ASR</v>
      </c>
      <c r="G127" t="str">
        <f t="shared" si="22"/>
        <v/>
      </c>
      <c r="H127" t="str">
        <f t="shared" si="34"/>
        <v/>
      </c>
      <c r="I127" t="str">
        <f t="shared" si="35"/>
        <v/>
      </c>
      <c r="J127" t="str">
        <f t="shared" si="36"/>
        <v/>
      </c>
      <c r="K127" t="str">
        <f t="shared" si="37"/>
        <v/>
      </c>
      <c r="L127" t="str">
        <f t="shared" si="23"/>
        <v>Option</v>
      </c>
      <c r="M127" t="str">
        <f t="shared" si="24"/>
        <v>EURO 3 HOMOLOGATED</v>
      </c>
      <c r="R127" t="str">
        <f t="shared" si="25"/>
        <v>ZS523ASR</v>
      </c>
      <c r="S127">
        <f t="shared" si="26"/>
        <v>0</v>
      </c>
      <c r="U127" t="str">
        <f t="shared" si="27"/>
        <v>continue</v>
      </c>
      <c r="V127" t="str">
        <f t="shared" si="28"/>
        <v>manual</v>
      </c>
      <c r="W127" s="5">
        <f t="shared" si="29"/>
        <v>403.50720000000001</v>
      </c>
      <c r="Y127" t="b">
        <f t="shared" si="30"/>
        <v>1</v>
      </c>
      <c r="Z127" t="b">
        <f t="shared" si="31"/>
        <v>0</v>
      </c>
      <c r="AB127" t="str">
        <f t="shared" si="32"/>
        <v/>
      </c>
      <c r="AE127" t="b">
        <v>0</v>
      </c>
    </row>
    <row r="128" spans="1:31" x14ac:dyDescent="0.2">
      <c r="A128" t="str">
        <f t="shared" si="19"/>
        <v>https://shop.officineitalianezard.it/en/zard-penta-silencers-suzuki-gsr-750/</v>
      </c>
      <c r="B128" t="b">
        <f>COUNTIF($A$2:$A128, A128)&gt;1</f>
        <v>1</v>
      </c>
      <c r="C128" t="b">
        <f t="shared" si="20"/>
        <v>1</v>
      </c>
      <c r="D128">
        <f>VLOOKUP(A128,variant_counts!A:B, 2, FALSE)</f>
        <v>4</v>
      </c>
      <c r="E128" t="str">
        <f t="shared" si="33"/>
        <v>zard-exhaust-silencer-suzuki-suzuki-gsr-750-penta-version-zs523asr</v>
      </c>
      <c r="F128" t="str">
        <f t="shared" si="21"/>
        <v>ZARD EXHAUST SILENCER SUZUKI SUZUKI GSR 750 PENTA VERSION ZS523ASR</v>
      </c>
      <c r="G128" t="str">
        <f t="shared" si="22"/>
        <v/>
      </c>
      <c r="H128" t="str">
        <f t="shared" si="34"/>
        <v/>
      </c>
      <c r="I128" t="str">
        <f t="shared" si="35"/>
        <v/>
      </c>
      <c r="J128" t="str">
        <f t="shared" si="36"/>
        <v/>
      </c>
      <c r="K128" t="str">
        <f t="shared" si="37"/>
        <v/>
      </c>
      <c r="L128" t="str">
        <f t="shared" si="23"/>
        <v>Option</v>
      </c>
      <c r="M128" t="str">
        <f t="shared" si="24"/>
        <v>STEEL-CARBON RACING</v>
      </c>
      <c r="R128" t="str">
        <f t="shared" si="25"/>
        <v>ZS523ASR</v>
      </c>
      <c r="S128">
        <f t="shared" si="26"/>
        <v>0</v>
      </c>
      <c r="U128" t="str">
        <f t="shared" si="27"/>
        <v>continue</v>
      </c>
      <c r="V128" t="str">
        <f t="shared" si="28"/>
        <v>manual</v>
      </c>
      <c r="W128" s="5">
        <f t="shared" si="29"/>
        <v>414.15210000000008</v>
      </c>
      <c r="Y128" t="b">
        <f t="shared" si="30"/>
        <v>1</v>
      </c>
      <c r="Z128" t="b">
        <f t="shared" si="31"/>
        <v>0</v>
      </c>
      <c r="AB128" t="str">
        <f t="shared" si="32"/>
        <v/>
      </c>
      <c r="AE128" t="b">
        <v>0</v>
      </c>
    </row>
    <row r="129" spans="1:31" x14ac:dyDescent="0.2">
      <c r="A129" t="str">
        <f t="shared" si="19"/>
        <v>https://shop.officineitalianezard.it/en/zard-penta-silencers-suzuki-gsr-750/</v>
      </c>
      <c r="B129" t="b">
        <f>COUNTIF($A$2:$A129, A129)&gt;1</f>
        <v>1</v>
      </c>
      <c r="C129" t="b">
        <f t="shared" si="20"/>
        <v>1</v>
      </c>
      <c r="D129">
        <f>VLOOKUP(A129,variant_counts!A:B, 2, FALSE)</f>
        <v>4</v>
      </c>
      <c r="E129" t="str">
        <f t="shared" si="33"/>
        <v>zard-exhaust-silencer-suzuki-suzuki-gsr-750-penta-version-zs523asr</v>
      </c>
      <c r="F129" t="str">
        <f t="shared" si="21"/>
        <v>ZARD EXHAUST SILENCER SUZUKI SUZUKI GSR 750 PENTA VERSION ZS523ASR</v>
      </c>
      <c r="G129" t="str">
        <f t="shared" si="22"/>
        <v/>
      </c>
      <c r="H129" t="str">
        <f t="shared" si="34"/>
        <v/>
      </c>
      <c r="I129" t="str">
        <f t="shared" si="35"/>
        <v/>
      </c>
      <c r="J129" t="str">
        <f t="shared" si="36"/>
        <v/>
      </c>
      <c r="K129" t="str">
        <f t="shared" si="37"/>
        <v/>
      </c>
      <c r="L129" t="str">
        <f t="shared" si="23"/>
        <v>Option</v>
      </c>
      <c r="M129" t="str">
        <f t="shared" si="24"/>
        <v>STEEL-CARBON HOMOLOGATED</v>
      </c>
      <c r="R129" t="str">
        <f t="shared" si="25"/>
        <v>ZS523ASR</v>
      </c>
      <c r="S129">
        <f t="shared" si="26"/>
        <v>0</v>
      </c>
      <c r="U129" t="str">
        <f t="shared" si="27"/>
        <v>continue</v>
      </c>
      <c r="V129" t="str">
        <f t="shared" si="28"/>
        <v>manual</v>
      </c>
      <c r="W129" s="5">
        <f t="shared" si="29"/>
        <v>435.44189999999998</v>
      </c>
      <c r="Y129" t="b">
        <f t="shared" si="30"/>
        <v>1</v>
      </c>
      <c r="Z129" t="b">
        <f t="shared" si="31"/>
        <v>0</v>
      </c>
      <c r="AB129" t="str">
        <f t="shared" si="32"/>
        <v/>
      </c>
      <c r="AE129" t="b">
        <v>0</v>
      </c>
    </row>
    <row r="130" spans="1:31" x14ac:dyDescent="0.2">
      <c r="A130" t="str">
        <f t="shared" ref="A130:A193" si="38">source_product_link_href</f>
        <v>https://shop.officineitalianezard.it/en/zard-penta-silencers-suzuki-gsr-750/</v>
      </c>
      <c r="B130" t="b">
        <f>COUNTIF($A$2:$A130, A130)&gt;1</f>
        <v>1</v>
      </c>
      <c r="C130" t="b">
        <f t="shared" ref="C130:C193" si="39">NOT(ISBLANK(source_option_name))</f>
        <v>1</v>
      </c>
      <c r="D130">
        <f>VLOOKUP(A130,variant_counts!A:B, 2, FALSE)</f>
        <v>4</v>
      </c>
      <c r="E130" t="str">
        <f t="shared" si="33"/>
        <v>zard-exhaust-silencer-suzuki-suzuki-gsr-750-penta-version-zs523asr</v>
      </c>
      <c r="F130" t="str">
        <f t="shared" ref="F130:F193" si="40">UPPER("ZARD EXHAUST " &amp; source_title &amp; " " &amp; source_brand &amp; " " &amp; source_bike &amp; " " &amp; source_product_link &amp; " " &amp; source_sku)</f>
        <v>ZARD EXHAUST SILENCER SUZUKI SUZUKI GSR 750 PENTA VERSION ZS523ASR</v>
      </c>
      <c r="G130" t="str">
        <f t="shared" ref="G130:G193" si="41">IF($B130=FALSE, source_description, "")</f>
        <v/>
      </c>
      <c r="H130" t="str">
        <f t="shared" si="34"/>
        <v/>
      </c>
      <c r="I130" t="str">
        <f t="shared" si="35"/>
        <v/>
      </c>
      <c r="J130" t="str">
        <f t="shared" si="36"/>
        <v/>
      </c>
      <c r="K130" t="str">
        <f t="shared" si="37"/>
        <v/>
      </c>
      <c r="L130" t="str">
        <f t="shared" ref="L130:L193" si="42">IF(AND(variant_count=0,duplicated=FALSE),"Title",IF(OR(AND(variant_count=1,duplicated=FALSE), source_option_name&lt;&gt;""), "Option", ""))</f>
        <v>Option</v>
      </c>
      <c r="M130" t="str">
        <f t="shared" ref="M130:M193" si="43">IF(option1_name="Title", "Default Title", IF(AND(option1_name="Option",ISBLANK(source_option_name)),"DEFAULT",IF(ISBLANK(source_option_name), "", source_option_name)))</f>
        <v>CARBON ENDCAP</v>
      </c>
      <c r="R130" t="str">
        <f t="shared" ref="R130:R193" si="44">IF(option1_name &lt;&gt; "", source_sku, "")</f>
        <v>ZS523ASR</v>
      </c>
      <c r="S130">
        <f t="shared" ref="S130:S193" si="45">IF(option1_name &lt;&gt; "", 0, "")</f>
        <v>0</v>
      </c>
      <c r="U130" t="str">
        <f t="shared" ref="U130:U193" si="46">IF(option1_name &lt;&gt; "", "continue", "")</f>
        <v>continue</v>
      </c>
      <c r="V130" t="str">
        <f t="shared" ref="V130:V193" si="47">IF(option1_name &lt;&gt; "", "manual", "")</f>
        <v>manual</v>
      </c>
      <c r="W130" s="5">
        <f t="shared" ref="W130:W193" si="48">IF(option1_name&lt;&gt;"",(source_price_original+source_option_price)*eur_usd,"")</f>
        <v>424.79700000000003</v>
      </c>
      <c r="Y130" t="b">
        <f t="shared" ref="Y130:Y193" si="49">IF(option1_name&lt;&gt;"",TRUE,"")</f>
        <v>1</v>
      </c>
      <c r="Z130" t="b">
        <f t="shared" ref="Z130:Z193" si="50">IF(option1_name&lt;&gt;"",FALSE,"")</f>
        <v>0</v>
      </c>
      <c r="AB130" t="str">
        <f t="shared" ref="AB130:AB193" si="51">IF(ISBLANK(source_image), "", source_image)</f>
        <v/>
      </c>
      <c r="AE130" t="b">
        <v>0</v>
      </c>
    </row>
    <row r="131" spans="1:31" x14ac:dyDescent="0.2">
      <c r="A131" t="str">
        <f t="shared" si="38"/>
        <v>https://shop.officineitalianezard.it/en/penta-silencers-zard-suzuki-b-king/</v>
      </c>
      <c r="B131" t="b">
        <f>COUNTIF($A$2:$A131, A131)&gt;1</f>
        <v>0</v>
      </c>
      <c r="C131" t="b">
        <f t="shared" si="39"/>
        <v>0</v>
      </c>
      <c r="D131">
        <f>VLOOKUP(A131,variant_counts!A:B, 2, FALSE)</f>
        <v>3</v>
      </c>
      <c r="E131" t="str">
        <f t="shared" ref="E131:E194" si="52">FormatShopifyHandle(F131)</f>
        <v>zard-exhaust-silencers-suzuki-b-king-penta-version-zs-200-asr-b</v>
      </c>
      <c r="F131" t="str">
        <f t="shared" si="40"/>
        <v>ZARD EXHAUST SILENCERS SUZUKI B-KING PENTA VERSION ZS 200 ASR-B</v>
      </c>
      <c r="G131" t="str">
        <f t="shared" si="41"/>
        <v>&lt;p&gt;STEEL-ALUMINIUM&amp;nbsp;BLACK SILENCERS RACING WITH REMOVABLE DB KILLER&lt;/p&gt;
&lt;p&gt;SILENCERS KIT INCLUDES "Y" HEADER PIPE&lt;/p&gt;
&lt;p&gt;ORIGINAL SILENCERS WEIGHT:&amp;nbsp;KG 14.5&lt;br&gt;ZARD SILENCERS WEIGHT: KG 4.5&lt;/p&gt;
&lt;p&gt;HARD INCREASE, COMPARED TO THE ORIGINAL EXHAUST SYSTEM, IN TERMS OF TORQUE AND POWER (+ 5 HP) AT ANY RANGE.&lt;/p&gt;
&lt;p&gt;ASTONISHING SOUND.&lt;/p&gt;</v>
      </c>
      <c r="H131" t="str">
        <f t="shared" ref="H131:H194" si="53">IF($B131=FALSE, "ZARD", "")</f>
        <v>ZARD</v>
      </c>
      <c r="I131" t="str">
        <f t="shared" ref="I131:I194" si="54">IF($B131=FALSE, "Exhaust Pipe", "")</f>
        <v>Exhaust Pipe</v>
      </c>
      <c r="J131" t="str">
        <f t="shared" ref="J131:J194" si="55">IF($B131=FALSE, "Test", "")</f>
        <v>Test</v>
      </c>
      <c r="K131" t="b">
        <f t="shared" ref="K131:K194" si="56">IF($B131=FALSE, FALSE, "")</f>
        <v>0</v>
      </c>
      <c r="L131" t="str">
        <f t="shared" si="42"/>
        <v/>
      </c>
      <c r="M131" t="str">
        <f t="shared" si="43"/>
        <v/>
      </c>
      <c r="R131" t="str">
        <f t="shared" si="44"/>
        <v/>
      </c>
      <c r="S131" t="str">
        <f t="shared" si="45"/>
        <v/>
      </c>
      <c r="U131" t="str">
        <f t="shared" si="46"/>
        <v/>
      </c>
      <c r="V131" t="str">
        <f t="shared" si="47"/>
        <v/>
      </c>
      <c r="W131" s="5" t="str">
        <f t="shared" si="48"/>
        <v/>
      </c>
      <c r="Y131" t="str">
        <f t="shared" si="49"/>
        <v/>
      </c>
      <c r="Z131" t="str">
        <f t="shared" si="50"/>
        <v/>
      </c>
      <c r="AB131" t="str">
        <f t="shared" si="51"/>
        <v>https://shop.officineitalianezard.it/contents/imgs/products/1_583-scarichi%20moto%20suzuki%20b-king%20zard.jpg</v>
      </c>
      <c r="AE131" t="b">
        <v>0</v>
      </c>
    </row>
    <row r="132" spans="1:31" x14ac:dyDescent="0.2">
      <c r="A132" t="str">
        <f t="shared" si="38"/>
        <v>https://shop.officineitalianezard.it/en/penta-silencers-zard-suzuki-b-king/</v>
      </c>
      <c r="B132" t="b">
        <f>COUNTIF($A$2:$A132, A132)&gt;1</f>
        <v>1</v>
      </c>
      <c r="C132" t="b">
        <f t="shared" si="39"/>
        <v>0</v>
      </c>
      <c r="D132">
        <f>VLOOKUP(A132,variant_counts!A:B, 2, FALSE)</f>
        <v>3</v>
      </c>
      <c r="E132" t="str">
        <f t="shared" si="52"/>
        <v>zard-exhaust-silencers-suzuki-b-king-penta-version-zs-200-asr-b</v>
      </c>
      <c r="F132" t="str">
        <f t="shared" si="40"/>
        <v>ZARD EXHAUST SILENCERS SUZUKI B-KING PENTA VERSION ZS 200 ASR-B</v>
      </c>
      <c r="G132" t="str">
        <f t="shared" si="41"/>
        <v/>
      </c>
      <c r="H132" t="str">
        <f t="shared" si="53"/>
        <v/>
      </c>
      <c r="I132" t="str">
        <f t="shared" si="54"/>
        <v/>
      </c>
      <c r="J132" t="str">
        <f t="shared" si="55"/>
        <v/>
      </c>
      <c r="K132" t="str">
        <f t="shared" si="56"/>
        <v/>
      </c>
      <c r="L132" t="str">
        <f t="shared" si="42"/>
        <v/>
      </c>
      <c r="M132" t="str">
        <f t="shared" si="43"/>
        <v/>
      </c>
      <c r="R132" t="str">
        <f t="shared" si="44"/>
        <v/>
      </c>
      <c r="S132" t="str">
        <f t="shared" si="45"/>
        <v/>
      </c>
      <c r="U132" t="str">
        <f t="shared" si="46"/>
        <v/>
      </c>
      <c r="V132" t="str">
        <f t="shared" si="47"/>
        <v/>
      </c>
      <c r="W132" s="5" t="str">
        <f t="shared" si="48"/>
        <v/>
      </c>
      <c r="Y132" t="str">
        <f t="shared" si="49"/>
        <v/>
      </c>
      <c r="Z132" t="str">
        <f t="shared" si="50"/>
        <v/>
      </c>
      <c r="AB132" t="str">
        <f t="shared" si="51"/>
        <v>https://shop.officineitalianezard.it/contents/imgs/products/1_582-scarichi%20moto%20suzuki%20b-king%20zard.jpg</v>
      </c>
      <c r="AE132" t="b">
        <v>0</v>
      </c>
    </row>
    <row r="133" spans="1:31" x14ac:dyDescent="0.2">
      <c r="A133" t="str">
        <f t="shared" si="38"/>
        <v>https://shop.officineitalianezard.it/en/penta-silencers-zard-suzuki-b-king/</v>
      </c>
      <c r="B133" t="b">
        <f>COUNTIF($A$2:$A133, A133)&gt;1</f>
        <v>1</v>
      </c>
      <c r="C133" t="b">
        <f t="shared" si="39"/>
        <v>1</v>
      </c>
      <c r="D133">
        <f>VLOOKUP(A133,variant_counts!A:B, 2, FALSE)</f>
        <v>3</v>
      </c>
      <c r="E133" t="str">
        <f t="shared" si="52"/>
        <v>zard-exhaust-silencers-suzuki-b-king-penta-version-zs-200-asr-b</v>
      </c>
      <c r="F133" t="str">
        <f t="shared" si="40"/>
        <v>ZARD EXHAUST SILENCERS SUZUKI B-KING PENTA VERSION ZS 200 ASR-B</v>
      </c>
      <c r="G133" t="str">
        <f t="shared" si="41"/>
        <v/>
      </c>
      <c r="H133" t="str">
        <f t="shared" si="53"/>
        <v/>
      </c>
      <c r="I133" t="str">
        <f t="shared" si="54"/>
        <v/>
      </c>
      <c r="J133" t="str">
        <f t="shared" si="55"/>
        <v/>
      </c>
      <c r="K133" t="str">
        <f t="shared" si="56"/>
        <v/>
      </c>
      <c r="L133" t="str">
        <f t="shared" si="42"/>
        <v>Option</v>
      </c>
      <c r="M133" t="str">
        <f t="shared" si="43"/>
        <v>LIGHT AND ARROWS KIT</v>
      </c>
      <c r="R133" t="str">
        <f t="shared" si="44"/>
        <v>ZS 200 ASR-B</v>
      </c>
      <c r="S133">
        <f t="shared" si="45"/>
        <v>0</v>
      </c>
      <c r="U133" t="str">
        <f t="shared" si="46"/>
        <v>continue</v>
      </c>
      <c r="V133" t="str">
        <f t="shared" si="47"/>
        <v>manual</v>
      </c>
      <c r="W133" s="5">
        <f t="shared" si="48"/>
        <v>1370.9499000000003</v>
      </c>
      <c r="Y133" t="b">
        <f t="shared" si="49"/>
        <v>1</v>
      </c>
      <c r="Z133" t="b">
        <f t="shared" si="50"/>
        <v>0</v>
      </c>
      <c r="AB133" t="str">
        <f t="shared" si="51"/>
        <v/>
      </c>
      <c r="AE133" t="b">
        <v>0</v>
      </c>
    </row>
    <row r="134" spans="1:31" x14ac:dyDescent="0.2">
      <c r="A134" t="str">
        <f t="shared" si="38"/>
        <v>https://shop.officineitalianezard.it/en/penta-silencers-zard-suzuki-b-king/</v>
      </c>
      <c r="B134" t="b">
        <f>COUNTIF($A$2:$A134, A134)&gt;1</f>
        <v>1</v>
      </c>
      <c r="C134" t="b">
        <f t="shared" si="39"/>
        <v>1</v>
      </c>
      <c r="D134">
        <f>VLOOKUP(A134,variant_counts!A:B, 2, FALSE)</f>
        <v>3</v>
      </c>
      <c r="E134" t="str">
        <f t="shared" si="52"/>
        <v>zard-exhaust-silencers-suzuki-b-king-penta-version-zs-200-asr-b</v>
      </c>
      <c r="F134" t="str">
        <f t="shared" si="40"/>
        <v>ZARD EXHAUST SILENCERS SUZUKI B-KING PENTA VERSION ZS 200 ASR-B</v>
      </c>
      <c r="G134" t="str">
        <f t="shared" si="41"/>
        <v/>
      </c>
      <c r="H134" t="str">
        <f t="shared" si="53"/>
        <v/>
      </c>
      <c r="I134" t="str">
        <f t="shared" si="54"/>
        <v/>
      </c>
      <c r="J134" t="str">
        <f t="shared" si="55"/>
        <v/>
      </c>
      <c r="K134" t="str">
        <f t="shared" si="56"/>
        <v/>
      </c>
      <c r="L134" t="str">
        <f t="shared" si="42"/>
        <v>Option</v>
      </c>
      <c r="M134" t="str">
        <f t="shared" si="43"/>
        <v>CARBON 'PENTA' ENDCAP</v>
      </c>
      <c r="R134" t="str">
        <f t="shared" si="44"/>
        <v>ZS 200 ASR-B</v>
      </c>
      <c r="S134">
        <f t="shared" si="45"/>
        <v>0</v>
      </c>
      <c r="U134" t="str">
        <f t="shared" si="46"/>
        <v>continue</v>
      </c>
      <c r="V134" t="str">
        <f t="shared" si="47"/>
        <v>manual</v>
      </c>
      <c r="W134" s="5">
        <f t="shared" si="48"/>
        <v>1313.6295000000002</v>
      </c>
      <c r="Y134" t="b">
        <f t="shared" si="49"/>
        <v>1</v>
      </c>
      <c r="Z134" t="b">
        <f t="shared" si="50"/>
        <v>0</v>
      </c>
      <c r="AB134" t="str">
        <f t="shared" si="51"/>
        <v/>
      </c>
      <c r="AE134" t="b">
        <v>0</v>
      </c>
    </row>
    <row r="135" spans="1:31" x14ac:dyDescent="0.2">
      <c r="A135" t="str">
        <f t="shared" si="38"/>
        <v>https://shop.officineitalianezard.it/en/penta-silencers-zard-suzuki-b-king/</v>
      </c>
      <c r="B135" t="b">
        <f>COUNTIF($A$2:$A135, A135)&gt;1</f>
        <v>1</v>
      </c>
      <c r="C135" t="b">
        <f t="shared" si="39"/>
        <v>1</v>
      </c>
      <c r="D135">
        <f>VLOOKUP(A135,variant_counts!A:B, 2, FALSE)</f>
        <v>3</v>
      </c>
      <c r="E135" t="str">
        <f t="shared" si="52"/>
        <v>zard-exhaust-silencers-suzuki-b-king-penta-version-zs-200-asr-b</v>
      </c>
      <c r="F135" t="str">
        <f t="shared" si="40"/>
        <v>ZARD EXHAUST SILENCERS SUZUKI B-KING PENTA VERSION ZS 200 ASR-B</v>
      </c>
      <c r="G135" t="str">
        <f t="shared" si="41"/>
        <v/>
      </c>
      <c r="H135" t="str">
        <f t="shared" si="53"/>
        <v/>
      </c>
      <c r="I135" t="str">
        <f t="shared" si="54"/>
        <v/>
      </c>
      <c r="J135" t="str">
        <f t="shared" si="55"/>
        <v/>
      </c>
      <c r="K135" t="str">
        <f t="shared" si="56"/>
        <v/>
      </c>
      <c r="L135" t="str">
        <f t="shared" si="42"/>
        <v>Option</v>
      </c>
      <c r="M135" t="str">
        <f t="shared" si="43"/>
        <v>EURO 3 HOMOLOGATED</v>
      </c>
      <c r="R135" t="str">
        <f t="shared" si="44"/>
        <v>ZS 200 ASR-B</v>
      </c>
      <c r="S135">
        <f t="shared" si="45"/>
        <v>0</v>
      </c>
      <c r="U135" t="str">
        <f t="shared" si="46"/>
        <v>continue</v>
      </c>
      <c r="V135" t="str">
        <f t="shared" si="47"/>
        <v>manual</v>
      </c>
      <c r="W135" s="5">
        <f t="shared" si="48"/>
        <v>1366.8540000000003</v>
      </c>
      <c r="Y135" t="b">
        <f t="shared" si="49"/>
        <v>1</v>
      </c>
      <c r="Z135" t="b">
        <f t="shared" si="50"/>
        <v>0</v>
      </c>
      <c r="AB135" t="str">
        <f t="shared" si="51"/>
        <v/>
      </c>
      <c r="AE135" t="b">
        <v>0</v>
      </c>
    </row>
    <row r="136" spans="1:31" x14ac:dyDescent="0.2">
      <c r="A136" t="str">
        <f t="shared" si="38"/>
        <v>https://shop.officineitalianezard.it/en/silencer-penta-r-version/</v>
      </c>
      <c r="B136" t="b">
        <f>COUNTIF($A$2:$A136, A136)&gt;1</f>
        <v>0</v>
      </c>
      <c r="C136" t="b">
        <f t="shared" si="39"/>
        <v>0</v>
      </c>
      <c r="D136">
        <f>VLOOKUP(A136,variant_counts!A:B, 2, FALSE)</f>
        <v>5</v>
      </c>
      <c r="E136" t="str">
        <f t="shared" si="52"/>
        <v>zard-exhaust-silencer-suzuki-v-strom-1000-my-2014-penta-r-version-zs203ssr</v>
      </c>
      <c r="F136" t="str">
        <f t="shared" si="40"/>
        <v>ZARD EXHAUST SILENCER SUZUKI V-STROM 1000 M.Y. 2014 PENTA-R VERSION ZS203SSR</v>
      </c>
      <c r="G136" t="str">
        <f t="shared" si="41"/>
        <v>&lt;p&gt;STEEL RACING SILENCER WITH REMOVABLE DB KILLER&lt;/p&gt;
&lt;p&gt;CARBON ENDCAP&lt;/p&gt;
&lt;p&gt;ORIGINAL SILENCER WEIGHT: KG 5.6&lt;br&gt;ZARD STEEL SILENCER WEIGHT: KG 3.1&lt;br&gt;ZARD TITANIUM SILENCER WEIGHT: KG 2.8&lt;/p&gt;
&lt;p&gt;HARD INCREASE, COMPARED TO THE ORIGINAL EXHAUST SYSTEM, IN TERMS OF TORQUE AND POWER AT ANY RANGE.&lt;/p&gt;
&lt;p&gt;ASTONISHING SOUND.&lt;/p&gt;</v>
      </c>
      <c r="H136" t="str">
        <f t="shared" si="53"/>
        <v>ZARD</v>
      </c>
      <c r="I136" t="str">
        <f t="shared" si="54"/>
        <v>Exhaust Pipe</v>
      </c>
      <c r="J136" t="str">
        <f t="shared" si="55"/>
        <v>Test</v>
      </c>
      <c r="K136" t="b">
        <f t="shared" si="56"/>
        <v>0</v>
      </c>
      <c r="L136" t="str">
        <f t="shared" si="42"/>
        <v/>
      </c>
      <c r="M136" t="str">
        <f t="shared" si="43"/>
        <v/>
      </c>
      <c r="R136" t="str">
        <f t="shared" si="44"/>
        <v/>
      </c>
      <c r="S136" t="str">
        <f t="shared" si="45"/>
        <v/>
      </c>
      <c r="U136" t="str">
        <f t="shared" si="46"/>
        <v/>
      </c>
      <c r="V136" t="str">
        <f t="shared" si="47"/>
        <v/>
      </c>
      <c r="W136" s="5" t="str">
        <f t="shared" si="48"/>
        <v/>
      </c>
      <c r="Y136" t="str">
        <f t="shared" si="49"/>
        <v/>
      </c>
      <c r="Z136" t="str">
        <f t="shared" si="50"/>
        <v/>
      </c>
      <c r="AB136" t="str">
        <f t="shared" si="51"/>
        <v>https://shop.officineitalianezard.it/contents/imgs/products/1_2434-1b.jpg</v>
      </c>
      <c r="AE136" t="b">
        <v>0</v>
      </c>
    </row>
    <row r="137" spans="1:31" x14ac:dyDescent="0.2">
      <c r="A137" t="str">
        <f t="shared" si="38"/>
        <v>https://shop.officineitalianezard.it/en/silencer-penta-r-version/</v>
      </c>
      <c r="B137" t="b">
        <f>COUNTIF($A$2:$A137, A137)&gt;1</f>
        <v>1</v>
      </c>
      <c r="C137" t="b">
        <f t="shared" si="39"/>
        <v>0</v>
      </c>
      <c r="D137">
        <f>VLOOKUP(A137,variant_counts!A:B, 2, FALSE)</f>
        <v>5</v>
      </c>
      <c r="E137" t="str">
        <f t="shared" si="52"/>
        <v>zard-exhaust-silencer-suzuki-v-strom-1000-my-2014-penta-r-version-zs203ssr</v>
      </c>
      <c r="F137" t="str">
        <f t="shared" si="40"/>
        <v>ZARD EXHAUST SILENCER SUZUKI V-STROM 1000 M.Y. 2014 PENTA-R VERSION ZS203SSR</v>
      </c>
      <c r="G137" t="str">
        <f t="shared" si="41"/>
        <v/>
      </c>
      <c r="H137" t="str">
        <f t="shared" si="53"/>
        <v/>
      </c>
      <c r="I137" t="str">
        <f t="shared" si="54"/>
        <v/>
      </c>
      <c r="J137" t="str">
        <f t="shared" si="55"/>
        <v/>
      </c>
      <c r="K137" t="str">
        <f t="shared" si="56"/>
        <v/>
      </c>
      <c r="L137" t="str">
        <f t="shared" si="42"/>
        <v/>
      </c>
      <c r="M137" t="str">
        <f t="shared" si="43"/>
        <v/>
      </c>
      <c r="R137" t="str">
        <f t="shared" si="44"/>
        <v/>
      </c>
      <c r="S137" t="str">
        <f t="shared" si="45"/>
        <v/>
      </c>
      <c r="U137" t="str">
        <f t="shared" si="46"/>
        <v/>
      </c>
      <c r="V137" t="str">
        <f t="shared" si="47"/>
        <v/>
      </c>
      <c r="W137" s="5" t="str">
        <f t="shared" si="48"/>
        <v/>
      </c>
      <c r="Y137" t="str">
        <f t="shared" si="49"/>
        <v/>
      </c>
      <c r="Z137" t="str">
        <f t="shared" si="50"/>
        <v/>
      </c>
      <c r="AB137" t="str">
        <f t="shared" si="51"/>
        <v>https://shop.officineitalianezard.it/contents/imgs/products/1_2433-2b.jpg</v>
      </c>
      <c r="AE137" t="b">
        <v>0</v>
      </c>
    </row>
    <row r="138" spans="1:31" x14ac:dyDescent="0.2">
      <c r="A138" t="str">
        <f t="shared" si="38"/>
        <v>https://shop.officineitalianezard.it/en/silencer-penta-r-version/</v>
      </c>
      <c r="B138" t="b">
        <f>COUNTIF($A$2:$A138, A138)&gt;1</f>
        <v>1</v>
      </c>
      <c r="C138" t="b">
        <f t="shared" si="39"/>
        <v>0</v>
      </c>
      <c r="D138">
        <f>VLOOKUP(A138,variant_counts!A:B, 2, FALSE)</f>
        <v>5</v>
      </c>
      <c r="E138" t="str">
        <f t="shared" si="52"/>
        <v>zard-exhaust-silencer-suzuki-v-strom-1000-my-2014-penta-r-version-zs203ssr</v>
      </c>
      <c r="F138" t="str">
        <f t="shared" si="40"/>
        <v>ZARD EXHAUST SILENCER SUZUKI V-STROM 1000 M.Y. 2014 PENTA-R VERSION ZS203SSR</v>
      </c>
      <c r="G138" t="str">
        <f t="shared" si="41"/>
        <v/>
      </c>
      <c r="H138" t="str">
        <f t="shared" si="53"/>
        <v/>
      </c>
      <c r="I138" t="str">
        <f t="shared" si="54"/>
        <v/>
      </c>
      <c r="J138" t="str">
        <f t="shared" si="55"/>
        <v/>
      </c>
      <c r="K138" t="str">
        <f t="shared" si="56"/>
        <v/>
      </c>
      <c r="L138" t="str">
        <f t="shared" si="42"/>
        <v/>
      </c>
      <c r="M138" t="str">
        <f t="shared" si="43"/>
        <v/>
      </c>
      <c r="R138" t="str">
        <f t="shared" si="44"/>
        <v/>
      </c>
      <c r="S138" t="str">
        <f t="shared" si="45"/>
        <v/>
      </c>
      <c r="U138" t="str">
        <f t="shared" si="46"/>
        <v/>
      </c>
      <c r="V138" t="str">
        <f t="shared" si="47"/>
        <v/>
      </c>
      <c r="W138" s="5" t="str">
        <f t="shared" si="48"/>
        <v/>
      </c>
      <c r="Y138" t="str">
        <f t="shared" si="49"/>
        <v/>
      </c>
      <c r="Z138" t="str">
        <f t="shared" si="50"/>
        <v/>
      </c>
      <c r="AB138" t="str">
        <f t="shared" si="51"/>
        <v>https://shop.officineitalianezard.it/contents/imgs/products/1_517-3.jpg</v>
      </c>
      <c r="AE138" t="b">
        <v>0</v>
      </c>
    </row>
    <row r="139" spans="1:31" x14ac:dyDescent="0.2">
      <c r="A139" t="str">
        <f t="shared" si="38"/>
        <v>https://shop.officineitalianezard.it/en/silencer-penta-r-version/</v>
      </c>
      <c r="B139" t="b">
        <f>COUNTIF($A$2:$A139, A139)&gt;1</f>
        <v>1</v>
      </c>
      <c r="C139" t="b">
        <f t="shared" si="39"/>
        <v>0</v>
      </c>
      <c r="D139">
        <f>VLOOKUP(A139,variant_counts!A:B, 2, FALSE)</f>
        <v>5</v>
      </c>
      <c r="E139" t="str">
        <f t="shared" si="52"/>
        <v>zard-exhaust-silencer-suzuki-v-strom-1000-my-2014-penta-r-version-zs203ssr</v>
      </c>
      <c r="F139" t="str">
        <f t="shared" si="40"/>
        <v>ZARD EXHAUST SILENCER SUZUKI V-STROM 1000 M.Y. 2014 PENTA-R VERSION ZS203SSR</v>
      </c>
      <c r="G139" t="str">
        <f t="shared" si="41"/>
        <v/>
      </c>
      <c r="H139" t="str">
        <f t="shared" si="53"/>
        <v/>
      </c>
      <c r="I139" t="str">
        <f t="shared" si="54"/>
        <v/>
      </c>
      <c r="J139" t="str">
        <f t="shared" si="55"/>
        <v/>
      </c>
      <c r="K139" t="str">
        <f t="shared" si="56"/>
        <v/>
      </c>
      <c r="L139" t="str">
        <f t="shared" si="42"/>
        <v/>
      </c>
      <c r="M139" t="str">
        <f t="shared" si="43"/>
        <v/>
      </c>
      <c r="R139" t="str">
        <f t="shared" si="44"/>
        <v/>
      </c>
      <c r="S139" t="str">
        <f t="shared" si="45"/>
        <v/>
      </c>
      <c r="U139" t="str">
        <f t="shared" si="46"/>
        <v/>
      </c>
      <c r="V139" t="str">
        <f t="shared" si="47"/>
        <v/>
      </c>
      <c r="W139" s="5" t="str">
        <f t="shared" si="48"/>
        <v/>
      </c>
      <c r="Y139" t="str">
        <f t="shared" si="49"/>
        <v/>
      </c>
      <c r="Z139" t="str">
        <f t="shared" si="50"/>
        <v/>
      </c>
      <c r="AB139" t="str">
        <f t="shared" si="51"/>
        <v>https://shop.officineitalianezard.it/contents/imgs/products/1_518-4.jpg</v>
      </c>
      <c r="AE139" t="b">
        <v>0</v>
      </c>
    </row>
    <row r="140" spans="1:31" x14ac:dyDescent="0.2">
      <c r="A140" t="str">
        <f t="shared" si="38"/>
        <v>https://shop.officineitalianezard.it/en/silencer-penta-r-version/</v>
      </c>
      <c r="B140" t="b">
        <f>COUNTIF($A$2:$A140, A140)&gt;1</f>
        <v>1</v>
      </c>
      <c r="C140" t="b">
        <f t="shared" si="39"/>
        <v>0</v>
      </c>
      <c r="D140">
        <f>VLOOKUP(A140,variant_counts!A:B, 2, FALSE)</f>
        <v>5</v>
      </c>
      <c r="E140" t="str">
        <f t="shared" si="52"/>
        <v>zard-exhaust-silencer-suzuki-v-strom-1000-my-2014-penta-r-version-zs203ssr</v>
      </c>
      <c r="F140" t="str">
        <f t="shared" si="40"/>
        <v>ZARD EXHAUST SILENCER SUZUKI V-STROM 1000 M.Y. 2014 PENTA-R VERSION ZS203SSR</v>
      </c>
      <c r="G140" t="str">
        <f t="shared" si="41"/>
        <v/>
      </c>
      <c r="H140" t="str">
        <f t="shared" si="53"/>
        <v/>
      </c>
      <c r="I140" t="str">
        <f t="shared" si="54"/>
        <v/>
      </c>
      <c r="J140" t="str">
        <f t="shared" si="55"/>
        <v/>
      </c>
      <c r="K140" t="str">
        <f t="shared" si="56"/>
        <v/>
      </c>
      <c r="L140" t="str">
        <f t="shared" si="42"/>
        <v/>
      </c>
      <c r="M140" t="str">
        <f t="shared" si="43"/>
        <v/>
      </c>
      <c r="R140" t="str">
        <f t="shared" si="44"/>
        <v/>
      </c>
      <c r="S140" t="str">
        <f t="shared" si="45"/>
        <v/>
      </c>
      <c r="U140" t="str">
        <f t="shared" si="46"/>
        <v/>
      </c>
      <c r="V140" t="str">
        <f t="shared" si="47"/>
        <v/>
      </c>
      <c r="W140" s="5" t="str">
        <f t="shared" si="48"/>
        <v/>
      </c>
      <c r="Y140" t="str">
        <f t="shared" si="49"/>
        <v/>
      </c>
      <c r="Z140" t="str">
        <f t="shared" si="50"/>
        <v/>
      </c>
      <c r="AB140" t="str">
        <f t="shared" si="51"/>
        <v>https://shop.officineitalianezard.it/contents/imgs/products/1_976-carbon%20exhaust.jpg</v>
      </c>
      <c r="AE140" t="b">
        <v>0</v>
      </c>
    </row>
    <row r="141" spans="1:31" x14ac:dyDescent="0.2">
      <c r="A141" t="str">
        <f t="shared" si="38"/>
        <v>https://shop.officineitalianezard.it/en/silencer-penta-r-version/</v>
      </c>
      <c r="B141" t="b">
        <f>COUNTIF($A$2:$A141, A141)&gt;1</f>
        <v>1</v>
      </c>
      <c r="C141" t="b">
        <f t="shared" si="39"/>
        <v>0</v>
      </c>
      <c r="D141">
        <f>VLOOKUP(A141,variant_counts!A:B, 2, FALSE)</f>
        <v>5</v>
      </c>
      <c r="E141" t="str">
        <f t="shared" si="52"/>
        <v>zard-exhaust-silencer-suzuki-v-strom-1000-my-2014-penta-r-version-zs203ssr</v>
      </c>
      <c r="F141" t="str">
        <f t="shared" si="40"/>
        <v>ZARD EXHAUST SILENCER SUZUKI V-STROM 1000 M.Y. 2014 PENTA-R VERSION ZS203SSR</v>
      </c>
      <c r="G141" t="str">
        <f t="shared" si="41"/>
        <v/>
      </c>
      <c r="H141" t="str">
        <f t="shared" si="53"/>
        <v/>
      </c>
      <c r="I141" t="str">
        <f t="shared" si="54"/>
        <v/>
      </c>
      <c r="J141" t="str">
        <f t="shared" si="55"/>
        <v/>
      </c>
      <c r="K141" t="str">
        <f t="shared" si="56"/>
        <v/>
      </c>
      <c r="L141" t="str">
        <f t="shared" si="42"/>
        <v/>
      </c>
      <c r="M141" t="str">
        <f t="shared" si="43"/>
        <v/>
      </c>
      <c r="R141" t="str">
        <f t="shared" si="44"/>
        <v/>
      </c>
      <c r="S141" t="str">
        <f t="shared" si="45"/>
        <v/>
      </c>
      <c r="U141" t="str">
        <f t="shared" si="46"/>
        <v/>
      </c>
      <c r="V141" t="str">
        <f t="shared" si="47"/>
        <v/>
      </c>
      <c r="W141" s="5" t="str">
        <f t="shared" si="48"/>
        <v/>
      </c>
      <c r="Y141" t="str">
        <f t="shared" si="49"/>
        <v/>
      </c>
      <c r="Z141" t="str">
        <f t="shared" si="50"/>
        <v/>
      </c>
      <c r="AB141" t="str">
        <f t="shared" si="51"/>
        <v>https://shop.officineitalianezard.it/contents/imgs/products/1_974-zard%20exhaust%20carbon.jpg</v>
      </c>
      <c r="AE141" t="b">
        <v>0</v>
      </c>
    </row>
    <row r="142" spans="1:31" x14ac:dyDescent="0.2">
      <c r="A142" t="str">
        <f t="shared" si="38"/>
        <v>https://shop.officineitalianezard.it/en/silencer-penta-r-version/</v>
      </c>
      <c r="B142" t="b">
        <f>COUNTIF($A$2:$A142, A142)&gt;1</f>
        <v>1</v>
      </c>
      <c r="C142" t="b">
        <f t="shared" si="39"/>
        <v>1</v>
      </c>
      <c r="D142">
        <f>VLOOKUP(A142,variant_counts!A:B, 2, FALSE)</f>
        <v>5</v>
      </c>
      <c r="E142" t="str">
        <f t="shared" si="52"/>
        <v>zard-exhaust-silencer-suzuki-v-strom-1000-my-2014-penta-r-version-zs203ssr</v>
      </c>
      <c r="F142" t="str">
        <f t="shared" si="40"/>
        <v>ZARD EXHAUST SILENCER SUZUKI V-STROM 1000 M.Y. 2014 PENTA-R VERSION ZS203SSR</v>
      </c>
      <c r="G142" t="str">
        <f t="shared" si="41"/>
        <v/>
      </c>
      <c r="H142" t="str">
        <f t="shared" si="53"/>
        <v/>
      </c>
      <c r="I142" t="str">
        <f t="shared" si="54"/>
        <v/>
      </c>
      <c r="J142" t="str">
        <f t="shared" si="55"/>
        <v/>
      </c>
      <c r="K142" t="str">
        <f t="shared" si="56"/>
        <v/>
      </c>
      <c r="L142" t="str">
        <f t="shared" si="42"/>
        <v>Option</v>
      </c>
      <c r="M142" t="str">
        <f t="shared" si="43"/>
        <v>EURO 3 HOMOLOGATED</v>
      </c>
      <c r="R142" t="str">
        <f t="shared" si="44"/>
        <v>ZS203SSR</v>
      </c>
      <c r="S142">
        <f t="shared" si="45"/>
        <v>0</v>
      </c>
      <c r="U142" t="str">
        <f t="shared" si="46"/>
        <v>continue</v>
      </c>
      <c r="V142" t="str">
        <f t="shared" si="47"/>
        <v>manual</v>
      </c>
      <c r="W142" s="5">
        <f t="shared" si="48"/>
        <v>600.94290000000012</v>
      </c>
      <c r="Y142" t="b">
        <f t="shared" si="49"/>
        <v>1</v>
      </c>
      <c r="Z142" t="b">
        <f t="shared" si="50"/>
        <v>0</v>
      </c>
      <c r="AB142" t="str">
        <f t="shared" si="51"/>
        <v/>
      </c>
      <c r="AE142" t="b">
        <v>0</v>
      </c>
    </row>
    <row r="143" spans="1:31" x14ac:dyDescent="0.2">
      <c r="A143" t="str">
        <f t="shared" si="38"/>
        <v>https://shop.officineitalianezard.it/en/silencer-penta-r-version/</v>
      </c>
      <c r="B143" t="b">
        <f>COUNTIF($A$2:$A143, A143)&gt;1</f>
        <v>1</v>
      </c>
      <c r="C143" t="b">
        <f t="shared" si="39"/>
        <v>1</v>
      </c>
      <c r="D143">
        <f>VLOOKUP(A143,variant_counts!A:B, 2, FALSE)</f>
        <v>5</v>
      </c>
      <c r="E143" t="str">
        <f t="shared" si="52"/>
        <v>zard-exhaust-silencer-suzuki-v-strom-1000-my-2014-penta-r-version-zs203ssr</v>
      </c>
      <c r="F143" t="str">
        <f t="shared" si="40"/>
        <v>ZARD EXHAUST SILENCER SUZUKI V-STROM 1000 M.Y. 2014 PENTA-R VERSION ZS203SSR</v>
      </c>
      <c r="G143" t="str">
        <f t="shared" si="41"/>
        <v/>
      </c>
      <c r="H143" t="str">
        <f t="shared" si="53"/>
        <v/>
      </c>
      <c r="I143" t="str">
        <f t="shared" si="54"/>
        <v/>
      </c>
      <c r="J143" t="str">
        <f t="shared" si="55"/>
        <v/>
      </c>
      <c r="K143" t="str">
        <f t="shared" si="56"/>
        <v/>
      </c>
      <c r="L143" t="str">
        <f t="shared" si="42"/>
        <v>Option</v>
      </c>
      <c r="M143" t="str">
        <f t="shared" si="43"/>
        <v>RACING TITANIUM</v>
      </c>
      <c r="R143" t="str">
        <f t="shared" si="44"/>
        <v>ZS203SSR</v>
      </c>
      <c r="S143">
        <f t="shared" si="45"/>
        <v>0</v>
      </c>
      <c r="U143" t="str">
        <f t="shared" si="46"/>
        <v>continue</v>
      </c>
      <c r="V143" t="str">
        <f t="shared" si="47"/>
        <v>manual</v>
      </c>
      <c r="W143" s="5">
        <f t="shared" si="48"/>
        <v>670.55100000000004</v>
      </c>
      <c r="Y143" t="b">
        <f t="shared" si="49"/>
        <v>1</v>
      </c>
      <c r="Z143" t="b">
        <f t="shared" si="50"/>
        <v>0</v>
      </c>
      <c r="AB143" t="str">
        <f t="shared" si="51"/>
        <v/>
      </c>
      <c r="AE143" t="b">
        <v>0</v>
      </c>
    </row>
    <row r="144" spans="1:31" x14ac:dyDescent="0.2">
      <c r="A144" t="str">
        <f t="shared" si="38"/>
        <v>https://shop.officineitalianezard.it/en/silencer-penta-r-version/</v>
      </c>
      <c r="B144" t="b">
        <f>COUNTIF($A$2:$A144, A144)&gt;1</f>
        <v>1</v>
      </c>
      <c r="C144" t="b">
        <f t="shared" si="39"/>
        <v>1</v>
      </c>
      <c r="D144">
        <f>VLOOKUP(A144,variant_counts!A:B, 2, FALSE)</f>
        <v>5</v>
      </c>
      <c r="E144" t="str">
        <f t="shared" si="52"/>
        <v>zard-exhaust-silencer-suzuki-v-strom-1000-my-2014-penta-r-version-zs203ssr</v>
      </c>
      <c r="F144" t="str">
        <f t="shared" si="40"/>
        <v>ZARD EXHAUST SILENCER SUZUKI V-STROM 1000 M.Y. 2014 PENTA-R VERSION ZS203SSR</v>
      </c>
      <c r="G144" t="str">
        <f t="shared" si="41"/>
        <v/>
      </c>
      <c r="H144" t="str">
        <f t="shared" si="53"/>
        <v/>
      </c>
      <c r="I144" t="str">
        <f t="shared" si="54"/>
        <v/>
      </c>
      <c r="J144" t="str">
        <f t="shared" si="55"/>
        <v/>
      </c>
      <c r="K144" t="str">
        <f t="shared" si="56"/>
        <v/>
      </c>
      <c r="L144" t="str">
        <f t="shared" si="42"/>
        <v>Option</v>
      </c>
      <c r="M144" t="str">
        <f t="shared" si="43"/>
        <v>HOMOLOGATED TITANIUM</v>
      </c>
      <c r="R144" t="str">
        <f t="shared" si="44"/>
        <v>ZS203SSR</v>
      </c>
      <c r="S144">
        <f t="shared" si="45"/>
        <v>0</v>
      </c>
      <c r="U144" t="str">
        <f t="shared" si="46"/>
        <v>continue</v>
      </c>
      <c r="V144" t="str">
        <f t="shared" si="47"/>
        <v>manual</v>
      </c>
      <c r="W144" s="5">
        <f t="shared" si="48"/>
        <v>691.84080000000017</v>
      </c>
      <c r="Y144" t="b">
        <f t="shared" si="49"/>
        <v>1</v>
      </c>
      <c r="Z144" t="b">
        <f t="shared" si="50"/>
        <v>0</v>
      </c>
      <c r="AB144" t="str">
        <f t="shared" si="51"/>
        <v/>
      </c>
      <c r="AE144" t="b">
        <v>0</v>
      </c>
    </row>
    <row r="145" spans="1:31" x14ac:dyDescent="0.2">
      <c r="A145" t="str">
        <f t="shared" si="38"/>
        <v>https://shop.officineitalianezard.it/en/silencer-penta-r-version/</v>
      </c>
      <c r="B145" t="b">
        <f>COUNTIF($A$2:$A145, A145)&gt;1</f>
        <v>1</v>
      </c>
      <c r="C145" t="b">
        <f t="shared" si="39"/>
        <v>1</v>
      </c>
      <c r="D145">
        <f>VLOOKUP(A145,variant_counts!A:B, 2, FALSE)</f>
        <v>5</v>
      </c>
      <c r="E145" t="str">
        <f t="shared" si="52"/>
        <v>zard-exhaust-silencer-suzuki-v-strom-1000-my-2014-penta-r-version-zs203ssr</v>
      </c>
      <c r="F145" t="str">
        <f t="shared" si="40"/>
        <v>ZARD EXHAUST SILENCER SUZUKI V-STROM 1000 M.Y. 2014 PENTA-R VERSION ZS203SSR</v>
      </c>
      <c r="G145" t="str">
        <f t="shared" si="41"/>
        <v/>
      </c>
      <c r="H145" t="str">
        <f t="shared" si="53"/>
        <v/>
      </c>
      <c r="I145" t="str">
        <f t="shared" si="54"/>
        <v/>
      </c>
      <c r="J145" t="str">
        <f t="shared" si="55"/>
        <v/>
      </c>
      <c r="K145" t="str">
        <f t="shared" si="56"/>
        <v/>
      </c>
      <c r="L145" t="str">
        <f t="shared" si="42"/>
        <v>Option</v>
      </c>
      <c r="M145" t="str">
        <f t="shared" si="43"/>
        <v>RACING CARBON VERSION</v>
      </c>
      <c r="R145" t="str">
        <f t="shared" si="44"/>
        <v>ZS203SSR</v>
      </c>
      <c r="S145">
        <f t="shared" si="45"/>
        <v>0</v>
      </c>
      <c r="U145" t="str">
        <f t="shared" si="46"/>
        <v>continue</v>
      </c>
      <c r="V145" t="str">
        <f t="shared" si="47"/>
        <v>manual</v>
      </c>
      <c r="W145" s="5">
        <f t="shared" si="48"/>
        <v>691.01940000000013</v>
      </c>
      <c r="Y145" t="b">
        <f t="shared" si="49"/>
        <v>1</v>
      </c>
      <c r="Z145" t="b">
        <f t="shared" si="50"/>
        <v>0</v>
      </c>
      <c r="AB145" t="str">
        <f t="shared" si="51"/>
        <v/>
      </c>
      <c r="AE145" t="b">
        <v>0</v>
      </c>
    </row>
    <row r="146" spans="1:31" x14ac:dyDescent="0.2">
      <c r="A146" t="str">
        <f t="shared" si="38"/>
        <v>https://shop.officineitalianezard.it/en/silencer-penta-r-version/</v>
      </c>
      <c r="B146" t="b">
        <f>COUNTIF($A$2:$A146, A146)&gt;1</f>
        <v>1</v>
      </c>
      <c r="C146" t="b">
        <f t="shared" si="39"/>
        <v>1</v>
      </c>
      <c r="D146">
        <f>VLOOKUP(A146,variant_counts!A:B, 2, FALSE)</f>
        <v>5</v>
      </c>
      <c r="E146" t="str">
        <f t="shared" si="52"/>
        <v>zard-exhaust-silencer-suzuki-v-strom-1000-my-2014-penta-r-version-zs203ssr</v>
      </c>
      <c r="F146" t="str">
        <f t="shared" si="40"/>
        <v>ZARD EXHAUST SILENCER SUZUKI V-STROM 1000 M.Y. 2014 PENTA-R VERSION ZS203SSR</v>
      </c>
      <c r="G146" t="str">
        <f t="shared" si="41"/>
        <v/>
      </c>
      <c r="H146" t="str">
        <f t="shared" si="53"/>
        <v/>
      </c>
      <c r="I146" t="str">
        <f t="shared" si="54"/>
        <v/>
      </c>
      <c r="J146" t="str">
        <f t="shared" si="55"/>
        <v/>
      </c>
      <c r="K146" t="str">
        <f t="shared" si="56"/>
        <v/>
      </c>
      <c r="L146" t="str">
        <f t="shared" si="42"/>
        <v>Option</v>
      </c>
      <c r="M146" t="str">
        <f t="shared" si="43"/>
        <v>HOMOLOGATED CARBON VERSION</v>
      </c>
      <c r="R146" t="str">
        <f t="shared" si="44"/>
        <v>ZS203SSR</v>
      </c>
      <c r="S146">
        <f t="shared" si="45"/>
        <v>0</v>
      </c>
      <c r="U146" t="str">
        <f t="shared" si="46"/>
        <v>continue</v>
      </c>
      <c r="V146" t="str">
        <f t="shared" si="47"/>
        <v>manual</v>
      </c>
      <c r="W146" s="5">
        <f t="shared" si="48"/>
        <v>696.74700000000007</v>
      </c>
      <c r="Y146" t="b">
        <f t="shared" si="49"/>
        <v>1</v>
      </c>
      <c r="Z146" t="b">
        <f t="shared" si="50"/>
        <v>0</v>
      </c>
      <c r="AB146" t="str">
        <f t="shared" si="51"/>
        <v/>
      </c>
      <c r="AE146" t="b">
        <v>0</v>
      </c>
    </row>
    <row r="147" spans="1:31" x14ac:dyDescent="0.2">
      <c r="A147" t="str">
        <f t="shared" si="38"/>
        <v>https://shop.officineitalianezard.it/en/royal-enfield-continental-gt-exhaust-zard/</v>
      </c>
      <c r="B147" t="b">
        <f>COUNTIF($A$2:$A147, A147)&gt;1</f>
        <v>0</v>
      </c>
      <c r="C147" t="b">
        <f t="shared" si="39"/>
        <v>0</v>
      </c>
      <c r="D147">
        <f>VLOOKUP(A147,variant_counts!A:B, 2, FALSE)</f>
        <v>2</v>
      </c>
      <c r="E147" t="str">
        <f t="shared" si="52"/>
        <v>zard-exhaust-full-kit-royal-enfield-continental-gt-steel-version-zre534skr</v>
      </c>
      <c r="F147" t="str">
        <f t="shared" si="40"/>
        <v>ZARD EXHAUST FULL KIT ROYAL ENFIELD CONTINENTAL GT STEEL VERSION ZRE534SKR</v>
      </c>
      <c r="G147" t="str">
        <f t="shared" si="41"/>
        <v>&lt;p&gt;STEEL RACING FULL KIT WITH REMOVABLE DB KILLER&lt;/p&gt;
&lt;p&gt;ORIGINAL KIT WEIGHT: 9.2 KG&lt;br&gt;ZARD KIT WEIGHT: 2.7 KG&lt;/p&gt;
&lt;p&gt;ASTONISHING SOUND,&amp;nbsp;EXCLUSIVE DESIGN.&lt;/p&gt;
&lt;p&gt;FITTING KIT INCLUDED.&lt;/p&gt;</v>
      </c>
      <c r="H147" t="str">
        <f t="shared" si="53"/>
        <v>ZARD</v>
      </c>
      <c r="I147" t="str">
        <f t="shared" si="54"/>
        <v>Exhaust Pipe</v>
      </c>
      <c r="J147" t="str">
        <f t="shared" si="55"/>
        <v>Test</v>
      </c>
      <c r="K147" t="b">
        <f t="shared" si="56"/>
        <v>0</v>
      </c>
      <c r="L147" t="str">
        <f t="shared" si="42"/>
        <v/>
      </c>
      <c r="M147" t="str">
        <f t="shared" si="43"/>
        <v/>
      </c>
      <c r="R147" t="str">
        <f t="shared" si="44"/>
        <v/>
      </c>
      <c r="S147" t="str">
        <f t="shared" si="45"/>
        <v/>
      </c>
      <c r="U147" t="str">
        <f t="shared" si="46"/>
        <v/>
      </c>
      <c r="V147" t="str">
        <f t="shared" si="47"/>
        <v/>
      </c>
      <c r="W147" s="5" t="str">
        <f t="shared" si="48"/>
        <v/>
      </c>
      <c r="Y147" t="str">
        <f t="shared" si="49"/>
        <v/>
      </c>
      <c r="Z147" t="str">
        <f t="shared" si="50"/>
        <v/>
      </c>
      <c r="AB147" t="str">
        <f t="shared" si="51"/>
        <v>https://shop.officineitalianezard.it/contents/imgs/products/1_1398-1.jpg</v>
      </c>
      <c r="AE147" t="b">
        <v>0</v>
      </c>
    </row>
    <row r="148" spans="1:31" x14ac:dyDescent="0.2">
      <c r="A148" t="str">
        <f t="shared" si="38"/>
        <v>https://shop.officineitalianezard.it/en/royal-enfield-continental-gt-exhaust-zard/</v>
      </c>
      <c r="B148" t="b">
        <f>COUNTIF($A$2:$A148, A148)&gt;1</f>
        <v>1</v>
      </c>
      <c r="C148" t="b">
        <f t="shared" si="39"/>
        <v>0</v>
      </c>
      <c r="D148">
        <f>VLOOKUP(A148,variant_counts!A:B, 2, FALSE)</f>
        <v>2</v>
      </c>
      <c r="E148" t="str">
        <f t="shared" si="52"/>
        <v>zard-exhaust-full-kit-royal-enfield-continental-gt-steel-version-zre534skr</v>
      </c>
      <c r="F148" t="str">
        <f t="shared" si="40"/>
        <v>ZARD EXHAUST FULL KIT ROYAL ENFIELD CONTINENTAL GT STEEL VERSION ZRE534SKR</v>
      </c>
      <c r="G148" t="str">
        <f t="shared" si="41"/>
        <v/>
      </c>
      <c r="H148" t="str">
        <f t="shared" si="53"/>
        <v/>
      </c>
      <c r="I148" t="str">
        <f t="shared" si="54"/>
        <v/>
      </c>
      <c r="J148" t="str">
        <f t="shared" si="55"/>
        <v/>
      </c>
      <c r="K148" t="str">
        <f t="shared" si="56"/>
        <v/>
      </c>
      <c r="L148" t="str">
        <f t="shared" si="42"/>
        <v/>
      </c>
      <c r="M148" t="str">
        <f t="shared" si="43"/>
        <v/>
      </c>
      <c r="R148" t="str">
        <f t="shared" si="44"/>
        <v/>
      </c>
      <c r="S148" t="str">
        <f t="shared" si="45"/>
        <v/>
      </c>
      <c r="U148" t="str">
        <f t="shared" si="46"/>
        <v/>
      </c>
      <c r="V148" t="str">
        <f t="shared" si="47"/>
        <v/>
      </c>
      <c r="W148" s="5" t="str">
        <f t="shared" si="48"/>
        <v/>
      </c>
      <c r="Y148" t="str">
        <f t="shared" si="49"/>
        <v/>
      </c>
      <c r="Z148" t="str">
        <f t="shared" si="50"/>
        <v/>
      </c>
      <c r="AB148" t="str">
        <f t="shared" si="51"/>
        <v>https://shop.officineitalianezard.it/contents/imgs/products/1_1399-2.jpg</v>
      </c>
      <c r="AE148" t="b">
        <v>0</v>
      </c>
    </row>
    <row r="149" spans="1:31" x14ac:dyDescent="0.2">
      <c r="A149" t="str">
        <f t="shared" si="38"/>
        <v>https://shop.officineitalianezard.it/en/royal-enfield-continental-gt-exhaust-zard/</v>
      </c>
      <c r="B149" t="b">
        <f>COUNTIF($A$2:$A149, A149)&gt;1</f>
        <v>1</v>
      </c>
      <c r="C149" t="b">
        <f t="shared" si="39"/>
        <v>0</v>
      </c>
      <c r="D149">
        <f>VLOOKUP(A149,variant_counts!A:B, 2, FALSE)</f>
        <v>2</v>
      </c>
      <c r="E149" t="str">
        <f t="shared" si="52"/>
        <v>zard-exhaust-full-kit-royal-enfield-continental-gt-steel-version-zre534skr</v>
      </c>
      <c r="F149" t="str">
        <f t="shared" si="40"/>
        <v>ZARD EXHAUST FULL KIT ROYAL ENFIELD CONTINENTAL GT STEEL VERSION ZRE534SKR</v>
      </c>
      <c r="G149" t="str">
        <f t="shared" si="41"/>
        <v/>
      </c>
      <c r="H149" t="str">
        <f t="shared" si="53"/>
        <v/>
      </c>
      <c r="I149" t="str">
        <f t="shared" si="54"/>
        <v/>
      </c>
      <c r="J149" t="str">
        <f t="shared" si="55"/>
        <v/>
      </c>
      <c r="K149" t="str">
        <f t="shared" si="56"/>
        <v/>
      </c>
      <c r="L149" t="str">
        <f t="shared" si="42"/>
        <v/>
      </c>
      <c r="M149" t="str">
        <f t="shared" si="43"/>
        <v/>
      </c>
      <c r="R149" t="str">
        <f t="shared" si="44"/>
        <v/>
      </c>
      <c r="S149" t="str">
        <f t="shared" si="45"/>
        <v/>
      </c>
      <c r="U149" t="str">
        <f t="shared" si="46"/>
        <v/>
      </c>
      <c r="V149" t="str">
        <f t="shared" si="47"/>
        <v/>
      </c>
      <c r="W149" s="5" t="str">
        <f t="shared" si="48"/>
        <v/>
      </c>
      <c r="Y149" t="str">
        <f t="shared" si="49"/>
        <v/>
      </c>
      <c r="Z149" t="str">
        <f t="shared" si="50"/>
        <v/>
      </c>
      <c r="AB149" t="str">
        <f t="shared" si="51"/>
        <v>https://shop.officineitalianezard.it/contents/imgs/products/1_1400-3.jpg</v>
      </c>
      <c r="AE149" t="b">
        <v>0</v>
      </c>
    </row>
    <row r="150" spans="1:31" x14ac:dyDescent="0.2">
      <c r="A150" t="str">
        <f t="shared" si="38"/>
        <v>https://shop.officineitalianezard.it/en/royal-enfield-continental-gt-exhaust-zard/</v>
      </c>
      <c r="B150" t="b">
        <f>COUNTIF($A$2:$A150, A150)&gt;1</f>
        <v>1</v>
      </c>
      <c r="C150" t="b">
        <f t="shared" si="39"/>
        <v>1</v>
      </c>
      <c r="D150">
        <f>VLOOKUP(A150,variant_counts!A:B, 2, FALSE)</f>
        <v>2</v>
      </c>
      <c r="E150" t="str">
        <f t="shared" si="52"/>
        <v>zard-exhaust-full-kit-royal-enfield-continental-gt-steel-version-zre534skr</v>
      </c>
      <c r="F150" t="str">
        <f t="shared" si="40"/>
        <v>ZARD EXHAUST FULL KIT ROYAL ENFIELD CONTINENTAL GT STEEL VERSION ZRE534SKR</v>
      </c>
      <c r="G150" t="str">
        <f t="shared" si="41"/>
        <v/>
      </c>
      <c r="H150" t="str">
        <f t="shared" si="53"/>
        <v/>
      </c>
      <c r="I150" t="str">
        <f t="shared" si="54"/>
        <v/>
      </c>
      <c r="J150" t="str">
        <f t="shared" si="55"/>
        <v/>
      </c>
      <c r="K150" t="str">
        <f t="shared" si="56"/>
        <v/>
      </c>
      <c r="L150" t="str">
        <f t="shared" si="42"/>
        <v>Option</v>
      </c>
      <c r="M150" t="str">
        <f t="shared" si="43"/>
        <v>BLACK COATING</v>
      </c>
      <c r="R150" t="str">
        <f t="shared" si="44"/>
        <v>ZRE534SKR</v>
      </c>
      <c r="S150">
        <f t="shared" si="45"/>
        <v>0</v>
      </c>
      <c r="U150" t="str">
        <f t="shared" si="46"/>
        <v>continue</v>
      </c>
      <c r="V150" t="str">
        <f t="shared" si="47"/>
        <v>manual</v>
      </c>
      <c r="W150" s="5">
        <f t="shared" si="48"/>
        <v>745.43160000000012</v>
      </c>
      <c r="Y150" t="b">
        <f t="shared" si="49"/>
        <v>1</v>
      </c>
      <c r="Z150" t="b">
        <f t="shared" si="50"/>
        <v>0</v>
      </c>
      <c r="AB150" t="str">
        <f t="shared" si="51"/>
        <v/>
      </c>
      <c r="AE150" t="b">
        <v>0</v>
      </c>
    </row>
    <row r="151" spans="1:31" x14ac:dyDescent="0.2">
      <c r="A151" t="str">
        <f t="shared" si="38"/>
        <v>https://shop.officineitalianezard.it/en/royal-enfield-continental-gt-exhaust-zard/</v>
      </c>
      <c r="B151" t="b">
        <f>COUNTIF($A$2:$A151, A151)&gt;1</f>
        <v>1</v>
      </c>
      <c r="C151" t="b">
        <f t="shared" si="39"/>
        <v>1</v>
      </c>
      <c r="D151">
        <f>VLOOKUP(A151,variant_counts!A:B, 2, FALSE)</f>
        <v>2</v>
      </c>
      <c r="E151" t="str">
        <f t="shared" si="52"/>
        <v>zard-exhaust-full-kit-royal-enfield-continental-gt-steel-version-zre534skr</v>
      </c>
      <c r="F151" t="str">
        <f t="shared" si="40"/>
        <v>ZARD EXHAUST FULL KIT ROYAL ENFIELD CONTINENTAL GT STEEL VERSION ZRE534SKR</v>
      </c>
      <c r="G151" t="str">
        <f t="shared" si="41"/>
        <v/>
      </c>
      <c r="H151" t="str">
        <f t="shared" si="53"/>
        <v/>
      </c>
      <c r="I151" t="str">
        <f t="shared" si="54"/>
        <v/>
      </c>
      <c r="J151" t="str">
        <f t="shared" si="55"/>
        <v/>
      </c>
      <c r="K151" t="str">
        <f t="shared" si="56"/>
        <v/>
      </c>
      <c r="L151" t="str">
        <f t="shared" si="42"/>
        <v>Option</v>
      </c>
      <c r="M151" t="str">
        <f t="shared" si="43"/>
        <v>MIRROR POLISHED</v>
      </c>
      <c r="R151" t="str">
        <f t="shared" si="44"/>
        <v>ZRE534SKR</v>
      </c>
      <c r="S151">
        <f t="shared" si="45"/>
        <v>0</v>
      </c>
      <c r="U151" t="str">
        <f t="shared" si="46"/>
        <v>continue</v>
      </c>
      <c r="V151" t="str">
        <f t="shared" si="47"/>
        <v>manual</v>
      </c>
      <c r="W151" s="5">
        <f t="shared" si="48"/>
        <v>681.56220000000008</v>
      </c>
      <c r="Y151" t="b">
        <f t="shared" si="49"/>
        <v>1</v>
      </c>
      <c r="Z151" t="b">
        <f t="shared" si="50"/>
        <v>0</v>
      </c>
      <c r="AB151" t="str">
        <f t="shared" si="51"/>
        <v/>
      </c>
      <c r="AE151" t="b">
        <v>0</v>
      </c>
    </row>
    <row r="152" spans="1:31" x14ac:dyDescent="0.2">
      <c r="A152" t="str">
        <f t="shared" si="38"/>
        <v>https://shop.officineitalianezard.it/en/royal-enfield-bullet-trials-500-exhaust/</v>
      </c>
      <c r="B152" t="b">
        <f>COUNTIF($A$2:$A152, A152)&gt;1</f>
        <v>0</v>
      </c>
      <c r="C152" t="b">
        <f t="shared" si="39"/>
        <v>0</v>
      </c>
      <c r="D152">
        <f>VLOOKUP(A152,variant_counts!A:B, 2, FALSE)</f>
        <v>0</v>
      </c>
      <c r="E152" t="str">
        <f t="shared" si="52"/>
        <v>zard-exhaust-slip-on-royal-enfield-bullet-trials-500-my-2019-limited-edition-zre540ssr</v>
      </c>
      <c r="F152" t="str">
        <f t="shared" si="40"/>
        <v>ZARD EXHAUST SLIP-ON ROYAL ENFIELD BULLET TRIALS 500 M.Y. 2019 LIMITED EDITION ZRE540SSR</v>
      </c>
      <c r="G152" t="str">
        <f t="shared" si="41"/>
        <v>&lt;p&gt;&lt;strong&gt;&lt;/strong&gt;STAINLESS STEEL SLIP-ON WITH REMOVABLE DB-KILLERS.&lt;/p&gt;
&lt;p&gt;ORIGINAL EXHAUST WEIGHT: 6.1 KG&lt;br&gt;ZARD EXHAUST WEIGHT: 2.5 KG&lt;/p&gt;
&lt;p&gt;HARD&amp;nbsp;INCREASE, COMPARED TO THE ORIGINAL&lt;br&gt;EXHAUST SYSTEM, ASTONISHING SOUND.&lt;/p&gt;
&lt;p&gt;THE INSTALLATION OF ZARD EXHAUST DOES NOT&lt;br&gt;IMPLY ANY MODIFICATION TO ECU.&lt;/p&gt;</v>
      </c>
      <c r="H152" t="str">
        <f t="shared" si="53"/>
        <v>ZARD</v>
      </c>
      <c r="I152" t="str">
        <f t="shared" si="54"/>
        <v>Exhaust Pipe</v>
      </c>
      <c r="J152" t="str">
        <f t="shared" si="55"/>
        <v>Test</v>
      </c>
      <c r="K152" t="b">
        <f t="shared" si="56"/>
        <v>0</v>
      </c>
      <c r="L152" t="str">
        <f t="shared" si="42"/>
        <v>Title</v>
      </c>
      <c r="M152" t="str">
        <f t="shared" si="43"/>
        <v>Default Title</v>
      </c>
      <c r="R152" t="str">
        <f t="shared" si="44"/>
        <v>ZRE540SSR</v>
      </c>
      <c r="S152">
        <f t="shared" si="45"/>
        <v>0</v>
      </c>
      <c r="U152" t="str">
        <f t="shared" si="46"/>
        <v>continue</v>
      </c>
      <c r="V152" t="str">
        <f t="shared" si="47"/>
        <v>manual</v>
      </c>
      <c r="W152" s="5">
        <f t="shared" si="48"/>
        <v>691.47450000000015</v>
      </c>
      <c r="Y152" t="b">
        <f t="shared" si="49"/>
        <v>1</v>
      </c>
      <c r="Z152" t="b">
        <f t="shared" si="50"/>
        <v>0</v>
      </c>
      <c r="AB152" t="str">
        <f t="shared" si="51"/>
        <v>https://shop.officineitalianezard.it/contents/imgs/products/1_2626-scarico%20royal%20enfield%20bullet%20trials%20500%20-%20zard%201.jpg</v>
      </c>
      <c r="AE152" t="b">
        <v>0</v>
      </c>
    </row>
    <row r="153" spans="1:31" x14ac:dyDescent="0.2">
      <c r="A153" t="str">
        <f t="shared" si="38"/>
        <v>https://shop.officineitalianezard.it/en/royal-enfield-bullet-trials-500-exhaust/</v>
      </c>
      <c r="B153" t="b">
        <f>COUNTIF($A$2:$A153, A153)&gt;1</f>
        <v>1</v>
      </c>
      <c r="C153" t="b">
        <f t="shared" si="39"/>
        <v>0</v>
      </c>
      <c r="D153">
        <f>VLOOKUP(A153,variant_counts!A:B, 2, FALSE)</f>
        <v>0</v>
      </c>
      <c r="E153" t="str">
        <f t="shared" si="52"/>
        <v>zard-exhaust-slip-on-royal-enfield-bullet-trials-500-my-2019-limited-edition-zre540ssr</v>
      </c>
      <c r="F153" t="str">
        <f t="shared" si="40"/>
        <v>ZARD EXHAUST SLIP-ON ROYAL ENFIELD BULLET TRIALS 500 M.Y. 2019 LIMITED EDITION ZRE540SSR</v>
      </c>
      <c r="G153" t="str">
        <f t="shared" si="41"/>
        <v/>
      </c>
      <c r="H153" t="str">
        <f t="shared" si="53"/>
        <v/>
      </c>
      <c r="I153" t="str">
        <f t="shared" si="54"/>
        <v/>
      </c>
      <c r="J153" t="str">
        <f t="shared" si="55"/>
        <v/>
      </c>
      <c r="K153" t="str">
        <f t="shared" si="56"/>
        <v/>
      </c>
      <c r="L153" t="str">
        <f t="shared" si="42"/>
        <v/>
      </c>
      <c r="M153" t="str">
        <f t="shared" si="43"/>
        <v/>
      </c>
      <c r="R153" t="str">
        <f t="shared" si="44"/>
        <v/>
      </c>
      <c r="S153" t="str">
        <f t="shared" si="45"/>
        <v/>
      </c>
      <c r="U153" t="str">
        <f t="shared" si="46"/>
        <v/>
      </c>
      <c r="V153" t="str">
        <f t="shared" si="47"/>
        <v/>
      </c>
      <c r="W153" s="5" t="str">
        <f t="shared" si="48"/>
        <v/>
      </c>
      <c r="Y153" t="str">
        <f t="shared" si="49"/>
        <v/>
      </c>
      <c r="Z153" t="str">
        <f t="shared" si="50"/>
        <v/>
      </c>
      <c r="AB153" t="str">
        <f t="shared" si="51"/>
        <v>https://shop.officineitalianezard.it/contents/imgs/products/1_2627-scarico%20royal%20enfield%20bullet%20trials%20500%20-%20zard%202.jpg</v>
      </c>
      <c r="AE153" t="b">
        <v>0</v>
      </c>
    </row>
    <row r="154" spans="1:31" x14ac:dyDescent="0.2">
      <c r="A154" t="str">
        <f t="shared" si="38"/>
        <v>https://shop.officineitalianezard.it/en/royal-enfield-bullet-trials-500-exhaust/</v>
      </c>
      <c r="B154" t="b">
        <f>COUNTIF($A$2:$A154, A154)&gt;1</f>
        <v>1</v>
      </c>
      <c r="C154" t="b">
        <f t="shared" si="39"/>
        <v>0</v>
      </c>
      <c r="D154">
        <f>VLOOKUP(A154,variant_counts!A:B, 2, FALSE)</f>
        <v>0</v>
      </c>
      <c r="E154" t="str">
        <f t="shared" si="52"/>
        <v>zard-exhaust-slip-on-royal-enfield-bullet-trials-500-my-2019-limited-edition-zre540ssr</v>
      </c>
      <c r="F154" t="str">
        <f t="shared" si="40"/>
        <v>ZARD EXHAUST SLIP-ON ROYAL ENFIELD BULLET TRIALS 500 M.Y. 2019 LIMITED EDITION ZRE540SSR</v>
      </c>
      <c r="G154" t="str">
        <f t="shared" si="41"/>
        <v/>
      </c>
      <c r="H154" t="str">
        <f t="shared" si="53"/>
        <v/>
      </c>
      <c r="I154" t="str">
        <f t="shared" si="54"/>
        <v/>
      </c>
      <c r="J154" t="str">
        <f t="shared" si="55"/>
        <v/>
      </c>
      <c r="K154" t="str">
        <f t="shared" si="56"/>
        <v/>
      </c>
      <c r="L154" t="str">
        <f t="shared" si="42"/>
        <v/>
      </c>
      <c r="M154" t="str">
        <f t="shared" si="43"/>
        <v/>
      </c>
      <c r="R154" t="str">
        <f t="shared" si="44"/>
        <v/>
      </c>
      <c r="S154" t="str">
        <f t="shared" si="45"/>
        <v/>
      </c>
      <c r="U154" t="str">
        <f t="shared" si="46"/>
        <v/>
      </c>
      <c r="V154" t="str">
        <f t="shared" si="47"/>
        <v/>
      </c>
      <c r="W154" s="5" t="str">
        <f t="shared" si="48"/>
        <v/>
      </c>
      <c r="Y154" t="str">
        <f t="shared" si="49"/>
        <v/>
      </c>
      <c r="Z154" t="str">
        <f t="shared" si="50"/>
        <v/>
      </c>
      <c r="AB154" t="str">
        <f t="shared" si="51"/>
        <v>https://shop.officineitalianezard.it/contents/imgs/products/1_2628-scarico%20royal%20enfield%20bullet%20trials%20500%20-%20zard%203.jpg</v>
      </c>
      <c r="AE154" t="b">
        <v>0</v>
      </c>
    </row>
    <row r="155" spans="1:31" x14ac:dyDescent="0.2">
      <c r="A155" t="str">
        <f t="shared" si="38"/>
        <v>https://shop.officineitalianezard.it/en/royal-enfield-bullet-trials-500-exhaust/</v>
      </c>
      <c r="B155" t="b">
        <f>COUNTIF($A$2:$A155, A155)&gt;1</f>
        <v>1</v>
      </c>
      <c r="C155" t="b">
        <f t="shared" si="39"/>
        <v>0</v>
      </c>
      <c r="D155">
        <f>VLOOKUP(A155,variant_counts!A:B, 2, FALSE)</f>
        <v>0</v>
      </c>
      <c r="E155" t="str">
        <f t="shared" si="52"/>
        <v>zard-exhaust-slip-on-royal-enfield-bullet-trials-500-my-2019-limited-edition-zre540ssr</v>
      </c>
      <c r="F155" t="str">
        <f t="shared" si="40"/>
        <v>ZARD EXHAUST SLIP-ON ROYAL ENFIELD BULLET TRIALS 500 M.Y. 2019 LIMITED EDITION ZRE540SSR</v>
      </c>
      <c r="G155" t="str">
        <f t="shared" si="41"/>
        <v/>
      </c>
      <c r="H155" t="str">
        <f t="shared" si="53"/>
        <v/>
      </c>
      <c r="I155" t="str">
        <f t="shared" si="54"/>
        <v/>
      </c>
      <c r="J155" t="str">
        <f t="shared" si="55"/>
        <v/>
      </c>
      <c r="K155" t="str">
        <f t="shared" si="56"/>
        <v/>
      </c>
      <c r="L155" t="str">
        <f t="shared" si="42"/>
        <v/>
      </c>
      <c r="M155" t="str">
        <f t="shared" si="43"/>
        <v/>
      </c>
      <c r="R155" t="str">
        <f t="shared" si="44"/>
        <v/>
      </c>
      <c r="S155" t="str">
        <f t="shared" si="45"/>
        <v/>
      </c>
      <c r="U155" t="str">
        <f t="shared" si="46"/>
        <v/>
      </c>
      <c r="V155" t="str">
        <f t="shared" si="47"/>
        <v/>
      </c>
      <c r="W155" s="5" t="str">
        <f t="shared" si="48"/>
        <v/>
      </c>
      <c r="Y155" t="str">
        <f t="shared" si="49"/>
        <v/>
      </c>
      <c r="Z155" t="str">
        <f t="shared" si="50"/>
        <v/>
      </c>
      <c r="AB155" t="str">
        <f t="shared" si="51"/>
        <v>https://shop.officineitalianezard.it/contents/imgs/products/1_2629-scarico%20royal%20enfield%20bullet%20trials%20500%20-%20zard%204.jpg</v>
      </c>
      <c r="AE155" t="b">
        <v>0</v>
      </c>
    </row>
    <row r="156" spans="1:31" x14ac:dyDescent="0.2">
      <c r="A156" t="str">
        <f t="shared" si="38"/>
        <v>https://shop.officineitalianezard.it/en/royal-enfield-himalayan-exhaust/</v>
      </c>
      <c r="B156" t="b">
        <f>COUNTIF($A$2:$A156, A156)&gt;1</f>
        <v>0</v>
      </c>
      <c r="C156" t="b">
        <f t="shared" si="39"/>
        <v>0</v>
      </c>
      <c r="D156">
        <f>VLOOKUP(A156,variant_counts!A:B, 2, FALSE)</f>
        <v>1</v>
      </c>
      <c r="E156" t="str">
        <f t="shared" si="52"/>
        <v>zard-exhaust-penta-slip-on-royal-enfield-himalayan-my-2019-high-mount-version-zre538ssr</v>
      </c>
      <c r="F156" t="str">
        <f t="shared" si="40"/>
        <v>ZARD EXHAUST PENTA SLIP-ON ROYAL ENFIELD HIMALAYAN M.Y. 2019 HIGH MOUNT VERSION ZRE538SSR</v>
      </c>
      <c r="G156" t="str">
        <f t="shared" si="41"/>
        <v>&lt;p&gt;&lt;strong&gt;&lt;/strong&gt;STAINLESS STEEL SLIP-ON WITH REMOVABLE DB-KILLER.&lt;/p&gt;
&lt;p&gt;ALUMINIUM SLEEVE&amp;nbsp;WITH CARBON&amp;nbsp;PARTS.&lt;/p&gt;
&lt;p&gt;ORIGINAL EXHAUST WEIGHT: 4.9 KG&lt;br&gt;ZARD EXHAUST WEIGHT: 2.8 KG&lt;/p&gt;
&lt;p&gt;&lt;span&gt;SIGNIFICANT&amp;nbsp;INCREASE, COMPARED TO THE ORIGINAL&lt;br&gt;&lt;/span&gt;&lt;span&gt;EXHAUST SYSTEM,&amp;nbsp;&lt;/span&gt;&lt;span&gt;ASTONISHING SOUND.&lt;/span&gt;&lt;/p&gt;
&lt;p&gt;&lt;span&gt;THE INSTALLATION OF ZARD EXHAUST DOES NOT&lt;/span&gt;&lt;br&gt;&lt;span&gt;IMPLY ANY MODIFICATION TO ECU.&lt;/span&gt;&lt;/p&gt;</v>
      </c>
      <c r="H156" t="str">
        <f t="shared" si="53"/>
        <v>ZARD</v>
      </c>
      <c r="I156" t="str">
        <f t="shared" si="54"/>
        <v>Exhaust Pipe</v>
      </c>
      <c r="J156" t="str">
        <f t="shared" si="55"/>
        <v>Test</v>
      </c>
      <c r="K156" t="b">
        <f t="shared" si="56"/>
        <v>0</v>
      </c>
      <c r="L156" t="str">
        <f t="shared" si="42"/>
        <v>Option</v>
      </c>
      <c r="M156" t="str">
        <f t="shared" si="43"/>
        <v>DEFAULT</v>
      </c>
      <c r="R156" t="str">
        <f t="shared" si="44"/>
        <v>ZRE538SSR</v>
      </c>
      <c r="S156">
        <f t="shared" si="45"/>
        <v>0</v>
      </c>
      <c r="U156" t="str">
        <f t="shared" si="46"/>
        <v>continue</v>
      </c>
      <c r="V156" t="str">
        <f t="shared" si="47"/>
        <v>manual</v>
      </c>
      <c r="W156" s="5">
        <f t="shared" si="48"/>
        <v>582.2949000000001</v>
      </c>
      <c r="Y156" t="b">
        <f t="shared" si="49"/>
        <v>1</v>
      </c>
      <c r="Z156" t="b">
        <f t="shared" si="50"/>
        <v>0</v>
      </c>
      <c r="AB156" t="str">
        <f t="shared" si="51"/>
        <v>https://shop.officineitalianezard.it/contents/imgs/products/1_2617-scarico%20royal%20enfield%20himalayan%20-%20zard%201.jpg</v>
      </c>
      <c r="AE156" t="b">
        <v>0</v>
      </c>
    </row>
    <row r="157" spans="1:31" x14ac:dyDescent="0.2">
      <c r="A157" t="str">
        <f t="shared" si="38"/>
        <v>https://shop.officineitalianezard.it/en/royal-enfield-himalayan-exhaust/</v>
      </c>
      <c r="B157" t="b">
        <f>COUNTIF($A$2:$A157, A157)&gt;1</f>
        <v>1</v>
      </c>
      <c r="C157" t="b">
        <f t="shared" si="39"/>
        <v>0</v>
      </c>
      <c r="D157">
        <f>VLOOKUP(A157,variant_counts!A:B, 2, FALSE)</f>
        <v>1</v>
      </c>
      <c r="E157" t="str">
        <f t="shared" si="52"/>
        <v>zard-exhaust-penta-slip-on-royal-enfield-himalayan-my-2019-high-mount-version-zre538ssr</v>
      </c>
      <c r="F157" t="str">
        <f t="shared" si="40"/>
        <v>ZARD EXHAUST PENTA SLIP-ON ROYAL ENFIELD HIMALAYAN M.Y. 2019 HIGH MOUNT VERSION ZRE538SSR</v>
      </c>
      <c r="G157" t="str">
        <f t="shared" si="41"/>
        <v/>
      </c>
      <c r="H157" t="str">
        <f t="shared" si="53"/>
        <v/>
      </c>
      <c r="I157" t="str">
        <f t="shared" si="54"/>
        <v/>
      </c>
      <c r="J157" t="str">
        <f t="shared" si="55"/>
        <v/>
      </c>
      <c r="K157" t="str">
        <f t="shared" si="56"/>
        <v/>
      </c>
      <c r="L157" t="str">
        <f t="shared" si="42"/>
        <v/>
      </c>
      <c r="M157" t="str">
        <f t="shared" si="43"/>
        <v/>
      </c>
      <c r="R157" t="str">
        <f t="shared" si="44"/>
        <v/>
      </c>
      <c r="S157" t="str">
        <f t="shared" si="45"/>
        <v/>
      </c>
      <c r="U157" t="str">
        <f t="shared" si="46"/>
        <v/>
      </c>
      <c r="V157" t="str">
        <f t="shared" si="47"/>
        <v/>
      </c>
      <c r="W157" s="5" t="str">
        <f t="shared" si="48"/>
        <v/>
      </c>
      <c r="Y157" t="str">
        <f t="shared" si="49"/>
        <v/>
      </c>
      <c r="Z157" t="str">
        <f t="shared" si="50"/>
        <v/>
      </c>
      <c r="AB157" t="str">
        <f t="shared" si="51"/>
        <v>https://shop.officineitalianezard.it/contents/imgs/products/1_2618-scarico%20royal%20enfield%20himalayan%20-%20zard%202.jpg</v>
      </c>
      <c r="AE157" t="b">
        <v>0</v>
      </c>
    </row>
    <row r="158" spans="1:31" x14ac:dyDescent="0.2">
      <c r="A158" t="str">
        <f t="shared" si="38"/>
        <v>https://shop.officineitalianezard.it/en/royal-enfield-himalayan-exhaust/</v>
      </c>
      <c r="B158" t="b">
        <f>COUNTIF($A$2:$A158, A158)&gt;1</f>
        <v>1</v>
      </c>
      <c r="C158" t="b">
        <f t="shared" si="39"/>
        <v>0</v>
      </c>
      <c r="D158">
        <f>VLOOKUP(A158,variant_counts!A:B, 2, FALSE)</f>
        <v>1</v>
      </c>
      <c r="E158" t="str">
        <f t="shared" si="52"/>
        <v>zard-exhaust-penta-slip-on-royal-enfield-himalayan-my-2019-high-mount-version-zre538ssr</v>
      </c>
      <c r="F158" t="str">
        <f t="shared" si="40"/>
        <v>ZARD EXHAUST PENTA SLIP-ON ROYAL ENFIELD HIMALAYAN M.Y. 2019 HIGH MOUNT VERSION ZRE538SSR</v>
      </c>
      <c r="G158" t="str">
        <f t="shared" si="41"/>
        <v/>
      </c>
      <c r="H158" t="str">
        <f t="shared" si="53"/>
        <v/>
      </c>
      <c r="I158" t="str">
        <f t="shared" si="54"/>
        <v/>
      </c>
      <c r="J158" t="str">
        <f t="shared" si="55"/>
        <v/>
      </c>
      <c r="K158" t="str">
        <f t="shared" si="56"/>
        <v/>
      </c>
      <c r="L158" t="str">
        <f t="shared" si="42"/>
        <v/>
      </c>
      <c r="M158" t="str">
        <f t="shared" si="43"/>
        <v/>
      </c>
      <c r="R158" t="str">
        <f t="shared" si="44"/>
        <v/>
      </c>
      <c r="S158" t="str">
        <f t="shared" si="45"/>
        <v/>
      </c>
      <c r="U158" t="str">
        <f t="shared" si="46"/>
        <v/>
      </c>
      <c r="V158" t="str">
        <f t="shared" si="47"/>
        <v/>
      </c>
      <c r="W158" s="5" t="str">
        <f t="shared" si="48"/>
        <v/>
      </c>
      <c r="Y158" t="str">
        <f t="shared" si="49"/>
        <v/>
      </c>
      <c r="Z158" t="str">
        <f t="shared" si="50"/>
        <v/>
      </c>
      <c r="AB158" t="str">
        <f t="shared" si="51"/>
        <v>https://shop.officineitalianezard.it/contents/imgs/products/1_2619-scarico%20royal%20enfield%20himalayan%20-%20zard%203.jpg</v>
      </c>
      <c r="AE158" t="b">
        <v>0</v>
      </c>
    </row>
    <row r="159" spans="1:31" x14ac:dyDescent="0.2">
      <c r="A159" t="str">
        <f t="shared" si="38"/>
        <v>https://shop.officineitalianezard.it/en/royal-enfield-himalayan-exhaust/</v>
      </c>
      <c r="B159" t="b">
        <f>COUNTIF($A$2:$A159, A159)&gt;1</f>
        <v>1</v>
      </c>
      <c r="C159" t="b">
        <f t="shared" si="39"/>
        <v>1</v>
      </c>
      <c r="D159">
        <f>VLOOKUP(A159,variant_counts!A:B, 2, FALSE)</f>
        <v>1</v>
      </c>
      <c r="E159" t="str">
        <f t="shared" si="52"/>
        <v>zard-exhaust-penta-slip-on-royal-enfield-himalayan-my-2019-high-mount-version-zre538ssr</v>
      </c>
      <c r="F159" t="str">
        <f t="shared" si="40"/>
        <v>ZARD EXHAUST PENTA SLIP-ON ROYAL ENFIELD HIMALAYAN M.Y. 2019 HIGH MOUNT VERSION ZRE538SSR</v>
      </c>
      <c r="G159" t="str">
        <f t="shared" si="41"/>
        <v/>
      </c>
      <c r="H159" t="str">
        <f t="shared" si="53"/>
        <v/>
      </c>
      <c r="I159" t="str">
        <f t="shared" si="54"/>
        <v/>
      </c>
      <c r="J159" t="str">
        <f t="shared" si="55"/>
        <v/>
      </c>
      <c r="K159" t="str">
        <f t="shared" si="56"/>
        <v/>
      </c>
      <c r="L159" t="str">
        <f t="shared" si="42"/>
        <v>Option</v>
      </c>
      <c r="M159" t="str">
        <f t="shared" si="43"/>
        <v>EURO 4 HOMOLOGATED</v>
      </c>
      <c r="R159" t="str">
        <f t="shared" si="44"/>
        <v>ZRE538SSR</v>
      </c>
      <c r="S159">
        <f t="shared" si="45"/>
        <v>0</v>
      </c>
      <c r="U159" t="str">
        <f t="shared" si="46"/>
        <v>continue</v>
      </c>
      <c r="V159" t="str">
        <f t="shared" si="47"/>
        <v>manual</v>
      </c>
      <c r="W159" s="5">
        <f t="shared" si="48"/>
        <v>615.05100000000004</v>
      </c>
      <c r="Y159" t="b">
        <f t="shared" si="49"/>
        <v>1</v>
      </c>
      <c r="Z159" t="b">
        <f t="shared" si="50"/>
        <v>0</v>
      </c>
      <c r="AB159" t="str">
        <f t="shared" si="51"/>
        <v/>
      </c>
      <c r="AE159" t="b">
        <v>0</v>
      </c>
    </row>
    <row r="160" spans="1:31" x14ac:dyDescent="0.2">
      <c r="A160" t="str">
        <f t="shared" si="38"/>
        <v>https://shop.officineitalianezard.it/en/royal-enfield-himalayan-exhaust-2/</v>
      </c>
      <c r="B160" t="b">
        <f>COUNTIF($A$2:$A160, A160)&gt;1</f>
        <v>0</v>
      </c>
      <c r="C160" t="b">
        <f t="shared" si="39"/>
        <v>0</v>
      </c>
      <c r="D160">
        <f>VLOOKUP(A160,variant_counts!A:B, 2, FALSE)</f>
        <v>1</v>
      </c>
      <c r="E160" t="str">
        <f t="shared" si="52"/>
        <v>zard-exhaust-penta-slip-on-royal-enfield-himalayan-my-2019-lowmount-version-zre535ssr</v>
      </c>
      <c r="F160" t="str">
        <f t="shared" si="40"/>
        <v>ZARD EXHAUST PENTA SLIP-ON ROYAL ENFIELD HIMALAYAN M.Y. 2019 LOW MOUNT VERSION ZRE535SSR</v>
      </c>
      <c r="G160" t="str">
        <f t="shared" si="41"/>
        <v>&lt;p&gt;STAINLESS STEEL SLIP-ON WITH REMOVABLE DB-KILLER.&lt;/p&gt;
&lt;p&gt;ALUMINIUM SLEEVE&amp;nbsp;WITH CARBON&amp;nbsp;PARTS.&lt;/p&gt;
&lt;p&gt;ORIGINAL EXHAUST WEIGHT: 4.9 KG&lt;br&gt;ZARD EXHAUST WEIGHT: 2.2 KG&lt;/p&gt;
&lt;p&gt;&lt;span&gt;SIGNIFICANT&amp;nbsp;INCREASE, COMPARED TO THE ORIGINAL&lt;br&gt;&lt;/span&gt;&lt;span&gt;EXHAUST SYSTEM,&amp;nbsp;&lt;/span&gt;&lt;span&gt;ASTONISHING SOUND.&lt;/span&gt;&lt;/p&gt;
&lt;p&gt;&lt;span&gt;THE INSTALLATION OF ZARD EXHAUST DOES NOT&lt;/span&gt;&lt;br&gt;&lt;span&gt;IMPLY ANY MODIFICATION TO ECU.&lt;/span&gt;&lt;/p&gt;</v>
      </c>
      <c r="H160" t="str">
        <f t="shared" si="53"/>
        <v>ZARD</v>
      </c>
      <c r="I160" t="str">
        <f t="shared" si="54"/>
        <v>Exhaust Pipe</v>
      </c>
      <c r="J160" t="str">
        <f t="shared" si="55"/>
        <v>Test</v>
      </c>
      <c r="K160" t="b">
        <f t="shared" si="56"/>
        <v>0</v>
      </c>
      <c r="L160" t="str">
        <f t="shared" si="42"/>
        <v>Option</v>
      </c>
      <c r="M160" t="str">
        <f t="shared" si="43"/>
        <v>DEFAULT</v>
      </c>
      <c r="R160" t="str">
        <f t="shared" si="44"/>
        <v>ZRE535SSR</v>
      </c>
      <c r="S160">
        <f t="shared" si="45"/>
        <v>0</v>
      </c>
      <c r="U160" t="str">
        <f t="shared" si="46"/>
        <v>continue</v>
      </c>
      <c r="V160" t="str">
        <f t="shared" si="47"/>
        <v>manual</v>
      </c>
      <c r="W160" s="5">
        <f t="shared" si="48"/>
        <v>464.01330000000002</v>
      </c>
      <c r="Y160" t="b">
        <f t="shared" si="49"/>
        <v>1</v>
      </c>
      <c r="Z160" t="b">
        <f t="shared" si="50"/>
        <v>0</v>
      </c>
      <c r="AB160" t="str">
        <f t="shared" si="51"/>
        <v>https://shop.officineitalianezard.it/contents/imgs/products/1_2623-scarichi%20royal%20enfield%20himalayan%20zard%20-%201.jpg</v>
      </c>
      <c r="AE160" t="b">
        <v>0</v>
      </c>
    </row>
    <row r="161" spans="1:31" x14ac:dyDescent="0.2">
      <c r="A161" t="str">
        <f t="shared" si="38"/>
        <v>https://shop.officineitalianezard.it/en/royal-enfield-himalayan-exhaust-2/</v>
      </c>
      <c r="B161" t="b">
        <f>COUNTIF($A$2:$A161, A161)&gt;1</f>
        <v>1</v>
      </c>
      <c r="C161" t="b">
        <f t="shared" si="39"/>
        <v>0</v>
      </c>
      <c r="D161">
        <f>VLOOKUP(A161,variant_counts!A:B, 2, FALSE)</f>
        <v>1</v>
      </c>
      <c r="E161" t="str">
        <f t="shared" si="52"/>
        <v>zard-exhaust-penta-slip-on-royal-enfield-himalayan-my-2019-lowmount-version-zre535ssr</v>
      </c>
      <c r="F161" t="str">
        <f t="shared" si="40"/>
        <v>ZARD EXHAUST PENTA SLIP-ON ROYAL ENFIELD HIMALAYAN M.Y. 2019 LOW MOUNT VERSION ZRE535SSR</v>
      </c>
      <c r="G161" t="str">
        <f t="shared" si="41"/>
        <v/>
      </c>
      <c r="H161" t="str">
        <f t="shared" si="53"/>
        <v/>
      </c>
      <c r="I161" t="str">
        <f t="shared" si="54"/>
        <v/>
      </c>
      <c r="J161" t="str">
        <f t="shared" si="55"/>
        <v/>
      </c>
      <c r="K161" t="str">
        <f t="shared" si="56"/>
        <v/>
      </c>
      <c r="L161" t="str">
        <f t="shared" si="42"/>
        <v/>
      </c>
      <c r="M161" t="str">
        <f t="shared" si="43"/>
        <v/>
      </c>
      <c r="R161" t="str">
        <f t="shared" si="44"/>
        <v/>
      </c>
      <c r="S161" t="str">
        <f t="shared" si="45"/>
        <v/>
      </c>
      <c r="U161" t="str">
        <f t="shared" si="46"/>
        <v/>
      </c>
      <c r="V161" t="str">
        <f t="shared" si="47"/>
        <v/>
      </c>
      <c r="W161" s="5" t="str">
        <f t="shared" si="48"/>
        <v/>
      </c>
      <c r="Y161" t="str">
        <f t="shared" si="49"/>
        <v/>
      </c>
      <c r="Z161" t="str">
        <f t="shared" si="50"/>
        <v/>
      </c>
      <c r="AB161" t="str">
        <f t="shared" si="51"/>
        <v>https://shop.officineitalianezard.it/contents/imgs/products/1_2624-scarichi%20royal%20enfield%20himalayan%20zard%20-%202.jpg</v>
      </c>
      <c r="AE161" t="b">
        <v>0</v>
      </c>
    </row>
    <row r="162" spans="1:31" x14ac:dyDescent="0.2">
      <c r="A162" t="str">
        <f t="shared" si="38"/>
        <v>https://shop.officineitalianezard.it/en/royal-enfield-himalayan-exhaust-2/</v>
      </c>
      <c r="B162" t="b">
        <f>COUNTIF($A$2:$A162, A162)&gt;1</f>
        <v>1</v>
      </c>
      <c r="C162" t="b">
        <f t="shared" si="39"/>
        <v>0</v>
      </c>
      <c r="D162">
        <f>VLOOKUP(A162,variant_counts!A:B, 2, FALSE)</f>
        <v>1</v>
      </c>
      <c r="E162" t="str">
        <f t="shared" si="52"/>
        <v>zard-exhaust-penta-slip-on-royal-enfield-himalayan-my-2019-lowmount-version-zre535ssr</v>
      </c>
      <c r="F162" t="str">
        <f t="shared" si="40"/>
        <v>ZARD EXHAUST PENTA SLIP-ON ROYAL ENFIELD HIMALAYAN M.Y. 2019 LOW MOUNT VERSION ZRE535SSR</v>
      </c>
      <c r="G162" t="str">
        <f t="shared" si="41"/>
        <v/>
      </c>
      <c r="H162" t="str">
        <f t="shared" si="53"/>
        <v/>
      </c>
      <c r="I162" t="str">
        <f t="shared" si="54"/>
        <v/>
      </c>
      <c r="J162" t="str">
        <f t="shared" si="55"/>
        <v/>
      </c>
      <c r="K162" t="str">
        <f t="shared" si="56"/>
        <v/>
      </c>
      <c r="L162" t="str">
        <f t="shared" si="42"/>
        <v/>
      </c>
      <c r="M162" t="str">
        <f t="shared" si="43"/>
        <v/>
      </c>
      <c r="R162" t="str">
        <f t="shared" si="44"/>
        <v/>
      </c>
      <c r="S162" t="str">
        <f t="shared" si="45"/>
        <v/>
      </c>
      <c r="U162" t="str">
        <f t="shared" si="46"/>
        <v/>
      </c>
      <c r="V162" t="str">
        <f t="shared" si="47"/>
        <v/>
      </c>
      <c r="W162" s="5" t="str">
        <f t="shared" si="48"/>
        <v/>
      </c>
      <c r="Y162" t="str">
        <f t="shared" si="49"/>
        <v/>
      </c>
      <c r="Z162" t="str">
        <f t="shared" si="50"/>
        <v/>
      </c>
      <c r="AB162" t="str">
        <f t="shared" si="51"/>
        <v>https://shop.officineitalianezard.it/contents/imgs/products/1_2625-scarichi%20royal%20enfield%20himalayan%20zard%20-%203.jpg</v>
      </c>
      <c r="AE162" t="b">
        <v>0</v>
      </c>
    </row>
    <row r="163" spans="1:31" x14ac:dyDescent="0.2">
      <c r="A163" t="str">
        <f t="shared" si="38"/>
        <v>https://shop.officineitalianezard.it/en/royal-enfield-himalayan-exhaust-2/</v>
      </c>
      <c r="B163" t="b">
        <f>COUNTIF($A$2:$A163, A163)&gt;1</f>
        <v>1</v>
      </c>
      <c r="C163" t="b">
        <f t="shared" si="39"/>
        <v>1</v>
      </c>
      <c r="D163">
        <f>VLOOKUP(A163,variant_counts!A:B, 2, FALSE)</f>
        <v>1</v>
      </c>
      <c r="E163" t="str">
        <f t="shared" si="52"/>
        <v>zard-exhaust-penta-slip-on-royal-enfield-himalayan-my-2019-lowmount-version-zre535ssr</v>
      </c>
      <c r="F163" t="str">
        <f t="shared" si="40"/>
        <v>ZARD EXHAUST PENTA SLIP-ON ROYAL ENFIELD HIMALAYAN M.Y. 2019 LOW MOUNT VERSION ZRE535SSR</v>
      </c>
      <c r="G163" t="str">
        <f t="shared" si="41"/>
        <v/>
      </c>
      <c r="H163" t="str">
        <f t="shared" si="53"/>
        <v/>
      </c>
      <c r="I163" t="str">
        <f t="shared" si="54"/>
        <v/>
      </c>
      <c r="J163" t="str">
        <f t="shared" si="55"/>
        <v/>
      </c>
      <c r="K163" t="str">
        <f t="shared" si="56"/>
        <v/>
      </c>
      <c r="L163" t="str">
        <f t="shared" si="42"/>
        <v>Option</v>
      </c>
      <c r="M163" t="str">
        <f t="shared" si="43"/>
        <v>EURO 4 HOMOLOGATED</v>
      </c>
      <c r="R163" t="str">
        <f t="shared" si="44"/>
        <v>ZRE535SSR</v>
      </c>
      <c r="S163">
        <f t="shared" si="45"/>
        <v>0</v>
      </c>
      <c r="U163" t="str">
        <f t="shared" si="46"/>
        <v>continue</v>
      </c>
      <c r="V163" t="str">
        <f t="shared" si="47"/>
        <v>manual</v>
      </c>
      <c r="W163" s="5">
        <f t="shared" si="48"/>
        <v>496.76940000000002</v>
      </c>
      <c r="Y163" t="b">
        <f t="shared" si="49"/>
        <v>1</v>
      </c>
      <c r="Z163" t="b">
        <f t="shared" si="50"/>
        <v>0</v>
      </c>
      <c r="AB163" t="str">
        <f t="shared" si="51"/>
        <v/>
      </c>
      <c r="AE163" t="b">
        <v>0</v>
      </c>
    </row>
    <row r="164" spans="1:31" x14ac:dyDescent="0.2">
      <c r="A164" t="str">
        <f t="shared" si="38"/>
        <v>https://shop.officineitalianezard.it/en/royal-enfield-classic-exhaust/</v>
      </c>
      <c r="B164" t="b">
        <f>COUNTIF($A$2:$A164, A164)&gt;1</f>
        <v>0</v>
      </c>
      <c r="C164" t="b">
        <f t="shared" si="39"/>
        <v>0</v>
      </c>
      <c r="D164">
        <f>VLOOKUP(A164,variant_counts!A:B, 2, FALSE)</f>
        <v>1</v>
      </c>
      <c r="E164" t="str">
        <f t="shared" si="52"/>
        <v>zard-exhaust-slip-on-royal-enfield-classic-my-2019-conical-version-zre539ssr</v>
      </c>
      <c r="F164" t="str">
        <f t="shared" si="40"/>
        <v>ZARD EXHAUST SLIP-ON ROYAL ENFIELD CLASSIC M.Y. 2019 CONICAL VERSION ZRE539SSR</v>
      </c>
      <c r="G164" t="str">
        <f t="shared" si="41"/>
        <v>&lt;p&gt;&lt;strong&gt;&lt;/strong&gt;STAINLESS STEEL SLIP-ON WITH REMOVABLE DB-KILLERS.&lt;/p&gt;
&lt;p&gt;ORIGINAL EXHAUST WEIGHT: 6.7 KG&lt;br&gt;ZARD EXHAUST WEIGHT: 3.1 KG&lt;/p&gt;
&lt;p&gt;HARD&amp;nbsp;INCREASE, COMPARED TO THE ORIGINAL&lt;br&gt;EXHAUST SYSTEM, ASTONISHING SOUND.&lt;/p&gt;
&lt;p&gt;THE INSTALLATION OF ZARD EXHAUST DOES NOT&lt;br&gt;IMPLY ANY MODIFICATION TO ECU.&lt;/p&gt;</v>
      </c>
      <c r="H164" t="str">
        <f t="shared" si="53"/>
        <v>ZARD</v>
      </c>
      <c r="I164" t="str">
        <f t="shared" si="54"/>
        <v>Exhaust Pipe</v>
      </c>
      <c r="J164" t="str">
        <f t="shared" si="55"/>
        <v>Test</v>
      </c>
      <c r="K164" t="b">
        <f t="shared" si="56"/>
        <v>0</v>
      </c>
      <c r="L164" t="str">
        <f t="shared" si="42"/>
        <v>Option</v>
      </c>
      <c r="M164" t="str">
        <f t="shared" si="43"/>
        <v>DEFAULT</v>
      </c>
      <c r="R164" t="str">
        <f t="shared" si="44"/>
        <v>ZRE539SSR</v>
      </c>
      <c r="S164">
        <f t="shared" si="45"/>
        <v>0</v>
      </c>
      <c r="U164" t="str">
        <f t="shared" si="46"/>
        <v>continue</v>
      </c>
      <c r="V164" t="str">
        <f t="shared" si="47"/>
        <v>manual</v>
      </c>
      <c r="W164" s="5">
        <f t="shared" si="48"/>
        <v>482.21730000000002</v>
      </c>
      <c r="Y164" t="b">
        <f t="shared" si="49"/>
        <v>1</v>
      </c>
      <c r="Z164" t="b">
        <f t="shared" si="50"/>
        <v>0</v>
      </c>
      <c r="AB164" t="str">
        <f t="shared" si="51"/>
        <v>https://shop.officineitalianezard.it/contents/imgs/products/1_2639-scarico%20royal%20enfield%20classic%20zard%20-%201.jpg</v>
      </c>
      <c r="AE164" t="b">
        <v>0</v>
      </c>
    </row>
    <row r="165" spans="1:31" x14ac:dyDescent="0.2">
      <c r="A165" t="str">
        <f t="shared" si="38"/>
        <v>https://shop.officineitalianezard.it/en/royal-enfield-classic-exhaust/</v>
      </c>
      <c r="B165" t="b">
        <f>COUNTIF($A$2:$A165, A165)&gt;1</f>
        <v>1</v>
      </c>
      <c r="C165" t="b">
        <f t="shared" si="39"/>
        <v>0</v>
      </c>
      <c r="D165">
        <f>VLOOKUP(A165,variant_counts!A:B, 2, FALSE)</f>
        <v>1</v>
      </c>
      <c r="E165" t="str">
        <f t="shared" si="52"/>
        <v>zard-exhaust-slip-on-royal-enfield-classic-my-2019-conical-version-zre539ssr</v>
      </c>
      <c r="F165" t="str">
        <f t="shared" si="40"/>
        <v>ZARD EXHAUST SLIP-ON ROYAL ENFIELD CLASSIC M.Y. 2019 CONICAL VERSION ZRE539SSR</v>
      </c>
      <c r="G165" t="str">
        <f t="shared" si="41"/>
        <v/>
      </c>
      <c r="H165" t="str">
        <f t="shared" si="53"/>
        <v/>
      </c>
      <c r="I165" t="str">
        <f t="shared" si="54"/>
        <v/>
      </c>
      <c r="J165" t="str">
        <f t="shared" si="55"/>
        <v/>
      </c>
      <c r="K165" t="str">
        <f t="shared" si="56"/>
        <v/>
      </c>
      <c r="L165" t="str">
        <f t="shared" si="42"/>
        <v/>
      </c>
      <c r="M165" t="str">
        <f t="shared" si="43"/>
        <v/>
      </c>
      <c r="R165" t="str">
        <f t="shared" si="44"/>
        <v/>
      </c>
      <c r="S165" t="str">
        <f t="shared" si="45"/>
        <v/>
      </c>
      <c r="U165" t="str">
        <f t="shared" si="46"/>
        <v/>
      </c>
      <c r="V165" t="str">
        <f t="shared" si="47"/>
        <v/>
      </c>
      <c r="W165" s="5" t="str">
        <f t="shared" si="48"/>
        <v/>
      </c>
      <c r="Y165" t="str">
        <f t="shared" si="49"/>
        <v/>
      </c>
      <c r="Z165" t="str">
        <f t="shared" si="50"/>
        <v/>
      </c>
      <c r="AB165" t="str">
        <f t="shared" si="51"/>
        <v>https://shop.officineitalianezard.it/contents/imgs/products/1_2640-scarico%20royal%20enfield%20classic%20zard%20-%202.jpg</v>
      </c>
      <c r="AE165" t="b">
        <v>0</v>
      </c>
    </row>
    <row r="166" spans="1:31" x14ac:dyDescent="0.2">
      <c r="A166" t="str">
        <f t="shared" si="38"/>
        <v>https://shop.officineitalianezard.it/en/royal-enfield-classic-exhaust/</v>
      </c>
      <c r="B166" t="b">
        <f>COUNTIF($A$2:$A166, A166)&gt;1</f>
        <v>1</v>
      </c>
      <c r="C166" t="b">
        <f t="shared" si="39"/>
        <v>0</v>
      </c>
      <c r="D166">
        <f>VLOOKUP(A166,variant_counts!A:B, 2, FALSE)</f>
        <v>1</v>
      </c>
      <c r="E166" t="str">
        <f t="shared" si="52"/>
        <v>zard-exhaust-slip-on-royal-enfield-classic-my-2019-conical-version-zre539ssr</v>
      </c>
      <c r="F166" t="str">
        <f t="shared" si="40"/>
        <v>ZARD EXHAUST SLIP-ON ROYAL ENFIELD CLASSIC M.Y. 2019 CONICAL VERSION ZRE539SSR</v>
      </c>
      <c r="G166" t="str">
        <f t="shared" si="41"/>
        <v/>
      </c>
      <c r="H166" t="str">
        <f t="shared" si="53"/>
        <v/>
      </c>
      <c r="I166" t="str">
        <f t="shared" si="54"/>
        <v/>
      </c>
      <c r="J166" t="str">
        <f t="shared" si="55"/>
        <v/>
      </c>
      <c r="K166" t="str">
        <f t="shared" si="56"/>
        <v/>
      </c>
      <c r="L166" t="str">
        <f t="shared" si="42"/>
        <v/>
      </c>
      <c r="M166" t="str">
        <f t="shared" si="43"/>
        <v/>
      </c>
      <c r="R166" t="str">
        <f t="shared" si="44"/>
        <v/>
      </c>
      <c r="S166" t="str">
        <f t="shared" si="45"/>
        <v/>
      </c>
      <c r="U166" t="str">
        <f t="shared" si="46"/>
        <v/>
      </c>
      <c r="V166" t="str">
        <f t="shared" si="47"/>
        <v/>
      </c>
      <c r="W166" s="5" t="str">
        <f t="shared" si="48"/>
        <v/>
      </c>
      <c r="Y166" t="str">
        <f t="shared" si="49"/>
        <v/>
      </c>
      <c r="Z166" t="str">
        <f t="shared" si="50"/>
        <v/>
      </c>
      <c r="AB166" t="str">
        <f t="shared" si="51"/>
        <v>https://shop.officineitalianezard.it/contents/imgs/products/1_2641-scarico%20royal%20enfield%20classic%20zard%20-%203.jpg</v>
      </c>
      <c r="AE166" t="b">
        <v>0</v>
      </c>
    </row>
    <row r="167" spans="1:31" x14ac:dyDescent="0.2">
      <c r="A167" t="str">
        <f t="shared" si="38"/>
        <v>https://shop.officineitalianezard.it/en/royal-enfield-classic-exhaust/</v>
      </c>
      <c r="B167" t="b">
        <f>COUNTIF($A$2:$A167, A167)&gt;1</f>
        <v>1</v>
      </c>
      <c r="C167" t="b">
        <f t="shared" si="39"/>
        <v>1</v>
      </c>
      <c r="D167">
        <f>VLOOKUP(A167,variant_counts!A:B, 2, FALSE)</f>
        <v>1</v>
      </c>
      <c r="E167" t="str">
        <f t="shared" si="52"/>
        <v>zard-exhaust-slip-on-royal-enfield-classic-my-2019-conical-version-zre539ssr</v>
      </c>
      <c r="F167" t="str">
        <f t="shared" si="40"/>
        <v>ZARD EXHAUST SLIP-ON ROYAL ENFIELD CLASSIC M.Y. 2019 CONICAL VERSION ZRE539SSR</v>
      </c>
      <c r="G167" t="str">
        <f t="shared" si="41"/>
        <v/>
      </c>
      <c r="H167" t="str">
        <f t="shared" si="53"/>
        <v/>
      </c>
      <c r="I167" t="str">
        <f t="shared" si="54"/>
        <v/>
      </c>
      <c r="J167" t="str">
        <f t="shared" si="55"/>
        <v/>
      </c>
      <c r="K167" t="str">
        <f t="shared" si="56"/>
        <v/>
      </c>
      <c r="L167" t="str">
        <f t="shared" si="42"/>
        <v>Option</v>
      </c>
      <c r="M167" t="str">
        <f t="shared" si="43"/>
        <v>EURO 4 HOMOLOGATED</v>
      </c>
      <c r="R167" t="str">
        <f t="shared" si="44"/>
        <v>ZRE539SSR</v>
      </c>
      <c r="S167">
        <f t="shared" si="45"/>
        <v>0</v>
      </c>
      <c r="U167" t="str">
        <f t="shared" si="46"/>
        <v>continue</v>
      </c>
      <c r="V167" t="str">
        <f t="shared" si="47"/>
        <v>manual</v>
      </c>
      <c r="W167" s="5">
        <f t="shared" si="48"/>
        <v>539.53770000000009</v>
      </c>
      <c r="Y167" t="b">
        <f t="shared" si="49"/>
        <v>1</v>
      </c>
      <c r="Z167" t="b">
        <f t="shared" si="50"/>
        <v>0</v>
      </c>
      <c r="AB167" t="str">
        <f t="shared" si="51"/>
        <v/>
      </c>
      <c r="AE167" t="b">
        <v>0</v>
      </c>
    </row>
    <row r="168" spans="1:31" x14ac:dyDescent="0.2">
      <c r="A168" t="str">
        <f t="shared" si="38"/>
        <v>https://shop.officineitalianezard.it/en/royal-enfield-continental-gt-exhaust-2/</v>
      </c>
      <c r="B168" t="b">
        <f>COUNTIF($A$2:$A168, A168)&gt;1</f>
        <v>0</v>
      </c>
      <c r="C168" t="b">
        <f t="shared" si="39"/>
        <v>0</v>
      </c>
      <c r="D168">
        <f>VLOOKUP(A168,variant_counts!A:B, 2, FALSE)</f>
        <v>1</v>
      </c>
      <c r="E168" t="str">
        <f t="shared" si="52"/>
        <v>zard-exhaust-n-2-slip-ons-royal-enfield-continental-gt-interceptor-my-2019-conical-version-zre536ssr</v>
      </c>
      <c r="F168" t="str">
        <f t="shared" si="40"/>
        <v>ZARD EXHAUST N. 2 SLIP-ONS ROYAL ENFIELD CONTINENTAL GT / INTERCEPTOR M.Y. 2019 CONICAL VERSION ZRE536SSR</v>
      </c>
      <c r="G168" t="str">
        <f t="shared" si="41"/>
        <v>&lt;p&gt;&lt;strong&gt;&lt;/strong&gt;N.2 MIRROR POLISHED STAINLESS STEEL&lt;span&gt;&amp;nbsp;RACING&lt;br&gt;&lt;/span&gt;SLIP-ONS&amp;nbsp;WITH REMOVABLE DB-KILLERS.&lt;/p&gt;
&lt;p&gt;EURO 4 HOMOLOGATED VERSION AVAILABLE AS OPTIONAL.&lt;/p&gt;
&lt;p&gt;ORIGINAL EXHAUST WEIGHT: 10 KG&lt;br&gt;ZARD EXHAUST WEIGHT: 4.2 KG&lt;/p&gt;
&lt;p&gt;SIGNIFICANT INCREASE, COMPARED TO THE ORIGINAL&lt;br&gt;EXHAUST SYSTEM, ASTONISHING SOUND.&lt;/p&gt;
&lt;p&gt;THE INSTALLATION OF ZARD EXHAUST DOES NOT&lt;br&gt;IMPLY ANY MODIFICATION TO ECU.&lt;/p&gt;</v>
      </c>
      <c r="H168" t="str">
        <f t="shared" si="53"/>
        <v>ZARD</v>
      </c>
      <c r="I168" t="str">
        <f t="shared" si="54"/>
        <v>Exhaust Pipe</v>
      </c>
      <c r="J168" t="str">
        <f t="shared" si="55"/>
        <v>Test</v>
      </c>
      <c r="K168" t="b">
        <f t="shared" si="56"/>
        <v>0</v>
      </c>
      <c r="L168" t="str">
        <f t="shared" si="42"/>
        <v>Option</v>
      </c>
      <c r="M168" t="str">
        <f t="shared" si="43"/>
        <v>DEFAULT</v>
      </c>
      <c r="R168" t="str">
        <f t="shared" si="44"/>
        <v>ZRE536SSR</v>
      </c>
      <c r="S168">
        <f t="shared" si="45"/>
        <v>0</v>
      </c>
      <c r="U168" t="str">
        <f t="shared" si="46"/>
        <v>continue</v>
      </c>
      <c r="V168" t="str">
        <f t="shared" si="47"/>
        <v>manual</v>
      </c>
      <c r="W168" s="5">
        <f t="shared" si="48"/>
        <v>655.07760000000007</v>
      </c>
      <c r="Y168" t="b">
        <f t="shared" si="49"/>
        <v>1</v>
      </c>
      <c r="Z168" t="b">
        <f t="shared" si="50"/>
        <v>0</v>
      </c>
      <c r="AB168" t="str">
        <f t="shared" si="51"/>
        <v>https://shop.officineitalianezard.it/contents/imgs/products/1_2664-scarico%20royal%20enfield%20continental%20gt%20interceptor%20650%20zard%20-%201.jpg</v>
      </c>
      <c r="AE168" t="b">
        <v>0</v>
      </c>
    </row>
    <row r="169" spans="1:31" x14ac:dyDescent="0.2">
      <c r="A169" t="str">
        <f t="shared" si="38"/>
        <v>https://shop.officineitalianezard.it/en/royal-enfield-continental-gt-exhaust-2/</v>
      </c>
      <c r="B169" t="b">
        <f>COUNTIF($A$2:$A169, A169)&gt;1</f>
        <v>1</v>
      </c>
      <c r="C169" t="b">
        <f t="shared" si="39"/>
        <v>0</v>
      </c>
      <c r="D169">
        <f>VLOOKUP(A169,variant_counts!A:B, 2, FALSE)</f>
        <v>1</v>
      </c>
      <c r="E169" t="str">
        <f t="shared" si="52"/>
        <v>zard-exhaust-n-2-slip-ons-royal-enfield-continental-gt-interceptor-my-2019-conical-version-zre536ssr</v>
      </c>
      <c r="F169" t="str">
        <f t="shared" si="40"/>
        <v>ZARD EXHAUST N. 2 SLIP-ONS ROYAL ENFIELD CONTINENTAL GT / INTERCEPTOR M.Y. 2019 CONICAL VERSION ZRE536SSR</v>
      </c>
      <c r="G169" t="str">
        <f t="shared" si="41"/>
        <v/>
      </c>
      <c r="H169" t="str">
        <f t="shared" si="53"/>
        <v/>
      </c>
      <c r="I169" t="str">
        <f t="shared" si="54"/>
        <v/>
      </c>
      <c r="J169" t="str">
        <f t="shared" si="55"/>
        <v/>
      </c>
      <c r="K169" t="str">
        <f t="shared" si="56"/>
        <v/>
      </c>
      <c r="L169" t="str">
        <f t="shared" si="42"/>
        <v/>
      </c>
      <c r="M169" t="str">
        <f t="shared" si="43"/>
        <v/>
      </c>
      <c r="R169" t="str">
        <f t="shared" si="44"/>
        <v/>
      </c>
      <c r="S169" t="str">
        <f t="shared" si="45"/>
        <v/>
      </c>
      <c r="U169" t="str">
        <f t="shared" si="46"/>
        <v/>
      </c>
      <c r="V169" t="str">
        <f t="shared" si="47"/>
        <v/>
      </c>
      <c r="W169" s="5" t="str">
        <f t="shared" si="48"/>
        <v/>
      </c>
      <c r="Y169" t="str">
        <f t="shared" si="49"/>
        <v/>
      </c>
      <c r="Z169" t="str">
        <f t="shared" si="50"/>
        <v/>
      </c>
      <c r="AB169" t="str">
        <f t="shared" si="51"/>
        <v>https://shop.officineitalianezard.it/contents/imgs/products/1_2665-scarico%20royal%20enfield%20continental%20gt%20interceptor%20650%20zard%20-%202.jpg</v>
      </c>
      <c r="AE169" t="b">
        <v>0</v>
      </c>
    </row>
    <row r="170" spans="1:31" x14ac:dyDescent="0.2">
      <c r="A170" t="str">
        <f t="shared" si="38"/>
        <v>https://shop.officineitalianezard.it/en/royal-enfield-continental-gt-exhaust-2/</v>
      </c>
      <c r="B170" t="b">
        <f>COUNTIF($A$2:$A170, A170)&gt;1</f>
        <v>1</v>
      </c>
      <c r="C170" t="b">
        <f t="shared" si="39"/>
        <v>0</v>
      </c>
      <c r="D170">
        <f>VLOOKUP(A170,variant_counts!A:B, 2, FALSE)</f>
        <v>1</v>
      </c>
      <c r="E170" t="str">
        <f t="shared" si="52"/>
        <v>zard-exhaust-n-2-slip-ons-royal-enfield-continental-gt-interceptor-my-2019-conical-version-zre536ssr</v>
      </c>
      <c r="F170" t="str">
        <f t="shared" si="40"/>
        <v>ZARD EXHAUST N. 2 SLIP-ONS ROYAL ENFIELD CONTINENTAL GT / INTERCEPTOR M.Y. 2019 CONICAL VERSION ZRE536SSR</v>
      </c>
      <c r="G170" t="str">
        <f t="shared" si="41"/>
        <v/>
      </c>
      <c r="H170" t="str">
        <f t="shared" si="53"/>
        <v/>
      </c>
      <c r="I170" t="str">
        <f t="shared" si="54"/>
        <v/>
      </c>
      <c r="J170" t="str">
        <f t="shared" si="55"/>
        <v/>
      </c>
      <c r="K170" t="str">
        <f t="shared" si="56"/>
        <v/>
      </c>
      <c r="L170" t="str">
        <f t="shared" si="42"/>
        <v/>
      </c>
      <c r="M170" t="str">
        <f t="shared" si="43"/>
        <v/>
      </c>
      <c r="R170" t="str">
        <f t="shared" si="44"/>
        <v/>
      </c>
      <c r="S170" t="str">
        <f t="shared" si="45"/>
        <v/>
      </c>
      <c r="U170" t="str">
        <f t="shared" si="46"/>
        <v/>
      </c>
      <c r="V170" t="str">
        <f t="shared" si="47"/>
        <v/>
      </c>
      <c r="W170" s="5" t="str">
        <f t="shared" si="48"/>
        <v/>
      </c>
      <c r="Y170" t="str">
        <f t="shared" si="49"/>
        <v/>
      </c>
      <c r="Z170" t="str">
        <f t="shared" si="50"/>
        <v/>
      </c>
      <c r="AB170" t="str">
        <f t="shared" si="51"/>
        <v>https://shop.officineitalianezard.it/contents/imgs/products/1_2666-scarico%20royal%20enfield%20continental%20gt%20interceptor%20650%20zard%20-%203.jpg</v>
      </c>
      <c r="AE170" t="b">
        <v>0</v>
      </c>
    </row>
    <row r="171" spans="1:31" x14ac:dyDescent="0.2">
      <c r="A171" t="str">
        <f t="shared" si="38"/>
        <v>https://shop.officineitalianezard.it/en/royal-enfield-continental-gt-exhaust-2/</v>
      </c>
      <c r="B171" t="b">
        <f>COUNTIF($A$2:$A171, A171)&gt;1</f>
        <v>1</v>
      </c>
      <c r="C171" t="b">
        <f t="shared" si="39"/>
        <v>0</v>
      </c>
      <c r="D171">
        <f>VLOOKUP(A171,variant_counts!A:B, 2, FALSE)</f>
        <v>1</v>
      </c>
      <c r="E171" t="str">
        <f t="shared" si="52"/>
        <v>zard-exhaust-n-2-slip-ons-royal-enfield-continental-gt-interceptor-my-2019-conical-version-zre536ssr</v>
      </c>
      <c r="F171" t="str">
        <f t="shared" si="40"/>
        <v>ZARD EXHAUST N. 2 SLIP-ONS ROYAL ENFIELD CONTINENTAL GT / INTERCEPTOR M.Y. 2019 CONICAL VERSION ZRE536SSR</v>
      </c>
      <c r="G171" t="str">
        <f t="shared" si="41"/>
        <v/>
      </c>
      <c r="H171" t="str">
        <f t="shared" si="53"/>
        <v/>
      </c>
      <c r="I171" t="str">
        <f t="shared" si="54"/>
        <v/>
      </c>
      <c r="J171" t="str">
        <f t="shared" si="55"/>
        <v/>
      </c>
      <c r="K171" t="str">
        <f t="shared" si="56"/>
        <v/>
      </c>
      <c r="L171" t="str">
        <f t="shared" si="42"/>
        <v/>
      </c>
      <c r="M171" t="str">
        <f t="shared" si="43"/>
        <v/>
      </c>
      <c r="R171" t="str">
        <f t="shared" si="44"/>
        <v/>
      </c>
      <c r="S171" t="str">
        <f t="shared" si="45"/>
        <v/>
      </c>
      <c r="U171" t="str">
        <f t="shared" si="46"/>
        <v/>
      </c>
      <c r="V171" t="str">
        <f t="shared" si="47"/>
        <v/>
      </c>
      <c r="W171" s="5" t="str">
        <f t="shared" si="48"/>
        <v/>
      </c>
      <c r="Y171" t="str">
        <f t="shared" si="49"/>
        <v/>
      </c>
      <c r="Z171" t="str">
        <f t="shared" si="50"/>
        <v/>
      </c>
      <c r="AB171" t="str">
        <f t="shared" si="51"/>
        <v>https://shop.officineitalianezard.it/contents/imgs/products/1_2668-scarico%20royal%20enfield%20continental%20gt%20interceptor%20650%20zard%20-%205.jpg</v>
      </c>
      <c r="AE171" t="b">
        <v>0</v>
      </c>
    </row>
    <row r="172" spans="1:31" x14ac:dyDescent="0.2">
      <c r="A172" t="str">
        <f t="shared" si="38"/>
        <v>https://shop.officineitalianezard.it/en/royal-enfield-continental-gt-exhaust-2/</v>
      </c>
      <c r="B172" t="b">
        <f>COUNTIF($A$2:$A172, A172)&gt;1</f>
        <v>1</v>
      </c>
      <c r="C172" t="b">
        <f t="shared" si="39"/>
        <v>0</v>
      </c>
      <c r="D172">
        <f>VLOOKUP(A172,variant_counts!A:B, 2, FALSE)</f>
        <v>1</v>
      </c>
      <c r="E172" t="str">
        <f t="shared" si="52"/>
        <v>zard-exhaust-n-2-slip-ons-royal-enfield-continental-gt-interceptor-my-2019-conical-version-zre536ssr</v>
      </c>
      <c r="F172" t="str">
        <f t="shared" si="40"/>
        <v>ZARD EXHAUST N. 2 SLIP-ONS ROYAL ENFIELD CONTINENTAL GT / INTERCEPTOR M.Y. 2019 CONICAL VERSION ZRE536SSR</v>
      </c>
      <c r="G172" t="str">
        <f t="shared" si="41"/>
        <v/>
      </c>
      <c r="H172" t="str">
        <f t="shared" si="53"/>
        <v/>
      </c>
      <c r="I172" t="str">
        <f t="shared" si="54"/>
        <v/>
      </c>
      <c r="J172" t="str">
        <f t="shared" si="55"/>
        <v/>
      </c>
      <c r="K172" t="str">
        <f t="shared" si="56"/>
        <v/>
      </c>
      <c r="L172" t="str">
        <f t="shared" si="42"/>
        <v/>
      </c>
      <c r="M172" t="str">
        <f t="shared" si="43"/>
        <v/>
      </c>
      <c r="R172" t="str">
        <f t="shared" si="44"/>
        <v/>
      </c>
      <c r="S172" t="str">
        <f t="shared" si="45"/>
        <v/>
      </c>
      <c r="U172" t="str">
        <f t="shared" si="46"/>
        <v/>
      </c>
      <c r="V172" t="str">
        <f t="shared" si="47"/>
        <v/>
      </c>
      <c r="W172" s="5" t="str">
        <f t="shared" si="48"/>
        <v/>
      </c>
      <c r="Y172" t="str">
        <f t="shared" si="49"/>
        <v/>
      </c>
      <c r="Z172" t="str">
        <f t="shared" si="50"/>
        <v/>
      </c>
      <c r="AB172" t="str">
        <f t="shared" si="51"/>
        <v>https://shop.officineitalianezard.it/contents/imgs/products/1_2669-scarico%20royal%20enfield%20continental%20gt%20interceptor%20650%20zard%20-%206.jpg</v>
      </c>
      <c r="AE172" t="b">
        <v>0</v>
      </c>
    </row>
    <row r="173" spans="1:31" x14ac:dyDescent="0.2">
      <c r="A173" t="str">
        <f t="shared" si="38"/>
        <v>https://shop.officineitalianezard.it/en/royal-enfield-continental-gt-exhaust-2/</v>
      </c>
      <c r="B173" t="b">
        <f>COUNTIF($A$2:$A173, A173)&gt;1</f>
        <v>1</v>
      </c>
      <c r="C173" t="b">
        <f t="shared" si="39"/>
        <v>0</v>
      </c>
      <c r="D173">
        <f>VLOOKUP(A173,variant_counts!A:B, 2, FALSE)</f>
        <v>1</v>
      </c>
      <c r="E173" t="str">
        <f t="shared" si="52"/>
        <v>zard-exhaust-n-2-slip-ons-royal-enfield-continental-gt-interceptor-my-2019-conical-version-zre536ssr</v>
      </c>
      <c r="F173" t="str">
        <f t="shared" si="40"/>
        <v>ZARD EXHAUST N. 2 SLIP-ONS ROYAL ENFIELD CONTINENTAL GT / INTERCEPTOR M.Y. 2019 CONICAL VERSION ZRE536SSR</v>
      </c>
      <c r="G173" t="str">
        <f t="shared" si="41"/>
        <v/>
      </c>
      <c r="H173" t="str">
        <f t="shared" si="53"/>
        <v/>
      </c>
      <c r="I173" t="str">
        <f t="shared" si="54"/>
        <v/>
      </c>
      <c r="J173" t="str">
        <f t="shared" si="55"/>
        <v/>
      </c>
      <c r="K173" t="str">
        <f t="shared" si="56"/>
        <v/>
      </c>
      <c r="L173" t="str">
        <f t="shared" si="42"/>
        <v/>
      </c>
      <c r="M173" t="str">
        <f t="shared" si="43"/>
        <v/>
      </c>
      <c r="R173" t="str">
        <f t="shared" si="44"/>
        <v/>
      </c>
      <c r="S173" t="str">
        <f t="shared" si="45"/>
        <v/>
      </c>
      <c r="U173" t="str">
        <f t="shared" si="46"/>
        <v/>
      </c>
      <c r="V173" t="str">
        <f t="shared" si="47"/>
        <v/>
      </c>
      <c r="W173" s="5" t="str">
        <f t="shared" si="48"/>
        <v/>
      </c>
      <c r="Y173" t="str">
        <f t="shared" si="49"/>
        <v/>
      </c>
      <c r="Z173" t="str">
        <f t="shared" si="50"/>
        <v/>
      </c>
      <c r="AB173" t="str">
        <f t="shared" si="51"/>
        <v>https://shop.officineitalianezard.it/contents/imgs/products/1_2667-scarico%20royal%20enfield%20continental%20gt%20interceptor%20650%20zard%20-%204.jpg</v>
      </c>
      <c r="AE173" t="b">
        <v>0</v>
      </c>
    </row>
    <row r="174" spans="1:31" x14ac:dyDescent="0.2">
      <c r="A174" t="str">
        <f t="shared" si="38"/>
        <v>https://shop.officineitalianezard.it/en/royal-enfield-continental-gt-exhaust-2/</v>
      </c>
      <c r="B174" t="b">
        <f>COUNTIF($A$2:$A174, A174)&gt;1</f>
        <v>1</v>
      </c>
      <c r="C174" t="b">
        <f t="shared" si="39"/>
        <v>1</v>
      </c>
      <c r="D174">
        <f>VLOOKUP(A174,variant_counts!A:B, 2, FALSE)</f>
        <v>1</v>
      </c>
      <c r="E174" t="str">
        <f t="shared" si="52"/>
        <v>zard-exhaust-n-2-slip-ons-royal-enfield-continental-gt-interceptor-my-2019-conical-version-zre536ssr</v>
      </c>
      <c r="F174" t="str">
        <f t="shared" si="40"/>
        <v>ZARD EXHAUST N. 2 SLIP-ONS ROYAL ENFIELD CONTINENTAL GT / INTERCEPTOR M.Y. 2019 CONICAL VERSION ZRE536SSR</v>
      </c>
      <c r="G174" t="str">
        <f t="shared" si="41"/>
        <v/>
      </c>
      <c r="H174" t="str">
        <f t="shared" si="53"/>
        <v/>
      </c>
      <c r="I174" t="str">
        <f t="shared" si="54"/>
        <v/>
      </c>
      <c r="J174" t="str">
        <f t="shared" si="55"/>
        <v/>
      </c>
      <c r="K174" t="str">
        <f t="shared" si="56"/>
        <v/>
      </c>
      <c r="L174" t="str">
        <f t="shared" si="42"/>
        <v>Option</v>
      </c>
      <c r="M174" t="str">
        <f t="shared" si="43"/>
        <v>EURO 4 HOMOLOGATED</v>
      </c>
      <c r="R174" t="str">
        <f t="shared" si="44"/>
        <v>ZRE536SSR</v>
      </c>
      <c r="S174">
        <f t="shared" si="45"/>
        <v>0</v>
      </c>
      <c r="U174" t="str">
        <f t="shared" si="46"/>
        <v>continue</v>
      </c>
      <c r="V174" t="str">
        <f t="shared" si="47"/>
        <v>manual</v>
      </c>
      <c r="W174" s="5">
        <f t="shared" si="48"/>
        <v>704.20619999999997</v>
      </c>
      <c r="Y174" t="b">
        <f t="shared" si="49"/>
        <v>1</v>
      </c>
      <c r="Z174" t="b">
        <f t="shared" si="50"/>
        <v>0</v>
      </c>
      <c r="AB174" t="str">
        <f t="shared" si="51"/>
        <v/>
      </c>
      <c r="AE174" t="b">
        <v>0</v>
      </c>
    </row>
    <row r="175" spans="1:31" x14ac:dyDescent="0.2">
      <c r="A175" t="str">
        <f t="shared" si="38"/>
        <v>https://shop.officineitalianezard.it/en/royal-enfield-interceptor-exhaust/</v>
      </c>
      <c r="B175" t="b">
        <f>COUNTIF($A$2:$A175, A175)&gt;1</f>
        <v>0</v>
      </c>
      <c r="C175" t="b">
        <f t="shared" si="39"/>
        <v>0</v>
      </c>
      <c r="D175">
        <f>VLOOKUP(A175,variant_counts!A:B, 2, FALSE)</f>
        <v>0</v>
      </c>
      <c r="E175" t="str">
        <f t="shared" si="52"/>
        <v>zard-exhaust-full-kit-royal-enfield-continental-gt-interceptor-my-2019-flat-version-zre537skr</v>
      </c>
      <c r="F175" t="str">
        <f t="shared" si="40"/>
        <v>ZARD EXHAUST FULL KIT ROYAL ENFIELD CONTINENTAL GT / INTERCEPTOR M.Y. 2019 FLAT VERSION ZRE537SKR</v>
      </c>
      <c r="G175" t="str">
        <f t="shared" si="41"/>
        <v>&lt;p&gt;2&amp;gt;2 FULL KIT INSPIRED BY AMERICAN FLAT TRACK COMPETITIONS.&lt;/p&gt;
&lt;p&gt;MADE IN STAINLESS STEEL&amp;nbsp;WITH REMOVABLE DB-KILLERS&lt;br&gt;IN RACING VERSION ONLY (NOT HOMOLOGATED).&lt;/p&gt;
&lt;p&gt;ORIGINAL EXHAUST WEIGHT: 17.4 KG&lt;br&gt;ZARD FULL KIT WEIGHT: 5.5 KG&lt;/p&gt;
&lt;p&gt;HARD&amp;nbsp;INCREASE, COMPARED TO THE ORIGINAL&lt;br&gt;EXHAUST SYSTEM, ASTONISHING SOUND.&lt;/p&gt;
&lt;p&gt;THE INSTALLATION OF ZARD EXHAUST DOES NOT&lt;br&gt;IMPLY ANY MODIFICATION TO ECU.&lt;/p&gt;
&lt;p&gt;&lt;strong&gt;NOTICE: COMPATIBLE WITH ROYAL ENFIELD CONTINENTAL GT&lt;/strong&gt;&lt;/p&gt;</v>
      </c>
      <c r="H175" t="str">
        <f t="shared" si="53"/>
        <v>ZARD</v>
      </c>
      <c r="I175" t="str">
        <f t="shared" si="54"/>
        <v>Exhaust Pipe</v>
      </c>
      <c r="J175" t="str">
        <f t="shared" si="55"/>
        <v>Test</v>
      </c>
      <c r="K175" t="b">
        <f t="shared" si="56"/>
        <v>0</v>
      </c>
      <c r="L175" t="str">
        <f t="shared" si="42"/>
        <v>Title</v>
      </c>
      <c r="M175" t="str">
        <f t="shared" si="43"/>
        <v>Default Title</v>
      </c>
      <c r="R175" t="str">
        <f t="shared" si="44"/>
        <v>ZRE537SKR</v>
      </c>
      <c r="S175">
        <f t="shared" si="45"/>
        <v>0</v>
      </c>
      <c r="U175" t="str">
        <f t="shared" si="46"/>
        <v>continue</v>
      </c>
      <c r="V175" t="str">
        <f t="shared" si="47"/>
        <v>manual</v>
      </c>
      <c r="W175" s="5">
        <f t="shared" si="48"/>
        <v>1182.7827</v>
      </c>
      <c r="Y175" t="b">
        <f t="shared" si="49"/>
        <v>1</v>
      </c>
      <c r="Z175" t="b">
        <f t="shared" si="50"/>
        <v>0</v>
      </c>
      <c r="AB175" t="str">
        <f t="shared" si="51"/>
        <v>https://shop.officineitalianezard.it/contents/imgs/products/1_2630-scarico%20royal%20enfield%20interceptor%20-%20continental%20gt%20-%20zard%201.jpg</v>
      </c>
      <c r="AE175" t="b">
        <v>0</v>
      </c>
    </row>
    <row r="176" spans="1:31" x14ac:dyDescent="0.2">
      <c r="A176" t="str">
        <f t="shared" si="38"/>
        <v>https://shop.officineitalianezard.it/en/royal-enfield-interceptor-exhaust/</v>
      </c>
      <c r="B176" t="b">
        <f>COUNTIF($A$2:$A176, A176)&gt;1</f>
        <v>1</v>
      </c>
      <c r="C176" t="b">
        <f t="shared" si="39"/>
        <v>0</v>
      </c>
      <c r="D176">
        <f>VLOOKUP(A176,variant_counts!A:B, 2, FALSE)</f>
        <v>0</v>
      </c>
      <c r="E176" t="str">
        <f t="shared" si="52"/>
        <v>zard-exhaust-full-kit-royal-enfield-continental-gt-interceptor-my-2019-flat-version-zre537skr</v>
      </c>
      <c r="F176" t="str">
        <f t="shared" si="40"/>
        <v>ZARD EXHAUST FULL KIT ROYAL ENFIELD CONTINENTAL GT / INTERCEPTOR M.Y. 2019 FLAT VERSION ZRE537SKR</v>
      </c>
      <c r="G176" t="str">
        <f t="shared" si="41"/>
        <v/>
      </c>
      <c r="H176" t="str">
        <f t="shared" si="53"/>
        <v/>
      </c>
      <c r="I176" t="str">
        <f t="shared" si="54"/>
        <v/>
      </c>
      <c r="J176" t="str">
        <f t="shared" si="55"/>
        <v/>
      </c>
      <c r="K176" t="str">
        <f t="shared" si="56"/>
        <v/>
      </c>
      <c r="L176" t="str">
        <f t="shared" si="42"/>
        <v/>
      </c>
      <c r="M176" t="str">
        <f t="shared" si="43"/>
        <v/>
      </c>
      <c r="R176" t="str">
        <f t="shared" si="44"/>
        <v/>
      </c>
      <c r="S176" t="str">
        <f t="shared" si="45"/>
        <v/>
      </c>
      <c r="U176" t="str">
        <f t="shared" si="46"/>
        <v/>
      </c>
      <c r="V176" t="str">
        <f t="shared" si="47"/>
        <v/>
      </c>
      <c r="W176" s="5" t="str">
        <f t="shared" si="48"/>
        <v/>
      </c>
      <c r="Y176" t="str">
        <f t="shared" si="49"/>
        <v/>
      </c>
      <c r="Z176" t="str">
        <f t="shared" si="50"/>
        <v/>
      </c>
      <c r="AB176" t="str">
        <f t="shared" si="51"/>
        <v>https://shop.officineitalianezard.it/contents/imgs/products/1_2631-scarico%20royal%20enfield%20interceptor%20-%20continental%20gt%20-%20zard%202.jpg</v>
      </c>
      <c r="AE176" t="b">
        <v>0</v>
      </c>
    </row>
    <row r="177" spans="1:31" x14ac:dyDescent="0.2">
      <c r="A177" t="str">
        <f t="shared" si="38"/>
        <v>https://shop.officineitalianezard.it/en/royal-enfield-interceptor-exhaust/</v>
      </c>
      <c r="B177" t="b">
        <f>COUNTIF($A$2:$A177, A177)&gt;1</f>
        <v>1</v>
      </c>
      <c r="C177" t="b">
        <f t="shared" si="39"/>
        <v>0</v>
      </c>
      <c r="D177">
        <f>VLOOKUP(A177,variant_counts!A:B, 2, FALSE)</f>
        <v>0</v>
      </c>
      <c r="E177" t="str">
        <f t="shared" si="52"/>
        <v>zard-exhaust-full-kit-royal-enfield-continental-gt-interceptor-my-2019-flat-version-zre537skr</v>
      </c>
      <c r="F177" t="str">
        <f t="shared" si="40"/>
        <v>ZARD EXHAUST FULL KIT ROYAL ENFIELD CONTINENTAL GT / INTERCEPTOR M.Y. 2019 FLAT VERSION ZRE537SKR</v>
      </c>
      <c r="G177" t="str">
        <f t="shared" si="41"/>
        <v/>
      </c>
      <c r="H177" t="str">
        <f t="shared" si="53"/>
        <v/>
      </c>
      <c r="I177" t="str">
        <f t="shared" si="54"/>
        <v/>
      </c>
      <c r="J177" t="str">
        <f t="shared" si="55"/>
        <v/>
      </c>
      <c r="K177" t="str">
        <f t="shared" si="56"/>
        <v/>
      </c>
      <c r="L177" t="str">
        <f t="shared" si="42"/>
        <v/>
      </c>
      <c r="M177" t="str">
        <f t="shared" si="43"/>
        <v/>
      </c>
      <c r="R177" t="str">
        <f t="shared" si="44"/>
        <v/>
      </c>
      <c r="S177" t="str">
        <f t="shared" si="45"/>
        <v/>
      </c>
      <c r="U177" t="str">
        <f t="shared" si="46"/>
        <v/>
      </c>
      <c r="V177" t="str">
        <f t="shared" si="47"/>
        <v/>
      </c>
      <c r="W177" s="5" t="str">
        <f t="shared" si="48"/>
        <v/>
      </c>
      <c r="Y177" t="str">
        <f t="shared" si="49"/>
        <v/>
      </c>
      <c r="Z177" t="str">
        <f t="shared" si="50"/>
        <v/>
      </c>
      <c r="AB177" t="str">
        <f t="shared" si="51"/>
        <v>https://shop.officineitalianezard.it/contents/imgs/products/1_2632-scarico%20royal%20enfield%20interceptor%20-%20continental%20gt%20-%20zard%203.jpg</v>
      </c>
      <c r="AE177" t="b">
        <v>0</v>
      </c>
    </row>
    <row r="178" spans="1:31" x14ac:dyDescent="0.2">
      <c r="A178" t="str">
        <f t="shared" si="38"/>
        <v>https://shop.officineitalianezard.it/en/royal-enfield-zard-conical-silencer/</v>
      </c>
      <c r="B178" t="b">
        <f>COUNTIF($A$2:$A178, A178)&gt;1</f>
        <v>0</v>
      </c>
      <c r="C178" t="b">
        <f t="shared" si="39"/>
        <v>0</v>
      </c>
      <c r="D178">
        <f>VLOOKUP(A178,variant_counts!A:B, 2, FALSE)</f>
        <v>2</v>
      </c>
      <c r="E178" t="str">
        <f t="shared" si="52"/>
        <v>zard-exhaust-silencer-royal-enfield-bullet-350-500-conical-version-zre533ssr</v>
      </c>
      <c r="F178" t="str">
        <f t="shared" si="40"/>
        <v>ZARD EXHAUST SILENCER ROYAL ENFIELD BULLET 350-500 CONICAL VERSION ZRE533SSR</v>
      </c>
      <c r="G178" t="str">
        <f t="shared" si="41"/>
        <v>&lt;p&gt;STEEL SILENCER RACING WITH REMOVABLE DB KILLER.&lt;/p&gt;
&lt;p&gt;ZARD SILENCER WEIGHT: 2KG&lt;/p&gt;
&lt;p&gt;ASTONISHING SOUND.&lt;/p&gt;</v>
      </c>
      <c r="H178" t="str">
        <f t="shared" si="53"/>
        <v>ZARD</v>
      </c>
      <c r="I178" t="str">
        <f t="shared" si="54"/>
        <v>Exhaust Pipe</v>
      </c>
      <c r="J178" t="str">
        <f t="shared" si="55"/>
        <v>Test</v>
      </c>
      <c r="K178" t="b">
        <f t="shared" si="56"/>
        <v>0</v>
      </c>
      <c r="L178" t="str">
        <f t="shared" si="42"/>
        <v/>
      </c>
      <c r="M178" t="str">
        <f t="shared" si="43"/>
        <v/>
      </c>
      <c r="R178" t="str">
        <f t="shared" si="44"/>
        <v/>
      </c>
      <c r="S178" t="str">
        <f t="shared" si="45"/>
        <v/>
      </c>
      <c r="U178" t="str">
        <f t="shared" si="46"/>
        <v/>
      </c>
      <c r="V178" t="str">
        <f t="shared" si="47"/>
        <v/>
      </c>
      <c r="W178" s="5" t="str">
        <f t="shared" si="48"/>
        <v/>
      </c>
      <c r="Y178" t="str">
        <f t="shared" si="49"/>
        <v/>
      </c>
      <c r="Z178" t="str">
        <f t="shared" si="50"/>
        <v/>
      </c>
      <c r="AB178" t="str">
        <f t="shared" si="51"/>
        <v>https://shop.officineitalianezard.it/contents/imgs/products/1_1912-1%20royal%20enfield%20bullet%20classic%20scarichi%20-%20zard.jpg</v>
      </c>
      <c r="AE178" t="b">
        <v>0</v>
      </c>
    </row>
    <row r="179" spans="1:31" x14ac:dyDescent="0.2">
      <c r="A179" t="str">
        <f t="shared" si="38"/>
        <v>https://shop.officineitalianezard.it/en/royal-enfield-zard-conical-silencer/</v>
      </c>
      <c r="B179" t="b">
        <f>COUNTIF($A$2:$A179, A179)&gt;1</f>
        <v>1</v>
      </c>
      <c r="C179" t="b">
        <f t="shared" si="39"/>
        <v>0</v>
      </c>
      <c r="D179">
        <f>VLOOKUP(A179,variant_counts!A:B, 2, FALSE)</f>
        <v>2</v>
      </c>
      <c r="E179" t="str">
        <f t="shared" si="52"/>
        <v>zard-exhaust-silencer-royal-enfield-bullet-350-500-conical-version-zre533ssr</v>
      </c>
      <c r="F179" t="str">
        <f t="shared" si="40"/>
        <v>ZARD EXHAUST SILENCER ROYAL ENFIELD BULLET 350-500 CONICAL VERSION ZRE533SSR</v>
      </c>
      <c r="G179" t="str">
        <f t="shared" si="41"/>
        <v/>
      </c>
      <c r="H179" t="str">
        <f t="shared" si="53"/>
        <v/>
      </c>
      <c r="I179" t="str">
        <f t="shared" si="54"/>
        <v/>
      </c>
      <c r="J179" t="str">
        <f t="shared" si="55"/>
        <v/>
      </c>
      <c r="K179" t="str">
        <f t="shared" si="56"/>
        <v/>
      </c>
      <c r="L179" t="str">
        <f t="shared" si="42"/>
        <v/>
      </c>
      <c r="M179" t="str">
        <f t="shared" si="43"/>
        <v/>
      </c>
      <c r="R179" t="str">
        <f t="shared" si="44"/>
        <v/>
      </c>
      <c r="S179" t="str">
        <f t="shared" si="45"/>
        <v/>
      </c>
      <c r="U179" t="str">
        <f t="shared" si="46"/>
        <v/>
      </c>
      <c r="V179" t="str">
        <f t="shared" si="47"/>
        <v/>
      </c>
      <c r="W179" s="5" t="str">
        <f t="shared" si="48"/>
        <v/>
      </c>
      <c r="Y179" t="str">
        <f t="shared" si="49"/>
        <v/>
      </c>
      <c r="Z179" t="str">
        <f t="shared" si="50"/>
        <v/>
      </c>
      <c r="AB179" t="str">
        <f t="shared" si="51"/>
        <v>https://shop.officineitalianezard.it/contents/imgs/products/1_1913-2%20royal%20enfield%20bullet%20classic%20scarichi%20-%20zard.jpg</v>
      </c>
      <c r="AE179" t="b">
        <v>0</v>
      </c>
    </row>
    <row r="180" spans="1:31" x14ac:dyDescent="0.2">
      <c r="A180" t="str">
        <f t="shared" si="38"/>
        <v>https://shop.officineitalianezard.it/en/royal-enfield-zard-conical-silencer/</v>
      </c>
      <c r="B180" t="b">
        <f>COUNTIF($A$2:$A180, A180)&gt;1</f>
        <v>1</v>
      </c>
      <c r="C180" t="b">
        <f t="shared" si="39"/>
        <v>0</v>
      </c>
      <c r="D180">
        <f>VLOOKUP(A180,variant_counts!A:B, 2, FALSE)</f>
        <v>2</v>
      </c>
      <c r="E180" t="str">
        <f t="shared" si="52"/>
        <v>zard-exhaust-silencer-royal-enfield-bullet-350-500-conical-version-zre533ssr</v>
      </c>
      <c r="F180" t="str">
        <f t="shared" si="40"/>
        <v>ZARD EXHAUST SILENCER ROYAL ENFIELD BULLET 350-500 CONICAL VERSION ZRE533SSR</v>
      </c>
      <c r="G180" t="str">
        <f t="shared" si="41"/>
        <v/>
      </c>
      <c r="H180" t="str">
        <f t="shared" si="53"/>
        <v/>
      </c>
      <c r="I180" t="str">
        <f t="shared" si="54"/>
        <v/>
      </c>
      <c r="J180" t="str">
        <f t="shared" si="55"/>
        <v/>
      </c>
      <c r="K180" t="str">
        <f t="shared" si="56"/>
        <v/>
      </c>
      <c r="L180" t="str">
        <f t="shared" si="42"/>
        <v/>
      </c>
      <c r="M180" t="str">
        <f t="shared" si="43"/>
        <v/>
      </c>
      <c r="R180" t="str">
        <f t="shared" si="44"/>
        <v/>
      </c>
      <c r="S180" t="str">
        <f t="shared" si="45"/>
        <v/>
      </c>
      <c r="U180" t="str">
        <f t="shared" si="46"/>
        <v/>
      </c>
      <c r="V180" t="str">
        <f t="shared" si="47"/>
        <v/>
      </c>
      <c r="W180" s="5" t="str">
        <f t="shared" si="48"/>
        <v/>
      </c>
      <c r="Y180" t="str">
        <f t="shared" si="49"/>
        <v/>
      </c>
      <c r="Z180" t="str">
        <f t="shared" si="50"/>
        <v/>
      </c>
      <c r="AB180" t="str">
        <f t="shared" si="51"/>
        <v>https://shop.officineitalianezard.it/contents/imgs/products/1_1914-3%20royal%20enfield%20bullet%20classic%20scarichi%20-%20zard.jpg</v>
      </c>
      <c r="AE180" t="b">
        <v>0</v>
      </c>
    </row>
    <row r="181" spans="1:31" x14ac:dyDescent="0.2">
      <c r="A181" t="str">
        <f t="shared" si="38"/>
        <v>https://shop.officineitalianezard.it/en/royal-enfield-zard-conical-silencer/</v>
      </c>
      <c r="B181" t="b">
        <f>COUNTIF($A$2:$A181, A181)&gt;1</f>
        <v>1</v>
      </c>
      <c r="C181" t="b">
        <f t="shared" si="39"/>
        <v>1</v>
      </c>
      <c r="D181">
        <f>VLOOKUP(A181,variant_counts!A:B, 2, FALSE)</f>
        <v>2</v>
      </c>
      <c r="E181" t="str">
        <f t="shared" si="52"/>
        <v>zard-exhaust-silencer-royal-enfield-bullet-350-500-conical-version-zre533ssr</v>
      </c>
      <c r="F181" t="str">
        <f t="shared" si="40"/>
        <v>ZARD EXHAUST SILENCER ROYAL ENFIELD BULLET 350-500 CONICAL VERSION ZRE533SSR</v>
      </c>
      <c r="G181" t="str">
        <f t="shared" si="41"/>
        <v/>
      </c>
      <c r="H181" t="str">
        <f t="shared" si="53"/>
        <v/>
      </c>
      <c r="I181" t="str">
        <f t="shared" si="54"/>
        <v/>
      </c>
      <c r="J181" t="str">
        <f t="shared" si="55"/>
        <v/>
      </c>
      <c r="K181" t="str">
        <f t="shared" si="56"/>
        <v/>
      </c>
      <c r="L181" t="str">
        <f t="shared" si="42"/>
        <v>Option</v>
      </c>
      <c r="M181" t="str">
        <f t="shared" si="43"/>
        <v>BLACK COATING</v>
      </c>
      <c r="R181" t="str">
        <f t="shared" si="44"/>
        <v>ZRE533SSR</v>
      </c>
      <c r="S181">
        <f t="shared" si="45"/>
        <v>0</v>
      </c>
      <c r="U181" t="str">
        <f t="shared" si="46"/>
        <v>continue</v>
      </c>
      <c r="V181" t="str">
        <f t="shared" si="47"/>
        <v>manual</v>
      </c>
      <c r="W181" s="5">
        <f t="shared" si="48"/>
        <v>459.01830000000001</v>
      </c>
      <c r="Y181" t="b">
        <f t="shared" si="49"/>
        <v>1</v>
      </c>
      <c r="Z181" t="b">
        <f t="shared" si="50"/>
        <v>0</v>
      </c>
      <c r="AB181" t="str">
        <f t="shared" si="51"/>
        <v/>
      </c>
      <c r="AE181" t="b">
        <v>0</v>
      </c>
    </row>
    <row r="182" spans="1:31" x14ac:dyDescent="0.2">
      <c r="A182" t="str">
        <f t="shared" si="38"/>
        <v>https://shop.officineitalianezard.it/en/royal-enfield-zard-conical-silencer/</v>
      </c>
      <c r="B182" t="b">
        <f>COUNTIF($A$2:$A182, A182)&gt;1</f>
        <v>1</v>
      </c>
      <c r="C182" t="b">
        <f t="shared" si="39"/>
        <v>1</v>
      </c>
      <c r="D182">
        <f>VLOOKUP(A182,variant_counts!A:B, 2, FALSE)</f>
        <v>2</v>
      </c>
      <c r="E182" t="str">
        <f t="shared" si="52"/>
        <v>zard-exhaust-silencer-royal-enfield-bullet-350-500-conical-version-zre533ssr</v>
      </c>
      <c r="F182" t="str">
        <f t="shared" si="40"/>
        <v>ZARD EXHAUST SILENCER ROYAL ENFIELD BULLET 350-500 CONICAL VERSION ZRE533SSR</v>
      </c>
      <c r="G182" t="str">
        <f t="shared" si="41"/>
        <v/>
      </c>
      <c r="H182" t="str">
        <f t="shared" si="53"/>
        <v/>
      </c>
      <c r="I182" t="str">
        <f t="shared" si="54"/>
        <v/>
      </c>
      <c r="J182" t="str">
        <f t="shared" si="55"/>
        <v/>
      </c>
      <c r="K182" t="str">
        <f t="shared" si="56"/>
        <v/>
      </c>
      <c r="L182" t="str">
        <f t="shared" si="42"/>
        <v>Option</v>
      </c>
      <c r="M182" t="str">
        <f t="shared" si="43"/>
        <v>MIRROR POLISHING</v>
      </c>
      <c r="R182" t="str">
        <f t="shared" si="44"/>
        <v>ZRE533SSR</v>
      </c>
      <c r="S182">
        <f t="shared" si="45"/>
        <v>0</v>
      </c>
      <c r="U182" t="str">
        <f t="shared" si="46"/>
        <v>continue</v>
      </c>
      <c r="V182" t="str">
        <f t="shared" si="47"/>
        <v>manual</v>
      </c>
      <c r="W182" s="5">
        <f t="shared" si="48"/>
        <v>419.71320000000003</v>
      </c>
      <c r="Y182" t="b">
        <f t="shared" si="49"/>
        <v>1</v>
      </c>
      <c r="Z182" t="b">
        <f t="shared" si="50"/>
        <v>0</v>
      </c>
      <c r="AB182" t="str">
        <f t="shared" si="51"/>
        <v/>
      </c>
      <c r="AE182" t="b">
        <v>0</v>
      </c>
    </row>
    <row r="183" spans="1:31" x14ac:dyDescent="0.2">
      <c r="A183" t="str">
        <f t="shared" si="38"/>
        <v>https://shop.officineitalianezard.it/en/products/index/penta-evo-silencers-7394-91/</v>
      </c>
      <c r="B183" t="b">
        <f>COUNTIF($A$2:$A183, A183)&gt;1</f>
        <v>0</v>
      </c>
      <c r="C183" t="b">
        <f t="shared" si="39"/>
        <v>0</v>
      </c>
      <c r="D183">
        <f>VLOOKUP(A183,variant_counts!A:B, 2, FALSE)</f>
        <v>0</v>
      </c>
      <c r="E183" t="str">
        <f t="shared" si="52"/>
        <v>zard-exhaust-silencers-mv-agusta-f4-my-2010-2013-penta-evo-version-zmw063ssr</v>
      </c>
      <c r="F183" t="str">
        <f t="shared" si="40"/>
        <v>ZARD EXHAUST SILENCERS MV AGUSTA F4 M.Y. 2010-2013 PENTA EVO VERSION ZMW063SSR</v>
      </c>
      <c r="G183" t="str">
        <f t="shared" si="41"/>
        <v>&lt;p&gt;STEEL-CARBON SILENCERS RACING WITH REMOVABLE DB KILLER&lt;/p&gt;
&lt;p&gt;ZARD SILENCERS WEIGHT: KG 4.7&lt;/p&gt;
&lt;p&gt;THE STANDARD EQUIPMENT INCLUDES CARBON END-CAPS AND “Y” STEEL MANIFOLD&lt;/p&gt;
&lt;p&gt;PENTA EVO SHAPE EVOLVES FROM OVAL (FRONT SIDE AT THE MUFFLER JOINT) TO PENTAGONAL (REAR SIDE)&lt;/p&gt;
&lt;p&gt;HARD INCREASE, COMPARED TO THE ORIGINAL EXHAUST SYSTEM, IN TERMS OF TORQUE AND POWER (+5 HP) AT ANY RANGE&lt;/p&gt;
&lt;p&gt;ASTONISHING SOUND&lt;/p&gt;</v>
      </c>
      <c r="H183" t="str">
        <f t="shared" si="53"/>
        <v>ZARD</v>
      </c>
      <c r="I183" t="str">
        <f t="shared" si="54"/>
        <v>Exhaust Pipe</v>
      </c>
      <c r="J183" t="str">
        <f t="shared" si="55"/>
        <v>Test</v>
      </c>
      <c r="K183" t="b">
        <f t="shared" si="56"/>
        <v>0</v>
      </c>
      <c r="L183" t="str">
        <f t="shared" si="42"/>
        <v>Title</v>
      </c>
      <c r="M183" t="str">
        <f t="shared" si="43"/>
        <v>Default Title</v>
      </c>
      <c r="R183" t="str">
        <f t="shared" si="44"/>
        <v>ZMW063SSR</v>
      </c>
      <c r="S183">
        <f t="shared" si="45"/>
        <v>0</v>
      </c>
      <c r="U183" t="str">
        <f t="shared" si="46"/>
        <v>continue</v>
      </c>
      <c r="V183" t="str">
        <f t="shared" si="47"/>
        <v>manual</v>
      </c>
      <c r="W183" s="5">
        <f t="shared" si="48"/>
        <v>1414.7949000000001</v>
      </c>
      <c r="Y183" t="b">
        <f t="shared" si="49"/>
        <v>1</v>
      </c>
      <c r="Z183" t="b">
        <f t="shared" si="50"/>
        <v>0</v>
      </c>
      <c r="AB183" t="str">
        <f t="shared" si="51"/>
        <v>https://shop.officineitalianezard.it/contents/imgs/products/1_626-2_609-Immagine%20017.jpg</v>
      </c>
      <c r="AE183" t="b">
        <v>0</v>
      </c>
    </row>
    <row r="184" spans="1:31" x14ac:dyDescent="0.2">
      <c r="A184" t="str">
        <f t="shared" si="38"/>
        <v>https://shop.officineitalianezard.it/en/products/index/mv-agusta-f4-exhaust-zard-7381-91/</v>
      </c>
      <c r="B184" t="b">
        <f>COUNTIF($A$2:$A184, A184)&gt;1</f>
        <v>0</v>
      </c>
      <c r="C184" t="b">
        <f t="shared" si="39"/>
        <v>0</v>
      </c>
      <c r="D184">
        <f>VLOOKUP(A184,variant_counts!A:B, 2, FALSE)</f>
        <v>0</v>
      </c>
      <c r="E184" t="str">
        <f t="shared" si="52"/>
        <v>zard-exhaust-4212-full-kit-mv-agusta-f4-my-2010-2013-penta-evo-version-zmw-063-skr</v>
      </c>
      <c r="F184" t="str">
        <f t="shared" si="40"/>
        <v>ZARD EXHAUST 4&gt;2&gt;1&gt;2 FULL KIT MV AGUSTA F4 M.Y. 2010-2013 PENTA EVO VERSION ZMW 063 SKR</v>
      </c>
      <c r="G184" t="str">
        <f t="shared" si="41"/>
        <v>&lt;p&gt;4&amp;gt;2&amp;gt;1&amp;gt;2 STEEL-CARBON FULL KIT RACING WITH REMOVABLE DB KILLERS&lt;/p&gt;
&lt;p&gt;ZARD FULL KIT WEIGHT: KG 4.7&lt;/p&gt;
&lt;p&gt;THE STANDARD FITTING INCLUDES THE “Y” STEEL MANIFOLD&lt;/p&gt;
&lt;p&gt;THE DEFINITION PENTA EVO IDENTIFIES THE MUFFLER WITH A SHAPE THAT EVOLVES FROM OVAL (FRONT SIDE AT THE MUFFLER JOINT) TO PENTAGONAL (REAR SIDE)&lt;/p&gt;
&lt;p&gt;HARD INCREASE, COMPARED TO THE ORIGINAL EXHAUST SYSTEM, IN TERMS OF TORQUE AND POWER (+3 HP) AT ANY RANGE&lt;/p&gt;
&lt;p&gt;ASTONISHING SOUND&lt;/p&gt;</v>
      </c>
      <c r="H184" t="str">
        <f t="shared" si="53"/>
        <v>ZARD</v>
      </c>
      <c r="I184" t="str">
        <f t="shared" si="54"/>
        <v>Exhaust Pipe</v>
      </c>
      <c r="J184" t="str">
        <f t="shared" si="55"/>
        <v>Test</v>
      </c>
      <c r="K184" t="b">
        <f t="shared" si="56"/>
        <v>0</v>
      </c>
      <c r="L184" t="str">
        <f t="shared" si="42"/>
        <v>Title</v>
      </c>
      <c r="M184" t="str">
        <f t="shared" si="43"/>
        <v>Default Title</v>
      </c>
      <c r="R184" t="str">
        <f t="shared" si="44"/>
        <v>ZMW 063 SKR</v>
      </c>
      <c r="S184">
        <f t="shared" si="45"/>
        <v>0</v>
      </c>
      <c r="U184" t="str">
        <f t="shared" si="46"/>
        <v>continue</v>
      </c>
      <c r="V184" t="str">
        <f t="shared" si="47"/>
        <v>manual</v>
      </c>
      <c r="W184" s="5">
        <f t="shared" si="48"/>
        <v>2203.6275000000001</v>
      </c>
      <c r="Y184" t="b">
        <f t="shared" si="49"/>
        <v>1</v>
      </c>
      <c r="Z184" t="b">
        <f t="shared" si="50"/>
        <v>0</v>
      </c>
      <c r="AB184" t="str">
        <f t="shared" si="51"/>
        <v>https://shop.officineitalianezard.it/contents/imgs/products/1_609-Immagine%20017.jpg</v>
      </c>
      <c r="AE184" t="b">
        <v>0</v>
      </c>
    </row>
    <row r="185" spans="1:31" x14ac:dyDescent="0.2">
      <c r="A185" t="str">
        <f t="shared" si="38"/>
        <v>https://shop.officineitalianezard.it/en/products/index/mv-agusta-f4-exhaust-zard-7381-91/</v>
      </c>
      <c r="B185" t="b">
        <f>COUNTIF($A$2:$A185, A185)&gt;1</f>
        <v>1</v>
      </c>
      <c r="C185" t="b">
        <f t="shared" si="39"/>
        <v>0</v>
      </c>
      <c r="D185">
        <f>VLOOKUP(A185,variant_counts!A:B, 2, FALSE)</f>
        <v>0</v>
      </c>
      <c r="E185" t="str">
        <f t="shared" si="52"/>
        <v>zard-exhaust-4212-full-kit-mv-agusta-f4-my-2010-2013-penta-evo-version-zmw-063-skr</v>
      </c>
      <c r="F185" t="str">
        <f t="shared" si="40"/>
        <v>ZARD EXHAUST 4&gt;2&gt;1&gt;2 FULL KIT MV AGUSTA F4 M.Y. 2010-2013 PENTA EVO VERSION ZMW 063 SKR</v>
      </c>
      <c r="G185" t="str">
        <f t="shared" si="41"/>
        <v/>
      </c>
      <c r="H185" t="str">
        <f t="shared" si="53"/>
        <v/>
      </c>
      <c r="I185" t="str">
        <f t="shared" si="54"/>
        <v/>
      </c>
      <c r="J185" t="str">
        <f t="shared" si="55"/>
        <v/>
      </c>
      <c r="K185" t="str">
        <f t="shared" si="56"/>
        <v/>
      </c>
      <c r="L185" t="str">
        <f t="shared" si="42"/>
        <v/>
      </c>
      <c r="M185" t="str">
        <f t="shared" si="43"/>
        <v/>
      </c>
      <c r="R185" t="str">
        <f t="shared" si="44"/>
        <v/>
      </c>
      <c r="S185" t="str">
        <f t="shared" si="45"/>
        <v/>
      </c>
      <c r="U185" t="str">
        <f t="shared" si="46"/>
        <v/>
      </c>
      <c r="V185" t="str">
        <f t="shared" si="47"/>
        <v/>
      </c>
      <c r="W185" s="5" t="str">
        <f t="shared" si="48"/>
        <v/>
      </c>
      <c r="Y185" t="str">
        <f t="shared" si="49"/>
        <v/>
      </c>
      <c r="Z185" t="str">
        <f t="shared" si="50"/>
        <v/>
      </c>
      <c r="AB185" t="str">
        <f t="shared" si="51"/>
        <v>https://shop.officineitalianezard.it/contents/imgs/products/1_608-Immagine%20004.jpg</v>
      </c>
      <c r="AE185" t="b">
        <v>0</v>
      </c>
    </row>
    <row r="186" spans="1:31" x14ac:dyDescent="0.2">
      <c r="A186" t="str">
        <f t="shared" si="38"/>
        <v>https://shop.officineitalianezard.it/en/products/index/mv-agusta-f4-exhaust-zard-7381-91/</v>
      </c>
      <c r="B186" t="b">
        <f>COUNTIF($A$2:$A186, A186)&gt;1</f>
        <v>1</v>
      </c>
      <c r="C186" t="b">
        <f t="shared" si="39"/>
        <v>0</v>
      </c>
      <c r="D186">
        <f>VLOOKUP(A186,variant_counts!A:B, 2, FALSE)</f>
        <v>0</v>
      </c>
      <c r="E186" t="str">
        <f t="shared" si="52"/>
        <v>zard-exhaust-4212-full-kit-mv-agusta-f4-my-2010-2013-penta-evo-version-zmw-063-skr</v>
      </c>
      <c r="F186" t="str">
        <f t="shared" si="40"/>
        <v>ZARD EXHAUST 4&gt;2&gt;1&gt;2 FULL KIT MV AGUSTA F4 M.Y. 2010-2013 PENTA EVO VERSION ZMW 063 SKR</v>
      </c>
      <c r="G186" t="str">
        <f t="shared" si="41"/>
        <v/>
      </c>
      <c r="H186" t="str">
        <f t="shared" si="53"/>
        <v/>
      </c>
      <c r="I186" t="str">
        <f t="shared" si="54"/>
        <v/>
      </c>
      <c r="J186" t="str">
        <f t="shared" si="55"/>
        <v/>
      </c>
      <c r="K186" t="str">
        <f t="shared" si="56"/>
        <v/>
      </c>
      <c r="L186" t="str">
        <f t="shared" si="42"/>
        <v/>
      </c>
      <c r="M186" t="str">
        <f t="shared" si="43"/>
        <v/>
      </c>
      <c r="R186" t="str">
        <f t="shared" si="44"/>
        <v/>
      </c>
      <c r="S186" t="str">
        <f t="shared" si="45"/>
        <v/>
      </c>
      <c r="U186" t="str">
        <f t="shared" si="46"/>
        <v/>
      </c>
      <c r="V186" t="str">
        <f t="shared" si="47"/>
        <v/>
      </c>
      <c r="W186" s="5" t="str">
        <f t="shared" si="48"/>
        <v/>
      </c>
      <c r="Y186" t="str">
        <f t="shared" si="49"/>
        <v/>
      </c>
      <c r="Z186" t="str">
        <f t="shared" si="50"/>
        <v/>
      </c>
      <c r="AB186" t="str">
        <f t="shared" si="51"/>
        <v>https://shop.officineitalianezard.it/contents/imgs/products/1_611-Immagine%20009.jpg</v>
      </c>
      <c r="AE186" t="b">
        <v>0</v>
      </c>
    </row>
    <row r="187" spans="1:31" x14ac:dyDescent="0.2">
      <c r="A187" t="str">
        <f t="shared" si="38"/>
        <v>https://shop.officineitalianezard.it/en/products/index/mv-agusta-f4-exhaust-zard-7378-90/</v>
      </c>
      <c r="B187" t="b">
        <f>COUNTIF($A$2:$A187, A187)&gt;1</f>
        <v>0</v>
      </c>
      <c r="C187" t="b">
        <f t="shared" si="39"/>
        <v>0</v>
      </c>
      <c r="D187">
        <f>VLOOKUP(A187,variant_counts!A:B, 2, FALSE)</f>
        <v>2</v>
      </c>
      <c r="E187" t="str">
        <f t="shared" si="52"/>
        <v>zard-exhaust-4212-full-kit-mv-agusta-f4-1000-s-f4-tamburini-penta-version-zmw-060-akr-s</v>
      </c>
      <c r="F187" t="str">
        <f t="shared" si="40"/>
        <v>ZARD EXHAUST 4&gt;2&gt;1&gt;2 FULL KIT MV AGUSTA F4 1000 S-F4 TAMBURINI PENTA VERSION ZMW 060 AKR-S</v>
      </c>
      <c r="G187" t="str">
        <f t="shared" si="41"/>
        <v>&lt;p&gt;FULL KIT&amp;nbsp;&amp;nbsp;4&amp;gt;2&amp;gt;1&amp;gt;2 STEEL-ALUMINIUM SILVER RACING WITH REMOVABLE DB KILLER&lt;/p&gt;
&lt;p&gt;SILVER OR BLACK SILENCERS AVAILABLE.&lt;/p&gt;
&lt;p&gt;ORIGINAL FULL KIT WEIGHT: KG 10.5&lt;/p&gt;
&lt;p&gt;ZARD FULL KIT WEIGHT: KG 7&lt;/p&gt;
&lt;p&gt;HARD INCREASE, COMPARED TO THE STANDARD EXHAUST SYSTEM, IN TERMS OF TORQUE AND POWER AT ANY RANGE.&lt;/p&gt;
&lt;p&gt;ASTONISHING SOUND.&lt;/p&gt;</v>
      </c>
      <c r="H187" t="str">
        <f t="shared" si="53"/>
        <v>ZARD</v>
      </c>
      <c r="I187" t="str">
        <f t="shared" si="54"/>
        <v>Exhaust Pipe</v>
      </c>
      <c r="J187" t="str">
        <f t="shared" si="55"/>
        <v>Test</v>
      </c>
      <c r="K187" t="b">
        <f t="shared" si="56"/>
        <v>0</v>
      </c>
      <c r="L187" t="str">
        <f t="shared" si="42"/>
        <v/>
      </c>
      <c r="M187" t="str">
        <f t="shared" si="43"/>
        <v/>
      </c>
      <c r="R187" t="str">
        <f t="shared" si="44"/>
        <v/>
      </c>
      <c r="S187" t="str">
        <f t="shared" si="45"/>
        <v/>
      </c>
      <c r="U187" t="str">
        <f t="shared" si="46"/>
        <v/>
      </c>
      <c r="V187" t="str">
        <f t="shared" si="47"/>
        <v/>
      </c>
      <c r="W187" s="5" t="str">
        <f t="shared" si="48"/>
        <v/>
      </c>
      <c r="Y187" t="str">
        <f t="shared" si="49"/>
        <v/>
      </c>
      <c r="Z187" t="str">
        <f t="shared" si="50"/>
        <v/>
      </c>
      <c r="AB187" t="str">
        <f t="shared" si="51"/>
        <v>https://shop.officineitalianezard.it/contents/imgs/products/1_595-f4%20zard%20mv1.jpg</v>
      </c>
      <c r="AE187" t="b">
        <v>0</v>
      </c>
    </row>
    <row r="188" spans="1:31" x14ac:dyDescent="0.2">
      <c r="A188" t="str">
        <f t="shared" si="38"/>
        <v>https://shop.officineitalianezard.it/en/products/index/mv-agusta-f4-exhaust-zard-7378-90/</v>
      </c>
      <c r="B188" t="b">
        <f>COUNTIF($A$2:$A188, A188)&gt;1</f>
        <v>1</v>
      </c>
      <c r="C188" t="b">
        <f t="shared" si="39"/>
        <v>0</v>
      </c>
      <c r="D188">
        <f>VLOOKUP(A188,variant_counts!A:B, 2, FALSE)</f>
        <v>2</v>
      </c>
      <c r="E188" t="str">
        <f t="shared" si="52"/>
        <v>zard-exhaust-4212-full-kit-mv-agusta-f4-1000-s-f4-tamburini-penta-version-zmw-060-akr-s</v>
      </c>
      <c r="F188" t="str">
        <f t="shared" si="40"/>
        <v>ZARD EXHAUST 4&gt;2&gt;1&gt;2 FULL KIT MV AGUSTA F4 1000 S-F4 TAMBURINI PENTA VERSION ZMW 060 AKR-S</v>
      </c>
      <c r="G188" t="str">
        <f t="shared" si="41"/>
        <v/>
      </c>
      <c r="H188" t="str">
        <f t="shared" si="53"/>
        <v/>
      </c>
      <c r="I188" t="str">
        <f t="shared" si="54"/>
        <v/>
      </c>
      <c r="J188" t="str">
        <f t="shared" si="55"/>
        <v/>
      </c>
      <c r="K188" t="str">
        <f t="shared" si="56"/>
        <v/>
      </c>
      <c r="L188" t="str">
        <f t="shared" si="42"/>
        <v/>
      </c>
      <c r="M188" t="str">
        <f t="shared" si="43"/>
        <v/>
      </c>
      <c r="R188" t="str">
        <f t="shared" si="44"/>
        <v/>
      </c>
      <c r="S188" t="str">
        <f t="shared" si="45"/>
        <v/>
      </c>
      <c r="U188" t="str">
        <f t="shared" si="46"/>
        <v/>
      </c>
      <c r="V188" t="str">
        <f t="shared" si="47"/>
        <v/>
      </c>
      <c r="W188" s="5" t="str">
        <f t="shared" si="48"/>
        <v/>
      </c>
      <c r="Y188" t="str">
        <f t="shared" si="49"/>
        <v/>
      </c>
      <c r="Z188" t="str">
        <f t="shared" si="50"/>
        <v/>
      </c>
      <c r="AB188" t="str">
        <f t="shared" si="51"/>
        <v>https://shop.officineitalianezard.it/contents/imgs/products/1_594-f4%20zard%20mv1.jpg</v>
      </c>
      <c r="AE188" t="b">
        <v>0</v>
      </c>
    </row>
    <row r="189" spans="1:31" x14ac:dyDescent="0.2">
      <c r="A189" t="str">
        <f t="shared" si="38"/>
        <v>https://shop.officineitalianezard.it/en/products/index/mv-agusta-f4-exhaust-zard-7378-90/</v>
      </c>
      <c r="B189" t="b">
        <f>COUNTIF($A$2:$A189, A189)&gt;1</f>
        <v>1</v>
      </c>
      <c r="C189" t="b">
        <f t="shared" si="39"/>
        <v>1</v>
      </c>
      <c r="D189">
        <f>VLOOKUP(A189,variant_counts!A:B, 2, FALSE)</f>
        <v>2</v>
      </c>
      <c r="E189" t="str">
        <f t="shared" si="52"/>
        <v>zard-exhaust-4212-full-kit-mv-agusta-f4-1000-s-f4-tamburini-penta-version-zmw-060-akr-s</v>
      </c>
      <c r="F189" t="str">
        <f t="shared" si="40"/>
        <v>ZARD EXHAUST 4&gt;2&gt;1&gt;2 FULL KIT MV AGUSTA F4 1000 S-F4 TAMBURINI PENTA VERSION ZMW 060 AKR-S</v>
      </c>
      <c r="G189" t="str">
        <f t="shared" si="41"/>
        <v/>
      </c>
      <c r="H189" t="str">
        <f t="shared" si="53"/>
        <v/>
      </c>
      <c r="I189" t="str">
        <f t="shared" si="54"/>
        <v/>
      </c>
      <c r="J189" t="str">
        <f t="shared" si="55"/>
        <v/>
      </c>
      <c r="K189" t="str">
        <f t="shared" si="56"/>
        <v/>
      </c>
      <c r="L189" t="str">
        <f t="shared" si="42"/>
        <v>Option</v>
      </c>
      <c r="M189" t="str">
        <f t="shared" si="43"/>
        <v>SILENCERS BLACK VERSION</v>
      </c>
      <c r="R189" t="str">
        <f t="shared" si="44"/>
        <v>ZMW 060 AKR-S</v>
      </c>
      <c r="S189">
        <f t="shared" si="45"/>
        <v>0</v>
      </c>
      <c r="U189" t="str">
        <f t="shared" si="46"/>
        <v>continue</v>
      </c>
      <c r="V189" t="str">
        <f t="shared" si="47"/>
        <v>manual</v>
      </c>
      <c r="W189" s="5">
        <f t="shared" si="48"/>
        <v>2122.6530000000002</v>
      </c>
      <c r="Y189" t="b">
        <f t="shared" si="49"/>
        <v>1</v>
      </c>
      <c r="Z189" t="b">
        <f t="shared" si="50"/>
        <v>0</v>
      </c>
      <c r="AB189" t="str">
        <f t="shared" si="51"/>
        <v/>
      </c>
      <c r="AE189" t="b">
        <v>0</v>
      </c>
    </row>
    <row r="190" spans="1:31" x14ac:dyDescent="0.2">
      <c r="A190" t="str">
        <f t="shared" si="38"/>
        <v>https://shop.officineitalianezard.it/en/products/index/mv-agusta-f4-exhaust-zard-7378-90/</v>
      </c>
      <c r="B190" t="b">
        <f>COUNTIF($A$2:$A190, A190)&gt;1</f>
        <v>1</v>
      </c>
      <c r="C190" t="b">
        <f t="shared" si="39"/>
        <v>1</v>
      </c>
      <c r="D190">
        <f>VLOOKUP(A190,variant_counts!A:B, 2, FALSE)</f>
        <v>2</v>
      </c>
      <c r="E190" t="str">
        <f t="shared" si="52"/>
        <v>zard-exhaust-4212-full-kit-mv-agusta-f4-1000-s-f4-tamburini-penta-version-zmw-060-akr-s</v>
      </c>
      <c r="F190" t="str">
        <f t="shared" si="40"/>
        <v>ZARD EXHAUST 4&gt;2&gt;1&gt;2 FULL KIT MV AGUSTA F4 1000 S-F4 TAMBURINI PENTA VERSION ZMW 060 AKR-S</v>
      </c>
      <c r="G190" t="str">
        <f t="shared" si="41"/>
        <v/>
      </c>
      <c r="H190" t="str">
        <f t="shared" si="53"/>
        <v/>
      </c>
      <c r="I190" t="str">
        <f t="shared" si="54"/>
        <v/>
      </c>
      <c r="J190" t="str">
        <f t="shared" si="55"/>
        <v/>
      </c>
      <c r="K190" t="str">
        <f t="shared" si="56"/>
        <v/>
      </c>
      <c r="L190" t="str">
        <f t="shared" si="42"/>
        <v>Option</v>
      </c>
      <c r="M190" t="str">
        <f t="shared" si="43"/>
        <v>STEEL-CARBON RACING</v>
      </c>
      <c r="R190" t="str">
        <f t="shared" si="44"/>
        <v>ZMW 060 AKR-S</v>
      </c>
      <c r="S190">
        <f t="shared" si="45"/>
        <v>0</v>
      </c>
      <c r="U190" t="str">
        <f t="shared" si="46"/>
        <v>continue</v>
      </c>
      <c r="V190" t="str">
        <f t="shared" si="47"/>
        <v>manual</v>
      </c>
      <c r="W190" s="5">
        <f t="shared" si="48"/>
        <v>2195.5356000000002</v>
      </c>
      <c r="Y190" t="b">
        <f t="shared" si="49"/>
        <v>1</v>
      </c>
      <c r="Z190" t="b">
        <f t="shared" si="50"/>
        <v>0</v>
      </c>
      <c r="AB190" t="str">
        <f t="shared" si="51"/>
        <v/>
      </c>
      <c r="AE190" t="b">
        <v>0</v>
      </c>
    </row>
    <row r="191" spans="1:31" x14ac:dyDescent="0.2">
      <c r="A191" t="str">
        <f t="shared" si="38"/>
        <v>https://shop.officineitalianezard.it/en/mv-agusta-f3-exhaust-zard/</v>
      </c>
      <c r="B191" t="b">
        <f>COUNTIF($A$2:$A191, A191)&gt;1</f>
        <v>0</v>
      </c>
      <c r="C191" t="b">
        <f t="shared" si="39"/>
        <v>0</v>
      </c>
      <c r="D191">
        <f>VLOOKUP(A191,variant_counts!A:B, 2, FALSE)</f>
        <v>0</v>
      </c>
      <c r="E191" t="str">
        <f t="shared" si="52"/>
        <v>zard-exhaust-31-full-kit-mv-agusta-f3-penta-version-zmw067tkr</v>
      </c>
      <c r="F191" t="str">
        <f t="shared" si="40"/>
        <v>ZARD EXHAUST 3&gt;1 FULL KIT MV AGUSTA F3 PENTA VERSION ZMW067TKR</v>
      </c>
      <c r="G191" t="str">
        <f t="shared" si="41"/>
        <v>&lt;p&gt;&lt;strong&gt;CIV SS 2016 WINNER!&lt;/strong&gt;&lt;/p&gt;
&lt;p&gt;3&amp;gt;1 FULL TITANIUM FULL KIT RACING WITH REMOVABLE DB KILLER&lt;/p&gt;
&lt;p&gt;HARD INCREASE, COMPARED TO THE ORIGINAL EXHAUST SYSTEM, IN TERMS OF TORQUE AND POWER AT ANY RANGE.&lt;/p&gt;
&lt;p&gt;HEADERS KIT DIAMETERS: 40 - 42 - 60.3mm&lt;/p&gt;
&lt;p&gt;ASTONISHING SOUND.&lt;/p&gt;</v>
      </c>
      <c r="H191" t="str">
        <f t="shared" si="53"/>
        <v>ZARD</v>
      </c>
      <c r="I191" t="str">
        <f t="shared" si="54"/>
        <v>Exhaust Pipe</v>
      </c>
      <c r="J191" t="str">
        <f t="shared" si="55"/>
        <v>Test</v>
      </c>
      <c r="K191" t="b">
        <f t="shared" si="56"/>
        <v>0</v>
      </c>
      <c r="L191" t="str">
        <f t="shared" si="42"/>
        <v>Title</v>
      </c>
      <c r="M191" t="str">
        <f t="shared" si="43"/>
        <v>Default Title</v>
      </c>
      <c r="R191" t="str">
        <f t="shared" si="44"/>
        <v>ZMW067TKR</v>
      </c>
      <c r="S191">
        <f t="shared" si="45"/>
        <v>0</v>
      </c>
      <c r="U191" t="str">
        <f t="shared" si="46"/>
        <v>continue</v>
      </c>
      <c r="V191" t="str">
        <f t="shared" si="47"/>
        <v>manual</v>
      </c>
      <c r="W191" s="5">
        <f t="shared" si="48"/>
        <v>2145.3969000000002</v>
      </c>
      <c r="Y191" t="b">
        <f t="shared" si="49"/>
        <v>1</v>
      </c>
      <c r="Z191" t="b">
        <f t="shared" si="50"/>
        <v>0</v>
      </c>
      <c r="AB191" t="str">
        <f t="shared" si="51"/>
        <v>https://shop.officineitalianezard.it/contents/imgs/products/1_2435-1.jpg</v>
      </c>
      <c r="AE191" t="b">
        <v>0</v>
      </c>
    </row>
    <row r="192" spans="1:31" x14ac:dyDescent="0.2">
      <c r="A192" t="str">
        <f t="shared" si="38"/>
        <v>https://shop.officineitalianezard.it/en/mv-agusta-f3-exhaust-zard/</v>
      </c>
      <c r="B192" t="b">
        <f>COUNTIF($A$2:$A192, A192)&gt;1</f>
        <v>1</v>
      </c>
      <c r="C192" t="b">
        <f t="shared" si="39"/>
        <v>0</v>
      </c>
      <c r="D192">
        <f>VLOOKUP(A192,variant_counts!A:B, 2, FALSE)</f>
        <v>0</v>
      </c>
      <c r="E192" t="str">
        <f t="shared" si="52"/>
        <v>zard-exhaust-31-full-kit-mv-agusta-f3-penta-version-zmw067tkr</v>
      </c>
      <c r="F192" t="str">
        <f t="shared" si="40"/>
        <v>ZARD EXHAUST 3&gt;1 FULL KIT MV AGUSTA F3 PENTA VERSION ZMW067TKR</v>
      </c>
      <c r="G192" t="str">
        <f t="shared" si="41"/>
        <v/>
      </c>
      <c r="H192" t="str">
        <f t="shared" si="53"/>
        <v/>
      </c>
      <c r="I192" t="str">
        <f t="shared" si="54"/>
        <v/>
      </c>
      <c r="J192" t="str">
        <f t="shared" si="55"/>
        <v/>
      </c>
      <c r="K192" t="str">
        <f t="shared" si="56"/>
        <v/>
      </c>
      <c r="L192" t="str">
        <f t="shared" si="42"/>
        <v/>
      </c>
      <c r="M192" t="str">
        <f t="shared" si="43"/>
        <v/>
      </c>
      <c r="R192" t="str">
        <f t="shared" si="44"/>
        <v/>
      </c>
      <c r="S192" t="str">
        <f t="shared" si="45"/>
        <v/>
      </c>
      <c r="U192" t="str">
        <f t="shared" si="46"/>
        <v/>
      </c>
      <c r="V192" t="str">
        <f t="shared" si="47"/>
        <v/>
      </c>
      <c r="W192" s="5" t="str">
        <f t="shared" si="48"/>
        <v/>
      </c>
      <c r="Y192" t="str">
        <f t="shared" si="49"/>
        <v/>
      </c>
      <c r="Z192" t="str">
        <f t="shared" si="50"/>
        <v/>
      </c>
      <c r="AB192" t="str">
        <f t="shared" si="51"/>
        <v>https://shop.officineitalianezard.it/contents/imgs/products/1_2438-2.jpg</v>
      </c>
      <c r="AE192" t="b">
        <v>0</v>
      </c>
    </row>
    <row r="193" spans="1:31" x14ac:dyDescent="0.2">
      <c r="A193" t="str">
        <f t="shared" si="38"/>
        <v>https://shop.officineitalianezard.it/en/mv-agusta-f3-exhaust-zard/</v>
      </c>
      <c r="B193" t="b">
        <f>COUNTIF($A$2:$A193, A193)&gt;1</f>
        <v>1</v>
      </c>
      <c r="C193" t="b">
        <f t="shared" si="39"/>
        <v>0</v>
      </c>
      <c r="D193">
        <f>VLOOKUP(A193,variant_counts!A:B, 2, FALSE)</f>
        <v>0</v>
      </c>
      <c r="E193" t="str">
        <f t="shared" si="52"/>
        <v>zard-exhaust-31-full-kit-mv-agusta-f3-penta-version-zmw067tkr</v>
      </c>
      <c r="F193" t="str">
        <f t="shared" si="40"/>
        <v>ZARD EXHAUST 3&gt;1 FULL KIT MV AGUSTA F3 PENTA VERSION ZMW067TKR</v>
      </c>
      <c r="G193" t="str">
        <f t="shared" si="41"/>
        <v/>
      </c>
      <c r="H193" t="str">
        <f t="shared" si="53"/>
        <v/>
      </c>
      <c r="I193" t="str">
        <f t="shared" si="54"/>
        <v/>
      </c>
      <c r="J193" t="str">
        <f t="shared" si="55"/>
        <v/>
      </c>
      <c r="K193" t="str">
        <f t="shared" si="56"/>
        <v/>
      </c>
      <c r="L193" t="str">
        <f t="shared" si="42"/>
        <v/>
      </c>
      <c r="M193" t="str">
        <f t="shared" si="43"/>
        <v/>
      </c>
      <c r="R193" t="str">
        <f t="shared" si="44"/>
        <v/>
      </c>
      <c r="S193" t="str">
        <f t="shared" si="45"/>
        <v/>
      </c>
      <c r="U193" t="str">
        <f t="shared" si="46"/>
        <v/>
      </c>
      <c r="V193" t="str">
        <f t="shared" si="47"/>
        <v/>
      </c>
      <c r="W193" s="5" t="str">
        <f t="shared" si="48"/>
        <v/>
      </c>
      <c r="Y193" t="str">
        <f t="shared" si="49"/>
        <v/>
      </c>
      <c r="Z193" t="str">
        <f t="shared" si="50"/>
        <v/>
      </c>
      <c r="AB193" t="str">
        <f t="shared" si="51"/>
        <v>https://shop.officineitalianezard.it/contents/imgs/products/1_2436-4.jpg</v>
      </c>
      <c r="AE193" t="b">
        <v>0</v>
      </c>
    </row>
    <row r="194" spans="1:31" x14ac:dyDescent="0.2">
      <c r="A194" t="str">
        <f t="shared" ref="A194:A257" si="57">source_product_link_href</f>
        <v>https://shop.officineitalianezard.it/en/mv-agusta-f3-exhaust-zard/</v>
      </c>
      <c r="B194" t="b">
        <f>COUNTIF($A$2:$A194, A194)&gt;1</f>
        <v>1</v>
      </c>
      <c r="C194" t="b">
        <f t="shared" ref="C194:C257" si="58">NOT(ISBLANK(source_option_name))</f>
        <v>0</v>
      </c>
      <c r="D194">
        <f>VLOOKUP(A194,variant_counts!A:B, 2, FALSE)</f>
        <v>0</v>
      </c>
      <c r="E194" t="str">
        <f t="shared" si="52"/>
        <v>zard-exhaust-31-full-kit-mv-agusta-f3-penta-version-zmw067tkr</v>
      </c>
      <c r="F194" t="str">
        <f t="shared" ref="F194:F257" si="59">UPPER("ZARD EXHAUST " &amp; source_title &amp; " " &amp; source_brand &amp; " " &amp; source_bike &amp; " " &amp; source_product_link &amp; " " &amp; source_sku)</f>
        <v>ZARD EXHAUST 3&gt;1 FULL KIT MV AGUSTA F3 PENTA VERSION ZMW067TKR</v>
      </c>
      <c r="G194" t="str">
        <f t="shared" ref="G194:G257" si="60">IF($B194=FALSE, source_description, "")</f>
        <v/>
      </c>
      <c r="H194" t="str">
        <f t="shared" si="53"/>
        <v/>
      </c>
      <c r="I194" t="str">
        <f t="shared" si="54"/>
        <v/>
      </c>
      <c r="J194" t="str">
        <f t="shared" si="55"/>
        <v/>
      </c>
      <c r="K194" t="str">
        <f t="shared" si="56"/>
        <v/>
      </c>
      <c r="L194" t="str">
        <f t="shared" ref="L194:L257" si="61">IF(AND(variant_count=0,duplicated=FALSE),"Title",IF(OR(AND(variant_count=1,duplicated=FALSE), source_option_name&lt;&gt;""), "Option", ""))</f>
        <v/>
      </c>
      <c r="M194" t="str">
        <f t="shared" ref="M194:M257" si="62">IF(option1_name="Title", "Default Title", IF(AND(option1_name="Option",ISBLANK(source_option_name)),"DEFAULT",IF(ISBLANK(source_option_name), "", source_option_name)))</f>
        <v/>
      </c>
      <c r="R194" t="str">
        <f t="shared" ref="R194:R257" si="63">IF(option1_name &lt;&gt; "", source_sku, "")</f>
        <v/>
      </c>
      <c r="S194" t="str">
        <f t="shared" ref="S194:S257" si="64">IF(option1_name &lt;&gt; "", 0, "")</f>
        <v/>
      </c>
      <c r="U194" t="str">
        <f t="shared" ref="U194:U257" si="65">IF(option1_name &lt;&gt; "", "continue", "")</f>
        <v/>
      </c>
      <c r="V194" t="str">
        <f t="shared" ref="V194:V257" si="66">IF(option1_name &lt;&gt; "", "manual", "")</f>
        <v/>
      </c>
      <c r="W194" s="5" t="str">
        <f t="shared" ref="W194:W257" si="67">IF(option1_name&lt;&gt;"",(source_price_original+source_option_price)*eur_usd,"")</f>
        <v/>
      </c>
      <c r="Y194" t="str">
        <f t="shared" ref="Y194:Y257" si="68">IF(option1_name&lt;&gt;"",TRUE,"")</f>
        <v/>
      </c>
      <c r="Z194" t="str">
        <f t="shared" ref="Z194:Z257" si="69">IF(option1_name&lt;&gt;"",FALSE,"")</f>
        <v/>
      </c>
      <c r="AB194" t="str">
        <f t="shared" ref="AB194:AB257" si="70">IF(ISBLANK(source_image), "", source_image)</f>
        <v>https://shop.officineitalianezard.it/contents/imgs/products/1_2437-3.jpg</v>
      </c>
      <c r="AE194" t="b">
        <v>0</v>
      </c>
    </row>
    <row r="195" spans="1:31" x14ac:dyDescent="0.2">
      <c r="A195" t="str">
        <f t="shared" si="57"/>
        <v>https://shop.officineitalianezard.it/en/mv-agusta-f3-exhaust-zard/</v>
      </c>
      <c r="B195" t="b">
        <f>COUNTIF($A$2:$A195, A195)&gt;1</f>
        <v>1</v>
      </c>
      <c r="C195" t="b">
        <f t="shared" si="58"/>
        <v>0</v>
      </c>
      <c r="D195">
        <f>VLOOKUP(A195,variant_counts!A:B, 2, FALSE)</f>
        <v>0</v>
      </c>
      <c r="E195" t="str">
        <f t="shared" ref="E195:E258" si="71">FormatShopifyHandle(F195)</f>
        <v>zard-exhaust-31-full-kit-mv-agusta-f3-penta-version-zmw067tkr</v>
      </c>
      <c r="F195" t="str">
        <f t="shared" si="59"/>
        <v>ZARD EXHAUST 3&gt;1 FULL KIT MV AGUSTA F3 PENTA VERSION ZMW067TKR</v>
      </c>
      <c r="G195" t="str">
        <f t="shared" si="60"/>
        <v/>
      </c>
      <c r="H195" t="str">
        <f t="shared" ref="H195:H258" si="72">IF($B195=FALSE, "ZARD", "")</f>
        <v/>
      </c>
      <c r="I195" t="str">
        <f t="shared" ref="I195:I258" si="73">IF($B195=FALSE, "Exhaust Pipe", "")</f>
        <v/>
      </c>
      <c r="J195" t="str">
        <f t="shared" ref="J195:J258" si="74">IF($B195=FALSE, "Test", "")</f>
        <v/>
      </c>
      <c r="K195" t="str">
        <f t="shared" ref="K195:K258" si="75">IF($B195=FALSE, FALSE, "")</f>
        <v/>
      </c>
      <c r="L195" t="str">
        <f t="shared" si="61"/>
        <v/>
      </c>
      <c r="M195" t="str">
        <f t="shared" si="62"/>
        <v/>
      </c>
      <c r="R195" t="str">
        <f t="shared" si="63"/>
        <v/>
      </c>
      <c r="S195" t="str">
        <f t="shared" si="64"/>
        <v/>
      </c>
      <c r="U195" t="str">
        <f t="shared" si="65"/>
        <v/>
      </c>
      <c r="V195" t="str">
        <f t="shared" si="66"/>
        <v/>
      </c>
      <c r="W195" s="5" t="str">
        <f t="shared" si="67"/>
        <v/>
      </c>
      <c r="Y195" t="str">
        <f t="shared" si="68"/>
        <v/>
      </c>
      <c r="Z195" t="str">
        <f t="shared" si="69"/>
        <v/>
      </c>
      <c r="AB195" t="str">
        <f t="shared" si="70"/>
        <v>https://shop.officineitalianezard.it/contents/imgs/products/1_2279-f3%20zard%20exhaust%20roccoli.jpg</v>
      </c>
      <c r="AE195" t="b">
        <v>0</v>
      </c>
    </row>
    <row r="196" spans="1:31" x14ac:dyDescent="0.2">
      <c r="A196" t="str">
        <f t="shared" si="57"/>
        <v>https://shop.officineitalianezard.it/en/mv-agusta-f3-exhaust-zard/</v>
      </c>
      <c r="B196" t="b">
        <f>COUNTIF($A$2:$A196, A196)&gt;1</f>
        <v>1</v>
      </c>
      <c r="C196" t="b">
        <f t="shared" si="58"/>
        <v>0</v>
      </c>
      <c r="D196">
        <f>VLOOKUP(A196,variant_counts!A:B, 2, FALSE)</f>
        <v>0</v>
      </c>
      <c r="E196" t="str">
        <f t="shared" si="71"/>
        <v>zard-exhaust-31-full-kit-mv-agusta-f3-penta-version-zmw067tkr</v>
      </c>
      <c r="F196" t="str">
        <f t="shared" si="59"/>
        <v>ZARD EXHAUST 3&gt;1 FULL KIT MV AGUSTA F3 PENTA VERSION ZMW067TKR</v>
      </c>
      <c r="G196" t="str">
        <f t="shared" si="60"/>
        <v/>
      </c>
      <c r="H196" t="str">
        <f t="shared" si="72"/>
        <v/>
      </c>
      <c r="I196" t="str">
        <f t="shared" si="73"/>
        <v/>
      </c>
      <c r="J196" t="str">
        <f t="shared" si="74"/>
        <v/>
      </c>
      <c r="K196" t="str">
        <f t="shared" si="75"/>
        <v/>
      </c>
      <c r="L196" t="str">
        <f t="shared" si="61"/>
        <v/>
      </c>
      <c r="M196" t="str">
        <f t="shared" si="62"/>
        <v/>
      </c>
      <c r="R196" t="str">
        <f t="shared" si="63"/>
        <v/>
      </c>
      <c r="S196" t="str">
        <f t="shared" si="64"/>
        <v/>
      </c>
      <c r="U196" t="str">
        <f t="shared" si="65"/>
        <v/>
      </c>
      <c r="V196" t="str">
        <f t="shared" si="66"/>
        <v/>
      </c>
      <c r="W196" s="5" t="str">
        <f t="shared" si="67"/>
        <v/>
      </c>
      <c r="Y196" t="str">
        <f t="shared" si="68"/>
        <v/>
      </c>
      <c r="Z196" t="str">
        <f t="shared" si="69"/>
        <v/>
      </c>
      <c r="AB196" t="str">
        <f t="shared" si="70"/>
        <v>https://shop.officineitalianezard.it/contents/imgs/products/1_2275-Massimo-Roccoli-CIV-2016-Imola-2-1024x683.jpg</v>
      </c>
      <c r="AE196" t="b">
        <v>0</v>
      </c>
    </row>
    <row r="197" spans="1:31" x14ac:dyDescent="0.2">
      <c r="A197" t="str">
        <f t="shared" si="57"/>
        <v>https://shop.officineitalianezard.it/en/mv-agusta-f3-exhaust-zard/</v>
      </c>
      <c r="B197" t="b">
        <f>COUNTIF($A$2:$A197, A197)&gt;1</f>
        <v>1</v>
      </c>
      <c r="C197" t="b">
        <f t="shared" si="58"/>
        <v>0</v>
      </c>
      <c r="D197">
        <f>VLOOKUP(A197,variant_counts!A:B, 2, FALSE)</f>
        <v>0</v>
      </c>
      <c r="E197" t="str">
        <f t="shared" si="71"/>
        <v>zard-exhaust-31-full-kit-mv-agusta-f3-penta-version-zmw067tkr</v>
      </c>
      <c r="F197" t="str">
        <f t="shared" si="59"/>
        <v>ZARD EXHAUST 3&gt;1 FULL KIT MV AGUSTA F3 PENTA VERSION ZMW067TKR</v>
      </c>
      <c r="G197" t="str">
        <f t="shared" si="60"/>
        <v/>
      </c>
      <c r="H197" t="str">
        <f t="shared" si="72"/>
        <v/>
      </c>
      <c r="I197" t="str">
        <f t="shared" si="73"/>
        <v/>
      </c>
      <c r="J197" t="str">
        <f t="shared" si="74"/>
        <v/>
      </c>
      <c r="K197" t="str">
        <f t="shared" si="75"/>
        <v/>
      </c>
      <c r="L197" t="str">
        <f t="shared" si="61"/>
        <v/>
      </c>
      <c r="M197" t="str">
        <f t="shared" si="62"/>
        <v/>
      </c>
      <c r="R197" t="str">
        <f t="shared" si="63"/>
        <v/>
      </c>
      <c r="S197" t="str">
        <f t="shared" si="64"/>
        <v/>
      </c>
      <c r="U197" t="str">
        <f t="shared" si="65"/>
        <v/>
      </c>
      <c r="V197" t="str">
        <f t="shared" si="66"/>
        <v/>
      </c>
      <c r="W197" s="5" t="str">
        <f t="shared" si="67"/>
        <v/>
      </c>
      <c r="Y197" t="str">
        <f t="shared" si="68"/>
        <v/>
      </c>
      <c r="Z197" t="str">
        <f t="shared" si="69"/>
        <v/>
      </c>
      <c r="AB197" t="str">
        <f t="shared" si="70"/>
        <v>https://shop.officineitalianezard.it/contents/imgs/products/1_2278-075_SS_Roccoli_action.jpg</v>
      </c>
      <c r="AE197" t="b">
        <v>0</v>
      </c>
    </row>
    <row r="198" spans="1:31" x14ac:dyDescent="0.2">
      <c r="A198" t="str">
        <f t="shared" si="57"/>
        <v>https://shop.officineitalianezard.it/en/mv-agusta-f3-exhaust-zard/</v>
      </c>
      <c r="B198" t="b">
        <f>COUNTIF($A$2:$A198, A198)&gt;1</f>
        <v>1</v>
      </c>
      <c r="C198" t="b">
        <f t="shared" si="58"/>
        <v>0</v>
      </c>
      <c r="D198">
        <f>VLOOKUP(A198,variant_counts!A:B, 2, FALSE)</f>
        <v>0</v>
      </c>
      <c r="E198" t="str">
        <f t="shared" si="71"/>
        <v>zard-exhaust-31-full-kit-mv-agusta-f3-penta-version-zmw067tkr</v>
      </c>
      <c r="F198" t="str">
        <f t="shared" si="59"/>
        <v>ZARD EXHAUST 3&gt;1 FULL KIT MV AGUSTA F3 PENTA VERSION ZMW067TKR</v>
      </c>
      <c r="G198" t="str">
        <f t="shared" si="60"/>
        <v/>
      </c>
      <c r="H198" t="str">
        <f t="shared" si="72"/>
        <v/>
      </c>
      <c r="I198" t="str">
        <f t="shared" si="73"/>
        <v/>
      </c>
      <c r="J198" t="str">
        <f t="shared" si="74"/>
        <v/>
      </c>
      <c r="K198" t="str">
        <f t="shared" si="75"/>
        <v/>
      </c>
      <c r="L198" t="str">
        <f t="shared" si="61"/>
        <v/>
      </c>
      <c r="M198" t="str">
        <f t="shared" si="62"/>
        <v/>
      </c>
      <c r="R198" t="str">
        <f t="shared" si="63"/>
        <v/>
      </c>
      <c r="S198" t="str">
        <f t="shared" si="64"/>
        <v/>
      </c>
      <c r="U198" t="str">
        <f t="shared" si="65"/>
        <v/>
      </c>
      <c r="V198" t="str">
        <f t="shared" si="66"/>
        <v/>
      </c>
      <c r="W198" s="5" t="str">
        <f t="shared" si="67"/>
        <v/>
      </c>
      <c r="Y198" t="str">
        <f t="shared" si="68"/>
        <v/>
      </c>
      <c r="Z198" t="str">
        <f t="shared" si="69"/>
        <v/>
      </c>
      <c r="AB198" t="str">
        <f t="shared" si="70"/>
        <v>https://shop.officineitalianezard.it/contents/imgs/products/1_2276-13575899_1107101219336123_8325187907978780995_o.jpg</v>
      </c>
      <c r="AE198" t="b">
        <v>0</v>
      </c>
    </row>
    <row r="199" spans="1:31" x14ac:dyDescent="0.2">
      <c r="A199" t="str">
        <f t="shared" si="57"/>
        <v>https://shop.officineitalianezard.it/en/mv-agusta-f3-exhaust-zard/</v>
      </c>
      <c r="B199" t="b">
        <f>COUNTIF($A$2:$A199, A199)&gt;1</f>
        <v>1</v>
      </c>
      <c r="C199" t="b">
        <f t="shared" si="58"/>
        <v>0</v>
      </c>
      <c r="D199">
        <f>VLOOKUP(A199,variant_counts!A:B, 2, FALSE)</f>
        <v>0</v>
      </c>
      <c r="E199" t="str">
        <f t="shared" si="71"/>
        <v>zard-exhaust-31-full-kit-mv-agusta-f3-penta-version-zmw067tkr</v>
      </c>
      <c r="F199" t="str">
        <f t="shared" si="59"/>
        <v>ZARD EXHAUST 3&gt;1 FULL KIT MV AGUSTA F3 PENTA VERSION ZMW067TKR</v>
      </c>
      <c r="G199" t="str">
        <f t="shared" si="60"/>
        <v/>
      </c>
      <c r="H199" t="str">
        <f t="shared" si="72"/>
        <v/>
      </c>
      <c r="I199" t="str">
        <f t="shared" si="73"/>
        <v/>
      </c>
      <c r="J199" t="str">
        <f t="shared" si="74"/>
        <v/>
      </c>
      <c r="K199" t="str">
        <f t="shared" si="75"/>
        <v/>
      </c>
      <c r="L199" t="str">
        <f t="shared" si="61"/>
        <v/>
      </c>
      <c r="M199" t="str">
        <f t="shared" si="62"/>
        <v/>
      </c>
      <c r="R199" t="str">
        <f t="shared" si="63"/>
        <v/>
      </c>
      <c r="S199" t="str">
        <f t="shared" si="64"/>
        <v/>
      </c>
      <c r="U199" t="str">
        <f t="shared" si="65"/>
        <v/>
      </c>
      <c r="V199" t="str">
        <f t="shared" si="66"/>
        <v/>
      </c>
      <c r="W199" s="5" t="str">
        <f t="shared" si="67"/>
        <v/>
      </c>
      <c r="Y199" t="str">
        <f t="shared" si="68"/>
        <v/>
      </c>
      <c r="Z199" t="str">
        <f t="shared" si="69"/>
        <v/>
      </c>
      <c r="AB199" t="str">
        <f t="shared" si="70"/>
        <v>https://shop.officineitalianezard.it/contents/imgs/products/1_2273-13575752_1104217116291200_5405344022972605221_o.jpg</v>
      </c>
      <c r="AE199" t="b">
        <v>0</v>
      </c>
    </row>
    <row r="200" spans="1:31" x14ac:dyDescent="0.2">
      <c r="A200" t="str">
        <f t="shared" si="57"/>
        <v>https://shop.officineitalianezard.it/en/mv-agusta-f3-exhaust-zard/</v>
      </c>
      <c r="B200" t="b">
        <f>COUNTIF($A$2:$A200, A200)&gt;1</f>
        <v>1</v>
      </c>
      <c r="C200" t="b">
        <f t="shared" si="58"/>
        <v>0</v>
      </c>
      <c r="D200">
        <f>VLOOKUP(A200,variant_counts!A:B, 2, FALSE)</f>
        <v>0</v>
      </c>
      <c r="E200" t="str">
        <f t="shared" si="71"/>
        <v>zard-exhaust-31-full-kit-mv-agusta-f3-penta-version-zmw067tkr</v>
      </c>
      <c r="F200" t="str">
        <f t="shared" si="59"/>
        <v>ZARD EXHAUST 3&gt;1 FULL KIT MV AGUSTA F3 PENTA VERSION ZMW067TKR</v>
      </c>
      <c r="G200" t="str">
        <f t="shared" si="60"/>
        <v/>
      </c>
      <c r="H200" t="str">
        <f t="shared" si="72"/>
        <v/>
      </c>
      <c r="I200" t="str">
        <f t="shared" si="73"/>
        <v/>
      </c>
      <c r="J200" t="str">
        <f t="shared" si="74"/>
        <v/>
      </c>
      <c r="K200" t="str">
        <f t="shared" si="75"/>
        <v/>
      </c>
      <c r="L200" t="str">
        <f t="shared" si="61"/>
        <v/>
      </c>
      <c r="M200" t="str">
        <f t="shared" si="62"/>
        <v/>
      </c>
      <c r="R200" t="str">
        <f t="shared" si="63"/>
        <v/>
      </c>
      <c r="S200" t="str">
        <f t="shared" si="64"/>
        <v/>
      </c>
      <c r="U200" t="str">
        <f t="shared" si="65"/>
        <v/>
      </c>
      <c r="V200" t="str">
        <f t="shared" si="66"/>
        <v/>
      </c>
      <c r="W200" s="5" t="str">
        <f t="shared" si="67"/>
        <v/>
      </c>
      <c r="Y200" t="str">
        <f t="shared" si="68"/>
        <v/>
      </c>
      <c r="Z200" t="str">
        <f t="shared" si="69"/>
        <v/>
      </c>
      <c r="AB200" t="str">
        <f t="shared" si="70"/>
        <v>https://shop.officineitalianezard.it/contents/imgs/products/1_2274-13522704_1104217092957869_7507228771748261544_o.jpg</v>
      </c>
      <c r="AE200" t="b">
        <v>0</v>
      </c>
    </row>
    <row r="201" spans="1:31" x14ac:dyDescent="0.2">
      <c r="A201" t="str">
        <f t="shared" si="57"/>
        <v>https://shop.officineitalianezard.it/en/mv-agusta-f3-exhaust-zard/</v>
      </c>
      <c r="B201" t="b">
        <f>COUNTIF($A$2:$A201, A201)&gt;1</f>
        <v>1</v>
      </c>
      <c r="C201" t="b">
        <f t="shared" si="58"/>
        <v>0</v>
      </c>
      <c r="D201">
        <f>VLOOKUP(A201,variant_counts!A:B, 2, FALSE)</f>
        <v>0</v>
      </c>
      <c r="E201" t="str">
        <f t="shared" si="71"/>
        <v>zard-exhaust-31-full-kit-mv-agusta-f3-penta-version-zmw067tkr</v>
      </c>
      <c r="F201" t="str">
        <f t="shared" si="59"/>
        <v>ZARD EXHAUST 3&gt;1 FULL KIT MV AGUSTA F3 PENTA VERSION ZMW067TKR</v>
      </c>
      <c r="G201" t="str">
        <f t="shared" si="60"/>
        <v/>
      </c>
      <c r="H201" t="str">
        <f t="shared" si="72"/>
        <v/>
      </c>
      <c r="I201" t="str">
        <f t="shared" si="73"/>
        <v/>
      </c>
      <c r="J201" t="str">
        <f t="shared" si="74"/>
        <v/>
      </c>
      <c r="K201" t="str">
        <f t="shared" si="75"/>
        <v/>
      </c>
      <c r="L201" t="str">
        <f t="shared" si="61"/>
        <v/>
      </c>
      <c r="M201" t="str">
        <f t="shared" si="62"/>
        <v/>
      </c>
      <c r="R201" t="str">
        <f t="shared" si="63"/>
        <v/>
      </c>
      <c r="S201" t="str">
        <f t="shared" si="64"/>
        <v/>
      </c>
      <c r="U201" t="str">
        <f t="shared" si="65"/>
        <v/>
      </c>
      <c r="V201" t="str">
        <f t="shared" si="66"/>
        <v/>
      </c>
      <c r="W201" s="5" t="str">
        <f t="shared" si="67"/>
        <v/>
      </c>
      <c r="Y201" t="str">
        <f t="shared" si="68"/>
        <v/>
      </c>
      <c r="Z201" t="str">
        <f t="shared" si="69"/>
        <v/>
      </c>
      <c r="AB201" t="str">
        <f t="shared" si="70"/>
        <v>https://shop.officineitalianezard.it/contents/imgs/products/1_1293-2_1267-collettori%20f3%20zard%20ridotta.jpg</v>
      </c>
      <c r="AE201" t="b">
        <v>0</v>
      </c>
    </row>
    <row r="202" spans="1:31" x14ac:dyDescent="0.2">
      <c r="A202" t="str">
        <f t="shared" si="57"/>
        <v>https://shop.officineitalianezard.it/en/mv-agusta-f3-exhaust-zard-3/</v>
      </c>
      <c r="B202" t="b">
        <f>COUNTIF($A$2:$A202, A202)&gt;1</f>
        <v>0</v>
      </c>
      <c r="C202" t="b">
        <f t="shared" si="58"/>
        <v>0</v>
      </c>
      <c r="D202">
        <f>VLOOKUP(A202,variant_counts!A:B, 2, FALSE)</f>
        <v>1</v>
      </c>
      <c r="E202" t="str">
        <f t="shared" si="71"/>
        <v>zard-exhaust-headers-kit-mv-agusta-f3-inox-version-zmw-066-scr</v>
      </c>
      <c r="F202" t="str">
        <f t="shared" si="59"/>
        <v>ZARD EXHAUST HEADERS KIT MV AGUSTA F3 INOX VERSION ZMW 066 SCR</v>
      </c>
      <c r="G202" t="str">
        <f t="shared" si="60"/>
        <v>&lt;p&gt;STEEL HEADERS RACING&lt;/p&gt;
&lt;p&gt;THIS HEADERS KIT CAN BE FITTED WITH THE ORIGINAL SILENCER&lt;/p&gt;
&lt;p&gt;HARD INCREASE, COMPARED TO THE ORIGINAL EXHAUST SYSTEM, IN TERMS OF TORQUE AND POWER AT ANY RANGE.&lt;/p&gt;
&lt;p&gt;HEADERS KIT DIAMETERS: 40 - 42 - 60.3mm&lt;/p&gt;
&lt;p&gt;ASTONISHING SOUND.&lt;/p&gt;</v>
      </c>
      <c r="H202" t="str">
        <f t="shared" si="72"/>
        <v>ZARD</v>
      </c>
      <c r="I202" t="str">
        <f t="shared" si="73"/>
        <v>Exhaust Pipe</v>
      </c>
      <c r="J202" t="str">
        <f t="shared" si="74"/>
        <v>Test</v>
      </c>
      <c r="K202" t="b">
        <f t="shared" si="75"/>
        <v>0</v>
      </c>
      <c r="L202" t="str">
        <f t="shared" si="61"/>
        <v>Option</v>
      </c>
      <c r="M202" t="str">
        <f t="shared" si="62"/>
        <v>DEFAULT</v>
      </c>
      <c r="R202" t="str">
        <f t="shared" si="63"/>
        <v>ZMW 066 SCR</v>
      </c>
      <c r="S202">
        <f t="shared" si="64"/>
        <v>0</v>
      </c>
      <c r="U202" t="str">
        <f t="shared" si="65"/>
        <v>continue</v>
      </c>
      <c r="V202" t="str">
        <f t="shared" si="66"/>
        <v>manual</v>
      </c>
      <c r="W202" s="5">
        <f t="shared" si="67"/>
        <v>805.20510000000002</v>
      </c>
      <c r="Y202" t="b">
        <f t="shared" si="68"/>
        <v>1</v>
      </c>
      <c r="Z202" t="b">
        <f t="shared" si="69"/>
        <v>0</v>
      </c>
      <c r="AB202" t="str">
        <f t="shared" si="70"/>
        <v>https://shop.officineitalianezard.it/contents/imgs/products/1_593-scarichi%20moto%20mv%20zard%202.jpg</v>
      </c>
      <c r="AE202" t="b">
        <v>0</v>
      </c>
    </row>
    <row r="203" spans="1:31" x14ac:dyDescent="0.2">
      <c r="A203" t="str">
        <f t="shared" si="57"/>
        <v>https://shop.officineitalianezard.it/en/mv-agusta-f3-exhaust-zard-3/</v>
      </c>
      <c r="B203" t="b">
        <f>COUNTIF($A$2:$A203, A203)&gt;1</f>
        <v>1</v>
      </c>
      <c r="C203" t="b">
        <f t="shared" si="58"/>
        <v>0</v>
      </c>
      <c r="D203">
        <f>VLOOKUP(A203,variant_counts!A:B, 2, FALSE)</f>
        <v>1</v>
      </c>
      <c r="E203" t="str">
        <f t="shared" si="71"/>
        <v>zard-exhaust-headers-kit-mv-agusta-f3-inox-version-zmw-066-scr</v>
      </c>
      <c r="F203" t="str">
        <f t="shared" si="59"/>
        <v>ZARD EXHAUST HEADERS KIT MV AGUSTA F3 INOX VERSION ZMW 066 SCR</v>
      </c>
      <c r="G203" t="str">
        <f t="shared" si="60"/>
        <v/>
      </c>
      <c r="H203" t="str">
        <f t="shared" si="72"/>
        <v/>
      </c>
      <c r="I203" t="str">
        <f t="shared" si="73"/>
        <v/>
      </c>
      <c r="J203" t="str">
        <f t="shared" si="74"/>
        <v/>
      </c>
      <c r="K203" t="str">
        <f t="shared" si="75"/>
        <v/>
      </c>
      <c r="L203" t="str">
        <f t="shared" si="61"/>
        <v/>
      </c>
      <c r="M203" t="str">
        <f t="shared" si="62"/>
        <v/>
      </c>
      <c r="R203" t="str">
        <f t="shared" si="63"/>
        <v/>
      </c>
      <c r="S203" t="str">
        <f t="shared" si="64"/>
        <v/>
      </c>
      <c r="U203" t="str">
        <f t="shared" si="65"/>
        <v/>
      </c>
      <c r="V203" t="str">
        <f t="shared" si="66"/>
        <v/>
      </c>
      <c r="W203" s="5" t="str">
        <f t="shared" si="67"/>
        <v/>
      </c>
      <c r="Y203" t="str">
        <f t="shared" si="68"/>
        <v/>
      </c>
      <c r="Z203" t="str">
        <f t="shared" si="69"/>
        <v/>
      </c>
      <c r="AB203" t="str">
        <f t="shared" si="70"/>
        <v>https://shop.officineitalianezard.it/contents/imgs/products/1_1267-collettori%20f3%20zard%20ridotta.jpg</v>
      </c>
      <c r="AE203" t="b">
        <v>0</v>
      </c>
    </row>
    <row r="204" spans="1:31" x14ac:dyDescent="0.2">
      <c r="A204" t="str">
        <f t="shared" si="57"/>
        <v>https://shop.officineitalianezard.it/en/mv-agusta-f3-exhaust-zard-3/</v>
      </c>
      <c r="B204" t="b">
        <f>COUNTIF($A$2:$A204, A204)&gt;1</f>
        <v>1</v>
      </c>
      <c r="C204" t="b">
        <f t="shared" si="58"/>
        <v>1</v>
      </c>
      <c r="D204">
        <f>VLOOKUP(A204,variant_counts!A:B, 2, FALSE)</f>
        <v>1</v>
      </c>
      <c r="E204" t="str">
        <f t="shared" si="71"/>
        <v>zard-exhaust-headers-kit-mv-agusta-f3-inox-version-zmw-066-scr</v>
      </c>
      <c r="F204" t="str">
        <f t="shared" si="59"/>
        <v>ZARD EXHAUST HEADERS KIT MV AGUSTA F3 INOX VERSION ZMW 066 SCR</v>
      </c>
      <c r="G204" t="str">
        <f t="shared" si="60"/>
        <v/>
      </c>
      <c r="H204" t="str">
        <f t="shared" si="72"/>
        <v/>
      </c>
      <c r="I204" t="str">
        <f t="shared" si="73"/>
        <v/>
      </c>
      <c r="J204" t="str">
        <f t="shared" si="74"/>
        <v/>
      </c>
      <c r="K204" t="str">
        <f t="shared" si="75"/>
        <v/>
      </c>
      <c r="L204" t="str">
        <f t="shared" si="61"/>
        <v>Option</v>
      </c>
      <c r="M204" t="str">
        <f t="shared" si="62"/>
        <v>FULL TITANIO</v>
      </c>
      <c r="R204" t="str">
        <f t="shared" si="63"/>
        <v>ZMW 066 SCR</v>
      </c>
      <c r="S204">
        <f t="shared" si="64"/>
        <v>0</v>
      </c>
      <c r="U204" t="str">
        <f t="shared" si="65"/>
        <v>continue</v>
      </c>
      <c r="V204" t="str">
        <f t="shared" si="66"/>
        <v>manual</v>
      </c>
      <c r="W204" s="5">
        <f t="shared" si="67"/>
        <v>1208.0796</v>
      </c>
      <c r="Y204" t="b">
        <f t="shared" si="68"/>
        <v>1</v>
      </c>
      <c r="Z204" t="b">
        <f t="shared" si="69"/>
        <v>0</v>
      </c>
      <c r="AB204" t="str">
        <f t="shared" si="70"/>
        <v/>
      </c>
      <c r="AE204" t="b">
        <v>0</v>
      </c>
    </row>
    <row r="205" spans="1:31" x14ac:dyDescent="0.2">
      <c r="A205" t="str">
        <f t="shared" si="57"/>
        <v>https://shop.officineitalianezard.it/en/mv-agusta-f3-exhaust-zard-2/</v>
      </c>
      <c r="B205" t="b">
        <f>COUNTIF($A$2:$A205, A205)&gt;1</f>
        <v>0</v>
      </c>
      <c r="C205" t="b">
        <f t="shared" si="58"/>
        <v>0</v>
      </c>
      <c r="D205">
        <f>VLOOKUP(A205,variant_counts!A:B, 2, FALSE)</f>
        <v>2</v>
      </c>
      <c r="E205" t="str">
        <f t="shared" si="71"/>
        <v>zard-exhaust-31-full-kit-mv-agusta-f3-penta-evo-version-zmw-066-skr</v>
      </c>
      <c r="F205" t="str">
        <f t="shared" si="59"/>
        <v>ZARD EXHAUST 3&gt;1 FULL KIT MV AGUSTA F3 PENTA EVO VERSION ZMW 066 SKR</v>
      </c>
      <c r="G205" t="str">
        <f t="shared" si="60"/>
        <v>&lt;p&gt;3&amp;gt;1 STEEL-ALUMINIUM BLACK FULL KIT RACING WITH REMOVABLE DB KILLER&lt;/p&gt;
&lt;p&gt;CARBON SILENCER IS NOT MORE AVAILABLE. THE SILENCER IS MADE OF STEEL AND BLACK ALUMINIUM WITH SAME DESIGN AS THE CARBON VERSION.&lt;/p&gt;
&lt;p&gt;HARD INCREASE, COMPARED TO THE ORIGINAL EXHAUST SYSTEM, IN TERMS OF TORQUE AND POWER AT ANY RANGE.&lt;/p&gt;
&lt;p&gt;HEADERS KIT DIAMETERS: 40 - 42 - 60.3mm&lt;/p&gt;
&lt;p&gt;ASTONISHING SOUND.&lt;/p&gt;</v>
      </c>
      <c r="H205" t="str">
        <f t="shared" si="72"/>
        <v>ZARD</v>
      </c>
      <c r="I205" t="str">
        <f t="shared" si="73"/>
        <v>Exhaust Pipe</v>
      </c>
      <c r="J205" t="str">
        <f t="shared" si="74"/>
        <v>Test</v>
      </c>
      <c r="K205" t="b">
        <f t="shared" si="75"/>
        <v>0</v>
      </c>
      <c r="L205" t="str">
        <f t="shared" si="61"/>
        <v/>
      </c>
      <c r="M205" t="str">
        <f t="shared" si="62"/>
        <v/>
      </c>
      <c r="R205" t="str">
        <f t="shared" si="63"/>
        <v/>
      </c>
      <c r="S205" t="str">
        <f t="shared" si="64"/>
        <v/>
      </c>
      <c r="U205" t="str">
        <f t="shared" si="65"/>
        <v/>
      </c>
      <c r="V205" t="str">
        <f t="shared" si="66"/>
        <v/>
      </c>
      <c r="W205" s="5" t="str">
        <f t="shared" si="67"/>
        <v/>
      </c>
      <c r="Y205" t="str">
        <f t="shared" si="68"/>
        <v/>
      </c>
      <c r="Z205" t="str">
        <f t="shared" si="69"/>
        <v/>
      </c>
      <c r="AB205" t="str">
        <f t="shared" si="70"/>
        <v>https://shop.officineitalianezard.it/contents/imgs/products/1_590-scarichi%20moto%20mv%20zard%201.jpg</v>
      </c>
      <c r="AE205" t="b">
        <v>0</v>
      </c>
    </row>
    <row r="206" spans="1:31" x14ac:dyDescent="0.2">
      <c r="A206" t="str">
        <f t="shared" si="57"/>
        <v>https://shop.officineitalianezard.it/en/mv-agusta-f3-exhaust-zard-2/</v>
      </c>
      <c r="B206" t="b">
        <f>COUNTIF($A$2:$A206, A206)&gt;1</f>
        <v>1</v>
      </c>
      <c r="C206" t="b">
        <f t="shared" si="58"/>
        <v>0</v>
      </c>
      <c r="D206">
        <f>VLOOKUP(A206,variant_counts!A:B, 2, FALSE)</f>
        <v>2</v>
      </c>
      <c r="E206" t="str">
        <f t="shared" si="71"/>
        <v>zard-exhaust-31-full-kit-mv-agusta-f3-penta-evo-version-zmw-066-skr</v>
      </c>
      <c r="F206" t="str">
        <f t="shared" si="59"/>
        <v>ZARD EXHAUST 3&gt;1 FULL KIT MV AGUSTA F3 PENTA EVO VERSION ZMW 066 SKR</v>
      </c>
      <c r="G206" t="str">
        <f t="shared" si="60"/>
        <v/>
      </c>
      <c r="H206" t="str">
        <f t="shared" si="72"/>
        <v/>
      </c>
      <c r="I206" t="str">
        <f t="shared" si="73"/>
        <v/>
      </c>
      <c r="J206" t="str">
        <f t="shared" si="74"/>
        <v/>
      </c>
      <c r="K206" t="str">
        <f t="shared" si="75"/>
        <v/>
      </c>
      <c r="L206" t="str">
        <f t="shared" si="61"/>
        <v/>
      </c>
      <c r="M206" t="str">
        <f t="shared" si="62"/>
        <v/>
      </c>
      <c r="R206" t="str">
        <f t="shared" si="63"/>
        <v/>
      </c>
      <c r="S206" t="str">
        <f t="shared" si="64"/>
        <v/>
      </c>
      <c r="U206" t="str">
        <f t="shared" si="65"/>
        <v/>
      </c>
      <c r="V206" t="str">
        <f t="shared" si="66"/>
        <v/>
      </c>
      <c r="W206" s="5" t="str">
        <f t="shared" si="67"/>
        <v/>
      </c>
      <c r="Y206" t="str">
        <f t="shared" si="68"/>
        <v/>
      </c>
      <c r="Z206" t="str">
        <f t="shared" si="69"/>
        <v/>
      </c>
      <c r="AB206" t="str">
        <f t="shared" si="70"/>
        <v>https://shop.officineitalianezard.it/contents/imgs/products/1_591-scarichi%20moto%20mv%20zard%202.jpg</v>
      </c>
      <c r="AE206" t="b">
        <v>0</v>
      </c>
    </row>
    <row r="207" spans="1:31" x14ac:dyDescent="0.2">
      <c r="A207" t="str">
        <f t="shared" si="57"/>
        <v>https://shop.officineitalianezard.it/en/mv-agusta-f3-exhaust-zard-2/</v>
      </c>
      <c r="B207" t="b">
        <f>COUNTIF($A$2:$A207, A207)&gt;1</f>
        <v>1</v>
      </c>
      <c r="C207" t="b">
        <f t="shared" si="58"/>
        <v>0</v>
      </c>
      <c r="D207">
        <f>VLOOKUP(A207,variant_counts!A:B, 2, FALSE)</f>
        <v>2</v>
      </c>
      <c r="E207" t="str">
        <f t="shared" si="71"/>
        <v>zard-exhaust-31-full-kit-mv-agusta-f3-penta-evo-version-zmw-066-skr</v>
      </c>
      <c r="F207" t="str">
        <f t="shared" si="59"/>
        <v>ZARD EXHAUST 3&gt;1 FULL KIT MV AGUSTA F3 PENTA EVO VERSION ZMW 066 SKR</v>
      </c>
      <c r="G207" t="str">
        <f t="shared" si="60"/>
        <v/>
      </c>
      <c r="H207" t="str">
        <f t="shared" si="72"/>
        <v/>
      </c>
      <c r="I207" t="str">
        <f t="shared" si="73"/>
        <v/>
      </c>
      <c r="J207" t="str">
        <f t="shared" si="74"/>
        <v/>
      </c>
      <c r="K207" t="str">
        <f t="shared" si="75"/>
        <v/>
      </c>
      <c r="L207" t="str">
        <f t="shared" si="61"/>
        <v/>
      </c>
      <c r="M207" t="str">
        <f t="shared" si="62"/>
        <v/>
      </c>
      <c r="R207" t="str">
        <f t="shared" si="63"/>
        <v/>
      </c>
      <c r="S207" t="str">
        <f t="shared" si="64"/>
        <v/>
      </c>
      <c r="U207" t="str">
        <f t="shared" si="65"/>
        <v/>
      </c>
      <c r="V207" t="str">
        <f t="shared" si="66"/>
        <v/>
      </c>
      <c r="W207" s="5" t="str">
        <f t="shared" si="67"/>
        <v/>
      </c>
      <c r="Y207" t="str">
        <f t="shared" si="68"/>
        <v/>
      </c>
      <c r="Z207" t="str">
        <f t="shared" si="69"/>
        <v/>
      </c>
      <c r="AB207" t="str">
        <f t="shared" si="70"/>
        <v>https://shop.officineitalianezard.it/contents/imgs/products/1_964-collettori.jpg</v>
      </c>
      <c r="AE207" t="b">
        <v>0</v>
      </c>
    </row>
    <row r="208" spans="1:31" x14ac:dyDescent="0.2">
      <c r="A208" t="str">
        <f t="shared" si="57"/>
        <v>https://shop.officineitalianezard.it/en/mv-agusta-f3-exhaust-zard-2/</v>
      </c>
      <c r="B208" t="b">
        <f>COUNTIF($A$2:$A208, A208)&gt;1</f>
        <v>1</v>
      </c>
      <c r="C208" t="b">
        <f t="shared" si="58"/>
        <v>1</v>
      </c>
      <c r="D208">
        <f>VLOOKUP(A208,variant_counts!A:B, 2, FALSE)</f>
        <v>2</v>
      </c>
      <c r="E208" t="str">
        <f t="shared" si="71"/>
        <v>zard-exhaust-31-full-kit-mv-agusta-f3-penta-evo-version-zmw-066-skr</v>
      </c>
      <c r="F208" t="str">
        <f t="shared" si="59"/>
        <v>ZARD EXHAUST 3&gt;1 FULL KIT MV AGUSTA F3 PENTA EVO VERSION ZMW 066 SKR</v>
      </c>
      <c r="G208" t="str">
        <f t="shared" si="60"/>
        <v/>
      </c>
      <c r="H208" t="str">
        <f t="shared" si="72"/>
        <v/>
      </c>
      <c r="I208" t="str">
        <f t="shared" si="73"/>
        <v/>
      </c>
      <c r="J208" t="str">
        <f t="shared" si="74"/>
        <v/>
      </c>
      <c r="K208" t="str">
        <f t="shared" si="75"/>
        <v/>
      </c>
      <c r="L208" t="str">
        <f t="shared" si="61"/>
        <v>Option</v>
      </c>
      <c r="M208" t="str">
        <f t="shared" si="62"/>
        <v>TITANIUM-ALUMINIUM RACING</v>
      </c>
      <c r="R208" t="str">
        <f t="shared" si="63"/>
        <v>ZMW 066 SKR</v>
      </c>
      <c r="S208">
        <f t="shared" si="64"/>
        <v>0</v>
      </c>
      <c r="U208" t="str">
        <f t="shared" si="65"/>
        <v>continue</v>
      </c>
      <c r="V208" t="str">
        <f t="shared" si="66"/>
        <v>manual</v>
      </c>
      <c r="W208" s="5">
        <f t="shared" si="67"/>
        <v>1748.7051000000004</v>
      </c>
      <c r="Y208" t="b">
        <f t="shared" si="68"/>
        <v>1</v>
      </c>
      <c r="Z208" t="b">
        <f t="shared" si="69"/>
        <v>0</v>
      </c>
      <c r="AB208" t="str">
        <f t="shared" si="70"/>
        <v/>
      </c>
      <c r="AE208" t="b">
        <v>0</v>
      </c>
    </row>
    <row r="209" spans="1:31" x14ac:dyDescent="0.2">
      <c r="A209" t="str">
        <f t="shared" si="57"/>
        <v>https://shop.officineitalianezard.it/en/mv-agusta-f3-exhaust-zard-2/</v>
      </c>
      <c r="B209" t="b">
        <f>COUNTIF($A$2:$A209, A209)&gt;1</f>
        <v>1</v>
      </c>
      <c r="C209" t="b">
        <f t="shared" si="58"/>
        <v>1</v>
      </c>
      <c r="D209">
        <f>VLOOKUP(A209,variant_counts!A:B, 2, FALSE)</f>
        <v>2</v>
      </c>
      <c r="E209" t="str">
        <f t="shared" si="71"/>
        <v>zard-exhaust-31-full-kit-mv-agusta-f3-penta-evo-version-zmw-066-skr</v>
      </c>
      <c r="F209" t="str">
        <f t="shared" si="59"/>
        <v>ZARD EXHAUST 3&gt;1 FULL KIT MV AGUSTA F3 PENTA EVO VERSION ZMW 066 SKR</v>
      </c>
      <c r="G209" t="str">
        <f t="shared" si="60"/>
        <v/>
      </c>
      <c r="H209" t="str">
        <f t="shared" si="72"/>
        <v/>
      </c>
      <c r="I209" t="str">
        <f t="shared" si="73"/>
        <v/>
      </c>
      <c r="J209" t="str">
        <f t="shared" si="74"/>
        <v/>
      </c>
      <c r="K209" t="str">
        <f t="shared" si="75"/>
        <v/>
      </c>
      <c r="L209" t="str">
        <f t="shared" si="61"/>
        <v>Option</v>
      </c>
      <c r="M209" t="str">
        <f t="shared" si="62"/>
        <v>CARBON ENDCAP</v>
      </c>
      <c r="R209" t="str">
        <f t="shared" si="63"/>
        <v>ZMW 066 SKR</v>
      </c>
      <c r="S209">
        <f t="shared" si="64"/>
        <v>0</v>
      </c>
      <c r="U209" t="str">
        <f t="shared" si="65"/>
        <v>continue</v>
      </c>
      <c r="V209" t="str">
        <f t="shared" si="66"/>
        <v>manual</v>
      </c>
      <c r="W209" s="5">
        <f t="shared" si="67"/>
        <v>1307.3358000000001</v>
      </c>
      <c r="Y209" t="b">
        <f t="shared" si="68"/>
        <v>1</v>
      </c>
      <c r="Z209" t="b">
        <f t="shared" si="69"/>
        <v>0</v>
      </c>
      <c r="AB209" t="str">
        <f t="shared" si="70"/>
        <v/>
      </c>
      <c r="AE209" t="b">
        <v>0</v>
      </c>
    </row>
    <row r="210" spans="1:31" x14ac:dyDescent="0.2">
      <c r="A210" t="str">
        <f t="shared" si="57"/>
        <v>https://shop.officineitalianezard.it/en/penta-r-silencer/</v>
      </c>
      <c r="B210" t="b">
        <f>COUNTIF($A$2:$A210, A210)&gt;1</f>
        <v>0</v>
      </c>
      <c r="C210" t="b">
        <f t="shared" si="58"/>
        <v>0</v>
      </c>
      <c r="D210">
        <f>VLOOKUP(A210,variant_counts!A:B, 2, FALSE)</f>
        <v>5</v>
      </c>
      <c r="E210" t="str">
        <f t="shared" si="71"/>
        <v>zard-exhaust-silencer-triumph-tiger-1200-penta-r-version-ztph507ssr</v>
      </c>
      <c r="F210" t="str">
        <f t="shared" si="59"/>
        <v>ZARD EXHAUST SILENCER TRIUMPH TIGER 1200 PENTA-R VERSION ZTPH507SSR</v>
      </c>
      <c r="G210" t="str">
        <f t="shared" si="60"/>
        <v>&lt;p&gt;STEEL RACING SILENCER WITH CARBON&amp;nbsp;ENDCAP AND HEAT SHIELD.&lt;br&gt;&lt;strong&gt;&lt;/strong&gt;&lt;/p&gt;
&lt;p&gt;ORIGINAL SILENCER WEIGHT: KG 6&lt;br&gt;ZARD STEEL SILENCER WEIGHT: KG 3.6&lt;br&gt;ZARD TITANIUM SILENCER WEIGHT: KG 3.3&lt;/p&gt;
&lt;p&gt;HARD INCREASE, COMPARED TO THE ORIGINAL EXHAUST SYSTEM, IN TERMS OF TORQUE AND POWER AT ANY RANGE.&lt;/p&gt;
&lt;p&gt;ASTONISHING SOUND.&lt;/p&gt;
&lt;p&gt;NOTICE: THE SILENCER FITS ALSO ON EXPLORER VERSION&lt;/p&gt;</v>
      </c>
      <c r="H210" t="str">
        <f t="shared" si="72"/>
        <v>ZARD</v>
      </c>
      <c r="I210" t="str">
        <f t="shared" si="73"/>
        <v>Exhaust Pipe</v>
      </c>
      <c r="J210" t="str">
        <f t="shared" si="74"/>
        <v>Test</v>
      </c>
      <c r="K210" t="b">
        <f t="shared" si="75"/>
        <v>0</v>
      </c>
      <c r="L210" t="str">
        <f t="shared" si="61"/>
        <v/>
      </c>
      <c r="M210" t="str">
        <f t="shared" si="62"/>
        <v/>
      </c>
      <c r="R210" t="str">
        <f t="shared" si="63"/>
        <v/>
      </c>
      <c r="S210" t="str">
        <f t="shared" si="64"/>
        <v/>
      </c>
      <c r="U210" t="str">
        <f t="shared" si="65"/>
        <v/>
      </c>
      <c r="V210" t="str">
        <f t="shared" si="66"/>
        <v/>
      </c>
      <c r="W210" s="5" t="str">
        <f t="shared" si="67"/>
        <v/>
      </c>
      <c r="Y210" t="str">
        <f t="shared" si="68"/>
        <v/>
      </c>
      <c r="Z210" t="str">
        <f t="shared" si="69"/>
        <v/>
      </c>
      <c r="AB210" t="str">
        <f t="shared" si="70"/>
        <v>https://shop.officineitalianezard.it/contents/imgs/products/1_2431-1b.jpg</v>
      </c>
      <c r="AE210" t="b">
        <v>0</v>
      </c>
    </row>
    <row r="211" spans="1:31" x14ac:dyDescent="0.2">
      <c r="A211" t="str">
        <f t="shared" si="57"/>
        <v>https://shop.officineitalianezard.it/en/penta-r-silencer/</v>
      </c>
      <c r="B211" t="b">
        <f>COUNTIF($A$2:$A211, A211)&gt;1</f>
        <v>1</v>
      </c>
      <c r="C211" t="b">
        <f t="shared" si="58"/>
        <v>0</v>
      </c>
      <c r="D211">
        <f>VLOOKUP(A211,variant_counts!A:B, 2, FALSE)</f>
        <v>5</v>
      </c>
      <c r="E211" t="str">
        <f t="shared" si="71"/>
        <v>zard-exhaust-silencer-triumph-tiger-1200-penta-r-version-ztph507ssr</v>
      </c>
      <c r="F211" t="str">
        <f t="shared" si="59"/>
        <v>ZARD EXHAUST SILENCER TRIUMPH TIGER 1200 PENTA-R VERSION ZTPH507SSR</v>
      </c>
      <c r="G211" t="str">
        <f t="shared" si="60"/>
        <v/>
      </c>
      <c r="H211" t="str">
        <f t="shared" si="72"/>
        <v/>
      </c>
      <c r="I211" t="str">
        <f t="shared" si="73"/>
        <v/>
      </c>
      <c r="J211" t="str">
        <f t="shared" si="74"/>
        <v/>
      </c>
      <c r="K211" t="str">
        <f t="shared" si="75"/>
        <v/>
      </c>
      <c r="L211" t="str">
        <f t="shared" si="61"/>
        <v/>
      </c>
      <c r="M211" t="str">
        <f t="shared" si="62"/>
        <v/>
      </c>
      <c r="R211" t="str">
        <f t="shared" si="63"/>
        <v/>
      </c>
      <c r="S211" t="str">
        <f t="shared" si="64"/>
        <v/>
      </c>
      <c r="U211" t="str">
        <f t="shared" si="65"/>
        <v/>
      </c>
      <c r="V211" t="str">
        <f t="shared" si="66"/>
        <v/>
      </c>
      <c r="W211" s="5" t="str">
        <f t="shared" si="67"/>
        <v/>
      </c>
      <c r="Y211" t="str">
        <f t="shared" si="68"/>
        <v/>
      </c>
      <c r="Z211" t="str">
        <f t="shared" si="69"/>
        <v/>
      </c>
      <c r="AB211" t="str">
        <f t="shared" si="70"/>
        <v>https://shop.officineitalianezard.it/contents/imgs/products/1_512-2.jpg</v>
      </c>
      <c r="AE211" t="b">
        <v>0</v>
      </c>
    </row>
    <row r="212" spans="1:31" x14ac:dyDescent="0.2">
      <c r="A212" t="str">
        <f t="shared" si="57"/>
        <v>https://shop.officineitalianezard.it/en/penta-r-silencer/</v>
      </c>
      <c r="B212" t="b">
        <f>COUNTIF($A$2:$A212, A212)&gt;1</f>
        <v>1</v>
      </c>
      <c r="C212" t="b">
        <f t="shared" si="58"/>
        <v>0</v>
      </c>
      <c r="D212">
        <f>VLOOKUP(A212,variant_counts!A:B, 2, FALSE)</f>
        <v>5</v>
      </c>
      <c r="E212" t="str">
        <f t="shared" si="71"/>
        <v>zard-exhaust-silencer-triumph-tiger-1200-penta-r-version-ztph507ssr</v>
      </c>
      <c r="F212" t="str">
        <f t="shared" si="59"/>
        <v>ZARD EXHAUST SILENCER TRIUMPH TIGER 1200 PENTA-R VERSION ZTPH507SSR</v>
      </c>
      <c r="G212" t="str">
        <f t="shared" si="60"/>
        <v/>
      </c>
      <c r="H212" t="str">
        <f t="shared" si="72"/>
        <v/>
      </c>
      <c r="I212" t="str">
        <f t="shared" si="73"/>
        <v/>
      </c>
      <c r="J212" t="str">
        <f t="shared" si="74"/>
        <v/>
      </c>
      <c r="K212" t="str">
        <f t="shared" si="75"/>
        <v/>
      </c>
      <c r="L212" t="str">
        <f t="shared" si="61"/>
        <v/>
      </c>
      <c r="M212" t="str">
        <f t="shared" si="62"/>
        <v/>
      </c>
      <c r="R212" t="str">
        <f t="shared" si="63"/>
        <v/>
      </c>
      <c r="S212" t="str">
        <f t="shared" si="64"/>
        <v/>
      </c>
      <c r="U212" t="str">
        <f t="shared" si="65"/>
        <v/>
      </c>
      <c r="V212" t="str">
        <f t="shared" si="66"/>
        <v/>
      </c>
      <c r="W212" s="5" t="str">
        <f t="shared" si="67"/>
        <v/>
      </c>
      <c r="Y212" t="str">
        <f t="shared" si="68"/>
        <v/>
      </c>
      <c r="Z212" t="str">
        <f t="shared" si="69"/>
        <v/>
      </c>
      <c r="AB212" t="str">
        <f t="shared" si="70"/>
        <v>https://shop.officineitalianezard.it/contents/imgs/products/1_513-3.jpg</v>
      </c>
      <c r="AE212" t="b">
        <v>0</v>
      </c>
    </row>
    <row r="213" spans="1:31" x14ac:dyDescent="0.2">
      <c r="A213" t="str">
        <f t="shared" si="57"/>
        <v>https://shop.officineitalianezard.it/en/penta-r-silencer/</v>
      </c>
      <c r="B213" t="b">
        <f>COUNTIF($A$2:$A213, A213)&gt;1</f>
        <v>1</v>
      </c>
      <c r="C213" t="b">
        <f t="shared" si="58"/>
        <v>0</v>
      </c>
      <c r="D213">
        <f>VLOOKUP(A213,variant_counts!A:B, 2, FALSE)</f>
        <v>5</v>
      </c>
      <c r="E213" t="str">
        <f t="shared" si="71"/>
        <v>zard-exhaust-silencer-triumph-tiger-1200-penta-r-version-ztph507ssr</v>
      </c>
      <c r="F213" t="str">
        <f t="shared" si="59"/>
        <v>ZARD EXHAUST SILENCER TRIUMPH TIGER 1200 PENTA-R VERSION ZTPH507SSR</v>
      </c>
      <c r="G213" t="str">
        <f t="shared" si="60"/>
        <v/>
      </c>
      <c r="H213" t="str">
        <f t="shared" si="72"/>
        <v/>
      </c>
      <c r="I213" t="str">
        <f t="shared" si="73"/>
        <v/>
      </c>
      <c r="J213" t="str">
        <f t="shared" si="74"/>
        <v/>
      </c>
      <c r="K213" t="str">
        <f t="shared" si="75"/>
        <v/>
      </c>
      <c r="L213" t="str">
        <f t="shared" si="61"/>
        <v/>
      </c>
      <c r="M213" t="str">
        <f t="shared" si="62"/>
        <v/>
      </c>
      <c r="R213" t="str">
        <f t="shared" si="63"/>
        <v/>
      </c>
      <c r="S213" t="str">
        <f t="shared" si="64"/>
        <v/>
      </c>
      <c r="U213" t="str">
        <f t="shared" si="65"/>
        <v/>
      </c>
      <c r="V213" t="str">
        <f t="shared" si="66"/>
        <v/>
      </c>
      <c r="W213" s="5" t="str">
        <f t="shared" si="67"/>
        <v/>
      </c>
      <c r="Y213" t="str">
        <f t="shared" si="68"/>
        <v/>
      </c>
      <c r="Z213" t="str">
        <f t="shared" si="69"/>
        <v/>
      </c>
      <c r="AB213" t="str">
        <f t="shared" si="70"/>
        <v>https://shop.officineitalianezard.it/contents/imgs/products/1_514-4.jpg</v>
      </c>
      <c r="AE213" t="b">
        <v>0</v>
      </c>
    </row>
    <row r="214" spans="1:31" x14ac:dyDescent="0.2">
      <c r="A214" t="str">
        <f t="shared" si="57"/>
        <v>https://shop.officineitalianezard.it/en/penta-r-silencer/</v>
      </c>
      <c r="B214" t="b">
        <f>COUNTIF($A$2:$A214, A214)&gt;1</f>
        <v>1</v>
      </c>
      <c r="C214" t="b">
        <f t="shared" si="58"/>
        <v>0</v>
      </c>
      <c r="D214">
        <f>VLOOKUP(A214,variant_counts!A:B, 2, FALSE)</f>
        <v>5</v>
      </c>
      <c r="E214" t="str">
        <f t="shared" si="71"/>
        <v>zard-exhaust-silencer-triumph-tiger-1200-penta-r-version-ztph507ssr</v>
      </c>
      <c r="F214" t="str">
        <f t="shared" si="59"/>
        <v>ZARD EXHAUST SILENCER TRIUMPH TIGER 1200 PENTA-R VERSION ZTPH507SSR</v>
      </c>
      <c r="G214" t="str">
        <f t="shared" si="60"/>
        <v/>
      </c>
      <c r="H214" t="str">
        <f t="shared" si="72"/>
        <v/>
      </c>
      <c r="I214" t="str">
        <f t="shared" si="73"/>
        <v/>
      </c>
      <c r="J214" t="str">
        <f t="shared" si="74"/>
        <v/>
      </c>
      <c r="K214" t="str">
        <f t="shared" si="75"/>
        <v/>
      </c>
      <c r="L214" t="str">
        <f t="shared" si="61"/>
        <v/>
      </c>
      <c r="M214" t="str">
        <f t="shared" si="62"/>
        <v/>
      </c>
      <c r="R214" t="str">
        <f t="shared" si="63"/>
        <v/>
      </c>
      <c r="S214" t="str">
        <f t="shared" si="64"/>
        <v/>
      </c>
      <c r="U214" t="str">
        <f t="shared" si="65"/>
        <v/>
      </c>
      <c r="V214" t="str">
        <f t="shared" si="66"/>
        <v/>
      </c>
      <c r="W214" s="5" t="str">
        <f t="shared" si="67"/>
        <v/>
      </c>
      <c r="Y214" t="str">
        <f t="shared" si="68"/>
        <v/>
      </c>
      <c r="Z214" t="str">
        <f t="shared" si="69"/>
        <v/>
      </c>
      <c r="AB214" t="str">
        <f t="shared" si="70"/>
        <v>https://shop.officineitalianezard.it/contents/imgs/products/1_977-carbon%20exhaust.jpg</v>
      </c>
      <c r="AE214" t="b">
        <v>0</v>
      </c>
    </row>
    <row r="215" spans="1:31" x14ac:dyDescent="0.2">
      <c r="A215" t="str">
        <f t="shared" si="57"/>
        <v>https://shop.officineitalianezard.it/en/penta-r-silencer/</v>
      </c>
      <c r="B215" t="b">
        <f>COUNTIF($A$2:$A215, A215)&gt;1</f>
        <v>1</v>
      </c>
      <c r="C215" t="b">
        <f t="shared" si="58"/>
        <v>0</v>
      </c>
      <c r="D215">
        <f>VLOOKUP(A215,variant_counts!A:B, 2, FALSE)</f>
        <v>5</v>
      </c>
      <c r="E215" t="str">
        <f t="shared" si="71"/>
        <v>zard-exhaust-silencer-triumph-tiger-1200-penta-r-version-ztph507ssr</v>
      </c>
      <c r="F215" t="str">
        <f t="shared" si="59"/>
        <v>ZARD EXHAUST SILENCER TRIUMPH TIGER 1200 PENTA-R VERSION ZTPH507SSR</v>
      </c>
      <c r="G215" t="str">
        <f t="shared" si="60"/>
        <v/>
      </c>
      <c r="H215" t="str">
        <f t="shared" si="72"/>
        <v/>
      </c>
      <c r="I215" t="str">
        <f t="shared" si="73"/>
        <v/>
      </c>
      <c r="J215" t="str">
        <f t="shared" si="74"/>
        <v/>
      </c>
      <c r="K215" t="str">
        <f t="shared" si="75"/>
        <v/>
      </c>
      <c r="L215" t="str">
        <f t="shared" si="61"/>
        <v/>
      </c>
      <c r="M215" t="str">
        <f t="shared" si="62"/>
        <v/>
      </c>
      <c r="R215" t="str">
        <f t="shared" si="63"/>
        <v/>
      </c>
      <c r="S215" t="str">
        <f t="shared" si="64"/>
        <v/>
      </c>
      <c r="U215" t="str">
        <f t="shared" si="65"/>
        <v/>
      </c>
      <c r="V215" t="str">
        <f t="shared" si="66"/>
        <v/>
      </c>
      <c r="W215" s="5" t="str">
        <f t="shared" si="67"/>
        <v/>
      </c>
      <c r="Y215" t="str">
        <f t="shared" si="68"/>
        <v/>
      </c>
      <c r="Z215" t="str">
        <f t="shared" si="69"/>
        <v/>
      </c>
      <c r="AB215" t="str">
        <f t="shared" si="70"/>
        <v>https://shop.officineitalianezard.it/contents/imgs/products/1_973-zard%20exhaust%20carbon.jpg</v>
      </c>
      <c r="AE215" t="b">
        <v>0</v>
      </c>
    </row>
    <row r="216" spans="1:31" x14ac:dyDescent="0.2">
      <c r="A216" t="str">
        <f t="shared" si="57"/>
        <v>https://shop.officineitalianezard.it/en/penta-r-silencer/</v>
      </c>
      <c r="B216" t="b">
        <f>COUNTIF($A$2:$A216, A216)&gt;1</f>
        <v>1</v>
      </c>
      <c r="C216" t="b">
        <f t="shared" si="58"/>
        <v>1</v>
      </c>
      <c r="D216">
        <f>VLOOKUP(A216,variant_counts!A:B, 2, FALSE)</f>
        <v>5</v>
      </c>
      <c r="E216" t="str">
        <f t="shared" si="71"/>
        <v>zard-exhaust-silencer-triumph-tiger-1200-penta-r-version-ztph507ssr</v>
      </c>
      <c r="F216" t="str">
        <f t="shared" si="59"/>
        <v>ZARD EXHAUST SILENCER TRIUMPH TIGER 1200 PENTA-R VERSION ZTPH507SSR</v>
      </c>
      <c r="G216" t="str">
        <f t="shared" si="60"/>
        <v/>
      </c>
      <c r="H216" t="str">
        <f t="shared" si="72"/>
        <v/>
      </c>
      <c r="I216" t="str">
        <f t="shared" si="73"/>
        <v/>
      </c>
      <c r="J216" t="str">
        <f t="shared" si="74"/>
        <v/>
      </c>
      <c r="K216" t="str">
        <f t="shared" si="75"/>
        <v/>
      </c>
      <c r="L216" t="str">
        <f t="shared" si="61"/>
        <v>Option</v>
      </c>
      <c r="M216" t="str">
        <f t="shared" si="62"/>
        <v>EURO 3 HOMOLOGATED</v>
      </c>
      <c r="R216" t="str">
        <f t="shared" si="63"/>
        <v>ZTPH507SSR</v>
      </c>
      <c r="S216">
        <f t="shared" si="64"/>
        <v>0</v>
      </c>
      <c r="U216" t="str">
        <f t="shared" si="65"/>
        <v>continue</v>
      </c>
      <c r="V216" t="str">
        <f t="shared" si="66"/>
        <v>manual</v>
      </c>
      <c r="W216" s="5">
        <f t="shared" si="67"/>
        <v>620.04600000000005</v>
      </c>
      <c r="Y216" t="b">
        <f t="shared" si="68"/>
        <v>1</v>
      </c>
      <c r="Z216" t="b">
        <f t="shared" si="69"/>
        <v>0</v>
      </c>
      <c r="AB216" t="str">
        <f t="shared" si="70"/>
        <v/>
      </c>
      <c r="AE216" t="b">
        <v>0</v>
      </c>
    </row>
    <row r="217" spans="1:31" x14ac:dyDescent="0.2">
      <c r="A217" t="str">
        <f t="shared" si="57"/>
        <v>https://shop.officineitalianezard.it/en/penta-r-silencer/</v>
      </c>
      <c r="B217" t="b">
        <f>COUNTIF($A$2:$A217, A217)&gt;1</f>
        <v>1</v>
      </c>
      <c r="C217" t="b">
        <f t="shared" si="58"/>
        <v>1</v>
      </c>
      <c r="D217">
        <f>VLOOKUP(A217,variant_counts!A:B, 2, FALSE)</f>
        <v>5</v>
      </c>
      <c r="E217" t="str">
        <f t="shared" si="71"/>
        <v>zard-exhaust-silencer-triumph-tiger-1200-penta-r-version-ztph507ssr</v>
      </c>
      <c r="F217" t="str">
        <f t="shared" si="59"/>
        <v>ZARD EXHAUST SILENCER TRIUMPH TIGER 1200 PENTA-R VERSION ZTPH507SSR</v>
      </c>
      <c r="G217" t="str">
        <f t="shared" si="60"/>
        <v/>
      </c>
      <c r="H217" t="str">
        <f t="shared" si="72"/>
        <v/>
      </c>
      <c r="I217" t="str">
        <f t="shared" si="73"/>
        <v/>
      </c>
      <c r="J217" t="str">
        <f t="shared" si="74"/>
        <v/>
      </c>
      <c r="K217" t="str">
        <f t="shared" si="75"/>
        <v/>
      </c>
      <c r="L217" t="str">
        <f t="shared" si="61"/>
        <v>Option</v>
      </c>
      <c r="M217" t="str">
        <f t="shared" si="62"/>
        <v>RACING CARBON VERSION</v>
      </c>
      <c r="R217" t="str">
        <f t="shared" si="63"/>
        <v>ZTPH507SSR</v>
      </c>
      <c r="S217">
        <f t="shared" si="64"/>
        <v>0</v>
      </c>
      <c r="U217" t="str">
        <f t="shared" si="65"/>
        <v>continue</v>
      </c>
      <c r="V217" t="str">
        <f t="shared" si="66"/>
        <v>manual</v>
      </c>
      <c r="W217" s="5">
        <f t="shared" si="67"/>
        <v>710.12250000000006</v>
      </c>
      <c r="Y217" t="b">
        <f t="shared" si="68"/>
        <v>1</v>
      </c>
      <c r="Z217" t="b">
        <f t="shared" si="69"/>
        <v>0</v>
      </c>
      <c r="AB217" t="str">
        <f t="shared" si="70"/>
        <v/>
      </c>
      <c r="AE217" t="b">
        <v>0</v>
      </c>
    </row>
    <row r="218" spans="1:31" x14ac:dyDescent="0.2">
      <c r="A218" t="str">
        <f t="shared" si="57"/>
        <v>https://shop.officineitalianezard.it/en/penta-r-silencer/</v>
      </c>
      <c r="B218" t="b">
        <f>COUNTIF($A$2:$A218, A218)&gt;1</f>
        <v>1</v>
      </c>
      <c r="C218" t="b">
        <f t="shared" si="58"/>
        <v>1</v>
      </c>
      <c r="D218">
        <f>VLOOKUP(A218,variant_counts!A:B, 2, FALSE)</f>
        <v>5</v>
      </c>
      <c r="E218" t="str">
        <f t="shared" si="71"/>
        <v>zard-exhaust-silencer-triumph-tiger-1200-penta-r-version-ztph507ssr</v>
      </c>
      <c r="F218" t="str">
        <f t="shared" si="59"/>
        <v>ZARD EXHAUST SILENCER TRIUMPH TIGER 1200 PENTA-R VERSION ZTPH507SSR</v>
      </c>
      <c r="G218" t="str">
        <f t="shared" si="60"/>
        <v/>
      </c>
      <c r="H218" t="str">
        <f t="shared" si="72"/>
        <v/>
      </c>
      <c r="I218" t="str">
        <f t="shared" si="73"/>
        <v/>
      </c>
      <c r="J218" t="str">
        <f t="shared" si="74"/>
        <v/>
      </c>
      <c r="K218" t="str">
        <f t="shared" si="75"/>
        <v/>
      </c>
      <c r="L218" t="str">
        <f t="shared" si="61"/>
        <v>Option</v>
      </c>
      <c r="M218" t="str">
        <f t="shared" si="62"/>
        <v>HOMOLOGATED CARBON VERSION</v>
      </c>
      <c r="R218" t="str">
        <f t="shared" si="63"/>
        <v>ZTPH507SSR</v>
      </c>
      <c r="S218">
        <f t="shared" si="64"/>
        <v>0</v>
      </c>
      <c r="U218" t="str">
        <f t="shared" si="65"/>
        <v>continue</v>
      </c>
      <c r="V218" t="str">
        <f t="shared" si="66"/>
        <v>manual</v>
      </c>
      <c r="W218" s="5">
        <f t="shared" si="67"/>
        <v>715.8501</v>
      </c>
      <c r="Y218" t="b">
        <f t="shared" si="68"/>
        <v>1</v>
      </c>
      <c r="Z218" t="b">
        <f t="shared" si="69"/>
        <v>0</v>
      </c>
      <c r="AB218" t="str">
        <f t="shared" si="70"/>
        <v/>
      </c>
      <c r="AE218" t="b">
        <v>0</v>
      </c>
    </row>
    <row r="219" spans="1:31" x14ac:dyDescent="0.2">
      <c r="A219" t="str">
        <f t="shared" si="57"/>
        <v>https://shop.officineitalianezard.it/en/penta-r-silencer/</v>
      </c>
      <c r="B219" t="b">
        <f>COUNTIF($A$2:$A219, A219)&gt;1</f>
        <v>1</v>
      </c>
      <c r="C219" t="b">
        <f t="shared" si="58"/>
        <v>1</v>
      </c>
      <c r="D219">
        <f>VLOOKUP(A219,variant_counts!A:B, 2, FALSE)</f>
        <v>5</v>
      </c>
      <c r="E219" t="str">
        <f t="shared" si="71"/>
        <v>zard-exhaust-silencer-triumph-tiger-1200-penta-r-version-ztph507ssr</v>
      </c>
      <c r="F219" t="str">
        <f t="shared" si="59"/>
        <v>ZARD EXHAUST SILENCER TRIUMPH TIGER 1200 PENTA-R VERSION ZTPH507SSR</v>
      </c>
      <c r="G219" t="str">
        <f t="shared" si="60"/>
        <v/>
      </c>
      <c r="H219" t="str">
        <f t="shared" si="72"/>
        <v/>
      </c>
      <c r="I219" t="str">
        <f t="shared" si="73"/>
        <v/>
      </c>
      <c r="J219" t="str">
        <f t="shared" si="74"/>
        <v/>
      </c>
      <c r="K219" t="str">
        <f t="shared" si="75"/>
        <v/>
      </c>
      <c r="L219" t="str">
        <f t="shared" si="61"/>
        <v>Option</v>
      </c>
      <c r="M219" t="str">
        <f t="shared" si="62"/>
        <v>RACING TITANIUM</v>
      </c>
      <c r="R219" t="str">
        <f t="shared" si="63"/>
        <v>ZTPH507SSR</v>
      </c>
      <c r="S219">
        <f t="shared" si="64"/>
        <v>0</v>
      </c>
      <c r="U219" t="str">
        <f t="shared" si="65"/>
        <v>continue</v>
      </c>
      <c r="V219" t="str">
        <f t="shared" si="66"/>
        <v>manual</v>
      </c>
      <c r="W219" s="5">
        <f t="shared" si="67"/>
        <v>689.65409999999997</v>
      </c>
      <c r="Y219" t="b">
        <f t="shared" si="68"/>
        <v>1</v>
      </c>
      <c r="Z219" t="b">
        <f t="shared" si="69"/>
        <v>0</v>
      </c>
      <c r="AB219" t="str">
        <f t="shared" si="70"/>
        <v/>
      </c>
      <c r="AE219" t="b">
        <v>0</v>
      </c>
    </row>
    <row r="220" spans="1:31" x14ac:dyDescent="0.2">
      <c r="A220" t="str">
        <f t="shared" si="57"/>
        <v>https://shop.officineitalianezard.it/en/penta-r-silencer/</v>
      </c>
      <c r="B220" t="b">
        <f>COUNTIF($A$2:$A220, A220)&gt;1</f>
        <v>1</v>
      </c>
      <c r="C220" t="b">
        <f t="shared" si="58"/>
        <v>1</v>
      </c>
      <c r="D220">
        <f>VLOOKUP(A220,variant_counts!A:B, 2, FALSE)</f>
        <v>5</v>
      </c>
      <c r="E220" t="str">
        <f t="shared" si="71"/>
        <v>zard-exhaust-silencer-triumph-tiger-1200-penta-r-version-ztph507ssr</v>
      </c>
      <c r="F220" t="str">
        <f t="shared" si="59"/>
        <v>ZARD EXHAUST SILENCER TRIUMPH TIGER 1200 PENTA-R VERSION ZTPH507SSR</v>
      </c>
      <c r="G220" t="str">
        <f t="shared" si="60"/>
        <v/>
      </c>
      <c r="H220" t="str">
        <f t="shared" si="72"/>
        <v/>
      </c>
      <c r="I220" t="str">
        <f t="shared" si="73"/>
        <v/>
      </c>
      <c r="J220" t="str">
        <f t="shared" si="74"/>
        <v/>
      </c>
      <c r="K220" t="str">
        <f t="shared" si="75"/>
        <v/>
      </c>
      <c r="L220" t="str">
        <f t="shared" si="61"/>
        <v>Option</v>
      </c>
      <c r="M220" t="str">
        <f t="shared" si="62"/>
        <v>HOMOLOGATED TITANIUM</v>
      </c>
      <c r="R220" t="str">
        <f t="shared" si="63"/>
        <v>ZTPH507SSR</v>
      </c>
      <c r="S220">
        <f t="shared" si="64"/>
        <v>0</v>
      </c>
      <c r="U220" t="str">
        <f t="shared" si="65"/>
        <v>continue</v>
      </c>
      <c r="V220" t="str">
        <f t="shared" si="66"/>
        <v>manual</v>
      </c>
      <c r="W220" s="5">
        <f t="shared" si="67"/>
        <v>710.9439000000001</v>
      </c>
      <c r="Y220" t="b">
        <f t="shared" si="68"/>
        <v>1</v>
      </c>
      <c r="Z220" t="b">
        <f t="shared" si="69"/>
        <v>0</v>
      </c>
      <c r="AB220" t="str">
        <f t="shared" si="70"/>
        <v/>
      </c>
      <c r="AE220" t="b">
        <v>0</v>
      </c>
    </row>
    <row r="221" spans="1:31" x14ac:dyDescent="0.2">
      <c r="A221" t="str">
        <f t="shared" si="57"/>
        <v>https://shop.officineitalianezard.it/en/low-mounting-penta-muffler/</v>
      </c>
      <c r="B221" t="b">
        <f>COUNTIF($A$2:$A221, A221)&gt;1</f>
        <v>0</v>
      </c>
      <c r="C221" t="b">
        <f t="shared" si="58"/>
        <v>0</v>
      </c>
      <c r="D221">
        <f>VLOOKUP(A221,variant_counts!A:B, 2, FALSE)</f>
        <v>3</v>
      </c>
      <c r="E221" t="str">
        <f t="shared" si="71"/>
        <v>zard-exhaust-low-mounted-silencer-triumph-tiger-1050-2006-2012-penta-version-ztph039abr</v>
      </c>
      <c r="F221" t="str">
        <f t="shared" si="59"/>
        <v>ZARD EXHAUST LOW MOUNTED SILENCER TRIUMPH TIGER 1050 2006-2012 PENTA VERSION ZTPH039ABR</v>
      </c>
      <c r="G221" t="str">
        <f t="shared" si="60"/>
        <v>&lt;p&gt;LOW MOUNTED SILENCER STEEL-ALUMINIUM BLACK RACING&lt;/p&gt;
&lt;p&gt;ORIGINAL SILENCER WEIGHT: KG 5.8&lt;br&gt;ZARD SILENCER WEIGHT: KG 2.6&lt;/p&gt;
&lt;p&gt;ZARD SILENCER CAN'T BE FITTED WITH ORIGINAL TRIUMPH PANNIERS.&lt;/p&gt;
&lt;p&gt;HARD INCREASE, COMPARED TO THE ORIGINAL EXHAUST SYSTEM, IN TERMS OF TORQUE AND POWER AT ANY RANGE.&lt;/p&gt;
&lt;p&gt;ASTONISHING SOUND.&lt;/p&gt;
&lt;p&gt;NOTICE: THIS PRODUCT FITS ON 2013-2014-2015 RACING VERSIONS (NOT HOMOLOGATED).&lt;/p&gt;</v>
      </c>
      <c r="H221" t="str">
        <f t="shared" si="72"/>
        <v>ZARD</v>
      </c>
      <c r="I221" t="str">
        <f t="shared" si="73"/>
        <v>Exhaust Pipe</v>
      </c>
      <c r="J221" t="str">
        <f t="shared" si="74"/>
        <v>Test</v>
      </c>
      <c r="K221" t="b">
        <f t="shared" si="75"/>
        <v>0</v>
      </c>
      <c r="L221" t="str">
        <f t="shared" si="61"/>
        <v/>
      </c>
      <c r="M221" t="str">
        <f t="shared" si="62"/>
        <v/>
      </c>
      <c r="R221" t="str">
        <f t="shared" si="63"/>
        <v/>
      </c>
      <c r="S221" t="str">
        <f t="shared" si="64"/>
        <v/>
      </c>
      <c r="U221" t="str">
        <f t="shared" si="65"/>
        <v/>
      </c>
      <c r="V221" t="str">
        <f t="shared" si="66"/>
        <v/>
      </c>
      <c r="W221" s="5" t="str">
        <f t="shared" si="67"/>
        <v/>
      </c>
      <c r="Y221" t="str">
        <f t="shared" si="68"/>
        <v/>
      </c>
      <c r="Z221" t="str">
        <f t="shared" si="69"/>
        <v/>
      </c>
      <c r="AB221" t="str">
        <f t="shared" si="70"/>
        <v>https://shop.officineitalianezard.it/contents/imgs/products/1_222-1.jpg</v>
      </c>
      <c r="AE221" t="b">
        <v>0</v>
      </c>
    </row>
    <row r="222" spans="1:31" x14ac:dyDescent="0.2">
      <c r="A222" t="str">
        <f t="shared" si="57"/>
        <v>https://shop.officineitalianezard.it/en/low-mounting-penta-muffler/</v>
      </c>
      <c r="B222" t="b">
        <f>COUNTIF($A$2:$A222, A222)&gt;1</f>
        <v>1</v>
      </c>
      <c r="C222" t="b">
        <f t="shared" si="58"/>
        <v>0</v>
      </c>
      <c r="D222">
        <f>VLOOKUP(A222,variant_counts!A:B, 2, FALSE)</f>
        <v>3</v>
      </c>
      <c r="E222" t="str">
        <f t="shared" si="71"/>
        <v>zard-exhaust-low-mounted-silencer-triumph-tiger-1050-2006-2012-penta-version-ztph039abr</v>
      </c>
      <c r="F222" t="str">
        <f t="shared" si="59"/>
        <v>ZARD EXHAUST LOW MOUNTED SILENCER TRIUMPH TIGER 1050 2006-2012 PENTA VERSION ZTPH039ABR</v>
      </c>
      <c r="G222" t="str">
        <f t="shared" si="60"/>
        <v/>
      </c>
      <c r="H222" t="str">
        <f t="shared" si="72"/>
        <v/>
      </c>
      <c r="I222" t="str">
        <f t="shared" si="73"/>
        <v/>
      </c>
      <c r="J222" t="str">
        <f t="shared" si="74"/>
        <v/>
      </c>
      <c r="K222" t="str">
        <f t="shared" si="75"/>
        <v/>
      </c>
      <c r="L222" t="str">
        <f t="shared" si="61"/>
        <v/>
      </c>
      <c r="M222" t="str">
        <f t="shared" si="62"/>
        <v/>
      </c>
      <c r="R222" t="str">
        <f t="shared" si="63"/>
        <v/>
      </c>
      <c r="S222" t="str">
        <f t="shared" si="64"/>
        <v/>
      </c>
      <c r="U222" t="str">
        <f t="shared" si="65"/>
        <v/>
      </c>
      <c r="V222" t="str">
        <f t="shared" si="66"/>
        <v/>
      </c>
      <c r="W222" s="5" t="str">
        <f t="shared" si="67"/>
        <v/>
      </c>
      <c r="Y222" t="str">
        <f t="shared" si="68"/>
        <v/>
      </c>
      <c r="Z222" t="str">
        <f t="shared" si="69"/>
        <v/>
      </c>
      <c r="AB222" t="str">
        <f t="shared" si="70"/>
        <v>https://shop.officineitalianezard.it/contents/imgs/products/1_223-2.jpg</v>
      </c>
      <c r="AE222" t="b">
        <v>0</v>
      </c>
    </row>
    <row r="223" spans="1:31" x14ac:dyDescent="0.2">
      <c r="A223" t="str">
        <f t="shared" si="57"/>
        <v>https://shop.officineitalianezard.it/en/low-mounting-penta-muffler/</v>
      </c>
      <c r="B223" t="b">
        <f>COUNTIF($A$2:$A223, A223)&gt;1</f>
        <v>1</v>
      </c>
      <c r="C223" t="b">
        <f t="shared" si="58"/>
        <v>1</v>
      </c>
      <c r="D223">
        <f>VLOOKUP(A223,variant_counts!A:B, 2, FALSE)</f>
        <v>3</v>
      </c>
      <c r="E223" t="str">
        <f t="shared" si="71"/>
        <v>zard-exhaust-low-mounted-silencer-triumph-tiger-1050-2006-2012-penta-version-ztph039abr</v>
      </c>
      <c r="F223" t="str">
        <f t="shared" si="59"/>
        <v>ZARD EXHAUST LOW MOUNTED SILENCER TRIUMPH TIGER 1050 2006-2012 PENTA VERSION ZTPH039ABR</v>
      </c>
      <c r="G223" t="str">
        <f t="shared" si="60"/>
        <v/>
      </c>
      <c r="H223" t="str">
        <f t="shared" si="72"/>
        <v/>
      </c>
      <c r="I223" t="str">
        <f t="shared" si="73"/>
        <v/>
      </c>
      <c r="J223" t="str">
        <f t="shared" si="74"/>
        <v/>
      </c>
      <c r="K223" t="str">
        <f t="shared" si="75"/>
        <v/>
      </c>
      <c r="L223" t="str">
        <f t="shared" si="61"/>
        <v>Option</v>
      </c>
      <c r="M223" t="str">
        <f t="shared" si="62"/>
        <v>EURO 3 HOMOLOGATED</v>
      </c>
      <c r="R223" t="str">
        <f t="shared" si="63"/>
        <v>ZTPH039ABR</v>
      </c>
      <c r="S223">
        <f t="shared" si="64"/>
        <v>0</v>
      </c>
      <c r="U223" t="str">
        <f t="shared" si="65"/>
        <v>continue</v>
      </c>
      <c r="V223" t="str">
        <f t="shared" si="66"/>
        <v>manual</v>
      </c>
      <c r="W223" s="5">
        <f t="shared" si="67"/>
        <v>528.5154</v>
      </c>
      <c r="Y223" t="b">
        <f t="shared" si="68"/>
        <v>1</v>
      </c>
      <c r="Z223" t="b">
        <f t="shared" si="69"/>
        <v>0</v>
      </c>
      <c r="AB223" t="str">
        <f t="shared" si="70"/>
        <v/>
      </c>
      <c r="AE223" t="b">
        <v>0</v>
      </c>
    </row>
    <row r="224" spans="1:31" x14ac:dyDescent="0.2">
      <c r="A224" t="str">
        <f t="shared" si="57"/>
        <v>https://shop.officineitalianezard.it/en/low-mounting-penta-muffler/</v>
      </c>
      <c r="B224" t="b">
        <f>COUNTIF($A$2:$A224, A224)&gt;1</f>
        <v>1</v>
      </c>
      <c r="C224" t="b">
        <f t="shared" si="58"/>
        <v>1</v>
      </c>
      <c r="D224">
        <f>VLOOKUP(A224,variant_counts!A:B, 2, FALSE)</f>
        <v>3</v>
      </c>
      <c r="E224" t="str">
        <f t="shared" si="71"/>
        <v>zard-exhaust-low-mounted-silencer-triumph-tiger-1050-2006-2012-penta-version-ztph039abr</v>
      </c>
      <c r="F224" t="str">
        <f t="shared" si="59"/>
        <v>ZARD EXHAUST LOW MOUNTED SILENCER TRIUMPH TIGER 1050 2006-2012 PENTA VERSION ZTPH039ABR</v>
      </c>
      <c r="G224" t="str">
        <f t="shared" si="60"/>
        <v/>
      </c>
      <c r="H224" t="str">
        <f t="shared" si="72"/>
        <v/>
      </c>
      <c r="I224" t="str">
        <f t="shared" si="73"/>
        <v/>
      </c>
      <c r="J224" t="str">
        <f t="shared" si="74"/>
        <v/>
      </c>
      <c r="K224" t="str">
        <f t="shared" si="75"/>
        <v/>
      </c>
      <c r="L224" t="str">
        <f t="shared" si="61"/>
        <v>Option</v>
      </c>
      <c r="M224" t="str">
        <f t="shared" si="62"/>
        <v>STEEL-CARBON</v>
      </c>
      <c r="R224" t="str">
        <f t="shared" si="63"/>
        <v>ZTPH039ABR</v>
      </c>
      <c r="S224">
        <f t="shared" si="64"/>
        <v>0</v>
      </c>
      <c r="U224" t="str">
        <f t="shared" si="65"/>
        <v>continue</v>
      </c>
      <c r="V224" t="str">
        <f t="shared" si="66"/>
        <v>manual</v>
      </c>
      <c r="W224" s="5">
        <f t="shared" si="67"/>
        <v>550.62660000000005</v>
      </c>
      <c r="Y224" t="b">
        <f t="shared" si="68"/>
        <v>1</v>
      </c>
      <c r="Z224" t="b">
        <f t="shared" si="69"/>
        <v>0</v>
      </c>
      <c r="AB224" t="str">
        <f t="shared" si="70"/>
        <v/>
      </c>
      <c r="AE224" t="b">
        <v>0</v>
      </c>
    </row>
    <row r="225" spans="1:31" x14ac:dyDescent="0.2">
      <c r="A225" t="str">
        <f t="shared" si="57"/>
        <v>https://shop.officineitalianezard.it/en/low-mounting-penta-muffler/</v>
      </c>
      <c r="B225" t="b">
        <f>COUNTIF($A$2:$A225, A225)&gt;1</f>
        <v>1</v>
      </c>
      <c r="C225" t="b">
        <f t="shared" si="58"/>
        <v>1</v>
      </c>
      <c r="D225">
        <f>VLOOKUP(A225,variant_counts!A:B, 2, FALSE)</f>
        <v>3</v>
      </c>
      <c r="E225" t="str">
        <f t="shared" si="71"/>
        <v>zard-exhaust-low-mounted-silencer-triumph-tiger-1050-2006-2012-penta-version-ztph039abr</v>
      </c>
      <c r="F225" t="str">
        <f t="shared" si="59"/>
        <v>ZARD EXHAUST LOW MOUNTED SILENCER TRIUMPH TIGER 1050 2006-2012 PENTA VERSION ZTPH039ABR</v>
      </c>
      <c r="G225" t="str">
        <f t="shared" si="60"/>
        <v/>
      </c>
      <c r="H225" t="str">
        <f t="shared" si="72"/>
        <v/>
      </c>
      <c r="I225" t="str">
        <f t="shared" si="73"/>
        <v/>
      </c>
      <c r="J225" t="str">
        <f t="shared" si="74"/>
        <v/>
      </c>
      <c r="K225" t="str">
        <f t="shared" si="75"/>
        <v/>
      </c>
      <c r="L225" t="str">
        <f t="shared" si="61"/>
        <v>Option</v>
      </c>
      <c r="M225" t="str">
        <f t="shared" si="62"/>
        <v>CARBON ENDCAP</v>
      </c>
      <c r="R225" t="str">
        <f t="shared" si="63"/>
        <v>ZTPH039ABR</v>
      </c>
      <c r="S225">
        <f t="shared" si="64"/>
        <v>0</v>
      </c>
      <c r="U225" t="str">
        <f t="shared" si="65"/>
        <v>continue</v>
      </c>
      <c r="V225" t="str">
        <f t="shared" si="66"/>
        <v>manual</v>
      </c>
      <c r="W225" s="5">
        <f t="shared" si="67"/>
        <v>528.5154</v>
      </c>
      <c r="Y225" t="b">
        <f t="shared" si="68"/>
        <v>1</v>
      </c>
      <c r="Z225" t="b">
        <f t="shared" si="69"/>
        <v>0</v>
      </c>
      <c r="AB225" t="str">
        <f t="shared" si="70"/>
        <v/>
      </c>
      <c r="AE225" t="b">
        <v>0</v>
      </c>
    </row>
    <row r="226" spans="1:31" x14ac:dyDescent="0.2">
      <c r="A226" t="str">
        <f t="shared" si="57"/>
        <v>https://shop.officineitalianezard.it/en/high-mounting-penta-muffler-2/</v>
      </c>
      <c r="B226" t="b">
        <f>COUNTIF($A$2:$A226, A226)&gt;1</f>
        <v>0</v>
      </c>
      <c r="C226" t="b">
        <f t="shared" si="58"/>
        <v>0</v>
      </c>
      <c r="D226">
        <f>VLOOKUP(A226,variant_counts!A:B, 2, FALSE)</f>
        <v>3</v>
      </c>
      <c r="E226" t="str">
        <f t="shared" si="71"/>
        <v>zard-exhaust-high-mounted-silencer-triumph-tiger-1050-2006-2012-penta-version-ztph039aar</v>
      </c>
      <c r="F226" t="str">
        <f t="shared" si="59"/>
        <v>ZARD EXHAUST HIGH MOUNTED SILENCER TRIUMPH TIGER 1050 2006-2012 PENTA VERSION ZTPH039AAR</v>
      </c>
      <c r="G226" t="str">
        <f t="shared" si="60"/>
        <v>&lt;p&gt;HIGH MOUNTED STEEL-ALUMINIUM BLACK&amp;nbsp;RACING SILENCER&amp;nbsp;&lt;/p&gt;
&lt;p&gt;ORIGINAL SILENCER WEIGHT: KG 5.8&lt;br&gt;ZARD SILENCER WEIGHT: KG 2.7&lt;/p&gt;
&lt;p&gt;SILENCER CAN BE FITTED WITH ORIGINAL PANNIERS.&lt;/p&gt;
&lt;p&gt;HARD INCREASE, COMPARED TO THE ORIGINAL EXHAUST SYSTEM, IN TERMS OF TORQUE AND POWER AT ANY RANGE.&lt;/p&gt;
&lt;p&gt;ASTONISHING SOUND.&lt;/p&gt;
&lt;p&gt;NOTICE: THIS PRODUCT FITS ON 2013-2014-2015 RACING VERSIONS (NOT HOMOLOGATED).&lt;/p&gt;</v>
      </c>
      <c r="H226" t="str">
        <f t="shared" si="72"/>
        <v>ZARD</v>
      </c>
      <c r="I226" t="str">
        <f t="shared" si="73"/>
        <v>Exhaust Pipe</v>
      </c>
      <c r="J226" t="str">
        <f t="shared" si="74"/>
        <v>Test</v>
      </c>
      <c r="K226" t="b">
        <f t="shared" si="75"/>
        <v>0</v>
      </c>
      <c r="L226" t="str">
        <f t="shared" si="61"/>
        <v/>
      </c>
      <c r="M226" t="str">
        <f t="shared" si="62"/>
        <v/>
      </c>
      <c r="R226" t="str">
        <f t="shared" si="63"/>
        <v/>
      </c>
      <c r="S226" t="str">
        <f t="shared" si="64"/>
        <v/>
      </c>
      <c r="U226" t="str">
        <f t="shared" si="65"/>
        <v/>
      </c>
      <c r="V226" t="str">
        <f t="shared" si="66"/>
        <v/>
      </c>
      <c r="W226" s="5" t="str">
        <f t="shared" si="67"/>
        <v/>
      </c>
      <c r="Y226" t="str">
        <f t="shared" si="68"/>
        <v/>
      </c>
      <c r="Z226" t="str">
        <f t="shared" si="69"/>
        <v/>
      </c>
      <c r="AB226" t="str">
        <f t="shared" si="70"/>
        <v>https://shop.officineitalianezard.it/contents/imgs/products/1_218-1.jpg</v>
      </c>
      <c r="AE226" t="b">
        <v>0</v>
      </c>
    </row>
    <row r="227" spans="1:31" x14ac:dyDescent="0.2">
      <c r="A227" t="str">
        <f t="shared" si="57"/>
        <v>https://shop.officineitalianezard.it/en/high-mounting-penta-muffler-2/</v>
      </c>
      <c r="B227" t="b">
        <f>COUNTIF($A$2:$A227, A227)&gt;1</f>
        <v>1</v>
      </c>
      <c r="C227" t="b">
        <f t="shared" si="58"/>
        <v>0</v>
      </c>
      <c r="D227">
        <f>VLOOKUP(A227,variant_counts!A:B, 2, FALSE)</f>
        <v>3</v>
      </c>
      <c r="E227" t="str">
        <f t="shared" si="71"/>
        <v>zard-exhaust-high-mounted-silencer-triumph-tiger-1050-2006-2012-penta-version-ztph039aar</v>
      </c>
      <c r="F227" t="str">
        <f t="shared" si="59"/>
        <v>ZARD EXHAUST HIGH MOUNTED SILENCER TRIUMPH TIGER 1050 2006-2012 PENTA VERSION ZTPH039AAR</v>
      </c>
      <c r="G227" t="str">
        <f t="shared" si="60"/>
        <v/>
      </c>
      <c r="H227" t="str">
        <f t="shared" si="72"/>
        <v/>
      </c>
      <c r="I227" t="str">
        <f t="shared" si="73"/>
        <v/>
      </c>
      <c r="J227" t="str">
        <f t="shared" si="74"/>
        <v/>
      </c>
      <c r="K227" t="str">
        <f t="shared" si="75"/>
        <v/>
      </c>
      <c r="L227" t="str">
        <f t="shared" si="61"/>
        <v/>
      </c>
      <c r="M227" t="str">
        <f t="shared" si="62"/>
        <v/>
      </c>
      <c r="R227" t="str">
        <f t="shared" si="63"/>
        <v/>
      </c>
      <c r="S227" t="str">
        <f t="shared" si="64"/>
        <v/>
      </c>
      <c r="U227" t="str">
        <f t="shared" si="65"/>
        <v/>
      </c>
      <c r="V227" t="str">
        <f t="shared" si="66"/>
        <v/>
      </c>
      <c r="W227" s="5" t="str">
        <f t="shared" si="67"/>
        <v/>
      </c>
      <c r="Y227" t="str">
        <f t="shared" si="68"/>
        <v/>
      </c>
      <c r="Z227" t="str">
        <f t="shared" si="69"/>
        <v/>
      </c>
      <c r="AB227" t="str">
        <f t="shared" si="70"/>
        <v>https://shop.officineitalianezard.it/contents/imgs/products/1_219-2.jpg</v>
      </c>
      <c r="AE227" t="b">
        <v>0</v>
      </c>
    </row>
    <row r="228" spans="1:31" x14ac:dyDescent="0.2">
      <c r="A228" t="str">
        <f t="shared" si="57"/>
        <v>https://shop.officineitalianezard.it/en/high-mounting-penta-muffler-2/</v>
      </c>
      <c r="B228" t="b">
        <f>COUNTIF($A$2:$A228, A228)&gt;1</f>
        <v>1</v>
      </c>
      <c r="C228" t="b">
        <f t="shared" si="58"/>
        <v>1</v>
      </c>
      <c r="D228">
        <f>VLOOKUP(A228,variant_counts!A:B, 2, FALSE)</f>
        <v>3</v>
      </c>
      <c r="E228" t="str">
        <f t="shared" si="71"/>
        <v>zard-exhaust-high-mounted-silencer-triumph-tiger-1050-2006-2012-penta-version-ztph039aar</v>
      </c>
      <c r="F228" t="str">
        <f t="shared" si="59"/>
        <v>ZARD EXHAUST HIGH MOUNTED SILENCER TRIUMPH TIGER 1050 2006-2012 PENTA VERSION ZTPH039AAR</v>
      </c>
      <c r="G228" t="str">
        <f t="shared" si="60"/>
        <v/>
      </c>
      <c r="H228" t="str">
        <f t="shared" si="72"/>
        <v/>
      </c>
      <c r="I228" t="str">
        <f t="shared" si="73"/>
        <v/>
      </c>
      <c r="J228" t="str">
        <f t="shared" si="74"/>
        <v/>
      </c>
      <c r="K228" t="str">
        <f t="shared" si="75"/>
        <v/>
      </c>
      <c r="L228" t="str">
        <f t="shared" si="61"/>
        <v>Option</v>
      </c>
      <c r="M228" t="str">
        <f t="shared" si="62"/>
        <v>EURO 3 HOMOLOGATED</v>
      </c>
      <c r="R228" t="str">
        <f t="shared" si="63"/>
        <v>ZTPH039AAR</v>
      </c>
      <c r="S228">
        <f t="shared" si="64"/>
        <v>0</v>
      </c>
      <c r="U228" t="str">
        <f t="shared" si="65"/>
        <v>continue</v>
      </c>
      <c r="V228" t="str">
        <f t="shared" si="66"/>
        <v>manual</v>
      </c>
      <c r="W228" s="5">
        <f t="shared" si="67"/>
        <v>556.55400000000009</v>
      </c>
      <c r="Y228" t="b">
        <f t="shared" si="68"/>
        <v>1</v>
      </c>
      <c r="Z228" t="b">
        <f t="shared" si="69"/>
        <v>0</v>
      </c>
      <c r="AB228" t="str">
        <f t="shared" si="70"/>
        <v/>
      </c>
      <c r="AE228" t="b">
        <v>0</v>
      </c>
    </row>
    <row r="229" spans="1:31" x14ac:dyDescent="0.2">
      <c r="A229" t="str">
        <f t="shared" si="57"/>
        <v>https://shop.officineitalianezard.it/en/high-mounting-penta-muffler-2/</v>
      </c>
      <c r="B229" t="b">
        <f>COUNTIF($A$2:$A229, A229)&gt;1</f>
        <v>1</v>
      </c>
      <c r="C229" t="b">
        <f t="shared" si="58"/>
        <v>1</v>
      </c>
      <c r="D229">
        <f>VLOOKUP(A229,variant_counts!A:B, 2, FALSE)</f>
        <v>3</v>
      </c>
      <c r="E229" t="str">
        <f t="shared" si="71"/>
        <v>zard-exhaust-high-mounted-silencer-triumph-tiger-1050-2006-2012-penta-version-ztph039aar</v>
      </c>
      <c r="F229" t="str">
        <f t="shared" si="59"/>
        <v>ZARD EXHAUST HIGH MOUNTED SILENCER TRIUMPH TIGER 1050 2006-2012 PENTA VERSION ZTPH039AAR</v>
      </c>
      <c r="G229" t="str">
        <f t="shared" si="60"/>
        <v/>
      </c>
      <c r="H229" t="str">
        <f t="shared" si="72"/>
        <v/>
      </c>
      <c r="I229" t="str">
        <f t="shared" si="73"/>
        <v/>
      </c>
      <c r="J229" t="str">
        <f t="shared" si="74"/>
        <v/>
      </c>
      <c r="K229" t="str">
        <f t="shared" si="75"/>
        <v/>
      </c>
      <c r="L229" t="str">
        <f t="shared" si="61"/>
        <v>Option</v>
      </c>
      <c r="M229" t="str">
        <f t="shared" si="62"/>
        <v>STEEL-CARBON</v>
      </c>
      <c r="R229" t="str">
        <f t="shared" si="63"/>
        <v>ZTPH039AAR</v>
      </c>
      <c r="S229">
        <f t="shared" si="64"/>
        <v>0</v>
      </c>
      <c r="U229" t="str">
        <f t="shared" si="65"/>
        <v>continue</v>
      </c>
      <c r="V229" t="str">
        <f t="shared" si="66"/>
        <v>manual</v>
      </c>
      <c r="W229" s="5">
        <f t="shared" si="67"/>
        <v>568.83060000000012</v>
      </c>
      <c r="Y229" t="b">
        <f t="shared" si="68"/>
        <v>1</v>
      </c>
      <c r="Z229" t="b">
        <f t="shared" si="69"/>
        <v>0</v>
      </c>
      <c r="AB229" t="str">
        <f t="shared" si="70"/>
        <v/>
      </c>
      <c r="AE229" t="b">
        <v>0</v>
      </c>
    </row>
    <row r="230" spans="1:31" x14ac:dyDescent="0.2">
      <c r="A230" t="str">
        <f t="shared" si="57"/>
        <v>https://shop.officineitalianezard.it/en/high-mounting-penta-muffler-2/</v>
      </c>
      <c r="B230" t="b">
        <f>COUNTIF($A$2:$A230, A230)&gt;1</f>
        <v>1</v>
      </c>
      <c r="C230" t="b">
        <f t="shared" si="58"/>
        <v>1</v>
      </c>
      <c r="D230">
        <f>VLOOKUP(A230,variant_counts!A:B, 2, FALSE)</f>
        <v>3</v>
      </c>
      <c r="E230" t="str">
        <f t="shared" si="71"/>
        <v>zard-exhaust-high-mounted-silencer-triumph-tiger-1050-2006-2012-penta-version-ztph039aar</v>
      </c>
      <c r="F230" t="str">
        <f t="shared" si="59"/>
        <v>ZARD EXHAUST HIGH MOUNTED SILENCER TRIUMPH TIGER 1050 2006-2012 PENTA VERSION ZTPH039AAR</v>
      </c>
      <c r="G230" t="str">
        <f t="shared" si="60"/>
        <v/>
      </c>
      <c r="H230" t="str">
        <f t="shared" si="72"/>
        <v/>
      </c>
      <c r="I230" t="str">
        <f t="shared" si="73"/>
        <v/>
      </c>
      <c r="J230" t="str">
        <f t="shared" si="74"/>
        <v/>
      </c>
      <c r="K230" t="str">
        <f t="shared" si="75"/>
        <v/>
      </c>
      <c r="L230" t="str">
        <f t="shared" si="61"/>
        <v>Option</v>
      </c>
      <c r="M230" t="str">
        <f t="shared" si="62"/>
        <v>CARBON ENDCAP</v>
      </c>
      <c r="R230" t="str">
        <f t="shared" si="63"/>
        <v>ZTPH039AAR</v>
      </c>
      <c r="S230">
        <f t="shared" si="64"/>
        <v>0</v>
      </c>
      <c r="U230" t="str">
        <f t="shared" si="65"/>
        <v>continue</v>
      </c>
      <c r="V230" t="str">
        <f t="shared" si="66"/>
        <v>manual</v>
      </c>
      <c r="W230" s="5">
        <f t="shared" si="67"/>
        <v>546.71940000000006</v>
      </c>
      <c r="Y230" t="b">
        <f t="shared" si="68"/>
        <v>1</v>
      </c>
      <c r="Z230" t="b">
        <f t="shared" si="69"/>
        <v>0</v>
      </c>
      <c r="AB230" t="str">
        <f t="shared" si="70"/>
        <v/>
      </c>
      <c r="AE230" t="b">
        <v>0</v>
      </c>
    </row>
    <row r="231" spans="1:31" x14ac:dyDescent="0.2">
      <c r="A231" t="str">
        <f t="shared" si="57"/>
        <v>https://shop.officineitalianezard.it/en/high-mounting-penta-muffler/</v>
      </c>
      <c r="B231" t="b">
        <f>COUNTIF($A$2:$A231, A231)&gt;1</f>
        <v>0</v>
      </c>
      <c r="C231" t="b">
        <f t="shared" si="58"/>
        <v>0</v>
      </c>
      <c r="D231">
        <f>VLOOKUP(A231,variant_counts!A:B, 2, FALSE)</f>
        <v>3</v>
      </c>
      <c r="E231" t="str">
        <f t="shared" si="71"/>
        <v>zard-exhaust-high-mounted-silencer-triumph-tiger-800-penta-version-ztph504aar</v>
      </c>
      <c r="F231" t="str">
        <f t="shared" si="59"/>
        <v>ZARD EXHAUST HIGH MOUNTED SILENCER TRIUMPH TIGER 800 PENTA VERSION ZTPH504AAR</v>
      </c>
      <c r="G231" t="str">
        <f t="shared" si="60"/>
        <v>&lt;p&gt;STEEL-ALUMINIUM BLACK RACING PENTA SILENCER&lt;/p&gt;
&lt;p&gt;ZARD SILENCER WEIGHT: KG 2.7&lt;/p&gt;
&lt;p&gt;HARD INCREASE, COMPARED TO THE ORIGINAL EXHAUST SYSTEM, IN TERMS OF TORQUE AND POWER AT ANY RANGE.&lt;/p&gt;
&lt;p&gt;ASTONISHING SOUND.&lt;/p&gt;</v>
      </c>
      <c r="H231" t="str">
        <f t="shared" si="72"/>
        <v>ZARD</v>
      </c>
      <c r="I231" t="str">
        <f t="shared" si="73"/>
        <v>Exhaust Pipe</v>
      </c>
      <c r="J231" t="str">
        <f t="shared" si="74"/>
        <v>Test</v>
      </c>
      <c r="K231" t="b">
        <f t="shared" si="75"/>
        <v>0</v>
      </c>
      <c r="L231" t="str">
        <f t="shared" si="61"/>
        <v/>
      </c>
      <c r="M231" t="str">
        <f t="shared" si="62"/>
        <v/>
      </c>
      <c r="R231" t="str">
        <f t="shared" si="63"/>
        <v/>
      </c>
      <c r="S231" t="str">
        <f t="shared" si="64"/>
        <v/>
      </c>
      <c r="U231" t="str">
        <f t="shared" si="65"/>
        <v/>
      </c>
      <c r="V231" t="str">
        <f t="shared" si="66"/>
        <v/>
      </c>
      <c r="W231" s="5" t="str">
        <f t="shared" si="67"/>
        <v/>
      </c>
      <c r="Y231" t="str">
        <f t="shared" si="68"/>
        <v/>
      </c>
      <c r="Z231" t="str">
        <f t="shared" si="69"/>
        <v/>
      </c>
      <c r="AB231" t="str">
        <f t="shared" si="70"/>
        <v>https://shop.officineitalianezard.it/contents/imgs/products/1_231-2.jpg</v>
      </c>
      <c r="AE231" t="b">
        <v>0</v>
      </c>
    </row>
    <row r="232" spans="1:31" x14ac:dyDescent="0.2">
      <c r="A232" t="str">
        <f t="shared" si="57"/>
        <v>https://shop.officineitalianezard.it/en/high-mounting-penta-muffler/</v>
      </c>
      <c r="B232" t="b">
        <f>COUNTIF($A$2:$A232, A232)&gt;1</f>
        <v>1</v>
      </c>
      <c r="C232" t="b">
        <f t="shared" si="58"/>
        <v>0</v>
      </c>
      <c r="D232">
        <f>VLOOKUP(A232,variant_counts!A:B, 2, FALSE)</f>
        <v>3</v>
      </c>
      <c r="E232" t="str">
        <f t="shared" si="71"/>
        <v>zard-exhaust-high-mounted-silencer-triumph-tiger-800-penta-version-ztph504aar</v>
      </c>
      <c r="F232" t="str">
        <f t="shared" si="59"/>
        <v>ZARD EXHAUST HIGH MOUNTED SILENCER TRIUMPH TIGER 800 PENTA VERSION ZTPH504AAR</v>
      </c>
      <c r="G232" t="str">
        <f t="shared" si="60"/>
        <v/>
      </c>
      <c r="H232" t="str">
        <f t="shared" si="72"/>
        <v/>
      </c>
      <c r="I232" t="str">
        <f t="shared" si="73"/>
        <v/>
      </c>
      <c r="J232" t="str">
        <f t="shared" si="74"/>
        <v/>
      </c>
      <c r="K232" t="str">
        <f t="shared" si="75"/>
        <v/>
      </c>
      <c r="L232" t="str">
        <f t="shared" si="61"/>
        <v/>
      </c>
      <c r="M232" t="str">
        <f t="shared" si="62"/>
        <v/>
      </c>
      <c r="R232" t="str">
        <f t="shared" si="63"/>
        <v/>
      </c>
      <c r="S232" t="str">
        <f t="shared" si="64"/>
        <v/>
      </c>
      <c r="U232" t="str">
        <f t="shared" si="65"/>
        <v/>
      </c>
      <c r="V232" t="str">
        <f t="shared" si="66"/>
        <v/>
      </c>
      <c r="W232" s="5" t="str">
        <f t="shared" si="67"/>
        <v/>
      </c>
      <c r="Y232" t="str">
        <f t="shared" si="68"/>
        <v/>
      </c>
      <c r="Z232" t="str">
        <f t="shared" si="69"/>
        <v/>
      </c>
      <c r="AB232" t="str">
        <f t="shared" si="70"/>
        <v>https://shop.officineitalianezard.it/contents/imgs/products/1_229-1.jpg</v>
      </c>
      <c r="AE232" t="b">
        <v>0</v>
      </c>
    </row>
    <row r="233" spans="1:31" x14ac:dyDescent="0.2">
      <c r="A233" t="str">
        <f t="shared" si="57"/>
        <v>https://shop.officineitalianezard.it/en/high-mounting-penta-muffler/</v>
      </c>
      <c r="B233" t="b">
        <f>COUNTIF($A$2:$A233, A233)&gt;1</f>
        <v>1</v>
      </c>
      <c r="C233" t="b">
        <f t="shared" si="58"/>
        <v>0</v>
      </c>
      <c r="D233">
        <f>VLOOKUP(A233,variant_counts!A:B, 2, FALSE)</f>
        <v>3</v>
      </c>
      <c r="E233" t="str">
        <f t="shared" si="71"/>
        <v>zard-exhaust-high-mounted-silencer-triumph-tiger-800-penta-version-ztph504aar</v>
      </c>
      <c r="F233" t="str">
        <f t="shared" si="59"/>
        <v>ZARD EXHAUST HIGH MOUNTED SILENCER TRIUMPH TIGER 800 PENTA VERSION ZTPH504AAR</v>
      </c>
      <c r="G233" t="str">
        <f t="shared" si="60"/>
        <v/>
      </c>
      <c r="H233" t="str">
        <f t="shared" si="72"/>
        <v/>
      </c>
      <c r="I233" t="str">
        <f t="shared" si="73"/>
        <v/>
      </c>
      <c r="J233" t="str">
        <f t="shared" si="74"/>
        <v/>
      </c>
      <c r="K233" t="str">
        <f t="shared" si="75"/>
        <v/>
      </c>
      <c r="L233" t="str">
        <f t="shared" si="61"/>
        <v/>
      </c>
      <c r="M233" t="str">
        <f t="shared" si="62"/>
        <v/>
      </c>
      <c r="R233" t="str">
        <f t="shared" si="63"/>
        <v/>
      </c>
      <c r="S233" t="str">
        <f t="shared" si="64"/>
        <v/>
      </c>
      <c r="U233" t="str">
        <f t="shared" si="65"/>
        <v/>
      </c>
      <c r="V233" t="str">
        <f t="shared" si="66"/>
        <v/>
      </c>
      <c r="W233" s="5" t="str">
        <f t="shared" si="67"/>
        <v/>
      </c>
      <c r="Y233" t="str">
        <f t="shared" si="68"/>
        <v/>
      </c>
      <c r="Z233" t="str">
        <f t="shared" si="69"/>
        <v/>
      </c>
      <c r="AB233" t="str">
        <f t="shared" si="70"/>
        <v>https://shop.officineitalianezard.it/contents/imgs/products/1_230-3.jpg</v>
      </c>
      <c r="AE233" t="b">
        <v>0</v>
      </c>
    </row>
    <row r="234" spans="1:31" x14ac:dyDescent="0.2">
      <c r="A234" t="str">
        <f t="shared" si="57"/>
        <v>https://shop.officineitalianezard.it/en/high-mounting-penta-muffler/</v>
      </c>
      <c r="B234" t="b">
        <f>COUNTIF($A$2:$A234, A234)&gt;1</f>
        <v>1</v>
      </c>
      <c r="C234" t="b">
        <f t="shared" si="58"/>
        <v>1</v>
      </c>
      <c r="D234">
        <f>VLOOKUP(A234,variant_counts!A:B, 2, FALSE)</f>
        <v>3</v>
      </c>
      <c r="E234" t="str">
        <f t="shared" si="71"/>
        <v>zard-exhaust-high-mounted-silencer-triumph-tiger-800-penta-version-ztph504aar</v>
      </c>
      <c r="F234" t="str">
        <f t="shared" si="59"/>
        <v>ZARD EXHAUST HIGH MOUNTED SILENCER TRIUMPH TIGER 800 PENTA VERSION ZTPH504AAR</v>
      </c>
      <c r="G234" t="str">
        <f t="shared" si="60"/>
        <v/>
      </c>
      <c r="H234" t="str">
        <f t="shared" si="72"/>
        <v/>
      </c>
      <c r="I234" t="str">
        <f t="shared" si="73"/>
        <v/>
      </c>
      <c r="J234" t="str">
        <f t="shared" si="74"/>
        <v/>
      </c>
      <c r="K234" t="str">
        <f t="shared" si="75"/>
        <v/>
      </c>
      <c r="L234" t="str">
        <f t="shared" si="61"/>
        <v>Option</v>
      </c>
      <c r="M234" t="str">
        <f t="shared" si="62"/>
        <v>EURO 3 HOMOLOGATED</v>
      </c>
      <c r="R234" t="str">
        <f t="shared" si="63"/>
        <v>ZTPH504AAR</v>
      </c>
      <c r="S234">
        <f t="shared" si="64"/>
        <v>0</v>
      </c>
      <c r="U234" t="str">
        <f t="shared" si="65"/>
        <v>continue</v>
      </c>
      <c r="V234" t="str">
        <f t="shared" si="66"/>
        <v>manual</v>
      </c>
      <c r="W234" s="5">
        <f t="shared" si="67"/>
        <v>567.46530000000007</v>
      </c>
      <c r="Y234" t="b">
        <f t="shared" si="68"/>
        <v>1</v>
      </c>
      <c r="Z234" t="b">
        <f t="shared" si="69"/>
        <v>0</v>
      </c>
      <c r="AB234" t="str">
        <f t="shared" si="70"/>
        <v/>
      </c>
      <c r="AE234" t="b">
        <v>0</v>
      </c>
    </row>
    <row r="235" spans="1:31" x14ac:dyDescent="0.2">
      <c r="A235" t="str">
        <f t="shared" si="57"/>
        <v>https://shop.officineitalianezard.it/en/high-mounting-penta-muffler/</v>
      </c>
      <c r="B235" t="b">
        <f>COUNTIF($A$2:$A235, A235)&gt;1</f>
        <v>1</v>
      </c>
      <c r="C235" t="b">
        <f t="shared" si="58"/>
        <v>1</v>
      </c>
      <c r="D235">
        <f>VLOOKUP(A235,variant_counts!A:B, 2, FALSE)</f>
        <v>3</v>
      </c>
      <c r="E235" t="str">
        <f t="shared" si="71"/>
        <v>zard-exhaust-high-mounted-silencer-triumph-tiger-800-penta-version-ztph504aar</v>
      </c>
      <c r="F235" t="str">
        <f t="shared" si="59"/>
        <v>ZARD EXHAUST HIGH MOUNTED SILENCER TRIUMPH TIGER 800 PENTA VERSION ZTPH504AAR</v>
      </c>
      <c r="G235" t="str">
        <f t="shared" si="60"/>
        <v/>
      </c>
      <c r="H235" t="str">
        <f t="shared" si="72"/>
        <v/>
      </c>
      <c r="I235" t="str">
        <f t="shared" si="73"/>
        <v/>
      </c>
      <c r="J235" t="str">
        <f t="shared" si="74"/>
        <v/>
      </c>
      <c r="K235" t="str">
        <f t="shared" si="75"/>
        <v/>
      </c>
      <c r="L235" t="str">
        <f t="shared" si="61"/>
        <v>Option</v>
      </c>
      <c r="M235" t="str">
        <f t="shared" si="62"/>
        <v>STEEL-CARBON</v>
      </c>
      <c r="R235" t="str">
        <f t="shared" si="63"/>
        <v>ZTPH504AAR</v>
      </c>
      <c r="S235">
        <f t="shared" si="64"/>
        <v>0</v>
      </c>
      <c r="U235" t="str">
        <f t="shared" si="65"/>
        <v>continue</v>
      </c>
      <c r="V235" t="str">
        <f t="shared" si="66"/>
        <v>manual</v>
      </c>
      <c r="W235" s="5">
        <f t="shared" si="67"/>
        <v>579.74189999999999</v>
      </c>
      <c r="Y235" t="b">
        <f t="shared" si="68"/>
        <v>1</v>
      </c>
      <c r="Z235" t="b">
        <f t="shared" si="69"/>
        <v>0</v>
      </c>
      <c r="AB235" t="str">
        <f t="shared" si="70"/>
        <v/>
      </c>
      <c r="AE235" t="b">
        <v>0</v>
      </c>
    </row>
    <row r="236" spans="1:31" x14ac:dyDescent="0.2">
      <c r="A236" t="str">
        <f t="shared" si="57"/>
        <v>https://shop.officineitalianezard.it/en/high-mounting-penta-muffler/</v>
      </c>
      <c r="B236" t="b">
        <f>COUNTIF($A$2:$A236, A236)&gt;1</f>
        <v>1</v>
      </c>
      <c r="C236" t="b">
        <f t="shared" si="58"/>
        <v>1</v>
      </c>
      <c r="D236">
        <f>VLOOKUP(A236,variant_counts!A:B, 2, FALSE)</f>
        <v>3</v>
      </c>
      <c r="E236" t="str">
        <f t="shared" si="71"/>
        <v>zard-exhaust-high-mounted-silencer-triumph-tiger-800-penta-version-ztph504aar</v>
      </c>
      <c r="F236" t="str">
        <f t="shared" si="59"/>
        <v>ZARD EXHAUST HIGH MOUNTED SILENCER TRIUMPH TIGER 800 PENTA VERSION ZTPH504AAR</v>
      </c>
      <c r="G236" t="str">
        <f t="shared" si="60"/>
        <v/>
      </c>
      <c r="H236" t="str">
        <f t="shared" si="72"/>
        <v/>
      </c>
      <c r="I236" t="str">
        <f t="shared" si="73"/>
        <v/>
      </c>
      <c r="J236" t="str">
        <f t="shared" si="74"/>
        <v/>
      </c>
      <c r="K236" t="str">
        <f t="shared" si="75"/>
        <v/>
      </c>
      <c r="L236" t="str">
        <f t="shared" si="61"/>
        <v>Option</v>
      </c>
      <c r="M236" t="str">
        <f t="shared" si="62"/>
        <v>CARBON ENDCAP</v>
      </c>
      <c r="R236" t="str">
        <f t="shared" si="63"/>
        <v>ZTPH504AAR</v>
      </c>
      <c r="S236">
        <f t="shared" si="64"/>
        <v>0</v>
      </c>
      <c r="U236" t="str">
        <f t="shared" si="65"/>
        <v>continue</v>
      </c>
      <c r="V236" t="str">
        <f t="shared" si="66"/>
        <v>manual</v>
      </c>
      <c r="W236" s="5">
        <f t="shared" si="67"/>
        <v>557.63070000000005</v>
      </c>
      <c r="Y236" t="b">
        <f t="shared" si="68"/>
        <v>1</v>
      </c>
      <c r="Z236" t="b">
        <f t="shared" si="69"/>
        <v>0</v>
      </c>
      <c r="AB236" t="str">
        <f t="shared" si="70"/>
        <v/>
      </c>
      <c r="AE236" t="b">
        <v>0</v>
      </c>
    </row>
    <row r="237" spans="1:31" x14ac:dyDescent="0.2">
      <c r="A237" t="str">
        <f t="shared" si="57"/>
        <v>https://shop.officineitalianezard.it/en/products/index/triumph-thunderbird-zard-exhaust-7569-152/</v>
      </c>
      <c r="B237" t="b">
        <f>COUNTIF($A$2:$A237, A237)&gt;1</f>
        <v>0</v>
      </c>
      <c r="C237" t="b">
        <f t="shared" si="58"/>
        <v>0</v>
      </c>
      <c r="D237">
        <f>VLOOKUP(A237,variant_counts!A:B, 2, FALSE)</f>
        <v>3</v>
      </c>
      <c r="E237" t="str">
        <f t="shared" si="71"/>
        <v>zard-exhaust-silencers-triumph-thunderbird-2004-conical-version-ztph050ssr</v>
      </c>
      <c r="F237" t="str">
        <f t="shared" si="59"/>
        <v>ZARD EXHAUST SILENCERS TRIUMPH THUNDERBIRD 2004 CONICAL VERSION ZTPH050SSR</v>
      </c>
      <c r="G237" t="str">
        <f t="shared" si="60"/>
        <v>&lt;p&gt;STEEL RACING SILENCERS WITH REMOVABLE DB KILLER&lt;/p&gt;
&lt;p&gt;ZARD SILENCERS WEIGHT: 3,2KG (x 2)&lt;/p&gt;
&lt;p&gt;HARD INCREASE, COMPARED TO THE ORIGINAL EXHAUST SYSTEM, IN TERMS OF TORQUE AND POWER AT ANY RANGE.&lt;/p&gt;
&lt;p&gt;ASTONISHING SOUND.&lt;/p&gt;
&lt;p&gt;N.B. PHOTOGRAPHS SHOWS MIRROR POLISHING VERSION&amp;nbsp;&lt;/p&gt;</v>
      </c>
      <c r="H237" t="str">
        <f t="shared" si="72"/>
        <v>ZARD</v>
      </c>
      <c r="I237" t="str">
        <f t="shared" si="73"/>
        <v>Exhaust Pipe</v>
      </c>
      <c r="J237" t="str">
        <f t="shared" si="74"/>
        <v>Test</v>
      </c>
      <c r="K237" t="b">
        <f t="shared" si="75"/>
        <v>0</v>
      </c>
      <c r="L237" t="str">
        <f t="shared" si="61"/>
        <v/>
      </c>
      <c r="M237" t="str">
        <f t="shared" si="62"/>
        <v/>
      </c>
      <c r="R237" t="str">
        <f t="shared" si="63"/>
        <v/>
      </c>
      <c r="S237" t="str">
        <f t="shared" si="64"/>
        <v/>
      </c>
      <c r="U237" t="str">
        <f t="shared" si="65"/>
        <v/>
      </c>
      <c r="V237" t="str">
        <f t="shared" si="66"/>
        <v/>
      </c>
      <c r="W237" s="5" t="str">
        <f t="shared" si="67"/>
        <v/>
      </c>
      <c r="Y237" t="str">
        <f t="shared" si="68"/>
        <v/>
      </c>
      <c r="Z237" t="str">
        <f t="shared" si="69"/>
        <v/>
      </c>
      <c r="AB237" t="str">
        <f t="shared" si="70"/>
        <v>https://shop.officineitalianezard.it/contents/imgs/products/1_1034-triumph%20thunderbird%20zard1.jpg</v>
      </c>
      <c r="AE237" t="b">
        <v>0</v>
      </c>
    </row>
    <row r="238" spans="1:31" x14ac:dyDescent="0.2">
      <c r="A238" t="str">
        <f t="shared" si="57"/>
        <v>https://shop.officineitalianezard.it/en/products/index/triumph-thunderbird-zard-exhaust-7569-152/</v>
      </c>
      <c r="B238" t="b">
        <f>COUNTIF($A$2:$A238, A238)&gt;1</f>
        <v>1</v>
      </c>
      <c r="C238" t="b">
        <f t="shared" si="58"/>
        <v>0</v>
      </c>
      <c r="D238">
        <f>VLOOKUP(A238,variant_counts!A:B, 2, FALSE)</f>
        <v>3</v>
      </c>
      <c r="E238" t="str">
        <f t="shared" si="71"/>
        <v>zard-exhaust-silencers-triumph-thunderbird-2004-conical-version-ztph050ssr</v>
      </c>
      <c r="F238" t="str">
        <f t="shared" si="59"/>
        <v>ZARD EXHAUST SILENCERS TRIUMPH THUNDERBIRD 2004 CONICAL VERSION ZTPH050SSR</v>
      </c>
      <c r="G238" t="str">
        <f t="shared" si="60"/>
        <v/>
      </c>
      <c r="H238" t="str">
        <f t="shared" si="72"/>
        <v/>
      </c>
      <c r="I238" t="str">
        <f t="shared" si="73"/>
        <v/>
      </c>
      <c r="J238" t="str">
        <f t="shared" si="74"/>
        <v/>
      </c>
      <c r="K238" t="str">
        <f t="shared" si="75"/>
        <v/>
      </c>
      <c r="L238" t="str">
        <f t="shared" si="61"/>
        <v/>
      </c>
      <c r="M238" t="str">
        <f t="shared" si="62"/>
        <v/>
      </c>
      <c r="R238" t="str">
        <f t="shared" si="63"/>
        <v/>
      </c>
      <c r="S238" t="str">
        <f t="shared" si="64"/>
        <v/>
      </c>
      <c r="U238" t="str">
        <f t="shared" si="65"/>
        <v/>
      </c>
      <c r="V238" t="str">
        <f t="shared" si="66"/>
        <v/>
      </c>
      <c r="W238" s="5" t="str">
        <f t="shared" si="67"/>
        <v/>
      </c>
      <c r="Y238" t="str">
        <f t="shared" si="68"/>
        <v/>
      </c>
      <c r="Z238" t="str">
        <f t="shared" si="69"/>
        <v/>
      </c>
      <c r="AB238" t="str">
        <f t="shared" si="70"/>
        <v>https://shop.officineitalianezard.it/contents/imgs/products/1_1036-triumph%20thunderbird%20zard2.jpg</v>
      </c>
      <c r="AE238" t="b">
        <v>0</v>
      </c>
    </row>
    <row r="239" spans="1:31" x14ac:dyDescent="0.2">
      <c r="A239" t="str">
        <f t="shared" si="57"/>
        <v>https://shop.officineitalianezard.it/en/products/index/triumph-thunderbird-zard-exhaust-7569-152/</v>
      </c>
      <c r="B239" t="b">
        <f>COUNTIF($A$2:$A239, A239)&gt;1</f>
        <v>1</v>
      </c>
      <c r="C239" t="b">
        <f t="shared" si="58"/>
        <v>0</v>
      </c>
      <c r="D239">
        <f>VLOOKUP(A239,variant_counts!A:B, 2, FALSE)</f>
        <v>3</v>
      </c>
      <c r="E239" t="str">
        <f t="shared" si="71"/>
        <v>zard-exhaust-silencers-triumph-thunderbird-2004-conical-version-ztph050ssr</v>
      </c>
      <c r="F239" t="str">
        <f t="shared" si="59"/>
        <v>ZARD EXHAUST SILENCERS TRIUMPH THUNDERBIRD 2004 CONICAL VERSION ZTPH050SSR</v>
      </c>
      <c r="G239" t="str">
        <f t="shared" si="60"/>
        <v/>
      </c>
      <c r="H239" t="str">
        <f t="shared" si="72"/>
        <v/>
      </c>
      <c r="I239" t="str">
        <f t="shared" si="73"/>
        <v/>
      </c>
      <c r="J239" t="str">
        <f t="shared" si="74"/>
        <v/>
      </c>
      <c r="K239" t="str">
        <f t="shared" si="75"/>
        <v/>
      </c>
      <c r="L239" t="str">
        <f t="shared" si="61"/>
        <v/>
      </c>
      <c r="M239" t="str">
        <f t="shared" si="62"/>
        <v/>
      </c>
      <c r="R239" t="str">
        <f t="shared" si="63"/>
        <v/>
      </c>
      <c r="S239" t="str">
        <f t="shared" si="64"/>
        <v/>
      </c>
      <c r="U239" t="str">
        <f t="shared" si="65"/>
        <v/>
      </c>
      <c r="V239" t="str">
        <f t="shared" si="66"/>
        <v/>
      </c>
      <c r="W239" s="5" t="str">
        <f t="shared" si="67"/>
        <v/>
      </c>
      <c r="Y239" t="str">
        <f t="shared" si="68"/>
        <v/>
      </c>
      <c r="Z239" t="str">
        <f t="shared" si="69"/>
        <v/>
      </c>
      <c r="AB239" t="str">
        <f t="shared" si="70"/>
        <v>https://shop.officineitalianezard.it/contents/imgs/products/1_1035-triumph%20thunderbird%20zard3.jpg</v>
      </c>
      <c r="AE239" t="b">
        <v>0</v>
      </c>
    </row>
    <row r="240" spans="1:31" x14ac:dyDescent="0.2">
      <c r="A240" t="str">
        <f t="shared" si="57"/>
        <v>https://shop.officineitalianezard.it/en/products/index/triumph-thunderbird-zard-exhaust-7569-152/</v>
      </c>
      <c r="B240" t="b">
        <f>COUNTIF($A$2:$A240, A240)&gt;1</f>
        <v>1</v>
      </c>
      <c r="C240" t="b">
        <f t="shared" si="58"/>
        <v>1</v>
      </c>
      <c r="D240">
        <f>VLOOKUP(A240,variant_counts!A:B, 2, FALSE)</f>
        <v>3</v>
      </c>
      <c r="E240" t="str">
        <f t="shared" si="71"/>
        <v>zard-exhaust-silencers-triumph-thunderbird-2004-conical-version-ztph050ssr</v>
      </c>
      <c r="F240" t="str">
        <f t="shared" si="59"/>
        <v>ZARD EXHAUST SILENCERS TRIUMPH THUNDERBIRD 2004 CONICAL VERSION ZTPH050SSR</v>
      </c>
      <c r="G240" t="str">
        <f t="shared" si="60"/>
        <v/>
      </c>
      <c r="H240" t="str">
        <f t="shared" si="72"/>
        <v/>
      </c>
      <c r="I240" t="str">
        <f t="shared" si="73"/>
        <v/>
      </c>
      <c r="J240" t="str">
        <f t="shared" si="74"/>
        <v/>
      </c>
      <c r="K240" t="str">
        <f t="shared" si="75"/>
        <v/>
      </c>
      <c r="L240" t="str">
        <f t="shared" si="61"/>
        <v>Option</v>
      </c>
      <c r="M240" t="str">
        <f t="shared" si="62"/>
        <v>EURO 3 HOMOLOGATED</v>
      </c>
      <c r="R240" t="str">
        <f t="shared" si="63"/>
        <v>ZTPH050SSR</v>
      </c>
      <c r="S240">
        <f t="shared" si="64"/>
        <v>0</v>
      </c>
      <c r="U240" t="str">
        <f t="shared" si="65"/>
        <v>continue</v>
      </c>
      <c r="V240" t="str">
        <f t="shared" si="66"/>
        <v>manual</v>
      </c>
      <c r="W240" s="5">
        <f t="shared" si="67"/>
        <v>679.47540000000004</v>
      </c>
      <c r="Y240" t="b">
        <f t="shared" si="68"/>
        <v>1</v>
      </c>
      <c r="Z240" t="b">
        <f t="shared" si="69"/>
        <v>0</v>
      </c>
      <c r="AB240" t="str">
        <f t="shared" si="70"/>
        <v/>
      </c>
      <c r="AE240" t="b">
        <v>0</v>
      </c>
    </row>
    <row r="241" spans="1:31" x14ac:dyDescent="0.2">
      <c r="A241" t="str">
        <f t="shared" si="57"/>
        <v>https://shop.officineitalianezard.it/en/products/index/triumph-thunderbird-zard-exhaust-7569-152/</v>
      </c>
      <c r="B241" t="b">
        <f>COUNTIF($A$2:$A241, A241)&gt;1</f>
        <v>1</v>
      </c>
      <c r="C241" t="b">
        <f t="shared" si="58"/>
        <v>1</v>
      </c>
      <c r="D241">
        <f>VLOOKUP(A241,variant_counts!A:B, 2, FALSE)</f>
        <v>3</v>
      </c>
      <c r="E241" t="str">
        <f t="shared" si="71"/>
        <v>zard-exhaust-silencers-triumph-thunderbird-2004-conical-version-ztph050ssr</v>
      </c>
      <c r="F241" t="str">
        <f t="shared" si="59"/>
        <v>ZARD EXHAUST SILENCERS TRIUMPH THUNDERBIRD 2004 CONICAL VERSION ZTPH050SSR</v>
      </c>
      <c r="G241" t="str">
        <f t="shared" si="60"/>
        <v/>
      </c>
      <c r="H241" t="str">
        <f t="shared" si="72"/>
        <v/>
      </c>
      <c r="I241" t="str">
        <f t="shared" si="73"/>
        <v/>
      </c>
      <c r="J241" t="str">
        <f t="shared" si="74"/>
        <v/>
      </c>
      <c r="K241" t="str">
        <f t="shared" si="75"/>
        <v/>
      </c>
      <c r="L241" t="str">
        <f t="shared" si="61"/>
        <v>Option</v>
      </c>
      <c r="M241" t="str">
        <f t="shared" si="62"/>
        <v>BLACK COATING</v>
      </c>
      <c r="R241" t="str">
        <f t="shared" si="63"/>
        <v>ZTPH050SSR</v>
      </c>
      <c r="S241">
        <f t="shared" si="64"/>
        <v>0</v>
      </c>
      <c r="U241" t="str">
        <f t="shared" si="65"/>
        <v>continue</v>
      </c>
      <c r="V241" t="str">
        <f t="shared" si="66"/>
        <v>manual</v>
      </c>
      <c r="W241" s="5">
        <f t="shared" si="67"/>
        <v>767.08770000000004</v>
      </c>
      <c r="Y241" t="b">
        <f t="shared" si="68"/>
        <v>1</v>
      </c>
      <c r="Z241" t="b">
        <f t="shared" si="69"/>
        <v>0</v>
      </c>
      <c r="AB241" t="str">
        <f t="shared" si="70"/>
        <v/>
      </c>
      <c r="AE241" t="b">
        <v>0</v>
      </c>
    </row>
    <row r="242" spans="1:31" x14ac:dyDescent="0.2">
      <c r="A242" t="str">
        <f t="shared" si="57"/>
        <v>https://shop.officineitalianezard.it/en/products/index/triumph-thunderbird-zard-exhaust-7569-152/</v>
      </c>
      <c r="B242" t="b">
        <f>COUNTIF($A$2:$A242, A242)&gt;1</f>
        <v>1</v>
      </c>
      <c r="C242" t="b">
        <f t="shared" si="58"/>
        <v>1</v>
      </c>
      <c r="D242">
        <f>VLOOKUP(A242,variant_counts!A:B, 2, FALSE)</f>
        <v>3</v>
      </c>
      <c r="E242" t="str">
        <f t="shared" si="71"/>
        <v>zard-exhaust-silencers-triumph-thunderbird-2004-conical-version-ztph050ssr</v>
      </c>
      <c r="F242" t="str">
        <f t="shared" si="59"/>
        <v>ZARD EXHAUST SILENCERS TRIUMPH THUNDERBIRD 2004 CONICAL VERSION ZTPH050SSR</v>
      </c>
      <c r="G242" t="str">
        <f t="shared" si="60"/>
        <v/>
      </c>
      <c r="H242" t="str">
        <f t="shared" si="72"/>
        <v/>
      </c>
      <c r="I242" t="str">
        <f t="shared" si="73"/>
        <v/>
      </c>
      <c r="J242" t="str">
        <f t="shared" si="74"/>
        <v/>
      </c>
      <c r="K242" t="str">
        <f t="shared" si="75"/>
        <v/>
      </c>
      <c r="L242" t="str">
        <f t="shared" si="61"/>
        <v>Option</v>
      </c>
      <c r="M242" t="str">
        <f t="shared" si="62"/>
        <v>MIRROR POLISHING</v>
      </c>
      <c r="R242" t="str">
        <f t="shared" si="63"/>
        <v>ZTPH050SSR</v>
      </c>
      <c r="S242">
        <f t="shared" si="64"/>
        <v>0</v>
      </c>
      <c r="U242" t="str">
        <f t="shared" si="65"/>
        <v>continue</v>
      </c>
      <c r="V242" t="str">
        <f t="shared" si="66"/>
        <v>manual</v>
      </c>
      <c r="W242" s="5">
        <f t="shared" si="67"/>
        <v>706.4928000000001</v>
      </c>
      <c r="Y242" t="b">
        <f t="shared" si="68"/>
        <v>1</v>
      </c>
      <c r="Z242" t="b">
        <f t="shared" si="69"/>
        <v>0</v>
      </c>
      <c r="AB242" t="str">
        <f t="shared" si="70"/>
        <v/>
      </c>
      <c r="AE242" t="b">
        <v>0</v>
      </c>
    </row>
    <row r="243" spans="1:31" x14ac:dyDescent="0.2">
      <c r="A243" t="str">
        <f t="shared" si="57"/>
        <v>https://shop.officineitalianezard.it/en/decatalyzer-kit-for-triumph-bonneville-t120-thruxton-r-street-twin-speed-twin-zard/</v>
      </c>
      <c r="B243" t="b">
        <f>COUNTIF($A$2:$A243, A243)&gt;1</f>
        <v>0</v>
      </c>
      <c r="C243" t="b">
        <f t="shared" si="58"/>
        <v>0</v>
      </c>
      <c r="D243">
        <f>VLOOKUP(A243,variant_counts!A:B, 2, FALSE)</f>
        <v>1</v>
      </c>
      <c r="E243" t="str">
        <f t="shared" si="71"/>
        <v>zard-exhaust-decatalyzer-kit-triumph-speed-twin-my-2018-19-steel-racing-ztph066scr</v>
      </c>
      <c r="F243" t="str">
        <f t="shared" si="59"/>
        <v>ZARD EXHAUST DECATALYZER KIT TRIUMPH SPEED TWIN M.Y. 2018-19 STEEL RACING ZTPH066SCR</v>
      </c>
      <c r="G243" t="str">
        <f t="shared" si="60"/>
        <v>&lt;p&gt;STEEL RACING DECATALYZER KIT&lt;/p&gt;
&lt;p&gt;&lt;strong&gt;COMPATIBILITY MODEL:&lt;/strong&gt;&lt;/p&gt;
&lt;p&gt;TRIUMPH BONNEVILLE T120, THRUXTON R, STREET TWIN, SPEED TWIN.&lt;/p&gt;
&lt;p&gt;ZARD DECATALYZER KEEPS OEM CRANKCASE/HEAT SHIELD AND KIT CAN BE FITTED ALSO ON ORIGINAL EXHAUST.&lt;/p&gt;</v>
      </c>
      <c r="H243" t="str">
        <f t="shared" si="72"/>
        <v>ZARD</v>
      </c>
      <c r="I243" t="str">
        <f t="shared" si="73"/>
        <v>Exhaust Pipe</v>
      </c>
      <c r="J243" t="str">
        <f t="shared" si="74"/>
        <v>Test</v>
      </c>
      <c r="K243" t="b">
        <f t="shared" si="75"/>
        <v>0</v>
      </c>
      <c r="L243" t="str">
        <f t="shared" si="61"/>
        <v>Option</v>
      </c>
      <c r="M243" t="str">
        <f t="shared" si="62"/>
        <v>DEFAULT</v>
      </c>
      <c r="R243" t="str">
        <f t="shared" si="63"/>
        <v>ZTPH066SCR</v>
      </c>
      <c r="S243">
        <f t="shared" si="64"/>
        <v>0</v>
      </c>
      <c r="U243" t="str">
        <f t="shared" si="65"/>
        <v>continue</v>
      </c>
      <c r="V243" t="str">
        <f t="shared" si="66"/>
        <v>manual</v>
      </c>
      <c r="W243" s="5">
        <f t="shared" si="67"/>
        <v>246.5643</v>
      </c>
      <c r="Y243" t="b">
        <f t="shared" si="68"/>
        <v>1</v>
      </c>
      <c r="Z243" t="b">
        <f t="shared" si="69"/>
        <v>0</v>
      </c>
      <c r="AB243" t="str">
        <f t="shared" si="70"/>
        <v>https://shop.officineitalianezard.it/contents/imgs/products/1_2373-farfalla%20zard.jpg</v>
      </c>
      <c r="AE243" t="b">
        <v>0</v>
      </c>
    </row>
    <row r="244" spans="1:31" x14ac:dyDescent="0.2">
      <c r="A244" t="str">
        <f t="shared" si="57"/>
        <v>https://shop.officineitalianezard.it/en/decatalyzer-kit-for-triumph-bonneville-t120-thruxton-r-street-twin-speed-twin-zard/</v>
      </c>
      <c r="B244" t="b">
        <f>COUNTIF($A$2:$A244, A244)&gt;1</f>
        <v>1</v>
      </c>
      <c r="C244" t="b">
        <f t="shared" si="58"/>
        <v>1</v>
      </c>
      <c r="D244">
        <f>VLOOKUP(A244,variant_counts!A:B, 2, FALSE)</f>
        <v>1</v>
      </c>
      <c r="E244" t="str">
        <f t="shared" si="71"/>
        <v>zard-exhaust-decatalyzer-kit-triumph-speed-twin-my-2018-19-steel-racing-ztph066scr</v>
      </c>
      <c r="F244" t="str">
        <f t="shared" si="59"/>
        <v>ZARD EXHAUST DECATALYZER KIT TRIUMPH SPEED TWIN M.Y. 2018-19 STEEL RACING ZTPH066SCR</v>
      </c>
      <c r="G244" t="str">
        <f t="shared" si="60"/>
        <v/>
      </c>
      <c r="H244" t="str">
        <f t="shared" si="72"/>
        <v/>
      </c>
      <c r="I244" t="str">
        <f t="shared" si="73"/>
        <v/>
      </c>
      <c r="J244" t="str">
        <f t="shared" si="74"/>
        <v/>
      </c>
      <c r="K244" t="str">
        <f t="shared" si="75"/>
        <v/>
      </c>
      <c r="L244" t="str">
        <f t="shared" si="61"/>
        <v>Option</v>
      </c>
      <c r="M244" t="str">
        <f t="shared" si="62"/>
        <v>BLACK COATING</v>
      </c>
      <c r="R244" t="str">
        <f t="shared" si="63"/>
        <v>ZTPH066SCR</v>
      </c>
      <c r="S244">
        <f t="shared" si="64"/>
        <v>0</v>
      </c>
      <c r="U244" t="str">
        <f t="shared" si="65"/>
        <v>continue</v>
      </c>
      <c r="V244" t="str">
        <f t="shared" si="66"/>
        <v>manual</v>
      </c>
      <c r="W244" s="5">
        <f t="shared" si="67"/>
        <v>315.35100000000006</v>
      </c>
      <c r="Y244" t="b">
        <f t="shared" si="68"/>
        <v>1</v>
      </c>
      <c r="Z244" t="b">
        <f t="shared" si="69"/>
        <v>0</v>
      </c>
      <c r="AB244" t="str">
        <f t="shared" si="70"/>
        <v/>
      </c>
      <c r="AE244" t="b">
        <v>0</v>
      </c>
    </row>
    <row r="245" spans="1:31" x14ac:dyDescent="0.2">
      <c r="A245" t="str">
        <f t="shared" si="57"/>
        <v>https://shop.officineitalianezard.it/en/triumph-thruxton-r-exhaust-zard/</v>
      </c>
      <c r="B245" t="b">
        <f>COUNTIF($A$2:$A245, A245)&gt;1</f>
        <v>0</v>
      </c>
      <c r="C245" t="b">
        <f t="shared" si="58"/>
        <v>0</v>
      </c>
      <c r="D245">
        <f>VLOOKUP(A245,variant_counts!A:B, 2, FALSE)</f>
        <v>3</v>
      </c>
      <c r="E245" t="str">
        <f t="shared" si="71"/>
        <v>zard-exhaust-n-2-silencers-triumph-thruxton-r-conical-version-ztph068ssr</v>
      </c>
      <c r="F245" t="str">
        <f t="shared" si="59"/>
        <v>ZARD EXHAUST N. 2 SILENCERS TRIUMPH THRUXTON R CONICAL VERSION ZTPH068SSR</v>
      </c>
      <c r="G245" t="str">
        <f t="shared" si="60"/>
        <v>&lt;p&gt;N. 2 STEEL RACING SILENCERS WITH REMOVABLE DBKILLERS&lt;/p&gt;
&lt;p&gt;ORIGINAL SILENCERS WEIGHT: 6.2 KG&lt;br&gt;ZARD SILENCERS WEIGHT: 3 KG&lt;/p&gt;
&lt;p&gt;ASTONISHING SOUND,&amp;nbsp;EXCLUSIVE DESIGN.&lt;/p&gt;
&lt;p&gt;FITTING KIT INCLUDED.&lt;/p&gt;
&lt;p&gt;&lt;strong&gt;NOTICE&lt;/strong&gt;: TITANIUM VERSION HAS GOLD END CAPS AS STANDARD&lt;/p&gt;
&lt;p&gt;&lt;/p&gt;
&lt;p&gt;&lt;/p&gt;</v>
      </c>
      <c r="H245" t="str">
        <f t="shared" si="72"/>
        <v>ZARD</v>
      </c>
      <c r="I245" t="str">
        <f t="shared" si="73"/>
        <v>Exhaust Pipe</v>
      </c>
      <c r="J245" t="str">
        <f t="shared" si="74"/>
        <v>Test</v>
      </c>
      <c r="K245" t="b">
        <f t="shared" si="75"/>
        <v>0</v>
      </c>
      <c r="L245" t="str">
        <f t="shared" si="61"/>
        <v/>
      </c>
      <c r="M245" t="str">
        <f t="shared" si="62"/>
        <v/>
      </c>
      <c r="R245" t="str">
        <f t="shared" si="63"/>
        <v/>
      </c>
      <c r="S245" t="str">
        <f t="shared" si="64"/>
        <v/>
      </c>
      <c r="U245" t="str">
        <f t="shared" si="65"/>
        <v/>
      </c>
      <c r="V245" t="str">
        <f t="shared" si="66"/>
        <v/>
      </c>
      <c r="W245" s="5" t="str">
        <f t="shared" si="67"/>
        <v/>
      </c>
      <c r="Y245" t="str">
        <f t="shared" si="68"/>
        <v/>
      </c>
      <c r="Z245" t="str">
        <f t="shared" si="69"/>
        <v/>
      </c>
      <c r="AB245" t="str">
        <f t="shared" si="70"/>
        <v>https://shop.officineitalianezard.it/contents/imgs/products/1_1519-1.jpg</v>
      </c>
      <c r="AE245" t="b">
        <v>0</v>
      </c>
    </row>
    <row r="246" spans="1:31" x14ac:dyDescent="0.2">
      <c r="A246" t="str">
        <f t="shared" si="57"/>
        <v>https://shop.officineitalianezard.it/en/triumph-thruxton-r-exhaust-zard/</v>
      </c>
      <c r="B246" t="b">
        <f>COUNTIF($A$2:$A246, A246)&gt;1</f>
        <v>1</v>
      </c>
      <c r="C246" t="b">
        <f t="shared" si="58"/>
        <v>0</v>
      </c>
      <c r="D246">
        <f>VLOOKUP(A246,variant_counts!A:B, 2, FALSE)</f>
        <v>3</v>
      </c>
      <c r="E246" t="str">
        <f t="shared" si="71"/>
        <v>zard-exhaust-n-2-silencers-triumph-thruxton-r-conical-version-ztph068ssr</v>
      </c>
      <c r="F246" t="str">
        <f t="shared" si="59"/>
        <v>ZARD EXHAUST N. 2 SILENCERS TRIUMPH THRUXTON R CONICAL VERSION ZTPH068SSR</v>
      </c>
      <c r="G246" t="str">
        <f t="shared" si="60"/>
        <v/>
      </c>
      <c r="H246" t="str">
        <f t="shared" si="72"/>
        <v/>
      </c>
      <c r="I246" t="str">
        <f t="shared" si="73"/>
        <v/>
      </c>
      <c r="J246" t="str">
        <f t="shared" si="74"/>
        <v/>
      </c>
      <c r="K246" t="str">
        <f t="shared" si="75"/>
        <v/>
      </c>
      <c r="L246" t="str">
        <f t="shared" si="61"/>
        <v/>
      </c>
      <c r="M246" t="str">
        <f t="shared" si="62"/>
        <v/>
      </c>
      <c r="R246" t="str">
        <f t="shared" si="63"/>
        <v/>
      </c>
      <c r="S246" t="str">
        <f t="shared" si="64"/>
        <v/>
      </c>
      <c r="U246" t="str">
        <f t="shared" si="65"/>
        <v/>
      </c>
      <c r="V246" t="str">
        <f t="shared" si="66"/>
        <v/>
      </c>
      <c r="W246" s="5" t="str">
        <f t="shared" si="67"/>
        <v/>
      </c>
      <c r="Y246" t="str">
        <f t="shared" si="68"/>
        <v/>
      </c>
      <c r="Z246" t="str">
        <f t="shared" si="69"/>
        <v/>
      </c>
      <c r="AB246" t="str">
        <f t="shared" si="70"/>
        <v>https://shop.officineitalianezard.it/contents/imgs/products/1_1520-2.jpg</v>
      </c>
      <c r="AE246" t="b">
        <v>0</v>
      </c>
    </row>
    <row r="247" spans="1:31" x14ac:dyDescent="0.2">
      <c r="A247" t="str">
        <f t="shared" si="57"/>
        <v>https://shop.officineitalianezard.it/en/triumph-thruxton-r-exhaust-zard/</v>
      </c>
      <c r="B247" t="b">
        <f>COUNTIF($A$2:$A247, A247)&gt;1</f>
        <v>1</v>
      </c>
      <c r="C247" t="b">
        <f t="shared" si="58"/>
        <v>0</v>
      </c>
      <c r="D247">
        <f>VLOOKUP(A247,variant_counts!A:B, 2, FALSE)</f>
        <v>3</v>
      </c>
      <c r="E247" t="str">
        <f t="shared" si="71"/>
        <v>zard-exhaust-n-2-silencers-triumph-thruxton-r-conical-version-ztph068ssr</v>
      </c>
      <c r="F247" t="str">
        <f t="shared" si="59"/>
        <v>ZARD EXHAUST N. 2 SILENCERS TRIUMPH THRUXTON R CONICAL VERSION ZTPH068SSR</v>
      </c>
      <c r="G247" t="str">
        <f t="shared" si="60"/>
        <v/>
      </c>
      <c r="H247" t="str">
        <f t="shared" si="72"/>
        <v/>
      </c>
      <c r="I247" t="str">
        <f t="shared" si="73"/>
        <v/>
      </c>
      <c r="J247" t="str">
        <f t="shared" si="74"/>
        <v/>
      </c>
      <c r="K247" t="str">
        <f t="shared" si="75"/>
        <v/>
      </c>
      <c r="L247" t="str">
        <f t="shared" si="61"/>
        <v/>
      </c>
      <c r="M247" t="str">
        <f t="shared" si="62"/>
        <v/>
      </c>
      <c r="R247" t="str">
        <f t="shared" si="63"/>
        <v/>
      </c>
      <c r="S247" t="str">
        <f t="shared" si="64"/>
        <v/>
      </c>
      <c r="U247" t="str">
        <f t="shared" si="65"/>
        <v/>
      </c>
      <c r="V247" t="str">
        <f t="shared" si="66"/>
        <v/>
      </c>
      <c r="W247" s="5" t="str">
        <f t="shared" si="67"/>
        <v/>
      </c>
      <c r="Y247" t="str">
        <f t="shared" si="68"/>
        <v/>
      </c>
      <c r="Z247" t="str">
        <f t="shared" si="69"/>
        <v/>
      </c>
      <c r="AB247" t="str">
        <f t="shared" si="70"/>
        <v>https://shop.officineitalianezard.it/contents/imgs/products/1_1521-3.jpg</v>
      </c>
      <c r="AE247" t="b">
        <v>0</v>
      </c>
    </row>
    <row r="248" spans="1:31" x14ac:dyDescent="0.2">
      <c r="A248" t="str">
        <f t="shared" si="57"/>
        <v>https://shop.officineitalianezard.it/en/triumph-thruxton-r-exhaust-zard/</v>
      </c>
      <c r="B248" t="b">
        <f>COUNTIF($A$2:$A248, A248)&gt;1</f>
        <v>1</v>
      </c>
      <c r="C248" t="b">
        <f t="shared" si="58"/>
        <v>0</v>
      </c>
      <c r="D248">
        <f>VLOOKUP(A248,variant_counts!A:B, 2, FALSE)</f>
        <v>3</v>
      </c>
      <c r="E248" t="str">
        <f t="shared" si="71"/>
        <v>zard-exhaust-n-2-silencers-triumph-thruxton-r-conical-version-ztph068ssr</v>
      </c>
      <c r="F248" t="str">
        <f t="shared" si="59"/>
        <v>ZARD EXHAUST N. 2 SILENCERS TRIUMPH THRUXTON R CONICAL VERSION ZTPH068SSR</v>
      </c>
      <c r="G248" t="str">
        <f t="shared" si="60"/>
        <v/>
      </c>
      <c r="H248" t="str">
        <f t="shared" si="72"/>
        <v/>
      </c>
      <c r="I248" t="str">
        <f t="shared" si="73"/>
        <v/>
      </c>
      <c r="J248" t="str">
        <f t="shared" si="74"/>
        <v/>
      </c>
      <c r="K248" t="str">
        <f t="shared" si="75"/>
        <v/>
      </c>
      <c r="L248" t="str">
        <f t="shared" si="61"/>
        <v/>
      </c>
      <c r="M248" t="str">
        <f t="shared" si="62"/>
        <v/>
      </c>
      <c r="R248" t="str">
        <f t="shared" si="63"/>
        <v/>
      </c>
      <c r="S248" t="str">
        <f t="shared" si="64"/>
        <v/>
      </c>
      <c r="U248" t="str">
        <f t="shared" si="65"/>
        <v/>
      </c>
      <c r="V248" t="str">
        <f t="shared" si="66"/>
        <v/>
      </c>
      <c r="W248" s="5" t="str">
        <f t="shared" si="67"/>
        <v/>
      </c>
      <c r="Y248" t="str">
        <f t="shared" si="68"/>
        <v/>
      </c>
      <c r="Z248" t="str">
        <f t="shared" si="69"/>
        <v/>
      </c>
      <c r="AB248" t="str">
        <f t="shared" si="70"/>
        <v>https://shop.officineitalianezard.it/contents/imgs/products/1_2027-scarico%20thruxton%20r.jpg</v>
      </c>
      <c r="AE248" t="b">
        <v>0</v>
      </c>
    </row>
    <row r="249" spans="1:31" x14ac:dyDescent="0.2">
      <c r="A249" t="str">
        <f t="shared" si="57"/>
        <v>https://shop.officineitalianezard.it/en/triumph-thruxton-r-exhaust-zard/</v>
      </c>
      <c r="B249" t="b">
        <f>COUNTIF($A$2:$A249, A249)&gt;1</f>
        <v>1</v>
      </c>
      <c r="C249" t="b">
        <f t="shared" si="58"/>
        <v>0</v>
      </c>
      <c r="D249">
        <f>VLOOKUP(A249,variant_counts!A:B, 2, FALSE)</f>
        <v>3</v>
      </c>
      <c r="E249" t="str">
        <f t="shared" si="71"/>
        <v>zard-exhaust-n-2-silencers-triumph-thruxton-r-conical-version-ztph068ssr</v>
      </c>
      <c r="F249" t="str">
        <f t="shared" si="59"/>
        <v>ZARD EXHAUST N. 2 SILENCERS TRIUMPH THRUXTON R CONICAL VERSION ZTPH068SSR</v>
      </c>
      <c r="G249" t="str">
        <f t="shared" si="60"/>
        <v/>
      </c>
      <c r="H249" t="str">
        <f t="shared" si="72"/>
        <v/>
      </c>
      <c r="I249" t="str">
        <f t="shared" si="73"/>
        <v/>
      </c>
      <c r="J249" t="str">
        <f t="shared" si="74"/>
        <v/>
      </c>
      <c r="K249" t="str">
        <f t="shared" si="75"/>
        <v/>
      </c>
      <c r="L249" t="str">
        <f t="shared" si="61"/>
        <v/>
      </c>
      <c r="M249" t="str">
        <f t="shared" si="62"/>
        <v/>
      </c>
      <c r="R249" t="str">
        <f t="shared" si="63"/>
        <v/>
      </c>
      <c r="S249" t="str">
        <f t="shared" si="64"/>
        <v/>
      </c>
      <c r="U249" t="str">
        <f t="shared" si="65"/>
        <v/>
      </c>
      <c r="V249" t="str">
        <f t="shared" si="66"/>
        <v/>
      </c>
      <c r="W249" s="5" t="str">
        <f t="shared" si="67"/>
        <v/>
      </c>
      <c r="Y249" t="str">
        <f t="shared" si="68"/>
        <v/>
      </c>
      <c r="Z249" t="str">
        <f t="shared" si="69"/>
        <v/>
      </c>
      <c r="AB249" t="str">
        <f t="shared" si="70"/>
        <v>https://shop.officineitalianezard.it/contents/imgs/products/1_1560-decatalizzatore%20zard.jpg</v>
      </c>
      <c r="AE249" t="b">
        <v>0</v>
      </c>
    </row>
    <row r="250" spans="1:31" x14ac:dyDescent="0.2">
      <c r="A250" t="str">
        <f t="shared" si="57"/>
        <v>https://shop.officineitalianezard.it/en/triumph-thruxton-r-exhaust-zard/</v>
      </c>
      <c r="B250" t="b">
        <f>COUNTIF($A$2:$A250, A250)&gt;1</f>
        <v>1</v>
      </c>
      <c r="C250" t="b">
        <f t="shared" si="58"/>
        <v>1</v>
      </c>
      <c r="D250">
        <f>VLOOKUP(A250,variant_counts!A:B, 2, FALSE)</f>
        <v>3</v>
      </c>
      <c r="E250" t="str">
        <f t="shared" si="71"/>
        <v>zard-exhaust-n-2-silencers-triumph-thruxton-r-conical-version-ztph068ssr</v>
      </c>
      <c r="F250" t="str">
        <f t="shared" si="59"/>
        <v>ZARD EXHAUST N. 2 SILENCERS TRIUMPH THRUXTON R CONICAL VERSION ZTPH068SSR</v>
      </c>
      <c r="G250" t="str">
        <f t="shared" si="60"/>
        <v/>
      </c>
      <c r="H250" t="str">
        <f t="shared" si="72"/>
        <v/>
      </c>
      <c r="I250" t="str">
        <f t="shared" si="73"/>
        <v/>
      </c>
      <c r="J250" t="str">
        <f t="shared" si="74"/>
        <v/>
      </c>
      <c r="K250" t="str">
        <f t="shared" si="75"/>
        <v/>
      </c>
      <c r="L250" t="str">
        <f t="shared" si="61"/>
        <v>Option</v>
      </c>
      <c r="M250" t="str">
        <f t="shared" si="62"/>
        <v>EURO 4 HOMOLOGATED</v>
      </c>
      <c r="R250" t="str">
        <f t="shared" si="63"/>
        <v>ZTPH068SSR</v>
      </c>
      <c r="S250">
        <f t="shared" si="64"/>
        <v>0</v>
      </c>
      <c r="U250" t="str">
        <f t="shared" si="65"/>
        <v>continue</v>
      </c>
      <c r="V250" t="str">
        <f t="shared" si="66"/>
        <v>manual</v>
      </c>
      <c r="W250" s="5">
        <f t="shared" si="67"/>
        <v>1015.7388000000001</v>
      </c>
      <c r="Y250" t="b">
        <f t="shared" si="68"/>
        <v>1</v>
      </c>
      <c r="Z250" t="b">
        <f t="shared" si="69"/>
        <v>0</v>
      </c>
      <c r="AB250" t="str">
        <f t="shared" si="70"/>
        <v/>
      </c>
      <c r="AE250" t="b">
        <v>0</v>
      </c>
    </row>
    <row r="251" spans="1:31" x14ac:dyDescent="0.2">
      <c r="A251" t="str">
        <f t="shared" si="57"/>
        <v>https://shop.officineitalianezard.it/en/triumph-thruxton-r-exhaust-zard/</v>
      </c>
      <c r="B251" t="b">
        <f>COUNTIF($A$2:$A251, A251)&gt;1</f>
        <v>1</v>
      </c>
      <c r="C251" t="b">
        <f t="shared" si="58"/>
        <v>1</v>
      </c>
      <c r="D251">
        <f>VLOOKUP(A251,variant_counts!A:B, 2, FALSE)</f>
        <v>3</v>
      </c>
      <c r="E251" t="str">
        <f t="shared" si="71"/>
        <v>zard-exhaust-n-2-silencers-triumph-thruxton-r-conical-version-ztph068ssr</v>
      </c>
      <c r="F251" t="str">
        <f t="shared" si="59"/>
        <v>ZARD EXHAUST N. 2 SILENCERS TRIUMPH THRUXTON R CONICAL VERSION ZTPH068SSR</v>
      </c>
      <c r="G251" t="str">
        <f t="shared" si="60"/>
        <v/>
      </c>
      <c r="H251" t="str">
        <f t="shared" si="72"/>
        <v/>
      </c>
      <c r="I251" t="str">
        <f t="shared" si="73"/>
        <v/>
      </c>
      <c r="J251" t="str">
        <f t="shared" si="74"/>
        <v/>
      </c>
      <c r="K251" t="str">
        <f t="shared" si="75"/>
        <v/>
      </c>
      <c r="L251" t="str">
        <f t="shared" si="61"/>
        <v>Option</v>
      </c>
      <c r="M251" t="str">
        <f t="shared" si="62"/>
        <v>BLACK COATING</v>
      </c>
      <c r="R251" t="str">
        <f t="shared" si="63"/>
        <v>ZTPH068SSR</v>
      </c>
      <c r="S251">
        <f t="shared" si="64"/>
        <v>0</v>
      </c>
      <c r="U251" t="str">
        <f t="shared" si="65"/>
        <v>continue</v>
      </c>
      <c r="V251" t="str">
        <f t="shared" si="66"/>
        <v>manual</v>
      </c>
      <c r="W251" s="5">
        <f t="shared" si="67"/>
        <v>1060.7715000000001</v>
      </c>
      <c r="Y251" t="b">
        <f t="shared" si="68"/>
        <v>1</v>
      </c>
      <c r="Z251" t="b">
        <f t="shared" si="69"/>
        <v>0</v>
      </c>
      <c r="AB251" t="str">
        <f t="shared" si="70"/>
        <v/>
      </c>
      <c r="AE251" t="b">
        <v>0</v>
      </c>
    </row>
    <row r="252" spans="1:31" x14ac:dyDescent="0.2">
      <c r="A252" t="str">
        <f t="shared" si="57"/>
        <v>https://shop.officineitalianezard.it/en/triumph-thruxton-r-exhaust-zard/</v>
      </c>
      <c r="B252" t="b">
        <f>COUNTIF($A$2:$A252, A252)&gt;1</f>
        <v>1</v>
      </c>
      <c r="C252" t="b">
        <f t="shared" si="58"/>
        <v>1</v>
      </c>
      <c r="D252">
        <f>VLOOKUP(A252,variant_counts!A:B, 2, FALSE)</f>
        <v>3</v>
      </c>
      <c r="E252" t="str">
        <f t="shared" si="71"/>
        <v>zard-exhaust-n-2-silencers-triumph-thruxton-r-conical-version-ztph068ssr</v>
      </c>
      <c r="F252" t="str">
        <f t="shared" si="59"/>
        <v>ZARD EXHAUST N. 2 SILENCERS TRIUMPH THRUXTON R CONICAL VERSION ZTPH068SSR</v>
      </c>
      <c r="G252" t="str">
        <f t="shared" si="60"/>
        <v/>
      </c>
      <c r="H252" t="str">
        <f t="shared" si="72"/>
        <v/>
      </c>
      <c r="I252" t="str">
        <f t="shared" si="73"/>
        <v/>
      </c>
      <c r="J252" t="str">
        <f t="shared" si="74"/>
        <v/>
      </c>
      <c r="K252" t="str">
        <f t="shared" si="75"/>
        <v/>
      </c>
      <c r="L252" t="str">
        <f t="shared" si="61"/>
        <v>Option</v>
      </c>
      <c r="M252" t="str">
        <f t="shared" si="62"/>
        <v>TITANIUM VERSION</v>
      </c>
      <c r="R252" t="str">
        <f t="shared" si="63"/>
        <v>ZTPH068SSR</v>
      </c>
      <c r="S252">
        <f t="shared" si="64"/>
        <v>0</v>
      </c>
      <c r="U252" t="str">
        <f t="shared" si="65"/>
        <v>continue</v>
      </c>
      <c r="V252" t="str">
        <f t="shared" si="66"/>
        <v>manual</v>
      </c>
      <c r="W252" s="5">
        <f t="shared" si="67"/>
        <v>1124.6409000000001</v>
      </c>
      <c r="Y252" t="b">
        <f t="shared" si="68"/>
        <v>1</v>
      </c>
      <c r="Z252" t="b">
        <f t="shared" si="69"/>
        <v>0</v>
      </c>
      <c r="AB252" t="str">
        <f t="shared" si="70"/>
        <v/>
      </c>
      <c r="AE252" t="b">
        <v>0</v>
      </c>
    </row>
    <row r="253" spans="1:31" x14ac:dyDescent="0.2">
      <c r="A253" t="str">
        <f t="shared" si="57"/>
        <v>https://shop.officineitalianezard.it/en/full-trophy-kit-2-1-sport-steel/</v>
      </c>
      <c r="B253" t="b">
        <f>COUNTIF($A$2:$A253, A253)&gt;1</f>
        <v>0</v>
      </c>
      <c r="C253" t="b">
        <f t="shared" si="58"/>
        <v>0</v>
      </c>
      <c r="D253">
        <f>VLOOKUP(A253,variant_counts!A:B, 2, FALSE)</f>
        <v>2</v>
      </c>
      <c r="E253" t="str">
        <f t="shared" si="71"/>
        <v>zard-exhaust-full-kit-triumph-thruxton-trofeo-version-ztph030skr</v>
      </c>
      <c r="F253" t="str">
        <f t="shared" si="59"/>
        <v>ZARD EXHAUST FULL KIT TRIUMPH THRUXTON TROFEO VERSION ZTPH030SKR</v>
      </c>
      <c r="G253" t="str">
        <f t="shared" si="60"/>
        <v>&lt;p&gt;STEEL RACING FULL KIT&lt;/p&gt;
&lt;p&gt;ORIGINAL FULL KIT WEIGHT: KG 9.3&lt;br&gt;ZARD FULL KIT WEIGHT: KG 5.3&lt;/p&gt;
&lt;p&gt;HARD INCREASE, COMPARED TO THE ORIGINAL EXHAUST SYSTEM, IN TERMS OF TORQUE IN THE 4000-6500 RPM RANGE AND POWER (+3 HP).&lt;/p&gt;
&lt;p&gt;ASTONISHING SOUND.&lt;/p&gt;</v>
      </c>
      <c r="H253" t="str">
        <f t="shared" si="72"/>
        <v>ZARD</v>
      </c>
      <c r="I253" t="str">
        <f t="shared" si="73"/>
        <v>Exhaust Pipe</v>
      </c>
      <c r="J253" t="str">
        <f t="shared" si="74"/>
        <v>Test</v>
      </c>
      <c r="K253" t="b">
        <f t="shared" si="75"/>
        <v>0</v>
      </c>
      <c r="L253" t="str">
        <f t="shared" si="61"/>
        <v/>
      </c>
      <c r="M253" t="str">
        <f t="shared" si="62"/>
        <v/>
      </c>
      <c r="R253" t="str">
        <f t="shared" si="63"/>
        <v/>
      </c>
      <c r="S253" t="str">
        <f t="shared" si="64"/>
        <v/>
      </c>
      <c r="U253" t="str">
        <f t="shared" si="65"/>
        <v/>
      </c>
      <c r="V253" t="str">
        <f t="shared" si="66"/>
        <v/>
      </c>
      <c r="W253" s="5" t="str">
        <f t="shared" si="67"/>
        <v/>
      </c>
      <c r="Y253" t="str">
        <f t="shared" si="68"/>
        <v/>
      </c>
      <c r="Z253" t="str">
        <f t="shared" si="69"/>
        <v/>
      </c>
      <c r="AB253" t="str">
        <f t="shared" si="70"/>
        <v>https://shop.officineitalianezard.it/contents/imgs/products/1_217-thruxtontrofeogallery3.jpg</v>
      </c>
      <c r="AE253" t="b">
        <v>0</v>
      </c>
    </row>
    <row r="254" spans="1:31" x14ac:dyDescent="0.2">
      <c r="A254" t="str">
        <f t="shared" si="57"/>
        <v>https://shop.officineitalianezard.it/en/full-trophy-kit-2-1-sport-steel/</v>
      </c>
      <c r="B254" t="b">
        <f>COUNTIF($A$2:$A254, A254)&gt;1</f>
        <v>1</v>
      </c>
      <c r="C254" t="b">
        <f t="shared" si="58"/>
        <v>0</v>
      </c>
      <c r="D254">
        <f>VLOOKUP(A254,variant_counts!A:B, 2, FALSE)</f>
        <v>2</v>
      </c>
      <c r="E254" t="str">
        <f t="shared" si="71"/>
        <v>zard-exhaust-full-kit-triumph-thruxton-trofeo-version-ztph030skr</v>
      </c>
      <c r="F254" t="str">
        <f t="shared" si="59"/>
        <v>ZARD EXHAUST FULL KIT TRIUMPH THRUXTON TROFEO VERSION ZTPH030SKR</v>
      </c>
      <c r="G254" t="str">
        <f t="shared" si="60"/>
        <v/>
      </c>
      <c r="H254" t="str">
        <f t="shared" si="72"/>
        <v/>
      </c>
      <c r="I254" t="str">
        <f t="shared" si="73"/>
        <v/>
      </c>
      <c r="J254" t="str">
        <f t="shared" si="74"/>
        <v/>
      </c>
      <c r="K254" t="str">
        <f t="shared" si="75"/>
        <v/>
      </c>
      <c r="L254" t="str">
        <f t="shared" si="61"/>
        <v/>
      </c>
      <c r="M254" t="str">
        <f t="shared" si="62"/>
        <v/>
      </c>
      <c r="R254" t="str">
        <f t="shared" si="63"/>
        <v/>
      </c>
      <c r="S254" t="str">
        <f t="shared" si="64"/>
        <v/>
      </c>
      <c r="U254" t="str">
        <f t="shared" si="65"/>
        <v/>
      </c>
      <c r="V254" t="str">
        <f t="shared" si="66"/>
        <v/>
      </c>
      <c r="W254" s="5" t="str">
        <f t="shared" si="67"/>
        <v/>
      </c>
      <c r="Y254" t="str">
        <f t="shared" si="68"/>
        <v/>
      </c>
      <c r="Z254" t="str">
        <f t="shared" si="69"/>
        <v/>
      </c>
      <c r="AB254" t="str">
        <f t="shared" si="70"/>
        <v>https://shop.officineitalianezard.it/contents/imgs/products/1_216-thruxtontrofeogallery2.jpg</v>
      </c>
      <c r="AE254" t="b">
        <v>0</v>
      </c>
    </row>
    <row r="255" spans="1:31" x14ac:dyDescent="0.2">
      <c r="A255" t="str">
        <f t="shared" si="57"/>
        <v>https://shop.officineitalianezard.it/en/full-trophy-kit-2-1-sport-steel/</v>
      </c>
      <c r="B255" t="b">
        <f>COUNTIF($A$2:$A255, A255)&gt;1</f>
        <v>1</v>
      </c>
      <c r="C255" t="b">
        <f t="shared" si="58"/>
        <v>1</v>
      </c>
      <c r="D255">
        <f>VLOOKUP(A255,variant_counts!A:B, 2, FALSE)</f>
        <v>2</v>
      </c>
      <c r="E255" t="str">
        <f t="shared" si="71"/>
        <v>zard-exhaust-full-kit-triumph-thruxton-trofeo-version-ztph030skr</v>
      </c>
      <c r="F255" t="str">
        <f t="shared" si="59"/>
        <v>ZARD EXHAUST FULL KIT TRIUMPH THRUXTON TROFEO VERSION ZTPH030SKR</v>
      </c>
      <c r="G255" t="str">
        <f t="shared" si="60"/>
        <v/>
      </c>
      <c r="H255" t="str">
        <f t="shared" si="72"/>
        <v/>
      </c>
      <c r="I255" t="str">
        <f t="shared" si="73"/>
        <v/>
      </c>
      <c r="J255" t="str">
        <f t="shared" si="74"/>
        <v/>
      </c>
      <c r="K255" t="str">
        <f t="shared" si="75"/>
        <v/>
      </c>
      <c r="L255" t="str">
        <f t="shared" si="61"/>
        <v>Option</v>
      </c>
      <c r="M255" t="str">
        <f t="shared" si="62"/>
        <v>BLACK COATING</v>
      </c>
      <c r="R255" t="str">
        <f t="shared" si="63"/>
        <v>ZTPH030SKR</v>
      </c>
      <c r="S255">
        <f t="shared" si="64"/>
        <v>0</v>
      </c>
      <c r="U255" t="str">
        <f t="shared" si="65"/>
        <v>continue</v>
      </c>
      <c r="V255" t="str">
        <f t="shared" si="66"/>
        <v>manual</v>
      </c>
      <c r="W255" s="5">
        <f t="shared" si="67"/>
        <v>1604.5827000000004</v>
      </c>
      <c r="Y255" t="b">
        <f t="shared" si="68"/>
        <v>1</v>
      </c>
      <c r="Z255" t="b">
        <f t="shared" si="69"/>
        <v>0</v>
      </c>
      <c r="AB255" t="str">
        <f t="shared" si="70"/>
        <v/>
      </c>
      <c r="AE255" t="b">
        <v>0</v>
      </c>
    </row>
    <row r="256" spans="1:31" x14ac:dyDescent="0.2">
      <c r="A256" t="str">
        <f t="shared" si="57"/>
        <v>https://shop.officineitalianezard.it/en/full-trophy-kit-2-1-sport-steel/</v>
      </c>
      <c r="B256" t="b">
        <f>COUNTIF($A$2:$A256, A256)&gt;1</f>
        <v>1</v>
      </c>
      <c r="C256" t="b">
        <f t="shared" si="58"/>
        <v>1</v>
      </c>
      <c r="D256">
        <f>VLOOKUP(A256,variant_counts!A:B, 2, FALSE)</f>
        <v>2</v>
      </c>
      <c r="E256" t="str">
        <f t="shared" si="71"/>
        <v>zard-exhaust-full-kit-triumph-thruxton-trofeo-version-ztph030skr</v>
      </c>
      <c r="F256" t="str">
        <f t="shared" si="59"/>
        <v>ZARD EXHAUST FULL KIT TRIUMPH THRUXTON TROFEO VERSION ZTPH030SKR</v>
      </c>
      <c r="G256" t="str">
        <f t="shared" si="60"/>
        <v/>
      </c>
      <c r="H256" t="str">
        <f t="shared" si="72"/>
        <v/>
      </c>
      <c r="I256" t="str">
        <f t="shared" si="73"/>
        <v/>
      </c>
      <c r="J256" t="str">
        <f t="shared" si="74"/>
        <v/>
      </c>
      <c r="K256" t="str">
        <f t="shared" si="75"/>
        <v/>
      </c>
      <c r="L256" t="str">
        <f t="shared" si="61"/>
        <v>Option</v>
      </c>
      <c r="M256" t="str">
        <f t="shared" si="62"/>
        <v>BLACK END-CAPS</v>
      </c>
      <c r="R256" t="str">
        <f t="shared" si="63"/>
        <v>ZTPH030SKR</v>
      </c>
      <c r="S256">
        <f t="shared" si="64"/>
        <v>0</v>
      </c>
      <c r="U256" t="str">
        <f t="shared" si="65"/>
        <v>continue</v>
      </c>
      <c r="V256" t="str">
        <f t="shared" si="66"/>
        <v>manual</v>
      </c>
      <c r="W256" s="5">
        <f t="shared" si="67"/>
        <v>1394.1378000000002</v>
      </c>
      <c r="Y256" t="b">
        <f t="shared" si="68"/>
        <v>1</v>
      </c>
      <c r="Z256" t="b">
        <f t="shared" si="69"/>
        <v>0</v>
      </c>
      <c r="AB256" t="str">
        <f t="shared" si="70"/>
        <v/>
      </c>
      <c r="AE256" t="b">
        <v>0</v>
      </c>
    </row>
    <row r="257" spans="1:31" x14ac:dyDescent="0.2">
      <c r="A257" t="str">
        <f t="shared" si="57"/>
        <v>https://shop.officineitalianezard.it/en/products/index/full-kit-cross-version-7063-46/</v>
      </c>
      <c r="B257" t="b">
        <f>COUNTIF($A$2:$A257, A257)&gt;1</f>
        <v>0</v>
      </c>
      <c r="C257" t="b">
        <f t="shared" si="58"/>
        <v>0</v>
      </c>
      <c r="D257">
        <f>VLOOKUP(A257,variant_counts!A:B, 2, FALSE)</f>
        <v>2</v>
      </c>
      <c r="E257" t="str">
        <f t="shared" si="71"/>
        <v>zard-exhaust-21-full-kit-cross-version-triumph-thruxton-carburettor-ztph-034-skc</v>
      </c>
      <c r="F257" t="str">
        <f t="shared" si="59"/>
        <v>ZARD EXHAUST 2&gt;1 FULL KIT CROSS VERSION TRIUMPH THRUXTON CARBURETTOR ZTPH 034 SKC</v>
      </c>
      <c r="G257" t="str">
        <f t="shared" si="60"/>
        <v>&lt;p&gt;2&amp;gt;1 STEEL RACING FULL KIT&lt;/p&gt;
&lt;p&gt;ORIGINAL FULL KIT WEIGHT: KG 11.6&lt;br&gt;ZARD FULL KIT WEIGHT: KG 4.4&lt;/p&gt;
&lt;p&gt;HARD INCREASE, COMPARED TO THE ORIGINAL EXHAUST SYSTEM, IN TERMS OF TORQUE IN THE 4000-6500 RPM RANGE AND POWER (+2 HP).&lt;/p&gt;
&lt;p&gt;ASTONISHING SOUND.&lt;/p&gt;</v>
      </c>
      <c r="H257" t="str">
        <f t="shared" si="72"/>
        <v>ZARD</v>
      </c>
      <c r="I257" t="str">
        <f t="shared" si="73"/>
        <v>Exhaust Pipe</v>
      </c>
      <c r="J257" t="str">
        <f t="shared" si="74"/>
        <v>Test</v>
      </c>
      <c r="K257" t="b">
        <f t="shared" si="75"/>
        <v>0</v>
      </c>
      <c r="L257" t="str">
        <f t="shared" si="61"/>
        <v/>
      </c>
      <c r="M257" t="str">
        <f t="shared" si="62"/>
        <v/>
      </c>
      <c r="R257" t="str">
        <f t="shared" si="63"/>
        <v/>
      </c>
      <c r="S257" t="str">
        <f t="shared" si="64"/>
        <v/>
      </c>
      <c r="U257" t="str">
        <f t="shared" si="65"/>
        <v/>
      </c>
      <c r="V257" t="str">
        <f t="shared" si="66"/>
        <v/>
      </c>
      <c r="W257" s="5" t="str">
        <f t="shared" si="67"/>
        <v/>
      </c>
      <c r="Y257" t="str">
        <f t="shared" si="68"/>
        <v/>
      </c>
      <c r="Z257" t="str">
        <f t="shared" si="69"/>
        <v/>
      </c>
      <c r="AB257" t="str">
        <f t="shared" si="70"/>
        <v>https://shop.officineitalianezard.it/contents/imgs/products/1_203-1.jpg</v>
      </c>
      <c r="AE257" t="b">
        <v>0</v>
      </c>
    </row>
    <row r="258" spans="1:31" x14ac:dyDescent="0.2">
      <c r="A258" t="str">
        <f t="shared" ref="A258:A321" si="76">source_product_link_href</f>
        <v>https://shop.officineitalianezard.it/en/products/index/full-kit-cross-version-7063-46/</v>
      </c>
      <c r="B258" t="b">
        <f>COUNTIF($A$2:$A258, A258)&gt;1</f>
        <v>1</v>
      </c>
      <c r="C258" t="b">
        <f t="shared" ref="C258:C321" si="77">NOT(ISBLANK(source_option_name))</f>
        <v>0</v>
      </c>
      <c r="D258">
        <f>VLOOKUP(A258,variant_counts!A:B, 2, FALSE)</f>
        <v>2</v>
      </c>
      <c r="E258" t="str">
        <f t="shared" si="71"/>
        <v>zard-exhaust-21-full-kit-cross-version-triumph-thruxton-carburettor-ztph-034-skc</v>
      </c>
      <c r="F258" t="str">
        <f t="shared" ref="F258:F321" si="78">UPPER("ZARD EXHAUST " &amp; source_title &amp; " " &amp; source_brand &amp; " " &amp; source_bike &amp; " " &amp; source_product_link &amp; " " &amp; source_sku)</f>
        <v>ZARD EXHAUST 2&gt;1 FULL KIT CROSS VERSION TRIUMPH THRUXTON CARBURETTOR ZTPH 034 SKC</v>
      </c>
      <c r="G258" t="str">
        <f t="shared" ref="G258:G321" si="79">IF($B258=FALSE, source_description, "")</f>
        <v/>
      </c>
      <c r="H258" t="str">
        <f t="shared" si="72"/>
        <v/>
      </c>
      <c r="I258" t="str">
        <f t="shared" si="73"/>
        <v/>
      </c>
      <c r="J258" t="str">
        <f t="shared" si="74"/>
        <v/>
      </c>
      <c r="K258" t="str">
        <f t="shared" si="75"/>
        <v/>
      </c>
      <c r="L258" t="str">
        <f t="shared" ref="L258:L321" si="80">IF(AND(variant_count=0,duplicated=FALSE),"Title",IF(OR(AND(variant_count=1,duplicated=FALSE), source_option_name&lt;&gt;""), "Option", ""))</f>
        <v/>
      </c>
      <c r="M258" t="str">
        <f t="shared" ref="M258:M321" si="81">IF(option1_name="Title", "Default Title", IF(AND(option1_name="Option",ISBLANK(source_option_name)),"DEFAULT",IF(ISBLANK(source_option_name), "", source_option_name)))</f>
        <v/>
      </c>
      <c r="R258" t="str">
        <f t="shared" ref="R258:R321" si="82">IF(option1_name &lt;&gt; "", source_sku, "")</f>
        <v/>
      </c>
      <c r="S258" t="str">
        <f t="shared" ref="S258:S321" si="83">IF(option1_name &lt;&gt; "", 0, "")</f>
        <v/>
      </c>
      <c r="U258" t="str">
        <f t="shared" ref="U258:U321" si="84">IF(option1_name &lt;&gt; "", "continue", "")</f>
        <v/>
      </c>
      <c r="V258" t="str">
        <f t="shared" ref="V258:V321" si="85">IF(option1_name &lt;&gt; "", "manual", "")</f>
        <v/>
      </c>
      <c r="W258" s="5" t="str">
        <f t="shared" ref="W258:W321" si="86">IF(option1_name&lt;&gt;"",(source_price_original+source_option_price)*eur_usd,"")</f>
        <v/>
      </c>
      <c r="Y258" t="str">
        <f t="shared" ref="Y258:Y321" si="87">IF(option1_name&lt;&gt;"",TRUE,"")</f>
        <v/>
      </c>
      <c r="Z258" t="str">
        <f t="shared" ref="Z258:Z321" si="88">IF(option1_name&lt;&gt;"",FALSE,"")</f>
        <v/>
      </c>
      <c r="AB258" t="str">
        <f t="shared" ref="AB258:AB321" si="89">IF(ISBLANK(source_image), "", source_image)</f>
        <v>https://shop.officineitalianezard.it/contents/imgs/products/1_204-2.jpg</v>
      </c>
      <c r="AE258" t="b">
        <v>0</v>
      </c>
    </row>
    <row r="259" spans="1:31" x14ac:dyDescent="0.2">
      <c r="A259" t="str">
        <f t="shared" si="76"/>
        <v>https://shop.officineitalianezard.it/en/products/index/full-kit-cross-version-7063-46/</v>
      </c>
      <c r="B259" t="b">
        <f>COUNTIF($A$2:$A259, A259)&gt;1</f>
        <v>1</v>
      </c>
      <c r="C259" t="b">
        <f t="shared" si="77"/>
        <v>0</v>
      </c>
      <c r="D259">
        <f>VLOOKUP(A259,variant_counts!A:B, 2, FALSE)</f>
        <v>2</v>
      </c>
      <c r="E259" t="str">
        <f t="shared" ref="E259:E322" si="90">FormatShopifyHandle(F259)</f>
        <v>zard-exhaust-21-full-kit-cross-version-triumph-thruxton-carburettor-ztph-034-skc</v>
      </c>
      <c r="F259" t="str">
        <f t="shared" si="78"/>
        <v>ZARD EXHAUST 2&gt;1 FULL KIT CROSS VERSION TRIUMPH THRUXTON CARBURETTOR ZTPH 034 SKC</v>
      </c>
      <c r="G259" t="str">
        <f t="shared" si="79"/>
        <v/>
      </c>
      <c r="H259" t="str">
        <f t="shared" ref="H259:H322" si="91">IF($B259=FALSE, "ZARD", "")</f>
        <v/>
      </c>
      <c r="I259" t="str">
        <f t="shared" ref="I259:I322" si="92">IF($B259=FALSE, "Exhaust Pipe", "")</f>
        <v/>
      </c>
      <c r="J259" t="str">
        <f t="shared" ref="J259:J322" si="93">IF($B259=FALSE, "Test", "")</f>
        <v/>
      </c>
      <c r="K259" t="str">
        <f t="shared" ref="K259:K322" si="94">IF($B259=FALSE, FALSE, "")</f>
        <v/>
      </c>
      <c r="L259" t="str">
        <f t="shared" si="80"/>
        <v/>
      </c>
      <c r="M259" t="str">
        <f t="shared" si="81"/>
        <v/>
      </c>
      <c r="R259" t="str">
        <f t="shared" si="82"/>
        <v/>
      </c>
      <c r="S259" t="str">
        <f t="shared" si="83"/>
        <v/>
      </c>
      <c r="U259" t="str">
        <f t="shared" si="84"/>
        <v/>
      </c>
      <c r="V259" t="str">
        <f t="shared" si="85"/>
        <v/>
      </c>
      <c r="W259" s="5" t="str">
        <f t="shared" si="86"/>
        <v/>
      </c>
      <c r="Y259" t="str">
        <f t="shared" si="87"/>
        <v/>
      </c>
      <c r="Z259" t="str">
        <f t="shared" si="88"/>
        <v/>
      </c>
      <c r="AB259" t="str">
        <f t="shared" si="89"/>
        <v>https://shop.officineitalianezard.it/contents/imgs/products/1_949-scarichi%20moto%20zard%20cross.jpg</v>
      </c>
      <c r="AE259" t="b">
        <v>0</v>
      </c>
    </row>
    <row r="260" spans="1:31" x14ac:dyDescent="0.2">
      <c r="A260" t="str">
        <f t="shared" si="76"/>
        <v>https://shop.officineitalianezard.it/en/products/index/full-kit-cross-version-7063-46/</v>
      </c>
      <c r="B260" t="b">
        <f>COUNTIF($A$2:$A260, A260)&gt;1</f>
        <v>1</v>
      </c>
      <c r="C260" t="b">
        <f t="shared" si="77"/>
        <v>0</v>
      </c>
      <c r="D260">
        <f>VLOOKUP(A260,variant_counts!A:B, 2, FALSE)</f>
        <v>2</v>
      </c>
      <c r="E260" t="str">
        <f t="shared" si="90"/>
        <v>zard-exhaust-21-full-kit-cross-version-triumph-thruxton-carburettor-ztph-034-skc</v>
      </c>
      <c r="F260" t="str">
        <f t="shared" si="78"/>
        <v>ZARD EXHAUST 2&gt;1 FULL KIT CROSS VERSION TRIUMPH THRUXTON CARBURETTOR ZTPH 034 SKC</v>
      </c>
      <c r="G260" t="str">
        <f t="shared" si="79"/>
        <v/>
      </c>
      <c r="H260" t="str">
        <f t="shared" si="91"/>
        <v/>
      </c>
      <c r="I260" t="str">
        <f t="shared" si="92"/>
        <v/>
      </c>
      <c r="J260" t="str">
        <f t="shared" si="93"/>
        <v/>
      </c>
      <c r="K260" t="str">
        <f t="shared" si="94"/>
        <v/>
      </c>
      <c r="L260" t="str">
        <f t="shared" si="80"/>
        <v/>
      </c>
      <c r="M260" t="str">
        <f t="shared" si="81"/>
        <v/>
      </c>
      <c r="R260" t="str">
        <f t="shared" si="82"/>
        <v/>
      </c>
      <c r="S260" t="str">
        <f t="shared" si="83"/>
        <v/>
      </c>
      <c r="U260" t="str">
        <f t="shared" si="84"/>
        <v/>
      </c>
      <c r="V260" t="str">
        <f t="shared" si="85"/>
        <v/>
      </c>
      <c r="W260" s="5" t="str">
        <f t="shared" si="86"/>
        <v/>
      </c>
      <c r="Y260" t="str">
        <f t="shared" si="87"/>
        <v/>
      </c>
      <c r="Z260" t="str">
        <f t="shared" si="88"/>
        <v/>
      </c>
      <c r="AB260" t="str">
        <f t="shared" si="89"/>
        <v>https://shop.officineitalianezard.it/contents/imgs/products/1_1153-11017541_10153917985646632_8025402486644623573_n.jpg</v>
      </c>
      <c r="AE260" t="b">
        <v>0</v>
      </c>
    </row>
    <row r="261" spans="1:31" x14ac:dyDescent="0.2">
      <c r="A261" t="str">
        <f t="shared" si="76"/>
        <v>https://shop.officineitalianezard.it/en/products/index/full-kit-cross-version-7063-46/</v>
      </c>
      <c r="B261" t="b">
        <f>COUNTIF($A$2:$A261, A261)&gt;1</f>
        <v>1</v>
      </c>
      <c r="C261" t="b">
        <f t="shared" si="77"/>
        <v>0</v>
      </c>
      <c r="D261">
        <f>VLOOKUP(A261,variant_counts!A:B, 2, FALSE)</f>
        <v>2</v>
      </c>
      <c r="E261" t="str">
        <f t="shared" si="90"/>
        <v>zard-exhaust-21-full-kit-cross-version-triumph-thruxton-carburettor-ztph-034-skc</v>
      </c>
      <c r="F261" t="str">
        <f t="shared" si="78"/>
        <v>ZARD EXHAUST 2&gt;1 FULL KIT CROSS VERSION TRIUMPH THRUXTON CARBURETTOR ZTPH 034 SKC</v>
      </c>
      <c r="G261" t="str">
        <f t="shared" si="79"/>
        <v/>
      </c>
      <c r="H261" t="str">
        <f t="shared" si="91"/>
        <v/>
      </c>
      <c r="I261" t="str">
        <f t="shared" si="92"/>
        <v/>
      </c>
      <c r="J261" t="str">
        <f t="shared" si="93"/>
        <v/>
      </c>
      <c r="K261" t="str">
        <f t="shared" si="94"/>
        <v/>
      </c>
      <c r="L261" t="str">
        <f t="shared" si="80"/>
        <v/>
      </c>
      <c r="M261" t="str">
        <f t="shared" si="81"/>
        <v/>
      </c>
      <c r="R261" t="str">
        <f t="shared" si="82"/>
        <v/>
      </c>
      <c r="S261" t="str">
        <f t="shared" si="83"/>
        <v/>
      </c>
      <c r="U261" t="str">
        <f t="shared" si="84"/>
        <v/>
      </c>
      <c r="V261" t="str">
        <f t="shared" si="85"/>
        <v/>
      </c>
      <c r="W261" s="5" t="str">
        <f t="shared" si="86"/>
        <v/>
      </c>
      <c r="Y261" t="str">
        <f t="shared" si="87"/>
        <v/>
      </c>
      <c r="Z261" t="str">
        <f t="shared" si="88"/>
        <v/>
      </c>
      <c r="AB261" t="str">
        <f t="shared" si="89"/>
        <v>https://shop.officineitalianezard.it/contents/imgs/products/1_1152-11259175_10153917986126632_709285374156847894_n.jpg</v>
      </c>
      <c r="AE261" t="b">
        <v>0</v>
      </c>
    </row>
    <row r="262" spans="1:31" x14ac:dyDescent="0.2">
      <c r="A262" t="str">
        <f t="shared" si="76"/>
        <v>https://shop.officineitalianezard.it/en/products/index/full-kit-cross-version-7063-46/</v>
      </c>
      <c r="B262" t="b">
        <f>COUNTIF($A$2:$A262, A262)&gt;1</f>
        <v>1</v>
      </c>
      <c r="C262" t="b">
        <f t="shared" si="77"/>
        <v>1</v>
      </c>
      <c r="D262">
        <f>VLOOKUP(A262,variant_counts!A:B, 2, FALSE)</f>
        <v>2</v>
      </c>
      <c r="E262" t="str">
        <f t="shared" si="90"/>
        <v>zard-exhaust-21-full-kit-cross-version-triumph-thruxton-carburettor-ztph-034-skc</v>
      </c>
      <c r="F262" t="str">
        <f t="shared" si="78"/>
        <v>ZARD EXHAUST 2&gt;1 FULL KIT CROSS VERSION TRIUMPH THRUXTON CARBURETTOR ZTPH 034 SKC</v>
      </c>
      <c r="G262" t="str">
        <f t="shared" si="79"/>
        <v/>
      </c>
      <c r="H262" t="str">
        <f t="shared" si="91"/>
        <v/>
      </c>
      <c r="I262" t="str">
        <f t="shared" si="92"/>
        <v/>
      </c>
      <c r="J262" t="str">
        <f t="shared" si="93"/>
        <v/>
      </c>
      <c r="K262" t="str">
        <f t="shared" si="94"/>
        <v/>
      </c>
      <c r="L262" t="str">
        <f t="shared" si="80"/>
        <v>Option</v>
      </c>
      <c r="M262" t="str">
        <f t="shared" si="81"/>
        <v>BLACK CERAMIC COATING</v>
      </c>
      <c r="R262" t="str">
        <f t="shared" si="82"/>
        <v>ZTPH 034 SKC</v>
      </c>
      <c r="S262">
        <f t="shared" si="83"/>
        <v>0</v>
      </c>
      <c r="U262" t="str">
        <f t="shared" si="84"/>
        <v>continue</v>
      </c>
      <c r="V262" t="str">
        <f t="shared" si="85"/>
        <v>manual</v>
      </c>
      <c r="W262" s="5">
        <f t="shared" si="86"/>
        <v>1040.847</v>
      </c>
      <c r="Y262" t="b">
        <f t="shared" si="87"/>
        <v>1</v>
      </c>
      <c r="Z262" t="b">
        <f t="shared" si="88"/>
        <v>0</v>
      </c>
      <c r="AB262" t="str">
        <f t="shared" si="89"/>
        <v/>
      </c>
      <c r="AE262" t="b">
        <v>0</v>
      </c>
    </row>
    <row r="263" spans="1:31" x14ac:dyDescent="0.2">
      <c r="A263" t="str">
        <f t="shared" si="76"/>
        <v>https://shop.officineitalianezard.it/en/products/index/full-kit-cross-version-7063-46/</v>
      </c>
      <c r="B263" t="b">
        <f>COUNTIF($A$2:$A263, A263)&gt;1</f>
        <v>1</v>
      </c>
      <c r="C263" t="b">
        <f t="shared" si="77"/>
        <v>1</v>
      </c>
      <c r="D263">
        <f>VLOOKUP(A263,variant_counts!A:B, 2, FALSE)</f>
        <v>2</v>
      </c>
      <c r="E263" t="str">
        <f t="shared" si="90"/>
        <v>zard-exhaust-21-full-kit-cross-version-triumph-thruxton-carburettor-ztph-034-skc</v>
      </c>
      <c r="F263" t="str">
        <f t="shared" si="78"/>
        <v>ZARD EXHAUST 2&gt;1 FULL KIT CROSS VERSION TRIUMPH THRUXTON CARBURETTOR ZTPH 034 SKC</v>
      </c>
      <c r="G263" t="str">
        <f t="shared" si="79"/>
        <v/>
      </c>
      <c r="H263" t="str">
        <f t="shared" si="91"/>
        <v/>
      </c>
      <c r="I263" t="str">
        <f t="shared" si="92"/>
        <v/>
      </c>
      <c r="J263" t="str">
        <f t="shared" si="93"/>
        <v/>
      </c>
      <c r="K263" t="str">
        <f t="shared" si="94"/>
        <v/>
      </c>
      <c r="L263" t="str">
        <f t="shared" si="80"/>
        <v>Option</v>
      </c>
      <c r="M263" t="str">
        <f t="shared" si="81"/>
        <v>POLISHED</v>
      </c>
      <c r="R263" t="str">
        <f t="shared" si="82"/>
        <v>ZTPH 034 SKC</v>
      </c>
      <c r="S263">
        <f t="shared" si="83"/>
        <v>0</v>
      </c>
      <c r="U263" t="str">
        <f t="shared" si="84"/>
        <v>continue</v>
      </c>
      <c r="V263" t="str">
        <f t="shared" si="85"/>
        <v>manual</v>
      </c>
      <c r="W263" s="5">
        <f t="shared" si="86"/>
        <v>959.78370000000007</v>
      </c>
      <c r="Y263" t="b">
        <f t="shared" si="87"/>
        <v>1</v>
      </c>
      <c r="Z263" t="b">
        <f t="shared" si="88"/>
        <v>0</v>
      </c>
      <c r="AB263" t="str">
        <f t="shared" si="89"/>
        <v/>
      </c>
      <c r="AE263" t="b">
        <v>0</v>
      </c>
    </row>
    <row r="264" spans="1:31" x14ac:dyDescent="0.2">
      <c r="A264" t="str">
        <f t="shared" si="76"/>
        <v>https://shop.officineitalianezard.it/en/full-kit-cross-version-2/</v>
      </c>
      <c r="B264" t="b">
        <f>COUNTIF($A$2:$A264, A264)&gt;1</f>
        <v>0</v>
      </c>
      <c r="C264" t="b">
        <f t="shared" si="77"/>
        <v>0</v>
      </c>
      <c r="D264">
        <f>VLOOKUP(A264,variant_counts!A:B, 2, FALSE)</f>
        <v>2</v>
      </c>
      <c r="E264" t="str">
        <f t="shared" si="90"/>
        <v>zard-exhaust-21-full-kit-cross-version-triumph-thruxton-injection-ztph034skc-08</v>
      </c>
      <c r="F264" t="str">
        <f t="shared" si="78"/>
        <v>ZARD EXHAUST 2&gt;1 FULL KIT CROSS VERSION TRIUMPH THRUXTON INJECTION ZTPH034SKC-08</v>
      </c>
      <c r="G264" t="str">
        <f t="shared" si="79"/>
        <v>&lt;p&gt;2&amp;gt;1 STEEL RACING FULL KIT&lt;/p&gt;
&lt;p&gt;ORIGINAL FULL KIT WEIGHT: KG 11.6&lt;br&gt;ZARD FULL KIT WEIGHT: KG 4.4&lt;/p&gt;
&lt;p&gt;HARD INCREASE, COMPARED TO THE ORIGINAL EXHAUST SYSTEM, IN TERMS OF TORQUE IN THE 4000-6500 RPM RANGE AND POWER (+2 HP).&lt;/p&gt;
&lt;p&gt;ASTONISHING SOUND.&lt;/p&gt;</v>
      </c>
      <c r="H264" t="str">
        <f t="shared" si="91"/>
        <v>ZARD</v>
      </c>
      <c r="I264" t="str">
        <f t="shared" si="92"/>
        <v>Exhaust Pipe</v>
      </c>
      <c r="J264" t="str">
        <f t="shared" si="93"/>
        <v>Test</v>
      </c>
      <c r="K264" t="b">
        <f t="shared" si="94"/>
        <v>0</v>
      </c>
      <c r="L264" t="str">
        <f t="shared" si="80"/>
        <v/>
      </c>
      <c r="M264" t="str">
        <f t="shared" si="81"/>
        <v/>
      </c>
      <c r="R264" t="str">
        <f t="shared" si="82"/>
        <v/>
      </c>
      <c r="S264" t="str">
        <f t="shared" si="83"/>
        <v/>
      </c>
      <c r="U264" t="str">
        <f t="shared" si="84"/>
        <v/>
      </c>
      <c r="V264" t="str">
        <f t="shared" si="85"/>
        <v/>
      </c>
      <c r="W264" s="5" t="str">
        <f t="shared" si="86"/>
        <v/>
      </c>
      <c r="Y264" t="str">
        <f t="shared" si="87"/>
        <v/>
      </c>
      <c r="Z264" t="str">
        <f t="shared" si="88"/>
        <v/>
      </c>
      <c r="AB264" t="str">
        <f t="shared" si="89"/>
        <v>https://shop.officineitalianezard.it/contents/imgs/products/1_197-1.jpg</v>
      </c>
      <c r="AE264" t="b">
        <v>0</v>
      </c>
    </row>
    <row r="265" spans="1:31" x14ac:dyDescent="0.2">
      <c r="A265" t="str">
        <f t="shared" si="76"/>
        <v>https://shop.officineitalianezard.it/en/full-kit-cross-version-2/</v>
      </c>
      <c r="B265" t="b">
        <f>COUNTIF($A$2:$A265, A265)&gt;1</f>
        <v>1</v>
      </c>
      <c r="C265" t="b">
        <f t="shared" si="77"/>
        <v>0</v>
      </c>
      <c r="D265">
        <f>VLOOKUP(A265,variant_counts!A:B, 2, FALSE)</f>
        <v>2</v>
      </c>
      <c r="E265" t="str">
        <f t="shared" si="90"/>
        <v>zard-exhaust-21-full-kit-cross-version-triumph-thruxton-injection-ztph034skc-08</v>
      </c>
      <c r="F265" t="str">
        <f t="shared" si="78"/>
        <v>ZARD EXHAUST 2&gt;1 FULL KIT CROSS VERSION TRIUMPH THRUXTON INJECTION ZTPH034SKC-08</v>
      </c>
      <c r="G265" t="str">
        <f t="shared" si="79"/>
        <v/>
      </c>
      <c r="H265" t="str">
        <f t="shared" si="91"/>
        <v/>
      </c>
      <c r="I265" t="str">
        <f t="shared" si="92"/>
        <v/>
      </c>
      <c r="J265" t="str">
        <f t="shared" si="93"/>
        <v/>
      </c>
      <c r="K265" t="str">
        <f t="shared" si="94"/>
        <v/>
      </c>
      <c r="L265" t="str">
        <f t="shared" si="80"/>
        <v/>
      </c>
      <c r="M265" t="str">
        <f t="shared" si="81"/>
        <v/>
      </c>
      <c r="R265" t="str">
        <f t="shared" si="82"/>
        <v/>
      </c>
      <c r="S265" t="str">
        <f t="shared" si="83"/>
        <v/>
      </c>
      <c r="U265" t="str">
        <f t="shared" si="84"/>
        <v/>
      </c>
      <c r="V265" t="str">
        <f t="shared" si="85"/>
        <v/>
      </c>
      <c r="W265" s="5" t="str">
        <f t="shared" si="86"/>
        <v/>
      </c>
      <c r="Y265" t="str">
        <f t="shared" si="87"/>
        <v/>
      </c>
      <c r="Z265" t="str">
        <f t="shared" si="88"/>
        <v/>
      </c>
      <c r="AB265" t="str">
        <f t="shared" si="89"/>
        <v>https://shop.officineitalianezard.it/contents/imgs/products/1_198-2.jpg</v>
      </c>
      <c r="AE265" t="b">
        <v>0</v>
      </c>
    </row>
    <row r="266" spans="1:31" x14ac:dyDescent="0.2">
      <c r="A266" t="str">
        <f t="shared" si="76"/>
        <v>https://shop.officineitalianezard.it/en/full-kit-cross-version-2/</v>
      </c>
      <c r="B266" t="b">
        <f>COUNTIF($A$2:$A266, A266)&gt;1</f>
        <v>1</v>
      </c>
      <c r="C266" t="b">
        <f t="shared" si="77"/>
        <v>0</v>
      </c>
      <c r="D266">
        <f>VLOOKUP(A266,variant_counts!A:B, 2, FALSE)</f>
        <v>2</v>
      </c>
      <c r="E266" t="str">
        <f t="shared" si="90"/>
        <v>zard-exhaust-21-full-kit-cross-version-triumph-thruxton-injection-ztph034skc-08</v>
      </c>
      <c r="F266" t="str">
        <f t="shared" si="78"/>
        <v>ZARD EXHAUST 2&gt;1 FULL KIT CROSS VERSION TRIUMPH THRUXTON INJECTION ZTPH034SKC-08</v>
      </c>
      <c r="G266" t="str">
        <f t="shared" si="79"/>
        <v/>
      </c>
      <c r="H266" t="str">
        <f t="shared" si="91"/>
        <v/>
      </c>
      <c r="I266" t="str">
        <f t="shared" si="92"/>
        <v/>
      </c>
      <c r="J266" t="str">
        <f t="shared" si="93"/>
        <v/>
      </c>
      <c r="K266" t="str">
        <f t="shared" si="94"/>
        <v/>
      </c>
      <c r="L266" t="str">
        <f t="shared" si="80"/>
        <v/>
      </c>
      <c r="M266" t="str">
        <f t="shared" si="81"/>
        <v/>
      </c>
      <c r="R266" t="str">
        <f t="shared" si="82"/>
        <v/>
      </c>
      <c r="S266" t="str">
        <f t="shared" si="83"/>
        <v/>
      </c>
      <c r="U266" t="str">
        <f t="shared" si="84"/>
        <v/>
      </c>
      <c r="V266" t="str">
        <f t="shared" si="85"/>
        <v/>
      </c>
      <c r="W266" s="5" t="str">
        <f t="shared" si="86"/>
        <v/>
      </c>
      <c r="Y266" t="str">
        <f t="shared" si="87"/>
        <v/>
      </c>
      <c r="Z266" t="str">
        <f t="shared" si="88"/>
        <v/>
      </c>
      <c r="AB266" t="str">
        <f t="shared" si="89"/>
        <v>https://shop.officineitalianezard.it/contents/imgs/products/1_948-scarichi%20moto%20zard%20cross.jpg</v>
      </c>
      <c r="AE266" t="b">
        <v>0</v>
      </c>
    </row>
    <row r="267" spans="1:31" x14ac:dyDescent="0.2">
      <c r="A267" t="str">
        <f t="shared" si="76"/>
        <v>https://shop.officineitalianezard.it/en/full-kit-cross-version-2/</v>
      </c>
      <c r="B267" t="b">
        <f>COUNTIF($A$2:$A267, A267)&gt;1</f>
        <v>1</v>
      </c>
      <c r="C267" t="b">
        <f t="shared" si="77"/>
        <v>0</v>
      </c>
      <c r="D267">
        <f>VLOOKUP(A267,variant_counts!A:B, 2, FALSE)</f>
        <v>2</v>
      </c>
      <c r="E267" t="str">
        <f t="shared" si="90"/>
        <v>zard-exhaust-21-full-kit-cross-version-triumph-thruxton-injection-ztph034skc-08</v>
      </c>
      <c r="F267" t="str">
        <f t="shared" si="78"/>
        <v>ZARD EXHAUST 2&gt;1 FULL KIT CROSS VERSION TRIUMPH THRUXTON INJECTION ZTPH034SKC-08</v>
      </c>
      <c r="G267" t="str">
        <f t="shared" si="79"/>
        <v/>
      </c>
      <c r="H267" t="str">
        <f t="shared" si="91"/>
        <v/>
      </c>
      <c r="I267" t="str">
        <f t="shared" si="92"/>
        <v/>
      </c>
      <c r="J267" t="str">
        <f t="shared" si="93"/>
        <v/>
      </c>
      <c r="K267" t="str">
        <f t="shared" si="94"/>
        <v/>
      </c>
      <c r="L267" t="str">
        <f t="shared" si="80"/>
        <v/>
      </c>
      <c r="M267" t="str">
        <f t="shared" si="81"/>
        <v/>
      </c>
      <c r="R267" t="str">
        <f t="shared" si="82"/>
        <v/>
      </c>
      <c r="S267" t="str">
        <f t="shared" si="83"/>
        <v/>
      </c>
      <c r="U267" t="str">
        <f t="shared" si="84"/>
        <v/>
      </c>
      <c r="V267" t="str">
        <f t="shared" si="85"/>
        <v/>
      </c>
      <c r="W267" s="5" t="str">
        <f t="shared" si="86"/>
        <v/>
      </c>
      <c r="Y267" t="str">
        <f t="shared" si="87"/>
        <v/>
      </c>
      <c r="Z267" t="str">
        <f t="shared" si="88"/>
        <v/>
      </c>
      <c r="AB267" t="str">
        <f t="shared" si="89"/>
        <v>https://shop.officineitalianezard.it/contents/imgs/products/1_1151-11017541_10153917985646632_8025402486644623573_n.jpg</v>
      </c>
      <c r="AE267" t="b">
        <v>0</v>
      </c>
    </row>
    <row r="268" spans="1:31" x14ac:dyDescent="0.2">
      <c r="A268" t="str">
        <f t="shared" si="76"/>
        <v>https://shop.officineitalianezard.it/en/full-kit-cross-version-2/</v>
      </c>
      <c r="B268" t="b">
        <f>COUNTIF($A$2:$A268, A268)&gt;1</f>
        <v>1</v>
      </c>
      <c r="C268" t="b">
        <f t="shared" si="77"/>
        <v>0</v>
      </c>
      <c r="D268">
        <f>VLOOKUP(A268,variant_counts!A:B, 2, FALSE)</f>
        <v>2</v>
      </c>
      <c r="E268" t="str">
        <f t="shared" si="90"/>
        <v>zard-exhaust-21-full-kit-cross-version-triumph-thruxton-injection-ztph034skc-08</v>
      </c>
      <c r="F268" t="str">
        <f t="shared" si="78"/>
        <v>ZARD EXHAUST 2&gt;1 FULL KIT CROSS VERSION TRIUMPH THRUXTON INJECTION ZTPH034SKC-08</v>
      </c>
      <c r="G268" t="str">
        <f t="shared" si="79"/>
        <v/>
      </c>
      <c r="H268" t="str">
        <f t="shared" si="91"/>
        <v/>
      </c>
      <c r="I268" t="str">
        <f t="shared" si="92"/>
        <v/>
      </c>
      <c r="J268" t="str">
        <f t="shared" si="93"/>
        <v/>
      </c>
      <c r="K268" t="str">
        <f t="shared" si="94"/>
        <v/>
      </c>
      <c r="L268" t="str">
        <f t="shared" si="80"/>
        <v/>
      </c>
      <c r="M268" t="str">
        <f t="shared" si="81"/>
        <v/>
      </c>
      <c r="R268" t="str">
        <f t="shared" si="82"/>
        <v/>
      </c>
      <c r="S268" t="str">
        <f t="shared" si="83"/>
        <v/>
      </c>
      <c r="U268" t="str">
        <f t="shared" si="84"/>
        <v/>
      </c>
      <c r="V268" t="str">
        <f t="shared" si="85"/>
        <v/>
      </c>
      <c r="W268" s="5" t="str">
        <f t="shared" si="86"/>
        <v/>
      </c>
      <c r="Y268" t="str">
        <f t="shared" si="87"/>
        <v/>
      </c>
      <c r="Z268" t="str">
        <f t="shared" si="88"/>
        <v/>
      </c>
      <c r="AB268" t="str">
        <f t="shared" si="89"/>
        <v>https://shop.officineitalianezard.it/contents/imgs/products/1_1150-11259175_10153917986126632_709285374156847894_n.jpg</v>
      </c>
      <c r="AE268" t="b">
        <v>0</v>
      </c>
    </row>
    <row r="269" spans="1:31" x14ac:dyDescent="0.2">
      <c r="A269" t="str">
        <f t="shared" si="76"/>
        <v>https://shop.officineitalianezard.it/en/full-kit-cross-version-2/</v>
      </c>
      <c r="B269" t="b">
        <f>COUNTIF($A$2:$A269, A269)&gt;1</f>
        <v>1</v>
      </c>
      <c r="C269" t="b">
        <f t="shared" si="77"/>
        <v>1</v>
      </c>
      <c r="D269">
        <f>VLOOKUP(A269,variant_counts!A:B, 2, FALSE)</f>
        <v>2</v>
      </c>
      <c r="E269" t="str">
        <f t="shared" si="90"/>
        <v>zard-exhaust-21-full-kit-cross-version-triumph-thruxton-injection-ztph034skc-08</v>
      </c>
      <c r="F269" t="str">
        <f t="shared" si="78"/>
        <v>ZARD EXHAUST 2&gt;1 FULL KIT CROSS VERSION TRIUMPH THRUXTON INJECTION ZTPH034SKC-08</v>
      </c>
      <c r="G269" t="str">
        <f t="shared" si="79"/>
        <v/>
      </c>
      <c r="H269" t="str">
        <f t="shared" si="91"/>
        <v/>
      </c>
      <c r="I269" t="str">
        <f t="shared" si="92"/>
        <v/>
      </c>
      <c r="J269" t="str">
        <f t="shared" si="93"/>
        <v/>
      </c>
      <c r="K269" t="str">
        <f t="shared" si="94"/>
        <v/>
      </c>
      <c r="L269" t="str">
        <f t="shared" si="80"/>
        <v>Option</v>
      </c>
      <c r="M269" t="str">
        <f t="shared" si="81"/>
        <v>BLACK COATING</v>
      </c>
      <c r="R269" t="str">
        <f t="shared" si="82"/>
        <v>ZTPH034SKC-08</v>
      </c>
      <c r="S269">
        <f t="shared" si="83"/>
        <v>0</v>
      </c>
      <c r="U269" t="str">
        <f t="shared" si="84"/>
        <v>continue</v>
      </c>
      <c r="V269" t="str">
        <f t="shared" si="85"/>
        <v>manual</v>
      </c>
      <c r="W269" s="5">
        <f t="shared" si="86"/>
        <v>1040.847</v>
      </c>
      <c r="Y269" t="b">
        <f t="shared" si="87"/>
        <v>1</v>
      </c>
      <c r="Z269" t="b">
        <f t="shared" si="88"/>
        <v>0</v>
      </c>
      <c r="AB269" t="str">
        <f t="shared" si="89"/>
        <v/>
      </c>
      <c r="AE269" t="b">
        <v>0</v>
      </c>
    </row>
    <row r="270" spans="1:31" x14ac:dyDescent="0.2">
      <c r="A270" t="str">
        <f t="shared" si="76"/>
        <v>https://shop.officineitalianezard.it/en/full-kit-cross-version-2/</v>
      </c>
      <c r="B270" t="b">
        <f>COUNTIF($A$2:$A270, A270)&gt;1</f>
        <v>1</v>
      </c>
      <c r="C270" t="b">
        <f t="shared" si="77"/>
        <v>1</v>
      </c>
      <c r="D270">
        <f>VLOOKUP(A270,variant_counts!A:B, 2, FALSE)</f>
        <v>2</v>
      </c>
      <c r="E270" t="str">
        <f t="shared" si="90"/>
        <v>zard-exhaust-21-full-kit-cross-version-triumph-thruxton-injection-ztph034skc-08</v>
      </c>
      <c r="F270" t="str">
        <f t="shared" si="78"/>
        <v>ZARD EXHAUST 2&gt;1 FULL KIT CROSS VERSION TRIUMPH THRUXTON INJECTION ZTPH034SKC-08</v>
      </c>
      <c r="G270" t="str">
        <f t="shared" si="79"/>
        <v/>
      </c>
      <c r="H270" t="str">
        <f t="shared" si="91"/>
        <v/>
      </c>
      <c r="I270" t="str">
        <f t="shared" si="92"/>
        <v/>
      </c>
      <c r="J270" t="str">
        <f t="shared" si="93"/>
        <v/>
      </c>
      <c r="K270" t="str">
        <f t="shared" si="94"/>
        <v/>
      </c>
      <c r="L270" t="str">
        <f t="shared" si="80"/>
        <v>Option</v>
      </c>
      <c r="M270" t="str">
        <f t="shared" si="81"/>
        <v>POLISHED</v>
      </c>
      <c r="R270" t="str">
        <f t="shared" si="82"/>
        <v>ZTPH034SKC-08</v>
      </c>
      <c r="S270">
        <f t="shared" si="83"/>
        <v>0</v>
      </c>
      <c r="U270" t="str">
        <f t="shared" si="84"/>
        <v>continue</v>
      </c>
      <c r="V270" t="str">
        <f t="shared" si="85"/>
        <v>manual</v>
      </c>
      <c r="W270" s="5">
        <f t="shared" si="86"/>
        <v>959.78370000000007</v>
      </c>
      <c r="Y270" t="b">
        <f t="shared" si="87"/>
        <v>1</v>
      </c>
      <c r="Z270" t="b">
        <f t="shared" si="88"/>
        <v>0</v>
      </c>
      <c r="AB270" t="str">
        <f t="shared" si="89"/>
        <v/>
      </c>
      <c r="AE270" t="b">
        <v>0</v>
      </c>
    </row>
    <row r="271" spans="1:31" x14ac:dyDescent="0.2">
      <c r="A271" t="str">
        <f t="shared" si="76"/>
        <v>https://shop.officineitalianezard.it/en/full-lower-kit-2-1-steel/</v>
      </c>
      <c r="B271" t="b">
        <f>COUNTIF($A$2:$A271, A271)&gt;1</f>
        <v>0</v>
      </c>
      <c r="C271" t="b">
        <f t="shared" si="77"/>
        <v>0</v>
      </c>
      <c r="D271">
        <f>VLOOKUP(A271,variant_counts!A:B, 2, FALSE)</f>
        <v>2</v>
      </c>
      <c r="E271" t="str">
        <f t="shared" si="90"/>
        <v>zard-exhaust-21-low-mounted-full-kit-triumph-thruxton-injection-ztph036skb-08</v>
      </c>
      <c r="F271" t="str">
        <f t="shared" si="78"/>
        <v>ZARD EXHAUST 2&gt;1 LOW MOUNTED FULL KIT TRIUMPH THRUXTON INJECTION ZTPH036SKB-08</v>
      </c>
      <c r="G271" t="str">
        <f t="shared" si="79"/>
        <v>&lt;p&gt;2&amp;gt;1 FULL KIT STEEL RACING&lt;/p&gt;
&lt;p&gt;ORIGINAL FULL KIT WEIGHT: KG 9.3&lt;br&gt;ZARD FULL KIT WEIGHT: KG 6.8&lt;/p&gt;
&lt;p&gt;HARD INCREASE, COMPARED TO THE ORIGINAL EXHAUST SYSTEM, IN TERMS OF TORQUE IN THE 4000-6500 RPM RANGE AND POWER (+1.5 HP).&lt;/p&gt;
&lt;p&gt;ASTONISHING SOUND.&lt;/p&gt;</v>
      </c>
      <c r="H271" t="str">
        <f t="shared" si="91"/>
        <v>ZARD</v>
      </c>
      <c r="I271" t="str">
        <f t="shared" si="92"/>
        <v>Exhaust Pipe</v>
      </c>
      <c r="J271" t="str">
        <f t="shared" si="93"/>
        <v>Test</v>
      </c>
      <c r="K271" t="b">
        <f t="shared" si="94"/>
        <v>0</v>
      </c>
      <c r="L271" t="str">
        <f t="shared" si="80"/>
        <v/>
      </c>
      <c r="M271" t="str">
        <f t="shared" si="81"/>
        <v/>
      </c>
      <c r="R271" t="str">
        <f t="shared" si="82"/>
        <v/>
      </c>
      <c r="S271" t="str">
        <f t="shared" si="83"/>
        <v/>
      </c>
      <c r="U271" t="str">
        <f t="shared" si="84"/>
        <v/>
      </c>
      <c r="V271" t="str">
        <f t="shared" si="85"/>
        <v/>
      </c>
      <c r="W271" s="5" t="str">
        <f t="shared" si="86"/>
        <v/>
      </c>
      <c r="Y271" t="str">
        <f t="shared" si="87"/>
        <v/>
      </c>
      <c r="Z271" t="str">
        <f t="shared" si="88"/>
        <v/>
      </c>
      <c r="AB271" t="str">
        <f t="shared" si="89"/>
        <v>https://shop.officineitalianezard.it/contents/imgs/products/1_194-2.jpg</v>
      </c>
      <c r="AE271" t="b">
        <v>0</v>
      </c>
    </row>
    <row r="272" spans="1:31" x14ac:dyDescent="0.2">
      <c r="A272" t="str">
        <f t="shared" si="76"/>
        <v>https://shop.officineitalianezard.it/en/full-lower-kit-2-1-steel/</v>
      </c>
      <c r="B272" t="b">
        <f>COUNTIF($A$2:$A272, A272)&gt;1</f>
        <v>1</v>
      </c>
      <c r="C272" t="b">
        <f t="shared" si="77"/>
        <v>0</v>
      </c>
      <c r="D272">
        <f>VLOOKUP(A272,variant_counts!A:B, 2, FALSE)</f>
        <v>2</v>
      </c>
      <c r="E272" t="str">
        <f t="shared" si="90"/>
        <v>zard-exhaust-21-low-mounted-full-kit-triumph-thruxton-injection-ztph036skb-08</v>
      </c>
      <c r="F272" t="str">
        <f t="shared" si="78"/>
        <v>ZARD EXHAUST 2&gt;1 LOW MOUNTED FULL KIT TRIUMPH THRUXTON INJECTION ZTPH036SKB-08</v>
      </c>
      <c r="G272" t="str">
        <f t="shared" si="79"/>
        <v/>
      </c>
      <c r="H272" t="str">
        <f t="shared" si="91"/>
        <v/>
      </c>
      <c r="I272" t="str">
        <f t="shared" si="92"/>
        <v/>
      </c>
      <c r="J272" t="str">
        <f t="shared" si="93"/>
        <v/>
      </c>
      <c r="K272" t="str">
        <f t="shared" si="94"/>
        <v/>
      </c>
      <c r="L272" t="str">
        <f t="shared" si="80"/>
        <v/>
      </c>
      <c r="M272" t="str">
        <f t="shared" si="81"/>
        <v/>
      </c>
      <c r="R272" t="str">
        <f t="shared" si="82"/>
        <v/>
      </c>
      <c r="S272" t="str">
        <f t="shared" si="83"/>
        <v/>
      </c>
      <c r="U272" t="str">
        <f t="shared" si="84"/>
        <v/>
      </c>
      <c r="V272" t="str">
        <f t="shared" si="85"/>
        <v/>
      </c>
      <c r="W272" s="5" t="str">
        <f t="shared" si="86"/>
        <v/>
      </c>
      <c r="Y272" t="str">
        <f t="shared" si="87"/>
        <v/>
      </c>
      <c r="Z272" t="str">
        <f t="shared" si="88"/>
        <v/>
      </c>
      <c r="AB272" t="str">
        <f t="shared" si="89"/>
        <v>https://shop.officineitalianezard.it/contents/imgs/products/1_193-1.jpg</v>
      </c>
      <c r="AE272" t="b">
        <v>0</v>
      </c>
    </row>
    <row r="273" spans="1:31" x14ac:dyDescent="0.2">
      <c r="A273" t="str">
        <f t="shared" si="76"/>
        <v>https://shop.officineitalianezard.it/en/full-lower-kit-2-1-steel/</v>
      </c>
      <c r="B273" t="b">
        <f>COUNTIF($A$2:$A273, A273)&gt;1</f>
        <v>1</v>
      </c>
      <c r="C273" t="b">
        <f t="shared" si="77"/>
        <v>1</v>
      </c>
      <c r="D273">
        <f>VLOOKUP(A273,variant_counts!A:B, 2, FALSE)</f>
        <v>2</v>
      </c>
      <c r="E273" t="str">
        <f t="shared" si="90"/>
        <v>zard-exhaust-21-low-mounted-full-kit-triumph-thruxton-injection-ztph036skb-08</v>
      </c>
      <c r="F273" t="str">
        <f t="shared" si="78"/>
        <v>ZARD EXHAUST 2&gt;1 LOW MOUNTED FULL KIT TRIUMPH THRUXTON INJECTION ZTPH036SKB-08</v>
      </c>
      <c r="G273" t="str">
        <f t="shared" si="79"/>
        <v/>
      </c>
      <c r="H273" t="str">
        <f t="shared" si="91"/>
        <v/>
      </c>
      <c r="I273" t="str">
        <f t="shared" si="92"/>
        <v/>
      </c>
      <c r="J273" t="str">
        <f t="shared" si="93"/>
        <v/>
      </c>
      <c r="K273" t="str">
        <f t="shared" si="94"/>
        <v/>
      </c>
      <c r="L273" t="str">
        <f t="shared" si="80"/>
        <v>Option</v>
      </c>
      <c r="M273" t="str">
        <f t="shared" si="81"/>
        <v>CATALYZED</v>
      </c>
      <c r="R273" t="str">
        <f t="shared" si="82"/>
        <v>ZTPH036SKB-08</v>
      </c>
      <c r="S273">
        <f t="shared" si="83"/>
        <v>0</v>
      </c>
      <c r="U273" t="str">
        <f t="shared" si="84"/>
        <v>continue</v>
      </c>
      <c r="V273" t="str">
        <f t="shared" si="85"/>
        <v>manual</v>
      </c>
      <c r="W273" s="5">
        <f t="shared" si="86"/>
        <v>1104.0837000000001</v>
      </c>
      <c r="Y273" t="b">
        <f t="shared" si="87"/>
        <v>1</v>
      </c>
      <c r="Z273" t="b">
        <f t="shared" si="88"/>
        <v>0</v>
      </c>
      <c r="AB273" t="str">
        <f t="shared" si="89"/>
        <v/>
      </c>
      <c r="AE273" t="b">
        <v>0</v>
      </c>
    </row>
    <row r="274" spans="1:31" x14ac:dyDescent="0.2">
      <c r="A274" t="str">
        <f t="shared" si="76"/>
        <v>https://shop.officineitalianezard.it/en/full-lower-kit-2-1-steel/</v>
      </c>
      <c r="B274" t="b">
        <f>COUNTIF($A$2:$A274, A274)&gt;1</f>
        <v>1</v>
      </c>
      <c r="C274" t="b">
        <f t="shared" si="77"/>
        <v>1</v>
      </c>
      <c r="D274">
        <f>VLOOKUP(A274,variant_counts!A:B, 2, FALSE)</f>
        <v>2</v>
      </c>
      <c r="E274" t="str">
        <f t="shared" si="90"/>
        <v>zard-exhaust-21-low-mounted-full-kit-triumph-thruxton-injection-ztph036skb-08</v>
      </c>
      <c r="F274" t="str">
        <f t="shared" si="78"/>
        <v>ZARD EXHAUST 2&gt;1 LOW MOUNTED FULL KIT TRIUMPH THRUXTON INJECTION ZTPH036SKB-08</v>
      </c>
      <c r="G274" t="str">
        <f t="shared" si="79"/>
        <v/>
      </c>
      <c r="H274" t="str">
        <f t="shared" si="91"/>
        <v/>
      </c>
      <c r="I274" t="str">
        <f t="shared" si="92"/>
        <v/>
      </c>
      <c r="J274" t="str">
        <f t="shared" si="93"/>
        <v/>
      </c>
      <c r="K274" t="str">
        <f t="shared" si="94"/>
        <v/>
      </c>
      <c r="L274" t="str">
        <f t="shared" si="80"/>
        <v>Option</v>
      </c>
      <c r="M274" t="str">
        <f t="shared" si="81"/>
        <v>BLACK COATING</v>
      </c>
      <c r="R274" t="str">
        <f t="shared" si="82"/>
        <v>ZTPH036SKB-08</v>
      </c>
      <c r="S274">
        <f t="shared" si="83"/>
        <v>0</v>
      </c>
      <c r="U274" t="str">
        <f t="shared" si="84"/>
        <v>continue</v>
      </c>
      <c r="V274" t="str">
        <f t="shared" si="85"/>
        <v>manual</v>
      </c>
      <c r="W274" s="5">
        <f t="shared" si="86"/>
        <v>1067.2317</v>
      </c>
      <c r="Y274" t="b">
        <f t="shared" si="87"/>
        <v>1</v>
      </c>
      <c r="Z274" t="b">
        <f t="shared" si="88"/>
        <v>0</v>
      </c>
      <c r="AB274" t="str">
        <f t="shared" si="89"/>
        <v/>
      </c>
      <c r="AE274" t="b">
        <v>0</v>
      </c>
    </row>
    <row r="275" spans="1:31" x14ac:dyDescent="0.2">
      <c r="A275" t="str">
        <f t="shared" si="76"/>
        <v>https://shop.officineitalianezard.it/en/full-lower-kit-2-1-steel-2/</v>
      </c>
      <c r="B275" t="b">
        <f>COUNTIF($A$2:$A275, A275)&gt;1</f>
        <v>0</v>
      </c>
      <c r="C275" t="b">
        <f t="shared" si="77"/>
        <v>0</v>
      </c>
      <c r="D275">
        <f>VLOOKUP(A275,variant_counts!A:B, 2, FALSE)</f>
        <v>3</v>
      </c>
      <c r="E275" t="str">
        <f t="shared" si="90"/>
        <v>zard-exhaust-21-low-mounted-full-kit-triumph-thruxton-carburettor-ztph-036-skb</v>
      </c>
      <c r="F275" t="str">
        <f t="shared" si="78"/>
        <v>ZARD EXHAUST 2&gt;1 LOW MOUNTED FULL KIT TRIUMPH THRUXTON CARBURETTOR ZTPH 036 SKB</v>
      </c>
      <c r="G275" t="str">
        <f t="shared" si="79"/>
        <v>&lt;p&gt;2&amp;gt;1 FULL KIT STEEL RACING&lt;/p&gt;
&lt;p&gt;ORIGINAL FULL KIT WEIGHT: KG 9.3&lt;br&gt;ZARD FULL KIT WEIGHT: KG 6.8&lt;/p&gt;
&lt;p&gt;HARD INCREASE, COMPARED TO THE ORIGINAL EXHAUST SYSTEM, IN TERMS OF TORQUE IN THE 4000-6500 RPM RANGE AND POWER (+1.5 HP).&lt;/p&gt;
&lt;p&gt;ASTONISHING SOUND.&lt;/p&gt;</v>
      </c>
      <c r="H275" t="str">
        <f t="shared" si="91"/>
        <v>ZARD</v>
      </c>
      <c r="I275" t="str">
        <f t="shared" si="92"/>
        <v>Exhaust Pipe</v>
      </c>
      <c r="J275" t="str">
        <f t="shared" si="93"/>
        <v>Test</v>
      </c>
      <c r="K275" t="b">
        <f t="shared" si="94"/>
        <v>0</v>
      </c>
      <c r="L275" t="str">
        <f t="shared" si="80"/>
        <v/>
      </c>
      <c r="M275" t="str">
        <f t="shared" si="81"/>
        <v/>
      </c>
      <c r="R275" t="str">
        <f t="shared" si="82"/>
        <v/>
      </c>
      <c r="S275" t="str">
        <f t="shared" si="83"/>
        <v/>
      </c>
      <c r="U275" t="str">
        <f t="shared" si="84"/>
        <v/>
      </c>
      <c r="V275" t="str">
        <f t="shared" si="85"/>
        <v/>
      </c>
      <c r="W275" s="5" t="str">
        <f t="shared" si="86"/>
        <v/>
      </c>
      <c r="Y275" t="str">
        <f t="shared" si="87"/>
        <v/>
      </c>
      <c r="Z275" t="str">
        <f t="shared" si="88"/>
        <v/>
      </c>
      <c r="AB275" t="str">
        <f t="shared" si="89"/>
        <v>https://shop.officineitalianezard.it/contents/imgs/products/1_196-2.jpg</v>
      </c>
      <c r="AE275" t="b">
        <v>0</v>
      </c>
    </row>
    <row r="276" spans="1:31" x14ac:dyDescent="0.2">
      <c r="A276" t="str">
        <f t="shared" si="76"/>
        <v>https://shop.officineitalianezard.it/en/full-lower-kit-2-1-steel-2/</v>
      </c>
      <c r="B276" t="b">
        <f>COUNTIF($A$2:$A276, A276)&gt;1</f>
        <v>1</v>
      </c>
      <c r="C276" t="b">
        <f t="shared" si="77"/>
        <v>0</v>
      </c>
      <c r="D276">
        <f>VLOOKUP(A276,variant_counts!A:B, 2, FALSE)</f>
        <v>3</v>
      </c>
      <c r="E276" t="str">
        <f t="shared" si="90"/>
        <v>zard-exhaust-21-low-mounted-full-kit-triumph-thruxton-carburettor-ztph-036-skb</v>
      </c>
      <c r="F276" t="str">
        <f t="shared" si="78"/>
        <v>ZARD EXHAUST 2&gt;1 LOW MOUNTED FULL KIT TRIUMPH THRUXTON CARBURETTOR ZTPH 036 SKB</v>
      </c>
      <c r="G276" t="str">
        <f t="shared" si="79"/>
        <v/>
      </c>
      <c r="H276" t="str">
        <f t="shared" si="91"/>
        <v/>
      </c>
      <c r="I276" t="str">
        <f t="shared" si="92"/>
        <v/>
      </c>
      <c r="J276" t="str">
        <f t="shared" si="93"/>
        <v/>
      </c>
      <c r="K276" t="str">
        <f t="shared" si="94"/>
        <v/>
      </c>
      <c r="L276" t="str">
        <f t="shared" si="80"/>
        <v/>
      </c>
      <c r="M276" t="str">
        <f t="shared" si="81"/>
        <v/>
      </c>
      <c r="R276" t="str">
        <f t="shared" si="82"/>
        <v/>
      </c>
      <c r="S276" t="str">
        <f t="shared" si="83"/>
        <v/>
      </c>
      <c r="U276" t="str">
        <f t="shared" si="84"/>
        <v/>
      </c>
      <c r="V276" t="str">
        <f t="shared" si="85"/>
        <v/>
      </c>
      <c r="W276" s="5" t="str">
        <f t="shared" si="86"/>
        <v/>
      </c>
      <c r="Y276" t="str">
        <f t="shared" si="87"/>
        <v/>
      </c>
      <c r="Z276" t="str">
        <f t="shared" si="88"/>
        <v/>
      </c>
      <c r="AB276" t="str">
        <f t="shared" si="89"/>
        <v>https://shop.officineitalianezard.it/contents/imgs/products/1_195-1.jpg</v>
      </c>
      <c r="AE276" t="b">
        <v>0</v>
      </c>
    </row>
    <row r="277" spans="1:31" x14ac:dyDescent="0.2">
      <c r="A277" t="str">
        <f t="shared" si="76"/>
        <v>https://shop.officineitalianezard.it/en/full-lower-kit-2-1-steel-2/</v>
      </c>
      <c r="B277" t="b">
        <f>COUNTIF($A$2:$A277, A277)&gt;1</f>
        <v>1</v>
      </c>
      <c r="C277" t="b">
        <f t="shared" si="77"/>
        <v>1</v>
      </c>
      <c r="D277">
        <f>VLOOKUP(A277,variant_counts!A:B, 2, FALSE)</f>
        <v>3</v>
      </c>
      <c r="E277" t="str">
        <f t="shared" si="90"/>
        <v>zard-exhaust-21-low-mounted-full-kit-triumph-thruxton-carburettor-ztph-036-skb</v>
      </c>
      <c r="F277" t="str">
        <f t="shared" si="78"/>
        <v>ZARD EXHAUST 2&gt;1 LOW MOUNTED FULL KIT TRIUMPH THRUXTON CARBURETTOR ZTPH 036 SKB</v>
      </c>
      <c r="G277" t="str">
        <f t="shared" si="79"/>
        <v/>
      </c>
      <c r="H277" t="str">
        <f t="shared" si="91"/>
        <v/>
      </c>
      <c r="I277" t="str">
        <f t="shared" si="92"/>
        <v/>
      </c>
      <c r="J277" t="str">
        <f t="shared" si="93"/>
        <v/>
      </c>
      <c r="K277" t="str">
        <f t="shared" si="94"/>
        <v/>
      </c>
      <c r="L277" t="str">
        <f t="shared" si="80"/>
        <v>Option</v>
      </c>
      <c r="M277" t="str">
        <f t="shared" si="81"/>
        <v>HOMOLOGATED</v>
      </c>
      <c r="R277" t="str">
        <f t="shared" si="82"/>
        <v>ZTPH 036 SKB</v>
      </c>
      <c r="S277">
        <f t="shared" si="83"/>
        <v>0</v>
      </c>
      <c r="U277" t="str">
        <f t="shared" si="84"/>
        <v>continue</v>
      </c>
      <c r="V277" t="str">
        <f t="shared" si="85"/>
        <v>manual</v>
      </c>
      <c r="W277" s="5">
        <f t="shared" si="86"/>
        <v>964.87860000000012</v>
      </c>
      <c r="Y277" t="b">
        <f t="shared" si="87"/>
        <v>1</v>
      </c>
      <c r="Z277" t="b">
        <f t="shared" si="88"/>
        <v>0</v>
      </c>
      <c r="AB277" t="str">
        <f t="shared" si="89"/>
        <v/>
      </c>
      <c r="AE277" t="b">
        <v>0</v>
      </c>
    </row>
    <row r="278" spans="1:31" x14ac:dyDescent="0.2">
      <c r="A278" t="str">
        <f t="shared" si="76"/>
        <v>https://shop.officineitalianezard.it/en/full-lower-kit-2-1-steel-2/</v>
      </c>
      <c r="B278" t="b">
        <f>COUNTIF($A$2:$A278, A278)&gt;1</f>
        <v>1</v>
      </c>
      <c r="C278" t="b">
        <f t="shared" si="77"/>
        <v>1</v>
      </c>
      <c r="D278">
        <f>VLOOKUP(A278,variant_counts!A:B, 2, FALSE)</f>
        <v>3</v>
      </c>
      <c r="E278" t="str">
        <f t="shared" si="90"/>
        <v>zard-exhaust-21-low-mounted-full-kit-triumph-thruxton-carburettor-ztph-036-skb</v>
      </c>
      <c r="F278" t="str">
        <f t="shared" si="78"/>
        <v>ZARD EXHAUST 2&gt;1 LOW MOUNTED FULL KIT TRIUMPH THRUXTON CARBURETTOR ZTPH 036 SKB</v>
      </c>
      <c r="G278" t="str">
        <f t="shared" si="79"/>
        <v/>
      </c>
      <c r="H278" t="str">
        <f t="shared" si="91"/>
        <v/>
      </c>
      <c r="I278" t="str">
        <f t="shared" si="92"/>
        <v/>
      </c>
      <c r="J278" t="str">
        <f t="shared" si="93"/>
        <v/>
      </c>
      <c r="K278" t="str">
        <f t="shared" si="94"/>
        <v/>
      </c>
      <c r="L278" t="str">
        <f t="shared" si="80"/>
        <v>Option</v>
      </c>
      <c r="M278" t="str">
        <f t="shared" si="81"/>
        <v>BLACK CERAMIC COATING</v>
      </c>
      <c r="R278" t="str">
        <f t="shared" si="82"/>
        <v>ZTPH 036 SKB</v>
      </c>
      <c r="S278">
        <f t="shared" si="83"/>
        <v>0</v>
      </c>
      <c r="U278" t="str">
        <f t="shared" si="84"/>
        <v>continue</v>
      </c>
      <c r="V278" t="str">
        <f t="shared" si="85"/>
        <v>manual</v>
      </c>
      <c r="W278" s="5">
        <f t="shared" si="86"/>
        <v>1067.2317</v>
      </c>
      <c r="Y278" t="b">
        <f t="shared" si="87"/>
        <v>1</v>
      </c>
      <c r="Z278" t="b">
        <f t="shared" si="88"/>
        <v>0</v>
      </c>
      <c r="AB278" t="str">
        <f t="shared" si="89"/>
        <v/>
      </c>
      <c r="AE278" t="b">
        <v>0</v>
      </c>
    </row>
    <row r="279" spans="1:31" x14ac:dyDescent="0.2">
      <c r="A279" t="str">
        <f t="shared" si="76"/>
        <v>https://shop.officineitalianezard.it/en/full-lower-kit-2-1-steel-2/</v>
      </c>
      <c r="B279" t="b">
        <f>COUNTIF($A$2:$A279, A279)&gt;1</f>
        <v>1</v>
      </c>
      <c r="C279" t="b">
        <f t="shared" si="77"/>
        <v>1</v>
      </c>
      <c r="D279">
        <f>VLOOKUP(A279,variant_counts!A:B, 2, FALSE)</f>
        <v>3</v>
      </c>
      <c r="E279" t="str">
        <f t="shared" si="90"/>
        <v>zard-exhaust-21-low-mounted-full-kit-triumph-thruxton-carburettor-ztph-036-skb</v>
      </c>
      <c r="F279" t="str">
        <f t="shared" si="78"/>
        <v>ZARD EXHAUST 2&gt;1 LOW MOUNTED FULL KIT TRIUMPH THRUXTON CARBURETTOR ZTPH 036 SKB</v>
      </c>
      <c r="G279" t="str">
        <f t="shared" si="79"/>
        <v/>
      </c>
      <c r="H279" t="str">
        <f t="shared" si="91"/>
        <v/>
      </c>
      <c r="I279" t="str">
        <f t="shared" si="92"/>
        <v/>
      </c>
      <c r="J279" t="str">
        <f t="shared" si="93"/>
        <v/>
      </c>
      <c r="K279" t="str">
        <f t="shared" si="94"/>
        <v/>
      </c>
      <c r="L279" t="str">
        <f t="shared" si="80"/>
        <v>Option</v>
      </c>
      <c r="M279" t="str">
        <f t="shared" si="81"/>
        <v>POLISHED</v>
      </c>
      <c r="R279" t="str">
        <f t="shared" si="82"/>
        <v>ZTPH 036 SKB</v>
      </c>
      <c r="S279">
        <f t="shared" si="83"/>
        <v>0</v>
      </c>
      <c r="U279" t="str">
        <f t="shared" si="84"/>
        <v>continue</v>
      </c>
      <c r="V279" t="str">
        <f t="shared" si="85"/>
        <v>manual</v>
      </c>
      <c r="W279" s="5">
        <f t="shared" si="86"/>
        <v>986.16840000000002</v>
      </c>
      <c r="Y279" t="b">
        <f t="shared" si="87"/>
        <v>1</v>
      </c>
      <c r="Z279" t="b">
        <f t="shared" si="88"/>
        <v>0</v>
      </c>
      <c r="AB279" t="str">
        <f t="shared" si="89"/>
        <v/>
      </c>
      <c r="AE279" t="b">
        <v>0</v>
      </c>
    </row>
    <row r="280" spans="1:31" x14ac:dyDescent="0.2">
      <c r="A280" t="str">
        <f t="shared" si="76"/>
        <v>https://shop.officineitalianezard.it/en/low-mounted-full-kit-short-carburettor/</v>
      </c>
      <c r="B280" t="b">
        <f>COUNTIF($A$2:$A280, A280)&gt;1</f>
        <v>0</v>
      </c>
      <c r="C280" t="b">
        <f t="shared" si="77"/>
        <v>0</v>
      </c>
      <c r="D280">
        <f>VLOOKUP(A280,variant_counts!A:B, 2, FALSE)</f>
        <v>3</v>
      </c>
      <c r="E280" t="str">
        <f t="shared" si="90"/>
        <v>zard-exhaust-21-low-mounted-full-kit-short-triumph-scrambler-my-2016-carburettor-ztph049skb-08</v>
      </c>
      <c r="F280" t="str">
        <f t="shared" si="78"/>
        <v>ZARD EXHAUST 2&gt;1 LOW MOUNTED FULL KIT SHORT TRIUMPH SCRAMBLER &lt; M.Y. 2016 CARBURETTOR ZTPH049SKB-08</v>
      </c>
      <c r="G280" t="str">
        <f t="shared" si="79"/>
        <v>&lt;p&gt;2&amp;gt;1 STEEL RACING FULL KIT&lt;/p&gt;
&lt;p&gt;ORIGINAL FULL KIT WEIGHT: KG 9.3&lt;br&gt;ZARD FULL KIT WEIGHT: KG 5.5&lt;/p&gt;
&lt;p&gt;HARD INCREASE IN THE MID-RANGE AND SPEAKING ABOUT MAXIMUM POWER COMPARED TO THE ORIGINAL EXHAUST SYSTEM.&lt;/p&gt;
&lt;p&gt;ASTONISHING SOUND.&lt;/p&gt;</v>
      </c>
      <c r="H280" t="str">
        <f t="shared" si="91"/>
        <v>ZARD</v>
      </c>
      <c r="I280" t="str">
        <f t="shared" si="92"/>
        <v>Exhaust Pipe</v>
      </c>
      <c r="J280" t="str">
        <f t="shared" si="93"/>
        <v>Test</v>
      </c>
      <c r="K280" t="b">
        <f t="shared" si="94"/>
        <v>0</v>
      </c>
      <c r="L280" t="str">
        <f t="shared" si="80"/>
        <v/>
      </c>
      <c r="M280" t="str">
        <f t="shared" si="81"/>
        <v/>
      </c>
      <c r="R280" t="str">
        <f t="shared" si="82"/>
        <v/>
      </c>
      <c r="S280" t="str">
        <f t="shared" si="83"/>
        <v/>
      </c>
      <c r="U280" t="str">
        <f t="shared" si="84"/>
        <v/>
      </c>
      <c r="V280" t="str">
        <f t="shared" si="85"/>
        <v/>
      </c>
      <c r="W280" s="5" t="str">
        <f t="shared" si="86"/>
        <v/>
      </c>
      <c r="Y280" t="str">
        <f t="shared" si="87"/>
        <v/>
      </c>
      <c r="Z280" t="str">
        <f t="shared" si="88"/>
        <v/>
      </c>
      <c r="AB280" t="str">
        <f t="shared" si="89"/>
        <v>https://shop.officineitalianezard.it/contents/imgs/products/1_30-2.JPG</v>
      </c>
      <c r="AE280" t="b">
        <v>0</v>
      </c>
    </row>
    <row r="281" spans="1:31" x14ac:dyDescent="0.2">
      <c r="A281" t="str">
        <f t="shared" si="76"/>
        <v>https://shop.officineitalianezard.it/en/low-mounted-full-kit-short-carburettor/</v>
      </c>
      <c r="B281" t="b">
        <f>COUNTIF($A$2:$A281, A281)&gt;1</f>
        <v>1</v>
      </c>
      <c r="C281" t="b">
        <f t="shared" si="77"/>
        <v>0</v>
      </c>
      <c r="D281">
        <f>VLOOKUP(A281,variant_counts!A:B, 2, FALSE)</f>
        <v>3</v>
      </c>
      <c r="E281" t="str">
        <f t="shared" si="90"/>
        <v>zard-exhaust-21-low-mounted-full-kit-short-triumph-scrambler-my-2016-carburettor-ztph049skb-08</v>
      </c>
      <c r="F281" t="str">
        <f t="shared" si="78"/>
        <v>ZARD EXHAUST 2&gt;1 LOW MOUNTED FULL KIT SHORT TRIUMPH SCRAMBLER &lt; M.Y. 2016 CARBURETTOR ZTPH049SKB-08</v>
      </c>
      <c r="G281" t="str">
        <f t="shared" si="79"/>
        <v/>
      </c>
      <c r="H281" t="str">
        <f t="shared" si="91"/>
        <v/>
      </c>
      <c r="I281" t="str">
        <f t="shared" si="92"/>
        <v/>
      </c>
      <c r="J281" t="str">
        <f t="shared" si="93"/>
        <v/>
      </c>
      <c r="K281" t="str">
        <f t="shared" si="94"/>
        <v/>
      </c>
      <c r="L281" t="str">
        <f t="shared" si="80"/>
        <v/>
      </c>
      <c r="M281" t="str">
        <f t="shared" si="81"/>
        <v/>
      </c>
      <c r="R281" t="str">
        <f t="shared" si="82"/>
        <v/>
      </c>
      <c r="S281" t="str">
        <f t="shared" si="83"/>
        <v/>
      </c>
      <c r="U281" t="str">
        <f t="shared" si="84"/>
        <v/>
      </c>
      <c r="V281" t="str">
        <f t="shared" si="85"/>
        <v/>
      </c>
      <c r="W281" s="5" t="str">
        <f t="shared" si="86"/>
        <v/>
      </c>
      <c r="Y281" t="str">
        <f t="shared" si="87"/>
        <v/>
      </c>
      <c r="Z281" t="str">
        <f t="shared" si="88"/>
        <v/>
      </c>
      <c r="AB281" t="str">
        <f t="shared" si="89"/>
        <v>https://shop.officineitalianezard.it/contents/imgs/products/1_31-3.JPG</v>
      </c>
      <c r="AE281" t="b">
        <v>0</v>
      </c>
    </row>
    <row r="282" spans="1:31" x14ac:dyDescent="0.2">
      <c r="A282" t="str">
        <f t="shared" si="76"/>
        <v>https://shop.officineitalianezard.it/en/low-mounted-full-kit-short-carburettor/</v>
      </c>
      <c r="B282" t="b">
        <f>COUNTIF($A$2:$A282, A282)&gt;1</f>
        <v>1</v>
      </c>
      <c r="C282" t="b">
        <f t="shared" si="77"/>
        <v>0</v>
      </c>
      <c r="D282">
        <f>VLOOKUP(A282,variant_counts!A:B, 2, FALSE)</f>
        <v>3</v>
      </c>
      <c r="E282" t="str">
        <f t="shared" si="90"/>
        <v>zard-exhaust-21-low-mounted-full-kit-short-triumph-scrambler-my-2016-carburettor-ztph049skb-08</v>
      </c>
      <c r="F282" t="str">
        <f t="shared" si="78"/>
        <v>ZARD EXHAUST 2&gt;1 LOW MOUNTED FULL KIT SHORT TRIUMPH SCRAMBLER &lt; M.Y. 2016 CARBURETTOR ZTPH049SKB-08</v>
      </c>
      <c r="G282" t="str">
        <f t="shared" si="79"/>
        <v/>
      </c>
      <c r="H282" t="str">
        <f t="shared" si="91"/>
        <v/>
      </c>
      <c r="I282" t="str">
        <f t="shared" si="92"/>
        <v/>
      </c>
      <c r="J282" t="str">
        <f t="shared" si="93"/>
        <v/>
      </c>
      <c r="K282" t="str">
        <f t="shared" si="94"/>
        <v/>
      </c>
      <c r="L282" t="str">
        <f t="shared" si="80"/>
        <v/>
      </c>
      <c r="M282" t="str">
        <f t="shared" si="81"/>
        <v/>
      </c>
      <c r="R282" t="str">
        <f t="shared" si="82"/>
        <v/>
      </c>
      <c r="S282" t="str">
        <f t="shared" si="83"/>
        <v/>
      </c>
      <c r="U282" t="str">
        <f t="shared" si="84"/>
        <v/>
      </c>
      <c r="V282" t="str">
        <f t="shared" si="85"/>
        <v/>
      </c>
      <c r="W282" s="5" t="str">
        <f t="shared" si="86"/>
        <v/>
      </c>
      <c r="Y282" t="str">
        <f t="shared" si="87"/>
        <v/>
      </c>
      <c r="Z282" t="str">
        <f t="shared" si="88"/>
        <v/>
      </c>
      <c r="AB282" t="str">
        <f t="shared" si="89"/>
        <v>https://shop.officineitalianezard.it/contents/imgs/products/1_29-1.JPG</v>
      </c>
      <c r="AE282" t="b">
        <v>0</v>
      </c>
    </row>
    <row r="283" spans="1:31" x14ac:dyDescent="0.2">
      <c r="A283" t="str">
        <f t="shared" si="76"/>
        <v>https://shop.officineitalianezard.it/en/low-mounted-full-kit-short-carburettor/</v>
      </c>
      <c r="B283" t="b">
        <f>COUNTIF($A$2:$A283, A283)&gt;1</f>
        <v>1</v>
      </c>
      <c r="C283" t="b">
        <f t="shared" si="77"/>
        <v>0</v>
      </c>
      <c r="D283">
        <f>VLOOKUP(A283,variant_counts!A:B, 2, FALSE)</f>
        <v>3</v>
      </c>
      <c r="E283" t="str">
        <f t="shared" si="90"/>
        <v>zard-exhaust-21-low-mounted-full-kit-short-triumph-scrambler-my-2016-carburettor-ztph049skb-08</v>
      </c>
      <c r="F283" t="str">
        <f t="shared" si="78"/>
        <v>ZARD EXHAUST 2&gt;1 LOW MOUNTED FULL KIT SHORT TRIUMPH SCRAMBLER &lt; M.Y. 2016 CARBURETTOR ZTPH049SKB-08</v>
      </c>
      <c r="G283" t="str">
        <f t="shared" si="79"/>
        <v/>
      </c>
      <c r="H283" t="str">
        <f t="shared" si="91"/>
        <v/>
      </c>
      <c r="I283" t="str">
        <f t="shared" si="92"/>
        <v/>
      </c>
      <c r="J283" t="str">
        <f t="shared" si="93"/>
        <v/>
      </c>
      <c r="K283" t="str">
        <f t="shared" si="94"/>
        <v/>
      </c>
      <c r="L283" t="str">
        <f t="shared" si="80"/>
        <v/>
      </c>
      <c r="M283" t="str">
        <f t="shared" si="81"/>
        <v/>
      </c>
      <c r="R283" t="str">
        <f t="shared" si="82"/>
        <v/>
      </c>
      <c r="S283" t="str">
        <f t="shared" si="83"/>
        <v/>
      </c>
      <c r="U283" t="str">
        <f t="shared" si="84"/>
        <v/>
      </c>
      <c r="V283" t="str">
        <f t="shared" si="85"/>
        <v/>
      </c>
      <c r="W283" s="5" t="str">
        <f t="shared" si="86"/>
        <v/>
      </c>
      <c r="Y283" t="str">
        <f t="shared" si="87"/>
        <v/>
      </c>
      <c r="Z283" t="str">
        <f t="shared" si="88"/>
        <v/>
      </c>
      <c r="AB283" t="str">
        <f t="shared" si="89"/>
        <v>https://shop.officineitalianezard.it/contents/imgs/products/1_32-4.JPG</v>
      </c>
      <c r="AE283" t="b">
        <v>0</v>
      </c>
    </row>
    <row r="284" spans="1:31" x14ac:dyDescent="0.2">
      <c r="A284" t="str">
        <f t="shared" si="76"/>
        <v>https://shop.officineitalianezard.it/en/low-mounted-full-kit-short-carburettor/</v>
      </c>
      <c r="B284" t="b">
        <f>COUNTIF($A$2:$A284, A284)&gt;1</f>
        <v>1</v>
      </c>
      <c r="C284" t="b">
        <f t="shared" si="77"/>
        <v>0</v>
      </c>
      <c r="D284">
        <f>VLOOKUP(A284,variant_counts!A:B, 2, FALSE)</f>
        <v>3</v>
      </c>
      <c r="E284" t="str">
        <f t="shared" si="90"/>
        <v>zard-exhaust-21-low-mounted-full-kit-short-triumph-scrambler-my-2016-carburettor-ztph049skb-08</v>
      </c>
      <c r="F284" t="str">
        <f t="shared" si="78"/>
        <v>ZARD EXHAUST 2&gt;1 LOW MOUNTED FULL KIT SHORT TRIUMPH SCRAMBLER &lt; M.Y. 2016 CARBURETTOR ZTPH049SKB-08</v>
      </c>
      <c r="G284" t="str">
        <f t="shared" si="79"/>
        <v/>
      </c>
      <c r="H284" t="str">
        <f t="shared" si="91"/>
        <v/>
      </c>
      <c r="I284" t="str">
        <f t="shared" si="92"/>
        <v/>
      </c>
      <c r="J284" t="str">
        <f t="shared" si="93"/>
        <v/>
      </c>
      <c r="K284" t="str">
        <f t="shared" si="94"/>
        <v/>
      </c>
      <c r="L284" t="str">
        <f t="shared" si="80"/>
        <v/>
      </c>
      <c r="M284" t="str">
        <f t="shared" si="81"/>
        <v/>
      </c>
      <c r="R284" t="str">
        <f t="shared" si="82"/>
        <v/>
      </c>
      <c r="S284" t="str">
        <f t="shared" si="83"/>
        <v/>
      </c>
      <c r="U284" t="str">
        <f t="shared" si="84"/>
        <v/>
      </c>
      <c r="V284" t="str">
        <f t="shared" si="85"/>
        <v/>
      </c>
      <c r="W284" s="5" t="str">
        <f t="shared" si="86"/>
        <v/>
      </c>
      <c r="Y284" t="str">
        <f t="shared" si="87"/>
        <v/>
      </c>
      <c r="Z284" t="str">
        <f t="shared" si="88"/>
        <v/>
      </c>
      <c r="AB284" t="str">
        <f t="shared" si="89"/>
        <v>https://shop.officineitalianezard.it/contents/imgs/products/1_507-zard%20short%20web.jpg</v>
      </c>
      <c r="AE284" t="b">
        <v>0</v>
      </c>
    </row>
    <row r="285" spans="1:31" x14ac:dyDescent="0.2">
      <c r="A285" t="str">
        <f t="shared" si="76"/>
        <v>https://shop.officineitalianezard.it/en/low-mounted-full-kit-short-carburettor/</v>
      </c>
      <c r="B285" t="b">
        <f>COUNTIF($A$2:$A285, A285)&gt;1</f>
        <v>1</v>
      </c>
      <c r="C285" t="b">
        <f t="shared" si="77"/>
        <v>1</v>
      </c>
      <c r="D285">
        <f>VLOOKUP(A285,variant_counts!A:B, 2, FALSE)</f>
        <v>3</v>
      </c>
      <c r="E285" t="str">
        <f t="shared" si="90"/>
        <v>zard-exhaust-21-low-mounted-full-kit-short-triumph-scrambler-my-2016-carburettor-ztph049skb-08</v>
      </c>
      <c r="F285" t="str">
        <f t="shared" si="78"/>
        <v>ZARD EXHAUST 2&gt;1 LOW MOUNTED FULL KIT SHORT TRIUMPH SCRAMBLER &lt; M.Y. 2016 CARBURETTOR ZTPH049SKB-08</v>
      </c>
      <c r="G285" t="str">
        <f t="shared" si="79"/>
        <v/>
      </c>
      <c r="H285" t="str">
        <f t="shared" si="91"/>
        <v/>
      </c>
      <c r="I285" t="str">
        <f t="shared" si="92"/>
        <v/>
      </c>
      <c r="J285" t="str">
        <f t="shared" si="93"/>
        <v/>
      </c>
      <c r="K285" t="str">
        <f t="shared" si="94"/>
        <v/>
      </c>
      <c r="L285" t="str">
        <f t="shared" si="80"/>
        <v>Option</v>
      </c>
      <c r="M285" t="str">
        <f t="shared" si="81"/>
        <v>EURO 3 HOMOLOGATED</v>
      </c>
      <c r="R285" t="str">
        <f t="shared" si="82"/>
        <v>ZTPH049SKB-08</v>
      </c>
      <c r="S285">
        <f t="shared" si="83"/>
        <v>0</v>
      </c>
      <c r="U285" t="str">
        <f t="shared" si="84"/>
        <v>continue</v>
      </c>
      <c r="V285" t="str">
        <f t="shared" si="85"/>
        <v>manual</v>
      </c>
      <c r="W285" s="5">
        <f t="shared" si="86"/>
        <v>1035.8520000000001</v>
      </c>
      <c r="Y285" t="b">
        <f t="shared" si="87"/>
        <v>1</v>
      </c>
      <c r="Z285" t="b">
        <f t="shared" si="88"/>
        <v>0</v>
      </c>
      <c r="AB285" t="str">
        <f t="shared" si="89"/>
        <v/>
      </c>
      <c r="AE285" t="b">
        <v>0</v>
      </c>
    </row>
    <row r="286" spans="1:31" x14ac:dyDescent="0.2">
      <c r="A286" t="str">
        <f t="shared" si="76"/>
        <v>https://shop.officineitalianezard.it/en/low-mounted-full-kit-short-carburettor/</v>
      </c>
      <c r="B286" t="b">
        <f>COUNTIF($A$2:$A286, A286)&gt;1</f>
        <v>1</v>
      </c>
      <c r="C286" t="b">
        <f t="shared" si="77"/>
        <v>1</v>
      </c>
      <c r="D286">
        <f>VLOOKUP(A286,variant_counts!A:B, 2, FALSE)</f>
        <v>3</v>
      </c>
      <c r="E286" t="str">
        <f t="shared" si="90"/>
        <v>zard-exhaust-21-low-mounted-full-kit-short-triumph-scrambler-my-2016-carburettor-ztph049skb-08</v>
      </c>
      <c r="F286" t="str">
        <f t="shared" si="78"/>
        <v>ZARD EXHAUST 2&gt;1 LOW MOUNTED FULL KIT SHORT TRIUMPH SCRAMBLER &lt; M.Y. 2016 CARBURETTOR ZTPH049SKB-08</v>
      </c>
      <c r="G286" t="str">
        <f t="shared" si="79"/>
        <v/>
      </c>
      <c r="H286" t="str">
        <f t="shared" si="91"/>
        <v/>
      </c>
      <c r="I286" t="str">
        <f t="shared" si="92"/>
        <v/>
      </c>
      <c r="J286" t="str">
        <f t="shared" si="93"/>
        <v/>
      </c>
      <c r="K286" t="str">
        <f t="shared" si="94"/>
        <v/>
      </c>
      <c r="L286" t="str">
        <f t="shared" si="80"/>
        <v>Option</v>
      </c>
      <c r="M286" t="str">
        <f t="shared" si="81"/>
        <v>BLACK COATING</v>
      </c>
      <c r="R286" t="str">
        <f t="shared" si="82"/>
        <v>ZTPH049SKB-08</v>
      </c>
      <c r="S286">
        <f t="shared" si="83"/>
        <v>0</v>
      </c>
      <c r="U286" t="str">
        <f t="shared" si="84"/>
        <v>continue</v>
      </c>
      <c r="V286" t="str">
        <f t="shared" si="85"/>
        <v>manual</v>
      </c>
      <c r="W286" s="5">
        <f t="shared" si="86"/>
        <v>1138.2051000000001</v>
      </c>
      <c r="Y286" t="b">
        <f t="shared" si="87"/>
        <v>1</v>
      </c>
      <c r="Z286" t="b">
        <f t="shared" si="88"/>
        <v>0</v>
      </c>
      <c r="AB286" t="str">
        <f t="shared" si="89"/>
        <v/>
      </c>
      <c r="AE286" t="b">
        <v>0</v>
      </c>
    </row>
    <row r="287" spans="1:31" x14ac:dyDescent="0.2">
      <c r="A287" t="str">
        <f t="shared" si="76"/>
        <v>https://shop.officineitalianezard.it/en/low-mounted-full-kit-short-carburettor/</v>
      </c>
      <c r="B287" t="b">
        <f>COUNTIF($A$2:$A287, A287)&gt;1</f>
        <v>1</v>
      </c>
      <c r="C287" t="b">
        <f t="shared" si="77"/>
        <v>1</v>
      </c>
      <c r="D287">
        <f>VLOOKUP(A287,variant_counts!A:B, 2, FALSE)</f>
        <v>3</v>
      </c>
      <c r="E287" t="str">
        <f t="shared" si="90"/>
        <v>zard-exhaust-21-low-mounted-full-kit-short-triumph-scrambler-my-2016-carburettor-ztph049skb-08</v>
      </c>
      <c r="F287" t="str">
        <f t="shared" si="78"/>
        <v>ZARD EXHAUST 2&gt;1 LOW MOUNTED FULL KIT SHORT TRIUMPH SCRAMBLER &lt; M.Y. 2016 CARBURETTOR ZTPH049SKB-08</v>
      </c>
      <c r="G287" t="str">
        <f t="shared" si="79"/>
        <v/>
      </c>
      <c r="H287" t="str">
        <f t="shared" si="91"/>
        <v/>
      </c>
      <c r="I287" t="str">
        <f t="shared" si="92"/>
        <v/>
      </c>
      <c r="J287" t="str">
        <f t="shared" si="93"/>
        <v/>
      </c>
      <c r="K287" t="str">
        <f t="shared" si="94"/>
        <v/>
      </c>
      <c r="L287" t="str">
        <f t="shared" si="80"/>
        <v>Option</v>
      </c>
      <c r="M287" t="str">
        <f t="shared" si="81"/>
        <v>POLISHED</v>
      </c>
      <c r="R287" t="str">
        <f t="shared" si="82"/>
        <v>ZTPH049SKB-08</v>
      </c>
      <c r="S287">
        <f t="shared" si="83"/>
        <v>0</v>
      </c>
      <c r="U287" t="str">
        <f t="shared" si="84"/>
        <v>continue</v>
      </c>
      <c r="V287" t="str">
        <f t="shared" si="85"/>
        <v>manual</v>
      </c>
      <c r="W287" s="5">
        <f t="shared" si="86"/>
        <v>1057.1418000000001</v>
      </c>
      <c r="Y287" t="b">
        <f t="shared" si="87"/>
        <v>1</v>
      </c>
      <c r="Z287" t="b">
        <f t="shared" si="88"/>
        <v>0</v>
      </c>
      <c r="AB287" t="str">
        <f t="shared" si="89"/>
        <v/>
      </c>
      <c r="AE287" t="b">
        <v>0</v>
      </c>
    </row>
    <row r="288" spans="1:31" x14ac:dyDescent="0.2">
      <c r="A288" t="str">
        <f t="shared" si="76"/>
        <v>https://shop.officineitalianezard.it/en/low-mounted-full-kit-short-injection/</v>
      </c>
      <c r="B288" t="b">
        <f>COUNTIF($A$2:$A288, A288)&gt;1</f>
        <v>0</v>
      </c>
      <c r="C288" t="b">
        <f t="shared" si="77"/>
        <v>0</v>
      </c>
      <c r="D288">
        <f>VLOOKUP(A288,variant_counts!A:B, 2, FALSE)</f>
        <v>3</v>
      </c>
      <c r="E288" t="str">
        <f t="shared" si="90"/>
        <v>zard-exhaust-21-low-mounted-full-kit-short-triumph-scrambler-my-2016-injection-ztph049skb-08</v>
      </c>
      <c r="F288" t="str">
        <f t="shared" si="78"/>
        <v>ZARD EXHAUST 2&gt;1 LOW MOUNTED FULL KIT SHORT TRIUMPH SCRAMBLER &lt; M.Y. 2016 INJECTION ZTPH049SKB-08</v>
      </c>
      <c r="G288" t="str">
        <f t="shared" si="79"/>
        <v>&lt;p&gt;2&amp;gt;1 STEEL RACING FULL KIT&lt;/p&gt;
&lt;p&gt;ORIGINAL FULL KIT WEIGHT: KG 9.3&lt;br&gt;ZARD FULL KIT WEIGHT: KG 5.5&lt;/p&gt;
&lt;p&gt;HARD INCREASE IN THE MID-RANGE AND SPEAKING ABOUT MAXIMUM POWER COMPARED TO THE ORIGINAL EXHAUST SYSTEM.&lt;/p&gt;
&lt;p&gt;ASTONISHING SOUND.&lt;/p&gt;</v>
      </c>
      <c r="H288" t="str">
        <f t="shared" si="91"/>
        <v>ZARD</v>
      </c>
      <c r="I288" t="str">
        <f t="shared" si="92"/>
        <v>Exhaust Pipe</v>
      </c>
      <c r="J288" t="str">
        <f t="shared" si="93"/>
        <v>Test</v>
      </c>
      <c r="K288" t="b">
        <f t="shared" si="94"/>
        <v>0</v>
      </c>
      <c r="L288" t="str">
        <f t="shared" si="80"/>
        <v/>
      </c>
      <c r="M288" t="str">
        <f t="shared" si="81"/>
        <v/>
      </c>
      <c r="R288" t="str">
        <f t="shared" si="82"/>
        <v/>
      </c>
      <c r="S288" t="str">
        <f t="shared" si="83"/>
        <v/>
      </c>
      <c r="U288" t="str">
        <f t="shared" si="84"/>
        <v/>
      </c>
      <c r="V288" t="str">
        <f t="shared" si="85"/>
        <v/>
      </c>
      <c r="W288" s="5" t="str">
        <f t="shared" si="86"/>
        <v/>
      </c>
      <c r="Y288" t="str">
        <f t="shared" si="87"/>
        <v/>
      </c>
      <c r="Z288" t="str">
        <f t="shared" si="88"/>
        <v/>
      </c>
      <c r="AB288" t="str">
        <f t="shared" si="89"/>
        <v>https://shop.officineitalianezard.it/contents/imgs/products/1_34-2.JPG</v>
      </c>
      <c r="AE288" t="b">
        <v>0</v>
      </c>
    </row>
    <row r="289" spans="1:31" x14ac:dyDescent="0.2">
      <c r="A289" t="str">
        <f t="shared" si="76"/>
        <v>https://shop.officineitalianezard.it/en/low-mounted-full-kit-short-injection/</v>
      </c>
      <c r="B289" t="b">
        <f>COUNTIF($A$2:$A289, A289)&gt;1</f>
        <v>1</v>
      </c>
      <c r="C289" t="b">
        <f t="shared" si="77"/>
        <v>0</v>
      </c>
      <c r="D289">
        <f>VLOOKUP(A289,variant_counts!A:B, 2, FALSE)</f>
        <v>3</v>
      </c>
      <c r="E289" t="str">
        <f t="shared" si="90"/>
        <v>zard-exhaust-21-low-mounted-full-kit-short-triumph-scrambler-my-2016-injection-ztph049skb-08</v>
      </c>
      <c r="F289" t="str">
        <f t="shared" si="78"/>
        <v>ZARD EXHAUST 2&gt;1 LOW MOUNTED FULL KIT SHORT TRIUMPH SCRAMBLER &lt; M.Y. 2016 INJECTION ZTPH049SKB-08</v>
      </c>
      <c r="G289" t="str">
        <f t="shared" si="79"/>
        <v/>
      </c>
      <c r="H289" t="str">
        <f t="shared" si="91"/>
        <v/>
      </c>
      <c r="I289" t="str">
        <f t="shared" si="92"/>
        <v/>
      </c>
      <c r="J289" t="str">
        <f t="shared" si="93"/>
        <v/>
      </c>
      <c r="K289" t="str">
        <f t="shared" si="94"/>
        <v/>
      </c>
      <c r="L289" t="str">
        <f t="shared" si="80"/>
        <v/>
      </c>
      <c r="M289" t="str">
        <f t="shared" si="81"/>
        <v/>
      </c>
      <c r="R289" t="str">
        <f t="shared" si="82"/>
        <v/>
      </c>
      <c r="S289" t="str">
        <f t="shared" si="83"/>
        <v/>
      </c>
      <c r="U289" t="str">
        <f t="shared" si="84"/>
        <v/>
      </c>
      <c r="V289" t="str">
        <f t="shared" si="85"/>
        <v/>
      </c>
      <c r="W289" s="5" t="str">
        <f t="shared" si="86"/>
        <v/>
      </c>
      <c r="Y289" t="str">
        <f t="shared" si="87"/>
        <v/>
      </c>
      <c r="Z289" t="str">
        <f t="shared" si="88"/>
        <v/>
      </c>
      <c r="AB289" t="str">
        <f t="shared" si="89"/>
        <v>https://shop.officineitalianezard.it/contents/imgs/products/1_35-3.JPG</v>
      </c>
      <c r="AE289" t="b">
        <v>0</v>
      </c>
    </row>
    <row r="290" spans="1:31" x14ac:dyDescent="0.2">
      <c r="A290" t="str">
        <f t="shared" si="76"/>
        <v>https://shop.officineitalianezard.it/en/low-mounted-full-kit-short-injection/</v>
      </c>
      <c r="B290" t="b">
        <f>COUNTIF($A$2:$A290, A290)&gt;1</f>
        <v>1</v>
      </c>
      <c r="C290" t="b">
        <f t="shared" si="77"/>
        <v>0</v>
      </c>
      <c r="D290">
        <f>VLOOKUP(A290,variant_counts!A:B, 2, FALSE)</f>
        <v>3</v>
      </c>
      <c r="E290" t="str">
        <f t="shared" si="90"/>
        <v>zard-exhaust-21-low-mounted-full-kit-short-triumph-scrambler-my-2016-injection-ztph049skb-08</v>
      </c>
      <c r="F290" t="str">
        <f t="shared" si="78"/>
        <v>ZARD EXHAUST 2&gt;1 LOW MOUNTED FULL KIT SHORT TRIUMPH SCRAMBLER &lt; M.Y. 2016 INJECTION ZTPH049SKB-08</v>
      </c>
      <c r="G290" t="str">
        <f t="shared" si="79"/>
        <v/>
      </c>
      <c r="H290" t="str">
        <f t="shared" si="91"/>
        <v/>
      </c>
      <c r="I290" t="str">
        <f t="shared" si="92"/>
        <v/>
      </c>
      <c r="J290" t="str">
        <f t="shared" si="93"/>
        <v/>
      </c>
      <c r="K290" t="str">
        <f t="shared" si="94"/>
        <v/>
      </c>
      <c r="L290" t="str">
        <f t="shared" si="80"/>
        <v/>
      </c>
      <c r="M290" t="str">
        <f t="shared" si="81"/>
        <v/>
      </c>
      <c r="R290" t="str">
        <f t="shared" si="82"/>
        <v/>
      </c>
      <c r="S290" t="str">
        <f t="shared" si="83"/>
        <v/>
      </c>
      <c r="U290" t="str">
        <f t="shared" si="84"/>
        <v/>
      </c>
      <c r="V290" t="str">
        <f t="shared" si="85"/>
        <v/>
      </c>
      <c r="W290" s="5" t="str">
        <f t="shared" si="86"/>
        <v/>
      </c>
      <c r="Y290" t="str">
        <f t="shared" si="87"/>
        <v/>
      </c>
      <c r="Z290" t="str">
        <f t="shared" si="88"/>
        <v/>
      </c>
      <c r="AB290" t="str">
        <f t="shared" si="89"/>
        <v>https://shop.officineitalianezard.it/contents/imgs/products/1_33-1.JPG</v>
      </c>
      <c r="AE290" t="b">
        <v>0</v>
      </c>
    </row>
    <row r="291" spans="1:31" x14ac:dyDescent="0.2">
      <c r="A291" t="str">
        <f t="shared" si="76"/>
        <v>https://shop.officineitalianezard.it/en/low-mounted-full-kit-short-injection/</v>
      </c>
      <c r="B291" t="b">
        <f>COUNTIF($A$2:$A291, A291)&gt;1</f>
        <v>1</v>
      </c>
      <c r="C291" t="b">
        <f t="shared" si="77"/>
        <v>0</v>
      </c>
      <c r="D291">
        <f>VLOOKUP(A291,variant_counts!A:B, 2, FALSE)</f>
        <v>3</v>
      </c>
      <c r="E291" t="str">
        <f t="shared" si="90"/>
        <v>zard-exhaust-21-low-mounted-full-kit-short-triumph-scrambler-my-2016-injection-ztph049skb-08</v>
      </c>
      <c r="F291" t="str">
        <f t="shared" si="78"/>
        <v>ZARD EXHAUST 2&gt;1 LOW MOUNTED FULL KIT SHORT TRIUMPH SCRAMBLER &lt; M.Y. 2016 INJECTION ZTPH049SKB-08</v>
      </c>
      <c r="G291" t="str">
        <f t="shared" si="79"/>
        <v/>
      </c>
      <c r="H291" t="str">
        <f t="shared" si="91"/>
        <v/>
      </c>
      <c r="I291" t="str">
        <f t="shared" si="92"/>
        <v/>
      </c>
      <c r="J291" t="str">
        <f t="shared" si="93"/>
        <v/>
      </c>
      <c r="K291" t="str">
        <f t="shared" si="94"/>
        <v/>
      </c>
      <c r="L291" t="str">
        <f t="shared" si="80"/>
        <v/>
      </c>
      <c r="M291" t="str">
        <f t="shared" si="81"/>
        <v/>
      </c>
      <c r="R291" t="str">
        <f t="shared" si="82"/>
        <v/>
      </c>
      <c r="S291" t="str">
        <f t="shared" si="83"/>
        <v/>
      </c>
      <c r="U291" t="str">
        <f t="shared" si="84"/>
        <v/>
      </c>
      <c r="V291" t="str">
        <f t="shared" si="85"/>
        <v/>
      </c>
      <c r="W291" s="5" t="str">
        <f t="shared" si="86"/>
        <v/>
      </c>
      <c r="Y291" t="str">
        <f t="shared" si="87"/>
        <v/>
      </c>
      <c r="Z291" t="str">
        <f t="shared" si="88"/>
        <v/>
      </c>
      <c r="AB291" t="str">
        <f t="shared" si="89"/>
        <v>https://shop.officineitalianezard.it/contents/imgs/products/1_36-4.JPG</v>
      </c>
      <c r="AE291" t="b">
        <v>0</v>
      </c>
    </row>
    <row r="292" spans="1:31" x14ac:dyDescent="0.2">
      <c r="A292" t="str">
        <f t="shared" si="76"/>
        <v>https://shop.officineitalianezard.it/en/low-mounted-full-kit-short-injection/</v>
      </c>
      <c r="B292" t="b">
        <f>COUNTIF($A$2:$A292, A292)&gt;1</f>
        <v>1</v>
      </c>
      <c r="C292" t="b">
        <f t="shared" si="77"/>
        <v>0</v>
      </c>
      <c r="D292">
        <f>VLOOKUP(A292,variant_counts!A:B, 2, FALSE)</f>
        <v>3</v>
      </c>
      <c r="E292" t="str">
        <f t="shared" si="90"/>
        <v>zard-exhaust-21-low-mounted-full-kit-short-triumph-scrambler-my-2016-injection-ztph049skb-08</v>
      </c>
      <c r="F292" t="str">
        <f t="shared" si="78"/>
        <v>ZARD EXHAUST 2&gt;1 LOW MOUNTED FULL KIT SHORT TRIUMPH SCRAMBLER &lt; M.Y. 2016 INJECTION ZTPH049SKB-08</v>
      </c>
      <c r="G292" t="str">
        <f t="shared" si="79"/>
        <v/>
      </c>
      <c r="H292" t="str">
        <f t="shared" si="91"/>
        <v/>
      </c>
      <c r="I292" t="str">
        <f t="shared" si="92"/>
        <v/>
      </c>
      <c r="J292" t="str">
        <f t="shared" si="93"/>
        <v/>
      </c>
      <c r="K292" t="str">
        <f t="shared" si="94"/>
        <v/>
      </c>
      <c r="L292" t="str">
        <f t="shared" si="80"/>
        <v/>
      </c>
      <c r="M292" t="str">
        <f t="shared" si="81"/>
        <v/>
      </c>
      <c r="R292" t="str">
        <f t="shared" si="82"/>
        <v/>
      </c>
      <c r="S292" t="str">
        <f t="shared" si="83"/>
        <v/>
      </c>
      <c r="U292" t="str">
        <f t="shared" si="84"/>
        <v/>
      </c>
      <c r="V292" t="str">
        <f t="shared" si="85"/>
        <v/>
      </c>
      <c r="W292" s="5" t="str">
        <f t="shared" si="86"/>
        <v/>
      </c>
      <c r="Y292" t="str">
        <f t="shared" si="87"/>
        <v/>
      </c>
      <c r="Z292" t="str">
        <f t="shared" si="88"/>
        <v/>
      </c>
      <c r="AB292" t="str">
        <f t="shared" si="89"/>
        <v>https://shop.officineitalianezard.it/contents/imgs/products/1_508-zard%20short%20web.jpg</v>
      </c>
      <c r="AE292" t="b">
        <v>0</v>
      </c>
    </row>
    <row r="293" spans="1:31" x14ac:dyDescent="0.2">
      <c r="A293" t="str">
        <f t="shared" si="76"/>
        <v>https://shop.officineitalianezard.it/en/low-mounted-full-kit-short-injection/</v>
      </c>
      <c r="B293" t="b">
        <f>COUNTIF($A$2:$A293, A293)&gt;1</f>
        <v>1</v>
      </c>
      <c r="C293" t="b">
        <f t="shared" si="77"/>
        <v>0</v>
      </c>
      <c r="D293">
        <f>VLOOKUP(A293,variant_counts!A:B, 2, FALSE)</f>
        <v>3</v>
      </c>
      <c r="E293" t="str">
        <f t="shared" si="90"/>
        <v>zard-exhaust-21-low-mounted-full-kit-short-triumph-scrambler-my-2016-injection-ztph049skb-08</v>
      </c>
      <c r="F293" t="str">
        <f t="shared" si="78"/>
        <v>ZARD EXHAUST 2&gt;1 LOW MOUNTED FULL KIT SHORT TRIUMPH SCRAMBLER &lt; M.Y. 2016 INJECTION ZTPH049SKB-08</v>
      </c>
      <c r="G293" t="str">
        <f t="shared" si="79"/>
        <v/>
      </c>
      <c r="H293" t="str">
        <f t="shared" si="91"/>
        <v/>
      </c>
      <c r="I293" t="str">
        <f t="shared" si="92"/>
        <v/>
      </c>
      <c r="J293" t="str">
        <f t="shared" si="93"/>
        <v/>
      </c>
      <c r="K293" t="str">
        <f t="shared" si="94"/>
        <v/>
      </c>
      <c r="L293" t="str">
        <f t="shared" si="80"/>
        <v/>
      </c>
      <c r="M293" t="str">
        <f t="shared" si="81"/>
        <v/>
      </c>
      <c r="R293" t="str">
        <f t="shared" si="82"/>
        <v/>
      </c>
      <c r="S293" t="str">
        <f t="shared" si="83"/>
        <v/>
      </c>
      <c r="U293" t="str">
        <f t="shared" si="84"/>
        <v/>
      </c>
      <c r="V293" t="str">
        <f t="shared" si="85"/>
        <v/>
      </c>
      <c r="W293" s="5" t="str">
        <f t="shared" si="86"/>
        <v/>
      </c>
      <c r="Y293" t="str">
        <f t="shared" si="87"/>
        <v/>
      </c>
      <c r="Z293" t="str">
        <f t="shared" si="88"/>
        <v/>
      </c>
      <c r="AB293" t="str">
        <f t="shared" si="89"/>
        <v>https://shop.officineitalianezard.it/contents/imgs/products/1_990-scarichi%20moto%20zard%20spazzolato.jpg</v>
      </c>
      <c r="AE293" t="b">
        <v>0</v>
      </c>
    </row>
    <row r="294" spans="1:31" x14ac:dyDescent="0.2">
      <c r="A294" t="str">
        <f t="shared" si="76"/>
        <v>https://shop.officineitalianezard.it/en/low-mounted-full-kit-short-injection/</v>
      </c>
      <c r="B294" t="b">
        <f>COUNTIF($A$2:$A294, A294)&gt;1</f>
        <v>1</v>
      </c>
      <c r="C294" t="b">
        <f t="shared" si="77"/>
        <v>1</v>
      </c>
      <c r="D294">
        <f>VLOOKUP(A294,variant_counts!A:B, 2, FALSE)</f>
        <v>3</v>
      </c>
      <c r="E294" t="str">
        <f t="shared" si="90"/>
        <v>zard-exhaust-21-low-mounted-full-kit-short-triumph-scrambler-my-2016-injection-ztph049skb-08</v>
      </c>
      <c r="F294" t="str">
        <f t="shared" si="78"/>
        <v>ZARD EXHAUST 2&gt;1 LOW MOUNTED FULL KIT SHORT TRIUMPH SCRAMBLER &lt; M.Y. 2016 INJECTION ZTPH049SKB-08</v>
      </c>
      <c r="G294" t="str">
        <f t="shared" si="79"/>
        <v/>
      </c>
      <c r="H294" t="str">
        <f t="shared" si="91"/>
        <v/>
      </c>
      <c r="I294" t="str">
        <f t="shared" si="92"/>
        <v/>
      </c>
      <c r="J294" t="str">
        <f t="shared" si="93"/>
        <v/>
      </c>
      <c r="K294" t="str">
        <f t="shared" si="94"/>
        <v/>
      </c>
      <c r="L294" t="str">
        <f t="shared" si="80"/>
        <v>Option</v>
      </c>
      <c r="M294" t="str">
        <f t="shared" si="81"/>
        <v>CATALYZED</v>
      </c>
      <c r="R294" t="str">
        <f t="shared" si="82"/>
        <v>ZTPH049SKB-08</v>
      </c>
      <c r="S294">
        <f t="shared" si="83"/>
        <v>0</v>
      </c>
      <c r="U294" t="str">
        <f t="shared" si="84"/>
        <v>continue</v>
      </c>
      <c r="V294" t="str">
        <f t="shared" si="85"/>
        <v>manual</v>
      </c>
      <c r="W294" s="5">
        <f t="shared" si="86"/>
        <v>1175.0571000000002</v>
      </c>
      <c r="Y294" t="b">
        <f t="shared" si="87"/>
        <v>1</v>
      </c>
      <c r="Z294" t="b">
        <f t="shared" si="88"/>
        <v>0</v>
      </c>
      <c r="AB294" t="str">
        <f t="shared" si="89"/>
        <v/>
      </c>
      <c r="AE294" t="b">
        <v>0</v>
      </c>
    </row>
    <row r="295" spans="1:31" x14ac:dyDescent="0.2">
      <c r="A295" t="str">
        <f t="shared" si="76"/>
        <v>https://shop.officineitalianezard.it/en/low-mounted-full-kit-short-injection/</v>
      </c>
      <c r="B295" t="b">
        <f>COUNTIF($A$2:$A295, A295)&gt;1</f>
        <v>1</v>
      </c>
      <c r="C295" t="b">
        <f t="shared" si="77"/>
        <v>1</v>
      </c>
      <c r="D295">
        <f>VLOOKUP(A295,variant_counts!A:B, 2, FALSE)</f>
        <v>3</v>
      </c>
      <c r="E295" t="str">
        <f t="shared" si="90"/>
        <v>zard-exhaust-21-low-mounted-full-kit-short-triumph-scrambler-my-2016-injection-ztph049skb-08</v>
      </c>
      <c r="F295" t="str">
        <f t="shared" si="78"/>
        <v>ZARD EXHAUST 2&gt;1 LOW MOUNTED FULL KIT SHORT TRIUMPH SCRAMBLER &lt; M.Y. 2016 INJECTION ZTPH049SKB-08</v>
      </c>
      <c r="G295" t="str">
        <f t="shared" si="79"/>
        <v/>
      </c>
      <c r="H295" t="str">
        <f t="shared" si="91"/>
        <v/>
      </c>
      <c r="I295" t="str">
        <f t="shared" si="92"/>
        <v/>
      </c>
      <c r="J295" t="str">
        <f t="shared" si="93"/>
        <v/>
      </c>
      <c r="K295" t="str">
        <f t="shared" si="94"/>
        <v/>
      </c>
      <c r="L295" t="str">
        <f t="shared" si="80"/>
        <v>Option</v>
      </c>
      <c r="M295" t="str">
        <f t="shared" si="81"/>
        <v>BLACK COATING</v>
      </c>
      <c r="R295" t="str">
        <f t="shared" si="82"/>
        <v>ZTPH049SKB-08</v>
      </c>
      <c r="S295">
        <f t="shared" si="83"/>
        <v>0</v>
      </c>
      <c r="U295" t="str">
        <f t="shared" si="84"/>
        <v>continue</v>
      </c>
      <c r="V295" t="str">
        <f t="shared" si="85"/>
        <v>manual</v>
      </c>
      <c r="W295" s="5">
        <f t="shared" si="86"/>
        <v>1138.2051000000001</v>
      </c>
      <c r="Y295" t="b">
        <f t="shared" si="87"/>
        <v>1</v>
      </c>
      <c r="Z295" t="b">
        <f t="shared" si="88"/>
        <v>0</v>
      </c>
      <c r="AB295" t="str">
        <f t="shared" si="89"/>
        <v/>
      </c>
      <c r="AE295" t="b">
        <v>0</v>
      </c>
    </row>
    <row r="296" spans="1:31" x14ac:dyDescent="0.2">
      <c r="A296" t="str">
        <f t="shared" si="76"/>
        <v>https://shop.officineitalianezard.it/en/low-mounted-full-kit-short-injection/</v>
      </c>
      <c r="B296" t="b">
        <f>COUNTIF($A$2:$A296, A296)&gt;1</f>
        <v>1</v>
      </c>
      <c r="C296" t="b">
        <f t="shared" si="77"/>
        <v>1</v>
      </c>
      <c r="D296">
        <f>VLOOKUP(A296,variant_counts!A:B, 2, FALSE)</f>
        <v>3</v>
      </c>
      <c r="E296" t="str">
        <f t="shared" si="90"/>
        <v>zard-exhaust-21-low-mounted-full-kit-short-triumph-scrambler-my-2016-injection-ztph049skb-08</v>
      </c>
      <c r="F296" t="str">
        <f t="shared" si="78"/>
        <v>ZARD EXHAUST 2&gt;1 LOW MOUNTED FULL KIT SHORT TRIUMPH SCRAMBLER &lt; M.Y. 2016 INJECTION ZTPH049SKB-08</v>
      </c>
      <c r="G296" t="str">
        <f t="shared" si="79"/>
        <v/>
      </c>
      <c r="H296" t="str">
        <f t="shared" si="91"/>
        <v/>
      </c>
      <c r="I296" t="str">
        <f t="shared" si="92"/>
        <v/>
      </c>
      <c r="J296" t="str">
        <f t="shared" si="93"/>
        <v/>
      </c>
      <c r="K296" t="str">
        <f t="shared" si="94"/>
        <v/>
      </c>
      <c r="L296" t="str">
        <f t="shared" si="80"/>
        <v>Option</v>
      </c>
      <c r="M296" t="str">
        <f t="shared" si="81"/>
        <v>POLISHED</v>
      </c>
      <c r="R296" t="str">
        <f t="shared" si="82"/>
        <v>ZTPH049SKB-08</v>
      </c>
      <c r="S296">
        <f t="shared" si="83"/>
        <v>0</v>
      </c>
      <c r="U296" t="str">
        <f t="shared" si="84"/>
        <v>continue</v>
      </c>
      <c r="V296" t="str">
        <f t="shared" si="85"/>
        <v>manual</v>
      </c>
      <c r="W296" s="5">
        <f t="shared" si="86"/>
        <v>1057.1418000000001</v>
      </c>
      <c r="Y296" t="b">
        <f t="shared" si="87"/>
        <v>1</v>
      </c>
      <c r="Z296" t="b">
        <f t="shared" si="88"/>
        <v>0</v>
      </c>
      <c r="AB296" t="str">
        <f t="shared" si="89"/>
        <v/>
      </c>
      <c r="AE296" t="b">
        <v>0</v>
      </c>
    </row>
    <row r="297" spans="1:31" x14ac:dyDescent="0.2">
      <c r="A297" t="str">
        <f t="shared" si="76"/>
        <v>https://shop.officineitalianezard.it/en/triumph-bonneville-scrambler-thruxton-zard-exhaust-2/</v>
      </c>
      <c r="B297" t="b">
        <f>COUNTIF($A$2:$A297, A297)&gt;1</f>
        <v>0</v>
      </c>
      <c r="C297" t="b">
        <f t="shared" si="77"/>
        <v>0</v>
      </c>
      <c r="D297">
        <f>VLOOKUP(A297,variant_counts!A:B, 2, FALSE)</f>
        <v>3</v>
      </c>
      <c r="E297" t="str">
        <f t="shared" si="90"/>
        <v>zard-exhaust-special-edition-full-kit-short-version-triumph-scrambler-my-2016-carburettor-ztph053skb</v>
      </c>
      <c r="F297" t="str">
        <f t="shared" si="78"/>
        <v>ZARD EXHAUST SPECIAL EDITION FULL KIT SHORT VERSION TRIUMPH SCRAMBLER &lt; M.Y. 2016 CARBURETTOR ZTPH053SKB</v>
      </c>
      <c r="G297" t="str">
        <f t="shared" si="79"/>
        <v>&lt;p&gt;2&amp;gt;1 STEEL RACING FULL KIT&lt;/p&gt;
&lt;p&gt;ORIGINAL FULL KIT WEIGHT: KG 9.3&lt;br&gt;ZARD FULL KIT WEIGHT: KG 5.5&lt;/p&gt;
&lt;p&gt;BLACK AND SILVER WIRE MESH&amp;nbsp;IS SUPPLIED WITH HEAT SHIELD&lt;/p&gt;
&lt;p&gt;HARD INCREASE IN THE MID-RANGE AND SPEAKING ABOUT MAXIMUM POWER COMPARED TO THE ORIGINAL EXHAUST SYSTEM.&lt;/p&gt;
&lt;p&gt;ASTONISHING SOUND.&lt;/p&gt;</v>
      </c>
      <c r="H297" t="str">
        <f t="shared" si="91"/>
        <v>ZARD</v>
      </c>
      <c r="I297" t="str">
        <f t="shared" si="92"/>
        <v>Exhaust Pipe</v>
      </c>
      <c r="J297" t="str">
        <f t="shared" si="93"/>
        <v>Test</v>
      </c>
      <c r="K297" t="b">
        <f t="shared" si="94"/>
        <v>0</v>
      </c>
      <c r="L297" t="str">
        <f t="shared" si="80"/>
        <v/>
      </c>
      <c r="M297" t="str">
        <f t="shared" si="81"/>
        <v/>
      </c>
      <c r="R297" t="str">
        <f t="shared" si="82"/>
        <v/>
      </c>
      <c r="S297" t="str">
        <f t="shared" si="83"/>
        <v/>
      </c>
      <c r="U297" t="str">
        <f t="shared" si="84"/>
        <v/>
      </c>
      <c r="V297" t="str">
        <f t="shared" si="85"/>
        <v/>
      </c>
      <c r="W297" s="5" t="str">
        <f t="shared" si="86"/>
        <v/>
      </c>
      <c r="Y297" t="str">
        <f t="shared" si="87"/>
        <v/>
      </c>
      <c r="Z297" t="str">
        <f t="shared" si="88"/>
        <v/>
      </c>
      <c r="AB297" t="str">
        <f t="shared" si="89"/>
        <v>https://shop.officineitalianezard.it/contents/imgs/products/1_1053-scarico%20triumph%20bonneville%20scrambler%20thruxton%20Zard.jpg</v>
      </c>
      <c r="AE297" t="b">
        <v>0</v>
      </c>
    </row>
    <row r="298" spans="1:31" x14ac:dyDescent="0.2">
      <c r="A298" t="str">
        <f t="shared" si="76"/>
        <v>https://shop.officineitalianezard.it/en/triumph-bonneville-scrambler-thruxton-zard-exhaust-2/</v>
      </c>
      <c r="B298" t="b">
        <f>COUNTIF($A$2:$A298, A298)&gt;1</f>
        <v>1</v>
      </c>
      <c r="C298" t="b">
        <f t="shared" si="77"/>
        <v>0</v>
      </c>
      <c r="D298">
        <f>VLOOKUP(A298,variant_counts!A:B, 2, FALSE)</f>
        <v>3</v>
      </c>
      <c r="E298" t="str">
        <f t="shared" si="90"/>
        <v>zard-exhaust-special-edition-full-kit-short-version-triumph-scrambler-my-2016-carburettor-ztph053skb</v>
      </c>
      <c r="F298" t="str">
        <f t="shared" si="78"/>
        <v>ZARD EXHAUST SPECIAL EDITION FULL KIT SHORT VERSION TRIUMPH SCRAMBLER &lt; M.Y. 2016 CARBURETTOR ZTPH053SKB</v>
      </c>
      <c r="G298" t="str">
        <f t="shared" si="79"/>
        <v/>
      </c>
      <c r="H298" t="str">
        <f t="shared" si="91"/>
        <v/>
      </c>
      <c r="I298" t="str">
        <f t="shared" si="92"/>
        <v/>
      </c>
      <c r="J298" t="str">
        <f t="shared" si="93"/>
        <v/>
      </c>
      <c r="K298" t="str">
        <f t="shared" si="94"/>
        <v/>
      </c>
      <c r="L298" t="str">
        <f t="shared" si="80"/>
        <v/>
      </c>
      <c r="M298" t="str">
        <f t="shared" si="81"/>
        <v/>
      </c>
      <c r="R298" t="str">
        <f t="shared" si="82"/>
        <v/>
      </c>
      <c r="S298" t="str">
        <f t="shared" si="83"/>
        <v/>
      </c>
      <c r="U298" t="str">
        <f t="shared" si="84"/>
        <v/>
      </c>
      <c r="V298" t="str">
        <f t="shared" si="85"/>
        <v/>
      </c>
      <c r="W298" s="5" t="str">
        <f t="shared" si="86"/>
        <v/>
      </c>
      <c r="Y298" t="str">
        <f t="shared" si="87"/>
        <v/>
      </c>
      <c r="Z298" t="str">
        <f t="shared" si="88"/>
        <v/>
      </c>
      <c r="AB298" t="str">
        <f t="shared" si="89"/>
        <v>https://shop.officineitalianezard.it/contents/imgs/products/1_1060-scarico%20scrambler%20zard1.jpg</v>
      </c>
      <c r="AE298" t="b">
        <v>0</v>
      </c>
    </row>
    <row r="299" spans="1:31" x14ac:dyDescent="0.2">
      <c r="A299" t="str">
        <f t="shared" si="76"/>
        <v>https://shop.officineitalianezard.it/en/triumph-bonneville-scrambler-thruxton-zard-exhaust-2/</v>
      </c>
      <c r="B299" t="b">
        <f>COUNTIF($A$2:$A299, A299)&gt;1</f>
        <v>1</v>
      </c>
      <c r="C299" t="b">
        <f t="shared" si="77"/>
        <v>0</v>
      </c>
      <c r="D299">
        <f>VLOOKUP(A299,variant_counts!A:B, 2, FALSE)</f>
        <v>3</v>
      </c>
      <c r="E299" t="str">
        <f t="shared" si="90"/>
        <v>zard-exhaust-special-edition-full-kit-short-version-triumph-scrambler-my-2016-carburettor-ztph053skb</v>
      </c>
      <c r="F299" t="str">
        <f t="shared" si="78"/>
        <v>ZARD EXHAUST SPECIAL EDITION FULL KIT SHORT VERSION TRIUMPH SCRAMBLER &lt; M.Y. 2016 CARBURETTOR ZTPH053SKB</v>
      </c>
      <c r="G299" t="str">
        <f t="shared" si="79"/>
        <v/>
      </c>
      <c r="H299" t="str">
        <f t="shared" si="91"/>
        <v/>
      </c>
      <c r="I299" t="str">
        <f t="shared" si="92"/>
        <v/>
      </c>
      <c r="J299" t="str">
        <f t="shared" si="93"/>
        <v/>
      </c>
      <c r="K299" t="str">
        <f t="shared" si="94"/>
        <v/>
      </c>
      <c r="L299" t="str">
        <f t="shared" si="80"/>
        <v/>
      </c>
      <c r="M299" t="str">
        <f t="shared" si="81"/>
        <v/>
      </c>
      <c r="R299" t="str">
        <f t="shared" si="82"/>
        <v/>
      </c>
      <c r="S299" t="str">
        <f t="shared" si="83"/>
        <v/>
      </c>
      <c r="U299" t="str">
        <f t="shared" si="84"/>
        <v/>
      </c>
      <c r="V299" t="str">
        <f t="shared" si="85"/>
        <v/>
      </c>
      <c r="W299" s="5" t="str">
        <f t="shared" si="86"/>
        <v/>
      </c>
      <c r="Y299" t="str">
        <f t="shared" si="87"/>
        <v/>
      </c>
      <c r="Z299" t="str">
        <f t="shared" si="88"/>
        <v/>
      </c>
      <c r="AB299" t="str">
        <f t="shared" si="89"/>
        <v>https://shop.officineitalianezard.it/contents/imgs/products/1_1061-scarico%20scrambler%20zard2.jpg</v>
      </c>
      <c r="AE299" t="b">
        <v>0</v>
      </c>
    </row>
    <row r="300" spans="1:31" x14ac:dyDescent="0.2">
      <c r="A300" t="str">
        <f t="shared" si="76"/>
        <v>https://shop.officineitalianezard.it/en/triumph-bonneville-scrambler-thruxton-zard-exhaust-2/</v>
      </c>
      <c r="B300" t="b">
        <f>COUNTIF($A$2:$A300, A300)&gt;1</f>
        <v>1</v>
      </c>
      <c r="C300" t="b">
        <f t="shared" si="77"/>
        <v>0</v>
      </c>
      <c r="D300">
        <f>VLOOKUP(A300,variant_counts!A:B, 2, FALSE)</f>
        <v>3</v>
      </c>
      <c r="E300" t="str">
        <f t="shared" si="90"/>
        <v>zard-exhaust-special-edition-full-kit-short-version-triumph-scrambler-my-2016-carburettor-ztph053skb</v>
      </c>
      <c r="F300" t="str">
        <f t="shared" si="78"/>
        <v>ZARD EXHAUST SPECIAL EDITION FULL KIT SHORT VERSION TRIUMPH SCRAMBLER &lt; M.Y. 2016 CARBURETTOR ZTPH053SKB</v>
      </c>
      <c r="G300" t="str">
        <f t="shared" si="79"/>
        <v/>
      </c>
      <c r="H300" t="str">
        <f t="shared" si="91"/>
        <v/>
      </c>
      <c r="I300" t="str">
        <f t="shared" si="92"/>
        <v/>
      </c>
      <c r="J300" t="str">
        <f t="shared" si="93"/>
        <v/>
      </c>
      <c r="K300" t="str">
        <f t="shared" si="94"/>
        <v/>
      </c>
      <c r="L300" t="str">
        <f t="shared" si="80"/>
        <v/>
      </c>
      <c r="M300" t="str">
        <f t="shared" si="81"/>
        <v/>
      </c>
      <c r="R300" t="str">
        <f t="shared" si="82"/>
        <v/>
      </c>
      <c r="S300" t="str">
        <f t="shared" si="83"/>
        <v/>
      </c>
      <c r="U300" t="str">
        <f t="shared" si="84"/>
        <v/>
      </c>
      <c r="V300" t="str">
        <f t="shared" si="85"/>
        <v/>
      </c>
      <c r="W300" s="5" t="str">
        <f t="shared" si="86"/>
        <v/>
      </c>
      <c r="Y300" t="str">
        <f t="shared" si="87"/>
        <v/>
      </c>
      <c r="Z300" t="str">
        <f t="shared" si="88"/>
        <v/>
      </c>
      <c r="AB300" t="str">
        <f t="shared" si="89"/>
        <v>https://shop.officineitalianezard.it/contents/imgs/products/1_1096-brushed.jpg</v>
      </c>
      <c r="AE300" t="b">
        <v>0</v>
      </c>
    </row>
    <row r="301" spans="1:31" x14ac:dyDescent="0.2">
      <c r="A301" t="str">
        <f t="shared" si="76"/>
        <v>https://shop.officineitalianezard.it/en/triumph-bonneville-scrambler-thruxton-zard-exhaust-2/</v>
      </c>
      <c r="B301" t="b">
        <f>COUNTIF($A$2:$A301, A301)&gt;1</f>
        <v>1</v>
      </c>
      <c r="C301" t="b">
        <f t="shared" si="77"/>
        <v>0</v>
      </c>
      <c r="D301">
        <f>VLOOKUP(A301,variant_counts!A:B, 2, FALSE)</f>
        <v>3</v>
      </c>
      <c r="E301" t="str">
        <f t="shared" si="90"/>
        <v>zard-exhaust-special-edition-full-kit-short-version-triumph-scrambler-my-2016-carburettor-ztph053skb</v>
      </c>
      <c r="F301" t="str">
        <f t="shared" si="78"/>
        <v>ZARD EXHAUST SPECIAL EDITION FULL KIT SHORT VERSION TRIUMPH SCRAMBLER &lt; M.Y. 2016 CARBURETTOR ZTPH053SKB</v>
      </c>
      <c r="G301" t="str">
        <f t="shared" si="79"/>
        <v/>
      </c>
      <c r="H301" t="str">
        <f t="shared" si="91"/>
        <v/>
      </c>
      <c r="I301" t="str">
        <f t="shared" si="92"/>
        <v/>
      </c>
      <c r="J301" t="str">
        <f t="shared" si="93"/>
        <v/>
      </c>
      <c r="K301" t="str">
        <f t="shared" si="94"/>
        <v/>
      </c>
      <c r="L301" t="str">
        <f t="shared" si="80"/>
        <v/>
      </c>
      <c r="M301" t="str">
        <f t="shared" si="81"/>
        <v/>
      </c>
      <c r="R301" t="str">
        <f t="shared" si="82"/>
        <v/>
      </c>
      <c r="S301" t="str">
        <f t="shared" si="83"/>
        <v/>
      </c>
      <c r="U301" t="str">
        <f t="shared" si="84"/>
        <v/>
      </c>
      <c r="V301" t="str">
        <f t="shared" si="85"/>
        <v/>
      </c>
      <c r="W301" s="5" t="str">
        <f t="shared" si="86"/>
        <v/>
      </c>
      <c r="Y301" t="str">
        <f t="shared" si="87"/>
        <v/>
      </c>
      <c r="Z301" t="str">
        <f t="shared" si="88"/>
        <v/>
      </c>
      <c r="AB301" t="str">
        <f t="shared" si="89"/>
        <v>https://shop.officineitalianezard.it/contents/imgs/products/1_1097-inox-paracalore%20nero.jpg</v>
      </c>
      <c r="AE301" t="b">
        <v>0</v>
      </c>
    </row>
    <row r="302" spans="1:31" x14ac:dyDescent="0.2">
      <c r="A302" t="str">
        <f t="shared" si="76"/>
        <v>https://shop.officineitalianezard.it/en/triumph-bonneville-scrambler-thruxton-zard-exhaust-2/</v>
      </c>
      <c r="B302" t="b">
        <f>COUNTIF($A$2:$A302, A302)&gt;1</f>
        <v>1</v>
      </c>
      <c r="C302" t="b">
        <f t="shared" si="77"/>
        <v>1</v>
      </c>
      <c r="D302">
        <f>VLOOKUP(A302,variant_counts!A:B, 2, FALSE)</f>
        <v>3</v>
      </c>
      <c r="E302" t="str">
        <f t="shared" si="90"/>
        <v>zard-exhaust-special-edition-full-kit-short-version-triumph-scrambler-my-2016-carburettor-ztph053skb</v>
      </c>
      <c r="F302" t="str">
        <f t="shared" si="78"/>
        <v>ZARD EXHAUST SPECIAL EDITION FULL KIT SHORT VERSION TRIUMPH SCRAMBLER &lt; M.Y. 2016 CARBURETTOR ZTPH053SKB</v>
      </c>
      <c r="G302" t="str">
        <f t="shared" si="79"/>
        <v/>
      </c>
      <c r="H302" t="str">
        <f t="shared" si="91"/>
        <v/>
      </c>
      <c r="I302" t="str">
        <f t="shared" si="92"/>
        <v/>
      </c>
      <c r="J302" t="str">
        <f t="shared" si="93"/>
        <v/>
      </c>
      <c r="K302" t="str">
        <f t="shared" si="94"/>
        <v/>
      </c>
      <c r="L302" t="str">
        <f t="shared" si="80"/>
        <v>Option</v>
      </c>
      <c r="M302" t="str">
        <f t="shared" si="81"/>
        <v>EURO 3 HOMOLOGATED</v>
      </c>
      <c r="R302" t="str">
        <f t="shared" si="82"/>
        <v>ZTPH053SKB</v>
      </c>
      <c r="S302">
        <f t="shared" si="83"/>
        <v>0</v>
      </c>
      <c r="U302" t="str">
        <f t="shared" si="84"/>
        <v>continue</v>
      </c>
      <c r="V302" t="str">
        <f t="shared" si="85"/>
        <v>manual</v>
      </c>
      <c r="W302" s="5">
        <f t="shared" si="86"/>
        <v>1070.4285000000002</v>
      </c>
      <c r="Y302" t="b">
        <f t="shared" si="87"/>
        <v>1</v>
      </c>
      <c r="Z302" t="b">
        <f t="shared" si="88"/>
        <v>0</v>
      </c>
      <c r="AB302" t="str">
        <f t="shared" si="89"/>
        <v/>
      </c>
      <c r="AE302" t="b">
        <v>0</v>
      </c>
    </row>
    <row r="303" spans="1:31" x14ac:dyDescent="0.2">
      <c r="A303" t="str">
        <f t="shared" si="76"/>
        <v>https://shop.officineitalianezard.it/en/triumph-bonneville-scrambler-thruxton-zard-exhaust-2/</v>
      </c>
      <c r="B303" t="b">
        <f>COUNTIF($A$2:$A303, A303)&gt;1</f>
        <v>1</v>
      </c>
      <c r="C303" t="b">
        <f t="shared" si="77"/>
        <v>1</v>
      </c>
      <c r="D303">
        <f>VLOOKUP(A303,variant_counts!A:B, 2, FALSE)</f>
        <v>3</v>
      </c>
      <c r="E303" t="str">
        <f t="shared" si="90"/>
        <v>zard-exhaust-special-edition-full-kit-short-version-triumph-scrambler-my-2016-carburettor-ztph053skb</v>
      </c>
      <c r="F303" t="str">
        <f t="shared" si="78"/>
        <v>ZARD EXHAUST SPECIAL EDITION FULL KIT SHORT VERSION TRIUMPH SCRAMBLER &lt; M.Y. 2016 CARBURETTOR ZTPH053SKB</v>
      </c>
      <c r="G303" t="str">
        <f t="shared" si="79"/>
        <v/>
      </c>
      <c r="H303" t="str">
        <f t="shared" si="91"/>
        <v/>
      </c>
      <c r="I303" t="str">
        <f t="shared" si="92"/>
        <v/>
      </c>
      <c r="J303" t="str">
        <f t="shared" si="93"/>
        <v/>
      </c>
      <c r="K303" t="str">
        <f t="shared" si="94"/>
        <v/>
      </c>
      <c r="L303" t="str">
        <f t="shared" si="80"/>
        <v>Option</v>
      </c>
      <c r="M303" t="str">
        <f t="shared" si="81"/>
        <v>BLACK COATING</v>
      </c>
      <c r="R303" t="str">
        <f t="shared" si="82"/>
        <v>ZTPH053SKB</v>
      </c>
      <c r="S303">
        <f t="shared" si="83"/>
        <v>0</v>
      </c>
      <c r="U303" t="str">
        <f t="shared" si="84"/>
        <v>continue</v>
      </c>
      <c r="V303" t="str">
        <f t="shared" si="85"/>
        <v>manual</v>
      </c>
      <c r="W303" s="5">
        <f t="shared" si="86"/>
        <v>1172.7816</v>
      </c>
      <c r="Y303" t="b">
        <f t="shared" si="87"/>
        <v>1</v>
      </c>
      <c r="Z303" t="b">
        <f t="shared" si="88"/>
        <v>0</v>
      </c>
      <c r="AB303" t="str">
        <f t="shared" si="89"/>
        <v/>
      </c>
      <c r="AE303" t="b">
        <v>0</v>
      </c>
    </row>
    <row r="304" spans="1:31" x14ac:dyDescent="0.2">
      <c r="A304" t="str">
        <f t="shared" si="76"/>
        <v>https://shop.officineitalianezard.it/en/triumph-bonneville-scrambler-thruxton-zard-exhaust-2/</v>
      </c>
      <c r="B304" t="b">
        <f>COUNTIF($A$2:$A304, A304)&gt;1</f>
        <v>1</v>
      </c>
      <c r="C304" t="b">
        <f t="shared" si="77"/>
        <v>1</v>
      </c>
      <c r="D304">
        <f>VLOOKUP(A304,variant_counts!A:B, 2, FALSE)</f>
        <v>3</v>
      </c>
      <c r="E304" t="str">
        <f t="shared" si="90"/>
        <v>zard-exhaust-special-edition-full-kit-short-version-triumph-scrambler-my-2016-carburettor-ztph053skb</v>
      </c>
      <c r="F304" t="str">
        <f t="shared" si="78"/>
        <v>ZARD EXHAUST SPECIAL EDITION FULL KIT SHORT VERSION TRIUMPH SCRAMBLER &lt; M.Y. 2016 CARBURETTOR ZTPH053SKB</v>
      </c>
      <c r="G304" t="str">
        <f t="shared" si="79"/>
        <v/>
      </c>
      <c r="H304" t="str">
        <f t="shared" si="91"/>
        <v/>
      </c>
      <c r="I304" t="str">
        <f t="shared" si="92"/>
        <v/>
      </c>
      <c r="J304" t="str">
        <f t="shared" si="93"/>
        <v/>
      </c>
      <c r="K304" t="str">
        <f t="shared" si="94"/>
        <v/>
      </c>
      <c r="L304" t="str">
        <f t="shared" si="80"/>
        <v>Option</v>
      </c>
      <c r="M304" t="str">
        <f t="shared" si="81"/>
        <v>BLACK HEAT SHIELDS</v>
      </c>
      <c r="R304" t="str">
        <f t="shared" si="82"/>
        <v>ZTPH053SKB</v>
      </c>
      <c r="S304">
        <f t="shared" si="83"/>
        <v>0</v>
      </c>
      <c r="U304" t="str">
        <f t="shared" si="84"/>
        <v>continue</v>
      </c>
      <c r="V304" t="str">
        <f t="shared" si="85"/>
        <v>manual</v>
      </c>
      <c r="W304" s="5">
        <f t="shared" si="86"/>
        <v>1044.2214000000001</v>
      </c>
      <c r="Y304" t="b">
        <f t="shared" si="87"/>
        <v>1</v>
      </c>
      <c r="Z304" t="b">
        <f t="shared" si="88"/>
        <v>0</v>
      </c>
      <c r="AB304" t="str">
        <f t="shared" si="89"/>
        <v/>
      </c>
      <c r="AE304" t="b">
        <v>0</v>
      </c>
    </row>
    <row r="305" spans="1:31" x14ac:dyDescent="0.2">
      <c r="A305" t="str">
        <f t="shared" si="76"/>
        <v>https://shop.officineitalianezard.it/en/triumph-bonneville-scrambler-thruxton-zard-exhaust-3/</v>
      </c>
      <c r="B305" t="b">
        <f>COUNTIF($A$2:$A305, A305)&gt;1</f>
        <v>0</v>
      </c>
      <c r="C305" t="b">
        <f t="shared" si="77"/>
        <v>0</v>
      </c>
      <c r="D305">
        <f>VLOOKUP(A305,variant_counts!A:B, 2, FALSE)</f>
        <v>3</v>
      </c>
      <c r="E305" t="str">
        <f t="shared" si="90"/>
        <v>zard-exhaust-special-edition-full-kit-short-version-triumph-scrambler-my-2016-injection-ztph053skb</v>
      </c>
      <c r="F305" t="str">
        <f t="shared" si="78"/>
        <v>ZARD EXHAUST SPECIAL EDITION FULL KIT SHORT VERSION TRIUMPH SCRAMBLER &lt; M.Y. 2016 INJECTION ZTPH053SKB</v>
      </c>
      <c r="G305" t="str">
        <f t="shared" si="79"/>
        <v>&lt;p&gt;2&amp;gt;1 STEEL RACING FULL KIT&lt;/p&gt;
&lt;p&gt;ORIGINAL FULL KIT WEIGHT: KG 9.3&lt;br&gt;ZARD FULL KIT WEIGHT: KG 5.5&lt;/p&gt;
&lt;p&gt;BLACK AND SILVER WIRE MESH&amp;nbsp;IS SUPPLIED WITH HEAT SHIELD&lt;/p&gt;
&lt;p&gt;HARD INCREASE IN THE MID-RANGE AND SPEAKING ABOUT MAXIMUM POWER COMPARED TO THE ORIGINAL EXHAUST SYSTEM.&lt;/p&gt;
&lt;p&gt;ASTONISHING SOUND.&lt;/p&gt;</v>
      </c>
      <c r="H305" t="str">
        <f t="shared" si="91"/>
        <v>ZARD</v>
      </c>
      <c r="I305" t="str">
        <f t="shared" si="92"/>
        <v>Exhaust Pipe</v>
      </c>
      <c r="J305" t="str">
        <f t="shared" si="93"/>
        <v>Test</v>
      </c>
      <c r="K305" t="b">
        <f t="shared" si="94"/>
        <v>0</v>
      </c>
      <c r="L305" t="str">
        <f t="shared" si="80"/>
        <v/>
      </c>
      <c r="M305" t="str">
        <f t="shared" si="81"/>
        <v/>
      </c>
      <c r="R305" t="str">
        <f t="shared" si="82"/>
        <v/>
      </c>
      <c r="S305" t="str">
        <f t="shared" si="83"/>
        <v/>
      </c>
      <c r="U305" t="str">
        <f t="shared" si="84"/>
        <v/>
      </c>
      <c r="V305" t="str">
        <f t="shared" si="85"/>
        <v/>
      </c>
      <c r="W305" s="5" t="str">
        <f t="shared" si="86"/>
        <v/>
      </c>
      <c r="Y305" t="str">
        <f t="shared" si="87"/>
        <v/>
      </c>
      <c r="Z305" t="str">
        <f t="shared" si="88"/>
        <v/>
      </c>
      <c r="AB305" t="str">
        <f t="shared" si="89"/>
        <v>https://shop.officineitalianezard.it/contents/imgs/products/1_1055-scarico%20triumph%20bonneville%20scrambler%20thruxton%20Zard.jpg</v>
      </c>
      <c r="AE305" t="b">
        <v>0</v>
      </c>
    </row>
    <row r="306" spans="1:31" x14ac:dyDescent="0.2">
      <c r="A306" t="str">
        <f t="shared" si="76"/>
        <v>https://shop.officineitalianezard.it/en/triumph-bonneville-scrambler-thruxton-zard-exhaust-3/</v>
      </c>
      <c r="B306" t="b">
        <f>COUNTIF($A$2:$A306, A306)&gt;1</f>
        <v>1</v>
      </c>
      <c r="C306" t="b">
        <f t="shared" si="77"/>
        <v>0</v>
      </c>
      <c r="D306">
        <f>VLOOKUP(A306,variant_counts!A:B, 2, FALSE)</f>
        <v>3</v>
      </c>
      <c r="E306" t="str">
        <f t="shared" si="90"/>
        <v>zard-exhaust-special-edition-full-kit-short-version-triumph-scrambler-my-2016-injection-ztph053skb</v>
      </c>
      <c r="F306" t="str">
        <f t="shared" si="78"/>
        <v>ZARD EXHAUST SPECIAL EDITION FULL KIT SHORT VERSION TRIUMPH SCRAMBLER &lt; M.Y. 2016 INJECTION ZTPH053SKB</v>
      </c>
      <c r="G306" t="str">
        <f t="shared" si="79"/>
        <v/>
      </c>
      <c r="H306" t="str">
        <f t="shared" si="91"/>
        <v/>
      </c>
      <c r="I306" t="str">
        <f t="shared" si="92"/>
        <v/>
      </c>
      <c r="J306" t="str">
        <f t="shared" si="93"/>
        <v/>
      </c>
      <c r="K306" t="str">
        <f t="shared" si="94"/>
        <v/>
      </c>
      <c r="L306" t="str">
        <f t="shared" si="80"/>
        <v/>
      </c>
      <c r="M306" t="str">
        <f t="shared" si="81"/>
        <v/>
      </c>
      <c r="R306" t="str">
        <f t="shared" si="82"/>
        <v/>
      </c>
      <c r="S306" t="str">
        <f t="shared" si="83"/>
        <v/>
      </c>
      <c r="U306" t="str">
        <f t="shared" si="84"/>
        <v/>
      </c>
      <c r="V306" t="str">
        <f t="shared" si="85"/>
        <v/>
      </c>
      <c r="W306" s="5" t="str">
        <f t="shared" si="86"/>
        <v/>
      </c>
      <c r="Y306" t="str">
        <f t="shared" si="87"/>
        <v/>
      </c>
      <c r="Z306" t="str">
        <f t="shared" si="88"/>
        <v/>
      </c>
      <c r="AB306" t="str">
        <f t="shared" si="89"/>
        <v>https://shop.officineitalianezard.it/contents/imgs/products/1_1062-scarico%20scrambler%20zard1.jpg</v>
      </c>
      <c r="AE306" t="b">
        <v>0</v>
      </c>
    </row>
    <row r="307" spans="1:31" x14ac:dyDescent="0.2">
      <c r="A307" t="str">
        <f t="shared" si="76"/>
        <v>https://shop.officineitalianezard.it/en/triumph-bonneville-scrambler-thruxton-zard-exhaust-3/</v>
      </c>
      <c r="B307" t="b">
        <f>COUNTIF($A$2:$A307, A307)&gt;1</f>
        <v>1</v>
      </c>
      <c r="C307" t="b">
        <f t="shared" si="77"/>
        <v>0</v>
      </c>
      <c r="D307">
        <f>VLOOKUP(A307,variant_counts!A:B, 2, FALSE)</f>
        <v>3</v>
      </c>
      <c r="E307" t="str">
        <f t="shared" si="90"/>
        <v>zard-exhaust-special-edition-full-kit-short-version-triumph-scrambler-my-2016-injection-ztph053skb</v>
      </c>
      <c r="F307" t="str">
        <f t="shared" si="78"/>
        <v>ZARD EXHAUST SPECIAL EDITION FULL KIT SHORT VERSION TRIUMPH SCRAMBLER &lt; M.Y. 2016 INJECTION ZTPH053SKB</v>
      </c>
      <c r="G307" t="str">
        <f t="shared" si="79"/>
        <v/>
      </c>
      <c r="H307" t="str">
        <f t="shared" si="91"/>
        <v/>
      </c>
      <c r="I307" t="str">
        <f t="shared" si="92"/>
        <v/>
      </c>
      <c r="J307" t="str">
        <f t="shared" si="93"/>
        <v/>
      </c>
      <c r="K307" t="str">
        <f t="shared" si="94"/>
        <v/>
      </c>
      <c r="L307" t="str">
        <f t="shared" si="80"/>
        <v/>
      </c>
      <c r="M307" t="str">
        <f t="shared" si="81"/>
        <v/>
      </c>
      <c r="R307" t="str">
        <f t="shared" si="82"/>
        <v/>
      </c>
      <c r="S307" t="str">
        <f t="shared" si="83"/>
        <v/>
      </c>
      <c r="U307" t="str">
        <f t="shared" si="84"/>
        <v/>
      </c>
      <c r="V307" t="str">
        <f t="shared" si="85"/>
        <v/>
      </c>
      <c r="W307" s="5" t="str">
        <f t="shared" si="86"/>
        <v/>
      </c>
      <c r="Y307" t="str">
        <f t="shared" si="87"/>
        <v/>
      </c>
      <c r="Z307" t="str">
        <f t="shared" si="88"/>
        <v/>
      </c>
      <c r="AB307" t="str">
        <f t="shared" si="89"/>
        <v>https://shop.officineitalianezard.it/contents/imgs/products/1_1063-scarico%20scrambler%20zard2.jpg</v>
      </c>
      <c r="AE307" t="b">
        <v>0</v>
      </c>
    </row>
    <row r="308" spans="1:31" x14ac:dyDescent="0.2">
      <c r="A308" t="str">
        <f t="shared" si="76"/>
        <v>https://shop.officineitalianezard.it/en/triumph-bonneville-scrambler-thruxton-zard-exhaust-3/</v>
      </c>
      <c r="B308" t="b">
        <f>COUNTIF($A$2:$A308, A308)&gt;1</f>
        <v>1</v>
      </c>
      <c r="C308" t="b">
        <f t="shared" si="77"/>
        <v>0</v>
      </c>
      <c r="D308">
        <f>VLOOKUP(A308,variant_counts!A:B, 2, FALSE)</f>
        <v>3</v>
      </c>
      <c r="E308" t="str">
        <f t="shared" si="90"/>
        <v>zard-exhaust-special-edition-full-kit-short-version-triumph-scrambler-my-2016-injection-ztph053skb</v>
      </c>
      <c r="F308" t="str">
        <f t="shared" si="78"/>
        <v>ZARD EXHAUST SPECIAL EDITION FULL KIT SHORT VERSION TRIUMPH SCRAMBLER &lt; M.Y. 2016 INJECTION ZTPH053SKB</v>
      </c>
      <c r="G308" t="str">
        <f t="shared" si="79"/>
        <v/>
      </c>
      <c r="H308" t="str">
        <f t="shared" si="91"/>
        <v/>
      </c>
      <c r="I308" t="str">
        <f t="shared" si="92"/>
        <v/>
      </c>
      <c r="J308" t="str">
        <f t="shared" si="93"/>
        <v/>
      </c>
      <c r="K308" t="str">
        <f t="shared" si="94"/>
        <v/>
      </c>
      <c r="L308" t="str">
        <f t="shared" si="80"/>
        <v/>
      </c>
      <c r="M308" t="str">
        <f t="shared" si="81"/>
        <v/>
      </c>
      <c r="R308" t="str">
        <f t="shared" si="82"/>
        <v/>
      </c>
      <c r="S308" t="str">
        <f t="shared" si="83"/>
        <v/>
      </c>
      <c r="U308" t="str">
        <f t="shared" si="84"/>
        <v/>
      </c>
      <c r="V308" t="str">
        <f t="shared" si="85"/>
        <v/>
      </c>
      <c r="W308" s="5" t="str">
        <f t="shared" si="86"/>
        <v/>
      </c>
      <c r="Y308" t="str">
        <f t="shared" si="87"/>
        <v/>
      </c>
      <c r="Z308" t="str">
        <f t="shared" si="88"/>
        <v/>
      </c>
      <c r="AB308" t="str">
        <f t="shared" si="89"/>
        <v>https://shop.officineitalianezard.it/contents/imgs/products/1_1098-brushed.jpg</v>
      </c>
      <c r="AE308" t="b">
        <v>0</v>
      </c>
    </row>
    <row r="309" spans="1:31" x14ac:dyDescent="0.2">
      <c r="A309" t="str">
        <f t="shared" si="76"/>
        <v>https://shop.officineitalianezard.it/en/triumph-bonneville-scrambler-thruxton-zard-exhaust-3/</v>
      </c>
      <c r="B309" t="b">
        <f>COUNTIF($A$2:$A309, A309)&gt;1</f>
        <v>1</v>
      </c>
      <c r="C309" t="b">
        <f t="shared" si="77"/>
        <v>0</v>
      </c>
      <c r="D309">
        <f>VLOOKUP(A309,variant_counts!A:B, 2, FALSE)</f>
        <v>3</v>
      </c>
      <c r="E309" t="str">
        <f t="shared" si="90"/>
        <v>zard-exhaust-special-edition-full-kit-short-version-triumph-scrambler-my-2016-injection-ztph053skb</v>
      </c>
      <c r="F309" t="str">
        <f t="shared" si="78"/>
        <v>ZARD EXHAUST SPECIAL EDITION FULL KIT SHORT VERSION TRIUMPH SCRAMBLER &lt; M.Y. 2016 INJECTION ZTPH053SKB</v>
      </c>
      <c r="G309" t="str">
        <f t="shared" si="79"/>
        <v/>
      </c>
      <c r="H309" t="str">
        <f t="shared" si="91"/>
        <v/>
      </c>
      <c r="I309" t="str">
        <f t="shared" si="92"/>
        <v/>
      </c>
      <c r="J309" t="str">
        <f t="shared" si="93"/>
        <v/>
      </c>
      <c r="K309" t="str">
        <f t="shared" si="94"/>
        <v/>
      </c>
      <c r="L309" t="str">
        <f t="shared" si="80"/>
        <v/>
      </c>
      <c r="M309" t="str">
        <f t="shared" si="81"/>
        <v/>
      </c>
      <c r="R309" t="str">
        <f t="shared" si="82"/>
        <v/>
      </c>
      <c r="S309" t="str">
        <f t="shared" si="83"/>
        <v/>
      </c>
      <c r="U309" t="str">
        <f t="shared" si="84"/>
        <v/>
      </c>
      <c r="V309" t="str">
        <f t="shared" si="85"/>
        <v/>
      </c>
      <c r="W309" s="5" t="str">
        <f t="shared" si="86"/>
        <v/>
      </c>
      <c r="Y309" t="str">
        <f t="shared" si="87"/>
        <v/>
      </c>
      <c r="Z309" t="str">
        <f t="shared" si="88"/>
        <v/>
      </c>
      <c r="AB309" t="str">
        <f t="shared" si="89"/>
        <v>https://shop.officineitalianezard.it/contents/imgs/products/1_1099-inox-paracalore%20nero.jpg</v>
      </c>
      <c r="AE309" t="b">
        <v>0</v>
      </c>
    </row>
    <row r="310" spans="1:31" x14ac:dyDescent="0.2">
      <c r="A310" t="str">
        <f t="shared" si="76"/>
        <v>https://shop.officineitalianezard.it/en/triumph-bonneville-scrambler-thruxton-zard-exhaust-3/</v>
      </c>
      <c r="B310" t="b">
        <f>COUNTIF($A$2:$A310, A310)&gt;1</f>
        <v>1</v>
      </c>
      <c r="C310" t="b">
        <f t="shared" si="77"/>
        <v>1</v>
      </c>
      <c r="D310">
        <f>VLOOKUP(A310,variant_counts!A:B, 2, FALSE)</f>
        <v>3</v>
      </c>
      <c r="E310" t="str">
        <f t="shared" si="90"/>
        <v>zard-exhaust-special-edition-full-kit-short-version-triumph-scrambler-my-2016-injection-ztph053skb</v>
      </c>
      <c r="F310" t="str">
        <f t="shared" si="78"/>
        <v>ZARD EXHAUST SPECIAL EDITION FULL KIT SHORT VERSION TRIUMPH SCRAMBLER &lt; M.Y. 2016 INJECTION ZTPH053SKB</v>
      </c>
      <c r="G310" t="str">
        <f t="shared" si="79"/>
        <v/>
      </c>
      <c r="H310" t="str">
        <f t="shared" si="91"/>
        <v/>
      </c>
      <c r="I310" t="str">
        <f t="shared" si="92"/>
        <v/>
      </c>
      <c r="J310" t="str">
        <f t="shared" si="93"/>
        <v/>
      </c>
      <c r="K310" t="str">
        <f t="shared" si="94"/>
        <v/>
      </c>
      <c r="L310" t="str">
        <f t="shared" si="80"/>
        <v>Option</v>
      </c>
      <c r="M310" t="str">
        <f t="shared" si="81"/>
        <v>CATALYZED</v>
      </c>
      <c r="R310" t="str">
        <f t="shared" si="82"/>
        <v>ZTPH053SKB</v>
      </c>
      <c r="S310">
        <f t="shared" si="83"/>
        <v>0</v>
      </c>
      <c r="U310" t="str">
        <f t="shared" si="84"/>
        <v>continue</v>
      </c>
      <c r="V310" t="str">
        <f t="shared" si="85"/>
        <v>manual</v>
      </c>
      <c r="W310" s="5">
        <f t="shared" si="86"/>
        <v>1209.6336000000001</v>
      </c>
      <c r="Y310" t="b">
        <f t="shared" si="87"/>
        <v>1</v>
      </c>
      <c r="Z310" t="b">
        <f t="shared" si="88"/>
        <v>0</v>
      </c>
      <c r="AB310" t="str">
        <f t="shared" si="89"/>
        <v/>
      </c>
      <c r="AE310" t="b">
        <v>0</v>
      </c>
    </row>
    <row r="311" spans="1:31" x14ac:dyDescent="0.2">
      <c r="A311" t="str">
        <f t="shared" si="76"/>
        <v>https://shop.officineitalianezard.it/en/triumph-bonneville-scrambler-thruxton-zard-exhaust-3/</v>
      </c>
      <c r="B311" t="b">
        <f>COUNTIF($A$2:$A311, A311)&gt;1</f>
        <v>1</v>
      </c>
      <c r="C311" t="b">
        <f t="shared" si="77"/>
        <v>1</v>
      </c>
      <c r="D311">
        <f>VLOOKUP(A311,variant_counts!A:B, 2, FALSE)</f>
        <v>3</v>
      </c>
      <c r="E311" t="str">
        <f t="shared" si="90"/>
        <v>zard-exhaust-special-edition-full-kit-short-version-triumph-scrambler-my-2016-injection-ztph053skb</v>
      </c>
      <c r="F311" t="str">
        <f t="shared" si="78"/>
        <v>ZARD EXHAUST SPECIAL EDITION FULL KIT SHORT VERSION TRIUMPH SCRAMBLER &lt; M.Y. 2016 INJECTION ZTPH053SKB</v>
      </c>
      <c r="G311" t="str">
        <f t="shared" si="79"/>
        <v/>
      </c>
      <c r="H311" t="str">
        <f t="shared" si="91"/>
        <v/>
      </c>
      <c r="I311" t="str">
        <f t="shared" si="92"/>
        <v/>
      </c>
      <c r="J311" t="str">
        <f t="shared" si="93"/>
        <v/>
      </c>
      <c r="K311" t="str">
        <f t="shared" si="94"/>
        <v/>
      </c>
      <c r="L311" t="str">
        <f t="shared" si="80"/>
        <v>Option</v>
      </c>
      <c r="M311" t="str">
        <f t="shared" si="81"/>
        <v>BLACK COATING</v>
      </c>
      <c r="R311" t="str">
        <f t="shared" si="82"/>
        <v>ZTPH053SKB</v>
      </c>
      <c r="S311">
        <f t="shared" si="83"/>
        <v>0</v>
      </c>
      <c r="U311" t="str">
        <f t="shared" si="84"/>
        <v>continue</v>
      </c>
      <c r="V311" t="str">
        <f t="shared" si="85"/>
        <v>manual</v>
      </c>
      <c r="W311" s="5">
        <f t="shared" si="86"/>
        <v>1172.7816</v>
      </c>
      <c r="Y311" t="b">
        <f t="shared" si="87"/>
        <v>1</v>
      </c>
      <c r="Z311" t="b">
        <f t="shared" si="88"/>
        <v>0</v>
      </c>
      <c r="AB311" t="str">
        <f t="shared" si="89"/>
        <v/>
      </c>
      <c r="AE311" t="b">
        <v>0</v>
      </c>
    </row>
    <row r="312" spans="1:31" x14ac:dyDescent="0.2">
      <c r="A312" t="str">
        <f t="shared" si="76"/>
        <v>https://shop.officineitalianezard.it/en/triumph-bonneville-scrambler-thruxton-zard-exhaust-3/</v>
      </c>
      <c r="B312" t="b">
        <f>COUNTIF($A$2:$A312, A312)&gt;1</f>
        <v>1</v>
      </c>
      <c r="C312" t="b">
        <f t="shared" si="77"/>
        <v>1</v>
      </c>
      <c r="D312">
        <f>VLOOKUP(A312,variant_counts!A:B, 2, FALSE)</f>
        <v>3</v>
      </c>
      <c r="E312" t="str">
        <f t="shared" si="90"/>
        <v>zard-exhaust-special-edition-full-kit-short-version-triumph-scrambler-my-2016-injection-ztph053skb</v>
      </c>
      <c r="F312" t="str">
        <f t="shared" si="78"/>
        <v>ZARD EXHAUST SPECIAL EDITION FULL KIT SHORT VERSION TRIUMPH SCRAMBLER &lt; M.Y. 2016 INJECTION ZTPH053SKB</v>
      </c>
      <c r="G312" t="str">
        <f t="shared" si="79"/>
        <v/>
      </c>
      <c r="H312" t="str">
        <f t="shared" si="91"/>
        <v/>
      </c>
      <c r="I312" t="str">
        <f t="shared" si="92"/>
        <v/>
      </c>
      <c r="J312" t="str">
        <f t="shared" si="93"/>
        <v/>
      </c>
      <c r="K312" t="str">
        <f t="shared" si="94"/>
        <v/>
      </c>
      <c r="L312" t="str">
        <f t="shared" si="80"/>
        <v>Option</v>
      </c>
      <c r="M312" t="str">
        <f t="shared" si="81"/>
        <v>BLACK HEAT SHIELDS</v>
      </c>
      <c r="R312" t="str">
        <f t="shared" si="82"/>
        <v>ZTPH053SKB</v>
      </c>
      <c r="S312">
        <f t="shared" si="83"/>
        <v>0</v>
      </c>
      <c r="U312" t="str">
        <f t="shared" si="84"/>
        <v>continue</v>
      </c>
      <c r="V312" t="str">
        <f t="shared" si="85"/>
        <v>manual</v>
      </c>
      <c r="W312" s="5">
        <f t="shared" si="86"/>
        <v>1044.2214000000001</v>
      </c>
      <c r="Y312" t="b">
        <f t="shared" si="87"/>
        <v>1</v>
      </c>
      <c r="Z312" t="b">
        <f t="shared" si="88"/>
        <v>0</v>
      </c>
      <c r="AB312" t="str">
        <f t="shared" si="89"/>
        <v/>
      </c>
      <c r="AE312" t="b">
        <v>0</v>
      </c>
    </row>
    <row r="313" spans="1:31" x14ac:dyDescent="0.2">
      <c r="A313" t="str">
        <f t="shared" si="76"/>
        <v>https://shop.officineitalianezard.it/en/triumph-bonneville-scrambler-thruxton-zard-exhaust/</v>
      </c>
      <c r="B313" t="b">
        <f>COUNTIF($A$2:$A313, A313)&gt;1</f>
        <v>0</v>
      </c>
      <c r="C313" t="b">
        <f t="shared" si="77"/>
        <v>0</v>
      </c>
      <c r="D313">
        <f>VLOOKUP(A313,variant_counts!A:B, 2, FALSE)</f>
        <v>5</v>
      </c>
      <c r="E313" t="str">
        <f t="shared" si="90"/>
        <v>zard-exhaust-special-edition-full-kit-unica-triumph-scrambler-my-2016-carburettor-ztph056skb-08</v>
      </c>
      <c r="F313" t="str">
        <f t="shared" si="78"/>
        <v>ZARD EXHAUST SPECIAL EDITION FULL KIT 'UNICA' TRIUMPH SCRAMBLER &lt; M.Y. 2016 CARBURETTOR ZTPH056SKB-08</v>
      </c>
      <c r="G313" t="str">
        <f t="shared" si="79"/>
        <v>&lt;p&gt;2&amp;gt;1 STEEL RACING FULL KIT&lt;/p&gt;
&lt;p&gt;ORIGINAL FULL KIT WEIGHT: KG 9.3&lt;br&gt;ZARD FULL KIT WEIGHT: KG 5.5&lt;/p&gt;
&lt;p&gt;HARD INCREASE IN THE MID-RANGE AND SPEAKING ABOUT MAXIMUM POWER COMPARED TO THE ORIGINAL EXHAUST SYSTEM.&lt;/p&gt;
&lt;p&gt;ASTONISHING SOUND.&lt;/p&gt;</v>
      </c>
      <c r="H313" t="str">
        <f t="shared" si="91"/>
        <v>ZARD</v>
      </c>
      <c r="I313" t="str">
        <f t="shared" si="92"/>
        <v>Exhaust Pipe</v>
      </c>
      <c r="J313" t="str">
        <f t="shared" si="93"/>
        <v>Test</v>
      </c>
      <c r="K313" t="b">
        <f t="shared" si="94"/>
        <v>0</v>
      </c>
      <c r="L313" t="str">
        <f t="shared" si="80"/>
        <v/>
      </c>
      <c r="M313" t="str">
        <f t="shared" si="81"/>
        <v/>
      </c>
      <c r="R313" t="str">
        <f t="shared" si="82"/>
        <v/>
      </c>
      <c r="S313" t="str">
        <f t="shared" si="83"/>
        <v/>
      </c>
      <c r="U313" t="str">
        <f t="shared" si="84"/>
        <v/>
      </c>
      <c r="V313" t="str">
        <f t="shared" si="85"/>
        <v/>
      </c>
      <c r="W313" s="5" t="str">
        <f t="shared" si="86"/>
        <v/>
      </c>
      <c r="Y313" t="str">
        <f t="shared" si="87"/>
        <v/>
      </c>
      <c r="Z313" t="str">
        <f t="shared" si="88"/>
        <v/>
      </c>
      <c r="AB313" t="str">
        <f t="shared" si="89"/>
        <v>https://shop.officineitalianezard.it/contents/imgs/products/1_1323-1.jpg</v>
      </c>
      <c r="AE313" t="b">
        <v>0</v>
      </c>
    </row>
    <row r="314" spans="1:31" x14ac:dyDescent="0.2">
      <c r="A314" t="str">
        <f t="shared" si="76"/>
        <v>https://shop.officineitalianezard.it/en/triumph-bonneville-scrambler-thruxton-zard-exhaust/</v>
      </c>
      <c r="B314" t="b">
        <f>COUNTIF($A$2:$A314, A314)&gt;1</f>
        <v>1</v>
      </c>
      <c r="C314" t="b">
        <f t="shared" si="77"/>
        <v>0</v>
      </c>
      <c r="D314">
        <f>VLOOKUP(A314,variant_counts!A:B, 2, FALSE)</f>
        <v>5</v>
      </c>
      <c r="E314" t="str">
        <f t="shared" si="90"/>
        <v>zard-exhaust-special-edition-full-kit-unica-triumph-scrambler-my-2016-carburettor-ztph056skb-08</v>
      </c>
      <c r="F314" t="str">
        <f t="shared" si="78"/>
        <v>ZARD EXHAUST SPECIAL EDITION FULL KIT 'UNICA' TRIUMPH SCRAMBLER &lt; M.Y. 2016 CARBURETTOR ZTPH056SKB-08</v>
      </c>
      <c r="G314" t="str">
        <f t="shared" si="79"/>
        <v/>
      </c>
      <c r="H314" t="str">
        <f t="shared" si="91"/>
        <v/>
      </c>
      <c r="I314" t="str">
        <f t="shared" si="92"/>
        <v/>
      </c>
      <c r="J314" t="str">
        <f t="shared" si="93"/>
        <v/>
      </c>
      <c r="K314" t="str">
        <f t="shared" si="94"/>
        <v/>
      </c>
      <c r="L314" t="str">
        <f t="shared" si="80"/>
        <v/>
      </c>
      <c r="M314" t="str">
        <f t="shared" si="81"/>
        <v/>
      </c>
      <c r="R314" t="str">
        <f t="shared" si="82"/>
        <v/>
      </c>
      <c r="S314" t="str">
        <f t="shared" si="83"/>
        <v/>
      </c>
      <c r="U314" t="str">
        <f t="shared" si="84"/>
        <v/>
      </c>
      <c r="V314" t="str">
        <f t="shared" si="85"/>
        <v/>
      </c>
      <c r="W314" s="5" t="str">
        <f t="shared" si="86"/>
        <v/>
      </c>
      <c r="Y314" t="str">
        <f t="shared" si="87"/>
        <v/>
      </c>
      <c r="Z314" t="str">
        <f t="shared" si="88"/>
        <v/>
      </c>
      <c r="AB314" t="str">
        <f t="shared" si="89"/>
        <v>https://shop.officineitalianezard.it/contents/imgs/products/1_1325-Triumph-Scrambler-Alo-Barber-Proraso-Scarico.jpg</v>
      </c>
      <c r="AE314" t="b">
        <v>0</v>
      </c>
    </row>
    <row r="315" spans="1:31" x14ac:dyDescent="0.2">
      <c r="A315" t="str">
        <f t="shared" si="76"/>
        <v>https://shop.officineitalianezard.it/en/triumph-bonneville-scrambler-thruxton-zard-exhaust/</v>
      </c>
      <c r="B315" t="b">
        <f>COUNTIF($A$2:$A315, A315)&gt;1</f>
        <v>1</v>
      </c>
      <c r="C315" t="b">
        <f t="shared" si="77"/>
        <v>0</v>
      </c>
      <c r="D315">
        <f>VLOOKUP(A315,variant_counts!A:B, 2, FALSE)</f>
        <v>5</v>
      </c>
      <c r="E315" t="str">
        <f t="shared" si="90"/>
        <v>zard-exhaust-special-edition-full-kit-unica-triumph-scrambler-my-2016-carburettor-ztph056skb-08</v>
      </c>
      <c r="F315" t="str">
        <f t="shared" si="78"/>
        <v>ZARD EXHAUST SPECIAL EDITION FULL KIT 'UNICA' TRIUMPH SCRAMBLER &lt; M.Y. 2016 CARBURETTOR ZTPH056SKB-08</v>
      </c>
      <c r="G315" t="str">
        <f t="shared" si="79"/>
        <v/>
      </c>
      <c r="H315" t="str">
        <f t="shared" si="91"/>
        <v/>
      </c>
      <c r="I315" t="str">
        <f t="shared" si="92"/>
        <v/>
      </c>
      <c r="J315" t="str">
        <f t="shared" si="93"/>
        <v/>
      </c>
      <c r="K315" t="str">
        <f t="shared" si="94"/>
        <v/>
      </c>
      <c r="L315" t="str">
        <f t="shared" si="80"/>
        <v/>
      </c>
      <c r="M315" t="str">
        <f t="shared" si="81"/>
        <v/>
      </c>
      <c r="R315" t="str">
        <f t="shared" si="82"/>
        <v/>
      </c>
      <c r="S315" t="str">
        <f t="shared" si="83"/>
        <v/>
      </c>
      <c r="U315" t="str">
        <f t="shared" si="84"/>
        <v/>
      </c>
      <c r="V315" t="str">
        <f t="shared" si="85"/>
        <v/>
      </c>
      <c r="W315" s="5" t="str">
        <f t="shared" si="86"/>
        <v/>
      </c>
      <c r="Y315" t="str">
        <f t="shared" si="87"/>
        <v/>
      </c>
      <c r="Z315" t="str">
        <f t="shared" si="88"/>
        <v/>
      </c>
      <c r="AB315" t="str">
        <f t="shared" si="89"/>
        <v>https://shop.officineitalianezard.it/contents/imgs/products/1_1324-Triumph-Scrambler-Alo-Barber-Proraso-Barbiere.jpg</v>
      </c>
      <c r="AE315" t="b">
        <v>0</v>
      </c>
    </row>
    <row r="316" spans="1:31" x14ac:dyDescent="0.2">
      <c r="A316" t="str">
        <f t="shared" si="76"/>
        <v>https://shop.officineitalianezard.it/en/triumph-bonneville-scrambler-thruxton-zard-exhaust/</v>
      </c>
      <c r="B316" t="b">
        <f>COUNTIF($A$2:$A316, A316)&gt;1</f>
        <v>1</v>
      </c>
      <c r="C316" t="b">
        <f t="shared" si="77"/>
        <v>0</v>
      </c>
      <c r="D316">
        <f>VLOOKUP(A316,variant_counts!A:B, 2, FALSE)</f>
        <v>5</v>
      </c>
      <c r="E316" t="str">
        <f t="shared" si="90"/>
        <v>zard-exhaust-special-edition-full-kit-unica-triumph-scrambler-my-2016-carburettor-ztph056skb-08</v>
      </c>
      <c r="F316" t="str">
        <f t="shared" si="78"/>
        <v>ZARD EXHAUST SPECIAL EDITION FULL KIT 'UNICA' TRIUMPH SCRAMBLER &lt; M.Y. 2016 CARBURETTOR ZTPH056SKB-08</v>
      </c>
      <c r="G316" t="str">
        <f t="shared" si="79"/>
        <v/>
      </c>
      <c r="H316" t="str">
        <f t="shared" si="91"/>
        <v/>
      </c>
      <c r="I316" t="str">
        <f t="shared" si="92"/>
        <v/>
      </c>
      <c r="J316" t="str">
        <f t="shared" si="93"/>
        <v/>
      </c>
      <c r="K316" t="str">
        <f t="shared" si="94"/>
        <v/>
      </c>
      <c r="L316" t="str">
        <f t="shared" si="80"/>
        <v/>
      </c>
      <c r="M316" t="str">
        <f t="shared" si="81"/>
        <v/>
      </c>
      <c r="R316" t="str">
        <f t="shared" si="82"/>
        <v/>
      </c>
      <c r="S316" t="str">
        <f t="shared" si="83"/>
        <v/>
      </c>
      <c r="U316" t="str">
        <f t="shared" si="84"/>
        <v/>
      </c>
      <c r="V316" t="str">
        <f t="shared" si="85"/>
        <v/>
      </c>
      <c r="W316" s="5" t="str">
        <f t="shared" si="86"/>
        <v/>
      </c>
      <c r="Y316" t="str">
        <f t="shared" si="87"/>
        <v/>
      </c>
      <c r="Z316" t="str">
        <f t="shared" si="88"/>
        <v/>
      </c>
      <c r="AB316" t="str">
        <f t="shared" si="89"/>
        <v>https://shop.officineitalianezard.it/contents/imgs/products/1_1343-scrambler%20exhaust%20zard.jpg</v>
      </c>
      <c r="AE316" t="b">
        <v>0</v>
      </c>
    </row>
    <row r="317" spans="1:31" x14ac:dyDescent="0.2">
      <c r="A317" t="str">
        <f t="shared" si="76"/>
        <v>https://shop.officineitalianezard.it/en/triumph-bonneville-scrambler-thruxton-zard-exhaust/</v>
      </c>
      <c r="B317" t="b">
        <f>COUNTIF($A$2:$A317, A317)&gt;1</f>
        <v>1</v>
      </c>
      <c r="C317" t="b">
        <f t="shared" si="77"/>
        <v>0</v>
      </c>
      <c r="D317">
        <f>VLOOKUP(A317,variant_counts!A:B, 2, FALSE)</f>
        <v>5</v>
      </c>
      <c r="E317" t="str">
        <f t="shared" si="90"/>
        <v>zard-exhaust-special-edition-full-kit-unica-triumph-scrambler-my-2016-carburettor-ztph056skb-08</v>
      </c>
      <c r="F317" t="str">
        <f t="shared" si="78"/>
        <v>ZARD EXHAUST SPECIAL EDITION FULL KIT 'UNICA' TRIUMPH SCRAMBLER &lt; M.Y. 2016 CARBURETTOR ZTPH056SKB-08</v>
      </c>
      <c r="G317" t="str">
        <f t="shared" si="79"/>
        <v/>
      </c>
      <c r="H317" t="str">
        <f t="shared" si="91"/>
        <v/>
      </c>
      <c r="I317" t="str">
        <f t="shared" si="92"/>
        <v/>
      </c>
      <c r="J317" t="str">
        <f t="shared" si="93"/>
        <v/>
      </c>
      <c r="K317" t="str">
        <f t="shared" si="94"/>
        <v/>
      </c>
      <c r="L317" t="str">
        <f t="shared" si="80"/>
        <v/>
      </c>
      <c r="M317" t="str">
        <f t="shared" si="81"/>
        <v/>
      </c>
      <c r="R317" t="str">
        <f t="shared" si="82"/>
        <v/>
      </c>
      <c r="S317" t="str">
        <f t="shared" si="83"/>
        <v/>
      </c>
      <c r="U317" t="str">
        <f t="shared" si="84"/>
        <v/>
      </c>
      <c r="V317" t="str">
        <f t="shared" si="85"/>
        <v/>
      </c>
      <c r="W317" s="5" t="str">
        <f t="shared" si="86"/>
        <v/>
      </c>
      <c r="Y317" t="str">
        <f t="shared" si="87"/>
        <v/>
      </c>
      <c r="Z317" t="str">
        <f t="shared" si="88"/>
        <v/>
      </c>
      <c r="AB317" t="str">
        <f t="shared" si="89"/>
        <v>https://shop.officineitalianezard.it/contents/imgs/products/1_1723-1066-scarico%20scrambler%20zard1.jpg</v>
      </c>
      <c r="AE317" t="b">
        <v>0</v>
      </c>
    </row>
    <row r="318" spans="1:31" x14ac:dyDescent="0.2">
      <c r="A318" t="str">
        <f t="shared" si="76"/>
        <v>https://shop.officineitalianezard.it/en/triumph-bonneville-scrambler-thruxton-zard-exhaust/</v>
      </c>
      <c r="B318" t="b">
        <f>COUNTIF($A$2:$A318, A318)&gt;1</f>
        <v>1</v>
      </c>
      <c r="C318" t="b">
        <f t="shared" si="77"/>
        <v>0</v>
      </c>
      <c r="D318">
        <f>VLOOKUP(A318,variant_counts!A:B, 2, FALSE)</f>
        <v>5</v>
      </c>
      <c r="E318" t="str">
        <f t="shared" si="90"/>
        <v>zard-exhaust-special-edition-full-kit-unica-triumph-scrambler-my-2016-carburettor-ztph056skb-08</v>
      </c>
      <c r="F318" t="str">
        <f t="shared" si="78"/>
        <v>ZARD EXHAUST SPECIAL EDITION FULL KIT 'UNICA' TRIUMPH SCRAMBLER &lt; M.Y. 2016 CARBURETTOR ZTPH056SKB-08</v>
      </c>
      <c r="G318" t="str">
        <f t="shared" si="79"/>
        <v/>
      </c>
      <c r="H318" t="str">
        <f t="shared" si="91"/>
        <v/>
      </c>
      <c r="I318" t="str">
        <f t="shared" si="92"/>
        <v/>
      </c>
      <c r="J318" t="str">
        <f t="shared" si="93"/>
        <v/>
      </c>
      <c r="K318" t="str">
        <f t="shared" si="94"/>
        <v/>
      </c>
      <c r="L318" t="str">
        <f t="shared" si="80"/>
        <v/>
      </c>
      <c r="M318" t="str">
        <f t="shared" si="81"/>
        <v/>
      </c>
      <c r="R318" t="str">
        <f t="shared" si="82"/>
        <v/>
      </c>
      <c r="S318" t="str">
        <f t="shared" si="83"/>
        <v/>
      </c>
      <c r="U318" t="str">
        <f t="shared" si="84"/>
        <v/>
      </c>
      <c r="V318" t="str">
        <f t="shared" si="85"/>
        <v/>
      </c>
      <c r="W318" s="5" t="str">
        <f t="shared" si="86"/>
        <v/>
      </c>
      <c r="Y318" t="str">
        <f t="shared" si="87"/>
        <v/>
      </c>
      <c r="Z318" t="str">
        <f t="shared" si="88"/>
        <v/>
      </c>
      <c r="AB318" t="str">
        <f t="shared" si="89"/>
        <v>https://shop.officineitalianezard.it/contents/imgs/products/1_1724-1067-scarico%20scrambler%20zard2.jpg</v>
      </c>
      <c r="AE318" t="b">
        <v>0</v>
      </c>
    </row>
    <row r="319" spans="1:31" x14ac:dyDescent="0.2">
      <c r="A319" t="str">
        <f t="shared" si="76"/>
        <v>https://shop.officineitalianezard.it/en/triumph-bonneville-scrambler-thruxton-zard-exhaust/</v>
      </c>
      <c r="B319" t="b">
        <f>COUNTIF($A$2:$A319, A319)&gt;1</f>
        <v>1</v>
      </c>
      <c r="C319" t="b">
        <f t="shared" si="77"/>
        <v>1</v>
      </c>
      <c r="D319">
        <f>VLOOKUP(A319,variant_counts!A:B, 2, FALSE)</f>
        <v>5</v>
      </c>
      <c r="E319" t="str">
        <f t="shared" si="90"/>
        <v>zard-exhaust-special-edition-full-kit-unica-triumph-scrambler-my-2016-carburettor-ztph056skb-08</v>
      </c>
      <c r="F319" t="str">
        <f t="shared" si="78"/>
        <v>ZARD EXHAUST SPECIAL EDITION FULL KIT 'UNICA' TRIUMPH SCRAMBLER &lt; M.Y. 2016 CARBURETTOR ZTPH056SKB-08</v>
      </c>
      <c r="G319" t="str">
        <f t="shared" si="79"/>
        <v/>
      </c>
      <c r="H319" t="str">
        <f t="shared" si="91"/>
        <v/>
      </c>
      <c r="I319" t="str">
        <f t="shared" si="92"/>
        <v/>
      </c>
      <c r="J319" t="str">
        <f t="shared" si="93"/>
        <v/>
      </c>
      <c r="K319" t="str">
        <f t="shared" si="94"/>
        <v/>
      </c>
      <c r="L319" t="str">
        <f t="shared" si="80"/>
        <v>Option</v>
      </c>
      <c r="M319" t="str">
        <f t="shared" si="81"/>
        <v>EURO 3 HOMOLOGATED</v>
      </c>
      <c r="R319" t="str">
        <f t="shared" si="82"/>
        <v>ZTPH056SKB-08</v>
      </c>
      <c r="S319">
        <f t="shared" si="83"/>
        <v>0</v>
      </c>
      <c r="U319" t="str">
        <f t="shared" si="84"/>
        <v>continue</v>
      </c>
      <c r="V319" t="str">
        <f t="shared" si="85"/>
        <v>manual</v>
      </c>
      <c r="W319" s="5">
        <f t="shared" si="86"/>
        <v>1070.4285000000002</v>
      </c>
      <c r="Y319" t="b">
        <f t="shared" si="87"/>
        <v>1</v>
      </c>
      <c r="Z319" t="b">
        <f t="shared" si="88"/>
        <v>0</v>
      </c>
      <c r="AB319" t="str">
        <f t="shared" si="89"/>
        <v/>
      </c>
      <c r="AE319" t="b">
        <v>0</v>
      </c>
    </row>
    <row r="320" spans="1:31" x14ac:dyDescent="0.2">
      <c r="A320" t="str">
        <f t="shared" si="76"/>
        <v>https://shop.officineitalianezard.it/en/triumph-bonneville-scrambler-thruxton-zard-exhaust/</v>
      </c>
      <c r="B320" t="b">
        <f>COUNTIF($A$2:$A320, A320)&gt;1</f>
        <v>1</v>
      </c>
      <c r="C320" t="b">
        <f t="shared" si="77"/>
        <v>1</v>
      </c>
      <c r="D320">
        <f>VLOOKUP(A320,variant_counts!A:B, 2, FALSE)</f>
        <v>5</v>
      </c>
      <c r="E320" t="str">
        <f t="shared" si="90"/>
        <v>zard-exhaust-special-edition-full-kit-unica-triumph-scrambler-my-2016-carburettor-ztph056skb-08</v>
      </c>
      <c r="F320" t="str">
        <f t="shared" si="78"/>
        <v>ZARD EXHAUST SPECIAL EDITION FULL KIT 'UNICA' TRIUMPH SCRAMBLER &lt; M.Y. 2016 CARBURETTOR ZTPH056SKB-08</v>
      </c>
      <c r="G320" t="str">
        <f t="shared" si="79"/>
        <v/>
      </c>
      <c r="H320" t="str">
        <f t="shared" si="91"/>
        <v/>
      </c>
      <c r="I320" t="str">
        <f t="shared" si="92"/>
        <v/>
      </c>
      <c r="J320" t="str">
        <f t="shared" si="93"/>
        <v/>
      </c>
      <c r="K320" t="str">
        <f t="shared" si="94"/>
        <v/>
      </c>
      <c r="L320" t="str">
        <f t="shared" si="80"/>
        <v>Option</v>
      </c>
      <c r="M320" t="str">
        <f t="shared" si="81"/>
        <v>BLACK COATING</v>
      </c>
      <c r="R320" t="str">
        <f t="shared" si="82"/>
        <v>ZTPH056SKB-08</v>
      </c>
      <c r="S320">
        <f t="shared" si="83"/>
        <v>0</v>
      </c>
      <c r="U320" t="str">
        <f t="shared" si="84"/>
        <v>continue</v>
      </c>
      <c r="V320" t="str">
        <f t="shared" si="85"/>
        <v>manual</v>
      </c>
      <c r="W320" s="5">
        <f t="shared" si="86"/>
        <v>1172.7816</v>
      </c>
      <c r="Y320" t="b">
        <f t="shared" si="87"/>
        <v>1</v>
      </c>
      <c r="Z320" t="b">
        <f t="shared" si="88"/>
        <v>0</v>
      </c>
      <c r="AB320" t="str">
        <f t="shared" si="89"/>
        <v/>
      </c>
      <c r="AE320" t="b">
        <v>0</v>
      </c>
    </row>
    <row r="321" spans="1:31" x14ac:dyDescent="0.2">
      <c r="A321" t="str">
        <f t="shared" si="76"/>
        <v>https://shop.officineitalianezard.it/en/triumph-bonneville-scrambler-thruxton-zard-exhaust/</v>
      </c>
      <c r="B321" t="b">
        <f>COUNTIF($A$2:$A321, A321)&gt;1</f>
        <v>1</v>
      </c>
      <c r="C321" t="b">
        <f t="shared" si="77"/>
        <v>1</v>
      </c>
      <c r="D321">
        <f>VLOOKUP(A321,variant_counts!A:B, 2, FALSE)</f>
        <v>5</v>
      </c>
      <c r="E321" t="str">
        <f t="shared" si="90"/>
        <v>zard-exhaust-special-edition-full-kit-unica-triumph-scrambler-my-2016-carburettor-ztph056skb-08</v>
      </c>
      <c r="F321" t="str">
        <f t="shared" si="78"/>
        <v>ZARD EXHAUST SPECIAL EDITION FULL KIT 'UNICA' TRIUMPH SCRAMBLER &lt; M.Y. 2016 CARBURETTOR ZTPH056SKB-08</v>
      </c>
      <c r="G321" t="str">
        <f t="shared" si="79"/>
        <v/>
      </c>
      <c r="H321" t="str">
        <f t="shared" si="91"/>
        <v/>
      </c>
      <c r="I321" t="str">
        <f t="shared" si="92"/>
        <v/>
      </c>
      <c r="J321" t="str">
        <f t="shared" si="93"/>
        <v/>
      </c>
      <c r="K321" t="str">
        <f t="shared" si="94"/>
        <v/>
      </c>
      <c r="L321" t="str">
        <f t="shared" si="80"/>
        <v>Option</v>
      </c>
      <c r="M321" t="str">
        <f t="shared" si="81"/>
        <v>POLISHED</v>
      </c>
      <c r="R321" t="str">
        <f t="shared" si="82"/>
        <v>ZTPH056SKB-08</v>
      </c>
      <c r="S321">
        <f t="shared" si="83"/>
        <v>0</v>
      </c>
      <c r="U321" t="str">
        <f t="shared" si="84"/>
        <v>continue</v>
      </c>
      <c r="V321" t="str">
        <f t="shared" si="85"/>
        <v>manual</v>
      </c>
      <c r="W321" s="5">
        <f t="shared" si="86"/>
        <v>1091.7183</v>
      </c>
      <c r="Y321" t="b">
        <f t="shared" si="87"/>
        <v>1</v>
      </c>
      <c r="Z321" t="b">
        <f t="shared" si="88"/>
        <v>0</v>
      </c>
      <c r="AB321" t="str">
        <f t="shared" si="89"/>
        <v/>
      </c>
      <c r="AE321" t="b">
        <v>0</v>
      </c>
    </row>
    <row r="322" spans="1:31" x14ac:dyDescent="0.2">
      <c r="A322" t="str">
        <f t="shared" ref="A322:A385" si="95">source_product_link_href</f>
        <v>https://shop.officineitalianezard.it/en/triumph-bonneville-scrambler-thruxton-zard-exhaust/</v>
      </c>
      <c r="B322" t="b">
        <f>COUNTIF($A$2:$A322, A322)&gt;1</f>
        <v>1</v>
      </c>
      <c r="C322" t="b">
        <f t="shared" ref="C322:C385" si="96">NOT(ISBLANK(source_option_name))</f>
        <v>1</v>
      </c>
      <c r="D322">
        <f>VLOOKUP(A322,variant_counts!A:B, 2, FALSE)</f>
        <v>5</v>
      </c>
      <c r="E322" t="str">
        <f t="shared" si="90"/>
        <v>zard-exhaust-special-edition-full-kit-unica-triumph-scrambler-my-2016-carburettor-ztph056skb-08</v>
      </c>
      <c r="F322" t="str">
        <f t="shared" ref="F322:F385" si="97">UPPER("ZARD EXHAUST " &amp; source_title &amp; " " &amp; source_brand &amp; " " &amp; source_bike &amp; " " &amp; source_product_link &amp; " " &amp; source_sku)</f>
        <v>ZARD EXHAUST SPECIAL EDITION FULL KIT 'UNICA' TRIUMPH SCRAMBLER &lt; M.Y. 2016 CARBURETTOR ZTPH056SKB-08</v>
      </c>
      <c r="G322" t="str">
        <f t="shared" ref="G322:G385" si="98">IF($B322=FALSE, source_description, "")</f>
        <v/>
      </c>
      <c r="H322" t="str">
        <f t="shared" si="91"/>
        <v/>
      </c>
      <c r="I322" t="str">
        <f t="shared" si="92"/>
        <v/>
      </c>
      <c r="J322" t="str">
        <f t="shared" si="93"/>
        <v/>
      </c>
      <c r="K322" t="str">
        <f t="shared" si="94"/>
        <v/>
      </c>
      <c r="L322" t="str">
        <f t="shared" ref="L322:L385" si="99">IF(AND(variant_count=0,duplicated=FALSE),"Title",IF(OR(AND(variant_count=1,duplicated=FALSE), source_option_name&lt;&gt;""), "Option", ""))</f>
        <v>Option</v>
      </c>
      <c r="M322" t="str">
        <f t="shared" ref="M322:M385" si="100">IF(option1_name="Title", "Default Title", IF(AND(option1_name="Option",ISBLANK(source_option_name)),"DEFAULT",IF(ISBLANK(source_option_name), "", source_option_name)))</f>
        <v>BLACK + STEEL HEAT SHIELD</v>
      </c>
      <c r="R322" t="str">
        <f t="shared" ref="R322:R385" si="101">IF(option1_name &lt;&gt; "", source_sku, "")</f>
        <v>ZTPH056SKB-08</v>
      </c>
      <c r="S322">
        <f t="shared" ref="S322:S385" si="102">IF(option1_name &lt;&gt; "", 0, "")</f>
        <v>0</v>
      </c>
      <c r="U322" t="str">
        <f t="shared" ref="U322:U385" si="103">IF(option1_name &lt;&gt; "", "continue", "")</f>
        <v>continue</v>
      </c>
      <c r="V322" t="str">
        <f t="shared" ref="V322:V385" si="104">IF(option1_name &lt;&gt; "", "manual", "")</f>
        <v>manual</v>
      </c>
      <c r="W322" s="5">
        <f t="shared" ref="W322:W385" si="105">IF(option1_name&lt;&gt;"",(source_price_original+source_option_price)*eur_usd,"")</f>
        <v>1172.7816</v>
      </c>
      <c r="Y322" t="b">
        <f t="shared" ref="Y322:Y385" si="106">IF(option1_name&lt;&gt;"",TRUE,"")</f>
        <v>1</v>
      </c>
      <c r="Z322" t="b">
        <f t="shared" ref="Z322:Z385" si="107">IF(option1_name&lt;&gt;"",FALSE,"")</f>
        <v>0</v>
      </c>
      <c r="AB322" t="str">
        <f t="shared" ref="AB322:AB385" si="108">IF(ISBLANK(source_image), "", source_image)</f>
        <v/>
      </c>
      <c r="AE322" t="b">
        <v>0</v>
      </c>
    </row>
    <row r="323" spans="1:31" x14ac:dyDescent="0.2">
      <c r="A323" t="str">
        <f t="shared" si="95"/>
        <v>https://shop.officineitalianezard.it/en/triumph-bonneville-scrambler-thruxton-zard-exhaust/</v>
      </c>
      <c r="B323" t="b">
        <f>COUNTIF($A$2:$A323, A323)&gt;1</f>
        <v>1</v>
      </c>
      <c r="C323" t="b">
        <f t="shared" si="96"/>
        <v>1</v>
      </c>
      <c r="D323">
        <f>VLOOKUP(A323,variant_counts!A:B, 2, FALSE)</f>
        <v>5</v>
      </c>
      <c r="E323" t="str">
        <f t="shared" ref="E323:E386" si="109">FormatShopifyHandle(F323)</f>
        <v>zard-exhaust-special-edition-full-kit-unica-triumph-scrambler-my-2016-carburettor-ztph056skb-08</v>
      </c>
      <c r="F323" t="str">
        <f t="shared" si="97"/>
        <v>ZARD EXHAUST SPECIAL EDITION FULL KIT 'UNICA' TRIUMPH SCRAMBLER &lt; M.Y. 2016 CARBURETTOR ZTPH056SKB-08</v>
      </c>
      <c r="G323" t="str">
        <f t="shared" si="98"/>
        <v/>
      </c>
      <c r="H323" t="str">
        <f t="shared" ref="H323:H386" si="110">IF($B323=FALSE, "ZARD", "")</f>
        <v/>
      </c>
      <c r="I323" t="str">
        <f t="shared" ref="I323:I386" si="111">IF($B323=FALSE, "Exhaust Pipe", "")</f>
        <v/>
      </c>
      <c r="J323" t="str">
        <f t="shared" ref="J323:J386" si="112">IF($B323=FALSE, "Test", "")</f>
        <v/>
      </c>
      <c r="K323" t="str">
        <f t="shared" ref="K323:K386" si="113">IF($B323=FALSE, FALSE, "")</f>
        <v/>
      </c>
      <c r="L323" t="str">
        <f t="shared" si="99"/>
        <v>Option</v>
      </c>
      <c r="M323" t="str">
        <f t="shared" si="100"/>
        <v>BLACK HEAT SHIELD</v>
      </c>
      <c r="R323" t="str">
        <f t="shared" si="101"/>
        <v>ZTPH056SKB-08</v>
      </c>
      <c r="S323">
        <f t="shared" si="102"/>
        <v>0</v>
      </c>
      <c r="U323" t="str">
        <f t="shared" si="103"/>
        <v>continue</v>
      </c>
      <c r="V323" t="str">
        <f t="shared" si="104"/>
        <v>manual</v>
      </c>
      <c r="W323" s="5">
        <f t="shared" si="105"/>
        <v>1044.2214000000001</v>
      </c>
      <c r="Y323" t="b">
        <f t="shared" si="106"/>
        <v>1</v>
      </c>
      <c r="Z323" t="b">
        <f t="shared" si="107"/>
        <v>0</v>
      </c>
      <c r="AB323" t="str">
        <f t="shared" si="108"/>
        <v/>
      </c>
      <c r="AE323" t="b">
        <v>0</v>
      </c>
    </row>
    <row r="324" spans="1:31" x14ac:dyDescent="0.2">
      <c r="A324" t="str">
        <f t="shared" si="95"/>
        <v>https://shop.officineitalianezard.it/en/triumph-bonneville-scrambler-thruxton-zard-exhaust-4/</v>
      </c>
      <c r="B324" t="b">
        <f>COUNTIF($A$2:$A324, A324)&gt;1</f>
        <v>0</v>
      </c>
      <c r="C324" t="b">
        <f t="shared" si="96"/>
        <v>0</v>
      </c>
      <c r="D324">
        <f>VLOOKUP(A324,variant_counts!A:B, 2, FALSE)</f>
        <v>5</v>
      </c>
      <c r="E324" t="str">
        <f t="shared" si="109"/>
        <v>zard-exhaust-special-edition-full-kit-unica-triumph-scrambler-my-2016-injection-ztph056skb-08</v>
      </c>
      <c r="F324" t="str">
        <f t="shared" si="97"/>
        <v>ZARD EXHAUST SPECIAL EDITION FULL KIT 'UNICA' TRIUMPH SCRAMBLER &lt; M.Y. 2016 INJECTION ZTPH056SKB-08</v>
      </c>
      <c r="G324" t="str">
        <f t="shared" si="98"/>
        <v>&lt;p&gt;2&amp;gt;1 STEEL RACING FULL KIT&lt;/p&gt;
&lt;p&gt;ORIGINAL FULL KIT WEIGHT: KG 9.3&lt;br&gt;ZARD FULL KIT WEIGHT: KG 5.5&lt;/p&gt;
&lt;p&gt;HARD INCREASE IN THE MID-RANGE AND SPEAKING ABOUT MAXIMUM POWER COMPARED TO THE ORIGINAL EXHAUST SYSTEM.&lt;/p&gt;
&lt;p&gt;ASTONISHING SOUND.&lt;/p&gt;</v>
      </c>
      <c r="H324" t="str">
        <f t="shared" si="110"/>
        <v>ZARD</v>
      </c>
      <c r="I324" t="str">
        <f t="shared" si="111"/>
        <v>Exhaust Pipe</v>
      </c>
      <c r="J324" t="str">
        <f t="shared" si="112"/>
        <v>Test</v>
      </c>
      <c r="K324" t="b">
        <f t="shared" si="113"/>
        <v>0</v>
      </c>
      <c r="L324" t="str">
        <f t="shared" si="99"/>
        <v/>
      </c>
      <c r="M324" t="str">
        <f t="shared" si="100"/>
        <v/>
      </c>
      <c r="R324" t="str">
        <f t="shared" si="101"/>
        <v/>
      </c>
      <c r="S324" t="str">
        <f t="shared" si="102"/>
        <v/>
      </c>
      <c r="U324" t="str">
        <f t="shared" si="103"/>
        <v/>
      </c>
      <c r="V324" t="str">
        <f t="shared" si="104"/>
        <v/>
      </c>
      <c r="W324" s="5" t="str">
        <f t="shared" si="105"/>
        <v/>
      </c>
      <c r="Y324" t="str">
        <f t="shared" si="106"/>
        <v/>
      </c>
      <c r="Z324" t="str">
        <f t="shared" si="107"/>
        <v/>
      </c>
      <c r="AB324" t="str">
        <f t="shared" si="108"/>
        <v>https://shop.officineitalianezard.it/contents/imgs/products/1_1326-1.jpg</v>
      </c>
      <c r="AE324" t="b">
        <v>0</v>
      </c>
    </row>
    <row r="325" spans="1:31" x14ac:dyDescent="0.2">
      <c r="A325" t="str">
        <f t="shared" si="95"/>
        <v>https://shop.officineitalianezard.it/en/triumph-bonneville-scrambler-thruxton-zard-exhaust-4/</v>
      </c>
      <c r="B325" t="b">
        <f>COUNTIF($A$2:$A325, A325)&gt;1</f>
        <v>1</v>
      </c>
      <c r="C325" t="b">
        <f t="shared" si="96"/>
        <v>0</v>
      </c>
      <c r="D325">
        <f>VLOOKUP(A325,variant_counts!A:B, 2, FALSE)</f>
        <v>5</v>
      </c>
      <c r="E325" t="str">
        <f t="shared" si="109"/>
        <v>zard-exhaust-special-edition-full-kit-unica-triumph-scrambler-my-2016-injection-ztph056skb-08</v>
      </c>
      <c r="F325" t="str">
        <f t="shared" si="97"/>
        <v>ZARD EXHAUST SPECIAL EDITION FULL KIT 'UNICA' TRIUMPH SCRAMBLER &lt; M.Y. 2016 INJECTION ZTPH056SKB-08</v>
      </c>
      <c r="G325" t="str">
        <f t="shared" si="98"/>
        <v/>
      </c>
      <c r="H325" t="str">
        <f t="shared" si="110"/>
        <v/>
      </c>
      <c r="I325" t="str">
        <f t="shared" si="111"/>
        <v/>
      </c>
      <c r="J325" t="str">
        <f t="shared" si="112"/>
        <v/>
      </c>
      <c r="K325" t="str">
        <f t="shared" si="113"/>
        <v/>
      </c>
      <c r="L325" t="str">
        <f t="shared" si="99"/>
        <v/>
      </c>
      <c r="M325" t="str">
        <f t="shared" si="100"/>
        <v/>
      </c>
      <c r="R325" t="str">
        <f t="shared" si="101"/>
        <v/>
      </c>
      <c r="S325" t="str">
        <f t="shared" si="102"/>
        <v/>
      </c>
      <c r="U325" t="str">
        <f t="shared" si="103"/>
        <v/>
      </c>
      <c r="V325" t="str">
        <f t="shared" si="104"/>
        <v/>
      </c>
      <c r="W325" s="5" t="str">
        <f t="shared" si="105"/>
        <v/>
      </c>
      <c r="Y325" t="str">
        <f t="shared" si="106"/>
        <v/>
      </c>
      <c r="Z325" t="str">
        <f t="shared" si="107"/>
        <v/>
      </c>
      <c r="AB325" t="str">
        <f t="shared" si="108"/>
        <v>https://shop.officineitalianezard.it/contents/imgs/products/1_1328-Triumph-Scrambler-Alo-Barber-Proraso-Scarico.jpg</v>
      </c>
      <c r="AE325" t="b">
        <v>0</v>
      </c>
    </row>
    <row r="326" spans="1:31" x14ac:dyDescent="0.2">
      <c r="A326" t="str">
        <f t="shared" si="95"/>
        <v>https://shop.officineitalianezard.it/en/triumph-bonneville-scrambler-thruxton-zard-exhaust-4/</v>
      </c>
      <c r="B326" t="b">
        <f>COUNTIF($A$2:$A326, A326)&gt;1</f>
        <v>1</v>
      </c>
      <c r="C326" t="b">
        <f t="shared" si="96"/>
        <v>0</v>
      </c>
      <c r="D326">
        <f>VLOOKUP(A326,variant_counts!A:B, 2, FALSE)</f>
        <v>5</v>
      </c>
      <c r="E326" t="str">
        <f t="shared" si="109"/>
        <v>zard-exhaust-special-edition-full-kit-unica-triumph-scrambler-my-2016-injection-ztph056skb-08</v>
      </c>
      <c r="F326" t="str">
        <f t="shared" si="97"/>
        <v>ZARD EXHAUST SPECIAL EDITION FULL KIT 'UNICA' TRIUMPH SCRAMBLER &lt; M.Y. 2016 INJECTION ZTPH056SKB-08</v>
      </c>
      <c r="G326" t="str">
        <f t="shared" si="98"/>
        <v/>
      </c>
      <c r="H326" t="str">
        <f t="shared" si="110"/>
        <v/>
      </c>
      <c r="I326" t="str">
        <f t="shared" si="111"/>
        <v/>
      </c>
      <c r="J326" t="str">
        <f t="shared" si="112"/>
        <v/>
      </c>
      <c r="K326" t="str">
        <f t="shared" si="113"/>
        <v/>
      </c>
      <c r="L326" t="str">
        <f t="shared" si="99"/>
        <v/>
      </c>
      <c r="M326" t="str">
        <f t="shared" si="100"/>
        <v/>
      </c>
      <c r="R326" t="str">
        <f t="shared" si="101"/>
        <v/>
      </c>
      <c r="S326" t="str">
        <f t="shared" si="102"/>
        <v/>
      </c>
      <c r="U326" t="str">
        <f t="shared" si="103"/>
        <v/>
      </c>
      <c r="V326" t="str">
        <f t="shared" si="104"/>
        <v/>
      </c>
      <c r="W326" s="5" t="str">
        <f t="shared" si="105"/>
        <v/>
      </c>
      <c r="Y326" t="str">
        <f t="shared" si="106"/>
        <v/>
      </c>
      <c r="Z326" t="str">
        <f t="shared" si="107"/>
        <v/>
      </c>
      <c r="AB326" t="str">
        <f t="shared" si="108"/>
        <v>https://shop.officineitalianezard.it/contents/imgs/products/1_1327-Triumph-Scrambler-Alo-Barber-Proraso-Barbiere.jpg</v>
      </c>
      <c r="AE326" t="b">
        <v>0</v>
      </c>
    </row>
    <row r="327" spans="1:31" x14ac:dyDescent="0.2">
      <c r="A327" t="str">
        <f t="shared" si="95"/>
        <v>https://shop.officineitalianezard.it/en/triumph-bonneville-scrambler-thruxton-zard-exhaust-4/</v>
      </c>
      <c r="B327" t="b">
        <f>COUNTIF($A$2:$A327, A327)&gt;1</f>
        <v>1</v>
      </c>
      <c r="C327" t="b">
        <f t="shared" si="96"/>
        <v>0</v>
      </c>
      <c r="D327">
        <f>VLOOKUP(A327,variant_counts!A:B, 2, FALSE)</f>
        <v>5</v>
      </c>
      <c r="E327" t="str">
        <f t="shared" si="109"/>
        <v>zard-exhaust-special-edition-full-kit-unica-triumph-scrambler-my-2016-injection-ztph056skb-08</v>
      </c>
      <c r="F327" t="str">
        <f t="shared" si="97"/>
        <v>ZARD EXHAUST SPECIAL EDITION FULL KIT 'UNICA' TRIUMPH SCRAMBLER &lt; M.Y. 2016 INJECTION ZTPH056SKB-08</v>
      </c>
      <c r="G327" t="str">
        <f t="shared" si="98"/>
        <v/>
      </c>
      <c r="H327" t="str">
        <f t="shared" si="110"/>
        <v/>
      </c>
      <c r="I327" t="str">
        <f t="shared" si="111"/>
        <v/>
      </c>
      <c r="J327" t="str">
        <f t="shared" si="112"/>
        <v/>
      </c>
      <c r="K327" t="str">
        <f t="shared" si="113"/>
        <v/>
      </c>
      <c r="L327" t="str">
        <f t="shared" si="99"/>
        <v/>
      </c>
      <c r="M327" t="str">
        <f t="shared" si="100"/>
        <v/>
      </c>
      <c r="R327" t="str">
        <f t="shared" si="101"/>
        <v/>
      </c>
      <c r="S327" t="str">
        <f t="shared" si="102"/>
        <v/>
      </c>
      <c r="U327" t="str">
        <f t="shared" si="103"/>
        <v/>
      </c>
      <c r="V327" t="str">
        <f t="shared" si="104"/>
        <v/>
      </c>
      <c r="W327" s="5" t="str">
        <f t="shared" si="105"/>
        <v/>
      </c>
      <c r="Y327" t="str">
        <f t="shared" si="106"/>
        <v/>
      </c>
      <c r="Z327" t="str">
        <f t="shared" si="107"/>
        <v/>
      </c>
      <c r="AB327" t="str">
        <f t="shared" si="108"/>
        <v>https://shop.officineitalianezard.it/contents/imgs/products/1_1344-scrambler%20exhaust%20zard.jpg</v>
      </c>
      <c r="AE327" t="b">
        <v>0</v>
      </c>
    </row>
    <row r="328" spans="1:31" x14ac:dyDescent="0.2">
      <c r="A328" t="str">
        <f t="shared" si="95"/>
        <v>https://shop.officineitalianezard.it/en/triumph-bonneville-scrambler-thruxton-zard-exhaust-4/</v>
      </c>
      <c r="B328" t="b">
        <f>COUNTIF($A$2:$A328, A328)&gt;1</f>
        <v>1</v>
      </c>
      <c r="C328" t="b">
        <f t="shared" si="96"/>
        <v>0</v>
      </c>
      <c r="D328">
        <f>VLOOKUP(A328,variant_counts!A:B, 2, FALSE)</f>
        <v>5</v>
      </c>
      <c r="E328" t="str">
        <f t="shared" si="109"/>
        <v>zard-exhaust-special-edition-full-kit-unica-triumph-scrambler-my-2016-injection-ztph056skb-08</v>
      </c>
      <c r="F328" t="str">
        <f t="shared" si="97"/>
        <v>ZARD EXHAUST SPECIAL EDITION FULL KIT 'UNICA' TRIUMPH SCRAMBLER &lt; M.Y. 2016 INJECTION ZTPH056SKB-08</v>
      </c>
      <c r="G328" t="str">
        <f t="shared" si="98"/>
        <v/>
      </c>
      <c r="H328" t="str">
        <f t="shared" si="110"/>
        <v/>
      </c>
      <c r="I328" t="str">
        <f t="shared" si="111"/>
        <v/>
      </c>
      <c r="J328" t="str">
        <f t="shared" si="112"/>
        <v/>
      </c>
      <c r="K328" t="str">
        <f t="shared" si="113"/>
        <v/>
      </c>
      <c r="L328" t="str">
        <f t="shared" si="99"/>
        <v/>
      </c>
      <c r="M328" t="str">
        <f t="shared" si="100"/>
        <v/>
      </c>
      <c r="R328" t="str">
        <f t="shared" si="101"/>
        <v/>
      </c>
      <c r="S328" t="str">
        <f t="shared" si="102"/>
        <v/>
      </c>
      <c r="U328" t="str">
        <f t="shared" si="103"/>
        <v/>
      </c>
      <c r="V328" t="str">
        <f t="shared" si="104"/>
        <v/>
      </c>
      <c r="W328" s="5" t="str">
        <f t="shared" si="105"/>
        <v/>
      </c>
      <c r="Y328" t="str">
        <f t="shared" si="106"/>
        <v/>
      </c>
      <c r="Z328" t="str">
        <f t="shared" si="107"/>
        <v/>
      </c>
      <c r="AB328" t="str">
        <f t="shared" si="108"/>
        <v>https://shop.officineitalianezard.it/contents/imgs/products/1_1725-1066-scarico%20scrambler%20zard1.jpg</v>
      </c>
      <c r="AE328" t="b">
        <v>0</v>
      </c>
    </row>
    <row r="329" spans="1:31" x14ac:dyDescent="0.2">
      <c r="A329" t="str">
        <f t="shared" si="95"/>
        <v>https://shop.officineitalianezard.it/en/triumph-bonneville-scrambler-thruxton-zard-exhaust-4/</v>
      </c>
      <c r="B329" t="b">
        <f>COUNTIF($A$2:$A329, A329)&gt;1</f>
        <v>1</v>
      </c>
      <c r="C329" t="b">
        <f t="shared" si="96"/>
        <v>0</v>
      </c>
      <c r="D329">
        <f>VLOOKUP(A329,variant_counts!A:B, 2, FALSE)</f>
        <v>5</v>
      </c>
      <c r="E329" t="str">
        <f t="shared" si="109"/>
        <v>zard-exhaust-special-edition-full-kit-unica-triumph-scrambler-my-2016-injection-ztph056skb-08</v>
      </c>
      <c r="F329" t="str">
        <f t="shared" si="97"/>
        <v>ZARD EXHAUST SPECIAL EDITION FULL KIT 'UNICA' TRIUMPH SCRAMBLER &lt; M.Y. 2016 INJECTION ZTPH056SKB-08</v>
      </c>
      <c r="G329" t="str">
        <f t="shared" si="98"/>
        <v/>
      </c>
      <c r="H329" t="str">
        <f t="shared" si="110"/>
        <v/>
      </c>
      <c r="I329" t="str">
        <f t="shared" si="111"/>
        <v/>
      </c>
      <c r="J329" t="str">
        <f t="shared" si="112"/>
        <v/>
      </c>
      <c r="K329" t="str">
        <f t="shared" si="113"/>
        <v/>
      </c>
      <c r="L329" t="str">
        <f t="shared" si="99"/>
        <v/>
      </c>
      <c r="M329" t="str">
        <f t="shared" si="100"/>
        <v/>
      </c>
      <c r="R329" t="str">
        <f t="shared" si="101"/>
        <v/>
      </c>
      <c r="S329" t="str">
        <f t="shared" si="102"/>
        <v/>
      </c>
      <c r="U329" t="str">
        <f t="shared" si="103"/>
        <v/>
      </c>
      <c r="V329" t="str">
        <f t="shared" si="104"/>
        <v/>
      </c>
      <c r="W329" s="5" t="str">
        <f t="shared" si="105"/>
        <v/>
      </c>
      <c r="Y329" t="str">
        <f t="shared" si="106"/>
        <v/>
      </c>
      <c r="Z329" t="str">
        <f t="shared" si="107"/>
        <v/>
      </c>
      <c r="AB329" t="str">
        <f t="shared" si="108"/>
        <v>https://shop.officineitalianezard.it/contents/imgs/products/1_1726-1067-scarico%20scrambler%20zard2.jpg</v>
      </c>
      <c r="AE329" t="b">
        <v>0</v>
      </c>
    </row>
    <row r="330" spans="1:31" x14ac:dyDescent="0.2">
      <c r="A330" t="str">
        <f t="shared" si="95"/>
        <v>https://shop.officineitalianezard.it/en/triumph-bonneville-scrambler-thruxton-zard-exhaust-4/</v>
      </c>
      <c r="B330" t="b">
        <f>COUNTIF($A$2:$A330, A330)&gt;1</f>
        <v>1</v>
      </c>
      <c r="C330" t="b">
        <f t="shared" si="96"/>
        <v>1</v>
      </c>
      <c r="D330">
        <f>VLOOKUP(A330,variant_counts!A:B, 2, FALSE)</f>
        <v>5</v>
      </c>
      <c r="E330" t="str">
        <f t="shared" si="109"/>
        <v>zard-exhaust-special-edition-full-kit-unica-triumph-scrambler-my-2016-injection-ztph056skb-08</v>
      </c>
      <c r="F330" t="str">
        <f t="shared" si="97"/>
        <v>ZARD EXHAUST SPECIAL EDITION FULL KIT 'UNICA' TRIUMPH SCRAMBLER &lt; M.Y. 2016 INJECTION ZTPH056SKB-08</v>
      </c>
      <c r="G330" t="str">
        <f t="shared" si="98"/>
        <v/>
      </c>
      <c r="H330" t="str">
        <f t="shared" si="110"/>
        <v/>
      </c>
      <c r="I330" t="str">
        <f t="shared" si="111"/>
        <v/>
      </c>
      <c r="J330" t="str">
        <f t="shared" si="112"/>
        <v/>
      </c>
      <c r="K330" t="str">
        <f t="shared" si="113"/>
        <v/>
      </c>
      <c r="L330" t="str">
        <f t="shared" si="99"/>
        <v>Option</v>
      </c>
      <c r="M330" t="str">
        <f t="shared" si="100"/>
        <v>CATALYZED</v>
      </c>
      <c r="R330" t="str">
        <f t="shared" si="101"/>
        <v>ZTPH056SKB-08</v>
      </c>
      <c r="S330">
        <f t="shared" si="102"/>
        <v>0</v>
      </c>
      <c r="U330" t="str">
        <f t="shared" si="103"/>
        <v>continue</v>
      </c>
      <c r="V330" t="str">
        <f t="shared" si="104"/>
        <v>manual</v>
      </c>
      <c r="W330" s="5">
        <f t="shared" si="105"/>
        <v>1209.6336000000001</v>
      </c>
      <c r="Y330" t="b">
        <f t="shared" si="106"/>
        <v>1</v>
      </c>
      <c r="Z330" t="b">
        <f t="shared" si="107"/>
        <v>0</v>
      </c>
      <c r="AB330" t="str">
        <f t="shared" si="108"/>
        <v/>
      </c>
      <c r="AE330" t="b">
        <v>0</v>
      </c>
    </row>
    <row r="331" spans="1:31" x14ac:dyDescent="0.2">
      <c r="A331" t="str">
        <f t="shared" si="95"/>
        <v>https://shop.officineitalianezard.it/en/triumph-bonneville-scrambler-thruxton-zard-exhaust-4/</v>
      </c>
      <c r="B331" t="b">
        <f>COUNTIF($A$2:$A331, A331)&gt;1</f>
        <v>1</v>
      </c>
      <c r="C331" t="b">
        <f t="shared" si="96"/>
        <v>1</v>
      </c>
      <c r="D331">
        <f>VLOOKUP(A331,variant_counts!A:B, 2, FALSE)</f>
        <v>5</v>
      </c>
      <c r="E331" t="str">
        <f t="shared" si="109"/>
        <v>zard-exhaust-special-edition-full-kit-unica-triumph-scrambler-my-2016-injection-ztph056skb-08</v>
      </c>
      <c r="F331" t="str">
        <f t="shared" si="97"/>
        <v>ZARD EXHAUST SPECIAL EDITION FULL KIT 'UNICA' TRIUMPH SCRAMBLER &lt; M.Y. 2016 INJECTION ZTPH056SKB-08</v>
      </c>
      <c r="G331" t="str">
        <f t="shared" si="98"/>
        <v/>
      </c>
      <c r="H331" t="str">
        <f t="shared" si="110"/>
        <v/>
      </c>
      <c r="I331" t="str">
        <f t="shared" si="111"/>
        <v/>
      </c>
      <c r="J331" t="str">
        <f t="shared" si="112"/>
        <v/>
      </c>
      <c r="K331" t="str">
        <f t="shared" si="113"/>
        <v/>
      </c>
      <c r="L331" t="str">
        <f t="shared" si="99"/>
        <v>Option</v>
      </c>
      <c r="M331" t="str">
        <f t="shared" si="100"/>
        <v>BLACK COATING</v>
      </c>
      <c r="R331" t="str">
        <f t="shared" si="101"/>
        <v>ZTPH056SKB-08</v>
      </c>
      <c r="S331">
        <f t="shared" si="102"/>
        <v>0</v>
      </c>
      <c r="U331" t="str">
        <f t="shared" si="103"/>
        <v>continue</v>
      </c>
      <c r="V331" t="str">
        <f t="shared" si="104"/>
        <v>manual</v>
      </c>
      <c r="W331" s="5">
        <f t="shared" si="105"/>
        <v>1172.7816</v>
      </c>
      <c r="Y331" t="b">
        <f t="shared" si="106"/>
        <v>1</v>
      </c>
      <c r="Z331" t="b">
        <f t="shared" si="107"/>
        <v>0</v>
      </c>
      <c r="AB331" t="str">
        <f t="shared" si="108"/>
        <v/>
      </c>
      <c r="AE331" t="b">
        <v>0</v>
      </c>
    </row>
    <row r="332" spans="1:31" x14ac:dyDescent="0.2">
      <c r="A332" t="str">
        <f t="shared" si="95"/>
        <v>https://shop.officineitalianezard.it/en/triumph-bonneville-scrambler-thruxton-zard-exhaust-4/</v>
      </c>
      <c r="B332" t="b">
        <f>COUNTIF($A$2:$A332, A332)&gt;1</f>
        <v>1</v>
      </c>
      <c r="C332" t="b">
        <f t="shared" si="96"/>
        <v>1</v>
      </c>
      <c r="D332">
        <f>VLOOKUP(A332,variant_counts!A:B, 2, FALSE)</f>
        <v>5</v>
      </c>
      <c r="E332" t="str">
        <f t="shared" si="109"/>
        <v>zard-exhaust-special-edition-full-kit-unica-triumph-scrambler-my-2016-injection-ztph056skb-08</v>
      </c>
      <c r="F332" t="str">
        <f t="shared" si="97"/>
        <v>ZARD EXHAUST SPECIAL EDITION FULL KIT 'UNICA' TRIUMPH SCRAMBLER &lt; M.Y. 2016 INJECTION ZTPH056SKB-08</v>
      </c>
      <c r="G332" t="str">
        <f t="shared" si="98"/>
        <v/>
      </c>
      <c r="H332" t="str">
        <f t="shared" si="110"/>
        <v/>
      </c>
      <c r="I332" t="str">
        <f t="shared" si="111"/>
        <v/>
      </c>
      <c r="J332" t="str">
        <f t="shared" si="112"/>
        <v/>
      </c>
      <c r="K332" t="str">
        <f t="shared" si="113"/>
        <v/>
      </c>
      <c r="L332" t="str">
        <f t="shared" si="99"/>
        <v>Option</v>
      </c>
      <c r="M332" t="str">
        <f t="shared" si="100"/>
        <v>POLISHED</v>
      </c>
      <c r="R332" t="str">
        <f t="shared" si="101"/>
        <v>ZTPH056SKB-08</v>
      </c>
      <c r="S332">
        <f t="shared" si="102"/>
        <v>0</v>
      </c>
      <c r="U332" t="str">
        <f t="shared" si="103"/>
        <v>continue</v>
      </c>
      <c r="V332" t="str">
        <f t="shared" si="104"/>
        <v>manual</v>
      </c>
      <c r="W332" s="5">
        <f t="shared" si="105"/>
        <v>1091.7183</v>
      </c>
      <c r="Y332" t="b">
        <f t="shared" si="106"/>
        <v>1</v>
      </c>
      <c r="Z332" t="b">
        <f t="shared" si="107"/>
        <v>0</v>
      </c>
      <c r="AB332" t="str">
        <f t="shared" si="108"/>
        <v/>
      </c>
      <c r="AE332" t="b">
        <v>0</v>
      </c>
    </row>
    <row r="333" spans="1:31" x14ac:dyDescent="0.2">
      <c r="A333" t="str">
        <f t="shared" si="95"/>
        <v>https://shop.officineitalianezard.it/en/triumph-bonneville-scrambler-thruxton-zard-exhaust-4/</v>
      </c>
      <c r="B333" t="b">
        <f>COUNTIF($A$2:$A333, A333)&gt;1</f>
        <v>1</v>
      </c>
      <c r="C333" t="b">
        <f t="shared" si="96"/>
        <v>1</v>
      </c>
      <c r="D333">
        <f>VLOOKUP(A333,variant_counts!A:B, 2, FALSE)</f>
        <v>5</v>
      </c>
      <c r="E333" t="str">
        <f t="shared" si="109"/>
        <v>zard-exhaust-special-edition-full-kit-unica-triumph-scrambler-my-2016-injection-ztph056skb-08</v>
      </c>
      <c r="F333" t="str">
        <f t="shared" si="97"/>
        <v>ZARD EXHAUST SPECIAL EDITION FULL KIT 'UNICA' TRIUMPH SCRAMBLER &lt; M.Y. 2016 INJECTION ZTPH056SKB-08</v>
      </c>
      <c r="G333" t="str">
        <f t="shared" si="98"/>
        <v/>
      </c>
      <c r="H333" t="str">
        <f t="shared" si="110"/>
        <v/>
      </c>
      <c r="I333" t="str">
        <f t="shared" si="111"/>
        <v/>
      </c>
      <c r="J333" t="str">
        <f t="shared" si="112"/>
        <v/>
      </c>
      <c r="K333" t="str">
        <f t="shared" si="113"/>
        <v/>
      </c>
      <c r="L333" t="str">
        <f t="shared" si="99"/>
        <v>Option</v>
      </c>
      <c r="M333" t="str">
        <f t="shared" si="100"/>
        <v>BLACK + STEEL HEAT SHIELD</v>
      </c>
      <c r="R333" t="str">
        <f t="shared" si="101"/>
        <v>ZTPH056SKB-08</v>
      </c>
      <c r="S333">
        <f t="shared" si="102"/>
        <v>0</v>
      </c>
      <c r="U333" t="str">
        <f t="shared" si="103"/>
        <v>continue</v>
      </c>
      <c r="V333" t="str">
        <f t="shared" si="104"/>
        <v>manual</v>
      </c>
      <c r="W333" s="5">
        <f t="shared" si="105"/>
        <v>1172.7816</v>
      </c>
      <c r="Y333" t="b">
        <f t="shared" si="106"/>
        <v>1</v>
      </c>
      <c r="Z333" t="b">
        <f t="shared" si="107"/>
        <v>0</v>
      </c>
      <c r="AB333" t="str">
        <f t="shared" si="108"/>
        <v/>
      </c>
      <c r="AE333" t="b">
        <v>0</v>
      </c>
    </row>
    <row r="334" spans="1:31" x14ac:dyDescent="0.2">
      <c r="A334" t="str">
        <f t="shared" si="95"/>
        <v>https://shop.officineitalianezard.it/en/triumph-bonneville-scrambler-thruxton-zard-exhaust-4/</v>
      </c>
      <c r="B334" t="b">
        <f>COUNTIF($A$2:$A334, A334)&gt;1</f>
        <v>1</v>
      </c>
      <c r="C334" t="b">
        <f t="shared" si="96"/>
        <v>1</v>
      </c>
      <c r="D334">
        <f>VLOOKUP(A334,variant_counts!A:B, 2, FALSE)</f>
        <v>5</v>
      </c>
      <c r="E334" t="str">
        <f t="shared" si="109"/>
        <v>zard-exhaust-special-edition-full-kit-unica-triumph-scrambler-my-2016-injection-ztph056skb-08</v>
      </c>
      <c r="F334" t="str">
        <f t="shared" si="97"/>
        <v>ZARD EXHAUST SPECIAL EDITION FULL KIT 'UNICA' TRIUMPH SCRAMBLER &lt; M.Y. 2016 INJECTION ZTPH056SKB-08</v>
      </c>
      <c r="G334" t="str">
        <f t="shared" si="98"/>
        <v/>
      </c>
      <c r="H334" t="str">
        <f t="shared" si="110"/>
        <v/>
      </c>
      <c r="I334" t="str">
        <f t="shared" si="111"/>
        <v/>
      </c>
      <c r="J334" t="str">
        <f t="shared" si="112"/>
        <v/>
      </c>
      <c r="K334" t="str">
        <f t="shared" si="113"/>
        <v/>
      </c>
      <c r="L334" t="str">
        <f t="shared" si="99"/>
        <v>Option</v>
      </c>
      <c r="M334" t="str">
        <f t="shared" si="100"/>
        <v>BLACK HEAT SHIELD</v>
      </c>
      <c r="R334" t="str">
        <f t="shared" si="101"/>
        <v>ZTPH056SKB-08</v>
      </c>
      <c r="S334">
        <f t="shared" si="102"/>
        <v>0</v>
      </c>
      <c r="U334" t="str">
        <f t="shared" si="103"/>
        <v>continue</v>
      </c>
      <c r="V334" t="str">
        <f t="shared" si="104"/>
        <v>manual</v>
      </c>
      <c r="W334" s="5">
        <f t="shared" si="105"/>
        <v>1044.2214000000001</v>
      </c>
      <c r="Y334" t="b">
        <f t="shared" si="106"/>
        <v>1</v>
      </c>
      <c r="Z334" t="b">
        <f t="shared" si="107"/>
        <v>0</v>
      </c>
      <c r="AB334" t="str">
        <f t="shared" si="108"/>
        <v/>
      </c>
      <c r="AE334" t="b">
        <v>0</v>
      </c>
    </row>
    <row r="335" spans="1:31" x14ac:dyDescent="0.2">
      <c r="A335" t="str">
        <f t="shared" si="95"/>
        <v>https://shop.officineitalianezard.it/en/triumph-bonneville-exhaust-by-zard/</v>
      </c>
      <c r="B335" t="b">
        <f>COUNTIF($A$2:$A335, A335)&gt;1</f>
        <v>0</v>
      </c>
      <c r="C335" t="b">
        <f t="shared" si="96"/>
        <v>0</v>
      </c>
      <c r="D335">
        <f>VLOOKUP(A335,variant_counts!A:B, 2, FALSE)</f>
        <v>3</v>
      </c>
      <c r="E335" t="str">
        <f t="shared" si="109"/>
        <v>zard-exhaust-bad-child-21-full-kit-triumph-scrambler-my-2016-carburettor-ztph057skb-08</v>
      </c>
      <c r="F335" t="str">
        <f t="shared" si="97"/>
        <v>ZARD EXHAUST BAD CHILD 2&gt;1 FULL KIT TRIUMPH SCRAMBLER &lt; M.Y. 2016 CARBURETTOR ZTPH057SKB-08</v>
      </c>
      <c r="G335" t="str">
        <f t="shared" si="98"/>
        <v>&lt;p&gt;2&amp;gt;1 STEEL RACING FULL KIT WITH REMOVABLE DB KILLER&lt;/p&gt;
&lt;p&gt;ORIGINAL FULL KIT WEIGHT: 8.8 KG&amp;nbsp;&lt;br&gt;ZARD STEEL FULL KIT WEIGHT: 5.3 KG&lt;/p&gt;
&lt;p&gt;HARD INCREASE, COMPARED TO THE ORIGINAL EXHAUST SYSTEM, IN TERMS OF TORQUE AND POWER AT ANY RANGE.&lt;/p&gt;
&lt;p&gt;ASTONISHING SOUND.&lt;/p&gt;</v>
      </c>
      <c r="H335" t="str">
        <f t="shared" si="110"/>
        <v>ZARD</v>
      </c>
      <c r="I335" t="str">
        <f t="shared" si="111"/>
        <v>Exhaust Pipe</v>
      </c>
      <c r="J335" t="str">
        <f t="shared" si="112"/>
        <v>Test</v>
      </c>
      <c r="K335" t="b">
        <f t="shared" si="113"/>
        <v>0</v>
      </c>
      <c r="L335" t="str">
        <f t="shared" si="99"/>
        <v/>
      </c>
      <c r="M335" t="str">
        <f t="shared" si="100"/>
        <v/>
      </c>
      <c r="R335" t="str">
        <f t="shared" si="101"/>
        <v/>
      </c>
      <c r="S335" t="str">
        <f t="shared" si="102"/>
        <v/>
      </c>
      <c r="U335" t="str">
        <f t="shared" si="103"/>
        <v/>
      </c>
      <c r="V335" t="str">
        <f t="shared" si="104"/>
        <v/>
      </c>
      <c r="W335" s="5" t="str">
        <f t="shared" si="105"/>
        <v/>
      </c>
      <c r="Y335" t="str">
        <f t="shared" si="106"/>
        <v/>
      </c>
      <c r="Z335" t="str">
        <f t="shared" si="107"/>
        <v/>
      </c>
      <c r="AB335" t="str">
        <f t="shared" si="108"/>
        <v>https://shop.officineitalianezard.it/contents/imgs/products/1_1333-1ridotta.jpg</v>
      </c>
      <c r="AE335" t="b">
        <v>0</v>
      </c>
    </row>
    <row r="336" spans="1:31" x14ac:dyDescent="0.2">
      <c r="A336" t="str">
        <f t="shared" si="95"/>
        <v>https://shop.officineitalianezard.it/en/triumph-bonneville-exhaust-by-zard/</v>
      </c>
      <c r="B336" t="b">
        <f>COUNTIF($A$2:$A336, A336)&gt;1</f>
        <v>1</v>
      </c>
      <c r="C336" t="b">
        <f t="shared" si="96"/>
        <v>0</v>
      </c>
      <c r="D336">
        <f>VLOOKUP(A336,variant_counts!A:B, 2, FALSE)</f>
        <v>3</v>
      </c>
      <c r="E336" t="str">
        <f t="shared" si="109"/>
        <v>zard-exhaust-bad-child-21-full-kit-triumph-scrambler-my-2016-carburettor-ztph057skb-08</v>
      </c>
      <c r="F336" t="str">
        <f t="shared" si="97"/>
        <v>ZARD EXHAUST BAD CHILD 2&gt;1 FULL KIT TRIUMPH SCRAMBLER &lt; M.Y. 2016 CARBURETTOR ZTPH057SKB-08</v>
      </c>
      <c r="G336" t="str">
        <f t="shared" si="98"/>
        <v/>
      </c>
      <c r="H336" t="str">
        <f t="shared" si="110"/>
        <v/>
      </c>
      <c r="I336" t="str">
        <f t="shared" si="111"/>
        <v/>
      </c>
      <c r="J336" t="str">
        <f t="shared" si="112"/>
        <v/>
      </c>
      <c r="K336" t="str">
        <f t="shared" si="113"/>
        <v/>
      </c>
      <c r="L336" t="str">
        <f t="shared" si="99"/>
        <v/>
      </c>
      <c r="M336" t="str">
        <f t="shared" si="100"/>
        <v/>
      </c>
      <c r="R336" t="str">
        <f t="shared" si="101"/>
        <v/>
      </c>
      <c r="S336" t="str">
        <f t="shared" si="102"/>
        <v/>
      </c>
      <c r="U336" t="str">
        <f t="shared" si="103"/>
        <v/>
      </c>
      <c r="V336" t="str">
        <f t="shared" si="104"/>
        <v/>
      </c>
      <c r="W336" s="5" t="str">
        <f t="shared" si="105"/>
        <v/>
      </c>
      <c r="Y336" t="str">
        <f t="shared" si="106"/>
        <v/>
      </c>
      <c r="Z336" t="str">
        <f t="shared" si="107"/>
        <v/>
      </c>
      <c r="AB336" t="str">
        <f t="shared" si="108"/>
        <v>https://shop.officineitalianezard.it/contents/imgs/products/1_1334-2.jpg</v>
      </c>
      <c r="AE336" t="b">
        <v>0</v>
      </c>
    </row>
    <row r="337" spans="1:31" x14ac:dyDescent="0.2">
      <c r="A337" t="str">
        <f t="shared" si="95"/>
        <v>https://shop.officineitalianezard.it/en/triumph-bonneville-exhaust-by-zard/</v>
      </c>
      <c r="B337" t="b">
        <f>COUNTIF($A$2:$A337, A337)&gt;1</f>
        <v>1</v>
      </c>
      <c r="C337" t="b">
        <f t="shared" si="96"/>
        <v>0</v>
      </c>
      <c r="D337">
        <f>VLOOKUP(A337,variant_counts!A:B, 2, FALSE)</f>
        <v>3</v>
      </c>
      <c r="E337" t="str">
        <f t="shared" si="109"/>
        <v>zard-exhaust-bad-child-21-full-kit-triumph-scrambler-my-2016-carburettor-ztph057skb-08</v>
      </c>
      <c r="F337" t="str">
        <f t="shared" si="97"/>
        <v>ZARD EXHAUST BAD CHILD 2&gt;1 FULL KIT TRIUMPH SCRAMBLER &lt; M.Y. 2016 CARBURETTOR ZTPH057SKB-08</v>
      </c>
      <c r="G337" t="str">
        <f t="shared" si="98"/>
        <v/>
      </c>
      <c r="H337" t="str">
        <f t="shared" si="110"/>
        <v/>
      </c>
      <c r="I337" t="str">
        <f t="shared" si="111"/>
        <v/>
      </c>
      <c r="J337" t="str">
        <f t="shared" si="112"/>
        <v/>
      </c>
      <c r="K337" t="str">
        <f t="shared" si="113"/>
        <v/>
      </c>
      <c r="L337" t="str">
        <f t="shared" si="99"/>
        <v/>
      </c>
      <c r="M337" t="str">
        <f t="shared" si="100"/>
        <v/>
      </c>
      <c r="R337" t="str">
        <f t="shared" si="101"/>
        <v/>
      </c>
      <c r="S337" t="str">
        <f t="shared" si="102"/>
        <v/>
      </c>
      <c r="U337" t="str">
        <f t="shared" si="103"/>
        <v/>
      </c>
      <c r="V337" t="str">
        <f t="shared" si="104"/>
        <v/>
      </c>
      <c r="W337" s="5" t="str">
        <f t="shared" si="105"/>
        <v/>
      </c>
      <c r="Y337" t="str">
        <f t="shared" si="106"/>
        <v/>
      </c>
      <c r="Z337" t="str">
        <f t="shared" si="107"/>
        <v/>
      </c>
      <c r="AB337" t="str">
        <f t="shared" si="108"/>
        <v>https://shop.officineitalianezard.it/contents/imgs/products/1_1335-3.jpg</v>
      </c>
      <c r="AE337" t="b">
        <v>0</v>
      </c>
    </row>
    <row r="338" spans="1:31" x14ac:dyDescent="0.2">
      <c r="A338" t="str">
        <f t="shared" si="95"/>
        <v>https://shop.officineitalianezard.it/en/triumph-bonneville-exhaust-by-zard/</v>
      </c>
      <c r="B338" t="b">
        <f>COUNTIF($A$2:$A338, A338)&gt;1</f>
        <v>1</v>
      </c>
      <c r="C338" t="b">
        <f t="shared" si="96"/>
        <v>1</v>
      </c>
      <c r="D338">
        <f>VLOOKUP(A338,variant_counts!A:B, 2, FALSE)</f>
        <v>3</v>
      </c>
      <c r="E338" t="str">
        <f t="shared" si="109"/>
        <v>zard-exhaust-bad-child-21-full-kit-triumph-scrambler-my-2016-carburettor-ztph057skb-08</v>
      </c>
      <c r="F338" t="str">
        <f t="shared" si="97"/>
        <v>ZARD EXHAUST BAD CHILD 2&gt;1 FULL KIT TRIUMPH SCRAMBLER &lt; M.Y. 2016 CARBURETTOR ZTPH057SKB-08</v>
      </c>
      <c r="G338" t="str">
        <f t="shared" si="98"/>
        <v/>
      </c>
      <c r="H338" t="str">
        <f t="shared" si="110"/>
        <v/>
      </c>
      <c r="I338" t="str">
        <f t="shared" si="111"/>
        <v/>
      </c>
      <c r="J338" t="str">
        <f t="shared" si="112"/>
        <v/>
      </c>
      <c r="K338" t="str">
        <f t="shared" si="113"/>
        <v/>
      </c>
      <c r="L338" t="str">
        <f t="shared" si="99"/>
        <v>Option</v>
      </c>
      <c r="M338" t="str">
        <f t="shared" si="100"/>
        <v>EURO 3 HOMOLOGATED</v>
      </c>
      <c r="R338" t="str">
        <f t="shared" si="101"/>
        <v>ZTPH057SKB-08</v>
      </c>
      <c r="S338">
        <f t="shared" si="102"/>
        <v>0</v>
      </c>
      <c r="U338" t="str">
        <f t="shared" si="103"/>
        <v>continue</v>
      </c>
      <c r="V338" t="str">
        <f t="shared" si="104"/>
        <v>manual</v>
      </c>
      <c r="W338" s="5">
        <f t="shared" si="105"/>
        <v>1035.8520000000001</v>
      </c>
      <c r="Y338" t="b">
        <f t="shared" si="106"/>
        <v>1</v>
      </c>
      <c r="Z338" t="b">
        <f t="shared" si="107"/>
        <v>0</v>
      </c>
      <c r="AB338" t="str">
        <f t="shared" si="108"/>
        <v/>
      </c>
      <c r="AE338" t="b">
        <v>0</v>
      </c>
    </row>
    <row r="339" spans="1:31" x14ac:dyDescent="0.2">
      <c r="A339" t="str">
        <f t="shared" si="95"/>
        <v>https://shop.officineitalianezard.it/en/triumph-bonneville-exhaust-by-zard/</v>
      </c>
      <c r="B339" t="b">
        <f>COUNTIF($A$2:$A339, A339)&gt;1</f>
        <v>1</v>
      </c>
      <c r="C339" t="b">
        <f t="shared" si="96"/>
        <v>1</v>
      </c>
      <c r="D339">
        <f>VLOOKUP(A339,variant_counts!A:B, 2, FALSE)</f>
        <v>3</v>
      </c>
      <c r="E339" t="str">
        <f t="shared" si="109"/>
        <v>zard-exhaust-bad-child-21-full-kit-triumph-scrambler-my-2016-carburettor-ztph057skb-08</v>
      </c>
      <c r="F339" t="str">
        <f t="shared" si="97"/>
        <v>ZARD EXHAUST BAD CHILD 2&gt;1 FULL KIT TRIUMPH SCRAMBLER &lt; M.Y. 2016 CARBURETTOR ZTPH057SKB-08</v>
      </c>
      <c r="G339" t="str">
        <f t="shared" si="98"/>
        <v/>
      </c>
      <c r="H339" t="str">
        <f t="shared" si="110"/>
        <v/>
      </c>
      <c r="I339" t="str">
        <f t="shared" si="111"/>
        <v/>
      </c>
      <c r="J339" t="str">
        <f t="shared" si="112"/>
        <v/>
      </c>
      <c r="K339" t="str">
        <f t="shared" si="113"/>
        <v/>
      </c>
      <c r="L339" t="str">
        <f t="shared" si="99"/>
        <v>Option</v>
      </c>
      <c r="M339" t="str">
        <f t="shared" si="100"/>
        <v>BLACK COATING</v>
      </c>
      <c r="R339" t="str">
        <f t="shared" si="101"/>
        <v>ZTPH057SKB-08</v>
      </c>
      <c r="S339">
        <f t="shared" si="102"/>
        <v>0</v>
      </c>
      <c r="U339" t="str">
        <f t="shared" si="103"/>
        <v>continue</v>
      </c>
      <c r="V339" t="str">
        <f t="shared" si="104"/>
        <v>manual</v>
      </c>
      <c r="W339" s="5">
        <f t="shared" si="105"/>
        <v>1138.2051000000001</v>
      </c>
      <c r="Y339" t="b">
        <f t="shared" si="106"/>
        <v>1</v>
      </c>
      <c r="Z339" t="b">
        <f t="shared" si="107"/>
        <v>0</v>
      </c>
      <c r="AB339" t="str">
        <f t="shared" si="108"/>
        <v/>
      </c>
      <c r="AE339" t="b">
        <v>0</v>
      </c>
    </row>
    <row r="340" spans="1:31" x14ac:dyDescent="0.2">
      <c r="A340" t="str">
        <f t="shared" si="95"/>
        <v>https://shop.officineitalianezard.it/en/triumph-bonneville-exhaust-by-zard/</v>
      </c>
      <c r="B340" t="b">
        <f>COUNTIF($A$2:$A340, A340)&gt;1</f>
        <v>1</v>
      </c>
      <c r="C340" t="b">
        <f t="shared" si="96"/>
        <v>1</v>
      </c>
      <c r="D340">
        <f>VLOOKUP(A340,variant_counts!A:B, 2, FALSE)</f>
        <v>3</v>
      </c>
      <c r="E340" t="str">
        <f t="shared" si="109"/>
        <v>zard-exhaust-bad-child-21-full-kit-triumph-scrambler-my-2016-carburettor-ztph057skb-08</v>
      </c>
      <c r="F340" t="str">
        <f t="shared" si="97"/>
        <v>ZARD EXHAUST BAD CHILD 2&gt;1 FULL KIT TRIUMPH SCRAMBLER &lt; M.Y. 2016 CARBURETTOR ZTPH057SKB-08</v>
      </c>
      <c r="G340" t="str">
        <f t="shared" si="98"/>
        <v/>
      </c>
      <c r="H340" t="str">
        <f t="shared" si="110"/>
        <v/>
      </c>
      <c r="I340" t="str">
        <f t="shared" si="111"/>
        <v/>
      </c>
      <c r="J340" t="str">
        <f t="shared" si="112"/>
        <v/>
      </c>
      <c r="K340" t="str">
        <f t="shared" si="113"/>
        <v/>
      </c>
      <c r="L340" t="str">
        <f t="shared" si="99"/>
        <v>Option</v>
      </c>
      <c r="M340" t="str">
        <f t="shared" si="100"/>
        <v>POLISHED</v>
      </c>
      <c r="R340" t="str">
        <f t="shared" si="101"/>
        <v>ZTPH057SKB-08</v>
      </c>
      <c r="S340">
        <f t="shared" si="102"/>
        <v>0</v>
      </c>
      <c r="U340" t="str">
        <f t="shared" si="103"/>
        <v>continue</v>
      </c>
      <c r="V340" t="str">
        <f t="shared" si="104"/>
        <v>manual</v>
      </c>
      <c r="W340" s="5">
        <f t="shared" si="105"/>
        <v>1057.1418000000001</v>
      </c>
      <c r="Y340" t="b">
        <f t="shared" si="106"/>
        <v>1</v>
      </c>
      <c r="Z340" t="b">
        <f t="shared" si="107"/>
        <v>0</v>
      </c>
      <c r="AB340" t="str">
        <f t="shared" si="108"/>
        <v/>
      </c>
      <c r="AE340" t="b">
        <v>0</v>
      </c>
    </row>
    <row r="341" spans="1:31" x14ac:dyDescent="0.2">
      <c r="A341" t="str">
        <f t="shared" si="95"/>
        <v>https://shop.officineitalianezard.it/en/triumph-bonneville-exhaust-by-zard-2/</v>
      </c>
      <c r="B341" t="b">
        <f>COUNTIF($A$2:$A341, A341)&gt;1</f>
        <v>0</v>
      </c>
      <c r="C341" t="b">
        <f t="shared" si="96"/>
        <v>0</v>
      </c>
      <c r="D341">
        <f>VLOOKUP(A341,variant_counts!A:B, 2, FALSE)</f>
        <v>3</v>
      </c>
      <c r="E341" t="str">
        <f t="shared" si="109"/>
        <v>zard-exhaust-bad-child-21-full-kit-triumph-scrambler-my-2016-injection-ztph057skb-08</v>
      </c>
      <c r="F341" t="str">
        <f t="shared" si="97"/>
        <v>ZARD EXHAUST BAD CHILD 2&gt;1 FULL KIT TRIUMPH SCRAMBLER &lt; M.Y. 2016 INJECTION ZTPH057SKB-08</v>
      </c>
      <c r="G341" t="str">
        <f t="shared" si="98"/>
        <v>&lt;p&gt;2&amp;gt;1 STEEL RACING FULL KIT WITH REMOVABLE DB KILLER&lt;/p&gt;
&lt;p&gt;ORIGINAL FULL KIT WEIGHT: 8.8 KG&amp;nbsp;&lt;br&gt;ZARD STEEL FULL KIT WEIGHT: 5.3 KG&lt;/p&gt;
&lt;p&gt;HARD INCREASE, COMPARED TO THE ORIGINAL EXHAUST SYSTEM, IN TERMS OF TORQUE AND POWER AT ANY RANGE.&lt;/p&gt;
&lt;p&gt;ASTONISHING SOUND.&lt;/p&gt;</v>
      </c>
      <c r="H341" t="str">
        <f t="shared" si="110"/>
        <v>ZARD</v>
      </c>
      <c r="I341" t="str">
        <f t="shared" si="111"/>
        <v>Exhaust Pipe</v>
      </c>
      <c r="J341" t="str">
        <f t="shared" si="112"/>
        <v>Test</v>
      </c>
      <c r="K341" t="b">
        <f t="shared" si="113"/>
        <v>0</v>
      </c>
      <c r="L341" t="str">
        <f t="shared" si="99"/>
        <v/>
      </c>
      <c r="M341" t="str">
        <f t="shared" si="100"/>
        <v/>
      </c>
      <c r="R341" t="str">
        <f t="shared" si="101"/>
        <v/>
      </c>
      <c r="S341" t="str">
        <f t="shared" si="102"/>
        <v/>
      </c>
      <c r="U341" t="str">
        <f t="shared" si="103"/>
        <v/>
      </c>
      <c r="V341" t="str">
        <f t="shared" si="104"/>
        <v/>
      </c>
      <c r="W341" s="5" t="str">
        <f t="shared" si="105"/>
        <v/>
      </c>
      <c r="Y341" t="str">
        <f t="shared" si="106"/>
        <v/>
      </c>
      <c r="Z341" t="str">
        <f t="shared" si="107"/>
        <v/>
      </c>
      <c r="AB341" t="str">
        <f t="shared" si="108"/>
        <v>https://shop.officineitalianezard.it/contents/imgs/products/1_1336-1ridotta.jpg</v>
      </c>
      <c r="AE341" t="b">
        <v>0</v>
      </c>
    </row>
    <row r="342" spans="1:31" x14ac:dyDescent="0.2">
      <c r="A342" t="str">
        <f t="shared" si="95"/>
        <v>https://shop.officineitalianezard.it/en/triumph-bonneville-exhaust-by-zard-2/</v>
      </c>
      <c r="B342" t="b">
        <f>COUNTIF($A$2:$A342, A342)&gt;1</f>
        <v>1</v>
      </c>
      <c r="C342" t="b">
        <f t="shared" si="96"/>
        <v>0</v>
      </c>
      <c r="D342">
        <f>VLOOKUP(A342,variant_counts!A:B, 2, FALSE)</f>
        <v>3</v>
      </c>
      <c r="E342" t="str">
        <f t="shared" si="109"/>
        <v>zard-exhaust-bad-child-21-full-kit-triumph-scrambler-my-2016-injection-ztph057skb-08</v>
      </c>
      <c r="F342" t="str">
        <f t="shared" si="97"/>
        <v>ZARD EXHAUST BAD CHILD 2&gt;1 FULL KIT TRIUMPH SCRAMBLER &lt; M.Y. 2016 INJECTION ZTPH057SKB-08</v>
      </c>
      <c r="G342" t="str">
        <f t="shared" si="98"/>
        <v/>
      </c>
      <c r="H342" t="str">
        <f t="shared" si="110"/>
        <v/>
      </c>
      <c r="I342" t="str">
        <f t="shared" si="111"/>
        <v/>
      </c>
      <c r="J342" t="str">
        <f t="shared" si="112"/>
        <v/>
      </c>
      <c r="K342" t="str">
        <f t="shared" si="113"/>
        <v/>
      </c>
      <c r="L342" t="str">
        <f t="shared" si="99"/>
        <v/>
      </c>
      <c r="M342" t="str">
        <f t="shared" si="100"/>
        <v/>
      </c>
      <c r="R342" t="str">
        <f t="shared" si="101"/>
        <v/>
      </c>
      <c r="S342" t="str">
        <f t="shared" si="102"/>
        <v/>
      </c>
      <c r="U342" t="str">
        <f t="shared" si="103"/>
        <v/>
      </c>
      <c r="V342" t="str">
        <f t="shared" si="104"/>
        <v/>
      </c>
      <c r="W342" s="5" t="str">
        <f t="shared" si="105"/>
        <v/>
      </c>
      <c r="Y342" t="str">
        <f t="shared" si="106"/>
        <v/>
      </c>
      <c r="Z342" t="str">
        <f t="shared" si="107"/>
        <v/>
      </c>
      <c r="AB342" t="str">
        <f t="shared" si="108"/>
        <v>https://shop.officineitalianezard.it/contents/imgs/products/1_1337-2.jpg</v>
      </c>
      <c r="AE342" t="b">
        <v>0</v>
      </c>
    </row>
    <row r="343" spans="1:31" x14ac:dyDescent="0.2">
      <c r="A343" t="str">
        <f t="shared" si="95"/>
        <v>https://shop.officineitalianezard.it/en/triumph-bonneville-exhaust-by-zard-2/</v>
      </c>
      <c r="B343" t="b">
        <f>COUNTIF($A$2:$A343, A343)&gt;1</f>
        <v>1</v>
      </c>
      <c r="C343" t="b">
        <f t="shared" si="96"/>
        <v>0</v>
      </c>
      <c r="D343">
        <f>VLOOKUP(A343,variant_counts!A:B, 2, FALSE)</f>
        <v>3</v>
      </c>
      <c r="E343" t="str">
        <f t="shared" si="109"/>
        <v>zard-exhaust-bad-child-21-full-kit-triumph-scrambler-my-2016-injection-ztph057skb-08</v>
      </c>
      <c r="F343" t="str">
        <f t="shared" si="97"/>
        <v>ZARD EXHAUST BAD CHILD 2&gt;1 FULL KIT TRIUMPH SCRAMBLER &lt; M.Y. 2016 INJECTION ZTPH057SKB-08</v>
      </c>
      <c r="G343" t="str">
        <f t="shared" si="98"/>
        <v/>
      </c>
      <c r="H343" t="str">
        <f t="shared" si="110"/>
        <v/>
      </c>
      <c r="I343" t="str">
        <f t="shared" si="111"/>
        <v/>
      </c>
      <c r="J343" t="str">
        <f t="shared" si="112"/>
        <v/>
      </c>
      <c r="K343" t="str">
        <f t="shared" si="113"/>
        <v/>
      </c>
      <c r="L343" t="str">
        <f t="shared" si="99"/>
        <v/>
      </c>
      <c r="M343" t="str">
        <f t="shared" si="100"/>
        <v/>
      </c>
      <c r="R343" t="str">
        <f t="shared" si="101"/>
        <v/>
      </c>
      <c r="S343" t="str">
        <f t="shared" si="102"/>
        <v/>
      </c>
      <c r="U343" t="str">
        <f t="shared" si="103"/>
        <v/>
      </c>
      <c r="V343" t="str">
        <f t="shared" si="104"/>
        <v/>
      </c>
      <c r="W343" s="5" t="str">
        <f t="shared" si="105"/>
        <v/>
      </c>
      <c r="Y343" t="str">
        <f t="shared" si="106"/>
        <v/>
      </c>
      <c r="Z343" t="str">
        <f t="shared" si="107"/>
        <v/>
      </c>
      <c r="AB343" t="str">
        <f t="shared" si="108"/>
        <v>https://shop.officineitalianezard.it/contents/imgs/products/1_1338-3.jpg</v>
      </c>
      <c r="AE343" t="b">
        <v>0</v>
      </c>
    </row>
    <row r="344" spans="1:31" x14ac:dyDescent="0.2">
      <c r="A344" t="str">
        <f t="shared" si="95"/>
        <v>https://shop.officineitalianezard.it/en/triumph-bonneville-exhaust-by-zard-2/</v>
      </c>
      <c r="B344" t="b">
        <f>COUNTIF($A$2:$A344, A344)&gt;1</f>
        <v>1</v>
      </c>
      <c r="C344" t="b">
        <f t="shared" si="96"/>
        <v>1</v>
      </c>
      <c r="D344">
        <f>VLOOKUP(A344,variant_counts!A:B, 2, FALSE)</f>
        <v>3</v>
      </c>
      <c r="E344" t="str">
        <f t="shared" si="109"/>
        <v>zard-exhaust-bad-child-21-full-kit-triumph-scrambler-my-2016-injection-ztph057skb-08</v>
      </c>
      <c r="F344" t="str">
        <f t="shared" si="97"/>
        <v>ZARD EXHAUST BAD CHILD 2&gt;1 FULL KIT TRIUMPH SCRAMBLER &lt; M.Y. 2016 INJECTION ZTPH057SKB-08</v>
      </c>
      <c r="G344" t="str">
        <f t="shared" si="98"/>
        <v/>
      </c>
      <c r="H344" t="str">
        <f t="shared" si="110"/>
        <v/>
      </c>
      <c r="I344" t="str">
        <f t="shared" si="111"/>
        <v/>
      </c>
      <c r="J344" t="str">
        <f t="shared" si="112"/>
        <v/>
      </c>
      <c r="K344" t="str">
        <f t="shared" si="113"/>
        <v/>
      </c>
      <c r="L344" t="str">
        <f t="shared" si="99"/>
        <v>Option</v>
      </c>
      <c r="M344" t="str">
        <f t="shared" si="100"/>
        <v>CATALYZED</v>
      </c>
      <c r="R344" t="str">
        <f t="shared" si="101"/>
        <v>ZTPH057SKB-08</v>
      </c>
      <c r="S344">
        <f t="shared" si="102"/>
        <v>0</v>
      </c>
      <c r="U344" t="str">
        <f t="shared" si="103"/>
        <v>continue</v>
      </c>
      <c r="V344" t="str">
        <f t="shared" si="104"/>
        <v>manual</v>
      </c>
      <c r="W344" s="5">
        <f t="shared" si="105"/>
        <v>1175.0571000000002</v>
      </c>
      <c r="Y344" t="b">
        <f t="shared" si="106"/>
        <v>1</v>
      </c>
      <c r="Z344" t="b">
        <f t="shared" si="107"/>
        <v>0</v>
      </c>
      <c r="AB344" t="str">
        <f t="shared" si="108"/>
        <v/>
      </c>
      <c r="AE344" t="b">
        <v>0</v>
      </c>
    </row>
    <row r="345" spans="1:31" x14ac:dyDescent="0.2">
      <c r="A345" t="str">
        <f t="shared" si="95"/>
        <v>https://shop.officineitalianezard.it/en/triumph-bonneville-exhaust-by-zard-2/</v>
      </c>
      <c r="B345" t="b">
        <f>COUNTIF($A$2:$A345, A345)&gt;1</f>
        <v>1</v>
      </c>
      <c r="C345" t="b">
        <f t="shared" si="96"/>
        <v>1</v>
      </c>
      <c r="D345">
        <f>VLOOKUP(A345,variant_counts!A:B, 2, FALSE)</f>
        <v>3</v>
      </c>
      <c r="E345" t="str">
        <f t="shared" si="109"/>
        <v>zard-exhaust-bad-child-21-full-kit-triumph-scrambler-my-2016-injection-ztph057skb-08</v>
      </c>
      <c r="F345" t="str">
        <f t="shared" si="97"/>
        <v>ZARD EXHAUST BAD CHILD 2&gt;1 FULL KIT TRIUMPH SCRAMBLER &lt; M.Y. 2016 INJECTION ZTPH057SKB-08</v>
      </c>
      <c r="G345" t="str">
        <f t="shared" si="98"/>
        <v/>
      </c>
      <c r="H345" t="str">
        <f t="shared" si="110"/>
        <v/>
      </c>
      <c r="I345" t="str">
        <f t="shared" si="111"/>
        <v/>
      </c>
      <c r="J345" t="str">
        <f t="shared" si="112"/>
        <v/>
      </c>
      <c r="K345" t="str">
        <f t="shared" si="113"/>
        <v/>
      </c>
      <c r="L345" t="str">
        <f t="shared" si="99"/>
        <v>Option</v>
      </c>
      <c r="M345" t="str">
        <f t="shared" si="100"/>
        <v>BLACK COATING</v>
      </c>
      <c r="R345" t="str">
        <f t="shared" si="101"/>
        <v>ZTPH057SKB-08</v>
      </c>
      <c r="S345">
        <f t="shared" si="102"/>
        <v>0</v>
      </c>
      <c r="U345" t="str">
        <f t="shared" si="103"/>
        <v>continue</v>
      </c>
      <c r="V345" t="str">
        <f t="shared" si="104"/>
        <v>manual</v>
      </c>
      <c r="W345" s="5">
        <f t="shared" si="105"/>
        <v>1138.2051000000001</v>
      </c>
      <c r="Y345" t="b">
        <f t="shared" si="106"/>
        <v>1</v>
      </c>
      <c r="Z345" t="b">
        <f t="shared" si="107"/>
        <v>0</v>
      </c>
      <c r="AB345" t="str">
        <f t="shared" si="108"/>
        <v/>
      </c>
      <c r="AE345" t="b">
        <v>0</v>
      </c>
    </row>
    <row r="346" spans="1:31" x14ac:dyDescent="0.2">
      <c r="A346" t="str">
        <f t="shared" si="95"/>
        <v>https://shop.officineitalianezard.it/en/triumph-bonneville-exhaust-by-zard-2/</v>
      </c>
      <c r="B346" t="b">
        <f>COUNTIF($A$2:$A346, A346)&gt;1</f>
        <v>1</v>
      </c>
      <c r="C346" t="b">
        <f t="shared" si="96"/>
        <v>1</v>
      </c>
      <c r="D346">
        <f>VLOOKUP(A346,variant_counts!A:B, 2, FALSE)</f>
        <v>3</v>
      </c>
      <c r="E346" t="str">
        <f t="shared" si="109"/>
        <v>zard-exhaust-bad-child-21-full-kit-triumph-scrambler-my-2016-injection-ztph057skb-08</v>
      </c>
      <c r="F346" t="str">
        <f t="shared" si="97"/>
        <v>ZARD EXHAUST BAD CHILD 2&gt;1 FULL KIT TRIUMPH SCRAMBLER &lt; M.Y. 2016 INJECTION ZTPH057SKB-08</v>
      </c>
      <c r="G346" t="str">
        <f t="shared" si="98"/>
        <v/>
      </c>
      <c r="H346" t="str">
        <f t="shared" si="110"/>
        <v/>
      </c>
      <c r="I346" t="str">
        <f t="shared" si="111"/>
        <v/>
      </c>
      <c r="J346" t="str">
        <f t="shared" si="112"/>
        <v/>
      </c>
      <c r="K346" t="str">
        <f t="shared" si="113"/>
        <v/>
      </c>
      <c r="L346" t="str">
        <f t="shared" si="99"/>
        <v>Option</v>
      </c>
      <c r="M346" t="str">
        <f t="shared" si="100"/>
        <v>POLISHED</v>
      </c>
      <c r="R346" t="str">
        <f t="shared" si="101"/>
        <v>ZTPH057SKB-08</v>
      </c>
      <c r="S346">
        <f t="shared" si="102"/>
        <v>0</v>
      </c>
      <c r="U346" t="str">
        <f t="shared" si="103"/>
        <v>continue</v>
      </c>
      <c r="V346" t="str">
        <f t="shared" si="104"/>
        <v>manual</v>
      </c>
      <c r="W346" s="5">
        <f t="shared" si="105"/>
        <v>1057.1418000000001</v>
      </c>
      <c r="Y346" t="b">
        <f t="shared" si="106"/>
        <v>1</v>
      </c>
      <c r="Z346" t="b">
        <f t="shared" si="107"/>
        <v>0</v>
      </c>
      <c r="AB346" t="str">
        <f t="shared" si="108"/>
        <v/>
      </c>
      <c r="AE346" t="b">
        <v>0</v>
      </c>
    </row>
    <row r="347" spans="1:31" x14ac:dyDescent="0.2">
      <c r="A347" t="str">
        <f t="shared" si="95"/>
        <v>https://shop.officineitalianezard.it/en/triumph-street-twin-exhaust-by-zard/</v>
      </c>
      <c r="B347" t="b">
        <f>COUNTIF($A$2:$A347, A347)&gt;1</f>
        <v>0</v>
      </c>
      <c r="C347" t="b">
        <f t="shared" si="96"/>
        <v>0</v>
      </c>
      <c r="D347">
        <f>VLOOKUP(A347,variant_counts!A:B, 2, FALSE)</f>
        <v>3</v>
      </c>
      <c r="E347" t="str">
        <f t="shared" si="109"/>
        <v>zard-exhaust-n2-silencers-triumph-street-twin-201619-steel-version-ztph058ssr</v>
      </c>
      <c r="F347" t="str">
        <f t="shared" si="97"/>
        <v>ZARD EXHAUST N.2 SILENCERS TRIUMPH STREET TWIN 2016/19 STEEL VERSION ZTPH058SSR</v>
      </c>
      <c r="G347" t="str">
        <f t="shared" si="98"/>
        <v>&lt;p&gt;N.2 STEEL RACING SILENCERS WITH REMOVABLE DBKILLERS&lt;/p&gt;
&lt;p&gt;ORIGINAL SILENCERS WEIGHT: KG 6.8&lt;/p&gt;
&lt;p&gt;ZARD SILENCERS WEIGHT: KG 3&lt;/p&gt;
&lt;p&gt;HARD INCREASE, COMPARED TO THE ORIGINAL EXHAUST SYSTEM, IN TERMS OF TORQUE AND POWER AT ANY RANGE.&lt;/p&gt;
&lt;p&gt;ASTONISHING SOUND.&lt;/p&gt;
&lt;p&gt;&lt;strong&gt;NOTICE&lt;/strong&gt;: TO REMOVE THE CATALYZER PLEASE CHECK OUR &lt;a href="https://shop.officineitalianezard.it/en/products/index/kit-decatalizzatore-per-triumph-bonneville-t120-thruxton-r-e-street-twin-zard-7761-187/"&gt;DECATALYZER KIT&lt;/a&gt;&lt;/p&gt;</v>
      </c>
      <c r="H347" t="str">
        <f t="shared" si="110"/>
        <v>ZARD</v>
      </c>
      <c r="I347" t="str">
        <f t="shared" si="111"/>
        <v>Exhaust Pipe</v>
      </c>
      <c r="J347" t="str">
        <f t="shared" si="112"/>
        <v>Test</v>
      </c>
      <c r="K347" t="b">
        <f t="shared" si="113"/>
        <v>0</v>
      </c>
      <c r="L347" t="str">
        <f t="shared" si="99"/>
        <v/>
      </c>
      <c r="M347" t="str">
        <f t="shared" si="100"/>
        <v/>
      </c>
      <c r="R347" t="str">
        <f t="shared" si="101"/>
        <v/>
      </c>
      <c r="S347" t="str">
        <f t="shared" si="102"/>
        <v/>
      </c>
      <c r="U347" t="str">
        <f t="shared" si="103"/>
        <v/>
      </c>
      <c r="V347" t="str">
        <f t="shared" si="104"/>
        <v/>
      </c>
      <c r="W347" s="5" t="str">
        <f t="shared" si="105"/>
        <v/>
      </c>
      <c r="Y347" t="str">
        <f t="shared" si="106"/>
        <v/>
      </c>
      <c r="Z347" t="str">
        <f t="shared" si="107"/>
        <v/>
      </c>
      <c r="AB347" t="str">
        <f t="shared" si="108"/>
        <v>https://shop.officineitalianezard.it/contents/imgs/products/1_1358-triumph%20street%20twin%20exhaust%20scarichi%20triumph%20street%20twin.jpg</v>
      </c>
      <c r="AE347" t="b">
        <v>0</v>
      </c>
    </row>
    <row r="348" spans="1:31" x14ac:dyDescent="0.2">
      <c r="A348" t="str">
        <f t="shared" si="95"/>
        <v>https://shop.officineitalianezard.it/en/triumph-street-twin-exhaust-by-zard/</v>
      </c>
      <c r="B348" t="b">
        <f>COUNTIF($A$2:$A348, A348)&gt;1</f>
        <v>1</v>
      </c>
      <c r="C348" t="b">
        <f t="shared" si="96"/>
        <v>0</v>
      </c>
      <c r="D348">
        <f>VLOOKUP(A348,variant_counts!A:B, 2, FALSE)</f>
        <v>3</v>
      </c>
      <c r="E348" t="str">
        <f t="shared" si="109"/>
        <v>zard-exhaust-n2-silencers-triumph-street-twin-201619-steel-version-ztph058ssr</v>
      </c>
      <c r="F348" t="str">
        <f t="shared" si="97"/>
        <v>ZARD EXHAUST N.2 SILENCERS TRIUMPH STREET TWIN 2016/19 STEEL VERSION ZTPH058SSR</v>
      </c>
      <c r="G348" t="str">
        <f t="shared" si="98"/>
        <v/>
      </c>
      <c r="H348" t="str">
        <f t="shared" si="110"/>
        <v/>
      </c>
      <c r="I348" t="str">
        <f t="shared" si="111"/>
        <v/>
      </c>
      <c r="J348" t="str">
        <f t="shared" si="112"/>
        <v/>
      </c>
      <c r="K348" t="str">
        <f t="shared" si="113"/>
        <v/>
      </c>
      <c r="L348" t="str">
        <f t="shared" si="99"/>
        <v/>
      </c>
      <c r="M348" t="str">
        <f t="shared" si="100"/>
        <v/>
      </c>
      <c r="R348" t="str">
        <f t="shared" si="101"/>
        <v/>
      </c>
      <c r="S348" t="str">
        <f t="shared" si="102"/>
        <v/>
      </c>
      <c r="U348" t="str">
        <f t="shared" si="103"/>
        <v/>
      </c>
      <c r="V348" t="str">
        <f t="shared" si="104"/>
        <v/>
      </c>
      <c r="W348" s="5" t="str">
        <f t="shared" si="105"/>
        <v/>
      </c>
      <c r="Y348" t="str">
        <f t="shared" si="106"/>
        <v/>
      </c>
      <c r="Z348" t="str">
        <f t="shared" si="107"/>
        <v/>
      </c>
      <c r="AB348" t="str">
        <f t="shared" si="108"/>
        <v>https://shop.officineitalianezard.it/contents/imgs/products/1_1355-street%20twin%20exhaust%20street%20twin%20scarichi%20triumph%20zard.jpg</v>
      </c>
      <c r="AE348" t="b">
        <v>0</v>
      </c>
    </row>
    <row r="349" spans="1:31" x14ac:dyDescent="0.2">
      <c r="A349" t="str">
        <f t="shared" si="95"/>
        <v>https://shop.officineitalianezard.it/en/triumph-street-twin-exhaust-by-zard/</v>
      </c>
      <c r="B349" t="b">
        <f>COUNTIF($A$2:$A349, A349)&gt;1</f>
        <v>1</v>
      </c>
      <c r="C349" t="b">
        <f t="shared" si="96"/>
        <v>0</v>
      </c>
      <c r="D349">
        <f>VLOOKUP(A349,variant_counts!A:B, 2, FALSE)</f>
        <v>3</v>
      </c>
      <c r="E349" t="str">
        <f t="shared" si="109"/>
        <v>zard-exhaust-n2-silencers-triumph-street-twin-201619-steel-version-ztph058ssr</v>
      </c>
      <c r="F349" t="str">
        <f t="shared" si="97"/>
        <v>ZARD EXHAUST N.2 SILENCERS TRIUMPH STREET TWIN 2016/19 STEEL VERSION ZTPH058SSR</v>
      </c>
      <c r="G349" t="str">
        <f t="shared" si="98"/>
        <v/>
      </c>
      <c r="H349" t="str">
        <f t="shared" si="110"/>
        <v/>
      </c>
      <c r="I349" t="str">
        <f t="shared" si="111"/>
        <v/>
      </c>
      <c r="J349" t="str">
        <f t="shared" si="112"/>
        <v/>
      </c>
      <c r="K349" t="str">
        <f t="shared" si="113"/>
        <v/>
      </c>
      <c r="L349" t="str">
        <f t="shared" si="99"/>
        <v/>
      </c>
      <c r="M349" t="str">
        <f t="shared" si="100"/>
        <v/>
      </c>
      <c r="R349" t="str">
        <f t="shared" si="101"/>
        <v/>
      </c>
      <c r="S349" t="str">
        <f t="shared" si="102"/>
        <v/>
      </c>
      <c r="U349" t="str">
        <f t="shared" si="103"/>
        <v/>
      </c>
      <c r="V349" t="str">
        <f t="shared" si="104"/>
        <v/>
      </c>
      <c r="W349" s="5" t="str">
        <f t="shared" si="105"/>
        <v/>
      </c>
      <c r="Y349" t="str">
        <f t="shared" si="106"/>
        <v/>
      </c>
      <c r="Z349" t="str">
        <f t="shared" si="107"/>
        <v/>
      </c>
      <c r="AB349" t="str">
        <f t="shared" si="108"/>
        <v>https://shop.officineitalianezard.it/contents/imgs/products/1_1357-triumph%20street%20twin%20zard%20scarichi%20marmitta.jpg</v>
      </c>
      <c r="AE349" t="b">
        <v>0</v>
      </c>
    </row>
    <row r="350" spans="1:31" x14ac:dyDescent="0.2">
      <c r="A350" t="str">
        <f t="shared" si="95"/>
        <v>https://shop.officineitalianezard.it/en/triumph-street-twin-exhaust-by-zard/</v>
      </c>
      <c r="B350" t="b">
        <f>COUNTIF($A$2:$A350, A350)&gt;1</f>
        <v>1</v>
      </c>
      <c r="C350" t="b">
        <f t="shared" si="96"/>
        <v>0</v>
      </c>
      <c r="D350">
        <f>VLOOKUP(A350,variant_counts!A:B, 2, FALSE)</f>
        <v>3</v>
      </c>
      <c r="E350" t="str">
        <f t="shared" si="109"/>
        <v>zard-exhaust-n2-silencers-triumph-street-twin-201619-steel-version-ztph058ssr</v>
      </c>
      <c r="F350" t="str">
        <f t="shared" si="97"/>
        <v>ZARD EXHAUST N.2 SILENCERS TRIUMPH STREET TWIN 2016/19 STEEL VERSION ZTPH058SSR</v>
      </c>
      <c r="G350" t="str">
        <f t="shared" si="98"/>
        <v/>
      </c>
      <c r="H350" t="str">
        <f t="shared" si="110"/>
        <v/>
      </c>
      <c r="I350" t="str">
        <f t="shared" si="111"/>
        <v/>
      </c>
      <c r="J350" t="str">
        <f t="shared" si="112"/>
        <v/>
      </c>
      <c r="K350" t="str">
        <f t="shared" si="113"/>
        <v/>
      </c>
      <c r="L350" t="str">
        <f t="shared" si="99"/>
        <v/>
      </c>
      <c r="M350" t="str">
        <f t="shared" si="100"/>
        <v/>
      </c>
      <c r="R350" t="str">
        <f t="shared" si="101"/>
        <v/>
      </c>
      <c r="S350" t="str">
        <f t="shared" si="102"/>
        <v/>
      </c>
      <c r="U350" t="str">
        <f t="shared" si="103"/>
        <v/>
      </c>
      <c r="V350" t="str">
        <f t="shared" si="104"/>
        <v/>
      </c>
      <c r="W350" s="5" t="str">
        <f t="shared" si="105"/>
        <v/>
      </c>
      <c r="Y350" t="str">
        <f t="shared" si="106"/>
        <v/>
      </c>
      <c r="Z350" t="str">
        <f t="shared" si="107"/>
        <v/>
      </c>
      <c r="AB350" t="str">
        <f t="shared" si="108"/>
        <v>https://shop.officineitalianezard.it/contents/imgs/products/1_1354-street%20twin%20exhaust%20scarichi%20zard%20street%20twin.jpg</v>
      </c>
      <c r="AE350" t="b">
        <v>0</v>
      </c>
    </row>
    <row r="351" spans="1:31" x14ac:dyDescent="0.2">
      <c r="A351" t="str">
        <f t="shared" si="95"/>
        <v>https://shop.officineitalianezard.it/en/triumph-street-twin-exhaust-by-zard/</v>
      </c>
      <c r="B351" t="b">
        <f>COUNTIF($A$2:$A351, A351)&gt;1</f>
        <v>1</v>
      </c>
      <c r="C351" t="b">
        <f t="shared" si="96"/>
        <v>0</v>
      </c>
      <c r="D351">
        <f>VLOOKUP(A351,variant_counts!A:B, 2, FALSE)</f>
        <v>3</v>
      </c>
      <c r="E351" t="str">
        <f t="shared" si="109"/>
        <v>zard-exhaust-n2-silencers-triumph-street-twin-201619-steel-version-ztph058ssr</v>
      </c>
      <c r="F351" t="str">
        <f t="shared" si="97"/>
        <v>ZARD EXHAUST N.2 SILENCERS TRIUMPH STREET TWIN 2016/19 STEEL VERSION ZTPH058SSR</v>
      </c>
      <c r="G351" t="str">
        <f t="shared" si="98"/>
        <v/>
      </c>
      <c r="H351" t="str">
        <f t="shared" si="110"/>
        <v/>
      </c>
      <c r="I351" t="str">
        <f t="shared" si="111"/>
        <v/>
      </c>
      <c r="J351" t="str">
        <f t="shared" si="112"/>
        <v/>
      </c>
      <c r="K351" t="str">
        <f t="shared" si="113"/>
        <v/>
      </c>
      <c r="L351" t="str">
        <f t="shared" si="99"/>
        <v/>
      </c>
      <c r="M351" t="str">
        <f t="shared" si="100"/>
        <v/>
      </c>
      <c r="R351" t="str">
        <f t="shared" si="101"/>
        <v/>
      </c>
      <c r="S351" t="str">
        <f t="shared" si="102"/>
        <v/>
      </c>
      <c r="U351" t="str">
        <f t="shared" si="103"/>
        <v/>
      </c>
      <c r="V351" t="str">
        <f t="shared" si="104"/>
        <v/>
      </c>
      <c r="W351" s="5" t="str">
        <f t="shared" si="105"/>
        <v/>
      </c>
      <c r="Y351" t="str">
        <f t="shared" si="106"/>
        <v/>
      </c>
      <c r="Z351" t="str">
        <f t="shared" si="107"/>
        <v/>
      </c>
      <c r="AB351" t="str">
        <f t="shared" si="108"/>
        <v>https://shop.officineitalianezard.it/contents/imgs/products/1_1667-triumph%20t120%20street%20twin%20exhaust.jpg</v>
      </c>
      <c r="AE351" t="b">
        <v>0</v>
      </c>
    </row>
    <row r="352" spans="1:31" x14ac:dyDescent="0.2">
      <c r="A352" t="str">
        <f t="shared" si="95"/>
        <v>https://shop.officineitalianezard.it/en/triumph-street-twin-exhaust-by-zard/</v>
      </c>
      <c r="B352" t="b">
        <f>COUNTIF($A$2:$A352, A352)&gt;1</f>
        <v>1</v>
      </c>
      <c r="C352" t="b">
        <f t="shared" si="96"/>
        <v>0</v>
      </c>
      <c r="D352">
        <f>VLOOKUP(A352,variant_counts!A:B, 2, FALSE)</f>
        <v>3</v>
      </c>
      <c r="E352" t="str">
        <f t="shared" si="109"/>
        <v>zard-exhaust-n2-silencers-triumph-street-twin-201619-steel-version-ztph058ssr</v>
      </c>
      <c r="F352" t="str">
        <f t="shared" si="97"/>
        <v>ZARD EXHAUST N.2 SILENCERS TRIUMPH STREET TWIN 2016/19 STEEL VERSION ZTPH058SSR</v>
      </c>
      <c r="G352" t="str">
        <f t="shared" si="98"/>
        <v/>
      </c>
      <c r="H352" t="str">
        <f t="shared" si="110"/>
        <v/>
      </c>
      <c r="I352" t="str">
        <f t="shared" si="111"/>
        <v/>
      </c>
      <c r="J352" t="str">
        <f t="shared" si="112"/>
        <v/>
      </c>
      <c r="K352" t="str">
        <f t="shared" si="113"/>
        <v/>
      </c>
      <c r="L352" t="str">
        <f t="shared" si="99"/>
        <v/>
      </c>
      <c r="M352" t="str">
        <f t="shared" si="100"/>
        <v/>
      </c>
      <c r="R352" t="str">
        <f t="shared" si="101"/>
        <v/>
      </c>
      <c r="S352" t="str">
        <f t="shared" si="102"/>
        <v/>
      </c>
      <c r="U352" t="str">
        <f t="shared" si="103"/>
        <v/>
      </c>
      <c r="V352" t="str">
        <f t="shared" si="104"/>
        <v/>
      </c>
      <c r="W352" s="5" t="str">
        <f t="shared" si="105"/>
        <v/>
      </c>
      <c r="Y352" t="str">
        <f t="shared" si="106"/>
        <v/>
      </c>
      <c r="Z352" t="str">
        <f t="shared" si="107"/>
        <v/>
      </c>
      <c r="AB352" t="str">
        <f t="shared" si="108"/>
        <v>https://shop.officineitalianezard.it/contents/imgs/products/1_1743-scarico%20bonneville%20t120%20scarico%20triumph%20street%20twin.jpg</v>
      </c>
      <c r="AE352" t="b">
        <v>0</v>
      </c>
    </row>
    <row r="353" spans="1:31" x14ac:dyDescent="0.2">
      <c r="A353" t="str">
        <f t="shared" si="95"/>
        <v>https://shop.officineitalianezard.it/en/triumph-street-twin-exhaust-by-zard/</v>
      </c>
      <c r="B353" t="b">
        <f>COUNTIF($A$2:$A353, A353)&gt;1</f>
        <v>1</v>
      </c>
      <c r="C353" t="b">
        <f t="shared" si="96"/>
        <v>1</v>
      </c>
      <c r="D353">
        <f>VLOOKUP(A353,variant_counts!A:B, 2, FALSE)</f>
        <v>3</v>
      </c>
      <c r="E353" t="str">
        <f t="shared" si="109"/>
        <v>zard-exhaust-n2-silencers-triumph-street-twin-201619-steel-version-ztph058ssr</v>
      </c>
      <c r="F353" t="str">
        <f t="shared" si="97"/>
        <v>ZARD EXHAUST N.2 SILENCERS TRIUMPH STREET TWIN 2016/19 STEEL VERSION ZTPH058SSR</v>
      </c>
      <c r="G353" t="str">
        <f t="shared" si="98"/>
        <v/>
      </c>
      <c r="H353" t="str">
        <f t="shared" si="110"/>
        <v/>
      </c>
      <c r="I353" t="str">
        <f t="shared" si="111"/>
        <v/>
      </c>
      <c r="J353" t="str">
        <f t="shared" si="112"/>
        <v/>
      </c>
      <c r="K353" t="str">
        <f t="shared" si="113"/>
        <v/>
      </c>
      <c r="L353" t="str">
        <f t="shared" si="99"/>
        <v>Option</v>
      </c>
      <c r="M353" t="str">
        <f t="shared" si="100"/>
        <v>EURO 4 HOMOLOGATED</v>
      </c>
      <c r="R353" t="str">
        <f t="shared" si="101"/>
        <v>ZTPH058SSR</v>
      </c>
      <c r="S353">
        <f t="shared" si="102"/>
        <v>0</v>
      </c>
      <c r="U353" t="str">
        <f t="shared" si="103"/>
        <v>continue</v>
      </c>
      <c r="V353" t="str">
        <f t="shared" si="104"/>
        <v>manual</v>
      </c>
      <c r="W353" s="5">
        <f t="shared" si="105"/>
        <v>841.41330000000005</v>
      </c>
      <c r="Y353" t="b">
        <f t="shared" si="106"/>
        <v>1</v>
      </c>
      <c r="Z353" t="b">
        <f t="shared" si="107"/>
        <v>0</v>
      </c>
      <c r="AB353" t="str">
        <f t="shared" si="108"/>
        <v/>
      </c>
      <c r="AE353" t="b">
        <v>0</v>
      </c>
    </row>
    <row r="354" spans="1:31" x14ac:dyDescent="0.2">
      <c r="A354" t="str">
        <f t="shared" si="95"/>
        <v>https://shop.officineitalianezard.it/en/triumph-street-twin-exhaust-by-zard/</v>
      </c>
      <c r="B354" t="b">
        <f>COUNTIF($A$2:$A354, A354)&gt;1</f>
        <v>1</v>
      </c>
      <c r="C354" t="b">
        <f t="shared" si="96"/>
        <v>1</v>
      </c>
      <c r="D354">
        <f>VLOOKUP(A354,variant_counts!A:B, 2, FALSE)</f>
        <v>3</v>
      </c>
      <c r="E354" t="str">
        <f t="shared" si="109"/>
        <v>zard-exhaust-n2-silencers-triumph-street-twin-201619-steel-version-ztph058ssr</v>
      </c>
      <c r="F354" t="str">
        <f t="shared" si="97"/>
        <v>ZARD EXHAUST N.2 SILENCERS TRIUMPH STREET TWIN 2016/19 STEEL VERSION ZTPH058SSR</v>
      </c>
      <c r="G354" t="str">
        <f t="shared" si="98"/>
        <v/>
      </c>
      <c r="H354" t="str">
        <f t="shared" si="110"/>
        <v/>
      </c>
      <c r="I354" t="str">
        <f t="shared" si="111"/>
        <v/>
      </c>
      <c r="J354" t="str">
        <f t="shared" si="112"/>
        <v/>
      </c>
      <c r="K354" t="str">
        <f t="shared" si="113"/>
        <v/>
      </c>
      <c r="L354" t="str">
        <f t="shared" si="99"/>
        <v>Option</v>
      </c>
      <c r="M354" t="str">
        <f t="shared" si="100"/>
        <v>BLACK COATING</v>
      </c>
      <c r="R354" t="str">
        <f t="shared" si="101"/>
        <v>ZTPH058SSR</v>
      </c>
      <c r="S354">
        <f t="shared" si="102"/>
        <v>0</v>
      </c>
      <c r="U354" t="str">
        <f t="shared" si="103"/>
        <v>continue</v>
      </c>
      <c r="V354" t="str">
        <f t="shared" si="104"/>
        <v>manual</v>
      </c>
      <c r="W354" s="5">
        <f t="shared" si="105"/>
        <v>1012.5531</v>
      </c>
      <c r="Y354" t="b">
        <f t="shared" si="106"/>
        <v>1</v>
      </c>
      <c r="Z354" t="b">
        <f t="shared" si="107"/>
        <v>0</v>
      </c>
      <c r="AB354" t="str">
        <f t="shared" si="108"/>
        <v/>
      </c>
      <c r="AE354" t="b">
        <v>0</v>
      </c>
    </row>
    <row r="355" spans="1:31" x14ac:dyDescent="0.2">
      <c r="A355" t="str">
        <f t="shared" si="95"/>
        <v>https://shop.officineitalianezard.it/en/triumph-street-twin-exhaust-by-zard/</v>
      </c>
      <c r="B355" t="b">
        <f>COUNTIF($A$2:$A355, A355)&gt;1</f>
        <v>1</v>
      </c>
      <c r="C355" t="b">
        <f t="shared" si="96"/>
        <v>1</v>
      </c>
      <c r="D355">
        <f>VLOOKUP(A355,variant_counts!A:B, 2, FALSE)</f>
        <v>3</v>
      </c>
      <c r="E355" t="str">
        <f t="shared" si="109"/>
        <v>zard-exhaust-n2-silencers-triumph-street-twin-201619-steel-version-ztph058ssr</v>
      </c>
      <c r="F355" t="str">
        <f t="shared" si="97"/>
        <v>ZARD EXHAUST N.2 SILENCERS TRIUMPH STREET TWIN 2016/19 STEEL VERSION ZTPH058SSR</v>
      </c>
      <c r="G355" t="str">
        <f t="shared" si="98"/>
        <v/>
      </c>
      <c r="H355" t="str">
        <f t="shared" si="110"/>
        <v/>
      </c>
      <c r="I355" t="str">
        <f t="shared" si="111"/>
        <v/>
      </c>
      <c r="J355" t="str">
        <f t="shared" si="112"/>
        <v/>
      </c>
      <c r="K355" t="str">
        <f t="shared" si="113"/>
        <v/>
      </c>
      <c r="L355" t="str">
        <f t="shared" si="99"/>
        <v>Option</v>
      </c>
      <c r="M355" t="str">
        <f t="shared" si="100"/>
        <v>MIRROR POLISHING</v>
      </c>
      <c r="R355" t="str">
        <f t="shared" si="101"/>
        <v>ZTPH058SSR</v>
      </c>
      <c r="S355">
        <f t="shared" si="102"/>
        <v>0</v>
      </c>
      <c r="U355" t="str">
        <f t="shared" si="103"/>
        <v>continue</v>
      </c>
      <c r="V355" t="str">
        <f t="shared" si="104"/>
        <v>manual</v>
      </c>
      <c r="W355" s="5">
        <f t="shared" si="105"/>
        <v>845.50919999999996</v>
      </c>
      <c r="Y355" t="b">
        <f t="shared" si="106"/>
        <v>1</v>
      </c>
      <c r="Z355" t="b">
        <f t="shared" si="107"/>
        <v>0</v>
      </c>
      <c r="AB355" t="str">
        <f t="shared" si="108"/>
        <v/>
      </c>
      <c r="AE355" t="b">
        <v>0</v>
      </c>
    </row>
    <row r="356" spans="1:31" x14ac:dyDescent="0.2">
      <c r="A356" t="str">
        <f t="shared" si="95"/>
        <v>https://shop.officineitalianezard.it/en/triumph-street-twin-exhaust-zard-2/</v>
      </c>
      <c r="B356" t="b">
        <f>COUNTIF($A$2:$A356, A356)&gt;1</f>
        <v>0</v>
      </c>
      <c r="C356" t="b">
        <f t="shared" si="96"/>
        <v>0</v>
      </c>
      <c r="D356">
        <f>VLOOKUP(A356,variant_counts!A:B, 2, FALSE)</f>
        <v>2</v>
      </c>
      <c r="E356" t="str">
        <f t="shared" si="109"/>
        <v>zard-exhaust-high-mounted-full-kit-triumph-street-twin-201619-21-version-ztph075ska</v>
      </c>
      <c r="F356" t="str">
        <f t="shared" si="97"/>
        <v>ZARD EXHAUST HIGH MOUNTED FULL KIT TRIUMPH STREET TWIN 2016/19 2&gt;1 VERSION ZTPH075SKA</v>
      </c>
      <c r="G356" t="str">
        <f t="shared" si="98"/>
        <v>&lt;p&gt;2&amp;gt;1 STEEL RACING FULL KIT WITH REMOVABLE DBKILLER.&lt;/p&gt;
&lt;p&gt;ORIGINAL FULL KIT WEIGHT: 14.3 KG&lt;br&gt;ZARD FULL KIT WEIGHT: 7 KG&lt;/p&gt;
&lt;p&gt;ASTONISHING SOUND,&amp;nbsp;EXCLUSIVE DESIGN.&lt;/p&gt;
&lt;p&gt;FITTING KIT INCLUDED.&lt;/p&gt;
&lt;p&gt;&lt;/p&gt;</v>
      </c>
      <c r="H356" t="str">
        <f t="shared" si="110"/>
        <v>ZARD</v>
      </c>
      <c r="I356" t="str">
        <f t="shared" si="111"/>
        <v>Exhaust Pipe</v>
      </c>
      <c r="J356" t="str">
        <f t="shared" si="112"/>
        <v>Test</v>
      </c>
      <c r="K356" t="b">
        <f t="shared" si="113"/>
        <v>0</v>
      </c>
      <c r="L356" t="str">
        <f t="shared" si="99"/>
        <v/>
      </c>
      <c r="M356" t="str">
        <f t="shared" si="100"/>
        <v/>
      </c>
      <c r="R356" t="str">
        <f t="shared" si="101"/>
        <v/>
      </c>
      <c r="S356" t="str">
        <f t="shared" si="102"/>
        <v/>
      </c>
      <c r="U356" t="str">
        <f t="shared" si="103"/>
        <v/>
      </c>
      <c r="V356" t="str">
        <f t="shared" si="104"/>
        <v/>
      </c>
      <c r="W356" s="5" t="str">
        <f t="shared" si="105"/>
        <v/>
      </c>
      <c r="Y356" t="str">
        <f t="shared" si="106"/>
        <v/>
      </c>
      <c r="Z356" t="str">
        <f t="shared" si="107"/>
        <v/>
      </c>
      <c r="AB356" t="str">
        <f t="shared" si="108"/>
        <v>https://shop.officineitalianezard.it/contents/imgs/products/1_1929-1.jpg</v>
      </c>
      <c r="AE356" t="b">
        <v>0</v>
      </c>
    </row>
    <row r="357" spans="1:31" x14ac:dyDescent="0.2">
      <c r="A357" t="str">
        <f t="shared" si="95"/>
        <v>https://shop.officineitalianezard.it/en/triumph-street-twin-exhaust-zard-2/</v>
      </c>
      <c r="B357" t="b">
        <f>COUNTIF($A$2:$A357, A357)&gt;1</f>
        <v>1</v>
      </c>
      <c r="C357" t="b">
        <f t="shared" si="96"/>
        <v>0</v>
      </c>
      <c r="D357">
        <f>VLOOKUP(A357,variant_counts!A:B, 2, FALSE)</f>
        <v>2</v>
      </c>
      <c r="E357" t="str">
        <f t="shared" si="109"/>
        <v>zard-exhaust-high-mounted-full-kit-triumph-street-twin-201619-21-version-ztph075ska</v>
      </c>
      <c r="F357" t="str">
        <f t="shared" si="97"/>
        <v>ZARD EXHAUST HIGH MOUNTED FULL KIT TRIUMPH STREET TWIN 2016/19 2&gt;1 VERSION ZTPH075SKA</v>
      </c>
      <c r="G357" t="str">
        <f t="shared" si="98"/>
        <v/>
      </c>
      <c r="H357" t="str">
        <f t="shared" si="110"/>
        <v/>
      </c>
      <c r="I357" t="str">
        <f t="shared" si="111"/>
        <v/>
      </c>
      <c r="J357" t="str">
        <f t="shared" si="112"/>
        <v/>
      </c>
      <c r="K357" t="str">
        <f t="shared" si="113"/>
        <v/>
      </c>
      <c r="L357" t="str">
        <f t="shared" si="99"/>
        <v/>
      </c>
      <c r="M357" t="str">
        <f t="shared" si="100"/>
        <v/>
      </c>
      <c r="R357" t="str">
        <f t="shared" si="101"/>
        <v/>
      </c>
      <c r="S357" t="str">
        <f t="shared" si="102"/>
        <v/>
      </c>
      <c r="U357" t="str">
        <f t="shared" si="103"/>
        <v/>
      </c>
      <c r="V357" t="str">
        <f t="shared" si="104"/>
        <v/>
      </c>
      <c r="W357" s="5" t="str">
        <f t="shared" si="105"/>
        <v/>
      </c>
      <c r="Y357" t="str">
        <f t="shared" si="106"/>
        <v/>
      </c>
      <c r="Z357" t="str">
        <f t="shared" si="107"/>
        <v/>
      </c>
      <c r="AB357" t="str">
        <f t="shared" si="108"/>
        <v>https://shop.officineitalianezard.it/contents/imgs/products/1_1932-2.jpg</v>
      </c>
      <c r="AE357" t="b">
        <v>0</v>
      </c>
    </row>
    <row r="358" spans="1:31" x14ac:dyDescent="0.2">
      <c r="A358" t="str">
        <f t="shared" si="95"/>
        <v>https://shop.officineitalianezard.it/en/triumph-street-twin-exhaust-zard-2/</v>
      </c>
      <c r="B358" t="b">
        <f>COUNTIF($A$2:$A358, A358)&gt;1</f>
        <v>1</v>
      </c>
      <c r="C358" t="b">
        <f t="shared" si="96"/>
        <v>0</v>
      </c>
      <c r="D358">
        <f>VLOOKUP(A358,variant_counts!A:B, 2, FALSE)</f>
        <v>2</v>
      </c>
      <c r="E358" t="str">
        <f t="shared" si="109"/>
        <v>zard-exhaust-high-mounted-full-kit-triumph-street-twin-201619-21-version-ztph075ska</v>
      </c>
      <c r="F358" t="str">
        <f t="shared" si="97"/>
        <v>ZARD EXHAUST HIGH MOUNTED FULL KIT TRIUMPH STREET TWIN 2016/19 2&gt;1 VERSION ZTPH075SKA</v>
      </c>
      <c r="G358" t="str">
        <f t="shared" si="98"/>
        <v/>
      </c>
      <c r="H358" t="str">
        <f t="shared" si="110"/>
        <v/>
      </c>
      <c r="I358" t="str">
        <f t="shared" si="111"/>
        <v/>
      </c>
      <c r="J358" t="str">
        <f t="shared" si="112"/>
        <v/>
      </c>
      <c r="K358" t="str">
        <f t="shared" si="113"/>
        <v/>
      </c>
      <c r="L358" t="str">
        <f t="shared" si="99"/>
        <v/>
      </c>
      <c r="M358" t="str">
        <f t="shared" si="100"/>
        <v/>
      </c>
      <c r="R358" t="str">
        <f t="shared" si="101"/>
        <v/>
      </c>
      <c r="S358" t="str">
        <f t="shared" si="102"/>
        <v/>
      </c>
      <c r="U358" t="str">
        <f t="shared" si="103"/>
        <v/>
      </c>
      <c r="V358" t="str">
        <f t="shared" si="104"/>
        <v/>
      </c>
      <c r="W358" s="5" t="str">
        <f t="shared" si="105"/>
        <v/>
      </c>
      <c r="Y358" t="str">
        <f t="shared" si="106"/>
        <v/>
      </c>
      <c r="Z358" t="str">
        <f t="shared" si="107"/>
        <v/>
      </c>
      <c r="AB358" t="str">
        <f t="shared" si="108"/>
        <v>https://shop.officineitalianezard.it/contents/imgs/products/1_1931-3.jpg</v>
      </c>
      <c r="AE358" t="b">
        <v>0</v>
      </c>
    </row>
    <row r="359" spans="1:31" x14ac:dyDescent="0.2">
      <c r="A359" t="str">
        <f t="shared" si="95"/>
        <v>https://shop.officineitalianezard.it/en/triumph-street-twin-exhaust-zard-2/</v>
      </c>
      <c r="B359" t="b">
        <f>COUNTIF($A$2:$A359, A359)&gt;1</f>
        <v>1</v>
      </c>
      <c r="C359" t="b">
        <f t="shared" si="96"/>
        <v>0</v>
      </c>
      <c r="D359">
        <f>VLOOKUP(A359,variant_counts!A:B, 2, FALSE)</f>
        <v>2</v>
      </c>
      <c r="E359" t="str">
        <f t="shared" si="109"/>
        <v>zard-exhaust-high-mounted-full-kit-triumph-street-twin-201619-21-version-ztph075ska</v>
      </c>
      <c r="F359" t="str">
        <f t="shared" si="97"/>
        <v>ZARD EXHAUST HIGH MOUNTED FULL KIT TRIUMPH STREET TWIN 2016/19 2&gt;1 VERSION ZTPH075SKA</v>
      </c>
      <c r="G359" t="str">
        <f t="shared" si="98"/>
        <v/>
      </c>
      <c r="H359" t="str">
        <f t="shared" si="110"/>
        <v/>
      </c>
      <c r="I359" t="str">
        <f t="shared" si="111"/>
        <v/>
      </c>
      <c r="J359" t="str">
        <f t="shared" si="112"/>
        <v/>
      </c>
      <c r="K359" t="str">
        <f t="shared" si="113"/>
        <v/>
      </c>
      <c r="L359" t="str">
        <f t="shared" si="99"/>
        <v/>
      </c>
      <c r="M359" t="str">
        <f t="shared" si="100"/>
        <v/>
      </c>
      <c r="R359" t="str">
        <f t="shared" si="101"/>
        <v/>
      </c>
      <c r="S359" t="str">
        <f t="shared" si="102"/>
        <v/>
      </c>
      <c r="U359" t="str">
        <f t="shared" si="103"/>
        <v/>
      </c>
      <c r="V359" t="str">
        <f t="shared" si="104"/>
        <v/>
      </c>
      <c r="W359" s="5" t="str">
        <f t="shared" si="105"/>
        <v/>
      </c>
      <c r="Y359" t="str">
        <f t="shared" si="106"/>
        <v/>
      </c>
      <c r="Z359" t="str">
        <f t="shared" si="107"/>
        <v/>
      </c>
      <c r="AB359" t="str">
        <f t="shared" si="108"/>
        <v>https://shop.officineitalianezard.it/contents/imgs/products/1_1930-4.jpg</v>
      </c>
      <c r="AE359" t="b">
        <v>0</v>
      </c>
    </row>
    <row r="360" spans="1:31" x14ac:dyDescent="0.2">
      <c r="A360" t="str">
        <f t="shared" si="95"/>
        <v>https://shop.officineitalianezard.it/en/triumph-street-twin-exhaust-zard-2/</v>
      </c>
      <c r="B360" t="b">
        <f>COUNTIF($A$2:$A360, A360)&gt;1</f>
        <v>1</v>
      </c>
      <c r="C360" t="b">
        <f t="shared" si="96"/>
        <v>1</v>
      </c>
      <c r="D360">
        <f>VLOOKUP(A360,variant_counts!A:B, 2, FALSE)</f>
        <v>2</v>
      </c>
      <c r="E360" t="str">
        <f t="shared" si="109"/>
        <v>zard-exhaust-high-mounted-full-kit-triumph-street-twin-201619-21-version-ztph075ska</v>
      </c>
      <c r="F360" t="str">
        <f t="shared" si="97"/>
        <v>ZARD EXHAUST HIGH MOUNTED FULL KIT TRIUMPH STREET TWIN 2016/19 2&gt;1 VERSION ZTPH075SKA</v>
      </c>
      <c r="G360" t="str">
        <f t="shared" si="98"/>
        <v/>
      </c>
      <c r="H360" t="str">
        <f t="shared" si="110"/>
        <v/>
      </c>
      <c r="I360" t="str">
        <f t="shared" si="111"/>
        <v/>
      </c>
      <c r="J360" t="str">
        <f t="shared" si="112"/>
        <v/>
      </c>
      <c r="K360" t="str">
        <f t="shared" si="113"/>
        <v/>
      </c>
      <c r="L360" t="str">
        <f t="shared" si="99"/>
        <v>Option</v>
      </c>
      <c r="M360" t="str">
        <f t="shared" si="100"/>
        <v>BLACK COATING</v>
      </c>
      <c r="R360" t="str">
        <f t="shared" si="101"/>
        <v>ZTPH075SKA</v>
      </c>
      <c r="S360">
        <f t="shared" si="102"/>
        <v>0</v>
      </c>
      <c r="U360" t="str">
        <f t="shared" si="103"/>
        <v>continue</v>
      </c>
      <c r="V360" t="str">
        <f t="shared" si="104"/>
        <v>manual</v>
      </c>
      <c r="W360" s="5">
        <f t="shared" si="105"/>
        <v>1365.3000000000002</v>
      </c>
      <c r="Y360" t="b">
        <f t="shared" si="106"/>
        <v>1</v>
      </c>
      <c r="Z360" t="b">
        <f t="shared" si="107"/>
        <v>0</v>
      </c>
      <c r="AB360" t="str">
        <f t="shared" si="108"/>
        <v/>
      </c>
      <c r="AE360" t="b">
        <v>0</v>
      </c>
    </row>
    <row r="361" spans="1:31" x14ac:dyDescent="0.2">
      <c r="A361" t="str">
        <f t="shared" si="95"/>
        <v>https://shop.officineitalianezard.it/en/triumph-street-twin-exhaust-zard-2/</v>
      </c>
      <c r="B361" t="b">
        <f>COUNTIF($A$2:$A361, A361)&gt;1</f>
        <v>1</v>
      </c>
      <c r="C361" t="b">
        <f t="shared" si="96"/>
        <v>1</v>
      </c>
      <c r="D361">
        <f>VLOOKUP(A361,variant_counts!A:B, 2, FALSE)</f>
        <v>2</v>
      </c>
      <c r="E361" t="str">
        <f t="shared" si="109"/>
        <v>zard-exhaust-high-mounted-full-kit-triumph-street-twin-201619-21-version-ztph075ska</v>
      </c>
      <c r="F361" t="str">
        <f t="shared" si="97"/>
        <v>ZARD EXHAUST HIGH MOUNTED FULL KIT TRIUMPH STREET TWIN 2016/19 2&gt;1 VERSION ZTPH075SKA</v>
      </c>
      <c r="G361" t="str">
        <f t="shared" si="98"/>
        <v/>
      </c>
      <c r="H361" t="str">
        <f t="shared" si="110"/>
        <v/>
      </c>
      <c r="I361" t="str">
        <f t="shared" si="111"/>
        <v/>
      </c>
      <c r="J361" t="str">
        <f t="shared" si="112"/>
        <v/>
      </c>
      <c r="K361" t="str">
        <f t="shared" si="113"/>
        <v/>
      </c>
      <c r="L361" t="str">
        <f t="shared" si="99"/>
        <v>Option</v>
      </c>
      <c r="M361" t="str">
        <f t="shared" si="100"/>
        <v>GOLD VERSION END CAP</v>
      </c>
      <c r="R361" t="str">
        <f t="shared" si="101"/>
        <v>ZTPH075SKA</v>
      </c>
      <c r="S361">
        <f t="shared" si="102"/>
        <v>0</v>
      </c>
      <c r="U361" t="str">
        <f t="shared" si="103"/>
        <v>continue</v>
      </c>
      <c r="V361" t="str">
        <f t="shared" si="104"/>
        <v>manual</v>
      </c>
      <c r="W361" s="5">
        <f t="shared" si="105"/>
        <v>1176.1449</v>
      </c>
      <c r="Y361" t="b">
        <f t="shared" si="106"/>
        <v>1</v>
      </c>
      <c r="Z361" t="b">
        <f t="shared" si="107"/>
        <v>0</v>
      </c>
      <c r="AB361" t="str">
        <f t="shared" si="108"/>
        <v/>
      </c>
      <c r="AE361" t="b">
        <v>0</v>
      </c>
    </row>
    <row r="362" spans="1:31" x14ac:dyDescent="0.2">
      <c r="A362" t="str">
        <f t="shared" si="95"/>
        <v>https://shop.officineitalianezard.it/en/triumph-street-twin-exhaust-zard/</v>
      </c>
      <c r="B362" t="b">
        <f>COUNTIF($A$2:$A362, A362)&gt;1</f>
        <v>0</v>
      </c>
      <c r="C362" t="b">
        <f t="shared" si="96"/>
        <v>0</v>
      </c>
      <c r="D362">
        <f>VLOOKUP(A362,variant_counts!A:B, 2, FALSE)</f>
        <v>2</v>
      </c>
      <c r="E362" t="str">
        <f t="shared" si="109"/>
        <v>zard-exhaust-21-full-kit-triumph-street-twin-201619-crossversion-ztph087skr</v>
      </c>
      <c r="F362" t="str">
        <f t="shared" si="97"/>
        <v>ZARD EXHAUST 2&gt;1 FULL KIT TRIUMPH STREET TWIN 2016/19 CROSS VERSION ZTPH087SKR</v>
      </c>
      <c r="G362" t="str">
        <f t="shared" si="98"/>
        <v>&lt;p&gt;2&amp;gt;1 STEEL RACING FULL KIT CROSS VERSION WITH REMOVABLE DB KILLER&lt;/p&gt;
&lt;p&gt;&lt;span&gt;THE EXHAUST REMOVES OEM CATALYZER&lt;/span&gt;&lt;/p&gt;
&lt;p&gt;ORIGINAL FULL KIT&amp;nbsp;WEIGHT:&amp;nbsp;&lt;span&gt;14,3&lt;/span&gt;&lt;span&gt;&amp;nbsp;KG&lt;br&gt;&lt;/span&gt;&lt;span&gt;ZARD&amp;nbsp;&lt;/span&gt;&lt;span&gt;FULL KIT&lt;/span&gt;&lt;span&gt;&amp;nbsp;WEIGHT: 3,1&amp;nbsp;&lt;/span&gt;&lt;span&gt;KG&lt;/span&gt;&lt;/p&gt;
&lt;p&gt;THE INSTALLATION OF ZARD EXHAUST DOES NOT IMPLY ANY MODIFICATION TO ECU.&lt;br&gt;THE BOX INCLUDES ALL PARTS FOR THE FITMENT OF ZARD EXHAUST.&lt;/p&gt;
&lt;p&gt;&lt;span&gt;HARD INCREASE, COMPARED TO THE ORIGINAL EXHAUST SYSTEM.&lt;/span&gt;&lt;/p&gt;
&lt;p&gt;&lt;span&gt;ASTONISHING SOUND.&lt;/span&gt;&lt;/p&gt;</v>
      </c>
      <c r="H362" t="str">
        <f t="shared" si="110"/>
        <v>ZARD</v>
      </c>
      <c r="I362" t="str">
        <f t="shared" si="111"/>
        <v>Exhaust Pipe</v>
      </c>
      <c r="J362" t="str">
        <f t="shared" si="112"/>
        <v>Test</v>
      </c>
      <c r="K362" t="b">
        <f t="shared" si="113"/>
        <v>0</v>
      </c>
      <c r="L362" t="str">
        <f t="shared" si="99"/>
        <v/>
      </c>
      <c r="M362" t="str">
        <f t="shared" si="100"/>
        <v/>
      </c>
      <c r="R362" t="str">
        <f t="shared" si="101"/>
        <v/>
      </c>
      <c r="S362" t="str">
        <f t="shared" si="102"/>
        <v/>
      </c>
      <c r="U362" t="str">
        <f t="shared" si="103"/>
        <v/>
      </c>
      <c r="V362" t="str">
        <f t="shared" si="104"/>
        <v/>
      </c>
      <c r="W362" s="5" t="str">
        <f t="shared" si="105"/>
        <v/>
      </c>
      <c r="Y362" t="str">
        <f t="shared" si="106"/>
        <v/>
      </c>
      <c r="Z362" t="str">
        <f t="shared" si="107"/>
        <v/>
      </c>
      <c r="AB362" t="str">
        <f t="shared" si="108"/>
        <v>https://shop.officineitalianezard.it/contents/imgs/products/1_2340-scarico%20triumph%20street%20twin%20-%20zard%20cross.jpg</v>
      </c>
      <c r="AE362" t="b">
        <v>0</v>
      </c>
    </row>
    <row r="363" spans="1:31" x14ac:dyDescent="0.2">
      <c r="A363" t="str">
        <f t="shared" si="95"/>
        <v>https://shop.officineitalianezard.it/en/triumph-street-twin-exhaust-zard/</v>
      </c>
      <c r="B363" t="b">
        <f>COUNTIF($A$2:$A363, A363)&gt;1</f>
        <v>1</v>
      </c>
      <c r="C363" t="b">
        <f t="shared" si="96"/>
        <v>0</v>
      </c>
      <c r="D363">
        <f>VLOOKUP(A363,variant_counts!A:B, 2, FALSE)</f>
        <v>2</v>
      </c>
      <c r="E363" t="str">
        <f t="shared" si="109"/>
        <v>zard-exhaust-21-full-kit-triumph-street-twin-201619-crossversion-ztph087skr</v>
      </c>
      <c r="F363" t="str">
        <f t="shared" si="97"/>
        <v>ZARD EXHAUST 2&gt;1 FULL KIT TRIUMPH STREET TWIN 2016/19 CROSS VERSION ZTPH087SKR</v>
      </c>
      <c r="G363" t="str">
        <f t="shared" si="98"/>
        <v/>
      </c>
      <c r="H363" t="str">
        <f t="shared" si="110"/>
        <v/>
      </c>
      <c r="I363" t="str">
        <f t="shared" si="111"/>
        <v/>
      </c>
      <c r="J363" t="str">
        <f t="shared" si="112"/>
        <v/>
      </c>
      <c r="K363" t="str">
        <f t="shared" si="113"/>
        <v/>
      </c>
      <c r="L363" t="str">
        <f t="shared" si="99"/>
        <v/>
      </c>
      <c r="M363" t="str">
        <f t="shared" si="100"/>
        <v/>
      </c>
      <c r="R363" t="str">
        <f t="shared" si="101"/>
        <v/>
      </c>
      <c r="S363" t="str">
        <f t="shared" si="102"/>
        <v/>
      </c>
      <c r="U363" t="str">
        <f t="shared" si="103"/>
        <v/>
      </c>
      <c r="V363" t="str">
        <f t="shared" si="104"/>
        <v/>
      </c>
      <c r="W363" s="5" t="str">
        <f t="shared" si="105"/>
        <v/>
      </c>
      <c r="Y363" t="str">
        <f t="shared" si="106"/>
        <v/>
      </c>
      <c r="Z363" t="str">
        <f t="shared" si="107"/>
        <v/>
      </c>
      <c r="AB363" t="str">
        <f t="shared" si="108"/>
        <v>https://shop.officineitalianezard.it/contents/imgs/products/1_2338-scarico%20completo%20street%20twin%20-%20zard.jpg</v>
      </c>
      <c r="AE363" t="b">
        <v>0</v>
      </c>
    </row>
    <row r="364" spans="1:31" x14ac:dyDescent="0.2">
      <c r="A364" t="str">
        <f t="shared" si="95"/>
        <v>https://shop.officineitalianezard.it/en/triumph-street-twin-exhaust-zard/</v>
      </c>
      <c r="B364" t="b">
        <f>COUNTIF($A$2:$A364, A364)&gt;1</f>
        <v>1</v>
      </c>
      <c r="C364" t="b">
        <f t="shared" si="96"/>
        <v>0</v>
      </c>
      <c r="D364">
        <f>VLOOKUP(A364,variant_counts!A:B, 2, FALSE)</f>
        <v>2</v>
      </c>
      <c r="E364" t="str">
        <f t="shared" si="109"/>
        <v>zard-exhaust-21-full-kit-triumph-street-twin-201619-crossversion-ztph087skr</v>
      </c>
      <c r="F364" t="str">
        <f t="shared" si="97"/>
        <v>ZARD EXHAUST 2&gt;1 FULL KIT TRIUMPH STREET TWIN 2016/19 CROSS VERSION ZTPH087SKR</v>
      </c>
      <c r="G364" t="str">
        <f t="shared" si="98"/>
        <v/>
      </c>
      <c r="H364" t="str">
        <f t="shared" si="110"/>
        <v/>
      </c>
      <c r="I364" t="str">
        <f t="shared" si="111"/>
        <v/>
      </c>
      <c r="J364" t="str">
        <f t="shared" si="112"/>
        <v/>
      </c>
      <c r="K364" t="str">
        <f t="shared" si="113"/>
        <v/>
      </c>
      <c r="L364" t="str">
        <f t="shared" si="99"/>
        <v/>
      </c>
      <c r="M364" t="str">
        <f t="shared" si="100"/>
        <v/>
      </c>
      <c r="R364" t="str">
        <f t="shared" si="101"/>
        <v/>
      </c>
      <c r="S364" t="str">
        <f t="shared" si="102"/>
        <v/>
      </c>
      <c r="U364" t="str">
        <f t="shared" si="103"/>
        <v/>
      </c>
      <c r="V364" t="str">
        <f t="shared" si="104"/>
        <v/>
      </c>
      <c r="W364" s="5" t="str">
        <f t="shared" si="105"/>
        <v/>
      </c>
      <c r="Y364" t="str">
        <f t="shared" si="106"/>
        <v/>
      </c>
      <c r="Z364" t="str">
        <f t="shared" si="107"/>
        <v/>
      </c>
      <c r="AB364" t="str">
        <f t="shared" si="108"/>
        <v>https://shop.officineitalianezard.it/contents/imgs/products/1_2339-street%20twin%20exhaust%20-%20zard.jpg</v>
      </c>
      <c r="AE364" t="b">
        <v>0</v>
      </c>
    </row>
    <row r="365" spans="1:31" x14ac:dyDescent="0.2">
      <c r="A365" t="str">
        <f t="shared" si="95"/>
        <v>https://shop.officineitalianezard.it/en/triumph-street-twin-exhaust-zard/</v>
      </c>
      <c r="B365" t="b">
        <f>COUNTIF($A$2:$A365, A365)&gt;1</f>
        <v>1</v>
      </c>
      <c r="C365" t="b">
        <f t="shared" si="96"/>
        <v>0</v>
      </c>
      <c r="D365">
        <f>VLOOKUP(A365,variant_counts!A:B, 2, FALSE)</f>
        <v>2</v>
      </c>
      <c r="E365" t="str">
        <f t="shared" si="109"/>
        <v>zard-exhaust-21-full-kit-triumph-street-twin-201619-crossversion-ztph087skr</v>
      </c>
      <c r="F365" t="str">
        <f t="shared" si="97"/>
        <v>ZARD EXHAUST 2&gt;1 FULL KIT TRIUMPH STREET TWIN 2016/19 CROSS VERSION ZTPH087SKR</v>
      </c>
      <c r="G365" t="str">
        <f t="shared" si="98"/>
        <v/>
      </c>
      <c r="H365" t="str">
        <f t="shared" si="110"/>
        <v/>
      </c>
      <c r="I365" t="str">
        <f t="shared" si="111"/>
        <v/>
      </c>
      <c r="J365" t="str">
        <f t="shared" si="112"/>
        <v/>
      </c>
      <c r="K365" t="str">
        <f t="shared" si="113"/>
        <v/>
      </c>
      <c r="L365" t="str">
        <f t="shared" si="99"/>
        <v/>
      </c>
      <c r="M365" t="str">
        <f t="shared" si="100"/>
        <v/>
      </c>
      <c r="R365" t="str">
        <f t="shared" si="101"/>
        <v/>
      </c>
      <c r="S365" t="str">
        <f t="shared" si="102"/>
        <v/>
      </c>
      <c r="U365" t="str">
        <f t="shared" si="103"/>
        <v/>
      </c>
      <c r="V365" t="str">
        <f t="shared" si="104"/>
        <v/>
      </c>
      <c r="W365" s="5" t="str">
        <f t="shared" si="105"/>
        <v/>
      </c>
      <c r="Y365" t="str">
        <f t="shared" si="106"/>
        <v/>
      </c>
      <c r="Z365" t="str">
        <f t="shared" si="107"/>
        <v/>
      </c>
      <c r="AB365" t="str">
        <f t="shared" si="108"/>
        <v>https://shop.officineitalianezard.it/contents/imgs/products/1_2385-scarico%20street%20twin%20nero%20zard.jpg</v>
      </c>
      <c r="AE365" t="b">
        <v>0</v>
      </c>
    </row>
    <row r="366" spans="1:31" x14ac:dyDescent="0.2">
      <c r="A366" t="str">
        <f t="shared" si="95"/>
        <v>https://shop.officineitalianezard.it/en/triumph-street-twin-exhaust-zard/</v>
      </c>
      <c r="B366" t="b">
        <f>COUNTIF($A$2:$A366, A366)&gt;1</f>
        <v>1</v>
      </c>
      <c r="C366" t="b">
        <f t="shared" si="96"/>
        <v>0</v>
      </c>
      <c r="D366">
        <f>VLOOKUP(A366,variant_counts!A:B, 2, FALSE)</f>
        <v>2</v>
      </c>
      <c r="E366" t="str">
        <f t="shared" si="109"/>
        <v>zard-exhaust-21-full-kit-triumph-street-twin-201619-crossversion-ztph087skr</v>
      </c>
      <c r="F366" t="str">
        <f t="shared" si="97"/>
        <v>ZARD EXHAUST 2&gt;1 FULL KIT TRIUMPH STREET TWIN 2016/19 CROSS VERSION ZTPH087SKR</v>
      </c>
      <c r="G366" t="str">
        <f t="shared" si="98"/>
        <v/>
      </c>
      <c r="H366" t="str">
        <f t="shared" si="110"/>
        <v/>
      </c>
      <c r="I366" t="str">
        <f t="shared" si="111"/>
        <v/>
      </c>
      <c r="J366" t="str">
        <f t="shared" si="112"/>
        <v/>
      </c>
      <c r="K366" t="str">
        <f t="shared" si="113"/>
        <v/>
      </c>
      <c r="L366" t="str">
        <f t="shared" si="99"/>
        <v/>
      </c>
      <c r="M366" t="str">
        <f t="shared" si="100"/>
        <v/>
      </c>
      <c r="R366" t="str">
        <f t="shared" si="101"/>
        <v/>
      </c>
      <c r="S366" t="str">
        <f t="shared" si="102"/>
        <v/>
      </c>
      <c r="U366" t="str">
        <f t="shared" si="103"/>
        <v/>
      </c>
      <c r="V366" t="str">
        <f t="shared" si="104"/>
        <v/>
      </c>
      <c r="W366" s="5" t="str">
        <f t="shared" si="105"/>
        <v/>
      </c>
      <c r="Y366" t="str">
        <f t="shared" si="106"/>
        <v/>
      </c>
      <c r="Z366" t="str">
        <f t="shared" si="107"/>
        <v/>
      </c>
      <c r="AB366" t="str">
        <f t="shared" si="108"/>
        <v>https://shop.officineitalianezard.it/contents/imgs/products/1_2376-945-scarichi%20moto%20zard%20cross.jpg</v>
      </c>
      <c r="AE366" t="b">
        <v>0</v>
      </c>
    </row>
    <row r="367" spans="1:31" x14ac:dyDescent="0.2">
      <c r="A367" t="str">
        <f t="shared" si="95"/>
        <v>https://shop.officineitalianezard.it/en/triumph-street-twin-exhaust-zard/</v>
      </c>
      <c r="B367" t="b">
        <f>COUNTIF($A$2:$A367, A367)&gt;1</f>
        <v>1</v>
      </c>
      <c r="C367" t="b">
        <f t="shared" si="96"/>
        <v>1</v>
      </c>
      <c r="D367">
        <f>VLOOKUP(A367,variant_counts!A:B, 2, FALSE)</f>
        <v>2</v>
      </c>
      <c r="E367" t="str">
        <f t="shared" si="109"/>
        <v>zard-exhaust-21-full-kit-triumph-street-twin-201619-crossversion-ztph087skr</v>
      </c>
      <c r="F367" t="str">
        <f t="shared" si="97"/>
        <v>ZARD EXHAUST 2&gt;1 FULL KIT TRIUMPH STREET TWIN 2016/19 CROSS VERSION ZTPH087SKR</v>
      </c>
      <c r="G367" t="str">
        <f t="shared" si="98"/>
        <v/>
      </c>
      <c r="H367" t="str">
        <f t="shared" si="110"/>
        <v/>
      </c>
      <c r="I367" t="str">
        <f t="shared" si="111"/>
        <v/>
      </c>
      <c r="J367" t="str">
        <f t="shared" si="112"/>
        <v/>
      </c>
      <c r="K367" t="str">
        <f t="shared" si="113"/>
        <v/>
      </c>
      <c r="L367" t="str">
        <f t="shared" si="99"/>
        <v>Option</v>
      </c>
      <c r="M367" t="str">
        <f t="shared" si="100"/>
        <v>BLACK COATING</v>
      </c>
      <c r="R367" t="str">
        <f t="shared" si="101"/>
        <v>ZTPH087SKR</v>
      </c>
      <c r="S367">
        <f t="shared" si="102"/>
        <v>0</v>
      </c>
      <c r="U367" t="str">
        <f t="shared" si="103"/>
        <v>continue</v>
      </c>
      <c r="V367" t="str">
        <f t="shared" si="104"/>
        <v>manual</v>
      </c>
      <c r="W367" s="5">
        <f t="shared" si="105"/>
        <v>1040.847</v>
      </c>
      <c r="Y367" t="b">
        <f t="shared" si="106"/>
        <v>1</v>
      </c>
      <c r="Z367" t="b">
        <f t="shared" si="107"/>
        <v>0</v>
      </c>
      <c r="AB367" t="str">
        <f t="shared" si="108"/>
        <v/>
      </c>
      <c r="AE367" t="b">
        <v>0</v>
      </c>
    </row>
    <row r="368" spans="1:31" x14ac:dyDescent="0.2">
      <c r="A368" t="str">
        <f t="shared" si="95"/>
        <v>https://shop.officineitalianezard.it/en/triumph-street-twin-exhaust-zard/</v>
      </c>
      <c r="B368" t="b">
        <f>COUNTIF($A$2:$A368, A368)&gt;1</f>
        <v>1</v>
      </c>
      <c r="C368" t="b">
        <f t="shared" si="96"/>
        <v>1</v>
      </c>
      <c r="D368">
        <f>VLOOKUP(A368,variant_counts!A:B, 2, FALSE)</f>
        <v>2</v>
      </c>
      <c r="E368" t="str">
        <f t="shared" si="109"/>
        <v>zard-exhaust-21-full-kit-triumph-street-twin-201619-crossversion-ztph087skr</v>
      </c>
      <c r="F368" t="str">
        <f t="shared" si="97"/>
        <v>ZARD EXHAUST 2&gt;1 FULL KIT TRIUMPH STREET TWIN 2016/19 CROSS VERSION ZTPH087SKR</v>
      </c>
      <c r="G368" t="str">
        <f t="shared" si="98"/>
        <v/>
      </c>
      <c r="H368" t="str">
        <f t="shared" si="110"/>
        <v/>
      </c>
      <c r="I368" t="str">
        <f t="shared" si="111"/>
        <v/>
      </c>
      <c r="J368" t="str">
        <f t="shared" si="112"/>
        <v/>
      </c>
      <c r="K368" t="str">
        <f t="shared" si="113"/>
        <v/>
      </c>
      <c r="L368" t="str">
        <f t="shared" si="99"/>
        <v>Option</v>
      </c>
      <c r="M368" t="str">
        <f t="shared" si="100"/>
        <v>MIRROR POLISHING</v>
      </c>
      <c r="R368" t="str">
        <f t="shared" si="101"/>
        <v>ZTPH087SKR</v>
      </c>
      <c r="S368">
        <f t="shared" si="102"/>
        <v>0</v>
      </c>
      <c r="U368" t="str">
        <f t="shared" si="103"/>
        <v>continue</v>
      </c>
      <c r="V368" t="str">
        <f t="shared" si="104"/>
        <v>manual</v>
      </c>
      <c r="W368" s="5">
        <f t="shared" si="105"/>
        <v>959.78370000000007</v>
      </c>
      <c r="Y368" t="b">
        <f t="shared" si="106"/>
        <v>1</v>
      </c>
      <c r="Z368" t="b">
        <f t="shared" si="107"/>
        <v>0</v>
      </c>
      <c r="AB368" t="str">
        <f t="shared" si="108"/>
        <v/>
      </c>
      <c r="AE368" t="b">
        <v>0</v>
      </c>
    </row>
    <row r="369" spans="1:31" x14ac:dyDescent="0.2">
      <c r="A369" t="str">
        <f t="shared" si="95"/>
        <v>https://shop.officineitalianezard.it/en/triumph-street-triple-765-exhaust/</v>
      </c>
      <c r="B369" t="b">
        <f>COUNTIF($A$2:$A369, A369)&gt;1</f>
        <v>0</v>
      </c>
      <c r="C369" t="b">
        <f t="shared" si="96"/>
        <v>0</v>
      </c>
      <c r="D369">
        <f>VLOOKUP(A369,variant_counts!A:B, 2, FALSE)</f>
        <v>1</v>
      </c>
      <c r="E369" t="str">
        <f t="shared" si="109"/>
        <v>zard-exhaust-slip-on-silencer-triumph-street-triple-765-2017-19-short-version-ztph089str-fc</v>
      </c>
      <c r="F369" t="str">
        <f t="shared" si="97"/>
        <v>ZARD EXHAUST SLIP-ON SILENCER TRIUMPH STREET TRIPLE 765 2017-19 SHORT VERSION ZTPH089STR-FC</v>
      </c>
      <c r="G369" t="str">
        <f t="shared" si="98"/>
        <v>&lt;p&gt;STAINLESS STEEL RACING SLIP-ON WITH TITANIUM&lt;br&gt;SLEEVE SILENCER AND REMOVABLE DB KILLER&lt;/p&gt;
&lt;p&gt;EURO 4 HOMOLOGATED VERSION AVAILABLE AS OPTIONAL&lt;/p&gt;
&lt;p&gt;CARBON ENDCAP AND CARBON HEAT SHIELD INCLUDED&lt;/p&gt;
&lt;p&gt;ORIGINAL EXHAUST WEIGHT: 6.5 KG&lt;br&gt;ZARD EXHAUST WEIGHT: 3.4 KG&lt;/p&gt;
&lt;p&gt;THE INSTALLATION OF ZARD EXHAUST DOES NOT&lt;br&gt;IMPLY ANY MODIFICATION TO ECU.&lt;/p&gt;
&lt;p&gt;EXCLUSIVE DESIGN, ASTONISHING SOUND.&lt;/p&gt;</v>
      </c>
      <c r="H369" t="str">
        <f t="shared" si="110"/>
        <v>ZARD</v>
      </c>
      <c r="I369" t="str">
        <f t="shared" si="111"/>
        <v>Exhaust Pipe</v>
      </c>
      <c r="J369" t="str">
        <f t="shared" si="112"/>
        <v>Test</v>
      </c>
      <c r="K369" t="b">
        <f t="shared" si="113"/>
        <v>0</v>
      </c>
      <c r="L369" t="str">
        <f t="shared" si="99"/>
        <v>Option</v>
      </c>
      <c r="M369" t="str">
        <f t="shared" si="100"/>
        <v>DEFAULT</v>
      </c>
      <c r="R369" t="str">
        <f t="shared" si="101"/>
        <v>ZTPH089STR-FC</v>
      </c>
      <c r="S369">
        <f t="shared" si="102"/>
        <v>0</v>
      </c>
      <c r="U369" t="str">
        <f t="shared" si="103"/>
        <v>continue</v>
      </c>
      <c r="V369" t="str">
        <f t="shared" si="104"/>
        <v>manual</v>
      </c>
      <c r="W369" s="5">
        <f t="shared" si="105"/>
        <v>790.65300000000002</v>
      </c>
      <c r="Y369" t="b">
        <f t="shared" si="106"/>
        <v>1</v>
      </c>
      <c r="Z369" t="b">
        <f t="shared" si="107"/>
        <v>0</v>
      </c>
      <c r="AB369" t="str">
        <f t="shared" si="108"/>
        <v>https://shop.officineitalianezard.it/contents/imgs/products/1_2542-scarico%20triumph%20street%20triple%20765%20zard%20exhaust%201%20.jpg</v>
      </c>
      <c r="AE369" t="b">
        <v>0</v>
      </c>
    </row>
    <row r="370" spans="1:31" x14ac:dyDescent="0.2">
      <c r="A370" t="str">
        <f t="shared" si="95"/>
        <v>https://shop.officineitalianezard.it/en/triumph-street-triple-765-exhaust/</v>
      </c>
      <c r="B370" t="b">
        <f>COUNTIF($A$2:$A370, A370)&gt;1</f>
        <v>1</v>
      </c>
      <c r="C370" t="b">
        <f t="shared" si="96"/>
        <v>0</v>
      </c>
      <c r="D370">
        <f>VLOOKUP(A370,variant_counts!A:B, 2, FALSE)</f>
        <v>1</v>
      </c>
      <c r="E370" t="str">
        <f t="shared" si="109"/>
        <v>zard-exhaust-slip-on-silencer-triumph-street-triple-765-2017-19-short-version-ztph089str-fc</v>
      </c>
      <c r="F370" t="str">
        <f t="shared" si="97"/>
        <v>ZARD EXHAUST SLIP-ON SILENCER TRIUMPH STREET TRIPLE 765 2017-19 SHORT VERSION ZTPH089STR-FC</v>
      </c>
      <c r="G370" t="str">
        <f t="shared" si="98"/>
        <v/>
      </c>
      <c r="H370" t="str">
        <f t="shared" si="110"/>
        <v/>
      </c>
      <c r="I370" t="str">
        <f t="shared" si="111"/>
        <v/>
      </c>
      <c r="J370" t="str">
        <f t="shared" si="112"/>
        <v/>
      </c>
      <c r="K370" t="str">
        <f t="shared" si="113"/>
        <v/>
      </c>
      <c r="L370" t="str">
        <f t="shared" si="99"/>
        <v/>
      </c>
      <c r="M370" t="str">
        <f t="shared" si="100"/>
        <v/>
      </c>
      <c r="R370" t="str">
        <f t="shared" si="101"/>
        <v/>
      </c>
      <c r="S370" t="str">
        <f t="shared" si="102"/>
        <v/>
      </c>
      <c r="U370" t="str">
        <f t="shared" si="103"/>
        <v/>
      </c>
      <c r="V370" t="str">
        <f t="shared" si="104"/>
        <v/>
      </c>
      <c r="W370" s="5" t="str">
        <f t="shared" si="105"/>
        <v/>
      </c>
      <c r="Y370" t="str">
        <f t="shared" si="106"/>
        <v/>
      </c>
      <c r="Z370" t="str">
        <f t="shared" si="107"/>
        <v/>
      </c>
      <c r="AB370" t="str">
        <f t="shared" si="108"/>
        <v>https://shop.officineitalianezard.it/contents/imgs/products/1_2539-scarico%20triumph%20street%20triple%20765%20zard%20exhaust%202.jpg</v>
      </c>
      <c r="AE370" t="b">
        <v>0</v>
      </c>
    </row>
    <row r="371" spans="1:31" x14ac:dyDescent="0.2">
      <c r="A371" t="str">
        <f t="shared" si="95"/>
        <v>https://shop.officineitalianezard.it/en/triumph-street-triple-765-exhaust/</v>
      </c>
      <c r="B371" t="b">
        <f>COUNTIF($A$2:$A371, A371)&gt;1</f>
        <v>1</v>
      </c>
      <c r="C371" t="b">
        <f t="shared" si="96"/>
        <v>0</v>
      </c>
      <c r="D371">
        <f>VLOOKUP(A371,variant_counts!A:B, 2, FALSE)</f>
        <v>1</v>
      </c>
      <c r="E371" t="str">
        <f t="shared" si="109"/>
        <v>zard-exhaust-slip-on-silencer-triumph-street-triple-765-2017-19-short-version-ztph089str-fc</v>
      </c>
      <c r="F371" t="str">
        <f t="shared" si="97"/>
        <v>ZARD EXHAUST SLIP-ON SILENCER TRIUMPH STREET TRIPLE 765 2017-19 SHORT VERSION ZTPH089STR-FC</v>
      </c>
      <c r="G371" t="str">
        <f t="shared" si="98"/>
        <v/>
      </c>
      <c r="H371" t="str">
        <f t="shared" si="110"/>
        <v/>
      </c>
      <c r="I371" t="str">
        <f t="shared" si="111"/>
        <v/>
      </c>
      <c r="J371" t="str">
        <f t="shared" si="112"/>
        <v/>
      </c>
      <c r="K371" t="str">
        <f t="shared" si="113"/>
        <v/>
      </c>
      <c r="L371" t="str">
        <f t="shared" si="99"/>
        <v/>
      </c>
      <c r="M371" t="str">
        <f t="shared" si="100"/>
        <v/>
      </c>
      <c r="R371" t="str">
        <f t="shared" si="101"/>
        <v/>
      </c>
      <c r="S371" t="str">
        <f t="shared" si="102"/>
        <v/>
      </c>
      <c r="U371" t="str">
        <f t="shared" si="103"/>
        <v/>
      </c>
      <c r="V371" t="str">
        <f t="shared" si="104"/>
        <v/>
      </c>
      <c r="W371" s="5" t="str">
        <f t="shared" si="105"/>
        <v/>
      </c>
      <c r="Y371" t="str">
        <f t="shared" si="106"/>
        <v/>
      </c>
      <c r="Z371" t="str">
        <f t="shared" si="107"/>
        <v/>
      </c>
      <c r="AB371" t="str">
        <f t="shared" si="108"/>
        <v>https://shop.officineitalianezard.it/contents/imgs/products/1_2541-scarico%20triumph%20street%20triple%20765%20zard%20exhaust%204.jpg</v>
      </c>
      <c r="AE371" t="b">
        <v>0</v>
      </c>
    </row>
    <row r="372" spans="1:31" x14ac:dyDescent="0.2">
      <c r="A372" t="str">
        <f t="shared" si="95"/>
        <v>https://shop.officineitalianezard.it/en/triumph-street-triple-765-exhaust/</v>
      </c>
      <c r="B372" t="b">
        <f>COUNTIF($A$2:$A372, A372)&gt;1</f>
        <v>1</v>
      </c>
      <c r="C372" t="b">
        <f t="shared" si="96"/>
        <v>0</v>
      </c>
      <c r="D372">
        <f>VLOOKUP(A372,variant_counts!A:B, 2, FALSE)</f>
        <v>1</v>
      </c>
      <c r="E372" t="str">
        <f t="shared" si="109"/>
        <v>zard-exhaust-slip-on-silencer-triumph-street-triple-765-2017-19-short-version-ztph089str-fc</v>
      </c>
      <c r="F372" t="str">
        <f t="shared" si="97"/>
        <v>ZARD EXHAUST SLIP-ON SILENCER TRIUMPH STREET TRIPLE 765 2017-19 SHORT VERSION ZTPH089STR-FC</v>
      </c>
      <c r="G372" t="str">
        <f t="shared" si="98"/>
        <v/>
      </c>
      <c r="H372" t="str">
        <f t="shared" si="110"/>
        <v/>
      </c>
      <c r="I372" t="str">
        <f t="shared" si="111"/>
        <v/>
      </c>
      <c r="J372" t="str">
        <f t="shared" si="112"/>
        <v/>
      </c>
      <c r="K372" t="str">
        <f t="shared" si="113"/>
        <v/>
      </c>
      <c r="L372" t="str">
        <f t="shared" si="99"/>
        <v/>
      </c>
      <c r="M372" t="str">
        <f t="shared" si="100"/>
        <v/>
      </c>
      <c r="R372" t="str">
        <f t="shared" si="101"/>
        <v/>
      </c>
      <c r="S372" t="str">
        <f t="shared" si="102"/>
        <v/>
      </c>
      <c r="U372" t="str">
        <f t="shared" si="103"/>
        <v/>
      </c>
      <c r="V372" t="str">
        <f t="shared" si="104"/>
        <v/>
      </c>
      <c r="W372" s="5" t="str">
        <f t="shared" si="105"/>
        <v/>
      </c>
      <c r="Y372" t="str">
        <f t="shared" si="106"/>
        <v/>
      </c>
      <c r="Z372" t="str">
        <f t="shared" si="107"/>
        <v/>
      </c>
      <c r="AB372" t="str">
        <f t="shared" si="108"/>
        <v>https://shop.officineitalianezard.it/contents/imgs/products/1_2540-scarico%20triumph%20street%20triple%20765%20zard%20exhaust%203.jpg</v>
      </c>
      <c r="AE372" t="b">
        <v>0</v>
      </c>
    </row>
    <row r="373" spans="1:31" x14ac:dyDescent="0.2">
      <c r="A373" t="str">
        <f t="shared" si="95"/>
        <v>https://shop.officineitalianezard.it/en/triumph-street-triple-765-exhaust/</v>
      </c>
      <c r="B373" t="b">
        <f>COUNTIF($A$2:$A373, A373)&gt;1</f>
        <v>1</v>
      </c>
      <c r="C373" t="b">
        <f t="shared" si="96"/>
        <v>1</v>
      </c>
      <c r="D373">
        <f>VLOOKUP(A373,variant_counts!A:B, 2, FALSE)</f>
        <v>1</v>
      </c>
      <c r="E373" t="str">
        <f t="shared" si="109"/>
        <v>zard-exhaust-slip-on-silencer-triumph-street-triple-765-2017-19-short-version-ztph089str-fc</v>
      </c>
      <c r="F373" t="str">
        <f t="shared" si="97"/>
        <v>ZARD EXHAUST SLIP-ON SILENCER TRIUMPH STREET TRIPLE 765 2017-19 SHORT VERSION ZTPH089STR-FC</v>
      </c>
      <c r="G373" t="str">
        <f t="shared" si="98"/>
        <v/>
      </c>
      <c r="H373" t="str">
        <f t="shared" si="110"/>
        <v/>
      </c>
      <c r="I373" t="str">
        <f t="shared" si="111"/>
        <v/>
      </c>
      <c r="J373" t="str">
        <f t="shared" si="112"/>
        <v/>
      </c>
      <c r="K373" t="str">
        <f t="shared" si="113"/>
        <v/>
      </c>
      <c r="L373" t="str">
        <f t="shared" si="99"/>
        <v>Option</v>
      </c>
      <c r="M373" t="str">
        <f t="shared" si="100"/>
        <v>EURO 4 HOMOLOGATED</v>
      </c>
      <c r="R373" t="str">
        <f t="shared" si="101"/>
        <v>ZTPH089STR-FC</v>
      </c>
      <c r="S373">
        <f t="shared" si="102"/>
        <v>0</v>
      </c>
      <c r="U373" t="str">
        <f t="shared" si="103"/>
        <v>continue</v>
      </c>
      <c r="V373" t="str">
        <f t="shared" si="104"/>
        <v>manual</v>
      </c>
      <c r="W373" s="5">
        <f t="shared" si="105"/>
        <v>815.21730000000002</v>
      </c>
      <c r="Y373" t="b">
        <f t="shared" si="106"/>
        <v>1</v>
      </c>
      <c r="Z373" t="b">
        <f t="shared" si="107"/>
        <v>0</v>
      </c>
      <c r="AB373" t="str">
        <f t="shared" si="108"/>
        <v/>
      </c>
      <c r="AE373" t="b">
        <v>0</v>
      </c>
    </row>
    <row r="374" spans="1:31" x14ac:dyDescent="0.2">
      <c r="A374" t="str">
        <f t="shared" si="95"/>
        <v>https://shop.officineitalianezard.it/en/steel-conical-silencer/</v>
      </c>
      <c r="B374" t="b">
        <f>COUNTIF($A$2:$A374, A374)&gt;1</f>
        <v>0</v>
      </c>
      <c r="C374" t="b">
        <f t="shared" si="96"/>
        <v>0</v>
      </c>
      <c r="D374">
        <f>VLOOKUP(A374,variant_counts!A:B, 2, FALSE)</f>
        <v>3</v>
      </c>
      <c r="E374" t="str">
        <f t="shared" si="109"/>
        <v>zard-exhaust-low-mounted-silencer-triumph-street-triple-my-2013-2016-conical-version-ztph516ssr</v>
      </c>
      <c r="F374" t="str">
        <f t="shared" si="97"/>
        <v>ZARD EXHAUST LOW MOUNTED SILENCER TRIUMPH STREET TRIPLE MY 2013-2016 CONICAL VERSION ZTPH516SSR</v>
      </c>
      <c r="G374" t="str">
        <f t="shared" si="98"/>
        <v>&lt;p&gt;STEEL RACING SILENCER&lt;/p&gt;
&lt;p&gt;HARD INCREASE, COMPARED TO THE ORIGINAL EXHAUST SYSTEM, IN TERMS OF TORQUE AND POWER AT ANY RANGE.&lt;/p&gt;
&lt;p&gt;ASTONISHING SOUND.&lt;/p&gt;
&lt;p&gt;ZARD CONICAL SILENCER CAN BE FITTED ON 3&amp;gt;1 ZARD HEADERS KIT TO HAVE AN HARD INCREASE OF PERFORMANCES BUT ALSO ON ORIGINAL HEADERS.&lt;/p&gt;</v>
      </c>
      <c r="H374" t="str">
        <f t="shared" si="110"/>
        <v>ZARD</v>
      </c>
      <c r="I374" t="str">
        <f t="shared" si="111"/>
        <v>Exhaust Pipe</v>
      </c>
      <c r="J374" t="str">
        <f t="shared" si="112"/>
        <v>Test</v>
      </c>
      <c r="K374" t="b">
        <f t="shared" si="113"/>
        <v>0</v>
      </c>
      <c r="L374" t="str">
        <f t="shared" si="99"/>
        <v/>
      </c>
      <c r="M374" t="str">
        <f t="shared" si="100"/>
        <v/>
      </c>
      <c r="R374" t="str">
        <f t="shared" si="101"/>
        <v/>
      </c>
      <c r="S374" t="str">
        <f t="shared" si="102"/>
        <v/>
      </c>
      <c r="U374" t="str">
        <f t="shared" si="103"/>
        <v/>
      </c>
      <c r="V374" t="str">
        <f t="shared" si="104"/>
        <v/>
      </c>
      <c r="W374" s="5" t="str">
        <f t="shared" si="105"/>
        <v/>
      </c>
      <c r="Y374" t="str">
        <f t="shared" si="106"/>
        <v/>
      </c>
      <c r="Z374" t="str">
        <f t="shared" si="107"/>
        <v/>
      </c>
      <c r="AB374" t="str">
        <f t="shared" si="108"/>
        <v>https://shop.officineitalianezard.it/contents/imgs/products/1_187-1.jpg</v>
      </c>
      <c r="AE374" t="b">
        <v>0</v>
      </c>
    </row>
    <row r="375" spans="1:31" x14ac:dyDescent="0.2">
      <c r="A375" t="str">
        <f t="shared" si="95"/>
        <v>https://shop.officineitalianezard.it/en/steel-conical-silencer/</v>
      </c>
      <c r="B375" t="b">
        <f>COUNTIF($A$2:$A375, A375)&gt;1</f>
        <v>1</v>
      </c>
      <c r="C375" t="b">
        <f t="shared" si="96"/>
        <v>0</v>
      </c>
      <c r="D375">
        <f>VLOOKUP(A375,variant_counts!A:B, 2, FALSE)</f>
        <v>3</v>
      </c>
      <c r="E375" t="str">
        <f t="shared" si="109"/>
        <v>zard-exhaust-low-mounted-silencer-triumph-street-triple-my-2013-2016-conical-version-ztph516ssr</v>
      </c>
      <c r="F375" t="str">
        <f t="shared" si="97"/>
        <v>ZARD EXHAUST LOW MOUNTED SILENCER TRIUMPH STREET TRIPLE MY 2013-2016 CONICAL VERSION ZTPH516SSR</v>
      </c>
      <c r="G375" t="str">
        <f t="shared" si="98"/>
        <v/>
      </c>
      <c r="H375" t="str">
        <f t="shared" si="110"/>
        <v/>
      </c>
      <c r="I375" t="str">
        <f t="shared" si="111"/>
        <v/>
      </c>
      <c r="J375" t="str">
        <f t="shared" si="112"/>
        <v/>
      </c>
      <c r="K375" t="str">
        <f t="shared" si="113"/>
        <v/>
      </c>
      <c r="L375" t="str">
        <f t="shared" si="99"/>
        <v/>
      </c>
      <c r="M375" t="str">
        <f t="shared" si="100"/>
        <v/>
      </c>
      <c r="R375" t="str">
        <f t="shared" si="101"/>
        <v/>
      </c>
      <c r="S375" t="str">
        <f t="shared" si="102"/>
        <v/>
      </c>
      <c r="U375" t="str">
        <f t="shared" si="103"/>
        <v/>
      </c>
      <c r="V375" t="str">
        <f t="shared" si="104"/>
        <v/>
      </c>
      <c r="W375" s="5" t="str">
        <f t="shared" si="105"/>
        <v/>
      </c>
      <c r="Y375" t="str">
        <f t="shared" si="106"/>
        <v/>
      </c>
      <c r="Z375" t="str">
        <f t="shared" si="107"/>
        <v/>
      </c>
      <c r="AB375" t="str">
        <f t="shared" si="108"/>
        <v>https://shop.officineitalianezard.it/contents/imgs/products/1_189-4.jpg</v>
      </c>
      <c r="AE375" t="b">
        <v>0</v>
      </c>
    </row>
    <row r="376" spans="1:31" x14ac:dyDescent="0.2">
      <c r="A376" t="str">
        <f t="shared" si="95"/>
        <v>https://shop.officineitalianezard.it/en/steel-conical-silencer/</v>
      </c>
      <c r="B376" t="b">
        <f>COUNTIF($A$2:$A376, A376)&gt;1</f>
        <v>1</v>
      </c>
      <c r="C376" t="b">
        <f t="shared" si="96"/>
        <v>0</v>
      </c>
      <c r="D376">
        <f>VLOOKUP(A376,variant_counts!A:B, 2, FALSE)</f>
        <v>3</v>
      </c>
      <c r="E376" t="str">
        <f t="shared" si="109"/>
        <v>zard-exhaust-low-mounted-silencer-triumph-street-triple-my-2013-2016-conical-version-ztph516ssr</v>
      </c>
      <c r="F376" t="str">
        <f t="shared" si="97"/>
        <v>ZARD EXHAUST LOW MOUNTED SILENCER TRIUMPH STREET TRIPLE MY 2013-2016 CONICAL VERSION ZTPH516SSR</v>
      </c>
      <c r="G376" t="str">
        <f t="shared" si="98"/>
        <v/>
      </c>
      <c r="H376" t="str">
        <f t="shared" si="110"/>
        <v/>
      </c>
      <c r="I376" t="str">
        <f t="shared" si="111"/>
        <v/>
      </c>
      <c r="J376" t="str">
        <f t="shared" si="112"/>
        <v/>
      </c>
      <c r="K376" t="str">
        <f t="shared" si="113"/>
        <v/>
      </c>
      <c r="L376" t="str">
        <f t="shared" si="99"/>
        <v/>
      </c>
      <c r="M376" t="str">
        <f t="shared" si="100"/>
        <v/>
      </c>
      <c r="R376" t="str">
        <f t="shared" si="101"/>
        <v/>
      </c>
      <c r="S376" t="str">
        <f t="shared" si="102"/>
        <v/>
      </c>
      <c r="U376" t="str">
        <f t="shared" si="103"/>
        <v/>
      </c>
      <c r="V376" t="str">
        <f t="shared" si="104"/>
        <v/>
      </c>
      <c r="W376" s="5" t="str">
        <f t="shared" si="105"/>
        <v/>
      </c>
      <c r="Y376" t="str">
        <f t="shared" si="106"/>
        <v/>
      </c>
      <c r="Z376" t="str">
        <f t="shared" si="107"/>
        <v/>
      </c>
      <c r="AB376" t="str">
        <f t="shared" si="108"/>
        <v>https://shop.officineitalianezard.it/contents/imgs/products/1_188-3.jpg</v>
      </c>
      <c r="AE376" t="b">
        <v>0</v>
      </c>
    </row>
    <row r="377" spans="1:31" x14ac:dyDescent="0.2">
      <c r="A377" t="str">
        <f t="shared" si="95"/>
        <v>https://shop.officineitalianezard.it/en/steel-conical-silencer/</v>
      </c>
      <c r="B377" t="b">
        <f>COUNTIF($A$2:$A377, A377)&gt;1</f>
        <v>1</v>
      </c>
      <c r="C377" t="b">
        <f t="shared" si="96"/>
        <v>1</v>
      </c>
      <c r="D377">
        <f>VLOOKUP(A377,variant_counts!A:B, 2, FALSE)</f>
        <v>3</v>
      </c>
      <c r="E377" t="str">
        <f t="shared" si="109"/>
        <v>zard-exhaust-low-mounted-silencer-triumph-street-triple-my-2013-2016-conical-version-ztph516ssr</v>
      </c>
      <c r="F377" t="str">
        <f t="shared" si="97"/>
        <v>ZARD EXHAUST LOW MOUNTED SILENCER TRIUMPH STREET TRIPLE MY 2013-2016 CONICAL VERSION ZTPH516SSR</v>
      </c>
      <c r="G377" t="str">
        <f t="shared" si="98"/>
        <v/>
      </c>
      <c r="H377" t="str">
        <f t="shared" si="110"/>
        <v/>
      </c>
      <c r="I377" t="str">
        <f t="shared" si="111"/>
        <v/>
      </c>
      <c r="J377" t="str">
        <f t="shared" si="112"/>
        <v/>
      </c>
      <c r="K377" t="str">
        <f t="shared" si="113"/>
        <v/>
      </c>
      <c r="L377" t="str">
        <f t="shared" si="99"/>
        <v>Option</v>
      </c>
      <c r="M377" t="str">
        <f t="shared" si="100"/>
        <v>EURO 3 HOMOLOGATED</v>
      </c>
      <c r="R377" t="str">
        <f t="shared" si="101"/>
        <v>ZTPH516SSR</v>
      </c>
      <c r="S377">
        <f t="shared" si="102"/>
        <v>0</v>
      </c>
      <c r="U377" t="str">
        <f t="shared" si="103"/>
        <v>continue</v>
      </c>
      <c r="V377" t="str">
        <f t="shared" si="104"/>
        <v>manual</v>
      </c>
      <c r="W377" s="5">
        <f t="shared" si="105"/>
        <v>521.0562000000001</v>
      </c>
      <c r="Y377" t="b">
        <f t="shared" si="106"/>
        <v>1</v>
      </c>
      <c r="Z377" t="b">
        <f t="shared" si="107"/>
        <v>0</v>
      </c>
      <c r="AB377" t="str">
        <f t="shared" si="108"/>
        <v/>
      </c>
      <c r="AE377" t="b">
        <v>0</v>
      </c>
    </row>
    <row r="378" spans="1:31" x14ac:dyDescent="0.2">
      <c r="A378" t="str">
        <f t="shared" si="95"/>
        <v>https://shop.officineitalianezard.it/en/steel-conical-silencer/</v>
      </c>
      <c r="B378" t="b">
        <f>COUNTIF($A$2:$A378, A378)&gt;1</f>
        <v>1</v>
      </c>
      <c r="C378" t="b">
        <f t="shared" si="96"/>
        <v>1</v>
      </c>
      <c r="D378">
        <f>VLOOKUP(A378,variant_counts!A:B, 2, FALSE)</f>
        <v>3</v>
      </c>
      <c r="E378" t="str">
        <f t="shared" si="109"/>
        <v>zard-exhaust-low-mounted-silencer-triumph-street-triple-my-2013-2016-conical-version-ztph516ssr</v>
      </c>
      <c r="F378" t="str">
        <f t="shared" si="97"/>
        <v>ZARD EXHAUST LOW MOUNTED SILENCER TRIUMPH STREET TRIPLE MY 2013-2016 CONICAL VERSION ZTPH516SSR</v>
      </c>
      <c r="G378" t="str">
        <f t="shared" si="98"/>
        <v/>
      </c>
      <c r="H378" t="str">
        <f t="shared" si="110"/>
        <v/>
      </c>
      <c r="I378" t="str">
        <f t="shared" si="111"/>
        <v/>
      </c>
      <c r="J378" t="str">
        <f t="shared" si="112"/>
        <v/>
      </c>
      <c r="K378" t="str">
        <f t="shared" si="113"/>
        <v/>
      </c>
      <c r="L378" t="str">
        <f t="shared" si="99"/>
        <v>Option</v>
      </c>
      <c r="M378" t="str">
        <f t="shared" si="100"/>
        <v>BLACK COATING</v>
      </c>
      <c r="R378" t="str">
        <f t="shared" si="101"/>
        <v>ZTPH516SSR</v>
      </c>
      <c r="S378">
        <f t="shared" si="102"/>
        <v>0</v>
      </c>
      <c r="U378" t="str">
        <f t="shared" si="103"/>
        <v>continue</v>
      </c>
      <c r="V378" t="str">
        <f t="shared" si="104"/>
        <v>manual</v>
      </c>
      <c r="W378" s="5">
        <f t="shared" si="105"/>
        <v>547.26330000000007</v>
      </c>
      <c r="Y378" t="b">
        <f t="shared" si="106"/>
        <v>1</v>
      </c>
      <c r="Z378" t="b">
        <f t="shared" si="107"/>
        <v>0</v>
      </c>
      <c r="AB378" t="str">
        <f t="shared" si="108"/>
        <v/>
      </c>
      <c r="AE378" t="b">
        <v>0</v>
      </c>
    </row>
    <row r="379" spans="1:31" x14ac:dyDescent="0.2">
      <c r="A379" t="str">
        <f t="shared" si="95"/>
        <v>https://shop.officineitalianezard.it/en/steel-conical-silencer/</v>
      </c>
      <c r="B379" t="b">
        <f>COUNTIF($A$2:$A379, A379)&gt;1</f>
        <v>1</v>
      </c>
      <c r="C379" t="b">
        <f t="shared" si="96"/>
        <v>1</v>
      </c>
      <c r="D379">
        <f>VLOOKUP(A379,variant_counts!A:B, 2, FALSE)</f>
        <v>3</v>
      </c>
      <c r="E379" t="str">
        <f t="shared" si="109"/>
        <v>zard-exhaust-low-mounted-silencer-triumph-street-triple-my-2013-2016-conical-version-ztph516ssr</v>
      </c>
      <c r="F379" t="str">
        <f t="shared" si="97"/>
        <v>ZARD EXHAUST LOW MOUNTED SILENCER TRIUMPH STREET TRIPLE MY 2013-2016 CONICAL VERSION ZTPH516SSR</v>
      </c>
      <c r="G379" t="str">
        <f t="shared" si="98"/>
        <v/>
      </c>
      <c r="H379" t="str">
        <f t="shared" si="110"/>
        <v/>
      </c>
      <c r="I379" t="str">
        <f t="shared" si="111"/>
        <v/>
      </c>
      <c r="J379" t="str">
        <f t="shared" si="112"/>
        <v/>
      </c>
      <c r="K379" t="str">
        <f t="shared" si="113"/>
        <v/>
      </c>
      <c r="L379" t="str">
        <f t="shared" si="99"/>
        <v>Option</v>
      </c>
      <c r="M379" t="str">
        <f t="shared" si="100"/>
        <v>CARBON ENDCAP</v>
      </c>
      <c r="R379" t="str">
        <f t="shared" si="101"/>
        <v>ZTPH516SSR</v>
      </c>
      <c r="S379">
        <f t="shared" si="102"/>
        <v>0</v>
      </c>
      <c r="U379" t="str">
        <f t="shared" si="103"/>
        <v>continue</v>
      </c>
      <c r="V379" t="str">
        <f t="shared" si="104"/>
        <v>manual</v>
      </c>
      <c r="W379" s="5">
        <f t="shared" si="105"/>
        <v>503.04090000000002</v>
      </c>
      <c r="Y379" t="b">
        <f t="shared" si="106"/>
        <v>1</v>
      </c>
      <c r="Z379" t="b">
        <f t="shared" si="107"/>
        <v>0</v>
      </c>
      <c r="AB379" t="str">
        <f t="shared" si="108"/>
        <v/>
      </c>
      <c r="AE379" t="b">
        <v>0</v>
      </c>
    </row>
    <row r="380" spans="1:31" x14ac:dyDescent="0.2">
      <c r="A380" t="str">
        <f t="shared" si="95"/>
        <v>https://shop.officineitalianezard.it/en/steel-short-silencer/</v>
      </c>
      <c r="B380" t="b">
        <f>COUNTIF($A$2:$A380, A380)&gt;1</f>
        <v>0</v>
      </c>
      <c r="C380" t="b">
        <f t="shared" si="96"/>
        <v>0</v>
      </c>
      <c r="D380">
        <f>VLOOKUP(A380,variant_counts!A:B, 2, FALSE)</f>
        <v>2</v>
      </c>
      <c r="E380" t="str">
        <f t="shared" si="109"/>
        <v>zard-exhaust-low-mounted-silencer-triumph-street-triple-my-2013-2016-short-version-ztph515ssr</v>
      </c>
      <c r="F380" t="str">
        <f t="shared" si="97"/>
        <v>ZARD EXHAUST LOW MOUNTED SILENCER TRIUMPH STREET TRIPLE MY 2013-2016 SHORT VERSION ZTPH515SSR</v>
      </c>
      <c r="G380" t="str">
        <f t="shared" si="98"/>
        <v>&lt;p&gt;STEEL RACING SILENCER&lt;/p&gt;
&lt;p&gt;HARD INCREASE, COMPARED TO THE ORIGINAL EXHAUST SYSTEM, IN TERMS OF TORQUE AND POWER AT ANY RANGE.&lt;/p&gt;
&lt;p&gt;ASTONISHING SOUND.&lt;/p&gt;
&lt;p&gt;ZARD SHORT SILENCER CAN BE FITTED ON 3&amp;gt;1 ZARD HEADERS KIT TO HAVE AN HARD INCREASE OF PERFORMANCES BUT ALSO ON ORIGINAL HEADERS.&lt;/p&gt;</v>
      </c>
      <c r="H380" t="str">
        <f t="shared" si="110"/>
        <v>ZARD</v>
      </c>
      <c r="I380" t="str">
        <f t="shared" si="111"/>
        <v>Exhaust Pipe</v>
      </c>
      <c r="J380" t="str">
        <f t="shared" si="112"/>
        <v>Test</v>
      </c>
      <c r="K380" t="b">
        <f t="shared" si="113"/>
        <v>0</v>
      </c>
      <c r="L380" t="str">
        <f t="shared" si="99"/>
        <v/>
      </c>
      <c r="M380" t="str">
        <f t="shared" si="100"/>
        <v/>
      </c>
      <c r="R380" t="str">
        <f t="shared" si="101"/>
        <v/>
      </c>
      <c r="S380" t="str">
        <f t="shared" si="102"/>
        <v/>
      </c>
      <c r="U380" t="str">
        <f t="shared" si="103"/>
        <v/>
      </c>
      <c r="V380" t="str">
        <f t="shared" si="104"/>
        <v/>
      </c>
      <c r="W380" s="5" t="str">
        <f t="shared" si="105"/>
        <v/>
      </c>
      <c r="Y380" t="str">
        <f t="shared" si="106"/>
        <v/>
      </c>
      <c r="Z380" t="str">
        <f t="shared" si="107"/>
        <v/>
      </c>
      <c r="AB380" t="str">
        <f t="shared" si="108"/>
        <v>https://shop.officineitalianezard.it/contents/imgs/products/1_181-3.jpg</v>
      </c>
      <c r="AE380" t="b">
        <v>0</v>
      </c>
    </row>
    <row r="381" spans="1:31" x14ac:dyDescent="0.2">
      <c r="A381" t="str">
        <f t="shared" si="95"/>
        <v>https://shop.officineitalianezard.it/en/steel-short-silencer/</v>
      </c>
      <c r="B381" t="b">
        <f>COUNTIF($A$2:$A381, A381)&gt;1</f>
        <v>1</v>
      </c>
      <c r="C381" t="b">
        <f t="shared" si="96"/>
        <v>0</v>
      </c>
      <c r="D381">
        <f>VLOOKUP(A381,variant_counts!A:B, 2, FALSE)</f>
        <v>2</v>
      </c>
      <c r="E381" t="str">
        <f t="shared" si="109"/>
        <v>zard-exhaust-low-mounted-silencer-triumph-street-triple-my-2013-2016-short-version-ztph515ssr</v>
      </c>
      <c r="F381" t="str">
        <f t="shared" si="97"/>
        <v>ZARD EXHAUST LOW MOUNTED SILENCER TRIUMPH STREET TRIPLE MY 2013-2016 SHORT VERSION ZTPH515SSR</v>
      </c>
      <c r="G381" t="str">
        <f t="shared" si="98"/>
        <v/>
      </c>
      <c r="H381" t="str">
        <f t="shared" si="110"/>
        <v/>
      </c>
      <c r="I381" t="str">
        <f t="shared" si="111"/>
        <v/>
      </c>
      <c r="J381" t="str">
        <f t="shared" si="112"/>
        <v/>
      </c>
      <c r="K381" t="str">
        <f t="shared" si="113"/>
        <v/>
      </c>
      <c r="L381" t="str">
        <f t="shared" si="99"/>
        <v/>
      </c>
      <c r="M381" t="str">
        <f t="shared" si="100"/>
        <v/>
      </c>
      <c r="R381" t="str">
        <f t="shared" si="101"/>
        <v/>
      </c>
      <c r="S381" t="str">
        <f t="shared" si="102"/>
        <v/>
      </c>
      <c r="U381" t="str">
        <f t="shared" si="103"/>
        <v/>
      </c>
      <c r="V381" t="str">
        <f t="shared" si="104"/>
        <v/>
      </c>
      <c r="W381" s="5" t="str">
        <f t="shared" si="105"/>
        <v/>
      </c>
      <c r="Y381" t="str">
        <f t="shared" si="106"/>
        <v/>
      </c>
      <c r="Z381" t="str">
        <f t="shared" si="107"/>
        <v/>
      </c>
      <c r="AB381" t="str">
        <f t="shared" si="108"/>
        <v>https://shop.officineitalianezard.it/contents/imgs/products/1_182-4.jpg</v>
      </c>
      <c r="AE381" t="b">
        <v>0</v>
      </c>
    </row>
    <row r="382" spans="1:31" x14ac:dyDescent="0.2">
      <c r="A382" t="str">
        <f t="shared" si="95"/>
        <v>https://shop.officineitalianezard.it/en/steel-short-silencer/</v>
      </c>
      <c r="B382" t="b">
        <f>COUNTIF($A$2:$A382, A382)&gt;1</f>
        <v>1</v>
      </c>
      <c r="C382" t="b">
        <f t="shared" si="96"/>
        <v>0</v>
      </c>
      <c r="D382">
        <f>VLOOKUP(A382,variant_counts!A:B, 2, FALSE)</f>
        <v>2</v>
      </c>
      <c r="E382" t="str">
        <f t="shared" si="109"/>
        <v>zard-exhaust-low-mounted-silencer-triumph-street-triple-my-2013-2016-short-version-ztph515ssr</v>
      </c>
      <c r="F382" t="str">
        <f t="shared" si="97"/>
        <v>ZARD EXHAUST LOW MOUNTED SILENCER TRIUMPH STREET TRIPLE MY 2013-2016 SHORT VERSION ZTPH515SSR</v>
      </c>
      <c r="G382" t="str">
        <f t="shared" si="98"/>
        <v/>
      </c>
      <c r="H382" t="str">
        <f t="shared" si="110"/>
        <v/>
      </c>
      <c r="I382" t="str">
        <f t="shared" si="111"/>
        <v/>
      </c>
      <c r="J382" t="str">
        <f t="shared" si="112"/>
        <v/>
      </c>
      <c r="K382" t="str">
        <f t="shared" si="113"/>
        <v/>
      </c>
      <c r="L382" t="str">
        <f t="shared" si="99"/>
        <v/>
      </c>
      <c r="M382" t="str">
        <f t="shared" si="100"/>
        <v/>
      </c>
      <c r="R382" t="str">
        <f t="shared" si="101"/>
        <v/>
      </c>
      <c r="S382" t="str">
        <f t="shared" si="102"/>
        <v/>
      </c>
      <c r="U382" t="str">
        <f t="shared" si="103"/>
        <v/>
      </c>
      <c r="V382" t="str">
        <f t="shared" si="104"/>
        <v/>
      </c>
      <c r="W382" s="5" t="str">
        <f t="shared" si="105"/>
        <v/>
      </c>
      <c r="Y382" t="str">
        <f t="shared" si="106"/>
        <v/>
      </c>
      <c r="Z382" t="str">
        <f t="shared" si="107"/>
        <v/>
      </c>
      <c r="AB382" t="str">
        <f t="shared" si="108"/>
        <v>https://shop.officineitalianezard.it/contents/imgs/products/1_179-1.jpg</v>
      </c>
      <c r="AE382" t="b">
        <v>0</v>
      </c>
    </row>
    <row r="383" spans="1:31" x14ac:dyDescent="0.2">
      <c r="A383" t="str">
        <f t="shared" si="95"/>
        <v>https://shop.officineitalianezard.it/en/steel-short-silencer/</v>
      </c>
      <c r="B383" t="b">
        <f>COUNTIF($A$2:$A383, A383)&gt;1</f>
        <v>1</v>
      </c>
      <c r="C383" t="b">
        <f t="shared" si="96"/>
        <v>0</v>
      </c>
      <c r="D383">
        <f>VLOOKUP(A383,variant_counts!A:B, 2, FALSE)</f>
        <v>2</v>
      </c>
      <c r="E383" t="str">
        <f t="shared" si="109"/>
        <v>zard-exhaust-low-mounted-silencer-triumph-street-triple-my-2013-2016-short-version-ztph515ssr</v>
      </c>
      <c r="F383" t="str">
        <f t="shared" si="97"/>
        <v>ZARD EXHAUST LOW MOUNTED SILENCER TRIUMPH STREET TRIPLE MY 2013-2016 SHORT VERSION ZTPH515SSR</v>
      </c>
      <c r="G383" t="str">
        <f t="shared" si="98"/>
        <v/>
      </c>
      <c r="H383" t="str">
        <f t="shared" si="110"/>
        <v/>
      </c>
      <c r="I383" t="str">
        <f t="shared" si="111"/>
        <v/>
      </c>
      <c r="J383" t="str">
        <f t="shared" si="112"/>
        <v/>
      </c>
      <c r="K383" t="str">
        <f t="shared" si="113"/>
        <v/>
      </c>
      <c r="L383" t="str">
        <f t="shared" si="99"/>
        <v/>
      </c>
      <c r="M383" t="str">
        <f t="shared" si="100"/>
        <v/>
      </c>
      <c r="R383" t="str">
        <f t="shared" si="101"/>
        <v/>
      </c>
      <c r="S383" t="str">
        <f t="shared" si="102"/>
        <v/>
      </c>
      <c r="U383" t="str">
        <f t="shared" si="103"/>
        <v/>
      </c>
      <c r="V383" t="str">
        <f t="shared" si="104"/>
        <v/>
      </c>
      <c r="W383" s="5" t="str">
        <f t="shared" si="105"/>
        <v/>
      </c>
      <c r="Y383" t="str">
        <f t="shared" si="106"/>
        <v/>
      </c>
      <c r="Z383" t="str">
        <f t="shared" si="107"/>
        <v/>
      </c>
      <c r="AB383" t="str">
        <f t="shared" si="108"/>
        <v>https://shop.officineitalianezard.it/contents/imgs/products/1_180-2.jpg</v>
      </c>
      <c r="AE383" t="b">
        <v>0</v>
      </c>
    </row>
    <row r="384" spans="1:31" x14ac:dyDescent="0.2">
      <c r="A384" t="str">
        <f t="shared" si="95"/>
        <v>https://shop.officineitalianezard.it/en/steel-short-silencer/</v>
      </c>
      <c r="B384" t="b">
        <f>COUNTIF($A$2:$A384, A384)&gt;1</f>
        <v>1</v>
      </c>
      <c r="C384" t="b">
        <f t="shared" si="96"/>
        <v>0</v>
      </c>
      <c r="D384">
        <f>VLOOKUP(A384,variant_counts!A:B, 2, FALSE)</f>
        <v>2</v>
      </c>
      <c r="E384" t="str">
        <f t="shared" si="109"/>
        <v>zard-exhaust-low-mounted-silencer-triumph-street-triple-my-2013-2016-short-version-ztph515ssr</v>
      </c>
      <c r="F384" t="str">
        <f t="shared" si="97"/>
        <v>ZARD EXHAUST LOW MOUNTED SILENCER TRIUMPH STREET TRIPLE MY 2013-2016 SHORT VERSION ZTPH515SSR</v>
      </c>
      <c r="G384" t="str">
        <f t="shared" si="98"/>
        <v/>
      </c>
      <c r="H384" t="str">
        <f t="shared" si="110"/>
        <v/>
      </c>
      <c r="I384" t="str">
        <f t="shared" si="111"/>
        <v/>
      </c>
      <c r="J384" t="str">
        <f t="shared" si="112"/>
        <v/>
      </c>
      <c r="K384" t="str">
        <f t="shared" si="113"/>
        <v/>
      </c>
      <c r="L384" t="str">
        <f t="shared" si="99"/>
        <v/>
      </c>
      <c r="M384" t="str">
        <f t="shared" si="100"/>
        <v/>
      </c>
      <c r="R384" t="str">
        <f t="shared" si="101"/>
        <v/>
      </c>
      <c r="S384" t="str">
        <f t="shared" si="102"/>
        <v/>
      </c>
      <c r="U384" t="str">
        <f t="shared" si="103"/>
        <v/>
      </c>
      <c r="V384" t="str">
        <f t="shared" si="104"/>
        <v/>
      </c>
      <c r="W384" s="5" t="str">
        <f t="shared" si="105"/>
        <v/>
      </c>
      <c r="Y384" t="str">
        <f t="shared" si="106"/>
        <v/>
      </c>
      <c r="Z384" t="str">
        <f t="shared" si="107"/>
        <v/>
      </c>
      <c r="AB384" t="str">
        <f t="shared" si="108"/>
        <v>https://shop.officineitalianezard.it/contents/imgs/products/1_1026-street%20nero%20short%20zard.jpg</v>
      </c>
      <c r="AE384" t="b">
        <v>0</v>
      </c>
    </row>
    <row r="385" spans="1:31" x14ac:dyDescent="0.2">
      <c r="A385" t="str">
        <f t="shared" si="95"/>
        <v>https://shop.officineitalianezard.it/en/steel-short-silencer/</v>
      </c>
      <c r="B385" t="b">
        <f>COUNTIF($A$2:$A385, A385)&gt;1</f>
        <v>1</v>
      </c>
      <c r="C385" t="b">
        <f t="shared" si="96"/>
        <v>1</v>
      </c>
      <c r="D385">
        <f>VLOOKUP(A385,variant_counts!A:B, 2, FALSE)</f>
        <v>2</v>
      </c>
      <c r="E385" t="str">
        <f t="shared" si="109"/>
        <v>zard-exhaust-low-mounted-silencer-triumph-street-triple-my-2013-2016-short-version-ztph515ssr</v>
      </c>
      <c r="F385" t="str">
        <f t="shared" si="97"/>
        <v>ZARD EXHAUST LOW MOUNTED SILENCER TRIUMPH STREET TRIPLE MY 2013-2016 SHORT VERSION ZTPH515SSR</v>
      </c>
      <c r="G385" t="str">
        <f t="shared" si="98"/>
        <v/>
      </c>
      <c r="H385" t="str">
        <f t="shared" si="110"/>
        <v/>
      </c>
      <c r="I385" t="str">
        <f t="shared" si="111"/>
        <v/>
      </c>
      <c r="J385" t="str">
        <f t="shared" si="112"/>
        <v/>
      </c>
      <c r="K385" t="str">
        <f t="shared" si="113"/>
        <v/>
      </c>
      <c r="L385" t="str">
        <f t="shared" si="99"/>
        <v>Option</v>
      </c>
      <c r="M385" t="str">
        <f t="shared" si="100"/>
        <v>EURO 3 HOMOLOGATED</v>
      </c>
      <c r="R385" t="str">
        <f t="shared" si="101"/>
        <v>ZTPH515SSR</v>
      </c>
      <c r="S385">
        <f t="shared" si="102"/>
        <v>0</v>
      </c>
      <c r="U385" t="str">
        <f t="shared" si="103"/>
        <v>continue</v>
      </c>
      <c r="V385" t="str">
        <f t="shared" si="104"/>
        <v>manual</v>
      </c>
      <c r="W385" s="5">
        <f t="shared" si="105"/>
        <v>574.92449999999997</v>
      </c>
      <c r="Y385" t="b">
        <f t="shared" si="106"/>
        <v>1</v>
      </c>
      <c r="Z385" t="b">
        <f t="shared" si="107"/>
        <v>0</v>
      </c>
      <c r="AB385" t="str">
        <f t="shared" si="108"/>
        <v/>
      </c>
      <c r="AE385" t="b">
        <v>0</v>
      </c>
    </row>
    <row r="386" spans="1:31" x14ac:dyDescent="0.2">
      <c r="A386" t="str">
        <f t="shared" ref="A386:A449" si="114">source_product_link_href</f>
        <v>https://shop.officineitalianezard.it/en/steel-short-silencer/</v>
      </c>
      <c r="B386" t="b">
        <f>COUNTIF($A$2:$A386, A386)&gt;1</f>
        <v>1</v>
      </c>
      <c r="C386" t="b">
        <f t="shared" ref="C386:C449" si="115">NOT(ISBLANK(source_option_name))</f>
        <v>1</v>
      </c>
      <c r="D386">
        <f>VLOOKUP(A386,variant_counts!A:B, 2, FALSE)</f>
        <v>2</v>
      </c>
      <c r="E386" t="str">
        <f t="shared" si="109"/>
        <v>zard-exhaust-low-mounted-silencer-triumph-street-triple-my-2013-2016-short-version-ztph515ssr</v>
      </c>
      <c r="F386" t="str">
        <f t="shared" ref="F386:F449" si="116">UPPER("ZARD EXHAUST " &amp; source_title &amp; " " &amp; source_brand &amp; " " &amp; source_bike &amp; " " &amp; source_product_link &amp; " " &amp; source_sku)</f>
        <v>ZARD EXHAUST LOW MOUNTED SILENCER TRIUMPH STREET TRIPLE MY 2013-2016 SHORT VERSION ZTPH515SSR</v>
      </c>
      <c r="G386" t="str">
        <f t="shared" ref="G386:G449" si="117">IF($B386=FALSE, source_description, "")</f>
        <v/>
      </c>
      <c r="H386" t="str">
        <f t="shared" si="110"/>
        <v/>
      </c>
      <c r="I386" t="str">
        <f t="shared" si="111"/>
        <v/>
      </c>
      <c r="J386" t="str">
        <f t="shared" si="112"/>
        <v/>
      </c>
      <c r="K386" t="str">
        <f t="shared" si="113"/>
        <v/>
      </c>
      <c r="L386" t="str">
        <f t="shared" ref="L386:L449" si="118">IF(AND(variant_count=0,duplicated=FALSE),"Title",IF(OR(AND(variant_count=1,duplicated=FALSE), source_option_name&lt;&gt;""), "Option", ""))</f>
        <v>Option</v>
      </c>
      <c r="M386" t="str">
        <f t="shared" ref="M386:M449" si="119">IF(option1_name="Title", "Default Title", IF(AND(option1_name="Option",ISBLANK(source_option_name)),"DEFAULT",IF(ISBLANK(source_option_name), "", source_option_name)))</f>
        <v>BLACK COATING</v>
      </c>
      <c r="R386" t="str">
        <f t="shared" ref="R386:R449" si="120">IF(option1_name &lt;&gt; "", source_sku, "")</f>
        <v>ZTPH515SSR</v>
      </c>
      <c r="S386">
        <f t="shared" ref="S386:S449" si="121">IF(option1_name &lt;&gt; "", 0, "")</f>
        <v>0</v>
      </c>
      <c r="U386" t="str">
        <f t="shared" ref="U386:U449" si="122">IF(option1_name &lt;&gt; "", "continue", "")</f>
        <v>continue</v>
      </c>
      <c r="V386" t="str">
        <f t="shared" ref="V386:V449" si="123">IF(option1_name &lt;&gt; "", "manual", "")</f>
        <v>manual</v>
      </c>
      <c r="W386" s="5">
        <f t="shared" ref="W386:W449" si="124">IF(option1_name&lt;&gt;"",(source_price_original+source_option_price)*eur_usd,"")</f>
        <v>619.14689999999996</v>
      </c>
      <c r="Y386" t="b">
        <f t="shared" ref="Y386:Y449" si="125">IF(option1_name&lt;&gt;"",TRUE,"")</f>
        <v>1</v>
      </c>
      <c r="Z386" t="b">
        <f t="shared" ref="Z386:Z449" si="126">IF(option1_name&lt;&gt;"",FALSE,"")</f>
        <v>0</v>
      </c>
      <c r="AB386" t="str">
        <f t="shared" ref="AB386:AB449" si="127">IF(ISBLANK(source_image), "", source_image)</f>
        <v/>
      </c>
      <c r="AE386" t="b">
        <v>0</v>
      </c>
    </row>
    <row r="387" spans="1:31" x14ac:dyDescent="0.2">
      <c r="A387" t="str">
        <f t="shared" si="114"/>
        <v>https://shop.officineitalianezard.it/en/penta-steel-mufflers/</v>
      </c>
      <c r="B387" t="b">
        <f>COUNTIF($A$2:$A387, A387)&gt;1</f>
        <v>0</v>
      </c>
      <c r="C387" t="b">
        <f t="shared" si="115"/>
        <v>0</v>
      </c>
      <c r="D387">
        <f>VLOOKUP(A387,variant_counts!A:B, 2, FALSE)</f>
        <v>3</v>
      </c>
      <c r="E387" t="str">
        <f t="shared" ref="E387:E450" si="128">FormatShopifyHandle(F387)</f>
        <v>zard-exhaust-high-mounted-silencers-triumph-street-triple-675-penta-version-ztph040ssr</v>
      </c>
      <c r="F387" t="str">
        <f t="shared" si="116"/>
        <v>ZARD EXHAUST HIGH MOUNTED SILENCERS TRIUMPH STREET TRIPLE 675 PENTA VERSION ZTPH040SSR</v>
      </c>
      <c r="G387" t="str">
        <f t="shared" si="117"/>
        <v>&lt;p&gt;STEEL-ALUMINIUM BLACK RACING SILENCERS&lt;/p&gt;
&lt;p&gt;ORIGINAL FULL KIT WEIGHT: KG 7.3&lt;br&gt;ZARD FULL KIT WEIGHT: KG 1.9&lt;/p&gt;
&lt;p&gt;BLACK, HARD INCREASE, COMPARED TO THE ORIGINAL EXHAUST SYSTEM, IN TERMS OF TORQUE AND POWER AT ANY RANGE.&lt;/p&gt;
&lt;p&gt;ASTONISHING SOUND.&lt;/p&gt;</v>
      </c>
      <c r="H387" t="str">
        <f t="shared" ref="H387:H450" si="129">IF($B387=FALSE, "ZARD", "")</f>
        <v>ZARD</v>
      </c>
      <c r="I387" t="str">
        <f t="shared" ref="I387:I450" si="130">IF($B387=FALSE, "Exhaust Pipe", "")</f>
        <v>Exhaust Pipe</v>
      </c>
      <c r="J387" t="str">
        <f t="shared" ref="J387:J450" si="131">IF($B387=FALSE, "Test", "")</f>
        <v>Test</v>
      </c>
      <c r="K387" t="b">
        <f t="shared" ref="K387:K450" si="132">IF($B387=FALSE, FALSE, "")</f>
        <v>0</v>
      </c>
      <c r="L387" t="str">
        <f t="shared" si="118"/>
        <v/>
      </c>
      <c r="M387" t="str">
        <f t="shared" si="119"/>
        <v/>
      </c>
      <c r="R387" t="str">
        <f t="shared" si="120"/>
        <v/>
      </c>
      <c r="S387" t="str">
        <f t="shared" si="121"/>
        <v/>
      </c>
      <c r="U387" t="str">
        <f t="shared" si="122"/>
        <v/>
      </c>
      <c r="V387" t="str">
        <f t="shared" si="123"/>
        <v/>
      </c>
      <c r="W387" s="5" t="str">
        <f t="shared" si="124"/>
        <v/>
      </c>
      <c r="Y387" t="str">
        <f t="shared" si="125"/>
        <v/>
      </c>
      <c r="Z387" t="str">
        <f t="shared" si="126"/>
        <v/>
      </c>
      <c r="AB387" t="str">
        <f t="shared" si="127"/>
        <v>https://shop.officineitalianezard.it/contents/imgs/products/1_176-2.jpg</v>
      </c>
      <c r="AE387" t="b">
        <v>0</v>
      </c>
    </row>
    <row r="388" spans="1:31" x14ac:dyDescent="0.2">
      <c r="A388" t="str">
        <f t="shared" si="114"/>
        <v>https://shop.officineitalianezard.it/en/penta-steel-mufflers/</v>
      </c>
      <c r="B388" t="b">
        <f>COUNTIF($A$2:$A388, A388)&gt;1</f>
        <v>1</v>
      </c>
      <c r="C388" t="b">
        <f t="shared" si="115"/>
        <v>0</v>
      </c>
      <c r="D388">
        <f>VLOOKUP(A388,variant_counts!A:B, 2, FALSE)</f>
        <v>3</v>
      </c>
      <c r="E388" t="str">
        <f t="shared" si="128"/>
        <v>zard-exhaust-high-mounted-silencers-triumph-street-triple-675-penta-version-ztph040ssr</v>
      </c>
      <c r="F388" t="str">
        <f t="shared" si="116"/>
        <v>ZARD EXHAUST HIGH MOUNTED SILENCERS TRIUMPH STREET TRIPLE 675 PENTA VERSION ZTPH040SSR</v>
      </c>
      <c r="G388" t="str">
        <f t="shared" si="117"/>
        <v/>
      </c>
      <c r="H388" t="str">
        <f t="shared" si="129"/>
        <v/>
      </c>
      <c r="I388" t="str">
        <f t="shared" si="130"/>
        <v/>
      </c>
      <c r="J388" t="str">
        <f t="shared" si="131"/>
        <v/>
      </c>
      <c r="K388" t="str">
        <f t="shared" si="132"/>
        <v/>
      </c>
      <c r="L388" t="str">
        <f t="shared" si="118"/>
        <v/>
      </c>
      <c r="M388" t="str">
        <f t="shared" si="119"/>
        <v/>
      </c>
      <c r="R388" t="str">
        <f t="shared" si="120"/>
        <v/>
      </c>
      <c r="S388" t="str">
        <f t="shared" si="121"/>
        <v/>
      </c>
      <c r="U388" t="str">
        <f t="shared" si="122"/>
        <v/>
      </c>
      <c r="V388" t="str">
        <f t="shared" si="123"/>
        <v/>
      </c>
      <c r="W388" s="5" t="str">
        <f t="shared" si="124"/>
        <v/>
      </c>
      <c r="Y388" t="str">
        <f t="shared" si="125"/>
        <v/>
      </c>
      <c r="Z388" t="str">
        <f t="shared" si="126"/>
        <v/>
      </c>
      <c r="AB388" t="str">
        <f t="shared" si="127"/>
        <v>https://shop.officineitalianezard.it/contents/imgs/products/1_175-1.jpg</v>
      </c>
      <c r="AE388" t="b">
        <v>0</v>
      </c>
    </row>
    <row r="389" spans="1:31" x14ac:dyDescent="0.2">
      <c r="A389" t="str">
        <f t="shared" si="114"/>
        <v>https://shop.officineitalianezard.it/en/penta-steel-mufflers/</v>
      </c>
      <c r="B389" t="b">
        <f>COUNTIF($A$2:$A389, A389)&gt;1</f>
        <v>1</v>
      </c>
      <c r="C389" t="b">
        <f t="shared" si="115"/>
        <v>1</v>
      </c>
      <c r="D389">
        <f>VLOOKUP(A389,variant_counts!A:B, 2, FALSE)</f>
        <v>3</v>
      </c>
      <c r="E389" t="str">
        <f t="shared" si="128"/>
        <v>zard-exhaust-high-mounted-silencers-triumph-street-triple-675-penta-version-ztph040ssr</v>
      </c>
      <c r="F389" t="str">
        <f t="shared" si="116"/>
        <v>ZARD EXHAUST HIGH MOUNTED SILENCERS TRIUMPH STREET TRIPLE 675 PENTA VERSION ZTPH040SSR</v>
      </c>
      <c r="G389" t="str">
        <f t="shared" si="117"/>
        <v/>
      </c>
      <c r="H389" t="str">
        <f t="shared" si="129"/>
        <v/>
      </c>
      <c r="I389" t="str">
        <f t="shared" si="130"/>
        <v/>
      </c>
      <c r="J389" t="str">
        <f t="shared" si="131"/>
        <v/>
      </c>
      <c r="K389" t="str">
        <f t="shared" si="132"/>
        <v/>
      </c>
      <c r="L389" t="str">
        <f t="shared" si="118"/>
        <v>Option</v>
      </c>
      <c r="M389" t="str">
        <f t="shared" si="119"/>
        <v>HOMOLOGATED ALUMINIUM ONLY</v>
      </c>
      <c r="R389" t="str">
        <f t="shared" si="120"/>
        <v>ZTPH040SSR</v>
      </c>
      <c r="S389">
        <f t="shared" si="121"/>
        <v>0</v>
      </c>
      <c r="U389" t="str">
        <f t="shared" si="122"/>
        <v>continue</v>
      </c>
      <c r="V389" t="str">
        <f t="shared" si="123"/>
        <v>manual</v>
      </c>
      <c r="W389" s="5">
        <f t="shared" si="124"/>
        <v>731.0571000000001</v>
      </c>
      <c r="Y389" t="b">
        <f t="shared" si="125"/>
        <v>1</v>
      </c>
      <c r="Z389" t="b">
        <f t="shared" si="126"/>
        <v>0</v>
      </c>
      <c r="AB389" t="str">
        <f t="shared" si="127"/>
        <v/>
      </c>
      <c r="AE389" t="b">
        <v>0</v>
      </c>
    </row>
    <row r="390" spans="1:31" x14ac:dyDescent="0.2">
      <c r="A390" t="str">
        <f t="shared" si="114"/>
        <v>https://shop.officineitalianezard.it/en/penta-steel-mufflers/</v>
      </c>
      <c r="B390" t="b">
        <f>COUNTIF($A$2:$A390, A390)&gt;1</f>
        <v>1</v>
      </c>
      <c r="C390" t="b">
        <f t="shared" si="115"/>
        <v>1</v>
      </c>
      <c r="D390">
        <f>VLOOKUP(A390,variant_counts!A:B, 2, FALSE)</f>
        <v>3</v>
      </c>
      <c r="E390" t="str">
        <f t="shared" si="128"/>
        <v>zard-exhaust-high-mounted-silencers-triumph-street-triple-675-penta-version-ztph040ssr</v>
      </c>
      <c r="F390" t="str">
        <f t="shared" si="116"/>
        <v>ZARD EXHAUST HIGH MOUNTED SILENCERS TRIUMPH STREET TRIPLE 675 PENTA VERSION ZTPH040SSR</v>
      </c>
      <c r="G390" t="str">
        <f t="shared" si="117"/>
        <v/>
      </c>
      <c r="H390" t="str">
        <f t="shared" si="129"/>
        <v/>
      </c>
      <c r="I390" t="str">
        <f t="shared" si="130"/>
        <v/>
      </c>
      <c r="J390" t="str">
        <f t="shared" si="131"/>
        <v/>
      </c>
      <c r="K390" t="str">
        <f t="shared" si="132"/>
        <v/>
      </c>
      <c r="L390" t="str">
        <f t="shared" si="118"/>
        <v>Option</v>
      </c>
      <c r="M390" t="str">
        <f t="shared" si="119"/>
        <v>SILVER</v>
      </c>
      <c r="R390" t="str">
        <f t="shared" si="120"/>
        <v>ZTPH040SSR</v>
      </c>
      <c r="S390">
        <f t="shared" si="121"/>
        <v>0</v>
      </c>
      <c r="U390" t="str">
        <f t="shared" si="122"/>
        <v>continue</v>
      </c>
      <c r="V390" t="str">
        <f t="shared" si="123"/>
        <v>manual</v>
      </c>
      <c r="W390" s="5">
        <f t="shared" si="124"/>
        <v>731.0571000000001</v>
      </c>
      <c r="Y390" t="b">
        <f t="shared" si="125"/>
        <v>1</v>
      </c>
      <c r="Z390" t="b">
        <f t="shared" si="126"/>
        <v>0</v>
      </c>
      <c r="AB390" t="str">
        <f t="shared" si="127"/>
        <v/>
      </c>
      <c r="AE390" t="b">
        <v>0</v>
      </c>
    </row>
    <row r="391" spans="1:31" x14ac:dyDescent="0.2">
      <c r="A391" t="str">
        <f t="shared" si="114"/>
        <v>https://shop.officineitalianezard.it/en/penta-steel-mufflers/</v>
      </c>
      <c r="B391" t="b">
        <f>COUNTIF($A$2:$A391, A391)&gt;1</f>
        <v>1</v>
      </c>
      <c r="C391" t="b">
        <f t="shared" si="115"/>
        <v>1</v>
      </c>
      <c r="D391">
        <f>VLOOKUP(A391,variant_counts!A:B, 2, FALSE)</f>
        <v>3</v>
      </c>
      <c r="E391" t="str">
        <f t="shared" si="128"/>
        <v>zard-exhaust-high-mounted-silencers-triumph-street-triple-675-penta-version-ztph040ssr</v>
      </c>
      <c r="F391" t="str">
        <f t="shared" si="116"/>
        <v>ZARD EXHAUST HIGH MOUNTED SILENCERS TRIUMPH STREET TRIPLE 675 PENTA VERSION ZTPH040SSR</v>
      </c>
      <c r="G391" t="str">
        <f t="shared" si="117"/>
        <v/>
      </c>
      <c r="H391" t="str">
        <f t="shared" si="129"/>
        <v/>
      </c>
      <c r="I391" t="str">
        <f t="shared" si="130"/>
        <v/>
      </c>
      <c r="J391" t="str">
        <f t="shared" si="131"/>
        <v/>
      </c>
      <c r="K391" t="str">
        <f t="shared" si="132"/>
        <v/>
      </c>
      <c r="L391" t="str">
        <f t="shared" si="118"/>
        <v>Option</v>
      </c>
      <c r="M391" t="str">
        <f t="shared" si="119"/>
        <v>CARBON 'PENTA' ENDCAP</v>
      </c>
      <c r="R391" t="str">
        <f t="shared" si="120"/>
        <v>ZTPH040SSR</v>
      </c>
      <c r="S391">
        <f t="shared" si="121"/>
        <v>0</v>
      </c>
      <c r="U391" t="str">
        <f t="shared" si="122"/>
        <v>continue</v>
      </c>
      <c r="V391" t="str">
        <f t="shared" si="123"/>
        <v>manual</v>
      </c>
      <c r="W391" s="5">
        <f t="shared" si="124"/>
        <v>728.60400000000004</v>
      </c>
      <c r="Y391" t="b">
        <f t="shared" si="125"/>
        <v>1</v>
      </c>
      <c r="Z391" t="b">
        <f t="shared" si="126"/>
        <v>0</v>
      </c>
      <c r="AB391" t="str">
        <f t="shared" si="127"/>
        <v/>
      </c>
      <c r="AE391" t="b">
        <v>0</v>
      </c>
    </row>
    <row r="392" spans="1:31" x14ac:dyDescent="0.2">
      <c r="A392" t="str">
        <f t="shared" si="114"/>
        <v>https://shop.officineitalianezard.it/en/steel-conic-muffler/</v>
      </c>
      <c r="B392" t="b">
        <f>COUNTIF($A$2:$A392, A392)&gt;1</f>
        <v>0</v>
      </c>
      <c r="C392" t="b">
        <f t="shared" si="115"/>
        <v>0</v>
      </c>
      <c r="D392">
        <f>VLOOKUP(A392,variant_counts!A:B, 2, FALSE)</f>
        <v>3</v>
      </c>
      <c r="E392" t="str">
        <f t="shared" si="128"/>
        <v>zard-exhaust-low-mounted-silencer-triumph-street-triple-675-conical-version-ztph512ssr</v>
      </c>
      <c r="F392" t="str">
        <f t="shared" si="116"/>
        <v>ZARD EXHAUST LOW MOUNTED SILENCER TRIUMPH STREET TRIPLE 675 CONICAL VERSION ZTPH512SSR</v>
      </c>
      <c r="G392" t="str">
        <f t="shared" si="117"/>
        <v>&lt;p&gt;STEEL RACING SILENCER&lt;/p&gt;
&lt;p&gt;ORIGINAL FULL KIT WEIGHT: KG 7.3&lt;br&gt;ZARD FULL KIT WEIGHT: KG 1.9&lt;/p&gt;
&lt;p&gt;HARD INCREASE, COMPARED TO THE ORIGINAL EXHAUST SYSTEM, IN TERMS OF TORQUE AND POWER AT ANY RANGE.&lt;/p&gt;
&lt;p&gt;ASTONISHING SOUND.&lt;/p&gt;</v>
      </c>
      <c r="H392" t="str">
        <f t="shared" si="129"/>
        <v>ZARD</v>
      </c>
      <c r="I392" t="str">
        <f t="shared" si="130"/>
        <v>Exhaust Pipe</v>
      </c>
      <c r="J392" t="str">
        <f t="shared" si="131"/>
        <v>Test</v>
      </c>
      <c r="K392" t="b">
        <f t="shared" si="132"/>
        <v>0</v>
      </c>
      <c r="L392" t="str">
        <f t="shared" si="118"/>
        <v/>
      </c>
      <c r="M392" t="str">
        <f t="shared" si="119"/>
        <v/>
      </c>
      <c r="R392" t="str">
        <f t="shared" si="120"/>
        <v/>
      </c>
      <c r="S392" t="str">
        <f t="shared" si="121"/>
        <v/>
      </c>
      <c r="U392" t="str">
        <f t="shared" si="122"/>
        <v/>
      </c>
      <c r="V392" t="str">
        <f t="shared" si="123"/>
        <v/>
      </c>
      <c r="W392" s="5" t="str">
        <f t="shared" si="124"/>
        <v/>
      </c>
      <c r="Y392" t="str">
        <f t="shared" si="125"/>
        <v/>
      </c>
      <c r="Z392" t="str">
        <f t="shared" si="126"/>
        <v/>
      </c>
      <c r="AB392" t="str">
        <f t="shared" si="127"/>
        <v>https://shop.officineitalianezard.it/contents/imgs/products/1_173-Street_Triple_sil_basso_3.jpg</v>
      </c>
      <c r="AE392" t="b">
        <v>0</v>
      </c>
    </row>
    <row r="393" spans="1:31" x14ac:dyDescent="0.2">
      <c r="A393" t="str">
        <f t="shared" si="114"/>
        <v>https://shop.officineitalianezard.it/en/steel-conic-muffler/</v>
      </c>
      <c r="B393" t="b">
        <f>COUNTIF($A$2:$A393, A393)&gt;1</f>
        <v>1</v>
      </c>
      <c r="C393" t="b">
        <f t="shared" si="115"/>
        <v>0</v>
      </c>
      <c r="D393">
        <f>VLOOKUP(A393,variant_counts!A:B, 2, FALSE)</f>
        <v>3</v>
      </c>
      <c r="E393" t="str">
        <f t="shared" si="128"/>
        <v>zard-exhaust-low-mounted-silencer-triumph-street-triple-675-conical-version-ztph512ssr</v>
      </c>
      <c r="F393" t="str">
        <f t="shared" si="116"/>
        <v>ZARD EXHAUST LOW MOUNTED SILENCER TRIUMPH STREET TRIPLE 675 CONICAL VERSION ZTPH512SSR</v>
      </c>
      <c r="G393" t="str">
        <f t="shared" si="117"/>
        <v/>
      </c>
      <c r="H393" t="str">
        <f t="shared" si="129"/>
        <v/>
      </c>
      <c r="I393" t="str">
        <f t="shared" si="130"/>
        <v/>
      </c>
      <c r="J393" t="str">
        <f t="shared" si="131"/>
        <v/>
      </c>
      <c r="K393" t="str">
        <f t="shared" si="132"/>
        <v/>
      </c>
      <c r="L393" t="str">
        <f t="shared" si="118"/>
        <v/>
      </c>
      <c r="M393" t="str">
        <f t="shared" si="119"/>
        <v/>
      </c>
      <c r="R393" t="str">
        <f t="shared" si="120"/>
        <v/>
      </c>
      <c r="S393" t="str">
        <f t="shared" si="121"/>
        <v/>
      </c>
      <c r="U393" t="str">
        <f t="shared" si="122"/>
        <v/>
      </c>
      <c r="V393" t="str">
        <f t="shared" si="123"/>
        <v/>
      </c>
      <c r="W393" s="5" t="str">
        <f t="shared" si="124"/>
        <v/>
      </c>
      <c r="Y393" t="str">
        <f t="shared" si="125"/>
        <v/>
      </c>
      <c r="Z393" t="str">
        <f t="shared" si="126"/>
        <v/>
      </c>
      <c r="AB393" t="str">
        <f t="shared" si="127"/>
        <v>https://shop.officineitalianezard.it/contents/imgs/products/1_172-silenz-basso-street-5.jpg</v>
      </c>
      <c r="AE393" t="b">
        <v>0</v>
      </c>
    </row>
    <row r="394" spans="1:31" x14ac:dyDescent="0.2">
      <c r="A394" t="str">
        <f t="shared" si="114"/>
        <v>https://shop.officineitalianezard.it/en/steel-conic-muffler/</v>
      </c>
      <c r="B394" t="b">
        <f>COUNTIF($A$2:$A394, A394)&gt;1</f>
        <v>1</v>
      </c>
      <c r="C394" t="b">
        <f t="shared" si="115"/>
        <v>0</v>
      </c>
      <c r="D394">
        <f>VLOOKUP(A394,variant_counts!A:B, 2, FALSE)</f>
        <v>3</v>
      </c>
      <c r="E394" t="str">
        <f t="shared" si="128"/>
        <v>zard-exhaust-low-mounted-silencer-triumph-street-triple-675-conical-version-ztph512ssr</v>
      </c>
      <c r="F394" t="str">
        <f t="shared" si="116"/>
        <v>ZARD EXHAUST LOW MOUNTED SILENCER TRIUMPH STREET TRIPLE 675 CONICAL VERSION ZTPH512SSR</v>
      </c>
      <c r="G394" t="str">
        <f t="shared" si="117"/>
        <v/>
      </c>
      <c r="H394" t="str">
        <f t="shared" si="129"/>
        <v/>
      </c>
      <c r="I394" t="str">
        <f t="shared" si="130"/>
        <v/>
      </c>
      <c r="J394" t="str">
        <f t="shared" si="131"/>
        <v/>
      </c>
      <c r="K394" t="str">
        <f t="shared" si="132"/>
        <v/>
      </c>
      <c r="L394" t="str">
        <f t="shared" si="118"/>
        <v/>
      </c>
      <c r="M394" t="str">
        <f t="shared" si="119"/>
        <v/>
      </c>
      <c r="R394" t="str">
        <f t="shared" si="120"/>
        <v/>
      </c>
      <c r="S394" t="str">
        <f t="shared" si="121"/>
        <v/>
      </c>
      <c r="U394" t="str">
        <f t="shared" si="122"/>
        <v/>
      </c>
      <c r="V394" t="str">
        <f t="shared" si="123"/>
        <v/>
      </c>
      <c r="W394" s="5" t="str">
        <f t="shared" si="124"/>
        <v/>
      </c>
      <c r="Y394" t="str">
        <f t="shared" si="125"/>
        <v/>
      </c>
      <c r="Z394" t="str">
        <f t="shared" si="126"/>
        <v/>
      </c>
      <c r="AB394" t="str">
        <f t="shared" si="127"/>
        <v>https://shop.officineitalianezard.it/contents/imgs/products/1_174-Street_Triple_sil_basso_2.jpg</v>
      </c>
      <c r="AE394" t="b">
        <v>0</v>
      </c>
    </row>
    <row r="395" spans="1:31" x14ac:dyDescent="0.2">
      <c r="A395" t="str">
        <f t="shared" si="114"/>
        <v>https://shop.officineitalianezard.it/en/steel-conic-muffler/</v>
      </c>
      <c r="B395" t="b">
        <f>COUNTIF($A$2:$A395, A395)&gt;1</f>
        <v>1</v>
      </c>
      <c r="C395" t="b">
        <f t="shared" si="115"/>
        <v>1</v>
      </c>
      <c r="D395">
        <f>VLOOKUP(A395,variant_counts!A:B, 2, FALSE)</f>
        <v>3</v>
      </c>
      <c r="E395" t="str">
        <f t="shared" si="128"/>
        <v>zard-exhaust-low-mounted-silencer-triumph-street-triple-675-conical-version-ztph512ssr</v>
      </c>
      <c r="F395" t="str">
        <f t="shared" si="116"/>
        <v>ZARD EXHAUST LOW MOUNTED SILENCER TRIUMPH STREET TRIPLE 675 CONICAL VERSION ZTPH512SSR</v>
      </c>
      <c r="G395" t="str">
        <f t="shared" si="117"/>
        <v/>
      </c>
      <c r="H395" t="str">
        <f t="shared" si="129"/>
        <v/>
      </c>
      <c r="I395" t="str">
        <f t="shared" si="130"/>
        <v/>
      </c>
      <c r="J395" t="str">
        <f t="shared" si="131"/>
        <v/>
      </c>
      <c r="K395" t="str">
        <f t="shared" si="132"/>
        <v/>
      </c>
      <c r="L395" t="str">
        <f t="shared" si="118"/>
        <v>Option</v>
      </c>
      <c r="M395" t="str">
        <f t="shared" si="119"/>
        <v>EURO 3 HOMOLOGATED</v>
      </c>
      <c r="R395" t="str">
        <f t="shared" si="120"/>
        <v>ZTPH512SSR</v>
      </c>
      <c r="S395">
        <f t="shared" si="121"/>
        <v>0</v>
      </c>
      <c r="U395" t="str">
        <f t="shared" si="122"/>
        <v>continue</v>
      </c>
      <c r="V395" t="str">
        <f t="shared" si="123"/>
        <v>manual</v>
      </c>
      <c r="W395" s="5">
        <f t="shared" si="124"/>
        <v>531.24600000000009</v>
      </c>
      <c r="Y395" t="b">
        <f t="shared" si="125"/>
        <v>1</v>
      </c>
      <c r="Z395" t="b">
        <f t="shared" si="126"/>
        <v>0</v>
      </c>
      <c r="AB395" t="str">
        <f t="shared" si="127"/>
        <v/>
      </c>
      <c r="AE395" t="b">
        <v>0</v>
      </c>
    </row>
    <row r="396" spans="1:31" x14ac:dyDescent="0.2">
      <c r="A396" t="str">
        <f t="shared" si="114"/>
        <v>https://shop.officineitalianezard.it/en/steel-conic-muffler/</v>
      </c>
      <c r="B396" t="b">
        <f>COUNTIF($A$2:$A396, A396)&gt;1</f>
        <v>1</v>
      </c>
      <c r="C396" t="b">
        <f t="shared" si="115"/>
        <v>1</v>
      </c>
      <c r="D396">
        <f>VLOOKUP(A396,variant_counts!A:B, 2, FALSE)</f>
        <v>3</v>
      </c>
      <c r="E396" t="str">
        <f t="shared" si="128"/>
        <v>zard-exhaust-low-mounted-silencer-triumph-street-triple-675-conical-version-ztph512ssr</v>
      </c>
      <c r="F396" t="str">
        <f t="shared" si="116"/>
        <v>ZARD EXHAUST LOW MOUNTED SILENCER TRIUMPH STREET TRIPLE 675 CONICAL VERSION ZTPH512SSR</v>
      </c>
      <c r="G396" t="str">
        <f t="shared" si="117"/>
        <v/>
      </c>
      <c r="H396" t="str">
        <f t="shared" si="129"/>
        <v/>
      </c>
      <c r="I396" t="str">
        <f t="shared" si="130"/>
        <v/>
      </c>
      <c r="J396" t="str">
        <f t="shared" si="131"/>
        <v/>
      </c>
      <c r="K396" t="str">
        <f t="shared" si="132"/>
        <v/>
      </c>
      <c r="L396" t="str">
        <f t="shared" si="118"/>
        <v>Option</v>
      </c>
      <c r="M396" t="str">
        <f t="shared" si="119"/>
        <v>BLACK COATING</v>
      </c>
      <c r="R396" t="str">
        <f t="shared" si="120"/>
        <v>ZTPH512SSR</v>
      </c>
      <c r="S396">
        <f t="shared" si="121"/>
        <v>0</v>
      </c>
      <c r="U396" t="str">
        <f t="shared" si="122"/>
        <v>continue</v>
      </c>
      <c r="V396" t="str">
        <f t="shared" si="123"/>
        <v>manual</v>
      </c>
      <c r="W396" s="5">
        <f t="shared" si="124"/>
        <v>575.46840000000009</v>
      </c>
      <c r="Y396" t="b">
        <f t="shared" si="125"/>
        <v>1</v>
      </c>
      <c r="Z396" t="b">
        <f t="shared" si="126"/>
        <v>0</v>
      </c>
      <c r="AB396" t="str">
        <f t="shared" si="127"/>
        <v/>
      </c>
      <c r="AE396" t="b">
        <v>0</v>
      </c>
    </row>
    <row r="397" spans="1:31" x14ac:dyDescent="0.2">
      <c r="A397" t="str">
        <f t="shared" si="114"/>
        <v>https://shop.officineitalianezard.it/en/steel-conic-muffler/</v>
      </c>
      <c r="B397" t="b">
        <f>COUNTIF($A$2:$A397, A397)&gt;1</f>
        <v>1</v>
      </c>
      <c r="C397" t="b">
        <f t="shared" si="115"/>
        <v>1</v>
      </c>
      <c r="D397">
        <f>VLOOKUP(A397,variant_counts!A:B, 2, FALSE)</f>
        <v>3</v>
      </c>
      <c r="E397" t="str">
        <f t="shared" si="128"/>
        <v>zard-exhaust-low-mounted-silencer-triumph-street-triple-675-conical-version-ztph512ssr</v>
      </c>
      <c r="F397" t="str">
        <f t="shared" si="116"/>
        <v>ZARD EXHAUST LOW MOUNTED SILENCER TRIUMPH STREET TRIPLE 675 CONICAL VERSION ZTPH512SSR</v>
      </c>
      <c r="G397" t="str">
        <f t="shared" si="117"/>
        <v/>
      </c>
      <c r="H397" t="str">
        <f t="shared" si="129"/>
        <v/>
      </c>
      <c r="I397" t="str">
        <f t="shared" si="130"/>
        <v/>
      </c>
      <c r="J397" t="str">
        <f t="shared" si="131"/>
        <v/>
      </c>
      <c r="K397" t="str">
        <f t="shared" si="132"/>
        <v/>
      </c>
      <c r="L397" t="str">
        <f t="shared" si="118"/>
        <v>Option</v>
      </c>
      <c r="M397" t="str">
        <f t="shared" si="119"/>
        <v>CARBON ENDCAP</v>
      </c>
      <c r="R397" t="str">
        <f t="shared" si="120"/>
        <v>ZTPH512SSR</v>
      </c>
      <c r="S397">
        <f t="shared" si="121"/>
        <v>0</v>
      </c>
      <c r="U397" t="str">
        <f t="shared" si="122"/>
        <v>continue</v>
      </c>
      <c r="V397" t="str">
        <f t="shared" si="123"/>
        <v>manual</v>
      </c>
      <c r="W397" s="5">
        <f t="shared" si="124"/>
        <v>531.24600000000009</v>
      </c>
      <c r="Y397" t="b">
        <f t="shared" si="125"/>
        <v>1</v>
      </c>
      <c r="Z397" t="b">
        <f t="shared" si="126"/>
        <v>0</v>
      </c>
      <c r="AB397" t="str">
        <f t="shared" si="127"/>
        <v/>
      </c>
      <c r="AE397" t="b">
        <v>0</v>
      </c>
    </row>
    <row r="398" spans="1:31" x14ac:dyDescent="0.2">
      <c r="A398" t="str">
        <f t="shared" si="114"/>
        <v>https://shop.officineitalianezard.it/en/full-kit-3-1-steel-conic/</v>
      </c>
      <c r="B398" t="b">
        <f>COUNTIF($A$2:$A398, A398)&gt;1</f>
        <v>0</v>
      </c>
      <c r="C398" t="b">
        <f t="shared" si="115"/>
        <v>0</v>
      </c>
      <c r="D398">
        <f>VLOOKUP(A398,variant_counts!A:B, 2, FALSE)</f>
        <v>3</v>
      </c>
      <c r="E398" t="str">
        <f t="shared" si="128"/>
        <v>zard-exhaust-31-full-kit-triumph-street-triple-675-conical-version-ztph040skr</v>
      </c>
      <c r="F398" t="str">
        <f t="shared" si="116"/>
        <v>ZARD EXHAUST 3&gt;1 FULL KIT TRIUMPH STREET TRIPLE 675 CONICAL VERSION ZTPH040SKR</v>
      </c>
      <c r="G398" t="str">
        <f t="shared" si="117"/>
        <v>&lt;p&gt;3&amp;gt;1 STEEL RACING FULL KIT&lt;/p&gt;
&lt;p&gt;ORIGINAL FULL KIT WEIGHT: KG 12.3&lt;br&gt;ZARD RACING FULL KIT WEIGHT: KG 3.9&lt;br&gt;ZARD HOMOLOGATED FULL KIT WEIGHT: KG 5&lt;/p&gt;
&lt;p&gt;HARD INCREASE, COMPARED TO THE ORIGINAL EXHAUST SYSTEM, IN TERMS OF TORQUE AND POWER AT ANY RANGE.&lt;/p&gt;
&lt;p&gt;ASTONISHING SOUND.&lt;/p&gt;</v>
      </c>
      <c r="H398" t="str">
        <f t="shared" si="129"/>
        <v>ZARD</v>
      </c>
      <c r="I398" t="str">
        <f t="shared" si="130"/>
        <v>Exhaust Pipe</v>
      </c>
      <c r="J398" t="str">
        <f t="shared" si="131"/>
        <v>Test</v>
      </c>
      <c r="K398" t="b">
        <f t="shared" si="132"/>
        <v>0</v>
      </c>
      <c r="L398" t="str">
        <f t="shared" si="118"/>
        <v/>
      </c>
      <c r="M398" t="str">
        <f t="shared" si="119"/>
        <v/>
      </c>
      <c r="R398" t="str">
        <f t="shared" si="120"/>
        <v/>
      </c>
      <c r="S398" t="str">
        <f t="shared" si="121"/>
        <v/>
      </c>
      <c r="U398" t="str">
        <f t="shared" si="122"/>
        <v/>
      </c>
      <c r="V398" t="str">
        <f t="shared" si="123"/>
        <v/>
      </c>
      <c r="W398" s="5" t="str">
        <f t="shared" si="124"/>
        <v/>
      </c>
      <c r="Y398" t="str">
        <f t="shared" si="125"/>
        <v/>
      </c>
      <c r="Z398" t="str">
        <f t="shared" si="126"/>
        <v/>
      </c>
      <c r="AB398" t="str">
        <f t="shared" si="127"/>
        <v>https://shop.officineitalianezard.it/contents/imgs/products/1_169-street-kit-conico-basso-3.jpg</v>
      </c>
      <c r="AE398" t="b">
        <v>0</v>
      </c>
    </row>
    <row r="399" spans="1:31" x14ac:dyDescent="0.2">
      <c r="A399" t="str">
        <f t="shared" si="114"/>
        <v>https://shop.officineitalianezard.it/en/full-kit-3-1-steel-conic/</v>
      </c>
      <c r="B399" t="b">
        <f>COUNTIF($A$2:$A399, A399)&gt;1</f>
        <v>1</v>
      </c>
      <c r="C399" t="b">
        <f t="shared" si="115"/>
        <v>0</v>
      </c>
      <c r="D399">
        <f>VLOOKUP(A399,variant_counts!A:B, 2, FALSE)</f>
        <v>3</v>
      </c>
      <c r="E399" t="str">
        <f t="shared" si="128"/>
        <v>zard-exhaust-31-full-kit-triumph-street-triple-675-conical-version-ztph040skr</v>
      </c>
      <c r="F399" t="str">
        <f t="shared" si="116"/>
        <v>ZARD EXHAUST 3&gt;1 FULL KIT TRIUMPH STREET TRIPLE 675 CONICAL VERSION ZTPH040SKR</v>
      </c>
      <c r="G399" t="str">
        <f t="shared" si="117"/>
        <v/>
      </c>
      <c r="H399" t="str">
        <f t="shared" si="129"/>
        <v/>
      </c>
      <c r="I399" t="str">
        <f t="shared" si="130"/>
        <v/>
      </c>
      <c r="J399" t="str">
        <f t="shared" si="131"/>
        <v/>
      </c>
      <c r="K399" t="str">
        <f t="shared" si="132"/>
        <v/>
      </c>
      <c r="L399" t="str">
        <f t="shared" si="118"/>
        <v/>
      </c>
      <c r="M399" t="str">
        <f t="shared" si="119"/>
        <v/>
      </c>
      <c r="R399" t="str">
        <f t="shared" si="120"/>
        <v/>
      </c>
      <c r="S399" t="str">
        <f t="shared" si="121"/>
        <v/>
      </c>
      <c r="U399" t="str">
        <f t="shared" si="122"/>
        <v/>
      </c>
      <c r="V399" t="str">
        <f t="shared" si="123"/>
        <v/>
      </c>
      <c r="W399" s="5" t="str">
        <f t="shared" si="124"/>
        <v/>
      </c>
      <c r="Y399" t="str">
        <f t="shared" si="125"/>
        <v/>
      </c>
      <c r="Z399" t="str">
        <f t="shared" si="126"/>
        <v/>
      </c>
      <c r="AB399" t="str">
        <f t="shared" si="127"/>
        <v>https://shop.officineitalianezard.it/contents/imgs/products/1_171-streetbassogallery1.jpg</v>
      </c>
      <c r="AE399" t="b">
        <v>0</v>
      </c>
    </row>
    <row r="400" spans="1:31" x14ac:dyDescent="0.2">
      <c r="A400" t="str">
        <f t="shared" si="114"/>
        <v>https://shop.officineitalianezard.it/en/full-kit-3-1-steel-conic/</v>
      </c>
      <c r="B400" t="b">
        <f>COUNTIF($A$2:$A400, A400)&gt;1</f>
        <v>1</v>
      </c>
      <c r="C400" t="b">
        <f t="shared" si="115"/>
        <v>0</v>
      </c>
      <c r="D400">
        <f>VLOOKUP(A400,variant_counts!A:B, 2, FALSE)</f>
        <v>3</v>
      </c>
      <c r="E400" t="str">
        <f t="shared" si="128"/>
        <v>zard-exhaust-31-full-kit-triumph-street-triple-675-conical-version-ztph040skr</v>
      </c>
      <c r="F400" t="str">
        <f t="shared" si="116"/>
        <v>ZARD EXHAUST 3&gt;1 FULL KIT TRIUMPH STREET TRIPLE 675 CONICAL VERSION ZTPH040SKR</v>
      </c>
      <c r="G400" t="str">
        <f t="shared" si="117"/>
        <v/>
      </c>
      <c r="H400" t="str">
        <f t="shared" si="129"/>
        <v/>
      </c>
      <c r="I400" t="str">
        <f t="shared" si="130"/>
        <v/>
      </c>
      <c r="J400" t="str">
        <f t="shared" si="131"/>
        <v/>
      </c>
      <c r="K400" t="str">
        <f t="shared" si="132"/>
        <v/>
      </c>
      <c r="L400" t="str">
        <f t="shared" si="118"/>
        <v/>
      </c>
      <c r="M400" t="str">
        <f t="shared" si="119"/>
        <v/>
      </c>
      <c r="R400" t="str">
        <f t="shared" si="120"/>
        <v/>
      </c>
      <c r="S400" t="str">
        <f t="shared" si="121"/>
        <v/>
      </c>
      <c r="U400" t="str">
        <f t="shared" si="122"/>
        <v/>
      </c>
      <c r="V400" t="str">
        <f t="shared" si="123"/>
        <v/>
      </c>
      <c r="W400" s="5" t="str">
        <f t="shared" si="124"/>
        <v/>
      </c>
      <c r="Y400" t="str">
        <f t="shared" si="125"/>
        <v/>
      </c>
      <c r="Z400" t="str">
        <f t="shared" si="126"/>
        <v/>
      </c>
      <c r="AB400" t="str">
        <f t="shared" si="127"/>
        <v>https://shop.officineitalianezard.it/contents/imgs/products/1_170-streetbassogallery3.jpg</v>
      </c>
      <c r="AE400" t="b">
        <v>0</v>
      </c>
    </row>
    <row r="401" spans="1:31" x14ac:dyDescent="0.2">
      <c r="A401" t="str">
        <f t="shared" si="114"/>
        <v>https://shop.officineitalianezard.it/en/full-kit-3-1-steel-conic/</v>
      </c>
      <c r="B401" t="b">
        <f>COUNTIF($A$2:$A401, A401)&gt;1</f>
        <v>1</v>
      </c>
      <c r="C401" t="b">
        <f t="shared" si="115"/>
        <v>1</v>
      </c>
      <c r="D401">
        <f>VLOOKUP(A401,variant_counts!A:B, 2, FALSE)</f>
        <v>3</v>
      </c>
      <c r="E401" t="str">
        <f t="shared" si="128"/>
        <v>zard-exhaust-31-full-kit-triumph-street-triple-675-conical-version-ztph040skr</v>
      </c>
      <c r="F401" t="str">
        <f t="shared" si="116"/>
        <v>ZARD EXHAUST 3&gt;1 FULL KIT TRIUMPH STREET TRIPLE 675 CONICAL VERSION ZTPH040SKR</v>
      </c>
      <c r="G401" t="str">
        <f t="shared" si="117"/>
        <v/>
      </c>
      <c r="H401" t="str">
        <f t="shared" si="129"/>
        <v/>
      </c>
      <c r="I401" t="str">
        <f t="shared" si="130"/>
        <v/>
      </c>
      <c r="J401" t="str">
        <f t="shared" si="131"/>
        <v/>
      </c>
      <c r="K401" t="str">
        <f t="shared" si="132"/>
        <v/>
      </c>
      <c r="L401" t="str">
        <f t="shared" si="118"/>
        <v>Option</v>
      </c>
      <c r="M401" t="str">
        <f t="shared" si="119"/>
        <v>EURO 3 HOMOLOGATED</v>
      </c>
      <c r="R401" t="str">
        <f t="shared" si="120"/>
        <v>ZTPH040SKR</v>
      </c>
      <c r="S401">
        <f t="shared" si="121"/>
        <v>0</v>
      </c>
      <c r="U401" t="str">
        <f t="shared" si="122"/>
        <v>continue</v>
      </c>
      <c r="V401" t="str">
        <f t="shared" si="123"/>
        <v>manual</v>
      </c>
      <c r="W401" s="5">
        <f t="shared" si="124"/>
        <v>1316.7153000000001</v>
      </c>
      <c r="Y401" t="b">
        <f t="shared" si="125"/>
        <v>1</v>
      </c>
      <c r="Z401" t="b">
        <f t="shared" si="126"/>
        <v>0</v>
      </c>
      <c r="AB401" t="str">
        <f t="shared" si="127"/>
        <v/>
      </c>
      <c r="AE401" t="b">
        <v>0</v>
      </c>
    </row>
    <row r="402" spans="1:31" x14ac:dyDescent="0.2">
      <c r="A402" t="str">
        <f t="shared" si="114"/>
        <v>https://shop.officineitalianezard.it/en/full-kit-3-1-steel-conic/</v>
      </c>
      <c r="B402" t="b">
        <f>COUNTIF($A$2:$A402, A402)&gt;1</f>
        <v>1</v>
      </c>
      <c r="C402" t="b">
        <f t="shared" si="115"/>
        <v>1</v>
      </c>
      <c r="D402">
        <f>VLOOKUP(A402,variant_counts!A:B, 2, FALSE)</f>
        <v>3</v>
      </c>
      <c r="E402" t="str">
        <f t="shared" si="128"/>
        <v>zard-exhaust-31-full-kit-triumph-street-triple-675-conical-version-ztph040skr</v>
      </c>
      <c r="F402" t="str">
        <f t="shared" si="116"/>
        <v>ZARD EXHAUST 3&gt;1 FULL KIT TRIUMPH STREET TRIPLE 675 CONICAL VERSION ZTPH040SKR</v>
      </c>
      <c r="G402" t="str">
        <f t="shared" si="117"/>
        <v/>
      </c>
      <c r="H402" t="str">
        <f t="shared" si="129"/>
        <v/>
      </c>
      <c r="I402" t="str">
        <f t="shared" si="130"/>
        <v/>
      </c>
      <c r="J402" t="str">
        <f t="shared" si="131"/>
        <v/>
      </c>
      <c r="K402" t="str">
        <f t="shared" si="132"/>
        <v/>
      </c>
      <c r="L402" t="str">
        <f t="shared" si="118"/>
        <v>Option</v>
      </c>
      <c r="M402" t="str">
        <f t="shared" si="119"/>
        <v>BLACK COATING</v>
      </c>
      <c r="R402" t="str">
        <f t="shared" si="120"/>
        <v>ZTPH040SKR</v>
      </c>
      <c r="S402">
        <f t="shared" si="121"/>
        <v>0</v>
      </c>
      <c r="U402" t="str">
        <f t="shared" si="122"/>
        <v>continue</v>
      </c>
      <c r="V402" t="str">
        <f t="shared" si="123"/>
        <v>manual</v>
      </c>
      <c r="W402" s="5">
        <f t="shared" si="124"/>
        <v>1359.2949000000003</v>
      </c>
      <c r="Y402" t="b">
        <f t="shared" si="125"/>
        <v>1</v>
      </c>
      <c r="Z402" t="b">
        <f t="shared" si="126"/>
        <v>0</v>
      </c>
      <c r="AB402" t="str">
        <f t="shared" si="127"/>
        <v/>
      </c>
      <c r="AE402" t="b">
        <v>0</v>
      </c>
    </row>
    <row r="403" spans="1:31" x14ac:dyDescent="0.2">
      <c r="A403" t="str">
        <f t="shared" si="114"/>
        <v>https://shop.officineitalianezard.it/en/full-kit-3-1-steel-conic/</v>
      </c>
      <c r="B403" t="b">
        <f>COUNTIF($A$2:$A403, A403)&gt;1</f>
        <v>1</v>
      </c>
      <c r="C403" t="b">
        <f t="shared" si="115"/>
        <v>1</v>
      </c>
      <c r="D403">
        <f>VLOOKUP(A403,variant_counts!A:B, 2, FALSE)</f>
        <v>3</v>
      </c>
      <c r="E403" t="str">
        <f t="shared" si="128"/>
        <v>zard-exhaust-31-full-kit-triumph-street-triple-675-conical-version-ztph040skr</v>
      </c>
      <c r="F403" t="str">
        <f t="shared" si="116"/>
        <v>ZARD EXHAUST 3&gt;1 FULL KIT TRIUMPH STREET TRIPLE 675 CONICAL VERSION ZTPH040SKR</v>
      </c>
      <c r="G403" t="str">
        <f t="shared" si="117"/>
        <v/>
      </c>
      <c r="H403" t="str">
        <f t="shared" si="129"/>
        <v/>
      </c>
      <c r="I403" t="str">
        <f t="shared" si="130"/>
        <v/>
      </c>
      <c r="J403" t="str">
        <f t="shared" si="131"/>
        <v/>
      </c>
      <c r="K403" t="str">
        <f t="shared" si="132"/>
        <v/>
      </c>
      <c r="L403" t="str">
        <f t="shared" si="118"/>
        <v>Option</v>
      </c>
      <c r="M403" t="str">
        <f t="shared" si="119"/>
        <v>CARBON ENDCAP</v>
      </c>
      <c r="R403" t="str">
        <f t="shared" si="120"/>
        <v>ZTPH040SKR</v>
      </c>
      <c r="S403">
        <f t="shared" si="121"/>
        <v>0</v>
      </c>
      <c r="U403" t="str">
        <f t="shared" si="122"/>
        <v>continue</v>
      </c>
      <c r="V403" t="str">
        <f t="shared" si="123"/>
        <v>manual</v>
      </c>
      <c r="W403" s="5">
        <f t="shared" si="124"/>
        <v>1212.7194000000002</v>
      </c>
      <c r="Y403" t="b">
        <f t="shared" si="125"/>
        <v>1</v>
      </c>
      <c r="Z403" t="b">
        <f t="shared" si="126"/>
        <v>0</v>
      </c>
      <c r="AB403" t="str">
        <f t="shared" si="127"/>
        <v/>
      </c>
      <c r="AE403" t="b">
        <v>0</v>
      </c>
    </row>
    <row r="404" spans="1:31" x14ac:dyDescent="0.2">
      <c r="A404" t="str">
        <f t="shared" si="114"/>
        <v>https://shop.officineitalianezard.it/en/triumph-speed-twin-exhaust/</v>
      </c>
      <c r="B404" t="b">
        <f>COUNTIF($A$2:$A404, A404)&gt;1</f>
        <v>0</v>
      </c>
      <c r="C404" t="b">
        <f t="shared" si="115"/>
        <v>0</v>
      </c>
      <c r="D404">
        <f>VLOOKUP(A404,variant_counts!A:B, 2, FALSE)</f>
        <v>2</v>
      </c>
      <c r="E404" t="str">
        <f t="shared" si="128"/>
        <v>zard-exhaust-21-full-kit-triumph-speed-twin-my-2018-19-sp-version-ztph092skr</v>
      </c>
      <c r="F404" t="str">
        <f t="shared" si="116"/>
        <v>ZARD EXHAUST 2&gt;1 FULL KIT TRIUMPH SPEED TWIN M.Y. 2018-19 SP VERSION ZTPH092SKR</v>
      </c>
      <c r="G404" t="str">
        <f t="shared" si="117"/>
        <v>&lt;p&gt;2&amp;gt;1 STAINLESS STEELL RACING FULL KIT WITH REMOVABLE&lt;br&gt;DB-KILLERS. CARBON END-CAP AVAILABLE AS OPTIONAL&lt;/p&gt;
&lt;p&gt;ORIGINAL FULL KIT WEIGHT:&amp;nbsp;&lt;br&gt;ZARD FULL KIT WEIGHT: 4.1 KG&lt;/p&gt;
&lt;p&gt;THE INSTALLATION OF ZARD EXHAUST FOR TRIUMPH SPEED TWIN&lt;br&gt;DOES NOT IMPLY ANY MODIFICATION TO ECU&lt;/p&gt;
&lt;p&gt;HARD INCREASE, COMPARED TO THE ORIGINAL EXHAUST SYSTEM,&lt;br&gt;IN TERMS OF TORQUE AND POWER AT ANY RANGE, ASTONISHING SOUND.&lt;/p&gt;
&lt;p&gt;&lt;strong&gt;NOTICE&lt;/strong&gt;: THIS PRODUCT FITS ALSO ON TRIUMPH THRUXTON-R RACING ONLY&lt;/p&gt;</v>
      </c>
      <c r="H404" t="str">
        <f t="shared" si="129"/>
        <v>ZARD</v>
      </c>
      <c r="I404" t="str">
        <f t="shared" si="130"/>
        <v>Exhaust Pipe</v>
      </c>
      <c r="J404" t="str">
        <f t="shared" si="131"/>
        <v>Test</v>
      </c>
      <c r="K404" t="b">
        <f t="shared" si="132"/>
        <v>0</v>
      </c>
      <c r="L404" t="str">
        <f t="shared" si="118"/>
        <v/>
      </c>
      <c r="M404" t="str">
        <f t="shared" si="119"/>
        <v/>
      </c>
      <c r="R404" t="str">
        <f t="shared" si="120"/>
        <v/>
      </c>
      <c r="S404" t="str">
        <f t="shared" si="121"/>
        <v/>
      </c>
      <c r="U404" t="str">
        <f t="shared" si="122"/>
        <v/>
      </c>
      <c r="V404" t="str">
        <f t="shared" si="123"/>
        <v/>
      </c>
      <c r="W404" s="5" t="str">
        <f t="shared" si="124"/>
        <v/>
      </c>
      <c r="Y404" t="str">
        <f t="shared" si="125"/>
        <v/>
      </c>
      <c r="Z404" t="str">
        <f t="shared" si="126"/>
        <v/>
      </c>
      <c r="AB404" t="str">
        <f t="shared" si="127"/>
        <v>https://shop.officineitalianezard.it/contents/imgs/products/1_2593-1%20scarico%20triumph%20speed%20twin%20scarichi%20zard%20exhaust.jpg</v>
      </c>
      <c r="AE404" t="b">
        <v>0</v>
      </c>
    </row>
    <row r="405" spans="1:31" x14ac:dyDescent="0.2">
      <c r="A405" t="str">
        <f t="shared" si="114"/>
        <v>https://shop.officineitalianezard.it/en/triumph-speed-twin-exhaust/</v>
      </c>
      <c r="B405" t="b">
        <f>COUNTIF($A$2:$A405, A405)&gt;1</f>
        <v>1</v>
      </c>
      <c r="C405" t="b">
        <f t="shared" si="115"/>
        <v>0</v>
      </c>
      <c r="D405">
        <f>VLOOKUP(A405,variant_counts!A:B, 2, FALSE)</f>
        <v>2</v>
      </c>
      <c r="E405" t="str">
        <f t="shared" si="128"/>
        <v>zard-exhaust-21-full-kit-triumph-speed-twin-my-2018-19-sp-version-ztph092skr</v>
      </c>
      <c r="F405" t="str">
        <f t="shared" si="116"/>
        <v>ZARD EXHAUST 2&gt;1 FULL KIT TRIUMPH SPEED TWIN M.Y. 2018-19 SP VERSION ZTPH092SKR</v>
      </c>
      <c r="G405" t="str">
        <f t="shared" si="117"/>
        <v/>
      </c>
      <c r="H405" t="str">
        <f t="shared" si="129"/>
        <v/>
      </c>
      <c r="I405" t="str">
        <f t="shared" si="130"/>
        <v/>
      </c>
      <c r="J405" t="str">
        <f t="shared" si="131"/>
        <v/>
      </c>
      <c r="K405" t="str">
        <f t="shared" si="132"/>
        <v/>
      </c>
      <c r="L405" t="str">
        <f t="shared" si="118"/>
        <v/>
      </c>
      <c r="M405" t="str">
        <f t="shared" si="119"/>
        <v/>
      </c>
      <c r="R405" t="str">
        <f t="shared" si="120"/>
        <v/>
      </c>
      <c r="S405" t="str">
        <f t="shared" si="121"/>
        <v/>
      </c>
      <c r="U405" t="str">
        <f t="shared" si="122"/>
        <v/>
      </c>
      <c r="V405" t="str">
        <f t="shared" si="123"/>
        <v/>
      </c>
      <c r="W405" s="5" t="str">
        <f t="shared" si="124"/>
        <v/>
      </c>
      <c r="Y405" t="str">
        <f t="shared" si="125"/>
        <v/>
      </c>
      <c r="Z405" t="str">
        <f t="shared" si="126"/>
        <v/>
      </c>
      <c r="AB405" t="str">
        <f t="shared" si="127"/>
        <v>https://shop.officineitalianezard.it/contents/imgs/products/1_2597-2%20scarico%20triumph%20speed%20twin%20scarichi%20zard%20exhaust.jpg</v>
      </c>
      <c r="AE405" t="b">
        <v>0</v>
      </c>
    </row>
    <row r="406" spans="1:31" x14ac:dyDescent="0.2">
      <c r="A406" t="str">
        <f t="shared" si="114"/>
        <v>https://shop.officineitalianezard.it/en/triumph-speed-twin-exhaust/</v>
      </c>
      <c r="B406" t="b">
        <f>COUNTIF($A$2:$A406, A406)&gt;1</f>
        <v>1</v>
      </c>
      <c r="C406" t="b">
        <f t="shared" si="115"/>
        <v>0</v>
      </c>
      <c r="D406">
        <f>VLOOKUP(A406,variant_counts!A:B, 2, FALSE)</f>
        <v>2</v>
      </c>
      <c r="E406" t="str">
        <f t="shared" si="128"/>
        <v>zard-exhaust-21-full-kit-triumph-speed-twin-my-2018-19-sp-version-ztph092skr</v>
      </c>
      <c r="F406" t="str">
        <f t="shared" si="116"/>
        <v>ZARD EXHAUST 2&gt;1 FULL KIT TRIUMPH SPEED TWIN M.Y. 2018-19 SP VERSION ZTPH092SKR</v>
      </c>
      <c r="G406" t="str">
        <f t="shared" si="117"/>
        <v/>
      </c>
      <c r="H406" t="str">
        <f t="shared" si="129"/>
        <v/>
      </c>
      <c r="I406" t="str">
        <f t="shared" si="130"/>
        <v/>
      </c>
      <c r="J406" t="str">
        <f t="shared" si="131"/>
        <v/>
      </c>
      <c r="K406" t="str">
        <f t="shared" si="132"/>
        <v/>
      </c>
      <c r="L406" t="str">
        <f t="shared" si="118"/>
        <v/>
      </c>
      <c r="M406" t="str">
        <f t="shared" si="119"/>
        <v/>
      </c>
      <c r="R406" t="str">
        <f t="shared" si="120"/>
        <v/>
      </c>
      <c r="S406" t="str">
        <f t="shared" si="121"/>
        <v/>
      </c>
      <c r="U406" t="str">
        <f t="shared" si="122"/>
        <v/>
      </c>
      <c r="V406" t="str">
        <f t="shared" si="123"/>
        <v/>
      </c>
      <c r="W406" s="5" t="str">
        <f t="shared" si="124"/>
        <v/>
      </c>
      <c r="Y406" t="str">
        <f t="shared" si="125"/>
        <v/>
      </c>
      <c r="Z406" t="str">
        <f t="shared" si="126"/>
        <v/>
      </c>
      <c r="AB406" t="str">
        <f t="shared" si="127"/>
        <v>https://shop.officineitalianezard.it/contents/imgs/products/1_2594-3%20scarico%20triumph%20speed%20twin%20scarichi%20zard%20exhaust.jpg</v>
      </c>
      <c r="AE406" t="b">
        <v>0</v>
      </c>
    </row>
    <row r="407" spans="1:31" x14ac:dyDescent="0.2">
      <c r="A407" t="str">
        <f t="shared" si="114"/>
        <v>https://shop.officineitalianezard.it/en/triumph-speed-twin-exhaust/</v>
      </c>
      <c r="B407" t="b">
        <f>COUNTIF($A$2:$A407, A407)&gt;1</f>
        <v>1</v>
      </c>
      <c r="C407" t="b">
        <f t="shared" si="115"/>
        <v>0</v>
      </c>
      <c r="D407">
        <f>VLOOKUP(A407,variant_counts!A:B, 2, FALSE)</f>
        <v>2</v>
      </c>
      <c r="E407" t="str">
        <f t="shared" si="128"/>
        <v>zard-exhaust-21-full-kit-triumph-speed-twin-my-2018-19-sp-version-ztph092skr</v>
      </c>
      <c r="F407" t="str">
        <f t="shared" si="116"/>
        <v>ZARD EXHAUST 2&gt;1 FULL KIT TRIUMPH SPEED TWIN M.Y. 2018-19 SP VERSION ZTPH092SKR</v>
      </c>
      <c r="G407" t="str">
        <f t="shared" si="117"/>
        <v/>
      </c>
      <c r="H407" t="str">
        <f t="shared" si="129"/>
        <v/>
      </c>
      <c r="I407" t="str">
        <f t="shared" si="130"/>
        <v/>
      </c>
      <c r="J407" t="str">
        <f t="shared" si="131"/>
        <v/>
      </c>
      <c r="K407" t="str">
        <f t="shared" si="132"/>
        <v/>
      </c>
      <c r="L407" t="str">
        <f t="shared" si="118"/>
        <v/>
      </c>
      <c r="M407" t="str">
        <f t="shared" si="119"/>
        <v/>
      </c>
      <c r="R407" t="str">
        <f t="shared" si="120"/>
        <v/>
      </c>
      <c r="S407" t="str">
        <f t="shared" si="121"/>
        <v/>
      </c>
      <c r="U407" t="str">
        <f t="shared" si="122"/>
        <v/>
      </c>
      <c r="V407" t="str">
        <f t="shared" si="123"/>
        <v/>
      </c>
      <c r="W407" s="5" t="str">
        <f t="shared" si="124"/>
        <v/>
      </c>
      <c r="Y407" t="str">
        <f t="shared" si="125"/>
        <v/>
      </c>
      <c r="Z407" t="str">
        <f t="shared" si="126"/>
        <v/>
      </c>
      <c r="AB407" t="str">
        <f t="shared" si="127"/>
        <v>https://shop.officineitalianezard.it/contents/imgs/products/1_2595-4%20scarico%20triumph%20speed%20twin%20scarichi%20zard%20exhaust.jpg</v>
      </c>
      <c r="AE407" t="b">
        <v>0</v>
      </c>
    </row>
    <row r="408" spans="1:31" x14ac:dyDescent="0.2">
      <c r="A408" t="str">
        <f t="shared" si="114"/>
        <v>https://shop.officineitalianezard.it/en/triumph-speed-twin-exhaust/</v>
      </c>
      <c r="B408" t="b">
        <f>COUNTIF($A$2:$A408, A408)&gt;1</f>
        <v>1</v>
      </c>
      <c r="C408" t="b">
        <f t="shared" si="115"/>
        <v>0</v>
      </c>
      <c r="D408">
        <f>VLOOKUP(A408,variant_counts!A:B, 2, FALSE)</f>
        <v>2</v>
      </c>
      <c r="E408" t="str">
        <f t="shared" si="128"/>
        <v>zard-exhaust-21-full-kit-triumph-speed-twin-my-2018-19-sp-version-ztph092skr</v>
      </c>
      <c r="F408" t="str">
        <f t="shared" si="116"/>
        <v>ZARD EXHAUST 2&gt;1 FULL KIT TRIUMPH SPEED TWIN M.Y. 2018-19 SP VERSION ZTPH092SKR</v>
      </c>
      <c r="G408" t="str">
        <f t="shared" si="117"/>
        <v/>
      </c>
      <c r="H408" t="str">
        <f t="shared" si="129"/>
        <v/>
      </c>
      <c r="I408" t="str">
        <f t="shared" si="130"/>
        <v/>
      </c>
      <c r="J408" t="str">
        <f t="shared" si="131"/>
        <v/>
      </c>
      <c r="K408" t="str">
        <f t="shared" si="132"/>
        <v/>
      </c>
      <c r="L408" t="str">
        <f t="shared" si="118"/>
        <v/>
      </c>
      <c r="M408" t="str">
        <f t="shared" si="119"/>
        <v/>
      </c>
      <c r="R408" t="str">
        <f t="shared" si="120"/>
        <v/>
      </c>
      <c r="S408" t="str">
        <f t="shared" si="121"/>
        <v/>
      </c>
      <c r="U408" t="str">
        <f t="shared" si="122"/>
        <v/>
      </c>
      <c r="V408" t="str">
        <f t="shared" si="123"/>
        <v/>
      </c>
      <c r="W408" s="5" t="str">
        <f t="shared" si="124"/>
        <v/>
      </c>
      <c r="Y408" t="str">
        <f t="shared" si="125"/>
        <v/>
      </c>
      <c r="Z408" t="str">
        <f t="shared" si="126"/>
        <v/>
      </c>
      <c r="AB408" t="str">
        <f t="shared" si="127"/>
        <v>https://shop.officineitalianezard.it/contents/imgs/products/1_2596-5%20scarico%20triumph%20speed%20twin%20scarichi%20zard%20exhaust.jpg</v>
      </c>
      <c r="AE408" t="b">
        <v>0</v>
      </c>
    </row>
    <row r="409" spans="1:31" x14ac:dyDescent="0.2">
      <c r="A409" t="str">
        <f t="shared" si="114"/>
        <v>https://shop.officineitalianezard.it/en/triumph-speed-twin-exhaust/</v>
      </c>
      <c r="B409" t="b">
        <f>COUNTIF($A$2:$A409, A409)&gt;1</f>
        <v>1</v>
      </c>
      <c r="C409" t="b">
        <f t="shared" si="115"/>
        <v>1</v>
      </c>
      <c r="D409">
        <f>VLOOKUP(A409,variant_counts!A:B, 2, FALSE)</f>
        <v>2</v>
      </c>
      <c r="E409" t="str">
        <f t="shared" si="128"/>
        <v>zard-exhaust-21-full-kit-triumph-speed-twin-my-2018-19-sp-version-ztph092skr</v>
      </c>
      <c r="F409" t="str">
        <f t="shared" si="116"/>
        <v>ZARD EXHAUST 2&gt;1 FULL KIT TRIUMPH SPEED TWIN M.Y. 2018-19 SP VERSION ZTPH092SKR</v>
      </c>
      <c r="G409" t="str">
        <f t="shared" si="117"/>
        <v/>
      </c>
      <c r="H409" t="str">
        <f t="shared" si="129"/>
        <v/>
      </c>
      <c r="I409" t="str">
        <f t="shared" si="130"/>
        <v/>
      </c>
      <c r="J409" t="str">
        <f t="shared" si="131"/>
        <v/>
      </c>
      <c r="K409" t="str">
        <f t="shared" si="132"/>
        <v/>
      </c>
      <c r="L409" t="str">
        <f t="shared" si="118"/>
        <v>Option</v>
      </c>
      <c r="M409" t="str">
        <f t="shared" si="119"/>
        <v>BLACK COATING</v>
      </c>
      <c r="R409" t="str">
        <f t="shared" si="120"/>
        <v>ZTPH092SKR</v>
      </c>
      <c r="S409">
        <f t="shared" si="121"/>
        <v>0</v>
      </c>
      <c r="U409" t="str">
        <f t="shared" si="122"/>
        <v>continue</v>
      </c>
      <c r="V409" t="str">
        <f t="shared" si="123"/>
        <v>manual</v>
      </c>
      <c r="W409" s="5">
        <f t="shared" si="124"/>
        <v>1189.1541</v>
      </c>
      <c r="Y409" t="b">
        <f t="shared" si="125"/>
        <v>1</v>
      </c>
      <c r="Z409" t="b">
        <f t="shared" si="126"/>
        <v>0</v>
      </c>
      <c r="AB409" t="str">
        <f t="shared" si="127"/>
        <v/>
      </c>
      <c r="AE409" t="b">
        <v>0</v>
      </c>
    </row>
    <row r="410" spans="1:31" x14ac:dyDescent="0.2">
      <c r="A410" t="str">
        <f t="shared" si="114"/>
        <v>https://shop.officineitalianezard.it/en/triumph-speed-twin-exhaust/</v>
      </c>
      <c r="B410" t="b">
        <f>COUNTIF($A$2:$A410, A410)&gt;1</f>
        <v>1</v>
      </c>
      <c r="C410" t="b">
        <f t="shared" si="115"/>
        <v>1</v>
      </c>
      <c r="D410">
        <f>VLOOKUP(A410,variant_counts!A:B, 2, FALSE)</f>
        <v>2</v>
      </c>
      <c r="E410" t="str">
        <f t="shared" si="128"/>
        <v>zard-exhaust-21-full-kit-triumph-speed-twin-my-2018-19-sp-version-ztph092skr</v>
      </c>
      <c r="F410" t="str">
        <f t="shared" si="116"/>
        <v>ZARD EXHAUST 2&gt;1 FULL KIT TRIUMPH SPEED TWIN M.Y. 2018-19 SP VERSION ZTPH092SKR</v>
      </c>
      <c r="G410" t="str">
        <f t="shared" si="117"/>
        <v/>
      </c>
      <c r="H410" t="str">
        <f t="shared" si="129"/>
        <v/>
      </c>
      <c r="I410" t="str">
        <f t="shared" si="130"/>
        <v/>
      </c>
      <c r="J410" t="str">
        <f t="shared" si="131"/>
        <v/>
      </c>
      <c r="K410" t="str">
        <f t="shared" si="132"/>
        <v/>
      </c>
      <c r="L410" t="str">
        <f t="shared" si="118"/>
        <v>Option</v>
      </c>
      <c r="M410" t="str">
        <f t="shared" si="119"/>
        <v>CARBON END-CAP</v>
      </c>
      <c r="R410" t="str">
        <f t="shared" si="120"/>
        <v>ZTPH092SKR</v>
      </c>
      <c r="S410">
        <f t="shared" si="121"/>
        <v>0</v>
      </c>
      <c r="U410" t="str">
        <f t="shared" si="122"/>
        <v>continue</v>
      </c>
      <c r="V410" t="str">
        <f t="shared" si="123"/>
        <v>manual</v>
      </c>
      <c r="W410" s="5">
        <f t="shared" si="124"/>
        <v>1041.7683</v>
      </c>
      <c r="Y410" t="b">
        <f t="shared" si="125"/>
        <v>1</v>
      </c>
      <c r="Z410" t="b">
        <f t="shared" si="126"/>
        <v>0</v>
      </c>
      <c r="AB410" t="str">
        <f t="shared" si="127"/>
        <v/>
      </c>
      <c r="AE410" t="b">
        <v>0</v>
      </c>
    </row>
    <row r="411" spans="1:31" x14ac:dyDescent="0.2">
      <c r="A411" t="str">
        <f t="shared" si="114"/>
        <v>https://shop.officineitalianezard.it/en/triumph-speed-twin-exhaust-sp-2/</v>
      </c>
      <c r="B411" t="b">
        <f>COUNTIF($A$2:$A411, A411)&gt;1</f>
        <v>0</v>
      </c>
      <c r="C411" t="b">
        <f t="shared" si="115"/>
        <v>0</v>
      </c>
      <c r="D411">
        <f>VLOOKUP(A411,variant_counts!A:B, 2, FALSE)</f>
        <v>2</v>
      </c>
      <c r="E411" t="str">
        <f t="shared" si="128"/>
        <v>zard-exhaust-n-2-slip-ons-triumph-speed-twin-my-2018-19-sp-version-ztph093ssr</v>
      </c>
      <c r="F411" t="str">
        <f t="shared" si="116"/>
        <v>ZARD EXHAUST N. 2 SLIP-ONS TRIUMPH SPEED TWIN M.Y. 2018-19 SP VERSION ZTPH093SSR</v>
      </c>
      <c r="G411" t="str">
        <f t="shared" si="117"/>
        <v>&lt;p&gt;N.2 STAINLESS STEEL RACING SLIP-ONS WITH REMOVABLE&lt;br&gt;DBKILLERS. EURO 4 HOMOLOGATED VERSION AND CARBON END-CAPS&lt;br&gt;AVAILABLE AS OPTIONALS.&lt;/p&gt;
&lt;p&gt;ORIGINAL SILENCERS WEIGHT: 5.8 KG&lt;br&gt;ZARD SILENCERS WEIGHT: 3.6 KG&lt;/p&gt;
&lt;p&gt;THE INSTALLATION OF ZARD EXHAUST FOR TRIUMPH SPEED TWIN&lt;br&gt;DOES NOT IMPLY ANY MODIFICATION TO ECU&lt;/p&gt;
&lt;p&gt;SIGNIFICANT INCREASE, COMPARED TO THE ORIGINAL EXHAUST SYSTEM,&lt;br&gt;IN TERMS OF TORQUE AND POWER AT ANY RANGE, ASTONISHING SOUND.&lt;/p&gt;
&lt;p&gt;&lt;strong&gt;NOTICE&lt;/strong&gt;: THIS PRODUCT FITS ALSO ON TRIUMPH THRUXTON-R RACING ONLY&lt;/p&gt;
&lt;p&gt;&lt;span style="color: #ff0000;"&gt;&lt;strong&gt;&lt;a href="https://shop.officineitalianezard.it/en/decatalyzer-kit-for-triumph-bonneville-t120-thruxton-r-street-twin-speed-twin-zard/" style="color: #ff0000;"&gt;FIND OUT THE ZARD DECATALYZER KIT&lt;/a&gt;&lt;/strong&gt;&lt;/span&gt;&lt;/p&gt;</v>
      </c>
      <c r="H411" t="str">
        <f t="shared" si="129"/>
        <v>ZARD</v>
      </c>
      <c r="I411" t="str">
        <f t="shared" si="130"/>
        <v>Exhaust Pipe</v>
      </c>
      <c r="J411" t="str">
        <f t="shared" si="131"/>
        <v>Test</v>
      </c>
      <c r="K411" t="b">
        <f t="shared" si="132"/>
        <v>0</v>
      </c>
      <c r="L411" t="str">
        <f t="shared" si="118"/>
        <v/>
      </c>
      <c r="M411" t="str">
        <f t="shared" si="119"/>
        <v/>
      </c>
      <c r="R411" t="str">
        <f t="shared" si="120"/>
        <v/>
      </c>
      <c r="S411" t="str">
        <f t="shared" si="121"/>
        <v/>
      </c>
      <c r="U411" t="str">
        <f t="shared" si="122"/>
        <v/>
      </c>
      <c r="V411" t="str">
        <f t="shared" si="123"/>
        <v/>
      </c>
      <c r="W411" s="5" t="str">
        <f t="shared" si="124"/>
        <v/>
      </c>
      <c r="Y411" t="str">
        <f t="shared" si="125"/>
        <v/>
      </c>
      <c r="Z411" t="str">
        <f t="shared" si="126"/>
        <v/>
      </c>
      <c r="AB411" t="str">
        <f t="shared" si="127"/>
        <v>https://shop.officineitalianezard.it/contents/imgs/products/1_2676-scarichi%20triumph%20speed%20twin.jpg</v>
      </c>
      <c r="AE411" t="b">
        <v>0</v>
      </c>
    </row>
    <row r="412" spans="1:31" x14ac:dyDescent="0.2">
      <c r="A412" t="str">
        <f t="shared" si="114"/>
        <v>https://shop.officineitalianezard.it/en/triumph-speed-twin-exhaust-sp-2/</v>
      </c>
      <c r="B412" t="b">
        <f>COUNTIF($A$2:$A412, A412)&gt;1</f>
        <v>1</v>
      </c>
      <c r="C412" t="b">
        <f t="shared" si="115"/>
        <v>0</v>
      </c>
      <c r="D412">
        <f>VLOOKUP(A412,variant_counts!A:B, 2, FALSE)</f>
        <v>2</v>
      </c>
      <c r="E412" t="str">
        <f t="shared" si="128"/>
        <v>zard-exhaust-n-2-slip-ons-triumph-speed-twin-my-2018-19-sp-version-ztph093ssr</v>
      </c>
      <c r="F412" t="str">
        <f t="shared" si="116"/>
        <v>ZARD EXHAUST N. 2 SLIP-ONS TRIUMPH SPEED TWIN M.Y. 2018-19 SP VERSION ZTPH093SSR</v>
      </c>
      <c r="G412" t="str">
        <f t="shared" si="117"/>
        <v/>
      </c>
      <c r="H412" t="str">
        <f t="shared" si="129"/>
        <v/>
      </c>
      <c r="I412" t="str">
        <f t="shared" si="130"/>
        <v/>
      </c>
      <c r="J412" t="str">
        <f t="shared" si="131"/>
        <v/>
      </c>
      <c r="K412" t="str">
        <f t="shared" si="132"/>
        <v/>
      </c>
      <c r="L412" t="str">
        <f t="shared" si="118"/>
        <v/>
      </c>
      <c r="M412" t="str">
        <f t="shared" si="119"/>
        <v/>
      </c>
      <c r="R412" t="str">
        <f t="shared" si="120"/>
        <v/>
      </c>
      <c r="S412" t="str">
        <f t="shared" si="121"/>
        <v/>
      </c>
      <c r="U412" t="str">
        <f t="shared" si="122"/>
        <v/>
      </c>
      <c r="V412" t="str">
        <f t="shared" si="123"/>
        <v/>
      </c>
      <c r="W412" s="5" t="str">
        <f t="shared" si="124"/>
        <v/>
      </c>
      <c r="Y412" t="str">
        <f t="shared" si="125"/>
        <v/>
      </c>
      <c r="Z412" t="str">
        <f t="shared" si="126"/>
        <v/>
      </c>
      <c r="AB412" t="str">
        <f t="shared" si="127"/>
        <v>https://shop.officineitalianezard.it/contents/imgs/products/1_2598-1%20scarico%20triumph%20speed%20twin%20scarichi%20zard%20exhaust.jpg</v>
      </c>
      <c r="AE412" t="b">
        <v>0</v>
      </c>
    </row>
    <row r="413" spans="1:31" x14ac:dyDescent="0.2">
      <c r="A413" t="str">
        <f t="shared" si="114"/>
        <v>https://shop.officineitalianezard.it/en/triumph-speed-twin-exhaust-sp-2/</v>
      </c>
      <c r="B413" t="b">
        <f>COUNTIF($A$2:$A413, A413)&gt;1</f>
        <v>1</v>
      </c>
      <c r="C413" t="b">
        <f t="shared" si="115"/>
        <v>0</v>
      </c>
      <c r="D413">
        <f>VLOOKUP(A413,variant_counts!A:B, 2, FALSE)</f>
        <v>2</v>
      </c>
      <c r="E413" t="str">
        <f t="shared" si="128"/>
        <v>zard-exhaust-n-2-slip-ons-triumph-speed-twin-my-2018-19-sp-version-ztph093ssr</v>
      </c>
      <c r="F413" t="str">
        <f t="shared" si="116"/>
        <v>ZARD EXHAUST N. 2 SLIP-ONS TRIUMPH SPEED TWIN M.Y. 2018-19 SP VERSION ZTPH093SSR</v>
      </c>
      <c r="G413" t="str">
        <f t="shared" si="117"/>
        <v/>
      </c>
      <c r="H413" t="str">
        <f t="shared" si="129"/>
        <v/>
      </c>
      <c r="I413" t="str">
        <f t="shared" si="130"/>
        <v/>
      </c>
      <c r="J413" t="str">
        <f t="shared" si="131"/>
        <v/>
      </c>
      <c r="K413" t="str">
        <f t="shared" si="132"/>
        <v/>
      </c>
      <c r="L413" t="str">
        <f t="shared" si="118"/>
        <v/>
      </c>
      <c r="M413" t="str">
        <f t="shared" si="119"/>
        <v/>
      </c>
      <c r="R413" t="str">
        <f t="shared" si="120"/>
        <v/>
      </c>
      <c r="S413" t="str">
        <f t="shared" si="121"/>
        <v/>
      </c>
      <c r="U413" t="str">
        <f t="shared" si="122"/>
        <v/>
      </c>
      <c r="V413" t="str">
        <f t="shared" si="123"/>
        <v/>
      </c>
      <c r="W413" s="5" t="str">
        <f t="shared" si="124"/>
        <v/>
      </c>
      <c r="Y413" t="str">
        <f t="shared" si="125"/>
        <v/>
      </c>
      <c r="Z413" t="str">
        <f t="shared" si="126"/>
        <v/>
      </c>
      <c r="AB413" t="str">
        <f t="shared" si="127"/>
        <v>https://shop.officineitalianezard.it/contents/imgs/products/1_2602-2%20scarico%20triumph%20speed%20twin%20scarichi%20zard%20exhaust.jpg</v>
      </c>
      <c r="AE413" t="b">
        <v>0</v>
      </c>
    </row>
    <row r="414" spans="1:31" x14ac:dyDescent="0.2">
      <c r="A414" t="str">
        <f t="shared" si="114"/>
        <v>https://shop.officineitalianezard.it/en/triumph-speed-twin-exhaust-sp-2/</v>
      </c>
      <c r="B414" t="b">
        <f>COUNTIF($A$2:$A414, A414)&gt;1</f>
        <v>1</v>
      </c>
      <c r="C414" t="b">
        <f t="shared" si="115"/>
        <v>0</v>
      </c>
      <c r="D414">
        <f>VLOOKUP(A414,variant_counts!A:B, 2, FALSE)</f>
        <v>2</v>
      </c>
      <c r="E414" t="str">
        <f t="shared" si="128"/>
        <v>zard-exhaust-n-2-slip-ons-triumph-speed-twin-my-2018-19-sp-version-ztph093ssr</v>
      </c>
      <c r="F414" t="str">
        <f t="shared" si="116"/>
        <v>ZARD EXHAUST N. 2 SLIP-ONS TRIUMPH SPEED TWIN M.Y. 2018-19 SP VERSION ZTPH093SSR</v>
      </c>
      <c r="G414" t="str">
        <f t="shared" si="117"/>
        <v/>
      </c>
      <c r="H414" t="str">
        <f t="shared" si="129"/>
        <v/>
      </c>
      <c r="I414" t="str">
        <f t="shared" si="130"/>
        <v/>
      </c>
      <c r="J414" t="str">
        <f t="shared" si="131"/>
        <v/>
      </c>
      <c r="K414" t="str">
        <f t="shared" si="132"/>
        <v/>
      </c>
      <c r="L414" t="str">
        <f t="shared" si="118"/>
        <v/>
      </c>
      <c r="M414" t="str">
        <f t="shared" si="119"/>
        <v/>
      </c>
      <c r="R414" t="str">
        <f t="shared" si="120"/>
        <v/>
      </c>
      <c r="S414" t="str">
        <f t="shared" si="121"/>
        <v/>
      </c>
      <c r="U414" t="str">
        <f t="shared" si="122"/>
        <v/>
      </c>
      <c r="V414" t="str">
        <f t="shared" si="123"/>
        <v/>
      </c>
      <c r="W414" s="5" t="str">
        <f t="shared" si="124"/>
        <v/>
      </c>
      <c r="Y414" t="str">
        <f t="shared" si="125"/>
        <v/>
      </c>
      <c r="Z414" t="str">
        <f t="shared" si="126"/>
        <v/>
      </c>
      <c r="AB414" t="str">
        <f t="shared" si="127"/>
        <v>https://shop.officineitalianezard.it/contents/imgs/products/1_2599-3%20scarico%20triumph%20speed%20twin%20scarichi%20zard%20exhaust.jpg</v>
      </c>
      <c r="AE414" t="b">
        <v>0</v>
      </c>
    </row>
    <row r="415" spans="1:31" x14ac:dyDescent="0.2">
      <c r="A415" t="str">
        <f t="shared" si="114"/>
        <v>https://shop.officineitalianezard.it/en/triumph-speed-twin-exhaust-sp-2/</v>
      </c>
      <c r="B415" t="b">
        <f>COUNTIF($A$2:$A415, A415)&gt;1</f>
        <v>1</v>
      </c>
      <c r="C415" t="b">
        <f t="shared" si="115"/>
        <v>0</v>
      </c>
      <c r="D415">
        <f>VLOOKUP(A415,variant_counts!A:B, 2, FALSE)</f>
        <v>2</v>
      </c>
      <c r="E415" t="str">
        <f t="shared" si="128"/>
        <v>zard-exhaust-n-2-slip-ons-triumph-speed-twin-my-2018-19-sp-version-ztph093ssr</v>
      </c>
      <c r="F415" t="str">
        <f t="shared" si="116"/>
        <v>ZARD EXHAUST N. 2 SLIP-ONS TRIUMPH SPEED TWIN M.Y. 2018-19 SP VERSION ZTPH093SSR</v>
      </c>
      <c r="G415" t="str">
        <f t="shared" si="117"/>
        <v/>
      </c>
      <c r="H415" t="str">
        <f t="shared" si="129"/>
        <v/>
      </c>
      <c r="I415" t="str">
        <f t="shared" si="130"/>
        <v/>
      </c>
      <c r="J415" t="str">
        <f t="shared" si="131"/>
        <v/>
      </c>
      <c r="K415" t="str">
        <f t="shared" si="132"/>
        <v/>
      </c>
      <c r="L415" t="str">
        <f t="shared" si="118"/>
        <v/>
      </c>
      <c r="M415" t="str">
        <f t="shared" si="119"/>
        <v/>
      </c>
      <c r="R415" t="str">
        <f t="shared" si="120"/>
        <v/>
      </c>
      <c r="S415" t="str">
        <f t="shared" si="121"/>
        <v/>
      </c>
      <c r="U415" t="str">
        <f t="shared" si="122"/>
        <v/>
      </c>
      <c r="V415" t="str">
        <f t="shared" si="123"/>
        <v/>
      </c>
      <c r="W415" s="5" t="str">
        <f t="shared" si="124"/>
        <v/>
      </c>
      <c r="Y415" t="str">
        <f t="shared" si="125"/>
        <v/>
      </c>
      <c r="Z415" t="str">
        <f t="shared" si="126"/>
        <v/>
      </c>
      <c r="AB415" t="str">
        <f t="shared" si="127"/>
        <v>https://shop.officineitalianezard.it/contents/imgs/products/1_2601-4%20scarico%20triumph%20speed%20twin%20scarichi%20zard%20exhaust.jpg</v>
      </c>
      <c r="AE415" t="b">
        <v>0</v>
      </c>
    </row>
    <row r="416" spans="1:31" x14ac:dyDescent="0.2">
      <c r="A416" t="str">
        <f t="shared" si="114"/>
        <v>https://shop.officineitalianezard.it/en/triumph-speed-twin-exhaust-sp-2/</v>
      </c>
      <c r="B416" t="b">
        <f>COUNTIF($A$2:$A416, A416)&gt;1</f>
        <v>1</v>
      </c>
      <c r="C416" t="b">
        <f t="shared" si="115"/>
        <v>0</v>
      </c>
      <c r="D416">
        <f>VLOOKUP(A416,variant_counts!A:B, 2, FALSE)</f>
        <v>2</v>
      </c>
      <c r="E416" t="str">
        <f t="shared" si="128"/>
        <v>zard-exhaust-n-2-slip-ons-triumph-speed-twin-my-2018-19-sp-version-ztph093ssr</v>
      </c>
      <c r="F416" t="str">
        <f t="shared" si="116"/>
        <v>ZARD EXHAUST N. 2 SLIP-ONS TRIUMPH SPEED TWIN M.Y. 2018-19 SP VERSION ZTPH093SSR</v>
      </c>
      <c r="G416" t="str">
        <f t="shared" si="117"/>
        <v/>
      </c>
      <c r="H416" t="str">
        <f t="shared" si="129"/>
        <v/>
      </c>
      <c r="I416" t="str">
        <f t="shared" si="130"/>
        <v/>
      </c>
      <c r="J416" t="str">
        <f t="shared" si="131"/>
        <v/>
      </c>
      <c r="K416" t="str">
        <f t="shared" si="132"/>
        <v/>
      </c>
      <c r="L416" t="str">
        <f t="shared" si="118"/>
        <v/>
      </c>
      <c r="M416" t="str">
        <f t="shared" si="119"/>
        <v/>
      </c>
      <c r="R416" t="str">
        <f t="shared" si="120"/>
        <v/>
      </c>
      <c r="S416" t="str">
        <f t="shared" si="121"/>
        <v/>
      </c>
      <c r="U416" t="str">
        <f t="shared" si="122"/>
        <v/>
      </c>
      <c r="V416" t="str">
        <f t="shared" si="123"/>
        <v/>
      </c>
      <c r="W416" s="5" t="str">
        <f t="shared" si="124"/>
        <v/>
      </c>
      <c r="Y416" t="str">
        <f t="shared" si="125"/>
        <v/>
      </c>
      <c r="Z416" t="str">
        <f t="shared" si="126"/>
        <v/>
      </c>
      <c r="AB416" t="str">
        <f t="shared" si="127"/>
        <v>https://shop.officineitalianezard.it/contents/imgs/products/1_2600-5%20scarico%20triumph%20speed%20twin%20scarichi%20zard%20exhaust.jpg</v>
      </c>
      <c r="AE416" t="b">
        <v>0</v>
      </c>
    </row>
    <row r="417" spans="1:31" x14ac:dyDescent="0.2">
      <c r="A417" t="str">
        <f t="shared" si="114"/>
        <v>https://shop.officineitalianezard.it/en/triumph-speed-twin-exhaust-sp-2/</v>
      </c>
      <c r="B417" t="b">
        <f>COUNTIF($A$2:$A417, A417)&gt;1</f>
        <v>1</v>
      </c>
      <c r="C417" t="b">
        <f t="shared" si="115"/>
        <v>1</v>
      </c>
      <c r="D417">
        <f>VLOOKUP(A417,variant_counts!A:B, 2, FALSE)</f>
        <v>2</v>
      </c>
      <c r="E417" t="str">
        <f t="shared" si="128"/>
        <v>zard-exhaust-n-2-slip-ons-triumph-speed-twin-my-2018-19-sp-version-ztph093ssr</v>
      </c>
      <c r="F417" t="str">
        <f t="shared" si="116"/>
        <v>ZARD EXHAUST N. 2 SLIP-ONS TRIUMPH SPEED TWIN M.Y. 2018-19 SP VERSION ZTPH093SSR</v>
      </c>
      <c r="G417" t="str">
        <f t="shared" si="117"/>
        <v/>
      </c>
      <c r="H417" t="str">
        <f t="shared" si="129"/>
        <v/>
      </c>
      <c r="I417" t="str">
        <f t="shared" si="130"/>
        <v/>
      </c>
      <c r="J417" t="str">
        <f t="shared" si="131"/>
        <v/>
      </c>
      <c r="K417" t="str">
        <f t="shared" si="132"/>
        <v/>
      </c>
      <c r="L417" t="str">
        <f t="shared" si="118"/>
        <v>Option</v>
      </c>
      <c r="M417" t="str">
        <f t="shared" si="119"/>
        <v>EURO 4 HOMOLOGATED</v>
      </c>
      <c r="R417" t="str">
        <f t="shared" si="120"/>
        <v>ZTPH093SSR</v>
      </c>
      <c r="S417">
        <f t="shared" si="121"/>
        <v>0</v>
      </c>
      <c r="U417" t="str">
        <f t="shared" si="122"/>
        <v>continue</v>
      </c>
      <c r="V417" t="str">
        <f t="shared" si="123"/>
        <v>manual</v>
      </c>
      <c r="W417" s="5">
        <f t="shared" si="124"/>
        <v>985.35810000000004</v>
      </c>
      <c r="Y417" t="b">
        <f t="shared" si="125"/>
        <v>1</v>
      </c>
      <c r="Z417" t="b">
        <f t="shared" si="126"/>
        <v>0</v>
      </c>
      <c r="AB417" t="str">
        <f t="shared" si="127"/>
        <v/>
      </c>
      <c r="AE417" t="b">
        <v>0</v>
      </c>
    </row>
    <row r="418" spans="1:31" x14ac:dyDescent="0.2">
      <c r="A418" t="str">
        <f t="shared" si="114"/>
        <v>https://shop.officineitalianezard.it/en/triumph-speed-twin-exhaust-sp-2/</v>
      </c>
      <c r="B418" t="b">
        <f>COUNTIF($A$2:$A418, A418)&gt;1</f>
        <v>1</v>
      </c>
      <c r="C418" t="b">
        <f t="shared" si="115"/>
        <v>1</v>
      </c>
      <c r="D418">
        <f>VLOOKUP(A418,variant_counts!A:B, 2, FALSE)</f>
        <v>2</v>
      </c>
      <c r="E418" t="str">
        <f t="shared" si="128"/>
        <v>zard-exhaust-n-2-slip-ons-triumph-speed-twin-my-2018-19-sp-version-ztph093ssr</v>
      </c>
      <c r="F418" t="str">
        <f t="shared" si="116"/>
        <v>ZARD EXHAUST N. 2 SLIP-ONS TRIUMPH SPEED TWIN M.Y. 2018-19 SP VERSION ZTPH093SSR</v>
      </c>
      <c r="G418" t="str">
        <f t="shared" si="117"/>
        <v/>
      </c>
      <c r="H418" t="str">
        <f t="shared" si="129"/>
        <v/>
      </c>
      <c r="I418" t="str">
        <f t="shared" si="130"/>
        <v/>
      </c>
      <c r="J418" t="str">
        <f t="shared" si="131"/>
        <v/>
      </c>
      <c r="K418" t="str">
        <f t="shared" si="132"/>
        <v/>
      </c>
      <c r="L418" t="str">
        <f t="shared" si="118"/>
        <v>Option</v>
      </c>
      <c r="M418" t="str">
        <f t="shared" si="119"/>
        <v>CARBON END-CAPS</v>
      </c>
      <c r="R418" t="str">
        <f t="shared" si="120"/>
        <v>ZTPH093SSR</v>
      </c>
      <c r="S418">
        <f t="shared" si="121"/>
        <v>0</v>
      </c>
      <c r="U418" t="str">
        <f t="shared" si="122"/>
        <v>continue</v>
      </c>
      <c r="V418" t="str">
        <f t="shared" si="123"/>
        <v>manual</v>
      </c>
      <c r="W418" s="5">
        <f t="shared" si="124"/>
        <v>923.94180000000006</v>
      </c>
      <c r="Y418" t="b">
        <f t="shared" si="125"/>
        <v>1</v>
      </c>
      <c r="Z418" t="b">
        <f t="shared" si="126"/>
        <v>0</v>
      </c>
      <c r="AB418" t="str">
        <f t="shared" si="127"/>
        <v/>
      </c>
      <c r="AE418" t="b">
        <v>0</v>
      </c>
    </row>
    <row r="419" spans="1:31" x14ac:dyDescent="0.2">
      <c r="A419" t="str">
        <f t="shared" si="114"/>
        <v>https://shop.officineitalianezard.it/en/triumph-speed-twin-exhaust-conical/</v>
      </c>
      <c r="B419" t="b">
        <f>COUNTIF($A$2:$A419, A419)&gt;1</f>
        <v>0</v>
      </c>
      <c r="C419" t="b">
        <f t="shared" si="115"/>
        <v>0</v>
      </c>
      <c r="D419">
        <f>VLOOKUP(A419,variant_counts!A:B, 2, FALSE)</f>
        <v>2</v>
      </c>
      <c r="E419" t="str">
        <f t="shared" si="128"/>
        <v>zard-exhaust-n2-slip-ons-triumph-speed-twin-my-2018-19-conical-version-ztph090ssr</v>
      </c>
      <c r="F419" t="str">
        <f t="shared" si="116"/>
        <v>ZARD EXHAUST N.2 SLIP-ONS TRIUMPH SPEED TWIN M.Y. 2018-19 CONICAL VERSION ZTPH090SSR</v>
      </c>
      <c r="G419" t="str">
        <f t="shared" si="117"/>
        <v>&lt;p&gt;N.2 STAINLESS STEEL RACING SLIP-ONS WITH REMOVABLE DBKILLERS.&lt;br&gt;EURO 4 HOMOLOGATED VERSION AND CARBON END-CAPS AVAILABLE AS OPTIONALS.&lt;/p&gt;
&lt;p&gt;ORIGINAL SILENCERS WEIGHT: 5.8 KG&lt;br&gt;ZARD SILENCERS WEIGHT: 3.8 KG&lt;/p&gt;
&lt;p&gt;THE INSTALLATION OF ZARD EXHAUST FOR TRIUMPH SPEED TWIN&lt;br&gt;DOES NOT IMPLY ANY MODIFICATION TO ECU&lt;/p&gt;
&lt;p&gt;SIGNIFICANT INCREASE, COMPARED TO THE ORIGINAL EXHAUST SYSTEM,&lt;br&gt;IN TERMS OF TORQUE AND POWER AT ANY RANGE, ASTONISHING SOUND.&lt;/p&gt;
&lt;p&gt;&lt;strong&gt;NOTICE&lt;/strong&gt;: THIS PRODUCT FITS ALSO ON TRIUMPH THRUXTON-R RACING ONLY&lt;/p&gt;
&lt;p&gt;&lt;span style="color: #ff0000;"&gt;&lt;strong&gt;&lt;a href="https://shop.officineitalianezard.it/en/decatalyzer-kit-for-triumph-bonneville-t120-thruxton-r-street-twin-speed-twin-zard/" style="color: #ff0000;"&gt;FIND OUT THE ZARD DECATALYZER KIT FOR TRIUMPH SPEED TWIN&lt;/a&gt;&lt;/strong&gt;&lt;/span&gt;&lt;/p&gt;</v>
      </c>
      <c r="H419" t="str">
        <f t="shared" si="129"/>
        <v>ZARD</v>
      </c>
      <c r="I419" t="str">
        <f t="shared" si="130"/>
        <v>Exhaust Pipe</v>
      </c>
      <c r="J419" t="str">
        <f t="shared" si="131"/>
        <v>Test</v>
      </c>
      <c r="K419" t="b">
        <f t="shared" si="132"/>
        <v>0</v>
      </c>
      <c r="L419" t="str">
        <f t="shared" si="118"/>
        <v/>
      </c>
      <c r="M419" t="str">
        <f t="shared" si="119"/>
        <v/>
      </c>
      <c r="R419" t="str">
        <f t="shared" si="120"/>
        <v/>
      </c>
      <c r="S419" t="str">
        <f t="shared" si="121"/>
        <v/>
      </c>
      <c r="U419" t="str">
        <f t="shared" si="122"/>
        <v/>
      </c>
      <c r="V419" t="str">
        <f t="shared" si="123"/>
        <v/>
      </c>
      <c r="W419" s="5" t="str">
        <f t="shared" si="124"/>
        <v/>
      </c>
      <c r="Y419" t="str">
        <f t="shared" si="125"/>
        <v/>
      </c>
      <c r="Z419" t="str">
        <f t="shared" si="126"/>
        <v/>
      </c>
      <c r="AB419" t="str">
        <f t="shared" si="127"/>
        <v>https://shop.officineitalianezard.it/contents/imgs/products/1_2603-1%20scarico%20triumph%20speed%20twin%20scarichi%20zard%20exhaust.jpg</v>
      </c>
      <c r="AE419" t="b">
        <v>0</v>
      </c>
    </row>
    <row r="420" spans="1:31" x14ac:dyDescent="0.2">
      <c r="A420" t="str">
        <f t="shared" si="114"/>
        <v>https://shop.officineitalianezard.it/en/triumph-speed-twin-exhaust-conical/</v>
      </c>
      <c r="B420" t="b">
        <f>COUNTIF($A$2:$A420, A420)&gt;1</f>
        <v>1</v>
      </c>
      <c r="C420" t="b">
        <f t="shared" si="115"/>
        <v>0</v>
      </c>
      <c r="D420">
        <f>VLOOKUP(A420,variant_counts!A:B, 2, FALSE)</f>
        <v>2</v>
      </c>
      <c r="E420" t="str">
        <f t="shared" si="128"/>
        <v>zard-exhaust-n2-slip-ons-triumph-speed-twin-my-2018-19-conical-version-ztph090ssr</v>
      </c>
      <c r="F420" t="str">
        <f t="shared" si="116"/>
        <v>ZARD EXHAUST N.2 SLIP-ONS TRIUMPH SPEED TWIN M.Y. 2018-19 CONICAL VERSION ZTPH090SSR</v>
      </c>
      <c r="G420" t="str">
        <f t="shared" si="117"/>
        <v/>
      </c>
      <c r="H420" t="str">
        <f t="shared" si="129"/>
        <v/>
      </c>
      <c r="I420" t="str">
        <f t="shared" si="130"/>
        <v/>
      </c>
      <c r="J420" t="str">
        <f t="shared" si="131"/>
        <v/>
      </c>
      <c r="K420" t="str">
        <f t="shared" si="132"/>
        <v/>
      </c>
      <c r="L420" t="str">
        <f t="shared" si="118"/>
        <v/>
      </c>
      <c r="M420" t="str">
        <f t="shared" si="119"/>
        <v/>
      </c>
      <c r="R420" t="str">
        <f t="shared" si="120"/>
        <v/>
      </c>
      <c r="S420" t="str">
        <f t="shared" si="121"/>
        <v/>
      </c>
      <c r="U420" t="str">
        <f t="shared" si="122"/>
        <v/>
      </c>
      <c r="V420" t="str">
        <f t="shared" si="123"/>
        <v/>
      </c>
      <c r="W420" s="5" t="str">
        <f t="shared" si="124"/>
        <v/>
      </c>
      <c r="Y420" t="str">
        <f t="shared" si="125"/>
        <v/>
      </c>
      <c r="Z420" t="str">
        <f t="shared" si="126"/>
        <v/>
      </c>
      <c r="AB420" t="str">
        <f t="shared" si="127"/>
        <v>https://shop.officineitalianezard.it/contents/imgs/products/1_2607-2%20scarico%20triumph%20speed%20twin%20scarichi%20zard%20exhaust.jpg</v>
      </c>
      <c r="AE420" t="b">
        <v>0</v>
      </c>
    </row>
    <row r="421" spans="1:31" x14ac:dyDescent="0.2">
      <c r="A421" t="str">
        <f t="shared" si="114"/>
        <v>https://shop.officineitalianezard.it/en/triumph-speed-twin-exhaust-conical/</v>
      </c>
      <c r="B421" t="b">
        <f>COUNTIF($A$2:$A421, A421)&gt;1</f>
        <v>1</v>
      </c>
      <c r="C421" t="b">
        <f t="shared" si="115"/>
        <v>0</v>
      </c>
      <c r="D421">
        <f>VLOOKUP(A421,variant_counts!A:B, 2, FALSE)</f>
        <v>2</v>
      </c>
      <c r="E421" t="str">
        <f t="shared" si="128"/>
        <v>zard-exhaust-n2-slip-ons-triumph-speed-twin-my-2018-19-conical-version-ztph090ssr</v>
      </c>
      <c r="F421" t="str">
        <f t="shared" si="116"/>
        <v>ZARD EXHAUST N.2 SLIP-ONS TRIUMPH SPEED TWIN M.Y. 2018-19 CONICAL VERSION ZTPH090SSR</v>
      </c>
      <c r="G421" t="str">
        <f t="shared" si="117"/>
        <v/>
      </c>
      <c r="H421" t="str">
        <f t="shared" si="129"/>
        <v/>
      </c>
      <c r="I421" t="str">
        <f t="shared" si="130"/>
        <v/>
      </c>
      <c r="J421" t="str">
        <f t="shared" si="131"/>
        <v/>
      </c>
      <c r="K421" t="str">
        <f t="shared" si="132"/>
        <v/>
      </c>
      <c r="L421" t="str">
        <f t="shared" si="118"/>
        <v/>
      </c>
      <c r="M421" t="str">
        <f t="shared" si="119"/>
        <v/>
      </c>
      <c r="R421" t="str">
        <f t="shared" si="120"/>
        <v/>
      </c>
      <c r="S421" t="str">
        <f t="shared" si="121"/>
        <v/>
      </c>
      <c r="U421" t="str">
        <f t="shared" si="122"/>
        <v/>
      </c>
      <c r="V421" t="str">
        <f t="shared" si="123"/>
        <v/>
      </c>
      <c r="W421" s="5" t="str">
        <f t="shared" si="124"/>
        <v/>
      </c>
      <c r="Y421" t="str">
        <f t="shared" si="125"/>
        <v/>
      </c>
      <c r="Z421" t="str">
        <f t="shared" si="126"/>
        <v/>
      </c>
      <c r="AB421" t="str">
        <f t="shared" si="127"/>
        <v>https://shop.officineitalianezard.it/contents/imgs/products/1_2604-3%20scarico%20triumph%20speed%20twin%20scarichi%20zard%20exhaust.jpg</v>
      </c>
      <c r="AE421" t="b">
        <v>0</v>
      </c>
    </row>
    <row r="422" spans="1:31" x14ac:dyDescent="0.2">
      <c r="A422" t="str">
        <f t="shared" si="114"/>
        <v>https://shop.officineitalianezard.it/en/triumph-speed-twin-exhaust-conical/</v>
      </c>
      <c r="B422" t="b">
        <f>COUNTIF($A$2:$A422, A422)&gt;1</f>
        <v>1</v>
      </c>
      <c r="C422" t="b">
        <f t="shared" si="115"/>
        <v>0</v>
      </c>
      <c r="D422">
        <f>VLOOKUP(A422,variant_counts!A:B, 2, FALSE)</f>
        <v>2</v>
      </c>
      <c r="E422" t="str">
        <f t="shared" si="128"/>
        <v>zard-exhaust-n2-slip-ons-triumph-speed-twin-my-2018-19-conical-version-ztph090ssr</v>
      </c>
      <c r="F422" t="str">
        <f t="shared" si="116"/>
        <v>ZARD EXHAUST N.2 SLIP-ONS TRIUMPH SPEED TWIN M.Y. 2018-19 CONICAL VERSION ZTPH090SSR</v>
      </c>
      <c r="G422" t="str">
        <f t="shared" si="117"/>
        <v/>
      </c>
      <c r="H422" t="str">
        <f t="shared" si="129"/>
        <v/>
      </c>
      <c r="I422" t="str">
        <f t="shared" si="130"/>
        <v/>
      </c>
      <c r="J422" t="str">
        <f t="shared" si="131"/>
        <v/>
      </c>
      <c r="K422" t="str">
        <f t="shared" si="132"/>
        <v/>
      </c>
      <c r="L422" t="str">
        <f t="shared" si="118"/>
        <v/>
      </c>
      <c r="M422" t="str">
        <f t="shared" si="119"/>
        <v/>
      </c>
      <c r="R422" t="str">
        <f t="shared" si="120"/>
        <v/>
      </c>
      <c r="S422" t="str">
        <f t="shared" si="121"/>
        <v/>
      </c>
      <c r="U422" t="str">
        <f t="shared" si="122"/>
        <v/>
      </c>
      <c r="V422" t="str">
        <f t="shared" si="123"/>
        <v/>
      </c>
      <c r="W422" s="5" t="str">
        <f t="shared" si="124"/>
        <v/>
      </c>
      <c r="Y422" t="str">
        <f t="shared" si="125"/>
        <v/>
      </c>
      <c r="Z422" t="str">
        <f t="shared" si="126"/>
        <v/>
      </c>
      <c r="AB422" t="str">
        <f t="shared" si="127"/>
        <v>https://shop.officineitalianezard.it/contents/imgs/products/1_2605-4%20scarico%20triumph%20speed%20twin%20scarichi%20zard%20exhaust.jpg</v>
      </c>
      <c r="AE422" t="b">
        <v>0</v>
      </c>
    </row>
    <row r="423" spans="1:31" x14ac:dyDescent="0.2">
      <c r="A423" t="str">
        <f t="shared" si="114"/>
        <v>https://shop.officineitalianezard.it/en/triumph-speed-twin-exhaust-conical/</v>
      </c>
      <c r="B423" t="b">
        <f>COUNTIF($A$2:$A423, A423)&gt;1</f>
        <v>1</v>
      </c>
      <c r="C423" t="b">
        <f t="shared" si="115"/>
        <v>0</v>
      </c>
      <c r="D423">
        <f>VLOOKUP(A423,variant_counts!A:B, 2, FALSE)</f>
        <v>2</v>
      </c>
      <c r="E423" t="str">
        <f t="shared" si="128"/>
        <v>zard-exhaust-n2-slip-ons-triumph-speed-twin-my-2018-19-conical-version-ztph090ssr</v>
      </c>
      <c r="F423" t="str">
        <f t="shared" si="116"/>
        <v>ZARD EXHAUST N.2 SLIP-ONS TRIUMPH SPEED TWIN M.Y. 2018-19 CONICAL VERSION ZTPH090SSR</v>
      </c>
      <c r="G423" t="str">
        <f t="shared" si="117"/>
        <v/>
      </c>
      <c r="H423" t="str">
        <f t="shared" si="129"/>
        <v/>
      </c>
      <c r="I423" t="str">
        <f t="shared" si="130"/>
        <v/>
      </c>
      <c r="J423" t="str">
        <f t="shared" si="131"/>
        <v/>
      </c>
      <c r="K423" t="str">
        <f t="shared" si="132"/>
        <v/>
      </c>
      <c r="L423" t="str">
        <f t="shared" si="118"/>
        <v/>
      </c>
      <c r="M423" t="str">
        <f t="shared" si="119"/>
        <v/>
      </c>
      <c r="R423" t="str">
        <f t="shared" si="120"/>
        <v/>
      </c>
      <c r="S423" t="str">
        <f t="shared" si="121"/>
        <v/>
      </c>
      <c r="U423" t="str">
        <f t="shared" si="122"/>
        <v/>
      </c>
      <c r="V423" t="str">
        <f t="shared" si="123"/>
        <v/>
      </c>
      <c r="W423" s="5" t="str">
        <f t="shared" si="124"/>
        <v/>
      </c>
      <c r="Y423" t="str">
        <f t="shared" si="125"/>
        <v/>
      </c>
      <c r="Z423" t="str">
        <f t="shared" si="126"/>
        <v/>
      </c>
      <c r="AB423" t="str">
        <f t="shared" si="127"/>
        <v>https://shop.officineitalianezard.it/contents/imgs/products/1_2606-5%20scarico%20triumph%20speed%20twin%20scarichi%20zard%20exhaust.jpg</v>
      </c>
      <c r="AE423" t="b">
        <v>0</v>
      </c>
    </row>
    <row r="424" spans="1:31" x14ac:dyDescent="0.2">
      <c r="A424" t="str">
        <f t="shared" si="114"/>
        <v>https://shop.officineitalianezard.it/en/triumph-speed-twin-exhaust-conical/</v>
      </c>
      <c r="B424" t="b">
        <f>COUNTIF($A$2:$A424, A424)&gt;1</f>
        <v>1</v>
      </c>
      <c r="C424" t="b">
        <f t="shared" si="115"/>
        <v>1</v>
      </c>
      <c r="D424">
        <f>VLOOKUP(A424,variant_counts!A:B, 2, FALSE)</f>
        <v>2</v>
      </c>
      <c r="E424" t="str">
        <f t="shared" si="128"/>
        <v>zard-exhaust-n2-slip-ons-triumph-speed-twin-my-2018-19-conical-version-ztph090ssr</v>
      </c>
      <c r="F424" t="str">
        <f t="shared" si="116"/>
        <v>ZARD EXHAUST N.2 SLIP-ONS TRIUMPH SPEED TWIN M.Y. 2018-19 CONICAL VERSION ZTPH090SSR</v>
      </c>
      <c r="G424" t="str">
        <f t="shared" si="117"/>
        <v/>
      </c>
      <c r="H424" t="str">
        <f t="shared" si="129"/>
        <v/>
      </c>
      <c r="I424" t="str">
        <f t="shared" si="130"/>
        <v/>
      </c>
      <c r="J424" t="str">
        <f t="shared" si="131"/>
        <v/>
      </c>
      <c r="K424" t="str">
        <f t="shared" si="132"/>
        <v/>
      </c>
      <c r="L424" t="str">
        <f t="shared" si="118"/>
        <v>Option</v>
      </c>
      <c r="M424" t="str">
        <f t="shared" si="119"/>
        <v>EURO 4 HOMOLOGATED</v>
      </c>
      <c r="R424" t="str">
        <f t="shared" si="120"/>
        <v>ZTPH090SSR</v>
      </c>
      <c r="S424">
        <f t="shared" si="121"/>
        <v>0</v>
      </c>
      <c r="U424" t="str">
        <f t="shared" si="122"/>
        <v>continue</v>
      </c>
      <c r="V424" t="str">
        <f t="shared" si="123"/>
        <v>manual</v>
      </c>
      <c r="W424" s="5">
        <f t="shared" si="124"/>
        <v>1013.5521000000001</v>
      </c>
      <c r="Y424" t="b">
        <f t="shared" si="125"/>
        <v>1</v>
      </c>
      <c r="Z424" t="b">
        <f t="shared" si="126"/>
        <v>0</v>
      </c>
      <c r="AB424" t="str">
        <f t="shared" si="127"/>
        <v/>
      </c>
      <c r="AE424" t="b">
        <v>0</v>
      </c>
    </row>
    <row r="425" spans="1:31" x14ac:dyDescent="0.2">
      <c r="A425" t="str">
        <f t="shared" si="114"/>
        <v>https://shop.officineitalianezard.it/en/triumph-speed-twin-exhaust-conical/</v>
      </c>
      <c r="B425" t="b">
        <f>COUNTIF($A$2:$A425, A425)&gt;1</f>
        <v>1</v>
      </c>
      <c r="C425" t="b">
        <f t="shared" si="115"/>
        <v>1</v>
      </c>
      <c r="D425">
        <f>VLOOKUP(A425,variant_counts!A:B, 2, FALSE)</f>
        <v>2</v>
      </c>
      <c r="E425" t="str">
        <f t="shared" si="128"/>
        <v>zard-exhaust-n2-slip-ons-triumph-speed-twin-my-2018-19-conical-version-ztph090ssr</v>
      </c>
      <c r="F425" t="str">
        <f t="shared" si="116"/>
        <v>ZARD EXHAUST N.2 SLIP-ONS TRIUMPH SPEED TWIN M.Y. 2018-19 CONICAL VERSION ZTPH090SSR</v>
      </c>
      <c r="G425" t="str">
        <f t="shared" si="117"/>
        <v/>
      </c>
      <c r="H425" t="str">
        <f t="shared" si="129"/>
        <v/>
      </c>
      <c r="I425" t="str">
        <f t="shared" si="130"/>
        <v/>
      </c>
      <c r="J425" t="str">
        <f t="shared" si="131"/>
        <v/>
      </c>
      <c r="K425" t="str">
        <f t="shared" si="132"/>
        <v/>
      </c>
      <c r="L425" t="str">
        <f t="shared" si="118"/>
        <v>Option</v>
      </c>
      <c r="M425" t="str">
        <f t="shared" si="119"/>
        <v>CARBON END-CAPS</v>
      </c>
      <c r="R425" t="str">
        <f t="shared" si="120"/>
        <v>ZTPH090SSR</v>
      </c>
      <c r="S425">
        <f t="shared" si="121"/>
        <v>0</v>
      </c>
      <c r="U425" t="str">
        <f t="shared" si="122"/>
        <v>continue</v>
      </c>
      <c r="V425" t="str">
        <f t="shared" si="123"/>
        <v>manual</v>
      </c>
      <c r="W425" s="5">
        <f t="shared" si="124"/>
        <v>960.32760000000019</v>
      </c>
      <c r="Y425" t="b">
        <f t="shared" si="125"/>
        <v>1</v>
      </c>
      <c r="Z425" t="b">
        <f t="shared" si="126"/>
        <v>0</v>
      </c>
      <c r="AB425" t="str">
        <f t="shared" si="127"/>
        <v/>
      </c>
      <c r="AE425" t="b">
        <v>0</v>
      </c>
    </row>
    <row r="426" spans="1:31" x14ac:dyDescent="0.2">
      <c r="A426" t="str">
        <f t="shared" si="114"/>
        <v>https://shop.officineitalianezard.it/en/triumph-speed-triple-exhaust-zard/</v>
      </c>
      <c r="B426" t="b">
        <f>COUNTIF($A$2:$A426, A426)&gt;1</f>
        <v>0</v>
      </c>
      <c r="C426" t="b">
        <f t="shared" si="115"/>
        <v>0</v>
      </c>
      <c r="D426">
        <f>VLOOKUP(A426,variant_counts!A:B, 2, FALSE)</f>
        <v>5</v>
      </c>
      <c r="E426" t="str">
        <f t="shared" si="128"/>
        <v>zard-exhaust-silencer-triumph-speed-triple-955-0204-conical-version-ztph032ssr</v>
      </c>
      <c r="F426" t="str">
        <f t="shared" si="116"/>
        <v>ZARD EXHAUST SILENCER TRIUMPH SPEED TRIPLE 955 02/04 CONICAL VERSION ZTPH032SSR</v>
      </c>
      <c r="G426" t="str">
        <f t="shared" si="117"/>
        <v>&lt;p&gt;STEEL RACING SILENCER&lt;/p&gt;
&lt;p&gt;ORIGINAL SILENCER WEIGHT: KG 6.85&lt;br&gt;ZARD SILENCER WEIGHT: KG 1.9&lt;/p&gt;
&lt;p&gt;HARD INCREASE, COMPARED TO THE ORIGINAL EXHAUST SYSTEM, IN TERMS OF TORQUE AND POWER AT ANY RANGE.&lt;/p&gt;
&lt;p&gt;ASTONISHING SOUND.&lt;/p&gt;</v>
      </c>
      <c r="H426" t="str">
        <f t="shared" si="129"/>
        <v>ZARD</v>
      </c>
      <c r="I426" t="str">
        <f t="shared" si="130"/>
        <v>Exhaust Pipe</v>
      </c>
      <c r="J426" t="str">
        <f t="shared" si="131"/>
        <v>Test</v>
      </c>
      <c r="K426" t="b">
        <f t="shared" si="132"/>
        <v>0</v>
      </c>
      <c r="L426" t="str">
        <f t="shared" si="118"/>
        <v/>
      </c>
      <c r="M426" t="str">
        <f t="shared" si="119"/>
        <v/>
      </c>
      <c r="R426" t="str">
        <f t="shared" si="120"/>
        <v/>
      </c>
      <c r="S426" t="str">
        <f t="shared" si="121"/>
        <v/>
      </c>
      <c r="U426" t="str">
        <f t="shared" si="122"/>
        <v/>
      </c>
      <c r="V426" t="str">
        <f t="shared" si="123"/>
        <v/>
      </c>
      <c r="W426" s="5" t="str">
        <f t="shared" si="124"/>
        <v/>
      </c>
      <c r="Y426" t="str">
        <f t="shared" si="125"/>
        <v/>
      </c>
      <c r="Z426" t="str">
        <f t="shared" si="126"/>
        <v/>
      </c>
      <c r="AB426" t="str">
        <f t="shared" si="127"/>
        <v>https://shop.officineitalianezard.it/contents/imgs/products/1_168-Speed0204sil.jpg</v>
      </c>
      <c r="AE426" t="b">
        <v>0</v>
      </c>
    </row>
    <row r="427" spans="1:31" x14ac:dyDescent="0.2">
      <c r="A427" t="str">
        <f t="shared" si="114"/>
        <v>https://shop.officineitalianezard.it/en/triumph-speed-triple-exhaust-zard/</v>
      </c>
      <c r="B427" t="b">
        <f>COUNTIF($A$2:$A427, A427)&gt;1</f>
        <v>1</v>
      </c>
      <c r="C427" t="b">
        <f t="shared" si="115"/>
        <v>1</v>
      </c>
      <c r="D427">
        <f>VLOOKUP(A427,variant_counts!A:B, 2, FALSE)</f>
        <v>5</v>
      </c>
      <c r="E427" t="str">
        <f t="shared" si="128"/>
        <v>zard-exhaust-silencer-triumph-speed-triple-955-0204-conical-version-ztph032ssr</v>
      </c>
      <c r="F427" t="str">
        <f t="shared" si="116"/>
        <v>ZARD EXHAUST SILENCER TRIUMPH SPEED TRIPLE 955 02/04 CONICAL VERSION ZTPH032SSR</v>
      </c>
      <c r="G427" t="str">
        <f t="shared" si="117"/>
        <v/>
      </c>
      <c r="H427" t="str">
        <f t="shared" si="129"/>
        <v/>
      </c>
      <c r="I427" t="str">
        <f t="shared" si="130"/>
        <v/>
      </c>
      <c r="J427" t="str">
        <f t="shared" si="131"/>
        <v/>
      </c>
      <c r="K427" t="str">
        <f t="shared" si="132"/>
        <v/>
      </c>
      <c r="L427" t="str">
        <f t="shared" si="118"/>
        <v>Option</v>
      </c>
      <c r="M427" t="str">
        <f t="shared" si="119"/>
        <v>EURO 3 HOMOLOGATED</v>
      </c>
      <c r="R427" t="str">
        <f t="shared" si="120"/>
        <v>ZTPH032SSR</v>
      </c>
      <c r="S427">
        <f t="shared" si="121"/>
        <v>0</v>
      </c>
      <c r="U427" t="str">
        <f t="shared" si="122"/>
        <v>continue</v>
      </c>
      <c r="V427" t="str">
        <f t="shared" si="123"/>
        <v>manual</v>
      </c>
      <c r="W427" s="5">
        <f t="shared" si="124"/>
        <v>452.45820000000003</v>
      </c>
      <c r="Y427" t="b">
        <f t="shared" si="125"/>
        <v>1</v>
      </c>
      <c r="Z427" t="b">
        <f t="shared" si="126"/>
        <v>0</v>
      </c>
      <c r="AB427" t="str">
        <f t="shared" si="127"/>
        <v/>
      </c>
      <c r="AE427" t="b">
        <v>0</v>
      </c>
    </row>
    <row r="428" spans="1:31" x14ac:dyDescent="0.2">
      <c r="A428" t="str">
        <f t="shared" si="114"/>
        <v>https://shop.officineitalianezard.it/en/triumph-speed-triple-exhaust-zard/</v>
      </c>
      <c r="B428" t="b">
        <f>COUNTIF($A$2:$A428, A428)&gt;1</f>
        <v>1</v>
      </c>
      <c r="C428" t="b">
        <f t="shared" si="115"/>
        <v>1</v>
      </c>
      <c r="D428">
        <f>VLOOKUP(A428,variant_counts!A:B, 2, FALSE)</f>
        <v>5</v>
      </c>
      <c r="E428" t="str">
        <f t="shared" si="128"/>
        <v>zard-exhaust-silencer-triumph-speed-triple-955-0204-conical-version-ztph032ssr</v>
      </c>
      <c r="F428" t="str">
        <f t="shared" si="116"/>
        <v>ZARD EXHAUST SILENCER TRIUMPH SPEED TRIPLE 955 02/04 CONICAL VERSION ZTPH032SSR</v>
      </c>
      <c r="G428" t="str">
        <f t="shared" si="117"/>
        <v/>
      </c>
      <c r="H428" t="str">
        <f t="shared" si="129"/>
        <v/>
      </c>
      <c r="I428" t="str">
        <f t="shared" si="130"/>
        <v/>
      </c>
      <c r="J428" t="str">
        <f t="shared" si="131"/>
        <v/>
      </c>
      <c r="K428" t="str">
        <f t="shared" si="132"/>
        <v/>
      </c>
      <c r="L428" t="str">
        <f t="shared" si="118"/>
        <v>Option</v>
      </c>
      <c r="M428" t="str">
        <f t="shared" si="119"/>
        <v>RACING TITANIUM</v>
      </c>
      <c r="R428" t="str">
        <f t="shared" si="120"/>
        <v>ZTPH032SSR</v>
      </c>
      <c r="S428">
        <f t="shared" si="121"/>
        <v>0</v>
      </c>
      <c r="U428" t="str">
        <f t="shared" si="122"/>
        <v>continue</v>
      </c>
      <c r="V428" t="str">
        <f t="shared" si="123"/>
        <v>manual</v>
      </c>
      <c r="W428" s="5">
        <f t="shared" si="124"/>
        <v>645.70920000000012</v>
      </c>
      <c r="Y428" t="b">
        <f t="shared" si="125"/>
        <v>1</v>
      </c>
      <c r="Z428" t="b">
        <f t="shared" si="126"/>
        <v>0</v>
      </c>
      <c r="AB428" t="str">
        <f t="shared" si="127"/>
        <v/>
      </c>
      <c r="AE428" t="b">
        <v>0</v>
      </c>
    </row>
    <row r="429" spans="1:31" x14ac:dyDescent="0.2">
      <c r="A429" t="str">
        <f t="shared" si="114"/>
        <v>https://shop.officineitalianezard.it/en/triumph-speed-triple-exhaust-zard/</v>
      </c>
      <c r="B429" t="b">
        <f>COUNTIF($A$2:$A429, A429)&gt;1</f>
        <v>1</v>
      </c>
      <c r="C429" t="b">
        <f t="shared" si="115"/>
        <v>1</v>
      </c>
      <c r="D429">
        <f>VLOOKUP(A429,variant_counts!A:B, 2, FALSE)</f>
        <v>5</v>
      </c>
      <c r="E429" t="str">
        <f t="shared" si="128"/>
        <v>zard-exhaust-silencer-triumph-speed-triple-955-0204-conical-version-ztph032ssr</v>
      </c>
      <c r="F429" t="str">
        <f t="shared" si="116"/>
        <v>ZARD EXHAUST SILENCER TRIUMPH SPEED TRIPLE 955 02/04 CONICAL VERSION ZTPH032SSR</v>
      </c>
      <c r="G429" t="str">
        <f t="shared" si="117"/>
        <v/>
      </c>
      <c r="H429" t="str">
        <f t="shared" si="129"/>
        <v/>
      </c>
      <c r="I429" t="str">
        <f t="shared" si="130"/>
        <v/>
      </c>
      <c r="J429" t="str">
        <f t="shared" si="131"/>
        <v/>
      </c>
      <c r="K429" t="str">
        <f t="shared" si="132"/>
        <v/>
      </c>
      <c r="L429" t="str">
        <f t="shared" si="118"/>
        <v>Option</v>
      </c>
      <c r="M429" t="str">
        <f t="shared" si="119"/>
        <v>HOMOLOGATED TITANIUM</v>
      </c>
      <c r="R429" t="str">
        <f t="shared" si="120"/>
        <v>ZTPH032SSR</v>
      </c>
      <c r="S429">
        <f t="shared" si="121"/>
        <v>0</v>
      </c>
      <c r="U429" t="str">
        <f t="shared" si="122"/>
        <v>continue</v>
      </c>
      <c r="V429" t="str">
        <f t="shared" si="123"/>
        <v>manual</v>
      </c>
      <c r="W429" s="5">
        <f t="shared" si="124"/>
        <v>718.58070000000009</v>
      </c>
      <c r="Y429" t="b">
        <f t="shared" si="125"/>
        <v>1</v>
      </c>
      <c r="Z429" t="b">
        <f t="shared" si="126"/>
        <v>0</v>
      </c>
      <c r="AB429" t="str">
        <f t="shared" si="127"/>
        <v/>
      </c>
      <c r="AE429" t="b">
        <v>0</v>
      </c>
    </row>
    <row r="430" spans="1:31" x14ac:dyDescent="0.2">
      <c r="A430" t="str">
        <f t="shared" si="114"/>
        <v>https://shop.officineitalianezard.it/en/triumph-speed-triple-exhaust-zard/</v>
      </c>
      <c r="B430" t="b">
        <f>COUNTIF($A$2:$A430, A430)&gt;1</f>
        <v>1</v>
      </c>
      <c r="C430" t="b">
        <f t="shared" si="115"/>
        <v>1</v>
      </c>
      <c r="D430">
        <f>VLOOKUP(A430,variant_counts!A:B, 2, FALSE)</f>
        <v>5</v>
      </c>
      <c r="E430" t="str">
        <f t="shared" si="128"/>
        <v>zard-exhaust-silencer-triumph-speed-triple-955-0204-conical-version-ztph032ssr</v>
      </c>
      <c r="F430" t="str">
        <f t="shared" si="116"/>
        <v>ZARD EXHAUST SILENCER TRIUMPH SPEED TRIPLE 955 02/04 CONICAL VERSION ZTPH032SSR</v>
      </c>
      <c r="G430" t="str">
        <f t="shared" si="117"/>
        <v/>
      </c>
      <c r="H430" t="str">
        <f t="shared" si="129"/>
        <v/>
      </c>
      <c r="I430" t="str">
        <f t="shared" si="130"/>
        <v/>
      </c>
      <c r="J430" t="str">
        <f t="shared" si="131"/>
        <v/>
      </c>
      <c r="K430" t="str">
        <f t="shared" si="132"/>
        <v/>
      </c>
      <c r="L430" t="str">
        <f t="shared" si="118"/>
        <v>Option</v>
      </c>
      <c r="M430" t="str">
        <f t="shared" si="119"/>
        <v>BLACK COATING</v>
      </c>
      <c r="R430" t="str">
        <f t="shared" si="120"/>
        <v>ZTPH032SSR</v>
      </c>
      <c r="S430">
        <f t="shared" si="121"/>
        <v>0</v>
      </c>
      <c r="U430" t="str">
        <f t="shared" si="122"/>
        <v>continue</v>
      </c>
      <c r="V430" t="str">
        <f t="shared" si="123"/>
        <v>manual</v>
      </c>
      <c r="W430" s="5">
        <f t="shared" si="124"/>
        <v>491.76330000000002</v>
      </c>
      <c r="Y430" t="b">
        <f t="shared" si="125"/>
        <v>1</v>
      </c>
      <c r="Z430" t="b">
        <f t="shared" si="126"/>
        <v>0</v>
      </c>
      <c r="AB430" t="str">
        <f t="shared" si="127"/>
        <v/>
      </c>
      <c r="AE430" t="b">
        <v>0</v>
      </c>
    </row>
    <row r="431" spans="1:31" x14ac:dyDescent="0.2">
      <c r="A431" t="str">
        <f t="shared" si="114"/>
        <v>https://shop.officineitalianezard.it/en/triumph-speed-triple-exhaust-zard/</v>
      </c>
      <c r="B431" t="b">
        <f>COUNTIF($A$2:$A431, A431)&gt;1</f>
        <v>1</v>
      </c>
      <c r="C431" t="b">
        <f t="shared" si="115"/>
        <v>1</v>
      </c>
      <c r="D431">
        <f>VLOOKUP(A431,variant_counts!A:B, 2, FALSE)</f>
        <v>5</v>
      </c>
      <c r="E431" t="str">
        <f t="shared" si="128"/>
        <v>zard-exhaust-silencer-triumph-speed-triple-955-0204-conical-version-ztph032ssr</v>
      </c>
      <c r="F431" t="str">
        <f t="shared" si="116"/>
        <v>ZARD EXHAUST SILENCER TRIUMPH SPEED TRIPLE 955 02/04 CONICAL VERSION ZTPH032SSR</v>
      </c>
      <c r="G431" t="str">
        <f t="shared" si="117"/>
        <v/>
      </c>
      <c r="H431" t="str">
        <f t="shared" si="129"/>
        <v/>
      </c>
      <c r="I431" t="str">
        <f t="shared" si="130"/>
        <v/>
      </c>
      <c r="J431" t="str">
        <f t="shared" si="131"/>
        <v/>
      </c>
      <c r="K431" t="str">
        <f t="shared" si="132"/>
        <v/>
      </c>
      <c r="L431" t="str">
        <f t="shared" si="118"/>
        <v>Option</v>
      </c>
      <c r="M431" t="str">
        <f t="shared" si="119"/>
        <v>CARBON ENDCAP</v>
      </c>
      <c r="R431" t="str">
        <f t="shared" si="120"/>
        <v>ZTPH032SSR</v>
      </c>
      <c r="S431">
        <f t="shared" si="121"/>
        <v>0</v>
      </c>
      <c r="U431" t="str">
        <f t="shared" si="122"/>
        <v>continue</v>
      </c>
      <c r="V431" t="str">
        <f t="shared" si="123"/>
        <v>manual</v>
      </c>
      <c r="W431" s="5">
        <f t="shared" si="124"/>
        <v>447.54090000000002</v>
      </c>
      <c r="Y431" t="b">
        <f t="shared" si="125"/>
        <v>1</v>
      </c>
      <c r="Z431" t="b">
        <f t="shared" si="126"/>
        <v>0</v>
      </c>
      <c r="AB431" t="str">
        <f t="shared" si="127"/>
        <v/>
      </c>
      <c r="AE431" t="b">
        <v>0</v>
      </c>
    </row>
    <row r="432" spans="1:31" x14ac:dyDescent="0.2">
      <c r="A432" t="str">
        <f t="shared" si="114"/>
        <v>https://shop.officineitalianezard.it/en/full-kit-3-1-steel/</v>
      </c>
      <c r="B432" t="b">
        <f>COUNTIF($A$2:$A432, A432)&gt;1</f>
        <v>0</v>
      </c>
      <c r="C432" t="b">
        <f t="shared" si="115"/>
        <v>0</v>
      </c>
      <c r="D432">
        <f>VLOOKUP(A432,variant_counts!A:B, 2, FALSE)</f>
        <v>5</v>
      </c>
      <c r="E432" t="str">
        <f t="shared" si="128"/>
        <v>zard-exhaust-31-full-kit-triumph-speed-triple-955-0204-conical-version-ztph032skr</v>
      </c>
      <c r="F432" t="str">
        <f t="shared" si="116"/>
        <v>ZARD EXHAUST 3&gt;1 FULL KIT TRIUMPH SPEED TRIPLE 955 02/04 CONICAL VERSION ZTPH032SKR</v>
      </c>
      <c r="G432" t="str">
        <f t="shared" si="117"/>
        <v>&lt;p&gt;3&amp;gt;1 STEEL RACING FULL KIT&lt;/p&gt;
&lt;p&gt;ORIGINAL FULL KIT WEIGHT: KG 13&lt;br&gt;ZARD FULL KIT WEIGHT: KG 4.6&lt;/p&gt;
&lt;p&gt;HARD INCREASE, COMPARED TO THE ORIGINAL EXHAUST SYSTEM, IN TERMS OF TORQUE AND POWER AT ANY RANGE.&lt;/p&gt;
&lt;p&gt;ASTONISHING SOUND.&lt;/p&gt;</v>
      </c>
      <c r="H432" t="str">
        <f t="shared" si="129"/>
        <v>ZARD</v>
      </c>
      <c r="I432" t="str">
        <f t="shared" si="130"/>
        <v>Exhaust Pipe</v>
      </c>
      <c r="J432" t="str">
        <f t="shared" si="131"/>
        <v>Test</v>
      </c>
      <c r="K432" t="b">
        <f t="shared" si="132"/>
        <v>0</v>
      </c>
      <c r="L432" t="str">
        <f t="shared" si="118"/>
        <v/>
      </c>
      <c r="M432" t="str">
        <f t="shared" si="119"/>
        <v/>
      </c>
      <c r="R432" t="str">
        <f t="shared" si="120"/>
        <v/>
      </c>
      <c r="S432" t="str">
        <f t="shared" si="121"/>
        <v/>
      </c>
      <c r="U432" t="str">
        <f t="shared" si="122"/>
        <v/>
      </c>
      <c r="V432" t="str">
        <f t="shared" si="123"/>
        <v/>
      </c>
      <c r="W432" s="5" t="str">
        <f t="shared" si="124"/>
        <v/>
      </c>
      <c r="Y432" t="str">
        <f t="shared" si="125"/>
        <v/>
      </c>
      <c r="Z432" t="str">
        <f t="shared" si="126"/>
        <v/>
      </c>
      <c r="AB432" t="str">
        <f t="shared" si="127"/>
        <v>https://shop.officineitalianezard.it/contents/imgs/products/1_167-speed0204kit.jpg</v>
      </c>
      <c r="AE432" t="b">
        <v>0</v>
      </c>
    </row>
    <row r="433" spans="1:31" x14ac:dyDescent="0.2">
      <c r="A433" t="str">
        <f t="shared" si="114"/>
        <v>https://shop.officineitalianezard.it/en/full-kit-3-1-steel/</v>
      </c>
      <c r="B433" t="b">
        <f>COUNTIF($A$2:$A433, A433)&gt;1</f>
        <v>1</v>
      </c>
      <c r="C433" t="b">
        <f t="shared" si="115"/>
        <v>1</v>
      </c>
      <c r="D433">
        <f>VLOOKUP(A433,variant_counts!A:B, 2, FALSE)</f>
        <v>5</v>
      </c>
      <c r="E433" t="str">
        <f t="shared" si="128"/>
        <v>zard-exhaust-31-full-kit-triumph-speed-triple-955-0204-conical-version-ztph032skr</v>
      </c>
      <c r="F433" t="str">
        <f t="shared" si="116"/>
        <v>ZARD EXHAUST 3&gt;1 FULL KIT TRIUMPH SPEED TRIPLE 955 02/04 CONICAL VERSION ZTPH032SKR</v>
      </c>
      <c r="G433" t="str">
        <f t="shared" si="117"/>
        <v/>
      </c>
      <c r="H433" t="str">
        <f t="shared" si="129"/>
        <v/>
      </c>
      <c r="I433" t="str">
        <f t="shared" si="130"/>
        <v/>
      </c>
      <c r="J433" t="str">
        <f t="shared" si="131"/>
        <v/>
      </c>
      <c r="K433" t="str">
        <f t="shared" si="132"/>
        <v/>
      </c>
      <c r="L433" t="str">
        <f t="shared" si="118"/>
        <v>Option</v>
      </c>
      <c r="M433" t="str">
        <f t="shared" si="119"/>
        <v>STEEL HOMOLOGATED</v>
      </c>
      <c r="R433" t="str">
        <f t="shared" si="120"/>
        <v>ZTPH032SKR</v>
      </c>
      <c r="S433">
        <f t="shared" si="121"/>
        <v>0</v>
      </c>
      <c r="U433" t="str">
        <f t="shared" si="122"/>
        <v>continue</v>
      </c>
      <c r="V433" t="str">
        <f t="shared" si="123"/>
        <v>manual</v>
      </c>
      <c r="W433" s="5">
        <f t="shared" si="124"/>
        <v>1153.4898000000001</v>
      </c>
      <c r="Y433" t="b">
        <f t="shared" si="125"/>
        <v>1</v>
      </c>
      <c r="Z433" t="b">
        <f t="shared" si="126"/>
        <v>0</v>
      </c>
      <c r="AB433" t="str">
        <f t="shared" si="127"/>
        <v/>
      </c>
      <c r="AE433" t="b">
        <v>0</v>
      </c>
    </row>
    <row r="434" spans="1:31" x14ac:dyDescent="0.2">
      <c r="A434" t="str">
        <f t="shared" si="114"/>
        <v>https://shop.officineitalianezard.it/en/full-kit-3-1-steel/</v>
      </c>
      <c r="B434" t="b">
        <f>COUNTIF($A$2:$A434, A434)&gt;1</f>
        <v>1</v>
      </c>
      <c r="C434" t="b">
        <f t="shared" si="115"/>
        <v>1</v>
      </c>
      <c r="D434">
        <f>VLOOKUP(A434,variant_counts!A:B, 2, FALSE)</f>
        <v>5</v>
      </c>
      <c r="E434" t="str">
        <f t="shared" si="128"/>
        <v>zard-exhaust-31-full-kit-triumph-speed-triple-955-0204-conical-version-ztph032skr</v>
      </c>
      <c r="F434" t="str">
        <f t="shared" si="116"/>
        <v>ZARD EXHAUST 3&gt;1 FULL KIT TRIUMPH SPEED TRIPLE 955 02/04 CONICAL VERSION ZTPH032SKR</v>
      </c>
      <c r="G434" t="str">
        <f t="shared" si="117"/>
        <v/>
      </c>
      <c r="H434" t="str">
        <f t="shared" si="129"/>
        <v/>
      </c>
      <c r="I434" t="str">
        <f t="shared" si="130"/>
        <v/>
      </c>
      <c r="J434" t="str">
        <f t="shared" si="131"/>
        <v/>
      </c>
      <c r="K434" t="str">
        <f t="shared" si="132"/>
        <v/>
      </c>
      <c r="L434" t="str">
        <f t="shared" si="118"/>
        <v>Option</v>
      </c>
      <c r="M434" t="str">
        <f t="shared" si="119"/>
        <v>RACING TITANIUM</v>
      </c>
      <c r="R434" t="str">
        <f t="shared" si="120"/>
        <v>ZTPH032SKR</v>
      </c>
      <c r="S434">
        <f t="shared" si="121"/>
        <v>0</v>
      </c>
      <c r="U434" t="str">
        <f t="shared" si="122"/>
        <v>continue</v>
      </c>
      <c r="V434" t="str">
        <f t="shared" si="123"/>
        <v>manual</v>
      </c>
      <c r="W434" s="5">
        <f t="shared" si="124"/>
        <v>1974.8010000000002</v>
      </c>
      <c r="Y434" t="b">
        <f t="shared" si="125"/>
        <v>1</v>
      </c>
      <c r="Z434" t="b">
        <f t="shared" si="126"/>
        <v>0</v>
      </c>
      <c r="AB434" t="str">
        <f t="shared" si="127"/>
        <v/>
      </c>
      <c r="AE434" t="b">
        <v>0</v>
      </c>
    </row>
    <row r="435" spans="1:31" x14ac:dyDescent="0.2">
      <c r="A435" t="str">
        <f t="shared" si="114"/>
        <v>https://shop.officineitalianezard.it/en/full-kit-3-1-steel/</v>
      </c>
      <c r="B435" t="b">
        <f>COUNTIF($A$2:$A435, A435)&gt;1</f>
        <v>1</v>
      </c>
      <c r="C435" t="b">
        <f t="shared" si="115"/>
        <v>1</v>
      </c>
      <c r="D435">
        <f>VLOOKUP(A435,variant_counts!A:B, 2, FALSE)</f>
        <v>5</v>
      </c>
      <c r="E435" t="str">
        <f t="shared" si="128"/>
        <v>zard-exhaust-31-full-kit-triumph-speed-triple-955-0204-conical-version-ztph032skr</v>
      </c>
      <c r="F435" t="str">
        <f t="shared" si="116"/>
        <v>ZARD EXHAUST 3&gt;1 FULL KIT TRIUMPH SPEED TRIPLE 955 02/04 CONICAL VERSION ZTPH032SKR</v>
      </c>
      <c r="G435" t="str">
        <f t="shared" si="117"/>
        <v/>
      </c>
      <c r="H435" t="str">
        <f t="shared" si="129"/>
        <v/>
      </c>
      <c r="I435" t="str">
        <f t="shared" si="130"/>
        <v/>
      </c>
      <c r="J435" t="str">
        <f t="shared" si="131"/>
        <v/>
      </c>
      <c r="K435" t="str">
        <f t="shared" si="132"/>
        <v/>
      </c>
      <c r="L435" t="str">
        <f t="shared" si="118"/>
        <v>Option</v>
      </c>
      <c r="M435" t="str">
        <f t="shared" si="119"/>
        <v>TITANIUM HOMOLOGATED</v>
      </c>
      <c r="R435" t="str">
        <f t="shared" si="120"/>
        <v>ZTPH032SKR</v>
      </c>
      <c r="S435">
        <f t="shared" si="121"/>
        <v>0</v>
      </c>
      <c r="U435" t="str">
        <f t="shared" si="122"/>
        <v>continue</v>
      </c>
      <c r="V435" t="str">
        <f t="shared" si="123"/>
        <v>manual</v>
      </c>
      <c r="W435" s="5">
        <f t="shared" si="124"/>
        <v>2032.9428000000003</v>
      </c>
      <c r="Y435" t="b">
        <f t="shared" si="125"/>
        <v>1</v>
      </c>
      <c r="Z435" t="b">
        <f t="shared" si="126"/>
        <v>0</v>
      </c>
      <c r="AB435" t="str">
        <f t="shared" si="127"/>
        <v/>
      </c>
      <c r="AE435" t="b">
        <v>0</v>
      </c>
    </row>
    <row r="436" spans="1:31" x14ac:dyDescent="0.2">
      <c r="A436" t="str">
        <f t="shared" si="114"/>
        <v>https://shop.officineitalianezard.it/en/full-kit-3-1-steel/</v>
      </c>
      <c r="B436" t="b">
        <f>COUNTIF($A$2:$A436, A436)&gt;1</f>
        <v>1</v>
      </c>
      <c r="C436" t="b">
        <f t="shared" si="115"/>
        <v>1</v>
      </c>
      <c r="D436">
        <f>VLOOKUP(A436,variant_counts!A:B, 2, FALSE)</f>
        <v>5</v>
      </c>
      <c r="E436" t="str">
        <f t="shared" si="128"/>
        <v>zard-exhaust-31-full-kit-triumph-speed-triple-955-0204-conical-version-ztph032skr</v>
      </c>
      <c r="F436" t="str">
        <f t="shared" si="116"/>
        <v>ZARD EXHAUST 3&gt;1 FULL KIT TRIUMPH SPEED TRIPLE 955 02/04 CONICAL VERSION ZTPH032SKR</v>
      </c>
      <c r="G436" t="str">
        <f t="shared" si="117"/>
        <v/>
      </c>
      <c r="H436" t="str">
        <f t="shared" si="129"/>
        <v/>
      </c>
      <c r="I436" t="str">
        <f t="shared" si="130"/>
        <v/>
      </c>
      <c r="J436" t="str">
        <f t="shared" si="131"/>
        <v/>
      </c>
      <c r="K436" t="str">
        <f t="shared" si="132"/>
        <v/>
      </c>
      <c r="L436" t="str">
        <f t="shared" si="118"/>
        <v>Option</v>
      </c>
      <c r="M436" t="str">
        <f t="shared" si="119"/>
        <v>BLACK COATING</v>
      </c>
      <c r="R436" t="str">
        <f t="shared" si="120"/>
        <v>ZTPH032SKR</v>
      </c>
      <c r="S436">
        <f t="shared" si="121"/>
        <v>0</v>
      </c>
      <c r="U436" t="str">
        <f t="shared" si="122"/>
        <v>continue</v>
      </c>
      <c r="V436" t="str">
        <f t="shared" si="123"/>
        <v>manual</v>
      </c>
      <c r="W436" s="5">
        <f t="shared" si="124"/>
        <v>1307.4357000000002</v>
      </c>
      <c r="Y436" t="b">
        <f t="shared" si="125"/>
        <v>1</v>
      </c>
      <c r="Z436" t="b">
        <f t="shared" si="126"/>
        <v>0</v>
      </c>
      <c r="AB436" t="str">
        <f t="shared" si="127"/>
        <v/>
      </c>
      <c r="AE436" t="b">
        <v>0</v>
      </c>
    </row>
    <row r="437" spans="1:31" x14ac:dyDescent="0.2">
      <c r="A437" t="str">
        <f t="shared" si="114"/>
        <v>https://shop.officineitalianezard.it/en/full-kit-3-1-steel/</v>
      </c>
      <c r="B437" t="b">
        <f>COUNTIF($A$2:$A437, A437)&gt;1</f>
        <v>1</v>
      </c>
      <c r="C437" t="b">
        <f t="shared" si="115"/>
        <v>1</v>
      </c>
      <c r="D437">
        <f>VLOOKUP(A437,variant_counts!A:B, 2, FALSE)</f>
        <v>5</v>
      </c>
      <c r="E437" t="str">
        <f t="shared" si="128"/>
        <v>zard-exhaust-31-full-kit-triumph-speed-triple-955-0204-conical-version-ztph032skr</v>
      </c>
      <c r="F437" t="str">
        <f t="shared" si="116"/>
        <v>ZARD EXHAUST 3&gt;1 FULL KIT TRIUMPH SPEED TRIPLE 955 02/04 CONICAL VERSION ZTPH032SKR</v>
      </c>
      <c r="G437" t="str">
        <f t="shared" si="117"/>
        <v/>
      </c>
      <c r="H437" t="str">
        <f t="shared" si="129"/>
        <v/>
      </c>
      <c r="I437" t="str">
        <f t="shared" si="130"/>
        <v/>
      </c>
      <c r="J437" t="str">
        <f t="shared" si="131"/>
        <v/>
      </c>
      <c r="K437" t="str">
        <f t="shared" si="132"/>
        <v/>
      </c>
      <c r="L437" t="str">
        <f t="shared" si="118"/>
        <v>Option</v>
      </c>
      <c r="M437" t="str">
        <f t="shared" si="119"/>
        <v>CARBON ENDCAP</v>
      </c>
      <c r="R437" t="str">
        <f t="shared" si="120"/>
        <v>ZTPH032SKR</v>
      </c>
      <c r="S437">
        <f t="shared" si="121"/>
        <v>0</v>
      </c>
      <c r="U437" t="str">
        <f t="shared" si="122"/>
        <v>continue</v>
      </c>
      <c r="V437" t="str">
        <f t="shared" si="123"/>
        <v>manual</v>
      </c>
      <c r="W437" s="5">
        <f t="shared" si="124"/>
        <v>1160.8602000000001</v>
      </c>
      <c r="Y437" t="b">
        <f t="shared" si="125"/>
        <v>1</v>
      </c>
      <c r="Z437" t="b">
        <f t="shared" si="126"/>
        <v>0</v>
      </c>
      <c r="AB437" t="str">
        <f t="shared" si="127"/>
        <v/>
      </c>
      <c r="AE437" t="b">
        <v>0</v>
      </c>
    </row>
    <row r="438" spans="1:31" x14ac:dyDescent="0.2">
      <c r="A438" t="str">
        <f t="shared" si="114"/>
        <v>https://shop.officineitalianezard.it/en/steel-conical-muffler/</v>
      </c>
      <c r="B438" t="b">
        <f>COUNTIF($A$2:$A438, A438)&gt;1</f>
        <v>0</v>
      </c>
      <c r="C438" t="b">
        <f t="shared" si="115"/>
        <v>0</v>
      </c>
      <c r="D438">
        <f>VLOOKUP(A438,variant_counts!A:B, 2, FALSE)</f>
        <v>5</v>
      </c>
      <c r="E438" t="str">
        <f t="shared" si="128"/>
        <v>zard-exhaust-low-mounted-silencer-triumph-speed-triple-1050-my-2011-conical-version-ztph506ssr</v>
      </c>
      <c r="F438" t="str">
        <f t="shared" si="116"/>
        <v>ZARD EXHAUST LOW MOUNTED SILENCER TRIUMPH SPEED TRIPLE 1050 &gt; M.Y. 2011 CONICAL VERSION ZTPH506SSR</v>
      </c>
      <c r="G438" t="str">
        <f t="shared" si="117"/>
        <v>&lt;p&gt;LOW MOUNTED INOX RACING SILENCER&lt;/p&gt;
&lt;p&gt;ORIGINAL SILENCER WEIGHT: KG 9,5&lt;br&gt;ZARD SILENCER WEIGHT: KG 2.2&lt;/p&gt;
&lt;p&gt;HARD INCREASE, COMPARED TO THE ORIGINAL EXHAUST SYSTEM, IN TERMS OF TORQUE AND POWER AT ANY RANGE (+2 HP FOR THE STREET LEGAL VERSION AND +4 HP FOR THE RACING ONE).&lt;/p&gt;
&lt;p&gt;ASTONISHING SOUND.&lt;/p&gt;
&lt;p&gt;&lt;strong&gt;THE SILENCER CAN BE FITTED ALSO ON 2016 VERSION.&lt;/strong&gt;&lt;/p&gt;</v>
      </c>
      <c r="H438" t="str">
        <f t="shared" si="129"/>
        <v>ZARD</v>
      </c>
      <c r="I438" t="str">
        <f t="shared" si="130"/>
        <v>Exhaust Pipe</v>
      </c>
      <c r="J438" t="str">
        <f t="shared" si="131"/>
        <v>Test</v>
      </c>
      <c r="K438" t="b">
        <f t="shared" si="132"/>
        <v>0</v>
      </c>
      <c r="L438" t="str">
        <f t="shared" si="118"/>
        <v/>
      </c>
      <c r="M438" t="str">
        <f t="shared" si="119"/>
        <v/>
      </c>
      <c r="R438" t="str">
        <f t="shared" si="120"/>
        <v/>
      </c>
      <c r="S438" t="str">
        <f t="shared" si="121"/>
        <v/>
      </c>
      <c r="U438" t="str">
        <f t="shared" si="122"/>
        <v/>
      </c>
      <c r="V438" t="str">
        <f t="shared" si="123"/>
        <v/>
      </c>
      <c r="W438" s="5" t="str">
        <f t="shared" si="124"/>
        <v/>
      </c>
      <c r="Y438" t="str">
        <f t="shared" si="125"/>
        <v/>
      </c>
      <c r="Z438" t="str">
        <f t="shared" si="126"/>
        <v/>
      </c>
      <c r="AB438" t="str">
        <f t="shared" si="127"/>
        <v>https://shop.officineitalianezard.it/contents/imgs/products/1_510-zard%20triumph%20conico.jpg</v>
      </c>
      <c r="AE438" t="b">
        <v>0</v>
      </c>
    </row>
    <row r="439" spans="1:31" x14ac:dyDescent="0.2">
      <c r="A439" t="str">
        <f t="shared" si="114"/>
        <v>https://shop.officineitalianezard.it/en/steel-conical-muffler/</v>
      </c>
      <c r="B439" t="b">
        <f>COUNTIF($A$2:$A439, A439)&gt;1</f>
        <v>1</v>
      </c>
      <c r="C439" t="b">
        <f t="shared" si="115"/>
        <v>0</v>
      </c>
      <c r="D439">
        <f>VLOOKUP(A439,variant_counts!A:B, 2, FALSE)</f>
        <v>5</v>
      </c>
      <c r="E439" t="str">
        <f t="shared" si="128"/>
        <v>zard-exhaust-low-mounted-silencer-triumph-speed-triple-1050-my-2011-conical-version-ztph506ssr</v>
      </c>
      <c r="F439" t="str">
        <f t="shared" si="116"/>
        <v>ZARD EXHAUST LOW MOUNTED SILENCER TRIUMPH SPEED TRIPLE 1050 &gt; M.Y. 2011 CONICAL VERSION ZTPH506SSR</v>
      </c>
      <c r="G439" t="str">
        <f t="shared" si="117"/>
        <v/>
      </c>
      <c r="H439" t="str">
        <f t="shared" si="129"/>
        <v/>
      </c>
      <c r="I439" t="str">
        <f t="shared" si="130"/>
        <v/>
      </c>
      <c r="J439" t="str">
        <f t="shared" si="131"/>
        <v/>
      </c>
      <c r="K439" t="str">
        <f t="shared" si="132"/>
        <v/>
      </c>
      <c r="L439" t="str">
        <f t="shared" si="118"/>
        <v/>
      </c>
      <c r="M439" t="str">
        <f t="shared" si="119"/>
        <v/>
      </c>
      <c r="R439" t="str">
        <f t="shared" si="120"/>
        <v/>
      </c>
      <c r="S439" t="str">
        <f t="shared" si="121"/>
        <v/>
      </c>
      <c r="U439" t="str">
        <f t="shared" si="122"/>
        <v/>
      </c>
      <c r="V439" t="str">
        <f t="shared" si="123"/>
        <v/>
      </c>
      <c r="W439" s="5" t="str">
        <f t="shared" si="124"/>
        <v/>
      </c>
      <c r="Y439" t="str">
        <f t="shared" si="125"/>
        <v/>
      </c>
      <c r="Z439" t="str">
        <f t="shared" si="126"/>
        <v/>
      </c>
      <c r="AB439" t="str">
        <f t="shared" si="127"/>
        <v>https://shop.officineitalianezard.it/contents/imgs/products/1_160-speed2011cono-2.jpg</v>
      </c>
      <c r="AE439" t="b">
        <v>0</v>
      </c>
    </row>
    <row r="440" spans="1:31" x14ac:dyDescent="0.2">
      <c r="A440" t="str">
        <f t="shared" si="114"/>
        <v>https://shop.officineitalianezard.it/en/steel-conical-muffler/</v>
      </c>
      <c r="B440" t="b">
        <f>COUNTIF($A$2:$A440, A440)&gt;1</f>
        <v>1</v>
      </c>
      <c r="C440" t="b">
        <f t="shared" si="115"/>
        <v>0</v>
      </c>
      <c r="D440">
        <f>VLOOKUP(A440,variant_counts!A:B, 2, FALSE)</f>
        <v>5</v>
      </c>
      <c r="E440" t="str">
        <f t="shared" si="128"/>
        <v>zard-exhaust-low-mounted-silencer-triumph-speed-triple-1050-my-2011-conical-version-ztph506ssr</v>
      </c>
      <c r="F440" t="str">
        <f t="shared" si="116"/>
        <v>ZARD EXHAUST LOW MOUNTED SILENCER TRIUMPH SPEED TRIPLE 1050 &gt; M.Y. 2011 CONICAL VERSION ZTPH506SSR</v>
      </c>
      <c r="G440" t="str">
        <f t="shared" si="117"/>
        <v/>
      </c>
      <c r="H440" t="str">
        <f t="shared" si="129"/>
        <v/>
      </c>
      <c r="I440" t="str">
        <f t="shared" si="130"/>
        <v/>
      </c>
      <c r="J440" t="str">
        <f t="shared" si="131"/>
        <v/>
      </c>
      <c r="K440" t="str">
        <f t="shared" si="132"/>
        <v/>
      </c>
      <c r="L440" t="str">
        <f t="shared" si="118"/>
        <v/>
      </c>
      <c r="M440" t="str">
        <f t="shared" si="119"/>
        <v/>
      </c>
      <c r="R440" t="str">
        <f t="shared" si="120"/>
        <v/>
      </c>
      <c r="S440" t="str">
        <f t="shared" si="121"/>
        <v/>
      </c>
      <c r="U440" t="str">
        <f t="shared" si="122"/>
        <v/>
      </c>
      <c r="V440" t="str">
        <f t="shared" si="123"/>
        <v/>
      </c>
      <c r="W440" s="5" t="str">
        <f t="shared" si="124"/>
        <v/>
      </c>
      <c r="Y440" t="str">
        <f t="shared" si="125"/>
        <v/>
      </c>
      <c r="Z440" t="str">
        <f t="shared" si="126"/>
        <v/>
      </c>
      <c r="AB440" t="str">
        <f t="shared" si="127"/>
        <v>https://shop.officineitalianezard.it/contents/imgs/products/1_161-speed2011cono-4.jpg</v>
      </c>
      <c r="AE440" t="b">
        <v>0</v>
      </c>
    </row>
    <row r="441" spans="1:31" x14ac:dyDescent="0.2">
      <c r="A441" t="str">
        <f t="shared" si="114"/>
        <v>https://shop.officineitalianezard.it/en/steel-conical-muffler/</v>
      </c>
      <c r="B441" t="b">
        <f>COUNTIF($A$2:$A441, A441)&gt;1</f>
        <v>1</v>
      </c>
      <c r="C441" t="b">
        <f t="shared" si="115"/>
        <v>0</v>
      </c>
      <c r="D441">
        <f>VLOOKUP(A441,variant_counts!A:B, 2, FALSE)</f>
        <v>5</v>
      </c>
      <c r="E441" t="str">
        <f t="shared" si="128"/>
        <v>zard-exhaust-low-mounted-silencer-triumph-speed-triple-1050-my-2011-conical-version-ztph506ssr</v>
      </c>
      <c r="F441" t="str">
        <f t="shared" si="116"/>
        <v>ZARD EXHAUST LOW MOUNTED SILENCER TRIUMPH SPEED TRIPLE 1050 &gt; M.Y. 2011 CONICAL VERSION ZTPH506SSR</v>
      </c>
      <c r="G441" t="str">
        <f t="shared" si="117"/>
        <v/>
      </c>
      <c r="H441" t="str">
        <f t="shared" si="129"/>
        <v/>
      </c>
      <c r="I441" t="str">
        <f t="shared" si="130"/>
        <v/>
      </c>
      <c r="J441" t="str">
        <f t="shared" si="131"/>
        <v/>
      </c>
      <c r="K441" t="str">
        <f t="shared" si="132"/>
        <v/>
      </c>
      <c r="L441" t="str">
        <f t="shared" si="118"/>
        <v/>
      </c>
      <c r="M441" t="str">
        <f t="shared" si="119"/>
        <v/>
      </c>
      <c r="R441" t="str">
        <f t="shared" si="120"/>
        <v/>
      </c>
      <c r="S441" t="str">
        <f t="shared" si="121"/>
        <v/>
      </c>
      <c r="U441" t="str">
        <f t="shared" si="122"/>
        <v/>
      </c>
      <c r="V441" t="str">
        <f t="shared" si="123"/>
        <v/>
      </c>
      <c r="W441" s="5" t="str">
        <f t="shared" si="124"/>
        <v/>
      </c>
      <c r="Y441" t="str">
        <f t="shared" si="125"/>
        <v/>
      </c>
      <c r="Z441" t="str">
        <f t="shared" si="126"/>
        <v/>
      </c>
      <c r="AB441" t="str">
        <f t="shared" si="127"/>
        <v>https://shop.officineitalianezard.it/contents/imgs/products/1_159-speed2011cono-1.jpg</v>
      </c>
      <c r="AE441" t="b">
        <v>0</v>
      </c>
    </row>
    <row r="442" spans="1:31" x14ac:dyDescent="0.2">
      <c r="A442" t="str">
        <f t="shared" si="114"/>
        <v>https://shop.officineitalianezard.it/en/steel-conical-muffler/</v>
      </c>
      <c r="B442" t="b">
        <f>COUNTIF($A$2:$A442, A442)&gt;1</f>
        <v>1</v>
      </c>
      <c r="C442" t="b">
        <f t="shared" si="115"/>
        <v>1</v>
      </c>
      <c r="D442">
        <f>VLOOKUP(A442,variant_counts!A:B, 2, FALSE)</f>
        <v>5</v>
      </c>
      <c r="E442" t="str">
        <f t="shared" si="128"/>
        <v>zard-exhaust-low-mounted-silencer-triumph-speed-triple-1050-my-2011-conical-version-ztph506ssr</v>
      </c>
      <c r="F442" t="str">
        <f t="shared" si="116"/>
        <v>ZARD EXHAUST LOW MOUNTED SILENCER TRIUMPH SPEED TRIPLE 1050 &gt; M.Y. 2011 CONICAL VERSION ZTPH506SSR</v>
      </c>
      <c r="G442" t="str">
        <f t="shared" si="117"/>
        <v/>
      </c>
      <c r="H442" t="str">
        <f t="shared" si="129"/>
        <v/>
      </c>
      <c r="I442" t="str">
        <f t="shared" si="130"/>
        <v/>
      </c>
      <c r="J442" t="str">
        <f t="shared" si="131"/>
        <v/>
      </c>
      <c r="K442" t="str">
        <f t="shared" si="132"/>
        <v/>
      </c>
      <c r="L442" t="str">
        <f t="shared" si="118"/>
        <v>Option</v>
      </c>
      <c r="M442" t="str">
        <f t="shared" si="119"/>
        <v>EURO 3 HOMOLOGATED</v>
      </c>
      <c r="R442" t="str">
        <f t="shared" si="120"/>
        <v>ZTPH506SSR</v>
      </c>
      <c r="S442">
        <f t="shared" si="121"/>
        <v>0</v>
      </c>
      <c r="U442" t="str">
        <f t="shared" si="122"/>
        <v>continue</v>
      </c>
      <c r="V442" t="str">
        <f t="shared" si="123"/>
        <v>manual</v>
      </c>
      <c r="W442" s="5">
        <f t="shared" si="124"/>
        <v>464.29080000000005</v>
      </c>
      <c r="Y442" t="b">
        <f t="shared" si="125"/>
        <v>1</v>
      </c>
      <c r="Z442" t="b">
        <f t="shared" si="126"/>
        <v>0</v>
      </c>
      <c r="AB442" t="str">
        <f t="shared" si="127"/>
        <v/>
      </c>
      <c r="AE442" t="b">
        <v>0</v>
      </c>
    </row>
    <row r="443" spans="1:31" x14ac:dyDescent="0.2">
      <c r="A443" t="str">
        <f t="shared" si="114"/>
        <v>https://shop.officineitalianezard.it/en/steel-conical-muffler/</v>
      </c>
      <c r="B443" t="b">
        <f>COUNTIF($A$2:$A443, A443)&gt;1</f>
        <v>1</v>
      </c>
      <c r="C443" t="b">
        <f t="shared" si="115"/>
        <v>1</v>
      </c>
      <c r="D443">
        <f>VLOOKUP(A443,variant_counts!A:B, 2, FALSE)</f>
        <v>5</v>
      </c>
      <c r="E443" t="str">
        <f t="shared" si="128"/>
        <v>zard-exhaust-low-mounted-silencer-triumph-speed-triple-1050-my-2011-conical-version-ztph506ssr</v>
      </c>
      <c r="F443" t="str">
        <f t="shared" si="116"/>
        <v>ZARD EXHAUST LOW MOUNTED SILENCER TRIUMPH SPEED TRIPLE 1050 &gt; M.Y. 2011 CONICAL VERSION ZTPH506SSR</v>
      </c>
      <c r="G443" t="str">
        <f t="shared" si="117"/>
        <v/>
      </c>
      <c r="H443" t="str">
        <f t="shared" si="129"/>
        <v/>
      </c>
      <c r="I443" t="str">
        <f t="shared" si="130"/>
        <v/>
      </c>
      <c r="J443" t="str">
        <f t="shared" si="131"/>
        <v/>
      </c>
      <c r="K443" t="str">
        <f t="shared" si="132"/>
        <v/>
      </c>
      <c r="L443" t="str">
        <f t="shared" si="118"/>
        <v>Option</v>
      </c>
      <c r="M443" t="str">
        <f t="shared" si="119"/>
        <v>TITANIUM RACING</v>
      </c>
      <c r="R443" t="str">
        <f t="shared" si="120"/>
        <v>ZTPH506SSR</v>
      </c>
      <c r="S443">
        <f t="shared" si="121"/>
        <v>0</v>
      </c>
      <c r="U443" t="str">
        <f t="shared" si="122"/>
        <v>continue</v>
      </c>
      <c r="V443" t="str">
        <f t="shared" si="123"/>
        <v>manual</v>
      </c>
      <c r="W443" s="5">
        <f t="shared" si="124"/>
        <v>663.26940000000002</v>
      </c>
      <c r="Y443" t="b">
        <f t="shared" si="125"/>
        <v>1</v>
      </c>
      <c r="Z443" t="b">
        <f t="shared" si="126"/>
        <v>0</v>
      </c>
      <c r="AB443" t="str">
        <f t="shared" si="127"/>
        <v/>
      </c>
      <c r="AE443" t="b">
        <v>0</v>
      </c>
    </row>
    <row r="444" spans="1:31" x14ac:dyDescent="0.2">
      <c r="A444" t="str">
        <f t="shared" si="114"/>
        <v>https://shop.officineitalianezard.it/en/steel-conical-muffler/</v>
      </c>
      <c r="B444" t="b">
        <f>COUNTIF($A$2:$A444, A444)&gt;1</f>
        <v>1</v>
      </c>
      <c r="C444" t="b">
        <f t="shared" si="115"/>
        <v>1</v>
      </c>
      <c r="D444">
        <f>VLOOKUP(A444,variant_counts!A:B, 2, FALSE)</f>
        <v>5</v>
      </c>
      <c r="E444" t="str">
        <f t="shared" si="128"/>
        <v>zard-exhaust-low-mounted-silencer-triumph-speed-triple-1050-my-2011-conical-version-ztph506ssr</v>
      </c>
      <c r="F444" t="str">
        <f t="shared" si="116"/>
        <v>ZARD EXHAUST LOW MOUNTED SILENCER TRIUMPH SPEED TRIPLE 1050 &gt; M.Y. 2011 CONICAL VERSION ZTPH506SSR</v>
      </c>
      <c r="G444" t="str">
        <f t="shared" si="117"/>
        <v/>
      </c>
      <c r="H444" t="str">
        <f t="shared" si="129"/>
        <v/>
      </c>
      <c r="I444" t="str">
        <f t="shared" si="130"/>
        <v/>
      </c>
      <c r="J444" t="str">
        <f t="shared" si="131"/>
        <v/>
      </c>
      <c r="K444" t="str">
        <f t="shared" si="132"/>
        <v/>
      </c>
      <c r="L444" t="str">
        <f t="shared" si="118"/>
        <v>Option</v>
      </c>
      <c r="M444" t="str">
        <f t="shared" si="119"/>
        <v>TITANIUM HOMOLOGATED</v>
      </c>
      <c r="R444" t="str">
        <f t="shared" si="120"/>
        <v>ZTPH506SSR</v>
      </c>
      <c r="S444">
        <f t="shared" si="121"/>
        <v>0</v>
      </c>
      <c r="U444" t="str">
        <f t="shared" si="122"/>
        <v>continue</v>
      </c>
      <c r="V444" t="str">
        <f t="shared" si="123"/>
        <v>manual</v>
      </c>
      <c r="W444" s="5">
        <f t="shared" si="124"/>
        <v>734.50920000000008</v>
      </c>
      <c r="Y444" t="b">
        <f t="shared" si="125"/>
        <v>1</v>
      </c>
      <c r="Z444" t="b">
        <f t="shared" si="126"/>
        <v>0</v>
      </c>
      <c r="AB444" t="str">
        <f t="shared" si="127"/>
        <v/>
      </c>
      <c r="AE444" t="b">
        <v>0</v>
      </c>
    </row>
    <row r="445" spans="1:31" x14ac:dyDescent="0.2">
      <c r="A445" t="str">
        <f t="shared" si="114"/>
        <v>https://shop.officineitalianezard.it/en/steel-conical-muffler/</v>
      </c>
      <c r="B445" t="b">
        <f>COUNTIF($A$2:$A445, A445)&gt;1</f>
        <v>1</v>
      </c>
      <c r="C445" t="b">
        <f t="shared" si="115"/>
        <v>1</v>
      </c>
      <c r="D445">
        <f>VLOOKUP(A445,variant_counts!A:B, 2, FALSE)</f>
        <v>5</v>
      </c>
      <c r="E445" t="str">
        <f t="shared" si="128"/>
        <v>zard-exhaust-low-mounted-silencer-triumph-speed-triple-1050-my-2011-conical-version-ztph506ssr</v>
      </c>
      <c r="F445" t="str">
        <f t="shared" si="116"/>
        <v>ZARD EXHAUST LOW MOUNTED SILENCER TRIUMPH SPEED TRIPLE 1050 &gt; M.Y. 2011 CONICAL VERSION ZTPH506SSR</v>
      </c>
      <c r="G445" t="str">
        <f t="shared" si="117"/>
        <v/>
      </c>
      <c r="H445" t="str">
        <f t="shared" si="129"/>
        <v/>
      </c>
      <c r="I445" t="str">
        <f t="shared" si="130"/>
        <v/>
      </c>
      <c r="J445" t="str">
        <f t="shared" si="131"/>
        <v/>
      </c>
      <c r="K445" t="str">
        <f t="shared" si="132"/>
        <v/>
      </c>
      <c r="L445" t="str">
        <f t="shared" si="118"/>
        <v>Option</v>
      </c>
      <c r="M445" t="str">
        <f t="shared" si="119"/>
        <v>BLACK COATING</v>
      </c>
      <c r="R445" t="str">
        <f t="shared" si="120"/>
        <v>ZTPH506SSR</v>
      </c>
      <c r="S445">
        <f t="shared" si="121"/>
        <v>0</v>
      </c>
      <c r="U445" t="str">
        <f t="shared" si="122"/>
        <v>continue</v>
      </c>
      <c r="V445" t="str">
        <f t="shared" si="123"/>
        <v>manual</v>
      </c>
      <c r="W445" s="5">
        <f t="shared" si="124"/>
        <v>503.59590000000003</v>
      </c>
      <c r="Y445" t="b">
        <f t="shared" si="125"/>
        <v>1</v>
      </c>
      <c r="Z445" t="b">
        <f t="shared" si="126"/>
        <v>0</v>
      </c>
      <c r="AB445" t="str">
        <f t="shared" si="127"/>
        <v/>
      </c>
      <c r="AE445" t="b">
        <v>0</v>
      </c>
    </row>
    <row r="446" spans="1:31" x14ac:dyDescent="0.2">
      <c r="A446" t="str">
        <f t="shared" si="114"/>
        <v>https://shop.officineitalianezard.it/en/steel-conical-muffler/</v>
      </c>
      <c r="B446" t="b">
        <f>COUNTIF($A$2:$A446, A446)&gt;1</f>
        <v>1</v>
      </c>
      <c r="C446" t="b">
        <f t="shared" si="115"/>
        <v>1</v>
      </c>
      <c r="D446">
        <f>VLOOKUP(A446,variant_counts!A:B, 2, FALSE)</f>
        <v>5</v>
      </c>
      <c r="E446" t="str">
        <f t="shared" si="128"/>
        <v>zard-exhaust-low-mounted-silencer-triumph-speed-triple-1050-my-2011-conical-version-ztph506ssr</v>
      </c>
      <c r="F446" t="str">
        <f t="shared" si="116"/>
        <v>ZARD EXHAUST LOW MOUNTED SILENCER TRIUMPH SPEED TRIPLE 1050 &gt; M.Y. 2011 CONICAL VERSION ZTPH506SSR</v>
      </c>
      <c r="G446" t="str">
        <f t="shared" si="117"/>
        <v/>
      </c>
      <c r="H446" t="str">
        <f t="shared" si="129"/>
        <v/>
      </c>
      <c r="I446" t="str">
        <f t="shared" si="130"/>
        <v/>
      </c>
      <c r="J446" t="str">
        <f t="shared" si="131"/>
        <v/>
      </c>
      <c r="K446" t="str">
        <f t="shared" si="132"/>
        <v/>
      </c>
      <c r="L446" t="str">
        <f t="shared" si="118"/>
        <v>Option</v>
      </c>
      <c r="M446" t="str">
        <f t="shared" si="119"/>
        <v>CARBON ENDCAP</v>
      </c>
      <c r="R446" t="str">
        <f t="shared" si="120"/>
        <v>ZTPH506SSR</v>
      </c>
      <c r="S446">
        <f t="shared" si="121"/>
        <v>0</v>
      </c>
      <c r="U446" t="str">
        <f t="shared" si="122"/>
        <v>continue</v>
      </c>
      <c r="V446" t="str">
        <f t="shared" si="123"/>
        <v>manual</v>
      </c>
      <c r="W446" s="5">
        <f t="shared" si="124"/>
        <v>459.37350000000009</v>
      </c>
      <c r="Y446" t="b">
        <f t="shared" si="125"/>
        <v>1</v>
      </c>
      <c r="Z446" t="b">
        <f t="shared" si="126"/>
        <v>0</v>
      </c>
      <c r="AB446" t="str">
        <f t="shared" si="127"/>
        <v/>
      </c>
      <c r="AE446" t="b">
        <v>0</v>
      </c>
    </row>
    <row r="447" spans="1:31" x14ac:dyDescent="0.2">
      <c r="A447" t="str">
        <f t="shared" si="114"/>
        <v>https://shop.officineitalianezard.it/en/penta-high-mufflers/</v>
      </c>
      <c r="B447" t="b">
        <f>COUNTIF($A$2:$A447, A447)&gt;1</f>
        <v>0</v>
      </c>
      <c r="C447" t="b">
        <f t="shared" si="115"/>
        <v>0</v>
      </c>
      <c r="D447">
        <f>VLOOKUP(A447,variant_counts!A:B, 2, FALSE)</f>
        <v>4</v>
      </c>
      <c r="E447" t="str">
        <f t="shared" si="128"/>
        <v>zard-exhaust-high-mounted-silencers-triumph-speed-triple-1050-my-2011-penta-version-ztph510asr</v>
      </c>
      <c r="F447" t="str">
        <f t="shared" si="116"/>
        <v>ZARD EXHAUST HIGH MOUNTED SILENCERS TRIUMPH SPEED TRIPLE 1050 &gt; M.Y. 2011 PENTA VERSION ZTPH510ASR</v>
      </c>
      <c r="G447" t="str">
        <f t="shared" si="117"/>
        <v>&lt;p&gt;HIGHT MOUNTED STEEL-BLACK ALUMINIUM RACING SILENCERS&lt;/p&gt;
&lt;p&gt;ORIGINAL FULL KIT WEIGHT: KG 9.5&lt;br&gt;ZARD FULL KIT WEIGHT: KG 3.6&lt;/p&gt;
&lt;p&gt;HARD INCREASE, COMPARED TO THE ORIGINAL EXHAUST SYSTEM, IN TERMS OF TORQUE AND POWER AT ANY RANGE (+2 HP FOR THE STREET LEGAL VERSION AND +4 HP FOR THE RACING ONE).&lt;/p&gt;
&lt;p&gt;ASTONISHING SOUND.&lt;/p&gt;</v>
      </c>
      <c r="H447" t="str">
        <f t="shared" si="129"/>
        <v>ZARD</v>
      </c>
      <c r="I447" t="str">
        <f t="shared" si="130"/>
        <v>Exhaust Pipe</v>
      </c>
      <c r="J447" t="str">
        <f t="shared" si="131"/>
        <v>Test</v>
      </c>
      <c r="K447" t="b">
        <f t="shared" si="132"/>
        <v>0</v>
      </c>
      <c r="L447" t="str">
        <f t="shared" si="118"/>
        <v/>
      </c>
      <c r="M447" t="str">
        <f t="shared" si="119"/>
        <v/>
      </c>
      <c r="R447" t="str">
        <f t="shared" si="120"/>
        <v/>
      </c>
      <c r="S447" t="str">
        <f t="shared" si="121"/>
        <v/>
      </c>
      <c r="U447" t="str">
        <f t="shared" si="122"/>
        <v/>
      </c>
      <c r="V447" t="str">
        <f t="shared" si="123"/>
        <v/>
      </c>
      <c r="W447" s="5" t="str">
        <f t="shared" si="124"/>
        <v/>
      </c>
      <c r="Y447" t="str">
        <f t="shared" si="125"/>
        <v/>
      </c>
      <c r="Z447" t="str">
        <f t="shared" si="126"/>
        <v/>
      </c>
      <c r="AB447" t="str">
        <f t="shared" si="127"/>
        <v>https://shop.officineitalianezard.it/contents/imgs/products/1_165-2.jpg</v>
      </c>
      <c r="AE447" t="b">
        <v>0</v>
      </c>
    </row>
    <row r="448" spans="1:31" x14ac:dyDescent="0.2">
      <c r="A448" t="str">
        <f t="shared" si="114"/>
        <v>https://shop.officineitalianezard.it/en/penta-high-mufflers/</v>
      </c>
      <c r="B448" t="b">
        <f>COUNTIF($A$2:$A448, A448)&gt;1</f>
        <v>1</v>
      </c>
      <c r="C448" t="b">
        <f t="shared" si="115"/>
        <v>0</v>
      </c>
      <c r="D448">
        <f>VLOOKUP(A448,variant_counts!A:B, 2, FALSE)</f>
        <v>4</v>
      </c>
      <c r="E448" t="str">
        <f t="shared" si="128"/>
        <v>zard-exhaust-high-mounted-silencers-triumph-speed-triple-1050-my-2011-penta-version-ztph510asr</v>
      </c>
      <c r="F448" t="str">
        <f t="shared" si="116"/>
        <v>ZARD EXHAUST HIGH MOUNTED SILENCERS TRIUMPH SPEED TRIPLE 1050 &gt; M.Y. 2011 PENTA VERSION ZTPH510ASR</v>
      </c>
      <c r="G448" t="str">
        <f t="shared" si="117"/>
        <v/>
      </c>
      <c r="H448" t="str">
        <f t="shared" si="129"/>
        <v/>
      </c>
      <c r="I448" t="str">
        <f t="shared" si="130"/>
        <v/>
      </c>
      <c r="J448" t="str">
        <f t="shared" si="131"/>
        <v/>
      </c>
      <c r="K448" t="str">
        <f t="shared" si="132"/>
        <v/>
      </c>
      <c r="L448" t="str">
        <f t="shared" si="118"/>
        <v/>
      </c>
      <c r="M448" t="str">
        <f t="shared" si="119"/>
        <v/>
      </c>
      <c r="R448" t="str">
        <f t="shared" si="120"/>
        <v/>
      </c>
      <c r="S448" t="str">
        <f t="shared" si="121"/>
        <v/>
      </c>
      <c r="U448" t="str">
        <f t="shared" si="122"/>
        <v/>
      </c>
      <c r="V448" t="str">
        <f t="shared" si="123"/>
        <v/>
      </c>
      <c r="W448" s="5" t="str">
        <f t="shared" si="124"/>
        <v/>
      </c>
      <c r="Y448" t="str">
        <f t="shared" si="125"/>
        <v/>
      </c>
      <c r="Z448" t="str">
        <f t="shared" si="126"/>
        <v/>
      </c>
      <c r="AB448" t="str">
        <f t="shared" si="127"/>
        <v>https://shop.officineitalianezard.it/contents/imgs/products/1_166-1.jpg</v>
      </c>
      <c r="AE448" t="b">
        <v>0</v>
      </c>
    </row>
    <row r="449" spans="1:31" x14ac:dyDescent="0.2">
      <c r="A449" t="str">
        <f t="shared" si="114"/>
        <v>https://shop.officineitalianezard.it/en/penta-high-mufflers/</v>
      </c>
      <c r="B449" t="b">
        <f>COUNTIF($A$2:$A449, A449)&gt;1</f>
        <v>1</v>
      </c>
      <c r="C449" t="b">
        <f t="shared" si="115"/>
        <v>1</v>
      </c>
      <c r="D449">
        <f>VLOOKUP(A449,variant_counts!A:B, 2, FALSE)</f>
        <v>4</v>
      </c>
      <c r="E449" t="str">
        <f t="shared" si="128"/>
        <v>zard-exhaust-high-mounted-silencers-triumph-speed-triple-1050-my-2011-penta-version-ztph510asr</v>
      </c>
      <c r="F449" t="str">
        <f t="shared" si="116"/>
        <v>ZARD EXHAUST HIGH MOUNTED SILENCERS TRIUMPH SPEED TRIPLE 1050 &gt; M.Y. 2011 PENTA VERSION ZTPH510ASR</v>
      </c>
      <c r="G449" t="str">
        <f t="shared" si="117"/>
        <v/>
      </c>
      <c r="H449" t="str">
        <f t="shared" si="129"/>
        <v/>
      </c>
      <c r="I449" t="str">
        <f t="shared" si="130"/>
        <v/>
      </c>
      <c r="J449" t="str">
        <f t="shared" si="131"/>
        <v/>
      </c>
      <c r="K449" t="str">
        <f t="shared" si="132"/>
        <v/>
      </c>
      <c r="L449" t="str">
        <f t="shared" si="118"/>
        <v>Option</v>
      </c>
      <c r="M449" t="str">
        <f t="shared" si="119"/>
        <v>CARBON RACING ONLY</v>
      </c>
      <c r="R449" t="str">
        <f t="shared" si="120"/>
        <v>ZTPH510ASR</v>
      </c>
      <c r="S449">
        <f t="shared" si="121"/>
        <v>0</v>
      </c>
      <c r="U449" t="str">
        <f t="shared" si="122"/>
        <v>continue</v>
      </c>
      <c r="V449" t="str">
        <f t="shared" si="123"/>
        <v>manual</v>
      </c>
      <c r="W449" s="5">
        <f t="shared" si="124"/>
        <v>790.83060000000012</v>
      </c>
      <c r="Y449" t="b">
        <f t="shared" si="125"/>
        <v>1</v>
      </c>
      <c r="Z449" t="b">
        <f t="shared" si="126"/>
        <v>0</v>
      </c>
      <c r="AB449" t="str">
        <f t="shared" si="127"/>
        <v/>
      </c>
      <c r="AE449" t="b">
        <v>0</v>
      </c>
    </row>
    <row r="450" spans="1:31" x14ac:dyDescent="0.2">
      <c r="A450" t="str">
        <f t="shared" ref="A450:A513" si="133">source_product_link_href</f>
        <v>https://shop.officineitalianezard.it/en/penta-high-mufflers/</v>
      </c>
      <c r="B450" t="b">
        <f>COUNTIF($A$2:$A450, A450)&gt;1</f>
        <v>1</v>
      </c>
      <c r="C450" t="b">
        <f t="shared" ref="C450:C513" si="134">NOT(ISBLANK(source_option_name))</f>
        <v>1</v>
      </c>
      <c r="D450">
        <f>VLOOKUP(A450,variant_counts!A:B, 2, FALSE)</f>
        <v>4</v>
      </c>
      <c r="E450" t="str">
        <f t="shared" si="128"/>
        <v>zard-exhaust-high-mounted-silencers-triumph-speed-triple-1050-my-2011-penta-version-ztph510asr</v>
      </c>
      <c r="F450" t="str">
        <f t="shared" ref="F450:F513" si="135">UPPER("ZARD EXHAUST " &amp; source_title &amp; " " &amp; source_brand &amp; " " &amp; source_bike &amp; " " &amp; source_product_link &amp; " " &amp; source_sku)</f>
        <v>ZARD EXHAUST HIGH MOUNTED SILENCERS TRIUMPH SPEED TRIPLE 1050 &gt; M.Y. 2011 PENTA VERSION ZTPH510ASR</v>
      </c>
      <c r="G450" t="str">
        <f t="shared" ref="G450:G513" si="136">IF($B450=FALSE, source_description, "")</f>
        <v/>
      </c>
      <c r="H450" t="str">
        <f t="shared" si="129"/>
        <v/>
      </c>
      <c r="I450" t="str">
        <f t="shared" si="130"/>
        <v/>
      </c>
      <c r="J450" t="str">
        <f t="shared" si="131"/>
        <v/>
      </c>
      <c r="K450" t="str">
        <f t="shared" si="132"/>
        <v/>
      </c>
      <c r="L450" t="str">
        <f t="shared" ref="L450:L513" si="137">IF(AND(variant_count=0,duplicated=FALSE),"Title",IF(OR(AND(variant_count=1,duplicated=FALSE), source_option_name&lt;&gt;""), "Option", ""))</f>
        <v>Option</v>
      </c>
      <c r="M450" t="str">
        <f t="shared" ref="M450:M513" si="138">IF(option1_name="Title", "Default Title", IF(AND(option1_name="Option",ISBLANK(source_option_name)),"DEFAULT",IF(ISBLANK(source_option_name), "", source_option_name)))</f>
        <v>HOMOLOGATED ALU.</v>
      </c>
      <c r="R450" t="str">
        <f t="shared" ref="R450:R513" si="139">IF(option1_name &lt;&gt; "", source_sku, "")</f>
        <v>ZTPH510ASR</v>
      </c>
      <c r="S450">
        <f t="shared" ref="S450:S513" si="140">IF(option1_name &lt;&gt; "", 0, "")</f>
        <v>0</v>
      </c>
      <c r="U450" t="str">
        <f t="shared" ref="U450:U513" si="141">IF(option1_name &lt;&gt; "", "continue", "")</f>
        <v>continue</v>
      </c>
      <c r="V450" t="str">
        <f t="shared" ref="V450:V513" si="142">IF(option1_name &lt;&gt; "", "manual", "")</f>
        <v>manual</v>
      </c>
      <c r="W450" s="5">
        <f t="shared" ref="W450:W513" si="143">IF(option1_name&lt;&gt;"",(source_price_original+source_option_price)*eur_usd,"")</f>
        <v>725.32949999999994</v>
      </c>
      <c r="Y450" t="b">
        <f t="shared" ref="Y450:Y513" si="144">IF(option1_name&lt;&gt;"",TRUE,"")</f>
        <v>1</v>
      </c>
      <c r="Z450" t="b">
        <f t="shared" ref="Z450:Z513" si="145">IF(option1_name&lt;&gt;"",FALSE,"")</f>
        <v>0</v>
      </c>
      <c r="AB450" t="str">
        <f t="shared" ref="AB450:AB513" si="146">IF(ISBLANK(source_image), "", source_image)</f>
        <v/>
      </c>
      <c r="AE450" t="b">
        <v>0</v>
      </c>
    </row>
    <row r="451" spans="1:31" x14ac:dyDescent="0.2">
      <c r="A451" t="str">
        <f t="shared" si="133"/>
        <v>https://shop.officineitalianezard.it/en/penta-high-mufflers/</v>
      </c>
      <c r="B451" t="b">
        <f>COUNTIF($A$2:$A451, A451)&gt;1</f>
        <v>1</v>
      </c>
      <c r="C451" t="b">
        <f t="shared" si="134"/>
        <v>1</v>
      </c>
      <c r="D451">
        <f>VLOOKUP(A451,variant_counts!A:B, 2, FALSE)</f>
        <v>4</v>
      </c>
      <c r="E451" t="str">
        <f t="shared" ref="E451:E514" si="147">FormatShopifyHandle(F451)</f>
        <v>zard-exhaust-high-mounted-silencers-triumph-speed-triple-1050-my-2011-penta-version-ztph510asr</v>
      </c>
      <c r="F451" t="str">
        <f t="shared" si="135"/>
        <v>ZARD EXHAUST HIGH MOUNTED SILENCERS TRIUMPH SPEED TRIPLE 1050 &gt; M.Y. 2011 PENTA VERSION ZTPH510ASR</v>
      </c>
      <c r="G451" t="str">
        <f t="shared" si="136"/>
        <v/>
      </c>
      <c r="H451" t="str">
        <f t="shared" ref="H451:H514" si="148">IF($B451=FALSE, "ZARD", "")</f>
        <v/>
      </c>
      <c r="I451" t="str">
        <f t="shared" ref="I451:I514" si="149">IF($B451=FALSE, "Exhaust Pipe", "")</f>
        <v/>
      </c>
      <c r="J451" t="str">
        <f t="shared" ref="J451:J514" si="150">IF($B451=FALSE, "Test", "")</f>
        <v/>
      </c>
      <c r="K451" t="str">
        <f t="shared" ref="K451:K514" si="151">IF($B451=FALSE, FALSE, "")</f>
        <v/>
      </c>
      <c r="L451" t="str">
        <f t="shared" si="137"/>
        <v>Option</v>
      </c>
      <c r="M451" t="str">
        <f t="shared" si="138"/>
        <v>SILVER</v>
      </c>
      <c r="R451" t="str">
        <f t="shared" si="139"/>
        <v>ZTPH510ASR</v>
      </c>
      <c r="S451">
        <f t="shared" si="140"/>
        <v>0</v>
      </c>
      <c r="U451" t="str">
        <f t="shared" si="141"/>
        <v>continue</v>
      </c>
      <c r="V451" t="str">
        <f t="shared" si="142"/>
        <v>manual</v>
      </c>
      <c r="W451" s="5">
        <f t="shared" si="143"/>
        <v>731.0571000000001</v>
      </c>
      <c r="Y451" t="b">
        <f t="shared" si="144"/>
        <v>1</v>
      </c>
      <c r="Z451" t="b">
        <f t="shared" si="145"/>
        <v>0</v>
      </c>
      <c r="AB451" t="str">
        <f t="shared" si="146"/>
        <v/>
      </c>
      <c r="AE451" t="b">
        <v>0</v>
      </c>
    </row>
    <row r="452" spans="1:31" x14ac:dyDescent="0.2">
      <c r="A452" t="str">
        <f t="shared" si="133"/>
        <v>https://shop.officineitalianezard.it/en/penta-high-mufflers/</v>
      </c>
      <c r="B452" t="b">
        <f>COUNTIF($A$2:$A452, A452)&gt;1</f>
        <v>1</v>
      </c>
      <c r="C452" t="b">
        <f t="shared" si="134"/>
        <v>1</v>
      </c>
      <c r="D452">
        <f>VLOOKUP(A452,variant_counts!A:B, 2, FALSE)</f>
        <v>4</v>
      </c>
      <c r="E452" t="str">
        <f t="shared" si="147"/>
        <v>zard-exhaust-high-mounted-silencers-triumph-speed-triple-1050-my-2011-penta-version-ztph510asr</v>
      </c>
      <c r="F452" t="str">
        <f t="shared" si="135"/>
        <v>ZARD EXHAUST HIGH MOUNTED SILENCERS TRIUMPH SPEED TRIPLE 1050 &gt; M.Y. 2011 PENTA VERSION ZTPH510ASR</v>
      </c>
      <c r="G452" t="str">
        <f t="shared" si="136"/>
        <v/>
      </c>
      <c r="H452" t="str">
        <f t="shared" si="148"/>
        <v/>
      </c>
      <c r="I452" t="str">
        <f t="shared" si="149"/>
        <v/>
      </c>
      <c r="J452" t="str">
        <f t="shared" si="150"/>
        <v/>
      </c>
      <c r="K452" t="str">
        <f t="shared" si="151"/>
        <v/>
      </c>
      <c r="L452" t="str">
        <f t="shared" si="137"/>
        <v>Option</v>
      </c>
      <c r="M452" t="str">
        <f t="shared" si="138"/>
        <v>CARBON 'PENTA' ENDCAP</v>
      </c>
      <c r="R452" t="str">
        <f t="shared" si="139"/>
        <v>ZTPH510ASR</v>
      </c>
      <c r="S452">
        <f t="shared" si="140"/>
        <v>0</v>
      </c>
      <c r="U452" t="str">
        <f t="shared" si="141"/>
        <v>continue</v>
      </c>
      <c r="V452" t="str">
        <f t="shared" si="142"/>
        <v>manual</v>
      </c>
      <c r="W452" s="5">
        <f t="shared" si="143"/>
        <v>728.60400000000004</v>
      </c>
      <c r="Y452" t="b">
        <f t="shared" si="144"/>
        <v>1</v>
      </c>
      <c r="Z452" t="b">
        <f t="shared" si="145"/>
        <v>0</v>
      </c>
      <c r="AB452" t="str">
        <f t="shared" si="146"/>
        <v/>
      </c>
      <c r="AE452" t="b">
        <v>0</v>
      </c>
    </row>
    <row r="453" spans="1:31" x14ac:dyDescent="0.2">
      <c r="A453" t="str">
        <f t="shared" si="133"/>
        <v>https://shop.officineitalianezard.it/en/3-1-conical-full-kit-2/</v>
      </c>
      <c r="B453" t="b">
        <f>COUNTIF($A$2:$A453, A453)&gt;1</f>
        <v>0</v>
      </c>
      <c r="C453" t="b">
        <f t="shared" si="134"/>
        <v>0</v>
      </c>
      <c r="D453">
        <f>VLOOKUP(A453,variant_counts!A:B, 2, FALSE)</f>
        <v>7</v>
      </c>
      <c r="E453" t="str">
        <f t="shared" si="147"/>
        <v>zard-exhaust-31-full-kit-triumph-speed-triple-1050-my-2011-conical-version-ztph506skr</v>
      </c>
      <c r="F453" t="str">
        <f t="shared" si="135"/>
        <v>ZARD EXHAUST 3&gt;1 FULL KIT TRIUMPH SPEED TRIPLE 1050 &gt; M.Y. 2011 CONICAL VERSION ZTPH506SKR</v>
      </c>
      <c r="G453" t="str">
        <f t="shared" si="136"/>
        <v>&lt;p&gt;3&amp;gt;1 STEEL RACING FULL KIT&lt;/p&gt;
&lt;p&gt;ORIGINAL FULL KIT WEIGHT: KG 13&lt;br&gt;ZARD FULL KIT WEIGHT: KG 5.2&lt;/p&gt;
&lt;p&gt;HARD INCREASE, COMPARED TO THE ORIGINAL EXHAUST SYSTEM, IN TERMS OF TORQUE AND POWER AT ANY RANGE (+2 HP FOR THE STREET LEGAL VERSION AND +5.5 HP FOR THE RACING ONE).&lt;/p&gt;
&lt;p&gt;ASTONISHING SOUND.&lt;/p&gt;</v>
      </c>
      <c r="H453" t="str">
        <f t="shared" si="148"/>
        <v>ZARD</v>
      </c>
      <c r="I453" t="str">
        <f t="shared" si="149"/>
        <v>Exhaust Pipe</v>
      </c>
      <c r="J453" t="str">
        <f t="shared" si="150"/>
        <v>Test</v>
      </c>
      <c r="K453" t="b">
        <f t="shared" si="151"/>
        <v>0</v>
      </c>
      <c r="L453" t="str">
        <f t="shared" si="137"/>
        <v/>
      </c>
      <c r="M453" t="str">
        <f t="shared" si="138"/>
        <v/>
      </c>
      <c r="R453" t="str">
        <f t="shared" si="139"/>
        <v/>
      </c>
      <c r="S453" t="str">
        <f t="shared" si="140"/>
        <v/>
      </c>
      <c r="U453" t="str">
        <f t="shared" si="141"/>
        <v/>
      </c>
      <c r="V453" t="str">
        <f t="shared" si="142"/>
        <v/>
      </c>
      <c r="W453" s="5" t="str">
        <f t="shared" si="143"/>
        <v/>
      </c>
      <c r="Y453" t="str">
        <f t="shared" si="144"/>
        <v/>
      </c>
      <c r="Z453" t="str">
        <f t="shared" si="145"/>
        <v/>
      </c>
      <c r="AB453" t="str">
        <f t="shared" si="146"/>
        <v>https://shop.officineitalianezard.it/contents/imgs/products/1_1040-2_510-zard%20triumph%20conico.jpg</v>
      </c>
      <c r="AE453" t="b">
        <v>0</v>
      </c>
    </row>
    <row r="454" spans="1:31" x14ac:dyDescent="0.2">
      <c r="A454" t="str">
        <f t="shared" si="133"/>
        <v>https://shop.officineitalianezard.it/en/3-1-conical-full-kit-2/</v>
      </c>
      <c r="B454" t="b">
        <f>COUNTIF($A$2:$A454, A454)&gt;1</f>
        <v>1</v>
      </c>
      <c r="C454" t="b">
        <f t="shared" si="134"/>
        <v>1</v>
      </c>
      <c r="D454">
        <f>VLOOKUP(A454,variant_counts!A:B, 2, FALSE)</f>
        <v>7</v>
      </c>
      <c r="E454" t="str">
        <f t="shared" si="147"/>
        <v>zard-exhaust-31-full-kit-triumph-speed-triple-1050-my-2011-conical-version-ztph506skr</v>
      </c>
      <c r="F454" t="str">
        <f t="shared" si="135"/>
        <v>ZARD EXHAUST 3&gt;1 FULL KIT TRIUMPH SPEED TRIPLE 1050 &gt; M.Y. 2011 CONICAL VERSION ZTPH506SKR</v>
      </c>
      <c r="G454" t="str">
        <f t="shared" si="136"/>
        <v/>
      </c>
      <c r="H454" t="str">
        <f t="shared" si="148"/>
        <v/>
      </c>
      <c r="I454" t="str">
        <f t="shared" si="149"/>
        <v/>
      </c>
      <c r="J454" t="str">
        <f t="shared" si="150"/>
        <v/>
      </c>
      <c r="K454" t="str">
        <f t="shared" si="151"/>
        <v/>
      </c>
      <c r="L454" t="str">
        <f t="shared" si="137"/>
        <v>Option</v>
      </c>
      <c r="M454" t="str">
        <f t="shared" si="138"/>
        <v>HOMOLOGATED INOX</v>
      </c>
      <c r="R454" t="str">
        <f t="shared" si="139"/>
        <v>ZTPH506SKR</v>
      </c>
      <c r="S454">
        <f t="shared" si="140"/>
        <v>0</v>
      </c>
      <c r="U454" t="str">
        <f t="shared" si="141"/>
        <v>continue</v>
      </c>
      <c r="V454" t="str">
        <f t="shared" si="142"/>
        <v>manual</v>
      </c>
      <c r="W454" s="5">
        <f t="shared" si="143"/>
        <v>1277.6876999999999</v>
      </c>
      <c r="Y454" t="b">
        <f t="shared" si="144"/>
        <v>1</v>
      </c>
      <c r="Z454" t="b">
        <f t="shared" si="145"/>
        <v>0</v>
      </c>
      <c r="AB454" t="str">
        <f t="shared" si="146"/>
        <v/>
      </c>
      <c r="AE454" t="b">
        <v>0</v>
      </c>
    </row>
    <row r="455" spans="1:31" x14ac:dyDescent="0.2">
      <c r="A455" t="str">
        <f t="shared" si="133"/>
        <v>https://shop.officineitalianezard.it/en/3-1-conical-full-kit-2/</v>
      </c>
      <c r="B455" t="b">
        <f>COUNTIF($A$2:$A455, A455)&gt;1</f>
        <v>1</v>
      </c>
      <c r="C455" t="b">
        <f t="shared" si="134"/>
        <v>1</v>
      </c>
      <c r="D455">
        <f>VLOOKUP(A455,variant_counts!A:B, 2, FALSE)</f>
        <v>7</v>
      </c>
      <c r="E455" t="str">
        <f t="shared" si="147"/>
        <v>zard-exhaust-31-full-kit-triumph-speed-triple-1050-my-2011-conical-version-ztph506skr</v>
      </c>
      <c r="F455" t="str">
        <f t="shared" si="135"/>
        <v>ZARD EXHAUST 3&gt;1 FULL KIT TRIUMPH SPEED TRIPLE 1050 &gt; M.Y. 2011 CONICAL VERSION ZTPH506SKR</v>
      </c>
      <c r="G455" t="str">
        <f t="shared" si="136"/>
        <v/>
      </c>
      <c r="H455" t="str">
        <f t="shared" si="148"/>
        <v/>
      </c>
      <c r="I455" t="str">
        <f t="shared" si="149"/>
        <v/>
      </c>
      <c r="J455" t="str">
        <f t="shared" si="150"/>
        <v/>
      </c>
      <c r="K455" t="str">
        <f t="shared" si="151"/>
        <v/>
      </c>
      <c r="L455" t="str">
        <f t="shared" si="137"/>
        <v>Option</v>
      </c>
      <c r="M455" t="str">
        <f t="shared" si="138"/>
        <v>STEEL-TITANIUM RACING</v>
      </c>
      <c r="R455" t="str">
        <f t="shared" si="139"/>
        <v>ZTPH506SKR</v>
      </c>
      <c r="S455">
        <f t="shared" si="140"/>
        <v>0</v>
      </c>
      <c r="U455" t="str">
        <f t="shared" si="141"/>
        <v>continue</v>
      </c>
      <c r="V455" t="str">
        <f t="shared" si="142"/>
        <v>manual</v>
      </c>
      <c r="W455" s="5">
        <f t="shared" si="143"/>
        <v>1393.1387999999999</v>
      </c>
      <c r="Y455" t="b">
        <f t="shared" si="144"/>
        <v>1</v>
      </c>
      <c r="Z455" t="b">
        <f t="shared" si="145"/>
        <v>0</v>
      </c>
      <c r="AB455" t="str">
        <f t="shared" si="146"/>
        <v/>
      </c>
      <c r="AE455" t="b">
        <v>0</v>
      </c>
    </row>
    <row r="456" spans="1:31" x14ac:dyDescent="0.2">
      <c r="A456" t="str">
        <f t="shared" si="133"/>
        <v>https://shop.officineitalianezard.it/en/3-1-conical-full-kit-2/</v>
      </c>
      <c r="B456" t="b">
        <f>COUNTIF($A$2:$A456, A456)&gt;1</f>
        <v>1</v>
      </c>
      <c r="C456" t="b">
        <f t="shared" si="134"/>
        <v>1</v>
      </c>
      <c r="D456">
        <f>VLOOKUP(A456,variant_counts!A:B, 2, FALSE)</f>
        <v>7</v>
      </c>
      <c r="E456" t="str">
        <f t="shared" si="147"/>
        <v>zard-exhaust-31-full-kit-triumph-speed-triple-1050-my-2011-conical-version-ztph506skr</v>
      </c>
      <c r="F456" t="str">
        <f t="shared" si="135"/>
        <v>ZARD EXHAUST 3&gt;1 FULL KIT TRIUMPH SPEED TRIPLE 1050 &gt; M.Y. 2011 CONICAL VERSION ZTPH506SKR</v>
      </c>
      <c r="G456" t="str">
        <f t="shared" si="136"/>
        <v/>
      </c>
      <c r="H456" t="str">
        <f t="shared" si="148"/>
        <v/>
      </c>
      <c r="I456" t="str">
        <f t="shared" si="149"/>
        <v/>
      </c>
      <c r="J456" t="str">
        <f t="shared" si="150"/>
        <v/>
      </c>
      <c r="K456" t="str">
        <f t="shared" si="151"/>
        <v/>
      </c>
      <c r="L456" t="str">
        <f t="shared" si="137"/>
        <v>Option</v>
      </c>
      <c r="M456" t="str">
        <f t="shared" si="138"/>
        <v>STEEL-TITANIUM HOMOLOGATED</v>
      </c>
      <c r="R456" t="str">
        <f t="shared" si="139"/>
        <v>ZTPH506SKR</v>
      </c>
      <c r="S456">
        <f t="shared" si="140"/>
        <v>0</v>
      </c>
      <c r="U456" t="str">
        <f t="shared" si="141"/>
        <v>continue</v>
      </c>
      <c r="V456" t="str">
        <f t="shared" si="142"/>
        <v>manual</v>
      </c>
      <c r="W456" s="5">
        <f t="shared" si="143"/>
        <v>1513.5183000000002</v>
      </c>
      <c r="Y456" t="b">
        <f t="shared" si="144"/>
        <v>1</v>
      </c>
      <c r="Z456" t="b">
        <f t="shared" si="145"/>
        <v>0</v>
      </c>
      <c r="AB456" t="str">
        <f t="shared" si="146"/>
        <v/>
      </c>
      <c r="AE456" t="b">
        <v>0</v>
      </c>
    </row>
    <row r="457" spans="1:31" x14ac:dyDescent="0.2">
      <c r="A457" t="str">
        <f t="shared" si="133"/>
        <v>https://shop.officineitalianezard.it/en/3-1-conical-full-kit-2/</v>
      </c>
      <c r="B457" t="b">
        <f>COUNTIF($A$2:$A457, A457)&gt;1</f>
        <v>1</v>
      </c>
      <c r="C457" t="b">
        <f t="shared" si="134"/>
        <v>1</v>
      </c>
      <c r="D457">
        <f>VLOOKUP(A457,variant_counts!A:B, 2, FALSE)</f>
        <v>7</v>
      </c>
      <c r="E457" t="str">
        <f t="shared" si="147"/>
        <v>zard-exhaust-31-full-kit-triumph-speed-triple-1050-my-2011-conical-version-ztph506skr</v>
      </c>
      <c r="F457" t="str">
        <f t="shared" si="135"/>
        <v>ZARD EXHAUST 3&gt;1 FULL KIT TRIUMPH SPEED TRIPLE 1050 &gt; M.Y. 2011 CONICAL VERSION ZTPH506SKR</v>
      </c>
      <c r="G457" t="str">
        <f t="shared" si="136"/>
        <v/>
      </c>
      <c r="H457" t="str">
        <f t="shared" si="148"/>
        <v/>
      </c>
      <c r="I457" t="str">
        <f t="shared" si="149"/>
        <v/>
      </c>
      <c r="J457" t="str">
        <f t="shared" si="150"/>
        <v/>
      </c>
      <c r="K457" t="str">
        <f t="shared" si="151"/>
        <v/>
      </c>
      <c r="L457" t="str">
        <f t="shared" si="137"/>
        <v>Option</v>
      </c>
      <c r="M457" t="str">
        <f t="shared" si="138"/>
        <v>FULL TITANIUM RACING</v>
      </c>
      <c r="R457" t="str">
        <f t="shared" si="139"/>
        <v>ZTPH506SKR</v>
      </c>
      <c r="S457">
        <f t="shared" si="140"/>
        <v>0</v>
      </c>
      <c r="U457" t="str">
        <f t="shared" si="141"/>
        <v>continue</v>
      </c>
      <c r="V457" t="str">
        <f t="shared" si="142"/>
        <v>manual</v>
      </c>
      <c r="W457" s="5">
        <f t="shared" si="143"/>
        <v>2031.0336</v>
      </c>
      <c r="Y457" t="b">
        <f t="shared" si="144"/>
        <v>1</v>
      </c>
      <c r="Z457" t="b">
        <f t="shared" si="145"/>
        <v>0</v>
      </c>
      <c r="AB457" t="str">
        <f t="shared" si="146"/>
        <v/>
      </c>
      <c r="AE457" t="b">
        <v>0</v>
      </c>
    </row>
    <row r="458" spans="1:31" x14ac:dyDescent="0.2">
      <c r="A458" t="str">
        <f t="shared" si="133"/>
        <v>https://shop.officineitalianezard.it/en/3-1-conical-full-kit-2/</v>
      </c>
      <c r="B458" t="b">
        <f>COUNTIF($A$2:$A458, A458)&gt;1</f>
        <v>1</v>
      </c>
      <c r="C458" t="b">
        <f t="shared" si="134"/>
        <v>1</v>
      </c>
      <c r="D458">
        <f>VLOOKUP(A458,variant_counts!A:B, 2, FALSE)</f>
        <v>7</v>
      </c>
      <c r="E458" t="str">
        <f t="shared" si="147"/>
        <v>zard-exhaust-31-full-kit-triumph-speed-triple-1050-my-2011-conical-version-ztph506skr</v>
      </c>
      <c r="F458" t="str">
        <f t="shared" si="135"/>
        <v>ZARD EXHAUST 3&gt;1 FULL KIT TRIUMPH SPEED TRIPLE 1050 &gt; M.Y. 2011 CONICAL VERSION ZTPH506SKR</v>
      </c>
      <c r="G458" t="str">
        <f t="shared" si="136"/>
        <v/>
      </c>
      <c r="H458" t="str">
        <f t="shared" si="148"/>
        <v/>
      </c>
      <c r="I458" t="str">
        <f t="shared" si="149"/>
        <v/>
      </c>
      <c r="J458" t="str">
        <f t="shared" si="150"/>
        <v/>
      </c>
      <c r="K458" t="str">
        <f t="shared" si="151"/>
        <v/>
      </c>
      <c r="L458" t="str">
        <f t="shared" si="137"/>
        <v>Option</v>
      </c>
      <c r="M458" t="str">
        <f t="shared" si="138"/>
        <v>FULL TITANIUM HOMOLOGATED</v>
      </c>
      <c r="R458" t="str">
        <f t="shared" si="139"/>
        <v>ZTPH506SKR</v>
      </c>
      <c r="S458">
        <f t="shared" si="140"/>
        <v>0</v>
      </c>
      <c r="U458" t="str">
        <f t="shared" si="141"/>
        <v>continue</v>
      </c>
      <c r="V458" t="str">
        <f t="shared" si="142"/>
        <v>manual</v>
      </c>
      <c r="W458" s="5">
        <f t="shared" si="143"/>
        <v>2181.6938999999998</v>
      </c>
      <c r="Y458" t="b">
        <f t="shared" si="144"/>
        <v>1</v>
      </c>
      <c r="Z458" t="b">
        <f t="shared" si="145"/>
        <v>0</v>
      </c>
      <c r="AB458" t="str">
        <f t="shared" si="146"/>
        <v/>
      </c>
      <c r="AE458" t="b">
        <v>0</v>
      </c>
    </row>
    <row r="459" spans="1:31" x14ac:dyDescent="0.2">
      <c r="A459" t="str">
        <f t="shared" si="133"/>
        <v>https://shop.officineitalianezard.it/en/3-1-conical-full-kit-2/</v>
      </c>
      <c r="B459" t="b">
        <f>COUNTIF($A$2:$A459, A459)&gt;1</f>
        <v>1</v>
      </c>
      <c r="C459" t="b">
        <f t="shared" si="134"/>
        <v>1</v>
      </c>
      <c r="D459">
        <f>VLOOKUP(A459,variant_counts!A:B, 2, FALSE)</f>
        <v>7</v>
      </c>
      <c r="E459" t="str">
        <f t="shared" si="147"/>
        <v>zard-exhaust-31-full-kit-triumph-speed-triple-1050-my-2011-conical-version-ztph506skr</v>
      </c>
      <c r="F459" t="str">
        <f t="shared" si="135"/>
        <v>ZARD EXHAUST 3&gt;1 FULL KIT TRIUMPH SPEED TRIPLE 1050 &gt; M.Y. 2011 CONICAL VERSION ZTPH506SKR</v>
      </c>
      <c r="G459" t="str">
        <f t="shared" si="136"/>
        <v/>
      </c>
      <c r="H459" t="str">
        <f t="shared" si="148"/>
        <v/>
      </c>
      <c r="I459" t="str">
        <f t="shared" si="149"/>
        <v/>
      </c>
      <c r="J459" t="str">
        <f t="shared" si="150"/>
        <v/>
      </c>
      <c r="K459" t="str">
        <f t="shared" si="151"/>
        <v/>
      </c>
      <c r="L459" t="str">
        <f t="shared" si="137"/>
        <v>Option</v>
      </c>
      <c r="M459" t="str">
        <f t="shared" si="138"/>
        <v>BLACK COATING</v>
      </c>
      <c r="R459" t="str">
        <f t="shared" si="139"/>
        <v>ZTPH506SKR</v>
      </c>
      <c r="S459">
        <f t="shared" si="140"/>
        <v>0</v>
      </c>
      <c r="U459" t="str">
        <f t="shared" si="141"/>
        <v>continue</v>
      </c>
      <c r="V459" t="str">
        <f t="shared" si="142"/>
        <v>manual</v>
      </c>
      <c r="W459" s="5">
        <f t="shared" si="143"/>
        <v>1329.2694000000001</v>
      </c>
      <c r="Y459" t="b">
        <f t="shared" si="144"/>
        <v>1</v>
      </c>
      <c r="Z459" t="b">
        <f t="shared" si="145"/>
        <v>0</v>
      </c>
      <c r="AB459" t="str">
        <f t="shared" si="146"/>
        <v/>
      </c>
      <c r="AE459" t="b">
        <v>0</v>
      </c>
    </row>
    <row r="460" spans="1:31" x14ac:dyDescent="0.2">
      <c r="A460" t="str">
        <f t="shared" si="133"/>
        <v>https://shop.officineitalianezard.it/en/3-1-conical-full-kit-2/</v>
      </c>
      <c r="B460" t="b">
        <f>COUNTIF($A$2:$A460, A460)&gt;1</f>
        <v>1</v>
      </c>
      <c r="C460" t="b">
        <f t="shared" si="134"/>
        <v>1</v>
      </c>
      <c r="D460">
        <f>VLOOKUP(A460,variant_counts!A:B, 2, FALSE)</f>
        <v>7</v>
      </c>
      <c r="E460" t="str">
        <f t="shared" si="147"/>
        <v>zard-exhaust-31-full-kit-triumph-speed-triple-1050-my-2011-conical-version-ztph506skr</v>
      </c>
      <c r="F460" t="str">
        <f t="shared" si="135"/>
        <v>ZARD EXHAUST 3&gt;1 FULL KIT TRIUMPH SPEED TRIPLE 1050 &gt; M.Y. 2011 CONICAL VERSION ZTPH506SKR</v>
      </c>
      <c r="G460" t="str">
        <f t="shared" si="136"/>
        <v/>
      </c>
      <c r="H460" t="str">
        <f t="shared" si="148"/>
        <v/>
      </c>
      <c r="I460" t="str">
        <f t="shared" si="149"/>
        <v/>
      </c>
      <c r="J460" t="str">
        <f t="shared" si="150"/>
        <v/>
      </c>
      <c r="K460" t="str">
        <f t="shared" si="151"/>
        <v/>
      </c>
      <c r="L460" t="str">
        <f t="shared" si="137"/>
        <v>Option</v>
      </c>
      <c r="M460" t="str">
        <f t="shared" si="138"/>
        <v>CARBON ENDCAP</v>
      </c>
      <c r="R460" t="str">
        <f t="shared" si="139"/>
        <v>ZTPH506SKR</v>
      </c>
      <c r="S460">
        <f t="shared" si="140"/>
        <v>0</v>
      </c>
      <c r="U460" t="str">
        <f t="shared" si="141"/>
        <v>continue</v>
      </c>
      <c r="V460" t="str">
        <f t="shared" si="142"/>
        <v>manual</v>
      </c>
      <c r="W460" s="5">
        <f t="shared" si="143"/>
        <v>1182.6938999999998</v>
      </c>
      <c r="Y460" t="b">
        <f t="shared" si="144"/>
        <v>1</v>
      </c>
      <c r="Z460" t="b">
        <f t="shared" si="145"/>
        <v>0</v>
      </c>
      <c r="AB460" t="str">
        <f t="shared" si="146"/>
        <v/>
      </c>
      <c r="AE460" t="b">
        <v>0</v>
      </c>
    </row>
    <row r="461" spans="1:31" x14ac:dyDescent="0.2">
      <c r="A461" t="str">
        <f t="shared" si="133"/>
        <v>https://shop.officineitalianezard.it/en/triumph-speed-triple-exhaust-zard-3/</v>
      </c>
      <c r="B461" t="b">
        <f>COUNTIF($A$2:$A461, A461)&gt;1</f>
        <v>0</v>
      </c>
      <c r="C461" t="b">
        <f t="shared" si="134"/>
        <v>0</v>
      </c>
      <c r="D461">
        <f>VLOOKUP(A461,variant_counts!A:B, 2, FALSE)</f>
        <v>5</v>
      </c>
      <c r="E461" t="str">
        <f t="shared" si="147"/>
        <v>zard-exhaust-silencer-triumph-speed-triple-1050-my-07-10-conical-version-ztph038ssr</v>
      </c>
      <c r="F461" t="str">
        <f t="shared" si="135"/>
        <v>ZARD EXHAUST SILENCER TRIUMPH SPEED TRIPLE 1050 M.Y. 07-10 CONICAL VERSION ZTPH038SSR</v>
      </c>
      <c r="G461" t="str">
        <f t="shared" si="136"/>
        <v>&lt;p&gt;STEEL SILENCER INOX RACING&lt;/p&gt;
&lt;p&gt;ORIGINAL SILENCER WEIGHT: KG 9,5&lt;br&gt;ZARD SILENCER WEIGHT: KG 1,6&lt;/p&gt;
&lt;p&gt;HARD INCREASE IN TERMS OF TORQUE AND POWER AT ANY RANGE.&lt;/p&gt;
&lt;p&gt;ASTONISHING SOUND.&lt;/p&gt;</v>
      </c>
      <c r="H461" t="str">
        <f t="shared" si="148"/>
        <v>ZARD</v>
      </c>
      <c r="I461" t="str">
        <f t="shared" si="149"/>
        <v>Exhaust Pipe</v>
      </c>
      <c r="J461" t="str">
        <f t="shared" si="150"/>
        <v>Test</v>
      </c>
      <c r="K461" t="b">
        <f t="shared" si="151"/>
        <v>0</v>
      </c>
      <c r="L461" t="str">
        <f t="shared" si="137"/>
        <v/>
      </c>
      <c r="M461" t="str">
        <f t="shared" si="138"/>
        <v/>
      </c>
      <c r="R461" t="str">
        <f t="shared" si="139"/>
        <v/>
      </c>
      <c r="S461" t="str">
        <f t="shared" si="140"/>
        <v/>
      </c>
      <c r="U461" t="str">
        <f t="shared" si="141"/>
        <v/>
      </c>
      <c r="V461" t="str">
        <f t="shared" si="142"/>
        <v/>
      </c>
      <c r="W461" s="5" t="str">
        <f t="shared" si="143"/>
        <v/>
      </c>
      <c r="Y461" t="str">
        <f t="shared" si="144"/>
        <v/>
      </c>
      <c r="Z461" t="str">
        <f t="shared" si="145"/>
        <v/>
      </c>
      <c r="AB461" t="str">
        <f t="shared" si="146"/>
        <v>https://shop.officineitalianezard.it/contents/imgs/products/1_509-2_152-speed07-10kitbianco2.jpg</v>
      </c>
      <c r="AE461" t="b">
        <v>0</v>
      </c>
    </row>
    <row r="462" spans="1:31" x14ac:dyDescent="0.2">
      <c r="A462" t="str">
        <f t="shared" si="133"/>
        <v>https://shop.officineitalianezard.it/en/triumph-speed-triple-exhaust-zard-3/</v>
      </c>
      <c r="B462" t="b">
        <f>COUNTIF($A$2:$A462, A462)&gt;1</f>
        <v>1</v>
      </c>
      <c r="C462" t="b">
        <f t="shared" si="134"/>
        <v>1</v>
      </c>
      <c r="D462">
        <f>VLOOKUP(A462,variant_counts!A:B, 2, FALSE)</f>
        <v>5</v>
      </c>
      <c r="E462" t="str">
        <f t="shared" si="147"/>
        <v>zard-exhaust-silencer-triumph-speed-triple-1050-my-07-10-conical-version-ztph038ssr</v>
      </c>
      <c r="F462" t="str">
        <f t="shared" si="135"/>
        <v>ZARD EXHAUST SILENCER TRIUMPH SPEED TRIPLE 1050 M.Y. 07-10 CONICAL VERSION ZTPH038SSR</v>
      </c>
      <c r="G462" t="str">
        <f t="shared" si="136"/>
        <v/>
      </c>
      <c r="H462" t="str">
        <f t="shared" si="148"/>
        <v/>
      </c>
      <c r="I462" t="str">
        <f t="shared" si="149"/>
        <v/>
      </c>
      <c r="J462" t="str">
        <f t="shared" si="150"/>
        <v/>
      </c>
      <c r="K462" t="str">
        <f t="shared" si="151"/>
        <v/>
      </c>
      <c r="L462" t="str">
        <f t="shared" si="137"/>
        <v>Option</v>
      </c>
      <c r="M462" t="str">
        <f t="shared" si="138"/>
        <v>CATALYSED</v>
      </c>
      <c r="R462" t="str">
        <f t="shared" si="139"/>
        <v>ZTPH038SSR</v>
      </c>
      <c r="S462">
        <f t="shared" si="140"/>
        <v>0</v>
      </c>
      <c r="U462" t="str">
        <f t="shared" si="141"/>
        <v>continue</v>
      </c>
      <c r="V462" t="str">
        <f t="shared" si="142"/>
        <v>manual</v>
      </c>
      <c r="W462" s="5">
        <f t="shared" si="143"/>
        <v>557.27549999999997</v>
      </c>
      <c r="Y462" t="b">
        <f t="shared" si="144"/>
        <v>1</v>
      </c>
      <c r="Z462" t="b">
        <f t="shared" si="145"/>
        <v>0</v>
      </c>
      <c r="AB462" t="str">
        <f t="shared" si="146"/>
        <v/>
      </c>
      <c r="AE462" t="b">
        <v>0</v>
      </c>
    </row>
    <row r="463" spans="1:31" x14ac:dyDescent="0.2">
      <c r="A463" t="str">
        <f t="shared" si="133"/>
        <v>https://shop.officineitalianezard.it/en/triumph-speed-triple-exhaust-zard-3/</v>
      </c>
      <c r="B463" t="b">
        <f>COUNTIF($A$2:$A463, A463)&gt;1</f>
        <v>1</v>
      </c>
      <c r="C463" t="b">
        <f t="shared" si="134"/>
        <v>1</v>
      </c>
      <c r="D463">
        <f>VLOOKUP(A463,variant_counts!A:B, 2, FALSE)</f>
        <v>5</v>
      </c>
      <c r="E463" t="str">
        <f t="shared" si="147"/>
        <v>zard-exhaust-silencer-triumph-speed-triple-1050-my-07-10-conical-version-ztph038ssr</v>
      </c>
      <c r="F463" t="str">
        <f t="shared" si="135"/>
        <v>ZARD EXHAUST SILENCER TRIUMPH SPEED TRIPLE 1050 M.Y. 07-10 CONICAL VERSION ZTPH038SSR</v>
      </c>
      <c r="G463" t="str">
        <f t="shared" si="136"/>
        <v/>
      </c>
      <c r="H463" t="str">
        <f t="shared" si="148"/>
        <v/>
      </c>
      <c r="I463" t="str">
        <f t="shared" si="149"/>
        <v/>
      </c>
      <c r="J463" t="str">
        <f t="shared" si="150"/>
        <v/>
      </c>
      <c r="K463" t="str">
        <f t="shared" si="151"/>
        <v/>
      </c>
      <c r="L463" t="str">
        <f t="shared" si="137"/>
        <v>Option</v>
      </c>
      <c r="M463" t="str">
        <f t="shared" si="138"/>
        <v>FULL TITANIUM RACING</v>
      </c>
      <c r="R463" t="str">
        <f t="shared" si="139"/>
        <v>ZTPH038SSR</v>
      </c>
      <c r="S463">
        <f t="shared" si="140"/>
        <v>0</v>
      </c>
      <c r="U463" t="str">
        <f t="shared" si="141"/>
        <v>continue</v>
      </c>
      <c r="V463" t="str">
        <f t="shared" si="142"/>
        <v>manual</v>
      </c>
      <c r="W463" s="5">
        <f t="shared" si="143"/>
        <v>646.53060000000005</v>
      </c>
      <c r="Y463" t="b">
        <f t="shared" si="144"/>
        <v>1</v>
      </c>
      <c r="Z463" t="b">
        <f t="shared" si="145"/>
        <v>0</v>
      </c>
      <c r="AB463" t="str">
        <f t="shared" si="146"/>
        <v/>
      </c>
      <c r="AE463" t="b">
        <v>0</v>
      </c>
    </row>
    <row r="464" spans="1:31" x14ac:dyDescent="0.2">
      <c r="A464" t="str">
        <f t="shared" si="133"/>
        <v>https://shop.officineitalianezard.it/en/triumph-speed-triple-exhaust-zard-3/</v>
      </c>
      <c r="B464" t="b">
        <f>COUNTIF($A$2:$A464, A464)&gt;1</f>
        <v>1</v>
      </c>
      <c r="C464" t="b">
        <f t="shared" si="134"/>
        <v>1</v>
      </c>
      <c r="D464">
        <f>VLOOKUP(A464,variant_counts!A:B, 2, FALSE)</f>
        <v>5</v>
      </c>
      <c r="E464" t="str">
        <f t="shared" si="147"/>
        <v>zard-exhaust-silencer-triumph-speed-triple-1050-my-07-10-conical-version-ztph038ssr</v>
      </c>
      <c r="F464" t="str">
        <f t="shared" si="135"/>
        <v>ZARD EXHAUST SILENCER TRIUMPH SPEED TRIPLE 1050 M.Y. 07-10 CONICAL VERSION ZTPH038SSR</v>
      </c>
      <c r="G464" t="str">
        <f t="shared" si="136"/>
        <v/>
      </c>
      <c r="H464" t="str">
        <f t="shared" si="148"/>
        <v/>
      </c>
      <c r="I464" t="str">
        <f t="shared" si="149"/>
        <v/>
      </c>
      <c r="J464" t="str">
        <f t="shared" si="150"/>
        <v/>
      </c>
      <c r="K464" t="str">
        <f t="shared" si="151"/>
        <v/>
      </c>
      <c r="L464" t="str">
        <f t="shared" si="137"/>
        <v>Option</v>
      </c>
      <c r="M464" t="str">
        <f t="shared" si="138"/>
        <v>FULL TITANIUM CATALYSED</v>
      </c>
      <c r="R464" t="str">
        <f t="shared" si="139"/>
        <v>ZTPH038SSR</v>
      </c>
      <c r="S464">
        <f t="shared" si="140"/>
        <v>0</v>
      </c>
      <c r="U464" t="str">
        <f t="shared" si="141"/>
        <v>continue</v>
      </c>
      <c r="V464" t="str">
        <f t="shared" si="142"/>
        <v>manual</v>
      </c>
      <c r="W464" s="5">
        <f t="shared" si="143"/>
        <v>834.04290000000003</v>
      </c>
      <c r="Y464" t="b">
        <f t="shared" si="144"/>
        <v>1</v>
      </c>
      <c r="Z464" t="b">
        <f t="shared" si="145"/>
        <v>0</v>
      </c>
      <c r="AB464" t="str">
        <f t="shared" si="146"/>
        <v/>
      </c>
      <c r="AE464" t="b">
        <v>0</v>
      </c>
    </row>
    <row r="465" spans="1:31" x14ac:dyDescent="0.2">
      <c r="A465" t="str">
        <f t="shared" si="133"/>
        <v>https://shop.officineitalianezard.it/en/triumph-speed-triple-exhaust-zard-3/</v>
      </c>
      <c r="B465" t="b">
        <f>COUNTIF($A$2:$A465, A465)&gt;1</f>
        <v>1</v>
      </c>
      <c r="C465" t="b">
        <f t="shared" si="134"/>
        <v>1</v>
      </c>
      <c r="D465">
        <f>VLOOKUP(A465,variant_counts!A:B, 2, FALSE)</f>
        <v>5</v>
      </c>
      <c r="E465" t="str">
        <f t="shared" si="147"/>
        <v>zard-exhaust-silencer-triumph-speed-triple-1050-my-07-10-conical-version-ztph038ssr</v>
      </c>
      <c r="F465" t="str">
        <f t="shared" si="135"/>
        <v>ZARD EXHAUST SILENCER TRIUMPH SPEED TRIPLE 1050 M.Y. 07-10 CONICAL VERSION ZTPH038SSR</v>
      </c>
      <c r="G465" t="str">
        <f t="shared" si="136"/>
        <v/>
      </c>
      <c r="H465" t="str">
        <f t="shared" si="148"/>
        <v/>
      </c>
      <c r="I465" t="str">
        <f t="shared" si="149"/>
        <v/>
      </c>
      <c r="J465" t="str">
        <f t="shared" si="150"/>
        <v/>
      </c>
      <c r="K465" t="str">
        <f t="shared" si="151"/>
        <v/>
      </c>
      <c r="L465" t="str">
        <f t="shared" si="137"/>
        <v>Option</v>
      </c>
      <c r="M465" t="str">
        <f t="shared" si="138"/>
        <v>BLACK COATING</v>
      </c>
      <c r="R465" t="str">
        <f t="shared" si="139"/>
        <v>ZTPH038SSR</v>
      </c>
      <c r="S465">
        <f t="shared" si="140"/>
        <v>0</v>
      </c>
      <c r="U465" t="str">
        <f t="shared" si="141"/>
        <v>continue</v>
      </c>
      <c r="V465" t="str">
        <f t="shared" si="142"/>
        <v>manual</v>
      </c>
      <c r="W465" s="5">
        <f t="shared" si="143"/>
        <v>491.76330000000002</v>
      </c>
      <c r="Y465" t="b">
        <f t="shared" si="144"/>
        <v>1</v>
      </c>
      <c r="Z465" t="b">
        <f t="shared" si="145"/>
        <v>0</v>
      </c>
      <c r="AB465" t="str">
        <f t="shared" si="146"/>
        <v/>
      </c>
      <c r="AE465" t="b">
        <v>0</v>
      </c>
    </row>
    <row r="466" spans="1:31" x14ac:dyDescent="0.2">
      <c r="A466" t="str">
        <f t="shared" si="133"/>
        <v>https://shop.officineitalianezard.it/en/triumph-speed-triple-exhaust-zard-3/</v>
      </c>
      <c r="B466" t="b">
        <f>COUNTIF($A$2:$A466, A466)&gt;1</f>
        <v>1</v>
      </c>
      <c r="C466" t="b">
        <f t="shared" si="134"/>
        <v>1</v>
      </c>
      <c r="D466">
        <f>VLOOKUP(A466,variant_counts!A:B, 2, FALSE)</f>
        <v>5</v>
      </c>
      <c r="E466" t="str">
        <f t="shared" si="147"/>
        <v>zard-exhaust-silencer-triumph-speed-triple-1050-my-07-10-conical-version-ztph038ssr</v>
      </c>
      <c r="F466" t="str">
        <f t="shared" si="135"/>
        <v>ZARD EXHAUST SILENCER TRIUMPH SPEED TRIPLE 1050 M.Y. 07-10 CONICAL VERSION ZTPH038SSR</v>
      </c>
      <c r="G466" t="str">
        <f t="shared" si="136"/>
        <v/>
      </c>
      <c r="H466" t="str">
        <f t="shared" si="148"/>
        <v/>
      </c>
      <c r="I466" t="str">
        <f t="shared" si="149"/>
        <v/>
      </c>
      <c r="J466" t="str">
        <f t="shared" si="150"/>
        <v/>
      </c>
      <c r="K466" t="str">
        <f t="shared" si="151"/>
        <v/>
      </c>
      <c r="L466" t="str">
        <f t="shared" si="137"/>
        <v>Option</v>
      </c>
      <c r="M466" t="str">
        <f t="shared" si="138"/>
        <v>CARBON ENDCAP</v>
      </c>
      <c r="R466" t="str">
        <f t="shared" si="139"/>
        <v>ZTPH038SSR</v>
      </c>
      <c r="S466">
        <f t="shared" si="140"/>
        <v>0</v>
      </c>
      <c r="U466" t="str">
        <f t="shared" si="141"/>
        <v>continue</v>
      </c>
      <c r="V466" t="str">
        <f t="shared" si="142"/>
        <v>manual</v>
      </c>
      <c r="W466" s="5">
        <f t="shared" si="143"/>
        <v>447.54090000000002</v>
      </c>
      <c r="Y466" t="b">
        <f t="shared" si="144"/>
        <v>1</v>
      </c>
      <c r="Z466" t="b">
        <f t="shared" si="145"/>
        <v>0</v>
      </c>
      <c r="AB466" t="str">
        <f t="shared" si="146"/>
        <v/>
      </c>
      <c r="AE466" t="b">
        <v>0</v>
      </c>
    </row>
    <row r="467" spans="1:31" x14ac:dyDescent="0.2">
      <c r="A467" t="str">
        <f t="shared" si="133"/>
        <v>https://shop.officineitalianezard.it/en/full-kit-3-1-conic-steel/</v>
      </c>
      <c r="B467" t="b">
        <f>COUNTIF($A$2:$A467, A467)&gt;1</f>
        <v>0</v>
      </c>
      <c r="C467" t="b">
        <f t="shared" si="134"/>
        <v>0</v>
      </c>
      <c r="D467">
        <f>VLOOKUP(A467,variant_counts!A:B, 2, FALSE)</f>
        <v>5</v>
      </c>
      <c r="E467" t="str">
        <f t="shared" si="147"/>
        <v>zard-exhaust-31-full-kit-triumph-speed-triple-1050-my-07-10-conical-version-ztph038skr</v>
      </c>
      <c r="F467" t="str">
        <f t="shared" si="135"/>
        <v>ZARD EXHAUST 3&gt;1 FULL KIT TRIUMPH SPEED TRIPLE 1050 M.Y. 07-10 CONICAL VERSION ZTPH038SKR</v>
      </c>
      <c r="G467" t="str">
        <f t="shared" si="136"/>
        <v>&lt;p&gt;3&amp;gt;1 STEEL RACING FULL KIT&lt;/p&gt;
&lt;p&gt;ORIGINAL FULL KIT WEIGHT: KG 13.2&lt;br&gt;ZARD RACING FULL KIT WEIGHT: KG 4.6&lt;br&gt;ZARD HOMOLOGATED FULL KIT WEIGHT: KG 5.2&lt;/p&gt;
&lt;p&gt;HARD INCREASE IN TERMS OF TORQUE AND POWER AT ANY RANGE.&lt;br&gt;ASTONISHING SOUND.&lt;/p&gt;</v>
      </c>
      <c r="H467" t="str">
        <f t="shared" si="148"/>
        <v>ZARD</v>
      </c>
      <c r="I467" t="str">
        <f t="shared" si="149"/>
        <v>Exhaust Pipe</v>
      </c>
      <c r="J467" t="str">
        <f t="shared" si="150"/>
        <v>Test</v>
      </c>
      <c r="K467" t="b">
        <f t="shared" si="151"/>
        <v>0</v>
      </c>
      <c r="L467" t="str">
        <f t="shared" si="137"/>
        <v/>
      </c>
      <c r="M467" t="str">
        <f t="shared" si="138"/>
        <v/>
      </c>
      <c r="R467" t="str">
        <f t="shared" si="139"/>
        <v/>
      </c>
      <c r="S467" t="str">
        <f t="shared" si="140"/>
        <v/>
      </c>
      <c r="U467" t="str">
        <f t="shared" si="141"/>
        <v/>
      </c>
      <c r="V467" t="str">
        <f t="shared" si="142"/>
        <v/>
      </c>
      <c r="W467" s="5" t="str">
        <f t="shared" si="143"/>
        <v/>
      </c>
      <c r="Y467" t="str">
        <f t="shared" si="144"/>
        <v/>
      </c>
      <c r="Z467" t="str">
        <f t="shared" si="145"/>
        <v/>
      </c>
      <c r="AB467" t="str">
        <f t="shared" si="146"/>
        <v>https://shop.officineitalianezard.it/contents/imgs/products/1_154-triumph-speedtriple1050-corto-lato-dx-2_rid_new.jpg</v>
      </c>
      <c r="AE467" t="b">
        <v>0</v>
      </c>
    </row>
    <row r="468" spans="1:31" x14ac:dyDescent="0.2">
      <c r="A468" t="str">
        <f t="shared" si="133"/>
        <v>https://shop.officineitalianezard.it/en/full-kit-3-1-conic-steel/</v>
      </c>
      <c r="B468" t="b">
        <f>COUNTIF($A$2:$A468, A468)&gt;1</f>
        <v>1</v>
      </c>
      <c r="C468" t="b">
        <f t="shared" si="134"/>
        <v>0</v>
      </c>
      <c r="D468">
        <f>VLOOKUP(A468,variant_counts!A:B, 2, FALSE)</f>
        <v>5</v>
      </c>
      <c r="E468" t="str">
        <f t="shared" si="147"/>
        <v>zard-exhaust-31-full-kit-triumph-speed-triple-1050-my-07-10-conical-version-ztph038skr</v>
      </c>
      <c r="F468" t="str">
        <f t="shared" si="135"/>
        <v>ZARD EXHAUST 3&gt;1 FULL KIT TRIUMPH SPEED TRIPLE 1050 M.Y. 07-10 CONICAL VERSION ZTPH038SKR</v>
      </c>
      <c r="G468" t="str">
        <f t="shared" si="136"/>
        <v/>
      </c>
      <c r="H468" t="str">
        <f t="shared" si="148"/>
        <v/>
      </c>
      <c r="I468" t="str">
        <f t="shared" si="149"/>
        <v/>
      </c>
      <c r="J468" t="str">
        <f t="shared" si="150"/>
        <v/>
      </c>
      <c r="K468" t="str">
        <f t="shared" si="151"/>
        <v/>
      </c>
      <c r="L468" t="str">
        <f t="shared" si="137"/>
        <v/>
      </c>
      <c r="M468" t="str">
        <f t="shared" si="138"/>
        <v/>
      </c>
      <c r="R468" t="str">
        <f t="shared" si="139"/>
        <v/>
      </c>
      <c r="S468" t="str">
        <f t="shared" si="140"/>
        <v/>
      </c>
      <c r="U468" t="str">
        <f t="shared" si="141"/>
        <v/>
      </c>
      <c r="V468" t="str">
        <f t="shared" si="142"/>
        <v/>
      </c>
      <c r="W468" s="5" t="str">
        <f t="shared" si="143"/>
        <v/>
      </c>
      <c r="Y468" t="str">
        <f t="shared" si="144"/>
        <v/>
      </c>
      <c r="Z468" t="str">
        <f t="shared" si="145"/>
        <v/>
      </c>
      <c r="AB468" t="str">
        <f t="shared" si="146"/>
        <v>https://shop.officineitalianezard.it/contents/imgs/products/1_152-speed07-10kitbianco2.jpg</v>
      </c>
      <c r="AE468" t="b">
        <v>0</v>
      </c>
    </row>
    <row r="469" spans="1:31" x14ac:dyDescent="0.2">
      <c r="A469" t="str">
        <f t="shared" si="133"/>
        <v>https://shop.officineitalianezard.it/en/full-kit-3-1-conic-steel/</v>
      </c>
      <c r="B469" t="b">
        <f>COUNTIF($A$2:$A469, A469)&gt;1</f>
        <v>1</v>
      </c>
      <c r="C469" t="b">
        <f t="shared" si="134"/>
        <v>0</v>
      </c>
      <c r="D469">
        <f>VLOOKUP(A469,variant_counts!A:B, 2, FALSE)</f>
        <v>5</v>
      </c>
      <c r="E469" t="str">
        <f t="shared" si="147"/>
        <v>zard-exhaust-31-full-kit-triumph-speed-triple-1050-my-07-10-conical-version-ztph038skr</v>
      </c>
      <c r="F469" t="str">
        <f t="shared" si="135"/>
        <v>ZARD EXHAUST 3&gt;1 FULL KIT TRIUMPH SPEED TRIPLE 1050 M.Y. 07-10 CONICAL VERSION ZTPH038SKR</v>
      </c>
      <c r="G469" t="str">
        <f t="shared" si="136"/>
        <v/>
      </c>
      <c r="H469" t="str">
        <f t="shared" si="148"/>
        <v/>
      </c>
      <c r="I469" t="str">
        <f t="shared" si="149"/>
        <v/>
      </c>
      <c r="J469" t="str">
        <f t="shared" si="150"/>
        <v/>
      </c>
      <c r="K469" t="str">
        <f t="shared" si="151"/>
        <v/>
      </c>
      <c r="L469" t="str">
        <f t="shared" si="137"/>
        <v/>
      </c>
      <c r="M469" t="str">
        <f t="shared" si="138"/>
        <v/>
      </c>
      <c r="R469" t="str">
        <f t="shared" si="139"/>
        <v/>
      </c>
      <c r="S469" t="str">
        <f t="shared" si="140"/>
        <v/>
      </c>
      <c r="U469" t="str">
        <f t="shared" si="141"/>
        <v/>
      </c>
      <c r="V469" t="str">
        <f t="shared" si="142"/>
        <v/>
      </c>
      <c r="W469" s="5" t="str">
        <f t="shared" si="143"/>
        <v/>
      </c>
      <c r="Y469" t="str">
        <f t="shared" si="144"/>
        <v/>
      </c>
      <c r="Z469" t="str">
        <f t="shared" si="145"/>
        <v/>
      </c>
      <c r="AB469" t="str">
        <f t="shared" si="146"/>
        <v>https://shop.officineitalianezard.it/contents/imgs/products/1_153-speed07-10kitbianco3.jpg</v>
      </c>
      <c r="AE469" t="b">
        <v>0</v>
      </c>
    </row>
    <row r="470" spans="1:31" x14ac:dyDescent="0.2">
      <c r="A470" t="str">
        <f t="shared" si="133"/>
        <v>https://shop.officineitalianezard.it/en/full-kit-3-1-conic-steel/</v>
      </c>
      <c r="B470" t="b">
        <f>COUNTIF($A$2:$A470, A470)&gt;1</f>
        <v>1</v>
      </c>
      <c r="C470" t="b">
        <f t="shared" si="134"/>
        <v>1</v>
      </c>
      <c r="D470">
        <f>VLOOKUP(A470,variant_counts!A:B, 2, FALSE)</f>
        <v>5</v>
      </c>
      <c r="E470" t="str">
        <f t="shared" si="147"/>
        <v>zard-exhaust-31-full-kit-triumph-speed-triple-1050-my-07-10-conical-version-ztph038skr</v>
      </c>
      <c r="F470" t="str">
        <f t="shared" si="135"/>
        <v>ZARD EXHAUST 3&gt;1 FULL KIT TRIUMPH SPEED TRIPLE 1050 M.Y. 07-10 CONICAL VERSION ZTPH038SKR</v>
      </c>
      <c r="G470" t="str">
        <f t="shared" si="136"/>
        <v/>
      </c>
      <c r="H470" t="str">
        <f t="shared" si="148"/>
        <v/>
      </c>
      <c r="I470" t="str">
        <f t="shared" si="149"/>
        <v/>
      </c>
      <c r="J470" t="str">
        <f t="shared" si="150"/>
        <v/>
      </c>
      <c r="K470" t="str">
        <f t="shared" si="151"/>
        <v/>
      </c>
      <c r="L470" t="str">
        <f t="shared" si="137"/>
        <v>Option</v>
      </c>
      <c r="M470" t="str">
        <f t="shared" si="138"/>
        <v>HOMOLOGATED-CATALYSED</v>
      </c>
      <c r="R470" t="str">
        <f t="shared" si="139"/>
        <v>ZTPH038SKR</v>
      </c>
      <c r="S470">
        <f t="shared" si="140"/>
        <v>0</v>
      </c>
      <c r="U470" t="str">
        <f t="shared" si="141"/>
        <v>continue</v>
      </c>
      <c r="V470" t="str">
        <f t="shared" si="142"/>
        <v>manual</v>
      </c>
      <c r="W470" s="5">
        <f t="shared" si="143"/>
        <v>1255.8540000000003</v>
      </c>
      <c r="Y470" t="b">
        <f t="shared" si="144"/>
        <v>1</v>
      </c>
      <c r="Z470" t="b">
        <f t="shared" si="145"/>
        <v>0</v>
      </c>
      <c r="AB470" t="str">
        <f t="shared" si="146"/>
        <v/>
      </c>
      <c r="AE470" t="b">
        <v>0</v>
      </c>
    </row>
    <row r="471" spans="1:31" x14ac:dyDescent="0.2">
      <c r="A471" t="str">
        <f t="shared" si="133"/>
        <v>https://shop.officineitalianezard.it/en/full-kit-3-1-conic-steel/</v>
      </c>
      <c r="B471" t="b">
        <f>COUNTIF($A$2:$A471, A471)&gt;1</f>
        <v>1</v>
      </c>
      <c r="C471" t="b">
        <f t="shared" si="134"/>
        <v>1</v>
      </c>
      <c r="D471">
        <f>VLOOKUP(A471,variant_counts!A:B, 2, FALSE)</f>
        <v>5</v>
      </c>
      <c r="E471" t="str">
        <f t="shared" si="147"/>
        <v>zard-exhaust-31-full-kit-triumph-speed-triple-1050-my-07-10-conical-version-ztph038skr</v>
      </c>
      <c r="F471" t="str">
        <f t="shared" si="135"/>
        <v>ZARD EXHAUST 3&gt;1 FULL KIT TRIUMPH SPEED TRIPLE 1050 M.Y. 07-10 CONICAL VERSION ZTPH038SKR</v>
      </c>
      <c r="G471" t="str">
        <f t="shared" si="136"/>
        <v/>
      </c>
      <c r="H471" t="str">
        <f t="shared" si="148"/>
        <v/>
      </c>
      <c r="I471" t="str">
        <f t="shared" si="149"/>
        <v/>
      </c>
      <c r="J471" t="str">
        <f t="shared" si="150"/>
        <v/>
      </c>
      <c r="K471" t="str">
        <f t="shared" si="151"/>
        <v/>
      </c>
      <c r="L471" t="str">
        <f t="shared" si="137"/>
        <v>Option</v>
      </c>
      <c r="M471" t="str">
        <f t="shared" si="138"/>
        <v>TITANIUM RACING</v>
      </c>
      <c r="R471" t="str">
        <f t="shared" si="139"/>
        <v>ZTPH038SKR</v>
      </c>
      <c r="S471">
        <f t="shared" si="140"/>
        <v>0</v>
      </c>
      <c r="U471" t="str">
        <f t="shared" si="141"/>
        <v>continue</v>
      </c>
      <c r="V471" t="str">
        <f t="shared" si="142"/>
        <v>manual</v>
      </c>
      <c r="W471" s="5">
        <f t="shared" si="143"/>
        <v>1991.9949000000004</v>
      </c>
      <c r="Y471" t="b">
        <f t="shared" si="144"/>
        <v>1</v>
      </c>
      <c r="Z471" t="b">
        <f t="shared" si="145"/>
        <v>0</v>
      </c>
      <c r="AB471" t="str">
        <f t="shared" si="146"/>
        <v/>
      </c>
      <c r="AE471" t="b">
        <v>0</v>
      </c>
    </row>
    <row r="472" spans="1:31" x14ac:dyDescent="0.2">
      <c r="A472" t="str">
        <f t="shared" si="133"/>
        <v>https://shop.officineitalianezard.it/en/full-kit-3-1-conic-steel/</v>
      </c>
      <c r="B472" t="b">
        <f>COUNTIF($A$2:$A472, A472)&gt;1</f>
        <v>1</v>
      </c>
      <c r="C472" t="b">
        <f t="shared" si="134"/>
        <v>1</v>
      </c>
      <c r="D472">
        <f>VLOOKUP(A472,variant_counts!A:B, 2, FALSE)</f>
        <v>5</v>
      </c>
      <c r="E472" t="str">
        <f t="shared" si="147"/>
        <v>zard-exhaust-31-full-kit-triumph-speed-triple-1050-my-07-10-conical-version-ztph038skr</v>
      </c>
      <c r="F472" t="str">
        <f t="shared" si="135"/>
        <v>ZARD EXHAUST 3&gt;1 FULL KIT TRIUMPH SPEED TRIPLE 1050 M.Y. 07-10 CONICAL VERSION ZTPH038SKR</v>
      </c>
      <c r="G472" t="str">
        <f t="shared" si="136"/>
        <v/>
      </c>
      <c r="H472" t="str">
        <f t="shared" si="148"/>
        <v/>
      </c>
      <c r="I472" t="str">
        <f t="shared" si="149"/>
        <v/>
      </c>
      <c r="J472" t="str">
        <f t="shared" si="150"/>
        <v/>
      </c>
      <c r="K472" t="str">
        <f t="shared" si="151"/>
        <v/>
      </c>
      <c r="L472" t="str">
        <f t="shared" si="137"/>
        <v>Option</v>
      </c>
      <c r="M472" t="str">
        <f t="shared" si="138"/>
        <v>TITANIUM HOMOLOGATED-CATALYSED</v>
      </c>
      <c r="R472" t="str">
        <f t="shared" si="139"/>
        <v>ZTPH038SKR</v>
      </c>
      <c r="S472">
        <f t="shared" si="140"/>
        <v>0</v>
      </c>
      <c r="U472" t="str">
        <f t="shared" si="141"/>
        <v>continue</v>
      </c>
      <c r="V472" t="str">
        <f t="shared" si="142"/>
        <v>manual</v>
      </c>
      <c r="W472" s="5">
        <f t="shared" si="143"/>
        <v>2137.7490000000003</v>
      </c>
      <c r="Y472" t="b">
        <f t="shared" si="144"/>
        <v>1</v>
      </c>
      <c r="Z472" t="b">
        <f t="shared" si="145"/>
        <v>0</v>
      </c>
      <c r="AB472" t="str">
        <f t="shared" si="146"/>
        <v/>
      </c>
      <c r="AE472" t="b">
        <v>0</v>
      </c>
    </row>
    <row r="473" spans="1:31" x14ac:dyDescent="0.2">
      <c r="A473" t="str">
        <f t="shared" si="133"/>
        <v>https://shop.officineitalianezard.it/en/full-kit-3-1-conic-steel/</v>
      </c>
      <c r="B473" t="b">
        <f>COUNTIF($A$2:$A473, A473)&gt;1</f>
        <v>1</v>
      </c>
      <c r="C473" t="b">
        <f t="shared" si="134"/>
        <v>1</v>
      </c>
      <c r="D473">
        <f>VLOOKUP(A473,variant_counts!A:B, 2, FALSE)</f>
        <v>5</v>
      </c>
      <c r="E473" t="str">
        <f t="shared" si="147"/>
        <v>zard-exhaust-31-full-kit-triumph-speed-triple-1050-my-07-10-conical-version-ztph038skr</v>
      </c>
      <c r="F473" t="str">
        <f t="shared" si="135"/>
        <v>ZARD EXHAUST 3&gt;1 FULL KIT TRIUMPH SPEED TRIPLE 1050 M.Y. 07-10 CONICAL VERSION ZTPH038SKR</v>
      </c>
      <c r="G473" t="str">
        <f t="shared" si="136"/>
        <v/>
      </c>
      <c r="H473" t="str">
        <f t="shared" si="148"/>
        <v/>
      </c>
      <c r="I473" t="str">
        <f t="shared" si="149"/>
        <v/>
      </c>
      <c r="J473" t="str">
        <f t="shared" si="150"/>
        <v/>
      </c>
      <c r="K473" t="str">
        <f t="shared" si="151"/>
        <v/>
      </c>
      <c r="L473" t="str">
        <f t="shared" si="137"/>
        <v>Option</v>
      </c>
      <c r="M473" t="str">
        <f t="shared" si="138"/>
        <v>BLACK COATING</v>
      </c>
      <c r="R473" t="str">
        <f t="shared" si="139"/>
        <v>ZTPH038SKR</v>
      </c>
      <c r="S473">
        <f t="shared" si="140"/>
        <v>0</v>
      </c>
      <c r="U473" t="str">
        <f t="shared" si="141"/>
        <v>continue</v>
      </c>
      <c r="V473" t="str">
        <f t="shared" si="142"/>
        <v>manual</v>
      </c>
      <c r="W473" s="5">
        <f t="shared" si="143"/>
        <v>1307.4357000000002</v>
      </c>
      <c r="Y473" t="b">
        <f t="shared" si="144"/>
        <v>1</v>
      </c>
      <c r="Z473" t="b">
        <f t="shared" si="145"/>
        <v>0</v>
      </c>
      <c r="AB473" t="str">
        <f t="shared" si="146"/>
        <v/>
      </c>
      <c r="AE473" t="b">
        <v>0</v>
      </c>
    </row>
    <row r="474" spans="1:31" x14ac:dyDescent="0.2">
      <c r="A474" t="str">
        <f t="shared" si="133"/>
        <v>https://shop.officineitalianezard.it/en/full-kit-3-1-conic-steel/</v>
      </c>
      <c r="B474" t="b">
        <f>COUNTIF($A$2:$A474, A474)&gt;1</f>
        <v>1</v>
      </c>
      <c r="C474" t="b">
        <f t="shared" si="134"/>
        <v>1</v>
      </c>
      <c r="D474">
        <f>VLOOKUP(A474,variant_counts!A:B, 2, FALSE)</f>
        <v>5</v>
      </c>
      <c r="E474" t="str">
        <f t="shared" si="147"/>
        <v>zard-exhaust-31-full-kit-triumph-speed-triple-1050-my-07-10-conical-version-ztph038skr</v>
      </c>
      <c r="F474" t="str">
        <f t="shared" si="135"/>
        <v>ZARD EXHAUST 3&gt;1 FULL KIT TRIUMPH SPEED TRIPLE 1050 M.Y. 07-10 CONICAL VERSION ZTPH038SKR</v>
      </c>
      <c r="G474" t="str">
        <f t="shared" si="136"/>
        <v/>
      </c>
      <c r="H474" t="str">
        <f t="shared" si="148"/>
        <v/>
      </c>
      <c r="I474" t="str">
        <f t="shared" si="149"/>
        <v/>
      </c>
      <c r="J474" t="str">
        <f t="shared" si="150"/>
        <v/>
      </c>
      <c r="K474" t="str">
        <f t="shared" si="151"/>
        <v/>
      </c>
      <c r="L474" t="str">
        <f t="shared" si="137"/>
        <v>Option</v>
      </c>
      <c r="M474" t="str">
        <f t="shared" si="138"/>
        <v>CARBON ENDCAP</v>
      </c>
      <c r="R474" t="str">
        <f t="shared" si="139"/>
        <v>ZTPH038SKR</v>
      </c>
      <c r="S474">
        <f t="shared" si="140"/>
        <v>0</v>
      </c>
      <c r="U474" t="str">
        <f t="shared" si="141"/>
        <v>continue</v>
      </c>
      <c r="V474" t="str">
        <f t="shared" si="142"/>
        <v>manual</v>
      </c>
      <c r="W474" s="5">
        <f t="shared" si="143"/>
        <v>1160.8602000000001</v>
      </c>
      <c r="Y474" t="b">
        <f t="shared" si="144"/>
        <v>1</v>
      </c>
      <c r="Z474" t="b">
        <f t="shared" si="145"/>
        <v>0</v>
      </c>
      <c r="AB474" t="str">
        <f t="shared" si="146"/>
        <v/>
      </c>
      <c r="AE474" t="b">
        <v>0</v>
      </c>
    </row>
    <row r="475" spans="1:31" x14ac:dyDescent="0.2">
      <c r="A475" t="str">
        <f t="shared" si="133"/>
        <v>https://shop.officineitalianezard.it/en/triumph-speed-triple-exhaust-zard-2/</v>
      </c>
      <c r="B475" t="b">
        <f>COUNTIF($A$2:$A475, A475)&gt;1</f>
        <v>0</v>
      </c>
      <c r="C475" t="b">
        <f t="shared" si="134"/>
        <v>0</v>
      </c>
      <c r="D475">
        <f>VLOOKUP(A475,variant_counts!A:B, 2, FALSE)</f>
        <v>7</v>
      </c>
      <c r="E475" t="str">
        <f t="shared" si="147"/>
        <v>zard-exhaust-silencer-triumph-speed-triple-1050-my-05-06-conical-version-ztph031ssr</v>
      </c>
      <c r="F475" t="str">
        <f t="shared" si="135"/>
        <v>ZARD EXHAUST SILENCER TRIUMPH SPEED TRIPLE 1050 M.Y. 05-06 CONICAL VERSION ZTPH031SSR</v>
      </c>
      <c r="G475" t="str">
        <f t="shared" si="136"/>
        <v>&lt;p&gt;STEEL SILENCER RACING&lt;/p&gt;
&lt;p&gt;ORIGINAL SILENCER WEIGHT: KG 9.5&lt;br&gt;ZARD SILENCER WEIGHT: KG 1.9&lt;/p&gt;
&lt;p&gt;HARD INCREASE IN TERMS OF TORQUE AND POWER AT ANY RANGE COMPARED TO THE ORIGINAL SYSTEM.&lt;/p&gt;
&lt;p&gt;ASTONISHING SOUND.&lt;/p&gt;</v>
      </c>
      <c r="H475" t="str">
        <f t="shared" si="148"/>
        <v>ZARD</v>
      </c>
      <c r="I475" t="str">
        <f t="shared" si="149"/>
        <v>Exhaust Pipe</v>
      </c>
      <c r="J475" t="str">
        <f t="shared" si="150"/>
        <v>Test</v>
      </c>
      <c r="K475" t="b">
        <f t="shared" si="151"/>
        <v>0</v>
      </c>
      <c r="L475" t="str">
        <f t="shared" si="137"/>
        <v/>
      </c>
      <c r="M475" t="str">
        <f t="shared" si="138"/>
        <v/>
      </c>
      <c r="R475" t="str">
        <f t="shared" si="139"/>
        <v/>
      </c>
      <c r="S475" t="str">
        <f t="shared" si="140"/>
        <v/>
      </c>
      <c r="U475" t="str">
        <f t="shared" si="141"/>
        <v/>
      </c>
      <c r="V475" t="str">
        <f t="shared" si="142"/>
        <v/>
      </c>
      <c r="W475" s="5" t="str">
        <f t="shared" si="143"/>
        <v/>
      </c>
      <c r="Y475" t="str">
        <f t="shared" si="144"/>
        <v/>
      </c>
      <c r="Z475" t="str">
        <f t="shared" si="145"/>
        <v/>
      </c>
      <c r="AB475" t="str">
        <f t="shared" si="146"/>
        <v>https://shop.officineitalianezard.it/contents/imgs/products/1_150-2speedsil.jpg</v>
      </c>
      <c r="AE475" t="b">
        <v>0</v>
      </c>
    </row>
    <row r="476" spans="1:31" x14ac:dyDescent="0.2">
      <c r="A476" t="str">
        <f t="shared" si="133"/>
        <v>https://shop.officineitalianezard.it/en/triumph-speed-triple-exhaust-zard-2/</v>
      </c>
      <c r="B476" t="b">
        <f>COUNTIF($A$2:$A476, A476)&gt;1</f>
        <v>1</v>
      </c>
      <c r="C476" t="b">
        <f t="shared" si="134"/>
        <v>0</v>
      </c>
      <c r="D476">
        <f>VLOOKUP(A476,variant_counts!A:B, 2, FALSE)</f>
        <v>7</v>
      </c>
      <c r="E476" t="str">
        <f t="shared" si="147"/>
        <v>zard-exhaust-silencer-triumph-speed-triple-1050-my-05-06-conical-version-ztph031ssr</v>
      </c>
      <c r="F476" t="str">
        <f t="shared" si="135"/>
        <v>ZARD EXHAUST SILENCER TRIUMPH SPEED TRIPLE 1050 M.Y. 05-06 CONICAL VERSION ZTPH031SSR</v>
      </c>
      <c r="G476" t="str">
        <f t="shared" si="136"/>
        <v/>
      </c>
      <c r="H476" t="str">
        <f t="shared" si="148"/>
        <v/>
      </c>
      <c r="I476" t="str">
        <f t="shared" si="149"/>
        <v/>
      </c>
      <c r="J476" t="str">
        <f t="shared" si="150"/>
        <v/>
      </c>
      <c r="K476" t="str">
        <f t="shared" si="151"/>
        <v/>
      </c>
      <c r="L476" t="str">
        <f t="shared" si="137"/>
        <v/>
      </c>
      <c r="M476" t="str">
        <f t="shared" si="138"/>
        <v/>
      </c>
      <c r="R476" t="str">
        <f t="shared" si="139"/>
        <v/>
      </c>
      <c r="S476" t="str">
        <f t="shared" si="140"/>
        <v/>
      </c>
      <c r="U476" t="str">
        <f t="shared" si="141"/>
        <v/>
      </c>
      <c r="V476" t="str">
        <f t="shared" si="142"/>
        <v/>
      </c>
      <c r="W476" s="5" t="str">
        <f t="shared" si="143"/>
        <v/>
      </c>
      <c r="Y476" t="str">
        <f t="shared" si="144"/>
        <v/>
      </c>
      <c r="Z476" t="str">
        <f t="shared" si="145"/>
        <v/>
      </c>
      <c r="AB476" t="str">
        <f t="shared" si="146"/>
        <v>https://shop.officineitalianezard.it/contents/imgs/products/1_149-1speedsil.jpg</v>
      </c>
      <c r="AE476" t="b">
        <v>0</v>
      </c>
    </row>
    <row r="477" spans="1:31" x14ac:dyDescent="0.2">
      <c r="A477" t="str">
        <f t="shared" si="133"/>
        <v>https://shop.officineitalianezard.it/en/triumph-speed-triple-exhaust-zard-2/</v>
      </c>
      <c r="B477" t="b">
        <f>COUNTIF($A$2:$A477, A477)&gt;1</f>
        <v>1</v>
      </c>
      <c r="C477" t="b">
        <f t="shared" si="134"/>
        <v>1</v>
      </c>
      <c r="D477">
        <f>VLOOKUP(A477,variant_counts!A:B, 2, FALSE)</f>
        <v>7</v>
      </c>
      <c r="E477" t="str">
        <f t="shared" si="147"/>
        <v>zard-exhaust-silencer-triumph-speed-triple-1050-my-05-06-conical-version-ztph031ssr</v>
      </c>
      <c r="F477" t="str">
        <f t="shared" si="135"/>
        <v>ZARD EXHAUST SILENCER TRIUMPH SPEED TRIPLE 1050 M.Y. 05-06 CONICAL VERSION ZTPH031SSR</v>
      </c>
      <c r="G477" t="str">
        <f t="shared" si="136"/>
        <v/>
      </c>
      <c r="H477" t="str">
        <f t="shared" si="148"/>
        <v/>
      </c>
      <c r="I477" t="str">
        <f t="shared" si="149"/>
        <v/>
      </c>
      <c r="J477" t="str">
        <f t="shared" si="150"/>
        <v/>
      </c>
      <c r="K477" t="str">
        <f t="shared" si="151"/>
        <v/>
      </c>
      <c r="L477" t="str">
        <f t="shared" si="137"/>
        <v>Option</v>
      </c>
      <c r="M477" t="str">
        <f t="shared" si="138"/>
        <v>EURO 3 HOMOLOGATED</v>
      </c>
      <c r="R477" t="str">
        <f t="shared" si="139"/>
        <v>ZTPH031SSR</v>
      </c>
      <c r="S477">
        <f t="shared" si="140"/>
        <v>0</v>
      </c>
      <c r="U477" t="str">
        <f t="shared" si="141"/>
        <v>continue</v>
      </c>
      <c r="V477" t="str">
        <f t="shared" si="142"/>
        <v>manual</v>
      </c>
      <c r="W477" s="5">
        <f t="shared" si="143"/>
        <v>452.45820000000003</v>
      </c>
      <c r="Y477" t="b">
        <f t="shared" si="144"/>
        <v>1</v>
      </c>
      <c r="Z477" t="b">
        <f t="shared" si="145"/>
        <v>0</v>
      </c>
      <c r="AB477" t="str">
        <f t="shared" si="146"/>
        <v/>
      </c>
      <c r="AE477" t="b">
        <v>0</v>
      </c>
    </row>
    <row r="478" spans="1:31" x14ac:dyDescent="0.2">
      <c r="A478" t="str">
        <f t="shared" si="133"/>
        <v>https://shop.officineitalianezard.it/en/triumph-speed-triple-exhaust-zard-2/</v>
      </c>
      <c r="B478" t="b">
        <f>COUNTIF($A$2:$A478, A478)&gt;1</f>
        <v>1</v>
      </c>
      <c r="C478" t="b">
        <f t="shared" si="134"/>
        <v>1</v>
      </c>
      <c r="D478">
        <f>VLOOKUP(A478,variant_counts!A:B, 2, FALSE)</f>
        <v>7</v>
      </c>
      <c r="E478" t="str">
        <f t="shared" si="147"/>
        <v>zard-exhaust-silencer-triumph-speed-triple-1050-my-05-06-conical-version-ztph031ssr</v>
      </c>
      <c r="F478" t="str">
        <f t="shared" si="135"/>
        <v>ZARD EXHAUST SILENCER TRIUMPH SPEED TRIPLE 1050 M.Y. 05-06 CONICAL VERSION ZTPH031SSR</v>
      </c>
      <c r="G478" t="str">
        <f t="shared" si="136"/>
        <v/>
      </c>
      <c r="H478" t="str">
        <f t="shared" si="148"/>
        <v/>
      </c>
      <c r="I478" t="str">
        <f t="shared" si="149"/>
        <v/>
      </c>
      <c r="J478" t="str">
        <f t="shared" si="150"/>
        <v/>
      </c>
      <c r="K478" t="str">
        <f t="shared" si="151"/>
        <v/>
      </c>
      <c r="L478" t="str">
        <f t="shared" si="137"/>
        <v>Option</v>
      </c>
      <c r="M478" t="str">
        <f t="shared" si="138"/>
        <v>STEEL HOMOLOGATED CATALYSED</v>
      </c>
      <c r="R478" t="str">
        <f t="shared" si="139"/>
        <v>ZTPH031SSR</v>
      </c>
      <c r="S478">
        <f t="shared" si="140"/>
        <v>0</v>
      </c>
      <c r="U478" t="str">
        <f t="shared" si="141"/>
        <v>continue</v>
      </c>
      <c r="V478" t="str">
        <f t="shared" si="142"/>
        <v>manual</v>
      </c>
      <c r="W478" s="5">
        <f t="shared" si="143"/>
        <v>557.27549999999997</v>
      </c>
      <c r="Y478" t="b">
        <f t="shared" si="144"/>
        <v>1</v>
      </c>
      <c r="Z478" t="b">
        <f t="shared" si="145"/>
        <v>0</v>
      </c>
      <c r="AB478" t="str">
        <f t="shared" si="146"/>
        <v/>
      </c>
      <c r="AE478" t="b">
        <v>0</v>
      </c>
    </row>
    <row r="479" spans="1:31" x14ac:dyDescent="0.2">
      <c r="A479" t="str">
        <f t="shared" si="133"/>
        <v>https://shop.officineitalianezard.it/en/triumph-speed-triple-exhaust-zard-2/</v>
      </c>
      <c r="B479" t="b">
        <f>COUNTIF($A$2:$A479, A479)&gt;1</f>
        <v>1</v>
      </c>
      <c r="C479" t="b">
        <f t="shared" si="134"/>
        <v>1</v>
      </c>
      <c r="D479">
        <f>VLOOKUP(A479,variant_counts!A:B, 2, FALSE)</f>
        <v>7</v>
      </c>
      <c r="E479" t="str">
        <f t="shared" si="147"/>
        <v>zard-exhaust-silencer-triumph-speed-triple-1050-my-05-06-conical-version-ztph031ssr</v>
      </c>
      <c r="F479" t="str">
        <f t="shared" si="135"/>
        <v>ZARD EXHAUST SILENCER TRIUMPH SPEED TRIPLE 1050 M.Y. 05-06 CONICAL VERSION ZTPH031SSR</v>
      </c>
      <c r="G479" t="str">
        <f t="shared" si="136"/>
        <v/>
      </c>
      <c r="H479" t="str">
        <f t="shared" si="148"/>
        <v/>
      </c>
      <c r="I479" t="str">
        <f t="shared" si="149"/>
        <v/>
      </c>
      <c r="J479" t="str">
        <f t="shared" si="150"/>
        <v/>
      </c>
      <c r="K479" t="str">
        <f t="shared" si="151"/>
        <v/>
      </c>
      <c r="L479" t="str">
        <f t="shared" si="137"/>
        <v>Option</v>
      </c>
      <c r="M479" t="str">
        <f t="shared" si="138"/>
        <v>RACING TITANIUM</v>
      </c>
      <c r="R479" t="str">
        <f t="shared" si="139"/>
        <v>ZTPH031SSR</v>
      </c>
      <c r="S479">
        <f t="shared" si="140"/>
        <v>0</v>
      </c>
      <c r="U479" t="str">
        <f t="shared" si="141"/>
        <v>continue</v>
      </c>
      <c r="V479" t="str">
        <f t="shared" si="142"/>
        <v>manual</v>
      </c>
      <c r="W479" s="5">
        <f t="shared" si="143"/>
        <v>645.70920000000012</v>
      </c>
      <c r="Y479" t="b">
        <f t="shared" si="144"/>
        <v>1</v>
      </c>
      <c r="Z479" t="b">
        <f t="shared" si="145"/>
        <v>0</v>
      </c>
      <c r="AB479" t="str">
        <f t="shared" si="146"/>
        <v/>
      </c>
      <c r="AE479" t="b">
        <v>0</v>
      </c>
    </row>
    <row r="480" spans="1:31" x14ac:dyDescent="0.2">
      <c r="A480" t="str">
        <f t="shared" si="133"/>
        <v>https://shop.officineitalianezard.it/en/triumph-speed-triple-exhaust-zard-2/</v>
      </c>
      <c r="B480" t="b">
        <f>COUNTIF($A$2:$A480, A480)&gt;1</f>
        <v>1</v>
      </c>
      <c r="C480" t="b">
        <f t="shared" si="134"/>
        <v>1</v>
      </c>
      <c r="D480">
        <f>VLOOKUP(A480,variant_counts!A:B, 2, FALSE)</f>
        <v>7</v>
      </c>
      <c r="E480" t="str">
        <f t="shared" si="147"/>
        <v>zard-exhaust-silencer-triumph-speed-triple-1050-my-05-06-conical-version-ztph031ssr</v>
      </c>
      <c r="F480" t="str">
        <f t="shared" si="135"/>
        <v>ZARD EXHAUST SILENCER TRIUMPH SPEED TRIPLE 1050 M.Y. 05-06 CONICAL VERSION ZTPH031SSR</v>
      </c>
      <c r="G480" t="str">
        <f t="shared" si="136"/>
        <v/>
      </c>
      <c r="H480" t="str">
        <f t="shared" si="148"/>
        <v/>
      </c>
      <c r="I480" t="str">
        <f t="shared" si="149"/>
        <v/>
      </c>
      <c r="J480" t="str">
        <f t="shared" si="150"/>
        <v/>
      </c>
      <c r="K480" t="str">
        <f t="shared" si="151"/>
        <v/>
      </c>
      <c r="L480" t="str">
        <f t="shared" si="137"/>
        <v>Option</v>
      </c>
      <c r="M480" t="str">
        <f t="shared" si="138"/>
        <v>HOMOLOGATED TITANIUM</v>
      </c>
      <c r="R480" t="str">
        <f t="shared" si="139"/>
        <v>ZTPH031SSR</v>
      </c>
      <c r="S480">
        <f t="shared" si="140"/>
        <v>0</v>
      </c>
      <c r="U480" t="str">
        <f t="shared" si="141"/>
        <v>continue</v>
      </c>
      <c r="V480" t="str">
        <f t="shared" si="142"/>
        <v>manual</v>
      </c>
      <c r="W480" s="5">
        <f t="shared" si="143"/>
        <v>718.58070000000009</v>
      </c>
      <c r="Y480" t="b">
        <f t="shared" si="144"/>
        <v>1</v>
      </c>
      <c r="Z480" t="b">
        <f t="shared" si="145"/>
        <v>0</v>
      </c>
      <c r="AB480" t="str">
        <f t="shared" si="146"/>
        <v/>
      </c>
      <c r="AE480" t="b">
        <v>0</v>
      </c>
    </row>
    <row r="481" spans="1:31" x14ac:dyDescent="0.2">
      <c r="A481" t="str">
        <f t="shared" si="133"/>
        <v>https://shop.officineitalianezard.it/en/triumph-speed-triple-exhaust-zard-2/</v>
      </c>
      <c r="B481" t="b">
        <f>COUNTIF($A$2:$A481, A481)&gt;1</f>
        <v>1</v>
      </c>
      <c r="C481" t="b">
        <f t="shared" si="134"/>
        <v>1</v>
      </c>
      <c r="D481">
        <f>VLOOKUP(A481,variant_counts!A:B, 2, FALSE)</f>
        <v>7</v>
      </c>
      <c r="E481" t="str">
        <f t="shared" si="147"/>
        <v>zard-exhaust-silencer-triumph-speed-triple-1050-my-05-06-conical-version-ztph031ssr</v>
      </c>
      <c r="F481" t="str">
        <f t="shared" si="135"/>
        <v>ZARD EXHAUST SILENCER TRIUMPH SPEED TRIPLE 1050 M.Y. 05-06 CONICAL VERSION ZTPH031SSR</v>
      </c>
      <c r="G481" t="str">
        <f t="shared" si="136"/>
        <v/>
      </c>
      <c r="H481" t="str">
        <f t="shared" si="148"/>
        <v/>
      </c>
      <c r="I481" t="str">
        <f t="shared" si="149"/>
        <v/>
      </c>
      <c r="J481" t="str">
        <f t="shared" si="150"/>
        <v/>
      </c>
      <c r="K481" t="str">
        <f t="shared" si="151"/>
        <v/>
      </c>
      <c r="L481" t="str">
        <f t="shared" si="137"/>
        <v>Option</v>
      </c>
      <c r="M481" t="str">
        <f t="shared" si="138"/>
        <v>TITANIUM HOMOLOGATED-CATALYSED</v>
      </c>
      <c r="R481" t="str">
        <f t="shared" si="139"/>
        <v>ZTPH031SSR</v>
      </c>
      <c r="S481">
        <f t="shared" si="140"/>
        <v>0</v>
      </c>
      <c r="U481" t="str">
        <f t="shared" si="141"/>
        <v>continue</v>
      </c>
      <c r="V481" t="str">
        <f t="shared" si="142"/>
        <v>manual</v>
      </c>
      <c r="W481" s="5">
        <f t="shared" si="143"/>
        <v>834.04290000000003</v>
      </c>
      <c r="Y481" t="b">
        <f t="shared" si="144"/>
        <v>1</v>
      </c>
      <c r="Z481" t="b">
        <f t="shared" si="145"/>
        <v>0</v>
      </c>
      <c r="AB481" t="str">
        <f t="shared" si="146"/>
        <v/>
      </c>
      <c r="AE481" t="b">
        <v>0</v>
      </c>
    </row>
    <row r="482" spans="1:31" x14ac:dyDescent="0.2">
      <c r="A482" t="str">
        <f t="shared" si="133"/>
        <v>https://shop.officineitalianezard.it/en/triumph-speed-triple-exhaust-zard-2/</v>
      </c>
      <c r="B482" t="b">
        <f>COUNTIF($A$2:$A482, A482)&gt;1</f>
        <v>1</v>
      </c>
      <c r="C482" t="b">
        <f t="shared" si="134"/>
        <v>1</v>
      </c>
      <c r="D482">
        <f>VLOOKUP(A482,variant_counts!A:B, 2, FALSE)</f>
        <v>7</v>
      </c>
      <c r="E482" t="str">
        <f t="shared" si="147"/>
        <v>zard-exhaust-silencer-triumph-speed-triple-1050-my-05-06-conical-version-ztph031ssr</v>
      </c>
      <c r="F482" t="str">
        <f t="shared" si="135"/>
        <v>ZARD EXHAUST SILENCER TRIUMPH SPEED TRIPLE 1050 M.Y. 05-06 CONICAL VERSION ZTPH031SSR</v>
      </c>
      <c r="G482" t="str">
        <f t="shared" si="136"/>
        <v/>
      </c>
      <c r="H482" t="str">
        <f t="shared" si="148"/>
        <v/>
      </c>
      <c r="I482" t="str">
        <f t="shared" si="149"/>
        <v/>
      </c>
      <c r="J482" t="str">
        <f t="shared" si="150"/>
        <v/>
      </c>
      <c r="K482" t="str">
        <f t="shared" si="151"/>
        <v/>
      </c>
      <c r="L482" t="str">
        <f t="shared" si="137"/>
        <v>Option</v>
      </c>
      <c r="M482" t="str">
        <f t="shared" si="138"/>
        <v>BLACK COATING</v>
      </c>
      <c r="R482" t="str">
        <f t="shared" si="139"/>
        <v>ZTPH031SSR</v>
      </c>
      <c r="S482">
        <f t="shared" si="140"/>
        <v>0</v>
      </c>
      <c r="U482" t="str">
        <f t="shared" si="141"/>
        <v>continue</v>
      </c>
      <c r="V482" t="str">
        <f t="shared" si="142"/>
        <v>manual</v>
      </c>
      <c r="W482" s="5">
        <f t="shared" si="143"/>
        <v>491.76330000000002</v>
      </c>
      <c r="Y482" t="b">
        <f t="shared" si="144"/>
        <v>1</v>
      </c>
      <c r="Z482" t="b">
        <f t="shared" si="145"/>
        <v>0</v>
      </c>
      <c r="AB482" t="str">
        <f t="shared" si="146"/>
        <v/>
      </c>
      <c r="AE482" t="b">
        <v>0</v>
      </c>
    </row>
    <row r="483" spans="1:31" x14ac:dyDescent="0.2">
      <c r="A483" t="str">
        <f t="shared" si="133"/>
        <v>https://shop.officineitalianezard.it/en/triumph-speed-triple-exhaust-zard-2/</v>
      </c>
      <c r="B483" t="b">
        <f>COUNTIF($A$2:$A483, A483)&gt;1</f>
        <v>1</v>
      </c>
      <c r="C483" t="b">
        <f t="shared" si="134"/>
        <v>1</v>
      </c>
      <c r="D483">
        <f>VLOOKUP(A483,variant_counts!A:B, 2, FALSE)</f>
        <v>7</v>
      </c>
      <c r="E483" t="str">
        <f t="shared" si="147"/>
        <v>zard-exhaust-silencer-triumph-speed-triple-1050-my-05-06-conical-version-ztph031ssr</v>
      </c>
      <c r="F483" t="str">
        <f t="shared" si="135"/>
        <v>ZARD EXHAUST SILENCER TRIUMPH SPEED TRIPLE 1050 M.Y. 05-06 CONICAL VERSION ZTPH031SSR</v>
      </c>
      <c r="G483" t="str">
        <f t="shared" si="136"/>
        <v/>
      </c>
      <c r="H483" t="str">
        <f t="shared" si="148"/>
        <v/>
      </c>
      <c r="I483" t="str">
        <f t="shared" si="149"/>
        <v/>
      </c>
      <c r="J483" t="str">
        <f t="shared" si="150"/>
        <v/>
      </c>
      <c r="K483" t="str">
        <f t="shared" si="151"/>
        <v/>
      </c>
      <c r="L483" t="str">
        <f t="shared" si="137"/>
        <v>Option</v>
      </c>
      <c r="M483" t="str">
        <f t="shared" si="138"/>
        <v>CARBON ENDCAP</v>
      </c>
      <c r="R483" t="str">
        <f t="shared" si="139"/>
        <v>ZTPH031SSR</v>
      </c>
      <c r="S483">
        <f t="shared" si="140"/>
        <v>0</v>
      </c>
      <c r="U483" t="str">
        <f t="shared" si="141"/>
        <v>continue</v>
      </c>
      <c r="V483" t="str">
        <f t="shared" si="142"/>
        <v>manual</v>
      </c>
      <c r="W483" s="5">
        <f t="shared" si="143"/>
        <v>447.54090000000002</v>
      </c>
      <c r="Y483" t="b">
        <f t="shared" si="144"/>
        <v>1</v>
      </c>
      <c r="Z483" t="b">
        <f t="shared" si="145"/>
        <v>0</v>
      </c>
      <c r="AB483" t="str">
        <f t="shared" si="146"/>
        <v/>
      </c>
      <c r="AE483" t="b">
        <v>0</v>
      </c>
    </row>
    <row r="484" spans="1:31" x14ac:dyDescent="0.2">
      <c r="A484" t="str">
        <f t="shared" si="133"/>
        <v>https://shop.officineitalianezard.it/en/3-1-conical-full-kit/</v>
      </c>
      <c r="B484" t="b">
        <f>COUNTIF($A$2:$A484, A484)&gt;1</f>
        <v>0</v>
      </c>
      <c r="C484" t="b">
        <f t="shared" si="134"/>
        <v>0</v>
      </c>
      <c r="D484">
        <f>VLOOKUP(A484,variant_counts!A:B, 2, FALSE)</f>
        <v>7</v>
      </c>
      <c r="E484" t="str">
        <f t="shared" si="147"/>
        <v>zard-exhaust-31-full-kit-triumph-speed-triple-1050-my-05-06-conical-version-ztph031skr</v>
      </c>
      <c r="F484" t="str">
        <f t="shared" si="135"/>
        <v>ZARD EXHAUST 3&gt;1 FULL KIT TRIUMPH SPEED TRIPLE 1050 M.Y. 05-06 CONICAL VERSION ZTPH031SKR</v>
      </c>
      <c r="G484" t="str">
        <f t="shared" si="136"/>
        <v>&lt;p&gt;3&amp;gt;1 STEEL RACING FULL KIT&lt;/p&gt;
&lt;p&gt;ORIGINAL FULL KIT WEIGHT: KG 13&lt;br&gt;ZARD FULL KITWEIGHT: KG 4.2&lt;/p&gt;
&lt;p&gt;HARD INCREASE IN TERMS OF TORQUE AND POWER AT ANY RANGE COMPARED TO THE ORIGINAL SYSTEM.&lt;/p&gt;
&lt;p&gt;ASTONISHING SOUND.&lt;/p&gt;</v>
      </c>
      <c r="H484" t="str">
        <f t="shared" si="148"/>
        <v>ZARD</v>
      </c>
      <c r="I484" t="str">
        <f t="shared" si="149"/>
        <v>Exhaust Pipe</v>
      </c>
      <c r="J484" t="str">
        <f t="shared" si="150"/>
        <v>Test</v>
      </c>
      <c r="K484" t="b">
        <f t="shared" si="151"/>
        <v>0</v>
      </c>
      <c r="L484" t="str">
        <f t="shared" si="137"/>
        <v/>
      </c>
      <c r="M484" t="str">
        <f t="shared" si="138"/>
        <v/>
      </c>
      <c r="R484" t="str">
        <f t="shared" si="139"/>
        <v/>
      </c>
      <c r="S484" t="str">
        <f t="shared" si="140"/>
        <v/>
      </c>
      <c r="U484" t="str">
        <f t="shared" si="141"/>
        <v/>
      </c>
      <c r="V484" t="str">
        <f t="shared" si="142"/>
        <v/>
      </c>
      <c r="W484" s="5" t="str">
        <f t="shared" si="143"/>
        <v/>
      </c>
      <c r="Y484" t="str">
        <f t="shared" si="144"/>
        <v/>
      </c>
      <c r="Z484" t="str">
        <f t="shared" si="145"/>
        <v/>
      </c>
      <c r="AB484" t="str">
        <f t="shared" si="146"/>
        <v>https://shop.officineitalianezard.it/contents/imgs/products/1_144-3triumph-speedtriple1050-dx-2.jpg</v>
      </c>
      <c r="AE484" t="b">
        <v>0</v>
      </c>
    </row>
    <row r="485" spans="1:31" x14ac:dyDescent="0.2">
      <c r="A485" t="str">
        <f t="shared" si="133"/>
        <v>https://shop.officineitalianezard.it/en/3-1-conical-full-kit/</v>
      </c>
      <c r="B485" t="b">
        <f>COUNTIF($A$2:$A485, A485)&gt;1</f>
        <v>1</v>
      </c>
      <c r="C485" t="b">
        <f t="shared" si="134"/>
        <v>0</v>
      </c>
      <c r="D485">
        <f>VLOOKUP(A485,variant_counts!A:B, 2, FALSE)</f>
        <v>7</v>
      </c>
      <c r="E485" t="str">
        <f t="shared" si="147"/>
        <v>zard-exhaust-31-full-kit-triumph-speed-triple-1050-my-05-06-conical-version-ztph031skr</v>
      </c>
      <c r="F485" t="str">
        <f t="shared" si="135"/>
        <v>ZARD EXHAUST 3&gt;1 FULL KIT TRIUMPH SPEED TRIPLE 1050 M.Y. 05-06 CONICAL VERSION ZTPH031SKR</v>
      </c>
      <c r="G485" t="str">
        <f t="shared" si="136"/>
        <v/>
      </c>
      <c r="H485" t="str">
        <f t="shared" si="148"/>
        <v/>
      </c>
      <c r="I485" t="str">
        <f t="shared" si="149"/>
        <v/>
      </c>
      <c r="J485" t="str">
        <f t="shared" si="150"/>
        <v/>
      </c>
      <c r="K485" t="str">
        <f t="shared" si="151"/>
        <v/>
      </c>
      <c r="L485" t="str">
        <f t="shared" si="137"/>
        <v/>
      </c>
      <c r="M485" t="str">
        <f t="shared" si="138"/>
        <v/>
      </c>
      <c r="R485" t="str">
        <f t="shared" si="139"/>
        <v/>
      </c>
      <c r="S485" t="str">
        <f t="shared" si="140"/>
        <v/>
      </c>
      <c r="U485" t="str">
        <f t="shared" si="141"/>
        <v/>
      </c>
      <c r="V485" t="str">
        <f t="shared" si="142"/>
        <v/>
      </c>
      <c r="W485" s="5" t="str">
        <f t="shared" si="143"/>
        <v/>
      </c>
      <c r="Y485" t="str">
        <f t="shared" si="144"/>
        <v/>
      </c>
      <c r="Z485" t="str">
        <f t="shared" si="145"/>
        <v/>
      </c>
      <c r="AB485" t="str">
        <f t="shared" si="146"/>
        <v>https://shop.officineitalianezard.it/contents/imgs/products/1_143-1speedtriple0506kit3.jpg</v>
      </c>
      <c r="AE485" t="b">
        <v>0</v>
      </c>
    </row>
    <row r="486" spans="1:31" x14ac:dyDescent="0.2">
      <c r="A486" t="str">
        <f t="shared" si="133"/>
        <v>https://shop.officineitalianezard.it/en/3-1-conical-full-kit/</v>
      </c>
      <c r="B486" t="b">
        <f>COUNTIF($A$2:$A486, A486)&gt;1</f>
        <v>1</v>
      </c>
      <c r="C486" t="b">
        <f t="shared" si="134"/>
        <v>0</v>
      </c>
      <c r="D486">
        <f>VLOOKUP(A486,variant_counts!A:B, 2, FALSE)</f>
        <v>7</v>
      </c>
      <c r="E486" t="str">
        <f t="shared" si="147"/>
        <v>zard-exhaust-31-full-kit-triumph-speed-triple-1050-my-05-06-conical-version-ztph031skr</v>
      </c>
      <c r="F486" t="str">
        <f t="shared" si="135"/>
        <v>ZARD EXHAUST 3&gt;1 FULL KIT TRIUMPH SPEED TRIPLE 1050 M.Y. 05-06 CONICAL VERSION ZTPH031SKR</v>
      </c>
      <c r="G486" t="str">
        <f t="shared" si="136"/>
        <v/>
      </c>
      <c r="H486" t="str">
        <f t="shared" si="148"/>
        <v/>
      </c>
      <c r="I486" t="str">
        <f t="shared" si="149"/>
        <v/>
      </c>
      <c r="J486" t="str">
        <f t="shared" si="150"/>
        <v/>
      </c>
      <c r="K486" t="str">
        <f t="shared" si="151"/>
        <v/>
      </c>
      <c r="L486" t="str">
        <f t="shared" si="137"/>
        <v/>
      </c>
      <c r="M486" t="str">
        <f t="shared" si="138"/>
        <v/>
      </c>
      <c r="R486" t="str">
        <f t="shared" si="139"/>
        <v/>
      </c>
      <c r="S486" t="str">
        <f t="shared" si="140"/>
        <v/>
      </c>
      <c r="U486" t="str">
        <f t="shared" si="141"/>
        <v/>
      </c>
      <c r="V486" t="str">
        <f t="shared" si="142"/>
        <v/>
      </c>
      <c r="W486" s="5" t="str">
        <f t="shared" si="143"/>
        <v/>
      </c>
      <c r="Y486" t="str">
        <f t="shared" si="144"/>
        <v/>
      </c>
      <c r="Z486" t="str">
        <f t="shared" si="145"/>
        <v/>
      </c>
      <c r="AB486" t="str">
        <f t="shared" si="146"/>
        <v>https://shop.officineitalianezard.it/contents/imgs/products/1_145-2speedtriple0506kit.jpg</v>
      </c>
      <c r="AE486" t="b">
        <v>0</v>
      </c>
    </row>
    <row r="487" spans="1:31" x14ac:dyDescent="0.2">
      <c r="A487" t="str">
        <f t="shared" si="133"/>
        <v>https://shop.officineitalianezard.it/en/3-1-conical-full-kit/</v>
      </c>
      <c r="B487" t="b">
        <f>COUNTIF($A$2:$A487, A487)&gt;1</f>
        <v>1</v>
      </c>
      <c r="C487" t="b">
        <f t="shared" si="134"/>
        <v>1</v>
      </c>
      <c r="D487">
        <f>VLOOKUP(A487,variant_counts!A:B, 2, FALSE)</f>
        <v>7</v>
      </c>
      <c r="E487" t="str">
        <f t="shared" si="147"/>
        <v>zard-exhaust-31-full-kit-triumph-speed-triple-1050-my-05-06-conical-version-ztph031skr</v>
      </c>
      <c r="F487" t="str">
        <f t="shared" si="135"/>
        <v>ZARD EXHAUST 3&gt;1 FULL KIT TRIUMPH SPEED TRIPLE 1050 M.Y. 05-06 CONICAL VERSION ZTPH031SKR</v>
      </c>
      <c r="G487" t="str">
        <f t="shared" si="136"/>
        <v/>
      </c>
      <c r="H487" t="str">
        <f t="shared" si="148"/>
        <v/>
      </c>
      <c r="I487" t="str">
        <f t="shared" si="149"/>
        <v/>
      </c>
      <c r="J487" t="str">
        <f t="shared" si="150"/>
        <v/>
      </c>
      <c r="K487" t="str">
        <f t="shared" si="151"/>
        <v/>
      </c>
      <c r="L487" t="str">
        <f t="shared" si="137"/>
        <v>Option</v>
      </c>
      <c r="M487" t="str">
        <f t="shared" si="138"/>
        <v>STEEL HOMOLOGATED</v>
      </c>
      <c r="R487" t="str">
        <f t="shared" si="139"/>
        <v>ZTPH031SKR</v>
      </c>
      <c r="S487">
        <f t="shared" si="140"/>
        <v>0</v>
      </c>
      <c r="U487" t="str">
        <f t="shared" si="141"/>
        <v>continue</v>
      </c>
      <c r="V487" t="str">
        <f t="shared" si="142"/>
        <v>manual</v>
      </c>
      <c r="W487" s="5">
        <f t="shared" si="143"/>
        <v>1153.4898000000001</v>
      </c>
      <c r="Y487" t="b">
        <f t="shared" si="144"/>
        <v>1</v>
      </c>
      <c r="Z487" t="b">
        <f t="shared" si="145"/>
        <v>0</v>
      </c>
      <c r="AB487" t="str">
        <f t="shared" si="146"/>
        <v/>
      </c>
      <c r="AE487" t="b">
        <v>0</v>
      </c>
    </row>
    <row r="488" spans="1:31" x14ac:dyDescent="0.2">
      <c r="A488" t="str">
        <f t="shared" si="133"/>
        <v>https://shop.officineitalianezard.it/en/3-1-conical-full-kit/</v>
      </c>
      <c r="B488" t="b">
        <f>COUNTIF($A$2:$A488, A488)&gt;1</f>
        <v>1</v>
      </c>
      <c r="C488" t="b">
        <f t="shared" si="134"/>
        <v>1</v>
      </c>
      <c r="D488">
        <f>VLOOKUP(A488,variant_counts!A:B, 2, FALSE)</f>
        <v>7</v>
      </c>
      <c r="E488" t="str">
        <f t="shared" si="147"/>
        <v>zard-exhaust-31-full-kit-triumph-speed-triple-1050-my-05-06-conical-version-ztph031skr</v>
      </c>
      <c r="F488" t="str">
        <f t="shared" si="135"/>
        <v>ZARD EXHAUST 3&gt;1 FULL KIT TRIUMPH SPEED TRIPLE 1050 M.Y. 05-06 CONICAL VERSION ZTPH031SKR</v>
      </c>
      <c r="G488" t="str">
        <f t="shared" si="136"/>
        <v/>
      </c>
      <c r="H488" t="str">
        <f t="shared" si="148"/>
        <v/>
      </c>
      <c r="I488" t="str">
        <f t="shared" si="149"/>
        <v/>
      </c>
      <c r="J488" t="str">
        <f t="shared" si="150"/>
        <v/>
      </c>
      <c r="K488" t="str">
        <f t="shared" si="151"/>
        <v/>
      </c>
      <c r="L488" t="str">
        <f t="shared" si="137"/>
        <v>Option</v>
      </c>
      <c r="M488" t="str">
        <f t="shared" si="138"/>
        <v>STEEL HOMOLOGATED CATALYSED</v>
      </c>
      <c r="R488" t="str">
        <f t="shared" si="139"/>
        <v>ZTPH031SKR</v>
      </c>
      <c r="S488">
        <f t="shared" si="140"/>
        <v>0</v>
      </c>
      <c r="U488" t="str">
        <f t="shared" si="141"/>
        <v>continue</v>
      </c>
      <c r="V488" t="str">
        <f t="shared" si="142"/>
        <v>manual</v>
      </c>
      <c r="W488" s="5">
        <f t="shared" si="143"/>
        <v>1255.8540000000003</v>
      </c>
      <c r="Y488" t="b">
        <f t="shared" si="144"/>
        <v>1</v>
      </c>
      <c r="Z488" t="b">
        <f t="shared" si="145"/>
        <v>0</v>
      </c>
      <c r="AB488" t="str">
        <f t="shared" si="146"/>
        <v/>
      </c>
      <c r="AE488" t="b">
        <v>0</v>
      </c>
    </row>
    <row r="489" spans="1:31" x14ac:dyDescent="0.2">
      <c r="A489" t="str">
        <f t="shared" si="133"/>
        <v>https://shop.officineitalianezard.it/en/3-1-conical-full-kit/</v>
      </c>
      <c r="B489" t="b">
        <f>COUNTIF($A$2:$A489, A489)&gt;1</f>
        <v>1</v>
      </c>
      <c r="C489" t="b">
        <f t="shared" si="134"/>
        <v>1</v>
      </c>
      <c r="D489">
        <f>VLOOKUP(A489,variant_counts!A:B, 2, FALSE)</f>
        <v>7</v>
      </c>
      <c r="E489" t="str">
        <f t="shared" si="147"/>
        <v>zard-exhaust-31-full-kit-triumph-speed-triple-1050-my-05-06-conical-version-ztph031skr</v>
      </c>
      <c r="F489" t="str">
        <f t="shared" si="135"/>
        <v>ZARD EXHAUST 3&gt;1 FULL KIT TRIUMPH SPEED TRIPLE 1050 M.Y. 05-06 CONICAL VERSION ZTPH031SKR</v>
      </c>
      <c r="G489" t="str">
        <f t="shared" si="136"/>
        <v/>
      </c>
      <c r="H489" t="str">
        <f t="shared" si="148"/>
        <v/>
      </c>
      <c r="I489" t="str">
        <f t="shared" si="149"/>
        <v/>
      </c>
      <c r="J489" t="str">
        <f t="shared" si="150"/>
        <v/>
      </c>
      <c r="K489" t="str">
        <f t="shared" si="151"/>
        <v/>
      </c>
      <c r="L489" t="str">
        <f t="shared" si="137"/>
        <v>Option</v>
      </c>
      <c r="M489" t="str">
        <f t="shared" si="138"/>
        <v>TITANIUM RACING</v>
      </c>
      <c r="R489" t="str">
        <f t="shared" si="139"/>
        <v>ZTPH031SKR</v>
      </c>
      <c r="S489">
        <f t="shared" si="140"/>
        <v>0</v>
      </c>
      <c r="U489" t="str">
        <f t="shared" si="141"/>
        <v>continue</v>
      </c>
      <c r="V489" t="str">
        <f t="shared" si="142"/>
        <v>manual</v>
      </c>
      <c r="W489" s="5">
        <f t="shared" si="143"/>
        <v>1991.9949000000004</v>
      </c>
      <c r="Y489" t="b">
        <f t="shared" si="144"/>
        <v>1</v>
      </c>
      <c r="Z489" t="b">
        <f t="shared" si="145"/>
        <v>0</v>
      </c>
      <c r="AB489" t="str">
        <f t="shared" si="146"/>
        <v/>
      </c>
      <c r="AE489" t="b">
        <v>0</v>
      </c>
    </row>
    <row r="490" spans="1:31" x14ac:dyDescent="0.2">
      <c r="A490" t="str">
        <f t="shared" si="133"/>
        <v>https://shop.officineitalianezard.it/en/3-1-conical-full-kit/</v>
      </c>
      <c r="B490" t="b">
        <f>COUNTIF($A$2:$A490, A490)&gt;1</f>
        <v>1</v>
      </c>
      <c r="C490" t="b">
        <f t="shared" si="134"/>
        <v>1</v>
      </c>
      <c r="D490">
        <f>VLOOKUP(A490,variant_counts!A:B, 2, FALSE)</f>
        <v>7</v>
      </c>
      <c r="E490" t="str">
        <f t="shared" si="147"/>
        <v>zard-exhaust-31-full-kit-triumph-speed-triple-1050-my-05-06-conical-version-ztph031skr</v>
      </c>
      <c r="F490" t="str">
        <f t="shared" si="135"/>
        <v>ZARD EXHAUST 3&gt;1 FULL KIT TRIUMPH SPEED TRIPLE 1050 M.Y. 05-06 CONICAL VERSION ZTPH031SKR</v>
      </c>
      <c r="G490" t="str">
        <f t="shared" si="136"/>
        <v/>
      </c>
      <c r="H490" t="str">
        <f t="shared" si="148"/>
        <v/>
      </c>
      <c r="I490" t="str">
        <f t="shared" si="149"/>
        <v/>
      </c>
      <c r="J490" t="str">
        <f t="shared" si="150"/>
        <v/>
      </c>
      <c r="K490" t="str">
        <f t="shared" si="151"/>
        <v/>
      </c>
      <c r="L490" t="str">
        <f t="shared" si="137"/>
        <v>Option</v>
      </c>
      <c r="M490" t="str">
        <f t="shared" si="138"/>
        <v>TITANIUM HOMOLOGATED</v>
      </c>
      <c r="R490" t="str">
        <f t="shared" si="139"/>
        <v>ZTPH031SKR</v>
      </c>
      <c r="S490">
        <f t="shared" si="140"/>
        <v>0</v>
      </c>
      <c r="U490" t="str">
        <f t="shared" si="141"/>
        <v>continue</v>
      </c>
      <c r="V490" t="str">
        <f t="shared" si="142"/>
        <v>manual</v>
      </c>
      <c r="W490" s="5">
        <f t="shared" si="143"/>
        <v>2032.9428000000003</v>
      </c>
      <c r="Y490" t="b">
        <f t="shared" si="144"/>
        <v>1</v>
      </c>
      <c r="Z490" t="b">
        <f t="shared" si="145"/>
        <v>0</v>
      </c>
      <c r="AB490" t="str">
        <f t="shared" si="146"/>
        <v/>
      </c>
      <c r="AE490" t="b">
        <v>0</v>
      </c>
    </row>
    <row r="491" spans="1:31" x14ac:dyDescent="0.2">
      <c r="A491" t="str">
        <f t="shared" si="133"/>
        <v>https://shop.officineitalianezard.it/en/3-1-conical-full-kit/</v>
      </c>
      <c r="B491" t="b">
        <f>COUNTIF($A$2:$A491, A491)&gt;1</f>
        <v>1</v>
      </c>
      <c r="C491" t="b">
        <f t="shared" si="134"/>
        <v>1</v>
      </c>
      <c r="D491">
        <f>VLOOKUP(A491,variant_counts!A:B, 2, FALSE)</f>
        <v>7</v>
      </c>
      <c r="E491" t="str">
        <f t="shared" si="147"/>
        <v>zard-exhaust-31-full-kit-triumph-speed-triple-1050-my-05-06-conical-version-ztph031skr</v>
      </c>
      <c r="F491" t="str">
        <f t="shared" si="135"/>
        <v>ZARD EXHAUST 3&gt;1 FULL KIT TRIUMPH SPEED TRIPLE 1050 M.Y. 05-06 CONICAL VERSION ZTPH031SKR</v>
      </c>
      <c r="G491" t="str">
        <f t="shared" si="136"/>
        <v/>
      </c>
      <c r="H491" t="str">
        <f t="shared" si="148"/>
        <v/>
      </c>
      <c r="I491" t="str">
        <f t="shared" si="149"/>
        <v/>
      </c>
      <c r="J491" t="str">
        <f t="shared" si="150"/>
        <v/>
      </c>
      <c r="K491" t="str">
        <f t="shared" si="151"/>
        <v/>
      </c>
      <c r="L491" t="str">
        <f t="shared" si="137"/>
        <v>Option</v>
      </c>
      <c r="M491" t="str">
        <f t="shared" si="138"/>
        <v>TITANIUM HOMOLOGATED-CATALYSED</v>
      </c>
      <c r="R491" t="str">
        <f t="shared" si="139"/>
        <v>ZTPH031SKR</v>
      </c>
      <c r="S491">
        <f t="shared" si="140"/>
        <v>0</v>
      </c>
      <c r="U491" t="str">
        <f t="shared" si="141"/>
        <v>continue</v>
      </c>
      <c r="V491" t="str">
        <f t="shared" si="142"/>
        <v>manual</v>
      </c>
      <c r="W491" s="5">
        <f t="shared" si="143"/>
        <v>2137.7490000000003</v>
      </c>
      <c r="Y491" t="b">
        <f t="shared" si="144"/>
        <v>1</v>
      </c>
      <c r="Z491" t="b">
        <f t="shared" si="145"/>
        <v>0</v>
      </c>
      <c r="AB491" t="str">
        <f t="shared" si="146"/>
        <v/>
      </c>
      <c r="AE491" t="b">
        <v>0</v>
      </c>
    </row>
    <row r="492" spans="1:31" x14ac:dyDescent="0.2">
      <c r="A492" t="str">
        <f t="shared" si="133"/>
        <v>https://shop.officineitalianezard.it/en/3-1-conical-full-kit/</v>
      </c>
      <c r="B492" t="b">
        <f>COUNTIF($A$2:$A492, A492)&gt;1</f>
        <v>1</v>
      </c>
      <c r="C492" t="b">
        <f t="shared" si="134"/>
        <v>1</v>
      </c>
      <c r="D492">
        <f>VLOOKUP(A492,variant_counts!A:B, 2, FALSE)</f>
        <v>7</v>
      </c>
      <c r="E492" t="str">
        <f t="shared" si="147"/>
        <v>zard-exhaust-31-full-kit-triumph-speed-triple-1050-my-05-06-conical-version-ztph031skr</v>
      </c>
      <c r="F492" t="str">
        <f t="shared" si="135"/>
        <v>ZARD EXHAUST 3&gt;1 FULL KIT TRIUMPH SPEED TRIPLE 1050 M.Y. 05-06 CONICAL VERSION ZTPH031SKR</v>
      </c>
      <c r="G492" t="str">
        <f t="shared" si="136"/>
        <v/>
      </c>
      <c r="H492" t="str">
        <f t="shared" si="148"/>
        <v/>
      </c>
      <c r="I492" t="str">
        <f t="shared" si="149"/>
        <v/>
      </c>
      <c r="J492" t="str">
        <f t="shared" si="150"/>
        <v/>
      </c>
      <c r="K492" t="str">
        <f t="shared" si="151"/>
        <v/>
      </c>
      <c r="L492" t="str">
        <f t="shared" si="137"/>
        <v>Option</v>
      </c>
      <c r="M492" t="str">
        <f t="shared" si="138"/>
        <v>BLACK COATING</v>
      </c>
      <c r="R492" t="str">
        <f t="shared" si="139"/>
        <v>ZTPH031SKR</v>
      </c>
      <c r="S492">
        <f t="shared" si="140"/>
        <v>0</v>
      </c>
      <c r="U492" t="str">
        <f t="shared" si="141"/>
        <v>continue</v>
      </c>
      <c r="V492" t="str">
        <f t="shared" si="142"/>
        <v>manual</v>
      </c>
      <c r="W492" s="5">
        <f t="shared" si="143"/>
        <v>1307.4357000000002</v>
      </c>
      <c r="Y492" t="b">
        <f t="shared" si="144"/>
        <v>1</v>
      </c>
      <c r="Z492" t="b">
        <f t="shared" si="145"/>
        <v>0</v>
      </c>
      <c r="AB492" t="str">
        <f t="shared" si="146"/>
        <v/>
      </c>
      <c r="AE492" t="b">
        <v>0</v>
      </c>
    </row>
    <row r="493" spans="1:31" x14ac:dyDescent="0.2">
      <c r="A493" t="str">
        <f t="shared" si="133"/>
        <v>https://shop.officineitalianezard.it/en/3-1-conical-full-kit/</v>
      </c>
      <c r="B493" t="b">
        <f>COUNTIF($A$2:$A493, A493)&gt;1</f>
        <v>1</v>
      </c>
      <c r="C493" t="b">
        <f t="shared" si="134"/>
        <v>1</v>
      </c>
      <c r="D493">
        <f>VLOOKUP(A493,variant_counts!A:B, 2, FALSE)</f>
        <v>7</v>
      </c>
      <c r="E493" t="str">
        <f t="shared" si="147"/>
        <v>zard-exhaust-31-full-kit-triumph-speed-triple-1050-my-05-06-conical-version-ztph031skr</v>
      </c>
      <c r="F493" t="str">
        <f t="shared" si="135"/>
        <v>ZARD EXHAUST 3&gt;1 FULL KIT TRIUMPH SPEED TRIPLE 1050 M.Y. 05-06 CONICAL VERSION ZTPH031SKR</v>
      </c>
      <c r="G493" t="str">
        <f t="shared" si="136"/>
        <v/>
      </c>
      <c r="H493" t="str">
        <f t="shared" si="148"/>
        <v/>
      </c>
      <c r="I493" t="str">
        <f t="shared" si="149"/>
        <v/>
      </c>
      <c r="J493" t="str">
        <f t="shared" si="150"/>
        <v/>
      </c>
      <c r="K493" t="str">
        <f t="shared" si="151"/>
        <v/>
      </c>
      <c r="L493" t="str">
        <f t="shared" si="137"/>
        <v>Option</v>
      </c>
      <c r="M493" t="str">
        <f t="shared" si="138"/>
        <v>CARBON ENDCAP</v>
      </c>
      <c r="R493" t="str">
        <f t="shared" si="139"/>
        <v>ZTPH031SKR</v>
      </c>
      <c r="S493">
        <f t="shared" si="140"/>
        <v>0</v>
      </c>
      <c r="U493" t="str">
        <f t="shared" si="141"/>
        <v>continue</v>
      </c>
      <c r="V493" t="str">
        <f t="shared" si="142"/>
        <v>manual</v>
      </c>
      <c r="W493" s="5">
        <f t="shared" si="143"/>
        <v>1160.8602000000001</v>
      </c>
      <c r="Y493" t="b">
        <f t="shared" si="144"/>
        <v>1</v>
      </c>
      <c r="Z493" t="b">
        <f t="shared" si="145"/>
        <v>0</v>
      </c>
      <c r="AB493" t="str">
        <f t="shared" si="146"/>
        <v/>
      </c>
      <c r="AE493" t="b">
        <v>0</v>
      </c>
    </row>
    <row r="494" spans="1:31" x14ac:dyDescent="0.2">
      <c r="A494" t="str">
        <f t="shared" si="133"/>
        <v>https://shop.officineitalianezard.it/en/triumph-street-scrambler-exhaust-zard-5/</v>
      </c>
      <c r="B494" t="b">
        <f>COUNTIF($A$2:$A494, A494)&gt;1</f>
        <v>0</v>
      </c>
      <c r="C494" t="b">
        <f t="shared" si="134"/>
        <v>0</v>
      </c>
      <c r="D494">
        <f>VLOOKUP(A494,variant_counts!A:B, 2, FALSE)</f>
        <v>2</v>
      </c>
      <c r="E494" t="str">
        <f t="shared" si="147"/>
        <v>zard-exhaust-21-full-kit-triumph-street-scrambler-201719-conical-version-ztph078skr</v>
      </c>
      <c r="F494" t="str">
        <f t="shared" si="135"/>
        <v>ZARD EXHAUST 2&gt;1 FULL KIT TRIUMPH STREET SCRAMBLER 2017/19 CONICAL VERSION ZTPH078SKR</v>
      </c>
      <c r="G494" t="str">
        <f t="shared" si="136"/>
        <v>&lt;p&gt;&lt;strong&gt;&lt;/strong&gt;2&amp;gt;1 STEEL RACING FULL KIT CONICAL VERSION WITH REMOVABLE DB KILLER&lt;/p&gt;
&lt;p&gt;ORIGINAL FULL KIT&amp;nbsp;WEIGHT: 9,8 KG&lt;br&gt;&lt;span&gt;ZARD&amp;nbsp;&lt;/span&gt;&lt;span&gt;FULL KIT&lt;/span&gt;&lt;span&gt;&amp;nbsp;WEIGHT: 4,8&amp;nbsp;&lt;/span&gt;&lt;span&gt;KG&lt;/span&gt;&lt;/p&gt;
&lt;p&gt;THE INSTALLATION OF ZARD EXHAUST DOES NOT IMPLY ANY MODIFICATION TO ECU.&lt;br&gt;THE BOX INCLUDES ALL PARTS FOR THE FITMENT OF ZARD EXHAUST.&lt;/p&gt;
&lt;p&gt;&lt;span&gt;HARD INCREASE, COMPARED TO THE ORIGINAL EXHAUST SYSTEM.&lt;/span&gt;&lt;/p&gt;
&lt;p&gt;&lt;span&gt;ASTONISHING SOUND,&amp;nbsp;EXCLUSIVE DESIGN.&lt;/span&gt;&lt;/p&gt;
&lt;p&gt;&lt;/p&gt;</v>
      </c>
      <c r="H494" t="str">
        <f t="shared" si="148"/>
        <v>ZARD</v>
      </c>
      <c r="I494" t="str">
        <f t="shared" si="149"/>
        <v>Exhaust Pipe</v>
      </c>
      <c r="J494" t="str">
        <f t="shared" si="150"/>
        <v>Test</v>
      </c>
      <c r="K494" t="b">
        <f t="shared" si="151"/>
        <v>0</v>
      </c>
      <c r="L494" t="str">
        <f t="shared" si="137"/>
        <v/>
      </c>
      <c r="M494" t="str">
        <f t="shared" si="138"/>
        <v/>
      </c>
      <c r="R494" t="str">
        <f t="shared" si="139"/>
        <v/>
      </c>
      <c r="S494" t="str">
        <f t="shared" si="140"/>
        <v/>
      </c>
      <c r="U494" t="str">
        <f t="shared" si="141"/>
        <v/>
      </c>
      <c r="V494" t="str">
        <f t="shared" si="142"/>
        <v/>
      </c>
      <c r="W494" s="5" t="str">
        <f t="shared" si="143"/>
        <v/>
      </c>
      <c r="Y494" t="str">
        <f t="shared" si="144"/>
        <v/>
      </c>
      <c r="Z494" t="str">
        <f t="shared" si="145"/>
        <v/>
      </c>
      <c r="AB494" t="str">
        <f t="shared" si="146"/>
        <v>https://shop.officineitalianezard.it/contents/imgs/products/1_2099-scarico%20triumph%20street%20scrambler%201.jpg</v>
      </c>
      <c r="AE494" t="b">
        <v>0</v>
      </c>
    </row>
    <row r="495" spans="1:31" x14ac:dyDescent="0.2">
      <c r="A495" t="str">
        <f t="shared" si="133"/>
        <v>https://shop.officineitalianezard.it/en/triumph-street-scrambler-exhaust-zard-5/</v>
      </c>
      <c r="B495" t="b">
        <f>COUNTIF($A$2:$A495, A495)&gt;1</f>
        <v>1</v>
      </c>
      <c r="C495" t="b">
        <f t="shared" si="134"/>
        <v>0</v>
      </c>
      <c r="D495">
        <f>VLOOKUP(A495,variant_counts!A:B, 2, FALSE)</f>
        <v>2</v>
      </c>
      <c r="E495" t="str">
        <f t="shared" si="147"/>
        <v>zard-exhaust-21-full-kit-triumph-street-scrambler-201719-conical-version-ztph078skr</v>
      </c>
      <c r="F495" t="str">
        <f t="shared" si="135"/>
        <v>ZARD EXHAUST 2&gt;1 FULL KIT TRIUMPH STREET SCRAMBLER 2017/19 CONICAL VERSION ZTPH078SKR</v>
      </c>
      <c r="G495" t="str">
        <f t="shared" si="136"/>
        <v/>
      </c>
      <c r="H495" t="str">
        <f t="shared" si="148"/>
        <v/>
      </c>
      <c r="I495" t="str">
        <f t="shared" si="149"/>
        <v/>
      </c>
      <c r="J495" t="str">
        <f t="shared" si="150"/>
        <v/>
      </c>
      <c r="K495" t="str">
        <f t="shared" si="151"/>
        <v/>
      </c>
      <c r="L495" t="str">
        <f t="shared" si="137"/>
        <v/>
      </c>
      <c r="M495" t="str">
        <f t="shared" si="138"/>
        <v/>
      </c>
      <c r="R495" t="str">
        <f t="shared" si="139"/>
        <v/>
      </c>
      <c r="S495" t="str">
        <f t="shared" si="140"/>
        <v/>
      </c>
      <c r="U495" t="str">
        <f t="shared" si="141"/>
        <v/>
      </c>
      <c r="V495" t="str">
        <f t="shared" si="142"/>
        <v/>
      </c>
      <c r="W495" s="5" t="str">
        <f t="shared" si="143"/>
        <v/>
      </c>
      <c r="Y495" t="str">
        <f t="shared" si="144"/>
        <v/>
      </c>
      <c r="Z495" t="str">
        <f t="shared" si="145"/>
        <v/>
      </c>
      <c r="AB495" t="str">
        <f t="shared" si="146"/>
        <v>https://shop.officineitalianezard.it/contents/imgs/products/1_2097-scarico%20triumph%20street%20scrambler%202.jpg</v>
      </c>
      <c r="AE495" t="b">
        <v>0</v>
      </c>
    </row>
    <row r="496" spans="1:31" x14ac:dyDescent="0.2">
      <c r="A496" t="str">
        <f t="shared" si="133"/>
        <v>https://shop.officineitalianezard.it/en/triumph-street-scrambler-exhaust-zard-5/</v>
      </c>
      <c r="B496" t="b">
        <f>COUNTIF($A$2:$A496, A496)&gt;1</f>
        <v>1</v>
      </c>
      <c r="C496" t="b">
        <f t="shared" si="134"/>
        <v>0</v>
      </c>
      <c r="D496">
        <f>VLOOKUP(A496,variant_counts!A:B, 2, FALSE)</f>
        <v>2</v>
      </c>
      <c r="E496" t="str">
        <f t="shared" si="147"/>
        <v>zard-exhaust-21-full-kit-triumph-street-scrambler-201719-conical-version-ztph078skr</v>
      </c>
      <c r="F496" t="str">
        <f t="shared" si="135"/>
        <v>ZARD EXHAUST 2&gt;1 FULL KIT TRIUMPH STREET SCRAMBLER 2017/19 CONICAL VERSION ZTPH078SKR</v>
      </c>
      <c r="G496" t="str">
        <f t="shared" si="136"/>
        <v/>
      </c>
      <c r="H496" t="str">
        <f t="shared" si="148"/>
        <v/>
      </c>
      <c r="I496" t="str">
        <f t="shared" si="149"/>
        <v/>
      </c>
      <c r="J496" t="str">
        <f t="shared" si="150"/>
        <v/>
      </c>
      <c r="K496" t="str">
        <f t="shared" si="151"/>
        <v/>
      </c>
      <c r="L496" t="str">
        <f t="shared" si="137"/>
        <v/>
      </c>
      <c r="M496" t="str">
        <f t="shared" si="138"/>
        <v/>
      </c>
      <c r="R496" t="str">
        <f t="shared" si="139"/>
        <v/>
      </c>
      <c r="S496" t="str">
        <f t="shared" si="140"/>
        <v/>
      </c>
      <c r="U496" t="str">
        <f t="shared" si="141"/>
        <v/>
      </c>
      <c r="V496" t="str">
        <f t="shared" si="142"/>
        <v/>
      </c>
      <c r="W496" s="5" t="str">
        <f t="shared" si="143"/>
        <v/>
      </c>
      <c r="Y496" t="str">
        <f t="shared" si="144"/>
        <v/>
      </c>
      <c r="Z496" t="str">
        <f t="shared" si="145"/>
        <v/>
      </c>
      <c r="AB496" t="str">
        <f t="shared" si="146"/>
        <v>https://shop.officineitalianezard.it/contents/imgs/products/1_2098-scarico%20triumph%20street%20scrambler%203.jpg</v>
      </c>
      <c r="AE496" t="b">
        <v>0</v>
      </c>
    </row>
    <row r="497" spans="1:31" x14ac:dyDescent="0.2">
      <c r="A497" t="str">
        <f t="shared" si="133"/>
        <v>https://shop.officineitalianezard.it/en/triumph-street-scrambler-exhaust-zard-5/</v>
      </c>
      <c r="B497" t="b">
        <f>COUNTIF($A$2:$A497, A497)&gt;1</f>
        <v>1</v>
      </c>
      <c r="C497" t="b">
        <f t="shared" si="134"/>
        <v>1</v>
      </c>
      <c r="D497">
        <f>VLOOKUP(A497,variant_counts!A:B, 2, FALSE)</f>
        <v>2</v>
      </c>
      <c r="E497" t="str">
        <f t="shared" si="147"/>
        <v>zard-exhaust-21-full-kit-triumph-street-scrambler-201719-conical-version-ztph078skr</v>
      </c>
      <c r="F497" t="str">
        <f t="shared" si="135"/>
        <v>ZARD EXHAUST 2&gt;1 FULL KIT TRIUMPH STREET SCRAMBLER 2017/19 CONICAL VERSION ZTPH078SKR</v>
      </c>
      <c r="G497" t="str">
        <f t="shared" si="136"/>
        <v/>
      </c>
      <c r="H497" t="str">
        <f t="shared" si="148"/>
        <v/>
      </c>
      <c r="I497" t="str">
        <f t="shared" si="149"/>
        <v/>
      </c>
      <c r="J497" t="str">
        <f t="shared" si="150"/>
        <v/>
      </c>
      <c r="K497" t="str">
        <f t="shared" si="151"/>
        <v/>
      </c>
      <c r="L497" t="str">
        <f t="shared" si="137"/>
        <v>Option</v>
      </c>
      <c r="M497" t="str">
        <f t="shared" si="138"/>
        <v>BLACK COATING</v>
      </c>
      <c r="R497" t="str">
        <f t="shared" si="139"/>
        <v>ZTPH078SKR</v>
      </c>
      <c r="S497">
        <f t="shared" si="140"/>
        <v>0</v>
      </c>
      <c r="U497" t="str">
        <f t="shared" si="141"/>
        <v>continue</v>
      </c>
      <c r="V497" t="str">
        <f t="shared" si="142"/>
        <v>manual</v>
      </c>
      <c r="W497" s="5">
        <f t="shared" si="143"/>
        <v>1120.0011000000002</v>
      </c>
      <c r="Y497" t="b">
        <f t="shared" si="144"/>
        <v>1</v>
      </c>
      <c r="Z497" t="b">
        <f t="shared" si="145"/>
        <v>0</v>
      </c>
      <c r="AB497" t="str">
        <f t="shared" si="146"/>
        <v/>
      </c>
      <c r="AE497" t="b">
        <v>0</v>
      </c>
    </row>
    <row r="498" spans="1:31" x14ac:dyDescent="0.2">
      <c r="A498" t="str">
        <f t="shared" si="133"/>
        <v>https://shop.officineitalianezard.it/en/triumph-street-scrambler-exhaust-zard-5/</v>
      </c>
      <c r="B498" t="b">
        <f>COUNTIF($A$2:$A498, A498)&gt;1</f>
        <v>1</v>
      </c>
      <c r="C498" t="b">
        <f t="shared" si="134"/>
        <v>1</v>
      </c>
      <c r="D498">
        <f>VLOOKUP(A498,variant_counts!A:B, 2, FALSE)</f>
        <v>2</v>
      </c>
      <c r="E498" t="str">
        <f t="shared" si="147"/>
        <v>zard-exhaust-21-full-kit-triumph-street-scrambler-201719-conical-version-ztph078skr</v>
      </c>
      <c r="F498" t="str">
        <f t="shared" si="135"/>
        <v>ZARD EXHAUST 2&gt;1 FULL KIT TRIUMPH STREET SCRAMBLER 2017/19 CONICAL VERSION ZTPH078SKR</v>
      </c>
      <c r="G498" t="str">
        <f t="shared" si="136"/>
        <v/>
      </c>
      <c r="H498" t="str">
        <f t="shared" si="148"/>
        <v/>
      </c>
      <c r="I498" t="str">
        <f t="shared" si="149"/>
        <v/>
      </c>
      <c r="J498" t="str">
        <f t="shared" si="150"/>
        <v/>
      </c>
      <c r="K498" t="str">
        <f t="shared" si="151"/>
        <v/>
      </c>
      <c r="L498" t="str">
        <f t="shared" si="137"/>
        <v>Option</v>
      </c>
      <c r="M498" t="str">
        <f t="shared" si="138"/>
        <v>MIRROR POLISHING</v>
      </c>
      <c r="R498" t="str">
        <f t="shared" si="139"/>
        <v>ZTPH078SKR</v>
      </c>
      <c r="S498">
        <f t="shared" si="140"/>
        <v>0</v>
      </c>
      <c r="U498" t="str">
        <f t="shared" si="141"/>
        <v>continue</v>
      </c>
      <c r="V498" t="str">
        <f t="shared" si="142"/>
        <v>manual</v>
      </c>
      <c r="W498" s="5">
        <f t="shared" si="143"/>
        <v>1038.9378000000002</v>
      </c>
      <c r="Y498" t="b">
        <f t="shared" si="144"/>
        <v>1</v>
      </c>
      <c r="Z498" t="b">
        <f t="shared" si="145"/>
        <v>0</v>
      </c>
      <c r="AB498" t="str">
        <f t="shared" si="146"/>
        <v/>
      </c>
      <c r="AE498" t="b">
        <v>0</v>
      </c>
    </row>
    <row r="499" spans="1:31" x14ac:dyDescent="0.2">
      <c r="A499" t="str">
        <f t="shared" si="133"/>
        <v>https://shop.officineitalianezard.it/en/triumph-street-scrambler-exhaust-zard-4/</v>
      </c>
      <c r="B499" t="b">
        <f>COUNTIF($A$2:$A499, A499)&gt;1</f>
        <v>0</v>
      </c>
      <c r="C499" t="b">
        <f t="shared" si="134"/>
        <v>0</v>
      </c>
      <c r="D499">
        <f>VLOOKUP(A499,variant_counts!A:B, 2, FALSE)</f>
        <v>2</v>
      </c>
      <c r="E499" t="str">
        <f t="shared" si="147"/>
        <v>zard-exhaust-21-full-kit-triumph-street-scrambler-201719-crossversion-ztph079skr</v>
      </c>
      <c r="F499" t="str">
        <f t="shared" si="135"/>
        <v>ZARD EXHAUST 2&gt;1 FULL KIT TRIUMPH STREET SCRAMBLER 2017/19 CROSS VERSION ZTPH079SKR</v>
      </c>
      <c r="G499" t="str">
        <f t="shared" si="136"/>
        <v>&lt;p&gt;2&amp;gt;1 STEEL RACING FULL KIT CROSS VERSION WITH REMOVABLE DB KILLER&lt;/p&gt;
&lt;p&gt;ORIGINAL FULL KIT&amp;nbsp;WEIGHT: 9,8 KG&lt;br&gt;&lt;span&gt;ZARD&amp;nbsp;&lt;/span&gt;&lt;span&gt;FULL KIT&lt;/span&gt;&lt;span&gt;&amp;nbsp;WEIGHT: 3,1&amp;nbsp;&lt;/span&gt;&lt;span&gt;KG&lt;/span&gt;&lt;/p&gt;
&lt;p&gt;THE INSTALLATION OF ZARD EXHAUST DOES NOT IMPLY ANY MODIFICATION TO ECU.&lt;br&gt;THE BOX INCLUDES ALL PARTS FOR THE FITMENT OF ZARD EXHAUST.&lt;/p&gt;
&lt;p&gt;&lt;span&gt;HARD INCREASE, COMPARED TO THE ORIGINAL EXHAUST SYSTEM.&lt;/span&gt;&lt;/p&gt;
&lt;p&gt;&lt;span&gt;ASTONISHING SOUND.&lt;/span&gt;&lt;/p&gt;
&lt;p&gt;&lt;/p&gt;</v>
      </c>
      <c r="H499" t="str">
        <f t="shared" si="148"/>
        <v>ZARD</v>
      </c>
      <c r="I499" t="str">
        <f t="shared" si="149"/>
        <v>Exhaust Pipe</v>
      </c>
      <c r="J499" t="str">
        <f t="shared" si="150"/>
        <v>Test</v>
      </c>
      <c r="K499" t="b">
        <f t="shared" si="151"/>
        <v>0</v>
      </c>
      <c r="L499" t="str">
        <f t="shared" si="137"/>
        <v/>
      </c>
      <c r="M499" t="str">
        <f t="shared" si="138"/>
        <v/>
      </c>
      <c r="R499" t="str">
        <f t="shared" si="139"/>
        <v/>
      </c>
      <c r="S499" t="str">
        <f t="shared" si="140"/>
        <v/>
      </c>
      <c r="U499" t="str">
        <f t="shared" si="141"/>
        <v/>
      </c>
      <c r="V499" t="str">
        <f t="shared" si="142"/>
        <v/>
      </c>
      <c r="W499" s="5" t="str">
        <f t="shared" si="143"/>
        <v/>
      </c>
      <c r="Y499" t="str">
        <f t="shared" si="144"/>
        <v/>
      </c>
      <c r="Z499" t="str">
        <f t="shared" si="145"/>
        <v/>
      </c>
      <c r="AB499" t="str">
        <f t="shared" si="146"/>
        <v>https://shop.officineitalianezard.it/contents/imgs/products/1_2104-scarico%20street%20scrambler%20-%20street%20scrambler%20exhaust%201.jpg</v>
      </c>
      <c r="AE499" t="b">
        <v>0</v>
      </c>
    </row>
    <row r="500" spans="1:31" x14ac:dyDescent="0.2">
      <c r="A500" t="str">
        <f t="shared" si="133"/>
        <v>https://shop.officineitalianezard.it/en/triumph-street-scrambler-exhaust-zard-4/</v>
      </c>
      <c r="B500" t="b">
        <f>COUNTIF($A$2:$A500, A500)&gt;1</f>
        <v>1</v>
      </c>
      <c r="C500" t="b">
        <f t="shared" si="134"/>
        <v>0</v>
      </c>
      <c r="D500">
        <f>VLOOKUP(A500,variant_counts!A:B, 2, FALSE)</f>
        <v>2</v>
      </c>
      <c r="E500" t="str">
        <f t="shared" si="147"/>
        <v>zard-exhaust-21-full-kit-triumph-street-scrambler-201719-crossversion-ztph079skr</v>
      </c>
      <c r="F500" t="str">
        <f t="shared" si="135"/>
        <v>ZARD EXHAUST 2&gt;1 FULL KIT TRIUMPH STREET SCRAMBLER 2017/19 CROSS VERSION ZTPH079SKR</v>
      </c>
      <c r="G500" t="str">
        <f t="shared" si="136"/>
        <v/>
      </c>
      <c r="H500" t="str">
        <f t="shared" si="148"/>
        <v/>
      </c>
      <c r="I500" t="str">
        <f t="shared" si="149"/>
        <v/>
      </c>
      <c r="J500" t="str">
        <f t="shared" si="150"/>
        <v/>
      </c>
      <c r="K500" t="str">
        <f t="shared" si="151"/>
        <v/>
      </c>
      <c r="L500" t="str">
        <f t="shared" si="137"/>
        <v/>
      </c>
      <c r="M500" t="str">
        <f t="shared" si="138"/>
        <v/>
      </c>
      <c r="R500" t="str">
        <f t="shared" si="139"/>
        <v/>
      </c>
      <c r="S500" t="str">
        <f t="shared" si="140"/>
        <v/>
      </c>
      <c r="U500" t="str">
        <f t="shared" si="141"/>
        <v/>
      </c>
      <c r="V500" t="str">
        <f t="shared" si="142"/>
        <v/>
      </c>
      <c r="W500" s="5" t="str">
        <f t="shared" si="143"/>
        <v/>
      </c>
      <c r="Y500" t="str">
        <f t="shared" si="144"/>
        <v/>
      </c>
      <c r="Z500" t="str">
        <f t="shared" si="145"/>
        <v/>
      </c>
      <c r="AB500" t="str">
        <f t="shared" si="146"/>
        <v>https://shop.officineitalianezard.it/contents/imgs/products/1_2103-scarico%20street%20scrambler%20-%20street%20scrambler%20exhaust%202.jpg</v>
      </c>
      <c r="AE500" t="b">
        <v>0</v>
      </c>
    </row>
    <row r="501" spans="1:31" x14ac:dyDescent="0.2">
      <c r="A501" t="str">
        <f t="shared" si="133"/>
        <v>https://shop.officineitalianezard.it/en/triumph-street-scrambler-exhaust-zard-4/</v>
      </c>
      <c r="B501" t="b">
        <f>COUNTIF($A$2:$A501, A501)&gt;1</f>
        <v>1</v>
      </c>
      <c r="C501" t="b">
        <f t="shared" si="134"/>
        <v>0</v>
      </c>
      <c r="D501">
        <f>VLOOKUP(A501,variant_counts!A:B, 2, FALSE)</f>
        <v>2</v>
      </c>
      <c r="E501" t="str">
        <f t="shared" si="147"/>
        <v>zard-exhaust-21-full-kit-triumph-street-scrambler-201719-crossversion-ztph079skr</v>
      </c>
      <c r="F501" t="str">
        <f t="shared" si="135"/>
        <v>ZARD EXHAUST 2&gt;1 FULL KIT TRIUMPH STREET SCRAMBLER 2017/19 CROSS VERSION ZTPH079SKR</v>
      </c>
      <c r="G501" t="str">
        <f t="shared" si="136"/>
        <v/>
      </c>
      <c r="H501" t="str">
        <f t="shared" si="148"/>
        <v/>
      </c>
      <c r="I501" t="str">
        <f t="shared" si="149"/>
        <v/>
      </c>
      <c r="J501" t="str">
        <f t="shared" si="150"/>
        <v/>
      </c>
      <c r="K501" t="str">
        <f t="shared" si="151"/>
        <v/>
      </c>
      <c r="L501" t="str">
        <f t="shared" si="137"/>
        <v/>
      </c>
      <c r="M501" t="str">
        <f t="shared" si="138"/>
        <v/>
      </c>
      <c r="R501" t="str">
        <f t="shared" si="139"/>
        <v/>
      </c>
      <c r="S501" t="str">
        <f t="shared" si="140"/>
        <v/>
      </c>
      <c r="U501" t="str">
        <f t="shared" si="141"/>
        <v/>
      </c>
      <c r="V501" t="str">
        <f t="shared" si="142"/>
        <v/>
      </c>
      <c r="W501" s="5" t="str">
        <f t="shared" si="143"/>
        <v/>
      </c>
      <c r="Y501" t="str">
        <f t="shared" si="144"/>
        <v/>
      </c>
      <c r="Z501" t="str">
        <f t="shared" si="145"/>
        <v/>
      </c>
      <c r="AB501" t="str">
        <f t="shared" si="146"/>
        <v>https://shop.officineitalianezard.it/contents/imgs/products/1_2105-scarico%20street%20scrambler%20-%20street%20scrambler%20exhaust%203.jpg</v>
      </c>
      <c r="AE501" t="b">
        <v>0</v>
      </c>
    </row>
    <row r="502" spans="1:31" x14ac:dyDescent="0.2">
      <c r="A502" t="str">
        <f t="shared" si="133"/>
        <v>https://shop.officineitalianezard.it/en/triumph-street-scrambler-exhaust-zard-4/</v>
      </c>
      <c r="B502" t="b">
        <f>COUNTIF($A$2:$A502, A502)&gt;1</f>
        <v>1</v>
      </c>
      <c r="C502" t="b">
        <f t="shared" si="134"/>
        <v>1</v>
      </c>
      <c r="D502">
        <f>VLOOKUP(A502,variant_counts!A:B, 2, FALSE)</f>
        <v>2</v>
      </c>
      <c r="E502" t="str">
        <f t="shared" si="147"/>
        <v>zard-exhaust-21-full-kit-triumph-street-scrambler-201719-crossversion-ztph079skr</v>
      </c>
      <c r="F502" t="str">
        <f t="shared" si="135"/>
        <v>ZARD EXHAUST 2&gt;1 FULL KIT TRIUMPH STREET SCRAMBLER 2017/19 CROSS VERSION ZTPH079SKR</v>
      </c>
      <c r="G502" t="str">
        <f t="shared" si="136"/>
        <v/>
      </c>
      <c r="H502" t="str">
        <f t="shared" si="148"/>
        <v/>
      </c>
      <c r="I502" t="str">
        <f t="shared" si="149"/>
        <v/>
      </c>
      <c r="J502" t="str">
        <f t="shared" si="150"/>
        <v/>
      </c>
      <c r="K502" t="str">
        <f t="shared" si="151"/>
        <v/>
      </c>
      <c r="L502" t="str">
        <f t="shared" si="137"/>
        <v>Option</v>
      </c>
      <c r="M502" t="str">
        <f t="shared" si="138"/>
        <v>BLACK COATING</v>
      </c>
      <c r="R502" t="str">
        <f t="shared" si="139"/>
        <v>ZTPH079SKR</v>
      </c>
      <c r="S502">
        <f t="shared" si="140"/>
        <v>0</v>
      </c>
      <c r="U502" t="str">
        <f t="shared" si="141"/>
        <v>continue</v>
      </c>
      <c r="V502" t="str">
        <f t="shared" si="142"/>
        <v>manual</v>
      </c>
      <c r="W502" s="5">
        <f t="shared" si="143"/>
        <v>1040.847</v>
      </c>
      <c r="Y502" t="b">
        <f t="shared" si="144"/>
        <v>1</v>
      </c>
      <c r="Z502" t="b">
        <f t="shared" si="145"/>
        <v>0</v>
      </c>
      <c r="AB502" t="str">
        <f t="shared" si="146"/>
        <v/>
      </c>
      <c r="AE502" t="b">
        <v>0</v>
      </c>
    </row>
    <row r="503" spans="1:31" x14ac:dyDescent="0.2">
      <c r="A503" t="str">
        <f t="shared" si="133"/>
        <v>https://shop.officineitalianezard.it/en/triumph-street-scrambler-exhaust-zard-4/</v>
      </c>
      <c r="B503" t="b">
        <f>COUNTIF($A$2:$A503, A503)&gt;1</f>
        <v>1</v>
      </c>
      <c r="C503" t="b">
        <f t="shared" si="134"/>
        <v>1</v>
      </c>
      <c r="D503">
        <f>VLOOKUP(A503,variant_counts!A:B, 2, FALSE)</f>
        <v>2</v>
      </c>
      <c r="E503" t="str">
        <f t="shared" si="147"/>
        <v>zard-exhaust-21-full-kit-triumph-street-scrambler-201719-crossversion-ztph079skr</v>
      </c>
      <c r="F503" t="str">
        <f t="shared" si="135"/>
        <v>ZARD EXHAUST 2&gt;1 FULL KIT TRIUMPH STREET SCRAMBLER 2017/19 CROSS VERSION ZTPH079SKR</v>
      </c>
      <c r="G503" t="str">
        <f t="shared" si="136"/>
        <v/>
      </c>
      <c r="H503" t="str">
        <f t="shared" si="148"/>
        <v/>
      </c>
      <c r="I503" t="str">
        <f t="shared" si="149"/>
        <v/>
      </c>
      <c r="J503" t="str">
        <f t="shared" si="150"/>
        <v/>
      </c>
      <c r="K503" t="str">
        <f t="shared" si="151"/>
        <v/>
      </c>
      <c r="L503" t="str">
        <f t="shared" si="137"/>
        <v>Option</v>
      </c>
      <c r="M503" t="str">
        <f t="shared" si="138"/>
        <v>POLISHED</v>
      </c>
      <c r="R503" t="str">
        <f t="shared" si="139"/>
        <v>ZTPH079SKR</v>
      </c>
      <c r="S503">
        <f t="shared" si="140"/>
        <v>0</v>
      </c>
      <c r="U503" t="str">
        <f t="shared" si="141"/>
        <v>continue</v>
      </c>
      <c r="V503" t="str">
        <f t="shared" si="142"/>
        <v>manual</v>
      </c>
      <c r="W503" s="5">
        <f t="shared" si="143"/>
        <v>959.78370000000007</v>
      </c>
      <c r="Y503" t="b">
        <f t="shared" si="144"/>
        <v>1</v>
      </c>
      <c r="Z503" t="b">
        <f t="shared" si="145"/>
        <v>0</v>
      </c>
      <c r="AB503" t="str">
        <f t="shared" si="146"/>
        <v/>
      </c>
      <c r="AE503" t="b">
        <v>0</v>
      </c>
    </row>
    <row r="504" spans="1:31" x14ac:dyDescent="0.2">
      <c r="A504" t="str">
        <f t="shared" si="133"/>
        <v>https://shop.officineitalianezard.it/en/triumph-street-scrambler-exhaust-zard-3/</v>
      </c>
      <c r="B504" t="b">
        <f>COUNTIF($A$2:$A504, A504)&gt;1</f>
        <v>0</v>
      </c>
      <c r="C504" t="b">
        <f t="shared" si="134"/>
        <v>0</v>
      </c>
      <c r="D504">
        <f>VLOOKUP(A504,variant_counts!A:B, 2, FALSE)</f>
        <v>2</v>
      </c>
      <c r="E504" t="str">
        <f t="shared" si="147"/>
        <v>zard-exhaust-21-full-kit-triumph-street-scrambler-201719-tiger-70version-ztph080skr</v>
      </c>
      <c r="F504" t="str">
        <f t="shared" si="135"/>
        <v>ZARD EXHAUST 2&gt;1 FULL KIT TRIUMPH STREET SCRAMBLER 2017/19 TIGER 70 VERSION ZTPH080SKR</v>
      </c>
      <c r="G504" t="str">
        <f t="shared" si="136"/>
        <v>&lt;p&gt;2&amp;gt;1 STEEL RACING FULL KIT TIGER 70 VERSION WITH REMOVABLE DB KILLER&lt;/p&gt;
&lt;p&gt;ORIGINAL FULL KIT&amp;nbsp;WEIGHT: 9,8 KG&lt;br&gt;&lt;span&gt;ZARD&amp;nbsp;&lt;/span&gt;&lt;span&gt;FULL KIT&lt;/span&gt;&lt;span&gt;&amp;nbsp;WEIGHT: 3,7&amp;nbsp;&lt;/span&gt;&lt;span&gt;KG&lt;/span&gt;&lt;/p&gt;
&lt;p&gt;THE INSTALLATION OF ZARD EXHAUST DOES NOT IMPLY ANY MODIFICATION TO ECU.&lt;br&gt;THE BOX INCLUDES ALL PARTS FOR THE FITMENT OF ZARD EXHAUST.&lt;/p&gt;
&lt;p&gt;&lt;span&gt;HARD INCREASE, COMPARED TO THE ORIGINAL EXHAUST SYSTEM.&lt;/span&gt;&lt;/p&gt;
&lt;p&gt;&lt;span&gt;ASTONISHING SOUND.&lt;/span&gt;&lt;/p&gt;
&lt;p&gt;&lt;/p&gt;</v>
      </c>
      <c r="H504" t="str">
        <f t="shared" si="148"/>
        <v>ZARD</v>
      </c>
      <c r="I504" t="str">
        <f t="shared" si="149"/>
        <v>Exhaust Pipe</v>
      </c>
      <c r="J504" t="str">
        <f t="shared" si="150"/>
        <v>Test</v>
      </c>
      <c r="K504" t="b">
        <f t="shared" si="151"/>
        <v>0</v>
      </c>
      <c r="L504" t="str">
        <f t="shared" si="137"/>
        <v/>
      </c>
      <c r="M504" t="str">
        <f t="shared" si="138"/>
        <v/>
      </c>
      <c r="R504" t="str">
        <f t="shared" si="139"/>
        <v/>
      </c>
      <c r="S504" t="str">
        <f t="shared" si="140"/>
        <v/>
      </c>
      <c r="U504" t="str">
        <f t="shared" si="141"/>
        <v/>
      </c>
      <c r="V504" t="str">
        <f t="shared" si="142"/>
        <v/>
      </c>
      <c r="W504" s="5" t="str">
        <f t="shared" si="143"/>
        <v/>
      </c>
      <c r="Y504" t="str">
        <f t="shared" si="144"/>
        <v/>
      </c>
      <c r="Z504" t="str">
        <f t="shared" si="145"/>
        <v/>
      </c>
      <c r="AB504" t="str">
        <f t="shared" si="146"/>
        <v>https://shop.officineitalianezard.it/contents/imgs/products/1_2110-scarico%20street%20scrambler%20zard%20exhaust%201.jpg</v>
      </c>
      <c r="AE504" t="b">
        <v>0</v>
      </c>
    </row>
    <row r="505" spans="1:31" x14ac:dyDescent="0.2">
      <c r="A505" t="str">
        <f t="shared" si="133"/>
        <v>https://shop.officineitalianezard.it/en/triumph-street-scrambler-exhaust-zard-3/</v>
      </c>
      <c r="B505" t="b">
        <f>COUNTIF($A$2:$A505, A505)&gt;1</f>
        <v>1</v>
      </c>
      <c r="C505" t="b">
        <f t="shared" si="134"/>
        <v>0</v>
      </c>
      <c r="D505">
        <f>VLOOKUP(A505,variant_counts!A:B, 2, FALSE)</f>
        <v>2</v>
      </c>
      <c r="E505" t="str">
        <f t="shared" si="147"/>
        <v>zard-exhaust-21-full-kit-triumph-street-scrambler-201719-tiger-70version-ztph080skr</v>
      </c>
      <c r="F505" t="str">
        <f t="shared" si="135"/>
        <v>ZARD EXHAUST 2&gt;1 FULL KIT TRIUMPH STREET SCRAMBLER 2017/19 TIGER 70 VERSION ZTPH080SKR</v>
      </c>
      <c r="G505" t="str">
        <f t="shared" si="136"/>
        <v/>
      </c>
      <c r="H505" t="str">
        <f t="shared" si="148"/>
        <v/>
      </c>
      <c r="I505" t="str">
        <f t="shared" si="149"/>
        <v/>
      </c>
      <c r="J505" t="str">
        <f t="shared" si="150"/>
        <v/>
      </c>
      <c r="K505" t="str">
        <f t="shared" si="151"/>
        <v/>
      </c>
      <c r="L505" t="str">
        <f t="shared" si="137"/>
        <v/>
      </c>
      <c r="M505" t="str">
        <f t="shared" si="138"/>
        <v/>
      </c>
      <c r="R505" t="str">
        <f t="shared" si="139"/>
        <v/>
      </c>
      <c r="S505" t="str">
        <f t="shared" si="140"/>
        <v/>
      </c>
      <c r="U505" t="str">
        <f t="shared" si="141"/>
        <v/>
      </c>
      <c r="V505" t="str">
        <f t="shared" si="142"/>
        <v/>
      </c>
      <c r="W505" s="5" t="str">
        <f t="shared" si="143"/>
        <v/>
      </c>
      <c r="Y505" t="str">
        <f t="shared" si="144"/>
        <v/>
      </c>
      <c r="Z505" t="str">
        <f t="shared" si="145"/>
        <v/>
      </c>
      <c r="AB505" t="str">
        <f t="shared" si="146"/>
        <v>https://shop.officineitalianezard.it/contents/imgs/products/1_2109-scarico%20street%20scrambler%20zard%20exhaust%202.jpg</v>
      </c>
      <c r="AE505" t="b">
        <v>0</v>
      </c>
    </row>
    <row r="506" spans="1:31" x14ac:dyDescent="0.2">
      <c r="A506" t="str">
        <f t="shared" si="133"/>
        <v>https://shop.officineitalianezard.it/en/triumph-street-scrambler-exhaust-zard-3/</v>
      </c>
      <c r="B506" t="b">
        <f>COUNTIF($A$2:$A506, A506)&gt;1</f>
        <v>1</v>
      </c>
      <c r="C506" t="b">
        <f t="shared" si="134"/>
        <v>0</v>
      </c>
      <c r="D506">
        <f>VLOOKUP(A506,variant_counts!A:B, 2, FALSE)</f>
        <v>2</v>
      </c>
      <c r="E506" t="str">
        <f t="shared" si="147"/>
        <v>zard-exhaust-21-full-kit-triumph-street-scrambler-201719-tiger-70version-ztph080skr</v>
      </c>
      <c r="F506" t="str">
        <f t="shared" si="135"/>
        <v>ZARD EXHAUST 2&gt;1 FULL KIT TRIUMPH STREET SCRAMBLER 2017/19 TIGER 70 VERSION ZTPH080SKR</v>
      </c>
      <c r="G506" t="str">
        <f t="shared" si="136"/>
        <v/>
      </c>
      <c r="H506" t="str">
        <f t="shared" si="148"/>
        <v/>
      </c>
      <c r="I506" t="str">
        <f t="shared" si="149"/>
        <v/>
      </c>
      <c r="J506" t="str">
        <f t="shared" si="150"/>
        <v/>
      </c>
      <c r="K506" t="str">
        <f t="shared" si="151"/>
        <v/>
      </c>
      <c r="L506" t="str">
        <f t="shared" si="137"/>
        <v/>
      </c>
      <c r="M506" t="str">
        <f t="shared" si="138"/>
        <v/>
      </c>
      <c r="R506" t="str">
        <f t="shared" si="139"/>
        <v/>
      </c>
      <c r="S506" t="str">
        <f t="shared" si="140"/>
        <v/>
      </c>
      <c r="U506" t="str">
        <f t="shared" si="141"/>
        <v/>
      </c>
      <c r="V506" t="str">
        <f t="shared" si="142"/>
        <v/>
      </c>
      <c r="W506" s="5" t="str">
        <f t="shared" si="143"/>
        <v/>
      </c>
      <c r="Y506" t="str">
        <f t="shared" si="144"/>
        <v/>
      </c>
      <c r="Z506" t="str">
        <f t="shared" si="145"/>
        <v/>
      </c>
      <c r="AB506" t="str">
        <f t="shared" si="146"/>
        <v>https://shop.officineitalianezard.it/contents/imgs/products/1_2164-scarico%20street%20scrambler%20zard%20-%204.jpg</v>
      </c>
      <c r="AE506" t="b">
        <v>0</v>
      </c>
    </row>
    <row r="507" spans="1:31" x14ac:dyDescent="0.2">
      <c r="A507" t="str">
        <f t="shared" si="133"/>
        <v>https://shop.officineitalianezard.it/en/triumph-street-scrambler-exhaust-zard-3/</v>
      </c>
      <c r="B507" t="b">
        <f>COUNTIF($A$2:$A507, A507)&gt;1</f>
        <v>1</v>
      </c>
      <c r="C507" t="b">
        <f t="shared" si="134"/>
        <v>0</v>
      </c>
      <c r="D507">
        <f>VLOOKUP(A507,variant_counts!A:B, 2, FALSE)</f>
        <v>2</v>
      </c>
      <c r="E507" t="str">
        <f t="shared" si="147"/>
        <v>zard-exhaust-21-full-kit-triumph-street-scrambler-201719-tiger-70version-ztph080skr</v>
      </c>
      <c r="F507" t="str">
        <f t="shared" si="135"/>
        <v>ZARD EXHAUST 2&gt;1 FULL KIT TRIUMPH STREET SCRAMBLER 2017/19 TIGER 70 VERSION ZTPH080SKR</v>
      </c>
      <c r="G507" t="str">
        <f t="shared" si="136"/>
        <v/>
      </c>
      <c r="H507" t="str">
        <f t="shared" si="148"/>
        <v/>
      </c>
      <c r="I507" t="str">
        <f t="shared" si="149"/>
        <v/>
      </c>
      <c r="J507" t="str">
        <f t="shared" si="150"/>
        <v/>
      </c>
      <c r="K507" t="str">
        <f t="shared" si="151"/>
        <v/>
      </c>
      <c r="L507" t="str">
        <f t="shared" si="137"/>
        <v/>
      </c>
      <c r="M507" t="str">
        <f t="shared" si="138"/>
        <v/>
      </c>
      <c r="R507" t="str">
        <f t="shared" si="139"/>
        <v/>
      </c>
      <c r="S507" t="str">
        <f t="shared" si="140"/>
        <v/>
      </c>
      <c r="U507" t="str">
        <f t="shared" si="141"/>
        <v/>
      </c>
      <c r="V507" t="str">
        <f t="shared" si="142"/>
        <v/>
      </c>
      <c r="W507" s="5" t="str">
        <f t="shared" si="143"/>
        <v/>
      </c>
      <c r="Y507" t="str">
        <f t="shared" si="144"/>
        <v/>
      </c>
      <c r="Z507" t="str">
        <f t="shared" si="145"/>
        <v/>
      </c>
      <c r="AB507" t="str">
        <f t="shared" si="146"/>
        <v>https://shop.officineitalianezard.it/contents/imgs/products/1_2111-scarico%20street%20scrambler%20zard%20exhaust%203.jpg</v>
      </c>
      <c r="AE507" t="b">
        <v>0</v>
      </c>
    </row>
    <row r="508" spans="1:31" x14ac:dyDescent="0.2">
      <c r="A508" t="str">
        <f t="shared" si="133"/>
        <v>https://shop.officineitalianezard.it/en/triumph-street-scrambler-exhaust-zard-3/</v>
      </c>
      <c r="B508" t="b">
        <f>COUNTIF($A$2:$A508, A508)&gt;1</f>
        <v>1</v>
      </c>
      <c r="C508" t="b">
        <f t="shared" si="134"/>
        <v>0</v>
      </c>
      <c r="D508">
        <f>VLOOKUP(A508,variant_counts!A:B, 2, FALSE)</f>
        <v>2</v>
      </c>
      <c r="E508" t="str">
        <f t="shared" si="147"/>
        <v>zard-exhaust-21-full-kit-triumph-street-scrambler-201719-tiger-70version-ztph080skr</v>
      </c>
      <c r="F508" t="str">
        <f t="shared" si="135"/>
        <v>ZARD EXHAUST 2&gt;1 FULL KIT TRIUMPH STREET SCRAMBLER 2017/19 TIGER 70 VERSION ZTPH080SKR</v>
      </c>
      <c r="G508" t="str">
        <f t="shared" si="136"/>
        <v/>
      </c>
      <c r="H508" t="str">
        <f t="shared" si="148"/>
        <v/>
      </c>
      <c r="I508" t="str">
        <f t="shared" si="149"/>
        <v/>
      </c>
      <c r="J508" t="str">
        <f t="shared" si="150"/>
        <v/>
      </c>
      <c r="K508" t="str">
        <f t="shared" si="151"/>
        <v/>
      </c>
      <c r="L508" t="str">
        <f t="shared" si="137"/>
        <v/>
      </c>
      <c r="M508" t="str">
        <f t="shared" si="138"/>
        <v/>
      </c>
      <c r="R508" t="str">
        <f t="shared" si="139"/>
        <v/>
      </c>
      <c r="S508" t="str">
        <f t="shared" si="140"/>
        <v/>
      </c>
      <c r="U508" t="str">
        <f t="shared" si="141"/>
        <v/>
      </c>
      <c r="V508" t="str">
        <f t="shared" si="142"/>
        <v/>
      </c>
      <c r="W508" s="5" t="str">
        <f t="shared" si="143"/>
        <v/>
      </c>
      <c r="Y508" t="str">
        <f t="shared" si="144"/>
        <v/>
      </c>
      <c r="Z508" t="str">
        <f t="shared" si="145"/>
        <v/>
      </c>
      <c r="AB508" t="str">
        <f t="shared" si="146"/>
        <v>https://shop.officineitalianezard.it/contents/imgs/products/1_2378-scarico%20street%20scambler%20zard%20nero.jpg</v>
      </c>
      <c r="AE508" t="b">
        <v>0</v>
      </c>
    </row>
    <row r="509" spans="1:31" x14ac:dyDescent="0.2">
      <c r="A509" t="str">
        <f t="shared" si="133"/>
        <v>https://shop.officineitalianezard.it/en/triumph-street-scrambler-exhaust-zard-3/</v>
      </c>
      <c r="B509" t="b">
        <f>COUNTIF($A$2:$A509, A509)&gt;1</f>
        <v>1</v>
      </c>
      <c r="C509" t="b">
        <f t="shared" si="134"/>
        <v>1</v>
      </c>
      <c r="D509">
        <f>VLOOKUP(A509,variant_counts!A:B, 2, FALSE)</f>
        <v>2</v>
      </c>
      <c r="E509" t="str">
        <f t="shared" si="147"/>
        <v>zard-exhaust-21-full-kit-triumph-street-scrambler-201719-tiger-70version-ztph080skr</v>
      </c>
      <c r="F509" t="str">
        <f t="shared" si="135"/>
        <v>ZARD EXHAUST 2&gt;1 FULL KIT TRIUMPH STREET SCRAMBLER 2017/19 TIGER 70 VERSION ZTPH080SKR</v>
      </c>
      <c r="G509" t="str">
        <f t="shared" si="136"/>
        <v/>
      </c>
      <c r="H509" t="str">
        <f t="shared" si="148"/>
        <v/>
      </c>
      <c r="I509" t="str">
        <f t="shared" si="149"/>
        <v/>
      </c>
      <c r="J509" t="str">
        <f t="shared" si="150"/>
        <v/>
      </c>
      <c r="K509" t="str">
        <f t="shared" si="151"/>
        <v/>
      </c>
      <c r="L509" t="str">
        <f t="shared" si="137"/>
        <v>Option</v>
      </c>
      <c r="M509" t="str">
        <f t="shared" si="138"/>
        <v>BLACK COATING</v>
      </c>
      <c r="R509" t="str">
        <f t="shared" si="139"/>
        <v>ZTPH080SKR</v>
      </c>
      <c r="S509">
        <f t="shared" si="140"/>
        <v>0</v>
      </c>
      <c r="U509" t="str">
        <f t="shared" si="141"/>
        <v>continue</v>
      </c>
      <c r="V509" t="str">
        <f t="shared" si="142"/>
        <v>manual</v>
      </c>
      <c r="W509" s="5">
        <f t="shared" si="143"/>
        <v>1272.5040000000001</v>
      </c>
      <c r="Y509" t="b">
        <f t="shared" si="144"/>
        <v>1</v>
      </c>
      <c r="Z509" t="b">
        <f t="shared" si="145"/>
        <v>0</v>
      </c>
      <c r="AB509" t="str">
        <f t="shared" si="146"/>
        <v/>
      </c>
      <c r="AE509" t="b">
        <v>0</v>
      </c>
    </row>
    <row r="510" spans="1:31" x14ac:dyDescent="0.2">
      <c r="A510" t="str">
        <f t="shared" si="133"/>
        <v>https://shop.officineitalianezard.it/en/triumph-street-scrambler-exhaust-zard-3/</v>
      </c>
      <c r="B510" t="b">
        <f>COUNTIF($A$2:$A510, A510)&gt;1</f>
        <v>1</v>
      </c>
      <c r="C510" t="b">
        <f t="shared" si="134"/>
        <v>1</v>
      </c>
      <c r="D510">
        <f>VLOOKUP(A510,variant_counts!A:B, 2, FALSE)</f>
        <v>2</v>
      </c>
      <c r="E510" t="str">
        <f t="shared" si="147"/>
        <v>zard-exhaust-21-full-kit-triumph-street-scrambler-201719-tiger-70version-ztph080skr</v>
      </c>
      <c r="F510" t="str">
        <f t="shared" si="135"/>
        <v>ZARD EXHAUST 2&gt;1 FULL KIT TRIUMPH STREET SCRAMBLER 2017/19 TIGER 70 VERSION ZTPH080SKR</v>
      </c>
      <c r="G510" t="str">
        <f t="shared" si="136"/>
        <v/>
      </c>
      <c r="H510" t="str">
        <f t="shared" si="148"/>
        <v/>
      </c>
      <c r="I510" t="str">
        <f t="shared" si="149"/>
        <v/>
      </c>
      <c r="J510" t="str">
        <f t="shared" si="150"/>
        <v/>
      </c>
      <c r="K510" t="str">
        <f t="shared" si="151"/>
        <v/>
      </c>
      <c r="L510" t="str">
        <f t="shared" si="137"/>
        <v>Option</v>
      </c>
      <c r="M510" t="str">
        <f t="shared" si="138"/>
        <v>GOLD VERSION END CAP</v>
      </c>
      <c r="R510" t="str">
        <f t="shared" si="139"/>
        <v>ZTPH080SKR</v>
      </c>
      <c r="S510">
        <f t="shared" si="140"/>
        <v>0</v>
      </c>
      <c r="U510" t="str">
        <f t="shared" si="141"/>
        <v>continue</v>
      </c>
      <c r="V510" t="str">
        <f t="shared" si="142"/>
        <v>manual</v>
      </c>
      <c r="W510" s="5">
        <f t="shared" si="143"/>
        <v>1083.3489000000002</v>
      </c>
      <c r="Y510" t="b">
        <f t="shared" si="144"/>
        <v>1</v>
      </c>
      <c r="Z510" t="b">
        <f t="shared" si="145"/>
        <v>0</v>
      </c>
      <c r="AB510" t="str">
        <f t="shared" si="146"/>
        <v/>
      </c>
      <c r="AE510" t="b">
        <v>0</v>
      </c>
    </row>
    <row r="511" spans="1:31" x14ac:dyDescent="0.2">
      <c r="A511" t="str">
        <f t="shared" si="133"/>
        <v>https://shop.officineitalianezard.it/en/triumph-street-scrambler-exhaust-zard-2/</v>
      </c>
      <c r="B511" t="b">
        <f>COUNTIF($A$2:$A511, A511)&gt;1</f>
        <v>0</v>
      </c>
      <c r="C511" t="b">
        <f t="shared" si="134"/>
        <v>0</v>
      </c>
      <c r="D511">
        <f>VLOOKUP(A511,variant_counts!A:B, 2, FALSE)</f>
        <v>4</v>
      </c>
      <c r="E511" t="str">
        <f t="shared" si="147"/>
        <v>zard-exhaust-21-full-kit-triumph-street-scrambler-201719-conical-version-ztph085skr</v>
      </c>
      <c r="F511" t="str">
        <f t="shared" si="135"/>
        <v>ZARD EXHAUST 2&gt;1 FULL KIT TRIUMPH STREET SCRAMBLER 2017/19 CONICAL VERSION ZTPH085SKR</v>
      </c>
      <c r="G511" t="str">
        <f t="shared" si="136"/>
        <v>&lt;p&gt;2&amp;gt;1 STEEL RACING FULL KIT&amp;nbsp;WITH REMOVABLE DBKILLER&lt;/p&gt;
&lt;p&gt;ORIGINAL FULL KIT&amp;nbsp;WEIGHT: 9,8 KG&lt;br&gt;&lt;span&gt;ZARD&amp;nbsp;&lt;/span&gt;&lt;span&gt;FULL KIT&lt;/span&gt;&lt;span&gt;&amp;nbsp;WEIGHT: 4,2&amp;nbsp;&lt;/span&gt;&lt;span&gt;KG&lt;/span&gt;&lt;/p&gt;
&lt;p&gt;&lt;span&gt;BLACK AND SILVER WIRE MESH&amp;nbsp;IS SUPPLIED WITH HEAT SHIELD OF BLACK CERAMIC COATING VERSION.&lt;/span&gt;&lt;/p&gt;
&lt;p&gt;THE INSTALLATION OF ZARD EXHAUST DOES NOT IMPLY ANY MODIFICATION TO ECU.&lt;br&gt;THE BOX INCLUDES ALL PARTS FOR THE FITMENT OF ZARD EXHAUST.&lt;/p&gt;
&lt;p&gt;&lt;span&gt;HARD INCREASE, COMPARED TO THE ORIGINAL EXHAUST SYSTEM.&lt;/span&gt;&lt;/p&gt;
&lt;p&gt;&lt;span&gt;ASTONISHING SOUND.&lt;/span&gt;&lt;/p&gt;
&lt;p&gt;&lt;/p&gt;</v>
      </c>
      <c r="H511" t="str">
        <f t="shared" si="148"/>
        <v>ZARD</v>
      </c>
      <c r="I511" t="str">
        <f t="shared" si="149"/>
        <v>Exhaust Pipe</v>
      </c>
      <c r="J511" t="str">
        <f t="shared" si="150"/>
        <v>Test</v>
      </c>
      <c r="K511" t="b">
        <f t="shared" si="151"/>
        <v>0</v>
      </c>
      <c r="L511" t="str">
        <f t="shared" si="137"/>
        <v/>
      </c>
      <c r="M511" t="str">
        <f t="shared" si="138"/>
        <v/>
      </c>
      <c r="R511" t="str">
        <f t="shared" si="139"/>
        <v/>
      </c>
      <c r="S511" t="str">
        <f t="shared" si="140"/>
        <v/>
      </c>
      <c r="U511" t="str">
        <f t="shared" si="141"/>
        <v/>
      </c>
      <c r="V511" t="str">
        <f t="shared" si="142"/>
        <v/>
      </c>
      <c r="W511" s="5" t="str">
        <f t="shared" si="143"/>
        <v/>
      </c>
      <c r="Y511" t="str">
        <f t="shared" si="144"/>
        <v/>
      </c>
      <c r="Z511" t="str">
        <f t="shared" si="145"/>
        <v/>
      </c>
      <c r="AB511" t="str">
        <f t="shared" si="146"/>
        <v>https://shop.officineitalianezard.it/contents/imgs/products/1_2140-scarico%20street%20scrambler%20zard%20street%20scrambker%20exhaust%201.jpg</v>
      </c>
      <c r="AE511" t="b">
        <v>0</v>
      </c>
    </row>
    <row r="512" spans="1:31" x14ac:dyDescent="0.2">
      <c r="A512" t="str">
        <f t="shared" si="133"/>
        <v>https://shop.officineitalianezard.it/en/triumph-street-scrambler-exhaust-zard-2/</v>
      </c>
      <c r="B512" t="b">
        <f>COUNTIF($A$2:$A512, A512)&gt;1</f>
        <v>1</v>
      </c>
      <c r="C512" t="b">
        <f t="shared" si="134"/>
        <v>0</v>
      </c>
      <c r="D512">
        <f>VLOOKUP(A512,variant_counts!A:B, 2, FALSE)</f>
        <v>4</v>
      </c>
      <c r="E512" t="str">
        <f t="shared" si="147"/>
        <v>zard-exhaust-21-full-kit-triumph-street-scrambler-201719-conical-version-ztph085skr</v>
      </c>
      <c r="F512" t="str">
        <f t="shared" si="135"/>
        <v>ZARD EXHAUST 2&gt;1 FULL KIT TRIUMPH STREET SCRAMBLER 2017/19 CONICAL VERSION ZTPH085SKR</v>
      </c>
      <c r="G512" t="str">
        <f t="shared" si="136"/>
        <v/>
      </c>
      <c r="H512" t="str">
        <f t="shared" si="148"/>
        <v/>
      </c>
      <c r="I512" t="str">
        <f t="shared" si="149"/>
        <v/>
      </c>
      <c r="J512" t="str">
        <f t="shared" si="150"/>
        <v/>
      </c>
      <c r="K512" t="str">
        <f t="shared" si="151"/>
        <v/>
      </c>
      <c r="L512" t="str">
        <f t="shared" si="137"/>
        <v/>
      </c>
      <c r="M512" t="str">
        <f t="shared" si="138"/>
        <v/>
      </c>
      <c r="R512" t="str">
        <f t="shared" si="139"/>
        <v/>
      </c>
      <c r="S512" t="str">
        <f t="shared" si="140"/>
        <v/>
      </c>
      <c r="U512" t="str">
        <f t="shared" si="141"/>
        <v/>
      </c>
      <c r="V512" t="str">
        <f t="shared" si="142"/>
        <v/>
      </c>
      <c r="W512" s="5" t="str">
        <f t="shared" si="143"/>
        <v/>
      </c>
      <c r="Y512" t="str">
        <f t="shared" si="144"/>
        <v/>
      </c>
      <c r="Z512" t="str">
        <f t="shared" si="145"/>
        <v/>
      </c>
      <c r="AB512" t="str">
        <f t="shared" si="146"/>
        <v>https://shop.officineitalianezard.it/contents/imgs/products/1_2139-scarico%20street%20scrambler%20zard%20street%20scrambker%20exhaust%202.jpg</v>
      </c>
      <c r="AE512" t="b">
        <v>0</v>
      </c>
    </row>
    <row r="513" spans="1:31" x14ac:dyDescent="0.2">
      <c r="A513" t="str">
        <f t="shared" si="133"/>
        <v>https://shop.officineitalianezard.it/en/triumph-street-scrambler-exhaust-zard-2/</v>
      </c>
      <c r="B513" t="b">
        <f>COUNTIF($A$2:$A513, A513)&gt;1</f>
        <v>1</v>
      </c>
      <c r="C513" t="b">
        <f t="shared" si="134"/>
        <v>0</v>
      </c>
      <c r="D513">
        <f>VLOOKUP(A513,variant_counts!A:B, 2, FALSE)</f>
        <v>4</v>
      </c>
      <c r="E513" t="str">
        <f t="shared" si="147"/>
        <v>zard-exhaust-21-full-kit-triumph-street-scrambler-201719-conical-version-ztph085skr</v>
      </c>
      <c r="F513" t="str">
        <f t="shared" si="135"/>
        <v>ZARD EXHAUST 2&gt;1 FULL KIT TRIUMPH STREET SCRAMBLER 2017/19 CONICAL VERSION ZTPH085SKR</v>
      </c>
      <c r="G513" t="str">
        <f t="shared" si="136"/>
        <v/>
      </c>
      <c r="H513" t="str">
        <f t="shared" si="148"/>
        <v/>
      </c>
      <c r="I513" t="str">
        <f t="shared" si="149"/>
        <v/>
      </c>
      <c r="J513" t="str">
        <f t="shared" si="150"/>
        <v/>
      </c>
      <c r="K513" t="str">
        <f t="shared" si="151"/>
        <v/>
      </c>
      <c r="L513" t="str">
        <f t="shared" si="137"/>
        <v/>
      </c>
      <c r="M513" t="str">
        <f t="shared" si="138"/>
        <v/>
      </c>
      <c r="R513" t="str">
        <f t="shared" si="139"/>
        <v/>
      </c>
      <c r="S513" t="str">
        <f t="shared" si="140"/>
        <v/>
      </c>
      <c r="U513" t="str">
        <f t="shared" si="141"/>
        <v/>
      </c>
      <c r="V513" t="str">
        <f t="shared" si="142"/>
        <v/>
      </c>
      <c r="W513" s="5" t="str">
        <f t="shared" si="143"/>
        <v/>
      </c>
      <c r="Y513" t="str">
        <f t="shared" si="144"/>
        <v/>
      </c>
      <c r="Z513" t="str">
        <f t="shared" si="145"/>
        <v/>
      </c>
      <c r="AB513" t="str">
        <f t="shared" si="146"/>
        <v>https://shop.officineitalianezard.it/contents/imgs/products/1_2141-scarico%20street%20scrambler%20zard%20street%20scrambker%20exhaust%203.jpg</v>
      </c>
      <c r="AE513" t="b">
        <v>0</v>
      </c>
    </row>
    <row r="514" spans="1:31" x14ac:dyDescent="0.2">
      <c r="A514" t="str">
        <f t="shared" ref="A514:A577" si="152">source_product_link_href</f>
        <v>https://shop.officineitalianezard.it/en/triumph-street-scrambler-exhaust-zard-2/</v>
      </c>
      <c r="B514" t="b">
        <f>COUNTIF($A$2:$A514, A514)&gt;1</f>
        <v>1</v>
      </c>
      <c r="C514" t="b">
        <f t="shared" ref="C514:C577" si="153">NOT(ISBLANK(source_option_name))</f>
        <v>0</v>
      </c>
      <c r="D514">
        <f>VLOOKUP(A514,variant_counts!A:B, 2, FALSE)</f>
        <v>4</v>
      </c>
      <c r="E514" t="str">
        <f t="shared" si="147"/>
        <v>zard-exhaust-21-full-kit-triumph-street-scrambler-201719-conical-version-ztph085skr</v>
      </c>
      <c r="F514" t="str">
        <f t="shared" ref="F514:F577" si="154">UPPER("ZARD EXHAUST " &amp; source_title &amp; " " &amp; source_brand &amp; " " &amp; source_bike &amp; " " &amp; source_product_link &amp; " " &amp; source_sku)</f>
        <v>ZARD EXHAUST 2&gt;1 FULL KIT TRIUMPH STREET SCRAMBLER 2017/19 CONICAL VERSION ZTPH085SKR</v>
      </c>
      <c r="G514" t="str">
        <f t="shared" ref="G514:G577" si="155">IF($B514=FALSE, source_description, "")</f>
        <v/>
      </c>
      <c r="H514" t="str">
        <f t="shared" si="148"/>
        <v/>
      </c>
      <c r="I514" t="str">
        <f t="shared" si="149"/>
        <v/>
      </c>
      <c r="J514" t="str">
        <f t="shared" si="150"/>
        <v/>
      </c>
      <c r="K514" t="str">
        <f t="shared" si="151"/>
        <v/>
      </c>
      <c r="L514" t="str">
        <f t="shared" ref="L514:L577" si="156">IF(AND(variant_count=0,duplicated=FALSE),"Title",IF(OR(AND(variant_count=1,duplicated=FALSE), source_option_name&lt;&gt;""), "Option", ""))</f>
        <v/>
      </c>
      <c r="M514" t="str">
        <f t="shared" ref="M514:M577" si="157">IF(option1_name="Title", "Default Title", IF(AND(option1_name="Option",ISBLANK(source_option_name)),"DEFAULT",IF(ISBLANK(source_option_name), "", source_option_name)))</f>
        <v/>
      </c>
      <c r="R514" t="str">
        <f t="shared" ref="R514:R577" si="158">IF(option1_name &lt;&gt; "", source_sku, "")</f>
        <v/>
      </c>
      <c r="S514" t="str">
        <f t="shared" ref="S514:S577" si="159">IF(option1_name &lt;&gt; "", 0, "")</f>
        <v/>
      </c>
      <c r="U514" t="str">
        <f t="shared" ref="U514:U577" si="160">IF(option1_name &lt;&gt; "", "continue", "")</f>
        <v/>
      </c>
      <c r="V514" t="str">
        <f t="shared" ref="V514:V577" si="161">IF(option1_name &lt;&gt; "", "manual", "")</f>
        <v/>
      </c>
      <c r="W514" s="5" t="str">
        <f t="shared" ref="W514:W577" si="162">IF(option1_name&lt;&gt;"",(source_price_original+source_option_price)*eur_usd,"")</f>
        <v/>
      </c>
      <c r="Y514" t="str">
        <f t="shared" ref="Y514:Y577" si="163">IF(option1_name&lt;&gt;"",TRUE,"")</f>
        <v/>
      </c>
      <c r="Z514" t="str">
        <f t="shared" ref="Z514:Z577" si="164">IF(option1_name&lt;&gt;"",FALSE,"")</f>
        <v/>
      </c>
      <c r="AB514" t="str">
        <f t="shared" ref="AB514:AB577" si="165">IF(ISBLANK(source_image), "", source_image)</f>
        <v>https://shop.officineitalianezard.it/contents/imgs/products/1_2293-scarico%20street%20scrambler%20paracalore%20neri.jpg</v>
      </c>
      <c r="AE514" t="b">
        <v>0</v>
      </c>
    </row>
    <row r="515" spans="1:31" x14ac:dyDescent="0.2">
      <c r="A515" t="str">
        <f t="shared" si="152"/>
        <v>https://shop.officineitalianezard.it/en/triumph-street-scrambler-exhaust-zard-2/</v>
      </c>
      <c r="B515" t="b">
        <f>COUNTIF($A$2:$A515, A515)&gt;1</f>
        <v>1</v>
      </c>
      <c r="C515" t="b">
        <f t="shared" si="153"/>
        <v>0</v>
      </c>
      <c r="D515">
        <f>VLOOKUP(A515,variant_counts!A:B, 2, FALSE)</f>
        <v>4</v>
      </c>
      <c r="E515" t="str">
        <f t="shared" ref="E515:E578" si="166">FormatShopifyHandle(F515)</f>
        <v>zard-exhaust-21-full-kit-triumph-street-scrambler-201719-conical-version-ztph085skr</v>
      </c>
      <c r="F515" t="str">
        <f t="shared" si="154"/>
        <v>ZARD EXHAUST 2&gt;1 FULL KIT TRIUMPH STREET SCRAMBLER 2017/19 CONICAL VERSION ZTPH085SKR</v>
      </c>
      <c r="G515" t="str">
        <f t="shared" si="155"/>
        <v/>
      </c>
      <c r="H515" t="str">
        <f t="shared" ref="H515:H578" si="167">IF($B515=FALSE, "ZARD", "")</f>
        <v/>
      </c>
      <c r="I515" t="str">
        <f t="shared" ref="I515:I578" si="168">IF($B515=FALSE, "Exhaust Pipe", "")</f>
        <v/>
      </c>
      <c r="J515" t="str">
        <f t="shared" ref="J515:J578" si="169">IF($B515=FALSE, "Test", "")</f>
        <v/>
      </c>
      <c r="K515" t="str">
        <f t="shared" ref="K515:K578" si="170">IF($B515=FALSE, FALSE, "")</f>
        <v/>
      </c>
      <c r="L515" t="str">
        <f t="shared" si="156"/>
        <v/>
      </c>
      <c r="M515" t="str">
        <f t="shared" si="157"/>
        <v/>
      </c>
      <c r="R515" t="str">
        <f t="shared" si="158"/>
        <v/>
      </c>
      <c r="S515" t="str">
        <f t="shared" si="159"/>
        <v/>
      </c>
      <c r="U515" t="str">
        <f t="shared" si="160"/>
        <v/>
      </c>
      <c r="V515" t="str">
        <f t="shared" si="161"/>
        <v/>
      </c>
      <c r="W515" s="5" t="str">
        <f t="shared" si="162"/>
        <v/>
      </c>
      <c r="Y515" t="str">
        <f t="shared" si="163"/>
        <v/>
      </c>
      <c r="Z515" t="str">
        <f t="shared" si="164"/>
        <v/>
      </c>
      <c r="AB515" t="str">
        <f t="shared" si="165"/>
        <v>https://shop.officineitalianezard.it/contents/imgs/products/1_2294-scarico%20street%20scrambler%20zard.jpg</v>
      </c>
      <c r="AE515" t="b">
        <v>0</v>
      </c>
    </row>
    <row r="516" spans="1:31" x14ac:dyDescent="0.2">
      <c r="A516" t="str">
        <f t="shared" si="152"/>
        <v>https://shop.officineitalianezard.it/en/triumph-street-scrambler-exhaust-zard-2/</v>
      </c>
      <c r="B516" t="b">
        <f>COUNTIF($A$2:$A516, A516)&gt;1</f>
        <v>1</v>
      </c>
      <c r="C516" t="b">
        <f t="shared" si="153"/>
        <v>0</v>
      </c>
      <c r="D516">
        <f>VLOOKUP(A516,variant_counts!A:B, 2, FALSE)</f>
        <v>4</v>
      </c>
      <c r="E516" t="str">
        <f t="shared" si="166"/>
        <v>zard-exhaust-21-full-kit-triumph-street-scrambler-201719-conical-version-ztph085skr</v>
      </c>
      <c r="F516" t="str">
        <f t="shared" si="154"/>
        <v>ZARD EXHAUST 2&gt;1 FULL KIT TRIUMPH STREET SCRAMBLER 2017/19 CONICAL VERSION ZTPH085SKR</v>
      </c>
      <c r="G516" t="str">
        <f t="shared" si="155"/>
        <v/>
      </c>
      <c r="H516" t="str">
        <f t="shared" si="167"/>
        <v/>
      </c>
      <c r="I516" t="str">
        <f t="shared" si="168"/>
        <v/>
      </c>
      <c r="J516" t="str">
        <f t="shared" si="169"/>
        <v/>
      </c>
      <c r="K516" t="str">
        <f t="shared" si="170"/>
        <v/>
      </c>
      <c r="L516" t="str">
        <f t="shared" si="156"/>
        <v/>
      </c>
      <c r="M516" t="str">
        <f t="shared" si="157"/>
        <v/>
      </c>
      <c r="R516" t="str">
        <f t="shared" si="158"/>
        <v/>
      </c>
      <c r="S516" t="str">
        <f t="shared" si="159"/>
        <v/>
      </c>
      <c r="U516" t="str">
        <f t="shared" si="160"/>
        <v/>
      </c>
      <c r="V516" t="str">
        <f t="shared" si="161"/>
        <v/>
      </c>
      <c r="W516" s="5" t="str">
        <f t="shared" si="162"/>
        <v/>
      </c>
      <c r="Y516" t="str">
        <f t="shared" si="163"/>
        <v/>
      </c>
      <c r="Z516" t="str">
        <f t="shared" si="164"/>
        <v/>
      </c>
      <c r="AB516" t="str">
        <f t="shared" si="165"/>
        <v>https://shop.officineitalianezard.it/contents/imgs/products/1_2295-street%20scrambler%20exhaust.jpg</v>
      </c>
      <c r="AE516" t="b">
        <v>0</v>
      </c>
    </row>
    <row r="517" spans="1:31" x14ac:dyDescent="0.2">
      <c r="A517" t="str">
        <f t="shared" si="152"/>
        <v>https://shop.officineitalianezard.it/en/triumph-street-scrambler-exhaust-zard-2/</v>
      </c>
      <c r="B517" t="b">
        <f>COUNTIF($A$2:$A517, A517)&gt;1</f>
        <v>1</v>
      </c>
      <c r="C517" t="b">
        <f t="shared" si="153"/>
        <v>1</v>
      </c>
      <c r="D517">
        <f>VLOOKUP(A517,variant_counts!A:B, 2, FALSE)</f>
        <v>4</v>
      </c>
      <c r="E517" t="str">
        <f t="shared" si="166"/>
        <v>zard-exhaust-21-full-kit-triumph-street-scrambler-201719-conical-version-ztph085skr</v>
      </c>
      <c r="F517" t="str">
        <f t="shared" si="154"/>
        <v>ZARD EXHAUST 2&gt;1 FULL KIT TRIUMPH STREET SCRAMBLER 2017/19 CONICAL VERSION ZTPH085SKR</v>
      </c>
      <c r="G517" t="str">
        <f t="shared" si="155"/>
        <v/>
      </c>
      <c r="H517" t="str">
        <f t="shared" si="167"/>
        <v/>
      </c>
      <c r="I517" t="str">
        <f t="shared" si="168"/>
        <v/>
      </c>
      <c r="J517" t="str">
        <f t="shared" si="169"/>
        <v/>
      </c>
      <c r="K517" t="str">
        <f t="shared" si="170"/>
        <v/>
      </c>
      <c r="L517" t="str">
        <f t="shared" si="156"/>
        <v>Option</v>
      </c>
      <c r="M517" t="str">
        <f t="shared" si="157"/>
        <v>BLACK COATING</v>
      </c>
      <c r="R517" t="str">
        <f t="shared" si="158"/>
        <v>ZTPH085SKR</v>
      </c>
      <c r="S517">
        <f t="shared" si="159"/>
        <v>0</v>
      </c>
      <c r="U517" t="str">
        <f t="shared" si="160"/>
        <v>continue</v>
      </c>
      <c r="V517" t="str">
        <f t="shared" si="161"/>
        <v>manual</v>
      </c>
      <c r="W517" s="5">
        <f t="shared" si="162"/>
        <v>1262.8470000000002</v>
      </c>
      <c r="Y517" t="b">
        <f t="shared" si="163"/>
        <v>1</v>
      </c>
      <c r="Z517" t="b">
        <f t="shared" si="164"/>
        <v>0</v>
      </c>
      <c r="AB517" t="str">
        <f t="shared" si="165"/>
        <v/>
      </c>
      <c r="AE517" t="b">
        <v>0</v>
      </c>
    </row>
    <row r="518" spans="1:31" x14ac:dyDescent="0.2">
      <c r="A518" t="str">
        <f t="shared" si="152"/>
        <v>https://shop.officineitalianezard.it/en/triumph-street-scrambler-exhaust-zard-2/</v>
      </c>
      <c r="B518" t="b">
        <f>COUNTIF($A$2:$A518, A518)&gt;1</f>
        <v>1</v>
      </c>
      <c r="C518" t="b">
        <f t="shared" si="153"/>
        <v>1</v>
      </c>
      <c r="D518">
        <f>VLOOKUP(A518,variant_counts!A:B, 2, FALSE)</f>
        <v>4</v>
      </c>
      <c r="E518" t="str">
        <f t="shared" si="166"/>
        <v>zard-exhaust-21-full-kit-triumph-street-scrambler-201719-conical-version-ztph085skr</v>
      </c>
      <c r="F518" t="str">
        <f t="shared" si="154"/>
        <v>ZARD EXHAUST 2&gt;1 FULL KIT TRIUMPH STREET SCRAMBLER 2017/19 CONICAL VERSION ZTPH085SKR</v>
      </c>
      <c r="G518" t="str">
        <f t="shared" si="155"/>
        <v/>
      </c>
      <c r="H518" t="str">
        <f t="shared" si="167"/>
        <v/>
      </c>
      <c r="I518" t="str">
        <f t="shared" si="168"/>
        <v/>
      </c>
      <c r="J518" t="str">
        <f t="shared" si="169"/>
        <v/>
      </c>
      <c r="K518" t="str">
        <f t="shared" si="170"/>
        <v/>
      </c>
      <c r="L518" t="str">
        <f t="shared" si="156"/>
        <v>Option</v>
      </c>
      <c r="M518" t="str">
        <f t="shared" si="157"/>
        <v>BLACK + STEEL HEAT SHIELD</v>
      </c>
      <c r="R518" t="str">
        <f t="shared" si="158"/>
        <v>ZTPH085SKR</v>
      </c>
      <c r="S518">
        <f t="shared" si="159"/>
        <v>0</v>
      </c>
      <c r="U518" t="str">
        <f t="shared" si="160"/>
        <v>continue</v>
      </c>
      <c r="V518" t="str">
        <f t="shared" si="161"/>
        <v>manual</v>
      </c>
      <c r="W518" s="5">
        <f t="shared" si="162"/>
        <v>1228.4592000000002</v>
      </c>
      <c r="Y518" t="b">
        <f t="shared" si="163"/>
        <v>1</v>
      </c>
      <c r="Z518" t="b">
        <f t="shared" si="164"/>
        <v>0</v>
      </c>
      <c r="AB518" t="str">
        <f t="shared" si="165"/>
        <v/>
      </c>
      <c r="AE518" t="b">
        <v>0</v>
      </c>
    </row>
    <row r="519" spans="1:31" x14ac:dyDescent="0.2">
      <c r="A519" t="str">
        <f t="shared" si="152"/>
        <v>https://shop.officineitalianezard.it/en/triumph-street-scrambler-exhaust-zard-2/</v>
      </c>
      <c r="B519" t="b">
        <f>COUNTIF($A$2:$A519, A519)&gt;1</f>
        <v>1</v>
      </c>
      <c r="C519" t="b">
        <f t="shared" si="153"/>
        <v>1</v>
      </c>
      <c r="D519">
        <f>VLOOKUP(A519,variant_counts!A:B, 2, FALSE)</f>
        <v>4</v>
      </c>
      <c r="E519" t="str">
        <f t="shared" si="166"/>
        <v>zard-exhaust-21-full-kit-triumph-street-scrambler-201719-conical-version-ztph085skr</v>
      </c>
      <c r="F519" t="str">
        <f t="shared" si="154"/>
        <v>ZARD EXHAUST 2&gt;1 FULL KIT TRIUMPH STREET SCRAMBLER 2017/19 CONICAL VERSION ZTPH085SKR</v>
      </c>
      <c r="G519" t="str">
        <f t="shared" si="155"/>
        <v/>
      </c>
      <c r="H519" t="str">
        <f t="shared" si="167"/>
        <v/>
      </c>
      <c r="I519" t="str">
        <f t="shared" si="168"/>
        <v/>
      </c>
      <c r="J519" t="str">
        <f t="shared" si="169"/>
        <v/>
      </c>
      <c r="K519" t="str">
        <f t="shared" si="170"/>
        <v/>
      </c>
      <c r="L519" t="str">
        <f t="shared" si="156"/>
        <v>Option</v>
      </c>
      <c r="M519" t="str">
        <f t="shared" si="157"/>
        <v>MIRROR POLISHING</v>
      </c>
      <c r="R519" t="str">
        <f t="shared" si="158"/>
        <v>ZTPH085SKR</v>
      </c>
      <c r="S519">
        <f t="shared" si="159"/>
        <v>0</v>
      </c>
      <c r="U519" t="str">
        <f t="shared" si="160"/>
        <v>continue</v>
      </c>
      <c r="V519" t="str">
        <f t="shared" si="161"/>
        <v>manual</v>
      </c>
      <c r="W519" s="5">
        <f t="shared" si="162"/>
        <v>1181.7837000000002</v>
      </c>
      <c r="Y519" t="b">
        <f t="shared" si="163"/>
        <v>1</v>
      </c>
      <c r="Z519" t="b">
        <f t="shared" si="164"/>
        <v>0</v>
      </c>
      <c r="AB519" t="str">
        <f t="shared" si="165"/>
        <v/>
      </c>
      <c r="AE519" t="b">
        <v>0</v>
      </c>
    </row>
    <row r="520" spans="1:31" x14ac:dyDescent="0.2">
      <c r="A520" t="str">
        <f t="shared" si="152"/>
        <v>https://shop.officineitalianezard.it/en/triumph-street-scrambler-exhaust-zard-2/</v>
      </c>
      <c r="B520" t="b">
        <f>COUNTIF($A$2:$A520, A520)&gt;1</f>
        <v>1</v>
      </c>
      <c r="C520" t="b">
        <f t="shared" si="153"/>
        <v>1</v>
      </c>
      <c r="D520">
        <f>VLOOKUP(A520,variant_counts!A:B, 2, FALSE)</f>
        <v>4</v>
      </c>
      <c r="E520" t="str">
        <f t="shared" si="166"/>
        <v>zard-exhaust-21-full-kit-triumph-street-scrambler-201719-conical-version-ztph085skr</v>
      </c>
      <c r="F520" t="str">
        <f t="shared" si="154"/>
        <v>ZARD EXHAUST 2&gt;1 FULL KIT TRIUMPH STREET SCRAMBLER 2017/19 CONICAL VERSION ZTPH085SKR</v>
      </c>
      <c r="G520" t="str">
        <f t="shared" si="155"/>
        <v/>
      </c>
      <c r="H520" t="str">
        <f t="shared" si="167"/>
        <v/>
      </c>
      <c r="I520" t="str">
        <f t="shared" si="168"/>
        <v/>
      </c>
      <c r="J520" t="str">
        <f t="shared" si="169"/>
        <v/>
      </c>
      <c r="K520" t="str">
        <f t="shared" si="170"/>
        <v/>
      </c>
      <c r="L520" t="str">
        <f t="shared" si="156"/>
        <v>Option</v>
      </c>
      <c r="M520" t="str">
        <f t="shared" si="157"/>
        <v>BLACK HEAT SHIELDS</v>
      </c>
      <c r="R520" t="str">
        <f t="shared" si="158"/>
        <v>ZTPH085SKR</v>
      </c>
      <c r="S520">
        <f t="shared" si="159"/>
        <v>0</v>
      </c>
      <c r="U520" t="str">
        <f t="shared" si="160"/>
        <v>continue</v>
      </c>
      <c r="V520" t="str">
        <f t="shared" si="161"/>
        <v>manual</v>
      </c>
      <c r="W520" s="5">
        <f t="shared" si="162"/>
        <v>1134.2868000000001</v>
      </c>
      <c r="Y520" t="b">
        <f t="shared" si="163"/>
        <v>1</v>
      </c>
      <c r="Z520" t="b">
        <f t="shared" si="164"/>
        <v>0</v>
      </c>
      <c r="AB520" t="str">
        <f t="shared" si="165"/>
        <v/>
      </c>
      <c r="AE520" t="b">
        <v>0</v>
      </c>
    </row>
    <row r="521" spans="1:31" x14ac:dyDescent="0.2">
      <c r="A521" t="str">
        <f t="shared" si="152"/>
        <v>https://shop.officineitalianezard.it/en/triumph-street-scrambler-exhaust-zard/</v>
      </c>
      <c r="B521" t="b">
        <f>COUNTIF($A$2:$A521, A521)&gt;1</f>
        <v>0</v>
      </c>
      <c r="C521" t="b">
        <f t="shared" si="153"/>
        <v>0</v>
      </c>
      <c r="D521">
        <f>VLOOKUP(A521,variant_counts!A:B, 2, FALSE)</f>
        <v>3</v>
      </c>
      <c r="E521" t="str">
        <f t="shared" si="166"/>
        <v>zard-exhaust-21-full-kit-triumph-street-scrambler-201719-limited-edition-ztph084skr</v>
      </c>
      <c r="F521" t="str">
        <f t="shared" si="154"/>
        <v>ZARD EXHAUST 2&gt;1 FULL KIT TRIUMPH STREET SCRAMBLER 2017/19 LIMITED EDITION ZTPH084SKR</v>
      </c>
      <c r="G521" t="str">
        <f t="shared" si="155"/>
        <v>&lt;p&gt;2&amp;gt;1 STEEL RACING FULL KIT&amp;nbsp;WITH REMOVABLE DBKILLER&lt;/p&gt;
&lt;p&gt;ORIGINAL FULL KIT&amp;nbsp;WEIGHT: 9,8 KG&lt;br&gt;&lt;span&gt;ZARD&amp;nbsp;&lt;/span&gt;&lt;span&gt;FULL KIT&lt;/span&gt;&lt;span&gt;&amp;nbsp;WEIGHT: 4,4&amp;nbsp;&lt;/span&gt;&lt;span&gt;KG&lt;/span&gt;&lt;/p&gt;
&lt;p&gt;&lt;span&gt;BLACK AND SILVER WIRE MESH&amp;nbsp;IS SUPPLIED WITH HEAT SHIELD OF BLACK CERAMIC COATING VERSION.&lt;/span&gt;&lt;/p&gt;
&lt;p&gt;THE INSTALLATION OF ZARD EXHAUST DOES NOT IMPLY ANY MODIFICATION TO ECU.&lt;br&gt;THE BOX INCLUDES ALL PARTS FOR THE FITMENT OF ZARD EXHAUST.&lt;/p&gt;
&lt;p&gt;&lt;span&gt;HARD INCREASE, COMPARED TO THE ORIGINAL EXHAUST SYSTEM.&lt;/span&gt;&lt;/p&gt;
&lt;p&gt;&lt;span&gt;ASTONISHING SOUND.&lt;/span&gt;&lt;/p&gt;
&lt;p&gt;&lt;/p&gt;</v>
      </c>
      <c r="H521" t="str">
        <f t="shared" si="167"/>
        <v>ZARD</v>
      </c>
      <c r="I521" t="str">
        <f t="shared" si="168"/>
        <v>Exhaust Pipe</v>
      </c>
      <c r="J521" t="str">
        <f t="shared" si="169"/>
        <v>Test</v>
      </c>
      <c r="K521" t="b">
        <f t="shared" si="170"/>
        <v>0</v>
      </c>
      <c r="L521" t="str">
        <f t="shared" si="156"/>
        <v/>
      </c>
      <c r="M521" t="str">
        <f t="shared" si="157"/>
        <v/>
      </c>
      <c r="R521" t="str">
        <f t="shared" si="158"/>
        <v/>
      </c>
      <c r="S521" t="str">
        <f t="shared" si="159"/>
        <v/>
      </c>
      <c r="U521" t="str">
        <f t="shared" si="160"/>
        <v/>
      </c>
      <c r="V521" t="str">
        <f t="shared" si="161"/>
        <v/>
      </c>
      <c r="W521" s="5" t="str">
        <f t="shared" si="162"/>
        <v/>
      </c>
      <c r="Y521" t="str">
        <f t="shared" si="163"/>
        <v/>
      </c>
      <c r="Z521" t="str">
        <f t="shared" si="164"/>
        <v/>
      </c>
      <c r="AB521" t="str">
        <f t="shared" si="165"/>
        <v>https://shop.officineitalianezard.it/contents/imgs/products/1_2134-scarico%20street%20scrambler%20zard%20scarichi%201.jpg</v>
      </c>
      <c r="AE521" t="b">
        <v>0</v>
      </c>
    </row>
    <row r="522" spans="1:31" x14ac:dyDescent="0.2">
      <c r="A522" t="str">
        <f t="shared" si="152"/>
        <v>https://shop.officineitalianezard.it/en/triumph-street-scrambler-exhaust-zard/</v>
      </c>
      <c r="B522" t="b">
        <f>COUNTIF($A$2:$A522, A522)&gt;1</f>
        <v>1</v>
      </c>
      <c r="C522" t="b">
        <f t="shared" si="153"/>
        <v>0</v>
      </c>
      <c r="D522">
        <f>VLOOKUP(A522,variant_counts!A:B, 2, FALSE)</f>
        <v>3</v>
      </c>
      <c r="E522" t="str">
        <f t="shared" si="166"/>
        <v>zard-exhaust-21-full-kit-triumph-street-scrambler-201719-limited-edition-ztph084skr</v>
      </c>
      <c r="F522" t="str">
        <f t="shared" si="154"/>
        <v>ZARD EXHAUST 2&gt;1 FULL KIT TRIUMPH STREET SCRAMBLER 2017/19 LIMITED EDITION ZTPH084SKR</v>
      </c>
      <c r="G522" t="str">
        <f t="shared" si="155"/>
        <v/>
      </c>
      <c r="H522" t="str">
        <f t="shared" si="167"/>
        <v/>
      </c>
      <c r="I522" t="str">
        <f t="shared" si="168"/>
        <v/>
      </c>
      <c r="J522" t="str">
        <f t="shared" si="169"/>
        <v/>
      </c>
      <c r="K522" t="str">
        <f t="shared" si="170"/>
        <v/>
      </c>
      <c r="L522" t="str">
        <f t="shared" si="156"/>
        <v/>
      </c>
      <c r="M522" t="str">
        <f t="shared" si="157"/>
        <v/>
      </c>
      <c r="R522" t="str">
        <f t="shared" si="158"/>
        <v/>
      </c>
      <c r="S522" t="str">
        <f t="shared" si="159"/>
        <v/>
      </c>
      <c r="U522" t="str">
        <f t="shared" si="160"/>
        <v/>
      </c>
      <c r="V522" t="str">
        <f t="shared" si="161"/>
        <v/>
      </c>
      <c r="W522" s="5" t="str">
        <f t="shared" si="162"/>
        <v/>
      </c>
      <c r="Y522" t="str">
        <f t="shared" si="163"/>
        <v/>
      </c>
      <c r="Z522" t="str">
        <f t="shared" si="164"/>
        <v/>
      </c>
      <c r="AB522" t="str">
        <f t="shared" si="165"/>
        <v>https://shop.officineitalianezard.it/contents/imgs/products/1_2133-scarico%20street%20scrambler%20zard%20scarichi%202.jpg</v>
      </c>
      <c r="AE522" t="b">
        <v>0</v>
      </c>
    </row>
    <row r="523" spans="1:31" x14ac:dyDescent="0.2">
      <c r="A523" t="str">
        <f t="shared" si="152"/>
        <v>https://shop.officineitalianezard.it/en/triumph-street-scrambler-exhaust-zard/</v>
      </c>
      <c r="B523" t="b">
        <f>COUNTIF($A$2:$A523, A523)&gt;1</f>
        <v>1</v>
      </c>
      <c r="C523" t="b">
        <f t="shared" si="153"/>
        <v>0</v>
      </c>
      <c r="D523">
        <f>VLOOKUP(A523,variant_counts!A:B, 2, FALSE)</f>
        <v>3</v>
      </c>
      <c r="E523" t="str">
        <f t="shared" si="166"/>
        <v>zard-exhaust-21-full-kit-triumph-street-scrambler-201719-limited-edition-ztph084skr</v>
      </c>
      <c r="F523" t="str">
        <f t="shared" si="154"/>
        <v>ZARD EXHAUST 2&gt;1 FULL KIT TRIUMPH STREET SCRAMBLER 2017/19 LIMITED EDITION ZTPH084SKR</v>
      </c>
      <c r="G523" t="str">
        <f t="shared" si="155"/>
        <v/>
      </c>
      <c r="H523" t="str">
        <f t="shared" si="167"/>
        <v/>
      </c>
      <c r="I523" t="str">
        <f t="shared" si="168"/>
        <v/>
      </c>
      <c r="J523" t="str">
        <f t="shared" si="169"/>
        <v/>
      </c>
      <c r="K523" t="str">
        <f t="shared" si="170"/>
        <v/>
      </c>
      <c r="L523" t="str">
        <f t="shared" si="156"/>
        <v/>
      </c>
      <c r="M523" t="str">
        <f t="shared" si="157"/>
        <v/>
      </c>
      <c r="R523" t="str">
        <f t="shared" si="158"/>
        <v/>
      </c>
      <c r="S523" t="str">
        <f t="shared" si="159"/>
        <v/>
      </c>
      <c r="U523" t="str">
        <f t="shared" si="160"/>
        <v/>
      </c>
      <c r="V523" t="str">
        <f t="shared" si="161"/>
        <v/>
      </c>
      <c r="W523" s="5" t="str">
        <f t="shared" si="162"/>
        <v/>
      </c>
      <c r="Y523" t="str">
        <f t="shared" si="163"/>
        <v/>
      </c>
      <c r="Z523" t="str">
        <f t="shared" si="164"/>
        <v/>
      </c>
      <c r="AB523" t="str">
        <f t="shared" si="165"/>
        <v>https://shop.officineitalianezard.it/contents/imgs/products/1_2186-2135-scarico%20street%20scrambler%20zard%20scarichi%203.jpg</v>
      </c>
      <c r="AE523" t="b">
        <v>0</v>
      </c>
    </row>
    <row r="524" spans="1:31" x14ac:dyDescent="0.2">
      <c r="A524" t="str">
        <f t="shared" si="152"/>
        <v>https://shop.officineitalianezard.it/en/triumph-street-scrambler-exhaust-zard/</v>
      </c>
      <c r="B524" t="b">
        <f>COUNTIF($A$2:$A524, A524)&gt;1</f>
        <v>1</v>
      </c>
      <c r="C524" t="b">
        <f t="shared" si="153"/>
        <v>0</v>
      </c>
      <c r="D524">
        <f>VLOOKUP(A524,variant_counts!A:B, 2, FALSE)</f>
        <v>3</v>
      </c>
      <c r="E524" t="str">
        <f t="shared" si="166"/>
        <v>zard-exhaust-21-full-kit-triumph-street-scrambler-201719-limited-edition-ztph084skr</v>
      </c>
      <c r="F524" t="str">
        <f t="shared" si="154"/>
        <v>ZARD EXHAUST 2&gt;1 FULL KIT TRIUMPH STREET SCRAMBLER 2017/19 LIMITED EDITION ZTPH084SKR</v>
      </c>
      <c r="G524" t="str">
        <f t="shared" si="155"/>
        <v/>
      </c>
      <c r="H524" t="str">
        <f t="shared" si="167"/>
        <v/>
      </c>
      <c r="I524" t="str">
        <f t="shared" si="168"/>
        <v/>
      </c>
      <c r="J524" t="str">
        <f t="shared" si="169"/>
        <v/>
      </c>
      <c r="K524" t="str">
        <f t="shared" si="170"/>
        <v/>
      </c>
      <c r="L524" t="str">
        <f t="shared" si="156"/>
        <v/>
      </c>
      <c r="M524" t="str">
        <f t="shared" si="157"/>
        <v/>
      </c>
      <c r="R524" t="str">
        <f t="shared" si="158"/>
        <v/>
      </c>
      <c r="S524" t="str">
        <f t="shared" si="159"/>
        <v/>
      </c>
      <c r="U524" t="str">
        <f t="shared" si="160"/>
        <v/>
      </c>
      <c r="V524" t="str">
        <f t="shared" si="161"/>
        <v/>
      </c>
      <c r="W524" s="5" t="str">
        <f t="shared" si="162"/>
        <v/>
      </c>
      <c r="Y524" t="str">
        <f t="shared" si="163"/>
        <v/>
      </c>
      <c r="Z524" t="str">
        <f t="shared" si="164"/>
        <v/>
      </c>
      <c r="AB524" t="str">
        <f t="shared" si="165"/>
        <v>https://shop.officineitalianezard.it/contents/imgs/products/1_2297-1067-scarico%20scrambler%20zard2.jpg</v>
      </c>
      <c r="AE524" t="b">
        <v>0</v>
      </c>
    </row>
    <row r="525" spans="1:31" x14ac:dyDescent="0.2">
      <c r="A525" t="str">
        <f t="shared" si="152"/>
        <v>https://shop.officineitalianezard.it/en/triumph-street-scrambler-exhaust-zard/</v>
      </c>
      <c r="B525" t="b">
        <f>COUNTIF($A$2:$A525, A525)&gt;1</f>
        <v>1</v>
      </c>
      <c r="C525" t="b">
        <f t="shared" si="153"/>
        <v>1</v>
      </c>
      <c r="D525">
        <f>VLOOKUP(A525,variant_counts!A:B, 2, FALSE)</f>
        <v>3</v>
      </c>
      <c r="E525" t="str">
        <f t="shared" si="166"/>
        <v>zard-exhaust-21-full-kit-triumph-street-scrambler-201719-limited-edition-ztph084skr</v>
      </c>
      <c r="F525" t="str">
        <f t="shared" si="154"/>
        <v>ZARD EXHAUST 2&gt;1 FULL KIT TRIUMPH STREET SCRAMBLER 2017/19 LIMITED EDITION ZTPH084SKR</v>
      </c>
      <c r="G525" t="str">
        <f t="shared" si="155"/>
        <v/>
      </c>
      <c r="H525" t="str">
        <f t="shared" si="167"/>
        <v/>
      </c>
      <c r="I525" t="str">
        <f t="shared" si="168"/>
        <v/>
      </c>
      <c r="J525" t="str">
        <f t="shared" si="169"/>
        <v/>
      </c>
      <c r="K525" t="str">
        <f t="shared" si="170"/>
        <v/>
      </c>
      <c r="L525" t="str">
        <f t="shared" si="156"/>
        <v>Option</v>
      </c>
      <c r="M525" t="str">
        <f t="shared" si="157"/>
        <v>BLACK COATING</v>
      </c>
      <c r="R525" t="str">
        <f t="shared" si="158"/>
        <v>ZTPH084SKR</v>
      </c>
      <c r="S525">
        <f t="shared" si="159"/>
        <v>0</v>
      </c>
      <c r="U525" t="str">
        <f t="shared" si="160"/>
        <v>continue</v>
      </c>
      <c r="V525" t="str">
        <f t="shared" si="161"/>
        <v>manual</v>
      </c>
      <c r="W525" s="5">
        <f t="shared" si="162"/>
        <v>1215.5388</v>
      </c>
      <c r="Y525" t="b">
        <f t="shared" si="163"/>
        <v>1</v>
      </c>
      <c r="Z525" t="b">
        <f t="shared" si="164"/>
        <v>0</v>
      </c>
      <c r="AB525" t="str">
        <f t="shared" si="165"/>
        <v/>
      </c>
      <c r="AE525" t="b">
        <v>0</v>
      </c>
    </row>
    <row r="526" spans="1:31" x14ac:dyDescent="0.2">
      <c r="A526" t="str">
        <f t="shared" si="152"/>
        <v>https://shop.officineitalianezard.it/en/triumph-street-scrambler-exhaust-zard/</v>
      </c>
      <c r="B526" t="b">
        <f>COUNTIF($A$2:$A526, A526)&gt;1</f>
        <v>1</v>
      </c>
      <c r="C526" t="b">
        <f t="shared" si="153"/>
        <v>1</v>
      </c>
      <c r="D526">
        <f>VLOOKUP(A526,variant_counts!A:B, 2, FALSE)</f>
        <v>3</v>
      </c>
      <c r="E526" t="str">
        <f t="shared" si="166"/>
        <v>zard-exhaust-21-full-kit-triumph-street-scrambler-201719-limited-edition-ztph084skr</v>
      </c>
      <c r="F526" t="str">
        <f t="shared" si="154"/>
        <v>ZARD EXHAUST 2&gt;1 FULL KIT TRIUMPH STREET SCRAMBLER 2017/19 LIMITED EDITION ZTPH084SKR</v>
      </c>
      <c r="G526" t="str">
        <f t="shared" si="155"/>
        <v/>
      </c>
      <c r="H526" t="str">
        <f t="shared" si="167"/>
        <v/>
      </c>
      <c r="I526" t="str">
        <f t="shared" si="168"/>
        <v/>
      </c>
      <c r="J526" t="str">
        <f t="shared" si="169"/>
        <v/>
      </c>
      <c r="K526" t="str">
        <f t="shared" si="170"/>
        <v/>
      </c>
      <c r="L526" t="str">
        <f t="shared" si="156"/>
        <v>Option</v>
      </c>
      <c r="M526" t="str">
        <f t="shared" si="157"/>
        <v>BLACK + STEEL HEAT SHIELD</v>
      </c>
      <c r="R526" t="str">
        <f t="shared" si="158"/>
        <v>ZTPH084SKR</v>
      </c>
      <c r="S526">
        <f t="shared" si="159"/>
        <v>0</v>
      </c>
      <c r="U526" t="str">
        <f t="shared" si="160"/>
        <v>continue</v>
      </c>
      <c r="V526" t="str">
        <f t="shared" si="161"/>
        <v>manual</v>
      </c>
      <c r="W526" s="5">
        <f t="shared" si="162"/>
        <v>1215.5388</v>
      </c>
      <c r="Y526" t="b">
        <f t="shared" si="163"/>
        <v>1</v>
      </c>
      <c r="Z526" t="b">
        <f t="shared" si="164"/>
        <v>0</v>
      </c>
      <c r="AB526" t="str">
        <f t="shared" si="165"/>
        <v/>
      </c>
      <c r="AE526" t="b">
        <v>0</v>
      </c>
    </row>
    <row r="527" spans="1:31" x14ac:dyDescent="0.2">
      <c r="A527" t="str">
        <f t="shared" si="152"/>
        <v>https://shop.officineitalianezard.it/en/triumph-street-scrambler-exhaust-zard/</v>
      </c>
      <c r="B527" t="b">
        <f>COUNTIF($A$2:$A527, A527)&gt;1</f>
        <v>1</v>
      </c>
      <c r="C527" t="b">
        <f t="shared" si="153"/>
        <v>1</v>
      </c>
      <c r="D527">
        <f>VLOOKUP(A527,variant_counts!A:B, 2, FALSE)</f>
        <v>3</v>
      </c>
      <c r="E527" t="str">
        <f t="shared" si="166"/>
        <v>zard-exhaust-21-full-kit-triumph-street-scrambler-201719-limited-edition-ztph084skr</v>
      </c>
      <c r="F527" t="str">
        <f t="shared" si="154"/>
        <v>ZARD EXHAUST 2&gt;1 FULL KIT TRIUMPH STREET SCRAMBLER 2017/19 LIMITED EDITION ZTPH084SKR</v>
      </c>
      <c r="G527" t="str">
        <f t="shared" si="155"/>
        <v/>
      </c>
      <c r="H527" t="str">
        <f t="shared" si="167"/>
        <v/>
      </c>
      <c r="I527" t="str">
        <f t="shared" si="168"/>
        <v/>
      </c>
      <c r="J527" t="str">
        <f t="shared" si="169"/>
        <v/>
      </c>
      <c r="K527" t="str">
        <f t="shared" si="170"/>
        <v/>
      </c>
      <c r="L527" t="str">
        <f t="shared" si="156"/>
        <v>Option</v>
      </c>
      <c r="M527" t="str">
        <f t="shared" si="157"/>
        <v>BLACK HEAT SHIELDS</v>
      </c>
      <c r="R527" t="str">
        <f t="shared" si="158"/>
        <v>ZTPH084SKR</v>
      </c>
      <c r="S527">
        <f t="shared" si="159"/>
        <v>0</v>
      </c>
      <c r="U527" t="str">
        <f t="shared" si="160"/>
        <v>continue</v>
      </c>
      <c r="V527" t="str">
        <f t="shared" si="161"/>
        <v>manual</v>
      </c>
      <c r="W527" s="5">
        <f t="shared" si="162"/>
        <v>1086.9786000000001</v>
      </c>
      <c r="Y527" t="b">
        <f t="shared" si="163"/>
        <v>1</v>
      </c>
      <c r="Z527" t="b">
        <f t="shared" si="164"/>
        <v>0</v>
      </c>
      <c r="AB527" t="str">
        <f t="shared" si="165"/>
        <v/>
      </c>
      <c r="AE527" t="b">
        <v>0</v>
      </c>
    </row>
    <row r="528" spans="1:31" x14ac:dyDescent="0.2">
      <c r="A528" t="str">
        <f t="shared" si="152"/>
        <v>https://shop.officineitalianezard.it/en/triumph-street-scrambler-exhaust-zard-6/</v>
      </c>
      <c r="B528" t="b">
        <f>COUNTIF($A$2:$A528, A528)&gt;1</f>
        <v>0</v>
      </c>
      <c r="C528" t="b">
        <f t="shared" si="153"/>
        <v>0</v>
      </c>
      <c r="D528">
        <f>VLOOKUP(A528,variant_counts!A:B, 2, FALSE)</f>
        <v>3</v>
      </c>
      <c r="E528" t="str">
        <f t="shared" si="166"/>
        <v>zard-exhaust-n-2-slip-on-silencers-triumph-street-scrambler-201719-six-days-ztph086ssr</v>
      </c>
      <c r="F528" t="str">
        <f t="shared" si="154"/>
        <v>ZARD EXHAUST N. 2 SLIP-ON SILENCERS TRIUMPH STREET SCRAMBLER 2017/19 SIX-DAYS ZTPH086SSR</v>
      </c>
      <c r="G528" t="str">
        <f t="shared" si="155"/>
        <v>&lt;p&gt;N. 2 SLIP-ON STEEL SILENCERS WITH REMOVABLE DBKILLERS&lt;/p&gt;
&lt;p&gt;ORIGINAL SILENCERS&amp;nbsp;WEIGHT: 5.4&amp;nbsp;KG&lt;br&gt;&lt;span&gt;ZARD&amp;nbsp;&lt;/span&gt;&lt;span&gt;SILENCERS&lt;/span&gt;&lt;span&gt;: 3.4&amp;nbsp;&lt;/span&gt;&lt;span&gt;KG&lt;/span&gt;&lt;/p&gt;
&lt;p&gt;THE INSTALLATION OF ZARD EXHAUST DOES NOT IMPLY ANY MODIFICATION TO ECU.&lt;br&gt;THE BOX INCLUDES ALL PARTS FOR THE FITMENT OF ZARD EXHAUST.&lt;/p&gt;
&lt;p&gt;&lt;span&gt;SILVER WIRE MESH&amp;nbsp;IS SUPPLIED WITH HEAT SHIELD OF BLACK CERAMIC COATING VERSION.&lt;/span&gt;&lt;/p&gt;
&lt;p&gt;&lt;span&gt;HARD INCREASE, COMPARED TO THE ORIGINAL EXHAUST SYSTEM.&lt;/span&gt;&lt;/p&gt;
&lt;p&gt;&lt;span&gt;ASTONISHING SOUND.&lt;/span&gt;&lt;/p&gt;
&lt;p&gt;&lt;/p&gt;</v>
      </c>
      <c r="H528" t="str">
        <f t="shared" si="167"/>
        <v>ZARD</v>
      </c>
      <c r="I528" t="str">
        <f t="shared" si="168"/>
        <v>Exhaust Pipe</v>
      </c>
      <c r="J528" t="str">
        <f t="shared" si="169"/>
        <v>Test</v>
      </c>
      <c r="K528" t="b">
        <f t="shared" si="170"/>
        <v>0</v>
      </c>
      <c r="L528" t="str">
        <f t="shared" si="156"/>
        <v/>
      </c>
      <c r="M528" t="str">
        <f t="shared" si="157"/>
        <v/>
      </c>
      <c r="R528" t="str">
        <f t="shared" si="158"/>
        <v/>
      </c>
      <c r="S528" t="str">
        <f t="shared" si="159"/>
        <v/>
      </c>
      <c r="U528" t="str">
        <f t="shared" si="160"/>
        <v/>
      </c>
      <c r="V528" t="str">
        <f t="shared" si="161"/>
        <v/>
      </c>
      <c r="W528" s="5" t="str">
        <f t="shared" si="162"/>
        <v/>
      </c>
      <c r="Y528" t="str">
        <f t="shared" si="163"/>
        <v/>
      </c>
      <c r="Z528" t="str">
        <f t="shared" si="164"/>
        <v/>
      </c>
      <c r="AB528" t="str">
        <f t="shared" si="165"/>
        <v>https://shop.officineitalianezard.it/contents/imgs/products/1_2155-scarico%20street%20scrambler%20zard%20exhaust%201.jpg</v>
      </c>
      <c r="AE528" t="b">
        <v>0</v>
      </c>
    </row>
    <row r="529" spans="1:31" x14ac:dyDescent="0.2">
      <c r="A529" t="str">
        <f t="shared" si="152"/>
        <v>https://shop.officineitalianezard.it/en/triumph-street-scrambler-exhaust-zard-6/</v>
      </c>
      <c r="B529" t="b">
        <f>COUNTIF($A$2:$A529, A529)&gt;1</f>
        <v>1</v>
      </c>
      <c r="C529" t="b">
        <f t="shared" si="153"/>
        <v>0</v>
      </c>
      <c r="D529">
        <f>VLOOKUP(A529,variant_counts!A:B, 2, FALSE)</f>
        <v>3</v>
      </c>
      <c r="E529" t="str">
        <f t="shared" si="166"/>
        <v>zard-exhaust-n-2-slip-on-silencers-triumph-street-scrambler-201719-six-days-ztph086ssr</v>
      </c>
      <c r="F529" t="str">
        <f t="shared" si="154"/>
        <v>ZARD EXHAUST N. 2 SLIP-ON SILENCERS TRIUMPH STREET SCRAMBLER 2017/19 SIX-DAYS ZTPH086SSR</v>
      </c>
      <c r="G529" t="str">
        <f t="shared" si="155"/>
        <v/>
      </c>
      <c r="H529" t="str">
        <f t="shared" si="167"/>
        <v/>
      </c>
      <c r="I529" t="str">
        <f t="shared" si="168"/>
        <v/>
      </c>
      <c r="J529" t="str">
        <f t="shared" si="169"/>
        <v/>
      </c>
      <c r="K529" t="str">
        <f t="shared" si="170"/>
        <v/>
      </c>
      <c r="L529" t="str">
        <f t="shared" si="156"/>
        <v/>
      </c>
      <c r="M529" t="str">
        <f t="shared" si="157"/>
        <v/>
      </c>
      <c r="R529" t="str">
        <f t="shared" si="158"/>
        <v/>
      </c>
      <c r="S529" t="str">
        <f t="shared" si="159"/>
        <v/>
      </c>
      <c r="U529" t="str">
        <f t="shared" si="160"/>
        <v/>
      </c>
      <c r="V529" t="str">
        <f t="shared" si="161"/>
        <v/>
      </c>
      <c r="W529" s="5" t="str">
        <f t="shared" si="162"/>
        <v/>
      </c>
      <c r="Y529" t="str">
        <f t="shared" si="163"/>
        <v/>
      </c>
      <c r="Z529" t="str">
        <f t="shared" si="164"/>
        <v/>
      </c>
      <c r="AB529" t="str">
        <f t="shared" si="165"/>
        <v>https://shop.officineitalianezard.it/contents/imgs/products/1_2181-scarico%20street%20scrambler%20zard%20exhaust%202.jpg</v>
      </c>
      <c r="AE529" t="b">
        <v>0</v>
      </c>
    </row>
    <row r="530" spans="1:31" x14ac:dyDescent="0.2">
      <c r="A530" t="str">
        <f t="shared" si="152"/>
        <v>https://shop.officineitalianezard.it/en/triumph-street-scrambler-exhaust-zard-6/</v>
      </c>
      <c r="B530" t="b">
        <f>COUNTIF($A$2:$A530, A530)&gt;1</f>
        <v>1</v>
      </c>
      <c r="C530" t="b">
        <f t="shared" si="153"/>
        <v>0</v>
      </c>
      <c r="D530">
        <f>VLOOKUP(A530,variant_counts!A:B, 2, FALSE)</f>
        <v>3</v>
      </c>
      <c r="E530" t="str">
        <f t="shared" si="166"/>
        <v>zard-exhaust-n-2-slip-on-silencers-triumph-street-scrambler-201719-six-days-ztph086ssr</v>
      </c>
      <c r="F530" t="str">
        <f t="shared" si="154"/>
        <v>ZARD EXHAUST N. 2 SLIP-ON SILENCERS TRIUMPH STREET SCRAMBLER 2017/19 SIX-DAYS ZTPH086SSR</v>
      </c>
      <c r="G530" t="str">
        <f t="shared" si="155"/>
        <v/>
      </c>
      <c r="H530" t="str">
        <f t="shared" si="167"/>
        <v/>
      </c>
      <c r="I530" t="str">
        <f t="shared" si="168"/>
        <v/>
      </c>
      <c r="J530" t="str">
        <f t="shared" si="169"/>
        <v/>
      </c>
      <c r="K530" t="str">
        <f t="shared" si="170"/>
        <v/>
      </c>
      <c r="L530" t="str">
        <f t="shared" si="156"/>
        <v/>
      </c>
      <c r="M530" t="str">
        <f t="shared" si="157"/>
        <v/>
      </c>
      <c r="R530" t="str">
        <f t="shared" si="158"/>
        <v/>
      </c>
      <c r="S530" t="str">
        <f t="shared" si="159"/>
        <v/>
      </c>
      <c r="U530" t="str">
        <f t="shared" si="160"/>
        <v/>
      </c>
      <c r="V530" t="str">
        <f t="shared" si="161"/>
        <v/>
      </c>
      <c r="W530" s="5" t="str">
        <f t="shared" si="162"/>
        <v/>
      </c>
      <c r="Y530" t="str">
        <f t="shared" si="163"/>
        <v/>
      </c>
      <c r="Z530" t="str">
        <f t="shared" si="164"/>
        <v/>
      </c>
      <c r="AB530" t="str">
        <f t="shared" si="165"/>
        <v>https://shop.officineitalianezard.it/contents/imgs/products/1_2156-scarico%20street%20scrambler%20zard%20exhaust%203.jpg</v>
      </c>
      <c r="AE530" t="b">
        <v>0</v>
      </c>
    </row>
    <row r="531" spans="1:31" x14ac:dyDescent="0.2">
      <c r="A531" t="str">
        <f t="shared" si="152"/>
        <v>https://shop.officineitalianezard.it/en/triumph-street-scrambler-exhaust-zard-6/</v>
      </c>
      <c r="B531" t="b">
        <f>COUNTIF($A$2:$A531, A531)&gt;1</f>
        <v>1</v>
      </c>
      <c r="C531" t="b">
        <f t="shared" si="153"/>
        <v>0</v>
      </c>
      <c r="D531">
        <f>VLOOKUP(A531,variant_counts!A:B, 2, FALSE)</f>
        <v>3</v>
      </c>
      <c r="E531" t="str">
        <f t="shared" si="166"/>
        <v>zard-exhaust-n-2-slip-on-silencers-triumph-street-scrambler-201719-six-days-ztph086ssr</v>
      </c>
      <c r="F531" t="str">
        <f t="shared" si="154"/>
        <v>ZARD EXHAUST N. 2 SLIP-ON SILENCERS TRIUMPH STREET SCRAMBLER 2017/19 SIX-DAYS ZTPH086SSR</v>
      </c>
      <c r="G531" t="str">
        <f t="shared" si="155"/>
        <v/>
      </c>
      <c r="H531" t="str">
        <f t="shared" si="167"/>
        <v/>
      </c>
      <c r="I531" t="str">
        <f t="shared" si="168"/>
        <v/>
      </c>
      <c r="J531" t="str">
        <f t="shared" si="169"/>
        <v/>
      </c>
      <c r="K531" t="str">
        <f t="shared" si="170"/>
        <v/>
      </c>
      <c r="L531" t="str">
        <f t="shared" si="156"/>
        <v/>
      </c>
      <c r="M531" t="str">
        <f t="shared" si="157"/>
        <v/>
      </c>
      <c r="R531" t="str">
        <f t="shared" si="158"/>
        <v/>
      </c>
      <c r="S531" t="str">
        <f t="shared" si="159"/>
        <v/>
      </c>
      <c r="U531" t="str">
        <f t="shared" si="160"/>
        <v/>
      </c>
      <c r="V531" t="str">
        <f t="shared" si="161"/>
        <v/>
      </c>
      <c r="W531" s="5" t="str">
        <f t="shared" si="162"/>
        <v/>
      </c>
      <c r="Y531" t="str">
        <f t="shared" si="163"/>
        <v/>
      </c>
      <c r="Z531" t="str">
        <f t="shared" si="164"/>
        <v/>
      </c>
      <c r="AB531" t="str">
        <f t="shared" si="165"/>
        <v>https://shop.officineitalianezard.it/contents/imgs/products/1_2296-street%20scrambler%20slip%20on.jpg</v>
      </c>
      <c r="AE531" t="b">
        <v>0</v>
      </c>
    </row>
    <row r="532" spans="1:31" x14ac:dyDescent="0.2">
      <c r="A532" t="str">
        <f t="shared" si="152"/>
        <v>https://shop.officineitalianezard.it/en/triumph-street-scrambler-exhaust-zard-6/</v>
      </c>
      <c r="B532" t="b">
        <f>COUNTIF($A$2:$A532, A532)&gt;1</f>
        <v>1</v>
      </c>
      <c r="C532" t="b">
        <f t="shared" si="153"/>
        <v>1</v>
      </c>
      <c r="D532">
        <f>VLOOKUP(A532,variant_counts!A:B, 2, FALSE)</f>
        <v>3</v>
      </c>
      <c r="E532" t="str">
        <f t="shared" si="166"/>
        <v>zard-exhaust-n-2-slip-on-silencers-triumph-street-scrambler-201719-six-days-ztph086ssr</v>
      </c>
      <c r="F532" t="str">
        <f t="shared" si="154"/>
        <v>ZARD EXHAUST N. 2 SLIP-ON SILENCERS TRIUMPH STREET SCRAMBLER 2017/19 SIX-DAYS ZTPH086SSR</v>
      </c>
      <c r="G532" t="str">
        <f t="shared" si="155"/>
        <v/>
      </c>
      <c r="H532" t="str">
        <f t="shared" si="167"/>
        <v/>
      </c>
      <c r="I532" t="str">
        <f t="shared" si="168"/>
        <v/>
      </c>
      <c r="J532" t="str">
        <f t="shared" si="169"/>
        <v/>
      </c>
      <c r="K532" t="str">
        <f t="shared" si="170"/>
        <v/>
      </c>
      <c r="L532" t="str">
        <f t="shared" si="156"/>
        <v>Option</v>
      </c>
      <c r="M532" t="str">
        <f t="shared" si="157"/>
        <v>EURO 4 HOMOLOGATED</v>
      </c>
      <c r="R532" t="str">
        <f t="shared" si="158"/>
        <v>ZTPH086SSR</v>
      </c>
      <c r="S532">
        <f t="shared" si="159"/>
        <v>0</v>
      </c>
      <c r="U532" t="str">
        <f t="shared" si="160"/>
        <v>continue</v>
      </c>
      <c r="V532" t="str">
        <f t="shared" si="161"/>
        <v>manual</v>
      </c>
      <c r="W532" s="5">
        <f t="shared" si="162"/>
        <v>871.0725000000001</v>
      </c>
      <c r="Y532" t="b">
        <f t="shared" si="163"/>
        <v>1</v>
      </c>
      <c r="Z532" t="b">
        <f t="shared" si="164"/>
        <v>0</v>
      </c>
      <c r="AB532" t="str">
        <f t="shared" si="165"/>
        <v/>
      </c>
      <c r="AE532" t="b">
        <v>0</v>
      </c>
    </row>
    <row r="533" spans="1:31" x14ac:dyDescent="0.2">
      <c r="A533" t="str">
        <f t="shared" si="152"/>
        <v>https://shop.officineitalianezard.it/en/triumph-street-scrambler-exhaust-zard-6/</v>
      </c>
      <c r="B533" t="b">
        <f>COUNTIF($A$2:$A533, A533)&gt;1</f>
        <v>1</v>
      </c>
      <c r="C533" t="b">
        <f t="shared" si="153"/>
        <v>1</v>
      </c>
      <c r="D533">
        <f>VLOOKUP(A533,variant_counts!A:B, 2, FALSE)</f>
        <v>3</v>
      </c>
      <c r="E533" t="str">
        <f t="shared" si="166"/>
        <v>zard-exhaust-n-2-slip-on-silencers-triumph-street-scrambler-201719-six-days-ztph086ssr</v>
      </c>
      <c r="F533" t="str">
        <f t="shared" si="154"/>
        <v>ZARD EXHAUST N. 2 SLIP-ON SILENCERS TRIUMPH STREET SCRAMBLER 2017/19 SIX-DAYS ZTPH086SSR</v>
      </c>
      <c r="G533" t="str">
        <f t="shared" si="155"/>
        <v/>
      </c>
      <c r="H533" t="str">
        <f t="shared" si="167"/>
        <v/>
      </c>
      <c r="I533" t="str">
        <f t="shared" si="168"/>
        <v/>
      </c>
      <c r="J533" t="str">
        <f t="shared" si="169"/>
        <v/>
      </c>
      <c r="K533" t="str">
        <f t="shared" si="170"/>
        <v/>
      </c>
      <c r="L533" t="str">
        <f t="shared" si="156"/>
        <v>Option</v>
      </c>
      <c r="M533" t="str">
        <f t="shared" si="157"/>
        <v>BLACK COATING</v>
      </c>
      <c r="R533" t="str">
        <f t="shared" si="158"/>
        <v>ZTPH086SSR</v>
      </c>
      <c r="S533">
        <f t="shared" si="159"/>
        <v>0</v>
      </c>
      <c r="U533" t="str">
        <f t="shared" si="160"/>
        <v>continue</v>
      </c>
      <c r="V533" t="str">
        <f t="shared" si="161"/>
        <v>manual</v>
      </c>
      <c r="W533" s="5">
        <f t="shared" si="162"/>
        <v>939.85919999999999</v>
      </c>
      <c r="Y533" t="b">
        <f t="shared" si="163"/>
        <v>1</v>
      </c>
      <c r="Z533" t="b">
        <f t="shared" si="164"/>
        <v>0</v>
      </c>
      <c r="AB533" t="str">
        <f t="shared" si="165"/>
        <v/>
      </c>
      <c r="AE533" t="b">
        <v>0</v>
      </c>
    </row>
    <row r="534" spans="1:31" x14ac:dyDescent="0.2">
      <c r="A534" t="str">
        <f t="shared" si="152"/>
        <v>https://shop.officineitalianezard.it/en/triumph-street-scrambler-exhaust-zard-6/</v>
      </c>
      <c r="B534" t="b">
        <f>COUNTIF($A$2:$A534, A534)&gt;1</f>
        <v>1</v>
      </c>
      <c r="C534" t="b">
        <f t="shared" si="153"/>
        <v>1</v>
      </c>
      <c r="D534">
        <f>VLOOKUP(A534,variant_counts!A:B, 2, FALSE)</f>
        <v>3</v>
      </c>
      <c r="E534" t="str">
        <f t="shared" si="166"/>
        <v>zard-exhaust-n-2-slip-on-silencers-triumph-street-scrambler-201719-six-days-ztph086ssr</v>
      </c>
      <c r="F534" t="str">
        <f t="shared" si="154"/>
        <v>ZARD EXHAUST N. 2 SLIP-ON SILENCERS TRIUMPH STREET SCRAMBLER 2017/19 SIX-DAYS ZTPH086SSR</v>
      </c>
      <c r="G534" t="str">
        <f t="shared" si="155"/>
        <v/>
      </c>
      <c r="H534" t="str">
        <f t="shared" si="167"/>
        <v/>
      </c>
      <c r="I534" t="str">
        <f t="shared" si="168"/>
        <v/>
      </c>
      <c r="J534" t="str">
        <f t="shared" si="169"/>
        <v/>
      </c>
      <c r="K534" t="str">
        <f t="shared" si="170"/>
        <v/>
      </c>
      <c r="L534" t="str">
        <f t="shared" si="156"/>
        <v>Option</v>
      </c>
      <c r="M534" t="str">
        <f t="shared" si="157"/>
        <v>BLACK COATING ON HEAT SHIELD</v>
      </c>
      <c r="R534" t="str">
        <f t="shared" si="158"/>
        <v>ZTPH086SSR</v>
      </c>
      <c r="S534">
        <f t="shared" si="159"/>
        <v>0</v>
      </c>
      <c r="U534" t="str">
        <f t="shared" si="160"/>
        <v>continue</v>
      </c>
      <c r="V534" t="str">
        <f t="shared" si="161"/>
        <v>manual</v>
      </c>
      <c r="W534" s="5">
        <f t="shared" si="162"/>
        <v>811.29900000000009</v>
      </c>
      <c r="Y534" t="b">
        <f t="shared" si="163"/>
        <v>1</v>
      </c>
      <c r="Z534" t="b">
        <f t="shared" si="164"/>
        <v>0</v>
      </c>
      <c r="AB534" t="str">
        <f t="shared" si="165"/>
        <v/>
      </c>
      <c r="AE534" t="b">
        <v>0</v>
      </c>
    </row>
    <row r="535" spans="1:31" x14ac:dyDescent="0.2">
      <c r="A535" t="str">
        <f t="shared" si="152"/>
        <v>https://shop.officineitalianezard.it/en/triumph-street-scrambler-exhaust-zard-7/</v>
      </c>
      <c r="B535" t="b">
        <f>COUNTIF($A$2:$A535, A535)&gt;1</f>
        <v>0</v>
      </c>
      <c r="C535" t="b">
        <f t="shared" si="153"/>
        <v>0</v>
      </c>
      <c r="D535">
        <f>VLOOKUP(A535,variant_counts!A:B, 2, FALSE)</f>
        <v>3</v>
      </c>
      <c r="E535" t="str">
        <f t="shared" si="166"/>
        <v>zard-exhaust-n-2-silencers-triumph-street-scrambler-201719-slip-on-version-ztph088ssr</v>
      </c>
      <c r="F535" t="str">
        <f t="shared" si="154"/>
        <v>ZARD EXHAUST N. 2 SILENCERS TRIUMPH STREET SCRAMBLER 2017/19 SLIP-ON VERSION ZTPH088SSR</v>
      </c>
      <c r="G535" t="str">
        <f t="shared" si="155"/>
        <v>&lt;p&gt;N. 2 SLIP-ON STEEL SILENCERS WITH REMOVABLE DBKILLERS&lt;/p&gt;
&lt;p&gt;ORIGINAL SILENCERS&amp;nbsp;WEIGHT: 5.4&amp;nbsp;KG&lt;br&gt;&lt;span&gt;ZARD&amp;nbsp;&lt;/span&gt;&lt;span&gt;SILENCERS&lt;/span&gt;&lt;span&gt;: 3.4&amp;nbsp;&lt;/span&gt;&lt;span&gt;KG&lt;/span&gt;&lt;/p&gt;
&lt;p&gt;THE INSTALLATION OF ZARD EXHAUST DOES NOT IMPLY ANY MODIFICATION TO ECU.&lt;br&gt;THE BOX INCLUDES ALL PARTS FOR THE FITMENT OF ZARD EXHAUST.&lt;/p&gt;
&lt;p&gt;&lt;span&gt;SILVER WIRE MESH&amp;nbsp;IS SUPPLIED WITH HEAT SHIELD OF BLACK CERAMIC COATING VERSION.&lt;/span&gt;&lt;/p&gt;
&lt;p&gt;&lt;span&gt;HARD INCREASE, COMPARED TO THE ORIGINAL EXHAUST SYSTEM.&lt;br&gt;&lt;/span&gt;&lt;span&gt;ASTONISHING SOUND.&lt;/span&gt;&lt;/p&gt;</v>
      </c>
      <c r="H535" t="str">
        <f t="shared" si="167"/>
        <v>ZARD</v>
      </c>
      <c r="I535" t="str">
        <f t="shared" si="168"/>
        <v>Exhaust Pipe</v>
      </c>
      <c r="J535" t="str">
        <f t="shared" si="169"/>
        <v>Test</v>
      </c>
      <c r="K535" t="b">
        <f t="shared" si="170"/>
        <v>0</v>
      </c>
      <c r="L535" t="str">
        <f t="shared" si="156"/>
        <v/>
      </c>
      <c r="M535" t="str">
        <f t="shared" si="157"/>
        <v/>
      </c>
      <c r="R535" t="str">
        <f t="shared" si="158"/>
        <v/>
      </c>
      <c r="S535" t="str">
        <f t="shared" si="159"/>
        <v/>
      </c>
      <c r="U535" t="str">
        <f t="shared" si="160"/>
        <v/>
      </c>
      <c r="V535" t="str">
        <f t="shared" si="161"/>
        <v/>
      </c>
      <c r="W535" s="5" t="str">
        <f t="shared" si="162"/>
        <v/>
      </c>
      <c r="Y535" t="str">
        <f t="shared" si="163"/>
        <v/>
      </c>
      <c r="Z535" t="str">
        <f t="shared" si="164"/>
        <v/>
      </c>
      <c r="AB535" t="str">
        <f t="shared" si="165"/>
        <v>https://shop.officineitalianezard.it/contents/imgs/products/1_2471-scarico%20triumph%20street%20scrambler%20-%20zard%20exhaust%201.jpg</v>
      </c>
      <c r="AE535" t="b">
        <v>0</v>
      </c>
    </row>
    <row r="536" spans="1:31" x14ac:dyDescent="0.2">
      <c r="A536" t="str">
        <f t="shared" si="152"/>
        <v>https://shop.officineitalianezard.it/en/triumph-street-scrambler-exhaust-zard-7/</v>
      </c>
      <c r="B536" t="b">
        <f>COUNTIF($A$2:$A536, A536)&gt;1</f>
        <v>1</v>
      </c>
      <c r="C536" t="b">
        <f t="shared" si="153"/>
        <v>0</v>
      </c>
      <c r="D536">
        <f>VLOOKUP(A536,variant_counts!A:B, 2, FALSE)</f>
        <v>3</v>
      </c>
      <c r="E536" t="str">
        <f t="shared" si="166"/>
        <v>zard-exhaust-n-2-silencers-triumph-street-scrambler-201719-slip-on-version-ztph088ssr</v>
      </c>
      <c r="F536" t="str">
        <f t="shared" si="154"/>
        <v>ZARD EXHAUST N. 2 SILENCERS TRIUMPH STREET SCRAMBLER 2017/19 SLIP-ON VERSION ZTPH088SSR</v>
      </c>
      <c r="G536" t="str">
        <f t="shared" si="155"/>
        <v/>
      </c>
      <c r="H536" t="str">
        <f t="shared" si="167"/>
        <v/>
      </c>
      <c r="I536" t="str">
        <f t="shared" si="168"/>
        <v/>
      </c>
      <c r="J536" t="str">
        <f t="shared" si="169"/>
        <v/>
      </c>
      <c r="K536" t="str">
        <f t="shared" si="170"/>
        <v/>
      </c>
      <c r="L536" t="str">
        <f t="shared" si="156"/>
        <v/>
      </c>
      <c r="M536" t="str">
        <f t="shared" si="157"/>
        <v/>
      </c>
      <c r="R536" t="str">
        <f t="shared" si="158"/>
        <v/>
      </c>
      <c r="S536" t="str">
        <f t="shared" si="159"/>
        <v/>
      </c>
      <c r="U536" t="str">
        <f t="shared" si="160"/>
        <v/>
      </c>
      <c r="V536" t="str">
        <f t="shared" si="161"/>
        <v/>
      </c>
      <c r="W536" s="5" t="str">
        <f t="shared" si="162"/>
        <v/>
      </c>
      <c r="Y536" t="str">
        <f t="shared" si="163"/>
        <v/>
      </c>
      <c r="Z536" t="str">
        <f t="shared" si="164"/>
        <v/>
      </c>
      <c r="AB536" t="str">
        <f t="shared" si="165"/>
        <v>https://shop.officineitalianezard.it/contents/imgs/products/1_2472-scarico%20triumph%20street%20scrambler%20-%20zard%20exhaust%202.jpg</v>
      </c>
      <c r="AE536" t="b">
        <v>0</v>
      </c>
    </row>
    <row r="537" spans="1:31" x14ac:dyDescent="0.2">
      <c r="A537" t="str">
        <f t="shared" si="152"/>
        <v>https://shop.officineitalianezard.it/en/triumph-street-scrambler-exhaust-zard-7/</v>
      </c>
      <c r="B537" t="b">
        <f>COUNTIF($A$2:$A537, A537)&gt;1</f>
        <v>1</v>
      </c>
      <c r="C537" t="b">
        <f t="shared" si="153"/>
        <v>0</v>
      </c>
      <c r="D537">
        <f>VLOOKUP(A537,variant_counts!A:B, 2, FALSE)</f>
        <v>3</v>
      </c>
      <c r="E537" t="str">
        <f t="shared" si="166"/>
        <v>zard-exhaust-n-2-silencers-triumph-street-scrambler-201719-slip-on-version-ztph088ssr</v>
      </c>
      <c r="F537" t="str">
        <f t="shared" si="154"/>
        <v>ZARD EXHAUST N. 2 SILENCERS TRIUMPH STREET SCRAMBLER 2017/19 SLIP-ON VERSION ZTPH088SSR</v>
      </c>
      <c r="G537" t="str">
        <f t="shared" si="155"/>
        <v/>
      </c>
      <c r="H537" t="str">
        <f t="shared" si="167"/>
        <v/>
      </c>
      <c r="I537" t="str">
        <f t="shared" si="168"/>
        <v/>
      </c>
      <c r="J537" t="str">
        <f t="shared" si="169"/>
        <v/>
      </c>
      <c r="K537" t="str">
        <f t="shared" si="170"/>
        <v/>
      </c>
      <c r="L537" t="str">
        <f t="shared" si="156"/>
        <v/>
      </c>
      <c r="M537" t="str">
        <f t="shared" si="157"/>
        <v/>
      </c>
      <c r="R537" t="str">
        <f t="shared" si="158"/>
        <v/>
      </c>
      <c r="S537" t="str">
        <f t="shared" si="159"/>
        <v/>
      </c>
      <c r="U537" t="str">
        <f t="shared" si="160"/>
        <v/>
      </c>
      <c r="V537" t="str">
        <f t="shared" si="161"/>
        <v/>
      </c>
      <c r="W537" s="5" t="str">
        <f t="shared" si="162"/>
        <v/>
      </c>
      <c r="Y537" t="str">
        <f t="shared" si="163"/>
        <v/>
      </c>
      <c r="Z537" t="str">
        <f t="shared" si="164"/>
        <v/>
      </c>
      <c r="AB537" t="str">
        <f t="shared" si="165"/>
        <v>https://shop.officineitalianezard.it/contents/imgs/products/1_2473-scarico%20triumph%20street%20scrambler%20-%20zard%20exhaust%203.jpg</v>
      </c>
      <c r="AE537" t="b">
        <v>0</v>
      </c>
    </row>
    <row r="538" spans="1:31" x14ac:dyDescent="0.2">
      <c r="A538" t="str">
        <f t="shared" si="152"/>
        <v>https://shop.officineitalianezard.it/en/triumph-street-scrambler-exhaust-zard-7/</v>
      </c>
      <c r="B538" t="b">
        <f>COUNTIF($A$2:$A538, A538)&gt;1</f>
        <v>1</v>
      </c>
      <c r="C538" t="b">
        <f t="shared" si="153"/>
        <v>1</v>
      </c>
      <c r="D538">
        <f>VLOOKUP(A538,variant_counts!A:B, 2, FALSE)</f>
        <v>3</v>
      </c>
      <c r="E538" t="str">
        <f t="shared" si="166"/>
        <v>zard-exhaust-n-2-silencers-triumph-street-scrambler-201719-slip-on-version-ztph088ssr</v>
      </c>
      <c r="F538" t="str">
        <f t="shared" si="154"/>
        <v>ZARD EXHAUST N. 2 SILENCERS TRIUMPH STREET SCRAMBLER 2017/19 SLIP-ON VERSION ZTPH088SSR</v>
      </c>
      <c r="G538" t="str">
        <f t="shared" si="155"/>
        <v/>
      </c>
      <c r="H538" t="str">
        <f t="shared" si="167"/>
        <v/>
      </c>
      <c r="I538" t="str">
        <f t="shared" si="168"/>
        <v/>
      </c>
      <c r="J538" t="str">
        <f t="shared" si="169"/>
        <v/>
      </c>
      <c r="K538" t="str">
        <f t="shared" si="170"/>
        <v/>
      </c>
      <c r="L538" t="str">
        <f t="shared" si="156"/>
        <v>Option</v>
      </c>
      <c r="M538" t="str">
        <f t="shared" si="157"/>
        <v>EURO 4 HOMOLOGATED</v>
      </c>
      <c r="R538" t="str">
        <f t="shared" si="158"/>
        <v>ZTPH088SSR</v>
      </c>
      <c r="S538">
        <f t="shared" si="159"/>
        <v>0</v>
      </c>
      <c r="U538" t="str">
        <f t="shared" si="160"/>
        <v>continue</v>
      </c>
      <c r="V538" t="str">
        <f t="shared" si="161"/>
        <v>manual</v>
      </c>
      <c r="W538" s="5">
        <f t="shared" si="162"/>
        <v>864.25710000000004</v>
      </c>
      <c r="Y538" t="b">
        <f t="shared" si="163"/>
        <v>1</v>
      </c>
      <c r="Z538" t="b">
        <f t="shared" si="164"/>
        <v>0</v>
      </c>
      <c r="AB538" t="str">
        <f t="shared" si="165"/>
        <v/>
      </c>
      <c r="AE538" t="b">
        <v>0</v>
      </c>
    </row>
    <row r="539" spans="1:31" x14ac:dyDescent="0.2">
      <c r="A539" t="str">
        <f t="shared" si="152"/>
        <v>https://shop.officineitalianezard.it/en/triumph-street-scrambler-exhaust-zard-7/</v>
      </c>
      <c r="B539" t="b">
        <f>COUNTIF($A$2:$A539, A539)&gt;1</f>
        <v>1</v>
      </c>
      <c r="C539" t="b">
        <f t="shared" si="153"/>
        <v>1</v>
      </c>
      <c r="D539">
        <f>VLOOKUP(A539,variant_counts!A:B, 2, FALSE)</f>
        <v>3</v>
      </c>
      <c r="E539" t="str">
        <f t="shared" si="166"/>
        <v>zard-exhaust-n-2-silencers-triumph-street-scrambler-201719-slip-on-version-ztph088ssr</v>
      </c>
      <c r="F539" t="str">
        <f t="shared" si="154"/>
        <v>ZARD EXHAUST N. 2 SILENCERS TRIUMPH STREET SCRAMBLER 2017/19 SLIP-ON VERSION ZTPH088SSR</v>
      </c>
      <c r="G539" t="str">
        <f t="shared" si="155"/>
        <v/>
      </c>
      <c r="H539" t="str">
        <f t="shared" si="167"/>
        <v/>
      </c>
      <c r="I539" t="str">
        <f t="shared" si="168"/>
        <v/>
      </c>
      <c r="J539" t="str">
        <f t="shared" si="169"/>
        <v/>
      </c>
      <c r="K539" t="str">
        <f t="shared" si="170"/>
        <v/>
      </c>
      <c r="L539" t="str">
        <f t="shared" si="156"/>
        <v>Option</v>
      </c>
      <c r="M539" t="str">
        <f t="shared" si="157"/>
        <v>BLACK CERAMIC COATING</v>
      </c>
      <c r="R539" t="str">
        <f t="shared" si="158"/>
        <v>ZTPH088SSR</v>
      </c>
      <c r="S539">
        <f t="shared" si="159"/>
        <v>0</v>
      </c>
      <c r="U539" t="str">
        <f t="shared" si="160"/>
        <v>continue</v>
      </c>
      <c r="V539" t="str">
        <f t="shared" si="161"/>
        <v>manual</v>
      </c>
      <c r="W539" s="5">
        <f t="shared" si="162"/>
        <v>928.94790000000023</v>
      </c>
      <c r="Y539" t="b">
        <f t="shared" si="163"/>
        <v>1</v>
      </c>
      <c r="Z539" t="b">
        <f t="shared" si="164"/>
        <v>0</v>
      </c>
      <c r="AB539" t="str">
        <f t="shared" si="165"/>
        <v/>
      </c>
      <c r="AE539" t="b">
        <v>0</v>
      </c>
    </row>
    <row r="540" spans="1:31" x14ac:dyDescent="0.2">
      <c r="A540" t="str">
        <f t="shared" si="152"/>
        <v>https://shop.officineitalianezard.it/en/triumph-street-scrambler-exhaust-zard-7/</v>
      </c>
      <c r="B540" t="b">
        <f>COUNTIF($A$2:$A540, A540)&gt;1</f>
        <v>1</v>
      </c>
      <c r="C540" t="b">
        <f t="shared" si="153"/>
        <v>1</v>
      </c>
      <c r="D540">
        <f>VLOOKUP(A540,variant_counts!A:B, 2, FALSE)</f>
        <v>3</v>
      </c>
      <c r="E540" t="str">
        <f t="shared" si="166"/>
        <v>zard-exhaust-n-2-silencers-triumph-street-scrambler-201719-slip-on-version-ztph088ssr</v>
      </c>
      <c r="F540" t="str">
        <f t="shared" si="154"/>
        <v>ZARD EXHAUST N. 2 SILENCERS TRIUMPH STREET SCRAMBLER 2017/19 SLIP-ON VERSION ZTPH088SSR</v>
      </c>
      <c r="G540" t="str">
        <f t="shared" si="155"/>
        <v/>
      </c>
      <c r="H540" t="str">
        <f t="shared" si="167"/>
        <v/>
      </c>
      <c r="I540" t="str">
        <f t="shared" si="168"/>
        <v/>
      </c>
      <c r="J540" t="str">
        <f t="shared" si="169"/>
        <v/>
      </c>
      <c r="K540" t="str">
        <f t="shared" si="170"/>
        <v/>
      </c>
      <c r="L540" t="str">
        <f t="shared" si="156"/>
        <v>Option</v>
      </c>
      <c r="M540" t="str">
        <f t="shared" si="157"/>
        <v>BLACK HEAT SHIELD</v>
      </c>
      <c r="R540" t="str">
        <f t="shared" si="158"/>
        <v>ZTPH088SSR</v>
      </c>
      <c r="S540">
        <f t="shared" si="159"/>
        <v>0</v>
      </c>
      <c r="U540" t="str">
        <f t="shared" si="160"/>
        <v>continue</v>
      </c>
      <c r="V540" t="str">
        <f t="shared" si="161"/>
        <v>manual</v>
      </c>
      <c r="W540" s="5">
        <f t="shared" si="162"/>
        <v>806.11530000000005</v>
      </c>
      <c r="Y540" t="b">
        <f t="shared" si="163"/>
        <v>1</v>
      </c>
      <c r="Z540" t="b">
        <f t="shared" si="164"/>
        <v>0</v>
      </c>
      <c r="AB540" t="str">
        <f t="shared" si="165"/>
        <v/>
      </c>
      <c r="AE540" t="b">
        <v>0</v>
      </c>
    </row>
    <row r="541" spans="1:31" x14ac:dyDescent="0.2">
      <c r="A541" t="str">
        <f t="shared" si="152"/>
        <v>https://shop.officineitalianezard.it/en/hight-mounted-full-kit-2-1/</v>
      </c>
      <c r="B541" t="b">
        <f>COUNTIF($A$2:$A541, A541)&gt;1</f>
        <v>0</v>
      </c>
      <c r="C541" t="b">
        <f t="shared" si="153"/>
        <v>0</v>
      </c>
      <c r="D541">
        <f>VLOOKUP(A541,variant_counts!A:B, 2, FALSE)</f>
        <v>4</v>
      </c>
      <c r="E541" t="str">
        <f t="shared" si="166"/>
        <v>zard-exhaust-hight-mounted-full-kit-21-triumph-scrambler-my-2016-injection-ztph034ska</v>
      </c>
      <c r="F541" t="str">
        <f t="shared" si="154"/>
        <v>ZARD EXHAUST HIGHT MOUNTED FULL KIT 2&gt;1 TRIUMPH SCRAMBLER &lt; M.Y. 2016 INJECTION ZTPH034SKA</v>
      </c>
      <c r="G541" t="str">
        <f t="shared" si="155"/>
        <v>&lt;p&gt;2&amp;gt;1 STEEL RACING HIGHT MOUNTED FULL KIT&amp;nbsp;&lt;/p&gt;
&lt;p&gt;ORIGINAL FULL KIT WEIGHT: KG 11.6&lt;br&gt;ZARD FULL KIT WEIGHT: KG 4.4&lt;/p&gt;
&lt;p&gt;'BLACK CERAMIC COATING' OPTIONAL INCLUDES BOTH BLACK HEAT SHIELDS AND BLACK + SILVER WIRE MESHEES&lt;/p&gt;
&lt;p&gt;HARD INCREASE IN TERMS OF RESPONSE IN THE RANGE BETWEEN 4000 AND 6500 RPM AND 1.5 MORE HP COMPARED TO THE ORIGINAL EXHAUST SYSTEM.&lt;/p&gt;
&lt;p&gt;ASTONISHING SOUND.&lt;/p&gt;
&lt;p&gt;&lt;/p&gt;
&lt;p&gt;&amp;nbsp;&lt;/p&gt;</v>
      </c>
      <c r="H541" t="str">
        <f t="shared" si="167"/>
        <v>ZARD</v>
      </c>
      <c r="I541" t="str">
        <f t="shared" si="168"/>
        <v>Exhaust Pipe</v>
      </c>
      <c r="J541" t="str">
        <f t="shared" si="169"/>
        <v>Test</v>
      </c>
      <c r="K541" t="b">
        <f t="shared" si="170"/>
        <v>0</v>
      </c>
      <c r="L541" t="str">
        <f t="shared" si="156"/>
        <v/>
      </c>
      <c r="M541" t="str">
        <f t="shared" si="157"/>
        <v/>
      </c>
      <c r="R541" t="str">
        <f t="shared" si="158"/>
        <v/>
      </c>
      <c r="S541" t="str">
        <f t="shared" si="159"/>
        <v/>
      </c>
      <c r="U541" t="str">
        <f t="shared" si="160"/>
        <v/>
      </c>
      <c r="V541" t="str">
        <f t="shared" si="161"/>
        <v/>
      </c>
      <c r="W541" s="5" t="str">
        <f t="shared" si="162"/>
        <v/>
      </c>
      <c r="Y541" t="str">
        <f t="shared" si="163"/>
        <v/>
      </c>
      <c r="Z541" t="str">
        <f t="shared" si="164"/>
        <v/>
      </c>
      <c r="AB541" t="str">
        <f t="shared" si="165"/>
        <v>https://shop.officineitalianezard.it/contents/imgs/products/1_1369-zard.jpg</v>
      </c>
      <c r="AE541" t="b">
        <v>0</v>
      </c>
    </row>
    <row r="542" spans="1:31" x14ac:dyDescent="0.2">
      <c r="A542" t="str">
        <f t="shared" si="152"/>
        <v>https://shop.officineitalianezard.it/en/hight-mounted-full-kit-2-1/</v>
      </c>
      <c r="B542" t="b">
        <f>COUNTIF($A$2:$A542, A542)&gt;1</f>
        <v>1</v>
      </c>
      <c r="C542" t="b">
        <f t="shared" si="153"/>
        <v>0</v>
      </c>
      <c r="D542">
        <f>VLOOKUP(A542,variant_counts!A:B, 2, FALSE)</f>
        <v>4</v>
      </c>
      <c r="E542" t="str">
        <f t="shared" si="166"/>
        <v>zard-exhaust-hight-mounted-full-kit-21-triumph-scrambler-my-2016-injection-ztph034ska</v>
      </c>
      <c r="F542" t="str">
        <f t="shared" si="154"/>
        <v>ZARD EXHAUST HIGHT MOUNTED FULL KIT 2&gt;1 TRIUMPH SCRAMBLER &lt; M.Y. 2016 INJECTION ZTPH034SKA</v>
      </c>
      <c r="G542" t="str">
        <f t="shared" si="155"/>
        <v/>
      </c>
      <c r="H542" t="str">
        <f t="shared" si="167"/>
        <v/>
      </c>
      <c r="I542" t="str">
        <f t="shared" si="168"/>
        <v/>
      </c>
      <c r="J542" t="str">
        <f t="shared" si="169"/>
        <v/>
      </c>
      <c r="K542" t="str">
        <f t="shared" si="170"/>
        <v/>
      </c>
      <c r="L542" t="str">
        <f t="shared" si="156"/>
        <v/>
      </c>
      <c r="M542" t="str">
        <f t="shared" si="157"/>
        <v/>
      </c>
      <c r="R542" t="str">
        <f t="shared" si="158"/>
        <v/>
      </c>
      <c r="S542" t="str">
        <f t="shared" si="159"/>
        <v/>
      </c>
      <c r="U542" t="str">
        <f t="shared" si="160"/>
        <v/>
      </c>
      <c r="V542" t="str">
        <f t="shared" si="161"/>
        <v/>
      </c>
      <c r="W542" s="5" t="str">
        <f t="shared" si="162"/>
        <v/>
      </c>
      <c r="Y542" t="str">
        <f t="shared" si="163"/>
        <v/>
      </c>
      <c r="Z542" t="str">
        <f t="shared" si="164"/>
        <v/>
      </c>
      <c r="AB542" t="str">
        <f t="shared" si="165"/>
        <v>https://shop.officineitalianezard.it/contents/imgs/products/1_502-zard%20nera.jpg</v>
      </c>
      <c r="AE542" t="b">
        <v>0</v>
      </c>
    </row>
    <row r="543" spans="1:31" x14ac:dyDescent="0.2">
      <c r="A543" t="str">
        <f t="shared" si="152"/>
        <v>https://shop.officineitalianezard.it/en/hight-mounted-full-kit-2-1/</v>
      </c>
      <c r="B543" t="b">
        <f>COUNTIF($A$2:$A543, A543)&gt;1</f>
        <v>1</v>
      </c>
      <c r="C543" t="b">
        <f t="shared" si="153"/>
        <v>0</v>
      </c>
      <c r="D543">
        <f>VLOOKUP(A543,variant_counts!A:B, 2, FALSE)</f>
        <v>4</v>
      </c>
      <c r="E543" t="str">
        <f t="shared" si="166"/>
        <v>zard-exhaust-hight-mounted-full-kit-21-triumph-scrambler-my-2016-injection-ztph034ska</v>
      </c>
      <c r="F543" t="str">
        <f t="shared" si="154"/>
        <v>ZARD EXHAUST HIGHT MOUNTED FULL KIT 2&gt;1 TRIUMPH SCRAMBLER &lt; M.Y. 2016 INJECTION ZTPH034SKA</v>
      </c>
      <c r="G543" t="str">
        <f t="shared" si="155"/>
        <v/>
      </c>
      <c r="H543" t="str">
        <f t="shared" si="167"/>
        <v/>
      </c>
      <c r="I543" t="str">
        <f t="shared" si="168"/>
        <v/>
      </c>
      <c r="J543" t="str">
        <f t="shared" si="169"/>
        <v/>
      </c>
      <c r="K543" t="str">
        <f t="shared" si="170"/>
        <v/>
      </c>
      <c r="L543" t="str">
        <f t="shared" si="156"/>
        <v/>
      </c>
      <c r="M543" t="str">
        <f t="shared" si="157"/>
        <v/>
      </c>
      <c r="R543" t="str">
        <f t="shared" si="158"/>
        <v/>
      </c>
      <c r="S543" t="str">
        <f t="shared" si="159"/>
        <v/>
      </c>
      <c r="U543" t="str">
        <f t="shared" si="160"/>
        <v/>
      </c>
      <c r="V543" t="str">
        <f t="shared" si="161"/>
        <v/>
      </c>
      <c r="W543" s="5" t="str">
        <f t="shared" si="162"/>
        <v/>
      </c>
      <c r="Y543" t="str">
        <f t="shared" si="163"/>
        <v/>
      </c>
      <c r="Z543" t="str">
        <f t="shared" si="164"/>
        <v/>
      </c>
      <c r="AB543" t="str">
        <f t="shared" si="165"/>
        <v>https://shop.officineitalianezard.it/contents/imgs/products/1_81-garys-triumph-007.jpg</v>
      </c>
      <c r="AE543" t="b">
        <v>0</v>
      </c>
    </row>
    <row r="544" spans="1:31" x14ac:dyDescent="0.2">
      <c r="A544" t="str">
        <f t="shared" si="152"/>
        <v>https://shop.officineitalianezard.it/en/hight-mounted-full-kit-2-1/</v>
      </c>
      <c r="B544" t="b">
        <f>COUNTIF($A$2:$A544, A544)&gt;1</f>
        <v>1</v>
      </c>
      <c r="C544" t="b">
        <f t="shared" si="153"/>
        <v>0</v>
      </c>
      <c r="D544">
        <f>VLOOKUP(A544,variant_counts!A:B, 2, FALSE)</f>
        <v>4</v>
      </c>
      <c r="E544" t="str">
        <f t="shared" si="166"/>
        <v>zard-exhaust-hight-mounted-full-kit-21-triumph-scrambler-my-2016-injection-ztph034ska</v>
      </c>
      <c r="F544" t="str">
        <f t="shared" si="154"/>
        <v>ZARD EXHAUST HIGHT MOUNTED FULL KIT 2&gt;1 TRIUMPH SCRAMBLER &lt; M.Y. 2016 INJECTION ZTPH034SKA</v>
      </c>
      <c r="G544" t="str">
        <f t="shared" si="155"/>
        <v/>
      </c>
      <c r="H544" t="str">
        <f t="shared" si="167"/>
        <v/>
      </c>
      <c r="I544" t="str">
        <f t="shared" si="168"/>
        <v/>
      </c>
      <c r="J544" t="str">
        <f t="shared" si="169"/>
        <v/>
      </c>
      <c r="K544" t="str">
        <f t="shared" si="170"/>
        <v/>
      </c>
      <c r="L544" t="str">
        <f t="shared" si="156"/>
        <v/>
      </c>
      <c r="M544" t="str">
        <f t="shared" si="157"/>
        <v/>
      </c>
      <c r="R544" t="str">
        <f t="shared" si="158"/>
        <v/>
      </c>
      <c r="S544" t="str">
        <f t="shared" si="159"/>
        <v/>
      </c>
      <c r="U544" t="str">
        <f t="shared" si="160"/>
        <v/>
      </c>
      <c r="V544" t="str">
        <f t="shared" si="161"/>
        <v/>
      </c>
      <c r="W544" s="5" t="str">
        <f t="shared" si="162"/>
        <v/>
      </c>
      <c r="Y544" t="str">
        <f t="shared" si="163"/>
        <v/>
      </c>
      <c r="Z544" t="str">
        <f t="shared" si="164"/>
        <v/>
      </c>
      <c r="AB544" t="str">
        <f t="shared" si="165"/>
        <v>https://shop.officineitalianezard.it/contents/imgs/products/1_1730-1066-scarico%20scrambler%20zard1.jpg</v>
      </c>
      <c r="AE544" t="b">
        <v>0</v>
      </c>
    </row>
    <row r="545" spans="1:31" x14ac:dyDescent="0.2">
      <c r="A545" t="str">
        <f t="shared" si="152"/>
        <v>https://shop.officineitalianezard.it/en/hight-mounted-full-kit-2-1/</v>
      </c>
      <c r="B545" t="b">
        <f>COUNTIF($A$2:$A545, A545)&gt;1</f>
        <v>1</v>
      </c>
      <c r="C545" t="b">
        <f t="shared" si="153"/>
        <v>0</v>
      </c>
      <c r="D545">
        <f>VLOOKUP(A545,variant_counts!A:B, 2, FALSE)</f>
        <v>4</v>
      </c>
      <c r="E545" t="str">
        <f t="shared" si="166"/>
        <v>zard-exhaust-hight-mounted-full-kit-21-triumph-scrambler-my-2016-injection-ztph034ska</v>
      </c>
      <c r="F545" t="str">
        <f t="shared" si="154"/>
        <v>ZARD EXHAUST HIGHT MOUNTED FULL KIT 2&gt;1 TRIUMPH SCRAMBLER &lt; M.Y. 2016 INJECTION ZTPH034SKA</v>
      </c>
      <c r="G545" t="str">
        <f t="shared" si="155"/>
        <v/>
      </c>
      <c r="H545" t="str">
        <f t="shared" si="167"/>
        <v/>
      </c>
      <c r="I545" t="str">
        <f t="shared" si="168"/>
        <v/>
      </c>
      <c r="J545" t="str">
        <f t="shared" si="169"/>
        <v/>
      </c>
      <c r="K545" t="str">
        <f t="shared" si="170"/>
        <v/>
      </c>
      <c r="L545" t="str">
        <f t="shared" si="156"/>
        <v/>
      </c>
      <c r="M545" t="str">
        <f t="shared" si="157"/>
        <v/>
      </c>
      <c r="R545" t="str">
        <f t="shared" si="158"/>
        <v/>
      </c>
      <c r="S545" t="str">
        <f t="shared" si="159"/>
        <v/>
      </c>
      <c r="U545" t="str">
        <f t="shared" si="160"/>
        <v/>
      </c>
      <c r="V545" t="str">
        <f t="shared" si="161"/>
        <v/>
      </c>
      <c r="W545" s="5" t="str">
        <f t="shared" si="162"/>
        <v/>
      </c>
      <c r="Y545" t="str">
        <f t="shared" si="163"/>
        <v/>
      </c>
      <c r="Z545" t="str">
        <f t="shared" si="164"/>
        <v/>
      </c>
      <c r="AB545" t="str">
        <f t="shared" si="165"/>
        <v>https://shop.officineitalianezard.it/contents/imgs/products/1_1731-1066-scarico%20scrambler%20zard1.jpg</v>
      </c>
      <c r="AE545" t="b">
        <v>0</v>
      </c>
    </row>
    <row r="546" spans="1:31" x14ac:dyDescent="0.2">
      <c r="A546" t="str">
        <f t="shared" si="152"/>
        <v>https://shop.officineitalianezard.it/en/hight-mounted-full-kit-2-1/</v>
      </c>
      <c r="B546" t="b">
        <f>COUNTIF($A$2:$A546, A546)&gt;1</f>
        <v>1</v>
      </c>
      <c r="C546" t="b">
        <f t="shared" si="153"/>
        <v>1</v>
      </c>
      <c r="D546">
        <f>VLOOKUP(A546,variant_counts!A:B, 2, FALSE)</f>
        <v>4</v>
      </c>
      <c r="E546" t="str">
        <f t="shared" si="166"/>
        <v>zard-exhaust-hight-mounted-full-kit-21-triumph-scrambler-my-2016-injection-ztph034ska</v>
      </c>
      <c r="F546" t="str">
        <f t="shared" si="154"/>
        <v>ZARD EXHAUST HIGHT MOUNTED FULL KIT 2&gt;1 TRIUMPH SCRAMBLER &lt; M.Y. 2016 INJECTION ZTPH034SKA</v>
      </c>
      <c r="G546" t="str">
        <f t="shared" si="155"/>
        <v/>
      </c>
      <c r="H546" t="str">
        <f t="shared" si="167"/>
        <v/>
      </c>
      <c r="I546" t="str">
        <f t="shared" si="168"/>
        <v/>
      </c>
      <c r="J546" t="str">
        <f t="shared" si="169"/>
        <v/>
      </c>
      <c r="K546" t="str">
        <f t="shared" si="170"/>
        <v/>
      </c>
      <c r="L546" t="str">
        <f t="shared" si="156"/>
        <v>Option</v>
      </c>
      <c r="M546" t="str">
        <f t="shared" si="157"/>
        <v>CATALYSED</v>
      </c>
      <c r="R546" t="str">
        <f t="shared" si="158"/>
        <v>ZTPH034SKA</v>
      </c>
      <c r="S546">
        <f t="shared" si="159"/>
        <v>0</v>
      </c>
      <c r="U546" t="str">
        <f t="shared" si="160"/>
        <v>continue</v>
      </c>
      <c r="V546" t="str">
        <f t="shared" si="161"/>
        <v>manual</v>
      </c>
      <c r="W546" s="5">
        <f t="shared" si="162"/>
        <v>1142.6673000000001</v>
      </c>
      <c r="Y546" t="b">
        <f t="shared" si="163"/>
        <v>1</v>
      </c>
      <c r="Z546" t="b">
        <f t="shared" si="164"/>
        <v>0</v>
      </c>
      <c r="AB546" t="str">
        <f t="shared" si="165"/>
        <v/>
      </c>
      <c r="AE546" t="b">
        <v>0</v>
      </c>
    </row>
    <row r="547" spans="1:31" x14ac:dyDescent="0.2">
      <c r="A547" t="str">
        <f t="shared" si="152"/>
        <v>https://shop.officineitalianezard.it/en/hight-mounted-full-kit-2-1/</v>
      </c>
      <c r="B547" t="b">
        <f>COUNTIF($A$2:$A547, A547)&gt;1</f>
        <v>1</v>
      </c>
      <c r="C547" t="b">
        <f t="shared" si="153"/>
        <v>1</v>
      </c>
      <c r="D547">
        <f>VLOOKUP(A547,variant_counts!A:B, 2, FALSE)</f>
        <v>4</v>
      </c>
      <c r="E547" t="str">
        <f t="shared" si="166"/>
        <v>zard-exhaust-hight-mounted-full-kit-21-triumph-scrambler-my-2016-injection-ztph034ska</v>
      </c>
      <c r="F547" t="str">
        <f t="shared" si="154"/>
        <v>ZARD EXHAUST HIGHT MOUNTED FULL KIT 2&gt;1 TRIUMPH SCRAMBLER &lt; M.Y. 2016 INJECTION ZTPH034SKA</v>
      </c>
      <c r="G547" t="str">
        <f t="shared" si="155"/>
        <v/>
      </c>
      <c r="H547" t="str">
        <f t="shared" si="167"/>
        <v/>
      </c>
      <c r="I547" t="str">
        <f t="shared" si="168"/>
        <v/>
      </c>
      <c r="J547" t="str">
        <f t="shared" si="169"/>
        <v/>
      </c>
      <c r="K547" t="str">
        <f t="shared" si="170"/>
        <v/>
      </c>
      <c r="L547" t="str">
        <f t="shared" si="156"/>
        <v>Option</v>
      </c>
      <c r="M547" t="str">
        <f t="shared" si="157"/>
        <v>BLACK COATING</v>
      </c>
      <c r="R547" t="str">
        <f t="shared" si="158"/>
        <v>ZTPH034SKA</v>
      </c>
      <c r="S547">
        <f t="shared" si="159"/>
        <v>0</v>
      </c>
      <c r="U547" t="str">
        <f t="shared" si="160"/>
        <v>continue</v>
      </c>
      <c r="V547" t="str">
        <f t="shared" si="161"/>
        <v>manual</v>
      </c>
      <c r="W547" s="5">
        <f t="shared" si="162"/>
        <v>1100.8980000000001</v>
      </c>
      <c r="Y547" t="b">
        <f t="shared" si="163"/>
        <v>1</v>
      </c>
      <c r="Z547" t="b">
        <f t="shared" si="164"/>
        <v>0</v>
      </c>
      <c r="AB547" t="str">
        <f t="shared" si="165"/>
        <v/>
      </c>
      <c r="AE547" t="b">
        <v>0</v>
      </c>
    </row>
    <row r="548" spans="1:31" x14ac:dyDescent="0.2">
      <c r="A548" t="str">
        <f t="shared" si="152"/>
        <v>https://shop.officineitalianezard.it/en/hight-mounted-full-kit-2-1/</v>
      </c>
      <c r="B548" t="b">
        <f>COUNTIF($A$2:$A548, A548)&gt;1</f>
        <v>1</v>
      </c>
      <c r="C548" t="b">
        <f t="shared" si="153"/>
        <v>1</v>
      </c>
      <c r="D548">
        <f>VLOOKUP(A548,variant_counts!A:B, 2, FALSE)</f>
        <v>4</v>
      </c>
      <c r="E548" t="str">
        <f t="shared" si="166"/>
        <v>zard-exhaust-hight-mounted-full-kit-21-triumph-scrambler-my-2016-injection-ztph034ska</v>
      </c>
      <c r="F548" t="str">
        <f t="shared" si="154"/>
        <v>ZARD EXHAUST HIGHT MOUNTED FULL KIT 2&gt;1 TRIUMPH SCRAMBLER &lt; M.Y. 2016 INJECTION ZTPH034SKA</v>
      </c>
      <c r="G548" t="str">
        <f t="shared" si="155"/>
        <v/>
      </c>
      <c r="H548" t="str">
        <f t="shared" si="167"/>
        <v/>
      </c>
      <c r="I548" t="str">
        <f t="shared" si="168"/>
        <v/>
      </c>
      <c r="J548" t="str">
        <f t="shared" si="169"/>
        <v/>
      </c>
      <c r="K548" t="str">
        <f t="shared" si="170"/>
        <v/>
      </c>
      <c r="L548" t="str">
        <f t="shared" si="156"/>
        <v>Option</v>
      </c>
      <c r="M548" t="str">
        <f t="shared" si="157"/>
        <v>POLISHED</v>
      </c>
      <c r="R548" t="str">
        <f t="shared" si="158"/>
        <v>ZTPH034SKA</v>
      </c>
      <c r="S548">
        <f t="shared" si="159"/>
        <v>0</v>
      </c>
      <c r="U548" t="str">
        <f t="shared" si="160"/>
        <v>continue</v>
      </c>
      <c r="V548" t="str">
        <f t="shared" si="161"/>
        <v>manual</v>
      </c>
      <c r="W548" s="5">
        <f t="shared" si="162"/>
        <v>1019.8347000000001</v>
      </c>
      <c r="Y548" t="b">
        <f t="shared" si="163"/>
        <v>1</v>
      </c>
      <c r="Z548" t="b">
        <f t="shared" si="164"/>
        <v>0</v>
      </c>
      <c r="AB548" t="str">
        <f t="shared" si="165"/>
        <v/>
      </c>
      <c r="AE548" t="b">
        <v>0</v>
      </c>
    </row>
    <row r="549" spans="1:31" x14ac:dyDescent="0.2">
      <c r="A549" t="str">
        <f t="shared" si="152"/>
        <v>https://shop.officineitalianezard.it/en/hight-mounted-full-kit-2-1/</v>
      </c>
      <c r="B549" t="b">
        <f>COUNTIF($A$2:$A549, A549)&gt;1</f>
        <v>1</v>
      </c>
      <c r="C549" t="b">
        <f t="shared" si="153"/>
        <v>1</v>
      </c>
      <c r="D549">
        <f>VLOOKUP(A549,variant_counts!A:B, 2, FALSE)</f>
        <v>4</v>
      </c>
      <c r="E549" t="str">
        <f t="shared" si="166"/>
        <v>zard-exhaust-hight-mounted-full-kit-21-triumph-scrambler-my-2016-injection-ztph034ska</v>
      </c>
      <c r="F549" t="str">
        <f t="shared" si="154"/>
        <v>ZARD EXHAUST HIGHT MOUNTED FULL KIT 2&gt;1 TRIUMPH SCRAMBLER &lt; M.Y. 2016 INJECTION ZTPH034SKA</v>
      </c>
      <c r="G549" t="str">
        <f t="shared" si="155"/>
        <v/>
      </c>
      <c r="H549" t="str">
        <f t="shared" si="167"/>
        <v/>
      </c>
      <c r="I549" t="str">
        <f t="shared" si="168"/>
        <v/>
      </c>
      <c r="J549" t="str">
        <f t="shared" si="169"/>
        <v/>
      </c>
      <c r="K549" t="str">
        <f t="shared" si="170"/>
        <v/>
      </c>
      <c r="L549" t="str">
        <f t="shared" si="156"/>
        <v>Option</v>
      </c>
      <c r="M549" t="str">
        <f t="shared" si="157"/>
        <v>BLACK HEAT SHIELDS</v>
      </c>
      <c r="R549" t="str">
        <f t="shared" si="158"/>
        <v>ZTPH034SKA</v>
      </c>
      <c r="S549">
        <f t="shared" si="159"/>
        <v>0</v>
      </c>
      <c r="U549" t="str">
        <f t="shared" si="160"/>
        <v>continue</v>
      </c>
      <c r="V549" t="str">
        <f t="shared" si="161"/>
        <v>manual</v>
      </c>
      <c r="W549" s="5">
        <f t="shared" si="162"/>
        <v>972.33780000000013</v>
      </c>
      <c r="Y549" t="b">
        <f t="shared" si="163"/>
        <v>1</v>
      </c>
      <c r="Z549" t="b">
        <f t="shared" si="164"/>
        <v>0</v>
      </c>
      <c r="AB549" t="str">
        <f t="shared" si="165"/>
        <v/>
      </c>
      <c r="AE549" t="b">
        <v>0</v>
      </c>
    </row>
    <row r="550" spans="1:31" x14ac:dyDescent="0.2">
      <c r="A550" t="str">
        <f t="shared" si="152"/>
        <v>https://shop.officineitalianezard.it/en/hight-mounted-full-kit-2-2/</v>
      </c>
      <c r="B550" t="b">
        <f>COUNTIF($A$2:$A550, A550)&gt;1</f>
        <v>0</v>
      </c>
      <c r="C550" t="b">
        <f t="shared" si="153"/>
        <v>0</v>
      </c>
      <c r="D550">
        <f>VLOOKUP(A550,variant_counts!A:B, 2, FALSE)</f>
        <v>4</v>
      </c>
      <c r="E550" t="str">
        <f t="shared" si="166"/>
        <v>zard-exhaust-hight-mounted-full-kit-21-triumph-scrambler-my-2016-carburettor-ztph034ska</v>
      </c>
      <c r="F550" t="str">
        <f t="shared" si="154"/>
        <v>ZARD EXHAUST HIGHT MOUNTED FULL KIT 2&gt;1 TRIUMPH SCRAMBLER &lt; M.Y. 2016 CARBURETTOR ZTPH034SKA</v>
      </c>
      <c r="G550" t="str">
        <f t="shared" si="155"/>
        <v>&lt;p&gt;2&amp;gt;1 STEEL RACING HIGHT MOUNTED FULL KIT&amp;nbsp;&lt;/p&gt;
&lt;p&gt;ORIGINAL FULL KIT WEIGHT: KG 11.6&lt;br&gt;ZARD FULL KIT WEIGHT: KG 4.4&lt;/p&gt;
&lt;p&gt;'BLACK CERAMIC COATING' OPTIONAL INCLUDES BOTH BLACK HEAT SHIELDS AND BLACK + SILVER WIRE MESHEES&lt;/p&gt;
&lt;p&gt;HARD INCREASE IN TERMS OF RESPONSE IN THE RANGE BETWEEN 4000 AND 6500 RPM AND 1.5 MORE HP COMPARED TO THE ORIGINAL EXHAUST SYSTEM.&lt;/p&gt;
&lt;p&gt;ASTONISHING SOUND.&lt;/p&gt;
&lt;p&gt;VIDEO:&amp;nbsp;&lt;a href="https://goo.gl/otwf4E"&gt;https://goo.gl/otwf4E&lt;/a&gt;&lt;br class="Apple-interchange-newline"&gt;&lt;br&gt;&lt;/p&gt;</v>
      </c>
      <c r="H550" t="str">
        <f t="shared" si="167"/>
        <v>ZARD</v>
      </c>
      <c r="I550" t="str">
        <f t="shared" si="168"/>
        <v>Exhaust Pipe</v>
      </c>
      <c r="J550" t="str">
        <f t="shared" si="169"/>
        <v>Test</v>
      </c>
      <c r="K550" t="b">
        <f t="shared" si="170"/>
        <v>0</v>
      </c>
      <c r="L550" t="str">
        <f t="shared" si="156"/>
        <v/>
      </c>
      <c r="M550" t="str">
        <f t="shared" si="157"/>
        <v/>
      </c>
      <c r="R550" t="str">
        <f t="shared" si="158"/>
        <v/>
      </c>
      <c r="S550" t="str">
        <f t="shared" si="159"/>
        <v/>
      </c>
      <c r="U550" t="str">
        <f t="shared" si="160"/>
        <v/>
      </c>
      <c r="V550" t="str">
        <f t="shared" si="161"/>
        <v/>
      </c>
      <c r="W550" s="5" t="str">
        <f t="shared" si="162"/>
        <v/>
      </c>
      <c r="Y550" t="str">
        <f t="shared" si="163"/>
        <v/>
      </c>
      <c r="Z550" t="str">
        <f t="shared" si="164"/>
        <v/>
      </c>
      <c r="AB550" t="str">
        <f t="shared" si="165"/>
        <v>https://shop.officineitalianezard.it/contents/imgs/products/1_1370-zard.jpg</v>
      </c>
      <c r="AE550" t="b">
        <v>0</v>
      </c>
    </row>
    <row r="551" spans="1:31" x14ac:dyDescent="0.2">
      <c r="A551" t="str">
        <f t="shared" si="152"/>
        <v>https://shop.officineitalianezard.it/en/hight-mounted-full-kit-2-2/</v>
      </c>
      <c r="B551" t="b">
        <f>COUNTIF($A$2:$A551, A551)&gt;1</f>
        <v>1</v>
      </c>
      <c r="C551" t="b">
        <f t="shared" si="153"/>
        <v>0</v>
      </c>
      <c r="D551">
        <f>VLOOKUP(A551,variant_counts!A:B, 2, FALSE)</f>
        <v>4</v>
      </c>
      <c r="E551" t="str">
        <f t="shared" si="166"/>
        <v>zard-exhaust-hight-mounted-full-kit-21-triumph-scrambler-my-2016-carburettor-ztph034ska</v>
      </c>
      <c r="F551" t="str">
        <f t="shared" si="154"/>
        <v>ZARD EXHAUST HIGHT MOUNTED FULL KIT 2&gt;1 TRIUMPH SCRAMBLER &lt; M.Y. 2016 CARBURETTOR ZTPH034SKA</v>
      </c>
      <c r="G551" t="str">
        <f t="shared" si="155"/>
        <v/>
      </c>
      <c r="H551" t="str">
        <f t="shared" si="167"/>
        <v/>
      </c>
      <c r="I551" t="str">
        <f t="shared" si="168"/>
        <v/>
      </c>
      <c r="J551" t="str">
        <f t="shared" si="169"/>
        <v/>
      </c>
      <c r="K551" t="str">
        <f t="shared" si="170"/>
        <v/>
      </c>
      <c r="L551" t="str">
        <f t="shared" si="156"/>
        <v/>
      </c>
      <c r="M551" t="str">
        <f t="shared" si="157"/>
        <v/>
      </c>
      <c r="R551" t="str">
        <f t="shared" si="158"/>
        <v/>
      </c>
      <c r="S551" t="str">
        <f t="shared" si="159"/>
        <v/>
      </c>
      <c r="U551" t="str">
        <f t="shared" si="160"/>
        <v/>
      </c>
      <c r="V551" t="str">
        <f t="shared" si="161"/>
        <v/>
      </c>
      <c r="W551" s="5" t="str">
        <f t="shared" si="162"/>
        <v/>
      </c>
      <c r="Y551" t="str">
        <f t="shared" si="163"/>
        <v/>
      </c>
      <c r="Z551" t="str">
        <f t="shared" si="164"/>
        <v/>
      </c>
      <c r="AB551" t="str">
        <f t="shared" si="165"/>
        <v>https://shop.officineitalianezard.it/contents/imgs/products/1_503-zard%20nera.jpg</v>
      </c>
      <c r="AE551" t="b">
        <v>0</v>
      </c>
    </row>
    <row r="552" spans="1:31" x14ac:dyDescent="0.2">
      <c r="A552" t="str">
        <f t="shared" si="152"/>
        <v>https://shop.officineitalianezard.it/en/hight-mounted-full-kit-2-2/</v>
      </c>
      <c r="B552" t="b">
        <f>COUNTIF($A$2:$A552, A552)&gt;1</f>
        <v>1</v>
      </c>
      <c r="C552" t="b">
        <f t="shared" si="153"/>
        <v>0</v>
      </c>
      <c r="D552">
        <f>VLOOKUP(A552,variant_counts!A:B, 2, FALSE)</f>
        <v>4</v>
      </c>
      <c r="E552" t="str">
        <f t="shared" si="166"/>
        <v>zard-exhaust-hight-mounted-full-kit-21-triumph-scrambler-my-2016-carburettor-ztph034ska</v>
      </c>
      <c r="F552" t="str">
        <f t="shared" si="154"/>
        <v>ZARD EXHAUST HIGHT MOUNTED FULL KIT 2&gt;1 TRIUMPH SCRAMBLER &lt; M.Y. 2016 CARBURETTOR ZTPH034SKA</v>
      </c>
      <c r="G552" t="str">
        <f t="shared" si="155"/>
        <v/>
      </c>
      <c r="H552" t="str">
        <f t="shared" si="167"/>
        <v/>
      </c>
      <c r="I552" t="str">
        <f t="shared" si="168"/>
        <v/>
      </c>
      <c r="J552" t="str">
        <f t="shared" si="169"/>
        <v/>
      </c>
      <c r="K552" t="str">
        <f t="shared" si="170"/>
        <v/>
      </c>
      <c r="L552" t="str">
        <f t="shared" si="156"/>
        <v/>
      </c>
      <c r="M552" t="str">
        <f t="shared" si="157"/>
        <v/>
      </c>
      <c r="R552" t="str">
        <f t="shared" si="158"/>
        <v/>
      </c>
      <c r="S552" t="str">
        <f t="shared" si="159"/>
        <v/>
      </c>
      <c r="U552" t="str">
        <f t="shared" si="160"/>
        <v/>
      </c>
      <c r="V552" t="str">
        <f t="shared" si="161"/>
        <v/>
      </c>
      <c r="W552" s="5" t="str">
        <f t="shared" si="162"/>
        <v/>
      </c>
      <c r="Y552" t="str">
        <f t="shared" si="163"/>
        <v/>
      </c>
      <c r="Z552" t="str">
        <f t="shared" si="164"/>
        <v/>
      </c>
      <c r="AB552" t="str">
        <f t="shared" si="165"/>
        <v>https://shop.officineitalianezard.it/contents/imgs/products/1_86-garys-triumph-007.jpg</v>
      </c>
      <c r="AE552" t="b">
        <v>0</v>
      </c>
    </row>
    <row r="553" spans="1:31" x14ac:dyDescent="0.2">
      <c r="A553" t="str">
        <f t="shared" si="152"/>
        <v>https://shop.officineitalianezard.it/en/hight-mounted-full-kit-2-2/</v>
      </c>
      <c r="B553" t="b">
        <f>COUNTIF($A$2:$A553, A553)&gt;1</f>
        <v>1</v>
      </c>
      <c r="C553" t="b">
        <f t="shared" si="153"/>
        <v>1</v>
      </c>
      <c r="D553">
        <f>VLOOKUP(A553,variant_counts!A:B, 2, FALSE)</f>
        <v>4</v>
      </c>
      <c r="E553" t="str">
        <f t="shared" si="166"/>
        <v>zard-exhaust-hight-mounted-full-kit-21-triumph-scrambler-my-2016-carburettor-ztph034ska</v>
      </c>
      <c r="F553" t="str">
        <f t="shared" si="154"/>
        <v>ZARD EXHAUST HIGHT MOUNTED FULL KIT 2&gt;1 TRIUMPH SCRAMBLER &lt; M.Y. 2016 CARBURETTOR ZTPH034SKA</v>
      </c>
      <c r="G553" t="str">
        <f t="shared" si="155"/>
        <v/>
      </c>
      <c r="H553" t="str">
        <f t="shared" si="167"/>
        <v/>
      </c>
      <c r="I553" t="str">
        <f t="shared" si="168"/>
        <v/>
      </c>
      <c r="J553" t="str">
        <f t="shared" si="169"/>
        <v/>
      </c>
      <c r="K553" t="str">
        <f t="shared" si="170"/>
        <v/>
      </c>
      <c r="L553" t="str">
        <f t="shared" si="156"/>
        <v>Option</v>
      </c>
      <c r="M553" t="str">
        <f t="shared" si="157"/>
        <v>EURO 3 HOMOLOGATED</v>
      </c>
      <c r="R553" t="str">
        <f t="shared" si="158"/>
        <v>ZTPH034SKA</v>
      </c>
      <c r="S553">
        <f t="shared" si="159"/>
        <v>0</v>
      </c>
      <c r="U553" t="str">
        <f t="shared" si="160"/>
        <v>continue</v>
      </c>
      <c r="V553" t="str">
        <f t="shared" si="161"/>
        <v>manual</v>
      </c>
      <c r="W553" s="5">
        <f t="shared" si="162"/>
        <v>1009.1898</v>
      </c>
      <c r="Y553" t="b">
        <f t="shared" si="163"/>
        <v>1</v>
      </c>
      <c r="Z553" t="b">
        <f t="shared" si="164"/>
        <v>0</v>
      </c>
      <c r="AB553" t="str">
        <f t="shared" si="165"/>
        <v/>
      </c>
      <c r="AE553" t="b">
        <v>0</v>
      </c>
    </row>
    <row r="554" spans="1:31" x14ac:dyDescent="0.2">
      <c r="A554" t="str">
        <f t="shared" si="152"/>
        <v>https://shop.officineitalianezard.it/en/hight-mounted-full-kit-2-2/</v>
      </c>
      <c r="B554" t="b">
        <f>COUNTIF($A$2:$A554, A554)&gt;1</f>
        <v>1</v>
      </c>
      <c r="C554" t="b">
        <f t="shared" si="153"/>
        <v>1</v>
      </c>
      <c r="D554">
        <f>VLOOKUP(A554,variant_counts!A:B, 2, FALSE)</f>
        <v>4</v>
      </c>
      <c r="E554" t="str">
        <f t="shared" si="166"/>
        <v>zard-exhaust-hight-mounted-full-kit-21-triumph-scrambler-my-2016-carburettor-ztph034ska</v>
      </c>
      <c r="F554" t="str">
        <f t="shared" si="154"/>
        <v>ZARD EXHAUST HIGHT MOUNTED FULL KIT 2&gt;1 TRIUMPH SCRAMBLER &lt; M.Y. 2016 CARBURETTOR ZTPH034SKA</v>
      </c>
      <c r="G554" t="str">
        <f t="shared" si="155"/>
        <v/>
      </c>
      <c r="H554" t="str">
        <f t="shared" si="167"/>
        <v/>
      </c>
      <c r="I554" t="str">
        <f t="shared" si="168"/>
        <v/>
      </c>
      <c r="J554" t="str">
        <f t="shared" si="169"/>
        <v/>
      </c>
      <c r="K554" t="str">
        <f t="shared" si="170"/>
        <v/>
      </c>
      <c r="L554" t="str">
        <f t="shared" si="156"/>
        <v>Option</v>
      </c>
      <c r="M554" t="str">
        <f t="shared" si="157"/>
        <v>BLACK COATING</v>
      </c>
      <c r="R554" t="str">
        <f t="shared" si="158"/>
        <v>ZTPH034SKA</v>
      </c>
      <c r="S554">
        <f t="shared" si="159"/>
        <v>0</v>
      </c>
      <c r="U554" t="str">
        <f t="shared" si="160"/>
        <v>continue</v>
      </c>
      <c r="V554" t="str">
        <f t="shared" si="161"/>
        <v>manual</v>
      </c>
      <c r="W554" s="5">
        <f t="shared" si="162"/>
        <v>1100.8980000000001</v>
      </c>
      <c r="Y554" t="b">
        <f t="shared" si="163"/>
        <v>1</v>
      </c>
      <c r="Z554" t="b">
        <f t="shared" si="164"/>
        <v>0</v>
      </c>
      <c r="AB554" t="str">
        <f t="shared" si="165"/>
        <v/>
      </c>
      <c r="AE554" t="b">
        <v>0</v>
      </c>
    </row>
    <row r="555" spans="1:31" x14ac:dyDescent="0.2">
      <c r="A555" t="str">
        <f t="shared" si="152"/>
        <v>https://shop.officineitalianezard.it/en/hight-mounted-full-kit-2-2/</v>
      </c>
      <c r="B555" t="b">
        <f>COUNTIF($A$2:$A555, A555)&gt;1</f>
        <v>1</v>
      </c>
      <c r="C555" t="b">
        <f t="shared" si="153"/>
        <v>1</v>
      </c>
      <c r="D555">
        <f>VLOOKUP(A555,variant_counts!A:B, 2, FALSE)</f>
        <v>4</v>
      </c>
      <c r="E555" t="str">
        <f t="shared" si="166"/>
        <v>zard-exhaust-hight-mounted-full-kit-21-triumph-scrambler-my-2016-carburettor-ztph034ska</v>
      </c>
      <c r="F555" t="str">
        <f t="shared" si="154"/>
        <v>ZARD EXHAUST HIGHT MOUNTED FULL KIT 2&gt;1 TRIUMPH SCRAMBLER &lt; M.Y. 2016 CARBURETTOR ZTPH034SKA</v>
      </c>
      <c r="G555" t="str">
        <f t="shared" si="155"/>
        <v/>
      </c>
      <c r="H555" t="str">
        <f t="shared" si="167"/>
        <v/>
      </c>
      <c r="I555" t="str">
        <f t="shared" si="168"/>
        <v/>
      </c>
      <c r="J555" t="str">
        <f t="shared" si="169"/>
        <v/>
      </c>
      <c r="K555" t="str">
        <f t="shared" si="170"/>
        <v/>
      </c>
      <c r="L555" t="str">
        <f t="shared" si="156"/>
        <v>Option</v>
      </c>
      <c r="M555" t="str">
        <f t="shared" si="157"/>
        <v>POLISHED</v>
      </c>
      <c r="R555" t="str">
        <f t="shared" si="158"/>
        <v>ZTPH034SKA</v>
      </c>
      <c r="S555">
        <f t="shared" si="159"/>
        <v>0</v>
      </c>
      <c r="U555" t="str">
        <f t="shared" si="160"/>
        <v>continue</v>
      </c>
      <c r="V555" t="str">
        <f t="shared" si="161"/>
        <v>manual</v>
      </c>
      <c r="W555" s="5">
        <f t="shared" si="162"/>
        <v>1019.8347000000001</v>
      </c>
      <c r="Y555" t="b">
        <f t="shared" si="163"/>
        <v>1</v>
      </c>
      <c r="Z555" t="b">
        <f t="shared" si="164"/>
        <v>0</v>
      </c>
      <c r="AB555" t="str">
        <f t="shared" si="165"/>
        <v/>
      </c>
      <c r="AE555" t="b">
        <v>0</v>
      </c>
    </row>
    <row r="556" spans="1:31" x14ac:dyDescent="0.2">
      <c r="A556" t="str">
        <f t="shared" si="152"/>
        <v>https://shop.officineitalianezard.it/en/hight-mounted-full-kit-2-2/</v>
      </c>
      <c r="B556" t="b">
        <f>COUNTIF($A$2:$A556, A556)&gt;1</f>
        <v>1</v>
      </c>
      <c r="C556" t="b">
        <f t="shared" si="153"/>
        <v>1</v>
      </c>
      <c r="D556">
        <f>VLOOKUP(A556,variant_counts!A:B, 2, FALSE)</f>
        <v>4</v>
      </c>
      <c r="E556" t="str">
        <f t="shared" si="166"/>
        <v>zard-exhaust-hight-mounted-full-kit-21-triumph-scrambler-my-2016-carburettor-ztph034ska</v>
      </c>
      <c r="F556" t="str">
        <f t="shared" si="154"/>
        <v>ZARD EXHAUST HIGHT MOUNTED FULL KIT 2&gt;1 TRIUMPH SCRAMBLER &lt; M.Y. 2016 CARBURETTOR ZTPH034SKA</v>
      </c>
      <c r="G556" t="str">
        <f t="shared" si="155"/>
        <v/>
      </c>
      <c r="H556" t="str">
        <f t="shared" si="167"/>
        <v/>
      </c>
      <c r="I556" t="str">
        <f t="shared" si="168"/>
        <v/>
      </c>
      <c r="J556" t="str">
        <f t="shared" si="169"/>
        <v/>
      </c>
      <c r="K556" t="str">
        <f t="shared" si="170"/>
        <v/>
      </c>
      <c r="L556" t="str">
        <f t="shared" si="156"/>
        <v>Option</v>
      </c>
      <c r="M556" t="str">
        <f t="shared" si="157"/>
        <v>BLACK HEAT SHIELDS</v>
      </c>
      <c r="R556" t="str">
        <f t="shared" si="158"/>
        <v>ZTPH034SKA</v>
      </c>
      <c r="S556">
        <f t="shared" si="159"/>
        <v>0</v>
      </c>
      <c r="U556" t="str">
        <f t="shared" si="160"/>
        <v>continue</v>
      </c>
      <c r="V556" t="str">
        <f t="shared" si="161"/>
        <v>manual</v>
      </c>
      <c r="W556" s="5">
        <f t="shared" si="162"/>
        <v>972.33780000000013</v>
      </c>
      <c r="Y556" t="b">
        <f t="shared" si="163"/>
        <v>1</v>
      </c>
      <c r="Z556" t="b">
        <f t="shared" si="164"/>
        <v>0</v>
      </c>
      <c r="AB556" t="str">
        <f t="shared" si="165"/>
        <v/>
      </c>
      <c r="AE556" t="b">
        <v>0</v>
      </c>
    </row>
    <row r="557" spans="1:31" x14ac:dyDescent="0.2">
      <c r="A557" t="str">
        <f t="shared" si="152"/>
        <v>https://shop.officineitalianezard.it/en/2-1-high-mounted-short-full-kit/</v>
      </c>
      <c r="B557" t="b">
        <f>COUNTIF($A$2:$A557, A557)&gt;1</f>
        <v>0</v>
      </c>
      <c r="C557" t="b">
        <f t="shared" si="153"/>
        <v>0</v>
      </c>
      <c r="D557">
        <f>VLOOKUP(A557,variant_counts!A:B, 2, FALSE)</f>
        <v>2</v>
      </c>
      <c r="E557" t="str">
        <f t="shared" si="166"/>
        <v>zard-exhaust-21-high-mounted-short-full-kit-triumph-scrambler-my-2016-injection-ztph048ska-08</v>
      </c>
      <c r="F557" t="str">
        <f t="shared" si="154"/>
        <v>ZARD EXHAUST 2&gt;1 HIGH MOUNTED SHORT FULL KIT TRIUMPH SCRAMBLER &lt; M.Y. 2016 INJECTION ZTPH048SKA-08</v>
      </c>
      <c r="G557" t="str">
        <f t="shared" si="155"/>
        <v>&lt;p&gt;2&amp;gt;1 STEEL RACING HIGH MOUNTED SHORT FULL KIT WITH REMOVABLE DBKILLERS&lt;/p&gt;
&lt;p&gt;ORIGINAL FULL KIT WEIGHT: KG 11.6&lt;br&gt;ZARD FULL KIT WEIGHT: KG 3.9&lt;/p&gt;
&lt;p&gt;'BLACK CERAMIC COATING' OPTIONAL INCLUDES BOTH BLACK HEAT SHIELDS AND BLACK + SILVER WIRE MESHEES&lt;/p&gt;
&lt;p&gt;HARD INCREASE IN TERMS OF RESPONSE IN THE RANGE BETWEEN 4000 AND 6500 RPM AND 1.5 MORE HP COMPARED TO THE ORIGINAL EXHAUST SYSTEM.&lt;/p&gt;
&lt;p&gt;ASTONISHING SOUND.&lt;/p&gt;
&lt;p&gt;&lt;/p&gt;</v>
      </c>
      <c r="H557" t="str">
        <f t="shared" si="167"/>
        <v>ZARD</v>
      </c>
      <c r="I557" t="str">
        <f t="shared" si="168"/>
        <v>Exhaust Pipe</v>
      </c>
      <c r="J557" t="str">
        <f t="shared" si="169"/>
        <v>Test</v>
      </c>
      <c r="K557" t="b">
        <f t="shared" si="170"/>
        <v>0</v>
      </c>
      <c r="L557" t="str">
        <f t="shared" si="156"/>
        <v/>
      </c>
      <c r="M557" t="str">
        <f t="shared" si="157"/>
        <v/>
      </c>
      <c r="R557" t="str">
        <f t="shared" si="158"/>
        <v/>
      </c>
      <c r="S557" t="str">
        <f t="shared" si="159"/>
        <v/>
      </c>
      <c r="U557" t="str">
        <f t="shared" si="160"/>
        <v/>
      </c>
      <c r="V557" t="str">
        <f t="shared" si="161"/>
        <v/>
      </c>
      <c r="W557" s="5" t="str">
        <f t="shared" si="162"/>
        <v/>
      </c>
      <c r="Y557" t="str">
        <f t="shared" si="163"/>
        <v/>
      </c>
      <c r="Z557" t="str">
        <f t="shared" si="164"/>
        <v/>
      </c>
      <c r="AB557" t="str">
        <f t="shared" si="165"/>
        <v>https://shop.officineitalianezard.it/contents/imgs/products/1_505-zard%20triumph%20scrambler.jpg</v>
      </c>
      <c r="AE557" t="b">
        <v>0</v>
      </c>
    </row>
    <row r="558" spans="1:31" x14ac:dyDescent="0.2">
      <c r="A558" t="str">
        <f t="shared" si="152"/>
        <v>https://shop.officineitalianezard.it/en/2-1-high-mounted-short-full-kit/</v>
      </c>
      <c r="B558" t="b">
        <f>COUNTIF($A$2:$A558, A558)&gt;1</f>
        <v>1</v>
      </c>
      <c r="C558" t="b">
        <f t="shared" si="153"/>
        <v>0</v>
      </c>
      <c r="D558">
        <f>VLOOKUP(A558,variant_counts!A:B, 2, FALSE)</f>
        <v>2</v>
      </c>
      <c r="E558" t="str">
        <f t="shared" si="166"/>
        <v>zard-exhaust-21-high-mounted-short-full-kit-triumph-scrambler-my-2016-injection-ztph048ska-08</v>
      </c>
      <c r="F558" t="str">
        <f t="shared" si="154"/>
        <v>ZARD EXHAUST 2&gt;1 HIGH MOUNTED SHORT FULL KIT TRIUMPH SCRAMBLER &lt; M.Y. 2016 INJECTION ZTPH048SKA-08</v>
      </c>
      <c r="G558" t="str">
        <f t="shared" si="155"/>
        <v/>
      </c>
      <c r="H558" t="str">
        <f t="shared" si="167"/>
        <v/>
      </c>
      <c r="I558" t="str">
        <f t="shared" si="168"/>
        <v/>
      </c>
      <c r="J558" t="str">
        <f t="shared" si="169"/>
        <v/>
      </c>
      <c r="K558" t="str">
        <f t="shared" si="170"/>
        <v/>
      </c>
      <c r="L558" t="str">
        <f t="shared" si="156"/>
        <v/>
      </c>
      <c r="M558" t="str">
        <f t="shared" si="157"/>
        <v/>
      </c>
      <c r="R558" t="str">
        <f t="shared" si="158"/>
        <v/>
      </c>
      <c r="S558" t="str">
        <f t="shared" si="159"/>
        <v/>
      </c>
      <c r="U558" t="str">
        <f t="shared" si="160"/>
        <v/>
      </c>
      <c r="V558" t="str">
        <f t="shared" si="161"/>
        <v/>
      </c>
      <c r="W558" s="5" t="str">
        <f t="shared" si="162"/>
        <v/>
      </c>
      <c r="Y558" t="str">
        <f t="shared" si="163"/>
        <v/>
      </c>
      <c r="Z558" t="str">
        <f t="shared" si="164"/>
        <v/>
      </c>
      <c r="AB558" t="str">
        <f t="shared" si="165"/>
        <v>https://shop.officineitalianezard.it/contents/imgs/products/1_446-1MG_1038.JPG</v>
      </c>
      <c r="AE558" t="b">
        <v>0</v>
      </c>
    </row>
    <row r="559" spans="1:31" x14ac:dyDescent="0.2">
      <c r="A559" t="str">
        <f t="shared" si="152"/>
        <v>https://shop.officineitalianezard.it/en/2-1-high-mounted-short-full-kit/</v>
      </c>
      <c r="B559" t="b">
        <f>COUNTIF($A$2:$A559, A559)&gt;1</f>
        <v>1</v>
      </c>
      <c r="C559" t="b">
        <f t="shared" si="153"/>
        <v>0</v>
      </c>
      <c r="D559">
        <f>VLOOKUP(A559,variant_counts!A:B, 2, FALSE)</f>
        <v>2</v>
      </c>
      <c r="E559" t="str">
        <f t="shared" si="166"/>
        <v>zard-exhaust-21-high-mounted-short-full-kit-triumph-scrambler-my-2016-injection-ztph048ska-08</v>
      </c>
      <c r="F559" t="str">
        <f t="shared" si="154"/>
        <v>ZARD EXHAUST 2&gt;1 HIGH MOUNTED SHORT FULL KIT TRIUMPH SCRAMBLER &lt; M.Y. 2016 INJECTION ZTPH048SKA-08</v>
      </c>
      <c r="G559" t="str">
        <f t="shared" si="155"/>
        <v/>
      </c>
      <c r="H559" t="str">
        <f t="shared" si="167"/>
        <v/>
      </c>
      <c r="I559" t="str">
        <f t="shared" si="168"/>
        <v/>
      </c>
      <c r="J559" t="str">
        <f t="shared" si="169"/>
        <v/>
      </c>
      <c r="K559" t="str">
        <f t="shared" si="170"/>
        <v/>
      </c>
      <c r="L559" t="str">
        <f t="shared" si="156"/>
        <v/>
      </c>
      <c r="M559" t="str">
        <f t="shared" si="157"/>
        <v/>
      </c>
      <c r="R559" t="str">
        <f t="shared" si="158"/>
        <v/>
      </c>
      <c r="S559" t="str">
        <f t="shared" si="159"/>
        <v/>
      </c>
      <c r="U559" t="str">
        <f t="shared" si="160"/>
        <v/>
      </c>
      <c r="V559" t="str">
        <f t="shared" si="161"/>
        <v/>
      </c>
      <c r="W559" s="5" t="str">
        <f t="shared" si="162"/>
        <v/>
      </c>
      <c r="Y559" t="str">
        <f t="shared" si="163"/>
        <v/>
      </c>
      <c r="Z559" t="str">
        <f t="shared" si="164"/>
        <v/>
      </c>
      <c r="AB559" t="str">
        <f t="shared" si="165"/>
        <v>https://shop.officineitalianezard.it/contents/imgs/products/1_1196-1.jpg</v>
      </c>
      <c r="AE559" t="b">
        <v>0</v>
      </c>
    </row>
    <row r="560" spans="1:31" x14ac:dyDescent="0.2">
      <c r="A560" t="str">
        <f t="shared" si="152"/>
        <v>https://shop.officineitalianezard.it/en/2-1-high-mounted-short-full-kit/</v>
      </c>
      <c r="B560" t="b">
        <f>COUNTIF($A$2:$A560, A560)&gt;1</f>
        <v>1</v>
      </c>
      <c r="C560" t="b">
        <f t="shared" si="153"/>
        <v>0</v>
      </c>
      <c r="D560">
        <f>VLOOKUP(A560,variant_counts!A:B, 2, FALSE)</f>
        <v>2</v>
      </c>
      <c r="E560" t="str">
        <f t="shared" si="166"/>
        <v>zard-exhaust-21-high-mounted-short-full-kit-triumph-scrambler-my-2016-injection-ztph048ska-08</v>
      </c>
      <c r="F560" t="str">
        <f t="shared" si="154"/>
        <v>ZARD EXHAUST 2&gt;1 HIGH MOUNTED SHORT FULL KIT TRIUMPH SCRAMBLER &lt; M.Y. 2016 INJECTION ZTPH048SKA-08</v>
      </c>
      <c r="G560" t="str">
        <f t="shared" si="155"/>
        <v/>
      </c>
      <c r="H560" t="str">
        <f t="shared" si="167"/>
        <v/>
      </c>
      <c r="I560" t="str">
        <f t="shared" si="168"/>
        <v/>
      </c>
      <c r="J560" t="str">
        <f t="shared" si="169"/>
        <v/>
      </c>
      <c r="K560" t="str">
        <f t="shared" si="170"/>
        <v/>
      </c>
      <c r="L560" t="str">
        <f t="shared" si="156"/>
        <v/>
      </c>
      <c r="M560" t="str">
        <f t="shared" si="157"/>
        <v/>
      </c>
      <c r="R560" t="str">
        <f t="shared" si="158"/>
        <v/>
      </c>
      <c r="S560" t="str">
        <f t="shared" si="159"/>
        <v/>
      </c>
      <c r="U560" t="str">
        <f t="shared" si="160"/>
        <v/>
      </c>
      <c r="V560" t="str">
        <f t="shared" si="161"/>
        <v/>
      </c>
      <c r="W560" s="5" t="str">
        <f t="shared" si="162"/>
        <v/>
      </c>
      <c r="Y560" t="str">
        <f t="shared" si="163"/>
        <v/>
      </c>
      <c r="Z560" t="str">
        <f t="shared" si="164"/>
        <v/>
      </c>
      <c r="AB560" t="str">
        <f t="shared" si="165"/>
        <v>https://shop.officineitalianezard.it/contents/imgs/products/1_1197-2.jpg</v>
      </c>
      <c r="AE560" t="b">
        <v>0</v>
      </c>
    </row>
    <row r="561" spans="1:31" x14ac:dyDescent="0.2">
      <c r="A561" t="str">
        <f t="shared" si="152"/>
        <v>https://shop.officineitalianezard.it/en/2-1-high-mounted-short-full-kit/</v>
      </c>
      <c r="B561" t="b">
        <f>COUNTIF($A$2:$A561, A561)&gt;1</f>
        <v>1</v>
      </c>
      <c r="C561" t="b">
        <f t="shared" si="153"/>
        <v>0</v>
      </c>
      <c r="D561">
        <f>VLOOKUP(A561,variant_counts!A:B, 2, FALSE)</f>
        <v>2</v>
      </c>
      <c r="E561" t="str">
        <f t="shared" si="166"/>
        <v>zard-exhaust-21-high-mounted-short-full-kit-triumph-scrambler-my-2016-injection-ztph048ska-08</v>
      </c>
      <c r="F561" t="str">
        <f t="shared" si="154"/>
        <v>ZARD EXHAUST 2&gt;1 HIGH MOUNTED SHORT FULL KIT TRIUMPH SCRAMBLER &lt; M.Y. 2016 INJECTION ZTPH048SKA-08</v>
      </c>
      <c r="G561" t="str">
        <f t="shared" si="155"/>
        <v/>
      </c>
      <c r="H561" t="str">
        <f t="shared" si="167"/>
        <v/>
      </c>
      <c r="I561" t="str">
        <f t="shared" si="168"/>
        <v/>
      </c>
      <c r="J561" t="str">
        <f t="shared" si="169"/>
        <v/>
      </c>
      <c r="K561" t="str">
        <f t="shared" si="170"/>
        <v/>
      </c>
      <c r="L561" t="str">
        <f t="shared" si="156"/>
        <v/>
      </c>
      <c r="M561" t="str">
        <f t="shared" si="157"/>
        <v/>
      </c>
      <c r="R561" t="str">
        <f t="shared" si="158"/>
        <v/>
      </c>
      <c r="S561" t="str">
        <f t="shared" si="159"/>
        <v/>
      </c>
      <c r="U561" t="str">
        <f t="shared" si="160"/>
        <v/>
      </c>
      <c r="V561" t="str">
        <f t="shared" si="161"/>
        <v/>
      </c>
      <c r="W561" s="5" t="str">
        <f t="shared" si="162"/>
        <v/>
      </c>
      <c r="Y561" t="str">
        <f t="shared" si="163"/>
        <v/>
      </c>
      <c r="Z561" t="str">
        <f t="shared" si="164"/>
        <v/>
      </c>
      <c r="AB561" t="str">
        <f t="shared" si="165"/>
        <v>https://shop.officineitalianezard.it/contents/imgs/products/1_1198-3.jpg</v>
      </c>
      <c r="AE561" t="b">
        <v>0</v>
      </c>
    </row>
    <row r="562" spans="1:31" x14ac:dyDescent="0.2">
      <c r="A562" t="str">
        <f t="shared" si="152"/>
        <v>https://shop.officineitalianezard.it/en/2-1-high-mounted-short-full-kit/</v>
      </c>
      <c r="B562" t="b">
        <f>COUNTIF($A$2:$A562, A562)&gt;1</f>
        <v>1</v>
      </c>
      <c r="C562" t="b">
        <f t="shared" si="153"/>
        <v>0</v>
      </c>
      <c r="D562">
        <f>VLOOKUP(A562,variant_counts!A:B, 2, FALSE)</f>
        <v>2</v>
      </c>
      <c r="E562" t="str">
        <f t="shared" si="166"/>
        <v>zard-exhaust-21-high-mounted-short-full-kit-triumph-scrambler-my-2016-injection-ztph048ska-08</v>
      </c>
      <c r="F562" t="str">
        <f t="shared" si="154"/>
        <v>ZARD EXHAUST 2&gt;1 HIGH MOUNTED SHORT FULL KIT TRIUMPH SCRAMBLER &lt; M.Y. 2016 INJECTION ZTPH048SKA-08</v>
      </c>
      <c r="G562" t="str">
        <f t="shared" si="155"/>
        <v/>
      </c>
      <c r="H562" t="str">
        <f t="shared" si="167"/>
        <v/>
      </c>
      <c r="I562" t="str">
        <f t="shared" si="168"/>
        <v/>
      </c>
      <c r="J562" t="str">
        <f t="shared" si="169"/>
        <v/>
      </c>
      <c r="K562" t="str">
        <f t="shared" si="170"/>
        <v/>
      </c>
      <c r="L562" t="str">
        <f t="shared" si="156"/>
        <v/>
      </c>
      <c r="M562" t="str">
        <f t="shared" si="157"/>
        <v/>
      </c>
      <c r="R562" t="str">
        <f t="shared" si="158"/>
        <v/>
      </c>
      <c r="S562" t="str">
        <f t="shared" si="159"/>
        <v/>
      </c>
      <c r="U562" t="str">
        <f t="shared" si="160"/>
        <v/>
      </c>
      <c r="V562" t="str">
        <f t="shared" si="161"/>
        <v/>
      </c>
      <c r="W562" s="5" t="str">
        <f t="shared" si="162"/>
        <v/>
      </c>
      <c r="Y562" t="str">
        <f t="shared" si="163"/>
        <v/>
      </c>
      <c r="Z562" t="str">
        <f t="shared" si="164"/>
        <v/>
      </c>
      <c r="AB562" t="str">
        <f t="shared" si="165"/>
        <v>https://shop.officineitalianezard.it/contents/imgs/products/1_1100-inox-paracalore%20nero.jpg</v>
      </c>
      <c r="AE562" t="b">
        <v>0</v>
      </c>
    </row>
    <row r="563" spans="1:31" x14ac:dyDescent="0.2">
      <c r="A563" t="str">
        <f t="shared" si="152"/>
        <v>https://shop.officineitalianezard.it/en/2-1-high-mounted-short-full-kit/</v>
      </c>
      <c r="B563" t="b">
        <f>COUNTIF($A$2:$A563, A563)&gt;1</f>
        <v>1</v>
      </c>
      <c r="C563" t="b">
        <f t="shared" si="153"/>
        <v>0</v>
      </c>
      <c r="D563">
        <f>VLOOKUP(A563,variant_counts!A:B, 2, FALSE)</f>
        <v>2</v>
      </c>
      <c r="E563" t="str">
        <f t="shared" si="166"/>
        <v>zard-exhaust-21-high-mounted-short-full-kit-triumph-scrambler-my-2016-injection-ztph048ska-08</v>
      </c>
      <c r="F563" t="str">
        <f t="shared" si="154"/>
        <v>ZARD EXHAUST 2&gt;1 HIGH MOUNTED SHORT FULL KIT TRIUMPH SCRAMBLER &lt; M.Y. 2016 INJECTION ZTPH048SKA-08</v>
      </c>
      <c r="G563" t="str">
        <f t="shared" si="155"/>
        <v/>
      </c>
      <c r="H563" t="str">
        <f t="shared" si="167"/>
        <v/>
      </c>
      <c r="I563" t="str">
        <f t="shared" si="168"/>
        <v/>
      </c>
      <c r="J563" t="str">
        <f t="shared" si="169"/>
        <v/>
      </c>
      <c r="K563" t="str">
        <f t="shared" si="170"/>
        <v/>
      </c>
      <c r="L563" t="str">
        <f t="shared" si="156"/>
        <v/>
      </c>
      <c r="M563" t="str">
        <f t="shared" si="157"/>
        <v/>
      </c>
      <c r="R563" t="str">
        <f t="shared" si="158"/>
        <v/>
      </c>
      <c r="S563" t="str">
        <f t="shared" si="159"/>
        <v/>
      </c>
      <c r="U563" t="str">
        <f t="shared" si="160"/>
        <v/>
      </c>
      <c r="V563" t="str">
        <f t="shared" si="161"/>
        <v/>
      </c>
      <c r="W563" s="5" t="str">
        <f t="shared" si="162"/>
        <v/>
      </c>
      <c r="Y563" t="str">
        <f t="shared" si="163"/>
        <v/>
      </c>
      <c r="Z563" t="str">
        <f t="shared" si="164"/>
        <v/>
      </c>
      <c r="AB563" t="str">
        <f t="shared" si="165"/>
        <v>https://shop.officineitalianezard.it/contents/imgs/products/1_1101-nero.jpg</v>
      </c>
      <c r="AE563" t="b">
        <v>0</v>
      </c>
    </row>
    <row r="564" spans="1:31" x14ac:dyDescent="0.2">
      <c r="A564" t="str">
        <f t="shared" si="152"/>
        <v>https://shop.officineitalianezard.it/en/2-1-high-mounted-short-full-kit/</v>
      </c>
      <c r="B564" t="b">
        <f>COUNTIF($A$2:$A564, A564)&gt;1</f>
        <v>1</v>
      </c>
      <c r="C564" t="b">
        <f t="shared" si="153"/>
        <v>0</v>
      </c>
      <c r="D564">
        <f>VLOOKUP(A564,variant_counts!A:B, 2, FALSE)</f>
        <v>2</v>
      </c>
      <c r="E564" t="str">
        <f t="shared" si="166"/>
        <v>zard-exhaust-21-high-mounted-short-full-kit-triumph-scrambler-my-2016-injection-ztph048ska-08</v>
      </c>
      <c r="F564" t="str">
        <f t="shared" si="154"/>
        <v>ZARD EXHAUST 2&gt;1 HIGH MOUNTED SHORT FULL KIT TRIUMPH SCRAMBLER &lt; M.Y. 2016 INJECTION ZTPH048SKA-08</v>
      </c>
      <c r="G564" t="str">
        <f t="shared" si="155"/>
        <v/>
      </c>
      <c r="H564" t="str">
        <f t="shared" si="167"/>
        <v/>
      </c>
      <c r="I564" t="str">
        <f t="shared" si="168"/>
        <v/>
      </c>
      <c r="J564" t="str">
        <f t="shared" si="169"/>
        <v/>
      </c>
      <c r="K564" t="str">
        <f t="shared" si="170"/>
        <v/>
      </c>
      <c r="L564" t="str">
        <f t="shared" si="156"/>
        <v/>
      </c>
      <c r="M564" t="str">
        <f t="shared" si="157"/>
        <v/>
      </c>
      <c r="R564" t="str">
        <f t="shared" si="158"/>
        <v/>
      </c>
      <c r="S564" t="str">
        <f t="shared" si="159"/>
        <v/>
      </c>
      <c r="U564" t="str">
        <f t="shared" si="160"/>
        <v/>
      </c>
      <c r="V564" t="str">
        <f t="shared" si="161"/>
        <v/>
      </c>
      <c r="W564" s="5" t="str">
        <f t="shared" si="162"/>
        <v/>
      </c>
      <c r="Y564" t="str">
        <f t="shared" si="163"/>
        <v/>
      </c>
      <c r="Z564" t="str">
        <f t="shared" si="164"/>
        <v/>
      </c>
      <c r="AB564" t="str">
        <f t="shared" si="165"/>
        <v>https://shop.officineitalianezard.it/contents/imgs/products/1_1102-inox.jpg</v>
      </c>
      <c r="AE564" t="b">
        <v>0</v>
      </c>
    </row>
    <row r="565" spans="1:31" x14ac:dyDescent="0.2">
      <c r="A565" t="str">
        <f t="shared" si="152"/>
        <v>https://shop.officineitalianezard.it/en/2-1-high-mounted-short-full-kit/</v>
      </c>
      <c r="B565" t="b">
        <f>COUNTIF($A$2:$A565, A565)&gt;1</f>
        <v>1</v>
      </c>
      <c r="C565" t="b">
        <f t="shared" si="153"/>
        <v>0</v>
      </c>
      <c r="D565">
        <f>VLOOKUP(A565,variant_counts!A:B, 2, FALSE)</f>
        <v>2</v>
      </c>
      <c r="E565" t="str">
        <f t="shared" si="166"/>
        <v>zard-exhaust-21-high-mounted-short-full-kit-triumph-scrambler-my-2016-injection-ztph048ska-08</v>
      </c>
      <c r="F565" t="str">
        <f t="shared" si="154"/>
        <v>ZARD EXHAUST 2&gt;1 HIGH MOUNTED SHORT FULL KIT TRIUMPH SCRAMBLER &lt; M.Y. 2016 INJECTION ZTPH048SKA-08</v>
      </c>
      <c r="G565" t="str">
        <f t="shared" si="155"/>
        <v/>
      </c>
      <c r="H565" t="str">
        <f t="shared" si="167"/>
        <v/>
      </c>
      <c r="I565" t="str">
        <f t="shared" si="168"/>
        <v/>
      </c>
      <c r="J565" t="str">
        <f t="shared" si="169"/>
        <v/>
      </c>
      <c r="K565" t="str">
        <f t="shared" si="170"/>
        <v/>
      </c>
      <c r="L565" t="str">
        <f t="shared" si="156"/>
        <v/>
      </c>
      <c r="M565" t="str">
        <f t="shared" si="157"/>
        <v/>
      </c>
      <c r="R565" t="str">
        <f t="shared" si="158"/>
        <v/>
      </c>
      <c r="S565" t="str">
        <f t="shared" si="159"/>
        <v/>
      </c>
      <c r="U565" t="str">
        <f t="shared" si="160"/>
        <v/>
      </c>
      <c r="V565" t="str">
        <f t="shared" si="161"/>
        <v/>
      </c>
      <c r="W565" s="5" t="str">
        <f t="shared" si="162"/>
        <v/>
      </c>
      <c r="Y565" t="str">
        <f t="shared" si="163"/>
        <v/>
      </c>
      <c r="Z565" t="str">
        <f t="shared" si="164"/>
        <v/>
      </c>
      <c r="AB565" t="str">
        <f t="shared" si="165"/>
        <v>https://shop.officineitalianezard.it/contents/imgs/products/1_1728-1066-scarico%20scrambler%20zard1.jpg</v>
      </c>
      <c r="AE565" t="b">
        <v>0</v>
      </c>
    </row>
    <row r="566" spans="1:31" x14ac:dyDescent="0.2">
      <c r="A566" t="str">
        <f t="shared" si="152"/>
        <v>https://shop.officineitalianezard.it/en/2-1-high-mounted-short-full-kit/</v>
      </c>
      <c r="B566" t="b">
        <f>COUNTIF($A$2:$A566, A566)&gt;1</f>
        <v>1</v>
      </c>
      <c r="C566" t="b">
        <f t="shared" si="153"/>
        <v>1</v>
      </c>
      <c r="D566">
        <f>VLOOKUP(A566,variant_counts!A:B, 2, FALSE)</f>
        <v>2</v>
      </c>
      <c r="E566" t="str">
        <f t="shared" si="166"/>
        <v>zard-exhaust-21-high-mounted-short-full-kit-triumph-scrambler-my-2016-injection-ztph048ska-08</v>
      </c>
      <c r="F566" t="str">
        <f t="shared" si="154"/>
        <v>ZARD EXHAUST 2&gt;1 HIGH MOUNTED SHORT FULL KIT TRIUMPH SCRAMBLER &lt; M.Y. 2016 INJECTION ZTPH048SKA-08</v>
      </c>
      <c r="G566" t="str">
        <f t="shared" si="155"/>
        <v/>
      </c>
      <c r="H566" t="str">
        <f t="shared" si="167"/>
        <v/>
      </c>
      <c r="I566" t="str">
        <f t="shared" si="168"/>
        <v/>
      </c>
      <c r="J566" t="str">
        <f t="shared" si="169"/>
        <v/>
      </c>
      <c r="K566" t="str">
        <f t="shared" si="170"/>
        <v/>
      </c>
      <c r="L566" t="str">
        <f t="shared" si="156"/>
        <v>Option</v>
      </c>
      <c r="M566" t="str">
        <f t="shared" si="157"/>
        <v>CATALYSED</v>
      </c>
      <c r="R566" t="str">
        <f t="shared" si="158"/>
        <v>ZTPH048SKA-08</v>
      </c>
      <c r="S566">
        <f t="shared" si="159"/>
        <v>0</v>
      </c>
      <c r="U566" t="str">
        <f t="shared" si="160"/>
        <v>continue</v>
      </c>
      <c r="V566" t="str">
        <f t="shared" si="161"/>
        <v>manual</v>
      </c>
      <c r="W566" s="5">
        <f t="shared" si="162"/>
        <v>1271.8602000000001</v>
      </c>
      <c r="Y566" t="b">
        <f t="shared" si="163"/>
        <v>1</v>
      </c>
      <c r="Z566" t="b">
        <f t="shared" si="164"/>
        <v>0</v>
      </c>
      <c r="AB566" t="str">
        <f t="shared" si="165"/>
        <v/>
      </c>
      <c r="AE566" t="b">
        <v>0</v>
      </c>
    </row>
    <row r="567" spans="1:31" x14ac:dyDescent="0.2">
      <c r="A567" t="str">
        <f t="shared" si="152"/>
        <v>https://shop.officineitalianezard.it/en/2-1-high-mounted-short-full-kit/</v>
      </c>
      <c r="B567" t="b">
        <f>COUNTIF($A$2:$A567, A567)&gt;1</f>
        <v>1</v>
      </c>
      <c r="C567" t="b">
        <f t="shared" si="153"/>
        <v>1</v>
      </c>
      <c r="D567">
        <f>VLOOKUP(A567,variant_counts!A:B, 2, FALSE)</f>
        <v>2</v>
      </c>
      <c r="E567" t="str">
        <f t="shared" si="166"/>
        <v>zard-exhaust-21-high-mounted-short-full-kit-triumph-scrambler-my-2016-injection-ztph048ska-08</v>
      </c>
      <c r="F567" t="str">
        <f t="shared" si="154"/>
        <v>ZARD EXHAUST 2&gt;1 HIGH MOUNTED SHORT FULL KIT TRIUMPH SCRAMBLER &lt; M.Y. 2016 INJECTION ZTPH048SKA-08</v>
      </c>
      <c r="G567" t="str">
        <f t="shared" si="155"/>
        <v/>
      </c>
      <c r="H567" t="str">
        <f t="shared" si="167"/>
        <v/>
      </c>
      <c r="I567" t="str">
        <f t="shared" si="168"/>
        <v/>
      </c>
      <c r="J567" t="str">
        <f t="shared" si="169"/>
        <v/>
      </c>
      <c r="K567" t="str">
        <f t="shared" si="170"/>
        <v/>
      </c>
      <c r="L567" t="str">
        <f t="shared" si="156"/>
        <v>Option</v>
      </c>
      <c r="M567" t="str">
        <f t="shared" si="157"/>
        <v>BLACK COATING</v>
      </c>
      <c r="R567" t="str">
        <f t="shared" si="158"/>
        <v>ZTPH048SKA-08</v>
      </c>
      <c r="S567">
        <f t="shared" si="159"/>
        <v>0</v>
      </c>
      <c r="U567" t="str">
        <f t="shared" si="160"/>
        <v>continue</v>
      </c>
      <c r="V567" t="str">
        <f t="shared" si="161"/>
        <v>manual</v>
      </c>
      <c r="W567" s="5">
        <f t="shared" si="162"/>
        <v>1230.0909000000001</v>
      </c>
      <c r="Y567" t="b">
        <f t="shared" si="163"/>
        <v>1</v>
      </c>
      <c r="Z567" t="b">
        <f t="shared" si="164"/>
        <v>0</v>
      </c>
      <c r="AB567" t="str">
        <f t="shared" si="165"/>
        <v/>
      </c>
      <c r="AE567" t="b">
        <v>0</v>
      </c>
    </row>
    <row r="568" spans="1:31" x14ac:dyDescent="0.2">
      <c r="A568" t="str">
        <f t="shared" si="152"/>
        <v>https://shop.officineitalianezard.it/en/2-1-hight-mounting-short-full-kit/</v>
      </c>
      <c r="B568" t="b">
        <f>COUNTIF($A$2:$A568, A568)&gt;1</f>
        <v>0</v>
      </c>
      <c r="C568" t="b">
        <f t="shared" si="153"/>
        <v>0</v>
      </c>
      <c r="D568">
        <f>VLOOKUP(A568,variant_counts!A:B, 2, FALSE)</f>
        <v>2</v>
      </c>
      <c r="E568" t="str">
        <f t="shared" si="166"/>
        <v>zard-exhaust-21-hight-mounting-short-full-kit-triumph-scrambler-my-2016-carburettor-ztph048ska</v>
      </c>
      <c r="F568" t="str">
        <f t="shared" si="154"/>
        <v>ZARD EXHAUST 2&gt;1 HIGHT MOUNTING SHORT FULL KIT TRIUMPH SCRAMBLER &lt; M.Y. 2016 CARBURETTOR ZTPH048SKA</v>
      </c>
      <c r="G568" t="str">
        <f t="shared" si="155"/>
        <v>&lt;p&gt;2&amp;gt;1 STEEL RACING FULL KIT WITH REMOVABLE DBKILLERS&lt;/p&gt;
&lt;p&gt;ORIGINAL FULL KIT WEIGHT: KG 11.6&lt;br&gt;ZARD FULL KIT WEIGHT: KG 3.9&lt;/p&gt;
&lt;p&gt;'BLACK CERAMIC COATING' OPTIONAL INCLUDES BOTH BLACK HEAT SHIELDS AND BLACK + SILVER WIRE MESHEES&lt;/p&gt;
&lt;p&gt;HARD INCREASE IN THE RANGE BETWEEN 4000 AND 6500 RPM AND 1.5 MORE HP COMPARED TO THE ORIGINAL EXHAUST SYSTEM.&lt;/p&gt;
&lt;p&gt;ASTONISHING SOUND.&lt;/p&gt;
&lt;p&gt;&lt;/p&gt;</v>
      </c>
      <c r="H568" t="str">
        <f t="shared" si="167"/>
        <v>ZARD</v>
      </c>
      <c r="I568" t="str">
        <f t="shared" si="168"/>
        <v>Exhaust Pipe</v>
      </c>
      <c r="J568" t="str">
        <f t="shared" si="169"/>
        <v>Test</v>
      </c>
      <c r="K568" t="b">
        <f t="shared" si="170"/>
        <v>0</v>
      </c>
      <c r="L568" t="str">
        <f t="shared" si="156"/>
        <v/>
      </c>
      <c r="M568" t="str">
        <f t="shared" si="157"/>
        <v/>
      </c>
      <c r="R568" t="str">
        <f t="shared" si="158"/>
        <v/>
      </c>
      <c r="S568" t="str">
        <f t="shared" si="159"/>
        <v/>
      </c>
      <c r="U568" t="str">
        <f t="shared" si="160"/>
        <v/>
      </c>
      <c r="V568" t="str">
        <f t="shared" si="161"/>
        <v/>
      </c>
      <c r="W568" s="5" t="str">
        <f t="shared" si="162"/>
        <v/>
      </c>
      <c r="Y568" t="str">
        <f t="shared" si="163"/>
        <v/>
      </c>
      <c r="Z568" t="str">
        <f t="shared" si="164"/>
        <v/>
      </c>
      <c r="AB568" t="str">
        <f t="shared" si="165"/>
        <v>https://shop.officineitalianezard.it/contents/imgs/products/1_499-zard%20triumph%20scrambler.jpg</v>
      </c>
      <c r="AE568" t="b">
        <v>0</v>
      </c>
    </row>
    <row r="569" spans="1:31" x14ac:dyDescent="0.2">
      <c r="A569" t="str">
        <f t="shared" si="152"/>
        <v>https://shop.officineitalianezard.it/en/2-1-hight-mounting-short-full-kit/</v>
      </c>
      <c r="B569" t="b">
        <f>COUNTIF($A$2:$A569, A569)&gt;1</f>
        <v>1</v>
      </c>
      <c r="C569" t="b">
        <f t="shared" si="153"/>
        <v>0</v>
      </c>
      <c r="D569">
        <f>VLOOKUP(A569,variant_counts!A:B, 2, FALSE)</f>
        <v>2</v>
      </c>
      <c r="E569" t="str">
        <f t="shared" si="166"/>
        <v>zard-exhaust-21-hight-mounting-short-full-kit-triumph-scrambler-my-2016-carburettor-ztph048ska</v>
      </c>
      <c r="F569" t="str">
        <f t="shared" si="154"/>
        <v>ZARD EXHAUST 2&gt;1 HIGHT MOUNTING SHORT FULL KIT TRIUMPH SCRAMBLER &lt; M.Y. 2016 CARBURETTOR ZTPH048SKA</v>
      </c>
      <c r="G569" t="str">
        <f t="shared" si="155"/>
        <v/>
      </c>
      <c r="H569" t="str">
        <f t="shared" si="167"/>
        <v/>
      </c>
      <c r="I569" t="str">
        <f t="shared" si="168"/>
        <v/>
      </c>
      <c r="J569" t="str">
        <f t="shared" si="169"/>
        <v/>
      </c>
      <c r="K569" t="str">
        <f t="shared" si="170"/>
        <v/>
      </c>
      <c r="L569" t="str">
        <f t="shared" si="156"/>
        <v/>
      </c>
      <c r="M569" t="str">
        <f t="shared" si="157"/>
        <v/>
      </c>
      <c r="R569" t="str">
        <f t="shared" si="158"/>
        <v/>
      </c>
      <c r="S569" t="str">
        <f t="shared" si="159"/>
        <v/>
      </c>
      <c r="U569" t="str">
        <f t="shared" si="160"/>
        <v/>
      </c>
      <c r="V569" t="str">
        <f t="shared" si="161"/>
        <v/>
      </c>
      <c r="W569" s="5" t="str">
        <f t="shared" si="162"/>
        <v/>
      </c>
      <c r="Y569" t="str">
        <f t="shared" si="163"/>
        <v/>
      </c>
      <c r="Z569" t="str">
        <f t="shared" si="164"/>
        <v/>
      </c>
      <c r="AB569" t="str">
        <f t="shared" si="165"/>
        <v>https://shop.officineitalianezard.it/contents/imgs/products/1_448-1MG_1038.JPG</v>
      </c>
      <c r="AE569" t="b">
        <v>0</v>
      </c>
    </row>
    <row r="570" spans="1:31" x14ac:dyDescent="0.2">
      <c r="A570" t="str">
        <f t="shared" si="152"/>
        <v>https://shop.officineitalianezard.it/en/2-1-hight-mounting-short-full-kit/</v>
      </c>
      <c r="B570" t="b">
        <f>COUNTIF($A$2:$A570, A570)&gt;1</f>
        <v>1</v>
      </c>
      <c r="C570" t="b">
        <f t="shared" si="153"/>
        <v>0</v>
      </c>
      <c r="D570">
        <f>VLOOKUP(A570,variant_counts!A:B, 2, FALSE)</f>
        <v>2</v>
      </c>
      <c r="E570" t="str">
        <f t="shared" si="166"/>
        <v>zard-exhaust-21-hight-mounting-short-full-kit-triumph-scrambler-my-2016-carburettor-ztph048ska</v>
      </c>
      <c r="F570" t="str">
        <f t="shared" si="154"/>
        <v>ZARD EXHAUST 2&gt;1 HIGHT MOUNTING SHORT FULL KIT TRIUMPH SCRAMBLER &lt; M.Y. 2016 CARBURETTOR ZTPH048SKA</v>
      </c>
      <c r="G570" t="str">
        <f t="shared" si="155"/>
        <v/>
      </c>
      <c r="H570" t="str">
        <f t="shared" si="167"/>
        <v/>
      </c>
      <c r="I570" t="str">
        <f t="shared" si="168"/>
        <v/>
      </c>
      <c r="J570" t="str">
        <f t="shared" si="169"/>
        <v/>
      </c>
      <c r="K570" t="str">
        <f t="shared" si="170"/>
        <v/>
      </c>
      <c r="L570" t="str">
        <f t="shared" si="156"/>
        <v/>
      </c>
      <c r="M570" t="str">
        <f t="shared" si="157"/>
        <v/>
      </c>
      <c r="R570" t="str">
        <f t="shared" si="158"/>
        <v/>
      </c>
      <c r="S570" t="str">
        <f t="shared" si="159"/>
        <v/>
      </c>
      <c r="U570" t="str">
        <f t="shared" si="160"/>
        <v/>
      </c>
      <c r="V570" t="str">
        <f t="shared" si="161"/>
        <v/>
      </c>
      <c r="W570" s="5" t="str">
        <f t="shared" si="162"/>
        <v/>
      </c>
      <c r="Y570" t="str">
        <f t="shared" si="163"/>
        <v/>
      </c>
      <c r="Z570" t="str">
        <f t="shared" si="164"/>
        <v/>
      </c>
      <c r="AB570" t="str">
        <f t="shared" si="165"/>
        <v>https://shop.officineitalianezard.it/contents/imgs/products/1_1199-1.jpg</v>
      </c>
      <c r="AE570" t="b">
        <v>0</v>
      </c>
    </row>
    <row r="571" spans="1:31" x14ac:dyDescent="0.2">
      <c r="A571" t="str">
        <f t="shared" si="152"/>
        <v>https://shop.officineitalianezard.it/en/2-1-hight-mounting-short-full-kit/</v>
      </c>
      <c r="B571" t="b">
        <f>COUNTIF($A$2:$A571, A571)&gt;1</f>
        <v>1</v>
      </c>
      <c r="C571" t="b">
        <f t="shared" si="153"/>
        <v>0</v>
      </c>
      <c r="D571">
        <f>VLOOKUP(A571,variant_counts!A:B, 2, FALSE)</f>
        <v>2</v>
      </c>
      <c r="E571" t="str">
        <f t="shared" si="166"/>
        <v>zard-exhaust-21-hight-mounting-short-full-kit-triumph-scrambler-my-2016-carburettor-ztph048ska</v>
      </c>
      <c r="F571" t="str">
        <f t="shared" si="154"/>
        <v>ZARD EXHAUST 2&gt;1 HIGHT MOUNTING SHORT FULL KIT TRIUMPH SCRAMBLER &lt; M.Y. 2016 CARBURETTOR ZTPH048SKA</v>
      </c>
      <c r="G571" t="str">
        <f t="shared" si="155"/>
        <v/>
      </c>
      <c r="H571" t="str">
        <f t="shared" si="167"/>
        <v/>
      </c>
      <c r="I571" t="str">
        <f t="shared" si="168"/>
        <v/>
      </c>
      <c r="J571" t="str">
        <f t="shared" si="169"/>
        <v/>
      </c>
      <c r="K571" t="str">
        <f t="shared" si="170"/>
        <v/>
      </c>
      <c r="L571" t="str">
        <f t="shared" si="156"/>
        <v/>
      </c>
      <c r="M571" t="str">
        <f t="shared" si="157"/>
        <v/>
      </c>
      <c r="R571" t="str">
        <f t="shared" si="158"/>
        <v/>
      </c>
      <c r="S571" t="str">
        <f t="shared" si="159"/>
        <v/>
      </c>
      <c r="U571" t="str">
        <f t="shared" si="160"/>
        <v/>
      </c>
      <c r="V571" t="str">
        <f t="shared" si="161"/>
        <v/>
      </c>
      <c r="W571" s="5" t="str">
        <f t="shared" si="162"/>
        <v/>
      </c>
      <c r="Y571" t="str">
        <f t="shared" si="163"/>
        <v/>
      </c>
      <c r="Z571" t="str">
        <f t="shared" si="164"/>
        <v/>
      </c>
      <c r="AB571" t="str">
        <f t="shared" si="165"/>
        <v>https://shop.officineitalianezard.it/contents/imgs/products/1_1200-2.jpg</v>
      </c>
      <c r="AE571" t="b">
        <v>0</v>
      </c>
    </row>
    <row r="572" spans="1:31" x14ac:dyDescent="0.2">
      <c r="A572" t="str">
        <f t="shared" si="152"/>
        <v>https://shop.officineitalianezard.it/en/2-1-hight-mounting-short-full-kit/</v>
      </c>
      <c r="B572" t="b">
        <f>COUNTIF($A$2:$A572, A572)&gt;1</f>
        <v>1</v>
      </c>
      <c r="C572" t="b">
        <f t="shared" si="153"/>
        <v>0</v>
      </c>
      <c r="D572">
        <f>VLOOKUP(A572,variant_counts!A:B, 2, FALSE)</f>
        <v>2</v>
      </c>
      <c r="E572" t="str">
        <f t="shared" si="166"/>
        <v>zard-exhaust-21-hight-mounting-short-full-kit-triumph-scrambler-my-2016-carburettor-ztph048ska</v>
      </c>
      <c r="F572" t="str">
        <f t="shared" si="154"/>
        <v>ZARD EXHAUST 2&gt;1 HIGHT MOUNTING SHORT FULL KIT TRIUMPH SCRAMBLER &lt; M.Y. 2016 CARBURETTOR ZTPH048SKA</v>
      </c>
      <c r="G572" t="str">
        <f t="shared" si="155"/>
        <v/>
      </c>
      <c r="H572" t="str">
        <f t="shared" si="167"/>
        <v/>
      </c>
      <c r="I572" t="str">
        <f t="shared" si="168"/>
        <v/>
      </c>
      <c r="J572" t="str">
        <f t="shared" si="169"/>
        <v/>
      </c>
      <c r="K572" t="str">
        <f t="shared" si="170"/>
        <v/>
      </c>
      <c r="L572" t="str">
        <f t="shared" si="156"/>
        <v/>
      </c>
      <c r="M572" t="str">
        <f t="shared" si="157"/>
        <v/>
      </c>
      <c r="R572" t="str">
        <f t="shared" si="158"/>
        <v/>
      </c>
      <c r="S572" t="str">
        <f t="shared" si="159"/>
        <v/>
      </c>
      <c r="U572" t="str">
        <f t="shared" si="160"/>
        <v/>
      </c>
      <c r="V572" t="str">
        <f t="shared" si="161"/>
        <v/>
      </c>
      <c r="W572" s="5" t="str">
        <f t="shared" si="162"/>
        <v/>
      </c>
      <c r="Y572" t="str">
        <f t="shared" si="163"/>
        <v/>
      </c>
      <c r="Z572" t="str">
        <f t="shared" si="164"/>
        <v/>
      </c>
      <c r="AB572" t="str">
        <f t="shared" si="165"/>
        <v>https://shop.officineitalianezard.it/contents/imgs/products/1_1201-3.jpg</v>
      </c>
      <c r="AE572" t="b">
        <v>0</v>
      </c>
    </row>
    <row r="573" spans="1:31" x14ac:dyDescent="0.2">
      <c r="A573" t="str">
        <f t="shared" si="152"/>
        <v>https://shop.officineitalianezard.it/en/2-1-hight-mounting-short-full-kit/</v>
      </c>
      <c r="B573" t="b">
        <f>COUNTIF($A$2:$A573, A573)&gt;1</f>
        <v>1</v>
      </c>
      <c r="C573" t="b">
        <f t="shared" si="153"/>
        <v>0</v>
      </c>
      <c r="D573">
        <f>VLOOKUP(A573,variant_counts!A:B, 2, FALSE)</f>
        <v>2</v>
      </c>
      <c r="E573" t="str">
        <f t="shared" si="166"/>
        <v>zard-exhaust-21-hight-mounting-short-full-kit-triumph-scrambler-my-2016-carburettor-ztph048ska</v>
      </c>
      <c r="F573" t="str">
        <f t="shared" si="154"/>
        <v>ZARD EXHAUST 2&gt;1 HIGHT MOUNTING SHORT FULL KIT TRIUMPH SCRAMBLER &lt; M.Y. 2016 CARBURETTOR ZTPH048SKA</v>
      </c>
      <c r="G573" t="str">
        <f t="shared" si="155"/>
        <v/>
      </c>
      <c r="H573" t="str">
        <f t="shared" si="167"/>
        <v/>
      </c>
      <c r="I573" t="str">
        <f t="shared" si="168"/>
        <v/>
      </c>
      <c r="J573" t="str">
        <f t="shared" si="169"/>
        <v/>
      </c>
      <c r="K573" t="str">
        <f t="shared" si="170"/>
        <v/>
      </c>
      <c r="L573" t="str">
        <f t="shared" si="156"/>
        <v/>
      </c>
      <c r="M573" t="str">
        <f t="shared" si="157"/>
        <v/>
      </c>
      <c r="R573" t="str">
        <f t="shared" si="158"/>
        <v/>
      </c>
      <c r="S573" t="str">
        <f t="shared" si="159"/>
        <v/>
      </c>
      <c r="U573" t="str">
        <f t="shared" si="160"/>
        <v/>
      </c>
      <c r="V573" t="str">
        <f t="shared" si="161"/>
        <v/>
      </c>
      <c r="W573" s="5" t="str">
        <f t="shared" si="162"/>
        <v/>
      </c>
      <c r="Y573" t="str">
        <f t="shared" si="163"/>
        <v/>
      </c>
      <c r="Z573" t="str">
        <f t="shared" si="164"/>
        <v/>
      </c>
      <c r="AB573" t="str">
        <f t="shared" si="165"/>
        <v>https://shop.officineitalianezard.it/contents/imgs/products/1_1103-inox-paracalore%20nero.jpg</v>
      </c>
      <c r="AE573" t="b">
        <v>0</v>
      </c>
    </row>
    <row r="574" spans="1:31" x14ac:dyDescent="0.2">
      <c r="A574" t="str">
        <f t="shared" si="152"/>
        <v>https://shop.officineitalianezard.it/en/2-1-hight-mounting-short-full-kit/</v>
      </c>
      <c r="B574" t="b">
        <f>COUNTIF($A$2:$A574, A574)&gt;1</f>
        <v>1</v>
      </c>
      <c r="C574" t="b">
        <f t="shared" si="153"/>
        <v>0</v>
      </c>
      <c r="D574">
        <f>VLOOKUP(A574,variant_counts!A:B, 2, FALSE)</f>
        <v>2</v>
      </c>
      <c r="E574" t="str">
        <f t="shared" si="166"/>
        <v>zard-exhaust-21-hight-mounting-short-full-kit-triumph-scrambler-my-2016-carburettor-ztph048ska</v>
      </c>
      <c r="F574" t="str">
        <f t="shared" si="154"/>
        <v>ZARD EXHAUST 2&gt;1 HIGHT MOUNTING SHORT FULL KIT TRIUMPH SCRAMBLER &lt; M.Y. 2016 CARBURETTOR ZTPH048SKA</v>
      </c>
      <c r="G574" t="str">
        <f t="shared" si="155"/>
        <v/>
      </c>
      <c r="H574" t="str">
        <f t="shared" si="167"/>
        <v/>
      </c>
      <c r="I574" t="str">
        <f t="shared" si="168"/>
        <v/>
      </c>
      <c r="J574" t="str">
        <f t="shared" si="169"/>
        <v/>
      </c>
      <c r="K574" t="str">
        <f t="shared" si="170"/>
        <v/>
      </c>
      <c r="L574" t="str">
        <f t="shared" si="156"/>
        <v/>
      </c>
      <c r="M574" t="str">
        <f t="shared" si="157"/>
        <v/>
      </c>
      <c r="R574" t="str">
        <f t="shared" si="158"/>
        <v/>
      </c>
      <c r="S574" t="str">
        <f t="shared" si="159"/>
        <v/>
      </c>
      <c r="U574" t="str">
        <f t="shared" si="160"/>
        <v/>
      </c>
      <c r="V574" t="str">
        <f t="shared" si="161"/>
        <v/>
      </c>
      <c r="W574" s="5" t="str">
        <f t="shared" si="162"/>
        <v/>
      </c>
      <c r="Y574" t="str">
        <f t="shared" si="163"/>
        <v/>
      </c>
      <c r="Z574" t="str">
        <f t="shared" si="164"/>
        <v/>
      </c>
      <c r="AB574" t="str">
        <f t="shared" si="165"/>
        <v>https://shop.officineitalianezard.it/contents/imgs/products/1_1104-nero.jpg</v>
      </c>
      <c r="AE574" t="b">
        <v>0</v>
      </c>
    </row>
    <row r="575" spans="1:31" x14ac:dyDescent="0.2">
      <c r="A575" t="str">
        <f t="shared" si="152"/>
        <v>https://shop.officineitalianezard.it/en/2-1-hight-mounting-short-full-kit/</v>
      </c>
      <c r="B575" t="b">
        <f>COUNTIF($A$2:$A575, A575)&gt;1</f>
        <v>1</v>
      </c>
      <c r="C575" t="b">
        <f t="shared" si="153"/>
        <v>0</v>
      </c>
      <c r="D575">
        <f>VLOOKUP(A575,variant_counts!A:B, 2, FALSE)</f>
        <v>2</v>
      </c>
      <c r="E575" t="str">
        <f t="shared" si="166"/>
        <v>zard-exhaust-21-hight-mounting-short-full-kit-triumph-scrambler-my-2016-carburettor-ztph048ska</v>
      </c>
      <c r="F575" t="str">
        <f t="shared" si="154"/>
        <v>ZARD EXHAUST 2&gt;1 HIGHT MOUNTING SHORT FULL KIT TRIUMPH SCRAMBLER &lt; M.Y. 2016 CARBURETTOR ZTPH048SKA</v>
      </c>
      <c r="G575" t="str">
        <f t="shared" si="155"/>
        <v/>
      </c>
      <c r="H575" t="str">
        <f t="shared" si="167"/>
        <v/>
      </c>
      <c r="I575" t="str">
        <f t="shared" si="168"/>
        <v/>
      </c>
      <c r="J575" t="str">
        <f t="shared" si="169"/>
        <v/>
      </c>
      <c r="K575" t="str">
        <f t="shared" si="170"/>
        <v/>
      </c>
      <c r="L575" t="str">
        <f t="shared" si="156"/>
        <v/>
      </c>
      <c r="M575" t="str">
        <f t="shared" si="157"/>
        <v/>
      </c>
      <c r="R575" t="str">
        <f t="shared" si="158"/>
        <v/>
      </c>
      <c r="S575" t="str">
        <f t="shared" si="159"/>
        <v/>
      </c>
      <c r="U575" t="str">
        <f t="shared" si="160"/>
        <v/>
      </c>
      <c r="V575" t="str">
        <f t="shared" si="161"/>
        <v/>
      </c>
      <c r="W575" s="5" t="str">
        <f t="shared" si="162"/>
        <v/>
      </c>
      <c r="Y575" t="str">
        <f t="shared" si="163"/>
        <v/>
      </c>
      <c r="Z575" t="str">
        <f t="shared" si="164"/>
        <v/>
      </c>
      <c r="AB575" t="str">
        <f t="shared" si="165"/>
        <v>https://shop.officineitalianezard.it/contents/imgs/products/1_1105-inox.jpg</v>
      </c>
      <c r="AE575" t="b">
        <v>0</v>
      </c>
    </row>
    <row r="576" spans="1:31" x14ac:dyDescent="0.2">
      <c r="A576" t="str">
        <f t="shared" si="152"/>
        <v>https://shop.officineitalianezard.it/en/2-1-hight-mounting-short-full-kit/</v>
      </c>
      <c r="B576" t="b">
        <f>COUNTIF($A$2:$A576, A576)&gt;1</f>
        <v>1</v>
      </c>
      <c r="C576" t="b">
        <f t="shared" si="153"/>
        <v>0</v>
      </c>
      <c r="D576">
        <f>VLOOKUP(A576,variant_counts!A:B, 2, FALSE)</f>
        <v>2</v>
      </c>
      <c r="E576" t="str">
        <f t="shared" si="166"/>
        <v>zard-exhaust-21-hight-mounting-short-full-kit-triumph-scrambler-my-2016-carburettor-ztph048ska</v>
      </c>
      <c r="F576" t="str">
        <f t="shared" si="154"/>
        <v>ZARD EXHAUST 2&gt;1 HIGHT MOUNTING SHORT FULL KIT TRIUMPH SCRAMBLER &lt; M.Y. 2016 CARBURETTOR ZTPH048SKA</v>
      </c>
      <c r="G576" t="str">
        <f t="shared" si="155"/>
        <v/>
      </c>
      <c r="H576" t="str">
        <f t="shared" si="167"/>
        <v/>
      </c>
      <c r="I576" t="str">
        <f t="shared" si="168"/>
        <v/>
      </c>
      <c r="J576" t="str">
        <f t="shared" si="169"/>
        <v/>
      </c>
      <c r="K576" t="str">
        <f t="shared" si="170"/>
        <v/>
      </c>
      <c r="L576" t="str">
        <f t="shared" si="156"/>
        <v/>
      </c>
      <c r="M576" t="str">
        <f t="shared" si="157"/>
        <v/>
      </c>
      <c r="R576" t="str">
        <f t="shared" si="158"/>
        <v/>
      </c>
      <c r="S576" t="str">
        <f t="shared" si="159"/>
        <v/>
      </c>
      <c r="U576" t="str">
        <f t="shared" si="160"/>
        <v/>
      </c>
      <c r="V576" t="str">
        <f t="shared" si="161"/>
        <v/>
      </c>
      <c r="W576" s="5" t="str">
        <f t="shared" si="162"/>
        <v/>
      </c>
      <c r="Y576" t="str">
        <f t="shared" si="163"/>
        <v/>
      </c>
      <c r="Z576" t="str">
        <f t="shared" si="164"/>
        <v/>
      </c>
      <c r="AB576" t="str">
        <f t="shared" si="165"/>
        <v>https://shop.officineitalianezard.it/contents/imgs/products/1_1729-1066-scarico%20scrambler%20zard1.jpg</v>
      </c>
      <c r="AE576" t="b">
        <v>0</v>
      </c>
    </row>
    <row r="577" spans="1:31" x14ac:dyDescent="0.2">
      <c r="A577" t="str">
        <f t="shared" si="152"/>
        <v>https://shop.officineitalianezard.it/en/2-1-hight-mounting-short-full-kit/</v>
      </c>
      <c r="B577" t="b">
        <f>COUNTIF($A$2:$A577, A577)&gt;1</f>
        <v>1</v>
      </c>
      <c r="C577" t="b">
        <f t="shared" si="153"/>
        <v>1</v>
      </c>
      <c r="D577">
        <f>VLOOKUP(A577,variant_counts!A:B, 2, FALSE)</f>
        <v>2</v>
      </c>
      <c r="E577" t="str">
        <f t="shared" si="166"/>
        <v>zard-exhaust-21-hight-mounting-short-full-kit-triumph-scrambler-my-2016-carburettor-ztph048ska</v>
      </c>
      <c r="F577" t="str">
        <f t="shared" si="154"/>
        <v>ZARD EXHAUST 2&gt;1 HIGHT MOUNTING SHORT FULL KIT TRIUMPH SCRAMBLER &lt; M.Y. 2016 CARBURETTOR ZTPH048SKA</v>
      </c>
      <c r="G577" t="str">
        <f t="shared" si="155"/>
        <v/>
      </c>
      <c r="H577" t="str">
        <f t="shared" si="167"/>
        <v/>
      </c>
      <c r="I577" t="str">
        <f t="shared" si="168"/>
        <v/>
      </c>
      <c r="J577" t="str">
        <f t="shared" si="169"/>
        <v/>
      </c>
      <c r="K577" t="str">
        <f t="shared" si="170"/>
        <v/>
      </c>
      <c r="L577" t="str">
        <f t="shared" si="156"/>
        <v>Option</v>
      </c>
      <c r="M577" t="str">
        <f t="shared" si="157"/>
        <v>HOMOLOGATED</v>
      </c>
      <c r="R577" t="str">
        <f t="shared" si="158"/>
        <v>ZTPH048SKA</v>
      </c>
      <c r="S577">
        <f t="shared" si="159"/>
        <v>0</v>
      </c>
      <c r="U577" t="str">
        <f t="shared" si="160"/>
        <v>continue</v>
      </c>
      <c r="V577" t="str">
        <f t="shared" si="161"/>
        <v>manual</v>
      </c>
      <c r="W577" s="5">
        <f t="shared" si="162"/>
        <v>1138.3827000000001</v>
      </c>
      <c r="Y577" t="b">
        <f t="shared" si="163"/>
        <v>1</v>
      </c>
      <c r="Z577" t="b">
        <f t="shared" si="164"/>
        <v>0</v>
      </c>
      <c r="AB577" t="str">
        <f t="shared" si="165"/>
        <v/>
      </c>
      <c r="AE577" t="b">
        <v>0</v>
      </c>
    </row>
    <row r="578" spans="1:31" x14ac:dyDescent="0.2">
      <c r="A578" t="str">
        <f t="shared" ref="A578:A641" si="171">source_product_link_href</f>
        <v>https://shop.officineitalianezard.it/en/2-1-hight-mounting-short-full-kit/</v>
      </c>
      <c r="B578" t="b">
        <f>COUNTIF($A$2:$A578, A578)&gt;1</f>
        <v>1</v>
      </c>
      <c r="C578" t="b">
        <f t="shared" ref="C578:C641" si="172">NOT(ISBLANK(source_option_name))</f>
        <v>1</v>
      </c>
      <c r="D578">
        <f>VLOOKUP(A578,variant_counts!A:B, 2, FALSE)</f>
        <v>2</v>
      </c>
      <c r="E578" t="str">
        <f t="shared" si="166"/>
        <v>zard-exhaust-21-hight-mounting-short-full-kit-triumph-scrambler-my-2016-carburettor-ztph048ska</v>
      </c>
      <c r="F578" t="str">
        <f t="shared" ref="F578:F641" si="173">UPPER("ZARD EXHAUST " &amp; source_title &amp; " " &amp; source_brand &amp; " " &amp; source_bike &amp; " " &amp; source_product_link &amp; " " &amp; source_sku)</f>
        <v>ZARD EXHAUST 2&gt;1 HIGHT MOUNTING SHORT FULL KIT TRIUMPH SCRAMBLER &lt; M.Y. 2016 CARBURETTOR ZTPH048SKA</v>
      </c>
      <c r="G578" t="str">
        <f t="shared" ref="G578:G641" si="174">IF($B578=FALSE, source_description, "")</f>
        <v/>
      </c>
      <c r="H578" t="str">
        <f t="shared" si="167"/>
        <v/>
      </c>
      <c r="I578" t="str">
        <f t="shared" si="168"/>
        <v/>
      </c>
      <c r="J578" t="str">
        <f t="shared" si="169"/>
        <v/>
      </c>
      <c r="K578" t="str">
        <f t="shared" si="170"/>
        <v/>
      </c>
      <c r="L578" t="str">
        <f t="shared" ref="L578:L641" si="175">IF(AND(variant_count=0,duplicated=FALSE),"Title",IF(OR(AND(variant_count=1,duplicated=FALSE), source_option_name&lt;&gt;""), "Option", ""))</f>
        <v>Option</v>
      </c>
      <c r="M578" t="str">
        <f t="shared" ref="M578:M641" si="176">IF(option1_name="Title", "Default Title", IF(AND(option1_name="Option",ISBLANK(source_option_name)),"DEFAULT",IF(ISBLANK(source_option_name), "", source_option_name)))</f>
        <v>BLACK COATING</v>
      </c>
      <c r="R578" t="str">
        <f t="shared" ref="R578:R641" si="177">IF(option1_name &lt;&gt; "", source_sku, "")</f>
        <v>ZTPH048SKA</v>
      </c>
      <c r="S578">
        <f t="shared" ref="S578:S641" si="178">IF(option1_name &lt;&gt; "", 0, "")</f>
        <v>0</v>
      </c>
      <c r="U578" t="str">
        <f t="shared" ref="U578:U641" si="179">IF(option1_name &lt;&gt; "", "continue", "")</f>
        <v>continue</v>
      </c>
      <c r="V578" t="str">
        <f t="shared" ref="V578:V641" si="180">IF(option1_name &lt;&gt; "", "manual", "")</f>
        <v>manual</v>
      </c>
      <c r="W578" s="5">
        <f t="shared" ref="W578:W641" si="181">IF(option1_name&lt;&gt;"",(source_price_original+source_option_price)*eur_usd,"")</f>
        <v>1230.0909000000001</v>
      </c>
      <c r="Y578" t="b">
        <f t="shared" ref="Y578:Y641" si="182">IF(option1_name&lt;&gt;"",TRUE,"")</f>
        <v>1</v>
      </c>
      <c r="Z578" t="b">
        <f t="shared" ref="Z578:Z641" si="183">IF(option1_name&lt;&gt;"",FALSE,"")</f>
        <v>0</v>
      </c>
      <c r="AB578" t="str">
        <f t="shared" ref="AB578:AB641" si="184">IF(ISBLANK(source_image), "", source_image)</f>
        <v/>
      </c>
      <c r="AE578" t="b">
        <v>0</v>
      </c>
    </row>
    <row r="579" spans="1:31" x14ac:dyDescent="0.2">
      <c r="A579" t="str">
        <f t="shared" si="171"/>
        <v>https://shop.officineitalianezard.it/en/2-1-low-mounted-full-kit/</v>
      </c>
      <c r="B579" t="b">
        <f>COUNTIF($A$2:$A579, A579)&gt;1</f>
        <v>0</v>
      </c>
      <c r="C579" t="b">
        <f t="shared" si="172"/>
        <v>0</v>
      </c>
      <c r="D579">
        <f>VLOOKUP(A579,variant_counts!A:B, 2, FALSE)</f>
        <v>2</v>
      </c>
      <c r="E579" t="str">
        <f t="shared" ref="E579:E642" si="185">FormatShopifyHandle(F579)</f>
        <v>zard-exhaust-21-low-mounted-full-kit-triumph-scrambler-my-2016-injection-ztph036skb-08</v>
      </c>
      <c r="F579" t="str">
        <f t="shared" si="173"/>
        <v>ZARD EXHAUST 2&gt;1 LOW MOUNTED FULL KIT TRIUMPH SCRAMBLER &lt; M.Y. 2016 INJECTION ZTPH036SKB-08</v>
      </c>
      <c r="G579" t="str">
        <f t="shared" si="174"/>
        <v>&lt;p&gt;2&amp;gt;1 STEEL RACING FULL KIT&lt;/p&gt;
&lt;p&gt;ORIGINAL FULL KIT WEIGHT: KG 11.6&lt;br&gt;ZARD FULL KIT WEIGHT: KG 4&lt;/p&gt;
&lt;p&gt;HARD INCREASE IN THE RANGE BETWEEN 4000 AND 6500 RPM AND 1.5 MORE HP COMPARED TO THE ORIGINAL EXHAUST SYSTEM.&lt;/p&gt;
&lt;p&gt;ASTONISHING SOUND.&lt;/p&gt;</v>
      </c>
      <c r="H579" t="str">
        <f t="shared" ref="H579:H642" si="186">IF($B579=FALSE, "ZARD", "")</f>
        <v>ZARD</v>
      </c>
      <c r="I579" t="str">
        <f t="shared" ref="I579:I642" si="187">IF($B579=FALSE, "Exhaust Pipe", "")</f>
        <v>Exhaust Pipe</v>
      </c>
      <c r="J579" t="str">
        <f t="shared" ref="J579:J642" si="188">IF($B579=FALSE, "Test", "")</f>
        <v>Test</v>
      </c>
      <c r="K579" t="b">
        <f t="shared" ref="K579:K642" si="189">IF($B579=FALSE, FALSE, "")</f>
        <v>0</v>
      </c>
      <c r="L579" t="str">
        <f t="shared" si="175"/>
        <v/>
      </c>
      <c r="M579" t="str">
        <f t="shared" si="176"/>
        <v/>
      </c>
      <c r="R579" t="str">
        <f t="shared" si="177"/>
        <v/>
      </c>
      <c r="S579" t="str">
        <f t="shared" si="178"/>
        <v/>
      </c>
      <c r="U579" t="str">
        <f t="shared" si="179"/>
        <v/>
      </c>
      <c r="V579" t="str">
        <f t="shared" si="180"/>
        <v/>
      </c>
      <c r="W579" s="5" t="str">
        <f t="shared" si="181"/>
        <v/>
      </c>
      <c r="Y579" t="str">
        <f t="shared" si="182"/>
        <v/>
      </c>
      <c r="Z579" t="str">
        <f t="shared" si="183"/>
        <v/>
      </c>
      <c r="AB579" t="str">
        <f t="shared" si="184"/>
        <v>https://shop.officineitalianezard.it/contents/imgs/products/1_115-1.jpg</v>
      </c>
      <c r="AE579" t="b">
        <v>0</v>
      </c>
    </row>
    <row r="580" spans="1:31" x14ac:dyDescent="0.2">
      <c r="A580" t="str">
        <f t="shared" si="171"/>
        <v>https://shop.officineitalianezard.it/en/2-1-low-mounted-full-kit/</v>
      </c>
      <c r="B580" t="b">
        <f>COUNTIF($A$2:$A580, A580)&gt;1</f>
        <v>1</v>
      </c>
      <c r="C580" t="b">
        <f t="shared" si="172"/>
        <v>0</v>
      </c>
      <c r="D580">
        <f>VLOOKUP(A580,variant_counts!A:B, 2, FALSE)</f>
        <v>2</v>
      </c>
      <c r="E580" t="str">
        <f t="shared" si="185"/>
        <v>zard-exhaust-21-low-mounted-full-kit-triumph-scrambler-my-2016-injection-ztph036skb-08</v>
      </c>
      <c r="F580" t="str">
        <f t="shared" si="173"/>
        <v>ZARD EXHAUST 2&gt;1 LOW MOUNTED FULL KIT TRIUMPH SCRAMBLER &lt; M.Y. 2016 INJECTION ZTPH036SKB-08</v>
      </c>
      <c r="G580" t="str">
        <f t="shared" si="174"/>
        <v/>
      </c>
      <c r="H580" t="str">
        <f t="shared" si="186"/>
        <v/>
      </c>
      <c r="I580" t="str">
        <f t="shared" si="187"/>
        <v/>
      </c>
      <c r="J580" t="str">
        <f t="shared" si="188"/>
        <v/>
      </c>
      <c r="K580" t="str">
        <f t="shared" si="189"/>
        <v/>
      </c>
      <c r="L580" t="str">
        <f t="shared" si="175"/>
        <v/>
      </c>
      <c r="M580" t="str">
        <f t="shared" si="176"/>
        <v/>
      </c>
      <c r="R580" t="str">
        <f t="shared" si="177"/>
        <v/>
      </c>
      <c r="S580" t="str">
        <f t="shared" si="178"/>
        <v/>
      </c>
      <c r="U580" t="str">
        <f t="shared" si="179"/>
        <v/>
      </c>
      <c r="V580" t="str">
        <f t="shared" si="180"/>
        <v/>
      </c>
      <c r="W580" s="5" t="str">
        <f t="shared" si="181"/>
        <v/>
      </c>
      <c r="Y580" t="str">
        <f t="shared" si="182"/>
        <v/>
      </c>
      <c r="Z580" t="str">
        <f t="shared" si="183"/>
        <v/>
      </c>
      <c r="AB580" t="str">
        <f t="shared" si="184"/>
        <v>https://shop.officineitalianezard.it/contents/imgs/products/1_114-2.jpg</v>
      </c>
      <c r="AE580" t="b">
        <v>0</v>
      </c>
    </row>
    <row r="581" spans="1:31" x14ac:dyDescent="0.2">
      <c r="A581" t="str">
        <f t="shared" si="171"/>
        <v>https://shop.officineitalianezard.it/en/2-1-low-mounted-full-kit/</v>
      </c>
      <c r="B581" t="b">
        <f>COUNTIF($A$2:$A581, A581)&gt;1</f>
        <v>1</v>
      </c>
      <c r="C581" t="b">
        <f t="shared" si="172"/>
        <v>0</v>
      </c>
      <c r="D581">
        <f>VLOOKUP(A581,variant_counts!A:B, 2, FALSE)</f>
        <v>2</v>
      </c>
      <c r="E581" t="str">
        <f t="shared" si="185"/>
        <v>zard-exhaust-21-low-mounted-full-kit-triumph-scrambler-my-2016-injection-ztph036skb-08</v>
      </c>
      <c r="F581" t="str">
        <f t="shared" si="173"/>
        <v>ZARD EXHAUST 2&gt;1 LOW MOUNTED FULL KIT TRIUMPH SCRAMBLER &lt; M.Y. 2016 INJECTION ZTPH036SKB-08</v>
      </c>
      <c r="G581" t="str">
        <f t="shared" si="174"/>
        <v/>
      </c>
      <c r="H581" t="str">
        <f t="shared" si="186"/>
        <v/>
      </c>
      <c r="I581" t="str">
        <f t="shared" si="187"/>
        <v/>
      </c>
      <c r="J581" t="str">
        <f t="shared" si="188"/>
        <v/>
      </c>
      <c r="K581" t="str">
        <f t="shared" si="189"/>
        <v/>
      </c>
      <c r="L581" t="str">
        <f t="shared" si="175"/>
        <v/>
      </c>
      <c r="M581" t="str">
        <f t="shared" si="176"/>
        <v/>
      </c>
      <c r="R581" t="str">
        <f t="shared" si="177"/>
        <v/>
      </c>
      <c r="S581" t="str">
        <f t="shared" si="178"/>
        <v/>
      </c>
      <c r="U581" t="str">
        <f t="shared" si="179"/>
        <v/>
      </c>
      <c r="V581" t="str">
        <f t="shared" si="180"/>
        <v/>
      </c>
      <c r="W581" s="5" t="str">
        <f t="shared" si="181"/>
        <v/>
      </c>
      <c r="Y581" t="str">
        <f t="shared" si="182"/>
        <v/>
      </c>
      <c r="Z581" t="str">
        <f t="shared" si="183"/>
        <v/>
      </c>
      <c r="AB581" t="str">
        <f t="shared" si="184"/>
        <v>https://shop.officineitalianezard.it/contents/imgs/products/1_113-0.jpg</v>
      </c>
      <c r="AE581" t="b">
        <v>0</v>
      </c>
    </row>
    <row r="582" spans="1:31" x14ac:dyDescent="0.2">
      <c r="A582" t="str">
        <f t="shared" si="171"/>
        <v>https://shop.officineitalianezard.it/en/2-1-low-mounted-full-kit/</v>
      </c>
      <c r="B582" t="b">
        <f>COUNTIF($A$2:$A582, A582)&gt;1</f>
        <v>1</v>
      </c>
      <c r="C582" t="b">
        <f t="shared" si="172"/>
        <v>0</v>
      </c>
      <c r="D582">
        <f>VLOOKUP(A582,variant_counts!A:B, 2, FALSE)</f>
        <v>2</v>
      </c>
      <c r="E582" t="str">
        <f t="shared" si="185"/>
        <v>zard-exhaust-21-low-mounted-full-kit-triumph-scrambler-my-2016-injection-ztph036skb-08</v>
      </c>
      <c r="F582" t="str">
        <f t="shared" si="173"/>
        <v>ZARD EXHAUST 2&gt;1 LOW MOUNTED FULL KIT TRIUMPH SCRAMBLER &lt; M.Y. 2016 INJECTION ZTPH036SKB-08</v>
      </c>
      <c r="G582" t="str">
        <f t="shared" si="174"/>
        <v/>
      </c>
      <c r="H582" t="str">
        <f t="shared" si="186"/>
        <v/>
      </c>
      <c r="I582" t="str">
        <f t="shared" si="187"/>
        <v/>
      </c>
      <c r="J582" t="str">
        <f t="shared" si="188"/>
        <v/>
      </c>
      <c r="K582" t="str">
        <f t="shared" si="189"/>
        <v/>
      </c>
      <c r="L582" t="str">
        <f t="shared" si="175"/>
        <v/>
      </c>
      <c r="M582" t="str">
        <f t="shared" si="176"/>
        <v/>
      </c>
      <c r="R582" t="str">
        <f t="shared" si="177"/>
        <v/>
      </c>
      <c r="S582" t="str">
        <f t="shared" si="178"/>
        <v/>
      </c>
      <c r="U582" t="str">
        <f t="shared" si="179"/>
        <v/>
      </c>
      <c r="V582" t="str">
        <f t="shared" si="180"/>
        <v/>
      </c>
      <c r="W582" s="5" t="str">
        <f t="shared" si="181"/>
        <v/>
      </c>
      <c r="Y582" t="str">
        <f t="shared" si="182"/>
        <v/>
      </c>
      <c r="Z582" t="str">
        <f t="shared" si="183"/>
        <v/>
      </c>
      <c r="AB582" t="str">
        <f t="shared" si="184"/>
        <v>https://shop.officineitalianezard.it/contents/imgs/products/1_116-3.jpg</v>
      </c>
      <c r="AE582" t="b">
        <v>0</v>
      </c>
    </row>
    <row r="583" spans="1:31" x14ac:dyDescent="0.2">
      <c r="A583" t="str">
        <f t="shared" si="171"/>
        <v>https://shop.officineitalianezard.it/en/2-1-low-mounted-full-kit/</v>
      </c>
      <c r="B583" t="b">
        <f>COUNTIF($A$2:$A583, A583)&gt;1</f>
        <v>1</v>
      </c>
      <c r="C583" t="b">
        <f t="shared" si="172"/>
        <v>0</v>
      </c>
      <c r="D583">
        <f>VLOOKUP(A583,variant_counts!A:B, 2, FALSE)</f>
        <v>2</v>
      </c>
      <c r="E583" t="str">
        <f t="shared" si="185"/>
        <v>zard-exhaust-21-low-mounted-full-kit-triumph-scrambler-my-2016-injection-ztph036skb-08</v>
      </c>
      <c r="F583" t="str">
        <f t="shared" si="173"/>
        <v>ZARD EXHAUST 2&gt;1 LOW MOUNTED FULL KIT TRIUMPH SCRAMBLER &lt; M.Y. 2016 INJECTION ZTPH036SKB-08</v>
      </c>
      <c r="G583" t="str">
        <f t="shared" si="174"/>
        <v/>
      </c>
      <c r="H583" t="str">
        <f t="shared" si="186"/>
        <v/>
      </c>
      <c r="I583" t="str">
        <f t="shared" si="187"/>
        <v/>
      </c>
      <c r="J583" t="str">
        <f t="shared" si="188"/>
        <v/>
      </c>
      <c r="K583" t="str">
        <f t="shared" si="189"/>
        <v/>
      </c>
      <c r="L583" t="str">
        <f t="shared" si="175"/>
        <v/>
      </c>
      <c r="M583" t="str">
        <f t="shared" si="176"/>
        <v/>
      </c>
      <c r="R583" t="str">
        <f t="shared" si="177"/>
        <v/>
      </c>
      <c r="S583" t="str">
        <f t="shared" si="178"/>
        <v/>
      </c>
      <c r="U583" t="str">
        <f t="shared" si="179"/>
        <v/>
      </c>
      <c r="V583" t="str">
        <f t="shared" si="180"/>
        <v/>
      </c>
      <c r="W583" s="5" t="str">
        <f t="shared" si="181"/>
        <v/>
      </c>
      <c r="Y583" t="str">
        <f t="shared" si="182"/>
        <v/>
      </c>
      <c r="Z583" t="str">
        <f t="shared" si="183"/>
        <v/>
      </c>
      <c r="AB583" t="str">
        <f t="shared" si="184"/>
        <v>https://shop.officineitalianezard.it/contents/imgs/products/1_117-5.jpg</v>
      </c>
      <c r="AE583" t="b">
        <v>0</v>
      </c>
    </row>
    <row r="584" spans="1:31" x14ac:dyDescent="0.2">
      <c r="A584" t="str">
        <f t="shared" si="171"/>
        <v>https://shop.officineitalianezard.it/en/2-1-low-mounted-full-kit/</v>
      </c>
      <c r="B584" t="b">
        <f>COUNTIF($A$2:$A584, A584)&gt;1</f>
        <v>1</v>
      </c>
      <c r="C584" t="b">
        <f t="shared" si="172"/>
        <v>1</v>
      </c>
      <c r="D584">
        <f>VLOOKUP(A584,variant_counts!A:B, 2, FALSE)</f>
        <v>2</v>
      </c>
      <c r="E584" t="str">
        <f t="shared" si="185"/>
        <v>zard-exhaust-21-low-mounted-full-kit-triumph-scrambler-my-2016-injection-ztph036skb-08</v>
      </c>
      <c r="F584" t="str">
        <f t="shared" si="173"/>
        <v>ZARD EXHAUST 2&gt;1 LOW MOUNTED FULL KIT TRIUMPH SCRAMBLER &lt; M.Y. 2016 INJECTION ZTPH036SKB-08</v>
      </c>
      <c r="G584" t="str">
        <f t="shared" si="174"/>
        <v/>
      </c>
      <c r="H584" t="str">
        <f t="shared" si="186"/>
        <v/>
      </c>
      <c r="I584" t="str">
        <f t="shared" si="187"/>
        <v/>
      </c>
      <c r="J584" t="str">
        <f t="shared" si="188"/>
        <v/>
      </c>
      <c r="K584" t="str">
        <f t="shared" si="189"/>
        <v/>
      </c>
      <c r="L584" t="str">
        <f t="shared" si="175"/>
        <v>Option</v>
      </c>
      <c r="M584" t="str">
        <f t="shared" si="176"/>
        <v>CATALYZED</v>
      </c>
      <c r="R584" t="str">
        <f t="shared" si="177"/>
        <v>ZTPH036SKB-08</v>
      </c>
      <c r="S584">
        <f t="shared" si="178"/>
        <v>0</v>
      </c>
      <c r="U584" t="str">
        <f t="shared" si="179"/>
        <v>continue</v>
      </c>
      <c r="V584" t="str">
        <f t="shared" si="180"/>
        <v>manual</v>
      </c>
      <c r="W584" s="5">
        <f t="shared" si="181"/>
        <v>1104.0837000000001</v>
      </c>
      <c r="Y584" t="b">
        <f t="shared" si="182"/>
        <v>1</v>
      </c>
      <c r="Z584" t="b">
        <f t="shared" si="183"/>
        <v>0</v>
      </c>
      <c r="AB584" t="str">
        <f t="shared" si="184"/>
        <v/>
      </c>
      <c r="AE584" t="b">
        <v>0</v>
      </c>
    </row>
    <row r="585" spans="1:31" x14ac:dyDescent="0.2">
      <c r="A585" t="str">
        <f t="shared" si="171"/>
        <v>https://shop.officineitalianezard.it/en/2-1-low-mounted-full-kit/</v>
      </c>
      <c r="B585" t="b">
        <f>COUNTIF($A$2:$A585, A585)&gt;1</f>
        <v>1</v>
      </c>
      <c r="C585" t="b">
        <f t="shared" si="172"/>
        <v>1</v>
      </c>
      <c r="D585">
        <f>VLOOKUP(A585,variant_counts!A:B, 2, FALSE)</f>
        <v>2</v>
      </c>
      <c r="E585" t="str">
        <f t="shared" si="185"/>
        <v>zard-exhaust-21-low-mounted-full-kit-triumph-scrambler-my-2016-injection-ztph036skb-08</v>
      </c>
      <c r="F585" t="str">
        <f t="shared" si="173"/>
        <v>ZARD EXHAUST 2&gt;1 LOW MOUNTED FULL KIT TRIUMPH SCRAMBLER &lt; M.Y. 2016 INJECTION ZTPH036SKB-08</v>
      </c>
      <c r="G585" t="str">
        <f t="shared" si="174"/>
        <v/>
      </c>
      <c r="H585" t="str">
        <f t="shared" si="186"/>
        <v/>
      </c>
      <c r="I585" t="str">
        <f t="shared" si="187"/>
        <v/>
      </c>
      <c r="J585" t="str">
        <f t="shared" si="188"/>
        <v/>
      </c>
      <c r="K585" t="str">
        <f t="shared" si="189"/>
        <v/>
      </c>
      <c r="L585" t="str">
        <f t="shared" si="175"/>
        <v>Option</v>
      </c>
      <c r="M585" t="str">
        <f t="shared" si="176"/>
        <v>BLACK COATING</v>
      </c>
      <c r="R585" t="str">
        <f t="shared" si="177"/>
        <v>ZTPH036SKB-08</v>
      </c>
      <c r="S585">
        <f t="shared" si="178"/>
        <v>0</v>
      </c>
      <c r="U585" t="str">
        <f t="shared" si="179"/>
        <v>continue</v>
      </c>
      <c r="V585" t="str">
        <f t="shared" si="180"/>
        <v>manual</v>
      </c>
      <c r="W585" s="5">
        <f t="shared" si="181"/>
        <v>1067.2317</v>
      </c>
      <c r="Y585" t="b">
        <f t="shared" si="182"/>
        <v>1</v>
      </c>
      <c r="Z585" t="b">
        <f t="shared" si="183"/>
        <v>0</v>
      </c>
      <c r="AB585" t="str">
        <f t="shared" si="184"/>
        <v/>
      </c>
      <c r="AE585" t="b">
        <v>0</v>
      </c>
    </row>
    <row r="586" spans="1:31" x14ac:dyDescent="0.2">
      <c r="A586" t="str">
        <f t="shared" si="171"/>
        <v>https://shop.officineitalianezard.it/en/full-low-conical-kit/</v>
      </c>
      <c r="B586" t="b">
        <f>COUNTIF($A$2:$A586, A586)&gt;1</f>
        <v>0</v>
      </c>
      <c r="C586" t="b">
        <f t="shared" si="172"/>
        <v>0</v>
      </c>
      <c r="D586">
        <f>VLOOKUP(A586,variant_counts!A:B, 2, FALSE)</f>
        <v>3</v>
      </c>
      <c r="E586" t="str">
        <f t="shared" si="185"/>
        <v>zard-exhaust-21-low-mounted-full-kit-triumph-scrambler-my-2016-carburettor-ztph-036-skb</v>
      </c>
      <c r="F586" t="str">
        <f t="shared" si="173"/>
        <v>ZARD EXHAUST 2&gt;1 LOW MOUNTED FULL KIT TRIUMPH SCRAMBLER &lt; M.Y. 2016 CARBURETTOR ZTPH 036 SKB</v>
      </c>
      <c r="G586" t="str">
        <f t="shared" si="174"/>
        <v>&lt;p&gt;2&amp;gt;1 STEEL RACING FULL KIT&lt;/p&gt;
&lt;p&gt;ORIGINAL FULL KIT WEIGHT: KG 11.6&lt;br&gt;ZARD FULL KIT WEIGHT: KG 4&lt;/p&gt;
&lt;p&gt;HARD INCREASE IN THE RANGE BETWEEN 4000 AND 6500 RPM AND 1.5 MORE HP COMPARED TO THE ORIGINAL EXHAUST SYSTEM.&lt;/p&gt;
&lt;p&gt;ASTONISHING SOUND.&lt;/p&gt;</v>
      </c>
      <c r="H586" t="str">
        <f t="shared" si="186"/>
        <v>ZARD</v>
      </c>
      <c r="I586" t="str">
        <f t="shared" si="187"/>
        <v>Exhaust Pipe</v>
      </c>
      <c r="J586" t="str">
        <f t="shared" si="188"/>
        <v>Test</v>
      </c>
      <c r="K586" t="b">
        <f t="shared" si="189"/>
        <v>0</v>
      </c>
      <c r="L586" t="str">
        <f t="shared" si="175"/>
        <v/>
      </c>
      <c r="M586" t="str">
        <f t="shared" si="176"/>
        <v/>
      </c>
      <c r="R586" t="str">
        <f t="shared" si="177"/>
        <v/>
      </c>
      <c r="S586" t="str">
        <f t="shared" si="178"/>
        <v/>
      </c>
      <c r="U586" t="str">
        <f t="shared" si="179"/>
        <v/>
      </c>
      <c r="V586" t="str">
        <f t="shared" si="180"/>
        <v/>
      </c>
      <c r="W586" s="5" t="str">
        <f t="shared" si="181"/>
        <v/>
      </c>
      <c r="Y586" t="str">
        <f t="shared" si="182"/>
        <v/>
      </c>
      <c r="Z586" t="str">
        <f t="shared" si="183"/>
        <v/>
      </c>
      <c r="AB586" t="str">
        <f t="shared" si="184"/>
        <v>https://shop.officineitalianezard.it/contents/imgs/products/1_120-1.jpg</v>
      </c>
      <c r="AE586" t="b">
        <v>0</v>
      </c>
    </row>
    <row r="587" spans="1:31" x14ac:dyDescent="0.2">
      <c r="A587" t="str">
        <f t="shared" si="171"/>
        <v>https://shop.officineitalianezard.it/en/full-low-conical-kit/</v>
      </c>
      <c r="B587" t="b">
        <f>COUNTIF($A$2:$A587, A587)&gt;1</f>
        <v>1</v>
      </c>
      <c r="C587" t="b">
        <f t="shared" si="172"/>
        <v>0</v>
      </c>
      <c r="D587">
        <f>VLOOKUP(A587,variant_counts!A:B, 2, FALSE)</f>
        <v>3</v>
      </c>
      <c r="E587" t="str">
        <f t="shared" si="185"/>
        <v>zard-exhaust-21-low-mounted-full-kit-triumph-scrambler-my-2016-carburettor-ztph-036-skb</v>
      </c>
      <c r="F587" t="str">
        <f t="shared" si="173"/>
        <v>ZARD EXHAUST 2&gt;1 LOW MOUNTED FULL KIT TRIUMPH SCRAMBLER &lt; M.Y. 2016 CARBURETTOR ZTPH 036 SKB</v>
      </c>
      <c r="G587" t="str">
        <f t="shared" si="174"/>
        <v/>
      </c>
      <c r="H587" t="str">
        <f t="shared" si="186"/>
        <v/>
      </c>
      <c r="I587" t="str">
        <f t="shared" si="187"/>
        <v/>
      </c>
      <c r="J587" t="str">
        <f t="shared" si="188"/>
        <v/>
      </c>
      <c r="K587" t="str">
        <f t="shared" si="189"/>
        <v/>
      </c>
      <c r="L587" t="str">
        <f t="shared" si="175"/>
        <v/>
      </c>
      <c r="M587" t="str">
        <f t="shared" si="176"/>
        <v/>
      </c>
      <c r="R587" t="str">
        <f t="shared" si="177"/>
        <v/>
      </c>
      <c r="S587" t="str">
        <f t="shared" si="178"/>
        <v/>
      </c>
      <c r="U587" t="str">
        <f t="shared" si="179"/>
        <v/>
      </c>
      <c r="V587" t="str">
        <f t="shared" si="180"/>
        <v/>
      </c>
      <c r="W587" s="5" t="str">
        <f t="shared" si="181"/>
        <v/>
      </c>
      <c r="Y587" t="str">
        <f t="shared" si="182"/>
        <v/>
      </c>
      <c r="Z587" t="str">
        <f t="shared" si="183"/>
        <v/>
      </c>
      <c r="AB587" t="str">
        <f t="shared" si="184"/>
        <v>https://shop.officineitalianezard.it/contents/imgs/products/1_119-2.jpg</v>
      </c>
      <c r="AE587" t="b">
        <v>0</v>
      </c>
    </row>
    <row r="588" spans="1:31" x14ac:dyDescent="0.2">
      <c r="A588" t="str">
        <f t="shared" si="171"/>
        <v>https://shop.officineitalianezard.it/en/full-low-conical-kit/</v>
      </c>
      <c r="B588" t="b">
        <f>COUNTIF($A$2:$A588, A588)&gt;1</f>
        <v>1</v>
      </c>
      <c r="C588" t="b">
        <f t="shared" si="172"/>
        <v>0</v>
      </c>
      <c r="D588">
        <f>VLOOKUP(A588,variant_counts!A:B, 2, FALSE)</f>
        <v>3</v>
      </c>
      <c r="E588" t="str">
        <f t="shared" si="185"/>
        <v>zard-exhaust-21-low-mounted-full-kit-triumph-scrambler-my-2016-carburettor-ztph-036-skb</v>
      </c>
      <c r="F588" t="str">
        <f t="shared" si="173"/>
        <v>ZARD EXHAUST 2&gt;1 LOW MOUNTED FULL KIT TRIUMPH SCRAMBLER &lt; M.Y. 2016 CARBURETTOR ZTPH 036 SKB</v>
      </c>
      <c r="G588" t="str">
        <f t="shared" si="174"/>
        <v/>
      </c>
      <c r="H588" t="str">
        <f t="shared" si="186"/>
        <v/>
      </c>
      <c r="I588" t="str">
        <f t="shared" si="187"/>
        <v/>
      </c>
      <c r="J588" t="str">
        <f t="shared" si="188"/>
        <v/>
      </c>
      <c r="K588" t="str">
        <f t="shared" si="189"/>
        <v/>
      </c>
      <c r="L588" t="str">
        <f t="shared" si="175"/>
        <v/>
      </c>
      <c r="M588" t="str">
        <f t="shared" si="176"/>
        <v/>
      </c>
      <c r="R588" t="str">
        <f t="shared" si="177"/>
        <v/>
      </c>
      <c r="S588" t="str">
        <f t="shared" si="178"/>
        <v/>
      </c>
      <c r="U588" t="str">
        <f t="shared" si="179"/>
        <v/>
      </c>
      <c r="V588" t="str">
        <f t="shared" si="180"/>
        <v/>
      </c>
      <c r="W588" s="5" t="str">
        <f t="shared" si="181"/>
        <v/>
      </c>
      <c r="Y588" t="str">
        <f t="shared" si="182"/>
        <v/>
      </c>
      <c r="Z588" t="str">
        <f t="shared" si="183"/>
        <v/>
      </c>
      <c r="AB588" t="str">
        <f t="shared" si="184"/>
        <v>https://shop.officineitalianezard.it/contents/imgs/products/1_118-0.jpg</v>
      </c>
      <c r="AE588" t="b">
        <v>0</v>
      </c>
    </row>
    <row r="589" spans="1:31" x14ac:dyDescent="0.2">
      <c r="A589" t="str">
        <f t="shared" si="171"/>
        <v>https://shop.officineitalianezard.it/en/full-low-conical-kit/</v>
      </c>
      <c r="B589" t="b">
        <f>COUNTIF($A$2:$A589, A589)&gt;1</f>
        <v>1</v>
      </c>
      <c r="C589" t="b">
        <f t="shared" si="172"/>
        <v>0</v>
      </c>
      <c r="D589">
        <f>VLOOKUP(A589,variant_counts!A:B, 2, FALSE)</f>
        <v>3</v>
      </c>
      <c r="E589" t="str">
        <f t="shared" si="185"/>
        <v>zard-exhaust-21-low-mounted-full-kit-triumph-scrambler-my-2016-carburettor-ztph-036-skb</v>
      </c>
      <c r="F589" t="str">
        <f t="shared" si="173"/>
        <v>ZARD EXHAUST 2&gt;1 LOW MOUNTED FULL KIT TRIUMPH SCRAMBLER &lt; M.Y. 2016 CARBURETTOR ZTPH 036 SKB</v>
      </c>
      <c r="G589" t="str">
        <f t="shared" si="174"/>
        <v/>
      </c>
      <c r="H589" t="str">
        <f t="shared" si="186"/>
        <v/>
      </c>
      <c r="I589" t="str">
        <f t="shared" si="187"/>
        <v/>
      </c>
      <c r="J589" t="str">
        <f t="shared" si="188"/>
        <v/>
      </c>
      <c r="K589" t="str">
        <f t="shared" si="189"/>
        <v/>
      </c>
      <c r="L589" t="str">
        <f t="shared" si="175"/>
        <v/>
      </c>
      <c r="M589" t="str">
        <f t="shared" si="176"/>
        <v/>
      </c>
      <c r="R589" t="str">
        <f t="shared" si="177"/>
        <v/>
      </c>
      <c r="S589" t="str">
        <f t="shared" si="178"/>
        <v/>
      </c>
      <c r="U589" t="str">
        <f t="shared" si="179"/>
        <v/>
      </c>
      <c r="V589" t="str">
        <f t="shared" si="180"/>
        <v/>
      </c>
      <c r="W589" s="5" t="str">
        <f t="shared" si="181"/>
        <v/>
      </c>
      <c r="Y589" t="str">
        <f t="shared" si="182"/>
        <v/>
      </c>
      <c r="Z589" t="str">
        <f t="shared" si="183"/>
        <v/>
      </c>
      <c r="AB589" t="str">
        <f t="shared" si="184"/>
        <v>https://shop.officineitalianezard.it/contents/imgs/products/1_121-3.jpg</v>
      </c>
      <c r="AE589" t="b">
        <v>0</v>
      </c>
    </row>
    <row r="590" spans="1:31" x14ac:dyDescent="0.2">
      <c r="A590" t="str">
        <f t="shared" si="171"/>
        <v>https://shop.officineitalianezard.it/en/full-low-conical-kit/</v>
      </c>
      <c r="B590" t="b">
        <f>COUNTIF($A$2:$A590, A590)&gt;1</f>
        <v>1</v>
      </c>
      <c r="C590" t="b">
        <f t="shared" si="172"/>
        <v>0</v>
      </c>
      <c r="D590">
        <f>VLOOKUP(A590,variant_counts!A:B, 2, FALSE)</f>
        <v>3</v>
      </c>
      <c r="E590" t="str">
        <f t="shared" si="185"/>
        <v>zard-exhaust-21-low-mounted-full-kit-triumph-scrambler-my-2016-carburettor-ztph-036-skb</v>
      </c>
      <c r="F590" t="str">
        <f t="shared" si="173"/>
        <v>ZARD EXHAUST 2&gt;1 LOW MOUNTED FULL KIT TRIUMPH SCRAMBLER &lt; M.Y. 2016 CARBURETTOR ZTPH 036 SKB</v>
      </c>
      <c r="G590" t="str">
        <f t="shared" si="174"/>
        <v/>
      </c>
      <c r="H590" t="str">
        <f t="shared" si="186"/>
        <v/>
      </c>
      <c r="I590" t="str">
        <f t="shared" si="187"/>
        <v/>
      </c>
      <c r="J590" t="str">
        <f t="shared" si="188"/>
        <v/>
      </c>
      <c r="K590" t="str">
        <f t="shared" si="189"/>
        <v/>
      </c>
      <c r="L590" t="str">
        <f t="shared" si="175"/>
        <v/>
      </c>
      <c r="M590" t="str">
        <f t="shared" si="176"/>
        <v/>
      </c>
      <c r="R590" t="str">
        <f t="shared" si="177"/>
        <v/>
      </c>
      <c r="S590" t="str">
        <f t="shared" si="178"/>
        <v/>
      </c>
      <c r="U590" t="str">
        <f t="shared" si="179"/>
        <v/>
      </c>
      <c r="V590" t="str">
        <f t="shared" si="180"/>
        <v/>
      </c>
      <c r="W590" s="5" t="str">
        <f t="shared" si="181"/>
        <v/>
      </c>
      <c r="Y590" t="str">
        <f t="shared" si="182"/>
        <v/>
      </c>
      <c r="Z590" t="str">
        <f t="shared" si="183"/>
        <v/>
      </c>
      <c r="AB590" t="str">
        <f t="shared" si="184"/>
        <v>https://shop.officineitalianezard.it/contents/imgs/products/1_122-5.jpg</v>
      </c>
      <c r="AE590" t="b">
        <v>0</v>
      </c>
    </row>
    <row r="591" spans="1:31" x14ac:dyDescent="0.2">
      <c r="A591" t="str">
        <f t="shared" si="171"/>
        <v>https://shop.officineitalianezard.it/en/full-low-conical-kit/</v>
      </c>
      <c r="B591" t="b">
        <f>COUNTIF($A$2:$A591, A591)&gt;1</f>
        <v>1</v>
      </c>
      <c r="C591" t="b">
        <f t="shared" si="172"/>
        <v>1</v>
      </c>
      <c r="D591">
        <f>VLOOKUP(A591,variant_counts!A:B, 2, FALSE)</f>
        <v>3</v>
      </c>
      <c r="E591" t="str">
        <f t="shared" si="185"/>
        <v>zard-exhaust-21-low-mounted-full-kit-triumph-scrambler-my-2016-carburettor-ztph-036-skb</v>
      </c>
      <c r="F591" t="str">
        <f t="shared" si="173"/>
        <v>ZARD EXHAUST 2&gt;1 LOW MOUNTED FULL KIT TRIUMPH SCRAMBLER &lt; M.Y. 2016 CARBURETTOR ZTPH 036 SKB</v>
      </c>
      <c r="G591" t="str">
        <f t="shared" si="174"/>
        <v/>
      </c>
      <c r="H591" t="str">
        <f t="shared" si="186"/>
        <v/>
      </c>
      <c r="I591" t="str">
        <f t="shared" si="187"/>
        <v/>
      </c>
      <c r="J591" t="str">
        <f t="shared" si="188"/>
        <v/>
      </c>
      <c r="K591" t="str">
        <f t="shared" si="189"/>
        <v/>
      </c>
      <c r="L591" t="str">
        <f t="shared" si="175"/>
        <v>Option</v>
      </c>
      <c r="M591" t="str">
        <f t="shared" si="176"/>
        <v>HOMOLOGATED</v>
      </c>
      <c r="R591" t="str">
        <f t="shared" si="177"/>
        <v>ZTPH 036 SKB</v>
      </c>
      <c r="S591">
        <f t="shared" si="178"/>
        <v>0</v>
      </c>
      <c r="U591" t="str">
        <f t="shared" si="179"/>
        <v>continue</v>
      </c>
      <c r="V591" t="str">
        <f t="shared" si="180"/>
        <v>manual</v>
      </c>
      <c r="W591" s="5">
        <f t="shared" si="181"/>
        <v>964.87860000000012</v>
      </c>
      <c r="Y591" t="b">
        <f t="shared" si="182"/>
        <v>1</v>
      </c>
      <c r="Z591" t="b">
        <f t="shared" si="183"/>
        <v>0</v>
      </c>
      <c r="AB591" t="str">
        <f t="shared" si="184"/>
        <v/>
      </c>
      <c r="AE591" t="b">
        <v>0</v>
      </c>
    </row>
    <row r="592" spans="1:31" x14ac:dyDescent="0.2">
      <c r="A592" t="str">
        <f t="shared" si="171"/>
        <v>https://shop.officineitalianezard.it/en/full-low-conical-kit/</v>
      </c>
      <c r="B592" t="b">
        <f>COUNTIF($A$2:$A592, A592)&gt;1</f>
        <v>1</v>
      </c>
      <c r="C592" t="b">
        <f t="shared" si="172"/>
        <v>1</v>
      </c>
      <c r="D592">
        <f>VLOOKUP(A592,variant_counts!A:B, 2, FALSE)</f>
        <v>3</v>
      </c>
      <c r="E592" t="str">
        <f t="shared" si="185"/>
        <v>zard-exhaust-21-low-mounted-full-kit-triumph-scrambler-my-2016-carburettor-ztph-036-skb</v>
      </c>
      <c r="F592" t="str">
        <f t="shared" si="173"/>
        <v>ZARD EXHAUST 2&gt;1 LOW MOUNTED FULL KIT TRIUMPH SCRAMBLER &lt; M.Y. 2016 CARBURETTOR ZTPH 036 SKB</v>
      </c>
      <c r="G592" t="str">
        <f t="shared" si="174"/>
        <v/>
      </c>
      <c r="H592" t="str">
        <f t="shared" si="186"/>
        <v/>
      </c>
      <c r="I592" t="str">
        <f t="shared" si="187"/>
        <v/>
      </c>
      <c r="J592" t="str">
        <f t="shared" si="188"/>
        <v/>
      </c>
      <c r="K592" t="str">
        <f t="shared" si="189"/>
        <v/>
      </c>
      <c r="L592" t="str">
        <f t="shared" si="175"/>
        <v>Option</v>
      </c>
      <c r="M592" t="str">
        <f t="shared" si="176"/>
        <v>POLISHED</v>
      </c>
      <c r="R592" t="str">
        <f t="shared" si="177"/>
        <v>ZTPH 036 SKB</v>
      </c>
      <c r="S592">
        <f t="shared" si="178"/>
        <v>0</v>
      </c>
      <c r="U592" t="str">
        <f t="shared" si="179"/>
        <v>continue</v>
      </c>
      <c r="V592" t="str">
        <f t="shared" si="180"/>
        <v>manual</v>
      </c>
      <c r="W592" s="5">
        <f t="shared" si="181"/>
        <v>986.16840000000002</v>
      </c>
      <c r="Y592" t="b">
        <f t="shared" si="182"/>
        <v>1</v>
      </c>
      <c r="Z592" t="b">
        <f t="shared" si="183"/>
        <v>0</v>
      </c>
      <c r="AB592" t="str">
        <f t="shared" si="184"/>
        <v/>
      </c>
      <c r="AE592" t="b">
        <v>0</v>
      </c>
    </row>
    <row r="593" spans="1:31" x14ac:dyDescent="0.2">
      <c r="A593" t="str">
        <f t="shared" si="171"/>
        <v>https://shop.officineitalianezard.it/en/full-low-conical-kit/</v>
      </c>
      <c r="B593" t="b">
        <f>COUNTIF($A$2:$A593, A593)&gt;1</f>
        <v>1</v>
      </c>
      <c r="C593" t="b">
        <f t="shared" si="172"/>
        <v>1</v>
      </c>
      <c r="D593">
        <f>VLOOKUP(A593,variant_counts!A:B, 2, FALSE)</f>
        <v>3</v>
      </c>
      <c r="E593" t="str">
        <f t="shared" si="185"/>
        <v>zard-exhaust-21-low-mounted-full-kit-triumph-scrambler-my-2016-carburettor-ztph-036-skb</v>
      </c>
      <c r="F593" t="str">
        <f t="shared" si="173"/>
        <v>ZARD EXHAUST 2&gt;1 LOW MOUNTED FULL KIT TRIUMPH SCRAMBLER &lt; M.Y. 2016 CARBURETTOR ZTPH 036 SKB</v>
      </c>
      <c r="G593" t="str">
        <f t="shared" si="174"/>
        <v/>
      </c>
      <c r="H593" t="str">
        <f t="shared" si="186"/>
        <v/>
      </c>
      <c r="I593" t="str">
        <f t="shared" si="187"/>
        <v/>
      </c>
      <c r="J593" t="str">
        <f t="shared" si="188"/>
        <v/>
      </c>
      <c r="K593" t="str">
        <f t="shared" si="189"/>
        <v/>
      </c>
      <c r="L593" t="str">
        <f t="shared" si="175"/>
        <v>Option</v>
      </c>
      <c r="M593" t="str">
        <f t="shared" si="176"/>
        <v>BLACK CERAMIC COATING</v>
      </c>
      <c r="R593" t="str">
        <f t="shared" si="177"/>
        <v>ZTPH 036 SKB</v>
      </c>
      <c r="S593">
        <f t="shared" si="178"/>
        <v>0</v>
      </c>
      <c r="U593" t="str">
        <f t="shared" si="179"/>
        <v>continue</v>
      </c>
      <c r="V593" t="str">
        <f t="shared" si="180"/>
        <v>manual</v>
      </c>
      <c r="W593" s="5">
        <f t="shared" si="181"/>
        <v>1067.2317</v>
      </c>
      <c r="Y593" t="b">
        <f t="shared" si="182"/>
        <v>1</v>
      </c>
      <c r="Z593" t="b">
        <f t="shared" si="183"/>
        <v>0</v>
      </c>
      <c r="AB593" t="str">
        <f t="shared" si="184"/>
        <v/>
      </c>
      <c r="AE593" t="b">
        <v>0</v>
      </c>
    </row>
    <row r="594" spans="1:31" x14ac:dyDescent="0.2">
      <c r="A594" t="str">
        <f t="shared" si="171"/>
        <v>https://shop.officineitalianezard.it/en/products/index/full-kit-cross-version-7034-47/</v>
      </c>
      <c r="B594" t="b">
        <f>COUNTIF($A$2:$A594, A594)&gt;1</f>
        <v>0</v>
      </c>
      <c r="C594" t="b">
        <f t="shared" si="172"/>
        <v>0</v>
      </c>
      <c r="D594">
        <f>VLOOKUP(A594,variant_counts!A:B, 2, FALSE)</f>
        <v>2</v>
      </c>
      <c r="E594" t="str">
        <f t="shared" si="185"/>
        <v>zard-exhaust-21-full-kit-cross-triumph-scrambler-my-2016-carburettor-ztph-034-skc</v>
      </c>
      <c r="F594" t="str">
        <f t="shared" si="173"/>
        <v>ZARD EXHAUST 2&gt;1 FULL KIT CROSS TRIUMPH SCRAMBLER &lt; M.Y. 2016 CARBURETTOR ZTPH 034 SKC</v>
      </c>
      <c r="G594" t="str">
        <f t="shared" si="174"/>
        <v>&lt;p&gt;2&amp;gt;1 STEEL RACING FULL KIT&lt;/p&gt;
&lt;p&gt;ORIGINAL FULL KIT WEIGHT: KG 11,6&lt;br&gt;ZARD FULL KIT WEIGHT: KG 2.2&lt;/p&gt;
&lt;p&gt;HARD INCREASE IN THE RANGE BETWEEN 4000 AND 6500 RPM AND 2 MORE HP COMPARED TO THE ORIGINAL EXHAUST SYSTEM.&lt;/p&gt;
&lt;p&gt;ASTONISHING SOUND.&lt;/p&gt;</v>
      </c>
      <c r="H594" t="str">
        <f t="shared" si="186"/>
        <v>ZARD</v>
      </c>
      <c r="I594" t="str">
        <f t="shared" si="187"/>
        <v>Exhaust Pipe</v>
      </c>
      <c r="J594" t="str">
        <f t="shared" si="188"/>
        <v>Test</v>
      </c>
      <c r="K594" t="b">
        <f t="shared" si="189"/>
        <v>0</v>
      </c>
      <c r="L594" t="str">
        <f t="shared" si="175"/>
        <v/>
      </c>
      <c r="M594" t="str">
        <f t="shared" si="176"/>
        <v/>
      </c>
      <c r="R594" t="str">
        <f t="shared" si="177"/>
        <v/>
      </c>
      <c r="S594" t="str">
        <f t="shared" si="178"/>
        <v/>
      </c>
      <c r="U594" t="str">
        <f t="shared" si="179"/>
        <v/>
      </c>
      <c r="V594" t="str">
        <f t="shared" si="180"/>
        <v/>
      </c>
      <c r="W594" s="5" t="str">
        <f t="shared" si="181"/>
        <v/>
      </c>
      <c r="Y594" t="str">
        <f t="shared" si="182"/>
        <v/>
      </c>
      <c r="Z594" t="str">
        <f t="shared" si="183"/>
        <v/>
      </c>
      <c r="AB594" t="str">
        <f t="shared" si="184"/>
        <v>https://shop.officineitalianezard.it/contents/imgs/products/1_1215-zard%20cross.jpg</v>
      </c>
      <c r="AE594" t="b">
        <v>0</v>
      </c>
    </row>
    <row r="595" spans="1:31" x14ac:dyDescent="0.2">
      <c r="A595" t="str">
        <f t="shared" si="171"/>
        <v>https://shop.officineitalianezard.it/en/products/index/full-kit-cross-version-7034-47/</v>
      </c>
      <c r="B595" t="b">
        <f>COUNTIF($A$2:$A595, A595)&gt;1</f>
        <v>1</v>
      </c>
      <c r="C595" t="b">
        <f t="shared" si="172"/>
        <v>0</v>
      </c>
      <c r="D595">
        <f>VLOOKUP(A595,variant_counts!A:B, 2, FALSE)</f>
        <v>2</v>
      </c>
      <c r="E595" t="str">
        <f t="shared" si="185"/>
        <v>zard-exhaust-21-full-kit-cross-triumph-scrambler-my-2016-carburettor-ztph-034-skc</v>
      </c>
      <c r="F595" t="str">
        <f t="shared" si="173"/>
        <v>ZARD EXHAUST 2&gt;1 FULL KIT CROSS TRIUMPH SCRAMBLER &lt; M.Y. 2016 CARBURETTOR ZTPH 034 SKC</v>
      </c>
      <c r="G595" t="str">
        <f t="shared" si="174"/>
        <v/>
      </c>
      <c r="H595" t="str">
        <f t="shared" si="186"/>
        <v/>
      </c>
      <c r="I595" t="str">
        <f t="shared" si="187"/>
        <v/>
      </c>
      <c r="J595" t="str">
        <f t="shared" si="188"/>
        <v/>
      </c>
      <c r="K595" t="str">
        <f t="shared" si="189"/>
        <v/>
      </c>
      <c r="L595" t="str">
        <f t="shared" si="175"/>
        <v/>
      </c>
      <c r="M595" t="str">
        <f t="shared" si="176"/>
        <v/>
      </c>
      <c r="R595" t="str">
        <f t="shared" si="177"/>
        <v/>
      </c>
      <c r="S595" t="str">
        <f t="shared" si="178"/>
        <v/>
      </c>
      <c r="U595" t="str">
        <f t="shared" si="179"/>
        <v/>
      </c>
      <c r="V595" t="str">
        <f t="shared" si="180"/>
        <v/>
      </c>
      <c r="W595" s="5" t="str">
        <f t="shared" si="181"/>
        <v/>
      </c>
      <c r="Y595" t="str">
        <f t="shared" si="182"/>
        <v/>
      </c>
      <c r="Z595" t="str">
        <f t="shared" si="183"/>
        <v/>
      </c>
      <c r="AB595" t="str">
        <f t="shared" si="184"/>
        <v>https://shop.officineitalianezard.it/contents/imgs/products/1_127-0.jpg</v>
      </c>
      <c r="AE595" t="b">
        <v>0</v>
      </c>
    </row>
    <row r="596" spans="1:31" x14ac:dyDescent="0.2">
      <c r="A596" t="str">
        <f t="shared" si="171"/>
        <v>https://shop.officineitalianezard.it/en/products/index/full-kit-cross-version-7034-47/</v>
      </c>
      <c r="B596" t="b">
        <f>COUNTIF($A$2:$A596, A596)&gt;1</f>
        <v>1</v>
      </c>
      <c r="C596" t="b">
        <f t="shared" si="172"/>
        <v>0</v>
      </c>
      <c r="D596">
        <f>VLOOKUP(A596,variant_counts!A:B, 2, FALSE)</f>
        <v>2</v>
      </c>
      <c r="E596" t="str">
        <f t="shared" si="185"/>
        <v>zard-exhaust-21-full-kit-cross-triumph-scrambler-my-2016-carburettor-ztph-034-skc</v>
      </c>
      <c r="F596" t="str">
        <f t="shared" si="173"/>
        <v>ZARD EXHAUST 2&gt;1 FULL KIT CROSS TRIUMPH SCRAMBLER &lt; M.Y. 2016 CARBURETTOR ZTPH 034 SKC</v>
      </c>
      <c r="G596" t="str">
        <f t="shared" si="174"/>
        <v/>
      </c>
      <c r="H596" t="str">
        <f t="shared" si="186"/>
        <v/>
      </c>
      <c r="I596" t="str">
        <f t="shared" si="187"/>
        <v/>
      </c>
      <c r="J596" t="str">
        <f t="shared" si="188"/>
        <v/>
      </c>
      <c r="K596" t="str">
        <f t="shared" si="189"/>
        <v/>
      </c>
      <c r="L596" t="str">
        <f t="shared" si="175"/>
        <v/>
      </c>
      <c r="M596" t="str">
        <f t="shared" si="176"/>
        <v/>
      </c>
      <c r="R596" t="str">
        <f t="shared" si="177"/>
        <v/>
      </c>
      <c r="S596" t="str">
        <f t="shared" si="178"/>
        <v/>
      </c>
      <c r="U596" t="str">
        <f t="shared" si="179"/>
        <v/>
      </c>
      <c r="V596" t="str">
        <f t="shared" si="180"/>
        <v/>
      </c>
      <c r="W596" s="5" t="str">
        <f t="shared" si="181"/>
        <v/>
      </c>
      <c r="Y596" t="str">
        <f t="shared" si="182"/>
        <v/>
      </c>
      <c r="Z596" t="str">
        <f t="shared" si="183"/>
        <v/>
      </c>
      <c r="AB596" t="str">
        <f t="shared" si="184"/>
        <v>https://shop.officineitalianezard.it/contents/imgs/products/1_947-scarichi%20moto%20zard%20cross.jpg</v>
      </c>
      <c r="AE596" t="b">
        <v>0</v>
      </c>
    </row>
    <row r="597" spans="1:31" x14ac:dyDescent="0.2">
      <c r="A597" t="str">
        <f t="shared" si="171"/>
        <v>https://shop.officineitalianezard.it/en/products/index/full-kit-cross-version-7034-47/</v>
      </c>
      <c r="B597" t="b">
        <f>COUNTIF($A$2:$A597, A597)&gt;1</f>
        <v>1</v>
      </c>
      <c r="C597" t="b">
        <f t="shared" si="172"/>
        <v>0</v>
      </c>
      <c r="D597">
        <f>VLOOKUP(A597,variant_counts!A:B, 2, FALSE)</f>
        <v>2</v>
      </c>
      <c r="E597" t="str">
        <f t="shared" si="185"/>
        <v>zard-exhaust-21-full-kit-cross-triumph-scrambler-my-2016-carburettor-ztph-034-skc</v>
      </c>
      <c r="F597" t="str">
        <f t="shared" si="173"/>
        <v>ZARD EXHAUST 2&gt;1 FULL KIT CROSS TRIUMPH SCRAMBLER &lt; M.Y. 2016 CARBURETTOR ZTPH 034 SKC</v>
      </c>
      <c r="G597" t="str">
        <f t="shared" si="174"/>
        <v/>
      </c>
      <c r="H597" t="str">
        <f t="shared" si="186"/>
        <v/>
      </c>
      <c r="I597" t="str">
        <f t="shared" si="187"/>
        <v/>
      </c>
      <c r="J597" t="str">
        <f t="shared" si="188"/>
        <v/>
      </c>
      <c r="K597" t="str">
        <f t="shared" si="189"/>
        <v/>
      </c>
      <c r="L597" t="str">
        <f t="shared" si="175"/>
        <v/>
      </c>
      <c r="M597" t="str">
        <f t="shared" si="176"/>
        <v/>
      </c>
      <c r="R597" t="str">
        <f t="shared" si="177"/>
        <v/>
      </c>
      <c r="S597" t="str">
        <f t="shared" si="178"/>
        <v/>
      </c>
      <c r="U597" t="str">
        <f t="shared" si="179"/>
        <v/>
      </c>
      <c r="V597" t="str">
        <f t="shared" si="180"/>
        <v/>
      </c>
      <c r="W597" s="5" t="str">
        <f t="shared" si="181"/>
        <v/>
      </c>
      <c r="Y597" t="str">
        <f t="shared" si="182"/>
        <v/>
      </c>
      <c r="Z597" t="str">
        <f t="shared" si="183"/>
        <v/>
      </c>
      <c r="AB597" t="str">
        <f t="shared" si="184"/>
        <v>https://shop.officineitalianezard.it/contents/imgs/products/1_1149-11017541_10153917985646632_8025402486644623573_n.jpg</v>
      </c>
      <c r="AE597" t="b">
        <v>0</v>
      </c>
    </row>
    <row r="598" spans="1:31" x14ac:dyDescent="0.2">
      <c r="A598" t="str">
        <f t="shared" si="171"/>
        <v>https://shop.officineitalianezard.it/en/products/index/full-kit-cross-version-7034-47/</v>
      </c>
      <c r="B598" t="b">
        <f>COUNTIF($A$2:$A598, A598)&gt;1</f>
        <v>1</v>
      </c>
      <c r="C598" t="b">
        <f t="shared" si="172"/>
        <v>0</v>
      </c>
      <c r="D598">
        <f>VLOOKUP(A598,variant_counts!A:B, 2, FALSE)</f>
        <v>2</v>
      </c>
      <c r="E598" t="str">
        <f t="shared" si="185"/>
        <v>zard-exhaust-21-full-kit-cross-triumph-scrambler-my-2016-carburettor-ztph-034-skc</v>
      </c>
      <c r="F598" t="str">
        <f t="shared" si="173"/>
        <v>ZARD EXHAUST 2&gt;1 FULL KIT CROSS TRIUMPH SCRAMBLER &lt; M.Y. 2016 CARBURETTOR ZTPH 034 SKC</v>
      </c>
      <c r="G598" t="str">
        <f t="shared" si="174"/>
        <v/>
      </c>
      <c r="H598" t="str">
        <f t="shared" si="186"/>
        <v/>
      </c>
      <c r="I598" t="str">
        <f t="shared" si="187"/>
        <v/>
      </c>
      <c r="J598" t="str">
        <f t="shared" si="188"/>
        <v/>
      </c>
      <c r="K598" t="str">
        <f t="shared" si="189"/>
        <v/>
      </c>
      <c r="L598" t="str">
        <f t="shared" si="175"/>
        <v/>
      </c>
      <c r="M598" t="str">
        <f t="shared" si="176"/>
        <v/>
      </c>
      <c r="R598" t="str">
        <f t="shared" si="177"/>
        <v/>
      </c>
      <c r="S598" t="str">
        <f t="shared" si="178"/>
        <v/>
      </c>
      <c r="U598" t="str">
        <f t="shared" si="179"/>
        <v/>
      </c>
      <c r="V598" t="str">
        <f t="shared" si="180"/>
        <v/>
      </c>
      <c r="W598" s="5" t="str">
        <f t="shared" si="181"/>
        <v/>
      </c>
      <c r="Y598" t="str">
        <f t="shared" si="182"/>
        <v/>
      </c>
      <c r="Z598" t="str">
        <f t="shared" si="183"/>
        <v/>
      </c>
      <c r="AB598" t="str">
        <f t="shared" si="184"/>
        <v>https://shop.officineitalianezard.it/contents/imgs/products/1_1148-11259175_10153917986126632_709285374156847894_n.jpg</v>
      </c>
      <c r="AE598" t="b">
        <v>0</v>
      </c>
    </row>
    <row r="599" spans="1:31" x14ac:dyDescent="0.2">
      <c r="A599" t="str">
        <f t="shared" si="171"/>
        <v>https://shop.officineitalianezard.it/en/products/index/full-kit-cross-version-7034-47/</v>
      </c>
      <c r="B599" t="b">
        <f>COUNTIF($A$2:$A599, A599)&gt;1</f>
        <v>1</v>
      </c>
      <c r="C599" t="b">
        <f t="shared" si="172"/>
        <v>1</v>
      </c>
      <c r="D599">
        <f>VLOOKUP(A599,variant_counts!A:B, 2, FALSE)</f>
        <v>2</v>
      </c>
      <c r="E599" t="str">
        <f t="shared" si="185"/>
        <v>zard-exhaust-21-full-kit-cross-triumph-scrambler-my-2016-carburettor-ztph-034-skc</v>
      </c>
      <c r="F599" t="str">
        <f t="shared" si="173"/>
        <v>ZARD EXHAUST 2&gt;1 FULL KIT CROSS TRIUMPH SCRAMBLER &lt; M.Y. 2016 CARBURETTOR ZTPH 034 SKC</v>
      </c>
      <c r="G599" t="str">
        <f t="shared" si="174"/>
        <v/>
      </c>
      <c r="H599" t="str">
        <f t="shared" si="186"/>
        <v/>
      </c>
      <c r="I599" t="str">
        <f t="shared" si="187"/>
        <v/>
      </c>
      <c r="J599" t="str">
        <f t="shared" si="188"/>
        <v/>
      </c>
      <c r="K599" t="str">
        <f t="shared" si="189"/>
        <v/>
      </c>
      <c r="L599" t="str">
        <f t="shared" si="175"/>
        <v>Option</v>
      </c>
      <c r="M599" t="str">
        <f t="shared" si="176"/>
        <v>POLISHED</v>
      </c>
      <c r="R599" t="str">
        <f t="shared" si="177"/>
        <v>ZTPH 034 SKC</v>
      </c>
      <c r="S599">
        <f t="shared" si="178"/>
        <v>0</v>
      </c>
      <c r="U599" t="str">
        <f t="shared" si="179"/>
        <v>continue</v>
      </c>
      <c r="V599" t="str">
        <f t="shared" si="180"/>
        <v>manual</v>
      </c>
      <c r="W599" s="5">
        <f t="shared" si="181"/>
        <v>959.78370000000007</v>
      </c>
      <c r="Y599" t="b">
        <f t="shared" si="182"/>
        <v>1</v>
      </c>
      <c r="Z599" t="b">
        <f t="shared" si="183"/>
        <v>0</v>
      </c>
      <c r="AB599" t="str">
        <f t="shared" si="184"/>
        <v/>
      </c>
      <c r="AE599" t="b">
        <v>0</v>
      </c>
    </row>
    <row r="600" spans="1:31" x14ac:dyDescent="0.2">
      <c r="A600" t="str">
        <f t="shared" si="171"/>
        <v>https://shop.officineitalianezard.it/en/products/index/full-kit-cross-version-7034-47/</v>
      </c>
      <c r="B600" t="b">
        <f>COUNTIF($A$2:$A600, A600)&gt;1</f>
        <v>1</v>
      </c>
      <c r="C600" t="b">
        <f t="shared" si="172"/>
        <v>1</v>
      </c>
      <c r="D600">
        <f>VLOOKUP(A600,variant_counts!A:B, 2, FALSE)</f>
        <v>2</v>
      </c>
      <c r="E600" t="str">
        <f t="shared" si="185"/>
        <v>zard-exhaust-21-full-kit-cross-triumph-scrambler-my-2016-carburettor-ztph-034-skc</v>
      </c>
      <c r="F600" t="str">
        <f t="shared" si="173"/>
        <v>ZARD EXHAUST 2&gt;1 FULL KIT CROSS TRIUMPH SCRAMBLER &lt; M.Y. 2016 CARBURETTOR ZTPH 034 SKC</v>
      </c>
      <c r="G600" t="str">
        <f t="shared" si="174"/>
        <v/>
      </c>
      <c r="H600" t="str">
        <f t="shared" si="186"/>
        <v/>
      </c>
      <c r="I600" t="str">
        <f t="shared" si="187"/>
        <v/>
      </c>
      <c r="J600" t="str">
        <f t="shared" si="188"/>
        <v/>
      </c>
      <c r="K600" t="str">
        <f t="shared" si="189"/>
        <v/>
      </c>
      <c r="L600" t="str">
        <f t="shared" si="175"/>
        <v>Option</v>
      </c>
      <c r="M600" t="str">
        <f t="shared" si="176"/>
        <v>BLACK CERAMIC COATING</v>
      </c>
      <c r="R600" t="str">
        <f t="shared" si="177"/>
        <v>ZTPH 034 SKC</v>
      </c>
      <c r="S600">
        <f t="shared" si="178"/>
        <v>0</v>
      </c>
      <c r="U600" t="str">
        <f t="shared" si="179"/>
        <v>continue</v>
      </c>
      <c r="V600" t="str">
        <f t="shared" si="180"/>
        <v>manual</v>
      </c>
      <c r="W600" s="5">
        <f t="shared" si="181"/>
        <v>1040.847</v>
      </c>
      <c r="Y600" t="b">
        <f t="shared" si="182"/>
        <v>1</v>
      </c>
      <c r="Z600" t="b">
        <f t="shared" si="183"/>
        <v>0</v>
      </c>
      <c r="AB600" t="str">
        <f t="shared" si="184"/>
        <v/>
      </c>
      <c r="AE600" t="b">
        <v>0</v>
      </c>
    </row>
    <row r="601" spans="1:31" x14ac:dyDescent="0.2">
      <c r="A601" t="str">
        <f t="shared" si="171"/>
        <v>https://shop.officineitalianezard.it/en/products/index/triumph-bonneville-scrambler-thruxton-exhaust-zard-7835-47/</v>
      </c>
      <c r="B601" t="b">
        <f>COUNTIF($A$2:$A601, A601)&gt;1</f>
        <v>0</v>
      </c>
      <c r="C601" t="b">
        <f t="shared" si="172"/>
        <v>0</v>
      </c>
      <c r="D601">
        <f>VLOOKUP(A601,variant_counts!A:B, 2, FALSE)</f>
        <v>4</v>
      </c>
      <c r="E601" t="str">
        <f t="shared" si="185"/>
        <v>zard-exhaust-21-full-kit-triumph-scrambler-my-2016-conical-version-ztph077skr</v>
      </c>
      <c r="F601" t="str">
        <f t="shared" si="173"/>
        <v>ZARD EXHAUST 2&gt;1 FULL KIT TRIUMPH SCRAMBLER &lt; M.Y. 2016 CONICAL VERSION ZTPH077SKR</v>
      </c>
      <c r="G601" t="str">
        <f t="shared" si="174"/>
        <v>&lt;p&gt;2&amp;gt;1 STEEL RACING CONICAL FULL KIT&lt;/p&gt;
&lt;p&gt;ORIGINAL FULL KIT WEIGHT: KG 9.3&lt;/p&gt;
&lt;p&gt;ZARD FULL KIT WEIGHT: KG 6.7&lt;/p&gt;
&lt;p&gt;HARD INCREASE IN TERMS OF RESPONSE IN THE RANGE BETWEEN 4000 AND 6500 RPM AND 1,5 MORE HP COMPARED TO THE ORIGINAL EXHAUST SYSTEM.&lt;/p&gt;
&lt;p&gt;FITTING KIT INCLUDED, ASTONISHING SOUND.&lt;/p&gt;</v>
      </c>
      <c r="H601" t="str">
        <f t="shared" si="186"/>
        <v>ZARD</v>
      </c>
      <c r="I601" t="str">
        <f t="shared" si="187"/>
        <v>Exhaust Pipe</v>
      </c>
      <c r="J601" t="str">
        <f t="shared" si="188"/>
        <v>Test</v>
      </c>
      <c r="K601" t="b">
        <f t="shared" si="189"/>
        <v>0</v>
      </c>
      <c r="L601" t="str">
        <f t="shared" si="175"/>
        <v/>
      </c>
      <c r="M601" t="str">
        <f t="shared" si="176"/>
        <v/>
      </c>
      <c r="R601" t="str">
        <f t="shared" si="177"/>
        <v/>
      </c>
      <c r="S601" t="str">
        <f t="shared" si="178"/>
        <v/>
      </c>
      <c r="U601" t="str">
        <f t="shared" si="179"/>
        <v/>
      </c>
      <c r="V601" t="str">
        <f t="shared" si="180"/>
        <v/>
      </c>
      <c r="W601" s="5" t="str">
        <f t="shared" si="181"/>
        <v/>
      </c>
      <c r="Y601" t="str">
        <f t="shared" si="182"/>
        <v/>
      </c>
      <c r="Z601" t="str">
        <f t="shared" si="183"/>
        <v/>
      </c>
      <c r="AB601" t="str">
        <f t="shared" si="184"/>
        <v>https://shop.officineitalianezard.it/contents/imgs/products/1_2089-zard-singolo-bonneville3.jpg</v>
      </c>
      <c r="AE601" t="b">
        <v>0</v>
      </c>
    </row>
    <row r="602" spans="1:31" x14ac:dyDescent="0.2">
      <c r="A602" t="str">
        <f t="shared" si="171"/>
        <v>https://shop.officineitalianezard.it/en/products/index/triumph-bonneville-scrambler-thruxton-exhaust-zard-7835-47/</v>
      </c>
      <c r="B602" t="b">
        <f>COUNTIF($A$2:$A602, A602)&gt;1</f>
        <v>1</v>
      </c>
      <c r="C602" t="b">
        <f t="shared" si="172"/>
        <v>0</v>
      </c>
      <c r="D602">
        <f>VLOOKUP(A602,variant_counts!A:B, 2, FALSE)</f>
        <v>4</v>
      </c>
      <c r="E602" t="str">
        <f t="shared" si="185"/>
        <v>zard-exhaust-21-full-kit-triumph-scrambler-my-2016-conical-version-ztph077skr</v>
      </c>
      <c r="F602" t="str">
        <f t="shared" si="173"/>
        <v>ZARD EXHAUST 2&gt;1 FULL KIT TRIUMPH SCRAMBLER &lt; M.Y. 2016 CONICAL VERSION ZTPH077SKR</v>
      </c>
      <c r="G602" t="str">
        <f t="shared" si="174"/>
        <v/>
      </c>
      <c r="H602" t="str">
        <f t="shared" si="186"/>
        <v/>
      </c>
      <c r="I602" t="str">
        <f t="shared" si="187"/>
        <v/>
      </c>
      <c r="J602" t="str">
        <f t="shared" si="188"/>
        <v/>
      </c>
      <c r="K602" t="str">
        <f t="shared" si="189"/>
        <v/>
      </c>
      <c r="L602" t="str">
        <f t="shared" si="175"/>
        <v/>
      </c>
      <c r="M602" t="str">
        <f t="shared" si="176"/>
        <v/>
      </c>
      <c r="R602" t="str">
        <f t="shared" si="177"/>
        <v/>
      </c>
      <c r="S602" t="str">
        <f t="shared" si="178"/>
        <v/>
      </c>
      <c r="U602" t="str">
        <f t="shared" si="179"/>
        <v/>
      </c>
      <c r="V602" t="str">
        <f t="shared" si="180"/>
        <v/>
      </c>
      <c r="W602" s="5" t="str">
        <f t="shared" si="181"/>
        <v/>
      </c>
      <c r="Y602" t="str">
        <f t="shared" si="182"/>
        <v/>
      </c>
      <c r="Z602" t="str">
        <f t="shared" si="183"/>
        <v/>
      </c>
      <c r="AB602" t="str">
        <f t="shared" si="184"/>
        <v>https://shop.officineitalianezard.it/contents/imgs/products/1_2091-zard-singolo-bonneville4.jpg</v>
      </c>
      <c r="AE602" t="b">
        <v>0</v>
      </c>
    </row>
    <row r="603" spans="1:31" x14ac:dyDescent="0.2">
      <c r="A603" t="str">
        <f t="shared" si="171"/>
        <v>https://shop.officineitalianezard.it/en/products/index/triumph-bonneville-scrambler-thruxton-exhaust-zard-7835-47/</v>
      </c>
      <c r="B603" t="b">
        <f>COUNTIF($A$2:$A603, A603)&gt;1</f>
        <v>1</v>
      </c>
      <c r="C603" t="b">
        <f t="shared" si="172"/>
        <v>0</v>
      </c>
      <c r="D603">
        <f>VLOOKUP(A603,variant_counts!A:B, 2, FALSE)</f>
        <v>4</v>
      </c>
      <c r="E603" t="str">
        <f t="shared" si="185"/>
        <v>zard-exhaust-21-full-kit-triumph-scrambler-my-2016-conical-version-ztph077skr</v>
      </c>
      <c r="F603" t="str">
        <f t="shared" si="173"/>
        <v>ZARD EXHAUST 2&gt;1 FULL KIT TRIUMPH SCRAMBLER &lt; M.Y. 2016 CONICAL VERSION ZTPH077SKR</v>
      </c>
      <c r="G603" t="str">
        <f t="shared" si="174"/>
        <v/>
      </c>
      <c r="H603" t="str">
        <f t="shared" si="186"/>
        <v/>
      </c>
      <c r="I603" t="str">
        <f t="shared" si="187"/>
        <v/>
      </c>
      <c r="J603" t="str">
        <f t="shared" si="188"/>
        <v/>
      </c>
      <c r="K603" t="str">
        <f t="shared" si="189"/>
        <v/>
      </c>
      <c r="L603" t="str">
        <f t="shared" si="175"/>
        <v/>
      </c>
      <c r="M603" t="str">
        <f t="shared" si="176"/>
        <v/>
      </c>
      <c r="R603" t="str">
        <f t="shared" si="177"/>
        <v/>
      </c>
      <c r="S603" t="str">
        <f t="shared" si="178"/>
        <v/>
      </c>
      <c r="U603" t="str">
        <f t="shared" si="179"/>
        <v/>
      </c>
      <c r="V603" t="str">
        <f t="shared" si="180"/>
        <v/>
      </c>
      <c r="W603" s="5" t="str">
        <f t="shared" si="181"/>
        <v/>
      </c>
      <c r="Y603" t="str">
        <f t="shared" si="182"/>
        <v/>
      </c>
      <c r="Z603" t="str">
        <f t="shared" si="183"/>
        <v/>
      </c>
      <c r="AB603" t="str">
        <f t="shared" si="184"/>
        <v>https://shop.officineitalianezard.it/contents/imgs/products/1_2090-zard-singolo-bonneville2.jpg</v>
      </c>
      <c r="AE603" t="b">
        <v>0</v>
      </c>
    </row>
    <row r="604" spans="1:31" x14ac:dyDescent="0.2">
      <c r="A604" t="str">
        <f t="shared" si="171"/>
        <v>https://shop.officineitalianezard.it/en/products/index/triumph-bonneville-scrambler-thruxton-exhaust-zard-7835-47/</v>
      </c>
      <c r="B604" t="b">
        <f>COUNTIF($A$2:$A604, A604)&gt;1</f>
        <v>1</v>
      </c>
      <c r="C604" t="b">
        <f t="shared" si="172"/>
        <v>0</v>
      </c>
      <c r="D604">
        <f>VLOOKUP(A604,variant_counts!A:B, 2, FALSE)</f>
        <v>4</v>
      </c>
      <c r="E604" t="str">
        <f t="shared" si="185"/>
        <v>zard-exhaust-21-full-kit-triumph-scrambler-my-2016-conical-version-ztph077skr</v>
      </c>
      <c r="F604" t="str">
        <f t="shared" si="173"/>
        <v>ZARD EXHAUST 2&gt;1 FULL KIT TRIUMPH SCRAMBLER &lt; M.Y. 2016 CONICAL VERSION ZTPH077SKR</v>
      </c>
      <c r="G604" t="str">
        <f t="shared" si="174"/>
        <v/>
      </c>
      <c r="H604" t="str">
        <f t="shared" si="186"/>
        <v/>
      </c>
      <c r="I604" t="str">
        <f t="shared" si="187"/>
        <v/>
      </c>
      <c r="J604" t="str">
        <f t="shared" si="188"/>
        <v/>
      </c>
      <c r="K604" t="str">
        <f t="shared" si="189"/>
        <v/>
      </c>
      <c r="L604" t="str">
        <f t="shared" si="175"/>
        <v/>
      </c>
      <c r="M604" t="str">
        <f t="shared" si="176"/>
        <v/>
      </c>
      <c r="R604" t="str">
        <f t="shared" si="177"/>
        <v/>
      </c>
      <c r="S604" t="str">
        <f t="shared" si="178"/>
        <v/>
      </c>
      <c r="U604" t="str">
        <f t="shared" si="179"/>
        <v/>
      </c>
      <c r="V604" t="str">
        <f t="shared" si="180"/>
        <v/>
      </c>
      <c r="W604" s="5" t="str">
        <f t="shared" si="181"/>
        <v/>
      </c>
      <c r="Y604" t="str">
        <f t="shared" si="182"/>
        <v/>
      </c>
      <c r="Z604" t="str">
        <f t="shared" si="183"/>
        <v/>
      </c>
      <c r="AB604" t="str">
        <f t="shared" si="184"/>
        <v>https://shop.officineitalianezard.it/contents/imgs/products/1_2092-zard%20scrambler.jpg</v>
      </c>
      <c r="AE604" t="b">
        <v>0</v>
      </c>
    </row>
    <row r="605" spans="1:31" x14ac:dyDescent="0.2">
      <c r="A605" t="str">
        <f t="shared" si="171"/>
        <v>https://shop.officineitalianezard.it/en/products/index/triumph-bonneville-scrambler-thruxton-exhaust-zard-7835-47/</v>
      </c>
      <c r="B605" t="b">
        <f>COUNTIF($A$2:$A605, A605)&gt;1</f>
        <v>1</v>
      </c>
      <c r="C605" t="b">
        <f t="shared" si="172"/>
        <v>0</v>
      </c>
      <c r="D605">
        <f>VLOOKUP(A605,variant_counts!A:B, 2, FALSE)</f>
        <v>4</v>
      </c>
      <c r="E605" t="str">
        <f t="shared" si="185"/>
        <v>zard-exhaust-21-full-kit-triumph-scrambler-my-2016-conical-version-ztph077skr</v>
      </c>
      <c r="F605" t="str">
        <f t="shared" si="173"/>
        <v>ZARD EXHAUST 2&gt;1 FULL KIT TRIUMPH SCRAMBLER &lt; M.Y. 2016 CONICAL VERSION ZTPH077SKR</v>
      </c>
      <c r="G605" t="str">
        <f t="shared" si="174"/>
        <v/>
      </c>
      <c r="H605" t="str">
        <f t="shared" si="186"/>
        <v/>
      </c>
      <c r="I605" t="str">
        <f t="shared" si="187"/>
        <v/>
      </c>
      <c r="J605" t="str">
        <f t="shared" si="188"/>
        <v/>
      </c>
      <c r="K605" t="str">
        <f t="shared" si="189"/>
        <v/>
      </c>
      <c r="L605" t="str">
        <f t="shared" si="175"/>
        <v/>
      </c>
      <c r="M605" t="str">
        <f t="shared" si="176"/>
        <v/>
      </c>
      <c r="R605" t="str">
        <f t="shared" si="177"/>
        <v/>
      </c>
      <c r="S605" t="str">
        <f t="shared" si="178"/>
        <v/>
      </c>
      <c r="U605" t="str">
        <f t="shared" si="179"/>
        <v/>
      </c>
      <c r="V605" t="str">
        <f t="shared" si="180"/>
        <v/>
      </c>
      <c r="W605" s="5" t="str">
        <f t="shared" si="181"/>
        <v/>
      </c>
      <c r="Y605" t="str">
        <f t="shared" si="182"/>
        <v/>
      </c>
      <c r="Z605" t="str">
        <f t="shared" si="183"/>
        <v/>
      </c>
      <c r="AB605" t="str">
        <f t="shared" si="184"/>
        <v>https://shop.officineitalianezard.it/contents/imgs/products/1_2093-zard%20scrambler%202.jpg</v>
      </c>
      <c r="AE605" t="b">
        <v>0</v>
      </c>
    </row>
    <row r="606" spans="1:31" x14ac:dyDescent="0.2">
      <c r="A606" t="str">
        <f t="shared" si="171"/>
        <v>https://shop.officineitalianezard.it/en/products/index/triumph-bonneville-scrambler-thruxton-exhaust-zard-7835-47/</v>
      </c>
      <c r="B606" t="b">
        <f>COUNTIF($A$2:$A606, A606)&gt;1</f>
        <v>1</v>
      </c>
      <c r="C606" t="b">
        <f t="shared" si="172"/>
        <v>1</v>
      </c>
      <c r="D606">
        <f>VLOOKUP(A606,variant_counts!A:B, 2, FALSE)</f>
        <v>4</v>
      </c>
      <c r="E606" t="str">
        <f t="shared" si="185"/>
        <v>zard-exhaust-21-full-kit-triumph-scrambler-my-2016-conical-version-ztph077skr</v>
      </c>
      <c r="F606" t="str">
        <f t="shared" si="173"/>
        <v>ZARD EXHAUST 2&gt;1 FULL KIT TRIUMPH SCRAMBLER &lt; M.Y. 2016 CONICAL VERSION ZTPH077SKR</v>
      </c>
      <c r="G606" t="str">
        <f t="shared" si="174"/>
        <v/>
      </c>
      <c r="H606" t="str">
        <f t="shared" si="186"/>
        <v/>
      </c>
      <c r="I606" t="str">
        <f t="shared" si="187"/>
        <v/>
      </c>
      <c r="J606" t="str">
        <f t="shared" si="188"/>
        <v/>
      </c>
      <c r="K606" t="str">
        <f t="shared" si="189"/>
        <v/>
      </c>
      <c r="L606" t="str">
        <f t="shared" si="175"/>
        <v>Option</v>
      </c>
      <c r="M606" t="str">
        <f t="shared" si="176"/>
        <v>HOMOLOGATED</v>
      </c>
      <c r="R606" t="str">
        <f t="shared" si="177"/>
        <v>ZTPH077SKR</v>
      </c>
      <c r="S606">
        <f t="shared" si="178"/>
        <v>0</v>
      </c>
      <c r="U606" t="str">
        <f t="shared" si="179"/>
        <v>continue</v>
      </c>
      <c r="V606" t="str">
        <f t="shared" si="180"/>
        <v>manual</v>
      </c>
      <c r="W606" s="5">
        <f t="shared" si="181"/>
        <v>1017.6480000000001</v>
      </c>
      <c r="Y606" t="b">
        <f t="shared" si="182"/>
        <v>1</v>
      </c>
      <c r="Z606" t="b">
        <f t="shared" si="183"/>
        <v>0</v>
      </c>
      <c r="AB606" t="str">
        <f t="shared" si="184"/>
        <v/>
      </c>
      <c r="AE606" t="b">
        <v>0</v>
      </c>
    </row>
    <row r="607" spans="1:31" x14ac:dyDescent="0.2">
      <c r="A607" t="str">
        <f t="shared" si="171"/>
        <v>https://shop.officineitalianezard.it/en/products/index/triumph-bonneville-scrambler-thruxton-exhaust-zard-7835-47/</v>
      </c>
      <c r="B607" t="b">
        <f>COUNTIF($A$2:$A607, A607)&gt;1</f>
        <v>1</v>
      </c>
      <c r="C607" t="b">
        <f t="shared" si="172"/>
        <v>1</v>
      </c>
      <c r="D607">
        <f>VLOOKUP(A607,variant_counts!A:B, 2, FALSE)</f>
        <v>4</v>
      </c>
      <c r="E607" t="str">
        <f t="shared" si="185"/>
        <v>zard-exhaust-21-full-kit-triumph-scrambler-my-2016-conical-version-ztph077skr</v>
      </c>
      <c r="F607" t="str">
        <f t="shared" si="173"/>
        <v>ZARD EXHAUST 2&gt;1 FULL KIT TRIUMPH SCRAMBLER &lt; M.Y. 2016 CONICAL VERSION ZTPH077SKR</v>
      </c>
      <c r="G607" t="str">
        <f t="shared" si="174"/>
        <v/>
      </c>
      <c r="H607" t="str">
        <f t="shared" si="186"/>
        <v/>
      </c>
      <c r="I607" t="str">
        <f t="shared" si="187"/>
        <v/>
      </c>
      <c r="J607" t="str">
        <f t="shared" si="188"/>
        <v/>
      </c>
      <c r="K607" t="str">
        <f t="shared" si="189"/>
        <v/>
      </c>
      <c r="L607" t="str">
        <f t="shared" si="175"/>
        <v>Option</v>
      </c>
      <c r="M607" t="str">
        <f t="shared" si="176"/>
        <v>BLACK CERAMIC COATING</v>
      </c>
      <c r="R607" t="str">
        <f t="shared" si="177"/>
        <v>ZTPH077SKR</v>
      </c>
      <c r="S607">
        <f t="shared" si="178"/>
        <v>0</v>
      </c>
      <c r="U607" t="str">
        <f t="shared" si="179"/>
        <v>continue</v>
      </c>
      <c r="V607" t="str">
        <f t="shared" si="180"/>
        <v>manual</v>
      </c>
      <c r="W607" s="5">
        <f t="shared" si="181"/>
        <v>1120.0011000000002</v>
      </c>
      <c r="Y607" t="b">
        <f t="shared" si="182"/>
        <v>1</v>
      </c>
      <c r="Z607" t="b">
        <f t="shared" si="183"/>
        <v>0</v>
      </c>
      <c r="AB607" t="str">
        <f t="shared" si="184"/>
        <v/>
      </c>
      <c r="AE607" t="b">
        <v>0</v>
      </c>
    </row>
    <row r="608" spans="1:31" x14ac:dyDescent="0.2">
      <c r="A608" t="str">
        <f t="shared" si="171"/>
        <v>https://shop.officineitalianezard.it/en/products/index/triumph-bonneville-scrambler-thruxton-exhaust-zard-7835-47/</v>
      </c>
      <c r="B608" t="b">
        <f>COUNTIF($A$2:$A608, A608)&gt;1</f>
        <v>1</v>
      </c>
      <c r="C608" t="b">
        <f t="shared" si="172"/>
        <v>1</v>
      </c>
      <c r="D608">
        <f>VLOOKUP(A608,variant_counts!A:B, 2, FALSE)</f>
        <v>4</v>
      </c>
      <c r="E608" t="str">
        <f t="shared" si="185"/>
        <v>zard-exhaust-21-full-kit-triumph-scrambler-my-2016-conical-version-ztph077skr</v>
      </c>
      <c r="F608" t="str">
        <f t="shared" si="173"/>
        <v>ZARD EXHAUST 2&gt;1 FULL KIT TRIUMPH SCRAMBLER &lt; M.Y. 2016 CONICAL VERSION ZTPH077SKR</v>
      </c>
      <c r="G608" t="str">
        <f t="shared" si="174"/>
        <v/>
      </c>
      <c r="H608" t="str">
        <f t="shared" si="186"/>
        <v/>
      </c>
      <c r="I608" t="str">
        <f t="shared" si="187"/>
        <v/>
      </c>
      <c r="J608" t="str">
        <f t="shared" si="188"/>
        <v/>
      </c>
      <c r="K608" t="str">
        <f t="shared" si="189"/>
        <v/>
      </c>
      <c r="L608" t="str">
        <f t="shared" si="175"/>
        <v>Option</v>
      </c>
      <c r="M608" t="str">
        <f t="shared" si="176"/>
        <v>MIRROR POLISHING</v>
      </c>
      <c r="R608" t="str">
        <f t="shared" si="177"/>
        <v>ZTPH077SKR</v>
      </c>
      <c r="S608">
        <f t="shared" si="178"/>
        <v>0</v>
      </c>
      <c r="U608" t="str">
        <f t="shared" si="179"/>
        <v>continue</v>
      </c>
      <c r="V608" t="str">
        <f t="shared" si="180"/>
        <v>manual</v>
      </c>
      <c r="W608" s="5">
        <f t="shared" si="181"/>
        <v>1038.9378000000002</v>
      </c>
      <c r="Y608" t="b">
        <f t="shared" si="182"/>
        <v>1</v>
      </c>
      <c r="Z608" t="b">
        <f t="shared" si="183"/>
        <v>0</v>
      </c>
      <c r="AB608" t="str">
        <f t="shared" si="184"/>
        <v/>
      </c>
      <c r="AE608" t="b">
        <v>0</v>
      </c>
    </row>
    <row r="609" spans="1:31" x14ac:dyDescent="0.2">
      <c r="A609" t="str">
        <f t="shared" si="171"/>
        <v>https://shop.officineitalianezard.it/en/products/index/triumph-bonneville-scrambler-thruxton-exhaust-zard-7835-47/</v>
      </c>
      <c r="B609" t="b">
        <f>COUNTIF($A$2:$A609, A609)&gt;1</f>
        <v>1</v>
      </c>
      <c r="C609" t="b">
        <f t="shared" si="172"/>
        <v>1</v>
      </c>
      <c r="D609">
        <f>VLOOKUP(A609,variant_counts!A:B, 2, FALSE)</f>
        <v>4</v>
      </c>
      <c r="E609" t="str">
        <f t="shared" si="185"/>
        <v>zard-exhaust-21-full-kit-triumph-scrambler-my-2016-conical-version-ztph077skr</v>
      </c>
      <c r="F609" t="str">
        <f t="shared" si="173"/>
        <v>ZARD EXHAUST 2&gt;1 FULL KIT TRIUMPH SCRAMBLER &lt; M.Y. 2016 CONICAL VERSION ZTPH077SKR</v>
      </c>
      <c r="G609" t="str">
        <f t="shared" si="174"/>
        <v/>
      </c>
      <c r="H609" t="str">
        <f t="shared" si="186"/>
        <v/>
      </c>
      <c r="I609" t="str">
        <f t="shared" si="187"/>
        <v/>
      </c>
      <c r="J609" t="str">
        <f t="shared" si="188"/>
        <v/>
      </c>
      <c r="K609" t="str">
        <f t="shared" si="189"/>
        <v/>
      </c>
      <c r="L609" t="str">
        <f t="shared" si="175"/>
        <v>Option</v>
      </c>
      <c r="M609" t="str">
        <f t="shared" si="176"/>
        <v>CATALYZED</v>
      </c>
      <c r="R609" t="str">
        <f t="shared" si="177"/>
        <v>ZTPH077SKR</v>
      </c>
      <c r="S609">
        <f t="shared" si="178"/>
        <v>0</v>
      </c>
      <c r="U609" t="str">
        <f t="shared" si="179"/>
        <v>continue</v>
      </c>
      <c r="V609" t="str">
        <f t="shared" si="180"/>
        <v>manual</v>
      </c>
      <c r="W609" s="5">
        <f t="shared" si="181"/>
        <v>1156.8531</v>
      </c>
      <c r="Y609" t="b">
        <f t="shared" si="182"/>
        <v>1</v>
      </c>
      <c r="Z609" t="b">
        <f t="shared" si="183"/>
        <v>0</v>
      </c>
      <c r="AB609" t="str">
        <f t="shared" si="184"/>
        <v/>
      </c>
      <c r="AE609" t="b">
        <v>0</v>
      </c>
    </row>
    <row r="610" spans="1:31" x14ac:dyDescent="0.2">
      <c r="A610" t="str">
        <f t="shared" si="171"/>
        <v>https://shop.officineitalianezard.it/en/2-1-full-kit-cross/</v>
      </c>
      <c r="B610" t="b">
        <f>COUNTIF($A$2:$A610, A610)&gt;1</f>
        <v>0</v>
      </c>
      <c r="C610" t="b">
        <f t="shared" si="172"/>
        <v>0</v>
      </c>
      <c r="D610">
        <f>VLOOKUP(A610,variant_counts!A:B, 2, FALSE)</f>
        <v>2</v>
      </c>
      <c r="E610" t="str">
        <f t="shared" si="185"/>
        <v>zard-exhaust-21-full-kit-cross-triumph-scrambler-my-2016-injection-ztph034skc-08</v>
      </c>
      <c r="F610" t="str">
        <f t="shared" si="173"/>
        <v>ZARD EXHAUST 2&gt;1 FULL KIT CROSS TRIUMPH SCRAMBLER &lt; M.Y. 2016 INJECTION ZTPH034SKC-08</v>
      </c>
      <c r="G610" t="str">
        <f t="shared" si="174"/>
        <v>&lt;p&gt;2&amp;gt;1 STEEL RACING FULL KIT&lt;/p&gt;
&lt;p&gt;ORIGINAL FULL KIT WEIGHT: KG 11,6&lt;br&gt;ZARD FULL KIT WEIGHT: KG 2.2&lt;/p&gt;
&lt;p&gt;HARD INCREASE IN THE RANGE BETWEEN 4000 AND 6500 RPM AND 2 MORE HP COMPARED TO THE ORIGINAL EXHAUST SYSTEM.&lt;/p&gt;
&lt;p&gt;ASTONISHING SOUND.&lt;/p&gt;</v>
      </c>
      <c r="H610" t="str">
        <f t="shared" si="186"/>
        <v>ZARD</v>
      </c>
      <c r="I610" t="str">
        <f t="shared" si="187"/>
        <v>Exhaust Pipe</v>
      </c>
      <c r="J610" t="str">
        <f t="shared" si="188"/>
        <v>Test</v>
      </c>
      <c r="K610" t="b">
        <f t="shared" si="189"/>
        <v>0</v>
      </c>
      <c r="L610" t="str">
        <f t="shared" si="175"/>
        <v/>
      </c>
      <c r="M610" t="str">
        <f t="shared" si="176"/>
        <v/>
      </c>
      <c r="R610" t="str">
        <f t="shared" si="177"/>
        <v/>
      </c>
      <c r="S610" t="str">
        <f t="shared" si="178"/>
        <v/>
      </c>
      <c r="U610" t="str">
        <f t="shared" si="179"/>
        <v/>
      </c>
      <c r="V610" t="str">
        <f t="shared" si="180"/>
        <v/>
      </c>
      <c r="W610" s="5" t="str">
        <f t="shared" si="181"/>
        <v/>
      </c>
      <c r="Y610" t="str">
        <f t="shared" si="182"/>
        <v/>
      </c>
      <c r="Z610" t="str">
        <f t="shared" si="183"/>
        <v/>
      </c>
      <c r="AB610" t="str">
        <f t="shared" si="184"/>
        <v>https://shop.officineitalianezard.it/contents/imgs/products/1_1214-zard%20cross.jpg</v>
      </c>
      <c r="AE610" t="b">
        <v>0</v>
      </c>
    </row>
    <row r="611" spans="1:31" x14ac:dyDescent="0.2">
      <c r="A611" t="str">
        <f t="shared" si="171"/>
        <v>https://shop.officineitalianezard.it/en/2-1-full-kit-cross/</v>
      </c>
      <c r="B611" t="b">
        <f>COUNTIF($A$2:$A611, A611)&gt;1</f>
        <v>1</v>
      </c>
      <c r="C611" t="b">
        <f t="shared" si="172"/>
        <v>0</v>
      </c>
      <c r="D611">
        <f>VLOOKUP(A611,variant_counts!A:B, 2, FALSE)</f>
        <v>2</v>
      </c>
      <c r="E611" t="str">
        <f t="shared" si="185"/>
        <v>zard-exhaust-21-full-kit-cross-triumph-scrambler-my-2016-injection-ztph034skc-08</v>
      </c>
      <c r="F611" t="str">
        <f t="shared" si="173"/>
        <v>ZARD EXHAUST 2&gt;1 FULL KIT CROSS TRIUMPH SCRAMBLER &lt; M.Y. 2016 INJECTION ZTPH034SKC-08</v>
      </c>
      <c r="G611" t="str">
        <f t="shared" si="174"/>
        <v/>
      </c>
      <c r="H611" t="str">
        <f t="shared" si="186"/>
        <v/>
      </c>
      <c r="I611" t="str">
        <f t="shared" si="187"/>
        <v/>
      </c>
      <c r="J611" t="str">
        <f t="shared" si="188"/>
        <v/>
      </c>
      <c r="K611" t="str">
        <f t="shared" si="189"/>
        <v/>
      </c>
      <c r="L611" t="str">
        <f t="shared" si="175"/>
        <v/>
      </c>
      <c r="M611" t="str">
        <f t="shared" si="176"/>
        <v/>
      </c>
      <c r="R611" t="str">
        <f t="shared" si="177"/>
        <v/>
      </c>
      <c r="S611" t="str">
        <f t="shared" si="178"/>
        <v/>
      </c>
      <c r="U611" t="str">
        <f t="shared" si="179"/>
        <v/>
      </c>
      <c r="V611" t="str">
        <f t="shared" si="180"/>
        <v/>
      </c>
      <c r="W611" s="5" t="str">
        <f t="shared" si="181"/>
        <v/>
      </c>
      <c r="Y611" t="str">
        <f t="shared" si="182"/>
        <v/>
      </c>
      <c r="Z611" t="str">
        <f t="shared" si="183"/>
        <v/>
      </c>
      <c r="AB611" t="str">
        <f t="shared" si="184"/>
        <v>https://shop.officineitalianezard.it/contents/imgs/products/1_2408-triumph%20scrambler%20scarico%20basso%20cross%20zard%202.jpg</v>
      </c>
      <c r="AE611" t="b">
        <v>0</v>
      </c>
    </row>
    <row r="612" spans="1:31" x14ac:dyDescent="0.2">
      <c r="A612" t="str">
        <f t="shared" si="171"/>
        <v>https://shop.officineitalianezard.it/en/2-1-full-kit-cross/</v>
      </c>
      <c r="B612" t="b">
        <f>COUNTIF($A$2:$A612, A612)&gt;1</f>
        <v>1</v>
      </c>
      <c r="C612" t="b">
        <f t="shared" si="172"/>
        <v>0</v>
      </c>
      <c r="D612">
        <f>VLOOKUP(A612,variant_counts!A:B, 2, FALSE)</f>
        <v>2</v>
      </c>
      <c r="E612" t="str">
        <f t="shared" si="185"/>
        <v>zard-exhaust-21-full-kit-cross-triumph-scrambler-my-2016-injection-ztph034skc-08</v>
      </c>
      <c r="F612" t="str">
        <f t="shared" si="173"/>
        <v>ZARD EXHAUST 2&gt;1 FULL KIT CROSS TRIUMPH SCRAMBLER &lt; M.Y. 2016 INJECTION ZTPH034SKC-08</v>
      </c>
      <c r="G612" t="str">
        <f t="shared" si="174"/>
        <v/>
      </c>
      <c r="H612" t="str">
        <f t="shared" si="186"/>
        <v/>
      </c>
      <c r="I612" t="str">
        <f t="shared" si="187"/>
        <v/>
      </c>
      <c r="J612" t="str">
        <f t="shared" si="188"/>
        <v/>
      </c>
      <c r="K612" t="str">
        <f t="shared" si="189"/>
        <v/>
      </c>
      <c r="L612" t="str">
        <f t="shared" si="175"/>
        <v/>
      </c>
      <c r="M612" t="str">
        <f t="shared" si="176"/>
        <v/>
      </c>
      <c r="R612" t="str">
        <f t="shared" si="177"/>
        <v/>
      </c>
      <c r="S612" t="str">
        <f t="shared" si="178"/>
        <v/>
      </c>
      <c r="U612" t="str">
        <f t="shared" si="179"/>
        <v/>
      </c>
      <c r="V612" t="str">
        <f t="shared" si="180"/>
        <v/>
      </c>
      <c r="W612" s="5" t="str">
        <f t="shared" si="181"/>
        <v/>
      </c>
      <c r="Y612" t="str">
        <f t="shared" si="182"/>
        <v/>
      </c>
      <c r="Z612" t="str">
        <f t="shared" si="183"/>
        <v/>
      </c>
      <c r="AB612" t="str">
        <f t="shared" si="184"/>
        <v>https://shop.officineitalianezard.it/contents/imgs/products/1_123-0.jpg</v>
      </c>
      <c r="AE612" t="b">
        <v>0</v>
      </c>
    </row>
    <row r="613" spans="1:31" x14ac:dyDescent="0.2">
      <c r="A613" t="str">
        <f t="shared" si="171"/>
        <v>https://shop.officineitalianezard.it/en/2-1-full-kit-cross/</v>
      </c>
      <c r="B613" t="b">
        <f>COUNTIF($A$2:$A613, A613)&gt;1</f>
        <v>1</v>
      </c>
      <c r="C613" t="b">
        <f t="shared" si="172"/>
        <v>0</v>
      </c>
      <c r="D613">
        <f>VLOOKUP(A613,variant_counts!A:B, 2, FALSE)</f>
        <v>2</v>
      </c>
      <c r="E613" t="str">
        <f t="shared" si="185"/>
        <v>zard-exhaust-21-full-kit-cross-triumph-scrambler-my-2016-injection-ztph034skc-08</v>
      </c>
      <c r="F613" t="str">
        <f t="shared" si="173"/>
        <v>ZARD EXHAUST 2&gt;1 FULL KIT CROSS TRIUMPH SCRAMBLER &lt; M.Y. 2016 INJECTION ZTPH034SKC-08</v>
      </c>
      <c r="G613" t="str">
        <f t="shared" si="174"/>
        <v/>
      </c>
      <c r="H613" t="str">
        <f t="shared" si="186"/>
        <v/>
      </c>
      <c r="I613" t="str">
        <f t="shared" si="187"/>
        <v/>
      </c>
      <c r="J613" t="str">
        <f t="shared" si="188"/>
        <v/>
      </c>
      <c r="K613" t="str">
        <f t="shared" si="189"/>
        <v/>
      </c>
      <c r="L613" t="str">
        <f t="shared" si="175"/>
        <v/>
      </c>
      <c r="M613" t="str">
        <f t="shared" si="176"/>
        <v/>
      </c>
      <c r="R613" t="str">
        <f t="shared" si="177"/>
        <v/>
      </c>
      <c r="S613" t="str">
        <f t="shared" si="178"/>
        <v/>
      </c>
      <c r="U613" t="str">
        <f t="shared" si="179"/>
        <v/>
      </c>
      <c r="V613" t="str">
        <f t="shared" si="180"/>
        <v/>
      </c>
      <c r="W613" s="5" t="str">
        <f t="shared" si="181"/>
        <v/>
      </c>
      <c r="Y613" t="str">
        <f t="shared" si="182"/>
        <v/>
      </c>
      <c r="Z613" t="str">
        <f t="shared" si="183"/>
        <v/>
      </c>
      <c r="AB613" t="str">
        <f t="shared" si="184"/>
        <v>https://shop.officineitalianezard.it/contents/imgs/products/1_946-scarichi%20moto%20zard%20cross.jpg</v>
      </c>
      <c r="AE613" t="b">
        <v>0</v>
      </c>
    </row>
    <row r="614" spans="1:31" x14ac:dyDescent="0.2">
      <c r="A614" t="str">
        <f t="shared" si="171"/>
        <v>https://shop.officineitalianezard.it/en/2-1-full-kit-cross/</v>
      </c>
      <c r="B614" t="b">
        <f>COUNTIF($A$2:$A614, A614)&gt;1</f>
        <v>1</v>
      </c>
      <c r="C614" t="b">
        <f t="shared" si="172"/>
        <v>0</v>
      </c>
      <c r="D614">
        <f>VLOOKUP(A614,variant_counts!A:B, 2, FALSE)</f>
        <v>2</v>
      </c>
      <c r="E614" t="str">
        <f t="shared" si="185"/>
        <v>zard-exhaust-21-full-kit-cross-triumph-scrambler-my-2016-injection-ztph034skc-08</v>
      </c>
      <c r="F614" t="str">
        <f t="shared" si="173"/>
        <v>ZARD EXHAUST 2&gt;1 FULL KIT CROSS TRIUMPH SCRAMBLER &lt; M.Y. 2016 INJECTION ZTPH034SKC-08</v>
      </c>
      <c r="G614" t="str">
        <f t="shared" si="174"/>
        <v/>
      </c>
      <c r="H614" t="str">
        <f t="shared" si="186"/>
        <v/>
      </c>
      <c r="I614" t="str">
        <f t="shared" si="187"/>
        <v/>
      </c>
      <c r="J614" t="str">
        <f t="shared" si="188"/>
        <v/>
      </c>
      <c r="K614" t="str">
        <f t="shared" si="189"/>
        <v/>
      </c>
      <c r="L614" t="str">
        <f t="shared" si="175"/>
        <v/>
      </c>
      <c r="M614" t="str">
        <f t="shared" si="176"/>
        <v/>
      </c>
      <c r="R614" t="str">
        <f t="shared" si="177"/>
        <v/>
      </c>
      <c r="S614" t="str">
        <f t="shared" si="178"/>
        <v/>
      </c>
      <c r="U614" t="str">
        <f t="shared" si="179"/>
        <v/>
      </c>
      <c r="V614" t="str">
        <f t="shared" si="180"/>
        <v/>
      </c>
      <c r="W614" s="5" t="str">
        <f t="shared" si="181"/>
        <v/>
      </c>
      <c r="Y614" t="str">
        <f t="shared" si="182"/>
        <v/>
      </c>
      <c r="Z614" t="str">
        <f t="shared" si="183"/>
        <v/>
      </c>
      <c r="AB614" t="str">
        <f t="shared" si="184"/>
        <v>https://shop.officineitalianezard.it/contents/imgs/products/1_1147-11017541_10153917985646632_8025402486644623573_n.jpg</v>
      </c>
      <c r="AE614" t="b">
        <v>0</v>
      </c>
    </row>
    <row r="615" spans="1:31" x14ac:dyDescent="0.2">
      <c r="A615" t="str">
        <f t="shared" si="171"/>
        <v>https://shop.officineitalianezard.it/en/2-1-full-kit-cross/</v>
      </c>
      <c r="B615" t="b">
        <f>COUNTIF($A$2:$A615, A615)&gt;1</f>
        <v>1</v>
      </c>
      <c r="C615" t="b">
        <f t="shared" si="172"/>
        <v>0</v>
      </c>
      <c r="D615">
        <f>VLOOKUP(A615,variant_counts!A:B, 2, FALSE)</f>
        <v>2</v>
      </c>
      <c r="E615" t="str">
        <f t="shared" si="185"/>
        <v>zard-exhaust-21-full-kit-cross-triumph-scrambler-my-2016-injection-ztph034skc-08</v>
      </c>
      <c r="F615" t="str">
        <f t="shared" si="173"/>
        <v>ZARD EXHAUST 2&gt;1 FULL KIT CROSS TRIUMPH SCRAMBLER &lt; M.Y. 2016 INJECTION ZTPH034SKC-08</v>
      </c>
      <c r="G615" t="str">
        <f t="shared" si="174"/>
        <v/>
      </c>
      <c r="H615" t="str">
        <f t="shared" si="186"/>
        <v/>
      </c>
      <c r="I615" t="str">
        <f t="shared" si="187"/>
        <v/>
      </c>
      <c r="J615" t="str">
        <f t="shared" si="188"/>
        <v/>
      </c>
      <c r="K615" t="str">
        <f t="shared" si="189"/>
        <v/>
      </c>
      <c r="L615" t="str">
        <f t="shared" si="175"/>
        <v/>
      </c>
      <c r="M615" t="str">
        <f t="shared" si="176"/>
        <v/>
      </c>
      <c r="R615" t="str">
        <f t="shared" si="177"/>
        <v/>
      </c>
      <c r="S615" t="str">
        <f t="shared" si="178"/>
        <v/>
      </c>
      <c r="U615" t="str">
        <f t="shared" si="179"/>
        <v/>
      </c>
      <c r="V615" t="str">
        <f t="shared" si="180"/>
        <v/>
      </c>
      <c r="W615" s="5" t="str">
        <f t="shared" si="181"/>
        <v/>
      </c>
      <c r="Y615" t="str">
        <f t="shared" si="182"/>
        <v/>
      </c>
      <c r="Z615" t="str">
        <f t="shared" si="183"/>
        <v/>
      </c>
      <c r="AB615" t="str">
        <f t="shared" si="184"/>
        <v>https://shop.officineitalianezard.it/contents/imgs/products/1_1146-11259175_10153917986126632_709285374156847894_n.jpg</v>
      </c>
      <c r="AE615" t="b">
        <v>0</v>
      </c>
    </row>
    <row r="616" spans="1:31" x14ac:dyDescent="0.2">
      <c r="A616" t="str">
        <f t="shared" si="171"/>
        <v>https://shop.officineitalianezard.it/en/2-1-full-kit-cross/</v>
      </c>
      <c r="B616" t="b">
        <f>COUNTIF($A$2:$A616, A616)&gt;1</f>
        <v>1</v>
      </c>
      <c r="C616" t="b">
        <f t="shared" si="172"/>
        <v>1</v>
      </c>
      <c r="D616">
        <f>VLOOKUP(A616,variant_counts!A:B, 2, FALSE)</f>
        <v>2</v>
      </c>
      <c r="E616" t="str">
        <f t="shared" si="185"/>
        <v>zard-exhaust-21-full-kit-cross-triumph-scrambler-my-2016-injection-ztph034skc-08</v>
      </c>
      <c r="F616" t="str">
        <f t="shared" si="173"/>
        <v>ZARD EXHAUST 2&gt;1 FULL KIT CROSS TRIUMPH SCRAMBLER &lt; M.Y. 2016 INJECTION ZTPH034SKC-08</v>
      </c>
      <c r="G616" t="str">
        <f t="shared" si="174"/>
        <v/>
      </c>
      <c r="H616" t="str">
        <f t="shared" si="186"/>
        <v/>
      </c>
      <c r="I616" t="str">
        <f t="shared" si="187"/>
        <v/>
      </c>
      <c r="J616" t="str">
        <f t="shared" si="188"/>
        <v/>
      </c>
      <c r="K616" t="str">
        <f t="shared" si="189"/>
        <v/>
      </c>
      <c r="L616" t="str">
        <f t="shared" si="175"/>
        <v>Option</v>
      </c>
      <c r="M616" t="str">
        <f t="shared" si="176"/>
        <v>BLACK COATING</v>
      </c>
      <c r="R616" t="str">
        <f t="shared" si="177"/>
        <v>ZTPH034SKC-08</v>
      </c>
      <c r="S616">
        <f t="shared" si="178"/>
        <v>0</v>
      </c>
      <c r="U616" t="str">
        <f t="shared" si="179"/>
        <v>continue</v>
      </c>
      <c r="V616" t="str">
        <f t="shared" si="180"/>
        <v>manual</v>
      </c>
      <c r="W616" s="5">
        <f t="shared" si="181"/>
        <v>1040.847</v>
      </c>
      <c r="Y616" t="b">
        <f t="shared" si="182"/>
        <v>1</v>
      </c>
      <c r="Z616" t="b">
        <f t="shared" si="183"/>
        <v>0</v>
      </c>
      <c r="AB616" t="str">
        <f t="shared" si="184"/>
        <v/>
      </c>
      <c r="AE616" t="b">
        <v>0</v>
      </c>
    </row>
    <row r="617" spans="1:31" x14ac:dyDescent="0.2">
      <c r="A617" t="str">
        <f t="shared" si="171"/>
        <v>https://shop.officineitalianezard.it/en/2-1-full-kit-cross/</v>
      </c>
      <c r="B617" t="b">
        <f>COUNTIF($A$2:$A617, A617)&gt;1</f>
        <v>1</v>
      </c>
      <c r="C617" t="b">
        <f t="shared" si="172"/>
        <v>1</v>
      </c>
      <c r="D617">
        <f>VLOOKUP(A617,variant_counts!A:B, 2, FALSE)</f>
        <v>2</v>
      </c>
      <c r="E617" t="str">
        <f t="shared" si="185"/>
        <v>zard-exhaust-21-full-kit-cross-triumph-scrambler-my-2016-injection-ztph034skc-08</v>
      </c>
      <c r="F617" t="str">
        <f t="shared" si="173"/>
        <v>ZARD EXHAUST 2&gt;1 FULL KIT CROSS TRIUMPH SCRAMBLER &lt; M.Y. 2016 INJECTION ZTPH034SKC-08</v>
      </c>
      <c r="G617" t="str">
        <f t="shared" si="174"/>
        <v/>
      </c>
      <c r="H617" t="str">
        <f t="shared" si="186"/>
        <v/>
      </c>
      <c r="I617" t="str">
        <f t="shared" si="187"/>
        <v/>
      </c>
      <c r="J617" t="str">
        <f t="shared" si="188"/>
        <v/>
      </c>
      <c r="K617" t="str">
        <f t="shared" si="189"/>
        <v/>
      </c>
      <c r="L617" t="str">
        <f t="shared" si="175"/>
        <v>Option</v>
      </c>
      <c r="M617" t="str">
        <f t="shared" si="176"/>
        <v>POLISHED</v>
      </c>
      <c r="R617" t="str">
        <f t="shared" si="177"/>
        <v>ZTPH034SKC-08</v>
      </c>
      <c r="S617">
        <f t="shared" si="178"/>
        <v>0</v>
      </c>
      <c r="U617" t="str">
        <f t="shared" si="179"/>
        <v>continue</v>
      </c>
      <c r="V617" t="str">
        <f t="shared" si="180"/>
        <v>manual</v>
      </c>
      <c r="W617" s="5">
        <f t="shared" si="181"/>
        <v>959.78370000000007</v>
      </c>
      <c r="Y617" t="b">
        <f t="shared" si="182"/>
        <v>1</v>
      </c>
      <c r="Z617" t="b">
        <f t="shared" si="183"/>
        <v>0</v>
      </c>
      <c r="AB617" t="str">
        <f t="shared" si="184"/>
        <v/>
      </c>
      <c r="AE617" t="b">
        <v>0</v>
      </c>
    </row>
    <row r="618" spans="1:31" x14ac:dyDescent="0.2">
      <c r="A618" t="str">
        <f t="shared" si="171"/>
        <v>https://shop.officineitalianezard.it/en/high-mounted-silencer-short/</v>
      </c>
      <c r="B618" t="b">
        <f>COUNTIF($A$2:$A618, A618)&gt;1</f>
        <v>0</v>
      </c>
      <c r="C618" t="b">
        <f t="shared" si="172"/>
        <v>0</v>
      </c>
      <c r="D618">
        <f>VLOOKUP(A618,variant_counts!A:B, 2, FALSE)</f>
        <v>4</v>
      </c>
      <c r="E618" t="str">
        <f t="shared" si="185"/>
        <v>zard-exhaust-21-full-kit-special-edition-triumph-scrambler-my-2016-injection-ztph052ska</v>
      </c>
      <c r="F618" t="str">
        <f t="shared" si="173"/>
        <v>ZARD EXHAUST 2&gt;1 FULL KIT SPECIAL EDITION TRIUMPH SCRAMBLER &lt; M.Y. 2016 INJECTION ZTPH052SKA</v>
      </c>
      <c r="G618" t="str">
        <f t="shared" si="174"/>
        <v>&lt;p&gt;2&amp;gt;1 STEEL FULL KIT RACING WITH REMOVABLE DB KILLER&lt;/p&gt;
&lt;p&gt;ORIGINAL FULL KIT WEIGHT: KG 11.6&lt;br&gt;ZARD FULL KIT WEIGHT: KG 3.9&lt;/p&gt;
&lt;p&gt;'BLACK CERAMIC COATING' OPTIONAL INCLUDES BOTH BLACK HEAT SHIELDS AND BLACK + SILVER WIRE MESHEES&lt;/p&gt;
&lt;p&gt;HARD INCREASE IN THE RANGE BETWEEN 4000 AND 6500 RPM AND 1.5 MORE HP COMPARED TO THE ORIGINAL EXHAUST SYSTEM.&lt;/p&gt;
&lt;p&gt;ASTONISHING SOUND.&lt;/p&gt;
&lt;p&gt;&lt;/p&gt;</v>
      </c>
      <c r="H618" t="str">
        <f t="shared" si="186"/>
        <v>ZARD</v>
      </c>
      <c r="I618" t="str">
        <f t="shared" si="187"/>
        <v>Exhaust Pipe</v>
      </c>
      <c r="J618" t="str">
        <f t="shared" si="188"/>
        <v>Test</v>
      </c>
      <c r="K618" t="b">
        <f t="shared" si="189"/>
        <v>0</v>
      </c>
      <c r="L618" t="str">
        <f t="shared" si="175"/>
        <v/>
      </c>
      <c r="M618" t="str">
        <f t="shared" si="176"/>
        <v/>
      </c>
      <c r="R618" t="str">
        <f t="shared" si="177"/>
        <v/>
      </c>
      <c r="S618" t="str">
        <f t="shared" si="178"/>
        <v/>
      </c>
      <c r="U618" t="str">
        <f t="shared" si="179"/>
        <v/>
      </c>
      <c r="V618" t="str">
        <f t="shared" si="180"/>
        <v/>
      </c>
      <c r="W618" s="5" t="str">
        <f t="shared" si="181"/>
        <v/>
      </c>
      <c r="Y618" t="str">
        <f t="shared" si="182"/>
        <v/>
      </c>
      <c r="Z618" t="str">
        <f t="shared" si="183"/>
        <v/>
      </c>
      <c r="AB618" t="str">
        <f t="shared" si="184"/>
        <v>https://shop.officineitalianezard.it/contents/imgs/products/1_2371-scarico%20scrambler.jpg</v>
      </c>
      <c r="AE618" t="b">
        <v>0</v>
      </c>
    </row>
    <row r="619" spans="1:31" x14ac:dyDescent="0.2">
      <c r="A619" t="str">
        <f t="shared" si="171"/>
        <v>https://shop.officineitalianezard.it/en/high-mounted-silencer-short/</v>
      </c>
      <c r="B619" t="b">
        <f>COUNTIF($A$2:$A619, A619)&gt;1</f>
        <v>1</v>
      </c>
      <c r="C619" t="b">
        <f t="shared" si="172"/>
        <v>0</v>
      </c>
      <c r="D619">
        <f>VLOOKUP(A619,variant_counts!A:B, 2, FALSE)</f>
        <v>4</v>
      </c>
      <c r="E619" t="str">
        <f t="shared" si="185"/>
        <v>zard-exhaust-21-full-kit-special-edition-triumph-scrambler-my-2016-injection-ztph052ska</v>
      </c>
      <c r="F619" t="str">
        <f t="shared" si="173"/>
        <v>ZARD EXHAUST 2&gt;1 FULL KIT SPECIAL EDITION TRIUMPH SCRAMBLER &lt; M.Y. 2016 INJECTION ZTPH052SKA</v>
      </c>
      <c r="G619" t="str">
        <f t="shared" si="174"/>
        <v/>
      </c>
      <c r="H619" t="str">
        <f t="shared" si="186"/>
        <v/>
      </c>
      <c r="I619" t="str">
        <f t="shared" si="187"/>
        <v/>
      </c>
      <c r="J619" t="str">
        <f t="shared" si="188"/>
        <v/>
      </c>
      <c r="K619" t="str">
        <f t="shared" si="189"/>
        <v/>
      </c>
      <c r="L619" t="str">
        <f t="shared" si="175"/>
        <v/>
      </c>
      <c r="M619" t="str">
        <f t="shared" si="176"/>
        <v/>
      </c>
      <c r="R619" t="str">
        <f t="shared" si="177"/>
        <v/>
      </c>
      <c r="S619" t="str">
        <f t="shared" si="178"/>
        <v/>
      </c>
      <c r="U619" t="str">
        <f t="shared" si="179"/>
        <v/>
      </c>
      <c r="V619" t="str">
        <f t="shared" si="180"/>
        <v/>
      </c>
      <c r="W619" s="5" t="str">
        <f t="shared" si="181"/>
        <v/>
      </c>
      <c r="Y619" t="str">
        <f t="shared" si="182"/>
        <v/>
      </c>
      <c r="Z619" t="str">
        <f t="shared" si="183"/>
        <v/>
      </c>
      <c r="AB619" t="str">
        <f t="shared" si="184"/>
        <v>https://shop.officineitalianezard.it/contents/imgs/products/1_927-2.jpg</v>
      </c>
      <c r="AE619" t="b">
        <v>0</v>
      </c>
    </row>
    <row r="620" spans="1:31" x14ac:dyDescent="0.2">
      <c r="A620" t="str">
        <f t="shared" si="171"/>
        <v>https://shop.officineitalianezard.it/en/high-mounted-silencer-short/</v>
      </c>
      <c r="B620" t="b">
        <f>COUNTIF($A$2:$A620, A620)&gt;1</f>
        <v>1</v>
      </c>
      <c r="C620" t="b">
        <f t="shared" si="172"/>
        <v>0</v>
      </c>
      <c r="D620">
        <f>VLOOKUP(A620,variant_counts!A:B, 2, FALSE)</f>
        <v>4</v>
      </c>
      <c r="E620" t="str">
        <f t="shared" si="185"/>
        <v>zard-exhaust-21-full-kit-special-edition-triumph-scrambler-my-2016-injection-ztph052ska</v>
      </c>
      <c r="F620" t="str">
        <f t="shared" si="173"/>
        <v>ZARD EXHAUST 2&gt;1 FULL KIT SPECIAL EDITION TRIUMPH SCRAMBLER &lt; M.Y. 2016 INJECTION ZTPH052SKA</v>
      </c>
      <c r="G620" t="str">
        <f t="shared" si="174"/>
        <v/>
      </c>
      <c r="H620" t="str">
        <f t="shared" si="186"/>
        <v/>
      </c>
      <c r="I620" t="str">
        <f t="shared" si="187"/>
        <v/>
      </c>
      <c r="J620" t="str">
        <f t="shared" si="188"/>
        <v/>
      </c>
      <c r="K620" t="str">
        <f t="shared" si="189"/>
        <v/>
      </c>
      <c r="L620" t="str">
        <f t="shared" si="175"/>
        <v/>
      </c>
      <c r="M620" t="str">
        <f t="shared" si="176"/>
        <v/>
      </c>
      <c r="R620" t="str">
        <f t="shared" si="177"/>
        <v/>
      </c>
      <c r="S620" t="str">
        <f t="shared" si="178"/>
        <v/>
      </c>
      <c r="U620" t="str">
        <f t="shared" si="179"/>
        <v/>
      </c>
      <c r="V620" t="str">
        <f t="shared" si="180"/>
        <v/>
      </c>
      <c r="W620" s="5" t="str">
        <f t="shared" si="181"/>
        <v/>
      </c>
      <c r="Y620" t="str">
        <f t="shared" si="182"/>
        <v/>
      </c>
      <c r="Z620" t="str">
        <f t="shared" si="183"/>
        <v/>
      </c>
      <c r="AB620" t="str">
        <f t="shared" si="184"/>
        <v>https://shop.officineitalianezard.it/contents/imgs/products/1_936-scarichi%20moto.jpg</v>
      </c>
      <c r="AE620" t="b">
        <v>0</v>
      </c>
    </row>
    <row r="621" spans="1:31" x14ac:dyDescent="0.2">
      <c r="A621" t="str">
        <f t="shared" si="171"/>
        <v>https://shop.officineitalianezard.it/en/high-mounted-silencer-short/</v>
      </c>
      <c r="B621" t="b">
        <f>COUNTIF($A$2:$A621, A621)&gt;1</f>
        <v>1</v>
      </c>
      <c r="C621" t="b">
        <f t="shared" si="172"/>
        <v>0</v>
      </c>
      <c r="D621">
        <f>VLOOKUP(A621,variant_counts!A:B, 2, FALSE)</f>
        <v>4</v>
      </c>
      <c r="E621" t="str">
        <f t="shared" si="185"/>
        <v>zard-exhaust-21-full-kit-special-edition-triumph-scrambler-my-2016-injection-ztph052ska</v>
      </c>
      <c r="F621" t="str">
        <f t="shared" si="173"/>
        <v>ZARD EXHAUST 2&gt;1 FULL KIT SPECIAL EDITION TRIUMPH SCRAMBLER &lt; M.Y. 2016 INJECTION ZTPH052SKA</v>
      </c>
      <c r="G621" t="str">
        <f t="shared" si="174"/>
        <v/>
      </c>
      <c r="H621" t="str">
        <f t="shared" si="186"/>
        <v/>
      </c>
      <c r="I621" t="str">
        <f t="shared" si="187"/>
        <v/>
      </c>
      <c r="J621" t="str">
        <f t="shared" si="188"/>
        <v/>
      </c>
      <c r="K621" t="str">
        <f t="shared" si="189"/>
        <v/>
      </c>
      <c r="L621" t="str">
        <f t="shared" si="175"/>
        <v/>
      </c>
      <c r="M621" t="str">
        <f t="shared" si="176"/>
        <v/>
      </c>
      <c r="R621" t="str">
        <f t="shared" si="177"/>
        <v/>
      </c>
      <c r="S621" t="str">
        <f t="shared" si="178"/>
        <v/>
      </c>
      <c r="U621" t="str">
        <f t="shared" si="179"/>
        <v/>
      </c>
      <c r="V621" t="str">
        <f t="shared" si="180"/>
        <v/>
      </c>
      <c r="W621" s="5" t="str">
        <f t="shared" si="181"/>
        <v/>
      </c>
      <c r="Y621" t="str">
        <f t="shared" si="182"/>
        <v/>
      </c>
      <c r="Z621" t="str">
        <f t="shared" si="183"/>
        <v/>
      </c>
      <c r="AB621" t="str">
        <f t="shared" si="184"/>
        <v>https://shop.officineitalianezard.it/contents/imgs/products/1_928-3.jpg</v>
      </c>
      <c r="AE621" t="b">
        <v>0</v>
      </c>
    </row>
    <row r="622" spans="1:31" x14ac:dyDescent="0.2">
      <c r="A622" t="str">
        <f t="shared" si="171"/>
        <v>https://shop.officineitalianezard.it/en/high-mounted-silencer-short/</v>
      </c>
      <c r="B622" t="b">
        <f>COUNTIF($A$2:$A622, A622)&gt;1</f>
        <v>1</v>
      </c>
      <c r="C622" t="b">
        <f t="shared" si="172"/>
        <v>0</v>
      </c>
      <c r="D622">
        <f>VLOOKUP(A622,variant_counts!A:B, 2, FALSE)</f>
        <v>4</v>
      </c>
      <c r="E622" t="str">
        <f t="shared" si="185"/>
        <v>zard-exhaust-21-full-kit-special-edition-triumph-scrambler-my-2016-injection-ztph052ska</v>
      </c>
      <c r="F622" t="str">
        <f t="shared" si="173"/>
        <v>ZARD EXHAUST 2&gt;1 FULL KIT SPECIAL EDITION TRIUMPH SCRAMBLER &lt; M.Y. 2016 INJECTION ZTPH052SKA</v>
      </c>
      <c r="G622" t="str">
        <f t="shared" si="174"/>
        <v/>
      </c>
      <c r="H622" t="str">
        <f t="shared" si="186"/>
        <v/>
      </c>
      <c r="I622" t="str">
        <f t="shared" si="187"/>
        <v/>
      </c>
      <c r="J622" t="str">
        <f t="shared" si="188"/>
        <v/>
      </c>
      <c r="K622" t="str">
        <f t="shared" si="189"/>
        <v/>
      </c>
      <c r="L622" t="str">
        <f t="shared" si="175"/>
        <v/>
      </c>
      <c r="M622" t="str">
        <f t="shared" si="176"/>
        <v/>
      </c>
      <c r="R622" t="str">
        <f t="shared" si="177"/>
        <v/>
      </c>
      <c r="S622" t="str">
        <f t="shared" si="178"/>
        <v/>
      </c>
      <c r="U622" t="str">
        <f t="shared" si="179"/>
        <v/>
      </c>
      <c r="V622" t="str">
        <f t="shared" si="180"/>
        <v/>
      </c>
      <c r="W622" s="5" t="str">
        <f t="shared" si="181"/>
        <v/>
      </c>
      <c r="Y622" t="str">
        <f t="shared" si="182"/>
        <v/>
      </c>
      <c r="Z622" t="str">
        <f t="shared" si="183"/>
        <v/>
      </c>
      <c r="AB622" t="str">
        <f t="shared" si="184"/>
        <v>https://shop.officineitalianezard.it/contents/imgs/products/1_1064-scarico%20scrambler%20zard1.jpg</v>
      </c>
      <c r="AE622" t="b">
        <v>0</v>
      </c>
    </row>
    <row r="623" spans="1:31" x14ac:dyDescent="0.2">
      <c r="A623" t="str">
        <f t="shared" si="171"/>
        <v>https://shop.officineitalianezard.it/en/high-mounted-silencer-short/</v>
      </c>
      <c r="B623" t="b">
        <f>COUNTIF($A$2:$A623, A623)&gt;1</f>
        <v>1</v>
      </c>
      <c r="C623" t="b">
        <f t="shared" si="172"/>
        <v>0</v>
      </c>
      <c r="D623">
        <f>VLOOKUP(A623,variant_counts!A:B, 2, FALSE)</f>
        <v>4</v>
      </c>
      <c r="E623" t="str">
        <f t="shared" si="185"/>
        <v>zard-exhaust-21-full-kit-special-edition-triumph-scrambler-my-2016-injection-ztph052ska</v>
      </c>
      <c r="F623" t="str">
        <f t="shared" si="173"/>
        <v>ZARD EXHAUST 2&gt;1 FULL KIT SPECIAL EDITION TRIUMPH SCRAMBLER &lt; M.Y. 2016 INJECTION ZTPH052SKA</v>
      </c>
      <c r="G623" t="str">
        <f t="shared" si="174"/>
        <v/>
      </c>
      <c r="H623" t="str">
        <f t="shared" si="186"/>
        <v/>
      </c>
      <c r="I623" t="str">
        <f t="shared" si="187"/>
        <v/>
      </c>
      <c r="J623" t="str">
        <f t="shared" si="188"/>
        <v/>
      </c>
      <c r="K623" t="str">
        <f t="shared" si="189"/>
        <v/>
      </c>
      <c r="L623" t="str">
        <f t="shared" si="175"/>
        <v/>
      </c>
      <c r="M623" t="str">
        <f t="shared" si="176"/>
        <v/>
      </c>
      <c r="R623" t="str">
        <f t="shared" si="177"/>
        <v/>
      </c>
      <c r="S623" t="str">
        <f t="shared" si="178"/>
        <v/>
      </c>
      <c r="U623" t="str">
        <f t="shared" si="179"/>
        <v/>
      </c>
      <c r="V623" t="str">
        <f t="shared" si="180"/>
        <v/>
      </c>
      <c r="W623" s="5" t="str">
        <f t="shared" si="181"/>
        <v/>
      </c>
      <c r="Y623" t="str">
        <f t="shared" si="182"/>
        <v/>
      </c>
      <c r="Z623" t="str">
        <f t="shared" si="183"/>
        <v/>
      </c>
      <c r="AB623" t="str">
        <f t="shared" si="184"/>
        <v>https://shop.officineitalianezard.it/contents/imgs/products/1_1065-scarico%20scrambler%20zard2.jpg</v>
      </c>
      <c r="AE623" t="b">
        <v>0</v>
      </c>
    </row>
    <row r="624" spans="1:31" x14ac:dyDescent="0.2">
      <c r="A624" t="str">
        <f t="shared" si="171"/>
        <v>https://shop.officineitalianezard.it/en/high-mounted-silencer-short/</v>
      </c>
      <c r="B624" t="b">
        <f>COUNTIF($A$2:$A624, A624)&gt;1</f>
        <v>1</v>
      </c>
      <c r="C624" t="b">
        <f t="shared" si="172"/>
        <v>0</v>
      </c>
      <c r="D624">
        <f>VLOOKUP(A624,variant_counts!A:B, 2, FALSE)</f>
        <v>4</v>
      </c>
      <c r="E624" t="str">
        <f t="shared" si="185"/>
        <v>zard-exhaust-21-full-kit-special-edition-triumph-scrambler-my-2016-injection-ztph052ska</v>
      </c>
      <c r="F624" t="str">
        <f t="shared" si="173"/>
        <v>ZARD EXHAUST 2&gt;1 FULL KIT SPECIAL EDITION TRIUMPH SCRAMBLER &lt; M.Y. 2016 INJECTION ZTPH052SKA</v>
      </c>
      <c r="G624" t="str">
        <f t="shared" si="174"/>
        <v/>
      </c>
      <c r="H624" t="str">
        <f t="shared" si="186"/>
        <v/>
      </c>
      <c r="I624" t="str">
        <f t="shared" si="187"/>
        <v/>
      </c>
      <c r="J624" t="str">
        <f t="shared" si="188"/>
        <v/>
      </c>
      <c r="K624" t="str">
        <f t="shared" si="189"/>
        <v/>
      </c>
      <c r="L624" t="str">
        <f t="shared" si="175"/>
        <v/>
      </c>
      <c r="M624" t="str">
        <f t="shared" si="176"/>
        <v/>
      </c>
      <c r="R624" t="str">
        <f t="shared" si="177"/>
        <v/>
      </c>
      <c r="S624" t="str">
        <f t="shared" si="178"/>
        <v/>
      </c>
      <c r="U624" t="str">
        <f t="shared" si="179"/>
        <v/>
      </c>
      <c r="V624" t="str">
        <f t="shared" si="180"/>
        <v/>
      </c>
      <c r="W624" s="5" t="str">
        <f t="shared" si="181"/>
        <v/>
      </c>
      <c r="Y624" t="str">
        <f t="shared" si="182"/>
        <v/>
      </c>
      <c r="Z624" t="str">
        <f t="shared" si="183"/>
        <v/>
      </c>
      <c r="AB624" t="str">
        <f t="shared" si="184"/>
        <v>https://shop.officineitalianezard.it/contents/imgs/products/1_1092-brushed.jpg</v>
      </c>
      <c r="AE624" t="b">
        <v>0</v>
      </c>
    </row>
    <row r="625" spans="1:31" x14ac:dyDescent="0.2">
      <c r="A625" t="str">
        <f t="shared" si="171"/>
        <v>https://shop.officineitalianezard.it/en/high-mounted-silencer-short/</v>
      </c>
      <c r="B625" t="b">
        <f>COUNTIF($A$2:$A625, A625)&gt;1</f>
        <v>1</v>
      </c>
      <c r="C625" t="b">
        <f t="shared" si="172"/>
        <v>0</v>
      </c>
      <c r="D625">
        <f>VLOOKUP(A625,variant_counts!A:B, 2, FALSE)</f>
        <v>4</v>
      </c>
      <c r="E625" t="str">
        <f t="shared" si="185"/>
        <v>zard-exhaust-21-full-kit-special-edition-triumph-scrambler-my-2016-injection-ztph052ska</v>
      </c>
      <c r="F625" t="str">
        <f t="shared" si="173"/>
        <v>ZARD EXHAUST 2&gt;1 FULL KIT SPECIAL EDITION TRIUMPH SCRAMBLER &lt; M.Y. 2016 INJECTION ZTPH052SKA</v>
      </c>
      <c r="G625" t="str">
        <f t="shared" si="174"/>
        <v/>
      </c>
      <c r="H625" t="str">
        <f t="shared" si="186"/>
        <v/>
      </c>
      <c r="I625" t="str">
        <f t="shared" si="187"/>
        <v/>
      </c>
      <c r="J625" t="str">
        <f t="shared" si="188"/>
        <v/>
      </c>
      <c r="K625" t="str">
        <f t="shared" si="189"/>
        <v/>
      </c>
      <c r="L625" t="str">
        <f t="shared" si="175"/>
        <v/>
      </c>
      <c r="M625" t="str">
        <f t="shared" si="176"/>
        <v/>
      </c>
      <c r="R625" t="str">
        <f t="shared" si="177"/>
        <v/>
      </c>
      <c r="S625" t="str">
        <f t="shared" si="178"/>
        <v/>
      </c>
      <c r="U625" t="str">
        <f t="shared" si="179"/>
        <v/>
      </c>
      <c r="V625" t="str">
        <f t="shared" si="180"/>
        <v/>
      </c>
      <c r="W625" s="5" t="str">
        <f t="shared" si="181"/>
        <v/>
      </c>
      <c r="Y625" t="str">
        <f t="shared" si="182"/>
        <v/>
      </c>
      <c r="Z625" t="str">
        <f t="shared" si="183"/>
        <v/>
      </c>
      <c r="AB625" t="str">
        <f t="shared" si="184"/>
        <v>https://shop.officineitalianezard.it/contents/imgs/products/1_1093-inox-paracalore%20nero.jpg</v>
      </c>
      <c r="AE625" t="b">
        <v>0</v>
      </c>
    </row>
    <row r="626" spans="1:31" x14ac:dyDescent="0.2">
      <c r="A626" t="str">
        <f t="shared" si="171"/>
        <v>https://shop.officineitalianezard.it/en/high-mounted-silencer-short/</v>
      </c>
      <c r="B626" t="b">
        <f>COUNTIF($A$2:$A626, A626)&gt;1</f>
        <v>1</v>
      </c>
      <c r="C626" t="b">
        <f t="shared" si="172"/>
        <v>0</v>
      </c>
      <c r="D626">
        <f>VLOOKUP(A626,variant_counts!A:B, 2, FALSE)</f>
        <v>4</v>
      </c>
      <c r="E626" t="str">
        <f t="shared" si="185"/>
        <v>zard-exhaust-21-full-kit-special-edition-triumph-scrambler-my-2016-injection-ztph052ska</v>
      </c>
      <c r="F626" t="str">
        <f t="shared" si="173"/>
        <v>ZARD EXHAUST 2&gt;1 FULL KIT SPECIAL EDITION TRIUMPH SCRAMBLER &lt; M.Y. 2016 INJECTION ZTPH052SKA</v>
      </c>
      <c r="G626" t="str">
        <f t="shared" si="174"/>
        <v/>
      </c>
      <c r="H626" t="str">
        <f t="shared" si="186"/>
        <v/>
      </c>
      <c r="I626" t="str">
        <f t="shared" si="187"/>
        <v/>
      </c>
      <c r="J626" t="str">
        <f t="shared" si="188"/>
        <v/>
      </c>
      <c r="K626" t="str">
        <f t="shared" si="189"/>
        <v/>
      </c>
      <c r="L626" t="str">
        <f t="shared" si="175"/>
        <v/>
      </c>
      <c r="M626" t="str">
        <f t="shared" si="176"/>
        <v/>
      </c>
      <c r="R626" t="str">
        <f t="shared" si="177"/>
        <v/>
      </c>
      <c r="S626" t="str">
        <f t="shared" si="178"/>
        <v/>
      </c>
      <c r="U626" t="str">
        <f t="shared" si="179"/>
        <v/>
      </c>
      <c r="V626" t="str">
        <f t="shared" si="180"/>
        <v/>
      </c>
      <c r="W626" s="5" t="str">
        <f t="shared" si="181"/>
        <v/>
      </c>
      <c r="Y626" t="str">
        <f t="shared" si="182"/>
        <v/>
      </c>
      <c r="Z626" t="str">
        <f t="shared" si="183"/>
        <v/>
      </c>
      <c r="AB626" t="str">
        <f t="shared" si="184"/>
        <v>https://shop.officineitalianezard.it/contents/imgs/products/1_1202-1.jpg</v>
      </c>
      <c r="AE626" t="b">
        <v>0</v>
      </c>
    </row>
    <row r="627" spans="1:31" x14ac:dyDescent="0.2">
      <c r="A627" t="str">
        <f t="shared" si="171"/>
        <v>https://shop.officineitalianezard.it/en/high-mounted-silencer-short/</v>
      </c>
      <c r="B627" t="b">
        <f>COUNTIF($A$2:$A627, A627)&gt;1</f>
        <v>1</v>
      </c>
      <c r="C627" t="b">
        <f t="shared" si="172"/>
        <v>0</v>
      </c>
      <c r="D627">
        <f>VLOOKUP(A627,variant_counts!A:B, 2, FALSE)</f>
        <v>4</v>
      </c>
      <c r="E627" t="str">
        <f t="shared" si="185"/>
        <v>zard-exhaust-21-full-kit-special-edition-triumph-scrambler-my-2016-injection-ztph052ska</v>
      </c>
      <c r="F627" t="str">
        <f t="shared" si="173"/>
        <v>ZARD EXHAUST 2&gt;1 FULL KIT SPECIAL EDITION TRIUMPH SCRAMBLER &lt; M.Y. 2016 INJECTION ZTPH052SKA</v>
      </c>
      <c r="G627" t="str">
        <f t="shared" si="174"/>
        <v/>
      </c>
      <c r="H627" t="str">
        <f t="shared" si="186"/>
        <v/>
      </c>
      <c r="I627" t="str">
        <f t="shared" si="187"/>
        <v/>
      </c>
      <c r="J627" t="str">
        <f t="shared" si="188"/>
        <v/>
      </c>
      <c r="K627" t="str">
        <f t="shared" si="189"/>
        <v/>
      </c>
      <c r="L627" t="str">
        <f t="shared" si="175"/>
        <v/>
      </c>
      <c r="M627" t="str">
        <f t="shared" si="176"/>
        <v/>
      </c>
      <c r="R627" t="str">
        <f t="shared" si="177"/>
        <v/>
      </c>
      <c r="S627" t="str">
        <f t="shared" si="178"/>
        <v/>
      </c>
      <c r="U627" t="str">
        <f t="shared" si="179"/>
        <v/>
      </c>
      <c r="V627" t="str">
        <f t="shared" si="180"/>
        <v/>
      </c>
      <c r="W627" s="5" t="str">
        <f t="shared" si="181"/>
        <v/>
      </c>
      <c r="Y627" t="str">
        <f t="shared" si="182"/>
        <v/>
      </c>
      <c r="Z627" t="str">
        <f t="shared" si="183"/>
        <v/>
      </c>
      <c r="AB627" t="str">
        <f t="shared" si="184"/>
        <v>https://shop.officineitalianezard.it/contents/imgs/products/1_1203-2.jpg</v>
      </c>
      <c r="AE627" t="b">
        <v>0</v>
      </c>
    </row>
    <row r="628" spans="1:31" x14ac:dyDescent="0.2">
      <c r="A628" t="str">
        <f t="shared" si="171"/>
        <v>https://shop.officineitalianezard.it/en/high-mounted-silencer-short/</v>
      </c>
      <c r="B628" t="b">
        <f>COUNTIF($A$2:$A628, A628)&gt;1</f>
        <v>1</v>
      </c>
      <c r="C628" t="b">
        <f t="shared" si="172"/>
        <v>0</v>
      </c>
      <c r="D628">
        <f>VLOOKUP(A628,variant_counts!A:B, 2, FALSE)</f>
        <v>4</v>
      </c>
      <c r="E628" t="str">
        <f t="shared" si="185"/>
        <v>zard-exhaust-21-full-kit-special-edition-triumph-scrambler-my-2016-injection-ztph052ska</v>
      </c>
      <c r="F628" t="str">
        <f t="shared" si="173"/>
        <v>ZARD EXHAUST 2&gt;1 FULL KIT SPECIAL EDITION TRIUMPH SCRAMBLER &lt; M.Y. 2016 INJECTION ZTPH052SKA</v>
      </c>
      <c r="G628" t="str">
        <f t="shared" si="174"/>
        <v/>
      </c>
      <c r="H628" t="str">
        <f t="shared" si="186"/>
        <v/>
      </c>
      <c r="I628" t="str">
        <f t="shared" si="187"/>
        <v/>
      </c>
      <c r="J628" t="str">
        <f t="shared" si="188"/>
        <v/>
      </c>
      <c r="K628" t="str">
        <f t="shared" si="189"/>
        <v/>
      </c>
      <c r="L628" t="str">
        <f t="shared" si="175"/>
        <v/>
      </c>
      <c r="M628" t="str">
        <f t="shared" si="176"/>
        <v/>
      </c>
      <c r="R628" t="str">
        <f t="shared" si="177"/>
        <v/>
      </c>
      <c r="S628" t="str">
        <f t="shared" si="178"/>
        <v/>
      </c>
      <c r="U628" t="str">
        <f t="shared" si="179"/>
        <v/>
      </c>
      <c r="V628" t="str">
        <f t="shared" si="180"/>
        <v/>
      </c>
      <c r="W628" s="5" t="str">
        <f t="shared" si="181"/>
        <v/>
      </c>
      <c r="Y628" t="str">
        <f t="shared" si="182"/>
        <v/>
      </c>
      <c r="Z628" t="str">
        <f t="shared" si="183"/>
        <v/>
      </c>
      <c r="AB628" t="str">
        <f t="shared" si="184"/>
        <v>https://shop.officineitalianezard.it/contents/imgs/products/1_1204-3.jpg</v>
      </c>
      <c r="AE628" t="b">
        <v>0</v>
      </c>
    </row>
    <row r="629" spans="1:31" x14ac:dyDescent="0.2">
      <c r="A629" t="str">
        <f t="shared" si="171"/>
        <v>https://shop.officineitalianezard.it/en/high-mounted-silencer-short/</v>
      </c>
      <c r="B629" t="b">
        <f>COUNTIF($A$2:$A629, A629)&gt;1</f>
        <v>1</v>
      </c>
      <c r="C629" t="b">
        <f t="shared" si="172"/>
        <v>1</v>
      </c>
      <c r="D629">
        <f>VLOOKUP(A629,variant_counts!A:B, 2, FALSE)</f>
        <v>4</v>
      </c>
      <c r="E629" t="str">
        <f t="shared" si="185"/>
        <v>zard-exhaust-21-full-kit-special-edition-triumph-scrambler-my-2016-injection-ztph052ska</v>
      </c>
      <c r="F629" t="str">
        <f t="shared" si="173"/>
        <v>ZARD EXHAUST 2&gt;1 FULL KIT SPECIAL EDITION TRIUMPH SCRAMBLER &lt; M.Y. 2016 INJECTION ZTPH052SKA</v>
      </c>
      <c r="G629" t="str">
        <f t="shared" si="174"/>
        <v/>
      </c>
      <c r="H629" t="str">
        <f t="shared" si="186"/>
        <v/>
      </c>
      <c r="I629" t="str">
        <f t="shared" si="187"/>
        <v/>
      </c>
      <c r="J629" t="str">
        <f t="shared" si="188"/>
        <v/>
      </c>
      <c r="K629" t="str">
        <f t="shared" si="189"/>
        <v/>
      </c>
      <c r="L629" t="str">
        <f t="shared" si="175"/>
        <v>Option</v>
      </c>
      <c r="M629" t="str">
        <f t="shared" si="176"/>
        <v>CATALYSED</v>
      </c>
      <c r="R629" t="str">
        <f t="shared" si="177"/>
        <v>ZTPH052SKA</v>
      </c>
      <c r="S629">
        <f t="shared" si="178"/>
        <v>0</v>
      </c>
      <c r="U629" t="str">
        <f t="shared" si="179"/>
        <v>continue</v>
      </c>
      <c r="V629" t="str">
        <f t="shared" si="180"/>
        <v>manual</v>
      </c>
      <c r="W629" s="5">
        <f t="shared" si="181"/>
        <v>1320.9999</v>
      </c>
      <c r="Y629" t="b">
        <f t="shared" si="182"/>
        <v>1</v>
      </c>
      <c r="Z629" t="b">
        <f t="shared" si="183"/>
        <v>0</v>
      </c>
      <c r="AB629" t="str">
        <f t="shared" si="184"/>
        <v/>
      </c>
      <c r="AE629" t="b">
        <v>0</v>
      </c>
    </row>
    <row r="630" spans="1:31" x14ac:dyDescent="0.2">
      <c r="A630" t="str">
        <f t="shared" si="171"/>
        <v>https://shop.officineitalianezard.it/en/high-mounted-silencer-short/</v>
      </c>
      <c r="B630" t="b">
        <f>COUNTIF($A$2:$A630, A630)&gt;1</f>
        <v>1</v>
      </c>
      <c r="C630" t="b">
        <f t="shared" si="172"/>
        <v>1</v>
      </c>
      <c r="D630">
        <f>VLOOKUP(A630,variant_counts!A:B, 2, FALSE)</f>
        <v>4</v>
      </c>
      <c r="E630" t="str">
        <f t="shared" si="185"/>
        <v>zard-exhaust-21-full-kit-special-edition-triumph-scrambler-my-2016-injection-ztph052ska</v>
      </c>
      <c r="F630" t="str">
        <f t="shared" si="173"/>
        <v>ZARD EXHAUST 2&gt;1 FULL KIT SPECIAL EDITION TRIUMPH SCRAMBLER &lt; M.Y. 2016 INJECTION ZTPH052SKA</v>
      </c>
      <c r="G630" t="str">
        <f t="shared" si="174"/>
        <v/>
      </c>
      <c r="H630" t="str">
        <f t="shared" si="186"/>
        <v/>
      </c>
      <c r="I630" t="str">
        <f t="shared" si="187"/>
        <v/>
      </c>
      <c r="J630" t="str">
        <f t="shared" si="188"/>
        <v/>
      </c>
      <c r="K630" t="str">
        <f t="shared" si="189"/>
        <v/>
      </c>
      <c r="L630" t="str">
        <f t="shared" si="175"/>
        <v>Option</v>
      </c>
      <c r="M630" t="str">
        <f t="shared" si="176"/>
        <v>BLACK COATING</v>
      </c>
      <c r="R630" t="str">
        <f t="shared" si="177"/>
        <v>ZTPH052SKA</v>
      </c>
      <c r="S630">
        <f t="shared" si="178"/>
        <v>0</v>
      </c>
      <c r="U630" t="str">
        <f t="shared" si="179"/>
        <v>continue</v>
      </c>
      <c r="V630" t="str">
        <f t="shared" si="180"/>
        <v>manual</v>
      </c>
      <c r="W630" s="5">
        <f t="shared" si="181"/>
        <v>1279.2306000000001</v>
      </c>
      <c r="Y630" t="b">
        <f t="shared" si="182"/>
        <v>1</v>
      </c>
      <c r="Z630" t="b">
        <f t="shared" si="183"/>
        <v>0</v>
      </c>
      <c r="AB630" t="str">
        <f t="shared" si="184"/>
        <v/>
      </c>
      <c r="AE630" t="b">
        <v>0</v>
      </c>
    </row>
    <row r="631" spans="1:31" x14ac:dyDescent="0.2">
      <c r="A631" t="str">
        <f t="shared" si="171"/>
        <v>https://shop.officineitalianezard.it/en/high-mounted-silencer-short/</v>
      </c>
      <c r="B631" t="b">
        <f>COUNTIF($A$2:$A631, A631)&gt;1</f>
        <v>1</v>
      </c>
      <c r="C631" t="b">
        <f t="shared" si="172"/>
        <v>1</v>
      </c>
      <c r="D631">
        <f>VLOOKUP(A631,variant_counts!A:B, 2, FALSE)</f>
        <v>4</v>
      </c>
      <c r="E631" t="str">
        <f t="shared" si="185"/>
        <v>zard-exhaust-21-full-kit-special-edition-triumph-scrambler-my-2016-injection-ztph052ska</v>
      </c>
      <c r="F631" t="str">
        <f t="shared" si="173"/>
        <v>ZARD EXHAUST 2&gt;1 FULL KIT SPECIAL EDITION TRIUMPH SCRAMBLER &lt; M.Y. 2016 INJECTION ZTPH052SKA</v>
      </c>
      <c r="G631" t="str">
        <f t="shared" si="174"/>
        <v/>
      </c>
      <c r="H631" t="str">
        <f t="shared" si="186"/>
        <v/>
      </c>
      <c r="I631" t="str">
        <f t="shared" si="187"/>
        <v/>
      </c>
      <c r="J631" t="str">
        <f t="shared" si="188"/>
        <v/>
      </c>
      <c r="K631" t="str">
        <f t="shared" si="189"/>
        <v/>
      </c>
      <c r="L631" t="str">
        <f t="shared" si="175"/>
        <v>Option</v>
      </c>
      <c r="M631" t="str">
        <f t="shared" si="176"/>
        <v>BLACK VERSION + STEEL HEAT SHIELD</v>
      </c>
      <c r="R631" t="str">
        <f t="shared" si="177"/>
        <v>ZTPH052SKA</v>
      </c>
      <c r="S631">
        <f t="shared" si="178"/>
        <v>0</v>
      </c>
      <c r="U631" t="str">
        <f t="shared" si="179"/>
        <v>continue</v>
      </c>
      <c r="V631" t="str">
        <f t="shared" si="180"/>
        <v>manual</v>
      </c>
      <c r="W631" s="5">
        <f t="shared" si="181"/>
        <v>1279.2306000000001</v>
      </c>
      <c r="Y631" t="b">
        <f t="shared" si="182"/>
        <v>1</v>
      </c>
      <c r="Z631" t="b">
        <f t="shared" si="183"/>
        <v>0</v>
      </c>
      <c r="AB631" t="str">
        <f t="shared" si="184"/>
        <v/>
      </c>
      <c r="AE631" t="b">
        <v>0</v>
      </c>
    </row>
    <row r="632" spans="1:31" x14ac:dyDescent="0.2">
      <c r="A632" t="str">
        <f t="shared" si="171"/>
        <v>https://shop.officineitalianezard.it/en/high-mounted-silencer-short/</v>
      </c>
      <c r="B632" t="b">
        <f>COUNTIF($A$2:$A632, A632)&gt;1</f>
        <v>1</v>
      </c>
      <c r="C632" t="b">
        <f t="shared" si="172"/>
        <v>1</v>
      </c>
      <c r="D632">
        <f>VLOOKUP(A632,variant_counts!A:B, 2, FALSE)</f>
        <v>4</v>
      </c>
      <c r="E632" t="str">
        <f t="shared" si="185"/>
        <v>zard-exhaust-21-full-kit-special-edition-triumph-scrambler-my-2016-injection-ztph052ska</v>
      </c>
      <c r="F632" t="str">
        <f t="shared" si="173"/>
        <v>ZARD EXHAUST 2&gt;1 FULL KIT SPECIAL EDITION TRIUMPH SCRAMBLER &lt; M.Y. 2016 INJECTION ZTPH052SKA</v>
      </c>
      <c r="G632" t="str">
        <f t="shared" si="174"/>
        <v/>
      </c>
      <c r="H632" t="str">
        <f t="shared" si="186"/>
        <v/>
      </c>
      <c r="I632" t="str">
        <f t="shared" si="187"/>
        <v/>
      </c>
      <c r="J632" t="str">
        <f t="shared" si="188"/>
        <v/>
      </c>
      <c r="K632" t="str">
        <f t="shared" si="189"/>
        <v/>
      </c>
      <c r="L632" t="str">
        <f t="shared" si="175"/>
        <v>Option</v>
      </c>
      <c r="M632" t="str">
        <f t="shared" si="176"/>
        <v>BLACK HEAT SHIELDS</v>
      </c>
      <c r="R632" t="str">
        <f t="shared" si="177"/>
        <v>ZTPH052SKA</v>
      </c>
      <c r="S632">
        <f t="shared" si="178"/>
        <v>0</v>
      </c>
      <c r="U632" t="str">
        <f t="shared" si="179"/>
        <v>continue</v>
      </c>
      <c r="V632" t="str">
        <f t="shared" si="180"/>
        <v>manual</v>
      </c>
      <c r="W632" s="5">
        <f t="shared" si="181"/>
        <v>1150.6704</v>
      </c>
      <c r="Y632" t="b">
        <f t="shared" si="182"/>
        <v>1</v>
      </c>
      <c r="Z632" t="b">
        <f t="shared" si="183"/>
        <v>0</v>
      </c>
      <c r="AB632" t="str">
        <f t="shared" si="184"/>
        <v/>
      </c>
      <c r="AE632" t="b">
        <v>0</v>
      </c>
    </row>
    <row r="633" spans="1:31" x14ac:dyDescent="0.2">
      <c r="A633" t="str">
        <f t="shared" si="171"/>
        <v>https://shop.officineitalianezard.it/en/high-mounted-silencer-short-2/</v>
      </c>
      <c r="B633" t="b">
        <f>COUNTIF($A$2:$A633, A633)&gt;1</f>
        <v>0</v>
      </c>
      <c r="C633" t="b">
        <f t="shared" si="172"/>
        <v>0</v>
      </c>
      <c r="D633">
        <f>VLOOKUP(A633,variant_counts!A:B, 2, FALSE)</f>
        <v>3</v>
      </c>
      <c r="E633" t="str">
        <f t="shared" si="185"/>
        <v>zard-exhaust-21-full-kit-special-edition-triumph-scrambler-my-2016-carburettor-ztph052ska</v>
      </c>
      <c r="F633" t="str">
        <f t="shared" si="173"/>
        <v>ZARD EXHAUST 2&gt;1 FULL KIT SPECIAL EDITION TRIUMPH SCRAMBLER &lt; M.Y. 2016 CARBURETTOR ZTPH052SKA</v>
      </c>
      <c r="G633" t="str">
        <f t="shared" si="174"/>
        <v>&lt;p&gt;2&amp;gt;1 STEEL FULL KIT RACING WITH REMOVABLE DB KILLER&lt;/p&gt;
&lt;p&gt;ORIGINAL FULL KIT WEIGHT: KG 11.6&lt;br&gt;ZARD FULL KIT WEIGHT: KG 3.9&lt;/p&gt;
&lt;p&gt;BLACK AND SILVER WIRE MESH&amp;nbsp;IS SUPPLIED WITH HEAT SHIELD&lt;/p&gt;
&lt;p&gt;HARD INCREASE IN THE RANGE BETWEEN 4000 AND 6500 RPM AND 1.5 MORE HP COMPARED TO THE ORIGINAL EXHAUST SYSTEM.&lt;/p&gt;
&lt;p&gt;ASTONISHING SOUND.&lt;/p&gt;
&lt;p&gt;&lt;/p&gt;</v>
      </c>
      <c r="H633" t="str">
        <f t="shared" si="186"/>
        <v>ZARD</v>
      </c>
      <c r="I633" t="str">
        <f t="shared" si="187"/>
        <v>Exhaust Pipe</v>
      </c>
      <c r="J633" t="str">
        <f t="shared" si="188"/>
        <v>Test</v>
      </c>
      <c r="K633" t="b">
        <f t="shared" si="189"/>
        <v>0</v>
      </c>
      <c r="L633" t="str">
        <f t="shared" si="175"/>
        <v/>
      </c>
      <c r="M633" t="str">
        <f t="shared" si="176"/>
        <v/>
      </c>
      <c r="R633" t="str">
        <f t="shared" si="177"/>
        <v/>
      </c>
      <c r="S633" t="str">
        <f t="shared" si="178"/>
        <v/>
      </c>
      <c r="U633" t="str">
        <f t="shared" si="179"/>
        <v/>
      </c>
      <c r="V633" t="str">
        <f t="shared" si="180"/>
        <v/>
      </c>
      <c r="W633" s="5" t="str">
        <f t="shared" si="181"/>
        <v/>
      </c>
      <c r="Y633" t="str">
        <f t="shared" si="182"/>
        <v/>
      </c>
      <c r="Z633" t="str">
        <f t="shared" si="183"/>
        <v/>
      </c>
      <c r="AB633" t="str">
        <f t="shared" si="184"/>
        <v>https://shop.officineitalianezard.it/contents/imgs/products/1_2372-scarico%20scrambler.jpg</v>
      </c>
      <c r="AE633" t="b">
        <v>0</v>
      </c>
    </row>
    <row r="634" spans="1:31" x14ac:dyDescent="0.2">
      <c r="A634" t="str">
        <f t="shared" si="171"/>
        <v>https://shop.officineitalianezard.it/en/high-mounted-silencer-short-2/</v>
      </c>
      <c r="B634" t="b">
        <f>COUNTIF($A$2:$A634, A634)&gt;1</f>
        <v>1</v>
      </c>
      <c r="C634" t="b">
        <f t="shared" si="172"/>
        <v>0</v>
      </c>
      <c r="D634">
        <f>VLOOKUP(A634,variant_counts!A:B, 2, FALSE)</f>
        <v>3</v>
      </c>
      <c r="E634" t="str">
        <f t="shared" si="185"/>
        <v>zard-exhaust-21-full-kit-special-edition-triumph-scrambler-my-2016-carburettor-ztph052ska</v>
      </c>
      <c r="F634" t="str">
        <f t="shared" si="173"/>
        <v>ZARD EXHAUST 2&gt;1 FULL KIT SPECIAL EDITION TRIUMPH SCRAMBLER &lt; M.Y. 2016 CARBURETTOR ZTPH052SKA</v>
      </c>
      <c r="G634" t="str">
        <f t="shared" si="174"/>
        <v/>
      </c>
      <c r="H634" t="str">
        <f t="shared" si="186"/>
        <v/>
      </c>
      <c r="I634" t="str">
        <f t="shared" si="187"/>
        <v/>
      </c>
      <c r="J634" t="str">
        <f t="shared" si="188"/>
        <v/>
      </c>
      <c r="K634" t="str">
        <f t="shared" si="189"/>
        <v/>
      </c>
      <c r="L634" t="str">
        <f t="shared" si="175"/>
        <v/>
      </c>
      <c r="M634" t="str">
        <f t="shared" si="176"/>
        <v/>
      </c>
      <c r="R634" t="str">
        <f t="shared" si="177"/>
        <v/>
      </c>
      <c r="S634" t="str">
        <f t="shared" si="178"/>
        <v/>
      </c>
      <c r="U634" t="str">
        <f t="shared" si="179"/>
        <v/>
      </c>
      <c r="V634" t="str">
        <f t="shared" si="180"/>
        <v/>
      </c>
      <c r="W634" s="5" t="str">
        <f t="shared" si="181"/>
        <v/>
      </c>
      <c r="Y634" t="str">
        <f t="shared" si="182"/>
        <v/>
      </c>
      <c r="Z634" t="str">
        <f t="shared" si="183"/>
        <v/>
      </c>
      <c r="AB634" t="str">
        <f t="shared" si="184"/>
        <v>https://shop.officineitalianezard.it/contents/imgs/products/1_930-2.jpg</v>
      </c>
      <c r="AE634" t="b">
        <v>0</v>
      </c>
    </row>
    <row r="635" spans="1:31" x14ac:dyDescent="0.2">
      <c r="A635" t="str">
        <f t="shared" si="171"/>
        <v>https://shop.officineitalianezard.it/en/high-mounted-silencer-short-2/</v>
      </c>
      <c r="B635" t="b">
        <f>COUNTIF($A$2:$A635, A635)&gt;1</f>
        <v>1</v>
      </c>
      <c r="C635" t="b">
        <f t="shared" si="172"/>
        <v>0</v>
      </c>
      <c r="D635">
        <f>VLOOKUP(A635,variant_counts!A:B, 2, FALSE)</f>
        <v>3</v>
      </c>
      <c r="E635" t="str">
        <f t="shared" si="185"/>
        <v>zard-exhaust-21-full-kit-special-edition-triumph-scrambler-my-2016-carburettor-ztph052ska</v>
      </c>
      <c r="F635" t="str">
        <f t="shared" si="173"/>
        <v>ZARD EXHAUST 2&gt;1 FULL KIT SPECIAL EDITION TRIUMPH SCRAMBLER &lt; M.Y. 2016 CARBURETTOR ZTPH052SKA</v>
      </c>
      <c r="G635" t="str">
        <f t="shared" si="174"/>
        <v/>
      </c>
      <c r="H635" t="str">
        <f t="shared" si="186"/>
        <v/>
      </c>
      <c r="I635" t="str">
        <f t="shared" si="187"/>
        <v/>
      </c>
      <c r="J635" t="str">
        <f t="shared" si="188"/>
        <v/>
      </c>
      <c r="K635" t="str">
        <f t="shared" si="189"/>
        <v/>
      </c>
      <c r="L635" t="str">
        <f t="shared" si="175"/>
        <v/>
      </c>
      <c r="M635" t="str">
        <f t="shared" si="176"/>
        <v/>
      </c>
      <c r="R635" t="str">
        <f t="shared" si="177"/>
        <v/>
      </c>
      <c r="S635" t="str">
        <f t="shared" si="178"/>
        <v/>
      </c>
      <c r="U635" t="str">
        <f t="shared" si="179"/>
        <v/>
      </c>
      <c r="V635" t="str">
        <f t="shared" si="180"/>
        <v/>
      </c>
      <c r="W635" s="5" t="str">
        <f t="shared" si="181"/>
        <v/>
      </c>
      <c r="Y635" t="str">
        <f t="shared" si="182"/>
        <v/>
      </c>
      <c r="Z635" t="str">
        <f t="shared" si="183"/>
        <v/>
      </c>
      <c r="AB635" t="str">
        <f t="shared" si="184"/>
        <v>https://shop.officineitalianezard.it/contents/imgs/products/1_937-scarichi%20moto.jpg</v>
      </c>
      <c r="AE635" t="b">
        <v>0</v>
      </c>
    </row>
    <row r="636" spans="1:31" x14ac:dyDescent="0.2">
      <c r="A636" t="str">
        <f t="shared" si="171"/>
        <v>https://shop.officineitalianezard.it/en/high-mounted-silencer-short-2/</v>
      </c>
      <c r="B636" t="b">
        <f>COUNTIF($A$2:$A636, A636)&gt;1</f>
        <v>1</v>
      </c>
      <c r="C636" t="b">
        <f t="shared" si="172"/>
        <v>0</v>
      </c>
      <c r="D636">
        <f>VLOOKUP(A636,variant_counts!A:B, 2, FALSE)</f>
        <v>3</v>
      </c>
      <c r="E636" t="str">
        <f t="shared" si="185"/>
        <v>zard-exhaust-21-full-kit-special-edition-triumph-scrambler-my-2016-carburettor-ztph052ska</v>
      </c>
      <c r="F636" t="str">
        <f t="shared" si="173"/>
        <v>ZARD EXHAUST 2&gt;1 FULL KIT SPECIAL EDITION TRIUMPH SCRAMBLER &lt; M.Y. 2016 CARBURETTOR ZTPH052SKA</v>
      </c>
      <c r="G636" t="str">
        <f t="shared" si="174"/>
        <v/>
      </c>
      <c r="H636" t="str">
        <f t="shared" si="186"/>
        <v/>
      </c>
      <c r="I636" t="str">
        <f t="shared" si="187"/>
        <v/>
      </c>
      <c r="J636" t="str">
        <f t="shared" si="188"/>
        <v/>
      </c>
      <c r="K636" t="str">
        <f t="shared" si="189"/>
        <v/>
      </c>
      <c r="L636" t="str">
        <f t="shared" si="175"/>
        <v/>
      </c>
      <c r="M636" t="str">
        <f t="shared" si="176"/>
        <v/>
      </c>
      <c r="R636" t="str">
        <f t="shared" si="177"/>
        <v/>
      </c>
      <c r="S636" t="str">
        <f t="shared" si="178"/>
        <v/>
      </c>
      <c r="U636" t="str">
        <f t="shared" si="179"/>
        <v/>
      </c>
      <c r="V636" t="str">
        <f t="shared" si="180"/>
        <v/>
      </c>
      <c r="W636" s="5" t="str">
        <f t="shared" si="181"/>
        <v/>
      </c>
      <c r="Y636" t="str">
        <f t="shared" si="182"/>
        <v/>
      </c>
      <c r="Z636" t="str">
        <f t="shared" si="183"/>
        <v/>
      </c>
      <c r="AB636" t="str">
        <f t="shared" si="184"/>
        <v>https://shop.officineitalianezard.it/contents/imgs/products/1_931-3.jpg</v>
      </c>
      <c r="AE636" t="b">
        <v>0</v>
      </c>
    </row>
    <row r="637" spans="1:31" x14ac:dyDescent="0.2">
      <c r="A637" t="str">
        <f t="shared" si="171"/>
        <v>https://shop.officineitalianezard.it/en/high-mounted-silencer-short-2/</v>
      </c>
      <c r="B637" t="b">
        <f>COUNTIF($A$2:$A637, A637)&gt;1</f>
        <v>1</v>
      </c>
      <c r="C637" t="b">
        <f t="shared" si="172"/>
        <v>0</v>
      </c>
      <c r="D637">
        <f>VLOOKUP(A637,variant_counts!A:B, 2, FALSE)</f>
        <v>3</v>
      </c>
      <c r="E637" t="str">
        <f t="shared" si="185"/>
        <v>zard-exhaust-21-full-kit-special-edition-triumph-scrambler-my-2016-carburettor-ztph052ska</v>
      </c>
      <c r="F637" t="str">
        <f t="shared" si="173"/>
        <v>ZARD EXHAUST 2&gt;1 FULL KIT SPECIAL EDITION TRIUMPH SCRAMBLER &lt; M.Y. 2016 CARBURETTOR ZTPH052SKA</v>
      </c>
      <c r="G637" t="str">
        <f t="shared" si="174"/>
        <v/>
      </c>
      <c r="H637" t="str">
        <f t="shared" si="186"/>
        <v/>
      </c>
      <c r="I637" t="str">
        <f t="shared" si="187"/>
        <v/>
      </c>
      <c r="J637" t="str">
        <f t="shared" si="188"/>
        <v/>
      </c>
      <c r="K637" t="str">
        <f t="shared" si="189"/>
        <v/>
      </c>
      <c r="L637" t="str">
        <f t="shared" si="175"/>
        <v/>
      </c>
      <c r="M637" t="str">
        <f t="shared" si="176"/>
        <v/>
      </c>
      <c r="R637" t="str">
        <f t="shared" si="177"/>
        <v/>
      </c>
      <c r="S637" t="str">
        <f t="shared" si="178"/>
        <v/>
      </c>
      <c r="U637" t="str">
        <f t="shared" si="179"/>
        <v/>
      </c>
      <c r="V637" t="str">
        <f t="shared" si="180"/>
        <v/>
      </c>
      <c r="W637" s="5" t="str">
        <f t="shared" si="181"/>
        <v/>
      </c>
      <c r="Y637" t="str">
        <f t="shared" si="182"/>
        <v/>
      </c>
      <c r="Z637" t="str">
        <f t="shared" si="183"/>
        <v/>
      </c>
      <c r="AB637" t="str">
        <f t="shared" si="184"/>
        <v>https://shop.officineitalianezard.it/contents/imgs/products/1_1066-scarico%20scrambler%20zard1.jpg</v>
      </c>
      <c r="AE637" t="b">
        <v>0</v>
      </c>
    </row>
    <row r="638" spans="1:31" x14ac:dyDescent="0.2">
      <c r="A638" t="str">
        <f t="shared" si="171"/>
        <v>https://shop.officineitalianezard.it/en/high-mounted-silencer-short-2/</v>
      </c>
      <c r="B638" t="b">
        <f>COUNTIF($A$2:$A638, A638)&gt;1</f>
        <v>1</v>
      </c>
      <c r="C638" t="b">
        <f t="shared" si="172"/>
        <v>0</v>
      </c>
      <c r="D638">
        <f>VLOOKUP(A638,variant_counts!A:B, 2, FALSE)</f>
        <v>3</v>
      </c>
      <c r="E638" t="str">
        <f t="shared" si="185"/>
        <v>zard-exhaust-21-full-kit-special-edition-triumph-scrambler-my-2016-carburettor-ztph052ska</v>
      </c>
      <c r="F638" t="str">
        <f t="shared" si="173"/>
        <v>ZARD EXHAUST 2&gt;1 FULL KIT SPECIAL EDITION TRIUMPH SCRAMBLER &lt; M.Y. 2016 CARBURETTOR ZTPH052SKA</v>
      </c>
      <c r="G638" t="str">
        <f t="shared" si="174"/>
        <v/>
      </c>
      <c r="H638" t="str">
        <f t="shared" si="186"/>
        <v/>
      </c>
      <c r="I638" t="str">
        <f t="shared" si="187"/>
        <v/>
      </c>
      <c r="J638" t="str">
        <f t="shared" si="188"/>
        <v/>
      </c>
      <c r="K638" t="str">
        <f t="shared" si="189"/>
        <v/>
      </c>
      <c r="L638" t="str">
        <f t="shared" si="175"/>
        <v/>
      </c>
      <c r="M638" t="str">
        <f t="shared" si="176"/>
        <v/>
      </c>
      <c r="R638" t="str">
        <f t="shared" si="177"/>
        <v/>
      </c>
      <c r="S638" t="str">
        <f t="shared" si="178"/>
        <v/>
      </c>
      <c r="U638" t="str">
        <f t="shared" si="179"/>
        <v/>
      </c>
      <c r="V638" t="str">
        <f t="shared" si="180"/>
        <v/>
      </c>
      <c r="W638" s="5" t="str">
        <f t="shared" si="181"/>
        <v/>
      </c>
      <c r="Y638" t="str">
        <f t="shared" si="182"/>
        <v/>
      </c>
      <c r="Z638" t="str">
        <f t="shared" si="183"/>
        <v/>
      </c>
      <c r="AB638" t="str">
        <f t="shared" si="184"/>
        <v>https://shop.officineitalianezard.it/contents/imgs/products/1_1067-scarico%20scrambler%20zard2.jpg</v>
      </c>
      <c r="AE638" t="b">
        <v>0</v>
      </c>
    </row>
    <row r="639" spans="1:31" x14ac:dyDescent="0.2">
      <c r="A639" t="str">
        <f t="shared" si="171"/>
        <v>https://shop.officineitalianezard.it/en/high-mounted-silencer-short-2/</v>
      </c>
      <c r="B639" t="b">
        <f>COUNTIF($A$2:$A639, A639)&gt;1</f>
        <v>1</v>
      </c>
      <c r="C639" t="b">
        <f t="shared" si="172"/>
        <v>0</v>
      </c>
      <c r="D639">
        <f>VLOOKUP(A639,variant_counts!A:B, 2, FALSE)</f>
        <v>3</v>
      </c>
      <c r="E639" t="str">
        <f t="shared" si="185"/>
        <v>zard-exhaust-21-full-kit-special-edition-triumph-scrambler-my-2016-carburettor-ztph052ska</v>
      </c>
      <c r="F639" t="str">
        <f t="shared" si="173"/>
        <v>ZARD EXHAUST 2&gt;1 FULL KIT SPECIAL EDITION TRIUMPH SCRAMBLER &lt; M.Y. 2016 CARBURETTOR ZTPH052SKA</v>
      </c>
      <c r="G639" t="str">
        <f t="shared" si="174"/>
        <v/>
      </c>
      <c r="H639" t="str">
        <f t="shared" si="186"/>
        <v/>
      </c>
      <c r="I639" t="str">
        <f t="shared" si="187"/>
        <v/>
      </c>
      <c r="J639" t="str">
        <f t="shared" si="188"/>
        <v/>
      </c>
      <c r="K639" t="str">
        <f t="shared" si="189"/>
        <v/>
      </c>
      <c r="L639" t="str">
        <f t="shared" si="175"/>
        <v/>
      </c>
      <c r="M639" t="str">
        <f t="shared" si="176"/>
        <v/>
      </c>
      <c r="R639" t="str">
        <f t="shared" si="177"/>
        <v/>
      </c>
      <c r="S639" t="str">
        <f t="shared" si="178"/>
        <v/>
      </c>
      <c r="U639" t="str">
        <f t="shared" si="179"/>
        <v/>
      </c>
      <c r="V639" t="str">
        <f t="shared" si="180"/>
        <v/>
      </c>
      <c r="W639" s="5" t="str">
        <f t="shared" si="181"/>
        <v/>
      </c>
      <c r="Y639" t="str">
        <f t="shared" si="182"/>
        <v/>
      </c>
      <c r="Z639" t="str">
        <f t="shared" si="183"/>
        <v/>
      </c>
      <c r="AB639" t="str">
        <f t="shared" si="184"/>
        <v>https://shop.officineitalianezard.it/contents/imgs/products/1_1094-brushed.jpg</v>
      </c>
      <c r="AE639" t="b">
        <v>0</v>
      </c>
    </row>
    <row r="640" spans="1:31" x14ac:dyDescent="0.2">
      <c r="A640" t="str">
        <f t="shared" si="171"/>
        <v>https://shop.officineitalianezard.it/en/high-mounted-silencer-short-2/</v>
      </c>
      <c r="B640" t="b">
        <f>COUNTIF($A$2:$A640, A640)&gt;1</f>
        <v>1</v>
      </c>
      <c r="C640" t="b">
        <f t="shared" si="172"/>
        <v>0</v>
      </c>
      <c r="D640">
        <f>VLOOKUP(A640,variant_counts!A:B, 2, FALSE)</f>
        <v>3</v>
      </c>
      <c r="E640" t="str">
        <f t="shared" si="185"/>
        <v>zard-exhaust-21-full-kit-special-edition-triumph-scrambler-my-2016-carburettor-ztph052ska</v>
      </c>
      <c r="F640" t="str">
        <f t="shared" si="173"/>
        <v>ZARD EXHAUST 2&gt;1 FULL KIT SPECIAL EDITION TRIUMPH SCRAMBLER &lt; M.Y. 2016 CARBURETTOR ZTPH052SKA</v>
      </c>
      <c r="G640" t="str">
        <f t="shared" si="174"/>
        <v/>
      </c>
      <c r="H640" t="str">
        <f t="shared" si="186"/>
        <v/>
      </c>
      <c r="I640" t="str">
        <f t="shared" si="187"/>
        <v/>
      </c>
      <c r="J640" t="str">
        <f t="shared" si="188"/>
        <v/>
      </c>
      <c r="K640" t="str">
        <f t="shared" si="189"/>
        <v/>
      </c>
      <c r="L640" t="str">
        <f t="shared" si="175"/>
        <v/>
      </c>
      <c r="M640" t="str">
        <f t="shared" si="176"/>
        <v/>
      </c>
      <c r="R640" t="str">
        <f t="shared" si="177"/>
        <v/>
      </c>
      <c r="S640" t="str">
        <f t="shared" si="178"/>
        <v/>
      </c>
      <c r="U640" t="str">
        <f t="shared" si="179"/>
        <v/>
      </c>
      <c r="V640" t="str">
        <f t="shared" si="180"/>
        <v/>
      </c>
      <c r="W640" s="5" t="str">
        <f t="shared" si="181"/>
        <v/>
      </c>
      <c r="Y640" t="str">
        <f t="shared" si="182"/>
        <v/>
      </c>
      <c r="Z640" t="str">
        <f t="shared" si="183"/>
        <v/>
      </c>
      <c r="AB640" t="str">
        <f t="shared" si="184"/>
        <v>https://shop.officineitalianezard.it/contents/imgs/products/1_1095-inox-paracalore%20nero.jpg</v>
      </c>
      <c r="AE640" t="b">
        <v>0</v>
      </c>
    </row>
    <row r="641" spans="1:31" x14ac:dyDescent="0.2">
      <c r="A641" t="str">
        <f t="shared" si="171"/>
        <v>https://shop.officineitalianezard.it/en/high-mounted-silencer-short-2/</v>
      </c>
      <c r="B641" t="b">
        <f>COUNTIF($A$2:$A641, A641)&gt;1</f>
        <v>1</v>
      </c>
      <c r="C641" t="b">
        <f t="shared" si="172"/>
        <v>0</v>
      </c>
      <c r="D641">
        <f>VLOOKUP(A641,variant_counts!A:B, 2, FALSE)</f>
        <v>3</v>
      </c>
      <c r="E641" t="str">
        <f t="shared" si="185"/>
        <v>zard-exhaust-21-full-kit-special-edition-triumph-scrambler-my-2016-carburettor-ztph052ska</v>
      </c>
      <c r="F641" t="str">
        <f t="shared" si="173"/>
        <v>ZARD EXHAUST 2&gt;1 FULL KIT SPECIAL EDITION TRIUMPH SCRAMBLER &lt; M.Y. 2016 CARBURETTOR ZTPH052SKA</v>
      </c>
      <c r="G641" t="str">
        <f t="shared" si="174"/>
        <v/>
      </c>
      <c r="H641" t="str">
        <f t="shared" si="186"/>
        <v/>
      </c>
      <c r="I641" t="str">
        <f t="shared" si="187"/>
        <v/>
      </c>
      <c r="J641" t="str">
        <f t="shared" si="188"/>
        <v/>
      </c>
      <c r="K641" t="str">
        <f t="shared" si="189"/>
        <v/>
      </c>
      <c r="L641" t="str">
        <f t="shared" si="175"/>
        <v/>
      </c>
      <c r="M641" t="str">
        <f t="shared" si="176"/>
        <v/>
      </c>
      <c r="R641" t="str">
        <f t="shared" si="177"/>
        <v/>
      </c>
      <c r="S641" t="str">
        <f t="shared" si="178"/>
        <v/>
      </c>
      <c r="U641" t="str">
        <f t="shared" si="179"/>
        <v/>
      </c>
      <c r="V641" t="str">
        <f t="shared" si="180"/>
        <v/>
      </c>
      <c r="W641" s="5" t="str">
        <f t="shared" si="181"/>
        <v/>
      </c>
      <c r="Y641" t="str">
        <f t="shared" si="182"/>
        <v/>
      </c>
      <c r="Z641" t="str">
        <f t="shared" si="183"/>
        <v/>
      </c>
      <c r="AB641" t="str">
        <f t="shared" si="184"/>
        <v>https://shop.officineitalianezard.it/contents/imgs/products/1_1205-1.jpg</v>
      </c>
      <c r="AE641" t="b">
        <v>0</v>
      </c>
    </row>
    <row r="642" spans="1:31" x14ac:dyDescent="0.2">
      <c r="A642" t="str">
        <f t="shared" ref="A642:A705" si="190">source_product_link_href</f>
        <v>https://shop.officineitalianezard.it/en/high-mounted-silencer-short-2/</v>
      </c>
      <c r="B642" t="b">
        <f>COUNTIF($A$2:$A642, A642)&gt;1</f>
        <v>1</v>
      </c>
      <c r="C642" t="b">
        <f t="shared" ref="C642:C705" si="191">NOT(ISBLANK(source_option_name))</f>
        <v>0</v>
      </c>
      <c r="D642">
        <f>VLOOKUP(A642,variant_counts!A:B, 2, FALSE)</f>
        <v>3</v>
      </c>
      <c r="E642" t="str">
        <f t="shared" si="185"/>
        <v>zard-exhaust-21-full-kit-special-edition-triumph-scrambler-my-2016-carburettor-ztph052ska</v>
      </c>
      <c r="F642" t="str">
        <f t="shared" ref="F642:F705" si="192">UPPER("ZARD EXHAUST " &amp; source_title &amp; " " &amp; source_brand &amp; " " &amp; source_bike &amp; " " &amp; source_product_link &amp; " " &amp; source_sku)</f>
        <v>ZARD EXHAUST 2&gt;1 FULL KIT SPECIAL EDITION TRIUMPH SCRAMBLER &lt; M.Y. 2016 CARBURETTOR ZTPH052SKA</v>
      </c>
      <c r="G642" t="str">
        <f t="shared" ref="G642:G705" si="193">IF($B642=FALSE, source_description, "")</f>
        <v/>
      </c>
      <c r="H642" t="str">
        <f t="shared" si="186"/>
        <v/>
      </c>
      <c r="I642" t="str">
        <f t="shared" si="187"/>
        <v/>
      </c>
      <c r="J642" t="str">
        <f t="shared" si="188"/>
        <v/>
      </c>
      <c r="K642" t="str">
        <f t="shared" si="189"/>
        <v/>
      </c>
      <c r="L642" t="str">
        <f t="shared" ref="L642:L705" si="194">IF(AND(variant_count=0,duplicated=FALSE),"Title",IF(OR(AND(variant_count=1,duplicated=FALSE), source_option_name&lt;&gt;""), "Option", ""))</f>
        <v/>
      </c>
      <c r="M642" t="str">
        <f t="shared" ref="M642:M705" si="195">IF(option1_name="Title", "Default Title", IF(AND(option1_name="Option",ISBLANK(source_option_name)),"DEFAULT",IF(ISBLANK(source_option_name), "", source_option_name)))</f>
        <v/>
      </c>
      <c r="R642" t="str">
        <f t="shared" ref="R642:R705" si="196">IF(option1_name &lt;&gt; "", source_sku, "")</f>
        <v/>
      </c>
      <c r="S642" t="str">
        <f t="shared" ref="S642:S705" si="197">IF(option1_name &lt;&gt; "", 0, "")</f>
        <v/>
      </c>
      <c r="U642" t="str">
        <f t="shared" ref="U642:U705" si="198">IF(option1_name &lt;&gt; "", "continue", "")</f>
        <v/>
      </c>
      <c r="V642" t="str">
        <f t="shared" ref="V642:V705" si="199">IF(option1_name &lt;&gt; "", "manual", "")</f>
        <v/>
      </c>
      <c r="W642" s="5" t="str">
        <f t="shared" ref="W642:W705" si="200">IF(option1_name&lt;&gt;"",(source_price_original+source_option_price)*eur_usd,"")</f>
        <v/>
      </c>
      <c r="Y642" t="str">
        <f t="shared" ref="Y642:Y705" si="201">IF(option1_name&lt;&gt;"",TRUE,"")</f>
        <v/>
      </c>
      <c r="Z642" t="str">
        <f t="shared" ref="Z642:Z705" si="202">IF(option1_name&lt;&gt;"",FALSE,"")</f>
        <v/>
      </c>
      <c r="AB642" t="str">
        <f t="shared" ref="AB642:AB705" si="203">IF(ISBLANK(source_image), "", source_image)</f>
        <v>https://shop.officineitalianezard.it/contents/imgs/products/1_1206-2.jpg</v>
      </c>
      <c r="AE642" t="b">
        <v>0</v>
      </c>
    </row>
    <row r="643" spans="1:31" x14ac:dyDescent="0.2">
      <c r="A643" t="str">
        <f t="shared" si="190"/>
        <v>https://shop.officineitalianezard.it/en/high-mounted-silencer-short-2/</v>
      </c>
      <c r="B643" t="b">
        <f>COUNTIF($A$2:$A643, A643)&gt;1</f>
        <v>1</v>
      </c>
      <c r="C643" t="b">
        <f t="shared" si="191"/>
        <v>0</v>
      </c>
      <c r="D643">
        <f>VLOOKUP(A643,variant_counts!A:B, 2, FALSE)</f>
        <v>3</v>
      </c>
      <c r="E643" t="str">
        <f t="shared" ref="E643:E706" si="204">FormatShopifyHandle(F643)</f>
        <v>zard-exhaust-21-full-kit-special-edition-triumph-scrambler-my-2016-carburettor-ztph052ska</v>
      </c>
      <c r="F643" t="str">
        <f t="shared" si="192"/>
        <v>ZARD EXHAUST 2&gt;1 FULL KIT SPECIAL EDITION TRIUMPH SCRAMBLER &lt; M.Y. 2016 CARBURETTOR ZTPH052SKA</v>
      </c>
      <c r="G643" t="str">
        <f t="shared" si="193"/>
        <v/>
      </c>
      <c r="H643" t="str">
        <f t="shared" ref="H643:H706" si="205">IF($B643=FALSE, "ZARD", "")</f>
        <v/>
      </c>
      <c r="I643" t="str">
        <f t="shared" ref="I643:I706" si="206">IF($B643=FALSE, "Exhaust Pipe", "")</f>
        <v/>
      </c>
      <c r="J643" t="str">
        <f t="shared" ref="J643:J706" si="207">IF($B643=FALSE, "Test", "")</f>
        <v/>
      </c>
      <c r="K643" t="str">
        <f t="shared" ref="K643:K706" si="208">IF($B643=FALSE, FALSE, "")</f>
        <v/>
      </c>
      <c r="L643" t="str">
        <f t="shared" si="194"/>
        <v/>
      </c>
      <c r="M643" t="str">
        <f t="shared" si="195"/>
        <v/>
      </c>
      <c r="R643" t="str">
        <f t="shared" si="196"/>
        <v/>
      </c>
      <c r="S643" t="str">
        <f t="shared" si="197"/>
        <v/>
      </c>
      <c r="U643" t="str">
        <f t="shared" si="198"/>
        <v/>
      </c>
      <c r="V643" t="str">
        <f t="shared" si="199"/>
        <v/>
      </c>
      <c r="W643" s="5" t="str">
        <f t="shared" si="200"/>
        <v/>
      </c>
      <c r="Y643" t="str">
        <f t="shared" si="201"/>
        <v/>
      </c>
      <c r="Z643" t="str">
        <f t="shared" si="202"/>
        <v/>
      </c>
      <c r="AB643" t="str">
        <f t="shared" si="203"/>
        <v>https://shop.officineitalianezard.it/contents/imgs/products/1_1207-3.jpg</v>
      </c>
      <c r="AE643" t="b">
        <v>0</v>
      </c>
    </row>
    <row r="644" spans="1:31" x14ac:dyDescent="0.2">
      <c r="A644" t="str">
        <f t="shared" si="190"/>
        <v>https://shop.officineitalianezard.it/en/high-mounted-silencer-short-2/</v>
      </c>
      <c r="B644" t="b">
        <f>COUNTIF($A$2:$A644, A644)&gt;1</f>
        <v>1</v>
      </c>
      <c r="C644" t="b">
        <f t="shared" si="191"/>
        <v>1</v>
      </c>
      <c r="D644">
        <f>VLOOKUP(A644,variant_counts!A:B, 2, FALSE)</f>
        <v>3</v>
      </c>
      <c r="E644" t="str">
        <f t="shared" si="204"/>
        <v>zard-exhaust-21-full-kit-special-edition-triumph-scrambler-my-2016-carburettor-ztph052ska</v>
      </c>
      <c r="F644" t="str">
        <f t="shared" si="192"/>
        <v>ZARD EXHAUST 2&gt;1 FULL KIT SPECIAL EDITION TRIUMPH SCRAMBLER &lt; M.Y. 2016 CARBURETTOR ZTPH052SKA</v>
      </c>
      <c r="G644" t="str">
        <f t="shared" si="193"/>
        <v/>
      </c>
      <c r="H644" t="str">
        <f t="shared" si="205"/>
        <v/>
      </c>
      <c r="I644" t="str">
        <f t="shared" si="206"/>
        <v/>
      </c>
      <c r="J644" t="str">
        <f t="shared" si="207"/>
        <v/>
      </c>
      <c r="K644" t="str">
        <f t="shared" si="208"/>
        <v/>
      </c>
      <c r="L644" t="str">
        <f t="shared" si="194"/>
        <v>Option</v>
      </c>
      <c r="M644" t="str">
        <f t="shared" si="195"/>
        <v>EURO 3 HOMOLOGATED</v>
      </c>
      <c r="R644" t="str">
        <f t="shared" si="196"/>
        <v>ZTPH052SKA</v>
      </c>
      <c r="S644">
        <f t="shared" si="197"/>
        <v>0</v>
      </c>
      <c r="U644" t="str">
        <f t="shared" si="198"/>
        <v>continue</v>
      </c>
      <c r="V644" t="str">
        <f t="shared" si="199"/>
        <v>manual</v>
      </c>
      <c r="W644" s="5">
        <f t="shared" si="200"/>
        <v>1186.701</v>
      </c>
      <c r="Y644" t="b">
        <f t="shared" si="201"/>
        <v>1</v>
      </c>
      <c r="Z644" t="b">
        <f t="shared" si="202"/>
        <v>0</v>
      </c>
      <c r="AB644" t="str">
        <f t="shared" si="203"/>
        <v/>
      </c>
      <c r="AE644" t="b">
        <v>0</v>
      </c>
    </row>
    <row r="645" spans="1:31" x14ac:dyDescent="0.2">
      <c r="A645" t="str">
        <f t="shared" si="190"/>
        <v>https://shop.officineitalianezard.it/en/high-mounted-silencer-short-2/</v>
      </c>
      <c r="B645" t="b">
        <f>COUNTIF($A$2:$A645, A645)&gt;1</f>
        <v>1</v>
      </c>
      <c r="C645" t="b">
        <f t="shared" si="191"/>
        <v>1</v>
      </c>
      <c r="D645">
        <f>VLOOKUP(A645,variant_counts!A:B, 2, FALSE)</f>
        <v>3</v>
      </c>
      <c r="E645" t="str">
        <f t="shared" si="204"/>
        <v>zard-exhaust-21-full-kit-special-edition-triumph-scrambler-my-2016-carburettor-ztph052ska</v>
      </c>
      <c r="F645" t="str">
        <f t="shared" si="192"/>
        <v>ZARD EXHAUST 2&gt;1 FULL KIT SPECIAL EDITION TRIUMPH SCRAMBLER &lt; M.Y. 2016 CARBURETTOR ZTPH052SKA</v>
      </c>
      <c r="G645" t="str">
        <f t="shared" si="193"/>
        <v/>
      </c>
      <c r="H645" t="str">
        <f t="shared" si="205"/>
        <v/>
      </c>
      <c r="I645" t="str">
        <f t="shared" si="206"/>
        <v/>
      </c>
      <c r="J645" t="str">
        <f t="shared" si="207"/>
        <v/>
      </c>
      <c r="K645" t="str">
        <f t="shared" si="208"/>
        <v/>
      </c>
      <c r="L645" t="str">
        <f t="shared" si="194"/>
        <v>Option</v>
      </c>
      <c r="M645" t="str">
        <f t="shared" si="195"/>
        <v>BLACK COATING</v>
      </c>
      <c r="R645" t="str">
        <f t="shared" si="196"/>
        <v>ZTPH052SKA</v>
      </c>
      <c r="S645">
        <f t="shared" si="197"/>
        <v>0</v>
      </c>
      <c r="U645" t="str">
        <f t="shared" si="198"/>
        <v>continue</v>
      </c>
      <c r="V645" t="str">
        <f t="shared" si="199"/>
        <v>manual</v>
      </c>
      <c r="W645" s="5">
        <f t="shared" si="200"/>
        <v>1279.2306000000001</v>
      </c>
      <c r="Y645" t="b">
        <f t="shared" si="201"/>
        <v>1</v>
      </c>
      <c r="Z645" t="b">
        <f t="shared" si="202"/>
        <v>0</v>
      </c>
      <c r="AB645" t="str">
        <f t="shared" si="203"/>
        <v/>
      </c>
      <c r="AE645" t="b">
        <v>0</v>
      </c>
    </row>
    <row r="646" spans="1:31" x14ac:dyDescent="0.2">
      <c r="A646" t="str">
        <f t="shared" si="190"/>
        <v>https://shop.officineitalianezard.it/en/high-mounted-silencer-short-2/</v>
      </c>
      <c r="B646" t="b">
        <f>COUNTIF($A$2:$A646, A646)&gt;1</f>
        <v>1</v>
      </c>
      <c r="C646" t="b">
        <f t="shared" si="191"/>
        <v>1</v>
      </c>
      <c r="D646">
        <f>VLOOKUP(A646,variant_counts!A:B, 2, FALSE)</f>
        <v>3</v>
      </c>
      <c r="E646" t="str">
        <f t="shared" si="204"/>
        <v>zard-exhaust-21-full-kit-special-edition-triumph-scrambler-my-2016-carburettor-ztph052ska</v>
      </c>
      <c r="F646" t="str">
        <f t="shared" si="192"/>
        <v>ZARD EXHAUST 2&gt;1 FULL KIT SPECIAL EDITION TRIUMPH SCRAMBLER &lt; M.Y. 2016 CARBURETTOR ZTPH052SKA</v>
      </c>
      <c r="G646" t="str">
        <f t="shared" si="193"/>
        <v/>
      </c>
      <c r="H646" t="str">
        <f t="shared" si="205"/>
        <v/>
      </c>
      <c r="I646" t="str">
        <f t="shared" si="206"/>
        <v/>
      </c>
      <c r="J646" t="str">
        <f t="shared" si="207"/>
        <v/>
      </c>
      <c r="K646" t="str">
        <f t="shared" si="208"/>
        <v/>
      </c>
      <c r="L646" t="str">
        <f t="shared" si="194"/>
        <v>Option</v>
      </c>
      <c r="M646" t="str">
        <f t="shared" si="195"/>
        <v>BLACK HEAT SHIELDS</v>
      </c>
      <c r="R646" t="str">
        <f t="shared" si="196"/>
        <v>ZTPH052SKA</v>
      </c>
      <c r="S646">
        <f t="shared" si="197"/>
        <v>0</v>
      </c>
      <c r="U646" t="str">
        <f t="shared" si="198"/>
        <v>continue</v>
      </c>
      <c r="V646" t="str">
        <f t="shared" si="199"/>
        <v>manual</v>
      </c>
      <c r="W646" s="5">
        <f t="shared" si="200"/>
        <v>1150.6704</v>
      </c>
      <c r="Y646" t="b">
        <f t="shared" si="201"/>
        <v>1</v>
      </c>
      <c r="Z646" t="b">
        <f t="shared" si="202"/>
        <v>0</v>
      </c>
      <c r="AB646" t="str">
        <f t="shared" si="203"/>
        <v/>
      </c>
      <c r="AE646" t="b">
        <v>0</v>
      </c>
    </row>
    <row r="647" spans="1:31" x14ac:dyDescent="0.2">
      <c r="A647" t="str">
        <f t="shared" si="190"/>
        <v>https://shop.officineitalianezard.it/en/gold-edition-full-kit/</v>
      </c>
      <c r="B647" t="b">
        <f>COUNTIF($A$2:$A647, A647)&gt;1</f>
        <v>0</v>
      </c>
      <c r="C647" t="b">
        <f t="shared" si="191"/>
        <v>0</v>
      </c>
      <c r="D647">
        <f>VLOOKUP(A647,variant_counts!A:B, 2, FALSE)</f>
        <v>2</v>
      </c>
      <c r="E647" t="str">
        <f t="shared" si="204"/>
        <v>zard-exhaust-21-gold-edition-full-kit-triumph-scrambler-my-2016-carburettor-ztph055ska</v>
      </c>
      <c r="F647" t="str">
        <f t="shared" si="192"/>
        <v>ZARD EXHAUST 2&gt;1 GOLD EDITION FULL KIT TRIUMPH SCRAMBLER &lt; M.Y. 2016 CARBURETTOR ZTPH055SKA</v>
      </c>
      <c r="G647" t="str">
        <f t="shared" si="193"/>
        <v>&lt;p&gt;2&amp;gt;1 STEEL RACING GOLD EDITION FULL KIT&lt;/p&gt;
&lt;p&gt;THE BLACK CERAMIC COATED VERSION AS STEEL HEAT SHIELD GRILL&lt;/p&gt;</v>
      </c>
      <c r="H647" t="str">
        <f t="shared" si="205"/>
        <v>ZARD</v>
      </c>
      <c r="I647" t="str">
        <f t="shared" si="206"/>
        <v>Exhaust Pipe</v>
      </c>
      <c r="J647" t="str">
        <f t="shared" si="207"/>
        <v>Test</v>
      </c>
      <c r="K647" t="b">
        <f t="shared" si="208"/>
        <v>0</v>
      </c>
      <c r="L647" t="str">
        <f t="shared" si="194"/>
        <v/>
      </c>
      <c r="M647" t="str">
        <f t="shared" si="195"/>
        <v/>
      </c>
      <c r="R647" t="str">
        <f t="shared" si="196"/>
        <v/>
      </c>
      <c r="S647" t="str">
        <f t="shared" si="197"/>
        <v/>
      </c>
      <c r="U647" t="str">
        <f t="shared" si="198"/>
        <v/>
      </c>
      <c r="V647" t="str">
        <f t="shared" si="199"/>
        <v/>
      </c>
      <c r="W647" s="5" t="str">
        <f t="shared" si="200"/>
        <v/>
      </c>
      <c r="Y647" t="str">
        <f t="shared" si="201"/>
        <v/>
      </c>
      <c r="Z647" t="str">
        <f t="shared" si="202"/>
        <v/>
      </c>
      <c r="AB647" t="str">
        <f t="shared" si="203"/>
        <v>https://shop.officineitalianezard.it/contents/imgs/products/1_1232-1.jpg</v>
      </c>
      <c r="AE647" t="b">
        <v>0</v>
      </c>
    </row>
    <row r="648" spans="1:31" x14ac:dyDescent="0.2">
      <c r="A648" t="str">
        <f t="shared" si="190"/>
        <v>https://shop.officineitalianezard.it/en/gold-edition-full-kit/</v>
      </c>
      <c r="B648" t="b">
        <f>COUNTIF($A$2:$A648, A648)&gt;1</f>
        <v>1</v>
      </c>
      <c r="C648" t="b">
        <f t="shared" si="191"/>
        <v>0</v>
      </c>
      <c r="D648">
        <f>VLOOKUP(A648,variant_counts!A:B, 2, FALSE)</f>
        <v>2</v>
      </c>
      <c r="E648" t="str">
        <f t="shared" si="204"/>
        <v>zard-exhaust-21-gold-edition-full-kit-triumph-scrambler-my-2016-carburettor-ztph055ska</v>
      </c>
      <c r="F648" t="str">
        <f t="shared" si="192"/>
        <v>ZARD EXHAUST 2&gt;1 GOLD EDITION FULL KIT TRIUMPH SCRAMBLER &lt; M.Y. 2016 CARBURETTOR ZTPH055SKA</v>
      </c>
      <c r="G648" t="str">
        <f t="shared" si="193"/>
        <v/>
      </c>
      <c r="H648" t="str">
        <f t="shared" si="205"/>
        <v/>
      </c>
      <c r="I648" t="str">
        <f t="shared" si="206"/>
        <v/>
      </c>
      <c r="J648" t="str">
        <f t="shared" si="207"/>
        <v/>
      </c>
      <c r="K648" t="str">
        <f t="shared" si="208"/>
        <v/>
      </c>
      <c r="L648" t="str">
        <f t="shared" si="194"/>
        <v/>
      </c>
      <c r="M648" t="str">
        <f t="shared" si="195"/>
        <v/>
      </c>
      <c r="R648" t="str">
        <f t="shared" si="196"/>
        <v/>
      </c>
      <c r="S648" t="str">
        <f t="shared" si="197"/>
        <v/>
      </c>
      <c r="U648" t="str">
        <f t="shared" si="198"/>
        <v/>
      </c>
      <c r="V648" t="str">
        <f t="shared" si="199"/>
        <v/>
      </c>
      <c r="W648" s="5" t="str">
        <f t="shared" si="200"/>
        <v/>
      </c>
      <c r="Y648" t="str">
        <f t="shared" si="201"/>
        <v/>
      </c>
      <c r="Z648" t="str">
        <f t="shared" si="202"/>
        <v/>
      </c>
      <c r="AB648" t="str">
        <f t="shared" si="203"/>
        <v>https://shop.officineitalianezard.it/contents/imgs/products/1_1233-2.jpg</v>
      </c>
      <c r="AE648" t="b">
        <v>0</v>
      </c>
    </row>
    <row r="649" spans="1:31" x14ac:dyDescent="0.2">
      <c r="A649" t="str">
        <f t="shared" si="190"/>
        <v>https://shop.officineitalianezard.it/en/gold-edition-full-kit/</v>
      </c>
      <c r="B649" t="b">
        <f>COUNTIF($A$2:$A649, A649)&gt;1</f>
        <v>1</v>
      </c>
      <c r="C649" t="b">
        <f t="shared" si="191"/>
        <v>0</v>
      </c>
      <c r="D649">
        <f>VLOOKUP(A649,variant_counts!A:B, 2, FALSE)</f>
        <v>2</v>
      </c>
      <c r="E649" t="str">
        <f t="shared" si="204"/>
        <v>zard-exhaust-21-gold-edition-full-kit-triumph-scrambler-my-2016-carburettor-ztph055ska</v>
      </c>
      <c r="F649" t="str">
        <f t="shared" si="192"/>
        <v>ZARD EXHAUST 2&gt;1 GOLD EDITION FULL KIT TRIUMPH SCRAMBLER &lt; M.Y. 2016 CARBURETTOR ZTPH055SKA</v>
      </c>
      <c r="G649" t="str">
        <f t="shared" si="193"/>
        <v/>
      </c>
      <c r="H649" t="str">
        <f t="shared" si="205"/>
        <v/>
      </c>
      <c r="I649" t="str">
        <f t="shared" si="206"/>
        <v/>
      </c>
      <c r="J649" t="str">
        <f t="shared" si="207"/>
        <v/>
      </c>
      <c r="K649" t="str">
        <f t="shared" si="208"/>
        <v/>
      </c>
      <c r="L649" t="str">
        <f t="shared" si="194"/>
        <v/>
      </c>
      <c r="M649" t="str">
        <f t="shared" si="195"/>
        <v/>
      </c>
      <c r="R649" t="str">
        <f t="shared" si="196"/>
        <v/>
      </c>
      <c r="S649" t="str">
        <f t="shared" si="197"/>
        <v/>
      </c>
      <c r="U649" t="str">
        <f t="shared" si="198"/>
        <v/>
      </c>
      <c r="V649" t="str">
        <f t="shared" si="199"/>
        <v/>
      </c>
      <c r="W649" s="5" t="str">
        <f t="shared" si="200"/>
        <v/>
      </c>
      <c r="Y649" t="str">
        <f t="shared" si="201"/>
        <v/>
      </c>
      <c r="Z649" t="str">
        <f t="shared" si="202"/>
        <v/>
      </c>
      <c r="AB649" t="str">
        <f t="shared" si="203"/>
        <v>https://shop.officineitalianezard.it/contents/imgs/products/1_1234-3.jpg</v>
      </c>
      <c r="AE649" t="b">
        <v>0</v>
      </c>
    </row>
    <row r="650" spans="1:31" x14ac:dyDescent="0.2">
      <c r="A650" t="str">
        <f t="shared" si="190"/>
        <v>https://shop.officineitalianezard.it/en/gold-edition-full-kit/</v>
      </c>
      <c r="B650" t="b">
        <f>COUNTIF($A$2:$A650, A650)&gt;1</f>
        <v>1</v>
      </c>
      <c r="C650" t="b">
        <f t="shared" si="191"/>
        <v>0</v>
      </c>
      <c r="D650">
        <f>VLOOKUP(A650,variant_counts!A:B, 2, FALSE)</f>
        <v>2</v>
      </c>
      <c r="E650" t="str">
        <f t="shared" si="204"/>
        <v>zard-exhaust-21-gold-edition-full-kit-triumph-scrambler-my-2016-carburettor-ztph055ska</v>
      </c>
      <c r="F650" t="str">
        <f t="shared" si="192"/>
        <v>ZARD EXHAUST 2&gt;1 GOLD EDITION FULL KIT TRIUMPH SCRAMBLER &lt; M.Y. 2016 CARBURETTOR ZTPH055SKA</v>
      </c>
      <c r="G650" t="str">
        <f t="shared" si="193"/>
        <v/>
      </c>
      <c r="H650" t="str">
        <f t="shared" si="205"/>
        <v/>
      </c>
      <c r="I650" t="str">
        <f t="shared" si="206"/>
        <v/>
      </c>
      <c r="J650" t="str">
        <f t="shared" si="207"/>
        <v/>
      </c>
      <c r="K650" t="str">
        <f t="shared" si="208"/>
        <v/>
      </c>
      <c r="L650" t="str">
        <f t="shared" si="194"/>
        <v/>
      </c>
      <c r="M650" t="str">
        <f t="shared" si="195"/>
        <v/>
      </c>
      <c r="R650" t="str">
        <f t="shared" si="196"/>
        <v/>
      </c>
      <c r="S650" t="str">
        <f t="shared" si="197"/>
        <v/>
      </c>
      <c r="U650" t="str">
        <f t="shared" si="198"/>
        <v/>
      </c>
      <c r="V650" t="str">
        <f t="shared" si="199"/>
        <v/>
      </c>
      <c r="W650" s="5" t="str">
        <f t="shared" si="200"/>
        <v/>
      </c>
      <c r="Y650" t="str">
        <f t="shared" si="201"/>
        <v/>
      </c>
      <c r="Z650" t="str">
        <f t="shared" si="202"/>
        <v/>
      </c>
      <c r="AB650" t="str">
        <f t="shared" si="203"/>
        <v>https://shop.officineitalianezard.it/contents/imgs/products/1_1367-gold%20nero.jpg</v>
      </c>
      <c r="AE650" t="b">
        <v>0</v>
      </c>
    </row>
    <row r="651" spans="1:31" x14ac:dyDescent="0.2">
      <c r="A651" t="str">
        <f t="shared" si="190"/>
        <v>https://shop.officineitalianezard.it/en/gold-edition-full-kit/</v>
      </c>
      <c r="B651" t="b">
        <f>COUNTIF($A$2:$A651, A651)&gt;1</f>
        <v>1</v>
      </c>
      <c r="C651" t="b">
        <f t="shared" si="191"/>
        <v>0</v>
      </c>
      <c r="D651">
        <f>VLOOKUP(A651,variant_counts!A:B, 2, FALSE)</f>
        <v>2</v>
      </c>
      <c r="E651" t="str">
        <f t="shared" si="204"/>
        <v>zard-exhaust-21-gold-edition-full-kit-triumph-scrambler-my-2016-carburettor-ztph055ska</v>
      </c>
      <c r="F651" t="str">
        <f t="shared" si="192"/>
        <v>ZARD EXHAUST 2&gt;1 GOLD EDITION FULL KIT TRIUMPH SCRAMBLER &lt; M.Y. 2016 CARBURETTOR ZTPH055SKA</v>
      </c>
      <c r="G651" t="str">
        <f t="shared" si="193"/>
        <v/>
      </c>
      <c r="H651" t="str">
        <f t="shared" si="205"/>
        <v/>
      </c>
      <c r="I651" t="str">
        <f t="shared" si="206"/>
        <v/>
      </c>
      <c r="J651" t="str">
        <f t="shared" si="207"/>
        <v/>
      </c>
      <c r="K651" t="str">
        <f t="shared" si="208"/>
        <v/>
      </c>
      <c r="L651" t="str">
        <f t="shared" si="194"/>
        <v/>
      </c>
      <c r="M651" t="str">
        <f t="shared" si="195"/>
        <v/>
      </c>
      <c r="R651" t="str">
        <f t="shared" si="196"/>
        <v/>
      </c>
      <c r="S651" t="str">
        <f t="shared" si="197"/>
        <v/>
      </c>
      <c r="U651" t="str">
        <f t="shared" si="198"/>
        <v/>
      </c>
      <c r="V651" t="str">
        <f t="shared" si="199"/>
        <v/>
      </c>
      <c r="W651" s="5" t="str">
        <f t="shared" si="200"/>
        <v/>
      </c>
      <c r="Y651" t="str">
        <f t="shared" si="201"/>
        <v/>
      </c>
      <c r="Z651" t="str">
        <f t="shared" si="202"/>
        <v/>
      </c>
      <c r="AB651" t="str">
        <f t="shared" si="203"/>
        <v>https://shop.officineitalianezard.it/contents/imgs/products/1_1246-borsone.jpg</v>
      </c>
      <c r="AE651" t="b">
        <v>0</v>
      </c>
    </row>
    <row r="652" spans="1:31" x14ac:dyDescent="0.2">
      <c r="A652" t="str">
        <f t="shared" si="190"/>
        <v>https://shop.officineitalianezard.it/en/gold-edition-full-kit/</v>
      </c>
      <c r="B652" t="b">
        <f>COUNTIF($A$2:$A652, A652)&gt;1</f>
        <v>1</v>
      </c>
      <c r="C652" t="b">
        <f t="shared" si="191"/>
        <v>1</v>
      </c>
      <c r="D652">
        <f>VLOOKUP(A652,variant_counts!A:B, 2, FALSE)</f>
        <v>2</v>
      </c>
      <c r="E652" t="str">
        <f t="shared" si="204"/>
        <v>zard-exhaust-21-gold-edition-full-kit-triumph-scrambler-my-2016-carburettor-ztph055ska</v>
      </c>
      <c r="F652" t="str">
        <f t="shared" si="192"/>
        <v>ZARD EXHAUST 2&gt;1 GOLD EDITION FULL KIT TRIUMPH SCRAMBLER &lt; M.Y. 2016 CARBURETTOR ZTPH055SKA</v>
      </c>
      <c r="G652" t="str">
        <f t="shared" si="193"/>
        <v/>
      </c>
      <c r="H652" t="str">
        <f t="shared" si="205"/>
        <v/>
      </c>
      <c r="I652" t="str">
        <f t="shared" si="206"/>
        <v/>
      </c>
      <c r="J652" t="str">
        <f t="shared" si="207"/>
        <v/>
      </c>
      <c r="K652" t="str">
        <f t="shared" si="208"/>
        <v/>
      </c>
      <c r="L652" t="str">
        <f t="shared" si="194"/>
        <v>Option</v>
      </c>
      <c r="M652" t="str">
        <f t="shared" si="195"/>
        <v>EURO 3 HOMOLOGATED</v>
      </c>
      <c r="R652" t="str">
        <f t="shared" si="196"/>
        <v>ZTPH055SKA</v>
      </c>
      <c r="S652">
        <f t="shared" si="197"/>
        <v>0</v>
      </c>
      <c r="U652" t="str">
        <f t="shared" si="198"/>
        <v>continue</v>
      </c>
      <c r="V652" t="str">
        <f t="shared" si="199"/>
        <v>manual</v>
      </c>
      <c r="W652" s="5">
        <f t="shared" si="200"/>
        <v>1234.0092000000002</v>
      </c>
      <c r="Y652" t="b">
        <f t="shared" si="201"/>
        <v>1</v>
      </c>
      <c r="Z652" t="b">
        <f t="shared" si="202"/>
        <v>0</v>
      </c>
      <c r="AB652" t="str">
        <f t="shared" si="203"/>
        <v/>
      </c>
      <c r="AE652" t="b">
        <v>0</v>
      </c>
    </row>
    <row r="653" spans="1:31" x14ac:dyDescent="0.2">
      <c r="A653" t="str">
        <f t="shared" si="190"/>
        <v>https://shop.officineitalianezard.it/en/gold-edition-full-kit/</v>
      </c>
      <c r="B653" t="b">
        <f>COUNTIF($A$2:$A653, A653)&gt;1</f>
        <v>1</v>
      </c>
      <c r="C653" t="b">
        <f t="shared" si="191"/>
        <v>1</v>
      </c>
      <c r="D653">
        <f>VLOOKUP(A653,variant_counts!A:B, 2, FALSE)</f>
        <v>2</v>
      </c>
      <c r="E653" t="str">
        <f t="shared" si="204"/>
        <v>zard-exhaust-21-gold-edition-full-kit-triumph-scrambler-my-2016-carburettor-ztph055ska</v>
      </c>
      <c r="F653" t="str">
        <f t="shared" si="192"/>
        <v>ZARD EXHAUST 2&gt;1 GOLD EDITION FULL KIT TRIUMPH SCRAMBLER &lt; M.Y. 2016 CARBURETTOR ZTPH055SKA</v>
      </c>
      <c r="G653" t="str">
        <f t="shared" si="193"/>
        <v/>
      </c>
      <c r="H653" t="str">
        <f t="shared" si="205"/>
        <v/>
      </c>
      <c r="I653" t="str">
        <f t="shared" si="206"/>
        <v/>
      </c>
      <c r="J653" t="str">
        <f t="shared" si="207"/>
        <v/>
      </c>
      <c r="K653" t="str">
        <f t="shared" si="208"/>
        <v/>
      </c>
      <c r="L653" t="str">
        <f t="shared" si="194"/>
        <v>Option</v>
      </c>
      <c r="M653" t="str">
        <f t="shared" si="195"/>
        <v>BLACK COATING</v>
      </c>
      <c r="R653" t="str">
        <f t="shared" si="196"/>
        <v>ZTPH055SKA</v>
      </c>
      <c r="S653">
        <f t="shared" si="197"/>
        <v>0</v>
      </c>
      <c r="U653" t="str">
        <f t="shared" si="198"/>
        <v>continue</v>
      </c>
      <c r="V653" t="str">
        <f t="shared" si="199"/>
        <v>manual</v>
      </c>
      <c r="W653" s="5">
        <f t="shared" si="200"/>
        <v>1326.5388000000003</v>
      </c>
      <c r="Y653" t="b">
        <f t="shared" si="201"/>
        <v>1</v>
      </c>
      <c r="Z653" t="b">
        <f t="shared" si="202"/>
        <v>0</v>
      </c>
      <c r="AB653" t="str">
        <f t="shared" si="203"/>
        <v/>
      </c>
      <c r="AE653" t="b">
        <v>0</v>
      </c>
    </row>
    <row r="654" spans="1:31" x14ac:dyDescent="0.2">
      <c r="A654" t="str">
        <f t="shared" si="190"/>
        <v>https://shop.officineitalianezard.it/en/gold-edition-full-kit-2/</v>
      </c>
      <c r="B654" t="b">
        <f>COUNTIF($A$2:$A654, A654)&gt;1</f>
        <v>0</v>
      </c>
      <c r="C654" t="b">
        <f t="shared" si="191"/>
        <v>0</v>
      </c>
      <c r="D654">
        <f>VLOOKUP(A654,variant_counts!A:B, 2, FALSE)</f>
        <v>2</v>
      </c>
      <c r="E654" t="str">
        <f t="shared" si="204"/>
        <v>zard-exhaust-21-gold-edition-full-kit-triumph-scrambler-my-2016-injection-ztph055ska</v>
      </c>
      <c r="F654" t="str">
        <f t="shared" si="192"/>
        <v>ZARD EXHAUST 2&gt;1 GOLD EDITION FULL KIT TRIUMPH SCRAMBLER &lt; M.Y. 2016 INJECTION ZTPH055SKA</v>
      </c>
      <c r="G654" t="str">
        <f t="shared" si="193"/>
        <v>&lt;p&gt;2&amp;gt;1 STEEL RACING GOLD EDITION FULL KIT&lt;/p&gt;
&lt;p&gt;THE BLACK CERAMIC COATED VERSION AS STEEL HEAT SHIELD GRILL&lt;/p&gt;</v>
      </c>
      <c r="H654" t="str">
        <f t="shared" si="205"/>
        <v>ZARD</v>
      </c>
      <c r="I654" t="str">
        <f t="shared" si="206"/>
        <v>Exhaust Pipe</v>
      </c>
      <c r="J654" t="str">
        <f t="shared" si="207"/>
        <v>Test</v>
      </c>
      <c r="K654" t="b">
        <f t="shared" si="208"/>
        <v>0</v>
      </c>
      <c r="L654" t="str">
        <f t="shared" si="194"/>
        <v/>
      </c>
      <c r="M654" t="str">
        <f t="shared" si="195"/>
        <v/>
      </c>
      <c r="R654" t="str">
        <f t="shared" si="196"/>
        <v/>
      </c>
      <c r="S654" t="str">
        <f t="shared" si="197"/>
        <v/>
      </c>
      <c r="U654" t="str">
        <f t="shared" si="198"/>
        <v/>
      </c>
      <c r="V654" t="str">
        <f t="shared" si="199"/>
        <v/>
      </c>
      <c r="W654" s="5" t="str">
        <f t="shared" si="200"/>
        <v/>
      </c>
      <c r="Y654" t="str">
        <f t="shared" si="201"/>
        <v/>
      </c>
      <c r="Z654" t="str">
        <f t="shared" si="202"/>
        <v/>
      </c>
      <c r="AB654" t="str">
        <f t="shared" si="203"/>
        <v>https://shop.officineitalianezard.it/contents/imgs/products/1_1235-1.jpg</v>
      </c>
      <c r="AE654" t="b">
        <v>0</v>
      </c>
    </row>
    <row r="655" spans="1:31" x14ac:dyDescent="0.2">
      <c r="A655" t="str">
        <f t="shared" si="190"/>
        <v>https://shop.officineitalianezard.it/en/gold-edition-full-kit-2/</v>
      </c>
      <c r="B655" t="b">
        <f>COUNTIF($A$2:$A655, A655)&gt;1</f>
        <v>1</v>
      </c>
      <c r="C655" t="b">
        <f t="shared" si="191"/>
        <v>0</v>
      </c>
      <c r="D655">
        <f>VLOOKUP(A655,variant_counts!A:B, 2, FALSE)</f>
        <v>2</v>
      </c>
      <c r="E655" t="str">
        <f t="shared" si="204"/>
        <v>zard-exhaust-21-gold-edition-full-kit-triumph-scrambler-my-2016-injection-ztph055ska</v>
      </c>
      <c r="F655" t="str">
        <f t="shared" si="192"/>
        <v>ZARD EXHAUST 2&gt;1 GOLD EDITION FULL KIT TRIUMPH SCRAMBLER &lt; M.Y. 2016 INJECTION ZTPH055SKA</v>
      </c>
      <c r="G655" t="str">
        <f t="shared" si="193"/>
        <v/>
      </c>
      <c r="H655" t="str">
        <f t="shared" si="205"/>
        <v/>
      </c>
      <c r="I655" t="str">
        <f t="shared" si="206"/>
        <v/>
      </c>
      <c r="J655" t="str">
        <f t="shared" si="207"/>
        <v/>
      </c>
      <c r="K655" t="str">
        <f t="shared" si="208"/>
        <v/>
      </c>
      <c r="L655" t="str">
        <f t="shared" si="194"/>
        <v/>
      </c>
      <c r="M655" t="str">
        <f t="shared" si="195"/>
        <v/>
      </c>
      <c r="R655" t="str">
        <f t="shared" si="196"/>
        <v/>
      </c>
      <c r="S655" t="str">
        <f t="shared" si="197"/>
        <v/>
      </c>
      <c r="U655" t="str">
        <f t="shared" si="198"/>
        <v/>
      </c>
      <c r="V655" t="str">
        <f t="shared" si="199"/>
        <v/>
      </c>
      <c r="W655" s="5" t="str">
        <f t="shared" si="200"/>
        <v/>
      </c>
      <c r="Y655" t="str">
        <f t="shared" si="201"/>
        <v/>
      </c>
      <c r="Z655" t="str">
        <f t="shared" si="202"/>
        <v/>
      </c>
      <c r="AB655" t="str">
        <f t="shared" si="203"/>
        <v>https://shop.officineitalianezard.it/contents/imgs/products/1_1236-2.jpg</v>
      </c>
      <c r="AE655" t="b">
        <v>0</v>
      </c>
    </row>
    <row r="656" spans="1:31" x14ac:dyDescent="0.2">
      <c r="A656" t="str">
        <f t="shared" si="190"/>
        <v>https://shop.officineitalianezard.it/en/gold-edition-full-kit-2/</v>
      </c>
      <c r="B656" t="b">
        <f>COUNTIF($A$2:$A656, A656)&gt;1</f>
        <v>1</v>
      </c>
      <c r="C656" t="b">
        <f t="shared" si="191"/>
        <v>0</v>
      </c>
      <c r="D656">
        <f>VLOOKUP(A656,variant_counts!A:B, 2, FALSE)</f>
        <v>2</v>
      </c>
      <c r="E656" t="str">
        <f t="shared" si="204"/>
        <v>zard-exhaust-21-gold-edition-full-kit-triumph-scrambler-my-2016-injection-ztph055ska</v>
      </c>
      <c r="F656" t="str">
        <f t="shared" si="192"/>
        <v>ZARD EXHAUST 2&gt;1 GOLD EDITION FULL KIT TRIUMPH SCRAMBLER &lt; M.Y. 2016 INJECTION ZTPH055SKA</v>
      </c>
      <c r="G656" t="str">
        <f t="shared" si="193"/>
        <v/>
      </c>
      <c r="H656" t="str">
        <f t="shared" si="205"/>
        <v/>
      </c>
      <c r="I656" t="str">
        <f t="shared" si="206"/>
        <v/>
      </c>
      <c r="J656" t="str">
        <f t="shared" si="207"/>
        <v/>
      </c>
      <c r="K656" t="str">
        <f t="shared" si="208"/>
        <v/>
      </c>
      <c r="L656" t="str">
        <f t="shared" si="194"/>
        <v/>
      </c>
      <c r="M656" t="str">
        <f t="shared" si="195"/>
        <v/>
      </c>
      <c r="R656" t="str">
        <f t="shared" si="196"/>
        <v/>
      </c>
      <c r="S656" t="str">
        <f t="shared" si="197"/>
        <v/>
      </c>
      <c r="U656" t="str">
        <f t="shared" si="198"/>
        <v/>
      </c>
      <c r="V656" t="str">
        <f t="shared" si="199"/>
        <v/>
      </c>
      <c r="W656" s="5" t="str">
        <f t="shared" si="200"/>
        <v/>
      </c>
      <c r="Y656" t="str">
        <f t="shared" si="201"/>
        <v/>
      </c>
      <c r="Z656" t="str">
        <f t="shared" si="202"/>
        <v/>
      </c>
      <c r="AB656" t="str">
        <f t="shared" si="203"/>
        <v>https://shop.officineitalianezard.it/contents/imgs/products/1_1237-3.jpg</v>
      </c>
      <c r="AE656" t="b">
        <v>0</v>
      </c>
    </row>
    <row r="657" spans="1:31" x14ac:dyDescent="0.2">
      <c r="A657" t="str">
        <f t="shared" si="190"/>
        <v>https://shop.officineitalianezard.it/en/gold-edition-full-kit-2/</v>
      </c>
      <c r="B657" t="b">
        <f>COUNTIF($A$2:$A657, A657)&gt;1</f>
        <v>1</v>
      </c>
      <c r="C657" t="b">
        <f t="shared" si="191"/>
        <v>0</v>
      </c>
      <c r="D657">
        <f>VLOOKUP(A657,variant_counts!A:B, 2, FALSE)</f>
        <v>2</v>
      </c>
      <c r="E657" t="str">
        <f t="shared" si="204"/>
        <v>zard-exhaust-21-gold-edition-full-kit-triumph-scrambler-my-2016-injection-ztph055ska</v>
      </c>
      <c r="F657" t="str">
        <f t="shared" si="192"/>
        <v>ZARD EXHAUST 2&gt;1 GOLD EDITION FULL KIT TRIUMPH SCRAMBLER &lt; M.Y. 2016 INJECTION ZTPH055SKA</v>
      </c>
      <c r="G657" t="str">
        <f t="shared" si="193"/>
        <v/>
      </c>
      <c r="H657" t="str">
        <f t="shared" si="205"/>
        <v/>
      </c>
      <c r="I657" t="str">
        <f t="shared" si="206"/>
        <v/>
      </c>
      <c r="J657" t="str">
        <f t="shared" si="207"/>
        <v/>
      </c>
      <c r="K657" t="str">
        <f t="shared" si="208"/>
        <v/>
      </c>
      <c r="L657" t="str">
        <f t="shared" si="194"/>
        <v/>
      </c>
      <c r="M657" t="str">
        <f t="shared" si="195"/>
        <v/>
      </c>
      <c r="R657" t="str">
        <f t="shared" si="196"/>
        <v/>
      </c>
      <c r="S657" t="str">
        <f t="shared" si="197"/>
        <v/>
      </c>
      <c r="U657" t="str">
        <f t="shared" si="198"/>
        <v/>
      </c>
      <c r="V657" t="str">
        <f t="shared" si="199"/>
        <v/>
      </c>
      <c r="W657" s="5" t="str">
        <f t="shared" si="200"/>
        <v/>
      </c>
      <c r="Y657" t="str">
        <f t="shared" si="201"/>
        <v/>
      </c>
      <c r="Z657" t="str">
        <f t="shared" si="202"/>
        <v/>
      </c>
      <c r="AB657" t="str">
        <f t="shared" si="203"/>
        <v>https://shop.officineitalianezard.it/contents/imgs/products/1_1368-gold%20nero.jpg</v>
      </c>
      <c r="AE657" t="b">
        <v>0</v>
      </c>
    </row>
    <row r="658" spans="1:31" x14ac:dyDescent="0.2">
      <c r="A658" t="str">
        <f t="shared" si="190"/>
        <v>https://shop.officineitalianezard.it/en/gold-edition-full-kit-2/</v>
      </c>
      <c r="B658" t="b">
        <f>COUNTIF($A$2:$A658, A658)&gt;1</f>
        <v>1</v>
      </c>
      <c r="C658" t="b">
        <f t="shared" si="191"/>
        <v>0</v>
      </c>
      <c r="D658">
        <f>VLOOKUP(A658,variant_counts!A:B, 2, FALSE)</f>
        <v>2</v>
      </c>
      <c r="E658" t="str">
        <f t="shared" si="204"/>
        <v>zard-exhaust-21-gold-edition-full-kit-triumph-scrambler-my-2016-injection-ztph055ska</v>
      </c>
      <c r="F658" t="str">
        <f t="shared" si="192"/>
        <v>ZARD EXHAUST 2&gt;1 GOLD EDITION FULL KIT TRIUMPH SCRAMBLER &lt; M.Y. 2016 INJECTION ZTPH055SKA</v>
      </c>
      <c r="G658" t="str">
        <f t="shared" si="193"/>
        <v/>
      </c>
      <c r="H658" t="str">
        <f t="shared" si="205"/>
        <v/>
      </c>
      <c r="I658" t="str">
        <f t="shared" si="206"/>
        <v/>
      </c>
      <c r="J658" t="str">
        <f t="shared" si="207"/>
        <v/>
      </c>
      <c r="K658" t="str">
        <f t="shared" si="208"/>
        <v/>
      </c>
      <c r="L658" t="str">
        <f t="shared" si="194"/>
        <v/>
      </c>
      <c r="M658" t="str">
        <f t="shared" si="195"/>
        <v/>
      </c>
      <c r="R658" t="str">
        <f t="shared" si="196"/>
        <v/>
      </c>
      <c r="S658" t="str">
        <f t="shared" si="197"/>
        <v/>
      </c>
      <c r="U658" t="str">
        <f t="shared" si="198"/>
        <v/>
      </c>
      <c r="V658" t="str">
        <f t="shared" si="199"/>
        <v/>
      </c>
      <c r="W658" s="5" t="str">
        <f t="shared" si="200"/>
        <v/>
      </c>
      <c r="Y658" t="str">
        <f t="shared" si="201"/>
        <v/>
      </c>
      <c r="Z658" t="str">
        <f t="shared" si="202"/>
        <v/>
      </c>
      <c r="AB658" t="str">
        <f t="shared" si="203"/>
        <v>https://shop.officineitalianezard.it/contents/imgs/products/1_1247-borsone.jpg</v>
      </c>
      <c r="AE658" t="b">
        <v>0</v>
      </c>
    </row>
    <row r="659" spans="1:31" x14ac:dyDescent="0.2">
      <c r="A659" t="str">
        <f t="shared" si="190"/>
        <v>https://shop.officineitalianezard.it/en/gold-edition-full-kit-2/</v>
      </c>
      <c r="B659" t="b">
        <f>COUNTIF($A$2:$A659, A659)&gt;1</f>
        <v>1</v>
      </c>
      <c r="C659" t="b">
        <f t="shared" si="191"/>
        <v>1</v>
      </c>
      <c r="D659">
        <f>VLOOKUP(A659,variant_counts!A:B, 2, FALSE)</f>
        <v>2</v>
      </c>
      <c r="E659" t="str">
        <f t="shared" si="204"/>
        <v>zard-exhaust-21-gold-edition-full-kit-triumph-scrambler-my-2016-injection-ztph055ska</v>
      </c>
      <c r="F659" t="str">
        <f t="shared" si="192"/>
        <v>ZARD EXHAUST 2&gt;1 GOLD EDITION FULL KIT TRIUMPH SCRAMBLER &lt; M.Y. 2016 INJECTION ZTPH055SKA</v>
      </c>
      <c r="G659" t="str">
        <f t="shared" si="193"/>
        <v/>
      </c>
      <c r="H659" t="str">
        <f t="shared" si="205"/>
        <v/>
      </c>
      <c r="I659" t="str">
        <f t="shared" si="206"/>
        <v/>
      </c>
      <c r="J659" t="str">
        <f t="shared" si="207"/>
        <v/>
      </c>
      <c r="K659" t="str">
        <f t="shared" si="208"/>
        <v/>
      </c>
      <c r="L659" t="str">
        <f t="shared" si="194"/>
        <v>Option</v>
      </c>
      <c r="M659" t="str">
        <f t="shared" si="195"/>
        <v>EURO 3 HOMOLOGATED</v>
      </c>
      <c r="R659" t="str">
        <f t="shared" si="196"/>
        <v>ZTPH055SKA</v>
      </c>
      <c r="S659">
        <f t="shared" si="197"/>
        <v>0</v>
      </c>
      <c r="U659" t="str">
        <f t="shared" si="198"/>
        <v>continue</v>
      </c>
      <c r="V659" t="str">
        <f t="shared" si="199"/>
        <v>manual</v>
      </c>
      <c r="W659" s="5">
        <f t="shared" si="200"/>
        <v>1368.3081000000002</v>
      </c>
      <c r="Y659" t="b">
        <f t="shared" si="201"/>
        <v>1</v>
      </c>
      <c r="Z659" t="b">
        <f t="shared" si="202"/>
        <v>0</v>
      </c>
      <c r="AB659" t="str">
        <f t="shared" si="203"/>
        <v/>
      </c>
      <c r="AE659" t="b">
        <v>0</v>
      </c>
    </row>
    <row r="660" spans="1:31" x14ac:dyDescent="0.2">
      <c r="A660" t="str">
        <f t="shared" si="190"/>
        <v>https://shop.officineitalianezard.it/en/gold-edition-full-kit-2/</v>
      </c>
      <c r="B660" t="b">
        <f>COUNTIF($A$2:$A660, A660)&gt;1</f>
        <v>1</v>
      </c>
      <c r="C660" t="b">
        <f t="shared" si="191"/>
        <v>1</v>
      </c>
      <c r="D660">
        <f>VLOOKUP(A660,variant_counts!A:B, 2, FALSE)</f>
        <v>2</v>
      </c>
      <c r="E660" t="str">
        <f t="shared" si="204"/>
        <v>zard-exhaust-21-gold-edition-full-kit-triumph-scrambler-my-2016-injection-ztph055ska</v>
      </c>
      <c r="F660" t="str">
        <f t="shared" si="192"/>
        <v>ZARD EXHAUST 2&gt;1 GOLD EDITION FULL KIT TRIUMPH SCRAMBLER &lt; M.Y. 2016 INJECTION ZTPH055SKA</v>
      </c>
      <c r="G660" t="str">
        <f t="shared" si="193"/>
        <v/>
      </c>
      <c r="H660" t="str">
        <f t="shared" si="205"/>
        <v/>
      </c>
      <c r="I660" t="str">
        <f t="shared" si="206"/>
        <v/>
      </c>
      <c r="J660" t="str">
        <f t="shared" si="207"/>
        <v/>
      </c>
      <c r="K660" t="str">
        <f t="shared" si="208"/>
        <v/>
      </c>
      <c r="L660" t="str">
        <f t="shared" si="194"/>
        <v>Option</v>
      </c>
      <c r="M660" t="str">
        <f t="shared" si="195"/>
        <v>BLACK COATING</v>
      </c>
      <c r="R660" t="str">
        <f t="shared" si="196"/>
        <v>ZTPH055SKA</v>
      </c>
      <c r="S660">
        <f t="shared" si="197"/>
        <v>0</v>
      </c>
      <c r="U660" t="str">
        <f t="shared" si="198"/>
        <v>continue</v>
      </c>
      <c r="V660" t="str">
        <f t="shared" si="199"/>
        <v>manual</v>
      </c>
      <c r="W660" s="5">
        <f t="shared" si="200"/>
        <v>1326.5388000000003</v>
      </c>
      <c r="Y660" t="b">
        <f t="shared" si="201"/>
        <v>1</v>
      </c>
      <c r="Z660" t="b">
        <f t="shared" si="202"/>
        <v>0</v>
      </c>
      <c r="AB660" t="str">
        <f t="shared" si="203"/>
        <v/>
      </c>
      <c r="AE660" t="b">
        <v>0</v>
      </c>
    </row>
    <row r="661" spans="1:31" x14ac:dyDescent="0.2">
      <c r="A661" t="str">
        <f t="shared" si="190"/>
        <v>https://shop.officineitalianezard.it/en/triumph-scrambler-1200-decatalyzer-kit/</v>
      </c>
      <c r="B661" t="b">
        <f>COUNTIF($A$2:$A661, A661)&gt;1</f>
        <v>0</v>
      </c>
      <c r="C661" t="b">
        <f t="shared" si="191"/>
        <v>0</v>
      </c>
      <c r="D661">
        <f>VLOOKUP(A661,variant_counts!A:B, 2, FALSE)</f>
        <v>0</v>
      </c>
      <c r="E661" t="str">
        <f t="shared" si="204"/>
        <v>zard-exhaust-decatalyzer-kit-triumph-scrambler-1200-my-2019-212-version-ztph091scr</v>
      </c>
      <c r="F661" t="str">
        <f t="shared" si="192"/>
        <v>ZARD EXHAUST DECATALYZER KIT TRIUMPH SCRAMBLER 1200 M.Y. 2019 2&gt;1&gt;2 VERSION ZTPH091SCR</v>
      </c>
      <c r="G661" t="str">
        <f t="shared" si="193"/>
        <v>&lt;p&gt;&lt;span&gt;2&amp;gt;1&amp;gt;2&amp;nbsp;&lt;/span&gt;STAINLESS STEEL DECATALYZER KIT&lt;br&gt;WITH RACING COMPENSATOR.&lt;/p&gt;
&lt;p&gt;THIS KIT REPLACES TRIUMPH OEM CATALYZER GIVING A HIGH&lt;br&gt;REDUCTION OF PERCEIVED HEAT, GREATER INCREASE OF GAS&lt;br&gt;EXTRACTION, A SIGNIFICANT IMPROVEMENT OF THE POWER&lt;br&gt;CURVE AND A WEIGHT SAVING OF 2 KG.&lt;/p&gt;
&lt;p&gt;OEM CATALYZER KIT WEIGHT: 2.9 KG&lt;br&gt;ZARD DECATALYZER KIT WEIGHT: 1.2 KG&lt;/p&gt;
&lt;p&gt;EASY AND FAST FITTING WITH OEM HEAT SHIELDS.&lt;/p&gt;
&lt;p&gt;NOTICE: THE INSTALLATION OF ZARD EXHAUST&lt;br&gt;DOES NOT IMPLY ANY MODIFICATION TO ECU.&lt;/p&gt;</v>
      </c>
      <c r="H661" t="str">
        <f t="shared" si="205"/>
        <v>ZARD</v>
      </c>
      <c r="I661" t="str">
        <f t="shared" si="206"/>
        <v>Exhaust Pipe</v>
      </c>
      <c r="J661" t="str">
        <f t="shared" si="207"/>
        <v>Test</v>
      </c>
      <c r="K661" t="b">
        <f t="shared" si="208"/>
        <v>0</v>
      </c>
      <c r="L661" t="str">
        <f t="shared" si="194"/>
        <v>Title</v>
      </c>
      <c r="M661" t="str">
        <f t="shared" si="195"/>
        <v>Default Title</v>
      </c>
      <c r="R661" t="str">
        <f t="shared" si="196"/>
        <v>ZTPH091SCR</v>
      </c>
      <c r="S661">
        <f t="shared" si="197"/>
        <v>0</v>
      </c>
      <c r="U661" t="str">
        <f t="shared" si="198"/>
        <v>continue</v>
      </c>
      <c r="V661" t="str">
        <f t="shared" si="199"/>
        <v>manual</v>
      </c>
      <c r="W661" s="5">
        <f t="shared" si="200"/>
        <v>373.03770000000003</v>
      </c>
      <c r="Y661" t="b">
        <f t="shared" si="201"/>
        <v>1</v>
      </c>
      <c r="Z661" t="b">
        <f t="shared" si="202"/>
        <v>0</v>
      </c>
      <c r="AB661" t="str">
        <f t="shared" si="203"/>
        <v>https://shop.officineitalianezard.it/contents/imgs/products/1_2588-decatalizzatore%20triumph%20scrambler%201200.jpg</v>
      </c>
      <c r="AE661" t="b">
        <v>0</v>
      </c>
    </row>
    <row r="662" spans="1:31" x14ac:dyDescent="0.2">
      <c r="A662" t="str">
        <f t="shared" si="190"/>
        <v>https://shop.officineitalianezard.it/en/triumph-scrambler-1200-decatalyzer-kit/</v>
      </c>
      <c r="B662" t="b">
        <f>COUNTIF($A$2:$A662, A662)&gt;1</f>
        <v>1</v>
      </c>
      <c r="C662" t="b">
        <f t="shared" si="191"/>
        <v>0</v>
      </c>
      <c r="D662">
        <f>VLOOKUP(A662,variant_counts!A:B, 2, FALSE)</f>
        <v>0</v>
      </c>
      <c r="E662" t="str">
        <f t="shared" si="204"/>
        <v>zard-exhaust-decatalyzer-kit-triumph-scrambler-1200-my-2019-212-version-ztph091scr</v>
      </c>
      <c r="F662" t="str">
        <f t="shared" si="192"/>
        <v>ZARD EXHAUST DECATALYZER KIT TRIUMPH SCRAMBLER 1200 M.Y. 2019 2&gt;1&gt;2 VERSION ZTPH091SCR</v>
      </c>
      <c r="G662" t="str">
        <f t="shared" si="193"/>
        <v/>
      </c>
      <c r="H662" t="str">
        <f t="shared" si="205"/>
        <v/>
      </c>
      <c r="I662" t="str">
        <f t="shared" si="206"/>
        <v/>
      </c>
      <c r="J662" t="str">
        <f t="shared" si="207"/>
        <v/>
      </c>
      <c r="K662" t="str">
        <f t="shared" si="208"/>
        <v/>
      </c>
      <c r="L662" t="str">
        <f t="shared" si="194"/>
        <v/>
      </c>
      <c r="M662" t="str">
        <f t="shared" si="195"/>
        <v/>
      </c>
      <c r="R662" t="str">
        <f t="shared" si="196"/>
        <v/>
      </c>
      <c r="S662" t="str">
        <f t="shared" si="197"/>
        <v/>
      </c>
      <c r="U662" t="str">
        <f t="shared" si="198"/>
        <v/>
      </c>
      <c r="V662" t="str">
        <f t="shared" si="199"/>
        <v/>
      </c>
      <c r="W662" s="5" t="str">
        <f t="shared" si="200"/>
        <v/>
      </c>
      <c r="Y662" t="str">
        <f t="shared" si="201"/>
        <v/>
      </c>
      <c r="Z662" t="str">
        <f t="shared" si="202"/>
        <v/>
      </c>
      <c r="AB662" t="str">
        <f t="shared" si="203"/>
        <v>https://shop.officineitalianezard.it/contents/imgs/products/1_2568-decatalizzatore%20triumph%20scrambler%201200%20-%20zard%202.jpg</v>
      </c>
      <c r="AE662" t="b">
        <v>0</v>
      </c>
    </row>
    <row r="663" spans="1:31" x14ac:dyDescent="0.2">
      <c r="A663" t="str">
        <f t="shared" si="190"/>
        <v>https://shop.officineitalianezard.it/en/triumph-scrambler-1200-decatalyzer-kit/</v>
      </c>
      <c r="B663" t="b">
        <f>COUNTIF($A$2:$A663, A663)&gt;1</f>
        <v>1</v>
      </c>
      <c r="C663" t="b">
        <f t="shared" si="191"/>
        <v>0</v>
      </c>
      <c r="D663">
        <f>VLOOKUP(A663,variant_counts!A:B, 2, FALSE)</f>
        <v>0</v>
      </c>
      <c r="E663" t="str">
        <f t="shared" si="204"/>
        <v>zard-exhaust-decatalyzer-kit-triumph-scrambler-1200-my-2019-212-version-ztph091scr</v>
      </c>
      <c r="F663" t="str">
        <f t="shared" si="192"/>
        <v>ZARD EXHAUST DECATALYZER KIT TRIUMPH SCRAMBLER 1200 M.Y. 2019 2&gt;1&gt;2 VERSION ZTPH091SCR</v>
      </c>
      <c r="G663" t="str">
        <f t="shared" si="193"/>
        <v/>
      </c>
      <c r="H663" t="str">
        <f t="shared" si="205"/>
        <v/>
      </c>
      <c r="I663" t="str">
        <f t="shared" si="206"/>
        <v/>
      </c>
      <c r="J663" t="str">
        <f t="shared" si="207"/>
        <v/>
      </c>
      <c r="K663" t="str">
        <f t="shared" si="208"/>
        <v/>
      </c>
      <c r="L663" t="str">
        <f t="shared" si="194"/>
        <v/>
      </c>
      <c r="M663" t="str">
        <f t="shared" si="195"/>
        <v/>
      </c>
      <c r="R663" t="str">
        <f t="shared" si="196"/>
        <v/>
      </c>
      <c r="S663" t="str">
        <f t="shared" si="197"/>
        <v/>
      </c>
      <c r="U663" t="str">
        <f t="shared" si="198"/>
        <v/>
      </c>
      <c r="V663" t="str">
        <f t="shared" si="199"/>
        <v/>
      </c>
      <c r="W663" s="5" t="str">
        <f t="shared" si="200"/>
        <v/>
      </c>
      <c r="Y663" t="str">
        <f t="shared" si="201"/>
        <v/>
      </c>
      <c r="Z663" t="str">
        <f t="shared" si="202"/>
        <v/>
      </c>
      <c r="AB663" t="str">
        <f t="shared" si="203"/>
        <v>https://shop.officineitalianezard.it/contents/imgs/products/1_2569-decatalizzatore%20triumph%20scrambler%201200%20-%20zard%201.jpg</v>
      </c>
      <c r="AE663" t="b">
        <v>0</v>
      </c>
    </row>
    <row r="664" spans="1:31" x14ac:dyDescent="0.2">
      <c r="A664" t="str">
        <f t="shared" si="190"/>
        <v>https://shop.officineitalianezard.it/en/triumph-scrambler-1200-decatalyzer-kit/</v>
      </c>
      <c r="B664" t="b">
        <f>COUNTIF($A$2:$A664, A664)&gt;1</f>
        <v>1</v>
      </c>
      <c r="C664" t="b">
        <f t="shared" si="191"/>
        <v>0</v>
      </c>
      <c r="D664">
        <f>VLOOKUP(A664,variant_counts!A:B, 2, FALSE)</f>
        <v>0</v>
      </c>
      <c r="E664" t="str">
        <f t="shared" si="204"/>
        <v>zard-exhaust-decatalyzer-kit-triumph-scrambler-1200-my-2019-212-version-ztph091scr</v>
      </c>
      <c r="F664" t="str">
        <f t="shared" si="192"/>
        <v>ZARD EXHAUST DECATALYZER KIT TRIUMPH SCRAMBLER 1200 M.Y. 2019 2&gt;1&gt;2 VERSION ZTPH091SCR</v>
      </c>
      <c r="G664" t="str">
        <f t="shared" si="193"/>
        <v/>
      </c>
      <c r="H664" t="str">
        <f t="shared" si="205"/>
        <v/>
      </c>
      <c r="I664" t="str">
        <f t="shared" si="206"/>
        <v/>
      </c>
      <c r="J664" t="str">
        <f t="shared" si="207"/>
        <v/>
      </c>
      <c r="K664" t="str">
        <f t="shared" si="208"/>
        <v/>
      </c>
      <c r="L664" t="str">
        <f t="shared" si="194"/>
        <v/>
      </c>
      <c r="M664" t="str">
        <f t="shared" si="195"/>
        <v/>
      </c>
      <c r="R664" t="str">
        <f t="shared" si="196"/>
        <v/>
      </c>
      <c r="S664" t="str">
        <f t="shared" si="197"/>
        <v/>
      </c>
      <c r="U664" t="str">
        <f t="shared" si="198"/>
        <v/>
      </c>
      <c r="V664" t="str">
        <f t="shared" si="199"/>
        <v/>
      </c>
      <c r="W664" s="5" t="str">
        <f t="shared" si="200"/>
        <v/>
      </c>
      <c r="Y664" t="str">
        <f t="shared" si="201"/>
        <v/>
      </c>
      <c r="Z664" t="str">
        <f t="shared" si="202"/>
        <v/>
      </c>
      <c r="AB664" t="str">
        <f t="shared" si="203"/>
        <v>https://shop.officineitalianezard.it/contents/imgs/products/1_2567-decatalizzatore%20triumph%20scrambler%201200%20-%20zard.jpg</v>
      </c>
      <c r="AE664" t="b">
        <v>0</v>
      </c>
    </row>
    <row r="665" spans="1:31" x14ac:dyDescent="0.2">
      <c r="A665" t="str">
        <f t="shared" si="190"/>
        <v>https://shop.officineitalianezard.it/en/triumph-scrambler-1200-exhaust/</v>
      </c>
      <c r="B665" t="b">
        <f>COUNTIF($A$2:$A665, A665)&gt;1</f>
        <v>0</v>
      </c>
      <c r="C665" t="b">
        <f t="shared" si="191"/>
        <v>0</v>
      </c>
      <c r="D665">
        <f>VLOOKUP(A665,variant_counts!A:B, 2, FALSE)</f>
        <v>3</v>
      </c>
      <c r="E665" t="str">
        <f t="shared" si="204"/>
        <v>zard-exhaust-silencers-triumph-scrambler-1200-my-2019-slip-on-version-ztph091ssr</v>
      </c>
      <c r="F665" t="str">
        <f t="shared" si="192"/>
        <v>ZARD EXHAUST SILENCERS TRIUMPH SCRAMBLER 1200 M.Y. 2019 SLIP-ON VERSION ZTPH091SSR</v>
      </c>
      <c r="G665" t="str">
        <f t="shared" si="193"/>
        <v>&lt;p&gt;STAINLESS STEEL SLIP-ONS WITH REMOVABLE DB-KILLERS.&lt;br&gt;EURO 4 HOMOLOGATED VERSION AVAILABLE AS OPTIONA.&lt;/p&gt;
&lt;p&gt;ORIGINAL EXHAUST WEIGHT: 6.4 KG&lt;br&gt;ZARD EXHAUST WEIGHT: 3.9 KG&lt;/p&gt;
&lt;p&gt;SIGNIFICANT INCREASE, COMPARED TO THE ORIGINAL EXHAUST SYSTEM,&lt;br&gt;IN TERMS OF TORQUE AND POWER AT ANY RANGE, ASTONISHING SOUND.&lt;/p&gt;
&lt;p&gt;&lt;span style="color: #ff0000;"&gt;&lt;strong&gt;&lt;a href="https://shop.officineitalianezard.it/en/triumph-scrambler-1200-decatalyzer-kit/" style="color: #ff0000;"&gt;FIND OUT THE ZARD DECATALYZER KIT&lt;/a&gt;&lt;/strong&gt;&lt;/span&gt;&lt;/p&gt;</v>
      </c>
      <c r="H665" t="str">
        <f t="shared" si="205"/>
        <v>ZARD</v>
      </c>
      <c r="I665" t="str">
        <f t="shared" si="206"/>
        <v>Exhaust Pipe</v>
      </c>
      <c r="J665" t="str">
        <f t="shared" si="207"/>
        <v>Test</v>
      </c>
      <c r="K665" t="b">
        <f t="shared" si="208"/>
        <v>0</v>
      </c>
      <c r="L665" t="str">
        <f t="shared" si="194"/>
        <v/>
      </c>
      <c r="M665" t="str">
        <f t="shared" si="195"/>
        <v/>
      </c>
      <c r="R665" t="str">
        <f t="shared" si="196"/>
        <v/>
      </c>
      <c r="S665" t="str">
        <f t="shared" si="197"/>
        <v/>
      </c>
      <c r="U665" t="str">
        <f t="shared" si="198"/>
        <v/>
      </c>
      <c r="V665" t="str">
        <f t="shared" si="199"/>
        <v/>
      </c>
      <c r="W665" s="5" t="str">
        <f t="shared" si="200"/>
        <v/>
      </c>
      <c r="Y665" t="str">
        <f t="shared" si="201"/>
        <v/>
      </c>
      <c r="Z665" t="str">
        <f t="shared" si="202"/>
        <v/>
      </c>
      <c r="AB665" t="str">
        <f t="shared" si="203"/>
        <v>https://shop.officineitalianezard.it/contents/imgs/products/1_2583-scarico%20triumph%20scrambler%201200%20-%20zard%20exhaust%201.jpg</v>
      </c>
      <c r="AE665" t="b">
        <v>0</v>
      </c>
    </row>
    <row r="666" spans="1:31" x14ac:dyDescent="0.2">
      <c r="A666" t="str">
        <f t="shared" si="190"/>
        <v>https://shop.officineitalianezard.it/en/triumph-scrambler-1200-exhaust/</v>
      </c>
      <c r="B666" t="b">
        <f>COUNTIF($A$2:$A666, A666)&gt;1</f>
        <v>1</v>
      </c>
      <c r="C666" t="b">
        <f t="shared" si="191"/>
        <v>0</v>
      </c>
      <c r="D666">
        <f>VLOOKUP(A666,variant_counts!A:B, 2, FALSE)</f>
        <v>3</v>
      </c>
      <c r="E666" t="str">
        <f t="shared" si="204"/>
        <v>zard-exhaust-silencers-triumph-scrambler-1200-my-2019-slip-on-version-ztph091ssr</v>
      </c>
      <c r="F666" t="str">
        <f t="shared" si="192"/>
        <v>ZARD EXHAUST SILENCERS TRIUMPH SCRAMBLER 1200 M.Y. 2019 SLIP-ON VERSION ZTPH091SSR</v>
      </c>
      <c r="G666" t="str">
        <f t="shared" si="193"/>
        <v/>
      </c>
      <c r="H666" t="str">
        <f t="shared" si="205"/>
        <v/>
      </c>
      <c r="I666" t="str">
        <f t="shared" si="206"/>
        <v/>
      </c>
      <c r="J666" t="str">
        <f t="shared" si="207"/>
        <v/>
      </c>
      <c r="K666" t="str">
        <f t="shared" si="208"/>
        <v/>
      </c>
      <c r="L666" t="str">
        <f t="shared" si="194"/>
        <v/>
      </c>
      <c r="M666" t="str">
        <f t="shared" si="195"/>
        <v/>
      </c>
      <c r="R666" t="str">
        <f t="shared" si="196"/>
        <v/>
      </c>
      <c r="S666" t="str">
        <f t="shared" si="197"/>
        <v/>
      </c>
      <c r="U666" t="str">
        <f t="shared" si="198"/>
        <v/>
      </c>
      <c r="V666" t="str">
        <f t="shared" si="199"/>
        <v/>
      </c>
      <c r="W666" s="5" t="str">
        <f t="shared" si="200"/>
        <v/>
      </c>
      <c r="Y666" t="str">
        <f t="shared" si="201"/>
        <v/>
      </c>
      <c r="Z666" t="str">
        <f t="shared" si="202"/>
        <v/>
      </c>
      <c r="AB666" t="str">
        <f t="shared" si="203"/>
        <v>https://shop.officineitalianezard.it/contents/imgs/products/1_2591-scarico%20triumph%20scrambler%201200%20-%20zard%20exhaust%204.jpg</v>
      </c>
      <c r="AE666" t="b">
        <v>0</v>
      </c>
    </row>
    <row r="667" spans="1:31" x14ac:dyDescent="0.2">
      <c r="A667" t="str">
        <f t="shared" si="190"/>
        <v>https://shop.officineitalianezard.it/en/triumph-scrambler-1200-exhaust/</v>
      </c>
      <c r="B667" t="b">
        <f>COUNTIF($A$2:$A667, A667)&gt;1</f>
        <v>1</v>
      </c>
      <c r="C667" t="b">
        <f t="shared" si="191"/>
        <v>0</v>
      </c>
      <c r="D667">
        <f>VLOOKUP(A667,variant_counts!A:B, 2, FALSE)</f>
        <v>3</v>
      </c>
      <c r="E667" t="str">
        <f t="shared" si="204"/>
        <v>zard-exhaust-silencers-triumph-scrambler-1200-my-2019-slip-on-version-ztph091ssr</v>
      </c>
      <c r="F667" t="str">
        <f t="shared" si="192"/>
        <v>ZARD EXHAUST SILENCERS TRIUMPH SCRAMBLER 1200 M.Y. 2019 SLIP-ON VERSION ZTPH091SSR</v>
      </c>
      <c r="G667" t="str">
        <f t="shared" si="193"/>
        <v/>
      </c>
      <c r="H667" t="str">
        <f t="shared" si="205"/>
        <v/>
      </c>
      <c r="I667" t="str">
        <f t="shared" si="206"/>
        <v/>
      </c>
      <c r="J667" t="str">
        <f t="shared" si="207"/>
        <v/>
      </c>
      <c r="K667" t="str">
        <f t="shared" si="208"/>
        <v/>
      </c>
      <c r="L667" t="str">
        <f t="shared" si="194"/>
        <v/>
      </c>
      <c r="M667" t="str">
        <f t="shared" si="195"/>
        <v/>
      </c>
      <c r="R667" t="str">
        <f t="shared" si="196"/>
        <v/>
      </c>
      <c r="S667" t="str">
        <f t="shared" si="197"/>
        <v/>
      </c>
      <c r="U667" t="str">
        <f t="shared" si="198"/>
        <v/>
      </c>
      <c r="V667" t="str">
        <f t="shared" si="199"/>
        <v/>
      </c>
      <c r="W667" s="5" t="str">
        <f t="shared" si="200"/>
        <v/>
      </c>
      <c r="Y667" t="str">
        <f t="shared" si="201"/>
        <v/>
      </c>
      <c r="Z667" t="str">
        <f t="shared" si="202"/>
        <v/>
      </c>
      <c r="AB667" t="str">
        <f t="shared" si="203"/>
        <v>https://shop.officineitalianezard.it/contents/imgs/products/1_2584-scarico%20triumph%20scrambler%201200%20-%20zard%20exhaust%202.jpg</v>
      </c>
      <c r="AE667" t="b">
        <v>0</v>
      </c>
    </row>
    <row r="668" spans="1:31" x14ac:dyDescent="0.2">
      <c r="A668" t="str">
        <f t="shared" si="190"/>
        <v>https://shop.officineitalianezard.it/en/triumph-scrambler-1200-exhaust/</v>
      </c>
      <c r="B668" t="b">
        <f>COUNTIF($A$2:$A668, A668)&gt;1</f>
        <v>1</v>
      </c>
      <c r="C668" t="b">
        <f t="shared" si="191"/>
        <v>0</v>
      </c>
      <c r="D668">
        <f>VLOOKUP(A668,variant_counts!A:B, 2, FALSE)</f>
        <v>3</v>
      </c>
      <c r="E668" t="str">
        <f t="shared" si="204"/>
        <v>zard-exhaust-silencers-triumph-scrambler-1200-my-2019-slip-on-version-ztph091ssr</v>
      </c>
      <c r="F668" t="str">
        <f t="shared" si="192"/>
        <v>ZARD EXHAUST SILENCERS TRIUMPH SCRAMBLER 1200 M.Y. 2019 SLIP-ON VERSION ZTPH091SSR</v>
      </c>
      <c r="G668" t="str">
        <f t="shared" si="193"/>
        <v/>
      </c>
      <c r="H668" t="str">
        <f t="shared" si="205"/>
        <v/>
      </c>
      <c r="I668" t="str">
        <f t="shared" si="206"/>
        <v/>
      </c>
      <c r="J668" t="str">
        <f t="shared" si="207"/>
        <v/>
      </c>
      <c r="K668" t="str">
        <f t="shared" si="208"/>
        <v/>
      </c>
      <c r="L668" t="str">
        <f t="shared" si="194"/>
        <v/>
      </c>
      <c r="M668" t="str">
        <f t="shared" si="195"/>
        <v/>
      </c>
      <c r="R668" t="str">
        <f t="shared" si="196"/>
        <v/>
      </c>
      <c r="S668" t="str">
        <f t="shared" si="197"/>
        <v/>
      </c>
      <c r="U668" t="str">
        <f t="shared" si="198"/>
        <v/>
      </c>
      <c r="V668" t="str">
        <f t="shared" si="199"/>
        <v/>
      </c>
      <c r="W668" s="5" t="str">
        <f t="shared" si="200"/>
        <v/>
      </c>
      <c r="Y668" t="str">
        <f t="shared" si="201"/>
        <v/>
      </c>
      <c r="Z668" t="str">
        <f t="shared" si="202"/>
        <v/>
      </c>
      <c r="AB668" t="str">
        <f t="shared" si="203"/>
        <v>https://shop.officineitalianezard.it/contents/imgs/products/1_2592-triumph%20scrambler%201200.jpg</v>
      </c>
      <c r="AE668" t="b">
        <v>0</v>
      </c>
    </row>
    <row r="669" spans="1:31" x14ac:dyDescent="0.2">
      <c r="A669" t="str">
        <f t="shared" si="190"/>
        <v>https://shop.officineitalianezard.it/en/triumph-scrambler-1200-exhaust/</v>
      </c>
      <c r="B669" t="b">
        <f>COUNTIF($A$2:$A669, A669)&gt;1</f>
        <v>1</v>
      </c>
      <c r="C669" t="b">
        <f t="shared" si="191"/>
        <v>0</v>
      </c>
      <c r="D669">
        <f>VLOOKUP(A669,variant_counts!A:B, 2, FALSE)</f>
        <v>3</v>
      </c>
      <c r="E669" t="str">
        <f t="shared" si="204"/>
        <v>zard-exhaust-silencers-triumph-scrambler-1200-my-2019-slip-on-version-ztph091ssr</v>
      </c>
      <c r="F669" t="str">
        <f t="shared" si="192"/>
        <v>ZARD EXHAUST SILENCERS TRIUMPH SCRAMBLER 1200 M.Y. 2019 SLIP-ON VERSION ZTPH091SSR</v>
      </c>
      <c r="G669" t="str">
        <f t="shared" si="193"/>
        <v/>
      </c>
      <c r="H669" t="str">
        <f t="shared" si="205"/>
        <v/>
      </c>
      <c r="I669" t="str">
        <f t="shared" si="206"/>
        <v/>
      </c>
      <c r="J669" t="str">
        <f t="shared" si="207"/>
        <v/>
      </c>
      <c r="K669" t="str">
        <f t="shared" si="208"/>
        <v/>
      </c>
      <c r="L669" t="str">
        <f t="shared" si="194"/>
        <v/>
      </c>
      <c r="M669" t="str">
        <f t="shared" si="195"/>
        <v/>
      </c>
      <c r="R669" t="str">
        <f t="shared" si="196"/>
        <v/>
      </c>
      <c r="S669" t="str">
        <f t="shared" si="197"/>
        <v/>
      </c>
      <c r="U669" t="str">
        <f t="shared" si="198"/>
        <v/>
      </c>
      <c r="V669" t="str">
        <f t="shared" si="199"/>
        <v/>
      </c>
      <c r="W669" s="5" t="str">
        <f t="shared" si="200"/>
        <v/>
      </c>
      <c r="Y669" t="str">
        <f t="shared" si="201"/>
        <v/>
      </c>
      <c r="Z669" t="str">
        <f t="shared" si="202"/>
        <v/>
      </c>
      <c r="AB669" t="str">
        <f t="shared" si="203"/>
        <v>https://shop.officineitalianezard.it/contents/imgs/products/1_2590-scarico%20triumph%20scrambler%201200%20-%20zard%20exhaust%203.jpg</v>
      </c>
      <c r="AE669" t="b">
        <v>0</v>
      </c>
    </row>
    <row r="670" spans="1:31" x14ac:dyDescent="0.2">
      <c r="A670" t="str">
        <f t="shared" si="190"/>
        <v>https://shop.officineitalianezard.it/en/triumph-scrambler-1200-exhaust/</v>
      </c>
      <c r="B670" t="b">
        <f>COUNTIF($A$2:$A670, A670)&gt;1</f>
        <v>1</v>
      </c>
      <c r="C670" t="b">
        <f t="shared" si="191"/>
        <v>0</v>
      </c>
      <c r="D670">
        <f>VLOOKUP(A670,variant_counts!A:B, 2, FALSE)</f>
        <v>3</v>
      </c>
      <c r="E670" t="str">
        <f t="shared" si="204"/>
        <v>zard-exhaust-silencers-triumph-scrambler-1200-my-2019-slip-on-version-ztph091ssr</v>
      </c>
      <c r="F670" t="str">
        <f t="shared" si="192"/>
        <v>ZARD EXHAUST SILENCERS TRIUMPH SCRAMBLER 1200 M.Y. 2019 SLIP-ON VERSION ZTPH091SSR</v>
      </c>
      <c r="G670" t="str">
        <f t="shared" si="193"/>
        <v/>
      </c>
      <c r="H670" t="str">
        <f t="shared" si="205"/>
        <v/>
      </c>
      <c r="I670" t="str">
        <f t="shared" si="206"/>
        <v/>
      </c>
      <c r="J670" t="str">
        <f t="shared" si="207"/>
        <v/>
      </c>
      <c r="K670" t="str">
        <f t="shared" si="208"/>
        <v/>
      </c>
      <c r="L670" t="str">
        <f t="shared" si="194"/>
        <v/>
      </c>
      <c r="M670" t="str">
        <f t="shared" si="195"/>
        <v/>
      </c>
      <c r="R670" t="str">
        <f t="shared" si="196"/>
        <v/>
      </c>
      <c r="S670" t="str">
        <f t="shared" si="197"/>
        <v/>
      </c>
      <c r="U670" t="str">
        <f t="shared" si="198"/>
        <v/>
      </c>
      <c r="V670" t="str">
        <f t="shared" si="199"/>
        <v/>
      </c>
      <c r="W670" s="5" t="str">
        <f t="shared" si="200"/>
        <v/>
      </c>
      <c r="Y670" t="str">
        <f t="shared" si="201"/>
        <v/>
      </c>
      <c r="Z670" t="str">
        <f t="shared" si="202"/>
        <v/>
      </c>
      <c r="AB670" t="str">
        <f t="shared" si="203"/>
        <v>https://shop.officineitalianezard.it/contents/imgs/products/1_2589-triumph%20scrambler%201200%20exhaust%20-%20zard.jpg</v>
      </c>
      <c r="AE670" t="b">
        <v>0</v>
      </c>
    </row>
    <row r="671" spans="1:31" x14ac:dyDescent="0.2">
      <c r="A671" t="str">
        <f t="shared" si="190"/>
        <v>https://shop.officineitalianezard.it/en/triumph-scrambler-1200-exhaust/</v>
      </c>
      <c r="B671" t="b">
        <f>COUNTIF($A$2:$A671, A671)&gt;1</f>
        <v>1</v>
      </c>
      <c r="C671" t="b">
        <f t="shared" si="191"/>
        <v>1</v>
      </c>
      <c r="D671">
        <f>VLOOKUP(A671,variant_counts!A:B, 2, FALSE)</f>
        <v>3</v>
      </c>
      <c r="E671" t="str">
        <f t="shared" si="204"/>
        <v>zard-exhaust-silencers-triumph-scrambler-1200-my-2019-slip-on-version-ztph091ssr</v>
      </c>
      <c r="F671" t="str">
        <f t="shared" si="192"/>
        <v>ZARD EXHAUST SILENCERS TRIUMPH SCRAMBLER 1200 M.Y. 2019 SLIP-ON VERSION ZTPH091SSR</v>
      </c>
      <c r="G671" t="str">
        <f t="shared" si="193"/>
        <v/>
      </c>
      <c r="H671" t="str">
        <f t="shared" si="205"/>
        <v/>
      </c>
      <c r="I671" t="str">
        <f t="shared" si="206"/>
        <v/>
      </c>
      <c r="J671" t="str">
        <f t="shared" si="207"/>
        <v/>
      </c>
      <c r="K671" t="str">
        <f t="shared" si="208"/>
        <v/>
      </c>
      <c r="L671" t="str">
        <f t="shared" si="194"/>
        <v>Option</v>
      </c>
      <c r="M671" t="str">
        <f t="shared" si="195"/>
        <v>EURO 4 HOMOLOGATED</v>
      </c>
      <c r="R671" t="str">
        <f t="shared" si="196"/>
        <v>ZTPH091SSR</v>
      </c>
      <c r="S671">
        <f t="shared" si="197"/>
        <v>0</v>
      </c>
      <c r="U671" t="str">
        <f t="shared" si="198"/>
        <v>continue</v>
      </c>
      <c r="V671" t="str">
        <f t="shared" si="199"/>
        <v>manual</v>
      </c>
      <c r="W671" s="5">
        <f t="shared" si="200"/>
        <v>821.57760000000007</v>
      </c>
      <c r="Y671" t="b">
        <f t="shared" si="201"/>
        <v>1</v>
      </c>
      <c r="Z671" t="b">
        <f t="shared" si="202"/>
        <v>0</v>
      </c>
      <c r="AB671" t="str">
        <f t="shared" si="203"/>
        <v/>
      </c>
      <c r="AE671" t="b">
        <v>0</v>
      </c>
    </row>
    <row r="672" spans="1:31" x14ac:dyDescent="0.2">
      <c r="A672" t="str">
        <f t="shared" si="190"/>
        <v>https://shop.officineitalianezard.it/en/triumph-scrambler-1200-exhaust/</v>
      </c>
      <c r="B672" t="b">
        <f>COUNTIF($A$2:$A672, A672)&gt;1</f>
        <v>1</v>
      </c>
      <c r="C672" t="b">
        <f t="shared" si="191"/>
        <v>1</v>
      </c>
      <c r="D672">
        <f>VLOOKUP(A672,variant_counts!A:B, 2, FALSE)</f>
        <v>3</v>
      </c>
      <c r="E672" t="str">
        <f t="shared" si="204"/>
        <v>zard-exhaust-silencers-triumph-scrambler-1200-my-2019-slip-on-version-ztph091ssr</v>
      </c>
      <c r="F672" t="str">
        <f t="shared" si="192"/>
        <v>ZARD EXHAUST SILENCERS TRIUMPH SCRAMBLER 1200 M.Y. 2019 SLIP-ON VERSION ZTPH091SSR</v>
      </c>
      <c r="G672" t="str">
        <f t="shared" si="193"/>
        <v/>
      </c>
      <c r="H672" t="str">
        <f t="shared" si="205"/>
        <v/>
      </c>
      <c r="I672" t="str">
        <f t="shared" si="206"/>
        <v/>
      </c>
      <c r="J672" t="str">
        <f t="shared" si="207"/>
        <v/>
      </c>
      <c r="K672" t="str">
        <f t="shared" si="208"/>
        <v/>
      </c>
      <c r="L672" t="str">
        <f t="shared" si="194"/>
        <v>Option</v>
      </c>
      <c r="M672" t="str">
        <f t="shared" si="195"/>
        <v>CARBON END-CAPS COVERS</v>
      </c>
      <c r="R672" t="str">
        <f t="shared" si="196"/>
        <v>ZTPH091SSR</v>
      </c>
      <c r="S672">
        <f t="shared" si="197"/>
        <v>0</v>
      </c>
      <c r="U672" t="str">
        <f t="shared" si="198"/>
        <v>continue</v>
      </c>
      <c r="V672" t="str">
        <f t="shared" si="199"/>
        <v>manual</v>
      </c>
      <c r="W672" s="5">
        <f t="shared" si="200"/>
        <v>850.23780000000011</v>
      </c>
      <c r="Y672" t="b">
        <f t="shared" si="201"/>
        <v>1</v>
      </c>
      <c r="Z672" t="b">
        <f t="shared" si="202"/>
        <v>0</v>
      </c>
      <c r="AB672" t="str">
        <f t="shared" si="203"/>
        <v/>
      </c>
      <c r="AE672" t="b">
        <v>0</v>
      </c>
    </row>
    <row r="673" spans="1:31" x14ac:dyDescent="0.2">
      <c r="A673" t="str">
        <f t="shared" si="190"/>
        <v>https://shop.officineitalianezard.it/en/triumph-scrambler-1200-exhaust/</v>
      </c>
      <c r="B673" t="b">
        <f>COUNTIF($A$2:$A673, A673)&gt;1</f>
        <v>1</v>
      </c>
      <c r="C673" t="b">
        <f t="shared" si="191"/>
        <v>1</v>
      </c>
      <c r="D673">
        <f>VLOOKUP(A673,variant_counts!A:B, 2, FALSE)</f>
        <v>3</v>
      </c>
      <c r="E673" t="str">
        <f t="shared" si="204"/>
        <v>zard-exhaust-silencers-triumph-scrambler-1200-my-2019-slip-on-version-ztph091ssr</v>
      </c>
      <c r="F673" t="str">
        <f t="shared" si="192"/>
        <v>ZARD EXHAUST SILENCERS TRIUMPH SCRAMBLER 1200 M.Y. 2019 SLIP-ON VERSION ZTPH091SSR</v>
      </c>
      <c r="G673" t="str">
        <f t="shared" si="193"/>
        <v/>
      </c>
      <c r="H673" t="str">
        <f t="shared" si="205"/>
        <v/>
      </c>
      <c r="I673" t="str">
        <f t="shared" si="206"/>
        <v/>
      </c>
      <c r="J673" t="str">
        <f t="shared" si="207"/>
        <v/>
      </c>
      <c r="K673" t="str">
        <f t="shared" si="208"/>
        <v/>
      </c>
      <c r="L673" t="str">
        <f t="shared" si="194"/>
        <v>Option</v>
      </c>
      <c r="M673" t="str">
        <f t="shared" si="195"/>
        <v>BLACK COATING</v>
      </c>
      <c r="R673" t="str">
        <f t="shared" si="196"/>
        <v>ZTPH091SSR</v>
      </c>
      <c r="S673">
        <f t="shared" si="197"/>
        <v>0</v>
      </c>
      <c r="U673" t="str">
        <f t="shared" si="198"/>
        <v>continue</v>
      </c>
      <c r="V673" t="str">
        <f t="shared" si="199"/>
        <v>manual</v>
      </c>
      <c r="W673" s="5">
        <f t="shared" si="200"/>
        <v>944.41020000000003</v>
      </c>
      <c r="Y673" t="b">
        <f t="shared" si="201"/>
        <v>1</v>
      </c>
      <c r="Z673" t="b">
        <f t="shared" si="202"/>
        <v>0</v>
      </c>
      <c r="AB673" t="str">
        <f t="shared" si="203"/>
        <v/>
      </c>
      <c r="AE673" t="b">
        <v>0</v>
      </c>
    </row>
    <row r="674" spans="1:31" x14ac:dyDescent="0.2">
      <c r="A674" t="str">
        <f t="shared" si="190"/>
        <v>https://shop.officineitalianezard.it/en/triumph-scrambler-1200-full-exhaust-kit-2/</v>
      </c>
      <c r="B674" t="b">
        <f>COUNTIF($A$2:$A674, A674)&gt;1</f>
        <v>0</v>
      </c>
      <c r="C674" t="b">
        <f t="shared" si="191"/>
        <v>0</v>
      </c>
      <c r="D674">
        <f>VLOOKUP(A674,variant_counts!A:B, 2, FALSE)</f>
        <v>2</v>
      </c>
      <c r="E674" t="str">
        <f t="shared" si="204"/>
        <v>zard-exhaust-full-kit-triumph-scrambler-1200-my-2019-low-mounted-version-ztph094skr</v>
      </c>
      <c r="F674" t="str">
        <f t="shared" si="192"/>
        <v>ZARD EXHAUST FULL KIT TRIUMPH SCRAMBLER 1200 M.Y. 2019 LOW MOUNTED VERSION ZTPH094SKR</v>
      </c>
      <c r="G674" t="str">
        <f t="shared" si="193"/>
        <v>&lt;p&gt;&lt;strong&gt;&lt;/strong&gt;STAINLESS STEEL&amp;nbsp;2&amp;gt;1&amp;nbsp;RACING FULL KIT WITH REMOVABLE&lt;br&gt;DB-KILLERS AND CARBON END-CAP.&lt;br&gt;&lt;br&gt;&lt;strong&gt;EURO 4 HOMOLOGATED VERSION AVAILABLE AS OPTIONAL&lt;/strong&gt;&lt;br&gt;&lt;br&gt;ORIGINAL FULL KIT WEIGHT:&amp;nbsp;10.2&lt;span&gt;&amp;nbsp;&lt;/span&gt;KG&lt;br&gt;ZARD FULL KIT WEIGHT:&amp;nbsp;5.2&lt;span&gt;&amp;nbsp;&lt;/span&gt;KG&lt;/p&gt;
&lt;p&gt;SIGNIFICANT INCREASE, COMPARED TO THE ORIGINAL EXHAUST SYSTEM,&lt;br&gt;IN TERMS OF TORQUE AND POWER AT ANY RANGE, ASTONISHING SOUND.&lt;/p&gt;
&lt;p&gt;&lt;strong&gt;NOTICE&lt;/strong&gt;:&amp;nbsp;&lt;span&gt;ALUMINIUM SIDE PANEL WITH LEATHER CASE INCLUDED&lt;/span&gt;&lt;/p&gt;</v>
      </c>
      <c r="H674" t="str">
        <f t="shared" si="205"/>
        <v>ZARD</v>
      </c>
      <c r="I674" t="str">
        <f t="shared" si="206"/>
        <v>Exhaust Pipe</v>
      </c>
      <c r="J674" t="str">
        <f t="shared" si="207"/>
        <v>Test</v>
      </c>
      <c r="K674" t="b">
        <f t="shared" si="208"/>
        <v>0</v>
      </c>
      <c r="L674" t="str">
        <f t="shared" si="194"/>
        <v/>
      </c>
      <c r="M674" t="str">
        <f t="shared" si="195"/>
        <v/>
      </c>
      <c r="R674" t="str">
        <f t="shared" si="196"/>
        <v/>
      </c>
      <c r="S674" t="str">
        <f t="shared" si="197"/>
        <v/>
      </c>
      <c r="U674" t="str">
        <f t="shared" si="198"/>
        <v/>
      </c>
      <c r="V674" t="str">
        <f t="shared" si="199"/>
        <v/>
      </c>
      <c r="W674" s="5" t="str">
        <f t="shared" si="200"/>
        <v/>
      </c>
      <c r="Y674" t="str">
        <f t="shared" si="201"/>
        <v/>
      </c>
      <c r="Z674" t="str">
        <f t="shared" si="202"/>
        <v/>
      </c>
      <c r="AB674" t="str">
        <f t="shared" si="203"/>
        <v>https://shop.officineitalianezard.it/contents/imgs/products/1_2727-scarico%20basso%20triumph%20scrambler%201200%20zard%20exhaust%20low%20mounted%20full%20kit%20exhaust.jpg</v>
      </c>
      <c r="AE674" t="b">
        <v>0</v>
      </c>
    </row>
    <row r="675" spans="1:31" x14ac:dyDescent="0.2">
      <c r="A675" t="str">
        <f t="shared" si="190"/>
        <v>https://shop.officineitalianezard.it/en/triumph-scrambler-1200-full-exhaust-kit-2/</v>
      </c>
      <c r="B675" t="b">
        <f>COUNTIF($A$2:$A675, A675)&gt;1</f>
        <v>1</v>
      </c>
      <c r="C675" t="b">
        <f t="shared" si="191"/>
        <v>0</v>
      </c>
      <c r="D675">
        <f>VLOOKUP(A675,variant_counts!A:B, 2, FALSE)</f>
        <v>2</v>
      </c>
      <c r="E675" t="str">
        <f t="shared" si="204"/>
        <v>zard-exhaust-full-kit-triumph-scrambler-1200-my-2019-low-mounted-version-ztph094skr</v>
      </c>
      <c r="F675" t="str">
        <f t="shared" si="192"/>
        <v>ZARD EXHAUST FULL KIT TRIUMPH SCRAMBLER 1200 M.Y. 2019 LOW MOUNTED VERSION ZTPH094SKR</v>
      </c>
      <c r="G675" t="str">
        <f t="shared" si="193"/>
        <v/>
      </c>
      <c r="H675" t="str">
        <f t="shared" si="205"/>
        <v/>
      </c>
      <c r="I675" t="str">
        <f t="shared" si="206"/>
        <v/>
      </c>
      <c r="J675" t="str">
        <f t="shared" si="207"/>
        <v/>
      </c>
      <c r="K675" t="str">
        <f t="shared" si="208"/>
        <v/>
      </c>
      <c r="L675" t="str">
        <f t="shared" si="194"/>
        <v/>
      </c>
      <c r="M675" t="str">
        <f t="shared" si="195"/>
        <v/>
      </c>
      <c r="R675" t="str">
        <f t="shared" si="196"/>
        <v/>
      </c>
      <c r="S675" t="str">
        <f t="shared" si="197"/>
        <v/>
      </c>
      <c r="U675" t="str">
        <f t="shared" si="198"/>
        <v/>
      </c>
      <c r="V675" t="str">
        <f t="shared" si="199"/>
        <v/>
      </c>
      <c r="W675" s="5" t="str">
        <f t="shared" si="200"/>
        <v/>
      </c>
      <c r="Y675" t="str">
        <f t="shared" si="201"/>
        <v/>
      </c>
      <c r="Z675" t="str">
        <f t="shared" si="202"/>
        <v/>
      </c>
      <c r="AB675" t="str">
        <f t="shared" si="203"/>
        <v>https://shop.officineitalianezard.it/contents/imgs/products/1_2642-scarico%20completo%20triumph%20scrambler%201200%20-%20zard%201.jpg</v>
      </c>
      <c r="AE675" t="b">
        <v>0</v>
      </c>
    </row>
    <row r="676" spans="1:31" x14ac:dyDescent="0.2">
      <c r="A676" t="str">
        <f t="shared" si="190"/>
        <v>https://shop.officineitalianezard.it/en/triumph-scrambler-1200-full-exhaust-kit-2/</v>
      </c>
      <c r="B676" t="b">
        <f>COUNTIF($A$2:$A676, A676)&gt;1</f>
        <v>1</v>
      </c>
      <c r="C676" t="b">
        <f t="shared" si="191"/>
        <v>0</v>
      </c>
      <c r="D676">
        <f>VLOOKUP(A676,variant_counts!A:B, 2, FALSE)</f>
        <v>2</v>
      </c>
      <c r="E676" t="str">
        <f t="shared" si="204"/>
        <v>zard-exhaust-full-kit-triumph-scrambler-1200-my-2019-low-mounted-version-ztph094skr</v>
      </c>
      <c r="F676" t="str">
        <f t="shared" si="192"/>
        <v>ZARD EXHAUST FULL KIT TRIUMPH SCRAMBLER 1200 M.Y. 2019 LOW MOUNTED VERSION ZTPH094SKR</v>
      </c>
      <c r="G676" t="str">
        <f t="shared" si="193"/>
        <v/>
      </c>
      <c r="H676" t="str">
        <f t="shared" si="205"/>
        <v/>
      </c>
      <c r="I676" t="str">
        <f t="shared" si="206"/>
        <v/>
      </c>
      <c r="J676" t="str">
        <f t="shared" si="207"/>
        <v/>
      </c>
      <c r="K676" t="str">
        <f t="shared" si="208"/>
        <v/>
      </c>
      <c r="L676" t="str">
        <f t="shared" si="194"/>
        <v/>
      </c>
      <c r="M676" t="str">
        <f t="shared" si="195"/>
        <v/>
      </c>
      <c r="R676" t="str">
        <f t="shared" si="196"/>
        <v/>
      </c>
      <c r="S676" t="str">
        <f t="shared" si="197"/>
        <v/>
      </c>
      <c r="U676" t="str">
        <f t="shared" si="198"/>
        <v/>
      </c>
      <c r="V676" t="str">
        <f t="shared" si="199"/>
        <v/>
      </c>
      <c r="W676" s="5" t="str">
        <f t="shared" si="200"/>
        <v/>
      </c>
      <c r="Y676" t="str">
        <f t="shared" si="201"/>
        <v/>
      </c>
      <c r="Z676" t="str">
        <f t="shared" si="202"/>
        <v/>
      </c>
      <c r="AB676" t="str">
        <f t="shared" si="203"/>
        <v>https://shop.officineitalianezard.it/contents/imgs/products/1_2643-scarico%20completo%20triumph%20scrambler%201200%20-%20zard%202.jpg</v>
      </c>
      <c r="AE676" t="b">
        <v>0</v>
      </c>
    </row>
    <row r="677" spans="1:31" x14ac:dyDescent="0.2">
      <c r="A677" t="str">
        <f t="shared" si="190"/>
        <v>https://shop.officineitalianezard.it/en/triumph-scrambler-1200-full-exhaust-kit-2/</v>
      </c>
      <c r="B677" t="b">
        <f>COUNTIF($A$2:$A677, A677)&gt;1</f>
        <v>1</v>
      </c>
      <c r="C677" t="b">
        <f t="shared" si="191"/>
        <v>0</v>
      </c>
      <c r="D677">
        <f>VLOOKUP(A677,variant_counts!A:B, 2, FALSE)</f>
        <v>2</v>
      </c>
      <c r="E677" t="str">
        <f t="shared" si="204"/>
        <v>zard-exhaust-full-kit-triumph-scrambler-1200-my-2019-low-mounted-version-ztph094skr</v>
      </c>
      <c r="F677" t="str">
        <f t="shared" si="192"/>
        <v>ZARD EXHAUST FULL KIT TRIUMPH SCRAMBLER 1200 M.Y. 2019 LOW MOUNTED VERSION ZTPH094SKR</v>
      </c>
      <c r="G677" t="str">
        <f t="shared" si="193"/>
        <v/>
      </c>
      <c r="H677" t="str">
        <f t="shared" si="205"/>
        <v/>
      </c>
      <c r="I677" t="str">
        <f t="shared" si="206"/>
        <v/>
      </c>
      <c r="J677" t="str">
        <f t="shared" si="207"/>
        <v/>
      </c>
      <c r="K677" t="str">
        <f t="shared" si="208"/>
        <v/>
      </c>
      <c r="L677" t="str">
        <f t="shared" si="194"/>
        <v/>
      </c>
      <c r="M677" t="str">
        <f t="shared" si="195"/>
        <v/>
      </c>
      <c r="R677" t="str">
        <f t="shared" si="196"/>
        <v/>
      </c>
      <c r="S677" t="str">
        <f t="shared" si="197"/>
        <v/>
      </c>
      <c r="U677" t="str">
        <f t="shared" si="198"/>
        <v/>
      </c>
      <c r="V677" t="str">
        <f t="shared" si="199"/>
        <v/>
      </c>
      <c r="W677" s="5" t="str">
        <f t="shared" si="200"/>
        <v/>
      </c>
      <c r="Y677" t="str">
        <f t="shared" si="201"/>
        <v/>
      </c>
      <c r="Z677" t="str">
        <f t="shared" si="202"/>
        <v/>
      </c>
      <c r="AB677" t="str">
        <f t="shared" si="203"/>
        <v>https://shop.officineitalianezard.it/contents/imgs/products/1_2677-scrambler%201200%20exhaust%20-%20zard%20-%20black.jpg</v>
      </c>
      <c r="AE677" t="b">
        <v>0</v>
      </c>
    </row>
    <row r="678" spans="1:31" x14ac:dyDescent="0.2">
      <c r="A678" t="str">
        <f t="shared" si="190"/>
        <v>https://shop.officineitalianezard.it/en/triumph-scrambler-1200-full-exhaust-kit-2/</v>
      </c>
      <c r="B678" t="b">
        <f>COUNTIF($A$2:$A678, A678)&gt;1</f>
        <v>1</v>
      </c>
      <c r="C678" t="b">
        <f t="shared" si="191"/>
        <v>0</v>
      </c>
      <c r="D678">
        <f>VLOOKUP(A678,variant_counts!A:B, 2, FALSE)</f>
        <v>2</v>
      </c>
      <c r="E678" t="str">
        <f t="shared" si="204"/>
        <v>zard-exhaust-full-kit-triumph-scrambler-1200-my-2019-low-mounted-version-ztph094skr</v>
      </c>
      <c r="F678" t="str">
        <f t="shared" si="192"/>
        <v>ZARD EXHAUST FULL KIT TRIUMPH SCRAMBLER 1200 M.Y. 2019 LOW MOUNTED VERSION ZTPH094SKR</v>
      </c>
      <c r="G678" t="str">
        <f t="shared" si="193"/>
        <v/>
      </c>
      <c r="H678" t="str">
        <f t="shared" si="205"/>
        <v/>
      </c>
      <c r="I678" t="str">
        <f t="shared" si="206"/>
        <v/>
      </c>
      <c r="J678" t="str">
        <f t="shared" si="207"/>
        <v/>
      </c>
      <c r="K678" t="str">
        <f t="shared" si="208"/>
        <v/>
      </c>
      <c r="L678" t="str">
        <f t="shared" si="194"/>
        <v/>
      </c>
      <c r="M678" t="str">
        <f t="shared" si="195"/>
        <v/>
      </c>
      <c r="R678" t="str">
        <f t="shared" si="196"/>
        <v/>
      </c>
      <c r="S678" t="str">
        <f t="shared" si="197"/>
        <v/>
      </c>
      <c r="U678" t="str">
        <f t="shared" si="198"/>
        <v/>
      </c>
      <c r="V678" t="str">
        <f t="shared" si="199"/>
        <v/>
      </c>
      <c r="W678" s="5" t="str">
        <f t="shared" si="200"/>
        <v/>
      </c>
      <c r="Y678" t="str">
        <f t="shared" si="201"/>
        <v/>
      </c>
      <c r="Z678" t="str">
        <f t="shared" si="202"/>
        <v/>
      </c>
      <c r="AB678" t="str">
        <f t="shared" si="203"/>
        <v>https://shop.officineitalianezard.it/contents/imgs/products/1_2644-scarico%20completo%20triumph%20scrambler%201200%20-%20zard%203.jpg</v>
      </c>
      <c r="AE678" t="b">
        <v>0</v>
      </c>
    </row>
    <row r="679" spans="1:31" x14ac:dyDescent="0.2">
      <c r="A679" t="str">
        <f t="shared" si="190"/>
        <v>https://shop.officineitalianezard.it/en/triumph-scrambler-1200-full-exhaust-kit-2/</v>
      </c>
      <c r="B679" t="b">
        <f>COUNTIF($A$2:$A679, A679)&gt;1</f>
        <v>1</v>
      </c>
      <c r="C679" t="b">
        <f t="shared" si="191"/>
        <v>1</v>
      </c>
      <c r="D679">
        <f>VLOOKUP(A679,variant_counts!A:B, 2, FALSE)</f>
        <v>2</v>
      </c>
      <c r="E679" t="str">
        <f t="shared" si="204"/>
        <v>zard-exhaust-full-kit-triumph-scrambler-1200-my-2019-low-mounted-version-ztph094skr</v>
      </c>
      <c r="F679" t="str">
        <f t="shared" si="192"/>
        <v>ZARD EXHAUST FULL KIT TRIUMPH SCRAMBLER 1200 M.Y. 2019 LOW MOUNTED VERSION ZTPH094SKR</v>
      </c>
      <c r="G679" t="str">
        <f t="shared" si="193"/>
        <v/>
      </c>
      <c r="H679" t="str">
        <f t="shared" si="205"/>
        <v/>
      </c>
      <c r="I679" t="str">
        <f t="shared" si="206"/>
        <v/>
      </c>
      <c r="J679" t="str">
        <f t="shared" si="207"/>
        <v/>
      </c>
      <c r="K679" t="str">
        <f t="shared" si="208"/>
        <v/>
      </c>
      <c r="L679" t="str">
        <f t="shared" si="194"/>
        <v>Option</v>
      </c>
      <c r="M679" t="str">
        <f t="shared" si="195"/>
        <v>BLACK COATING</v>
      </c>
      <c r="R679" t="str">
        <f t="shared" si="196"/>
        <v>ZTPH094SKR</v>
      </c>
      <c r="S679">
        <f t="shared" si="197"/>
        <v>0</v>
      </c>
      <c r="U679" t="str">
        <f t="shared" si="198"/>
        <v>continue</v>
      </c>
      <c r="V679" t="str">
        <f t="shared" si="199"/>
        <v>manual</v>
      </c>
      <c r="W679" s="5">
        <f t="shared" si="200"/>
        <v>1352.9235000000003</v>
      </c>
      <c r="Y679" t="b">
        <f t="shared" si="201"/>
        <v>1</v>
      </c>
      <c r="Z679" t="b">
        <f t="shared" si="202"/>
        <v>0</v>
      </c>
      <c r="AB679" t="str">
        <f t="shared" si="203"/>
        <v/>
      </c>
      <c r="AE679" t="b">
        <v>0</v>
      </c>
    </row>
    <row r="680" spans="1:31" x14ac:dyDescent="0.2">
      <c r="A680" t="str">
        <f t="shared" si="190"/>
        <v>https://shop.officineitalianezard.it/en/triumph-scrambler-1200-full-exhaust-kit-2/</v>
      </c>
      <c r="B680" t="b">
        <f>COUNTIF($A$2:$A680, A680)&gt;1</f>
        <v>1</v>
      </c>
      <c r="C680" t="b">
        <f t="shared" si="191"/>
        <v>1</v>
      </c>
      <c r="D680">
        <f>VLOOKUP(A680,variant_counts!A:B, 2, FALSE)</f>
        <v>2</v>
      </c>
      <c r="E680" t="str">
        <f t="shared" si="204"/>
        <v>zard-exhaust-full-kit-triumph-scrambler-1200-my-2019-low-mounted-version-ztph094skr</v>
      </c>
      <c r="F680" t="str">
        <f t="shared" si="192"/>
        <v>ZARD EXHAUST FULL KIT TRIUMPH SCRAMBLER 1200 M.Y. 2019 LOW MOUNTED VERSION ZTPH094SKR</v>
      </c>
      <c r="G680" t="str">
        <f t="shared" si="193"/>
        <v/>
      </c>
      <c r="H680" t="str">
        <f t="shared" si="205"/>
        <v/>
      </c>
      <c r="I680" t="str">
        <f t="shared" si="206"/>
        <v/>
      </c>
      <c r="J680" t="str">
        <f t="shared" si="207"/>
        <v/>
      </c>
      <c r="K680" t="str">
        <f t="shared" si="208"/>
        <v/>
      </c>
      <c r="L680" t="str">
        <f t="shared" si="194"/>
        <v>Option</v>
      </c>
      <c r="M680" t="str">
        <f t="shared" si="195"/>
        <v>EURO 4 HOMOLOGATED</v>
      </c>
      <c r="R680" t="str">
        <f t="shared" si="196"/>
        <v>ZTPH094SKR</v>
      </c>
      <c r="S680">
        <f t="shared" si="197"/>
        <v>0</v>
      </c>
      <c r="U680" t="str">
        <f t="shared" si="198"/>
        <v>continue</v>
      </c>
      <c r="V680" t="str">
        <f t="shared" si="199"/>
        <v>manual</v>
      </c>
      <c r="W680" s="5">
        <f t="shared" si="200"/>
        <v>1342.9224000000004</v>
      </c>
      <c r="Y680" t="b">
        <f t="shared" si="201"/>
        <v>1</v>
      </c>
      <c r="Z680" t="b">
        <f t="shared" si="202"/>
        <v>0</v>
      </c>
      <c r="AB680" t="str">
        <f t="shared" si="203"/>
        <v/>
      </c>
      <c r="AE680" t="b">
        <v>0</v>
      </c>
    </row>
    <row r="681" spans="1:31" x14ac:dyDescent="0.2">
      <c r="A681" t="str">
        <f t="shared" si="190"/>
        <v>https://shop.officineitalianezard.it/en/sport-inox-full-kit-kit-3-1/</v>
      </c>
      <c r="B681" t="b">
        <f>COUNTIF($A$2:$A681, A681)&gt;1</f>
        <v>0</v>
      </c>
      <c r="C681" t="b">
        <f t="shared" si="191"/>
        <v>0</v>
      </c>
      <c r="D681">
        <f>VLOOKUP(A681,variant_counts!A:B, 2, FALSE)</f>
        <v>2</v>
      </c>
      <c r="E681" t="str">
        <f t="shared" si="204"/>
        <v>zard-exhaust-06-18-full-kit-triumph-rocket-iii-sport-version-ztph500sks</v>
      </c>
      <c r="F681" t="str">
        <f t="shared" si="192"/>
        <v>ZARD EXHAUST 06-18 FULL KIT TRIUMPH ROCKET III SPORT VERSION ZTPH500SKS</v>
      </c>
      <c r="G681" t="str">
        <f t="shared" si="193"/>
        <v>&lt;p&gt;3&amp;gt;1 STEEL RACING FULL KIT SPORT VERSION&lt;/p&gt;
&lt;p&gt;ORIGINAL EXHAUST SYSTEM WEIGHT: KG 21.5&lt;br&gt;ZARD EXHAUST SYSTEM WEIGHT: KG 4.3&lt;/p&gt;
&lt;p&gt;HARD INCREASE IN TERMS OF TORQUE AT LOW-RANGE/MID-RANGE AND + 1.5 HP COMPARED TO THE ORIGINAL SYSTEM.&lt;/p&gt;
&lt;p&gt;ASTONISHING SOUND.&lt;/p&gt;</v>
      </c>
      <c r="H681" t="str">
        <f t="shared" si="205"/>
        <v>ZARD</v>
      </c>
      <c r="I681" t="str">
        <f t="shared" si="206"/>
        <v>Exhaust Pipe</v>
      </c>
      <c r="J681" t="str">
        <f t="shared" si="207"/>
        <v>Test</v>
      </c>
      <c r="K681" t="b">
        <f t="shared" si="208"/>
        <v>0</v>
      </c>
      <c r="L681" t="str">
        <f t="shared" si="194"/>
        <v/>
      </c>
      <c r="M681" t="str">
        <f t="shared" si="195"/>
        <v/>
      </c>
      <c r="R681" t="str">
        <f t="shared" si="196"/>
        <v/>
      </c>
      <c r="S681" t="str">
        <f t="shared" si="197"/>
        <v/>
      </c>
      <c r="U681" t="str">
        <f t="shared" si="198"/>
        <v/>
      </c>
      <c r="V681" t="str">
        <f t="shared" si="199"/>
        <v/>
      </c>
      <c r="W681" s="5" t="str">
        <f t="shared" si="200"/>
        <v/>
      </c>
      <c r="Y681" t="str">
        <f t="shared" si="201"/>
        <v/>
      </c>
      <c r="Z681" t="str">
        <f t="shared" si="202"/>
        <v/>
      </c>
      <c r="AB681" t="str">
        <f t="shared" si="203"/>
        <v>https://shop.officineitalianezard.it/contents/imgs/products/1_69-2.jpg</v>
      </c>
      <c r="AE681" t="b">
        <v>0</v>
      </c>
    </row>
    <row r="682" spans="1:31" x14ac:dyDescent="0.2">
      <c r="A682" t="str">
        <f t="shared" si="190"/>
        <v>https://shop.officineitalianezard.it/en/sport-inox-full-kit-kit-3-1/</v>
      </c>
      <c r="B682" t="b">
        <f>COUNTIF($A$2:$A682, A682)&gt;1</f>
        <v>1</v>
      </c>
      <c r="C682" t="b">
        <f t="shared" si="191"/>
        <v>0</v>
      </c>
      <c r="D682">
        <f>VLOOKUP(A682,variant_counts!A:B, 2, FALSE)</f>
        <v>2</v>
      </c>
      <c r="E682" t="str">
        <f t="shared" si="204"/>
        <v>zard-exhaust-06-18-full-kit-triumph-rocket-iii-sport-version-ztph500sks</v>
      </c>
      <c r="F682" t="str">
        <f t="shared" si="192"/>
        <v>ZARD EXHAUST 06-18 FULL KIT TRIUMPH ROCKET III SPORT VERSION ZTPH500SKS</v>
      </c>
      <c r="G682" t="str">
        <f t="shared" si="193"/>
        <v/>
      </c>
      <c r="H682" t="str">
        <f t="shared" si="205"/>
        <v/>
      </c>
      <c r="I682" t="str">
        <f t="shared" si="206"/>
        <v/>
      </c>
      <c r="J682" t="str">
        <f t="shared" si="207"/>
        <v/>
      </c>
      <c r="K682" t="str">
        <f t="shared" si="208"/>
        <v/>
      </c>
      <c r="L682" t="str">
        <f t="shared" si="194"/>
        <v/>
      </c>
      <c r="M682" t="str">
        <f t="shared" si="195"/>
        <v/>
      </c>
      <c r="R682" t="str">
        <f t="shared" si="196"/>
        <v/>
      </c>
      <c r="S682" t="str">
        <f t="shared" si="197"/>
        <v/>
      </c>
      <c r="U682" t="str">
        <f t="shared" si="198"/>
        <v/>
      </c>
      <c r="V682" t="str">
        <f t="shared" si="199"/>
        <v/>
      </c>
      <c r="W682" s="5" t="str">
        <f t="shared" si="200"/>
        <v/>
      </c>
      <c r="Y682" t="str">
        <f t="shared" si="201"/>
        <v/>
      </c>
      <c r="Z682" t="str">
        <f t="shared" si="202"/>
        <v/>
      </c>
      <c r="AB682" t="str">
        <f t="shared" si="203"/>
        <v>https://shop.officineitalianezard.it/contents/imgs/products/1_477-intera.jpg</v>
      </c>
      <c r="AE682" t="b">
        <v>0</v>
      </c>
    </row>
    <row r="683" spans="1:31" x14ac:dyDescent="0.2">
      <c r="A683" t="str">
        <f t="shared" si="190"/>
        <v>https://shop.officineitalianezard.it/en/sport-inox-full-kit-kit-3-1/</v>
      </c>
      <c r="B683" t="b">
        <f>COUNTIF($A$2:$A683, A683)&gt;1</f>
        <v>1</v>
      </c>
      <c r="C683" t="b">
        <f t="shared" si="191"/>
        <v>0</v>
      </c>
      <c r="D683">
        <f>VLOOKUP(A683,variant_counts!A:B, 2, FALSE)</f>
        <v>2</v>
      </c>
      <c r="E683" t="str">
        <f t="shared" si="204"/>
        <v>zard-exhaust-06-18-full-kit-triumph-rocket-iii-sport-version-ztph500sks</v>
      </c>
      <c r="F683" t="str">
        <f t="shared" si="192"/>
        <v>ZARD EXHAUST 06-18 FULL KIT TRIUMPH ROCKET III SPORT VERSION ZTPH500SKS</v>
      </c>
      <c r="G683" t="str">
        <f t="shared" si="193"/>
        <v/>
      </c>
      <c r="H683" t="str">
        <f t="shared" si="205"/>
        <v/>
      </c>
      <c r="I683" t="str">
        <f t="shared" si="206"/>
        <v/>
      </c>
      <c r="J683" t="str">
        <f t="shared" si="207"/>
        <v/>
      </c>
      <c r="K683" t="str">
        <f t="shared" si="208"/>
        <v/>
      </c>
      <c r="L683" t="str">
        <f t="shared" si="194"/>
        <v/>
      </c>
      <c r="M683" t="str">
        <f t="shared" si="195"/>
        <v/>
      </c>
      <c r="R683" t="str">
        <f t="shared" si="196"/>
        <v/>
      </c>
      <c r="S683" t="str">
        <f t="shared" si="197"/>
        <v/>
      </c>
      <c r="U683" t="str">
        <f t="shared" si="198"/>
        <v/>
      </c>
      <c r="V683" t="str">
        <f t="shared" si="199"/>
        <v/>
      </c>
      <c r="W683" s="5" t="str">
        <f t="shared" si="200"/>
        <v/>
      </c>
      <c r="Y683" t="str">
        <f t="shared" si="201"/>
        <v/>
      </c>
      <c r="Z683" t="str">
        <f t="shared" si="202"/>
        <v/>
      </c>
      <c r="AB683" t="str">
        <f t="shared" si="203"/>
        <v>https://shop.officineitalianezard.it/contents/imgs/products/1_478-terminale.jpg</v>
      </c>
      <c r="AE683" t="b">
        <v>0</v>
      </c>
    </row>
    <row r="684" spans="1:31" x14ac:dyDescent="0.2">
      <c r="A684" t="str">
        <f t="shared" si="190"/>
        <v>https://shop.officineitalianezard.it/en/sport-inox-full-kit-kit-3-1/</v>
      </c>
      <c r="B684" t="b">
        <f>COUNTIF($A$2:$A684, A684)&gt;1</f>
        <v>1</v>
      </c>
      <c r="C684" t="b">
        <f t="shared" si="191"/>
        <v>0</v>
      </c>
      <c r="D684">
        <f>VLOOKUP(A684,variant_counts!A:B, 2, FALSE)</f>
        <v>2</v>
      </c>
      <c r="E684" t="str">
        <f t="shared" si="204"/>
        <v>zard-exhaust-06-18-full-kit-triumph-rocket-iii-sport-version-ztph500sks</v>
      </c>
      <c r="F684" t="str">
        <f t="shared" si="192"/>
        <v>ZARD EXHAUST 06-18 FULL KIT TRIUMPH ROCKET III SPORT VERSION ZTPH500SKS</v>
      </c>
      <c r="G684" t="str">
        <f t="shared" si="193"/>
        <v/>
      </c>
      <c r="H684" t="str">
        <f t="shared" si="205"/>
        <v/>
      </c>
      <c r="I684" t="str">
        <f t="shared" si="206"/>
        <v/>
      </c>
      <c r="J684" t="str">
        <f t="shared" si="207"/>
        <v/>
      </c>
      <c r="K684" t="str">
        <f t="shared" si="208"/>
        <v/>
      </c>
      <c r="L684" t="str">
        <f t="shared" si="194"/>
        <v/>
      </c>
      <c r="M684" t="str">
        <f t="shared" si="195"/>
        <v/>
      </c>
      <c r="R684" t="str">
        <f t="shared" si="196"/>
        <v/>
      </c>
      <c r="S684" t="str">
        <f t="shared" si="197"/>
        <v/>
      </c>
      <c r="U684" t="str">
        <f t="shared" si="198"/>
        <v/>
      </c>
      <c r="V684" t="str">
        <f t="shared" si="199"/>
        <v/>
      </c>
      <c r="W684" s="5" t="str">
        <f t="shared" si="200"/>
        <v/>
      </c>
      <c r="Y684" t="str">
        <f t="shared" si="201"/>
        <v/>
      </c>
      <c r="Z684" t="str">
        <f t="shared" si="202"/>
        <v/>
      </c>
      <c r="AB684" t="str">
        <f t="shared" si="203"/>
        <v>https://shop.officineitalianezard.it/contents/imgs/products/1_476-foto.jpg</v>
      </c>
      <c r="AE684" t="b">
        <v>0</v>
      </c>
    </row>
    <row r="685" spans="1:31" x14ac:dyDescent="0.2">
      <c r="A685" t="str">
        <f t="shared" si="190"/>
        <v>https://shop.officineitalianezard.it/en/sport-inox-full-kit-kit-3-1/</v>
      </c>
      <c r="B685" t="b">
        <f>COUNTIF($A$2:$A685, A685)&gt;1</f>
        <v>1</v>
      </c>
      <c r="C685" t="b">
        <f t="shared" si="191"/>
        <v>1</v>
      </c>
      <c r="D685">
        <f>VLOOKUP(A685,variant_counts!A:B, 2, FALSE)</f>
        <v>2</v>
      </c>
      <c r="E685" t="str">
        <f t="shared" si="204"/>
        <v>zard-exhaust-06-18-full-kit-triumph-rocket-iii-sport-version-ztph500sks</v>
      </c>
      <c r="F685" t="str">
        <f t="shared" si="192"/>
        <v>ZARD EXHAUST 06-18 FULL KIT TRIUMPH ROCKET III SPORT VERSION ZTPH500SKS</v>
      </c>
      <c r="G685" t="str">
        <f t="shared" si="193"/>
        <v/>
      </c>
      <c r="H685" t="str">
        <f t="shared" si="205"/>
        <v/>
      </c>
      <c r="I685" t="str">
        <f t="shared" si="206"/>
        <v/>
      </c>
      <c r="J685" t="str">
        <f t="shared" si="207"/>
        <v/>
      </c>
      <c r="K685" t="str">
        <f t="shared" si="208"/>
        <v/>
      </c>
      <c r="L685" t="str">
        <f t="shared" si="194"/>
        <v>Option</v>
      </c>
      <c r="M685" t="str">
        <f t="shared" si="195"/>
        <v>EURO 3 HOMOLOGATED</v>
      </c>
      <c r="R685" t="str">
        <f t="shared" si="196"/>
        <v>ZTPH500SKS</v>
      </c>
      <c r="S685">
        <f t="shared" si="197"/>
        <v>0</v>
      </c>
      <c r="U685" t="str">
        <f t="shared" si="198"/>
        <v>continue</v>
      </c>
      <c r="V685" t="str">
        <f t="shared" si="199"/>
        <v>manual</v>
      </c>
      <c r="W685" s="5">
        <f t="shared" si="200"/>
        <v>2150.7582000000002</v>
      </c>
      <c r="Y685" t="b">
        <f t="shared" si="201"/>
        <v>1</v>
      </c>
      <c r="Z685" t="b">
        <f t="shared" si="202"/>
        <v>0</v>
      </c>
      <c r="AB685" t="str">
        <f t="shared" si="203"/>
        <v/>
      </c>
      <c r="AE685" t="b">
        <v>0</v>
      </c>
    </row>
    <row r="686" spans="1:31" x14ac:dyDescent="0.2">
      <c r="A686" t="str">
        <f t="shared" si="190"/>
        <v>https://shop.officineitalianezard.it/en/sport-inox-full-kit-kit-3-1/</v>
      </c>
      <c r="B686" t="b">
        <f>COUNTIF($A$2:$A686, A686)&gt;1</f>
        <v>1</v>
      </c>
      <c r="C686" t="b">
        <f t="shared" si="191"/>
        <v>1</v>
      </c>
      <c r="D686">
        <f>VLOOKUP(A686,variant_counts!A:B, 2, FALSE)</f>
        <v>2</v>
      </c>
      <c r="E686" t="str">
        <f t="shared" si="204"/>
        <v>zard-exhaust-06-18-full-kit-triumph-rocket-iii-sport-version-ztph500sks</v>
      </c>
      <c r="F686" t="str">
        <f t="shared" si="192"/>
        <v>ZARD EXHAUST 06-18 FULL KIT TRIUMPH ROCKET III SPORT VERSION ZTPH500SKS</v>
      </c>
      <c r="G686" t="str">
        <f t="shared" si="193"/>
        <v/>
      </c>
      <c r="H686" t="str">
        <f t="shared" si="205"/>
        <v/>
      </c>
      <c r="I686" t="str">
        <f t="shared" si="206"/>
        <v/>
      </c>
      <c r="J686" t="str">
        <f t="shared" si="207"/>
        <v/>
      </c>
      <c r="K686" t="str">
        <f t="shared" si="208"/>
        <v/>
      </c>
      <c r="L686" t="str">
        <f t="shared" si="194"/>
        <v>Option</v>
      </c>
      <c r="M686" t="str">
        <f t="shared" si="195"/>
        <v>BLACK COATING</v>
      </c>
      <c r="R686" t="str">
        <f t="shared" si="196"/>
        <v>ZTPH500SKS</v>
      </c>
      <c r="S686">
        <f t="shared" si="197"/>
        <v>0</v>
      </c>
      <c r="U686" t="str">
        <f t="shared" si="198"/>
        <v>continue</v>
      </c>
      <c r="V686" t="str">
        <f t="shared" si="199"/>
        <v>manual</v>
      </c>
      <c r="W686" s="5">
        <f t="shared" si="200"/>
        <v>2125.3725000000004</v>
      </c>
      <c r="Y686" t="b">
        <f t="shared" si="201"/>
        <v>1</v>
      </c>
      <c r="Z686" t="b">
        <f t="shared" si="202"/>
        <v>0</v>
      </c>
      <c r="AB686" t="str">
        <f t="shared" si="203"/>
        <v/>
      </c>
      <c r="AE686" t="b">
        <v>0</v>
      </c>
    </row>
    <row r="687" spans="1:31" x14ac:dyDescent="0.2">
      <c r="A687" t="str">
        <f t="shared" si="190"/>
        <v>https://shop.officineitalianezard.it/en/conical-full-sport-kit-3-1-snake-welded/</v>
      </c>
      <c r="B687" t="b">
        <f>COUNTIF($A$2:$A687, A687)&gt;1</f>
        <v>0</v>
      </c>
      <c r="C687" t="b">
        <f t="shared" si="191"/>
        <v>0</v>
      </c>
      <c r="D687">
        <f>VLOOKUP(A687,variant_counts!A:B, 2, FALSE)</f>
        <v>2</v>
      </c>
      <c r="E687" t="str">
        <f t="shared" si="204"/>
        <v>zard-exhaust-06-18-full-kit-triumph-rocket-iii-sport-version-snakewelded-ztph501sks</v>
      </c>
      <c r="F687" t="str">
        <f t="shared" si="192"/>
        <v>ZARD EXHAUST 06-18 FULL KIT TRIUMPH ROCKET III SPORT VERSION SNAKE WELDED ZTPH501SKS</v>
      </c>
      <c r="G687" t="str">
        <f t="shared" si="193"/>
        <v>&lt;p&gt;STEEL 3&amp;gt;1 SNAKE WELDED FULL KIT RACING&amp;nbsp;&lt;/p&gt;
&lt;p&gt;ORIGINAL EXHAUST SYSTEM WEIGHT: KG 21.5&lt;br&gt;ZARD EXHAUST SYSTEM WEIGHT: KG 4.3&lt;/p&gt;
&lt;p&gt;THE EXHAUST CAN BE FITTED ON ROADSTER AND TOURING VERSIONS.&lt;/p&gt;
&lt;p&gt;HARD INCREASE IN TERMS OF TORQUE AT LOW-RANGE/MID-RANGE AND + 1.5 HP COMPARED TO THE ORIGINAL SYSTEM.&lt;/p&gt;
&lt;p&gt;ASTONISHING SOUND.&lt;/p&gt;</v>
      </c>
      <c r="H687" t="str">
        <f t="shared" si="205"/>
        <v>ZARD</v>
      </c>
      <c r="I687" t="str">
        <f t="shared" si="206"/>
        <v>Exhaust Pipe</v>
      </c>
      <c r="J687" t="str">
        <f t="shared" si="207"/>
        <v>Test</v>
      </c>
      <c r="K687" t="b">
        <f t="shared" si="208"/>
        <v>0</v>
      </c>
      <c r="L687" t="str">
        <f t="shared" si="194"/>
        <v/>
      </c>
      <c r="M687" t="str">
        <f t="shared" si="195"/>
        <v/>
      </c>
      <c r="R687" t="str">
        <f t="shared" si="196"/>
        <v/>
      </c>
      <c r="S687" t="str">
        <f t="shared" si="197"/>
        <v/>
      </c>
      <c r="U687" t="str">
        <f t="shared" si="198"/>
        <v/>
      </c>
      <c r="V687" t="str">
        <f t="shared" si="199"/>
        <v/>
      </c>
      <c r="W687" s="5" t="str">
        <f t="shared" si="200"/>
        <v/>
      </c>
      <c r="Y687" t="str">
        <f t="shared" si="201"/>
        <v/>
      </c>
      <c r="Z687" t="str">
        <f t="shared" si="202"/>
        <v/>
      </c>
      <c r="AB687" t="str">
        <f t="shared" si="203"/>
        <v>https://shop.officineitalianezard.it/contents/imgs/products/1_70-1ROCKET.jpg</v>
      </c>
      <c r="AE687" t="b">
        <v>0</v>
      </c>
    </row>
    <row r="688" spans="1:31" x14ac:dyDescent="0.2">
      <c r="A688" t="str">
        <f t="shared" si="190"/>
        <v>https://shop.officineitalianezard.it/en/conical-full-sport-kit-3-1-snake-welded/</v>
      </c>
      <c r="B688" t="b">
        <f>COUNTIF($A$2:$A688, A688)&gt;1</f>
        <v>1</v>
      </c>
      <c r="C688" t="b">
        <f t="shared" si="191"/>
        <v>0</v>
      </c>
      <c r="D688">
        <f>VLOOKUP(A688,variant_counts!A:B, 2, FALSE)</f>
        <v>2</v>
      </c>
      <c r="E688" t="str">
        <f t="shared" si="204"/>
        <v>zard-exhaust-06-18-full-kit-triumph-rocket-iii-sport-version-snakewelded-ztph501sks</v>
      </c>
      <c r="F688" t="str">
        <f t="shared" si="192"/>
        <v>ZARD EXHAUST 06-18 FULL KIT TRIUMPH ROCKET III SPORT VERSION SNAKE WELDED ZTPH501SKS</v>
      </c>
      <c r="G688" t="str">
        <f t="shared" si="193"/>
        <v/>
      </c>
      <c r="H688" t="str">
        <f t="shared" si="205"/>
        <v/>
      </c>
      <c r="I688" t="str">
        <f t="shared" si="206"/>
        <v/>
      </c>
      <c r="J688" t="str">
        <f t="shared" si="207"/>
        <v/>
      </c>
      <c r="K688" t="str">
        <f t="shared" si="208"/>
        <v/>
      </c>
      <c r="L688" t="str">
        <f t="shared" si="194"/>
        <v/>
      </c>
      <c r="M688" t="str">
        <f t="shared" si="195"/>
        <v/>
      </c>
      <c r="R688" t="str">
        <f t="shared" si="196"/>
        <v/>
      </c>
      <c r="S688" t="str">
        <f t="shared" si="197"/>
        <v/>
      </c>
      <c r="U688" t="str">
        <f t="shared" si="198"/>
        <v/>
      </c>
      <c r="V688" t="str">
        <f t="shared" si="199"/>
        <v/>
      </c>
      <c r="W688" s="5" t="str">
        <f t="shared" si="200"/>
        <v/>
      </c>
      <c r="Y688" t="str">
        <f t="shared" si="201"/>
        <v/>
      </c>
      <c r="Z688" t="str">
        <f t="shared" si="202"/>
        <v/>
      </c>
      <c r="AB688" t="str">
        <f t="shared" si="203"/>
        <v>https://shop.officineitalianezard.it/contents/imgs/products/1_71-rocket-kit-laterale-003.jpg</v>
      </c>
      <c r="AE688" t="b">
        <v>0</v>
      </c>
    </row>
    <row r="689" spans="1:31" x14ac:dyDescent="0.2">
      <c r="A689" t="str">
        <f t="shared" si="190"/>
        <v>https://shop.officineitalianezard.it/en/conical-full-sport-kit-3-1-snake-welded/</v>
      </c>
      <c r="B689" t="b">
        <f>COUNTIF($A$2:$A689, A689)&gt;1</f>
        <v>1</v>
      </c>
      <c r="C689" t="b">
        <f t="shared" si="191"/>
        <v>0</v>
      </c>
      <c r="D689">
        <f>VLOOKUP(A689,variant_counts!A:B, 2, FALSE)</f>
        <v>2</v>
      </c>
      <c r="E689" t="str">
        <f t="shared" si="204"/>
        <v>zard-exhaust-06-18-full-kit-triumph-rocket-iii-sport-version-snakewelded-ztph501sks</v>
      </c>
      <c r="F689" t="str">
        <f t="shared" si="192"/>
        <v>ZARD EXHAUST 06-18 FULL KIT TRIUMPH ROCKET III SPORT VERSION SNAKE WELDED ZTPH501SKS</v>
      </c>
      <c r="G689" t="str">
        <f t="shared" si="193"/>
        <v/>
      </c>
      <c r="H689" t="str">
        <f t="shared" si="205"/>
        <v/>
      </c>
      <c r="I689" t="str">
        <f t="shared" si="206"/>
        <v/>
      </c>
      <c r="J689" t="str">
        <f t="shared" si="207"/>
        <v/>
      </c>
      <c r="K689" t="str">
        <f t="shared" si="208"/>
        <v/>
      </c>
      <c r="L689" t="str">
        <f t="shared" si="194"/>
        <v/>
      </c>
      <c r="M689" t="str">
        <f t="shared" si="195"/>
        <v/>
      </c>
      <c r="R689" t="str">
        <f t="shared" si="196"/>
        <v/>
      </c>
      <c r="S689" t="str">
        <f t="shared" si="197"/>
        <v/>
      </c>
      <c r="U689" t="str">
        <f t="shared" si="198"/>
        <v/>
      </c>
      <c r="V689" t="str">
        <f t="shared" si="199"/>
        <v/>
      </c>
      <c r="W689" s="5" t="str">
        <f t="shared" si="200"/>
        <v/>
      </c>
      <c r="Y689" t="str">
        <f t="shared" si="201"/>
        <v/>
      </c>
      <c r="Z689" t="str">
        <f t="shared" si="202"/>
        <v/>
      </c>
      <c r="AB689" t="str">
        <f t="shared" si="203"/>
        <v>https://shop.officineitalianezard.it/contents/imgs/products/1_72-rocket-kit-laterale-00444.jpg</v>
      </c>
      <c r="AE689" t="b">
        <v>0</v>
      </c>
    </row>
    <row r="690" spans="1:31" x14ac:dyDescent="0.2">
      <c r="A690" t="str">
        <f t="shared" si="190"/>
        <v>https://shop.officineitalianezard.it/en/conical-full-sport-kit-3-1-snake-welded/</v>
      </c>
      <c r="B690" t="b">
        <f>COUNTIF($A$2:$A690, A690)&gt;1</f>
        <v>1</v>
      </c>
      <c r="C690" t="b">
        <f t="shared" si="191"/>
        <v>0</v>
      </c>
      <c r="D690">
        <f>VLOOKUP(A690,variant_counts!A:B, 2, FALSE)</f>
        <v>2</v>
      </c>
      <c r="E690" t="str">
        <f t="shared" si="204"/>
        <v>zard-exhaust-06-18-full-kit-triumph-rocket-iii-sport-version-snakewelded-ztph501sks</v>
      </c>
      <c r="F690" t="str">
        <f t="shared" si="192"/>
        <v>ZARD EXHAUST 06-18 FULL KIT TRIUMPH ROCKET III SPORT VERSION SNAKE WELDED ZTPH501SKS</v>
      </c>
      <c r="G690" t="str">
        <f t="shared" si="193"/>
        <v/>
      </c>
      <c r="H690" t="str">
        <f t="shared" si="205"/>
        <v/>
      </c>
      <c r="I690" t="str">
        <f t="shared" si="206"/>
        <v/>
      </c>
      <c r="J690" t="str">
        <f t="shared" si="207"/>
        <v/>
      </c>
      <c r="K690" t="str">
        <f t="shared" si="208"/>
        <v/>
      </c>
      <c r="L690" t="str">
        <f t="shared" si="194"/>
        <v/>
      </c>
      <c r="M690" t="str">
        <f t="shared" si="195"/>
        <v/>
      </c>
      <c r="R690" t="str">
        <f t="shared" si="196"/>
        <v/>
      </c>
      <c r="S690" t="str">
        <f t="shared" si="197"/>
        <v/>
      </c>
      <c r="U690" t="str">
        <f t="shared" si="198"/>
        <v/>
      </c>
      <c r="V690" t="str">
        <f t="shared" si="199"/>
        <v/>
      </c>
      <c r="W690" s="5" t="str">
        <f t="shared" si="200"/>
        <v/>
      </c>
      <c r="Y690" t="str">
        <f t="shared" si="201"/>
        <v/>
      </c>
      <c r="Z690" t="str">
        <f t="shared" si="202"/>
        <v/>
      </c>
      <c r="AB690" t="str">
        <f t="shared" si="203"/>
        <v>https://shop.officineitalianezard.it/contents/imgs/products/1_73-rocket2010-3_0.jpg</v>
      </c>
      <c r="AE690" t="b">
        <v>0</v>
      </c>
    </row>
    <row r="691" spans="1:31" x14ac:dyDescent="0.2">
      <c r="A691" t="str">
        <f t="shared" si="190"/>
        <v>https://shop.officineitalianezard.it/en/conical-full-sport-kit-3-1-snake-welded/</v>
      </c>
      <c r="B691" t="b">
        <f>COUNTIF($A$2:$A691, A691)&gt;1</f>
        <v>1</v>
      </c>
      <c r="C691" t="b">
        <f t="shared" si="191"/>
        <v>0</v>
      </c>
      <c r="D691">
        <f>VLOOKUP(A691,variant_counts!A:B, 2, FALSE)</f>
        <v>2</v>
      </c>
      <c r="E691" t="str">
        <f t="shared" si="204"/>
        <v>zard-exhaust-06-18-full-kit-triumph-rocket-iii-sport-version-snakewelded-ztph501sks</v>
      </c>
      <c r="F691" t="str">
        <f t="shared" si="192"/>
        <v>ZARD EXHAUST 06-18 FULL KIT TRIUMPH ROCKET III SPORT VERSION SNAKE WELDED ZTPH501SKS</v>
      </c>
      <c r="G691" t="str">
        <f t="shared" si="193"/>
        <v/>
      </c>
      <c r="H691" t="str">
        <f t="shared" si="205"/>
        <v/>
      </c>
      <c r="I691" t="str">
        <f t="shared" si="206"/>
        <v/>
      </c>
      <c r="J691" t="str">
        <f t="shared" si="207"/>
        <v/>
      </c>
      <c r="K691" t="str">
        <f t="shared" si="208"/>
        <v/>
      </c>
      <c r="L691" t="str">
        <f t="shared" si="194"/>
        <v/>
      </c>
      <c r="M691" t="str">
        <f t="shared" si="195"/>
        <v/>
      </c>
      <c r="R691" t="str">
        <f t="shared" si="196"/>
        <v/>
      </c>
      <c r="S691" t="str">
        <f t="shared" si="197"/>
        <v/>
      </c>
      <c r="U691" t="str">
        <f t="shared" si="198"/>
        <v/>
      </c>
      <c r="V691" t="str">
        <f t="shared" si="199"/>
        <v/>
      </c>
      <c r="W691" s="5" t="str">
        <f t="shared" si="200"/>
        <v/>
      </c>
      <c r="Y691" t="str">
        <f t="shared" si="201"/>
        <v/>
      </c>
      <c r="Z691" t="str">
        <f t="shared" si="202"/>
        <v/>
      </c>
      <c r="AB691" t="str">
        <f t="shared" si="203"/>
        <v>https://shop.officineitalianezard.it/contents/imgs/products/1_74-rocket2010-2_0.jpg</v>
      </c>
      <c r="AE691" t="b">
        <v>0</v>
      </c>
    </row>
    <row r="692" spans="1:31" x14ac:dyDescent="0.2">
      <c r="A692" t="str">
        <f t="shared" si="190"/>
        <v>https://shop.officineitalianezard.it/en/conical-full-sport-kit-3-1-snake-welded/</v>
      </c>
      <c r="B692" t="b">
        <f>COUNTIF($A$2:$A692, A692)&gt;1</f>
        <v>1</v>
      </c>
      <c r="C692" t="b">
        <f t="shared" si="191"/>
        <v>0</v>
      </c>
      <c r="D692">
        <f>VLOOKUP(A692,variant_counts!A:B, 2, FALSE)</f>
        <v>2</v>
      </c>
      <c r="E692" t="str">
        <f t="shared" si="204"/>
        <v>zard-exhaust-06-18-full-kit-triumph-rocket-iii-sport-version-snakewelded-ztph501sks</v>
      </c>
      <c r="F692" t="str">
        <f t="shared" si="192"/>
        <v>ZARD EXHAUST 06-18 FULL KIT TRIUMPH ROCKET III SPORT VERSION SNAKE WELDED ZTPH501SKS</v>
      </c>
      <c r="G692" t="str">
        <f t="shared" si="193"/>
        <v/>
      </c>
      <c r="H692" t="str">
        <f t="shared" si="205"/>
        <v/>
      </c>
      <c r="I692" t="str">
        <f t="shared" si="206"/>
        <v/>
      </c>
      <c r="J692" t="str">
        <f t="shared" si="207"/>
        <v/>
      </c>
      <c r="K692" t="str">
        <f t="shared" si="208"/>
        <v/>
      </c>
      <c r="L692" t="str">
        <f t="shared" si="194"/>
        <v/>
      </c>
      <c r="M692" t="str">
        <f t="shared" si="195"/>
        <v/>
      </c>
      <c r="R692" t="str">
        <f t="shared" si="196"/>
        <v/>
      </c>
      <c r="S692" t="str">
        <f t="shared" si="197"/>
        <v/>
      </c>
      <c r="U692" t="str">
        <f t="shared" si="198"/>
        <v/>
      </c>
      <c r="V692" t="str">
        <f t="shared" si="199"/>
        <v/>
      </c>
      <c r="W692" s="5" t="str">
        <f t="shared" si="200"/>
        <v/>
      </c>
      <c r="Y692" t="str">
        <f t="shared" si="201"/>
        <v/>
      </c>
      <c r="Z692" t="str">
        <f t="shared" si="202"/>
        <v/>
      </c>
      <c r="AB692" t="str">
        <f t="shared" si="203"/>
        <v>https://shop.officineitalianezard.it/contents/imgs/products/1_475-2_142-1.jpg</v>
      </c>
      <c r="AE692" t="b">
        <v>0</v>
      </c>
    </row>
    <row r="693" spans="1:31" x14ac:dyDescent="0.2">
      <c r="A693" t="str">
        <f t="shared" si="190"/>
        <v>https://shop.officineitalianezard.it/en/conical-full-sport-kit-3-1-snake-welded/</v>
      </c>
      <c r="B693" t="b">
        <f>COUNTIF($A$2:$A693, A693)&gt;1</f>
        <v>1</v>
      </c>
      <c r="C693" t="b">
        <f t="shared" si="191"/>
        <v>0</v>
      </c>
      <c r="D693">
        <f>VLOOKUP(A693,variant_counts!A:B, 2, FALSE)</f>
        <v>2</v>
      </c>
      <c r="E693" t="str">
        <f t="shared" si="204"/>
        <v>zard-exhaust-06-18-full-kit-triumph-rocket-iii-sport-version-snakewelded-ztph501sks</v>
      </c>
      <c r="F693" t="str">
        <f t="shared" si="192"/>
        <v>ZARD EXHAUST 06-18 FULL KIT TRIUMPH ROCKET III SPORT VERSION SNAKE WELDED ZTPH501SKS</v>
      </c>
      <c r="G693" t="str">
        <f t="shared" si="193"/>
        <v/>
      </c>
      <c r="H693" t="str">
        <f t="shared" si="205"/>
        <v/>
      </c>
      <c r="I693" t="str">
        <f t="shared" si="206"/>
        <v/>
      </c>
      <c r="J693" t="str">
        <f t="shared" si="207"/>
        <v/>
      </c>
      <c r="K693" t="str">
        <f t="shared" si="208"/>
        <v/>
      </c>
      <c r="L693" t="str">
        <f t="shared" si="194"/>
        <v/>
      </c>
      <c r="M693" t="str">
        <f t="shared" si="195"/>
        <v/>
      </c>
      <c r="R693" t="str">
        <f t="shared" si="196"/>
        <v/>
      </c>
      <c r="S693" t="str">
        <f t="shared" si="197"/>
        <v/>
      </c>
      <c r="U693" t="str">
        <f t="shared" si="198"/>
        <v/>
      </c>
      <c r="V693" t="str">
        <f t="shared" si="199"/>
        <v/>
      </c>
      <c r="W693" s="5" t="str">
        <f t="shared" si="200"/>
        <v/>
      </c>
      <c r="Y693" t="str">
        <f t="shared" si="201"/>
        <v/>
      </c>
      <c r="Z693" t="str">
        <f t="shared" si="202"/>
        <v/>
      </c>
      <c r="AB693" t="str">
        <f t="shared" si="203"/>
        <v>https://shop.officineitalianezard.it/contents/imgs/products/1_474-2_69-2.jpg</v>
      </c>
      <c r="AE693" t="b">
        <v>0</v>
      </c>
    </row>
    <row r="694" spans="1:31" x14ac:dyDescent="0.2">
      <c r="A694" t="str">
        <f t="shared" si="190"/>
        <v>https://shop.officineitalianezard.it/en/conical-full-sport-kit-3-1-snake-welded/</v>
      </c>
      <c r="B694" t="b">
        <f>COUNTIF($A$2:$A694, A694)&gt;1</f>
        <v>1</v>
      </c>
      <c r="C694" t="b">
        <f t="shared" si="191"/>
        <v>1</v>
      </c>
      <c r="D694">
        <f>VLOOKUP(A694,variant_counts!A:B, 2, FALSE)</f>
        <v>2</v>
      </c>
      <c r="E694" t="str">
        <f t="shared" si="204"/>
        <v>zard-exhaust-06-18-full-kit-triumph-rocket-iii-sport-version-snakewelded-ztph501sks</v>
      </c>
      <c r="F694" t="str">
        <f t="shared" si="192"/>
        <v>ZARD EXHAUST 06-18 FULL KIT TRIUMPH ROCKET III SPORT VERSION SNAKE WELDED ZTPH501SKS</v>
      </c>
      <c r="G694" t="str">
        <f t="shared" si="193"/>
        <v/>
      </c>
      <c r="H694" t="str">
        <f t="shared" si="205"/>
        <v/>
      </c>
      <c r="I694" t="str">
        <f t="shared" si="206"/>
        <v/>
      </c>
      <c r="J694" t="str">
        <f t="shared" si="207"/>
        <v/>
      </c>
      <c r="K694" t="str">
        <f t="shared" si="208"/>
        <v/>
      </c>
      <c r="L694" t="str">
        <f t="shared" si="194"/>
        <v>Option</v>
      </c>
      <c r="M694" t="str">
        <f t="shared" si="195"/>
        <v>EURO 3 HOMOLOGATED</v>
      </c>
      <c r="R694" t="str">
        <f t="shared" si="196"/>
        <v>ZTPH501SKS</v>
      </c>
      <c r="S694">
        <f t="shared" si="197"/>
        <v>0</v>
      </c>
      <c r="U694" t="str">
        <f t="shared" si="198"/>
        <v>continue</v>
      </c>
      <c r="V694" t="str">
        <f t="shared" si="199"/>
        <v>manual</v>
      </c>
      <c r="W694" s="5">
        <f t="shared" si="200"/>
        <v>2274.1347000000001</v>
      </c>
      <c r="Y694" t="b">
        <f t="shared" si="201"/>
        <v>1</v>
      </c>
      <c r="Z694" t="b">
        <f t="shared" si="202"/>
        <v>0</v>
      </c>
      <c r="AB694" t="str">
        <f t="shared" si="203"/>
        <v/>
      </c>
      <c r="AE694" t="b">
        <v>0</v>
      </c>
    </row>
    <row r="695" spans="1:31" x14ac:dyDescent="0.2">
      <c r="A695" t="str">
        <f t="shared" si="190"/>
        <v>https://shop.officineitalianezard.it/en/conical-full-sport-kit-3-1-snake-welded/</v>
      </c>
      <c r="B695" t="b">
        <f>COUNTIF($A$2:$A695, A695)&gt;1</f>
        <v>1</v>
      </c>
      <c r="C695" t="b">
        <f t="shared" si="191"/>
        <v>1</v>
      </c>
      <c r="D695">
        <f>VLOOKUP(A695,variant_counts!A:B, 2, FALSE)</f>
        <v>2</v>
      </c>
      <c r="E695" t="str">
        <f t="shared" si="204"/>
        <v>zard-exhaust-06-18-full-kit-triumph-rocket-iii-sport-version-snakewelded-ztph501sks</v>
      </c>
      <c r="F695" t="str">
        <f t="shared" si="192"/>
        <v>ZARD EXHAUST 06-18 FULL KIT TRIUMPH ROCKET III SPORT VERSION SNAKE WELDED ZTPH501SKS</v>
      </c>
      <c r="G695" t="str">
        <f t="shared" si="193"/>
        <v/>
      </c>
      <c r="H695" t="str">
        <f t="shared" si="205"/>
        <v/>
      </c>
      <c r="I695" t="str">
        <f t="shared" si="206"/>
        <v/>
      </c>
      <c r="J695" t="str">
        <f t="shared" si="207"/>
        <v/>
      </c>
      <c r="K695" t="str">
        <f t="shared" si="208"/>
        <v/>
      </c>
      <c r="L695" t="str">
        <f t="shared" si="194"/>
        <v>Option</v>
      </c>
      <c r="M695" t="str">
        <f t="shared" si="195"/>
        <v>BLACK COATING</v>
      </c>
      <c r="R695" t="str">
        <f t="shared" si="196"/>
        <v>ZTPH501SKS</v>
      </c>
      <c r="S695">
        <f t="shared" si="197"/>
        <v>0</v>
      </c>
      <c r="U695" t="str">
        <f t="shared" si="198"/>
        <v>continue</v>
      </c>
      <c r="V695" t="str">
        <f t="shared" si="199"/>
        <v>manual</v>
      </c>
      <c r="W695" s="5">
        <f t="shared" si="200"/>
        <v>2278.2306000000003</v>
      </c>
      <c r="Y695" t="b">
        <f t="shared" si="201"/>
        <v>1</v>
      </c>
      <c r="Z695" t="b">
        <f t="shared" si="202"/>
        <v>0</v>
      </c>
      <c r="AB695" t="str">
        <f t="shared" si="203"/>
        <v/>
      </c>
      <c r="AE695" t="b">
        <v>0</v>
      </c>
    </row>
    <row r="696" spans="1:31" x14ac:dyDescent="0.2">
      <c r="A696" t="str">
        <f t="shared" si="190"/>
        <v>https://shop.officineitalianezard.it/en/penta-silencers-kit-2/</v>
      </c>
      <c r="B696" t="b">
        <f>COUNTIF($A$2:$A696, A696)&gt;1</f>
        <v>0</v>
      </c>
      <c r="C696" t="b">
        <f t="shared" si="191"/>
        <v>0</v>
      </c>
      <c r="D696">
        <f>VLOOKUP(A696,variant_counts!A:B, 2, FALSE)</f>
        <v>1</v>
      </c>
      <c r="E696" t="str">
        <f t="shared" si="204"/>
        <v>zard-exhaust-penta-silencers-kit-triumph-rocket-iii-steel-carbon-ztph037sks</v>
      </c>
      <c r="F696" t="str">
        <f t="shared" si="192"/>
        <v>ZARD EXHAUST PENTA SILENCERS KIT TRIUMPH ROCKET III STEEL-CARBON ZTPH037SKS</v>
      </c>
      <c r="G696" t="str">
        <f t="shared" si="193"/>
        <v>&lt;p&gt;PENTA STEEL-CARBON RACING SILENCERS KIT&lt;/p&gt;
&lt;p&gt;ORIGINAL EXHAUST SYSTEM WEIGHT: KG 19&lt;br&gt;ZARD RACING SILENCERS KIT WEIGHT: KG 3.7&lt;br&gt;ZARD HOMOLOGATED SILENCERS KIT WEIGHT: KG 4.5&lt;/p&gt;
&lt;p&gt;THE EXHAUST CAN'T BE FITTED ON ROADSTER AND TOURING VERSION.&lt;/p&gt;
&lt;p&gt;HARD INCREASE IN TERMS OF TORQUE AND POWER AT ANY RANGE&lt;/p&gt;
&lt;p&gt;ASTONISHING SOUND.&lt;/p&gt;</v>
      </c>
      <c r="H696" t="str">
        <f t="shared" si="205"/>
        <v>ZARD</v>
      </c>
      <c r="I696" t="str">
        <f t="shared" si="206"/>
        <v>Exhaust Pipe</v>
      </c>
      <c r="J696" t="str">
        <f t="shared" si="207"/>
        <v>Test</v>
      </c>
      <c r="K696" t="b">
        <f t="shared" si="208"/>
        <v>0</v>
      </c>
      <c r="L696" t="str">
        <f t="shared" si="194"/>
        <v>Option</v>
      </c>
      <c r="M696" t="str">
        <f t="shared" si="195"/>
        <v>DEFAULT</v>
      </c>
      <c r="R696" t="str">
        <f t="shared" si="196"/>
        <v>ZTPH037SKS</v>
      </c>
      <c r="S696">
        <f t="shared" si="197"/>
        <v>0</v>
      </c>
      <c r="U696" t="str">
        <f t="shared" si="198"/>
        <v>continue</v>
      </c>
      <c r="V696" t="str">
        <f t="shared" si="199"/>
        <v>manual</v>
      </c>
      <c r="W696" s="5">
        <f t="shared" si="200"/>
        <v>1380.2184000000002</v>
      </c>
      <c r="Y696" t="b">
        <f t="shared" si="201"/>
        <v>1</v>
      </c>
      <c r="Z696" t="b">
        <f t="shared" si="202"/>
        <v>0</v>
      </c>
      <c r="AB696" t="str">
        <f t="shared" si="203"/>
        <v>https://shop.officineitalianezard.it/contents/imgs/products/1_1374-66-S8000729%20ombra%20copy.jpg</v>
      </c>
      <c r="AE696" t="b">
        <v>0</v>
      </c>
    </row>
    <row r="697" spans="1:31" x14ac:dyDescent="0.2">
      <c r="A697" t="str">
        <f t="shared" si="190"/>
        <v>https://shop.officineitalianezard.it/en/penta-silencers-kit-2/</v>
      </c>
      <c r="B697" t="b">
        <f>COUNTIF($A$2:$A697, A697)&gt;1</f>
        <v>1</v>
      </c>
      <c r="C697" t="b">
        <f t="shared" si="191"/>
        <v>0</v>
      </c>
      <c r="D697">
        <f>VLOOKUP(A697,variant_counts!A:B, 2, FALSE)</f>
        <v>1</v>
      </c>
      <c r="E697" t="str">
        <f t="shared" si="204"/>
        <v>zard-exhaust-penta-silencers-kit-triumph-rocket-iii-steel-carbon-ztph037sks</v>
      </c>
      <c r="F697" t="str">
        <f t="shared" si="192"/>
        <v>ZARD EXHAUST PENTA SILENCERS KIT TRIUMPH ROCKET III STEEL-CARBON ZTPH037SKS</v>
      </c>
      <c r="G697" t="str">
        <f t="shared" si="193"/>
        <v/>
      </c>
      <c r="H697" t="str">
        <f t="shared" si="205"/>
        <v/>
      </c>
      <c r="I697" t="str">
        <f t="shared" si="206"/>
        <v/>
      </c>
      <c r="J697" t="str">
        <f t="shared" si="207"/>
        <v/>
      </c>
      <c r="K697" t="str">
        <f t="shared" si="208"/>
        <v/>
      </c>
      <c r="L697" t="str">
        <f t="shared" si="194"/>
        <v/>
      </c>
      <c r="M697" t="str">
        <f t="shared" si="195"/>
        <v/>
      </c>
      <c r="R697" t="str">
        <f t="shared" si="196"/>
        <v/>
      </c>
      <c r="S697" t="str">
        <f t="shared" si="197"/>
        <v/>
      </c>
      <c r="U697" t="str">
        <f t="shared" si="198"/>
        <v/>
      </c>
      <c r="V697" t="str">
        <f t="shared" si="199"/>
        <v/>
      </c>
      <c r="W697" s="5" t="str">
        <f t="shared" si="200"/>
        <v/>
      </c>
      <c r="Y697" t="str">
        <f t="shared" si="201"/>
        <v/>
      </c>
      <c r="Z697" t="str">
        <f t="shared" si="202"/>
        <v/>
      </c>
      <c r="AB697" t="str">
        <f t="shared" si="203"/>
        <v>https://shop.officineitalianezard.it/contents/imgs/products/1_1375-67-S8000737%20copy.jpg</v>
      </c>
      <c r="AE697" t="b">
        <v>0</v>
      </c>
    </row>
    <row r="698" spans="1:31" x14ac:dyDescent="0.2">
      <c r="A698" t="str">
        <f t="shared" si="190"/>
        <v>https://shop.officineitalianezard.it/en/penta-silencers-kit-2/</v>
      </c>
      <c r="B698" t="b">
        <f>COUNTIF($A$2:$A698, A698)&gt;1</f>
        <v>1</v>
      </c>
      <c r="C698" t="b">
        <f t="shared" si="191"/>
        <v>1</v>
      </c>
      <c r="D698">
        <f>VLOOKUP(A698,variant_counts!A:B, 2, FALSE)</f>
        <v>1</v>
      </c>
      <c r="E698" t="str">
        <f t="shared" si="204"/>
        <v>zard-exhaust-penta-silencers-kit-triumph-rocket-iii-steel-carbon-ztph037sks</v>
      </c>
      <c r="F698" t="str">
        <f t="shared" si="192"/>
        <v>ZARD EXHAUST PENTA SILENCERS KIT TRIUMPH ROCKET III STEEL-CARBON ZTPH037SKS</v>
      </c>
      <c r="G698" t="str">
        <f t="shared" si="193"/>
        <v/>
      </c>
      <c r="H698" t="str">
        <f t="shared" si="205"/>
        <v/>
      </c>
      <c r="I698" t="str">
        <f t="shared" si="206"/>
        <v/>
      </c>
      <c r="J698" t="str">
        <f t="shared" si="207"/>
        <v/>
      </c>
      <c r="K698" t="str">
        <f t="shared" si="208"/>
        <v/>
      </c>
      <c r="L698" t="str">
        <f t="shared" si="194"/>
        <v>Option</v>
      </c>
      <c r="M698" t="str">
        <f t="shared" si="195"/>
        <v>CARBON 'PENTA' ENDCAP</v>
      </c>
      <c r="R698" t="str">
        <f t="shared" si="196"/>
        <v>ZTPH037SKS</v>
      </c>
      <c r="S698">
        <f t="shared" si="197"/>
        <v>0</v>
      </c>
      <c r="U698" t="str">
        <f t="shared" si="198"/>
        <v>continue</v>
      </c>
      <c r="V698" t="str">
        <f t="shared" si="199"/>
        <v>manual</v>
      </c>
      <c r="W698" s="5">
        <f t="shared" si="200"/>
        <v>1463.7459000000001</v>
      </c>
      <c r="Y698" t="b">
        <f t="shared" si="201"/>
        <v>1</v>
      </c>
      <c r="Z698" t="b">
        <f t="shared" si="202"/>
        <v>0</v>
      </c>
      <c r="AB698" t="str">
        <f t="shared" si="203"/>
        <v/>
      </c>
      <c r="AE698" t="b">
        <v>0</v>
      </c>
    </row>
    <row r="699" spans="1:31" x14ac:dyDescent="0.2">
      <c r="A699" t="str">
        <f t="shared" si="190"/>
        <v>https://shop.officineitalianezard.it/en/penta-silencers-kit/</v>
      </c>
      <c r="B699" t="b">
        <f>COUNTIF($A$2:$A699, A699)&gt;1</f>
        <v>0</v>
      </c>
      <c r="C699" t="b">
        <f t="shared" si="191"/>
        <v>0</v>
      </c>
      <c r="D699">
        <f>VLOOKUP(A699,variant_counts!A:B, 2, FALSE)</f>
        <v>2</v>
      </c>
      <c r="E699" t="str">
        <f t="shared" si="204"/>
        <v>zard-exhaust-penta-silencers-kit-triumph-rocket-iii-steel-aluminium-ztph037aks</v>
      </c>
      <c r="F699" t="str">
        <f t="shared" si="192"/>
        <v>ZARD EXHAUST PENTA SILENCERS KIT TRIUMPH ROCKET III STEEL-ALUMINIUM ZTPH037AKS</v>
      </c>
      <c r="G699" t="str">
        <f t="shared" si="193"/>
        <v>&lt;p&gt;RACING PENTA SILENCERS KIT IN STEEL-BLACK COATED ALUMINIUM&lt;/p&gt;
&lt;p&gt;ORIGINAL EXHAUST SYSTEM WEIGHT: KG 19&lt;br&gt;ZARD RACING SILENCERS KIT WEIGHT: KG 3.7&lt;br&gt;ZARD HOMOLOGATED SILENCERS KIT WEIGHT: KG 4.5&lt;/p&gt;
&lt;p&gt;THE EXHAUST CAN'T BE FITTED ON ROADSTER AND TOURING ABS VERSION.&lt;/p&gt;
&lt;p&gt;HARD INCREASE IN TERMS OF TORQUE AND POWER AT ANY RANGE&lt;br&gt;ASTONISHING SOUND.&amp;nbsp;&lt;/p&gt;</v>
      </c>
      <c r="H699" t="str">
        <f t="shared" si="205"/>
        <v>ZARD</v>
      </c>
      <c r="I699" t="str">
        <f t="shared" si="206"/>
        <v>Exhaust Pipe</v>
      </c>
      <c r="J699" t="str">
        <f t="shared" si="207"/>
        <v>Test</v>
      </c>
      <c r="K699" t="b">
        <f t="shared" si="208"/>
        <v>0</v>
      </c>
      <c r="L699" t="str">
        <f t="shared" si="194"/>
        <v/>
      </c>
      <c r="M699" t="str">
        <f t="shared" si="195"/>
        <v/>
      </c>
      <c r="R699" t="str">
        <f t="shared" si="196"/>
        <v/>
      </c>
      <c r="S699" t="str">
        <f t="shared" si="197"/>
        <v/>
      </c>
      <c r="U699" t="str">
        <f t="shared" si="198"/>
        <v/>
      </c>
      <c r="V699" t="str">
        <f t="shared" si="199"/>
        <v/>
      </c>
      <c r="W699" s="5" t="str">
        <f t="shared" si="200"/>
        <v/>
      </c>
      <c r="Y699" t="str">
        <f t="shared" si="201"/>
        <v/>
      </c>
      <c r="Z699" t="str">
        <f t="shared" si="202"/>
        <v/>
      </c>
      <c r="AB699" t="str">
        <f t="shared" si="203"/>
        <v>https://shop.officineitalianezard.it/contents/imgs/products/1_66-S8000729%20ombra%20copy.jpg</v>
      </c>
      <c r="AE699" t="b">
        <v>0</v>
      </c>
    </row>
    <row r="700" spans="1:31" x14ac:dyDescent="0.2">
      <c r="A700" t="str">
        <f t="shared" si="190"/>
        <v>https://shop.officineitalianezard.it/en/penta-silencers-kit/</v>
      </c>
      <c r="B700" t="b">
        <f>COUNTIF($A$2:$A700, A700)&gt;1</f>
        <v>1</v>
      </c>
      <c r="C700" t="b">
        <f t="shared" si="191"/>
        <v>0</v>
      </c>
      <c r="D700">
        <f>VLOOKUP(A700,variant_counts!A:B, 2, FALSE)</f>
        <v>2</v>
      </c>
      <c r="E700" t="str">
        <f t="shared" si="204"/>
        <v>zard-exhaust-penta-silencers-kit-triumph-rocket-iii-steel-aluminium-ztph037aks</v>
      </c>
      <c r="F700" t="str">
        <f t="shared" si="192"/>
        <v>ZARD EXHAUST PENTA SILENCERS KIT TRIUMPH ROCKET III STEEL-ALUMINIUM ZTPH037AKS</v>
      </c>
      <c r="G700" t="str">
        <f t="shared" si="193"/>
        <v/>
      </c>
      <c r="H700" t="str">
        <f t="shared" si="205"/>
        <v/>
      </c>
      <c r="I700" t="str">
        <f t="shared" si="206"/>
        <v/>
      </c>
      <c r="J700" t="str">
        <f t="shared" si="207"/>
        <v/>
      </c>
      <c r="K700" t="str">
        <f t="shared" si="208"/>
        <v/>
      </c>
      <c r="L700" t="str">
        <f t="shared" si="194"/>
        <v/>
      </c>
      <c r="M700" t="str">
        <f t="shared" si="195"/>
        <v/>
      </c>
      <c r="R700" t="str">
        <f t="shared" si="196"/>
        <v/>
      </c>
      <c r="S700" t="str">
        <f t="shared" si="197"/>
        <v/>
      </c>
      <c r="U700" t="str">
        <f t="shared" si="198"/>
        <v/>
      </c>
      <c r="V700" t="str">
        <f t="shared" si="199"/>
        <v/>
      </c>
      <c r="W700" s="5" t="str">
        <f t="shared" si="200"/>
        <v/>
      </c>
      <c r="Y700" t="str">
        <f t="shared" si="201"/>
        <v/>
      </c>
      <c r="Z700" t="str">
        <f t="shared" si="202"/>
        <v/>
      </c>
      <c r="AB700" t="str">
        <f t="shared" si="203"/>
        <v>https://shop.officineitalianezard.it/contents/imgs/products/1_67-S8000737%20copy.jpg</v>
      </c>
      <c r="AE700" t="b">
        <v>0</v>
      </c>
    </row>
    <row r="701" spans="1:31" x14ac:dyDescent="0.2">
      <c r="A701" t="str">
        <f t="shared" si="190"/>
        <v>https://shop.officineitalianezard.it/en/penta-silencers-kit/</v>
      </c>
      <c r="B701" t="b">
        <f>COUNTIF($A$2:$A701, A701)&gt;1</f>
        <v>1</v>
      </c>
      <c r="C701" t="b">
        <f t="shared" si="191"/>
        <v>1</v>
      </c>
      <c r="D701">
        <f>VLOOKUP(A701,variant_counts!A:B, 2, FALSE)</f>
        <v>2</v>
      </c>
      <c r="E701" t="str">
        <f t="shared" si="204"/>
        <v>zard-exhaust-penta-silencers-kit-triumph-rocket-iii-steel-aluminium-ztph037aks</v>
      </c>
      <c r="F701" t="str">
        <f t="shared" si="192"/>
        <v>ZARD EXHAUST PENTA SILENCERS KIT TRIUMPH ROCKET III STEEL-ALUMINIUM ZTPH037AKS</v>
      </c>
      <c r="G701" t="str">
        <f t="shared" si="193"/>
        <v/>
      </c>
      <c r="H701" t="str">
        <f t="shared" si="205"/>
        <v/>
      </c>
      <c r="I701" t="str">
        <f t="shared" si="206"/>
        <v/>
      </c>
      <c r="J701" t="str">
        <f t="shared" si="207"/>
        <v/>
      </c>
      <c r="K701" t="str">
        <f t="shared" si="208"/>
        <v/>
      </c>
      <c r="L701" t="str">
        <f t="shared" si="194"/>
        <v>Option</v>
      </c>
      <c r="M701" t="str">
        <f t="shared" si="195"/>
        <v>EURO 3 HOMOLOGATED</v>
      </c>
      <c r="R701" t="str">
        <f t="shared" si="196"/>
        <v>ZTPH037AKS</v>
      </c>
      <c r="S701">
        <f t="shared" si="197"/>
        <v>0</v>
      </c>
      <c r="U701" t="str">
        <f t="shared" si="198"/>
        <v>continue</v>
      </c>
      <c r="V701" t="str">
        <f t="shared" si="199"/>
        <v>manual</v>
      </c>
      <c r="W701" s="5">
        <f t="shared" si="200"/>
        <v>1645.1643000000004</v>
      </c>
      <c r="Y701" t="b">
        <f t="shared" si="201"/>
        <v>1</v>
      </c>
      <c r="Z701" t="b">
        <f t="shared" si="202"/>
        <v>0</v>
      </c>
      <c r="AB701" t="str">
        <f t="shared" si="203"/>
        <v/>
      </c>
      <c r="AE701" t="b">
        <v>0</v>
      </c>
    </row>
    <row r="702" spans="1:31" x14ac:dyDescent="0.2">
      <c r="A702" t="str">
        <f t="shared" si="190"/>
        <v>https://shop.officineitalianezard.it/en/penta-silencers-kit/</v>
      </c>
      <c r="B702" t="b">
        <f>COUNTIF($A$2:$A702, A702)&gt;1</f>
        <v>1</v>
      </c>
      <c r="C702" t="b">
        <f t="shared" si="191"/>
        <v>1</v>
      </c>
      <c r="D702">
        <f>VLOOKUP(A702,variant_counts!A:B, 2, FALSE)</f>
        <v>2</v>
      </c>
      <c r="E702" t="str">
        <f t="shared" si="204"/>
        <v>zard-exhaust-penta-silencers-kit-triumph-rocket-iii-steel-aluminium-ztph037aks</v>
      </c>
      <c r="F702" t="str">
        <f t="shared" si="192"/>
        <v>ZARD EXHAUST PENTA SILENCERS KIT TRIUMPH ROCKET III STEEL-ALUMINIUM ZTPH037AKS</v>
      </c>
      <c r="G702" t="str">
        <f t="shared" si="193"/>
        <v/>
      </c>
      <c r="H702" t="str">
        <f t="shared" si="205"/>
        <v/>
      </c>
      <c r="I702" t="str">
        <f t="shared" si="206"/>
        <v/>
      </c>
      <c r="J702" t="str">
        <f t="shared" si="207"/>
        <v/>
      </c>
      <c r="K702" t="str">
        <f t="shared" si="208"/>
        <v/>
      </c>
      <c r="L702" t="str">
        <f t="shared" si="194"/>
        <v>Option</v>
      </c>
      <c r="M702" t="str">
        <f t="shared" si="195"/>
        <v>CARBON 'PENTA' ENDCAP</v>
      </c>
      <c r="R702" t="str">
        <f t="shared" si="196"/>
        <v>ZTPH037AKS</v>
      </c>
      <c r="S702">
        <f t="shared" si="197"/>
        <v>0</v>
      </c>
      <c r="U702" t="str">
        <f t="shared" si="198"/>
        <v>continue</v>
      </c>
      <c r="V702" t="str">
        <f t="shared" si="199"/>
        <v>manual</v>
      </c>
      <c r="W702" s="5">
        <f t="shared" si="200"/>
        <v>1386.4122000000002</v>
      </c>
      <c r="Y702" t="b">
        <f t="shared" si="201"/>
        <v>1</v>
      </c>
      <c r="Z702" t="b">
        <f t="shared" si="202"/>
        <v>0</v>
      </c>
      <c r="AB702" t="str">
        <f t="shared" si="203"/>
        <v/>
      </c>
      <c r="AE702" t="b">
        <v>0</v>
      </c>
    </row>
    <row r="703" spans="1:31" x14ac:dyDescent="0.2">
      <c r="A703" t="str">
        <f t="shared" si="190"/>
        <v>https://shop.officineitalianezard.it/en/products/index/triumph-daytona-exhaust-2015-zard-7608-161/</v>
      </c>
      <c r="B703" t="b">
        <f>COUNTIF($A$2:$A703, A703)&gt;1</f>
        <v>0</v>
      </c>
      <c r="C703" t="b">
        <f t="shared" si="191"/>
        <v>0</v>
      </c>
      <c r="D703">
        <f>VLOOKUP(A703,variant_counts!A:B, 2, FALSE)</f>
        <v>3</v>
      </c>
      <c r="E703" t="str">
        <f t="shared" si="204"/>
        <v>zard-exhaust-low-mounted-silencer-triumph-daytona-my-2013-short-version-ztph033ssr-13</v>
      </c>
      <c r="F703" t="str">
        <f t="shared" si="192"/>
        <v>ZARD EXHAUST LOW MOUNTED SILENCER TRIUMPH DAYTONA &gt; M.Y. 2013 SHORT VERSION ZTPH033SSR-13</v>
      </c>
      <c r="G703" t="str">
        <f t="shared" si="193"/>
        <v>&lt;p&gt;STEEL RACING SILENCER&lt;/p&gt;
&lt;p&gt;HARD INCREASE, COMPARED TO THE ORIGINAL EXHAUST SYSTEM, IN TERMS OF TORQUE AND POWER AT ANY RANGE.&lt;/p&gt;
&lt;p&gt;ASTONISHING SOUND.&lt;/p&gt;
&lt;p&gt;ZARD SHORT SILENCER CAN BE FITTED ON 3&amp;gt;1 ZARD HEADERS KIT TO HAVE AN HARD INCREASE OF PERFORMANCES BUT ALSO ON ORIGINAL HEADERS.&lt;/p&gt;</v>
      </c>
      <c r="H703" t="str">
        <f t="shared" si="205"/>
        <v>ZARD</v>
      </c>
      <c r="I703" t="str">
        <f t="shared" si="206"/>
        <v>Exhaust Pipe</v>
      </c>
      <c r="J703" t="str">
        <f t="shared" si="207"/>
        <v>Test</v>
      </c>
      <c r="K703" t="b">
        <f t="shared" si="208"/>
        <v>0</v>
      </c>
      <c r="L703" t="str">
        <f t="shared" si="194"/>
        <v/>
      </c>
      <c r="M703" t="str">
        <f t="shared" si="195"/>
        <v/>
      </c>
      <c r="R703" t="str">
        <f t="shared" si="196"/>
        <v/>
      </c>
      <c r="S703" t="str">
        <f t="shared" si="197"/>
        <v/>
      </c>
      <c r="U703" t="str">
        <f t="shared" si="198"/>
        <v/>
      </c>
      <c r="V703" t="str">
        <f t="shared" si="199"/>
        <v/>
      </c>
      <c r="W703" s="5" t="str">
        <f t="shared" si="200"/>
        <v/>
      </c>
      <c r="Y703" t="str">
        <f t="shared" si="201"/>
        <v/>
      </c>
      <c r="Z703" t="str">
        <f t="shared" si="202"/>
        <v/>
      </c>
      <c r="AB703" t="str">
        <f t="shared" si="203"/>
        <v>https://shop.officineitalianezard.it/contents/imgs/products/1_1216-1ridotta.jpg</v>
      </c>
      <c r="AE703" t="b">
        <v>0</v>
      </c>
    </row>
    <row r="704" spans="1:31" x14ac:dyDescent="0.2">
      <c r="A704" t="str">
        <f t="shared" si="190"/>
        <v>https://shop.officineitalianezard.it/en/products/index/triumph-daytona-exhaust-2015-zard-7608-161/</v>
      </c>
      <c r="B704" t="b">
        <f>COUNTIF($A$2:$A704, A704)&gt;1</f>
        <v>1</v>
      </c>
      <c r="C704" t="b">
        <f t="shared" si="191"/>
        <v>0</v>
      </c>
      <c r="D704">
        <f>VLOOKUP(A704,variant_counts!A:B, 2, FALSE)</f>
        <v>3</v>
      </c>
      <c r="E704" t="str">
        <f t="shared" si="204"/>
        <v>zard-exhaust-low-mounted-silencer-triumph-daytona-my-2013-short-version-ztph033ssr-13</v>
      </c>
      <c r="F704" t="str">
        <f t="shared" si="192"/>
        <v>ZARD EXHAUST LOW MOUNTED SILENCER TRIUMPH DAYTONA &gt; M.Y. 2013 SHORT VERSION ZTPH033SSR-13</v>
      </c>
      <c r="G704" t="str">
        <f t="shared" si="193"/>
        <v/>
      </c>
      <c r="H704" t="str">
        <f t="shared" si="205"/>
        <v/>
      </c>
      <c r="I704" t="str">
        <f t="shared" si="206"/>
        <v/>
      </c>
      <c r="J704" t="str">
        <f t="shared" si="207"/>
        <v/>
      </c>
      <c r="K704" t="str">
        <f t="shared" si="208"/>
        <v/>
      </c>
      <c r="L704" t="str">
        <f t="shared" si="194"/>
        <v/>
      </c>
      <c r="M704" t="str">
        <f t="shared" si="195"/>
        <v/>
      </c>
      <c r="R704" t="str">
        <f t="shared" si="196"/>
        <v/>
      </c>
      <c r="S704" t="str">
        <f t="shared" si="197"/>
        <v/>
      </c>
      <c r="U704" t="str">
        <f t="shared" si="198"/>
        <v/>
      </c>
      <c r="V704" t="str">
        <f t="shared" si="199"/>
        <v/>
      </c>
      <c r="W704" s="5" t="str">
        <f t="shared" si="200"/>
        <v/>
      </c>
      <c r="Y704" t="str">
        <f t="shared" si="201"/>
        <v/>
      </c>
      <c r="Z704" t="str">
        <f t="shared" si="202"/>
        <v/>
      </c>
      <c r="AB704" t="str">
        <f t="shared" si="203"/>
        <v>https://shop.officineitalianezard.it/contents/imgs/products/1_1221-3ridotta.jpg</v>
      </c>
      <c r="AE704" t="b">
        <v>0</v>
      </c>
    </row>
    <row r="705" spans="1:31" x14ac:dyDescent="0.2">
      <c r="A705" t="str">
        <f t="shared" si="190"/>
        <v>https://shop.officineitalianezard.it/en/products/index/triumph-daytona-exhaust-2015-zard-7608-161/</v>
      </c>
      <c r="B705" t="b">
        <f>COUNTIF($A$2:$A705, A705)&gt;1</f>
        <v>1</v>
      </c>
      <c r="C705" t="b">
        <f t="shared" si="191"/>
        <v>0</v>
      </c>
      <c r="D705">
        <f>VLOOKUP(A705,variant_counts!A:B, 2, FALSE)</f>
        <v>3</v>
      </c>
      <c r="E705" t="str">
        <f t="shared" si="204"/>
        <v>zard-exhaust-low-mounted-silencer-triumph-daytona-my-2013-short-version-ztph033ssr-13</v>
      </c>
      <c r="F705" t="str">
        <f t="shared" si="192"/>
        <v>ZARD EXHAUST LOW MOUNTED SILENCER TRIUMPH DAYTONA &gt; M.Y. 2013 SHORT VERSION ZTPH033SSR-13</v>
      </c>
      <c r="G705" t="str">
        <f t="shared" si="193"/>
        <v/>
      </c>
      <c r="H705" t="str">
        <f t="shared" si="205"/>
        <v/>
      </c>
      <c r="I705" t="str">
        <f t="shared" si="206"/>
        <v/>
      </c>
      <c r="J705" t="str">
        <f t="shared" si="207"/>
        <v/>
      </c>
      <c r="K705" t="str">
        <f t="shared" si="208"/>
        <v/>
      </c>
      <c r="L705" t="str">
        <f t="shared" si="194"/>
        <v/>
      </c>
      <c r="M705" t="str">
        <f t="shared" si="195"/>
        <v/>
      </c>
      <c r="R705" t="str">
        <f t="shared" si="196"/>
        <v/>
      </c>
      <c r="S705" t="str">
        <f t="shared" si="197"/>
        <v/>
      </c>
      <c r="U705" t="str">
        <f t="shared" si="198"/>
        <v/>
      </c>
      <c r="V705" t="str">
        <f t="shared" si="199"/>
        <v/>
      </c>
      <c r="W705" s="5" t="str">
        <f t="shared" si="200"/>
        <v/>
      </c>
      <c r="Y705" t="str">
        <f t="shared" si="201"/>
        <v/>
      </c>
      <c r="Z705" t="str">
        <f t="shared" si="202"/>
        <v/>
      </c>
      <c r="AB705" t="str">
        <f t="shared" si="203"/>
        <v>https://shop.officineitalianezard.it/contents/imgs/products/1_1217-2ridotta.jpg</v>
      </c>
      <c r="AE705" t="b">
        <v>0</v>
      </c>
    </row>
    <row r="706" spans="1:31" x14ac:dyDescent="0.2">
      <c r="A706" t="str">
        <f t="shared" ref="A706:A769" si="209">source_product_link_href</f>
        <v>https://shop.officineitalianezard.it/en/products/index/triumph-daytona-exhaust-2015-zard-7608-161/</v>
      </c>
      <c r="B706" t="b">
        <f>COUNTIF($A$2:$A706, A706)&gt;1</f>
        <v>1</v>
      </c>
      <c r="C706" t="b">
        <f t="shared" ref="C706:C769" si="210">NOT(ISBLANK(source_option_name))</f>
        <v>1</v>
      </c>
      <c r="D706">
        <f>VLOOKUP(A706,variant_counts!A:B, 2, FALSE)</f>
        <v>3</v>
      </c>
      <c r="E706" t="str">
        <f t="shared" si="204"/>
        <v>zard-exhaust-low-mounted-silencer-triumph-daytona-my-2013-short-version-ztph033ssr-13</v>
      </c>
      <c r="F706" t="str">
        <f t="shared" ref="F706:F769" si="211">UPPER("ZARD EXHAUST " &amp; source_title &amp; " " &amp; source_brand &amp; " " &amp; source_bike &amp; " " &amp; source_product_link &amp; " " &amp; source_sku)</f>
        <v>ZARD EXHAUST LOW MOUNTED SILENCER TRIUMPH DAYTONA &gt; M.Y. 2013 SHORT VERSION ZTPH033SSR-13</v>
      </c>
      <c r="G706" t="str">
        <f t="shared" ref="G706:G769" si="212">IF($B706=FALSE, source_description, "")</f>
        <v/>
      </c>
      <c r="H706" t="str">
        <f t="shared" si="205"/>
        <v/>
      </c>
      <c r="I706" t="str">
        <f t="shared" si="206"/>
        <v/>
      </c>
      <c r="J706" t="str">
        <f t="shared" si="207"/>
        <v/>
      </c>
      <c r="K706" t="str">
        <f t="shared" si="208"/>
        <v/>
      </c>
      <c r="L706" t="str">
        <f t="shared" ref="L706:L769" si="213">IF(AND(variant_count=0,duplicated=FALSE),"Title",IF(OR(AND(variant_count=1,duplicated=FALSE), source_option_name&lt;&gt;""), "Option", ""))</f>
        <v>Option</v>
      </c>
      <c r="M706" t="str">
        <f t="shared" ref="M706:M769" si="214">IF(option1_name="Title", "Default Title", IF(AND(option1_name="Option",ISBLANK(source_option_name)),"DEFAULT",IF(ISBLANK(source_option_name), "", source_option_name)))</f>
        <v>EURO 3 HOMOLOGATED</v>
      </c>
      <c r="R706" t="str">
        <f t="shared" ref="R706:R769" si="215">IF(option1_name &lt;&gt; "", source_sku, "")</f>
        <v>ZTPH033SSR-13</v>
      </c>
      <c r="S706">
        <f t="shared" ref="S706:S769" si="216">IF(option1_name &lt;&gt; "", 0, "")</f>
        <v>0</v>
      </c>
      <c r="U706" t="str">
        <f t="shared" ref="U706:U769" si="217">IF(option1_name &lt;&gt; "", "continue", "")</f>
        <v>continue</v>
      </c>
      <c r="V706" t="str">
        <f t="shared" ref="V706:V769" si="218">IF(option1_name &lt;&gt; "", "manual", "")</f>
        <v>manual</v>
      </c>
      <c r="W706" s="5">
        <f t="shared" ref="W706:W769" si="219">IF(option1_name&lt;&gt;"",(source_price_original+source_option_price)*eur_usd,"")</f>
        <v>574.92449999999997</v>
      </c>
      <c r="Y706" t="b">
        <f t="shared" ref="Y706:Y769" si="220">IF(option1_name&lt;&gt;"",TRUE,"")</f>
        <v>1</v>
      </c>
      <c r="Z706" t="b">
        <f t="shared" ref="Z706:Z769" si="221">IF(option1_name&lt;&gt;"",FALSE,"")</f>
        <v>0</v>
      </c>
      <c r="AB706" t="str">
        <f t="shared" ref="AB706:AB769" si="222">IF(ISBLANK(source_image), "", source_image)</f>
        <v/>
      </c>
      <c r="AE706" t="b">
        <v>0</v>
      </c>
    </row>
    <row r="707" spans="1:31" x14ac:dyDescent="0.2">
      <c r="A707" t="str">
        <f t="shared" si="209"/>
        <v>https://shop.officineitalianezard.it/en/products/index/triumph-daytona-exhaust-2015-zard-7608-161/</v>
      </c>
      <c r="B707" t="b">
        <f>COUNTIF($A$2:$A707, A707)&gt;1</f>
        <v>1</v>
      </c>
      <c r="C707" t="b">
        <f t="shared" si="210"/>
        <v>1</v>
      </c>
      <c r="D707">
        <f>VLOOKUP(A707,variant_counts!A:B, 2, FALSE)</f>
        <v>3</v>
      </c>
      <c r="E707" t="str">
        <f t="shared" ref="E707:E770" si="223">FormatShopifyHandle(F707)</f>
        <v>zard-exhaust-low-mounted-silencer-triumph-daytona-my-2013-short-version-ztph033ssr-13</v>
      </c>
      <c r="F707" t="str">
        <f t="shared" si="211"/>
        <v>ZARD EXHAUST LOW MOUNTED SILENCER TRIUMPH DAYTONA &gt; M.Y. 2013 SHORT VERSION ZTPH033SSR-13</v>
      </c>
      <c r="G707" t="str">
        <f t="shared" si="212"/>
        <v/>
      </c>
      <c r="H707" t="str">
        <f t="shared" ref="H707:H770" si="224">IF($B707=FALSE, "ZARD", "")</f>
        <v/>
      </c>
      <c r="I707" t="str">
        <f t="shared" ref="I707:I770" si="225">IF($B707=FALSE, "Exhaust Pipe", "")</f>
        <v/>
      </c>
      <c r="J707" t="str">
        <f t="shared" ref="J707:J770" si="226">IF($B707=FALSE, "Test", "")</f>
        <v/>
      </c>
      <c r="K707" t="str">
        <f t="shared" ref="K707:K770" si="227">IF($B707=FALSE, FALSE, "")</f>
        <v/>
      </c>
      <c r="L707" t="str">
        <f t="shared" si="213"/>
        <v>Option</v>
      </c>
      <c r="M707" t="str">
        <f t="shared" si="214"/>
        <v>BLACK COATING</v>
      </c>
      <c r="R707" t="str">
        <f t="shared" si="215"/>
        <v>ZTPH033SSR-13</v>
      </c>
      <c r="S707">
        <f t="shared" si="216"/>
        <v>0</v>
      </c>
      <c r="U707" t="str">
        <f t="shared" si="217"/>
        <v>continue</v>
      </c>
      <c r="V707" t="str">
        <f t="shared" si="218"/>
        <v>manual</v>
      </c>
      <c r="W707" s="5">
        <f t="shared" si="219"/>
        <v>619.14689999999996</v>
      </c>
      <c r="Y707" t="b">
        <f t="shared" si="220"/>
        <v>1</v>
      </c>
      <c r="Z707" t="b">
        <f t="shared" si="221"/>
        <v>0</v>
      </c>
      <c r="AB707" t="str">
        <f t="shared" si="222"/>
        <v/>
      </c>
      <c r="AE707" t="b">
        <v>0</v>
      </c>
    </row>
    <row r="708" spans="1:31" x14ac:dyDescent="0.2">
      <c r="A708" t="str">
        <f t="shared" si="209"/>
        <v>https://shop.officineitalianezard.it/en/products/index/triumph-daytona-exhaust-2015-zard-7608-161/</v>
      </c>
      <c r="B708" t="b">
        <f>COUNTIF($A$2:$A708, A708)&gt;1</f>
        <v>1</v>
      </c>
      <c r="C708" t="b">
        <f t="shared" si="210"/>
        <v>1</v>
      </c>
      <c r="D708">
        <f>VLOOKUP(A708,variant_counts!A:B, 2, FALSE)</f>
        <v>3</v>
      </c>
      <c r="E708" t="str">
        <f t="shared" si="223"/>
        <v>zard-exhaust-low-mounted-silencer-triumph-daytona-my-2013-short-version-ztph033ssr-13</v>
      </c>
      <c r="F708" t="str">
        <f t="shared" si="211"/>
        <v>ZARD EXHAUST LOW MOUNTED SILENCER TRIUMPH DAYTONA &gt; M.Y. 2013 SHORT VERSION ZTPH033SSR-13</v>
      </c>
      <c r="G708" t="str">
        <f t="shared" si="212"/>
        <v/>
      </c>
      <c r="H708" t="str">
        <f t="shared" si="224"/>
        <v/>
      </c>
      <c r="I708" t="str">
        <f t="shared" si="225"/>
        <v/>
      </c>
      <c r="J708" t="str">
        <f t="shared" si="226"/>
        <v/>
      </c>
      <c r="K708" t="str">
        <f t="shared" si="227"/>
        <v/>
      </c>
      <c r="L708" t="str">
        <f t="shared" si="213"/>
        <v>Option</v>
      </c>
      <c r="M708" t="str">
        <f t="shared" si="214"/>
        <v>CARBON ENDCAP</v>
      </c>
      <c r="R708" t="str">
        <f t="shared" si="215"/>
        <v>ZTPH033SSR-13</v>
      </c>
      <c r="S708">
        <f t="shared" si="216"/>
        <v>0</v>
      </c>
      <c r="U708" t="str">
        <f t="shared" si="217"/>
        <v>continue</v>
      </c>
      <c r="V708" t="str">
        <f t="shared" si="218"/>
        <v>manual</v>
      </c>
      <c r="W708" s="5">
        <f t="shared" si="219"/>
        <v>579.84180000000003</v>
      </c>
      <c r="Y708" t="b">
        <f t="shared" si="220"/>
        <v>1</v>
      </c>
      <c r="Z708" t="b">
        <f t="shared" si="221"/>
        <v>0</v>
      </c>
      <c r="AB708" t="str">
        <f t="shared" si="222"/>
        <v/>
      </c>
      <c r="AE708" t="b">
        <v>0</v>
      </c>
    </row>
    <row r="709" spans="1:31" x14ac:dyDescent="0.2">
      <c r="A709" t="str">
        <f t="shared" si="209"/>
        <v>https://shop.officineitalianezard.it/en/products/index/triumph-daytona-exhaust-2015-zard-7609-161/</v>
      </c>
      <c r="B709" t="b">
        <f>COUNTIF($A$2:$A709, A709)&gt;1</f>
        <v>0</v>
      </c>
      <c r="C709" t="b">
        <f t="shared" si="210"/>
        <v>0</v>
      </c>
      <c r="D709">
        <f>VLOOKUP(A709,variant_counts!A:B, 2, FALSE)</f>
        <v>3</v>
      </c>
      <c r="E709" t="str">
        <f t="shared" si="223"/>
        <v>zard-exhaust-full-kit-triumph-daytona-my-2013-short-version-ztph033skr-13</v>
      </c>
      <c r="F709" t="str">
        <f t="shared" si="211"/>
        <v>ZARD EXHAUST FULL KIT TRIUMPH DAYTONA &gt; M.Y. 2013 SHORT VERSION ZTPH033SKR-13</v>
      </c>
      <c r="G709" t="str">
        <f t="shared" si="212"/>
        <v>&lt;p&gt;3&amp;gt;1 STEEL RACING FULL KIT&lt;/p&gt;
&lt;p&gt;HARD INCREASE, COMPARED TO THE ORIGINAL EXHAUST SYSTEM, IN TERMS OF TORQUE AND POWER AT ANY RANGE.&lt;/p&gt;
&lt;p&gt;ASTONISHING SOUND.&lt;/p&gt;</v>
      </c>
      <c r="H709" t="str">
        <f t="shared" si="224"/>
        <v>ZARD</v>
      </c>
      <c r="I709" t="str">
        <f t="shared" si="225"/>
        <v>Exhaust Pipe</v>
      </c>
      <c r="J709" t="str">
        <f t="shared" si="226"/>
        <v>Test</v>
      </c>
      <c r="K709" t="b">
        <f t="shared" si="227"/>
        <v>0</v>
      </c>
      <c r="L709" t="str">
        <f t="shared" si="213"/>
        <v/>
      </c>
      <c r="M709" t="str">
        <f t="shared" si="214"/>
        <v/>
      </c>
      <c r="R709" t="str">
        <f t="shared" si="215"/>
        <v/>
      </c>
      <c r="S709" t="str">
        <f t="shared" si="216"/>
        <v/>
      </c>
      <c r="U709" t="str">
        <f t="shared" si="217"/>
        <v/>
      </c>
      <c r="V709" t="str">
        <f t="shared" si="218"/>
        <v/>
      </c>
      <c r="W709" s="5" t="str">
        <f t="shared" si="219"/>
        <v/>
      </c>
      <c r="Y709" t="str">
        <f t="shared" si="220"/>
        <v/>
      </c>
      <c r="Z709" t="str">
        <f t="shared" si="221"/>
        <v/>
      </c>
      <c r="AB709" t="str">
        <f t="shared" si="222"/>
        <v>https://shop.officineitalianezard.it/contents/imgs/products/1_1219-triumph%20daytona%20exhaust%20full%20kit%20zard.jpg</v>
      </c>
      <c r="AE709" t="b">
        <v>0</v>
      </c>
    </row>
    <row r="710" spans="1:31" x14ac:dyDescent="0.2">
      <c r="A710" t="str">
        <f t="shared" si="209"/>
        <v>https://shop.officineitalianezard.it/en/products/index/triumph-daytona-exhaust-2015-zard-7609-161/</v>
      </c>
      <c r="B710" t="b">
        <f>COUNTIF($A$2:$A710, A710)&gt;1</f>
        <v>1</v>
      </c>
      <c r="C710" t="b">
        <f t="shared" si="210"/>
        <v>0</v>
      </c>
      <c r="D710">
        <f>VLOOKUP(A710,variant_counts!A:B, 2, FALSE)</f>
        <v>3</v>
      </c>
      <c r="E710" t="str">
        <f t="shared" si="223"/>
        <v>zard-exhaust-full-kit-triumph-daytona-my-2013-short-version-ztph033skr-13</v>
      </c>
      <c r="F710" t="str">
        <f t="shared" si="211"/>
        <v>ZARD EXHAUST FULL KIT TRIUMPH DAYTONA &gt; M.Y. 2013 SHORT VERSION ZTPH033SKR-13</v>
      </c>
      <c r="G710" t="str">
        <f t="shared" si="212"/>
        <v/>
      </c>
      <c r="H710" t="str">
        <f t="shared" si="224"/>
        <v/>
      </c>
      <c r="I710" t="str">
        <f t="shared" si="225"/>
        <v/>
      </c>
      <c r="J710" t="str">
        <f t="shared" si="226"/>
        <v/>
      </c>
      <c r="K710" t="str">
        <f t="shared" si="227"/>
        <v/>
      </c>
      <c r="L710" t="str">
        <f t="shared" si="213"/>
        <v/>
      </c>
      <c r="M710" t="str">
        <f t="shared" si="214"/>
        <v/>
      </c>
      <c r="R710" t="str">
        <f t="shared" si="215"/>
        <v/>
      </c>
      <c r="S710" t="str">
        <f t="shared" si="216"/>
        <v/>
      </c>
      <c r="U710" t="str">
        <f t="shared" si="217"/>
        <v/>
      </c>
      <c r="V710" t="str">
        <f t="shared" si="218"/>
        <v/>
      </c>
      <c r="W710" s="5" t="str">
        <f t="shared" si="219"/>
        <v/>
      </c>
      <c r="Y710" t="str">
        <f t="shared" si="220"/>
        <v/>
      </c>
      <c r="Z710" t="str">
        <f t="shared" si="221"/>
        <v/>
      </c>
      <c r="AB710" t="str">
        <f t="shared" si="222"/>
        <v>https://shop.officineitalianezard.it/contents/imgs/products/1_1222-full%20kit%20triumph%20daytona%20zard.jpg</v>
      </c>
      <c r="AE710" t="b">
        <v>0</v>
      </c>
    </row>
    <row r="711" spans="1:31" x14ac:dyDescent="0.2">
      <c r="A711" t="str">
        <f t="shared" si="209"/>
        <v>https://shop.officineitalianezard.it/en/products/index/triumph-daytona-exhaust-2015-zard-7609-161/</v>
      </c>
      <c r="B711" t="b">
        <f>COUNTIF($A$2:$A711, A711)&gt;1</f>
        <v>1</v>
      </c>
      <c r="C711" t="b">
        <f t="shared" si="210"/>
        <v>0</v>
      </c>
      <c r="D711">
        <f>VLOOKUP(A711,variant_counts!A:B, 2, FALSE)</f>
        <v>3</v>
      </c>
      <c r="E711" t="str">
        <f t="shared" si="223"/>
        <v>zard-exhaust-full-kit-triumph-daytona-my-2013-short-version-ztph033skr-13</v>
      </c>
      <c r="F711" t="str">
        <f t="shared" si="211"/>
        <v>ZARD EXHAUST FULL KIT TRIUMPH DAYTONA &gt; M.Y. 2013 SHORT VERSION ZTPH033SKR-13</v>
      </c>
      <c r="G711" t="str">
        <f t="shared" si="212"/>
        <v/>
      </c>
      <c r="H711" t="str">
        <f t="shared" si="224"/>
        <v/>
      </c>
      <c r="I711" t="str">
        <f t="shared" si="225"/>
        <v/>
      </c>
      <c r="J711" t="str">
        <f t="shared" si="226"/>
        <v/>
      </c>
      <c r="K711" t="str">
        <f t="shared" si="227"/>
        <v/>
      </c>
      <c r="L711" t="str">
        <f t="shared" si="213"/>
        <v/>
      </c>
      <c r="M711" t="str">
        <f t="shared" si="214"/>
        <v/>
      </c>
      <c r="R711" t="str">
        <f t="shared" si="215"/>
        <v/>
      </c>
      <c r="S711" t="str">
        <f t="shared" si="216"/>
        <v/>
      </c>
      <c r="U711" t="str">
        <f t="shared" si="217"/>
        <v/>
      </c>
      <c r="V711" t="str">
        <f t="shared" si="218"/>
        <v/>
      </c>
      <c r="W711" s="5" t="str">
        <f t="shared" si="219"/>
        <v/>
      </c>
      <c r="Y711" t="str">
        <f t="shared" si="220"/>
        <v/>
      </c>
      <c r="Z711" t="str">
        <f t="shared" si="221"/>
        <v/>
      </c>
      <c r="AB711" t="str">
        <f t="shared" si="222"/>
        <v>https://shop.officineitalianezard.it/contents/imgs/products/1_1220-triumph%20daytona%20scarichi.jpg</v>
      </c>
      <c r="AE711" t="b">
        <v>0</v>
      </c>
    </row>
    <row r="712" spans="1:31" x14ac:dyDescent="0.2">
      <c r="A712" t="str">
        <f t="shared" si="209"/>
        <v>https://shop.officineitalianezard.it/en/products/index/triumph-daytona-exhaust-2015-zard-7609-161/</v>
      </c>
      <c r="B712" t="b">
        <f>COUNTIF($A$2:$A712, A712)&gt;1</f>
        <v>1</v>
      </c>
      <c r="C712" t="b">
        <f t="shared" si="210"/>
        <v>1</v>
      </c>
      <c r="D712">
        <f>VLOOKUP(A712,variant_counts!A:B, 2, FALSE)</f>
        <v>3</v>
      </c>
      <c r="E712" t="str">
        <f t="shared" si="223"/>
        <v>zard-exhaust-full-kit-triumph-daytona-my-2013-short-version-ztph033skr-13</v>
      </c>
      <c r="F712" t="str">
        <f t="shared" si="211"/>
        <v>ZARD EXHAUST FULL KIT TRIUMPH DAYTONA &gt; M.Y. 2013 SHORT VERSION ZTPH033SKR-13</v>
      </c>
      <c r="G712" t="str">
        <f t="shared" si="212"/>
        <v/>
      </c>
      <c r="H712" t="str">
        <f t="shared" si="224"/>
        <v/>
      </c>
      <c r="I712" t="str">
        <f t="shared" si="225"/>
        <v/>
      </c>
      <c r="J712" t="str">
        <f t="shared" si="226"/>
        <v/>
      </c>
      <c r="K712" t="str">
        <f t="shared" si="227"/>
        <v/>
      </c>
      <c r="L712" t="str">
        <f t="shared" si="213"/>
        <v>Option</v>
      </c>
      <c r="M712" t="str">
        <f t="shared" si="214"/>
        <v>EURO 3 HOMOLOGATED</v>
      </c>
      <c r="R712" t="str">
        <f t="shared" si="215"/>
        <v>ZTPH033SKR-13</v>
      </c>
      <c r="S712">
        <f t="shared" si="216"/>
        <v>0</v>
      </c>
      <c r="U712" t="str">
        <f t="shared" si="217"/>
        <v>continue</v>
      </c>
      <c r="V712" t="str">
        <f t="shared" si="218"/>
        <v>manual</v>
      </c>
      <c r="W712" s="5">
        <f t="shared" si="219"/>
        <v>1370.1174000000001</v>
      </c>
      <c r="Y712" t="b">
        <f t="shared" si="220"/>
        <v>1</v>
      </c>
      <c r="Z712" t="b">
        <f t="shared" si="221"/>
        <v>0</v>
      </c>
      <c r="AB712" t="str">
        <f t="shared" si="222"/>
        <v/>
      </c>
      <c r="AE712" t="b">
        <v>0</v>
      </c>
    </row>
    <row r="713" spans="1:31" x14ac:dyDescent="0.2">
      <c r="A713" t="str">
        <f t="shared" si="209"/>
        <v>https://shop.officineitalianezard.it/en/products/index/triumph-daytona-exhaust-2015-zard-7609-161/</v>
      </c>
      <c r="B713" t="b">
        <f>COUNTIF($A$2:$A713, A713)&gt;1</f>
        <v>1</v>
      </c>
      <c r="C713" t="b">
        <f t="shared" si="210"/>
        <v>1</v>
      </c>
      <c r="D713">
        <f>VLOOKUP(A713,variant_counts!A:B, 2, FALSE)</f>
        <v>3</v>
      </c>
      <c r="E713" t="str">
        <f t="shared" si="223"/>
        <v>zard-exhaust-full-kit-triumph-daytona-my-2013-short-version-ztph033skr-13</v>
      </c>
      <c r="F713" t="str">
        <f t="shared" si="211"/>
        <v>ZARD EXHAUST FULL KIT TRIUMPH DAYTONA &gt; M.Y. 2013 SHORT VERSION ZTPH033SKR-13</v>
      </c>
      <c r="G713" t="str">
        <f t="shared" si="212"/>
        <v/>
      </c>
      <c r="H713" t="str">
        <f t="shared" si="224"/>
        <v/>
      </c>
      <c r="I713" t="str">
        <f t="shared" si="225"/>
        <v/>
      </c>
      <c r="J713" t="str">
        <f t="shared" si="226"/>
        <v/>
      </c>
      <c r="K713" t="str">
        <f t="shared" si="227"/>
        <v/>
      </c>
      <c r="L713" t="str">
        <f t="shared" si="213"/>
        <v>Option</v>
      </c>
      <c r="M713" t="str">
        <f t="shared" si="214"/>
        <v>BLACK COATING</v>
      </c>
      <c r="R713" t="str">
        <f t="shared" si="215"/>
        <v>ZTPH033SKR-13</v>
      </c>
      <c r="S713">
        <f t="shared" si="216"/>
        <v>0</v>
      </c>
      <c r="U713" t="str">
        <f t="shared" si="217"/>
        <v>continue</v>
      </c>
      <c r="V713" t="str">
        <f t="shared" si="218"/>
        <v>manual</v>
      </c>
      <c r="W713" s="5">
        <f t="shared" si="219"/>
        <v>1516.6929000000002</v>
      </c>
      <c r="Y713" t="b">
        <f t="shared" si="220"/>
        <v>1</v>
      </c>
      <c r="Z713" t="b">
        <f t="shared" si="221"/>
        <v>0</v>
      </c>
      <c r="AB713" t="str">
        <f t="shared" si="222"/>
        <v/>
      </c>
      <c r="AE713" t="b">
        <v>0</v>
      </c>
    </row>
    <row r="714" spans="1:31" x14ac:dyDescent="0.2">
      <c r="A714" t="str">
        <f t="shared" si="209"/>
        <v>https://shop.officineitalianezard.it/en/products/index/triumph-daytona-exhaust-2015-zard-7609-161/</v>
      </c>
      <c r="B714" t="b">
        <f>COUNTIF($A$2:$A714, A714)&gt;1</f>
        <v>1</v>
      </c>
      <c r="C714" t="b">
        <f t="shared" si="210"/>
        <v>1</v>
      </c>
      <c r="D714">
        <f>VLOOKUP(A714,variant_counts!A:B, 2, FALSE)</f>
        <v>3</v>
      </c>
      <c r="E714" t="str">
        <f t="shared" si="223"/>
        <v>zard-exhaust-full-kit-triumph-daytona-my-2013-short-version-ztph033skr-13</v>
      </c>
      <c r="F714" t="str">
        <f t="shared" si="211"/>
        <v>ZARD EXHAUST FULL KIT TRIUMPH DAYTONA &gt; M.Y. 2013 SHORT VERSION ZTPH033SKR-13</v>
      </c>
      <c r="G714" t="str">
        <f t="shared" si="212"/>
        <v/>
      </c>
      <c r="H714" t="str">
        <f t="shared" si="224"/>
        <v/>
      </c>
      <c r="I714" t="str">
        <f t="shared" si="225"/>
        <v/>
      </c>
      <c r="J714" t="str">
        <f t="shared" si="226"/>
        <v/>
      </c>
      <c r="K714" t="str">
        <f t="shared" si="227"/>
        <v/>
      </c>
      <c r="L714" t="str">
        <f t="shared" si="213"/>
        <v>Option</v>
      </c>
      <c r="M714" t="str">
        <f t="shared" si="214"/>
        <v>CARBON ENDCAP</v>
      </c>
      <c r="R714" t="str">
        <f t="shared" si="215"/>
        <v>ZTPH033SKR-13</v>
      </c>
      <c r="S714">
        <f t="shared" si="216"/>
        <v>0</v>
      </c>
      <c r="U714" t="str">
        <f t="shared" si="217"/>
        <v>continue</v>
      </c>
      <c r="V714" t="str">
        <f t="shared" si="218"/>
        <v>manual</v>
      </c>
      <c r="W714" s="5">
        <f t="shared" si="219"/>
        <v>1375.0347000000002</v>
      </c>
      <c r="Y714" t="b">
        <f t="shared" si="220"/>
        <v>1</v>
      </c>
      <c r="Z714" t="b">
        <f t="shared" si="221"/>
        <v>0</v>
      </c>
      <c r="AB714" t="str">
        <f t="shared" si="222"/>
        <v/>
      </c>
      <c r="AE714" t="b">
        <v>0</v>
      </c>
    </row>
    <row r="715" spans="1:31" x14ac:dyDescent="0.2">
      <c r="A715" t="str">
        <f t="shared" si="209"/>
        <v>https://shop.officineitalianezard.it/en/full-side-kit/</v>
      </c>
      <c r="B715" t="b">
        <f>COUNTIF($A$2:$A715, A715)&gt;1</f>
        <v>0</v>
      </c>
      <c r="C715" t="b">
        <f t="shared" si="210"/>
        <v>0</v>
      </c>
      <c r="D715">
        <f>VLOOKUP(A715,variant_counts!A:B, 2, FALSE)</f>
        <v>2</v>
      </c>
      <c r="E715" t="str">
        <f t="shared" si="223"/>
        <v>zard-exhaust-full-kit-triumph-daytona-675-my-2009-side-version-ztph033skr-09</v>
      </c>
      <c r="F715" t="str">
        <f t="shared" si="211"/>
        <v>ZARD EXHAUST FULL  KIT TRIUMPH DAYTONA 675 M.Y. 2009 SIDE VERSION ZTPH033SKR-09</v>
      </c>
      <c r="G715" t="str">
        <f t="shared" si="212"/>
        <v>&lt;p&gt;3&amp;gt;1 STEEL RACING FULL KIT&lt;/p&gt;
&lt;p&gt;ORIGINAL FULL KIT WEIGHT: KG 12.2&lt;br&gt;ZARD FULL KIT RACING WEIGHT: KG 4.2&lt;br&gt;ZARD FULL KIT HOMOLOGATED WEIGHT: KG 5.1&lt;/p&gt;
&lt;p&gt;HARD INCREASE IN TERMS OF TORQUE AT LOW-RANGE/MID-RANGE AND + 5 HP COMPARED TO THE ORIGINAL SYSTEM. ASTONISHING SOUND.&lt;/p&gt;</v>
      </c>
      <c r="H715" t="str">
        <f t="shared" si="224"/>
        <v>ZARD</v>
      </c>
      <c r="I715" t="str">
        <f t="shared" si="225"/>
        <v>Exhaust Pipe</v>
      </c>
      <c r="J715" t="str">
        <f t="shared" si="226"/>
        <v>Test</v>
      </c>
      <c r="K715" t="b">
        <f t="shared" si="227"/>
        <v>0</v>
      </c>
      <c r="L715" t="str">
        <f t="shared" si="213"/>
        <v/>
      </c>
      <c r="M715" t="str">
        <f t="shared" si="214"/>
        <v/>
      </c>
      <c r="R715" t="str">
        <f t="shared" si="215"/>
        <v/>
      </c>
      <c r="S715" t="str">
        <f t="shared" si="216"/>
        <v/>
      </c>
      <c r="U715" t="str">
        <f t="shared" si="217"/>
        <v/>
      </c>
      <c r="V715" t="str">
        <f t="shared" si="218"/>
        <v/>
      </c>
      <c r="W715" s="5" t="str">
        <f t="shared" si="219"/>
        <v/>
      </c>
      <c r="Y715" t="str">
        <f t="shared" si="220"/>
        <v/>
      </c>
      <c r="Z715" t="str">
        <f t="shared" si="221"/>
        <v/>
      </c>
      <c r="AB715" t="str">
        <f t="shared" si="222"/>
        <v>https://shop.officineitalianezard.it/contents/imgs/products/1_63-daytona-rossa2.jpg</v>
      </c>
      <c r="AE715" t="b">
        <v>0</v>
      </c>
    </row>
    <row r="716" spans="1:31" x14ac:dyDescent="0.2">
      <c r="A716" t="str">
        <f t="shared" si="209"/>
        <v>https://shop.officineitalianezard.it/en/full-side-kit/</v>
      </c>
      <c r="B716" t="b">
        <f>COUNTIF($A$2:$A716, A716)&gt;1</f>
        <v>1</v>
      </c>
      <c r="C716" t="b">
        <f t="shared" si="210"/>
        <v>0</v>
      </c>
      <c r="D716">
        <f>VLOOKUP(A716,variant_counts!A:B, 2, FALSE)</f>
        <v>2</v>
      </c>
      <c r="E716" t="str">
        <f t="shared" si="223"/>
        <v>zard-exhaust-full-kit-triumph-daytona-675-my-2009-side-version-ztph033skr-09</v>
      </c>
      <c r="F716" t="str">
        <f t="shared" si="211"/>
        <v>ZARD EXHAUST FULL  KIT TRIUMPH DAYTONA 675 M.Y. 2009 SIDE VERSION ZTPH033SKR-09</v>
      </c>
      <c r="G716" t="str">
        <f t="shared" si="212"/>
        <v/>
      </c>
      <c r="H716" t="str">
        <f t="shared" si="224"/>
        <v/>
      </c>
      <c r="I716" t="str">
        <f t="shared" si="225"/>
        <v/>
      </c>
      <c r="J716" t="str">
        <f t="shared" si="226"/>
        <v/>
      </c>
      <c r="K716" t="str">
        <f t="shared" si="227"/>
        <v/>
      </c>
      <c r="L716" t="str">
        <f t="shared" si="213"/>
        <v/>
      </c>
      <c r="M716" t="str">
        <f t="shared" si="214"/>
        <v/>
      </c>
      <c r="R716" t="str">
        <f t="shared" si="215"/>
        <v/>
      </c>
      <c r="S716" t="str">
        <f t="shared" si="216"/>
        <v/>
      </c>
      <c r="U716" t="str">
        <f t="shared" si="217"/>
        <v/>
      </c>
      <c r="V716" t="str">
        <f t="shared" si="218"/>
        <v/>
      </c>
      <c r="W716" s="5" t="str">
        <f t="shared" si="219"/>
        <v/>
      </c>
      <c r="Y716" t="str">
        <f t="shared" si="220"/>
        <v/>
      </c>
      <c r="Z716" t="str">
        <f t="shared" si="221"/>
        <v/>
      </c>
      <c r="AB716" t="str">
        <f t="shared" si="222"/>
        <v>https://shop.officineitalianezard.it/contents/imgs/products/1_62-daytona-rossa1.jpg</v>
      </c>
      <c r="AE716" t="b">
        <v>0</v>
      </c>
    </row>
    <row r="717" spans="1:31" x14ac:dyDescent="0.2">
      <c r="A717" t="str">
        <f t="shared" si="209"/>
        <v>https://shop.officineitalianezard.it/en/full-side-kit/</v>
      </c>
      <c r="B717" t="b">
        <f>COUNTIF($A$2:$A717, A717)&gt;1</f>
        <v>1</v>
      </c>
      <c r="C717" t="b">
        <f t="shared" si="210"/>
        <v>1</v>
      </c>
      <c r="D717">
        <f>VLOOKUP(A717,variant_counts!A:B, 2, FALSE)</f>
        <v>2</v>
      </c>
      <c r="E717" t="str">
        <f t="shared" si="223"/>
        <v>zard-exhaust-full-kit-triumph-daytona-675-my-2009-side-version-ztph033skr-09</v>
      </c>
      <c r="F717" t="str">
        <f t="shared" si="211"/>
        <v>ZARD EXHAUST FULL  KIT TRIUMPH DAYTONA 675 M.Y. 2009 SIDE VERSION ZTPH033SKR-09</v>
      </c>
      <c r="G717" t="str">
        <f t="shared" si="212"/>
        <v/>
      </c>
      <c r="H717" t="str">
        <f t="shared" si="224"/>
        <v/>
      </c>
      <c r="I717" t="str">
        <f t="shared" si="225"/>
        <v/>
      </c>
      <c r="J717" t="str">
        <f t="shared" si="226"/>
        <v/>
      </c>
      <c r="K717" t="str">
        <f t="shared" si="227"/>
        <v/>
      </c>
      <c r="L717" t="str">
        <f t="shared" si="213"/>
        <v>Option</v>
      </c>
      <c r="M717" t="str">
        <f t="shared" si="214"/>
        <v>CATALYSED</v>
      </c>
      <c r="R717" t="str">
        <f t="shared" si="215"/>
        <v>ZTPH033SKR-09</v>
      </c>
      <c r="S717">
        <f t="shared" si="216"/>
        <v>0</v>
      </c>
      <c r="U717" t="str">
        <f t="shared" si="217"/>
        <v>continue</v>
      </c>
      <c r="V717" t="str">
        <f t="shared" si="218"/>
        <v>manual</v>
      </c>
      <c r="W717" s="5">
        <f t="shared" si="219"/>
        <v>1562.2806000000003</v>
      </c>
      <c r="Y717" t="b">
        <f t="shared" si="220"/>
        <v>1</v>
      </c>
      <c r="Z717" t="b">
        <f t="shared" si="221"/>
        <v>0</v>
      </c>
      <c r="AB717" t="str">
        <f t="shared" si="222"/>
        <v/>
      </c>
      <c r="AE717" t="b">
        <v>0</v>
      </c>
    </row>
    <row r="718" spans="1:31" x14ac:dyDescent="0.2">
      <c r="A718" t="str">
        <f t="shared" si="209"/>
        <v>https://shop.officineitalianezard.it/en/full-side-kit/</v>
      </c>
      <c r="B718" t="b">
        <f>COUNTIF($A$2:$A718, A718)&gt;1</f>
        <v>1</v>
      </c>
      <c r="C718" t="b">
        <f t="shared" si="210"/>
        <v>1</v>
      </c>
      <c r="D718">
        <f>VLOOKUP(A718,variant_counts!A:B, 2, FALSE)</f>
        <v>2</v>
      </c>
      <c r="E718" t="str">
        <f t="shared" si="223"/>
        <v>zard-exhaust-full-kit-triumph-daytona-675-my-2009-side-version-ztph033skr-09</v>
      </c>
      <c r="F718" t="str">
        <f t="shared" si="211"/>
        <v>ZARD EXHAUST FULL  KIT TRIUMPH DAYTONA 675 M.Y. 2009 SIDE VERSION ZTPH033SKR-09</v>
      </c>
      <c r="G718" t="str">
        <f t="shared" si="212"/>
        <v/>
      </c>
      <c r="H718" t="str">
        <f t="shared" si="224"/>
        <v/>
      </c>
      <c r="I718" t="str">
        <f t="shared" si="225"/>
        <v/>
      </c>
      <c r="J718" t="str">
        <f t="shared" si="226"/>
        <v/>
      </c>
      <c r="K718" t="str">
        <f t="shared" si="227"/>
        <v/>
      </c>
      <c r="L718" t="str">
        <f t="shared" si="213"/>
        <v>Option</v>
      </c>
      <c r="M718" t="str">
        <f t="shared" si="214"/>
        <v>BLACK COATING</v>
      </c>
      <c r="R718" t="str">
        <f t="shared" si="215"/>
        <v>ZTPH033SKR-09</v>
      </c>
      <c r="S718">
        <f t="shared" si="216"/>
        <v>0</v>
      </c>
      <c r="U718" t="str">
        <f t="shared" si="217"/>
        <v>continue</v>
      </c>
      <c r="V718" t="str">
        <f t="shared" si="218"/>
        <v>manual</v>
      </c>
      <c r="W718" s="5">
        <f t="shared" si="219"/>
        <v>1661.3592000000001</v>
      </c>
      <c r="Y718" t="b">
        <f t="shared" si="220"/>
        <v>1</v>
      </c>
      <c r="Z718" t="b">
        <f t="shared" si="221"/>
        <v>0</v>
      </c>
      <c r="AB718" t="str">
        <f t="shared" si="222"/>
        <v/>
      </c>
      <c r="AE718" t="b">
        <v>0</v>
      </c>
    </row>
    <row r="719" spans="1:31" x14ac:dyDescent="0.2">
      <c r="A719" t="str">
        <f t="shared" si="209"/>
        <v>https://shop.officineitalianezard.it/en/products/index/full-underseat-kit-7013-35/</v>
      </c>
      <c r="B719" t="b">
        <f>COUNTIF($A$2:$A719, A719)&gt;1</f>
        <v>0</v>
      </c>
      <c r="C719" t="b">
        <f t="shared" si="210"/>
        <v>0</v>
      </c>
      <c r="D719">
        <f>VLOOKUP(A719,variant_counts!A:B, 2, FALSE)</f>
        <v>1</v>
      </c>
      <c r="E719" t="str">
        <f t="shared" si="223"/>
        <v>zard-exhaust-full-kit-triumph-daytona-675-underseat-version-ztph-033-sks</v>
      </c>
      <c r="F719" t="str">
        <f t="shared" si="211"/>
        <v>ZARD EXHAUST FULL KIT TRIUMPH DAYTONA 675 UNDERSEAT VERSION ZTPH 033 SKS</v>
      </c>
      <c r="G719" t="str">
        <f t="shared" si="212"/>
        <v>&lt;p&gt;3&amp;gt;1 STEEL RACING FULL KIT&lt;/p&gt;
&lt;p&gt;ORIGINAL FULL KIT WEIGHT: KG 12.2&lt;br&gt;ZARD RACING FULL KIT WEIGHT: KG 3.9&lt;br&gt;ZARD HOMOLOGATED FULL KIT WEIGHT: KG 5.1&lt;/p&gt;
&lt;p&gt;HARD INCREASE IN TERMS OF TORQUE AT LOW-RANGE/MID-RANGE AND + 1.5 HP COMPARED TO THE ORIGINAL SYSTEM. ASTONISHING SOUND.&lt;/p&gt;</v>
      </c>
      <c r="H719" t="str">
        <f t="shared" si="224"/>
        <v>ZARD</v>
      </c>
      <c r="I719" t="str">
        <f t="shared" si="225"/>
        <v>Exhaust Pipe</v>
      </c>
      <c r="J719" t="str">
        <f t="shared" si="226"/>
        <v>Test</v>
      </c>
      <c r="K719" t="b">
        <f t="shared" si="227"/>
        <v>0</v>
      </c>
      <c r="L719" t="str">
        <f t="shared" si="213"/>
        <v>Option</v>
      </c>
      <c r="M719" t="str">
        <f t="shared" si="214"/>
        <v>DEFAULT</v>
      </c>
      <c r="R719" t="str">
        <f t="shared" si="215"/>
        <v>ZTPH 033 SKS</v>
      </c>
      <c r="S719">
        <f t="shared" si="216"/>
        <v>0</v>
      </c>
      <c r="U719" t="str">
        <f t="shared" si="217"/>
        <v>continue</v>
      </c>
      <c r="V719" t="str">
        <f t="shared" si="218"/>
        <v>manual</v>
      </c>
      <c r="W719" s="5">
        <f t="shared" si="219"/>
        <v>1450.2816</v>
      </c>
      <c r="Y719" t="b">
        <f t="shared" si="220"/>
        <v>1</v>
      </c>
      <c r="Z719" t="b">
        <f t="shared" si="221"/>
        <v>0</v>
      </c>
      <c r="AB719" t="str">
        <f t="shared" si="222"/>
        <v>https://shop.officineitalianezard.it/contents/imgs/products/1_59-daytona-gialla2.jpg</v>
      </c>
      <c r="AE719" t="b">
        <v>0</v>
      </c>
    </row>
    <row r="720" spans="1:31" x14ac:dyDescent="0.2">
      <c r="A720" t="str">
        <f t="shared" si="209"/>
        <v>https://shop.officineitalianezard.it/en/products/index/full-underseat-kit-7013-35/</v>
      </c>
      <c r="B720" t="b">
        <f>COUNTIF($A$2:$A720, A720)&gt;1</f>
        <v>1</v>
      </c>
      <c r="C720" t="b">
        <f t="shared" si="210"/>
        <v>0</v>
      </c>
      <c r="D720">
        <f>VLOOKUP(A720,variant_counts!A:B, 2, FALSE)</f>
        <v>1</v>
      </c>
      <c r="E720" t="str">
        <f t="shared" si="223"/>
        <v>zard-exhaust-full-kit-triumph-daytona-675-underseat-version-ztph-033-sks</v>
      </c>
      <c r="F720" t="str">
        <f t="shared" si="211"/>
        <v>ZARD EXHAUST FULL KIT TRIUMPH DAYTONA 675 UNDERSEAT VERSION ZTPH 033 SKS</v>
      </c>
      <c r="G720" t="str">
        <f t="shared" si="212"/>
        <v/>
      </c>
      <c r="H720" t="str">
        <f t="shared" si="224"/>
        <v/>
      </c>
      <c r="I720" t="str">
        <f t="shared" si="225"/>
        <v/>
      </c>
      <c r="J720" t="str">
        <f t="shared" si="226"/>
        <v/>
      </c>
      <c r="K720" t="str">
        <f t="shared" si="227"/>
        <v/>
      </c>
      <c r="L720" t="str">
        <f t="shared" si="213"/>
        <v/>
      </c>
      <c r="M720" t="str">
        <f t="shared" si="214"/>
        <v/>
      </c>
      <c r="R720" t="str">
        <f t="shared" si="215"/>
        <v/>
      </c>
      <c r="S720" t="str">
        <f t="shared" si="216"/>
        <v/>
      </c>
      <c r="U720" t="str">
        <f t="shared" si="217"/>
        <v/>
      </c>
      <c r="V720" t="str">
        <f t="shared" si="218"/>
        <v/>
      </c>
      <c r="W720" s="5" t="str">
        <f t="shared" si="219"/>
        <v/>
      </c>
      <c r="Y720" t="str">
        <f t="shared" si="220"/>
        <v/>
      </c>
      <c r="Z720" t="str">
        <f t="shared" si="221"/>
        <v/>
      </c>
      <c r="AB720" t="str">
        <f t="shared" si="222"/>
        <v>https://shop.officineitalianezard.it/contents/imgs/products/1_58-daytona-gialla1.jpg</v>
      </c>
      <c r="AE720" t="b">
        <v>0</v>
      </c>
    </row>
    <row r="721" spans="1:31" x14ac:dyDescent="0.2">
      <c r="A721" t="str">
        <f t="shared" si="209"/>
        <v>https://shop.officineitalianezard.it/en/products/index/full-underseat-kit-7013-35/</v>
      </c>
      <c r="B721" t="b">
        <f>COUNTIF($A$2:$A721, A721)&gt;1</f>
        <v>1</v>
      </c>
      <c r="C721" t="b">
        <f t="shared" si="210"/>
        <v>1</v>
      </c>
      <c r="D721">
        <f>VLOOKUP(A721,variant_counts!A:B, 2, FALSE)</f>
        <v>1</v>
      </c>
      <c r="E721" t="str">
        <f t="shared" si="223"/>
        <v>zard-exhaust-full-kit-triumph-daytona-675-underseat-version-ztph-033-sks</v>
      </c>
      <c r="F721" t="str">
        <f t="shared" si="211"/>
        <v>ZARD EXHAUST FULL KIT TRIUMPH DAYTONA 675 UNDERSEAT VERSION ZTPH 033 SKS</v>
      </c>
      <c r="G721" t="str">
        <f t="shared" si="212"/>
        <v/>
      </c>
      <c r="H721" t="str">
        <f t="shared" si="224"/>
        <v/>
      </c>
      <c r="I721" t="str">
        <f t="shared" si="225"/>
        <v/>
      </c>
      <c r="J721" t="str">
        <f t="shared" si="226"/>
        <v/>
      </c>
      <c r="K721" t="str">
        <f t="shared" si="227"/>
        <v/>
      </c>
      <c r="L721" t="str">
        <f t="shared" si="213"/>
        <v>Option</v>
      </c>
      <c r="M721" t="str">
        <f t="shared" si="214"/>
        <v>BLACK CERAMIC COATING</v>
      </c>
      <c r="R721" t="str">
        <f t="shared" si="215"/>
        <v>ZTPH 033 SKS</v>
      </c>
      <c r="S721">
        <f t="shared" si="216"/>
        <v>0</v>
      </c>
      <c r="U721" t="str">
        <f t="shared" si="217"/>
        <v>continue</v>
      </c>
      <c r="V721" t="str">
        <f t="shared" si="218"/>
        <v>manual</v>
      </c>
      <c r="W721" s="5">
        <f t="shared" si="219"/>
        <v>1638.6153000000002</v>
      </c>
      <c r="Y721" t="b">
        <f t="shared" si="220"/>
        <v>1</v>
      </c>
      <c r="Z721" t="b">
        <f t="shared" si="221"/>
        <v>0</v>
      </c>
      <c r="AB721" t="str">
        <f t="shared" si="222"/>
        <v/>
      </c>
      <c r="AE721" t="b">
        <v>0</v>
      </c>
    </row>
    <row r="722" spans="1:31" x14ac:dyDescent="0.2">
      <c r="A722" t="str">
        <f t="shared" si="209"/>
        <v>https://shop.officineitalianezard.it/en/full-side-kit-2/</v>
      </c>
      <c r="B722" t="b">
        <f>COUNTIF($A$2:$A722, A722)&gt;1</f>
        <v>0</v>
      </c>
      <c r="C722" t="b">
        <f t="shared" si="210"/>
        <v>0</v>
      </c>
      <c r="D722">
        <f>VLOOKUP(A722,variant_counts!A:B, 2, FALSE)</f>
        <v>2</v>
      </c>
      <c r="E722" t="str">
        <f t="shared" si="223"/>
        <v>zard-exhaust-full-kit-triumph-daytona-675-side-version-ztph033skr</v>
      </c>
      <c r="F722" t="str">
        <f t="shared" si="211"/>
        <v>ZARD EXHAUST FULL KIT TRIUMPH DAYTONA 675 SIDE VERSION ZTPH033SKR</v>
      </c>
      <c r="G722" t="str">
        <f t="shared" si="212"/>
        <v>&lt;p&gt;2&amp;gt;1 STEEL RACING FULL KIT&lt;/p&gt;
&lt;p&gt;ORIGINAL SILENCER WEIGHT: KG 12.2&lt;br&gt;ZARD SILENCER WEIGHT: KG 4.2&lt;/p&gt;
&lt;p&gt;HARD INCREASE IN TERMS OF TORQUE AT LOW-RANGE/MID-RANGE AND + 5 HP COMPARED TO THE ORIGINAL SYSTEM. ASTONISHING SOUND.&lt;/p&gt;</v>
      </c>
      <c r="H722" t="str">
        <f t="shared" si="224"/>
        <v>ZARD</v>
      </c>
      <c r="I722" t="str">
        <f t="shared" si="225"/>
        <v>Exhaust Pipe</v>
      </c>
      <c r="J722" t="str">
        <f t="shared" si="226"/>
        <v>Test</v>
      </c>
      <c r="K722" t="b">
        <f t="shared" si="227"/>
        <v>0</v>
      </c>
      <c r="L722" t="str">
        <f t="shared" si="213"/>
        <v/>
      </c>
      <c r="M722" t="str">
        <f t="shared" si="214"/>
        <v/>
      </c>
      <c r="R722" t="str">
        <f t="shared" si="215"/>
        <v/>
      </c>
      <c r="S722" t="str">
        <f t="shared" si="216"/>
        <v/>
      </c>
      <c r="U722" t="str">
        <f t="shared" si="217"/>
        <v/>
      </c>
      <c r="V722" t="str">
        <f t="shared" si="218"/>
        <v/>
      </c>
      <c r="W722" s="5" t="str">
        <f t="shared" si="219"/>
        <v/>
      </c>
      <c r="Y722" t="str">
        <f t="shared" si="220"/>
        <v/>
      </c>
      <c r="Z722" t="str">
        <f t="shared" si="221"/>
        <v/>
      </c>
      <c r="AB722" t="str">
        <f t="shared" si="222"/>
        <v>https://shop.officineitalianezard.it/contents/imgs/products/1_61-daytona-rossa2.jpg</v>
      </c>
      <c r="AE722" t="b">
        <v>0</v>
      </c>
    </row>
    <row r="723" spans="1:31" x14ac:dyDescent="0.2">
      <c r="A723" t="str">
        <f t="shared" si="209"/>
        <v>https://shop.officineitalianezard.it/en/full-side-kit-2/</v>
      </c>
      <c r="B723" t="b">
        <f>COUNTIF($A$2:$A723, A723)&gt;1</f>
        <v>1</v>
      </c>
      <c r="C723" t="b">
        <f t="shared" si="210"/>
        <v>0</v>
      </c>
      <c r="D723">
        <f>VLOOKUP(A723,variant_counts!A:B, 2, FALSE)</f>
        <v>2</v>
      </c>
      <c r="E723" t="str">
        <f t="shared" si="223"/>
        <v>zard-exhaust-full-kit-triumph-daytona-675-side-version-ztph033skr</v>
      </c>
      <c r="F723" t="str">
        <f t="shared" si="211"/>
        <v>ZARD EXHAUST FULL KIT TRIUMPH DAYTONA 675 SIDE VERSION ZTPH033SKR</v>
      </c>
      <c r="G723" t="str">
        <f t="shared" si="212"/>
        <v/>
      </c>
      <c r="H723" t="str">
        <f t="shared" si="224"/>
        <v/>
      </c>
      <c r="I723" t="str">
        <f t="shared" si="225"/>
        <v/>
      </c>
      <c r="J723" t="str">
        <f t="shared" si="226"/>
        <v/>
      </c>
      <c r="K723" t="str">
        <f t="shared" si="227"/>
        <v/>
      </c>
      <c r="L723" t="str">
        <f t="shared" si="213"/>
        <v/>
      </c>
      <c r="M723" t="str">
        <f t="shared" si="214"/>
        <v/>
      </c>
      <c r="R723" t="str">
        <f t="shared" si="215"/>
        <v/>
      </c>
      <c r="S723" t="str">
        <f t="shared" si="216"/>
        <v/>
      </c>
      <c r="U723" t="str">
        <f t="shared" si="217"/>
        <v/>
      </c>
      <c r="V723" t="str">
        <f t="shared" si="218"/>
        <v/>
      </c>
      <c r="W723" s="5" t="str">
        <f t="shared" si="219"/>
        <v/>
      </c>
      <c r="Y723" t="str">
        <f t="shared" si="220"/>
        <v/>
      </c>
      <c r="Z723" t="str">
        <f t="shared" si="221"/>
        <v/>
      </c>
      <c r="AB723" t="str">
        <f t="shared" si="222"/>
        <v>https://shop.officineitalianezard.it/contents/imgs/products/1_60-daytona-rossa1.jpg</v>
      </c>
      <c r="AE723" t="b">
        <v>0</v>
      </c>
    </row>
    <row r="724" spans="1:31" x14ac:dyDescent="0.2">
      <c r="A724" t="str">
        <f t="shared" si="209"/>
        <v>https://shop.officineitalianezard.it/en/full-side-kit-2/</v>
      </c>
      <c r="B724" t="b">
        <f>COUNTIF($A$2:$A724, A724)&gt;1</f>
        <v>1</v>
      </c>
      <c r="C724" t="b">
        <f t="shared" si="210"/>
        <v>1</v>
      </c>
      <c r="D724">
        <f>VLOOKUP(A724,variant_counts!A:B, 2, FALSE)</f>
        <v>2</v>
      </c>
      <c r="E724" t="str">
        <f t="shared" si="223"/>
        <v>zard-exhaust-full-kit-triumph-daytona-675-side-version-ztph033skr</v>
      </c>
      <c r="F724" t="str">
        <f t="shared" si="211"/>
        <v>ZARD EXHAUST FULL KIT TRIUMPH DAYTONA 675 SIDE VERSION ZTPH033SKR</v>
      </c>
      <c r="G724" t="str">
        <f t="shared" si="212"/>
        <v/>
      </c>
      <c r="H724" t="str">
        <f t="shared" si="224"/>
        <v/>
      </c>
      <c r="I724" t="str">
        <f t="shared" si="225"/>
        <v/>
      </c>
      <c r="J724" t="str">
        <f t="shared" si="226"/>
        <v/>
      </c>
      <c r="K724" t="str">
        <f t="shared" si="227"/>
        <v/>
      </c>
      <c r="L724" t="str">
        <f t="shared" si="213"/>
        <v>Option</v>
      </c>
      <c r="M724" t="str">
        <f t="shared" si="214"/>
        <v>CATALYSED</v>
      </c>
      <c r="R724" t="str">
        <f t="shared" si="215"/>
        <v>ZTPH033SKR</v>
      </c>
      <c r="S724">
        <f t="shared" si="216"/>
        <v>0</v>
      </c>
      <c r="U724" t="str">
        <f t="shared" si="217"/>
        <v>continue</v>
      </c>
      <c r="V724" t="str">
        <f t="shared" si="218"/>
        <v>manual</v>
      </c>
      <c r="W724" s="5">
        <f t="shared" si="219"/>
        <v>1414.3398000000002</v>
      </c>
      <c r="Y724" t="b">
        <f t="shared" si="220"/>
        <v>1</v>
      </c>
      <c r="Z724" t="b">
        <f t="shared" si="221"/>
        <v>0</v>
      </c>
      <c r="AB724" t="str">
        <f t="shared" si="222"/>
        <v/>
      </c>
      <c r="AE724" t="b">
        <v>0</v>
      </c>
    </row>
    <row r="725" spans="1:31" x14ac:dyDescent="0.2">
      <c r="A725" t="str">
        <f t="shared" si="209"/>
        <v>https://shop.officineitalianezard.it/en/full-side-kit-2/</v>
      </c>
      <c r="B725" t="b">
        <f>COUNTIF($A$2:$A725, A725)&gt;1</f>
        <v>1</v>
      </c>
      <c r="C725" t="b">
        <f t="shared" si="210"/>
        <v>1</v>
      </c>
      <c r="D725">
        <f>VLOOKUP(A725,variant_counts!A:B, 2, FALSE)</f>
        <v>2</v>
      </c>
      <c r="E725" t="str">
        <f t="shared" si="223"/>
        <v>zard-exhaust-full-kit-triumph-daytona-675-side-version-ztph033skr</v>
      </c>
      <c r="F725" t="str">
        <f t="shared" si="211"/>
        <v>ZARD EXHAUST FULL KIT TRIUMPH DAYTONA 675 SIDE VERSION ZTPH033SKR</v>
      </c>
      <c r="G725" t="str">
        <f t="shared" si="212"/>
        <v/>
      </c>
      <c r="H725" t="str">
        <f t="shared" si="224"/>
        <v/>
      </c>
      <c r="I725" t="str">
        <f t="shared" si="225"/>
        <v/>
      </c>
      <c r="J725" t="str">
        <f t="shared" si="226"/>
        <v/>
      </c>
      <c r="K725" t="str">
        <f t="shared" si="227"/>
        <v/>
      </c>
      <c r="L725" t="str">
        <f t="shared" si="213"/>
        <v>Option</v>
      </c>
      <c r="M725" t="str">
        <f t="shared" si="214"/>
        <v>BLACK COATING</v>
      </c>
      <c r="R725" t="str">
        <f t="shared" si="215"/>
        <v>ZTPH033SKR</v>
      </c>
      <c r="S725">
        <f t="shared" si="216"/>
        <v>0</v>
      </c>
      <c r="U725" t="str">
        <f t="shared" si="217"/>
        <v>continue</v>
      </c>
      <c r="V725" t="str">
        <f t="shared" si="218"/>
        <v>manual</v>
      </c>
      <c r="W725" s="5">
        <f t="shared" si="219"/>
        <v>1516.6929000000002</v>
      </c>
      <c r="Y725" t="b">
        <f t="shared" si="220"/>
        <v>1</v>
      </c>
      <c r="Z725" t="b">
        <f t="shared" si="221"/>
        <v>0</v>
      </c>
      <c r="AB725" t="str">
        <f t="shared" si="222"/>
        <v/>
      </c>
      <c r="AE725" t="b">
        <v>0</v>
      </c>
    </row>
    <row r="726" spans="1:31" x14ac:dyDescent="0.2">
      <c r="A726" t="str">
        <f t="shared" si="209"/>
        <v>https://shop.officineitalianezard.it/en/triumph-side-panels-zard/</v>
      </c>
      <c r="B726" t="b">
        <f>COUNTIF($A$2:$A726, A726)&gt;1</f>
        <v>0</v>
      </c>
      <c r="C726" t="b">
        <f t="shared" si="210"/>
        <v>0</v>
      </c>
      <c r="D726">
        <f>VLOOKUP(A726,variant_counts!A:B, 2, FALSE)</f>
        <v>1</v>
      </c>
      <c r="E726" t="str">
        <f t="shared" si="223"/>
        <v>zard-exhaust-side-panels-triumph-bonneville-t100-my-2017-brushed-aluminium-version-ztph065f</v>
      </c>
      <c r="F726" t="str">
        <f t="shared" si="211"/>
        <v>ZARD EXHAUST SIDE PANELS TRIUMPH BONNEVILLE T100 M.Y. 2017 BRUSHED ALUMINIUM VERSION ZTPH065F</v>
      </c>
      <c r="G726" t="str">
        <f t="shared" si="212"/>
        <v>&lt;p&gt;BRUSHED ALUMINIUM LEFT+RIGHT SIDE PANELS&amp;nbsp;&lt;/p&gt;
&lt;p&gt;&lt;strong&gt;MODELS COMPATIBILITY&lt;/strong&gt;:&lt;/p&gt;
&lt;p&gt;TRIUMPH BONNEVILLE T100&amp;nbsp;&lt;span&gt;M.Y. 2017&lt;/span&gt;, TRIUMPH BONNEVILLE T120, TRIUMPH STREET TWIN,&amp;nbsp;&lt;span&gt;TRIUMPH STREET-CUP, TRIUMPH STREET SCRAMBLER&lt;/span&gt;&lt;/p&gt;
&lt;p&gt;MATT BLACK PAINTED VERSION AVAILABLE AS OPTIONAL.&lt;/p&gt;
&lt;p&gt;FITTING KIT INCLUDED.&lt;/p&gt;
&lt;p&gt;&lt;strong&gt;NOTICE: NOT COMPATIBLE WITH HIGH MOUNT EXHAUST&lt;/strong&gt;&lt;/p&gt;</v>
      </c>
      <c r="H726" t="str">
        <f t="shared" si="224"/>
        <v>ZARD</v>
      </c>
      <c r="I726" t="str">
        <f t="shared" si="225"/>
        <v>Exhaust Pipe</v>
      </c>
      <c r="J726" t="str">
        <f t="shared" si="226"/>
        <v>Test</v>
      </c>
      <c r="K726" t="b">
        <f t="shared" si="227"/>
        <v>0</v>
      </c>
      <c r="L726" t="str">
        <f t="shared" si="213"/>
        <v>Option</v>
      </c>
      <c r="M726" t="str">
        <f t="shared" si="214"/>
        <v>DEFAULT</v>
      </c>
      <c r="R726" t="str">
        <f t="shared" si="215"/>
        <v>ZTPH065F</v>
      </c>
      <c r="S726">
        <f t="shared" si="216"/>
        <v>0</v>
      </c>
      <c r="U726" t="str">
        <f t="shared" si="217"/>
        <v>continue</v>
      </c>
      <c r="V726" t="str">
        <f t="shared" si="218"/>
        <v>manual</v>
      </c>
      <c r="W726" s="5">
        <f t="shared" si="219"/>
        <v>190.15410000000003</v>
      </c>
      <c r="Y726" t="b">
        <f t="shared" si="220"/>
        <v>1</v>
      </c>
      <c r="Z726" t="b">
        <f t="shared" si="221"/>
        <v>0</v>
      </c>
      <c r="AB726" t="str">
        <f t="shared" si="222"/>
        <v>https://shop.officineitalianezard.it/contents/imgs/products/1_1829-zard%20triumph%20side%20panels.jpg</v>
      </c>
      <c r="AE726" t="b">
        <v>0</v>
      </c>
    </row>
    <row r="727" spans="1:31" x14ac:dyDescent="0.2">
      <c r="A727" t="str">
        <f t="shared" si="209"/>
        <v>https://shop.officineitalianezard.it/en/triumph-side-panels-zard/</v>
      </c>
      <c r="B727" t="b">
        <f>COUNTIF($A$2:$A727, A727)&gt;1</f>
        <v>1</v>
      </c>
      <c r="C727" t="b">
        <f t="shared" si="210"/>
        <v>1</v>
      </c>
      <c r="D727">
        <f>VLOOKUP(A727,variant_counts!A:B, 2, FALSE)</f>
        <v>1</v>
      </c>
      <c r="E727" t="str">
        <f t="shared" si="223"/>
        <v>zard-exhaust-side-panels-triumph-bonneville-t100-my-2017-brushed-aluminium-version-ztph065f</v>
      </c>
      <c r="F727" t="str">
        <f t="shared" si="211"/>
        <v>ZARD EXHAUST SIDE PANELS TRIUMPH BONNEVILLE T100 M.Y. 2017 BRUSHED ALUMINIUM VERSION ZTPH065F</v>
      </c>
      <c r="G727" t="str">
        <f t="shared" si="212"/>
        <v/>
      </c>
      <c r="H727" t="str">
        <f t="shared" si="224"/>
        <v/>
      </c>
      <c r="I727" t="str">
        <f t="shared" si="225"/>
        <v/>
      </c>
      <c r="J727" t="str">
        <f t="shared" si="226"/>
        <v/>
      </c>
      <c r="K727" t="str">
        <f t="shared" si="227"/>
        <v/>
      </c>
      <c r="L727" t="str">
        <f t="shared" si="213"/>
        <v>Option</v>
      </c>
      <c r="M727" t="str">
        <f t="shared" si="214"/>
        <v>MATT BLACK PAINTED</v>
      </c>
      <c r="R727" t="str">
        <f t="shared" si="215"/>
        <v>ZTPH065F</v>
      </c>
      <c r="S727">
        <f t="shared" si="216"/>
        <v>0</v>
      </c>
      <c r="U727" t="str">
        <f t="shared" si="217"/>
        <v>continue</v>
      </c>
      <c r="V727" t="str">
        <f t="shared" si="218"/>
        <v>manual</v>
      </c>
      <c r="W727" s="5">
        <f t="shared" si="219"/>
        <v>215.53980000000001</v>
      </c>
      <c r="Y727" t="b">
        <f t="shared" si="220"/>
        <v>1</v>
      </c>
      <c r="Z727" t="b">
        <f t="shared" si="221"/>
        <v>0</v>
      </c>
      <c r="AB727" t="str">
        <f t="shared" si="222"/>
        <v/>
      </c>
      <c r="AE727" t="b">
        <v>0</v>
      </c>
    </row>
    <row r="728" spans="1:31" x14ac:dyDescent="0.2">
      <c r="A728" t="str">
        <f t="shared" si="209"/>
        <v>https://shop.officineitalianezard.it/en/bonneville-t120-exhaust/</v>
      </c>
      <c r="B728" t="b">
        <f>COUNTIF($A$2:$A728, A728)&gt;1</f>
        <v>0</v>
      </c>
      <c r="C728" t="b">
        <f t="shared" si="210"/>
        <v>0</v>
      </c>
      <c r="D728">
        <f>VLOOKUP(A728,variant_counts!A:B, 2, FALSE)</f>
        <v>3</v>
      </c>
      <c r="E728" t="str">
        <f t="shared" si="223"/>
        <v>zard-exhaust-n-2-steel-silencers-triumph-bonneville-t120-201619-bottle-design-ztph061ssr</v>
      </c>
      <c r="F728" t="str">
        <f t="shared" si="211"/>
        <v>ZARD EXHAUST N. 2 STEEL SILENCERS TRIUMPH BONNEVILLE T120 2016/19 BOTTLE DESIGN ZTPH061SSR</v>
      </c>
      <c r="G728" t="str">
        <f t="shared" si="212"/>
        <v>&lt;p&gt;N. 2 STEEL RACING SILENCER WITH REMOVABLE DB KILLER&lt;/p&gt;
&lt;p&gt;ORIGINAL SILENCERS WEIGHT:&amp;nbsp;&lt;span&gt;6.4 KG&lt;br&gt;&lt;/span&gt;ZARD SILENCERS WEIGHT: 4.2 KG&lt;/p&gt;
&lt;p&gt;ASTONISHING SOUND, CLASSIC BOTTLE&amp;nbsp;DESIGN.&lt;/p&gt;
&lt;p&gt;FITTING KIT INCLUDED.&lt;/p&gt;
&lt;p&gt;&lt;/p&gt;</v>
      </c>
      <c r="H728" t="str">
        <f t="shared" si="224"/>
        <v>ZARD</v>
      </c>
      <c r="I728" t="str">
        <f t="shared" si="225"/>
        <v>Exhaust Pipe</v>
      </c>
      <c r="J728" t="str">
        <f t="shared" si="226"/>
        <v>Test</v>
      </c>
      <c r="K728" t="b">
        <f t="shared" si="227"/>
        <v>0</v>
      </c>
      <c r="L728" t="str">
        <f t="shared" si="213"/>
        <v/>
      </c>
      <c r="M728" t="str">
        <f t="shared" si="214"/>
        <v/>
      </c>
      <c r="R728" t="str">
        <f t="shared" si="215"/>
        <v/>
      </c>
      <c r="S728" t="str">
        <f t="shared" si="216"/>
        <v/>
      </c>
      <c r="U728" t="str">
        <f t="shared" si="217"/>
        <v/>
      </c>
      <c r="V728" t="str">
        <f t="shared" si="218"/>
        <v/>
      </c>
      <c r="W728" s="5" t="str">
        <f t="shared" si="219"/>
        <v/>
      </c>
      <c r="Y728" t="str">
        <f t="shared" si="220"/>
        <v/>
      </c>
      <c r="Z728" t="str">
        <f t="shared" si="221"/>
        <v/>
      </c>
      <c r="AB728" t="str">
        <f t="shared" si="222"/>
        <v>https://shop.officineitalianezard.it/contents/imgs/products/1_1383-triumph%20bonneville%20t120%20exhaust%20-%20zard%20-%20scarichi%20triumph%20bonneville%20t120%20-%201.jpg</v>
      </c>
      <c r="AE728" t="b">
        <v>0</v>
      </c>
    </row>
    <row r="729" spans="1:31" x14ac:dyDescent="0.2">
      <c r="A729" t="str">
        <f t="shared" si="209"/>
        <v>https://shop.officineitalianezard.it/en/bonneville-t120-exhaust/</v>
      </c>
      <c r="B729" t="b">
        <f>COUNTIF($A$2:$A729, A729)&gt;1</f>
        <v>1</v>
      </c>
      <c r="C729" t="b">
        <f t="shared" si="210"/>
        <v>0</v>
      </c>
      <c r="D729">
        <f>VLOOKUP(A729,variant_counts!A:B, 2, FALSE)</f>
        <v>3</v>
      </c>
      <c r="E729" t="str">
        <f t="shared" si="223"/>
        <v>zard-exhaust-n-2-steel-silencers-triumph-bonneville-t120-201619-bottle-design-ztph061ssr</v>
      </c>
      <c r="F729" t="str">
        <f t="shared" si="211"/>
        <v>ZARD EXHAUST N. 2 STEEL SILENCERS TRIUMPH BONNEVILLE T120 2016/19 BOTTLE DESIGN ZTPH061SSR</v>
      </c>
      <c r="G729" t="str">
        <f t="shared" si="212"/>
        <v/>
      </c>
      <c r="H729" t="str">
        <f t="shared" si="224"/>
        <v/>
      </c>
      <c r="I729" t="str">
        <f t="shared" si="225"/>
        <v/>
      </c>
      <c r="J729" t="str">
        <f t="shared" si="226"/>
        <v/>
      </c>
      <c r="K729" t="str">
        <f t="shared" si="227"/>
        <v/>
      </c>
      <c r="L729" t="str">
        <f t="shared" si="213"/>
        <v/>
      </c>
      <c r="M729" t="str">
        <f t="shared" si="214"/>
        <v/>
      </c>
      <c r="R729" t="str">
        <f t="shared" si="215"/>
        <v/>
      </c>
      <c r="S729" t="str">
        <f t="shared" si="216"/>
        <v/>
      </c>
      <c r="U729" t="str">
        <f t="shared" si="217"/>
        <v/>
      </c>
      <c r="V729" t="str">
        <f t="shared" si="218"/>
        <v/>
      </c>
      <c r="W729" s="5" t="str">
        <f t="shared" si="219"/>
        <v/>
      </c>
      <c r="Y729" t="str">
        <f t="shared" si="220"/>
        <v/>
      </c>
      <c r="Z729" t="str">
        <f t="shared" si="221"/>
        <v/>
      </c>
      <c r="AB729" t="str">
        <f t="shared" si="222"/>
        <v>https://shop.officineitalianezard.it/contents/imgs/products/1_1384-triumph%20bonneville%20t120%20exhaust%20-%20zard%20-%20scarichi%20triumph%20bonneville%20t120%20-%202.jpg</v>
      </c>
      <c r="AE729" t="b">
        <v>0</v>
      </c>
    </row>
    <row r="730" spans="1:31" x14ac:dyDescent="0.2">
      <c r="A730" t="str">
        <f t="shared" si="209"/>
        <v>https://shop.officineitalianezard.it/en/bonneville-t120-exhaust/</v>
      </c>
      <c r="B730" t="b">
        <f>COUNTIF($A$2:$A730, A730)&gt;1</f>
        <v>1</v>
      </c>
      <c r="C730" t="b">
        <f t="shared" si="210"/>
        <v>0</v>
      </c>
      <c r="D730">
        <f>VLOOKUP(A730,variant_counts!A:B, 2, FALSE)</f>
        <v>3</v>
      </c>
      <c r="E730" t="str">
        <f t="shared" si="223"/>
        <v>zard-exhaust-n-2-steel-silencers-triumph-bonneville-t120-201619-bottle-design-ztph061ssr</v>
      </c>
      <c r="F730" t="str">
        <f t="shared" si="211"/>
        <v>ZARD EXHAUST N. 2 STEEL SILENCERS TRIUMPH BONNEVILLE T120 2016/19 BOTTLE DESIGN ZTPH061SSR</v>
      </c>
      <c r="G730" t="str">
        <f t="shared" si="212"/>
        <v/>
      </c>
      <c r="H730" t="str">
        <f t="shared" si="224"/>
        <v/>
      </c>
      <c r="I730" t="str">
        <f t="shared" si="225"/>
        <v/>
      </c>
      <c r="J730" t="str">
        <f t="shared" si="226"/>
        <v/>
      </c>
      <c r="K730" t="str">
        <f t="shared" si="227"/>
        <v/>
      </c>
      <c r="L730" t="str">
        <f t="shared" si="213"/>
        <v/>
      </c>
      <c r="M730" t="str">
        <f t="shared" si="214"/>
        <v/>
      </c>
      <c r="R730" t="str">
        <f t="shared" si="215"/>
        <v/>
      </c>
      <c r="S730" t="str">
        <f t="shared" si="216"/>
        <v/>
      </c>
      <c r="U730" t="str">
        <f t="shared" si="217"/>
        <v/>
      </c>
      <c r="V730" t="str">
        <f t="shared" si="218"/>
        <v/>
      </c>
      <c r="W730" s="5" t="str">
        <f t="shared" si="219"/>
        <v/>
      </c>
      <c r="Y730" t="str">
        <f t="shared" si="220"/>
        <v/>
      </c>
      <c r="Z730" t="str">
        <f t="shared" si="221"/>
        <v/>
      </c>
      <c r="AB730" t="str">
        <f t="shared" si="222"/>
        <v>https://shop.officineitalianezard.it/contents/imgs/products/1_1385-triumph%20bonneville%20t120%20exhaust%20-%20zard%20-%20scarichi%20triumph%20bonneville%20t120%20-%203.jpg</v>
      </c>
      <c r="AE730" t="b">
        <v>0</v>
      </c>
    </row>
    <row r="731" spans="1:31" x14ac:dyDescent="0.2">
      <c r="A731" t="str">
        <f t="shared" si="209"/>
        <v>https://shop.officineitalianezard.it/en/bonneville-t120-exhaust/</v>
      </c>
      <c r="B731" t="b">
        <f>COUNTIF($A$2:$A731, A731)&gt;1</f>
        <v>1</v>
      </c>
      <c r="C731" t="b">
        <f t="shared" si="210"/>
        <v>1</v>
      </c>
      <c r="D731">
        <f>VLOOKUP(A731,variant_counts!A:B, 2, FALSE)</f>
        <v>3</v>
      </c>
      <c r="E731" t="str">
        <f t="shared" si="223"/>
        <v>zard-exhaust-n-2-steel-silencers-triumph-bonneville-t120-201619-bottle-design-ztph061ssr</v>
      </c>
      <c r="F731" t="str">
        <f t="shared" si="211"/>
        <v>ZARD EXHAUST N. 2 STEEL SILENCERS TRIUMPH BONNEVILLE T120 2016/19 BOTTLE DESIGN ZTPH061SSR</v>
      </c>
      <c r="G731" t="str">
        <f t="shared" si="212"/>
        <v/>
      </c>
      <c r="H731" t="str">
        <f t="shared" si="224"/>
        <v/>
      </c>
      <c r="I731" t="str">
        <f t="shared" si="225"/>
        <v/>
      </c>
      <c r="J731" t="str">
        <f t="shared" si="226"/>
        <v/>
      </c>
      <c r="K731" t="str">
        <f t="shared" si="227"/>
        <v/>
      </c>
      <c r="L731" t="str">
        <f t="shared" si="213"/>
        <v>Option</v>
      </c>
      <c r="M731" t="str">
        <f t="shared" si="214"/>
        <v>EURO 4 HOMOLOGATED</v>
      </c>
      <c r="R731" t="str">
        <f t="shared" si="215"/>
        <v>ZTPH061SSR</v>
      </c>
      <c r="S731">
        <f t="shared" si="216"/>
        <v>0</v>
      </c>
      <c r="U731" t="str">
        <f t="shared" si="217"/>
        <v>continue</v>
      </c>
      <c r="V731" t="str">
        <f t="shared" si="218"/>
        <v>manual</v>
      </c>
      <c r="W731" s="5">
        <f t="shared" si="219"/>
        <v>748.61730000000011</v>
      </c>
      <c r="Y731" t="b">
        <f t="shared" si="220"/>
        <v>1</v>
      </c>
      <c r="Z731" t="b">
        <f t="shared" si="221"/>
        <v>0</v>
      </c>
      <c r="AB731" t="str">
        <f t="shared" si="222"/>
        <v/>
      </c>
      <c r="AE731" t="b">
        <v>0</v>
      </c>
    </row>
    <row r="732" spans="1:31" x14ac:dyDescent="0.2">
      <c r="A732" t="str">
        <f t="shared" si="209"/>
        <v>https://shop.officineitalianezard.it/en/bonneville-t120-exhaust/</v>
      </c>
      <c r="B732" t="b">
        <f>COUNTIF($A$2:$A732, A732)&gt;1</f>
        <v>1</v>
      </c>
      <c r="C732" t="b">
        <f t="shared" si="210"/>
        <v>1</v>
      </c>
      <c r="D732">
        <f>VLOOKUP(A732,variant_counts!A:B, 2, FALSE)</f>
        <v>3</v>
      </c>
      <c r="E732" t="str">
        <f t="shared" si="223"/>
        <v>zard-exhaust-n-2-steel-silencers-triumph-bonneville-t120-201619-bottle-design-ztph061ssr</v>
      </c>
      <c r="F732" t="str">
        <f t="shared" si="211"/>
        <v>ZARD EXHAUST N. 2 STEEL SILENCERS TRIUMPH BONNEVILLE T120 2016/19 BOTTLE DESIGN ZTPH061SSR</v>
      </c>
      <c r="G732" t="str">
        <f t="shared" si="212"/>
        <v/>
      </c>
      <c r="H732" t="str">
        <f t="shared" si="224"/>
        <v/>
      </c>
      <c r="I732" t="str">
        <f t="shared" si="225"/>
        <v/>
      </c>
      <c r="J732" t="str">
        <f t="shared" si="226"/>
        <v/>
      </c>
      <c r="K732" t="str">
        <f t="shared" si="227"/>
        <v/>
      </c>
      <c r="L732" t="str">
        <f t="shared" si="213"/>
        <v>Option</v>
      </c>
      <c r="M732" t="str">
        <f t="shared" si="214"/>
        <v>BLACK COATING</v>
      </c>
      <c r="R732" t="str">
        <f t="shared" si="215"/>
        <v>ZTPH061SSR</v>
      </c>
      <c r="S732">
        <f t="shared" si="216"/>
        <v>0</v>
      </c>
      <c r="U732" t="str">
        <f t="shared" si="217"/>
        <v>continue</v>
      </c>
      <c r="V732" t="str">
        <f t="shared" si="218"/>
        <v>manual</v>
      </c>
      <c r="W732" s="5">
        <f t="shared" si="219"/>
        <v>826.40610000000004</v>
      </c>
      <c r="Y732" t="b">
        <f t="shared" si="220"/>
        <v>1</v>
      </c>
      <c r="Z732" t="b">
        <f t="shared" si="221"/>
        <v>0</v>
      </c>
      <c r="AB732" t="str">
        <f t="shared" si="222"/>
        <v/>
      </c>
      <c r="AE732" t="b">
        <v>0</v>
      </c>
    </row>
    <row r="733" spans="1:31" x14ac:dyDescent="0.2">
      <c r="A733" t="str">
        <f t="shared" si="209"/>
        <v>https://shop.officineitalianezard.it/en/bonneville-t120-exhaust/</v>
      </c>
      <c r="B733" t="b">
        <f>COUNTIF($A$2:$A733, A733)&gt;1</f>
        <v>1</v>
      </c>
      <c r="C733" t="b">
        <f t="shared" si="210"/>
        <v>1</v>
      </c>
      <c r="D733">
        <f>VLOOKUP(A733,variant_counts!A:B, 2, FALSE)</f>
        <v>3</v>
      </c>
      <c r="E733" t="str">
        <f t="shared" si="223"/>
        <v>zard-exhaust-n-2-steel-silencers-triumph-bonneville-t120-201619-bottle-design-ztph061ssr</v>
      </c>
      <c r="F733" t="str">
        <f t="shared" si="211"/>
        <v>ZARD EXHAUST N. 2 STEEL SILENCERS TRIUMPH BONNEVILLE T120 2016/19 BOTTLE DESIGN ZTPH061SSR</v>
      </c>
      <c r="G733" t="str">
        <f t="shared" si="212"/>
        <v/>
      </c>
      <c r="H733" t="str">
        <f t="shared" si="224"/>
        <v/>
      </c>
      <c r="I733" t="str">
        <f t="shared" si="225"/>
        <v/>
      </c>
      <c r="J733" t="str">
        <f t="shared" si="226"/>
        <v/>
      </c>
      <c r="K733" t="str">
        <f t="shared" si="227"/>
        <v/>
      </c>
      <c r="L733" t="str">
        <f t="shared" si="213"/>
        <v>Option</v>
      </c>
      <c r="M733" t="str">
        <f t="shared" si="214"/>
        <v>MIRROR POLISHED</v>
      </c>
      <c r="R733" t="str">
        <f t="shared" si="215"/>
        <v>ZTPH061SSR</v>
      </c>
      <c r="S733">
        <f t="shared" si="216"/>
        <v>0</v>
      </c>
      <c r="U733" t="str">
        <f t="shared" si="217"/>
        <v>continue</v>
      </c>
      <c r="V733" t="str">
        <f t="shared" si="218"/>
        <v>manual</v>
      </c>
      <c r="W733" s="5">
        <f t="shared" si="219"/>
        <v>791.19690000000014</v>
      </c>
      <c r="Y733" t="b">
        <f t="shared" si="220"/>
        <v>1</v>
      </c>
      <c r="Z733" t="b">
        <f t="shared" si="221"/>
        <v>0</v>
      </c>
      <c r="AB733" t="str">
        <f t="shared" si="222"/>
        <v/>
      </c>
      <c r="AE733" t="b">
        <v>0</v>
      </c>
    </row>
    <row r="734" spans="1:31" x14ac:dyDescent="0.2">
      <c r="A734" t="str">
        <f t="shared" si="209"/>
        <v>https://shop.officineitalianezard.it/en/bonneville-t120-exhaust-zard/</v>
      </c>
      <c r="B734" t="b">
        <f>COUNTIF($A$2:$A734, A734)&gt;1</f>
        <v>0</v>
      </c>
      <c r="C734" t="b">
        <f t="shared" si="210"/>
        <v>0</v>
      </c>
      <c r="D734">
        <f>VLOOKUP(A734,variant_counts!A:B, 2, FALSE)</f>
        <v>4</v>
      </c>
      <c r="E734" t="str">
        <f t="shared" si="223"/>
        <v>zard-exhaust-22-kit-triumph-bonneville-t120-201619-keeping-oem-catalyzer-ztph064ssr</v>
      </c>
      <c r="F734" t="str">
        <f t="shared" si="211"/>
        <v>ZARD EXHAUST 2&gt;2 KIT TRIUMPH BONNEVILLE T120 2016/19 KEEPING OEM CATALYZER ZTPH064SSR</v>
      </c>
      <c r="G734" t="str">
        <f t="shared" si="212"/>
        <v>&lt;p&gt;2&amp;gt;2 STEEL RACING FULL KIT WITH REMOVABLE DB KILLERS.&lt;/p&gt;
&lt;p&gt;THE EXHAUST KEEPS OEM CATALYZER AND CONSISTS OF TWO HEADER PIPES&amp;nbsp;&lt;span&gt;STARTING FROM THE CYLINDER HEAD OUTPUT TO OEM CATALYZER AND TWO SILENCERS.&lt;/span&gt;&lt;/p&gt;
&lt;p&gt;ORIGINAL EXHAUST WEIGHT: 14.3 KG&lt;br&gt;ZARD EXHAUST WEIGHT: 4.4 KG&lt;/p&gt;
&lt;p&gt;ZARD SILENCERS KIT CONSISTS OF STEEL LEFT+RIGHT HEADERS PIPE, STEEL LEFT+RIGHT SILENCERS AND FITTING KIT.&lt;/p&gt;
&lt;p&gt;&lt;span&gt;THE EXHAUST CAN BE FITTED IN LOW MOUNTED POSITION UNDER FOOTREST OR IN BACK MOUNTED POSITION BUYING 'BACK MOUNTED KIT' AVAILABLE AS OPTIONAL.&lt;/span&gt;&lt;/p&gt;
&lt;p&gt;HARD INCREASE, COMPARED TO THE ORIGINAL EXHAUST SYSTEM, IN TERMS OF TORQUE AND POWER AT ANY RANGE.&lt;/p&gt;
&lt;p&gt;ASTONISHING SOUND.&lt;/p&gt;
&lt;p&gt;&lt;strong&gt;HOMOLOGATED VERSION AVAILABLE SOON.&lt;/strong&gt;&lt;/p&gt;</v>
      </c>
      <c r="H734" t="str">
        <f t="shared" si="224"/>
        <v>ZARD</v>
      </c>
      <c r="I734" t="str">
        <f t="shared" si="225"/>
        <v>Exhaust Pipe</v>
      </c>
      <c r="J734" t="str">
        <f t="shared" si="226"/>
        <v>Test</v>
      </c>
      <c r="K734" t="b">
        <f t="shared" si="227"/>
        <v>0</v>
      </c>
      <c r="L734" t="str">
        <f t="shared" si="213"/>
        <v/>
      </c>
      <c r="M734" t="str">
        <f t="shared" si="214"/>
        <v/>
      </c>
      <c r="R734" t="str">
        <f t="shared" si="215"/>
        <v/>
      </c>
      <c r="S734" t="str">
        <f t="shared" si="216"/>
        <v/>
      </c>
      <c r="U734" t="str">
        <f t="shared" si="217"/>
        <v/>
      </c>
      <c r="V734" t="str">
        <f t="shared" si="218"/>
        <v/>
      </c>
      <c r="W734" s="5" t="str">
        <f t="shared" si="219"/>
        <v/>
      </c>
      <c r="Y734" t="str">
        <f t="shared" si="220"/>
        <v/>
      </c>
      <c r="Z734" t="str">
        <f t="shared" si="221"/>
        <v/>
      </c>
      <c r="AB734" t="str">
        <f t="shared" si="222"/>
        <v>https://shop.officineitalianezard.it/contents/imgs/products/1_1784-1777-1769-1564-T120%20CONVERSION%20KIT.jpg</v>
      </c>
      <c r="AE734" t="b">
        <v>0</v>
      </c>
    </row>
    <row r="735" spans="1:31" x14ac:dyDescent="0.2">
      <c r="A735" t="str">
        <f t="shared" si="209"/>
        <v>https://shop.officineitalianezard.it/en/bonneville-t120-exhaust-zard/</v>
      </c>
      <c r="B735" t="b">
        <f>COUNTIF($A$2:$A735, A735)&gt;1</f>
        <v>1</v>
      </c>
      <c r="C735" t="b">
        <f t="shared" si="210"/>
        <v>0</v>
      </c>
      <c r="D735">
        <f>VLOOKUP(A735,variant_counts!A:B, 2, FALSE)</f>
        <v>4</v>
      </c>
      <c r="E735" t="str">
        <f t="shared" si="223"/>
        <v>zard-exhaust-22-kit-triumph-bonneville-t120-201619-keeping-oem-catalyzer-ztph064ssr</v>
      </c>
      <c r="F735" t="str">
        <f t="shared" si="211"/>
        <v>ZARD EXHAUST 2&gt;2 KIT TRIUMPH BONNEVILLE T120 2016/19 KEEPING OEM CATALYZER ZTPH064SSR</v>
      </c>
      <c r="G735" t="str">
        <f t="shared" si="212"/>
        <v/>
      </c>
      <c r="H735" t="str">
        <f t="shared" si="224"/>
        <v/>
      </c>
      <c r="I735" t="str">
        <f t="shared" si="225"/>
        <v/>
      </c>
      <c r="J735" t="str">
        <f t="shared" si="226"/>
        <v/>
      </c>
      <c r="K735" t="str">
        <f t="shared" si="227"/>
        <v/>
      </c>
      <c r="L735" t="str">
        <f t="shared" si="213"/>
        <v/>
      </c>
      <c r="M735" t="str">
        <f t="shared" si="214"/>
        <v/>
      </c>
      <c r="R735" t="str">
        <f t="shared" si="215"/>
        <v/>
      </c>
      <c r="S735" t="str">
        <f t="shared" si="216"/>
        <v/>
      </c>
      <c r="U735" t="str">
        <f t="shared" si="217"/>
        <v/>
      </c>
      <c r="V735" t="str">
        <f t="shared" si="218"/>
        <v/>
      </c>
      <c r="W735" s="5" t="str">
        <f t="shared" si="219"/>
        <v/>
      </c>
      <c r="Y735" t="str">
        <f t="shared" si="220"/>
        <v/>
      </c>
      <c r="Z735" t="str">
        <f t="shared" si="221"/>
        <v/>
      </c>
      <c r="AB735" t="str">
        <f t="shared" si="222"/>
        <v>https://shop.officineitalianezard.it/contents/imgs/products/1_1426-bonneville%20t120%20scarichi%20t120%20exhaust%20zard%201.jpg</v>
      </c>
      <c r="AE735" t="b">
        <v>0</v>
      </c>
    </row>
    <row r="736" spans="1:31" x14ac:dyDescent="0.2">
      <c r="A736" t="str">
        <f t="shared" si="209"/>
        <v>https://shop.officineitalianezard.it/en/bonneville-t120-exhaust-zard/</v>
      </c>
      <c r="B736" t="b">
        <f>COUNTIF($A$2:$A736, A736)&gt;1</f>
        <v>1</v>
      </c>
      <c r="C736" t="b">
        <f t="shared" si="210"/>
        <v>0</v>
      </c>
      <c r="D736">
        <f>VLOOKUP(A736,variant_counts!A:B, 2, FALSE)</f>
        <v>4</v>
      </c>
      <c r="E736" t="str">
        <f t="shared" si="223"/>
        <v>zard-exhaust-22-kit-triumph-bonneville-t120-201619-keeping-oem-catalyzer-ztph064ssr</v>
      </c>
      <c r="F736" t="str">
        <f t="shared" si="211"/>
        <v>ZARD EXHAUST 2&gt;2 KIT TRIUMPH BONNEVILLE T120 2016/19 KEEPING OEM CATALYZER ZTPH064SSR</v>
      </c>
      <c r="G736" t="str">
        <f t="shared" si="212"/>
        <v/>
      </c>
      <c r="H736" t="str">
        <f t="shared" si="224"/>
        <v/>
      </c>
      <c r="I736" t="str">
        <f t="shared" si="225"/>
        <v/>
      </c>
      <c r="J736" t="str">
        <f t="shared" si="226"/>
        <v/>
      </c>
      <c r="K736" t="str">
        <f t="shared" si="227"/>
        <v/>
      </c>
      <c r="L736" t="str">
        <f t="shared" si="213"/>
        <v/>
      </c>
      <c r="M736" t="str">
        <f t="shared" si="214"/>
        <v/>
      </c>
      <c r="R736" t="str">
        <f t="shared" si="215"/>
        <v/>
      </c>
      <c r="S736" t="str">
        <f t="shared" si="216"/>
        <v/>
      </c>
      <c r="U736" t="str">
        <f t="shared" si="217"/>
        <v/>
      </c>
      <c r="V736" t="str">
        <f t="shared" si="218"/>
        <v/>
      </c>
      <c r="W736" s="5" t="str">
        <f t="shared" si="219"/>
        <v/>
      </c>
      <c r="Y736" t="str">
        <f t="shared" si="220"/>
        <v/>
      </c>
      <c r="Z736" t="str">
        <f t="shared" si="221"/>
        <v/>
      </c>
      <c r="AB736" t="str">
        <f t="shared" si="222"/>
        <v>https://shop.officineitalianezard.it/contents/imgs/products/1_1427-bonneville%20t120%20scarichi%20t120%20exhaust%20zard%202.jpg</v>
      </c>
      <c r="AE736" t="b">
        <v>0</v>
      </c>
    </row>
    <row r="737" spans="1:31" x14ac:dyDescent="0.2">
      <c r="A737" t="str">
        <f t="shared" si="209"/>
        <v>https://shop.officineitalianezard.it/en/bonneville-t120-exhaust-zard/</v>
      </c>
      <c r="B737" t="b">
        <f>COUNTIF($A$2:$A737, A737)&gt;1</f>
        <v>1</v>
      </c>
      <c r="C737" t="b">
        <f t="shared" si="210"/>
        <v>0</v>
      </c>
      <c r="D737">
        <f>VLOOKUP(A737,variant_counts!A:B, 2, FALSE)</f>
        <v>4</v>
      </c>
      <c r="E737" t="str">
        <f t="shared" si="223"/>
        <v>zard-exhaust-22-kit-triumph-bonneville-t120-201619-keeping-oem-catalyzer-ztph064ssr</v>
      </c>
      <c r="F737" t="str">
        <f t="shared" si="211"/>
        <v>ZARD EXHAUST 2&gt;2 KIT TRIUMPH BONNEVILLE T120 2016/19 KEEPING OEM CATALYZER ZTPH064SSR</v>
      </c>
      <c r="G737" t="str">
        <f t="shared" si="212"/>
        <v/>
      </c>
      <c r="H737" t="str">
        <f t="shared" si="224"/>
        <v/>
      </c>
      <c r="I737" t="str">
        <f t="shared" si="225"/>
        <v/>
      </c>
      <c r="J737" t="str">
        <f t="shared" si="226"/>
        <v/>
      </c>
      <c r="K737" t="str">
        <f t="shared" si="227"/>
        <v/>
      </c>
      <c r="L737" t="str">
        <f t="shared" si="213"/>
        <v/>
      </c>
      <c r="M737" t="str">
        <f t="shared" si="214"/>
        <v/>
      </c>
      <c r="R737" t="str">
        <f t="shared" si="215"/>
        <v/>
      </c>
      <c r="S737" t="str">
        <f t="shared" si="216"/>
        <v/>
      </c>
      <c r="U737" t="str">
        <f t="shared" si="217"/>
        <v/>
      </c>
      <c r="V737" t="str">
        <f t="shared" si="218"/>
        <v/>
      </c>
      <c r="W737" s="5" t="str">
        <f t="shared" si="219"/>
        <v/>
      </c>
      <c r="Y737" t="str">
        <f t="shared" si="220"/>
        <v/>
      </c>
      <c r="Z737" t="str">
        <f t="shared" si="221"/>
        <v/>
      </c>
      <c r="AB737" t="str">
        <f t="shared" si="222"/>
        <v>https://shop.officineitalianezard.it/contents/imgs/products/1_1669-triumph%20t120%20street%20twin%20exhaust.jpg</v>
      </c>
      <c r="AE737" t="b">
        <v>0</v>
      </c>
    </row>
    <row r="738" spans="1:31" x14ac:dyDescent="0.2">
      <c r="A738" t="str">
        <f t="shared" si="209"/>
        <v>https://shop.officineitalianezard.it/en/bonneville-t120-exhaust-zard/</v>
      </c>
      <c r="B738" t="b">
        <f>COUNTIF($A$2:$A738, A738)&gt;1</f>
        <v>1</v>
      </c>
      <c r="C738" t="b">
        <f t="shared" si="210"/>
        <v>0</v>
      </c>
      <c r="D738">
        <f>VLOOKUP(A738,variant_counts!A:B, 2, FALSE)</f>
        <v>4</v>
      </c>
      <c r="E738" t="str">
        <f t="shared" si="223"/>
        <v>zard-exhaust-22-kit-triumph-bonneville-t120-201619-keeping-oem-catalyzer-ztph064ssr</v>
      </c>
      <c r="F738" t="str">
        <f t="shared" si="211"/>
        <v>ZARD EXHAUST 2&gt;2 KIT TRIUMPH BONNEVILLE T120 2016/19 KEEPING OEM CATALYZER ZTPH064SSR</v>
      </c>
      <c r="G738" t="str">
        <f t="shared" si="212"/>
        <v/>
      </c>
      <c r="H738" t="str">
        <f t="shared" si="224"/>
        <v/>
      </c>
      <c r="I738" t="str">
        <f t="shared" si="225"/>
        <v/>
      </c>
      <c r="J738" t="str">
        <f t="shared" si="226"/>
        <v/>
      </c>
      <c r="K738" t="str">
        <f t="shared" si="227"/>
        <v/>
      </c>
      <c r="L738" t="str">
        <f t="shared" si="213"/>
        <v/>
      </c>
      <c r="M738" t="str">
        <f t="shared" si="214"/>
        <v/>
      </c>
      <c r="R738" t="str">
        <f t="shared" si="215"/>
        <v/>
      </c>
      <c r="S738" t="str">
        <f t="shared" si="216"/>
        <v/>
      </c>
      <c r="U738" t="str">
        <f t="shared" si="217"/>
        <v/>
      </c>
      <c r="V738" t="str">
        <f t="shared" si="218"/>
        <v/>
      </c>
      <c r="W738" s="5" t="str">
        <f t="shared" si="219"/>
        <v/>
      </c>
      <c r="Y738" t="str">
        <f t="shared" si="220"/>
        <v/>
      </c>
      <c r="Z738" t="str">
        <f t="shared" si="221"/>
        <v/>
      </c>
      <c r="AB738" t="str">
        <f t="shared" si="222"/>
        <v>https://shop.officineitalianezard.it/contents/imgs/products/1_1783-1776-1767-1503-1.jpg</v>
      </c>
      <c r="AE738" t="b">
        <v>0</v>
      </c>
    </row>
    <row r="739" spans="1:31" x14ac:dyDescent="0.2">
      <c r="A739" t="str">
        <f t="shared" si="209"/>
        <v>https://shop.officineitalianezard.it/en/bonneville-t120-exhaust-zard/</v>
      </c>
      <c r="B739" t="b">
        <f>COUNTIF($A$2:$A739, A739)&gt;1</f>
        <v>1</v>
      </c>
      <c r="C739" t="b">
        <f t="shared" si="210"/>
        <v>0</v>
      </c>
      <c r="D739">
        <f>VLOOKUP(A739,variant_counts!A:B, 2, FALSE)</f>
        <v>4</v>
      </c>
      <c r="E739" t="str">
        <f t="shared" si="223"/>
        <v>zard-exhaust-22-kit-triumph-bonneville-t120-201619-keeping-oem-catalyzer-ztph064ssr</v>
      </c>
      <c r="F739" t="str">
        <f t="shared" si="211"/>
        <v>ZARD EXHAUST 2&gt;2 KIT TRIUMPH BONNEVILLE T120 2016/19 KEEPING OEM CATALYZER ZTPH064SSR</v>
      </c>
      <c r="G739" t="str">
        <f t="shared" si="212"/>
        <v/>
      </c>
      <c r="H739" t="str">
        <f t="shared" si="224"/>
        <v/>
      </c>
      <c r="I739" t="str">
        <f t="shared" si="225"/>
        <v/>
      </c>
      <c r="J739" t="str">
        <f t="shared" si="226"/>
        <v/>
      </c>
      <c r="K739" t="str">
        <f t="shared" si="227"/>
        <v/>
      </c>
      <c r="L739" t="str">
        <f t="shared" si="213"/>
        <v/>
      </c>
      <c r="M739" t="str">
        <f t="shared" si="214"/>
        <v/>
      </c>
      <c r="R739" t="str">
        <f t="shared" si="215"/>
        <v/>
      </c>
      <c r="S739" t="str">
        <f t="shared" si="216"/>
        <v/>
      </c>
      <c r="U739" t="str">
        <f t="shared" si="217"/>
        <v/>
      </c>
      <c r="V739" t="str">
        <f t="shared" si="218"/>
        <v/>
      </c>
      <c r="W739" s="5" t="str">
        <f t="shared" si="219"/>
        <v/>
      </c>
      <c r="Y739" t="str">
        <f t="shared" si="220"/>
        <v/>
      </c>
      <c r="Z739" t="str">
        <f t="shared" si="221"/>
        <v/>
      </c>
      <c r="AB739" t="str">
        <f t="shared" si="222"/>
        <v>https://shop.officineitalianezard.it/contents/imgs/products/1_1782-1770-1768-1504-2.jpg</v>
      </c>
      <c r="AE739" t="b">
        <v>0</v>
      </c>
    </row>
    <row r="740" spans="1:31" x14ac:dyDescent="0.2">
      <c r="A740" t="str">
        <f t="shared" si="209"/>
        <v>https://shop.officineitalianezard.it/en/bonneville-t120-exhaust-zard/</v>
      </c>
      <c r="B740" t="b">
        <f>COUNTIF($A$2:$A740, A740)&gt;1</f>
        <v>1</v>
      </c>
      <c r="C740" t="b">
        <f t="shared" si="210"/>
        <v>0</v>
      </c>
      <c r="D740">
        <f>VLOOKUP(A740,variant_counts!A:B, 2, FALSE)</f>
        <v>4</v>
      </c>
      <c r="E740" t="str">
        <f t="shared" si="223"/>
        <v>zard-exhaust-22-kit-triumph-bonneville-t120-201619-keeping-oem-catalyzer-ztph064ssr</v>
      </c>
      <c r="F740" t="str">
        <f t="shared" si="211"/>
        <v>ZARD EXHAUST 2&gt;2 KIT TRIUMPH BONNEVILLE T120 2016/19 KEEPING OEM CATALYZER ZTPH064SSR</v>
      </c>
      <c r="G740" t="str">
        <f t="shared" si="212"/>
        <v/>
      </c>
      <c r="H740" t="str">
        <f t="shared" si="224"/>
        <v/>
      </c>
      <c r="I740" t="str">
        <f t="shared" si="225"/>
        <v/>
      </c>
      <c r="J740" t="str">
        <f t="shared" si="226"/>
        <v/>
      </c>
      <c r="K740" t="str">
        <f t="shared" si="227"/>
        <v/>
      </c>
      <c r="L740" t="str">
        <f t="shared" si="213"/>
        <v/>
      </c>
      <c r="M740" t="str">
        <f t="shared" si="214"/>
        <v/>
      </c>
      <c r="R740" t="str">
        <f t="shared" si="215"/>
        <v/>
      </c>
      <c r="S740" t="str">
        <f t="shared" si="216"/>
        <v/>
      </c>
      <c r="U740" t="str">
        <f t="shared" si="217"/>
        <v/>
      </c>
      <c r="V740" t="str">
        <f t="shared" si="218"/>
        <v/>
      </c>
      <c r="W740" s="5" t="str">
        <f t="shared" si="219"/>
        <v/>
      </c>
      <c r="Y740" t="str">
        <f t="shared" si="220"/>
        <v/>
      </c>
      <c r="Z740" t="str">
        <f t="shared" si="221"/>
        <v/>
      </c>
      <c r="AB740" t="str">
        <f t="shared" si="222"/>
        <v>https://shop.officineitalianezard.it/contents/imgs/products/1_1428-bonneville%20t120%20scarichi%20t120%20exhaust%20zard%203.jpg</v>
      </c>
      <c r="AE740" t="b">
        <v>0</v>
      </c>
    </row>
    <row r="741" spans="1:31" x14ac:dyDescent="0.2">
      <c r="A741" t="str">
        <f t="shared" si="209"/>
        <v>https://shop.officineitalianezard.it/en/bonneville-t120-exhaust-zard/</v>
      </c>
      <c r="B741" t="b">
        <f>COUNTIF($A$2:$A741, A741)&gt;1</f>
        <v>1</v>
      </c>
      <c r="C741" t="b">
        <f t="shared" si="210"/>
        <v>0</v>
      </c>
      <c r="D741">
        <f>VLOOKUP(A741,variant_counts!A:B, 2, FALSE)</f>
        <v>4</v>
      </c>
      <c r="E741" t="str">
        <f t="shared" si="223"/>
        <v>zard-exhaust-22-kit-triumph-bonneville-t120-201619-keeping-oem-catalyzer-ztph064ssr</v>
      </c>
      <c r="F741" t="str">
        <f t="shared" si="211"/>
        <v>ZARD EXHAUST 2&gt;2 KIT TRIUMPH BONNEVILLE T120 2016/19 KEEPING OEM CATALYZER ZTPH064SSR</v>
      </c>
      <c r="G741" t="str">
        <f t="shared" si="212"/>
        <v/>
      </c>
      <c r="H741" t="str">
        <f t="shared" si="224"/>
        <v/>
      </c>
      <c r="I741" t="str">
        <f t="shared" si="225"/>
        <v/>
      </c>
      <c r="J741" t="str">
        <f t="shared" si="226"/>
        <v/>
      </c>
      <c r="K741" t="str">
        <f t="shared" si="227"/>
        <v/>
      </c>
      <c r="L741" t="str">
        <f t="shared" si="213"/>
        <v/>
      </c>
      <c r="M741" t="str">
        <f t="shared" si="214"/>
        <v/>
      </c>
      <c r="R741" t="str">
        <f t="shared" si="215"/>
        <v/>
      </c>
      <c r="S741" t="str">
        <f t="shared" si="216"/>
        <v/>
      </c>
      <c r="U741" t="str">
        <f t="shared" si="217"/>
        <v/>
      </c>
      <c r="V741" t="str">
        <f t="shared" si="218"/>
        <v/>
      </c>
      <c r="W741" s="5" t="str">
        <f t="shared" si="219"/>
        <v/>
      </c>
      <c r="Y741" t="str">
        <f t="shared" si="220"/>
        <v/>
      </c>
      <c r="Z741" t="str">
        <f t="shared" si="221"/>
        <v/>
      </c>
      <c r="AB741" t="str">
        <f t="shared" si="222"/>
        <v>https://shop.officineitalianezard.it/contents/imgs/products/1_1429-bonneville%20t120%20scarichi%20t120%20exhaust%20zard%204.jpg</v>
      </c>
      <c r="AE741" t="b">
        <v>0</v>
      </c>
    </row>
    <row r="742" spans="1:31" x14ac:dyDescent="0.2">
      <c r="A742" t="str">
        <f t="shared" si="209"/>
        <v>https://shop.officineitalianezard.it/en/bonneville-t120-exhaust-zard/</v>
      </c>
      <c r="B742" t="b">
        <f>COUNTIF($A$2:$A742, A742)&gt;1</f>
        <v>1</v>
      </c>
      <c r="C742" t="b">
        <f t="shared" si="210"/>
        <v>0</v>
      </c>
      <c r="D742">
        <f>VLOOKUP(A742,variant_counts!A:B, 2, FALSE)</f>
        <v>4</v>
      </c>
      <c r="E742" t="str">
        <f t="shared" si="223"/>
        <v>zard-exhaust-22-kit-triumph-bonneville-t120-201619-keeping-oem-catalyzer-ztph064ssr</v>
      </c>
      <c r="F742" t="str">
        <f t="shared" si="211"/>
        <v>ZARD EXHAUST 2&gt;2 KIT TRIUMPH BONNEVILLE T120 2016/19 KEEPING OEM CATALYZER ZTPH064SSR</v>
      </c>
      <c r="G742" t="str">
        <f t="shared" si="212"/>
        <v/>
      </c>
      <c r="H742" t="str">
        <f t="shared" si="224"/>
        <v/>
      </c>
      <c r="I742" t="str">
        <f t="shared" si="225"/>
        <v/>
      </c>
      <c r="J742" t="str">
        <f t="shared" si="226"/>
        <v/>
      </c>
      <c r="K742" t="str">
        <f t="shared" si="227"/>
        <v/>
      </c>
      <c r="L742" t="str">
        <f t="shared" si="213"/>
        <v/>
      </c>
      <c r="M742" t="str">
        <f t="shared" si="214"/>
        <v/>
      </c>
      <c r="R742" t="str">
        <f t="shared" si="215"/>
        <v/>
      </c>
      <c r="S742" t="str">
        <f t="shared" si="216"/>
        <v/>
      </c>
      <c r="U742" t="str">
        <f t="shared" si="217"/>
        <v/>
      </c>
      <c r="V742" t="str">
        <f t="shared" si="218"/>
        <v/>
      </c>
      <c r="W742" s="5" t="str">
        <f t="shared" si="219"/>
        <v/>
      </c>
      <c r="Y742" t="str">
        <f t="shared" si="220"/>
        <v/>
      </c>
      <c r="Z742" t="str">
        <f t="shared" si="221"/>
        <v/>
      </c>
      <c r="AB742" t="str">
        <f t="shared" si="222"/>
        <v>https://shop.officineitalianezard.it/contents/imgs/products/1_1651-t120%20neri%20zard.jpg</v>
      </c>
      <c r="AE742" t="b">
        <v>0</v>
      </c>
    </row>
    <row r="743" spans="1:31" x14ac:dyDescent="0.2">
      <c r="A743" t="str">
        <f t="shared" si="209"/>
        <v>https://shop.officineitalianezard.it/en/bonneville-t120-exhaust-zard/</v>
      </c>
      <c r="B743" t="b">
        <f>COUNTIF($A$2:$A743, A743)&gt;1</f>
        <v>1</v>
      </c>
      <c r="C743" t="b">
        <f t="shared" si="210"/>
        <v>0</v>
      </c>
      <c r="D743">
        <f>VLOOKUP(A743,variant_counts!A:B, 2, FALSE)</f>
        <v>4</v>
      </c>
      <c r="E743" t="str">
        <f t="shared" si="223"/>
        <v>zard-exhaust-22-kit-triumph-bonneville-t120-201619-keeping-oem-catalyzer-ztph064ssr</v>
      </c>
      <c r="F743" t="str">
        <f t="shared" si="211"/>
        <v>ZARD EXHAUST 2&gt;2 KIT TRIUMPH BONNEVILLE T120 2016/19 KEEPING OEM CATALYZER ZTPH064SSR</v>
      </c>
      <c r="G743" t="str">
        <f t="shared" si="212"/>
        <v/>
      </c>
      <c r="H743" t="str">
        <f t="shared" si="224"/>
        <v/>
      </c>
      <c r="I743" t="str">
        <f t="shared" si="225"/>
        <v/>
      </c>
      <c r="J743" t="str">
        <f t="shared" si="226"/>
        <v/>
      </c>
      <c r="K743" t="str">
        <f t="shared" si="227"/>
        <v/>
      </c>
      <c r="L743" t="str">
        <f t="shared" si="213"/>
        <v/>
      </c>
      <c r="M743" t="str">
        <f t="shared" si="214"/>
        <v/>
      </c>
      <c r="R743" t="str">
        <f t="shared" si="215"/>
        <v/>
      </c>
      <c r="S743" t="str">
        <f t="shared" si="216"/>
        <v/>
      </c>
      <c r="U743" t="str">
        <f t="shared" si="217"/>
        <v/>
      </c>
      <c r="V743" t="str">
        <f t="shared" si="218"/>
        <v/>
      </c>
      <c r="W743" s="5" t="str">
        <f t="shared" si="219"/>
        <v/>
      </c>
      <c r="Y743" t="str">
        <f t="shared" si="220"/>
        <v/>
      </c>
      <c r="Z743" t="str">
        <f t="shared" si="221"/>
        <v/>
      </c>
      <c r="AB743" t="str">
        <f t="shared" si="222"/>
        <v>https://shop.officineitalianezard.it/contents/imgs/products/1_1741-scarico%20bonneville%20t120%20scarico%20triumph%20street%20twin.jpg</v>
      </c>
      <c r="AE743" t="b">
        <v>0</v>
      </c>
    </row>
    <row r="744" spans="1:31" x14ac:dyDescent="0.2">
      <c r="A744" t="str">
        <f t="shared" si="209"/>
        <v>https://shop.officineitalianezard.it/en/bonneville-t120-exhaust-zard/</v>
      </c>
      <c r="B744" t="b">
        <f>COUNTIF($A$2:$A744, A744)&gt;1</f>
        <v>1</v>
      </c>
      <c r="C744" t="b">
        <f t="shared" si="210"/>
        <v>1</v>
      </c>
      <c r="D744">
        <f>VLOOKUP(A744,variant_counts!A:B, 2, FALSE)</f>
        <v>4</v>
      </c>
      <c r="E744" t="str">
        <f t="shared" si="223"/>
        <v>zard-exhaust-22-kit-triumph-bonneville-t120-201619-keeping-oem-catalyzer-ztph064ssr</v>
      </c>
      <c r="F744" t="str">
        <f t="shared" si="211"/>
        <v>ZARD EXHAUST 2&gt;2 KIT TRIUMPH BONNEVILLE T120 2016/19 KEEPING OEM CATALYZER ZTPH064SSR</v>
      </c>
      <c r="G744" t="str">
        <f t="shared" si="212"/>
        <v/>
      </c>
      <c r="H744" t="str">
        <f t="shared" si="224"/>
        <v/>
      </c>
      <c r="I744" t="str">
        <f t="shared" si="225"/>
        <v/>
      </c>
      <c r="J744" t="str">
        <f t="shared" si="226"/>
        <v/>
      </c>
      <c r="K744" t="str">
        <f t="shared" si="227"/>
        <v/>
      </c>
      <c r="L744" t="str">
        <f t="shared" si="213"/>
        <v>Option</v>
      </c>
      <c r="M744" t="str">
        <f t="shared" si="214"/>
        <v>EURO 4 HOMOLOGATED</v>
      </c>
      <c r="R744" t="str">
        <f t="shared" si="215"/>
        <v>ZTPH064SSR</v>
      </c>
      <c r="S744">
        <f t="shared" si="216"/>
        <v>0</v>
      </c>
      <c r="U744" t="str">
        <f t="shared" si="217"/>
        <v>continue</v>
      </c>
      <c r="V744" t="str">
        <f t="shared" si="218"/>
        <v>manual</v>
      </c>
      <c r="W744" s="5">
        <f t="shared" si="219"/>
        <v>1214.0847000000001</v>
      </c>
      <c r="Y744" t="b">
        <f t="shared" si="220"/>
        <v>1</v>
      </c>
      <c r="Z744" t="b">
        <f t="shared" si="221"/>
        <v>0</v>
      </c>
      <c r="AB744" t="str">
        <f t="shared" si="222"/>
        <v/>
      </c>
      <c r="AE744" t="b">
        <v>0</v>
      </c>
    </row>
    <row r="745" spans="1:31" x14ac:dyDescent="0.2">
      <c r="A745" t="str">
        <f t="shared" si="209"/>
        <v>https://shop.officineitalianezard.it/en/bonneville-t120-exhaust-zard/</v>
      </c>
      <c r="B745" t="b">
        <f>COUNTIF($A$2:$A745, A745)&gt;1</f>
        <v>1</v>
      </c>
      <c r="C745" t="b">
        <f t="shared" si="210"/>
        <v>1</v>
      </c>
      <c r="D745">
        <f>VLOOKUP(A745,variant_counts!A:B, 2, FALSE)</f>
        <v>4</v>
      </c>
      <c r="E745" t="str">
        <f t="shared" si="223"/>
        <v>zard-exhaust-22-kit-triumph-bonneville-t120-201619-keeping-oem-catalyzer-ztph064ssr</v>
      </c>
      <c r="F745" t="str">
        <f t="shared" si="211"/>
        <v>ZARD EXHAUST 2&gt;2 KIT TRIUMPH BONNEVILLE T120 2016/19 KEEPING OEM CATALYZER ZTPH064SSR</v>
      </c>
      <c r="G745" t="str">
        <f t="shared" si="212"/>
        <v/>
      </c>
      <c r="H745" t="str">
        <f t="shared" si="224"/>
        <v/>
      </c>
      <c r="I745" t="str">
        <f t="shared" si="225"/>
        <v/>
      </c>
      <c r="J745" t="str">
        <f t="shared" si="226"/>
        <v/>
      </c>
      <c r="K745" t="str">
        <f t="shared" si="227"/>
        <v/>
      </c>
      <c r="L745" t="str">
        <f t="shared" si="213"/>
        <v>Option</v>
      </c>
      <c r="M745" t="str">
        <f t="shared" si="214"/>
        <v>BLACK COATING</v>
      </c>
      <c r="R745" t="str">
        <f t="shared" si="215"/>
        <v>ZTPH064SSR</v>
      </c>
      <c r="S745">
        <f t="shared" si="216"/>
        <v>0</v>
      </c>
      <c r="U745" t="str">
        <f t="shared" si="217"/>
        <v>continue</v>
      </c>
      <c r="V745" t="str">
        <f t="shared" si="218"/>
        <v>manual</v>
      </c>
      <c r="W745" s="5">
        <f t="shared" si="219"/>
        <v>1316.4378000000002</v>
      </c>
      <c r="Y745" t="b">
        <f t="shared" si="220"/>
        <v>1</v>
      </c>
      <c r="Z745" t="b">
        <f t="shared" si="221"/>
        <v>0</v>
      </c>
      <c r="AB745" t="str">
        <f t="shared" si="222"/>
        <v/>
      </c>
      <c r="AE745" t="b">
        <v>0</v>
      </c>
    </row>
    <row r="746" spans="1:31" x14ac:dyDescent="0.2">
      <c r="A746" t="str">
        <f t="shared" si="209"/>
        <v>https://shop.officineitalianezard.it/en/bonneville-t120-exhaust-zard/</v>
      </c>
      <c r="B746" t="b">
        <f>COUNTIF($A$2:$A746, A746)&gt;1</f>
        <v>1</v>
      </c>
      <c r="C746" t="b">
        <f t="shared" si="210"/>
        <v>1</v>
      </c>
      <c r="D746">
        <f>VLOOKUP(A746,variant_counts!A:B, 2, FALSE)</f>
        <v>4</v>
      </c>
      <c r="E746" t="str">
        <f t="shared" si="223"/>
        <v>zard-exhaust-22-kit-triumph-bonneville-t120-201619-keeping-oem-catalyzer-ztph064ssr</v>
      </c>
      <c r="F746" t="str">
        <f t="shared" si="211"/>
        <v>ZARD EXHAUST 2&gt;2 KIT TRIUMPH BONNEVILLE T120 2016/19 KEEPING OEM CATALYZER ZTPH064SSR</v>
      </c>
      <c r="G746" t="str">
        <f t="shared" si="212"/>
        <v/>
      </c>
      <c r="H746" t="str">
        <f t="shared" si="224"/>
        <v/>
      </c>
      <c r="I746" t="str">
        <f t="shared" si="225"/>
        <v/>
      </c>
      <c r="J746" t="str">
        <f t="shared" si="226"/>
        <v/>
      </c>
      <c r="K746" t="str">
        <f t="shared" si="227"/>
        <v/>
      </c>
      <c r="L746" t="str">
        <f t="shared" si="213"/>
        <v>Option</v>
      </c>
      <c r="M746" t="str">
        <f t="shared" si="214"/>
        <v>MIRROR POLISHED</v>
      </c>
      <c r="R746" t="str">
        <f t="shared" si="215"/>
        <v>ZTPH064SSR</v>
      </c>
      <c r="S746">
        <f t="shared" si="216"/>
        <v>0</v>
      </c>
      <c r="U746" t="str">
        <f t="shared" si="217"/>
        <v>continue</v>
      </c>
      <c r="V746" t="str">
        <f t="shared" si="218"/>
        <v>manual</v>
      </c>
      <c r="W746" s="5">
        <f t="shared" si="219"/>
        <v>1175.6010000000003</v>
      </c>
      <c r="Y746" t="b">
        <f t="shared" si="220"/>
        <v>1</v>
      </c>
      <c r="Z746" t="b">
        <f t="shared" si="221"/>
        <v>0</v>
      </c>
      <c r="AB746" t="str">
        <f t="shared" si="222"/>
        <v/>
      </c>
      <c r="AE746" t="b">
        <v>0</v>
      </c>
    </row>
    <row r="747" spans="1:31" x14ac:dyDescent="0.2">
      <c r="A747" t="str">
        <f t="shared" si="209"/>
        <v>https://shop.officineitalianezard.it/en/bonneville-t120-exhaust-zard/</v>
      </c>
      <c r="B747" t="b">
        <f>COUNTIF($A$2:$A747, A747)&gt;1</f>
        <v>1</v>
      </c>
      <c r="C747" t="b">
        <f t="shared" si="210"/>
        <v>1</v>
      </c>
      <c r="D747">
        <f>VLOOKUP(A747,variant_counts!A:B, 2, FALSE)</f>
        <v>4</v>
      </c>
      <c r="E747" t="str">
        <f t="shared" si="223"/>
        <v>zard-exhaust-22-kit-triumph-bonneville-t120-201619-keeping-oem-catalyzer-ztph064ssr</v>
      </c>
      <c r="F747" t="str">
        <f t="shared" si="211"/>
        <v>ZARD EXHAUST 2&gt;2 KIT TRIUMPH BONNEVILLE T120 2016/19 KEEPING OEM CATALYZER ZTPH064SSR</v>
      </c>
      <c r="G747" t="str">
        <f t="shared" si="212"/>
        <v/>
      </c>
      <c r="H747" t="str">
        <f t="shared" si="224"/>
        <v/>
      </c>
      <c r="I747" t="str">
        <f t="shared" si="225"/>
        <v/>
      </c>
      <c r="J747" t="str">
        <f t="shared" si="226"/>
        <v/>
      </c>
      <c r="K747" t="str">
        <f t="shared" si="227"/>
        <v/>
      </c>
      <c r="L747" t="str">
        <f t="shared" si="213"/>
        <v>Option</v>
      </c>
      <c r="M747" t="str">
        <f t="shared" si="214"/>
        <v>BACK MOUNTING KIT</v>
      </c>
      <c r="R747" t="str">
        <f t="shared" si="215"/>
        <v>ZTPH064SSR</v>
      </c>
      <c r="S747">
        <f t="shared" si="216"/>
        <v>0</v>
      </c>
      <c r="U747" t="str">
        <f t="shared" si="217"/>
        <v>continue</v>
      </c>
      <c r="V747" t="str">
        <f t="shared" si="218"/>
        <v>manual</v>
      </c>
      <c r="W747" s="5">
        <f t="shared" si="219"/>
        <v>1350.8256000000001</v>
      </c>
      <c r="Y747" t="b">
        <f t="shared" si="220"/>
        <v>1</v>
      </c>
      <c r="Z747" t="b">
        <f t="shared" si="221"/>
        <v>0</v>
      </c>
      <c r="AB747" t="str">
        <f t="shared" si="222"/>
        <v/>
      </c>
      <c r="AE747" t="b">
        <v>0</v>
      </c>
    </row>
    <row r="748" spans="1:31" x14ac:dyDescent="0.2">
      <c r="A748" t="str">
        <f t="shared" si="209"/>
        <v>https://shop.officineitalianezard.it/en/bonneville-t120-exhaust-zard-2/</v>
      </c>
      <c r="B748" t="b">
        <f>COUNTIF($A$2:$A748, A748)&gt;1</f>
        <v>0</v>
      </c>
      <c r="C748" t="b">
        <f t="shared" si="210"/>
        <v>0</v>
      </c>
      <c r="D748">
        <f>VLOOKUP(A748,variant_counts!A:B, 2, FALSE)</f>
        <v>3</v>
      </c>
      <c r="E748" t="str">
        <f t="shared" si="223"/>
        <v>zard-exhaust-22-full-kit-triumph-bonneville-t120-201619-racing-version-ztph065skr</v>
      </c>
      <c r="F748" t="str">
        <f t="shared" si="211"/>
        <v>ZARD EXHAUST 2&gt;2 FULL KIT TRIUMPH BONNEVILLE T120 2016/19 RACING VERSION ZTPH065SKR</v>
      </c>
      <c r="G748" t="str">
        <f t="shared" si="212"/>
        <v>&lt;p&gt;&lt;strong&gt;FOR YOUR T120: A UNIQUE KIT, TWO DIFFERENT SOLUTIONS!&lt;/strong&gt;&lt;/p&gt;
&lt;p&gt;2&amp;gt;2 STEEL RACING FULL KIT WITH REMOVABLE DB KILLERS&lt;/p&gt;
&lt;p&gt;THE EXHAUST REMOVES OEM CATALYZER STARTING FROM CYLINDER HEAD OUTPUT TO SILENCERS.&lt;/p&gt;
&lt;p&gt;THE EXHAUST CAN BE FITTED IN LOW MOUNTED POSITION UNDER FOOTREST OR IN BACK MOUNTED POSITION BUYING 'BACK MOUNTED KIT' AVAILABLE AS OPTIONAL.&lt;/p&gt;
&lt;p&gt;ZARD SILENCERS KIT CONSISTS OF STEEL LEFT+RIGHT HEADERS PIPE, STEEL LEFT+RIGHT SILENCERS AND FITTING KIT.&lt;/p&gt;
&lt;p&gt;HARD INCREASE, COMPARED TO THE ORIGINAL EXHAUST SYSTEM, IN TERMS OF TORQUE AND POWER AT ANY RANGE.&lt;/p&gt;
&lt;p&gt;ASTONISHING SOUND.&lt;/p&gt;
&lt;p&gt;&lt;/p&gt;</v>
      </c>
      <c r="H748" t="str">
        <f t="shared" si="224"/>
        <v>ZARD</v>
      </c>
      <c r="I748" t="str">
        <f t="shared" si="225"/>
        <v>Exhaust Pipe</v>
      </c>
      <c r="J748" t="str">
        <f t="shared" si="226"/>
        <v>Test</v>
      </c>
      <c r="K748" t="b">
        <f t="shared" si="227"/>
        <v>0</v>
      </c>
      <c r="L748" t="str">
        <f t="shared" si="213"/>
        <v/>
      </c>
      <c r="M748" t="str">
        <f t="shared" si="214"/>
        <v/>
      </c>
      <c r="R748" t="str">
        <f t="shared" si="215"/>
        <v/>
      </c>
      <c r="S748" t="str">
        <f t="shared" si="216"/>
        <v/>
      </c>
      <c r="U748" t="str">
        <f t="shared" si="217"/>
        <v/>
      </c>
      <c r="V748" t="str">
        <f t="shared" si="218"/>
        <v/>
      </c>
      <c r="W748" s="5" t="str">
        <f t="shared" si="219"/>
        <v/>
      </c>
      <c r="Y748" t="str">
        <f t="shared" si="220"/>
        <v/>
      </c>
      <c r="Z748" t="str">
        <f t="shared" si="221"/>
        <v/>
      </c>
      <c r="AB748" t="str">
        <f t="shared" si="222"/>
        <v>https://shop.officineitalianezard.it/contents/imgs/products/1_1777-1769-1564-T120%20CONVERSION%20KIT.jpg</v>
      </c>
      <c r="AE748" t="b">
        <v>0</v>
      </c>
    </row>
    <row r="749" spans="1:31" x14ac:dyDescent="0.2">
      <c r="A749" t="str">
        <f t="shared" si="209"/>
        <v>https://shop.officineitalianezard.it/en/bonneville-t120-exhaust-zard-2/</v>
      </c>
      <c r="B749" t="b">
        <f>COUNTIF($A$2:$A749, A749)&gt;1</f>
        <v>1</v>
      </c>
      <c r="C749" t="b">
        <f t="shared" si="210"/>
        <v>0</v>
      </c>
      <c r="D749">
        <f>VLOOKUP(A749,variant_counts!A:B, 2, FALSE)</f>
        <v>3</v>
      </c>
      <c r="E749" t="str">
        <f t="shared" si="223"/>
        <v>zard-exhaust-22-full-kit-triumph-bonneville-t120-201619-racing-version-ztph065skr</v>
      </c>
      <c r="F749" t="str">
        <f t="shared" si="211"/>
        <v>ZARD EXHAUST 2&gt;2 FULL KIT TRIUMPH BONNEVILLE T120 2016/19 RACING VERSION ZTPH065SKR</v>
      </c>
      <c r="G749" t="str">
        <f t="shared" si="212"/>
        <v/>
      </c>
      <c r="H749" t="str">
        <f t="shared" si="224"/>
        <v/>
      </c>
      <c r="I749" t="str">
        <f t="shared" si="225"/>
        <v/>
      </c>
      <c r="J749" t="str">
        <f t="shared" si="226"/>
        <v/>
      </c>
      <c r="K749" t="str">
        <f t="shared" si="227"/>
        <v/>
      </c>
      <c r="L749" t="str">
        <f t="shared" si="213"/>
        <v/>
      </c>
      <c r="M749" t="str">
        <f t="shared" si="214"/>
        <v/>
      </c>
      <c r="R749" t="str">
        <f t="shared" si="215"/>
        <v/>
      </c>
      <c r="S749" t="str">
        <f t="shared" si="216"/>
        <v/>
      </c>
      <c r="U749" t="str">
        <f t="shared" si="217"/>
        <v/>
      </c>
      <c r="V749" t="str">
        <f t="shared" si="218"/>
        <v/>
      </c>
      <c r="W749" s="5" t="str">
        <f t="shared" si="219"/>
        <v/>
      </c>
      <c r="Y749" t="str">
        <f t="shared" si="220"/>
        <v/>
      </c>
      <c r="Z749" t="str">
        <f t="shared" si="221"/>
        <v/>
      </c>
      <c r="AB749" t="str">
        <f t="shared" si="222"/>
        <v>https://shop.officineitalianezard.it/contents/imgs/products/1_1779-1426-bonneville%20t120%20scarichi%20t120%20exhaust%20zard%201.jpg</v>
      </c>
      <c r="AE749" t="b">
        <v>0</v>
      </c>
    </row>
    <row r="750" spans="1:31" x14ac:dyDescent="0.2">
      <c r="A750" t="str">
        <f t="shared" si="209"/>
        <v>https://shop.officineitalianezard.it/en/bonneville-t120-exhaust-zard-2/</v>
      </c>
      <c r="B750" t="b">
        <f>COUNTIF($A$2:$A750, A750)&gt;1</f>
        <v>1</v>
      </c>
      <c r="C750" t="b">
        <f t="shared" si="210"/>
        <v>0</v>
      </c>
      <c r="D750">
        <f>VLOOKUP(A750,variant_counts!A:B, 2, FALSE)</f>
        <v>3</v>
      </c>
      <c r="E750" t="str">
        <f t="shared" si="223"/>
        <v>zard-exhaust-22-full-kit-triumph-bonneville-t120-201619-racing-version-ztph065skr</v>
      </c>
      <c r="F750" t="str">
        <f t="shared" si="211"/>
        <v>ZARD EXHAUST 2&gt;2 FULL KIT TRIUMPH BONNEVILLE T120 2016/19 RACING VERSION ZTPH065SKR</v>
      </c>
      <c r="G750" t="str">
        <f t="shared" si="212"/>
        <v/>
      </c>
      <c r="H750" t="str">
        <f t="shared" si="224"/>
        <v/>
      </c>
      <c r="I750" t="str">
        <f t="shared" si="225"/>
        <v/>
      </c>
      <c r="J750" t="str">
        <f t="shared" si="226"/>
        <v/>
      </c>
      <c r="K750" t="str">
        <f t="shared" si="227"/>
        <v/>
      </c>
      <c r="L750" t="str">
        <f t="shared" si="213"/>
        <v/>
      </c>
      <c r="M750" t="str">
        <f t="shared" si="214"/>
        <v/>
      </c>
      <c r="R750" t="str">
        <f t="shared" si="215"/>
        <v/>
      </c>
      <c r="S750" t="str">
        <f t="shared" si="216"/>
        <v/>
      </c>
      <c r="U750" t="str">
        <f t="shared" si="217"/>
        <v/>
      </c>
      <c r="V750" t="str">
        <f t="shared" si="218"/>
        <v/>
      </c>
      <c r="W750" s="5" t="str">
        <f t="shared" si="219"/>
        <v/>
      </c>
      <c r="Y750" t="str">
        <f t="shared" si="220"/>
        <v/>
      </c>
      <c r="Z750" t="str">
        <f t="shared" si="221"/>
        <v/>
      </c>
      <c r="AB750" t="str">
        <f t="shared" si="222"/>
        <v>https://shop.officineitalianezard.it/contents/imgs/products/1_1780-1427-bonneville%20t120%20scarichi%20t120%20exhaust%20zard%202.jpg</v>
      </c>
      <c r="AE750" t="b">
        <v>0</v>
      </c>
    </row>
    <row r="751" spans="1:31" x14ac:dyDescent="0.2">
      <c r="A751" t="str">
        <f t="shared" si="209"/>
        <v>https://shop.officineitalianezard.it/en/bonneville-t120-exhaust-zard-2/</v>
      </c>
      <c r="B751" t="b">
        <f>COUNTIF($A$2:$A751, A751)&gt;1</f>
        <v>1</v>
      </c>
      <c r="C751" t="b">
        <f t="shared" si="210"/>
        <v>0</v>
      </c>
      <c r="D751">
        <f>VLOOKUP(A751,variant_counts!A:B, 2, FALSE)</f>
        <v>3</v>
      </c>
      <c r="E751" t="str">
        <f t="shared" si="223"/>
        <v>zard-exhaust-22-full-kit-triumph-bonneville-t120-201619-racing-version-ztph065skr</v>
      </c>
      <c r="F751" t="str">
        <f t="shared" si="211"/>
        <v>ZARD EXHAUST 2&gt;2 FULL KIT TRIUMPH BONNEVILLE T120 2016/19 RACING VERSION ZTPH065SKR</v>
      </c>
      <c r="G751" t="str">
        <f t="shared" si="212"/>
        <v/>
      </c>
      <c r="H751" t="str">
        <f t="shared" si="224"/>
        <v/>
      </c>
      <c r="I751" t="str">
        <f t="shared" si="225"/>
        <v/>
      </c>
      <c r="J751" t="str">
        <f t="shared" si="226"/>
        <v/>
      </c>
      <c r="K751" t="str">
        <f t="shared" si="227"/>
        <v/>
      </c>
      <c r="L751" t="str">
        <f t="shared" si="213"/>
        <v/>
      </c>
      <c r="M751" t="str">
        <f t="shared" si="214"/>
        <v/>
      </c>
      <c r="R751" t="str">
        <f t="shared" si="215"/>
        <v/>
      </c>
      <c r="S751" t="str">
        <f t="shared" si="216"/>
        <v/>
      </c>
      <c r="U751" t="str">
        <f t="shared" si="217"/>
        <v/>
      </c>
      <c r="V751" t="str">
        <f t="shared" si="218"/>
        <v/>
      </c>
      <c r="W751" s="5" t="str">
        <f t="shared" si="219"/>
        <v/>
      </c>
      <c r="Y751" t="str">
        <f t="shared" si="220"/>
        <v/>
      </c>
      <c r="Z751" t="str">
        <f t="shared" si="221"/>
        <v/>
      </c>
      <c r="AB751" t="str">
        <f t="shared" si="222"/>
        <v>https://shop.officineitalianezard.it/contents/imgs/products/1_1774-1670-triumph%20t120%20street%20twin%20exhaust.jpg</v>
      </c>
      <c r="AE751" t="b">
        <v>0</v>
      </c>
    </row>
    <row r="752" spans="1:31" x14ac:dyDescent="0.2">
      <c r="A752" t="str">
        <f t="shared" si="209"/>
        <v>https://shop.officineitalianezard.it/en/bonneville-t120-exhaust-zard-2/</v>
      </c>
      <c r="B752" t="b">
        <f>COUNTIF($A$2:$A752, A752)&gt;1</f>
        <v>1</v>
      </c>
      <c r="C752" t="b">
        <f t="shared" si="210"/>
        <v>0</v>
      </c>
      <c r="D752">
        <f>VLOOKUP(A752,variant_counts!A:B, 2, FALSE)</f>
        <v>3</v>
      </c>
      <c r="E752" t="str">
        <f t="shared" si="223"/>
        <v>zard-exhaust-22-full-kit-triumph-bonneville-t120-201619-racing-version-ztph065skr</v>
      </c>
      <c r="F752" t="str">
        <f t="shared" si="211"/>
        <v>ZARD EXHAUST 2&gt;2 FULL KIT TRIUMPH BONNEVILLE T120 2016/19 RACING VERSION ZTPH065SKR</v>
      </c>
      <c r="G752" t="str">
        <f t="shared" si="212"/>
        <v/>
      </c>
      <c r="H752" t="str">
        <f t="shared" si="224"/>
        <v/>
      </c>
      <c r="I752" t="str">
        <f t="shared" si="225"/>
        <v/>
      </c>
      <c r="J752" t="str">
        <f t="shared" si="226"/>
        <v/>
      </c>
      <c r="K752" t="str">
        <f t="shared" si="227"/>
        <v/>
      </c>
      <c r="L752" t="str">
        <f t="shared" si="213"/>
        <v/>
      </c>
      <c r="M752" t="str">
        <f t="shared" si="214"/>
        <v/>
      </c>
      <c r="R752" t="str">
        <f t="shared" si="215"/>
        <v/>
      </c>
      <c r="S752" t="str">
        <f t="shared" si="216"/>
        <v/>
      </c>
      <c r="U752" t="str">
        <f t="shared" si="217"/>
        <v/>
      </c>
      <c r="V752" t="str">
        <f t="shared" si="218"/>
        <v/>
      </c>
      <c r="W752" s="5" t="str">
        <f t="shared" si="219"/>
        <v/>
      </c>
      <c r="Y752" t="str">
        <f t="shared" si="220"/>
        <v/>
      </c>
      <c r="Z752" t="str">
        <f t="shared" si="221"/>
        <v/>
      </c>
      <c r="AB752" t="str">
        <f t="shared" si="222"/>
        <v>https://shop.officineitalianezard.it/contents/imgs/products/1_1776-1767-1503-1.jpg</v>
      </c>
      <c r="AE752" t="b">
        <v>0</v>
      </c>
    </row>
    <row r="753" spans="1:31" x14ac:dyDescent="0.2">
      <c r="A753" t="str">
        <f t="shared" si="209"/>
        <v>https://shop.officineitalianezard.it/en/bonneville-t120-exhaust-zard-2/</v>
      </c>
      <c r="B753" t="b">
        <f>COUNTIF($A$2:$A753, A753)&gt;1</f>
        <v>1</v>
      </c>
      <c r="C753" t="b">
        <f t="shared" si="210"/>
        <v>0</v>
      </c>
      <c r="D753">
        <f>VLOOKUP(A753,variant_counts!A:B, 2, FALSE)</f>
        <v>3</v>
      </c>
      <c r="E753" t="str">
        <f t="shared" si="223"/>
        <v>zard-exhaust-22-full-kit-triumph-bonneville-t120-201619-racing-version-ztph065skr</v>
      </c>
      <c r="F753" t="str">
        <f t="shared" si="211"/>
        <v>ZARD EXHAUST 2&gt;2 FULL KIT TRIUMPH BONNEVILLE T120 2016/19 RACING VERSION ZTPH065SKR</v>
      </c>
      <c r="G753" t="str">
        <f t="shared" si="212"/>
        <v/>
      </c>
      <c r="H753" t="str">
        <f t="shared" si="224"/>
        <v/>
      </c>
      <c r="I753" t="str">
        <f t="shared" si="225"/>
        <v/>
      </c>
      <c r="J753" t="str">
        <f t="shared" si="226"/>
        <v/>
      </c>
      <c r="K753" t="str">
        <f t="shared" si="227"/>
        <v/>
      </c>
      <c r="L753" t="str">
        <f t="shared" si="213"/>
        <v/>
      </c>
      <c r="M753" t="str">
        <f t="shared" si="214"/>
        <v/>
      </c>
      <c r="R753" t="str">
        <f t="shared" si="215"/>
        <v/>
      </c>
      <c r="S753" t="str">
        <f t="shared" si="216"/>
        <v/>
      </c>
      <c r="U753" t="str">
        <f t="shared" si="217"/>
        <v/>
      </c>
      <c r="V753" t="str">
        <f t="shared" si="218"/>
        <v/>
      </c>
      <c r="W753" s="5" t="str">
        <f t="shared" si="219"/>
        <v/>
      </c>
      <c r="Y753" t="str">
        <f t="shared" si="220"/>
        <v/>
      </c>
      <c r="Z753" t="str">
        <f t="shared" si="221"/>
        <v/>
      </c>
      <c r="AB753" t="str">
        <f t="shared" si="222"/>
        <v>https://shop.officineitalianezard.it/contents/imgs/products/1_1770-1768-1504-2.jpg</v>
      </c>
      <c r="AE753" t="b">
        <v>0</v>
      </c>
    </row>
    <row r="754" spans="1:31" x14ac:dyDescent="0.2">
      <c r="A754" t="str">
        <f t="shared" si="209"/>
        <v>https://shop.officineitalianezard.it/en/bonneville-t120-exhaust-zard-2/</v>
      </c>
      <c r="B754" t="b">
        <f>COUNTIF($A$2:$A754, A754)&gt;1</f>
        <v>1</v>
      </c>
      <c r="C754" t="b">
        <f t="shared" si="210"/>
        <v>0</v>
      </c>
      <c r="D754">
        <f>VLOOKUP(A754,variant_counts!A:B, 2, FALSE)</f>
        <v>3</v>
      </c>
      <c r="E754" t="str">
        <f t="shared" si="223"/>
        <v>zard-exhaust-22-full-kit-triumph-bonneville-t120-201619-racing-version-ztph065skr</v>
      </c>
      <c r="F754" t="str">
        <f t="shared" si="211"/>
        <v>ZARD EXHAUST 2&gt;2 FULL KIT TRIUMPH BONNEVILLE T120 2016/19 RACING VERSION ZTPH065SKR</v>
      </c>
      <c r="G754" t="str">
        <f t="shared" si="212"/>
        <v/>
      </c>
      <c r="H754" t="str">
        <f t="shared" si="224"/>
        <v/>
      </c>
      <c r="I754" t="str">
        <f t="shared" si="225"/>
        <v/>
      </c>
      <c r="J754" t="str">
        <f t="shared" si="226"/>
        <v/>
      </c>
      <c r="K754" t="str">
        <f t="shared" si="227"/>
        <v/>
      </c>
      <c r="L754" t="str">
        <f t="shared" si="213"/>
        <v/>
      </c>
      <c r="M754" t="str">
        <f t="shared" si="214"/>
        <v/>
      </c>
      <c r="R754" t="str">
        <f t="shared" si="215"/>
        <v/>
      </c>
      <c r="S754" t="str">
        <f t="shared" si="216"/>
        <v/>
      </c>
      <c r="U754" t="str">
        <f t="shared" si="217"/>
        <v/>
      </c>
      <c r="V754" t="str">
        <f t="shared" si="218"/>
        <v/>
      </c>
      <c r="W754" s="5" t="str">
        <f t="shared" si="219"/>
        <v/>
      </c>
      <c r="Y754" t="str">
        <f t="shared" si="220"/>
        <v/>
      </c>
      <c r="Z754" t="str">
        <f t="shared" si="221"/>
        <v/>
      </c>
      <c r="AB754" t="str">
        <f t="shared" si="222"/>
        <v>https://shop.officineitalianezard.it/contents/imgs/products/1_1771-1433-bonneville%20t120%20scarichi%20t120%20exhaust%20zard%204.jpg</v>
      </c>
      <c r="AE754" t="b">
        <v>0</v>
      </c>
    </row>
    <row r="755" spans="1:31" x14ac:dyDescent="0.2">
      <c r="A755" t="str">
        <f t="shared" si="209"/>
        <v>https://shop.officineitalianezard.it/en/bonneville-t120-exhaust-zard-2/</v>
      </c>
      <c r="B755" t="b">
        <f>COUNTIF($A$2:$A755, A755)&gt;1</f>
        <v>1</v>
      </c>
      <c r="C755" t="b">
        <f t="shared" si="210"/>
        <v>0</v>
      </c>
      <c r="D755">
        <f>VLOOKUP(A755,variant_counts!A:B, 2, FALSE)</f>
        <v>3</v>
      </c>
      <c r="E755" t="str">
        <f t="shared" si="223"/>
        <v>zard-exhaust-22-full-kit-triumph-bonneville-t120-201619-racing-version-ztph065skr</v>
      </c>
      <c r="F755" t="str">
        <f t="shared" si="211"/>
        <v>ZARD EXHAUST 2&gt;2 FULL KIT TRIUMPH BONNEVILLE T120 2016/19 RACING VERSION ZTPH065SKR</v>
      </c>
      <c r="G755" t="str">
        <f t="shared" si="212"/>
        <v/>
      </c>
      <c r="H755" t="str">
        <f t="shared" si="224"/>
        <v/>
      </c>
      <c r="I755" t="str">
        <f t="shared" si="225"/>
        <v/>
      </c>
      <c r="J755" t="str">
        <f t="shared" si="226"/>
        <v/>
      </c>
      <c r="K755" t="str">
        <f t="shared" si="227"/>
        <v/>
      </c>
      <c r="L755" t="str">
        <f t="shared" si="213"/>
        <v/>
      </c>
      <c r="M755" t="str">
        <f t="shared" si="214"/>
        <v/>
      </c>
      <c r="R755" t="str">
        <f t="shared" si="215"/>
        <v/>
      </c>
      <c r="S755" t="str">
        <f t="shared" si="216"/>
        <v/>
      </c>
      <c r="U755" t="str">
        <f t="shared" si="217"/>
        <v/>
      </c>
      <c r="V755" t="str">
        <f t="shared" si="218"/>
        <v/>
      </c>
      <c r="W755" s="5" t="str">
        <f t="shared" si="219"/>
        <v/>
      </c>
      <c r="Y755" t="str">
        <f t="shared" si="220"/>
        <v/>
      </c>
      <c r="Z755" t="str">
        <f t="shared" si="221"/>
        <v/>
      </c>
      <c r="AB755" t="str">
        <f t="shared" si="222"/>
        <v>https://shop.officineitalianezard.it/contents/imgs/products/1_1772-1432-bonneville%20t120%20scarichi%20t120%20exhaust%20zard%203.jpg</v>
      </c>
      <c r="AE755" t="b">
        <v>0</v>
      </c>
    </row>
    <row r="756" spans="1:31" x14ac:dyDescent="0.2">
      <c r="A756" t="str">
        <f t="shared" si="209"/>
        <v>https://shop.officineitalianezard.it/en/bonneville-t120-exhaust-zard-2/</v>
      </c>
      <c r="B756" t="b">
        <f>COUNTIF($A$2:$A756, A756)&gt;1</f>
        <v>1</v>
      </c>
      <c r="C756" t="b">
        <f t="shared" si="210"/>
        <v>0</v>
      </c>
      <c r="D756">
        <f>VLOOKUP(A756,variant_counts!A:B, 2, FALSE)</f>
        <v>3</v>
      </c>
      <c r="E756" t="str">
        <f t="shared" si="223"/>
        <v>zard-exhaust-22-full-kit-triumph-bonneville-t120-201619-racing-version-ztph065skr</v>
      </c>
      <c r="F756" t="str">
        <f t="shared" si="211"/>
        <v>ZARD EXHAUST 2&gt;2 FULL KIT TRIUMPH BONNEVILLE T120 2016/19 RACING VERSION ZTPH065SKR</v>
      </c>
      <c r="G756" t="str">
        <f t="shared" si="212"/>
        <v/>
      </c>
      <c r="H756" t="str">
        <f t="shared" si="224"/>
        <v/>
      </c>
      <c r="I756" t="str">
        <f t="shared" si="225"/>
        <v/>
      </c>
      <c r="J756" t="str">
        <f t="shared" si="226"/>
        <v/>
      </c>
      <c r="K756" t="str">
        <f t="shared" si="227"/>
        <v/>
      </c>
      <c r="L756" t="str">
        <f t="shared" si="213"/>
        <v/>
      </c>
      <c r="M756" t="str">
        <f t="shared" si="214"/>
        <v/>
      </c>
      <c r="R756" t="str">
        <f t="shared" si="215"/>
        <v/>
      </c>
      <c r="S756" t="str">
        <f t="shared" si="216"/>
        <v/>
      </c>
      <c r="U756" t="str">
        <f t="shared" si="217"/>
        <v/>
      </c>
      <c r="V756" t="str">
        <f t="shared" si="218"/>
        <v/>
      </c>
      <c r="W756" s="5" t="str">
        <f t="shared" si="219"/>
        <v/>
      </c>
      <c r="Y756" t="str">
        <f t="shared" si="220"/>
        <v/>
      </c>
      <c r="Z756" t="str">
        <f t="shared" si="221"/>
        <v/>
      </c>
      <c r="AB756" t="str">
        <f t="shared" si="222"/>
        <v>https://shop.officineitalianezard.it/contents/imgs/products/1_1773-1650-t120%20neri%20zard.jpg</v>
      </c>
      <c r="AE756" t="b">
        <v>0</v>
      </c>
    </row>
    <row r="757" spans="1:31" x14ac:dyDescent="0.2">
      <c r="A757" t="str">
        <f t="shared" si="209"/>
        <v>https://shop.officineitalianezard.it/en/bonneville-t120-exhaust-zard-2/</v>
      </c>
      <c r="B757" t="b">
        <f>COUNTIF($A$2:$A757, A757)&gt;1</f>
        <v>1</v>
      </c>
      <c r="C757" t="b">
        <f t="shared" si="210"/>
        <v>0</v>
      </c>
      <c r="D757">
        <f>VLOOKUP(A757,variant_counts!A:B, 2, FALSE)</f>
        <v>3</v>
      </c>
      <c r="E757" t="str">
        <f t="shared" si="223"/>
        <v>zard-exhaust-22-full-kit-triumph-bonneville-t120-201619-racing-version-ztph065skr</v>
      </c>
      <c r="F757" t="str">
        <f t="shared" si="211"/>
        <v>ZARD EXHAUST 2&gt;2 FULL KIT TRIUMPH BONNEVILLE T120 2016/19 RACING VERSION ZTPH065SKR</v>
      </c>
      <c r="G757" t="str">
        <f t="shared" si="212"/>
        <v/>
      </c>
      <c r="H757" t="str">
        <f t="shared" si="224"/>
        <v/>
      </c>
      <c r="I757" t="str">
        <f t="shared" si="225"/>
        <v/>
      </c>
      <c r="J757" t="str">
        <f t="shared" si="226"/>
        <v/>
      </c>
      <c r="K757" t="str">
        <f t="shared" si="227"/>
        <v/>
      </c>
      <c r="L757" t="str">
        <f t="shared" si="213"/>
        <v/>
      </c>
      <c r="M757" t="str">
        <f t="shared" si="214"/>
        <v/>
      </c>
      <c r="R757" t="str">
        <f t="shared" si="215"/>
        <v/>
      </c>
      <c r="S757" t="str">
        <f t="shared" si="216"/>
        <v/>
      </c>
      <c r="U757" t="str">
        <f t="shared" si="217"/>
        <v/>
      </c>
      <c r="V757" t="str">
        <f t="shared" si="218"/>
        <v/>
      </c>
      <c r="W757" s="5" t="str">
        <f t="shared" si="219"/>
        <v/>
      </c>
      <c r="Y757" t="str">
        <f t="shared" si="220"/>
        <v/>
      </c>
      <c r="Z757" t="str">
        <f t="shared" si="221"/>
        <v/>
      </c>
      <c r="AB757" t="str">
        <f t="shared" si="222"/>
        <v>https://shop.officineitalianezard.it/contents/imgs/products/1_1775-1740-scarico%20bonneville%20t120%20scarico%20triumph%20street%20twin.jpg</v>
      </c>
      <c r="AE757" t="b">
        <v>0</v>
      </c>
    </row>
    <row r="758" spans="1:31" x14ac:dyDescent="0.2">
      <c r="A758" t="str">
        <f t="shared" si="209"/>
        <v>https://shop.officineitalianezard.it/en/bonneville-t120-exhaust-zard-2/</v>
      </c>
      <c r="B758" t="b">
        <f>COUNTIF($A$2:$A758, A758)&gt;1</f>
        <v>1</v>
      </c>
      <c r="C758" t="b">
        <f t="shared" si="210"/>
        <v>1</v>
      </c>
      <c r="D758">
        <f>VLOOKUP(A758,variant_counts!A:B, 2, FALSE)</f>
        <v>3</v>
      </c>
      <c r="E758" t="str">
        <f t="shared" si="223"/>
        <v>zard-exhaust-22-full-kit-triumph-bonneville-t120-201619-racing-version-ztph065skr</v>
      </c>
      <c r="F758" t="str">
        <f t="shared" si="211"/>
        <v>ZARD EXHAUST 2&gt;2 FULL KIT TRIUMPH BONNEVILLE T120 2016/19 RACING VERSION ZTPH065SKR</v>
      </c>
      <c r="G758" t="str">
        <f t="shared" si="212"/>
        <v/>
      </c>
      <c r="H758" t="str">
        <f t="shared" si="224"/>
        <v/>
      </c>
      <c r="I758" t="str">
        <f t="shared" si="225"/>
        <v/>
      </c>
      <c r="J758" t="str">
        <f t="shared" si="226"/>
        <v/>
      </c>
      <c r="K758" t="str">
        <f t="shared" si="227"/>
        <v/>
      </c>
      <c r="L758" t="str">
        <f t="shared" si="213"/>
        <v>Option</v>
      </c>
      <c r="M758" t="str">
        <f t="shared" si="214"/>
        <v>BLACK COATING</v>
      </c>
      <c r="R758" t="str">
        <f t="shared" si="215"/>
        <v>ZTPH065SKR</v>
      </c>
      <c r="S758">
        <f t="shared" si="216"/>
        <v>0</v>
      </c>
      <c r="U758" t="str">
        <f t="shared" si="217"/>
        <v>continue</v>
      </c>
      <c r="V758" t="str">
        <f t="shared" si="218"/>
        <v>manual</v>
      </c>
      <c r="W758" s="5">
        <f t="shared" si="219"/>
        <v>1269.1296000000002</v>
      </c>
      <c r="Y758" t="b">
        <f t="shared" si="220"/>
        <v>1</v>
      </c>
      <c r="Z758" t="b">
        <f t="shared" si="221"/>
        <v>0</v>
      </c>
      <c r="AB758" t="str">
        <f t="shared" si="222"/>
        <v/>
      </c>
      <c r="AE758" t="b">
        <v>0</v>
      </c>
    </row>
    <row r="759" spans="1:31" x14ac:dyDescent="0.2">
      <c r="A759" t="str">
        <f t="shared" si="209"/>
        <v>https://shop.officineitalianezard.it/en/bonneville-t120-exhaust-zard-2/</v>
      </c>
      <c r="B759" t="b">
        <f>COUNTIF($A$2:$A759, A759)&gt;1</f>
        <v>1</v>
      </c>
      <c r="C759" t="b">
        <f t="shared" si="210"/>
        <v>1</v>
      </c>
      <c r="D759">
        <f>VLOOKUP(A759,variant_counts!A:B, 2, FALSE)</f>
        <v>3</v>
      </c>
      <c r="E759" t="str">
        <f t="shared" si="223"/>
        <v>zard-exhaust-22-full-kit-triumph-bonneville-t120-201619-racing-version-ztph065skr</v>
      </c>
      <c r="F759" t="str">
        <f t="shared" si="211"/>
        <v>ZARD EXHAUST 2&gt;2 FULL KIT TRIUMPH BONNEVILLE T120 2016/19 RACING VERSION ZTPH065SKR</v>
      </c>
      <c r="G759" t="str">
        <f t="shared" si="212"/>
        <v/>
      </c>
      <c r="H759" t="str">
        <f t="shared" si="224"/>
        <v/>
      </c>
      <c r="I759" t="str">
        <f t="shared" si="225"/>
        <v/>
      </c>
      <c r="J759" t="str">
        <f t="shared" si="226"/>
        <v/>
      </c>
      <c r="K759" t="str">
        <f t="shared" si="227"/>
        <v/>
      </c>
      <c r="L759" t="str">
        <f t="shared" si="213"/>
        <v>Option</v>
      </c>
      <c r="M759" t="str">
        <f t="shared" si="214"/>
        <v>MIRROR POLISHED</v>
      </c>
      <c r="R759" t="str">
        <f t="shared" si="215"/>
        <v>ZTPH065SKR</v>
      </c>
      <c r="S759">
        <f t="shared" si="216"/>
        <v>0</v>
      </c>
      <c r="U759" t="str">
        <f t="shared" si="217"/>
        <v>continue</v>
      </c>
      <c r="V759" t="str">
        <f t="shared" si="218"/>
        <v>manual</v>
      </c>
      <c r="W759" s="5">
        <f t="shared" si="219"/>
        <v>1128.2928000000002</v>
      </c>
      <c r="Y759" t="b">
        <f t="shared" si="220"/>
        <v>1</v>
      </c>
      <c r="Z759" t="b">
        <f t="shared" si="221"/>
        <v>0</v>
      </c>
      <c r="AB759" t="str">
        <f t="shared" si="222"/>
        <v/>
      </c>
      <c r="AE759" t="b">
        <v>0</v>
      </c>
    </row>
    <row r="760" spans="1:31" x14ac:dyDescent="0.2">
      <c r="A760" t="str">
        <f t="shared" si="209"/>
        <v>https://shop.officineitalianezard.it/en/bonneville-t120-exhaust-zard-2/</v>
      </c>
      <c r="B760" t="b">
        <f>COUNTIF($A$2:$A760, A760)&gt;1</f>
        <v>1</v>
      </c>
      <c r="C760" t="b">
        <f t="shared" si="210"/>
        <v>1</v>
      </c>
      <c r="D760">
        <f>VLOOKUP(A760,variant_counts!A:B, 2, FALSE)</f>
        <v>3</v>
      </c>
      <c r="E760" t="str">
        <f t="shared" si="223"/>
        <v>zard-exhaust-22-full-kit-triumph-bonneville-t120-201619-racing-version-ztph065skr</v>
      </c>
      <c r="F760" t="str">
        <f t="shared" si="211"/>
        <v>ZARD EXHAUST 2&gt;2 FULL KIT TRIUMPH BONNEVILLE T120 2016/19 RACING VERSION ZTPH065SKR</v>
      </c>
      <c r="G760" t="str">
        <f t="shared" si="212"/>
        <v/>
      </c>
      <c r="H760" t="str">
        <f t="shared" si="224"/>
        <v/>
      </c>
      <c r="I760" t="str">
        <f t="shared" si="225"/>
        <v/>
      </c>
      <c r="J760" t="str">
        <f t="shared" si="226"/>
        <v/>
      </c>
      <c r="K760" t="str">
        <f t="shared" si="227"/>
        <v/>
      </c>
      <c r="L760" t="str">
        <f t="shared" si="213"/>
        <v>Option</v>
      </c>
      <c r="M760" t="str">
        <f t="shared" si="214"/>
        <v>BACK MOUNTING KIT</v>
      </c>
      <c r="R760" t="str">
        <f t="shared" si="215"/>
        <v>ZTPH065SKR</v>
      </c>
      <c r="S760">
        <f t="shared" si="216"/>
        <v>0</v>
      </c>
      <c r="U760" t="str">
        <f t="shared" si="217"/>
        <v>continue</v>
      </c>
      <c r="V760" t="str">
        <f t="shared" si="218"/>
        <v>manual</v>
      </c>
      <c r="W760" s="5">
        <f t="shared" si="219"/>
        <v>1303.5174000000002</v>
      </c>
      <c r="Y760" t="b">
        <f t="shared" si="220"/>
        <v>1</v>
      </c>
      <c r="Z760" t="b">
        <f t="shared" si="221"/>
        <v>0</v>
      </c>
      <c r="AB760" t="str">
        <f t="shared" si="222"/>
        <v/>
      </c>
      <c r="AE760" t="b">
        <v>0</v>
      </c>
    </row>
    <row r="761" spans="1:31" x14ac:dyDescent="0.2">
      <c r="A761" t="str">
        <f t="shared" si="209"/>
        <v>https://shop.officineitalianezard.it/en/triumph-bonneville-t120-exhaust-zard/</v>
      </c>
      <c r="B761" t="b">
        <f>COUNTIF($A$2:$A761, A761)&gt;1</f>
        <v>0</v>
      </c>
      <c r="C761" t="b">
        <f t="shared" si="210"/>
        <v>0</v>
      </c>
      <c r="D761">
        <f>VLOOKUP(A761,variant_counts!A:B, 2, FALSE)</f>
        <v>4</v>
      </c>
      <c r="E761" t="str">
        <f t="shared" si="223"/>
        <v>zard-exhaust-high-mounted-full-kit-triumph-bonneville-t120-201619-22-version-ztph066ska</v>
      </c>
      <c r="F761" t="str">
        <f t="shared" si="211"/>
        <v>ZARD EXHAUST HIGH MOUNTED FULL KIT TRIUMPH BONNEVILLE T120 2016/19 2&gt;2 VERSION ZTPH066SKA</v>
      </c>
      <c r="G761" t="str">
        <f t="shared" si="212"/>
        <v>&lt;p&gt;2&amp;gt;2 STEEL RACING FULL KIT WITH REMOVABLE DBKILLERS.&lt;/p&gt;
&lt;p&gt;ORIGINAL FULL KIT WEIGHT: 14.3 KG&lt;br&gt;ZARD FULL KIT WEIGHT: 7 KG&lt;/p&gt;
&lt;p&gt;THE BLACK COATED EXHAUST KEEP&amp;nbsp;STEEL HEATSHIELD GRID&lt;/p&gt;
&lt;p class="p1"&gt;&lt;span style="color: #ff0000;"&gt;&lt;strong&gt;FOR A PROPER FITMENT YOU NEED THE RIGHT ZARD SIDE PANEL (INCLUDED IN BRUSHED VERSION). THE LEFT SIDE PANEL IS AVAILABLE AS OPTIONAL.&lt;/strong&gt;&lt;/span&gt;&lt;/p&gt;
&lt;p&gt;ASTONISHING SOUND,&amp;nbsp;EXCLUSIVE DESIGN.&lt;/p&gt;</v>
      </c>
      <c r="H761" t="str">
        <f t="shared" si="224"/>
        <v>ZARD</v>
      </c>
      <c r="I761" t="str">
        <f t="shared" si="225"/>
        <v>Exhaust Pipe</v>
      </c>
      <c r="J761" t="str">
        <f t="shared" si="226"/>
        <v>Test</v>
      </c>
      <c r="K761" t="b">
        <f t="shared" si="227"/>
        <v>0</v>
      </c>
      <c r="L761" t="str">
        <f t="shared" si="213"/>
        <v/>
      </c>
      <c r="M761" t="str">
        <f t="shared" si="214"/>
        <v/>
      </c>
      <c r="R761" t="str">
        <f t="shared" si="215"/>
        <v/>
      </c>
      <c r="S761" t="str">
        <f t="shared" si="216"/>
        <v/>
      </c>
      <c r="U761" t="str">
        <f t="shared" si="217"/>
        <v/>
      </c>
      <c r="V761" t="str">
        <f t="shared" si="218"/>
        <v/>
      </c>
      <c r="W761" s="5" t="str">
        <f t="shared" si="219"/>
        <v/>
      </c>
      <c r="Y761" t="str">
        <f t="shared" si="220"/>
        <v/>
      </c>
      <c r="Z761" t="str">
        <f t="shared" si="221"/>
        <v/>
      </c>
      <c r="AB761" t="str">
        <f t="shared" si="222"/>
        <v>https://shop.officineitalianezard.it/contents/imgs/products/1_1510-1.jpg</v>
      </c>
      <c r="AE761" t="b">
        <v>0</v>
      </c>
    </row>
    <row r="762" spans="1:31" x14ac:dyDescent="0.2">
      <c r="A762" t="str">
        <f t="shared" si="209"/>
        <v>https://shop.officineitalianezard.it/en/triumph-bonneville-t120-exhaust-zard/</v>
      </c>
      <c r="B762" t="b">
        <f>COUNTIF($A$2:$A762, A762)&gt;1</f>
        <v>1</v>
      </c>
      <c r="C762" t="b">
        <f t="shared" si="210"/>
        <v>0</v>
      </c>
      <c r="D762">
        <f>VLOOKUP(A762,variant_counts!A:B, 2, FALSE)</f>
        <v>4</v>
      </c>
      <c r="E762" t="str">
        <f t="shared" si="223"/>
        <v>zard-exhaust-high-mounted-full-kit-triumph-bonneville-t120-201619-22-version-ztph066ska</v>
      </c>
      <c r="F762" t="str">
        <f t="shared" si="211"/>
        <v>ZARD EXHAUST HIGH MOUNTED FULL KIT TRIUMPH BONNEVILLE T120 2016/19 2&gt;2 VERSION ZTPH066SKA</v>
      </c>
      <c r="G762" t="str">
        <f t="shared" si="212"/>
        <v/>
      </c>
      <c r="H762" t="str">
        <f t="shared" si="224"/>
        <v/>
      </c>
      <c r="I762" t="str">
        <f t="shared" si="225"/>
        <v/>
      </c>
      <c r="J762" t="str">
        <f t="shared" si="226"/>
        <v/>
      </c>
      <c r="K762" t="str">
        <f t="shared" si="227"/>
        <v/>
      </c>
      <c r="L762" t="str">
        <f t="shared" si="213"/>
        <v/>
      </c>
      <c r="M762" t="str">
        <f t="shared" si="214"/>
        <v/>
      </c>
      <c r="R762" t="str">
        <f t="shared" si="215"/>
        <v/>
      </c>
      <c r="S762" t="str">
        <f t="shared" si="216"/>
        <v/>
      </c>
      <c r="U762" t="str">
        <f t="shared" si="217"/>
        <v/>
      </c>
      <c r="V762" t="str">
        <f t="shared" si="218"/>
        <v/>
      </c>
      <c r="W762" s="5" t="str">
        <f t="shared" si="219"/>
        <v/>
      </c>
      <c r="Y762" t="str">
        <f t="shared" si="220"/>
        <v/>
      </c>
      <c r="Z762" t="str">
        <f t="shared" si="221"/>
        <v/>
      </c>
      <c r="AB762" t="str">
        <f t="shared" si="222"/>
        <v>https://shop.officineitalianezard.it/contents/imgs/products/1_1511-2.jpg</v>
      </c>
      <c r="AE762" t="b">
        <v>0</v>
      </c>
    </row>
    <row r="763" spans="1:31" x14ac:dyDescent="0.2">
      <c r="A763" t="str">
        <f t="shared" si="209"/>
        <v>https://shop.officineitalianezard.it/en/triumph-bonneville-t120-exhaust-zard/</v>
      </c>
      <c r="B763" t="b">
        <f>COUNTIF($A$2:$A763, A763)&gt;1</f>
        <v>1</v>
      </c>
      <c r="C763" t="b">
        <f t="shared" si="210"/>
        <v>0</v>
      </c>
      <c r="D763">
        <f>VLOOKUP(A763,variant_counts!A:B, 2, FALSE)</f>
        <v>4</v>
      </c>
      <c r="E763" t="str">
        <f t="shared" si="223"/>
        <v>zard-exhaust-high-mounted-full-kit-triumph-bonneville-t120-201619-22-version-ztph066ska</v>
      </c>
      <c r="F763" t="str">
        <f t="shared" si="211"/>
        <v>ZARD EXHAUST HIGH MOUNTED FULL KIT TRIUMPH BONNEVILLE T120 2016/19 2&gt;2 VERSION ZTPH066SKA</v>
      </c>
      <c r="G763" t="str">
        <f t="shared" si="212"/>
        <v/>
      </c>
      <c r="H763" t="str">
        <f t="shared" si="224"/>
        <v/>
      </c>
      <c r="I763" t="str">
        <f t="shared" si="225"/>
        <v/>
      </c>
      <c r="J763" t="str">
        <f t="shared" si="226"/>
        <v/>
      </c>
      <c r="K763" t="str">
        <f t="shared" si="227"/>
        <v/>
      </c>
      <c r="L763" t="str">
        <f t="shared" si="213"/>
        <v/>
      </c>
      <c r="M763" t="str">
        <f t="shared" si="214"/>
        <v/>
      </c>
      <c r="R763" t="str">
        <f t="shared" si="215"/>
        <v/>
      </c>
      <c r="S763" t="str">
        <f t="shared" si="216"/>
        <v/>
      </c>
      <c r="U763" t="str">
        <f t="shared" si="217"/>
        <v/>
      </c>
      <c r="V763" t="str">
        <f t="shared" si="218"/>
        <v/>
      </c>
      <c r="W763" s="5" t="str">
        <f t="shared" si="219"/>
        <v/>
      </c>
      <c r="Y763" t="str">
        <f t="shared" si="220"/>
        <v/>
      </c>
      <c r="Z763" t="str">
        <f t="shared" si="221"/>
        <v/>
      </c>
      <c r="AB763" t="str">
        <f t="shared" si="222"/>
        <v>https://shop.officineitalianezard.it/contents/imgs/products/1_1512-3.jpg</v>
      </c>
      <c r="AE763" t="b">
        <v>0</v>
      </c>
    </row>
    <row r="764" spans="1:31" x14ac:dyDescent="0.2">
      <c r="A764" t="str">
        <f t="shared" si="209"/>
        <v>https://shop.officineitalianezard.it/en/triumph-bonneville-t120-exhaust-zard/</v>
      </c>
      <c r="B764" t="b">
        <f>COUNTIF($A$2:$A764, A764)&gt;1</f>
        <v>1</v>
      </c>
      <c r="C764" t="b">
        <f t="shared" si="210"/>
        <v>0</v>
      </c>
      <c r="D764">
        <f>VLOOKUP(A764,variant_counts!A:B, 2, FALSE)</f>
        <v>4</v>
      </c>
      <c r="E764" t="str">
        <f t="shared" si="223"/>
        <v>zard-exhaust-high-mounted-full-kit-triumph-bonneville-t120-201619-22-version-ztph066ska</v>
      </c>
      <c r="F764" t="str">
        <f t="shared" si="211"/>
        <v>ZARD EXHAUST HIGH MOUNTED FULL KIT TRIUMPH BONNEVILLE T120 2016/19 2&gt;2 VERSION ZTPH066SKA</v>
      </c>
      <c r="G764" t="str">
        <f t="shared" si="212"/>
        <v/>
      </c>
      <c r="H764" t="str">
        <f t="shared" si="224"/>
        <v/>
      </c>
      <c r="I764" t="str">
        <f t="shared" si="225"/>
        <v/>
      </c>
      <c r="J764" t="str">
        <f t="shared" si="226"/>
        <v/>
      </c>
      <c r="K764" t="str">
        <f t="shared" si="227"/>
        <v/>
      </c>
      <c r="L764" t="str">
        <f t="shared" si="213"/>
        <v/>
      </c>
      <c r="M764" t="str">
        <f t="shared" si="214"/>
        <v/>
      </c>
      <c r="R764" t="str">
        <f t="shared" si="215"/>
        <v/>
      </c>
      <c r="S764" t="str">
        <f t="shared" si="216"/>
        <v/>
      </c>
      <c r="U764" t="str">
        <f t="shared" si="217"/>
        <v/>
      </c>
      <c r="V764" t="str">
        <f t="shared" si="218"/>
        <v/>
      </c>
      <c r="W764" s="5" t="str">
        <f t="shared" si="219"/>
        <v/>
      </c>
      <c r="Y764" t="str">
        <f t="shared" si="220"/>
        <v/>
      </c>
      <c r="Z764" t="str">
        <f t="shared" si="221"/>
        <v/>
      </c>
      <c r="AB764" t="str">
        <f t="shared" si="222"/>
        <v>https://shop.officineitalianezard.it/contents/imgs/products/1_1746-scarico%20bonneville%20t120%20scarico%20triumph%20street%20twin.jpg</v>
      </c>
      <c r="AE764" t="b">
        <v>0</v>
      </c>
    </row>
    <row r="765" spans="1:31" x14ac:dyDescent="0.2">
      <c r="A765" t="str">
        <f t="shared" si="209"/>
        <v>https://shop.officineitalianezard.it/en/triumph-bonneville-t120-exhaust-zard/</v>
      </c>
      <c r="B765" t="b">
        <f>COUNTIF($A$2:$A765, A765)&gt;1</f>
        <v>1</v>
      </c>
      <c r="C765" t="b">
        <f t="shared" si="210"/>
        <v>0</v>
      </c>
      <c r="D765">
        <f>VLOOKUP(A765,variant_counts!A:B, 2, FALSE)</f>
        <v>4</v>
      </c>
      <c r="E765" t="str">
        <f t="shared" si="223"/>
        <v>zard-exhaust-high-mounted-full-kit-triumph-bonneville-t120-201619-22-version-ztph066ska</v>
      </c>
      <c r="F765" t="str">
        <f t="shared" si="211"/>
        <v>ZARD EXHAUST HIGH MOUNTED FULL KIT TRIUMPH BONNEVILLE T120 2016/19 2&gt;2 VERSION ZTPH066SKA</v>
      </c>
      <c r="G765" t="str">
        <f t="shared" si="212"/>
        <v/>
      </c>
      <c r="H765" t="str">
        <f t="shared" si="224"/>
        <v/>
      </c>
      <c r="I765" t="str">
        <f t="shared" si="225"/>
        <v/>
      </c>
      <c r="J765" t="str">
        <f t="shared" si="226"/>
        <v/>
      </c>
      <c r="K765" t="str">
        <f t="shared" si="227"/>
        <v/>
      </c>
      <c r="L765" t="str">
        <f t="shared" si="213"/>
        <v/>
      </c>
      <c r="M765" t="str">
        <f t="shared" si="214"/>
        <v/>
      </c>
      <c r="R765" t="str">
        <f t="shared" si="215"/>
        <v/>
      </c>
      <c r="S765" t="str">
        <f t="shared" si="216"/>
        <v/>
      </c>
      <c r="U765" t="str">
        <f t="shared" si="217"/>
        <v/>
      </c>
      <c r="V765" t="str">
        <f t="shared" si="218"/>
        <v/>
      </c>
      <c r="W765" s="5" t="str">
        <f t="shared" si="219"/>
        <v/>
      </c>
      <c r="Y765" t="str">
        <f t="shared" si="220"/>
        <v/>
      </c>
      <c r="Z765" t="str">
        <f t="shared" si="221"/>
        <v/>
      </c>
      <c r="AB765" t="str">
        <f t="shared" si="222"/>
        <v>https://shop.officineitalianezard.it/contents/imgs/products/1_1827-1.jpg</v>
      </c>
      <c r="AE765" t="b">
        <v>0</v>
      </c>
    </row>
    <row r="766" spans="1:31" x14ac:dyDescent="0.2">
      <c r="A766" t="str">
        <f t="shared" si="209"/>
        <v>https://shop.officineitalianezard.it/en/triumph-bonneville-t120-exhaust-zard/</v>
      </c>
      <c r="B766" t="b">
        <f>COUNTIF($A$2:$A766, A766)&gt;1</f>
        <v>1</v>
      </c>
      <c r="C766" t="b">
        <f t="shared" si="210"/>
        <v>0</v>
      </c>
      <c r="D766">
        <f>VLOOKUP(A766,variant_counts!A:B, 2, FALSE)</f>
        <v>4</v>
      </c>
      <c r="E766" t="str">
        <f t="shared" si="223"/>
        <v>zard-exhaust-high-mounted-full-kit-triumph-bonneville-t120-201619-22-version-ztph066ska</v>
      </c>
      <c r="F766" t="str">
        <f t="shared" si="211"/>
        <v>ZARD EXHAUST HIGH MOUNTED FULL KIT TRIUMPH BONNEVILLE T120 2016/19 2&gt;2 VERSION ZTPH066SKA</v>
      </c>
      <c r="G766" t="str">
        <f t="shared" si="212"/>
        <v/>
      </c>
      <c r="H766" t="str">
        <f t="shared" si="224"/>
        <v/>
      </c>
      <c r="I766" t="str">
        <f t="shared" si="225"/>
        <v/>
      </c>
      <c r="J766" t="str">
        <f t="shared" si="226"/>
        <v/>
      </c>
      <c r="K766" t="str">
        <f t="shared" si="227"/>
        <v/>
      </c>
      <c r="L766" t="str">
        <f t="shared" si="213"/>
        <v/>
      </c>
      <c r="M766" t="str">
        <f t="shared" si="214"/>
        <v/>
      </c>
      <c r="R766" t="str">
        <f t="shared" si="215"/>
        <v/>
      </c>
      <c r="S766" t="str">
        <f t="shared" si="216"/>
        <v/>
      </c>
      <c r="U766" t="str">
        <f t="shared" si="217"/>
        <v/>
      </c>
      <c r="V766" t="str">
        <f t="shared" si="218"/>
        <v/>
      </c>
      <c r="W766" s="5" t="str">
        <f t="shared" si="219"/>
        <v/>
      </c>
      <c r="Y766" t="str">
        <f t="shared" si="220"/>
        <v/>
      </c>
      <c r="Z766" t="str">
        <f t="shared" si="221"/>
        <v/>
      </c>
      <c r="AB766" t="str">
        <f t="shared" si="222"/>
        <v>https://shop.officineitalianezard.it/contents/imgs/products/1_1828-2.jpg</v>
      </c>
      <c r="AE766" t="b">
        <v>0</v>
      </c>
    </row>
    <row r="767" spans="1:31" x14ac:dyDescent="0.2">
      <c r="A767" t="str">
        <f t="shared" si="209"/>
        <v>https://shop.officineitalianezard.it/en/triumph-bonneville-t120-exhaust-zard/</v>
      </c>
      <c r="B767" t="b">
        <f>COUNTIF($A$2:$A767, A767)&gt;1</f>
        <v>1</v>
      </c>
      <c r="C767" t="b">
        <f t="shared" si="210"/>
        <v>0</v>
      </c>
      <c r="D767">
        <f>VLOOKUP(A767,variant_counts!A:B, 2, FALSE)</f>
        <v>4</v>
      </c>
      <c r="E767" t="str">
        <f t="shared" si="223"/>
        <v>zard-exhaust-high-mounted-full-kit-triumph-bonneville-t120-201619-22-version-ztph066ska</v>
      </c>
      <c r="F767" t="str">
        <f t="shared" si="211"/>
        <v>ZARD EXHAUST HIGH MOUNTED FULL KIT TRIUMPH BONNEVILLE T120 2016/19 2&gt;2 VERSION ZTPH066SKA</v>
      </c>
      <c r="G767" t="str">
        <f t="shared" si="212"/>
        <v/>
      </c>
      <c r="H767" t="str">
        <f t="shared" si="224"/>
        <v/>
      </c>
      <c r="I767" t="str">
        <f t="shared" si="225"/>
        <v/>
      </c>
      <c r="J767" t="str">
        <f t="shared" si="226"/>
        <v/>
      </c>
      <c r="K767" t="str">
        <f t="shared" si="227"/>
        <v/>
      </c>
      <c r="L767" t="str">
        <f t="shared" si="213"/>
        <v/>
      </c>
      <c r="M767" t="str">
        <f t="shared" si="214"/>
        <v/>
      </c>
      <c r="R767" t="str">
        <f t="shared" si="215"/>
        <v/>
      </c>
      <c r="S767" t="str">
        <f t="shared" si="216"/>
        <v/>
      </c>
      <c r="U767" t="str">
        <f t="shared" si="217"/>
        <v/>
      </c>
      <c r="V767" t="str">
        <f t="shared" si="218"/>
        <v/>
      </c>
      <c r="W767" s="5" t="str">
        <f t="shared" si="219"/>
        <v/>
      </c>
      <c r="Y767" t="str">
        <f t="shared" si="220"/>
        <v/>
      </c>
      <c r="Z767" t="str">
        <f t="shared" si="221"/>
        <v/>
      </c>
      <c r="AB767" t="str">
        <f t="shared" si="222"/>
        <v>https://shop.officineitalianezard.it/contents/imgs/products/1_1988-x20170606_201815.jpg</v>
      </c>
      <c r="AE767" t="b">
        <v>0</v>
      </c>
    </row>
    <row r="768" spans="1:31" x14ac:dyDescent="0.2">
      <c r="A768" t="str">
        <f t="shared" si="209"/>
        <v>https://shop.officineitalianezard.it/en/triumph-bonneville-t120-exhaust-zard/</v>
      </c>
      <c r="B768" t="b">
        <f>COUNTIF($A$2:$A768, A768)&gt;1</f>
        <v>1</v>
      </c>
      <c r="C768" t="b">
        <f t="shared" si="210"/>
        <v>1</v>
      </c>
      <c r="D768">
        <f>VLOOKUP(A768,variant_counts!A:B, 2, FALSE)</f>
        <v>4</v>
      </c>
      <c r="E768" t="str">
        <f t="shared" si="223"/>
        <v>zard-exhaust-high-mounted-full-kit-triumph-bonneville-t120-201619-22-version-ztph066ska</v>
      </c>
      <c r="F768" t="str">
        <f t="shared" si="211"/>
        <v>ZARD EXHAUST HIGH MOUNTED FULL KIT TRIUMPH BONNEVILLE T120 2016/19 2&gt;2 VERSION ZTPH066SKA</v>
      </c>
      <c r="G768" t="str">
        <f t="shared" si="212"/>
        <v/>
      </c>
      <c r="H768" t="str">
        <f t="shared" si="224"/>
        <v/>
      </c>
      <c r="I768" t="str">
        <f t="shared" si="225"/>
        <v/>
      </c>
      <c r="J768" t="str">
        <f t="shared" si="226"/>
        <v/>
      </c>
      <c r="K768" t="str">
        <f t="shared" si="227"/>
        <v/>
      </c>
      <c r="L768" t="str">
        <f t="shared" si="213"/>
        <v>Option</v>
      </c>
      <c r="M768" t="str">
        <f t="shared" si="214"/>
        <v>BRUSHED</v>
      </c>
      <c r="R768" t="str">
        <f t="shared" si="215"/>
        <v>ZTPH066SKA</v>
      </c>
      <c r="S768">
        <f t="shared" si="216"/>
        <v>0</v>
      </c>
      <c r="U768" t="str">
        <f t="shared" si="217"/>
        <v>continue</v>
      </c>
      <c r="V768" t="str">
        <f t="shared" si="218"/>
        <v>manual</v>
      </c>
      <c r="W768" s="5">
        <f t="shared" si="219"/>
        <v>1150.7592000000002</v>
      </c>
      <c r="Y768" t="b">
        <f t="shared" si="220"/>
        <v>1</v>
      </c>
      <c r="Z768" t="b">
        <f t="shared" si="221"/>
        <v>0</v>
      </c>
      <c r="AB768" t="str">
        <f t="shared" si="222"/>
        <v/>
      </c>
      <c r="AE768" t="b">
        <v>0</v>
      </c>
    </row>
    <row r="769" spans="1:31" x14ac:dyDescent="0.2">
      <c r="A769" t="str">
        <f t="shared" si="209"/>
        <v>https://shop.officineitalianezard.it/en/triumph-bonneville-t120-exhaust-zard/</v>
      </c>
      <c r="B769" t="b">
        <f>COUNTIF($A$2:$A769, A769)&gt;1</f>
        <v>1</v>
      </c>
      <c r="C769" t="b">
        <f t="shared" si="210"/>
        <v>1</v>
      </c>
      <c r="D769">
        <f>VLOOKUP(A769,variant_counts!A:B, 2, FALSE)</f>
        <v>4</v>
      </c>
      <c r="E769" t="str">
        <f t="shared" si="223"/>
        <v>zard-exhaust-high-mounted-full-kit-triumph-bonneville-t120-201619-22-version-ztph066ska</v>
      </c>
      <c r="F769" t="str">
        <f t="shared" si="211"/>
        <v>ZARD EXHAUST HIGH MOUNTED FULL KIT TRIUMPH BONNEVILLE T120 2016/19 2&gt;2 VERSION ZTPH066SKA</v>
      </c>
      <c r="G769" t="str">
        <f t="shared" si="212"/>
        <v/>
      </c>
      <c r="H769" t="str">
        <f t="shared" si="224"/>
        <v/>
      </c>
      <c r="I769" t="str">
        <f t="shared" si="225"/>
        <v/>
      </c>
      <c r="J769" t="str">
        <f t="shared" si="226"/>
        <v/>
      </c>
      <c r="K769" t="str">
        <f t="shared" si="227"/>
        <v/>
      </c>
      <c r="L769" t="str">
        <f t="shared" si="213"/>
        <v>Option</v>
      </c>
      <c r="M769" t="str">
        <f t="shared" si="214"/>
        <v>BLACK CERAMIC COATING</v>
      </c>
      <c r="R769" t="str">
        <f t="shared" si="215"/>
        <v>ZTPH066SKA</v>
      </c>
      <c r="S769">
        <f t="shared" si="216"/>
        <v>0</v>
      </c>
      <c r="U769" t="str">
        <f t="shared" si="217"/>
        <v>continue</v>
      </c>
      <c r="V769" t="str">
        <f t="shared" si="218"/>
        <v>manual</v>
      </c>
      <c r="W769" s="5">
        <f t="shared" si="219"/>
        <v>1365.3000000000002</v>
      </c>
      <c r="Y769" t="b">
        <f t="shared" si="220"/>
        <v>1</v>
      </c>
      <c r="Z769" t="b">
        <f t="shared" si="221"/>
        <v>0</v>
      </c>
      <c r="AB769" t="str">
        <f t="shared" si="222"/>
        <v/>
      </c>
      <c r="AE769" t="b">
        <v>0</v>
      </c>
    </row>
    <row r="770" spans="1:31" x14ac:dyDescent="0.2">
      <c r="A770" t="str">
        <f t="shared" ref="A770:A833" si="228">source_product_link_href</f>
        <v>https://shop.officineitalianezard.it/en/triumph-bonneville-t120-exhaust-zard/</v>
      </c>
      <c r="B770" t="b">
        <f>COUNTIF($A$2:$A770, A770)&gt;1</f>
        <v>1</v>
      </c>
      <c r="C770" t="b">
        <f t="shared" ref="C770:C833" si="229">NOT(ISBLANK(source_option_name))</f>
        <v>1</v>
      </c>
      <c r="D770">
        <f>VLOOKUP(A770,variant_counts!A:B, 2, FALSE)</f>
        <v>4</v>
      </c>
      <c r="E770" t="str">
        <f t="shared" si="223"/>
        <v>zard-exhaust-high-mounted-full-kit-triumph-bonneville-t120-201619-22-version-ztph066ska</v>
      </c>
      <c r="F770" t="str">
        <f t="shared" ref="F770:F833" si="230">UPPER("ZARD EXHAUST " &amp; source_title &amp; " " &amp; source_brand &amp; " " &amp; source_bike &amp; " " &amp; source_product_link &amp; " " &amp; source_sku)</f>
        <v>ZARD EXHAUST HIGH MOUNTED FULL KIT TRIUMPH BONNEVILLE T120 2016/19 2&gt;2 VERSION ZTPH066SKA</v>
      </c>
      <c r="G770" t="str">
        <f t="shared" ref="G770:G833" si="231">IF($B770=FALSE, source_description, "")</f>
        <v/>
      </c>
      <c r="H770" t="str">
        <f t="shared" si="224"/>
        <v/>
      </c>
      <c r="I770" t="str">
        <f t="shared" si="225"/>
        <v/>
      </c>
      <c r="J770" t="str">
        <f t="shared" si="226"/>
        <v/>
      </c>
      <c r="K770" t="str">
        <f t="shared" si="227"/>
        <v/>
      </c>
      <c r="L770" t="str">
        <f t="shared" ref="L770:L833" si="232">IF(AND(variant_count=0,duplicated=FALSE),"Title",IF(OR(AND(variant_count=1,duplicated=FALSE), source_option_name&lt;&gt;""), "Option", ""))</f>
        <v>Option</v>
      </c>
      <c r="M770" t="str">
        <f t="shared" ref="M770:M833" si="233">IF(option1_name="Title", "Default Title", IF(AND(option1_name="Option",ISBLANK(source_option_name)),"DEFAULT",IF(ISBLANK(source_option_name), "", source_option_name)))</f>
        <v>RIGHT BRUSHED ALUMINIUM SIDE PANEL</v>
      </c>
      <c r="R770" t="str">
        <f t="shared" ref="R770:R833" si="234">IF(option1_name &lt;&gt; "", source_sku, "")</f>
        <v>ZTPH066SKA</v>
      </c>
      <c r="S770">
        <f t="shared" ref="S770:S833" si="235">IF(option1_name &lt;&gt; "", 0, "")</f>
        <v>0</v>
      </c>
      <c r="U770" t="str">
        <f t="shared" ref="U770:U833" si="236">IF(option1_name &lt;&gt; "", "continue", "")</f>
        <v>continue</v>
      </c>
      <c r="V770" t="str">
        <f t="shared" ref="V770:V833" si="237">IF(option1_name &lt;&gt; "", "manual", "")</f>
        <v>manual</v>
      </c>
      <c r="W770" s="5">
        <f t="shared" ref="W770:W833" si="238">IF(option1_name&lt;&gt;"",(source_price_original+source_option_price)*eur_usd,"")</f>
        <v>1210.5327</v>
      </c>
      <c r="Y770" t="b">
        <f t="shared" ref="Y770:Y833" si="239">IF(option1_name&lt;&gt;"",TRUE,"")</f>
        <v>1</v>
      </c>
      <c r="Z770" t="b">
        <f t="shared" ref="Z770:Z833" si="240">IF(option1_name&lt;&gt;"",FALSE,"")</f>
        <v>0</v>
      </c>
      <c r="AB770" t="str">
        <f t="shared" ref="AB770:AB833" si="241">IF(ISBLANK(source_image), "", source_image)</f>
        <v/>
      </c>
      <c r="AE770" t="b">
        <v>0</v>
      </c>
    </row>
    <row r="771" spans="1:31" x14ac:dyDescent="0.2">
      <c r="A771" t="str">
        <f t="shared" si="228"/>
        <v>https://shop.officineitalianezard.it/en/triumph-bonneville-t120-exhaust-zard/</v>
      </c>
      <c r="B771" t="b">
        <f>COUNTIF($A$2:$A771, A771)&gt;1</f>
        <v>1</v>
      </c>
      <c r="C771" t="b">
        <f t="shared" si="229"/>
        <v>1</v>
      </c>
      <c r="D771">
        <f>VLOOKUP(A771,variant_counts!A:B, 2, FALSE)</f>
        <v>4</v>
      </c>
      <c r="E771" t="str">
        <f t="shared" ref="E771:E834" si="242">FormatShopifyHandle(F771)</f>
        <v>zard-exhaust-high-mounted-full-kit-triumph-bonneville-t120-201619-22-version-ztph066ska</v>
      </c>
      <c r="F771" t="str">
        <f t="shared" si="230"/>
        <v>ZARD EXHAUST HIGH MOUNTED FULL KIT TRIUMPH BONNEVILLE T120 2016/19 2&gt;2 VERSION ZTPH066SKA</v>
      </c>
      <c r="G771" t="str">
        <f t="shared" si="231"/>
        <v/>
      </c>
      <c r="H771" t="str">
        <f t="shared" ref="H771:H834" si="243">IF($B771=FALSE, "ZARD", "")</f>
        <v/>
      </c>
      <c r="I771" t="str">
        <f t="shared" ref="I771:I834" si="244">IF($B771=FALSE, "Exhaust Pipe", "")</f>
        <v/>
      </c>
      <c r="J771" t="str">
        <f t="shared" ref="J771:J834" si="245">IF($B771=FALSE, "Test", "")</f>
        <v/>
      </c>
      <c r="K771" t="str">
        <f t="shared" ref="K771:K834" si="246">IF($B771=FALSE, FALSE, "")</f>
        <v/>
      </c>
      <c r="L771" t="str">
        <f t="shared" si="232"/>
        <v>Option</v>
      </c>
      <c r="M771" t="str">
        <f t="shared" si="233"/>
        <v>LEFT BRUSHED ALUMINIUM SIDE PANEL</v>
      </c>
      <c r="R771" t="str">
        <f t="shared" si="234"/>
        <v>ZTPH066SKA</v>
      </c>
      <c r="S771">
        <f t="shared" si="235"/>
        <v>0</v>
      </c>
      <c r="U771" t="str">
        <f t="shared" si="236"/>
        <v>continue</v>
      </c>
      <c r="V771" t="str">
        <f t="shared" si="237"/>
        <v>manual</v>
      </c>
      <c r="W771" s="5">
        <f t="shared" si="238"/>
        <v>1210.5327</v>
      </c>
      <c r="Y771" t="b">
        <f t="shared" si="239"/>
        <v>1</v>
      </c>
      <c r="Z771" t="b">
        <f t="shared" si="240"/>
        <v>0</v>
      </c>
      <c r="AB771" t="str">
        <f t="shared" si="241"/>
        <v/>
      </c>
      <c r="AE771" t="b">
        <v>0</v>
      </c>
    </row>
    <row r="772" spans="1:31" x14ac:dyDescent="0.2">
      <c r="A772" t="str">
        <f t="shared" si="228"/>
        <v>https://shop.officineitalianezard.it/en/bonneville-t110-exhaust-zard/</v>
      </c>
      <c r="B772" t="b">
        <f>COUNTIF($A$2:$A772, A772)&gt;1</f>
        <v>0</v>
      </c>
      <c r="C772" t="b">
        <f t="shared" si="229"/>
        <v>0</v>
      </c>
      <c r="D772">
        <f>VLOOKUP(A772,variant_counts!A:B, 2, FALSE)</f>
        <v>3</v>
      </c>
      <c r="E772" t="str">
        <f t="shared" si="242"/>
        <v>zard-exhaust-22-full-kit-triumph-bonneville-t100-my-2017-racing-version-ztph072skr</v>
      </c>
      <c r="F772" t="str">
        <f t="shared" si="230"/>
        <v>ZARD EXHAUST 2&gt;2 FULL KIT TRIUMPH BONNEVILLE T100 M.Y. 2017 RACING VERSION ZTPH072SKR</v>
      </c>
      <c r="G772" t="str">
        <f t="shared" si="231"/>
        <v>&lt;p&gt;&lt;strong&gt;FOR YOUR T100: A UNIQUE KIT, TWO DIFFERENT SOLUTIONS!&lt;/strong&gt;&lt;/p&gt;
&lt;p&gt;2&amp;gt;2 STEEL RACING FULL KIT WITH REMOVABLE DB KILLERS&lt;/p&gt;
&lt;p&gt;THE EXHAUST REMOVES OEM CATALYZER STARTING FROM CYLINDER HEAD OUTPUT TO SILENCERS.&lt;/p&gt;
&lt;p&gt;THE EXHAUST CAN BE FITTED IN LOW MOUNTED POSITION UNDER FOOTREST OR IN BACK MOUNTED POSITION BUYING 'BACK MOUNTED KIT' AVAILABLE AS OPTIONAL.&lt;/p&gt;
&lt;p&gt;ZARD SILENCERS KIT CONSISTS OF STEEL LEFT+RIGHT HEADERS PIPE, STEEL LEFT+RIGHT SILENCERS AND FITTING KIT.&lt;/p&gt;
&lt;p&gt;HARD INCREASE, COMPARED TO THE ORIGINAL EXHAUST SYSTEM, IN TERMS OF TORQUE AND POWER AT ANY RANGE.&lt;/p&gt;
&lt;p&gt;ASTONISHING SOUND.&lt;/p&gt;
&lt;p&gt;&lt;iframe src="https://www.youtube.com/embed/n_M2mIW_8pk" allowfullscreen="allowfullscreen" width="298" height="168" frameborder="0"&gt;&lt;/iframe&gt;&lt;/p&gt;
&lt;p&gt;&lt;/p&gt;</v>
      </c>
      <c r="H772" t="str">
        <f t="shared" si="243"/>
        <v>ZARD</v>
      </c>
      <c r="I772" t="str">
        <f t="shared" si="244"/>
        <v>Exhaust Pipe</v>
      </c>
      <c r="J772" t="str">
        <f t="shared" si="245"/>
        <v>Test</v>
      </c>
      <c r="K772" t="b">
        <f t="shared" si="246"/>
        <v>0</v>
      </c>
      <c r="L772" t="str">
        <f t="shared" si="232"/>
        <v/>
      </c>
      <c r="M772" t="str">
        <f t="shared" si="233"/>
        <v/>
      </c>
      <c r="R772" t="str">
        <f t="shared" si="234"/>
        <v/>
      </c>
      <c r="S772" t="str">
        <f t="shared" si="235"/>
        <v/>
      </c>
      <c r="U772" t="str">
        <f t="shared" si="236"/>
        <v/>
      </c>
      <c r="V772" t="str">
        <f t="shared" si="237"/>
        <v/>
      </c>
      <c r="W772" s="5" t="str">
        <f t="shared" si="238"/>
        <v/>
      </c>
      <c r="Y772" t="str">
        <f t="shared" si="239"/>
        <v/>
      </c>
      <c r="Z772" t="str">
        <f t="shared" si="240"/>
        <v/>
      </c>
      <c r="AB772" t="str">
        <f t="shared" si="241"/>
        <v>https://shop.officineitalianezard.it/contents/imgs/products/1_1878-triumph%20bonneville%20t100%20scaricho%20basso.jpg</v>
      </c>
      <c r="AE772" t="b">
        <v>0</v>
      </c>
    </row>
    <row r="773" spans="1:31" x14ac:dyDescent="0.2">
      <c r="A773" t="str">
        <f t="shared" si="228"/>
        <v>https://shop.officineitalianezard.it/en/bonneville-t110-exhaust-zard/</v>
      </c>
      <c r="B773" t="b">
        <f>COUNTIF($A$2:$A773, A773)&gt;1</f>
        <v>1</v>
      </c>
      <c r="C773" t="b">
        <f t="shared" si="229"/>
        <v>0</v>
      </c>
      <c r="D773">
        <f>VLOOKUP(A773,variant_counts!A:B, 2, FALSE)</f>
        <v>3</v>
      </c>
      <c r="E773" t="str">
        <f t="shared" si="242"/>
        <v>zard-exhaust-22-full-kit-triumph-bonneville-t100-my-2017-racing-version-ztph072skr</v>
      </c>
      <c r="F773" t="str">
        <f t="shared" si="230"/>
        <v>ZARD EXHAUST 2&gt;2 FULL KIT TRIUMPH BONNEVILLE T100 M.Y. 2017 RACING VERSION ZTPH072SKR</v>
      </c>
      <c r="G773" t="str">
        <f t="shared" si="231"/>
        <v/>
      </c>
      <c r="H773" t="str">
        <f t="shared" si="243"/>
        <v/>
      </c>
      <c r="I773" t="str">
        <f t="shared" si="244"/>
        <v/>
      </c>
      <c r="J773" t="str">
        <f t="shared" si="245"/>
        <v/>
      </c>
      <c r="K773" t="str">
        <f t="shared" si="246"/>
        <v/>
      </c>
      <c r="L773" t="str">
        <f t="shared" si="232"/>
        <v/>
      </c>
      <c r="M773" t="str">
        <f t="shared" si="233"/>
        <v/>
      </c>
      <c r="R773" t="str">
        <f t="shared" si="234"/>
        <v/>
      </c>
      <c r="S773" t="str">
        <f t="shared" si="235"/>
        <v/>
      </c>
      <c r="U773" t="str">
        <f t="shared" si="236"/>
        <v/>
      </c>
      <c r="V773" t="str">
        <f t="shared" si="237"/>
        <v/>
      </c>
      <c r="W773" s="5" t="str">
        <f t="shared" si="238"/>
        <v/>
      </c>
      <c r="Y773" t="str">
        <f t="shared" si="239"/>
        <v/>
      </c>
      <c r="Z773" t="str">
        <f t="shared" si="240"/>
        <v/>
      </c>
      <c r="AB773" t="str">
        <f t="shared" si="241"/>
        <v>https://shop.officineitalianezard.it/contents/imgs/products/1_1879-1.jpg</v>
      </c>
      <c r="AE773" t="b">
        <v>0</v>
      </c>
    </row>
    <row r="774" spans="1:31" x14ac:dyDescent="0.2">
      <c r="A774" t="str">
        <f t="shared" si="228"/>
        <v>https://shop.officineitalianezard.it/en/bonneville-t110-exhaust-zard/</v>
      </c>
      <c r="B774" t="b">
        <f>COUNTIF($A$2:$A774, A774)&gt;1</f>
        <v>1</v>
      </c>
      <c r="C774" t="b">
        <f t="shared" si="229"/>
        <v>0</v>
      </c>
      <c r="D774">
        <f>VLOOKUP(A774,variant_counts!A:B, 2, FALSE)</f>
        <v>3</v>
      </c>
      <c r="E774" t="str">
        <f t="shared" si="242"/>
        <v>zard-exhaust-22-full-kit-triumph-bonneville-t100-my-2017-racing-version-ztph072skr</v>
      </c>
      <c r="F774" t="str">
        <f t="shared" si="230"/>
        <v>ZARD EXHAUST 2&gt;2 FULL KIT TRIUMPH BONNEVILLE T100 M.Y. 2017 RACING VERSION ZTPH072SKR</v>
      </c>
      <c r="G774" t="str">
        <f t="shared" si="231"/>
        <v/>
      </c>
      <c r="H774" t="str">
        <f t="shared" si="243"/>
        <v/>
      </c>
      <c r="I774" t="str">
        <f t="shared" si="244"/>
        <v/>
      </c>
      <c r="J774" t="str">
        <f t="shared" si="245"/>
        <v/>
      </c>
      <c r="K774" t="str">
        <f t="shared" si="246"/>
        <v/>
      </c>
      <c r="L774" t="str">
        <f t="shared" si="232"/>
        <v/>
      </c>
      <c r="M774" t="str">
        <f t="shared" si="233"/>
        <v/>
      </c>
      <c r="R774" t="str">
        <f t="shared" si="234"/>
        <v/>
      </c>
      <c r="S774" t="str">
        <f t="shared" si="235"/>
        <v/>
      </c>
      <c r="U774" t="str">
        <f t="shared" si="236"/>
        <v/>
      </c>
      <c r="V774" t="str">
        <f t="shared" si="237"/>
        <v/>
      </c>
      <c r="W774" s="5" t="str">
        <f t="shared" si="238"/>
        <v/>
      </c>
      <c r="Y774" t="str">
        <f t="shared" si="239"/>
        <v/>
      </c>
      <c r="Z774" t="str">
        <f t="shared" si="240"/>
        <v/>
      </c>
      <c r="AB774" t="str">
        <f t="shared" si="241"/>
        <v>https://shop.officineitalianezard.it/contents/imgs/products/1_1882-2.jpg</v>
      </c>
      <c r="AE774" t="b">
        <v>0</v>
      </c>
    </row>
    <row r="775" spans="1:31" x14ac:dyDescent="0.2">
      <c r="A775" t="str">
        <f t="shared" si="228"/>
        <v>https://shop.officineitalianezard.it/en/bonneville-t110-exhaust-zard/</v>
      </c>
      <c r="B775" t="b">
        <f>COUNTIF($A$2:$A775, A775)&gt;1</f>
        <v>1</v>
      </c>
      <c r="C775" t="b">
        <f t="shared" si="229"/>
        <v>0</v>
      </c>
      <c r="D775">
        <f>VLOOKUP(A775,variant_counts!A:B, 2, FALSE)</f>
        <v>3</v>
      </c>
      <c r="E775" t="str">
        <f t="shared" si="242"/>
        <v>zard-exhaust-22-full-kit-triumph-bonneville-t100-my-2017-racing-version-ztph072skr</v>
      </c>
      <c r="F775" t="str">
        <f t="shared" si="230"/>
        <v>ZARD EXHAUST 2&gt;2 FULL KIT TRIUMPH BONNEVILLE T100 M.Y. 2017 RACING VERSION ZTPH072SKR</v>
      </c>
      <c r="G775" t="str">
        <f t="shared" si="231"/>
        <v/>
      </c>
      <c r="H775" t="str">
        <f t="shared" si="243"/>
        <v/>
      </c>
      <c r="I775" t="str">
        <f t="shared" si="244"/>
        <v/>
      </c>
      <c r="J775" t="str">
        <f t="shared" si="245"/>
        <v/>
      </c>
      <c r="K775" t="str">
        <f t="shared" si="246"/>
        <v/>
      </c>
      <c r="L775" t="str">
        <f t="shared" si="232"/>
        <v/>
      </c>
      <c r="M775" t="str">
        <f t="shared" si="233"/>
        <v/>
      </c>
      <c r="R775" t="str">
        <f t="shared" si="234"/>
        <v/>
      </c>
      <c r="S775" t="str">
        <f t="shared" si="235"/>
        <v/>
      </c>
      <c r="U775" t="str">
        <f t="shared" si="236"/>
        <v/>
      </c>
      <c r="V775" t="str">
        <f t="shared" si="237"/>
        <v/>
      </c>
      <c r="W775" s="5" t="str">
        <f t="shared" si="238"/>
        <v/>
      </c>
      <c r="Y775" t="str">
        <f t="shared" si="239"/>
        <v/>
      </c>
      <c r="Z775" t="str">
        <f t="shared" si="240"/>
        <v/>
      </c>
      <c r="AB775" t="str">
        <f t="shared" si="241"/>
        <v>https://shop.officineitalianezard.it/contents/imgs/products/1_1881-3.jpg</v>
      </c>
      <c r="AE775" t="b">
        <v>0</v>
      </c>
    </row>
    <row r="776" spans="1:31" x14ac:dyDescent="0.2">
      <c r="A776" t="str">
        <f t="shared" si="228"/>
        <v>https://shop.officineitalianezard.it/en/bonneville-t110-exhaust-zard/</v>
      </c>
      <c r="B776" t="b">
        <f>COUNTIF($A$2:$A776, A776)&gt;1</f>
        <v>1</v>
      </c>
      <c r="C776" t="b">
        <f t="shared" si="229"/>
        <v>0</v>
      </c>
      <c r="D776">
        <f>VLOOKUP(A776,variant_counts!A:B, 2, FALSE)</f>
        <v>3</v>
      </c>
      <c r="E776" t="str">
        <f t="shared" si="242"/>
        <v>zard-exhaust-22-full-kit-triumph-bonneville-t100-my-2017-racing-version-ztph072skr</v>
      </c>
      <c r="F776" t="str">
        <f t="shared" si="230"/>
        <v>ZARD EXHAUST 2&gt;2 FULL KIT TRIUMPH BONNEVILLE T100 M.Y. 2017 RACING VERSION ZTPH072SKR</v>
      </c>
      <c r="G776" t="str">
        <f t="shared" si="231"/>
        <v/>
      </c>
      <c r="H776" t="str">
        <f t="shared" si="243"/>
        <v/>
      </c>
      <c r="I776" t="str">
        <f t="shared" si="244"/>
        <v/>
      </c>
      <c r="J776" t="str">
        <f t="shared" si="245"/>
        <v/>
      </c>
      <c r="K776" t="str">
        <f t="shared" si="246"/>
        <v/>
      </c>
      <c r="L776" t="str">
        <f t="shared" si="232"/>
        <v/>
      </c>
      <c r="M776" t="str">
        <f t="shared" si="233"/>
        <v/>
      </c>
      <c r="R776" t="str">
        <f t="shared" si="234"/>
        <v/>
      </c>
      <c r="S776" t="str">
        <f t="shared" si="235"/>
        <v/>
      </c>
      <c r="U776" t="str">
        <f t="shared" si="236"/>
        <v/>
      </c>
      <c r="V776" t="str">
        <f t="shared" si="237"/>
        <v/>
      </c>
      <c r="W776" s="5" t="str">
        <f t="shared" si="238"/>
        <v/>
      </c>
      <c r="Y776" t="str">
        <f t="shared" si="239"/>
        <v/>
      </c>
      <c r="Z776" t="str">
        <f t="shared" si="240"/>
        <v/>
      </c>
      <c r="AB776" t="str">
        <f t="shared" si="241"/>
        <v>https://shop.officineitalianezard.it/contents/imgs/products/1_1880-4.jpg</v>
      </c>
      <c r="AE776" t="b">
        <v>0</v>
      </c>
    </row>
    <row r="777" spans="1:31" x14ac:dyDescent="0.2">
      <c r="A777" t="str">
        <f t="shared" si="228"/>
        <v>https://shop.officineitalianezard.it/en/bonneville-t110-exhaust-zard/</v>
      </c>
      <c r="B777" t="b">
        <f>COUNTIF($A$2:$A777, A777)&gt;1</f>
        <v>1</v>
      </c>
      <c r="C777" t="b">
        <f t="shared" si="229"/>
        <v>0</v>
      </c>
      <c r="D777">
        <f>VLOOKUP(A777,variant_counts!A:B, 2, FALSE)</f>
        <v>3</v>
      </c>
      <c r="E777" t="str">
        <f t="shared" si="242"/>
        <v>zard-exhaust-22-full-kit-triumph-bonneville-t100-my-2017-racing-version-ztph072skr</v>
      </c>
      <c r="F777" t="str">
        <f t="shared" si="230"/>
        <v>ZARD EXHAUST 2&gt;2 FULL KIT TRIUMPH BONNEVILLE T100 M.Y. 2017 RACING VERSION ZTPH072SKR</v>
      </c>
      <c r="G777" t="str">
        <f t="shared" si="231"/>
        <v/>
      </c>
      <c r="H777" t="str">
        <f t="shared" si="243"/>
        <v/>
      </c>
      <c r="I777" t="str">
        <f t="shared" si="244"/>
        <v/>
      </c>
      <c r="J777" t="str">
        <f t="shared" si="245"/>
        <v/>
      </c>
      <c r="K777" t="str">
        <f t="shared" si="246"/>
        <v/>
      </c>
      <c r="L777" t="str">
        <f t="shared" si="232"/>
        <v/>
      </c>
      <c r="M777" t="str">
        <f t="shared" si="233"/>
        <v/>
      </c>
      <c r="R777" t="str">
        <f t="shared" si="234"/>
        <v/>
      </c>
      <c r="S777" t="str">
        <f t="shared" si="235"/>
        <v/>
      </c>
      <c r="U777" t="str">
        <f t="shared" si="236"/>
        <v/>
      </c>
      <c r="V777" t="str">
        <f t="shared" si="237"/>
        <v/>
      </c>
      <c r="W777" s="5" t="str">
        <f t="shared" si="238"/>
        <v/>
      </c>
      <c r="Y777" t="str">
        <f t="shared" si="239"/>
        <v/>
      </c>
      <c r="Z777" t="str">
        <f t="shared" si="240"/>
        <v/>
      </c>
      <c r="AB777" t="str">
        <f t="shared" si="241"/>
        <v>https://shop.officineitalianezard.it/contents/imgs/products/1_1883-1.jpg</v>
      </c>
      <c r="AE777" t="b">
        <v>0</v>
      </c>
    </row>
    <row r="778" spans="1:31" x14ac:dyDescent="0.2">
      <c r="A778" t="str">
        <f t="shared" si="228"/>
        <v>https://shop.officineitalianezard.it/en/bonneville-t110-exhaust-zard/</v>
      </c>
      <c r="B778" t="b">
        <f>COUNTIF($A$2:$A778, A778)&gt;1</f>
        <v>1</v>
      </c>
      <c r="C778" t="b">
        <f t="shared" si="229"/>
        <v>0</v>
      </c>
      <c r="D778">
        <f>VLOOKUP(A778,variant_counts!A:B, 2, FALSE)</f>
        <v>3</v>
      </c>
      <c r="E778" t="str">
        <f t="shared" si="242"/>
        <v>zard-exhaust-22-full-kit-triumph-bonneville-t100-my-2017-racing-version-ztph072skr</v>
      </c>
      <c r="F778" t="str">
        <f t="shared" si="230"/>
        <v>ZARD EXHAUST 2&gt;2 FULL KIT TRIUMPH BONNEVILLE T100 M.Y. 2017 RACING VERSION ZTPH072SKR</v>
      </c>
      <c r="G778" t="str">
        <f t="shared" si="231"/>
        <v/>
      </c>
      <c r="H778" t="str">
        <f t="shared" si="243"/>
        <v/>
      </c>
      <c r="I778" t="str">
        <f t="shared" si="244"/>
        <v/>
      </c>
      <c r="J778" t="str">
        <f t="shared" si="245"/>
        <v/>
      </c>
      <c r="K778" t="str">
        <f t="shared" si="246"/>
        <v/>
      </c>
      <c r="L778" t="str">
        <f t="shared" si="232"/>
        <v/>
      </c>
      <c r="M778" t="str">
        <f t="shared" si="233"/>
        <v/>
      </c>
      <c r="R778" t="str">
        <f t="shared" si="234"/>
        <v/>
      </c>
      <c r="S778" t="str">
        <f t="shared" si="235"/>
        <v/>
      </c>
      <c r="U778" t="str">
        <f t="shared" si="236"/>
        <v/>
      </c>
      <c r="V778" t="str">
        <f t="shared" si="237"/>
        <v/>
      </c>
      <c r="W778" s="5" t="str">
        <f t="shared" si="238"/>
        <v/>
      </c>
      <c r="Y778" t="str">
        <f t="shared" si="239"/>
        <v/>
      </c>
      <c r="Z778" t="str">
        <f t="shared" si="240"/>
        <v/>
      </c>
      <c r="AB778" t="str">
        <f t="shared" si="241"/>
        <v>https://shop.officineitalianezard.it/contents/imgs/products/1_1886-2.jpg</v>
      </c>
      <c r="AE778" t="b">
        <v>0</v>
      </c>
    </row>
    <row r="779" spans="1:31" x14ac:dyDescent="0.2">
      <c r="A779" t="str">
        <f t="shared" si="228"/>
        <v>https://shop.officineitalianezard.it/en/bonneville-t110-exhaust-zard/</v>
      </c>
      <c r="B779" t="b">
        <f>COUNTIF($A$2:$A779, A779)&gt;1</f>
        <v>1</v>
      </c>
      <c r="C779" t="b">
        <f t="shared" si="229"/>
        <v>0</v>
      </c>
      <c r="D779">
        <f>VLOOKUP(A779,variant_counts!A:B, 2, FALSE)</f>
        <v>3</v>
      </c>
      <c r="E779" t="str">
        <f t="shared" si="242"/>
        <v>zard-exhaust-22-full-kit-triumph-bonneville-t100-my-2017-racing-version-ztph072skr</v>
      </c>
      <c r="F779" t="str">
        <f t="shared" si="230"/>
        <v>ZARD EXHAUST 2&gt;2 FULL KIT TRIUMPH BONNEVILLE T100 M.Y. 2017 RACING VERSION ZTPH072SKR</v>
      </c>
      <c r="G779" t="str">
        <f t="shared" si="231"/>
        <v/>
      </c>
      <c r="H779" t="str">
        <f t="shared" si="243"/>
        <v/>
      </c>
      <c r="I779" t="str">
        <f t="shared" si="244"/>
        <v/>
      </c>
      <c r="J779" t="str">
        <f t="shared" si="245"/>
        <v/>
      </c>
      <c r="K779" t="str">
        <f t="shared" si="246"/>
        <v/>
      </c>
      <c r="L779" t="str">
        <f t="shared" si="232"/>
        <v/>
      </c>
      <c r="M779" t="str">
        <f t="shared" si="233"/>
        <v/>
      </c>
      <c r="R779" t="str">
        <f t="shared" si="234"/>
        <v/>
      </c>
      <c r="S779" t="str">
        <f t="shared" si="235"/>
        <v/>
      </c>
      <c r="U779" t="str">
        <f t="shared" si="236"/>
        <v/>
      </c>
      <c r="V779" t="str">
        <f t="shared" si="237"/>
        <v/>
      </c>
      <c r="W779" s="5" t="str">
        <f t="shared" si="238"/>
        <v/>
      </c>
      <c r="Y779" t="str">
        <f t="shared" si="239"/>
        <v/>
      </c>
      <c r="Z779" t="str">
        <f t="shared" si="240"/>
        <v/>
      </c>
      <c r="AB779" t="str">
        <f t="shared" si="241"/>
        <v>https://shop.officineitalianezard.it/contents/imgs/products/1_1885-3.jpg</v>
      </c>
      <c r="AE779" t="b">
        <v>0</v>
      </c>
    </row>
    <row r="780" spans="1:31" x14ac:dyDescent="0.2">
      <c r="A780" t="str">
        <f t="shared" si="228"/>
        <v>https://shop.officineitalianezard.it/en/bonneville-t110-exhaust-zard/</v>
      </c>
      <c r="B780" t="b">
        <f>COUNTIF($A$2:$A780, A780)&gt;1</f>
        <v>1</v>
      </c>
      <c r="C780" t="b">
        <f t="shared" si="229"/>
        <v>0</v>
      </c>
      <c r="D780">
        <f>VLOOKUP(A780,variant_counts!A:B, 2, FALSE)</f>
        <v>3</v>
      </c>
      <c r="E780" t="str">
        <f t="shared" si="242"/>
        <v>zard-exhaust-22-full-kit-triumph-bonneville-t100-my-2017-racing-version-ztph072skr</v>
      </c>
      <c r="F780" t="str">
        <f t="shared" si="230"/>
        <v>ZARD EXHAUST 2&gt;2 FULL KIT TRIUMPH BONNEVILLE T100 M.Y. 2017 RACING VERSION ZTPH072SKR</v>
      </c>
      <c r="G780" t="str">
        <f t="shared" si="231"/>
        <v/>
      </c>
      <c r="H780" t="str">
        <f t="shared" si="243"/>
        <v/>
      </c>
      <c r="I780" t="str">
        <f t="shared" si="244"/>
        <v/>
      </c>
      <c r="J780" t="str">
        <f t="shared" si="245"/>
        <v/>
      </c>
      <c r="K780" t="str">
        <f t="shared" si="246"/>
        <v/>
      </c>
      <c r="L780" t="str">
        <f t="shared" si="232"/>
        <v/>
      </c>
      <c r="M780" t="str">
        <f t="shared" si="233"/>
        <v/>
      </c>
      <c r="R780" t="str">
        <f t="shared" si="234"/>
        <v/>
      </c>
      <c r="S780" t="str">
        <f t="shared" si="235"/>
        <v/>
      </c>
      <c r="U780" t="str">
        <f t="shared" si="236"/>
        <v/>
      </c>
      <c r="V780" t="str">
        <f t="shared" si="237"/>
        <v/>
      </c>
      <c r="W780" s="5" t="str">
        <f t="shared" si="238"/>
        <v/>
      </c>
      <c r="Y780" t="str">
        <f t="shared" si="239"/>
        <v/>
      </c>
      <c r="Z780" t="str">
        <f t="shared" si="240"/>
        <v/>
      </c>
      <c r="AB780" t="str">
        <f t="shared" si="241"/>
        <v>https://shop.officineitalianezard.it/contents/imgs/products/1_1884-4.jpg</v>
      </c>
      <c r="AE780" t="b">
        <v>0</v>
      </c>
    </row>
    <row r="781" spans="1:31" x14ac:dyDescent="0.2">
      <c r="A781" t="str">
        <f t="shared" si="228"/>
        <v>https://shop.officineitalianezard.it/en/bonneville-t110-exhaust-zard/</v>
      </c>
      <c r="B781" t="b">
        <f>COUNTIF($A$2:$A781, A781)&gt;1</f>
        <v>1</v>
      </c>
      <c r="C781" t="b">
        <f t="shared" si="229"/>
        <v>0</v>
      </c>
      <c r="D781">
        <f>VLOOKUP(A781,variant_counts!A:B, 2, FALSE)</f>
        <v>3</v>
      </c>
      <c r="E781" t="str">
        <f t="shared" si="242"/>
        <v>zard-exhaust-22-full-kit-triumph-bonneville-t100-my-2017-racing-version-ztph072skr</v>
      </c>
      <c r="F781" t="str">
        <f t="shared" si="230"/>
        <v>ZARD EXHAUST 2&gt;2 FULL KIT TRIUMPH BONNEVILLE T100 M.Y. 2017 RACING VERSION ZTPH072SKR</v>
      </c>
      <c r="G781" t="str">
        <f t="shared" si="231"/>
        <v/>
      </c>
      <c r="H781" t="str">
        <f t="shared" si="243"/>
        <v/>
      </c>
      <c r="I781" t="str">
        <f t="shared" si="244"/>
        <v/>
      </c>
      <c r="J781" t="str">
        <f t="shared" si="245"/>
        <v/>
      </c>
      <c r="K781" t="str">
        <f t="shared" si="246"/>
        <v/>
      </c>
      <c r="L781" t="str">
        <f t="shared" si="232"/>
        <v/>
      </c>
      <c r="M781" t="str">
        <f t="shared" si="233"/>
        <v/>
      </c>
      <c r="R781" t="str">
        <f t="shared" si="234"/>
        <v/>
      </c>
      <c r="S781" t="str">
        <f t="shared" si="235"/>
        <v/>
      </c>
      <c r="U781" t="str">
        <f t="shared" si="236"/>
        <v/>
      </c>
      <c r="V781" t="str">
        <f t="shared" si="237"/>
        <v/>
      </c>
      <c r="W781" s="5" t="str">
        <f t="shared" si="238"/>
        <v/>
      </c>
      <c r="Y781" t="str">
        <f t="shared" si="239"/>
        <v/>
      </c>
      <c r="Z781" t="str">
        <f t="shared" si="240"/>
        <v/>
      </c>
      <c r="AB781" t="str">
        <f t="shared" si="241"/>
        <v>https://shop.officineitalianezard.it/contents/imgs/products/1_1871-1650-t120%20neri%20zard.jpg</v>
      </c>
      <c r="AE781" t="b">
        <v>0</v>
      </c>
    </row>
    <row r="782" spans="1:31" x14ac:dyDescent="0.2">
      <c r="A782" t="str">
        <f t="shared" si="228"/>
        <v>https://shop.officineitalianezard.it/en/bonneville-t110-exhaust-zard/</v>
      </c>
      <c r="B782" t="b">
        <f>COUNTIF($A$2:$A782, A782)&gt;1</f>
        <v>1</v>
      </c>
      <c r="C782" t="b">
        <f t="shared" si="229"/>
        <v>0</v>
      </c>
      <c r="D782">
        <f>VLOOKUP(A782,variant_counts!A:B, 2, FALSE)</f>
        <v>3</v>
      </c>
      <c r="E782" t="str">
        <f t="shared" si="242"/>
        <v>zard-exhaust-22-full-kit-triumph-bonneville-t100-my-2017-racing-version-ztph072skr</v>
      </c>
      <c r="F782" t="str">
        <f t="shared" si="230"/>
        <v>ZARD EXHAUST 2&gt;2 FULL KIT TRIUMPH BONNEVILLE T100 M.Y. 2017 RACING VERSION ZTPH072SKR</v>
      </c>
      <c r="G782" t="str">
        <f t="shared" si="231"/>
        <v/>
      </c>
      <c r="H782" t="str">
        <f t="shared" si="243"/>
        <v/>
      </c>
      <c r="I782" t="str">
        <f t="shared" si="244"/>
        <v/>
      </c>
      <c r="J782" t="str">
        <f t="shared" si="245"/>
        <v/>
      </c>
      <c r="K782" t="str">
        <f t="shared" si="246"/>
        <v/>
      </c>
      <c r="L782" t="str">
        <f t="shared" si="232"/>
        <v/>
      </c>
      <c r="M782" t="str">
        <f t="shared" si="233"/>
        <v/>
      </c>
      <c r="R782" t="str">
        <f t="shared" si="234"/>
        <v/>
      </c>
      <c r="S782" t="str">
        <f t="shared" si="235"/>
        <v/>
      </c>
      <c r="U782" t="str">
        <f t="shared" si="236"/>
        <v/>
      </c>
      <c r="V782" t="str">
        <f t="shared" si="237"/>
        <v/>
      </c>
      <c r="W782" s="5" t="str">
        <f t="shared" si="238"/>
        <v/>
      </c>
      <c r="Y782" t="str">
        <f t="shared" si="239"/>
        <v/>
      </c>
      <c r="Z782" t="str">
        <f t="shared" si="240"/>
        <v/>
      </c>
      <c r="AB782" t="str">
        <f t="shared" si="241"/>
        <v>https://shop.officineitalianezard.it/contents/imgs/products/1_1873-1740-scarico%20bonneville%20t120%20scarico%20triumph%20street%20twin.jpg</v>
      </c>
      <c r="AE782" t="b">
        <v>0</v>
      </c>
    </row>
    <row r="783" spans="1:31" x14ac:dyDescent="0.2">
      <c r="A783" t="str">
        <f t="shared" si="228"/>
        <v>https://shop.officineitalianezard.it/en/bonneville-t110-exhaust-zard/</v>
      </c>
      <c r="B783" t="b">
        <f>COUNTIF($A$2:$A783, A783)&gt;1</f>
        <v>1</v>
      </c>
      <c r="C783" t="b">
        <f t="shared" si="229"/>
        <v>1</v>
      </c>
      <c r="D783">
        <f>VLOOKUP(A783,variant_counts!A:B, 2, FALSE)</f>
        <v>3</v>
      </c>
      <c r="E783" t="str">
        <f t="shared" si="242"/>
        <v>zard-exhaust-22-full-kit-triumph-bonneville-t100-my-2017-racing-version-ztph072skr</v>
      </c>
      <c r="F783" t="str">
        <f t="shared" si="230"/>
        <v>ZARD EXHAUST 2&gt;2 FULL KIT TRIUMPH BONNEVILLE T100 M.Y. 2017 RACING VERSION ZTPH072SKR</v>
      </c>
      <c r="G783" t="str">
        <f t="shared" si="231"/>
        <v/>
      </c>
      <c r="H783" t="str">
        <f t="shared" si="243"/>
        <v/>
      </c>
      <c r="I783" t="str">
        <f t="shared" si="244"/>
        <v/>
      </c>
      <c r="J783" t="str">
        <f t="shared" si="245"/>
        <v/>
      </c>
      <c r="K783" t="str">
        <f t="shared" si="246"/>
        <v/>
      </c>
      <c r="L783" t="str">
        <f t="shared" si="232"/>
        <v>Option</v>
      </c>
      <c r="M783" t="str">
        <f t="shared" si="233"/>
        <v>BLACK COATING</v>
      </c>
      <c r="R783" t="str">
        <f t="shared" si="234"/>
        <v>ZTPH072SKR</v>
      </c>
      <c r="S783">
        <f t="shared" si="235"/>
        <v>0</v>
      </c>
      <c r="U783" t="str">
        <f t="shared" si="236"/>
        <v>continue</v>
      </c>
      <c r="V783" t="str">
        <f t="shared" si="237"/>
        <v>manual</v>
      </c>
      <c r="W783" s="5">
        <f t="shared" si="238"/>
        <v>1269.1296000000002</v>
      </c>
      <c r="Y783" t="b">
        <f t="shared" si="239"/>
        <v>1</v>
      </c>
      <c r="Z783" t="b">
        <f t="shared" si="240"/>
        <v>0</v>
      </c>
      <c r="AB783" t="str">
        <f t="shared" si="241"/>
        <v/>
      </c>
      <c r="AE783" t="b">
        <v>0</v>
      </c>
    </row>
    <row r="784" spans="1:31" x14ac:dyDescent="0.2">
      <c r="A784" t="str">
        <f t="shared" si="228"/>
        <v>https://shop.officineitalianezard.it/en/bonneville-t110-exhaust-zard/</v>
      </c>
      <c r="B784" t="b">
        <f>COUNTIF($A$2:$A784, A784)&gt;1</f>
        <v>1</v>
      </c>
      <c r="C784" t="b">
        <f t="shared" si="229"/>
        <v>1</v>
      </c>
      <c r="D784">
        <f>VLOOKUP(A784,variant_counts!A:B, 2, FALSE)</f>
        <v>3</v>
      </c>
      <c r="E784" t="str">
        <f t="shared" si="242"/>
        <v>zard-exhaust-22-full-kit-triumph-bonneville-t100-my-2017-racing-version-ztph072skr</v>
      </c>
      <c r="F784" t="str">
        <f t="shared" si="230"/>
        <v>ZARD EXHAUST 2&gt;2 FULL KIT TRIUMPH BONNEVILLE T100 M.Y. 2017 RACING VERSION ZTPH072SKR</v>
      </c>
      <c r="G784" t="str">
        <f t="shared" si="231"/>
        <v/>
      </c>
      <c r="H784" t="str">
        <f t="shared" si="243"/>
        <v/>
      </c>
      <c r="I784" t="str">
        <f t="shared" si="244"/>
        <v/>
      </c>
      <c r="J784" t="str">
        <f t="shared" si="245"/>
        <v/>
      </c>
      <c r="K784" t="str">
        <f t="shared" si="246"/>
        <v/>
      </c>
      <c r="L784" t="str">
        <f t="shared" si="232"/>
        <v>Option</v>
      </c>
      <c r="M784" t="str">
        <f t="shared" si="233"/>
        <v>MIRROR POLISHED</v>
      </c>
      <c r="R784" t="str">
        <f t="shared" si="234"/>
        <v>ZTPH072SKR</v>
      </c>
      <c r="S784">
        <f t="shared" si="235"/>
        <v>0</v>
      </c>
      <c r="U784" t="str">
        <f t="shared" si="236"/>
        <v>continue</v>
      </c>
      <c r="V784" t="str">
        <f t="shared" si="237"/>
        <v>manual</v>
      </c>
      <c r="W784" s="5">
        <f t="shared" si="238"/>
        <v>1128.2928000000002</v>
      </c>
      <c r="Y784" t="b">
        <f t="shared" si="239"/>
        <v>1</v>
      </c>
      <c r="Z784" t="b">
        <f t="shared" si="240"/>
        <v>0</v>
      </c>
      <c r="AB784" t="str">
        <f t="shared" si="241"/>
        <v/>
      </c>
      <c r="AE784" t="b">
        <v>0</v>
      </c>
    </row>
    <row r="785" spans="1:31" x14ac:dyDescent="0.2">
      <c r="A785" t="str">
        <f t="shared" si="228"/>
        <v>https://shop.officineitalianezard.it/en/bonneville-t110-exhaust-zard/</v>
      </c>
      <c r="B785" t="b">
        <f>COUNTIF($A$2:$A785, A785)&gt;1</f>
        <v>1</v>
      </c>
      <c r="C785" t="b">
        <f t="shared" si="229"/>
        <v>1</v>
      </c>
      <c r="D785">
        <f>VLOOKUP(A785,variant_counts!A:B, 2, FALSE)</f>
        <v>3</v>
      </c>
      <c r="E785" t="str">
        <f t="shared" si="242"/>
        <v>zard-exhaust-22-full-kit-triumph-bonneville-t100-my-2017-racing-version-ztph072skr</v>
      </c>
      <c r="F785" t="str">
        <f t="shared" si="230"/>
        <v>ZARD EXHAUST 2&gt;2 FULL KIT TRIUMPH BONNEVILLE T100 M.Y. 2017 RACING VERSION ZTPH072SKR</v>
      </c>
      <c r="G785" t="str">
        <f t="shared" si="231"/>
        <v/>
      </c>
      <c r="H785" t="str">
        <f t="shared" si="243"/>
        <v/>
      </c>
      <c r="I785" t="str">
        <f t="shared" si="244"/>
        <v/>
      </c>
      <c r="J785" t="str">
        <f t="shared" si="245"/>
        <v/>
      </c>
      <c r="K785" t="str">
        <f t="shared" si="246"/>
        <v/>
      </c>
      <c r="L785" t="str">
        <f t="shared" si="232"/>
        <v>Option</v>
      </c>
      <c r="M785" t="str">
        <f t="shared" si="233"/>
        <v>BACK MOUNTING KIT</v>
      </c>
      <c r="R785" t="str">
        <f t="shared" si="234"/>
        <v>ZTPH072SKR</v>
      </c>
      <c r="S785">
        <f t="shared" si="235"/>
        <v>0</v>
      </c>
      <c r="U785" t="str">
        <f t="shared" si="236"/>
        <v>continue</v>
      </c>
      <c r="V785" t="str">
        <f t="shared" si="237"/>
        <v>manual</v>
      </c>
      <c r="W785" s="5">
        <f t="shared" si="238"/>
        <v>1303.5174000000002</v>
      </c>
      <c r="Y785" t="b">
        <f t="shared" si="239"/>
        <v>1</v>
      </c>
      <c r="Z785" t="b">
        <f t="shared" si="240"/>
        <v>0</v>
      </c>
      <c r="AB785" t="str">
        <f t="shared" si="241"/>
        <v/>
      </c>
      <c r="AE785" t="b">
        <v>0</v>
      </c>
    </row>
    <row r="786" spans="1:31" x14ac:dyDescent="0.2">
      <c r="A786" t="str">
        <f t="shared" si="228"/>
        <v>https://shop.officineitalianezard.it/en/bonneville-t100-exhaust-zard/</v>
      </c>
      <c r="B786" t="b">
        <f>COUNTIF($A$2:$A786, A786)&gt;1</f>
        <v>0</v>
      </c>
      <c r="C786" t="b">
        <f t="shared" si="229"/>
        <v>0</v>
      </c>
      <c r="D786">
        <f>VLOOKUP(A786,variant_counts!A:B, 2, FALSE)</f>
        <v>3</v>
      </c>
      <c r="E786" t="str">
        <f t="shared" si="242"/>
        <v>zard-exhaust-22-kit-triumph-bonneville-t100-my-2017-keeping-oem-catalyzer-ztph071ssr</v>
      </c>
      <c r="F786" t="str">
        <f t="shared" si="230"/>
        <v>ZARD EXHAUST 2&gt;2 KIT TRIUMPH BONNEVILLE T100 M.Y. 2017 KEEPING OEM CATALYZER ZTPH071SSR</v>
      </c>
      <c r="G786" t="str">
        <f t="shared" si="231"/>
        <v>&lt;p&gt;2&amp;gt;2 STEEL RACING FULL KIT WITH REMOVABLE DB KILLERS.&lt;/p&gt;
&lt;p&gt;THE EXHAUST KEEPS OEM CATALYZER AND CONSISTS OF TWO HEADER PIPES&amp;nbsp;&lt;span&gt;STARTING FROM THE CYLINDER HEAD OUTPUT TO OEM CATALYZER AND TWO SILENCERS.&lt;/span&gt;&lt;/p&gt;
&lt;p&gt;ORIGINAL EXHAUST WEIGHT: 14.3 KG&lt;/p&gt;
&lt;p&gt;ZARD EXHAUST WEIGHT: 4.4 KG&lt;/p&gt;
&lt;p&gt;ZARD SILENCERS KIT CONSISTS OF STEEL LEFT+RIGHT HEADERS PIPE, STEEL LEFT+RIGHT SILENCERS AND FITTING KIT.&lt;/p&gt;
&lt;p&gt;&lt;span&gt;THE EXHAUST CAN BE FITTED IN LOW MOUNTED POSITION UNDER FOOTREST OR IN BACK MOUNTED POSITION BUYING 'BACK MOUNTED KIT' AVAILABLE AS OPTIONAL.&lt;/span&gt;&lt;/p&gt;
&lt;p&gt;HARD INCREASE, COMPARED TO THE ORIGINAL EXHAUST SYSTEM, IN TERMS OF TORQUE AND POWER AT ANY RANGE.&lt;/p&gt;
&lt;p&gt;ASTONISHING SOUND.&lt;/p&gt;
&lt;p&gt;&lt;iframe src="https://www.youtube.com/embed/n_M2mIW_8pk" allowfullscreen="allowfullscreen" width="298" height="168" frameborder="0"&gt;&lt;/iframe&gt;&lt;/p&gt;
&lt;p&gt;&lt;/p&gt;</v>
      </c>
      <c r="H786" t="str">
        <f t="shared" si="243"/>
        <v>ZARD</v>
      </c>
      <c r="I786" t="str">
        <f t="shared" si="244"/>
        <v>Exhaust Pipe</v>
      </c>
      <c r="J786" t="str">
        <f t="shared" si="245"/>
        <v>Test</v>
      </c>
      <c r="K786" t="b">
        <f t="shared" si="246"/>
        <v>0</v>
      </c>
      <c r="L786" t="str">
        <f t="shared" si="232"/>
        <v/>
      </c>
      <c r="M786" t="str">
        <f t="shared" si="233"/>
        <v/>
      </c>
      <c r="R786" t="str">
        <f t="shared" si="234"/>
        <v/>
      </c>
      <c r="S786" t="str">
        <f t="shared" si="235"/>
        <v/>
      </c>
      <c r="U786" t="str">
        <f t="shared" si="236"/>
        <v/>
      </c>
      <c r="V786" t="str">
        <f t="shared" si="237"/>
        <v/>
      </c>
      <c r="W786" s="5" t="str">
        <f t="shared" si="238"/>
        <v/>
      </c>
      <c r="Y786" t="str">
        <f t="shared" si="239"/>
        <v/>
      </c>
      <c r="Z786" t="str">
        <f t="shared" si="240"/>
        <v/>
      </c>
      <c r="AB786" t="str">
        <f t="shared" si="241"/>
        <v>https://shop.officineitalianezard.it/contents/imgs/products/1_1867-triumph%20bonneville%20t100%20scaricho%20basso.jpg</v>
      </c>
      <c r="AE786" t="b">
        <v>0</v>
      </c>
    </row>
    <row r="787" spans="1:31" x14ac:dyDescent="0.2">
      <c r="A787" t="str">
        <f t="shared" si="228"/>
        <v>https://shop.officineitalianezard.it/en/bonneville-t100-exhaust-zard/</v>
      </c>
      <c r="B787" t="b">
        <f>COUNTIF($A$2:$A787, A787)&gt;1</f>
        <v>1</v>
      </c>
      <c r="C787" t="b">
        <f t="shared" si="229"/>
        <v>0</v>
      </c>
      <c r="D787">
        <f>VLOOKUP(A787,variant_counts!A:B, 2, FALSE)</f>
        <v>3</v>
      </c>
      <c r="E787" t="str">
        <f t="shared" si="242"/>
        <v>zard-exhaust-22-kit-triumph-bonneville-t100-my-2017-keeping-oem-catalyzer-ztph071ssr</v>
      </c>
      <c r="F787" t="str">
        <f t="shared" si="230"/>
        <v>ZARD EXHAUST 2&gt;2 KIT TRIUMPH BONNEVILLE T100 M.Y. 2017 KEEPING OEM CATALYZER ZTPH071SSR</v>
      </c>
      <c r="G787" t="str">
        <f t="shared" si="231"/>
        <v/>
      </c>
      <c r="H787" t="str">
        <f t="shared" si="243"/>
        <v/>
      </c>
      <c r="I787" t="str">
        <f t="shared" si="244"/>
        <v/>
      </c>
      <c r="J787" t="str">
        <f t="shared" si="245"/>
        <v/>
      </c>
      <c r="K787" t="str">
        <f t="shared" si="246"/>
        <v/>
      </c>
      <c r="L787" t="str">
        <f t="shared" si="232"/>
        <v/>
      </c>
      <c r="M787" t="str">
        <f t="shared" si="233"/>
        <v/>
      </c>
      <c r="R787" t="str">
        <f t="shared" si="234"/>
        <v/>
      </c>
      <c r="S787" t="str">
        <f t="shared" si="235"/>
        <v/>
      </c>
      <c r="U787" t="str">
        <f t="shared" si="236"/>
        <v/>
      </c>
      <c r="V787" t="str">
        <f t="shared" si="237"/>
        <v/>
      </c>
      <c r="W787" s="5" t="str">
        <f t="shared" si="238"/>
        <v/>
      </c>
      <c r="Y787" t="str">
        <f t="shared" si="239"/>
        <v/>
      </c>
      <c r="Z787" t="str">
        <f t="shared" si="240"/>
        <v/>
      </c>
      <c r="AB787" t="str">
        <f t="shared" si="241"/>
        <v>https://shop.officineitalianezard.it/contents/imgs/products/1_1858-1.jpg</v>
      </c>
      <c r="AE787" t="b">
        <v>0</v>
      </c>
    </row>
    <row r="788" spans="1:31" x14ac:dyDescent="0.2">
      <c r="A788" t="str">
        <f t="shared" si="228"/>
        <v>https://shop.officineitalianezard.it/en/bonneville-t100-exhaust-zard/</v>
      </c>
      <c r="B788" t="b">
        <f>COUNTIF($A$2:$A788, A788)&gt;1</f>
        <v>1</v>
      </c>
      <c r="C788" t="b">
        <f t="shared" si="229"/>
        <v>0</v>
      </c>
      <c r="D788">
        <f>VLOOKUP(A788,variant_counts!A:B, 2, FALSE)</f>
        <v>3</v>
      </c>
      <c r="E788" t="str">
        <f t="shared" si="242"/>
        <v>zard-exhaust-22-kit-triumph-bonneville-t100-my-2017-keeping-oem-catalyzer-ztph071ssr</v>
      </c>
      <c r="F788" t="str">
        <f t="shared" si="230"/>
        <v>ZARD EXHAUST 2&gt;2 KIT TRIUMPH BONNEVILLE T100 M.Y. 2017 KEEPING OEM CATALYZER ZTPH071SSR</v>
      </c>
      <c r="G788" t="str">
        <f t="shared" si="231"/>
        <v/>
      </c>
      <c r="H788" t="str">
        <f t="shared" si="243"/>
        <v/>
      </c>
      <c r="I788" t="str">
        <f t="shared" si="244"/>
        <v/>
      </c>
      <c r="J788" t="str">
        <f t="shared" si="245"/>
        <v/>
      </c>
      <c r="K788" t="str">
        <f t="shared" si="246"/>
        <v/>
      </c>
      <c r="L788" t="str">
        <f t="shared" si="232"/>
        <v/>
      </c>
      <c r="M788" t="str">
        <f t="shared" si="233"/>
        <v/>
      </c>
      <c r="R788" t="str">
        <f t="shared" si="234"/>
        <v/>
      </c>
      <c r="S788" t="str">
        <f t="shared" si="235"/>
        <v/>
      </c>
      <c r="U788" t="str">
        <f t="shared" si="236"/>
        <v/>
      </c>
      <c r="V788" t="str">
        <f t="shared" si="237"/>
        <v/>
      </c>
      <c r="W788" s="5" t="str">
        <f t="shared" si="238"/>
        <v/>
      </c>
      <c r="Y788" t="str">
        <f t="shared" si="239"/>
        <v/>
      </c>
      <c r="Z788" t="str">
        <f t="shared" si="240"/>
        <v/>
      </c>
      <c r="AB788" t="str">
        <f t="shared" si="241"/>
        <v>https://shop.officineitalianezard.it/contents/imgs/products/1_1861-2.jpg</v>
      </c>
      <c r="AE788" t="b">
        <v>0</v>
      </c>
    </row>
    <row r="789" spans="1:31" x14ac:dyDescent="0.2">
      <c r="A789" t="str">
        <f t="shared" si="228"/>
        <v>https://shop.officineitalianezard.it/en/bonneville-t100-exhaust-zard/</v>
      </c>
      <c r="B789" t="b">
        <f>COUNTIF($A$2:$A789, A789)&gt;1</f>
        <v>1</v>
      </c>
      <c r="C789" t="b">
        <f t="shared" si="229"/>
        <v>0</v>
      </c>
      <c r="D789">
        <f>VLOOKUP(A789,variant_counts!A:B, 2, FALSE)</f>
        <v>3</v>
      </c>
      <c r="E789" t="str">
        <f t="shared" si="242"/>
        <v>zard-exhaust-22-kit-triumph-bonneville-t100-my-2017-keeping-oem-catalyzer-ztph071ssr</v>
      </c>
      <c r="F789" t="str">
        <f t="shared" si="230"/>
        <v>ZARD EXHAUST 2&gt;2 KIT TRIUMPH BONNEVILLE T100 M.Y. 2017 KEEPING OEM CATALYZER ZTPH071SSR</v>
      </c>
      <c r="G789" t="str">
        <f t="shared" si="231"/>
        <v/>
      </c>
      <c r="H789" t="str">
        <f t="shared" si="243"/>
        <v/>
      </c>
      <c r="I789" t="str">
        <f t="shared" si="244"/>
        <v/>
      </c>
      <c r="J789" t="str">
        <f t="shared" si="245"/>
        <v/>
      </c>
      <c r="K789" t="str">
        <f t="shared" si="246"/>
        <v/>
      </c>
      <c r="L789" t="str">
        <f t="shared" si="232"/>
        <v/>
      </c>
      <c r="M789" t="str">
        <f t="shared" si="233"/>
        <v/>
      </c>
      <c r="R789" t="str">
        <f t="shared" si="234"/>
        <v/>
      </c>
      <c r="S789" t="str">
        <f t="shared" si="235"/>
        <v/>
      </c>
      <c r="U789" t="str">
        <f t="shared" si="236"/>
        <v/>
      </c>
      <c r="V789" t="str">
        <f t="shared" si="237"/>
        <v/>
      </c>
      <c r="W789" s="5" t="str">
        <f t="shared" si="238"/>
        <v/>
      </c>
      <c r="Y789" t="str">
        <f t="shared" si="239"/>
        <v/>
      </c>
      <c r="Z789" t="str">
        <f t="shared" si="240"/>
        <v/>
      </c>
      <c r="AB789" t="str">
        <f t="shared" si="241"/>
        <v>https://shop.officineitalianezard.it/contents/imgs/products/1_1860-3.jpg</v>
      </c>
      <c r="AE789" t="b">
        <v>0</v>
      </c>
    </row>
    <row r="790" spans="1:31" x14ac:dyDescent="0.2">
      <c r="A790" t="str">
        <f t="shared" si="228"/>
        <v>https://shop.officineitalianezard.it/en/bonneville-t100-exhaust-zard/</v>
      </c>
      <c r="B790" t="b">
        <f>COUNTIF($A$2:$A790, A790)&gt;1</f>
        <v>1</v>
      </c>
      <c r="C790" t="b">
        <f t="shared" si="229"/>
        <v>0</v>
      </c>
      <c r="D790">
        <f>VLOOKUP(A790,variant_counts!A:B, 2, FALSE)</f>
        <v>3</v>
      </c>
      <c r="E790" t="str">
        <f t="shared" si="242"/>
        <v>zard-exhaust-22-kit-triumph-bonneville-t100-my-2017-keeping-oem-catalyzer-ztph071ssr</v>
      </c>
      <c r="F790" t="str">
        <f t="shared" si="230"/>
        <v>ZARD EXHAUST 2&gt;2 KIT TRIUMPH BONNEVILLE T100 M.Y. 2017 KEEPING OEM CATALYZER ZTPH071SSR</v>
      </c>
      <c r="G790" t="str">
        <f t="shared" si="231"/>
        <v/>
      </c>
      <c r="H790" t="str">
        <f t="shared" si="243"/>
        <v/>
      </c>
      <c r="I790" t="str">
        <f t="shared" si="244"/>
        <v/>
      </c>
      <c r="J790" t="str">
        <f t="shared" si="245"/>
        <v/>
      </c>
      <c r="K790" t="str">
        <f t="shared" si="246"/>
        <v/>
      </c>
      <c r="L790" t="str">
        <f t="shared" si="232"/>
        <v/>
      </c>
      <c r="M790" t="str">
        <f t="shared" si="233"/>
        <v/>
      </c>
      <c r="R790" t="str">
        <f t="shared" si="234"/>
        <v/>
      </c>
      <c r="S790" t="str">
        <f t="shared" si="235"/>
        <v/>
      </c>
      <c r="U790" t="str">
        <f t="shared" si="236"/>
        <v/>
      </c>
      <c r="V790" t="str">
        <f t="shared" si="237"/>
        <v/>
      </c>
      <c r="W790" s="5" t="str">
        <f t="shared" si="238"/>
        <v/>
      </c>
      <c r="Y790" t="str">
        <f t="shared" si="239"/>
        <v/>
      </c>
      <c r="Z790" t="str">
        <f t="shared" si="240"/>
        <v/>
      </c>
      <c r="AB790" t="str">
        <f t="shared" si="241"/>
        <v>https://shop.officineitalianezard.it/contents/imgs/products/1_1859-4.jpg</v>
      </c>
      <c r="AE790" t="b">
        <v>0</v>
      </c>
    </row>
    <row r="791" spans="1:31" x14ac:dyDescent="0.2">
      <c r="A791" t="str">
        <f t="shared" si="228"/>
        <v>https://shop.officineitalianezard.it/en/bonneville-t100-exhaust-zard/</v>
      </c>
      <c r="B791" t="b">
        <f>COUNTIF($A$2:$A791, A791)&gt;1</f>
        <v>1</v>
      </c>
      <c r="C791" t="b">
        <f t="shared" si="229"/>
        <v>0</v>
      </c>
      <c r="D791">
        <f>VLOOKUP(A791,variant_counts!A:B, 2, FALSE)</f>
        <v>3</v>
      </c>
      <c r="E791" t="str">
        <f t="shared" si="242"/>
        <v>zard-exhaust-22-kit-triumph-bonneville-t100-my-2017-keeping-oem-catalyzer-ztph071ssr</v>
      </c>
      <c r="F791" t="str">
        <f t="shared" si="230"/>
        <v>ZARD EXHAUST 2&gt;2 KIT TRIUMPH BONNEVILLE T100 M.Y. 2017 KEEPING OEM CATALYZER ZTPH071SSR</v>
      </c>
      <c r="G791" t="str">
        <f t="shared" si="231"/>
        <v/>
      </c>
      <c r="H791" t="str">
        <f t="shared" si="243"/>
        <v/>
      </c>
      <c r="I791" t="str">
        <f t="shared" si="244"/>
        <v/>
      </c>
      <c r="J791" t="str">
        <f t="shared" si="245"/>
        <v/>
      </c>
      <c r="K791" t="str">
        <f t="shared" si="246"/>
        <v/>
      </c>
      <c r="L791" t="str">
        <f t="shared" si="232"/>
        <v/>
      </c>
      <c r="M791" t="str">
        <f t="shared" si="233"/>
        <v/>
      </c>
      <c r="R791" t="str">
        <f t="shared" si="234"/>
        <v/>
      </c>
      <c r="S791" t="str">
        <f t="shared" si="235"/>
        <v/>
      </c>
      <c r="U791" t="str">
        <f t="shared" si="236"/>
        <v/>
      </c>
      <c r="V791" t="str">
        <f t="shared" si="237"/>
        <v/>
      </c>
      <c r="W791" s="5" t="str">
        <f t="shared" si="238"/>
        <v/>
      </c>
      <c r="Y791" t="str">
        <f t="shared" si="239"/>
        <v/>
      </c>
      <c r="Z791" t="str">
        <f t="shared" si="240"/>
        <v/>
      </c>
      <c r="AB791" t="str">
        <f t="shared" si="241"/>
        <v>https://shop.officineitalianezard.it/contents/imgs/products/1_1862-1.jpg</v>
      </c>
      <c r="AE791" t="b">
        <v>0</v>
      </c>
    </row>
    <row r="792" spans="1:31" x14ac:dyDescent="0.2">
      <c r="A792" t="str">
        <f t="shared" si="228"/>
        <v>https://shop.officineitalianezard.it/en/bonneville-t100-exhaust-zard/</v>
      </c>
      <c r="B792" t="b">
        <f>COUNTIF($A$2:$A792, A792)&gt;1</f>
        <v>1</v>
      </c>
      <c r="C792" t="b">
        <f t="shared" si="229"/>
        <v>0</v>
      </c>
      <c r="D792">
        <f>VLOOKUP(A792,variant_counts!A:B, 2, FALSE)</f>
        <v>3</v>
      </c>
      <c r="E792" t="str">
        <f t="shared" si="242"/>
        <v>zard-exhaust-22-kit-triumph-bonneville-t100-my-2017-keeping-oem-catalyzer-ztph071ssr</v>
      </c>
      <c r="F792" t="str">
        <f t="shared" si="230"/>
        <v>ZARD EXHAUST 2&gt;2 KIT TRIUMPH BONNEVILLE T100 M.Y. 2017 KEEPING OEM CATALYZER ZTPH071SSR</v>
      </c>
      <c r="G792" t="str">
        <f t="shared" si="231"/>
        <v/>
      </c>
      <c r="H792" t="str">
        <f t="shared" si="243"/>
        <v/>
      </c>
      <c r="I792" t="str">
        <f t="shared" si="244"/>
        <v/>
      </c>
      <c r="J792" t="str">
        <f t="shared" si="245"/>
        <v/>
      </c>
      <c r="K792" t="str">
        <f t="shared" si="246"/>
        <v/>
      </c>
      <c r="L792" t="str">
        <f t="shared" si="232"/>
        <v/>
      </c>
      <c r="M792" t="str">
        <f t="shared" si="233"/>
        <v/>
      </c>
      <c r="R792" t="str">
        <f t="shared" si="234"/>
        <v/>
      </c>
      <c r="S792" t="str">
        <f t="shared" si="235"/>
        <v/>
      </c>
      <c r="U792" t="str">
        <f t="shared" si="236"/>
        <v/>
      </c>
      <c r="V792" t="str">
        <f t="shared" si="237"/>
        <v/>
      </c>
      <c r="W792" s="5" t="str">
        <f t="shared" si="238"/>
        <v/>
      </c>
      <c r="Y792" t="str">
        <f t="shared" si="239"/>
        <v/>
      </c>
      <c r="Z792" t="str">
        <f t="shared" si="240"/>
        <v/>
      </c>
      <c r="AB792" t="str">
        <f t="shared" si="241"/>
        <v>https://shop.officineitalianezard.it/contents/imgs/products/1_1865-2.jpg</v>
      </c>
      <c r="AE792" t="b">
        <v>0</v>
      </c>
    </row>
    <row r="793" spans="1:31" x14ac:dyDescent="0.2">
      <c r="A793" t="str">
        <f t="shared" si="228"/>
        <v>https://shop.officineitalianezard.it/en/bonneville-t100-exhaust-zard/</v>
      </c>
      <c r="B793" t="b">
        <f>COUNTIF($A$2:$A793, A793)&gt;1</f>
        <v>1</v>
      </c>
      <c r="C793" t="b">
        <f t="shared" si="229"/>
        <v>0</v>
      </c>
      <c r="D793">
        <f>VLOOKUP(A793,variant_counts!A:B, 2, FALSE)</f>
        <v>3</v>
      </c>
      <c r="E793" t="str">
        <f t="shared" si="242"/>
        <v>zard-exhaust-22-kit-triumph-bonneville-t100-my-2017-keeping-oem-catalyzer-ztph071ssr</v>
      </c>
      <c r="F793" t="str">
        <f t="shared" si="230"/>
        <v>ZARD EXHAUST 2&gt;2 KIT TRIUMPH BONNEVILLE T100 M.Y. 2017 KEEPING OEM CATALYZER ZTPH071SSR</v>
      </c>
      <c r="G793" t="str">
        <f t="shared" si="231"/>
        <v/>
      </c>
      <c r="H793" t="str">
        <f t="shared" si="243"/>
        <v/>
      </c>
      <c r="I793" t="str">
        <f t="shared" si="244"/>
        <v/>
      </c>
      <c r="J793" t="str">
        <f t="shared" si="245"/>
        <v/>
      </c>
      <c r="K793" t="str">
        <f t="shared" si="246"/>
        <v/>
      </c>
      <c r="L793" t="str">
        <f t="shared" si="232"/>
        <v/>
      </c>
      <c r="M793" t="str">
        <f t="shared" si="233"/>
        <v/>
      </c>
      <c r="R793" t="str">
        <f t="shared" si="234"/>
        <v/>
      </c>
      <c r="S793" t="str">
        <f t="shared" si="235"/>
        <v/>
      </c>
      <c r="U793" t="str">
        <f t="shared" si="236"/>
        <v/>
      </c>
      <c r="V793" t="str">
        <f t="shared" si="237"/>
        <v/>
      </c>
      <c r="W793" s="5" t="str">
        <f t="shared" si="238"/>
        <v/>
      </c>
      <c r="Y793" t="str">
        <f t="shared" si="239"/>
        <v/>
      </c>
      <c r="Z793" t="str">
        <f t="shared" si="240"/>
        <v/>
      </c>
      <c r="AB793" t="str">
        <f t="shared" si="241"/>
        <v>https://shop.officineitalianezard.it/contents/imgs/products/1_1864-3.jpg</v>
      </c>
      <c r="AE793" t="b">
        <v>0</v>
      </c>
    </row>
    <row r="794" spans="1:31" x14ac:dyDescent="0.2">
      <c r="A794" t="str">
        <f t="shared" si="228"/>
        <v>https://shop.officineitalianezard.it/en/bonneville-t100-exhaust-zard/</v>
      </c>
      <c r="B794" t="b">
        <f>COUNTIF($A$2:$A794, A794)&gt;1</f>
        <v>1</v>
      </c>
      <c r="C794" t="b">
        <f t="shared" si="229"/>
        <v>0</v>
      </c>
      <c r="D794">
        <f>VLOOKUP(A794,variant_counts!A:B, 2, FALSE)</f>
        <v>3</v>
      </c>
      <c r="E794" t="str">
        <f t="shared" si="242"/>
        <v>zard-exhaust-22-kit-triumph-bonneville-t100-my-2017-keeping-oem-catalyzer-ztph071ssr</v>
      </c>
      <c r="F794" t="str">
        <f t="shared" si="230"/>
        <v>ZARD EXHAUST 2&gt;2 KIT TRIUMPH BONNEVILLE T100 M.Y. 2017 KEEPING OEM CATALYZER ZTPH071SSR</v>
      </c>
      <c r="G794" t="str">
        <f t="shared" si="231"/>
        <v/>
      </c>
      <c r="H794" t="str">
        <f t="shared" si="243"/>
        <v/>
      </c>
      <c r="I794" t="str">
        <f t="shared" si="244"/>
        <v/>
      </c>
      <c r="J794" t="str">
        <f t="shared" si="245"/>
        <v/>
      </c>
      <c r="K794" t="str">
        <f t="shared" si="246"/>
        <v/>
      </c>
      <c r="L794" t="str">
        <f t="shared" si="232"/>
        <v/>
      </c>
      <c r="M794" t="str">
        <f t="shared" si="233"/>
        <v/>
      </c>
      <c r="R794" t="str">
        <f t="shared" si="234"/>
        <v/>
      </c>
      <c r="S794" t="str">
        <f t="shared" si="235"/>
        <v/>
      </c>
      <c r="U794" t="str">
        <f t="shared" si="236"/>
        <v/>
      </c>
      <c r="V794" t="str">
        <f t="shared" si="237"/>
        <v/>
      </c>
      <c r="W794" s="5" t="str">
        <f t="shared" si="238"/>
        <v/>
      </c>
      <c r="Y794" t="str">
        <f t="shared" si="239"/>
        <v/>
      </c>
      <c r="Z794" t="str">
        <f t="shared" si="240"/>
        <v/>
      </c>
      <c r="AB794" t="str">
        <f t="shared" si="241"/>
        <v>https://shop.officineitalianezard.it/contents/imgs/products/1_1863-4.jpg</v>
      </c>
      <c r="AE794" t="b">
        <v>0</v>
      </c>
    </row>
    <row r="795" spans="1:31" x14ac:dyDescent="0.2">
      <c r="A795" t="str">
        <f t="shared" si="228"/>
        <v>https://shop.officineitalianezard.it/en/bonneville-t100-exhaust-zard/</v>
      </c>
      <c r="B795" t="b">
        <f>COUNTIF($A$2:$A795, A795)&gt;1</f>
        <v>1</v>
      </c>
      <c r="C795" t="b">
        <f t="shared" si="229"/>
        <v>0</v>
      </c>
      <c r="D795">
        <f>VLOOKUP(A795,variant_counts!A:B, 2, FALSE)</f>
        <v>3</v>
      </c>
      <c r="E795" t="str">
        <f t="shared" si="242"/>
        <v>zard-exhaust-22-kit-triumph-bonneville-t100-my-2017-keeping-oem-catalyzer-ztph071ssr</v>
      </c>
      <c r="F795" t="str">
        <f t="shared" si="230"/>
        <v>ZARD EXHAUST 2&gt;2 KIT TRIUMPH BONNEVILLE T100 M.Y. 2017 KEEPING OEM CATALYZER ZTPH071SSR</v>
      </c>
      <c r="G795" t="str">
        <f t="shared" si="231"/>
        <v/>
      </c>
      <c r="H795" t="str">
        <f t="shared" si="243"/>
        <v/>
      </c>
      <c r="I795" t="str">
        <f t="shared" si="244"/>
        <v/>
      </c>
      <c r="J795" t="str">
        <f t="shared" si="245"/>
        <v/>
      </c>
      <c r="K795" t="str">
        <f t="shared" si="246"/>
        <v/>
      </c>
      <c r="L795" t="str">
        <f t="shared" si="232"/>
        <v/>
      </c>
      <c r="M795" t="str">
        <f t="shared" si="233"/>
        <v/>
      </c>
      <c r="R795" t="str">
        <f t="shared" si="234"/>
        <v/>
      </c>
      <c r="S795" t="str">
        <f t="shared" si="235"/>
        <v/>
      </c>
      <c r="U795" t="str">
        <f t="shared" si="236"/>
        <v/>
      </c>
      <c r="V795" t="str">
        <f t="shared" si="237"/>
        <v/>
      </c>
      <c r="W795" s="5" t="str">
        <f t="shared" si="238"/>
        <v/>
      </c>
      <c r="Y795" t="str">
        <f t="shared" si="239"/>
        <v/>
      </c>
      <c r="Z795" t="str">
        <f t="shared" si="240"/>
        <v/>
      </c>
      <c r="AB795" t="str">
        <f t="shared" si="241"/>
        <v>https://shop.officineitalianezard.it/contents/imgs/products/1_1852-t120%20neri%20zard.jpg</v>
      </c>
      <c r="AE795" t="b">
        <v>0</v>
      </c>
    </row>
    <row r="796" spans="1:31" x14ac:dyDescent="0.2">
      <c r="A796" t="str">
        <f t="shared" si="228"/>
        <v>https://shop.officineitalianezard.it/en/bonneville-t100-exhaust-zard/</v>
      </c>
      <c r="B796" t="b">
        <f>COUNTIF($A$2:$A796, A796)&gt;1</f>
        <v>1</v>
      </c>
      <c r="C796" t="b">
        <f t="shared" si="229"/>
        <v>0</v>
      </c>
      <c r="D796">
        <f>VLOOKUP(A796,variant_counts!A:B, 2, FALSE)</f>
        <v>3</v>
      </c>
      <c r="E796" t="str">
        <f t="shared" si="242"/>
        <v>zard-exhaust-22-kit-triumph-bonneville-t100-my-2017-keeping-oem-catalyzer-ztph071ssr</v>
      </c>
      <c r="F796" t="str">
        <f t="shared" si="230"/>
        <v>ZARD EXHAUST 2&gt;2 KIT TRIUMPH BONNEVILLE T100 M.Y. 2017 KEEPING OEM CATALYZER ZTPH071SSR</v>
      </c>
      <c r="G796" t="str">
        <f t="shared" si="231"/>
        <v/>
      </c>
      <c r="H796" t="str">
        <f t="shared" si="243"/>
        <v/>
      </c>
      <c r="I796" t="str">
        <f t="shared" si="244"/>
        <v/>
      </c>
      <c r="J796" t="str">
        <f t="shared" si="245"/>
        <v/>
      </c>
      <c r="K796" t="str">
        <f t="shared" si="246"/>
        <v/>
      </c>
      <c r="L796" t="str">
        <f t="shared" si="232"/>
        <v/>
      </c>
      <c r="M796" t="str">
        <f t="shared" si="233"/>
        <v/>
      </c>
      <c r="R796" t="str">
        <f t="shared" si="234"/>
        <v/>
      </c>
      <c r="S796" t="str">
        <f t="shared" si="235"/>
        <v/>
      </c>
      <c r="U796" t="str">
        <f t="shared" si="236"/>
        <v/>
      </c>
      <c r="V796" t="str">
        <f t="shared" si="237"/>
        <v/>
      </c>
      <c r="W796" s="5" t="str">
        <f t="shared" si="238"/>
        <v/>
      </c>
      <c r="Y796" t="str">
        <f t="shared" si="239"/>
        <v/>
      </c>
      <c r="Z796" t="str">
        <f t="shared" si="240"/>
        <v/>
      </c>
      <c r="AB796" t="str">
        <f t="shared" si="241"/>
        <v>https://shop.officineitalianezard.it/contents/imgs/products/1_1854-scarico%20bonneville%20t120%20scarico%20triumph%20street%20twin.jpg</v>
      </c>
      <c r="AE796" t="b">
        <v>0</v>
      </c>
    </row>
    <row r="797" spans="1:31" x14ac:dyDescent="0.2">
      <c r="A797" t="str">
        <f t="shared" si="228"/>
        <v>https://shop.officineitalianezard.it/en/bonneville-t100-exhaust-zard/</v>
      </c>
      <c r="B797" t="b">
        <f>COUNTIF($A$2:$A797, A797)&gt;1</f>
        <v>1</v>
      </c>
      <c r="C797" t="b">
        <f t="shared" si="229"/>
        <v>1</v>
      </c>
      <c r="D797">
        <f>VLOOKUP(A797,variant_counts!A:B, 2, FALSE)</f>
        <v>3</v>
      </c>
      <c r="E797" t="str">
        <f t="shared" si="242"/>
        <v>zard-exhaust-22-kit-triumph-bonneville-t100-my-2017-keeping-oem-catalyzer-ztph071ssr</v>
      </c>
      <c r="F797" t="str">
        <f t="shared" si="230"/>
        <v>ZARD EXHAUST 2&gt;2 KIT TRIUMPH BONNEVILLE T100 M.Y. 2017 KEEPING OEM CATALYZER ZTPH071SSR</v>
      </c>
      <c r="G797" t="str">
        <f t="shared" si="231"/>
        <v/>
      </c>
      <c r="H797" t="str">
        <f t="shared" si="243"/>
        <v/>
      </c>
      <c r="I797" t="str">
        <f t="shared" si="244"/>
        <v/>
      </c>
      <c r="J797" t="str">
        <f t="shared" si="245"/>
        <v/>
      </c>
      <c r="K797" t="str">
        <f t="shared" si="246"/>
        <v/>
      </c>
      <c r="L797" t="str">
        <f t="shared" si="232"/>
        <v>Option</v>
      </c>
      <c r="M797" t="str">
        <f t="shared" si="233"/>
        <v>BLACK COATING</v>
      </c>
      <c r="R797" t="str">
        <f t="shared" si="234"/>
        <v>ZTPH071SSR</v>
      </c>
      <c r="S797">
        <f t="shared" si="235"/>
        <v>0</v>
      </c>
      <c r="U797" t="str">
        <f t="shared" si="236"/>
        <v>continue</v>
      </c>
      <c r="V797" t="str">
        <f t="shared" si="237"/>
        <v>manual</v>
      </c>
      <c r="W797" s="5">
        <f t="shared" si="238"/>
        <v>1316.4378000000002</v>
      </c>
      <c r="Y797" t="b">
        <f t="shared" si="239"/>
        <v>1</v>
      </c>
      <c r="Z797" t="b">
        <f t="shared" si="240"/>
        <v>0</v>
      </c>
      <c r="AB797" t="str">
        <f t="shared" si="241"/>
        <v/>
      </c>
      <c r="AE797" t="b">
        <v>0</v>
      </c>
    </row>
    <row r="798" spans="1:31" x14ac:dyDescent="0.2">
      <c r="A798" t="str">
        <f t="shared" si="228"/>
        <v>https://shop.officineitalianezard.it/en/bonneville-t100-exhaust-zard/</v>
      </c>
      <c r="B798" t="b">
        <f>COUNTIF($A$2:$A798, A798)&gt;1</f>
        <v>1</v>
      </c>
      <c r="C798" t="b">
        <f t="shared" si="229"/>
        <v>1</v>
      </c>
      <c r="D798">
        <f>VLOOKUP(A798,variant_counts!A:B, 2, FALSE)</f>
        <v>3</v>
      </c>
      <c r="E798" t="str">
        <f t="shared" si="242"/>
        <v>zard-exhaust-22-kit-triumph-bonneville-t100-my-2017-keeping-oem-catalyzer-ztph071ssr</v>
      </c>
      <c r="F798" t="str">
        <f t="shared" si="230"/>
        <v>ZARD EXHAUST 2&gt;2 KIT TRIUMPH BONNEVILLE T100 M.Y. 2017 KEEPING OEM CATALYZER ZTPH071SSR</v>
      </c>
      <c r="G798" t="str">
        <f t="shared" si="231"/>
        <v/>
      </c>
      <c r="H798" t="str">
        <f t="shared" si="243"/>
        <v/>
      </c>
      <c r="I798" t="str">
        <f t="shared" si="244"/>
        <v/>
      </c>
      <c r="J798" t="str">
        <f t="shared" si="245"/>
        <v/>
      </c>
      <c r="K798" t="str">
        <f t="shared" si="246"/>
        <v/>
      </c>
      <c r="L798" t="str">
        <f t="shared" si="232"/>
        <v>Option</v>
      </c>
      <c r="M798" t="str">
        <f t="shared" si="233"/>
        <v>MIRROR POLISHED</v>
      </c>
      <c r="R798" t="str">
        <f t="shared" si="234"/>
        <v>ZTPH071SSR</v>
      </c>
      <c r="S798">
        <f t="shared" si="235"/>
        <v>0</v>
      </c>
      <c r="U798" t="str">
        <f t="shared" si="236"/>
        <v>continue</v>
      </c>
      <c r="V798" t="str">
        <f t="shared" si="237"/>
        <v>manual</v>
      </c>
      <c r="W798" s="5">
        <f t="shared" si="238"/>
        <v>1175.6010000000003</v>
      </c>
      <c r="Y798" t="b">
        <f t="shared" si="239"/>
        <v>1</v>
      </c>
      <c r="Z798" t="b">
        <f t="shared" si="240"/>
        <v>0</v>
      </c>
      <c r="AB798" t="str">
        <f t="shared" si="241"/>
        <v/>
      </c>
      <c r="AE798" t="b">
        <v>0</v>
      </c>
    </row>
    <row r="799" spans="1:31" x14ac:dyDescent="0.2">
      <c r="A799" t="str">
        <f t="shared" si="228"/>
        <v>https://shop.officineitalianezard.it/en/bonneville-t100-exhaust-zard/</v>
      </c>
      <c r="B799" t="b">
        <f>COUNTIF($A$2:$A799, A799)&gt;1</f>
        <v>1</v>
      </c>
      <c r="C799" t="b">
        <f t="shared" si="229"/>
        <v>1</v>
      </c>
      <c r="D799">
        <f>VLOOKUP(A799,variant_counts!A:B, 2, FALSE)</f>
        <v>3</v>
      </c>
      <c r="E799" t="str">
        <f t="shared" si="242"/>
        <v>zard-exhaust-22-kit-triumph-bonneville-t100-my-2017-keeping-oem-catalyzer-ztph071ssr</v>
      </c>
      <c r="F799" t="str">
        <f t="shared" si="230"/>
        <v>ZARD EXHAUST 2&gt;2 KIT TRIUMPH BONNEVILLE T100 M.Y. 2017 KEEPING OEM CATALYZER ZTPH071SSR</v>
      </c>
      <c r="G799" t="str">
        <f t="shared" si="231"/>
        <v/>
      </c>
      <c r="H799" t="str">
        <f t="shared" si="243"/>
        <v/>
      </c>
      <c r="I799" t="str">
        <f t="shared" si="244"/>
        <v/>
      </c>
      <c r="J799" t="str">
        <f t="shared" si="245"/>
        <v/>
      </c>
      <c r="K799" t="str">
        <f t="shared" si="246"/>
        <v/>
      </c>
      <c r="L799" t="str">
        <f t="shared" si="232"/>
        <v>Option</v>
      </c>
      <c r="M799" t="str">
        <f t="shared" si="233"/>
        <v>BACK MOUNTING KIT</v>
      </c>
      <c r="R799" t="str">
        <f t="shared" si="234"/>
        <v>ZTPH071SSR</v>
      </c>
      <c r="S799">
        <f t="shared" si="235"/>
        <v>0</v>
      </c>
      <c r="U799" t="str">
        <f t="shared" si="236"/>
        <v>continue</v>
      </c>
      <c r="V799" t="str">
        <f t="shared" si="237"/>
        <v>manual</v>
      </c>
      <c r="W799" s="5">
        <f t="shared" si="238"/>
        <v>1350.8256000000001</v>
      </c>
      <c r="Y799" t="b">
        <f t="shared" si="239"/>
        <v>1</v>
      </c>
      <c r="Z799" t="b">
        <f t="shared" si="240"/>
        <v>0</v>
      </c>
      <c r="AB799" t="str">
        <f t="shared" si="241"/>
        <v/>
      </c>
      <c r="AE799" t="b">
        <v>0</v>
      </c>
    </row>
    <row r="800" spans="1:31" x14ac:dyDescent="0.2">
      <c r="A800" t="str">
        <f t="shared" si="228"/>
        <v>https://shop.officineitalianezard.it/en/triumph-t100-exhaust-zard/</v>
      </c>
      <c r="B800" t="b">
        <f>COUNTIF($A$2:$A800, A800)&gt;1</f>
        <v>0</v>
      </c>
      <c r="C800" t="b">
        <f t="shared" si="229"/>
        <v>0</v>
      </c>
      <c r="D800">
        <f>VLOOKUP(A800,variant_counts!A:B, 2, FALSE)</f>
        <v>2</v>
      </c>
      <c r="E800" t="str">
        <f t="shared" si="242"/>
        <v>zard-exhaust-n-2-steel-silencers-triumph-bonneville-t100-my-2017-bottle-design-ztph070ssr</v>
      </c>
      <c r="F800" t="str">
        <f t="shared" si="230"/>
        <v>ZARD EXHAUST N. 2 STEEL SILENCERS TRIUMPH BONNEVILLE T100 M.Y. 2017 BOTTLE DESIGN ZTPH070SSR</v>
      </c>
      <c r="G800" t="str">
        <f t="shared" si="231"/>
        <v>&lt;p&gt;N. 2 STEEL RACING SILENCER WITH REMOVABLE DB KILLERS&lt;/p&gt;
&lt;p&gt;ORIGINAL SILENCERS WEIGHT:&amp;nbsp;&lt;span&gt;6.4 KG&lt;br&gt;&lt;/span&gt;ZARD SILENCERS WEIGHT: 4.2 KG&lt;/p&gt;
&lt;p&gt;ASTONISHING SOUND, CLASSIC BOTTLE&amp;nbsp;DESIGN.&lt;/p&gt;
&lt;p&gt;FITTING KIT INCLUDED.&lt;/p&gt;
&lt;p&gt;&lt;/p&gt;</v>
      </c>
      <c r="H800" t="str">
        <f t="shared" si="243"/>
        <v>ZARD</v>
      </c>
      <c r="I800" t="str">
        <f t="shared" si="244"/>
        <v>Exhaust Pipe</v>
      </c>
      <c r="J800" t="str">
        <f t="shared" si="245"/>
        <v>Test</v>
      </c>
      <c r="K800" t="b">
        <f t="shared" si="246"/>
        <v>0</v>
      </c>
      <c r="L800" t="str">
        <f t="shared" si="232"/>
        <v/>
      </c>
      <c r="M800" t="str">
        <f t="shared" si="233"/>
        <v/>
      </c>
      <c r="R800" t="str">
        <f t="shared" si="234"/>
        <v/>
      </c>
      <c r="S800" t="str">
        <f t="shared" si="235"/>
        <v/>
      </c>
      <c r="U800" t="str">
        <f t="shared" si="236"/>
        <v/>
      </c>
      <c r="V800" t="str">
        <f t="shared" si="237"/>
        <v/>
      </c>
      <c r="W800" s="5" t="str">
        <f t="shared" si="238"/>
        <v/>
      </c>
      <c r="Y800" t="str">
        <f t="shared" si="239"/>
        <v/>
      </c>
      <c r="Z800" t="str">
        <f t="shared" si="240"/>
        <v/>
      </c>
      <c r="AB800" t="str">
        <f t="shared" si="241"/>
        <v>https://shop.officineitalianezard.it/contents/imgs/products/1_1847-triumph%20t%20100%20exhaust%20zard%201.jpg</v>
      </c>
      <c r="AE800" t="b">
        <v>0</v>
      </c>
    </row>
    <row r="801" spans="1:31" x14ac:dyDescent="0.2">
      <c r="A801" t="str">
        <f t="shared" si="228"/>
        <v>https://shop.officineitalianezard.it/en/triumph-t100-exhaust-zard/</v>
      </c>
      <c r="B801" t="b">
        <f>COUNTIF($A$2:$A801, A801)&gt;1</f>
        <v>1</v>
      </c>
      <c r="C801" t="b">
        <f t="shared" si="229"/>
        <v>0</v>
      </c>
      <c r="D801">
        <f>VLOOKUP(A801,variant_counts!A:B, 2, FALSE)</f>
        <v>2</v>
      </c>
      <c r="E801" t="str">
        <f t="shared" si="242"/>
        <v>zard-exhaust-n-2-steel-silencers-triumph-bonneville-t100-my-2017-bottle-design-ztph070ssr</v>
      </c>
      <c r="F801" t="str">
        <f t="shared" si="230"/>
        <v>ZARD EXHAUST N. 2 STEEL SILENCERS TRIUMPH BONNEVILLE T100 M.Y. 2017 BOTTLE DESIGN ZTPH070SSR</v>
      </c>
      <c r="G801" t="str">
        <f t="shared" si="231"/>
        <v/>
      </c>
      <c r="H801" t="str">
        <f t="shared" si="243"/>
        <v/>
      </c>
      <c r="I801" t="str">
        <f t="shared" si="244"/>
        <v/>
      </c>
      <c r="J801" t="str">
        <f t="shared" si="245"/>
        <v/>
      </c>
      <c r="K801" t="str">
        <f t="shared" si="246"/>
        <v/>
      </c>
      <c r="L801" t="str">
        <f t="shared" si="232"/>
        <v/>
      </c>
      <c r="M801" t="str">
        <f t="shared" si="233"/>
        <v/>
      </c>
      <c r="R801" t="str">
        <f t="shared" si="234"/>
        <v/>
      </c>
      <c r="S801" t="str">
        <f t="shared" si="235"/>
        <v/>
      </c>
      <c r="U801" t="str">
        <f t="shared" si="236"/>
        <v/>
      </c>
      <c r="V801" t="str">
        <f t="shared" si="237"/>
        <v/>
      </c>
      <c r="W801" s="5" t="str">
        <f t="shared" si="238"/>
        <v/>
      </c>
      <c r="Y801" t="str">
        <f t="shared" si="239"/>
        <v/>
      </c>
      <c r="Z801" t="str">
        <f t="shared" si="240"/>
        <v/>
      </c>
      <c r="AB801" t="str">
        <f t="shared" si="241"/>
        <v>https://shop.officineitalianezard.it/contents/imgs/products/1_1845-t100%20scarichi%20zard%202.jpg</v>
      </c>
      <c r="AE801" t="b">
        <v>0</v>
      </c>
    </row>
    <row r="802" spans="1:31" x14ac:dyDescent="0.2">
      <c r="A802" t="str">
        <f t="shared" si="228"/>
        <v>https://shop.officineitalianezard.it/en/triumph-t100-exhaust-zard/</v>
      </c>
      <c r="B802" t="b">
        <f>COUNTIF($A$2:$A802, A802)&gt;1</f>
        <v>1</v>
      </c>
      <c r="C802" t="b">
        <f t="shared" si="229"/>
        <v>0</v>
      </c>
      <c r="D802">
        <f>VLOOKUP(A802,variant_counts!A:B, 2, FALSE)</f>
        <v>2</v>
      </c>
      <c r="E802" t="str">
        <f t="shared" si="242"/>
        <v>zard-exhaust-n-2-steel-silencers-triumph-bonneville-t100-my-2017-bottle-design-ztph070ssr</v>
      </c>
      <c r="F802" t="str">
        <f t="shared" si="230"/>
        <v>ZARD EXHAUST N. 2 STEEL SILENCERS TRIUMPH BONNEVILLE T100 M.Y. 2017 BOTTLE DESIGN ZTPH070SSR</v>
      </c>
      <c r="G802" t="str">
        <f t="shared" si="231"/>
        <v/>
      </c>
      <c r="H802" t="str">
        <f t="shared" si="243"/>
        <v/>
      </c>
      <c r="I802" t="str">
        <f t="shared" si="244"/>
        <v/>
      </c>
      <c r="J802" t="str">
        <f t="shared" si="245"/>
        <v/>
      </c>
      <c r="K802" t="str">
        <f t="shared" si="246"/>
        <v/>
      </c>
      <c r="L802" t="str">
        <f t="shared" si="232"/>
        <v/>
      </c>
      <c r="M802" t="str">
        <f t="shared" si="233"/>
        <v/>
      </c>
      <c r="R802" t="str">
        <f t="shared" si="234"/>
        <v/>
      </c>
      <c r="S802" t="str">
        <f t="shared" si="235"/>
        <v/>
      </c>
      <c r="U802" t="str">
        <f t="shared" si="236"/>
        <v/>
      </c>
      <c r="V802" t="str">
        <f t="shared" si="237"/>
        <v/>
      </c>
      <c r="W802" s="5" t="str">
        <f t="shared" si="238"/>
        <v/>
      </c>
      <c r="Y802" t="str">
        <f t="shared" si="239"/>
        <v/>
      </c>
      <c r="Z802" t="str">
        <f t="shared" si="240"/>
        <v/>
      </c>
      <c r="AB802" t="str">
        <f t="shared" si="241"/>
        <v>https://shop.officineitalianezard.it/contents/imgs/products/1_1846-t100%20zard%20exhaust.jpg</v>
      </c>
      <c r="AE802" t="b">
        <v>0</v>
      </c>
    </row>
    <row r="803" spans="1:31" x14ac:dyDescent="0.2">
      <c r="A803" t="str">
        <f t="shared" si="228"/>
        <v>https://shop.officineitalianezard.it/en/triumph-t100-exhaust-zard/</v>
      </c>
      <c r="B803" t="b">
        <f>COUNTIF($A$2:$A803, A803)&gt;1</f>
        <v>1</v>
      </c>
      <c r="C803" t="b">
        <f t="shared" si="229"/>
        <v>0</v>
      </c>
      <c r="D803">
        <f>VLOOKUP(A803,variant_counts!A:B, 2, FALSE)</f>
        <v>2</v>
      </c>
      <c r="E803" t="str">
        <f t="shared" si="242"/>
        <v>zard-exhaust-n-2-steel-silencers-triumph-bonneville-t100-my-2017-bottle-design-ztph070ssr</v>
      </c>
      <c r="F803" t="str">
        <f t="shared" si="230"/>
        <v>ZARD EXHAUST N. 2 STEEL SILENCERS TRIUMPH BONNEVILLE T100 M.Y. 2017 BOTTLE DESIGN ZTPH070SSR</v>
      </c>
      <c r="G803" t="str">
        <f t="shared" si="231"/>
        <v/>
      </c>
      <c r="H803" t="str">
        <f t="shared" si="243"/>
        <v/>
      </c>
      <c r="I803" t="str">
        <f t="shared" si="244"/>
        <v/>
      </c>
      <c r="J803" t="str">
        <f t="shared" si="245"/>
        <v/>
      </c>
      <c r="K803" t="str">
        <f t="shared" si="246"/>
        <v/>
      </c>
      <c r="L803" t="str">
        <f t="shared" si="232"/>
        <v/>
      </c>
      <c r="M803" t="str">
        <f t="shared" si="233"/>
        <v/>
      </c>
      <c r="R803" t="str">
        <f t="shared" si="234"/>
        <v/>
      </c>
      <c r="S803" t="str">
        <f t="shared" si="235"/>
        <v/>
      </c>
      <c r="U803" t="str">
        <f t="shared" si="236"/>
        <v/>
      </c>
      <c r="V803" t="str">
        <f t="shared" si="237"/>
        <v/>
      </c>
      <c r="W803" s="5" t="str">
        <f t="shared" si="238"/>
        <v/>
      </c>
      <c r="Y803" t="str">
        <f t="shared" si="239"/>
        <v/>
      </c>
      <c r="Z803" t="str">
        <f t="shared" si="240"/>
        <v/>
      </c>
      <c r="AB803" t="str">
        <f t="shared" si="241"/>
        <v>https://shop.officineitalianezard.it/contents/imgs/products/1_1844-scarichi%20triumph%20t%20100.jpg</v>
      </c>
      <c r="AE803" t="b">
        <v>0</v>
      </c>
    </row>
    <row r="804" spans="1:31" x14ac:dyDescent="0.2">
      <c r="A804" t="str">
        <f t="shared" si="228"/>
        <v>https://shop.officineitalianezard.it/en/triumph-t100-exhaust-zard/</v>
      </c>
      <c r="B804" t="b">
        <f>COUNTIF($A$2:$A804, A804)&gt;1</f>
        <v>1</v>
      </c>
      <c r="C804" t="b">
        <f t="shared" si="229"/>
        <v>1</v>
      </c>
      <c r="D804">
        <f>VLOOKUP(A804,variant_counts!A:B, 2, FALSE)</f>
        <v>2</v>
      </c>
      <c r="E804" t="str">
        <f t="shared" si="242"/>
        <v>zard-exhaust-n-2-steel-silencers-triumph-bonneville-t100-my-2017-bottle-design-ztph070ssr</v>
      </c>
      <c r="F804" t="str">
        <f t="shared" si="230"/>
        <v>ZARD EXHAUST N. 2 STEEL SILENCERS TRIUMPH BONNEVILLE T100 M.Y. 2017 BOTTLE DESIGN ZTPH070SSR</v>
      </c>
      <c r="G804" t="str">
        <f t="shared" si="231"/>
        <v/>
      </c>
      <c r="H804" t="str">
        <f t="shared" si="243"/>
        <v/>
      </c>
      <c r="I804" t="str">
        <f t="shared" si="244"/>
        <v/>
      </c>
      <c r="J804" t="str">
        <f t="shared" si="245"/>
        <v/>
      </c>
      <c r="K804" t="str">
        <f t="shared" si="246"/>
        <v/>
      </c>
      <c r="L804" t="str">
        <f t="shared" si="232"/>
        <v>Option</v>
      </c>
      <c r="M804" t="str">
        <f t="shared" si="233"/>
        <v>BLACK COATING</v>
      </c>
      <c r="R804" t="str">
        <f t="shared" si="234"/>
        <v>ZTPH070SSR</v>
      </c>
      <c r="S804">
        <f t="shared" si="235"/>
        <v>0</v>
      </c>
      <c r="U804" t="str">
        <f t="shared" si="236"/>
        <v>continue</v>
      </c>
      <c r="V804" t="str">
        <f t="shared" si="237"/>
        <v>manual</v>
      </c>
      <c r="W804" s="5">
        <f t="shared" si="238"/>
        <v>826.40610000000004</v>
      </c>
      <c r="Y804" t="b">
        <f t="shared" si="239"/>
        <v>1</v>
      </c>
      <c r="Z804" t="b">
        <f t="shared" si="240"/>
        <v>0</v>
      </c>
      <c r="AB804" t="str">
        <f t="shared" si="241"/>
        <v/>
      </c>
      <c r="AE804" t="b">
        <v>0</v>
      </c>
    </row>
    <row r="805" spans="1:31" x14ac:dyDescent="0.2">
      <c r="A805" t="str">
        <f t="shared" si="228"/>
        <v>https://shop.officineitalianezard.it/en/triumph-t100-exhaust-zard/</v>
      </c>
      <c r="B805" t="b">
        <f>COUNTIF($A$2:$A805, A805)&gt;1</f>
        <v>1</v>
      </c>
      <c r="C805" t="b">
        <f t="shared" si="229"/>
        <v>1</v>
      </c>
      <c r="D805">
        <f>VLOOKUP(A805,variant_counts!A:B, 2, FALSE)</f>
        <v>2</v>
      </c>
      <c r="E805" t="str">
        <f t="shared" si="242"/>
        <v>zard-exhaust-n-2-steel-silencers-triumph-bonneville-t100-my-2017-bottle-design-ztph070ssr</v>
      </c>
      <c r="F805" t="str">
        <f t="shared" si="230"/>
        <v>ZARD EXHAUST N. 2 STEEL SILENCERS TRIUMPH BONNEVILLE T100 M.Y. 2017 BOTTLE DESIGN ZTPH070SSR</v>
      </c>
      <c r="G805" t="str">
        <f t="shared" si="231"/>
        <v/>
      </c>
      <c r="H805" t="str">
        <f t="shared" si="243"/>
        <v/>
      </c>
      <c r="I805" t="str">
        <f t="shared" si="244"/>
        <v/>
      </c>
      <c r="J805" t="str">
        <f t="shared" si="245"/>
        <v/>
      </c>
      <c r="K805" t="str">
        <f t="shared" si="246"/>
        <v/>
      </c>
      <c r="L805" t="str">
        <f t="shared" si="232"/>
        <v>Option</v>
      </c>
      <c r="M805" t="str">
        <f t="shared" si="233"/>
        <v>MIRROR POLISHED</v>
      </c>
      <c r="R805" t="str">
        <f t="shared" si="234"/>
        <v>ZTPH070SSR</v>
      </c>
      <c r="S805">
        <f t="shared" si="235"/>
        <v>0</v>
      </c>
      <c r="U805" t="str">
        <f t="shared" si="236"/>
        <v>continue</v>
      </c>
      <c r="V805" t="str">
        <f t="shared" si="237"/>
        <v>manual</v>
      </c>
      <c r="W805" s="5">
        <f t="shared" si="238"/>
        <v>791.19690000000014</v>
      </c>
      <c r="Y805" t="b">
        <f t="shared" si="239"/>
        <v>1</v>
      </c>
      <c r="Z805" t="b">
        <f t="shared" si="240"/>
        <v>0</v>
      </c>
      <c r="AB805" t="str">
        <f t="shared" si="241"/>
        <v/>
      </c>
      <c r="AE805" t="b">
        <v>0</v>
      </c>
    </row>
    <row r="806" spans="1:31" x14ac:dyDescent="0.2">
      <c r="A806" t="str">
        <f t="shared" si="228"/>
        <v>https://shop.officineitalianezard.it/en/low-mounted-full-kit-carburettor/</v>
      </c>
      <c r="B806" t="b">
        <f>COUNTIF($A$2:$A806, A806)&gt;1</f>
        <v>0</v>
      </c>
      <c r="C806" t="b">
        <f t="shared" si="229"/>
        <v>0</v>
      </c>
      <c r="D806">
        <f>VLOOKUP(A806,variant_counts!A:B, 2, FALSE)</f>
        <v>2</v>
      </c>
      <c r="E806" t="str">
        <f t="shared" si="242"/>
        <v>zard-exhaust-low-mounted-full-kit-carburettor-triumph-bonneville-carburettor-ztph-036-skb</v>
      </c>
      <c r="F806" t="str">
        <f t="shared" si="230"/>
        <v>ZARD EXHAUST LOW MOUNTED FULL KIT CARBURETTOR TRIUMPH BONNEVILLE CARBURETTOR ZTPH 036 SKB</v>
      </c>
      <c r="G806" t="str">
        <f t="shared" si="231"/>
        <v>&lt;p&gt;2&amp;gt;1 STEEL RACING FULL KIT&lt;/p&gt;
&lt;p&gt;ORIGINAL FULL KIT WEIGHT: KG 9.3&lt;br&gt;ZARD FULL KIT WEIGHT: KG 6.85&lt;/p&gt;
&lt;p&gt;VERY CONSISTENT INCREASE IN TERMS OF RESPONSE IN THE RANGE BETWEEN 4000 AND 6500 RPM AND 1.5 MORE HP COMPARED TO THE ORIGINAL EXHAUST SYSTEM. ASTONISHING SOUND.&lt;/p&gt;</v>
      </c>
      <c r="H806" t="str">
        <f t="shared" si="243"/>
        <v>ZARD</v>
      </c>
      <c r="I806" t="str">
        <f t="shared" si="244"/>
        <v>Exhaust Pipe</v>
      </c>
      <c r="J806" t="str">
        <f t="shared" si="245"/>
        <v>Test</v>
      </c>
      <c r="K806" t="b">
        <f t="shared" si="246"/>
        <v>0</v>
      </c>
      <c r="L806" t="str">
        <f t="shared" si="232"/>
        <v/>
      </c>
      <c r="M806" t="str">
        <f t="shared" si="233"/>
        <v/>
      </c>
      <c r="R806" t="str">
        <f t="shared" si="234"/>
        <v/>
      </c>
      <c r="S806" t="str">
        <f t="shared" si="235"/>
        <v/>
      </c>
      <c r="U806" t="str">
        <f t="shared" si="236"/>
        <v/>
      </c>
      <c r="V806" t="str">
        <f t="shared" si="237"/>
        <v/>
      </c>
      <c r="W806" s="5" t="str">
        <f t="shared" si="238"/>
        <v/>
      </c>
      <c r="Y806" t="str">
        <f t="shared" si="239"/>
        <v/>
      </c>
      <c r="Z806" t="str">
        <f t="shared" si="240"/>
        <v/>
      </c>
      <c r="AB806" t="str">
        <f t="shared" si="241"/>
        <v>https://shop.officineitalianezard.it/contents/imgs/products/1_20-2.jpg</v>
      </c>
      <c r="AE806" t="b">
        <v>0</v>
      </c>
    </row>
    <row r="807" spans="1:31" x14ac:dyDescent="0.2">
      <c r="A807" t="str">
        <f t="shared" si="228"/>
        <v>https://shop.officineitalianezard.it/en/low-mounted-full-kit-carburettor/</v>
      </c>
      <c r="B807" t="b">
        <f>COUNTIF($A$2:$A807, A807)&gt;1</f>
        <v>1</v>
      </c>
      <c r="C807" t="b">
        <f t="shared" si="229"/>
        <v>0</v>
      </c>
      <c r="D807">
        <f>VLOOKUP(A807,variant_counts!A:B, 2, FALSE)</f>
        <v>2</v>
      </c>
      <c r="E807" t="str">
        <f t="shared" si="242"/>
        <v>zard-exhaust-low-mounted-full-kit-carburettor-triumph-bonneville-carburettor-ztph-036-skb</v>
      </c>
      <c r="F807" t="str">
        <f t="shared" si="230"/>
        <v>ZARD EXHAUST LOW MOUNTED FULL KIT CARBURETTOR TRIUMPH BONNEVILLE CARBURETTOR ZTPH 036 SKB</v>
      </c>
      <c r="G807" t="str">
        <f t="shared" si="231"/>
        <v/>
      </c>
      <c r="H807" t="str">
        <f t="shared" si="243"/>
        <v/>
      </c>
      <c r="I807" t="str">
        <f t="shared" si="244"/>
        <v/>
      </c>
      <c r="J807" t="str">
        <f t="shared" si="245"/>
        <v/>
      </c>
      <c r="K807" t="str">
        <f t="shared" si="246"/>
        <v/>
      </c>
      <c r="L807" t="str">
        <f t="shared" si="232"/>
        <v/>
      </c>
      <c r="M807" t="str">
        <f t="shared" si="233"/>
        <v/>
      </c>
      <c r="R807" t="str">
        <f t="shared" si="234"/>
        <v/>
      </c>
      <c r="S807" t="str">
        <f t="shared" si="235"/>
        <v/>
      </c>
      <c r="U807" t="str">
        <f t="shared" si="236"/>
        <v/>
      </c>
      <c r="V807" t="str">
        <f t="shared" si="237"/>
        <v/>
      </c>
      <c r="W807" s="5" t="str">
        <f t="shared" si="238"/>
        <v/>
      </c>
      <c r="Y807" t="str">
        <f t="shared" si="239"/>
        <v/>
      </c>
      <c r="Z807" t="str">
        <f t="shared" si="240"/>
        <v/>
      </c>
      <c r="AB807" t="str">
        <f t="shared" si="241"/>
        <v>https://shop.officineitalianezard.it/contents/imgs/products/1_1002-ABASSO.jpg</v>
      </c>
      <c r="AE807" t="b">
        <v>0</v>
      </c>
    </row>
    <row r="808" spans="1:31" x14ac:dyDescent="0.2">
      <c r="A808" t="str">
        <f t="shared" si="228"/>
        <v>https://shop.officineitalianezard.it/en/low-mounted-full-kit-carburettor/</v>
      </c>
      <c r="B808" t="b">
        <f>COUNTIF($A$2:$A808, A808)&gt;1</f>
        <v>1</v>
      </c>
      <c r="C808" t="b">
        <f t="shared" si="229"/>
        <v>0</v>
      </c>
      <c r="D808">
        <f>VLOOKUP(A808,variant_counts!A:B, 2, FALSE)</f>
        <v>2</v>
      </c>
      <c r="E808" t="str">
        <f t="shared" si="242"/>
        <v>zard-exhaust-low-mounted-full-kit-carburettor-triumph-bonneville-carburettor-ztph-036-skb</v>
      </c>
      <c r="F808" t="str">
        <f t="shared" si="230"/>
        <v>ZARD EXHAUST LOW MOUNTED FULL KIT CARBURETTOR TRIUMPH BONNEVILLE CARBURETTOR ZTPH 036 SKB</v>
      </c>
      <c r="G808" t="str">
        <f t="shared" si="231"/>
        <v/>
      </c>
      <c r="H808" t="str">
        <f t="shared" si="243"/>
        <v/>
      </c>
      <c r="I808" t="str">
        <f t="shared" si="244"/>
        <v/>
      </c>
      <c r="J808" t="str">
        <f t="shared" si="245"/>
        <v/>
      </c>
      <c r="K808" t="str">
        <f t="shared" si="246"/>
        <v/>
      </c>
      <c r="L808" t="str">
        <f t="shared" si="232"/>
        <v/>
      </c>
      <c r="M808" t="str">
        <f t="shared" si="233"/>
        <v/>
      </c>
      <c r="R808" t="str">
        <f t="shared" si="234"/>
        <v/>
      </c>
      <c r="S808" t="str">
        <f t="shared" si="235"/>
        <v/>
      </c>
      <c r="U808" t="str">
        <f t="shared" si="236"/>
        <v/>
      </c>
      <c r="V808" t="str">
        <f t="shared" si="237"/>
        <v/>
      </c>
      <c r="W808" s="5" t="str">
        <f t="shared" si="238"/>
        <v/>
      </c>
      <c r="Y808" t="str">
        <f t="shared" si="239"/>
        <v/>
      </c>
      <c r="Z808" t="str">
        <f t="shared" si="240"/>
        <v/>
      </c>
      <c r="AB808" t="str">
        <f t="shared" si="241"/>
        <v>https://shop.officineitalianezard.it/contents/imgs/products/1_1003-bBASSO.jpg</v>
      </c>
      <c r="AE808" t="b">
        <v>0</v>
      </c>
    </row>
    <row r="809" spans="1:31" x14ac:dyDescent="0.2">
      <c r="A809" t="str">
        <f t="shared" si="228"/>
        <v>https://shop.officineitalianezard.it/en/low-mounted-full-kit-carburettor/</v>
      </c>
      <c r="B809" t="b">
        <f>COUNTIF($A$2:$A809, A809)&gt;1</f>
        <v>1</v>
      </c>
      <c r="C809" t="b">
        <f t="shared" si="229"/>
        <v>0</v>
      </c>
      <c r="D809">
        <f>VLOOKUP(A809,variant_counts!A:B, 2, FALSE)</f>
        <v>2</v>
      </c>
      <c r="E809" t="str">
        <f t="shared" si="242"/>
        <v>zard-exhaust-low-mounted-full-kit-carburettor-triumph-bonneville-carburettor-ztph-036-skb</v>
      </c>
      <c r="F809" t="str">
        <f t="shared" si="230"/>
        <v>ZARD EXHAUST LOW MOUNTED FULL KIT CARBURETTOR TRIUMPH BONNEVILLE CARBURETTOR ZTPH 036 SKB</v>
      </c>
      <c r="G809" t="str">
        <f t="shared" si="231"/>
        <v/>
      </c>
      <c r="H809" t="str">
        <f t="shared" si="243"/>
        <v/>
      </c>
      <c r="I809" t="str">
        <f t="shared" si="244"/>
        <v/>
      </c>
      <c r="J809" t="str">
        <f t="shared" si="245"/>
        <v/>
      </c>
      <c r="K809" t="str">
        <f t="shared" si="246"/>
        <v/>
      </c>
      <c r="L809" t="str">
        <f t="shared" si="232"/>
        <v/>
      </c>
      <c r="M809" t="str">
        <f t="shared" si="233"/>
        <v/>
      </c>
      <c r="R809" t="str">
        <f t="shared" si="234"/>
        <v/>
      </c>
      <c r="S809" t="str">
        <f t="shared" si="235"/>
        <v/>
      </c>
      <c r="U809" t="str">
        <f t="shared" si="236"/>
        <v/>
      </c>
      <c r="V809" t="str">
        <f t="shared" si="237"/>
        <v/>
      </c>
      <c r="W809" s="5" t="str">
        <f t="shared" si="238"/>
        <v/>
      </c>
      <c r="Y809" t="str">
        <f t="shared" si="239"/>
        <v/>
      </c>
      <c r="Z809" t="str">
        <f t="shared" si="240"/>
        <v/>
      </c>
      <c r="AB809" t="str">
        <f t="shared" si="241"/>
        <v>https://shop.officineitalianezard.it/contents/imgs/products/1_19-1.jpg</v>
      </c>
      <c r="AE809" t="b">
        <v>0</v>
      </c>
    </row>
    <row r="810" spans="1:31" x14ac:dyDescent="0.2">
      <c r="A810" t="str">
        <f t="shared" si="228"/>
        <v>https://shop.officineitalianezard.it/en/low-mounted-full-kit-carburettor/</v>
      </c>
      <c r="B810" t="b">
        <f>COUNTIF($A$2:$A810, A810)&gt;1</f>
        <v>1</v>
      </c>
      <c r="C810" t="b">
        <f t="shared" si="229"/>
        <v>1</v>
      </c>
      <c r="D810">
        <f>VLOOKUP(A810,variant_counts!A:B, 2, FALSE)</f>
        <v>2</v>
      </c>
      <c r="E810" t="str">
        <f t="shared" si="242"/>
        <v>zard-exhaust-low-mounted-full-kit-carburettor-triumph-bonneville-carburettor-ztph-036-skb</v>
      </c>
      <c r="F810" t="str">
        <f t="shared" si="230"/>
        <v>ZARD EXHAUST LOW MOUNTED FULL KIT CARBURETTOR TRIUMPH BONNEVILLE CARBURETTOR ZTPH 036 SKB</v>
      </c>
      <c r="G810" t="str">
        <f t="shared" si="231"/>
        <v/>
      </c>
      <c r="H810" t="str">
        <f t="shared" si="243"/>
        <v/>
      </c>
      <c r="I810" t="str">
        <f t="shared" si="244"/>
        <v/>
      </c>
      <c r="J810" t="str">
        <f t="shared" si="245"/>
        <v/>
      </c>
      <c r="K810" t="str">
        <f t="shared" si="246"/>
        <v/>
      </c>
      <c r="L810" t="str">
        <f t="shared" si="232"/>
        <v>Option</v>
      </c>
      <c r="M810" t="str">
        <f t="shared" si="233"/>
        <v>BLACK CERAMIC COATING</v>
      </c>
      <c r="R810" t="str">
        <f t="shared" si="234"/>
        <v>ZTPH 036 SKB</v>
      </c>
      <c r="S810">
        <f t="shared" si="235"/>
        <v>0</v>
      </c>
      <c r="U810" t="str">
        <f t="shared" si="236"/>
        <v>continue</v>
      </c>
      <c r="V810" t="str">
        <f t="shared" si="237"/>
        <v>manual</v>
      </c>
      <c r="W810" s="5">
        <f t="shared" si="238"/>
        <v>1067.2317</v>
      </c>
      <c r="Y810" t="b">
        <f t="shared" si="239"/>
        <v>1</v>
      </c>
      <c r="Z810" t="b">
        <f t="shared" si="240"/>
        <v>0</v>
      </c>
      <c r="AB810" t="str">
        <f t="shared" si="241"/>
        <v/>
      </c>
      <c r="AE810" t="b">
        <v>0</v>
      </c>
    </row>
    <row r="811" spans="1:31" x14ac:dyDescent="0.2">
      <c r="A811" t="str">
        <f t="shared" si="228"/>
        <v>https://shop.officineitalianezard.it/en/low-mounted-full-kit-carburettor/</v>
      </c>
      <c r="B811" t="b">
        <f>COUNTIF($A$2:$A811, A811)&gt;1</f>
        <v>1</v>
      </c>
      <c r="C811" t="b">
        <f t="shared" si="229"/>
        <v>1</v>
      </c>
      <c r="D811">
        <f>VLOOKUP(A811,variant_counts!A:B, 2, FALSE)</f>
        <v>2</v>
      </c>
      <c r="E811" t="str">
        <f t="shared" si="242"/>
        <v>zard-exhaust-low-mounted-full-kit-carburettor-triumph-bonneville-carburettor-ztph-036-skb</v>
      </c>
      <c r="F811" t="str">
        <f t="shared" si="230"/>
        <v>ZARD EXHAUST LOW MOUNTED FULL KIT CARBURETTOR TRIUMPH BONNEVILLE CARBURETTOR ZTPH 036 SKB</v>
      </c>
      <c r="G811" t="str">
        <f t="shared" si="231"/>
        <v/>
      </c>
      <c r="H811" t="str">
        <f t="shared" si="243"/>
        <v/>
      </c>
      <c r="I811" t="str">
        <f t="shared" si="244"/>
        <v/>
      </c>
      <c r="J811" t="str">
        <f t="shared" si="245"/>
        <v/>
      </c>
      <c r="K811" t="str">
        <f t="shared" si="246"/>
        <v/>
      </c>
      <c r="L811" t="str">
        <f t="shared" si="232"/>
        <v>Option</v>
      </c>
      <c r="M811" t="str">
        <f t="shared" si="233"/>
        <v>HOMOLOGATED</v>
      </c>
      <c r="R811" t="str">
        <f t="shared" si="234"/>
        <v>ZTPH 036 SKB</v>
      </c>
      <c r="S811">
        <f t="shared" si="235"/>
        <v>0</v>
      </c>
      <c r="U811" t="str">
        <f t="shared" si="236"/>
        <v>continue</v>
      </c>
      <c r="V811" t="str">
        <f t="shared" si="237"/>
        <v>manual</v>
      </c>
      <c r="W811" s="5">
        <f t="shared" si="238"/>
        <v>964.87860000000012</v>
      </c>
      <c r="Y811" t="b">
        <f t="shared" si="239"/>
        <v>1</v>
      </c>
      <c r="Z811" t="b">
        <f t="shared" si="240"/>
        <v>0</v>
      </c>
      <c r="AB811" t="str">
        <f t="shared" si="241"/>
        <v/>
      </c>
      <c r="AE811" t="b">
        <v>0</v>
      </c>
    </row>
    <row r="812" spans="1:31" x14ac:dyDescent="0.2">
      <c r="A812" t="str">
        <f t="shared" si="228"/>
        <v>https://shop.officineitalianezard.it/en/low-mounted-full-kit-injection/</v>
      </c>
      <c r="B812" t="b">
        <f>COUNTIF($A$2:$A812, A812)&gt;1</f>
        <v>0</v>
      </c>
      <c r="C812" t="b">
        <f t="shared" si="229"/>
        <v>0</v>
      </c>
      <c r="D812">
        <f>VLOOKUP(A812,variant_counts!A:B, 2, FALSE)</f>
        <v>2</v>
      </c>
      <c r="E812" t="str">
        <f t="shared" si="242"/>
        <v>zard-exhaust-low-mounted-full-kit-injection-triumph-bonneville-injection-ztph036skb-08</v>
      </c>
      <c r="F812" t="str">
        <f t="shared" si="230"/>
        <v>ZARD EXHAUST LOW MOUNTED FULL KIT  INJECTION TRIUMPH BONNEVILLE INJECTION ZTPH036SKB-08</v>
      </c>
      <c r="G812" t="str">
        <f t="shared" si="231"/>
        <v>&lt;p&gt;2&amp;gt;1 STEEL RACING FULL KIT&lt;/p&gt;
&lt;p&gt;ORIGINAL FULL KIT WEIGHT: KG 9.3&lt;br&gt;ZARD FULL KIT WEIGHT: KG 6.85&lt;/p&gt;
&lt;p&gt;VERY CONSISTENT INCREASE IN TERMS OF RESPONSE IN THE RANGE BETWEEN 4000 AND 6500 RPM AND 1.5 MORE HP COMPARED TO THE ORIGINAL EXHAUST SYSTEM. ASTONISHING SOUND.&lt;/p&gt;</v>
      </c>
      <c r="H812" t="str">
        <f t="shared" si="243"/>
        <v>ZARD</v>
      </c>
      <c r="I812" t="str">
        <f t="shared" si="244"/>
        <v>Exhaust Pipe</v>
      </c>
      <c r="J812" t="str">
        <f t="shared" si="245"/>
        <v>Test</v>
      </c>
      <c r="K812" t="b">
        <f t="shared" si="246"/>
        <v>0</v>
      </c>
      <c r="L812" t="str">
        <f t="shared" si="232"/>
        <v/>
      </c>
      <c r="M812" t="str">
        <f t="shared" si="233"/>
        <v/>
      </c>
      <c r="R812" t="str">
        <f t="shared" si="234"/>
        <v/>
      </c>
      <c r="S812" t="str">
        <f t="shared" si="235"/>
        <v/>
      </c>
      <c r="U812" t="str">
        <f t="shared" si="236"/>
        <v/>
      </c>
      <c r="V812" t="str">
        <f t="shared" si="237"/>
        <v/>
      </c>
      <c r="W812" s="5" t="str">
        <f t="shared" si="238"/>
        <v/>
      </c>
      <c r="Y812" t="str">
        <f t="shared" si="239"/>
        <v/>
      </c>
      <c r="Z812" t="str">
        <f t="shared" si="240"/>
        <v/>
      </c>
      <c r="AB812" t="str">
        <f t="shared" si="241"/>
        <v>https://shop.officineitalianezard.it/contents/imgs/products/1_18-2.jpg</v>
      </c>
      <c r="AE812" t="b">
        <v>0</v>
      </c>
    </row>
    <row r="813" spans="1:31" x14ac:dyDescent="0.2">
      <c r="A813" t="str">
        <f t="shared" si="228"/>
        <v>https://shop.officineitalianezard.it/en/low-mounted-full-kit-injection/</v>
      </c>
      <c r="B813" t="b">
        <f>COUNTIF($A$2:$A813, A813)&gt;1</f>
        <v>1</v>
      </c>
      <c r="C813" t="b">
        <f t="shared" si="229"/>
        <v>0</v>
      </c>
      <c r="D813">
        <f>VLOOKUP(A813,variant_counts!A:B, 2, FALSE)</f>
        <v>2</v>
      </c>
      <c r="E813" t="str">
        <f t="shared" si="242"/>
        <v>zard-exhaust-low-mounted-full-kit-injection-triumph-bonneville-injection-ztph036skb-08</v>
      </c>
      <c r="F813" t="str">
        <f t="shared" si="230"/>
        <v>ZARD EXHAUST LOW MOUNTED FULL KIT  INJECTION TRIUMPH BONNEVILLE INJECTION ZTPH036SKB-08</v>
      </c>
      <c r="G813" t="str">
        <f t="shared" si="231"/>
        <v/>
      </c>
      <c r="H813" t="str">
        <f t="shared" si="243"/>
        <v/>
      </c>
      <c r="I813" t="str">
        <f t="shared" si="244"/>
        <v/>
      </c>
      <c r="J813" t="str">
        <f t="shared" si="245"/>
        <v/>
      </c>
      <c r="K813" t="str">
        <f t="shared" si="246"/>
        <v/>
      </c>
      <c r="L813" t="str">
        <f t="shared" si="232"/>
        <v/>
      </c>
      <c r="M813" t="str">
        <f t="shared" si="233"/>
        <v/>
      </c>
      <c r="R813" t="str">
        <f t="shared" si="234"/>
        <v/>
      </c>
      <c r="S813" t="str">
        <f t="shared" si="235"/>
        <v/>
      </c>
      <c r="U813" t="str">
        <f t="shared" si="236"/>
        <v/>
      </c>
      <c r="V813" t="str">
        <f t="shared" si="237"/>
        <v/>
      </c>
      <c r="W813" s="5" t="str">
        <f t="shared" si="238"/>
        <v/>
      </c>
      <c r="Y813" t="str">
        <f t="shared" si="239"/>
        <v/>
      </c>
      <c r="Z813" t="str">
        <f t="shared" si="240"/>
        <v/>
      </c>
      <c r="AB813" t="str">
        <f t="shared" si="241"/>
        <v>https://shop.officineitalianezard.it/contents/imgs/products/1_17-1.jpg</v>
      </c>
      <c r="AE813" t="b">
        <v>0</v>
      </c>
    </row>
    <row r="814" spans="1:31" x14ac:dyDescent="0.2">
      <c r="A814" t="str">
        <f t="shared" si="228"/>
        <v>https://shop.officineitalianezard.it/en/low-mounted-full-kit-injection/</v>
      </c>
      <c r="B814" t="b">
        <f>COUNTIF($A$2:$A814, A814)&gt;1</f>
        <v>1</v>
      </c>
      <c r="C814" t="b">
        <f t="shared" si="229"/>
        <v>0</v>
      </c>
      <c r="D814">
        <f>VLOOKUP(A814,variant_counts!A:B, 2, FALSE)</f>
        <v>2</v>
      </c>
      <c r="E814" t="str">
        <f t="shared" si="242"/>
        <v>zard-exhaust-low-mounted-full-kit-injection-triumph-bonneville-injection-ztph036skb-08</v>
      </c>
      <c r="F814" t="str">
        <f t="shared" si="230"/>
        <v>ZARD EXHAUST LOW MOUNTED FULL KIT  INJECTION TRIUMPH BONNEVILLE INJECTION ZTPH036SKB-08</v>
      </c>
      <c r="G814" t="str">
        <f t="shared" si="231"/>
        <v/>
      </c>
      <c r="H814" t="str">
        <f t="shared" si="243"/>
        <v/>
      </c>
      <c r="I814" t="str">
        <f t="shared" si="244"/>
        <v/>
      </c>
      <c r="J814" t="str">
        <f t="shared" si="245"/>
        <v/>
      </c>
      <c r="K814" t="str">
        <f t="shared" si="246"/>
        <v/>
      </c>
      <c r="L814" t="str">
        <f t="shared" si="232"/>
        <v/>
      </c>
      <c r="M814" t="str">
        <f t="shared" si="233"/>
        <v/>
      </c>
      <c r="R814" t="str">
        <f t="shared" si="234"/>
        <v/>
      </c>
      <c r="S814" t="str">
        <f t="shared" si="235"/>
        <v/>
      </c>
      <c r="U814" t="str">
        <f t="shared" si="236"/>
        <v/>
      </c>
      <c r="V814" t="str">
        <f t="shared" si="237"/>
        <v/>
      </c>
      <c r="W814" s="5" t="str">
        <f t="shared" si="238"/>
        <v/>
      </c>
      <c r="Y814" t="str">
        <f t="shared" si="239"/>
        <v/>
      </c>
      <c r="Z814" t="str">
        <f t="shared" si="240"/>
        <v/>
      </c>
      <c r="AB814" t="str">
        <f t="shared" si="241"/>
        <v>https://shop.officineitalianezard.it/contents/imgs/products/1_1004-ABASSO.jpg</v>
      </c>
      <c r="AE814" t="b">
        <v>0</v>
      </c>
    </row>
    <row r="815" spans="1:31" x14ac:dyDescent="0.2">
      <c r="A815" t="str">
        <f t="shared" si="228"/>
        <v>https://shop.officineitalianezard.it/en/low-mounted-full-kit-injection/</v>
      </c>
      <c r="B815" t="b">
        <f>COUNTIF($A$2:$A815, A815)&gt;1</f>
        <v>1</v>
      </c>
      <c r="C815" t="b">
        <f t="shared" si="229"/>
        <v>0</v>
      </c>
      <c r="D815">
        <f>VLOOKUP(A815,variant_counts!A:B, 2, FALSE)</f>
        <v>2</v>
      </c>
      <c r="E815" t="str">
        <f t="shared" si="242"/>
        <v>zard-exhaust-low-mounted-full-kit-injection-triumph-bonneville-injection-ztph036skb-08</v>
      </c>
      <c r="F815" t="str">
        <f t="shared" si="230"/>
        <v>ZARD EXHAUST LOW MOUNTED FULL KIT  INJECTION TRIUMPH BONNEVILLE INJECTION ZTPH036SKB-08</v>
      </c>
      <c r="G815" t="str">
        <f t="shared" si="231"/>
        <v/>
      </c>
      <c r="H815" t="str">
        <f t="shared" si="243"/>
        <v/>
      </c>
      <c r="I815" t="str">
        <f t="shared" si="244"/>
        <v/>
      </c>
      <c r="J815" t="str">
        <f t="shared" si="245"/>
        <v/>
      </c>
      <c r="K815" t="str">
        <f t="shared" si="246"/>
        <v/>
      </c>
      <c r="L815" t="str">
        <f t="shared" si="232"/>
        <v/>
      </c>
      <c r="M815" t="str">
        <f t="shared" si="233"/>
        <v/>
      </c>
      <c r="R815" t="str">
        <f t="shared" si="234"/>
        <v/>
      </c>
      <c r="S815" t="str">
        <f t="shared" si="235"/>
        <v/>
      </c>
      <c r="U815" t="str">
        <f t="shared" si="236"/>
        <v/>
      </c>
      <c r="V815" t="str">
        <f t="shared" si="237"/>
        <v/>
      </c>
      <c r="W815" s="5" t="str">
        <f t="shared" si="238"/>
        <v/>
      </c>
      <c r="Y815" t="str">
        <f t="shared" si="239"/>
        <v/>
      </c>
      <c r="Z815" t="str">
        <f t="shared" si="240"/>
        <v/>
      </c>
      <c r="AB815" t="str">
        <f t="shared" si="241"/>
        <v>https://shop.officineitalianezard.it/contents/imgs/products/1_1005-bBASSO.jpg</v>
      </c>
      <c r="AE815" t="b">
        <v>0</v>
      </c>
    </row>
    <row r="816" spans="1:31" x14ac:dyDescent="0.2">
      <c r="A816" t="str">
        <f t="shared" si="228"/>
        <v>https://shop.officineitalianezard.it/en/low-mounted-full-kit-injection/</v>
      </c>
      <c r="B816" t="b">
        <f>COUNTIF($A$2:$A816, A816)&gt;1</f>
        <v>1</v>
      </c>
      <c r="C816" t="b">
        <f t="shared" si="229"/>
        <v>1</v>
      </c>
      <c r="D816">
        <f>VLOOKUP(A816,variant_counts!A:B, 2, FALSE)</f>
        <v>2</v>
      </c>
      <c r="E816" t="str">
        <f t="shared" si="242"/>
        <v>zard-exhaust-low-mounted-full-kit-injection-triumph-bonneville-injection-ztph036skb-08</v>
      </c>
      <c r="F816" t="str">
        <f t="shared" si="230"/>
        <v>ZARD EXHAUST LOW MOUNTED FULL KIT  INJECTION TRIUMPH BONNEVILLE INJECTION ZTPH036SKB-08</v>
      </c>
      <c r="G816" t="str">
        <f t="shared" si="231"/>
        <v/>
      </c>
      <c r="H816" t="str">
        <f t="shared" si="243"/>
        <v/>
      </c>
      <c r="I816" t="str">
        <f t="shared" si="244"/>
        <v/>
      </c>
      <c r="J816" t="str">
        <f t="shared" si="245"/>
        <v/>
      </c>
      <c r="K816" t="str">
        <f t="shared" si="246"/>
        <v/>
      </c>
      <c r="L816" t="str">
        <f t="shared" si="232"/>
        <v>Option</v>
      </c>
      <c r="M816" t="str">
        <f t="shared" si="233"/>
        <v>BLACK COATING</v>
      </c>
      <c r="R816" t="str">
        <f t="shared" si="234"/>
        <v>ZTPH036SKB-08</v>
      </c>
      <c r="S816">
        <f t="shared" si="235"/>
        <v>0</v>
      </c>
      <c r="U816" t="str">
        <f t="shared" si="236"/>
        <v>continue</v>
      </c>
      <c r="V816" t="str">
        <f t="shared" si="237"/>
        <v>manual</v>
      </c>
      <c r="W816" s="5">
        <f t="shared" si="238"/>
        <v>1067.2317</v>
      </c>
      <c r="Y816" t="b">
        <f t="shared" si="239"/>
        <v>1</v>
      </c>
      <c r="Z816" t="b">
        <f t="shared" si="240"/>
        <v>0</v>
      </c>
      <c r="AB816" t="str">
        <f t="shared" si="241"/>
        <v/>
      </c>
      <c r="AE816" t="b">
        <v>0</v>
      </c>
    </row>
    <row r="817" spans="1:31" x14ac:dyDescent="0.2">
      <c r="A817" t="str">
        <f t="shared" si="228"/>
        <v>https://shop.officineitalianezard.it/en/low-mounted-full-kit-injection/</v>
      </c>
      <c r="B817" t="b">
        <f>COUNTIF($A$2:$A817, A817)&gt;1</f>
        <v>1</v>
      </c>
      <c r="C817" t="b">
        <f t="shared" si="229"/>
        <v>1</v>
      </c>
      <c r="D817">
        <f>VLOOKUP(A817,variant_counts!A:B, 2, FALSE)</f>
        <v>2</v>
      </c>
      <c r="E817" t="str">
        <f t="shared" si="242"/>
        <v>zard-exhaust-low-mounted-full-kit-injection-triumph-bonneville-injection-ztph036skb-08</v>
      </c>
      <c r="F817" t="str">
        <f t="shared" si="230"/>
        <v>ZARD EXHAUST LOW MOUNTED FULL KIT  INJECTION TRIUMPH BONNEVILLE INJECTION ZTPH036SKB-08</v>
      </c>
      <c r="G817" t="str">
        <f t="shared" si="231"/>
        <v/>
      </c>
      <c r="H817" t="str">
        <f t="shared" si="243"/>
        <v/>
      </c>
      <c r="I817" t="str">
        <f t="shared" si="244"/>
        <v/>
      </c>
      <c r="J817" t="str">
        <f t="shared" si="245"/>
        <v/>
      </c>
      <c r="K817" t="str">
        <f t="shared" si="246"/>
        <v/>
      </c>
      <c r="L817" t="str">
        <f t="shared" si="232"/>
        <v>Option</v>
      </c>
      <c r="M817" t="str">
        <f t="shared" si="233"/>
        <v>CATALYZED</v>
      </c>
      <c r="R817" t="str">
        <f t="shared" si="234"/>
        <v>ZTPH036SKB-08</v>
      </c>
      <c r="S817">
        <f t="shared" si="235"/>
        <v>0</v>
      </c>
      <c r="U817" t="str">
        <f t="shared" si="236"/>
        <v>continue</v>
      </c>
      <c r="V817" t="str">
        <f t="shared" si="237"/>
        <v>manual</v>
      </c>
      <c r="W817" s="5">
        <f t="shared" si="238"/>
        <v>1104.0837000000001</v>
      </c>
      <c r="Y817" t="b">
        <f t="shared" si="239"/>
        <v>1</v>
      </c>
      <c r="Z817" t="b">
        <f t="shared" si="240"/>
        <v>0</v>
      </c>
      <c r="AB817" t="str">
        <f t="shared" si="241"/>
        <v/>
      </c>
      <c r="AE817" t="b">
        <v>0</v>
      </c>
    </row>
    <row r="818" spans="1:31" x14ac:dyDescent="0.2">
      <c r="A818" t="str">
        <f t="shared" si="228"/>
        <v>https://shop.officineitalianezard.it/en/full-kit-cross-version-3/</v>
      </c>
      <c r="B818" t="b">
        <f>COUNTIF($A$2:$A818, A818)&gt;1</f>
        <v>0</v>
      </c>
      <c r="C818" t="b">
        <f t="shared" si="229"/>
        <v>0</v>
      </c>
      <c r="D818">
        <f>VLOOKUP(A818,variant_counts!A:B, 2, FALSE)</f>
        <v>1</v>
      </c>
      <c r="E818" t="str">
        <f t="shared" si="242"/>
        <v>zard-exhaust-full-kit-cross-version-triumph-bonneville-carburettor-ztph-034-skc</v>
      </c>
      <c r="F818" t="str">
        <f t="shared" si="230"/>
        <v>ZARD EXHAUST FULL KIT CROSS VERSION TRIUMPH BONNEVILLE CARBURETTOR ZTPH 034 SKC</v>
      </c>
      <c r="G818" t="str">
        <f t="shared" si="231"/>
        <v>&lt;p&gt;STEEL FULL KIT AVAILABLE IN RACING VERSION WITH REMOVABLE DB-KILLER&lt;/p&gt;
&lt;p&gt;ORIGINAL FULL KIT WEIGHT: KG 9.3&lt;br&gt;ZARD FULL KIT WEIGHT: KG 2.2&lt;/p&gt;
&lt;p&gt;HARD INCREASE IN TERMS OF RESPONSE IN THE RANGE BETWEEN 4000 AND 6500 RPM AND 3 MORE HP COMPARED TO THE DEFAULT EXHAUST SYSTEM. ASTONISHING SOUND.&lt;/p&gt;</v>
      </c>
      <c r="H818" t="str">
        <f t="shared" si="243"/>
        <v>ZARD</v>
      </c>
      <c r="I818" t="str">
        <f t="shared" si="244"/>
        <v>Exhaust Pipe</v>
      </c>
      <c r="J818" t="str">
        <f t="shared" si="245"/>
        <v>Test</v>
      </c>
      <c r="K818" t="b">
        <f t="shared" si="246"/>
        <v>0</v>
      </c>
      <c r="L818" t="str">
        <f t="shared" si="232"/>
        <v>Option</v>
      </c>
      <c r="M818" t="str">
        <f t="shared" si="233"/>
        <v>DEFAULT</v>
      </c>
      <c r="R818" t="str">
        <f t="shared" si="234"/>
        <v>ZTPH 034 SKC</v>
      </c>
      <c r="S818">
        <f t="shared" si="235"/>
        <v>0</v>
      </c>
      <c r="U818" t="str">
        <f t="shared" si="236"/>
        <v>continue</v>
      </c>
      <c r="V818" t="str">
        <f t="shared" si="237"/>
        <v>manual</v>
      </c>
      <c r="W818" s="5">
        <f t="shared" si="238"/>
        <v>852.51330000000007</v>
      </c>
      <c r="Y818" t="b">
        <f t="shared" si="239"/>
        <v>1</v>
      </c>
      <c r="Z818" t="b">
        <f t="shared" si="240"/>
        <v>0</v>
      </c>
      <c r="AB818" t="str">
        <f t="shared" si="241"/>
        <v>https://shop.officineitalianezard.it/contents/imgs/products/1_1212-zard%20cross.jpg</v>
      </c>
      <c r="AE818" t="b">
        <v>0</v>
      </c>
    </row>
    <row r="819" spans="1:31" x14ac:dyDescent="0.2">
      <c r="A819" t="str">
        <f t="shared" si="228"/>
        <v>https://shop.officineitalianezard.it/en/full-kit-cross-version-3/</v>
      </c>
      <c r="B819" t="b">
        <f>COUNTIF($A$2:$A819, A819)&gt;1</f>
        <v>1</v>
      </c>
      <c r="C819" t="b">
        <f t="shared" si="229"/>
        <v>0</v>
      </c>
      <c r="D819">
        <f>VLOOKUP(A819,variant_counts!A:B, 2, FALSE)</f>
        <v>1</v>
      </c>
      <c r="E819" t="str">
        <f t="shared" si="242"/>
        <v>zard-exhaust-full-kit-cross-version-triumph-bonneville-carburettor-ztph-034-skc</v>
      </c>
      <c r="F819" t="str">
        <f t="shared" si="230"/>
        <v>ZARD EXHAUST FULL KIT CROSS VERSION TRIUMPH BONNEVILLE CARBURETTOR ZTPH 034 SKC</v>
      </c>
      <c r="G819" t="str">
        <f t="shared" si="231"/>
        <v/>
      </c>
      <c r="H819" t="str">
        <f t="shared" si="243"/>
        <v/>
      </c>
      <c r="I819" t="str">
        <f t="shared" si="244"/>
        <v/>
      </c>
      <c r="J819" t="str">
        <f t="shared" si="245"/>
        <v/>
      </c>
      <c r="K819" t="str">
        <f t="shared" si="246"/>
        <v/>
      </c>
      <c r="L819" t="str">
        <f t="shared" si="232"/>
        <v/>
      </c>
      <c r="M819" t="str">
        <f t="shared" si="233"/>
        <v/>
      </c>
      <c r="R819" t="str">
        <f t="shared" si="234"/>
        <v/>
      </c>
      <c r="S819" t="str">
        <f t="shared" si="235"/>
        <v/>
      </c>
      <c r="U819" t="str">
        <f t="shared" si="236"/>
        <v/>
      </c>
      <c r="V819" t="str">
        <f t="shared" si="237"/>
        <v/>
      </c>
      <c r="W819" s="5" t="str">
        <f t="shared" si="238"/>
        <v/>
      </c>
      <c r="Y819" t="str">
        <f t="shared" si="239"/>
        <v/>
      </c>
      <c r="Z819" t="str">
        <f t="shared" si="240"/>
        <v/>
      </c>
      <c r="AB819" t="str">
        <f t="shared" si="241"/>
        <v>https://shop.officineitalianezard.it/contents/imgs/products/1_38-2.jpg</v>
      </c>
      <c r="AE819" t="b">
        <v>0</v>
      </c>
    </row>
    <row r="820" spans="1:31" x14ac:dyDescent="0.2">
      <c r="A820" t="str">
        <f t="shared" si="228"/>
        <v>https://shop.officineitalianezard.it/en/full-kit-cross-version-3/</v>
      </c>
      <c r="B820" t="b">
        <f>COUNTIF($A$2:$A820, A820)&gt;1</f>
        <v>1</v>
      </c>
      <c r="C820" t="b">
        <f t="shared" si="229"/>
        <v>0</v>
      </c>
      <c r="D820">
        <f>VLOOKUP(A820,variant_counts!A:B, 2, FALSE)</f>
        <v>1</v>
      </c>
      <c r="E820" t="str">
        <f t="shared" si="242"/>
        <v>zard-exhaust-full-kit-cross-version-triumph-bonneville-carburettor-ztph-034-skc</v>
      </c>
      <c r="F820" t="str">
        <f t="shared" si="230"/>
        <v>ZARD EXHAUST FULL KIT CROSS VERSION TRIUMPH BONNEVILLE CARBURETTOR ZTPH 034 SKC</v>
      </c>
      <c r="G820" t="str">
        <f t="shared" si="231"/>
        <v/>
      </c>
      <c r="H820" t="str">
        <f t="shared" si="243"/>
        <v/>
      </c>
      <c r="I820" t="str">
        <f t="shared" si="244"/>
        <v/>
      </c>
      <c r="J820" t="str">
        <f t="shared" si="245"/>
        <v/>
      </c>
      <c r="K820" t="str">
        <f t="shared" si="246"/>
        <v/>
      </c>
      <c r="L820" t="str">
        <f t="shared" si="232"/>
        <v/>
      </c>
      <c r="M820" t="str">
        <f t="shared" si="233"/>
        <v/>
      </c>
      <c r="R820" t="str">
        <f t="shared" si="234"/>
        <v/>
      </c>
      <c r="S820" t="str">
        <f t="shared" si="235"/>
        <v/>
      </c>
      <c r="U820" t="str">
        <f t="shared" si="236"/>
        <v/>
      </c>
      <c r="V820" t="str">
        <f t="shared" si="237"/>
        <v/>
      </c>
      <c r="W820" s="5" t="str">
        <f t="shared" si="238"/>
        <v/>
      </c>
      <c r="Y820" t="str">
        <f t="shared" si="239"/>
        <v/>
      </c>
      <c r="Z820" t="str">
        <f t="shared" si="240"/>
        <v/>
      </c>
      <c r="AB820" t="str">
        <f t="shared" si="241"/>
        <v>https://shop.officineitalianezard.it/contents/imgs/products/1_944-scarichi%20moto%20zard%20cross.jpg</v>
      </c>
      <c r="AE820" t="b">
        <v>0</v>
      </c>
    </row>
    <row r="821" spans="1:31" x14ac:dyDescent="0.2">
      <c r="A821" t="str">
        <f t="shared" si="228"/>
        <v>https://shop.officineitalianezard.it/en/full-kit-cross-version-3/</v>
      </c>
      <c r="B821" t="b">
        <f>COUNTIF($A$2:$A821, A821)&gt;1</f>
        <v>1</v>
      </c>
      <c r="C821" t="b">
        <f t="shared" si="229"/>
        <v>0</v>
      </c>
      <c r="D821">
        <f>VLOOKUP(A821,variant_counts!A:B, 2, FALSE)</f>
        <v>1</v>
      </c>
      <c r="E821" t="str">
        <f t="shared" si="242"/>
        <v>zard-exhaust-full-kit-cross-version-triumph-bonneville-carburettor-ztph-034-skc</v>
      </c>
      <c r="F821" t="str">
        <f t="shared" si="230"/>
        <v>ZARD EXHAUST FULL KIT CROSS VERSION TRIUMPH BONNEVILLE CARBURETTOR ZTPH 034 SKC</v>
      </c>
      <c r="G821" t="str">
        <f t="shared" si="231"/>
        <v/>
      </c>
      <c r="H821" t="str">
        <f t="shared" si="243"/>
        <v/>
      </c>
      <c r="I821" t="str">
        <f t="shared" si="244"/>
        <v/>
      </c>
      <c r="J821" t="str">
        <f t="shared" si="245"/>
        <v/>
      </c>
      <c r="K821" t="str">
        <f t="shared" si="246"/>
        <v/>
      </c>
      <c r="L821" t="str">
        <f t="shared" si="232"/>
        <v/>
      </c>
      <c r="M821" t="str">
        <f t="shared" si="233"/>
        <v/>
      </c>
      <c r="R821" t="str">
        <f t="shared" si="234"/>
        <v/>
      </c>
      <c r="S821" t="str">
        <f t="shared" si="235"/>
        <v/>
      </c>
      <c r="U821" t="str">
        <f t="shared" si="236"/>
        <v/>
      </c>
      <c r="V821" t="str">
        <f t="shared" si="237"/>
        <v/>
      </c>
      <c r="W821" s="5" t="str">
        <f t="shared" si="238"/>
        <v/>
      </c>
      <c r="Y821" t="str">
        <f t="shared" si="239"/>
        <v/>
      </c>
      <c r="Z821" t="str">
        <f t="shared" si="240"/>
        <v/>
      </c>
      <c r="AB821" t="str">
        <f t="shared" si="241"/>
        <v>https://shop.officineitalianezard.it/contents/imgs/products/1_1143-11017541_10153917985646632_8025402486644623573_n.jpg</v>
      </c>
      <c r="AE821" t="b">
        <v>0</v>
      </c>
    </row>
    <row r="822" spans="1:31" x14ac:dyDescent="0.2">
      <c r="A822" t="str">
        <f t="shared" si="228"/>
        <v>https://shop.officineitalianezard.it/en/full-kit-cross-version-3/</v>
      </c>
      <c r="B822" t="b">
        <f>COUNTIF($A$2:$A822, A822)&gt;1</f>
        <v>1</v>
      </c>
      <c r="C822" t="b">
        <f t="shared" si="229"/>
        <v>0</v>
      </c>
      <c r="D822">
        <f>VLOOKUP(A822,variant_counts!A:B, 2, FALSE)</f>
        <v>1</v>
      </c>
      <c r="E822" t="str">
        <f t="shared" si="242"/>
        <v>zard-exhaust-full-kit-cross-version-triumph-bonneville-carburettor-ztph-034-skc</v>
      </c>
      <c r="F822" t="str">
        <f t="shared" si="230"/>
        <v>ZARD EXHAUST FULL KIT CROSS VERSION TRIUMPH BONNEVILLE CARBURETTOR ZTPH 034 SKC</v>
      </c>
      <c r="G822" t="str">
        <f t="shared" si="231"/>
        <v/>
      </c>
      <c r="H822" t="str">
        <f t="shared" si="243"/>
        <v/>
      </c>
      <c r="I822" t="str">
        <f t="shared" si="244"/>
        <v/>
      </c>
      <c r="J822" t="str">
        <f t="shared" si="245"/>
        <v/>
      </c>
      <c r="K822" t="str">
        <f t="shared" si="246"/>
        <v/>
      </c>
      <c r="L822" t="str">
        <f t="shared" si="232"/>
        <v/>
      </c>
      <c r="M822" t="str">
        <f t="shared" si="233"/>
        <v/>
      </c>
      <c r="R822" t="str">
        <f t="shared" si="234"/>
        <v/>
      </c>
      <c r="S822" t="str">
        <f t="shared" si="235"/>
        <v/>
      </c>
      <c r="U822" t="str">
        <f t="shared" si="236"/>
        <v/>
      </c>
      <c r="V822" t="str">
        <f t="shared" si="237"/>
        <v/>
      </c>
      <c r="W822" s="5" t="str">
        <f t="shared" si="238"/>
        <v/>
      </c>
      <c r="Y822" t="str">
        <f t="shared" si="239"/>
        <v/>
      </c>
      <c r="Z822" t="str">
        <f t="shared" si="240"/>
        <v/>
      </c>
      <c r="AB822" t="str">
        <f t="shared" si="241"/>
        <v>https://shop.officineitalianezard.it/contents/imgs/products/1_1142-11259175_10153917986126632_709285374156847894_n.jpg</v>
      </c>
      <c r="AE822" t="b">
        <v>0</v>
      </c>
    </row>
    <row r="823" spans="1:31" x14ac:dyDescent="0.2">
      <c r="A823" t="str">
        <f t="shared" si="228"/>
        <v>https://shop.officineitalianezard.it/en/full-kit-cross-version-3/</v>
      </c>
      <c r="B823" t="b">
        <f>COUNTIF($A$2:$A823, A823)&gt;1</f>
        <v>1</v>
      </c>
      <c r="C823" t="b">
        <f t="shared" si="229"/>
        <v>1</v>
      </c>
      <c r="D823">
        <f>VLOOKUP(A823,variant_counts!A:B, 2, FALSE)</f>
        <v>1</v>
      </c>
      <c r="E823" t="str">
        <f t="shared" si="242"/>
        <v>zard-exhaust-full-kit-cross-version-triumph-bonneville-carburettor-ztph-034-skc</v>
      </c>
      <c r="F823" t="str">
        <f t="shared" si="230"/>
        <v>ZARD EXHAUST FULL KIT CROSS VERSION TRIUMPH BONNEVILLE CARBURETTOR ZTPH 034 SKC</v>
      </c>
      <c r="G823" t="str">
        <f t="shared" si="231"/>
        <v/>
      </c>
      <c r="H823" t="str">
        <f t="shared" si="243"/>
        <v/>
      </c>
      <c r="I823" t="str">
        <f t="shared" si="244"/>
        <v/>
      </c>
      <c r="J823" t="str">
        <f t="shared" si="245"/>
        <v/>
      </c>
      <c r="K823" t="str">
        <f t="shared" si="246"/>
        <v/>
      </c>
      <c r="L823" t="str">
        <f t="shared" si="232"/>
        <v>Option</v>
      </c>
      <c r="M823" t="str">
        <f t="shared" si="233"/>
        <v>BLACK CERAMIC COATING</v>
      </c>
      <c r="R823" t="str">
        <f t="shared" si="234"/>
        <v>ZTPH 034 SKC</v>
      </c>
      <c r="S823">
        <f t="shared" si="235"/>
        <v>0</v>
      </c>
      <c r="U823" t="str">
        <f t="shared" si="236"/>
        <v>continue</v>
      </c>
      <c r="V823" t="str">
        <f t="shared" si="237"/>
        <v>manual</v>
      </c>
      <c r="W823" s="5">
        <f t="shared" si="238"/>
        <v>1040.847</v>
      </c>
      <c r="Y823" t="b">
        <f t="shared" si="239"/>
        <v>1</v>
      </c>
      <c r="Z823" t="b">
        <f t="shared" si="240"/>
        <v>0</v>
      </c>
      <c r="AB823" t="str">
        <f t="shared" si="241"/>
        <v/>
      </c>
      <c r="AE823" t="b">
        <v>0</v>
      </c>
    </row>
    <row r="824" spans="1:31" x14ac:dyDescent="0.2">
      <c r="A824" t="str">
        <f t="shared" si="228"/>
        <v>https://shop.officineitalianezard.it/en/full-kit-cross-version/</v>
      </c>
      <c r="B824" t="b">
        <f>COUNTIF($A$2:$A824, A824)&gt;1</f>
        <v>0</v>
      </c>
      <c r="C824" t="b">
        <f t="shared" si="229"/>
        <v>0</v>
      </c>
      <c r="D824">
        <f>VLOOKUP(A824,variant_counts!A:B, 2, FALSE)</f>
        <v>2</v>
      </c>
      <c r="E824" t="str">
        <f t="shared" si="242"/>
        <v>zard-exhaust-full-kit-cross-version-triumph-bonneville-injection-ztph034skc-08</v>
      </c>
      <c r="F824" t="str">
        <f t="shared" si="230"/>
        <v>ZARD EXHAUST FULL KIT CROSS VERSION TRIUMPH BONNEVILLE INJECTION ZTPH034SKC-08</v>
      </c>
      <c r="G824" t="str">
        <f t="shared" si="231"/>
        <v>&lt;p&gt;2&amp;gt;1 STEEL FULL KIT AVAILABLE IN RACING VERSION WITH REMOVABLE DB-KILLER&lt;/p&gt;
&lt;p&gt;ORIGINAL FULL KIT WEIGHT: KG 9.3&lt;br&gt;ZARD FULL KIT WEIGHT: KG 2.2&lt;/p&gt;
&lt;p&gt;HARD INCREASE IN TERMS OF RESPONSE IN THE RANGE BETWEEN 4000 AND 6500 RPM AND 3 MORE HP COMPARED TO THE ORIGINAL EXHAUST SYSTEM. ASTONISHING SOUND.&lt;/p&gt;</v>
      </c>
      <c r="H824" t="str">
        <f t="shared" si="243"/>
        <v>ZARD</v>
      </c>
      <c r="I824" t="str">
        <f t="shared" si="244"/>
        <v>Exhaust Pipe</v>
      </c>
      <c r="J824" t="str">
        <f t="shared" si="245"/>
        <v>Test</v>
      </c>
      <c r="K824" t="b">
        <f t="shared" si="246"/>
        <v>0</v>
      </c>
      <c r="L824" t="str">
        <f t="shared" si="232"/>
        <v/>
      </c>
      <c r="M824" t="str">
        <f t="shared" si="233"/>
        <v/>
      </c>
      <c r="R824" t="str">
        <f t="shared" si="234"/>
        <v/>
      </c>
      <c r="S824" t="str">
        <f t="shared" si="235"/>
        <v/>
      </c>
      <c r="U824" t="str">
        <f t="shared" si="236"/>
        <v/>
      </c>
      <c r="V824" t="str">
        <f t="shared" si="237"/>
        <v/>
      </c>
      <c r="W824" s="5" t="str">
        <f t="shared" si="238"/>
        <v/>
      </c>
      <c r="Y824" t="str">
        <f t="shared" si="239"/>
        <v/>
      </c>
      <c r="Z824" t="str">
        <f t="shared" si="240"/>
        <v/>
      </c>
      <c r="AB824" t="str">
        <f t="shared" si="241"/>
        <v>https://shop.officineitalianezard.it/contents/imgs/products/1_1213-zard%20cross.jpg</v>
      </c>
      <c r="AE824" t="b">
        <v>0</v>
      </c>
    </row>
    <row r="825" spans="1:31" x14ac:dyDescent="0.2">
      <c r="A825" t="str">
        <f t="shared" si="228"/>
        <v>https://shop.officineitalianezard.it/en/full-kit-cross-version/</v>
      </c>
      <c r="B825" t="b">
        <f>COUNTIF($A$2:$A825, A825)&gt;1</f>
        <v>1</v>
      </c>
      <c r="C825" t="b">
        <f t="shared" si="229"/>
        <v>0</v>
      </c>
      <c r="D825">
        <f>VLOOKUP(A825,variant_counts!A:B, 2, FALSE)</f>
        <v>2</v>
      </c>
      <c r="E825" t="str">
        <f t="shared" si="242"/>
        <v>zard-exhaust-full-kit-cross-version-triumph-bonneville-injection-ztph034skc-08</v>
      </c>
      <c r="F825" t="str">
        <f t="shared" si="230"/>
        <v>ZARD EXHAUST FULL KIT CROSS VERSION TRIUMPH BONNEVILLE INJECTION ZTPH034SKC-08</v>
      </c>
      <c r="G825" t="str">
        <f t="shared" si="231"/>
        <v/>
      </c>
      <c r="H825" t="str">
        <f t="shared" si="243"/>
        <v/>
      </c>
      <c r="I825" t="str">
        <f t="shared" si="244"/>
        <v/>
      </c>
      <c r="J825" t="str">
        <f t="shared" si="245"/>
        <v/>
      </c>
      <c r="K825" t="str">
        <f t="shared" si="246"/>
        <v/>
      </c>
      <c r="L825" t="str">
        <f t="shared" si="232"/>
        <v/>
      </c>
      <c r="M825" t="str">
        <f t="shared" si="233"/>
        <v/>
      </c>
      <c r="R825" t="str">
        <f t="shared" si="234"/>
        <v/>
      </c>
      <c r="S825" t="str">
        <f t="shared" si="235"/>
        <v/>
      </c>
      <c r="U825" t="str">
        <f t="shared" si="236"/>
        <v/>
      </c>
      <c r="V825" t="str">
        <f t="shared" si="237"/>
        <v/>
      </c>
      <c r="W825" s="5" t="str">
        <f t="shared" si="238"/>
        <v/>
      </c>
      <c r="Y825" t="str">
        <f t="shared" si="239"/>
        <v/>
      </c>
      <c r="Z825" t="str">
        <f t="shared" si="240"/>
        <v/>
      </c>
      <c r="AB825" t="str">
        <f t="shared" si="241"/>
        <v>https://shop.officineitalianezard.it/contents/imgs/products/1_41-2.jpg</v>
      </c>
      <c r="AE825" t="b">
        <v>0</v>
      </c>
    </row>
    <row r="826" spans="1:31" x14ac:dyDescent="0.2">
      <c r="A826" t="str">
        <f t="shared" si="228"/>
        <v>https://shop.officineitalianezard.it/en/full-kit-cross-version/</v>
      </c>
      <c r="B826" t="b">
        <f>COUNTIF($A$2:$A826, A826)&gt;1</f>
        <v>1</v>
      </c>
      <c r="C826" t="b">
        <f t="shared" si="229"/>
        <v>0</v>
      </c>
      <c r="D826">
        <f>VLOOKUP(A826,variant_counts!A:B, 2, FALSE)</f>
        <v>2</v>
      </c>
      <c r="E826" t="str">
        <f t="shared" si="242"/>
        <v>zard-exhaust-full-kit-cross-version-triumph-bonneville-injection-ztph034skc-08</v>
      </c>
      <c r="F826" t="str">
        <f t="shared" si="230"/>
        <v>ZARD EXHAUST FULL KIT CROSS VERSION TRIUMPH BONNEVILLE INJECTION ZTPH034SKC-08</v>
      </c>
      <c r="G826" t="str">
        <f t="shared" si="231"/>
        <v/>
      </c>
      <c r="H826" t="str">
        <f t="shared" si="243"/>
        <v/>
      </c>
      <c r="I826" t="str">
        <f t="shared" si="244"/>
        <v/>
      </c>
      <c r="J826" t="str">
        <f t="shared" si="245"/>
        <v/>
      </c>
      <c r="K826" t="str">
        <f t="shared" si="246"/>
        <v/>
      </c>
      <c r="L826" t="str">
        <f t="shared" si="232"/>
        <v/>
      </c>
      <c r="M826" t="str">
        <f t="shared" si="233"/>
        <v/>
      </c>
      <c r="R826" t="str">
        <f t="shared" si="234"/>
        <v/>
      </c>
      <c r="S826" t="str">
        <f t="shared" si="235"/>
        <v/>
      </c>
      <c r="U826" t="str">
        <f t="shared" si="236"/>
        <v/>
      </c>
      <c r="V826" t="str">
        <f t="shared" si="237"/>
        <v/>
      </c>
      <c r="W826" s="5" t="str">
        <f t="shared" si="238"/>
        <v/>
      </c>
      <c r="Y826" t="str">
        <f t="shared" si="239"/>
        <v/>
      </c>
      <c r="Z826" t="str">
        <f t="shared" si="240"/>
        <v/>
      </c>
      <c r="AB826" t="str">
        <f t="shared" si="241"/>
        <v>https://shop.officineitalianezard.it/contents/imgs/products/1_945-scarichi%20moto%20zard%20cross.jpg</v>
      </c>
      <c r="AE826" t="b">
        <v>0</v>
      </c>
    </row>
    <row r="827" spans="1:31" x14ac:dyDescent="0.2">
      <c r="A827" t="str">
        <f t="shared" si="228"/>
        <v>https://shop.officineitalianezard.it/en/full-kit-cross-version/</v>
      </c>
      <c r="B827" t="b">
        <f>COUNTIF($A$2:$A827, A827)&gt;1</f>
        <v>1</v>
      </c>
      <c r="C827" t="b">
        <f t="shared" si="229"/>
        <v>0</v>
      </c>
      <c r="D827">
        <f>VLOOKUP(A827,variant_counts!A:B, 2, FALSE)</f>
        <v>2</v>
      </c>
      <c r="E827" t="str">
        <f t="shared" si="242"/>
        <v>zard-exhaust-full-kit-cross-version-triumph-bonneville-injection-ztph034skc-08</v>
      </c>
      <c r="F827" t="str">
        <f t="shared" si="230"/>
        <v>ZARD EXHAUST FULL KIT CROSS VERSION TRIUMPH BONNEVILLE INJECTION ZTPH034SKC-08</v>
      </c>
      <c r="G827" t="str">
        <f t="shared" si="231"/>
        <v/>
      </c>
      <c r="H827" t="str">
        <f t="shared" si="243"/>
        <v/>
      </c>
      <c r="I827" t="str">
        <f t="shared" si="244"/>
        <v/>
      </c>
      <c r="J827" t="str">
        <f t="shared" si="245"/>
        <v/>
      </c>
      <c r="K827" t="str">
        <f t="shared" si="246"/>
        <v/>
      </c>
      <c r="L827" t="str">
        <f t="shared" si="232"/>
        <v/>
      </c>
      <c r="M827" t="str">
        <f t="shared" si="233"/>
        <v/>
      </c>
      <c r="R827" t="str">
        <f t="shared" si="234"/>
        <v/>
      </c>
      <c r="S827" t="str">
        <f t="shared" si="235"/>
        <v/>
      </c>
      <c r="U827" t="str">
        <f t="shared" si="236"/>
        <v/>
      </c>
      <c r="V827" t="str">
        <f t="shared" si="237"/>
        <v/>
      </c>
      <c r="W827" s="5" t="str">
        <f t="shared" si="238"/>
        <v/>
      </c>
      <c r="Y827" t="str">
        <f t="shared" si="239"/>
        <v/>
      </c>
      <c r="Z827" t="str">
        <f t="shared" si="240"/>
        <v/>
      </c>
      <c r="AB827" t="str">
        <f t="shared" si="241"/>
        <v>https://shop.officineitalianezard.it/contents/imgs/products/1_1145-11017541_10153917985646632_8025402486644623573_n.jpg</v>
      </c>
      <c r="AE827" t="b">
        <v>0</v>
      </c>
    </row>
    <row r="828" spans="1:31" x14ac:dyDescent="0.2">
      <c r="A828" t="str">
        <f t="shared" si="228"/>
        <v>https://shop.officineitalianezard.it/en/full-kit-cross-version/</v>
      </c>
      <c r="B828" t="b">
        <f>COUNTIF($A$2:$A828, A828)&gt;1</f>
        <v>1</v>
      </c>
      <c r="C828" t="b">
        <f t="shared" si="229"/>
        <v>0</v>
      </c>
      <c r="D828">
        <f>VLOOKUP(A828,variant_counts!A:B, 2, FALSE)</f>
        <v>2</v>
      </c>
      <c r="E828" t="str">
        <f t="shared" si="242"/>
        <v>zard-exhaust-full-kit-cross-version-triumph-bonneville-injection-ztph034skc-08</v>
      </c>
      <c r="F828" t="str">
        <f t="shared" si="230"/>
        <v>ZARD EXHAUST FULL KIT CROSS VERSION TRIUMPH BONNEVILLE INJECTION ZTPH034SKC-08</v>
      </c>
      <c r="G828" t="str">
        <f t="shared" si="231"/>
        <v/>
      </c>
      <c r="H828" t="str">
        <f t="shared" si="243"/>
        <v/>
      </c>
      <c r="I828" t="str">
        <f t="shared" si="244"/>
        <v/>
      </c>
      <c r="J828" t="str">
        <f t="shared" si="245"/>
        <v/>
      </c>
      <c r="K828" t="str">
        <f t="shared" si="246"/>
        <v/>
      </c>
      <c r="L828" t="str">
        <f t="shared" si="232"/>
        <v/>
      </c>
      <c r="M828" t="str">
        <f t="shared" si="233"/>
        <v/>
      </c>
      <c r="R828" t="str">
        <f t="shared" si="234"/>
        <v/>
      </c>
      <c r="S828" t="str">
        <f t="shared" si="235"/>
        <v/>
      </c>
      <c r="U828" t="str">
        <f t="shared" si="236"/>
        <v/>
      </c>
      <c r="V828" t="str">
        <f t="shared" si="237"/>
        <v/>
      </c>
      <c r="W828" s="5" t="str">
        <f t="shared" si="238"/>
        <v/>
      </c>
      <c r="Y828" t="str">
        <f t="shared" si="239"/>
        <v/>
      </c>
      <c r="Z828" t="str">
        <f t="shared" si="240"/>
        <v/>
      </c>
      <c r="AB828" t="str">
        <f t="shared" si="241"/>
        <v>https://shop.officineitalianezard.it/contents/imgs/products/1_1144-11259175_10153917986126632_709285374156847894_n.jpg</v>
      </c>
      <c r="AE828" t="b">
        <v>0</v>
      </c>
    </row>
    <row r="829" spans="1:31" x14ac:dyDescent="0.2">
      <c r="A829" t="str">
        <f t="shared" si="228"/>
        <v>https://shop.officineitalianezard.it/en/full-kit-cross-version/</v>
      </c>
      <c r="B829" t="b">
        <f>COUNTIF($A$2:$A829, A829)&gt;1</f>
        <v>1</v>
      </c>
      <c r="C829" t="b">
        <f t="shared" si="229"/>
        <v>1</v>
      </c>
      <c r="D829">
        <f>VLOOKUP(A829,variant_counts!A:B, 2, FALSE)</f>
        <v>2</v>
      </c>
      <c r="E829" t="str">
        <f t="shared" si="242"/>
        <v>zard-exhaust-full-kit-cross-version-triumph-bonneville-injection-ztph034skc-08</v>
      </c>
      <c r="F829" t="str">
        <f t="shared" si="230"/>
        <v>ZARD EXHAUST FULL KIT CROSS VERSION TRIUMPH BONNEVILLE INJECTION ZTPH034SKC-08</v>
      </c>
      <c r="G829" t="str">
        <f t="shared" si="231"/>
        <v/>
      </c>
      <c r="H829" t="str">
        <f t="shared" si="243"/>
        <v/>
      </c>
      <c r="I829" t="str">
        <f t="shared" si="244"/>
        <v/>
      </c>
      <c r="J829" t="str">
        <f t="shared" si="245"/>
        <v/>
      </c>
      <c r="K829" t="str">
        <f t="shared" si="246"/>
        <v/>
      </c>
      <c r="L829" t="str">
        <f t="shared" si="232"/>
        <v>Option</v>
      </c>
      <c r="M829" t="str">
        <f t="shared" si="233"/>
        <v>BLACK COATING</v>
      </c>
      <c r="R829" t="str">
        <f t="shared" si="234"/>
        <v>ZTPH034SKC-08</v>
      </c>
      <c r="S829">
        <f t="shared" si="235"/>
        <v>0</v>
      </c>
      <c r="U829" t="str">
        <f t="shared" si="236"/>
        <v>continue</v>
      </c>
      <c r="V829" t="str">
        <f t="shared" si="237"/>
        <v>manual</v>
      </c>
      <c r="W829" s="5">
        <f t="shared" si="238"/>
        <v>806.95890000000009</v>
      </c>
      <c r="Y829" t="b">
        <f t="shared" si="239"/>
        <v>1</v>
      </c>
      <c r="Z829" t="b">
        <f t="shared" si="240"/>
        <v>0</v>
      </c>
      <c r="AB829" t="str">
        <f t="shared" si="241"/>
        <v/>
      </c>
      <c r="AE829" t="b">
        <v>0</v>
      </c>
    </row>
    <row r="830" spans="1:31" x14ac:dyDescent="0.2">
      <c r="A830" t="str">
        <f t="shared" si="228"/>
        <v>https://shop.officineitalianezard.it/en/full-kit-cross-version/</v>
      </c>
      <c r="B830" t="b">
        <f>COUNTIF($A$2:$A830, A830)&gt;1</f>
        <v>1</v>
      </c>
      <c r="C830" t="b">
        <f t="shared" si="229"/>
        <v>1</v>
      </c>
      <c r="D830">
        <f>VLOOKUP(A830,variant_counts!A:B, 2, FALSE)</f>
        <v>2</v>
      </c>
      <c r="E830" t="str">
        <f t="shared" si="242"/>
        <v>zard-exhaust-full-kit-cross-version-triumph-bonneville-injection-ztph034skc-08</v>
      </c>
      <c r="F830" t="str">
        <f t="shared" si="230"/>
        <v>ZARD EXHAUST FULL KIT CROSS VERSION TRIUMPH BONNEVILLE INJECTION ZTPH034SKC-08</v>
      </c>
      <c r="G830" t="str">
        <f t="shared" si="231"/>
        <v/>
      </c>
      <c r="H830" t="str">
        <f t="shared" si="243"/>
        <v/>
      </c>
      <c r="I830" t="str">
        <f t="shared" si="244"/>
        <v/>
      </c>
      <c r="J830" t="str">
        <f t="shared" si="245"/>
        <v/>
      </c>
      <c r="K830" t="str">
        <f t="shared" si="246"/>
        <v/>
      </c>
      <c r="L830" t="str">
        <f t="shared" si="232"/>
        <v>Option</v>
      </c>
      <c r="M830" t="str">
        <f t="shared" si="233"/>
        <v>POLISHED</v>
      </c>
      <c r="R830" t="str">
        <f t="shared" si="234"/>
        <v>ZTPH034SKC-08</v>
      </c>
      <c r="S830">
        <f t="shared" si="235"/>
        <v>0</v>
      </c>
      <c r="U830" t="str">
        <f t="shared" si="236"/>
        <v>continue</v>
      </c>
      <c r="V830" t="str">
        <f t="shared" si="237"/>
        <v>manual</v>
      </c>
      <c r="W830" s="5">
        <f t="shared" si="238"/>
        <v>725.89560000000006</v>
      </c>
      <c r="Y830" t="b">
        <f t="shared" si="239"/>
        <v>1</v>
      </c>
      <c r="Z830" t="b">
        <f t="shared" si="240"/>
        <v>0</v>
      </c>
      <c r="AB830" t="str">
        <f t="shared" si="241"/>
        <v/>
      </c>
      <c r="AE830" t="b">
        <v>0</v>
      </c>
    </row>
    <row r="831" spans="1:31" x14ac:dyDescent="0.2">
      <c r="A831" t="str">
        <f t="shared" si="228"/>
        <v>https://shop.officineitalianezard.it/en/polished-silencers-for-bonneville-se/</v>
      </c>
      <c r="B831" t="b">
        <f>COUNTIF($A$2:$A831, A831)&gt;1</f>
        <v>0</v>
      </c>
      <c r="C831" t="b">
        <f t="shared" si="229"/>
        <v>0</v>
      </c>
      <c r="D831">
        <f>VLOOKUP(A831,variant_counts!A:B, 2, FALSE)</f>
        <v>2</v>
      </c>
      <c r="E831" t="str">
        <f t="shared" si="242"/>
        <v>zard-exhaust-polished-silencers-for-bonneville-se-triumph-bonneville-injection-ztph041ssr</v>
      </c>
      <c r="F831" t="str">
        <f t="shared" si="230"/>
        <v>ZARD EXHAUST POLISHED SILENCERS FOR BONNEVILLE SE TRIUMPH BONNEVILLE INJECTION ZTPH041SSR</v>
      </c>
      <c r="G831" t="str">
        <f t="shared" si="231"/>
        <v>&lt;p&gt;STEEL POLISHED SILENCERS WITH REMOVABLE DB KILLER&lt;/p&gt;
&lt;p&gt;ORIGINAL SILENCERS WEIGHT: KG 6.8&lt;br&gt;ZARD SILENCERS WEIGHT: KG 3&lt;/p&gt;
&lt;p&gt;HARD INCREASE IN TERMS OF RESPONSE IN THE RANGE BETWEEN 4000 AND 6500 RPM AND 1,5 MORE HP COMPARED TO THE ORIGINAL EXHAUST SYSTEM. ASTONISHING SOUND.&lt;/p&gt;</v>
      </c>
      <c r="H831" t="str">
        <f t="shared" si="243"/>
        <v>ZARD</v>
      </c>
      <c r="I831" t="str">
        <f t="shared" si="244"/>
        <v>Exhaust Pipe</v>
      </c>
      <c r="J831" t="str">
        <f t="shared" si="245"/>
        <v>Test</v>
      </c>
      <c r="K831" t="b">
        <f t="shared" si="246"/>
        <v>0</v>
      </c>
      <c r="L831" t="str">
        <f t="shared" si="232"/>
        <v/>
      </c>
      <c r="M831" t="str">
        <f t="shared" si="233"/>
        <v/>
      </c>
      <c r="R831" t="str">
        <f t="shared" si="234"/>
        <v/>
      </c>
      <c r="S831" t="str">
        <f t="shared" si="235"/>
        <v/>
      </c>
      <c r="U831" t="str">
        <f t="shared" si="236"/>
        <v/>
      </c>
      <c r="V831" t="str">
        <f t="shared" si="237"/>
        <v/>
      </c>
      <c r="W831" s="5" t="str">
        <f t="shared" si="238"/>
        <v/>
      </c>
      <c r="Y831" t="str">
        <f t="shared" si="239"/>
        <v/>
      </c>
      <c r="Z831" t="str">
        <f t="shared" si="240"/>
        <v/>
      </c>
      <c r="AB831" t="str">
        <f t="shared" si="241"/>
        <v>https://shop.officineitalianezard.it/contents/imgs/products/1_53-1.jpg</v>
      </c>
      <c r="AE831" t="b">
        <v>0</v>
      </c>
    </row>
    <row r="832" spans="1:31" x14ac:dyDescent="0.2">
      <c r="A832" t="str">
        <f t="shared" si="228"/>
        <v>https://shop.officineitalianezard.it/en/polished-silencers-for-bonneville-se/</v>
      </c>
      <c r="B832" t="b">
        <f>COUNTIF($A$2:$A832, A832)&gt;1</f>
        <v>1</v>
      </c>
      <c r="C832" t="b">
        <f t="shared" si="229"/>
        <v>0</v>
      </c>
      <c r="D832">
        <f>VLOOKUP(A832,variant_counts!A:B, 2, FALSE)</f>
        <v>2</v>
      </c>
      <c r="E832" t="str">
        <f t="shared" si="242"/>
        <v>zard-exhaust-polished-silencers-for-bonneville-se-triumph-bonneville-injection-ztph041ssr</v>
      </c>
      <c r="F832" t="str">
        <f t="shared" si="230"/>
        <v>ZARD EXHAUST POLISHED SILENCERS FOR BONNEVILLE SE TRIUMPH BONNEVILLE INJECTION ZTPH041SSR</v>
      </c>
      <c r="G832" t="str">
        <f t="shared" si="231"/>
        <v/>
      </c>
      <c r="H832" t="str">
        <f t="shared" si="243"/>
        <v/>
      </c>
      <c r="I832" t="str">
        <f t="shared" si="244"/>
        <v/>
      </c>
      <c r="J832" t="str">
        <f t="shared" si="245"/>
        <v/>
      </c>
      <c r="K832" t="str">
        <f t="shared" si="246"/>
        <v/>
      </c>
      <c r="L832" t="str">
        <f t="shared" si="232"/>
        <v/>
      </c>
      <c r="M832" t="str">
        <f t="shared" si="233"/>
        <v/>
      </c>
      <c r="R832" t="str">
        <f t="shared" si="234"/>
        <v/>
      </c>
      <c r="S832" t="str">
        <f t="shared" si="235"/>
        <v/>
      </c>
      <c r="U832" t="str">
        <f t="shared" si="236"/>
        <v/>
      </c>
      <c r="V832" t="str">
        <f t="shared" si="237"/>
        <v/>
      </c>
      <c r="W832" s="5" t="str">
        <f t="shared" si="238"/>
        <v/>
      </c>
      <c r="Y832" t="str">
        <f t="shared" si="239"/>
        <v/>
      </c>
      <c r="Z832" t="str">
        <f t="shared" si="240"/>
        <v/>
      </c>
      <c r="AB832" t="str">
        <f t="shared" si="241"/>
        <v>https://shop.officineitalianezard.it/contents/imgs/products/1_54-3.jpg</v>
      </c>
      <c r="AE832" t="b">
        <v>0</v>
      </c>
    </row>
    <row r="833" spans="1:31" x14ac:dyDescent="0.2">
      <c r="A833" t="str">
        <f t="shared" si="228"/>
        <v>https://shop.officineitalianezard.it/en/polished-silencers-for-bonneville-se/</v>
      </c>
      <c r="B833" t="b">
        <f>COUNTIF($A$2:$A833, A833)&gt;1</f>
        <v>1</v>
      </c>
      <c r="C833" t="b">
        <f t="shared" si="229"/>
        <v>0</v>
      </c>
      <c r="D833">
        <f>VLOOKUP(A833,variant_counts!A:B, 2, FALSE)</f>
        <v>2</v>
      </c>
      <c r="E833" t="str">
        <f t="shared" si="242"/>
        <v>zard-exhaust-polished-silencers-for-bonneville-se-triumph-bonneville-injection-ztph041ssr</v>
      </c>
      <c r="F833" t="str">
        <f t="shared" si="230"/>
        <v>ZARD EXHAUST POLISHED SILENCERS FOR BONNEVILLE SE TRIUMPH BONNEVILLE INJECTION ZTPH041SSR</v>
      </c>
      <c r="G833" t="str">
        <f t="shared" si="231"/>
        <v/>
      </c>
      <c r="H833" t="str">
        <f t="shared" si="243"/>
        <v/>
      </c>
      <c r="I833" t="str">
        <f t="shared" si="244"/>
        <v/>
      </c>
      <c r="J833" t="str">
        <f t="shared" si="245"/>
        <v/>
      </c>
      <c r="K833" t="str">
        <f t="shared" si="246"/>
        <v/>
      </c>
      <c r="L833" t="str">
        <f t="shared" si="232"/>
        <v/>
      </c>
      <c r="M833" t="str">
        <f t="shared" si="233"/>
        <v/>
      </c>
      <c r="R833" t="str">
        <f t="shared" si="234"/>
        <v/>
      </c>
      <c r="S833" t="str">
        <f t="shared" si="235"/>
        <v/>
      </c>
      <c r="U833" t="str">
        <f t="shared" si="236"/>
        <v/>
      </c>
      <c r="V833" t="str">
        <f t="shared" si="237"/>
        <v/>
      </c>
      <c r="W833" s="5" t="str">
        <f t="shared" si="238"/>
        <v/>
      </c>
      <c r="Y833" t="str">
        <f t="shared" si="239"/>
        <v/>
      </c>
      <c r="Z833" t="str">
        <f t="shared" si="240"/>
        <v/>
      </c>
      <c r="AB833" t="str">
        <f t="shared" si="241"/>
        <v>https://shop.officineitalianezard.it/contents/imgs/products/1_55-2.jpg</v>
      </c>
      <c r="AE833" t="b">
        <v>0</v>
      </c>
    </row>
    <row r="834" spans="1:31" x14ac:dyDescent="0.2">
      <c r="A834" t="str">
        <f t="shared" ref="A834:A897" si="247">source_product_link_href</f>
        <v>https://shop.officineitalianezard.it/en/polished-silencers-for-bonneville-se/</v>
      </c>
      <c r="B834" t="b">
        <f>COUNTIF($A$2:$A834, A834)&gt;1</f>
        <v>1</v>
      </c>
      <c r="C834" t="b">
        <f t="shared" ref="C834:C897" si="248">NOT(ISBLANK(source_option_name))</f>
        <v>1</v>
      </c>
      <c r="D834">
        <f>VLOOKUP(A834,variant_counts!A:B, 2, FALSE)</f>
        <v>2</v>
      </c>
      <c r="E834" t="str">
        <f t="shared" si="242"/>
        <v>zard-exhaust-polished-silencers-for-bonneville-se-triumph-bonneville-injection-ztph041ssr</v>
      </c>
      <c r="F834" t="str">
        <f t="shared" ref="F834:F897" si="249">UPPER("ZARD EXHAUST " &amp; source_title &amp; " " &amp; source_brand &amp; " " &amp; source_bike &amp; " " &amp; source_product_link &amp; " " &amp; source_sku)</f>
        <v>ZARD EXHAUST POLISHED SILENCERS FOR BONNEVILLE SE TRIUMPH BONNEVILLE INJECTION ZTPH041SSR</v>
      </c>
      <c r="G834" t="str">
        <f t="shared" ref="G834:G897" si="250">IF($B834=FALSE, source_description, "")</f>
        <v/>
      </c>
      <c r="H834" t="str">
        <f t="shared" si="243"/>
        <v/>
      </c>
      <c r="I834" t="str">
        <f t="shared" si="244"/>
        <v/>
      </c>
      <c r="J834" t="str">
        <f t="shared" si="245"/>
        <v/>
      </c>
      <c r="K834" t="str">
        <f t="shared" si="246"/>
        <v/>
      </c>
      <c r="L834" t="str">
        <f t="shared" ref="L834:L897" si="251">IF(AND(variant_count=0,duplicated=FALSE),"Title",IF(OR(AND(variant_count=1,duplicated=FALSE), source_option_name&lt;&gt;""), "Option", ""))</f>
        <v>Option</v>
      </c>
      <c r="M834" t="str">
        <f t="shared" ref="M834:M897" si="252">IF(option1_name="Title", "Default Title", IF(AND(option1_name="Option",ISBLANK(source_option_name)),"DEFAULT",IF(ISBLANK(source_option_name), "", source_option_name)))</f>
        <v>HOMOL. CATALYSED</v>
      </c>
      <c r="R834" t="str">
        <f t="shared" ref="R834:R897" si="253">IF(option1_name &lt;&gt; "", source_sku, "")</f>
        <v>ZTPH041SSR</v>
      </c>
      <c r="S834">
        <f t="shared" ref="S834:S897" si="254">IF(option1_name &lt;&gt; "", 0, "")</f>
        <v>0</v>
      </c>
      <c r="U834" t="str">
        <f t="shared" ref="U834:U897" si="255">IF(option1_name &lt;&gt; "", "continue", "")</f>
        <v>continue</v>
      </c>
      <c r="V834" t="str">
        <f t="shared" ref="V834:V897" si="256">IF(option1_name &lt;&gt; "", "manual", "")</f>
        <v>manual</v>
      </c>
      <c r="W834" s="5">
        <f t="shared" ref="W834:W897" si="257">IF(option1_name&lt;&gt;"",(source_price_original+source_option_price)*eur_usd,"")</f>
        <v>734.78670000000011</v>
      </c>
      <c r="Y834" t="b">
        <f t="shared" ref="Y834:Y897" si="258">IF(option1_name&lt;&gt;"",TRUE,"")</f>
        <v>1</v>
      </c>
      <c r="Z834" t="b">
        <f t="shared" ref="Z834:Z897" si="259">IF(option1_name&lt;&gt;"",FALSE,"")</f>
        <v>0</v>
      </c>
      <c r="AB834" t="str">
        <f t="shared" ref="AB834:AB897" si="260">IF(ISBLANK(source_image), "", source_image)</f>
        <v/>
      </c>
      <c r="AE834" t="b">
        <v>0</v>
      </c>
    </row>
    <row r="835" spans="1:31" x14ac:dyDescent="0.2">
      <c r="A835" t="str">
        <f t="shared" si="247"/>
        <v>https://shop.officineitalianezard.it/en/polished-silencers-for-bonneville-se/</v>
      </c>
      <c r="B835" t="b">
        <f>COUNTIF($A$2:$A835, A835)&gt;1</f>
        <v>1</v>
      </c>
      <c r="C835" t="b">
        <f t="shared" si="248"/>
        <v>1</v>
      </c>
      <c r="D835">
        <f>VLOOKUP(A835,variant_counts!A:B, 2, FALSE)</f>
        <v>2</v>
      </c>
      <c r="E835" t="str">
        <f t="shared" ref="E835:E898" si="261">FormatShopifyHandle(F835)</f>
        <v>zard-exhaust-polished-silencers-for-bonneville-se-triumph-bonneville-injection-ztph041ssr</v>
      </c>
      <c r="F835" t="str">
        <f t="shared" si="249"/>
        <v>ZARD EXHAUST POLISHED SILENCERS FOR BONNEVILLE SE TRIUMPH BONNEVILLE INJECTION ZTPH041SSR</v>
      </c>
      <c r="G835" t="str">
        <f t="shared" si="250"/>
        <v/>
      </c>
      <c r="H835" t="str">
        <f t="shared" ref="H835:H898" si="262">IF($B835=FALSE, "ZARD", "")</f>
        <v/>
      </c>
      <c r="I835" t="str">
        <f t="shared" ref="I835:I898" si="263">IF($B835=FALSE, "Exhaust Pipe", "")</f>
        <v/>
      </c>
      <c r="J835" t="str">
        <f t="shared" ref="J835:J898" si="264">IF($B835=FALSE, "Test", "")</f>
        <v/>
      </c>
      <c r="K835" t="str">
        <f t="shared" ref="K835:K898" si="265">IF($B835=FALSE, FALSE, "")</f>
        <v/>
      </c>
      <c r="L835" t="str">
        <f t="shared" si="251"/>
        <v>Option</v>
      </c>
      <c r="M835" t="str">
        <f t="shared" si="252"/>
        <v>BLACK COATING</v>
      </c>
      <c r="R835" t="str">
        <f t="shared" si="253"/>
        <v>ZTPH041SSR</v>
      </c>
      <c r="S835">
        <f t="shared" si="254"/>
        <v>0</v>
      </c>
      <c r="U835" t="str">
        <f t="shared" si="255"/>
        <v>continue</v>
      </c>
      <c r="V835" t="str">
        <f t="shared" si="256"/>
        <v>manual</v>
      </c>
      <c r="W835" s="5">
        <f t="shared" si="257"/>
        <v>735.60810000000015</v>
      </c>
      <c r="Y835" t="b">
        <f t="shared" si="258"/>
        <v>1</v>
      </c>
      <c r="Z835" t="b">
        <f t="shared" si="259"/>
        <v>0</v>
      </c>
      <c r="AB835" t="str">
        <f t="shared" si="260"/>
        <v/>
      </c>
      <c r="AE835" t="b">
        <v>0</v>
      </c>
    </row>
    <row r="836" spans="1:31" x14ac:dyDescent="0.2">
      <c r="A836" t="str">
        <f t="shared" si="247"/>
        <v>https://shop.officineitalianezard.it/en/triumph-bonneville-exhaust-zard/</v>
      </c>
      <c r="B836" t="b">
        <f>COUNTIF($A$2:$A836, A836)&gt;1</f>
        <v>0</v>
      </c>
      <c r="C836" t="b">
        <f t="shared" si="248"/>
        <v>0</v>
      </c>
      <c r="D836">
        <f>VLOOKUP(A836,variant_counts!A:B, 2, FALSE)</f>
        <v>2</v>
      </c>
      <c r="E836" t="str">
        <f t="shared" si="261"/>
        <v>zard-exhaust-22-full-kit-triumph-bonneville-steel-version-ztph076skr</v>
      </c>
      <c r="F836" t="str">
        <f t="shared" si="249"/>
        <v>ZARD EXHAUST 2&gt;2 FULL KIT TRIUMPH BONNEVILLE STEEL VERSION ZTPH076SKR</v>
      </c>
      <c r="G836" t="str">
        <f t="shared" si="250"/>
        <v>&lt;p&gt;2&amp;gt;2 STEEL RACING FULL KIT WITH REMOVABLE DBKILLERS FOR CARBURETTORS AND INJECTIONS MODELS&lt;/p&gt;
&lt;p&gt;ORIGINAL SILENCERS WEIGHT: KG 11.8&lt;br&gt;ZARD SILENCERS WEIGHT: KG&amp;nbsp;4.8&lt;/p&gt;
&lt;p&gt;HARD INCREASE, COMPARED TO THE ORIGINAL EXHAUST SYSTEM, IN TERMS OF TORQUE AND POWER AT ANY RANGE.&lt;/p&gt;
&lt;p&gt;ASTONISHING SOUND.&lt;/p&gt;
&lt;p&gt;&lt;strong&gt;NOTICE:&amp;nbsp;TO A PROPER FITMENT OF THE&amp;nbsp;LEFT SILENCER THERE IS A SMALL 'DENT' IN THE BACK SIDE.&lt;/strong&gt;&lt;/p&gt;
&lt;p&gt;&lt;/p&gt;</v>
      </c>
      <c r="H836" t="str">
        <f t="shared" si="262"/>
        <v>ZARD</v>
      </c>
      <c r="I836" t="str">
        <f t="shared" si="263"/>
        <v>Exhaust Pipe</v>
      </c>
      <c r="J836" t="str">
        <f t="shared" si="264"/>
        <v>Test</v>
      </c>
      <c r="K836" t="b">
        <f t="shared" si="265"/>
        <v>0</v>
      </c>
      <c r="L836" t="str">
        <f t="shared" si="251"/>
        <v/>
      </c>
      <c r="M836" t="str">
        <f t="shared" si="252"/>
        <v/>
      </c>
      <c r="R836" t="str">
        <f t="shared" si="253"/>
        <v/>
      </c>
      <c r="S836" t="str">
        <f t="shared" si="254"/>
        <v/>
      </c>
      <c r="U836" t="str">
        <f t="shared" si="255"/>
        <v/>
      </c>
      <c r="V836" t="str">
        <f t="shared" si="256"/>
        <v/>
      </c>
      <c r="W836" s="5" t="str">
        <f t="shared" si="257"/>
        <v/>
      </c>
      <c r="Y836" t="str">
        <f t="shared" si="258"/>
        <v/>
      </c>
      <c r="Z836" t="str">
        <f t="shared" si="259"/>
        <v/>
      </c>
      <c r="AB836" t="str">
        <f t="shared" si="260"/>
        <v>https://shop.officineitalianezard.it/contents/imgs/products/1_2007-1.jpg</v>
      </c>
      <c r="AE836" t="b">
        <v>0</v>
      </c>
    </row>
    <row r="837" spans="1:31" x14ac:dyDescent="0.2">
      <c r="A837" t="str">
        <f t="shared" si="247"/>
        <v>https://shop.officineitalianezard.it/en/triumph-bonneville-exhaust-zard/</v>
      </c>
      <c r="B837" t="b">
        <f>COUNTIF($A$2:$A837, A837)&gt;1</f>
        <v>1</v>
      </c>
      <c r="C837" t="b">
        <f t="shared" si="248"/>
        <v>0</v>
      </c>
      <c r="D837">
        <f>VLOOKUP(A837,variant_counts!A:B, 2, FALSE)</f>
        <v>2</v>
      </c>
      <c r="E837" t="str">
        <f t="shared" si="261"/>
        <v>zard-exhaust-22-full-kit-triumph-bonneville-steel-version-ztph076skr</v>
      </c>
      <c r="F837" t="str">
        <f t="shared" si="249"/>
        <v>ZARD EXHAUST 2&gt;2 FULL KIT TRIUMPH BONNEVILLE STEEL VERSION ZTPH076SKR</v>
      </c>
      <c r="G837" t="str">
        <f t="shared" si="250"/>
        <v/>
      </c>
      <c r="H837" t="str">
        <f t="shared" si="262"/>
        <v/>
      </c>
      <c r="I837" t="str">
        <f t="shared" si="263"/>
        <v/>
      </c>
      <c r="J837" t="str">
        <f t="shared" si="264"/>
        <v/>
      </c>
      <c r="K837" t="str">
        <f t="shared" si="265"/>
        <v/>
      </c>
      <c r="L837" t="str">
        <f t="shared" si="251"/>
        <v/>
      </c>
      <c r="M837" t="str">
        <f t="shared" si="252"/>
        <v/>
      </c>
      <c r="R837" t="str">
        <f t="shared" si="253"/>
        <v/>
      </c>
      <c r="S837" t="str">
        <f t="shared" si="254"/>
        <v/>
      </c>
      <c r="U837" t="str">
        <f t="shared" si="255"/>
        <v/>
      </c>
      <c r="V837" t="str">
        <f t="shared" si="256"/>
        <v/>
      </c>
      <c r="W837" s="5" t="str">
        <f t="shared" si="257"/>
        <v/>
      </c>
      <c r="Y837" t="str">
        <f t="shared" si="258"/>
        <v/>
      </c>
      <c r="Z837" t="str">
        <f t="shared" si="259"/>
        <v/>
      </c>
      <c r="AB837" t="str">
        <f t="shared" si="260"/>
        <v>https://shop.officineitalianezard.it/contents/imgs/products/1_2011-2.jpg</v>
      </c>
      <c r="AE837" t="b">
        <v>0</v>
      </c>
    </row>
    <row r="838" spans="1:31" x14ac:dyDescent="0.2">
      <c r="A838" t="str">
        <f t="shared" si="247"/>
        <v>https://shop.officineitalianezard.it/en/triumph-bonneville-exhaust-zard/</v>
      </c>
      <c r="B838" t="b">
        <f>COUNTIF($A$2:$A838, A838)&gt;1</f>
        <v>1</v>
      </c>
      <c r="C838" t="b">
        <f t="shared" si="248"/>
        <v>0</v>
      </c>
      <c r="D838">
        <f>VLOOKUP(A838,variant_counts!A:B, 2, FALSE)</f>
        <v>2</v>
      </c>
      <c r="E838" t="str">
        <f t="shared" si="261"/>
        <v>zard-exhaust-22-full-kit-triumph-bonneville-steel-version-ztph076skr</v>
      </c>
      <c r="F838" t="str">
        <f t="shared" si="249"/>
        <v>ZARD EXHAUST 2&gt;2 FULL KIT TRIUMPH BONNEVILLE STEEL VERSION ZTPH076SKR</v>
      </c>
      <c r="G838" t="str">
        <f t="shared" si="250"/>
        <v/>
      </c>
      <c r="H838" t="str">
        <f t="shared" si="262"/>
        <v/>
      </c>
      <c r="I838" t="str">
        <f t="shared" si="263"/>
        <v/>
      </c>
      <c r="J838" t="str">
        <f t="shared" si="264"/>
        <v/>
      </c>
      <c r="K838" t="str">
        <f t="shared" si="265"/>
        <v/>
      </c>
      <c r="L838" t="str">
        <f t="shared" si="251"/>
        <v/>
      </c>
      <c r="M838" t="str">
        <f t="shared" si="252"/>
        <v/>
      </c>
      <c r="R838" t="str">
        <f t="shared" si="253"/>
        <v/>
      </c>
      <c r="S838" t="str">
        <f t="shared" si="254"/>
        <v/>
      </c>
      <c r="U838" t="str">
        <f t="shared" si="255"/>
        <v/>
      </c>
      <c r="V838" t="str">
        <f t="shared" si="256"/>
        <v/>
      </c>
      <c r="W838" s="5" t="str">
        <f t="shared" si="257"/>
        <v/>
      </c>
      <c r="Y838" t="str">
        <f t="shared" si="258"/>
        <v/>
      </c>
      <c r="Z838" t="str">
        <f t="shared" si="259"/>
        <v/>
      </c>
      <c r="AB838" t="str">
        <f t="shared" si="260"/>
        <v>https://shop.officineitalianezard.it/contents/imgs/products/1_2010-3.jpg</v>
      </c>
      <c r="AE838" t="b">
        <v>0</v>
      </c>
    </row>
    <row r="839" spans="1:31" x14ac:dyDescent="0.2">
      <c r="A839" t="str">
        <f t="shared" si="247"/>
        <v>https://shop.officineitalianezard.it/en/triumph-bonneville-exhaust-zard/</v>
      </c>
      <c r="B839" t="b">
        <f>COUNTIF($A$2:$A839, A839)&gt;1</f>
        <v>1</v>
      </c>
      <c r="C839" t="b">
        <f t="shared" si="248"/>
        <v>0</v>
      </c>
      <c r="D839">
        <f>VLOOKUP(A839,variant_counts!A:B, 2, FALSE)</f>
        <v>2</v>
      </c>
      <c r="E839" t="str">
        <f t="shared" si="261"/>
        <v>zard-exhaust-22-full-kit-triumph-bonneville-steel-version-ztph076skr</v>
      </c>
      <c r="F839" t="str">
        <f t="shared" si="249"/>
        <v>ZARD EXHAUST 2&gt;2 FULL KIT TRIUMPH BONNEVILLE STEEL VERSION ZTPH076SKR</v>
      </c>
      <c r="G839" t="str">
        <f t="shared" si="250"/>
        <v/>
      </c>
      <c r="H839" t="str">
        <f t="shared" si="262"/>
        <v/>
      </c>
      <c r="I839" t="str">
        <f t="shared" si="263"/>
        <v/>
      </c>
      <c r="J839" t="str">
        <f t="shared" si="264"/>
        <v/>
      </c>
      <c r="K839" t="str">
        <f t="shared" si="265"/>
        <v/>
      </c>
      <c r="L839" t="str">
        <f t="shared" si="251"/>
        <v/>
      </c>
      <c r="M839" t="str">
        <f t="shared" si="252"/>
        <v/>
      </c>
      <c r="R839" t="str">
        <f t="shared" si="253"/>
        <v/>
      </c>
      <c r="S839" t="str">
        <f t="shared" si="254"/>
        <v/>
      </c>
      <c r="U839" t="str">
        <f t="shared" si="255"/>
        <v/>
      </c>
      <c r="V839" t="str">
        <f t="shared" si="256"/>
        <v/>
      </c>
      <c r="W839" s="5" t="str">
        <f t="shared" si="257"/>
        <v/>
      </c>
      <c r="Y839" t="str">
        <f t="shared" si="258"/>
        <v/>
      </c>
      <c r="Z839" t="str">
        <f t="shared" si="259"/>
        <v/>
      </c>
      <c r="AB839" t="str">
        <f t="shared" si="260"/>
        <v>https://shop.officineitalianezard.it/contents/imgs/products/1_2008-5.jpg</v>
      </c>
      <c r="AE839" t="b">
        <v>0</v>
      </c>
    </row>
    <row r="840" spans="1:31" x14ac:dyDescent="0.2">
      <c r="A840" t="str">
        <f t="shared" si="247"/>
        <v>https://shop.officineitalianezard.it/en/triumph-bonneville-exhaust-zard/</v>
      </c>
      <c r="B840" t="b">
        <f>COUNTIF($A$2:$A840, A840)&gt;1</f>
        <v>1</v>
      </c>
      <c r="C840" t="b">
        <f t="shared" si="248"/>
        <v>0</v>
      </c>
      <c r="D840">
        <f>VLOOKUP(A840,variant_counts!A:B, 2, FALSE)</f>
        <v>2</v>
      </c>
      <c r="E840" t="str">
        <f t="shared" si="261"/>
        <v>zard-exhaust-22-full-kit-triumph-bonneville-steel-version-ztph076skr</v>
      </c>
      <c r="F840" t="str">
        <f t="shared" si="249"/>
        <v>ZARD EXHAUST 2&gt;2 FULL KIT TRIUMPH BONNEVILLE STEEL VERSION ZTPH076SKR</v>
      </c>
      <c r="G840" t="str">
        <f t="shared" si="250"/>
        <v/>
      </c>
      <c r="H840" t="str">
        <f t="shared" si="262"/>
        <v/>
      </c>
      <c r="I840" t="str">
        <f t="shared" si="263"/>
        <v/>
      </c>
      <c r="J840" t="str">
        <f t="shared" si="264"/>
        <v/>
      </c>
      <c r="K840" t="str">
        <f t="shared" si="265"/>
        <v/>
      </c>
      <c r="L840" t="str">
        <f t="shared" si="251"/>
        <v/>
      </c>
      <c r="M840" t="str">
        <f t="shared" si="252"/>
        <v/>
      </c>
      <c r="R840" t="str">
        <f t="shared" si="253"/>
        <v/>
      </c>
      <c r="S840" t="str">
        <f t="shared" si="254"/>
        <v/>
      </c>
      <c r="U840" t="str">
        <f t="shared" si="255"/>
        <v/>
      </c>
      <c r="V840" t="str">
        <f t="shared" si="256"/>
        <v/>
      </c>
      <c r="W840" s="5" t="str">
        <f t="shared" si="257"/>
        <v/>
      </c>
      <c r="Y840" t="str">
        <f t="shared" si="258"/>
        <v/>
      </c>
      <c r="Z840" t="str">
        <f t="shared" si="259"/>
        <v/>
      </c>
      <c r="AB840" t="str">
        <f t="shared" si="260"/>
        <v>https://shop.officineitalianezard.it/contents/imgs/products/1_2009-4.jpg</v>
      </c>
      <c r="AE840" t="b">
        <v>0</v>
      </c>
    </row>
    <row r="841" spans="1:31" x14ac:dyDescent="0.2">
      <c r="A841" t="str">
        <f t="shared" si="247"/>
        <v>https://shop.officineitalianezard.it/en/triumph-bonneville-exhaust-zard/</v>
      </c>
      <c r="B841" t="b">
        <f>COUNTIF($A$2:$A841, A841)&gt;1</f>
        <v>1</v>
      </c>
      <c r="C841" t="b">
        <f t="shared" si="248"/>
        <v>0</v>
      </c>
      <c r="D841">
        <f>VLOOKUP(A841,variant_counts!A:B, 2, FALSE)</f>
        <v>2</v>
      </c>
      <c r="E841" t="str">
        <f t="shared" si="261"/>
        <v>zard-exhaust-22-full-kit-triumph-bonneville-steel-version-ztph076skr</v>
      </c>
      <c r="F841" t="str">
        <f t="shared" si="249"/>
        <v>ZARD EXHAUST 2&gt;2 FULL KIT TRIUMPH BONNEVILLE STEEL VERSION ZTPH076SKR</v>
      </c>
      <c r="G841" t="str">
        <f t="shared" si="250"/>
        <v/>
      </c>
      <c r="H841" t="str">
        <f t="shared" si="262"/>
        <v/>
      </c>
      <c r="I841" t="str">
        <f t="shared" si="263"/>
        <v/>
      </c>
      <c r="J841" t="str">
        <f t="shared" si="264"/>
        <v/>
      </c>
      <c r="K841" t="str">
        <f t="shared" si="265"/>
        <v/>
      </c>
      <c r="L841" t="str">
        <f t="shared" si="251"/>
        <v/>
      </c>
      <c r="M841" t="str">
        <f t="shared" si="252"/>
        <v/>
      </c>
      <c r="R841" t="str">
        <f t="shared" si="253"/>
        <v/>
      </c>
      <c r="S841" t="str">
        <f t="shared" si="254"/>
        <v/>
      </c>
      <c r="U841" t="str">
        <f t="shared" si="255"/>
        <v/>
      </c>
      <c r="V841" t="str">
        <f t="shared" si="256"/>
        <v/>
      </c>
      <c r="W841" s="5" t="str">
        <f t="shared" si="257"/>
        <v/>
      </c>
      <c r="Y841" t="str">
        <f t="shared" si="258"/>
        <v/>
      </c>
      <c r="Z841" t="str">
        <f t="shared" si="259"/>
        <v/>
      </c>
      <c r="AB841" t="str">
        <f t="shared" si="260"/>
        <v>https://shop.officineitalianezard.it/contents/imgs/products/1_2012-1773-1650-t120%20neri%20zard.jpg</v>
      </c>
      <c r="AE841" t="b">
        <v>0</v>
      </c>
    </row>
    <row r="842" spans="1:31" x14ac:dyDescent="0.2">
      <c r="A842" t="str">
        <f t="shared" si="247"/>
        <v>https://shop.officineitalianezard.it/en/triumph-bonneville-exhaust-zard/</v>
      </c>
      <c r="B842" t="b">
        <f>COUNTIF($A$2:$A842, A842)&gt;1</f>
        <v>1</v>
      </c>
      <c r="C842" t="b">
        <f t="shared" si="248"/>
        <v>0</v>
      </c>
      <c r="D842">
        <f>VLOOKUP(A842,variant_counts!A:B, 2, FALSE)</f>
        <v>2</v>
      </c>
      <c r="E842" t="str">
        <f t="shared" si="261"/>
        <v>zard-exhaust-22-full-kit-triumph-bonneville-steel-version-ztph076skr</v>
      </c>
      <c r="F842" t="str">
        <f t="shared" si="249"/>
        <v>ZARD EXHAUST 2&gt;2 FULL KIT TRIUMPH BONNEVILLE STEEL VERSION ZTPH076SKR</v>
      </c>
      <c r="G842" t="str">
        <f t="shared" si="250"/>
        <v/>
      </c>
      <c r="H842" t="str">
        <f t="shared" si="262"/>
        <v/>
      </c>
      <c r="I842" t="str">
        <f t="shared" si="263"/>
        <v/>
      </c>
      <c r="J842" t="str">
        <f t="shared" si="264"/>
        <v/>
      </c>
      <c r="K842" t="str">
        <f t="shared" si="265"/>
        <v/>
      </c>
      <c r="L842" t="str">
        <f t="shared" si="251"/>
        <v/>
      </c>
      <c r="M842" t="str">
        <f t="shared" si="252"/>
        <v/>
      </c>
      <c r="R842" t="str">
        <f t="shared" si="253"/>
        <v/>
      </c>
      <c r="S842" t="str">
        <f t="shared" si="254"/>
        <v/>
      </c>
      <c r="U842" t="str">
        <f t="shared" si="255"/>
        <v/>
      </c>
      <c r="V842" t="str">
        <f t="shared" si="256"/>
        <v/>
      </c>
      <c r="W842" s="5" t="str">
        <f t="shared" si="257"/>
        <v/>
      </c>
      <c r="Y842" t="str">
        <f t="shared" si="258"/>
        <v/>
      </c>
      <c r="Z842" t="str">
        <f t="shared" si="259"/>
        <v/>
      </c>
      <c r="AB842" t="str">
        <f t="shared" si="260"/>
        <v>https://shop.officineitalianezard.it/contents/imgs/products/1_2013-1775-1740-scarico%20bonneville%20t120%20scarico%20triumph%20street%20twin.jpg</v>
      </c>
      <c r="AE842" t="b">
        <v>0</v>
      </c>
    </row>
    <row r="843" spans="1:31" x14ac:dyDescent="0.2">
      <c r="A843" t="str">
        <f t="shared" si="247"/>
        <v>https://shop.officineitalianezard.it/en/triumph-bonneville-exhaust-zard/</v>
      </c>
      <c r="B843" t="b">
        <f>COUNTIF($A$2:$A843, A843)&gt;1</f>
        <v>1</v>
      </c>
      <c r="C843" t="b">
        <f t="shared" si="248"/>
        <v>1</v>
      </c>
      <c r="D843">
        <f>VLOOKUP(A843,variant_counts!A:B, 2, FALSE)</f>
        <v>2</v>
      </c>
      <c r="E843" t="str">
        <f t="shared" si="261"/>
        <v>zard-exhaust-22-full-kit-triumph-bonneville-steel-version-ztph076skr</v>
      </c>
      <c r="F843" t="str">
        <f t="shared" si="249"/>
        <v>ZARD EXHAUST 2&gt;2 FULL KIT TRIUMPH BONNEVILLE STEEL VERSION ZTPH076SKR</v>
      </c>
      <c r="G843" t="str">
        <f t="shared" si="250"/>
        <v/>
      </c>
      <c r="H843" t="str">
        <f t="shared" si="262"/>
        <v/>
      </c>
      <c r="I843" t="str">
        <f t="shared" si="263"/>
        <v/>
      </c>
      <c r="J843" t="str">
        <f t="shared" si="264"/>
        <v/>
      </c>
      <c r="K843" t="str">
        <f t="shared" si="265"/>
        <v/>
      </c>
      <c r="L843" t="str">
        <f t="shared" si="251"/>
        <v>Option</v>
      </c>
      <c r="M843" t="str">
        <f t="shared" si="252"/>
        <v>BLACK COATING</v>
      </c>
      <c r="R843" t="str">
        <f t="shared" si="253"/>
        <v>ZTPH076SKR</v>
      </c>
      <c r="S843">
        <f t="shared" si="254"/>
        <v>0</v>
      </c>
      <c r="U843" t="str">
        <f t="shared" si="255"/>
        <v>continue</v>
      </c>
      <c r="V843" t="str">
        <f t="shared" si="256"/>
        <v>manual</v>
      </c>
      <c r="W843" s="5">
        <f t="shared" si="257"/>
        <v>1163.5908000000002</v>
      </c>
      <c r="Y843" t="b">
        <f t="shared" si="258"/>
        <v>1</v>
      </c>
      <c r="Z843" t="b">
        <f t="shared" si="259"/>
        <v>0</v>
      </c>
      <c r="AB843" t="str">
        <f t="shared" si="260"/>
        <v/>
      </c>
      <c r="AE843" t="b">
        <v>0</v>
      </c>
    </row>
    <row r="844" spans="1:31" x14ac:dyDescent="0.2">
      <c r="A844" t="str">
        <f t="shared" si="247"/>
        <v>https://shop.officineitalianezard.it/en/triumph-bonneville-exhaust-zard/</v>
      </c>
      <c r="B844" t="b">
        <f>COUNTIF($A$2:$A844, A844)&gt;1</f>
        <v>1</v>
      </c>
      <c r="C844" t="b">
        <f t="shared" si="248"/>
        <v>1</v>
      </c>
      <c r="D844">
        <f>VLOOKUP(A844,variant_counts!A:B, 2, FALSE)</f>
        <v>2</v>
      </c>
      <c r="E844" t="str">
        <f t="shared" si="261"/>
        <v>zard-exhaust-22-full-kit-triumph-bonneville-steel-version-ztph076skr</v>
      </c>
      <c r="F844" t="str">
        <f t="shared" si="249"/>
        <v>ZARD EXHAUST 2&gt;2 FULL KIT TRIUMPH BONNEVILLE STEEL VERSION ZTPH076SKR</v>
      </c>
      <c r="G844" t="str">
        <f t="shared" si="250"/>
        <v/>
      </c>
      <c r="H844" t="str">
        <f t="shared" si="262"/>
        <v/>
      </c>
      <c r="I844" t="str">
        <f t="shared" si="263"/>
        <v/>
      </c>
      <c r="J844" t="str">
        <f t="shared" si="264"/>
        <v/>
      </c>
      <c r="K844" t="str">
        <f t="shared" si="265"/>
        <v/>
      </c>
      <c r="L844" t="str">
        <f t="shared" si="251"/>
        <v>Option</v>
      </c>
      <c r="M844" t="str">
        <f t="shared" si="252"/>
        <v>MIRROR POLISHED</v>
      </c>
      <c r="R844" t="str">
        <f t="shared" si="253"/>
        <v>ZTPH076SKR</v>
      </c>
      <c r="S844">
        <f t="shared" si="254"/>
        <v>0</v>
      </c>
      <c r="U844" t="str">
        <f t="shared" si="255"/>
        <v>continue</v>
      </c>
      <c r="V844" t="str">
        <f t="shared" si="256"/>
        <v>manual</v>
      </c>
      <c r="W844" s="5">
        <f t="shared" si="257"/>
        <v>1022.754</v>
      </c>
      <c r="Y844" t="b">
        <f t="shared" si="258"/>
        <v>1</v>
      </c>
      <c r="Z844" t="b">
        <f t="shared" si="259"/>
        <v>0</v>
      </c>
      <c r="AB844" t="str">
        <f t="shared" si="260"/>
        <v/>
      </c>
      <c r="AE844" t="b">
        <v>0</v>
      </c>
    </row>
    <row r="845" spans="1:31" x14ac:dyDescent="0.2">
      <c r="A845" t="str">
        <f t="shared" si="247"/>
        <v>https://shop.officineitalianezard.it/en/products/index/triumph-bobber-headers-kit-zard-7880-214/</v>
      </c>
      <c r="B845" t="b">
        <f>COUNTIF($A$2:$A845, A845)&gt;1</f>
        <v>0</v>
      </c>
      <c r="C845" t="b">
        <f t="shared" si="248"/>
        <v>0</v>
      </c>
      <c r="D845">
        <f>VLOOKUP(A845,variant_counts!A:B, 2, FALSE)</f>
        <v>1</v>
      </c>
      <c r="E845" t="str">
        <f t="shared" si="261"/>
        <v>zard-exhaust-headers-kit-triumph-bobber-201719-steel-version-ztph069scr</v>
      </c>
      <c r="F845" t="str">
        <f t="shared" si="249"/>
        <v>ZARD EXHAUST HEADERS KIT TRIUMPH BOBBER 2017/19 STEEL VERSION ZTPH069SCR</v>
      </c>
      <c r="G845" t="str">
        <f t="shared" si="250"/>
        <v>&lt;p&gt;&lt;span&gt;2&amp;gt;2 STEEL RACING HEADERS KIT&lt;/span&gt;&lt;/p&gt;
&lt;p&gt;HARD INCREASE, COMPARED TO THE ORIGINAL EXHAUST SYSTEM, IN TERMS OF TORQUE AND POWER AT ANY RANGE&lt;/p&gt;
&lt;p&gt;ASTONISHING SOUND&lt;/p&gt;
&lt;p&gt;&lt;strong&gt;NOTICE&lt;/strong&gt;: ZARD HEADERS KIT FOR TRIUMPH BOBBER FITS WITH ZARD SILENCERS ONLY&lt;/p&gt;
&lt;p&gt;&lt;/p&gt;</v>
      </c>
      <c r="H845" t="str">
        <f t="shared" si="262"/>
        <v>ZARD</v>
      </c>
      <c r="I845" t="str">
        <f t="shared" si="263"/>
        <v>Exhaust Pipe</v>
      </c>
      <c r="J845" t="str">
        <f t="shared" si="264"/>
        <v>Test</v>
      </c>
      <c r="K845" t="b">
        <f t="shared" si="265"/>
        <v>0</v>
      </c>
      <c r="L845" t="str">
        <f t="shared" si="251"/>
        <v>Option</v>
      </c>
      <c r="M845" t="str">
        <f t="shared" si="252"/>
        <v>DEFAULT</v>
      </c>
      <c r="R845" t="str">
        <f t="shared" si="253"/>
        <v>ZTPH069SCR</v>
      </c>
      <c r="S845">
        <f t="shared" si="254"/>
        <v>0</v>
      </c>
      <c r="U845" t="str">
        <f t="shared" si="255"/>
        <v>continue</v>
      </c>
      <c r="V845" t="str">
        <f t="shared" si="256"/>
        <v>manual</v>
      </c>
      <c r="W845" s="5">
        <f t="shared" si="257"/>
        <v>333.00000000000006</v>
      </c>
      <c r="Y845" t="b">
        <f t="shared" si="258"/>
        <v>1</v>
      </c>
      <c r="Z845" t="b">
        <f t="shared" si="259"/>
        <v>0</v>
      </c>
      <c r="AB845" t="str">
        <f t="shared" si="260"/>
        <v>https://shop.officineitalianezard.it/contents/imgs/products/1_2263-collettori%20zard%20bobber.jpg</v>
      </c>
      <c r="AE845" t="b">
        <v>0</v>
      </c>
    </row>
    <row r="846" spans="1:31" x14ac:dyDescent="0.2">
      <c r="A846" t="str">
        <f t="shared" si="247"/>
        <v>https://shop.officineitalianezard.it/en/products/index/triumph-bobber-headers-kit-zard-7880-214/</v>
      </c>
      <c r="B846" t="b">
        <f>COUNTIF($A$2:$A846, A846)&gt;1</f>
        <v>1</v>
      </c>
      <c r="C846" t="b">
        <f t="shared" si="248"/>
        <v>0</v>
      </c>
      <c r="D846">
        <f>VLOOKUP(A846,variant_counts!A:B, 2, FALSE)</f>
        <v>1</v>
      </c>
      <c r="E846" t="str">
        <f t="shared" si="261"/>
        <v>zard-exhaust-headers-kit-triumph-bobber-201719-steel-version-ztph069scr</v>
      </c>
      <c r="F846" t="str">
        <f t="shared" si="249"/>
        <v>ZARD EXHAUST HEADERS KIT TRIUMPH BOBBER 2017/19 STEEL VERSION ZTPH069SCR</v>
      </c>
      <c r="G846" t="str">
        <f t="shared" si="250"/>
        <v/>
      </c>
      <c r="H846" t="str">
        <f t="shared" si="262"/>
        <v/>
      </c>
      <c r="I846" t="str">
        <f t="shared" si="263"/>
        <v/>
      </c>
      <c r="J846" t="str">
        <f t="shared" si="264"/>
        <v/>
      </c>
      <c r="K846" t="str">
        <f t="shared" si="265"/>
        <v/>
      </c>
      <c r="L846" t="str">
        <f t="shared" si="251"/>
        <v/>
      </c>
      <c r="M846" t="str">
        <f t="shared" si="252"/>
        <v/>
      </c>
      <c r="R846" t="str">
        <f t="shared" si="253"/>
        <v/>
      </c>
      <c r="S846" t="str">
        <f t="shared" si="254"/>
        <v/>
      </c>
      <c r="U846" t="str">
        <f t="shared" si="255"/>
        <v/>
      </c>
      <c r="V846" t="str">
        <f t="shared" si="256"/>
        <v/>
      </c>
      <c r="W846" s="5" t="str">
        <f t="shared" si="257"/>
        <v/>
      </c>
      <c r="Y846" t="str">
        <f t="shared" si="258"/>
        <v/>
      </c>
      <c r="Z846" t="str">
        <f t="shared" si="259"/>
        <v/>
      </c>
      <c r="AB846" t="str">
        <f t="shared" si="260"/>
        <v>https://shop.officineitalianezard.it/contents/imgs/products/1_2264-collettori%20triumph%20bobber%20-%20zard.jpg</v>
      </c>
      <c r="AE846" t="b">
        <v>0</v>
      </c>
    </row>
    <row r="847" spans="1:31" x14ac:dyDescent="0.2">
      <c r="A847" t="str">
        <f t="shared" si="247"/>
        <v>https://shop.officineitalianezard.it/en/products/index/triumph-bobber-headers-kit-zard-7880-214/</v>
      </c>
      <c r="B847" t="b">
        <f>COUNTIF($A$2:$A847, A847)&gt;1</f>
        <v>1</v>
      </c>
      <c r="C847" t="b">
        <f t="shared" si="248"/>
        <v>1</v>
      </c>
      <c r="D847">
        <f>VLOOKUP(A847,variant_counts!A:B, 2, FALSE)</f>
        <v>1</v>
      </c>
      <c r="E847" t="str">
        <f t="shared" si="261"/>
        <v>zard-exhaust-headers-kit-triumph-bobber-201719-steel-version-ztph069scr</v>
      </c>
      <c r="F847" t="str">
        <f t="shared" si="249"/>
        <v>ZARD EXHAUST HEADERS KIT TRIUMPH BOBBER 2017/19 STEEL VERSION ZTPH069SCR</v>
      </c>
      <c r="G847" t="str">
        <f t="shared" si="250"/>
        <v/>
      </c>
      <c r="H847" t="str">
        <f t="shared" si="262"/>
        <v/>
      </c>
      <c r="I847" t="str">
        <f t="shared" si="263"/>
        <v/>
      </c>
      <c r="J847" t="str">
        <f t="shared" si="264"/>
        <v/>
      </c>
      <c r="K847" t="str">
        <f t="shared" si="265"/>
        <v/>
      </c>
      <c r="L847" t="str">
        <f t="shared" si="251"/>
        <v>Option</v>
      </c>
      <c r="M847" t="str">
        <f t="shared" si="252"/>
        <v>BLACK COATING</v>
      </c>
      <c r="R847" t="str">
        <f t="shared" si="253"/>
        <v>ZTPH069SCR</v>
      </c>
      <c r="S847">
        <f t="shared" si="254"/>
        <v>0</v>
      </c>
      <c r="U847" t="str">
        <f t="shared" si="255"/>
        <v>continue</v>
      </c>
      <c r="V847" t="str">
        <f t="shared" si="256"/>
        <v>manual</v>
      </c>
      <c r="W847" s="5">
        <f t="shared" si="257"/>
        <v>418.98060000000004</v>
      </c>
      <c r="Y847" t="b">
        <f t="shared" si="258"/>
        <v>1</v>
      </c>
      <c r="Z847" t="b">
        <f t="shared" si="259"/>
        <v>0</v>
      </c>
      <c r="AB847" t="str">
        <f t="shared" si="260"/>
        <v/>
      </c>
      <c r="AE847" t="b">
        <v>0</v>
      </c>
    </row>
    <row r="848" spans="1:31" x14ac:dyDescent="0.2">
      <c r="A848" t="str">
        <f t="shared" si="247"/>
        <v>https://shop.officineitalianezard.it/en/triumph-bobber-exhaust-zard/</v>
      </c>
      <c r="B848" t="b">
        <f>COUNTIF($A$2:$A848, A848)&gt;1</f>
        <v>0</v>
      </c>
      <c r="C848" t="b">
        <f t="shared" si="248"/>
        <v>0</v>
      </c>
      <c r="D848">
        <f>VLOOKUP(A848,variant_counts!A:B, 2, FALSE)</f>
        <v>2</v>
      </c>
      <c r="E848" t="str">
        <f t="shared" si="261"/>
        <v>zard-exhaust-n-2-silencers-triumph-bobber-201719-steel-version-ztph069ssr</v>
      </c>
      <c r="F848" t="str">
        <f t="shared" si="249"/>
        <v>ZARD EXHAUST N. 2 SILENCERS TRIUMPH BOBBER 2017/19 STEEL VERSION ZTPH069SSR</v>
      </c>
      <c r="G848" t="str">
        <f t="shared" si="250"/>
        <v>&lt;p&gt;N. 2 STEEL RACING SILENCERS WITH REMOVABLE DB KILLERS&lt;/p&gt;
&lt;p&gt;&lt;span&gt;THE EXHAUST KEEPS OEM CATALYZER&lt;/span&gt;&lt;/p&gt;
&lt;p&gt;ORIGINAL SILENCERS WEIGHT: KG&amp;nbsp;5.7&lt;br&gt;ZARD SILENCERS WEIGHT: KG&amp;nbsp;2.8&lt;/p&gt;
&lt;p&gt;HARD INCREASE, COMPARED TO THE ORIGINAL EXHAUST SYSTEM, IN TERMS OF TORQUE AND POWER AT ANY RANGE.&lt;/p&gt;
&lt;p&gt;ASTONISHING SOUND.&lt;/p&gt;
&lt;p&gt;HOMOLOGATED VERSION SOON AVAILABLE.&lt;/p&gt;
&lt;p&gt;&lt;strong&gt;&amp;nbsp;&lt;/strong&gt;&lt;/p&gt;</v>
      </c>
      <c r="H848" t="str">
        <f t="shared" si="262"/>
        <v>ZARD</v>
      </c>
      <c r="I848" t="str">
        <f t="shared" si="263"/>
        <v>Exhaust Pipe</v>
      </c>
      <c r="J848" t="str">
        <f t="shared" si="264"/>
        <v>Test</v>
      </c>
      <c r="K848" t="b">
        <f t="shared" si="265"/>
        <v>0</v>
      </c>
      <c r="L848" t="str">
        <f t="shared" si="251"/>
        <v/>
      </c>
      <c r="M848" t="str">
        <f t="shared" si="252"/>
        <v/>
      </c>
      <c r="R848" t="str">
        <f t="shared" si="253"/>
        <v/>
      </c>
      <c r="S848" t="str">
        <f t="shared" si="254"/>
        <v/>
      </c>
      <c r="U848" t="str">
        <f t="shared" si="255"/>
        <v/>
      </c>
      <c r="V848" t="str">
        <f t="shared" si="256"/>
        <v/>
      </c>
      <c r="W848" s="5" t="str">
        <f t="shared" si="257"/>
        <v/>
      </c>
      <c r="Y848" t="str">
        <f t="shared" si="258"/>
        <v/>
      </c>
      <c r="Z848" t="str">
        <f t="shared" si="259"/>
        <v/>
      </c>
      <c r="AB848" t="str">
        <f t="shared" si="260"/>
        <v>https://shop.officineitalianezard.it/contents/imgs/products/1_1830-1%20scarico%20triumph%20bobber%20-%20zard.jpg</v>
      </c>
      <c r="AE848" t="b">
        <v>0</v>
      </c>
    </row>
    <row r="849" spans="1:31" x14ac:dyDescent="0.2">
      <c r="A849" t="str">
        <f t="shared" si="247"/>
        <v>https://shop.officineitalianezard.it/en/triumph-bobber-exhaust-zard/</v>
      </c>
      <c r="B849" t="b">
        <f>COUNTIF($A$2:$A849, A849)&gt;1</f>
        <v>1</v>
      </c>
      <c r="C849" t="b">
        <f t="shared" si="248"/>
        <v>0</v>
      </c>
      <c r="D849">
        <f>VLOOKUP(A849,variant_counts!A:B, 2, FALSE)</f>
        <v>2</v>
      </c>
      <c r="E849" t="str">
        <f t="shared" si="261"/>
        <v>zard-exhaust-n-2-silencers-triumph-bobber-201719-steel-version-ztph069ssr</v>
      </c>
      <c r="F849" t="str">
        <f t="shared" si="249"/>
        <v>ZARD EXHAUST N. 2 SILENCERS TRIUMPH BOBBER 2017/19 STEEL VERSION ZTPH069SSR</v>
      </c>
      <c r="G849" t="str">
        <f t="shared" si="250"/>
        <v/>
      </c>
      <c r="H849" t="str">
        <f t="shared" si="262"/>
        <v/>
      </c>
      <c r="I849" t="str">
        <f t="shared" si="263"/>
        <v/>
      </c>
      <c r="J849" t="str">
        <f t="shared" si="264"/>
        <v/>
      </c>
      <c r="K849" t="str">
        <f t="shared" si="265"/>
        <v/>
      </c>
      <c r="L849" t="str">
        <f t="shared" si="251"/>
        <v/>
      </c>
      <c r="M849" t="str">
        <f t="shared" si="252"/>
        <v/>
      </c>
      <c r="R849" t="str">
        <f t="shared" si="253"/>
        <v/>
      </c>
      <c r="S849" t="str">
        <f t="shared" si="254"/>
        <v/>
      </c>
      <c r="U849" t="str">
        <f t="shared" si="255"/>
        <v/>
      </c>
      <c r="V849" t="str">
        <f t="shared" si="256"/>
        <v/>
      </c>
      <c r="W849" s="5" t="str">
        <f t="shared" si="257"/>
        <v/>
      </c>
      <c r="Y849" t="str">
        <f t="shared" si="258"/>
        <v/>
      </c>
      <c r="Z849" t="str">
        <f t="shared" si="259"/>
        <v/>
      </c>
      <c r="AB849" t="str">
        <f t="shared" si="260"/>
        <v>https://shop.officineitalianezard.it/contents/imgs/products/1_1834-2%20triumph%20bobber%20exhaust%20-%20zard.jpg</v>
      </c>
      <c r="AE849" t="b">
        <v>0</v>
      </c>
    </row>
    <row r="850" spans="1:31" x14ac:dyDescent="0.2">
      <c r="A850" t="str">
        <f t="shared" si="247"/>
        <v>https://shop.officineitalianezard.it/en/triumph-bobber-exhaust-zard/</v>
      </c>
      <c r="B850" t="b">
        <f>COUNTIF($A$2:$A850, A850)&gt;1</f>
        <v>1</v>
      </c>
      <c r="C850" t="b">
        <f t="shared" si="248"/>
        <v>0</v>
      </c>
      <c r="D850">
        <f>VLOOKUP(A850,variant_counts!A:B, 2, FALSE)</f>
        <v>2</v>
      </c>
      <c r="E850" t="str">
        <f t="shared" si="261"/>
        <v>zard-exhaust-n-2-silencers-triumph-bobber-201719-steel-version-ztph069ssr</v>
      </c>
      <c r="F850" t="str">
        <f t="shared" si="249"/>
        <v>ZARD EXHAUST N. 2 SILENCERS TRIUMPH BOBBER 2017/19 STEEL VERSION ZTPH069SSR</v>
      </c>
      <c r="G850" t="str">
        <f t="shared" si="250"/>
        <v/>
      </c>
      <c r="H850" t="str">
        <f t="shared" si="262"/>
        <v/>
      </c>
      <c r="I850" t="str">
        <f t="shared" si="263"/>
        <v/>
      </c>
      <c r="J850" t="str">
        <f t="shared" si="264"/>
        <v/>
      </c>
      <c r="K850" t="str">
        <f t="shared" si="265"/>
        <v/>
      </c>
      <c r="L850" t="str">
        <f t="shared" si="251"/>
        <v/>
      </c>
      <c r="M850" t="str">
        <f t="shared" si="252"/>
        <v/>
      </c>
      <c r="R850" t="str">
        <f t="shared" si="253"/>
        <v/>
      </c>
      <c r="S850" t="str">
        <f t="shared" si="254"/>
        <v/>
      </c>
      <c r="U850" t="str">
        <f t="shared" si="255"/>
        <v/>
      </c>
      <c r="V850" t="str">
        <f t="shared" si="256"/>
        <v/>
      </c>
      <c r="W850" s="5" t="str">
        <f t="shared" si="257"/>
        <v/>
      </c>
      <c r="Y850" t="str">
        <f t="shared" si="258"/>
        <v/>
      </c>
      <c r="Z850" t="str">
        <f t="shared" si="259"/>
        <v/>
      </c>
      <c r="AB850" t="str">
        <f t="shared" si="260"/>
        <v>https://shop.officineitalianezard.it/contents/imgs/products/1_1833-3%20scarichi%20triumph%20bobber%20-%20zard.jpg</v>
      </c>
      <c r="AE850" t="b">
        <v>0</v>
      </c>
    </row>
    <row r="851" spans="1:31" x14ac:dyDescent="0.2">
      <c r="A851" t="str">
        <f t="shared" si="247"/>
        <v>https://shop.officineitalianezard.it/en/triumph-bobber-exhaust-zard/</v>
      </c>
      <c r="B851" t="b">
        <f>COUNTIF($A$2:$A851, A851)&gt;1</f>
        <v>1</v>
      </c>
      <c r="C851" t="b">
        <f t="shared" si="248"/>
        <v>0</v>
      </c>
      <c r="D851">
        <f>VLOOKUP(A851,variant_counts!A:B, 2, FALSE)</f>
        <v>2</v>
      </c>
      <c r="E851" t="str">
        <f t="shared" si="261"/>
        <v>zard-exhaust-n-2-silencers-triumph-bobber-201719-steel-version-ztph069ssr</v>
      </c>
      <c r="F851" t="str">
        <f t="shared" si="249"/>
        <v>ZARD EXHAUST N. 2 SILENCERS TRIUMPH BOBBER 2017/19 STEEL VERSION ZTPH069SSR</v>
      </c>
      <c r="G851" t="str">
        <f t="shared" si="250"/>
        <v/>
      </c>
      <c r="H851" t="str">
        <f t="shared" si="262"/>
        <v/>
      </c>
      <c r="I851" t="str">
        <f t="shared" si="263"/>
        <v/>
      </c>
      <c r="J851" t="str">
        <f t="shared" si="264"/>
        <v/>
      </c>
      <c r="K851" t="str">
        <f t="shared" si="265"/>
        <v/>
      </c>
      <c r="L851" t="str">
        <f t="shared" si="251"/>
        <v/>
      </c>
      <c r="M851" t="str">
        <f t="shared" si="252"/>
        <v/>
      </c>
      <c r="R851" t="str">
        <f t="shared" si="253"/>
        <v/>
      </c>
      <c r="S851" t="str">
        <f t="shared" si="254"/>
        <v/>
      </c>
      <c r="U851" t="str">
        <f t="shared" si="255"/>
        <v/>
      </c>
      <c r="V851" t="str">
        <f t="shared" si="256"/>
        <v/>
      </c>
      <c r="W851" s="5" t="str">
        <f t="shared" si="257"/>
        <v/>
      </c>
      <c r="Y851" t="str">
        <f t="shared" si="258"/>
        <v/>
      </c>
      <c r="Z851" t="str">
        <f t="shared" si="259"/>
        <v/>
      </c>
      <c r="AB851" t="str">
        <f t="shared" si="260"/>
        <v>https://shop.officineitalianezard.it/contents/imgs/products/1_1832-4%20triumph%20bobber%20-%20zard.jpg</v>
      </c>
      <c r="AE851" t="b">
        <v>0</v>
      </c>
    </row>
    <row r="852" spans="1:31" x14ac:dyDescent="0.2">
      <c r="A852" t="str">
        <f t="shared" si="247"/>
        <v>https://shop.officineitalianezard.it/en/triumph-bobber-exhaust-zard/</v>
      </c>
      <c r="B852" t="b">
        <f>COUNTIF($A$2:$A852, A852)&gt;1</f>
        <v>1</v>
      </c>
      <c r="C852" t="b">
        <f t="shared" si="248"/>
        <v>0</v>
      </c>
      <c r="D852">
        <f>VLOOKUP(A852,variant_counts!A:B, 2, FALSE)</f>
        <v>2</v>
      </c>
      <c r="E852" t="str">
        <f t="shared" si="261"/>
        <v>zard-exhaust-n-2-silencers-triumph-bobber-201719-steel-version-ztph069ssr</v>
      </c>
      <c r="F852" t="str">
        <f t="shared" si="249"/>
        <v>ZARD EXHAUST N. 2 SILENCERS TRIUMPH BOBBER 2017/19 STEEL VERSION ZTPH069SSR</v>
      </c>
      <c r="G852" t="str">
        <f t="shared" si="250"/>
        <v/>
      </c>
      <c r="H852" t="str">
        <f t="shared" si="262"/>
        <v/>
      </c>
      <c r="I852" t="str">
        <f t="shared" si="263"/>
        <v/>
      </c>
      <c r="J852" t="str">
        <f t="shared" si="264"/>
        <v/>
      </c>
      <c r="K852" t="str">
        <f t="shared" si="265"/>
        <v/>
      </c>
      <c r="L852" t="str">
        <f t="shared" si="251"/>
        <v/>
      </c>
      <c r="M852" t="str">
        <f t="shared" si="252"/>
        <v/>
      </c>
      <c r="R852" t="str">
        <f t="shared" si="253"/>
        <v/>
      </c>
      <c r="S852" t="str">
        <f t="shared" si="254"/>
        <v/>
      </c>
      <c r="U852" t="str">
        <f t="shared" si="255"/>
        <v/>
      </c>
      <c r="V852" t="str">
        <f t="shared" si="256"/>
        <v/>
      </c>
      <c r="W852" s="5" t="str">
        <f t="shared" si="257"/>
        <v/>
      </c>
      <c r="Y852" t="str">
        <f t="shared" si="258"/>
        <v/>
      </c>
      <c r="Z852" t="str">
        <f t="shared" si="259"/>
        <v/>
      </c>
      <c r="AB852" t="str">
        <f t="shared" si="260"/>
        <v>https://shop.officineitalianezard.it/contents/imgs/products/1_1831-5%20triumph%20bobber%20exhaust%20-%20scarichi%20triumph.jpg</v>
      </c>
      <c r="AE852" t="b">
        <v>0</v>
      </c>
    </row>
    <row r="853" spans="1:31" x14ac:dyDescent="0.2">
      <c r="A853" t="str">
        <f t="shared" si="247"/>
        <v>https://shop.officineitalianezard.it/en/triumph-bobber-exhaust-zard/</v>
      </c>
      <c r="B853" t="b">
        <f>COUNTIF($A$2:$A853, A853)&gt;1</f>
        <v>1</v>
      </c>
      <c r="C853" t="b">
        <f t="shared" si="248"/>
        <v>0</v>
      </c>
      <c r="D853">
        <f>VLOOKUP(A853,variant_counts!A:B, 2, FALSE)</f>
        <v>2</v>
      </c>
      <c r="E853" t="str">
        <f t="shared" si="261"/>
        <v>zard-exhaust-n-2-silencers-triumph-bobber-201719-steel-version-ztph069ssr</v>
      </c>
      <c r="F853" t="str">
        <f t="shared" si="249"/>
        <v>ZARD EXHAUST N. 2 SILENCERS TRIUMPH BOBBER 2017/19 STEEL VERSION ZTPH069SSR</v>
      </c>
      <c r="G853" t="str">
        <f t="shared" si="250"/>
        <v/>
      </c>
      <c r="H853" t="str">
        <f t="shared" si="262"/>
        <v/>
      </c>
      <c r="I853" t="str">
        <f t="shared" si="263"/>
        <v/>
      </c>
      <c r="J853" t="str">
        <f t="shared" si="264"/>
        <v/>
      </c>
      <c r="K853" t="str">
        <f t="shared" si="265"/>
        <v/>
      </c>
      <c r="L853" t="str">
        <f t="shared" si="251"/>
        <v/>
      </c>
      <c r="M853" t="str">
        <f t="shared" si="252"/>
        <v/>
      </c>
      <c r="R853" t="str">
        <f t="shared" si="253"/>
        <v/>
      </c>
      <c r="S853" t="str">
        <f t="shared" si="254"/>
        <v/>
      </c>
      <c r="U853" t="str">
        <f t="shared" si="255"/>
        <v/>
      </c>
      <c r="V853" t="str">
        <f t="shared" si="256"/>
        <v/>
      </c>
      <c r="W853" s="5" t="str">
        <f t="shared" si="257"/>
        <v/>
      </c>
      <c r="Y853" t="str">
        <f t="shared" si="258"/>
        <v/>
      </c>
      <c r="Z853" t="str">
        <f t="shared" si="259"/>
        <v/>
      </c>
      <c r="AB853" t="str">
        <f t="shared" si="260"/>
        <v>https://shop.officineitalianezard.it/contents/imgs/products/1_1835-TRIUMPH%20BOBBER.jpg</v>
      </c>
      <c r="AE853" t="b">
        <v>0</v>
      </c>
    </row>
    <row r="854" spans="1:31" x14ac:dyDescent="0.2">
      <c r="A854" t="str">
        <f t="shared" si="247"/>
        <v>https://shop.officineitalianezard.it/en/triumph-bobber-exhaust-zard/</v>
      </c>
      <c r="B854" t="b">
        <f>COUNTIF($A$2:$A854, A854)&gt;1</f>
        <v>1</v>
      </c>
      <c r="C854" t="b">
        <f t="shared" si="248"/>
        <v>1</v>
      </c>
      <c r="D854">
        <f>VLOOKUP(A854,variant_counts!A:B, 2, FALSE)</f>
        <v>2</v>
      </c>
      <c r="E854" t="str">
        <f t="shared" si="261"/>
        <v>zard-exhaust-n-2-silencers-triumph-bobber-201719-steel-version-ztph069ssr</v>
      </c>
      <c r="F854" t="str">
        <f t="shared" si="249"/>
        <v>ZARD EXHAUST N. 2 SILENCERS TRIUMPH BOBBER 2017/19 STEEL VERSION ZTPH069SSR</v>
      </c>
      <c r="G854" t="str">
        <f t="shared" si="250"/>
        <v/>
      </c>
      <c r="H854" t="str">
        <f t="shared" si="262"/>
        <v/>
      </c>
      <c r="I854" t="str">
        <f t="shared" si="263"/>
        <v/>
      </c>
      <c r="J854" t="str">
        <f t="shared" si="264"/>
        <v/>
      </c>
      <c r="K854" t="str">
        <f t="shared" si="265"/>
        <v/>
      </c>
      <c r="L854" t="str">
        <f t="shared" si="251"/>
        <v>Option</v>
      </c>
      <c r="M854" t="str">
        <f t="shared" si="252"/>
        <v>EURO 4 HOMOLOGATED</v>
      </c>
      <c r="R854" t="str">
        <f t="shared" si="253"/>
        <v>ZTPH069SSR</v>
      </c>
      <c r="S854">
        <f t="shared" si="254"/>
        <v>0</v>
      </c>
      <c r="U854" t="str">
        <f t="shared" si="255"/>
        <v>continue</v>
      </c>
      <c r="V854" t="str">
        <f t="shared" si="256"/>
        <v>manual</v>
      </c>
      <c r="W854" s="5">
        <f t="shared" si="257"/>
        <v>860.52750000000003</v>
      </c>
      <c r="Y854" t="b">
        <f t="shared" si="258"/>
        <v>1</v>
      </c>
      <c r="Z854" t="b">
        <f t="shared" si="259"/>
        <v>0</v>
      </c>
      <c r="AB854" t="str">
        <f t="shared" si="260"/>
        <v/>
      </c>
      <c r="AE854" t="b">
        <v>0</v>
      </c>
    </row>
    <row r="855" spans="1:31" x14ac:dyDescent="0.2">
      <c r="A855" t="str">
        <f t="shared" si="247"/>
        <v>https://shop.officineitalianezard.it/en/triumph-bobber-exhaust-zard/</v>
      </c>
      <c r="B855" t="b">
        <f>COUNTIF($A$2:$A855, A855)&gt;1</f>
        <v>1</v>
      </c>
      <c r="C855" t="b">
        <f t="shared" si="248"/>
        <v>1</v>
      </c>
      <c r="D855">
        <f>VLOOKUP(A855,variant_counts!A:B, 2, FALSE)</f>
        <v>2</v>
      </c>
      <c r="E855" t="str">
        <f t="shared" si="261"/>
        <v>zard-exhaust-n-2-silencers-triumph-bobber-201719-steel-version-ztph069ssr</v>
      </c>
      <c r="F855" t="str">
        <f t="shared" si="249"/>
        <v>ZARD EXHAUST N. 2 SILENCERS TRIUMPH BOBBER 2017/19 STEEL VERSION ZTPH069SSR</v>
      </c>
      <c r="G855" t="str">
        <f t="shared" si="250"/>
        <v/>
      </c>
      <c r="H855" t="str">
        <f t="shared" si="262"/>
        <v/>
      </c>
      <c r="I855" t="str">
        <f t="shared" si="263"/>
        <v/>
      </c>
      <c r="J855" t="str">
        <f t="shared" si="264"/>
        <v/>
      </c>
      <c r="K855" t="str">
        <f t="shared" si="265"/>
        <v/>
      </c>
      <c r="L855" t="str">
        <f t="shared" si="251"/>
        <v>Option</v>
      </c>
      <c r="M855" t="str">
        <f t="shared" si="252"/>
        <v>BLACK COATING</v>
      </c>
      <c r="R855" t="str">
        <f t="shared" si="253"/>
        <v>ZTPH069SSR</v>
      </c>
      <c r="S855">
        <f t="shared" si="254"/>
        <v>0</v>
      </c>
      <c r="U855" t="str">
        <f t="shared" si="255"/>
        <v>continue</v>
      </c>
      <c r="V855" t="str">
        <f t="shared" si="256"/>
        <v>manual</v>
      </c>
      <c r="W855" s="5">
        <f t="shared" si="257"/>
        <v>1031.6673000000001</v>
      </c>
      <c r="Y855" t="b">
        <f t="shared" si="258"/>
        <v>1</v>
      </c>
      <c r="Z855" t="b">
        <f t="shared" si="259"/>
        <v>0</v>
      </c>
      <c r="AB855" t="str">
        <f t="shared" si="260"/>
        <v/>
      </c>
      <c r="AE855" t="b">
        <v>0</v>
      </c>
    </row>
    <row r="856" spans="1:31" x14ac:dyDescent="0.2">
      <c r="A856" t="str">
        <f t="shared" si="247"/>
        <v>https://shop.officineitalianezard.it/en/products/index/zard-silencer-for-quadro-scooter-7628-175/</v>
      </c>
      <c r="B856" t="b">
        <f>COUNTIF($A$2:$A856, A856)&gt;1</f>
        <v>0</v>
      </c>
      <c r="C856" t="b">
        <f t="shared" si="248"/>
        <v>0</v>
      </c>
      <c r="D856">
        <f>VLOOKUP(A856,variant_counts!A:B, 2, FALSE)</f>
        <v>1</v>
      </c>
      <c r="E856" t="str">
        <f t="shared" si="261"/>
        <v>zard-exhaust-silencer-quadro-quadro-4-steel-version-zq100ssr</v>
      </c>
      <c r="F856" t="str">
        <f t="shared" si="249"/>
        <v>ZARD EXHAUST SILENCER QUADRO QUADRO 4 STEEL VERSION ZQ100SSR</v>
      </c>
      <c r="G856" t="str">
        <f t="shared" si="250"/>
        <v>&lt;p&gt;STEEL SILENCER RACING WITH REMOVABLE DB KILLER&lt;/p&gt;</v>
      </c>
      <c r="H856" t="str">
        <f t="shared" si="262"/>
        <v>ZARD</v>
      </c>
      <c r="I856" t="str">
        <f t="shared" si="263"/>
        <v>Exhaust Pipe</v>
      </c>
      <c r="J856" t="str">
        <f t="shared" si="264"/>
        <v>Test</v>
      </c>
      <c r="K856" t="b">
        <f t="shared" si="265"/>
        <v>0</v>
      </c>
      <c r="L856" t="str">
        <f t="shared" si="251"/>
        <v>Option</v>
      </c>
      <c r="M856" t="str">
        <f t="shared" si="252"/>
        <v>DEFAULT</v>
      </c>
      <c r="R856" t="str">
        <f t="shared" si="253"/>
        <v>ZQ100SSR</v>
      </c>
      <c r="S856">
        <f t="shared" si="254"/>
        <v>0</v>
      </c>
      <c r="U856" t="str">
        <f t="shared" si="255"/>
        <v>continue</v>
      </c>
      <c r="V856" t="str">
        <f t="shared" si="256"/>
        <v>manual</v>
      </c>
      <c r="W856" s="5">
        <f t="shared" si="257"/>
        <v>579.5643</v>
      </c>
      <c r="Y856" t="b">
        <f t="shared" si="258"/>
        <v>1</v>
      </c>
      <c r="Z856" t="b">
        <f t="shared" si="259"/>
        <v>0</v>
      </c>
      <c r="AB856" t="str">
        <f t="shared" si="260"/>
        <v>https://shop.officineitalianezard.it/contents/imgs/products/1_1256-12244232_901849399897786_7898076898959205240_o.jpg</v>
      </c>
      <c r="AE856" t="b">
        <v>0</v>
      </c>
    </row>
    <row r="857" spans="1:31" x14ac:dyDescent="0.2">
      <c r="A857" t="str">
        <f t="shared" si="247"/>
        <v>https://shop.officineitalianezard.it/en/products/index/zard-silencer-for-quadro-scooter-7628-175/</v>
      </c>
      <c r="B857" t="b">
        <f>COUNTIF($A$2:$A857, A857)&gt;1</f>
        <v>1</v>
      </c>
      <c r="C857" t="b">
        <f t="shared" si="248"/>
        <v>0</v>
      </c>
      <c r="D857">
        <f>VLOOKUP(A857,variant_counts!A:B, 2, FALSE)</f>
        <v>1</v>
      </c>
      <c r="E857" t="str">
        <f t="shared" si="261"/>
        <v>zard-exhaust-silencer-quadro-quadro-4-steel-version-zq100ssr</v>
      </c>
      <c r="F857" t="str">
        <f t="shared" si="249"/>
        <v>ZARD EXHAUST SILENCER QUADRO QUADRO 4 STEEL VERSION ZQ100SSR</v>
      </c>
      <c r="G857" t="str">
        <f t="shared" si="250"/>
        <v/>
      </c>
      <c r="H857" t="str">
        <f t="shared" si="262"/>
        <v/>
      </c>
      <c r="I857" t="str">
        <f t="shared" si="263"/>
        <v/>
      </c>
      <c r="J857" t="str">
        <f t="shared" si="264"/>
        <v/>
      </c>
      <c r="K857" t="str">
        <f t="shared" si="265"/>
        <v/>
      </c>
      <c r="L857" t="str">
        <f t="shared" si="251"/>
        <v/>
      </c>
      <c r="M857" t="str">
        <f t="shared" si="252"/>
        <v/>
      </c>
      <c r="R857" t="str">
        <f t="shared" si="253"/>
        <v/>
      </c>
      <c r="S857" t="str">
        <f t="shared" si="254"/>
        <v/>
      </c>
      <c r="U857" t="str">
        <f t="shared" si="255"/>
        <v/>
      </c>
      <c r="V857" t="str">
        <f t="shared" si="256"/>
        <v/>
      </c>
      <c r="W857" s="5" t="str">
        <f t="shared" si="257"/>
        <v/>
      </c>
      <c r="Y857" t="str">
        <f t="shared" si="258"/>
        <v/>
      </c>
      <c r="Z857" t="str">
        <f t="shared" si="259"/>
        <v/>
      </c>
      <c r="AB857" t="str">
        <f t="shared" si="260"/>
        <v>https://shop.officineitalianezard.it/contents/imgs/products/1_1258-12291666_901849426564450_5068136124102986536_o.jpg</v>
      </c>
      <c r="AE857" t="b">
        <v>0</v>
      </c>
    </row>
    <row r="858" spans="1:31" x14ac:dyDescent="0.2">
      <c r="A858" t="str">
        <f t="shared" si="247"/>
        <v>https://shop.officineitalianezard.it/en/products/index/zard-silencer-for-quadro-scooter-7628-175/</v>
      </c>
      <c r="B858" t="b">
        <f>COUNTIF($A$2:$A858, A858)&gt;1</f>
        <v>1</v>
      </c>
      <c r="C858" t="b">
        <f t="shared" si="248"/>
        <v>0</v>
      </c>
      <c r="D858">
        <f>VLOOKUP(A858,variant_counts!A:B, 2, FALSE)</f>
        <v>1</v>
      </c>
      <c r="E858" t="str">
        <f t="shared" si="261"/>
        <v>zard-exhaust-silencer-quadro-quadro-4-steel-version-zq100ssr</v>
      </c>
      <c r="F858" t="str">
        <f t="shared" si="249"/>
        <v>ZARD EXHAUST SILENCER QUADRO QUADRO 4 STEEL VERSION ZQ100SSR</v>
      </c>
      <c r="G858" t="str">
        <f t="shared" si="250"/>
        <v/>
      </c>
      <c r="H858" t="str">
        <f t="shared" si="262"/>
        <v/>
      </c>
      <c r="I858" t="str">
        <f t="shared" si="263"/>
        <v/>
      </c>
      <c r="J858" t="str">
        <f t="shared" si="264"/>
        <v/>
      </c>
      <c r="K858" t="str">
        <f t="shared" si="265"/>
        <v/>
      </c>
      <c r="L858" t="str">
        <f t="shared" si="251"/>
        <v/>
      </c>
      <c r="M858" t="str">
        <f t="shared" si="252"/>
        <v/>
      </c>
      <c r="R858" t="str">
        <f t="shared" si="253"/>
        <v/>
      </c>
      <c r="S858" t="str">
        <f t="shared" si="254"/>
        <v/>
      </c>
      <c r="U858" t="str">
        <f t="shared" si="255"/>
        <v/>
      </c>
      <c r="V858" t="str">
        <f t="shared" si="256"/>
        <v/>
      </c>
      <c r="W858" s="5" t="str">
        <f t="shared" si="257"/>
        <v/>
      </c>
      <c r="Y858" t="str">
        <f t="shared" si="258"/>
        <v/>
      </c>
      <c r="Z858" t="str">
        <f t="shared" si="259"/>
        <v/>
      </c>
      <c r="AB858" t="str">
        <f t="shared" si="260"/>
        <v>https://shop.officineitalianezard.it/contents/imgs/products/1_1257-12291120_901849349897791_7826490639037684674_o.jpg</v>
      </c>
      <c r="AE858" t="b">
        <v>0</v>
      </c>
    </row>
    <row r="859" spans="1:31" x14ac:dyDescent="0.2">
      <c r="A859" t="str">
        <f t="shared" si="247"/>
        <v>https://shop.officineitalianezard.it/en/products/index/zard-silencer-for-quadro-scooter-7628-175/</v>
      </c>
      <c r="B859" t="b">
        <f>COUNTIF($A$2:$A859, A859)&gt;1</f>
        <v>1</v>
      </c>
      <c r="C859" t="b">
        <f t="shared" si="248"/>
        <v>0</v>
      </c>
      <c r="D859">
        <f>VLOOKUP(A859,variant_counts!A:B, 2, FALSE)</f>
        <v>1</v>
      </c>
      <c r="E859" t="str">
        <f t="shared" si="261"/>
        <v>zard-exhaust-silencer-quadro-quadro-4-steel-version-zq100ssr</v>
      </c>
      <c r="F859" t="str">
        <f t="shared" si="249"/>
        <v>ZARD EXHAUST SILENCER QUADRO QUADRO 4 STEEL VERSION ZQ100SSR</v>
      </c>
      <c r="G859" t="str">
        <f t="shared" si="250"/>
        <v/>
      </c>
      <c r="H859" t="str">
        <f t="shared" si="262"/>
        <v/>
      </c>
      <c r="I859" t="str">
        <f t="shared" si="263"/>
        <v/>
      </c>
      <c r="J859" t="str">
        <f t="shared" si="264"/>
        <v/>
      </c>
      <c r="K859" t="str">
        <f t="shared" si="265"/>
        <v/>
      </c>
      <c r="L859" t="str">
        <f t="shared" si="251"/>
        <v/>
      </c>
      <c r="M859" t="str">
        <f t="shared" si="252"/>
        <v/>
      </c>
      <c r="R859" t="str">
        <f t="shared" si="253"/>
        <v/>
      </c>
      <c r="S859" t="str">
        <f t="shared" si="254"/>
        <v/>
      </c>
      <c r="U859" t="str">
        <f t="shared" si="255"/>
        <v/>
      </c>
      <c r="V859" t="str">
        <f t="shared" si="256"/>
        <v/>
      </c>
      <c r="W859" s="5" t="str">
        <f t="shared" si="257"/>
        <v/>
      </c>
      <c r="Y859" t="str">
        <f t="shared" si="258"/>
        <v/>
      </c>
      <c r="Z859" t="str">
        <f t="shared" si="259"/>
        <v/>
      </c>
      <c r="AB859" t="str">
        <f t="shared" si="260"/>
        <v>https://shop.officineitalianezard.it/contents/imgs/products/1_1259-12244654_901849536564439_7691203218270463075_o.jpg</v>
      </c>
      <c r="AE859" t="b">
        <v>0</v>
      </c>
    </row>
    <row r="860" spans="1:31" x14ac:dyDescent="0.2">
      <c r="A860" t="str">
        <f t="shared" si="247"/>
        <v>https://shop.officineitalianezard.it/en/products/index/zard-silencer-for-quadro-scooter-7628-175/</v>
      </c>
      <c r="B860" t="b">
        <f>COUNTIF($A$2:$A860, A860)&gt;1</f>
        <v>1</v>
      </c>
      <c r="C860" t="b">
        <f t="shared" si="248"/>
        <v>1</v>
      </c>
      <c r="D860">
        <f>VLOOKUP(A860,variant_counts!A:B, 2, FALSE)</f>
        <v>1</v>
      </c>
      <c r="E860" t="str">
        <f t="shared" si="261"/>
        <v>zard-exhaust-silencer-quadro-quadro-4-steel-version-zq100ssr</v>
      </c>
      <c r="F860" t="str">
        <f t="shared" si="249"/>
        <v>ZARD EXHAUST SILENCER QUADRO QUADRO 4 STEEL VERSION ZQ100SSR</v>
      </c>
      <c r="G860" t="str">
        <f t="shared" si="250"/>
        <v/>
      </c>
      <c r="H860" t="str">
        <f t="shared" si="262"/>
        <v/>
      </c>
      <c r="I860" t="str">
        <f t="shared" si="263"/>
        <v/>
      </c>
      <c r="J860" t="str">
        <f t="shared" si="264"/>
        <v/>
      </c>
      <c r="K860" t="str">
        <f t="shared" si="265"/>
        <v/>
      </c>
      <c r="L860" t="str">
        <f t="shared" si="251"/>
        <v>Option</v>
      </c>
      <c r="M860" t="str">
        <f t="shared" si="252"/>
        <v>BLACK CERAMIC COATING</v>
      </c>
      <c r="R860" t="str">
        <f t="shared" si="253"/>
        <v>ZQ100SSR</v>
      </c>
      <c r="S860">
        <f t="shared" si="254"/>
        <v>0</v>
      </c>
      <c r="U860" t="str">
        <f t="shared" si="255"/>
        <v>continue</v>
      </c>
      <c r="V860" t="str">
        <f t="shared" si="256"/>
        <v>manual</v>
      </c>
      <c r="W860" s="5">
        <f t="shared" si="257"/>
        <v>665.5449000000001</v>
      </c>
      <c r="Y860" t="b">
        <f t="shared" si="258"/>
        <v>1</v>
      </c>
      <c r="Z860" t="b">
        <f t="shared" si="259"/>
        <v>0</v>
      </c>
      <c r="AB860" t="str">
        <f t="shared" si="260"/>
        <v/>
      </c>
      <c r="AE860" t="b">
        <v>0</v>
      </c>
    </row>
    <row r="861" spans="1:31" x14ac:dyDescent="0.2">
      <c r="A861" t="str">
        <f t="shared" si="247"/>
        <v>https://shop.officineitalianezard.it/en/vespa-gts-exhaust-zard/</v>
      </c>
      <c r="B861" t="b">
        <f>COUNTIF($A$2:$A861, A861)&gt;1</f>
        <v>0</v>
      </c>
      <c r="C861" t="b">
        <f t="shared" si="248"/>
        <v>0</v>
      </c>
      <c r="D861">
        <f>VLOOKUP(A861,variant_counts!A:B, 2, FALSE)</f>
        <v>1</v>
      </c>
      <c r="E861" t="str">
        <f t="shared" si="261"/>
        <v>zard-exhaust-silencer-piaggio-vespa-gts-300-201419-steel-version-zp001ssr</v>
      </c>
      <c r="F861" t="str">
        <f t="shared" si="249"/>
        <v>ZARD EXHAUST SILENCER PIAGGIO VESPA GTS 300 2014/19 STEEL VERSION ZP001SSR</v>
      </c>
      <c r="G861" t="str">
        <f t="shared" si="250"/>
        <v>&lt;p&gt;STEEL RACING SILENCER + MIDDLE HEADER PIPE&lt;/p&gt;
&lt;p&gt;ORIGINAL EXHAUST WEIGHT:&amp;nbsp;&lt;span&gt;6.4 KG&lt;br&gt;&lt;/span&gt;ZARD EXHAUST WEIGHT: 3.3 KG&lt;/p&gt;
&lt;p&gt;BLACK EXHAUST WITH POLISHED ENDCAP, BLACK ENDCAP AVAILABLE AS OPTIONAL&lt;/p&gt;
&lt;p&gt;ASTONISHING SOUND&lt;/p&gt;</v>
      </c>
      <c r="H861" t="str">
        <f t="shared" si="262"/>
        <v>ZARD</v>
      </c>
      <c r="I861" t="str">
        <f t="shared" si="263"/>
        <v>Exhaust Pipe</v>
      </c>
      <c r="J861" t="str">
        <f t="shared" si="264"/>
        <v>Test</v>
      </c>
      <c r="K861" t="b">
        <f t="shared" si="265"/>
        <v>0</v>
      </c>
      <c r="L861" t="str">
        <f t="shared" si="251"/>
        <v>Option</v>
      </c>
      <c r="M861" t="str">
        <f t="shared" si="252"/>
        <v>DEFAULT</v>
      </c>
      <c r="R861" t="str">
        <f t="shared" si="253"/>
        <v>ZP001SSR</v>
      </c>
      <c r="S861">
        <f t="shared" si="254"/>
        <v>0</v>
      </c>
      <c r="U861" t="str">
        <f t="shared" si="255"/>
        <v>continue</v>
      </c>
      <c r="V861" t="str">
        <f t="shared" si="256"/>
        <v>manual</v>
      </c>
      <c r="W861" s="5">
        <f t="shared" si="257"/>
        <v>660.53880000000015</v>
      </c>
      <c r="Y861" t="b">
        <f t="shared" si="258"/>
        <v>1</v>
      </c>
      <c r="Z861" t="b">
        <f t="shared" si="259"/>
        <v>0</v>
      </c>
      <c r="AB861" t="str">
        <f t="shared" si="260"/>
        <v>https://shop.officineitalianezard.it/contents/imgs/products/1_1238-1.jpg</v>
      </c>
      <c r="AE861" t="b">
        <v>0</v>
      </c>
    </row>
    <row r="862" spans="1:31" x14ac:dyDescent="0.2">
      <c r="A862" t="str">
        <f t="shared" si="247"/>
        <v>https://shop.officineitalianezard.it/en/vespa-gts-exhaust-zard/</v>
      </c>
      <c r="B862" t="b">
        <f>COUNTIF($A$2:$A862, A862)&gt;1</f>
        <v>1</v>
      </c>
      <c r="C862" t="b">
        <f t="shared" si="248"/>
        <v>0</v>
      </c>
      <c r="D862">
        <f>VLOOKUP(A862,variant_counts!A:B, 2, FALSE)</f>
        <v>1</v>
      </c>
      <c r="E862" t="str">
        <f t="shared" si="261"/>
        <v>zard-exhaust-silencer-piaggio-vespa-gts-300-201419-steel-version-zp001ssr</v>
      </c>
      <c r="F862" t="str">
        <f t="shared" si="249"/>
        <v>ZARD EXHAUST SILENCER PIAGGIO VESPA GTS 300 2014/19 STEEL VERSION ZP001SSR</v>
      </c>
      <c r="G862" t="str">
        <f t="shared" si="250"/>
        <v/>
      </c>
      <c r="H862" t="str">
        <f t="shared" si="262"/>
        <v/>
      </c>
      <c r="I862" t="str">
        <f t="shared" si="263"/>
        <v/>
      </c>
      <c r="J862" t="str">
        <f t="shared" si="264"/>
        <v/>
      </c>
      <c r="K862" t="str">
        <f t="shared" si="265"/>
        <v/>
      </c>
      <c r="L862" t="str">
        <f t="shared" si="251"/>
        <v/>
      </c>
      <c r="M862" t="str">
        <f t="shared" si="252"/>
        <v/>
      </c>
      <c r="R862" t="str">
        <f t="shared" si="253"/>
        <v/>
      </c>
      <c r="S862" t="str">
        <f t="shared" si="254"/>
        <v/>
      </c>
      <c r="U862" t="str">
        <f t="shared" si="255"/>
        <v/>
      </c>
      <c r="V862" t="str">
        <f t="shared" si="256"/>
        <v/>
      </c>
      <c r="W862" s="5" t="str">
        <f t="shared" si="257"/>
        <v/>
      </c>
      <c r="Y862" t="str">
        <f t="shared" si="258"/>
        <v/>
      </c>
      <c r="Z862" t="str">
        <f t="shared" si="259"/>
        <v/>
      </c>
      <c r="AB862" t="str">
        <f t="shared" si="260"/>
        <v>https://shop.officineitalianezard.it/contents/imgs/products/1_1239-2.jpg</v>
      </c>
      <c r="AE862" t="b">
        <v>0</v>
      </c>
    </row>
    <row r="863" spans="1:31" x14ac:dyDescent="0.2">
      <c r="A863" t="str">
        <f t="shared" si="247"/>
        <v>https://shop.officineitalianezard.it/en/vespa-gts-exhaust-zard/</v>
      </c>
      <c r="B863" t="b">
        <f>COUNTIF($A$2:$A863, A863)&gt;1</f>
        <v>1</v>
      </c>
      <c r="C863" t="b">
        <f t="shared" si="248"/>
        <v>0</v>
      </c>
      <c r="D863">
        <f>VLOOKUP(A863,variant_counts!A:B, 2, FALSE)</f>
        <v>1</v>
      </c>
      <c r="E863" t="str">
        <f t="shared" si="261"/>
        <v>zard-exhaust-silencer-piaggio-vespa-gts-300-201419-steel-version-zp001ssr</v>
      </c>
      <c r="F863" t="str">
        <f t="shared" si="249"/>
        <v>ZARD EXHAUST SILENCER PIAGGIO VESPA GTS 300 2014/19 STEEL VERSION ZP001SSR</v>
      </c>
      <c r="G863" t="str">
        <f t="shared" si="250"/>
        <v/>
      </c>
      <c r="H863" t="str">
        <f t="shared" si="262"/>
        <v/>
      </c>
      <c r="I863" t="str">
        <f t="shared" si="263"/>
        <v/>
      </c>
      <c r="J863" t="str">
        <f t="shared" si="264"/>
        <v/>
      </c>
      <c r="K863" t="str">
        <f t="shared" si="265"/>
        <v/>
      </c>
      <c r="L863" t="str">
        <f t="shared" si="251"/>
        <v/>
      </c>
      <c r="M863" t="str">
        <f t="shared" si="252"/>
        <v/>
      </c>
      <c r="R863" t="str">
        <f t="shared" si="253"/>
        <v/>
      </c>
      <c r="S863" t="str">
        <f t="shared" si="254"/>
        <v/>
      </c>
      <c r="U863" t="str">
        <f t="shared" si="255"/>
        <v/>
      </c>
      <c r="V863" t="str">
        <f t="shared" si="256"/>
        <v/>
      </c>
      <c r="W863" s="5" t="str">
        <f t="shared" si="257"/>
        <v/>
      </c>
      <c r="Y863" t="str">
        <f t="shared" si="258"/>
        <v/>
      </c>
      <c r="Z863" t="str">
        <f t="shared" si="259"/>
        <v/>
      </c>
      <c r="AB863" t="str">
        <f t="shared" si="260"/>
        <v>https://shop.officineitalianezard.it/contents/imgs/products/1_2180-scarico%20vespa%20gts.jpg</v>
      </c>
      <c r="AE863" t="b">
        <v>0</v>
      </c>
    </row>
    <row r="864" spans="1:31" x14ac:dyDescent="0.2">
      <c r="A864" t="str">
        <f t="shared" si="247"/>
        <v>https://shop.officineitalianezard.it/en/vespa-gts-exhaust-zard/</v>
      </c>
      <c r="B864" t="b">
        <f>COUNTIF($A$2:$A864, A864)&gt;1</f>
        <v>1</v>
      </c>
      <c r="C864" t="b">
        <f t="shared" si="248"/>
        <v>1</v>
      </c>
      <c r="D864">
        <f>VLOOKUP(A864,variant_counts!A:B, 2, FALSE)</f>
        <v>1</v>
      </c>
      <c r="E864" t="str">
        <f t="shared" si="261"/>
        <v>zard-exhaust-silencer-piaggio-vespa-gts-300-201419-steel-version-zp001ssr</v>
      </c>
      <c r="F864" t="str">
        <f t="shared" si="249"/>
        <v>ZARD EXHAUST SILENCER PIAGGIO VESPA GTS 300 2014/19 STEEL VERSION ZP001SSR</v>
      </c>
      <c r="G864" t="str">
        <f t="shared" si="250"/>
        <v/>
      </c>
      <c r="H864" t="str">
        <f t="shared" si="262"/>
        <v/>
      </c>
      <c r="I864" t="str">
        <f t="shared" si="263"/>
        <v/>
      </c>
      <c r="J864" t="str">
        <f t="shared" si="264"/>
        <v/>
      </c>
      <c r="K864" t="str">
        <f t="shared" si="265"/>
        <v/>
      </c>
      <c r="L864" t="str">
        <f t="shared" si="251"/>
        <v>Option</v>
      </c>
      <c r="M864" t="str">
        <f t="shared" si="252"/>
        <v>EURO 3 HOMOLOGATED</v>
      </c>
      <c r="R864" t="str">
        <f t="shared" si="253"/>
        <v>ZP001SSR</v>
      </c>
      <c r="S864">
        <f t="shared" si="254"/>
        <v>0</v>
      </c>
      <c r="U864" t="str">
        <f t="shared" si="255"/>
        <v>continue</v>
      </c>
      <c r="V864" t="str">
        <f t="shared" si="256"/>
        <v>manual</v>
      </c>
      <c r="W864" s="5">
        <f t="shared" si="257"/>
        <v>691.65210000000013</v>
      </c>
      <c r="Y864" t="b">
        <f t="shared" si="258"/>
        <v>1</v>
      </c>
      <c r="Z864" t="b">
        <f t="shared" si="259"/>
        <v>0</v>
      </c>
      <c r="AB864" t="str">
        <f t="shared" si="260"/>
        <v/>
      </c>
      <c r="AE864" t="b">
        <v>0</v>
      </c>
    </row>
    <row r="865" spans="1:31" x14ac:dyDescent="0.2">
      <c r="A865" t="str">
        <f t="shared" si="247"/>
        <v>https://shop.officineitalianezard.it/en/products/index/norton-commando-exhaust-by-zard-2-1-full-kit-7675-185/</v>
      </c>
      <c r="B865" t="b">
        <f>COUNTIF($A$2:$A865, A865)&gt;1</f>
        <v>0</v>
      </c>
      <c r="C865" t="b">
        <f t="shared" si="248"/>
        <v>0</v>
      </c>
      <c r="D865">
        <f>VLOOKUP(A865,variant_counts!A:B, 2, FALSE)</f>
        <v>2</v>
      </c>
      <c r="E865" t="str">
        <f t="shared" si="261"/>
        <v>zard-exhaust-21-full-kit-norton-norton-commando-961-se-steel-version-znrt001skr</v>
      </c>
      <c r="F865" t="str">
        <f t="shared" si="249"/>
        <v>ZARD EXHAUST 2&gt;1 FULL KIT NORTON NORTON COMMANDO 961 SE STEEL VERSION ZNRT001SKR</v>
      </c>
      <c r="G865" t="str">
        <f t="shared" si="250"/>
        <v>&lt;p&gt;2&amp;lt;1 STEEL RACING FULL KIT WITH REMOVABLE DB KILLER&lt;/p&gt;
&lt;p&gt;HARD INCREASE, COMPARED TO THE ORIGINAL EXHAUST SYSTEM, IN TERMS OF TORQUE AND POWER AT ANY RANGE.&lt;/p&gt;
&lt;p&gt;N.B. THE FULL KIT MUST BE FITTED WITH ZARD STEEL FOOTREST (INCLUDED IN FITTING KIT).&lt;/p&gt;
&lt;p class="p1"&gt;ASTONISHING SOUND.&lt;/p&gt;</v>
      </c>
      <c r="H865" t="str">
        <f t="shared" si="262"/>
        <v>ZARD</v>
      </c>
      <c r="I865" t="str">
        <f t="shared" si="263"/>
        <v>Exhaust Pipe</v>
      </c>
      <c r="J865" t="str">
        <f t="shared" si="264"/>
        <v>Test</v>
      </c>
      <c r="K865" t="b">
        <f t="shared" si="265"/>
        <v>0</v>
      </c>
      <c r="L865" t="str">
        <f t="shared" si="251"/>
        <v/>
      </c>
      <c r="M865" t="str">
        <f t="shared" si="252"/>
        <v/>
      </c>
      <c r="R865" t="str">
        <f t="shared" si="253"/>
        <v/>
      </c>
      <c r="S865" t="str">
        <f t="shared" si="254"/>
        <v/>
      </c>
      <c r="U865" t="str">
        <f t="shared" si="255"/>
        <v/>
      </c>
      <c r="V865" t="str">
        <f t="shared" si="256"/>
        <v/>
      </c>
      <c r="W865" s="5" t="str">
        <f t="shared" si="257"/>
        <v/>
      </c>
      <c r="Y865" t="str">
        <f t="shared" si="258"/>
        <v/>
      </c>
      <c r="Z865" t="str">
        <f t="shared" si="259"/>
        <v/>
      </c>
      <c r="AB865" t="str">
        <f t="shared" si="260"/>
        <v>https://shop.officineitalianezard.it/contents/imgs/products/1_1379-norton%20zard%201%200.jpg</v>
      </c>
      <c r="AE865" t="b">
        <v>0</v>
      </c>
    </row>
    <row r="866" spans="1:31" x14ac:dyDescent="0.2">
      <c r="A866" t="str">
        <f t="shared" si="247"/>
        <v>https://shop.officineitalianezard.it/en/products/index/norton-commando-exhaust-by-zard-2-1-full-kit-7675-185/</v>
      </c>
      <c r="B866" t="b">
        <f>COUNTIF($A$2:$A866, A866)&gt;1</f>
        <v>1</v>
      </c>
      <c r="C866" t="b">
        <f t="shared" si="248"/>
        <v>0</v>
      </c>
      <c r="D866">
        <f>VLOOKUP(A866,variant_counts!A:B, 2, FALSE)</f>
        <v>2</v>
      </c>
      <c r="E866" t="str">
        <f t="shared" si="261"/>
        <v>zard-exhaust-21-full-kit-norton-norton-commando-961-se-steel-version-znrt001skr</v>
      </c>
      <c r="F866" t="str">
        <f t="shared" si="249"/>
        <v>ZARD EXHAUST 2&gt;1 FULL KIT NORTON NORTON COMMANDO 961 SE STEEL VERSION ZNRT001SKR</v>
      </c>
      <c r="G866" t="str">
        <f t="shared" si="250"/>
        <v/>
      </c>
      <c r="H866" t="str">
        <f t="shared" si="262"/>
        <v/>
      </c>
      <c r="I866" t="str">
        <f t="shared" si="263"/>
        <v/>
      </c>
      <c r="J866" t="str">
        <f t="shared" si="264"/>
        <v/>
      </c>
      <c r="K866" t="str">
        <f t="shared" si="265"/>
        <v/>
      </c>
      <c r="L866" t="str">
        <f t="shared" si="251"/>
        <v/>
      </c>
      <c r="M866" t="str">
        <f t="shared" si="252"/>
        <v/>
      </c>
      <c r="R866" t="str">
        <f t="shared" si="253"/>
        <v/>
      </c>
      <c r="S866" t="str">
        <f t="shared" si="254"/>
        <v/>
      </c>
      <c r="U866" t="str">
        <f t="shared" si="255"/>
        <v/>
      </c>
      <c r="V866" t="str">
        <f t="shared" si="256"/>
        <v/>
      </c>
      <c r="W866" s="5" t="str">
        <f t="shared" si="257"/>
        <v/>
      </c>
      <c r="Y866" t="str">
        <f t="shared" si="258"/>
        <v/>
      </c>
      <c r="Z866" t="str">
        <f t="shared" si="259"/>
        <v/>
      </c>
      <c r="AB866" t="str">
        <f t="shared" si="260"/>
        <v>https://shop.officineitalianezard.it/contents/imgs/products/1_1380-norton%20zard%202.jpg</v>
      </c>
      <c r="AE866" t="b">
        <v>0</v>
      </c>
    </row>
    <row r="867" spans="1:31" x14ac:dyDescent="0.2">
      <c r="A867" t="str">
        <f t="shared" si="247"/>
        <v>https://shop.officineitalianezard.it/en/products/index/norton-commando-exhaust-by-zard-2-1-full-kit-7675-185/</v>
      </c>
      <c r="B867" t="b">
        <f>COUNTIF($A$2:$A867, A867)&gt;1</f>
        <v>1</v>
      </c>
      <c r="C867" t="b">
        <f t="shared" si="248"/>
        <v>1</v>
      </c>
      <c r="D867">
        <f>VLOOKUP(A867,variant_counts!A:B, 2, FALSE)</f>
        <v>2</v>
      </c>
      <c r="E867" t="str">
        <f t="shared" si="261"/>
        <v>zard-exhaust-21-full-kit-norton-norton-commando-961-se-steel-version-znrt001skr</v>
      </c>
      <c r="F867" t="str">
        <f t="shared" si="249"/>
        <v>ZARD EXHAUST 2&gt;1 FULL KIT NORTON NORTON COMMANDO 961 SE STEEL VERSION ZNRT001SKR</v>
      </c>
      <c r="G867" t="str">
        <f t="shared" si="250"/>
        <v/>
      </c>
      <c r="H867" t="str">
        <f t="shared" si="262"/>
        <v/>
      </c>
      <c r="I867" t="str">
        <f t="shared" si="263"/>
        <v/>
      </c>
      <c r="J867" t="str">
        <f t="shared" si="264"/>
        <v/>
      </c>
      <c r="K867" t="str">
        <f t="shared" si="265"/>
        <v/>
      </c>
      <c r="L867" t="str">
        <f t="shared" si="251"/>
        <v>Option</v>
      </c>
      <c r="M867" t="str">
        <f t="shared" si="252"/>
        <v>FULL TITANIUM</v>
      </c>
      <c r="R867" t="str">
        <f t="shared" si="253"/>
        <v>ZNRT001SKR</v>
      </c>
      <c r="S867">
        <f t="shared" si="254"/>
        <v>0</v>
      </c>
      <c r="U867" t="str">
        <f t="shared" si="255"/>
        <v>continue</v>
      </c>
      <c r="V867" t="str">
        <f t="shared" si="256"/>
        <v>manual</v>
      </c>
      <c r="W867" s="5">
        <f t="shared" si="257"/>
        <v>2480.9388000000004</v>
      </c>
      <c r="Y867" t="b">
        <f t="shared" si="258"/>
        <v>1</v>
      </c>
      <c r="Z867" t="b">
        <f t="shared" si="259"/>
        <v>0</v>
      </c>
      <c r="AB867" t="str">
        <f t="shared" si="260"/>
        <v/>
      </c>
      <c r="AE867" t="b">
        <v>0</v>
      </c>
    </row>
    <row r="868" spans="1:31" x14ac:dyDescent="0.2">
      <c r="A868" t="str">
        <f t="shared" si="247"/>
        <v>https://shop.officineitalianezard.it/en/products/index/norton-commando-exhaust-by-zard-2-1-full-kit-7675-185/</v>
      </c>
      <c r="B868" t="b">
        <f>COUNTIF($A$2:$A868, A868)&gt;1</f>
        <v>1</v>
      </c>
      <c r="C868" t="b">
        <f t="shared" si="248"/>
        <v>1</v>
      </c>
      <c r="D868">
        <f>VLOOKUP(A868,variant_counts!A:B, 2, FALSE)</f>
        <v>2</v>
      </c>
      <c r="E868" t="str">
        <f t="shared" si="261"/>
        <v>zard-exhaust-21-full-kit-norton-norton-commando-961-se-steel-version-znrt001skr</v>
      </c>
      <c r="F868" t="str">
        <f t="shared" si="249"/>
        <v>ZARD EXHAUST 2&gt;1 FULL KIT NORTON NORTON COMMANDO 961 SE STEEL VERSION ZNRT001SKR</v>
      </c>
      <c r="G868" t="str">
        <f t="shared" si="250"/>
        <v/>
      </c>
      <c r="H868" t="str">
        <f t="shared" si="262"/>
        <v/>
      </c>
      <c r="I868" t="str">
        <f t="shared" si="263"/>
        <v/>
      </c>
      <c r="J868" t="str">
        <f t="shared" si="264"/>
        <v/>
      </c>
      <c r="K868" t="str">
        <f t="shared" si="265"/>
        <v/>
      </c>
      <c r="L868" t="str">
        <f t="shared" si="251"/>
        <v>Option</v>
      </c>
      <c r="M868" t="str">
        <f t="shared" si="252"/>
        <v>BLACK CERAMIC COATING</v>
      </c>
      <c r="R868" t="str">
        <f t="shared" si="253"/>
        <v>ZNRT001SKR</v>
      </c>
      <c r="S868">
        <f t="shared" si="254"/>
        <v>0</v>
      </c>
      <c r="U868" t="str">
        <f t="shared" si="255"/>
        <v>continue</v>
      </c>
      <c r="V868" t="str">
        <f t="shared" si="256"/>
        <v>manual</v>
      </c>
      <c r="W868" s="5">
        <f t="shared" si="257"/>
        <v>2096.0796000000005</v>
      </c>
      <c r="Y868" t="b">
        <f t="shared" si="258"/>
        <v>1</v>
      </c>
      <c r="Z868" t="b">
        <f t="shared" si="259"/>
        <v>0</v>
      </c>
      <c r="AB868" t="str">
        <f t="shared" si="260"/>
        <v/>
      </c>
      <c r="AE868" t="b">
        <v>0</v>
      </c>
    </row>
    <row r="869" spans="1:31" x14ac:dyDescent="0.2">
      <c r="A869" t="str">
        <f t="shared" si="247"/>
        <v>https://shop.officineitalianezard.it/en/moto-guzzi-v9-bobber-roamer-exhaust-zard/</v>
      </c>
      <c r="B869" t="b">
        <f>COUNTIF($A$2:$A869, A869)&gt;1</f>
        <v>0</v>
      </c>
      <c r="C869" t="b">
        <f t="shared" si="248"/>
        <v>0</v>
      </c>
      <c r="D869">
        <f>VLOOKUP(A869,variant_counts!A:B, 2, FALSE)</f>
        <v>4</v>
      </c>
      <c r="E869" t="str">
        <f t="shared" si="261"/>
        <v>zard-exhaust-n-2-silencers-moto-guzzi-v9-bobber---roamer-201619-big-version-zg080ssr</v>
      </c>
      <c r="F869" t="str">
        <f t="shared" si="249"/>
        <v>ZARD EXHAUST N. 2 SILENCERS MOTO GUZZI V9 BOBBER - ROAMER 2016/19 BIG VERSION ZG080SSR</v>
      </c>
      <c r="G869" t="str">
        <f t="shared" si="250"/>
        <v>&lt;p&gt;&lt;strong&gt;LAUNCH OFFER!&lt;/strong&gt;&lt;/p&gt;
&lt;p&gt;N.2 STEEL RACING SILENCERS WITH REMOVABLE DB KILLER.&lt;/p&gt;
&lt;p&gt;ASTONISHING SOUND,&amp;nbsp;EXCLUSIVE DESIGN.&lt;/p&gt;
&lt;p&gt;FITTING KIT INCLUDED.&lt;/p&gt;
&lt;p&gt;&lt;/p&gt;</v>
      </c>
      <c r="H869" t="str">
        <f t="shared" si="262"/>
        <v>ZARD</v>
      </c>
      <c r="I869" t="str">
        <f t="shared" si="263"/>
        <v>Exhaust Pipe</v>
      </c>
      <c r="J869" t="str">
        <f t="shared" si="264"/>
        <v>Test</v>
      </c>
      <c r="K869" t="b">
        <f t="shared" si="265"/>
        <v>0</v>
      </c>
      <c r="L869" t="str">
        <f t="shared" si="251"/>
        <v/>
      </c>
      <c r="M869" t="str">
        <f t="shared" si="252"/>
        <v/>
      </c>
      <c r="R869" t="str">
        <f t="shared" si="253"/>
        <v/>
      </c>
      <c r="S869" t="str">
        <f t="shared" si="254"/>
        <v/>
      </c>
      <c r="U869" t="str">
        <f t="shared" si="255"/>
        <v/>
      </c>
      <c r="V869" t="str">
        <f t="shared" si="256"/>
        <v/>
      </c>
      <c r="W869" s="5" t="str">
        <f t="shared" si="257"/>
        <v/>
      </c>
      <c r="Y869" t="str">
        <f t="shared" si="258"/>
        <v/>
      </c>
      <c r="Z869" t="str">
        <f t="shared" si="259"/>
        <v/>
      </c>
      <c r="AB869" t="str">
        <f t="shared" si="260"/>
        <v>https://shop.officineitalianezard.it/contents/imgs/products/1_1471-1.jpg</v>
      </c>
      <c r="AE869" t="b">
        <v>0</v>
      </c>
    </row>
    <row r="870" spans="1:31" x14ac:dyDescent="0.2">
      <c r="A870" t="str">
        <f t="shared" si="247"/>
        <v>https://shop.officineitalianezard.it/en/moto-guzzi-v9-bobber-roamer-exhaust-zard/</v>
      </c>
      <c r="B870" t="b">
        <f>COUNTIF($A$2:$A870, A870)&gt;1</f>
        <v>1</v>
      </c>
      <c r="C870" t="b">
        <f t="shared" si="248"/>
        <v>0</v>
      </c>
      <c r="D870">
        <f>VLOOKUP(A870,variant_counts!A:B, 2, FALSE)</f>
        <v>4</v>
      </c>
      <c r="E870" t="str">
        <f t="shared" si="261"/>
        <v>zard-exhaust-n-2-silencers-moto-guzzi-v9-bobber---roamer-201619-big-version-zg080ssr</v>
      </c>
      <c r="F870" t="str">
        <f t="shared" si="249"/>
        <v>ZARD EXHAUST N. 2 SILENCERS MOTO GUZZI V9 BOBBER - ROAMER 2016/19 BIG VERSION ZG080SSR</v>
      </c>
      <c r="G870" t="str">
        <f t="shared" si="250"/>
        <v/>
      </c>
      <c r="H870" t="str">
        <f t="shared" si="262"/>
        <v/>
      </c>
      <c r="I870" t="str">
        <f t="shared" si="263"/>
        <v/>
      </c>
      <c r="J870" t="str">
        <f t="shared" si="264"/>
        <v/>
      </c>
      <c r="K870" t="str">
        <f t="shared" si="265"/>
        <v/>
      </c>
      <c r="L870" t="str">
        <f t="shared" si="251"/>
        <v/>
      </c>
      <c r="M870" t="str">
        <f t="shared" si="252"/>
        <v/>
      </c>
      <c r="R870" t="str">
        <f t="shared" si="253"/>
        <v/>
      </c>
      <c r="S870" t="str">
        <f t="shared" si="254"/>
        <v/>
      </c>
      <c r="U870" t="str">
        <f t="shared" si="255"/>
        <v/>
      </c>
      <c r="V870" t="str">
        <f t="shared" si="256"/>
        <v/>
      </c>
      <c r="W870" s="5" t="str">
        <f t="shared" si="257"/>
        <v/>
      </c>
      <c r="Y870" t="str">
        <f t="shared" si="258"/>
        <v/>
      </c>
      <c r="Z870" t="str">
        <f t="shared" si="259"/>
        <v/>
      </c>
      <c r="AB870" t="str">
        <f t="shared" si="260"/>
        <v>https://shop.officineitalianezard.it/contents/imgs/products/1_1472-2.jpg</v>
      </c>
      <c r="AE870" t="b">
        <v>0</v>
      </c>
    </row>
    <row r="871" spans="1:31" x14ac:dyDescent="0.2">
      <c r="A871" t="str">
        <f t="shared" si="247"/>
        <v>https://shop.officineitalianezard.it/en/moto-guzzi-v9-bobber-roamer-exhaust-zard/</v>
      </c>
      <c r="B871" t="b">
        <f>COUNTIF($A$2:$A871, A871)&gt;1</f>
        <v>1</v>
      </c>
      <c r="C871" t="b">
        <f t="shared" si="248"/>
        <v>0</v>
      </c>
      <c r="D871">
        <f>VLOOKUP(A871,variant_counts!A:B, 2, FALSE)</f>
        <v>4</v>
      </c>
      <c r="E871" t="str">
        <f t="shared" si="261"/>
        <v>zard-exhaust-n-2-silencers-moto-guzzi-v9-bobber---roamer-201619-big-version-zg080ssr</v>
      </c>
      <c r="F871" t="str">
        <f t="shared" si="249"/>
        <v>ZARD EXHAUST N. 2 SILENCERS MOTO GUZZI V9 BOBBER - ROAMER 2016/19 BIG VERSION ZG080SSR</v>
      </c>
      <c r="G871" t="str">
        <f t="shared" si="250"/>
        <v/>
      </c>
      <c r="H871" t="str">
        <f t="shared" si="262"/>
        <v/>
      </c>
      <c r="I871" t="str">
        <f t="shared" si="263"/>
        <v/>
      </c>
      <c r="J871" t="str">
        <f t="shared" si="264"/>
        <v/>
      </c>
      <c r="K871" t="str">
        <f t="shared" si="265"/>
        <v/>
      </c>
      <c r="L871" t="str">
        <f t="shared" si="251"/>
        <v/>
      </c>
      <c r="M871" t="str">
        <f t="shared" si="252"/>
        <v/>
      </c>
      <c r="R871" t="str">
        <f t="shared" si="253"/>
        <v/>
      </c>
      <c r="S871" t="str">
        <f t="shared" si="254"/>
        <v/>
      </c>
      <c r="U871" t="str">
        <f t="shared" si="255"/>
        <v/>
      </c>
      <c r="V871" t="str">
        <f t="shared" si="256"/>
        <v/>
      </c>
      <c r="W871" s="5" t="str">
        <f t="shared" si="257"/>
        <v/>
      </c>
      <c r="Y871" t="str">
        <f t="shared" si="258"/>
        <v/>
      </c>
      <c r="Z871" t="str">
        <f t="shared" si="259"/>
        <v/>
      </c>
      <c r="AB871" t="str">
        <f t="shared" si="260"/>
        <v>https://shop.officineitalianezard.it/contents/imgs/products/1_1473-3.jpg</v>
      </c>
      <c r="AE871" t="b">
        <v>0</v>
      </c>
    </row>
    <row r="872" spans="1:31" x14ac:dyDescent="0.2">
      <c r="A872" t="str">
        <f t="shared" si="247"/>
        <v>https://shop.officineitalianezard.it/en/moto-guzzi-v9-bobber-roamer-exhaust-zard/</v>
      </c>
      <c r="B872" t="b">
        <f>COUNTIF($A$2:$A872, A872)&gt;1</f>
        <v>1</v>
      </c>
      <c r="C872" t="b">
        <f t="shared" si="248"/>
        <v>0</v>
      </c>
      <c r="D872">
        <f>VLOOKUP(A872,variant_counts!A:B, 2, FALSE)</f>
        <v>4</v>
      </c>
      <c r="E872" t="str">
        <f t="shared" si="261"/>
        <v>zard-exhaust-n-2-silencers-moto-guzzi-v9-bobber---roamer-201619-big-version-zg080ssr</v>
      </c>
      <c r="F872" t="str">
        <f t="shared" si="249"/>
        <v>ZARD EXHAUST N. 2 SILENCERS MOTO GUZZI V9 BOBBER - ROAMER 2016/19 BIG VERSION ZG080SSR</v>
      </c>
      <c r="G872" t="str">
        <f t="shared" si="250"/>
        <v/>
      </c>
      <c r="H872" t="str">
        <f t="shared" si="262"/>
        <v/>
      </c>
      <c r="I872" t="str">
        <f t="shared" si="263"/>
        <v/>
      </c>
      <c r="J872" t="str">
        <f t="shared" si="264"/>
        <v/>
      </c>
      <c r="K872" t="str">
        <f t="shared" si="265"/>
        <v/>
      </c>
      <c r="L872" t="str">
        <f t="shared" si="251"/>
        <v/>
      </c>
      <c r="M872" t="str">
        <f t="shared" si="252"/>
        <v/>
      </c>
      <c r="R872" t="str">
        <f t="shared" si="253"/>
        <v/>
      </c>
      <c r="S872" t="str">
        <f t="shared" si="254"/>
        <v/>
      </c>
      <c r="U872" t="str">
        <f t="shared" si="255"/>
        <v/>
      </c>
      <c r="V872" t="str">
        <f t="shared" si="256"/>
        <v/>
      </c>
      <c r="W872" s="5" t="str">
        <f t="shared" si="257"/>
        <v/>
      </c>
      <c r="Y872" t="str">
        <f t="shared" si="258"/>
        <v/>
      </c>
      <c r="Z872" t="str">
        <f t="shared" si="259"/>
        <v/>
      </c>
      <c r="AB872" t="str">
        <f t="shared" si="260"/>
        <v>https://shop.officineitalianezard.it/contents/imgs/products/1_1474-4.jpg</v>
      </c>
      <c r="AE872" t="b">
        <v>0</v>
      </c>
    </row>
    <row r="873" spans="1:31" x14ac:dyDescent="0.2">
      <c r="A873" t="str">
        <f t="shared" si="247"/>
        <v>https://shop.officineitalianezard.it/en/moto-guzzi-v9-bobber-roamer-exhaust-zard/</v>
      </c>
      <c r="B873" t="b">
        <f>COUNTIF($A$2:$A873, A873)&gt;1</f>
        <v>1</v>
      </c>
      <c r="C873" t="b">
        <f t="shared" si="248"/>
        <v>0</v>
      </c>
      <c r="D873">
        <f>VLOOKUP(A873,variant_counts!A:B, 2, FALSE)</f>
        <v>4</v>
      </c>
      <c r="E873" t="str">
        <f t="shared" si="261"/>
        <v>zard-exhaust-n-2-silencers-moto-guzzi-v9-bobber---roamer-201619-big-version-zg080ssr</v>
      </c>
      <c r="F873" t="str">
        <f t="shared" si="249"/>
        <v>ZARD EXHAUST N. 2 SILENCERS MOTO GUZZI V9 BOBBER - ROAMER 2016/19 BIG VERSION ZG080SSR</v>
      </c>
      <c r="G873" t="str">
        <f t="shared" si="250"/>
        <v/>
      </c>
      <c r="H873" t="str">
        <f t="shared" si="262"/>
        <v/>
      </c>
      <c r="I873" t="str">
        <f t="shared" si="263"/>
        <v/>
      </c>
      <c r="J873" t="str">
        <f t="shared" si="264"/>
        <v/>
      </c>
      <c r="K873" t="str">
        <f t="shared" si="265"/>
        <v/>
      </c>
      <c r="L873" t="str">
        <f t="shared" si="251"/>
        <v/>
      </c>
      <c r="M873" t="str">
        <f t="shared" si="252"/>
        <v/>
      </c>
      <c r="R873" t="str">
        <f t="shared" si="253"/>
        <v/>
      </c>
      <c r="S873" t="str">
        <f t="shared" si="254"/>
        <v/>
      </c>
      <c r="U873" t="str">
        <f t="shared" si="255"/>
        <v/>
      </c>
      <c r="V873" t="str">
        <f t="shared" si="256"/>
        <v/>
      </c>
      <c r="W873" s="5" t="str">
        <f t="shared" si="257"/>
        <v/>
      </c>
      <c r="Y873" t="str">
        <f t="shared" si="258"/>
        <v/>
      </c>
      <c r="Z873" t="str">
        <f t="shared" si="259"/>
        <v/>
      </c>
      <c r="AB873" t="str">
        <f t="shared" si="260"/>
        <v>https://shop.officineitalianezard.it/contents/imgs/products/1_2158-2028-scarico%20moto%20guzzi%20v9%20zard.jpg</v>
      </c>
      <c r="AE873" t="b">
        <v>0</v>
      </c>
    </row>
    <row r="874" spans="1:31" x14ac:dyDescent="0.2">
      <c r="A874" t="str">
        <f t="shared" si="247"/>
        <v>https://shop.officineitalianezard.it/en/moto-guzzi-v9-bobber-roamer-exhaust-zard/</v>
      </c>
      <c r="B874" t="b">
        <f>COUNTIF($A$2:$A874, A874)&gt;1</f>
        <v>1</v>
      </c>
      <c r="C874" t="b">
        <f t="shared" si="248"/>
        <v>1</v>
      </c>
      <c r="D874">
        <f>VLOOKUP(A874,variant_counts!A:B, 2, FALSE)</f>
        <v>4</v>
      </c>
      <c r="E874" t="str">
        <f t="shared" si="261"/>
        <v>zard-exhaust-n-2-silencers-moto-guzzi-v9-bobber---roamer-201619-big-version-zg080ssr</v>
      </c>
      <c r="F874" t="str">
        <f t="shared" si="249"/>
        <v>ZARD EXHAUST N. 2 SILENCERS MOTO GUZZI V9 BOBBER - ROAMER 2016/19 BIG VERSION ZG080SSR</v>
      </c>
      <c r="G874" t="str">
        <f t="shared" si="250"/>
        <v/>
      </c>
      <c r="H874" t="str">
        <f t="shared" si="262"/>
        <v/>
      </c>
      <c r="I874" t="str">
        <f t="shared" si="263"/>
        <v/>
      </c>
      <c r="J874" t="str">
        <f t="shared" si="264"/>
        <v/>
      </c>
      <c r="K874" t="str">
        <f t="shared" si="265"/>
        <v/>
      </c>
      <c r="L874" t="str">
        <f t="shared" si="251"/>
        <v>Option</v>
      </c>
      <c r="M874" t="str">
        <f t="shared" si="252"/>
        <v>EURO 4 HOMOLOGATED</v>
      </c>
      <c r="R874" t="str">
        <f t="shared" si="253"/>
        <v>ZG080SSR</v>
      </c>
      <c r="S874">
        <f t="shared" si="254"/>
        <v>0</v>
      </c>
      <c r="U874" t="str">
        <f t="shared" si="255"/>
        <v>continue</v>
      </c>
      <c r="V874" t="str">
        <f t="shared" si="256"/>
        <v>manual</v>
      </c>
      <c r="W874" s="5">
        <f t="shared" si="257"/>
        <v>980.98470000000009</v>
      </c>
      <c r="Y874" t="b">
        <f t="shared" si="258"/>
        <v>1</v>
      </c>
      <c r="Z874" t="b">
        <f t="shared" si="259"/>
        <v>0</v>
      </c>
      <c r="AB874" t="str">
        <f t="shared" si="260"/>
        <v/>
      </c>
      <c r="AE874" t="b">
        <v>0</v>
      </c>
    </row>
    <row r="875" spans="1:31" x14ac:dyDescent="0.2">
      <c r="A875" t="str">
        <f t="shared" si="247"/>
        <v>https://shop.officineitalianezard.it/en/moto-guzzi-v9-bobber-roamer-exhaust-zard/</v>
      </c>
      <c r="B875" t="b">
        <f>COUNTIF($A$2:$A875, A875)&gt;1</f>
        <v>1</v>
      </c>
      <c r="C875" t="b">
        <f t="shared" si="248"/>
        <v>1</v>
      </c>
      <c r="D875">
        <f>VLOOKUP(A875,variant_counts!A:B, 2, FALSE)</f>
        <v>4</v>
      </c>
      <c r="E875" t="str">
        <f t="shared" si="261"/>
        <v>zard-exhaust-n-2-silencers-moto-guzzi-v9-bobber---roamer-201619-big-version-zg080ssr</v>
      </c>
      <c r="F875" t="str">
        <f t="shared" si="249"/>
        <v>ZARD EXHAUST N. 2 SILENCERS MOTO GUZZI V9 BOBBER - ROAMER 2016/19 BIG VERSION ZG080SSR</v>
      </c>
      <c r="G875" t="str">
        <f t="shared" si="250"/>
        <v/>
      </c>
      <c r="H875" t="str">
        <f t="shared" si="262"/>
        <v/>
      </c>
      <c r="I875" t="str">
        <f t="shared" si="263"/>
        <v/>
      </c>
      <c r="J875" t="str">
        <f t="shared" si="264"/>
        <v/>
      </c>
      <c r="K875" t="str">
        <f t="shared" si="265"/>
        <v/>
      </c>
      <c r="L875" t="str">
        <f t="shared" si="251"/>
        <v>Option</v>
      </c>
      <c r="M875" t="str">
        <f t="shared" si="252"/>
        <v>BLACK COATING</v>
      </c>
      <c r="R875" t="str">
        <f t="shared" si="253"/>
        <v>ZG080SSR</v>
      </c>
      <c r="S875">
        <f t="shared" si="254"/>
        <v>0</v>
      </c>
      <c r="U875" t="str">
        <f t="shared" si="255"/>
        <v>continue</v>
      </c>
      <c r="V875" t="str">
        <f t="shared" si="256"/>
        <v>manual</v>
      </c>
      <c r="W875" s="5">
        <f t="shared" si="257"/>
        <v>913.01940000000013</v>
      </c>
      <c r="Y875" t="b">
        <f t="shared" si="258"/>
        <v>1</v>
      </c>
      <c r="Z875" t="b">
        <f t="shared" si="259"/>
        <v>0</v>
      </c>
      <c r="AB875" t="str">
        <f t="shared" si="260"/>
        <v/>
      </c>
      <c r="AE875" t="b">
        <v>0</v>
      </c>
    </row>
    <row r="876" spans="1:31" x14ac:dyDescent="0.2">
      <c r="A876" t="str">
        <f t="shared" si="247"/>
        <v>https://shop.officineitalianezard.it/en/moto-guzzi-v9-bobber-roamer-exhaust-zard/</v>
      </c>
      <c r="B876" t="b">
        <f>COUNTIF($A$2:$A876, A876)&gt;1</f>
        <v>1</v>
      </c>
      <c r="C876" t="b">
        <f t="shared" si="248"/>
        <v>1</v>
      </c>
      <c r="D876">
        <f>VLOOKUP(A876,variant_counts!A:B, 2, FALSE)</f>
        <v>4</v>
      </c>
      <c r="E876" t="str">
        <f t="shared" si="261"/>
        <v>zard-exhaust-n-2-silencers-moto-guzzi-v9-bobber---roamer-201619-big-version-zg080ssr</v>
      </c>
      <c r="F876" t="str">
        <f t="shared" si="249"/>
        <v>ZARD EXHAUST N. 2 SILENCERS MOTO GUZZI V9 BOBBER - ROAMER 2016/19 BIG VERSION ZG080SSR</v>
      </c>
      <c r="G876" t="str">
        <f t="shared" si="250"/>
        <v/>
      </c>
      <c r="H876" t="str">
        <f t="shared" si="262"/>
        <v/>
      </c>
      <c r="I876" t="str">
        <f t="shared" si="263"/>
        <v/>
      </c>
      <c r="J876" t="str">
        <f t="shared" si="264"/>
        <v/>
      </c>
      <c r="K876" t="str">
        <f t="shared" si="265"/>
        <v/>
      </c>
      <c r="L876" t="str">
        <f t="shared" si="251"/>
        <v>Option</v>
      </c>
      <c r="M876" t="str">
        <f t="shared" si="252"/>
        <v>GOLD/BRONZED LOGO PLATE AND END-CAP</v>
      </c>
      <c r="R876" t="str">
        <f t="shared" si="253"/>
        <v>ZG080SSR</v>
      </c>
      <c r="S876">
        <f t="shared" si="254"/>
        <v>0</v>
      </c>
      <c r="U876" t="str">
        <f t="shared" si="255"/>
        <v>continue</v>
      </c>
      <c r="V876" t="str">
        <f t="shared" si="256"/>
        <v>manual</v>
      </c>
      <c r="W876" s="5">
        <f t="shared" si="257"/>
        <v>895.82550000000015</v>
      </c>
      <c r="Y876" t="b">
        <f t="shared" si="258"/>
        <v>1</v>
      </c>
      <c r="Z876" t="b">
        <f t="shared" si="259"/>
        <v>0</v>
      </c>
      <c r="AB876" t="str">
        <f t="shared" si="260"/>
        <v/>
      </c>
      <c r="AE876" t="b">
        <v>0</v>
      </c>
    </row>
    <row r="877" spans="1:31" x14ac:dyDescent="0.2">
      <c r="A877" t="str">
        <f t="shared" si="247"/>
        <v>https://shop.officineitalianezard.it/en/moto-guzzi-v9-bobber-roamer-exhaust-zard/</v>
      </c>
      <c r="B877" t="b">
        <f>COUNTIF($A$2:$A877, A877)&gt;1</f>
        <v>1</v>
      </c>
      <c r="C877" t="b">
        <f t="shared" si="248"/>
        <v>1</v>
      </c>
      <c r="D877">
        <f>VLOOKUP(A877,variant_counts!A:B, 2, FALSE)</f>
        <v>4</v>
      </c>
      <c r="E877" t="str">
        <f t="shared" si="261"/>
        <v>zard-exhaust-n-2-silencers-moto-guzzi-v9-bobber---roamer-201619-big-version-zg080ssr</v>
      </c>
      <c r="F877" t="str">
        <f t="shared" si="249"/>
        <v>ZARD EXHAUST N. 2 SILENCERS MOTO GUZZI V9 BOBBER - ROAMER 2016/19 BIG VERSION ZG080SSR</v>
      </c>
      <c r="G877" t="str">
        <f t="shared" si="250"/>
        <v/>
      </c>
      <c r="H877" t="str">
        <f t="shared" si="262"/>
        <v/>
      </c>
      <c r="I877" t="str">
        <f t="shared" si="263"/>
        <v/>
      </c>
      <c r="J877" t="str">
        <f t="shared" si="264"/>
        <v/>
      </c>
      <c r="K877" t="str">
        <f t="shared" si="265"/>
        <v/>
      </c>
      <c r="L877" t="str">
        <f t="shared" si="251"/>
        <v>Option</v>
      </c>
      <c r="M877" t="str">
        <f t="shared" si="252"/>
        <v>MIRROR POLISHED</v>
      </c>
      <c r="R877" t="str">
        <f t="shared" si="253"/>
        <v>ZG080SSR</v>
      </c>
      <c r="S877">
        <f t="shared" si="254"/>
        <v>0</v>
      </c>
      <c r="U877" t="str">
        <f t="shared" si="255"/>
        <v>continue</v>
      </c>
      <c r="V877" t="str">
        <f t="shared" si="256"/>
        <v>manual</v>
      </c>
      <c r="W877" s="5">
        <f t="shared" si="257"/>
        <v>884.3592000000001</v>
      </c>
      <c r="Y877" t="b">
        <f t="shared" si="258"/>
        <v>1</v>
      </c>
      <c r="Z877" t="b">
        <f t="shared" si="259"/>
        <v>0</v>
      </c>
      <c r="AB877" t="str">
        <f t="shared" si="260"/>
        <v/>
      </c>
      <c r="AE877" t="b">
        <v>0</v>
      </c>
    </row>
    <row r="878" spans="1:31" x14ac:dyDescent="0.2">
      <c r="A878" t="str">
        <f t="shared" si="247"/>
        <v>https://shop.officineitalianezard.it/en/moto-guzzi-v9-bobber-roamer-exhaust-zard-2/</v>
      </c>
      <c r="B878" t="b">
        <f>COUNTIF($A$2:$A878, A878)&gt;1</f>
        <v>0</v>
      </c>
      <c r="C878" t="b">
        <f t="shared" si="248"/>
        <v>0</v>
      </c>
      <c r="D878">
        <f>VLOOKUP(A878,variant_counts!A:B, 2, FALSE)</f>
        <v>3</v>
      </c>
      <c r="E878" t="str">
        <f t="shared" si="261"/>
        <v>zard-exhaust-n-2-silencers-moto-guzzi-v9-bobber---roamer-201619-slimversion-zg081ssr</v>
      </c>
      <c r="F878" t="str">
        <f t="shared" si="249"/>
        <v>ZARD EXHAUST N. 2 SILENCERS MOTO GUZZI V9 BOBBER - ROAMER 2016/19 SLIM VERSION ZG081SSR</v>
      </c>
      <c r="G878" t="str">
        <f t="shared" si="250"/>
        <v>&lt;p&gt;&lt;strong&gt;LAUNCH OFFER!&lt;/strong&gt;&lt;/p&gt;
&lt;p&gt;N.2 STEEL RACING SILENCERS WITH REMOVABLE DB KILLER.&lt;/p&gt;
&lt;p&gt;ZARD SILENCERS WEIGHT: 4.6 KG&amp;nbsp;&lt;/p&gt;
&lt;p&gt;ASTONISHING SOUND,&amp;nbsp;EXCLUSIVE DESIGN.&lt;/p&gt;
&lt;p&gt;FITTING KIT INCLUDED.&lt;/p&gt;
&lt;p&gt;&lt;/p&gt;</v>
      </c>
      <c r="H878" t="str">
        <f t="shared" si="262"/>
        <v>ZARD</v>
      </c>
      <c r="I878" t="str">
        <f t="shared" si="263"/>
        <v>Exhaust Pipe</v>
      </c>
      <c r="J878" t="str">
        <f t="shared" si="264"/>
        <v>Test</v>
      </c>
      <c r="K878" t="b">
        <f t="shared" si="265"/>
        <v>0</v>
      </c>
      <c r="L878" t="str">
        <f t="shared" si="251"/>
        <v/>
      </c>
      <c r="M878" t="str">
        <f t="shared" si="252"/>
        <v/>
      </c>
      <c r="R878" t="str">
        <f t="shared" si="253"/>
        <v/>
      </c>
      <c r="S878" t="str">
        <f t="shared" si="254"/>
        <v/>
      </c>
      <c r="U878" t="str">
        <f t="shared" si="255"/>
        <v/>
      </c>
      <c r="V878" t="str">
        <f t="shared" si="256"/>
        <v/>
      </c>
      <c r="W878" s="5" t="str">
        <f t="shared" si="257"/>
        <v/>
      </c>
      <c r="Y878" t="str">
        <f t="shared" si="258"/>
        <v/>
      </c>
      <c r="Z878" t="str">
        <f t="shared" si="259"/>
        <v/>
      </c>
      <c r="AB878" t="str">
        <f t="shared" si="260"/>
        <v>https://shop.officineitalianezard.it/contents/imgs/products/1_1889-scarichi%20moto%20guzzi%20v9%201%20zard.jpg</v>
      </c>
      <c r="AE878" t="b">
        <v>0</v>
      </c>
    </row>
    <row r="879" spans="1:31" x14ac:dyDescent="0.2">
      <c r="A879" t="str">
        <f t="shared" si="247"/>
        <v>https://shop.officineitalianezard.it/en/moto-guzzi-v9-bobber-roamer-exhaust-zard-2/</v>
      </c>
      <c r="B879" t="b">
        <f>COUNTIF($A$2:$A879, A879)&gt;1</f>
        <v>1</v>
      </c>
      <c r="C879" t="b">
        <f t="shared" si="248"/>
        <v>0</v>
      </c>
      <c r="D879">
        <f>VLOOKUP(A879,variant_counts!A:B, 2, FALSE)</f>
        <v>3</v>
      </c>
      <c r="E879" t="str">
        <f t="shared" si="261"/>
        <v>zard-exhaust-n-2-silencers-moto-guzzi-v9-bobber---roamer-201619-slimversion-zg081ssr</v>
      </c>
      <c r="F879" t="str">
        <f t="shared" si="249"/>
        <v>ZARD EXHAUST N. 2 SILENCERS MOTO GUZZI V9 BOBBER - ROAMER 2016/19 SLIM VERSION ZG081SSR</v>
      </c>
      <c r="G879" t="str">
        <f t="shared" si="250"/>
        <v/>
      </c>
      <c r="H879" t="str">
        <f t="shared" si="262"/>
        <v/>
      </c>
      <c r="I879" t="str">
        <f t="shared" si="263"/>
        <v/>
      </c>
      <c r="J879" t="str">
        <f t="shared" si="264"/>
        <v/>
      </c>
      <c r="K879" t="str">
        <f t="shared" si="265"/>
        <v/>
      </c>
      <c r="L879" t="str">
        <f t="shared" si="251"/>
        <v/>
      </c>
      <c r="M879" t="str">
        <f t="shared" si="252"/>
        <v/>
      </c>
      <c r="R879" t="str">
        <f t="shared" si="253"/>
        <v/>
      </c>
      <c r="S879" t="str">
        <f t="shared" si="254"/>
        <v/>
      </c>
      <c r="U879" t="str">
        <f t="shared" si="255"/>
        <v/>
      </c>
      <c r="V879" t="str">
        <f t="shared" si="256"/>
        <v/>
      </c>
      <c r="W879" s="5" t="str">
        <f t="shared" si="257"/>
        <v/>
      </c>
      <c r="Y879" t="str">
        <f t="shared" si="258"/>
        <v/>
      </c>
      <c r="Z879" t="str">
        <f t="shared" si="259"/>
        <v/>
      </c>
      <c r="AB879" t="str">
        <f t="shared" si="260"/>
        <v>https://shop.officineitalianezard.it/contents/imgs/products/1_1890-scarichi%20moto%20guzzi%20v9%202%20zard.jpg</v>
      </c>
      <c r="AE879" t="b">
        <v>0</v>
      </c>
    </row>
    <row r="880" spans="1:31" x14ac:dyDescent="0.2">
      <c r="A880" t="str">
        <f t="shared" si="247"/>
        <v>https://shop.officineitalianezard.it/en/moto-guzzi-v9-bobber-roamer-exhaust-zard-2/</v>
      </c>
      <c r="B880" t="b">
        <f>COUNTIF($A$2:$A880, A880)&gt;1</f>
        <v>1</v>
      </c>
      <c r="C880" t="b">
        <f t="shared" si="248"/>
        <v>0</v>
      </c>
      <c r="D880">
        <f>VLOOKUP(A880,variant_counts!A:B, 2, FALSE)</f>
        <v>3</v>
      </c>
      <c r="E880" t="str">
        <f t="shared" si="261"/>
        <v>zard-exhaust-n-2-silencers-moto-guzzi-v9-bobber---roamer-201619-slimversion-zg081ssr</v>
      </c>
      <c r="F880" t="str">
        <f t="shared" si="249"/>
        <v>ZARD EXHAUST N. 2 SILENCERS MOTO GUZZI V9 BOBBER - ROAMER 2016/19 SLIM VERSION ZG081SSR</v>
      </c>
      <c r="G880" t="str">
        <f t="shared" si="250"/>
        <v/>
      </c>
      <c r="H880" t="str">
        <f t="shared" si="262"/>
        <v/>
      </c>
      <c r="I880" t="str">
        <f t="shared" si="263"/>
        <v/>
      </c>
      <c r="J880" t="str">
        <f t="shared" si="264"/>
        <v/>
      </c>
      <c r="K880" t="str">
        <f t="shared" si="265"/>
        <v/>
      </c>
      <c r="L880" t="str">
        <f t="shared" si="251"/>
        <v/>
      </c>
      <c r="M880" t="str">
        <f t="shared" si="252"/>
        <v/>
      </c>
      <c r="R880" t="str">
        <f t="shared" si="253"/>
        <v/>
      </c>
      <c r="S880" t="str">
        <f t="shared" si="254"/>
        <v/>
      </c>
      <c r="U880" t="str">
        <f t="shared" si="255"/>
        <v/>
      </c>
      <c r="V880" t="str">
        <f t="shared" si="256"/>
        <v/>
      </c>
      <c r="W880" s="5" t="str">
        <f t="shared" si="257"/>
        <v/>
      </c>
      <c r="Y880" t="str">
        <f t="shared" si="258"/>
        <v/>
      </c>
      <c r="Z880" t="str">
        <f t="shared" si="259"/>
        <v/>
      </c>
      <c r="AB880" t="str">
        <f t="shared" si="260"/>
        <v>https://shop.officineitalianezard.it/contents/imgs/products/1_1481-3.jpg</v>
      </c>
      <c r="AE880" t="b">
        <v>0</v>
      </c>
    </row>
    <row r="881" spans="1:31" x14ac:dyDescent="0.2">
      <c r="A881" t="str">
        <f t="shared" si="247"/>
        <v>https://shop.officineitalianezard.it/en/moto-guzzi-v9-bobber-roamer-exhaust-zard-2/</v>
      </c>
      <c r="B881" t="b">
        <f>COUNTIF($A$2:$A881, A881)&gt;1</f>
        <v>1</v>
      </c>
      <c r="C881" t="b">
        <f t="shared" si="248"/>
        <v>0</v>
      </c>
      <c r="D881">
        <f>VLOOKUP(A881,variant_counts!A:B, 2, FALSE)</f>
        <v>3</v>
      </c>
      <c r="E881" t="str">
        <f t="shared" si="261"/>
        <v>zard-exhaust-n-2-silencers-moto-guzzi-v9-bobber---roamer-201619-slimversion-zg081ssr</v>
      </c>
      <c r="F881" t="str">
        <f t="shared" si="249"/>
        <v>ZARD EXHAUST N. 2 SILENCERS MOTO GUZZI V9 BOBBER - ROAMER 2016/19 SLIM VERSION ZG081SSR</v>
      </c>
      <c r="G881" t="str">
        <f t="shared" si="250"/>
        <v/>
      </c>
      <c r="H881" t="str">
        <f t="shared" si="262"/>
        <v/>
      </c>
      <c r="I881" t="str">
        <f t="shared" si="263"/>
        <v/>
      </c>
      <c r="J881" t="str">
        <f t="shared" si="264"/>
        <v/>
      </c>
      <c r="K881" t="str">
        <f t="shared" si="265"/>
        <v/>
      </c>
      <c r="L881" t="str">
        <f t="shared" si="251"/>
        <v/>
      </c>
      <c r="M881" t="str">
        <f t="shared" si="252"/>
        <v/>
      </c>
      <c r="R881" t="str">
        <f t="shared" si="253"/>
        <v/>
      </c>
      <c r="S881" t="str">
        <f t="shared" si="254"/>
        <v/>
      </c>
      <c r="U881" t="str">
        <f t="shared" si="255"/>
        <v/>
      </c>
      <c r="V881" t="str">
        <f t="shared" si="256"/>
        <v/>
      </c>
      <c r="W881" s="5" t="str">
        <f t="shared" si="257"/>
        <v/>
      </c>
      <c r="Y881" t="str">
        <f t="shared" si="258"/>
        <v/>
      </c>
      <c r="Z881" t="str">
        <f t="shared" si="259"/>
        <v/>
      </c>
      <c r="AB881" t="str">
        <f t="shared" si="260"/>
        <v>https://shop.officineitalianezard.it/contents/imgs/products/1_1897-moto%20guzzi%20v9%20scarichi%20zard.jpg</v>
      </c>
      <c r="AE881" t="b">
        <v>0</v>
      </c>
    </row>
    <row r="882" spans="1:31" x14ac:dyDescent="0.2">
      <c r="A882" t="str">
        <f t="shared" si="247"/>
        <v>https://shop.officineitalianezard.it/en/moto-guzzi-v9-bobber-roamer-exhaust-zard-2/</v>
      </c>
      <c r="B882" t="b">
        <f>COUNTIF($A$2:$A882, A882)&gt;1</f>
        <v>1</v>
      </c>
      <c r="C882" t="b">
        <f t="shared" si="248"/>
        <v>1</v>
      </c>
      <c r="D882">
        <f>VLOOKUP(A882,variant_counts!A:B, 2, FALSE)</f>
        <v>3</v>
      </c>
      <c r="E882" t="str">
        <f t="shared" si="261"/>
        <v>zard-exhaust-n-2-silencers-moto-guzzi-v9-bobber---roamer-201619-slimversion-zg081ssr</v>
      </c>
      <c r="F882" t="str">
        <f t="shared" si="249"/>
        <v>ZARD EXHAUST N. 2 SILENCERS MOTO GUZZI V9 BOBBER - ROAMER 2016/19 SLIM VERSION ZG081SSR</v>
      </c>
      <c r="G882" t="str">
        <f t="shared" si="250"/>
        <v/>
      </c>
      <c r="H882" t="str">
        <f t="shared" si="262"/>
        <v/>
      </c>
      <c r="I882" t="str">
        <f t="shared" si="263"/>
        <v/>
      </c>
      <c r="J882" t="str">
        <f t="shared" si="264"/>
        <v/>
      </c>
      <c r="K882" t="str">
        <f t="shared" si="265"/>
        <v/>
      </c>
      <c r="L882" t="str">
        <f t="shared" si="251"/>
        <v>Option</v>
      </c>
      <c r="M882" t="str">
        <f t="shared" si="252"/>
        <v>EURO 4 HOMOLOGATED</v>
      </c>
      <c r="R882" t="str">
        <f t="shared" si="253"/>
        <v>ZG081SSR</v>
      </c>
      <c r="S882">
        <f t="shared" si="254"/>
        <v>0</v>
      </c>
      <c r="U882" t="str">
        <f t="shared" si="255"/>
        <v>continue</v>
      </c>
      <c r="V882" t="str">
        <f t="shared" si="256"/>
        <v>manual</v>
      </c>
      <c r="W882" s="5">
        <f t="shared" si="257"/>
        <v>982.90500000000009</v>
      </c>
      <c r="Y882" t="b">
        <f t="shared" si="258"/>
        <v>1</v>
      </c>
      <c r="Z882" t="b">
        <f t="shared" si="259"/>
        <v>0</v>
      </c>
      <c r="AB882" t="str">
        <f t="shared" si="260"/>
        <v/>
      </c>
      <c r="AE882" t="b">
        <v>0</v>
      </c>
    </row>
    <row r="883" spans="1:31" x14ac:dyDescent="0.2">
      <c r="A883" t="str">
        <f t="shared" si="247"/>
        <v>https://shop.officineitalianezard.it/en/moto-guzzi-v9-bobber-roamer-exhaust-zard-2/</v>
      </c>
      <c r="B883" t="b">
        <f>COUNTIF($A$2:$A883, A883)&gt;1</f>
        <v>1</v>
      </c>
      <c r="C883" t="b">
        <f t="shared" si="248"/>
        <v>1</v>
      </c>
      <c r="D883">
        <f>VLOOKUP(A883,variant_counts!A:B, 2, FALSE)</f>
        <v>3</v>
      </c>
      <c r="E883" t="str">
        <f t="shared" si="261"/>
        <v>zard-exhaust-n-2-silencers-moto-guzzi-v9-bobber---roamer-201619-slimversion-zg081ssr</v>
      </c>
      <c r="F883" t="str">
        <f t="shared" si="249"/>
        <v>ZARD EXHAUST N. 2 SILENCERS MOTO GUZZI V9 BOBBER - ROAMER 2016/19 SLIM VERSION ZG081SSR</v>
      </c>
      <c r="G883" t="str">
        <f t="shared" si="250"/>
        <v/>
      </c>
      <c r="H883" t="str">
        <f t="shared" si="262"/>
        <v/>
      </c>
      <c r="I883" t="str">
        <f t="shared" si="263"/>
        <v/>
      </c>
      <c r="J883" t="str">
        <f t="shared" si="264"/>
        <v/>
      </c>
      <c r="K883" t="str">
        <f t="shared" si="265"/>
        <v/>
      </c>
      <c r="L883" t="str">
        <f t="shared" si="251"/>
        <v>Option</v>
      </c>
      <c r="M883" t="str">
        <f t="shared" si="252"/>
        <v>BLACK COATING</v>
      </c>
      <c r="R883" t="str">
        <f t="shared" si="253"/>
        <v>ZG081SSR</v>
      </c>
      <c r="S883">
        <f t="shared" si="254"/>
        <v>0</v>
      </c>
      <c r="U883" t="str">
        <f t="shared" si="255"/>
        <v>continue</v>
      </c>
      <c r="V883" t="str">
        <f t="shared" si="256"/>
        <v>manual</v>
      </c>
      <c r="W883" s="5">
        <f t="shared" si="257"/>
        <v>932.13360000000011</v>
      </c>
      <c r="Y883" t="b">
        <f t="shared" si="258"/>
        <v>1</v>
      </c>
      <c r="Z883" t="b">
        <f t="shared" si="259"/>
        <v>0</v>
      </c>
      <c r="AB883" t="str">
        <f t="shared" si="260"/>
        <v/>
      </c>
      <c r="AE883" t="b">
        <v>0</v>
      </c>
    </row>
    <row r="884" spans="1:31" x14ac:dyDescent="0.2">
      <c r="A884" t="str">
        <f t="shared" si="247"/>
        <v>https://shop.officineitalianezard.it/en/moto-guzzi-v9-bobber-roamer-exhaust-zard-2/</v>
      </c>
      <c r="B884" t="b">
        <f>COUNTIF($A$2:$A884, A884)&gt;1</f>
        <v>1</v>
      </c>
      <c r="C884" t="b">
        <f t="shared" si="248"/>
        <v>1</v>
      </c>
      <c r="D884">
        <f>VLOOKUP(A884,variant_counts!A:B, 2, FALSE)</f>
        <v>3</v>
      </c>
      <c r="E884" t="str">
        <f t="shared" si="261"/>
        <v>zard-exhaust-n-2-silencers-moto-guzzi-v9-bobber---roamer-201619-slimversion-zg081ssr</v>
      </c>
      <c r="F884" t="str">
        <f t="shared" si="249"/>
        <v>ZARD EXHAUST N. 2 SILENCERS MOTO GUZZI V9 BOBBER - ROAMER 2016/19 SLIM VERSION ZG081SSR</v>
      </c>
      <c r="G884" t="str">
        <f t="shared" si="250"/>
        <v/>
      </c>
      <c r="H884" t="str">
        <f t="shared" si="262"/>
        <v/>
      </c>
      <c r="I884" t="str">
        <f t="shared" si="263"/>
        <v/>
      </c>
      <c r="J884" t="str">
        <f t="shared" si="264"/>
        <v/>
      </c>
      <c r="K884" t="str">
        <f t="shared" si="265"/>
        <v/>
      </c>
      <c r="L884" t="str">
        <f t="shared" si="251"/>
        <v>Option</v>
      </c>
      <c r="M884" t="str">
        <f t="shared" si="252"/>
        <v>BRONZED LOGO PLATE, HOSE CLAMP AND END-CAP</v>
      </c>
      <c r="R884" t="str">
        <f t="shared" si="253"/>
        <v>ZG081SSR</v>
      </c>
      <c r="S884">
        <f t="shared" si="254"/>
        <v>0</v>
      </c>
      <c r="U884" t="str">
        <f t="shared" si="255"/>
        <v>continue</v>
      </c>
      <c r="V884" t="str">
        <f t="shared" si="256"/>
        <v>manual</v>
      </c>
      <c r="W884" s="5">
        <f t="shared" si="257"/>
        <v>914.93970000000002</v>
      </c>
      <c r="Y884" t="b">
        <f t="shared" si="258"/>
        <v>1</v>
      </c>
      <c r="Z884" t="b">
        <f t="shared" si="259"/>
        <v>0</v>
      </c>
      <c r="AB884" t="str">
        <f t="shared" si="260"/>
        <v/>
      </c>
      <c r="AE884" t="b">
        <v>0</v>
      </c>
    </row>
    <row r="885" spans="1:31" x14ac:dyDescent="0.2">
      <c r="A885" t="str">
        <f t="shared" si="247"/>
        <v>https://shop.officineitalianezard.it/en/moto-guzzi-v85-tt-zard-exhaust/</v>
      </c>
      <c r="B885" t="b">
        <f>COUNTIF($A$2:$A885, A885)&gt;1</f>
        <v>0</v>
      </c>
      <c r="C885" t="b">
        <f t="shared" si="248"/>
        <v>0</v>
      </c>
      <c r="D885">
        <f>VLOOKUP(A885,variant_counts!A:B, 2, FALSE)</f>
        <v>3</v>
      </c>
      <c r="E885" t="str">
        <f t="shared" si="261"/>
        <v>zard-exhaust-silencer-moto-guzzi-v85-tt-my-2019-slip-on-version-zg085ssr</v>
      </c>
      <c r="F885" t="str">
        <f t="shared" si="249"/>
        <v>ZARD EXHAUST SILENCER MOTO GUZZI V85 TT M.Y. 2019 SLIP-ON VERSION ZG085SSR</v>
      </c>
      <c r="G885" t="str">
        <f t="shared" si="250"/>
        <v>&lt;p&gt;&lt;strong&gt;&lt;/strong&gt;STAINLESS STEEL (SANDBLASTED FINISH) RACING SLIP-ON WITH REMOVABLE DB KILLERS&lt;br&gt;EURO 4 HOMOLOGATED VERSION AVAILABLE AS OPTIONAL&lt;/p&gt;
&lt;p&gt;CARBON CLAMP, END-CAP AND HEAT SHIELD INCLUDED&lt;/p&gt;
&lt;p&gt;ORIGINAL EXHAUST WEIGHT: 5.3 KG&lt;br&gt;ZARD EXHAUST WEIGHT: 3 KG&lt;/p&gt;
&lt;p&gt;&lt;span&gt;THE INSTALLATION OF ZARD EXHAUST DOES NOT&lt;/span&gt;&lt;br&gt;&lt;span&gt;IMPLY ANY MODIFICATION TO ECU&lt;/span&gt;&lt;/p&gt;
&lt;p&gt;SIGNIFICANT&amp;nbsp;INCREASE, COMPARED TO THE ORIGINAL EXHAUST SYSTEM,&lt;br&gt;IN TERMS OF TORQUE AND POWER AT ANY RANGE, ASTONISHING SOUND.&lt;/p&gt;</v>
      </c>
      <c r="H885" t="str">
        <f t="shared" si="262"/>
        <v>ZARD</v>
      </c>
      <c r="I885" t="str">
        <f t="shared" si="263"/>
        <v>Exhaust Pipe</v>
      </c>
      <c r="J885" t="str">
        <f t="shared" si="264"/>
        <v>Test</v>
      </c>
      <c r="K885" t="b">
        <f t="shared" si="265"/>
        <v>0</v>
      </c>
      <c r="L885" t="str">
        <f t="shared" si="251"/>
        <v/>
      </c>
      <c r="M885" t="str">
        <f t="shared" si="252"/>
        <v/>
      </c>
      <c r="R885" t="str">
        <f t="shared" si="253"/>
        <v/>
      </c>
      <c r="S885" t="str">
        <f t="shared" si="254"/>
        <v/>
      </c>
      <c r="U885" t="str">
        <f t="shared" si="255"/>
        <v/>
      </c>
      <c r="V885" t="str">
        <f t="shared" si="256"/>
        <v/>
      </c>
      <c r="W885" s="5" t="str">
        <f t="shared" si="257"/>
        <v/>
      </c>
      <c r="Y885" t="str">
        <f t="shared" si="258"/>
        <v/>
      </c>
      <c r="Z885" t="str">
        <f t="shared" si="259"/>
        <v/>
      </c>
      <c r="AB885" t="str">
        <f t="shared" si="260"/>
        <v>https://shop.officineitalianezard.it/contents/imgs/products/1_2675-scarico%20moto%20guzzi%20v85.jpg</v>
      </c>
      <c r="AE885" t="b">
        <v>0</v>
      </c>
    </row>
    <row r="886" spans="1:31" x14ac:dyDescent="0.2">
      <c r="A886" t="str">
        <f t="shared" si="247"/>
        <v>https://shop.officineitalianezard.it/en/moto-guzzi-v85-tt-zard-exhaust/</v>
      </c>
      <c r="B886" t="b">
        <f>COUNTIF($A$2:$A886, A886)&gt;1</f>
        <v>1</v>
      </c>
      <c r="C886" t="b">
        <f t="shared" si="248"/>
        <v>0</v>
      </c>
      <c r="D886">
        <f>VLOOKUP(A886,variant_counts!A:B, 2, FALSE)</f>
        <v>3</v>
      </c>
      <c r="E886" t="str">
        <f t="shared" si="261"/>
        <v>zard-exhaust-silencer-moto-guzzi-v85-tt-my-2019-slip-on-version-zg085ssr</v>
      </c>
      <c r="F886" t="str">
        <f t="shared" si="249"/>
        <v>ZARD EXHAUST SILENCER MOTO GUZZI V85 TT M.Y. 2019 SLIP-ON VERSION ZG085SSR</v>
      </c>
      <c r="G886" t="str">
        <f t="shared" si="250"/>
        <v/>
      </c>
      <c r="H886" t="str">
        <f t="shared" si="262"/>
        <v/>
      </c>
      <c r="I886" t="str">
        <f t="shared" si="263"/>
        <v/>
      </c>
      <c r="J886" t="str">
        <f t="shared" si="264"/>
        <v/>
      </c>
      <c r="K886" t="str">
        <f t="shared" si="265"/>
        <v/>
      </c>
      <c r="L886" t="str">
        <f t="shared" si="251"/>
        <v/>
      </c>
      <c r="M886" t="str">
        <f t="shared" si="252"/>
        <v/>
      </c>
      <c r="R886" t="str">
        <f t="shared" si="253"/>
        <v/>
      </c>
      <c r="S886" t="str">
        <f t="shared" si="254"/>
        <v/>
      </c>
      <c r="U886" t="str">
        <f t="shared" si="255"/>
        <v/>
      </c>
      <c r="V886" t="str">
        <f t="shared" si="256"/>
        <v/>
      </c>
      <c r="W886" s="5" t="str">
        <f t="shared" si="257"/>
        <v/>
      </c>
      <c r="Y886" t="str">
        <f t="shared" si="258"/>
        <v/>
      </c>
      <c r="Z886" t="str">
        <f t="shared" si="259"/>
        <v/>
      </c>
      <c r="AB886" t="str">
        <f t="shared" si="260"/>
        <v>https://shop.officineitalianezard.it/contents/imgs/products/1_2587-scarico%20moto%20guzzi%20v85%20tt%20zard%20inox.jpg</v>
      </c>
      <c r="AE886" t="b">
        <v>0</v>
      </c>
    </row>
    <row r="887" spans="1:31" x14ac:dyDescent="0.2">
      <c r="A887" t="str">
        <f t="shared" si="247"/>
        <v>https://shop.officineitalianezard.it/en/moto-guzzi-v85-tt-zard-exhaust/</v>
      </c>
      <c r="B887" t="b">
        <f>COUNTIF($A$2:$A887, A887)&gt;1</f>
        <v>1</v>
      </c>
      <c r="C887" t="b">
        <f t="shared" si="248"/>
        <v>0</v>
      </c>
      <c r="D887">
        <f>VLOOKUP(A887,variant_counts!A:B, 2, FALSE)</f>
        <v>3</v>
      </c>
      <c r="E887" t="str">
        <f t="shared" si="261"/>
        <v>zard-exhaust-silencer-moto-guzzi-v85-tt-my-2019-slip-on-version-zg085ssr</v>
      </c>
      <c r="F887" t="str">
        <f t="shared" si="249"/>
        <v>ZARD EXHAUST SILENCER MOTO GUZZI V85 TT M.Y. 2019 SLIP-ON VERSION ZG085SSR</v>
      </c>
      <c r="G887" t="str">
        <f t="shared" si="250"/>
        <v/>
      </c>
      <c r="H887" t="str">
        <f t="shared" si="262"/>
        <v/>
      </c>
      <c r="I887" t="str">
        <f t="shared" si="263"/>
        <v/>
      </c>
      <c r="J887" t="str">
        <f t="shared" si="264"/>
        <v/>
      </c>
      <c r="K887" t="str">
        <f t="shared" si="265"/>
        <v/>
      </c>
      <c r="L887" t="str">
        <f t="shared" si="251"/>
        <v/>
      </c>
      <c r="M887" t="str">
        <f t="shared" si="252"/>
        <v/>
      </c>
      <c r="R887" t="str">
        <f t="shared" si="253"/>
        <v/>
      </c>
      <c r="S887" t="str">
        <f t="shared" si="254"/>
        <v/>
      </c>
      <c r="U887" t="str">
        <f t="shared" si="255"/>
        <v/>
      </c>
      <c r="V887" t="str">
        <f t="shared" si="256"/>
        <v/>
      </c>
      <c r="W887" s="5" t="str">
        <f t="shared" si="257"/>
        <v/>
      </c>
      <c r="Y887" t="str">
        <f t="shared" si="258"/>
        <v/>
      </c>
      <c r="Z887" t="str">
        <f t="shared" si="259"/>
        <v/>
      </c>
      <c r="AB887" t="str">
        <f t="shared" si="260"/>
        <v>https://shop.officineitalianezard.it/contents/imgs/products/1_2551-scarico%20moto%20guzzi%20v85%20tt%20zard%201.jpg</v>
      </c>
      <c r="AE887" t="b">
        <v>0</v>
      </c>
    </row>
    <row r="888" spans="1:31" x14ac:dyDescent="0.2">
      <c r="A888" t="str">
        <f t="shared" si="247"/>
        <v>https://shop.officineitalianezard.it/en/moto-guzzi-v85-tt-zard-exhaust/</v>
      </c>
      <c r="B888" t="b">
        <f>COUNTIF($A$2:$A888, A888)&gt;1</f>
        <v>1</v>
      </c>
      <c r="C888" t="b">
        <f t="shared" si="248"/>
        <v>0</v>
      </c>
      <c r="D888">
        <f>VLOOKUP(A888,variant_counts!A:B, 2, FALSE)</f>
        <v>3</v>
      </c>
      <c r="E888" t="str">
        <f t="shared" si="261"/>
        <v>zard-exhaust-silencer-moto-guzzi-v85-tt-my-2019-slip-on-version-zg085ssr</v>
      </c>
      <c r="F888" t="str">
        <f t="shared" si="249"/>
        <v>ZARD EXHAUST SILENCER MOTO GUZZI V85 TT M.Y. 2019 SLIP-ON VERSION ZG085SSR</v>
      </c>
      <c r="G888" t="str">
        <f t="shared" si="250"/>
        <v/>
      </c>
      <c r="H888" t="str">
        <f t="shared" si="262"/>
        <v/>
      </c>
      <c r="I888" t="str">
        <f t="shared" si="263"/>
        <v/>
      </c>
      <c r="J888" t="str">
        <f t="shared" si="264"/>
        <v/>
      </c>
      <c r="K888" t="str">
        <f t="shared" si="265"/>
        <v/>
      </c>
      <c r="L888" t="str">
        <f t="shared" si="251"/>
        <v/>
      </c>
      <c r="M888" t="str">
        <f t="shared" si="252"/>
        <v/>
      </c>
      <c r="R888" t="str">
        <f t="shared" si="253"/>
        <v/>
      </c>
      <c r="S888" t="str">
        <f t="shared" si="254"/>
        <v/>
      </c>
      <c r="U888" t="str">
        <f t="shared" si="255"/>
        <v/>
      </c>
      <c r="V888" t="str">
        <f t="shared" si="256"/>
        <v/>
      </c>
      <c r="W888" s="5" t="str">
        <f t="shared" si="257"/>
        <v/>
      </c>
      <c r="Y888" t="str">
        <f t="shared" si="258"/>
        <v/>
      </c>
      <c r="Z888" t="str">
        <f t="shared" si="259"/>
        <v/>
      </c>
      <c r="AB888" t="str">
        <f t="shared" si="260"/>
        <v>https://shop.officineitalianezard.it/contents/imgs/products/1_2552-scarico%20moto%20guzzi%20v85%20tt%20zard%202.jpg</v>
      </c>
      <c r="AE888" t="b">
        <v>0</v>
      </c>
    </row>
    <row r="889" spans="1:31" x14ac:dyDescent="0.2">
      <c r="A889" t="str">
        <f t="shared" si="247"/>
        <v>https://shop.officineitalianezard.it/en/moto-guzzi-v85-tt-zard-exhaust/</v>
      </c>
      <c r="B889" t="b">
        <f>COUNTIF($A$2:$A889, A889)&gt;1</f>
        <v>1</v>
      </c>
      <c r="C889" t="b">
        <f t="shared" si="248"/>
        <v>0</v>
      </c>
      <c r="D889">
        <f>VLOOKUP(A889,variant_counts!A:B, 2, FALSE)</f>
        <v>3</v>
      </c>
      <c r="E889" t="str">
        <f t="shared" si="261"/>
        <v>zard-exhaust-silencer-moto-guzzi-v85-tt-my-2019-slip-on-version-zg085ssr</v>
      </c>
      <c r="F889" t="str">
        <f t="shared" si="249"/>
        <v>ZARD EXHAUST SILENCER MOTO GUZZI V85 TT M.Y. 2019 SLIP-ON VERSION ZG085SSR</v>
      </c>
      <c r="G889" t="str">
        <f t="shared" si="250"/>
        <v/>
      </c>
      <c r="H889" t="str">
        <f t="shared" si="262"/>
        <v/>
      </c>
      <c r="I889" t="str">
        <f t="shared" si="263"/>
        <v/>
      </c>
      <c r="J889" t="str">
        <f t="shared" si="264"/>
        <v/>
      </c>
      <c r="K889" t="str">
        <f t="shared" si="265"/>
        <v/>
      </c>
      <c r="L889" t="str">
        <f t="shared" si="251"/>
        <v/>
      </c>
      <c r="M889" t="str">
        <f t="shared" si="252"/>
        <v/>
      </c>
      <c r="R889" t="str">
        <f t="shared" si="253"/>
        <v/>
      </c>
      <c r="S889" t="str">
        <f t="shared" si="254"/>
        <v/>
      </c>
      <c r="U889" t="str">
        <f t="shared" si="255"/>
        <v/>
      </c>
      <c r="V889" t="str">
        <f t="shared" si="256"/>
        <v/>
      </c>
      <c r="W889" s="5" t="str">
        <f t="shared" si="257"/>
        <v/>
      </c>
      <c r="Y889" t="str">
        <f t="shared" si="258"/>
        <v/>
      </c>
      <c r="Z889" t="str">
        <f t="shared" si="259"/>
        <v/>
      </c>
      <c r="AB889" t="str">
        <f t="shared" si="260"/>
        <v>https://shop.officineitalianezard.it/contents/imgs/products/1_2553-scarico%20moto%20guzzi%20v85%20tt%20zard%203.jpg</v>
      </c>
      <c r="AE889" t="b">
        <v>0</v>
      </c>
    </row>
    <row r="890" spans="1:31" x14ac:dyDescent="0.2">
      <c r="A890" t="str">
        <f t="shared" si="247"/>
        <v>https://shop.officineitalianezard.it/en/moto-guzzi-v85-tt-zard-exhaust/</v>
      </c>
      <c r="B890" t="b">
        <f>COUNTIF($A$2:$A890, A890)&gt;1</f>
        <v>1</v>
      </c>
      <c r="C890" t="b">
        <f t="shared" si="248"/>
        <v>0</v>
      </c>
      <c r="D890">
        <f>VLOOKUP(A890,variant_counts!A:B, 2, FALSE)</f>
        <v>3</v>
      </c>
      <c r="E890" t="str">
        <f t="shared" si="261"/>
        <v>zard-exhaust-silencer-moto-guzzi-v85-tt-my-2019-slip-on-version-zg085ssr</v>
      </c>
      <c r="F890" t="str">
        <f t="shared" si="249"/>
        <v>ZARD EXHAUST SILENCER MOTO GUZZI V85 TT M.Y. 2019 SLIP-ON VERSION ZG085SSR</v>
      </c>
      <c r="G890" t="str">
        <f t="shared" si="250"/>
        <v/>
      </c>
      <c r="H890" t="str">
        <f t="shared" si="262"/>
        <v/>
      </c>
      <c r="I890" t="str">
        <f t="shared" si="263"/>
        <v/>
      </c>
      <c r="J890" t="str">
        <f t="shared" si="264"/>
        <v/>
      </c>
      <c r="K890" t="str">
        <f t="shared" si="265"/>
        <v/>
      </c>
      <c r="L890" t="str">
        <f t="shared" si="251"/>
        <v/>
      </c>
      <c r="M890" t="str">
        <f t="shared" si="252"/>
        <v/>
      </c>
      <c r="R890" t="str">
        <f t="shared" si="253"/>
        <v/>
      </c>
      <c r="S890" t="str">
        <f t="shared" si="254"/>
        <v/>
      </c>
      <c r="U890" t="str">
        <f t="shared" si="255"/>
        <v/>
      </c>
      <c r="V890" t="str">
        <f t="shared" si="256"/>
        <v/>
      </c>
      <c r="W890" s="5" t="str">
        <f t="shared" si="257"/>
        <v/>
      </c>
      <c r="Y890" t="str">
        <f t="shared" si="258"/>
        <v/>
      </c>
      <c r="Z890" t="str">
        <f t="shared" si="259"/>
        <v/>
      </c>
      <c r="AB890" t="str">
        <f t="shared" si="260"/>
        <v>https://shop.officineitalianezard.it/contents/imgs/products/1_2554-scarico%20moto%20guzzi%20v85%20tt%20zard%204.jpg</v>
      </c>
      <c r="AE890" t="b">
        <v>0</v>
      </c>
    </row>
    <row r="891" spans="1:31" x14ac:dyDescent="0.2">
      <c r="A891" t="str">
        <f t="shared" si="247"/>
        <v>https://shop.officineitalianezard.it/en/moto-guzzi-v85-tt-zard-exhaust/</v>
      </c>
      <c r="B891" t="b">
        <f>COUNTIF($A$2:$A891, A891)&gt;1</f>
        <v>1</v>
      </c>
      <c r="C891" t="b">
        <f t="shared" si="248"/>
        <v>1</v>
      </c>
      <c r="D891">
        <f>VLOOKUP(A891,variant_counts!A:B, 2, FALSE)</f>
        <v>3</v>
      </c>
      <c r="E891" t="str">
        <f t="shared" si="261"/>
        <v>zard-exhaust-silencer-moto-guzzi-v85-tt-my-2019-slip-on-version-zg085ssr</v>
      </c>
      <c r="F891" t="str">
        <f t="shared" si="249"/>
        <v>ZARD EXHAUST SILENCER MOTO GUZZI V85 TT M.Y. 2019 SLIP-ON VERSION ZG085SSR</v>
      </c>
      <c r="G891" t="str">
        <f t="shared" si="250"/>
        <v/>
      </c>
      <c r="H891" t="str">
        <f t="shared" si="262"/>
        <v/>
      </c>
      <c r="I891" t="str">
        <f t="shared" si="263"/>
        <v/>
      </c>
      <c r="J891" t="str">
        <f t="shared" si="264"/>
        <v/>
      </c>
      <c r="K891" t="str">
        <f t="shared" si="265"/>
        <v/>
      </c>
      <c r="L891" t="str">
        <f t="shared" si="251"/>
        <v>Option</v>
      </c>
      <c r="M891" t="str">
        <f t="shared" si="252"/>
        <v>EURO 4 HOMOLOGATED</v>
      </c>
      <c r="R891" t="str">
        <f t="shared" si="253"/>
        <v>ZG085SSR</v>
      </c>
      <c r="S891">
        <f t="shared" si="254"/>
        <v>0</v>
      </c>
      <c r="U891" t="str">
        <f t="shared" si="255"/>
        <v>continue</v>
      </c>
      <c r="V891" t="str">
        <f t="shared" si="256"/>
        <v>manual</v>
      </c>
      <c r="W891" s="5">
        <f t="shared" si="257"/>
        <v>589.56540000000007</v>
      </c>
      <c r="Y891" t="b">
        <f t="shared" si="258"/>
        <v>1</v>
      </c>
      <c r="Z891" t="b">
        <f t="shared" si="259"/>
        <v>0</v>
      </c>
      <c r="AB891" t="str">
        <f t="shared" si="260"/>
        <v/>
      </c>
      <c r="AE891" t="b">
        <v>0</v>
      </c>
    </row>
    <row r="892" spans="1:31" x14ac:dyDescent="0.2">
      <c r="A892" t="str">
        <f t="shared" si="247"/>
        <v>https://shop.officineitalianezard.it/en/moto-guzzi-v85-tt-zard-exhaust/</v>
      </c>
      <c r="B892" t="b">
        <f>COUNTIF($A$2:$A892, A892)&gt;1</f>
        <v>1</v>
      </c>
      <c r="C892" t="b">
        <f t="shared" si="248"/>
        <v>1</v>
      </c>
      <c r="D892">
        <f>VLOOKUP(A892,variant_counts!A:B, 2, FALSE)</f>
        <v>3</v>
      </c>
      <c r="E892" t="str">
        <f t="shared" si="261"/>
        <v>zard-exhaust-silencer-moto-guzzi-v85-tt-my-2019-slip-on-version-zg085ssr</v>
      </c>
      <c r="F892" t="str">
        <f t="shared" si="249"/>
        <v>ZARD EXHAUST SILENCER MOTO GUZZI V85 TT M.Y. 2019 SLIP-ON VERSION ZG085SSR</v>
      </c>
      <c r="G892" t="str">
        <f t="shared" si="250"/>
        <v/>
      </c>
      <c r="H892" t="str">
        <f t="shared" si="262"/>
        <v/>
      </c>
      <c r="I892" t="str">
        <f t="shared" si="263"/>
        <v/>
      </c>
      <c r="J892" t="str">
        <f t="shared" si="264"/>
        <v/>
      </c>
      <c r="K892" t="str">
        <f t="shared" si="265"/>
        <v/>
      </c>
      <c r="L892" t="str">
        <f t="shared" si="251"/>
        <v>Option</v>
      </c>
      <c r="M892" t="str">
        <f t="shared" si="252"/>
        <v>TITANIUM SLEEVE</v>
      </c>
      <c r="R892" t="str">
        <f t="shared" si="253"/>
        <v>ZG085SSR</v>
      </c>
      <c r="S892">
        <f t="shared" si="254"/>
        <v>0</v>
      </c>
      <c r="U892" t="str">
        <f t="shared" si="255"/>
        <v>continue</v>
      </c>
      <c r="V892" t="str">
        <f t="shared" si="256"/>
        <v>manual</v>
      </c>
      <c r="W892" s="5">
        <f t="shared" si="257"/>
        <v>663.26940000000002</v>
      </c>
      <c r="Y892" t="b">
        <f t="shared" si="258"/>
        <v>1</v>
      </c>
      <c r="Z892" t="b">
        <f t="shared" si="259"/>
        <v>0</v>
      </c>
      <c r="AB892" t="str">
        <f t="shared" si="260"/>
        <v/>
      </c>
      <c r="AE892" t="b">
        <v>0</v>
      </c>
    </row>
    <row r="893" spans="1:31" x14ac:dyDescent="0.2">
      <c r="A893" t="str">
        <f t="shared" si="247"/>
        <v>https://shop.officineitalianezard.it/en/moto-guzzi-v85-tt-zard-exhaust/</v>
      </c>
      <c r="B893" t="b">
        <f>COUNTIF($A$2:$A893, A893)&gt;1</f>
        <v>1</v>
      </c>
      <c r="C893" t="b">
        <f t="shared" si="248"/>
        <v>1</v>
      </c>
      <c r="D893">
        <f>VLOOKUP(A893,variant_counts!A:B, 2, FALSE)</f>
        <v>3</v>
      </c>
      <c r="E893" t="str">
        <f t="shared" si="261"/>
        <v>zard-exhaust-silencer-moto-guzzi-v85-tt-my-2019-slip-on-version-zg085ssr</v>
      </c>
      <c r="F893" t="str">
        <f t="shared" si="249"/>
        <v>ZARD EXHAUST SILENCER MOTO GUZZI V85 TT M.Y. 2019 SLIP-ON VERSION ZG085SSR</v>
      </c>
      <c r="G893" t="str">
        <f t="shared" si="250"/>
        <v/>
      </c>
      <c r="H893" t="str">
        <f t="shared" si="262"/>
        <v/>
      </c>
      <c r="I893" t="str">
        <f t="shared" si="263"/>
        <v/>
      </c>
      <c r="J893" t="str">
        <f t="shared" si="264"/>
        <v/>
      </c>
      <c r="K893" t="str">
        <f t="shared" si="265"/>
        <v/>
      </c>
      <c r="L893" t="str">
        <f t="shared" si="251"/>
        <v>Option</v>
      </c>
      <c r="M893" t="str">
        <f t="shared" si="252"/>
        <v>BLACK SLEEVE</v>
      </c>
      <c r="R893" t="str">
        <f t="shared" si="253"/>
        <v>ZG085SSR</v>
      </c>
      <c r="S893">
        <f t="shared" si="254"/>
        <v>0</v>
      </c>
      <c r="U893" t="str">
        <f t="shared" si="255"/>
        <v>continue</v>
      </c>
      <c r="V893" t="str">
        <f t="shared" si="256"/>
        <v>manual</v>
      </c>
      <c r="W893" s="5">
        <f t="shared" si="257"/>
        <v>646.88580000000002</v>
      </c>
      <c r="Y893" t="b">
        <f t="shared" si="258"/>
        <v>1</v>
      </c>
      <c r="Z893" t="b">
        <f t="shared" si="259"/>
        <v>0</v>
      </c>
      <c r="AB893" t="str">
        <f t="shared" si="260"/>
        <v/>
      </c>
      <c r="AE893" t="b">
        <v>0</v>
      </c>
    </row>
    <row r="894" spans="1:31" x14ac:dyDescent="0.2">
      <c r="A894" t="str">
        <f t="shared" si="247"/>
        <v>https://shop.officineitalianezard.it/en/products/index/moto-guzzi-v7-stone-exhaust-zard-7385-94/</v>
      </c>
      <c r="B894" t="b">
        <f>COUNTIF($A$2:$A894, A894)&gt;1</f>
        <v>0</v>
      </c>
      <c r="C894" t="b">
        <f t="shared" si="248"/>
        <v>0</v>
      </c>
      <c r="D894">
        <f>VLOOKUP(A894,variant_counts!A:B, 2, FALSE)</f>
        <v>3</v>
      </c>
      <c r="E894" t="str">
        <f t="shared" si="261"/>
        <v>zard-exhaust-my-08-11-silencers-moto-guzzi-v7-stone-conical-version-zg076ssr</v>
      </c>
      <c r="F894" t="str">
        <f t="shared" si="249"/>
        <v>ZARD EXHAUST M.Y. 08-11 SILENCERS MOTO GUZZI V7 STONE CONICAL VERSION ZG076SSR</v>
      </c>
      <c r="G894" t="str">
        <f t="shared" si="250"/>
        <v>&lt;p&gt;N.2 STEEL SILENCERS RACING WITH REMOVABLE DB KILLER&lt;/p&gt;
&lt;p&gt;ORIGINAL EXHAUST WEIGHT: KG 7.2&lt;br&gt;ZARD EXHAUST WEIGHT:: KG 4.2&lt;/p&gt;
&lt;p&gt;HARD INCREASE, COMPARED TO THE ORIGINAL EXHAUST SYSTEM, IN TERMS OF TORQUE AND POWER AT ANY RANGE (+2 HP)&lt;/p&gt;
&lt;p&gt;ASTONISHING SOUND&lt;/p&gt;</v>
      </c>
      <c r="H894" t="str">
        <f t="shared" si="262"/>
        <v>ZARD</v>
      </c>
      <c r="I894" t="str">
        <f t="shared" si="263"/>
        <v>Exhaust Pipe</v>
      </c>
      <c r="J894" t="str">
        <f t="shared" si="264"/>
        <v>Test</v>
      </c>
      <c r="K894" t="b">
        <f t="shared" si="265"/>
        <v>0</v>
      </c>
      <c r="L894" t="str">
        <f t="shared" si="251"/>
        <v/>
      </c>
      <c r="M894" t="str">
        <f t="shared" si="252"/>
        <v/>
      </c>
      <c r="R894" t="str">
        <f t="shared" si="253"/>
        <v/>
      </c>
      <c r="S894" t="str">
        <f t="shared" si="254"/>
        <v/>
      </c>
      <c r="U894" t="str">
        <f t="shared" si="255"/>
        <v/>
      </c>
      <c r="V894" t="str">
        <f t="shared" si="256"/>
        <v/>
      </c>
      <c r="W894" s="5" t="str">
        <f t="shared" si="257"/>
        <v/>
      </c>
      <c r="Y894" t="str">
        <f t="shared" si="258"/>
        <v/>
      </c>
      <c r="Z894" t="str">
        <f t="shared" si="259"/>
        <v/>
      </c>
      <c r="AB894" t="str">
        <f t="shared" si="260"/>
        <v>https://shop.officineitalianezard.it/contents/imgs/products/1_2404-terminali%20silenziatori%20scarico%20moto%20guzzi%20v7II%20-%20zard%201.jpg</v>
      </c>
      <c r="AE894" t="b">
        <v>0</v>
      </c>
    </row>
    <row r="895" spans="1:31" x14ac:dyDescent="0.2">
      <c r="A895" t="str">
        <f t="shared" si="247"/>
        <v>https://shop.officineitalianezard.it/en/products/index/moto-guzzi-v7-stone-exhaust-zard-7385-94/</v>
      </c>
      <c r="B895" t="b">
        <f>COUNTIF($A$2:$A895, A895)&gt;1</f>
        <v>1</v>
      </c>
      <c r="C895" t="b">
        <f t="shared" si="248"/>
        <v>0</v>
      </c>
      <c r="D895">
        <f>VLOOKUP(A895,variant_counts!A:B, 2, FALSE)</f>
        <v>3</v>
      </c>
      <c r="E895" t="str">
        <f t="shared" si="261"/>
        <v>zard-exhaust-my-08-11-silencers-moto-guzzi-v7-stone-conical-version-zg076ssr</v>
      </c>
      <c r="F895" t="str">
        <f t="shared" si="249"/>
        <v>ZARD EXHAUST M.Y. 08-11 SILENCERS MOTO GUZZI V7 STONE CONICAL VERSION ZG076SSR</v>
      </c>
      <c r="G895" t="str">
        <f t="shared" si="250"/>
        <v/>
      </c>
      <c r="H895" t="str">
        <f t="shared" si="262"/>
        <v/>
      </c>
      <c r="I895" t="str">
        <f t="shared" si="263"/>
        <v/>
      </c>
      <c r="J895" t="str">
        <f t="shared" si="264"/>
        <v/>
      </c>
      <c r="K895" t="str">
        <f t="shared" si="265"/>
        <v/>
      </c>
      <c r="L895" t="str">
        <f t="shared" si="251"/>
        <v/>
      </c>
      <c r="M895" t="str">
        <f t="shared" si="252"/>
        <v/>
      </c>
      <c r="R895" t="str">
        <f t="shared" si="253"/>
        <v/>
      </c>
      <c r="S895" t="str">
        <f t="shared" si="254"/>
        <v/>
      </c>
      <c r="U895" t="str">
        <f t="shared" si="255"/>
        <v/>
      </c>
      <c r="V895" t="str">
        <f t="shared" si="256"/>
        <v/>
      </c>
      <c r="W895" s="5" t="str">
        <f t="shared" si="257"/>
        <v/>
      </c>
      <c r="Y895" t="str">
        <f t="shared" si="258"/>
        <v/>
      </c>
      <c r="Z895" t="str">
        <f t="shared" si="259"/>
        <v/>
      </c>
      <c r="AB895" t="str">
        <f t="shared" si="260"/>
        <v>https://shop.officineitalianezard.it/contents/imgs/products/1_2400-terminali%20silenziatori%20scarico%20moto%20guzzi%20v7II%20-%20zard%202.jpg</v>
      </c>
      <c r="AE895" t="b">
        <v>0</v>
      </c>
    </row>
    <row r="896" spans="1:31" x14ac:dyDescent="0.2">
      <c r="A896" t="str">
        <f t="shared" si="247"/>
        <v>https://shop.officineitalianezard.it/en/products/index/moto-guzzi-v7-stone-exhaust-zard-7385-94/</v>
      </c>
      <c r="B896" t="b">
        <f>COUNTIF($A$2:$A896, A896)&gt;1</f>
        <v>1</v>
      </c>
      <c r="C896" t="b">
        <f t="shared" si="248"/>
        <v>0</v>
      </c>
      <c r="D896">
        <f>VLOOKUP(A896,variant_counts!A:B, 2, FALSE)</f>
        <v>3</v>
      </c>
      <c r="E896" t="str">
        <f t="shared" si="261"/>
        <v>zard-exhaust-my-08-11-silencers-moto-guzzi-v7-stone-conical-version-zg076ssr</v>
      </c>
      <c r="F896" t="str">
        <f t="shared" si="249"/>
        <v>ZARD EXHAUST M.Y. 08-11 SILENCERS MOTO GUZZI V7 STONE CONICAL VERSION ZG076SSR</v>
      </c>
      <c r="G896" t="str">
        <f t="shared" si="250"/>
        <v/>
      </c>
      <c r="H896" t="str">
        <f t="shared" si="262"/>
        <v/>
      </c>
      <c r="I896" t="str">
        <f t="shared" si="263"/>
        <v/>
      </c>
      <c r="J896" t="str">
        <f t="shared" si="264"/>
        <v/>
      </c>
      <c r="K896" t="str">
        <f t="shared" si="265"/>
        <v/>
      </c>
      <c r="L896" t="str">
        <f t="shared" si="251"/>
        <v/>
      </c>
      <c r="M896" t="str">
        <f t="shared" si="252"/>
        <v/>
      </c>
      <c r="R896" t="str">
        <f t="shared" si="253"/>
        <v/>
      </c>
      <c r="S896" t="str">
        <f t="shared" si="254"/>
        <v/>
      </c>
      <c r="U896" t="str">
        <f t="shared" si="255"/>
        <v/>
      </c>
      <c r="V896" t="str">
        <f t="shared" si="256"/>
        <v/>
      </c>
      <c r="W896" s="5" t="str">
        <f t="shared" si="257"/>
        <v/>
      </c>
      <c r="Y896" t="str">
        <f t="shared" si="258"/>
        <v/>
      </c>
      <c r="Z896" t="str">
        <f t="shared" si="259"/>
        <v/>
      </c>
      <c r="AB896" t="str">
        <f t="shared" si="260"/>
        <v>https://shop.officineitalianezard.it/contents/imgs/products/1_2401-terminali%20silenziatori%20scarico%20moto%20guzzi%20v7II%20-%20zard%203.jpg</v>
      </c>
      <c r="AE896" t="b">
        <v>0</v>
      </c>
    </row>
    <row r="897" spans="1:31" x14ac:dyDescent="0.2">
      <c r="A897" t="str">
        <f t="shared" si="247"/>
        <v>https://shop.officineitalianezard.it/en/products/index/moto-guzzi-v7-stone-exhaust-zard-7385-94/</v>
      </c>
      <c r="B897" t="b">
        <f>COUNTIF($A$2:$A897, A897)&gt;1</f>
        <v>1</v>
      </c>
      <c r="C897" t="b">
        <f t="shared" si="248"/>
        <v>0</v>
      </c>
      <c r="D897">
        <f>VLOOKUP(A897,variant_counts!A:B, 2, FALSE)</f>
        <v>3</v>
      </c>
      <c r="E897" t="str">
        <f t="shared" si="261"/>
        <v>zard-exhaust-my-08-11-silencers-moto-guzzi-v7-stone-conical-version-zg076ssr</v>
      </c>
      <c r="F897" t="str">
        <f t="shared" si="249"/>
        <v>ZARD EXHAUST M.Y. 08-11 SILENCERS MOTO GUZZI V7 STONE CONICAL VERSION ZG076SSR</v>
      </c>
      <c r="G897" t="str">
        <f t="shared" si="250"/>
        <v/>
      </c>
      <c r="H897" t="str">
        <f t="shared" si="262"/>
        <v/>
      </c>
      <c r="I897" t="str">
        <f t="shared" si="263"/>
        <v/>
      </c>
      <c r="J897" t="str">
        <f t="shared" si="264"/>
        <v/>
      </c>
      <c r="K897" t="str">
        <f t="shared" si="265"/>
        <v/>
      </c>
      <c r="L897" t="str">
        <f t="shared" si="251"/>
        <v/>
      </c>
      <c r="M897" t="str">
        <f t="shared" si="252"/>
        <v/>
      </c>
      <c r="R897" t="str">
        <f t="shared" si="253"/>
        <v/>
      </c>
      <c r="S897" t="str">
        <f t="shared" si="254"/>
        <v/>
      </c>
      <c r="U897" t="str">
        <f t="shared" si="255"/>
        <v/>
      </c>
      <c r="V897" t="str">
        <f t="shared" si="256"/>
        <v/>
      </c>
      <c r="W897" s="5" t="str">
        <f t="shared" si="257"/>
        <v/>
      </c>
      <c r="Y897" t="str">
        <f t="shared" si="258"/>
        <v/>
      </c>
      <c r="Z897" t="str">
        <f t="shared" si="259"/>
        <v/>
      </c>
      <c r="AB897" t="str">
        <f t="shared" si="260"/>
        <v>https://shop.officineitalianezard.it/contents/imgs/products/1_2402-terminali%20silenziatori%20scarico%20moto%20guzzi%20v7II%20-%20zard%204.jpg</v>
      </c>
      <c r="AE897" t="b">
        <v>0</v>
      </c>
    </row>
    <row r="898" spans="1:31" x14ac:dyDescent="0.2">
      <c r="A898" t="str">
        <f t="shared" ref="A898:A961" si="266">source_product_link_href</f>
        <v>https://shop.officineitalianezard.it/en/products/index/moto-guzzi-v7-stone-exhaust-zard-7385-94/</v>
      </c>
      <c r="B898" t="b">
        <f>COUNTIF($A$2:$A898, A898)&gt;1</f>
        <v>1</v>
      </c>
      <c r="C898" t="b">
        <f t="shared" ref="C898:C961" si="267">NOT(ISBLANK(source_option_name))</f>
        <v>0</v>
      </c>
      <c r="D898">
        <f>VLOOKUP(A898,variant_counts!A:B, 2, FALSE)</f>
        <v>3</v>
      </c>
      <c r="E898" t="str">
        <f t="shared" si="261"/>
        <v>zard-exhaust-my-08-11-silencers-moto-guzzi-v7-stone-conical-version-zg076ssr</v>
      </c>
      <c r="F898" t="str">
        <f t="shared" ref="F898:F961" si="268">UPPER("ZARD EXHAUST " &amp; source_title &amp; " " &amp; source_brand &amp; " " &amp; source_bike &amp; " " &amp; source_product_link &amp; " " &amp; source_sku)</f>
        <v>ZARD EXHAUST M.Y. 08-11 SILENCERS MOTO GUZZI V7 STONE CONICAL VERSION ZG076SSR</v>
      </c>
      <c r="G898" t="str">
        <f t="shared" ref="G898:G961" si="269">IF($B898=FALSE, source_description, "")</f>
        <v/>
      </c>
      <c r="H898" t="str">
        <f t="shared" si="262"/>
        <v/>
      </c>
      <c r="I898" t="str">
        <f t="shared" si="263"/>
        <v/>
      </c>
      <c r="J898" t="str">
        <f t="shared" si="264"/>
        <v/>
      </c>
      <c r="K898" t="str">
        <f t="shared" si="265"/>
        <v/>
      </c>
      <c r="L898" t="str">
        <f t="shared" ref="L898:L961" si="270">IF(AND(variant_count=0,duplicated=FALSE),"Title",IF(OR(AND(variant_count=1,duplicated=FALSE), source_option_name&lt;&gt;""), "Option", ""))</f>
        <v/>
      </c>
      <c r="M898" t="str">
        <f t="shared" ref="M898:M961" si="271">IF(option1_name="Title", "Default Title", IF(AND(option1_name="Option",ISBLANK(source_option_name)),"DEFAULT",IF(ISBLANK(source_option_name), "", source_option_name)))</f>
        <v/>
      </c>
      <c r="R898" t="str">
        <f t="shared" ref="R898:R961" si="272">IF(option1_name &lt;&gt; "", source_sku, "")</f>
        <v/>
      </c>
      <c r="S898" t="str">
        <f t="shared" ref="S898:S961" si="273">IF(option1_name &lt;&gt; "", 0, "")</f>
        <v/>
      </c>
      <c r="U898" t="str">
        <f t="shared" ref="U898:U961" si="274">IF(option1_name &lt;&gt; "", "continue", "")</f>
        <v/>
      </c>
      <c r="V898" t="str">
        <f t="shared" ref="V898:V961" si="275">IF(option1_name &lt;&gt; "", "manual", "")</f>
        <v/>
      </c>
      <c r="W898" s="5" t="str">
        <f t="shared" ref="W898:W961" si="276">IF(option1_name&lt;&gt;"",(source_price_original+source_option_price)*eur_usd,"")</f>
        <v/>
      </c>
      <c r="Y898" t="str">
        <f t="shared" ref="Y898:Y961" si="277">IF(option1_name&lt;&gt;"",TRUE,"")</f>
        <v/>
      </c>
      <c r="Z898" t="str">
        <f t="shared" ref="Z898:Z961" si="278">IF(option1_name&lt;&gt;"",FALSE,"")</f>
        <v/>
      </c>
      <c r="AB898" t="str">
        <f t="shared" ref="AB898:AB961" si="279">IF(ISBLANK(source_image), "", source_image)</f>
        <v>https://shop.officineitalianezard.it/contents/imgs/products/1_2403-terminali%20silenziatori%20scarico%20moto%20guzzi%20v7II%20-%20zard%205.jpg</v>
      </c>
      <c r="AE898" t="b">
        <v>0</v>
      </c>
    </row>
    <row r="899" spans="1:31" x14ac:dyDescent="0.2">
      <c r="A899" t="str">
        <f t="shared" si="266"/>
        <v>https://shop.officineitalianezard.it/en/products/index/moto-guzzi-v7-stone-exhaust-zard-7385-94/</v>
      </c>
      <c r="B899" t="b">
        <f>COUNTIF($A$2:$A899, A899)&gt;1</f>
        <v>1</v>
      </c>
      <c r="C899" t="b">
        <f t="shared" si="267"/>
        <v>0</v>
      </c>
      <c r="D899">
        <f>VLOOKUP(A899,variant_counts!A:B, 2, FALSE)</f>
        <v>3</v>
      </c>
      <c r="E899" t="str">
        <f t="shared" ref="E899:E962" si="280">FormatShopifyHandle(F899)</f>
        <v>zard-exhaust-my-08-11-silencers-moto-guzzi-v7-stone-conical-version-zg076ssr</v>
      </c>
      <c r="F899" t="str">
        <f t="shared" si="268"/>
        <v>ZARD EXHAUST M.Y. 08-11 SILENCERS MOTO GUZZI V7 STONE CONICAL VERSION ZG076SSR</v>
      </c>
      <c r="G899" t="str">
        <f t="shared" si="269"/>
        <v/>
      </c>
      <c r="H899" t="str">
        <f t="shared" ref="H899:H962" si="281">IF($B899=FALSE, "ZARD", "")</f>
        <v/>
      </c>
      <c r="I899" t="str">
        <f t="shared" ref="I899:I962" si="282">IF($B899=FALSE, "Exhaust Pipe", "")</f>
        <v/>
      </c>
      <c r="J899" t="str">
        <f t="shared" ref="J899:J962" si="283">IF($B899=FALSE, "Test", "")</f>
        <v/>
      </c>
      <c r="K899" t="str">
        <f t="shared" ref="K899:K962" si="284">IF($B899=FALSE, FALSE, "")</f>
        <v/>
      </c>
      <c r="L899" t="str">
        <f t="shared" si="270"/>
        <v/>
      </c>
      <c r="M899" t="str">
        <f t="shared" si="271"/>
        <v/>
      </c>
      <c r="R899" t="str">
        <f t="shared" si="272"/>
        <v/>
      </c>
      <c r="S899" t="str">
        <f t="shared" si="273"/>
        <v/>
      </c>
      <c r="U899" t="str">
        <f t="shared" si="274"/>
        <v/>
      </c>
      <c r="V899" t="str">
        <f t="shared" si="275"/>
        <v/>
      </c>
      <c r="W899" s="5" t="str">
        <f t="shared" si="276"/>
        <v/>
      </c>
      <c r="Y899" t="str">
        <f t="shared" si="277"/>
        <v/>
      </c>
      <c r="Z899" t="str">
        <f t="shared" si="278"/>
        <v/>
      </c>
      <c r="AB899" t="str">
        <f t="shared" si="279"/>
        <v>https://shop.officineitalianezard.it/contents/imgs/products/1_2427-terminali%20silenziatori%20scarico%20moto%20guzzi%20v7II%20-%20zard%206.jpg</v>
      </c>
      <c r="AE899" t="b">
        <v>0</v>
      </c>
    </row>
    <row r="900" spans="1:31" x14ac:dyDescent="0.2">
      <c r="A900" t="str">
        <f t="shared" si="266"/>
        <v>https://shop.officineitalianezard.it/en/products/index/moto-guzzi-v7-stone-exhaust-zard-7385-94/</v>
      </c>
      <c r="B900" t="b">
        <f>COUNTIF($A$2:$A900, A900)&gt;1</f>
        <v>1</v>
      </c>
      <c r="C900" t="b">
        <f t="shared" si="267"/>
        <v>1</v>
      </c>
      <c r="D900">
        <f>VLOOKUP(A900,variant_counts!A:B, 2, FALSE)</f>
        <v>3</v>
      </c>
      <c r="E900" t="str">
        <f t="shared" si="280"/>
        <v>zard-exhaust-my-08-11-silencers-moto-guzzi-v7-stone-conical-version-zg076ssr</v>
      </c>
      <c r="F900" t="str">
        <f t="shared" si="268"/>
        <v>ZARD EXHAUST M.Y. 08-11 SILENCERS MOTO GUZZI V7 STONE CONICAL VERSION ZG076SSR</v>
      </c>
      <c r="G900" t="str">
        <f t="shared" si="269"/>
        <v/>
      </c>
      <c r="H900" t="str">
        <f t="shared" si="281"/>
        <v/>
      </c>
      <c r="I900" t="str">
        <f t="shared" si="282"/>
        <v/>
      </c>
      <c r="J900" t="str">
        <f t="shared" si="283"/>
        <v/>
      </c>
      <c r="K900" t="str">
        <f t="shared" si="284"/>
        <v/>
      </c>
      <c r="L900" t="str">
        <f t="shared" si="270"/>
        <v>Option</v>
      </c>
      <c r="M900" t="str">
        <f t="shared" si="271"/>
        <v>MIRROR POLISHED</v>
      </c>
      <c r="R900" t="str">
        <f t="shared" si="272"/>
        <v>ZG076SSR</v>
      </c>
      <c r="S900">
        <f t="shared" si="273"/>
        <v>0</v>
      </c>
      <c r="U900" t="str">
        <f t="shared" si="274"/>
        <v>continue</v>
      </c>
      <c r="V900" t="str">
        <f t="shared" si="275"/>
        <v>manual</v>
      </c>
      <c r="W900" s="5">
        <f t="shared" si="276"/>
        <v>590.48670000000004</v>
      </c>
      <c r="Y900" t="b">
        <f t="shared" si="277"/>
        <v>1</v>
      </c>
      <c r="Z900" t="b">
        <f t="shared" si="278"/>
        <v>0</v>
      </c>
      <c r="AB900" t="str">
        <f t="shared" si="279"/>
        <v/>
      </c>
      <c r="AE900" t="b">
        <v>0</v>
      </c>
    </row>
    <row r="901" spans="1:31" x14ac:dyDescent="0.2">
      <c r="A901" t="str">
        <f t="shared" si="266"/>
        <v>https://shop.officineitalianezard.it/en/products/index/moto-guzzi-v7-stone-exhaust-zard-7385-94/</v>
      </c>
      <c r="B901" t="b">
        <f>COUNTIF($A$2:$A901, A901)&gt;1</f>
        <v>1</v>
      </c>
      <c r="C901" t="b">
        <f t="shared" si="267"/>
        <v>1</v>
      </c>
      <c r="D901">
        <f>VLOOKUP(A901,variant_counts!A:B, 2, FALSE)</f>
        <v>3</v>
      </c>
      <c r="E901" t="str">
        <f t="shared" si="280"/>
        <v>zard-exhaust-my-08-11-silencers-moto-guzzi-v7-stone-conical-version-zg076ssr</v>
      </c>
      <c r="F901" t="str">
        <f t="shared" si="268"/>
        <v>ZARD EXHAUST M.Y. 08-11 SILENCERS MOTO GUZZI V7 STONE CONICAL VERSION ZG076SSR</v>
      </c>
      <c r="G901" t="str">
        <f t="shared" si="269"/>
        <v/>
      </c>
      <c r="H901" t="str">
        <f t="shared" si="281"/>
        <v/>
      </c>
      <c r="I901" t="str">
        <f t="shared" si="282"/>
        <v/>
      </c>
      <c r="J901" t="str">
        <f t="shared" si="283"/>
        <v/>
      </c>
      <c r="K901" t="str">
        <f t="shared" si="284"/>
        <v/>
      </c>
      <c r="L901" t="str">
        <f t="shared" si="270"/>
        <v>Option</v>
      </c>
      <c r="M901" t="str">
        <f t="shared" si="271"/>
        <v>HOMOLOGATED</v>
      </c>
      <c r="R901" t="str">
        <f t="shared" si="272"/>
        <v>ZG076SSR</v>
      </c>
      <c r="S901">
        <f t="shared" si="273"/>
        <v>0</v>
      </c>
      <c r="U901" t="str">
        <f t="shared" si="274"/>
        <v>continue</v>
      </c>
      <c r="V901" t="str">
        <f t="shared" si="275"/>
        <v>manual</v>
      </c>
      <c r="W901" s="5">
        <f t="shared" si="276"/>
        <v>679.74180000000001</v>
      </c>
      <c r="Y901" t="b">
        <f t="shared" si="277"/>
        <v>1</v>
      </c>
      <c r="Z901" t="b">
        <f t="shared" si="278"/>
        <v>0</v>
      </c>
      <c r="AB901" t="str">
        <f t="shared" si="279"/>
        <v/>
      </c>
      <c r="AE901" t="b">
        <v>0</v>
      </c>
    </row>
    <row r="902" spans="1:31" x14ac:dyDescent="0.2">
      <c r="A902" t="str">
        <f t="shared" si="266"/>
        <v>https://shop.officineitalianezard.it/en/products/index/moto-guzzi-v7-stone-exhaust-zard-7385-94/</v>
      </c>
      <c r="B902" t="b">
        <f>COUNTIF($A$2:$A902, A902)&gt;1</f>
        <v>1</v>
      </c>
      <c r="C902" t="b">
        <f t="shared" si="267"/>
        <v>1</v>
      </c>
      <c r="D902">
        <f>VLOOKUP(A902,variant_counts!A:B, 2, FALSE)</f>
        <v>3</v>
      </c>
      <c r="E902" t="str">
        <f t="shared" si="280"/>
        <v>zard-exhaust-my-08-11-silencers-moto-guzzi-v7-stone-conical-version-zg076ssr</v>
      </c>
      <c r="F902" t="str">
        <f t="shared" si="268"/>
        <v>ZARD EXHAUST M.Y. 08-11 SILENCERS MOTO GUZZI V7 STONE CONICAL VERSION ZG076SSR</v>
      </c>
      <c r="G902" t="str">
        <f t="shared" si="269"/>
        <v/>
      </c>
      <c r="H902" t="str">
        <f t="shared" si="281"/>
        <v/>
      </c>
      <c r="I902" t="str">
        <f t="shared" si="282"/>
        <v/>
      </c>
      <c r="J902" t="str">
        <f t="shared" si="283"/>
        <v/>
      </c>
      <c r="K902" t="str">
        <f t="shared" si="284"/>
        <v/>
      </c>
      <c r="L902" t="str">
        <f t="shared" si="270"/>
        <v>Option</v>
      </c>
      <c r="M902" t="str">
        <f t="shared" si="271"/>
        <v>BLACK CERAMIC COATING</v>
      </c>
      <c r="R902" t="str">
        <f t="shared" si="272"/>
        <v>ZG076SSR</v>
      </c>
      <c r="S902">
        <f t="shared" si="273"/>
        <v>0</v>
      </c>
      <c r="U902" t="str">
        <f t="shared" si="274"/>
        <v>continue</v>
      </c>
      <c r="V902" t="str">
        <f t="shared" si="275"/>
        <v>manual</v>
      </c>
      <c r="W902" s="5">
        <f t="shared" si="276"/>
        <v>721.50000000000011</v>
      </c>
      <c r="Y902" t="b">
        <f t="shared" si="277"/>
        <v>1</v>
      </c>
      <c r="Z902" t="b">
        <f t="shared" si="278"/>
        <v>0</v>
      </c>
      <c r="AB902" t="str">
        <f t="shared" si="279"/>
        <v/>
      </c>
      <c r="AE902" t="b">
        <v>0</v>
      </c>
    </row>
    <row r="903" spans="1:31" x14ac:dyDescent="0.2">
      <c r="A903" t="str">
        <f t="shared" si="266"/>
        <v>https://shop.officineitalianezard.it/en/products/index/moto-guzzi-v7-stone-exhaust-zard-7384-93/</v>
      </c>
      <c r="B903" t="b">
        <f>COUNTIF($A$2:$A903, A903)&gt;1</f>
        <v>0</v>
      </c>
      <c r="C903" t="b">
        <f t="shared" si="267"/>
        <v>0</v>
      </c>
      <c r="D903">
        <f>VLOOKUP(A903,variant_counts!A:B, 2, FALSE)</f>
        <v>3</v>
      </c>
      <c r="E903" t="str">
        <f t="shared" si="280"/>
        <v>zard-exhaust-my-08-15-silencers-moto-guzzi-v7-classic---v7-ii-special---v7-ii-stone-200815-conical-version-zg076ssr</v>
      </c>
      <c r="F903" t="str">
        <f t="shared" si="268"/>
        <v>ZARD EXHAUST M.Y 08-15 SILENCERS MOTO GUZZI V7 CLASSIC - V7 II SPECIAL - V7 II STONE 2008/15 CONICAL VERSION ZG076SSR</v>
      </c>
      <c r="G903" t="str">
        <f t="shared" si="269"/>
        <v>&lt;p&gt;N.2 STEEL RACING SILENCERS WITH REMOVABLE DB KILLER&lt;/p&gt;
&lt;p&gt;ORIGINAL EXHAUST WEIGHT: KG 7.2&lt;br&gt;ZARD EXHAUST WEIGHT: KG 4.2&lt;/p&gt;
&lt;p&gt;HARD INCREASE, COMPARED TO THE ORIGINAL EXHAUST SYSTEM, IN TERMS OF TORQUE AND POWER AT ANY RANGE (+2 HP)&lt;/p&gt;
&lt;p&gt;ASTONISHING SOUND&lt;/p&gt;</v>
      </c>
      <c r="H903" t="str">
        <f t="shared" si="281"/>
        <v>ZARD</v>
      </c>
      <c r="I903" t="str">
        <f t="shared" si="282"/>
        <v>Exhaust Pipe</v>
      </c>
      <c r="J903" t="str">
        <f t="shared" si="283"/>
        <v>Test</v>
      </c>
      <c r="K903" t="b">
        <f t="shared" si="284"/>
        <v>0</v>
      </c>
      <c r="L903" t="str">
        <f t="shared" si="270"/>
        <v/>
      </c>
      <c r="M903" t="str">
        <f t="shared" si="271"/>
        <v/>
      </c>
      <c r="R903" t="str">
        <f t="shared" si="272"/>
        <v/>
      </c>
      <c r="S903" t="str">
        <f t="shared" si="273"/>
        <v/>
      </c>
      <c r="U903" t="str">
        <f t="shared" si="274"/>
        <v/>
      </c>
      <c r="V903" t="str">
        <f t="shared" si="275"/>
        <v/>
      </c>
      <c r="W903" s="5" t="str">
        <f t="shared" si="276"/>
        <v/>
      </c>
      <c r="Y903" t="str">
        <f t="shared" si="277"/>
        <v/>
      </c>
      <c r="Z903" t="str">
        <f t="shared" si="278"/>
        <v/>
      </c>
      <c r="AB903" t="str">
        <f t="shared" si="279"/>
        <v>https://shop.officineitalianezard.it/contents/imgs/products/1_2399-terminali%20silenziatori%20scarico%20moto%20guzzi%20v7II%20-%20zard%201.jpg</v>
      </c>
      <c r="AE903" t="b">
        <v>0</v>
      </c>
    </row>
    <row r="904" spans="1:31" x14ac:dyDescent="0.2">
      <c r="A904" t="str">
        <f t="shared" si="266"/>
        <v>https://shop.officineitalianezard.it/en/products/index/moto-guzzi-v7-stone-exhaust-zard-7384-93/</v>
      </c>
      <c r="B904" t="b">
        <f>COUNTIF($A$2:$A904, A904)&gt;1</f>
        <v>1</v>
      </c>
      <c r="C904" t="b">
        <f t="shared" si="267"/>
        <v>0</v>
      </c>
      <c r="D904">
        <f>VLOOKUP(A904,variant_counts!A:B, 2, FALSE)</f>
        <v>3</v>
      </c>
      <c r="E904" t="str">
        <f t="shared" si="280"/>
        <v>zard-exhaust-my-08-15-silencers-moto-guzzi-v7-classic---v7-ii-special---v7-ii-stone-200815-conical-version-zg076ssr</v>
      </c>
      <c r="F904" t="str">
        <f t="shared" si="268"/>
        <v>ZARD EXHAUST M.Y 08-15 SILENCERS MOTO GUZZI V7 CLASSIC - V7 II SPECIAL - V7 II STONE 2008/15 CONICAL VERSION ZG076SSR</v>
      </c>
      <c r="G904" t="str">
        <f t="shared" si="269"/>
        <v/>
      </c>
      <c r="H904" t="str">
        <f t="shared" si="281"/>
        <v/>
      </c>
      <c r="I904" t="str">
        <f t="shared" si="282"/>
        <v/>
      </c>
      <c r="J904" t="str">
        <f t="shared" si="283"/>
        <v/>
      </c>
      <c r="K904" t="str">
        <f t="shared" si="284"/>
        <v/>
      </c>
      <c r="L904" t="str">
        <f t="shared" si="270"/>
        <v/>
      </c>
      <c r="M904" t="str">
        <f t="shared" si="271"/>
        <v/>
      </c>
      <c r="R904" t="str">
        <f t="shared" si="272"/>
        <v/>
      </c>
      <c r="S904" t="str">
        <f t="shared" si="273"/>
        <v/>
      </c>
      <c r="U904" t="str">
        <f t="shared" si="274"/>
        <v/>
      </c>
      <c r="V904" t="str">
        <f t="shared" si="275"/>
        <v/>
      </c>
      <c r="W904" s="5" t="str">
        <f t="shared" si="276"/>
        <v/>
      </c>
      <c r="Y904" t="str">
        <f t="shared" si="277"/>
        <v/>
      </c>
      <c r="Z904" t="str">
        <f t="shared" si="278"/>
        <v/>
      </c>
      <c r="AB904" t="str">
        <f t="shared" si="279"/>
        <v>https://shop.officineitalianezard.it/contents/imgs/products/1_2395-terminali%20silenziatori%20scarico%20moto%20guzzi%20v7II%20-%20zard%202.jpg</v>
      </c>
      <c r="AE904" t="b">
        <v>0</v>
      </c>
    </row>
    <row r="905" spans="1:31" x14ac:dyDescent="0.2">
      <c r="A905" t="str">
        <f t="shared" si="266"/>
        <v>https://shop.officineitalianezard.it/en/products/index/moto-guzzi-v7-stone-exhaust-zard-7384-93/</v>
      </c>
      <c r="B905" t="b">
        <f>COUNTIF($A$2:$A905, A905)&gt;1</f>
        <v>1</v>
      </c>
      <c r="C905" t="b">
        <f t="shared" si="267"/>
        <v>0</v>
      </c>
      <c r="D905">
        <f>VLOOKUP(A905,variant_counts!A:B, 2, FALSE)</f>
        <v>3</v>
      </c>
      <c r="E905" t="str">
        <f t="shared" si="280"/>
        <v>zard-exhaust-my-08-15-silencers-moto-guzzi-v7-classic---v7-ii-special---v7-ii-stone-200815-conical-version-zg076ssr</v>
      </c>
      <c r="F905" t="str">
        <f t="shared" si="268"/>
        <v>ZARD EXHAUST M.Y 08-15 SILENCERS MOTO GUZZI V7 CLASSIC - V7 II SPECIAL - V7 II STONE 2008/15 CONICAL VERSION ZG076SSR</v>
      </c>
      <c r="G905" t="str">
        <f t="shared" si="269"/>
        <v/>
      </c>
      <c r="H905" t="str">
        <f t="shared" si="281"/>
        <v/>
      </c>
      <c r="I905" t="str">
        <f t="shared" si="282"/>
        <v/>
      </c>
      <c r="J905" t="str">
        <f t="shared" si="283"/>
        <v/>
      </c>
      <c r="K905" t="str">
        <f t="shared" si="284"/>
        <v/>
      </c>
      <c r="L905" t="str">
        <f t="shared" si="270"/>
        <v/>
      </c>
      <c r="M905" t="str">
        <f t="shared" si="271"/>
        <v/>
      </c>
      <c r="R905" t="str">
        <f t="shared" si="272"/>
        <v/>
      </c>
      <c r="S905" t="str">
        <f t="shared" si="273"/>
        <v/>
      </c>
      <c r="U905" t="str">
        <f t="shared" si="274"/>
        <v/>
      </c>
      <c r="V905" t="str">
        <f t="shared" si="275"/>
        <v/>
      </c>
      <c r="W905" s="5" t="str">
        <f t="shared" si="276"/>
        <v/>
      </c>
      <c r="Y905" t="str">
        <f t="shared" si="277"/>
        <v/>
      </c>
      <c r="Z905" t="str">
        <f t="shared" si="278"/>
        <v/>
      </c>
      <c r="AB905" t="str">
        <f t="shared" si="279"/>
        <v>https://shop.officineitalianezard.it/contents/imgs/products/1_2396-terminali%20silenziatori%20scarico%20moto%20guzzi%20v7II%20-%20zard%203.jpg</v>
      </c>
      <c r="AE905" t="b">
        <v>0</v>
      </c>
    </row>
    <row r="906" spans="1:31" x14ac:dyDescent="0.2">
      <c r="A906" t="str">
        <f t="shared" si="266"/>
        <v>https://shop.officineitalianezard.it/en/products/index/moto-guzzi-v7-stone-exhaust-zard-7384-93/</v>
      </c>
      <c r="B906" t="b">
        <f>COUNTIF($A$2:$A906, A906)&gt;1</f>
        <v>1</v>
      </c>
      <c r="C906" t="b">
        <f t="shared" si="267"/>
        <v>0</v>
      </c>
      <c r="D906">
        <f>VLOOKUP(A906,variant_counts!A:B, 2, FALSE)</f>
        <v>3</v>
      </c>
      <c r="E906" t="str">
        <f t="shared" si="280"/>
        <v>zard-exhaust-my-08-15-silencers-moto-guzzi-v7-classic---v7-ii-special---v7-ii-stone-200815-conical-version-zg076ssr</v>
      </c>
      <c r="F906" t="str">
        <f t="shared" si="268"/>
        <v>ZARD EXHAUST M.Y 08-15 SILENCERS MOTO GUZZI V7 CLASSIC - V7 II SPECIAL - V7 II STONE 2008/15 CONICAL VERSION ZG076SSR</v>
      </c>
      <c r="G906" t="str">
        <f t="shared" si="269"/>
        <v/>
      </c>
      <c r="H906" t="str">
        <f t="shared" si="281"/>
        <v/>
      </c>
      <c r="I906" t="str">
        <f t="shared" si="282"/>
        <v/>
      </c>
      <c r="J906" t="str">
        <f t="shared" si="283"/>
        <v/>
      </c>
      <c r="K906" t="str">
        <f t="shared" si="284"/>
        <v/>
      </c>
      <c r="L906" t="str">
        <f t="shared" si="270"/>
        <v/>
      </c>
      <c r="M906" t="str">
        <f t="shared" si="271"/>
        <v/>
      </c>
      <c r="R906" t="str">
        <f t="shared" si="272"/>
        <v/>
      </c>
      <c r="S906" t="str">
        <f t="shared" si="273"/>
        <v/>
      </c>
      <c r="U906" t="str">
        <f t="shared" si="274"/>
        <v/>
      </c>
      <c r="V906" t="str">
        <f t="shared" si="275"/>
        <v/>
      </c>
      <c r="W906" s="5" t="str">
        <f t="shared" si="276"/>
        <v/>
      </c>
      <c r="Y906" t="str">
        <f t="shared" si="277"/>
        <v/>
      </c>
      <c r="Z906" t="str">
        <f t="shared" si="278"/>
        <v/>
      </c>
      <c r="AB906" t="str">
        <f t="shared" si="279"/>
        <v>https://shop.officineitalianezard.it/contents/imgs/products/1_2397-terminali%20silenziatori%20scarico%20moto%20guzzi%20v7II%20-%20zard%204.jpg</v>
      </c>
      <c r="AE906" t="b">
        <v>0</v>
      </c>
    </row>
    <row r="907" spans="1:31" x14ac:dyDescent="0.2">
      <c r="A907" t="str">
        <f t="shared" si="266"/>
        <v>https://shop.officineitalianezard.it/en/products/index/moto-guzzi-v7-stone-exhaust-zard-7384-93/</v>
      </c>
      <c r="B907" t="b">
        <f>COUNTIF($A$2:$A907, A907)&gt;1</f>
        <v>1</v>
      </c>
      <c r="C907" t="b">
        <f t="shared" si="267"/>
        <v>0</v>
      </c>
      <c r="D907">
        <f>VLOOKUP(A907,variant_counts!A:B, 2, FALSE)</f>
        <v>3</v>
      </c>
      <c r="E907" t="str">
        <f t="shared" si="280"/>
        <v>zard-exhaust-my-08-15-silencers-moto-guzzi-v7-classic---v7-ii-special---v7-ii-stone-200815-conical-version-zg076ssr</v>
      </c>
      <c r="F907" t="str">
        <f t="shared" si="268"/>
        <v>ZARD EXHAUST M.Y 08-15 SILENCERS MOTO GUZZI V7 CLASSIC - V7 II SPECIAL - V7 II STONE 2008/15 CONICAL VERSION ZG076SSR</v>
      </c>
      <c r="G907" t="str">
        <f t="shared" si="269"/>
        <v/>
      </c>
      <c r="H907" t="str">
        <f t="shared" si="281"/>
        <v/>
      </c>
      <c r="I907" t="str">
        <f t="shared" si="282"/>
        <v/>
      </c>
      <c r="J907" t="str">
        <f t="shared" si="283"/>
        <v/>
      </c>
      <c r="K907" t="str">
        <f t="shared" si="284"/>
        <v/>
      </c>
      <c r="L907" t="str">
        <f t="shared" si="270"/>
        <v/>
      </c>
      <c r="M907" t="str">
        <f t="shared" si="271"/>
        <v/>
      </c>
      <c r="R907" t="str">
        <f t="shared" si="272"/>
        <v/>
      </c>
      <c r="S907" t="str">
        <f t="shared" si="273"/>
        <v/>
      </c>
      <c r="U907" t="str">
        <f t="shared" si="274"/>
        <v/>
      </c>
      <c r="V907" t="str">
        <f t="shared" si="275"/>
        <v/>
      </c>
      <c r="W907" s="5" t="str">
        <f t="shared" si="276"/>
        <v/>
      </c>
      <c r="Y907" t="str">
        <f t="shared" si="277"/>
        <v/>
      </c>
      <c r="Z907" t="str">
        <f t="shared" si="278"/>
        <v/>
      </c>
      <c r="AB907" t="str">
        <f t="shared" si="279"/>
        <v>https://shop.officineitalianezard.it/contents/imgs/products/1_2398-terminali%20silenziatori%20scarico%20moto%20guzzi%20v7II%20-%20zard%205.jpg</v>
      </c>
      <c r="AE907" t="b">
        <v>0</v>
      </c>
    </row>
    <row r="908" spans="1:31" x14ac:dyDescent="0.2">
      <c r="A908" t="str">
        <f t="shared" si="266"/>
        <v>https://shop.officineitalianezard.it/en/products/index/moto-guzzi-v7-stone-exhaust-zard-7384-93/</v>
      </c>
      <c r="B908" t="b">
        <f>COUNTIF($A$2:$A908, A908)&gt;1</f>
        <v>1</v>
      </c>
      <c r="C908" t="b">
        <f t="shared" si="267"/>
        <v>0</v>
      </c>
      <c r="D908">
        <f>VLOOKUP(A908,variant_counts!A:B, 2, FALSE)</f>
        <v>3</v>
      </c>
      <c r="E908" t="str">
        <f t="shared" si="280"/>
        <v>zard-exhaust-my-08-15-silencers-moto-guzzi-v7-classic---v7-ii-special---v7-ii-stone-200815-conical-version-zg076ssr</v>
      </c>
      <c r="F908" t="str">
        <f t="shared" si="268"/>
        <v>ZARD EXHAUST M.Y 08-15 SILENCERS MOTO GUZZI V7 CLASSIC - V7 II SPECIAL - V7 II STONE 2008/15 CONICAL VERSION ZG076SSR</v>
      </c>
      <c r="G908" t="str">
        <f t="shared" si="269"/>
        <v/>
      </c>
      <c r="H908" t="str">
        <f t="shared" si="281"/>
        <v/>
      </c>
      <c r="I908" t="str">
        <f t="shared" si="282"/>
        <v/>
      </c>
      <c r="J908" t="str">
        <f t="shared" si="283"/>
        <v/>
      </c>
      <c r="K908" t="str">
        <f t="shared" si="284"/>
        <v/>
      </c>
      <c r="L908" t="str">
        <f t="shared" si="270"/>
        <v/>
      </c>
      <c r="M908" t="str">
        <f t="shared" si="271"/>
        <v/>
      </c>
      <c r="R908" t="str">
        <f t="shared" si="272"/>
        <v/>
      </c>
      <c r="S908" t="str">
        <f t="shared" si="273"/>
        <v/>
      </c>
      <c r="U908" t="str">
        <f t="shared" si="274"/>
        <v/>
      </c>
      <c r="V908" t="str">
        <f t="shared" si="275"/>
        <v/>
      </c>
      <c r="W908" s="5" t="str">
        <f t="shared" si="276"/>
        <v/>
      </c>
      <c r="Y908" t="str">
        <f t="shared" si="277"/>
        <v/>
      </c>
      <c r="Z908" t="str">
        <f t="shared" si="278"/>
        <v/>
      </c>
      <c r="AB908" t="str">
        <f t="shared" si="279"/>
        <v>https://shop.officineitalianezard.it/contents/imgs/products/1_2426-terminali%20silenziatori%20scarico%20moto%20guzzi%20v7II%20-%20zard%206.jpg</v>
      </c>
      <c r="AE908" t="b">
        <v>0</v>
      </c>
    </row>
    <row r="909" spans="1:31" x14ac:dyDescent="0.2">
      <c r="A909" t="str">
        <f t="shared" si="266"/>
        <v>https://shop.officineitalianezard.it/en/products/index/moto-guzzi-v7-stone-exhaust-zard-7384-93/</v>
      </c>
      <c r="B909" t="b">
        <f>COUNTIF($A$2:$A909, A909)&gt;1</f>
        <v>1</v>
      </c>
      <c r="C909" t="b">
        <f t="shared" si="267"/>
        <v>1</v>
      </c>
      <c r="D909">
        <f>VLOOKUP(A909,variant_counts!A:B, 2, FALSE)</f>
        <v>3</v>
      </c>
      <c r="E909" t="str">
        <f t="shared" si="280"/>
        <v>zard-exhaust-my-08-15-silencers-moto-guzzi-v7-classic---v7-ii-special---v7-ii-stone-200815-conical-version-zg076ssr</v>
      </c>
      <c r="F909" t="str">
        <f t="shared" si="268"/>
        <v>ZARD EXHAUST M.Y 08-15 SILENCERS MOTO GUZZI V7 CLASSIC - V7 II SPECIAL - V7 II STONE 2008/15 CONICAL VERSION ZG076SSR</v>
      </c>
      <c r="G909" t="str">
        <f t="shared" si="269"/>
        <v/>
      </c>
      <c r="H909" t="str">
        <f t="shared" si="281"/>
        <v/>
      </c>
      <c r="I909" t="str">
        <f t="shared" si="282"/>
        <v/>
      </c>
      <c r="J909" t="str">
        <f t="shared" si="283"/>
        <v/>
      </c>
      <c r="K909" t="str">
        <f t="shared" si="284"/>
        <v/>
      </c>
      <c r="L909" t="str">
        <f t="shared" si="270"/>
        <v>Option</v>
      </c>
      <c r="M909" t="str">
        <f t="shared" si="271"/>
        <v>EURO 3 HOMOLOGATED</v>
      </c>
      <c r="R909" t="str">
        <f t="shared" si="272"/>
        <v>ZG076SSR</v>
      </c>
      <c r="S909">
        <f t="shared" si="273"/>
        <v>0</v>
      </c>
      <c r="U909" t="str">
        <f t="shared" si="274"/>
        <v>continue</v>
      </c>
      <c r="V909" t="str">
        <f t="shared" si="275"/>
        <v>manual</v>
      </c>
      <c r="W909" s="5">
        <f t="shared" si="276"/>
        <v>679.74180000000001</v>
      </c>
      <c r="Y909" t="b">
        <f t="shared" si="277"/>
        <v>1</v>
      </c>
      <c r="Z909" t="b">
        <f t="shared" si="278"/>
        <v>0</v>
      </c>
      <c r="AB909" t="str">
        <f t="shared" si="279"/>
        <v/>
      </c>
      <c r="AE909" t="b">
        <v>0</v>
      </c>
    </row>
    <row r="910" spans="1:31" x14ac:dyDescent="0.2">
      <c r="A910" t="str">
        <f t="shared" si="266"/>
        <v>https://shop.officineitalianezard.it/en/products/index/moto-guzzi-v7-stone-exhaust-zard-7384-93/</v>
      </c>
      <c r="B910" t="b">
        <f>COUNTIF($A$2:$A910, A910)&gt;1</f>
        <v>1</v>
      </c>
      <c r="C910" t="b">
        <f t="shared" si="267"/>
        <v>1</v>
      </c>
      <c r="D910">
        <f>VLOOKUP(A910,variant_counts!A:B, 2, FALSE)</f>
        <v>3</v>
      </c>
      <c r="E910" t="str">
        <f t="shared" si="280"/>
        <v>zard-exhaust-my-08-15-silencers-moto-guzzi-v7-classic---v7-ii-special---v7-ii-stone-200815-conical-version-zg076ssr</v>
      </c>
      <c r="F910" t="str">
        <f t="shared" si="268"/>
        <v>ZARD EXHAUST M.Y 08-15 SILENCERS MOTO GUZZI V7 CLASSIC - V7 II SPECIAL - V7 II STONE 2008/15 CONICAL VERSION ZG076SSR</v>
      </c>
      <c r="G910" t="str">
        <f t="shared" si="269"/>
        <v/>
      </c>
      <c r="H910" t="str">
        <f t="shared" si="281"/>
        <v/>
      </c>
      <c r="I910" t="str">
        <f t="shared" si="282"/>
        <v/>
      </c>
      <c r="J910" t="str">
        <f t="shared" si="283"/>
        <v/>
      </c>
      <c r="K910" t="str">
        <f t="shared" si="284"/>
        <v/>
      </c>
      <c r="L910" t="str">
        <f t="shared" si="270"/>
        <v>Option</v>
      </c>
      <c r="M910" t="str">
        <f t="shared" si="271"/>
        <v>BLACK COATING</v>
      </c>
      <c r="R910" t="str">
        <f t="shared" si="272"/>
        <v>ZG076SSR</v>
      </c>
      <c r="S910">
        <f t="shared" si="273"/>
        <v>0</v>
      </c>
      <c r="U910" t="str">
        <f t="shared" si="274"/>
        <v>continue</v>
      </c>
      <c r="V910" t="str">
        <f t="shared" si="275"/>
        <v>manual</v>
      </c>
      <c r="W910" s="5">
        <f t="shared" si="276"/>
        <v>721.50000000000011</v>
      </c>
      <c r="Y910" t="b">
        <f t="shared" si="277"/>
        <v>1</v>
      </c>
      <c r="Z910" t="b">
        <f t="shared" si="278"/>
        <v>0</v>
      </c>
      <c r="AB910" t="str">
        <f t="shared" si="279"/>
        <v/>
      </c>
      <c r="AE910" t="b">
        <v>0</v>
      </c>
    </row>
    <row r="911" spans="1:31" x14ac:dyDescent="0.2">
      <c r="A911" t="str">
        <f t="shared" si="266"/>
        <v>https://shop.officineitalianezard.it/en/products/index/moto-guzzi-v7-stone-exhaust-zard-7384-93/</v>
      </c>
      <c r="B911" t="b">
        <f>COUNTIF($A$2:$A911, A911)&gt;1</f>
        <v>1</v>
      </c>
      <c r="C911" t="b">
        <f t="shared" si="267"/>
        <v>1</v>
      </c>
      <c r="D911">
        <f>VLOOKUP(A911,variant_counts!A:B, 2, FALSE)</f>
        <v>3</v>
      </c>
      <c r="E911" t="str">
        <f t="shared" si="280"/>
        <v>zard-exhaust-my-08-15-silencers-moto-guzzi-v7-classic---v7-ii-special---v7-ii-stone-200815-conical-version-zg076ssr</v>
      </c>
      <c r="F911" t="str">
        <f t="shared" si="268"/>
        <v>ZARD EXHAUST M.Y 08-15 SILENCERS MOTO GUZZI V7 CLASSIC - V7 II SPECIAL - V7 II STONE 2008/15 CONICAL VERSION ZG076SSR</v>
      </c>
      <c r="G911" t="str">
        <f t="shared" si="269"/>
        <v/>
      </c>
      <c r="H911" t="str">
        <f t="shared" si="281"/>
        <v/>
      </c>
      <c r="I911" t="str">
        <f t="shared" si="282"/>
        <v/>
      </c>
      <c r="J911" t="str">
        <f t="shared" si="283"/>
        <v/>
      </c>
      <c r="K911" t="str">
        <f t="shared" si="284"/>
        <v/>
      </c>
      <c r="L911" t="str">
        <f t="shared" si="270"/>
        <v>Option</v>
      </c>
      <c r="M911" t="str">
        <f t="shared" si="271"/>
        <v>MIRROR POLISHED</v>
      </c>
      <c r="R911" t="str">
        <f t="shared" si="272"/>
        <v>ZG076SSR</v>
      </c>
      <c r="S911">
        <f t="shared" si="273"/>
        <v>0</v>
      </c>
      <c r="U911" t="str">
        <f t="shared" si="274"/>
        <v>continue</v>
      </c>
      <c r="V911" t="str">
        <f t="shared" si="275"/>
        <v>manual</v>
      </c>
      <c r="W911" s="5">
        <f t="shared" si="276"/>
        <v>590.48670000000004</v>
      </c>
      <c r="Y911" t="b">
        <f t="shared" si="277"/>
        <v>1</v>
      </c>
      <c r="Z911" t="b">
        <f t="shared" si="278"/>
        <v>0</v>
      </c>
      <c r="AB911" t="str">
        <f t="shared" si="279"/>
        <v/>
      </c>
      <c r="AE911" t="b">
        <v>0</v>
      </c>
    </row>
    <row r="912" spans="1:31" x14ac:dyDescent="0.2">
      <c r="A912" t="str">
        <f t="shared" si="266"/>
        <v>https://shop.officineitalianezard.it/en/kit-silenziatori-collettore-zard-moto-guzzi-v7/</v>
      </c>
      <c r="B912" t="b">
        <f>COUNTIF($A$2:$A912, A912)&gt;1</f>
        <v>0</v>
      </c>
      <c r="C912" t="b">
        <f t="shared" si="267"/>
        <v>0</v>
      </c>
      <c r="D912">
        <f>VLOOKUP(A912,variant_counts!A:B, 2, FALSE)</f>
        <v>3</v>
      </c>
      <c r="E912" t="str">
        <f t="shared" si="280"/>
        <v>zard-exhaust-my-12-13-silencers-headers-kit-moto-guzzi-v7-caf-racer-caf-classic-conical-version-zg075skr-12</v>
      </c>
      <c r="F912" t="str">
        <f t="shared" si="268"/>
        <v>ZARD EXHAUST M.Y. 12-13 SILENCERS + HEADERS KIT MOTO GUZZI V7 CAFÈ RACER-CAFÈ CLASSIC CONICAL VERSION ZG075SKR-12</v>
      </c>
      <c r="G912" t="str">
        <f t="shared" si="269"/>
        <v>&lt;p&gt;N.2 STEEL SILENCERS + STEEL HEADERS RACING&lt;/p&gt;
&lt;p&gt;ORIGINAL FULL KIT WEIGHT: KG 12.5&lt;br&gt;ZARD FULL KIT WEIGHT: KG 6.3&lt;/p&gt;
&lt;p&gt;HEADERS ARE AVAILABLE IN RACING VERSION ONLY&lt;/p&gt;
&lt;p&gt;HARD INCREASE, COMPARED TO THE ORIGINAL EXHAUST SYSTEM, IN TERMS OF TORQUE AND POWER AT ANY RANGE.&lt;/p&gt;
&lt;p&gt;ASTONISHING SOUND.&lt;/p&gt;</v>
      </c>
      <c r="H912" t="str">
        <f t="shared" si="281"/>
        <v>ZARD</v>
      </c>
      <c r="I912" t="str">
        <f t="shared" si="282"/>
        <v>Exhaust Pipe</v>
      </c>
      <c r="J912" t="str">
        <f t="shared" si="283"/>
        <v>Test</v>
      </c>
      <c r="K912" t="b">
        <f t="shared" si="284"/>
        <v>0</v>
      </c>
      <c r="L912" t="str">
        <f t="shared" si="270"/>
        <v/>
      </c>
      <c r="M912" t="str">
        <f t="shared" si="271"/>
        <v/>
      </c>
      <c r="R912" t="str">
        <f t="shared" si="272"/>
        <v/>
      </c>
      <c r="S912" t="str">
        <f t="shared" si="273"/>
        <v/>
      </c>
      <c r="U912" t="str">
        <f t="shared" si="274"/>
        <v/>
      </c>
      <c r="V912" t="str">
        <f t="shared" si="275"/>
        <v/>
      </c>
      <c r="W912" s="5" t="str">
        <f t="shared" si="276"/>
        <v/>
      </c>
      <c r="Y912" t="str">
        <f t="shared" si="277"/>
        <v/>
      </c>
      <c r="Z912" t="str">
        <f t="shared" si="278"/>
        <v/>
      </c>
      <c r="AB912" t="str">
        <f t="shared" si="279"/>
        <v>https://shop.officineitalianezard.it/contents/imgs/products/1_714-2_693-moto%20guzzi%20v7%20scarico%20zard.jpg</v>
      </c>
      <c r="AE912" t="b">
        <v>0</v>
      </c>
    </row>
    <row r="913" spans="1:31" x14ac:dyDescent="0.2">
      <c r="A913" t="str">
        <f t="shared" si="266"/>
        <v>https://shop.officineitalianezard.it/en/kit-silenziatori-collettore-zard-moto-guzzi-v7/</v>
      </c>
      <c r="B913" t="b">
        <f>COUNTIF($A$2:$A913, A913)&gt;1</f>
        <v>1</v>
      </c>
      <c r="C913" t="b">
        <f t="shared" si="267"/>
        <v>0</v>
      </c>
      <c r="D913">
        <f>VLOOKUP(A913,variant_counts!A:B, 2, FALSE)</f>
        <v>3</v>
      </c>
      <c r="E913" t="str">
        <f t="shared" si="280"/>
        <v>zard-exhaust-my-12-13-silencers-headers-kit-moto-guzzi-v7-caf-racer-caf-classic-conical-version-zg075skr-12</v>
      </c>
      <c r="F913" t="str">
        <f t="shared" si="268"/>
        <v>ZARD EXHAUST M.Y. 12-13 SILENCERS + HEADERS KIT MOTO GUZZI V7 CAFÈ RACER-CAFÈ CLASSIC CONICAL VERSION ZG075SKR-12</v>
      </c>
      <c r="G913" t="str">
        <f t="shared" si="269"/>
        <v/>
      </c>
      <c r="H913" t="str">
        <f t="shared" si="281"/>
        <v/>
      </c>
      <c r="I913" t="str">
        <f t="shared" si="282"/>
        <v/>
      </c>
      <c r="J913" t="str">
        <f t="shared" si="283"/>
        <v/>
      </c>
      <c r="K913" t="str">
        <f t="shared" si="284"/>
        <v/>
      </c>
      <c r="L913" t="str">
        <f t="shared" si="270"/>
        <v/>
      </c>
      <c r="M913" t="str">
        <f t="shared" si="271"/>
        <v/>
      </c>
      <c r="R913" t="str">
        <f t="shared" si="272"/>
        <v/>
      </c>
      <c r="S913" t="str">
        <f t="shared" si="273"/>
        <v/>
      </c>
      <c r="U913" t="str">
        <f t="shared" si="274"/>
        <v/>
      </c>
      <c r="V913" t="str">
        <f t="shared" si="275"/>
        <v/>
      </c>
      <c r="W913" s="5" t="str">
        <f t="shared" si="276"/>
        <v/>
      </c>
      <c r="Y913" t="str">
        <f t="shared" si="277"/>
        <v/>
      </c>
      <c r="Z913" t="str">
        <f t="shared" si="278"/>
        <v/>
      </c>
      <c r="AB913" t="str">
        <f t="shared" si="279"/>
        <v>https://shop.officineitalianezard.it/contents/imgs/products/1_710-2_564-scarico%20moto%20guzzi%20zard%202.jpg</v>
      </c>
      <c r="AE913" t="b">
        <v>0</v>
      </c>
    </row>
    <row r="914" spans="1:31" x14ac:dyDescent="0.2">
      <c r="A914" t="str">
        <f t="shared" si="266"/>
        <v>https://shop.officineitalianezard.it/en/kit-silenziatori-collettore-zard-moto-guzzi-v7/</v>
      </c>
      <c r="B914" t="b">
        <f>COUNTIF($A$2:$A914, A914)&gt;1</f>
        <v>1</v>
      </c>
      <c r="C914" t="b">
        <f t="shared" si="267"/>
        <v>0</v>
      </c>
      <c r="D914">
        <f>VLOOKUP(A914,variant_counts!A:B, 2, FALSE)</f>
        <v>3</v>
      </c>
      <c r="E914" t="str">
        <f t="shared" si="280"/>
        <v>zard-exhaust-my-12-13-silencers-headers-kit-moto-guzzi-v7-caf-racer-caf-classic-conical-version-zg075skr-12</v>
      </c>
      <c r="F914" t="str">
        <f t="shared" si="268"/>
        <v>ZARD EXHAUST M.Y. 12-13 SILENCERS + HEADERS KIT MOTO GUZZI V7 CAFÈ RACER-CAFÈ CLASSIC CONICAL VERSION ZG075SKR-12</v>
      </c>
      <c r="G914" t="str">
        <f t="shared" si="269"/>
        <v/>
      </c>
      <c r="H914" t="str">
        <f t="shared" si="281"/>
        <v/>
      </c>
      <c r="I914" t="str">
        <f t="shared" si="282"/>
        <v/>
      </c>
      <c r="J914" t="str">
        <f t="shared" si="283"/>
        <v/>
      </c>
      <c r="K914" t="str">
        <f t="shared" si="284"/>
        <v/>
      </c>
      <c r="L914" t="str">
        <f t="shared" si="270"/>
        <v/>
      </c>
      <c r="M914" t="str">
        <f t="shared" si="271"/>
        <v/>
      </c>
      <c r="R914" t="str">
        <f t="shared" si="272"/>
        <v/>
      </c>
      <c r="S914" t="str">
        <f t="shared" si="273"/>
        <v/>
      </c>
      <c r="U914" t="str">
        <f t="shared" si="274"/>
        <v/>
      </c>
      <c r="V914" t="str">
        <f t="shared" si="275"/>
        <v/>
      </c>
      <c r="W914" s="5" t="str">
        <f t="shared" si="276"/>
        <v/>
      </c>
      <c r="Y914" t="str">
        <f t="shared" si="277"/>
        <v/>
      </c>
      <c r="Z914" t="str">
        <f t="shared" si="278"/>
        <v/>
      </c>
      <c r="AB914" t="str">
        <f t="shared" si="279"/>
        <v>https://shop.officineitalianezard.it/contents/imgs/products/1_711-2_566-scarico%20moto%20guzzi%20zard%203.jpg</v>
      </c>
      <c r="AE914" t="b">
        <v>0</v>
      </c>
    </row>
    <row r="915" spans="1:31" x14ac:dyDescent="0.2">
      <c r="A915" t="str">
        <f t="shared" si="266"/>
        <v>https://shop.officineitalianezard.it/en/kit-silenziatori-collettore-zard-moto-guzzi-v7/</v>
      </c>
      <c r="B915" t="b">
        <f>COUNTIF($A$2:$A915, A915)&gt;1</f>
        <v>1</v>
      </c>
      <c r="C915" t="b">
        <f t="shared" si="267"/>
        <v>0</v>
      </c>
      <c r="D915">
        <f>VLOOKUP(A915,variant_counts!A:B, 2, FALSE)</f>
        <v>3</v>
      </c>
      <c r="E915" t="str">
        <f t="shared" si="280"/>
        <v>zard-exhaust-my-12-13-silencers-headers-kit-moto-guzzi-v7-caf-racer-caf-classic-conical-version-zg075skr-12</v>
      </c>
      <c r="F915" t="str">
        <f t="shared" si="268"/>
        <v>ZARD EXHAUST M.Y. 12-13 SILENCERS + HEADERS KIT MOTO GUZZI V7 CAFÈ RACER-CAFÈ CLASSIC CONICAL VERSION ZG075SKR-12</v>
      </c>
      <c r="G915" t="str">
        <f t="shared" si="269"/>
        <v/>
      </c>
      <c r="H915" t="str">
        <f t="shared" si="281"/>
        <v/>
      </c>
      <c r="I915" t="str">
        <f t="shared" si="282"/>
        <v/>
      </c>
      <c r="J915" t="str">
        <f t="shared" si="283"/>
        <v/>
      </c>
      <c r="K915" t="str">
        <f t="shared" si="284"/>
        <v/>
      </c>
      <c r="L915" t="str">
        <f t="shared" si="270"/>
        <v/>
      </c>
      <c r="M915" t="str">
        <f t="shared" si="271"/>
        <v/>
      </c>
      <c r="R915" t="str">
        <f t="shared" si="272"/>
        <v/>
      </c>
      <c r="S915" t="str">
        <f t="shared" si="273"/>
        <v/>
      </c>
      <c r="U915" t="str">
        <f t="shared" si="274"/>
        <v/>
      </c>
      <c r="V915" t="str">
        <f t="shared" si="275"/>
        <v/>
      </c>
      <c r="W915" s="5" t="str">
        <f t="shared" si="276"/>
        <v/>
      </c>
      <c r="Y915" t="str">
        <f t="shared" si="277"/>
        <v/>
      </c>
      <c r="Z915" t="str">
        <f t="shared" si="278"/>
        <v/>
      </c>
      <c r="AB915" t="str">
        <f t="shared" si="279"/>
        <v>https://shop.officineitalianezard.it/contents/imgs/products/1_712-2_568-scarico%20moto%20guzzi%20zard%202.jpg</v>
      </c>
      <c r="AE915" t="b">
        <v>0</v>
      </c>
    </row>
    <row r="916" spans="1:31" x14ac:dyDescent="0.2">
      <c r="A916" t="str">
        <f t="shared" si="266"/>
        <v>https://shop.officineitalianezard.it/en/kit-silenziatori-collettore-zard-moto-guzzi-v7/</v>
      </c>
      <c r="B916" t="b">
        <f>COUNTIF($A$2:$A916, A916)&gt;1</f>
        <v>1</v>
      </c>
      <c r="C916" t="b">
        <f t="shared" si="267"/>
        <v>0</v>
      </c>
      <c r="D916">
        <f>VLOOKUP(A916,variant_counts!A:B, 2, FALSE)</f>
        <v>3</v>
      </c>
      <c r="E916" t="str">
        <f t="shared" si="280"/>
        <v>zard-exhaust-my-12-13-silencers-headers-kit-moto-guzzi-v7-caf-racer-caf-classic-conical-version-zg075skr-12</v>
      </c>
      <c r="F916" t="str">
        <f t="shared" si="268"/>
        <v>ZARD EXHAUST M.Y. 12-13 SILENCERS + HEADERS KIT MOTO GUZZI V7 CAFÈ RACER-CAFÈ CLASSIC CONICAL VERSION ZG075SKR-12</v>
      </c>
      <c r="G916" t="str">
        <f t="shared" si="269"/>
        <v/>
      </c>
      <c r="H916" t="str">
        <f t="shared" si="281"/>
        <v/>
      </c>
      <c r="I916" t="str">
        <f t="shared" si="282"/>
        <v/>
      </c>
      <c r="J916" t="str">
        <f t="shared" si="283"/>
        <v/>
      </c>
      <c r="K916" t="str">
        <f t="shared" si="284"/>
        <v/>
      </c>
      <c r="L916" t="str">
        <f t="shared" si="270"/>
        <v/>
      </c>
      <c r="M916" t="str">
        <f t="shared" si="271"/>
        <v/>
      </c>
      <c r="R916" t="str">
        <f t="shared" si="272"/>
        <v/>
      </c>
      <c r="S916" t="str">
        <f t="shared" si="273"/>
        <v/>
      </c>
      <c r="U916" t="str">
        <f t="shared" si="274"/>
        <v/>
      </c>
      <c r="V916" t="str">
        <f t="shared" si="275"/>
        <v/>
      </c>
      <c r="W916" s="5" t="str">
        <f t="shared" si="276"/>
        <v/>
      </c>
      <c r="Y916" t="str">
        <f t="shared" si="277"/>
        <v/>
      </c>
      <c r="Z916" t="str">
        <f t="shared" si="278"/>
        <v/>
      </c>
      <c r="AB916" t="str">
        <f t="shared" si="279"/>
        <v>https://shop.officineitalianezard.it/contents/imgs/products/1_713-2_574-scarico%20moto%20guzzi%20zard%201.jpg</v>
      </c>
      <c r="AE916" t="b">
        <v>0</v>
      </c>
    </row>
    <row r="917" spans="1:31" x14ac:dyDescent="0.2">
      <c r="A917" t="str">
        <f t="shared" si="266"/>
        <v>https://shop.officineitalianezard.it/en/kit-silenziatori-collettore-zard-moto-guzzi-v7/</v>
      </c>
      <c r="B917" t="b">
        <f>COUNTIF($A$2:$A917, A917)&gt;1</f>
        <v>1</v>
      </c>
      <c r="C917" t="b">
        <f t="shared" si="267"/>
        <v>1</v>
      </c>
      <c r="D917">
        <f>VLOOKUP(A917,variant_counts!A:B, 2, FALSE)</f>
        <v>3</v>
      </c>
      <c r="E917" t="str">
        <f t="shared" si="280"/>
        <v>zard-exhaust-my-12-13-silencers-headers-kit-moto-guzzi-v7-caf-racer-caf-classic-conical-version-zg075skr-12</v>
      </c>
      <c r="F917" t="str">
        <f t="shared" si="268"/>
        <v>ZARD EXHAUST M.Y. 12-13 SILENCERS + HEADERS KIT MOTO GUZZI V7 CAFÈ RACER-CAFÈ CLASSIC CONICAL VERSION ZG075SKR-12</v>
      </c>
      <c r="G917" t="str">
        <f t="shared" si="269"/>
        <v/>
      </c>
      <c r="H917" t="str">
        <f t="shared" si="281"/>
        <v/>
      </c>
      <c r="I917" t="str">
        <f t="shared" si="282"/>
        <v/>
      </c>
      <c r="J917" t="str">
        <f t="shared" si="283"/>
        <v/>
      </c>
      <c r="K917" t="str">
        <f t="shared" si="284"/>
        <v/>
      </c>
      <c r="L917" t="str">
        <f t="shared" si="270"/>
        <v>Option</v>
      </c>
      <c r="M917" t="str">
        <f t="shared" si="271"/>
        <v>EURO 3 HOMOLOGATED</v>
      </c>
      <c r="R917" t="str">
        <f t="shared" si="272"/>
        <v>ZG075SKR-12</v>
      </c>
      <c r="S917">
        <f t="shared" si="273"/>
        <v>0</v>
      </c>
      <c r="U917" t="str">
        <f t="shared" si="274"/>
        <v>continue</v>
      </c>
      <c r="V917" t="str">
        <f t="shared" si="275"/>
        <v>manual</v>
      </c>
      <c r="W917" s="5">
        <f t="shared" si="276"/>
        <v>1051.5918000000001</v>
      </c>
      <c r="Y917" t="b">
        <f t="shared" si="277"/>
        <v>1</v>
      </c>
      <c r="Z917" t="b">
        <f t="shared" si="278"/>
        <v>0</v>
      </c>
      <c r="AB917" t="str">
        <f t="shared" si="279"/>
        <v/>
      </c>
      <c r="AE917" t="b">
        <v>0</v>
      </c>
    </row>
    <row r="918" spans="1:31" x14ac:dyDescent="0.2">
      <c r="A918" t="str">
        <f t="shared" si="266"/>
        <v>https://shop.officineitalianezard.it/en/kit-silenziatori-collettore-zard-moto-guzzi-v7/</v>
      </c>
      <c r="B918" t="b">
        <f>COUNTIF($A$2:$A918, A918)&gt;1</f>
        <v>1</v>
      </c>
      <c r="C918" t="b">
        <f t="shared" si="267"/>
        <v>1</v>
      </c>
      <c r="D918">
        <f>VLOOKUP(A918,variant_counts!A:B, 2, FALSE)</f>
        <v>3</v>
      </c>
      <c r="E918" t="str">
        <f t="shared" si="280"/>
        <v>zard-exhaust-my-12-13-silencers-headers-kit-moto-guzzi-v7-caf-racer-caf-classic-conical-version-zg075skr-12</v>
      </c>
      <c r="F918" t="str">
        <f t="shared" si="268"/>
        <v>ZARD EXHAUST M.Y. 12-13 SILENCERS + HEADERS KIT MOTO GUZZI V7 CAFÈ RACER-CAFÈ CLASSIC CONICAL VERSION ZG075SKR-12</v>
      </c>
      <c r="G918" t="str">
        <f t="shared" si="269"/>
        <v/>
      </c>
      <c r="H918" t="str">
        <f t="shared" si="281"/>
        <v/>
      </c>
      <c r="I918" t="str">
        <f t="shared" si="282"/>
        <v/>
      </c>
      <c r="J918" t="str">
        <f t="shared" si="283"/>
        <v/>
      </c>
      <c r="K918" t="str">
        <f t="shared" si="284"/>
        <v/>
      </c>
      <c r="L918" t="str">
        <f t="shared" si="270"/>
        <v>Option</v>
      </c>
      <c r="M918" t="str">
        <f t="shared" si="271"/>
        <v>BLACK COATING</v>
      </c>
      <c r="R918" t="str">
        <f t="shared" si="272"/>
        <v>ZG075SKR-12</v>
      </c>
      <c r="S918">
        <f t="shared" si="273"/>
        <v>0</v>
      </c>
      <c r="U918" t="str">
        <f t="shared" si="274"/>
        <v>continue</v>
      </c>
      <c r="V918" t="str">
        <f t="shared" si="275"/>
        <v>manual</v>
      </c>
      <c r="W918" s="5">
        <f t="shared" si="276"/>
        <v>1261.2153000000001</v>
      </c>
      <c r="Y918" t="b">
        <f t="shared" si="277"/>
        <v>1</v>
      </c>
      <c r="Z918" t="b">
        <f t="shared" si="278"/>
        <v>0</v>
      </c>
      <c r="AB918" t="str">
        <f t="shared" si="279"/>
        <v/>
      </c>
      <c r="AE918" t="b">
        <v>0</v>
      </c>
    </row>
    <row r="919" spans="1:31" x14ac:dyDescent="0.2">
      <c r="A919" t="str">
        <f t="shared" si="266"/>
        <v>https://shop.officineitalianezard.it/en/kit-silenziatori-collettore-zard-moto-guzzi-v7/</v>
      </c>
      <c r="B919" t="b">
        <f>COUNTIF($A$2:$A919, A919)&gt;1</f>
        <v>1</v>
      </c>
      <c r="C919" t="b">
        <f t="shared" si="267"/>
        <v>1</v>
      </c>
      <c r="D919">
        <f>VLOOKUP(A919,variant_counts!A:B, 2, FALSE)</f>
        <v>3</v>
      </c>
      <c r="E919" t="str">
        <f t="shared" si="280"/>
        <v>zard-exhaust-my-12-13-silencers-headers-kit-moto-guzzi-v7-caf-racer-caf-classic-conical-version-zg075skr-12</v>
      </c>
      <c r="F919" t="str">
        <f t="shared" si="268"/>
        <v>ZARD EXHAUST M.Y. 12-13 SILENCERS + HEADERS KIT MOTO GUZZI V7 CAFÈ RACER-CAFÈ CLASSIC CONICAL VERSION ZG075SKR-12</v>
      </c>
      <c r="G919" t="str">
        <f t="shared" si="269"/>
        <v/>
      </c>
      <c r="H919" t="str">
        <f t="shared" si="281"/>
        <v/>
      </c>
      <c r="I919" t="str">
        <f t="shared" si="282"/>
        <v/>
      </c>
      <c r="J919" t="str">
        <f t="shared" si="283"/>
        <v/>
      </c>
      <c r="K919" t="str">
        <f t="shared" si="284"/>
        <v/>
      </c>
      <c r="L919" t="str">
        <f t="shared" si="270"/>
        <v>Option</v>
      </c>
      <c r="M919" t="str">
        <f t="shared" si="271"/>
        <v>POLISHED</v>
      </c>
      <c r="R919" t="str">
        <f t="shared" si="272"/>
        <v>ZG075SKR-12</v>
      </c>
      <c r="S919">
        <f t="shared" si="273"/>
        <v>0</v>
      </c>
      <c r="U919" t="str">
        <f t="shared" si="274"/>
        <v>continue</v>
      </c>
      <c r="V919" t="str">
        <f t="shared" si="275"/>
        <v>manual</v>
      </c>
      <c r="W919" s="5">
        <f t="shared" si="276"/>
        <v>1034.3979000000002</v>
      </c>
      <c r="Y919" t="b">
        <f t="shared" si="277"/>
        <v>1</v>
      </c>
      <c r="Z919" t="b">
        <f t="shared" si="278"/>
        <v>0</v>
      </c>
      <c r="AB919" t="str">
        <f t="shared" si="279"/>
        <v/>
      </c>
      <c r="AE919" t="b">
        <v>0</v>
      </c>
    </row>
    <row r="920" spans="1:31" x14ac:dyDescent="0.2">
      <c r="A920" t="str">
        <f t="shared" si="266"/>
        <v>https://shop.officineitalianezard.it/en/kit-silenziatori-collettore-zard-moto-guzzi-v7-2/</v>
      </c>
      <c r="B920" t="b">
        <f>COUNTIF($A$2:$A920, A920)&gt;1</f>
        <v>0</v>
      </c>
      <c r="C920" t="b">
        <f t="shared" si="267"/>
        <v>0</v>
      </c>
      <c r="D920">
        <f>VLOOKUP(A920,variant_counts!A:B, 2, FALSE)</f>
        <v>3</v>
      </c>
      <c r="E920" t="str">
        <f t="shared" si="280"/>
        <v>zard-exhaust-my-09-10-silencers-headers-kit-moto-guzzi-v7-caf-racer-caf-classic-conical-version-zg075skr</v>
      </c>
      <c r="F920" t="str">
        <f t="shared" si="268"/>
        <v>ZARD EXHAUST M.Y. 09-10 SILENCERS + HEADERS KIT MOTO GUZZI V7 CAFÈ RACER-CAFÈ CLASSIC CONICAL VERSION ZG075SKR</v>
      </c>
      <c r="G920" t="str">
        <f t="shared" si="269"/>
        <v>&lt;p&gt;N.2 STEEL SILENCERS + STEEL HEADERS RACING&lt;/p&gt;
&lt;p&gt;ORIGINAL FULL KIT WEIGHT: KG 12.5&lt;br&gt;ZARD FULL KIT WEIGHT: KG 6.3&lt;/p&gt;
&lt;p&gt;HEADERS ARE AVAILABLE IN RACING VERSION ONLY&lt;/p&gt;
&lt;p&gt;HARD INCREASE, COMPARED TO THE ORIGINAL EXHAUST SYSTEM, IN TERMS OF TORQUE AND POWER AT ANY RANGE.&lt;/p&gt;
&lt;p&gt;ASTONISHING SOUND.&lt;/p&gt;</v>
      </c>
      <c r="H920" t="str">
        <f t="shared" si="281"/>
        <v>ZARD</v>
      </c>
      <c r="I920" t="str">
        <f t="shared" si="282"/>
        <v>Exhaust Pipe</v>
      </c>
      <c r="J920" t="str">
        <f t="shared" si="283"/>
        <v>Test</v>
      </c>
      <c r="K920" t="b">
        <f t="shared" si="284"/>
        <v>0</v>
      </c>
      <c r="L920" t="str">
        <f t="shared" si="270"/>
        <v/>
      </c>
      <c r="M920" t="str">
        <f t="shared" si="271"/>
        <v/>
      </c>
      <c r="R920" t="str">
        <f t="shared" si="272"/>
        <v/>
      </c>
      <c r="S920" t="str">
        <f t="shared" si="273"/>
        <v/>
      </c>
      <c r="U920" t="str">
        <f t="shared" si="274"/>
        <v/>
      </c>
      <c r="V920" t="str">
        <f t="shared" si="275"/>
        <v/>
      </c>
      <c r="W920" s="5" t="str">
        <f t="shared" si="276"/>
        <v/>
      </c>
      <c r="Y920" t="str">
        <f t="shared" si="277"/>
        <v/>
      </c>
      <c r="Z920" t="str">
        <f t="shared" si="278"/>
        <v/>
      </c>
      <c r="AB920" t="str">
        <f t="shared" si="279"/>
        <v>https://shop.officineitalianezard.it/contents/imgs/products/1_701-2_693-moto%20guzzi%20v7%20scarico%20zard.jpg</v>
      </c>
      <c r="AE920" t="b">
        <v>0</v>
      </c>
    </row>
    <row r="921" spans="1:31" x14ac:dyDescent="0.2">
      <c r="A921" t="str">
        <f t="shared" si="266"/>
        <v>https://shop.officineitalianezard.it/en/kit-silenziatori-collettore-zard-moto-guzzi-v7-2/</v>
      </c>
      <c r="B921" t="b">
        <f>COUNTIF($A$2:$A921, A921)&gt;1</f>
        <v>1</v>
      </c>
      <c r="C921" t="b">
        <f t="shared" si="267"/>
        <v>0</v>
      </c>
      <c r="D921">
        <f>VLOOKUP(A921,variant_counts!A:B, 2, FALSE)</f>
        <v>3</v>
      </c>
      <c r="E921" t="str">
        <f t="shared" si="280"/>
        <v>zard-exhaust-my-09-10-silencers-headers-kit-moto-guzzi-v7-caf-racer-caf-classic-conical-version-zg075skr</v>
      </c>
      <c r="F921" t="str">
        <f t="shared" si="268"/>
        <v>ZARD EXHAUST M.Y. 09-10 SILENCERS + HEADERS KIT MOTO GUZZI V7 CAFÈ RACER-CAFÈ CLASSIC CONICAL VERSION ZG075SKR</v>
      </c>
      <c r="G921" t="str">
        <f t="shared" si="269"/>
        <v/>
      </c>
      <c r="H921" t="str">
        <f t="shared" si="281"/>
        <v/>
      </c>
      <c r="I921" t="str">
        <f t="shared" si="282"/>
        <v/>
      </c>
      <c r="J921" t="str">
        <f t="shared" si="283"/>
        <v/>
      </c>
      <c r="K921" t="str">
        <f t="shared" si="284"/>
        <v/>
      </c>
      <c r="L921" t="str">
        <f t="shared" si="270"/>
        <v/>
      </c>
      <c r="M921" t="str">
        <f t="shared" si="271"/>
        <v/>
      </c>
      <c r="R921" t="str">
        <f t="shared" si="272"/>
        <v/>
      </c>
      <c r="S921" t="str">
        <f t="shared" si="273"/>
        <v/>
      </c>
      <c r="U921" t="str">
        <f t="shared" si="274"/>
        <v/>
      </c>
      <c r="V921" t="str">
        <f t="shared" si="275"/>
        <v/>
      </c>
      <c r="W921" s="5" t="str">
        <f t="shared" si="276"/>
        <v/>
      </c>
      <c r="Y921" t="str">
        <f t="shared" si="277"/>
        <v/>
      </c>
      <c r="Z921" t="str">
        <f t="shared" si="278"/>
        <v/>
      </c>
      <c r="AB921" t="str">
        <f t="shared" si="279"/>
        <v>https://shop.officineitalianezard.it/contents/imgs/products/1_697-2_564-scarico%20moto%20guzzi%20zard%202.jpg</v>
      </c>
      <c r="AE921" t="b">
        <v>0</v>
      </c>
    </row>
    <row r="922" spans="1:31" x14ac:dyDescent="0.2">
      <c r="A922" t="str">
        <f t="shared" si="266"/>
        <v>https://shop.officineitalianezard.it/en/kit-silenziatori-collettore-zard-moto-guzzi-v7-2/</v>
      </c>
      <c r="B922" t="b">
        <f>COUNTIF($A$2:$A922, A922)&gt;1</f>
        <v>1</v>
      </c>
      <c r="C922" t="b">
        <f t="shared" si="267"/>
        <v>0</v>
      </c>
      <c r="D922">
        <f>VLOOKUP(A922,variant_counts!A:B, 2, FALSE)</f>
        <v>3</v>
      </c>
      <c r="E922" t="str">
        <f t="shared" si="280"/>
        <v>zard-exhaust-my-09-10-silencers-headers-kit-moto-guzzi-v7-caf-racer-caf-classic-conical-version-zg075skr</v>
      </c>
      <c r="F922" t="str">
        <f t="shared" si="268"/>
        <v>ZARD EXHAUST M.Y. 09-10 SILENCERS + HEADERS KIT MOTO GUZZI V7 CAFÈ RACER-CAFÈ CLASSIC CONICAL VERSION ZG075SKR</v>
      </c>
      <c r="G922" t="str">
        <f t="shared" si="269"/>
        <v/>
      </c>
      <c r="H922" t="str">
        <f t="shared" si="281"/>
        <v/>
      </c>
      <c r="I922" t="str">
        <f t="shared" si="282"/>
        <v/>
      </c>
      <c r="J922" t="str">
        <f t="shared" si="283"/>
        <v/>
      </c>
      <c r="K922" t="str">
        <f t="shared" si="284"/>
        <v/>
      </c>
      <c r="L922" t="str">
        <f t="shared" si="270"/>
        <v/>
      </c>
      <c r="M922" t="str">
        <f t="shared" si="271"/>
        <v/>
      </c>
      <c r="R922" t="str">
        <f t="shared" si="272"/>
        <v/>
      </c>
      <c r="S922" t="str">
        <f t="shared" si="273"/>
        <v/>
      </c>
      <c r="U922" t="str">
        <f t="shared" si="274"/>
        <v/>
      </c>
      <c r="V922" t="str">
        <f t="shared" si="275"/>
        <v/>
      </c>
      <c r="W922" s="5" t="str">
        <f t="shared" si="276"/>
        <v/>
      </c>
      <c r="Y922" t="str">
        <f t="shared" si="277"/>
        <v/>
      </c>
      <c r="Z922" t="str">
        <f t="shared" si="278"/>
        <v/>
      </c>
      <c r="AB922" t="str">
        <f t="shared" si="279"/>
        <v>https://shop.officineitalianezard.it/contents/imgs/products/1_698-2_566-scarico%20moto%20guzzi%20zard%203.jpg</v>
      </c>
      <c r="AE922" t="b">
        <v>0</v>
      </c>
    </row>
    <row r="923" spans="1:31" x14ac:dyDescent="0.2">
      <c r="A923" t="str">
        <f t="shared" si="266"/>
        <v>https://shop.officineitalianezard.it/en/kit-silenziatori-collettore-zard-moto-guzzi-v7-2/</v>
      </c>
      <c r="B923" t="b">
        <f>COUNTIF($A$2:$A923, A923)&gt;1</f>
        <v>1</v>
      </c>
      <c r="C923" t="b">
        <f t="shared" si="267"/>
        <v>0</v>
      </c>
      <c r="D923">
        <f>VLOOKUP(A923,variant_counts!A:B, 2, FALSE)</f>
        <v>3</v>
      </c>
      <c r="E923" t="str">
        <f t="shared" si="280"/>
        <v>zard-exhaust-my-09-10-silencers-headers-kit-moto-guzzi-v7-caf-racer-caf-classic-conical-version-zg075skr</v>
      </c>
      <c r="F923" t="str">
        <f t="shared" si="268"/>
        <v>ZARD EXHAUST M.Y. 09-10 SILENCERS + HEADERS KIT MOTO GUZZI V7 CAFÈ RACER-CAFÈ CLASSIC CONICAL VERSION ZG075SKR</v>
      </c>
      <c r="G923" t="str">
        <f t="shared" si="269"/>
        <v/>
      </c>
      <c r="H923" t="str">
        <f t="shared" si="281"/>
        <v/>
      </c>
      <c r="I923" t="str">
        <f t="shared" si="282"/>
        <v/>
      </c>
      <c r="J923" t="str">
        <f t="shared" si="283"/>
        <v/>
      </c>
      <c r="K923" t="str">
        <f t="shared" si="284"/>
        <v/>
      </c>
      <c r="L923" t="str">
        <f t="shared" si="270"/>
        <v/>
      </c>
      <c r="M923" t="str">
        <f t="shared" si="271"/>
        <v/>
      </c>
      <c r="R923" t="str">
        <f t="shared" si="272"/>
        <v/>
      </c>
      <c r="S923" t="str">
        <f t="shared" si="273"/>
        <v/>
      </c>
      <c r="U923" t="str">
        <f t="shared" si="274"/>
        <v/>
      </c>
      <c r="V923" t="str">
        <f t="shared" si="275"/>
        <v/>
      </c>
      <c r="W923" s="5" t="str">
        <f t="shared" si="276"/>
        <v/>
      </c>
      <c r="Y923" t="str">
        <f t="shared" si="277"/>
        <v/>
      </c>
      <c r="Z923" t="str">
        <f t="shared" si="278"/>
        <v/>
      </c>
      <c r="AB923" t="str">
        <f t="shared" si="279"/>
        <v>https://shop.officineitalianezard.it/contents/imgs/products/1_699-2_568-scarico%20moto%20guzzi%20zard%202.jpg</v>
      </c>
      <c r="AE923" t="b">
        <v>0</v>
      </c>
    </row>
    <row r="924" spans="1:31" x14ac:dyDescent="0.2">
      <c r="A924" t="str">
        <f t="shared" si="266"/>
        <v>https://shop.officineitalianezard.it/en/kit-silenziatori-collettore-zard-moto-guzzi-v7-2/</v>
      </c>
      <c r="B924" t="b">
        <f>COUNTIF($A$2:$A924, A924)&gt;1</f>
        <v>1</v>
      </c>
      <c r="C924" t="b">
        <f t="shared" si="267"/>
        <v>0</v>
      </c>
      <c r="D924">
        <f>VLOOKUP(A924,variant_counts!A:B, 2, FALSE)</f>
        <v>3</v>
      </c>
      <c r="E924" t="str">
        <f t="shared" si="280"/>
        <v>zard-exhaust-my-09-10-silencers-headers-kit-moto-guzzi-v7-caf-racer-caf-classic-conical-version-zg075skr</v>
      </c>
      <c r="F924" t="str">
        <f t="shared" si="268"/>
        <v>ZARD EXHAUST M.Y. 09-10 SILENCERS + HEADERS KIT MOTO GUZZI V7 CAFÈ RACER-CAFÈ CLASSIC CONICAL VERSION ZG075SKR</v>
      </c>
      <c r="G924" t="str">
        <f t="shared" si="269"/>
        <v/>
      </c>
      <c r="H924" t="str">
        <f t="shared" si="281"/>
        <v/>
      </c>
      <c r="I924" t="str">
        <f t="shared" si="282"/>
        <v/>
      </c>
      <c r="J924" t="str">
        <f t="shared" si="283"/>
        <v/>
      </c>
      <c r="K924" t="str">
        <f t="shared" si="284"/>
        <v/>
      </c>
      <c r="L924" t="str">
        <f t="shared" si="270"/>
        <v/>
      </c>
      <c r="M924" t="str">
        <f t="shared" si="271"/>
        <v/>
      </c>
      <c r="R924" t="str">
        <f t="shared" si="272"/>
        <v/>
      </c>
      <c r="S924" t="str">
        <f t="shared" si="273"/>
        <v/>
      </c>
      <c r="U924" t="str">
        <f t="shared" si="274"/>
        <v/>
      </c>
      <c r="V924" t="str">
        <f t="shared" si="275"/>
        <v/>
      </c>
      <c r="W924" s="5" t="str">
        <f t="shared" si="276"/>
        <v/>
      </c>
      <c r="Y924" t="str">
        <f t="shared" si="277"/>
        <v/>
      </c>
      <c r="Z924" t="str">
        <f t="shared" si="278"/>
        <v/>
      </c>
      <c r="AB924" t="str">
        <f t="shared" si="279"/>
        <v>https://shop.officineitalianezard.it/contents/imgs/products/1_700-2_574-scarico%20moto%20guzzi%20zard%201.jpg</v>
      </c>
      <c r="AE924" t="b">
        <v>0</v>
      </c>
    </row>
    <row r="925" spans="1:31" x14ac:dyDescent="0.2">
      <c r="A925" t="str">
        <f t="shared" si="266"/>
        <v>https://shop.officineitalianezard.it/en/kit-silenziatori-collettore-zard-moto-guzzi-v7-2/</v>
      </c>
      <c r="B925" t="b">
        <f>COUNTIF($A$2:$A925, A925)&gt;1</f>
        <v>1</v>
      </c>
      <c r="C925" t="b">
        <f t="shared" si="267"/>
        <v>1</v>
      </c>
      <c r="D925">
        <f>VLOOKUP(A925,variant_counts!A:B, 2, FALSE)</f>
        <v>3</v>
      </c>
      <c r="E925" t="str">
        <f t="shared" si="280"/>
        <v>zard-exhaust-my-09-10-silencers-headers-kit-moto-guzzi-v7-caf-racer-caf-classic-conical-version-zg075skr</v>
      </c>
      <c r="F925" t="str">
        <f t="shared" si="268"/>
        <v>ZARD EXHAUST M.Y. 09-10 SILENCERS + HEADERS KIT MOTO GUZZI V7 CAFÈ RACER-CAFÈ CLASSIC CONICAL VERSION ZG075SKR</v>
      </c>
      <c r="G925" t="str">
        <f t="shared" si="269"/>
        <v/>
      </c>
      <c r="H925" t="str">
        <f t="shared" si="281"/>
        <v/>
      </c>
      <c r="I925" t="str">
        <f t="shared" si="282"/>
        <v/>
      </c>
      <c r="J925" t="str">
        <f t="shared" si="283"/>
        <v/>
      </c>
      <c r="K925" t="str">
        <f t="shared" si="284"/>
        <v/>
      </c>
      <c r="L925" t="str">
        <f t="shared" si="270"/>
        <v>Option</v>
      </c>
      <c r="M925" t="str">
        <f t="shared" si="271"/>
        <v>HOMOLOGATED</v>
      </c>
      <c r="R925" t="str">
        <f t="shared" si="272"/>
        <v>ZG075SKR</v>
      </c>
      <c r="S925">
        <f t="shared" si="273"/>
        <v>0</v>
      </c>
      <c r="U925" t="str">
        <f t="shared" si="274"/>
        <v>continue</v>
      </c>
      <c r="V925" t="str">
        <f t="shared" si="275"/>
        <v>manual</v>
      </c>
      <c r="W925" s="5">
        <f t="shared" si="276"/>
        <v>1051.5918000000001</v>
      </c>
      <c r="Y925" t="b">
        <f t="shared" si="277"/>
        <v>1</v>
      </c>
      <c r="Z925" t="b">
        <f t="shared" si="278"/>
        <v>0</v>
      </c>
      <c r="AB925" t="str">
        <f t="shared" si="279"/>
        <v/>
      </c>
      <c r="AE925" t="b">
        <v>0</v>
      </c>
    </row>
    <row r="926" spans="1:31" x14ac:dyDescent="0.2">
      <c r="A926" t="str">
        <f t="shared" si="266"/>
        <v>https://shop.officineitalianezard.it/en/kit-silenziatori-collettore-zard-moto-guzzi-v7-2/</v>
      </c>
      <c r="B926" t="b">
        <f>COUNTIF($A$2:$A926, A926)&gt;1</f>
        <v>1</v>
      </c>
      <c r="C926" t="b">
        <f t="shared" si="267"/>
        <v>1</v>
      </c>
      <c r="D926">
        <f>VLOOKUP(A926,variant_counts!A:B, 2, FALSE)</f>
        <v>3</v>
      </c>
      <c r="E926" t="str">
        <f t="shared" si="280"/>
        <v>zard-exhaust-my-09-10-silencers-headers-kit-moto-guzzi-v7-caf-racer-caf-classic-conical-version-zg075skr</v>
      </c>
      <c r="F926" t="str">
        <f t="shared" si="268"/>
        <v>ZARD EXHAUST M.Y. 09-10 SILENCERS + HEADERS KIT MOTO GUZZI V7 CAFÈ RACER-CAFÈ CLASSIC CONICAL VERSION ZG075SKR</v>
      </c>
      <c r="G926" t="str">
        <f t="shared" si="269"/>
        <v/>
      </c>
      <c r="H926" t="str">
        <f t="shared" si="281"/>
        <v/>
      </c>
      <c r="I926" t="str">
        <f t="shared" si="282"/>
        <v/>
      </c>
      <c r="J926" t="str">
        <f t="shared" si="283"/>
        <v/>
      </c>
      <c r="K926" t="str">
        <f t="shared" si="284"/>
        <v/>
      </c>
      <c r="L926" t="str">
        <f t="shared" si="270"/>
        <v>Option</v>
      </c>
      <c r="M926" t="str">
        <f t="shared" si="271"/>
        <v>BLACK CERAMIC COATING</v>
      </c>
      <c r="R926" t="str">
        <f t="shared" si="272"/>
        <v>ZG075SKR</v>
      </c>
      <c r="S926">
        <f t="shared" si="273"/>
        <v>0</v>
      </c>
      <c r="U926" t="str">
        <f t="shared" si="274"/>
        <v>continue</v>
      </c>
      <c r="V926" t="str">
        <f t="shared" si="275"/>
        <v>manual</v>
      </c>
      <c r="W926" s="5">
        <f t="shared" si="276"/>
        <v>1261.2153000000001</v>
      </c>
      <c r="Y926" t="b">
        <f t="shared" si="277"/>
        <v>1</v>
      </c>
      <c r="Z926" t="b">
        <f t="shared" si="278"/>
        <v>0</v>
      </c>
      <c r="AB926" t="str">
        <f t="shared" si="279"/>
        <v/>
      </c>
      <c r="AE926" t="b">
        <v>0</v>
      </c>
    </row>
    <row r="927" spans="1:31" x14ac:dyDescent="0.2">
      <c r="A927" t="str">
        <f t="shared" si="266"/>
        <v>https://shop.officineitalianezard.it/en/kit-silenziatori-collettore-zard-moto-guzzi-v7-2/</v>
      </c>
      <c r="B927" t="b">
        <f>COUNTIF($A$2:$A927, A927)&gt;1</f>
        <v>1</v>
      </c>
      <c r="C927" t="b">
        <f t="shared" si="267"/>
        <v>1</v>
      </c>
      <c r="D927">
        <f>VLOOKUP(A927,variant_counts!A:B, 2, FALSE)</f>
        <v>3</v>
      </c>
      <c r="E927" t="str">
        <f t="shared" si="280"/>
        <v>zard-exhaust-my-09-10-silencers-headers-kit-moto-guzzi-v7-caf-racer-caf-classic-conical-version-zg075skr</v>
      </c>
      <c r="F927" t="str">
        <f t="shared" si="268"/>
        <v>ZARD EXHAUST M.Y. 09-10 SILENCERS + HEADERS KIT MOTO GUZZI V7 CAFÈ RACER-CAFÈ CLASSIC CONICAL VERSION ZG075SKR</v>
      </c>
      <c r="G927" t="str">
        <f t="shared" si="269"/>
        <v/>
      </c>
      <c r="H927" t="str">
        <f t="shared" si="281"/>
        <v/>
      </c>
      <c r="I927" t="str">
        <f t="shared" si="282"/>
        <v/>
      </c>
      <c r="J927" t="str">
        <f t="shared" si="283"/>
        <v/>
      </c>
      <c r="K927" t="str">
        <f t="shared" si="284"/>
        <v/>
      </c>
      <c r="L927" t="str">
        <f t="shared" si="270"/>
        <v>Option</v>
      </c>
      <c r="M927" t="str">
        <f t="shared" si="271"/>
        <v>POLISHED</v>
      </c>
      <c r="R927" t="str">
        <f t="shared" si="272"/>
        <v>ZG075SKR</v>
      </c>
      <c r="S927">
        <f t="shared" si="273"/>
        <v>0</v>
      </c>
      <c r="U927" t="str">
        <f t="shared" si="274"/>
        <v>continue</v>
      </c>
      <c r="V927" t="str">
        <f t="shared" si="275"/>
        <v>manual</v>
      </c>
      <c r="W927" s="5">
        <f t="shared" si="276"/>
        <v>1034.3979000000002</v>
      </c>
      <c r="Y927" t="b">
        <f t="shared" si="277"/>
        <v>1</v>
      </c>
      <c r="Z927" t="b">
        <f t="shared" si="278"/>
        <v>0</v>
      </c>
      <c r="AB927" t="str">
        <f t="shared" si="279"/>
        <v/>
      </c>
      <c r="AE927" t="b">
        <v>0</v>
      </c>
    </row>
    <row r="928" spans="1:31" x14ac:dyDescent="0.2">
      <c r="A928" t="str">
        <f t="shared" si="266"/>
        <v>https://shop.officineitalianezard.it/en/products/index/headers-kit-moto-guzzi-v7-zard-7428-86/</v>
      </c>
      <c r="B928" t="b">
        <f>COUNTIF($A$2:$A928, A928)&gt;1</f>
        <v>0</v>
      </c>
      <c r="C928" t="b">
        <f t="shared" si="267"/>
        <v>0</v>
      </c>
      <c r="D928">
        <f>VLOOKUP(A928,variant_counts!A:B, 2, FALSE)</f>
        <v>2</v>
      </c>
      <c r="E928" t="str">
        <f t="shared" si="280"/>
        <v>zard-exhaust-my-12-13-headers-kit-moto-guzzi-v7-caf-racer-caf-classic-steel-version-zg-075-scr-12</v>
      </c>
      <c r="F928" t="str">
        <f t="shared" si="268"/>
        <v>ZARD EXHAUST M.Y. 12-13 HEADERS KIT MOTO GUZZI V7 CAFÈ RACER-CAFÈ CLASSIC STEEL VERSION ZG 075 SCR-12</v>
      </c>
      <c r="G928" t="str">
        <f t="shared" si="269"/>
        <v>&lt;p&gt;STEEL HEADERS KIT RACING&lt;/p&gt;
&lt;p&gt;ORIGINAL HEADERS KIT WEIGHT: KG 5.3&lt;br&gt;ZARD HEADERS KIT WEIGHT: KG 2.1&lt;/p&gt;
&lt;p&gt;HARD INCREASE, COMPARED TO THE ORIGINAL EXHAUST SYSTEM, IN TERMS OF TORQUE AND POWER AT ANY RANGE IF FITTED WITH ZARD MUFFLERS.&lt;/p&gt;
&lt;p&gt;THE MANIFOLD KIT COULD BE ALSO FITTED WITH THE ORIGINAL MUFFLERS.&lt;/p&gt;</v>
      </c>
      <c r="H928" t="str">
        <f t="shared" si="281"/>
        <v>ZARD</v>
      </c>
      <c r="I928" t="str">
        <f t="shared" si="282"/>
        <v>Exhaust Pipe</v>
      </c>
      <c r="J928" t="str">
        <f t="shared" si="283"/>
        <v>Test</v>
      </c>
      <c r="K928" t="b">
        <f t="shared" si="284"/>
        <v>0</v>
      </c>
      <c r="L928" t="str">
        <f t="shared" si="270"/>
        <v/>
      </c>
      <c r="M928" t="str">
        <f t="shared" si="271"/>
        <v/>
      </c>
      <c r="R928" t="str">
        <f t="shared" si="272"/>
        <v/>
      </c>
      <c r="S928" t="str">
        <f t="shared" si="273"/>
        <v/>
      </c>
      <c r="U928" t="str">
        <f t="shared" si="274"/>
        <v/>
      </c>
      <c r="V928" t="str">
        <f t="shared" si="275"/>
        <v/>
      </c>
      <c r="W928" s="5" t="str">
        <f t="shared" si="276"/>
        <v/>
      </c>
      <c r="Y928" t="str">
        <f t="shared" si="277"/>
        <v/>
      </c>
      <c r="Z928" t="str">
        <f t="shared" si="278"/>
        <v/>
      </c>
      <c r="AB928" t="str">
        <f t="shared" si="279"/>
        <v>https://shop.officineitalianezard.it/contents/imgs/products/1_708-2_574-scarico%20moto%20guzzi%20zard%201.jpg</v>
      </c>
      <c r="AE928" t="b">
        <v>0</v>
      </c>
    </row>
    <row r="929" spans="1:31" x14ac:dyDescent="0.2">
      <c r="A929" t="str">
        <f t="shared" si="266"/>
        <v>https://shop.officineitalianezard.it/en/products/index/headers-kit-moto-guzzi-v7-zard-7428-86/</v>
      </c>
      <c r="B929" t="b">
        <f>COUNTIF($A$2:$A929, A929)&gt;1</f>
        <v>1</v>
      </c>
      <c r="C929" t="b">
        <f t="shared" si="267"/>
        <v>0</v>
      </c>
      <c r="D929">
        <f>VLOOKUP(A929,variant_counts!A:B, 2, FALSE)</f>
        <v>2</v>
      </c>
      <c r="E929" t="str">
        <f t="shared" si="280"/>
        <v>zard-exhaust-my-12-13-headers-kit-moto-guzzi-v7-caf-racer-caf-classic-steel-version-zg-075-scr-12</v>
      </c>
      <c r="F929" t="str">
        <f t="shared" si="268"/>
        <v>ZARD EXHAUST M.Y. 12-13 HEADERS KIT MOTO GUZZI V7 CAFÈ RACER-CAFÈ CLASSIC STEEL VERSION ZG 075 SCR-12</v>
      </c>
      <c r="G929" t="str">
        <f t="shared" si="269"/>
        <v/>
      </c>
      <c r="H929" t="str">
        <f t="shared" si="281"/>
        <v/>
      </c>
      <c r="I929" t="str">
        <f t="shared" si="282"/>
        <v/>
      </c>
      <c r="J929" t="str">
        <f t="shared" si="283"/>
        <v/>
      </c>
      <c r="K929" t="str">
        <f t="shared" si="284"/>
        <v/>
      </c>
      <c r="L929" t="str">
        <f t="shared" si="270"/>
        <v/>
      </c>
      <c r="M929" t="str">
        <f t="shared" si="271"/>
        <v/>
      </c>
      <c r="R929" t="str">
        <f t="shared" si="272"/>
        <v/>
      </c>
      <c r="S929" t="str">
        <f t="shared" si="273"/>
        <v/>
      </c>
      <c r="U929" t="str">
        <f t="shared" si="274"/>
        <v/>
      </c>
      <c r="V929" t="str">
        <f t="shared" si="275"/>
        <v/>
      </c>
      <c r="W929" s="5" t="str">
        <f t="shared" si="276"/>
        <v/>
      </c>
      <c r="Y929" t="str">
        <f t="shared" si="277"/>
        <v/>
      </c>
      <c r="Z929" t="str">
        <f t="shared" si="278"/>
        <v/>
      </c>
      <c r="AB929" t="str">
        <f t="shared" si="279"/>
        <v>https://shop.officineitalianezard.it/contents/imgs/products/1_707-2_564-scarico%20moto%20guzzi%20zard%202.jpg</v>
      </c>
      <c r="AE929" t="b">
        <v>0</v>
      </c>
    </row>
    <row r="930" spans="1:31" x14ac:dyDescent="0.2">
      <c r="A930" t="str">
        <f t="shared" si="266"/>
        <v>https://shop.officineitalianezard.it/en/products/index/headers-kit-moto-guzzi-v7-zard-7428-86/</v>
      </c>
      <c r="B930" t="b">
        <f>COUNTIF($A$2:$A930, A930)&gt;1</f>
        <v>1</v>
      </c>
      <c r="C930" t="b">
        <f t="shared" si="267"/>
        <v>0</v>
      </c>
      <c r="D930">
        <f>VLOOKUP(A930,variant_counts!A:B, 2, FALSE)</f>
        <v>2</v>
      </c>
      <c r="E930" t="str">
        <f t="shared" si="280"/>
        <v>zard-exhaust-my-12-13-headers-kit-moto-guzzi-v7-caf-racer-caf-classic-steel-version-zg-075-scr-12</v>
      </c>
      <c r="F930" t="str">
        <f t="shared" si="268"/>
        <v>ZARD EXHAUST M.Y. 12-13 HEADERS KIT MOTO GUZZI V7 CAFÈ RACER-CAFÈ CLASSIC STEEL VERSION ZG 075 SCR-12</v>
      </c>
      <c r="G930" t="str">
        <f t="shared" si="269"/>
        <v/>
      </c>
      <c r="H930" t="str">
        <f t="shared" si="281"/>
        <v/>
      </c>
      <c r="I930" t="str">
        <f t="shared" si="282"/>
        <v/>
      </c>
      <c r="J930" t="str">
        <f t="shared" si="283"/>
        <v/>
      </c>
      <c r="K930" t="str">
        <f t="shared" si="284"/>
        <v/>
      </c>
      <c r="L930" t="str">
        <f t="shared" si="270"/>
        <v/>
      </c>
      <c r="M930" t="str">
        <f t="shared" si="271"/>
        <v/>
      </c>
      <c r="R930" t="str">
        <f t="shared" si="272"/>
        <v/>
      </c>
      <c r="S930" t="str">
        <f t="shared" si="273"/>
        <v/>
      </c>
      <c r="U930" t="str">
        <f t="shared" si="274"/>
        <v/>
      </c>
      <c r="V930" t="str">
        <f t="shared" si="275"/>
        <v/>
      </c>
      <c r="W930" s="5" t="str">
        <f t="shared" si="276"/>
        <v/>
      </c>
      <c r="Y930" t="str">
        <f t="shared" si="277"/>
        <v/>
      </c>
      <c r="Z930" t="str">
        <f t="shared" si="278"/>
        <v/>
      </c>
      <c r="AB930" t="str">
        <f t="shared" si="279"/>
        <v>https://shop.officineitalianezard.it/contents/imgs/products/1_709-2_693-moto%20guzzi%20v7%20scarico%20zard.jpg</v>
      </c>
      <c r="AE930" t="b">
        <v>0</v>
      </c>
    </row>
    <row r="931" spans="1:31" x14ac:dyDescent="0.2">
      <c r="A931" t="str">
        <f t="shared" si="266"/>
        <v>https://shop.officineitalianezard.it/en/products/index/headers-kit-moto-guzzi-v7-zard-7428-86/</v>
      </c>
      <c r="B931" t="b">
        <f>COUNTIF($A$2:$A931, A931)&gt;1</f>
        <v>1</v>
      </c>
      <c r="C931" t="b">
        <f t="shared" si="267"/>
        <v>1</v>
      </c>
      <c r="D931">
        <f>VLOOKUP(A931,variant_counts!A:B, 2, FALSE)</f>
        <v>2</v>
      </c>
      <c r="E931" t="str">
        <f t="shared" si="280"/>
        <v>zard-exhaust-my-12-13-headers-kit-moto-guzzi-v7-caf-racer-caf-classic-steel-version-zg-075-scr-12</v>
      </c>
      <c r="F931" t="str">
        <f t="shared" si="268"/>
        <v>ZARD EXHAUST M.Y. 12-13 HEADERS KIT MOTO GUZZI V7 CAFÈ RACER-CAFÈ CLASSIC STEEL VERSION ZG 075 SCR-12</v>
      </c>
      <c r="G931" t="str">
        <f t="shared" si="269"/>
        <v/>
      </c>
      <c r="H931" t="str">
        <f t="shared" si="281"/>
        <v/>
      </c>
      <c r="I931" t="str">
        <f t="shared" si="282"/>
        <v/>
      </c>
      <c r="J931" t="str">
        <f t="shared" si="283"/>
        <v/>
      </c>
      <c r="K931" t="str">
        <f t="shared" si="284"/>
        <v/>
      </c>
      <c r="L931" t="str">
        <f t="shared" si="270"/>
        <v>Option</v>
      </c>
      <c r="M931" t="str">
        <f t="shared" si="271"/>
        <v>BLACK COATING</v>
      </c>
      <c r="R931" t="str">
        <f t="shared" si="272"/>
        <v>ZG 075 SCR-12</v>
      </c>
      <c r="S931">
        <f t="shared" si="273"/>
        <v>0</v>
      </c>
      <c r="U931" t="str">
        <f t="shared" si="274"/>
        <v>continue</v>
      </c>
      <c r="V931" t="str">
        <f t="shared" si="275"/>
        <v>manual</v>
      </c>
      <c r="W931" s="5">
        <f t="shared" si="276"/>
        <v>709.94490000000008</v>
      </c>
      <c r="Y931" t="b">
        <f t="shared" si="277"/>
        <v>1</v>
      </c>
      <c r="Z931" t="b">
        <f t="shared" si="278"/>
        <v>0</v>
      </c>
      <c r="AB931" t="str">
        <f t="shared" si="279"/>
        <v/>
      </c>
      <c r="AE931" t="b">
        <v>0</v>
      </c>
    </row>
    <row r="932" spans="1:31" x14ac:dyDescent="0.2">
      <c r="A932" t="str">
        <f t="shared" si="266"/>
        <v>https://shop.officineitalianezard.it/en/products/index/headers-kit-moto-guzzi-v7-zard-7428-86/</v>
      </c>
      <c r="B932" t="b">
        <f>COUNTIF($A$2:$A932, A932)&gt;1</f>
        <v>1</v>
      </c>
      <c r="C932" t="b">
        <f t="shared" si="267"/>
        <v>1</v>
      </c>
      <c r="D932">
        <f>VLOOKUP(A932,variant_counts!A:B, 2, FALSE)</f>
        <v>2</v>
      </c>
      <c r="E932" t="str">
        <f t="shared" si="280"/>
        <v>zard-exhaust-my-12-13-headers-kit-moto-guzzi-v7-caf-racer-caf-classic-steel-version-zg-075-scr-12</v>
      </c>
      <c r="F932" t="str">
        <f t="shared" si="268"/>
        <v>ZARD EXHAUST M.Y. 12-13 HEADERS KIT MOTO GUZZI V7 CAFÈ RACER-CAFÈ CLASSIC STEEL VERSION ZG 075 SCR-12</v>
      </c>
      <c r="G932" t="str">
        <f t="shared" si="269"/>
        <v/>
      </c>
      <c r="H932" t="str">
        <f t="shared" si="281"/>
        <v/>
      </c>
      <c r="I932" t="str">
        <f t="shared" si="282"/>
        <v/>
      </c>
      <c r="J932" t="str">
        <f t="shared" si="283"/>
        <v/>
      </c>
      <c r="K932" t="str">
        <f t="shared" si="284"/>
        <v/>
      </c>
      <c r="L932" t="str">
        <f t="shared" si="270"/>
        <v>Option</v>
      </c>
      <c r="M932" t="str">
        <f t="shared" si="271"/>
        <v>MIRROR POLISHED</v>
      </c>
      <c r="R932" t="str">
        <f t="shared" si="272"/>
        <v>ZG 075 SCR-12</v>
      </c>
      <c r="S932">
        <f t="shared" si="273"/>
        <v>0</v>
      </c>
      <c r="U932" t="str">
        <f t="shared" si="274"/>
        <v>continue</v>
      </c>
      <c r="V932" t="str">
        <f t="shared" si="275"/>
        <v>manual</v>
      </c>
      <c r="W932" s="5">
        <f t="shared" si="276"/>
        <v>630.51330000000007</v>
      </c>
      <c r="Y932" t="b">
        <f t="shared" si="277"/>
        <v>1</v>
      </c>
      <c r="Z932" t="b">
        <f t="shared" si="278"/>
        <v>0</v>
      </c>
      <c r="AB932" t="str">
        <f t="shared" si="279"/>
        <v/>
      </c>
      <c r="AE932" t="b">
        <v>0</v>
      </c>
    </row>
    <row r="933" spans="1:31" x14ac:dyDescent="0.2">
      <c r="A933" t="str">
        <f t="shared" si="266"/>
        <v>https://shop.officineitalianezard.it/en/headers-kit-moto-guzzi-v7-zard/</v>
      </c>
      <c r="B933" t="b">
        <f>COUNTIF($A$2:$A933, A933)&gt;1</f>
        <v>0</v>
      </c>
      <c r="C933" t="b">
        <f t="shared" si="267"/>
        <v>0</v>
      </c>
      <c r="D933">
        <f>VLOOKUP(A933,variant_counts!A:B, 2, FALSE)</f>
        <v>2</v>
      </c>
      <c r="E933" t="str">
        <f t="shared" si="280"/>
        <v>zard-exhaust-my-09-10-headers-kit-moto-guzzi-v7-caf-racer-caf-classic-steel-version-zg075scr</v>
      </c>
      <c r="F933" t="str">
        <f t="shared" si="268"/>
        <v>ZARD EXHAUST M.Y. 09-10 HEADERS KIT MOTO GUZZI V7 CAFÈ RACER-CAFÈ CLASSIC STEEL VERSION ZG075SCR</v>
      </c>
      <c r="G933" t="str">
        <f t="shared" si="269"/>
        <v>&lt;p&gt;STEEL HEADERS KIT RACING&lt;/p&gt;
&lt;p&gt;ORIGINAL HEADERS KIT WEIGHT: KG 5.3&lt;br&gt;ZARD HEADERS KIT WEIGHT: KG 2.1&lt;/p&gt;
&lt;p&gt;HARD INCREASE, COMPARED TO THE ORIGINAL EXHAUST SYSTEM, IN TERMS OF TORQUE AND POWER AT ANY RANGE IF FITTED WITH ZARD MUFFLERS.&lt;/p&gt;
&lt;p&gt;THE MANIFOLD KIT COULD BE ALSO FITTED WITH THE ORIGINAL MUFFLERS.&lt;/p&gt;</v>
      </c>
      <c r="H933" t="str">
        <f t="shared" si="281"/>
        <v>ZARD</v>
      </c>
      <c r="I933" t="str">
        <f t="shared" si="282"/>
        <v>Exhaust Pipe</v>
      </c>
      <c r="J933" t="str">
        <f t="shared" si="283"/>
        <v>Test</v>
      </c>
      <c r="K933" t="b">
        <f t="shared" si="284"/>
        <v>0</v>
      </c>
      <c r="L933" t="str">
        <f t="shared" si="270"/>
        <v/>
      </c>
      <c r="M933" t="str">
        <f t="shared" si="271"/>
        <v/>
      </c>
      <c r="R933" t="str">
        <f t="shared" si="272"/>
        <v/>
      </c>
      <c r="S933" t="str">
        <f t="shared" si="273"/>
        <v/>
      </c>
      <c r="U933" t="str">
        <f t="shared" si="274"/>
        <v/>
      </c>
      <c r="V933" t="str">
        <f t="shared" si="275"/>
        <v/>
      </c>
      <c r="W933" s="5" t="str">
        <f t="shared" si="276"/>
        <v/>
      </c>
      <c r="Y933" t="str">
        <f t="shared" si="277"/>
        <v/>
      </c>
      <c r="Z933" t="str">
        <f t="shared" si="278"/>
        <v/>
      </c>
      <c r="AB933" t="str">
        <f t="shared" si="279"/>
        <v>https://shop.officineitalianezard.it/contents/imgs/products/1_695-2_574-scarico%20moto%20guzzi%20zard%201.jpg</v>
      </c>
      <c r="AE933" t="b">
        <v>0</v>
      </c>
    </row>
    <row r="934" spans="1:31" x14ac:dyDescent="0.2">
      <c r="A934" t="str">
        <f t="shared" si="266"/>
        <v>https://shop.officineitalianezard.it/en/headers-kit-moto-guzzi-v7-zard/</v>
      </c>
      <c r="B934" t="b">
        <f>COUNTIF($A$2:$A934, A934)&gt;1</f>
        <v>1</v>
      </c>
      <c r="C934" t="b">
        <f t="shared" si="267"/>
        <v>0</v>
      </c>
      <c r="D934">
        <f>VLOOKUP(A934,variant_counts!A:B, 2, FALSE)</f>
        <v>2</v>
      </c>
      <c r="E934" t="str">
        <f t="shared" si="280"/>
        <v>zard-exhaust-my-09-10-headers-kit-moto-guzzi-v7-caf-racer-caf-classic-steel-version-zg075scr</v>
      </c>
      <c r="F934" t="str">
        <f t="shared" si="268"/>
        <v>ZARD EXHAUST M.Y. 09-10 HEADERS KIT MOTO GUZZI V7 CAFÈ RACER-CAFÈ CLASSIC STEEL VERSION ZG075SCR</v>
      </c>
      <c r="G934" t="str">
        <f t="shared" si="269"/>
        <v/>
      </c>
      <c r="H934" t="str">
        <f t="shared" si="281"/>
        <v/>
      </c>
      <c r="I934" t="str">
        <f t="shared" si="282"/>
        <v/>
      </c>
      <c r="J934" t="str">
        <f t="shared" si="283"/>
        <v/>
      </c>
      <c r="K934" t="str">
        <f t="shared" si="284"/>
        <v/>
      </c>
      <c r="L934" t="str">
        <f t="shared" si="270"/>
        <v/>
      </c>
      <c r="M934" t="str">
        <f t="shared" si="271"/>
        <v/>
      </c>
      <c r="R934" t="str">
        <f t="shared" si="272"/>
        <v/>
      </c>
      <c r="S934" t="str">
        <f t="shared" si="273"/>
        <v/>
      </c>
      <c r="U934" t="str">
        <f t="shared" si="274"/>
        <v/>
      </c>
      <c r="V934" t="str">
        <f t="shared" si="275"/>
        <v/>
      </c>
      <c r="W934" s="5" t="str">
        <f t="shared" si="276"/>
        <v/>
      </c>
      <c r="Y934" t="str">
        <f t="shared" si="277"/>
        <v/>
      </c>
      <c r="Z934" t="str">
        <f t="shared" si="278"/>
        <v/>
      </c>
      <c r="AB934" t="str">
        <f t="shared" si="279"/>
        <v>https://shop.officineitalianezard.it/contents/imgs/products/1_694-2_564-scarico%20moto%20guzzi%20zard%202.jpg</v>
      </c>
      <c r="AE934" t="b">
        <v>0</v>
      </c>
    </row>
    <row r="935" spans="1:31" x14ac:dyDescent="0.2">
      <c r="A935" t="str">
        <f t="shared" si="266"/>
        <v>https://shop.officineitalianezard.it/en/headers-kit-moto-guzzi-v7-zard/</v>
      </c>
      <c r="B935" t="b">
        <f>COUNTIF($A$2:$A935, A935)&gt;1</f>
        <v>1</v>
      </c>
      <c r="C935" t="b">
        <f t="shared" si="267"/>
        <v>0</v>
      </c>
      <c r="D935">
        <f>VLOOKUP(A935,variant_counts!A:B, 2, FALSE)</f>
        <v>2</v>
      </c>
      <c r="E935" t="str">
        <f t="shared" si="280"/>
        <v>zard-exhaust-my-09-10-headers-kit-moto-guzzi-v7-caf-racer-caf-classic-steel-version-zg075scr</v>
      </c>
      <c r="F935" t="str">
        <f t="shared" si="268"/>
        <v>ZARD EXHAUST M.Y. 09-10 HEADERS KIT MOTO GUZZI V7 CAFÈ RACER-CAFÈ CLASSIC STEEL VERSION ZG075SCR</v>
      </c>
      <c r="G935" t="str">
        <f t="shared" si="269"/>
        <v/>
      </c>
      <c r="H935" t="str">
        <f t="shared" si="281"/>
        <v/>
      </c>
      <c r="I935" t="str">
        <f t="shared" si="282"/>
        <v/>
      </c>
      <c r="J935" t="str">
        <f t="shared" si="283"/>
        <v/>
      </c>
      <c r="K935" t="str">
        <f t="shared" si="284"/>
        <v/>
      </c>
      <c r="L935" t="str">
        <f t="shared" si="270"/>
        <v/>
      </c>
      <c r="M935" t="str">
        <f t="shared" si="271"/>
        <v/>
      </c>
      <c r="R935" t="str">
        <f t="shared" si="272"/>
        <v/>
      </c>
      <c r="S935" t="str">
        <f t="shared" si="273"/>
        <v/>
      </c>
      <c r="U935" t="str">
        <f t="shared" si="274"/>
        <v/>
      </c>
      <c r="V935" t="str">
        <f t="shared" si="275"/>
        <v/>
      </c>
      <c r="W935" s="5" t="str">
        <f t="shared" si="276"/>
        <v/>
      </c>
      <c r="Y935" t="str">
        <f t="shared" si="277"/>
        <v/>
      </c>
      <c r="Z935" t="str">
        <f t="shared" si="278"/>
        <v/>
      </c>
      <c r="AB935" t="str">
        <f t="shared" si="279"/>
        <v>https://shop.officineitalianezard.it/contents/imgs/products/1_696-2_693-moto%20guzzi%20v7%20scarico%20zard.jpg</v>
      </c>
      <c r="AE935" t="b">
        <v>0</v>
      </c>
    </row>
    <row r="936" spans="1:31" x14ac:dyDescent="0.2">
      <c r="A936" t="str">
        <f t="shared" si="266"/>
        <v>https://shop.officineitalianezard.it/en/headers-kit-moto-guzzi-v7-zard/</v>
      </c>
      <c r="B936" t="b">
        <f>COUNTIF($A$2:$A936, A936)&gt;1</f>
        <v>1</v>
      </c>
      <c r="C936" t="b">
        <f t="shared" si="267"/>
        <v>1</v>
      </c>
      <c r="D936">
        <f>VLOOKUP(A936,variant_counts!A:B, 2, FALSE)</f>
        <v>2</v>
      </c>
      <c r="E936" t="str">
        <f t="shared" si="280"/>
        <v>zard-exhaust-my-09-10-headers-kit-moto-guzzi-v7-caf-racer-caf-classic-steel-version-zg075scr</v>
      </c>
      <c r="F936" t="str">
        <f t="shared" si="268"/>
        <v>ZARD EXHAUST M.Y. 09-10 HEADERS KIT MOTO GUZZI V7 CAFÈ RACER-CAFÈ CLASSIC STEEL VERSION ZG075SCR</v>
      </c>
      <c r="G936" t="str">
        <f t="shared" si="269"/>
        <v/>
      </c>
      <c r="H936" t="str">
        <f t="shared" si="281"/>
        <v/>
      </c>
      <c r="I936" t="str">
        <f t="shared" si="282"/>
        <v/>
      </c>
      <c r="J936" t="str">
        <f t="shared" si="283"/>
        <v/>
      </c>
      <c r="K936" t="str">
        <f t="shared" si="284"/>
        <v/>
      </c>
      <c r="L936" t="str">
        <f t="shared" si="270"/>
        <v>Option</v>
      </c>
      <c r="M936" t="str">
        <f t="shared" si="271"/>
        <v>BLACK COATING</v>
      </c>
      <c r="R936" t="str">
        <f t="shared" si="272"/>
        <v>ZG075SCR</v>
      </c>
      <c r="S936">
        <f t="shared" si="273"/>
        <v>0</v>
      </c>
      <c r="U936" t="str">
        <f t="shared" si="274"/>
        <v>continue</v>
      </c>
      <c r="V936" t="str">
        <f t="shared" si="275"/>
        <v>manual</v>
      </c>
      <c r="W936" s="5">
        <f t="shared" si="276"/>
        <v>709.94490000000008</v>
      </c>
      <c r="Y936" t="b">
        <f t="shared" si="277"/>
        <v>1</v>
      </c>
      <c r="Z936" t="b">
        <f t="shared" si="278"/>
        <v>0</v>
      </c>
      <c r="AB936" t="str">
        <f t="shared" si="279"/>
        <v/>
      </c>
      <c r="AE936" t="b">
        <v>0</v>
      </c>
    </row>
    <row r="937" spans="1:31" x14ac:dyDescent="0.2">
      <c r="A937" t="str">
        <f t="shared" si="266"/>
        <v>https://shop.officineitalianezard.it/en/headers-kit-moto-guzzi-v7-zard/</v>
      </c>
      <c r="B937" t="b">
        <f>COUNTIF($A$2:$A937, A937)&gt;1</f>
        <v>1</v>
      </c>
      <c r="C937" t="b">
        <f t="shared" si="267"/>
        <v>1</v>
      </c>
      <c r="D937">
        <f>VLOOKUP(A937,variant_counts!A:B, 2, FALSE)</f>
        <v>2</v>
      </c>
      <c r="E937" t="str">
        <f t="shared" si="280"/>
        <v>zard-exhaust-my-09-10-headers-kit-moto-guzzi-v7-caf-racer-caf-classic-steel-version-zg075scr</v>
      </c>
      <c r="F937" t="str">
        <f t="shared" si="268"/>
        <v>ZARD EXHAUST M.Y. 09-10 HEADERS KIT MOTO GUZZI V7 CAFÈ RACER-CAFÈ CLASSIC STEEL VERSION ZG075SCR</v>
      </c>
      <c r="G937" t="str">
        <f t="shared" si="269"/>
        <v/>
      </c>
      <c r="H937" t="str">
        <f t="shared" si="281"/>
        <v/>
      </c>
      <c r="I937" t="str">
        <f t="shared" si="282"/>
        <v/>
      </c>
      <c r="J937" t="str">
        <f t="shared" si="283"/>
        <v/>
      </c>
      <c r="K937" t="str">
        <f t="shared" si="284"/>
        <v/>
      </c>
      <c r="L937" t="str">
        <f t="shared" si="270"/>
        <v>Option</v>
      </c>
      <c r="M937" t="str">
        <f t="shared" si="271"/>
        <v>MIRROR POLISHED</v>
      </c>
      <c r="R937" t="str">
        <f t="shared" si="272"/>
        <v>ZG075SCR</v>
      </c>
      <c r="S937">
        <f t="shared" si="273"/>
        <v>0</v>
      </c>
      <c r="U937" t="str">
        <f t="shared" si="274"/>
        <v>continue</v>
      </c>
      <c r="V937" t="str">
        <f t="shared" si="275"/>
        <v>manual</v>
      </c>
      <c r="W937" s="5">
        <f t="shared" si="276"/>
        <v>630.51330000000007</v>
      </c>
      <c r="Y937" t="b">
        <f t="shared" si="277"/>
        <v>1</v>
      </c>
      <c r="Z937" t="b">
        <f t="shared" si="278"/>
        <v>0</v>
      </c>
      <c r="AB937" t="str">
        <f t="shared" si="279"/>
        <v/>
      </c>
      <c r="AE937" t="b">
        <v>0</v>
      </c>
    </row>
    <row r="938" spans="1:31" x14ac:dyDescent="0.2">
      <c r="A938" t="str">
        <f t="shared" si="266"/>
        <v>https://shop.officineitalianezard.it/en/moto-guzzi-v7-exhaust-zard/</v>
      </c>
      <c r="B938" t="b">
        <f>COUNTIF($A$2:$A938, A938)&gt;1</f>
        <v>0</v>
      </c>
      <c r="C938" t="b">
        <f t="shared" si="267"/>
        <v>0</v>
      </c>
      <c r="D938">
        <f>VLOOKUP(A938,variant_counts!A:B, 2, FALSE)</f>
        <v>3</v>
      </c>
      <c r="E938" t="str">
        <f t="shared" si="280"/>
        <v>zard-exhaust-my-09-12-silencers-moto-guzzi-v7-caf-racer-caf-classic-conical-version-zg075ssr</v>
      </c>
      <c r="F938" t="str">
        <f t="shared" si="268"/>
        <v>ZARD EXHAUST M.Y. 09-12 SILENCERS MOTO GUZZI V7 CAFÈ RACER-CAFÈ CLASSIC CONICAL VERSION ZG075SSR</v>
      </c>
      <c r="G938" t="str">
        <f t="shared" si="269"/>
        <v>&lt;p&gt;&lt;strong&gt;SILENCERS CAN BE FITTED ON V7 II RACER VERSION&lt;/strong&gt;&lt;/p&gt;
&lt;p&gt;N.2 STEEL SILENCERS RACING WITH REMOVABLE DB KILLER&lt;/p&gt;
&lt;p&gt;ORIGINAL EXHAUST WEIGHT: KG 7.2&lt;br&gt;ZARD SILENCER WEIGHT: KG 4.2&lt;/p&gt;
&lt;p&gt;HARD INCREASE, COMPARED TO THE ORIGINAL EXHAUST SYSTEM, IN TERMS OF TORQUE AND POWER AT ANY RANGE (+2 HP).&lt;/p&gt;
&lt;p&gt;ASTONISHING SOUND.&lt;/p&gt;</v>
      </c>
      <c r="H938" t="str">
        <f t="shared" si="281"/>
        <v>ZARD</v>
      </c>
      <c r="I938" t="str">
        <f t="shared" si="282"/>
        <v>Exhaust Pipe</v>
      </c>
      <c r="J938" t="str">
        <f t="shared" si="283"/>
        <v>Test</v>
      </c>
      <c r="K938" t="b">
        <f t="shared" si="284"/>
        <v>0</v>
      </c>
      <c r="L938" t="str">
        <f t="shared" si="270"/>
        <v/>
      </c>
      <c r="M938" t="str">
        <f t="shared" si="271"/>
        <v/>
      </c>
      <c r="R938" t="str">
        <f t="shared" si="272"/>
        <v/>
      </c>
      <c r="S938" t="str">
        <f t="shared" si="273"/>
        <v/>
      </c>
      <c r="U938" t="str">
        <f t="shared" si="274"/>
        <v/>
      </c>
      <c r="V938" t="str">
        <f t="shared" si="275"/>
        <v/>
      </c>
      <c r="W938" s="5" t="str">
        <f t="shared" si="276"/>
        <v/>
      </c>
      <c r="Y938" t="str">
        <f t="shared" si="277"/>
        <v/>
      </c>
      <c r="Z938" t="str">
        <f t="shared" si="278"/>
        <v/>
      </c>
      <c r="AB938" t="str">
        <f t="shared" si="279"/>
        <v>https://shop.officineitalianezard.it/contents/imgs/products/1_574-scarico%20moto%20guzzi%20zard%201.jpg</v>
      </c>
      <c r="AE938" t="b">
        <v>0</v>
      </c>
    </row>
    <row r="939" spans="1:31" x14ac:dyDescent="0.2">
      <c r="A939" t="str">
        <f t="shared" si="266"/>
        <v>https://shop.officineitalianezard.it/en/moto-guzzi-v7-exhaust-zard/</v>
      </c>
      <c r="B939" t="b">
        <f>COUNTIF($A$2:$A939, A939)&gt;1</f>
        <v>1</v>
      </c>
      <c r="C939" t="b">
        <f t="shared" si="267"/>
        <v>0</v>
      </c>
      <c r="D939">
        <f>VLOOKUP(A939,variant_counts!A:B, 2, FALSE)</f>
        <v>3</v>
      </c>
      <c r="E939" t="str">
        <f t="shared" si="280"/>
        <v>zard-exhaust-my-09-12-silencers-moto-guzzi-v7-caf-racer-caf-classic-conical-version-zg075ssr</v>
      </c>
      <c r="F939" t="str">
        <f t="shared" si="268"/>
        <v>ZARD EXHAUST M.Y. 09-12 SILENCERS MOTO GUZZI V7 CAFÈ RACER-CAFÈ CLASSIC CONICAL VERSION ZG075SSR</v>
      </c>
      <c r="G939" t="str">
        <f t="shared" si="269"/>
        <v/>
      </c>
      <c r="H939" t="str">
        <f t="shared" si="281"/>
        <v/>
      </c>
      <c r="I939" t="str">
        <f t="shared" si="282"/>
        <v/>
      </c>
      <c r="J939" t="str">
        <f t="shared" si="283"/>
        <v/>
      </c>
      <c r="K939" t="str">
        <f t="shared" si="284"/>
        <v/>
      </c>
      <c r="L939" t="str">
        <f t="shared" si="270"/>
        <v/>
      </c>
      <c r="M939" t="str">
        <f t="shared" si="271"/>
        <v/>
      </c>
      <c r="R939" t="str">
        <f t="shared" si="272"/>
        <v/>
      </c>
      <c r="S939" t="str">
        <f t="shared" si="273"/>
        <v/>
      </c>
      <c r="U939" t="str">
        <f t="shared" si="274"/>
        <v/>
      </c>
      <c r="V939" t="str">
        <f t="shared" si="275"/>
        <v/>
      </c>
      <c r="W939" s="5" t="str">
        <f t="shared" si="276"/>
        <v/>
      </c>
      <c r="Y939" t="str">
        <f t="shared" si="277"/>
        <v/>
      </c>
      <c r="Z939" t="str">
        <f t="shared" si="278"/>
        <v/>
      </c>
      <c r="AB939" t="str">
        <f t="shared" si="279"/>
        <v>https://shop.officineitalianezard.it/contents/imgs/products/1_566-scarico%20moto%20guzzi%20zard%203.jpg</v>
      </c>
      <c r="AE939" t="b">
        <v>0</v>
      </c>
    </row>
    <row r="940" spans="1:31" x14ac:dyDescent="0.2">
      <c r="A940" t="str">
        <f t="shared" si="266"/>
        <v>https://shop.officineitalianezard.it/en/moto-guzzi-v7-exhaust-zard/</v>
      </c>
      <c r="B940" t="b">
        <f>COUNTIF($A$2:$A940, A940)&gt;1</f>
        <v>1</v>
      </c>
      <c r="C940" t="b">
        <f t="shared" si="267"/>
        <v>0</v>
      </c>
      <c r="D940">
        <f>VLOOKUP(A940,variant_counts!A:B, 2, FALSE)</f>
        <v>3</v>
      </c>
      <c r="E940" t="str">
        <f t="shared" si="280"/>
        <v>zard-exhaust-my-09-12-silencers-moto-guzzi-v7-caf-racer-caf-classic-conical-version-zg075ssr</v>
      </c>
      <c r="F940" t="str">
        <f t="shared" si="268"/>
        <v>ZARD EXHAUST M.Y. 09-12 SILENCERS MOTO GUZZI V7 CAFÈ RACER-CAFÈ CLASSIC CONICAL VERSION ZG075SSR</v>
      </c>
      <c r="G940" t="str">
        <f t="shared" si="269"/>
        <v/>
      </c>
      <c r="H940" t="str">
        <f t="shared" si="281"/>
        <v/>
      </c>
      <c r="I940" t="str">
        <f t="shared" si="282"/>
        <v/>
      </c>
      <c r="J940" t="str">
        <f t="shared" si="283"/>
        <v/>
      </c>
      <c r="K940" t="str">
        <f t="shared" si="284"/>
        <v/>
      </c>
      <c r="L940" t="str">
        <f t="shared" si="270"/>
        <v/>
      </c>
      <c r="M940" t="str">
        <f t="shared" si="271"/>
        <v/>
      </c>
      <c r="R940" t="str">
        <f t="shared" si="272"/>
        <v/>
      </c>
      <c r="S940" t="str">
        <f t="shared" si="273"/>
        <v/>
      </c>
      <c r="U940" t="str">
        <f t="shared" si="274"/>
        <v/>
      </c>
      <c r="V940" t="str">
        <f t="shared" si="275"/>
        <v/>
      </c>
      <c r="W940" s="5" t="str">
        <f t="shared" si="276"/>
        <v/>
      </c>
      <c r="Y940" t="str">
        <f t="shared" si="277"/>
        <v/>
      </c>
      <c r="Z940" t="str">
        <f t="shared" si="278"/>
        <v/>
      </c>
      <c r="AB940" t="str">
        <f t="shared" si="279"/>
        <v>https://shop.officineitalianezard.it/contents/imgs/products/1_564-scarico%20moto%20guzzi%20zard%202.jpg</v>
      </c>
      <c r="AE940" t="b">
        <v>0</v>
      </c>
    </row>
    <row r="941" spans="1:31" x14ac:dyDescent="0.2">
      <c r="A941" t="str">
        <f t="shared" si="266"/>
        <v>https://shop.officineitalianezard.it/en/moto-guzzi-v7-exhaust-zard/</v>
      </c>
      <c r="B941" t="b">
        <f>COUNTIF($A$2:$A941, A941)&gt;1</f>
        <v>1</v>
      </c>
      <c r="C941" t="b">
        <f t="shared" si="267"/>
        <v>0</v>
      </c>
      <c r="D941">
        <f>VLOOKUP(A941,variant_counts!A:B, 2, FALSE)</f>
        <v>3</v>
      </c>
      <c r="E941" t="str">
        <f t="shared" si="280"/>
        <v>zard-exhaust-my-09-12-silencers-moto-guzzi-v7-caf-racer-caf-classic-conical-version-zg075ssr</v>
      </c>
      <c r="F941" t="str">
        <f t="shared" si="268"/>
        <v>ZARD EXHAUST M.Y. 09-12 SILENCERS MOTO GUZZI V7 CAFÈ RACER-CAFÈ CLASSIC CONICAL VERSION ZG075SSR</v>
      </c>
      <c r="G941" t="str">
        <f t="shared" si="269"/>
        <v/>
      </c>
      <c r="H941" t="str">
        <f t="shared" si="281"/>
        <v/>
      </c>
      <c r="I941" t="str">
        <f t="shared" si="282"/>
        <v/>
      </c>
      <c r="J941" t="str">
        <f t="shared" si="283"/>
        <v/>
      </c>
      <c r="K941" t="str">
        <f t="shared" si="284"/>
        <v/>
      </c>
      <c r="L941" t="str">
        <f t="shared" si="270"/>
        <v/>
      </c>
      <c r="M941" t="str">
        <f t="shared" si="271"/>
        <v/>
      </c>
      <c r="R941" t="str">
        <f t="shared" si="272"/>
        <v/>
      </c>
      <c r="S941" t="str">
        <f t="shared" si="273"/>
        <v/>
      </c>
      <c r="U941" t="str">
        <f t="shared" si="274"/>
        <v/>
      </c>
      <c r="V941" t="str">
        <f t="shared" si="275"/>
        <v/>
      </c>
      <c r="W941" s="5" t="str">
        <f t="shared" si="276"/>
        <v/>
      </c>
      <c r="Y941" t="str">
        <f t="shared" si="277"/>
        <v/>
      </c>
      <c r="Z941" t="str">
        <f t="shared" si="278"/>
        <v/>
      </c>
      <c r="AB941" t="str">
        <f t="shared" si="279"/>
        <v>https://shop.officineitalianezard.it/contents/imgs/products/1_568-scarico%20moto%20guzzi%20zard%202.jpg</v>
      </c>
      <c r="AE941" t="b">
        <v>0</v>
      </c>
    </row>
    <row r="942" spans="1:31" x14ac:dyDescent="0.2">
      <c r="A942" t="str">
        <f t="shared" si="266"/>
        <v>https://shop.officineitalianezard.it/en/moto-guzzi-v7-exhaust-zard/</v>
      </c>
      <c r="B942" t="b">
        <f>COUNTIF($A$2:$A942, A942)&gt;1</f>
        <v>1</v>
      </c>
      <c r="C942" t="b">
        <f t="shared" si="267"/>
        <v>0</v>
      </c>
      <c r="D942">
        <f>VLOOKUP(A942,variant_counts!A:B, 2, FALSE)</f>
        <v>3</v>
      </c>
      <c r="E942" t="str">
        <f t="shared" si="280"/>
        <v>zard-exhaust-my-09-12-silencers-moto-guzzi-v7-caf-racer-caf-classic-conical-version-zg075ssr</v>
      </c>
      <c r="F942" t="str">
        <f t="shared" si="268"/>
        <v>ZARD EXHAUST M.Y. 09-12 SILENCERS MOTO GUZZI V7 CAFÈ RACER-CAFÈ CLASSIC CONICAL VERSION ZG075SSR</v>
      </c>
      <c r="G942" t="str">
        <f t="shared" si="269"/>
        <v/>
      </c>
      <c r="H942" t="str">
        <f t="shared" si="281"/>
        <v/>
      </c>
      <c r="I942" t="str">
        <f t="shared" si="282"/>
        <v/>
      </c>
      <c r="J942" t="str">
        <f t="shared" si="283"/>
        <v/>
      </c>
      <c r="K942" t="str">
        <f t="shared" si="284"/>
        <v/>
      </c>
      <c r="L942" t="str">
        <f t="shared" si="270"/>
        <v/>
      </c>
      <c r="M942" t="str">
        <f t="shared" si="271"/>
        <v/>
      </c>
      <c r="R942" t="str">
        <f t="shared" si="272"/>
        <v/>
      </c>
      <c r="S942" t="str">
        <f t="shared" si="273"/>
        <v/>
      </c>
      <c r="U942" t="str">
        <f t="shared" si="274"/>
        <v/>
      </c>
      <c r="V942" t="str">
        <f t="shared" si="275"/>
        <v/>
      </c>
      <c r="W942" s="5" t="str">
        <f t="shared" si="276"/>
        <v/>
      </c>
      <c r="Y942" t="str">
        <f t="shared" si="277"/>
        <v/>
      </c>
      <c r="Z942" t="str">
        <f t="shared" si="278"/>
        <v/>
      </c>
      <c r="AB942" t="str">
        <f t="shared" si="279"/>
        <v>https://shop.officineitalianezard.it/contents/imgs/products/1_693-moto%20guzzi%20v7%20scarico%20zard.jpg</v>
      </c>
      <c r="AE942" t="b">
        <v>0</v>
      </c>
    </row>
    <row r="943" spans="1:31" x14ac:dyDescent="0.2">
      <c r="A943" t="str">
        <f t="shared" si="266"/>
        <v>https://shop.officineitalianezard.it/en/moto-guzzi-v7-exhaust-zard/</v>
      </c>
      <c r="B943" t="b">
        <f>COUNTIF($A$2:$A943, A943)&gt;1</f>
        <v>1</v>
      </c>
      <c r="C943" t="b">
        <f t="shared" si="267"/>
        <v>1</v>
      </c>
      <c r="D943">
        <f>VLOOKUP(A943,variant_counts!A:B, 2, FALSE)</f>
        <v>3</v>
      </c>
      <c r="E943" t="str">
        <f t="shared" si="280"/>
        <v>zard-exhaust-my-09-12-silencers-moto-guzzi-v7-caf-racer-caf-classic-conical-version-zg075ssr</v>
      </c>
      <c r="F943" t="str">
        <f t="shared" si="268"/>
        <v>ZARD EXHAUST M.Y. 09-12 SILENCERS MOTO GUZZI V7 CAFÈ RACER-CAFÈ CLASSIC CONICAL VERSION ZG075SSR</v>
      </c>
      <c r="G943" t="str">
        <f t="shared" si="269"/>
        <v/>
      </c>
      <c r="H943" t="str">
        <f t="shared" si="281"/>
        <v/>
      </c>
      <c r="I943" t="str">
        <f t="shared" si="282"/>
        <v/>
      </c>
      <c r="J943" t="str">
        <f t="shared" si="283"/>
        <v/>
      </c>
      <c r="K943" t="str">
        <f t="shared" si="284"/>
        <v/>
      </c>
      <c r="L943" t="str">
        <f t="shared" si="270"/>
        <v>Option</v>
      </c>
      <c r="M943" t="str">
        <f t="shared" si="271"/>
        <v>EURO 3 HOMOLOGATED</v>
      </c>
      <c r="R943" t="str">
        <f t="shared" si="272"/>
        <v>ZG075SSR</v>
      </c>
      <c r="S943">
        <f t="shared" si="273"/>
        <v>0</v>
      </c>
      <c r="U943" t="str">
        <f t="shared" si="274"/>
        <v>continue</v>
      </c>
      <c r="V943" t="str">
        <f t="shared" si="275"/>
        <v>manual</v>
      </c>
      <c r="W943" s="5">
        <f t="shared" si="276"/>
        <v>684.65909999999997</v>
      </c>
      <c r="Y943" t="b">
        <f t="shared" si="277"/>
        <v>1</v>
      </c>
      <c r="Z943" t="b">
        <f t="shared" si="278"/>
        <v>0</v>
      </c>
      <c r="AB943" t="str">
        <f t="shared" si="279"/>
        <v/>
      </c>
      <c r="AE943" t="b">
        <v>0</v>
      </c>
    </row>
    <row r="944" spans="1:31" x14ac:dyDescent="0.2">
      <c r="A944" t="str">
        <f t="shared" si="266"/>
        <v>https://shop.officineitalianezard.it/en/moto-guzzi-v7-exhaust-zard/</v>
      </c>
      <c r="B944" t="b">
        <f>COUNTIF($A$2:$A944, A944)&gt;1</f>
        <v>1</v>
      </c>
      <c r="C944" t="b">
        <f t="shared" si="267"/>
        <v>1</v>
      </c>
      <c r="D944">
        <f>VLOOKUP(A944,variant_counts!A:B, 2, FALSE)</f>
        <v>3</v>
      </c>
      <c r="E944" t="str">
        <f t="shared" si="280"/>
        <v>zard-exhaust-my-09-12-silencers-moto-guzzi-v7-caf-racer-caf-classic-conical-version-zg075ssr</v>
      </c>
      <c r="F944" t="str">
        <f t="shared" si="268"/>
        <v>ZARD EXHAUST M.Y. 09-12 SILENCERS MOTO GUZZI V7 CAFÈ RACER-CAFÈ CLASSIC CONICAL VERSION ZG075SSR</v>
      </c>
      <c r="G944" t="str">
        <f t="shared" si="269"/>
        <v/>
      </c>
      <c r="H944" t="str">
        <f t="shared" si="281"/>
        <v/>
      </c>
      <c r="I944" t="str">
        <f t="shared" si="282"/>
        <v/>
      </c>
      <c r="J944" t="str">
        <f t="shared" si="283"/>
        <v/>
      </c>
      <c r="K944" t="str">
        <f t="shared" si="284"/>
        <v/>
      </c>
      <c r="L944" t="str">
        <f t="shared" si="270"/>
        <v>Option</v>
      </c>
      <c r="M944" t="str">
        <f t="shared" si="271"/>
        <v>BLACK COATING</v>
      </c>
      <c r="R944" t="str">
        <f t="shared" si="272"/>
        <v>ZG075SSR</v>
      </c>
      <c r="S944">
        <f t="shared" si="273"/>
        <v>0</v>
      </c>
      <c r="U944" t="str">
        <f t="shared" si="274"/>
        <v>continue</v>
      </c>
      <c r="V944" t="str">
        <f t="shared" si="275"/>
        <v>manual</v>
      </c>
      <c r="W944" s="5">
        <f t="shared" si="276"/>
        <v>721.50000000000011</v>
      </c>
      <c r="Y944" t="b">
        <f t="shared" si="277"/>
        <v>1</v>
      </c>
      <c r="Z944" t="b">
        <f t="shared" si="278"/>
        <v>0</v>
      </c>
      <c r="AB944" t="str">
        <f t="shared" si="279"/>
        <v/>
      </c>
      <c r="AE944" t="b">
        <v>0</v>
      </c>
    </row>
    <row r="945" spans="1:31" x14ac:dyDescent="0.2">
      <c r="A945" t="str">
        <f t="shared" si="266"/>
        <v>https://shop.officineitalianezard.it/en/moto-guzzi-v7-exhaust-zard/</v>
      </c>
      <c r="B945" t="b">
        <f>COUNTIF($A$2:$A945, A945)&gt;1</f>
        <v>1</v>
      </c>
      <c r="C945" t="b">
        <f t="shared" si="267"/>
        <v>1</v>
      </c>
      <c r="D945">
        <f>VLOOKUP(A945,variant_counts!A:B, 2, FALSE)</f>
        <v>3</v>
      </c>
      <c r="E945" t="str">
        <f t="shared" si="280"/>
        <v>zard-exhaust-my-09-12-silencers-moto-guzzi-v7-caf-racer-caf-classic-conical-version-zg075ssr</v>
      </c>
      <c r="F945" t="str">
        <f t="shared" si="268"/>
        <v>ZARD EXHAUST M.Y. 09-12 SILENCERS MOTO GUZZI V7 CAFÈ RACER-CAFÈ CLASSIC CONICAL VERSION ZG075SSR</v>
      </c>
      <c r="G945" t="str">
        <f t="shared" si="269"/>
        <v/>
      </c>
      <c r="H945" t="str">
        <f t="shared" si="281"/>
        <v/>
      </c>
      <c r="I945" t="str">
        <f t="shared" si="282"/>
        <v/>
      </c>
      <c r="J945" t="str">
        <f t="shared" si="283"/>
        <v/>
      </c>
      <c r="K945" t="str">
        <f t="shared" si="284"/>
        <v/>
      </c>
      <c r="L945" t="str">
        <f t="shared" si="270"/>
        <v>Option</v>
      </c>
      <c r="M945" t="str">
        <f t="shared" si="271"/>
        <v>MIRROR POLISHED</v>
      </c>
      <c r="R945" t="str">
        <f t="shared" si="272"/>
        <v>ZG075SSR</v>
      </c>
      <c r="S945">
        <f t="shared" si="273"/>
        <v>0</v>
      </c>
      <c r="U945" t="str">
        <f t="shared" si="274"/>
        <v>continue</v>
      </c>
      <c r="V945" t="str">
        <f t="shared" si="275"/>
        <v>manual</v>
      </c>
      <c r="W945" s="5">
        <f t="shared" si="276"/>
        <v>590.48670000000004</v>
      </c>
      <c r="Y945" t="b">
        <f t="shared" si="277"/>
        <v>1</v>
      </c>
      <c r="Z945" t="b">
        <f t="shared" si="278"/>
        <v>0</v>
      </c>
      <c r="AB945" t="str">
        <f t="shared" si="279"/>
        <v/>
      </c>
      <c r="AE945" t="b">
        <v>0</v>
      </c>
    </row>
    <row r="946" spans="1:31" x14ac:dyDescent="0.2">
      <c r="A946" t="str">
        <f t="shared" si="266"/>
        <v>https://shop.officineitalianezard.it/en/moto-guzzi-v7-ii-racer-exhaust-zard/</v>
      </c>
      <c r="B946" t="b">
        <f>COUNTIF($A$2:$A946, A946)&gt;1</f>
        <v>0</v>
      </c>
      <c r="C946" t="b">
        <f t="shared" si="267"/>
        <v>0</v>
      </c>
      <c r="D946">
        <f>VLOOKUP(A946,variant_counts!A:B, 2, FALSE)</f>
        <v>1</v>
      </c>
      <c r="E946" t="str">
        <f t="shared" si="280"/>
        <v>zard-exhaust-n-2-silencers-moto-guzzi-v7-ii-racer-steel-version-zg079ssr</v>
      </c>
      <c r="F946" t="str">
        <f t="shared" si="268"/>
        <v>ZARD EXHAUST N. 2 SILENCERS MOTO GUZZI V7 II RACER STEEL VERSION ZG079SSR</v>
      </c>
      <c r="G946" t="str">
        <f t="shared" si="269"/>
        <v>&lt;p&gt;N.2 STEEL RACING SILENCERS WITH REMOVABLE DB KILLER.&lt;/p&gt;
&lt;p&gt;ORIGINAL SILENCERS WEIGHT: 7.7 KG&lt;br&gt;ZARD SILENCERS WEIGHT: 2.8 KG&lt;/p&gt;
&lt;p&gt;ASTONISHING SOUND,&amp;nbsp;EXCLUSIVE DESIGN.&lt;/p&gt;
&lt;p&gt;FITTING KIT INCLUDED.&lt;/p&gt;</v>
      </c>
      <c r="H946" t="str">
        <f t="shared" si="281"/>
        <v>ZARD</v>
      </c>
      <c r="I946" t="str">
        <f t="shared" si="282"/>
        <v>Exhaust Pipe</v>
      </c>
      <c r="J946" t="str">
        <f t="shared" si="283"/>
        <v>Test</v>
      </c>
      <c r="K946" t="b">
        <f t="shared" si="284"/>
        <v>0</v>
      </c>
      <c r="L946" t="str">
        <f t="shared" si="270"/>
        <v>Option</v>
      </c>
      <c r="M946" t="str">
        <f t="shared" si="271"/>
        <v>DEFAULT</v>
      </c>
      <c r="R946" t="str">
        <f t="shared" si="272"/>
        <v>ZG079SSR</v>
      </c>
      <c r="S946">
        <f t="shared" si="273"/>
        <v>0</v>
      </c>
      <c r="U946" t="str">
        <f t="shared" si="274"/>
        <v>continue</v>
      </c>
      <c r="V946" t="str">
        <f t="shared" si="275"/>
        <v>manual</v>
      </c>
      <c r="W946" s="5">
        <f t="shared" si="276"/>
        <v>579.5643</v>
      </c>
      <c r="Y946" t="b">
        <f t="shared" si="277"/>
        <v>1</v>
      </c>
      <c r="Z946" t="b">
        <f t="shared" si="278"/>
        <v>0</v>
      </c>
      <c r="AB946" t="str">
        <f t="shared" si="279"/>
        <v>https://shop.officineitalianezard.it/contents/imgs/products/1_1491-1.jpg</v>
      </c>
      <c r="AE946" t="b">
        <v>0</v>
      </c>
    </row>
    <row r="947" spans="1:31" x14ac:dyDescent="0.2">
      <c r="A947" t="str">
        <f t="shared" si="266"/>
        <v>https://shop.officineitalianezard.it/en/moto-guzzi-v7-ii-racer-exhaust-zard/</v>
      </c>
      <c r="B947" t="b">
        <f>COUNTIF($A$2:$A947, A947)&gt;1</f>
        <v>1</v>
      </c>
      <c r="C947" t="b">
        <f t="shared" si="267"/>
        <v>0</v>
      </c>
      <c r="D947">
        <f>VLOOKUP(A947,variant_counts!A:B, 2, FALSE)</f>
        <v>1</v>
      </c>
      <c r="E947" t="str">
        <f t="shared" si="280"/>
        <v>zard-exhaust-n-2-silencers-moto-guzzi-v7-ii-racer-steel-version-zg079ssr</v>
      </c>
      <c r="F947" t="str">
        <f t="shared" si="268"/>
        <v>ZARD EXHAUST N. 2 SILENCERS MOTO GUZZI V7 II RACER STEEL VERSION ZG079SSR</v>
      </c>
      <c r="G947" t="str">
        <f t="shared" si="269"/>
        <v/>
      </c>
      <c r="H947" t="str">
        <f t="shared" si="281"/>
        <v/>
      </c>
      <c r="I947" t="str">
        <f t="shared" si="282"/>
        <v/>
      </c>
      <c r="J947" t="str">
        <f t="shared" si="283"/>
        <v/>
      </c>
      <c r="K947" t="str">
        <f t="shared" si="284"/>
        <v/>
      </c>
      <c r="L947" t="str">
        <f t="shared" si="270"/>
        <v/>
      </c>
      <c r="M947" t="str">
        <f t="shared" si="271"/>
        <v/>
      </c>
      <c r="R947" t="str">
        <f t="shared" si="272"/>
        <v/>
      </c>
      <c r="S947" t="str">
        <f t="shared" si="273"/>
        <v/>
      </c>
      <c r="U947" t="str">
        <f t="shared" si="274"/>
        <v/>
      </c>
      <c r="V947" t="str">
        <f t="shared" si="275"/>
        <v/>
      </c>
      <c r="W947" s="5" t="str">
        <f t="shared" si="276"/>
        <v/>
      </c>
      <c r="Y947" t="str">
        <f t="shared" si="277"/>
        <v/>
      </c>
      <c r="Z947" t="str">
        <f t="shared" si="278"/>
        <v/>
      </c>
      <c r="AB947" t="str">
        <f t="shared" si="279"/>
        <v>https://shop.officineitalianezard.it/contents/imgs/products/1_1492-2.jpg</v>
      </c>
      <c r="AE947" t="b">
        <v>0</v>
      </c>
    </row>
    <row r="948" spans="1:31" x14ac:dyDescent="0.2">
      <c r="A948" t="str">
        <f t="shared" si="266"/>
        <v>https://shop.officineitalianezard.it/en/moto-guzzi-v7-ii-racer-exhaust-zard/</v>
      </c>
      <c r="B948" t="b">
        <f>COUNTIF($A$2:$A948, A948)&gt;1</f>
        <v>1</v>
      </c>
      <c r="C948" t="b">
        <f t="shared" si="267"/>
        <v>0</v>
      </c>
      <c r="D948">
        <f>VLOOKUP(A948,variant_counts!A:B, 2, FALSE)</f>
        <v>1</v>
      </c>
      <c r="E948" t="str">
        <f t="shared" si="280"/>
        <v>zard-exhaust-n-2-silencers-moto-guzzi-v7-ii-racer-steel-version-zg079ssr</v>
      </c>
      <c r="F948" t="str">
        <f t="shared" si="268"/>
        <v>ZARD EXHAUST N. 2 SILENCERS MOTO GUZZI V7 II RACER STEEL VERSION ZG079SSR</v>
      </c>
      <c r="G948" t="str">
        <f t="shared" si="269"/>
        <v/>
      </c>
      <c r="H948" t="str">
        <f t="shared" si="281"/>
        <v/>
      </c>
      <c r="I948" t="str">
        <f t="shared" si="282"/>
        <v/>
      </c>
      <c r="J948" t="str">
        <f t="shared" si="283"/>
        <v/>
      </c>
      <c r="K948" t="str">
        <f t="shared" si="284"/>
        <v/>
      </c>
      <c r="L948" t="str">
        <f t="shared" si="270"/>
        <v/>
      </c>
      <c r="M948" t="str">
        <f t="shared" si="271"/>
        <v/>
      </c>
      <c r="R948" t="str">
        <f t="shared" si="272"/>
        <v/>
      </c>
      <c r="S948" t="str">
        <f t="shared" si="273"/>
        <v/>
      </c>
      <c r="U948" t="str">
        <f t="shared" si="274"/>
        <v/>
      </c>
      <c r="V948" t="str">
        <f t="shared" si="275"/>
        <v/>
      </c>
      <c r="W948" s="5" t="str">
        <f t="shared" si="276"/>
        <v/>
      </c>
      <c r="Y948" t="str">
        <f t="shared" si="277"/>
        <v/>
      </c>
      <c r="Z948" t="str">
        <f t="shared" si="278"/>
        <v/>
      </c>
      <c r="AB948" t="str">
        <f t="shared" si="279"/>
        <v>https://shop.officineitalianezard.it/contents/imgs/products/1_1493-3.jpg</v>
      </c>
      <c r="AE948" t="b">
        <v>0</v>
      </c>
    </row>
    <row r="949" spans="1:31" x14ac:dyDescent="0.2">
      <c r="A949" t="str">
        <f t="shared" si="266"/>
        <v>https://shop.officineitalianezard.it/en/moto-guzzi-v7-ii-racer-exhaust-zard/</v>
      </c>
      <c r="B949" t="b">
        <f>COUNTIF($A$2:$A949, A949)&gt;1</f>
        <v>1</v>
      </c>
      <c r="C949" t="b">
        <f t="shared" si="267"/>
        <v>0</v>
      </c>
      <c r="D949">
        <f>VLOOKUP(A949,variant_counts!A:B, 2, FALSE)</f>
        <v>1</v>
      </c>
      <c r="E949" t="str">
        <f t="shared" si="280"/>
        <v>zard-exhaust-n-2-silencers-moto-guzzi-v7-ii-racer-steel-version-zg079ssr</v>
      </c>
      <c r="F949" t="str">
        <f t="shared" si="268"/>
        <v>ZARD EXHAUST N. 2 SILENCERS MOTO GUZZI V7 II RACER STEEL VERSION ZG079SSR</v>
      </c>
      <c r="G949" t="str">
        <f t="shared" si="269"/>
        <v/>
      </c>
      <c r="H949" t="str">
        <f t="shared" si="281"/>
        <v/>
      </c>
      <c r="I949" t="str">
        <f t="shared" si="282"/>
        <v/>
      </c>
      <c r="J949" t="str">
        <f t="shared" si="283"/>
        <v/>
      </c>
      <c r="K949" t="str">
        <f t="shared" si="284"/>
        <v/>
      </c>
      <c r="L949" t="str">
        <f t="shared" si="270"/>
        <v/>
      </c>
      <c r="M949" t="str">
        <f t="shared" si="271"/>
        <v/>
      </c>
      <c r="R949" t="str">
        <f t="shared" si="272"/>
        <v/>
      </c>
      <c r="S949" t="str">
        <f t="shared" si="273"/>
        <v/>
      </c>
      <c r="U949" t="str">
        <f t="shared" si="274"/>
        <v/>
      </c>
      <c r="V949" t="str">
        <f t="shared" si="275"/>
        <v/>
      </c>
      <c r="W949" s="5" t="str">
        <f t="shared" si="276"/>
        <v/>
      </c>
      <c r="Y949" t="str">
        <f t="shared" si="277"/>
        <v/>
      </c>
      <c r="Z949" t="str">
        <f t="shared" si="278"/>
        <v/>
      </c>
      <c r="AB949" t="str">
        <f t="shared" si="279"/>
        <v>https://shop.officineitalianezard.it/contents/imgs/products/1_1494-4.jpg</v>
      </c>
      <c r="AE949" t="b">
        <v>0</v>
      </c>
    </row>
    <row r="950" spans="1:31" x14ac:dyDescent="0.2">
      <c r="A950" t="str">
        <f t="shared" si="266"/>
        <v>https://shop.officineitalianezard.it/en/moto-guzzi-v7-ii-racer-exhaust-zard/</v>
      </c>
      <c r="B950" t="b">
        <f>COUNTIF($A$2:$A950, A950)&gt;1</f>
        <v>1</v>
      </c>
      <c r="C950" t="b">
        <f t="shared" si="267"/>
        <v>1</v>
      </c>
      <c r="D950">
        <f>VLOOKUP(A950,variant_counts!A:B, 2, FALSE)</f>
        <v>1</v>
      </c>
      <c r="E950" t="str">
        <f t="shared" si="280"/>
        <v>zard-exhaust-n-2-silencers-moto-guzzi-v7-ii-racer-steel-version-zg079ssr</v>
      </c>
      <c r="F950" t="str">
        <f t="shared" si="268"/>
        <v>ZARD EXHAUST N. 2 SILENCERS MOTO GUZZI V7 II RACER STEEL VERSION ZG079SSR</v>
      </c>
      <c r="G950" t="str">
        <f t="shared" si="269"/>
        <v/>
      </c>
      <c r="H950" t="str">
        <f t="shared" si="281"/>
        <v/>
      </c>
      <c r="I950" t="str">
        <f t="shared" si="282"/>
        <v/>
      </c>
      <c r="J950" t="str">
        <f t="shared" si="283"/>
        <v/>
      </c>
      <c r="K950" t="str">
        <f t="shared" si="284"/>
        <v/>
      </c>
      <c r="L950" t="str">
        <f t="shared" si="270"/>
        <v>Option</v>
      </c>
      <c r="M950" t="str">
        <f t="shared" si="271"/>
        <v>TITANIUM RACING</v>
      </c>
      <c r="R950" t="str">
        <f t="shared" si="272"/>
        <v>ZG079SSR</v>
      </c>
      <c r="S950">
        <f t="shared" si="273"/>
        <v>0</v>
      </c>
      <c r="U950" t="str">
        <f t="shared" si="274"/>
        <v>continue</v>
      </c>
      <c r="V950" t="str">
        <f t="shared" si="275"/>
        <v>manual</v>
      </c>
      <c r="W950" s="5">
        <f t="shared" si="276"/>
        <v>835.86330000000009</v>
      </c>
      <c r="Y950" t="b">
        <f t="shared" si="277"/>
        <v>1</v>
      </c>
      <c r="Z950" t="b">
        <f t="shared" si="278"/>
        <v>0</v>
      </c>
      <c r="AB950" t="str">
        <f t="shared" si="279"/>
        <v/>
      </c>
      <c r="AE950" t="b">
        <v>0</v>
      </c>
    </row>
    <row r="951" spans="1:31" x14ac:dyDescent="0.2">
      <c r="A951" t="str">
        <f t="shared" si="266"/>
        <v>https://shop.officineitalianezard.it/en/motoguzziv7ii/</v>
      </c>
      <c r="B951" t="b">
        <f>COUNTIF($A$2:$A951, A951)&gt;1</f>
        <v>0</v>
      </c>
      <c r="C951" t="b">
        <f t="shared" si="267"/>
        <v>0</v>
      </c>
      <c r="D951">
        <f>VLOOKUP(A951,variant_counts!A:B, 2, FALSE)</f>
        <v>1</v>
      </c>
      <c r="E951" t="str">
        <f t="shared" si="280"/>
        <v>zard-exhaust-21-full-kit-moto-guzzi-v7-ii-my-2015-regolarita-zg090skr</v>
      </c>
      <c r="F951" t="str">
        <f t="shared" si="268"/>
        <v>ZARD EXHAUST 2&gt;1 FULL KIT MOTO GUZZI V7 II &gt; M.Y. 2015 REGOLARITA' ZG090SKR</v>
      </c>
      <c r="G951" t="str">
        <f t="shared" si="269"/>
        <v>&lt;p&gt;STEEL RACING 2&amp;gt;1 FULL KIT.&lt;/p&gt;
&lt;p&gt;HARD INCREASE, COMPARED TO THE ORIGINAL EXHAUST SYSTEM, IN TERMS OF TORQUE AND POWER AT ANY RANGE.&lt;/p&gt;
&lt;p&gt;ASTONISHING SOUND.&lt;/p&gt;</v>
      </c>
      <c r="H951" t="str">
        <f t="shared" si="281"/>
        <v>ZARD</v>
      </c>
      <c r="I951" t="str">
        <f t="shared" si="282"/>
        <v>Exhaust Pipe</v>
      </c>
      <c r="J951" t="str">
        <f t="shared" si="283"/>
        <v>Test</v>
      </c>
      <c r="K951" t="b">
        <f t="shared" si="284"/>
        <v>0</v>
      </c>
      <c r="L951" t="str">
        <f t="shared" si="270"/>
        <v>Option</v>
      </c>
      <c r="M951" t="str">
        <f t="shared" si="271"/>
        <v>DEFAULT</v>
      </c>
      <c r="R951" t="str">
        <f t="shared" si="272"/>
        <v>ZG090SKR</v>
      </c>
      <c r="S951">
        <f t="shared" si="273"/>
        <v>0</v>
      </c>
      <c r="U951" t="str">
        <f t="shared" si="274"/>
        <v>continue</v>
      </c>
      <c r="V951" t="str">
        <f t="shared" si="275"/>
        <v>manual</v>
      </c>
      <c r="W951" s="5">
        <f t="shared" si="276"/>
        <v>938.94900000000007</v>
      </c>
      <c r="Y951" t="b">
        <f t="shared" si="277"/>
        <v>1</v>
      </c>
      <c r="Z951" t="b">
        <f t="shared" si="278"/>
        <v>0</v>
      </c>
      <c r="AB951" t="str">
        <f t="shared" si="279"/>
        <v>https://shop.officineitalianezard.it/contents/imgs/products/1_1229-1.jpg</v>
      </c>
      <c r="AE951" t="b">
        <v>0</v>
      </c>
    </row>
    <row r="952" spans="1:31" x14ac:dyDescent="0.2">
      <c r="A952" t="str">
        <f t="shared" si="266"/>
        <v>https://shop.officineitalianezard.it/en/motoguzziv7ii/</v>
      </c>
      <c r="B952" t="b">
        <f>COUNTIF($A$2:$A952, A952)&gt;1</f>
        <v>1</v>
      </c>
      <c r="C952" t="b">
        <f t="shared" si="267"/>
        <v>0</v>
      </c>
      <c r="D952">
        <f>VLOOKUP(A952,variant_counts!A:B, 2, FALSE)</f>
        <v>1</v>
      </c>
      <c r="E952" t="str">
        <f t="shared" si="280"/>
        <v>zard-exhaust-21-full-kit-moto-guzzi-v7-ii-my-2015-regolarita-zg090skr</v>
      </c>
      <c r="F952" t="str">
        <f t="shared" si="268"/>
        <v>ZARD EXHAUST 2&gt;1 FULL KIT MOTO GUZZI V7 II &gt; M.Y. 2015 REGOLARITA' ZG090SKR</v>
      </c>
      <c r="G952" t="str">
        <f t="shared" si="269"/>
        <v/>
      </c>
      <c r="H952" t="str">
        <f t="shared" si="281"/>
        <v/>
      </c>
      <c r="I952" t="str">
        <f t="shared" si="282"/>
        <v/>
      </c>
      <c r="J952" t="str">
        <f t="shared" si="283"/>
        <v/>
      </c>
      <c r="K952" t="str">
        <f t="shared" si="284"/>
        <v/>
      </c>
      <c r="L952" t="str">
        <f t="shared" si="270"/>
        <v/>
      </c>
      <c r="M952" t="str">
        <f t="shared" si="271"/>
        <v/>
      </c>
      <c r="R952" t="str">
        <f t="shared" si="272"/>
        <v/>
      </c>
      <c r="S952" t="str">
        <f t="shared" si="273"/>
        <v/>
      </c>
      <c r="U952" t="str">
        <f t="shared" si="274"/>
        <v/>
      </c>
      <c r="V952" t="str">
        <f t="shared" si="275"/>
        <v/>
      </c>
      <c r="W952" s="5" t="str">
        <f t="shared" si="276"/>
        <v/>
      </c>
      <c r="Y952" t="str">
        <f t="shared" si="277"/>
        <v/>
      </c>
      <c r="Z952" t="str">
        <f t="shared" si="278"/>
        <v/>
      </c>
      <c r="AB952" t="str">
        <f t="shared" si="279"/>
        <v>https://shop.officineitalianezard.it/contents/imgs/products/1_1230-2.jpg</v>
      </c>
      <c r="AE952" t="b">
        <v>0</v>
      </c>
    </row>
    <row r="953" spans="1:31" x14ac:dyDescent="0.2">
      <c r="A953" t="str">
        <f t="shared" si="266"/>
        <v>https://shop.officineitalianezard.it/en/motoguzziv7ii/</v>
      </c>
      <c r="B953" t="b">
        <f>COUNTIF($A$2:$A953, A953)&gt;1</f>
        <v>1</v>
      </c>
      <c r="C953" t="b">
        <f t="shared" si="267"/>
        <v>0</v>
      </c>
      <c r="D953">
        <f>VLOOKUP(A953,variant_counts!A:B, 2, FALSE)</f>
        <v>1</v>
      </c>
      <c r="E953" t="str">
        <f t="shared" si="280"/>
        <v>zard-exhaust-21-full-kit-moto-guzzi-v7-ii-my-2015-regolarita-zg090skr</v>
      </c>
      <c r="F953" t="str">
        <f t="shared" si="268"/>
        <v>ZARD EXHAUST 2&gt;1 FULL KIT MOTO GUZZI V7 II &gt; M.Y. 2015 REGOLARITA' ZG090SKR</v>
      </c>
      <c r="G953" t="str">
        <f t="shared" si="269"/>
        <v/>
      </c>
      <c r="H953" t="str">
        <f t="shared" si="281"/>
        <v/>
      </c>
      <c r="I953" t="str">
        <f t="shared" si="282"/>
        <v/>
      </c>
      <c r="J953" t="str">
        <f t="shared" si="283"/>
        <v/>
      </c>
      <c r="K953" t="str">
        <f t="shared" si="284"/>
        <v/>
      </c>
      <c r="L953" t="str">
        <f t="shared" si="270"/>
        <v/>
      </c>
      <c r="M953" t="str">
        <f t="shared" si="271"/>
        <v/>
      </c>
      <c r="R953" t="str">
        <f t="shared" si="272"/>
        <v/>
      </c>
      <c r="S953" t="str">
        <f t="shared" si="273"/>
        <v/>
      </c>
      <c r="U953" t="str">
        <f t="shared" si="274"/>
        <v/>
      </c>
      <c r="V953" t="str">
        <f t="shared" si="275"/>
        <v/>
      </c>
      <c r="W953" s="5" t="str">
        <f t="shared" si="276"/>
        <v/>
      </c>
      <c r="Y953" t="str">
        <f t="shared" si="277"/>
        <v/>
      </c>
      <c r="Z953" t="str">
        <f t="shared" si="278"/>
        <v/>
      </c>
      <c r="AB953" t="str">
        <f t="shared" si="279"/>
        <v>https://shop.officineitalianezard.it/contents/imgs/products/1_1231-3.jpg</v>
      </c>
      <c r="AE953" t="b">
        <v>0</v>
      </c>
    </row>
    <row r="954" spans="1:31" x14ac:dyDescent="0.2">
      <c r="A954" t="str">
        <f t="shared" si="266"/>
        <v>https://shop.officineitalianezard.it/en/motoguzziv7ii/</v>
      </c>
      <c r="B954" t="b">
        <f>COUNTIF($A$2:$A954, A954)&gt;1</f>
        <v>1</v>
      </c>
      <c r="C954" t="b">
        <f t="shared" si="267"/>
        <v>1</v>
      </c>
      <c r="D954">
        <f>VLOOKUP(A954,variant_counts!A:B, 2, FALSE)</f>
        <v>1</v>
      </c>
      <c r="E954" t="str">
        <f t="shared" si="280"/>
        <v>zard-exhaust-21-full-kit-moto-guzzi-v7-ii-my-2015-regolarita-zg090skr</v>
      </c>
      <c r="F954" t="str">
        <f t="shared" si="268"/>
        <v>ZARD EXHAUST 2&gt;1 FULL KIT MOTO GUZZI V7 II &gt; M.Y. 2015 REGOLARITA' ZG090SKR</v>
      </c>
      <c r="G954" t="str">
        <f t="shared" si="269"/>
        <v/>
      </c>
      <c r="H954" t="str">
        <f t="shared" si="281"/>
        <v/>
      </c>
      <c r="I954" t="str">
        <f t="shared" si="282"/>
        <v/>
      </c>
      <c r="J954" t="str">
        <f t="shared" si="283"/>
        <v/>
      </c>
      <c r="K954" t="str">
        <f t="shared" si="284"/>
        <v/>
      </c>
      <c r="L954" t="str">
        <f t="shared" si="270"/>
        <v>Option</v>
      </c>
      <c r="M954" t="str">
        <f t="shared" si="271"/>
        <v>BLACK COATING</v>
      </c>
      <c r="R954" t="str">
        <f t="shared" si="272"/>
        <v>ZG090SKR</v>
      </c>
      <c r="S954">
        <f t="shared" si="273"/>
        <v>0</v>
      </c>
      <c r="U954" t="str">
        <f t="shared" si="274"/>
        <v>continue</v>
      </c>
      <c r="V954" t="str">
        <f t="shared" si="275"/>
        <v>manual</v>
      </c>
      <c r="W954" s="5">
        <f t="shared" si="276"/>
        <v>1127.2827</v>
      </c>
      <c r="Y954" t="b">
        <f t="shared" si="277"/>
        <v>1</v>
      </c>
      <c r="Z954" t="b">
        <f t="shared" si="278"/>
        <v>0</v>
      </c>
      <c r="AB954" t="str">
        <f t="shared" si="279"/>
        <v/>
      </c>
      <c r="AE954" t="b">
        <v>0</v>
      </c>
    </row>
    <row r="955" spans="1:31" x14ac:dyDescent="0.2">
      <c r="A955" t="str">
        <f t="shared" si="266"/>
        <v>https://shop.officineitalianezard.it/en/moto-guzzi-v7-iii-exhaust-zard/</v>
      </c>
      <c r="B955" t="b">
        <f>COUNTIF($A$2:$A955, A955)&gt;1</f>
        <v>0</v>
      </c>
      <c r="C955" t="b">
        <f t="shared" si="267"/>
        <v>0</v>
      </c>
      <c r="D955">
        <f>VLOOKUP(A955,variant_counts!A:B, 2, FALSE)</f>
        <v>0</v>
      </c>
      <c r="E955" t="str">
        <f t="shared" si="280"/>
        <v>zard-exhaust-21-full-kit-moto-guzzi-v7-iii-my-2017-conical-version-zg084skr-p2</v>
      </c>
      <c r="F955" t="str">
        <f t="shared" si="268"/>
        <v>ZARD EXHAUST 2&gt;1 FULL KIT MOTO GUZZI V7 III M.Y. 2017 CONICAL VERSION ZG084SKR-P2</v>
      </c>
      <c r="G955" t="str">
        <f t="shared" si="269"/>
        <v>&lt;p&gt;2&amp;gt;1 RACING&amp;nbsp;FULL KIT WITH REMOVABLE DB KILLERS AND BLACK CERAMIC COATING&lt;/p&gt;
&lt;p&gt;ORIGINAL&amp;nbsp;FULL KIT WEIGHT:&amp;nbsp;&lt;br&gt;ZARD&amp;nbsp;FULL KIT WEIGHT: 3.9 KG&lt;/p&gt;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</v>
      </c>
      <c r="H955" t="str">
        <f t="shared" si="281"/>
        <v>ZARD</v>
      </c>
      <c r="I955" t="str">
        <f t="shared" si="282"/>
        <v>Exhaust Pipe</v>
      </c>
      <c r="J955" t="str">
        <f t="shared" si="283"/>
        <v>Test</v>
      </c>
      <c r="K955" t="b">
        <f t="shared" si="284"/>
        <v>0</v>
      </c>
      <c r="L955" t="str">
        <f t="shared" si="270"/>
        <v>Title</v>
      </c>
      <c r="M955" t="str">
        <f t="shared" si="271"/>
        <v>Default Title</v>
      </c>
      <c r="R955" t="str">
        <f t="shared" si="272"/>
        <v>ZG084SKR-P2</v>
      </c>
      <c r="S955">
        <f t="shared" si="273"/>
        <v>0</v>
      </c>
      <c r="U955" t="str">
        <f t="shared" si="274"/>
        <v>continue</v>
      </c>
      <c r="V955" t="str">
        <f t="shared" si="275"/>
        <v>manual</v>
      </c>
      <c r="W955" s="5">
        <f t="shared" si="276"/>
        <v>998.08980000000008</v>
      </c>
      <c r="Y955" t="b">
        <f t="shared" si="277"/>
        <v>1</v>
      </c>
      <c r="Z955" t="b">
        <f t="shared" si="278"/>
        <v>0</v>
      </c>
      <c r="AB955" t="str">
        <f t="shared" si="279"/>
        <v>https://shop.officineitalianezard.it/contents/imgs/products/1_2236-scarico%20guzzi%20v7III%20-%20zard.jpg</v>
      </c>
      <c r="AE955" t="b">
        <v>0</v>
      </c>
    </row>
    <row r="956" spans="1:31" x14ac:dyDescent="0.2">
      <c r="A956" t="str">
        <f t="shared" si="266"/>
        <v>https://shop.officineitalianezard.it/en/moto-guzzi-v7-iii-exhaust-zard/</v>
      </c>
      <c r="B956" t="b">
        <f>COUNTIF($A$2:$A956, A956)&gt;1</f>
        <v>1</v>
      </c>
      <c r="C956" t="b">
        <f t="shared" si="267"/>
        <v>0</v>
      </c>
      <c r="D956">
        <f>VLOOKUP(A956,variant_counts!A:B, 2, FALSE)</f>
        <v>0</v>
      </c>
      <c r="E956" t="str">
        <f t="shared" si="280"/>
        <v>zard-exhaust-21-full-kit-moto-guzzi-v7-iii-my-2017-conical-version-zg084skr-p2</v>
      </c>
      <c r="F956" t="str">
        <f t="shared" si="268"/>
        <v>ZARD EXHAUST 2&gt;1 FULL KIT MOTO GUZZI V7 III M.Y. 2017 CONICAL VERSION ZG084SKR-P2</v>
      </c>
      <c r="G956" t="str">
        <f t="shared" si="269"/>
        <v/>
      </c>
      <c r="H956" t="str">
        <f t="shared" si="281"/>
        <v/>
      </c>
      <c r="I956" t="str">
        <f t="shared" si="282"/>
        <v/>
      </c>
      <c r="J956" t="str">
        <f t="shared" si="283"/>
        <v/>
      </c>
      <c r="K956" t="str">
        <f t="shared" si="284"/>
        <v/>
      </c>
      <c r="L956" t="str">
        <f t="shared" si="270"/>
        <v/>
      </c>
      <c r="M956" t="str">
        <f t="shared" si="271"/>
        <v/>
      </c>
      <c r="R956" t="str">
        <f t="shared" si="272"/>
        <v/>
      </c>
      <c r="S956" t="str">
        <f t="shared" si="273"/>
        <v/>
      </c>
      <c r="U956" t="str">
        <f t="shared" si="274"/>
        <v/>
      </c>
      <c r="V956" t="str">
        <f t="shared" si="275"/>
        <v/>
      </c>
      <c r="W956" s="5" t="str">
        <f t="shared" si="276"/>
        <v/>
      </c>
      <c r="Y956" t="str">
        <f t="shared" si="277"/>
        <v/>
      </c>
      <c r="Z956" t="str">
        <f t="shared" si="278"/>
        <v/>
      </c>
      <c r="AB956" t="str">
        <f t="shared" si="279"/>
        <v>https://shop.officineitalianezard.it/contents/imgs/products/1_2235-zard%20moto%20guzzi%20v7III.jpg</v>
      </c>
      <c r="AE956" t="b">
        <v>0</v>
      </c>
    </row>
    <row r="957" spans="1:31" x14ac:dyDescent="0.2">
      <c r="A957" t="str">
        <f t="shared" si="266"/>
        <v>https://shop.officineitalianezard.it/en/moto-guzzi-v7-iii-exhaust-zard/</v>
      </c>
      <c r="B957" t="b">
        <f>COUNTIF($A$2:$A957, A957)&gt;1</f>
        <v>1</v>
      </c>
      <c r="C957" t="b">
        <f t="shared" si="267"/>
        <v>0</v>
      </c>
      <c r="D957">
        <f>VLOOKUP(A957,variant_counts!A:B, 2, FALSE)</f>
        <v>0</v>
      </c>
      <c r="E957" t="str">
        <f t="shared" si="280"/>
        <v>zard-exhaust-21-full-kit-moto-guzzi-v7-iii-my-2017-conical-version-zg084skr-p2</v>
      </c>
      <c r="F957" t="str">
        <f t="shared" si="268"/>
        <v>ZARD EXHAUST 2&gt;1 FULL KIT MOTO GUZZI V7 III M.Y. 2017 CONICAL VERSION ZG084SKR-P2</v>
      </c>
      <c r="G957" t="str">
        <f t="shared" si="269"/>
        <v/>
      </c>
      <c r="H957" t="str">
        <f t="shared" si="281"/>
        <v/>
      </c>
      <c r="I957" t="str">
        <f t="shared" si="282"/>
        <v/>
      </c>
      <c r="J957" t="str">
        <f t="shared" si="283"/>
        <v/>
      </c>
      <c r="K957" t="str">
        <f t="shared" si="284"/>
        <v/>
      </c>
      <c r="L957" t="str">
        <f t="shared" si="270"/>
        <v/>
      </c>
      <c r="M957" t="str">
        <f t="shared" si="271"/>
        <v/>
      </c>
      <c r="R957" t="str">
        <f t="shared" si="272"/>
        <v/>
      </c>
      <c r="S957" t="str">
        <f t="shared" si="273"/>
        <v/>
      </c>
      <c r="U957" t="str">
        <f t="shared" si="274"/>
        <v/>
      </c>
      <c r="V957" t="str">
        <f t="shared" si="275"/>
        <v/>
      </c>
      <c r="W957" s="5" t="str">
        <f t="shared" si="276"/>
        <v/>
      </c>
      <c r="Y957" t="str">
        <f t="shared" si="277"/>
        <v/>
      </c>
      <c r="Z957" t="str">
        <f t="shared" si="278"/>
        <v/>
      </c>
      <c r="AB957" t="str">
        <f t="shared" si="279"/>
        <v>https://shop.officineitalianezard.it/contents/imgs/products/1_2237-v7III%20exhaust%20-%20zard.jpg</v>
      </c>
      <c r="AE957" t="b">
        <v>0</v>
      </c>
    </row>
    <row r="958" spans="1:31" x14ac:dyDescent="0.2">
      <c r="A958" t="str">
        <f t="shared" si="266"/>
        <v>https://shop.officineitalianezard.it/en/products/index/moto-guzzi-v7-iii-exhaust-zard-7868-229/</v>
      </c>
      <c r="B958" t="b">
        <f>COUNTIF($A$2:$A958, A958)&gt;1</f>
        <v>0</v>
      </c>
      <c r="C958" t="b">
        <f t="shared" si="267"/>
        <v>0</v>
      </c>
      <c r="D958">
        <f>VLOOKUP(A958,variant_counts!A:B, 2, FALSE)</f>
        <v>1</v>
      </c>
      <c r="E958" t="str">
        <f t="shared" si="280"/>
        <v>zard-exhaust-silencers-moto-guzzi-v7-iii-my-2017-zuma-version-zg083ssr-p2</v>
      </c>
      <c r="F958" t="str">
        <f t="shared" si="268"/>
        <v>ZARD EXHAUST SILENCERS MOTO GUZZI V7 III M.Y. 2017 ZUMA VERSION ZG083SSR-P2</v>
      </c>
      <c r="G958" t="str">
        <f t="shared" si="269"/>
        <v>&lt;p&gt;N. 2 STEEL RACING SILENCERS WITH REMOVABLE DB KILLERS AND BLACK CERAMIC COATING&lt;/p&gt;
&lt;p&gt;&lt;strong&gt;COMPATIBLE WITH ALL V7III VERSIONS:&amp;nbsp;STONE, SPECIAL, RACER, ROUGH, MILANO, CARBON...&lt;/strong&gt;&lt;/p&gt;
&lt;p&gt;ORIGINAL SILENCERS WEIGHT:&amp;nbsp;&lt;/p&gt;
&lt;p&gt;ZARD SILENCERS WEIGHT:&amp;nbsp;&lt;/p&gt;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</v>
      </c>
      <c r="H958" t="str">
        <f t="shared" si="281"/>
        <v>ZARD</v>
      </c>
      <c r="I958" t="str">
        <f t="shared" si="282"/>
        <v>Exhaust Pipe</v>
      </c>
      <c r="J958" t="str">
        <f t="shared" si="283"/>
        <v>Test</v>
      </c>
      <c r="K958" t="b">
        <f t="shared" si="284"/>
        <v>0</v>
      </c>
      <c r="L958" t="str">
        <f t="shared" si="270"/>
        <v>Option</v>
      </c>
      <c r="M958" t="str">
        <f t="shared" si="271"/>
        <v>DEFAULT</v>
      </c>
      <c r="R958" t="str">
        <f t="shared" si="272"/>
        <v>ZG083SSR-P2</v>
      </c>
      <c r="S958">
        <f t="shared" si="273"/>
        <v>0</v>
      </c>
      <c r="U958" t="str">
        <f t="shared" si="274"/>
        <v>continue</v>
      </c>
      <c r="V958" t="str">
        <f t="shared" si="275"/>
        <v>manual</v>
      </c>
      <c r="W958" s="5">
        <f t="shared" si="276"/>
        <v>941.67960000000005</v>
      </c>
      <c r="Y958" t="b">
        <f t="shared" si="277"/>
        <v>1</v>
      </c>
      <c r="Z958" t="b">
        <f t="shared" si="278"/>
        <v>0</v>
      </c>
      <c r="AB958" t="str">
        <f t="shared" si="279"/>
        <v>https://shop.officineitalianezard.it/contents/imgs/products/1_2232-scarichi%20guzzi%20v7III.jpg</v>
      </c>
      <c r="AE958" t="b">
        <v>0</v>
      </c>
    </row>
    <row r="959" spans="1:31" x14ac:dyDescent="0.2">
      <c r="A959" t="str">
        <f t="shared" si="266"/>
        <v>https://shop.officineitalianezard.it/en/products/index/moto-guzzi-v7-iii-exhaust-zard-7868-229/</v>
      </c>
      <c r="B959" t="b">
        <f>COUNTIF($A$2:$A959, A959)&gt;1</f>
        <v>1</v>
      </c>
      <c r="C959" t="b">
        <f t="shared" si="267"/>
        <v>0</v>
      </c>
      <c r="D959">
        <f>VLOOKUP(A959,variant_counts!A:B, 2, FALSE)</f>
        <v>1</v>
      </c>
      <c r="E959" t="str">
        <f t="shared" si="280"/>
        <v>zard-exhaust-silencers-moto-guzzi-v7-iii-my-2017-zuma-version-zg083ssr-p2</v>
      </c>
      <c r="F959" t="str">
        <f t="shared" si="268"/>
        <v>ZARD EXHAUST SILENCERS MOTO GUZZI V7 III M.Y. 2017 ZUMA VERSION ZG083SSR-P2</v>
      </c>
      <c r="G959" t="str">
        <f t="shared" si="269"/>
        <v/>
      </c>
      <c r="H959" t="str">
        <f t="shared" si="281"/>
        <v/>
      </c>
      <c r="I959" t="str">
        <f t="shared" si="282"/>
        <v/>
      </c>
      <c r="J959" t="str">
        <f t="shared" si="283"/>
        <v/>
      </c>
      <c r="K959" t="str">
        <f t="shared" si="284"/>
        <v/>
      </c>
      <c r="L959" t="str">
        <f t="shared" si="270"/>
        <v/>
      </c>
      <c r="M959" t="str">
        <f t="shared" si="271"/>
        <v/>
      </c>
      <c r="R959" t="str">
        <f t="shared" si="272"/>
        <v/>
      </c>
      <c r="S959" t="str">
        <f t="shared" si="273"/>
        <v/>
      </c>
      <c r="U959" t="str">
        <f t="shared" si="274"/>
        <v/>
      </c>
      <c r="V959" t="str">
        <f t="shared" si="275"/>
        <v/>
      </c>
      <c r="W959" s="5" t="str">
        <f t="shared" si="276"/>
        <v/>
      </c>
      <c r="Y959" t="str">
        <f t="shared" si="277"/>
        <v/>
      </c>
      <c r="Z959" t="str">
        <f t="shared" si="278"/>
        <v/>
      </c>
      <c r="AB959" t="str">
        <f t="shared" si="279"/>
        <v>https://shop.officineitalianezard.it/contents/imgs/products/1_2234-scarico%20moto%20guzzi%20v7III%20-%20zard.jpg</v>
      </c>
      <c r="AE959" t="b">
        <v>0</v>
      </c>
    </row>
    <row r="960" spans="1:31" x14ac:dyDescent="0.2">
      <c r="A960" t="str">
        <f t="shared" si="266"/>
        <v>https://shop.officineitalianezard.it/en/products/index/moto-guzzi-v7-iii-exhaust-zard-7868-229/</v>
      </c>
      <c r="B960" t="b">
        <f>COUNTIF($A$2:$A960, A960)&gt;1</f>
        <v>1</v>
      </c>
      <c r="C960" t="b">
        <f t="shared" si="267"/>
        <v>0</v>
      </c>
      <c r="D960">
        <f>VLOOKUP(A960,variant_counts!A:B, 2, FALSE)</f>
        <v>1</v>
      </c>
      <c r="E960" t="str">
        <f t="shared" si="280"/>
        <v>zard-exhaust-silencers-moto-guzzi-v7-iii-my-2017-zuma-version-zg083ssr-p2</v>
      </c>
      <c r="F960" t="str">
        <f t="shared" si="268"/>
        <v>ZARD EXHAUST SILENCERS MOTO GUZZI V7 III M.Y. 2017 ZUMA VERSION ZG083SSR-P2</v>
      </c>
      <c r="G960" t="str">
        <f t="shared" si="269"/>
        <v/>
      </c>
      <c r="H960" t="str">
        <f t="shared" si="281"/>
        <v/>
      </c>
      <c r="I960" t="str">
        <f t="shared" si="282"/>
        <v/>
      </c>
      <c r="J960" t="str">
        <f t="shared" si="283"/>
        <v/>
      </c>
      <c r="K960" t="str">
        <f t="shared" si="284"/>
        <v/>
      </c>
      <c r="L960" t="str">
        <f t="shared" si="270"/>
        <v/>
      </c>
      <c r="M960" t="str">
        <f t="shared" si="271"/>
        <v/>
      </c>
      <c r="R960" t="str">
        <f t="shared" si="272"/>
        <v/>
      </c>
      <c r="S960" t="str">
        <f t="shared" si="273"/>
        <v/>
      </c>
      <c r="U960" t="str">
        <f t="shared" si="274"/>
        <v/>
      </c>
      <c r="V960" t="str">
        <f t="shared" si="275"/>
        <v/>
      </c>
      <c r="W960" s="5" t="str">
        <f t="shared" si="276"/>
        <v/>
      </c>
      <c r="Y960" t="str">
        <f t="shared" si="277"/>
        <v/>
      </c>
      <c r="Z960" t="str">
        <f t="shared" si="278"/>
        <v/>
      </c>
      <c r="AB960" t="str">
        <f t="shared" si="279"/>
        <v>https://shop.officineitalianezard.it/contents/imgs/products/1_2231-moto%20guzzi%20v7III%20scarichi%20-%20zard.jpg</v>
      </c>
      <c r="AE960" t="b">
        <v>0</v>
      </c>
    </row>
    <row r="961" spans="1:31" x14ac:dyDescent="0.2">
      <c r="A961" t="str">
        <f t="shared" si="266"/>
        <v>https://shop.officineitalianezard.it/en/products/index/moto-guzzi-v7-iii-exhaust-zard-7868-229/</v>
      </c>
      <c r="B961" t="b">
        <f>COUNTIF($A$2:$A961, A961)&gt;1</f>
        <v>1</v>
      </c>
      <c r="C961" t="b">
        <f t="shared" si="267"/>
        <v>0</v>
      </c>
      <c r="D961">
        <f>VLOOKUP(A961,variant_counts!A:B, 2, FALSE)</f>
        <v>1</v>
      </c>
      <c r="E961" t="str">
        <f t="shared" si="280"/>
        <v>zard-exhaust-silencers-moto-guzzi-v7-iii-my-2017-zuma-version-zg083ssr-p2</v>
      </c>
      <c r="F961" t="str">
        <f t="shared" si="268"/>
        <v>ZARD EXHAUST SILENCERS MOTO GUZZI V7 III M.Y. 2017 ZUMA VERSION ZG083SSR-P2</v>
      </c>
      <c r="G961" t="str">
        <f t="shared" si="269"/>
        <v/>
      </c>
      <c r="H961" t="str">
        <f t="shared" si="281"/>
        <v/>
      </c>
      <c r="I961" t="str">
        <f t="shared" si="282"/>
        <v/>
      </c>
      <c r="J961" t="str">
        <f t="shared" si="283"/>
        <v/>
      </c>
      <c r="K961" t="str">
        <f t="shared" si="284"/>
        <v/>
      </c>
      <c r="L961" t="str">
        <f t="shared" si="270"/>
        <v/>
      </c>
      <c r="M961" t="str">
        <f t="shared" si="271"/>
        <v/>
      </c>
      <c r="R961" t="str">
        <f t="shared" si="272"/>
        <v/>
      </c>
      <c r="S961" t="str">
        <f t="shared" si="273"/>
        <v/>
      </c>
      <c r="U961" t="str">
        <f t="shared" si="274"/>
        <v/>
      </c>
      <c r="V961" t="str">
        <f t="shared" si="275"/>
        <v/>
      </c>
      <c r="W961" s="5" t="str">
        <f t="shared" si="276"/>
        <v/>
      </c>
      <c r="Y961" t="str">
        <f t="shared" si="277"/>
        <v/>
      </c>
      <c r="Z961" t="str">
        <f t="shared" si="278"/>
        <v/>
      </c>
      <c r="AB961" t="str">
        <f t="shared" si="279"/>
        <v>https://shop.officineitalianezard.it/contents/imgs/products/1_2233-zard%20moto%20guzzi%20v7III.jpg</v>
      </c>
      <c r="AE961" t="b">
        <v>0</v>
      </c>
    </row>
    <row r="962" spans="1:31" x14ac:dyDescent="0.2">
      <c r="A962" t="str">
        <f t="shared" ref="A962:A1025" si="285">source_product_link_href</f>
        <v>https://shop.officineitalianezard.it/en/products/index/moto-guzzi-v7-iii-exhaust-zard-7868-229/</v>
      </c>
      <c r="B962" t="b">
        <f>COUNTIF($A$2:$A962, A962)&gt;1</f>
        <v>1</v>
      </c>
      <c r="C962" t="b">
        <f t="shared" ref="C962:C1025" si="286">NOT(ISBLANK(source_option_name))</f>
        <v>1</v>
      </c>
      <c r="D962">
        <f>VLOOKUP(A962,variant_counts!A:B, 2, FALSE)</f>
        <v>1</v>
      </c>
      <c r="E962" t="str">
        <f t="shared" si="280"/>
        <v>zard-exhaust-silencers-moto-guzzi-v7-iii-my-2017-zuma-version-zg083ssr-p2</v>
      </c>
      <c r="F962" t="str">
        <f t="shared" ref="F962:F1025" si="287">UPPER("ZARD EXHAUST " &amp; source_title &amp; " " &amp; source_brand &amp; " " &amp; source_bike &amp; " " &amp; source_product_link &amp; " " &amp; source_sku)</f>
        <v>ZARD EXHAUST SILENCERS MOTO GUZZI V7 III M.Y. 2017 ZUMA VERSION ZG083SSR-P2</v>
      </c>
      <c r="G962" t="str">
        <f t="shared" ref="G962:G1025" si="288">IF($B962=FALSE, source_description, "")</f>
        <v/>
      </c>
      <c r="H962" t="str">
        <f t="shared" si="281"/>
        <v/>
      </c>
      <c r="I962" t="str">
        <f t="shared" si="282"/>
        <v/>
      </c>
      <c r="J962" t="str">
        <f t="shared" si="283"/>
        <v/>
      </c>
      <c r="K962" t="str">
        <f t="shared" si="284"/>
        <v/>
      </c>
      <c r="L962" t="str">
        <f t="shared" ref="L962:L1025" si="289">IF(AND(variant_count=0,duplicated=FALSE),"Title",IF(OR(AND(variant_count=1,duplicated=FALSE), source_option_name&lt;&gt;""), "Option", ""))</f>
        <v>Option</v>
      </c>
      <c r="M962" t="str">
        <f t="shared" ref="M962:M1025" si="290">IF(option1_name="Title", "Default Title", IF(AND(option1_name="Option",ISBLANK(source_option_name)),"DEFAULT",IF(ISBLANK(source_option_name), "", source_option_name)))</f>
        <v>EURO 4 HOMOLOGATED</v>
      </c>
      <c r="R962" t="str">
        <f t="shared" ref="R962:R1025" si="291">IF(option1_name &lt;&gt; "", source_sku, "")</f>
        <v>ZG083SSR-P2</v>
      </c>
      <c r="S962">
        <f t="shared" ref="S962:S1025" si="292">IF(option1_name &lt;&gt; "", 0, "")</f>
        <v>0</v>
      </c>
      <c r="U962" t="str">
        <f t="shared" ref="U962:U1025" si="293">IF(option1_name &lt;&gt; "", "continue", "")</f>
        <v>continue</v>
      </c>
      <c r="V962" t="str">
        <f t="shared" ref="V962:V1025" si="294">IF(option1_name &lt;&gt; "", "manual", "")</f>
        <v>manual</v>
      </c>
      <c r="W962" s="5">
        <f t="shared" ref="W962:W1025" si="295">IF(option1_name&lt;&gt;"",(source_price_original+source_option_price)*eur_usd,"")</f>
        <v>992.45100000000014</v>
      </c>
      <c r="Y962" t="b">
        <f t="shared" ref="Y962:Y1025" si="296">IF(option1_name&lt;&gt;"",TRUE,"")</f>
        <v>1</v>
      </c>
      <c r="Z962" t="b">
        <f t="shared" ref="Z962:Z1025" si="297">IF(option1_name&lt;&gt;"",FALSE,"")</f>
        <v>0</v>
      </c>
      <c r="AB962" t="str">
        <f t="shared" ref="AB962:AB1025" si="298">IF(ISBLANK(source_image), "", source_image)</f>
        <v/>
      </c>
      <c r="AE962" t="b">
        <v>0</v>
      </c>
    </row>
    <row r="963" spans="1:31" x14ac:dyDescent="0.2">
      <c r="A963" t="str">
        <f t="shared" si="285"/>
        <v>https://shop.officineitalianezard.it/en/moto-guzzi-v7-iii-exhaust-zard-2/</v>
      </c>
      <c r="B963" t="b">
        <f>COUNTIF($A$2:$A963, A963)&gt;1</f>
        <v>0</v>
      </c>
      <c r="C963" t="b">
        <f t="shared" si="286"/>
        <v>0</v>
      </c>
      <c r="D963">
        <f>VLOOKUP(A963,variant_counts!A:B, 2, FALSE)</f>
        <v>0</v>
      </c>
      <c r="E963" t="str">
        <f t="shared" ref="E963:E1026" si="299">FormatShopifyHandle(F963)</f>
        <v>zard-exhaust-silencers-moto-guzzi-v7-iii-my-2017-zuma-version-zg083sso-cr</v>
      </c>
      <c r="F963" t="str">
        <f t="shared" si="287"/>
        <v>ZARD EXHAUST SILENCERS MOTO GUZZI V7 III M.Y. 2017 ZUMA VERSION ZG083SSO-CR</v>
      </c>
      <c r="G963" t="str">
        <f t="shared" si="288"/>
        <v>&lt;p&gt;N. 2 STEEL&amp;nbsp;HOMOLOGATED SILENCERS WITH REMOVABLE DB KILLERS AND&amp;nbsp;MIRROR POLISHING&lt;/p&gt;
&lt;p&gt;&lt;strong&gt;COMPATIBLE WITH ALL V7III VERSIONS:&amp;nbsp;STONE, SPECIAL, RACER, ROUGH, MILANO, CARBON...&lt;/strong&gt;&lt;/p&gt;
&lt;p&gt;ORIGINAL SILENCERS WEIGHT:&amp;nbsp;&lt;/p&gt;
&lt;p&gt;ZARD SILENCERS WEIGHT:&amp;nbsp;&lt;/p&gt;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</v>
      </c>
      <c r="H963" t="str">
        <f t="shared" ref="H963:H1026" si="300">IF($B963=FALSE, "ZARD", "")</f>
        <v>ZARD</v>
      </c>
      <c r="I963" t="str">
        <f t="shared" ref="I963:I1026" si="301">IF($B963=FALSE, "Exhaust Pipe", "")</f>
        <v>Exhaust Pipe</v>
      </c>
      <c r="J963" t="str">
        <f t="shared" ref="J963:J1026" si="302">IF($B963=FALSE, "Test", "")</f>
        <v>Test</v>
      </c>
      <c r="K963" t="b">
        <f t="shared" ref="K963:K1026" si="303">IF($B963=FALSE, FALSE, "")</f>
        <v>0</v>
      </c>
      <c r="L963" t="str">
        <f t="shared" si="289"/>
        <v>Title</v>
      </c>
      <c r="M963" t="str">
        <f t="shared" si="290"/>
        <v>Default Title</v>
      </c>
      <c r="R963" t="str">
        <f t="shared" si="291"/>
        <v>ZG083SSO-CR</v>
      </c>
      <c r="S963">
        <f t="shared" si="292"/>
        <v>0</v>
      </c>
      <c r="U963" t="str">
        <f t="shared" si="293"/>
        <v>continue</v>
      </c>
      <c r="V963" t="str">
        <f t="shared" si="294"/>
        <v>manual</v>
      </c>
      <c r="W963" s="5">
        <f t="shared" si="295"/>
        <v>962.60310000000015</v>
      </c>
      <c r="Y963" t="b">
        <f t="shared" si="296"/>
        <v>1</v>
      </c>
      <c r="Z963" t="b">
        <f t="shared" si="297"/>
        <v>0</v>
      </c>
      <c r="AB963" t="str">
        <f t="shared" si="298"/>
        <v>https://shop.officineitalianezard.it/contents/imgs/products/1_2721-scarichi%20guzzi%20v7III.jpg</v>
      </c>
      <c r="AE963" t="b">
        <v>0</v>
      </c>
    </row>
    <row r="964" spans="1:31" x14ac:dyDescent="0.2">
      <c r="A964" t="str">
        <f t="shared" si="285"/>
        <v>https://shop.officineitalianezard.it/en/moto-guzzi-v7-iii-exhaust-zard-2/</v>
      </c>
      <c r="B964" t="b">
        <f>COUNTIF($A$2:$A964, A964)&gt;1</f>
        <v>1</v>
      </c>
      <c r="C964" t="b">
        <f t="shared" si="286"/>
        <v>0</v>
      </c>
      <c r="D964">
        <f>VLOOKUP(A964,variant_counts!A:B, 2, FALSE)</f>
        <v>0</v>
      </c>
      <c r="E964" t="str">
        <f t="shared" si="299"/>
        <v>zard-exhaust-silencers-moto-guzzi-v7-iii-my-2017-zuma-version-zg083sso-cr</v>
      </c>
      <c r="F964" t="str">
        <f t="shared" si="287"/>
        <v>ZARD EXHAUST SILENCERS MOTO GUZZI V7 III M.Y. 2017 ZUMA VERSION ZG083SSO-CR</v>
      </c>
      <c r="G964" t="str">
        <f t="shared" si="288"/>
        <v/>
      </c>
      <c r="H964" t="str">
        <f t="shared" si="300"/>
        <v/>
      </c>
      <c r="I964" t="str">
        <f t="shared" si="301"/>
        <v/>
      </c>
      <c r="J964" t="str">
        <f t="shared" si="302"/>
        <v/>
      </c>
      <c r="K964" t="str">
        <f t="shared" si="303"/>
        <v/>
      </c>
      <c r="L964" t="str">
        <f t="shared" si="289"/>
        <v/>
      </c>
      <c r="M964" t="str">
        <f t="shared" si="290"/>
        <v/>
      </c>
      <c r="R964" t="str">
        <f t="shared" si="291"/>
        <v/>
      </c>
      <c r="S964" t="str">
        <f t="shared" si="292"/>
        <v/>
      </c>
      <c r="U964" t="str">
        <f t="shared" si="293"/>
        <v/>
      </c>
      <c r="V964" t="str">
        <f t="shared" si="294"/>
        <v/>
      </c>
      <c r="W964" s="5" t="str">
        <f t="shared" si="295"/>
        <v/>
      </c>
      <c r="Y964" t="str">
        <f t="shared" si="296"/>
        <v/>
      </c>
      <c r="Z964" t="str">
        <f t="shared" si="297"/>
        <v/>
      </c>
      <c r="AB964" t="str">
        <f t="shared" si="298"/>
        <v>https://shop.officineitalianezard.it/contents/imgs/products/1_2723-scarico%20moto%20guzzi%20v7III%20-%20zard.jpg</v>
      </c>
      <c r="AE964" t="b">
        <v>0</v>
      </c>
    </row>
    <row r="965" spans="1:31" x14ac:dyDescent="0.2">
      <c r="A965" t="str">
        <f t="shared" si="285"/>
        <v>https://shop.officineitalianezard.it/en/moto-guzzi-v7-iii-exhaust-zard-2/</v>
      </c>
      <c r="B965" t="b">
        <f>COUNTIF($A$2:$A965, A965)&gt;1</f>
        <v>1</v>
      </c>
      <c r="C965" t="b">
        <f t="shared" si="286"/>
        <v>0</v>
      </c>
      <c r="D965">
        <f>VLOOKUP(A965,variant_counts!A:B, 2, FALSE)</f>
        <v>0</v>
      </c>
      <c r="E965" t="str">
        <f t="shared" si="299"/>
        <v>zard-exhaust-silencers-moto-guzzi-v7-iii-my-2017-zuma-version-zg083sso-cr</v>
      </c>
      <c r="F965" t="str">
        <f t="shared" si="287"/>
        <v>ZARD EXHAUST SILENCERS MOTO GUZZI V7 III M.Y. 2017 ZUMA VERSION ZG083SSO-CR</v>
      </c>
      <c r="G965" t="str">
        <f t="shared" si="288"/>
        <v/>
      </c>
      <c r="H965" t="str">
        <f t="shared" si="300"/>
        <v/>
      </c>
      <c r="I965" t="str">
        <f t="shared" si="301"/>
        <v/>
      </c>
      <c r="J965" t="str">
        <f t="shared" si="302"/>
        <v/>
      </c>
      <c r="K965" t="str">
        <f t="shared" si="303"/>
        <v/>
      </c>
      <c r="L965" t="str">
        <f t="shared" si="289"/>
        <v/>
      </c>
      <c r="M965" t="str">
        <f t="shared" si="290"/>
        <v/>
      </c>
      <c r="R965" t="str">
        <f t="shared" si="291"/>
        <v/>
      </c>
      <c r="S965" t="str">
        <f t="shared" si="292"/>
        <v/>
      </c>
      <c r="U965" t="str">
        <f t="shared" si="293"/>
        <v/>
      </c>
      <c r="V965" t="str">
        <f t="shared" si="294"/>
        <v/>
      </c>
      <c r="W965" s="5" t="str">
        <f t="shared" si="295"/>
        <v/>
      </c>
      <c r="Y965" t="str">
        <f t="shared" si="296"/>
        <v/>
      </c>
      <c r="Z965" t="str">
        <f t="shared" si="297"/>
        <v/>
      </c>
      <c r="AB965" t="str">
        <f t="shared" si="298"/>
        <v>https://shop.officineitalianezard.it/contents/imgs/products/1_2720-moto%20guzzi%20v7III%20scarichi%20-%20zard.jpg</v>
      </c>
      <c r="AE965" t="b">
        <v>0</v>
      </c>
    </row>
    <row r="966" spans="1:31" x14ac:dyDescent="0.2">
      <c r="A966" t="str">
        <f t="shared" si="285"/>
        <v>https://shop.officineitalianezard.it/en/moto-guzzi-v7-iii-exhaust-zard-2/</v>
      </c>
      <c r="B966" t="b">
        <f>COUNTIF($A$2:$A966, A966)&gt;1</f>
        <v>1</v>
      </c>
      <c r="C966" t="b">
        <f t="shared" si="286"/>
        <v>0</v>
      </c>
      <c r="D966">
        <f>VLOOKUP(A966,variant_counts!A:B, 2, FALSE)</f>
        <v>0</v>
      </c>
      <c r="E966" t="str">
        <f t="shared" si="299"/>
        <v>zard-exhaust-silencers-moto-guzzi-v7-iii-my-2017-zuma-version-zg083sso-cr</v>
      </c>
      <c r="F966" t="str">
        <f t="shared" si="287"/>
        <v>ZARD EXHAUST SILENCERS MOTO GUZZI V7 III M.Y. 2017 ZUMA VERSION ZG083SSO-CR</v>
      </c>
      <c r="G966" t="str">
        <f t="shared" si="288"/>
        <v/>
      </c>
      <c r="H966" t="str">
        <f t="shared" si="300"/>
        <v/>
      </c>
      <c r="I966" t="str">
        <f t="shared" si="301"/>
        <v/>
      </c>
      <c r="J966" t="str">
        <f t="shared" si="302"/>
        <v/>
      </c>
      <c r="K966" t="str">
        <f t="shared" si="303"/>
        <v/>
      </c>
      <c r="L966" t="str">
        <f t="shared" si="289"/>
        <v/>
      </c>
      <c r="M966" t="str">
        <f t="shared" si="290"/>
        <v/>
      </c>
      <c r="R966" t="str">
        <f t="shared" si="291"/>
        <v/>
      </c>
      <c r="S966" t="str">
        <f t="shared" si="292"/>
        <v/>
      </c>
      <c r="U966" t="str">
        <f t="shared" si="293"/>
        <v/>
      </c>
      <c r="V966" t="str">
        <f t="shared" si="294"/>
        <v/>
      </c>
      <c r="W966" s="5" t="str">
        <f t="shared" si="295"/>
        <v/>
      </c>
      <c r="Y966" t="str">
        <f t="shared" si="296"/>
        <v/>
      </c>
      <c r="Z966" t="str">
        <f t="shared" si="297"/>
        <v/>
      </c>
      <c r="AB966" t="str">
        <f t="shared" si="298"/>
        <v>https://shop.officineitalianezard.it/contents/imgs/products/1_2722-zard%20moto%20guzzi%20v7III.jpg</v>
      </c>
      <c r="AE966" t="b">
        <v>0</v>
      </c>
    </row>
    <row r="967" spans="1:31" x14ac:dyDescent="0.2">
      <c r="A967" t="str">
        <f t="shared" si="285"/>
        <v>https://shop.officineitalianezard.it/en/products/index/steel-racing-silencer-7386-96/</v>
      </c>
      <c r="B967" t="b">
        <f>COUNTIF($A$2:$A967, A967)&gt;1</f>
        <v>0</v>
      </c>
      <c r="C967" t="b">
        <f t="shared" si="286"/>
        <v>0</v>
      </c>
      <c r="D967">
        <f>VLOOKUP(A967,variant_counts!A:B, 2, FALSE)</f>
        <v>3</v>
      </c>
      <c r="E967" t="str">
        <f t="shared" si="299"/>
        <v>zard-exhaust-silencer-moto-guzzi-sport-1200-my-2011-conical-version-zg074ssr</v>
      </c>
      <c r="F967" t="str">
        <f t="shared" si="287"/>
        <v>ZARD EXHAUST SILENCER MOTO GUZZI SPORT 1200 &lt; M.Y. 2011 CONICAL VERSION ZG074SSR</v>
      </c>
      <c r="G967" t="str">
        <f t="shared" si="288"/>
        <v>&lt;p&gt;STEEL SILENCER RACING WITH REMOVABLE DB KILLER&lt;/p&gt;
&lt;p&gt;ORIGINAL SILENCER WEIGHT: KG 7&lt;br&gt;ZARD SILENCER WEIGHT: KG 3.1&lt;/p&gt;
&lt;p&gt;HARD INCREASE IN TERMS OF TORQUE AT LOW-RANGE/MID-RANGE AND + 3 HP COMPARED TO THE DEFAULT ONE&lt;/p&gt;
&lt;p&gt;ASTONISHING SOUND&lt;/p&gt;</v>
      </c>
      <c r="H967" t="str">
        <f t="shared" si="300"/>
        <v>ZARD</v>
      </c>
      <c r="I967" t="str">
        <f t="shared" si="301"/>
        <v>Exhaust Pipe</v>
      </c>
      <c r="J967" t="str">
        <f t="shared" si="302"/>
        <v>Test</v>
      </c>
      <c r="K967" t="b">
        <f t="shared" si="303"/>
        <v>0</v>
      </c>
      <c r="L967" t="str">
        <f t="shared" si="289"/>
        <v/>
      </c>
      <c r="M967" t="str">
        <f t="shared" si="290"/>
        <v/>
      </c>
      <c r="R967" t="str">
        <f t="shared" si="291"/>
        <v/>
      </c>
      <c r="S967" t="str">
        <f t="shared" si="292"/>
        <v/>
      </c>
      <c r="U967" t="str">
        <f t="shared" si="293"/>
        <v/>
      </c>
      <c r="V967" t="str">
        <f t="shared" si="294"/>
        <v/>
      </c>
      <c r="W967" s="5" t="str">
        <f t="shared" si="295"/>
        <v/>
      </c>
      <c r="Y967" t="str">
        <f t="shared" si="296"/>
        <v/>
      </c>
      <c r="Z967" t="str">
        <f t="shared" si="297"/>
        <v/>
      </c>
      <c r="AB967" t="str">
        <f t="shared" si="298"/>
        <v>https://shop.officineitalianezard.it/contents/imgs/products/1_617-scarico%20moto%20guzzi%20zard%203.jpg</v>
      </c>
      <c r="AE967" t="b">
        <v>0</v>
      </c>
    </row>
    <row r="968" spans="1:31" x14ac:dyDescent="0.2">
      <c r="A968" t="str">
        <f t="shared" si="285"/>
        <v>https://shop.officineitalianezard.it/en/products/index/steel-racing-silencer-7386-96/</v>
      </c>
      <c r="B968" t="b">
        <f>COUNTIF($A$2:$A968, A968)&gt;1</f>
        <v>1</v>
      </c>
      <c r="C968" t="b">
        <f t="shared" si="286"/>
        <v>1</v>
      </c>
      <c r="D968">
        <f>VLOOKUP(A968,variant_counts!A:B, 2, FALSE)</f>
        <v>3</v>
      </c>
      <c r="E968" t="str">
        <f t="shared" si="299"/>
        <v>zard-exhaust-silencer-moto-guzzi-sport-1200-my-2011-conical-version-zg074ssr</v>
      </c>
      <c r="F968" t="str">
        <f t="shared" si="287"/>
        <v>ZARD EXHAUST SILENCER MOTO GUZZI SPORT 1200 &lt; M.Y. 2011 CONICAL VERSION ZG074SSR</v>
      </c>
      <c r="G968" t="str">
        <f t="shared" si="288"/>
        <v/>
      </c>
      <c r="H968" t="str">
        <f t="shared" si="300"/>
        <v/>
      </c>
      <c r="I968" t="str">
        <f t="shared" si="301"/>
        <v/>
      </c>
      <c r="J968" t="str">
        <f t="shared" si="302"/>
        <v/>
      </c>
      <c r="K968" t="str">
        <f t="shared" si="303"/>
        <v/>
      </c>
      <c r="L968" t="str">
        <f t="shared" si="289"/>
        <v>Option</v>
      </c>
      <c r="M968" t="str">
        <f t="shared" si="290"/>
        <v>EURO 3 HOMOLOGATED</v>
      </c>
      <c r="R968" t="str">
        <f t="shared" si="291"/>
        <v>ZG074SSR</v>
      </c>
      <c r="S968">
        <f t="shared" si="292"/>
        <v>0</v>
      </c>
      <c r="U968" t="str">
        <f t="shared" si="293"/>
        <v>continue</v>
      </c>
      <c r="V968" t="str">
        <f t="shared" si="294"/>
        <v>manual</v>
      </c>
      <c r="W968" s="5">
        <f t="shared" si="295"/>
        <v>626.06220000000008</v>
      </c>
      <c r="Y968" t="b">
        <f t="shared" si="296"/>
        <v>1</v>
      </c>
      <c r="Z968" t="b">
        <f t="shared" si="297"/>
        <v>0</v>
      </c>
      <c r="AB968" t="str">
        <f t="shared" si="298"/>
        <v/>
      </c>
      <c r="AE968" t="b">
        <v>0</v>
      </c>
    </row>
    <row r="969" spans="1:31" x14ac:dyDescent="0.2">
      <c r="A969" t="str">
        <f t="shared" si="285"/>
        <v>https://shop.officineitalianezard.it/en/products/index/steel-racing-silencer-7386-96/</v>
      </c>
      <c r="B969" t="b">
        <f>COUNTIF($A$2:$A969, A969)&gt;1</f>
        <v>1</v>
      </c>
      <c r="C969" t="b">
        <f t="shared" si="286"/>
        <v>1</v>
      </c>
      <c r="D969">
        <f>VLOOKUP(A969,variant_counts!A:B, 2, FALSE)</f>
        <v>3</v>
      </c>
      <c r="E969" t="str">
        <f t="shared" si="299"/>
        <v>zard-exhaust-silencer-moto-guzzi-sport-1200-my-2011-conical-version-zg074ssr</v>
      </c>
      <c r="F969" t="str">
        <f t="shared" si="287"/>
        <v>ZARD EXHAUST SILENCER MOTO GUZZI SPORT 1200 &lt; M.Y. 2011 CONICAL VERSION ZG074SSR</v>
      </c>
      <c r="G969" t="str">
        <f t="shared" si="288"/>
        <v/>
      </c>
      <c r="H969" t="str">
        <f t="shared" si="300"/>
        <v/>
      </c>
      <c r="I969" t="str">
        <f t="shared" si="301"/>
        <v/>
      </c>
      <c r="J969" t="str">
        <f t="shared" si="302"/>
        <v/>
      </c>
      <c r="K969" t="str">
        <f t="shared" si="303"/>
        <v/>
      </c>
      <c r="L969" t="str">
        <f t="shared" si="289"/>
        <v>Option</v>
      </c>
      <c r="M969" t="str">
        <f t="shared" si="290"/>
        <v>BLACK COATING</v>
      </c>
      <c r="R969" t="str">
        <f t="shared" si="291"/>
        <v>ZG074SSR</v>
      </c>
      <c r="S969">
        <f t="shared" si="292"/>
        <v>0</v>
      </c>
      <c r="U969" t="str">
        <f t="shared" si="293"/>
        <v>continue</v>
      </c>
      <c r="V969" t="str">
        <f t="shared" si="294"/>
        <v>manual</v>
      </c>
      <c r="W969" s="5">
        <f t="shared" si="295"/>
        <v>647.35200000000009</v>
      </c>
      <c r="Y969" t="b">
        <f t="shared" si="296"/>
        <v>1</v>
      </c>
      <c r="Z969" t="b">
        <f t="shared" si="297"/>
        <v>0</v>
      </c>
      <c r="AB969" t="str">
        <f t="shared" si="298"/>
        <v/>
      </c>
      <c r="AE969" t="b">
        <v>0</v>
      </c>
    </row>
    <row r="970" spans="1:31" x14ac:dyDescent="0.2">
      <c r="A970" t="str">
        <f t="shared" si="285"/>
        <v>https://shop.officineitalianezard.it/en/products/index/steel-racing-silencer-7386-96/</v>
      </c>
      <c r="B970" t="b">
        <f>COUNTIF($A$2:$A970, A970)&gt;1</f>
        <v>1</v>
      </c>
      <c r="C970" t="b">
        <f t="shared" si="286"/>
        <v>1</v>
      </c>
      <c r="D970">
        <f>VLOOKUP(A970,variant_counts!A:B, 2, FALSE)</f>
        <v>3</v>
      </c>
      <c r="E970" t="str">
        <f t="shared" si="299"/>
        <v>zard-exhaust-silencer-moto-guzzi-sport-1200-my-2011-conical-version-zg074ssr</v>
      </c>
      <c r="F970" t="str">
        <f t="shared" si="287"/>
        <v>ZARD EXHAUST SILENCER MOTO GUZZI SPORT 1200 &lt; M.Y. 2011 CONICAL VERSION ZG074SSR</v>
      </c>
      <c r="G970" t="str">
        <f t="shared" si="288"/>
        <v/>
      </c>
      <c r="H970" t="str">
        <f t="shared" si="300"/>
        <v/>
      </c>
      <c r="I970" t="str">
        <f t="shared" si="301"/>
        <v/>
      </c>
      <c r="J970" t="str">
        <f t="shared" si="302"/>
        <v/>
      </c>
      <c r="K970" t="str">
        <f t="shared" si="303"/>
        <v/>
      </c>
      <c r="L970" t="str">
        <f t="shared" si="289"/>
        <v>Option</v>
      </c>
      <c r="M970" t="str">
        <f t="shared" si="290"/>
        <v>CARBON ENDCAP</v>
      </c>
      <c r="R970" t="str">
        <f t="shared" si="291"/>
        <v>ZG074SSR</v>
      </c>
      <c r="S970">
        <f t="shared" si="292"/>
        <v>0</v>
      </c>
      <c r="U970" t="str">
        <f t="shared" si="293"/>
        <v>continue</v>
      </c>
      <c r="V970" t="str">
        <f t="shared" si="294"/>
        <v>manual</v>
      </c>
      <c r="W970" s="5">
        <f t="shared" si="295"/>
        <v>608.04690000000005</v>
      </c>
      <c r="Y970" t="b">
        <f t="shared" si="296"/>
        <v>1</v>
      </c>
      <c r="Z970" t="b">
        <f t="shared" si="297"/>
        <v>0</v>
      </c>
      <c r="AB970" t="str">
        <f t="shared" si="298"/>
        <v/>
      </c>
      <c r="AE970" t="b">
        <v>0</v>
      </c>
    </row>
    <row r="971" spans="1:31" x14ac:dyDescent="0.2">
      <c r="A971" t="str">
        <f t="shared" si="285"/>
        <v>https://shop.officineitalianezard.it/en/products/index/moto-guzzi-stelvio-silencer-7343-83/</v>
      </c>
      <c r="B971" t="b">
        <f>COUNTIF($A$2:$A971, A971)&gt;1</f>
        <v>0</v>
      </c>
      <c r="C971" t="b">
        <f t="shared" si="286"/>
        <v>0</v>
      </c>
      <c r="D971">
        <f>VLOOKUP(A971,variant_counts!A:B, 2, FALSE)</f>
        <v>3</v>
      </c>
      <c r="E971" t="str">
        <f t="shared" si="299"/>
        <v>zard-exhaust-silencer-moto-guzzi-stelvio-conical-version-zg073ssr</v>
      </c>
      <c r="F971" t="str">
        <f t="shared" si="287"/>
        <v>ZARD EXHAUST SILENCER MOTO GUZZI STELVIO CONICAL VERSION ZG073SSR</v>
      </c>
      <c r="G971" t="str">
        <f t="shared" si="288"/>
        <v>&lt;p&gt;STEEL RACING SILENCER WITH REMOVABLE DB KILLER&lt;/p&gt;
&lt;p&gt;ORIGINAL SILENCER WEIGHT: KG 7&lt;br&gt;ZARD SILENCER WEIGHT: KG 3.1&lt;/p&gt;
&lt;p&gt;SILENCER CAN BE FITTED ON ALL 2 OR 4 VALVES MODELS&lt;/p&gt;
&lt;p&gt;&lt;span&gt;STEEL HEAT SHIELD INCLUDED.&lt;/span&gt;&lt;/p&gt;
&lt;p&gt;HARD INCREASE IN TERMS OF TORQUE AT LOW-RANGE/MID-RANGE AND + 4.6 HP COMPARED TO THE ORIGINAL EXHAUST.&lt;/p&gt;
&lt;p&gt;ASTONISHING SOUND.&lt;/p&gt;</v>
      </c>
      <c r="H971" t="str">
        <f t="shared" si="300"/>
        <v>ZARD</v>
      </c>
      <c r="I971" t="str">
        <f t="shared" si="301"/>
        <v>Exhaust Pipe</v>
      </c>
      <c r="J971" t="str">
        <f t="shared" si="302"/>
        <v>Test</v>
      </c>
      <c r="K971" t="b">
        <f t="shared" si="303"/>
        <v>0</v>
      </c>
      <c r="L971" t="str">
        <f t="shared" si="289"/>
        <v/>
      </c>
      <c r="M971" t="str">
        <f t="shared" si="290"/>
        <v/>
      </c>
      <c r="R971" t="str">
        <f t="shared" si="291"/>
        <v/>
      </c>
      <c r="S971" t="str">
        <f t="shared" si="292"/>
        <v/>
      </c>
      <c r="U971" t="str">
        <f t="shared" si="293"/>
        <v/>
      </c>
      <c r="V971" t="str">
        <f t="shared" si="294"/>
        <v/>
      </c>
      <c r="W971" s="5" t="str">
        <f t="shared" si="295"/>
        <v/>
      </c>
      <c r="Y971" t="str">
        <f t="shared" si="296"/>
        <v/>
      </c>
      <c r="Z971" t="str">
        <f t="shared" si="297"/>
        <v/>
      </c>
      <c r="AB971" t="str">
        <f t="shared" si="298"/>
        <v>https://shop.officineitalianezard.it/contents/imgs/products/1_691-scarichi%20moto%20zard%20guzzi.jpg</v>
      </c>
      <c r="AE971" t="b">
        <v>0</v>
      </c>
    </row>
    <row r="972" spans="1:31" x14ac:dyDescent="0.2">
      <c r="A972" t="str">
        <f t="shared" si="285"/>
        <v>https://shop.officineitalianezard.it/en/products/index/moto-guzzi-stelvio-silencer-7343-83/</v>
      </c>
      <c r="B972" t="b">
        <f>COUNTIF($A$2:$A972, A972)&gt;1</f>
        <v>1</v>
      </c>
      <c r="C972" t="b">
        <f t="shared" si="286"/>
        <v>0</v>
      </c>
      <c r="D972">
        <f>VLOOKUP(A972,variant_counts!A:B, 2, FALSE)</f>
        <v>3</v>
      </c>
      <c r="E972" t="str">
        <f t="shared" si="299"/>
        <v>zard-exhaust-silencer-moto-guzzi-stelvio-conical-version-zg073ssr</v>
      </c>
      <c r="F972" t="str">
        <f t="shared" si="287"/>
        <v>ZARD EXHAUST SILENCER MOTO GUZZI STELVIO CONICAL VERSION ZG073SSR</v>
      </c>
      <c r="G972" t="str">
        <f t="shared" si="288"/>
        <v/>
      </c>
      <c r="H972" t="str">
        <f t="shared" si="300"/>
        <v/>
      </c>
      <c r="I972" t="str">
        <f t="shared" si="301"/>
        <v/>
      </c>
      <c r="J972" t="str">
        <f t="shared" si="302"/>
        <v/>
      </c>
      <c r="K972" t="str">
        <f t="shared" si="303"/>
        <v/>
      </c>
      <c r="L972" t="str">
        <f t="shared" si="289"/>
        <v/>
      </c>
      <c r="M972" t="str">
        <f t="shared" si="290"/>
        <v/>
      </c>
      <c r="R972" t="str">
        <f t="shared" si="291"/>
        <v/>
      </c>
      <c r="S972" t="str">
        <f t="shared" si="292"/>
        <v/>
      </c>
      <c r="U972" t="str">
        <f t="shared" si="293"/>
        <v/>
      </c>
      <c r="V972" t="str">
        <f t="shared" si="294"/>
        <v/>
      </c>
      <c r="W972" s="5" t="str">
        <f t="shared" si="295"/>
        <v/>
      </c>
      <c r="Y972" t="str">
        <f t="shared" si="296"/>
        <v/>
      </c>
      <c r="Z972" t="str">
        <f t="shared" si="297"/>
        <v/>
      </c>
      <c r="AB972" t="str">
        <f t="shared" si="298"/>
        <v>https://shop.officineitalianezard.it/contents/imgs/products/1_546-scarico%20moto%20guzzi%20zard%202.jpg</v>
      </c>
      <c r="AE972" t="b">
        <v>0</v>
      </c>
    </row>
    <row r="973" spans="1:31" x14ac:dyDescent="0.2">
      <c r="A973" t="str">
        <f t="shared" si="285"/>
        <v>https://shop.officineitalianezard.it/en/products/index/moto-guzzi-stelvio-silencer-7343-83/</v>
      </c>
      <c r="B973" t="b">
        <f>COUNTIF($A$2:$A973, A973)&gt;1</f>
        <v>1</v>
      </c>
      <c r="C973" t="b">
        <f t="shared" si="286"/>
        <v>1</v>
      </c>
      <c r="D973">
        <f>VLOOKUP(A973,variant_counts!A:B, 2, FALSE)</f>
        <v>3</v>
      </c>
      <c r="E973" t="str">
        <f t="shared" si="299"/>
        <v>zard-exhaust-silencer-moto-guzzi-stelvio-conical-version-zg073ssr</v>
      </c>
      <c r="F973" t="str">
        <f t="shared" si="287"/>
        <v>ZARD EXHAUST SILENCER MOTO GUZZI STELVIO CONICAL VERSION ZG073SSR</v>
      </c>
      <c r="G973" t="str">
        <f t="shared" si="288"/>
        <v/>
      </c>
      <c r="H973" t="str">
        <f t="shared" si="300"/>
        <v/>
      </c>
      <c r="I973" t="str">
        <f t="shared" si="301"/>
        <v/>
      </c>
      <c r="J973" t="str">
        <f t="shared" si="302"/>
        <v/>
      </c>
      <c r="K973" t="str">
        <f t="shared" si="303"/>
        <v/>
      </c>
      <c r="L973" t="str">
        <f t="shared" si="289"/>
        <v>Option</v>
      </c>
      <c r="M973" t="str">
        <f t="shared" si="290"/>
        <v>EURO 3 HOMOLOGATED</v>
      </c>
      <c r="R973" t="str">
        <f t="shared" si="291"/>
        <v>ZG073SSR</v>
      </c>
      <c r="S973">
        <f t="shared" si="292"/>
        <v>0</v>
      </c>
      <c r="U973" t="str">
        <f t="shared" si="293"/>
        <v>continue</v>
      </c>
      <c r="V973" t="str">
        <f t="shared" si="294"/>
        <v>manual</v>
      </c>
      <c r="W973" s="5">
        <f t="shared" si="295"/>
        <v>639.16020000000015</v>
      </c>
      <c r="Y973" t="b">
        <f t="shared" si="296"/>
        <v>1</v>
      </c>
      <c r="Z973" t="b">
        <f t="shared" si="297"/>
        <v>0</v>
      </c>
      <c r="AB973" t="str">
        <f t="shared" si="298"/>
        <v/>
      </c>
      <c r="AE973" t="b">
        <v>0</v>
      </c>
    </row>
    <row r="974" spans="1:31" x14ac:dyDescent="0.2">
      <c r="A974" t="str">
        <f t="shared" si="285"/>
        <v>https://shop.officineitalianezard.it/en/products/index/moto-guzzi-stelvio-silencer-7343-83/</v>
      </c>
      <c r="B974" t="b">
        <f>COUNTIF($A$2:$A974, A974)&gt;1</f>
        <v>1</v>
      </c>
      <c r="C974" t="b">
        <f t="shared" si="286"/>
        <v>1</v>
      </c>
      <c r="D974">
        <f>VLOOKUP(A974,variant_counts!A:B, 2, FALSE)</f>
        <v>3</v>
      </c>
      <c r="E974" t="str">
        <f t="shared" si="299"/>
        <v>zard-exhaust-silencer-moto-guzzi-stelvio-conical-version-zg073ssr</v>
      </c>
      <c r="F974" t="str">
        <f t="shared" si="287"/>
        <v>ZARD EXHAUST SILENCER MOTO GUZZI STELVIO CONICAL VERSION ZG073SSR</v>
      </c>
      <c r="G974" t="str">
        <f t="shared" si="288"/>
        <v/>
      </c>
      <c r="H974" t="str">
        <f t="shared" si="300"/>
        <v/>
      </c>
      <c r="I974" t="str">
        <f t="shared" si="301"/>
        <v/>
      </c>
      <c r="J974" t="str">
        <f t="shared" si="302"/>
        <v/>
      </c>
      <c r="K974" t="str">
        <f t="shared" si="303"/>
        <v/>
      </c>
      <c r="L974" t="str">
        <f t="shared" si="289"/>
        <v>Option</v>
      </c>
      <c r="M974" t="str">
        <f t="shared" si="290"/>
        <v>BLACK COATING</v>
      </c>
      <c r="R974" t="str">
        <f t="shared" si="291"/>
        <v>ZG073SSR</v>
      </c>
      <c r="S974">
        <f t="shared" si="292"/>
        <v>0</v>
      </c>
      <c r="U974" t="str">
        <f t="shared" si="293"/>
        <v>continue</v>
      </c>
      <c r="V974" t="str">
        <f t="shared" si="294"/>
        <v>manual</v>
      </c>
      <c r="W974" s="5">
        <f t="shared" si="295"/>
        <v>671.91630000000009</v>
      </c>
      <c r="Y974" t="b">
        <f t="shared" si="296"/>
        <v>1</v>
      </c>
      <c r="Z974" t="b">
        <f t="shared" si="297"/>
        <v>0</v>
      </c>
      <c r="AB974" t="str">
        <f t="shared" si="298"/>
        <v/>
      </c>
      <c r="AE974" t="b">
        <v>0</v>
      </c>
    </row>
    <row r="975" spans="1:31" x14ac:dyDescent="0.2">
      <c r="A975" t="str">
        <f t="shared" si="285"/>
        <v>https://shop.officineitalianezard.it/en/products/index/moto-guzzi-stelvio-silencer-7343-83/</v>
      </c>
      <c r="B975" t="b">
        <f>COUNTIF($A$2:$A975, A975)&gt;1</f>
        <v>1</v>
      </c>
      <c r="C975" t="b">
        <f t="shared" si="286"/>
        <v>1</v>
      </c>
      <c r="D975">
        <f>VLOOKUP(A975,variant_counts!A:B, 2, FALSE)</f>
        <v>3</v>
      </c>
      <c r="E975" t="str">
        <f t="shared" si="299"/>
        <v>zard-exhaust-silencer-moto-guzzi-stelvio-conical-version-zg073ssr</v>
      </c>
      <c r="F975" t="str">
        <f t="shared" si="287"/>
        <v>ZARD EXHAUST SILENCER MOTO GUZZI STELVIO CONICAL VERSION ZG073SSR</v>
      </c>
      <c r="G975" t="str">
        <f t="shared" si="288"/>
        <v/>
      </c>
      <c r="H975" t="str">
        <f t="shared" si="300"/>
        <v/>
      </c>
      <c r="I975" t="str">
        <f t="shared" si="301"/>
        <v/>
      </c>
      <c r="J975" t="str">
        <f t="shared" si="302"/>
        <v/>
      </c>
      <c r="K975" t="str">
        <f t="shared" si="303"/>
        <v/>
      </c>
      <c r="L975" t="str">
        <f t="shared" si="289"/>
        <v>Option</v>
      </c>
      <c r="M975" t="str">
        <f t="shared" si="290"/>
        <v>CARBON ENDCAP</v>
      </c>
      <c r="R975" t="str">
        <f t="shared" si="291"/>
        <v>ZG073SSR</v>
      </c>
      <c r="S975">
        <f t="shared" si="292"/>
        <v>0</v>
      </c>
      <c r="U975" t="str">
        <f t="shared" si="293"/>
        <v>continue</v>
      </c>
      <c r="V975" t="str">
        <f t="shared" si="294"/>
        <v>manual</v>
      </c>
      <c r="W975" s="5">
        <f t="shared" si="295"/>
        <v>632.61120000000005</v>
      </c>
      <c r="Y975" t="b">
        <f t="shared" si="296"/>
        <v>1</v>
      </c>
      <c r="Z975" t="b">
        <f t="shared" si="297"/>
        <v>0</v>
      </c>
      <c r="AB975" t="str">
        <f t="shared" si="298"/>
        <v/>
      </c>
      <c r="AE975" t="b">
        <v>0</v>
      </c>
    </row>
    <row r="976" spans="1:31" x14ac:dyDescent="0.2">
      <c r="A976" t="str">
        <f t="shared" si="285"/>
        <v>https://shop.officineitalianezard.it/en/products/index/moto-guzzi-norge-silencer-7419-112/</v>
      </c>
      <c r="B976" t="b">
        <f>COUNTIF($A$2:$A976, A976)&gt;1</f>
        <v>0</v>
      </c>
      <c r="C976" t="b">
        <f t="shared" si="286"/>
        <v>0</v>
      </c>
      <c r="D976">
        <f>VLOOKUP(A976,variant_counts!A:B, 2, FALSE)</f>
        <v>3</v>
      </c>
      <c r="E976" t="str">
        <f t="shared" si="299"/>
        <v>zard-exhaust-silencer-moto-guzzi-norge-my-2011-conical-version-zg072ssr-11</v>
      </c>
      <c r="F976" t="str">
        <f t="shared" si="287"/>
        <v>ZARD EXHAUST SILENCER MOTO GUZZI NORGE &gt; M.Y. 2011 CONICAL VERSION ZG072SSR-11</v>
      </c>
      <c r="G976" t="str">
        <f t="shared" si="288"/>
        <v>&lt;p&gt;STEEL SILENCER RACING WITH REMOVABLE DB KILLER&lt;/p&gt;
&lt;p&gt;ORIGINAL SILENCER WEIGHT: KG 7&lt;br&gt;ZARD SILENCER WEIGHT: KG 3.1&lt;/p&gt;
&lt;p&gt;HARD INCREASE IN TERMS OF TORQUE AT LOW-RANGE/MID-RANGE AND + 3 HP COMPARED TO THE ORIGINAL EXHAUST.&lt;/p&gt;
&lt;p&gt;ASTONISHING SOUND.&lt;/p&gt;</v>
      </c>
      <c r="H976" t="str">
        <f t="shared" si="300"/>
        <v>ZARD</v>
      </c>
      <c r="I976" t="str">
        <f t="shared" si="301"/>
        <v>Exhaust Pipe</v>
      </c>
      <c r="J976" t="str">
        <f t="shared" si="302"/>
        <v>Test</v>
      </c>
      <c r="K976" t="b">
        <f t="shared" si="303"/>
        <v>0</v>
      </c>
      <c r="L976" t="str">
        <f t="shared" si="289"/>
        <v/>
      </c>
      <c r="M976" t="str">
        <f t="shared" si="290"/>
        <v/>
      </c>
      <c r="R976" t="str">
        <f t="shared" si="291"/>
        <v/>
      </c>
      <c r="S976" t="str">
        <f t="shared" si="292"/>
        <v/>
      </c>
      <c r="U976" t="str">
        <f t="shared" si="293"/>
        <v/>
      </c>
      <c r="V976" t="str">
        <f t="shared" si="294"/>
        <v/>
      </c>
      <c r="W976" s="5" t="str">
        <f t="shared" si="295"/>
        <v/>
      </c>
      <c r="Y976" t="str">
        <f t="shared" si="296"/>
        <v/>
      </c>
      <c r="Z976" t="str">
        <f t="shared" si="297"/>
        <v/>
      </c>
      <c r="AB976" t="str">
        <f t="shared" si="298"/>
        <v>https://shop.officineitalianezard.it/contents/imgs/products/1_689-scarico%20moto%20guzzi%20zard%201.jpg</v>
      </c>
      <c r="AE976" t="b">
        <v>0</v>
      </c>
    </row>
    <row r="977" spans="1:31" x14ac:dyDescent="0.2">
      <c r="A977" t="str">
        <f t="shared" si="285"/>
        <v>https://shop.officineitalianezard.it/en/products/index/moto-guzzi-norge-silencer-7419-112/</v>
      </c>
      <c r="B977" t="b">
        <f>COUNTIF($A$2:$A977, A977)&gt;1</f>
        <v>1</v>
      </c>
      <c r="C977" t="b">
        <f t="shared" si="286"/>
        <v>0</v>
      </c>
      <c r="D977">
        <f>VLOOKUP(A977,variant_counts!A:B, 2, FALSE)</f>
        <v>3</v>
      </c>
      <c r="E977" t="str">
        <f t="shared" si="299"/>
        <v>zard-exhaust-silencer-moto-guzzi-norge-my-2011-conical-version-zg072ssr-11</v>
      </c>
      <c r="F977" t="str">
        <f t="shared" si="287"/>
        <v>ZARD EXHAUST SILENCER MOTO GUZZI NORGE &gt; M.Y. 2011 CONICAL VERSION ZG072SSR-11</v>
      </c>
      <c r="G977" t="str">
        <f t="shared" si="288"/>
        <v/>
      </c>
      <c r="H977" t="str">
        <f t="shared" si="300"/>
        <v/>
      </c>
      <c r="I977" t="str">
        <f t="shared" si="301"/>
        <v/>
      </c>
      <c r="J977" t="str">
        <f t="shared" si="302"/>
        <v/>
      </c>
      <c r="K977" t="str">
        <f t="shared" si="303"/>
        <v/>
      </c>
      <c r="L977" t="str">
        <f t="shared" si="289"/>
        <v/>
      </c>
      <c r="M977" t="str">
        <f t="shared" si="290"/>
        <v/>
      </c>
      <c r="R977" t="str">
        <f t="shared" si="291"/>
        <v/>
      </c>
      <c r="S977" t="str">
        <f t="shared" si="292"/>
        <v/>
      </c>
      <c r="U977" t="str">
        <f t="shared" si="293"/>
        <v/>
      </c>
      <c r="V977" t="str">
        <f t="shared" si="294"/>
        <v/>
      </c>
      <c r="W977" s="5" t="str">
        <f t="shared" si="295"/>
        <v/>
      </c>
      <c r="Y977" t="str">
        <f t="shared" si="296"/>
        <v/>
      </c>
      <c r="Z977" t="str">
        <f t="shared" si="297"/>
        <v/>
      </c>
      <c r="AB977" t="str">
        <f t="shared" si="298"/>
        <v>https://shop.officineitalianezard.it/contents/imgs/products/1_690-scarico%20moto%20guzzi%20zard%202.jpg</v>
      </c>
      <c r="AE977" t="b">
        <v>0</v>
      </c>
    </row>
    <row r="978" spans="1:31" x14ac:dyDescent="0.2">
      <c r="A978" t="str">
        <f t="shared" si="285"/>
        <v>https://shop.officineitalianezard.it/en/products/index/moto-guzzi-norge-silencer-7419-112/</v>
      </c>
      <c r="B978" t="b">
        <f>COUNTIF($A$2:$A978, A978)&gt;1</f>
        <v>1</v>
      </c>
      <c r="C978" t="b">
        <f t="shared" si="286"/>
        <v>1</v>
      </c>
      <c r="D978">
        <f>VLOOKUP(A978,variant_counts!A:B, 2, FALSE)</f>
        <v>3</v>
      </c>
      <c r="E978" t="str">
        <f t="shared" si="299"/>
        <v>zard-exhaust-silencer-moto-guzzi-norge-my-2011-conical-version-zg072ssr-11</v>
      </c>
      <c r="F978" t="str">
        <f t="shared" si="287"/>
        <v>ZARD EXHAUST SILENCER MOTO GUZZI NORGE &gt; M.Y. 2011 CONICAL VERSION ZG072SSR-11</v>
      </c>
      <c r="G978" t="str">
        <f t="shared" si="288"/>
        <v/>
      </c>
      <c r="H978" t="str">
        <f t="shared" si="300"/>
        <v/>
      </c>
      <c r="I978" t="str">
        <f t="shared" si="301"/>
        <v/>
      </c>
      <c r="J978" t="str">
        <f t="shared" si="302"/>
        <v/>
      </c>
      <c r="K978" t="str">
        <f t="shared" si="303"/>
        <v/>
      </c>
      <c r="L978" t="str">
        <f t="shared" si="289"/>
        <v>Option</v>
      </c>
      <c r="M978" t="str">
        <f t="shared" si="290"/>
        <v>EURO 3 HOMOLOGATED</v>
      </c>
      <c r="R978" t="str">
        <f t="shared" si="291"/>
        <v>ZG072SSR-11</v>
      </c>
      <c r="S978">
        <f t="shared" si="292"/>
        <v>0</v>
      </c>
      <c r="U978" t="str">
        <f t="shared" si="293"/>
        <v>continue</v>
      </c>
      <c r="V978" t="str">
        <f t="shared" si="294"/>
        <v>manual</v>
      </c>
      <c r="W978" s="5">
        <f t="shared" si="295"/>
        <v>626.06220000000008</v>
      </c>
      <c r="Y978" t="b">
        <f t="shared" si="296"/>
        <v>1</v>
      </c>
      <c r="Z978" t="b">
        <f t="shared" si="297"/>
        <v>0</v>
      </c>
      <c r="AB978" t="str">
        <f t="shared" si="298"/>
        <v/>
      </c>
      <c r="AE978" t="b">
        <v>0</v>
      </c>
    </row>
    <row r="979" spans="1:31" x14ac:dyDescent="0.2">
      <c r="A979" t="str">
        <f t="shared" si="285"/>
        <v>https://shop.officineitalianezard.it/en/products/index/moto-guzzi-norge-silencer-7419-112/</v>
      </c>
      <c r="B979" t="b">
        <f>COUNTIF($A$2:$A979, A979)&gt;1</f>
        <v>1</v>
      </c>
      <c r="C979" t="b">
        <f t="shared" si="286"/>
        <v>1</v>
      </c>
      <c r="D979">
        <f>VLOOKUP(A979,variant_counts!A:B, 2, FALSE)</f>
        <v>3</v>
      </c>
      <c r="E979" t="str">
        <f t="shared" si="299"/>
        <v>zard-exhaust-silencer-moto-guzzi-norge-my-2011-conical-version-zg072ssr-11</v>
      </c>
      <c r="F979" t="str">
        <f t="shared" si="287"/>
        <v>ZARD EXHAUST SILENCER MOTO GUZZI NORGE &gt; M.Y. 2011 CONICAL VERSION ZG072SSR-11</v>
      </c>
      <c r="G979" t="str">
        <f t="shared" si="288"/>
        <v/>
      </c>
      <c r="H979" t="str">
        <f t="shared" si="300"/>
        <v/>
      </c>
      <c r="I979" t="str">
        <f t="shared" si="301"/>
        <v/>
      </c>
      <c r="J979" t="str">
        <f t="shared" si="302"/>
        <v/>
      </c>
      <c r="K979" t="str">
        <f t="shared" si="303"/>
        <v/>
      </c>
      <c r="L979" t="str">
        <f t="shared" si="289"/>
        <v>Option</v>
      </c>
      <c r="M979" t="str">
        <f t="shared" si="290"/>
        <v>BLACK COATING</v>
      </c>
      <c r="R979" t="str">
        <f t="shared" si="291"/>
        <v>ZG072SSR-11</v>
      </c>
      <c r="S979">
        <f t="shared" si="292"/>
        <v>0</v>
      </c>
      <c r="U979" t="str">
        <f t="shared" si="293"/>
        <v>continue</v>
      </c>
      <c r="V979" t="str">
        <f t="shared" si="294"/>
        <v>manual</v>
      </c>
      <c r="W979" s="5">
        <f t="shared" si="295"/>
        <v>647.35200000000009</v>
      </c>
      <c r="Y979" t="b">
        <f t="shared" si="296"/>
        <v>1</v>
      </c>
      <c r="Z979" t="b">
        <f t="shared" si="297"/>
        <v>0</v>
      </c>
      <c r="AB979" t="str">
        <f t="shared" si="298"/>
        <v/>
      </c>
      <c r="AE979" t="b">
        <v>0</v>
      </c>
    </row>
    <row r="980" spans="1:31" x14ac:dyDescent="0.2">
      <c r="A980" t="str">
        <f t="shared" si="285"/>
        <v>https://shop.officineitalianezard.it/en/products/index/moto-guzzi-norge-silencer-7419-112/</v>
      </c>
      <c r="B980" t="b">
        <f>COUNTIF($A$2:$A980, A980)&gt;1</f>
        <v>1</v>
      </c>
      <c r="C980" t="b">
        <f t="shared" si="286"/>
        <v>1</v>
      </c>
      <c r="D980">
        <f>VLOOKUP(A980,variant_counts!A:B, 2, FALSE)</f>
        <v>3</v>
      </c>
      <c r="E980" t="str">
        <f t="shared" si="299"/>
        <v>zard-exhaust-silencer-moto-guzzi-norge-my-2011-conical-version-zg072ssr-11</v>
      </c>
      <c r="F980" t="str">
        <f t="shared" si="287"/>
        <v>ZARD EXHAUST SILENCER MOTO GUZZI NORGE &gt; M.Y. 2011 CONICAL VERSION ZG072SSR-11</v>
      </c>
      <c r="G980" t="str">
        <f t="shared" si="288"/>
        <v/>
      </c>
      <c r="H980" t="str">
        <f t="shared" si="300"/>
        <v/>
      </c>
      <c r="I980" t="str">
        <f t="shared" si="301"/>
        <v/>
      </c>
      <c r="J980" t="str">
        <f t="shared" si="302"/>
        <v/>
      </c>
      <c r="K980" t="str">
        <f t="shared" si="303"/>
        <v/>
      </c>
      <c r="L980" t="str">
        <f t="shared" si="289"/>
        <v>Option</v>
      </c>
      <c r="M980" t="str">
        <f t="shared" si="290"/>
        <v>CARBON ENDCAP</v>
      </c>
      <c r="R980" t="str">
        <f t="shared" si="291"/>
        <v>ZG072SSR-11</v>
      </c>
      <c r="S980">
        <f t="shared" si="292"/>
        <v>0</v>
      </c>
      <c r="U980" t="str">
        <f t="shared" si="293"/>
        <v>continue</v>
      </c>
      <c r="V980" t="str">
        <f t="shared" si="294"/>
        <v>manual</v>
      </c>
      <c r="W980" s="5">
        <f t="shared" si="295"/>
        <v>608.04690000000005</v>
      </c>
      <c r="Y980" t="b">
        <f t="shared" si="296"/>
        <v>1</v>
      </c>
      <c r="Z980" t="b">
        <f t="shared" si="297"/>
        <v>0</v>
      </c>
      <c r="AB980" t="str">
        <f t="shared" si="298"/>
        <v/>
      </c>
      <c r="AE980" t="b">
        <v>0</v>
      </c>
    </row>
    <row r="981" spans="1:31" x14ac:dyDescent="0.2">
      <c r="A981" t="str">
        <f t="shared" si="285"/>
        <v>https://shop.officineitalianezard.it/en/products/index/moto-guzzi-norge-silencer-7342-82/</v>
      </c>
      <c r="B981" t="b">
        <f>COUNTIF($A$2:$A981, A981)&gt;1</f>
        <v>0</v>
      </c>
      <c r="C981" t="b">
        <f t="shared" si="286"/>
        <v>0</v>
      </c>
      <c r="D981">
        <f>VLOOKUP(A981,variant_counts!A:B, 2, FALSE)</f>
        <v>3</v>
      </c>
      <c r="E981" t="str">
        <f t="shared" si="299"/>
        <v>zard-exhaust-silencer-moto-guzzi-norge-my-2011-conical-version-zg072ssr</v>
      </c>
      <c r="F981" t="str">
        <f t="shared" si="287"/>
        <v>ZARD EXHAUST SILENCER MOTO GUZZI NORGE &lt; M.Y. 2011 CONICAL VERSION ZG072SSR</v>
      </c>
      <c r="G981" t="str">
        <f t="shared" si="288"/>
        <v>&lt;p&gt;STEEL SILENCER RACING WITH REMOVABLE DB KILLER&lt;/p&gt;
&lt;p&gt;ORIGINAL SILENCER WEIGHT: KG 7&lt;br&gt;ZARD SILENCER WEIGHT: KG 3.1&lt;/p&gt;
&lt;p&gt;HARD INCREASE IN TERMS OF TORQUE AT LOW-RANGE/MID-RANGE AND + 3 HP COMPARED TO THE ORIGINAL EXHAUST.&lt;/p&gt;
&lt;p&gt;ASTONISHING SOUND.&lt;/p&gt;</v>
      </c>
      <c r="H981" t="str">
        <f t="shared" si="300"/>
        <v>ZARD</v>
      </c>
      <c r="I981" t="str">
        <f t="shared" si="301"/>
        <v>Exhaust Pipe</v>
      </c>
      <c r="J981" t="str">
        <f t="shared" si="302"/>
        <v>Test</v>
      </c>
      <c r="K981" t="b">
        <f t="shared" si="303"/>
        <v>0</v>
      </c>
      <c r="L981" t="str">
        <f t="shared" si="289"/>
        <v/>
      </c>
      <c r="M981" t="str">
        <f t="shared" si="290"/>
        <v/>
      </c>
      <c r="R981" t="str">
        <f t="shared" si="291"/>
        <v/>
      </c>
      <c r="S981" t="str">
        <f t="shared" si="292"/>
        <v/>
      </c>
      <c r="U981" t="str">
        <f t="shared" si="293"/>
        <v/>
      </c>
      <c r="V981" t="str">
        <f t="shared" si="294"/>
        <v/>
      </c>
      <c r="W981" s="5" t="str">
        <f t="shared" si="295"/>
        <v/>
      </c>
      <c r="Y981" t="str">
        <f t="shared" si="296"/>
        <v/>
      </c>
      <c r="Z981" t="str">
        <f t="shared" si="297"/>
        <v/>
      </c>
      <c r="AB981" t="str">
        <f t="shared" si="298"/>
        <v>https://shop.officineitalianezard.it/contents/imgs/products/1_543-scarico%20moto%20guzzi%20zard%201.jpg</v>
      </c>
      <c r="AE981" t="b">
        <v>0</v>
      </c>
    </row>
    <row r="982" spans="1:31" x14ac:dyDescent="0.2">
      <c r="A982" t="str">
        <f t="shared" si="285"/>
        <v>https://shop.officineitalianezard.it/en/products/index/moto-guzzi-norge-silencer-7342-82/</v>
      </c>
      <c r="B982" t="b">
        <f>COUNTIF($A$2:$A982, A982)&gt;1</f>
        <v>1</v>
      </c>
      <c r="C982" t="b">
        <f t="shared" si="286"/>
        <v>0</v>
      </c>
      <c r="D982">
        <f>VLOOKUP(A982,variant_counts!A:B, 2, FALSE)</f>
        <v>3</v>
      </c>
      <c r="E982" t="str">
        <f t="shared" si="299"/>
        <v>zard-exhaust-silencer-moto-guzzi-norge-my-2011-conical-version-zg072ssr</v>
      </c>
      <c r="F982" t="str">
        <f t="shared" si="287"/>
        <v>ZARD EXHAUST SILENCER MOTO GUZZI NORGE &lt; M.Y. 2011 CONICAL VERSION ZG072SSR</v>
      </c>
      <c r="G982" t="str">
        <f t="shared" si="288"/>
        <v/>
      </c>
      <c r="H982" t="str">
        <f t="shared" si="300"/>
        <v/>
      </c>
      <c r="I982" t="str">
        <f t="shared" si="301"/>
        <v/>
      </c>
      <c r="J982" t="str">
        <f t="shared" si="302"/>
        <v/>
      </c>
      <c r="K982" t="str">
        <f t="shared" si="303"/>
        <v/>
      </c>
      <c r="L982" t="str">
        <f t="shared" si="289"/>
        <v/>
      </c>
      <c r="M982" t="str">
        <f t="shared" si="290"/>
        <v/>
      </c>
      <c r="R982" t="str">
        <f t="shared" si="291"/>
        <v/>
      </c>
      <c r="S982" t="str">
        <f t="shared" si="292"/>
        <v/>
      </c>
      <c r="U982" t="str">
        <f t="shared" si="293"/>
        <v/>
      </c>
      <c r="V982" t="str">
        <f t="shared" si="294"/>
        <v/>
      </c>
      <c r="W982" s="5" t="str">
        <f t="shared" si="295"/>
        <v/>
      </c>
      <c r="Y982" t="str">
        <f t="shared" si="296"/>
        <v/>
      </c>
      <c r="Z982" t="str">
        <f t="shared" si="297"/>
        <v/>
      </c>
      <c r="AB982" t="str">
        <f t="shared" si="298"/>
        <v>https://shop.officineitalianezard.it/contents/imgs/products/1_544-scarico%20moto%20guzzi%20zard%202.jpg</v>
      </c>
      <c r="AE982" t="b">
        <v>0</v>
      </c>
    </row>
    <row r="983" spans="1:31" x14ac:dyDescent="0.2">
      <c r="A983" t="str">
        <f t="shared" si="285"/>
        <v>https://shop.officineitalianezard.it/en/products/index/moto-guzzi-norge-silencer-7342-82/</v>
      </c>
      <c r="B983" t="b">
        <f>COUNTIF($A$2:$A983, A983)&gt;1</f>
        <v>1</v>
      </c>
      <c r="C983" t="b">
        <f t="shared" si="286"/>
        <v>1</v>
      </c>
      <c r="D983">
        <f>VLOOKUP(A983,variant_counts!A:B, 2, FALSE)</f>
        <v>3</v>
      </c>
      <c r="E983" t="str">
        <f t="shared" si="299"/>
        <v>zard-exhaust-silencer-moto-guzzi-norge-my-2011-conical-version-zg072ssr</v>
      </c>
      <c r="F983" t="str">
        <f t="shared" si="287"/>
        <v>ZARD EXHAUST SILENCER MOTO GUZZI NORGE &lt; M.Y. 2011 CONICAL VERSION ZG072SSR</v>
      </c>
      <c r="G983" t="str">
        <f t="shared" si="288"/>
        <v/>
      </c>
      <c r="H983" t="str">
        <f t="shared" si="300"/>
        <v/>
      </c>
      <c r="I983" t="str">
        <f t="shared" si="301"/>
        <v/>
      </c>
      <c r="J983" t="str">
        <f t="shared" si="302"/>
        <v/>
      </c>
      <c r="K983" t="str">
        <f t="shared" si="303"/>
        <v/>
      </c>
      <c r="L983" t="str">
        <f t="shared" si="289"/>
        <v>Option</v>
      </c>
      <c r="M983" t="str">
        <f t="shared" si="290"/>
        <v>EURO 3 HOMOLOGATED</v>
      </c>
      <c r="R983" t="str">
        <f t="shared" si="291"/>
        <v>ZG072SSR</v>
      </c>
      <c r="S983">
        <f t="shared" si="292"/>
        <v>0</v>
      </c>
      <c r="U983" t="str">
        <f t="shared" si="293"/>
        <v>continue</v>
      </c>
      <c r="V983" t="str">
        <f t="shared" si="294"/>
        <v>manual</v>
      </c>
      <c r="W983" s="5">
        <f t="shared" si="295"/>
        <v>626.06220000000008</v>
      </c>
      <c r="Y983" t="b">
        <f t="shared" si="296"/>
        <v>1</v>
      </c>
      <c r="Z983" t="b">
        <f t="shared" si="297"/>
        <v>0</v>
      </c>
      <c r="AB983" t="str">
        <f t="shared" si="298"/>
        <v/>
      </c>
      <c r="AE983" t="b">
        <v>0</v>
      </c>
    </row>
    <row r="984" spans="1:31" x14ac:dyDescent="0.2">
      <c r="A984" t="str">
        <f t="shared" si="285"/>
        <v>https://shop.officineitalianezard.it/en/products/index/moto-guzzi-norge-silencer-7342-82/</v>
      </c>
      <c r="B984" t="b">
        <f>COUNTIF($A$2:$A984, A984)&gt;1</f>
        <v>1</v>
      </c>
      <c r="C984" t="b">
        <f t="shared" si="286"/>
        <v>1</v>
      </c>
      <c r="D984">
        <f>VLOOKUP(A984,variant_counts!A:B, 2, FALSE)</f>
        <v>3</v>
      </c>
      <c r="E984" t="str">
        <f t="shared" si="299"/>
        <v>zard-exhaust-silencer-moto-guzzi-norge-my-2011-conical-version-zg072ssr</v>
      </c>
      <c r="F984" t="str">
        <f t="shared" si="287"/>
        <v>ZARD EXHAUST SILENCER MOTO GUZZI NORGE &lt; M.Y. 2011 CONICAL VERSION ZG072SSR</v>
      </c>
      <c r="G984" t="str">
        <f t="shared" si="288"/>
        <v/>
      </c>
      <c r="H984" t="str">
        <f t="shared" si="300"/>
        <v/>
      </c>
      <c r="I984" t="str">
        <f t="shared" si="301"/>
        <v/>
      </c>
      <c r="J984" t="str">
        <f t="shared" si="302"/>
        <v/>
      </c>
      <c r="K984" t="str">
        <f t="shared" si="303"/>
        <v/>
      </c>
      <c r="L984" t="str">
        <f t="shared" si="289"/>
        <v>Option</v>
      </c>
      <c r="M984" t="str">
        <f t="shared" si="290"/>
        <v>BLACK COATING</v>
      </c>
      <c r="R984" t="str">
        <f t="shared" si="291"/>
        <v>ZG072SSR</v>
      </c>
      <c r="S984">
        <f t="shared" si="292"/>
        <v>0</v>
      </c>
      <c r="U984" t="str">
        <f t="shared" si="293"/>
        <v>continue</v>
      </c>
      <c r="V984" t="str">
        <f t="shared" si="294"/>
        <v>manual</v>
      </c>
      <c r="W984" s="5">
        <f t="shared" si="295"/>
        <v>647.35200000000009</v>
      </c>
      <c r="Y984" t="b">
        <f t="shared" si="296"/>
        <v>1</v>
      </c>
      <c r="Z984" t="b">
        <f t="shared" si="297"/>
        <v>0</v>
      </c>
      <c r="AB984" t="str">
        <f t="shared" si="298"/>
        <v/>
      </c>
      <c r="AE984" t="b">
        <v>0</v>
      </c>
    </row>
    <row r="985" spans="1:31" x14ac:dyDescent="0.2">
      <c r="A985" t="str">
        <f t="shared" si="285"/>
        <v>https://shop.officineitalianezard.it/en/products/index/moto-guzzi-norge-silencer-7342-82/</v>
      </c>
      <c r="B985" t="b">
        <f>COUNTIF($A$2:$A985, A985)&gt;1</f>
        <v>1</v>
      </c>
      <c r="C985" t="b">
        <f t="shared" si="286"/>
        <v>1</v>
      </c>
      <c r="D985">
        <f>VLOOKUP(A985,variant_counts!A:B, 2, FALSE)</f>
        <v>3</v>
      </c>
      <c r="E985" t="str">
        <f t="shared" si="299"/>
        <v>zard-exhaust-silencer-moto-guzzi-norge-my-2011-conical-version-zg072ssr</v>
      </c>
      <c r="F985" t="str">
        <f t="shared" si="287"/>
        <v>ZARD EXHAUST SILENCER MOTO GUZZI NORGE &lt; M.Y. 2011 CONICAL VERSION ZG072SSR</v>
      </c>
      <c r="G985" t="str">
        <f t="shared" si="288"/>
        <v/>
      </c>
      <c r="H985" t="str">
        <f t="shared" si="300"/>
        <v/>
      </c>
      <c r="I985" t="str">
        <f t="shared" si="301"/>
        <v/>
      </c>
      <c r="J985" t="str">
        <f t="shared" si="302"/>
        <v/>
      </c>
      <c r="K985" t="str">
        <f t="shared" si="303"/>
        <v/>
      </c>
      <c r="L985" t="str">
        <f t="shared" si="289"/>
        <v>Option</v>
      </c>
      <c r="M985" t="str">
        <f t="shared" si="290"/>
        <v>CARBON ENDCAP</v>
      </c>
      <c r="R985" t="str">
        <f t="shared" si="291"/>
        <v>ZG072SSR</v>
      </c>
      <c r="S985">
        <f t="shared" si="292"/>
        <v>0</v>
      </c>
      <c r="U985" t="str">
        <f t="shared" si="293"/>
        <v>continue</v>
      </c>
      <c r="V985" t="str">
        <f t="shared" si="294"/>
        <v>manual</v>
      </c>
      <c r="W985" s="5">
        <f t="shared" si="295"/>
        <v>608.04690000000005</v>
      </c>
      <c r="Y985" t="b">
        <f t="shared" si="296"/>
        <v>1</v>
      </c>
      <c r="Z985" t="b">
        <f t="shared" si="297"/>
        <v>0</v>
      </c>
      <c r="AB985" t="str">
        <f t="shared" si="298"/>
        <v/>
      </c>
      <c r="AE985" t="b">
        <v>0</v>
      </c>
    </row>
    <row r="986" spans="1:31" x14ac:dyDescent="0.2">
      <c r="A986" t="str">
        <f t="shared" si="285"/>
        <v>https://shop.officineitalianezard.it/en/moto-guzzi-le-mans-zard-exhaust/</v>
      </c>
      <c r="B986" t="b">
        <f>COUNTIF($A$2:$A986, A986)&gt;1</f>
        <v>0</v>
      </c>
      <c r="C986" t="b">
        <f t="shared" si="286"/>
        <v>0</v>
      </c>
      <c r="D986">
        <f>VLOOKUP(A986,variant_counts!A:B, 2, FALSE)</f>
        <v>2</v>
      </c>
      <c r="E986" t="str">
        <f t="shared" si="299"/>
        <v>zard-exhaust-22-full-kit-moto-guzzi-le-mans-steel-version-zg095skr</v>
      </c>
      <c r="F986" t="str">
        <f t="shared" si="287"/>
        <v>ZARD EXHAUST 2&gt;2 FULL KIT MOTO GUZZI LE MANS STEEL VERSION ZG095SKR</v>
      </c>
      <c r="G986" t="str">
        <f t="shared" si="288"/>
        <v>&lt;p&gt;STEEL 2&amp;gt;2 RACING FULL KIT WITH REMOVABLE DB KILLER&lt;/p&gt;
&lt;p&gt;HARD INCREASE, COMPARED TO THE ORIGINAL EXHAUST SYSTEM, IN TERMS OF TORQUE AND POWER AT ANY RANGE&lt;/p&gt;
&lt;p&gt;ASTONISHING SOUND&lt;/p&gt;
&lt;p&gt;&lt;span&gt;AVAILABLE ON DEMAND ONLY. DELIVERY 4 WORKING WEEKS FROM ORDER.&lt;/span&gt;&lt;/p&gt;</v>
      </c>
      <c r="H986" t="str">
        <f t="shared" si="300"/>
        <v>ZARD</v>
      </c>
      <c r="I986" t="str">
        <f t="shared" si="301"/>
        <v>Exhaust Pipe</v>
      </c>
      <c r="J986" t="str">
        <f t="shared" si="302"/>
        <v>Test</v>
      </c>
      <c r="K986" t="b">
        <f t="shared" si="303"/>
        <v>0</v>
      </c>
      <c r="L986" t="str">
        <f t="shared" si="289"/>
        <v/>
      </c>
      <c r="M986" t="str">
        <f t="shared" si="290"/>
        <v/>
      </c>
      <c r="R986" t="str">
        <f t="shared" si="291"/>
        <v/>
      </c>
      <c r="S986" t="str">
        <f t="shared" si="292"/>
        <v/>
      </c>
      <c r="U986" t="str">
        <f t="shared" si="293"/>
        <v/>
      </c>
      <c r="V986" t="str">
        <f t="shared" si="294"/>
        <v/>
      </c>
      <c r="W986" s="5" t="str">
        <f t="shared" si="295"/>
        <v/>
      </c>
      <c r="Y986" t="str">
        <f t="shared" si="296"/>
        <v/>
      </c>
      <c r="Z986" t="str">
        <f t="shared" si="297"/>
        <v/>
      </c>
      <c r="AB986" t="str">
        <f t="shared" si="298"/>
        <v>https://shop.officineitalianezard.it/contents/imgs/products/1_1245-lemans1sito.jpg</v>
      </c>
      <c r="AE986" t="b">
        <v>0</v>
      </c>
    </row>
    <row r="987" spans="1:31" x14ac:dyDescent="0.2">
      <c r="A987" t="str">
        <f t="shared" si="285"/>
        <v>https://shop.officineitalianezard.it/en/moto-guzzi-le-mans-zard-exhaust/</v>
      </c>
      <c r="B987" t="b">
        <f>COUNTIF($A$2:$A987, A987)&gt;1</f>
        <v>1</v>
      </c>
      <c r="C987" t="b">
        <f t="shared" si="286"/>
        <v>0</v>
      </c>
      <c r="D987">
        <f>VLOOKUP(A987,variant_counts!A:B, 2, FALSE)</f>
        <v>2</v>
      </c>
      <c r="E987" t="str">
        <f t="shared" si="299"/>
        <v>zard-exhaust-22-full-kit-moto-guzzi-le-mans-steel-version-zg095skr</v>
      </c>
      <c r="F987" t="str">
        <f t="shared" si="287"/>
        <v>ZARD EXHAUST 2&gt;2 FULL KIT MOTO GUZZI LE MANS STEEL VERSION ZG095SKR</v>
      </c>
      <c r="G987" t="str">
        <f t="shared" si="288"/>
        <v/>
      </c>
      <c r="H987" t="str">
        <f t="shared" si="300"/>
        <v/>
      </c>
      <c r="I987" t="str">
        <f t="shared" si="301"/>
        <v/>
      </c>
      <c r="J987" t="str">
        <f t="shared" si="302"/>
        <v/>
      </c>
      <c r="K987" t="str">
        <f t="shared" si="303"/>
        <v/>
      </c>
      <c r="L987" t="str">
        <f t="shared" si="289"/>
        <v/>
      </c>
      <c r="M987" t="str">
        <f t="shared" si="290"/>
        <v/>
      </c>
      <c r="R987" t="str">
        <f t="shared" si="291"/>
        <v/>
      </c>
      <c r="S987" t="str">
        <f t="shared" si="292"/>
        <v/>
      </c>
      <c r="U987" t="str">
        <f t="shared" si="293"/>
        <v/>
      </c>
      <c r="V987" t="str">
        <f t="shared" si="294"/>
        <v/>
      </c>
      <c r="W987" s="5" t="str">
        <f t="shared" si="295"/>
        <v/>
      </c>
      <c r="Y987" t="str">
        <f t="shared" si="296"/>
        <v/>
      </c>
      <c r="Z987" t="str">
        <f t="shared" si="297"/>
        <v/>
      </c>
      <c r="AB987" t="str">
        <f t="shared" si="298"/>
        <v>https://shop.officineitalianezard.it/contents/imgs/products/1_1836-le%20mans%20guzzi%20zard%202.jpg</v>
      </c>
      <c r="AE987" t="b">
        <v>0</v>
      </c>
    </row>
    <row r="988" spans="1:31" x14ac:dyDescent="0.2">
      <c r="A988" t="str">
        <f t="shared" si="285"/>
        <v>https://shop.officineitalianezard.it/en/moto-guzzi-le-mans-zard-exhaust/</v>
      </c>
      <c r="B988" t="b">
        <f>COUNTIF($A$2:$A988, A988)&gt;1</f>
        <v>1</v>
      </c>
      <c r="C988" t="b">
        <f t="shared" si="286"/>
        <v>0</v>
      </c>
      <c r="D988">
        <f>VLOOKUP(A988,variant_counts!A:B, 2, FALSE)</f>
        <v>2</v>
      </c>
      <c r="E988" t="str">
        <f t="shared" si="299"/>
        <v>zard-exhaust-22-full-kit-moto-guzzi-le-mans-steel-version-zg095skr</v>
      </c>
      <c r="F988" t="str">
        <f t="shared" si="287"/>
        <v>ZARD EXHAUST 2&gt;2 FULL KIT MOTO GUZZI LE MANS STEEL VERSION ZG095SKR</v>
      </c>
      <c r="G988" t="str">
        <f t="shared" si="288"/>
        <v/>
      </c>
      <c r="H988" t="str">
        <f t="shared" si="300"/>
        <v/>
      </c>
      <c r="I988" t="str">
        <f t="shared" si="301"/>
        <v/>
      </c>
      <c r="J988" t="str">
        <f t="shared" si="302"/>
        <v/>
      </c>
      <c r="K988" t="str">
        <f t="shared" si="303"/>
        <v/>
      </c>
      <c r="L988" t="str">
        <f t="shared" si="289"/>
        <v/>
      </c>
      <c r="M988" t="str">
        <f t="shared" si="290"/>
        <v/>
      </c>
      <c r="R988" t="str">
        <f t="shared" si="291"/>
        <v/>
      </c>
      <c r="S988" t="str">
        <f t="shared" si="292"/>
        <v/>
      </c>
      <c r="U988" t="str">
        <f t="shared" si="293"/>
        <v/>
      </c>
      <c r="V988" t="str">
        <f t="shared" si="294"/>
        <v/>
      </c>
      <c r="W988" s="5" t="str">
        <f t="shared" si="295"/>
        <v/>
      </c>
      <c r="Y988" t="str">
        <f t="shared" si="296"/>
        <v/>
      </c>
      <c r="Z988" t="str">
        <f t="shared" si="297"/>
        <v/>
      </c>
      <c r="AB988" t="str">
        <f t="shared" si="298"/>
        <v>https://shop.officineitalianezard.it/contents/imgs/products/1_1837-le%20mans%20guzzi%20zard.jpg</v>
      </c>
      <c r="AE988" t="b">
        <v>0</v>
      </c>
    </row>
    <row r="989" spans="1:31" x14ac:dyDescent="0.2">
      <c r="A989" t="str">
        <f t="shared" si="285"/>
        <v>https://shop.officineitalianezard.it/en/moto-guzzi-le-mans-zard-exhaust/</v>
      </c>
      <c r="B989" t="b">
        <f>COUNTIF($A$2:$A989, A989)&gt;1</f>
        <v>1</v>
      </c>
      <c r="C989" t="b">
        <f t="shared" si="286"/>
        <v>0</v>
      </c>
      <c r="D989">
        <f>VLOOKUP(A989,variant_counts!A:B, 2, FALSE)</f>
        <v>2</v>
      </c>
      <c r="E989" t="str">
        <f t="shared" si="299"/>
        <v>zard-exhaust-22-full-kit-moto-guzzi-le-mans-steel-version-zg095skr</v>
      </c>
      <c r="F989" t="str">
        <f t="shared" si="287"/>
        <v>ZARD EXHAUST 2&gt;2 FULL KIT MOTO GUZZI LE MANS STEEL VERSION ZG095SKR</v>
      </c>
      <c r="G989" t="str">
        <f t="shared" si="288"/>
        <v/>
      </c>
      <c r="H989" t="str">
        <f t="shared" si="300"/>
        <v/>
      </c>
      <c r="I989" t="str">
        <f t="shared" si="301"/>
        <v/>
      </c>
      <c r="J989" t="str">
        <f t="shared" si="302"/>
        <v/>
      </c>
      <c r="K989" t="str">
        <f t="shared" si="303"/>
        <v/>
      </c>
      <c r="L989" t="str">
        <f t="shared" si="289"/>
        <v/>
      </c>
      <c r="M989" t="str">
        <f t="shared" si="290"/>
        <v/>
      </c>
      <c r="R989" t="str">
        <f t="shared" si="291"/>
        <v/>
      </c>
      <c r="S989" t="str">
        <f t="shared" si="292"/>
        <v/>
      </c>
      <c r="U989" t="str">
        <f t="shared" si="293"/>
        <v/>
      </c>
      <c r="V989" t="str">
        <f t="shared" si="294"/>
        <v/>
      </c>
      <c r="W989" s="5" t="str">
        <f t="shared" si="295"/>
        <v/>
      </c>
      <c r="Y989" t="str">
        <f t="shared" si="296"/>
        <v/>
      </c>
      <c r="Z989" t="str">
        <f t="shared" si="297"/>
        <v/>
      </c>
      <c r="AB989" t="str">
        <f t="shared" si="298"/>
        <v>https://shop.officineitalianezard.it/contents/imgs/products/1_1795-13559111_1769807879932699_4177920961974432603_o.jpg</v>
      </c>
      <c r="AE989" t="b">
        <v>0</v>
      </c>
    </row>
    <row r="990" spans="1:31" x14ac:dyDescent="0.2">
      <c r="A990" t="str">
        <f t="shared" si="285"/>
        <v>https://shop.officineitalianezard.it/en/moto-guzzi-le-mans-zard-exhaust/</v>
      </c>
      <c r="B990" t="b">
        <f>COUNTIF($A$2:$A990, A990)&gt;1</f>
        <v>1</v>
      </c>
      <c r="C990" t="b">
        <f t="shared" si="286"/>
        <v>0</v>
      </c>
      <c r="D990">
        <f>VLOOKUP(A990,variant_counts!A:B, 2, FALSE)</f>
        <v>2</v>
      </c>
      <c r="E990" t="str">
        <f t="shared" si="299"/>
        <v>zard-exhaust-22-full-kit-moto-guzzi-le-mans-steel-version-zg095skr</v>
      </c>
      <c r="F990" t="str">
        <f t="shared" si="287"/>
        <v>ZARD EXHAUST 2&gt;2 FULL KIT MOTO GUZZI LE MANS STEEL VERSION ZG095SKR</v>
      </c>
      <c r="G990" t="str">
        <f t="shared" si="288"/>
        <v/>
      </c>
      <c r="H990" t="str">
        <f t="shared" si="300"/>
        <v/>
      </c>
      <c r="I990" t="str">
        <f t="shared" si="301"/>
        <v/>
      </c>
      <c r="J990" t="str">
        <f t="shared" si="302"/>
        <v/>
      </c>
      <c r="K990" t="str">
        <f t="shared" si="303"/>
        <v/>
      </c>
      <c r="L990" t="str">
        <f t="shared" si="289"/>
        <v/>
      </c>
      <c r="M990" t="str">
        <f t="shared" si="290"/>
        <v/>
      </c>
      <c r="R990" t="str">
        <f t="shared" si="291"/>
        <v/>
      </c>
      <c r="S990" t="str">
        <f t="shared" si="292"/>
        <v/>
      </c>
      <c r="U990" t="str">
        <f t="shared" si="293"/>
        <v/>
      </c>
      <c r="V990" t="str">
        <f t="shared" si="294"/>
        <v/>
      </c>
      <c r="W990" s="5" t="str">
        <f t="shared" si="295"/>
        <v/>
      </c>
      <c r="Y990" t="str">
        <f t="shared" si="296"/>
        <v/>
      </c>
      <c r="Z990" t="str">
        <f t="shared" si="297"/>
        <v/>
      </c>
      <c r="AB990" t="str">
        <f t="shared" si="298"/>
        <v>https://shop.officineitalianezard.it/contents/imgs/products/1_1796-13575928_1769805463266274_5658087586871920989_o.jpg</v>
      </c>
      <c r="AE990" t="b">
        <v>0</v>
      </c>
    </row>
    <row r="991" spans="1:31" x14ac:dyDescent="0.2">
      <c r="A991" t="str">
        <f t="shared" si="285"/>
        <v>https://shop.officineitalianezard.it/en/moto-guzzi-le-mans-zard-exhaust/</v>
      </c>
      <c r="B991" t="b">
        <f>COUNTIF($A$2:$A991, A991)&gt;1</f>
        <v>1</v>
      </c>
      <c r="C991" t="b">
        <f t="shared" si="286"/>
        <v>0</v>
      </c>
      <c r="D991">
        <f>VLOOKUP(A991,variant_counts!A:B, 2, FALSE)</f>
        <v>2</v>
      </c>
      <c r="E991" t="str">
        <f t="shared" si="299"/>
        <v>zard-exhaust-22-full-kit-moto-guzzi-le-mans-steel-version-zg095skr</v>
      </c>
      <c r="F991" t="str">
        <f t="shared" si="287"/>
        <v>ZARD EXHAUST 2&gt;2 FULL KIT MOTO GUZZI LE MANS STEEL VERSION ZG095SKR</v>
      </c>
      <c r="G991" t="str">
        <f t="shared" si="288"/>
        <v/>
      </c>
      <c r="H991" t="str">
        <f t="shared" si="300"/>
        <v/>
      </c>
      <c r="I991" t="str">
        <f t="shared" si="301"/>
        <v/>
      </c>
      <c r="J991" t="str">
        <f t="shared" si="302"/>
        <v/>
      </c>
      <c r="K991" t="str">
        <f t="shared" si="303"/>
        <v/>
      </c>
      <c r="L991" t="str">
        <f t="shared" si="289"/>
        <v/>
      </c>
      <c r="M991" t="str">
        <f t="shared" si="290"/>
        <v/>
      </c>
      <c r="R991" t="str">
        <f t="shared" si="291"/>
        <v/>
      </c>
      <c r="S991" t="str">
        <f t="shared" si="292"/>
        <v/>
      </c>
      <c r="U991" t="str">
        <f t="shared" si="293"/>
        <v/>
      </c>
      <c r="V991" t="str">
        <f t="shared" si="294"/>
        <v/>
      </c>
      <c r="W991" s="5" t="str">
        <f t="shared" si="295"/>
        <v/>
      </c>
      <c r="Y991" t="str">
        <f t="shared" si="296"/>
        <v/>
      </c>
      <c r="Z991" t="str">
        <f t="shared" si="297"/>
        <v/>
      </c>
      <c r="AB991" t="str">
        <f t="shared" si="298"/>
        <v>https://shop.officineitalianezard.it/contents/imgs/products/1_1797-13576619_1767553100158177_4073183710709924169_o.jpg</v>
      </c>
      <c r="AE991" t="b">
        <v>0</v>
      </c>
    </row>
    <row r="992" spans="1:31" x14ac:dyDescent="0.2">
      <c r="A992" t="str">
        <f t="shared" si="285"/>
        <v>https://shop.officineitalianezard.it/en/moto-guzzi-le-mans-zard-exhaust/</v>
      </c>
      <c r="B992" t="b">
        <f>COUNTIF($A$2:$A992, A992)&gt;1</f>
        <v>1</v>
      </c>
      <c r="C992" t="b">
        <f t="shared" si="286"/>
        <v>1</v>
      </c>
      <c r="D992">
        <f>VLOOKUP(A992,variant_counts!A:B, 2, FALSE)</f>
        <v>2</v>
      </c>
      <c r="E992" t="str">
        <f t="shared" si="299"/>
        <v>zard-exhaust-22-full-kit-moto-guzzi-le-mans-steel-version-zg095skr</v>
      </c>
      <c r="F992" t="str">
        <f t="shared" si="287"/>
        <v>ZARD EXHAUST 2&gt;2 FULL KIT MOTO GUZZI LE MANS STEEL VERSION ZG095SKR</v>
      </c>
      <c r="G992" t="str">
        <f t="shared" si="288"/>
        <v/>
      </c>
      <c r="H992" t="str">
        <f t="shared" si="300"/>
        <v/>
      </c>
      <c r="I992" t="str">
        <f t="shared" si="301"/>
        <v/>
      </c>
      <c r="J992" t="str">
        <f t="shared" si="302"/>
        <v/>
      </c>
      <c r="K992" t="str">
        <f t="shared" si="303"/>
        <v/>
      </c>
      <c r="L992" t="str">
        <f t="shared" si="289"/>
        <v>Option</v>
      </c>
      <c r="M992" t="str">
        <f t="shared" si="290"/>
        <v>BLACK COATING</v>
      </c>
      <c r="R992" t="str">
        <f t="shared" si="291"/>
        <v>ZG095SKR</v>
      </c>
      <c r="S992">
        <f t="shared" si="292"/>
        <v>0</v>
      </c>
      <c r="U992" t="str">
        <f t="shared" si="293"/>
        <v>continue</v>
      </c>
      <c r="V992" t="str">
        <f t="shared" si="294"/>
        <v>manual</v>
      </c>
      <c r="W992" s="5">
        <f t="shared" si="295"/>
        <v>1224.6408000000001</v>
      </c>
      <c r="Y992" t="b">
        <f t="shared" si="296"/>
        <v>1</v>
      </c>
      <c r="Z992" t="b">
        <f t="shared" si="297"/>
        <v>0</v>
      </c>
      <c r="AB992" t="str">
        <f t="shared" si="298"/>
        <v/>
      </c>
      <c r="AE992" t="b">
        <v>0</v>
      </c>
    </row>
    <row r="993" spans="1:31" x14ac:dyDescent="0.2">
      <c r="A993" t="str">
        <f t="shared" si="285"/>
        <v>https://shop.officineitalianezard.it/en/moto-guzzi-le-mans-zard-exhaust/</v>
      </c>
      <c r="B993" t="b">
        <f>COUNTIF($A$2:$A993, A993)&gt;1</f>
        <v>1</v>
      </c>
      <c r="C993" t="b">
        <f t="shared" si="286"/>
        <v>1</v>
      </c>
      <c r="D993">
        <f>VLOOKUP(A993,variant_counts!A:B, 2, FALSE)</f>
        <v>2</v>
      </c>
      <c r="E993" t="str">
        <f t="shared" si="299"/>
        <v>zard-exhaust-22-full-kit-moto-guzzi-le-mans-steel-version-zg095skr</v>
      </c>
      <c r="F993" t="str">
        <f t="shared" si="287"/>
        <v>ZARD EXHAUST 2&gt;2 FULL KIT MOTO GUZZI LE MANS STEEL VERSION ZG095SKR</v>
      </c>
      <c r="G993" t="str">
        <f t="shared" si="288"/>
        <v/>
      </c>
      <c r="H993" t="str">
        <f t="shared" si="300"/>
        <v/>
      </c>
      <c r="I993" t="str">
        <f t="shared" si="301"/>
        <v/>
      </c>
      <c r="J993" t="str">
        <f t="shared" si="302"/>
        <v/>
      </c>
      <c r="K993" t="str">
        <f t="shared" si="303"/>
        <v/>
      </c>
      <c r="L993" t="str">
        <f t="shared" si="289"/>
        <v>Option</v>
      </c>
      <c r="M993" t="str">
        <f t="shared" si="290"/>
        <v>POLISHED</v>
      </c>
      <c r="R993" t="str">
        <f t="shared" si="291"/>
        <v>ZG095SKR</v>
      </c>
      <c r="S993">
        <f t="shared" si="292"/>
        <v>0</v>
      </c>
      <c r="U993" t="str">
        <f t="shared" si="293"/>
        <v>continue</v>
      </c>
      <c r="V993" t="str">
        <f t="shared" si="294"/>
        <v>manual</v>
      </c>
      <c r="W993" s="5">
        <f t="shared" si="295"/>
        <v>1143.5775000000001</v>
      </c>
      <c r="Y993" t="b">
        <f t="shared" si="296"/>
        <v>1</v>
      </c>
      <c r="Z993" t="b">
        <f t="shared" si="297"/>
        <v>0</v>
      </c>
      <c r="AB993" t="str">
        <f t="shared" si="298"/>
        <v/>
      </c>
      <c r="AE993" t="b">
        <v>0</v>
      </c>
    </row>
    <row r="994" spans="1:31" x14ac:dyDescent="0.2">
      <c r="A994" t="str">
        <f t="shared" si="285"/>
        <v>https://shop.officineitalianezard.it/en/moto-guzzi-griso-silencer/</v>
      </c>
      <c r="B994" t="b">
        <f>COUNTIF($A$2:$A994, A994)&gt;1</f>
        <v>0</v>
      </c>
      <c r="C994" t="b">
        <f t="shared" si="286"/>
        <v>0</v>
      </c>
      <c r="D994">
        <f>VLOOKUP(A994,variant_counts!A:B, 2, FALSE)</f>
        <v>3</v>
      </c>
      <c r="E994" t="str">
        <f t="shared" si="299"/>
        <v>zard-exhaust-silencer-moto-guzzi-griso-conical-version-zg070ssr-b</v>
      </c>
      <c r="F994" t="str">
        <f t="shared" si="287"/>
        <v>ZARD EXHAUST SILENCER MOTO GUZZI GRISO CONICAL VERSION ZG070SSR-B</v>
      </c>
      <c r="G994" t="str">
        <f t="shared" si="288"/>
        <v>&lt;p&gt;STEEL SILENCER RACING WITH REMOVABLE DB KILLER&lt;/p&gt;
&lt;p&gt;WEIGHT OF THE ORIGINAL FULL KIT: KG 8.5&lt;br&gt;WEIGHT OF THE ZARD STREET LEGAL MUFFLER WITH CAT: KG 3.2&lt;/p&gt;
&lt;p&gt;SILENCER CAN BE FITTED ON ALL TWO AND FOUR VALVES MODELS&lt;/p&gt;
&lt;p&gt;HARD INCREASE, COMPARED TO THE ORIGINAL EXHAUST SYSTEM, IN TERMS OF TORQUE AND POWER (+3 HP) AT ANY RANGE.&lt;/p&gt;
&lt;p&gt;THE MUFFLER FIT ON THE 2011 VERSION OF THE GRISO.&lt;/p&gt;
&lt;p&gt;ASTONISHING SOUND.&lt;/p&gt;
&lt;p&gt;SILENCER FITS ALSO ON 2015 MODELS&lt;/p&gt;</v>
      </c>
      <c r="H994" t="str">
        <f t="shared" si="300"/>
        <v>ZARD</v>
      </c>
      <c r="I994" t="str">
        <f t="shared" si="301"/>
        <v>Exhaust Pipe</v>
      </c>
      <c r="J994" t="str">
        <f t="shared" si="302"/>
        <v>Test</v>
      </c>
      <c r="K994" t="b">
        <f t="shared" si="303"/>
        <v>0</v>
      </c>
      <c r="L994" t="str">
        <f t="shared" si="289"/>
        <v/>
      </c>
      <c r="M994" t="str">
        <f t="shared" si="290"/>
        <v/>
      </c>
      <c r="R994" t="str">
        <f t="shared" si="291"/>
        <v/>
      </c>
      <c r="S994" t="str">
        <f t="shared" si="292"/>
        <v/>
      </c>
      <c r="U994" t="str">
        <f t="shared" si="293"/>
        <v/>
      </c>
      <c r="V994" t="str">
        <f t="shared" si="294"/>
        <v/>
      </c>
      <c r="W994" s="5" t="str">
        <f t="shared" si="295"/>
        <v/>
      </c>
      <c r="Y994" t="str">
        <f t="shared" si="296"/>
        <v/>
      </c>
      <c r="Z994" t="str">
        <f t="shared" si="297"/>
        <v/>
      </c>
      <c r="AB994" t="str">
        <f t="shared" si="298"/>
        <v>https://shop.officineitalianezard.it/contents/imgs/products/1_688-scarichi%20moto%20zard%20guzzi.jpg</v>
      </c>
      <c r="AE994" t="b">
        <v>0</v>
      </c>
    </row>
    <row r="995" spans="1:31" x14ac:dyDescent="0.2">
      <c r="A995" t="str">
        <f t="shared" si="285"/>
        <v>https://shop.officineitalianezard.it/en/moto-guzzi-griso-silencer/</v>
      </c>
      <c r="B995" t="b">
        <f>COUNTIF($A$2:$A995, A995)&gt;1</f>
        <v>1</v>
      </c>
      <c r="C995" t="b">
        <f t="shared" si="286"/>
        <v>0</v>
      </c>
      <c r="D995">
        <f>VLOOKUP(A995,variant_counts!A:B, 2, FALSE)</f>
        <v>3</v>
      </c>
      <c r="E995" t="str">
        <f t="shared" si="299"/>
        <v>zard-exhaust-silencer-moto-guzzi-griso-conical-version-zg070ssr-b</v>
      </c>
      <c r="F995" t="str">
        <f t="shared" si="287"/>
        <v>ZARD EXHAUST SILENCER MOTO GUZZI GRISO CONICAL VERSION ZG070SSR-B</v>
      </c>
      <c r="G995" t="str">
        <f t="shared" si="288"/>
        <v/>
      </c>
      <c r="H995" t="str">
        <f t="shared" si="300"/>
        <v/>
      </c>
      <c r="I995" t="str">
        <f t="shared" si="301"/>
        <v/>
      </c>
      <c r="J995" t="str">
        <f t="shared" si="302"/>
        <v/>
      </c>
      <c r="K995" t="str">
        <f t="shared" si="303"/>
        <v/>
      </c>
      <c r="L995" t="str">
        <f t="shared" si="289"/>
        <v/>
      </c>
      <c r="M995" t="str">
        <f t="shared" si="290"/>
        <v/>
      </c>
      <c r="R995" t="str">
        <f t="shared" si="291"/>
        <v/>
      </c>
      <c r="S995" t="str">
        <f t="shared" si="292"/>
        <v/>
      </c>
      <c r="U995" t="str">
        <f t="shared" si="293"/>
        <v/>
      </c>
      <c r="V995" t="str">
        <f t="shared" si="294"/>
        <v/>
      </c>
      <c r="W995" s="5" t="str">
        <f t="shared" si="295"/>
        <v/>
      </c>
      <c r="Y995" t="str">
        <f t="shared" si="296"/>
        <v/>
      </c>
      <c r="Z995" t="str">
        <f t="shared" si="297"/>
        <v/>
      </c>
      <c r="AB995" t="str">
        <f t="shared" si="298"/>
        <v>https://shop.officineitalianezard.it/contents/imgs/products/1_541-scarico%20moto%20guzzi%20zard%201.jpg</v>
      </c>
      <c r="AE995" t="b">
        <v>0</v>
      </c>
    </row>
    <row r="996" spans="1:31" x14ac:dyDescent="0.2">
      <c r="A996" t="str">
        <f t="shared" si="285"/>
        <v>https://shop.officineitalianezard.it/en/moto-guzzi-griso-silencer/</v>
      </c>
      <c r="B996" t="b">
        <f>COUNTIF($A$2:$A996, A996)&gt;1</f>
        <v>1</v>
      </c>
      <c r="C996" t="b">
        <f t="shared" si="286"/>
        <v>0</v>
      </c>
      <c r="D996">
        <f>VLOOKUP(A996,variant_counts!A:B, 2, FALSE)</f>
        <v>3</v>
      </c>
      <c r="E996" t="str">
        <f t="shared" si="299"/>
        <v>zard-exhaust-silencer-moto-guzzi-griso-conical-version-zg070ssr-b</v>
      </c>
      <c r="F996" t="str">
        <f t="shared" si="287"/>
        <v>ZARD EXHAUST SILENCER MOTO GUZZI GRISO CONICAL VERSION ZG070SSR-B</v>
      </c>
      <c r="G996" t="str">
        <f t="shared" si="288"/>
        <v/>
      </c>
      <c r="H996" t="str">
        <f t="shared" si="300"/>
        <v/>
      </c>
      <c r="I996" t="str">
        <f t="shared" si="301"/>
        <v/>
      </c>
      <c r="J996" t="str">
        <f t="shared" si="302"/>
        <v/>
      </c>
      <c r="K996" t="str">
        <f t="shared" si="303"/>
        <v/>
      </c>
      <c r="L996" t="str">
        <f t="shared" si="289"/>
        <v/>
      </c>
      <c r="M996" t="str">
        <f t="shared" si="290"/>
        <v/>
      </c>
      <c r="R996" t="str">
        <f t="shared" si="291"/>
        <v/>
      </c>
      <c r="S996" t="str">
        <f t="shared" si="292"/>
        <v/>
      </c>
      <c r="U996" t="str">
        <f t="shared" si="293"/>
        <v/>
      </c>
      <c r="V996" t="str">
        <f t="shared" si="294"/>
        <v/>
      </c>
      <c r="W996" s="5" t="str">
        <f t="shared" si="295"/>
        <v/>
      </c>
      <c r="Y996" t="str">
        <f t="shared" si="296"/>
        <v/>
      </c>
      <c r="Z996" t="str">
        <f t="shared" si="297"/>
        <v/>
      </c>
      <c r="AB996" t="str">
        <f t="shared" si="298"/>
        <v>https://shop.officineitalianezard.it/contents/imgs/products/1_542-scarichi%20moto.jpg</v>
      </c>
      <c r="AE996" t="b">
        <v>0</v>
      </c>
    </row>
    <row r="997" spans="1:31" x14ac:dyDescent="0.2">
      <c r="A997" t="str">
        <f t="shared" si="285"/>
        <v>https://shop.officineitalianezard.it/en/moto-guzzi-griso-silencer/</v>
      </c>
      <c r="B997" t="b">
        <f>COUNTIF($A$2:$A997, A997)&gt;1</f>
        <v>1</v>
      </c>
      <c r="C997" t="b">
        <f t="shared" si="286"/>
        <v>1</v>
      </c>
      <c r="D997">
        <f>VLOOKUP(A997,variant_counts!A:B, 2, FALSE)</f>
        <v>3</v>
      </c>
      <c r="E997" t="str">
        <f t="shared" si="299"/>
        <v>zard-exhaust-silencer-moto-guzzi-griso-conical-version-zg070ssr-b</v>
      </c>
      <c r="F997" t="str">
        <f t="shared" si="287"/>
        <v>ZARD EXHAUST SILENCER MOTO GUZZI GRISO CONICAL VERSION ZG070SSR-B</v>
      </c>
      <c r="G997" t="str">
        <f t="shared" si="288"/>
        <v/>
      </c>
      <c r="H997" t="str">
        <f t="shared" si="300"/>
        <v/>
      </c>
      <c r="I997" t="str">
        <f t="shared" si="301"/>
        <v/>
      </c>
      <c r="J997" t="str">
        <f t="shared" si="302"/>
        <v/>
      </c>
      <c r="K997" t="str">
        <f t="shared" si="303"/>
        <v/>
      </c>
      <c r="L997" t="str">
        <f t="shared" si="289"/>
        <v>Option</v>
      </c>
      <c r="M997" t="str">
        <f t="shared" si="290"/>
        <v>EURO 3 HOMOLOGATED</v>
      </c>
      <c r="R997" t="str">
        <f t="shared" si="291"/>
        <v>ZG070SSR-B</v>
      </c>
      <c r="S997">
        <f t="shared" si="292"/>
        <v>0</v>
      </c>
      <c r="U997" t="str">
        <f t="shared" si="293"/>
        <v>continue</v>
      </c>
      <c r="V997" t="str">
        <f t="shared" si="294"/>
        <v>manual</v>
      </c>
      <c r="W997" s="5">
        <f t="shared" si="295"/>
        <v>626.06220000000008</v>
      </c>
      <c r="Y997" t="b">
        <f t="shared" si="296"/>
        <v>1</v>
      </c>
      <c r="Z997" t="b">
        <f t="shared" si="297"/>
        <v>0</v>
      </c>
      <c r="AB997" t="str">
        <f t="shared" si="298"/>
        <v/>
      </c>
      <c r="AE997" t="b">
        <v>0</v>
      </c>
    </row>
    <row r="998" spans="1:31" x14ac:dyDescent="0.2">
      <c r="A998" t="str">
        <f t="shared" si="285"/>
        <v>https://shop.officineitalianezard.it/en/moto-guzzi-griso-silencer/</v>
      </c>
      <c r="B998" t="b">
        <f>COUNTIF($A$2:$A998, A998)&gt;1</f>
        <v>1</v>
      </c>
      <c r="C998" t="b">
        <f t="shared" si="286"/>
        <v>1</v>
      </c>
      <c r="D998">
        <f>VLOOKUP(A998,variant_counts!A:B, 2, FALSE)</f>
        <v>3</v>
      </c>
      <c r="E998" t="str">
        <f t="shared" si="299"/>
        <v>zard-exhaust-silencer-moto-guzzi-griso-conical-version-zg070ssr-b</v>
      </c>
      <c r="F998" t="str">
        <f t="shared" si="287"/>
        <v>ZARD EXHAUST SILENCER MOTO GUZZI GRISO CONICAL VERSION ZG070SSR-B</v>
      </c>
      <c r="G998" t="str">
        <f t="shared" si="288"/>
        <v/>
      </c>
      <c r="H998" t="str">
        <f t="shared" si="300"/>
        <v/>
      </c>
      <c r="I998" t="str">
        <f t="shared" si="301"/>
        <v/>
      </c>
      <c r="J998" t="str">
        <f t="shared" si="302"/>
        <v/>
      </c>
      <c r="K998" t="str">
        <f t="shared" si="303"/>
        <v/>
      </c>
      <c r="L998" t="str">
        <f t="shared" si="289"/>
        <v>Option</v>
      </c>
      <c r="M998" t="str">
        <f t="shared" si="290"/>
        <v>BLACK COATING</v>
      </c>
      <c r="R998" t="str">
        <f t="shared" si="291"/>
        <v>ZG070SSR-B</v>
      </c>
      <c r="S998">
        <f t="shared" si="292"/>
        <v>0</v>
      </c>
      <c r="U998" t="str">
        <f t="shared" si="293"/>
        <v>continue</v>
      </c>
      <c r="V998" t="str">
        <f t="shared" si="294"/>
        <v>manual</v>
      </c>
      <c r="W998" s="5">
        <f t="shared" si="295"/>
        <v>561.37140000000011</v>
      </c>
      <c r="Y998" t="b">
        <f t="shared" si="296"/>
        <v>1</v>
      </c>
      <c r="Z998" t="b">
        <f t="shared" si="297"/>
        <v>0</v>
      </c>
      <c r="AB998" t="str">
        <f t="shared" si="298"/>
        <v/>
      </c>
      <c r="AE998" t="b">
        <v>0</v>
      </c>
    </row>
    <row r="999" spans="1:31" x14ac:dyDescent="0.2">
      <c r="A999" t="str">
        <f t="shared" si="285"/>
        <v>https://shop.officineitalianezard.it/en/moto-guzzi-griso-silencer/</v>
      </c>
      <c r="B999" t="b">
        <f>COUNTIF($A$2:$A999, A999)&gt;1</f>
        <v>1</v>
      </c>
      <c r="C999" t="b">
        <f t="shared" si="286"/>
        <v>1</v>
      </c>
      <c r="D999">
        <f>VLOOKUP(A999,variant_counts!A:B, 2, FALSE)</f>
        <v>3</v>
      </c>
      <c r="E999" t="str">
        <f t="shared" si="299"/>
        <v>zard-exhaust-silencer-moto-guzzi-griso-conical-version-zg070ssr-b</v>
      </c>
      <c r="F999" t="str">
        <f t="shared" si="287"/>
        <v>ZARD EXHAUST SILENCER MOTO GUZZI GRISO CONICAL VERSION ZG070SSR-B</v>
      </c>
      <c r="G999" t="str">
        <f t="shared" si="288"/>
        <v/>
      </c>
      <c r="H999" t="str">
        <f t="shared" si="300"/>
        <v/>
      </c>
      <c r="I999" t="str">
        <f t="shared" si="301"/>
        <v/>
      </c>
      <c r="J999" t="str">
        <f t="shared" si="302"/>
        <v/>
      </c>
      <c r="K999" t="str">
        <f t="shared" si="303"/>
        <v/>
      </c>
      <c r="L999" t="str">
        <f t="shared" si="289"/>
        <v>Option</v>
      </c>
      <c r="M999" t="str">
        <f t="shared" si="290"/>
        <v>CARBON ENDCAP</v>
      </c>
      <c r="R999" t="str">
        <f t="shared" si="291"/>
        <v>ZG070SSR-B</v>
      </c>
      <c r="S999">
        <f t="shared" si="292"/>
        <v>0</v>
      </c>
      <c r="U999" t="str">
        <f t="shared" si="293"/>
        <v>continue</v>
      </c>
      <c r="V999" t="str">
        <f t="shared" si="294"/>
        <v>manual</v>
      </c>
      <c r="W999" s="5">
        <f t="shared" si="295"/>
        <v>608.04690000000005</v>
      </c>
      <c r="Y999" t="b">
        <f t="shared" si="296"/>
        <v>1</v>
      </c>
      <c r="Z999" t="b">
        <f t="shared" si="297"/>
        <v>0</v>
      </c>
      <c r="AB999" t="str">
        <f t="shared" si="298"/>
        <v/>
      </c>
      <c r="AE999" t="b">
        <v>0</v>
      </c>
    </row>
    <row r="1000" spans="1:31" x14ac:dyDescent="0.2">
      <c r="A1000" t="str">
        <f t="shared" si="285"/>
        <v>https://shop.officineitalianezard.it/en/zard-black-silencers-for-moto-guzzi-california/</v>
      </c>
      <c r="B1000" t="b">
        <f>COUNTIF($A$2:$A1000, A1000)&gt;1</f>
        <v>0</v>
      </c>
      <c r="C1000" t="b">
        <f t="shared" si="286"/>
        <v>0</v>
      </c>
      <c r="D1000">
        <f>VLOOKUP(A1000,variant_counts!A:B, 2, FALSE)</f>
        <v>4</v>
      </c>
      <c r="E1000" t="str">
        <f t="shared" si="299"/>
        <v>zard-exhaust-n-2-silencers-moto-guzzi-california-my-2013-black-version-zg078ssr</v>
      </c>
      <c r="F1000" t="str">
        <f t="shared" si="287"/>
        <v>ZARD EXHAUST N. 2 SILENCERS MOTO GUZZI CALIFORNIA &gt; M.Y. 2013 BLACK VERSION ZG078SSR</v>
      </c>
      <c r="G1000" t="str">
        <f t="shared" si="288"/>
        <v>&lt;p&gt;N. 2 BLACK STEEL SILENCERS RACING WITH REMOVABLE DB KILLER.&lt;/p&gt;
&lt;p&gt;BLACK CERAMIC COATING.&lt;/p&gt;
&lt;p&gt;HARD INCREASE, COMPARED TO THE ORIGINAL EXHAUST SYSTEM, IN TERMS OF TORQUE AND POWER AT ANY RANGE.&lt;/p&gt;
&lt;p&gt;ASTONISHING SOUND.&lt;/p&gt;
&lt;p&gt;&lt;/p&gt;</v>
      </c>
      <c r="H1000" t="str">
        <f t="shared" si="300"/>
        <v>ZARD</v>
      </c>
      <c r="I1000" t="str">
        <f t="shared" si="301"/>
        <v>Exhaust Pipe</v>
      </c>
      <c r="J1000" t="str">
        <f t="shared" si="302"/>
        <v>Test</v>
      </c>
      <c r="K1000" t="b">
        <f t="shared" si="303"/>
        <v>0</v>
      </c>
      <c r="L1000" t="str">
        <f t="shared" si="289"/>
        <v/>
      </c>
      <c r="M1000" t="str">
        <f t="shared" si="290"/>
        <v/>
      </c>
      <c r="R1000" t="str">
        <f t="shared" si="291"/>
        <v/>
      </c>
      <c r="S1000" t="str">
        <f t="shared" si="292"/>
        <v/>
      </c>
      <c r="U1000" t="str">
        <f t="shared" si="293"/>
        <v/>
      </c>
      <c r="V1000" t="str">
        <f t="shared" si="294"/>
        <v/>
      </c>
      <c r="W1000" s="5" t="str">
        <f t="shared" si="295"/>
        <v/>
      </c>
      <c r="Y1000" t="str">
        <f t="shared" si="296"/>
        <v/>
      </c>
      <c r="Z1000" t="str">
        <f t="shared" si="297"/>
        <v/>
      </c>
      <c r="AB1000" t="str">
        <f t="shared" si="298"/>
        <v>https://shop.officineitalianezard.it/contents/imgs/products/1_967-1.jpg</v>
      </c>
      <c r="AE1000" t="b">
        <v>0</v>
      </c>
    </row>
    <row r="1001" spans="1:31" x14ac:dyDescent="0.2">
      <c r="A1001" t="str">
        <f t="shared" si="285"/>
        <v>https://shop.officineitalianezard.it/en/zard-black-silencers-for-moto-guzzi-california/</v>
      </c>
      <c r="B1001" t="b">
        <f>COUNTIF($A$2:$A1001, A1001)&gt;1</f>
        <v>1</v>
      </c>
      <c r="C1001" t="b">
        <f t="shared" si="286"/>
        <v>0</v>
      </c>
      <c r="D1001">
        <f>VLOOKUP(A1001,variant_counts!A:B, 2, FALSE)</f>
        <v>4</v>
      </c>
      <c r="E1001" t="str">
        <f t="shared" si="299"/>
        <v>zard-exhaust-n-2-silencers-moto-guzzi-california-my-2013-black-version-zg078ssr</v>
      </c>
      <c r="F1001" t="str">
        <f t="shared" si="287"/>
        <v>ZARD EXHAUST N. 2 SILENCERS MOTO GUZZI CALIFORNIA &gt; M.Y. 2013 BLACK VERSION ZG078SSR</v>
      </c>
      <c r="G1001" t="str">
        <f t="shared" si="288"/>
        <v/>
      </c>
      <c r="H1001" t="str">
        <f t="shared" si="300"/>
        <v/>
      </c>
      <c r="I1001" t="str">
        <f t="shared" si="301"/>
        <v/>
      </c>
      <c r="J1001" t="str">
        <f t="shared" si="302"/>
        <v/>
      </c>
      <c r="K1001" t="str">
        <f t="shared" si="303"/>
        <v/>
      </c>
      <c r="L1001" t="str">
        <f t="shared" si="289"/>
        <v/>
      </c>
      <c r="M1001" t="str">
        <f t="shared" si="290"/>
        <v/>
      </c>
      <c r="R1001" t="str">
        <f t="shared" si="291"/>
        <v/>
      </c>
      <c r="S1001" t="str">
        <f t="shared" si="292"/>
        <v/>
      </c>
      <c r="U1001" t="str">
        <f t="shared" si="293"/>
        <v/>
      </c>
      <c r="V1001" t="str">
        <f t="shared" si="294"/>
        <v/>
      </c>
      <c r="W1001" s="5" t="str">
        <f t="shared" si="295"/>
        <v/>
      </c>
      <c r="Y1001" t="str">
        <f t="shared" si="296"/>
        <v/>
      </c>
      <c r="Z1001" t="str">
        <f t="shared" si="297"/>
        <v/>
      </c>
      <c r="AB1001" t="str">
        <f t="shared" si="298"/>
        <v>https://shop.officineitalianezard.it/contents/imgs/products/1_968-2.jpg</v>
      </c>
      <c r="AE1001" t="b">
        <v>0</v>
      </c>
    </row>
    <row r="1002" spans="1:31" x14ac:dyDescent="0.2">
      <c r="A1002" t="str">
        <f t="shared" si="285"/>
        <v>https://shop.officineitalianezard.it/en/zard-black-silencers-for-moto-guzzi-california/</v>
      </c>
      <c r="B1002" t="b">
        <f>COUNTIF($A$2:$A1002, A1002)&gt;1</f>
        <v>1</v>
      </c>
      <c r="C1002" t="b">
        <f t="shared" si="286"/>
        <v>0</v>
      </c>
      <c r="D1002">
        <f>VLOOKUP(A1002,variant_counts!A:B, 2, FALSE)</f>
        <v>4</v>
      </c>
      <c r="E1002" t="str">
        <f t="shared" si="299"/>
        <v>zard-exhaust-n-2-silencers-moto-guzzi-california-my-2013-black-version-zg078ssr</v>
      </c>
      <c r="F1002" t="str">
        <f t="shared" si="287"/>
        <v>ZARD EXHAUST N. 2 SILENCERS MOTO GUZZI CALIFORNIA &gt; M.Y. 2013 BLACK VERSION ZG078SSR</v>
      </c>
      <c r="G1002" t="str">
        <f t="shared" si="288"/>
        <v/>
      </c>
      <c r="H1002" t="str">
        <f t="shared" si="300"/>
        <v/>
      </c>
      <c r="I1002" t="str">
        <f t="shared" si="301"/>
        <v/>
      </c>
      <c r="J1002" t="str">
        <f t="shared" si="302"/>
        <v/>
      </c>
      <c r="K1002" t="str">
        <f t="shared" si="303"/>
        <v/>
      </c>
      <c r="L1002" t="str">
        <f t="shared" si="289"/>
        <v/>
      </c>
      <c r="M1002" t="str">
        <f t="shared" si="290"/>
        <v/>
      </c>
      <c r="R1002" t="str">
        <f t="shared" si="291"/>
        <v/>
      </c>
      <c r="S1002" t="str">
        <f t="shared" si="292"/>
        <v/>
      </c>
      <c r="U1002" t="str">
        <f t="shared" si="293"/>
        <v/>
      </c>
      <c r="V1002" t="str">
        <f t="shared" si="294"/>
        <v/>
      </c>
      <c r="W1002" s="5" t="str">
        <f t="shared" si="295"/>
        <v/>
      </c>
      <c r="Y1002" t="str">
        <f t="shared" si="296"/>
        <v/>
      </c>
      <c r="Z1002" t="str">
        <f t="shared" si="297"/>
        <v/>
      </c>
      <c r="AB1002" t="str">
        <f t="shared" si="298"/>
        <v>https://shop.officineitalianezard.it/contents/imgs/products/1_969-3.jpg</v>
      </c>
      <c r="AE1002" t="b">
        <v>0</v>
      </c>
    </row>
    <row r="1003" spans="1:31" x14ac:dyDescent="0.2">
      <c r="A1003" t="str">
        <f t="shared" si="285"/>
        <v>https://shop.officineitalianezard.it/en/zard-black-silencers-for-moto-guzzi-california/</v>
      </c>
      <c r="B1003" t="b">
        <f>COUNTIF($A$2:$A1003, A1003)&gt;1</f>
        <v>1</v>
      </c>
      <c r="C1003" t="b">
        <f t="shared" si="286"/>
        <v>1</v>
      </c>
      <c r="D1003">
        <f>VLOOKUP(A1003,variant_counts!A:B, 2, FALSE)</f>
        <v>4</v>
      </c>
      <c r="E1003" t="str">
        <f t="shared" si="299"/>
        <v>zard-exhaust-n-2-silencers-moto-guzzi-california-my-2013-black-version-zg078ssr</v>
      </c>
      <c r="F1003" t="str">
        <f t="shared" si="287"/>
        <v>ZARD EXHAUST N. 2 SILENCERS MOTO GUZZI CALIFORNIA &gt; M.Y. 2013 BLACK VERSION ZG078SSR</v>
      </c>
      <c r="G1003" t="str">
        <f t="shared" si="288"/>
        <v/>
      </c>
      <c r="H1003" t="str">
        <f t="shared" si="300"/>
        <v/>
      </c>
      <c r="I1003" t="str">
        <f t="shared" si="301"/>
        <v/>
      </c>
      <c r="J1003" t="str">
        <f t="shared" si="302"/>
        <v/>
      </c>
      <c r="K1003" t="str">
        <f t="shared" si="303"/>
        <v/>
      </c>
      <c r="L1003" t="str">
        <f t="shared" si="289"/>
        <v>Option</v>
      </c>
      <c r="M1003" t="str">
        <f t="shared" si="290"/>
        <v>EURO 3 HOMOLOGATED</v>
      </c>
      <c r="R1003" t="str">
        <f t="shared" si="291"/>
        <v>ZG078SSR</v>
      </c>
      <c r="S1003">
        <f t="shared" si="292"/>
        <v>0</v>
      </c>
      <c r="U1003" t="str">
        <f t="shared" si="293"/>
        <v>continue</v>
      </c>
      <c r="V1003" t="str">
        <f t="shared" si="294"/>
        <v>manual</v>
      </c>
      <c r="W1003" s="5">
        <f t="shared" si="295"/>
        <v>908.73480000000018</v>
      </c>
      <c r="Y1003" t="b">
        <f t="shared" si="296"/>
        <v>1</v>
      </c>
      <c r="Z1003" t="b">
        <f t="shared" si="297"/>
        <v>0</v>
      </c>
      <c r="AB1003" t="str">
        <f t="shared" si="298"/>
        <v/>
      </c>
      <c r="AE1003" t="b">
        <v>0</v>
      </c>
    </row>
    <row r="1004" spans="1:31" x14ac:dyDescent="0.2">
      <c r="A1004" t="str">
        <f t="shared" si="285"/>
        <v>https://shop.officineitalianezard.it/en/zard-black-silencers-for-moto-guzzi-california/</v>
      </c>
      <c r="B1004" t="b">
        <f>COUNTIF($A$2:$A1004, A1004)&gt;1</f>
        <v>1</v>
      </c>
      <c r="C1004" t="b">
        <f t="shared" si="286"/>
        <v>1</v>
      </c>
      <c r="D1004">
        <f>VLOOKUP(A1004,variant_counts!A:B, 2, FALSE)</f>
        <v>4</v>
      </c>
      <c r="E1004" t="str">
        <f t="shared" si="299"/>
        <v>zard-exhaust-n-2-silencers-moto-guzzi-california-my-2013-black-version-zg078ssr</v>
      </c>
      <c r="F1004" t="str">
        <f t="shared" si="287"/>
        <v>ZARD EXHAUST N. 2 SILENCERS MOTO GUZZI CALIFORNIA &gt; M.Y. 2013 BLACK VERSION ZG078SSR</v>
      </c>
      <c r="G1004" t="str">
        <f t="shared" si="288"/>
        <v/>
      </c>
      <c r="H1004" t="str">
        <f t="shared" si="300"/>
        <v/>
      </c>
      <c r="I1004" t="str">
        <f t="shared" si="301"/>
        <v/>
      </c>
      <c r="J1004" t="str">
        <f t="shared" si="302"/>
        <v/>
      </c>
      <c r="K1004" t="str">
        <f t="shared" si="303"/>
        <v/>
      </c>
      <c r="L1004" t="str">
        <f t="shared" si="289"/>
        <v>Option</v>
      </c>
      <c r="M1004" t="str">
        <f t="shared" si="290"/>
        <v>STEEL SATIN</v>
      </c>
      <c r="R1004" t="str">
        <f t="shared" si="291"/>
        <v>ZG078SSR</v>
      </c>
      <c r="S1004">
        <f t="shared" si="292"/>
        <v>0</v>
      </c>
      <c r="U1004" t="str">
        <f t="shared" si="293"/>
        <v>continue</v>
      </c>
      <c r="V1004" t="str">
        <f t="shared" si="294"/>
        <v>manual</v>
      </c>
      <c r="W1004" s="5">
        <f t="shared" si="295"/>
        <v>874.34700000000009</v>
      </c>
      <c r="Y1004" t="b">
        <f t="shared" si="296"/>
        <v>1</v>
      </c>
      <c r="Z1004" t="b">
        <f t="shared" si="297"/>
        <v>0</v>
      </c>
      <c r="AB1004" t="str">
        <f t="shared" si="298"/>
        <v/>
      </c>
      <c r="AE1004" t="b">
        <v>0</v>
      </c>
    </row>
    <row r="1005" spans="1:31" x14ac:dyDescent="0.2">
      <c r="A1005" t="str">
        <f t="shared" si="285"/>
        <v>https://shop.officineitalianezard.it/en/zard-black-silencers-for-moto-guzzi-california/</v>
      </c>
      <c r="B1005" t="b">
        <f>COUNTIF($A$2:$A1005, A1005)&gt;1</f>
        <v>1</v>
      </c>
      <c r="C1005" t="b">
        <f t="shared" si="286"/>
        <v>1</v>
      </c>
      <c r="D1005">
        <f>VLOOKUP(A1005,variant_counts!A:B, 2, FALSE)</f>
        <v>4</v>
      </c>
      <c r="E1005" t="str">
        <f t="shared" si="299"/>
        <v>zard-exhaust-n-2-silencers-moto-guzzi-california-my-2013-black-version-zg078ssr</v>
      </c>
      <c r="F1005" t="str">
        <f t="shared" si="287"/>
        <v>ZARD EXHAUST N. 2 SILENCERS MOTO GUZZI CALIFORNIA &gt; M.Y. 2013 BLACK VERSION ZG078SSR</v>
      </c>
      <c r="G1005" t="str">
        <f t="shared" si="288"/>
        <v/>
      </c>
      <c r="H1005" t="str">
        <f t="shared" si="300"/>
        <v/>
      </c>
      <c r="I1005" t="str">
        <f t="shared" si="301"/>
        <v/>
      </c>
      <c r="J1005" t="str">
        <f t="shared" si="302"/>
        <v/>
      </c>
      <c r="K1005" t="str">
        <f t="shared" si="303"/>
        <v/>
      </c>
      <c r="L1005" t="str">
        <f t="shared" si="289"/>
        <v>Option</v>
      </c>
      <c r="M1005" t="str">
        <f t="shared" si="290"/>
        <v>MIRROR POLISHED</v>
      </c>
      <c r="R1005" t="str">
        <f t="shared" si="291"/>
        <v>ZG078SSR</v>
      </c>
      <c r="S1005">
        <f t="shared" si="292"/>
        <v>0</v>
      </c>
      <c r="U1005" t="str">
        <f t="shared" si="293"/>
        <v>continue</v>
      </c>
      <c r="V1005" t="str">
        <f t="shared" si="294"/>
        <v>manual</v>
      </c>
      <c r="W1005" s="5">
        <f t="shared" si="295"/>
        <v>891.54090000000019</v>
      </c>
      <c r="Y1005" t="b">
        <f t="shared" si="296"/>
        <v>1</v>
      </c>
      <c r="Z1005" t="b">
        <f t="shared" si="297"/>
        <v>0</v>
      </c>
      <c r="AB1005" t="str">
        <f t="shared" si="298"/>
        <v/>
      </c>
      <c r="AE1005" t="b">
        <v>0</v>
      </c>
    </row>
    <row r="1006" spans="1:31" x14ac:dyDescent="0.2">
      <c r="A1006" t="str">
        <f t="shared" si="285"/>
        <v>https://shop.officineitalianezard.it/en/zard-black-silencers-for-moto-guzzi-california/</v>
      </c>
      <c r="B1006" t="b">
        <f>COUNTIF($A$2:$A1006, A1006)&gt;1</f>
        <v>1</v>
      </c>
      <c r="C1006" t="b">
        <f t="shared" si="286"/>
        <v>1</v>
      </c>
      <c r="D1006">
        <f>VLOOKUP(A1006,variant_counts!A:B, 2, FALSE)</f>
        <v>4</v>
      </c>
      <c r="E1006" t="str">
        <f t="shared" si="299"/>
        <v>zard-exhaust-n-2-silencers-moto-guzzi-california-my-2013-black-version-zg078ssr</v>
      </c>
      <c r="F1006" t="str">
        <f t="shared" si="287"/>
        <v>ZARD EXHAUST N. 2 SILENCERS MOTO GUZZI CALIFORNIA &gt; M.Y. 2013 BLACK VERSION ZG078SSR</v>
      </c>
      <c r="G1006" t="str">
        <f t="shared" si="288"/>
        <v/>
      </c>
      <c r="H1006" t="str">
        <f t="shared" si="300"/>
        <v/>
      </c>
      <c r="I1006" t="str">
        <f t="shared" si="301"/>
        <v/>
      </c>
      <c r="J1006" t="str">
        <f t="shared" si="302"/>
        <v/>
      </c>
      <c r="K1006" t="str">
        <f t="shared" si="303"/>
        <v/>
      </c>
      <c r="L1006" t="str">
        <f t="shared" si="289"/>
        <v>Option</v>
      </c>
      <c r="M1006" t="str">
        <f t="shared" si="290"/>
        <v>BLACK COATING ON ORIGINAL HEADERS</v>
      </c>
      <c r="R1006" t="str">
        <f t="shared" si="291"/>
        <v>ZG078SSR</v>
      </c>
      <c r="S1006">
        <f t="shared" si="292"/>
        <v>0</v>
      </c>
      <c r="U1006" t="str">
        <f t="shared" si="293"/>
        <v>continue</v>
      </c>
      <c r="V1006" t="str">
        <f t="shared" si="294"/>
        <v>manual</v>
      </c>
      <c r="W1006" s="5">
        <f t="shared" si="295"/>
        <v>1037.2950000000001</v>
      </c>
      <c r="Y1006" t="b">
        <f t="shared" si="296"/>
        <v>1</v>
      </c>
      <c r="Z1006" t="b">
        <f t="shared" si="297"/>
        <v>0</v>
      </c>
      <c r="AB1006" t="str">
        <f t="shared" si="298"/>
        <v/>
      </c>
      <c r="AE1006" t="b">
        <v>0</v>
      </c>
    </row>
    <row r="1007" spans="1:31" x14ac:dyDescent="0.2">
      <c r="A1007" t="str">
        <f t="shared" si="285"/>
        <v>https://shop.officineitalianezard.it/en/products/index/moto-guzzi-silencer-7418-111/</v>
      </c>
      <c r="B1007" t="b">
        <f>COUNTIF($A$2:$A1007, A1007)&gt;1</f>
        <v>0</v>
      </c>
      <c r="C1007" t="b">
        <f t="shared" si="286"/>
        <v>0</v>
      </c>
      <c r="D1007">
        <f>VLOOKUP(A1007,variant_counts!A:B, 2, FALSE)</f>
        <v>3</v>
      </c>
      <c r="E1007" t="str">
        <f t="shared" si="299"/>
        <v>zard-exhaust-silencer-moto-guzzi-breva-1200-my-2011-conical-version-zg071ssr-11</v>
      </c>
      <c r="F1007" t="str">
        <f t="shared" si="287"/>
        <v>ZARD EXHAUST SILENCER MOTO GUZZI BREVA 1200 &gt; M.Y. 2011 CONICAL VERSION ZG071SSR-11</v>
      </c>
      <c r="G1007" t="str">
        <f t="shared" si="288"/>
        <v>&lt;p&gt;STEEL RACING SILENCER WITH REMOVABLE DB KILLER&lt;/p&gt;
&lt;p&gt;ORIGINAL SILENCER WEIGHT: KG 7&lt;br&gt;ZARD SILENCER WEIGHT: KG 3.1&lt;/p&gt;
&lt;p&gt;HARD INCREASE, COMPARED TO THE ORIGINAL EXHAUST SYSTEM, IN TERMS OF TORQUE AND POWER (+3 HP) AT ANY RANGE.&lt;/p&gt;
&lt;p&gt;ASTONISHING SOUND.&lt;/p&gt;
&lt;p&gt;&amp;nbsp;&lt;/p&gt;</v>
      </c>
      <c r="H1007" t="str">
        <f t="shared" si="300"/>
        <v>ZARD</v>
      </c>
      <c r="I1007" t="str">
        <f t="shared" si="301"/>
        <v>Exhaust Pipe</v>
      </c>
      <c r="J1007" t="str">
        <f t="shared" si="302"/>
        <v>Test</v>
      </c>
      <c r="K1007" t="b">
        <f t="shared" si="303"/>
        <v>0</v>
      </c>
      <c r="L1007" t="str">
        <f t="shared" si="289"/>
        <v/>
      </c>
      <c r="M1007" t="str">
        <f t="shared" si="290"/>
        <v/>
      </c>
      <c r="R1007" t="str">
        <f t="shared" si="291"/>
        <v/>
      </c>
      <c r="S1007" t="str">
        <f t="shared" si="292"/>
        <v/>
      </c>
      <c r="U1007" t="str">
        <f t="shared" si="293"/>
        <v/>
      </c>
      <c r="V1007" t="str">
        <f t="shared" si="294"/>
        <v/>
      </c>
      <c r="W1007" s="5" t="str">
        <f t="shared" si="295"/>
        <v/>
      </c>
      <c r="Y1007" t="str">
        <f t="shared" si="296"/>
        <v/>
      </c>
      <c r="Z1007" t="str">
        <f t="shared" si="297"/>
        <v/>
      </c>
      <c r="AB1007" t="str">
        <f t="shared" si="298"/>
        <v>https://shop.officineitalianezard.it/contents/imgs/products/1_686-scarico%20moto%20guzzi%20zard%201.jpg</v>
      </c>
      <c r="AE1007" t="b">
        <v>0</v>
      </c>
    </row>
    <row r="1008" spans="1:31" x14ac:dyDescent="0.2">
      <c r="A1008" t="str">
        <f t="shared" si="285"/>
        <v>https://shop.officineitalianezard.it/en/products/index/moto-guzzi-silencer-7418-111/</v>
      </c>
      <c r="B1008" t="b">
        <f>COUNTIF($A$2:$A1008, A1008)&gt;1</f>
        <v>1</v>
      </c>
      <c r="C1008" t="b">
        <f t="shared" si="286"/>
        <v>0</v>
      </c>
      <c r="D1008">
        <f>VLOOKUP(A1008,variant_counts!A:B, 2, FALSE)</f>
        <v>3</v>
      </c>
      <c r="E1008" t="str">
        <f t="shared" si="299"/>
        <v>zard-exhaust-silencer-moto-guzzi-breva-1200-my-2011-conical-version-zg071ssr-11</v>
      </c>
      <c r="F1008" t="str">
        <f t="shared" si="287"/>
        <v>ZARD EXHAUST SILENCER MOTO GUZZI BREVA 1200 &gt; M.Y. 2011 CONICAL VERSION ZG071SSR-11</v>
      </c>
      <c r="G1008" t="str">
        <f t="shared" si="288"/>
        <v/>
      </c>
      <c r="H1008" t="str">
        <f t="shared" si="300"/>
        <v/>
      </c>
      <c r="I1008" t="str">
        <f t="shared" si="301"/>
        <v/>
      </c>
      <c r="J1008" t="str">
        <f t="shared" si="302"/>
        <v/>
      </c>
      <c r="K1008" t="str">
        <f t="shared" si="303"/>
        <v/>
      </c>
      <c r="L1008" t="str">
        <f t="shared" si="289"/>
        <v/>
      </c>
      <c r="M1008" t="str">
        <f t="shared" si="290"/>
        <v/>
      </c>
      <c r="R1008" t="str">
        <f t="shared" si="291"/>
        <v/>
      </c>
      <c r="S1008" t="str">
        <f t="shared" si="292"/>
        <v/>
      </c>
      <c r="U1008" t="str">
        <f t="shared" si="293"/>
        <v/>
      </c>
      <c r="V1008" t="str">
        <f t="shared" si="294"/>
        <v/>
      </c>
      <c r="W1008" s="5" t="str">
        <f t="shared" si="295"/>
        <v/>
      </c>
      <c r="Y1008" t="str">
        <f t="shared" si="296"/>
        <v/>
      </c>
      <c r="Z1008" t="str">
        <f t="shared" si="297"/>
        <v/>
      </c>
      <c r="AB1008" t="str">
        <f t="shared" si="298"/>
        <v>https://shop.officineitalianezard.it/contents/imgs/products/1_687-scarico%20moto%20guzzi%20zard%202.jpg</v>
      </c>
      <c r="AE1008" t="b">
        <v>0</v>
      </c>
    </row>
    <row r="1009" spans="1:31" x14ac:dyDescent="0.2">
      <c r="A1009" t="str">
        <f t="shared" si="285"/>
        <v>https://shop.officineitalianezard.it/en/products/index/moto-guzzi-silencer-7418-111/</v>
      </c>
      <c r="B1009" t="b">
        <f>COUNTIF($A$2:$A1009, A1009)&gt;1</f>
        <v>1</v>
      </c>
      <c r="C1009" t="b">
        <f t="shared" si="286"/>
        <v>1</v>
      </c>
      <c r="D1009">
        <f>VLOOKUP(A1009,variant_counts!A:B, 2, FALSE)</f>
        <v>3</v>
      </c>
      <c r="E1009" t="str">
        <f t="shared" si="299"/>
        <v>zard-exhaust-silencer-moto-guzzi-breva-1200-my-2011-conical-version-zg071ssr-11</v>
      </c>
      <c r="F1009" t="str">
        <f t="shared" si="287"/>
        <v>ZARD EXHAUST SILENCER MOTO GUZZI BREVA 1200 &gt; M.Y. 2011 CONICAL VERSION ZG071SSR-11</v>
      </c>
      <c r="G1009" t="str">
        <f t="shared" si="288"/>
        <v/>
      </c>
      <c r="H1009" t="str">
        <f t="shared" si="300"/>
        <v/>
      </c>
      <c r="I1009" t="str">
        <f t="shared" si="301"/>
        <v/>
      </c>
      <c r="J1009" t="str">
        <f t="shared" si="302"/>
        <v/>
      </c>
      <c r="K1009" t="str">
        <f t="shared" si="303"/>
        <v/>
      </c>
      <c r="L1009" t="str">
        <f t="shared" si="289"/>
        <v>Option</v>
      </c>
      <c r="M1009" t="str">
        <f t="shared" si="290"/>
        <v>EURO 3 HOMOLOGATED</v>
      </c>
      <c r="R1009" t="str">
        <f t="shared" si="291"/>
        <v>ZG071SSR-11</v>
      </c>
      <c r="S1009">
        <f t="shared" si="292"/>
        <v>0</v>
      </c>
      <c r="U1009" t="str">
        <f t="shared" si="293"/>
        <v>continue</v>
      </c>
      <c r="V1009" t="str">
        <f t="shared" si="294"/>
        <v>manual</v>
      </c>
      <c r="W1009" s="5">
        <f t="shared" si="295"/>
        <v>626.06220000000008</v>
      </c>
      <c r="Y1009" t="b">
        <f t="shared" si="296"/>
        <v>1</v>
      </c>
      <c r="Z1009" t="b">
        <f t="shared" si="297"/>
        <v>0</v>
      </c>
      <c r="AB1009" t="str">
        <f t="shared" si="298"/>
        <v/>
      </c>
      <c r="AE1009" t="b">
        <v>0</v>
      </c>
    </row>
    <row r="1010" spans="1:31" x14ac:dyDescent="0.2">
      <c r="A1010" t="str">
        <f t="shared" si="285"/>
        <v>https://shop.officineitalianezard.it/en/products/index/moto-guzzi-silencer-7418-111/</v>
      </c>
      <c r="B1010" t="b">
        <f>COUNTIF($A$2:$A1010, A1010)&gt;1</f>
        <v>1</v>
      </c>
      <c r="C1010" t="b">
        <f t="shared" si="286"/>
        <v>1</v>
      </c>
      <c r="D1010">
        <f>VLOOKUP(A1010,variant_counts!A:B, 2, FALSE)</f>
        <v>3</v>
      </c>
      <c r="E1010" t="str">
        <f t="shared" si="299"/>
        <v>zard-exhaust-silencer-moto-guzzi-breva-1200-my-2011-conical-version-zg071ssr-11</v>
      </c>
      <c r="F1010" t="str">
        <f t="shared" si="287"/>
        <v>ZARD EXHAUST SILENCER MOTO GUZZI BREVA 1200 &gt; M.Y. 2011 CONICAL VERSION ZG071SSR-11</v>
      </c>
      <c r="G1010" t="str">
        <f t="shared" si="288"/>
        <v/>
      </c>
      <c r="H1010" t="str">
        <f t="shared" si="300"/>
        <v/>
      </c>
      <c r="I1010" t="str">
        <f t="shared" si="301"/>
        <v/>
      </c>
      <c r="J1010" t="str">
        <f t="shared" si="302"/>
        <v/>
      </c>
      <c r="K1010" t="str">
        <f t="shared" si="303"/>
        <v/>
      </c>
      <c r="L1010" t="str">
        <f t="shared" si="289"/>
        <v>Option</v>
      </c>
      <c r="M1010" t="str">
        <f t="shared" si="290"/>
        <v>BLACK COATING</v>
      </c>
      <c r="R1010" t="str">
        <f t="shared" si="291"/>
        <v>ZG071SSR-11</v>
      </c>
      <c r="S1010">
        <f t="shared" si="292"/>
        <v>0</v>
      </c>
      <c r="U1010" t="str">
        <f t="shared" si="293"/>
        <v>continue</v>
      </c>
      <c r="V1010" t="str">
        <f t="shared" si="294"/>
        <v>manual</v>
      </c>
      <c r="W1010" s="5">
        <f t="shared" si="295"/>
        <v>647.35200000000009</v>
      </c>
      <c r="Y1010" t="b">
        <f t="shared" si="296"/>
        <v>1</v>
      </c>
      <c r="Z1010" t="b">
        <f t="shared" si="297"/>
        <v>0</v>
      </c>
      <c r="AB1010" t="str">
        <f t="shared" si="298"/>
        <v/>
      </c>
      <c r="AE1010" t="b">
        <v>0</v>
      </c>
    </row>
    <row r="1011" spans="1:31" x14ac:dyDescent="0.2">
      <c r="A1011" t="str">
        <f t="shared" si="285"/>
        <v>https://shop.officineitalianezard.it/en/products/index/moto-guzzi-silencer-7418-111/</v>
      </c>
      <c r="B1011" t="b">
        <f>COUNTIF($A$2:$A1011, A1011)&gt;1</f>
        <v>1</v>
      </c>
      <c r="C1011" t="b">
        <f t="shared" si="286"/>
        <v>1</v>
      </c>
      <c r="D1011">
        <f>VLOOKUP(A1011,variant_counts!A:B, 2, FALSE)</f>
        <v>3</v>
      </c>
      <c r="E1011" t="str">
        <f t="shared" si="299"/>
        <v>zard-exhaust-silencer-moto-guzzi-breva-1200-my-2011-conical-version-zg071ssr-11</v>
      </c>
      <c r="F1011" t="str">
        <f t="shared" si="287"/>
        <v>ZARD EXHAUST SILENCER MOTO GUZZI BREVA 1200 &gt; M.Y. 2011 CONICAL VERSION ZG071SSR-11</v>
      </c>
      <c r="G1011" t="str">
        <f t="shared" si="288"/>
        <v/>
      </c>
      <c r="H1011" t="str">
        <f t="shared" si="300"/>
        <v/>
      </c>
      <c r="I1011" t="str">
        <f t="shared" si="301"/>
        <v/>
      </c>
      <c r="J1011" t="str">
        <f t="shared" si="302"/>
        <v/>
      </c>
      <c r="K1011" t="str">
        <f t="shared" si="303"/>
        <v/>
      </c>
      <c r="L1011" t="str">
        <f t="shared" si="289"/>
        <v>Option</v>
      </c>
      <c r="M1011" t="str">
        <f t="shared" si="290"/>
        <v>CARBON ENDCAP</v>
      </c>
      <c r="R1011" t="str">
        <f t="shared" si="291"/>
        <v>ZG071SSR-11</v>
      </c>
      <c r="S1011">
        <f t="shared" si="292"/>
        <v>0</v>
      </c>
      <c r="U1011" t="str">
        <f t="shared" si="293"/>
        <v>continue</v>
      </c>
      <c r="V1011" t="str">
        <f t="shared" si="294"/>
        <v>manual</v>
      </c>
      <c r="W1011" s="5">
        <f t="shared" si="295"/>
        <v>608.04690000000005</v>
      </c>
      <c r="Y1011" t="b">
        <f t="shared" si="296"/>
        <v>1</v>
      </c>
      <c r="Z1011" t="b">
        <f t="shared" si="297"/>
        <v>0</v>
      </c>
      <c r="AB1011" t="str">
        <f t="shared" si="298"/>
        <v/>
      </c>
      <c r="AE1011" t="b">
        <v>0</v>
      </c>
    </row>
    <row r="1012" spans="1:31" x14ac:dyDescent="0.2">
      <c r="A1012" t="str">
        <f t="shared" si="285"/>
        <v>https://shop.officineitalianezard.it/en/products/index/moto-guzzi-silencer-7340-80/</v>
      </c>
      <c r="B1012" t="b">
        <f>COUNTIF($A$2:$A1012, A1012)&gt;1</f>
        <v>0</v>
      </c>
      <c r="C1012" t="b">
        <f t="shared" si="286"/>
        <v>0</v>
      </c>
      <c r="D1012">
        <f>VLOOKUP(A1012,variant_counts!A:B, 2, FALSE)</f>
        <v>3</v>
      </c>
      <c r="E1012" t="str">
        <f t="shared" si="299"/>
        <v>zard-exhaust-silencer-moto-guzzi-breva-850-1200-my-2011-conical-version-zg071ssr</v>
      </c>
      <c r="F1012" t="str">
        <f t="shared" si="287"/>
        <v>ZARD EXHAUST SILENCER MOTO GUZZI BREVA 850-1200 &lt; M.Y. 2011 CONICAL VERSION ZG071SSR</v>
      </c>
      <c r="G1012" t="str">
        <f t="shared" si="288"/>
        <v>&lt;p&gt;STEEL RACING SILENCER WITH REMOVABLE DB KILLER&lt;/p&gt;
&lt;p&gt;ORIGINAL SILENCER WEIGHT: KG 7&lt;br&gt;ZARD SILENCER WEIGHT: KG 3.1&lt;/p&gt;
&lt;p&gt;HARD INCREASE, COMPARED TO THE ORIGINAL EXHAUST SYSTEM, IN TERMS OF TORQUE AND POWER (+3 HP) AT ANY RANGE.&lt;/p&gt;
&lt;p&gt;ASTONISHING SOUND.&lt;/p&gt;
&lt;p&gt;&amp;nbsp;&lt;/p&gt;</v>
      </c>
      <c r="H1012" t="str">
        <f t="shared" si="300"/>
        <v>ZARD</v>
      </c>
      <c r="I1012" t="str">
        <f t="shared" si="301"/>
        <v>Exhaust Pipe</v>
      </c>
      <c r="J1012" t="str">
        <f t="shared" si="302"/>
        <v>Test</v>
      </c>
      <c r="K1012" t="b">
        <f t="shared" si="303"/>
        <v>0</v>
      </c>
      <c r="L1012" t="str">
        <f t="shared" si="289"/>
        <v/>
      </c>
      <c r="M1012" t="str">
        <f t="shared" si="290"/>
        <v/>
      </c>
      <c r="R1012" t="str">
        <f t="shared" si="291"/>
        <v/>
      </c>
      <c r="S1012" t="str">
        <f t="shared" si="292"/>
        <v/>
      </c>
      <c r="U1012" t="str">
        <f t="shared" si="293"/>
        <v/>
      </c>
      <c r="V1012" t="str">
        <f t="shared" si="294"/>
        <v/>
      </c>
      <c r="W1012" s="5" t="str">
        <f t="shared" si="295"/>
        <v/>
      </c>
      <c r="Y1012" t="str">
        <f t="shared" si="296"/>
        <v/>
      </c>
      <c r="Z1012" t="str">
        <f t="shared" si="297"/>
        <v/>
      </c>
      <c r="AB1012" t="str">
        <f t="shared" si="298"/>
        <v>https://shop.officineitalianezard.it/contents/imgs/products/1_538-scarico%20moto%20guzzi%20zard%201.jpg</v>
      </c>
      <c r="AE1012" t="b">
        <v>0</v>
      </c>
    </row>
    <row r="1013" spans="1:31" x14ac:dyDescent="0.2">
      <c r="A1013" t="str">
        <f t="shared" si="285"/>
        <v>https://shop.officineitalianezard.it/en/products/index/moto-guzzi-silencer-7340-80/</v>
      </c>
      <c r="B1013" t="b">
        <f>COUNTIF($A$2:$A1013, A1013)&gt;1</f>
        <v>1</v>
      </c>
      <c r="C1013" t="b">
        <f t="shared" si="286"/>
        <v>0</v>
      </c>
      <c r="D1013">
        <f>VLOOKUP(A1013,variant_counts!A:B, 2, FALSE)</f>
        <v>3</v>
      </c>
      <c r="E1013" t="str">
        <f t="shared" si="299"/>
        <v>zard-exhaust-silencer-moto-guzzi-breva-850-1200-my-2011-conical-version-zg071ssr</v>
      </c>
      <c r="F1013" t="str">
        <f t="shared" si="287"/>
        <v>ZARD EXHAUST SILENCER MOTO GUZZI BREVA 850-1200 &lt; M.Y. 2011 CONICAL VERSION ZG071SSR</v>
      </c>
      <c r="G1013" t="str">
        <f t="shared" si="288"/>
        <v/>
      </c>
      <c r="H1013" t="str">
        <f t="shared" si="300"/>
        <v/>
      </c>
      <c r="I1013" t="str">
        <f t="shared" si="301"/>
        <v/>
      </c>
      <c r="J1013" t="str">
        <f t="shared" si="302"/>
        <v/>
      </c>
      <c r="K1013" t="str">
        <f t="shared" si="303"/>
        <v/>
      </c>
      <c r="L1013" t="str">
        <f t="shared" si="289"/>
        <v/>
      </c>
      <c r="M1013" t="str">
        <f t="shared" si="290"/>
        <v/>
      </c>
      <c r="R1013" t="str">
        <f t="shared" si="291"/>
        <v/>
      </c>
      <c r="S1013" t="str">
        <f t="shared" si="292"/>
        <v/>
      </c>
      <c r="U1013" t="str">
        <f t="shared" si="293"/>
        <v/>
      </c>
      <c r="V1013" t="str">
        <f t="shared" si="294"/>
        <v/>
      </c>
      <c r="W1013" s="5" t="str">
        <f t="shared" si="295"/>
        <v/>
      </c>
      <c r="Y1013" t="str">
        <f t="shared" si="296"/>
        <v/>
      </c>
      <c r="Z1013" t="str">
        <f t="shared" si="297"/>
        <v/>
      </c>
      <c r="AB1013" t="str">
        <f t="shared" si="298"/>
        <v>https://shop.officineitalianezard.it/contents/imgs/products/1_539-scarico%20moto%20guzzi%20zard%202.jpg</v>
      </c>
      <c r="AE1013" t="b">
        <v>0</v>
      </c>
    </row>
    <row r="1014" spans="1:31" x14ac:dyDescent="0.2">
      <c r="A1014" t="str">
        <f t="shared" si="285"/>
        <v>https://shop.officineitalianezard.it/en/products/index/moto-guzzi-silencer-7340-80/</v>
      </c>
      <c r="B1014" t="b">
        <f>COUNTIF($A$2:$A1014, A1014)&gt;1</f>
        <v>1</v>
      </c>
      <c r="C1014" t="b">
        <f t="shared" si="286"/>
        <v>1</v>
      </c>
      <c r="D1014">
        <f>VLOOKUP(A1014,variant_counts!A:B, 2, FALSE)</f>
        <v>3</v>
      </c>
      <c r="E1014" t="str">
        <f t="shared" si="299"/>
        <v>zard-exhaust-silencer-moto-guzzi-breva-850-1200-my-2011-conical-version-zg071ssr</v>
      </c>
      <c r="F1014" t="str">
        <f t="shared" si="287"/>
        <v>ZARD EXHAUST SILENCER MOTO GUZZI BREVA 850-1200 &lt; M.Y. 2011 CONICAL VERSION ZG071SSR</v>
      </c>
      <c r="G1014" t="str">
        <f t="shared" si="288"/>
        <v/>
      </c>
      <c r="H1014" t="str">
        <f t="shared" si="300"/>
        <v/>
      </c>
      <c r="I1014" t="str">
        <f t="shared" si="301"/>
        <v/>
      </c>
      <c r="J1014" t="str">
        <f t="shared" si="302"/>
        <v/>
      </c>
      <c r="K1014" t="str">
        <f t="shared" si="303"/>
        <v/>
      </c>
      <c r="L1014" t="str">
        <f t="shared" si="289"/>
        <v>Option</v>
      </c>
      <c r="M1014" t="str">
        <f t="shared" si="290"/>
        <v>EURO 3 HOMOLOGATED</v>
      </c>
      <c r="R1014" t="str">
        <f t="shared" si="291"/>
        <v>ZG071SSR</v>
      </c>
      <c r="S1014">
        <f t="shared" si="292"/>
        <v>0</v>
      </c>
      <c r="U1014" t="str">
        <f t="shared" si="293"/>
        <v>continue</v>
      </c>
      <c r="V1014" t="str">
        <f t="shared" si="294"/>
        <v>manual</v>
      </c>
      <c r="W1014" s="5">
        <f t="shared" si="295"/>
        <v>626.06220000000008</v>
      </c>
      <c r="Y1014" t="b">
        <f t="shared" si="296"/>
        <v>1</v>
      </c>
      <c r="Z1014" t="b">
        <f t="shared" si="297"/>
        <v>0</v>
      </c>
      <c r="AB1014" t="str">
        <f t="shared" si="298"/>
        <v/>
      </c>
      <c r="AE1014" t="b">
        <v>0</v>
      </c>
    </row>
    <row r="1015" spans="1:31" x14ac:dyDescent="0.2">
      <c r="A1015" t="str">
        <f t="shared" si="285"/>
        <v>https://shop.officineitalianezard.it/en/products/index/moto-guzzi-silencer-7340-80/</v>
      </c>
      <c r="B1015" t="b">
        <f>COUNTIF($A$2:$A1015, A1015)&gt;1</f>
        <v>1</v>
      </c>
      <c r="C1015" t="b">
        <f t="shared" si="286"/>
        <v>1</v>
      </c>
      <c r="D1015">
        <f>VLOOKUP(A1015,variant_counts!A:B, 2, FALSE)</f>
        <v>3</v>
      </c>
      <c r="E1015" t="str">
        <f t="shared" si="299"/>
        <v>zard-exhaust-silencer-moto-guzzi-breva-850-1200-my-2011-conical-version-zg071ssr</v>
      </c>
      <c r="F1015" t="str">
        <f t="shared" si="287"/>
        <v>ZARD EXHAUST SILENCER MOTO GUZZI BREVA 850-1200 &lt; M.Y. 2011 CONICAL VERSION ZG071SSR</v>
      </c>
      <c r="G1015" t="str">
        <f t="shared" si="288"/>
        <v/>
      </c>
      <c r="H1015" t="str">
        <f t="shared" si="300"/>
        <v/>
      </c>
      <c r="I1015" t="str">
        <f t="shared" si="301"/>
        <v/>
      </c>
      <c r="J1015" t="str">
        <f t="shared" si="302"/>
        <v/>
      </c>
      <c r="K1015" t="str">
        <f t="shared" si="303"/>
        <v/>
      </c>
      <c r="L1015" t="str">
        <f t="shared" si="289"/>
        <v>Option</v>
      </c>
      <c r="M1015" t="str">
        <f t="shared" si="290"/>
        <v>BLACK COATING</v>
      </c>
      <c r="R1015" t="str">
        <f t="shared" si="291"/>
        <v>ZG071SSR</v>
      </c>
      <c r="S1015">
        <f t="shared" si="292"/>
        <v>0</v>
      </c>
      <c r="U1015" t="str">
        <f t="shared" si="293"/>
        <v>continue</v>
      </c>
      <c r="V1015" t="str">
        <f t="shared" si="294"/>
        <v>manual</v>
      </c>
      <c r="W1015" s="5">
        <f t="shared" si="295"/>
        <v>647.35200000000009</v>
      </c>
      <c r="Y1015" t="b">
        <f t="shared" si="296"/>
        <v>1</v>
      </c>
      <c r="Z1015" t="b">
        <f t="shared" si="297"/>
        <v>0</v>
      </c>
      <c r="AB1015" t="str">
        <f t="shared" si="298"/>
        <v/>
      </c>
      <c r="AE1015" t="b">
        <v>0</v>
      </c>
    </row>
    <row r="1016" spans="1:31" x14ac:dyDescent="0.2">
      <c r="A1016" t="str">
        <f t="shared" si="285"/>
        <v>https://shop.officineitalianezard.it/en/products/index/moto-guzzi-silencer-7340-80/</v>
      </c>
      <c r="B1016" t="b">
        <f>COUNTIF($A$2:$A1016, A1016)&gt;1</f>
        <v>1</v>
      </c>
      <c r="C1016" t="b">
        <f t="shared" si="286"/>
        <v>1</v>
      </c>
      <c r="D1016">
        <f>VLOOKUP(A1016,variant_counts!A:B, 2, FALSE)</f>
        <v>3</v>
      </c>
      <c r="E1016" t="str">
        <f t="shared" si="299"/>
        <v>zard-exhaust-silencer-moto-guzzi-breva-850-1200-my-2011-conical-version-zg071ssr</v>
      </c>
      <c r="F1016" t="str">
        <f t="shared" si="287"/>
        <v>ZARD EXHAUST SILENCER MOTO GUZZI BREVA 850-1200 &lt; M.Y. 2011 CONICAL VERSION ZG071SSR</v>
      </c>
      <c r="G1016" t="str">
        <f t="shared" si="288"/>
        <v/>
      </c>
      <c r="H1016" t="str">
        <f t="shared" si="300"/>
        <v/>
      </c>
      <c r="I1016" t="str">
        <f t="shared" si="301"/>
        <v/>
      </c>
      <c r="J1016" t="str">
        <f t="shared" si="302"/>
        <v/>
      </c>
      <c r="K1016" t="str">
        <f t="shared" si="303"/>
        <v/>
      </c>
      <c r="L1016" t="str">
        <f t="shared" si="289"/>
        <v>Option</v>
      </c>
      <c r="M1016" t="str">
        <f t="shared" si="290"/>
        <v>CARBON ENDCAP</v>
      </c>
      <c r="R1016" t="str">
        <f t="shared" si="291"/>
        <v>ZG071SSR</v>
      </c>
      <c r="S1016">
        <f t="shared" si="292"/>
        <v>0</v>
      </c>
      <c r="U1016" t="str">
        <f t="shared" si="293"/>
        <v>continue</v>
      </c>
      <c r="V1016" t="str">
        <f t="shared" si="294"/>
        <v>manual</v>
      </c>
      <c r="W1016" s="5">
        <f t="shared" si="295"/>
        <v>608.04690000000005</v>
      </c>
      <c r="Y1016" t="b">
        <f t="shared" si="296"/>
        <v>1</v>
      </c>
      <c r="Z1016" t="b">
        <f t="shared" si="297"/>
        <v>0</v>
      </c>
      <c r="AB1016" t="str">
        <f t="shared" si="298"/>
        <v/>
      </c>
      <c r="AE1016" t="b">
        <v>0</v>
      </c>
    </row>
    <row r="1017" spans="1:31" x14ac:dyDescent="0.2">
      <c r="A1017" t="str">
        <f t="shared" si="285"/>
        <v>https://shop.officineitalianezard.it/en/products/index/penta-silencer-zard-kymco-zk-386-asr-7426-117/</v>
      </c>
      <c r="B1017" t="b">
        <f>COUNTIF($A$2:$A1017, A1017)&gt;1</f>
        <v>0</v>
      </c>
      <c r="C1017" t="b">
        <f t="shared" si="286"/>
        <v>0</v>
      </c>
      <c r="D1017">
        <f>VLOOKUP(A1017,variant_counts!A:B, 2, FALSE)</f>
        <v>2</v>
      </c>
      <c r="E1017" t="str">
        <f t="shared" si="299"/>
        <v>zard-exhaust-silencer-kymco-xciting-r-500i-penta-version-zk-386-asr</v>
      </c>
      <c r="F1017" t="str">
        <f t="shared" si="287"/>
        <v>ZARD EXHAUST SILENCER KYMCO XCITING R 500I PENTA VERSION ZK 386 ASR</v>
      </c>
      <c r="G1017" t="str">
        <f t="shared" si="288"/>
        <v>&lt;p&gt;STEEL-ALUMINIUM BLACK SILENCER RACING WITH REMOVABLE DB KILLER&lt;/p&gt;
&lt;p&gt;ORIGINAL SILENCER WEIGHT: KG 7&lt;br&gt;ZARD SILENCER WEIGHT: KG 2.1&lt;/p&gt;
&lt;p&gt;HARD INCREASE, COMPARED TO THE ORIGINAL EXHAUST SYSTEM, IN TERMS OF TORQUE AND POWER AT ANY RANGE (+2 HP).&lt;/p&gt;
&lt;p&gt;ASTONISHING SOUND.&lt;/p&gt;</v>
      </c>
      <c r="H1017" t="str">
        <f t="shared" si="300"/>
        <v>ZARD</v>
      </c>
      <c r="I1017" t="str">
        <f t="shared" si="301"/>
        <v>Exhaust Pipe</v>
      </c>
      <c r="J1017" t="str">
        <f t="shared" si="302"/>
        <v>Test</v>
      </c>
      <c r="K1017" t="b">
        <f t="shared" si="303"/>
        <v>0</v>
      </c>
      <c r="L1017" t="str">
        <f t="shared" si="289"/>
        <v/>
      </c>
      <c r="M1017" t="str">
        <f t="shared" si="290"/>
        <v/>
      </c>
      <c r="R1017" t="str">
        <f t="shared" si="291"/>
        <v/>
      </c>
      <c r="S1017" t="str">
        <f t="shared" si="292"/>
        <v/>
      </c>
      <c r="U1017" t="str">
        <f t="shared" si="293"/>
        <v/>
      </c>
      <c r="V1017" t="str">
        <f t="shared" si="294"/>
        <v/>
      </c>
      <c r="W1017" s="5" t="str">
        <f t="shared" si="295"/>
        <v/>
      </c>
      <c r="Y1017" t="str">
        <f t="shared" si="296"/>
        <v/>
      </c>
      <c r="Z1017" t="str">
        <f t="shared" si="297"/>
        <v/>
      </c>
      <c r="AB1017" t="str">
        <f t="shared" si="298"/>
        <v>https://shop.officineitalianezard.it/contents/imgs/products/1_706-scarichi%20moto%20zard%20kymco%202.jpg</v>
      </c>
      <c r="AE1017" t="b">
        <v>0</v>
      </c>
    </row>
    <row r="1018" spans="1:31" x14ac:dyDescent="0.2">
      <c r="A1018" t="str">
        <f t="shared" si="285"/>
        <v>https://shop.officineitalianezard.it/en/products/index/penta-silencer-zard-kymco-zk-386-asr-7426-117/</v>
      </c>
      <c r="B1018" t="b">
        <f>COUNTIF($A$2:$A1018, A1018)&gt;1</f>
        <v>1</v>
      </c>
      <c r="C1018" t="b">
        <f t="shared" si="286"/>
        <v>0</v>
      </c>
      <c r="D1018">
        <f>VLOOKUP(A1018,variant_counts!A:B, 2, FALSE)</f>
        <v>2</v>
      </c>
      <c r="E1018" t="str">
        <f t="shared" si="299"/>
        <v>zard-exhaust-silencer-kymco-xciting-r-500i-penta-version-zk-386-asr</v>
      </c>
      <c r="F1018" t="str">
        <f t="shared" si="287"/>
        <v>ZARD EXHAUST SILENCER KYMCO XCITING R 500I PENTA VERSION ZK 386 ASR</v>
      </c>
      <c r="G1018" t="str">
        <f t="shared" si="288"/>
        <v/>
      </c>
      <c r="H1018" t="str">
        <f t="shared" si="300"/>
        <v/>
      </c>
      <c r="I1018" t="str">
        <f t="shared" si="301"/>
        <v/>
      </c>
      <c r="J1018" t="str">
        <f t="shared" si="302"/>
        <v/>
      </c>
      <c r="K1018" t="str">
        <f t="shared" si="303"/>
        <v/>
      </c>
      <c r="L1018" t="str">
        <f t="shared" si="289"/>
        <v/>
      </c>
      <c r="M1018" t="str">
        <f t="shared" si="290"/>
        <v/>
      </c>
      <c r="R1018" t="str">
        <f t="shared" si="291"/>
        <v/>
      </c>
      <c r="S1018" t="str">
        <f t="shared" si="292"/>
        <v/>
      </c>
      <c r="U1018" t="str">
        <f t="shared" si="293"/>
        <v/>
      </c>
      <c r="V1018" t="str">
        <f t="shared" si="294"/>
        <v/>
      </c>
      <c r="W1018" s="5" t="str">
        <f t="shared" si="295"/>
        <v/>
      </c>
      <c r="Y1018" t="str">
        <f t="shared" si="296"/>
        <v/>
      </c>
      <c r="Z1018" t="str">
        <f t="shared" si="297"/>
        <v/>
      </c>
      <c r="AB1018" t="str">
        <f t="shared" si="298"/>
        <v>https://shop.officineitalianezard.it/contents/imgs/products/1_705-scarichi%20moto%20zard%20kymco%201.jpg</v>
      </c>
      <c r="AE1018" t="b">
        <v>0</v>
      </c>
    </row>
    <row r="1019" spans="1:31" x14ac:dyDescent="0.2">
      <c r="A1019" t="str">
        <f t="shared" si="285"/>
        <v>https://shop.officineitalianezard.it/en/products/index/penta-silencer-zard-kymco-zk-386-asr-7426-117/</v>
      </c>
      <c r="B1019" t="b">
        <f>COUNTIF($A$2:$A1019, A1019)&gt;1</f>
        <v>1</v>
      </c>
      <c r="C1019" t="b">
        <f t="shared" si="286"/>
        <v>1</v>
      </c>
      <c r="D1019">
        <f>VLOOKUP(A1019,variant_counts!A:B, 2, FALSE)</f>
        <v>2</v>
      </c>
      <c r="E1019" t="str">
        <f t="shared" si="299"/>
        <v>zard-exhaust-silencer-kymco-xciting-r-500i-penta-version-zk-386-asr</v>
      </c>
      <c r="F1019" t="str">
        <f t="shared" si="287"/>
        <v>ZARD EXHAUST SILENCER KYMCO XCITING R 500I PENTA VERSION ZK 386 ASR</v>
      </c>
      <c r="G1019" t="str">
        <f t="shared" si="288"/>
        <v/>
      </c>
      <c r="H1019" t="str">
        <f t="shared" si="300"/>
        <v/>
      </c>
      <c r="I1019" t="str">
        <f t="shared" si="301"/>
        <v/>
      </c>
      <c r="J1019" t="str">
        <f t="shared" si="302"/>
        <v/>
      </c>
      <c r="K1019" t="str">
        <f t="shared" si="303"/>
        <v/>
      </c>
      <c r="L1019" t="str">
        <f t="shared" si="289"/>
        <v>Option</v>
      </c>
      <c r="M1019" t="str">
        <f t="shared" si="290"/>
        <v>HOMOLOGATED</v>
      </c>
      <c r="R1019" t="str">
        <f t="shared" si="291"/>
        <v>ZK 386 ASR</v>
      </c>
      <c r="S1019">
        <f t="shared" si="292"/>
        <v>0</v>
      </c>
      <c r="U1019" t="str">
        <f t="shared" si="293"/>
        <v>continue</v>
      </c>
      <c r="V1019" t="str">
        <f t="shared" si="294"/>
        <v>manual</v>
      </c>
      <c r="W1019" s="5">
        <f t="shared" si="295"/>
        <v>467.28780000000006</v>
      </c>
      <c r="Y1019" t="b">
        <f t="shared" si="296"/>
        <v>1</v>
      </c>
      <c r="Z1019" t="b">
        <f t="shared" si="297"/>
        <v>0</v>
      </c>
      <c r="AB1019" t="str">
        <f t="shared" si="298"/>
        <v/>
      </c>
      <c r="AE1019" t="b">
        <v>0</v>
      </c>
    </row>
    <row r="1020" spans="1:31" x14ac:dyDescent="0.2">
      <c r="A1020" t="str">
        <f t="shared" si="285"/>
        <v>https://shop.officineitalianezard.it/en/products/index/penta-silencer-zard-kymco-zk-386-asr-7426-117/</v>
      </c>
      <c r="B1020" t="b">
        <f>COUNTIF($A$2:$A1020, A1020)&gt;1</f>
        <v>1</v>
      </c>
      <c r="C1020" t="b">
        <f t="shared" si="286"/>
        <v>1</v>
      </c>
      <c r="D1020">
        <f>VLOOKUP(A1020,variant_counts!A:B, 2, FALSE)</f>
        <v>2</v>
      </c>
      <c r="E1020" t="str">
        <f t="shared" si="299"/>
        <v>zard-exhaust-silencer-kymco-xciting-r-500i-penta-version-zk-386-asr</v>
      </c>
      <c r="F1020" t="str">
        <f t="shared" si="287"/>
        <v>ZARD EXHAUST SILENCER KYMCO XCITING R 500I PENTA VERSION ZK 386 ASR</v>
      </c>
      <c r="G1020" t="str">
        <f t="shared" si="288"/>
        <v/>
      </c>
      <c r="H1020" t="str">
        <f t="shared" si="300"/>
        <v/>
      </c>
      <c r="I1020" t="str">
        <f t="shared" si="301"/>
        <v/>
      </c>
      <c r="J1020" t="str">
        <f t="shared" si="302"/>
        <v/>
      </c>
      <c r="K1020" t="str">
        <f t="shared" si="303"/>
        <v/>
      </c>
      <c r="L1020" t="str">
        <f t="shared" si="289"/>
        <v>Option</v>
      </c>
      <c r="M1020" t="str">
        <f t="shared" si="290"/>
        <v>CARBON ENDCAP</v>
      </c>
      <c r="R1020" t="str">
        <f t="shared" si="291"/>
        <v>ZK 386 ASR</v>
      </c>
      <c r="S1020">
        <f t="shared" si="292"/>
        <v>0</v>
      </c>
      <c r="U1020" t="str">
        <f t="shared" si="293"/>
        <v>continue</v>
      </c>
      <c r="V1020" t="str">
        <f t="shared" si="294"/>
        <v>manual</v>
      </c>
      <c r="W1020" s="5">
        <f t="shared" si="295"/>
        <v>448.45110000000005</v>
      </c>
      <c r="Y1020" t="b">
        <f t="shared" si="296"/>
        <v>1</v>
      </c>
      <c r="Z1020" t="b">
        <f t="shared" si="297"/>
        <v>0</v>
      </c>
      <c r="AB1020" t="str">
        <f t="shared" si="298"/>
        <v/>
      </c>
      <c r="AE1020" t="b">
        <v>0</v>
      </c>
    </row>
    <row r="1021" spans="1:31" x14ac:dyDescent="0.2">
      <c r="A1021" t="str">
        <f t="shared" si="285"/>
        <v>https://shop.officineitalianezard.it/en/products/index/penta-silencer-zard-kymco-xciting-r-300i-7425-116/</v>
      </c>
      <c r="B1021" t="b">
        <f>COUNTIF($A$2:$A1021, A1021)&gt;1</f>
        <v>0</v>
      </c>
      <c r="C1021" t="b">
        <f t="shared" si="286"/>
        <v>0</v>
      </c>
      <c r="D1021">
        <f>VLOOKUP(A1021,variant_counts!A:B, 2, FALSE)</f>
        <v>2</v>
      </c>
      <c r="E1021" t="str">
        <f t="shared" si="299"/>
        <v>zard-exhaust-silencer-kymco-xciting-r-300i-penta-version-zk-385-asr</v>
      </c>
      <c r="F1021" t="str">
        <f t="shared" si="287"/>
        <v>ZARD EXHAUST SILENCER KYMCO XCITING R 300I PENTA VERSION ZK 385 ASR</v>
      </c>
      <c r="G1021" t="str">
        <f t="shared" si="288"/>
        <v>&lt;p&gt;STEEL-ALUMINIUM BLACK SILENCER RACING WITH REMOVABLE DB KILLER&lt;/p&gt;
&lt;p&gt;ORIGINAL SILENCER WEIGHT: KG 7&lt;br&gt;ZARD SILENCER WEIGHT: KG 2.1&lt;/p&gt;
&lt;p&gt;HARD INCREASE, COMPARED TO THE ORIGINAL EXHAUST SYSTEM, IN TERMS OF TORQUE AND POWER AT ANY RANGE (+2 HP).&lt;/p&gt;
&lt;p&gt;ASTONISHING SOUND.&lt;/p&gt;</v>
      </c>
      <c r="H1021" t="str">
        <f t="shared" si="300"/>
        <v>ZARD</v>
      </c>
      <c r="I1021" t="str">
        <f t="shared" si="301"/>
        <v>Exhaust Pipe</v>
      </c>
      <c r="J1021" t="str">
        <f t="shared" si="302"/>
        <v>Test</v>
      </c>
      <c r="K1021" t="b">
        <f t="shared" si="303"/>
        <v>0</v>
      </c>
      <c r="L1021" t="str">
        <f t="shared" si="289"/>
        <v/>
      </c>
      <c r="M1021" t="str">
        <f t="shared" si="290"/>
        <v/>
      </c>
      <c r="R1021" t="str">
        <f t="shared" si="291"/>
        <v/>
      </c>
      <c r="S1021" t="str">
        <f t="shared" si="292"/>
        <v/>
      </c>
      <c r="U1021" t="str">
        <f t="shared" si="293"/>
        <v/>
      </c>
      <c r="V1021" t="str">
        <f t="shared" si="294"/>
        <v/>
      </c>
      <c r="W1021" s="5" t="str">
        <f t="shared" si="295"/>
        <v/>
      </c>
      <c r="Y1021" t="str">
        <f t="shared" si="296"/>
        <v/>
      </c>
      <c r="Z1021" t="str">
        <f t="shared" si="297"/>
        <v/>
      </c>
      <c r="AB1021" t="str">
        <f t="shared" si="298"/>
        <v>https://shop.officineitalianezard.it/contents/imgs/products/1_704-scarichi%20moto%20zard%20kymco%202.jpg</v>
      </c>
      <c r="AE1021" t="b">
        <v>0</v>
      </c>
    </row>
    <row r="1022" spans="1:31" x14ac:dyDescent="0.2">
      <c r="A1022" t="str">
        <f t="shared" si="285"/>
        <v>https://shop.officineitalianezard.it/en/products/index/penta-silencer-zard-kymco-xciting-r-300i-7425-116/</v>
      </c>
      <c r="B1022" t="b">
        <f>COUNTIF($A$2:$A1022, A1022)&gt;1</f>
        <v>1</v>
      </c>
      <c r="C1022" t="b">
        <f t="shared" si="286"/>
        <v>1</v>
      </c>
      <c r="D1022">
        <f>VLOOKUP(A1022,variant_counts!A:B, 2, FALSE)</f>
        <v>2</v>
      </c>
      <c r="E1022" t="str">
        <f t="shared" si="299"/>
        <v>zard-exhaust-silencer-kymco-xciting-r-300i-penta-version-zk-385-asr</v>
      </c>
      <c r="F1022" t="str">
        <f t="shared" si="287"/>
        <v>ZARD EXHAUST SILENCER KYMCO XCITING R 300I PENTA VERSION ZK 385 ASR</v>
      </c>
      <c r="G1022" t="str">
        <f t="shared" si="288"/>
        <v/>
      </c>
      <c r="H1022" t="str">
        <f t="shared" si="300"/>
        <v/>
      </c>
      <c r="I1022" t="str">
        <f t="shared" si="301"/>
        <v/>
      </c>
      <c r="J1022" t="str">
        <f t="shared" si="302"/>
        <v/>
      </c>
      <c r="K1022" t="str">
        <f t="shared" si="303"/>
        <v/>
      </c>
      <c r="L1022" t="str">
        <f t="shared" si="289"/>
        <v>Option</v>
      </c>
      <c r="M1022" t="str">
        <f t="shared" si="290"/>
        <v>HOMOLOGATED</v>
      </c>
      <c r="R1022" t="str">
        <f t="shared" si="291"/>
        <v>ZK 385 ASR</v>
      </c>
      <c r="S1022">
        <f t="shared" si="292"/>
        <v>0</v>
      </c>
      <c r="U1022" t="str">
        <f t="shared" si="293"/>
        <v>continue</v>
      </c>
      <c r="V1022" t="str">
        <f t="shared" si="294"/>
        <v>manual</v>
      </c>
      <c r="W1022" s="5">
        <f t="shared" si="295"/>
        <v>467.28780000000006</v>
      </c>
      <c r="Y1022" t="b">
        <f t="shared" si="296"/>
        <v>1</v>
      </c>
      <c r="Z1022" t="b">
        <f t="shared" si="297"/>
        <v>0</v>
      </c>
      <c r="AB1022" t="str">
        <f t="shared" si="298"/>
        <v/>
      </c>
      <c r="AE1022" t="b">
        <v>0</v>
      </c>
    </row>
    <row r="1023" spans="1:31" x14ac:dyDescent="0.2">
      <c r="A1023" t="str">
        <f t="shared" si="285"/>
        <v>https://shop.officineitalianezard.it/en/products/index/penta-silencer-zard-kymco-xciting-r-300i-7425-116/</v>
      </c>
      <c r="B1023" t="b">
        <f>COUNTIF($A$2:$A1023, A1023)&gt;1</f>
        <v>1</v>
      </c>
      <c r="C1023" t="b">
        <f t="shared" si="286"/>
        <v>1</v>
      </c>
      <c r="D1023">
        <f>VLOOKUP(A1023,variant_counts!A:B, 2, FALSE)</f>
        <v>2</v>
      </c>
      <c r="E1023" t="str">
        <f t="shared" si="299"/>
        <v>zard-exhaust-silencer-kymco-xciting-r-300i-penta-version-zk-385-asr</v>
      </c>
      <c r="F1023" t="str">
        <f t="shared" si="287"/>
        <v>ZARD EXHAUST SILENCER KYMCO XCITING R 300I PENTA VERSION ZK 385 ASR</v>
      </c>
      <c r="G1023" t="str">
        <f t="shared" si="288"/>
        <v/>
      </c>
      <c r="H1023" t="str">
        <f t="shared" si="300"/>
        <v/>
      </c>
      <c r="I1023" t="str">
        <f t="shared" si="301"/>
        <v/>
      </c>
      <c r="J1023" t="str">
        <f t="shared" si="302"/>
        <v/>
      </c>
      <c r="K1023" t="str">
        <f t="shared" si="303"/>
        <v/>
      </c>
      <c r="L1023" t="str">
        <f t="shared" si="289"/>
        <v>Option</v>
      </c>
      <c r="M1023" t="str">
        <f t="shared" si="290"/>
        <v>CARBON ENDCAP</v>
      </c>
      <c r="R1023" t="str">
        <f t="shared" si="291"/>
        <v>ZK 385 ASR</v>
      </c>
      <c r="S1023">
        <f t="shared" si="292"/>
        <v>0</v>
      </c>
      <c r="U1023" t="str">
        <f t="shared" si="293"/>
        <v>continue</v>
      </c>
      <c r="V1023" t="str">
        <f t="shared" si="294"/>
        <v>manual</v>
      </c>
      <c r="W1023" s="5">
        <f t="shared" si="295"/>
        <v>448.45110000000005</v>
      </c>
      <c r="Y1023" t="b">
        <f t="shared" si="296"/>
        <v>1</v>
      </c>
      <c r="Z1023" t="b">
        <f t="shared" si="297"/>
        <v>0</v>
      </c>
      <c r="AB1023" t="str">
        <f t="shared" si="298"/>
        <v/>
      </c>
      <c r="AE1023" t="b">
        <v>0</v>
      </c>
    </row>
    <row r="1024" spans="1:31" x14ac:dyDescent="0.2">
      <c r="A1024" t="str">
        <f t="shared" si="285"/>
        <v>https://shop.officineitalianezard.it/en/products/index/zard-silencer-kymco-downtown-300i-7424-115/</v>
      </c>
      <c r="B1024" t="b">
        <f>COUNTIF($A$2:$A1024, A1024)&gt;1</f>
        <v>0</v>
      </c>
      <c r="C1024" t="b">
        <f t="shared" si="286"/>
        <v>0</v>
      </c>
      <c r="D1024">
        <f>VLOOKUP(A1024,variant_counts!A:B, 2, FALSE)</f>
        <v>2</v>
      </c>
      <c r="E1024" t="str">
        <f t="shared" si="299"/>
        <v>zard-exhaust-silencer-kymco-downtown-300i-penta-version-zk-384-asr</v>
      </c>
      <c r="F1024" t="str">
        <f t="shared" si="287"/>
        <v>ZARD EXHAUST SILENCER KYMCO DOWNTOWN 300I PENTA VERSION ZK 384 ASR</v>
      </c>
      <c r="G1024" t="str">
        <f t="shared" si="288"/>
        <v>&lt;p&gt;STEEL-ALUMINIUM BLACK SILENCER RACING WITH REMOVABLE DB KILLER&lt;/p&gt;
&lt;p&gt;ORIGINAL SILENCER WEIGHT: KG 7&lt;br&gt;ZARD SILENCER WEIGHT: KG 2.1&lt;/p&gt;
&lt;p&gt;HARD INCREASE, COMPARED TO THE ORIGINAL EXHAUST SYSTEM, IN TERMS OF TORQUE AND POWER AT ANY RANGE (+2 HP).&lt;/p&gt;
&lt;p&gt;ASTONISHING SOUND.&lt;/p&gt;</v>
      </c>
      <c r="H1024" t="str">
        <f t="shared" si="300"/>
        <v>ZARD</v>
      </c>
      <c r="I1024" t="str">
        <f t="shared" si="301"/>
        <v>Exhaust Pipe</v>
      </c>
      <c r="J1024" t="str">
        <f t="shared" si="302"/>
        <v>Test</v>
      </c>
      <c r="K1024" t="b">
        <f t="shared" si="303"/>
        <v>0</v>
      </c>
      <c r="L1024" t="str">
        <f t="shared" si="289"/>
        <v/>
      </c>
      <c r="M1024" t="str">
        <f t="shared" si="290"/>
        <v/>
      </c>
      <c r="R1024" t="str">
        <f t="shared" si="291"/>
        <v/>
      </c>
      <c r="S1024" t="str">
        <f t="shared" si="292"/>
        <v/>
      </c>
      <c r="U1024" t="str">
        <f t="shared" si="293"/>
        <v/>
      </c>
      <c r="V1024" t="str">
        <f t="shared" si="294"/>
        <v/>
      </c>
      <c r="W1024" s="5" t="str">
        <f t="shared" si="295"/>
        <v/>
      </c>
      <c r="Y1024" t="str">
        <f t="shared" si="296"/>
        <v/>
      </c>
      <c r="Z1024" t="str">
        <f t="shared" si="297"/>
        <v/>
      </c>
      <c r="AB1024" t="str">
        <f t="shared" si="298"/>
        <v>https://shop.officineitalianezard.it/contents/imgs/products/1_702-scarichi%20moto%20zard%20kymco%201.jpg</v>
      </c>
      <c r="AE1024" t="b">
        <v>0</v>
      </c>
    </row>
    <row r="1025" spans="1:31" x14ac:dyDescent="0.2">
      <c r="A1025" t="str">
        <f t="shared" si="285"/>
        <v>https://shop.officineitalianezard.it/en/products/index/zard-silencer-kymco-downtown-300i-7424-115/</v>
      </c>
      <c r="B1025" t="b">
        <f>COUNTIF($A$2:$A1025, A1025)&gt;1</f>
        <v>1</v>
      </c>
      <c r="C1025" t="b">
        <f t="shared" si="286"/>
        <v>1</v>
      </c>
      <c r="D1025">
        <f>VLOOKUP(A1025,variant_counts!A:B, 2, FALSE)</f>
        <v>2</v>
      </c>
      <c r="E1025" t="str">
        <f t="shared" si="299"/>
        <v>zard-exhaust-silencer-kymco-downtown-300i-penta-version-zk-384-asr</v>
      </c>
      <c r="F1025" t="str">
        <f t="shared" si="287"/>
        <v>ZARD EXHAUST SILENCER KYMCO DOWNTOWN 300I PENTA VERSION ZK 384 ASR</v>
      </c>
      <c r="G1025" t="str">
        <f t="shared" si="288"/>
        <v/>
      </c>
      <c r="H1025" t="str">
        <f t="shared" si="300"/>
        <v/>
      </c>
      <c r="I1025" t="str">
        <f t="shared" si="301"/>
        <v/>
      </c>
      <c r="J1025" t="str">
        <f t="shared" si="302"/>
        <v/>
      </c>
      <c r="K1025" t="str">
        <f t="shared" si="303"/>
        <v/>
      </c>
      <c r="L1025" t="str">
        <f t="shared" si="289"/>
        <v>Option</v>
      </c>
      <c r="M1025" t="str">
        <f t="shared" si="290"/>
        <v>HOMOLOGATED</v>
      </c>
      <c r="R1025" t="str">
        <f t="shared" si="291"/>
        <v>ZK 384 ASR</v>
      </c>
      <c r="S1025">
        <f t="shared" si="292"/>
        <v>0</v>
      </c>
      <c r="U1025" t="str">
        <f t="shared" si="293"/>
        <v>continue</v>
      </c>
      <c r="V1025" t="str">
        <f t="shared" si="294"/>
        <v>manual</v>
      </c>
      <c r="W1025" s="5">
        <f t="shared" si="295"/>
        <v>467.28780000000006</v>
      </c>
      <c r="Y1025" t="b">
        <f t="shared" si="296"/>
        <v>1</v>
      </c>
      <c r="Z1025" t="b">
        <f t="shared" si="297"/>
        <v>0</v>
      </c>
      <c r="AB1025" t="str">
        <f t="shared" si="298"/>
        <v/>
      </c>
      <c r="AE1025" t="b">
        <v>0</v>
      </c>
    </row>
    <row r="1026" spans="1:31" x14ac:dyDescent="0.2">
      <c r="A1026" t="str">
        <f t="shared" ref="A1026:A1089" si="304">source_product_link_href</f>
        <v>https://shop.officineitalianezard.it/en/products/index/zard-silencer-kymco-downtown-300i-7424-115/</v>
      </c>
      <c r="B1026" t="b">
        <f>COUNTIF($A$2:$A1026, A1026)&gt;1</f>
        <v>1</v>
      </c>
      <c r="C1026" t="b">
        <f t="shared" ref="C1026:C1089" si="305">NOT(ISBLANK(source_option_name))</f>
        <v>1</v>
      </c>
      <c r="D1026">
        <f>VLOOKUP(A1026,variant_counts!A:B, 2, FALSE)</f>
        <v>2</v>
      </c>
      <c r="E1026" t="str">
        <f t="shared" si="299"/>
        <v>zard-exhaust-silencer-kymco-downtown-300i-penta-version-zk-384-asr</v>
      </c>
      <c r="F1026" t="str">
        <f t="shared" ref="F1026:F1089" si="306">UPPER("ZARD EXHAUST " &amp; source_title &amp; " " &amp; source_brand &amp; " " &amp; source_bike &amp; " " &amp; source_product_link &amp; " " &amp; source_sku)</f>
        <v>ZARD EXHAUST SILENCER KYMCO DOWNTOWN 300I PENTA VERSION ZK 384 ASR</v>
      </c>
      <c r="G1026" t="str">
        <f t="shared" ref="G1026:G1089" si="307">IF($B1026=FALSE, source_description, "")</f>
        <v/>
      </c>
      <c r="H1026" t="str">
        <f t="shared" si="300"/>
        <v/>
      </c>
      <c r="I1026" t="str">
        <f t="shared" si="301"/>
        <v/>
      </c>
      <c r="J1026" t="str">
        <f t="shared" si="302"/>
        <v/>
      </c>
      <c r="K1026" t="str">
        <f t="shared" si="303"/>
        <v/>
      </c>
      <c r="L1026" t="str">
        <f t="shared" ref="L1026:L1089" si="308">IF(AND(variant_count=0,duplicated=FALSE),"Title",IF(OR(AND(variant_count=1,duplicated=FALSE), source_option_name&lt;&gt;""), "Option", ""))</f>
        <v>Option</v>
      </c>
      <c r="M1026" t="str">
        <f t="shared" ref="M1026:M1089" si="309">IF(option1_name="Title", "Default Title", IF(AND(option1_name="Option",ISBLANK(source_option_name)),"DEFAULT",IF(ISBLANK(source_option_name), "", source_option_name)))</f>
        <v>CARBON ENDCAP</v>
      </c>
      <c r="R1026" t="str">
        <f t="shared" ref="R1026:R1089" si="310">IF(option1_name &lt;&gt; "", source_sku, "")</f>
        <v>ZK 384 ASR</v>
      </c>
      <c r="S1026">
        <f t="shared" ref="S1026:S1089" si="311">IF(option1_name &lt;&gt; "", 0, "")</f>
        <v>0</v>
      </c>
      <c r="U1026" t="str">
        <f t="shared" ref="U1026:U1089" si="312">IF(option1_name &lt;&gt; "", "continue", "")</f>
        <v>continue</v>
      </c>
      <c r="V1026" t="str">
        <f t="shared" ref="V1026:V1089" si="313">IF(option1_name &lt;&gt; "", "manual", "")</f>
        <v>manual</v>
      </c>
      <c r="W1026" s="5">
        <f t="shared" ref="W1026:W1089" si="314">IF(option1_name&lt;&gt;"",(source_price_original+source_option_price)*eur_usd,"")</f>
        <v>448.45110000000005</v>
      </c>
      <c r="Y1026" t="b">
        <f t="shared" ref="Y1026:Y1089" si="315">IF(option1_name&lt;&gt;"",TRUE,"")</f>
        <v>1</v>
      </c>
      <c r="Z1026" t="b">
        <f t="shared" ref="Z1026:Z1089" si="316">IF(option1_name&lt;&gt;"",FALSE,"")</f>
        <v>0</v>
      </c>
      <c r="AB1026" t="str">
        <f t="shared" ref="AB1026:AB1089" si="317">IF(ISBLANK(source_image), "", source_image)</f>
        <v/>
      </c>
      <c r="AE1026" t="b">
        <v>0</v>
      </c>
    </row>
    <row r="1027" spans="1:31" x14ac:dyDescent="0.2">
      <c r="A1027" t="str">
        <f t="shared" si="304"/>
        <v>https://shop.officineitalianezard.it/en/products/index/ktm-adventure-exhaust-zard-7315-77/</v>
      </c>
      <c r="B1027" t="b">
        <f>COUNTIF($A$2:$A1027, A1027)&gt;1</f>
        <v>0</v>
      </c>
      <c r="C1027" t="b">
        <f t="shared" si="305"/>
        <v>0</v>
      </c>
      <c r="D1027">
        <f>VLOOKUP(A1027,variant_counts!A:B, 2, FALSE)</f>
        <v>5</v>
      </c>
      <c r="E1027" t="str">
        <f t="shared" ref="E1027:E1090" si="318">FormatShopifyHandle(F1027)</f>
        <v>zard-exhaust-silencer-ktm-ktm-105011901290-adventure-201316-penta-r-version-zktm225ssr</v>
      </c>
      <c r="F1027" t="str">
        <f t="shared" si="306"/>
        <v>ZARD EXHAUST SILENCER KTM KTM 1050/1190/1290 ADVENTURE 2013/16 PENTA-R VERSION ZKTM225SSR</v>
      </c>
      <c r="G1027" t="str">
        <f t="shared" si="307"/>
        <v>&lt;p&gt;STEEL RACING SILENCER WITH&amp;nbsp;CARBON ENDCAP AND HEAT SHIELD.&lt;/p&gt;
&lt;p&gt;ORIGINAL SILENCER WEIGHT: KG 6.1&lt;/p&gt;
&lt;p&gt;ZARD STEEL SILENCER WEIGHT: KG 3.3&lt;/p&gt;
&lt;p&gt;ZARD TITANIUM SILENCER WEIGHT: KG 3&lt;/p&gt;
&lt;p&gt;HARD INCREASE IN TERMS OF RESPONSE IN THE MID-RANGE AND MORE MAXIMUM POWER COMPARED TO THE DEFAULT EXHAUST SYSTEM.&lt;/p&gt;
&lt;p&gt;ASTONISHING SOUND.&lt;/p&gt;</v>
      </c>
      <c r="H1027" t="str">
        <f t="shared" ref="H1027:H1090" si="319">IF($B1027=FALSE, "ZARD", "")</f>
        <v>ZARD</v>
      </c>
      <c r="I1027" t="str">
        <f t="shared" ref="I1027:I1090" si="320">IF($B1027=FALSE, "Exhaust Pipe", "")</f>
        <v>Exhaust Pipe</v>
      </c>
      <c r="J1027" t="str">
        <f t="shared" ref="J1027:J1090" si="321">IF($B1027=FALSE, "Test", "")</f>
        <v>Test</v>
      </c>
      <c r="K1027" t="b">
        <f t="shared" ref="K1027:K1090" si="322">IF($B1027=FALSE, FALSE, "")</f>
        <v>0</v>
      </c>
      <c r="L1027" t="str">
        <f t="shared" si="308"/>
        <v/>
      </c>
      <c r="M1027" t="str">
        <f t="shared" si="309"/>
        <v/>
      </c>
      <c r="R1027" t="str">
        <f t="shared" si="310"/>
        <v/>
      </c>
      <c r="S1027" t="str">
        <f t="shared" si="311"/>
        <v/>
      </c>
      <c r="U1027" t="str">
        <f t="shared" si="312"/>
        <v/>
      </c>
      <c r="V1027" t="str">
        <f t="shared" si="313"/>
        <v/>
      </c>
      <c r="W1027" s="5" t="str">
        <f t="shared" si="314"/>
        <v/>
      </c>
      <c r="Y1027" t="str">
        <f t="shared" si="315"/>
        <v/>
      </c>
      <c r="Z1027" t="str">
        <f t="shared" si="316"/>
        <v/>
      </c>
      <c r="AB1027" t="str">
        <f t="shared" si="317"/>
        <v>https://shop.officineitalianezard.it/contents/imgs/products/1_2429-scarichi%20moto%20-%20scarico%20per%20ktm%201190%20adventure%20-%20zard1.jpg</v>
      </c>
      <c r="AE1027" t="b">
        <v>0</v>
      </c>
    </row>
    <row r="1028" spans="1:31" x14ac:dyDescent="0.2">
      <c r="A1028" t="str">
        <f t="shared" si="304"/>
        <v>https://shop.officineitalianezard.it/en/products/index/ktm-adventure-exhaust-zard-7315-77/</v>
      </c>
      <c r="B1028" t="b">
        <f>COUNTIF($A$2:$A1028, A1028)&gt;1</f>
        <v>1</v>
      </c>
      <c r="C1028" t="b">
        <f t="shared" si="305"/>
        <v>0</v>
      </c>
      <c r="D1028">
        <f>VLOOKUP(A1028,variant_counts!A:B, 2, FALSE)</f>
        <v>5</v>
      </c>
      <c r="E1028" t="str">
        <f t="shared" si="318"/>
        <v>zard-exhaust-silencer-ktm-ktm-105011901290-adventure-201316-penta-r-version-zktm225ssr</v>
      </c>
      <c r="F1028" t="str">
        <f t="shared" si="306"/>
        <v>ZARD EXHAUST SILENCER KTM KTM 1050/1190/1290 ADVENTURE 2013/16 PENTA-R VERSION ZKTM225SSR</v>
      </c>
      <c r="G1028" t="str">
        <f t="shared" si="307"/>
        <v/>
      </c>
      <c r="H1028" t="str">
        <f t="shared" si="319"/>
        <v/>
      </c>
      <c r="I1028" t="str">
        <f t="shared" si="320"/>
        <v/>
      </c>
      <c r="J1028" t="str">
        <f t="shared" si="321"/>
        <v/>
      </c>
      <c r="K1028" t="str">
        <f t="shared" si="322"/>
        <v/>
      </c>
      <c r="L1028" t="str">
        <f t="shared" si="308"/>
        <v/>
      </c>
      <c r="M1028" t="str">
        <f t="shared" si="309"/>
        <v/>
      </c>
      <c r="R1028" t="str">
        <f t="shared" si="310"/>
        <v/>
      </c>
      <c r="S1028" t="str">
        <f t="shared" si="311"/>
        <v/>
      </c>
      <c r="U1028" t="str">
        <f t="shared" si="312"/>
        <v/>
      </c>
      <c r="V1028" t="str">
        <f t="shared" si="313"/>
        <v/>
      </c>
      <c r="W1028" s="5" t="str">
        <f t="shared" si="314"/>
        <v/>
      </c>
      <c r="Y1028" t="str">
        <f t="shared" si="315"/>
        <v/>
      </c>
      <c r="Z1028" t="str">
        <f t="shared" si="316"/>
        <v/>
      </c>
      <c r="AB1028" t="str">
        <f t="shared" si="317"/>
        <v>https://shop.officineitalianezard.it/contents/imgs/products/1_2430-scarichi%20moto%20-%20scarico%20per%20ktm%201190%20adventure%20-%20zard2.jpg</v>
      </c>
      <c r="AE1028" t="b">
        <v>0</v>
      </c>
    </row>
    <row r="1029" spans="1:31" x14ac:dyDescent="0.2">
      <c r="A1029" t="str">
        <f t="shared" si="304"/>
        <v>https://shop.officineitalianezard.it/en/products/index/ktm-adventure-exhaust-zard-7315-77/</v>
      </c>
      <c r="B1029" t="b">
        <f>COUNTIF($A$2:$A1029, A1029)&gt;1</f>
        <v>1</v>
      </c>
      <c r="C1029" t="b">
        <f t="shared" si="305"/>
        <v>0</v>
      </c>
      <c r="D1029">
        <f>VLOOKUP(A1029,variant_counts!A:B, 2, FALSE)</f>
        <v>5</v>
      </c>
      <c r="E1029" t="str">
        <f t="shared" si="318"/>
        <v>zard-exhaust-silencer-ktm-ktm-105011901290-adventure-201316-penta-r-version-zktm225ssr</v>
      </c>
      <c r="F1029" t="str">
        <f t="shared" si="306"/>
        <v>ZARD EXHAUST SILENCER KTM KTM 1050/1190/1290 ADVENTURE 2013/16 PENTA-R VERSION ZKTM225SSR</v>
      </c>
      <c r="G1029" t="str">
        <f t="shared" si="307"/>
        <v/>
      </c>
      <c r="H1029" t="str">
        <f t="shared" si="319"/>
        <v/>
      </c>
      <c r="I1029" t="str">
        <f t="shared" si="320"/>
        <v/>
      </c>
      <c r="J1029" t="str">
        <f t="shared" si="321"/>
        <v/>
      </c>
      <c r="K1029" t="str">
        <f t="shared" si="322"/>
        <v/>
      </c>
      <c r="L1029" t="str">
        <f t="shared" si="308"/>
        <v/>
      </c>
      <c r="M1029" t="str">
        <f t="shared" si="309"/>
        <v/>
      </c>
      <c r="R1029" t="str">
        <f t="shared" si="310"/>
        <v/>
      </c>
      <c r="S1029" t="str">
        <f t="shared" si="311"/>
        <v/>
      </c>
      <c r="U1029" t="str">
        <f t="shared" si="312"/>
        <v/>
      </c>
      <c r="V1029" t="str">
        <f t="shared" si="313"/>
        <v/>
      </c>
      <c r="W1029" s="5" t="str">
        <f t="shared" si="314"/>
        <v/>
      </c>
      <c r="Y1029" t="str">
        <f t="shared" si="315"/>
        <v/>
      </c>
      <c r="Z1029" t="str">
        <f t="shared" si="316"/>
        <v/>
      </c>
      <c r="AB1029" t="str">
        <f t="shared" si="317"/>
        <v>https://shop.officineitalianezard.it/contents/imgs/products/1_490-1.jpg</v>
      </c>
      <c r="AE1029" t="b">
        <v>0</v>
      </c>
    </row>
    <row r="1030" spans="1:31" x14ac:dyDescent="0.2">
      <c r="A1030" t="str">
        <f t="shared" si="304"/>
        <v>https://shop.officineitalianezard.it/en/products/index/ktm-adventure-exhaust-zard-7315-77/</v>
      </c>
      <c r="B1030" t="b">
        <f>COUNTIF($A$2:$A1030, A1030)&gt;1</f>
        <v>1</v>
      </c>
      <c r="C1030" t="b">
        <f t="shared" si="305"/>
        <v>0</v>
      </c>
      <c r="D1030">
        <f>VLOOKUP(A1030,variant_counts!A:B, 2, FALSE)</f>
        <v>5</v>
      </c>
      <c r="E1030" t="str">
        <f t="shared" si="318"/>
        <v>zard-exhaust-silencer-ktm-ktm-105011901290-adventure-201316-penta-r-version-zktm225ssr</v>
      </c>
      <c r="F1030" t="str">
        <f t="shared" si="306"/>
        <v>ZARD EXHAUST SILENCER KTM KTM 1050/1190/1290 ADVENTURE 2013/16 PENTA-R VERSION ZKTM225SSR</v>
      </c>
      <c r="G1030" t="str">
        <f t="shared" si="307"/>
        <v/>
      </c>
      <c r="H1030" t="str">
        <f t="shared" si="319"/>
        <v/>
      </c>
      <c r="I1030" t="str">
        <f t="shared" si="320"/>
        <v/>
      </c>
      <c r="J1030" t="str">
        <f t="shared" si="321"/>
        <v/>
      </c>
      <c r="K1030" t="str">
        <f t="shared" si="322"/>
        <v/>
      </c>
      <c r="L1030" t="str">
        <f t="shared" si="308"/>
        <v/>
      </c>
      <c r="M1030" t="str">
        <f t="shared" si="309"/>
        <v/>
      </c>
      <c r="R1030" t="str">
        <f t="shared" si="310"/>
        <v/>
      </c>
      <c r="S1030" t="str">
        <f t="shared" si="311"/>
        <v/>
      </c>
      <c r="U1030" t="str">
        <f t="shared" si="312"/>
        <v/>
      </c>
      <c r="V1030" t="str">
        <f t="shared" si="313"/>
        <v/>
      </c>
      <c r="W1030" s="5" t="str">
        <f t="shared" si="314"/>
        <v/>
      </c>
      <c r="Y1030" t="str">
        <f t="shared" si="315"/>
        <v/>
      </c>
      <c r="Z1030" t="str">
        <f t="shared" si="316"/>
        <v/>
      </c>
      <c r="AB1030" t="str">
        <f t="shared" si="317"/>
        <v>https://shop.officineitalianezard.it/contents/imgs/products/1_978-carbon%20exhaust.jpg</v>
      </c>
      <c r="AE1030" t="b">
        <v>0</v>
      </c>
    </row>
    <row r="1031" spans="1:31" x14ac:dyDescent="0.2">
      <c r="A1031" t="str">
        <f t="shared" si="304"/>
        <v>https://shop.officineitalianezard.it/en/products/index/ktm-adventure-exhaust-zard-7315-77/</v>
      </c>
      <c r="B1031" t="b">
        <f>COUNTIF($A$2:$A1031, A1031)&gt;1</f>
        <v>1</v>
      </c>
      <c r="C1031" t="b">
        <f t="shared" si="305"/>
        <v>0</v>
      </c>
      <c r="D1031">
        <f>VLOOKUP(A1031,variant_counts!A:B, 2, FALSE)</f>
        <v>5</v>
      </c>
      <c r="E1031" t="str">
        <f t="shared" si="318"/>
        <v>zard-exhaust-silencer-ktm-ktm-105011901290-adventure-201316-penta-r-version-zktm225ssr</v>
      </c>
      <c r="F1031" t="str">
        <f t="shared" si="306"/>
        <v>ZARD EXHAUST SILENCER KTM KTM 1050/1190/1290 ADVENTURE 2013/16 PENTA-R VERSION ZKTM225SSR</v>
      </c>
      <c r="G1031" t="str">
        <f t="shared" si="307"/>
        <v/>
      </c>
      <c r="H1031" t="str">
        <f t="shared" si="319"/>
        <v/>
      </c>
      <c r="I1031" t="str">
        <f t="shared" si="320"/>
        <v/>
      </c>
      <c r="J1031" t="str">
        <f t="shared" si="321"/>
        <v/>
      </c>
      <c r="K1031" t="str">
        <f t="shared" si="322"/>
        <v/>
      </c>
      <c r="L1031" t="str">
        <f t="shared" si="308"/>
        <v/>
      </c>
      <c r="M1031" t="str">
        <f t="shared" si="309"/>
        <v/>
      </c>
      <c r="R1031" t="str">
        <f t="shared" si="310"/>
        <v/>
      </c>
      <c r="S1031" t="str">
        <f t="shared" si="311"/>
        <v/>
      </c>
      <c r="U1031" t="str">
        <f t="shared" si="312"/>
        <v/>
      </c>
      <c r="V1031" t="str">
        <f t="shared" si="313"/>
        <v/>
      </c>
      <c r="W1031" s="5" t="str">
        <f t="shared" si="314"/>
        <v/>
      </c>
      <c r="Y1031" t="str">
        <f t="shared" si="315"/>
        <v/>
      </c>
      <c r="Z1031" t="str">
        <f t="shared" si="316"/>
        <v/>
      </c>
      <c r="AB1031" t="str">
        <f t="shared" si="317"/>
        <v>https://shop.officineitalianezard.it/contents/imgs/products/1_975-zard%20exhaust%20carbon.jpg</v>
      </c>
      <c r="AE1031" t="b">
        <v>0</v>
      </c>
    </row>
    <row r="1032" spans="1:31" x14ac:dyDescent="0.2">
      <c r="A1032" t="str">
        <f t="shared" si="304"/>
        <v>https://shop.officineitalianezard.it/en/products/index/ktm-adventure-exhaust-zard-7315-77/</v>
      </c>
      <c r="B1032" t="b">
        <f>COUNTIF($A$2:$A1032, A1032)&gt;1</f>
        <v>1</v>
      </c>
      <c r="C1032" t="b">
        <f t="shared" si="305"/>
        <v>1</v>
      </c>
      <c r="D1032">
        <f>VLOOKUP(A1032,variant_counts!A:B, 2, FALSE)</f>
        <v>5</v>
      </c>
      <c r="E1032" t="str">
        <f t="shared" si="318"/>
        <v>zard-exhaust-silencer-ktm-ktm-105011901290-adventure-201316-penta-r-version-zktm225ssr</v>
      </c>
      <c r="F1032" t="str">
        <f t="shared" si="306"/>
        <v>ZARD EXHAUST SILENCER KTM KTM 1050/1190/1290 ADVENTURE 2013/16 PENTA-R VERSION ZKTM225SSR</v>
      </c>
      <c r="G1032" t="str">
        <f t="shared" si="307"/>
        <v/>
      </c>
      <c r="H1032" t="str">
        <f t="shared" si="319"/>
        <v/>
      </c>
      <c r="I1032" t="str">
        <f t="shared" si="320"/>
        <v/>
      </c>
      <c r="J1032" t="str">
        <f t="shared" si="321"/>
        <v/>
      </c>
      <c r="K1032" t="str">
        <f t="shared" si="322"/>
        <v/>
      </c>
      <c r="L1032" t="str">
        <f t="shared" si="308"/>
        <v>Option</v>
      </c>
      <c r="M1032" t="str">
        <f t="shared" si="309"/>
        <v>EURO 3 HOMOLOGATED</v>
      </c>
      <c r="R1032" t="str">
        <f t="shared" si="310"/>
        <v>ZKTM225SSR</v>
      </c>
      <c r="S1032">
        <f t="shared" si="311"/>
        <v>0</v>
      </c>
      <c r="U1032" t="str">
        <f t="shared" si="312"/>
        <v>continue</v>
      </c>
      <c r="V1032" t="str">
        <f t="shared" si="313"/>
        <v>manual</v>
      </c>
      <c r="W1032" s="5">
        <f t="shared" si="314"/>
        <v>639.16020000000015</v>
      </c>
      <c r="Y1032" t="b">
        <f t="shared" si="315"/>
        <v>1</v>
      </c>
      <c r="Z1032" t="b">
        <f t="shared" si="316"/>
        <v>0</v>
      </c>
      <c r="AB1032" t="str">
        <f t="shared" si="317"/>
        <v/>
      </c>
      <c r="AE1032" t="b">
        <v>0</v>
      </c>
    </row>
    <row r="1033" spans="1:31" x14ac:dyDescent="0.2">
      <c r="A1033" t="str">
        <f t="shared" si="304"/>
        <v>https://shop.officineitalianezard.it/en/products/index/ktm-adventure-exhaust-zard-7315-77/</v>
      </c>
      <c r="B1033" t="b">
        <f>COUNTIF($A$2:$A1033, A1033)&gt;1</f>
        <v>1</v>
      </c>
      <c r="C1033" t="b">
        <f t="shared" si="305"/>
        <v>1</v>
      </c>
      <c r="D1033">
        <f>VLOOKUP(A1033,variant_counts!A:B, 2, FALSE)</f>
        <v>5</v>
      </c>
      <c r="E1033" t="str">
        <f t="shared" si="318"/>
        <v>zard-exhaust-silencer-ktm-ktm-105011901290-adventure-201316-penta-r-version-zktm225ssr</v>
      </c>
      <c r="F1033" t="str">
        <f t="shared" si="306"/>
        <v>ZARD EXHAUST SILENCER KTM KTM 1050/1190/1290 ADVENTURE 2013/16 PENTA-R VERSION ZKTM225SSR</v>
      </c>
      <c r="G1033" t="str">
        <f t="shared" si="307"/>
        <v/>
      </c>
      <c r="H1033" t="str">
        <f t="shared" si="319"/>
        <v/>
      </c>
      <c r="I1033" t="str">
        <f t="shared" si="320"/>
        <v/>
      </c>
      <c r="J1033" t="str">
        <f t="shared" si="321"/>
        <v/>
      </c>
      <c r="K1033" t="str">
        <f t="shared" si="322"/>
        <v/>
      </c>
      <c r="L1033" t="str">
        <f t="shared" si="308"/>
        <v>Option</v>
      </c>
      <c r="M1033" t="str">
        <f t="shared" si="309"/>
        <v>RACING TITANIUM</v>
      </c>
      <c r="R1033" t="str">
        <f t="shared" si="310"/>
        <v>ZKTM225SSR</v>
      </c>
      <c r="S1033">
        <f t="shared" si="311"/>
        <v>0</v>
      </c>
      <c r="U1033" t="str">
        <f t="shared" si="312"/>
        <v>continue</v>
      </c>
      <c r="V1033" t="str">
        <f t="shared" si="313"/>
        <v>manual</v>
      </c>
      <c r="W1033" s="5">
        <f t="shared" si="314"/>
        <v>708.76830000000007</v>
      </c>
      <c r="Y1033" t="b">
        <f t="shared" si="315"/>
        <v>1</v>
      </c>
      <c r="Z1033" t="b">
        <f t="shared" si="316"/>
        <v>0</v>
      </c>
      <c r="AB1033" t="str">
        <f t="shared" si="317"/>
        <v/>
      </c>
      <c r="AE1033" t="b">
        <v>0</v>
      </c>
    </row>
    <row r="1034" spans="1:31" x14ac:dyDescent="0.2">
      <c r="A1034" t="str">
        <f t="shared" si="304"/>
        <v>https://shop.officineitalianezard.it/en/products/index/ktm-adventure-exhaust-zard-7315-77/</v>
      </c>
      <c r="B1034" t="b">
        <f>COUNTIF($A$2:$A1034, A1034)&gt;1</f>
        <v>1</v>
      </c>
      <c r="C1034" t="b">
        <f t="shared" si="305"/>
        <v>1</v>
      </c>
      <c r="D1034">
        <f>VLOOKUP(A1034,variant_counts!A:B, 2, FALSE)</f>
        <v>5</v>
      </c>
      <c r="E1034" t="str">
        <f t="shared" si="318"/>
        <v>zard-exhaust-silencer-ktm-ktm-105011901290-adventure-201316-penta-r-version-zktm225ssr</v>
      </c>
      <c r="F1034" t="str">
        <f t="shared" si="306"/>
        <v>ZARD EXHAUST SILENCER KTM KTM 1050/1190/1290 ADVENTURE 2013/16 PENTA-R VERSION ZKTM225SSR</v>
      </c>
      <c r="G1034" t="str">
        <f t="shared" si="307"/>
        <v/>
      </c>
      <c r="H1034" t="str">
        <f t="shared" si="319"/>
        <v/>
      </c>
      <c r="I1034" t="str">
        <f t="shared" si="320"/>
        <v/>
      </c>
      <c r="J1034" t="str">
        <f t="shared" si="321"/>
        <v/>
      </c>
      <c r="K1034" t="str">
        <f t="shared" si="322"/>
        <v/>
      </c>
      <c r="L1034" t="str">
        <f t="shared" si="308"/>
        <v>Option</v>
      </c>
      <c r="M1034" t="str">
        <f t="shared" si="309"/>
        <v>HOMOLOGATED TITANIUM</v>
      </c>
      <c r="R1034" t="str">
        <f t="shared" si="310"/>
        <v>ZKTM225SSR</v>
      </c>
      <c r="S1034">
        <f t="shared" si="311"/>
        <v>0</v>
      </c>
      <c r="U1034" t="str">
        <f t="shared" si="312"/>
        <v>continue</v>
      </c>
      <c r="V1034" t="str">
        <f t="shared" si="313"/>
        <v>manual</v>
      </c>
      <c r="W1034" s="5">
        <f t="shared" si="314"/>
        <v>730.05810000000008</v>
      </c>
      <c r="Y1034" t="b">
        <f t="shared" si="315"/>
        <v>1</v>
      </c>
      <c r="Z1034" t="b">
        <f t="shared" si="316"/>
        <v>0</v>
      </c>
      <c r="AB1034" t="str">
        <f t="shared" si="317"/>
        <v/>
      </c>
      <c r="AE1034" t="b">
        <v>0</v>
      </c>
    </row>
    <row r="1035" spans="1:31" x14ac:dyDescent="0.2">
      <c r="A1035" t="str">
        <f t="shared" si="304"/>
        <v>https://shop.officineitalianezard.it/en/products/index/ktm-adventure-exhaust-zard-7315-77/</v>
      </c>
      <c r="B1035" t="b">
        <f>COUNTIF($A$2:$A1035, A1035)&gt;1</f>
        <v>1</v>
      </c>
      <c r="C1035" t="b">
        <f t="shared" si="305"/>
        <v>1</v>
      </c>
      <c r="D1035">
        <f>VLOOKUP(A1035,variant_counts!A:B, 2, FALSE)</f>
        <v>5</v>
      </c>
      <c r="E1035" t="str">
        <f t="shared" si="318"/>
        <v>zard-exhaust-silencer-ktm-ktm-105011901290-adventure-201316-penta-r-version-zktm225ssr</v>
      </c>
      <c r="F1035" t="str">
        <f t="shared" si="306"/>
        <v>ZARD EXHAUST SILENCER KTM KTM 1050/1190/1290 ADVENTURE 2013/16 PENTA-R VERSION ZKTM225SSR</v>
      </c>
      <c r="G1035" t="str">
        <f t="shared" si="307"/>
        <v/>
      </c>
      <c r="H1035" t="str">
        <f t="shared" si="319"/>
        <v/>
      </c>
      <c r="I1035" t="str">
        <f t="shared" si="320"/>
        <v/>
      </c>
      <c r="J1035" t="str">
        <f t="shared" si="321"/>
        <v/>
      </c>
      <c r="K1035" t="str">
        <f t="shared" si="322"/>
        <v/>
      </c>
      <c r="L1035" t="str">
        <f t="shared" si="308"/>
        <v>Option</v>
      </c>
      <c r="M1035" t="str">
        <f t="shared" si="309"/>
        <v>RACING CARBON VERSION</v>
      </c>
      <c r="R1035" t="str">
        <f t="shared" si="310"/>
        <v>ZKTM225SSR</v>
      </c>
      <c r="S1035">
        <f t="shared" si="311"/>
        <v>0</v>
      </c>
      <c r="U1035" t="str">
        <f t="shared" si="312"/>
        <v>continue</v>
      </c>
      <c r="V1035" t="str">
        <f t="shared" si="313"/>
        <v>manual</v>
      </c>
      <c r="W1035" s="5">
        <f t="shared" si="314"/>
        <v>729.23670000000004</v>
      </c>
      <c r="Y1035" t="b">
        <f t="shared" si="315"/>
        <v>1</v>
      </c>
      <c r="Z1035" t="b">
        <f t="shared" si="316"/>
        <v>0</v>
      </c>
      <c r="AB1035" t="str">
        <f t="shared" si="317"/>
        <v/>
      </c>
      <c r="AE1035" t="b">
        <v>0</v>
      </c>
    </row>
    <row r="1036" spans="1:31" x14ac:dyDescent="0.2">
      <c r="A1036" t="str">
        <f t="shared" si="304"/>
        <v>https://shop.officineitalianezard.it/en/products/index/ktm-adventure-exhaust-zard-7315-77/</v>
      </c>
      <c r="B1036" t="b">
        <f>COUNTIF($A$2:$A1036, A1036)&gt;1</f>
        <v>1</v>
      </c>
      <c r="C1036" t="b">
        <f t="shared" si="305"/>
        <v>1</v>
      </c>
      <c r="D1036">
        <f>VLOOKUP(A1036,variant_counts!A:B, 2, FALSE)</f>
        <v>5</v>
      </c>
      <c r="E1036" t="str">
        <f t="shared" si="318"/>
        <v>zard-exhaust-silencer-ktm-ktm-105011901290-adventure-201316-penta-r-version-zktm225ssr</v>
      </c>
      <c r="F1036" t="str">
        <f t="shared" si="306"/>
        <v>ZARD EXHAUST SILENCER KTM KTM 1050/1190/1290 ADVENTURE 2013/16 PENTA-R VERSION ZKTM225SSR</v>
      </c>
      <c r="G1036" t="str">
        <f t="shared" si="307"/>
        <v/>
      </c>
      <c r="H1036" t="str">
        <f t="shared" si="319"/>
        <v/>
      </c>
      <c r="I1036" t="str">
        <f t="shared" si="320"/>
        <v/>
      </c>
      <c r="J1036" t="str">
        <f t="shared" si="321"/>
        <v/>
      </c>
      <c r="K1036" t="str">
        <f t="shared" si="322"/>
        <v/>
      </c>
      <c r="L1036" t="str">
        <f t="shared" si="308"/>
        <v>Option</v>
      </c>
      <c r="M1036" t="str">
        <f t="shared" si="309"/>
        <v>HOMOLOGATED CARBON VERSION</v>
      </c>
      <c r="R1036" t="str">
        <f t="shared" si="310"/>
        <v>ZKTM225SSR</v>
      </c>
      <c r="S1036">
        <f t="shared" si="311"/>
        <v>0</v>
      </c>
      <c r="U1036" t="str">
        <f t="shared" si="312"/>
        <v>continue</v>
      </c>
      <c r="V1036" t="str">
        <f t="shared" si="313"/>
        <v>manual</v>
      </c>
      <c r="W1036" s="5">
        <f t="shared" si="314"/>
        <v>734.96430000000009</v>
      </c>
      <c r="Y1036" t="b">
        <f t="shared" si="315"/>
        <v>1</v>
      </c>
      <c r="Z1036" t="b">
        <f t="shared" si="316"/>
        <v>0</v>
      </c>
      <c r="AB1036" t="str">
        <f t="shared" si="317"/>
        <v/>
      </c>
      <c r="AE1036" t="b">
        <v>0</v>
      </c>
    </row>
    <row r="1037" spans="1:31" x14ac:dyDescent="0.2">
      <c r="A1037" t="str">
        <f t="shared" si="304"/>
        <v>https://shop.officineitalianezard.it/en/products/index/ktm-duke-exhaust-zard-7313-75/</v>
      </c>
      <c r="B1037" t="b">
        <f>COUNTIF($A$2:$A1037, A1037)&gt;1</f>
        <v>0</v>
      </c>
      <c r="C1037" t="b">
        <f t="shared" si="305"/>
        <v>0</v>
      </c>
      <c r="D1037">
        <f>VLOOKUP(A1037,variant_counts!A:B, 2, FALSE)</f>
        <v>2</v>
      </c>
      <c r="E1037" t="str">
        <f t="shared" si="318"/>
        <v>zard-exhaust-low-mounted-silencer-ktm-ktm-duke-390-201012-penta-version-zktm224apr</v>
      </c>
      <c r="F1037" t="str">
        <f t="shared" si="306"/>
        <v>ZARD EXHAUST LOW MOUNTED SILENCER KTM KTM DUKE 390 2010/12 PENTA VERSION ZKTM224APR</v>
      </c>
      <c r="G1037" t="str">
        <f t="shared" si="307"/>
        <v>&lt;p&gt;LOW MOUNTED STEEL-ALUMINIUM BLACK RACING SILENCER&amp;nbsp;&lt;/p&gt;
&lt;p&gt;ZARD SILENCER WEIGHT: KG 1.7&lt;/p&gt;
&lt;p&gt;HARD INCREASE IN TERMS OF RESPONSE IN THE RANGE BETWEEN 4000 AND 6500 RPM AND 1.5 MORE HP COMPARED TO THE ORIGINAL EXHAUST SYSTEM.&lt;/p&gt;
&lt;p&gt;ASTONISHING SOUND.&lt;/p&gt;</v>
      </c>
      <c r="H1037" t="str">
        <f t="shared" si="319"/>
        <v>ZARD</v>
      </c>
      <c r="I1037" t="str">
        <f t="shared" si="320"/>
        <v>Exhaust Pipe</v>
      </c>
      <c r="J1037" t="str">
        <f t="shared" si="321"/>
        <v>Test</v>
      </c>
      <c r="K1037" t="b">
        <f t="shared" si="322"/>
        <v>0</v>
      </c>
      <c r="L1037" t="str">
        <f t="shared" si="308"/>
        <v/>
      </c>
      <c r="M1037" t="str">
        <f t="shared" si="309"/>
        <v/>
      </c>
      <c r="R1037" t="str">
        <f t="shared" si="310"/>
        <v/>
      </c>
      <c r="S1037" t="str">
        <f t="shared" si="311"/>
        <v/>
      </c>
      <c r="U1037" t="str">
        <f t="shared" si="312"/>
        <v/>
      </c>
      <c r="V1037" t="str">
        <f t="shared" si="313"/>
        <v/>
      </c>
      <c r="W1037" s="5" t="str">
        <f t="shared" si="314"/>
        <v/>
      </c>
      <c r="Y1037" t="str">
        <f t="shared" si="315"/>
        <v/>
      </c>
      <c r="Z1037" t="str">
        <f t="shared" si="316"/>
        <v/>
      </c>
      <c r="AB1037" t="str">
        <f t="shared" si="317"/>
        <v>https://shop.officineitalianezard.it/contents/imgs/products/1_496-2.jpg</v>
      </c>
      <c r="AE1037" t="b">
        <v>0</v>
      </c>
    </row>
    <row r="1038" spans="1:31" x14ac:dyDescent="0.2">
      <c r="A1038" t="str">
        <f t="shared" si="304"/>
        <v>https://shop.officineitalianezard.it/en/products/index/ktm-duke-exhaust-zard-7313-75/</v>
      </c>
      <c r="B1038" t="b">
        <f>COUNTIF($A$2:$A1038, A1038)&gt;1</f>
        <v>1</v>
      </c>
      <c r="C1038" t="b">
        <f t="shared" si="305"/>
        <v>0</v>
      </c>
      <c r="D1038">
        <f>VLOOKUP(A1038,variant_counts!A:B, 2, FALSE)</f>
        <v>2</v>
      </c>
      <c r="E1038" t="str">
        <f t="shared" si="318"/>
        <v>zard-exhaust-low-mounted-silencer-ktm-ktm-duke-390-201012-penta-version-zktm224apr</v>
      </c>
      <c r="F1038" t="str">
        <f t="shared" si="306"/>
        <v>ZARD EXHAUST LOW MOUNTED SILENCER KTM KTM DUKE 390 2010/12 PENTA VERSION ZKTM224APR</v>
      </c>
      <c r="G1038" t="str">
        <f t="shared" si="307"/>
        <v/>
      </c>
      <c r="H1038" t="str">
        <f t="shared" si="319"/>
        <v/>
      </c>
      <c r="I1038" t="str">
        <f t="shared" si="320"/>
        <v/>
      </c>
      <c r="J1038" t="str">
        <f t="shared" si="321"/>
        <v/>
      </c>
      <c r="K1038" t="str">
        <f t="shared" si="322"/>
        <v/>
      </c>
      <c r="L1038" t="str">
        <f t="shared" si="308"/>
        <v/>
      </c>
      <c r="M1038" t="str">
        <f t="shared" si="309"/>
        <v/>
      </c>
      <c r="R1038" t="str">
        <f t="shared" si="310"/>
        <v/>
      </c>
      <c r="S1038" t="str">
        <f t="shared" si="311"/>
        <v/>
      </c>
      <c r="U1038" t="str">
        <f t="shared" si="312"/>
        <v/>
      </c>
      <c r="V1038" t="str">
        <f t="shared" si="313"/>
        <v/>
      </c>
      <c r="W1038" s="5" t="str">
        <f t="shared" si="314"/>
        <v/>
      </c>
      <c r="Y1038" t="str">
        <f t="shared" si="315"/>
        <v/>
      </c>
      <c r="Z1038" t="str">
        <f t="shared" si="316"/>
        <v/>
      </c>
      <c r="AB1038" t="str">
        <f t="shared" si="317"/>
        <v>https://shop.officineitalianezard.it/contents/imgs/products/1_497-3.jpg</v>
      </c>
      <c r="AE1038" t="b">
        <v>0</v>
      </c>
    </row>
    <row r="1039" spans="1:31" x14ac:dyDescent="0.2">
      <c r="A1039" t="str">
        <f t="shared" si="304"/>
        <v>https://shop.officineitalianezard.it/en/products/index/ktm-duke-exhaust-zard-7313-75/</v>
      </c>
      <c r="B1039" t="b">
        <f>COUNTIF($A$2:$A1039, A1039)&gt;1</f>
        <v>1</v>
      </c>
      <c r="C1039" t="b">
        <f t="shared" si="305"/>
        <v>0</v>
      </c>
      <c r="D1039">
        <f>VLOOKUP(A1039,variant_counts!A:B, 2, FALSE)</f>
        <v>2</v>
      </c>
      <c r="E1039" t="str">
        <f t="shared" si="318"/>
        <v>zard-exhaust-low-mounted-silencer-ktm-ktm-duke-390-201012-penta-version-zktm224apr</v>
      </c>
      <c r="F1039" t="str">
        <f t="shared" si="306"/>
        <v>ZARD EXHAUST LOW MOUNTED SILENCER KTM KTM DUKE 390 2010/12 PENTA VERSION ZKTM224APR</v>
      </c>
      <c r="G1039" t="str">
        <f t="shared" si="307"/>
        <v/>
      </c>
      <c r="H1039" t="str">
        <f t="shared" si="319"/>
        <v/>
      </c>
      <c r="I1039" t="str">
        <f t="shared" si="320"/>
        <v/>
      </c>
      <c r="J1039" t="str">
        <f t="shared" si="321"/>
        <v/>
      </c>
      <c r="K1039" t="str">
        <f t="shared" si="322"/>
        <v/>
      </c>
      <c r="L1039" t="str">
        <f t="shared" si="308"/>
        <v/>
      </c>
      <c r="M1039" t="str">
        <f t="shared" si="309"/>
        <v/>
      </c>
      <c r="R1039" t="str">
        <f t="shared" si="310"/>
        <v/>
      </c>
      <c r="S1039" t="str">
        <f t="shared" si="311"/>
        <v/>
      </c>
      <c r="U1039" t="str">
        <f t="shared" si="312"/>
        <v/>
      </c>
      <c r="V1039" t="str">
        <f t="shared" si="313"/>
        <v/>
      </c>
      <c r="W1039" s="5" t="str">
        <f t="shared" si="314"/>
        <v/>
      </c>
      <c r="Y1039" t="str">
        <f t="shared" si="315"/>
        <v/>
      </c>
      <c r="Z1039" t="str">
        <f t="shared" si="316"/>
        <v/>
      </c>
      <c r="AB1039" t="str">
        <f t="shared" si="317"/>
        <v>https://shop.officineitalianezard.it/contents/imgs/products/1_495-1.jpg</v>
      </c>
      <c r="AE1039" t="b">
        <v>0</v>
      </c>
    </row>
    <row r="1040" spans="1:31" x14ac:dyDescent="0.2">
      <c r="A1040" t="str">
        <f t="shared" si="304"/>
        <v>https://shop.officineitalianezard.it/en/products/index/ktm-duke-exhaust-zard-7313-75/</v>
      </c>
      <c r="B1040" t="b">
        <f>COUNTIF($A$2:$A1040, A1040)&gt;1</f>
        <v>1</v>
      </c>
      <c r="C1040" t="b">
        <f t="shared" si="305"/>
        <v>1</v>
      </c>
      <c r="D1040">
        <f>VLOOKUP(A1040,variant_counts!A:B, 2, FALSE)</f>
        <v>2</v>
      </c>
      <c r="E1040" t="str">
        <f t="shared" si="318"/>
        <v>zard-exhaust-low-mounted-silencer-ktm-ktm-duke-390-201012-penta-version-zktm224apr</v>
      </c>
      <c r="F1040" t="str">
        <f t="shared" si="306"/>
        <v>ZARD EXHAUST LOW MOUNTED SILENCER KTM KTM DUKE 390 2010/12 PENTA VERSION ZKTM224APR</v>
      </c>
      <c r="G1040" t="str">
        <f t="shared" si="307"/>
        <v/>
      </c>
      <c r="H1040" t="str">
        <f t="shared" si="319"/>
        <v/>
      </c>
      <c r="I1040" t="str">
        <f t="shared" si="320"/>
        <v/>
      </c>
      <c r="J1040" t="str">
        <f t="shared" si="321"/>
        <v/>
      </c>
      <c r="K1040" t="str">
        <f t="shared" si="322"/>
        <v/>
      </c>
      <c r="L1040" t="str">
        <f t="shared" si="308"/>
        <v>Option</v>
      </c>
      <c r="M1040" t="str">
        <f t="shared" si="309"/>
        <v>EURO 3 HOMOLOGATED</v>
      </c>
      <c r="R1040" t="str">
        <f t="shared" si="310"/>
        <v>ZKTM224APR</v>
      </c>
      <c r="S1040">
        <f t="shared" si="311"/>
        <v>0</v>
      </c>
      <c r="U1040" t="str">
        <f t="shared" si="312"/>
        <v>continue</v>
      </c>
      <c r="V1040" t="str">
        <f t="shared" si="313"/>
        <v>manual</v>
      </c>
      <c r="W1040" s="5">
        <f t="shared" si="314"/>
        <v>609.22350000000006</v>
      </c>
      <c r="Y1040" t="b">
        <f t="shared" si="315"/>
        <v>1</v>
      </c>
      <c r="Z1040" t="b">
        <f t="shared" si="316"/>
        <v>0</v>
      </c>
      <c r="AB1040" t="str">
        <f t="shared" si="317"/>
        <v/>
      </c>
      <c r="AE1040" t="b">
        <v>0</v>
      </c>
    </row>
    <row r="1041" spans="1:31" x14ac:dyDescent="0.2">
      <c r="A1041" t="str">
        <f t="shared" si="304"/>
        <v>https://shop.officineitalianezard.it/en/products/index/ktm-duke-exhaust-zard-7313-75/</v>
      </c>
      <c r="B1041" t="b">
        <f>COUNTIF($A$2:$A1041, A1041)&gt;1</f>
        <v>1</v>
      </c>
      <c r="C1041" t="b">
        <f t="shared" si="305"/>
        <v>1</v>
      </c>
      <c r="D1041">
        <f>VLOOKUP(A1041,variant_counts!A:B, 2, FALSE)</f>
        <v>2</v>
      </c>
      <c r="E1041" t="str">
        <f t="shared" si="318"/>
        <v>zard-exhaust-low-mounted-silencer-ktm-ktm-duke-390-201012-penta-version-zktm224apr</v>
      </c>
      <c r="F1041" t="str">
        <f t="shared" si="306"/>
        <v>ZARD EXHAUST LOW MOUNTED SILENCER KTM KTM DUKE 390 2010/12 PENTA VERSION ZKTM224APR</v>
      </c>
      <c r="G1041" t="str">
        <f t="shared" si="307"/>
        <v/>
      </c>
      <c r="H1041" t="str">
        <f t="shared" si="319"/>
        <v/>
      </c>
      <c r="I1041" t="str">
        <f t="shared" si="320"/>
        <v/>
      </c>
      <c r="J1041" t="str">
        <f t="shared" si="321"/>
        <v/>
      </c>
      <c r="K1041" t="str">
        <f t="shared" si="322"/>
        <v/>
      </c>
      <c r="L1041" t="str">
        <f t="shared" si="308"/>
        <v>Option</v>
      </c>
      <c r="M1041" t="str">
        <f t="shared" si="309"/>
        <v>CARBON ENDCAP</v>
      </c>
      <c r="R1041" t="str">
        <f t="shared" si="310"/>
        <v>ZKTM224APR</v>
      </c>
      <c r="S1041">
        <f t="shared" si="311"/>
        <v>0</v>
      </c>
      <c r="U1041" t="str">
        <f t="shared" si="312"/>
        <v>continue</v>
      </c>
      <c r="V1041" t="str">
        <f t="shared" si="313"/>
        <v>manual</v>
      </c>
      <c r="W1041" s="5">
        <f t="shared" si="314"/>
        <v>598.57860000000005</v>
      </c>
      <c r="Y1041" t="b">
        <f t="shared" si="315"/>
        <v>1</v>
      </c>
      <c r="Z1041" t="b">
        <f t="shared" si="316"/>
        <v>0</v>
      </c>
      <c r="AB1041" t="str">
        <f t="shared" si="317"/>
        <v/>
      </c>
      <c r="AE1041" t="b">
        <v>0</v>
      </c>
    </row>
    <row r="1042" spans="1:31" x14ac:dyDescent="0.2">
      <c r="A1042" t="str">
        <f t="shared" si="304"/>
        <v>https://shop.officineitalianezard.it/en/products/index/ktm-950sm-exhaust-zard-7311-73/</v>
      </c>
      <c r="B1042" t="b">
        <f>COUNTIF($A$2:$A1042, A1042)&gt;1</f>
        <v>0</v>
      </c>
      <c r="C1042" t="b">
        <f t="shared" si="305"/>
        <v>0</v>
      </c>
      <c r="D1042">
        <f>VLOOKUP(A1042,variant_counts!A:B, 2, FALSE)</f>
        <v>3</v>
      </c>
      <c r="E1042" t="str">
        <f t="shared" si="318"/>
        <v>zard-exhaust-high-mounted-silencers-ktm-ktm-950-sm-smt-200608-penta-version-zktm221asr</v>
      </c>
      <c r="F1042" t="str">
        <f t="shared" si="306"/>
        <v>ZARD EXHAUST HIGH MOUNTED SILENCERS KTM KTM 950 SM-SMT 2006/08 PENTA VERSION ZKTM221ASR</v>
      </c>
      <c r="G1042" t="str">
        <f t="shared" si="307"/>
        <v>&lt;p&gt;STEEL-ALUMINIUM BLACK RACING SILENCERS&lt;/p&gt;
&lt;p&gt;ZARD HOMOLOGATED CAT. SILENCERS WEIGHT : KG 3.4&lt;/p&gt;
&lt;p&gt;HARD INCREASE COMPARED TO THE ORIGINAL EXHAUST SYSTEM.&lt;/p&gt;
&lt;p&gt;ASTONISHING SOUND.&lt;/p&gt;</v>
      </c>
      <c r="H1042" t="str">
        <f t="shared" si="319"/>
        <v>ZARD</v>
      </c>
      <c r="I1042" t="str">
        <f t="shared" si="320"/>
        <v>Exhaust Pipe</v>
      </c>
      <c r="J1042" t="str">
        <f t="shared" si="321"/>
        <v>Test</v>
      </c>
      <c r="K1042" t="b">
        <f t="shared" si="322"/>
        <v>0</v>
      </c>
      <c r="L1042" t="str">
        <f t="shared" si="308"/>
        <v/>
      </c>
      <c r="M1042" t="str">
        <f t="shared" si="309"/>
        <v/>
      </c>
      <c r="R1042" t="str">
        <f t="shared" si="310"/>
        <v/>
      </c>
      <c r="S1042" t="str">
        <f t="shared" si="311"/>
        <v/>
      </c>
      <c r="U1042" t="str">
        <f t="shared" si="312"/>
        <v/>
      </c>
      <c r="V1042" t="str">
        <f t="shared" si="313"/>
        <v/>
      </c>
      <c r="W1042" s="5" t="str">
        <f t="shared" si="314"/>
        <v/>
      </c>
      <c r="Y1042" t="str">
        <f t="shared" si="315"/>
        <v/>
      </c>
      <c r="Z1042" t="str">
        <f t="shared" si="316"/>
        <v/>
      </c>
      <c r="AB1042" t="str">
        <f t="shared" si="317"/>
        <v>https://shop.officineitalianezard.it/contents/imgs/products/1_624-2_483-2.jpg</v>
      </c>
      <c r="AE1042" t="b">
        <v>0</v>
      </c>
    </row>
    <row r="1043" spans="1:31" x14ac:dyDescent="0.2">
      <c r="A1043" t="str">
        <f t="shared" si="304"/>
        <v>https://shop.officineitalianezard.it/en/products/index/ktm-950sm-exhaust-zard-7311-73/</v>
      </c>
      <c r="B1043" t="b">
        <f>COUNTIF($A$2:$A1043, A1043)&gt;1</f>
        <v>1</v>
      </c>
      <c r="C1043" t="b">
        <f t="shared" si="305"/>
        <v>0</v>
      </c>
      <c r="D1043">
        <f>VLOOKUP(A1043,variant_counts!A:B, 2, FALSE)</f>
        <v>3</v>
      </c>
      <c r="E1043" t="str">
        <f t="shared" si="318"/>
        <v>zard-exhaust-high-mounted-silencers-ktm-ktm-950-sm-smt-200608-penta-version-zktm221asr</v>
      </c>
      <c r="F1043" t="str">
        <f t="shared" si="306"/>
        <v>ZARD EXHAUST HIGH MOUNTED SILENCERS KTM KTM 950 SM-SMT 2006/08 PENTA VERSION ZKTM221ASR</v>
      </c>
      <c r="G1043" t="str">
        <f t="shared" si="307"/>
        <v/>
      </c>
      <c r="H1043" t="str">
        <f t="shared" si="319"/>
        <v/>
      </c>
      <c r="I1043" t="str">
        <f t="shared" si="320"/>
        <v/>
      </c>
      <c r="J1043" t="str">
        <f t="shared" si="321"/>
        <v/>
      </c>
      <c r="K1043" t="str">
        <f t="shared" si="322"/>
        <v/>
      </c>
      <c r="L1043" t="str">
        <f t="shared" si="308"/>
        <v/>
      </c>
      <c r="M1043" t="str">
        <f t="shared" si="309"/>
        <v/>
      </c>
      <c r="R1043" t="str">
        <f t="shared" si="310"/>
        <v/>
      </c>
      <c r="S1043" t="str">
        <f t="shared" si="311"/>
        <v/>
      </c>
      <c r="U1043" t="str">
        <f t="shared" si="312"/>
        <v/>
      </c>
      <c r="V1043" t="str">
        <f t="shared" si="313"/>
        <v/>
      </c>
      <c r="W1043" s="5" t="str">
        <f t="shared" si="314"/>
        <v/>
      </c>
      <c r="Y1043" t="str">
        <f t="shared" si="315"/>
        <v/>
      </c>
      <c r="Z1043" t="str">
        <f t="shared" si="316"/>
        <v/>
      </c>
      <c r="AB1043" t="str">
        <f t="shared" si="317"/>
        <v>https://shop.officineitalianezard.it/contents/imgs/products/1_625-2_484-3.jpg</v>
      </c>
      <c r="AE1043" t="b">
        <v>0</v>
      </c>
    </row>
    <row r="1044" spans="1:31" x14ac:dyDescent="0.2">
      <c r="A1044" t="str">
        <f t="shared" si="304"/>
        <v>https://shop.officineitalianezard.it/en/products/index/ktm-950sm-exhaust-zard-7311-73/</v>
      </c>
      <c r="B1044" t="b">
        <f>COUNTIF($A$2:$A1044, A1044)&gt;1</f>
        <v>1</v>
      </c>
      <c r="C1044" t="b">
        <f t="shared" si="305"/>
        <v>0</v>
      </c>
      <c r="D1044">
        <f>VLOOKUP(A1044,variant_counts!A:B, 2, FALSE)</f>
        <v>3</v>
      </c>
      <c r="E1044" t="str">
        <f t="shared" si="318"/>
        <v>zard-exhaust-high-mounted-silencers-ktm-ktm-950-sm-smt-200608-penta-version-zktm221asr</v>
      </c>
      <c r="F1044" t="str">
        <f t="shared" si="306"/>
        <v>ZARD EXHAUST HIGH MOUNTED SILENCERS KTM KTM 950 SM-SMT 2006/08 PENTA VERSION ZKTM221ASR</v>
      </c>
      <c r="G1044" t="str">
        <f t="shared" si="307"/>
        <v/>
      </c>
      <c r="H1044" t="str">
        <f t="shared" si="319"/>
        <v/>
      </c>
      <c r="I1044" t="str">
        <f t="shared" si="320"/>
        <v/>
      </c>
      <c r="J1044" t="str">
        <f t="shared" si="321"/>
        <v/>
      </c>
      <c r="K1044" t="str">
        <f t="shared" si="322"/>
        <v/>
      </c>
      <c r="L1044" t="str">
        <f t="shared" si="308"/>
        <v/>
      </c>
      <c r="M1044" t="str">
        <f t="shared" si="309"/>
        <v/>
      </c>
      <c r="R1044" t="str">
        <f t="shared" si="310"/>
        <v/>
      </c>
      <c r="S1044" t="str">
        <f t="shared" si="311"/>
        <v/>
      </c>
      <c r="U1044" t="str">
        <f t="shared" si="312"/>
        <v/>
      </c>
      <c r="V1044" t="str">
        <f t="shared" si="313"/>
        <v/>
      </c>
      <c r="W1044" s="5" t="str">
        <f t="shared" si="314"/>
        <v/>
      </c>
      <c r="Y1044" t="str">
        <f t="shared" si="315"/>
        <v/>
      </c>
      <c r="Z1044" t="str">
        <f t="shared" si="316"/>
        <v/>
      </c>
      <c r="AB1044" t="str">
        <f t="shared" si="317"/>
        <v>https://shop.officineitalianezard.it/contents/imgs/products/1_482-1.jpg</v>
      </c>
      <c r="AE1044" t="b">
        <v>0</v>
      </c>
    </row>
    <row r="1045" spans="1:31" x14ac:dyDescent="0.2">
      <c r="A1045" t="str">
        <f t="shared" si="304"/>
        <v>https://shop.officineitalianezard.it/en/products/index/ktm-950sm-exhaust-zard-7311-73/</v>
      </c>
      <c r="B1045" t="b">
        <f>COUNTIF($A$2:$A1045, A1045)&gt;1</f>
        <v>1</v>
      </c>
      <c r="C1045" t="b">
        <f t="shared" si="305"/>
        <v>1</v>
      </c>
      <c r="D1045">
        <f>VLOOKUP(A1045,variant_counts!A:B, 2, FALSE)</f>
        <v>3</v>
      </c>
      <c r="E1045" t="str">
        <f t="shared" si="318"/>
        <v>zard-exhaust-high-mounted-silencers-ktm-ktm-950-sm-smt-200608-penta-version-zktm221asr</v>
      </c>
      <c r="F1045" t="str">
        <f t="shared" si="306"/>
        <v>ZARD EXHAUST HIGH MOUNTED SILENCERS KTM KTM 950 SM-SMT 2006/08 PENTA VERSION ZKTM221ASR</v>
      </c>
      <c r="G1045" t="str">
        <f t="shared" si="307"/>
        <v/>
      </c>
      <c r="H1045" t="str">
        <f t="shared" si="319"/>
        <v/>
      </c>
      <c r="I1045" t="str">
        <f t="shared" si="320"/>
        <v/>
      </c>
      <c r="J1045" t="str">
        <f t="shared" si="321"/>
        <v/>
      </c>
      <c r="K1045" t="str">
        <f t="shared" si="322"/>
        <v/>
      </c>
      <c r="L1045" t="str">
        <f t="shared" si="308"/>
        <v>Option</v>
      </c>
      <c r="M1045" t="str">
        <f t="shared" si="309"/>
        <v>EURO 3 HOMOLOGATED</v>
      </c>
      <c r="R1045" t="str">
        <f t="shared" si="310"/>
        <v>ZKTM221ASR</v>
      </c>
      <c r="S1045">
        <f t="shared" si="311"/>
        <v>0</v>
      </c>
      <c r="U1045" t="str">
        <f t="shared" si="312"/>
        <v>continue</v>
      </c>
      <c r="V1045" t="str">
        <f t="shared" si="313"/>
        <v>manual</v>
      </c>
      <c r="W1045" s="5">
        <f t="shared" si="314"/>
        <v>1020.201</v>
      </c>
      <c r="Y1045" t="b">
        <f t="shared" si="315"/>
        <v>1</v>
      </c>
      <c r="Z1045" t="b">
        <f t="shared" si="316"/>
        <v>0</v>
      </c>
      <c r="AB1045" t="str">
        <f t="shared" si="317"/>
        <v/>
      </c>
      <c r="AE1045" t="b">
        <v>0</v>
      </c>
    </row>
    <row r="1046" spans="1:31" x14ac:dyDescent="0.2">
      <c r="A1046" t="str">
        <f t="shared" si="304"/>
        <v>https://shop.officineitalianezard.it/en/products/index/ktm-950sm-exhaust-zard-7311-73/</v>
      </c>
      <c r="B1046" t="b">
        <f>COUNTIF($A$2:$A1046, A1046)&gt;1</f>
        <v>1</v>
      </c>
      <c r="C1046" t="b">
        <f t="shared" si="305"/>
        <v>1</v>
      </c>
      <c r="D1046">
        <f>VLOOKUP(A1046,variant_counts!A:B, 2, FALSE)</f>
        <v>3</v>
      </c>
      <c r="E1046" t="str">
        <f t="shared" si="318"/>
        <v>zard-exhaust-high-mounted-silencers-ktm-ktm-950-sm-smt-200608-penta-version-zktm221asr</v>
      </c>
      <c r="F1046" t="str">
        <f t="shared" si="306"/>
        <v>ZARD EXHAUST HIGH MOUNTED SILENCERS KTM KTM 950 SM-SMT 2006/08 PENTA VERSION ZKTM221ASR</v>
      </c>
      <c r="G1046" t="str">
        <f t="shared" si="307"/>
        <v/>
      </c>
      <c r="H1046" t="str">
        <f t="shared" si="319"/>
        <v/>
      </c>
      <c r="I1046" t="str">
        <f t="shared" si="320"/>
        <v/>
      </c>
      <c r="J1046" t="str">
        <f t="shared" si="321"/>
        <v/>
      </c>
      <c r="K1046" t="str">
        <f t="shared" si="322"/>
        <v/>
      </c>
      <c r="L1046" t="str">
        <f t="shared" si="308"/>
        <v>Option</v>
      </c>
      <c r="M1046" t="str">
        <f t="shared" si="309"/>
        <v>RACING CARBON</v>
      </c>
      <c r="R1046" t="str">
        <f t="shared" si="310"/>
        <v>ZKTM221ASR</v>
      </c>
      <c r="S1046">
        <f t="shared" si="311"/>
        <v>0</v>
      </c>
      <c r="U1046" t="str">
        <f t="shared" si="312"/>
        <v>continue</v>
      </c>
      <c r="V1046" t="str">
        <f t="shared" si="313"/>
        <v>manual</v>
      </c>
      <c r="W1046" s="5">
        <f t="shared" si="314"/>
        <v>1103.7174</v>
      </c>
      <c r="Y1046" t="b">
        <f t="shared" si="315"/>
        <v>1</v>
      </c>
      <c r="Z1046" t="b">
        <f t="shared" si="316"/>
        <v>0</v>
      </c>
      <c r="AB1046" t="str">
        <f t="shared" si="317"/>
        <v/>
      </c>
      <c r="AE1046" t="b">
        <v>0</v>
      </c>
    </row>
    <row r="1047" spans="1:31" x14ac:dyDescent="0.2">
      <c r="A1047" t="str">
        <f t="shared" si="304"/>
        <v>https://shop.officineitalianezard.it/en/products/index/ktm-950sm-exhaust-zard-7311-73/</v>
      </c>
      <c r="B1047" t="b">
        <f>COUNTIF($A$2:$A1047, A1047)&gt;1</f>
        <v>1</v>
      </c>
      <c r="C1047" t="b">
        <f t="shared" si="305"/>
        <v>1</v>
      </c>
      <c r="D1047">
        <f>VLOOKUP(A1047,variant_counts!A:B, 2, FALSE)</f>
        <v>3</v>
      </c>
      <c r="E1047" t="str">
        <f t="shared" si="318"/>
        <v>zard-exhaust-high-mounted-silencers-ktm-ktm-950-sm-smt-200608-penta-version-zktm221asr</v>
      </c>
      <c r="F1047" t="str">
        <f t="shared" si="306"/>
        <v>ZARD EXHAUST HIGH MOUNTED SILENCERS KTM KTM 950 SM-SMT 2006/08 PENTA VERSION ZKTM221ASR</v>
      </c>
      <c r="G1047" t="str">
        <f t="shared" si="307"/>
        <v/>
      </c>
      <c r="H1047" t="str">
        <f t="shared" si="319"/>
        <v/>
      </c>
      <c r="I1047" t="str">
        <f t="shared" si="320"/>
        <v/>
      </c>
      <c r="J1047" t="str">
        <f t="shared" si="321"/>
        <v/>
      </c>
      <c r="K1047" t="str">
        <f t="shared" si="322"/>
        <v/>
      </c>
      <c r="L1047" t="str">
        <f t="shared" si="308"/>
        <v>Option</v>
      </c>
      <c r="M1047" t="str">
        <f t="shared" si="309"/>
        <v>CARBON END CAP</v>
      </c>
      <c r="R1047" t="str">
        <f t="shared" si="310"/>
        <v>ZKTM221ASR</v>
      </c>
      <c r="S1047">
        <f t="shared" si="311"/>
        <v>0</v>
      </c>
      <c r="U1047" t="str">
        <f t="shared" si="312"/>
        <v>continue</v>
      </c>
      <c r="V1047" t="str">
        <f t="shared" si="313"/>
        <v>manual</v>
      </c>
      <c r="W1047" s="5">
        <f t="shared" si="314"/>
        <v>999.73260000000005</v>
      </c>
      <c r="Y1047" t="b">
        <f t="shared" si="315"/>
        <v>1</v>
      </c>
      <c r="Z1047" t="b">
        <f t="shared" si="316"/>
        <v>0</v>
      </c>
      <c r="AB1047" t="str">
        <f t="shared" si="317"/>
        <v/>
      </c>
      <c r="AE1047" t="b">
        <v>0</v>
      </c>
    </row>
    <row r="1048" spans="1:31" x14ac:dyDescent="0.2">
      <c r="A1048" t="str">
        <f t="shared" si="304"/>
        <v>https://shop.officineitalianezard.it/en/products/index/ktm-690sm-exhaust-zard-7310-71/</v>
      </c>
      <c r="B1048" t="b">
        <f>COUNTIF($A$2:$A1048, A1048)&gt;1</f>
        <v>0</v>
      </c>
      <c r="C1048" t="b">
        <f t="shared" si="305"/>
        <v>0</v>
      </c>
      <c r="D1048">
        <f>VLOOKUP(A1048,variant_counts!A:B, 2, FALSE)</f>
        <v>7</v>
      </c>
      <c r="E1048" t="str">
        <f t="shared" si="318"/>
        <v>zard-exhaust-22-full-kit-ktm-ktm-690-sm-200608-conical-version-zktm220skr</v>
      </c>
      <c r="F1048" t="str">
        <f t="shared" si="306"/>
        <v>ZARD EXHAUST 2&gt;2 FULL KIT KTM KTM 690 SM 2006/08 CONICAL VERSION ZKTM220SKR</v>
      </c>
      <c r="G1048" t="str">
        <f t="shared" si="307"/>
        <v>&lt;p&gt;2&amp;gt;2 FULL KIT STEEL RACING&lt;/p&gt;
&lt;p&gt;HARD INCREASE IN TERMS OF RESPONSE IN THE RANGE BETWEEN LOW AND MEDIUM REVS COMPARED TO THE ORIGINAL EXHAUST SYSTEM.&lt;/p&gt;
&lt;p&gt;ASTONISHING SOUND.&lt;/p&gt;</v>
      </c>
      <c r="H1048" t="str">
        <f t="shared" si="319"/>
        <v>ZARD</v>
      </c>
      <c r="I1048" t="str">
        <f t="shared" si="320"/>
        <v>Exhaust Pipe</v>
      </c>
      <c r="J1048" t="str">
        <f t="shared" si="321"/>
        <v>Test</v>
      </c>
      <c r="K1048" t="b">
        <f t="shared" si="322"/>
        <v>0</v>
      </c>
      <c r="L1048" t="str">
        <f t="shared" si="308"/>
        <v/>
      </c>
      <c r="M1048" t="str">
        <f t="shared" si="309"/>
        <v/>
      </c>
      <c r="R1048" t="str">
        <f t="shared" si="310"/>
        <v/>
      </c>
      <c r="S1048" t="str">
        <f t="shared" si="311"/>
        <v/>
      </c>
      <c r="U1048" t="str">
        <f t="shared" si="312"/>
        <v/>
      </c>
      <c r="V1048" t="str">
        <f t="shared" si="313"/>
        <v/>
      </c>
      <c r="W1048" s="5" t="str">
        <f t="shared" si="314"/>
        <v/>
      </c>
      <c r="Y1048" t="str">
        <f t="shared" si="315"/>
        <v/>
      </c>
      <c r="Z1048" t="str">
        <f t="shared" si="316"/>
        <v/>
      </c>
      <c r="AB1048" t="str">
        <f t="shared" si="317"/>
        <v>https://shop.officineitalianezard.it/contents/imgs/products/1_481-2.jpg</v>
      </c>
      <c r="AE1048" t="b">
        <v>0</v>
      </c>
    </row>
    <row r="1049" spans="1:31" x14ac:dyDescent="0.2">
      <c r="A1049" t="str">
        <f t="shared" si="304"/>
        <v>https://shop.officineitalianezard.it/en/products/index/ktm-690sm-exhaust-zard-7310-71/</v>
      </c>
      <c r="B1049" t="b">
        <f>COUNTIF($A$2:$A1049, A1049)&gt;1</f>
        <v>1</v>
      </c>
      <c r="C1049" t="b">
        <f t="shared" si="305"/>
        <v>0</v>
      </c>
      <c r="D1049">
        <f>VLOOKUP(A1049,variant_counts!A:B, 2, FALSE)</f>
        <v>7</v>
      </c>
      <c r="E1049" t="str">
        <f t="shared" si="318"/>
        <v>zard-exhaust-22-full-kit-ktm-ktm-690-sm-200608-conical-version-zktm220skr</v>
      </c>
      <c r="F1049" t="str">
        <f t="shared" si="306"/>
        <v>ZARD EXHAUST 2&gt;2 FULL KIT KTM KTM 690 SM 2006/08 CONICAL VERSION ZKTM220SKR</v>
      </c>
      <c r="G1049" t="str">
        <f t="shared" si="307"/>
        <v/>
      </c>
      <c r="H1049" t="str">
        <f t="shared" si="319"/>
        <v/>
      </c>
      <c r="I1049" t="str">
        <f t="shared" si="320"/>
        <v/>
      </c>
      <c r="J1049" t="str">
        <f t="shared" si="321"/>
        <v/>
      </c>
      <c r="K1049" t="str">
        <f t="shared" si="322"/>
        <v/>
      </c>
      <c r="L1049" t="str">
        <f t="shared" si="308"/>
        <v/>
      </c>
      <c r="M1049" t="str">
        <f t="shared" si="309"/>
        <v/>
      </c>
      <c r="R1049" t="str">
        <f t="shared" si="310"/>
        <v/>
      </c>
      <c r="S1049" t="str">
        <f t="shared" si="311"/>
        <v/>
      </c>
      <c r="U1049" t="str">
        <f t="shared" si="312"/>
        <v/>
      </c>
      <c r="V1049" t="str">
        <f t="shared" si="313"/>
        <v/>
      </c>
      <c r="W1049" s="5" t="str">
        <f t="shared" si="314"/>
        <v/>
      </c>
      <c r="Y1049" t="str">
        <f t="shared" si="315"/>
        <v/>
      </c>
      <c r="Z1049" t="str">
        <f t="shared" si="316"/>
        <v/>
      </c>
      <c r="AB1049" t="str">
        <f t="shared" si="317"/>
        <v>https://shop.officineitalianezard.it/contents/imgs/products/1_480-3.jpg</v>
      </c>
      <c r="AE1049" t="b">
        <v>0</v>
      </c>
    </row>
    <row r="1050" spans="1:31" x14ac:dyDescent="0.2">
      <c r="A1050" t="str">
        <f t="shared" si="304"/>
        <v>https://shop.officineitalianezard.it/en/products/index/ktm-690sm-exhaust-zard-7310-71/</v>
      </c>
      <c r="B1050" t="b">
        <f>COUNTIF($A$2:$A1050, A1050)&gt;1</f>
        <v>1</v>
      </c>
      <c r="C1050" t="b">
        <f t="shared" si="305"/>
        <v>0</v>
      </c>
      <c r="D1050">
        <f>VLOOKUP(A1050,variant_counts!A:B, 2, FALSE)</f>
        <v>7</v>
      </c>
      <c r="E1050" t="str">
        <f t="shared" si="318"/>
        <v>zard-exhaust-22-full-kit-ktm-ktm-690-sm-200608-conical-version-zktm220skr</v>
      </c>
      <c r="F1050" t="str">
        <f t="shared" si="306"/>
        <v>ZARD EXHAUST 2&gt;2 FULL KIT KTM KTM 690 SM 2006/08 CONICAL VERSION ZKTM220SKR</v>
      </c>
      <c r="G1050" t="str">
        <f t="shared" si="307"/>
        <v/>
      </c>
      <c r="H1050" t="str">
        <f t="shared" si="319"/>
        <v/>
      </c>
      <c r="I1050" t="str">
        <f t="shared" si="320"/>
        <v/>
      </c>
      <c r="J1050" t="str">
        <f t="shared" si="321"/>
        <v/>
      </c>
      <c r="K1050" t="str">
        <f t="shared" si="322"/>
        <v/>
      </c>
      <c r="L1050" t="str">
        <f t="shared" si="308"/>
        <v/>
      </c>
      <c r="M1050" t="str">
        <f t="shared" si="309"/>
        <v/>
      </c>
      <c r="R1050" t="str">
        <f t="shared" si="310"/>
        <v/>
      </c>
      <c r="S1050" t="str">
        <f t="shared" si="311"/>
        <v/>
      </c>
      <c r="U1050" t="str">
        <f t="shared" si="312"/>
        <v/>
      </c>
      <c r="V1050" t="str">
        <f t="shared" si="313"/>
        <v/>
      </c>
      <c r="W1050" s="5" t="str">
        <f t="shared" si="314"/>
        <v/>
      </c>
      <c r="Y1050" t="str">
        <f t="shared" si="315"/>
        <v/>
      </c>
      <c r="Z1050" t="str">
        <f t="shared" si="316"/>
        <v/>
      </c>
      <c r="AB1050" t="str">
        <f t="shared" si="317"/>
        <v>https://shop.officineitalianezard.it/contents/imgs/products/1_479-1.jpg</v>
      </c>
      <c r="AE1050" t="b">
        <v>0</v>
      </c>
    </row>
    <row r="1051" spans="1:31" x14ac:dyDescent="0.2">
      <c r="A1051" t="str">
        <f t="shared" si="304"/>
        <v>https://shop.officineitalianezard.it/en/products/index/ktm-690sm-exhaust-zard-7310-71/</v>
      </c>
      <c r="B1051" t="b">
        <f>COUNTIF($A$2:$A1051, A1051)&gt;1</f>
        <v>1</v>
      </c>
      <c r="C1051" t="b">
        <f t="shared" si="305"/>
        <v>1</v>
      </c>
      <c r="D1051">
        <f>VLOOKUP(A1051,variant_counts!A:B, 2, FALSE)</f>
        <v>7</v>
      </c>
      <c r="E1051" t="str">
        <f t="shared" si="318"/>
        <v>zard-exhaust-22-full-kit-ktm-ktm-690-sm-200608-conical-version-zktm220skr</v>
      </c>
      <c r="F1051" t="str">
        <f t="shared" si="306"/>
        <v>ZARD EXHAUST 2&gt;2 FULL KIT KTM KTM 690 SM 2006/08 CONICAL VERSION ZKTM220SKR</v>
      </c>
      <c r="G1051" t="str">
        <f t="shared" si="307"/>
        <v/>
      </c>
      <c r="H1051" t="str">
        <f t="shared" si="319"/>
        <v/>
      </c>
      <c r="I1051" t="str">
        <f t="shared" si="320"/>
        <v/>
      </c>
      <c r="J1051" t="str">
        <f t="shared" si="321"/>
        <v/>
      </c>
      <c r="K1051" t="str">
        <f t="shared" si="322"/>
        <v/>
      </c>
      <c r="L1051" t="str">
        <f t="shared" si="308"/>
        <v>Option</v>
      </c>
      <c r="M1051" t="str">
        <f t="shared" si="309"/>
        <v>EURO 3 HOMOLOGATED</v>
      </c>
      <c r="R1051" t="str">
        <f t="shared" si="310"/>
        <v>ZKTM220SKR</v>
      </c>
      <c r="S1051">
        <f t="shared" si="311"/>
        <v>0</v>
      </c>
      <c r="U1051" t="str">
        <f t="shared" si="312"/>
        <v>continue</v>
      </c>
      <c r="V1051" t="str">
        <f t="shared" si="313"/>
        <v>manual</v>
      </c>
      <c r="W1051" s="5">
        <f t="shared" si="314"/>
        <v>1124.8296</v>
      </c>
      <c r="Y1051" t="b">
        <f t="shared" si="315"/>
        <v>1</v>
      </c>
      <c r="Z1051" t="b">
        <f t="shared" si="316"/>
        <v>0</v>
      </c>
      <c r="AB1051" t="str">
        <f t="shared" si="317"/>
        <v/>
      </c>
      <c r="AE1051" t="b">
        <v>0</v>
      </c>
    </row>
    <row r="1052" spans="1:31" x14ac:dyDescent="0.2">
      <c r="A1052" t="str">
        <f t="shared" si="304"/>
        <v>https://shop.officineitalianezard.it/en/products/index/ktm-690sm-exhaust-zard-7310-71/</v>
      </c>
      <c r="B1052" t="b">
        <f>COUNTIF($A$2:$A1052, A1052)&gt;1</f>
        <v>1</v>
      </c>
      <c r="C1052" t="b">
        <f t="shared" si="305"/>
        <v>1</v>
      </c>
      <c r="D1052">
        <f>VLOOKUP(A1052,variant_counts!A:B, 2, FALSE)</f>
        <v>7</v>
      </c>
      <c r="E1052" t="str">
        <f t="shared" si="318"/>
        <v>zard-exhaust-22-full-kit-ktm-ktm-690-sm-200608-conical-version-zktm220skr</v>
      </c>
      <c r="F1052" t="str">
        <f t="shared" si="306"/>
        <v>ZARD EXHAUST 2&gt;2 FULL KIT KTM KTM 690 SM 2006/08 CONICAL VERSION ZKTM220SKR</v>
      </c>
      <c r="G1052" t="str">
        <f t="shared" si="307"/>
        <v/>
      </c>
      <c r="H1052" t="str">
        <f t="shared" si="319"/>
        <v/>
      </c>
      <c r="I1052" t="str">
        <f t="shared" si="320"/>
        <v/>
      </c>
      <c r="J1052" t="str">
        <f t="shared" si="321"/>
        <v/>
      </c>
      <c r="K1052" t="str">
        <f t="shared" si="322"/>
        <v/>
      </c>
      <c r="L1052" t="str">
        <f t="shared" si="308"/>
        <v>Option</v>
      </c>
      <c r="M1052" t="str">
        <f t="shared" si="309"/>
        <v>BLACK COATING</v>
      </c>
      <c r="R1052" t="str">
        <f t="shared" si="310"/>
        <v>ZKTM220SKR</v>
      </c>
      <c r="S1052">
        <f t="shared" si="311"/>
        <v>0</v>
      </c>
      <c r="U1052" t="str">
        <f t="shared" si="312"/>
        <v>continue</v>
      </c>
      <c r="V1052" t="str">
        <f t="shared" si="313"/>
        <v>manual</v>
      </c>
      <c r="W1052" s="5">
        <f t="shared" si="314"/>
        <v>1294.3266000000001</v>
      </c>
      <c r="Y1052" t="b">
        <f t="shared" si="315"/>
        <v>1</v>
      </c>
      <c r="Z1052" t="b">
        <f t="shared" si="316"/>
        <v>0</v>
      </c>
      <c r="AB1052" t="str">
        <f t="shared" si="317"/>
        <v/>
      </c>
      <c r="AE1052" t="b">
        <v>0</v>
      </c>
    </row>
    <row r="1053" spans="1:31" x14ac:dyDescent="0.2">
      <c r="A1053" t="str">
        <f t="shared" si="304"/>
        <v>https://shop.officineitalianezard.it/en/products/index/ktm-690sm-exhaust-zard-7310-71/</v>
      </c>
      <c r="B1053" t="b">
        <f>COUNTIF($A$2:$A1053, A1053)&gt;1</f>
        <v>1</v>
      </c>
      <c r="C1053" t="b">
        <f t="shared" si="305"/>
        <v>1</v>
      </c>
      <c r="D1053">
        <f>VLOOKUP(A1053,variant_counts!A:B, 2, FALSE)</f>
        <v>7</v>
      </c>
      <c r="E1053" t="str">
        <f t="shared" si="318"/>
        <v>zard-exhaust-22-full-kit-ktm-ktm-690-sm-200608-conical-version-zktm220skr</v>
      </c>
      <c r="F1053" t="str">
        <f t="shared" si="306"/>
        <v>ZARD EXHAUST 2&gt;2 FULL KIT KTM KTM 690 SM 2006/08 CONICAL VERSION ZKTM220SKR</v>
      </c>
      <c r="G1053" t="str">
        <f t="shared" si="307"/>
        <v/>
      </c>
      <c r="H1053" t="str">
        <f t="shared" si="319"/>
        <v/>
      </c>
      <c r="I1053" t="str">
        <f t="shared" si="320"/>
        <v/>
      </c>
      <c r="J1053" t="str">
        <f t="shared" si="321"/>
        <v/>
      </c>
      <c r="K1053" t="str">
        <f t="shared" si="322"/>
        <v/>
      </c>
      <c r="L1053" t="str">
        <f t="shared" si="308"/>
        <v>Option</v>
      </c>
      <c r="M1053" t="str">
        <f t="shared" si="309"/>
        <v>FULL RACING TITANIUM</v>
      </c>
      <c r="R1053" t="str">
        <f t="shared" si="310"/>
        <v>ZKTM220SKR</v>
      </c>
      <c r="S1053">
        <f t="shared" si="311"/>
        <v>0</v>
      </c>
      <c r="U1053" t="str">
        <f t="shared" si="312"/>
        <v>continue</v>
      </c>
      <c r="V1053" t="str">
        <f t="shared" si="313"/>
        <v>manual</v>
      </c>
      <c r="W1053" s="5">
        <f t="shared" si="314"/>
        <v>1542.4449</v>
      </c>
      <c r="Y1053" t="b">
        <f t="shared" si="315"/>
        <v>1</v>
      </c>
      <c r="Z1053" t="b">
        <f t="shared" si="316"/>
        <v>0</v>
      </c>
      <c r="AB1053" t="str">
        <f t="shared" si="317"/>
        <v/>
      </c>
      <c r="AE1053" t="b">
        <v>0</v>
      </c>
    </row>
    <row r="1054" spans="1:31" x14ac:dyDescent="0.2">
      <c r="A1054" t="str">
        <f t="shared" si="304"/>
        <v>https://shop.officineitalianezard.it/en/products/index/ktm-690sm-exhaust-zard-7310-71/</v>
      </c>
      <c r="B1054" t="b">
        <f>COUNTIF($A$2:$A1054, A1054)&gt;1</f>
        <v>1</v>
      </c>
      <c r="C1054" t="b">
        <f t="shared" si="305"/>
        <v>1</v>
      </c>
      <c r="D1054">
        <f>VLOOKUP(A1054,variant_counts!A:B, 2, FALSE)</f>
        <v>7</v>
      </c>
      <c r="E1054" t="str">
        <f t="shared" si="318"/>
        <v>zard-exhaust-22-full-kit-ktm-ktm-690-sm-200608-conical-version-zktm220skr</v>
      </c>
      <c r="F1054" t="str">
        <f t="shared" si="306"/>
        <v>ZARD EXHAUST 2&gt;2 FULL KIT KTM KTM 690 SM 2006/08 CONICAL VERSION ZKTM220SKR</v>
      </c>
      <c r="G1054" t="str">
        <f t="shared" si="307"/>
        <v/>
      </c>
      <c r="H1054" t="str">
        <f t="shared" si="319"/>
        <v/>
      </c>
      <c r="I1054" t="str">
        <f t="shared" si="320"/>
        <v/>
      </c>
      <c r="J1054" t="str">
        <f t="shared" si="321"/>
        <v/>
      </c>
      <c r="K1054" t="str">
        <f t="shared" si="322"/>
        <v/>
      </c>
      <c r="L1054" t="str">
        <f t="shared" si="308"/>
        <v>Option</v>
      </c>
      <c r="M1054" t="str">
        <f t="shared" si="309"/>
        <v>INOX MANIFOLD + TITANIUM SIL. RACING</v>
      </c>
      <c r="R1054" t="str">
        <f t="shared" si="310"/>
        <v>ZKTM220SKR</v>
      </c>
      <c r="S1054">
        <f t="shared" si="311"/>
        <v>0</v>
      </c>
      <c r="U1054" t="str">
        <f t="shared" si="312"/>
        <v>continue</v>
      </c>
      <c r="V1054" t="str">
        <f t="shared" si="313"/>
        <v>manual</v>
      </c>
      <c r="W1054" s="5">
        <f t="shared" si="314"/>
        <v>1197.7011</v>
      </c>
      <c r="Y1054" t="b">
        <f t="shared" si="315"/>
        <v>1</v>
      </c>
      <c r="Z1054" t="b">
        <f t="shared" si="316"/>
        <v>0</v>
      </c>
      <c r="AB1054" t="str">
        <f t="shared" si="317"/>
        <v/>
      </c>
      <c r="AE1054" t="b">
        <v>0</v>
      </c>
    </row>
    <row r="1055" spans="1:31" x14ac:dyDescent="0.2">
      <c r="A1055" t="str">
        <f t="shared" si="304"/>
        <v>https://shop.officineitalianezard.it/en/products/index/ktm-690sm-exhaust-zard-7310-71/</v>
      </c>
      <c r="B1055" t="b">
        <f>COUNTIF($A$2:$A1055, A1055)&gt;1</f>
        <v>1</v>
      </c>
      <c r="C1055" t="b">
        <f t="shared" si="305"/>
        <v>1</v>
      </c>
      <c r="D1055">
        <f>VLOOKUP(A1055,variant_counts!A:B, 2, FALSE)</f>
        <v>7</v>
      </c>
      <c r="E1055" t="str">
        <f t="shared" si="318"/>
        <v>zard-exhaust-22-full-kit-ktm-ktm-690-sm-200608-conical-version-zktm220skr</v>
      </c>
      <c r="F1055" t="str">
        <f t="shared" si="306"/>
        <v>ZARD EXHAUST 2&gt;2 FULL KIT KTM KTM 690 SM 2006/08 CONICAL VERSION ZKTM220SKR</v>
      </c>
      <c r="G1055" t="str">
        <f t="shared" si="307"/>
        <v/>
      </c>
      <c r="H1055" t="str">
        <f t="shared" si="319"/>
        <v/>
      </c>
      <c r="I1055" t="str">
        <f t="shared" si="320"/>
        <v/>
      </c>
      <c r="J1055" t="str">
        <f t="shared" si="321"/>
        <v/>
      </c>
      <c r="K1055" t="str">
        <f t="shared" si="322"/>
        <v/>
      </c>
      <c r="L1055" t="str">
        <f t="shared" si="308"/>
        <v>Option</v>
      </c>
      <c r="M1055" t="str">
        <f t="shared" si="309"/>
        <v>INOX MANIFOLD + TIT. SILENCER HOM. CAT.</v>
      </c>
      <c r="R1055" t="str">
        <f t="shared" si="310"/>
        <v>ZKTM220SKR</v>
      </c>
      <c r="S1055">
        <f t="shared" si="311"/>
        <v>0</v>
      </c>
      <c r="U1055" t="str">
        <f t="shared" si="312"/>
        <v>continue</v>
      </c>
      <c r="V1055" t="str">
        <f t="shared" si="313"/>
        <v>manual</v>
      </c>
      <c r="W1055" s="5">
        <f t="shared" si="314"/>
        <v>1302.5184000000002</v>
      </c>
      <c r="Y1055" t="b">
        <f t="shared" si="315"/>
        <v>1</v>
      </c>
      <c r="Z1055" t="b">
        <f t="shared" si="316"/>
        <v>0</v>
      </c>
      <c r="AB1055" t="str">
        <f t="shared" si="317"/>
        <v/>
      </c>
      <c r="AE1055" t="b">
        <v>0</v>
      </c>
    </row>
    <row r="1056" spans="1:31" x14ac:dyDescent="0.2">
      <c r="A1056" t="str">
        <f t="shared" si="304"/>
        <v>https://shop.officineitalianezard.it/en/products/index/ktm-690sm-exhaust-zard-7310-71/</v>
      </c>
      <c r="B1056" t="b">
        <f>COUNTIF($A$2:$A1056, A1056)&gt;1</f>
        <v>1</v>
      </c>
      <c r="C1056" t="b">
        <f t="shared" si="305"/>
        <v>1</v>
      </c>
      <c r="D1056">
        <f>VLOOKUP(A1056,variant_counts!A:B, 2, FALSE)</f>
        <v>7</v>
      </c>
      <c r="E1056" t="str">
        <f t="shared" si="318"/>
        <v>zard-exhaust-22-full-kit-ktm-ktm-690-sm-200608-conical-version-zktm220skr</v>
      </c>
      <c r="F1056" t="str">
        <f t="shared" si="306"/>
        <v>ZARD EXHAUST 2&gt;2 FULL KIT KTM KTM 690 SM 2006/08 CONICAL VERSION ZKTM220SKR</v>
      </c>
      <c r="G1056" t="str">
        <f t="shared" si="307"/>
        <v/>
      </c>
      <c r="H1056" t="str">
        <f t="shared" si="319"/>
        <v/>
      </c>
      <c r="I1056" t="str">
        <f t="shared" si="320"/>
        <v/>
      </c>
      <c r="J1056" t="str">
        <f t="shared" si="321"/>
        <v/>
      </c>
      <c r="K1056" t="str">
        <f t="shared" si="322"/>
        <v/>
      </c>
      <c r="L1056" t="str">
        <f t="shared" si="308"/>
        <v>Option</v>
      </c>
      <c r="M1056" t="str">
        <f t="shared" si="309"/>
        <v>FULL HOMOLOGATED TITANIUM</v>
      </c>
      <c r="R1056" t="str">
        <f t="shared" si="310"/>
        <v>ZKTM220SKR</v>
      </c>
      <c r="S1056">
        <f t="shared" si="311"/>
        <v>0</v>
      </c>
      <c r="U1056" t="str">
        <f t="shared" si="312"/>
        <v>continue</v>
      </c>
      <c r="V1056" t="str">
        <f t="shared" si="313"/>
        <v>manual</v>
      </c>
      <c r="W1056" s="5">
        <f t="shared" si="314"/>
        <v>1647.2511000000002</v>
      </c>
      <c r="Y1056" t="b">
        <f t="shared" si="315"/>
        <v>1</v>
      </c>
      <c r="Z1056" t="b">
        <f t="shared" si="316"/>
        <v>0</v>
      </c>
      <c r="AB1056" t="str">
        <f t="shared" si="317"/>
        <v/>
      </c>
      <c r="AE1056" t="b">
        <v>0</v>
      </c>
    </row>
    <row r="1057" spans="1:31" x14ac:dyDescent="0.2">
      <c r="A1057" t="str">
        <f t="shared" si="304"/>
        <v>https://shop.officineitalianezard.it/en/products/index/ktm-690sm-exhaust-zard-7310-71/</v>
      </c>
      <c r="B1057" t="b">
        <f>COUNTIF($A$2:$A1057, A1057)&gt;1</f>
        <v>1</v>
      </c>
      <c r="C1057" t="b">
        <f t="shared" si="305"/>
        <v>1</v>
      </c>
      <c r="D1057">
        <f>VLOOKUP(A1057,variant_counts!A:B, 2, FALSE)</f>
        <v>7</v>
      </c>
      <c r="E1057" t="str">
        <f t="shared" si="318"/>
        <v>zard-exhaust-22-full-kit-ktm-ktm-690-sm-200608-conical-version-zktm220skr</v>
      </c>
      <c r="F1057" t="str">
        <f t="shared" si="306"/>
        <v>ZARD EXHAUST 2&gt;2 FULL KIT KTM KTM 690 SM 2006/08 CONICAL VERSION ZKTM220SKR</v>
      </c>
      <c r="G1057" t="str">
        <f t="shared" si="307"/>
        <v/>
      </c>
      <c r="H1057" t="str">
        <f t="shared" si="319"/>
        <v/>
      </c>
      <c r="I1057" t="str">
        <f t="shared" si="320"/>
        <v/>
      </c>
      <c r="J1057" t="str">
        <f t="shared" si="321"/>
        <v/>
      </c>
      <c r="K1057" t="str">
        <f t="shared" si="322"/>
        <v/>
      </c>
      <c r="L1057" t="str">
        <f t="shared" si="308"/>
        <v>Option</v>
      </c>
      <c r="M1057" t="str">
        <f t="shared" si="309"/>
        <v>CARBON END CAP</v>
      </c>
      <c r="R1057" t="str">
        <f t="shared" si="310"/>
        <v>ZKTM220SKR</v>
      </c>
      <c r="S1057">
        <f t="shared" si="311"/>
        <v>0</v>
      </c>
      <c r="U1057" t="str">
        <f t="shared" si="312"/>
        <v>continue</v>
      </c>
      <c r="V1057" t="str">
        <f t="shared" si="313"/>
        <v>manual</v>
      </c>
      <c r="W1057" s="5">
        <f t="shared" si="314"/>
        <v>1104.3612000000001</v>
      </c>
      <c r="Y1057" t="b">
        <f t="shared" si="315"/>
        <v>1</v>
      </c>
      <c r="Z1057" t="b">
        <f t="shared" si="316"/>
        <v>0</v>
      </c>
      <c r="AB1057" t="str">
        <f t="shared" si="317"/>
        <v/>
      </c>
      <c r="AE1057" t="b">
        <v>0</v>
      </c>
    </row>
    <row r="1058" spans="1:31" x14ac:dyDescent="0.2">
      <c r="A1058" t="str">
        <f t="shared" si="304"/>
        <v>https://shop.officineitalianezard.it/en/products/index/ktm-450-sx-f-exhaust-zard-7717-197/</v>
      </c>
      <c r="B1058" t="b">
        <f>COUNTIF($A$2:$A1058, A1058)&gt;1</f>
        <v>0</v>
      </c>
      <c r="C1058" t="b">
        <f t="shared" si="305"/>
        <v>0</v>
      </c>
      <c r="D1058">
        <f>VLOOKUP(A1058,variant_counts!A:B, 2, FALSE)</f>
        <v>1</v>
      </c>
      <c r="E1058" t="str">
        <f t="shared" si="318"/>
        <v>zard-exhaust-full-kit-ktm-450-sx-f-steel-aluminium-version-zktm229skr-fc</v>
      </c>
      <c r="F1058" t="str">
        <f t="shared" si="306"/>
        <v>ZARD EXHAUST FULL KIT KTM 450 SX-F STEEL-ALUMINIUM VERSION ZKTM229SKR-FC</v>
      </c>
      <c r="G1058" t="str">
        <f t="shared" si="307"/>
        <v>&lt;p&gt;STEEL-TITANIUM FULL KIT WITH CARBON ENDCAP.&lt;/p&gt;
&lt;p&gt;ORIGINAL EXHAUST WEIGHT:&lt;/p&gt;
&lt;p&gt;ZARD FULL KIT WEIGHT:&lt;/p&gt;
&lt;p&gt;HARD INCREASE, COMPARED TO THE ORIGINAL EXHAUST SYSTEM, IN TERMS OF TORQUE AND POWER AT ANY RANGE.&lt;/p&gt;
&lt;p&gt;FITTING KIT INCLUDED.&lt;/p&gt;</v>
      </c>
      <c r="H1058" t="str">
        <f t="shared" si="319"/>
        <v>ZARD</v>
      </c>
      <c r="I1058" t="str">
        <f t="shared" si="320"/>
        <v>Exhaust Pipe</v>
      </c>
      <c r="J1058" t="str">
        <f t="shared" si="321"/>
        <v>Test</v>
      </c>
      <c r="K1058" t="b">
        <f t="shared" si="322"/>
        <v>0</v>
      </c>
      <c r="L1058" t="str">
        <f t="shared" si="308"/>
        <v>Option</v>
      </c>
      <c r="M1058" t="str">
        <f t="shared" si="309"/>
        <v>DEFAULT</v>
      </c>
      <c r="R1058" t="str">
        <f t="shared" si="310"/>
        <v>ZKTM229SKR-FC</v>
      </c>
      <c r="S1058">
        <f t="shared" si="311"/>
        <v>0</v>
      </c>
      <c r="U1058" t="str">
        <f t="shared" si="312"/>
        <v>continue</v>
      </c>
      <c r="V1058" t="str">
        <f t="shared" si="313"/>
        <v>manual</v>
      </c>
      <c r="W1058" s="5">
        <f t="shared" si="314"/>
        <v>869.8071000000001</v>
      </c>
      <c r="Y1058" t="b">
        <f t="shared" si="315"/>
        <v>1</v>
      </c>
      <c r="Z1058" t="b">
        <f t="shared" si="316"/>
        <v>0</v>
      </c>
      <c r="AB1058" t="str">
        <f t="shared" si="317"/>
        <v>https://shop.officineitalianezard.it/contents/imgs/products/1_1666-450.jpg</v>
      </c>
      <c r="AE1058" t="b">
        <v>0</v>
      </c>
    </row>
    <row r="1059" spans="1:31" x14ac:dyDescent="0.2">
      <c r="A1059" t="str">
        <f t="shared" si="304"/>
        <v>https://shop.officineitalianezard.it/en/products/index/ktm-450-sx-f-exhaust-zard-7717-197/</v>
      </c>
      <c r="B1059" t="b">
        <f>COUNTIF($A$2:$A1059, A1059)&gt;1</f>
        <v>1</v>
      </c>
      <c r="C1059" t="b">
        <f t="shared" si="305"/>
        <v>1</v>
      </c>
      <c r="D1059">
        <f>VLOOKUP(A1059,variant_counts!A:B, 2, FALSE)</f>
        <v>1</v>
      </c>
      <c r="E1059" t="str">
        <f t="shared" si="318"/>
        <v>zard-exhaust-full-kit-ktm-450-sx-f-steel-aluminium-version-zktm229skr-fc</v>
      </c>
      <c r="F1059" t="str">
        <f t="shared" si="306"/>
        <v>ZARD EXHAUST FULL KIT KTM 450 SX-F STEEL-ALUMINIUM VERSION ZKTM229SKR-FC</v>
      </c>
      <c r="G1059" t="str">
        <f t="shared" si="307"/>
        <v/>
      </c>
      <c r="H1059" t="str">
        <f t="shared" si="319"/>
        <v/>
      </c>
      <c r="I1059" t="str">
        <f t="shared" si="320"/>
        <v/>
      </c>
      <c r="J1059" t="str">
        <f t="shared" si="321"/>
        <v/>
      </c>
      <c r="K1059" t="str">
        <f t="shared" si="322"/>
        <v/>
      </c>
      <c r="L1059" t="str">
        <f t="shared" si="308"/>
        <v>Option</v>
      </c>
      <c r="M1059" t="str">
        <f t="shared" si="309"/>
        <v>FULL TITANIUM</v>
      </c>
      <c r="R1059" t="str">
        <f t="shared" si="310"/>
        <v>ZKTM229SKR-FC</v>
      </c>
      <c r="S1059">
        <f t="shared" si="311"/>
        <v>0</v>
      </c>
      <c r="U1059" t="str">
        <f t="shared" si="312"/>
        <v>continue</v>
      </c>
      <c r="V1059" t="str">
        <f t="shared" si="313"/>
        <v>manual</v>
      </c>
      <c r="W1059" s="5">
        <f t="shared" si="314"/>
        <v>1000.8204000000001</v>
      </c>
      <c r="Y1059" t="b">
        <f t="shared" si="315"/>
        <v>1</v>
      </c>
      <c r="Z1059" t="b">
        <f t="shared" si="316"/>
        <v>0</v>
      </c>
      <c r="AB1059" t="str">
        <f t="shared" si="317"/>
        <v/>
      </c>
      <c r="AE1059" t="b">
        <v>0</v>
      </c>
    </row>
    <row r="1060" spans="1:31" x14ac:dyDescent="0.2">
      <c r="A1060" t="str">
        <f t="shared" si="304"/>
        <v>https://shop.officineitalianezard.it/en/products/index/ktm-450-sx-f-exhaust-zard-7882-196/</v>
      </c>
      <c r="B1060" t="b">
        <f>COUNTIF($A$2:$A1060, A1060)&gt;1</f>
        <v>0</v>
      </c>
      <c r="C1060" t="b">
        <f t="shared" si="305"/>
        <v>0</v>
      </c>
      <c r="D1060">
        <f>VLOOKUP(A1060,variant_counts!A:B, 2, FALSE)</f>
        <v>0</v>
      </c>
      <c r="E1060" t="str">
        <f t="shared" si="318"/>
        <v>zard-exhaust-full-kit-ktm-350-sx-f-steel-aluminium-version-zktm232skr-fc</v>
      </c>
      <c r="F1060" t="str">
        <f t="shared" si="306"/>
        <v>ZARD EXHAUST FULL KIT KTM 350 SX-F STEEL-ALUMINIUM VERSION ZKTM232SKR-FC</v>
      </c>
      <c r="G1060" t="str">
        <f t="shared" si="307"/>
        <v>&lt;p&gt;STEEL-TITANIUM FULL KIT WITH CARBON ENDCAP.&lt;/p&gt;
&lt;p&gt;ORIGINAL EXHAUST WEIGHT:&amp;nbsp;3,2 KG&amp;nbsp;&lt;/p&gt;
&lt;p&gt;ZARD STEEL FULL KIT WEIGHT: 3 KG&lt;/p&gt;
&lt;p&gt;ZARD TITANIUM FULL KIT WEIGHT: 2,5 KG&lt;/p&gt;
&lt;p&gt;HARD INCREASE, COMPARED TO THE ORIGINAL EXHAUST SYSTEM, IN TERMS OF TORQUE AND POWER AT ANY RANGE.&lt;/p&gt;
&lt;p&gt;FITTING KIT INCLUDED.&lt;/p&gt;</v>
      </c>
      <c r="H1060" t="str">
        <f t="shared" si="319"/>
        <v>ZARD</v>
      </c>
      <c r="I1060" t="str">
        <f t="shared" si="320"/>
        <v>Exhaust Pipe</v>
      </c>
      <c r="J1060" t="str">
        <f t="shared" si="321"/>
        <v>Test</v>
      </c>
      <c r="K1060" t="b">
        <f t="shared" si="322"/>
        <v>0</v>
      </c>
      <c r="L1060" t="str">
        <f t="shared" si="308"/>
        <v>Title</v>
      </c>
      <c r="M1060" t="str">
        <f t="shared" si="309"/>
        <v>Default Title</v>
      </c>
      <c r="R1060" t="str">
        <f t="shared" si="310"/>
        <v>ZKTM232SKR-FC</v>
      </c>
      <c r="S1060">
        <f t="shared" si="311"/>
        <v>0</v>
      </c>
      <c r="U1060" t="str">
        <f t="shared" si="312"/>
        <v>continue</v>
      </c>
      <c r="V1060" t="str">
        <f t="shared" si="313"/>
        <v>manual</v>
      </c>
      <c r="W1060" s="5">
        <f t="shared" si="314"/>
        <v>856.15409999999997</v>
      </c>
      <c r="Y1060" t="b">
        <f t="shared" si="315"/>
        <v>1</v>
      </c>
      <c r="Z1060" t="b">
        <f t="shared" si="316"/>
        <v>0</v>
      </c>
      <c r="AB1060" t="str">
        <f t="shared" si="317"/>
        <v>https://shop.officineitalianezard.it/contents/imgs/products/1_2289-scarico%20ktm%20350%20sxf%20scarico%20zard.jpg</v>
      </c>
      <c r="AE1060" t="b">
        <v>0</v>
      </c>
    </row>
    <row r="1061" spans="1:31" x14ac:dyDescent="0.2">
      <c r="A1061" t="str">
        <f t="shared" si="304"/>
        <v>https://shop.officineitalianezard.it/en/products/index/ktm-450-sx-f-exhaust-zard-7882-196/</v>
      </c>
      <c r="B1061" t="b">
        <f>COUNTIF($A$2:$A1061, A1061)&gt;1</f>
        <v>1</v>
      </c>
      <c r="C1061" t="b">
        <f t="shared" si="305"/>
        <v>0</v>
      </c>
      <c r="D1061">
        <f>VLOOKUP(A1061,variant_counts!A:B, 2, FALSE)</f>
        <v>0</v>
      </c>
      <c r="E1061" t="str">
        <f t="shared" si="318"/>
        <v>zard-exhaust-full-kit-ktm-350-sx-f-steel-aluminium-version-zktm232skr-fc</v>
      </c>
      <c r="F1061" t="str">
        <f t="shared" si="306"/>
        <v>ZARD EXHAUST FULL KIT KTM 350 SX-F STEEL-ALUMINIUM VERSION ZKTM232SKR-FC</v>
      </c>
      <c r="G1061" t="str">
        <f t="shared" si="307"/>
        <v/>
      </c>
      <c r="H1061" t="str">
        <f t="shared" si="319"/>
        <v/>
      </c>
      <c r="I1061" t="str">
        <f t="shared" si="320"/>
        <v/>
      </c>
      <c r="J1061" t="str">
        <f t="shared" si="321"/>
        <v/>
      </c>
      <c r="K1061" t="str">
        <f t="shared" si="322"/>
        <v/>
      </c>
      <c r="L1061" t="str">
        <f t="shared" si="308"/>
        <v/>
      </c>
      <c r="M1061" t="str">
        <f t="shared" si="309"/>
        <v/>
      </c>
      <c r="R1061" t="str">
        <f t="shared" si="310"/>
        <v/>
      </c>
      <c r="S1061" t="str">
        <f t="shared" si="311"/>
        <v/>
      </c>
      <c r="U1061" t="str">
        <f t="shared" si="312"/>
        <v/>
      </c>
      <c r="V1061" t="str">
        <f t="shared" si="313"/>
        <v/>
      </c>
      <c r="W1061" s="5" t="str">
        <f t="shared" si="314"/>
        <v/>
      </c>
      <c r="Y1061" t="str">
        <f t="shared" si="315"/>
        <v/>
      </c>
      <c r="Z1061" t="str">
        <f t="shared" si="316"/>
        <v/>
      </c>
      <c r="AB1061" t="str">
        <f t="shared" si="317"/>
        <v>https://shop.officineitalianezard.it/contents/imgs/products/1_2291-scarico%20ktm%20350%20sxf%20zard%202.jpg</v>
      </c>
      <c r="AE1061" t="b">
        <v>0</v>
      </c>
    </row>
    <row r="1062" spans="1:31" x14ac:dyDescent="0.2">
      <c r="A1062" t="str">
        <f t="shared" si="304"/>
        <v>https://shop.officineitalianezard.it/en/products/index/ktm-450-sx-f-exhaust-zard-7882-196/</v>
      </c>
      <c r="B1062" t="b">
        <f>COUNTIF($A$2:$A1062, A1062)&gt;1</f>
        <v>1</v>
      </c>
      <c r="C1062" t="b">
        <f t="shared" si="305"/>
        <v>0</v>
      </c>
      <c r="D1062">
        <f>VLOOKUP(A1062,variant_counts!A:B, 2, FALSE)</f>
        <v>0</v>
      </c>
      <c r="E1062" t="str">
        <f t="shared" si="318"/>
        <v>zard-exhaust-full-kit-ktm-350-sx-f-steel-aluminium-version-zktm232skr-fc</v>
      </c>
      <c r="F1062" t="str">
        <f t="shared" si="306"/>
        <v>ZARD EXHAUST FULL KIT KTM 350 SX-F STEEL-ALUMINIUM VERSION ZKTM232SKR-FC</v>
      </c>
      <c r="G1062" t="str">
        <f t="shared" si="307"/>
        <v/>
      </c>
      <c r="H1062" t="str">
        <f t="shared" si="319"/>
        <v/>
      </c>
      <c r="I1062" t="str">
        <f t="shared" si="320"/>
        <v/>
      </c>
      <c r="J1062" t="str">
        <f t="shared" si="321"/>
        <v/>
      </c>
      <c r="K1062" t="str">
        <f t="shared" si="322"/>
        <v/>
      </c>
      <c r="L1062" t="str">
        <f t="shared" si="308"/>
        <v/>
      </c>
      <c r="M1062" t="str">
        <f t="shared" si="309"/>
        <v/>
      </c>
      <c r="R1062" t="str">
        <f t="shared" si="310"/>
        <v/>
      </c>
      <c r="S1062" t="str">
        <f t="shared" si="311"/>
        <v/>
      </c>
      <c r="U1062" t="str">
        <f t="shared" si="312"/>
        <v/>
      </c>
      <c r="V1062" t="str">
        <f t="shared" si="313"/>
        <v/>
      </c>
      <c r="W1062" s="5" t="str">
        <f t="shared" si="314"/>
        <v/>
      </c>
      <c r="Y1062" t="str">
        <f t="shared" si="315"/>
        <v/>
      </c>
      <c r="Z1062" t="str">
        <f t="shared" si="316"/>
        <v/>
      </c>
      <c r="AB1062" t="str">
        <f t="shared" si="317"/>
        <v>https://shop.officineitalianezard.it/contents/imgs/products/1_2290-scarico%20ktm%20350%20sxf%20zard%203.jpg</v>
      </c>
      <c r="AE1062" t="b">
        <v>0</v>
      </c>
    </row>
    <row r="1063" spans="1:31" x14ac:dyDescent="0.2">
      <c r="A1063" t="str">
        <f t="shared" si="304"/>
        <v>https://shop.officineitalianezard.it/en/products/index/ktm-250-sx-f-exhaust-zard-7715-195/</v>
      </c>
      <c r="B1063" t="b">
        <f>COUNTIF($A$2:$A1063, A1063)&gt;1</f>
        <v>0</v>
      </c>
      <c r="C1063" t="b">
        <f t="shared" si="305"/>
        <v>0</v>
      </c>
      <c r="D1063">
        <f>VLOOKUP(A1063,variant_counts!A:B, 2, FALSE)</f>
        <v>1</v>
      </c>
      <c r="E1063" t="str">
        <f t="shared" si="318"/>
        <v>zard-exhaust-full-kit-ktm-250-sx-f-my-2016-steel-titanium-version-zktm231skr-fc</v>
      </c>
      <c r="F1063" t="str">
        <f t="shared" si="306"/>
        <v>ZARD EXHAUST FULL KIT KTM 250 SX-F &gt; M.Y 2016 STEEL-TITANIUM VERSION ZKTM231SKR-FC</v>
      </c>
      <c r="G1063" t="str">
        <f t="shared" si="307"/>
        <v>&lt;p&gt;STEEL-TITANIUM RACING FULL KIT WITH CARBON ENDCAP&lt;/p&gt;
&lt;p&gt;ORIGINAL EXHAUST WEIGHT: 3,2 KG&lt;/p&gt;
&lt;p&gt;ZARD STEEL-TITANIUM FULL KIT WEIGHT: 3 KG&lt;/p&gt;
&lt;p&gt;ZARD FULL TITANIUM FULL KIT WEIGHT: 2,5 KG&lt;/p&gt;
&lt;p&gt;HARD INCREASE, COMPARED TO THE ORIGINAL EXHAUST SYSTEM, IN TERMS OF TORQUE AND POWER AT ANY RANGE.&lt;/p&gt;
&lt;p&gt;FITTING KIT INCLUDED.&lt;/p&gt;</v>
      </c>
      <c r="H1063" t="str">
        <f t="shared" si="319"/>
        <v>ZARD</v>
      </c>
      <c r="I1063" t="str">
        <f t="shared" si="320"/>
        <v>Exhaust Pipe</v>
      </c>
      <c r="J1063" t="str">
        <f t="shared" si="321"/>
        <v>Test</v>
      </c>
      <c r="K1063" t="b">
        <f t="shared" si="322"/>
        <v>0</v>
      </c>
      <c r="L1063" t="str">
        <f t="shared" si="308"/>
        <v>Option</v>
      </c>
      <c r="M1063" t="str">
        <f t="shared" si="309"/>
        <v>DEFAULT</v>
      </c>
      <c r="R1063" t="str">
        <f t="shared" si="310"/>
        <v>ZKTM231SKR-FC</v>
      </c>
      <c r="S1063">
        <f t="shared" si="311"/>
        <v>0</v>
      </c>
      <c r="U1063" t="str">
        <f t="shared" si="312"/>
        <v>continue</v>
      </c>
      <c r="V1063" t="str">
        <f t="shared" si="313"/>
        <v>manual</v>
      </c>
      <c r="W1063" s="5">
        <f t="shared" si="314"/>
        <v>847.05210000000011</v>
      </c>
      <c r="Y1063" t="b">
        <f t="shared" si="315"/>
        <v>1</v>
      </c>
      <c r="Z1063" t="b">
        <f t="shared" si="316"/>
        <v>0</v>
      </c>
      <c r="AB1063" t="str">
        <f t="shared" si="317"/>
        <v>https://shop.officineitalianezard.it/contents/imgs/products/1_2265-scarico%20ktm%20250%20sxf%20-%20zard%201.jpg</v>
      </c>
      <c r="AE1063" t="b">
        <v>0</v>
      </c>
    </row>
    <row r="1064" spans="1:31" x14ac:dyDescent="0.2">
      <c r="A1064" t="str">
        <f t="shared" si="304"/>
        <v>https://shop.officineitalianezard.it/en/products/index/ktm-250-sx-f-exhaust-zard-7715-195/</v>
      </c>
      <c r="B1064" t="b">
        <f>COUNTIF($A$2:$A1064, A1064)&gt;1</f>
        <v>1</v>
      </c>
      <c r="C1064" t="b">
        <f t="shared" si="305"/>
        <v>0</v>
      </c>
      <c r="D1064">
        <f>VLOOKUP(A1064,variant_counts!A:B, 2, FALSE)</f>
        <v>1</v>
      </c>
      <c r="E1064" t="str">
        <f t="shared" si="318"/>
        <v>zard-exhaust-full-kit-ktm-250-sx-f-my-2016-steel-titanium-version-zktm231skr-fc</v>
      </c>
      <c r="F1064" t="str">
        <f t="shared" si="306"/>
        <v>ZARD EXHAUST FULL KIT KTM 250 SX-F &gt; M.Y 2016 STEEL-TITANIUM VERSION ZKTM231SKR-FC</v>
      </c>
      <c r="G1064" t="str">
        <f t="shared" si="307"/>
        <v/>
      </c>
      <c r="H1064" t="str">
        <f t="shared" si="319"/>
        <v/>
      </c>
      <c r="I1064" t="str">
        <f t="shared" si="320"/>
        <v/>
      </c>
      <c r="J1064" t="str">
        <f t="shared" si="321"/>
        <v/>
      </c>
      <c r="K1064" t="str">
        <f t="shared" si="322"/>
        <v/>
      </c>
      <c r="L1064" t="str">
        <f t="shared" si="308"/>
        <v/>
      </c>
      <c r="M1064" t="str">
        <f t="shared" si="309"/>
        <v/>
      </c>
      <c r="R1064" t="str">
        <f t="shared" si="310"/>
        <v/>
      </c>
      <c r="S1064" t="str">
        <f t="shared" si="311"/>
        <v/>
      </c>
      <c r="U1064" t="str">
        <f t="shared" si="312"/>
        <v/>
      </c>
      <c r="V1064" t="str">
        <f t="shared" si="313"/>
        <v/>
      </c>
      <c r="W1064" s="5" t="str">
        <f t="shared" si="314"/>
        <v/>
      </c>
      <c r="Y1064" t="str">
        <f t="shared" si="315"/>
        <v/>
      </c>
      <c r="Z1064" t="str">
        <f t="shared" si="316"/>
        <v/>
      </c>
      <c r="AB1064" t="str">
        <f t="shared" si="317"/>
        <v>https://shop.officineitalianezard.it/contents/imgs/products/1_2266-scarico%20ktm%20250%20sxf%20-%20zard%203.jpg</v>
      </c>
      <c r="AE1064" t="b">
        <v>0</v>
      </c>
    </row>
    <row r="1065" spans="1:31" x14ac:dyDescent="0.2">
      <c r="A1065" t="str">
        <f t="shared" si="304"/>
        <v>https://shop.officineitalianezard.it/en/products/index/ktm-250-sx-f-exhaust-zard-7715-195/</v>
      </c>
      <c r="B1065" t="b">
        <f>COUNTIF($A$2:$A1065, A1065)&gt;1</f>
        <v>1</v>
      </c>
      <c r="C1065" t="b">
        <f t="shared" si="305"/>
        <v>0</v>
      </c>
      <c r="D1065">
        <f>VLOOKUP(A1065,variant_counts!A:B, 2, FALSE)</f>
        <v>1</v>
      </c>
      <c r="E1065" t="str">
        <f t="shared" si="318"/>
        <v>zard-exhaust-full-kit-ktm-250-sx-f-my-2016-steel-titanium-version-zktm231skr-fc</v>
      </c>
      <c r="F1065" t="str">
        <f t="shared" si="306"/>
        <v>ZARD EXHAUST FULL KIT KTM 250 SX-F &gt; M.Y 2016 STEEL-TITANIUM VERSION ZKTM231SKR-FC</v>
      </c>
      <c r="G1065" t="str">
        <f t="shared" si="307"/>
        <v/>
      </c>
      <c r="H1065" t="str">
        <f t="shared" si="319"/>
        <v/>
      </c>
      <c r="I1065" t="str">
        <f t="shared" si="320"/>
        <v/>
      </c>
      <c r="J1065" t="str">
        <f t="shared" si="321"/>
        <v/>
      </c>
      <c r="K1065" t="str">
        <f t="shared" si="322"/>
        <v/>
      </c>
      <c r="L1065" t="str">
        <f t="shared" si="308"/>
        <v/>
      </c>
      <c r="M1065" t="str">
        <f t="shared" si="309"/>
        <v/>
      </c>
      <c r="R1065" t="str">
        <f t="shared" si="310"/>
        <v/>
      </c>
      <c r="S1065" t="str">
        <f t="shared" si="311"/>
        <v/>
      </c>
      <c r="U1065" t="str">
        <f t="shared" si="312"/>
        <v/>
      </c>
      <c r="V1065" t="str">
        <f t="shared" si="313"/>
        <v/>
      </c>
      <c r="W1065" s="5" t="str">
        <f t="shared" si="314"/>
        <v/>
      </c>
      <c r="Y1065" t="str">
        <f t="shared" si="315"/>
        <v/>
      </c>
      <c r="Z1065" t="str">
        <f t="shared" si="316"/>
        <v/>
      </c>
      <c r="AB1065" t="str">
        <f t="shared" si="317"/>
        <v>https://shop.officineitalianezard.it/contents/imgs/products/1_2268-scarico%20ktm%20250%20sxf%20-%20zard%204.jpg</v>
      </c>
      <c r="AE1065" t="b">
        <v>0</v>
      </c>
    </row>
    <row r="1066" spans="1:31" x14ac:dyDescent="0.2">
      <c r="A1066" t="str">
        <f t="shared" si="304"/>
        <v>https://shop.officineitalianezard.it/en/products/index/ktm-250-sx-f-exhaust-zard-7715-195/</v>
      </c>
      <c r="B1066" t="b">
        <f>COUNTIF($A$2:$A1066, A1066)&gt;1</f>
        <v>1</v>
      </c>
      <c r="C1066" t="b">
        <f t="shared" si="305"/>
        <v>1</v>
      </c>
      <c r="D1066">
        <f>VLOOKUP(A1066,variant_counts!A:B, 2, FALSE)</f>
        <v>1</v>
      </c>
      <c r="E1066" t="str">
        <f t="shared" si="318"/>
        <v>zard-exhaust-full-kit-ktm-250-sx-f-my-2016-steel-titanium-version-zktm231skr-fc</v>
      </c>
      <c r="F1066" t="str">
        <f t="shared" si="306"/>
        <v>ZARD EXHAUST FULL KIT KTM 250 SX-F &gt; M.Y 2016 STEEL-TITANIUM VERSION ZKTM231SKR-FC</v>
      </c>
      <c r="G1066" t="str">
        <f t="shared" si="307"/>
        <v/>
      </c>
      <c r="H1066" t="str">
        <f t="shared" si="319"/>
        <v/>
      </c>
      <c r="I1066" t="str">
        <f t="shared" si="320"/>
        <v/>
      </c>
      <c r="J1066" t="str">
        <f t="shared" si="321"/>
        <v/>
      </c>
      <c r="K1066" t="str">
        <f t="shared" si="322"/>
        <v/>
      </c>
      <c r="L1066" t="str">
        <f t="shared" si="308"/>
        <v>Option</v>
      </c>
      <c r="M1066" t="str">
        <f t="shared" si="309"/>
        <v>FULL TITANIUM</v>
      </c>
      <c r="R1066" t="str">
        <f t="shared" si="310"/>
        <v>ZKTM231SKR-FC</v>
      </c>
      <c r="S1066">
        <f t="shared" si="311"/>
        <v>0</v>
      </c>
      <c r="U1066" t="str">
        <f t="shared" si="312"/>
        <v>continue</v>
      </c>
      <c r="V1066" t="str">
        <f t="shared" si="313"/>
        <v>manual</v>
      </c>
      <c r="W1066" s="5">
        <f t="shared" si="314"/>
        <v>977.25510000000008</v>
      </c>
      <c r="Y1066" t="b">
        <f t="shared" si="315"/>
        <v>1</v>
      </c>
      <c r="Z1066" t="b">
        <f t="shared" si="316"/>
        <v>0</v>
      </c>
      <c r="AB1066" t="str">
        <f t="shared" si="317"/>
        <v/>
      </c>
      <c r="AE1066" t="b">
        <v>0</v>
      </c>
    </row>
    <row r="1067" spans="1:31" x14ac:dyDescent="0.2">
      <c r="A1067" t="str">
        <f t="shared" si="304"/>
        <v>https://shop.officineitalianezard.it/en/ktm-250-exc-exhaust-zard/</v>
      </c>
      <c r="B1067" t="b">
        <f>COUNTIF($A$2:$A1067, A1067)&gt;1</f>
        <v>0</v>
      </c>
      <c r="C1067" t="b">
        <f t="shared" si="305"/>
        <v>0</v>
      </c>
      <c r="D1067">
        <f>VLOOKUP(A1067,variant_counts!A:B, 2, FALSE)</f>
        <v>0</v>
      </c>
      <c r="E1067" t="str">
        <f t="shared" si="318"/>
        <v>zard-exhaust-full-kit-ktm-250-exc-steel-titanium-version-zktm230ssr-fc</v>
      </c>
      <c r="F1067" t="str">
        <f t="shared" si="306"/>
        <v>ZARD EXHAUST FULL KIT KTM 250 EXC STEEL-TITANIUM VERSION ZKTM230SSR-FC</v>
      </c>
      <c r="G1067" t="str">
        <f t="shared" si="307"/>
        <v>&lt;p&gt;STEEL-TITANIUM&amp;nbsp;RACING SILENCER&amp;nbsp;WITH CARBON ENDCAP.&lt;/p&gt;
&lt;p&gt;&lt;/p&gt;
&lt;p&gt;HARD INCREASE, COMPARED TO THE ORIGINAL EXHAUST SYSTEM, IN TERMS OF TORQUE AND POWER AT ANY RANGE.&lt;/p&gt;
&lt;p&gt;FITTING KIT INCLUDED.&lt;/p&gt;</v>
      </c>
      <c r="H1067" t="str">
        <f t="shared" si="319"/>
        <v>ZARD</v>
      </c>
      <c r="I1067" t="str">
        <f t="shared" si="320"/>
        <v>Exhaust Pipe</v>
      </c>
      <c r="J1067" t="str">
        <f t="shared" si="321"/>
        <v>Test</v>
      </c>
      <c r="K1067" t="b">
        <f t="shared" si="322"/>
        <v>0</v>
      </c>
      <c r="L1067" t="str">
        <f t="shared" si="308"/>
        <v>Title</v>
      </c>
      <c r="M1067" t="str">
        <f t="shared" si="309"/>
        <v>Default Title</v>
      </c>
      <c r="R1067" t="str">
        <f t="shared" si="310"/>
        <v>ZKTM230SSR-FC</v>
      </c>
      <c r="S1067">
        <f t="shared" si="311"/>
        <v>0</v>
      </c>
      <c r="U1067" t="str">
        <f t="shared" si="312"/>
        <v>continue</v>
      </c>
      <c r="V1067" t="str">
        <f t="shared" si="313"/>
        <v>manual</v>
      </c>
      <c r="W1067" s="5">
        <f t="shared" si="314"/>
        <v>361.20510000000007</v>
      </c>
      <c r="Y1067" t="b">
        <f t="shared" si="315"/>
        <v>1</v>
      </c>
      <c r="Z1067" t="b">
        <f t="shared" si="316"/>
        <v>0</v>
      </c>
      <c r="AB1067" t="str">
        <f t="shared" si="317"/>
        <v>https://shop.officineitalianezard.it/contents/imgs/products/1_2286-ktm%20250%20exc%20scarico%20zard%202.jpg</v>
      </c>
      <c r="AE1067" t="b">
        <v>0</v>
      </c>
    </row>
    <row r="1068" spans="1:31" x14ac:dyDescent="0.2">
      <c r="A1068" t="str">
        <f t="shared" si="304"/>
        <v>https://shop.officineitalianezard.it/en/ktm-250-exc-exhaust-zard/</v>
      </c>
      <c r="B1068" t="b">
        <f>COUNTIF($A$2:$A1068, A1068)&gt;1</f>
        <v>1</v>
      </c>
      <c r="C1068" t="b">
        <f t="shared" si="305"/>
        <v>0</v>
      </c>
      <c r="D1068">
        <f>VLOOKUP(A1068,variant_counts!A:B, 2, FALSE)</f>
        <v>0</v>
      </c>
      <c r="E1068" t="str">
        <f t="shared" si="318"/>
        <v>zard-exhaust-full-kit-ktm-250-exc-steel-titanium-version-zktm230ssr-fc</v>
      </c>
      <c r="F1068" t="str">
        <f t="shared" si="306"/>
        <v>ZARD EXHAUST FULL KIT KTM 250 EXC STEEL-TITANIUM VERSION ZKTM230SSR-FC</v>
      </c>
      <c r="G1068" t="str">
        <f t="shared" si="307"/>
        <v/>
      </c>
      <c r="H1068" t="str">
        <f t="shared" si="319"/>
        <v/>
      </c>
      <c r="I1068" t="str">
        <f t="shared" si="320"/>
        <v/>
      </c>
      <c r="J1068" t="str">
        <f t="shared" si="321"/>
        <v/>
      </c>
      <c r="K1068" t="str">
        <f t="shared" si="322"/>
        <v/>
      </c>
      <c r="L1068" t="str">
        <f t="shared" si="308"/>
        <v/>
      </c>
      <c r="M1068" t="str">
        <f t="shared" si="309"/>
        <v/>
      </c>
      <c r="R1068" t="str">
        <f t="shared" si="310"/>
        <v/>
      </c>
      <c r="S1068" t="str">
        <f t="shared" si="311"/>
        <v/>
      </c>
      <c r="U1068" t="str">
        <f t="shared" si="312"/>
        <v/>
      </c>
      <c r="V1068" t="str">
        <f t="shared" si="313"/>
        <v/>
      </c>
      <c r="W1068" s="5" t="str">
        <f t="shared" si="314"/>
        <v/>
      </c>
      <c r="Y1068" t="str">
        <f t="shared" si="315"/>
        <v/>
      </c>
      <c r="Z1068" t="str">
        <f t="shared" si="316"/>
        <v/>
      </c>
      <c r="AB1068" t="str">
        <f t="shared" si="317"/>
        <v>https://shop.officineitalianezard.it/contents/imgs/products/1_2287-ktm%20250%20exc%20scarico%20zard%203.jpg</v>
      </c>
      <c r="AE1068" t="b">
        <v>0</v>
      </c>
    </row>
    <row r="1069" spans="1:31" x14ac:dyDescent="0.2">
      <c r="A1069" t="str">
        <f t="shared" si="304"/>
        <v>https://shop.officineitalianezard.it/en/ktm-250-exc-exhaust-zard/</v>
      </c>
      <c r="B1069" t="b">
        <f>COUNTIF($A$2:$A1069, A1069)&gt;1</f>
        <v>1</v>
      </c>
      <c r="C1069" t="b">
        <f t="shared" si="305"/>
        <v>0</v>
      </c>
      <c r="D1069">
        <f>VLOOKUP(A1069,variant_counts!A:B, 2, FALSE)</f>
        <v>0</v>
      </c>
      <c r="E1069" t="str">
        <f t="shared" si="318"/>
        <v>zard-exhaust-full-kit-ktm-250-exc-steel-titanium-version-zktm230ssr-fc</v>
      </c>
      <c r="F1069" t="str">
        <f t="shared" si="306"/>
        <v>ZARD EXHAUST FULL KIT KTM 250 EXC STEEL-TITANIUM VERSION ZKTM230SSR-FC</v>
      </c>
      <c r="G1069" t="str">
        <f t="shared" si="307"/>
        <v/>
      </c>
      <c r="H1069" t="str">
        <f t="shared" si="319"/>
        <v/>
      </c>
      <c r="I1069" t="str">
        <f t="shared" si="320"/>
        <v/>
      </c>
      <c r="J1069" t="str">
        <f t="shared" si="321"/>
        <v/>
      </c>
      <c r="K1069" t="str">
        <f t="shared" si="322"/>
        <v/>
      </c>
      <c r="L1069" t="str">
        <f t="shared" si="308"/>
        <v/>
      </c>
      <c r="M1069" t="str">
        <f t="shared" si="309"/>
        <v/>
      </c>
      <c r="R1069" t="str">
        <f t="shared" si="310"/>
        <v/>
      </c>
      <c r="S1069" t="str">
        <f t="shared" si="311"/>
        <v/>
      </c>
      <c r="U1069" t="str">
        <f t="shared" si="312"/>
        <v/>
      </c>
      <c r="V1069" t="str">
        <f t="shared" si="313"/>
        <v/>
      </c>
      <c r="W1069" s="5" t="str">
        <f t="shared" si="314"/>
        <v/>
      </c>
      <c r="Y1069" t="str">
        <f t="shared" si="315"/>
        <v/>
      </c>
      <c r="Z1069" t="str">
        <f t="shared" si="316"/>
        <v/>
      </c>
      <c r="AB1069" t="str">
        <f t="shared" si="317"/>
        <v>https://shop.officineitalianezard.it/contents/imgs/products/1_2285-ktm%20250%20exc%20scarico%20zard%201.jpg</v>
      </c>
      <c r="AE1069" t="b">
        <v>0</v>
      </c>
    </row>
    <row r="1070" spans="1:31" x14ac:dyDescent="0.2">
      <c r="A1070" t="str">
        <f t="shared" si="304"/>
        <v>https://shop.officineitalianezard.it/en/products/index/kawasaki-w800-exhaust-zard-7507-137/</v>
      </c>
      <c r="B1070" t="b">
        <f>COUNTIF($A$2:$A1070, A1070)&gt;1</f>
        <v>0</v>
      </c>
      <c r="C1070" t="b">
        <f t="shared" si="305"/>
        <v>0</v>
      </c>
      <c r="D1070">
        <f>VLOOKUP(A1070,variant_counts!A:B, 2, FALSE)</f>
        <v>2</v>
      </c>
      <c r="E1070" t="str">
        <f t="shared" si="318"/>
        <v>zard-exhaust-21-full-kit-kawasaki-w-800-201017-conical-version-zkaw173skr</v>
      </c>
      <c r="F1070" t="str">
        <f t="shared" si="306"/>
        <v>ZARD EXHAUST 2&gt;1 FULL KIT KAWASAKI W 800 2010/17 CONICAL VERSION ZKAW173SKR</v>
      </c>
      <c r="G1070" t="str">
        <f t="shared" si="307"/>
        <v>&lt;p&gt;2&amp;gt;1 STEEL RACING FULL KIT WITH REMOVABLE DB KILLER&lt;/p&gt;
&lt;p&gt;ZARD FULL KIT WEIGHT: 2.9 KG&lt;/p&gt;
&lt;p&gt;HARD INCREASE, COMPARED TO THE ORIGINAL EXHAUST SYSTEM, IN TERMS OF TORQUE AND POWER AT ANY RANGE&lt;/p&gt;
&lt;p&gt;ASTONISHING SOUND&lt;/p&gt;</v>
      </c>
      <c r="H1070" t="str">
        <f t="shared" si="319"/>
        <v>ZARD</v>
      </c>
      <c r="I1070" t="str">
        <f t="shared" si="320"/>
        <v>Exhaust Pipe</v>
      </c>
      <c r="J1070" t="str">
        <f t="shared" si="321"/>
        <v>Test</v>
      </c>
      <c r="K1070" t="b">
        <f t="shared" si="322"/>
        <v>0</v>
      </c>
      <c r="L1070" t="str">
        <f t="shared" si="308"/>
        <v/>
      </c>
      <c r="M1070" t="str">
        <f t="shared" si="309"/>
        <v/>
      </c>
      <c r="R1070" t="str">
        <f t="shared" si="310"/>
        <v/>
      </c>
      <c r="S1070" t="str">
        <f t="shared" si="311"/>
        <v/>
      </c>
      <c r="U1070" t="str">
        <f t="shared" si="312"/>
        <v/>
      </c>
      <c r="V1070" t="str">
        <f t="shared" si="313"/>
        <v/>
      </c>
      <c r="W1070" s="5" t="str">
        <f t="shared" si="314"/>
        <v/>
      </c>
      <c r="Y1070" t="str">
        <f t="shared" si="315"/>
        <v/>
      </c>
      <c r="Z1070" t="str">
        <f t="shared" si="316"/>
        <v/>
      </c>
      <c r="AB1070" t="str">
        <f t="shared" si="317"/>
        <v>https://shop.officineitalianezard.it/contents/imgs/products/1_870-W800CONICALBLACK3.JPG</v>
      </c>
      <c r="AE1070" t="b">
        <v>0</v>
      </c>
    </row>
    <row r="1071" spans="1:31" x14ac:dyDescent="0.2">
      <c r="A1071" t="str">
        <f t="shared" si="304"/>
        <v>https://shop.officineitalianezard.it/en/products/index/kawasaki-w800-exhaust-zard-7507-137/</v>
      </c>
      <c r="B1071" t="b">
        <f>COUNTIF($A$2:$A1071, A1071)&gt;1</f>
        <v>1</v>
      </c>
      <c r="C1071" t="b">
        <f t="shared" si="305"/>
        <v>0</v>
      </c>
      <c r="D1071">
        <f>VLOOKUP(A1071,variant_counts!A:B, 2, FALSE)</f>
        <v>2</v>
      </c>
      <c r="E1071" t="str">
        <f t="shared" si="318"/>
        <v>zard-exhaust-21-full-kit-kawasaki-w-800-201017-conical-version-zkaw173skr</v>
      </c>
      <c r="F1071" t="str">
        <f t="shared" si="306"/>
        <v>ZARD EXHAUST 2&gt;1 FULL KIT KAWASAKI W 800 2010/17 CONICAL VERSION ZKAW173SKR</v>
      </c>
      <c r="G1071" t="str">
        <f t="shared" si="307"/>
        <v/>
      </c>
      <c r="H1071" t="str">
        <f t="shared" si="319"/>
        <v/>
      </c>
      <c r="I1071" t="str">
        <f t="shared" si="320"/>
        <v/>
      </c>
      <c r="J1071" t="str">
        <f t="shared" si="321"/>
        <v/>
      </c>
      <c r="K1071" t="str">
        <f t="shared" si="322"/>
        <v/>
      </c>
      <c r="L1071" t="str">
        <f t="shared" si="308"/>
        <v/>
      </c>
      <c r="M1071" t="str">
        <f t="shared" si="309"/>
        <v/>
      </c>
      <c r="R1071" t="str">
        <f t="shared" si="310"/>
        <v/>
      </c>
      <c r="S1071" t="str">
        <f t="shared" si="311"/>
        <v/>
      </c>
      <c r="U1071" t="str">
        <f t="shared" si="312"/>
        <v/>
      </c>
      <c r="V1071" t="str">
        <f t="shared" si="313"/>
        <v/>
      </c>
      <c r="W1071" s="5" t="str">
        <f t="shared" si="314"/>
        <v/>
      </c>
      <c r="Y1071" t="str">
        <f t="shared" si="315"/>
        <v/>
      </c>
      <c r="Z1071" t="str">
        <f t="shared" si="316"/>
        <v/>
      </c>
      <c r="AB1071" t="str">
        <f t="shared" si="317"/>
        <v>https://shop.officineitalianezard.it/contents/imgs/products/1_868-W800CONICO6.JPG</v>
      </c>
      <c r="AE1071" t="b">
        <v>0</v>
      </c>
    </row>
    <row r="1072" spans="1:31" x14ac:dyDescent="0.2">
      <c r="A1072" t="str">
        <f t="shared" si="304"/>
        <v>https://shop.officineitalianezard.it/en/products/index/kawasaki-w800-exhaust-zard-7507-137/</v>
      </c>
      <c r="B1072" t="b">
        <f>COUNTIF($A$2:$A1072, A1072)&gt;1</f>
        <v>1</v>
      </c>
      <c r="C1072" t="b">
        <f t="shared" si="305"/>
        <v>0</v>
      </c>
      <c r="D1072">
        <f>VLOOKUP(A1072,variant_counts!A:B, 2, FALSE)</f>
        <v>2</v>
      </c>
      <c r="E1072" t="str">
        <f t="shared" si="318"/>
        <v>zard-exhaust-21-full-kit-kawasaki-w-800-201017-conical-version-zkaw173skr</v>
      </c>
      <c r="F1072" t="str">
        <f t="shared" si="306"/>
        <v>ZARD EXHAUST 2&gt;1 FULL KIT KAWASAKI W 800 2010/17 CONICAL VERSION ZKAW173SKR</v>
      </c>
      <c r="G1072" t="str">
        <f t="shared" si="307"/>
        <v/>
      </c>
      <c r="H1072" t="str">
        <f t="shared" si="319"/>
        <v/>
      </c>
      <c r="I1072" t="str">
        <f t="shared" si="320"/>
        <v/>
      </c>
      <c r="J1072" t="str">
        <f t="shared" si="321"/>
        <v/>
      </c>
      <c r="K1072" t="str">
        <f t="shared" si="322"/>
        <v/>
      </c>
      <c r="L1072" t="str">
        <f t="shared" si="308"/>
        <v/>
      </c>
      <c r="M1072" t="str">
        <f t="shared" si="309"/>
        <v/>
      </c>
      <c r="R1072" t="str">
        <f t="shared" si="310"/>
        <v/>
      </c>
      <c r="S1072" t="str">
        <f t="shared" si="311"/>
        <v/>
      </c>
      <c r="U1072" t="str">
        <f t="shared" si="312"/>
        <v/>
      </c>
      <c r="V1072" t="str">
        <f t="shared" si="313"/>
        <v/>
      </c>
      <c r="W1072" s="5" t="str">
        <f t="shared" si="314"/>
        <v/>
      </c>
      <c r="Y1072" t="str">
        <f t="shared" si="315"/>
        <v/>
      </c>
      <c r="Z1072" t="str">
        <f t="shared" si="316"/>
        <v/>
      </c>
      <c r="AB1072" t="str">
        <f t="shared" si="317"/>
        <v>https://shop.officineitalianezard.it/contents/imgs/products/1_869-W800CONICO3.JPG</v>
      </c>
      <c r="AE1072" t="b">
        <v>0</v>
      </c>
    </row>
    <row r="1073" spans="1:31" x14ac:dyDescent="0.2">
      <c r="A1073" t="str">
        <f t="shared" si="304"/>
        <v>https://shop.officineitalianezard.it/en/products/index/kawasaki-w800-exhaust-zard-7507-137/</v>
      </c>
      <c r="B1073" t="b">
        <f>COUNTIF($A$2:$A1073, A1073)&gt;1</f>
        <v>1</v>
      </c>
      <c r="C1073" t="b">
        <f t="shared" si="305"/>
        <v>0</v>
      </c>
      <c r="D1073">
        <f>VLOOKUP(A1073,variant_counts!A:B, 2, FALSE)</f>
        <v>2</v>
      </c>
      <c r="E1073" t="str">
        <f t="shared" si="318"/>
        <v>zard-exhaust-21-full-kit-kawasaki-w-800-201017-conical-version-zkaw173skr</v>
      </c>
      <c r="F1073" t="str">
        <f t="shared" si="306"/>
        <v>ZARD EXHAUST 2&gt;1 FULL KIT KAWASAKI W 800 2010/17 CONICAL VERSION ZKAW173SKR</v>
      </c>
      <c r="G1073" t="str">
        <f t="shared" si="307"/>
        <v/>
      </c>
      <c r="H1073" t="str">
        <f t="shared" si="319"/>
        <v/>
      </c>
      <c r="I1073" t="str">
        <f t="shared" si="320"/>
        <v/>
      </c>
      <c r="J1073" t="str">
        <f t="shared" si="321"/>
        <v/>
      </c>
      <c r="K1073" t="str">
        <f t="shared" si="322"/>
        <v/>
      </c>
      <c r="L1073" t="str">
        <f t="shared" si="308"/>
        <v/>
      </c>
      <c r="M1073" t="str">
        <f t="shared" si="309"/>
        <v/>
      </c>
      <c r="R1073" t="str">
        <f t="shared" si="310"/>
        <v/>
      </c>
      <c r="S1073" t="str">
        <f t="shared" si="311"/>
        <v/>
      </c>
      <c r="U1073" t="str">
        <f t="shared" si="312"/>
        <v/>
      </c>
      <c r="V1073" t="str">
        <f t="shared" si="313"/>
        <v/>
      </c>
      <c r="W1073" s="5" t="str">
        <f t="shared" si="314"/>
        <v/>
      </c>
      <c r="Y1073" t="str">
        <f t="shared" si="315"/>
        <v/>
      </c>
      <c r="Z1073" t="str">
        <f t="shared" si="316"/>
        <v/>
      </c>
      <c r="AB1073" t="str">
        <f t="shared" si="317"/>
        <v>https://shop.officineitalianezard.it/contents/imgs/products/1_871-W800CONICALBLACK2.JPG</v>
      </c>
      <c r="AE1073" t="b">
        <v>0</v>
      </c>
    </row>
    <row r="1074" spans="1:31" x14ac:dyDescent="0.2">
      <c r="A1074" t="str">
        <f t="shared" si="304"/>
        <v>https://shop.officineitalianezard.it/en/products/index/kawasaki-w800-exhaust-zard-7507-137/</v>
      </c>
      <c r="B1074" t="b">
        <f>COUNTIF($A$2:$A1074, A1074)&gt;1</f>
        <v>1</v>
      </c>
      <c r="C1074" t="b">
        <f t="shared" si="305"/>
        <v>0</v>
      </c>
      <c r="D1074">
        <f>VLOOKUP(A1074,variant_counts!A:B, 2, FALSE)</f>
        <v>2</v>
      </c>
      <c r="E1074" t="str">
        <f t="shared" si="318"/>
        <v>zard-exhaust-21-full-kit-kawasaki-w-800-201017-conical-version-zkaw173skr</v>
      </c>
      <c r="F1074" t="str">
        <f t="shared" si="306"/>
        <v>ZARD EXHAUST 2&gt;1 FULL KIT KAWASAKI W 800 2010/17 CONICAL VERSION ZKAW173SKR</v>
      </c>
      <c r="G1074" t="str">
        <f t="shared" si="307"/>
        <v/>
      </c>
      <c r="H1074" t="str">
        <f t="shared" si="319"/>
        <v/>
      </c>
      <c r="I1074" t="str">
        <f t="shared" si="320"/>
        <v/>
      </c>
      <c r="J1074" t="str">
        <f t="shared" si="321"/>
        <v/>
      </c>
      <c r="K1074" t="str">
        <f t="shared" si="322"/>
        <v/>
      </c>
      <c r="L1074" t="str">
        <f t="shared" si="308"/>
        <v/>
      </c>
      <c r="M1074" t="str">
        <f t="shared" si="309"/>
        <v/>
      </c>
      <c r="R1074" t="str">
        <f t="shared" si="310"/>
        <v/>
      </c>
      <c r="S1074" t="str">
        <f t="shared" si="311"/>
        <v/>
      </c>
      <c r="U1074" t="str">
        <f t="shared" si="312"/>
        <v/>
      </c>
      <c r="V1074" t="str">
        <f t="shared" si="313"/>
        <v/>
      </c>
      <c r="W1074" s="5" t="str">
        <f t="shared" si="314"/>
        <v/>
      </c>
      <c r="Y1074" t="str">
        <f t="shared" si="315"/>
        <v/>
      </c>
      <c r="Z1074" t="str">
        <f t="shared" si="316"/>
        <v/>
      </c>
      <c r="AB1074" t="str">
        <f t="shared" si="317"/>
        <v>https://shop.officineitalianezard.it/contents/imgs/products/1_1386-kawasaki%20w800%20exhaust%20zard.jpg</v>
      </c>
      <c r="AE1074" t="b">
        <v>0</v>
      </c>
    </row>
    <row r="1075" spans="1:31" x14ac:dyDescent="0.2">
      <c r="A1075" t="str">
        <f t="shared" si="304"/>
        <v>https://shop.officineitalianezard.it/en/products/index/kawasaki-w800-exhaust-zard-7507-137/</v>
      </c>
      <c r="B1075" t="b">
        <f>COUNTIF($A$2:$A1075, A1075)&gt;1</f>
        <v>1</v>
      </c>
      <c r="C1075" t="b">
        <f t="shared" si="305"/>
        <v>1</v>
      </c>
      <c r="D1075">
        <f>VLOOKUP(A1075,variant_counts!A:B, 2, FALSE)</f>
        <v>2</v>
      </c>
      <c r="E1075" t="str">
        <f t="shared" si="318"/>
        <v>zard-exhaust-21-full-kit-kawasaki-w-800-201017-conical-version-zkaw173skr</v>
      </c>
      <c r="F1075" t="str">
        <f t="shared" si="306"/>
        <v>ZARD EXHAUST 2&gt;1 FULL KIT KAWASAKI W 800 2010/17 CONICAL VERSION ZKAW173SKR</v>
      </c>
      <c r="G1075" t="str">
        <f t="shared" si="307"/>
        <v/>
      </c>
      <c r="H1075" t="str">
        <f t="shared" si="319"/>
        <v/>
      </c>
      <c r="I1075" t="str">
        <f t="shared" si="320"/>
        <v/>
      </c>
      <c r="J1075" t="str">
        <f t="shared" si="321"/>
        <v/>
      </c>
      <c r="K1075" t="str">
        <f t="shared" si="322"/>
        <v/>
      </c>
      <c r="L1075" t="str">
        <f t="shared" si="308"/>
        <v>Option</v>
      </c>
      <c r="M1075" t="str">
        <f t="shared" si="309"/>
        <v>BLACK COATING</v>
      </c>
      <c r="R1075" t="str">
        <f t="shared" si="310"/>
        <v>ZKAW173SKR</v>
      </c>
      <c r="S1075">
        <f t="shared" si="311"/>
        <v>0</v>
      </c>
      <c r="U1075" t="str">
        <f t="shared" si="312"/>
        <v>continue</v>
      </c>
      <c r="V1075" t="str">
        <f t="shared" si="313"/>
        <v>manual</v>
      </c>
      <c r="W1075" s="5">
        <f t="shared" si="314"/>
        <v>1075.4235000000001</v>
      </c>
      <c r="Y1075" t="b">
        <f t="shared" si="315"/>
        <v>1</v>
      </c>
      <c r="Z1075" t="b">
        <f t="shared" si="316"/>
        <v>0</v>
      </c>
      <c r="AB1075" t="str">
        <f t="shared" si="317"/>
        <v/>
      </c>
      <c r="AE1075" t="b">
        <v>0</v>
      </c>
    </row>
    <row r="1076" spans="1:31" x14ac:dyDescent="0.2">
      <c r="A1076" t="str">
        <f t="shared" si="304"/>
        <v>https://shop.officineitalianezard.it/en/products/index/kawasaki-w800-exhaust-zard-7507-137/</v>
      </c>
      <c r="B1076" t="b">
        <f>COUNTIF($A$2:$A1076, A1076)&gt;1</f>
        <v>1</v>
      </c>
      <c r="C1076" t="b">
        <f t="shared" si="305"/>
        <v>1</v>
      </c>
      <c r="D1076">
        <f>VLOOKUP(A1076,variant_counts!A:B, 2, FALSE)</f>
        <v>2</v>
      </c>
      <c r="E1076" t="str">
        <f t="shared" si="318"/>
        <v>zard-exhaust-21-full-kit-kawasaki-w-800-201017-conical-version-zkaw173skr</v>
      </c>
      <c r="F1076" t="str">
        <f t="shared" si="306"/>
        <v>ZARD EXHAUST 2&gt;1 FULL KIT KAWASAKI W 800 2010/17 CONICAL VERSION ZKAW173SKR</v>
      </c>
      <c r="G1076" t="str">
        <f t="shared" si="307"/>
        <v/>
      </c>
      <c r="H1076" t="str">
        <f t="shared" si="319"/>
        <v/>
      </c>
      <c r="I1076" t="str">
        <f t="shared" si="320"/>
        <v/>
      </c>
      <c r="J1076" t="str">
        <f t="shared" si="321"/>
        <v/>
      </c>
      <c r="K1076" t="str">
        <f t="shared" si="322"/>
        <v/>
      </c>
      <c r="L1076" t="str">
        <f t="shared" si="308"/>
        <v>Option</v>
      </c>
      <c r="M1076" t="str">
        <f t="shared" si="309"/>
        <v>POLISHED</v>
      </c>
      <c r="R1076" t="str">
        <f t="shared" si="310"/>
        <v>ZKAW173SKR</v>
      </c>
      <c r="S1076">
        <f t="shared" si="311"/>
        <v>0</v>
      </c>
      <c r="U1076" t="str">
        <f t="shared" si="312"/>
        <v>continue</v>
      </c>
      <c r="V1076" t="str">
        <f t="shared" si="313"/>
        <v>manual</v>
      </c>
      <c r="W1076" s="5">
        <f t="shared" si="314"/>
        <v>994.36019999999996</v>
      </c>
      <c r="Y1076" t="b">
        <f t="shared" si="315"/>
        <v>1</v>
      </c>
      <c r="Z1076" t="b">
        <f t="shared" si="316"/>
        <v>0</v>
      </c>
      <c r="AB1076" t="str">
        <f t="shared" si="317"/>
        <v/>
      </c>
      <c r="AE1076" t="b">
        <v>0</v>
      </c>
    </row>
    <row r="1077" spans="1:31" x14ac:dyDescent="0.2">
      <c r="A1077" t="str">
        <f t="shared" si="304"/>
        <v>https://shop.officineitalianezard.it/en/products/index/kawasaki-w800-exhaust-zard-7506-137/</v>
      </c>
      <c r="B1077" t="b">
        <f>COUNTIF($A$2:$A1077, A1077)&gt;1</f>
        <v>0</v>
      </c>
      <c r="C1077" t="b">
        <f t="shared" si="305"/>
        <v>0</v>
      </c>
      <c r="D1077">
        <f>VLOOKUP(A1077,variant_counts!A:B, 2, FALSE)</f>
        <v>1</v>
      </c>
      <c r="E1077" t="str">
        <f t="shared" si="318"/>
        <v>zard-exhaust-21-full-kit-kawasaki-w-800-201017-cross-version-zkaw172skr</v>
      </c>
      <c r="F1077" t="str">
        <f t="shared" si="306"/>
        <v>ZARD EXHAUST 2&gt;1 FULL KIT KAWASAKI W 800 2010/17 CROSS VERSION ZKAW172SKR</v>
      </c>
      <c r="G1077" t="str">
        <f t="shared" si="307"/>
        <v>&lt;p&gt;2&amp;gt;1 FULL KIT STEEL RACING WITH REMOVABLE DB KILLER&lt;/p&gt;
&lt;p&gt;ZARD FULL KIT WEIGHT: 2.6 KG&lt;/p&gt;
&lt;p&gt;HARD INCREASE, COMPARED TO THE ORIGINAL EXHAUST SYSTEM, IN TERMS OF TORQUE AND POWER AT ANY RANGE&lt;/p&gt;
&lt;p&gt;ASTONISHING SOUND&lt;/p&gt;</v>
      </c>
      <c r="H1077" t="str">
        <f t="shared" si="319"/>
        <v>ZARD</v>
      </c>
      <c r="I1077" t="str">
        <f t="shared" si="320"/>
        <v>Exhaust Pipe</v>
      </c>
      <c r="J1077" t="str">
        <f t="shared" si="321"/>
        <v>Test</v>
      </c>
      <c r="K1077" t="b">
        <f t="shared" si="322"/>
        <v>0</v>
      </c>
      <c r="L1077" t="str">
        <f t="shared" si="308"/>
        <v>Option</v>
      </c>
      <c r="M1077" t="str">
        <f t="shared" si="309"/>
        <v>DEFAULT</v>
      </c>
      <c r="R1077" t="str">
        <f t="shared" si="310"/>
        <v>ZKAW172SKR</v>
      </c>
      <c r="S1077">
        <f t="shared" si="311"/>
        <v>0</v>
      </c>
      <c r="U1077" t="str">
        <f t="shared" si="312"/>
        <v>continue</v>
      </c>
      <c r="V1077" t="str">
        <f t="shared" si="313"/>
        <v>manual</v>
      </c>
      <c r="W1077" s="5">
        <f t="shared" si="314"/>
        <v>841.60200000000009</v>
      </c>
      <c r="Y1077" t="b">
        <f t="shared" si="315"/>
        <v>1</v>
      </c>
      <c r="Z1077" t="b">
        <f t="shared" si="316"/>
        <v>0</v>
      </c>
      <c r="AB1077" t="str">
        <f t="shared" si="317"/>
        <v>https://shop.officineitalianezard.it/contents/imgs/products/1_867-IMG_0612.JPG</v>
      </c>
      <c r="AE1077" t="b">
        <v>0</v>
      </c>
    </row>
    <row r="1078" spans="1:31" x14ac:dyDescent="0.2">
      <c r="A1078" t="str">
        <f t="shared" si="304"/>
        <v>https://shop.officineitalianezard.it/en/products/index/kawasaki-w800-exhaust-zard-7506-137/</v>
      </c>
      <c r="B1078" t="b">
        <f>COUNTIF($A$2:$A1078, A1078)&gt;1</f>
        <v>1</v>
      </c>
      <c r="C1078" t="b">
        <f t="shared" si="305"/>
        <v>0</v>
      </c>
      <c r="D1078">
        <f>VLOOKUP(A1078,variant_counts!A:B, 2, FALSE)</f>
        <v>1</v>
      </c>
      <c r="E1078" t="str">
        <f t="shared" si="318"/>
        <v>zard-exhaust-21-full-kit-kawasaki-w-800-201017-cross-version-zkaw172skr</v>
      </c>
      <c r="F1078" t="str">
        <f t="shared" si="306"/>
        <v>ZARD EXHAUST 2&gt;1 FULL KIT KAWASAKI W 800 2010/17 CROSS VERSION ZKAW172SKR</v>
      </c>
      <c r="G1078" t="str">
        <f t="shared" si="307"/>
        <v/>
      </c>
      <c r="H1078" t="str">
        <f t="shared" si="319"/>
        <v/>
      </c>
      <c r="I1078" t="str">
        <f t="shared" si="320"/>
        <v/>
      </c>
      <c r="J1078" t="str">
        <f t="shared" si="321"/>
        <v/>
      </c>
      <c r="K1078" t="str">
        <f t="shared" si="322"/>
        <v/>
      </c>
      <c r="L1078" t="str">
        <f t="shared" si="308"/>
        <v/>
      </c>
      <c r="M1078" t="str">
        <f t="shared" si="309"/>
        <v/>
      </c>
      <c r="R1078" t="str">
        <f t="shared" si="310"/>
        <v/>
      </c>
      <c r="S1078" t="str">
        <f t="shared" si="311"/>
        <v/>
      </c>
      <c r="U1078" t="str">
        <f t="shared" si="312"/>
        <v/>
      </c>
      <c r="V1078" t="str">
        <f t="shared" si="313"/>
        <v/>
      </c>
      <c r="W1078" s="5" t="str">
        <f t="shared" si="314"/>
        <v/>
      </c>
      <c r="Y1078" t="str">
        <f t="shared" si="315"/>
        <v/>
      </c>
      <c r="Z1078" t="str">
        <f t="shared" si="316"/>
        <v/>
      </c>
      <c r="AB1078" t="str">
        <f t="shared" si="317"/>
        <v>https://shop.officineitalianezard.it/contents/imgs/products/1_866-IMG_0601.JPG</v>
      </c>
      <c r="AE1078" t="b">
        <v>0</v>
      </c>
    </row>
    <row r="1079" spans="1:31" x14ac:dyDescent="0.2">
      <c r="A1079" t="str">
        <f t="shared" si="304"/>
        <v>https://shop.officineitalianezard.it/en/products/index/kawasaki-w800-exhaust-zard-7506-137/</v>
      </c>
      <c r="B1079" t="b">
        <f>COUNTIF($A$2:$A1079, A1079)&gt;1</f>
        <v>1</v>
      </c>
      <c r="C1079" t="b">
        <f t="shared" si="305"/>
        <v>0</v>
      </c>
      <c r="D1079">
        <f>VLOOKUP(A1079,variant_counts!A:B, 2, FALSE)</f>
        <v>1</v>
      </c>
      <c r="E1079" t="str">
        <f t="shared" si="318"/>
        <v>zard-exhaust-21-full-kit-kawasaki-w-800-201017-cross-version-zkaw172skr</v>
      </c>
      <c r="F1079" t="str">
        <f t="shared" si="306"/>
        <v>ZARD EXHAUST 2&gt;1 FULL KIT KAWASAKI W 800 2010/17 CROSS VERSION ZKAW172SKR</v>
      </c>
      <c r="G1079" t="str">
        <f t="shared" si="307"/>
        <v/>
      </c>
      <c r="H1079" t="str">
        <f t="shared" si="319"/>
        <v/>
      </c>
      <c r="I1079" t="str">
        <f t="shared" si="320"/>
        <v/>
      </c>
      <c r="J1079" t="str">
        <f t="shared" si="321"/>
        <v/>
      </c>
      <c r="K1079" t="str">
        <f t="shared" si="322"/>
        <v/>
      </c>
      <c r="L1079" t="str">
        <f t="shared" si="308"/>
        <v/>
      </c>
      <c r="M1079" t="str">
        <f t="shared" si="309"/>
        <v/>
      </c>
      <c r="R1079" t="str">
        <f t="shared" si="310"/>
        <v/>
      </c>
      <c r="S1079" t="str">
        <f t="shared" si="311"/>
        <v/>
      </c>
      <c r="U1079" t="str">
        <f t="shared" si="312"/>
        <v/>
      </c>
      <c r="V1079" t="str">
        <f t="shared" si="313"/>
        <v/>
      </c>
      <c r="W1079" s="5" t="str">
        <f t="shared" si="314"/>
        <v/>
      </c>
      <c r="Y1079" t="str">
        <f t="shared" si="315"/>
        <v/>
      </c>
      <c r="Z1079" t="str">
        <f t="shared" si="316"/>
        <v/>
      </c>
      <c r="AB1079" t="str">
        <f t="shared" si="317"/>
        <v>https://shop.officineitalianezard.it/contents/imgs/products/1_864-IMG_0578.JPG</v>
      </c>
      <c r="AE1079" t="b">
        <v>0</v>
      </c>
    </row>
    <row r="1080" spans="1:31" x14ac:dyDescent="0.2">
      <c r="A1080" t="str">
        <f t="shared" si="304"/>
        <v>https://shop.officineitalianezard.it/en/products/index/kawasaki-w800-exhaust-zard-7506-137/</v>
      </c>
      <c r="B1080" t="b">
        <f>COUNTIF($A$2:$A1080, A1080)&gt;1</f>
        <v>1</v>
      </c>
      <c r="C1080" t="b">
        <f t="shared" si="305"/>
        <v>1</v>
      </c>
      <c r="D1080">
        <f>VLOOKUP(A1080,variant_counts!A:B, 2, FALSE)</f>
        <v>1</v>
      </c>
      <c r="E1080" t="str">
        <f t="shared" si="318"/>
        <v>zard-exhaust-21-full-kit-kawasaki-w-800-201017-cross-version-zkaw172skr</v>
      </c>
      <c r="F1080" t="str">
        <f t="shared" si="306"/>
        <v>ZARD EXHAUST 2&gt;1 FULL KIT KAWASAKI W 800 2010/17 CROSS VERSION ZKAW172SKR</v>
      </c>
      <c r="G1080" t="str">
        <f t="shared" si="307"/>
        <v/>
      </c>
      <c r="H1080" t="str">
        <f t="shared" si="319"/>
        <v/>
      </c>
      <c r="I1080" t="str">
        <f t="shared" si="320"/>
        <v/>
      </c>
      <c r="J1080" t="str">
        <f t="shared" si="321"/>
        <v/>
      </c>
      <c r="K1080" t="str">
        <f t="shared" si="322"/>
        <v/>
      </c>
      <c r="L1080" t="str">
        <f t="shared" si="308"/>
        <v>Option</v>
      </c>
      <c r="M1080" t="str">
        <f t="shared" si="309"/>
        <v>BLACK COATING</v>
      </c>
      <c r="R1080" t="str">
        <f t="shared" si="310"/>
        <v>ZKAW172SKR</v>
      </c>
      <c r="S1080">
        <f t="shared" si="311"/>
        <v>0</v>
      </c>
      <c r="U1080" t="str">
        <f t="shared" si="312"/>
        <v>continue</v>
      </c>
      <c r="V1080" t="str">
        <f t="shared" si="313"/>
        <v>manual</v>
      </c>
      <c r="W1080" s="5">
        <f t="shared" si="314"/>
        <v>1029.9357</v>
      </c>
      <c r="Y1080" t="b">
        <f t="shared" si="315"/>
        <v>1</v>
      </c>
      <c r="Z1080" t="b">
        <f t="shared" si="316"/>
        <v>0</v>
      </c>
      <c r="AB1080" t="str">
        <f t="shared" si="317"/>
        <v/>
      </c>
      <c r="AE1080" t="b">
        <v>0</v>
      </c>
    </row>
    <row r="1081" spans="1:31" x14ac:dyDescent="0.2">
      <c r="A1081" t="str">
        <f t="shared" si="304"/>
        <v>https://shop.officineitalianezard.it/en/kawasaki-z900-rs-exhaust-zard/</v>
      </c>
      <c r="B1081" t="b">
        <f>COUNTIF($A$2:$A1081, A1081)&gt;1</f>
        <v>0</v>
      </c>
      <c r="C1081" t="b">
        <f t="shared" si="305"/>
        <v>0</v>
      </c>
      <c r="D1081">
        <f>VLOOKUP(A1081,variant_counts!A:B, 2, FALSE)</f>
        <v>5</v>
      </c>
      <c r="E1081" t="str">
        <f t="shared" si="318"/>
        <v>zard-exhaust-full-kit-kawasaki-z900-rs-201819-421-version-zkaw180skr</v>
      </c>
      <c r="F1081" t="str">
        <f t="shared" si="306"/>
        <v>ZARD EXHAUST FULL KIT KAWASAKI Z900 RS 2018/19 4&gt;2&gt;1 VERSION ZKAW180SKR</v>
      </c>
      <c r="G1081" t="str">
        <f t="shared" si="307"/>
        <v>&lt;p&gt;4&amp;gt;2&amp;gt;1&amp;nbsp;STEEL RACING FULL KIT WITH REMOVABLE DBKILLER&lt;/p&gt;
&lt;p&gt;ORIGINAL FULL KIT WEIGHT: 11,5 KG&lt;br&gt;ZARD TITANIUM FULL KIT WEIGHT: 3,6 KG&lt;br&gt;&lt;span&gt;ZARD&amp;nbsp;STEEL FULL KIT WEIGHT&lt;/span&gt;: 5,9 KG&lt;/p&gt;
&lt;p&gt;THE INSTALLATION OF ZARD EXHAUST DOES NOT IMPLY ANY MODIFICATION TO ECU.&lt;br&gt;THE BOX INCLUDES ALL PARTS FOR THE FITMENT OF ZARD EXHAUST.&lt;/p&gt;
&lt;p&gt;&lt;span&gt;HARD INCREASE, COMPARED TO THE ORIGINAL EXHAUST SYSTEM.&lt;/span&gt;&lt;/p&gt;
&lt;p&gt;&lt;span&gt;TOTALLY HANDMADE PRODUCT.&lt;/span&gt;&lt;/p&gt;
&lt;p&gt;&lt;span&gt;ASTONISHING SOUND.&lt;/span&gt;&lt;/p&gt;</v>
      </c>
      <c r="H1081" t="str">
        <f t="shared" si="319"/>
        <v>ZARD</v>
      </c>
      <c r="I1081" t="str">
        <f t="shared" si="320"/>
        <v>Exhaust Pipe</v>
      </c>
      <c r="J1081" t="str">
        <f t="shared" si="321"/>
        <v>Test</v>
      </c>
      <c r="K1081" t="b">
        <f t="shared" si="322"/>
        <v>0</v>
      </c>
      <c r="L1081" t="str">
        <f t="shared" si="308"/>
        <v/>
      </c>
      <c r="M1081" t="str">
        <f t="shared" si="309"/>
        <v/>
      </c>
      <c r="R1081" t="str">
        <f t="shared" si="310"/>
        <v/>
      </c>
      <c r="S1081" t="str">
        <f t="shared" si="311"/>
        <v/>
      </c>
      <c r="U1081" t="str">
        <f t="shared" si="312"/>
        <v/>
      </c>
      <c r="V1081" t="str">
        <f t="shared" si="313"/>
        <v/>
      </c>
      <c r="W1081" s="5" t="str">
        <f t="shared" si="314"/>
        <v/>
      </c>
      <c r="Y1081" t="str">
        <f t="shared" si="315"/>
        <v/>
      </c>
      <c r="Z1081" t="str">
        <f t="shared" si="316"/>
        <v/>
      </c>
      <c r="AB1081" t="str">
        <f t="shared" si="317"/>
        <v>https://shop.officineitalianezard.it/contents/imgs/products/1_2393-scarico%20kawasaki%20z900rs%20-%20zard%201.jpg</v>
      </c>
      <c r="AE1081" t="b">
        <v>0</v>
      </c>
    </row>
    <row r="1082" spans="1:31" x14ac:dyDescent="0.2">
      <c r="A1082" t="str">
        <f t="shared" si="304"/>
        <v>https://shop.officineitalianezard.it/en/kawasaki-z900-rs-exhaust-zard/</v>
      </c>
      <c r="B1082" t="b">
        <f>COUNTIF($A$2:$A1082, A1082)&gt;1</f>
        <v>1</v>
      </c>
      <c r="C1082" t="b">
        <f t="shared" si="305"/>
        <v>0</v>
      </c>
      <c r="D1082">
        <f>VLOOKUP(A1082,variant_counts!A:B, 2, FALSE)</f>
        <v>5</v>
      </c>
      <c r="E1082" t="str">
        <f t="shared" si="318"/>
        <v>zard-exhaust-full-kit-kawasaki-z900-rs-201819-421-version-zkaw180skr</v>
      </c>
      <c r="F1082" t="str">
        <f t="shared" si="306"/>
        <v>ZARD EXHAUST FULL KIT KAWASAKI Z900 RS 2018/19 4&gt;2&gt;1 VERSION ZKAW180SKR</v>
      </c>
      <c r="G1082" t="str">
        <f t="shared" si="307"/>
        <v/>
      </c>
      <c r="H1082" t="str">
        <f t="shared" si="319"/>
        <v/>
      </c>
      <c r="I1082" t="str">
        <f t="shared" si="320"/>
        <v/>
      </c>
      <c r="J1082" t="str">
        <f t="shared" si="321"/>
        <v/>
      </c>
      <c r="K1082" t="str">
        <f t="shared" si="322"/>
        <v/>
      </c>
      <c r="L1082" t="str">
        <f t="shared" si="308"/>
        <v/>
      </c>
      <c r="M1082" t="str">
        <f t="shared" si="309"/>
        <v/>
      </c>
      <c r="R1082" t="str">
        <f t="shared" si="310"/>
        <v/>
      </c>
      <c r="S1082" t="str">
        <f t="shared" si="311"/>
        <v/>
      </c>
      <c r="U1082" t="str">
        <f t="shared" si="312"/>
        <v/>
      </c>
      <c r="V1082" t="str">
        <f t="shared" si="313"/>
        <v/>
      </c>
      <c r="W1082" s="5" t="str">
        <f t="shared" si="314"/>
        <v/>
      </c>
      <c r="Y1082" t="str">
        <f t="shared" si="315"/>
        <v/>
      </c>
      <c r="Z1082" t="str">
        <f t="shared" si="316"/>
        <v/>
      </c>
      <c r="AB1082" t="str">
        <f t="shared" si="317"/>
        <v>https://shop.officineitalianezard.it/contents/imgs/products/1_2390-scarico%20kawasaki%20z900rs%20-%20zard%202.jpg</v>
      </c>
      <c r="AE1082" t="b">
        <v>0</v>
      </c>
    </row>
    <row r="1083" spans="1:31" x14ac:dyDescent="0.2">
      <c r="A1083" t="str">
        <f t="shared" si="304"/>
        <v>https://shop.officineitalianezard.it/en/kawasaki-z900-rs-exhaust-zard/</v>
      </c>
      <c r="B1083" t="b">
        <f>COUNTIF($A$2:$A1083, A1083)&gt;1</f>
        <v>1</v>
      </c>
      <c r="C1083" t="b">
        <f t="shared" si="305"/>
        <v>0</v>
      </c>
      <c r="D1083">
        <f>VLOOKUP(A1083,variant_counts!A:B, 2, FALSE)</f>
        <v>5</v>
      </c>
      <c r="E1083" t="str">
        <f t="shared" si="318"/>
        <v>zard-exhaust-full-kit-kawasaki-z900-rs-201819-421-version-zkaw180skr</v>
      </c>
      <c r="F1083" t="str">
        <f t="shared" si="306"/>
        <v>ZARD EXHAUST FULL KIT KAWASAKI Z900 RS 2018/19 4&gt;2&gt;1 VERSION ZKAW180SKR</v>
      </c>
      <c r="G1083" t="str">
        <f t="shared" si="307"/>
        <v/>
      </c>
      <c r="H1083" t="str">
        <f t="shared" si="319"/>
        <v/>
      </c>
      <c r="I1083" t="str">
        <f t="shared" si="320"/>
        <v/>
      </c>
      <c r="J1083" t="str">
        <f t="shared" si="321"/>
        <v/>
      </c>
      <c r="K1083" t="str">
        <f t="shared" si="322"/>
        <v/>
      </c>
      <c r="L1083" t="str">
        <f t="shared" si="308"/>
        <v/>
      </c>
      <c r="M1083" t="str">
        <f t="shared" si="309"/>
        <v/>
      </c>
      <c r="R1083" t="str">
        <f t="shared" si="310"/>
        <v/>
      </c>
      <c r="S1083" t="str">
        <f t="shared" si="311"/>
        <v/>
      </c>
      <c r="U1083" t="str">
        <f t="shared" si="312"/>
        <v/>
      </c>
      <c r="V1083" t="str">
        <f t="shared" si="313"/>
        <v/>
      </c>
      <c r="W1083" s="5" t="str">
        <f t="shared" si="314"/>
        <v/>
      </c>
      <c r="Y1083" t="str">
        <f t="shared" si="315"/>
        <v/>
      </c>
      <c r="Z1083" t="str">
        <f t="shared" si="316"/>
        <v/>
      </c>
      <c r="AB1083" t="str">
        <f t="shared" si="317"/>
        <v>https://shop.officineitalianezard.it/contents/imgs/products/1_2391-scarico%20kawasaki%20z900rs%20-%20zard%203.jpg</v>
      </c>
      <c r="AE1083" t="b">
        <v>0</v>
      </c>
    </row>
    <row r="1084" spans="1:31" x14ac:dyDescent="0.2">
      <c r="A1084" t="str">
        <f t="shared" si="304"/>
        <v>https://shop.officineitalianezard.it/en/kawasaki-z900-rs-exhaust-zard/</v>
      </c>
      <c r="B1084" t="b">
        <f>COUNTIF($A$2:$A1084, A1084)&gt;1</f>
        <v>1</v>
      </c>
      <c r="C1084" t="b">
        <f t="shared" si="305"/>
        <v>0</v>
      </c>
      <c r="D1084">
        <f>VLOOKUP(A1084,variant_counts!A:B, 2, FALSE)</f>
        <v>5</v>
      </c>
      <c r="E1084" t="str">
        <f t="shared" si="318"/>
        <v>zard-exhaust-full-kit-kawasaki-z900-rs-201819-421-version-zkaw180skr</v>
      </c>
      <c r="F1084" t="str">
        <f t="shared" si="306"/>
        <v>ZARD EXHAUST FULL KIT KAWASAKI Z900 RS 2018/19 4&gt;2&gt;1 VERSION ZKAW180SKR</v>
      </c>
      <c r="G1084" t="str">
        <f t="shared" si="307"/>
        <v/>
      </c>
      <c r="H1084" t="str">
        <f t="shared" si="319"/>
        <v/>
      </c>
      <c r="I1084" t="str">
        <f t="shared" si="320"/>
        <v/>
      </c>
      <c r="J1084" t="str">
        <f t="shared" si="321"/>
        <v/>
      </c>
      <c r="K1084" t="str">
        <f t="shared" si="322"/>
        <v/>
      </c>
      <c r="L1084" t="str">
        <f t="shared" si="308"/>
        <v/>
      </c>
      <c r="M1084" t="str">
        <f t="shared" si="309"/>
        <v/>
      </c>
      <c r="R1084" t="str">
        <f t="shared" si="310"/>
        <v/>
      </c>
      <c r="S1084" t="str">
        <f t="shared" si="311"/>
        <v/>
      </c>
      <c r="U1084" t="str">
        <f t="shared" si="312"/>
        <v/>
      </c>
      <c r="V1084" t="str">
        <f t="shared" si="313"/>
        <v/>
      </c>
      <c r="W1084" s="5" t="str">
        <f t="shared" si="314"/>
        <v/>
      </c>
      <c r="Y1084" t="str">
        <f t="shared" si="315"/>
        <v/>
      </c>
      <c r="Z1084" t="str">
        <f t="shared" si="316"/>
        <v/>
      </c>
      <c r="AB1084" t="str">
        <f t="shared" si="317"/>
        <v>https://shop.officineitalianezard.it/contents/imgs/products/1_2392-kawasaki%20z900rs%20exhaust%20-%20zard%20black%20version.jpg</v>
      </c>
      <c r="AE1084" t="b">
        <v>0</v>
      </c>
    </row>
    <row r="1085" spans="1:31" x14ac:dyDescent="0.2">
      <c r="A1085" t="str">
        <f t="shared" si="304"/>
        <v>https://shop.officineitalianezard.it/en/kawasaki-z900-rs-exhaust-zard/</v>
      </c>
      <c r="B1085" t="b">
        <f>COUNTIF($A$2:$A1085, A1085)&gt;1</f>
        <v>1</v>
      </c>
      <c r="C1085" t="b">
        <f t="shared" si="305"/>
        <v>0</v>
      </c>
      <c r="D1085">
        <f>VLOOKUP(A1085,variant_counts!A:B, 2, FALSE)</f>
        <v>5</v>
      </c>
      <c r="E1085" t="str">
        <f t="shared" si="318"/>
        <v>zard-exhaust-full-kit-kawasaki-z900-rs-201819-421-version-zkaw180skr</v>
      </c>
      <c r="F1085" t="str">
        <f t="shared" si="306"/>
        <v>ZARD EXHAUST FULL KIT KAWASAKI Z900 RS 2018/19 4&gt;2&gt;1 VERSION ZKAW180SKR</v>
      </c>
      <c r="G1085" t="str">
        <f t="shared" si="307"/>
        <v/>
      </c>
      <c r="H1085" t="str">
        <f t="shared" si="319"/>
        <v/>
      </c>
      <c r="I1085" t="str">
        <f t="shared" si="320"/>
        <v/>
      </c>
      <c r="J1085" t="str">
        <f t="shared" si="321"/>
        <v/>
      </c>
      <c r="K1085" t="str">
        <f t="shared" si="322"/>
        <v/>
      </c>
      <c r="L1085" t="str">
        <f t="shared" si="308"/>
        <v/>
      </c>
      <c r="M1085" t="str">
        <f t="shared" si="309"/>
        <v/>
      </c>
      <c r="R1085" t="str">
        <f t="shared" si="310"/>
        <v/>
      </c>
      <c r="S1085" t="str">
        <f t="shared" si="311"/>
        <v/>
      </c>
      <c r="U1085" t="str">
        <f t="shared" si="312"/>
        <v/>
      </c>
      <c r="V1085" t="str">
        <f t="shared" si="313"/>
        <v/>
      </c>
      <c r="W1085" s="5" t="str">
        <f t="shared" si="314"/>
        <v/>
      </c>
      <c r="Y1085" t="str">
        <f t="shared" si="315"/>
        <v/>
      </c>
      <c r="Z1085" t="str">
        <f t="shared" si="316"/>
        <v/>
      </c>
      <c r="AB1085" t="str">
        <f t="shared" si="317"/>
        <v>https://shop.officineitalianezard.it/contents/imgs/products/1_2319-kawasaki%20z900%20zard.jpg</v>
      </c>
      <c r="AE1085" t="b">
        <v>0</v>
      </c>
    </row>
    <row r="1086" spans="1:31" x14ac:dyDescent="0.2">
      <c r="A1086" t="str">
        <f t="shared" si="304"/>
        <v>https://shop.officineitalianezard.it/en/kawasaki-z900-rs-exhaust-zard/</v>
      </c>
      <c r="B1086" t="b">
        <f>COUNTIF($A$2:$A1086, A1086)&gt;1</f>
        <v>1</v>
      </c>
      <c r="C1086" t="b">
        <f t="shared" si="305"/>
        <v>0</v>
      </c>
      <c r="D1086">
        <f>VLOOKUP(A1086,variant_counts!A:B, 2, FALSE)</f>
        <v>5</v>
      </c>
      <c r="E1086" t="str">
        <f t="shared" si="318"/>
        <v>zard-exhaust-full-kit-kawasaki-z900-rs-201819-421-version-zkaw180skr</v>
      </c>
      <c r="F1086" t="str">
        <f t="shared" si="306"/>
        <v>ZARD EXHAUST FULL KIT KAWASAKI Z900 RS 2018/19 4&gt;2&gt;1 VERSION ZKAW180SKR</v>
      </c>
      <c r="G1086" t="str">
        <f t="shared" si="307"/>
        <v/>
      </c>
      <c r="H1086" t="str">
        <f t="shared" si="319"/>
        <v/>
      </c>
      <c r="I1086" t="str">
        <f t="shared" si="320"/>
        <v/>
      </c>
      <c r="J1086" t="str">
        <f t="shared" si="321"/>
        <v/>
      </c>
      <c r="K1086" t="str">
        <f t="shared" si="322"/>
        <v/>
      </c>
      <c r="L1086" t="str">
        <f t="shared" si="308"/>
        <v/>
      </c>
      <c r="M1086" t="str">
        <f t="shared" si="309"/>
        <v/>
      </c>
      <c r="R1086" t="str">
        <f t="shared" si="310"/>
        <v/>
      </c>
      <c r="S1086" t="str">
        <f t="shared" si="311"/>
        <v/>
      </c>
      <c r="U1086" t="str">
        <f t="shared" si="312"/>
        <v/>
      </c>
      <c r="V1086" t="str">
        <f t="shared" si="313"/>
        <v/>
      </c>
      <c r="W1086" s="5" t="str">
        <f t="shared" si="314"/>
        <v/>
      </c>
      <c r="Y1086" t="str">
        <f t="shared" si="315"/>
        <v/>
      </c>
      <c r="Z1086" t="str">
        <f t="shared" si="316"/>
        <v/>
      </c>
      <c r="AB1086" t="str">
        <f t="shared" si="317"/>
        <v>https://shop.officineitalianezard.it/contents/imgs/products/1_2421-scarico%20kawasaki%20z900%20rs%20zard%20exhaust%201.jpg</v>
      </c>
      <c r="AE1086" t="b">
        <v>0</v>
      </c>
    </row>
    <row r="1087" spans="1:31" x14ac:dyDescent="0.2">
      <c r="A1087" t="str">
        <f t="shared" si="304"/>
        <v>https://shop.officineitalianezard.it/en/kawasaki-z900-rs-exhaust-zard/</v>
      </c>
      <c r="B1087" t="b">
        <f>COUNTIF($A$2:$A1087, A1087)&gt;1</f>
        <v>1</v>
      </c>
      <c r="C1087" t="b">
        <f t="shared" si="305"/>
        <v>0</v>
      </c>
      <c r="D1087">
        <f>VLOOKUP(A1087,variant_counts!A:B, 2, FALSE)</f>
        <v>5</v>
      </c>
      <c r="E1087" t="str">
        <f t="shared" si="318"/>
        <v>zard-exhaust-full-kit-kawasaki-z900-rs-201819-421-version-zkaw180skr</v>
      </c>
      <c r="F1087" t="str">
        <f t="shared" si="306"/>
        <v>ZARD EXHAUST FULL KIT KAWASAKI Z900 RS 2018/19 4&gt;2&gt;1 VERSION ZKAW180SKR</v>
      </c>
      <c r="G1087" t="str">
        <f t="shared" si="307"/>
        <v/>
      </c>
      <c r="H1087" t="str">
        <f t="shared" si="319"/>
        <v/>
      </c>
      <c r="I1087" t="str">
        <f t="shared" si="320"/>
        <v/>
      </c>
      <c r="J1087" t="str">
        <f t="shared" si="321"/>
        <v/>
      </c>
      <c r="K1087" t="str">
        <f t="shared" si="322"/>
        <v/>
      </c>
      <c r="L1087" t="str">
        <f t="shared" si="308"/>
        <v/>
      </c>
      <c r="M1087" t="str">
        <f t="shared" si="309"/>
        <v/>
      </c>
      <c r="R1087" t="str">
        <f t="shared" si="310"/>
        <v/>
      </c>
      <c r="S1087" t="str">
        <f t="shared" si="311"/>
        <v/>
      </c>
      <c r="U1087" t="str">
        <f t="shared" si="312"/>
        <v/>
      </c>
      <c r="V1087" t="str">
        <f t="shared" si="313"/>
        <v/>
      </c>
      <c r="W1087" s="5" t="str">
        <f t="shared" si="314"/>
        <v/>
      </c>
      <c r="Y1087" t="str">
        <f t="shared" si="315"/>
        <v/>
      </c>
      <c r="Z1087" t="str">
        <f t="shared" si="316"/>
        <v/>
      </c>
      <c r="AB1087" t="str">
        <f t="shared" si="317"/>
        <v>https://shop.officineitalianezard.it/contents/imgs/products/1_2424-scarico%20kawasaki%20z900%20rs%20zard%20exhaust%202.jpg</v>
      </c>
      <c r="AE1087" t="b">
        <v>0</v>
      </c>
    </row>
    <row r="1088" spans="1:31" x14ac:dyDescent="0.2">
      <c r="A1088" t="str">
        <f t="shared" si="304"/>
        <v>https://shop.officineitalianezard.it/en/kawasaki-z900-rs-exhaust-zard/</v>
      </c>
      <c r="B1088" t="b">
        <f>COUNTIF($A$2:$A1088, A1088)&gt;1</f>
        <v>1</v>
      </c>
      <c r="C1088" t="b">
        <f t="shared" si="305"/>
        <v>0</v>
      </c>
      <c r="D1088">
        <f>VLOOKUP(A1088,variant_counts!A:B, 2, FALSE)</f>
        <v>5</v>
      </c>
      <c r="E1088" t="str">
        <f t="shared" si="318"/>
        <v>zard-exhaust-full-kit-kawasaki-z900-rs-201819-421-version-zkaw180skr</v>
      </c>
      <c r="F1088" t="str">
        <f t="shared" si="306"/>
        <v>ZARD EXHAUST FULL KIT KAWASAKI Z900 RS 2018/19 4&gt;2&gt;1 VERSION ZKAW180SKR</v>
      </c>
      <c r="G1088" t="str">
        <f t="shared" si="307"/>
        <v/>
      </c>
      <c r="H1088" t="str">
        <f t="shared" si="319"/>
        <v/>
      </c>
      <c r="I1088" t="str">
        <f t="shared" si="320"/>
        <v/>
      </c>
      <c r="J1088" t="str">
        <f t="shared" si="321"/>
        <v/>
      </c>
      <c r="K1088" t="str">
        <f t="shared" si="322"/>
        <v/>
      </c>
      <c r="L1088" t="str">
        <f t="shared" si="308"/>
        <v/>
      </c>
      <c r="M1088" t="str">
        <f t="shared" si="309"/>
        <v/>
      </c>
      <c r="R1088" t="str">
        <f t="shared" si="310"/>
        <v/>
      </c>
      <c r="S1088" t="str">
        <f t="shared" si="311"/>
        <v/>
      </c>
      <c r="U1088" t="str">
        <f t="shared" si="312"/>
        <v/>
      </c>
      <c r="V1088" t="str">
        <f t="shared" si="313"/>
        <v/>
      </c>
      <c r="W1088" s="5" t="str">
        <f t="shared" si="314"/>
        <v/>
      </c>
      <c r="Y1088" t="str">
        <f t="shared" si="315"/>
        <v/>
      </c>
      <c r="Z1088" t="str">
        <f t="shared" si="316"/>
        <v/>
      </c>
      <c r="AB1088" t="str">
        <f t="shared" si="317"/>
        <v>https://shop.officineitalianezard.it/contents/imgs/products/1_2423-scarico%20kawasaki%20z900%20rs%20zard%20exhaust%203.jpg</v>
      </c>
      <c r="AE1088" t="b">
        <v>0</v>
      </c>
    </row>
    <row r="1089" spans="1:31" x14ac:dyDescent="0.2">
      <c r="A1089" t="str">
        <f t="shared" si="304"/>
        <v>https://shop.officineitalianezard.it/en/kawasaki-z900-rs-exhaust-zard/</v>
      </c>
      <c r="B1089" t="b">
        <f>COUNTIF($A$2:$A1089, A1089)&gt;1</f>
        <v>1</v>
      </c>
      <c r="C1089" t="b">
        <f t="shared" si="305"/>
        <v>0</v>
      </c>
      <c r="D1089">
        <f>VLOOKUP(A1089,variant_counts!A:B, 2, FALSE)</f>
        <v>5</v>
      </c>
      <c r="E1089" t="str">
        <f t="shared" si="318"/>
        <v>zard-exhaust-full-kit-kawasaki-z900-rs-201819-421-version-zkaw180skr</v>
      </c>
      <c r="F1089" t="str">
        <f t="shared" si="306"/>
        <v>ZARD EXHAUST FULL KIT KAWASAKI Z900 RS 2018/19 4&gt;2&gt;1 VERSION ZKAW180SKR</v>
      </c>
      <c r="G1089" t="str">
        <f t="shared" si="307"/>
        <v/>
      </c>
      <c r="H1089" t="str">
        <f t="shared" si="319"/>
        <v/>
      </c>
      <c r="I1089" t="str">
        <f t="shared" si="320"/>
        <v/>
      </c>
      <c r="J1089" t="str">
        <f t="shared" si="321"/>
        <v/>
      </c>
      <c r="K1089" t="str">
        <f t="shared" si="322"/>
        <v/>
      </c>
      <c r="L1089" t="str">
        <f t="shared" si="308"/>
        <v/>
      </c>
      <c r="M1089" t="str">
        <f t="shared" si="309"/>
        <v/>
      </c>
      <c r="R1089" t="str">
        <f t="shared" si="310"/>
        <v/>
      </c>
      <c r="S1089" t="str">
        <f t="shared" si="311"/>
        <v/>
      </c>
      <c r="U1089" t="str">
        <f t="shared" si="312"/>
        <v/>
      </c>
      <c r="V1089" t="str">
        <f t="shared" si="313"/>
        <v/>
      </c>
      <c r="W1089" s="5" t="str">
        <f t="shared" si="314"/>
        <v/>
      </c>
      <c r="Y1089" t="str">
        <f t="shared" si="315"/>
        <v/>
      </c>
      <c r="Z1089" t="str">
        <f t="shared" si="316"/>
        <v/>
      </c>
      <c r="AB1089" t="str">
        <f t="shared" si="317"/>
        <v>https://shop.officineitalianezard.it/contents/imgs/products/1_2422-scarico%20kawasaki%20z900%20rs%20zard%20exhaust%204.jpg</v>
      </c>
      <c r="AE1089" t="b">
        <v>0</v>
      </c>
    </row>
    <row r="1090" spans="1:31" x14ac:dyDescent="0.2">
      <c r="A1090" t="str">
        <f t="shared" ref="A1090:A1153" si="323">source_product_link_href</f>
        <v>https://shop.officineitalianezard.it/en/kawasaki-z900-rs-exhaust-zard/</v>
      </c>
      <c r="B1090" t="b">
        <f>COUNTIF($A$2:$A1090, A1090)&gt;1</f>
        <v>1</v>
      </c>
      <c r="C1090" t="b">
        <f t="shared" ref="C1090:C1153" si="324">NOT(ISBLANK(source_option_name))</f>
        <v>1</v>
      </c>
      <c r="D1090">
        <f>VLOOKUP(A1090,variant_counts!A:B, 2, FALSE)</f>
        <v>5</v>
      </c>
      <c r="E1090" t="str">
        <f t="shared" si="318"/>
        <v>zard-exhaust-full-kit-kawasaki-z900-rs-201819-421-version-zkaw180skr</v>
      </c>
      <c r="F1090" t="str">
        <f t="shared" ref="F1090:F1153" si="325">UPPER("ZARD EXHAUST " &amp; source_title &amp; " " &amp; source_brand &amp; " " &amp; source_bike &amp; " " &amp; source_product_link &amp; " " &amp; source_sku)</f>
        <v>ZARD EXHAUST FULL KIT KAWASAKI Z900 RS 2018/19 4&gt;2&gt;1 VERSION ZKAW180SKR</v>
      </c>
      <c r="G1090" t="str">
        <f t="shared" ref="G1090:G1153" si="326">IF($B1090=FALSE, source_description, "")</f>
        <v/>
      </c>
      <c r="H1090" t="str">
        <f t="shared" si="319"/>
        <v/>
      </c>
      <c r="I1090" t="str">
        <f t="shared" si="320"/>
        <v/>
      </c>
      <c r="J1090" t="str">
        <f t="shared" si="321"/>
        <v/>
      </c>
      <c r="K1090" t="str">
        <f t="shared" si="322"/>
        <v/>
      </c>
      <c r="L1090" t="str">
        <f t="shared" ref="L1090:L1153" si="327">IF(AND(variant_count=0,duplicated=FALSE),"Title",IF(OR(AND(variant_count=1,duplicated=FALSE), source_option_name&lt;&gt;""), "Option", ""))</f>
        <v>Option</v>
      </c>
      <c r="M1090" t="str">
        <f t="shared" ref="M1090:M1153" si="328">IF(option1_name="Title", "Default Title", IF(AND(option1_name="Option",ISBLANK(source_option_name)),"DEFAULT",IF(ISBLANK(source_option_name), "", source_option_name)))</f>
        <v>STEEL VERSION EURO 4 HOMOLOGATED</v>
      </c>
      <c r="R1090" t="str">
        <f t="shared" ref="R1090:R1153" si="329">IF(option1_name &lt;&gt; "", source_sku, "")</f>
        <v>ZKAW180SKR</v>
      </c>
      <c r="S1090">
        <f t="shared" ref="S1090:S1153" si="330">IF(option1_name &lt;&gt; "", 0, "")</f>
        <v>0</v>
      </c>
      <c r="U1090" t="str">
        <f t="shared" ref="U1090:U1153" si="331">IF(option1_name &lt;&gt; "", "continue", "")</f>
        <v>continue</v>
      </c>
      <c r="V1090" t="str">
        <f t="shared" ref="V1090:V1153" si="332">IF(option1_name &lt;&gt; "", "manual", "")</f>
        <v>manual</v>
      </c>
      <c r="W1090" s="5">
        <f t="shared" ref="W1090:W1153" si="333">IF(option1_name&lt;&gt;"",(source_price_original+source_option_price)*eur_usd,"")</f>
        <v>1384.6806000000001</v>
      </c>
      <c r="Y1090" t="b">
        <f t="shared" ref="Y1090:Y1153" si="334">IF(option1_name&lt;&gt;"",TRUE,"")</f>
        <v>1</v>
      </c>
      <c r="Z1090" t="b">
        <f t="shared" ref="Z1090:Z1153" si="335">IF(option1_name&lt;&gt;"",FALSE,"")</f>
        <v>0</v>
      </c>
      <c r="AB1090" t="str">
        <f t="shared" ref="AB1090:AB1153" si="336">IF(ISBLANK(source_image), "", source_image)</f>
        <v/>
      </c>
      <c r="AE1090" t="b">
        <v>0</v>
      </c>
    </row>
    <row r="1091" spans="1:31" x14ac:dyDescent="0.2">
      <c r="A1091" t="str">
        <f t="shared" si="323"/>
        <v>https://shop.officineitalianezard.it/en/kawasaki-z900-rs-exhaust-zard/</v>
      </c>
      <c r="B1091" t="b">
        <f>COUNTIF($A$2:$A1091, A1091)&gt;1</f>
        <v>1</v>
      </c>
      <c r="C1091" t="b">
        <f t="shared" si="324"/>
        <v>1</v>
      </c>
      <c r="D1091">
        <f>VLOOKUP(A1091,variant_counts!A:B, 2, FALSE)</f>
        <v>5</v>
      </c>
      <c r="E1091" t="str">
        <f t="shared" ref="E1091:E1154" si="337">FormatShopifyHandle(F1091)</f>
        <v>zard-exhaust-full-kit-kawasaki-z900-rs-201819-421-version-zkaw180skr</v>
      </c>
      <c r="F1091" t="str">
        <f t="shared" si="325"/>
        <v>ZARD EXHAUST FULL KIT KAWASAKI Z900 RS 2018/19 4&gt;2&gt;1 VERSION ZKAW180SKR</v>
      </c>
      <c r="G1091" t="str">
        <f t="shared" si="326"/>
        <v/>
      </c>
      <c r="H1091" t="str">
        <f t="shared" ref="H1091:H1154" si="338">IF($B1091=FALSE, "ZARD", "")</f>
        <v/>
      </c>
      <c r="I1091" t="str">
        <f t="shared" ref="I1091:I1154" si="339">IF($B1091=FALSE, "Exhaust Pipe", "")</f>
        <v/>
      </c>
      <c r="J1091" t="str">
        <f t="shared" ref="J1091:J1154" si="340">IF($B1091=FALSE, "Test", "")</f>
        <v/>
      </c>
      <c r="K1091" t="str">
        <f t="shared" ref="K1091:K1154" si="341">IF($B1091=FALSE, FALSE, "")</f>
        <v/>
      </c>
      <c r="L1091" t="str">
        <f t="shared" si="327"/>
        <v>Option</v>
      </c>
      <c r="M1091" t="str">
        <f t="shared" si="328"/>
        <v>TITANIUM RACING</v>
      </c>
      <c r="R1091" t="str">
        <f t="shared" si="329"/>
        <v>ZKAW180SKR</v>
      </c>
      <c r="S1091">
        <f t="shared" si="330"/>
        <v>0</v>
      </c>
      <c r="U1091" t="str">
        <f t="shared" si="331"/>
        <v>continue</v>
      </c>
      <c r="V1091" t="str">
        <f t="shared" si="332"/>
        <v>manual</v>
      </c>
      <c r="W1091" s="5">
        <f t="shared" si="333"/>
        <v>1798.2</v>
      </c>
      <c r="Y1091" t="b">
        <f t="shared" si="334"/>
        <v>1</v>
      </c>
      <c r="Z1091" t="b">
        <f t="shared" si="335"/>
        <v>0</v>
      </c>
      <c r="AB1091" t="str">
        <f t="shared" si="336"/>
        <v/>
      </c>
      <c r="AE1091" t="b">
        <v>0</v>
      </c>
    </row>
    <row r="1092" spans="1:31" x14ac:dyDescent="0.2">
      <c r="A1092" t="str">
        <f t="shared" si="323"/>
        <v>https://shop.officineitalianezard.it/en/kawasaki-z900-rs-exhaust-zard/</v>
      </c>
      <c r="B1092" t="b">
        <f>COUNTIF($A$2:$A1092, A1092)&gt;1</f>
        <v>1</v>
      </c>
      <c r="C1092" t="b">
        <f t="shared" si="324"/>
        <v>1</v>
      </c>
      <c r="D1092">
        <f>VLOOKUP(A1092,variant_counts!A:B, 2, FALSE)</f>
        <v>5</v>
      </c>
      <c r="E1092" t="str">
        <f t="shared" si="337"/>
        <v>zard-exhaust-full-kit-kawasaki-z900-rs-201819-421-version-zkaw180skr</v>
      </c>
      <c r="F1092" t="str">
        <f t="shared" si="325"/>
        <v>ZARD EXHAUST FULL KIT KAWASAKI Z900 RS 2018/19 4&gt;2&gt;1 VERSION ZKAW180SKR</v>
      </c>
      <c r="G1092" t="str">
        <f t="shared" si="326"/>
        <v/>
      </c>
      <c r="H1092" t="str">
        <f t="shared" si="338"/>
        <v/>
      </c>
      <c r="I1092" t="str">
        <f t="shared" si="339"/>
        <v/>
      </c>
      <c r="J1092" t="str">
        <f t="shared" si="340"/>
        <v/>
      </c>
      <c r="K1092" t="str">
        <f t="shared" si="341"/>
        <v/>
      </c>
      <c r="L1092" t="str">
        <f t="shared" si="327"/>
        <v>Option</v>
      </c>
      <c r="M1092" t="str">
        <f t="shared" si="328"/>
        <v>TITANIUM EURO 4 HOMOLOGATED</v>
      </c>
      <c r="R1092" t="str">
        <f t="shared" si="329"/>
        <v>ZKAW180SKR</v>
      </c>
      <c r="S1092">
        <f t="shared" si="330"/>
        <v>0</v>
      </c>
      <c r="U1092" t="str">
        <f t="shared" si="331"/>
        <v>continue</v>
      </c>
      <c r="V1092" t="str">
        <f t="shared" si="332"/>
        <v>manual</v>
      </c>
      <c r="W1092" s="5">
        <f t="shared" si="333"/>
        <v>2017.6581000000003</v>
      </c>
      <c r="Y1092" t="b">
        <f t="shared" si="334"/>
        <v>1</v>
      </c>
      <c r="Z1092" t="b">
        <f t="shared" si="335"/>
        <v>0</v>
      </c>
      <c r="AB1092" t="str">
        <f t="shared" si="336"/>
        <v/>
      </c>
      <c r="AE1092" t="b">
        <v>0</v>
      </c>
    </row>
    <row r="1093" spans="1:31" x14ac:dyDescent="0.2">
      <c r="A1093" t="str">
        <f t="shared" si="323"/>
        <v>https://shop.officineitalianezard.it/en/kawasaki-z900-rs-exhaust-zard/</v>
      </c>
      <c r="B1093" t="b">
        <f>COUNTIF($A$2:$A1093, A1093)&gt;1</f>
        <v>1</v>
      </c>
      <c r="C1093" t="b">
        <f t="shared" si="324"/>
        <v>1</v>
      </c>
      <c r="D1093">
        <f>VLOOKUP(A1093,variant_counts!A:B, 2, FALSE)</f>
        <v>5</v>
      </c>
      <c r="E1093" t="str">
        <f t="shared" si="337"/>
        <v>zard-exhaust-full-kit-kawasaki-z900-rs-201819-421-version-zkaw180skr</v>
      </c>
      <c r="F1093" t="str">
        <f t="shared" si="325"/>
        <v>ZARD EXHAUST FULL KIT KAWASAKI Z900 RS 2018/19 4&gt;2&gt;1 VERSION ZKAW180SKR</v>
      </c>
      <c r="G1093" t="str">
        <f t="shared" si="326"/>
        <v/>
      </c>
      <c r="H1093" t="str">
        <f t="shared" si="338"/>
        <v/>
      </c>
      <c r="I1093" t="str">
        <f t="shared" si="339"/>
        <v/>
      </c>
      <c r="J1093" t="str">
        <f t="shared" si="340"/>
        <v/>
      </c>
      <c r="K1093" t="str">
        <f t="shared" si="341"/>
        <v/>
      </c>
      <c r="L1093" t="str">
        <f t="shared" si="327"/>
        <v>Option</v>
      </c>
      <c r="M1093" t="str">
        <f t="shared" si="328"/>
        <v>SNAKE WELDING</v>
      </c>
      <c r="R1093" t="str">
        <f t="shared" si="329"/>
        <v>ZKAW180SKR</v>
      </c>
      <c r="S1093">
        <f t="shared" si="330"/>
        <v>0</v>
      </c>
      <c r="U1093" t="str">
        <f t="shared" si="331"/>
        <v>continue</v>
      </c>
      <c r="V1093" t="str">
        <f t="shared" si="332"/>
        <v>manual</v>
      </c>
      <c r="W1093" s="5">
        <f t="shared" si="333"/>
        <v>1333.0989000000002</v>
      </c>
      <c r="Y1093" t="b">
        <f t="shared" si="334"/>
        <v>1</v>
      </c>
      <c r="Z1093" t="b">
        <f t="shared" si="335"/>
        <v>0</v>
      </c>
      <c r="AB1093" t="str">
        <f t="shared" si="336"/>
        <v/>
      </c>
      <c r="AE1093" t="b">
        <v>0</v>
      </c>
    </row>
    <row r="1094" spans="1:31" x14ac:dyDescent="0.2">
      <c r="A1094" t="str">
        <f t="shared" si="323"/>
        <v>https://shop.officineitalianezard.it/en/kawasaki-z900-rs-exhaust-zard/</v>
      </c>
      <c r="B1094" t="b">
        <f>COUNTIF($A$2:$A1094, A1094)&gt;1</f>
        <v>1</v>
      </c>
      <c r="C1094" t="b">
        <f t="shared" si="324"/>
        <v>1</v>
      </c>
      <c r="D1094">
        <f>VLOOKUP(A1094,variant_counts!A:B, 2, FALSE)</f>
        <v>5</v>
      </c>
      <c r="E1094" t="str">
        <f t="shared" si="337"/>
        <v>zard-exhaust-full-kit-kawasaki-z900-rs-201819-421-version-zkaw180skr</v>
      </c>
      <c r="F1094" t="str">
        <f t="shared" si="325"/>
        <v>ZARD EXHAUST FULL KIT KAWASAKI Z900 RS 2018/19 4&gt;2&gt;1 VERSION ZKAW180SKR</v>
      </c>
      <c r="G1094" t="str">
        <f t="shared" si="326"/>
        <v/>
      </c>
      <c r="H1094" t="str">
        <f t="shared" si="338"/>
        <v/>
      </c>
      <c r="I1094" t="str">
        <f t="shared" si="339"/>
        <v/>
      </c>
      <c r="J1094" t="str">
        <f t="shared" si="340"/>
        <v/>
      </c>
      <c r="K1094" t="str">
        <f t="shared" si="341"/>
        <v/>
      </c>
      <c r="L1094" t="str">
        <f t="shared" si="327"/>
        <v>Option</v>
      </c>
      <c r="M1094" t="str">
        <f t="shared" si="328"/>
        <v>BLACK COATING</v>
      </c>
      <c r="R1094" t="str">
        <f t="shared" si="329"/>
        <v>ZKAW180SKR</v>
      </c>
      <c r="S1094">
        <f t="shared" si="330"/>
        <v>0</v>
      </c>
      <c r="U1094" t="str">
        <f t="shared" si="331"/>
        <v>continue</v>
      </c>
      <c r="V1094" t="str">
        <f t="shared" si="332"/>
        <v>manual</v>
      </c>
      <c r="W1094" s="5">
        <f t="shared" si="333"/>
        <v>1367.4867000000002</v>
      </c>
      <c r="Y1094" t="b">
        <f t="shared" si="334"/>
        <v>1</v>
      </c>
      <c r="Z1094" t="b">
        <f t="shared" si="335"/>
        <v>0</v>
      </c>
      <c r="AB1094" t="str">
        <f t="shared" si="336"/>
        <v/>
      </c>
      <c r="AE1094" t="b">
        <v>0</v>
      </c>
    </row>
    <row r="1095" spans="1:31" x14ac:dyDescent="0.2">
      <c r="A1095" t="str">
        <f t="shared" si="323"/>
        <v>https://shop.officineitalianezard.it/en/kawasaki-z900-rs-exhaust-zard-2/</v>
      </c>
      <c r="B1095" t="b">
        <f>COUNTIF($A$2:$A1095, A1095)&gt;1</f>
        <v>0</v>
      </c>
      <c r="C1095" t="b">
        <f t="shared" si="324"/>
        <v>0</v>
      </c>
      <c r="D1095">
        <f>VLOOKUP(A1095,variant_counts!A:B, 2, FALSE)</f>
        <v>2</v>
      </c>
      <c r="E1095" t="str">
        <f t="shared" si="337"/>
        <v>zard-exhaust-silencer-kawasaki-z900-rs-201819-slip-on-version-zkaw181ssr</v>
      </c>
      <c r="F1095" t="str">
        <f t="shared" si="325"/>
        <v>ZARD EXHAUST SILENCER KAWASAKI Z900 RS 2018/19 SLIP-ON VERSION ZKAW181SSR</v>
      </c>
      <c r="G1095" t="str">
        <f t="shared" si="326"/>
        <v>&lt;p&gt;STEEL RACING&amp;nbsp;SILENCER WITH REMOVABLE DBKILLER&lt;/p&gt;
&lt;p&gt;ORIGINAL&amp;nbsp;SILENCER WEIGHT: 2 KG&lt;br&gt;ZARD&amp;nbsp;SILENCER WEIGHT: 1,6 KG&lt;/p&gt;
&lt;p&gt;THE INSTALLATION OF ZARD EXHAUST DOES NOT IMPLY ANY MODIFICATION TO ECU.&lt;/p&gt;
&lt;p&gt;THE BOX INCLUDES ALL PARTS FOR THE FITMENT OF ZARD EXHAUST.&lt;/p&gt;
&lt;p&gt;&lt;span&gt;HARD INCREASE, COMPARED TO THE ORIGINAL EXHAUST SYSTEM.&lt;/span&gt;&lt;/p&gt;
&lt;p&gt;&lt;span&gt;TOTALLY HANDMADE PRODUCT.&lt;/span&gt;&lt;/p&gt;
&lt;p&gt;&lt;span&gt;ASTONISHING SOUND.&lt;/span&gt;&lt;/p&gt;</v>
      </c>
      <c r="H1095" t="str">
        <f t="shared" si="338"/>
        <v>ZARD</v>
      </c>
      <c r="I1095" t="str">
        <f t="shared" si="339"/>
        <v>Exhaust Pipe</v>
      </c>
      <c r="J1095" t="str">
        <f t="shared" si="340"/>
        <v>Test</v>
      </c>
      <c r="K1095" t="b">
        <f t="shared" si="341"/>
        <v>0</v>
      </c>
      <c r="L1095" t="str">
        <f t="shared" si="327"/>
        <v/>
      </c>
      <c r="M1095" t="str">
        <f t="shared" si="328"/>
        <v/>
      </c>
      <c r="R1095" t="str">
        <f t="shared" si="329"/>
        <v/>
      </c>
      <c r="S1095" t="str">
        <f t="shared" si="330"/>
        <v/>
      </c>
      <c r="U1095" t="str">
        <f t="shared" si="331"/>
        <v/>
      </c>
      <c r="V1095" t="str">
        <f t="shared" si="332"/>
        <v/>
      </c>
      <c r="W1095" s="5" t="str">
        <f t="shared" si="333"/>
        <v/>
      </c>
      <c r="Y1095" t="str">
        <f t="shared" si="334"/>
        <v/>
      </c>
      <c r="Z1095" t="str">
        <f t="shared" si="335"/>
        <v/>
      </c>
      <c r="AB1095" t="str">
        <f t="shared" si="336"/>
        <v>https://shop.officineitalianezard.it/contents/imgs/products/1_2442-scarico%20kawasaki%20z900rs%20-%20zard%20exhaust%201.jpg</v>
      </c>
      <c r="AE1095" t="b">
        <v>0</v>
      </c>
    </row>
    <row r="1096" spans="1:31" x14ac:dyDescent="0.2">
      <c r="A1096" t="str">
        <f t="shared" si="323"/>
        <v>https://shop.officineitalianezard.it/en/kawasaki-z900-rs-exhaust-zard-2/</v>
      </c>
      <c r="B1096" t="b">
        <f>COUNTIF($A$2:$A1096, A1096)&gt;1</f>
        <v>1</v>
      </c>
      <c r="C1096" t="b">
        <f t="shared" si="324"/>
        <v>0</v>
      </c>
      <c r="D1096">
        <f>VLOOKUP(A1096,variant_counts!A:B, 2, FALSE)</f>
        <v>2</v>
      </c>
      <c r="E1096" t="str">
        <f t="shared" si="337"/>
        <v>zard-exhaust-silencer-kawasaki-z900-rs-201819-slip-on-version-zkaw181ssr</v>
      </c>
      <c r="F1096" t="str">
        <f t="shared" si="325"/>
        <v>ZARD EXHAUST SILENCER KAWASAKI Z900 RS 2018/19 SLIP-ON VERSION ZKAW181SSR</v>
      </c>
      <c r="G1096" t="str">
        <f t="shared" si="326"/>
        <v/>
      </c>
      <c r="H1096" t="str">
        <f t="shared" si="338"/>
        <v/>
      </c>
      <c r="I1096" t="str">
        <f t="shared" si="339"/>
        <v/>
      </c>
      <c r="J1096" t="str">
        <f t="shared" si="340"/>
        <v/>
      </c>
      <c r="K1096" t="str">
        <f t="shared" si="341"/>
        <v/>
      </c>
      <c r="L1096" t="str">
        <f t="shared" si="327"/>
        <v/>
      </c>
      <c r="M1096" t="str">
        <f t="shared" si="328"/>
        <v/>
      </c>
      <c r="R1096" t="str">
        <f t="shared" si="329"/>
        <v/>
      </c>
      <c r="S1096" t="str">
        <f t="shared" si="330"/>
        <v/>
      </c>
      <c r="U1096" t="str">
        <f t="shared" si="331"/>
        <v/>
      </c>
      <c r="V1096" t="str">
        <f t="shared" si="332"/>
        <v/>
      </c>
      <c r="W1096" s="5" t="str">
        <f t="shared" si="333"/>
        <v/>
      </c>
      <c r="Y1096" t="str">
        <f t="shared" si="334"/>
        <v/>
      </c>
      <c r="Z1096" t="str">
        <f t="shared" si="335"/>
        <v/>
      </c>
      <c r="AB1096" t="str">
        <f t="shared" si="336"/>
        <v>https://shop.officineitalianezard.it/contents/imgs/products/1_2441-scarico%20kawasaki%20z900rs%20-%20zard%20exhaust%202.jpg</v>
      </c>
      <c r="AE1096" t="b">
        <v>0</v>
      </c>
    </row>
    <row r="1097" spans="1:31" x14ac:dyDescent="0.2">
      <c r="A1097" t="str">
        <f t="shared" si="323"/>
        <v>https://shop.officineitalianezard.it/en/kawasaki-z900-rs-exhaust-zard-2/</v>
      </c>
      <c r="B1097" t="b">
        <f>COUNTIF($A$2:$A1097, A1097)&gt;1</f>
        <v>1</v>
      </c>
      <c r="C1097" t="b">
        <f t="shared" si="324"/>
        <v>0</v>
      </c>
      <c r="D1097">
        <f>VLOOKUP(A1097,variant_counts!A:B, 2, FALSE)</f>
        <v>2</v>
      </c>
      <c r="E1097" t="str">
        <f t="shared" si="337"/>
        <v>zard-exhaust-silencer-kawasaki-z900-rs-201819-slip-on-version-zkaw181ssr</v>
      </c>
      <c r="F1097" t="str">
        <f t="shared" si="325"/>
        <v>ZARD EXHAUST SILENCER KAWASAKI Z900 RS 2018/19 SLIP-ON VERSION ZKAW181SSR</v>
      </c>
      <c r="G1097" t="str">
        <f t="shared" si="326"/>
        <v/>
      </c>
      <c r="H1097" t="str">
        <f t="shared" si="338"/>
        <v/>
      </c>
      <c r="I1097" t="str">
        <f t="shared" si="339"/>
        <v/>
      </c>
      <c r="J1097" t="str">
        <f t="shared" si="340"/>
        <v/>
      </c>
      <c r="K1097" t="str">
        <f t="shared" si="341"/>
        <v/>
      </c>
      <c r="L1097" t="str">
        <f t="shared" si="327"/>
        <v/>
      </c>
      <c r="M1097" t="str">
        <f t="shared" si="328"/>
        <v/>
      </c>
      <c r="R1097" t="str">
        <f t="shared" si="329"/>
        <v/>
      </c>
      <c r="S1097" t="str">
        <f t="shared" si="330"/>
        <v/>
      </c>
      <c r="U1097" t="str">
        <f t="shared" si="331"/>
        <v/>
      </c>
      <c r="V1097" t="str">
        <f t="shared" si="332"/>
        <v/>
      </c>
      <c r="W1097" s="5" t="str">
        <f t="shared" si="333"/>
        <v/>
      </c>
      <c r="Y1097" t="str">
        <f t="shared" si="334"/>
        <v/>
      </c>
      <c r="Z1097" t="str">
        <f t="shared" si="335"/>
        <v/>
      </c>
      <c r="AB1097" t="str">
        <f t="shared" si="336"/>
        <v>https://shop.officineitalianezard.it/contents/imgs/products/1_2440-scarico%20kawasaki%20z900rs%20-%20zard%20exhaust%203.jpg</v>
      </c>
      <c r="AE1097" t="b">
        <v>0</v>
      </c>
    </row>
    <row r="1098" spans="1:31" x14ac:dyDescent="0.2">
      <c r="A1098" t="str">
        <f t="shared" si="323"/>
        <v>https://shop.officineitalianezard.it/en/kawasaki-z900-rs-exhaust-zard-2/</v>
      </c>
      <c r="B1098" t="b">
        <f>COUNTIF($A$2:$A1098, A1098)&gt;1</f>
        <v>1</v>
      </c>
      <c r="C1098" t="b">
        <f t="shared" si="324"/>
        <v>0</v>
      </c>
      <c r="D1098">
        <f>VLOOKUP(A1098,variant_counts!A:B, 2, FALSE)</f>
        <v>2</v>
      </c>
      <c r="E1098" t="str">
        <f t="shared" si="337"/>
        <v>zard-exhaust-silencer-kawasaki-z900-rs-201819-slip-on-version-zkaw181ssr</v>
      </c>
      <c r="F1098" t="str">
        <f t="shared" si="325"/>
        <v>ZARD EXHAUST SILENCER KAWASAKI Z900 RS 2018/19 SLIP-ON VERSION ZKAW181SSR</v>
      </c>
      <c r="G1098" t="str">
        <f t="shared" si="326"/>
        <v/>
      </c>
      <c r="H1098" t="str">
        <f t="shared" si="338"/>
        <v/>
      </c>
      <c r="I1098" t="str">
        <f t="shared" si="339"/>
        <v/>
      </c>
      <c r="J1098" t="str">
        <f t="shared" si="340"/>
        <v/>
      </c>
      <c r="K1098" t="str">
        <f t="shared" si="341"/>
        <v/>
      </c>
      <c r="L1098" t="str">
        <f t="shared" si="327"/>
        <v/>
      </c>
      <c r="M1098" t="str">
        <f t="shared" si="328"/>
        <v/>
      </c>
      <c r="R1098" t="str">
        <f t="shared" si="329"/>
        <v/>
      </c>
      <c r="S1098" t="str">
        <f t="shared" si="330"/>
        <v/>
      </c>
      <c r="U1098" t="str">
        <f t="shared" si="331"/>
        <v/>
      </c>
      <c r="V1098" t="str">
        <f t="shared" si="332"/>
        <v/>
      </c>
      <c r="W1098" s="5" t="str">
        <f t="shared" si="333"/>
        <v/>
      </c>
      <c r="Y1098" t="str">
        <f t="shared" si="334"/>
        <v/>
      </c>
      <c r="Z1098" t="str">
        <f t="shared" si="335"/>
        <v/>
      </c>
      <c r="AB1098" t="str">
        <f t="shared" si="336"/>
        <v>https://shop.officineitalianezard.it/contents/imgs/products/1_2418-scarico%20kawasaki%20z900%20rs%20zard%204.jpg</v>
      </c>
      <c r="AE1098" t="b">
        <v>0</v>
      </c>
    </row>
    <row r="1099" spans="1:31" x14ac:dyDescent="0.2">
      <c r="A1099" t="str">
        <f t="shared" si="323"/>
        <v>https://shop.officineitalianezard.it/en/kawasaki-z900-rs-exhaust-zard-2/</v>
      </c>
      <c r="B1099" t="b">
        <f>COUNTIF($A$2:$A1099, A1099)&gt;1</f>
        <v>1</v>
      </c>
      <c r="C1099" t="b">
        <f t="shared" si="324"/>
        <v>0</v>
      </c>
      <c r="D1099">
        <f>VLOOKUP(A1099,variant_counts!A:B, 2, FALSE)</f>
        <v>2</v>
      </c>
      <c r="E1099" t="str">
        <f t="shared" si="337"/>
        <v>zard-exhaust-silencer-kawasaki-z900-rs-201819-slip-on-version-zkaw181ssr</v>
      </c>
      <c r="F1099" t="str">
        <f t="shared" si="325"/>
        <v>ZARD EXHAUST SILENCER KAWASAKI Z900 RS 2018/19 SLIP-ON VERSION ZKAW181SSR</v>
      </c>
      <c r="G1099" t="str">
        <f t="shared" si="326"/>
        <v/>
      </c>
      <c r="H1099" t="str">
        <f t="shared" si="338"/>
        <v/>
      </c>
      <c r="I1099" t="str">
        <f t="shared" si="339"/>
        <v/>
      </c>
      <c r="J1099" t="str">
        <f t="shared" si="340"/>
        <v/>
      </c>
      <c r="K1099" t="str">
        <f t="shared" si="341"/>
        <v/>
      </c>
      <c r="L1099" t="str">
        <f t="shared" si="327"/>
        <v/>
      </c>
      <c r="M1099" t="str">
        <f t="shared" si="328"/>
        <v/>
      </c>
      <c r="R1099" t="str">
        <f t="shared" si="329"/>
        <v/>
      </c>
      <c r="S1099" t="str">
        <f t="shared" si="330"/>
        <v/>
      </c>
      <c r="U1099" t="str">
        <f t="shared" si="331"/>
        <v/>
      </c>
      <c r="V1099" t="str">
        <f t="shared" si="332"/>
        <v/>
      </c>
      <c r="W1099" s="5" t="str">
        <f t="shared" si="333"/>
        <v/>
      </c>
      <c r="Y1099" t="str">
        <f t="shared" si="334"/>
        <v/>
      </c>
      <c r="Z1099" t="str">
        <f t="shared" si="335"/>
        <v/>
      </c>
      <c r="AB1099" t="str">
        <f t="shared" si="336"/>
        <v>https://shop.officineitalianezard.it/contents/imgs/products/1_2439-scarico%20kawasaki%20z900rs%20nero%20-%20zard%20exhaust.jpg</v>
      </c>
      <c r="AE1099" t="b">
        <v>0</v>
      </c>
    </row>
    <row r="1100" spans="1:31" x14ac:dyDescent="0.2">
      <c r="A1100" t="str">
        <f t="shared" si="323"/>
        <v>https://shop.officineitalianezard.it/en/kawasaki-z900-rs-exhaust-zard-2/</v>
      </c>
      <c r="B1100" t="b">
        <f>COUNTIF($A$2:$A1100, A1100)&gt;1</f>
        <v>1</v>
      </c>
      <c r="C1100" t="b">
        <f t="shared" si="324"/>
        <v>1</v>
      </c>
      <c r="D1100">
        <f>VLOOKUP(A1100,variant_counts!A:B, 2, FALSE)</f>
        <v>2</v>
      </c>
      <c r="E1100" t="str">
        <f t="shared" si="337"/>
        <v>zard-exhaust-silencer-kawasaki-z900-rs-201819-slip-on-version-zkaw181ssr</v>
      </c>
      <c r="F1100" t="str">
        <f t="shared" si="325"/>
        <v>ZARD EXHAUST SILENCER KAWASAKI Z900 RS 2018/19 SLIP-ON VERSION ZKAW181SSR</v>
      </c>
      <c r="G1100" t="str">
        <f t="shared" si="326"/>
        <v/>
      </c>
      <c r="H1100" t="str">
        <f t="shared" si="338"/>
        <v/>
      </c>
      <c r="I1100" t="str">
        <f t="shared" si="339"/>
        <v/>
      </c>
      <c r="J1100" t="str">
        <f t="shared" si="340"/>
        <v/>
      </c>
      <c r="K1100" t="str">
        <f t="shared" si="341"/>
        <v/>
      </c>
      <c r="L1100" t="str">
        <f t="shared" si="327"/>
        <v>Option</v>
      </c>
      <c r="M1100" t="str">
        <f t="shared" si="328"/>
        <v>EURO 4 HOMOLOGATED</v>
      </c>
      <c r="R1100" t="str">
        <f t="shared" si="329"/>
        <v>ZKAW181SSR</v>
      </c>
      <c r="S1100">
        <f t="shared" si="330"/>
        <v>0</v>
      </c>
      <c r="U1100" t="str">
        <f t="shared" si="331"/>
        <v>continue</v>
      </c>
      <c r="V1100" t="str">
        <f t="shared" si="332"/>
        <v>manual</v>
      </c>
      <c r="W1100" s="5">
        <f t="shared" si="333"/>
        <v>459.19590000000005</v>
      </c>
      <c r="Y1100" t="b">
        <f t="shared" si="334"/>
        <v>1</v>
      </c>
      <c r="Z1100" t="b">
        <f t="shared" si="335"/>
        <v>0</v>
      </c>
      <c r="AB1100" t="str">
        <f t="shared" si="336"/>
        <v/>
      </c>
      <c r="AE1100" t="b">
        <v>0</v>
      </c>
    </row>
    <row r="1101" spans="1:31" x14ac:dyDescent="0.2">
      <c r="A1101" t="str">
        <f t="shared" si="323"/>
        <v>https://shop.officineitalianezard.it/en/kawasaki-z900-rs-exhaust-zard-2/</v>
      </c>
      <c r="B1101" t="b">
        <f>COUNTIF($A$2:$A1101, A1101)&gt;1</f>
        <v>1</v>
      </c>
      <c r="C1101" t="b">
        <f t="shared" si="324"/>
        <v>1</v>
      </c>
      <c r="D1101">
        <f>VLOOKUP(A1101,variant_counts!A:B, 2, FALSE)</f>
        <v>2</v>
      </c>
      <c r="E1101" t="str">
        <f t="shared" si="337"/>
        <v>zard-exhaust-silencer-kawasaki-z900-rs-201819-slip-on-version-zkaw181ssr</v>
      </c>
      <c r="F1101" t="str">
        <f t="shared" si="325"/>
        <v>ZARD EXHAUST SILENCER KAWASAKI Z900 RS 2018/19 SLIP-ON VERSION ZKAW181SSR</v>
      </c>
      <c r="G1101" t="str">
        <f t="shared" si="326"/>
        <v/>
      </c>
      <c r="H1101" t="str">
        <f t="shared" si="338"/>
        <v/>
      </c>
      <c r="I1101" t="str">
        <f t="shared" si="339"/>
        <v/>
      </c>
      <c r="J1101" t="str">
        <f t="shared" si="340"/>
        <v/>
      </c>
      <c r="K1101" t="str">
        <f t="shared" si="341"/>
        <v/>
      </c>
      <c r="L1101" t="str">
        <f t="shared" si="327"/>
        <v>Option</v>
      </c>
      <c r="M1101" t="str">
        <f t="shared" si="328"/>
        <v>BLACK COATING</v>
      </c>
      <c r="R1101" t="str">
        <f t="shared" si="329"/>
        <v>ZKAW181SSR</v>
      </c>
      <c r="S1101">
        <f t="shared" si="330"/>
        <v>0</v>
      </c>
      <c r="U1101" t="str">
        <f t="shared" si="331"/>
        <v>continue</v>
      </c>
      <c r="V1101" t="str">
        <f t="shared" si="332"/>
        <v>manual</v>
      </c>
      <c r="W1101" s="5">
        <f t="shared" si="333"/>
        <v>485.40300000000002</v>
      </c>
      <c r="Y1101" t="b">
        <f t="shared" si="334"/>
        <v>1</v>
      </c>
      <c r="Z1101" t="b">
        <f t="shared" si="335"/>
        <v>0</v>
      </c>
      <c r="AB1101" t="str">
        <f t="shared" si="336"/>
        <v/>
      </c>
      <c r="AE1101" t="b">
        <v>0</v>
      </c>
    </row>
    <row r="1102" spans="1:31" x14ac:dyDescent="0.2">
      <c r="A1102" t="str">
        <f t="shared" si="323"/>
        <v>https://shop.officineitalianezard.it/en/kawasaki-z800-zard-headers-kit/</v>
      </c>
      <c r="B1102" t="b">
        <f>COUNTIF($A$2:$A1102, A1102)&gt;1</f>
        <v>0</v>
      </c>
      <c r="C1102" t="b">
        <f t="shared" si="324"/>
        <v>0</v>
      </c>
      <c r="D1102">
        <f>VLOOKUP(A1102,variant_counts!A:B, 2, FALSE)</f>
        <v>1</v>
      </c>
      <c r="E1102" t="str">
        <f t="shared" si="337"/>
        <v>zard-exhaust-headers-kit-kawasaki-z800-z800e-201216-steel-version-zkaw-175-scr</v>
      </c>
      <c r="F1102" t="str">
        <f t="shared" si="325"/>
        <v>ZARD EXHAUST HEADERS KIT KAWASAKI Z800-Z800E 2012/16 STEEL VERSION ZKAW 175 SCR</v>
      </c>
      <c r="G1102" t="str">
        <f t="shared" si="326"/>
        <v>&lt;p&gt;STEEL HEADERS KIT RACING&lt;/p&gt;
&lt;p&gt;WEIGHT OF THE ZARD MANIFOLD: 2.9 KG&lt;/p&gt;
&lt;p&gt;THE MANIFOLD SHOULD BE FITTED BOTH WITH THE ZARD MUFFLER&lt;br&gt;AND THE FACTORY ORIGINAL ONE&lt;/p&gt;
&lt;p&gt;HARD INCREASE, COMPARED TO THE ORIGINAL EXHAUST SYSTEM,&lt;br&gt;IN TERMS OF TORQUE AND POWER AT ANY RANGE&lt;/p&gt;
&lt;p&gt;ASTONISHING SOUND&lt;/p&gt;
&lt;p&gt;&lt;strong&gt;NOTICE&lt;/strong&gt;: FULL POWER VERSION ONLY&lt;/p&gt;</v>
      </c>
      <c r="H1102" t="str">
        <f t="shared" si="338"/>
        <v>ZARD</v>
      </c>
      <c r="I1102" t="str">
        <f t="shared" si="339"/>
        <v>Exhaust Pipe</v>
      </c>
      <c r="J1102" t="str">
        <f t="shared" si="340"/>
        <v>Test</v>
      </c>
      <c r="K1102" t="b">
        <f t="shared" si="341"/>
        <v>0</v>
      </c>
      <c r="L1102" t="str">
        <f t="shared" si="327"/>
        <v>Option</v>
      </c>
      <c r="M1102" t="str">
        <f t="shared" si="328"/>
        <v>DEFAULT</v>
      </c>
      <c r="R1102" t="str">
        <f t="shared" si="329"/>
        <v>ZKAW 175 SCR</v>
      </c>
      <c r="S1102">
        <f t="shared" si="330"/>
        <v>0</v>
      </c>
      <c r="U1102" t="str">
        <f t="shared" si="331"/>
        <v>continue</v>
      </c>
      <c r="V1102" t="str">
        <f t="shared" si="332"/>
        <v>manual</v>
      </c>
      <c r="W1102" s="5">
        <f t="shared" si="333"/>
        <v>718.76940000000002</v>
      </c>
      <c r="Y1102" t="b">
        <f t="shared" si="334"/>
        <v>1</v>
      </c>
      <c r="Z1102" t="b">
        <f t="shared" si="335"/>
        <v>0</v>
      </c>
      <c r="AB1102" t="str">
        <f t="shared" si="336"/>
        <v>https://shop.officineitalianezard.it/contents/imgs/products/1_879-z800.3.JPG</v>
      </c>
      <c r="AE1102" t="b">
        <v>0</v>
      </c>
    </row>
    <row r="1103" spans="1:31" x14ac:dyDescent="0.2">
      <c r="A1103" t="str">
        <f t="shared" si="323"/>
        <v>https://shop.officineitalianezard.it/en/kawasaki-z800-zard-headers-kit/</v>
      </c>
      <c r="B1103" t="b">
        <f>COUNTIF($A$2:$A1103, A1103)&gt;1</f>
        <v>1</v>
      </c>
      <c r="C1103" t="b">
        <f t="shared" si="324"/>
        <v>0</v>
      </c>
      <c r="D1103">
        <f>VLOOKUP(A1103,variant_counts!A:B, 2, FALSE)</f>
        <v>1</v>
      </c>
      <c r="E1103" t="str">
        <f t="shared" si="337"/>
        <v>zard-exhaust-headers-kit-kawasaki-z800-z800e-201216-steel-version-zkaw-175-scr</v>
      </c>
      <c r="F1103" t="str">
        <f t="shared" si="325"/>
        <v>ZARD EXHAUST HEADERS KIT KAWASAKI Z800-Z800E 2012/16 STEEL VERSION ZKAW 175 SCR</v>
      </c>
      <c r="G1103" t="str">
        <f t="shared" si="326"/>
        <v/>
      </c>
      <c r="H1103" t="str">
        <f t="shared" si="338"/>
        <v/>
      </c>
      <c r="I1103" t="str">
        <f t="shared" si="339"/>
        <v/>
      </c>
      <c r="J1103" t="str">
        <f t="shared" si="340"/>
        <v/>
      </c>
      <c r="K1103" t="str">
        <f t="shared" si="341"/>
        <v/>
      </c>
      <c r="L1103" t="str">
        <f t="shared" si="327"/>
        <v/>
      </c>
      <c r="M1103" t="str">
        <f t="shared" si="328"/>
        <v/>
      </c>
      <c r="R1103" t="str">
        <f t="shared" si="329"/>
        <v/>
      </c>
      <c r="S1103" t="str">
        <f t="shared" si="330"/>
        <v/>
      </c>
      <c r="U1103" t="str">
        <f t="shared" si="331"/>
        <v/>
      </c>
      <c r="V1103" t="str">
        <f t="shared" si="332"/>
        <v/>
      </c>
      <c r="W1103" s="5" t="str">
        <f t="shared" si="333"/>
        <v/>
      </c>
      <c r="Y1103" t="str">
        <f t="shared" si="334"/>
        <v/>
      </c>
      <c r="Z1103" t="str">
        <f t="shared" si="335"/>
        <v/>
      </c>
      <c r="AB1103" t="str">
        <f t="shared" si="336"/>
        <v>https://shop.officineitalianezard.it/contents/imgs/products/1_878-z800.2.JPG</v>
      </c>
      <c r="AE1103" t="b">
        <v>0</v>
      </c>
    </row>
    <row r="1104" spans="1:31" x14ac:dyDescent="0.2">
      <c r="A1104" t="str">
        <f t="shared" si="323"/>
        <v>https://shop.officineitalianezard.it/en/kawasaki-z800-zard-headers-kit/</v>
      </c>
      <c r="B1104" t="b">
        <f>COUNTIF($A$2:$A1104, A1104)&gt;1</f>
        <v>1</v>
      </c>
      <c r="C1104" t="b">
        <f t="shared" si="324"/>
        <v>1</v>
      </c>
      <c r="D1104">
        <f>VLOOKUP(A1104,variant_counts!A:B, 2, FALSE)</f>
        <v>1</v>
      </c>
      <c r="E1104" t="str">
        <f t="shared" si="337"/>
        <v>zard-exhaust-headers-kit-kawasaki-z800-z800e-201216-steel-version-zkaw-175-scr</v>
      </c>
      <c r="F1104" t="str">
        <f t="shared" si="325"/>
        <v>ZARD EXHAUST HEADERS KIT KAWASAKI Z800-Z800E 2012/16 STEEL VERSION ZKAW 175 SCR</v>
      </c>
      <c r="G1104" t="str">
        <f t="shared" si="326"/>
        <v/>
      </c>
      <c r="H1104" t="str">
        <f t="shared" si="338"/>
        <v/>
      </c>
      <c r="I1104" t="str">
        <f t="shared" si="339"/>
        <v/>
      </c>
      <c r="J1104" t="str">
        <f t="shared" si="340"/>
        <v/>
      </c>
      <c r="K1104" t="str">
        <f t="shared" si="341"/>
        <v/>
      </c>
      <c r="L1104" t="str">
        <f t="shared" si="327"/>
        <v>Option</v>
      </c>
      <c r="M1104" t="str">
        <f t="shared" si="328"/>
        <v>BLACK COATING</v>
      </c>
      <c r="R1104" t="str">
        <f t="shared" si="329"/>
        <v>ZKAW 175 SCR</v>
      </c>
      <c r="S1104">
        <f t="shared" si="330"/>
        <v>0</v>
      </c>
      <c r="U1104" t="str">
        <f t="shared" si="331"/>
        <v>continue</v>
      </c>
      <c r="V1104" t="str">
        <f t="shared" si="332"/>
        <v>manual</v>
      </c>
      <c r="W1104" s="5">
        <f t="shared" si="333"/>
        <v>804.75000000000011</v>
      </c>
      <c r="Y1104" t="b">
        <f t="shared" si="334"/>
        <v>1</v>
      </c>
      <c r="Z1104" t="b">
        <f t="shared" si="335"/>
        <v>0</v>
      </c>
      <c r="AB1104" t="str">
        <f t="shared" si="336"/>
        <v/>
      </c>
      <c r="AE1104" t="b">
        <v>0</v>
      </c>
    </row>
    <row r="1105" spans="1:31" x14ac:dyDescent="0.2">
      <c r="A1105" t="str">
        <f t="shared" si="323"/>
        <v>https://shop.officineitalianezard.it/en/products/index/kawasaki-z800-exhaust-zard-7509-138/</v>
      </c>
      <c r="B1105" t="b">
        <f>COUNTIF($A$2:$A1105, A1105)&gt;1</f>
        <v>0</v>
      </c>
      <c r="C1105" t="b">
        <f t="shared" si="324"/>
        <v>0</v>
      </c>
      <c r="D1105">
        <f>VLOOKUP(A1105,variant_counts!A:B, 2, FALSE)</f>
        <v>2</v>
      </c>
      <c r="E1105" t="str">
        <f t="shared" si="337"/>
        <v>zard-exhaust-silencer-kawasaki-z800-z800e-201216-short-version-zkaw-175-ssr</v>
      </c>
      <c r="F1105" t="str">
        <f t="shared" si="325"/>
        <v>ZARD EXHAUST SILENCER KAWASAKI Z800-Z800E 2012/16 SHORT VERSION ZKAW 175 SSR</v>
      </c>
      <c r="G1105" t="str">
        <f t="shared" si="326"/>
        <v>&lt;p&gt;STEEL SILENCER RACING&lt;/p&gt;
&lt;p&gt;ZARD SILENCER WEIGHT: 1.7 KG&lt;/p&gt;
&lt;p&gt;THE MUFFLER SHOULD BE FITTED BOTH ON THE FACTORY AND THE ZARD MANIFOLD&lt;/p&gt;
&lt;p&gt;HARD INCREASE, COMPARED TO THE ORIGINAL EXHAUST SYSTEM, IN TERMS OF TORQUE AND POWER AT ANY RANGE&lt;/p&gt;
&lt;p&gt;ASTONISHING SOUND&lt;/p&gt;</v>
      </c>
      <c r="H1105" t="str">
        <f t="shared" si="338"/>
        <v>ZARD</v>
      </c>
      <c r="I1105" t="str">
        <f t="shared" si="339"/>
        <v>Exhaust Pipe</v>
      </c>
      <c r="J1105" t="str">
        <f t="shared" si="340"/>
        <v>Test</v>
      </c>
      <c r="K1105" t="b">
        <f t="shared" si="341"/>
        <v>0</v>
      </c>
      <c r="L1105" t="str">
        <f t="shared" si="327"/>
        <v/>
      </c>
      <c r="M1105" t="str">
        <f t="shared" si="328"/>
        <v/>
      </c>
      <c r="R1105" t="str">
        <f t="shared" si="329"/>
        <v/>
      </c>
      <c r="S1105" t="str">
        <f t="shared" si="330"/>
        <v/>
      </c>
      <c r="U1105" t="str">
        <f t="shared" si="331"/>
        <v/>
      </c>
      <c r="V1105" t="str">
        <f t="shared" si="332"/>
        <v/>
      </c>
      <c r="W1105" s="5" t="str">
        <f t="shared" si="333"/>
        <v/>
      </c>
      <c r="Y1105" t="str">
        <f t="shared" si="334"/>
        <v/>
      </c>
      <c r="Z1105" t="str">
        <f t="shared" si="335"/>
        <v/>
      </c>
      <c r="AB1105" t="str">
        <f t="shared" si="336"/>
        <v>https://shop.officineitalianezard.it/contents/imgs/products/1_877-z800.JPG</v>
      </c>
      <c r="AE1105" t="b">
        <v>0</v>
      </c>
    </row>
    <row r="1106" spans="1:31" x14ac:dyDescent="0.2">
      <c r="A1106" t="str">
        <f t="shared" si="323"/>
        <v>https://shop.officineitalianezard.it/en/products/index/kawasaki-z800-exhaust-zard-7509-138/</v>
      </c>
      <c r="B1106" t="b">
        <f>COUNTIF($A$2:$A1106, A1106)&gt;1</f>
        <v>1</v>
      </c>
      <c r="C1106" t="b">
        <f t="shared" si="324"/>
        <v>0</v>
      </c>
      <c r="D1106">
        <f>VLOOKUP(A1106,variant_counts!A:B, 2, FALSE)</f>
        <v>2</v>
      </c>
      <c r="E1106" t="str">
        <f t="shared" si="337"/>
        <v>zard-exhaust-silencer-kawasaki-z800-z800e-201216-short-version-zkaw-175-ssr</v>
      </c>
      <c r="F1106" t="str">
        <f t="shared" si="325"/>
        <v>ZARD EXHAUST SILENCER KAWASAKI Z800-Z800E 2012/16 SHORT VERSION ZKAW 175 SSR</v>
      </c>
      <c r="G1106" t="str">
        <f t="shared" si="326"/>
        <v/>
      </c>
      <c r="H1106" t="str">
        <f t="shared" si="338"/>
        <v/>
      </c>
      <c r="I1106" t="str">
        <f t="shared" si="339"/>
        <v/>
      </c>
      <c r="J1106" t="str">
        <f t="shared" si="340"/>
        <v/>
      </c>
      <c r="K1106" t="str">
        <f t="shared" si="341"/>
        <v/>
      </c>
      <c r="L1106" t="str">
        <f t="shared" si="327"/>
        <v/>
      </c>
      <c r="M1106" t="str">
        <f t="shared" si="328"/>
        <v/>
      </c>
      <c r="R1106" t="str">
        <f t="shared" si="329"/>
        <v/>
      </c>
      <c r="S1106" t="str">
        <f t="shared" si="330"/>
        <v/>
      </c>
      <c r="U1106" t="str">
        <f t="shared" si="331"/>
        <v/>
      </c>
      <c r="V1106" t="str">
        <f t="shared" si="332"/>
        <v/>
      </c>
      <c r="W1106" s="5" t="str">
        <f t="shared" si="333"/>
        <v/>
      </c>
      <c r="Y1106" t="str">
        <f t="shared" si="334"/>
        <v/>
      </c>
      <c r="Z1106" t="str">
        <f t="shared" si="335"/>
        <v/>
      </c>
      <c r="AB1106" t="str">
        <f t="shared" si="336"/>
        <v>https://shop.officineitalianezard.it/contents/imgs/products/1_875-z800.2.JPG</v>
      </c>
      <c r="AE1106" t="b">
        <v>0</v>
      </c>
    </row>
    <row r="1107" spans="1:31" x14ac:dyDescent="0.2">
      <c r="A1107" t="str">
        <f t="shared" si="323"/>
        <v>https://shop.officineitalianezard.it/en/products/index/kawasaki-z800-exhaust-zard-7509-138/</v>
      </c>
      <c r="B1107" t="b">
        <f>COUNTIF($A$2:$A1107, A1107)&gt;1</f>
        <v>1</v>
      </c>
      <c r="C1107" t="b">
        <f t="shared" si="324"/>
        <v>0</v>
      </c>
      <c r="D1107">
        <f>VLOOKUP(A1107,variant_counts!A:B, 2, FALSE)</f>
        <v>2</v>
      </c>
      <c r="E1107" t="str">
        <f t="shared" si="337"/>
        <v>zard-exhaust-silencer-kawasaki-z800-z800e-201216-short-version-zkaw-175-ssr</v>
      </c>
      <c r="F1107" t="str">
        <f t="shared" si="325"/>
        <v>ZARD EXHAUST SILENCER KAWASAKI Z800-Z800E 2012/16 SHORT VERSION ZKAW 175 SSR</v>
      </c>
      <c r="G1107" t="str">
        <f t="shared" si="326"/>
        <v/>
      </c>
      <c r="H1107" t="str">
        <f t="shared" si="338"/>
        <v/>
      </c>
      <c r="I1107" t="str">
        <f t="shared" si="339"/>
        <v/>
      </c>
      <c r="J1107" t="str">
        <f t="shared" si="340"/>
        <v/>
      </c>
      <c r="K1107" t="str">
        <f t="shared" si="341"/>
        <v/>
      </c>
      <c r="L1107" t="str">
        <f t="shared" si="327"/>
        <v/>
      </c>
      <c r="M1107" t="str">
        <f t="shared" si="328"/>
        <v/>
      </c>
      <c r="R1107" t="str">
        <f t="shared" si="329"/>
        <v/>
      </c>
      <c r="S1107" t="str">
        <f t="shared" si="330"/>
        <v/>
      </c>
      <c r="U1107" t="str">
        <f t="shared" si="331"/>
        <v/>
      </c>
      <c r="V1107" t="str">
        <f t="shared" si="332"/>
        <v/>
      </c>
      <c r="W1107" s="5" t="str">
        <f t="shared" si="333"/>
        <v/>
      </c>
      <c r="Y1107" t="str">
        <f t="shared" si="334"/>
        <v/>
      </c>
      <c r="Z1107" t="str">
        <f t="shared" si="335"/>
        <v/>
      </c>
      <c r="AB1107" t="str">
        <f t="shared" si="336"/>
        <v>https://shop.officineitalianezard.it/contents/imgs/products/1_876-z800.3.JPG</v>
      </c>
      <c r="AE1107" t="b">
        <v>0</v>
      </c>
    </row>
    <row r="1108" spans="1:31" x14ac:dyDescent="0.2">
      <c r="A1108" t="str">
        <f t="shared" si="323"/>
        <v>https://shop.officineitalianezard.it/en/products/index/kawasaki-z800-exhaust-zard-7509-138/</v>
      </c>
      <c r="B1108" t="b">
        <f>COUNTIF($A$2:$A1108, A1108)&gt;1</f>
        <v>1</v>
      </c>
      <c r="C1108" t="b">
        <f t="shared" si="324"/>
        <v>1</v>
      </c>
      <c r="D1108">
        <f>VLOOKUP(A1108,variant_counts!A:B, 2, FALSE)</f>
        <v>2</v>
      </c>
      <c r="E1108" t="str">
        <f t="shared" si="337"/>
        <v>zard-exhaust-silencer-kawasaki-z800-z800e-201216-short-version-zkaw-175-ssr</v>
      </c>
      <c r="F1108" t="str">
        <f t="shared" si="325"/>
        <v>ZARD EXHAUST SILENCER KAWASAKI Z800-Z800E 2012/16 SHORT VERSION ZKAW 175 SSR</v>
      </c>
      <c r="G1108" t="str">
        <f t="shared" si="326"/>
        <v/>
      </c>
      <c r="H1108" t="str">
        <f t="shared" si="338"/>
        <v/>
      </c>
      <c r="I1108" t="str">
        <f t="shared" si="339"/>
        <v/>
      </c>
      <c r="J1108" t="str">
        <f t="shared" si="340"/>
        <v/>
      </c>
      <c r="K1108" t="str">
        <f t="shared" si="341"/>
        <v/>
      </c>
      <c r="L1108" t="str">
        <f t="shared" si="327"/>
        <v>Option</v>
      </c>
      <c r="M1108" t="str">
        <f t="shared" si="328"/>
        <v>EURO 3 HOMOLOGATED</v>
      </c>
      <c r="R1108" t="str">
        <f t="shared" si="329"/>
        <v>ZKAW 175 SSR</v>
      </c>
      <c r="S1108">
        <f t="shared" si="330"/>
        <v>0</v>
      </c>
      <c r="U1108" t="str">
        <f t="shared" si="331"/>
        <v>continue</v>
      </c>
      <c r="V1108" t="str">
        <f t="shared" si="332"/>
        <v>manual</v>
      </c>
      <c r="W1108" s="5">
        <f t="shared" si="333"/>
        <v>568.27560000000005</v>
      </c>
      <c r="Y1108" t="b">
        <f t="shared" si="334"/>
        <v>1</v>
      </c>
      <c r="Z1108" t="b">
        <f t="shared" si="335"/>
        <v>0</v>
      </c>
      <c r="AB1108" t="str">
        <f t="shared" si="336"/>
        <v/>
      </c>
      <c r="AE1108" t="b">
        <v>0</v>
      </c>
    </row>
    <row r="1109" spans="1:31" x14ac:dyDescent="0.2">
      <c r="A1109" t="str">
        <f t="shared" si="323"/>
        <v>https://shop.officineitalianezard.it/en/products/index/kawasaki-z800-exhaust-zard-7509-138/</v>
      </c>
      <c r="B1109" t="b">
        <f>COUNTIF($A$2:$A1109, A1109)&gt;1</f>
        <v>1</v>
      </c>
      <c r="C1109" t="b">
        <f t="shared" si="324"/>
        <v>1</v>
      </c>
      <c r="D1109">
        <f>VLOOKUP(A1109,variant_counts!A:B, 2, FALSE)</f>
        <v>2</v>
      </c>
      <c r="E1109" t="str">
        <f t="shared" si="337"/>
        <v>zard-exhaust-silencer-kawasaki-z800-z800e-201216-short-version-zkaw-175-ssr</v>
      </c>
      <c r="F1109" t="str">
        <f t="shared" si="325"/>
        <v>ZARD EXHAUST SILENCER KAWASAKI Z800-Z800E 2012/16 SHORT VERSION ZKAW 175 SSR</v>
      </c>
      <c r="G1109" t="str">
        <f t="shared" si="326"/>
        <v/>
      </c>
      <c r="H1109" t="str">
        <f t="shared" si="338"/>
        <v/>
      </c>
      <c r="I1109" t="str">
        <f t="shared" si="339"/>
        <v/>
      </c>
      <c r="J1109" t="str">
        <f t="shared" si="340"/>
        <v/>
      </c>
      <c r="K1109" t="str">
        <f t="shared" si="341"/>
        <v/>
      </c>
      <c r="L1109" t="str">
        <f t="shared" si="327"/>
        <v>Option</v>
      </c>
      <c r="M1109" t="str">
        <f t="shared" si="328"/>
        <v>BLACK COATING</v>
      </c>
      <c r="R1109" t="str">
        <f t="shared" si="329"/>
        <v>ZKAW 175 SSR</v>
      </c>
      <c r="S1109">
        <f t="shared" si="330"/>
        <v>0</v>
      </c>
      <c r="U1109" t="str">
        <f t="shared" si="331"/>
        <v>continue</v>
      </c>
      <c r="V1109" t="str">
        <f t="shared" si="332"/>
        <v>manual</v>
      </c>
      <c r="W1109" s="5">
        <f t="shared" si="333"/>
        <v>601.85310000000004</v>
      </c>
      <c r="Y1109" t="b">
        <f t="shared" si="334"/>
        <v>1</v>
      </c>
      <c r="Z1109" t="b">
        <f t="shared" si="335"/>
        <v>0</v>
      </c>
      <c r="AB1109" t="str">
        <f t="shared" si="336"/>
        <v/>
      </c>
      <c r="AE1109" t="b">
        <v>0</v>
      </c>
    </row>
    <row r="1110" spans="1:31" x14ac:dyDescent="0.2">
      <c r="A1110" t="str">
        <f t="shared" si="323"/>
        <v>https://shop.officineitalianezard.it/en/products/index/4-1-full-kit-penta-version-zard-kawasaki-7512-138/</v>
      </c>
      <c r="B1110" t="b">
        <f>COUNTIF($A$2:$A1110, A1110)&gt;1</f>
        <v>0</v>
      </c>
      <c r="C1110" t="b">
        <f t="shared" si="324"/>
        <v>0</v>
      </c>
      <c r="D1110">
        <f>VLOOKUP(A1110,variant_counts!A:B, 2, FALSE)</f>
        <v>2</v>
      </c>
      <c r="E1110" t="str">
        <f t="shared" si="337"/>
        <v>zard-exhaust-silencer-kawasaki-z800-z800e-201216-penta-version-zkaw-175-apr</v>
      </c>
      <c r="F1110" t="str">
        <f t="shared" si="325"/>
        <v>ZARD EXHAUST SILENCER KAWASAKI Z800-Z800E 2012/16 PENTA VERSION ZKAW 175 APR</v>
      </c>
      <c r="G1110" t="str">
        <f t="shared" si="326"/>
        <v>&lt;div class="page-product-descr product-font-size text-font"&gt;
&lt;p&gt;STEEL-ALUMINIUM BLACK SILENCER RACING WITH REMOVABLE DB KILLER&lt;/p&gt;
&lt;p&gt;ZARD FULL KIT WEIGHT: 4.6 KG&lt;br&gt;ZARD SILENCER WEIGHT: 1.7 KG&lt;/p&gt;
&lt;p&gt;THE MUFFLER SHOULD BE FITTED BOTH ON THE FACTORY AND THE ZARD MANIFOLD&lt;/p&gt;
&lt;p&gt;HARD INCREASE, COMPARED TO THE ORIGINAL EXHAUST SYSTEM, IN TERMS OF TORQUE AND POWER AT ANY RANGE&lt;/p&gt;
&lt;p&gt;ASTONISHING SOUND&lt;/p&gt;
&lt;/div&gt;
&lt;form id="cart-form" action="http://zard.madcommerce.com/en/carts/addmultiple" method="post" name="cart-form" novalidate="novalidate" class="ng-pristine ng-valid"&gt;
&lt;div class="page-product-optionals"&gt;&amp;nbsp;&lt;/div&gt;
&lt;/form&gt;</v>
      </c>
      <c r="H1110" t="str">
        <f t="shared" si="338"/>
        <v>ZARD</v>
      </c>
      <c r="I1110" t="str">
        <f t="shared" si="339"/>
        <v>Exhaust Pipe</v>
      </c>
      <c r="J1110" t="str">
        <f t="shared" si="340"/>
        <v>Test</v>
      </c>
      <c r="K1110" t="b">
        <f t="shared" si="341"/>
        <v>0</v>
      </c>
      <c r="L1110" t="str">
        <f t="shared" si="327"/>
        <v/>
      </c>
      <c r="M1110" t="str">
        <f t="shared" si="328"/>
        <v/>
      </c>
      <c r="R1110" t="str">
        <f t="shared" si="329"/>
        <v/>
      </c>
      <c r="S1110" t="str">
        <f t="shared" si="330"/>
        <v/>
      </c>
      <c r="U1110" t="str">
        <f t="shared" si="331"/>
        <v/>
      </c>
      <c r="V1110" t="str">
        <f t="shared" si="332"/>
        <v/>
      </c>
      <c r="W1110" s="5" t="str">
        <f t="shared" si="333"/>
        <v/>
      </c>
      <c r="Y1110" t="str">
        <f t="shared" si="334"/>
        <v/>
      </c>
      <c r="Z1110" t="str">
        <f t="shared" si="335"/>
        <v/>
      </c>
      <c r="AB1110" t="str">
        <f t="shared" si="336"/>
        <v>https://shop.officineitalianezard.it/contents/imgs/products/1_885-DSC_0055.JPG</v>
      </c>
      <c r="AE1110" t="b">
        <v>0</v>
      </c>
    </row>
    <row r="1111" spans="1:31" x14ac:dyDescent="0.2">
      <c r="A1111" t="str">
        <f t="shared" si="323"/>
        <v>https://shop.officineitalianezard.it/en/products/index/4-1-full-kit-penta-version-zard-kawasaki-7512-138/</v>
      </c>
      <c r="B1111" t="b">
        <f>COUNTIF($A$2:$A1111, A1111)&gt;1</f>
        <v>1</v>
      </c>
      <c r="C1111" t="b">
        <f t="shared" si="324"/>
        <v>0</v>
      </c>
      <c r="D1111">
        <f>VLOOKUP(A1111,variant_counts!A:B, 2, FALSE)</f>
        <v>2</v>
      </c>
      <c r="E1111" t="str">
        <f t="shared" si="337"/>
        <v>zard-exhaust-silencer-kawasaki-z800-z800e-201216-penta-version-zkaw-175-apr</v>
      </c>
      <c r="F1111" t="str">
        <f t="shared" si="325"/>
        <v>ZARD EXHAUST SILENCER KAWASAKI Z800-Z800E 2012/16 PENTA VERSION ZKAW 175 APR</v>
      </c>
      <c r="G1111" t="str">
        <f t="shared" si="326"/>
        <v/>
      </c>
      <c r="H1111" t="str">
        <f t="shared" si="338"/>
        <v/>
      </c>
      <c r="I1111" t="str">
        <f t="shared" si="339"/>
        <v/>
      </c>
      <c r="J1111" t="str">
        <f t="shared" si="340"/>
        <v/>
      </c>
      <c r="K1111" t="str">
        <f t="shared" si="341"/>
        <v/>
      </c>
      <c r="L1111" t="str">
        <f t="shared" si="327"/>
        <v/>
      </c>
      <c r="M1111" t="str">
        <f t="shared" si="328"/>
        <v/>
      </c>
      <c r="R1111" t="str">
        <f t="shared" si="329"/>
        <v/>
      </c>
      <c r="S1111" t="str">
        <f t="shared" si="330"/>
        <v/>
      </c>
      <c r="U1111" t="str">
        <f t="shared" si="331"/>
        <v/>
      </c>
      <c r="V1111" t="str">
        <f t="shared" si="332"/>
        <v/>
      </c>
      <c r="W1111" s="5" t="str">
        <f t="shared" si="333"/>
        <v/>
      </c>
      <c r="Y1111" t="str">
        <f t="shared" si="334"/>
        <v/>
      </c>
      <c r="Z1111" t="str">
        <f t="shared" si="335"/>
        <v/>
      </c>
      <c r="AB1111" t="str">
        <f t="shared" si="336"/>
        <v>https://shop.officineitalianezard.it/contents/imgs/products/1_884-DSC_0039.JPG</v>
      </c>
      <c r="AE1111" t="b">
        <v>0</v>
      </c>
    </row>
    <row r="1112" spans="1:31" x14ac:dyDescent="0.2">
      <c r="A1112" t="str">
        <f t="shared" si="323"/>
        <v>https://shop.officineitalianezard.it/en/products/index/4-1-full-kit-penta-version-zard-kawasaki-7512-138/</v>
      </c>
      <c r="B1112" t="b">
        <f>COUNTIF($A$2:$A1112, A1112)&gt;1</f>
        <v>1</v>
      </c>
      <c r="C1112" t="b">
        <f t="shared" si="324"/>
        <v>0</v>
      </c>
      <c r="D1112">
        <f>VLOOKUP(A1112,variant_counts!A:B, 2, FALSE)</f>
        <v>2</v>
      </c>
      <c r="E1112" t="str">
        <f t="shared" si="337"/>
        <v>zard-exhaust-silencer-kawasaki-z800-z800e-201216-penta-version-zkaw-175-apr</v>
      </c>
      <c r="F1112" t="str">
        <f t="shared" si="325"/>
        <v>ZARD EXHAUST SILENCER KAWASAKI Z800-Z800E 2012/16 PENTA VERSION ZKAW 175 APR</v>
      </c>
      <c r="G1112" t="str">
        <f t="shared" si="326"/>
        <v/>
      </c>
      <c r="H1112" t="str">
        <f t="shared" si="338"/>
        <v/>
      </c>
      <c r="I1112" t="str">
        <f t="shared" si="339"/>
        <v/>
      </c>
      <c r="J1112" t="str">
        <f t="shared" si="340"/>
        <v/>
      </c>
      <c r="K1112" t="str">
        <f t="shared" si="341"/>
        <v/>
      </c>
      <c r="L1112" t="str">
        <f t="shared" si="327"/>
        <v/>
      </c>
      <c r="M1112" t="str">
        <f t="shared" si="328"/>
        <v/>
      </c>
      <c r="R1112" t="str">
        <f t="shared" si="329"/>
        <v/>
      </c>
      <c r="S1112" t="str">
        <f t="shared" si="330"/>
        <v/>
      </c>
      <c r="U1112" t="str">
        <f t="shared" si="331"/>
        <v/>
      </c>
      <c r="V1112" t="str">
        <f t="shared" si="332"/>
        <v/>
      </c>
      <c r="W1112" s="5" t="str">
        <f t="shared" si="333"/>
        <v/>
      </c>
      <c r="Y1112" t="str">
        <f t="shared" si="334"/>
        <v/>
      </c>
      <c r="Z1112" t="str">
        <f t="shared" si="335"/>
        <v/>
      </c>
      <c r="AB1112" t="str">
        <f t="shared" si="336"/>
        <v>https://shop.officineitalianezard.it/contents/imgs/products/1_886-DSC_0072.JPG</v>
      </c>
      <c r="AE1112" t="b">
        <v>0</v>
      </c>
    </row>
    <row r="1113" spans="1:31" x14ac:dyDescent="0.2">
      <c r="A1113" t="str">
        <f t="shared" si="323"/>
        <v>https://shop.officineitalianezard.it/en/products/index/4-1-full-kit-penta-version-zard-kawasaki-7512-138/</v>
      </c>
      <c r="B1113" t="b">
        <f>COUNTIF($A$2:$A1113, A1113)&gt;1</f>
        <v>1</v>
      </c>
      <c r="C1113" t="b">
        <f t="shared" si="324"/>
        <v>1</v>
      </c>
      <c r="D1113">
        <f>VLOOKUP(A1113,variant_counts!A:B, 2, FALSE)</f>
        <v>2</v>
      </c>
      <c r="E1113" t="str">
        <f t="shared" si="337"/>
        <v>zard-exhaust-silencer-kawasaki-z800-z800e-201216-penta-version-zkaw-175-apr</v>
      </c>
      <c r="F1113" t="str">
        <f t="shared" si="325"/>
        <v>ZARD EXHAUST SILENCER KAWASAKI Z800-Z800E 2012/16 PENTA VERSION ZKAW 175 APR</v>
      </c>
      <c r="G1113" t="str">
        <f t="shared" si="326"/>
        <v/>
      </c>
      <c r="H1113" t="str">
        <f t="shared" si="338"/>
        <v/>
      </c>
      <c r="I1113" t="str">
        <f t="shared" si="339"/>
        <v/>
      </c>
      <c r="J1113" t="str">
        <f t="shared" si="340"/>
        <v/>
      </c>
      <c r="K1113" t="str">
        <f t="shared" si="341"/>
        <v/>
      </c>
      <c r="L1113" t="str">
        <f t="shared" si="327"/>
        <v>Option</v>
      </c>
      <c r="M1113" t="str">
        <f t="shared" si="328"/>
        <v>EURO 3 HOMOLOGATED</v>
      </c>
      <c r="R1113" t="str">
        <f t="shared" si="329"/>
        <v>ZKAW 175 APR</v>
      </c>
      <c r="S1113">
        <f t="shared" si="330"/>
        <v>0</v>
      </c>
      <c r="U1113" t="str">
        <f t="shared" si="331"/>
        <v>continue</v>
      </c>
      <c r="V1113" t="str">
        <f t="shared" si="332"/>
        <v>manual</v>
      </c>
      <c r="W1113" s="5">
        <f t="shared" si="333"/>
        <v>521.87760000000003</v>
      </c>
      <c r="Y1113" t="b">
        <f t="shared" si="334"/>
        <v>1</v>
      </c>
      <c r="Z1113" t="b">
        <f t="shared" si="335"/>
        <v>0</v>
      </c>
      <c r="AB1113" t="str">
        <f t="shared" si="336"/>
        <v/>
      </c>
      <c r="AE1113" t="b">
        <v>0</v>
      </c>
    </row>
    <row r="1114" spans="1:31" x14ac:dyDescent="0.2">
      <c r="A1114" t="str">
        <f t="shared" si="323"/>
        <v>https://shop.officineitalianezard.it/en/products/index/4-1-full-kit-penta-version-zard-kawasaki-7512-138/</v>
      </c>
      <c r="B1114" t="b">
        <f>COUNTIF($A$2:$A1114, A1114)&gt;1</f>
        <v>1</v>
      </c>
      <c r="C1114" t="b">
        <f t="shared" si="324"/>
        <v>1</v>
      </c>
      <c r="D1114">
        <f>VLOOKUP(A1114,variant_counts!A:B, 2, FALSE)</f>
        <v>2</v>
      </c>
      <c r="E1114" t="str">
        <f t="shared" si="337"/>
        <v>zard-exhaust-silencer-kawasaki-z800-z800e-201216-penta-version-zkaw-175-apr</v>
      </c>
      <c r="F1114" t="str">
        <f t="shared" si="325"/>
        <v>ZARD EXHAUST SILENCER KAWASAKI Z800-Z800E 2012/16 PENTA VERSION ZKAW 175 APR</v>
      </c>
      <c r="G1114" t="str">
        <f t="shared" si="326"/>
        <v/>
      </c>
      <c r="H1114" t="str">
        <f t="shared" si="338"/>
        <v/>
      </c>
      <c r="I1114" t="str">
        <f t="shared" si="339"/>
        <v/>
      </c>
      <c r="J1114" t="str">
        <f t="shared" si="340"/>
        <v/>
      </c>
      <c r="K1114" t="str">
        <f t="shared" si="341"/>
        <v/>
      </c>
      <c r="L1114" t="str">
        <f t="shared" si="327"/>
        <v>Option</v>
      </c>
      <c r="M1114" t="str">
        <f t="shared" si="328"/>
        <v>CARBON ENDCAP</v>
      </c>
      <c r="R1114" t="str">
        <f t="shared" si="329"/>
        <v>ZKAW 175 APR</v>
      </c>
      <c r="S1114">
        <f t="shared" si="330"/>
        <v>0</v>
      </c>
      <c r="U1114" t="str">
        <f t="shared" si="331"/>
        <v>continue</v>
      </c>
      <c r="V1114" t="str">
        <f t="shared" si="332"/>
        <v>manual</v>
      </c>
      <c r="W1114" s="5">
        <f t="shared" si="333"/>
        <v>511.23270000000002</v>
      </c>
      <c r="Y1114" t="b">
        <f t="shared" si="334"/>
        <v>1</v>
      </c>
      <c r="Z1114" t="b">
        <f t="shared" si="335"/>
        <v>0</v>
      </c>
      <c r="AB1114" t="str">
        <f t="shared" si="336"/>
        <v/>
      </c>
      <c r="AE1114" t="b">
        <v>0</v>
      </c>
    </row>
    <row r="1115" spans="1:31" x14ac:dyDescent="0.2">
      <c r="A1115" t="str">
        <f t="shared" si="323"/>
        <v>https://shop.officineitalianezard.it/en/products/index/kawasaki-z750-exhaust-zard-7505-136/</v>
      </c>
      <c r="B1115" t="b">
        <f>COUNTIF($A$2:$A1115, A1115)&gt;1</f>
        <v>0</v>
      </c>
      <c r="C1115" t="b">
        <f t="shared" si="324"/>
        <v>0</v>
      </c>
      <c r="D1115">
        <f>VLOOKUP(A1115,variant_counts!A:B, 2, FALSE)</f>
        <v>3</v>
      </c>
      <c r="E1115" t="str">
        <f t="shared" si="337"/>
        <v>zard-exhaust-conical-silencer-kawasaki-z-750-200411-my-03-06-zkaw170ssr-03</v>
      </c>
      <c r="F1115" t="str">
        <f t="shared" si="325"/>
        <v>ZARD EXHAUST CONICAL SILENCER KAWASAKI Z 750 2004/11 M.Y. 03-06 ZKAW170SSR-03</v>
      </c>
      <c r="G1115" t="str">
        <f t="shared" si="326"/>
        <v>&lt;p&gt;STEEL RACING SILENCER WITH REMOVABLE DB KILELR&lt;/p&gt;
&lt;p&gt;ORIGINAL SILENCER WEIGHT: KG 6.4&lt;/p&gt;
&lt;p&gt;ZARD SILENCER WEIGHT: KG 2.3&lt;/p&gt;
&lt;p&gt;CARBON ENDCAP&lt;/p&gt;
&lt;p&gt;HARD INCREASE, COMPARED TO THE ORIGINAL EXHAUST SYSTEM,&lt;br&gt;IN TERMS OF TORQUE AND POWER AT ANY RANGE (+ 4.5 CV).&lt;/p&gt;
&lt;p&gt;ASTONISHING SOUND&lt;/p&gt;</v>
      </c>
      <c r="H1115" t="str">
        <f t="shared" si="338"/>
        <v>ZARD</v>
      </c>
      <c r="I1115" t="str">
        <f t="shared" si="339"/>
        <v>Exhaust Pipe</v>
      </c>
      <c r="J1115" t="str">
        <f t="shared" si="340"/>
        <v>Test</v>
      </c>
      <c r="K1115" t="b">
        <f t="shared" si="341"/>
        <v>0</v>
      </c>
      <c r="L1115" t="str">
        <f t="shared" si="327"/>
        <v/>
      </c>
      <c r="M1115" t="str">
        <f t="shared" si="328"/>
        <v/>
      </c>
      <c r="R1115" t="str">
        <f t="shared" si="329"/>
        <v/>
      </c>
      <c r="S1115" t="str">
        <f t="shared" si="330"/>
        <v/>
      </c>
      <c r="U1115" t="str">
        <f t="shared" si="331"/>
        <v/>
      </c>
      <c r="V1115" t="str">
        <f t="shared" si="332"/>
        <v/>
      </c>
      <c r="W1115" s="5" t="str">
        <f t="shared" si="333"/>
        <v/>
      </c>
      <c r="Y1115" t="str">
        <f t="shared" si="334"/>
        <v/>
      </c>
      <c r="Z1115" t="str">
        <f t="shared" si="335"/>
        <v/>
      </c>
      <c r="AB1115" t="str">
        <f t="shared" si="336"/>
        <v>https://shop.officineitalianezard.it/contents/imgs/products/1_862-numero%2035%20copy.jpg</v>
      </c>
      <c r="AE1115" t="b">
        <v>0</v>
      </c>
    </row>
    <row r="1116" spans="1:31" x14ac:dyDescent="0.2">
      <c r="A1116" t="str">
        <f t="shared" si="323"/>
        <v>https://shop.officineitalianezard.it/en/products/index/kawasaki-z750-exhaust-zard-7505-136/</v>
      </c>
      <c r="B1116" t="b">
        <f>COUNTIF($A$2:$A1116, A1116)&gt;1</f>
        <v>1</v>
      </c>
      <c r="C1116" t="b">
        <f t="shared" si="324"/>
        <v>0</v>
      </c>
      <c r="D1116">
        <f>VLOOKUP(A1116,variant_counts!A:B, 2, FALSE)</f>
        <v>3</v>
      </c>
      <c r="E1116" t="str">
        <f t="shared" si="337"/>
        <v>zard-exhaust-conical-silencer-kawasaki-z-750-200411-my-03-06-zkaw170ssr-03</v>
      </c>
      <c r="F1116" t="str">
        <f t="shared" si="325"/>
        <v>ZARD EXHAUST CONICAL SILENCER KAWASAKI Z 750 2004/11 M.Y. 03-06 ZKAW170SSR-03</v>
      </c>
      <c r="G1116" t="str">
        <f t="shared" si="326"/>
        <v/>
      </c>
      <c r="H1116" t="str">
        <f t="shared" si="338"/>
        <v/>
      </c>
      <c r="I1116" t="str">
        <f t="shared" si="339"/>
        <v/>
      </c>
      <c r="J1116" t="str">
        <f t="shared" si="340"/>
        <v/>
      </c>
      <c r="K1116" t="str">
        <f t="shared" si="341"/>
        <v/>
      </c>
      <c r="L1116" t="str">
        <f t="shared" si="327"/>
        <v/>
      </c>
      <c r="M1116" t="str">
        <f t="shared" si="328"/>
        <v/>
      </c>
      <c r="R1116" t="str">
        <f t="shared" si="329"/>
        <v/>
      </c>
      <c r="S1116" t="str">
        <f t="shared" si="330"/>
        <v/>
      </c>
      <c r="U1116" t="str">
        <f t="shared" si="331"/>
        <v/>
      </c>
      <c r="V1116" t="str">
        <f t="shared" si="332"/>
        <v/>
      </c>
      <c r="W1116" s="5" t="str">
        <f t="shared" si="333"/>
        <v/>
      </c>
      <c r="Y1116" t="str">
        <f t="shared" si="334"/>
        <v/>
      </c>
      <c r="Z1116" t="str">
        <f t="shared" si="335"/>
        <v/>
      </c>
      <c r="AB1116" t="str">
        <f t="shared" si="336"/>
        <v>https://shop.officineitalianezard.it/contents/imgs/products/1_863-numero%2036%20copy.jpg</v>
      </c>
      <c r="AE1116" t="b">
        <v>0</v>
      </c>
    </row>
    <row r="1117" spans="1:31" x14ac:dyDescent="0.2">
      <c r="A1117" t="str">
        <f t="shared" si="323"/>
        <v>https://shop.officineitalianezard.it/en/products/index/kawasaki-z750-exhaust-zard-7505-136/</v>
      </c>
      <c r="B1117" t="b">
        <f>COUNTIF($A$2:$A1117, A1117)&gt;1</f>
        <v>1</v>
      </c>
      <c r="C1117" t="b">
        <f t="shared" si="324"/>
        <v>1</v>
      </c>
      <c r="D1117">
        <f>VLOOKUP(A1117,variant_counts!A:B, 2, FALSE)</f>
        <v>3</v>
      </c>
      <c r="E1117" t="str">
        <f t="shared" si="337"/>
        <v>zard-exhaust-conical-silencer-kawasaki-z-750-200411-my-03-06-zkaw170ssr-03</v>
      </c>
      <c r="F1117" t="str">
        <f t="shared" si="325"/>
        <v>ZARD EXHAUST CONICAL SILENCER KAWASAKI Z 750 2004/11 M.Y. 03-06 ZKAW170SSR-03</v>
      </c>
      <c r="G1117" t="str">
        <f t="shared" si="326"/>
        <v/>
      </c>
      <c r="H1117" t="str">
        <f t="shared" si="338"/>
        <v/>
      </c>
      <c r="I1117" t="str">
        <f t="shared" si="339"/>
        <v/>
      </c>
      <c r="J1117" t="str">
        <f t="shared" si="340"/>
        <v/>
      </c>
      <c r="K1117" t="str">
        <f t="shared" si="341"/>
        <v/>
      </c>
      <c r="L1117" t="str">
        <f t="shared" si="327"/>
        <v>Option</v>
      </c>
      <c r="M1117" t="str">
        <f t="shared" si="328"/>
        <v>EURO 3 HOMOLOGATED</v>
      </c>
      <c r="R1117" t="str">
        <f t="shared" si="329"/>
        <v>ZKAW170SSR-03</v>
      </c>
      <c r="S1117">
        <f t="shared" si="330"/>
        <v>0</v>
      </c>
      <c r="U1117" t="str">
        <f t="shared" si="331"/>
        <v>continue</v>
      </c>
      <c r="V1117" t="str">
        <f t="shared" si="332"/>
        <v>manual</v>
      </c>
      <c r="W1117" s="5">
        <f t="shared" si="333"/>
        <v>516.41639999999995</v>
      </c>
      <c r="Y1117" t="b">
        <f t="shared" si="334"/>
        <v>1</v>
      </c>
      <c r="Z1117" t="b">
        <f t="shared" si="335"/>
        <v>0</v>
      </c>
      <c r="AB1117" t="str">
        <f t="shared" si="336"/>
        <v/>
      </c>
      <c r="AE1117" t="b">
        <v>0</v>
      </c>
    </row>
    <row r="1118" spans="1:31" x14ac:dyDescent="0.2">
      <c r="A1118" t="str">
        <f t="shared" si="323"/>
        <v>https://shop.officineitalianezard.it/en/products/index/kawasaki-z750-exhaust-zard-7505-136/</v>
      </c>
      <c r="B1118" t="b">
        <f>COUNTIF($A$2:$A1118, A1118)&gt;1</f>
        <v>1</v>
      </c>
      <c r="C1118" t="b">
        <f t="shared" si="324"/>
        <v>1</v>
      </c>
      <c r="D1118">
        <f>VLOOKUP(A1118,variant_counts!A:B, 2, FALSE)</f>
        <v>3</v>
      </c>
      <c r="E1118" t="str">
        <f t="shared" si="337"/>
        <v>zard-exhaust-conical-silencer-kawasaki-z-750-200411-my-03-06-zkaw170ssr-03</v>
      </c>
      <c r="F1118" t="str">
        <f t="shared" si="325"/>
        <v>ZARD EXHAUST CONICAL SILENCER KAWASAKI Z 750 2004/11 M.Y. 03-06 ZKAW170SSR-03</v>
      </c>
      <c r="G1118" t="str">
        <f t="shared" si="326"/>
        <v/>
      </c>
      <c r="H1118" t="str">
        <f t="shared" si="338"/>
        <v/>
      </c>
      <c r="I1118" t="str">
        <f t="shared" si="339"/>
        <v/>
      </c>
      <c r="J1118" t="str">
        <f t="shared" si="340"/>
        <v/>
      </c>
      <c r="K1118" t="str">
        <f t="shared" si="341"/>
        <v/>
      </c>
      <c r="L1118" t="str">
        <f t="shared" si="327"/>
        <v>Option</v>
      </c>
      <c r="M1118" t="str">
        <f t="shared" si="328"/>
        <v>BLACK COATING</v>
      </c>
      <c r="R1118" t="str">
        <f t="shared" si="329"/>
        <v>ZKAW170SSR-03</v>
      </c>
      <c r="S1118">
        <f t="shared" si="330"/>
        <v>0</v>
      </c>
      <c r="U1118" t="str">
        <f t="shared" si="331"/>
        <v>continue</v>
      </c>
      <c r="V1118" t="str">
        <f t="shared" si="332"/>
        <v>manual</v>
      </c>
      <c r="W1118" s="5">
        <f t="shared" si="333"/>
        <v>549.99389999999994</v>
      </c>
      <c r="Y1118" t="b">
        <f t="shared" si="334"/>
        <v>1</v>
      </c>
      <c r="Z1118" t="b">
        <f t="shared" si="335"/>
        <v>0</v>
      </c>
      <c r="AB1118" t="str">
        <f t="shared" si="336"/>
        <v/>
      </c>
      <c r="AE1118" t="b">
        <v>0</v>
      </c>
    </row>
    <row r="1119" spans="1:31" x14ac:dyDescent="0.2">
      <c r="A1119" t="str">
        <f t="shared" si="323"/>
        <v>https://shop.officineitalianezard.it/en/products/index/kawasaki-z750-exhaust-zard-7505-136/</v>
      </c>
      <c r="B1119" t="b">
        <f>COUNTIF($A$2:$A1119, A1119)&gt;1</f>
        <v>1</v>
      </c>
      <c r="C1119" t="b">
        <f t="shared" si="324"/>
        <v>1</v>
      </c>
      <c r="D1119">
        <f>VLOOKUP(A1119,variant_counts!A:B, 2, FALSE)</f>
        <v>3</v>
      </c>
      <c r="E1119" t="str">
        <f t="shared" si="337"/>
        <v>zard-exhaust-conical-silencer-kawasaki-z-750-200411-my-03-06-zkaw170ssr-03</v>
      </c>
      <c r="F1119" t="str">
        <f t="shared" si="325"/>
        <v>ZARD EXHAUST CONICAL SILENCER KAWASAKI Z 750 2004/11 M.Y. 03-06 ZKAW170SSR-03</v>
      </c>
      <c r="G1119" t="str">
        <f t="shared" si="326"/>
        <v/>
      </c>
      <c r="H1119" t="str">
        <f t="shared" si="338"/>
        <v/>
      </c>
      <c r="I1119" t="str">
        <f t="shared" si="339"/>
        <v/>
      </c>
      <c r="J1119" t="str">
        <f t="shared" si="340"/>
        <v/>
      </c>
      <c r="K1119" t="str">
        <f t="shared" si="341"/>
        <v/>
      </c>
      <c r="L1119" t="str">
        <f t="shared" si="327"/>
        <v>Option</v>
      </c>
      <c r="M1119" t="str">
        <f t="shared" si="328"/>
        <v>FULL TITANIUM</v>
      </c>
      <c r="R1119" t="str">
        <f t="shared" si="329"/>
        <v>ZKAW170SSR-03</v>
      </c>
      <c r="S1119">
        <f t="shared" si="330"/>
        <v>0</v>
      </c>
      <c r="U1119" t="str">
        <f t="shared" si="331"/>
        <v>continue</v>
      </c>
      <c r="V1119" t="str">
        <f t="shared" si="332"/>
        <v>manual</v>
      </c>
      <c r="W1119" s="5">
        <f t="shared" si="333"/>
        <v>595.02660000000003</v>
      </c>
      <c r="Y1119" t="b">
        <f t="shared" si="334"/>
        <v>1</v>
      </c>
      <c r="Z1119" t="b">
        <f t="shared" si="335"/>
        <v>0</v>
      </c>
      <c r="AB1119" t="str">
        <f t="shared" si="336"/>
        <v/>
      </c>
      <c r="AE1119" t="b">
        <v>0</v>
      </c>
    </row>
    <row r="1120" spans="1:31" x14ac:dyDescent="0.2">
      <c r="A1120" t="str">
        <f t="shared" si="323"/>
        <v>https://shop.officineitalianezard.it/en/products/index/kawasaki-z750-exhaust-zard-7934-136/</v>
      </c>
      <c r="B1120" t="b">
        <f>COUNTIF($A$2:$A1120, A1120)&gt;1</f>
        <v>0</v>
      </c>
      <c r="C1120" t="b">
        <f t="shared" si="324"/>
        <v>0</v>
      </c>
      <c r="D1120">
        <f>VLOOKUP(A1120,variant_counts!A:B, 2, FALSE)</f>
        <v>3</v>
      </c>
      <c r="E1120" t="str">
        <f t="shared" si="337"/>
        <v>zard-exhaust-conical-silencer-kawasaki-z-750-200411-my-07-14-zkaw170ssr-07</v>
      </c>
      <c r="F1120" t="str">
        <f t="shared" si="325"/>
        <v>ZARD EXHAUST CONICAL SILENCER KAWASAKI Z 750 2004/11 M.Y. 07-14 ZKAW170SSR-07</v>
      </c>
      <c r="G1120" t="str">
        <f t="shared" si="326"/>
        <v>&lt;p&gt;STEEL RACING SILENCER WITH REMOVABLE DB KILELR&lt;/p&gt;
&lt;p&gt;ORIGINAL SILENCER WEIGHT: KG 6.4&lt;/p&gt;
&lt;p&gt;ZARD SILENCER WEIGHT: KG 2.3&lt;/p&gt;
&lt;p&gt;CARBON ENDCAP&lt;/p&gt;
&lt;p&gt;HARD INCREASE, COMPARED TO THE ORIGINAL EXHAUST SYSTEM,&lt;br&gt;IN TERMS OF TORQUE AND POWER AT ANY RANGE (+ 4.5 CV).&lt;/p&gt;
&lt;p&gt;ASTONISHING SOUND&lt;/p&gt;</v>
      </c>
      <c r="H1120" t="str">
        <f t="shared" si="338"/>
        <v>ZARD</v>
      </c>
      <c r="I1120" t="str">
        <f t="shared" si="339"/>
        <v>Exhaust Pipe</v>
      </c>
      <c r="J1120" t="str">
        <f t="shared" si="340"/>
        <v>Test</v>
      </c>
      <c r="K1120" t="b">
        <f t="shared" si="341"/>
        <v>0</v>
      </c>
      <c r="L1120" t="str">
        <f t="shared" si="327"/>
        <v/>
      </c>
      <c r="M1120" t="str">
        <f t="shared" si="328"/>
        <v/>
      </c>
      <c r="R1120" t="str">
        <f t="shared" si="329"/>
        <v/>
      </c>
      <c r="S1120" t="str">
        <f t="shared" si="330"/>
        <v/>
      </c>
      <c r="U1120" t="str">
        <f t="shared" si="331"/>
        <v/>
      </c>
      <c r="V1120" t="str">
        <f t="shared" si="332"/>
        <v/>
      </c>
      <c r="W1120" s="5" t="str">
        <f t="shared" si="333"/>
        <v/>
      </c>
      <c r="Y1120" t="str">
        <f t="shared" si="334"/>
        <v/>
      </c>
      <c r="Z1120" t="str">
        <f t="shared" si="335"/>
        <v/>
      </c>
      <c r="AB1120" t="str">
        <f t="shared" si="336"/>
        <v>https://shop.officineitalianezard.it/contents/imgs/products/1_2487-numero%2035%20copy.jpg</v>
      </c>
      <c r="AE1120" t="b">
        <v>0</v>
      </c>
    </row>
    <row r="1121" spans="1:31" x14ac:dyDescent="0.2">
      <c r="A1121" t="str">
        <f t="shared" si="323"/>
        <v>https://shop.officineitalianezard.it/en/products/index/kawasaki-z750-exhaust-zard-7934-136/</v>
      </c>
      <c r="B1121" t="b">
        <f>COUNTIF($A$2:$A1121, A1121)&gt;1</f>
        <v>1</v>
      </c>
      <c r="C1121" t="b">
        <f t="shared" si="324"/>
        <v>0</v>
      </c>
      <c r="D1121">
        <f>VLOOKUP(A1121,variant_counts!A:B, 2, FALSE)</f>
        <v>3</v>
      </c>
      <c r="E1121" t="str">
        <f t="shared" si="337"/>
        <v>zard-exhaust-conical-silencer-kawasaki-z-750-200411-my-07-14-zkaw170ssr-07</v>
      </c>
      <c r="F1121" t="str">
        <f t="shared" si="325"/>
        <v>ZARD EXHAUST CONICAL SILENCER KAWASAKI Z 750 2004/11 M.Y. 07-14 ZKAW170SSR-07</v>
      </c>
      <c r="G1121" t="str">
        <f t="shared" si="326"/>
        <v/>
      </c>
      <c r="H1121" t="str">
        <f t="shared" si="338"/>
        <v/>
      </c>
      <c r="I1121" t="str">
        <f t="shared" si="339"/>
        <v/>
      </c>
      <c r="J1121" t="str">
        <f t="shared" si="340"/>
        <v/>
      </c>
      <c r="K1121" t="str">
        <f t="shared" si="341"/>
        <v/>
      </c>
      <c r="L1121" t="str">
        <f t="shared" si="327"/>
        <v/>
      </c>
      <c r="M1121" t="str">
        <f t="shared" si="328"/>
        <v/>
      </c>
      <c r="R1121" t="str">
        <f t="shared" si="329"/>
        <v/>
      </c>
      <c r="S1121" t="str">
        <f t="shared" si="330"/>
        <v/>
      </c>
      <c r="U1121" t="str">
        <f t="shared" si="331"/>
        <v/>
      </c>
      <c r="V1121" t="str">
        <f t="shared" si="332"/>
        <v/>
      </c>
      <c r="W1121" s="5" t="str">
        <f t="shared" si="333"/>
        <v/>
      </c>
      <c r="Y1121" t="str">
        <f t="shared" si="334"/>
        <v/>
      </c>
      <c r="Z1121" t="str">
        <f t="shared" si="335"/>
        <v/>
      </c>
      <c r="AB1121" t="str">
        <f t="shared" si="336"/>
        <v>https://shop.officineitalianezard.it/contents/imgs/products/1_2488-numero%2036%20copy.jpg</v>
      </c>
      <c r="AE1121" t="b">
        <v>0</v>
      </c>
    </row>
    <row r="1122" spans="1:31" x14ac:dyDescent="0.2">
      <c r="A1122" t="str">
        <f t="shared" si="323"/>
        <v>https://shop.officineitalianezard.it/en/products/index/kawasaki-z750-exhaust-zard-7934-136/</v>
      </c>
      <c r="B1122" t="b">
        <f>COUNTIF($A$2:$A1122, A1122)&gt;1</f>
        <v>1</v>
      </c>
      <c r="C1122" t="b">
        <f t="shared" si="324"/>
        <v>1</v>
      </c>
      <c r="D1122">
        <f>VLOOKUP(A1122,variant_counts!A:B, 2, FALSE)</f>
        <v>3</v>
      </c>
      <c r="E1122" t="str">
        <f t="shared" si="337"/>
        <v>zard-exhaust-conical-silencer-kawasaki-z-750-200411-my-07-14-zkaw170ssr-07</v>
      </c>
      <c r="F1122" t="str">
        <f t="shared" si="325"/>
        <v>ZARD EXHAUST CONICAL SILENCER KAWASAKI Z 750 2004/11 M.Y. 07-14 ZKAW170SSR-07</v>
      </c>
      <c r="G1122" t="str">
        <f t="shared" si="326"/>
        <v/>
      </c>
      <c r="H1122" t="str">
        <f t="shared" si="338"/>
        <v/>
      </c>
      <c r="I1122" t="str">
        <f t="shared" si="339"/>
        <v/>
      </c>
      <c r="J1122" t="str">
        <f t="shared" si="340"/>
        <v/>
      </c>
      <c r="K1122" t="str">
        <f t="shared" si="341"/>
        <v/>
      </c>
      <c r="L1122" t="str">
        <f t="shared" si="327"/>
        <v>Option</v>
      </c>
      <c r="M1122" t="str">
        <f t="shared" si="328"/>
        <v>EURO 3 HOMOLOGATED</v>
      </c>
      <c r="R1122" t="str">
        <f t="shared" si="329"/>
        <v>ZKAW170SSR-07</v>
      </c>
      <c r="S1122">
        <f t="shared" si="330"/>
        <v>0</v>
      </c>
      <c r="U1122" t="str">
        <f t="shared" si="331"/>
        <v>continue</v>
      </c>
      <c r="V1122" t="str">
        <f t="shared" si="332"/>
        <v>manual</v>
      </c>
      <c r="W1122" s="5">
        <f t="shared" si="333"/>
        <v>516.41639999999995</v>
      </c>
      <c r="Y1122" t="b">
        <f t="shared" si="334"/>
        <v>1</v>
      </c>
      <c r="Z1122" t="b">
        <f t="shared" si="335"/>
        <v>0</v>
      </c>
      <c r="AB1122" t="str">
        <f t="shared" si="336"/>
        <v/>
      </c>
      <c r="AE1122" t="b">
        <v>0</v>
      </c>
    </row>
    <row r="1123" spans="1:31" x14ac:dyDescent="0.2">
      <c r="A1123" t="str">
        <f t="shared" si="323"/>
        <v>https://shop.officineitalianezard.it/en/products/index/kawasaki-z750-exhaust-zard-7934-136/</v>
      </c>
      <c r="B1123" t="b">
        <f>COUNTIF($A$2:$A1123, A1123)&gt;1</f>
        <v>1</v>
      </c>
      <c r="C1123" t="b">
        <f t="shared" si="324"/>
        <v>1</v>
      </c>
      <c r="D1123">
        <f>VLOOKUP(A1123,variant_counts!A:B, 2, FALSE)</f>
        <v>3</v>
      </c>
      <c r="E1123" t="str">
        <f t="shared" si="337"/>
        <v>zard-exhaust-conical-silencer-kawasaki-z-750-200411-my-07-14-zkaw170ssr-07</v>
      </c>
      <c r="F1123" t="str">
        <f t="shared" si="325"/>
        <v>ZARD EXHAUST CONICAL SILENCER KAWASAKI Z 750 2004/11 M.Y. 07-14 ZKAW170SSR-07</v>
      </c>
      <c r="G1123" t="str">
        <f t="shared" si="326"/>
        <v/>
      </c>
      <c r="H1123" t="str">
        <f t="shared" si="338"/>
        <v/>
      </c>
      <c r="I1123" t="str">
        <f t="shared" si="339"/>
        <v/>
      </c>
      <c r="J1123" t="str">
        <f t="shared" si="340"/>
        <v/>
      </c>
      <c r="K1123" t="str">
        <f t="shared" si="341"/>
        <v/>
      </c>
      <c r="L1123" t="str">
        <f t="shared" si="327"/>
        <v>Option</v>
      </c>
      <c r="M1123" t="str">
        <f t="shared" si="328"/>
        <v>BLACK COATING</v>
      </c>
      <c r="R1123" t="str">
        <f t="shared" si="329"/>
        <v>ZKAW170SSR-07</v>
      </c>
      <c r="S1123">
        <f t="shared" si="330"/>
        <v>0</v>
      </c>
      <c r="U1123" t="str">
        <f t="shared" si="331"/>
        <v>continue</v>
      </c>
      <c r="V1123" t="str">
        <f t="shared" si="332"/>
        <v>manual</v>
      </c>
      <c r="W1123" s="5">
        <f t="shared" si="333"/>
        <v>549.99389999999994</v>
      </c>
      <c r="Y1123" t="b">
        <f t="shared" si="334"/>
        <v>1</v>
      </c>
      <c r="Z1123" t="b">
        <f t="shared" si="335"/>
        <v>0</v>
      </c>
      <c r="AB1123" t="str">
        <f t="shared" si="336"/>
        <v/>
      </c>
      <c r="AE1123" t="b">
        <v>0</v>
      </c>
    </row>
    <row r="1124" spans="1:31" x14ac:dyDescent="0.2">
      <c r="A1124" t="str">
        <f t="shared" si="323"/>
        <v>https://shop.officineitalianezard.it/en/products/index/kawasaki-z750-exhaust-zard-7934-136/</v>
      </c>
      <c r="B1124" t="b">
        <f>COUNTIF($A$2:$A1124, A1124)&gt;1</f>
        <v>1</v>
      </c>
      <c r="C1124" t="b">
        <f t="shared" si="324"/>
        <v>1</v>
      </c>
      <c r="D1124">
        <f>VLOOKUP(A1124,variant_counts!A:B, 2, FALSE)</f>
        <v>3</v>
      </c>
      <c r="E1124" t="str">
        <f t="shared" si="337"/>
        <v>zard-exhaust-conical-silencer-kawasaki-z-750-200411-my-07-14-zkaw170ssr-07</v>
      </c>
      <c r="F1124" t="str">
        <f t="shared" si="325"/>
        <v>ZARD EXHAUST CONICAL SILENCER KAWASAKI Z 750 2004/11 M.Y. 07-14 ZKAW170SSR-07</v>
      </c>
      <c r="G1124" t="str">
        <f t="shared" si="326"/>
        <v/>
      </c>
      <c r="H1124" t="str">
        <f t="shared" si="338"/>
        <v/>
      </c>
      <c r="I1124" t="str">
        <f t="shared" si="339"/>
        <v/>
      </c>
      <c r="J1124" t="str">
        <f t="shared" si="340"/>
        <v/>
      </c>
      <c r="K1124" t="str">
        <f t="shared" si="341"/>
        <v/>
      </c>
      <c r="L1124" t="str">
        <f t="shared" si="327"/>
        <v>Option</v>
      </c>
      <c r="M1124" t="str">
        <f t="shared" si="328"/>
        <v>FULL TITANIUM</v>
      </c>
      <c r="R1124" t="str">
        <f t="shared" si="329"/>
        <v>ZKAW170SSR-07</v>
      </c>
      <c r="S1124">
        <f t="shared" si="330"/>
        <v>0</v>
      </c>
      <c r="U1124" t="str">
        <f t="shared" si="331"/>
        <v>continue</v>
      </c>
      <c r="V1124" t="str">
        <f t="shared" si="332"/>
        <v>manual</v>
      </c>
      <c r="W1124" s="5">
        <f t="shared" si="333"/>
        <v>595.02660000000003</v>
      </c>
      <c r="Y1124" t="b">
        <f t="shared" si="334"/>
        <v>1</v>
      </c>
      <c r="Z1124" t="b">
        <f t="shared" si="335"/>
        <v>0</v>
      </c>
      <c r="AB1124" t="str">
        <f t="shared" si="336"/>
        <v/>
      </c>
      <c r="AE1124" t="b">
        <v>0</v>
      </c>
    </row>
    <row r="1125" spans="1:31" x14ac:dyDescent="0.2">
      <c r="A1125" t="str">
        <f t="shared" si="323"/>
        <v>https://shop.officineitalianezard.it/en/products/index/zard-exhaust-kawasaki-kx-ke-450-f-7650-178/</v>
      </c>
      <c r="B1125" t="b">
        <f>COUNTIF($A$2:$A1125, A1125)&gt;1</f>
        <v>0</v>
      </c>
      <c r="C1125" t="b">
        <f t="shared" si="324"/>
        <v>0</v>
      </c>
      <c r="D1125">
        <f>VLOOKUP(A1125,variant_counts!A:B, 2, FALSE)</f>
        <v>0</v>
      </c>
      <c r="E1125" t="str">
        <f t="shared" si="337"/>
        <v>zard-exhaust-21-full-kit-kawasaki-kx-ke-250-f-steel-version-zkaw178skr</v>
      </c>
      <c r="F1125" t="str">
        <f t="shared" si="325"/>
        <v>ZARD EXHAUST 2&gt;1 FULL KIT KAWASAKI KX KE 250 F STEEL VERSION ZKAW178SKR</v>
      </c>
      <c r="G1125" t="str">
        <f t="shared" si="326"/>
        <v>&lt;p&gt;STEEL 2&amp;gt;1 FULL KIT WITH REMOVABLE DB KILLER&lt;/p&gt;
&lt;p&gt;COMPATIBLE WITH OFF ROAD MODELS&lt;/p&gt;
&lt;p&gt;CARBON END-CAP&lt;/p&gt;
&lt;p&gt;HARD INCREASE, COMPARED TO THE ORIGINAL EXHAUST SYSTEM, IN TERMS OF TORQUE AND POWER AT ANY RANGE&lt;/p&gt;
&lt;p&gt;ASTONISHING SOUND&lt;/p&gt;
&lt;p&gt;&amp;nbsp;&lt;/p&gt;</v>
      </c>
      <c r="H1125" t="str">
        <f t="shared" si="338"/>
        <v>ZARD</v>
      </c>
      <c r="I1125" t="str">
        <f t="shared" si="339"/>
        <v>Exhaust Pipe</v>
      </c>
      <c r="J1125" t="str">
        <f t="shared" si="340"/>
        <v>Test</v>
      </c>
      <c r="K1125" t="b">
        <f t="shared" si="341"/>
        <v>0</v>
      </c>
      <c r="L1125" t="str">
        <f t="shared" si="327"/>
        <v>Title</v>
      </c>
      <c r="M1125" t="str">
        <f t="shared" si="328"/>
        <v>Default Title</v>
      </c>
      <c r="R1125" t="str">
        <f t="shared" si="329"/>
        <v>ZKAW178SKR</v>
      </c>
      <c r="S1125">
        <f t="shared" si="330"/>
        <v>0</v>
      </c>
      <c r="U1125" t="str">
        <f t="shared" si="331"/>
        <v>continue</v>
      </c>
      <c r="V1125" t="str">
        <f t="shared" si="332"/>
        <v>manual</v>
      </c>
      <c r="W1125" s="5">
        <f t="shared" si="333"/>
        <v>931.66740000000016</v>
      </c>
      <c r="Y1125" t="b">
        <f t="shared" si="334"/>
        <v>1</v>
      </c>
      <c r="Z1125" t="b">
        <f t="shared" si="335"/>
        <v>0</v>
      </c>
      <c r="AB1125" t="str">
        <f t="shared" si="336"/>
        <v>https://shop.officineitalianezard.it/contents/imgs/products/1_1287-1.jpg</v>
      </c>
      <c r="AE1125" t="b">
        <v>0</v>
      </c>
    </row>
    <row r="1126" spans="1:31" x14ac:dyDescent="0.2">
      <c r="A1126" t="str">
        <f t="shared" si="323"/>
        <v>https://shop.officineitalianezard.it/en/products/index/zard-exhaust-kawasaki-kx-ke-450-f-7649-177/</v>
      </c>
      <c r="B1126" t="b">
        <f>COUNTIF($A$2:$A1126, A1126)&gt;1</f>
        <v>0</v>
      </c>
      <c r="C1126" t="b">
        <f t="shared" si="324"/>
        <v>0</v>
      </c>
      <c r="D1126">
        <f>VLOOKUP(A1126,variant_counts!A:B, 2, FALSE)</f>
        <v>0</v>
      </c>
      <c r="E1126" t="str">
        <f t="shared" si="337"/>
        <v>zard-exhaust-21-full-kit-kawasaki-kx-ke-450-f-steel-version-zkaw177skr</v>
      </c>
      <c r="F1126" t="str">
        <f t="shared" si="325"/>
        <v>ZARD EXHAUST 2&gt;1 FULL KIT KAWASAKI KX KE 450 F STEEL VERSION ZKAW177SKR</v>
      </c>
      <c r="G1126" t="str">
        <f t="shared" si="326"/>
        <v>&lt;p&gt;STEEL 2&amp;gt;1 FULL KIT WITH REMOVABLE DB KILLER&lt;/p&gt;
&lt;p&gt;COMPATIBLE WITH OFF ROAD MODELS&lt;/p&gt;
&lt;p&gt;CARBON END-CAP&lt;/p&gt;
&lt;p&gt;HARD INCREASE, COMPARED TO THE ORIGINAL EXHAUST SYSTEM, IN TERMS OF TORQUE AND POWER AT ANY RANGE&lt;/p&gt;
&lt;p&gt;ASTONISHING SOUND&lt;/p&gt;
&lt;p&gt;&amp;nbsp;&lt;/p&gt;</v>
      </c>
      <c r="H1126" t="str">
        <f t="shared" si="338"/>
        <v>ZARD</v>
      </c>
      <c r="I1126" t="str">
        <f t="shared" si="339"/>
        <v>Exhaust Pipe</v>
      </c>
      <c r="J1126" t="str">
        <f t="shared" si="340"/>
        <v>Test</v>
      </c>
      <c r="K1126" t="b">
        <f t="shared" si="341"/>
        <v>0</v>
      </c>
      <c r="L1126" t="str">
        <f t="shared" si="327"/>
        <v>Title</v>
      </c>
      <c r="M1126" t="str">
        <f t="shared" si="328"/>
        <v>Default Title</v>
      </c>
      <c r="R1126" t="str">
        <f t="shared" si="329"/>
        <v>ZKAW177SKR</v>
      </c>
      <c r="S1126">
        <f t="shared" si="330"/>
        <v>0</v>
      </c>
      <c r="U1126" t="str">
        <f t="shared" si="331"/>
        <v>continue</v>
      </c>
      <c r="V1126" t="str">
        <f t="shared" si="332"/>
        <v>manual</v>
      </c>
      <c r="W1126" s="5">
        <f t="shared" si="333"/>
        <v>998.08980000000008</v>
      </c>
      <c r="Y1126" t="b">
        <f t="shared" si="334"/>
        <v>1</v>
      </c>
      <c r="Z1126" t="b">
        <f t="shared" si="335"/>
        <v>0</v>
      </c>
      <c r="AB1126" t="str">
        <f t="shared" si="336"/>
        <v>https://shop.officineitalianezard.it/contents/imgs/products/1_2346-scarico%20kawasaki%20kx%20450%20f%20-%20zard%201.jpg</v>
      </c>
      <c r="AE1126" t="b">
        <v>0</v>
      </c>
    </row>
    <row r="1127" spans="1:31" x14ac:dyDescent="0.2">
      <c r="A1127" t="str">
        <f t="shared" si="323"/>
        <v>https://shop.officineitalianezard.it/en/products/index/zard-exhaust-kawasaki-kx-ke-450-f-7649-177/</v>
      </c>
      <c r="B1127" t="b">
        <f>COUNTIF($A$2:$A1127, A1127)&gt;1</f>
        <v>1</v>
      </c>
      <c r="C1127" t="b">
        <f t="shared" si="324"/>
        <v>0</v>
      </c>
      <c r="D1127">
        <f>VLOOKUP(A1127,variant_counts!A:B, 2, FALSE)</f>
        <v>0</v>
      </c>
      <c r="E1127" t="str">
        <f t="shared" si="337"/>
        <v>zard-exhaust-21-full-kit-kawasaki-kx-ke-450-f-steel-version-zkaw177skr</v>
      </c>
      <c r="F1127" t="str">
        <f t="shared" si="325"/>
        <v>ZARD EXHAUST 2&gt;1 FULL KIT KAWASAKI KX KE 450 F STEEL VERSION ZKAW177SKR</v>
      </c>
      <c r="G1127" t="str">
        <f t="shared" si="326"/>
        <v/>
      </c>
      <c r="H1127" t="str">
        <f t="shared" si="338"/>
        <v/>
      </c>
      <c r="I1127" t="str">
        <f t="shared" si="339"/>
        <v/>
      </c>
      <c r="J1127" t="str">
        <f t="shared" si="340"/>
        <v/>
      </c>
      <c r="K1127" t="str">
        <f t="shared" si="341"/>
        <v/>
      </c>
      <c r="L1127" t="str">
        <f t="shared" si="327"/>
        <v/>
      </c>
      <c r="M1127" t="str">
        <f t="shared" si="328"/>
        <v/>
      </c>
      <c r="R1127" t="str">
        <f t="shared" si="329"/>
        <v/>
      </c>
      <c r="S1127" t="str">
        <f t="shared" si="330"/>
        <v/>
      </c>
      <c r="U1127" t="str">
        <f t="shared" si="331"/>
        <v/>
      </c>
      <c r="V1127" t="str">
        <f t="shared" si="332"/>
        <v/>
      </c>
      <c r="W1127" s="5" t="str">
        <f t="shared" si="333"/>
        <v/>
      </c>
      <c r="Y1127" t="str">
        <f t="shared" si="334"/>
        <v/>
      </c>
      <c r="Z1127" t="str">
        <f t="shared" si="335"/>
        <v/>
      </c>
      <c r="AB1127" t="str">
        <f t="shared" si="336"/>
        <v>https://shop.officineitalianezard.it/contents/imgs/products/1_2347-scarico%20kawasaki%20kx%20450%20f%20-%20zard%202.jpg</v>
      </c>
      <c r="AE1127" t="b">
        <v>0</v>
      </c>
    </row>
    <row r="1128" spans="1:31" x14ac:dyDescent="0.2">
      <c r="A1128" t="str">
        <f t="shared" si="323"/>
        <v>https://shop.officineitalianezard.it/en/products/index/zard-exhaust-kawasaki-kx-ke-450-f-7649-177/</v>
      </c>
      <c r="B1128" t="b">
        <f>COUNTIF($A$2:$A1128, A1128)&gt;1</f>
        <v>1</v>
      </c>
      <c r="C1128" t="b">
        <f t="shared" si="324"/>
        <v>0</v>
      </c>
      <c r="D1128">
        <f>VLOOKUP(A1128,variant_counts!A:B, 2, FALSE)</f>
        <v>0</v>
      </c>
      <c r="E1128" t="str">
        <f t="shared" si="337"/>
        <v>zard-exhaust-21-full-kit-kawasaki-kx-ke-450-f-steel-version-zkaw177skr</v>
      </c>
      <c r="F1128" t="str">
        <f t="shared" si="325"/>
        <v>ZARD EXHAUST 2&gt;1 FULL KIT KAWASAKI KX KE 450 F STEEL VERSION ZKAW177SKR</v>
      </c>
      <c r="G1128" t="str">
        <f t="shared" si="326"/>
        <v/>
      </c>
      <c r="H1128" t="str">
        <f t="shared" si="338"/>
        <v/>
      </c>
      <c r="I1128" t="str">
        <f t="shared" si="339"/>
        <v/>
      </c>
      <c r="J1128" t="str">
        <f t="shared" si="340"/>
        <v/>
      </c>
      <c r="K1128" t="str">
        <f t="shared" si="341"/>
        <v/>
      </c>
      <c r="L1128" t="str">
        <f t="shared" si="327"/>
        <v/>
      </c>
      <c r="M1128" t="str">
        <f t="shared" si="328"/>
        <v/>
      </c>
      <c r="R1128" t="str">
        <f t="shared" si="329"/>
        <v/>
      </c>
      <c r="S1128" t="str">
        <f t="shared" si="330"/>
        <v/>
      </c>
      <c r="U1128" t="str">
        <f t="shared" si="331"/>
        <v/>
      </c>
      <c r="V1128" t="str">
        <f t="shared" si="332"/>
        <v/>
      </c>
      <c r="W1128" s="5" t="str">
        <f t="shared" si="333"/>
        <v/>
      </c>
      <c r="Y1128" t="str">
        <f t="shared" si="334"/>
        <v/>
      </c>
      <c r="Z1128" t="str">
        <f t="shared" si="335"/>
        <v/>
      </c>
      <c r="AB1128" t="str">
        <f t="shared" si="336"/>
        <v>https://shop.officineitalianezard.it/contents/imgs/products/1_2345-scarico%20kawasaki%20kx%20450%20f%20-%20zard%203.jpg</v>
      </c>
      <c r="AE1128" t="b">
        <v>0</v>
      </c>
    </row>
    <row r="1129" spans="1:31" x14ac:dyDescent="0.2">
      <c r="A1129" t="str">
        <f t="shared" si="323"/>
        <v>https://shop.officineitalianezard.it/en/products/index/kawasaki-ninja-exhaust-zard-7504-135/</v>
      </c>
      <c r="B1129" t="b">
        <f>COUNTIF($A$2:$A1129, A1129)&gt;1</f>
        <v>0</v>
      </c>
      <c r="C1129" t="b">
        <f t="shared" si="324"/>
        <v>0</v>
      </c>
      <c r="D1129">
        <f>VLOOKUP(A1129,variant_counts!A:B, 2, FALSE)</f>
        <v>2</v>
      </c>
      <c r="E1129" t="str">
        <f t="shared" si="337"/>
        <v>zard-exhaust-full-kit-kawasaki-ninja-250-300-200713-penta-version-zkaw-174-skr</v>
      </c>
      <c r="F1129" t="str">
        <f t="shared" si="325"/>
        <v>ZARD EXHAUST FULL KIT KAWASAKI NINJA 250-300 2007/13 PENTA VERSION ZKAW 174 SKR</v>
      </c>
      <c r="G1129" t="str">
        <f t="shared" si="326"/>
        <v>&lt;p&gt;STEEL-ALUMINIUM BLACK SILENCER RACING WITH REMOVABLE DB KILLER&lt;/p&gt;
&lt;p&gt;ZARD FULL KIT WEIGHT: 3.1 KG&lt;br&gt;ZARD SILENCER WEIGHT: 1.7 KG&lt;/p&gt;
&lt;p&gt;HARD INCREASE, COMPARED TO THE ORIGINAL EXHAUST SYSTEM, IN TERMS OF TORQUE AND POWER AT ANY RANGE&lt;/p&gt;
&lt;p&gt;ASTONISHING SOUND&lt;/p&gt;</v>
      </c>
      <c r="H1129" t="str">
        <f t="shared" si="338"/>
        <v>ZARD</v>
      </c>
      <c r="I1129" t="str">
        <f t="shared" si="339"/>
        <v>Exhaust Pipe</v>
      </c>
      <c r="J1129" t="str">
        <f t="shared" si="340"/>
        <v>Test</v>
      </c>
      <c r="K1129" t="b">
        <f t="shared" si="341"/>
        <v>0</v>
      </c>
      <c r="L1129" t="str">
        <f t="shared" si="327"/>
        <v/>
      </c>
      <c r="M1129" t="str">
        <f t="shared" si="328"/>
        <v/>
      </c>
      <c r="R1129" t="str">
        <f t="shared" si="329"/>
        <v/>
      </c>
      <c r="S1129" t="str">
        <f t="shared" si="330"/>
        <v/>
      </c>
      <c r="U1129" t="str">
        <f t="shared" si="331"/>
        <v/>
      </c>
      <c r="V1129" t="str">
        <f t="shared" si="332"/>
        <v/>
      </c>
      <c r="W1129" s="5" t="str">
        <f t="shared" si="333"/>
        <v/>
      </c>
      <c r="Y1129" t="str">
        <f t="shared" si="334"/>
        <v/>
      </c>
      <c r="Z1129" t="str">
        <f t="shared" si="335"/>
        <v/>
      </c>
      <c r="AB1129" t="str">
        <f t="shared" si="336"/>
        <v>https://shop.officineitalianezard.it/contents/imgs/products/1_861-ninja1.JPG</v>
      </c>
      <c r="AE1129" t="b">
        <v>0</v>
      </c>
    </row>
    <row r="1130" spans="1:31" x14ac:dyDescent="0.2">
      <c r="A1130" t="str">
        <f t="shared" si="323"/>
        <v>https://shop.officineitalianezard.it/en/products/index/kawasaki-ninja-exhaust-zard-7504-135/</v>
      </c>
      <c r="B1130" t="b">
        <f>COUNTIF($A$2:$A1130, A1130)&gt;1</f>
        <v>1</v>
      </c>
      <c r="C1130" t="b">
        <f t="shared" si="324"/>
        <v>0</v>
      </c>
      <c r="D1130">
        <f>VLOOKUP(A1130,variant_counts!A:B, 2, FALSE)</f>
        <v>2</v>
      </c>
      <c r="E1130" t="str">
        <f t="shared" si="337"/>
        <v>zard-exhaust-full-kit-kawasaki-ninja-250-300-200713-penta-version-zkaw-174-skr</v>
      </c>
      <c r="F1130" t="str">
        <f t="shared" si="325"/>
        <v>ZARD EXHAUST FULL KIT KAWASAKI NINJA 250-300 2007/13 PENTA VERSION ZKAW 174 SKR</v>
      </c>
      <c r="G1130" t="str">
        <f t="shared" si="326"/>
        <v/>
      </c>
      <c r="H1130" t="str">
        <f t="shared" si="338"/>
        <v/>
      </c>
      <c r="I1130" t="str">
        <f t="shared" si="339"/>
        <v/>
      </c>
      <c r="J1130" t="str">
        <f t="shared" si="340"/>
        <v/>
      </c>
      <c r="K1130" t="str">
        <f t="shared" si="341"/>
        <v/>
      </c>
      <c r="L1130" t="str">
        <f t="shared" si="327"/>
        <v/>
      </c>
      <c r="M1130" t="str">
        <f t="shared" si="328"/>
        <v/>
      </c>
      <c r="R1130" t="str">
        <f t="shared" si="329"/>
        <v/>
      </c>
      <c r="S1130" t="str">
        <f t="shared" si="330"/>
        <v/>
      </c>
      <c r="U1130" t="str">
        <f t="shared" si="331"/>
        <v/>
      </c>
      <c r="V1130" t="str">
        <f t="shared" si="332"/>
        <v/>
      </c>
      <c r="W1130" s="5" t="str">
        <f t="shared" si="333"/>
        <v/>
      </c>
      <c r="Y1130" t="str">
        <f t="shared" si="334"/>
        <v/>
      </c>
      <c r="Z1130" t="str">
        <f t="shared" si="335"/>
        <v/>
      </c>
      <c r="AB1130" t="str">
        <f t="shared" si="336"/>
        <v>https://shop.officineitalianezard.it/contents/imgs/products/1_859-ninja.jpg</v>
      </c>
      <c r="AE1130" t="b">
        <v>0</v>
      </c>
    </row>
    <row r="1131" spans="1:31" x14ac:dyDescent="0.2">
      <c r="A1131" t="str">
        <f t="shared" si="323"/>
        <v>https://shop.officineitalianezard.it/en/products/index/kawasaki-ninja-exhaust-zard-7504-135/</v>
      </c>
      <c r="B1131" t="b">
        <f>COUNTIF($A$2:$A1131, A1131)&gt;1</f>
        <v>1</v>
      </c>
      <c r="C1131" t="b">
        <f t="shared" si="324"/>
        <v>0</v>
      </c>
      <c r="D1131">
        <f>VLOOKUP(A1131,variant_counts!A:B, 2, FALSE)</f>
        <v>2</v>
      </c>
      <c r="E1131" t="str">
        <f t="shared" si="337"/>
        <v>zard-exhaust-full-kit-kawasaki-ninja-250-300-200713-penta-version-zkaw-174-skr</v>
      </c>
      <c r="F1131" t="str">
        <f t="shared" si="325"/>
        <v>ZARD EXHAUST FULL KIT KAWASAKI NINJA 250-300 2007/13 PENTA VERSION ZKAW 174 SKR</v>
      </c>
      <c r="G1131" t="str">
        <f t="shared" si="326"/>
        <v/>
      </c>
      <c r="H1131" t="str">
        <f t="shared" si="338"/>
        <v/>
      </c>
      <c r="I1131" t="str">
        <f t="shared" si="339"/>
        <v/>
      </c>
      <c r="J1131" t="str">
        <f t="shared" si="340"/>
        <v/>
      </c>
      <c r="K1131" t="str">
        <f t="shared" si="341"/>
        <v/>
      </c>
      <c r="L1131" t="str">
        <f t="shared" si="327"/>
        <v/>
      </c>
      <c r="M1131" t="str">
        <f t="shared" si="328"/>
        <v/>
      </c>
      <c r="R1131" t="str">
        <f t="shared" si="329"/>
        <v/>
      </c>
      <c r="S1131" t="str">
        <f t="shared" si="330"/>
        <v/>
      </c>
      <c r="U1131" t="str">
        <f t="shared" si="331"/>
        <v/>
      </c>
      <c r="V1131" t="str">
        <f t="shared" si="332"/>
        <v/>
      </c>
      <c r="W1131" s="5" t="str">
        <f t="shared" si="333"/>
        <v/>
      </c>
      <c r="Y1131" t="str">
        <f t="shared" si="334"/>
        <v/>
      </c>
      <c r="Z1131" t="str">
        <f t="shared" si="335"/>
        <v/>
      </c>
      <c r="AB1131" t="str">
        <f t="shared" si="336"/>
        <v>https://shop.officineitalianezard.it/contents/imgs/products/1_860-ninja3.JPG</v>
      </c>
      <c r="AE1131" t="b">
        <v>0</v>
      </c>
    </row>
    <row r="1132" spans="1:31" x14ac:dyDescent="0.2">
      <c r="A1132" t="str">
        <f t="shared" si="323"/>
        <v>https://shop.officineitalianezard.it/en/products/index/kawasaki-ninja-exhaust-zard-7504-135/</v>
      </c>
      <c r="B1132" t="b">
        <f>COUNTIF($A$2:$A1132, A1132)&gt;1</f>
        <v>1</v>
      </c>
      <c r="C1132" t="b">
        <f t="shared" si="324"/>
        <v>1</v>
      </c>
      <c r="D1132">
        <f>VLOOKUP(A1132,variant_counts!A:B, 2, FALSE)</f>
        <v>2</v>
      </c>
      <c r="E1132" t="str">
        <f t="shared" si="337"/>
        <v>zard-exhaust-full-kit-kawasaki-ninja-250-300-200713-penta-version-zkaw-174-skr</v>
      </c>
      <c r="F1132" t="str">
        <f t="shared" si="325"/>
        <v>ZARD EXHAUST FULL KIT KAWASAKI NINJA 250-300 2007/13 PENTA VERSION ZKAW 174 SKR</v>
      </c>
      <c r="G1132" t="str">
        <f t="shared" si="326"/>
        <v/>
      </c>
      <c r="H1132" t="str">
        <f t="shared" si="338"/>
        <v/>
      </c>
      <c r="I1132" t="str">
        <f t="shared" si="339"/>
        <v/>
      </c>
      <c r="J1132" t="str">
        <f t="shared" si="340"/>
        <v/>
      </c>
      <c r="K1132" t="str">
        <f t="shared" si="341"/>
        <v/>
      </c>
      <c r="L1132" t="str">
        <f t="shared" si="327"/>
        <v>Option</v>
      </c>
      <c r="M1132" t="str">
        <f t="shared" si="328"/>
        <v>CARBON ENDCAP</v>
      </c>
      <c r="R1132" t="str">
        <f t="shared" si="329"/>
        <v>ZKAW 174 SKR</v>
      </c>
      <c r="S1132">
        <f t="shared" si="330"/>
        <v>0</v>
      </c>
      <c r="U1132" t="str">
        <f t="shared" si="331"/>
        <v>continue</v>
      </c>
      <c r="V1132" t="str">
        <f t="shared" si="332"/>
        <v>manual</v>
      </c>
      <c r="W1132" s="5">
        <f t="shared" si="333"/>
        <v>691.38570000000004</v>
      </c>
      <c r="Y1132" t="b">
        <f t="shared" si="334"/>
        <v>1</v>
      </c>
      <c r="Z1132" t="b">
        <f t="shared" si="335"/>
        <v>0</v>
      </c>
      <c r="AB1132" t="str">
        <f t="shared" si="336"/>
        <v/>
      </c>
      <c r="AE1132" t="b">
        <v>0</v>
      </c>
    </row>
    <row r="1133" spans="1:31" x14ac:dyDescent="0.2">
      <c r="A1133" t="str">
        <f t="shared" si="323"/>
        <v>https://shop.officineitalianezard.it/en/products/index/kawasaki-ninja-exhaust-zard-7504-135/</v>
      </c>
      <c r="B1133" t="b">
        <f>COUNTIF($A$2:$A1133, A1133)&gt;1</f>
        <v>1</v>
      </c>
      <c r="C1133" t="b">
        <f t="shared" si="324"/>
        <v>1</v>
      </c>
      <c r="D1133">
        <f>VLOOKUP(A1133,variant_counts!A:B, 2, FALSE)</f>
        <v>2</v>
      </c>
      <c r="E1133" t="str">
        <f t="shared" si="337"/>
        <v>zard-exhaust-full-kit-kawasaki-ninja-250-300-200713-penta-version-zkaw-174-skr</v>
      </c>
      <c r="F1133" t="str">
        <f t="shared" si="325"/>
        <v>ZARD EXHAUST FULL KIT KAWASAKI NINJA 250-300 2007/13 PENTA VERSION ZKAW 174 SKR</v>
      </c>
      <c r="G1133" t="str">
        <f t="shared" si="326"/>
        <v/>
      </c>
      <c r="H1133" t="str">
        <f t="shared" si="338"/>
        <v/>
      </c>
      <c r="I1133" t="str">
        <f t="shared" si="339"/>
        <v/>
      </c>
      <c r="J1133" t="str">
        <f t="shared" si="340"/>
        <v/>
      </c>
      <c r="K1133" t="str">
        <f t="shared" si="341"/>
        <v/>
      </c>
      <c r="L1133" t="str">
        <f t="shared" si="327"/>
        <v>Option</v>
      </c>
      <c r="M1133" t="str">
        <f t="shared" si="328"/>
        <v>STEEL-CARBON</v>
      </c>
      <c r="R1133" t="str">
        <f t="shared" si="329"/>
        <v>ZKAW 174 SKR</v>
      </c>
      <c r="S1133">
        <f t="shared" si="330"/>
        <v>0</v>
      </c>
      <c r="U1133" t="str">
        <f t="shared" si="331"/>
        <v>continue</v>
      </c>
      <c r="V1133" t="str">
        <f t="shared" si="332"/>
        <v>manual</v>
      </c>
      <c r="W1133" s="5">
        <f t="shared" si="333"/>
        <v>764.26830000000007</v>
      </c>
      <c r="Y1133" t="b">
        <f t="shared" si="334"/>
        <v>1</v>
      </c>
      <c r="Z1133" t="b">
        <f t="shared" si="335"/>
        <v>0</v>
      </c>
      <c r="AB1133" t="str">
        <f t="shared" si="336"/>
        <v/>
      </c>
      <c r="AE1133" t="b">
        <v>0</v>
      </c>
    </row>
    <row r="1134" spans="1:31" x14ac:dyDescent="0.2">
      <c r="A1134" t="str">
        <f t="shared" si="323"/>
        <v>https://shop.officineitalianezard.it/en/products/index/kawasaki-ninja-exhaust-zard-7503-135/</v>
      </c>
      <c r="B1134" t="b">
        <f>COUNTIF($A$2:$A1134, A1134)&gt;1</f>
        <v>0</v>
      </c>
      <c r="C1134" t="b">
        <f t="shared" si="324"/>
        <v>0</v>
      </c>
      <c r="D1134">
        <f>VLOOKUP(A1134,variant_counts!A:B, 2, FALSE)</f>
        <v>2</v>
      </c>
      <c r="E1134" t="str">
        <f t="shared" si="337"/>
        <v>zard-exhaust-silencer-kawasaki-ninja-250-300-200713-penta-version-zkaw-174-ssr</v>
      </c>
      <c r="F1134" t="str">
        <f t="shared" si="325"/>
        <v>ZARD EXHAUST SILENCER KAWASAKI NINJA 250-300 2007/13 PENTA VERSION ZKAW 174 SSR</v>
      </c>
      <c r="G1134" t="str">
        <f t="shared" si="326"/>
        <v>&lt;p&gt;STEEL-ALUMINIUM BLACK SILENCER RACING WITH REMOVABLE DB KILLER&lt;/p&gt;
&lt;p&gt;ZARD SILENCER WEIGHT: 1.7 KG&lt;/p&gt;
&lt;p&gt;HARD INCREASE, COMPARED TO THE ORIGINAL EXHAUST SYSTEM, IN TERMS OF TORQUE AND POWER AT ANY RANGE&lt;/p&gt;
&lt;p&gt;ASTONISHING SOUND&lt;/p&gt;</v>
      </c>
      <c r="H1134" t="str">
        <f t="shared" si="338"/>
        <v>ZARD</v>
      </c>
      <c r="I1134" t="str">
        <f t="shared" si="339"/>
        <v>Exhaust Pipe</v>
      </c>
      <c r="J1134" t="str">
        <f t="shared" si="340"/>
        <v>Test</v>
      </c>
      <c r="K1134" t="b">
        <f t="shared" si="341"/>
        <v>0</v>
      </c>
      <c r="L1134" t="str">
        <f t="shared" si="327"/>
        <v/>
      </c>
      <c r="M1134" t="str">
        <f t="shared" si="328"/>
        <v/>
      </c>
      <c r="R1134" t="str">
        <f t="shared" si="329"/>
        <v/>
      </c>
      <c r="S1134" t="str">
        <f t="shared" si="330"/>
        <v/>
      </c>
      <c r="U1134" t="str">
        <f t="shared" si="331"/>
        <v/>
      </c>
      <c r="V1134" t="str">
        <f t="shared" si="332"/>
        <v/>
      </c>
      <c r="W1134" s="5" t="str">
        <f t="shared" si="333"/>
        <v/>
      </c>
      <c r="Y1134" t="str">
        <f t="shared" si="334"/>
        <v/>
      </c>
      <c r="Z1134" t="str">
        <f t="shared" si="335"/>
        <v/>
      </c>
      <c r="AB1134" t="str">
        <f t="shared" si="336"/>
        <v>https://shop.officineitalianezard.it/contents/imgs/products/1_858-ninja1.JPG</v>
      </c>
      <c r="AE1134" t="b">
        <v>0</v>
      </c>
    </row>
    <row r="1135" spans="1:31" x14ac:dyDescent="0.2">
      <c r="A1135" t="str">
        <f t="shared" si="323"/>
        <v>https://shop.officineitalianezard.it/en/products/index/kawasaki-ninja-exhaust-zard-7503-135/</v>
      </c>
      <c r="B1135" t="b">
        <f>COUNTIF($A$2:$A1135, A1135)&gt;1</f>
        <v>1</v>
      </c>
      <c r="C1135" t="b">
        <f t="shared" si="324"/>
        <v>0</v>
      </c>
      <c r="D1135">
        <f>VLOOKUP(A1135,variant_counts!A:B, 2, FALSE)</f>
        <v>2</v>
      </c>
      <c r="E1135" t="str">
        <f t="shared" si="337"/>
        <v>zard-exhaust-silencer-kawasaki-ninja-250-300-200713-penta-version-zkaw-174-ssr</v>
      </c>
      <c r="F1135" t="str">
        <f t="shared" si="325"/>
        <v>ZARD EXHAUST SILENCER KAWASAKI NINJA 250-300 2007/13 PENTA VERSION ZKAW 174 SSR</v>
      </c>
      <c r="G1135" t="str">
        <f t="shared" si="326"/>
        <v/>
      </c>
      <c r="H1135" t="str">
        <f t="shared" si="338"/>
        <v/>
      </c>
      <c r="I1135" t="str">
        <f t="shared" si="339"/>
        <v/>
      </c>
      <c r="J1135" t="str">
        <f t="shared" si="340"/>
        <v/>
      </c>
      <c r="K1135" t="str">
        <f t="shared" si="341"/>
        <v/>
      </c>
      <c r="L1135" t="str">
        <f t="shared" si="327"/>
        <v/>
      </c>
      <c r="M1135" t="str">
        <f t="shared" si="328"/>
        <v/>
      </c>
      <c r="R1135" t="str">
        <f t="shared" si="329"/>
        <v/>
      </c>
      <c r="S1135" t="str">
        <f t="shared" si="330"/>
        <v/>
      </c>
      <c r="U1135" t="str">
        <f t="shared" si="331"/>
        <v/>
      </c>
      <c r="V1135" t="str">
        <f t="shared" si="332"/>
        <v/>
      </c>
      <c r="W1135" s="5" t="str">
        <f t="shared" si="333"/>
        <v/>
      </c>
      <c r="Y1135" t="str">
        <f t="shared" si="334"/>
        <v/>
      </c>
      <c r="Z1135" t="str">
        <f t="shared" si="335"/>
        <v/>
      </c>
      <c r="AB1135" t="str">
        <f t="shared" si="336"/>
        <v>https://shop.officineitalianezard.it/contents/imgs/products/1_856-ninja.jpg</v>
      </c>
      <c r="AE1135" t="b">
        <v>0</v>
      </c>
    </row>
    <row r="1136" spans="1:31" x14ac:dyDescent="0.2">
      <c r="A1136" t="str">
        <f t="shared" si="323"/>
        <v>https://shop.officineitalianezard.it/en/products/index/kawasaki-ninja-exhaust-zard-7503-135/</v>
      </c>
      <c r="B1136" t="b">
        <f>COUNTIF($A$2:$A1136, A1136)&gt;1</f>
        <v>1</v>
      </c>
      <c r="C1136" t="b">
        <f t="shared" si="324"/>
        <v>0</v>
      </c>
      <c r="D1136">
        <f>VLOOKUP(A1136,variant_counts!A:B, 2, FALSE)</f>
        <v>2</v>
      </c>
      <c r="E1136" t="str">
        <f t="shared" si="337"/>
        <v>zard-exhaust-silencer-kawasaki-ninja-250-300-200713-penta-version-zkaw-174-ssr</v>
      </c>
      <c r="F1136" t="str">
        <f t="shared" si="325"/>
        <v>ZARD EXHAUST SILENCER KAWASAKI NINJA 250-300 2007/13 PENTA VERSION ZKAW 174 SSR</v>
      </c>
      <c r="G1136" t="str">
        <f t="shared" si="326"/>
        <v/>
      </c>
      <c r="H1136" t="str">
        <f t="shared" si="338"/>
        <v/>
      </c>
      <c r="I1136" t="str">
        <f t="shared" si="339"/>
        <v/>
      </c>
      <c r="J1136" t="str">
        <f t="shared" si="340"/>
        <v/>
      </c>
      <c r="K1136" t="str">
        <f t="shared" si="341"/>
        <v/>
      </c>
      <c r="L1136" t="str">
        <f t="shared" si="327"/>
        <v/>
      </c>
      <c r="M1136" t="str">
        <f t="shared" si="328"/>
        <v/>
      </c>
      <c r="R1136" t="str">
        <f t="shared" si="329"/>
        <v/>
      </c>
      <c r="S1136" t="str">
        <f t="shared" si="330"/>
        <v/>
      </c>
      <c r="U1136" t="str">
        <f t="shared" si="331"/>
        <v/>
      </c>
      <c r="V1136" t="str">
        <f t="shared" si="332"/>
        <v/>
      </c>
      <c r="W1136" s="5" t="str">
        <f t="shared" si="333"/>
        <v/>
      </c>
      <c r="Y1136" t="str">
        <f t="shared" si="334"/>
        <v/>
      </c>
      <c r="Z1136" t="str">
        <f t="shared" si="335"/>
        <v/>
      </c>
      <c r="AB1136" t="str">
        <f t="shared" si="336"/>
        <v>https://shop.officineitalianezard.it/contents/imgs/products/1_857-ninja3.JPG</v>
      </c>
      <c r="AE1136" t="b">
        <v>0</v>
      </c>
    </row>
    <row r="1137" spans="1:31" x14ac:dyDescent="0.2">
      <c r="A1137" t="str">
        <f t="shared" si="323"/>
        <v>https://shop.officineitalianezard.it/en/products/index/kawasaki-ninja-exhaust-zard-7503-135/</v>
      </c>
      <c r="B1137" t="b">
        <f>COUNTIF($A$2:$A1137, A1137)&gt;1</f>
        <v>1</v>
      </c>
      <c r="C1137" t="b">
        <f t="shared" si="324"/>
        <v>1</v>
      </c>
      <c r="D1137">
        <f>VLOOKUP(A1137,variant_counts!A:B, 2, FALSE)</f>
        <v>2</v>
      </c>
      <c r="E1137" t="str">
        <f t="shared" si="337"/>
        <v>zard-exhaust-silencer-kawasaki-ninja-250-300-200713-penta-version-zkaw-174-ssr</v>
      </c>
      <c r="F1137" t="str">
        <f t="shared" si="325"/>
        <v>ZARD EXHAUST SILENCER KAWASAKI NINJA 250-300 2007/13 PENTA VERSION ZKAW 174 SSR</v>
      </c>
      <c r="G1137" t="str">
        <f t="shared" si="326"/>
        <v/>
      </c>
      <c r="H1137" t="str">
        <f t="shared" si="338"/>
        <v/>
      </c>
      <c r="I1137" t="str">
        <f t="shared" si="339"/>
        <v/>
      </c>
      <c r="J1137" t="str">
        <f t="shared" si="340"/>
        <v/>
      </c>
      <c r="K1137" t="str">
        <f t="shared" si="341"/>
        <v/>
      </c>
      <c r="L1137" t="str">
        <f t="shared" si="327"/>
        <v>Option</v>
      </c>
      <c r="M1137" t="str">
        <f t="shared" si="328"/>
        <v>CARBON ENDCAP</v>
      </c>
      <c r="R1137" t="str">
        <f t="shared" si="329"/>
        <v>ZKAW 174 SSR</v>
      </c>
      <c r="S1137">
        <f t="shared" si="330"/>
        <v>0</v>
      </c>
      <c r="U1137" t="str">
        <f t="shared" si="331"/>
        <v>continue</v>
      </c>
      <c r="V1137" t="str">
        <f t="shared" si="332"/>
        <v>manual</v>
      </c>
      <c r="W1137" s="5">
        <f t="shared" si="333"/>
        <v>483.02760000000006</v>
      </c>
      <c r="Y1137" t="b">
        <f t="shared" si="334"/>
        <v>1</v>
      </c>
      <c r="Z1137" t="b">
        <f t="shared" si="335"/>
        <v>0</v>
      </c>
      <c r="AB1137" t="str">
        <f t="shared" si="336"/>
        <v/>
      </c>
      <c r="AE1137" t="b">
        <v>0</v>
      </c>
    </row>
    <row r="1138" spans="1:31" x14ac:dyDescent="0.2">
      <c r="A1138" t="str">
        <f t="shared" si="323"/>
        <v>https://shop.officineitalianezard.it/en/products/index/kawasaki-ninja-exhaust-zard-7503-135/</v>
      </c>
      <c r="B1138" t="b">
        <f>COUNTIF($A$2:$A1138, A1138)&gt;1</f>
        <v>1</v>
      </c>
      <c r="C1138" t="b">
        <f t="shared" si="324"/>
        <v>1</v>
      </c>
      <c r="D1138">
        <f>VLOOKUP(A1138,variant_counts!A:B, 2, FALSE)</f>
        <v>2</v>
      </c>
      <c r="E1138" t="str">
        <f t="shared" si="337"/>
        <v>zard-exhaust-silencer-kawasaki-ninja-250-300-200713-penta-version-zkaw-174-ssr</v>
      </c>
      <c r="F1138" t="str">
        <f t="shared" si="325"/>
        <v>ZARD EXHAUST SILENCER KAWASAKI NINJA 250-300 2007/13 PENTA VERSION ZKAW 174 SSR</v>
      </c>
      <c r="G1138" t="str">
        <f t="shared" si="326"/>
        <v/>
      </c>
      <c r="H1138" t="str">
        <f t="shared" si="338"/>
        <v/>
      </c>
      <c r="I1138" t="str">
        <f t="shared" si="339"/>
        <v/>
      </c>
      <c r="J1138" t="str">
        <f t="shared" si="340"/>
        <v/>
      </c>
      <c r="K1138" t="str">
        <f t="shared" si="341"/>
        <v/>
      </c>
      <c r="L1138" t="str">
        <f t="shared" si="327"/>
        <v>Option</v>
      </c>
      <c r="M1138" t="str">
        <f t="shared" si="328"/>
        <v>STEEL-CARBON</v>
      </c>
      <c r="R1138" t="str">
        <f t="shared" si="329"/>
        <v>ZKAW 174 SSR</v>
      </c>
      <c r="S1138">
        <f t="shared" si="330"/>
        <v>0</v>
      </c>
      <c r="U1138" t="str">
        <f t="shared" si="331"/>
        <v>continue</v>
      </c>
      <c r="V1138" t="str">
        <f t="shared" si="332"/>
        <v>manual</v>
      </c>
      <c r="W1138" s="5">
        <f t="shared" si="333"/>
        <v>534.62040000000002</v>
      </c>
      <c r="Y1138" t="b">
        <f t="shared" si="334"/>
        <v>1</v>
      </c>
      <c r="Z1138" t="b">
        <f t="shared" si="335"/>
        <v>0</v>
      </c>
      <c r="AB1138" t="str">
        <f t="shared" si="336"/>
        <v/>
      </c>
      <c r="AE1138" t="b">
        <v>0</v>
      </c>
    </row>
    <row r="1139" spans="1:31" x14ac:dyDescent="0.2">
      <c r="A1139" t="str">
        <f t="shared" si="323"/>
        <v>https://shop.officineitalianezard.it/en/products/index/kawasaki-er-6n-er-6f-exhaust-zard-7502-134/</v>
      </c>
      <c r="B1139" t="b">
        <f>COUNTIF($A$2:$A1139, A1139)&gt;1</f>
        <v>0</v>
      </c>
      <c r="C1139" t="b">
        <f t="shared" si="324"/>
        <v>0</v>
      </c>
      <c r="D1139">
        <f>VLOOKUP(A1139,variant_counts!A:B, 2, FALSE)</f>
        <v>1</v>
      </c>
      <c r="E1139" t="str">
        <f t="shared" si="337"/>
        <v>zard-exhaust-21-full-kit-kawasaki-er-6n-er-6f-200516-penta-version-zkaw171skr</v>
      </c>
      <c r="F1139" t="str">
        <f t="shared" si="325"/>
        <v>ZARD EXHAUST 2&gt;1 FULL KIT KAWASAKI ER-6N-ER-6F 2005/16 PENTA VERSION ZKAW171SKR</v>
      </c>
      <c r="G1139" t="str">
        <f t="shared" si="326"/>
        <v>&lt;p&gt;2&amp;gt;1 STEEL-ALUMINIUM BLACK FULL KIT RACING WITH REMOVABLE DB KILLER&lt;/p&gt;
&lt;p&gt;ORIGINAL FULL KIT WEIGHT: 3.1 KG&lt;br&gt;ZARD FULL KIT WEIGHT: 9.5 KG&lt;/p&gt;
&lt;p&gt;HARD INCREASE, COMPARED TO THE ORIGINAL EXHAUST SYSTEM, IN TERMS OF TORQUE AND POWER AT ANY RANGE&lt;/p&gt;
&lt;p&gt;ASTONISHING SOUND&lt;/p&gt;</v>
      </c>
      <c r="H1139" t="str">
        <f t="shared" si="338"/>
        <v>ZARD</v>
      </c>
      <c r="I1139" t="str">
        <f t="shared" si="339"/>
        <v>Exhaust Pipe</v>
      </c>
      <c r="J1139" t="str">
        <f t="shared" si="340"/>
        <v>Test</v>
      </c>
      <c r="K1139" t="b">
        <f t="shared" si="341"/>
        <v>0</v>
      </c>
      <c r="L1139" t="str">
        <f t="shared" si="327"/>
        <v>Option</v>
      </c>
      <c r="M1139" t="str">
        <f t="shared" si="328"/>
        <v>DEFAULT</v>
      </c>
      <c r="R1139" t="str">
        <f t="shared" si="329"/>
        <v>ZKAW171SKR</v>
      </c>
      <c r="S1139">
        <f t="shared" si="330"/>
        <v>0</v>
      </c>
      <c r="U1139" t="str">
        <f t="shared" si="331"/>
        <v>continue</v>
      </c>
      <c r="V1139" t="str">
        <f t="shared" si="332"/>
        <v>manual</v>
      </c>
      <c r="W1139" s="5">
        <f t="shared" si="333"/>
        <v>731.51220000000001</v>
      </c>
      <c r="Y1139" t="b">
        <f t="shared" si="334"/>
        <v>1</v>
      </c>
      <c r="Z1139" t="b">
        <f t="shared" si="335"/>
        <v>0</v>
      </c>
      <c r="AB1139" t="str">
        <f t="shared" si="336"/>
        <v>https://shop.officineitalianezard.it/contents/imgs/products/1_854-er6n8.JPG</v>
      </c>
      <c r="AE1139" t="b">
        <v>0</v>
      </c>
    </row>
    <row r="1140" spans="1:31" x14ac:dyDescent="0.2">
      <c r="A1140" t="str">
        <f t="shared" si="323"/>
        <v>https://shop.officineitalianezard.it/en/products/index/kawasaki-er-6n-er-6f-exhaust-zard-7502-134/</v>
      </c>
      <c r="B1140" t="b">
        <f>COUNTIF($A$2:$A1140, A1140)&gt;1</f>
        <v>1</v>
      </c>
      <c r="C1140" t="b">
        <f t="shared" si="324"/>
        <v>0</v>
      </c>
      <c r="D1140">
        <f>VLOOKUP(A1140,variant_counts!A:B, 2, FALSE)</f>
        <v>1</v>
      </c>
      <c r="E1140" t="str">
        <f t="shared" si="337"/>
        <v>zard-exhaust-21-full-kit-kawasaki-er-6n-er-6f-200516-penta-version-zkaw171skr</v>
      </c>
      <c r="F1140" t="str">
        <f t="shared" si="325"/>
        <v>ZARD EXHAUST 2&gt;1 FULL KIT KAWASAKI ER-6N-ER-6F 2005/16 PENTA VERSION ZKAW171SKR</v>
      </c>
      <c r="G1140" t="str">
        <f t="shared" si="326"/>
        <v/>
      </c>
      <c r="H1140" t="str">
        <f t="shared" si="338"/>
        <v/>
      </c>
      <c r="I1140" t="str">
        <f t="shared" si="339"/>
        <v/>
      </c>
      <c r="J1140" t="str">
        <f t="shared" si="340"/>
        <v/>
      </c>
      <c r="K1140" t="str">
        <f t="shared" si="341"/>
        <v/>
      </c>
      <c r="L1140" t="str">
        <f t="shared" si="327"/>
        <v/>
      </c>
      <c r="M1140" t="str">
        <f t="shared" si="328"/>
        <v/>
      </c>
      <c r="R1140" t="str">
        <f t="shared" si="329"/>
        <v/>
      </c>
      <c r="S1140" t="str">
        <f t="shared" si="330"/>
        <v/>
      </c>
      <c r="U1140" t="str">
        <f t="shared" si="331"/>
        <v/>
      </c>
      <c r="V1140" t="str">
        <f t="shared" si="332"/>
        <v/>
      </c>
      <c r="W1140" s="5" t="str">
        <f t="shared" si="333"/>
        <v/>
      </c>
      <c r="Y1140" t="str">
        <f t="shared" si="334"/>
        <v/>
      </c>
      <c r="Z1140" t="str">
        <f t="shared" si="335"/>
        <v/>
      </c>
      <c r="AB1140" t="str">
        <f t="shared" si="336"/>
        <v>https://shop.officineitalianezard.it/contents/imgs/products/1_853-er6n7.JPG</v>
      </c>
      <c r="AE1140" t="b">
        <v>0</v>
      </c>
    </row>
    <row r="1141" spans="1:31" x14ac:dyDescent="0.2">
      <c r="A1141" t="str">
        <f t="shared" si="323"/>
        <v>https://shop.officineitalianezard.it/en/products/index/kawasaki-er-6n-er-6f-exhaust-zard-7502-134/</v>
      </c>
      <c r="B1141" t="b">
        <f>COUNTIF($A$2:$A1141, A1141)&gt;1</f>
        <v>1</v>
      </c>
      <c r="C1141" t="b">
        <f t="shared" si="324"/>
        <v>0</v>
      </c>
      <c r="D1141">
        <f>VLOOKUP(A1141,variant_counts!A:B, 2, FALSE)</f>
        <v>1</v>
      </c>
      <c r="E1141" t="str">
        <f t="shared" si="337"/>
        <v>zard-exhaust-21-full-kit-kawasaki-er-6n-er-6f-200516-penta-version-zkaw171skr</v>
      </c>
      <c r="F1141" t="str">
        <f t="shared" si="325"/>
        <v>ZARD EXHAUST 2&gt;1 FULL KIT KAWASAKI ER-6N-ER-6F 2005/16 PENTA VERSION ZKAW171SKR</v>
      </c>
      <c r="G1141" t="str">
        <f t="shared" si="326"/>
        <v/>
      </c>
      <c r="H1141" t="str">
        <f t="shared" si="338"/>
        <v/>
      </c>
      <c r="I1141" t="str">
        <f t="shared" si="339"/>
        <v/>
      </c>
      <c r="J1141" t="str">
        <f t="shared" si="340"/>
        <v/>
      </c>
      <c r="K1141" t="str">
        <f t="shared" si="341"/>
        <v/>
      </c>
      <c r="L1141" t="str">
        <f t="shared" si="327"/>
        <v/>
      </c>
      <c r="M1141" t="str">
        <f t="shared" si="328"/>
        <v/>
      </c>
      <c r="R1141" t="str">
        <f t="shared" si="329"/>
        <v/>
      </c>
      <c r="S1141" t="str">
        <f t="shared" si="330"/>
        <v/>
      </c>
      <c r="U1141" t="str">
        <f t="shared" si="331"/>
        <v/>
      </c>
      <c r="V1141" t="str">
        <f t="shared" si="332"/>
        <v/>
      </c>
      <c r="W1141" s="5" t="str">
        <f t="shared" si="333"/>
        <v/>
      </c>
      <c r="Y1141" t="str">
        <f t="shared" si="334"/>
        <v/>
      </c>
      <c r="Z1141" t="str">
        <f t="shared" si="335"/>
        <v/>
      </c>
      <c r="AB1141" t="str">
        <f t="shared" si="336"/>
        <v>https://shop.officineitalianezard.it/contents/imgs/products/1_855-er6n3.JPG</v>
      </c>
      <c r="AE1141" t="b">
        <v>0</v>
      </c>
    </row>
    <row r="1142" spans="1:31" x14ac:dyDescent="0.2">
      <c r="A1142" t="str">
        <f t="shared" si="323"/>
        <v>https://shop.officineitalianezard.it/en/products/index/kawasaki-er-6n-er-6f-exhaust-zard-7502-134/</v>
      </c>
      <c r="B1142" t="b">
        <f>COUNTIF($A$2:$A1142, A1142)&gt;1</f>
        <v>1</v>
      </c>
      <c r="C1142" t="b">
        <f t="shared" si="324"/>
        <v>1</v>
      </c>
      <c r="D1142">
        <f>VLOOKUP(A1142,variant_counts!A:B, 2, FALSE)</f>
        <v>1</v>
      </c>
      <c r="E1142" t="str">
        <f t="shared" si="337"/>
        <v>zard-exhaust-21-full-kit-kawasaki-er-6n-er-6f-200516-penta-version-zkaw171skr</v>
      </c>
      <c r="F1142" t="str">
        <f t="shared" si="325"/>
        <v>ZARD EXHAUST 2&gt;1 FULL KIT KAWASAKI ER-6N-ER-6F 2005/16 PENTA VERSION ZKAW171SKR</v>
      </c>
      <c r="G1142" t="str">
        <f t="shared" si="326"/>
        <v/>
      </c>
      <c r="H1142" t="str">
        <f t="shared" si="338"/>
        <v/>
      </c>
      <c r="I1142" t="str">
        <f t="shared" si="339"/>
        <v/>
      </c>
      <c r="J1142" t="str">
        <f t="shared" si="340"/>
        <v/>
      </c>
      <c r="K1142" t="str">
        <f t="shared" si="341"/>
        <v/>
      </c>
      <c r="L1142" t="str">
        <f t="shared" si="327"/>
        <v>Option</v>
      </c>
      <c r="M1142" t="str">
        <f t="shared" si="328"/>
        <v>CARBON ENDCAP</v>
      </c>
      <c r="R1142" t="str">
        <f t="shared" si="329"/>
        <v>ZKAW171SKR</v>
      </c>
      <c r="S1142">
        <f t="shared" si="330"/>
        <v>0</v>
      </c>
      <c r="U1142" t="str">
        <f t="shared" si="331"/>
        <v>continue</v>
      </c>
      <c r="V1142" t="str">
        <f t="shared" si="332"/>
        <v>manual</v>
      </c>
      <c r="W1142" s="5">
        <f t="shared" si="333"/>
        <v>773.27040000000011</v>
      </c>
      <c r="Y1142" t="b">
        <f t="shared" si="334"/>
        <v>1</v>
      </c>
      <c r="Z1142" t="b">
        <f t="shared" si="335"/>
        <v>0</v>
      </c>
      <c r="AB1142" t="str">
        <f t="shared" si="336"/>
        <v/>
      </c>
      <c r="AE1142" t="b">
        <v>0</v>
      </c>
    </row>
    <row r="1143" spans="1:31" x14ac:dyDescent="0.2">
      <c r="A1143" t="str">
        <f t="shared" si="323"/>
        <v>https://shop.officineitalianezard.it/en/indian-ftr-1200-exhaust-full-kit/</v>
      </c>
      <c r="B1143" t="b">
        <f>COUNTIF($A$2:$A1143, A1143)&gt;1</f>
        <v>0</v>
      </c>
      <c r="C1143" t="b">
        <f t="shared" si="324"/>
        <v>0</v>
      </c>
      <c r="D1143">
        <f>VLOOKUP(A1143,variant_counts!A:B, 2, FALSE)</f>
        <v>0</v>
      </c>
      <c r="E1143" t="str">
        <f t="shared" si="337"/>
        <v>zard-exhaust-full-kit-indian-ftr-1200-low-mounted-version-zind001tkr-fc</v>
      </c>
      <c r="F1143" t="str">
        <f t="shared" si="325"/>
        <v>ZARD EXHAUST FULL KIT INDIAN FTR 1200 LOW MOUNTED VERSION ZIND001TKR-FC</v>
      </c>
      <c r="G1143" t="str">
        <f t="shared" si="326"/>
        <v>&lt;p&gt;&lt;strong&gt;SOON AVAILABLE!&lt;/strong&gt;&lt;/p&gt;
&lt;p&gt;&lt;span&gt;STAINLESS STEEL DECATALYZER KIT: € 260,00&lt;/span&gt;&lt;br&gt;&lt;span&gt;TITANIUM DECATALYZER KIT: € 400,00&lt;/span&gt;&lt;br&gt;&lt;span&gt;TITANIUM HEADERS KIT: € 1.080,00&lt;/span&gt;&lt;br&gt;&lt;span&gt;TITANIUM HEADERS KIT WITH SNAKE WELDING: € 1.450,00&lt;/span&gt;&lt;/p&gt;
&lt;p&gt;ORIGINAL FULL KIT WEIGHT:&amp;nbsp;10 KG&lt;br&gt;&lt;span&gt;ZARD&amp;nbsp;FULL KIT WEIGHT&lt;/span&gt;: 3.7 KG&lt;/p&gt;
&lt;p&gt;&lt;span&gt;SIGNIFICANT INCREASE, COMPARED TO THE ORIGINAL EXHAUST SYSTEM,&lt;/span&gt;&lt;br&gt;&lt;span&gt;IN TERMS OF TORQUE AND POWER AT ANY RANGE, ASTONISHING SOUND.&lt;/span&gt;&lt;/p&gt;</v>
      </c>
      <c r="H1143" t="str">
        <f t="shared" si="338"/>
        <v>ZARD</v>
      </c>
      <c r="I1143" t="str">
        <f t="shared" si="339"/>
        <v>Exhaust Pipe</v>
      </c>
      <c r="J1143" t="str">
        <f t="shared" si="340"/>
        <v>Test</v>
      </c>
      <c r="K1143" t="b">
        <f t="shared" si="341"/>
        <v>0</v>
      </c>
      <c r="L1143" t="str">
        <f t="shared" si="327"/>
        <v>Title</v>
      </c>
      <c r="M1143" t="str">
        <f t="shared" si="328"/>
        <v>Default Title</v>
      </c>
      <c r="R1143" t="str">
        <f t="shared" si="329"/>
        <v>ZIND001TKR-FC</v>
      </c>
      <c r="S1143">
        <f t="shared" si="330"/>
        <v>0</v>
      </c>
      <c r="U1143" t="str">
        <f t="shared" si="331"/>
        <v>continue</v>
      </c>
      <c r="V1143" t="str">
        <f t="shared" si="332"/>
        <v>manual</v>
      </c>
      <c r="W1143" s="5">
        <f t="shared" si="333"/>
        <v>0</v>
      </c>
      <c r="Y1143" t="b">
        <f t="shared" si="334"/>
        <v>1</v>
      </c>
      <c r="Z1143" t="b">
        <f t="shared" si="335"/>
        <v>0</v>
      </c>
      <c r="AB1143" t="str">
        <f t="shared" si="336"/>
        <v>https://shop.officineitalianezard.it/contents/imgs/products/1_2650-scarico%20indian%20ftr%201200%20-%20zard%201.jpg</v>
      </c>
      <c r="AE1143" t="b">
        <v>0</v>
      </c>
    </row>
    <row r="1144" spans="1:31" x14ac:dyDescent="0.2">
      <c r="A1144" t="str">
        <f t="shared" si="323"/>
        <v>https://shop.officineitalianezard.it/en/indian-ftr-1200-exhaust-full-kit/</v>
      </c>
      <c r="B1144" t="b">
        <f>COUNTIF($A$2:$A1144, A1144)&gt;1</f>
        <v>1</v>
      </c>
      <c r="C1144" t="b">
        <f t="shared" si="324"/>
        <v>0</v>
      </c>
      <c r="D1144">
        <f>VLOOKUP(A1144,variant_counts!A:B, 2, FALSE)</f>
        <v>0</v>
      </c>
      <c r="E1144" t="str">
        <f t="shared" si="337"/>
        <v>zard-exhaust-full-kit-indian-ftr-1200-low-mounted-version-zind001tkr-fc</v>
      </c>
      <c r="F1144" t="str">
        <f t="shared" si="325"/>
        <v>ZARD EXHAUST FULL KIT INDIAN FTR 1200 LOW MOUNTED VERSION ZIND001TKR-FC</v>
      </c>
      <c r="G1144" t="str">
        <f t="shared" si="326"/>
        <v/>
      </c>
      <c r="H1144" t="str">
        <f t="shared" si="338"/>
        <v/>
      </c>
      <c r="I1144" t="str">
        <f t="shared" si="339"/>
        <v/>
      </c>
      <c r="J1144" t="str">
        <f t="shared" si="340"/>
        <v/>
      </c>
      <c r="K1144" t="str">
        <f t="shared" si="341"/>
        <v/>
      </c>
      <c r="L1144" t="str">
        <f t="shared" si="327"/>
        <v/>
      </c>
      <c r="M1144" t="str">
        <f t="shared" si="328"/>
        <v/>
      </c>
      <c r="R1144" t="str">
        <f t="shared" si="329"/>
        <v/>
      </c>
      <c r="S1144" t="str">
        <f t="shared" si="330"/>
        <v/>
      </c>
      <c r="U1144" t="str">
        <f t="shared" si="331"/>
        <v/>
      </c>
      <c r="V1144" t="str">
        <f t="shared" si="332"/>
        <v/>
      </c>
      <c r="W1144" s="5" t="str">
        <f t="shared" si="333"/>
        <v/>
      </c>
      <c r="Y1144" t="str">
        <f t="shared" si="334"/>
        <v/>
      </c>
      <c r="Z1144" t="str">
        <f t="shared" si="335"/>
        <v/>
      </c>
      <c r="AB1144" t="str">
        <f t="shared" si="336"/>
        <v>https://shop.officineitalianezard.it/contents/imgs/products/1_2651-scarico%20indian%20ftr%201200%20-%20zard%202.jpg</v>
      </c>
      <c r="AE1144" t="b">
        <v>0</v>
      </c>
    </row>
    <row r="1145" spans="1:31" x14ac:dyDescent="0.2">
      <c r="A1145" t="str">
        <f t="shared" si="323"/>
        <v>https://shop.officineitalianezard.it/en/indian-ftr-1200-exhaust-full-kit/</v>
      </c>
      <c r="B1145" t="b">
        <f>COUNTIF($A$2:$A1145, A1145)&gt;1</f>
        <v>1</v>
      </c>
      <c r="C1145" t="b">
        <f t="shared" si="324"/>
        <v>0</v>
      </c>
      <c r="D1145">
        <f>VLOOKUP(A1145,variant_counts!A:B, 2, FALSE)</f>
        <v>0</v>
      </c>
      <c r="E1145" t="str">
        <f t="shared" si="337"/>
        <v>zard-exhaust-full-kit-indian-ftr-1200-low-mounted-version-zind001tkr-fc</v>
      </c>
      <c r="F1145" t="str">
        <f t="shared" si="325"/>
        <v>ZARD EXHAUST FULL KIT INDIAN FTR 1200 LOW MOUNTED VERSION ZIND001TKR-FC</v>
      </c>
      <c r="G1145" t="str">
        <f t="shared" si="326"/>
        <v/>
      </c>
      <c r="H1145" t="str">
        <f t="shared" si="338"/>
        <v/>
      </c>
      <c r="I1145" t="str">
        <f t="shared" si="339"/>
        <v/>
      </c>
      <c r="J1145" t="str">
        <f t="shared" si="340"/>
        <v/>
      </c>
      <c r="K1145" t="str">
        <f t="shared" si="341"/>
        <v/>
      </c>
      <c r="L1145" t="str">
        <f t="shared" si="327"/>
        <v/>
      </c>
      <c r="M1145" t="str">
        <f t="shared" si="328"/>
        <v/>
      </c>
      <c r="R1145" t="str">
        <f t="shared" si="329"/>
        <v/>
      </c>
      <c r="S1145" t="str">
        <f t="shared" si="330"/>
        <v/>
      </c>
      <c r="U1145" t="str">
        <f t="shared" si="331"/>
        <v/>
      </c>
      <c r="V1145" t="str">
        <f t="shared" si="332"/>
        <v/>
      </c>
      <c r="W1145" s="5" t="str">
        <f t="shared" si="333"/>
        <v/>
      </c>
      <c r="Y1145" t="str">
        <f t="shared" si="334"/>
        <v/>
      </c>
      <c r="Z1145" t="str">
        <f t="shared" si="335"/>
        <v/>
      </c>
      <c r="AB1145" t="str">
        <f t="shared" si="336"/>
        <v>https://shop.officineitalianezard.it/contents/imgs/products/1_2652-scarico%20indian%20ftr%201200%20-%20zard%203.jpg</v>
      </c>
      <c r="AE1145" t="b">
        <v>0</v>
      </c>
    </row>
    <row r="1146" spans="1:31" x14ac:dyDescent="0.2">
      <c r="A1146" t="str">
        <f t="shared" si="323"/>
        <v>https://shop.officineitalianezard.it/en/indian-ftr-1200-exhaust-slip-on/</v>
      </c>
      <c r="B1146" t="b">
        <f>COUNTIF($A$2:$A1146, A1146)&gt;1</f>
        <v>0</v>
      </c>
      <c r="C1146" t="b">
        <f t="shared" si="324"/>
        <v>0</v>
      </c>
      <c r="D1146">
        <f>VLOOKUP(A1146,variant_counts!A:B, 2, FALSE)</f>
        <v>1</v>
      </c>
      <c r="E1146" t="str">
        <f t="shared" si="337"/>
        <v>zard-exhaust-slip-ons-indian-ftr-1200-low-mounted-version-zind002tsr-fc</v>
      </c>
      <c r="F1146" t="str">
        <f t="shared" si="325"/>
        <v>ZARD EXHAUST SLIP-ONS INDIAN FTR 1200 LOW MOUNTED VERSION ZIND002TSR-FC</v>
      </c>
      <c r="G1146" t="str">
        <f t="shared" si="326"/>
        <v>&lt;p&gt;&lt;strong&gt;SOON AVAILABLE!&lt;/strong&gt;&lt;/p&gt;
&lt;p&gt;TITANIUM RACING SLIP-ONS WITH REMOVABLE DB-KILLERS,&lt;br&gt;CARBON END-CAPS AND CARBON HEAT SHIELD.&lt;/p&gt;
&lt;p&gt;ORIGINAL FULL KIT WEIGHT:&amp;nbsp;4.3 KG&lt;br&gt;&lt;span&gt;ZARD&amp;nbsp;FULL KIT WEIGHT&lt;/span&gt;:&amp;nbsp;1.8 KG&lt;/p&gt;
&lt;p&gt;&lt;span&gt;SIGNIFICANT INCREASE, COMPARED TO THE ORIGINAL EXHAUST SYSTEM,&lt;/span&gt;&lt;br&gt;&lt;span&gt;IN TERMS OF TORQUE AND POWER AT ANY RANGE, ASTONISHING SOUND.&lt;/span&gt;&lt;/p&gt;</v>
      </c>
      <c r="H1146" t="str">
        <f t="shared" si="338"/>
        <v>ZARD</v>
      </c>
      <c r="I1146" t="str">
        <f t="shared" si="339"/>
        <v>Exhaust Pipe</v>
      </c>
      <c r="J1146" t="str">
        <f t="shared" si="340"/>
        <v>Test</v>
      </c>
      <c r="K1146" t="b">
        <f t="shared" si="341"/>
        <v>0</v>
      </c>
      <c r="L1146" t="str">
        <f t="shared" si="327"/>
        <v>Option</v>
      </c>
      <c r="M1146" t="str">
        <f t="shared" si="328"/>
        <v>DEFAULT</v>
      </c>
      <c r="R1146" t="str">
        <f t="shared" si="329"/>
        <v>ZIND002TSR-FC</v>
      </c>
      <c r="S1146">
        <f t="shared" si="330"/>
        <v>0</v>
      </c>
      <c r="U1146" t="str">
        <f t="shared" si="331"/>
        <v>continue</v>
      </c>
      <c r="V1146" t="str">
        <f t="shared" si="332"/>
        <v>manual</v>
      </c>
      <c r="W1146" s="5">
        <f t="shared" si="333"/>
        <v>991.7184000000002</v>
      </c>
      <c r="Y1146" t="b">
        <f t="shared" si="334"/>
        <v>1</v>
      </c>
      <c r="Z1146" t="b">
        <f t="shared" si="335"/>
        <v>0</v>
      </c>
      <c r="AB1146" t="str">
        <f t="shared" si="336"/>
        <v>https://shop.officineitalianezard.it/contents/imgs/products/1_2663-scarico%20indian%20ftr%201200.jpg</v>
      </c>
      <c r="AE1146" t="b">
        <v>0</v>
      </c>
    </row>
    <row r="1147" spans="1:31" x14ac:dyDescent="0.2">
      <c r="A1147" t="str">
        <f t="shared" si="323"/>
        <v>https://shop.officineitalianezard.it/en/indian-ftr-1200-exhaust-slip-on/</v>
      </c>
      <c r="B1147" t="b">
        <f>COUNTIF($A$2:$A1147, A1147)&gt;1</f>
        <v>1</v>
      </c>
      <c r="C1147" t="b">
        <f t="shared" si="324"/>
        <v>0</v>
      </c>
      <c r="D1147">
        <f>VLOOKUP(A1147,variant_counts!A:B, 2, FALSE)</f>
        <v>1</v>
      </c>
      <c r="E1147" t="str">
        <f t="shared" si="337"/>
        <v>zard-exhaust-slip-ons-indian-ftr-1200-low-mounted-version-zind002tsr-fc</v>
      </c>
      <c r="F1147" t="str">
        <f t="shared" si="325"/>
        <v>ZARD EXHAUST SLIP-ONS INDIAN FTR 1200 LOW MOUNTED VERSION ZIND002TSR-FC</v>
      </c>
      <c r="G1147" t="str">
        <f t="shared" si="326"/>
        <v/>
      </c>
      <c r="H1147" t="str">
        <f t="shared" si="338"/>
        <v/>
      </c>
      <c r="I1147" t="str">
        <f t="shared" si="339"/>
        <v/>
      </c>
      <c r="J1147" t="str">
        <f t="shared" si="340"/>
        <v/>
      </c>
      <c r="K1147" t="str">
        <f t="shared" si="341"/>
        <v/>
      </c>
      <c r="L1147" t="str">
        <f t="shared" si="327"/>
        <v/>
      </c>
      <c r="M1147" t="str">
        <f t="shared" si="328"/>
        <v/>
      </c>
      <c r="R1147" t="str">
        <f t="shared" si="329"/>
        <v/>
      </c>
      <c r="S1147" t="str">
        <f t="shared" si="330"/>
        <v/>
      </c>
      <c r="U1147" t="str">
        <f t="shared" si="331"/>
        <v/>
      </c>
      <c r="V1147" t="str">
        <f t="shared" si="332"/>
        <v/>
      </c>
      <c r="W1147" s="5" t="str">
        <f t="shared" si="333"/>
        <v/>
      </c>
      <c r="Y1147" t="str">
        <f t="shared" si="334"/>
        <v/>
      </c>
      <c r="Z1147" t="str">
        <f t="shared" si="335"/>
        <v/>
      </c>
      <c r="AB1147" t="str">
        <f t="shared" si="336"/>
        <v>https://shop.officineitalianezard.it/contents/imgs/products/1_2656-scarico%20indian%20ftr%201200%20zard%20slip%20on%201.jpg</v>
      </c>
      <c r="AE1147" t="b">
        <v>0</v>
      </c>
    </row>
    <row r="1148" spans="1:31" x14ac:dyDescent="0.2">
      <c r="A1148" t="str">
        <f t="shared" si="323"/>
        <v>https://shop.officineitalianezard.it/en/indian-ftr-1200-exhaust-slip-on/</v>
      </c>
      <c r="B1148" t="b">
        <f>COUNTIF($A$2:$A1148, A1148)&gt;1</f>
        <v>1</v>
      </c>
      <c r="C1148" t="b">
        <f t="shared" si="324"/>
        <v>0</v>
      </c>
      <c r="D1148">
        <f>VLOOKUP(A1148,variant_counts!A:B, 2, FALSE)</f>
        <v>1</v>
      </c>
      <c r="E1148" t="str">
        <f t="shared" si="337"/>
        <v>zard-exhaust-slip-ons-indian-ftr-1200-low-mounted-version-zind002tsr-fc</v>
      </c>
      <c r="F1148" t="str">
        <f t="shared" si="325"/>
        <v>ZARD EXHAUST SLIP-ONS INDIAN FTR 1200 LOW MOUNTED VERSION ZIND002TSR-FC</v>
      </c>
      <c r="G1148" t="str">
        <f t="shared" si="326"/>
        <v/>
      </c>
      <c r="H1148" t="str">
        <f t="shared" si="338"/>
        <v/>
      </c>
      <c r="I1148" t="str">
        <f t="shared" si="339"/>
        <v/>
      </c>
      <c r="J1148" t="str">
        <f t="shared" si="340"/>
        <v/>
      </c>
      <c r="K1148" t="str">
        <f t="shared" si="341"/>
        <v/>
      </c>
      <c r="L1148" t="str">
        <f t="shared" si="327"/>
        <v/>
      </c>
      <c r="M1148" t="str">
        <f t="shared" si="328"/>
        <v/>
      </c>
      <c r="R1148" t="str">
        <f t="shared" si="329"/>
        <v/>
      </c>
      <c r="S1148" t="str">
        <f t="shared" si="330"/>
        <v/>
      </c>
      <c r="U1148" t="str">
        <f t="shared" si="331"/>
        <v/>
      </c>
      <c r="V1148" t="str">
        <f t="shared" si="332"/>
        <v/>
      </c>
      <c r="W1148" s="5" t="str">
        <f t="shared" si="333"/>
        <v/>
      </c>
      <c r="Y1148" t="str">
        <f t="shared" si="334"/>
        <v/>
      </c>
      <c r="Z1148" t="str">
        <f t="shared" si="335"/>
        <v/>
      </c>
      <c r="AB1148" t="str">
        <f t="shared" si="336"/>
        <v>https://shop.officineitalianezard.it/contents/imgs/products/1_2657-scarico%20indian%20ftr%201200%20zard%20slip%20on%202.jpg</v>
      </c>
      <c r="AE1148" t="b">
        <v>0</v>
      </c>
    </row>
    <row r="1149" spans="1:31" x14ac:dyDescent="0.2">
      <c r="A1149" t="str">
        <f t="shared" si="323"/>
        <v>https://shop.officineitalianezard.it/en/indian-ftr-1200-exhaust-slip-on/</v>
      </c>
      <c r="B1149" t="b">
        <f>COUNTIF($A$2:$A1149, A1149)&gt;1</f>
        <v>1</v>
      </c>
      <c r="C1149" t="b">
        <f t="shared" si="324"/>
        <v>0</v>
      </c>
      <c r="D1149">
        <f>VLOOKUP(A1149,variant_counts!A:B, 2, FALSE)</f>
        <v>1</v>
      </c>
      <c r="E1149" t="str">
        <f t="shared" si="337"/>
        <v>zard-exhaust-slip-ons-indian-ftr-1200-low-mounted-version-zind002tsr-fc</v>
      </c>
      <c r="F1149" t="str">
        <f t="shared" si="325"/>
        <v>ZARD EXHAUST SLIP-ONS INDIAN FTR 1200 LOW MOUNTED VERSION ZIND002TSR-FC</v>
      </c>
      <c r="G1149" t="str">
        <f t="shared" si="326"/>
        <v/>
      </c>
      <c r="H1149" t="str">
        <f t="shared" si="338"/>
        <v/>
      </c>
      <c r="I1149" t="str">
        <f t="shared" si="339"/>
        <v/>
      </c>
      <c r="J1149" t="str">
        <f t="shared" si="340"/>
        <v/>
      </c>
      <c r="K1149" t="str">
        <f t="shared" si="341"/>
        <v/>
      </c>
      <c r="L1149" t="str">
        <f t="shared" si="327"/>
        <v/>
      </c>
      <c r="M1149" t="str">
        <f t="shared" si="328"/>
        <v/>
      </c>
      <c r="R1149" t="str">
        <f t="shared" si="329"/>
        <v/>
      </c>
      <c r="S1149" t="str">
        <f t="shared" si="330"/>
        <v/>
      </c>
      <c r="U1149" t="str">
        <f t="shared" si="331"/>
        <v/>
      </c>
      <c r="V1149" t="str">
        <f t="shared" si="332"/>
        <v/>
      </c>
      <c r="W1149" s="5" t="str">
        <f t="shared" si="333"/>
        <v/>
      </c>
      <c r="Y1149" t="str">
        <f t="shared" si="334"/>
        <v/>
      </c>
      <c r="Z1149" t="str">
        <f t="shared" si="335"/>
        <v/>
      </c>
      <c r="AB1149" t="str">
        <f t="shared" si="336"/>
        <v>https://shop.officineitalianezard.it/contents/imgs/products/1_2658-scarico%20indian%20ftr%201200%20zard%20slip%20on%203.jpg</v>
      </c>
      <c r="AE1149" t="b">
        <v>0</v>
      </c>
    </row>
    <row r="1150" spans="1:31" x14ac:dyDescent="0.2">
      <c r="A1150" t="str">
        <f t="shared" si="323"/>
        <v>https://shop.officineitalianezard.it/en/indian-ftr-1200-exhaust-slip-on/</v>
      </c>
      <c r="B1150" t="b">
        <f>COUNTIF($A$2:$A1150, A1150)&gt;1</f>
        <v>1</v>
      </c>
      <c r="C1150" t="b">
        <f t="shared" si="324"/>
        <v>1</v>
      </c>
      <c r="D1150">
        <f>VLOOKUP(A1150,variant_counts!A:B, 2, FALSE)</f>
        <v>1</v>
      </c>
      <c r="E1150" t="str">
        <f t="shared" si="337"/>
        <v>zard-exhaust-slip-ons-indian-ftr-1200-low-mounted-version-zind002tsr-fc</v>
      </c>
      <c r="F1150" t="str">
        <f t="shared" si="325"/>
        <v>ZARD EXHAUST SLIP-ONS INDIAN FTR 1200 LOW MOUNTED VERSION ZIND002TSR-FC</v>
      </c>
      <c r="G1150" t="str">
        <f t="shared" si="326"/>
        <v/>
      </c>
      <c r="H1150" t="str">
        <f t="shared" si="338"/>
        <v/>
      </c>
      <c r="I1150" t="str">
        <f t="shared" si="339"/>
        <v/>
      </c>
      <c r="J1150" t="str">
        <f t="shared" si="340"/>
        <v/>
      </c>
      <c r="K1150" t="str">
        <f t="shared" si="341"/>
        <v/>
      </c>
      <c r="L1150" t="str">
        <f t="shared" si="327"/>
        <v>Option</v>
      </c>
      <c r="M1150" t="str">
        <f t="shared" si="328"/>
        <v>EURO 4 HOMOLOGATED</v>
      </c>
      <c r="R1150" t="str">
        <f t="shared" si="329"/>
        <v>ZIND002TSR-FC</v>
      </c>
      <c r="S1150">
        <f t="shared" si="330"/>
        <v>0</v>
      </c>
      <c r="U1150" t="str">
        <f t="shared" si="331"/>
        <v>continue</v>
      </c>
      <c r="V1150" t="str">
        <f t="shared" si="332"/>
        <v>manual</v>
      </c>
      <c r="W1150" s="5">
        <f t="shared" si="333"/>
        <v>1155.4878000000001</v>
      </c>
      <c r="Y1150" t="b">
        <f t="shared" si="334"/>
        <v>1</v>
      </c>
      <c r="Z1150" t="b">
        <f t="shared" si="335"/>
        <v>0</v>
      </c>
      <c r="AB1150" t="str">
        <f t="shared" si="336"/>
        <v/>
      </c>
      <c r="AE1150" t="b">
        <v>0</v>
      </c>
    </row>
    <row r="1151" spans="1:31" x14ac:dyDescent="0.2">
      <c r="A1151" t="str">
        <f t="shared" si="323"/>
        <v>https://shop.officineitalianezard.it/en/products/index/zard-full-kit-honda-crf-450-7549-146/</v>
      </c>
      <c r="B1151" t="b">
        <f>COUNTIF($A$2:$A1151, A1151)&gt;1</f>
        <v>0</v>
      </c>
      <c r="C1151" t="b">
        <f t="shared" si="324"/>
        <v>0</v>
      </c>
      <c r="D1151">
        <f>VLOOKUP(A1151,variant_counts!A:B, 2, FALSE)</f>
        <v>1</v>
      </c>
      <c r="E1151" t="str">
        <f t="shared" si="337"/>
        <v>zard-exhaust-full-kit-honda-crf-450-my-13-14-12-version-zhnd360stkr</v>
      </c>
      <c r="F1151" t="str">
        <f t="shared" si="325"/>
        <v>ZARD EXHAUST FULL KIT HONDA CRF 450 M.Y. 13-14 1&gt;2 VERSION ZHND360STKR</v>
      </c>
      <c r="G1151" t="str">
        <f t="shared" si="326"/>
        <v>&lt;p&gt;1&amp;gt;2 STEEL-TITANIUM RACING FULL KIT WITH REMOVABLE DB KILLERS&lt;/p&gt;
&lt;p&gt;CARBON END-CAP&lt;/p&gt;
&lt;p&gt;HARD INCREASE, COMPARED TO THE ORIGINAL EXHAUST SYSTEM, IN TERMS OF TORQUE AND POWER AT ANY RANGE&lt;/p&gt;
&lt;p&gt;ASTONISHING SOUND&lt;/p&gt;</v>
      </c>
      <c r="H1151" t="str">
        <f t="shared" si="338"/>
        <v>ZARD</v>
      </c>
      <c r="I1151" t="str">
        <f t="shared" si="339"/>
        <v>Exhaust Pipe</v>
      </c>
      <c r="J1151" t="str">
        <f t="shared" si="340"/>
        <v>Test</v>
      </c>
      <c r="K1151" t="b">
        <f t="shared" si="341"/>
        <v>0</v>
      </c>
      <c r="L1151" t="str">
        <f t="shared" si="327"/>
        <v>Option</v>
      </c>
      <c r="M1151" t="str">
        <f t="shared" si="328"/>
        <v>DEFAULT</v>
      </c>
      <c r="R1151" t="str">
        <f t="shared" si="329"/>
        <v>ZHND360STKR</v>
      </c>
      <c r="S1151">
        <f t="shared" si="330"/>
        <v>0</v>
      </c>
      <c r="U1151" t="str">
        <f t="shared" si="331"/>
        <v>continue</v>
      </c>
      <c r="V1151" t="str">
        <f t="shared" si="332"/>
        <v>manual</v>
      </c>
      <c r="W1151" s="5">
        <f t="shared" si="333"/>
        <v>1046.3082000000002</v>
      </c>
      <c r="Y1151" t="b">
        <f t="shared" si="334"/>
        <v>1</v>
      </c>
      <c r="Z1151" t="b">
        <f t="shared" si="335"/>
        <v>0</v>
      </c>
      <c r="AB1151" t="str">
        <f t="shared" si="336"/>
        <v>https://shop.officineitalianezard.it/contents/imgs/products/1_980-1.jpg</v>
      </c>
      <c r="AE1151" t="b">
        <v>0</v>
      </c>
    </row>
    <row r="1152" spans="1:31" x14ac:dyDescent="0.2">
      <c r="A1152" t="str">
        <f t="shared" si="323"/>
        <v>https://shop.officineitalianezard.it/en/products/index/zard-full-kit-honda-crf-450-7549-146/</v>
      </c>
      <c r="B1152" t="b">
        <f>COUNTIF($A$2:$A1152, A1152)&gt;1</f>
        <v>1</v>
      </c>
      <c r="C1152" t="b">
        <f t="shared" si="324"/>
        <v>0</v>
      </c>
      <c r="D1152">
        <f>VLOOKUP(A1152,variant_counts!A:B, 2, FALSE)</f>
        <v>1</v>
      </c>
      <c r="E1152" t="str">
        <f t="shared" si="337"/>
        <v>zard-exhaust-full-kit-honda-crf-450-my-13-14-12-version-zhnd360stkr</v>
      </c>
      <c r="F1152" t="str">
        <f t="shared" si="325"/>
        <v>ZARD EXHAUST FULL KIT HONDA CRF 450 M.Y. 13-14 1&gt;2 VERSION ZHND360STKR</v>
      </c>
      <c r="G1152" t="str">
        <f t="shared" si="326"/>
        <v/>
      </c>
      <c r="H1152" t="str">
        <f t="shared" si="338"/>
        <v/>
      </c>
      <c r="I1152" t="str">
        <f t="shared" si="339"/>
        <v/>
      </c>
      <c r="J1152" t="str">
        <f t="shared" si="340"/>
        <v/>
      </c>
      <c r="K1152" t="str">
        <f t="shared" si="341"/>
        <v/>
      </c>
      <c r="L1152" t="str">
        <f t="shared" si="327"/>
        <v/>
      </c>
      <c r="M1152" t="str">
        <f t="shared" si="328"/>
        <v/>
      </c>
      <c r="R1152" t="str">
        <f t="shared" si="329"/>
        <v/>
      </c>
      <c r="S1152" t="str">
        <f t="shared" si="330"/>
        <v/>
      </c>
      <c r="U1152" t="str">
        <f t="shared" si="331"/>
        <v/>
      </c>
      <c r="V1152" t="str">
        <f t="shared" si="332"/>
        <v/>
      </c>
      <c r="W1152" s="5" t="str">
        <f t="shared" si="333"/>
        <v/>
      </c>
      <c r="Y1152" t="str">
        <f t="shared" si="334"/>
        <v/>
      </c>
      <c r="Z1152" t="str">
        <f t="shared" si="335"/>
        <v/>
      </c>
      <c r="AB1152" t="str">
        <f t="shared" si="336"/>
        <v>https://shop.officineitalianezard.it/contents/imgs/products/1_981-2.jpg</v>
      </c>
      <c r="AE1152" t="b">
        <v>0</v>
      </c>
    </row>
    <row r="1153" spans="1:31" x14ac:dyDescent="0.2">
      <c r="A1153" t="str">
        <f t="shared" si="323"/>
        <v>https://shop.officineitalianezard.it/en/products/index/zard-full-kit-honda-crf-450-7549-146/</v>
      </c>
      <c r="B1153" t="b">
        <f>COUNTIF($A$2:$A1153, A1153)&gt;1</f>
        <v>1</v>
      </c>
      <c r="C1153" t="b">
        <f t="shared" si="324"/>
        <v>0</v>
      </c>
      <c r="D1153">
        <f>VLOOKUP(A1153,variant_counts!A:B, 2, FALSE)</f>
        <v>1</v>
      </c>
      <c r="E1153" t="str">
        <f t="shared" si="337"/>
        <v>zard-exhaust-full-kit-honda-crf-450-my-13-14-12-version-zhnd360stkr</v>
      </c>
      <c r="F1153" t="str">
        <f t="shared" si="325"/>
        <v>ZARD EXHAUST FULL KIT HONDA CRF 450 M.Y. 13-14 1&gt;2 VERSION ZHND360STKR</v>
      </c>
      <c r="G1153" t="str">
        <f t="shared" si="326"/>
        <v/>
      </c>
      <c r="H1153" t="str">
        <f t="shared" si="338"/>
        <v/>
      </c>
      <c r="I1153" t="str">
        <f t="shared" si="339"/>
        <v/>
      </c>
      <c r="J1153" t="str">
        <f t="shared" si="340"/>
        <v/>
      </c>
      <c r="K1153" t="str">
        <f t="shared" si="341"/>
        <v/>
      </c>
      <c r="L1153" t="str">
        <f t="shared" si="327"/>
        <v/>
      </c>
      <c r="M1153" t="str">
        <f t="shared" si="328"/>
        <v/>
      </c>
      <c r="R1153" t="str">
        <f t="shared" si="329"/>
        <v/>
      </c>
      <c r="S1153" t="str">
        <f t="shared" si="330"/>
        <v/>
      </c>
      <c r="U1153" t="str">
        <f t="shared" si="331"/>
        <v/>
      </c>
      <c r="V1153" t="str">
        <f t="shared" si="332"/>
        <v/>
      </c>
      <c r="W1153" s="5" t="str">
        <f t="shared" si="333"/>
        <v/>
      </c>
      <c r="Y1153" t="str">
        <f t="shared" si="334"/>
        <v/>
      </c>
      <c r="Z1153" t="str">
        <f t="shared" si="335"/>
        <v/>
      </c>
      <c r="AB1153" t="str">
        <f t="shared" si="336"/>
        <v>https://shop.officineitalianezard.it/contents/imgs/products/1_982-3.jpg</v>
      </c>
      <c r="AE1153" t="b">
        <v>0</v>
      </c>
    </row>
    <row r="1154" spans="1:31" x14ac:dyDescent="0.2">
      <c r="A1154" t="str">
        <f t="shared" ref="A1154:A1217" si="342">source_product_link_href</f>
        <v>https://shop.officineitalianezard.it/en/products/index/zard-full-kit-honda-crf-450-7549-146/</v>
      </c>
      <c r="B1154" t="b">
        <f>COUNTIF($A$2:$A1154, A1154)&gt;1</f>
        <v>1</v>
      </c>
      <c r="C1154" t="b">
        <f t="shared" ref="C1154:C1217" si="343">NOT(ISBLANK(source_option_name))</f>
        <v>1</v>
      </c>
      <c r="D1154">
        <f>VLOOKUP(A1154,variant_counts!A:B, 2, FALSE)</f>
        <v>1</v>
      </c>
      <c r="E1154" t="str">
        <f t="shared" si="337"/>
        <v>zard-exhaust-full-kit-honda-crf-450-my-13-14-12-version-zhnd360stkr</v>
      </c>
      <c r="F1154" t="str">
        <f t="shared" ref="F1154:F1217" si="344">UPPER("ZARD EXHAUST " &amp; source_title &amp; " " &amp; source_brand &amp; " " &amp; source_bike &amp; " " &amp; source_product_link &amp; " " &amp; source_sku)</f>
        <v>ZARD EXHAUST FULL KIT HONDA CRF 450 M.Y. 13-14 1&gt;2 VERSION ZHND360STKR</v>
      </c>
      <c r="G1154" t="str">
        <f t="shared" ref="G1154:G1217" si="345">IF($B1154=FALSE, source_description, "")</f>
        <v/>
      </c>
      <c r="H1154" t="str">
        <f t="shared" si="338"/>
        <v/>
      </c>
      <c r="I1154" t="str">
        <f t="shared" si="339"/>
        <v/>
      </c>
      <c r="J1154" t="str">
        <f t="shared" si="340"/>
        <v/>
      </c>
      <c r="K1154" t="str">
        <f t="shared" si="341"/>
        <v/>
      </c>
      <c r="L1154" t="str">
        <f t="shared" ref="L1154:L1217" si="346">IF(AND(variant_count=0,duplicated=FALSE),"Title",IF(OR(AND(variant_count=1,duplicated=FALSE), source_option_name&lt;&gt;""), "Option", ""))</f>
        <v>Option</v>
      </c>
      <c r="M1154" t="str">
        <f t="shared" ref="M1154:M1217" si="347">IF(option1_name="Title", "Default Title", IF(AND(option1_name="Option",ISBLANK(source_option_name)),"DEFAULT",IF(ISBLANK(source_option_name), "", source_option_name)))</f>
        <v>FULL TITANIUM</v>
      </c>
      <c r="R1154" t="str">
        <f t="shared" ref="R1154:R1217" si="348">IF(option1_name &lt;&gt; "", source_sku, "")</f>
        <v>ZHND360STKR</v>
      </c>
      <c r="S1154">
        <f t="shared" ref="S1154:S1217" si="349">IF(option1_name &lt;&gt; "", 0, "")</f>
        <v>0</v>
      </c>
      <c r="U1154" t="str">
        <f t="shared" ref="U1154:U1217" si="350">IF(option1_name &lt;&gt; "", "continue", "")</f>
        <v>continue</v>
      </c>
      <c r="V1154" t="str">
        <f t="shared" ref="V1154:V1217" si="351">IF(option1_name &lt;&gt; "", "manual", "")</f>
        <v>manual</v>
      </c>
      <c r="W1154" s="5">
        <f t="shared" ref="W1154:W1217" si="352">IF(option1_name&lt;&gt;"",(source_price_original+source_option_price)*eur_usd,"")</f>
        <v>1200.2541000000001</v>
      </c>
      <c r="Y1154" t="b">
        <f t="shared" ref="Y1154:Y1217" si="353">IF(option1_name&lt;&gt;"",TRUE,"")</f>
        <v>1</v>
      </c>
      <c r="Z1154" t="b">
        <f t="shared" ref="Z1154:Z1217" si="354">IF(option1_name&lt;&gt;"",FALSE,"")</f>
        <v>0</v>
      </c>
      <c r="AB1154" t="str">
        <f t="shared" ref="AB1154:AB1217" si="355">IF(ISBLANK(source_image), "", source_image)</f>
        <v/>
      </c>
      <c r="AE1154" t="b">
        <v>0</v>
      </c>
    </row>
    <row r="1155" spans="1:31" x14ac:dyDescent="0.2">
      <c r="A1155" t="str">
        <f t="shared" si="342"/>
        <v>https://shop.officineitalianezard.it/en/products/index/honda-crf-250-zard-exhaust-7651-179/</v>
      </c>
      <c r="B1155" t="b">
        <f>COUNTIF($A$2:$A1155, A1155)&gt;1</f>
        <v>0</v>
      </c>
      <c r="C1155" t="b">
        <f t="shared" si="343"/>
        <v>0</v>
      </c>
      <c r="D1155">
        <f>VLOOKUP(A1155,variant_counts!A:B, 2, FALSE)</f>
        <v>1</v>
      </c>
      <c r="E1155" t="str">
        <f t="shared" ref="E1155:E1218" si="356">FormatShopifyHandle(F1155)</f>
        <v>zard-exhaust-full-kit-honda-crf-250-my-14-16-12-version-zhnd362stkr</v>
      </c>
      <c r="F1155" t="str">
        <f t="shared" si="344"/>
        <v>ZARD EXHAUST FULL KIT HONDA CRF 250 M.Y. 14-16 1&gt;2 VERSION ZHND362STKR</v>
      </c>
      <c r="G1155" t="str">
        <f t="shared" si="345"/>
        <v>&lt;p&gt;1&amp;gt;2 STEEL-TITANIUM RACING FULL KIT WITH REMOVABLE DB KILLERS&lt;/p&gt;
&lt;p&gt;CARBON END-CAP&lt;/p&gt;
&lt;p&gt;ORIGINAL FULL KIT WEIGHT: 4,4 KG&lt;/p&gt;
&lt;p&gt;ZARD TITANIUM FULL KIT WEIGHT: 4,1 KG&lt;/p&gt;
&lt;p&gt;HARD INCREASE, COMPARED TO THE ORIGINAL EXHAUST SYSTEM, IN TERMS OF TORQUE AND POWER AT ANY RANGE&lt;/p&gt;
&lt;p&gt;ASTONISHING SOUND&lt;/p&gt;</v>
      </c>
      <c r="H1155" t="str">
        <f t="shared" ref="H1155:H1218" si="357">IF($B1155=FALSE, "ZARD", "")</f>
        <v>ZARD</v>
      </c>
      <c r="I1155" t="str">
        <f t="shared" ref="I1155:I1218" si="358">IF($B1155=FALSE, "Exhaust Pipe", "")</f>
        <v>Exhaust Pipe</v>
      </c>
      <c r="J1155" t="str">
        <f t="shared" ref="J1155:J1218" si="359">IF($B1155=FALSE, "Test", "")</f>
        <v>Test</v>
      </c>
      <c r="K1155" t="b">
        <f t="shared" ref="K1155:K1218" si="360">IF($B1155=FALSE, FALSE, "")</f>
        <v>0</v>
      </c>
      <c r="L1155" t="str">
        <f t="shared" si="346"/>
        <v>Option</v>
      </c>
      <c r="M1155" t="str">
        <f t="shared" si="347"/>
        <v>DEFAULT</v>
      </c>
      <c r="R1155" t="str">
        <f t="shared" si="348"/>
        <v>ZHND362STKR</v>
      </c>
      <c r="S1155">
        <f t="shared" si="349"/>
        <v>0</v>
      </c>
      <c r="U1155" t="str">
        <f t="shared" si="350"/>
        <v>continue</v>
      </c>
      <c r="V1155" t="str">
        <f t="shared" si="351"/>
        <v>manual</v>
      </c>
      <c r="W1155" s="5">
        <f t="shared" si="352"/>
        <v>1020.8337</v>
      </c>
      <c r="Y1155" t="b">
        <f t="shared" si="353"/>
        <v>1</v>
      </c>
      <c r="Z1155" t="b">
        <f t="shared" si="354"/>
        <v>0</v>
      </c>
      <c r="AB1155" t="str">
        <f t="shared" si="355"/>
        <v>https://shop.officineitalianezard.it/contents/imgs/products/1_1288-1.jpg</v>
      </c>
      <c r="AE1155" t="b">
        <v>0</v>
      </c>
    </row>
    <row r="1156" spans="1:31" x14ac:dyDescent="0.2">
      <c r="A1156" t="str">
        <f t="shared" si="342"/>
        <v>https://shop.officineitalianezard.it/en/products/index/honda-crf-250-zard-exhaust-7651-179/</v>
      </c>
      <c r="B1156" t="b">
        <f>COUNTIF($A$2:$A1156, A1156)&gt;1</f>
        <v>1</v>
      </c>
      <c r="C1156" t="b">
        <f t="shared" si="343"/>
        <v>0</v>
      </c>
      <c r="D1156">
        <f>VLOOKUP(A1156,variant_counts!A:B, 2, FALSE)</f>
        <v>1</v>
      </c>
      <c r="E1156" t="str">
        <f t="shared" si="356"/>
        <v>zard-exhaust-full-kit-honda-crf-250-my-14-16-12-version-zhnd362stkr</v>
      </c>
      <c r="F1156" t="str">
        <f t="shared" si="344"/>
        <v>ZARD EXHAUST FULL KIT HONDA CRF 250 M.Y. 14-16 1&gt;2 VERSION ZHND362STKR</v>
      </c>
      <c r="G1156" t="str">
        <f t="shared" si="345"/>
        <v/>
      </c>
      <c r="H1156" t="str">
        <f t="shared" si="357"/>
        <v/>
      </c>
      <c r="I1156" t="str">
        <f t="shared" si="358"/>
        <v/>
      </c>
      <c r="J1156" t="str">
        <f t="shared" si="359"/>
        <v/>
      </c>
      <c r="K1156" t="str">
        <f t="shared" si="360"/>
        <v/>
      </c>
      <c r="L1156" t="str">
        <f t="shared" si="346"/>
        <v/>
      </c>
      <c r="M1156" t="str">
        <f t="shared" si="347"/>
        <v/>
      </c>
      <c r="R1156" t="str">
        <f t="shared" si="348"/>
        <v/>
      </c>
      <c r="S1156" t="str">
        <f t="shared" si="349"/>
        <v/>
      </c>
      <c r="U1156" t="str">
        <f t="shared" si="350"/>
        <v/>
      </c>
      <c r="V1156" t="str">
        <f t="shared" si="351"/>
        <v/>
      </c>
      <c r="W1156" s="5" t="str">
        <f t="shared" si="352"/>
        <v/>
      </c>
      <c r="Y1156" t="str">
        <f t="shared" si="353"/>
        <v/>
      </c>
      <c r="Z1156" t="str">
        <f t="shared" si="354"/>
        <v/>
      </c>
      <c r="AB1156" t="str">
        <f t="shared" si="355"/>
        <v>https://shop.officineitalianezard.it/contents/imgs/products/1_1289-2.jpg</v>
      </c>
      <c r="AE1156" t="b">
        <v>0</v>
      </c>
    </row>
    <row r="1157" spans="1:31" x14ac:dyDescent="0.2">
      <c r="A1157" t="str">
        <f t="shared" si="342"/>
        <v>https://shop.officineitalianezard.it/en/products/index/honda-crf-250-zard-exhaust-7651-179/</v>
      </c>
      <c r="B1157" t="b">
        <f>COUNTIF($A$2:$A1157, A1157)&gt;1</f>
        <v>1</v>
      </c>
      <c r="C1157" t="b">
        <f t="shared" si="343"/>
        <v>0</v>
      </c>
      <c r="D1157">
        <f>VLOOKUP(A1157,variant_counts!A:B, 2, FALSE)</f>
        <v>1</v>
      </c>
      <c r="E1157" t="str">
        <f t="shared" si="356"/>
        <v>zard-exhaust-full-kit-honda-crf-250-my-14-16-12-version-zhnd362stkr</v>
      </c>
      <c r="F1157" t="str">
        <f t="shared" si="344"/>
        <v>ZARD EXHAUST FULL KIT HONDA CRF 250 M.Y. 14-16 1&gt;2 VERSION ZHND362STKR</v>
      </c>
      <c r="G1157" t="str">
        <f t="shared" si="345"/>
        <v/>
      </c>
      <c r="H1157" t="str">
        <f t="shared" si="357"/>
        <v/>
      </c>
      <c r="I1157" t="str">
        <f t="shared" si="358"/>
        <v/>
      </c>
      <c r="J1157" t="str">
        <f t="shared" si="359"/>
        <v/>
      </c>
      <c r="K1157" t="str">
        <f t="shared" si="360"/>
        <v/>
      </c>
      <c r="L1157" t="str">
        <f t="shared" si="346"/>
        <v/>
      </c>
      <c r="M1157" t="str">
        <f t="shared" si="347"/>
        <v/>
      </c>
      <c r="R1157" t="str">
        <f t="shared" si="348"/>
        <v/>
      </c>
      <c r="S1157" t="str">
        <f t="shared" si="349"/>
        <v/>
      </c>
      <c r="U1157" t="str">
        <f t="shared" si="350"/>
        <v/>
      </c>
      <c r="V1157" t="str">
        <f t="shared" si="351"/>
        <v/>
      </c>
      <c r="W1157" s="5" t="str">
        <f t="shared" si="352"/>
        <v/>
      </c>
      <c r="Y1157" t="str">
        <f t="shared" si="353"/>
        <v/>
      </c>
      <c r="Z1157" t="str">
        <f t="shared" si="354"/>
        <v/>
      </c>
      <c r="AB1157" t="str">
        <f t="shared" si="355"/>
        <v>https://shop.officineitalianezard.it/contents/imgs/products/1_1290-3.jpg</v>
      </c>
      <c r="AE1157" t="b">
        <v>0</v>
      </c>
    </row>
    <row r="1158" spans="1:31" x14ac:dyDescent="0.2">
      <c r="A1158" t="str">
        <f t="shared" si="342"/>
        <v>https://shop.officineitalianezard.it/en/products/index/honda-crf-250-zard-exhaust-7651-179/</v>
      </c>
      <c r="B1158" t="b">
        <f>COUNTIF($A$2:$A1158, A1158)&gt;1</f>
        <v>1</v>
      </c>
      <c r="C1158" t="b">
        <f t="shared" si="343"/>
        <v>1</v>
      </c>
      <c r="D1158">
        <f>VLOOKUP(A1158,variant_counts!A:B, 2, FALSE)</f>
        <v>1</v>
      </c>
      <c r="E1158" t="str">
        <f t="shared" si="356"/>
        <v>zard-exhaust-full-kit-honda-crf-250-my-14-16-12-version-zhnd362stkr</v>
      </c>
      <c r="F1158" t="str">
        <f t="shared" si="344"/>
        <v>ZARD EXHAUST FULL KIT HONDA CRF 250 M.Y. 14-16 1&gt;2 VERSION ZHND362STKR</v>
      </c>
      <c r="G1158" t="str">
        <f t="shared" si="345"/>
        <v/>
      </c>
      <c r="H1158" t="str">
        <f t="shared" si="357"/>
        <v/>
      </c>
      <c r="I1158" t="str">
        <f t="shared" si="358"/>
        <v/>
      </c>
      <c r="J1158" t="str">
        <f t="shared" si="359"/>
        <v/>
      </c>
      <c r="K1158" t="str">
        <f t="shared" si="360"/>
        <v/>
      </c>
      <c r="L1158" t="str">
        <f t="shared" si="346"/>
        <v>Option</v>
      </c>
      <c r="M1158" t="str">
        <f t="shared" si="347"/>
        <v>FULL TITANIUM</v>
      </c>
      <c r="R1158" t="str">
        <f t="shared" si="348"/>
        <v>ZHND362STKR</v>
      </c>
      <c r="S1158">
        <f t="shared" si="349"/>
        <v>0</v>
      </c>
      <c r="U1158" t="str">
        <f t="shared" si="350"/>
        <v>continue</v>
      </c>
      <c r="V1158" t="str">
        <f t="shared" si="351"/>
        <v>manual</v>
      </c>
      <c r="W1158" s="5">
        <f t="shared" si="352"/>
        <v>1160.8602000000001</v>
      </c>
      <c r="Y1158" t="b">
        <f t="shared" si="353"/>
        <v>1</v>
      </c>
      <c r="Z1158" t="b">
        <f t="shared" si="354"/>
        <v>0</v>
      </c>
      <c r="AB1158" t="str">
        <f t="shared" si="355"/>
        <v/>
      </c>
      <c r="AE1158" t="b">
        <v>0</v>
      </c>
    </row>
    <row r="1159" spans="1:31" x14ac:dyDescent="0.2">
      <c r="A1159" t="str">
        <f t="shared" si="342"/>
        <v>https://shop.officineitalianezard.it/en/products/index/honda-crf-450r-exhaust-zard-7905-236/</v>
      </c>
      <c r="B1159" t="b">
        <f>COUNTIF($A$2:$A1159, A1159)&gt;1</f>
        <v>0</v>
      </c>
      <c r="C1159" t="b">
        <f t="shared" si="343"/>
        <v>0</v>
      </c>
      <c r="D1159">
        <f>VLOOKUP(A1159,variant_counts!A:B, 2, FALSE)</f>
        <v>0</v>
      </c>
      <c r="E1159" t="str">
        <f t="shared" si="356"/>
        <v>zard-exhaust-full-kit-honda-crf-450r-my-17-18-12-version-zhnd361skr</v>
      </c>
      <c r="F1159" t="str">
        <f t="shared" si="344"/>
        <v>ZARD EXHAUST FULL KIT HONDA CRF 450R M.Y. 17-18 1&gt;2 VERSION ZHND361SKR</v>
      </c>
      <c r="G1159" t="str">
        <f t="shared" si="345"/>
        <v>&lt;p&gt;ZARD PRESENTS THE NEW HONDA CRF 450R EXHAUST.&lt;/p&gt;
&lt;p&gt;TESTED AND DEVELOPED IN INTERNATIONAL TRACKS IN COLLABORATION WITH HONDA GAZZA RACING TEAM,&lt;br&gt;ONE OF THE MAIN TEAM IN MOTARD AND CROSS FIELD.&lt;/p&gt;
&lt;p&gt;THE CONSTRUCTION FEATURES PROVIDE STRONG IMPROVEMENT IN MEDIUM SPEED&lt;br&gt;WITH AN EXCITING INCREASE OF MAXIMUM POWER WITHOUT PENALIZING THE PERFORMANCE AT LOW SPEED.&lt;/p&gt;
&lt;p&gt;AVAILABLE IN STAINLESS STEEL WITH CARBON ENDCAP WITH AN EXCLUSIVE LOOK.&lt;/p&gt;
&lt;p&gt;ZARD FULL KIT IS EQUIPPED WITH REMOVABLE DB KILLERS AND RESPECTS THE FMI SOUND LEVEL CONTROL.&lt;/p&gt;</v>
      </c>
      <c r="H1159" t="str">
        <f t="shared" si="357"/>
        <v>ZARD</v>
      </c>
      <c r="I1159" t="str">
        <f t="shared" si="358"/>
        <v>Exhaust Pipe</v>
      </c>
      <c r="J1159" t="str">
        <f t="shared" si="359"/>
        <v>Test</v>
      </c>
      <c r="K1159" t="b">
        <f t="shared" si="360"/>
        <v>0</v>
      </c>
      <c r="L1159" t="str">
        <f t="shared" si="346"/>
        <v>Title</v>
      </c>
      <c r="M1159" t="str">
        <f t="shared" si="347"/>
        <v>Default Title</v>
      </c>
      <c r="R1159" t="str">
        <f t="shared" si="348"/>
        <v>ZHND361SKR</v>
      </c>
      <c r="S1159">
        <f t="shared" si="349"/>
        <v>0</v>
      </c>
      <c r="U1159" t="str">
        <f t="shared" si="350"/>
        <v>continue</v>
      </c>
      <c r="V1159" t="str">
        <f t="shared" si="351"/>
        <v>manual</v>
      </c>
      <c r="W1159" s="5">
        <f t="shared" si="352"/>
        <v>1093.6275000000001</v>
      </c>
      <c r="Y1159" t="b">
        <f t="shared" si="353"/>
        <v>1</v>
      </c>
      <c r="Z1159" t="b">
        <f t="shared" si="354"/>
        <v>0</v>
      </c>
      <c r="AB1159" t="str">
        <f t="shared" si="355"/>
        <v>https://shop.officineitalianezard.it/contents/imgs/products/1_2349-scarico%20honda%20crf%20450%20motard%20-%20zard%20exhaust.jpg</v>
      </c>
      <c r="AE1159" t="b">
        <v>0</v>
      </c>
    </row>
    <row r="1160" spans="1:31" x14ac:dyDescent="0.2">
      <c r="A1160" t="str">
        <f t="shared" si="342"/>
        <v>https://shop.officineitalianezard.it/en/products/index/honda-crf-450r-exhaust-zard-7905-236/</v>
      </c>
      <c r="B1160" t="b">
        <f>COUNTIF($A$2:$A1160, A1160)&gt;1</f>
        <v>1</v>
      </c>
      <c r="C1160" t="b">
        <f t="shared" si="343"/>
        <v>0</v>
      </c>
      <c r="D1160">
        <f>VLOOKUP(A1160,variant_counts!A:B, 2, FALSE)</f>
        <v>0</v>
      </c>
      <c r="E1160" t="str">
        <f t="shared" si="356"/>
        <v>zard-exhaust-full-kit-honda-crf-450r-my-17-18-12-version-zhnd361skr</v>
      </c>
      <c r="F1160" t="str">
        <f t="shared" si="344"/>
        <v>ZARD EXHAUST FULL KIT HONDA CRF 450R M.Y. 17-18 1&gt;2 VERSION ZHND361SKR</v>
      </c>
      <c r="G1160" t="str">
        <f t="shared" si="345"/>
        <v/>
      </c>
      <c r="H1160" t="str">
        <f t="shared" si="357"/>
        <v/>
      </c>
      <c r="I1160" t="str">
        <f t="shared" si="358"/>
        <v/>
      </c>
      <c r="J1160" t="str">
        <f t="shared" si="359"/>
        <v/>
      </c>
      <c r="K1160" t="str">
        <f t="shared" si="360"/>
        <v/>
      </c>
      <c r="L1160" t="str">
        <f t="shared" si="346"/>
        <v/>
      </c>
      <c r="M1160" t="str">
        <f t="shared" si="347"/>
        <v/>
      </c>
      <c r="R1160" t="str">
        <f t="shared" si="348"/>
        <v/>
      </c>
      <c r="S1160" t="str">
        <f t="shared" si="349"/>
        <v/>
      </c>
      <c r="U1160" t="str">
        <f t="shared" si="350"/>
        <v/>
      </c>
      <c r="V1160" t="str">
        <f t="shared" si="351"/>
        <v/>
      </c>
      <c r="W1160" s="5" t="str">
        <f t="shared" si="352"/>
        <v/>
      </c>
      <c r="Y1160" t="str">
        <f t="shared" si="353"/>
        <v/>
      </c>
      <c r="Z1160" t="str">
        <f t="shared" si="354"/>
        <v/>
      </c>
      <c r="AB1160" t="str">
        <f t="shared" si="355"/>
        <v>https://shop.officineitalianezard.it/contents/imgs/products/1_2352-scarichi%20honda%20crf%20450%202017.jpg</v>
      </c>
      <c r="AE1160" t="b">
        <v>0</v>
      </c>
    </row>
    <row r="1161" spans="1:31" x14ac:dyDescent="0.2">
      <c r="A1161" t="str">
        <f t="shared" si="342"/>
        <v>https://shop.officineitalianezard.it/en/products/index/honda-crf-450r-exhaust-zard-7905-236/</v>
      </c>
      <c r="B1161" t="b">
        <f>COUNTIF($A$2:$A1161, A1161)&gt;1</f>
        <v>1</v>
      </c>
      <c r="C1161" t="b">
        <f t="shared" si="343"/>
        <v>0</v>
      </c>
      <c r="D1161">
        <f>VLOOKUP(A1161,variant_counts!A:B, 2, FALSE)</f>
        <v>0</v>
      </c>
      <c r="E1161" t="str">
        <f t="shared" si="356"/>
        <v>zard-exhaust-full-kit-honda-crf-450r-my-17-18-12-version-zhnd361skr</v>
      </c>
      <c r="F1161" t="str">
        <f t="shared" si="344"/>
        <v>ZARD EXHAUST FULL KIT HONDA CRF 450R M.Y. 17-18 1&gt;2 VERSION ZHND361SKR</v>
      </c>
      <c r="G1161" t="str">
        <f t="shared" si="345"/>
        <v/>
      </c>
      <c r="H1161" t="str">
        <f t="shared" si="357"/>
        <v/>
      </c>
      <c r="I1161" t="str">
        <f t="shared" si="358"/>
        <v/>
      </c>
      <c r="J1161" t="str">
        <f t="shared" si="359"/>
        <v/>
      </c>
      <c r="K1161" t="str">
        <f t="shared" si="360"/>
        <v/>
      </c>
      <c r="L1161" t="str">
        <f t="shared" si="346"/>
        <v/>
      </c>
      <c r="M1161" t="str">
        <f t="shared" si="347"/>
        <v/>
      </c>
      <c r="R1161" t="str">
        <f t="shared" si="348"/>
        <v/>
      </c>
      <c r="S1161" t="str">
        <f t="shared" si="349"/>
        <v/>
      </c>
      <c r="U1161" t="str">
        <f t="shared" si="350"/>
        <v/>
      </c>
      <c r="V1161" t="str">
        <f t="shared" si="351"/>
        <v/>
      </c>
      <c r="W1161" s="5" t="str">
        <f t="shared" si="352"/>
        <v/>
      </c>
      <c r="Y1161" t="str">
        <f t="shared" si="353"/>
        <v/>
      </c>
      <c r="Z1161" t="str">
        <f t="shared" si="354"/>
        <v/>
      </c>
      <c r="AB1161" t="str">
        <f t="shared" si="355"/>
        <v>https://shop.officineitalianezard.it/contents/imgs/products/1_2351-crf%20450%20exhaust%20-%20zard.jpg</v>
      </c>
      <c r="AE1161" t="b">
        <v>0</v>
      </c>
    </row>
    <row r="1162" spans="1:31" x14ac:dyDescent="0.2">
      <c r="A1162" t="str">
        <f t="shared" si="342"/>
        <v>https://shop.officineitalianezard.it/en/products/index/honda-crf-450r-exhaust-zard-7905-236/</v>
      </c>
      <c r="B1162" t="b">
        <f>COUNTIF($A$2:$A1162, A1162)&gt;1</f>
        <v>1</v>
      </c>
      <c r="C1162" t="b">
        <f t="shared" si="343"/>
        <v>0</v>
      </c>
      <c r="D1162">
        <f>VLOOKUP(A1162,variant_counts!A:B, 2, FALSE)</f>
        <v>0</v>
      </c>
      <c r="E1162" t="str">
        <f t="shared" si="356"/>
        <v>zard-exhaust-full-kit-honda-crf-450r-my-17-18-12-version-zhnd361skr</v>
      </c>
      <c r="F1162" t="str">
        <f t="shared" si="344"/>
        <v>ZARD EXHAUST FULL KIT HONDA CRF 450R M.Y. 17-18 1&gt;2 VERSION ZHND361SKR</v>
      </c>
      <c r="G1162" t="str">
        <f t="shared" si="345"/>
        <v/>
      </c>
      <c r="H1162" t="str">
        <f t="shared" si="357"/>
        <v/>
      </c>
      <c r="I1162" t="str">
        <f t="shared" si="358"/>
        <v/>
      </c>
      <c r="J1162" t="str">
        <f t="shared" si="359"/>
        <v/>
      </c>
      <c r="K1162" t="str">
        <f t="shared" si="360"/>
        <v/>
      </c>
      <c r="L1162" t="str">
        <f t="shared" si="346"/>
        <v/>
      </c>
      <c r="M1162" t="str">
        <f t="shared" si="347"/>
        <v/>
      </c>
      <c r="R1162" t="str">
        <f t="shared" si="348"/>
        <v/>
      </c>
      <c r="S1162" t="str">
        <f t="shared" si="349"/>
        <v/>
      </c>
      <c r="U1162" t="str">
        <f t="shared" si="350"/>
        <v/>
      </c>
      <c r="V1162" t="str">
        <f t="shared" si="351"/>
        <v/>
      </c>
      <c r="W1162" s="5" t="str">
        <f t="shared" si="352"/>
        <v/>
      </c>
      <c r="Y1162" t="str">
        <f t="shared" si="353"/>
        <v/>
      </c>
      <c r="Z1162" t="str">
        <f t="shared" si="354"/>
        <v/>
      </c>
      <c r="AB1162" t="str">
        <f t="shared" si="355"/>
        <v>https://shop.officineitalianezard.it/contents/imgs/products/1_2350-terminali%20honda%20crf%20450%20-%20zard.jpg</v>
      </c>
      <c r="AE1162" t="b">
        <v>0</v>
      </c>
    </row>
    <row r="1163" spans="1:31" x14ac:dyDescent="0.2">
      <c r="A1163" t="str">
        <f t="shared" si="342"/>
        <v>https://shop.officineitalianezard.it/en/products/index/honda-crf-450r-exhaust-zard-7905-236/</v>
      </c>
      <c r="B1163" t="b">
        <f>COUNTIF($A$2:$A1163, A1163)&gt;1</f>
        <v>1</v>
      </c>
      <c r="C1163" t="b">
        <f t="shared" si="343"/>
        <v>0</v>
      </c>
      <c r="D1163">
        <f>VLOOKUP(A1163,variant_counts!A:B, 2, FALSE)</f>
        <v>0</v>
      </c>
      <c r="E1163" t="str">
        <f t="shared" si="356"/>
        <v>zard-exhaust-full-kit-honda-crf-450r-my-17-18-12-version-zhnd361skr</v>
      </c>
      <c r="F1163" t="str">
        <f t="shared" si="344"/>
        <v>ZARD EXHAUST FULL KIT HONDA CRF 450R M.Y. 17-18 1&gt;2 VERSION ZHND361SKR</v>
      </c>
      <c r="G1163" t="str">
        <f t="shared" si="345"/>
        <v/>
      </c>
      <c r="H1163" t="str">
        <f t="shared" si="357"/>
        <v/>
      </c>
      <c r="I1163" t="str">
        <f t="shared" si="358"/>
        <v/>
      </c>
      <c r="J1163" t="str">
        <f t="shared" si="359"/>
        <v/>
      </c>
      <c r="K1163" t="str">
        <f t="shared" si="360"/>
        <v/>
      </c>
      <c r="L1163" t="str">
        <f t="shared" si="346"/>
        <v/>
      </c>
      <c r="M1163" t="str">
        <f t="shared" si="347"/>
        <v/>
      </c>
      <c r="R1163" t="str">
        <f t="shared" si="348"/>
        <v/>
      </c>
      <c r="S1163" t="str">
        <f t="shared" si="349"/>
        <v/>
      </c>
      <c r="U1163" t="str">
        <f t="shared" si="350"/>
        <v/>
      </c>
      <c r="V1163" t="str">
        <f t="shared" si="351"/>
        <v/>
      </c>
      <c r="W1163" s="5" t="str">
        <f t="shared" si="352"/>
        <v/>
      </c>
      <c r="Y1163" t="str">
        <f t="shared" si="353"/>
        <v/>
      </c>
      <c r="Z1163" t="str">
        <f t="shared" si="354"/>
        <v/>
      </c>
      <c r="AB1163" t="str">
        <f t="shared" si="355"/>
        <v>https://shop.officineitalianezard.it/contents/imgs/products/1_2356-curva%20crf450.jpg</v>
      </c>
      <c r="AE1163" t="b">
        <v>0</v>
      </c>
    </row>
    <row r="1164" spans="1:31" x14ac:dyDescent="0.2">
      <c r="A1164" t="str">
        <f t="shared" si="342"/>
        <v>https://shop.officineitalianezard.it/en/products/index/honda-cb-1000-r-exhaust-7920-252/</v>
      </c>
      <c r="B1164" t="b">
        <f>COUNTIF($A$2:$A1164, A1164)&gt;1</f>
        <v>0</v>
      </c>
      <c r="C1164" t="b">
        <f t="shared" si="343"/>
        <v>0</v>
      </c>
      <c r="D1164">
        <f>VLOOKUP(A1164,variant_counts!A:B, 2, FALSE)</f>
        <v>2</v>
      </c>
      <c r="E1164" t="str">
        <f t="shared" si="356"/>
        <v>zard-exhaust-silencer-honda-cb-1000-r-2018-2019-slip-on-version-zhnd368str-fc</v>
      </c>
      <c r="F1164" t="str">
        <f t="shared" si="344"/>
        <v>ZARD EXHAUST SILENCER HONDA CB 1000 R 2018-2019 SLIP-ON VERSION ZHND368STR-FC</v>
      </c>
      <c r="G1164" t="str">
        <f t="shared" si="345"/>
        <v>&lt;p&gt;STEEL RACING SILENCER WITH TITANIUM SLEEVE.&lt;br&gt;REMOVABLE DB-KILLER.&lt;br&gt;HOMOLOGATED VERSION AVAILABLE AS OPTIONAL.&lt;/p&gt;
&lt;p&gt;CARBON END-CAP AND HEAT-SHIELD INCLUDED.&lt;br&gt;&lt;br&gt;ORIGINAL SILENCER WEIGHT: 4,3&lt;span&gt;&amp;nbsp;&lt;/span&gt;KG&lt;br&gt;&lt;span&gt;ZARD&amp;nbsp;SILENCER WEIGHT&lt;/span&gt;&lt;span&gt;:&lt;/span&gt;&amp;nbsp;2,5&lt;span&gt;&amp;nbsp;&lt;/span&gt;KG&lt;/p&gt;
&lt;p&gt;THE INSTALLATION OF ZARD EXHAUST DOES NOT&lt;br&gt;IMPLY ANY MODIFICATION TO ECU. THE BOX INCLUDES ALL PARTS&lt;br&gt;FOR THE FITMENT OF ZARD EXHAUST.&lt;br&gt;HARD INCREASE, COMPARED TO THE ORIGINAL EXHAUST SYSTEM.&lt;/p&gt;
&lt;p&gt;ASTONISHING SOUND.&lt;/p&gt;</v>
      </c>
      <c r="H1164" t="str">
        <f t="shared" si="357"/>
        <v>ZARD</v>
      </c>
      <c r="I1164" t="str">
        <f t="shared" si="358"/>
        <v>Exhaust Pipe</v>
      </c>
      <c r="J1164" t="str">
        <f t="shared" si="359"/>
        <v>Test</v>
      </c>
      <c r="K1164" t="b">
        <f t="shared" si="360"/>
        <v>0</v>
      </c>
      <c r="L1164" t="str">
        <f t="shared" si="346"/>
        <v/>
      </c>
      <c r="M1164" t="str">
        <f t="shared" si="347"/>
        <v/>
      </c>
      <c r="R1164" t="str">
        <f t="shared" si="348"/>
        <v/>
      </c>
      <c r="S1164" t="str">
        <f t="shared" si="349"/>
        <v/>
      </c>
      <c r="U1164" t="str">
        <f t="shared" si="350"/>
        <v/>
      </c>
      <c r="V1164" t="str">
        <f t="shared" si="351"/>
        <v/>
      </c>
      <c r="W1164" s="5" t="str">
        <f t="shared" si="352"/>
        <v/>
      </c>
      <c r="Y1164" t="str">
        <f t="shared" si="353"/>
        <v/>
      </c>
      <c r="Z1164" t="str">
        <f t="shared" si="354"/>
        <v/>
      </c>
      <c r="AB1164" t="str">
        <f t="shared" si="355"/>
        <v>https://shop.officineitalianezard.it/contents/imgs/products/1_2478-scarico%20honda%20cb%201000%20-%20zard%20black.jpg</v>
      </c>
      <c r="AE1164" t="b">
        <v>0</v>
      </c>
    </row>
    <row r="1165" spans="1:31" x14ac:dyDescent="0.2">
      <c r="A1165" t="str">
        <f t="shared" si="342"/>
        <v>https://shop.officineitalianezard.it/en/products/index/honda-cb-1000-r-exhaust-7920-252/</v>
      </c>
      <c r="B1165" t="b">
        <f>COUNTIF($A$2:$A1165, A1165)&gt;1</f>
        <v>1</v>
      </c>
      <c r="C1165" t="b">
        <f t="shared" si="343"/>
        <v>0</v>
      </c>
      <c r="D1165">
        <f>VLOOKUP(A1165,variant_counts!A:B, 2, FALSE)</f>
        <v>2</v>
      </c>
      <c r="E1165" t="str">
        <f t="shared" si="356"/>
        <v>zard-exhaust-silencer-honda-cb-1000-r-2018-2019-slip-on-version-zhnd368str-fc</v>
      </c>
      <c r="F1165" t="str">
        <f t="shared" si="344"/>
        <v>ZARD EXHAUST SILENCER HONDA CB 1000 R 2018-2019 SLIP-ON VERSION ZHND368STR-FC</v>
      </c>
      <c r="G1165" t="str">
        <f t="shared" si="345"/>
        <v/>
      </c>
      <c r="H1165" t="str">
        <f t="shared" si="357"/>
        <v/>
      </c>
      <c r="I1165" t="str">
        <f t="shared" si="358"/>
        <v/>
      </c>
      <c r="J1165" t="str">
        <f t="shared" si="359"/>
        <v/>
      </c>
      <c r="K1165" t="str">
        <f t="shared" si="360"/>
        <v/>
      </c>
      <c r="L1165" t="str">
        <f t="shared" si="346"/>
        <v/>
      </c>
      <c r="M1165" t="str">
        <f t="shared" si="347"/>
        <v/>
      </c>
      <c r="R1165" t="str">
        <f t="shared" si="348"/>
        <v/>
      </c>
      <c r="S1165" t="str">
        <f t="shared" si="349"/>
        <v/>
      </c>
      <c r="U1165" t="str">
        <f t="shared" si="350"/>
        <v/>
      </c>
      <c r="V1165" t="str">
        <f t="shared" si="351"/>
        <v/>
      </c>
      <c r="W1165" s="5" t="str">
        <f t="shared" si="352"/>
        <v/>
      </c>
      <c r="Y1165" t="str">
        <f t="shared" si="353"/>
        <v/>
      </c>
      <c r="Z1165" t="str">
        <f t="shared" si="354"/>
        <v/>
      </c>
      <c r="AB1165" t="str">
        <f t="shared" si="355"/>
        <v>https://shop.officineitalianezard.it/contents/imgs/products/1_2464-scarico%20honda%20cb%201000%20r%20-%20zard%201.jpg</v>
      </c>
      <c r="AE1165" t="b">
        <v>0</v>
      </c>
    </row>
    <row r="1166" spans="1:31" x14ac:dyDescent="0.2">
      <c r="A1166" t="str">
        <f t="shared" si="342"/>
        <v>https://shop.officineitalianezard.it/en/products/index/honda-cb-1000-r-exhaust-7920-252/</v>
      </c>
      <c r="B1166" t="b">
        <f>COUNTIF($A$2:$A1166, A1166)&gt;1</f>
        <v>1</v>
      </c>
      <c r="C1166" t="b">
        <f t="shared" si="343"/>
        <v>0</v>
      </c>
      <c r="D1166">
        <f>VLOOKUP(A1166,variant_counts!A:B, 2, FALSE)</f>
        <v>2</v>
      </c>
      <c r="E1166" t="str">
        <f t="shared" si="356"/>
        <v>zard-exhaust-silencer-honda-cb-1000-r-2018-2019-slip-on-version-zhnd368str-fc</v>
      </c>
      <c r="F1166" t="str">
        <f t="shared" si="344"/>
        <v>ZARD EXHAUST SILENCER HONDA CB 1000 R 2018-2019 SLIP-ON VERSION ZHND368STR-FC</v>
      </c>
      <c r="G1166" t="str">
        <f t="shared" si="345"/>
        <v/>
      </c>
      <c r="H1166" t="str">
        <f t="shared" si="357"/>
        <v/>
      </c>
      <c r="I1166" t="str">
        <f t="shared" si="358"/>
        <v/>
      </c>
      <c r="J1166" t="str">
        <f t="shared" si="359"/>
        <v/>
      </c>
      <c r="K1166" t="str">
        <f t="shared" si="360"/>
        <v/>
      </c>
      <c r="L1166" t="str">
        <f t="shared" si="346"/>
        <v/>
      </c>
      <c r="M1166" t="str">
        <f t="shared" si="347"/>
        <v/>
      </c>
      <c r="R1166" t="str">
        <f t="shared" si="348"/>
        <v/>
      </c>
      <c r="S1166" t="str">
        <f t="shared" si="349"/>
        <v/>
      </c>
      <c r="U1166" t="str">
        <f t="shared" si="350"/>
        <v/>
      </c>
      <c r="V1166" t="str">
        <f t="shared" si="351"/>
        <v/>
      </c>
      <c r="W1166" s="5" t="str">
        <f t="shared" si="352"/>
        <v/>
      </c>
      <c r="Y1166" t="str">
        <f t="shared" si="353"/>
        <v/>
      </c>
      <c r="Z1166" t="str">
        <f t="shared" si="354"/>
        <v/>
      </c>
      <c r="AB1166" t="str">
        <f t="shared" si="355"/>
        <v>https://shop.officineitalianezard.it/contents/imgs/products/1_2465-scarico%20honda%20cb%201000%20r%20-%20zard%202.jpg</v>
      </c>
      <c r="AE1166" t="b">
        <v>0</v>
      </c>
    </row>
    <row r="1167" spans="1:31" x14ac:dyDescent="0.2">
      <c r="A1167" t="str">
        <f t="shared" si="342"/>
        <v>https://shop.officineitalianezard.it/en/products/index/honda-cb-1000-r-exhaust-7920-252/</v>
      </c>
      <c r="B1167" t="b">
        <f>COUNTIF($A$2:$A1167, A1167)&gt;1</f>
        <v>1</v>
      </c>
      <c r="C1167" t="b">
        <f t="shared" si="343"/>
        <v>0</v>
      </c>
      <c r="D1167">
        <f>VLOOKUP(A1167,variant_counts!A:B, 2, FALSE)</f>
        <v>2</v>
      </c>
      <c r="E1167" t="str">
        <f t="shared" si="356"/>
        <v>zard-exhaust-silencer-honda-cb-1000-r-2018-2019-slip-on-version-zhnd368str-fc</v>
      </c>
      <c r="F1167" t="str">
        <f t="shared" si="344"/>
        <v>ZARD EXHAUST SILENCER HONDA CB 1000 R 2018-2019 SLIP-ON VERSION ZHND368STR-FC</v>
      </c>
      <c r="G1167" t="str">
        <f t="shared" si="345"/>
        <v/>
      </c>
      <c r="H1167" t="str">
        <f t="shared" si="357"/>
        <v/>
      </c>
      <c r="I1167" t="str">
        <f t="shared" si="358"/>
        <v/>
      </c>
      <c r="J1167" t="str">
        <f t="shared" si="359"/>
        <v/>
      </c>
      <c r="K1167" t="str">
        <f t="shared" si="360"/>
        <v/>
      </c>
      <c r="L1167" t="str">
        <f t="shared" si="346"/>
        <v/>
      </c>
      <c r="M1167" t="str">
        <f t="shared" si="347"/>
        <v/>
      </c>
      <c r="R1167" t="str">
        <f t="shared" si="348"/>
        <v/>
      </c>
      <c r="S1167" t="str">
        <f t="shared" si="349"/>
        <v/>
      </c>
      <c r="U1167" t="str">
        <f t="shared" si="350"/>
        <v/>
      </c>
      <c r="V1167" t="str">
        <f t="shared" si="351"/>
        <v/>
      </c>
      <c r="W1167" s="5" t="str">
        <f t="shared" si="352"/>
        <v/>
      </c>
      <c r="Y1167" t="str">
        <f t="shared" si="353"/>
        <v/>
      </c>
      <c r="Z1167" t="str">
        <f t="shared" si="354"/>
        <v/>
      </c>
      <c r="AB1167" t="str">
        <f t="shared" si="355"/>
        <v>https://shop.officineitalianezard.it/contents/imgs/products/1_2466-scarico%20honda%20cb%201000%20r%20-%20zard%203.jpg</v>
      </c>
      <c r="AE1167" t="b">
        <v>0</v>
      </c>
    </row>
    <row r="1168" spans="1:31" x14ac:dyDescent="0.2">
      <c r="A1168" t="str">
        <f t="shared" si="342"/>
        <v>https://shop.officineitalianezard.it/en/products/index/honda-cb-1000-r-exhaust-7920-252/</v>
      </c>
      <c r="B1168" t="b">
        <f>COUNTIF($A$2:$A1168, A1168)&gt;1</f>
        <v>1</v>
      </c>
      <c r="C1168" t="b">
        <f t="shared" si="343"/>
        <v>1</v>
      </c>
      <c r="D1168">
        <f>VLOOKUP(A1168,variant_counts!A:B, 2, FALSE)</f>
        <v>2</v>
      </c>
      <c r="E1168" t="str">
        <f t="shared" si="356"/>
        <v>zard-exhaust-silencer-honda-cb-1000-r-2018-2019-slip-on-version-zhnd368str-fc</v>
      </c>
      <c r="F1168" t="str">
        <f t="shared" si="344"/>
        <v>ZARD EXHAUST SILENCER HONDA CB 1000 R 2018-2019 SLIP-ON VERSION ZHND368STR-FC</v>
      </c>
      <c r="G1168" t="str">
        <f t="shared" si="345"/>
        <v/>
      </c>
      <c r="H1168" t="str">
        <f t="shared" si="357"/>
        <v/>
      </c>
      <c r="I1168" t="str">
        <f t="shared" si="358"/>
        <v/>
      </c>
      <c r="J1168" t="str">
        <f t="shared" si="359"/>
        <v/>
      </c>
      <c r="K1168" t="str">
        <f t="shared" si="360"/>
        <v/>
      </c>
      <c r="L1168" t="str">
        <f t="shared" si="346"/>
        <v>Option</v>
      </c>
      <c r="M1168" t="str">
        <f t="shared" si="347"/>
        <v>EURO 4 HOMOLOGATED WITH TITANIUM SLEEVE</v>
      </c>
      <c r="R1168" t="str">
        <f t="shared" si="348"/>
        <v>ZHND368STR-FC</v>
      </c>
      <c r="S1168">
        <f t="shared" si="349"/>
        <v>0</v>
      </c>
      <c r="U1168" t="str">
        <f t="shared" si="350"/>
        <v>continue</v>
      </c>
      <c r="V1168" t="str">
        <f t="shared" si="351"/>
        <v>manual</v>
      </c>
      <c r="W1168" s="5">
        <f t="shared" si="352"/>
        <v>652.2582000000001</v>
      </c>
      <c r="Y1168" t="b">
        <f t="shared" si="353"/>
        <v>1</v>
      </c>
      <c r="Z1168" t="b">
        <f t="shared" si="354"/>
        <v>0</v>
      </c>
      <c r="AB1168" t="str">
        <f t="shared" si="355"/>
        <v/>
      </c>
      <c r="AE1168" t="b">
        <v>0</v>
      </c>
    </row>
    <row r="1169" spans="1:31" x14ac:dyDescent="0.2">
      <c r="A1169" t="str">
        <f t="shared" si="342"/>
        <v>https://shop.officineitalianezard.it/en/products/index/honda-cb-1000-r-exhaust-7920-252/</v>
      </c>
      <c r="B1169" t="b">
        <f>COUNTIF($A$2:$A1169, A1169)&gt;1</f>
        <v>1</v>
      </c>
      <c r="C1169" t="b">
        <f t="shared" si="343"/>
        <v>1</v>
      </c>
      <c r="D1169">
        <f>VLOOKUP(A1169,variant_counts!A:B, 2, FALSE)</f>
        <v>2</v>
      </c>
      <c r="E1169" t="str">
        <f t="shared" si="356"/>
        <v>zard-exhaust-silencer-honda-cb-1000-r-2018-2019-slip-on-version-zhnd368str-fc</v>
      </c>
      <c r="F1169" t="str">
        <f t="shared" si="344"/>
        <v>ZARD EXHAUST SILENCER HONDA CB 1000 R 2018-2019 SLIP-ON VERSION ZHND368STR-FC</v>
      </c>
      <c r="G1169" t="str">
        <f t="shared" si="345"/>
        <v/>
      </c>
      <c r="H1169" t="str">
        <f t="shared" si="357"/>
        <v/>
      </c>
      <c r="I1169" t="str">
        <f t="shared" si="358"/>
        <v/>
      </c>
      <c r="J1169" t="str">
        <f t="shared" si="359"/>
        <v/>
      </c>
      <c r="K1169" t="str">
        <f t="shared" si="360"/>
        <v/>
      </c>
      <c r="L1169" t="str">
        <f t="shared" si="346"/>
        <v>Option</v>
      </c>
      <c r="M1169" t="str">
        <f t="shared" si="347"/>
        <v>BLACK COATING</v>
      </c>
      <c r="R1169" t="str">
        <f t="shared" si="348"/>
        <v>ZHND368STR-FC</v>
      </c>
      <c r="S1169">
        <f t="shared" si="349"/>
        <v>0</v>
      </c>
      <c r="U1169" t="str">
        <f t="shared" si="350"/>
        <v>continue</v>
      </c>
      <c r="V1169" t="str">
        <f t="shared" si="351"/>
        <v>manual</v>
      </c>
      <c r="W1169" s="5">
        <f t="shared" si="352"/>
        <v>708.75720000000001</v>
      </c>
      <c r="Y1169" t="b">
        <f t="shared" si="353"/>
        <v>1</v>
      </c>
      <c r="Z1169" t="b">
        <f t="shared" si="354"/>
        <v>0</v>
      </c>
      <c r="AB1169" t="str">
        <f t="shared" si="355"/>
        <v/>
      </c>
      <c r="AE1169" t="b">
        <v>0</v>
      </c>
    </row>
    <row r="1170" spans="1:31" x14ac:dyDescent="0.2">
      <c r="A1170" t="str">
        <f t="shared" si="342"/>
        <v>https://shop.officineitalianezard.it/en/products/index/africa-twin-exhaust-zard-7744-203/</v>
      </c>
      <c r="B1170" t="b">
        <f>COUNTIF($A$2:$A1170, A1170)&gt;1</f>
        <v>0</v>
      </c>
      <c r="C1170" t="b">
        <f t="shared" si="343"/>
        <v>0</v>
      </c>
      <c r="D1170">
        <f>VLOOKUP(A1170,variant_counts!A:B, 2, FALSE)</f>
        <v>4</v>
      </c>
      <c r="E1170" t="str">
        <f t="shared" si="356"/>
        <v>zard-exhaust-silencer-honda-africa-twin-201619-steel-carbon-version-zhnd366ssr-fc</v>
      </c>
      <c r="F1170" t="str">
        <f t="shared" si="344"/>
        <v>ZARD EXHAUST SILENCER HONDA AFRICA TWIN 2016/19 STEEL-CARBON VERSION ZHND366SSR-FC</v>
      </c>
      <c r="G1170" t="str">
        <f t="shared" si="345"/>
        <v>&lt;p&gt;STEEL-CARBON RACING SILENCER&amp;nbsp;WITH REMOVABLE DB KILLER.&lt;/p&gt;
&lt;p&gt;&lt;span&gt;THE BOX INCLUDES ALL PARTS FOR THE FITMENT OF ZARD EXHAUST.&lt;/span&gt;&lt;/p&gt;
&lt;p&gt;HARD INCREASE, COMPARED TO THE ORIGINAL EXHAUST SYSTEM, IN TERMS OF TORQUE AND POWER AT ANY RANGE.&lt;/p&gt;
&lt;p&gt;ASTONISHING SOUND,&amp;nbsp;EXCLUSIVE DESIGN.&lt;/p&gt;</v>
      </c>
      <c r="H1170" t="str">
        <f t="shared" si="357"/>
        <v>ZARD</v>
      </c>
      <c r="I1170" t="str">
        <f t="shared" si="358"/>
        <v>Exhaust Pipe</v>
      </c>
      <c r="J1170" t="str">
        <f t="shared" si="359"/>
        <v>Test</v>
      </c>
      <c r="K1170" t="b">
        <f t="shared" si="360"/>
        <v>0</v>
      </c>
      <c r="L1170" t="str">
        <f t="shared" si="346"/>
        <v/>
      </c>
      <c r="M1170" t="str">
        <f t="shared" si="347"/>
        <v/>
      </c>
      <c r="R1170" t="str">
        <f t="shared" si="348"/>
        <v/>
      </c>
      <c r="S1170" t="str">
        <f t="shared" si="349"/>
        <v/>
      </c>
      <c r="U1170" t="str">
        <f t="shared" si="350"/>
        <v/>
      </c>
      <c r="V1170" t="str">
        <f t="shared" si="351"/>
        <v/>
      </c>
      <c r="W1170" s="5" t="str">
        <f t="shared" si="352"/>
        <v/>
      </c>
      <c r="Y1170" t="str">
        <f t="shared" si="353"/>
        <v/>
      </c>
      <c r="Z1170" t="str">
        <f t="shared" si="354"/>
        <v/>
      </c>
      <c r="AB1170" t="str">
        <f t="shared" si="355"/>
        <v>https://shop.officineitalianezard.it/contents/imgs/products/1_1572-1.jpg</v>
      </c>
      <c r="AE1170" t="b">
        <v>0</v>
      </c>
    </row>
    <row r="1171" spans="1:31" x14ac:dyDescent="0.2">
      <c r="A1171" t="str">
        <f t="shared" si="342"/>
        <v>https://shop.officineitalianezard.it/en/products/index/africa-twin-exhaust-zard-7744-203/</v>
      </c>
      <c r="B1171" t="b">
        <f>COUNTIF($A$2:$A1171, A1171)&gt;1</f>
        <v>1</v>
      </c>
      <c r="C1171" t="b">
        <f t="shared" si="343"/>
        <v>0</v>
      </c>
      <c r="D1171">
        <f>VLOOKUP(A1171,variant_counts!A:B, 2, FALSE)</f>
        <v>4</v>
      </c>
      <c r="E1171" t="str">
        <f t="shared" si="356"/>
        <v>zard-exhaust-silencer-honda-africa-twin-201619-steel-carbon-version-zhnd366ssr-fc</v>
      </c>
      <c r="F1171" t="str">
        <f t="shared" si="344"/>
        <v>ZARD EXHAUST SILENCER HONDA AFRICA TWIN 2016/19 STEEL-CARBON VERSION ZHND366SSR-FC</v>
      </c>
      <c r="G1171" t="str">
        <f t="shared" si="345"/>
        <v/>
      </c>
      <c r="H1171" t="str">
        <f t="shared" si="357"/>
        <v/>
      </c>
      <c r="I1171" t="str">
        <f t="shared" si="358"/>
        <v/>
      </c>
      <c r="J1171" t="str">
        <f t="shared" si="359"/>
        <v/>
      </c>
      <c r="K1171" t="str">
        <f t="shared" si="360"/>
        <v/>
      </c>
      <c r="L1171" t="str">
        <f t="shared" si="346"/>
        <v/>
      </c>
      <c r="M1171" t="str">
        <f t="shared" si="347"/>
        <v/>
      </c>
      <c r="R1171" t="str">
        <f t="shared" si="348"/>
        <v/>
      </c>
      <c r="S1171" t="str">
        <f t="shared" si="349"/>
        <v/>
      </c>
      <c r="U1171" t="str">
        <f t="shared" si="350"/>
        <v/>
      </c>
      <c r="V1171" t="str">
        <f t="shared" si="351"/>
        <v/>
      </c>
      <c r="W1171" s="5" t="str">
        <f t="shared" si="352"/>
        <v/>
      </c>
      <c r="Y1171" t="str">
        <f t="shared" si="353"/>
        <v/>
      </c>
      <c r="Z1171" t="str">
        <f t="shared" si="354"/>
        <v/>
      </c>
      <c r="AB1171" t="str">
        <f t="shared" si="355"/>
        <v>https://shop.officineitalianezard.it/contents/imgs/products/1_1573-2.jpg</v>
      </c>
      <c r="AE1171" t="b">
        <v>0</v>
      </c>
    </row>
    <row r="1172" spans="1:31" x14ac:dyDescent="0.2">
      <c r="A1172" t="str">
        <f t="shared" si="342"/>
        <v>https://shop.officineitalianezard.it/en/products/index/africa-twin-exhaust-zard-7744-203/</v>
      </c>
      <c r="B1172" t="b">
        <f>COUNTIF($A$2:$A1172, A1172)&gt;1</f>
        <v>1</v>
      </c>
      <c r="C1172" t="b">
        <f t="shared" si="343"/>
        <v>0</v>
      </c>
      <c r="D1172">
        <f>VLOOKUP(A1172,variant_counts!A:B, 2, FALSE)</f>
        <v>4</v>
      </c>
      <c r="E1172" t="str">
        <f t="shared" si="356"/>
        <v>zard-exhaust-silencer-honda-africa-twin-201619-steel-carbon-version-zhnd366ssr-fc</v>
      </c>
      <c r="F1172" t="str">
        <f t="shared" si="344"/>
        <v>ZARD EXHAUST SILENCER HONDA AFRICA TWIN 2016/19 STEEL-CARBON VERSION ZHND366SSR-FC</v>
      </c>
      <c r="G1172" t="str">
        <f t="shared" si="345"/>
        <v/>
      </c>
      <c r="H1172" t="str">
        <f t="shared" si="357"/>
        <v/>
      </c>
      <c r="I1172" t="str">
        <f t="shared" si="358"/>
        <v/>
      </c>
      <c r="J1172" t="str">
        <f t="shared" si="359"/>
        <v/>
      </c>
      <c r="K1172" t="str">
        <f t="shared" si="360"/>
        <v/>
      </c>
      <c r="L1172" t="str">
        <f t="shared" si="346"/>
        <v/>
      </c>
      <c r="M1172" t="str">
        <f t="shared" si="347"/>
        <v/>
      </c>
      <c r="R1172" t="str">
        <f t="shared" si="348"/>
        <v/>
      </c>
      <c r="S1172" t="str">
        <f t="shared" si="349"/>
        <v/>
      </c>
      <c r="U1172" t="str">
        <f t="shared" si="350"/>
        <v/>
      </c>
      <c r="V1172" t="str">
        <f t="shared" si="351"/>
        <v/>
      </c>
      <c r="W1172" s="5" t="str">
        <f t="shared" si="352"/>
        <v/>
      </c>
      <c r="Y1172" t="str">
        <f t="shared" si="353"/>
        <v/>
      </c>
      <c r="Z1172" t="str">
        <f t="shared" si="354"/>
        <v/>
      </c>
      <c r="AB1172" t="str">
        <f t="shared" si="355"/>
        <v>https://shop.officineitalianezard.it/contents/imgs/products/1_1574-3.jpg</v>
      </c>
      <c r="AE1172" t="b">
        <v>0</v>
      </c>
    </row>
    <row r="1173" spans="1:31" x14ac:dyDescent="0.2">
      <c r="A1173" t="str">
        <f t="shared" si="342"/>
        <v>https://shop.officineitalianezard.it/en/products/index/africa-twin-exhaust-zard-7744-203/</v>
      </c>
      <c r="B1173" t="b">
        <f>COUNTIF($A$2:$A1173, A1173)&gt;1</f>
        <v>1</v>
      </c>
      <c r="C1173" t="b">
        <f t="shared" si="343"/>
        <v>0</v>
      </c>
      <c r="D1173">
        <f>VLOOKUP(A1173,variant_counts!A:B, 2, FALSE)</f>
        <v>4</v>
      </c>
      <c r="E1173" t="str">
        <f t="shared" si="356"/>
        <v>zard-exhaust-silencer-honda-africa-twin-201619-steel-carbon-version-zhnd366ssr-fc</v>
      </c>
      <c r="F1173" t="str">
        <f t="shared" si="344"/>
        <v>ZARD EXHAUST SILENCER HONDA AFRICA TWIN 2016/19 STEEL-CARBON VERSION ZHND366SSR-FC</v>
      </c>
      <c r="G1173" t="str">
        <f t="shared" si="345"/>
        <v/>
      </c>
      <c r="H1173" t="str">
        <f t="shared" si="357"/>
        <v/>
      </c>
      <c r="I1173" t="str">
        <f t="shared" si="358"/>
        <v/>
      </c>
      <c r="J1173" t="str">
        <f t="shared" si="359"/>
        <v/>
      </c>
      <c r="K1173" t="str">
        <f t="shared" si="360"/>
        <v/>
      </c>
      <c r="L1173" t="str">
        <f t="shared" si="346"/>
        <v/>
      </c>
      <c r="M1173" t="str">
        <f t="shared" si="347"/>
        <v/>
      </c>
      <c r="R1173" t="str">
        <f t="shared" si="348"/>
        <v/>
      </c>
      <c r="S1173" t="str">
        <f t="shared" si="349"/>
        <v/>
      </c>
      <c r="U1173" t="str">
        <f t="shared" si="350"/>
        <v/>
      </c>
      <c r="V1173" t="str">
        <f t="shared" si="351"/>
        <v/>
      </c>
      <c r="W1173" s="5" t="str">
        <f t="shared" si="352"/>
        <v/>
      </c>
      <c r="Y1173" t="str">
        <f t="shared" si="353"/>
        <v/>
      </c>
      <c r="Z1173" t="str">
        <f t="shared" si="354"/>
        <v/>
      </c>
      <c r="AB1173" t="str">
        <f t="shared" si="355"/>
        <v>https://shop.officineitalianezard.it/contents/imgs/products/1_2280-Africa%20Twin%20Zard%20slip%20on.jpg</v>
      </c>
      <c r="AE1173" t="b">
        <v>0</v>
      </c>
    </row>
    <row r="1174" spans="1:31" x14ac:dyDescent="0.2">
      <c r="A1174" t="str">
        <f t="shared" si="342"/>
        <v>https://shop.officineitalianezard.it/en/products/index/africa-twin-exhaust-zard-7744-203/</v>
      </c>
      <c r="B1174" t="b">
        <f>COUNTIF($A$2:$A1174, A1174)&gt;1</f>
        <v>1</v>
      </c>
      <c r="C1174" t="b">
        <f t="shared" si="343"/>
        <v>1</v>
      </c>
      <c r="D1174">
        <f>VLOOKUP(A1174,variant_counts!A:B, 2, FALSE)</f>
        <v>4</v>
      </c>
      <c r="E1174" t="str">
        <f t="shared" si="356"/>
        <v>zard-exhaust-silencer-honda-africa-twin-201619-steel-carbon-version-zhnd366ssr-fc</v>
      </c>
      <c r="F1174" t="str">
        <f t="shared" si="344"/>
        <v>ZARD EXHAUST SILENCER HONDA AFRICA TWIN 2016/19 STEEL-CARBON VERSION ZHND366SSR-FC</v>
      </c>
      <c r="G1174" t="str">
        <f t="shared" si="345"/>
        <v/>
      </c>
      <c r="H1174" t="str">
        <f t="shared" si="357"/>
        <v/>
      </c>
      <c r="I1174" t="str">
        <f t="shared" si="358"/>
        <v/>
      </c>
      <c r="J1174" t="str">
        <f t="shared" si="359"/>
        <v/>
      </c>
      <c r="K1174" t="str">
        <f t="shared" si="360"/>
        <v/>
      </c>
      <c r="L1174" t="str">
        <f t="shared" si="346"/>
        <v>Option</v>
      </c>
      <c r="M1174" t="str">
        <f t="shared" si="347"/>
        <v>TITANIUM-CARBON RACING</v>
      </c>
      <c r="R1174" t="str">
        <f t="shared" si="348"/>
        <v>ZHND366SSR-FC</v>
      </c>
      <c r="S1174">
        <f t="shared" si="349"/>
        <v>0</v>
      </c>
      <c r="U1174" t="str">
        <f t="shared" si="350"/>
        <v>continue</v>
      </c>
      <c r="V1174" t="str">
        <f t="shared" si="351"/>
        <v>manual</v>
      </c>
      <c r="W1174" s="5">
        <f t="shared" si="352"/>
        <v>736.50720000000001</v>
      </c>
      <c r="Y1174" t="b">
        <f t="shared" si="353"/>
        <v>1</v>
      </c>
      <c r="Z1174" t="b">
        <f t="shared" si="354"/>
        <v>0</v>
      </c>
      <c r="AB1174" t="str">
        <f t="shared" si="355"/>
        <v/>
      </c>
      <c r="AE1174" t="b">
        <v>0</v>
      </c>
    </row>
    <row r="1175" spans="1:31" x14ac:dyDescent="0.2">
      <c r="A1175" t="str">
        <f t="shared" si="342"/>
        <v>https://shop.officineitalianezard.it/en/products/index/africa-twin-exhaust-zard-7744-203/</v>
      </c>
      <c r="B1175" t="b">
        <f>COUNTIF($A$2:$A1175, A1175)&gt;1</f>
        <v>1</v>
      </c>
      <c r="C1175" t="b">
        <f t="shared" si="343"/>
        <v>1</v>
      </c>
      <c r="D1175">
        <f>VLOOKUP(A1175,variant_counts!A:B, 2, FALSE)</f>
        <v>4</v>
      </c>
      <c r="E1175" t="str">
        <f t="shared" si="356"/>
        <v>zard-exhaust-silencer-honda-africa-twin-201619-steel-carbon-version-zhnd366ssr-fc</v>
      </c>
      <c r="F1175" t="str">
        <f t="shared" si="344"/>
        <v>ZARD EXHAUST SILENCER HONDA AFRICA TWIN 2016/19 STEEL-CARBON VERSION ZHND366SSR-FC</v>
      </c>
      <c r="G1175" t="str">
        <f t="shared" si="345"/>
        <v/>
      </c>
      <c r="H1175" t="str">
        <f t="shared" si="357"/>
        <v/>
      </c>
      <c r="I1175" t="str">
        <f t="shared" si="358"/>
        <v/>
      </c>
      <c r="J1175" t="str">
        <f t="shared" si="359"/>
        <v/>
      </c>
      <c r="K1175" t="str">
        <f t="shared" si="360"/>
        <v/>
      </c>
      <c r="L1175" t="str">
        <f t="shared" si="346"/>
        <v>Option</v>
      </c>
      <c r="M1175" t="str">
        <f t="shared" si="347"/>
        <v>CARBON RACING</v>
      </c>
      <c r="R1175" t="str">
        <f t="shared" si="348"/>
        <v>ZHND366SSR-FC</v>
      </c>
      <c r="S1175">
        <f t="shared" si="349"/>
        <v>0</v>
      </c>
      <c r="U1175" t="str">
        <f t="shared" si="350"/>
        <v>continue</v>
      </c>
      <c r="V1175" t="str">
        <f t="shared" si="351"/>
        <v>manual</v>
      </c>
      <c r="W1175" s="5">
        <f t="shared" si="352"/>
        <v>761.89290000000005</v>
      </c>
      <c r="Y1175" t="b">
        <f t="shared" si="353"/>
        <v>1</v>
      </c>
      <c r="Z1175" t="b">
        <f t="shared" si="354"/>
        <v>0</v>
      </c>
      <c r="AB1175" t="str">
        <f t="shared" si="355"/>
        <v/>
      </c>
      <c r="AE1175" t="b">
        <v>0</v>
      </c>
    </row>
    <row r="1176" spans="1:31" x14ac:dyDescent="0.2">
      <c r="A1176" t="str">
        <f t="shared" si="342"/>
        <v>https://shop.officineitalianezard.it/en/products/index/africa-twin-exhaust-zard-7744-203/</v>
      </c>
      <c r="B1176" t="b">
        <f>COUNTIF($A$2:$A1176, A1176)&gt;1</f>
        <v>1</v>
      </c>
      <c r="C1176" t="b">
        <f t="shared" si="343"/>
        <v>1</v>
      </c>
      <c r="D1176">
        <f>VLOOKUP(A1176,variant_counts!A:B, 2, FALSE)</f>
        <v>4</v>
      </c>
      <c r="E1176" t="str">
        <f t="shared" si="356"/>
        <v>zard-exhaust-silencer-honda-africa-twin-201619-steel-carbon-version-zhnd366ssr-fc</v>
      </c>
      <c r="F1176" t="str">
        <f t="shared" si="344"/>
        <v>ZARD EXHAUST SILENCER HONDA AFRICA TWIN 2016/19 STEEL-CARBON VERSION ZHND366SSR-FC</v>
      </c>
      <c r="G1176" t="str">
        <f t="shared" si="345"/>
        <v/>
      </c>
      <c r="H1176" t="str">
        <f t="shared" si="357"/>
        <v/>
      </c>
      <c r="I1176" t="str">
        <f t="shared" si="358"/>
        <v/>
      </c>
      <c r="J1176" t="str">
        <f t="shared" si="359"/>
        <v/>
      </c>
      <c r="K1176" t="str">
        <f t="shared" si="360"/>
        <v/>
      </c>
      <c r="L1176" t="str">
        <f t="shared" si="346"/>
        <v>Option</v>
      </c>
      <c r="M1176" t="str">
        <f t="shared" si="347"/>
        <v>STEEL-CARBON EURO 4 HOMOLOGATED</v>
      </c>
      <c r="R1176" t="str">
        <f t="shared" si="348"/>
        <v>ZHND366SSR-FC</v>
      </c>
      <c r="S1176">
        <f t="shared" si="349"/>
        <v>0</v>
      </c>
      <c r="U1176" t="str">
        <f t="shared" si="350"/>
        <v>continue</v>
      </c>
      <c r="V1176" t="str">
        <f t="shared" si="351"/>
        <v>manual</v>
      </c>
      <c r="W1176" s="5">
        <f t="shared" si="352"/>
        <v>646.43070000000012</v>
      </c>
      <c r="Y1176" t="b">
        <f t="shared" si="353"/>
        <v>1</v>
      </c>
      <c r="Z1176" t="b">
        <f t="shared" si="354"/>
        <v>0</v>
      </c>
      <c r="AB1176" t="str">
        <f t="shared" si="355"/>
        <v/>
      </c>
      <c r="AE1176" t="b">
        <v>0</v>
      </c>
    </row>
    <row r="1177" spans="1:31" x14ac:dyDescent="0.2">
      <c r="A1177" t="str">
        <f t="shared" si="342"/>
        <v>https://shop.officineitalianezard.it/en/products/index/africa-twin-exhaust-zard-7744-203/</v>
      </c>
      <c r="B1177" t="b">
        <f>COUNTIF($A$2:$A1177, A1177)&gt;1</f>
        <v>1</v>
      </c>
      <c r="C1177" t="b">
        <f t="shared" si="343"/>
        <v>1</v>
      </c>
      <c r="D1177">
        <f>VLOOKUP(A1177,variant_counts!A:B, 2, FALSE)</f>
        <v>4</v>
      </c>
      <c r="E1177" t="str">
        <f t="shared" si="356"/>
        <v>zard-exhaust-silencer-honda-africa-twin-201619-steel-carbon-version-zhnd366ssr-fc</v>
      </c>
      <c r="F1177" t="str">
        <f t="shared" si="344"/>
        <v>ZARD EXHAUST SILENCER HONDA AFRICA TWIN 2016/19 STEEL-CARBON VERSION ZHND366SSR-FC</v>
      </c>
      <c r="G1177" t="str">
        <f t="shared" si="345"/>
        <v/>
      </c>
      <c r="H1177" t="str">
        <f t="shared" si="357"/>
        <v/>
      </c>
      <c r="I1177" t="str">
        <f t="shared" si="358"/>
        <v/>
      </c>
      <c r="J1177" t="str">
        <f t="shared" si="359"/>
        <v/>
      </c>
      <c r="K1177" t="str">
        <f t="shared" si="360"/>
        <v/>
      </c>
      <c r="L1177" t="str">
        <f t="shared" si="346"/>
        <v>Option</v>
      </c>
      <c r="M1177" t="str">
        <f t="shared" si="347"/>
        <v>TITANIUM-CARBON EURO 4 HOMOLOGATED</v>
      </c>
      <c r="R1177" t="str">
        <f t="shared" si="348"/>
        <v>ZHND366SSR-FC</v>
      </c>
      <c r="S1177">
        <f t="shared" si="349"/>
        <v>0</v>
      </c>
      <c r="U1177" t="str">
        <f t="shared" si="350"/>
        <v>continue</v>
      </c>
      <c r="V1177" t="str">
        <f t="shared" si="351"/>
        <v>manual</v>
      </c>
      <c r="W1177" s="5">
        <f t="shared" si="352"/>
        <v>756.97559999999999</v>
      </c>
      <c r="Y1177" t="b">
        <f t="shared" si="353"/>
        <v>1</v>
      </c>
      <c r="Z1177" t="b">
        <f t="shared" si="354"/>
        <v>0</v>
      </c>
      <c r="AB1177" t="str">
        <f t="shared" si="355"/>
        <v/>
      </c>
      <c r="AE1177" t="b">
        <v>0</v>
      </c>
    </row>
    <row r="1178" spans="1:31" x14ac:dyDescent="0.2">
      <c r="A1178" t="str">
        <f t="shared" si="342"/>
        <v>https://shop.officineitalianezard.it/en/products/index/africa-twin-exhaust-zard-7750-203/</v>
      </c>
      <c r="B1178" t="b">
        <f>COUNTIF($A$2:$A1178, A1178)&gt;1</f>
        <v>0</v>
      </c>
      <c r="C1178" t="b">
        <f t="shared" si="343"/>
        <v>0</v>
      </c>
      <c r="D1178">
        <f>VLOOKUP(A1178,variant_counts!A:B, 2, FALSE)</f>
        <v>2</v>
      </c>
      <c r="E1178" t="str">
        <f t="shared" si="356"/>
        <v>zard-exhaust-conical-full-kit-honda-africa-twin-201619-21-version-zhnd367skr-fc</v>
      </c>
      <c r="F1178" t="str">
        <f t="shared" si="344"/>
        <v>ZARD EXHAUST CONICAL FULL KIT HONDA AFRICA TWIN 2016/19 2&gt;1 VERSION ZHND367SKR-FC</v>
      </c>
      <c r="G1178" t="str">
        <f t="shared" si="345"/>
        <v>&lt;p&gt;STEEL RACING 2&amp;gt;1 CONICAL FULL KIT WITH REMOVABLE DB KILLER.&lt;/p&gt;
&lt;p&gt;&lt;span&gt;THE BOX INCLUDES ALL PARTS FOR THE FITMENT OF ZARD EXHAUST.&lt;/span&gt;&lt;/p&gt;
&lt;p&gt;HARD INCREASE, COMPARED TO THE ORIGINAL EXHAUST SYSTEM, IN TERMS OF TORQUE AND POWER AT ANY RANGE.&lt;/p&gt;
&lt;p&gt;ASTONISHING SOUND,&amp;nbsp;EXCLUSIVE DESIGN.&lt;/p&gt;
&lt;p&gt;&lt;strong&gt;NOTICE&lt;/strong&gt;&lt;span&gt;:&amp;nbsp;THIS FULL KIT FITS WITH GIVI ACCESSORIES&lt;/span&gt;&lt;/p&gt;
&lt;p&gt;&lt;iframe src="https://www.youtube.com/embed/TFEhDGnmu4A" allowfullscreen="allowfullscreen" width="298" height="168" frameborder="0"&gt;&lt;/iframe&gt;&lt;/p&gt;</v>
      </c>
      <c r="H1178" t="str">
        <f t="shared" si="357"/>
        <v>ZARD</v>
      </c>
      <c r="I1178" t="str">
        <f t="shared" si="358"/>
        <v>Exhaust Pipe</v>
      </c>
      <c r="J1178" t="str">
        <f t="shared" si="359"/>
        <v>Test</v>
      </c>
      <c r="K1178" t="b">
        <f t="shared" si="360"/>
        <v>0</v>
      </c>
      <c r="L1178" t="str">
        <f t="shared" si="346"/>
        <v/>
      </c>
      <c r="M1178" t="str">
        <f t="shared" si="347"/>
        <v/>
      </c>
      <c r="R1178" t="str">
        <f t="shared" si="348"/>
        <v/>
      </c>
      <c r="S1178" t="str">
        <f t="shared" si="349"/>
        <v/>
      </c>
      <c r="U1178" t="str">
        <f t="shared" si="350"/>
        <v/>
      </c>
      <c r="V1178" t="str">
        <f t="shared" si="351"/>
        <v/>
      </c>
      <c r="W1178" s="5" t="str">
        <f t="shared" si="352"/>
        <v/>
      </c>
      <c r="Y1178" t="str">
        <f t="shared" si="353"/>
        <v/>
      </c>
      <c r="Z1178" t="str">
        <f t="shared" si="354"/>
        <v/>
      </c>
      <c r="AB1178" t="str">
        <f t="shared" si="355"/>
        <v>https://shop.officineitalianezard.it/contents/imgs/products/1_2387-scarico%20honda%20africa%20twin.jpg</v>
      </c>
      <c r="AE1178" t="b">
        <v>0</v>
      </c>
    </row>
    <row r="1179" spans="1:31" x14ac:dyDescent="0.2">
      <c r="A1179" t="str">
        <f t="shared" si="342"/>
        <v>https://shop.officineitalianezard.it/en/products/index/africa-twin-exhaust-zard-7750-203/</v>
      </c>
      <c r="B1179" t="b">
        <f>COUNTIF($A$2:$A1179, A1179)&gt;1</f>
        <v>1</v>
      </c>
      <c r="C1179" t="b">
        <f t="shared" si="343"/>
        <v>0</v>
      </c>
      <c r="D1179">
        <f>VLOOKUP(A1179,variant_counts!A:B, 2, FALSE)</f>
        <v>2</v>
      </c>
      <c r="E1179" t="str">
        <f t="shared" si="356"/>
        <v>zard-exhaust-conical-full-kit-honda-africa-twin-201619-21-version-zhnd367skr-fc</v>
      </c>
      <c r="F1179" t="str">
        <f t="shared" si="344"/>
        <v>ZARD EXHAUST CONICAL FULL KIT HONDA AFRICA TWIN 2016/19 2&gt;1 VERSION ZHND367SKR-FC</v>
      </c>
      <c r="G1179" t="str">
        <f t="shared" si="345"/>
        <v/>
      </c>
      <c r="H1179" t="str">
        <f t="shared" si="357"/>
        <v/>
      </c>
      <c r="I1179" t="str">
        <f t="shared" si="358"/>
        <v/>
      </c>
      <c r="J1179" t="str">
        <f t="shared" si="359"/>
        <v/>
      </c>
      <c r="K1179" t="str">
        <f t="shared" si="360"/>
        <v/>
      </c>
      <c r="L1179" t="str">
        <f t="shared" si="346"/>
        <v/>
      </c>
      <c r="M1179" t="str">
        <f t="shared" si="347"/>
        <v/>
      </c>
      <c r="R1179" t="str">
        <f t="shared" si="348"/>
        <v/>
      </c>
      <c r="S1179" t="str">
        <f t="shared" si="349"/>
        <v/>
      </c>
      <c r="U1179" t="str">
        <f t="shared" si="350"/>
        <v/>
      </c>
      <c r="V1179" t="str">
        <f t="shared" si="351"/>
        <v/>
      </c>
      <c r="W1179" s="5" t="str">
        <f t="shared" si="352"/>
        <v/>
      </c>
      <c r="Y1179" t="str">
        <f t="shared" si="353"/>
        <v/>
      </c>
      <c r="Z1179" t="str">
        <f t="shared" si="354"/>
        <v/>
      </c>
      <c r="AB1179" t="str">
        <f t="shared" si="355"/>
        <v>https://shop.officineitalianezard.it/contents/imgs/products/1_2389-africa%20twin%20zard%20exhaust.jpg</v>
      </c>
      <c r="AE1179" t="b">
        <v>0</v>
      </c>
    </row>
    <row r="1180" spans="1:31" x14ac:dyDescent="0.2">
      <c r="A1180" t="str">
        <f t="shared" si="342"/>
        <v>https://shop.officineitalianezard.it/en/products/index/africa-twin-exhaust-zard-7750-203/</v>
      </c>
      <c r="B1180" t="b">
        <f>COUNTIF($A$2:$A1180, A1180)&gt;1</f>
        <v>1</v>
      </c>
      <c r="C1180" t="b">
        <f t="shared" si="343"/>
        <v>0</v>
      </c>
      <c r="D1180">
        <f>VLOOKUP(A1180,variant_counts!A:B, 2, FALSE)</f>
        <v>2</v>
      </c>
      <c r="E1180" t="str">
        <f t="shared" si="356"/>
        <v>zard-exhaust-conical-full-kit-honda-africa-twin-201619-21-version-zhnd367skr-fc</v>
      </c>
      <c r="F1180" t="str">
        <f t="shared" si="344"/>
        <v>ZARD EXHAUST CONICAL FULL KIT HONDA AFRICA TWIN 2016/19 2&gt;1 VERSION ZHND367SKR-FC</v>
      </c>
      <c r="G1180" t="str">
        <f t="shared" si="345"/>
        <v/>
      </c>
      <c r="H1180" t="str">
        <f t="shared" si="357"/>
        <v/>
      </c>
      <c r="I1180" t="str">
        <f t="shared" si="358"/>
        <v/>
      </c>
      <c r="J1180" t="str">
        <f t="shared" si="359"/>
        <v/>
      </c>
      <c r="K1180" t="str">
        <f t="shared" si="360"/>
        <v/>
      </c>
      <c r="L1180" t="str">
        <f t="shared" si="346"/>
        <v/>
      </c>
      <c r="M1180" t="str">
        <f t="shared" si="347"/>
        <v/>
      </c>
      <c r="R1180" t="str">
        <f t="shared" si="348"/>
        <v/>
      </c>
      <c r="S1180" t="str">
        <f t="shared" si="349"/>
        <v/>
      </c>
      <c r="U1180" t="str">
        <f t="shared" si="350"/>
        <v/>
      </c>
      <c r="V1180" t="str">
        <f t="shared" si="351"/>
        <v/>
      </c>
      <c r="W1180" s="5" t="str">
        <f t="shared" si="352"/>
        <v/>
      </c>
      <c r="Y1180" t="str">
        <f t="shared" si="353"/>
        <v/>
      </c>
      <c r="Z1180" t="str">
        <f t="shared" si="354"/>
        <v/>
      </c>
      <c r="AB1180" t="str">
        <f t="shared" si="355"/>
        <v>https://shop.officineitalianezard.it/contents/imgs/products/1_2358-scarico%20honda%20africa%20twin%20zard%202.jpg</v>
      </c>
      <c r="AE1180" t="b">
        <v>0</v>
      </c>
    </row>
    <row r="1181" spans="1:31" x14ac:dyDescent="0.2">
      <c r="A1181" t="str">
        <f t="shared" si="342"/>
        <v>https://shop.officineitalianezard.it/en/products/index/africa-twin-exhaust-zard-7750-203/</v>
      </c>
      <c r="B1181" t="b">
        <f>COUNTIF($A$2:$A1181, A1181)&gt;1</f>
        <v>1</v>
      </c>
      <c r="C1181" t="b">
        <f t="shared" si="343"/>
        <v>0</v>
      </c>
      <c r="D1181">
        <f>VLOOKUP(A1181,variant_counts!A:B, 2, FALSE)</f>
        <v>2</v>
      </c>
      <c r="E1181" t="str">
        <f t="shared" si="356"/>
        <v>zard-exhaust-conical-full-kit-honda-africa-twin-201619-21-version-zhnd367skr-fc</v>
      </c>
      <c r="F1181" t="str">
        <f t="shared" si="344"/>
        <v>ZARD EXHAUST CONICAL FULL KIT HONDA AFRICA TWIN 2016/19 2&gt;1 VERSION ZHND367SKR-FC</v>
      </c>
      <c r="G1181" t="str">
        <f t="shared" si="345"/>
        <v/>
      </c>
      <c r="H1181" t="str">
        <f t="shared" si="357"/>
        <v/>
      </c>
      <c r="I1181" t="str">
        <f t="shared" si="358"/>
        <v/>
      </c>
      <c r="J1181" t="str">
        <f t="shared" si="359"/>
        <v/>
      </c>
      <c r="K1181" t="str">
        <f t="shared" si="360"/>
        <v/>
      </c>
      <c r="L1181" t="str">
        <f t="shared" si="346"/>
        <v/>
      </c>
      <c r="M1181" t="str">
        <f t="shared" si="347"/>
        <v/>
      </c>
      <c r="R1181" t="str">
        <f t="shared" si="348"/>
        <v/>
      </c>
      <c r="S1181" t="str">
        <f t="shared" si="349"/>
        <v/>
      </c>
      <c r="U1181" t="str">
        <f t="shared" si="350"/>
        <v/>
      </c>
      <c r="V1181" t="str">
        <f t="shared" si="351"/>
        <v/>
      </c>
      <c r="W1181" s="5" t="str">
        <f t="shared" si="352"/>
        <v/>
      </c>
      <c r="Y1181" t="str">
        <f t="shared" si="353"/>
        <v/>
      </c>
      <c r="Z1181" t="str">
        <f t="shared" si="354"/>
        <v/>
      </c>
      <c r="AB1181" t="str">
        <f t="shared" si="355"/>
        <v>https://shop.officineitalianezard.it/contents/imgs/products/1_2388-scarico%20zard%20africa%20twin%20-%20zard%20exhaust%20-%20givi%20kit.jpg</v>
      </c>
      <c r="AE1181" t="b">
        <v>0</v>
      </c>
    </row>
    <row r="1182" spans="1:31" x14ac:dyDescent="0.2">
      <c r="A1182" t="str">
        <f t="shared" si="342"/>
        <v>https://shop.officineitalianezard.it/en/products/index/africa-twin-exhaust-zard-7750-203/</v>
      </c>
      <c r="B1182" t="b">
        <f>COUNTIF($A$2:$A1182, A1182)&gt;1</f>
        <v>1</v>
      </c>
      <c r="C1182" t="b">
        <f t="shared" si="343"/>
        <v>0</v>
      </c>
      <c r="D1182">
        <f>VLOOKUP(A1182,variant_counts!A:B, 2, FALSE)</f>
        <v>2</v>
      </c>
      <c r="E1182" t="str">
        <f t="shared" si="356"/>
        <v>zard-exhaust-conical-full-kit-honda-africa-twin-201619-21-version-zhnd367skr-fc</v>
      </c>
      <c r="F1182" t="str">
        <f t="shared" si="344"/>
        <v>ZARD EXHAUST CONICAL FULL KIT HONDA AFRICA TWIN 2016/19 2&gt;1 VERSION ZHND367SKR-FC</v>
      </c>
      <c r="G1182" t="str">
        <f t="shared" si="345"/>
        <v/>
      </c>
      <c r="H1182" t="str">
        <f t="shared" si="357"/>
        <v/>
      </c>
      <c r="I1182" t="str">
        <f t="shared" si="358"/>
        <v/>
      </c>
      <c r="J1182" t="str">
        <f t="shared" si="359"/>
        <v/>
      </c>
      <c r="K1182" t="str">
        <f t="shared" si="360"/>
        <v/>
      </c>
      <c r="L1182" t="str">
        <f t="shared" si="346"/>
        <v/>
      </c>
      <c r="M1182" t="str">
        <f t="shared" si="347"/>
        <v/>
      </c>
      <c r="R1182" t="str">
        <f t="shared" si="348"/>
        <v/>
      </c>
      <c r="S1182" t="str">
        <f t="shared" si="349"/>
        <v/>
      </c>
      <c r="U1182" t="str">
        <f t="shared" si="350"/>
        <v/>
      </c>
      <c r="V1182" t="str">
        <f t="shared" si="351"/>
        <v/>
      </c>
      <c r="W1182" s="5" t="str">
        <f t="shared" si="352"/>
        <v/>
      </c>
      <c r="Y1182" t="str">
        <f t="shared" si="353"/>
        <v/>
      </c>
      <c r="Z1182" t="str">
        <f t="shared" si="354"/>
        <v/>
      </c>
      <c r="AB1182" t="str">
        <f t="shared" si="355"/>
        <v>https://shop.officineitalianezard.it/contents/imgs/products/1_2281-Africa%20Twin%20Zard%20Kit.jpg</v>
      </c>
      <c r="AE1182" t="b">
        <v>0</v>
      </c>
    </row>
    <row r="1183" spans="1:31" x14ac:dyDescent="0.2">
      <c r="A1183" t="str">
        <f t="shared" si="342"/>
        <v>https://shop.officineitalianezard.it/en/products/index/africa-twin-exhaust-zard-7750-203/</v>
      </c>
      <c r="B1183" t="b">
        <f>COUNTIF($A$2:$A1183, A1183)&gt;1</f>
        <v>1</v>
      </c>
      <c r="C1183" t="b">
        <f t="shared" si="343"/>
        <v>1</v>
      </c>
      <c r="D1183">
        <f>VLOOKUP(A1183,variant_counts!A:B, 2, FALSE)</f>
        <v>2</v>
      </c>
      <c r="E1183" t="str">
        <f t="shared" si="356"/>
        <v>zard-exhaust-conical-full-kit-honda-africa-twin-201619-21-version-zhnd367skr-fc</v>
      </c>
      <c r="F1183" t="str">
        <f t="shared" si="344"/>
        <v>ZARD EXHAUST CONICAL FULL KIT HONDA AFRICA TWIN 2016/19 2&gt;1 VERSION ZHND367SKR-FC</v>
      </c>
      <c r="G1183" t="str">
        <f t="shared" si="345"/>
        <v/>
      </c>
      <c r="H1183" t="str">
        <f t="shared" si="357"/>
        <v/>
      </c>
      <c r="I1183" t="str">
        <f t="shared" si="358"/>
        <v/>
      </c>
      <c r="J1183" t="str">
        <f t="shared" si="359"/>
        <v/>
      </c>
      <c r="K1183" t="str">
        <f t="shared" si="360"/>
        <v/>
      </c>
      <c r="L1183" t="str">
        <f t="shared" si="346"/>
        <v>Option</v>
      </c>
      <c r="M1183" t="str">
        <f t="shared" si="347"/>
        <v>FULL TITANIUM</v>
      </c>
      <c r="R1183" t="str">
        <f t="shared" si="348"/>
        <v>ZHND367SKR-FC</v>
      </c>
      <c r="S1183">
        <f t="shared" si="349"/>
        <v>0</v>
      </c>
      <c r="U1183" t="str">
        <f t="shared" si="350"/>
        <v>continue</v>
      </c>
      <c r="V1183" t="str">
        <f t="shared" si="351"/>
        <v>manual</v>
      </c>
      <c r="W1183" s="5">
        <f t="shared" si="352"/>
        <v>1523.8857</v>
      </c>
      <c r="Y1183" t="b">
        <f t="shared" si="353"/>
        <v>1</v>
      </c>
      <c r="Z1183" t="b">
        <f t="shared" si="354"/>
        <v>0</v>
      </c>
      <c r="AB1183" t="str">
        <f t="shared" si="355"/>
        <v/>
      </c>
      <c r="AE1183" t="b">
        <v>0</v>
      </c>
    </row>
    <row r="1184" spans="1:31" x14ac:dyDescent="0.2">
      <c r="A1184" t="str">
        <f t="shared" si="342"/>
        <v>https://shop.officineitalianezard.it/en/products/index/africa-twin-exhaust-zard-7750-203/</v>
      </c>
      <c r="B1184" t="b">
        <f>COUNTIF($A$2:$A1184, A1184)&gt;1</f>
        <v>1</v>
      </c>
      <c r="C1184" t="b">
        <f t="shared" si="343"/>
        <v>1</v>
      </c>
      <c r="D1184">
        <f>VLOOKUP(A1184,variant_counts!A:B, 2, FALSE)</f>
        <v>2</v>
      </c>
      <c r="E1184" t="str">
        <f t="shared" si="356"/>
        <v>zard-exhaust-conical-full-kit-honda-africa-twin-201619-21-version-zhnd367skr-fc</v>
      </c>
      <c r="F1184" t="str">
        <f t="shared" si="344"/>
        <v>ZARD EXHAUST CONICAL FULL KIT HONDA AFRICA TWIN 2016/19 2&gt;1 VERSION ZHND367SKR-FC</v>
      </c>
      <c r="G1184" t="str">
        <f t="shared" si="345"/>
        <v/>
      </c>
      <c r="H1184" t="str">
        <f t="shared" si="357"/>
        <v/>
      </c>
      <c r="I1184" t="str">
        <f t="shared" si="358"/>
        <v/>
      </c>
      <c r="J1184" t="str">
        <f t="shared" si="359"/>
        <v/>
      </c>
      <c r="K1184" t="str">
        <f t="shared" si="360"/>
        <v/>
      </c>
      <c r="L1184" t="str">
        <f t="shared" si="346"/>
        <v>Option</v>
      </c>
      <c r="M1184" t="str">
        <f t="shared" si="347"/>
        <v>STEEL HEADERS + TITANIUM SILENCER</v>
      </c>
      <c r="R1184" t="str">
        <f t="shared" si="348"/>
        <v>ZHND367SKR-FC</v>
      </c>
      <c r="S1184">
        <f t="shared" si="349"/>
        <v>0</v>
      </c>
      <c r="U1184" t="str">
        <f t="shared" si="350"/>
        <v>continue</v>
      </c>
      <c r="V1184" t="str">
        <f t="shared" si="351"/>
        <v>manual</v>
      </c>
      <c r="W1184" s="5">
        <f t="shared" si="352"/>
        <v>1267.5867000000001</v>
      </c>
      <c r="Y1184" t="b">
        <f t="shared" si="353"/>
        <v>1</v>
      </c>
      <c r="Z1184" t="b">
        <f t="shared" si="354"/>
        <v>0</v>
      </c>
      <c r="AB1184" t="str">
        <f t="shared" si="355"/>
        <v/>
      </c>
      <c r="AE1184" t="b">
        <v>0</v>
      </c>
    </row>
    <row r="1185" spans="1:31" x14ac:dyDescent="0.2">
      <c r="A1185" t="str">
        <f t="shared" si="342"/>
        <v>https://shop.officineitalianezard.it/en/honda-africa-twin-exhaust-zard/</v>
      </c>
      <c r="B1185" t="b">
        <f>COUNTIF($A$2:$A1185, A1185)&gt;1</f>
        <v>0</v>
      </c>
      <c r="C1185" t="b">
        <f t="shared" si="343"/>
        <v>0</v>
      </c>
      <c r="D1185">
        <f>VLOOKUP(A1185,variant_counts!A:B, 2, FALSE)</f>
        <v>3</v>
      </c>
      <c r="E1185" t="str">
        <f t="shared" si="356"/>
        <v>zard-exhaust-silencer-honda-africa-twin-750-199300-penta-r-version-zhnd365ssr</v>
      </c>
      <c r="F1185" t="str">
        <f t="shared" si="344"/>
        <v>ZARD EXHAUST SILENCER HONDA AFRICA TWIN 750 1993/00 PENTA-R VERSION ZHND365SSR</v>
      </c>
      <c r="G1185" t="str">
        <f t="shared" si="345"/>
        <v>&lt;p&gt;STEEL RACING SILENCER WITH&amp;nbsp;CARBON ENDCAP AND HEAT SHIELD.&lt;/p&gt;
&lt;p&gt;ORIGINAL SILENCER WEIGHT: KG 6.1&lt;br&gt;ZARD STEEL SILENCER WEIGHT: KG 3.3&lt;br&gt;ZARD TITANIUM SILENCER WEIGHT: KG 3&lt;/p&gt;
&lt;p&gt;HARD INCREASE IN TERMS OF RESPONSE IN THE MID-RANGE AND MORE MAXIMUM POWER COMPARED TO THE DEFAULT EXHAUST SYSTEM.&lt;/p&gt;
&lt;p&gt;ASTONISHING SOUND.&lt;/p&gt;</v>
      </c>
      <c r="H1185" t="str">
        <f t="shared" si="357"/>
        <v>ZARD</v>
      </c>
      <c r="I1185" t="str">
        <f t="shared" si="358"/>
        <v>Exhaust Pipe</v>
      </c>
      <c r="J1185" t="str">
        <f t="shared" si="359"/>
        <v>Test</v>
      </c>
      <c r="K1185" t="b">
        <f t="shared" si="360"/>
        <v>0</v>
      </c>
      <c r="L1185" t="str">
        <f t="shared" si="346"/>
        <v/>
      </c>
      <c r="M1185" t="str">
        <f t="shared" si="347"/>
        <v/>
      </c>
      <c r="R1185" t="str">
        <f t="shared" si="348"/>
        <v/>
      </c>
      <c r="S1185" t="str">
        <f t="shared" si="349"/>
        <v/>
      </c>
      <c r="U1185" t="str">
        <f t="shared" si="350"/>
        <v/>
      </c>
      <c r="V1185" t="str">
        <f t="shared" si="351"/>
        <v/>
      </c>
      <c r="W1185" s="5" t="str">
        <f t="shared" si="352"/>
        <v/>
      </c>
      <c r="Y1185" t="str">
        <f t="shared" si="353"/>
        <v/>
      </c>
      <c r="Z1185" t="str">
        <f t="shared" si="354"/>
        <v/>
      </c>
      <c r="AB1185" t="str">
        <f t="shared" si="355"/>
        <v>https://shop.officineitalianezard.it/contents/imgs/products/1_1160-1.jpg</v>
      </c>
      <c r="AE1185" t="b">
        <v>0</v>
      </c>
    </row>
    <row r="1186" spans="1:31" x14ac:dyDescent="0.2">
      <c r="A1186" t="str">
        <f t="shared" si="342"/>
        <v>https://shop.officineitalianezard.it/en/honda-africa-twin-exhaust-zard/</v>
      </c>
      <c r="B1186" t="b">
        <f>COUNTIF($A$2:$A1186, A1186)&gt;1</f>
        <v>1</v>
      </c>
      <c r="C1186" t="b">
        <f t="shared" si="343"/>
        <v>0</v>
      </c>
      <c r="D1186">
        <f>VLOOKUP(A1186,variant_counts!A:B, 2, FALSE)</f>
        <v>3</v>
      </c>
      <c r="E1186" t="str">
        <f t="shared" si="356"/>
        <v>zard-exhaust-silencer-honda-africa-twin-750-199300-penta-r-version-zhnd365ssr</v>
      </c>
      <c r="F1186" t="str">
        <f t="shared" si="344"/>
        <v>ZARD EXHAUST SILENCER HONDA AFRICA TWIN 750 1993/00 PENTA-R VERSION ZHND365SSR</v>
      </c>
      <c r="G1186" t="str">
        <f t="shared" si="345"/>
        <v/>
      </c>
      <c r="H1186" t="str">
        <f t="shared" si="357"/>
        <v/>
      </c>
      <c r="I1186" t="str">
        <f t="shared" si="358"/>
        <v/>
      </c>
      <c r="J1186" t="str">
        <f t="shared" si="359"/>
        <v/>
      </c>
      <c r="K1186" t="str">
        <f t="shared" si="360"/>
        <v/>
      </c>
      <c r="L1186" t="str">
        <f t="shared" si="346"/>
        <v/>
      </c>
      <c r="M1186" t="str">
        <f t="shared" si="347"/>
        <v/>
      </c>
      <c r="R1186" t="str">
        <f t="shared" si="348"/>
        <v/>
      </c>
      <c r="S1186" t="str">
        <f t="shared" si="349"/>
        <v/>
      </c>
      <c r="U1186" t="str">
        <f t="shared" si="350"/>
        <v/>
      </c>
      <c r="V1186" t="str">
        <f t="shared" si="351"/>
        <v/>
      </c>
      <c r="W1186" s="5" t="str">
        <f t="shared" si="352"/>
        <v/>
      </c>
      <c r="Y1186" t="str">
        <f t="shared" si="353"/>
        <v/>
      </c>
      <c r="Z1186" t="str">
        <f t="shared" si="354"/>
        <v/>
      </c>
      <c r="AB1186" t="str">
        <f t="shared" si="355"/>
        <v>https://shop.officineitalianezard.it/contents/imgs/products/1_1161-4.jpg</v>
      </c>
      <c r="AE1186" t="b">
        <v>0</v>
      </c>
    </row>
    <row r="1187" spans="1:31" x14ac:dyDescent="0.2">
      <c r="A1187" t="str">
        <f t="shared" si="342"/>
        <v>https://shop.officineitalianezard.it/en/honda-africa-twin-exhaust-zard/</v>
      </c>
      <c r="B1187" t="b">
        <f>COUNTIF($A$2:$A1187, A1187)&gt;1</f>
        <v>1</v>
      </c>
      <c r="C1187" t="b">
        <f t="shared" si="343"/>
        <v>0</v>
      </c>
      <c r="D1187">
        <f>VLOOKUP(A1187,variant_counts!A:B, 2, FALSE)</f>
        <v>3</v>
      </c>
      <c r="E1187" t="str">
        <f t="shared" si="356"/>
        <v>zard-exhaust-silencer-honda-africa-twin-750-199300-penta-r-version-zhnd365ssr</v>
      </c>
      <c r="F1187" t="str">
        <f t="shared" si="344"/>
        <v>ZARD EXHAUST SILENCER HONDA AFRICA TWIN 750 1993/00 PENTA-R VERSION ZHND365SSR</v>
      </c>
      <c r="G1187" t="str">
        <f t="shared" si="345"/>
        <v/>
      </c>
      <c r="H1187" t="str">
        <f t="shared" si="357"/>
        <v/>
      </c>
      <c r="I1187" t="str">
        <f t="shared" si="358"/>
        <v/>
      </c>
      <c r="J1187" t="str">
        <f t="shared" si="359"/>
        <v/>
      </c>
      <c r="K1187" t="str">
        <f t="shared" si="360"/>
        <v/>
      </c>
      <c r="L1187" t="str">
        <f t="shared" si="346"/>
        <v/>
      </c>
      <c r="M1187" t="str">
        <f t="shared" si="347"/>
        <v/>
      </c>
      <c r="R1187" t="str">
        <f t="shared" si="348"/>
        <v/>
      </c>
      <c r="S1187" t="str">
        <f t="shared" si="349"/>
        <v/>
      </c>
      <c r="U1187" t="str">
        <f t="shared" si="350"/>
        <v/>
      </c>
      <c r="V1187" t="str">
        <f t="shared" si="351"/>
        <v/>
      </c>
      <c r="W1187" s="5" t="str">
        <f t="shared" si="352"/>
        <v/>
      </c>
      <c r="Y1187" t="str">
        <f t="shared" si="353"/>
        <v/>
      </c>
      <c r="Z1187" t="str">
        <f t="shared" si="354"/>
        <v/>
      </c>
      <c r="AB1187" t="str">
        <f t="shared" si="355"/>
        <v>https://shop.officineitalianezard.it/contents/imgs/products/1_1162-2.jpg</v>
      </c>
      <c r="AE1187" t="b">
        <v>0</v>
      </c>
    </row>
    <row r="1188" spans="1:31" x14ac:dyDescent="0.2">
      <c r="A1188" t="str">
        <f t="shared" si="342"/>
        <v>https://shop.officineitalianezard.it/en/honda-africa-twin-exhaust-zard/</v>
      </c>
      <c r="B1188" t="b">
        <f>COUNTIF($A$2:$A1188, A1188)&gt;1</f>
        <v>1</v>
      </c>
      <c r="C1188" t="b">
        <f t="shared" si="343"/>
        <v>0</v>
      </c>
      <c r="D1188">
        <f>VLOOKUP(A1188,variant_counts!A:B, 2, FALSE)</f>
        <v>3</v>
      </c>
      <c r="E1188" t="str">
        <f t="shared" si="356"/>
        <v>zard-exhaust-silencer-honda-africa-twin-750-199300-penta-r-version-zhnd365ssr</v>
      </c>
      <c r="F1188" t="str">
        <f t="shared" si="344"/>
        <v>ZARD EXHAUST SILENCER HONDA AFRICA TWIN 750 1993/00 PENTA-R VERSION ZHND365SSR</v>
      </c>
      <c r="G1188" t="str">
        <f t="shared" si="345"/>
        <v/>
      </c>
      <c r="H1188" t="str">
        <f t="shared" si="357"/>
        <v/>
      </c>
      <c r="I1188" t="str">
        <f t="shared" si="358"/>
        <v/>
      </c>
      <c r="J1188" t="str">
        <f t="shared" si="359"/>
        <v/>
      </c>
      <c r="K1188" t="str">
        <f t="shared" si="360"/>
        <v/>
      </c>
      <c r="L1188" t="str">
        <f t="shared" si="346"/>
        <v/>
      </c>
      <c r="M1188" t="str">
        <f t="shared" si="347"/>
        <v/>
      </c>
      <c r="R1188" t="str">
        <f t="shared" si="348"/>
        <v/>
      </c>
      <c r="S1188" t="str">
        <f t="shared" si="349"/>
        <v/>
      </c>
      <c r="U1188" t="str">
        <f t="shared" si="350"/>
        <v/>
      </c>
      <c r="V1188" t="str">
        <f t="shared" si="351"/>
        <v/>
      </c>
      <c r="W1188" s="5" t="str">
        <f t="shared" si="352"/>
        <v/>
      </c>
      <c r="Y1188" t="str">
        <f t="shared" si="353"/>
        <v/>
      </c>
      <c r="Z1188" t="str">
        <f t="shared" si="354"/>
        <v/>
      </c>
      <c r="AB1188" t="str">
        <f t="shared" si="355"/>
        <v>https://shop.officineitalianezard.it/contents/imgs/products/1_1163-3.jpg</v>
      </c>
      <c r="AE1188" t="b">
        <v>0</v>
      </c>
    </row>
    <row r="1189" spans="1:31" x14ac:dyDescent="0.2">
      <c r="A1189" t="str">
        <f t="shared" si="342"/>
        <v>https://shop.officineitalianezard.it/en/honda-africa-twin-exhaust-zard/</v>
      </c>
      <c r="B1189" t="b">
        <f>COUNTIF($A$2:$A1189, A1189)&gt;1</f>
        <v>1</v>
      </c>
      <c r="C1189" t="b">
        <f t="shared" si="343"/>
        <v>1</v>
      </c>
      <c r="D1189">
        <f>VLOOKUP(A1189,variant_counts!A:B, 2, FALSE)</f>
        <v>3</v>
      </c>
      <c r="E1189" t="str">
        <f t="shared" si="356"/>
        <v>zard-exhaust-silencer-honda-africa-twin-750-199300-penta-r-version-zhnd365ssr</v>
      </c>
      <c r="F1189" t="str">
        <f t="shared" si="344"/>
        <v>ZARD EXHAUST SILENCER HONDA AFRICA TWIN 750 1993/00 PENTA-R VERSION ZHND365SSR</v>
      </c>
      <c r="G1189" t="str">
        <f t="shared" si="345"/>
        <v/>
      </c>
      <c r="H1189" t="str">
        <f t="shared" si="357"/>
        <v/>
      </c>
      <c r="I1189" t="str">
        <f t="shared" si="358"/>
        <v/>
      </c>
      <c r="J1189" t="str">
        <f t="shared" si="359"/>
        <v/>
      </c>
      <c r="K1189" t="str">
        <f t="shared" si="360"/>
        <v/>
      </c>
      <c r="L1189" t="str">
        <f t="shared" si="346"/>
        <v>Option</v>
      </c>
      <c r="M1189" t="str">
        <f t="shared" si="347"/>
        <v>RACING TITANIUM</v>
      </c>
      <c r="R1189" t="str">
        <f t="shared" si="348"/>
        <v>ZHND365SSR</v>
      </c>
      <c r="S1189">
        <f t="shared" si="349"/>
        <v>0</v>
      </c>
      <c r="U1189" t="str">
        <f t="shared" si="350"/>
        <v>continue</v>
      </c>
      <c r="V1189" t="str">
        <f t="shared" si="351"/>
        <v>manual</v>
      </c>
      <c r="W1189" s="5">
        <f t="shared" si="352"/>
        <v>708.76830000000007</v>
      </c>
      <c r="Y1189" t="b">
        <f t="shared" si="353"/>
        <v>1</v>
      </c>
      <c r="Z1189" t="b">
        <f t="shared" si="354"/>
        <v>0</v>
      </c>
      <c r="AB1189" t="str">
        <f t="shared" si="355"/>
        <v/>
      </c>
      <c r="AE1189" t="b">
        <v>0</v>
      </c>
    </row>
    <row r="1190" spans="1:31" x14ac:dyDescent="0.2">
      <c r="A1190" t="str">
        <f t="shared" si="342"/>
        <v>https://shop.officineitalianezard.it/en/honda-africa-twin-exhaust-zard/</v>
      </c>
      <c r="B1190" t="b">
        <f>COUNTIF($A$2:$A1190, A1190)&gt;1</f>
        <v>1</v>
      </c>
      <c r="C1190" t="b">
        <f t="shared" si="343"/>
        <v>1</v>
      </c>
      <c r="D1190">
        <f>VLOOKUP(A1190,variant_counts!A:B, 2, FALSE)</f>
        <v>3</v>
      </c>
      <c r="E1190" t="str">
        <f t="shared" si="356"/>
        <v>zard-exhaust-silencer-honda-africa-twin-750-199300-penta-r-version-zhnd365ssr</v>
      </c>
      <c r="F1190" t="str">
        <f t="shared" si="344"/>
        <v>ZARD EXHAUST SILENCER HONDA AFRICA TWIN 750 1993/00 PENTA-R VERSION ZHND365SSR</v>
      </c>
      <c r="G1190" t="str">
        <f t="shared" si="345"/>
        <v/>
      </c>
      <c r="H1190" t="str">
        <f t="shared" si="357"/>
        <v/>
      </c>
      <c r="I1190" t="str">
        <f t="shared" si="358"/>
        <v/>
      </c>
      <c r="J1190" t="str">
        <f t="shared" si="359"/>
        <v/>
      </c>
      <c r="K1190" t="str">
        <f t="shared" si="360"/>
        <v/>
      </c>
      <c r="L1190" t="str">
        <f t="shared" si="346"/>
        <v>Option</v>
      </c>
      <c r="M1190" t="str">
        <f t="shared" si="347"/>
        <v>RACING CARBON VERSION</v>
      </c>
      <c r="R1190" t="str">
        <f t="shared" si="348"/>
        <v>ZHND365SSR</v>
      </c>
      <c r="S1190">
        <f t="shared" si="349"/>
        <v>0</v>
      </c>
      <c r="U1190" t="str">
        <f t="shared" si="350"/>
        <v>continue</v>
      </c>
      <c r="V1190" t="str">
        <f t="shared" si="351"/>
        <v>manual</v>
      </c>
      <c r="W1190" s="5">
        <f t="shared" si="352"/>
        <v>729.23670000000004</v>
      </c>
      <c r="Y1190" t="b">
        <f t="shared" si="353"/>
        <v>1</v>
      </c>
      <c r="Z1190" t="b">
        <f t="shared" si="354"/>
        <v>0</v>
      </c>
      <c r="AB1190" t="str">
        <f t="shared" si="355"/>
        <v/>
      </c>
      <c r="AE1190" t="b">
        <v>0</v>
      </c>
    </row>
    <row r="1191" spans="1:31" x14ac:dyDescent="0.2">
      <c r="A1191" t="str">
        <f t="shared" si="342"/>
        <v>https://shop.officineitalianezard.it/en/honda-africa-twin-exhaust-zard/</v>
      </c>
      <c r="B1191" t="b">
        <f>COUNTIF($A$2:$A1191, A1191)&gt;1</f>
        <v>1</v>
      </c>
      <c r="C1191" t="b">
        <f t="shared" si="343"/>
        <v>1</v>
      </c>
      <c r="D1191">
        <f>VLOOKUP(A1191,variant_counts!A:B, 2, FALSE)</f>
        <v>3</v>
      </c>
      <c r="E1191" t="str">
        <f t="shared" si="356"/>
        <v>zard-exhaust-silencer-honda-africa-twin-750-199300-penta-r-version-zhnd365ssr</v>
      </c>
      <c r="F1191" t="str">
        <f t="shared" si="344"/>
        <v>ZARD EXHAUST SILENCER HONDA AFRICA TWIN 750 1993/00 PENTA-R VERSION ZHND365SSR</v>
      </c>
      <c r="G1191" t="str">
        <f t="shared" si="345"/>
        <v/>
      </c>
      <c r="H1191" t="str">
        <f t="shared" si="357"/>
        <v/>
      </c>
      <c r="I1191" t="str">
        <f t="shared" si="358"/>
        <v/>
      </c>
      <c r="J1191" t="str">
        <f t="shared" si="359"/>
        <v/>
      </c>
      <c r="K1191" t="str">
        <f t="shared" si="360"/>
        <v/>
      </c>
      <c r="L1191" t="str">
        <f t="shared" si="346"/>
        <v>Option</v>
      </c>
      <c r="M1191" t="str">
        <f t="shared" si="347"/>
        <v>BLACK COATING</v>
      </c>
      <c r="R1191" t="str">
        <f t="shared" si="348"/>
        <v>ZHND365SSR</v>
      </c>
      <c r="S1191">
        <f t="shared" si="349"/>
        <v>0</v>
      </c>
      <c r="U1191" t="str">
        <f t="shared" si="350"/>
        <v>continue</v>
      </c>
      <c r="V1191" t="str">
        <f t="shared" si="351"/>
        <v>manual</v>
      </c>
      <c r="W1191" s="5">
        <f t="shared" si="352"/>
        <v>704.67240000000015</v>
      </c>
      <c r="Y1191" t="b">
        <f t="shared" si="353"/>
        <v>1</v>
      </c>
      <c r="Z1191" t="b">
        <f t="shared" si="354"/>
        <v>0</v>
      </c>
      <c r="AB1191" t="str">
        <f t="shared" si="355"/>
        <v/>
      </c>
      <c r="AE1191" t="b">
        <v>0</v>
      </c>
    </row>
    <row r="1192" spans="1:31" x14ac:dyDescent="0.2">
      <c r="A1192" t="str">
        <f t="shared" si="342"/>
        <v>https://shop.officineitalianezard.it/en/products/index/zard-conical-full-kit-harley-davidson-sportster-7500-133/</v>
      </c>
      <c r="B1192" t="b">
        <f>COUNTIF($A$2:$A1192, A1192)&gt;1</f>
        <v>0</v>
      </c>
      <c r="C1192" t="b">
        <f t="shared" si="343"/>
        <v>0</v>
      </c>
      <c r="D1192">
        <f>VLOOKUP(A1192,variant_counts!A:B, 2, FALSE)</f>
        <v>4</v>
      </c>
      <c r="E1192" t="str">
        <f t="shared" si="356"/>
        <v>zard-exhaust-21-full-kit-harley-davidson-sportster-my-2014-conical-version-zhd-527-skr-14</v>
      </c>
      <c r="F1192" t="str">
        <f t="shared" si="344"/>
        <v>ZARD EXHAUST 2&gt;1 FULL KIT HARLEY-DAVIDSON SPORTSTER &gt; M.Y. 2014 CONICAL VERSION ZHD 527 SKR-14</v>
      </c>
      <c r="G1192" t="str">
        <f t="shared" si="345"/>
        <v>&lt;p&gt;2&amp;gt;1 STEEL FULL KIT RACING WITH REMOVABLE DB KILLER&lt;/p&gt;
&lt;p&gt;MACHINED FROM SOLID ALUMINIUM END-CAP&lt;/p&gt;
&lt;p&gt;STEEL HEAT SHIELD&lt;/p&gt;
&lt;p&gt;HARD INCREASE, COMPARED TO THE ORIGINAL EXHAUST SYSTEM, IN TERMS OF TORQUE AND POWER AT ANY RANGE&lt;/p&gt;
&lt;p&gt;ASTONISHING SOUND&lt;/p&gt;
&lt;p&gt;COMPATIBLE WITH&amp;nbsp;XL 883 / XL 1200 MODELS&lt;/p&gt;</v>
      </c>
      <c r="H1192" t="str">
        <f t="shared" si="357"/>
        <v>ZARD</v>
      </c>
      <c r="I1192" t="str">
        <f t="shared" si="358"/>
        <v>Exhaust Pipe</v>
      </c>
      <c r="J1192" t="str">
        <f t="shared" si="359"/>
        <v>Test</v>
      </c>
      <c r="K1192" t="b">
        <f t="shared" si="360"/>
        <v>0</v>
      </c>
      <c r="L1192" t="str">
        <f t="shared" si="346"/>
        <v/>
      </c>
      <c r="M1192" t="str">
        <f t="shared" si="347"/>
        <v/>
      </c>
      <c r="R1192" t="str">
        <f t="shared" si="348"/>
        <v/>
      </c>
      <c r="S1192" t="str">
        <f t="shared" si="349"/>
        <v/>
      </c>
      <c r="U1192" t="str">
        <f t="shared" si="350"/>
        <v/>
      </c>
      <c r="V1192" t="str">
        <f t="shared" si="351"/>
        <v/>
      </c>
      <c r="W1192" s="5" t="str">
        <f t="shared" si="352"/>
        <v/>
      </c>
      <c r="Y1192" t="str">
        <f t="shared" si="353"/>
        <v/>
      </c>
      <c r="Z1192" t="str">
        <f t="shared" si="354"/>
        <v/>
      </c>
      <c r="AB1192" t="str">
        <f t="shared" si="355"/>
        <v>https://shop.officineitalianezard.it/contents/imgs/products/1_849-FOTO%20MOTO%20EICMA%20063.jpg</v>
      </c>
      <c r="AE1192" t="b">
        <v>0</v>
      </c>
    </row>
    <row r="1193" spans="1:31" x14ac:dyDescent="0.2">
      <c r="A1193" t="str">
        <f t="shared" si="342"/>
        <v>https://shop.officineitalianezard.it/en/products/index/zard-conical-full-kit-harley-davidson-sportster-7500-133/</v>
      </c>
      <c r="B1193" t="b">
        <f>COUNTIF($A$2:$A1193, A1193)&gt;1</f>
        <v>1</v>
      </c>
      <c r="C1193" t="b">
        <f t="shared" si="343"/>
        <v>0</v>
      </c>
      <c r="D1193">
        <f>VLOOKUP(A1193,variant_counts!A:B, 2, FALSE)</f>
        <v>4</v>
      </c>
      <c r="E1193" t="str">
        <f t="shared" si="356"/>
        <v>zard-exhaust-21-full-kit-harley-davidson-sportster-my-2014-conical-version-zhd-527-skr-14</v>
      </c>
      <c r="F1193" t="str">
        <f t="shared" si="344"/>
        <v>ZARD EXHAUST 2&gt;1 FULL KIT HARLEY-DAVIDSON SPORTSTER &gt; M.Y. 2014 CONICAL VERSION ZHD 527 SKR-14</v>
      </c>
      <c r="G1193" t="str">
        <f t="shared" si="345"/>
        <v/>
      </c>
      <c r="H1193" t="str">
        <f t="shared" si="357"/>
        <v/>
      </c>
      <c r="I1193" t="str">
        <f t="shared" si="358"/>
        <v/>
      </c>
      <c r="J1193" t="str">
        <f t="shared" si="359"/>
        <v/>
      </c>
      <c r="K1193" t="str">
        <f t="shared" si="360"/>
        <v/>
      </c>
      <c r="L1193" t="str">
        <f t="shared" si="346"/>
        <v/>
      </c>
      <c r="M1193" t="str">
        <f t="shared" si="347"/>
        <v/>
      </c>
      <c r="R1193" t="str">
        <f t="shared" si="348"/>
        <v/>
      </c>
      <c r="S1193" t="str">
        <f t="shared" si="349"/>
        <v/>
      </c>
      <c r="U1193" t="str">
        <f t="shared" si="350"/>
        <v/>
      </c>
      <c r="V1193" t="str">
        <f t="shared" si="351"/>
        <v/>
      </c>
      <c r="W1193" s="5" t="str">
        <f t="shared" si="352"/>
        <v/>
      </c>
      <c r="Y1193" t="str">
        <f t="shared" si="353"/>
        <v/>
      </c>
      <c r="Z1193" t="str">
        <f t="shared" si="354"/>
        <v/>
      </c>
      <c r="AB1193" t="str">
        <f t="shared" si="355"/>
        <v>https://shop.officineitalianezard.it/contents/imgs/products/1_850-FOTO%20MOTO%20EICMA%20073.jpg</v>
      </c>
      <c r="AE1193" t="b">
        <v>0</v>
      </c>
    </row>
    <row r="1194" spans="1:31" x14ac:dyDescent="0.2">
      <c r="A1194" t="str">
        <f t="shared" si="342"/>
        <v>https://shop.officineitalianezard.it/en/products/index/zard-conical-full-kit-harley-davidson-sportster-7500-133/</v>
      </c>
      <c r="B1194" t="b">
        <f>COUNTIF($A$2:$A1194, A1194)&gt;1</f>
        <v>1</v>
      </c>
      <c r="C1194" t="b">
        <f t="shared" si="343"/>
        <v>0</v>
      </c>
      <c r="D1194">
        <f>VLOOKUP(A1194,variant_counts!A:B, 2, FALSE)</f>
        <v>4</v>
      </c>
      <c r="E1194" t="str">
        <f t="shared" si="356"/>
        <v>zard-exhaust-21-full-kit-harley-davidson-sportster-my-2014-conical-version-zhd-527-skr-14</v>
      </c>
      <c r="F1194" t="str">
        <f t="shared" si="344"/>
        <v>ZARD EXHAUST 2&gt;1 FULL KIT HARLEY-DAVIDSON SPORTSTER &gt; M.Y. 2014 CONICAL VERSION ZHD 527 SKR-14</v>
      </c>
      <c r="G1194" t="str">
        <f t="shared" si="345"/>
        <v/>
      </c>
      <c r="H1194" t="str">
        <f t="shared" si="357"/>
        <v/>
      </c>
      <c r="I1194" t="str">
        <f t="shared" si="358"/>
        <v/>
      </c>
      <c r="J1194" t="str">
        <f t="shared" si="359"/>
        <v/>
      </c>
      <c r="K1194" t="str">
        <f t="shared" si="360"/>
        <v/>
      </c>
      <c r="L1194" t="str">
        <f t="shared" si="346"/>
        <v/>
      </c>
      <c r="M1194" t="str">
        <f t="shared" si="347"/>
        <v/>
      </c>
      <c r="R1194" t="str">
        <f t="shared" si="348"/>
        <v/>
      </c>
      <c r="S1194" t="str">
        <f t="shared" si="349"/>
        <v/>
      </c>
      <c r="U1194" t="str">
        <f t="shared" si="350"/>
        <v/>
      </c>
      <c r="V1194" t="str">
        <f t="shared" si="351"/>
        <v/>
      </c>
      <c r="W1194" s="5" t="str">
        <f t="shared" si="352"/>
        <v/>
      </c>
      <c r="Y1194" t="str">
        <f t="shared" si="353"/>
        <v/>
      </c>
      <c r="Z1194" t="str">
        <f t="shared" si="354"/>
        <v/>
      </c>
      <c r="AB1194" t="str">
        <f t="shared" si="355"/>
        <v>https://shop.officineitalianezard.it/contents/imgs/products/1_851-FOTO%20MOTO%20EICMA%20081.jpg</v>
      </c>
      <c r="AE1194" t="b">
        <v>0</v>
      </c>
    </row>
    <row r="1195" spans="1:31" x14ac:dyDescent="0.2">
      <c r="A1195" t="str">
        <f t="shared" si="342"/>
        <v>https://shop.officineitalianezard.it/en/products/index/zard-conical-full-kit-harley-davidson-sportster-7500-133/</v>
      </c>
      <c r="B1195" t="b">
        <f>COUNTIF($A$2:$A1195, A1195)&gt;1</f>
        <v>1</v>
      </c>
      <c r="C1195" t="b">
        <f t="shared" si="343"/>
        <v>1</v>
      </c>
      <c r="D1195">
        <f>VLOOKUP(A1195,variant_counts!A:B, 2, FALSE)</f>
        <v>4</v>
      </c>
      <c r="E1195" t="str">
        <f t="shared" si="356"/>
        <v>zard-exhaust-21-full-kit-harley-davidson-sportster-my-2014-conical-version-zhd-527-skr-14</v>
      </c>
      <c r="F1195" t="str">
        <f t="shared" si="344"/>
        <v>ZARD EXHAUST 2&gt;1 FULL KIT HARLEY-DAVIDSON SPORTSTER &gt; M.Y. 2014 CONICAL VERSION ZHD 527 SKR-14</v>
      </c>
      <c r="G1195" t="str">
        <f t="shared" si="345"/>
        <v/>
      </c>
      <c r="H1195" t="str">
        <f t="shared" si="357"/>
        <v/>
      </c>
      <c r="I1195" t="str">
        <f t="shared" si="358"/>
        <v/>
      </c>
      <c r="J1195" t="str">
        <f t="shared" si="359"/>
        <v/>
      </c>
      <c r="K1195" t="str">
        <f t="shared" si="360"/>
        <v/>
      </c>
      <c r="L1195" t="str">
        <f t="shared" si="346"/>
        <v>Option</v>
      </c>
      <c r="M1195" t="str">
        <f t="shared" si="347"/>
        <v>EURO 3 HOMOLOGATED</v>
      </c>
      <c r="R1195" t="str">
        <f t="shared" si="348"/>
        <v>ZHD 527 SKR-14</v>
      </c>
      <c r="S1195">
        <f t="shared" si="349"/>
        <v>0</v>
      </c>
      <c r="U1195" t="str">
        <f t="shared" si="350"/>
        <v>continue</v>
      </c>
      <c r="V1195" t="str">
        <f t="shared" si="351"/>
        <v>manual</v>
      </c>
      <c r="W1195" s="5">
        <f t="shared" si="352"/>
        <v>911.28780000000006</v>
      </c>
      <c r="Y1195" t="b">
        <f t="shared" si="353"/>
        <v>1</v>
      </c>
      <c r="Z1195" t="b">
        <f t="shared" si="354"/>
        <v>0</v>
      </c>
      <c r="AB1195" t="str">
        <f t="shared" si="355"/>
        <v/>
      </c>
      <c r="AE1195" t="b">
        <v>0</v>
      </c>
    </row>
    <row r="1196" spans="1:31" x14ac:dyDescent="0.2">
      <c r="A1196" t="str">
        <f t="shared" si="342"/>
        <v>https://shop.officineitalianezard.it/en/products/index/zard-conical-full-kit-harley-davidson-sportster-7500-133/</v>
      </c>
      <c r="B1196" t="b">
        <f>COUNTIF($A$2:$A1196, A1196)&gt;1</f>
        <v>1</v>
      </c>
      <c r="C1196" t="b">
        <f t="shared" si="343"/>
        <v>1</v>
      </c>
      <c r="D1196">
        <f>VLOOKUP(A1196,variant_counts!A:B, 2, FALSE)</f>
        <v>4</v>
      </c>
      <c r="E1196" t="str">
        <f t="shared" si="356"/>
        <v>zard-exhaust-21-full-kit-harley-davidson-sportster-my-2014-conical-version-zhd-527-skr-14</v>
      </c>
      <c r="F1196" t="str">
        <f t="shared" si="344"/>
        <v>ZARD EXHAUST 2&gt;1 FULL KIT HARLEY-DAVIDSON SPORTSTER &gt; M.Y. 2014 CONICAL VERSION ZHD 527 SKR-14</v>
      </c>
      <c r="G1196" t="str">
        <f t="shared" si="345"/>
        <v/>
      </c>
      <c r="H1196" t="str">
        <f t="shared" si="357"/>
        <v/>
      </c>
      <c r="I1196" t="str">
        <f t="shared" si="358"/>
        <v/>
      </c>
      <c r="J1196" t="str">
        <f t="shared" si="359"/>
        <v/>
      </c>
      <c r="K1196" t="str">
        <f t="shared" si="360"/>
        <v/>
      </c>
      <c r="L1196" t="str">
        <f t="shared" si="346"/>
        <v>Option</v>
      </c>
      <c r="M1196" t="str">
        <f t="shared" si="347"/>
        <v>BLACK COATING</v>
      </c>
      <c r="R1196" t="str">
        <f t="shared" si="348"/>
        <v>ZHD 527 SKR-14</v>
      </c>
      <c r="S1196">
        <f t="shared" si="349"/>
        <v>0</v>
      </c>
      <c r="U1196" t="str">
        <f t="shared" si="350"/>
        <v>continue</v>
      </c>
      <c r="V1196" t="str">
        <f t="shared" si="351"/>
        <v>manual</v>
      </c>
      <c r="W1196" s="5">
        <f t="shared" si="352"/>
        <v>1055.4102</v>
      </c>
      <c r="Y1196" t="b">
        <f t="shared" si="353"/>
        <v>1</v>
      </c>
      <c r="Z1196" t="b">
        <f t="shared" si="354"/>
        <v>0</v>
      </c>
      <c r="AB1196" t="str">
        <f t="shared" si="355"/>
        <v/>
      </c>
      <c r="AE1196" t="b">
        <v>0</v>
      </c>
    </row>
    <row r="1197" spans="1:31" x14ac:dyDescent="0.2">
      <c r="A1197" t="str">
        <f t="shared" si="342"/>
        <v>https://shop.officineitalianezard.it/en/products/index/zard-conical-full-kit-harley-davidson-sportster-7500-133/</v>
      </c>
      <c r="B1197" t="b">
        <f>COUNTIF($A$2:$A1197, A1197)&gt;1</f>
        <v>1</v>
      </c>
      <c r="C1197" t="b">
        <f t="shared" si="343"/>
        <v>1</v>
      </c>
      <c r="D1197">
        <f>VLOOKUP(A1197,variant_counts!A:B, 2, FALSE)</f>
        <v>4</v>
      </c>
      <c r="E1197" t="str">
        <f t="shared" si="356"/>
        <v>zard-exhaust-21-full-kit-harley-davidson-sportster-my-2014-conical-version-zhd-527-skr-14</v>
      </c>
      <c r="F1197" t="str">
        <f t="shared" si="344"/>
        <v>ZARD EXHAUST 2&gt;1 FULL KIT HARLEY-DAVIDSON SPORTSTER &gt; M.Y. 2014 CONICAL VERSION ZHD 527 SKR-14</v>
      </c>
      <c r="G1197" t="str">
        <f t="shared" si="345"/>
        <v/>
      </c>
      <c r="H1197" t="str">
        <f t="shared" si="357"/>
        <v/>
      </c>
      <c r="I1197" t="str">
        <f t="shared" si="358"/>
        <v/>
      </c>
      <c r="J1197" t="str">
        <f t="shared" si="359"/>
        <v/>
      </c>
      <c r="K1197" t="str">
        <f t="shared" si="360"/>
        <v/>
      </c>
      <c r="L1197" t="str">
        <f t="shared" si="346"/>
        <v>Option</v>
      </c>
      <c r="M1197" t="str">
        <f t="shared" si="347"/>
        <v>MIRROR POLISHED</v>
      </c>
      <c r="R1197" t="str">
        <f t="shared" si="348"/>
        <v>ZHD 527 SKR-14</v>
      </c>
      <c r="S1197">
        <f t="shared" si="349"/>
        <v>0</v>
      </c>
      <c r="U1197" t="str">
        <f t="shared" si="350"/>
        <v>continue</v>
      </c>
      <c r="V1197" t="str">
        <f t="shared" si="351"/>
        <v>manual</v>
      </c>
      <c r="W1197" s="5">
        <f t="shared" si="352"/>
        <v>931.76729999999998</v>
      </c>
      <c r="Y1197" t="b">
        <f t="shared" si="353"/>
        <v>1</v>
      </c>
      <c r="Z1197" t="b">
        <f t="shared" si="354"/>
        <v>0</v>
      </c>
      <c r="AB1197" t="str">
        <f t="shared" si="355"/>
        <v/>
      </c>
      <c r="AE1197" t="b">
        <v>0</v>
      </c>
    </row>
    <row r="1198" spans="1:31" x14ac:dyDescent="0.2">
      <c r="A1198" t="str">
        <f t="shared" si="342"/>
        <v>https://shop.officineitalianezard.it/en/products/index/zard-conical-full-kit-harley-davidson-sportster-7500-133/</v>
      </c>
      <c r="B1198" t="b">
        <f>COUNTIF($A$2:$A1198, A1198)&gt;1</f>
        <v>1</v>
      </c>
      <c r="C1198" t="b">
        <f t="shared" si="343"/>
        <v>1</v>
      </c>
      <c r="D1198">
        <f>VLOOKUP(A1198,variant_counts!A:B, 2, FALSE)</f>
        <v>4</v>
      </c>
      <c r="E1198" t="str">
        <f t="shared" si="356"/>
        <v>zard-exhaust-21-full-kit-harley-davidson-sportster-my-2014-conical-version-zhd-527-skr-14</v>
      </c>
      <c r="F1198" t="str">
        <f t="shared" si="344"/>
        <v>ZARD EXHAUST 2&gt;1 FULL KIT HARLEY-DAVIDSON SPORTSTER &gt; M.Y. 2014 CONICAL VERSION ZHD 527 SKR-14</v>
      </c>
      <c r="G1198" t="str">
        <f t="shared" si="345"/>
        <v/>
      </c>
      <c r="H1198" t="str">
        <f t="shared" si="357"/>
        <v/>
      </c>
      <c r="I1198" t="str">
        <f t="shared" si="358"/>
        <v/>
      </c>
      <c r="J1198" t="str">
        <f t="shared" si="359"/>
        <v/>
      </c>
      <c r="K1198" t="str">
        <f t="shared" si="360"/>
        <v/>
      </c>
      <c r="L1198" t="str">
        <f t="shared" si="346"/>
        <v>Option</v>
      </c>
      <c r="M1198" t="str">
        <f t="shared" si="347"/>
        <v>SILVER AND BLACK ENDCAP</v>
      </c>
      <c r="R1198" t="str">
        <f t="shared" si="348"/>
        <v>ZHD 527 SKR-14</v>
      </c>
      <c r="S1198">
        <f t="shared" si="349"/>
        <v>0</v>
      </c>
      <c r="U1198" t="str">
        <f t="shared" si="350"/>
        <v>continue</v>
      </c>
      <c r="V1198" t="str">
        <f t="shared" si="351"/>
        <v>manual</v>
      </c>
      <c r="W1198" s="5">
        <f t="shared" si="352"/>
        <v>942.4122000000001</v>
      </c>
      <c r="Y1198" t="b">
        <f t="shared" si="353"/>
        <v>1</v>
      </c>
      <c r="Z1198" t="b">
        <f t="shared" si="354"/>
        <v>0</v>
      </c>
      <c r="AB1198" t="str">
        <f t="shared" si="355"/>
        <v/>
      </c>
      <c r="AE1198" t="b">
        <v>0</v>
      </c>
    </row>
    <row r="1199" spans="1:31" x14ac:dyDescent="0.2">
      <c r="A1199" t="str">
        <f t="shared" si="342"/>
        <v>https://shop.officineitalianezard.it/en/products/index/zard-conical-full-kit-harley-davidson-sportster-7494-133/</v>
      </c>
      <c r="B1199" t="b">
        <f>COUNTIF($A$2:$A1199, A1199)&gt;1</f>
        <v>0</v>
      </c>
      <c r="C1199" t="b">
        <f t="shared" si="343"/>
        <v>0</v>
      </c>
      <c r="D1199">
        <f>VLOOKUP(A1199,variant_counts!A:B, 2, FALSE)</f>
        <v>4</v>
      </c>
      <c r="E1199" t="str">
        <f t="shared" si="356"/>
        <v>zard-exhaust-21-full-kit-harley-davidson-sportster-my-2014-joker-version-zhd-539-skr-14</v>
      </c>
      <c r="F1199" t="str">
        <f t="shared" si="344"/>
        <v>ZARD EXHAUST 2&gt;1 FULL KIT HARLEY-DAVIDSON SPORTSTER &gt; M.Y. 2014 JOKER VERSION ZHD 539 SKR-14</v>
      </c>
      <c r="G1199" t="str">
        <f t="shared" si="345"/>
        <v>&lt;p&gt;2&amp;gt;1 STEEL FULL KIT RACING WITH REMOVABLE DB KILLER&lt;/p&gt;
&lt;p&gt;HEAT SHIELD AS A DEFAULT&lt;/p&gt;
&lt;p&gt;HARD INCREASE, COMPARED TO THE ORIGINAL EXHAUST SYSTEM, IN TERMS OF TORQUE AND POWER AT ANY RANGE&lt;/p&gt;
&lt;p&gt;ASTONISHING SOUND&lt;/p&gt;
&lt;p&gt;COMPATIBLE WITH&amp;nbsp;XL 883 / XL 1200 MODELS&lt;/p&gt;</v>
      </c>
      <c r="H1199" t="str">
        <f t="shared" si="357"/>
        <v>ZARD</v>
      </c>
      <c r="I1199" t="str">
        <f t="shared" si="358"/>
        <v>Exhaust Pipe</v>
      </c>
      <c r="J1199" t="str">
        <f t="shared" si="359"/>
        <v>Test</v>
      </c>
      <c r="K1199" t="b">
        <f t="shared" si="360"/>
        <v>0</v>
      </c>
      <c r="L1199" t="str">
        <f t="shared" si="346"/>
        <v/>
      </c>
      <c r="M1199" t="str">
        <f t="shared" si="347"/>
        <v/>
      </c>
      <c r="R1199" t="str">
        <f t="shared" si="348"/>
        <v/>
      </c>
      <c r="S1199" t="str">
        <f t="shared" si="349"/>
        <v/>
      </c>
      <c r="U1199" t="str">
        <f t="shared" si="350"/>
        <v/>
      </c>
      <c r="V1199" t="str">
        <f t="shared" si="351"/>
        <v/>
      </c>
      <c r="W1199" s="5" t="str">
        <f t="shared" si="352"/>
        <v/>
      </c>
      <c r="Y1199" t="str">
        <f t="shared" si="353"/>
        <v/>
      </c>
      <c r="Z1199" t="str">
        <f t="shared" si="354"/>
        <v/>
      </c>
      <c r="AB1199" t="str">
        <f t="shared" si="355"/>
        <v>https://shop.officineitalianezard.it/contents/imgs/products/1_900-1.jpg</v>
      </c>
      <c r="AE1199" t="b">
        <v>0</v>
      </c>
    </row>
    <row r="1200" spans="1:31" x14ac:dyDescent="0.2">
      <c r="A1200" t="str">
        <f t="shared" si="342"/>
        <v>https://shop.officineitalianezard.it/en/products/index/zard-conical-full-kit-harley-davidson-sportster-7494-133/</v>
      </c>
      <c r="B1200" t="b">
        <f>COUNTIF($A$2:$A1200, A1200)&gt;1</f>
        <v>1</v>
      </c>
      <c r="C1200" t="b">
        <f t="shared" si="343"/>
        <v>0</v>
      </c>
      <c r="D1200">
        <f>VLOOKUP(A1200,variant_counts!A:B, 2, FALSE)</f>
        <v>4</v>
      </c>
      <c r="E1200" t="str">
        <f t="shared" si="356"/>
        <v>zard-exhaust-21-full-kit-harley-davidson-sportster-my-2014-joker-version-zhd-539-skr-14</v>
      </c>
      <c r="F1200" t="str">
        <f t="shared" si="344"/>
        <v>ZARD EXHAUST 2&gt;1 FULL KIT HARLEY-DAVIDSON SPORTSTER &gt; M.Y. 2014 JOKER VERSION ZHD 539 SKR-14</v>
      </c>
      <c r="G1200" t="str">
        <f t="shared" si="345"/>
        <v/>
      </c>
      <c r="H1200" t="str">
        <f t="shared" si="357"/>
        <v/>
      </c>
      <c r="I1200" t="str">
        <f t="shared" si="358"/>
        <v/>
      </c>
      <c r="J1200" t="str">
        <f t="shared" si="359"/>
        <v/>
      </c>
      <c r="K1200" t="str">
        <f t="shared" si="360"/>
        <v/>
      </c>
      <c r="L1200" t="str">
        <f t="shared" si="346"/>
        <v/>
      </c>
      <c r="M1200" t="str">
        <f t="shared" si="347"/>
        <v/>
      </c>
      <c r="R1200" t="str">
        <f t="shared" si="348"/>
        <v/>
      </c>
      <c r="S1200" t="str">
        <f t="shared" si="349"/>
        <v/>
      </c>
      <c r="U1200" t="str">
        <f t="shared" si="350"/>
        <v/>
      </c>
      <c r="V1200" t="str">
        <f t="shared" si="351"/>
        <v/>
      </c>
      <c r="W1200" s="5" t="str">
        <f t="shared" si="352"/>
        <v/>
      </c>
      <c r="Y1200" t="str">
        <f t="shared" si="353"/>
        <v/>
      </c>
      <c r="Z1200" t="str">
        <f t="shared" si="354"/>
        <v/>
      </c>
      <c r="AB1200" t="str">
        <f t="shared" si="355"/>
        <v>https://shop.officineitalianezard.it/contents/imgs/products/1_901-2.jpg</v>
      </c>
      <c r="AE1200" t="b">
        <v>0</v>
      </c>
    </row>
    <row r="1201" spans="1:31" x14ac:dyDescent="0.2">
      <c r="A1201" t="str">
        <f t="shared" si="342"/>
        <v>https://shop.officineitalianezard.it/en/products/index/zard-conical-full-kit-harley-davidson-sportster-7494-133/</v>
      </c>
      <c r="B1201" t="b">
        <f>COUNTIF($A$2:$A1201, A1201)&gt;1</f>
        <v>1</v>
      </c>
      <c r="C1201" t="b">
        <f t="shared" si="343"/>
        <v>0</v>
      </c>
      <c r="D1201">
        <f>VLOOKUP(A1201,variant_counts!A:B, 2, FALSE)</f>
        <v>4</v>
      </c>
      <c r="E1201" t="str">
        <f t="shared" si="356"/>
        <v>zard-exhaust-21-full-kit-harley-davidson-sportster-my-2014-joker-version-zhd-539-skr-14</v>
      </c>
      <c r="F1201" t="str">
        <f t="shared" si="344"/>
        <v>ZARD EXHAUST 2&gt;1 FULL KIT HARLEY-DAVIDSON SPORTSTER &gt; M.Y. 2014 JOKER VERSION ZHD 539 SKR-14</v>
      </c>
      <c r="G1201" t="str">
        <f t="shared" si="345"/>
        <v/>
      </c>
      <c r="H1201" t="str">
        <f t="shared" si="357"/>
        <v/>
      </c>
      <c r="I1201" t="str">
        <f t="shared" si="358"/>
        <v/>
      </c>
      <c r="J1201" t="str">
        <f t="shared" si="359"/>
        <v/>
      </c>
      <c r="K1201" t="str">
        <f t="shared" si="360"/>
        <v/>
      </c>
      <c r="L1201" t="str">
        <f t="shared" si="346"/>
        <v/>
      </c>
      <c r="M1201" t="str">
        <f t="shared" si="347"/>
        <v/>
      </c>
      <c r="R1201" t="str">
        <f t="shared" si="348"/>
        <v/>
      </c>
      <c r="S1201" t="str">
        <f t="shared" si="349"/>
        <v/>
      </c>
      <c r="U1201" t="str">
        <f t="shared" si="350"/>
        <v/>
      </c>
      <c r="V1201" t="str">
        <f t="shared" si="351"/>
        <v/>
      </c>
      <c r="W1201" s="5" t="str">
        <f t="shared" si="352"/>
        <v/>
      </c>
      <c r="Y1201" t="str">
        <f t="shared" si="353"/>
        <v/>
      </c>
      <c r="Z1201" t="str">
        <f t="shared" si="354"/>
        <v/>
      </c>
      <c r="AB1201" t="str">
        <f t="shared" si="355"/>
        <v>https://shop.officineitalianezard.it/contents/imgs/products/1_902-3.jpg</v>
      </c>
      <c r="AE1201" t="b">
        <v>0</v>
      </c>
    </row>
    <row r="1202" spans="1:31" x14ac:dyDescent="0.2">
      <c r="A1202" t="str">
        <f t="shared" si="342"/>
        <v>https://shop.officineitalianezard.it/en/products/index/zard-conical-full-kit-harley-davidson-sportster-7494-133/</v>
      </c>
      <c r="B1202" t="b">
        <f>COUNTIF($A$2:$A1202, A1202)&gt;1</f>
        <v>1</v>
      </c>
      <c r="C1202" t="b">
        <f t="shared" si="343"/>
        <v>0</v>
      </c>
      <c r="D1202">
        <f>VLOOKUP(A1202,variant_counts!A:B, 2, FALSE)</f>
        <v>4</v>
      </c>
      <c r="E1202" t="str">
        <f t="shared" si="356"/>
        <v>zard-exhaust-21-full-kit-harley-davidson-sportster-my-2014-joker-version-zhd-539-skr-14</v>
      </c>
      <c r="F1202" t="str">
        <f t="shared" si="344"/>
        <v>ZARD EXHAUST 2&gt;1 FULL KIT HARLEY-DAVIDSON SPORTSTER &gt; M.Y. 2014 JOKER VERSION ZHD 539 SKR-14</v>
      </c>
      <c r="G1202" t="str">
        <f t="shared" si="345"/>
        <v/>
      </c>
      <c r="H1202" t="str">
        <f t="shared" si="357"/>
        <v/>
      </c>
      <c r="I1202" t="str">
        <f t="shared" si="358"/>
        <v/>
      </c>
      <c r="J1202" t="str">
        <f t="shared" si="359"/>
        <v/>
      </c>
      <c r="K1202" t="str">
        <f t="shared" si="360"/>
        <v/>
      </c>
      <c r="L1202" t="str">
        <f t="shared" si="346"/>
        <v/>
      </c>
      <c r="M1202" t="str">
        <f t="shared" si="347"/>
        <v/>
      </c>
      <c r="R1202" t="str">
        <f t="shared" si="348"/>
        <v/>
      </c>
      <c r="S1202" t="str">
        <f t="shared" si="349"/>
        <v/>
      </c>
      <c r="U1202" t="str">
        <f t="shared" si="350"/>
        <v/>
      </c>
      <c r="V1202" t="str">
        <f t="shared" si="351"/>
        <v/>
      </c>
      <c r="W1202" s="5" t="str">
        <f t="shared" si="352"/>
        <v/>
      </c>
      <c r="Y1202" t="str">
        <f t="shared" si="353"/>
        <v/>
      </c>
      <c r="Z1202" t="str">
        <f t="shared" si="354"/>
        <v/>
      </c>
      <c r="AB1202" t="str">
        <f t="shared" si="355"/>
        <v>https://shop.officineitalianezard.it/contents/imgs/products/1_986-2_846-sposrtstersport1.JPG</v>
      </c>
      <c r="AE1202" t="b">
        <v>0</v>
      </c>
    </row>
    <row r="1203" spans="1:31" x14ac:dyDescent="0.2">
      <c r="A1203" t="str">
        <f t="shared" si="342"/>
        <v>https://shop.officineitalianezard.it/en/products/index/zard-conical-full-kit-harley-davidson-sportster-7494-133/</v>
      </c>
      <c r="B1203" t="b">
        <f>COUNTIF($A$2:$A1203, A1203)&gt;1</f>
        <v>1</v>
      </c>
      <c r="C1203" t="b">
        <f t="shared" si="343"/>
        <v>0</v>
      </c>
      <c r="D1203">
        <f>VLOOKUP(A1203,variant_counts!A:B, 2, FALSE)</f>
        <v>4</v>
      </c>
      <c r="E1203" t="str">
        <f t="shared" si="356"/>
        <v>zard-exhaust-21-full-kit-harley-davidson-sportster-my-2014-joker-version-zhd-539-skr-14</v>
      </c>
      <c r="F1203" t="str">
        <f t="shared" si="344"/>
        <v>ZARD EXHAUST 2&gt;1 FULL KIT HARLEY-DAVIDSON SPORTSTER &gt; M.Y. 2014 JOKER VERSION ZHD 539 SKR-14</v>
      </c>
      <c r="G1203" t="str">
        <f t="shared" si="345"/>
        <v/>
      </c>
      <c r="H1203" t="str">
        <f t="shared" si="357"/>
        <v/>
      </c>
      <c r="I1203" t="str">
        <f t="shared" si="358"/>
        <v/>
      </c>
      <c r="J1203" t="str">
        <f t="shared" si="359"/>
        <v/>
      </c>
      <c r="K1203" t="str">
        <f t="shared" si="360"/>
        <v/>
      </c>
      <c r="L1203" t="str">
        <f t="shared" si="346"/>
        <v/>
      </c>
      <c r="M1203" t="str">
        <f t="shared" si="347"/>
        <v/>
      </c>
      <c r="R1203" t="str">
        <f t="shared" si="348"/>
        <v/>
      </c>
      <c r="S1203" t="str">
        <f t="shared" si="349"/>
        <v/>
      </c>
      <c r="U1203" t="str">
        <f t="shared" si="350"/>
        <v/>
      </c>
      <c r="V1203" t="str">
        <f t="shared" si="351"/>
        <v/>
      </c>
      <c r="W1203" s="5" t="str">
        <f t="shared" si="352"/>
        <v/>
      </c>
      <c r="Y1203" t="str">
        <f t="shared" si="353"/>
        <v/>
      </c>
      <c r="Z1203" t="str">
        <f t="shared" si="354"/>
        <v/>
      </c>
      <c r="AB1203" t="str">
        <f t="shared" si="355"/>
        <v>https://shop.officineitalianezard.it/contents/imgs/products/1_843-aggiunta5.jpg</v>
      </c>
      <c r="AE1203" t="b">
        <v>0</v>
      </c>
    </row>
    <row r="1204" spans="1:31" x14ac:dyDescent="0.2">
      <c r="A1204" t="str">
        <f t="shared" si="342"/>
        <v>https://shop.officineitalianezard.it/en/products/index/zard-conical-full-kit-harley-davidson-sportster-7494-133/</v>
      </c>
      <c r="B1204" t="b">
        <f>COUNTIF($A$2:$A1204, A1204)&gt;1</f>
        <v>1</v>
      </c>
      <c r="C1204" t="b">
        <f t="shared" si="343"/>
        <v>0</v>
      </c>
      <c r="D1204">
        <f>VLOOKUP(A1204,variant_counts!A:B, 2, FALSE)</f>
        <v>4</v>
      </c>
      <c r="E1204" t="str">
        <f t="shared" si="356"/>
        <v>zard-exhaust-21-full-kit-harley-davidson-sportster-my-2014-joker-version-zhd-539-skr-14</v>
      </c>
      <c r="F1204" t="str">
        <f t="shared" si="344"/>
        <v>ZARD EXHAUST 2&gt;1 FULL KIT HARLEY-DAVIDSON SPORTSTER &gt; M.Y. 2014 JOKER VERSION ZHD 539 SKR-14</v>
      </c>
      <c r="G1204" t="str">
        <f t="shared" si="345"/>
        <v/>
      </c>
      <c r="H1204" t="str">
        <f t="shared" si="357"/>
        <v/>
      </c>
      <c r="I1204" t="str">
        <f t="shared" si="358"/>
        <v/>
      </c>
      <c r="J1204" t="str">
        <f t="shared" si="359"/>
        <v/>
      </c>
      <c r="K1204" t="str">
        <f t="shared" si="360"/>
        <v/>
      </c>
      <c r="L1204" t="str">
        <f t="shared" si="346"/>
        <v/>
      </c>
      <c r="M1204" t="str">
        <f t="shared" si="347"/>
        <v/>
      </c>
      <c r="R1204" t="str">
        <f t="shared" si="348"/>
        <v/>
      </c>
      <c r="S1204" t="str">
        <f t="shared" si="349"/>
        <v/>
      </c>
      <c r="U1204" t="str">
        <f t="shared" si="350"/>
        <v/>
      </c>
      <c r="V1204" t="str">
        <f t="shared" si="351"/>
        <v/>
      </c>
      <c r="W1204" s="5" t="str">
        <f t="shared" si="352"/>
        <v/>
      </c>
      <c r="Y1204" t="str">
        <f t="shared" si="353"/>
        <v/>
      </c>
      <c r="Z1204" t="str">
        <f t="shared" si="354"/>
        <v/>
      </c>
      <c r="AB1204" t="str">
        <f t="shared" si="355"/>
        <v>https://shop.officineitalianezard.it/contents/imgs/products/1_841-aggiunta3.jpg</v>
      </c>
      <c r="AE1204" t="b">
        <v>0</v>
      </c>
    </row>
    <row r="1205" spans="1:31" x14ac:dyDescent="0.2">
      <c r="A1205" t="str">
        <f t="shared" si="342"/>
        <v>https://shop.officineitalianezard.it/en/products/index/zard-conical-full-kit-harley-davidson-sportster-7494-133/</v>
      </c>
      <c r="B1205" t="b">
        <f>COUNTIF($A$2:$A1205, A1205)&gt;1</f>
        <v>1</v>
      </c>
      <c r="C1205" t="b">
        <f t="shared" si="343"/>
        <v>0</v>
      </c>
      <c r="D1205">
        <f>VLOOKUP(A1205,variant_counts!A:B, 2, FALSE)</f>
        <v>4</v>
      </c>
      <c r="E1205" t="str">
        <f t="shared" si="356"/>
        <v>zard-exhaust-21-full-kit-harley-davidson-sportster-my-2014-joker-version-zhd-539-skr-14</v>
      </c>
      <c r="F1205" t="str">
        <f t="shared" si="344"/>
        <v>ZARD EXHAUST 2&gt;1 FULL KIT HARLEY-DAVIDSON SPORTSTER &gt; M.Y. 2014 JOKER VERSION ZHD 539 SKR-14</v>
      </c>
      <c r="G1205" t="str">
        <f t="shared" si="345"/>
        <v/>
      </c>
      <c r="H1205" t="str">
        <f t="shared" si="357"/>
        <v/>
      </c>
      <c r="I1205" t="str">
        <f t="shared" si="358"/>
        <v/>
      </c>
      <c r="J1205" t="str">
        <f t="shared" si="359"/>
        <v/>
      </c>
      <c r="K1205" t="str">
        <f t="shared" si="360"/>
        <v/>
      </c>
      <c r="L1205" t="str">
        <f t="shared" si="346"/>
        <v/>
      </c>
      <c r="M1205" t="str">
        <f t="shared" si="347"/>
        <v/>
      </c>
      <c r="R1205" t="str">
        <f t="shared" si="348"/>
        <v/>
      </c>
      <c r="S1205" t="str">
        <f t="shared" si="349"/>
        <v/>
      </c>
      <c r="U1205" t="str">
        <f t="shared" si="350"/>
        <v/>
      </c>
      <c r="V1205" t="str">
        <f t="shared" si="351"/>
        <v/>
      </c>
      <c r="W1205" s="5" t="str">
        <f t="shared" si="352"/>
        <v/>
      </c>
      <c r="Y1205" t="str">
        <f t="shared" si="353"/>
        <v/>
      </c>
      <c r="Z1205" t="str">
        <f t="shared" si="354"/>
        <v/>
      </c>
      <c r="AB1205" t="str">
        <f t="shared" si="355"/>
        <v>https://shop.officineitalianezard.it/contents/imgs/products/1_842-aggiunta4.jpg</v>
      </c>
      <c r="AE1205" t="b">
        <v>0</v>
      </c>
    </row>
    <row r="1206" spans="1:31" x14ac:dyDescent="0.2">
      <c r="A1206" t="str">
        <f t="shared" si="342"/>
        <v>https://shop.officineitalianezard.it/en/products/index/zard-conical-full-kit-harley-davidson-sportster-7494-133/</v>
      </c>
      <c r="B1206" t="b">
        <f>COUNTIF($A$2:$A1206, A1206)&gt;1</f>
        <v>1</v>
      </c>
      <c r="C1206" t="b">
        <f t="shared" si="343"/>
        <v>1</v>
      </c>
      <c r="D1206">
        <f>VLOOKUP(A1206,variant_counts!A:B, 2, FALSE)</f>
        <v>4</v>
      </c>
      <c r="E1206" t="str">
        <f t="shared" si="356"/>
        <v>zard-exhaust-21-full-kit-harley-davidson-sportster-my-2014-joker-version-zhd-539-skr-14</v>
      </c>
      <c r="F1206" t="str">
        <f t="shared" si="344"/>
        <v>ZARD EXHAUST 2&gt;1 FULL KIT HARLEY-DAVIDSON SPORTSTER &gt; M.Y. 2014 JOKER VERSION ZHD 539 SKR-14</v>
      </c>
      <c r="G1206" t="str">
        <f t="shared" si="345"/>
        <v/>
      </c>
      <c r="H1206" t="str">
        <f t="shared" si="357"/>
        <v/>
      </c>
      <c r="I1206" t="str">
        <f t="shared" si="358"/>
        <v/>
      </c>
      <c r="J1206" t="str">
        <f t="shared" si="359"/>
        <v/>
      </c>
      <c r="K1206" t="str">
        <f t="shared" si="360"/>
        <v/>
      </c>
      <c r="L1206" t="str">
        <f t="shared" si="346"/>
        <v>Option</v>
      </c>
      <c r="M1206" t="str">
        <f t="shared" si="347"/>
        <v>EURO 3 HOMOLOGATED</v>
      </c>
      <c r="R1206" t="str">
        <f t="shared" si="348"/>
        <v>ZHD 539 SKR-14</v>
      </c>
      <c r="S1206">
        <f t="shared" si="349"/>
        <v>0</v>
      </c>
      <c r="U1206" t="str">
        <f t="shared" si="350"/>
        <v>continue</v>
      </c>
      <c r="V1206" t="str">
        <f t="shared" si="351"/>
        <v>manual</v>
      </c>
      <c r="W1206" s="5">
        <f t="shared" si="352"/>
        <v>911.28780000000006</v>
      </c>
      <c r="Y1206" t="b">
        <f t="shared" si="353"/>
        <v>1</v>
      </c>
      <c r="Z1206" t="b">
        <f t="shared" si="354"/>
        <v>0</v>
      </c>
      <c r="AB1206" t="str">
        <f t="shared" si="355"/>
        <v/>
      </c>
      <c r="AE1206" t="b">
        <v>0</v>
      </c>
    </row>
    <row r="1207" spans="1:31" x14ac:dyDescent="0.2">
      <c r="A1207" t="str">
        <f t="shared" si="342"/>
        <v>https://shop.officineitalianezard.it/en/products/index/zard-conical-full-kit-harley-davidson-sportster-7494-133/</v>
      </c>
      <c r="B1207" t="b">
        <f>COUNTIF($A$2:$A1207, A1207)&gt;1</f>
        <v>1</v>
      </c>
      <c r="C1207" t="b">
        <f t="shared" si="343"/>
        <v>1</v>
      </c>
      <c r="D1207">
        <f>VLOOKUP(A1207,variant_counts!A:B, 2, FALSE)</f>
        <v>4</v>
      </c>
      <c r="E1207" t="str">
        <f t="shared" si="356"/>
        <v>zard-exhaust-21-full-kit-harley-davidson-sportster-my-2014-joker-version-zhd-539-skr-14</v>
      </c>
      <c r="F1207" t="str">
        <f t="shared" si="344"/>
        <v>ZARD EXHAUST 2&gt;1 FULL KIT HARLEY-DAVIDSON SPORTSTER &gt; M.Y. 2014 JOKER VERSION ZHD 539 SKR-14</v>
      </c>
      <c r="G1207" t="str">
        <f t="shared" si="345"/>
        <v/>
      </c>
      <c r="H1207" t="str">
        <f t="shared" si="357"/>
        <v/>
      </c>
      <c r="I1207" t="str">
        <f t="shared" si="358"/>
        <v/>
      </c>
      <c r="J1207" t="str">
        <f t="shared" si="359"/>
        <v/>
      </c>
      <c r="K1207" t="str">
        <f t="shared" si="360"/>
        <v/>
      </c>
      <c r="L1207" t="str">
        <f t="shared" si="346"/>
        <v>Option</v>
      </c>
      <c r="M1207" t="str">
        <f t="shared" si="347"/>
        <v>BLACK COATING</v>
      </c>
      <c r="R1207" t="str">
        <f t="shared" si="348"/>
        <v>ZHD 539 SKR-14</v>
      </c>
      <c r="S1207">
        <f t="shared" si="349"/>
        <v>0</v>
      </c>
      <c r="U1207" t="str">
        <f t="shared" si="350"/>
        <v>continue</v>
      </c>
      <c r="V1207" t="str">
        <f t="shared" si="351"/>
        <v>manual</v>
      </c>
      <c r="W1207" s="5">
        <f t="shared" si="352"/>
        <v>1055.4102</v>
      </c>
      <c r="Y1207" t="b">
        <f t="shared" si="353"/>
        <v>1</v>
      </c>
      <c r="Z1207" t="b">
        <f t="shared" si="354"/>
        <v>0</v>
      </c>
      <c r="AB1207" t="str">
        <f t="shared" si="355"/>
        <v/>
      </c>
      <c r="AE1207" t="b">
        <v>0</v>
      </c>
    </row>
    <row r="1208" spans="1:31" x14ac:dyDescent="0.2">
      <c r="A1208" t="str">
        <f t="shared" si="342"/>
        <v>https://shop.officineitalianezard.it/en/products/index/zard-conical-full-kit-harley-davidson-sportster-7494-133/</v>
      </c>
      <c r="B1208" t="b">
        <f>COUNTIF($A$2:$A1208, A1208)&gt;1</f>
        <v>1</v>
      </c>
      <c r="C1208" t="b">
        <f t="shared" si="343"/>
        <v>1</v>
      </c>
      <c r="D1208">
        <f>VLOOKUP(A1208,variant_counts!A:B, 2, FALSE)</f>
        <v>4</v>
      </c>
      <c r="E1208" t="str">
        <f t="shared" si="356"/>
        <v>zard-exhaust-21-full-kit-harley-davidson-sportster-my-2014-joker-version-zhd-539-skr-14</v>
      </c>
      <c r="F1208" t="str">
        <f t="shared" si="344"/>
        <v>ZARD EXHAUST 2&gt;1 FULL KIT HARLEY-DAVIDSON SPORTSTER &gt; M.Y. 2014 JOKER VERSION ZHD 539 SKR-14</v>
      </c>
      <c r="G1208" t="str">
        <f t="shared" si="345"/>
        <v/>
      </c>
      <c r="H1208" t="str">
        <f t="shared" si="357"/>
        <v/>
      </c>
      <c r="I1208" t="str">
        <f t="shared" si="358"/>
        <v/>
      </c>
      <c r="J1208" t="str">
        <f t="shared" si="359"/>
        <v/>
      </c>
      <c r="K1208" t="str">
        <f t="shared" si="360"/>
        <v/>
      </c>
      <c r="L1208" t="str">
        <f t="shared" si="346"/>
        <v>Option</v>
      </c>
      <c r="M1208" t="str">
        <f t="shared" si="347"/>
        <v>MIRROR POLISHED</v>
      </c>
      <c r="R1208" t="str">
        <f t="shared" si="348"/>
        <v>ZHD 539 SKR-14</v>
      </c>
      <c r="S1208">
        <f t="shared" si="349"/>
        <v>0</v>
      </c>
      <c r="U1208" t="str">
        <f t="shared" si="350"/>
        <v>continue</v>
      </c>
      <c r="V1208" t="str">
        <f t="shared" si="351"/>
        <v>manual</v>
      </c>
      <c r="W1208" s="5">
        <f t="shared" si="352"/>
        <v>931.76729999999998</v>
      </c>
      <c r="Y1208" t="b">
        <f t="shared" si="353"/>
        <v>1</v>
      </c>
      <c r="Z1208" t="b">
        <f t="shared" si="354"/>
        <v>0</v>
      </c>
      <c r="AB1208" t="str">
        <f t="shared" si="355"/>
        <v/>
      </c>
      <c r="AE1208" t="b">
        <v>0</v>
      </c>
    </row>
    <row r="1209" spans="1:31" x14ac:dyDescent="0.2">
      <c r="A1209" t="str">
        <f t="shared" si="342"/>
        <v>https://shop.officineitalianezard.it/en/products/index/zard-conical-full-kit-harley-davidson-sportster-7494-133/</v>
      </c>
      <c r="B1209" t="b">
        <f>COUNTIF($A$2:$A1209, A1209)&gt;1</f>
        <v>1</v>
      </c>
      <c r="C1209" t="b">
        <f t="shared" si="343"/>
        <v>1</v>
      </c>
      <c r="D1209">
        <f>VLOOKUP(A1209,variant_counts!A:B, 2, FALSE)</f>
        <v>4</v>
      </c>
      <c r="E1209" t="str">
        <f t="shared" si="356"/>
        <v>zard-exhaust-21-full-kit-harley-davidson-sportster-my-2014-joker-version-zhd-539-skr-14</v>
      </c>
      <c r="F1209" t="str">
        <f t="shared" si="344"/>
        <v>ZARD EXHAUST 2&gt;1 FULL KIT HARLEY-DAVIDSON SPORTSTER &gt; M.Y. 2014 JOKER VERSION ZHD 539 SKR-14</v>
      </c>
      <c r="G1209" t="str">
        <f t="shared" si="345"/>
        <v/>
      </c>
      <c r="H1209" t="str">
        <f t="shared" si="357"/>
        <v/>
      </c>
      <c r="I1209" t="str">
        <f t="shared" si="358"/>
        <v/>
      </c>
      <c r="J1209" t="str">
        <f t="shared" si="359"/>
        <v/>
      </c>
      <c r="K1209" t="str">
        <f t="shared" si="360"/>
        <v/>
      </c>
      <c r="L1209" t="str">
        <f t="shared" si="346"/>
        <v>Option</v>
      </c>
      <c r="M1209" t="str">
        <f t="shared" si="347"/>
        <v>SILVER AND BLACK ENDCAP</v>
      </c>
      <c r="R1209" t="str">
        <f t="shared" si="348"/>
        <v>ZHD 539 SKR-14</v>
      </c>
      <c r="S1209">
        <f t="shared" si="349"/>
        <v>0</v>
      </c>
      <c r="U1209" t="str">
        <f t="shared" si="350"/>
        <v>continue</v>
      </c>
      <c r="V1209" t="str">
        <f t="shared" si="351"/>
        <v>manual</v>
      </c>
      <c r="W1209" s="5">
        <f t="shared" si="352"/>
        <v>942.4122000000001</v>
      </c>
      <c r="Y1209" t="b">
        <f t="shared" si="353"/>
        <v>1</v>
      </c>
      <c r="Z1209" t="b">
        <f t="shared" si="354"/>
        <v>0</v>
      </c>
      <c r="AB1209" t="str">
        <f t="shared" si="355"/>
        <v/>
      </c>
      <c r="AE1209" t="b">
        <v>0</v>
      </c>
    </row>
    <row r="1210" spans="1:31" x14ac:dyDescent="0.2">
      <c r="A1210" t="str">
        <f t="shared" si="342"/>
        <v>https://shop.officineitalianezard.it/en/products/index/zard-conical-full-kit-harley-davidson-sportster-7493-132/</v>
      </c>
      <c r="B1210" t="b">
        <f>COUNTIF($A$2:$A1210, A1210)&gt;1</f>
        <v>0</v>
      </c>
      <c r="C1210" t="b">
        <f t="shared" si="343"/>
        <v>0</v>
      </c>
      <c r="D1210">
        <f>VLOOKUP(A1210,variant_counts!A:B, 2, FALSE)</f>
        <v>3</v>
      </c>
      <c r="E1210" t="str">
        <f t="shared" si="356"/>
        <v>zard-exhaust-21-full-kit-harley-davidson-sportster-my-03-13-sport-version-zhd-539-skr</v>
      </c>
      <c r="F1210" t="str">
        <f t="shared" si="344"/>
        <v>ZARD EXHAUST 2&gt;1 FULL KIT HARLEY-DAVIDSON SPORTSTER M.Y. 03-13 SPORT VERSION ZHD 539 SKR</v>
      </c>
      <c r="G1210" t="str">
        <f t="shared" si="345"/>
        <v>&lt;p&gt;2&amp;gt;1 STEEL FULL KIT RACING WITH REMOVABLE DB KILLER&lt;/p&gt;
&lt;p&gt;STEEL HEAT SHIELD&lt;/p&gt;
&lt;p&gt;HARD INCREASE, COMPARED TO THE ORIGINAL EXHAUST SYSTEM, IN TERMS OF TORQUE AND POWER AT ANY RANGE&lt;/p&gt;
&lt;p&gt;ASTONISHING SOUND&lt;/p&gt;
&lt;p&gt;COMPATIBLE WITH XL 883 / XL 1200 MODELS&lt;/p&gt;</v>
      </c>
      <c r="H1210" t="str">
        <f t="shared" si="357"/>
        <v>ZARD</v>
      </c>
      <c r="I1210" t="str">
        <f t="shared" si="358"/>
        <v>Exhaust Pipe</v>
      </c>
      <c r="J1210" t="str">
        <f t="shared" si="359"/>
        <v>Test</v>
      </c>
      <c r="K1210" t="b">
        <f t="shared" si="360"/>
        <v>0</v>
      </c>
      <c r="L1210" t="str">
        <f t="shared" si="346"/>
        <v/>
      </c>
      <c r="M1210" t="str">
        <f t="shared" si="347"/>
        <v/>
      </c>
      <c r="R1210" t="str">
        <f t="shared" si="348"/>
        <v/>
      </c>
      <c r="S1210" t="str">
        <f t="shared" si="349"/>
        <v/>
      </c>
      <c r="U1210" t="str">
        <f t="shared" si="350"/>
        <v/>
      </c>
      <c r="V1210" t="str">
        <f t="shared" si="351"/>
        <v/>
      </c>
      <c r="W1210" s="5" t="str">
        <f t="shared" si="352"/>
        <v/>
      </c>
      <c r="Y1210" t="str">
        <f t="shared" si="353"/>
        <v/>
      </c>
      <c r="Z1210" t="str">
        <f t="shared" si="354"/>
        <v/>
      </c>
      <c r="AB1210" t="str">
        <f t="shared" si="355"/>
        <v>https://shop.officineitalianezard.it/contents/imgs/products/1_987-1A.jpg</v>
      </c>
      <c r="AE1210" t="b">
        <v>0</v>
      </c>
    </row>
    <row r="1211" spans="1:31" x14ac:dyDescent="0.2">
      <c r="A1211" t="str">
        <f t="shared" si="342"/>
        <v>https://shop.officineitalianezard.it/en/products/index/zard-conical-full-kit-harley-davidson-sportster-7493-132/</v>
      </c>
      <c r="B1211" t="b">
        <f>COUNTIF($A$2:$A1211, A1211)&gt;1</f>
        <v>1</v>
      </c>
      <c r="C1211" t="b">
        <f t="shared" si="343"/>
        <v>0</v>
      </c>
      <c r="D1211">
        <f>VLOOKUP(A1211,variant_counts!A:B, 2, FALSE)</f>
        <v>3</v>
      </c>
      <c r="E1211" t="str">
        <f t="shared" si="356"/>
        <v>zard-exhaust-21-full-kit-harley-davidson-sportster-my-03-13-sport-version-zhd-539-skr</v>
      </c>
      <c r="F1211" t="str">
        <f t="shared" si="344"/>
        <v>ZARD EXHAUST 2&gt;1 FULL KIT HARLEY-DAVIDSON SPORTSTER M.Y. 03-13 SPORT VERSION ZHD 539 SKR</v>
      </c>
      <c r="G1211" t="str">
        <f t="shared" si="345"/>
        <v/>
      </c>
      <c r="H1211" t="str">
        <f t="shared" si="357"/>
        <v/>
      </c>
      <c r="I1211" t="str">
        <f t="shared" si="358"/>
        <v/>
      </c>
      <c r="J1211" t="str">
        <f t="shared" si="359"/>
        <v/>
      </c>
      <c r="K1211" t="str">
        <f t="shared" si="360"/>
        <v/>
      </c>
      <c r="L1211" t="str">
        <f t="shared" si="346"/>
        <v/>
      </c>
      <c r="M1211" t="str">
        <f t="shared" si="347"/>
        <v/>
      </c>
      <c r="R1211" t="str">
        <f t="shared" si="348"/>
        <v/>
      </c>
      <c r="S1211" t="str">
        <f t="shared" si="349"/>
        <v/>
      </c>
      <c r="U1211" t="str">
        <f t="shared" si="350"/>
        <v/>
      </c>
      <c r="V1211" t="str">
        <f t="shared" si="351"/>
        <v/>
      </c>
      <c r="W1211" s="5" t="str">
        <f t="shared" si="352"/>
        <v/>
      </c>
      <c r="Y1211" t="str">
        <f t="shared" si="353"/>
        <v/>
      </c>
      <c r="Z1211" t="str">
        <f t="shared" si="354"/>
        <v/>
      </c>
      <c r="AB1211" t="str">
        <f t="shared" si="355"/>
        <v>https://shop.officineitalianezard.it/contents/imgs/products/1_988-45A.jpg</v>
      </c>
      <c r="AE1211" t="b">
        <v>0</v>
      </c>
    </row>
    <row r="1212" spans="1:31" x14ac:dyDescent="0.2">
      <c r="A1212" t="str">
        <f t="shared" si="342"/>
        <v>https://shop.officineitalianezard.it/en/products/index/zard-conical-full-kit-harley-davidson-sportster-7493-132/</v>
      </c>
      <c r="B1212" t="b">
        <f>COUNTIF($A$2:$A1212, A1212)&gt;1</f>
        <v>1</v>
      </c>
      <c r="C1212" t="b">
        <f t="shared" si="343"/>
        <v>0</v>
      </c>
      <c r="D1212">
        <f>VLOOKUP(A1212,variant_counts!A:B, 2, FALSE)</f>
        <v>3</v>
      </c>
      <c r="E1212" t="str">
        <f t="shared" si="356"/>
        <v>zard-exhaust-21-full-kit-harley-davidson-sportster-my-03-13-sport-version-zhd-539-skr</v>
      </c>
      <c r="F1212" t="str">
        <f t="shared" si="344"/>
        <v>ZARD EXHAUST 2&gt;1 FULL KIT HARLEY-DAVIDSON SPORTSTER M.Y. 03-13 SPORT VERSION ZHD 539 SKR</v>
      </c>
      <c r="G1212" t="str">
        <f t="shared" si="345"/>
        <v/>
      </c>
      <c r="H1212" t="str">
        <f t="shared" si="357"/>
        <v/>
      </c>
      <c r="I1212" t="str">
        <f t="shared" si="358"/>
        <v/>
      </c>
      <c r="J1212" t="str">
        <f t="shared" si="359"/>
        <v/>
      </c>
      <c r="K1212" t="str">
        <f t="shared" si="360"/>
        <v/>
      </c>
      <c r="L1212" t="str">
        <f t="shared" si="346"/>
        <v/>
      </c>
      <c r="M1212" t="str">
        <f t="shared" si="347"/>
        <v/>
      </c>
      <c r="R1212" t="str">
        <f t="shared" si="348"/>
        <v/>
      </c>
      <c r="S1212" t="str">
        <f t="shared" si="349"/>
        <v/>
      </c>
      <c r="U1212" t="str">
        <f t="shared" si="350"/>
        <v/>
      </c>
      <c r="V1212" t="str">
        <f t="shared" si="351"/>
        <v/>
      </c>
      <c r="W1212" s="5" t="str">
        <f t="shared" si="352"/>
        <v/>
      </c>
      <c r="Y1212" t="str">
        <f t="shared" si="353"/>
        <v/>
      </c>
      <c r="Z1212" t="str">
        <f t="shared" si="354"/>
        <v/>
      </c>
      <c r="AB1212" t="str">
        <f t="shared" si="355"/>
        <v>https://shop.officineitalianezard.it/contents/imgs/products/1_989-DSC_0021.jpg</v>
      </c>
      <c r="AE1212" t="b">
        <v>0</v>
      </c>
    </row>
    <row r="1213" spans="1:31" x14ac:dyDescent="0.2">
      <c r="A1213" t="str">
        <f t="shared" si="342"/>
        <v>https://shop.officineitalianezard.it/en/products/index/zard-conical-full-kit-harley-davidson-sportster-7493-132/</v>
      </c>
      <c r="B1213" t="b">
        <f>COUNTIF($A$2:$A1213, A1213)&gt;1</f>
        <v>1</v>
      </c>
      <c r="C1213" t="b">
        <f t="shared" si="343"/>
        <v>0</v>
      </c>
      <c r="D1213">
        <f>VLOOKUP(A1213,variant_counts!A:B, 2, FALSE)</f>
        <v>3</v>
      </c>
      <c r="E1213" t="str">
        <f t="shared" si="356"/>
        <v>zard-exhaust-21-full-kit-harley-davidson-sportster-my-03-13-sport-version-zhd-539-skr</v>
      </c>
      <c r="F1213" t="str">
        <f t="shared" si="344"/>
        <v>ZARD EXHAUST 2&gt;1 FULL KIT HARLEY-DAVIDSON SPORTSTER M.Y. 03-13 SPORT VERSION ZHD 539 SKR</v>
      </c>
      <c r="G1213" t="str">
        <f t="shared" si="345"/>
        <v/>
      </c>
      <c r="H1213" t="str">
        <f t="shared" si="357"/>
        <v/>
      </c>
      <c r="I1213" t="str">
        <f t="shared" si="358"/>
        <v/>
      </c>
      <c r="J1213" t="str">
        <f t="shared" si="359"/>
        <v/>
      </c>
      <c r="K1213" t="str">
        <f t="shared" si="360"/>
        <v/>
      </c>
      <c r="L1213" t="str">
        <f t="shared" si="346"/>
        <v/>
      </c>
      <c r="M1213" t="str">
        <f t="shared" si="347"/>
        <v/>
      </c>
      <c r="R1213" t="str">
        <f t="shared" si="348"/>
        <v/>
      </c>
      <c r="S1213" t="str">
        <f t="shared" si="349"/>
        <v/>
      </c>
      <c r="U1213" t="str">
        <f t="shared" si="350"/>
        <v/>
      </c>
      <c r="V1213" t="str">
        <f t="shared" si="351"/>
        <v/>
      </c>
      <c r="W1213" s="5" t="str">
        <f t="shared" si="352"/>
        <v/>
      </c>
      <c r="Y1213" t="str">
        <f t="shared" si="353"/>
        <v/>
      </c>
      <c r="Z1213" t="str">
        <f t="shared" si="354"/>
        <v/>
      </c>
      <c r="AB1213" t="str">
        <f t="shared" si="355"/>
        <v>https://shop.officineitalianezard.it/contents/imgs/products/1_830-sporstersport2.JPG</v>
      </c>
      <c r="AE1213" t="b">
        <v>0</v>
      </c>
    </row>
    <row r="1214" spans="1:31" x14ac:dyDescent="0.2">
      <c r="A1214" t="str">
        <f t="shared" si="342"/>
        <v>https://shop.officineitalianezard.it/en/products/index/zard-conical-full-kit-harley-davidson-sportster-7493-132/</v>
      </c>
      <c r="B1214" t="b">
        <f>COUNTIF($A$2:$A1214, A1214)&gt;1</f>
        <v>1</v>
      </c>
      <c r="C1214" t="b">
        <f t="shared" si="343"/>
        <v>0</v>
      </c>
      <c r="D1214">
        <f>VLOOKUP(A1214,variant_counts!A:B, 2, FALSE)</f>
        <v>3</v>
      </c>
      <c r="E1214" t="str">
        <f t="shared" si="356"/>
        <v>zard-exhaust-21-full-kit-harley-davidson-sportster-my-03-13-sport-version-zhd-539-skr</v>
      </c>
      <c r="F1214" t="str">
        <f t="shared" si="344"/>
        <v>ZARD EXHAUST 2&gt;1 FULL KIT HARLEY-DAVIDSON SPORTSTER M.Y. 03-13 SPORT VERSION ZHD 539 SKR</v>
      </c>
      <c r="G1214" t="str">
        <f t="shared" si="345"/>
        <v/>
      </c>
      <c r="H1214" t="str">
        <f t="shared" si="357"/>
        <v/>
      </c>
      <c r="I1214" t="str">
        <f t="shared" si="358"/>
        <v/>
      </c>
      <c r="J1214" t="str">
        <f t="shared" si="359"/>
        <v/>
      </c>
      <c r="K1214" t="str">
        <f t="shared" si="360"/>
        <v/>
      </c>
      <c r="L1214" t="str">
        <f t="shared" si="346"/>
        <v/>
      </c>
      <c r="M1214" t="str">
        <f t="shared" si="347"/>
        <v/>
      </c>
      <c r="R1214" t="str">
        <f t="shared" si="348"/>
        <v/>
      </c>
      <c r="S1214" t="str">
        <f t="shared" si="349"/>
        <v/>
      </c>
      <c r="U1214" t="str">
        <f t="shared" si="350"/>
        <v/>
      </c>
      <c r="V1214" t="str">
        <f t="shared" si="351"/>
        <v/>
      </c>
      <c r="W1214" s="5" t="str">
        <f t="shared" si="352"/>
        <v/>
      </c>
      <c r="Y1214" t="str">
        <f t="shared" si="353"/>
        <v/>
      </c>
      <c r="Z1214" t="str">
        <f t="shared" si="354"/>
        <v/>
      </c>
      <c r="AB1214" t="str">
        <f t="shared" si="355"/>
        <v>https://shop.officineitalianezard.it/contents/imgs/products/1_831-sposrtstersport1.JPG</v>
      </c>
      <c r="AE1214" t="b">
        <v>0</v>
      </c>
    </row>
    <row r="1215" spans="1:31" x14ac:dyDescent="0.2">
      <c r="A1215" t="str">
        <f t="shared" si="342"/>
        <v>https://shop.officineitalianezard.it/en/products/index/zard-conical-full-kit-harley-davidson-sportster-7493-132/</v>
      </c>
      <c r="B1215" t="b">
        <f>COUNTIF($A$2:$A1215, A1215)&gt;1</f>
        <v>1</v>
      </c>
      <c r="C1215" t="b">
        <f t="shared" si="343"/>
        <v>0</v>
      </c>
      <c r="D1215">
        <f>VLOOKUP(A1215,variant_counts!A:B, 2, FALSE)</f>
        <v>3</v>
      </c>
      <c r="E1215" t="str">
        <f t="shared" si="356"/>
        <v>zard-exhaust-21-full-kit-harley-davidson-sportster-my-03-13-sport-version-zhd-539-skr</v>
      </c>
      <c r="F1215" t="str">
        <f t="shared" si="344"/>
        <v>ZARD EXHAUST 2&gt;1 FULL KIT HARLEY-DAVIDSON SPORTSTER M.Y. 03-13 SPORT VERSION ZHD 539 SKR</v>
      </c>
      <c r="G1215" t="str">
        <f t="shared" si="345"/>
        <v/>
      </c>
      <c r="H1215" t="str">
        <f t="shared" si="357"/>
        <v/>
      </c>
      <c r="I1215" t="str">
        <f t="shared" si="358"/>
        <v/>
      </c>
      <c r="J1215" t="str">
        <f t="shared" si="359"/>
        <v/>
      </c>
      <c r="K1215" t="str">
        <f t="shared" si="360"/>
        <v/>
      </c>
      <c r="L1215" t="str">
        <f t="shared" si="346"/>
        <v/>
      </c>
      <c r="M1215" t="str">
        <f t="shared" si="347"/>
        <v/>
      </c>
      <c r="R1215" t="str">
        <f t="shared" si="348"/>
        <v/>
      </c>
      <c r="S1215" t="str">
        <f t="shared" si="349"/>
        <v/>
      </c>
      <c r="U1215" t="str">
        <f t="shared" si="350"/>
        <v/>
      </c>
      <c r="V1215" t="str">
        <f t="shared" si="351"/>
        <v/>
      </c>
      <c r="W1215" s="5" t="str">
        <f t="shared" si="352"/>
        <v/>
      </c>
      <c r="Y1215" t="str">
        <f t="shared" si="353"/>
        <v/>
      </c>
      <c r="Z1215" t="str">
        <f t="shared" si="354"/>
        <v/>
      </c>
      <c r="AB1215" t="str">
        <f t="shared" si="355"/>
        <v>https://shop.officineitalianezard.it/contents/imgs/products/1_839-aggiunta3.jpg</v>
      </c>
      <c r="AE1215" t="b">
        <v>0</v>
      </c>
    </row>
    <row r="1216" spans="1:31" x14ac:dyDescent="0.2">
      <c r="A1216" t="str">
        <f t="shared" si="342"/>
        <v>https://shop.officineitalianezard.it/en/products/index/zard-conical-full-kit-harley-davidson-sportster-7493-132/</v>
      </c>
      <c r="B1216" t="b">
        <f>COUNTIF($A$2:$A1216, A1216)&gt;1</f>
        <v>1</v>
      </c>
      <c r="C1216" t="b">
        <f t="shared" si="343"/>
        <v>0</v>
      </c>
      <c r="D1216">
        <f>VLOOKUP(A1216,variant_counts!A:B, 2, FALSE)</f>
        <v>3</v>
      </c>
      <c r="E1216" t="str">
        <f t="shared" si="356"/>
        <v>zard-exhaust-21-full-kit-harley-davidson-sportster-my-03-13-sport-version-zhd-539-skr</v>
      </c>
      <c r="F1216" t="str">
        <f t="shared" si="344"/>
        <v>ZARD EXHAUST 2&gt;1 FULL KIT HARLEY-DAVIDSON SPORTSTER M.Y. 03-13 SPORT VERSION ZHD 539 SKR</v>
      </c>
      <c r="G1216" t="str">
        <f t="shared" si="345"/>
        <v/>
      </c>
      <c r="H1216" t="str">
        <f t="shared" si="357"/>
        <v/>
      </c>
      <c r="I1216" t="str">
        <f t="shared" si="358"/>
        <v/>
      </c>
      <c r="J1216" t="str">
        <f t="shared" si="359"/>
        <v/>
      </c>
      <c r="K1216" t="str">
        <f t="shared" si="360"/>
        <v/>
      </c>
      <c r="L1216" t="str">
        <f t="shared" si="346"/>
        <v/>
      </c>
      <c r="M1216" t="str">
        <f t="shared" si="347"/>
        <v/>
      </c>
      <c r="R1216" t="str">
        <f t="shared" si="348"/>
        <v/>
      </c>
      <c r="S1216" t="str">
        <f t="shared" si="349"/>
        <v/>
      </c>
      <c r="U1216" t="str">
        <f t="shared" si="350"/>
        <v/>
      </c>
      <c r="V1216" t="str">
        <f t="shared" si="351"/>
        <v/>
      </c>
      <c r="W1216" s="5" t="str">
        <f t="shared" si="352"/>
        <v/>
      </c>
      <c r="Y1216" t="str">
        <f t="shared" si="353"/>
        <v/>
      </c>
      <c r="Z1216" t="str">
        <f t="shared" si="354"/>
        <v/>
      </c>
      <c r="AB1216" t="str">
        <f t="shared" si="355"/>
        <v>https://shop.officineitalianezard.it/contents/imgs/products/1_840-aggiunta4.jpg</v>
      </c>
      <c r="AE1216" t="b">
        <v>0</v>
      </c>
    </row>
    <row r="1217" spans="1:31" x14ac:dyDescent="0.2">
      <c r="A1217" t="str">
        <f t="shared" si="342"/>
        <v>https://shop.officineitalianezard.it/en/products/index/zard-conical-full-kit-harley-davidson-sportster-7493-132/</v>
      </c>
      <c r="B1217" t="b">
        <f>COUNTIF($A$2:$A1217, A1217)&gt;1</f>
        <v>1</v>
      </c>
      <c r="C1217" t="b">
        <f t="shared" si="343"/>
        <v>1</v>
      </c>
      <c r="D1217">
        <f>VLOOKUP(A1217,variant_counts!A:B, 2, FALSE)</f>
        <v>3</v>
      </c>
      <c r="E1217" t="str">
        <f t="shared" si="356"/>
        <v>zard-exhaust-21-full-kit-harley-davidson-sportster-my-03-13-sport-version-zhd-539-skr</v>
      </c>
      <c r="F1217" t="str">
        <f t="shared" si="344"/>
        <v>ZARD EXHAUST 2&gt;1 FULL KIT HARLEY-DAVIDSON SPORTSTER M.Y. 03-13 SPORT VERSION ZHD 539 SKR</v>
      </c>
      <c r="G1217" t="str">
        <f t="shared" si="345"/>
        <v/>
      </c>
      <c r="H1217" t="str">
        <f t="shared" si="357"/>
        <v/>
      </c>
      <c r="I1217" t="str">
        <f t="shared" si="358"/>
        <v/>
      </c>
      <c r="J1217" t="str">
        <f t="shared" si="359"/>
        <v/>
      </c>
      <c r="K1217" t="str">
        <f t="shared" si="360"/>
        <v/>
      </c>
      <c r="L1217" t="str">
        <f t="shared" si="346"/>
        <v>Option</v>
      </c>
      <c r="M1217" t="str">
        <f t="shared" si="347"/>
        <v>EURO 3 HOMOLOGATED</v>
      </c>
      <c r="R1217" t="str">
        <f t="shared" si="348"/>
        <v>ZHD 539 SKR</v>
      </c>
      <c r="S1217">
        <f t="shared" si="349"/>
        <v>0</v>
      </c>
      <c r="U1217" t="str">
        <f t="shared" si="350"/>
        <v>continue</v>
      </c>
      <c r="V1217" t="str">
        <f t="shared" si="351"/>
        <v>manual</v>
      </c>
      <c r="W1217" s="5">
        <f t="shared" si="352"/>
        <v>911.28780000000006</v>
      </c>
      <c r="Y1217" t="b">
        <f t="shared" si="353"/>
        <v>1</v>
      </c>
      <c r="Z1217" t="b">
        <f t="shared" si="354"/>
        <v>0</v>
      </c>
      <c r="AB1217" t="str">
        <f t="shared" si="355"/>
        <v/>
      </c>
      <c r="AE1217" t="b">
        <v>0</v>
      </c>
    </row>
    <row r="1218" spans="1:31" x14ac:dyDescent="0.2">
      <c r="A1218" t="str">
        <f t="shared" ref="A1218:A1281" si="361">source_product_link_href</f>
        <v>https://shop.officineitalianezard.it/en/products/index/zard-conical-full-kit-harley-davidson-sportster-7493-132/</v>
      </c>
      <c r="B1218" t="b">
        <f>COUNTIF($A$2:$A1218, A1218)&gt;1</f>
        <v>1</v>
      </c>
      <c r="C1218" t="b">
        <f t="shared" ref="C1218:C1281" si="362">NOT(ISBLANK(source_option_name))</f>
        <v>1</v>
      </c>
      <c r="D1218">
        <f>VLOOKUP(A1218,variant_counts!A:B, 2, FALSE)</f>
        <v>3</v>
      </c>
      <c r="E1218" t="str">
        <f t="shared" si="356"/>
        <v>zard-exhaust-21-full-kit-harley-davidson-sportster-my-03-13-sport-version-zhd-539-skr</v>
      </c>
      <c r="F1218" t="str">
        <f t="shared" ref="F1218:F1281" si="363">UPPER("ZARD EXHAUST " &amp; source_title &amp; " " &amp; source_brand &amp; " " &amp; source_bike &amp; " " &amp; source_product_link &amp; " " &amp; source_sku)</f>
        <v>ZARD EXHAUST 2&gt;1 FULL KIT HARLEY-DAVIDSON SPORTSTER M.Y. 03-13 SPORT VERSION ZHD 539 SKR</v>
      </c>
      <c r="G1218" t="str">
        <f t="shared" ref="G1218:G1281" si="364">IF($B1218=FALSE, source_description, "")</f>
        <v/>
      </c>
      <c r="H1218" t="str">
        <f t="shared" si="357"/>
        <v/>
      </c>
      <c r="I1218" t="str">
        <f t="shared" si="358"/>
        <v/>
      </c>
      <c r="J1218" t="str">
        <f t="shared" si="359"/>
        <v/>
      </c>
      <c r="K1218" t="str">
        <f t="shared" si="360"/>
        <v/>
      </c>
      <c r="L1218" t="str">
        <f t="shared" ref="L1218:L1281" si="365">IF(AND(variant_count=0,duplicated=FALSE),"Title",IF(OR(AND(variant_count=1,duplicated=FALSE), source_option_name&lt;&gt;""), "Option", ""))</f>
        <v>Option</v>
      </c>
      <c r="M1218" t="str">
        <f t="shared" ref="M1218:M1281" si="366">IF(option1_name="Title", "Default Title", IF(AND(option1_name="Option",ISBLANK(source_option_name)),"DEFAULT",IF(ISBLANK(source_option_name), "", source_option_name)))</f>
        <v>BLACK COATING</v>
      </c>
      <c r="R1218" t="str">
        <f t="shared" ref="R1218:R1281" si="367">IF(option1_name &lt;&gt; "", source_sku, "")</f>
        <v>ZHD 539 SKR</v>
      </c>
      <c r="S1218">
        <f t="shared" ref="S1218:S1281" si="368">IF(option1_name &lt;&gt; "", 0, "")</f>
        <v>0</v>
      </c>
      <c r="U1218" t="str">
        <f t="shared" ref="U1218:U1281" si="369">IF(option1_name &lt;&gt; "", "continue", "")</f>
        <v>continue</v>
      </c>
      <c r="V1218" t="str">
        <f t="shared" ref="V1218:V1281" si="370">IF(option1_name &lt;&gt; "", "manual", "")</f>
        <v>manual</v>
      </c>
      <c r="W1218" s="5">
        <f t="shared" ref="W1218:W1281" si="371">IF(option1_name&lt;&gt;"",(source_price_original+source_option_price)*eur_usd,"")</f>
        <v>1055.4102</v>
      </c>
      <c r="Y1218" t="b">
        <f t="shared" ref="Y1218:Y1281" si="372">IF(option1_name&lt;&gt;"",TRUE,"")</f>
        <v>1</v>
      </c>
      <c r="Z1218" t="b">
        <f t="shared" ref="Z1218:Z1281" si="373">IF(option1_name&lt;&gt;"",FALSE,"")</f>
        <v>0</v>
      </c>
      <c r="AB1218" t="str">
        <f t="shared" ref="AB1218:AB1281" si="374">IF(ISBLANK(source_image), "", source_image)</f>
        <v/>
      </c>
      <c r="AE1218" t="b">
        <v>0</v>
      </c>
    </row>
    <row r="1219" spans="1:31" x14ac:dyDescent="0.2">
      <c r="A1219" t="str">
        <f t="shared" si="361"/>
        <v>https://shop.officineitalianezard.it/en/products/index/zard-conical-full-kit-harley-davidson-sportster-7493-132/</v>
      </c>
      <c r="B1219" t="b">
        <f>COUNTIF($A$2:$A1219, A1219)&gt;1</f>
        <v>1</v>
      </c>
      <c r="C1219" t="b">
        <f t="shared" si="362"/>
        <v>1</v>
      </c>
      <c r="D1219">
        <f>VLOOKUP(A1219,variant_counts!A:B, 2, FALSE)</f>
        <v>3</v>
      </c>
      <c r="E1219" t="str">
        <f t="shared" ref="E1219:E1282" si="375">FormatShopifyHandle(F1219)</f>
        <v>zard-exhaust-21-full-kit-harley-davidson-sportster-my-03-13-sport-version-zhd-539-skr</v>
      </c>
      <c r="F1219" t="str">
        <f t="shared" si="363"/>
        <v>ZARD EXHAUST 2&gt;1 FULL KIT HARLEY-DAVIDSON SPORTSTER M.Y. 03-13 SPORT VERSION ZHD 539 SKR</v>
      </c>
      <c r="G1219" t="str">
        <f t="shared" si="364"/>
        <v/>
      </c>
      <c r="H1219" t="str">
        <f t="shared" ref="H1219:H1282" si="376">IF($B1219=FALSE, "ZARD", "")</f>
        <v/>
      </c>
      <c r="I1219" t="str">
        <f t="shared" ref="I1219:I1282" si="377">IF($B1219=FALSE, "Exhaust Pipe", "")</f>
        <v/>
      </c>
      <c r="J1219" t="str">
        <f t="shared" ref="J1219:J1282" si="378">IF($B1219=FALSE, "Test", "")</f>
        <v/>
      </c>
      <c r="K1219" t="str">
        <f t="shared" ref="K1219:K1282" si="379">IF($B1219=FALSE, FALSE, "")</f>
        <v/>
      </c>
      <c r="L1219" t="str">
        <f t="shared" si="365"/>
        <v>Option</v>
      </c>
      <c r="M1219" t="str">
        <f t="shared" si="366"/>
        <v>MIRROR POLISHED</v>
      </c>
      <c r="R1219" t="str">
        <f t="shared" si="367"/>
        <v>ZHD 539 SKR</v>
      </c>
      <c r="S1219">
        <f t="shared" si="368"/>
        <v>0</v>
      </c>
      <c r="U1219" t="str">
        <f t="shared" si="369"/>
        <v>continue</v>
      </c>
      <c r="V1219" t="str">
        <f t="shared" si="370"/>
        <v>manual</v>
      </c>
      <c r="W1219" s="5">
        <f t="shared" si="371"/>
        <v>931.76729999999998</v>
      </c>
      <c r="Y1219" t="b">
        <f t="shared" si="372"/>
        <v>1</v>
      </c>
      <c r="Z1219" t="b">
        <f t="shared" si="373"/>
        <v>0</v>
      </c>
      <c r="AB1219" t="str">
        <f t="shared" si="374"/>
        <v/>
      </c>
      <c r="AE1219" t="b">
        <v>0</v>
      </c>
    </row>
    <row r="1220" spans="1:31" x14ac:dyDescent="0.2">
      <c r="A1220" t="str">
        <f t="shared" si="361"/>
        <v>https://shop.officineitalianezard.it/en/products/index/zard-conical-full-kit-harley-davidson-sportster-7492-132/</v>
      </c>
      <c r="B1220" t="b">
        <f>COUNTIF($A$2:$A1220, A1220)&gt;1</f>
        <v>0</v>
      </c>
      <c r="C1220" t="b">
        <f t="shared" si="362"/>
        <v>0</v>
      </c>
      <c r="D1220">
        <f>VLOOKUP(A1220,variant_counts!A:B, 2, FALSE)</f>
        <v>4</v>
      </c>
      <c r="E1220" t="str">
        <f t="shared" si="375"/>
        <v>zard-exhaust-21-full-kit-harley-davidson-sportster-my-03-13-conical-version-zhd-527-skr</v>
      </c>
      <c r="F1220" t="str">
        <f t="shared" si="363"/>
        <v>ZARD EXHAUST 2&gt;1 FULL KIT HARLEY-DAVIDSON SPORTSTER M.Y. 03-13 CONICAL VERSION ZHD 527 SKR</v>
      </c>
      <c r="G1220" t="str">
        <f t="shared" si="364"/>
        <v>&lt;p&gt;2&amp;gt;1 STEEL FULL KIT RACING WITH REMOVABLE DB KILLER&lt;/p&gt;
&lt;p&gt;MACHINED FROM SOLID ALUMINIUM END-CAP&lt;/p&gt;
&lt;p&gt;STEEL HEAT SHIELD&lt;/p&gt;
&lt;p&gt;HARD INCREASE, COMPARED TO THE ORIGINAL EXHAUST SYSTEM, IN TERMS OF TORQUE AND POWER AT ANY RANGE&lt;/p&gt;
&lt;p&gt;ASTONISHING SOUND&lt;/p&gt;
&lt;p&gt;COMPATIBLE WITH XL 883 / XL 1200 MODELS&lt;/p&gt;</v>
      </c>
      <c r="H1220" t="str">
        <f t="shared" si="376"/>
        <v>ZARD</v>
      </c>
      <c r="I1220" t="str">
        <f t="shared" si="377"/>
        <v>Exhaust Pipe</v>
      </c>
      <c r="J1220" t="str">
        <f t="shared" si="378"/>
        <v>Test</v>
      </c>
      <c r="K1220" t="b">
        <f t="shared" si="379"/>
        <v>0</v>
      </c>
      <c r="L1220" t="str">
        <f t="shared" si="365"/>
        <v/>
      </c>
      <c r="M1220" t="str">
        <f t="shared" si="366"/>
        <v/>
      </c>
      <c r="R1220" t="str">
        <f t="shared" si="367"/>
        <v/>
      </c>
      <c r="S1220" t="str">
        <f t="shared" si="368"/>
        <v/>
      </c>
      <c r="U1220" t="str">
        <f t="shared" si="369"/>
        <v/>
      </c>
      <c r="V1220" t="str">
        <f t="shared" si="370"/>
        <v/>
      </c>
      <c r="W1220" s="5" t="str">
        <f t="shared" si="371"/>
        <v/>
      </c>
      <c r="Y1220" t="str">
        <f t="shared" si="372"/>
        <v/>
      </c>
      <c r="Z1220" t="str">
        <f t="shared" si="373"/>
        <v/>
      </c>
      <c r="AB1220" t="str">
        <f t="shared" si="374"/>
        <v>https://shop.officineitalianezard.it/contents/imgs/products/1_823-FOTO%20MOTO%20EICMA%20063.jpg</v>
      </c>
      <c r="AE1220" t="b">
        <v>0</v>
      </c>
    </row>
    <row r="1221" spans="1:31" x14ac:dyDescent="0.2">
      <c r="A1221" t="str">
        <f t="shared" si="361"/>
        <v>https://shop.officineitalianezard.it/en/products/index/zard-conical-full-kit-harley-davidson-sportster-7492-132/</v>
      </c>
      <c r="B1221" t="b">
        <f>COUNTIF($A$2:$A1221, A1221)&gt;1</f>
        <v>1</v>
      </c>
      <c r="C1221" t="b">
        <f t="shared" si="362"/>
        <v>0</v>
      </c>
      <c r="D1221">
        <f>VLOOKUP(A1221,variant_counts!A:B, 2, FALSE)</f>
        <v>4</v>
      </c>
      <c r="E1221" t="str">
        <f t="shared" si="375"/>
        <v>zard-exhaust-21-full-kit-harley-davidson-sportster-my-03-13-conical-version-zhd-527-skr</v>
      </c>
      <c r="F1221" t="str">
        <f t="shared" si="363"/>
        <v>ZARD EXHAUST 2&gt;1 FULL KIT HARLEY-DAVIDSON SPORTSTER M.Y. 03-13 CONICAL VERSION ZHD 527 SKR</v>
      </c>
      <c r="G1221" t="str">
        <f t="shared" si="364"/>
        <v/>
      </c>
      <c r="H1221" t="str">
        <f t="shared" si="376"/>
        <v/>
      </c>
      <c r="I1221" t="str">
        <f t="shared" si="377"/>
        <v/>
      </c>
      <c r="J1221" t="str">
        <f t="shared" si="378"/>
        <v/>
      </c>
      <c r="K1221" t="str">
        <f t="shared" si="379"/>
        <v/>
      </c>
      <c r="L1221" t="str">
        <f t="shared" si="365"/>
        <v/>
      </c>
      <c r="M1221" t="str">
        <f t="shared" si="366"/>
        <v/>
      </c>
      <c r="R1221" t="str">
        <f t="shared" si="367"/>
        <v/>
      </c>
      <c r="S1221" t="str">
        <f t="shared" si="368"/>
        <v/>
      </c>
      <c r="U1221" t="str">
        <f t="shared" si="369"/>
        <v/>
      </c>
      <c r="V1221" t="str">
        <f t="shared" si="370"/>
        <v/>
      </c>
      <c r="W1221" s="5" t="str">
        <f t="shared" si="371"/>
        <v/>
      </c>
      <c r="Y1221" t="str">
        <f t="shared" si="372"/>
        <v/>
      </c>
      <c r="Z1221" t="str">
        <f t="shared" si="373"/>
        <v/>
      </c>
      <c r="AB1221" t="str">
        <f t="shared" si="374"/>
        <v>https://shop.officineitalianezard.it/contents/imgs/products/1_824-FOTO%20MOTO%20EICMA%20073.jpg</v>
      </c>
      <c r="AE1221" t="b">
        <v>0</v>
      </c>
    </row>
    <row r="1222" spans="1:31" x14ac:dyDescent="0.2">
      <c r="A1222" t="str">
        <f t="shared" si="361"/>
        <v>https://shop.officineitalianezard.it/en/products/index/zard-conical-full-kit-harley-davidson-sportster-7492-132/</v>
      </c>
      <c r="B1222" t="b">
        <f>COUNTIF($A$2:$A1222, A1222)&gt;1</f>
        <v>1</v>
      </c>
      <c r="C1222" t="b">
        <f t="shared" si="362"/>
        <v>0</v>
      </c>
      <c r="D1222">
        <f>VLOOKUP(A1222,variant_counts!A:B, 2, FALSE)</f>
        <v>4</v>
      </c>
      <c r="E1222" t="str">
        <f t="shared" si="375"/>
        <v>zard-exhaust-21-full-kit-harley-davidson-sportster-my-03-13-conical-version-zhd-527-skr</v>
      </c>
      <c r="F1222" t="str">
        <f t="shared" si="363"/>
        <v>ZARD EXHAUST 2&gt;1 FULL KIT HARLEY-DAVIDSON SPORTSTER M.Y. 03-13 CONICAL VERSION ZHD 527 SKR</v>
      </c>
      <c r="G1222" t="str">
        <f t="shared" si="364"/>
        <v/>
      </c>
      <c r="H1222" t="str">
        <f t="shared" si="376"/>
        <v/>
      </c>
      <c r="I1222" t="str">
        <f t="shared" si="377"/>
        <v/>
      </c>
      <c r="J1222" t="str">
        <f t="shared" si="378"/>
        <v/>
      </c>
      <c r="K1222" t="str">
        <f t="shared" si="379"/>
        <v/>
      </c>
      <c r="L1222" t="str">
        <f t="shared" si="365"/>
        <v/>
      </c>
      <c r="M1222" t="str">
        <f t="shared" si="366"/>
        <v/>
      </c>
      <c r="R1222" t="str">
        <f t="shared" si="367"/>
        <v/>
      </c>
      <c r="S1222" t="str">
        <f t="shared" si="368"/>
        <v/>
      </c>
      <c r="U1222" t="str">
        <f t="shared" si="369"/>
        <v/>
      </c>
      <c r="V1222" t="str">
        <f t="shared" si="370"/>
        <v/>
      </c>
      <c r="W1222" s="5" t="str">
        <f t="shared" si="371"/>
        <v/>
      </c>
      <c r="Y1222" t="str">
        <f t="shared" si="372"/>
        <v/>
      </c>
      <c r="Z1222" t="str">
        <f t="shared" si="373"/>
        <v/>
      </c>
      <c r="AB1222" t="str">
        <f t="shared" si="374"/>
        <v>https://shop.officineitalianezard.it/contents/imgs/products/1_825-FOTO%20MOTO%20EICMA%20081.jpg</v>
      </c>
      <c r="AE1222" t="b">
        <v>0</v>
      </c>
    </row>
    <row r="1223" spans="1:31" x14ac:dyDescent="0.2">
      <c r="A1223" t="str">
        <f t="shared" si="361"/>
        <v>https://shop.officineitalianezard.it/en/products/index/zard-conical-full-kit-harley-davidson-sportster-7492-132/</v>
      </c>
      <c r="B1223" t="b">
        <f>COUNTIF($A$2:$A1223, A1223)&gt;1</f>
        <v>1</v>
      </c>
      <c r="C1223" t="b">
        <f t="shared" si="362"/>
        <v>1</v>
      </c>
      <c r="D1223">
        <f>VLOOKUP(A1223,variant_counts!A:B, 2, FALSE)</f>
        <v>4</v>
      </c>
      <c r="E1223" t="str">
        <f t="shared" si="375"/>
        <v>zard-exhaust-21-full-kit-harley-davidson-sportster-my-03-13-conical-version-zhd-527-skr</v>
      </c>
      <c r="F1223" t="str">
        <f t="shared" si="363"/>
        <v>ZARD EXHAUST 2&gt;1 FULL KIT HARLEY-DAVIDSON SPORTSTER M.Y. 03-13 CONICAL VERSION ZHD 527 SKR</v>
      </c>
      <c r="G1223" t="str">
        <f t="shared" si="364"/>
        <v/>
      </c>
      <c r="H1223" t="str">
        <f t="shared" si="376"/>
        <v/>
      </c>
      <c r="I1223" t="str">
        <f t="shared" si="377"/>
        <v/>
      </c>
      <c r="J1223" t="str">
        <f t="shared" si="378"/>
        <v/>
      </c>
      <c r="K1223" t="str">
        <f t="shared" si="379"/>
        <v/>
      </c>
      <c r="L1223" t="str">
        <f t="shared" si="365"/>
        <v>Option</v>
      </c>
      <c r="M1223" t="str">
        <f t="shared" si="366"/>
        <v>EURO 3 HOMOLOGATED</v>
      </c>
      <c r="R1223" t="str">
        <f t="shared" si="367"/>
        <v>ZHD 527 SKR</v>
      </c>
      <c r="S1223">
        <f t="shared" si="368"/>
        <v>0</v>
      </c>
      <c r="U1223" t="str">
        <f t="shared" si="369"/>
        <v>continue</v>
      </c>
      <c r="V1223" t="str">
        <f t="shared" si="370"/>
        <v>manual</v>
      </c>
      <c r="W1223" s="5">
        <f t="shared" si="371"/>
        <v>911.28780000000006</v>
      </c>
      <c r="Y1223" t="b">
        <f t="shared" si="372"/>
        <v>1</v>
      </c>
      <c r="Z1223" t="b">
        <f t="shared" si="373"/>
        <v>0</v>
      </c>
      <c r="AB1223" t="str">
        <f t="shared" si="374"/>
        <v/>
      </c>
      <c r="AE1223" t="b">
        <v>0</v>
      </c>
    </row>
    <row r="1224" spans="1:31" x14ac:dyDescent="0.2">
      <c r="A1224" t="str">
        <f t="shared" si="361"/>
        <v>https://shop.officineitalianezard.it/en/products/index/zard-conical-full-kit-harley-davidson-sportster-7492-132/</v>
      </c>
      <c r="B1224" t="b">
        <f>COUNTIF($A$2:$A1224, A1224)&gt;1</f>
        <v>1</v>
      </c>
      <c r="C1224" t="b">
        <f t="shared" si="362"/>
        <v>1</v>
      </c>
      <c r="D1224">
        <f>VLOOKUP(A1224,variant_counts!A:B, 2, FALSE)</f>
        <v>4</v>
      </c>
      <c r="E1224" t="str">
        <f t="shared" si="375"/>
        <v>zard-exhaust-21-full-kit-harley-davidson-sportster-my-03-13-conical-version-zhd-527-skr</v>
      </c>
      <c r="F1224" t="str">
        <f t="shared" si="363"/>
        <v>ZARD EXHAUST 2&gt;1 FULL KIT HARLEY-DAVIDSON SPORTSTER M.Y. 03-13 CONICAL VERSION ZHD 527 SKR</v>
      </c>
      <c r="G1224" t="str">
        <f t="shared" si="364"/>
        <v/>
      </c>
      <c r="H1224" t="str">
        <f t="shared" si="376"/>
        <v/>
      </c>
      <c r="I1224" t="str">
        <f t="shared" si="377"/>
        <v/>
      </c>
      <c r="J1224" t="str">
        <f t="shared" si="378"/>
        <v/>
      </c>
      <c r="K1224" t="str">
        <f t="shared" si="379"/>
        <v/>
      </c>
      <c r="L1224" t="str">
        <f t="shared" si="365"/>
        <v>Option</v>
      </c>
      <c r="M1224" t="str">
        <f t="shared" si="366"/>
        <v>MIRROR POLISHED</v>
      </c>
      <c r="R1224" t="str">
        <f t="shared" si="367"/>
        <v>ZHD 527 SKR</v>
      </c>
      <c r="S1224">
        <f t="shared" si="368"/>
        <v>0</v>
      </c>
      <c r="U1224" t="str">
        <f t="shared" si="369"/>
        <v>continue</v>
      </c>
      <c r="V1224" t="str">
        <f t="shared" si="370"/>
        <v>manual</v>
      </c>
      <c r="W1224" s="5">
        <f t="shared" si="371"/>
        <v>931.76729999999998</v>
      </c>
      <c r="Y1224" t="b">
        <f t="shared" si="372"/>
        <v>1</v>
      </c>
      <c r="Z1224" t="b">
        <f t="shared" si="373"/>
        <v>0</v>
      </c>
      <c r="AB1224" t="str">
        <f t="shared" si="374"/>
        <v/>
      </c>
      <c r="AE1224" t="b">
        <v>0</v>
      </c>
    </row>
    <row r="1225" spans="1:31" x14ac:dyDescent="0.2">
      <c r="A1225" t="str">
        <f t="shared" si="361"/>
        <v>https://shop.officineitalianezard.it/en/products/index/zard-conical-full-kit-harley-davidson-sportster-7492-132/</v>
      </c>
      <c r="B1225" t="b">
        <f>COUNTIF($A$2:$A1225, A1225)&gt;1</f>
        <v>1</v>
      </c>
      <c r="C1225" t="b">
        <f t="shared" si="362"/>
        <v>1</v>
      </c>
      <c r="D1225">
        <f>VLOOKUP(A1225,variant_counts!A:B, 2, FALSE)</f>
        <v>4</v>
      </c>
      <c r="E1225" t="str">
        <f t="shared" si="375"/>
        <v>zard-exhaust-21-full-kit-harley-davidson-sportster-my-03-13-conical-version-zhd-527-skr</v>
      </c>
      <c r="F1225" t="str">
        <f t="shared" si="363"/>
        <v>ZARD EXHAUST 2&gt;1 FULL KIT HARLEY-DAVIDSON SPORTSTER M.Y. 03-13 CONICAL VERSION ZHD 527 SKR</v>
      </c>
      <c r="G1225" t="str">
        <f t="shared" si="364"/>
        <v/>
      </c>
      <c r="H1225" t="str">
        <f t="shared" si="376"/>
        <v/>
      </c>
      <c r="I1225" t="str">
        <f t="shared" si="377"/>
        <v/>
      </c>
      <c r="J1225" t="str">
        <f t="shared" si="378"/>
        <v/>
      </c>
      <c r="K1225" t="str">
        <f t="shared" si="379"/>
        <v/>
      </c>
      <c r="L1225" t="str">
        <f t="shared" si="365"/>
        <v>Option</v>
      </c>
      <c r="M1225" t="str">
        <f t="shared" si="366"/>
        <v>BLACK COATING</v>
      </c>
      <c r="R1225" t="str">
        <f t="shared" si="367"/>
        <v>ZHD 527 SKR</v>
      </c>
      <c r="S1225">
        <f t="shared" si="368"/>
        <v>0</v>
      </c>
      <c r="U1225" t="str">
        <f t="shared" si="369"/>
        <v>continue</v>
      </c>
      <c r="V1225" t="str">
        <f t="shared" si="370"/>
        <v>manual</v>
      </c>
      <c r="W1225" s="5">
        <f t="shared" si="371"/>
        <v>1055.4102</v>
      </c>
      <c r="Y1225" t="b">
        <f t="shared" si="372"/>
        <v>1</v>
      </c>
      <c r="Z1225" t="b">
        <f t="shared" si="373"/>
        <v>0</v>
      </c>
      <c r="AB1225" t="str">
        <f t="shared" si="374"/>
        <v/>
      </c>
      <c r="AE1225" t="b">
        <v>0</v>
      </c>
    </row>
    <row r="1226" spans="1:31" x14ac:dyDescent="0.2">
      <c r="A1226" t="str">
        <f t="shared" si="361"/>
        <v>https://shop.officineitalianezard.it/en/products/index/zard-conical-full-kit-harley-davidson-sportster-7492-132/</v>
      </c>
      <c r="B1226" t="b">
        <f>COUNTIF($A$2:$A1226, A1226)&gt;1</f>
        <v>1</v>
      </c>
      <c r="C1226" t="b">
        <f t="shared" si="362"/>
        <v>1</v>
      </c>
      <c r="D1226">
        <f>VLOOKUP(A1226,variant_counts!A:B, 2, FALSE)</f>
        <v>4</v>
      </c>
      <c r="E1226" t="str">
        <f t="shared" si="375"/>
        <v>zard-exhaust-21-full-kit-harley-davidson-sportster-my-03-13-conical-version-zhd-527-skr</v>
      </c>
      <c r="F1226" t="str">
        <f t="shared" si="363"/>
        <v>ZARD EXHAUST 2&gt;1 FULL KIT HARLEY-DAVIDSON SPORTSTER M.Y. 03-13 CONICAL VERSION ZHD 527 SKR</v>
      </c>
      <c r="G1226" t="str">
        <f t="shared" si="364"/>
        <v/>
      </c>
      <c r="H1226" t="str">
        <f t="shared" si="376"/>
        <v/>
      </c>
      <c r="I1226" t="str">
        <f t="shared" si="377"/>
        <v/>
      </c>
      <c r="J1226" t="str">
        <f t="shared" si="378"/>
        <v/>
      </c>
      <c r="K1226" t="str">
        <f t="shared" si="379"/>
        <v/>
      </c>
      <c r="L1226" t="str">
        <f t="shared" si="365"/>
        <v>Option</v>
      </c>
      <c r="M1226" t="str">
        <f t="shared" si="366"/>
        <v>SILVER AND BLACK ENDCAP</v>
      </c>
      <c r="R1226" t="str">
        <f t="shared" si="367"/>
        <v>ZHD 527 SKR</v>
      </c>
      <c r="S1226">
        <f t="shared" si="368"/>
        <v>0</v>
      </c>
      <c r="U1226" t="str">
        <f t="shared" si="369"/>
        <v>continue</v>
      </c>
      <c r="V1226" t="str">
        <f t="shared" si="370"/>
        <v>manual</v>
      </c>
      <c r="W1226" s="5">
        <f t="shared" si="371"/>
        <v>942.4122000000001</v>
      </c>
      <c r="Y1226" t="b">
        <f t="shared" si="372"/>
        <v>1</v>
      </c>
      <c r="Z1226" t="b">
        <f t="shared" si="373"/>
        <v>0</v>
      </c>
      <c r="AB1226" t="str">
        <f t="shared" si="374"/>
        <v/>
      </c>
      <c r="AE1226" t="b">
        <v>0</v>
      </c>
    </row>
    <row r="1227" spans="1:31" x14ac:dyDescent="0.2">
      <c r="A1227" t="str">
        <f t="shared" si="361"/>
        <v>https://shop.officineitalianezard.it/en/2-1-full-kit-steel-carbon-zard-harley-davidson-xr-1200/</v>
      </c>
      <c r="B1227" t="b">
        <f>COUNTIF($A$2:$A1227, A1227)&gt;1</f>
        <v>0</v>
      </c>
      <c r="C1227" t="b">
        <f t="shared" si="362"/>
        <v>0</v>
      </c>
      <c r="D1227">
        <f>VLOOKUP(A1227,variant_counts!A:B, 2, FALSE)</f>
        <v>8</v>
      </c>
      <c r="E1227" t="str">
        <f t="shared" si="375"/>
        <v>zard-exhaust-full-kit-harley-davidson-xr-1200-21-version-zhd-513-skr-t</v>
      </c>
      <c r="F1227" t="str">
        <f t="shared" si="363"/>
        <v>ZARD EXHAUST FULL KIT HARLEY-DAVIDSON XR 1200 2&gt;1 VERSION ZHD 513 SKR-T</v>
      </c>
      <c r="G1227" t="str">
        <f t="shared" si="364"/>
        <v>&lt;p&gt;2&amp;gt;1 FULL KIT STEEL-TITANIUM RACING WITH REMOVABLE DB KILLER&lt;/p&gt;
&lt;p&gt;ZARD TITANIUM FULL KIT WEIGHT: 3.4 KG&lt;br&gt;ZARD STEEL FULL KIT WEIGHT: 4.4 KG&lt;/p&gt;
&lt;p&gt;THE MUFFLER IS ALSO AVAILABLE IN STEEL VERSION&lt;/p&gt;
&lt;p&gt;HARD INCREASE, COMPARED TO THE ORIGINAL EXHAUST SYSTEM, IN TERMS OF TORQUE AND POWER AT ANY RANGE&lt;/p&gt;
&lt;p&gt;ASTONISHING SOUND&lt;/p&gt;</v>
      </c>
      <c r="H1227" t="str">
        <f t="shared" si="376"/>
        <v>ZARD</v>
      </c>
      <c r="I1227" t="str">
        <f t="shared" si="377"/>
        <v>Exhaust Pipe</v>
      </c>
      <c r="J1227" t="str">
        <f t="shared" si="378"/>
        <v>Test</v>
      </c>
      <c r="K1227" t="b">
        <f t="shared" si="379"/>
        <v>0</v>
      </c>
      <c r="L1227" t="str">
        <f t="shared" si="365"/>
        <v/>
      </c>
      <c r="M1227" t="str">
        <f t="shared" si="366"/>
        <v/>
      </c>
      <c r="R1227" t="str">
        <f t="shared" si="367"/>
        <v/>
      </c>
      <c r="S1227" t="str">
        <f t="shared" si="368"/>
        <v/>
      </c>
      <c r="U1227" t="str">
        <f t="shared" si="369"/>
        <v/>
      </c>
      <c r="V1227" t="str">
        <f t="shared" si="370"/>
        <v/>
      </c>
      <c r="W1227" s="5" t="str">
        <f t="shared" si="371"/>
        <v/>
      </c>
      <c r="Y1227" t="str">
        <f t="shared" si="372"/>
        <v/>
      </c>
      <c r="Z1227" t="str">
        <f t="shared" si="373"/>
        <v/>
      </c>
      <c r="AB1227" t="str">
        <f t="shared" si="374"/>
        <v>https://shop.officineitalianezard.it/contents/imgs/products/1_815-HARLEY%20XR1200%20006.jpg</v>
      </c>
      <c r="AE1227" t="b">
        <v>0</v>
      </c>
    </row>
    <row r="1228" spans="1:31" x14ac:dyDescent="0.2">
      <c r="A1228" t="str">
        <f t="shared" si="361"/>
        <v>https://shop.officineitalianezard.it/en/2-1-full-kit-steel-carbon-zard-harley-davidson-xr-1200/</v>
      </c>
      <c r="B1228" t="b">
        <f>COUNTIF($A$2:$A1228, A1228)&gt;1</f>
        <v>1</v>
      </c>
      <c r="C1228" t="b">
        <f t="shared" si="362"/>
        <v>0</v>
      </c>
      <c r="D1228">
        <f>VLOOKUP(A1228,variant_counts!A:B, 2, FALSE)</f>
        <v>8</v>
      </c>
      <c r="E1228" t="str">
        <f t="shared" si="375"/>
        <v>zard-exhaust-full-kit-harley-davidson-xr-1200-21-version-zhd-513-skr-t</v>
      </c>
      <c r="F1228" t="str">
        <f t="shared" si="363"/>
        <v>ZARD EXHAUST FULL KIT HARLEY-DAVIDSON XR 1200 2&gt;1 VERSION ZHD 513 SKR-T</v>
      </c>
      <c r="G1228" t="str">
        <f t="shared" si="364"/>
        <v/>
      </c>
      <c r="H1228" t="str">
        <f t="shared" si="376"/>
        <v/>
      </c>
      <c r="I1228" t="str">
        <f t="shared" si="377"/>
        <v/>
      </c>
      <c r="J1228" t="str">
        <f t="shared" si="378"/>
        <v/>
      </c>
      <c r="K1228" t="str">
        <f t="shared" si="379"/>
        <v/>
      </c>
      <c r="L1228" t="str">
        <f t="shared" si="365"/>
        <v/>
      </c>
      <c r="M1228" t="str">
        <f t="shared" si="366"/>
        <v/>
      </c>
      <c r="R1228" t="str">
        <f t="shared" si="367"/>
        <v/>
      </c>
      <c r="S1228" t="str">
        <f t="shared" si="368"/>
        <v/>
      </c>
      <c r="U1228" t="str">
        <f t="shared" si="369"/>
        <v/>
      </c>
      <c r="V1228" t="str">
        <f t="shared" si="370"/>
        <v/>
      </c>
      <c r="W1228" s="5" t="str">
        <f t="shared" si="371"/>
        <v/>
      </c>
      <c r="Y1228" t="str">
        <f t="shared" si="372"/>
        <v/>
      </c>
      <c r="Z1228" t="str">
        <f t="shared" si="373"/>
        <v/>
      </c>
      <c r="AB1228" t="str">
        <f t="shared" si="374"/>
        <v>https://shop.officineitalianezard.it/contents/imgs/products/1_813-HARLEY%20DAVIDSON%20XR1200%20010.jpg</v>
      </c>
      <c r="AE1228" t="b">
        <v>0</v>
      </c>
    </row>
    <row r="1229" spans="1:31" x14ac:dyDescent="0.2">
      <c r="A1229" t="str">
        <f t="shared" si="361"/>
        <v>https://shop.officineitalianezard.it/en/2-1-full-kit-steel-carbon-zard-harley-davidson-xr-1200/</v>
      </c>
      <c r="B1229" t="b">
        <f>COUNTIF($A$2:$A1229, A1229)&gt;1</f>
        <v>1</v>
      </c>
      <c r="C1229" t="b">
        <f t="shared" si="362"/>
        <v>0</v>
      </c>
      <c r="D1229">
        <f>VLOOKUP(A1229,variant_counts!A:B, 2, FALSE)</f>
        <v>8</v>
      </c>
      <c r="E1229" t="str">
        <f t="shared" si="375"/>
        <v>zard-exhaust-full-kit-harley-davidson-xr-1200-21-version-zhd-513-skr-t</v>
      </c>
      <c r="F1229" t="str">
        <f t="shared" si="363"/>
        <v>ZARD EXHAUST FULL KIT HARLEY-DAVIDSON XR 1200 2&gt;1 VERSION ZHD 513 SKR-T</v>
      </c>
      <c r="G1229" t="str">
        <f t="shared" si="364"/>
        <v/>
      </c>
      <c r="H1229" t="str">
        <f t="shared" si="376"/>
        <v/>
      </c>
      <c r="I1229" t="str">
        <f t="shared" si="377"/>
        <v/>
      </c>
      <c r="J1229" t="str">
        <f t="shared" si="378"/>
        <v/>
      </c>
      <c r="K1229" t="str">
        <f t="shared" si="379"/>
        <v/>
      </c>
      <c r="L1229" t="str">
        <f t="shared" si="365"/>
        <v/>
      </c>
      <c r="M1229" t="str">
        <f t="shared" si="366"/>
        <v/>
      </c>
      <c r="R1229" t="str">
        <f t="shared" si="367"/>
        <v/>
      </c>
      <c r="S1229" t="str">
        <f t="shared" si="368"/>
        <v/>
      </c>
      <c r="U1229" t="str">
        <f t="shared" si="369"/>
        <v/>
      </c>
      <c r="V1229" t="str">
        <f t="shared" si="370"/>
        <v/>
      </c>
      <c r="W1229" s="5" t="str">
        <f t="shared" si="371"/>
        <v/>
      </c>
      <c r="Y1229" t="str">
        <f t="shared" si="372"/>
        <v/>
      </c>
      <c r="Z1229" t="str">
        <f t="shared" si="373"/>
        <v/>
      </c>
      <c r="AB1229" t="str">
        <f t="shared" si="374"/>
        <v>https://shop.officineitalianezard.it/contents/imgs/products/1_814-HARLEY%20DAVIDSON%20XR1200%20002.jpg</v>
      </c>
      <c r="AE1229" t="b">
        <v>0</v>
      </c>
    </row>
    <row r="1230" spans="1:31" x14ac:dyDescent="0.2">
      <c r="A1230" t="str">
        <f t="shared" si="361"/>
        <v>https://shop.officineitalianezard.it/en/2-1-full-kit-steel-carbon-zard-harley-davidson-xr-1200/</v>
      </c>
      <c r="B1230" t="b">
        <f>COUNTIF($A$2:$A1230, A1230)&gt;1</f>
        <v>1</v>
      </c>
      <c r="C1230" t="b">
        <f t="shared" si="362"/>
        <v>0</v>
      </c>
      <c r="D1230">
        <f>VLOOKUP(A1230,variant_counts!A:B, 2, FALSE)</f>
        <v>8</v>
      </c>
      <c r="E1230" t="str">
        <f t="shared" si="375"/>
        <v>zard-exhaust-full-kit-harley-davidson-xr-1200-21-version-zhd-513-skr-t</v>
      </c>
      <c r="F1230" t="str">
        <f t="shared" si="363"/>
        <v>ZARD EXHAUST FULL KIT HARLEY-DAVIDSON XR 1200 2&gt;1 VERSION ZHD 513 SKR-T</v>
      </c>
      <c r="G1230" t="str">
        <f t="shared" si="364"/>
        <v/>
      </c>
      <c r="H1230" t="str">
        <f t="shared" si="376"/>
        <v/>
      </c>
      <c r="I1230" t="str">
        <f t="shared" si="377"/>
        <v/>
      </c>
      <c r="J1230" t="str">
        <f t="shared" si="378"/>
        <v/>
      </c>
      <c r="K1230" t="str">
        <f t="shared" si="379"/>
        <v/>
      </c>
      <c r="L1230" t="str">
        <f t="shared" si="365"/>
        <v/>
      </c>
      <c r="M1230" t="str">
        <f t="shared" si="366"/>
        <v/>
      </c>
      <c r="R1230" t="str">
        <f t="shared" si="367"/>
        <v/>
      </c>
      <c r="S1230" t="str">
        <f t="shared" si="368"/>
        <v/>
      </c>
      <c r="U1230" t="str">
        <f t="shared" si="369"/>
        <v/>
      </c>
      <c r="V1230" t="str">
        <f t="shared" si="370"/>
        <v/>
      </c>
      <c r="W1230" s="5" t="str">
        <f t="shared" si="371"/>
        <v/>
      </c>
      <c r="Y1230" t="str">
        <f t="shared" si="372"/>
        <v/>
      </c>
      <c r="Z1230" t="str">
        <f t="shared" si="373"/>
        <v/>
      </c>
      <c r="AB1230" t="str">
        <f t="shared" si="374"/>
        <v>https://shop.officineitalianezard.it/contents/imgs/products/1_812-IMG_08712.JPG</v>
      </c>
      <c r="AE1230" t="b">
        <v>0</v>
      </c>
    </row>
    <row r="1231" spans="1:31" x14ac:dyDescent="0.2">
      <c r="A1231" t="str">
        <f t="shared" si="361"/>
        <v>https://shop.officineitalianezard.it/en/2-1-full-kit-steel-carbon-zard-harley-davidson-xr-1200/</v>
      </c>
      <c r="B1231" t="b">
        <f>COUNTIF($A$2:$A1231, A1231)&gt;1</f>
        <v>1</v>
      </c>
      <c r="C1231" t="b">
        <f t="shared" si="362"/>
        <v>0</v>
      </c>
      <c r="D1231">
        <f>VLOOKUP(A1231,variant_counts!A:B, 2, FALSE)</f>
        <v>8</v>
      </c>
      <c r="E1231" t="str">
        <f t="shared" si="375"/>
        <v>zard-exhaust-full-kit-harley-davidson-xr-1200-21-version-zhd-513-skr-t</v>
      </c>
      <c r="F1231" t="str">
        <f t="shared" si="363"/>
        <v>ZARD EXHAUST FULL KIT HARLEY-DAVIDSON XR 1200 2&gt;1 VERSION ZHD 513 SKR-T</v>
      </c>
      <c r="G1231" t="str">
        <f t="shared" si="364"/>
        <v/>
      </c>
      <c r="H1231" t="str">
        <f t="shared" si="376"/>
        <v/>
      </c>
      <c r="I1231" t="str">
        <f t="shared" si="377"/>
        <v/>
      </c>
      <c r="J1231" t="str">
        <f t="shared" si="378"/>
        <v/>
      </c>
      <c r="K1231" t="str">
        <f t="shared" si="379"/>
        <v/>
      </c>
      <c r="L1231" t="str">
        <f t="shared" si="365"/>
        <v/>
      </c>
      <c r="M1231" t="str">
        <f t="shared" si="366"/>
        <v/>
      </c>
      <c r="R1231" t="str">
        <f t="shared" si="367"/>
        <v/>
      </c>
      <c r="S1231" t="str">
        <f t="shared" si="368"/>
        <v/>
      </c>
      <c r="U1231" t="str">
        <f t="shared" si="369"/>
        <v/>
      </c>
      <c r="V1231" t="str">
        <f t="shared" si="370"/>
        <v/>
      </c>
      <c r="W1231" s="5" t="str">
        <f t="shared" si="371"/>
        <v/>
      </c>
      <c r="Y1231" t="str">
        <f t="shared" si="372"/>
        <v/>
      </c>
      <c r="Z1231" t="str">
        <f t="shared" si="373"/>
        <v/>
      </c>
      <c r="AB1231" t="str">
        <f t="shared" si="374"/>
        <v>https://shop.officineitalianezard.it/contents/imgs/products/1_2182-harley-xr1200-zard-exhaust.jpg</v>
      </c>
      <c r="AE1231" t="b">
        <v>0</v>
      </c>
    </row>
    <row r="1232" spans="1:31" x14ac:dyDescent="0.2">
      <c r="A1232" t="str">
        <f t="shared" si="361"/>
        <v>https://shop.officineitalianezard.it/en/2-1-full-kit-steel-carbon-zard-harley-davidson-xr-1200/</v>
      </c>
      <c r="B1232" t="b">
        <f>COUNTIF($A$2:$A1232, A1232)&gt;1</f>
        <v>1</v>
      </c>
      <c r="C1232" t="b">
        <f t="shared" si="362"/>
        <v>1</v>
      </c>
      <c r="D1232">
        <f>VLOOKUP(A1232,variant_counts!A:B, 2, FALSE)</f>
        <v>8</v>
      </c>
      <c r="E1232" t="str">
        <f t="shared" si="375"/>
        <v>zard-exhaust-full-kit-harley-davidson-xr-1200-21-version-zhd-513-skr-t</v>
      </c>
      <c r="F1232" t="str">
        <f t="shared" si="363"/>
        <v>ZARD EXHAUST FULL KIT HARLEY-DAVIDSON XR 1200 2&gt;1 VERSION ZHD 513 SKR-T</v>
      </c>
      <c r="G1232" t="str">
        <f t="shared" si="364"/>
        <v/>
      </c>
      <c r="H1232" t="str">
        <f t="shared" si="376"/>
        <v/>
      </c>
      <c r="I1232" t="str">
        <f t="shared" si="377"/>
        <v/>
      </c>
      <c r="J1232" t="str">
        <f t="shared" si="378"/>
        <v/>
      </c>
      <c r="K1232" t="str">
        <f t="shared" si="379"/>
        <v/>
      </c>
      <c r="L1232" t="str">
        <f t="shared" si="365"/>
        <v>Option</v>
      </c>
      <c r="M1232" t="str">
        <f t="shared" si="366"/>
        <v>HEADER KIT STEEL RACING + SIL. CARB RACING</v>
      </c>
      <c r="R1232" t="str">
        <f t="shared" si="367"/>
        <v>ZHD 513 SKR-T</v>
      </c>
      <c r="S1232">
        <f t="shared" si="368"/>
        <v>0</v>
      </c>
      <c r="U1232" t="str">
        <f t="shared" si="369"/>
        <v>continue</v>
      </c>
      <c r="V1232" t="str">
        <f t="shared" si="370"/>
        <v>manual</v>
      </c>
      <c r="W1232" s="5">
        <f t="shared" si="371"/>
        <v>1461.1929000000002</v>
      </c>
      <c r="Y1232" t="b">
        <f t="shared" si="372"/>
        <v>1</v>
      </c>
      <c r="Z1232" t="b">
        <f t="shared" si="373"/>
        <v>0</v>
      </c>
      <c r="AB1232" t="str">
        <f t="shared" si="374"/>
        <v/>
      </c>
      <c r="AE1232" t="b">
        <v>0</v>
      </c>
    </row>
    <row r="1233" spans="1:31" x14ac:dyDescent="0.2">
      <c r="A1233" t="str">
        <f t="shared" si="361"/>
        <v>https://shop.officineitalianezard.it/en/2-1-full-kit-steel-carbon-zard-harley-davidson-xr-1200/</v>
      </c>
      <c r="B1233" t="b">
        <f>COUNTIF($A$2:$A1233, A1233)&gt;1</f>
        <v>1</v>
      </c>
      <c r="C1233" t="b">
        <f t="shared" si="362"/>
        <v>1</v>
      </c>
      <c r="D1233">
        <f>VLOOKUP(A1233,variant_counts!A:B, 2, FALSE)</f>
        <v>8</v>
      </c>
      <c r="E1233" t="str">
        <f t="shared" si="375"/>
        <v>zard-exhaust-full-kit-harley-davidson-xr-1200-21-version-zhd-513-skr-t</v>
      </c>
      <c r="F1233" t="str">
        <f t="shared" si="363"/>
        <v>ZARD EXHAUST FULL KIT HARLEY-DAVIDSON XR 1200 2&gt;1 VERSION ZHD 513 SKR-T</v>
      </c>
      <c r="G1233" t="str">
        <f t="shared" si="364"/>
        <v/>
      </c>
      <c r="H1233" t="str">
        <f t="shared" si="376"/>
        <v/>
      </c>
      <c r="I1233" t="str">
        <f t="shared" si="377"/>
        <v/>
      </c>
      <c r="J1233" t="str">
        <f t="shared" si="378"/>
        <v/>
      </c>
      <c r="K1233" t="str">
        <f t="shared" si="379"/>
        <v/>
      </c>
      <c r="L1233" t="str">
        <f t="shared" si="365"/>
        <v>Option</v>
      </c>
      <c r="M1233" t="str">
        <f t="shared" si="366"/>
        <v>HEADER KIT STEEL RACING + SIL. TITANIUM HOM.</v>
      </c>
      <c r="R1233" t="str">
        <f t="shared" si="367"/>
        <v>ZHD 513 SKR-T</v>
      </c>
      <c r="S1233">
        <f t="shared" si="368"/>
        <v>0</v>
      </c>
      <c r="U1233" t="str">
        <f t="shared" si="369"/>
        <v>continue</v>
      </c>
      <c r="V1233" t="str">
        <f t="shared" si="370"/>
        <v>manual</v>
      </c>
      <c r="W1233" s="5">
        <f t="shared" si="371"/>
        <v>1669.9950000000001</v>
      </c>
      <c r="Y1233" t="b">
        <f t="shared" si="372"/>
        <v>1</v>
      </c>
      <c r="Z1233" t="b">
        <f t="shared" si="373"/>
        <v>0</v>
      </c>
      <c r="AB1233" t="str">
        <f t="shared" si="374"/>
        <v/>
      </c>
      <c r="AE1233" t="b">
        <v>0</v>
      </c>
    </row>
    <row r="1234" spans="1:31" x14ac:dyDescent="0.2">
      <c r="A1234" t="str">
        <f t="shared" si="361"/>
        <v>https://shop.officineitalianezard.it/en/2-1-full-kit-steel-carbon-zard-harley-davidson-xr-1200/</v>
      </c>
      <c r="B1234" t="b">
        <f>COUNTIF($A$2:$A1234, A1234)&gt;1</f>
        <v>1</v>
      </c>
      <c r="C1234" t="b">
        <f t="shared" si="362"/>
        <v>1</v>
      </c>
      <c r="D1234">
        <f>VLOOKUP(A1234,variant_counts!A:B, 2, FALSE)</f>
        <v>8</v>
      </c>
      <c r="E1234" t="str">
        <f t="shared" si="375"/>
        <v>zard-exhaust-full-kit-harley-davidson-xr-1200-21-version-zhd-513-skr-t</v>
      </c>
      <c r="F1234" t="str">
        <f t="shared" si="363"/>
        <v>ZARD EXHAUST FULL KIT HARLEY-DAVIDSON XR 1200 2&gt;1 VERSION ZHD 513 SKR-T</v>
      </c>
      <c r="G1234" t="str">
        <f t="shared" si="364"/>
        <v/>
      </c>
      <c r="H1234" t="str">
        <f t="shared" si="376"/>
        <v/>
      </c>
      <c r="I1234" t="str">
        <f t="shared" si="377"/>
        <v/>
      </c>
      <c r="J1234" t="str">
        <f t="shared" si="378"/>
        <v/>
      </c>
      <c r="K1234" t="str">
        <f t="shared" si="379"/>
        <v/>
      </c>
      <c r="L1234" t="str">
        <f t="shared" si="365"/>
        <v>Option</v>
      </c>
      <c r="M1234" t="str">
        <f t="shared" si="366"/>
        <v>HEADER KIT STEEL RACING + SIL. CARB. HOM.</v>
      </c>
      <c r="R1234" t="str">
        <f t="shared" si="367"/>
        <v>ZHD 513 SKR-T</v>
      </c>
      <c r="S1234">
        <f t="shared" si="368"/>
        <v>0</v>
      </c>
      <c r="U1234" t="str">
        <f t="shared" si="369"/>
        <v>continue</v>
      </c>
      <c r="V1234" t="str">
        <f t="shared" si="370"/>
        <v>manual</v>
      </c>
      <c r="W1234" s="5">
        <f t="shared" si="371"/>
        <v>1669.9950000000001</v>
      </c>
      <c r="Y1234" t="b">
        <f t="shared" si="372"/>
        <v>1</v>
      </c>
      <c r="Z1234" t="b">
        <f t="shared" si="373"/>
        <v>0</v>
      </c>
      <c r="AB1234" t="str">
        <f t="shared" si="374"/>
        <v/>
      </c>
      <c r="AE1234" t="b">
        <v>0</v>
      </c>
    </row>
    <row r="1235" spans="1:31" x14ac:dyDescent="0.2">
      <c r="A1235" t="str">
        <f t="shared" si="361"/>
        <v>https://shop.officineitalianezard.it/en/2-1-full-kit-steel-carbon-zard-harley-davidson-xr-1200/</v>
      </c>
      <c r="B1235" t="b">
        <f>COUNTIF($A$2:$A1235, A1235)&gt;1</f>
        <v>1</v>
      </c>
      <c r="C1235" t="b">
        <f t="shared" si="362"/>
        <v>1</v>
      </c>
      <c r="D1235">
        <f>VLOOKUP(A1235,variant_counts!A:B, 2, FALSE)</f>
        <v>8</v>
      </c>
      <c r="E1235" t="str">
        <f t="shared" si="375"/>
        <v>zard-exhaust-full-kit-harley-davidson-xr-1200-21-version-zhd-513-skr-t</v>
      </c>
      <c r="F1235" t="str">
        <f t="shared" si="363"/>
        <v>ZARD EXHAUST FULL KIT HARLEY-DAVIDSON XR 1200 2&gt;1 VERSION ZHD 513 SKR-T</v>
      </c>
      <c r="G1235" t="str">
        <f t="shared" si="364"/>
        <v/>
      </c>
      <c r="H1235" t="str">
        <f t="shared" si="376"/>
        <v/>
      </c>
      <c r="I1235" t="str">
        <f t="shared" si="377"/>
        <v/>
      </c>
      <c r="J1235" t="str">
        <f t="shared" si="378"/>
        <v/>
      </c>
      <c r="K1235" t="str">
        <f t="shared" si="379"/>
        <v/>
      </c>
      <c r="L1235" t="str">
        <f t="shared" si="365"/>
        <v>Option</v>
      </c>
      <c r="M1235" t="str">
        <f t="shared" si="366"/>
        <v>HEADER KIT TIT. RACING + SIL. TIT. RACING</v>
      </c>
      <c r="R1235" t="str">
        <f t="shared" si="367"/>
        <v>ZHD 513 SKR-T</v>
      </c>
      <c r="S1235">
        <f t="shared" si="368"/>
        <v>0</v>
      </c>
      <c r="U1235" t="str">
        <f t="shared" si="369"/>
        <v>continue</v>
      </c>
      <c r="V1235" t="str">
        <f t="shared" si="370"/>
        <v>manual</v>
      </c>
      <c r="W1235" s="5">
        <f t="shared" si="371"/>
        <v>2004.9153000000001</v>
      </c>
      <c r="Y1235" t="b">
        <f t="shared" si="372"/>
        <v>1</v>
      </c>
      <c r="Z1235" t="b">
        <f t="shared" si="373"/>
        <v>0</v>
      </c>
      <c r="AB1235" t="str">
        <f t="shared" si="374"/>
        <v/>
      </c>
      <c r="AE1235" t="b">
        <v>0</v>
      </c>
    </row>
    <row r="1236" spans="1:31" x14ac:dyDescent="0.2">
      <c r="A1236" t="str">
        <f t="shared" si="361"/>
        <v>https://shop.officineitalianezard.it/en/2-1-full-kit-steel-carbon-zard-harley-davidson-xr-1200/</v>
      </c>
      <c r="B1236" t="b">
        <f>COUNTIF($A$2:$A1236, A1236)&gt;1</f>
        <v>1</v>
      </c>
      <c r="C1236" t="b">
        <f t="shared" si="362"/>
        <v>1</v>
      </c>
      <c r="D1236">
        <f>VLOOKUP(A1236,variant_counts!A:B, 2, FALSE)</f>
        <v>8</v>
      </c>
      <c r="E1236" t="str">
        <f t="shared" si="375"/>
        <v>zard-exhaust-full-kit-harley-davidson-xr-1200-21-version-zhd-513-skr-t</v>
      </c>
      <c r="F1236" t="str">
        <f t="shared" si="363"/>
        <v>ZARD EXHAUST FULL KIT HARLEY-DAVIDSON XR 1200 2&gt;1 VERSION ZHD 513 SKR-T</v>
      </c>
      <c r="G1236" t="str">
        <f t="shared" si="364"/>
        <v/>
      </c>
      <c r="H1236" t="str">
        <f t="shared" si="376"/>
        <v/>
      </c>
      <c r="I1236" t="str">
        <f t="shared" si="377"/>
        <v/>
      </c>
      <c r="J1236" t="str">
        <f t="shared" si="378"/>
        <v/>
      </c>
      <c r="K1236" t="str">
        <f t="shared" si="379"/>
        <v/>
      </c>
      <c r="L1236" t="str">
        <f t="shared" si="365"/>
        <v>Option</v>
      </c>
      <c r="M1236" t="str">
        <f t="shared" si="366"/>
        <v>HEADER KIT TIT. RACING + SIL. TIT. HOM.</v>
      </c>
      <c r="R1236" t="str">
        <f t="shared" si="367"/>
        <v>ZHD 513 SKR-T</v>
      </c>
      <c r="S1236">
        <f t="shared" si="368"/>
        <v>0</v>
      </c>
      <c r="U1236" t="str">
        <f t="shared" si="369"/>
        <v>continue</v>
      </c>
      <c r="V1236" t="str">
        <f t="shared" si="370"/>
        <v>manual</v>
      </c>
      <c r="W1236" s="5">
        <f t="shared" si="371"/>
        <v>2213.7174000000005</v>
      </c>
      <c r="Y1236" t="b">
        <f t="shared" si="372"/>
        <v>1</v>
      </c>
      <c r="Z1236" t="b">
        <f t="shared" si="373"/>
        <v>0</v>
      </c>
      <c r="AB1236" t="str">
        <f t="shared" si="374"/>
        <v/>
      </c>
      <c r="AE1236" t="b">
        <v>0</v>
      </c>
    </row>
    <row r="1237" spans="1:31" x14ac:dyDescent="0.2">
      <c r="A1237" t="str">
        <f t="shared" si="361"/>
        <v>https://shop.officineitalianezard.it/en/2-1-full-kit-steel-carbon-zard-harley-davidson-xr-1200/</v>
      </c>
      <c r="B1237" t="b">
        <f>COUNTIF($A$2:$A1237, A1237)&gt;1</f>
        <v>1</v>
      </c>
      <c r="C1237" t="b">
        <f t="shared" si="362"/>
        <v>1</v>
      </c>
      <c r="D1237">
        <f>VLOOKUP(A1237,variant_counts!A:B, 2, FALSE)</f>
        <v>8</v>
      </c>
      <c r="E1237" t="str">
        <f t="shared" si="375"/>
        <v>zard-exhaust-full-kit-harley-davidson-xr-1200-21-version-zhd-513-skr-t</v>
      </c>
      <c r="F1237" t="str">
        <f t="shared" si="363"/>
        <v>ZARD EXHAUST FULL KIT HARLEY-DAVIDSON XR 1200 2&gt;1 VERSION ZHD 513 SKR-T</v>
      </c>
      <c r="G1237" t="str">
        <f t="shared" si="364"/>
        <v/>
      </c>
      <c r="H1237" t="str">
        <f t="shared" si="376"/>
        <v/>
      </c>
      <c r="I1237" t="str">
        <f t="shared" si="377"/>
        <v/>
      </c>
      <c r="J1237" t="str">
        <f t="shared" si="378"/>
        <v/>
      </c>
      <c r="K1237" t="str">
        <f t="shared" si="379"/>
        <v/>
      </c>
      <c r="L1237" t="str">
        <f t="shared" si="365"/>
        <v>Option</v>
      </c>
      <c r="M1237" t="str">
        <f t="shared" si="366"/>
        <v>HEADER KIT TITANIUM RACING + SIL. CARB. RACING</v>
      </c>
      <c r="R1237" t="str">
        <f t="shared" si="367"/>
        <v>ZHD 513 SKR-T</v>
      </c>
      <c r="S1237">
        <f t="shared" si="368"/>
        <v>0</v>
      </c>
      <c r="U1237" t="str">
        <f t="shared" si="369"/>
        <v>continue</v>
      </c>
      <c r="V1237" t="str">
        <f t="shared" si="370"/>
        <v>manual</v>
      </c>
      <c r="W1237" s="5">
        <f t="shared" si="371"/>
        <v>2004.9153000000001</v>
      </c>
      <c r="Y1237" t="b">
        <f t="shared" si="372"/>
        <v>1</v>
      </c>
      <c r="Z1237" t="b">
        <f t="shared" si="373"/>
        <v>0</v>
      </c>
      <c r="AB1237" t="str">
        <f t="shared" si="374"/>
        <v/>
      </c>
      <c r="AE1237" t="b">
        <v>0</v>
      </c>
    </row>
    <row r="1238" spans="1:31" x14ac:dyDescent="0.2">
      <c r="A1238" t="str">
        <f t="shared" si="361"/>
        <v>https://shop.officineitalianezard.it/en/2-1-full-kit-steel-carbon-zard-harley-davidson-xr-1200/</v>
      </c>
      <c r="B1238" t="b">
        <f>COUNTIF($A$2:$A1238, A1238)&gt;1</f>
        <v>1</v>
      </c>
      <c r="C1238" t="b">
        <f t="shared" si="362"/>
        <v>1</v>
      </c>
      <c r="D1238">
        <f>VLOOKUP(A1238,variant_counts!A:B, 2, FALSE)</f>
        <v>8</v>
      </c>
      <c r="E1238" t="str">
        <f t="shared" si="375"/>
        <v>zard-exhaust-full-kit-harley-davidson-xr-1200-21-version-zhd-513-skr-t</v>
      </c>
      <c r="F1238" t="str">
        <f t="shared" si="363"/>
        <v>ZARD EXHAUST FULL KIT HARLEY-DAVIDSON XR 1200 2&gt;1 VERSION ZHD 513 SKR-T</v>
      </c>
      <c r="G1238" t="str">
        <f t="shared" si="364"/>
        <v/>
      </c>
      <c r="H1238" t="str">
        <f t="shared" si="376"/>
        <v/>
      </c>
      <c r="I1238" t="str">
        <f t="shared" si="377"/>
        <v/>
      </c>
      <c r="J1238" t="str">
        <f t="shared" si="378"/>
        <v/>
      </c>
      <c r="K1238" t="str">
        <f t="shared" si="379"/>
        <v/>
      </c>
      <c r="L1238" t="str">
        <f t="shared" si="365"/>
        <v>Option</v>
      </c>
      <c r="M1238" t="str">
        <f t="shared" si="366"/>
        <v>HEADER KIT TIT. RACING + SIL. CARB. HOM.</v>
      </c>
      <c r="R1238" t="str">
        <f t="shared" si="367"/>
        <v>ZHD 513 SKR-T</v>
      </c>
      <c r="S1238">
        <f t="shared" si="368"/>
        <v>0</v>
      </c>
      <c r="U1238" t="str">
        <f t="shared" si="369"/>
        <v>continue</v>
      </c>
      <c r="V1238" t="str">
        <f t="shared" si="370"/>
        <v>manual</v>
      </c>
      <c r="W1238" s="5">
        <f t="shared" si="371"/>
        <v>2213.7174000000005</v>
      </c>
      <c r="Y1238" t="b">
        <f t="shared" si="372"/>
        <v>1</v>
      </c>
      <c r="Z1238" t="b">
        <f t="shared" si="373"/>
        <v>0</v>
      </c>
      <c r="AB1238" t="str">
        <f t="shared" si="374"/>
        <v/>
      </c>
      <c r="AE1238" t="b">
        <v>0</v>
      </c>
    </row>
    <row r="1239" spans="1:31" x14ac:dyDescent="0.2">
      <c r="A1239" t="str">
        <f t="shared" si="361"/>
        <v>https://shop.officineitalianezard.it/en/2-1-full-kit-steel-carbon-zard-harley-davidson-xr-1200/</v>
      </c>
      <c r="B1239" t="b">
        <f>COUNTIF($A$2:$A1239, A1239)&gt;1</f>
        <v>1</v>
      </c>
      <c r="C1239" t="b">
        <f t="shared" si="362"/>
        <v>1</v>
      </c>
      <c r="D1239">
        <f>VLOOKUP(A1239,variant_counts!A:B, 2, FALSE)</f>
        <v>8</v>
      </c>
      <c r="E1239" t="str">
        <f t="shared" si="375"/>
        <v>zard-exhaust-full-kit-harley-davidson-xr-1200-21-version-zhd-513-skr-t</v>
      </c>
      <c r="F1239" t="str">
        <f t="shared" si="363"/>
        <v>ZARD EXHAUST FULL KIT HARLEY-DAVIDSON XR 1200 2&gt;1 VERSION ZHD 513 SKR-T</v>
      </c>
      <c r="G1239" t="str">
        <f t="shared" si="364"/>
        <v/>
      </c>
      <c r="H1239" t="str">
        <f t="shared" si="376"/>
        <v/>
      </c>
      <c r="I1239" t="str">
        <f t="shared" si="377"/>
        <v/>
      </c>
      <c r="J1239" t="str">
        <f t="shared" si="378"/>
        <v/>
      </c>
      <c r="K1239" t="str">
        <f t="shared" si="379"/>
        <v/>
      </c>
      <c r="L1239" t="str">
        <f t="shared" si="365"/>
        <v>Option</v>
      </c>
      <c r="M1239" t="str">
        <f t="shared" si="366"/>
        <v>BLACK COATING</v>
      </c>
      <c r="R1239" t="str">
        <f t="shared" si="367"/>
        <v>ZHD 513 SKR-T</v>
      </c>
      <c r="S1239">
        <f t="shared" si="368"/>
        <v>0</v>
      </c>
      <c r="U1239" t="str">
        <f t="shared" si="369"/>
        <v>continue</v>
      </c>
      <c r="V1239" t="str">
        <f t="shared" si="370"/>
        <v>manual</v>
      </c>
      <c r="W1239" s="5">
        <f t="shared" si="371"/>
        <v>1687.2</v>
      </c>
      <c r="Y1239" t="b">
        <f t="shared" si="372"/>
        <v>1</v>
      </c>
      <c r="Z1239" t="b">
        <f t="shared" si="373"/>
        <v>0</v>
      </c>
      <c r="AB1239" t="str">
        <f t="shared" si="374"/>
        <v/>
      </c>
      <c r="AE1239" t="b">
        <v>0</v>
      </c>
    </row>
    <row r="1240" spans="1:31" x14ac:dyDescent="0.2">
      <c r="A1240" t="str">
        <f t="shared" si="361"/>
        <v>https://shop.officineitalianezard.it/en/products/index/kit-2-1-2-steel-7136-70/</v>
      </c>
      <c r="B1240" t="b">
        <f>COUNTIF($A$2:$A1240, A1240)&gt;1</f>
        <v>0</v>
      </c>
      <c r="C1240" t="b">
        <f t="shared" si="362"/>
        <v>0</v>
      </c>
      <c r="D1240">
        <f>VLOOKUP(A1240,variant_counts!A:B, 2, FALSE)</f>
        <v>4</v>
      </c>
      <c r="E1240" t="str">
        <f t="shared" si="375"/>
        <v>zard-exhaust-full-kit-ducati-streetfighter-8481098-212-zd113skr</v>
      </c>
      <c r="F1240" t="str">
        <f t="shared" si="363"/>
        <v>ZARD EXHAUST FULL KIT DUCATI STREETFIGHTER 848/1098 2&gt;1&gt;2 ZD113SKR</v>
      </c>
      <c r="G1240" t="str">
        <f t="shared" si="364"/>
        <v>&lt;p&gt;2&amp;gt;1&amp;gt;2 STEEL FULL KIT RACING WITH REMOVABLE DB KILLER&lt;br&gt;CARBON END-CAPS AND HEAT-SHIELD&lt;/p&gt;
&lt;p&gt;ZARD STEEL SILENCERS CAT WEIGHT: KG 8.4&lt;br&gt;ZARD TITANIUM SILENCERS WEIGHT: KG 4.5&lt;/p&gt;
&lt;p&gt;THE KIT USES THE STANDARD FRONT AND REAR CYLINDER HEAD PIPES.&lt;/p&gt;
&lt;p&gt;HARD INCREASE, COMPARED TO THE ORIGINAL EXHAUST SYSTEM,&lt;br&gt;IN TERMS OF TORQUE AND POWER AT ANY RANGE (+3 HP FOR THE RACING VERSION)&lt;br&gt;ASTONISHING SOUND.&lt;/p&gt;
&lt;p&gt;&lt;strong&gt;NOTICE&lt;/strong&gt;&lt;span&gt;: THIS KIT CAN FIT ON STREETFIGHER 848&lt;br&gt;ONLY IN RACING VERSION (NOT HOMOLOGATED)&lt;/span&gt;&lt;/p&gt;
&lt;p&gt;&lt;/p&gt;</v>
      </c>
      <c r="H1240" t="str">
        <f t="shared" si="376"/>
        <v>ZARD</v>
      </c>
      <c r="I1240" t="str">
        <f t="shared" si="377"/>
        <v>Exhaust Pipe</v>
      </c>
      <c r="J1240" t="str">
        <f t="shared" si="378"/>
        <v>Test</v>
      </c>
      <c r="K1240" t="b">
        <f t="shared" si="379"/>
        <v>0</v>
      </c>
      <c r="L1240" t="str">
        <f t="shared" si="365"/>
        <v/>
      </c>
      <c r="M1240" t="str">
        <f t="shared" si="366"/>
        <v/>
      </c>
      <c r="R1240" t="str">
        <f t="shared" si="367"/>
        <v/>
      </c>
      <c r="S1240" t="str">
        <f t="shared" si="368"/>
        <v/>
      </c>
      <c r="U1240" t="str">
        <f t="shared" si="369"/>
        <v/>
      </c>
      <c r="V1240" t="str">
        <f t="shared" si="370"/>
        <v/>
      </c>
      <c r="W1240" s="5" t="str">
        <f t="shared" si="371"/>
        <v/>
      </c>
      <c r="Y1240" t="str">
        <f t="shared" si="372"/>
        <v/>
      </c>
      <c r="Z1240" t="str">
        <f t="shared" si="373"/>
        <v/>
      </c>
      <c r="AB1240" t="str">
        <f t="shared" si="374"/>
        <v>https://shop.officineitalianezard.it/contents/imgs/products/1_1461-2_443-streetfighterkit2.jpg</v>
      </c>
      <c r="AE1240" t="b">
        <v>0</v>
      </c>
    </row>
    <row r="1241" spans="1:31" x14ac:dyDescent="0.2">
      <c r="A1241" t="str">
        <f t="shared" si="361"/>
        <v>https://shop.officineitalianezard.it/en/products/index/kit-2-1-2-steel-7136-70/</v>
      </c>
      <c r="B1241" t="b">
        <f>COUNTIF($A$2:$A1241, A1241)&gt;1</f>
        <v>1</v>
      </c>
      <c r="C1241" t="b">
        <f t="shared" si="362"/>
        <v>0</v>
      </c>
      <c r="D1241">
        <f>VLOOKUP(A1241,variant_counts!A:B, 2, FALSE)</f>
        <v>4</v>
      </c>
      <c r="E1241" t="str">
        <f t="shared" si="375"/>
        <v>zard-exhaust-full-kit-ducati-streetfighter-8481098-212-zd113skr</v>
      </c>
      <c r="F1241" t="str">
        <f t="shared" si="363"/>
        <v>ZARD EXHAUST FULL KIT DUCATI STREETFIGHTER 848/1098 2&gt;1&gt;2 ZD113SKR</v>
      </c>
      <c r="G1241" t="str">
        <f t="shared" si="364"/>
        <v/>
      </c>
      <c r="H1241" t="str">
        <f t="shared" si="376"/>
        <v/>
      </c>
      <c r="I1241" t="str">
        <f t="shared" si="377"/>
        <v/>
      </c>
      <c r="J1241" t="str">
        <f t="shared" si="378"/>
        <v/>
      </c>
      <c r="K1241" t="str">
        <f t="shared" si="379"/>
        <v/>
      </c>
      <c r="L1241" t="str">
        <f t="shared" si="365"/>
        <v/>
      </c>
      <c r="M1241" t="str">
        <f t="shared" si="366"/>
        <v/>
      </c>
      <c r="R1241" t="str">
        <f t="shared" si="367"/>
        <v/>
      </c>
      <c r="S1241" t="str">
        <f t="shared" si="368"/>
        <v/>
      </c>
      <c r="U1241" t="str">
        <f t="shared" si="369"/>
        <v/>
      </c>
      <c r="V1241" t="str">
        <f t="shared" si="370"/>
        <v/>
      </c>
      <c r="W1241" s="5" t="str">
        <f t="shared" si="371"/>
        <v/>
      </c>
      <c r="Y1241" t="str">
        <f t="shared" si="372"/>
        <v/>
      </c>
      <c r="Z1241" t="str">
        <f t="shared" si="373"/>
        <v/>
      </c>
      <c r="AB1241" t="str">
        <f t="shared" si="374"/>
        <v>https://shop.officineitalianezard.it/contents/imgs/products/1_1462-2_552-Streetfighterkit4.jpg</v>
      </c>
      <c r="AE1241" t="b">
        <v>0</v>
      </c>
    </row>
    <row r="1242" spans="1:31" x14ac:dyDescent="0.2">
      <c r="A1242" t="str">
        <f t="shared" si="361"/>
        <v>https://shop.officineitalianezard.it/en/products/index/kit-2-1-2-steel-7136-70/</v>
      </c>
      <c r="B1242" t="b">
        <f>COUNTIF($A$2:$A1242, A1242)&gt;1</f>
        <v>1</v>
      </c>
      <c r="C1242" t="b">
        <f t="shared" si="362"/>
        <v>1</v>
      </c>
      <c r="D1242">
        <f>VLOOKUP(A1242,variant_counts!A:B, 2, FALSE)</f>
        <v>4</v>
      </c>
      <c r="E1242" t="str">
        <f t="shared" si="375"/>
        <v>zard-exhaust-full-kit-ducati-streetfighter-8481098-212-zd113skr</v>
      </c>
      <c r="F1242" t="str">
        <f t="shared" si="363"/>
        <v>ZARD EXHAUST FULL KIT DUCATI STREETFIGHTER 848/1098 2&gt;1&gt;2 ZD113SKR</v>
      </c>
      <c r="G1242" t="str">
        <f t="shared" si="364"/>
        <v/>
      </c>
      <c r="H1242" t="str">
        <f t="shared" si="376"/>
        <v/>
      </c>
      <c r="I1242" t="str">
        <f t="shared" si="377"/>
        <v/>
      </c>
      <c r="J1242" t="str">
        <f t="shared" si="378"/>
        <v/>
      </c>
      <c r="K1242" t="str">
        <f t="shared" si="379"/>
        <v/>
      </c>
      <c r="L1242" t="str">
        <f t="shared" si="365"/>
        <v>Option</v>
      </c>
      <c r="M1242" t="str">
        <f t="shared" si="366"/>
        <v>STEEL-TITANIUM RACING</v>
      </c>
      <c r="R1242" t="str">
        <f t="shared" si="367"/>
        <v>ZD113SKR</v>
      </c>
      <c r="S1242">
        <f t="shared" si="368"/>
        <v>0</v>
      </c>
      <c r="U1242" t="str">
        <f t="shared" si="369"/>
        <v>continue</v>
      </c>
      <c r="V1242" t="str">
        <f t="shared" si="370"/>
        <v>manual</v>
      </c>
      <c r="W1242" s="5">
        <f t="shared" si="371"/>
        <v>1968.8847000000001</v>
      </c>
      <c r="Y1242" t="b">
        <f t="shared" si="372"/>
        <v>1</v>
      </c>
      <c r="Z1242" t="b">
        <f t="shared" si="373"/>
        <v>0</v>
      </c>
      <c r="AB1242" t="str">
        <f t="shared" si="374"/>
        <v/>
      </c>
      <c r="AE1242" t="b">
        <v>0</v>
      </c>
    </row>
    <row r="1243" spans="1:31" x14ac:dyDescent="0.2">
      <c r="A1243" t="str">
        <f t="shared" si="361"/>
        <v>https://shop.officineitalianezard.it/en/products/index/kit-2-1-2-steel-7136-70/</v>
      </c>
      <c r="B1243" t="b">
        <f>COUNTIF($A$2:$A1243, A1243)&gt;1</f>
        <v>1</v>
      </c>
      <c r="C1243" t="b">
        <f t="shared" si="362"/>
        <v>1</v>
      </c>
      <c r="D1243">
        <f>VLOOKUP(A1243,variant_counts!A:B, 2, FALSE)</f>
        <v>4</v>
      </c>
      <c r="E1243" t="str">
        <f t="shared" si="375"/>
        <v>zard-exhaust-full-kit-ducati-streetfighter-8481098-212-zd113skr</v>
      </c>
      <c r="F1243" t="str">
        <f t="shared" si="363"/>
        <v>ZARD EXHAUST FULL KIT DUCATI STREETFIGHTER 848/1098 2&gt;1&gt;2 ZD113SKR</v>
      </c>
      <c r="G1243" t="str">
        <f t="shared" si="364"/>
        <v/>
      </c>
      <c r="H1243" t="str">
        <f t="shared" si="376"/>
        <v/>
      </c>
      <c r="I1243" t="str">
        <f t="shared" si="377"/>
        <v/>
      </c>
      <c r="J1243" t="str">
        <f t="shared" si="378"/>
        <v/>
      </c>
      <c r="K1243" t="str">
        <f t="shared" si="379"/>
        <v/>
      </c>
      <c r="L1243" t="str">
        <f t="shared" si="365"/>
        <v>Option</v>
      </c>
      <c r="M1243" t="str">
        <f t="shared" si="366"/>
        <v>FULL TITANIUM RACING</v>
      </c>
      <c r="R1243" t="str">
        <f t="shared" si="367"/>
        <v>ZD113SKR</v>
      </c>
      <c r="S1243">
        <f t="shared" si="368"/>
        <v>0</v>
      </c>
      <c r="U1243" t="str">
        <f t="shared" si="369"/>
        <v>continue</v>
      </c>
      <c r="V1243" t="str">
        <f t="shared" si="370"/>
        <v>manual</v>
      </c>
      <c r="W1243" s="5">
        <f t="shared" si="371"/>
        <v>2731.2327000000005</v>
      </c>
      <c r="Y1243" t="b">
        <f t="shared" si="372"/>
        <v>1</v>
      </c>
      <c r="Z1243" t="b">
        <f t="shared" si="373"/>
        <v>0</v>
      </c>
      <c r="AB1243" t="str">
        <f t="shared" si="374"/>
        <v/>
      </c>
      <c r="AE1243" t="b">
        <v>0</v>
      </c>
    </row>
    <row r="1244" spans="1:31" x14ac:dyDescent="0.2">
      <c r="A1244" t="str">
        <f t="shared" si="361"/>
        <v>https://shop.officineitalianezard.it/en/products/index/kit-2-1-2-steel-7136-70/</v>
      </c>
      <c r="B1244" t="b">
        <f>COUNTIF($A$2:$A1244, A1244)&gt;1</f>
        <v>1</v>
      </c>
      <c r="C1244" t="b">
        <f t="shared" si="362"/>
        <v>1</v>
      </c>
      <c r="D1244">
        <f>VLOOKUP(A1244,variant_counts!A:B, 2, FALSE)</f>
        <v>4</v>
      </c>
      <c r="E1244" t="str">
        <f t="shared" si="375"/>
        <v>zard-exhaust-full-kit-ducati-streetfighter-8481098-212-zd113skr</v>
      </c>
      <c r="F1244" t="str">
        <f t="shared" si="363"/>
        <v>ZARD EXHAUST FULL KIT DUCATI STREETFIGHTER 848/1098 2&gt;1&gt;2 ZD113SKR</v>
      </c>
      <c r="G1244" t="str">
        <f t="shared" si="364"/>
        <v/>
      </c>
      <c r="H1244" t="str">
        <f t="shared" si="376"/>
        <v/>
      </c>
      <c r="I1244" t="str">
        <f t="shared" si="377"/>
        <v/>
      </c>
      <c r="J1244" t="str">
        <f t="shared" si="378"/>
        <v/>
      </c>
      <c r="K1244" t="str">
        <f t="shared" si="379"/>
        <v/>
      </c>
      <c r="L1244" t="str">
        <f t="shared" si="365"/>
        <v>Option</v>
      </c>
      <c r="M1244" t="str">
        <f t="shared" si="366"/>
        <v>HOMOLOGATED CATALYZED STEEL</v>
      </c>
      <c r="R1244" t="str">
        <f t="shared" si="367"/>
        <v>ZD113SKR</v>
      </c>
      <c r="S1244">
        <f t="shared" si="368"/>
        <v>0</v>
      </c>
      <c r="U1244" t="str">
        <f t="shared" si="369"/>
        <v>continue</v>
      </c>
      <c r="V1244" t="str">
        <f t="shared" si="370"/>
        <v>manual</v>
      </c>
      <c r="W1244" s="5">
        <f t="shared" si="371"/>
        <v>1841.9562000000003</v>
      </c>
      <c r="Y1244" t="b">
        <f t="shared" si="372"/>
        <v>1</v>
      </c>
      <c r="Z1244" t="b">
        <f t="shared" si="373"/>
        <v>0</v>
      </c>
      <c r="AB1244" t="str">
        <f t="shared" si="374"/>
        <v/>
      </c>
      <c r="AE1244" t="b">
        <v>0</v>
      </c>
    </row>
    <row r="1245" spans="1:31" x14ac:dyDescent="0.2">
      <c r="A1245" t="str">
        <f t="shared" si="361"/>
        <v>https://shop.officineitalianezard.it/en/products/index/kit-2-1-2-steel-7136-70/</v>
      </c>
      <c r="B1245" t="b">
        <f>COUNTIF($A$2:$A1245, A1245)&gt;1</f>
        <v>1</v>
      </c>
      <c r="C1245" t="b">
        <f t="shared" si="362"/>
        <v>1</v>
      </c>
      <c r="D1245">
        <f>VLOOKUP(A1245,variant_counts!A:B, 2, FALSE)</f>
        <v>4</v>
      </c>
      <c r="E1245" t="str">
        <f t="shared" si="375"/>
        <v>zard-exhaust-full-kit-ducati-streetfighter-8481098-212-zd113skr</v>
      </c>
      <c r="F1245" t="str">
        <f t="shared" si="363"/>
        <v>ZARD EXHAUST FULL KIT DUCATI STREETFIGHTER 848/1098 2&gt;1&gt;2 ZD113SKR</v>
      </c>
      <c r="G1245" t="str">
        <f t="shared" si="364"/>
        <v/>
      </c>
      <c r="H1245" t="str">
        <f t="shared" si="376"/>
        <v/>
      </c>
      <c r="I1245" t="str">
        <f t="shared" si="377"/>
        <v/>
      </c>
      <c r="J1245" t="str">
        <f t="shared" si="378"/>
        <v/>
      </c>
      <c r="K1245" t="str">
        <f t="shared" si="379"/>
        <v/>
      </c>
      <c r="L1245" t="str">
        <f t="shared" si="365"/>
        <v>Option</v>
      </c>
      <c r="M1245" t="str">
        <f t="shared" si="366"/>
        <v>STEEL TITANIUM HOMOLOGATED</v>
      </c>
      <c r="R1245" t="str">
        <f t="shared" si="367"/>
        <v>ZD113SKR</v>
      </c>
      <c r="S1245">
        <f t="shared" si="368"/>
        <v>0</v>
      </c>
      <c r="U1245" t="str">
        <f t="shared" si="369"/>
        <v>continue</v>
      </c>
      <c r="V1245" t="str">
        <f t="shared" si="370"/>
        <v>manual</v>
      </c>
      <c r="W1245" s="5">
        <f t="shared" si="371"/>
        <v>2073.6909000000001</v>
      </c>
      <c r="Y1245" t="b">
        <f t="shared" si="372"/>
        <v>1</v>
      </c>
      <c r="Z1245" t="b">
        <f t="shared" si="373"/>
        <v>0</v>
      </c>
      <c r="AB1245" t="str">
        <f t="shared" si="374"/>
        <v/>
      </c>
      <c r="AE1245" t="b">
        <v>0</v>
      </c>
    </row>
    <row r="1246" spans="1:31" x14ac:dyDescent="0.2">
      <c r="A1246" t="str">
        <f t="shared" si="361"/>
        <v>https://shop.officineitalianezard.it/en/products/index/n-2-over-and-under-steel-side-mufflers-7135-70/</v>
      </c>
      <c r="B1246" t="b">
        <f>COUNTIF($A$2:$A1246, A1246)&gt;1</f>
        <v>0</v>
      </c>
      <c r="C1246" t="b">
        <f t="shared" si="362"/>
        <v>0</v>
      </c>
      <c r="D1246">
        <f>VLOOKUP(A1246,variant_counts!A:B, 2, FALSE)</f>
        <v>1</v>
      </c>
      <c r="E1246" t="str">
        <f t="shared" si="375"/>
        <v>zard-exhaust-silencers-ducati-streetfighter-8481098-conical-version-zd112ssr</v>
      </c>
      <c r="F1246" t="str">
        <f t="shared" si="363"/>
        <v>ZARD EXHAUST SILENCERS DUCATI STREETFIGHTER 848/1098 CONICAL VERSION ZD112SSR</v>
      </c>
      <c r="G1246" t="str">
        <f t="shared" si="364"/>
        <v>&lt;p&gt;STEEL SILENCERS RACING WITH REMOVABLE DB KILLER&lt;/p&gt;
&lt;p&gt;ORIGINAL SILENCERS WEIGHT: KG 6&lt;br&gt;ZARD STEEL SILENCERS WEIGHT: KG 3.8&lt;br&gt;ZARD TITANIUM SILENCERS WEIGHT: KG 2.4&lt;/p&gt;
&lt;p&gt;HARD INCREASE, COMPARED TO THE ORIGINAL EXHAUST SYSTEM,&lt;br&gt;IN TERMS OF TORQUE AND POWER AT ANY RANGE (+3 HP FOR THE RACING VERSION).&lt;/p&gt;
&lt;p&gt;ASTONISHING SOUND.&lt;/p&gt;
&lt;p&gt;&lt;strong&gt;NOTICE&lt;/strong&gt;&lt;span&gt;: THIS SILENCERS CAN BE FITTED ALSO ON STREETFIGHTER 848&lt;/span&gt;&lt;/p&gt;</v>
      </c>
      <c r="H1246" t="str">
        <f t="shared" si="376"/>
        <v>ZARD</v>
      </c>
      <c r="I1246" t="str">
        <f t="shared" si="377"/>
        <v>Exhaust Pipe</v>
      </c>
      <c r="J1246" t="str">
        <f t="shared" si="378"/>
        <v>Test</v>
      </c>
      <c r="K1246" t="b">
        <f t="shared" si="379"/>
        <v>0</v>
      </c>
      <c r="L1246" t="str">
        <f t="shared" si="365"/>
        <v>Option</v>
      </c>
      <c r="M1246" t="str">
        <f t="shared" si="366"/>
        <v>DEFAULT</v>
      </c>
      <c r="R1246" t="str">
        <f t="shared" si="367"/>
        <v>ZD112SSR</v>
      </c>
      <c r="S1246">
        <f t="shared" si="368"/>
        <v>0</v>
      </c>
      <c r="U1246" t="str">
        <f t="shared" si="369"/>
        <v>continue</v>
      </c>
      <c r="V1246" t="str">
        <f t="shared" si="370"/>
        <v>manual</v>
      </c>
      <c r="W1246" s="5">
        <f t="shared" si="371"/>
        <v>742.4235000000001</v>
      </c>
      <c r="Y1246" t="b">
        <f t="shared" si="372"/>
        <v>1</v>
      </c>
      <c r="Z1246" t="b">
        <f t="shared" si="373"/>
        <v>0</v>
      </c>
      <c r="AB1246" t="str">
        <f t="shared" si="374"/>
        <v>https://shop.officineitalianezard.it/contents/imgs/products/1_439-streetfightersilenziatori1.jpg</v>
      </c>
      <c r="AE1246" t="b">
        <v>0</v>
      </c>
    </row>
    <row r="1247" spans="1:31" x14ac:dyDescent="0.2">
      <c r="A1247" t="str">
        <f t="shared" si="361"/>
        <v>https://shop.officineitalianezard.it/en/products/index/n-2-over-and-under-steel-side-mufflers-7135-70/</v>
      </c>
      <c r="B1247" t="b">
        <f>COUNTIF($A$2:$A1247, A1247)&gt;1</f>
        <v>1</v>
      </c>
      <c r="C1247" t="b">
        <f t="shared" si="362"/>
        <v>0</v>
      </c>
      <c r="D1247">
        <f>VLOOKUP(A1247,variant_counts!A:B, 2, FALSE)</f>
        <v>1</v>
      </c>
      <c r="E1247" t="str">
        <f t="shared" si="375"/>
        <v>zard-exhaust-silencers-ducati-streetfighter-8481098-conical-version-zd112ssr</v>
      </c>
      <c r="F1247" t="str">
        <f t="shared" si="363"/>
        <v>ZARD EXHAUST SILENCERS DUCATI STREETFIGHTER 848/1098 CONICAL VERSION ZD112SSR</v>
      </c>
      <c r="G1247" t="str">
        <f t="shared" si="364"/>
        <v/>
      </c>
      <c r="H1247" t="str">
        <f t="shared" si="376"/>
        <v/>
      </c>
      <c r="I1247" t="str">
        <f t="shared" si="377"/>
        <v/>
      </c>
      <c r="J1247" t="str">
        <f t="shared" si="378"/>
        <v/>
      </c>
      <c r="K1247" t="str">
        <f t="shared" si="379"/>
        <v/>
      </c>
      <c r="L1247" t="str">
        <f t="shared" si="365"/>
        <v/>
      </c>
      <c r="M1247" t="str">
        <f t="shared" si="366"/>
        <v/>
      </c>
      <c r="R1247" t="str">
        <f t="shared" si="367"/>
        <v/>
      </c>
      <c r="S1247" t="str">
        <f t="shared" si="368"/>
        <v/>
      </c>
      <c r="U1247" t="str">
        <f t="shared" si="369"/>
        <v/>
      </c>
      <c r="V1247" t="str">
        <f t="shared" si="370"/>
        <v/>
      </c>
      <c r="W1247" s="5" t="str">
        <f t="shared" si="371"/>
        <v/>
      </c>
      <c r="Y1247" t="str">
        <f t="shared" si="372"/>
        <v/>
      </c>
      <c r="Z1247" t="str">
        <f t="shared" si="373"/>
        <v/>
      </c>
      <c r="AB1247" t="str">
        <f t="shared" si="374"/>
        <v>https://shop.officineitalianezard.it/contents/imgs/products/1_440-streetfightersilenziatori2.jpg</v>
      </c>
      <c r="AE1247" t="b">
        <v>0</v>
      </c>
    </row>
    <row r="1248" spans="1:31" x14ac:dyDescent="0.2">
      <c r="A1248" t="str">
        <f t="shared" si="361"/>
        <v>https://shop.officineitalianezard.it/en/products/index/n-2-over-and-under-steel-side-mufflers-7135-70/</v>
      </c>
      <c r="B1248" t="b">
        <f>COUNTIF($A$2:$A1248, A1248)&gt;1</f>
        <v>1</v>
      </c>
      <c r="C1248" t="b">
        <f t="shared" si="362"/>
        <v>0</v>
      </c>
      <c r="D1248">
        <f>VLOOKUP(A1248,variant_counts!A:B, 2, FALSE)</f>
        <v>1</v>
      </c>
      <c r="E1248" t="str">
        <f t="shared" si="375"/>
        <v>zard-exhaust-silencers-ducati-streetfighter-8481098-conical-version-zd112ssr</v>
      </c>
      <c r="F1248" t="str">
        <f t="shared" si="363"/>
        <v>ZARD EXHAUST SILENCERS DUCATI STREETFIGHTER 848/1098 CONICAL VERSION ZD112SSR</v>
      </c>
      <c r="G1248" t="str">
        <f t="shared" si="364"/>
        <v/>
      </c>
      <c r="H1248" t="str">
        <f t="shared" si="376"/>
        <v/>
      </c>
      <c r="I1248" t="str">
        <f t="shared" si="377"/>
        <v/>
      </c>
      <c r="J1248" t="str">
        <f t="shared" si="378"/>
        <v/>
      </c>
      <c r="K1248" t="str">
        <f t="shared" si="379"/>
        <v/>
      </c>
      <c r="L1248" t="str">
        <f t="shared" si="365"/>
        <v/>
      </c>
      <c r="M1248" t="str">
        <f t="shared" si="366"/>
        <v/>
      </c>
      <c r="R1248" t="str">
        <f t="shared" si="367"/>
        <v/>
      </c>
      <c r="S1248" t="str">
        <f t="shared" si="368"/>
        <v/>
      </c>
      <c r="U1248" t="str">
        <f t="shared" si="369"/>
        <v/>
      </c>
      <c r="V1248" t="str">
        <f t="shared" si="370"/>
        <v/>
      </c>
      <c r="W1248" s="5" t="str">
        <f t="shared" si="371"/>
        <v/>
      </c>
      <c r="Y1248" t="str">
        <f t="shared" si="372"/>
        <v/>
      </c>
      <c r="Z1248" t="str">
        <f t="shared" si="373"/>
        <v/>
      </c>
      <c r="AB1248" t="str">
        <f t="shared" si="374"/>
        <v>https://shop.officineitalianezard.it/contents/imgs/products/1_553-Streetfightersilenziatori3.jpg</v>
      </c>
      <c r="AE1248" t="b">
        <v>0</v>
      </c>
    </row>
    <row r="1249" spans="1:31" x14ac:dyDescent="0.2">
      <c r="A1249" t="str">
        <f t="shared" si="361"/>
        <v>https://shop.officineitalianezard.it/en/products/index/n-2-over-and-under-steel-side-mufflers-7135-70/</v>
      </c>
      <c r="B1249" t="b">
        <f>COUNTIF($A$2:$A1249, A1249)&gt;1</f>
        <v>1</v>
      </c>
      <c r="C1249" t="b">
        <f t="shared" si="362"/>
        <v>1</v>
      </c>
      <c r="D1249">
        <f>VLOOKUP(A1249,variant_counts!A:B, 2, FALSE)</f>
        <v>1</v>
      </c>
      <c r="E1249" t="str">
        <f t="shared" si="375"/>
        <v>zard-exhaust-silencers-ducati-streetfighter-8481098-conical-version-zd112ssr</v>
      </c>
      <c r="F1249" t="str">
        <f t="shared" si="363"/>
        <v>ZARD EXHAUST SILENCERS DUCATI STREETFIGHTER 848/1098 CONICAL VERSION ZD112SSR</v>
      </c>
      <c r="G1249" t="str">
        <f t="shared" si="364"/>
        <v/>
      </c>
      <c r="H1249" t="str">
        <f t="shared" si="376"/>
        <v/>
      </c>
      <c r="I1249" t="str">
        <f t="shared" si="377"/>
        <v/>
      </c>
      <c r="J1249" t="str">
        <f t="shared" si="378"/>
        <v/>
      </c>
      <c r="K1249" t="str">
        <f t="shared" si="379"/>
        <v/>
      </c>
      <c r="L1249" t="str">
        <f t="shared" si="365"/>
        <v>Option</v>
      </c>
      <c r="M1249" t="str">
        <f t="shared" si="366"/>
        <v>FULL TITANIUM</v>
      </c>
      <c r="R1249" t="str">
        <f t="shared" si="367"/>
        <v>ZD112SSR</v>
      </c>
      <c r="S1249">
        <f t="shared" si="368"/>
        <v>0</v>
      </c>
      <c r="U1249" t="str">
        <f t="shared" si="369"/>
        <v>continue</v>
      </c>
      <c r="V1249" t="str">
        <f t="shared" si="370"/>
        <v>manual</v>
      </c>
      <c r="W1249" s="5">
        <f t="shared" si="371"/>
        <v>1015.1061000000001</v>
      </c>
      <c r="Y1249" t="b">
        <f t="shared" si="372"/>
        <v>1</v>
      </c>
      <c r="Z1249" t="b">
        <f t="shared" si="373"/>
        <v>0</v>
      </c>
      <c r="AB1249" t="str">
        <f t="shared" si="374"/>
        <v/>
      </c>
      <c r="AE1249" t="b">
        <v>0</v>
      </c>
    </row>
    <row r="1250" spans="1:31" x14ac:dyDescent="0.2">
      <c r="A1250" t="str">
        <f t="shared" si="361"/>
        <v>https://shop.officineitalianezard.it/en/ducati-paul-smart-and-gt1000-exhaust-zard/</v>
      </c>
      <c r="B1250" t="b">
        <f>COUNTIF($A$2:$A1250, A1250)&gt;1</f>
        <v>0</v>
      </c>
      <c r="C1250" t="b">
        <f t="shared" si="362"/>
        <v>0</v>
      </c>
      <c r="D1250">
        <f>VLOOKUP(A1250,variant_counts!A:B, 2, FALSE)</f>
        <v>3</v>
      </c>
      <c r="E1250" t="str">
        <f t="shared" si="375"/>
        <v>zard-exhaust-silencers-ducati-sport-1000-paul-smart-200508-overlapped-version-zd019ssr</v>
      </c>
      <c r="F1250" t="str">
        <f t="shared" si="363"/>
        <v>ZARD EXHAUST SILENCERS DUCATI SPORT 1000 &amp; PAUL SMART 2005/08 OVERLAPPED VERSION ZD019SSR</v>
      </c>
      <c r="G1250" t="str">
        <f t="shared" si="364"/>
        <v>&lt;p&gt;N.2 STELL RACING SILENCERS WITH REMOVABLE DB KILLER&lt;/p&gt;
&lt;p&gt;HIGH RESISTANT BLACK CERAMIC COATING STANDARD EQUIPMENT ON STEEL VERSION&lt;/p&gt;
&lt;p&gt;BLACK ENDCAPS ON FULL TITANIUM VERSION&lt;/p&gt;
&lt;p&gt;ORIGINAL SILENCERS WEIGHT: KG 8.5&lt;br&gt;ZARD STEEL SILENCERS WEIGHT: KG 4.4&lt;/p&gt;
&lt;p&gt;HARD INCREASE, COMPARED TO THE ORIGINAL EXHAUST SYSTEM, IN TERMS OF TORQUE AND POWER AT ANY RANGE (+2 HP FOR THE RACING VERSION).&lt;br&gt;ASTONISHING SOUND.&lt;/p&gt;</v>
      </c>
      <c r="H1250" t="str">
        <f t="shared" si="376"/>
        <v>ZARD</v>
      </c>
      <c r="I1250" t="str">
        <f t="shared" si="377"/>
        <v>Exhaust Pipe</v>
      </c>
      <c r="J1250" t="str">
        <f t="shared" si="378"/>
        <v>Test</v>
      </c>
      <c r="K1250" t="b">
        <f t="shared" si="379"/>
        <v>0</v>
      </c>
      <c r="L1250" t="str">
        <f t="shared" si="365"/>
        <v/>
      </c>
      <c r="M1250" t="str">
        <f t="shared" si="366"/>
        <v/>
      </c>
      <c r="R1250" t="str">
        <f t="shared" si="367"/>
        <v/>
      </c>
      <c r="S1250" t="str">
        <f t="shared" si="368"/>
        <v/>
      </c>
      <c r="U1250" t="str">
        <f t="shared" si="369"/>
        <v/>
      </c>
      <c r="V1250" t="str">
        <f t="shared" si="370"/>
        <v/>
      </c>
      <c r="W1250" s="5" t="str">
        <f t="shared" si="371"/>
        <v/>
      </c>
      <c r="Y1250" t="str">
        <f t="shared" si="372"/>
        <v/>
      </c>
      <c r="Z1250" t="str">
        <f t="shared" si="373"/>
        <v/>
      </c>
      <c r="AB1250" t="str">
        <f t="shared" si="374"/>
        <v>https://shop.officineitalianezard.it/contents/imgs/products/1_438-ducati-sport-paul-smart-003.jpg</v>
      </c>
      <c r="AE1250" t="b">
        <v>0</v>
      </c>
    </row>
    <row r="1251" spans="1:31" x14ac:dyDescent="0.2">
      <c r="A1251" t="str">
        <f t="shared" si="361"/>
        <v>https://shop.officineitalianezard.it/en/ducati-paul-smart-and-gt1000-exhaust-zard/</v>
      </c>
      <c r="B1251" t="b">
        <f>COUNTIF($A$2:$A1251, A1251)&gt;1</f>
        <v>1</v>
      </c>
      <c r="C1251" t="b">
        <f t="shared" si="362"/>
        <v>1</v>
      </c>
      <c r="D1251">
        <f>VLOOKUP(A1251,variant_counts!A:B, 2, FALSE)</f>
        <v>3</v>
      </c>
      <c r="E1251" t="str">
        <f t="shared" si="375"/>
        <v>zard-exhaust-silencers-ducati-sport-1000-paul-smart-200508-overlapped-version-zd019ssr</v>
      </c>
      <c r="F1251" t="str">
        <f t="shared" si="363"/>
        <v>ZARD EXHAUST SILENCERS DUCATI SPORT 1000 &amp; PAUL SMART 2005/08 OVERLAPPED VERSION ZD019SSR</v>
      </c>
      <c r="G1251" t="str">
        <f t="shared" si="364"/>
        <v/>
      </c>
      <c r="H1251" t="str">
        <f t="shared" si="376"/>
        <v/>
      </c>
      <c r="I1251" t="str">
        <f t="shared" si="377"/>
        <v/>
      </c>
      <c r="J1251" t="str">
        <f t="shared" si="378"/>
        <v/>
      </c>
      <c r="K1251" t="str">
        <f t="shared" si="379"/>
        <v/>
      </c>
      <c r="L1251" t="str">
        <f t="shared" si="365"/>
        <v>Option</v>
      </c>
      <c r="M1251" t="str">
        <f t="shared" si="366"/>
        <v>EURO 3 HOMOLOGATED</v>
      </c>
      <c r="R1251" t="str">
        <f t="shared" si="367"/>
        <v>ZD019SSR</v>
      </c>
      <c r="S1251">
        <f t="shared" si="368"/>
        <v>0</v>
      </c>
      <c r="U1251" t="str">
        <f t="shared" si="369"/>
        <v>continue</v>
      </c>
      <c r="V1251" t="str">
        <f t="shared" si="370"/>
        <v>manual</v>
      </c>
      <c r="W1251" s="5">
        <f t="shared" si="371"/>
        <v>774.28049999999996</v>
      </c>
      <c r="Y1251" t="b">
        <f t="shared" si="372"/>
        <v>1</v>
      </c>
      <c r="Z1251" t="b">
        <f t="shared" si="373"/>
        <v>0</v>
      </c>
      <c r="AB1251" t="str">
        <f t="shared" si="374"/>
        <v/>
      </c>
      <c r="AE1251" t="b">
        <v>0</v>
      </c>
    </row>
    <row r="1252" spans="1:31" x14ac:dyDescent="0.2">
      <c r="A1252" t="str">
        <f t="shared" si="361"/>
        <v>https://shop.officineitalianezard.it/en/ducati-paul-smart-and-gt1000-exhaust-zard/</v>
      </c>
      <c r="B1252" t="b">
        <f>COUNTIF($A$2:$A1252, A1252)&gt;1</f>
        <v>1</v>
      </c>
      <c r="C1252" t="b">
        <f t="shared" si="362"/>
        <v>1</v>
      </c>
      <c r="D1252">
        <f>VLOOKUP(A1252,variant_counts!A:B, 2, FALSE)</f>
        <v>3</v>
      </c>
      <c r="E1252" t="str">
        <f t="shared" si="375"/>
        <v>zard-exhaust-silencers-ducati-sport-1000-paul-smart-200508-overlapped-version-zd019ssr</v>
      </c>
      <c r="F1252" t="str">
        <f t="shared" si="363"/>
        <v>ZARD EXHAUST SILENCERS DUCATI SPORT 1000 &amp; PAUL SMART 2005/08 OVERLAPPED VERSION ZD019SSR</v>
      </c>
      <c r="G1252" t="str">
        <f t="shared" si="364"/>
        <v/>
      </c>
      <c r="H1252" t="str">
        <f t="shared" si="376"/>
        <v/>
      </c>
      <c r="I1252" t="str">
        <f t="shared" si="377"/>
        <v/>
      </c>
      <c r="J1252" t="str">
        <f t="shared" si="378"/>
        <v/>
      </c>
      <c r="K1252" t="str">
        <f t="shared" si="379"/>
        <v/>
      </c>
      <c r="L1252" t="str">
        <f t="shared" si="365"/>
        <v>Option</v>
      </c>
      <c r="M1252" t="str">
        <f t="shared" si="366"/>
        <v>FULL TITANIUM HOMOLOGATED</v>
      </c>
      <c r="R1252" t="str">
        <f t="shared" si="367"/>
        <v>ZD019SSR</v>
      </c>
      <c r="S1252">
        <f t="shared" si="368"/>
        <v>0</v>
      </c>
      <c r="U1252" t="str">
        <f t="shared" si="369"/>
        <v>continue</v>
      </c>
      <c r="V1252" t="str">
        <f t="shared" si="370"/>
        <v>manual</v>
      </c>
      <c r="W1252" s="5">
        <f t="shared" si="371"/>
        <v>1213.1856000000002</v>
      </c>
      <c r="Y1252" t="b">
        <f t="shared" si="372"/>
        <v>1</v>
      </c>
      <c r="Z1252" t="b">
        <f t="shared" si="373"/>
        <v>0</v>
      </c>
      <c r="AB1252" t="str">
        <f t="shared" si="374"/>
        <v/>
      </c>
      <c r="AE1252" t="b">
        <v>0</v>
      </c>
    </row>
    <row r="1253" spans="1:31" x14ac:dyDescent="0.2">
      <c r="A1253" t="str">
        <f t="shared" si="361"/>
        <v>https://shop.officineitalianezard.it/en/ducati-paul-smart-and-gt1000-exhaust-zard/</v>
      </c>
      <c r="B1253" t="b">
        <f>COUNTIF($A$2:$A1253, A1253)&gt;1</f>
        <v>1</v>
      </c>
      <c r="C1253" t="b">
        <f t="shared" si="362"/>
        <v>1</v>
      </c>
      <c r="D1253">
        <f>VLOOKUP(A1253,variant_counts!A:B, 2, FALSE)</f>
        <v>3</v>
      </c>
      <c r="E1253" t="str">
        <f t="shared" si="375"/>
        <v>zard-exhaust-silencers-ducati-sport-1000-paul-smart-200508-overlapped-version-zd019ssr</v>
      </c>
      <c r="F1253" t="str">
        <f t="shared" si="363"/>
        <v>ZARD EXHAUST SILENCERS DUCATI SPORT 1000 &amp; PAUL SMART 2005/08 OVERLAPPED VERSION ZD019SSR</v>
      </c>
      <c r="G1253" t="str">
        <f t="shared" si="364"/>
        <v/>
      </c>
      <c r="H1253" t="str">
        <f t="shared" si="376"/>
        <v/>
      </c>
      <c r="I1253" t="str">
        <f t="shared" si="377"/>
        <v/>
      </c>
      <c r="J1253" t="str">
        <f t="shared" si="378"/>
        <v/>
      </c>
      <c r="K1253" t="str">
        <f t="shared" si="379"/>
        <v/>
      </c>
      <c r="L1253" t="str">
        <f t="shared" si="365"/>
        <v>Option</v>
      </c>
      <c r="M1253" t="str">
        <f t="shared" si="366"/>
        <v>FULL TITANIUM RACING</v>
      </c>
      <c r="R1253" t="str">
        <f t="shared" si="367"/>
        <v>ZD019SSR</v>
      </c>
      <c r="S1253">
        <f t="shared" si="368"/>
        <v>0</v>
      </c>
      <c r="U1253" t="str">
        <f t="shared" si="369"/>
        <v>continue</v>
      </c>
      <c r="V1253" t="str">
        <f t="shared" si="370"/>
        <v>manual</v>
      </c>
      <c r="W1253" s="5">
        <f t="shared" si="371"/>
        <v>1127.2050000000002</v>
      </c>
      <c r="Y1253" t="b">
        <f t="shared" si="372"/>
        <v>1</v>
      </c>
      <c r="Z1253" t="b">
        <f t="shared" si="373"/>
        <v>0</v>
      </c>
      <c r="AB1253" t="str">
        <f t="shared" si="374"/>
        <v/>
      </c>
      <c r="AE1253" t="b">
        <v>0</v>
      </c>
    </row>
    <row r="1254" spans="1:31" x14ac:dyDescent="0.2">
      <c r="A1254" t="str">
        <f t="shared" si="361"/>
        <v>https://shop.officineitalianezard.it/en/ducati-paul-smart-and-gt1000-exhaust-zard-2/</v>
      </c>
      <c r="B1254" t="b">
        <f>COUNTIF($A$2:$A1254, A1254)&gt;1</f>
        <v>0</v>
      </c>
      <c r="C1254" t="b">
        <f t="shared" si="362"/>
        <v>0</v>
      </c>
      <c r="D1254">
        <f>VLOOKUP(A1254,variant_counts!A:B, 2, FALSE)</f>
        <v>5</v>
      </c>
      <c r="E1254" t="str">
        <f t="shared" si="375"/>
        <v>zard-exhaust-full-kit-ducati-sport-1000-paul-smart-200508-22-version-zd018skr</v>
      </c>
      <c r="F1254" t="str">
        <f t="shared" si="363"/>
        <v>ZARD EXHAUST FULL KIT DUCATI SPORT 1000 &amp; PAUL SMART 2005/08 2&gt;2 VERSION ZD018SKR</v>
      </c>
      <c r="G1254" t="str">
        <f t="shared" si="364"/>
        <v>&lt;p&gt;2&amp;gt;2 STEEL FULL KIT RACING WITH REMOVABLE DB KILLER&lt;/p&gt;
&lt;p&gt;ZARD FULL KIT STEEL WEIGHT: KG 5.7&lt;br&gt;ZARD FULL KIT TITANIUM WEIGHT: KG 4.5&lt;/p&gt;
&lt;p&gt;HARD INCREASE, COMPARED TO THE STANDARD EXHAUST SYSTEM, IN TERMS OF TORQUE AND POWER AT ANY RANGE (+4 HP IN RACING VERSION).&lt;/p&gt;
&lt;p&gt;ASTONISHING SOUND.&lt;/p&gt;</v>
      </c>
      <c r="H1254" t="str">
        <f t="shared" si="376"/>
        <v>ZARD</v>
      </c>
      <c r="I1254" t="str">
        <f t="shared" si="377"/>
        <v>Exhaust Pipe</v>
      </c>
      <c r="J1254" t="str">
        <f t="shared" si="378"/>
        <v>Test</v>
      </c>
      <c r="K1254" t="b">
        <f t="shared" si="379"/>
        <v>0</v>
      </c>
      <c r="L1254" t="str">
        <f t="shared" si="365"/>
        <v/>
      </c>
      <c r="M1254" t="str">
        <f t="shared" si="366"/>
        <v/>
      </c>
      <c r="R1254" t="str">
        <f t="shared" si="367"/>
        <v/>
      </c>
      <c r="S1254" t="str">
        <f t="shared" si="368"/>
        <v/>
      </c>
      <c r="U1254" t="str">
        <f t="shared" si="369"/>
        <v/>
      </c>
      <c r="V1254" t="str">
        <f t="shared" si="370"/>
        <v/>
      </c>
      <c r="W1254" s="5" t="str">
        <f t="shared" si="371"/>
        <v/>
      </c>
      <c r="Y1254" t="str">
        <f t="shared" si="372"/>
        <v/>
      </c>
      <c r="Z1254" t="str">
        <f t="shared" si="373"/>
        <v/>
      </c>
      <c r="AB1254" t="str">
        <f t="shared" si="374"/>
        <v>https://shop.officineitalianezard.it/contents/imgs/products/1_430-paul-smart-kit-completo-021.jpg</v>
      </c>
      <c r="AE1254" t="b">
        <v>0</v>
      </c>
    </row>
    <row r="1255" spans="1:31" x14ac:dyDescent="0.2">
      <c r="A1255" t="str">
        <f t="shared" si="361"/>
        <v>https://shop.officineitalianezard.it/en/ducati-paul-smart-and-gt1000-exhaust-zard-2/</v>
      </c>
      <c r="B1255" t="b">
        <f>COUNTIF($A$2:$A1255, A1255)&gt;1</f>
        <v>1</v>
      </c>
      <c r="C1255" t="b">
        <f t="shared" si="362"/>
        <v>0</v>
      </c>
      <c r="D1255">
        <f>VLOOKUP(A1255,variant_counts!A:B, 2, FALSE)</f>
        <v>5</v>
      </c>
      <c r="E1255" t="str">
        <f t="shared" si="375"/>
        <v>zard-exhaust-full-kit-ducati-sport-1000-paul-smart-200508-22-version-zd018skr</v>
      </c>
      <c r="F1255" t="str">
        <f t="shared" si="363"/>
        <v>ZARD EXHAUST FULL KIT DUCATI SPORT 1000 &amp; PAUL SMART 2005/08 2&gt;2 VERSION ZD018SKR</v>
      </c>
      <c r="G1255" t="str">
        <f t="shared" si="364"/>
        <v/>
      </c>
      <c r="H1255" t="str">
        <f t="shared" si="376"/>
        <v/>
      </c>
      <c r="I1255" t="str">
        <f t="shared" si="377"/>
        <v/>
      </c>
      <c r="J1255" t="str">
        <f t="shared" si="378"/>
        <v/>
      </c>
      <c r="K1255" t="str">
        <f t="shared" si="379"/>
        <v/>
      </c>
      <c r="L1255" t="str">
        <f t="shared" si="365"/>
        <v/>
      </c>
      <c r="M1255" t="str">
        <f t="shared" si="366"/>
        <v/>
      </c>
      <c r="R1255" t="str">
        <f t="shared" si="367"/>
        <v/>
      </c>
      <c r="S1255" t="str">
        <f t="shared" si="368"/>
        <v/>
      </c>
      <c r="U1255" t="str">
        <f t="shared" si="369"/>
        <v/>
      </c>
      <c r="V1255" t="str">
        <f t="shared" si="370"/>
        <v/>
      </c>
      <c r="W1255" s="5" t="str">
        <f t="shared" si="371"/>
        <v/>
      </c>
      <c r="Y1255" t="str">
        <f t="shared" si="372"/>
        <v/>
      </c>
      <c r="Z1255" t="str">
        <f t="shared" si="373"/>
        <v/>
      </c>
      <c r="AB1255" t="str">
        <f t="shared" si="374"/>
        <v>https://shop.officineitalianezard.it/contents/imgs/products/1_429-paul-smart-kit-completo-001.jpg</v>
      </c>
      <c r="AE1255" t="b">
        <v>0</v>
      </c>
    </row>
    <row r="1256" spans="1:31" x14ac:dyDescent="0.2">
      <c r="A1256" t="str">
        <f t="shared" si="361"/>
        <v>https://shop.officineitalianezard.it/en/ducati-paul-smart-and-gt1000-exhaust-zard-2/</v>
      </c>
      <c r="B1256" t="b">
        <f>COUNTIF($A$2:$A1256, A1256)&gt;1</f>
        <v>1</v>
      </c>
      <c r="C1256" t="b">
        <f t="shared" si="362"/>
        <v>0</v>
      </c>
      <c r="D1256">
        <f>VLOOKUP(A1256,variant_counts!A:B, 2, FALSE)</f>
        <v>5</v>
      </c>
      <c r="E1256" t="str">
        <f t="shared" si="375"/>
        <v>zard-exhaust-full-kit-ducati-sport-1000-paul-smart-200508-22-version-zd018skr</v>
      </c>
      <c r="F1256" t="str">
        <f t="shared" si="363"/>
        <v>ZARD EXHAUST FULL KIT DUCATI SPORT 1000 &amp; PAUL SMART 2005/08 2&gt;2 VERSION ZD018SKR</v>
      </c>
      <c r="G1256" t="str">
        <f t="shared" si="364"/>
        <v/>
      </c>
      <c r="H1256" t="str">
        <f t="shared" si="376"/>
        <v/>
      </c>
      <c r="I1256" t="str">
        <f t="shared" si="377"/>
        <v/>
      </c>
      <c r="J1256" t="str">
        <f t="shared" si="378"/>
        <v/>
      </c>
      <c r="K1256" t="str">
        <f t="shared" si="379"/>
        <v/>
      </c>
      <c r="L1256" t="str">
        <f t="shared" si="365"/>
        <v/>
      </c>
      <c r="M1256" t="str">
        <f t="shared" si="366"/>
        <v/>
      </c>
      <c r="R1256" t="str">
        <f t="shared" si="367"/>
        <v/>
      </c>
      <c r="S1256" t="str">
        <f t="shared" si="368"/>
        <v/>
      </c>
      <c r="U1256" t="str">
        <f t="shared" si="369"/>
        <v/>
      </c>
      <c r="V1256" t="str">
        <f t="shared" si="370"/>
        <v/>
      </c>
      <c r="W1256" s="5" t="str">
        <f t="shared" si="371"/>
        <v/>
      </c>
      <c r="Y1256" t="str">
        <f t="shared" si="372"/>
        <v/>
      </c>
      <c r="Z1256" t="str">
        <f t="shared" si="373"/>
        <v/>
      </c>
      <c r="AB1256" t="str">
        <f t="shared" si="374"/>
        <v>https://shop.officineitalianezard.it/contents/imgs/products/1_431-paul-smart-kit-completo-016.jpg</v>
      </c>
      <c r="AE1256" t="b">
        <v>0</v>
      </c>
    </row>
    <row r="1257" spans="1:31" x14ac:dyDescent="0.2">
      <c r="A1257" t="str">
        <f t="shared" si="361"/>
        <v>https://shop.officineitalianezard.it/en/ducati-paul-smart-and-gt1000-exhaust-zard-2/</v>
      </c>
      <c r="B1257" t="b">
        <f>COUNTIF($A$2:$A1257, A1257)&gt;1</f>
        <v>1</v>
      </c>
      <c r="C1257" t="b">
        <f t="shared" si="362"/>
        <v>0</v>
      </c>
      <c r="D1257">
        <f>VLOOKUP(A1257,variant_counts!A:B, 2, FALSE)</f>
        <v>5</v>
      </c>
      <c r="E1257" t="str">
        <f t="shared" si="375"/>
        <v>zard-exhaust-full-kit-ducati-sport-1000-paul-smart-200508-22-version-zd018skr</v>
      </c>
      <c r="F1257" t="str">
        <f t="shared" si="363"/>
        <v>ZARD EXHAUST FULL KIT DUCATI SPORT 1000 &amp; PAUL SMART 2005/08 2&gt;2 VERSION ZD018SKR</v>
      </c>
      <c r="G1257" t="str">
        <f t="shared" si="364"/>
        <v/>
      </c>
      <c r="H1257" t="str">
        <f t="shared" si="376"/>
        <v/>
      </c>
      <c r="I1257" t="str">
        <f t="shared" si="377"/>
        <v/>
      </c>
      <c r="J1257" t="str">
        <f t="shared" si="378"/>
        <v/>
      </c>
      <c r="K1257" t="str">
        <f t="shared" si="379"/>
        <v/>
      </c>
      <c r="L1257" t="str">
        <f t="shared" si="365"/>
        <v/>
      </c>
      <c r="M1257" t="str">
        <f t="shared" si="366"/>
        <v/>
      </c>
      <c r="R1257" t="str">
        <f t="shared" si="367"/>
        <v/>
      </c>
      <c r="S1257" t="str">
        <f t="shared" si="368"/>
        <v/>
      </c>
      <c r="U1257" t="str">
        <f t="shared" si="369"/>
        <v/>
      </c>
      <c r="V1257" t="str">
        <f t="shared" si="370"/>
        <v/>
      </c>
      <c r="W1257" s="5" t="str">
        <f t="shared" si="371"/>
        <v/>
      </c>
      <c r="Y1257" t="str">
        <f t="shared" si="372"/>
        <v/>
      </c>
      <c r="Z1257" t="str">
        <f t="shared" si="373"/>
        <v/>
      </c>
      <c r="AB1257" t="str">
        <f t="shared" si="374"/>
        <v>https://shop.officineitalianezard.it/contents/imgs/products/1_531-scarichi%20moto%20scarico%20ducati%20zard.jpg</v>
      </c>
      <c r="AE1257" t="b">
        <v>0</v>
      </c>
    </row>
    <row r="1258" spans="1:31" x14ac:dyDescent="0.2">
      <c r="A1258" t="str">
        <f t="shared" si="361"/>
        <v>https://shop.officineitalianezard.it/en/ducati-paul-smart-and-gt1000-exhaust-zard-2/</v>
      </c>
      <c r="B1258" t="b">
        <f>COUNTIF($A$2:$A1258, A1258)&gt;1</f>
        <v>1</v>
      </c>
      <c r="C1258" t="b">
        <f t="shared" si="362"/>
        <v>0</v>
      </c>
      <c r="D1258">
        <f>VLOOKUP(A1258,variant_counts!A:B, 2, FALSE)</f>
        <v>5</v>
      </c>
      <c r="E1258" t="str">
        <f t="shared" si="375"/>
        <v>zard-exhaust-full-kit-ducati-sport-1000-paul-smart-200508-22-version-zd018skr</v>
      </c>
      <c r="F1258" t="str">
        <f t="shared" si="363"/>
        <v>ZARD EXHAUST FULL KIT DUCATI SPORT 1000 &amp; PAUL SMART 2005/08 2&gt;2 VERSION ZD018SKR</v>
      </c>
      <c r="G1258" t="str">
        <f t="shared" si="364"/>
        <v/>
      </c>
      <c r="H1258" t="str">
        <f t="shared" si="376"/>
        <v/>
      </c>
      <c r="I1258" t="str">
        <f t="shared" si="377"/>
        <v/>
      </c>
      <c r="J1258" t="str">
        <f t="shared" si="378"/>
        <v/>
      </c>
      <c r="K1258" t="str">
        <f t="shared" si="379"/>
        <v/>
      </c>
      <c r="L1258" t="str">
        <f t="shared" si="365"/>
        <v/>
      </c>
      <c r="M1258" t="str">
        <f t="shared" si="366"/>
        <v/>
      </c>
      <c r="R1258" t="str">
        <f t="shared" si="367"/>
        <v/>
      </c>
      <c r="S1258" t="str">
        <f t="shared" si="368"/>
        <v/>
      </c>
      <c r="U1258" t="str">
        <f t="shared" si="369"/>
        <v/>
      </c>
      <c r="V1258" t="str">
        <f t="shared" si="370"/>
        <v/>
      </c>
      <c r="W1258" s="5" t="str">
        <f t="shared" si="371"/>
        <v/>
      </c>
      <c r="Y1258" t="str">
        <f t="shared" si="372"/>
        <v/>
      </c>
      <c r="Z1258" t="str">
        <f t="shared" si="373"/>
        <v/>
      </c>
      <c r="AB1258" t="str">
        <f t="shared" si="374"/>
        <v>https://shop.officineitalianezard.it/contents/imgs/products/1_1251-zard%20paul%20smart%20exhaust.jpg</v>
      </c>
      <c r="AE1258" t="b">
        <v>0</v>
      </c>
    </row>
    <row r="1259" spans="1:31" x14ac:dyDescent="0.2">
      <c r="A1259" t="str">
        <f t="shared" si="361"/>
        <v>https://shop.officineitalianezard.it/en/ducati-paul-smart-and-gt1000-exhaust-zard-2/</v>
      </c>
      <c r="B1259" t="b">
        <f>COUNTIF($A$2:$A1259, A1259)&gt;1</f>
        <v>1</v>
      </c>
      <c r="C1259" t="b">
        <f t="shared" si="362"/>
        <v>1</v>
      </c>
      <c r="D1259">
        <f>VLOOKUP(A1259,variant_counts!A:B, 2, FALSE)</f>
        <v>5</v>
      </c>
      <c r="E1259" t="str">
        <f t="shared" si="375"/>
        <v>zard-exhaust-full-kit-ducati-sport-1000-paul-smart-200508-22-version-zd018skr</v>
      </c>
      <c r="F1259" t="str">
        <f t="shared" si="363"/>
        <v>ZARD EXHAUST FULL KIT DUCATI SPORT 1000 &amp; PAUL SMART 2005/08 2&gt;2 VERSION ZD018SKR</v>
      </c>
      <c r="G1259" t="str">
        <f t="shared" si="364"/>
        <v/>
      </c>
      <c r="H1259" t="str">
        <f t="shared" si="376"/>
        <v/>
      </c>
      <c r="I1259" t="str">
        <f t="shared" si="377"/>
        <v/>
      </c>
      <c r="J1259" t="str">
        <f t="shared" si="378"/>
        <v/>
      </c>
      <c r="K1259" t="str">
        <f t="shared" si="379"/>
        <v/>
      </c>
      <c r="L1259" t="str">
        <f t="shared" si="365"/>
        <v>Option</v>
      </c>
      <c r="M1259" t="str">
        <f t="shared" si="366"/>
        <v>HOMOLOGATED</v>
      </c>
      <c r="R1259" t="str">
        <f t="shared" si="367"/>
        <v>ZD018SKR</v>
      </c>
      <c r="S1259">
        <f t="shared" si="368"/>
        <v>0</v>
      </c>
      <c r="U1259" t="str">
        <f t="shared" si="369"/>
        <v>continue</v>
      </c>
      <c r="V1259" t="str">
        <f t="shared" si="370"/>
        <v>manual</v>
      </c>
      <c r="W1259" s="5">
        <f t="shared" si="371"/>
        <v>1647.5286000000001</v>
      </c>
      <c r="Y1259" t="b">
        <f t="shared" si="372"/>
        <v>1</v>
      </c>
      <c r="Z1259" t="b">
        <f t="shared" si="373"/>
        <v>0</v>
      </c>
      <c r="AB1259" t="str">
        <f t="shared" si="374"/>
        <v/>
      </c>
      <c r="AE1259" t="b">
        <v>0</v>
      </c>
    </row>
    <row r="1260" spans="1:31" x14ac:dyDescent="0.2">
      <c r="A1260" t="str">
        <f t="shared" si="361"/>
        <v>https://shop.officineitalianezard.it/en/ducati-paul-smart-and-gt1000-exhaust-zard-2/</v>
      </c>
      <c r="B1260" t="b">
        <f>COUNTIF($A$2:$A1260, A1260)&gt;1</f>
        <v>1</v>
      </c>
      <c r="C1260" t="b">
        <f t="shared" si="362"/>
        <v>1</v>
      </c>
      <c r="D1260">
        <f>VLOOKUP(A1260,variant_counts!A:B, 2, FALSE)</f>
        <v>5</v>
      </c>
      <c r="E1260" t="str">
        <f t="shared" si="375"/>
        <v>zard-exhaust-full-kit-ducati-sport-1000-paul-smart-200508-22-version-zd018skr</v>
      </c>
      <c r="F1260" t="str">
        <f t="shared" si="363"/>
        <v>ZARD EXHAUST FULL KIT DUCATI SPORT 1000 &amp; PAUL SMART 2005/08 2&gt;2 VERSION ZD018SKR</v>
      </c>
      <c r="G1260" t="str">
        <f t="shared" si="364"/>
        <v/>
      </c>
      <c r="H1260" t="str">
        <f t="shared" si="376"/>
        <v/>
      </c>
      <c r="I1260" t="str">
        <f t="shared" si="377"/>
        <v/>
      </c>
      <c r="J1260" t="str">
        <f t="shared" si="378"/>
        <v/>
      </c>
      <c r="K1260" t="str">
        <f t="shared" si="379"/>
        <v/>
      </c>
      <c r="L1260" t="str">
        <f t="shared" si="365"/>
        <v>Option</v>
      </c>
      <c r="M1260" t="str">
        <f t="shared" si="366"/>
        <v>FULL RACING TITANIUM</v>
      </c>
      <c r="R1260" t="str">
        <f t="shared" si="367"/>
        <v>ZD018SKR</v>
      </c>
      <c r="S1260">
        <f t="shared" si="368"/>
        <v>0</v>
      </c>
      <c r="U1260" t="str">
        <f t="shared" si="369"/>
        <v>continue</v>
      </c>
      <c r="V1260" t="str">
        <f t="shared" si="370"/>
        <v>manual</v>
      </c>
      <c r="W1260" s="5">
        <f t="shared" si="371"/>
        <v>2577.7530000000006</v>
      </c>
      <c r="Y1260" t="b">
        <f t="shared" si="372"/>
        <v>1</v>
      </c>
      <c r="Z1260" t="b">
        <f t="shared" si="373"/>
        <v>0</v>
      </c>
      <c r="AB1260" t="str">
        <f t="shared" si="374"/>
        <v/>
      </c>
      <c r="AE1260" t="b">
        <v>0</v>
      </c>
    </row>
    <row r="1261" spans="1:31" x14ac:dyDescent="0.2">
      <c r="A1261" t="str">
        <f t="shared" si="361"/>
        <v>https://shop.officineitalianezard.it/en/ducati-paul-smart-and-gt1000-exhaust-zard-2/</v>
      </c>
      <c r="B1261" t="b">
        <f>COUNTIF($A$2:$A1261, A1261)&gt;1</f>
        <v>1</v>
      </c>
      <c r="C1261" t="b">
        <f t="shared" si="362"/>
        <v>1</v>
      </c>
      <c r="D1261">
        <f>VLOOKUP(A1261,variant_counts!A:B, 2, FALSE)</f>
        <v>5</v>
      </c>
      <c r="E1261" t="str">
        <f t="shared" si="375"/>
        <v>zard-exhaust-full-kit-ducati-sport-1000-paul-smart-200508-22-version-zd018skr</v>
      </c>
      <c r="F1261" t="str">
        <f t="shared" si="363"/>
        <v>ZARD EXHAUST FULL KIT DUCATI SPORT 1000 &amp; PAUL SMART 2005/08 2&gt;2 VERSION ZD018SKR</v>
      </c>
      <c r="G1261" t="str">
        <f t="shared" si="364"/>
        <v/>
      </c>
      <c r="H1261" t="str">
        <f t="shared" si="376"/>
        <v/>
      </c>
      <c r="I1261" t="str">
        <f t="shared" si="377"/>
        <v/>
      </c>
      <c r="J1261" t="str">
        <f t="shared" si="378"/>
        <v/>
      </c>
      <c r="K1261" t="str">
        <f t="shared" si="379"/>
        <v/>
      </c>
      <c r="L1261" t="str">
        <f t="shared" si="365"/>
        <v>Option</v>
      </c>
      <c r="M1261" t="str">
        <f t="shared" si="366"/>
        <v>FULL HOMOLOGATED TITANIUM</v>
      </c>
      <c r="R1261" t="str">
        <f t="shared" si="367"/>
        <v>ZD018SKR</v>
      </c>
      <c r="S1261">
        <f t="shared" si="368"/>
        <v>0</v>
      </c>
      <c r="U1261" t="str">
        <f t="shared" si="369"/>
        <v>continue</v>
      </c>
      <c r="V1261" t="str">
        <f t="shared" si="370"/>
        <v>manual</v>
      </c>
      <c r="W1261" s="5">
        <f t="shared" si="371"/>
        <v>2698.1214</v>
      </c>
      <c r="Y1261" t="b">
        <f t="shared" si="372"/>
        <v>1</v>
      </c>
      <c r="Z1261" t="b">
        <f t="shared" si="373"/>
        <v>0</v>
      </c>
      <c r="AB1261" t="str">
        <f t="shared" si="374"/>
        <v/>
      </c>
      <c r="AE1261" t="b">
        <v>0</v>
      </c>
    </row>
    <row r="1262" spans="1:31" x14ac:dyDescent="0.2">
      <c r="A1262" t="str">
        <f t="shared" si="361"/>
        <v>https://shop.officineitalianezard.it/en/ducati-paul-smart-and-gt1000-exhaust-zard-2/</v>
      </c>
      <c r="B1262" t="b">
        <f>COUNTIF($A$2:$A1262, A1262)&gt;1</f>
        <v>1</v>
      </c>
      <c r="C1262" t="b">
        <f t="shared" si="362"/>
        <v>1</v>
      </c>
      <c r="D1262">
        <f>VLOOKUP(A1262,variant_counts!A:B, 2, FALSE)</f>
        <v>5</v>
      </c>
      <c r="E1262" t="str">
        <f t="shared" si="375"/>
        <v>zard-exhaust-full-kit-ducati-sport-1000-paul-smart-200508-22-version-zd018skr</v>
      </c>
      <c r="F1262" t="str">
        <f t="shared" si="363"/>
        <v>ZARD EXHAUST FULL KIT DUCATI SPORT 1000 &amp; PAUL SMART 2005/08 2&gt;2 VERSION ZD018SKR</v>
      </c>
      <c r="G1262" t="str">
        <f t="shared" si="364"/>
        <v/>
      </c>
      <c r="H1262" t="str">
        <f t="shared" si="376"/>
        <v/>
      </c>
      <c r="I1262" t="str">
        <f t="shared" si="377"/>
        <v/>
      </c>
      <c r="J1262" t="str">
        <f t="shared" si="378"/>
        <v/>
      </c>
      <c r="K1262" t="str">
        <f t="shared" si="379"/>
        <v/>
      </c>
      <c r="L1262" t="str">
        <f t="shared" si="365"/>
        <v>Option</v>
      </c>
      <c r="M1262" t="str">
        <f t="shared" si="366"/>
        <v>BLACK COATING</v>
      </c>
      <c r="R1262" t="str">
        <f t="shared" si="367"/>
        <v>ZD018SKR</v>
      </c>
      <c r="S1262">
        <f t="shared" si="368"/>
        <v>0</v>
      </c>
      <c r="U1262" t="str">
        <f t="shared" si="369"/>
        <v>continue</v>
      </c>
      <c r="V1262" t="str">
        <f t="shared" si="370"/>
        <v>manual</v>
      </c>
      <c r="W1262" s="5">
        <f t="shared" si="371"/>
        <v>1886.6337000000003</v>
      </c>
      <c r="Y1262" t="b">
        <f t="shared" si="372"/>
        <v>1</v>
      </c>
      <c r="Z1262" t="b">
        <f t="shared" si="373"/>
        <v>0</v>
      </c>
      <c r="AB1262" t="str">
        <f t="shared" si="374"/>
        <v/>
      </c>
      <c r="AE1262" t="b">
        <v>0</v>
      </c>
    </row>
    <row r="1263" spans="1:31" x14ac:dyDescent="0.2">
      <c r="A1263" t="str">
        <f t="shared" si="361"/>
        <v>https://shop.officineitalianezard.it/en/ducati-paul-smart-and-gt1000-exhaust-zard-2/</v>
      </c>
      <c r="B1263" t="b">
        <f>COUNTIF($A$2:$A1263, A1263)&gt;1</f>
        <v>1</v>
      </c>
      <c r="C1263" t="b">
        <f t="shared" si="362"/>
        <v>1</v>
      </c>
      <c r="D1263">
        <f>VLOOKUP(A1263,variant_counts!A:B, 2, FALSE)</f>
        <v>5</v>
      </c>
      <c r="E1263" t="str">
        <f t="shared" si="375"/>
        <v>zard-exhaust-full-kit-ducati-sport-1000-paul-smart-200508-22-version-zd018skr</v>
      </c>
      <c r="F1263" t="str">
        <f t="shared" si="363"/>
        <v>ZARD EXHAUST FULL KIT DUCATI SPORT 1000 &amp; PAUL SMART 2005/08 2&gt;2 VERSION ZD018SKR</v>
      </c>
      <c r="G1263" t="str">
        <f t="shared" si="364"/>
        <v/>
      </c>
      <c r="H1263" t="str">
        <f t="shared" si="376"/>
        <v/>
      </c>
      <c r="I1263" t="str">
        <f t="shared" si="377"/>
        <v/>
      </c>
      <c r="J1263" t="str">
        <f t="shared" si="378"/>
        <v/>
      </c>
      <c r="K1263" t="str">
        <f t="shared" si="379"/>
        <v/>
      </c>
      <c r="L1263" t="str">
        <f t="shared" si="365"/>
        <v>Option</v>
      </c>
      <c r="M1263" t="str">
        <f t="shared" si="366"/>
        <v>FULL TITANIUM SNAKE WELDED</v>
      </c>
      <c r="R1263" t="str">
        <f t="shared" si="367"/>
        <v>ZD018SKR</v>
      </c>
      <c r="S1263">
        <f t="shared" si="368"/>
        <v>0</v>
      </c>
      <c r="U1263" t="str">
        <f t="shared" si="369"/>
        <v>continue</v>
      </c>
      <c r="V1263" t="str">
        <f t="shared" si="370"/>
        <v>manual</v>
      </c>
      <c r="W1263" s="5">
        <f t="shared" si="371"/>
        <v>3282.7806000000005</v>
      </c>
      <c r="Y1263" t="b">
        <f t="shared" si="372"/>
        <v>1</v>
      </c>
      <c r="Z1263" t="b">
        <f t="shared" si="373"/>
        <v>0</v>
      </c>
      <c r="AB1263" t="str">
        <f t="shared" si="374"/>
        <v/>
      </c>
      <c r="AE1263" t="b">
        <v>0</v>
      </c>
    </row>
    <row r="1264" spans="1:31" x14ac:dyDescent="0.2">
      <c r="A1264" t="str">
        <f t="shared" si="361"/>
        <v>https://shop.officineitalianezard.it/en/products/index/ducati-xdiavel-exhaust-zard-7855-227/</v>
      </c>
      <c r="B1264" t="b">
        <f>COUNTIF($A$2:$A1264, A1264)&gt;1</f>
        <v>0</v>
      </c>
      <c r="C1264" t="b">
        <f t="shared" si="362"/>
        <v>0</v>
      </c>
      <c r="D1264">
        <f>VLOOKUP(A1264,variant_counts!A:B, 2, FALSE)</f>
        <v>4</v>
      </c>
      <c r="E1264" t="str">
        <f t="shared" si="375"/>
        <v>zard-exhaust-kit-ducati-xdiavel-201619-212-zd124skr</v>
      </c>
      <c r="F1264" t="str">
        <f t="shared" si="363"/>
        <v>ZARD EXHAUST KIT DUCATI XDIAVEL 2016/19 2&gt;1&gt;2 ZD124SKR</v>
      </c>
      <c r="G1264" t="str">
        <f t="shared" si="364"/>
        <v>&lt;p&gt;STEEL RACING 2&amp;gt;1&amp;gt;2&amp;nbsp;KIT WITH REMOVABLE DBKILLERS&lt;br&gt;&lt;strong&gt;&lt;/strong&gt;&lt;/p&gt;
&lt;p&gt;ORIGINAL EXHAUST WEIGHT: 9,5 KG&lt;br&gt;ZARD EXHAUST WEIGHT: 4,2 KG&lt;/p&gt;
&lt;p&gt;&lt;span&gt;THE INSTALLATION OF ZARD EXHAUST DOES NOT IMPLY&lt;br&gt;ANY MODIFICATION TO ECU&lt;/span&gt;&lt;/p&gt;
&lt;p&gt;KIT INCLUDES HEAT SHIELD, BACK CARBON FENDER&lt;br&gt;AND THE EXHAUST SERVO ELIMINATOR&lt;/p&gt;
&lt;p&gt;EXCLUSIVE DESIGN,&amp;nbsp;ASTONISHING SOUND.&lt;/p&gt;
&lt;p&gt;&lt;strong&gt;&lt;/strong&gt;&lt;/p&gt;</v>
      </c>
      <c r="H1264" t="str">
        <f t="shared" si="376"/>
        <v>ZARD</v>
      </c>
      <c r="I1264" t="str">
        <f t="shared" si="377"/>
        <v>Exhaust Pipe</v>
      </c>
      <c r="J1264" t="str">
        <f t="shared" si="378"/>
        <v>Test</v>
      </c>
      <c r="K1264" t="b">
        <f t="shared" si="379"/>
        <v>0</v>
      </c>
      <c r="L1264" t="str">
        <f t="shared" si="365"/>
        <v/>
      </c>
      <c r="M1264" t="str">
        <f t="shared" si="366"/>
        <v/>
      </c>
      <c r="R1264" t="str">
        <f t="shared" si="367"/>
        <v/>
      </c>
      <c r="S1264" t="str">
        <f t="shared" si="368"/>
        <v/>
      </c>
      <c r="U1264" t="str">
        <f t="shared" si="369"/>
        <v/>
      </c>
      <c r="V1264" t="str">
        <f t="shared" si="370"/>
        <v/>
      </c>
      <c r="W1264" s="5" t="str">
        <f t="shared" si="371"/>
        <v/>
      </c>
      <c r="Y1264" t="str">
        <f t="shared" si="372"/>
        <v/>
      </c>
      <c r="Z1264" t="str">
        <f t="shared" si="373"/>
        <v/>
      </c>
      <c r="AB1264" t="str">
        <f t="shared" si="374"/>
        <v>https://shop.officineitalianezard.it/contents/imgs/products/1_2521-scarico%20ducati%20xdiavel%20zard%20acciaio%20inox.jpg</v>
      </c>
      <c r="AE1264" t="b">
        <v>0</v>
      </c>
    </row>
    <row r="1265" spans="1:31" x14ac:dyDescent="0.2">
      <c r="A1265" t="str">
        <f t="shared" si="361"/>
        <v>https://shop.officineitalianezard.it/en/products/index/ducati-xdiavel-exhaust-zard-7855-227/</v>
      </c>
      <c r="B1265" t="b">
        <f>COUNTIF($A$2:$A1265, A1265)&gt;1</f>
        <v>1</v>
      </c>
      <c r="C1265" t="b">
        <f t="shared" si="362"/>
        <v>0</v>
      </c>
      <c r="D1265">
        <f>VLOOKUP(A1265,variant_counts!A:B, 2, FALSE)</f>
        <v>4</v>
      </c>
      <c r="E1265" t="str">
        <f t="shared" si="375"/>
        <v>zard-exhaust-kit-ducati-xdiavel-201619-212-zd124skr</v>
      </c>
      <c r="F1265" t="str">
        <f t="shared" si="363"/>
        <v>ZARD EXHAUST KIT DUCATI XDIAVEL 2016/19 2&gt;1&gt;2 ZD124SKR</v>
      </c>
      <c r="G1265" t="str">
        <f t="shared" si="364"/>
        <v/>
      </c>
      <c r="H1265" t="str">
        <f t="shared" si="376"/>
        <v/>
      </c>
      <c r="I1265" t="str">
        <f t="shared" si="377"/>
        <v/>
      </c>
      <c r="J1265" t="str">
        <f t="shared" si="378"/>
        <v/>
      </c>
      <c r="K1265" t="str">
        <f t="shared" si="379"/>
        <v/>
      </c>
      <c r="L1265" t="str">
        <f t="shared" si="365"/>
        <v/>
      </c>
      <c r="M1265" t="str">
        <f t="shared" si="366"/>
        <v/>
      </c>
      <c r="R1265" t="str">
        <f t="shared" si="367"/>
        <v/>
      </c>
      <c r="S1265" t="str">
        <f t="shared" si="368"/>
        <v/>
      </c>
      <c r="U1265" t="str">
        <f t="shared" si="369"/>
        <v/>
      </c>
      <c r="V1265" t="str">
        <f t="shared" si="370"/>
        <v/>
      </c>
      <c r="W1265" s="5" t="str">
        <f t="shared" si="371"/>
        <v/>
      </c>
      <c r="Y1265" t="str">
        <f t="shared" si="372"/>
        <v/>
      </c>
      <c r="Z1265" t="str">
        <f t="shared" si="373"/>
        <v/>
      </c>
      <c r="AB1265" t="str">
        <f t="shared" si="374"/>
        <v>https://shop.officineitalianezard.it/contents/imgs/products/1_2522-scarico%20ducati%20xdiavel%20zard%20nero.jpg</v>
      </c>
      <c r="AE1265" t="b">
        <v>0</v>
      </c>
    </row>
    <row r="1266" spans="1:31" x14ac:dyDescent="0.2">
      <c r="A1266" t="str">
        <f t="shared" si="361"/>
        <v>https://shop.officineitalianezard.it/en/products/index/ducati-xdiavel-exhaust-zard-7855-227/</v>
      </c>
      <c r="B1266" t="b">
        <f>COUNTIF($A$2:$A1266, A1266)&gt;1</f>
        <v>1</v>
      </c>
      <c r="C1266" t="b">
        <f t="shared" si="362"/>
        <v>0</v>
      </c>
      <c r="D1266">
        <f>VLOOKUP(A1266,variant_counts!A:B, 2, FALSE)</f>
        <v>4</v>
      </c>
      <c r="E1266" t="str">
        <f t="shared" si="375"/>
        <v>zard-exhaust-kit-ducati-xdiavel-201619-212-zd124skr</v>
      </c>
      <c r="F1266" t="str">
        <f t="shared" si="363"/>
        <v>ZARD EXHAUST KIT DUCATI XDIAVEL 2016/19 2&gt;1&gt;2 ZD124SKR</v>
      </c>
      <c r="G1266" t="str">
        <f t="shared" si="364"/>
        <v/>
      </c>
      <c r="H1266" t="str">
        <f t="shared" si="376"/>
        <v/>
      </c>
      <c r="I1266" t="str">
        <f t="shared" si="377"/>
        <v/>
      </c>
      <c r="J1266" t="str">
        <f t="shared" si="378"/>
        <v/>
      </c>
      <c r="K1266" t="str">
        <f t="shared" si="379"/>
        <v/>
      </c>
      <c r="L1266" t="str">
        <f t="shared" si="365"/>
        <v/>
      </c>
      <c r="M1266" t="str">
        <f t="shared" si="366"/>
        <v/>
      </c>
      <c r="R1266" t="str">
        <f t="shared" si="367"/>
        <v/>
      </c>
      <c r="S1266" t="str">
        <f t="shared" si="368"/>
        <v/>
      </c>
      <c r="U1266" t="str">
        <f t="shared" si="369"/>
        <v/>
      </c>
      <c r="V1266" t="str">
        <f t="shared" si="370"/>
        <v/>
      </c>
      <c r="W1266" s="5" t="str">
        <f t="shared" si="371"/>
        <v/>
      </c>
      <c r="Y1266" t="str">
        <f t="shared" si="372"/>
        <v/>
      </c>
      <c r="Z1266" t="str">
        <f t="shared" si="373"/>
        <v/>
      </c>
      <c r="AB1266" t="str">
        <f t="shared" si="374"/>
        <v>https://shop.officineitalianezard.it/contents/imgs/products/1_2415-scarico%20xdiavel%20zard%201.jpg</v>
      </c>
      <c r="AE1266" t="b">
        <v>0</v>
      </c>
    </row>
    <row r="1267" spans="1:31" x14ac:dyDescent="0.2">
      <c r="A1267" t="str">
        <f t="shared" si="361"/>
        <v>https://shop.officineitalianezard.it/en/products/index/ducati-xdiavel-exhaust-zard-7855-227/</v>
      </c>
      <c r="B1267" t="b">
        <f>COUNTIF($A$2:$A1267, A1267)&gt;1</f>
        <v>1</v>
      </c>
      <c r="C1267" t="b">
        <f t="shared" si="362"/>
        <v>0</v>
      </c>
      <c r="D1267">
        <f>VLOOKUP(A1267,variant_counts!A:B, 2, FALSE)</f>
        <v>4</v>
      </c>
      <c r="E1267" t="str">
        <f t="shared" si="375"/>
        <v>zard-exhaust-kit-ducati-xdiavel-201619-212-zd124skr</v>
      </c>
      <c r="F1267" t="str">
        <f t="shared" si="363"/>
        <v>ZARD EXHAUST KIT DUCATI XDIAVEL 2016/19 2&gt;1&gt;2 ZD124SKR</v>
      </c>
      <c r="G1267" t="str">
        <f t="shared" si="364"/>
        <v/>
      </c>
      <c r="H1267" t="str">
        <f t="shared" si="376"/>
        <v/>
      </c>
      <c r="I1267" t="str">
        <f t="shared" si="377"/>
        <v/>
      </c>
      <c r="J1267" t="str">
        <f t="shared" si="378"/>
        <v/>
      </c>
      <c r="K1267" t="str">
        <f t="shared" si="379"/>
        <v/>
      </c>
      <c r="L1267" t="str">
        <f t="shared" si="365"/>
        <v/>
      </c>
      <c r="M1267" t="str">
        <f t="shared" si="366"/>
        <v/>
      </c>
      <c r="R1267" t="str">
        <f t="shared" si="367"/>
        <v/>
      </c>
      <c r="S1267" t="str">
        <f t="shared" si="368"/>
        <v/>
      </c>
      <c r="U1267" t="str">
        <f t="shared" si="369"/>
        <v/>
      </c>
      <c r="V1267" t="str">
        <f t="shared" si="370"/>
        <v/>
      </c>
      <c r="W1267" s="5" t="str">
        <f t="shared" si="371"/>
        <v/>
      </c>
      <c r="Y1267" t="str">
        <f t="shared" si="372"/>
        <v/>
      </c>
      <c r="Z1267" t="str">
        <f t="shared" si="373"/>
        <v/>
      </c>
      <c r="AB1267" t="str">
        <f t="shared" si="374"/>
        <v>https://shop.officineitalianezard.it/contents/imgs/products/1_2416-ducati%20xdiavel%20scarichi%202.jpg</v>
      </c>
      <c r="AE1267" t="b">
        <v>0</v>
      </c>
    </row>
    <row r="1268" spans="1:31" x14ac:dyDescent="0.2">
      <c r="A1268" t="str">
        <f t="shared" si="361"/>
        <v>https://shop.officineitalianezard.it/en/products/index/ducati-xdiavel-exhaust-zard-7855-227/</v>
      </c>
      <c r="B1268" t="b">
        <f>COUNTIF($A$2:$A1268, A1268)&gt;1</f>
        <v>1</v>
      </c>
      <c r="C1268" t="b">
        <f t="shared" si="362"/>
        <v>0</v>
      </c>
      <c r="D1268">
        <f>VLOOKUP(A1268,variant_counts!A:B, 2, FALSE)</f>
        <v>4</v>
      </c>
      <c r="E1268" t="str">
        <f t="shared" si="375"/>
        <v>zard-exhaust-kit-ducati-xdiavel-201619-212-zd124skr</v>
      </c>
      <c r="F1268" t="str">
        <f t="shared" si="363"/>
        <v>ZARD EXHAUST KIT DUCATI XDIAVEL 2016/19 2&gt;1&gt;2 ZD124SKR</v>
      </c>
      <c r="G1268" t="str">
        <f t="shared" si="364"/>
        <v/>
      </c>
      <c r="H1268" t="str">
        <f t="shared" si="376"/>
        <v/>
      </c>
      <c r="I1268" t="str">
        <f t="shared" si="377"/>
        <v/>
      </c>
      <c r="J1268" t="str">
        <f t="shared" si="378"/>
        <v/>
      </c>
      <c r="K1268" t="str">
        <f t="shared" si="379"/>
        <v/>
      </c>
      <c r="L1268" t="str">
        <f t="shared" si="365"/>
        <v/>
      </c>
      <c r="M1268" t="str">
        <f t="shared" si="366"/>
        <v/>
      </c>
      <c r="R1268" t="str">
        <f t="shared" si="367"/>
        <v/>
      </c>
      <c r="S1268" t="str">
        <f t="shared" si="368"/>
        <v/>
      </c>
      <c r="U1268" t="str">
        <f t="shared" si="369"/>
        <v/>
      </c>
      <c r="V1268" t="str">
        <f t="shared" si="370"/>
        <v/>
      </c>
      <c r="W1268" s="5" t="str">
        <f t="shared" si="371"/>
        <v/>
      </c>
      <c r="Y1268" t="str">
        <f t="shared" si="372"/>
        <v/>
      </c>
      <c r="Z1268" t="str">
        <f t="shared" si="373"/>
        <v/>
      </c>
      <c r="AB1268" t="str">
        <f t="shared" si="374"/>
        <v>https://shop.officineitalianezard.it/contents/imgs/products/1_2413-1%20nero.jpg</v>
      </c>
      <c r="AE1268" t="b">
        <v>0</v>
      </c>
    </row>
    <row r="1269" spans="1:31" x14ac:dyDescent="0.2">
      <c r="A1269" t="str">
        <f t="shared" si="361"/>
        <v>https://shop.officineitalianezard.it/en/products/index/ducati-xdiavel-exhaust-zard-7855-227/</v>
      </c>
      <c r="B1269" t="b">
        <f>COUNTIF($A$2:$A1269, A1269)&gt;1</f>
        <v>1</v>
      </c>
      <c r="C1269" t="b">
        <f t="shared" si="362"/>
        <v>1</v>
      </c>
      <c r="D1269">
        <f>VLOOKUP(A1269,variant_counts!A:B, 2, FALSE)</f>
        <v>4</v>
      </c>
      <c r="E1269" t="str">
        <f t="shared" si="375"/>
        <v>zard-exhaust-kit-ducati-xdiavel-201619-212-zd124skr</v>
      </c>
      <c r="F1269" t="str">
        <f t="shared" si="363"/>
        <v>ZARD EXHAUST KIT DUCATI XDIAVEL 2016/19 2&gt;1&gt;2 ZD124SKR</v>
      </c>
      <c r="G1269" t="str">
        <f t="shared" si="364"/>
        <v/>
      </c>
      <c r="H1269" t="str">
        <f t="shared" si="376"/>
        <v/>
      </c>
      <c r="I1269" t="str">
        <f t="shared" si="377"/>
        <v/>
      </c>
      <c r="J1269" t="str">
        <f t="shared" si="378"/>
        <v/>
      </c>
      <c r="K1269" t="str">
        <f t="shared" si="379"/>
        <v/>
      </c>
      <c r="L1269" t="str">
        <f t="shared" si="365"/>
        <v>Option</v>
      </c>
      <c r="M1269" t="str">
        <f t="shared" si="366"/>
        <v>BLACK CERAMIC COATING</v>
      </c>
      <c r="R1269" t="str">
        <f t="shared" si="367"/>
        <v>ZD124SKR</v>
      </c>
      <c r="S1269">
        <f t="shared" si="368"/>
        <v>0</v>
      </c>
      <c r="U1269" t="str">
        <f t="shared" si="369"/>
        <v>continue</v>
      </c>
      <c r="V1269" t="str">
        <f t="shared" si="370"/>
        <v>manual</v>
      </c>
      <c r="W1269" s="5">
        <f t="shared" si="371"/>
        <v>2301.7959000000001</v>
      </c>
      <c r="Y1269" t="b">
        <f t="shared" si="372"/>
        <v>1</v>
      </c>
      <c r="Z1269" t="b">
        <f t="shared" si="373"/>
        <v>0</v>
      </c>
      <c r="AB1269" t="str">
        <f t="shared" si="374"/>
        <v/>
      </c>
      <c r="AE1269" t="b">
        <v>0</v>
      </c>
    </row>
    <row r="1270" spans="1:31" x14ac:dyDescent="0.2">
      <c r="A1270" t="str">
        <f t="shared" si="361"/>
        <v>https://shop.officineitalianezard.it/en/products/index/ducati-xdiavel-exhaust-zard-7855-227/</v>
      </c>
      <c r="B1270" t="b">
        <f>COUNTIF($A$2:$A1270, A1270)&gt;1</f>
        <v>1</v>
      </c>
      <c r="C1270" t="b">
        <f t="shared" si="362"/>
        <v>1</v>
      </c>
      <c r="D1270">
        <f>VLOOKUP(A1270,variant_counts!A:B, 2, FALSE)</f>
        <v>4</v>
      </c>
      <c r="E1270" t="str">
        <f t="shared" si="375"/>
        <v>zard-exhaust-kit-ducati-xdiavel-201619-212-zd124skr</v>
      </c>
      <c r="F1270" t="str">
        <f t="shared" si="363"/>
        <v>ZARD EXHAUST KIT DUCATI XDIAVEL 2016/19 2&gt;1&gt;2 ZD124SKR</v>
      </c>
      <c r="G1270" t="str">
        <f t="shared" si="364"/>
        <v/>
      </c>
      <c r="H1270" t="str">
        <f t="shared" si="376"/>
        <v/>
      </c>
      <c r="I1270" t="str">
        <f t="shared" si="377"/>
        <v/>
      </c>
      <c r="J1270" t="str">
        <f t="shared" si="378"/>
        <v/>
      </c>
      <c r="K1270" t="str">
        <f t="shared" si="379"/>
        <v/>
      </c>
      <c r="L1270" t="str">
        <f t="shared" si="365"/>
        <v>Option</v>
      </c>
      <c r="M1270" t="str">
        <f t="shared" si="366"/>
        <v>FRONT CARBON FENDER</v>
      </c>
      <c r="R1270" t="str">
        <f t="shared" si="367"/>
        <v>ZD124SKR</v>
      </c>
      <c r="S1270">
        <f t="shared" si="368"/>
        <v>0</v>
      </c>
      <c r="U1270" t="str">
        <f t="shared" si="369"/>
        <v>continue</v>
      </c>
      <c r="V1270" t="str">
        <f t="shared" si="370"/>
        <v>manual</v>
      </c>
      <c r="W1270" s="5">
        <f t="shared" si="371"/>
        <v>2336.1837000000005</v>
      </c>
      <c r="Y1270" t="b">
        <f t="shared" si="372"/>
        <v>1</v>
      </c>
      <c r="Z1270" t="b">
        <f t="shared" si="373"/>
        <v>0</v>
      </c>
      <c r="AB1270" t="str">
        <f t="shared" si="374"/>
        <v/>
      </c>
      <c r="AE1270" t="b">
        <v>0</v>
      </c>
    </row>
    <row r="1271" spans="1:31" x14ac:dyDescent="0.2">
      <c r="A1271" t="str">
        <f t="shared" si="361"/>
        <v>https://shop.officineitalianezard.it/en/products/index/ducati-xdiavel-exhaust-zard-7855-227/</v>
      </c>
      <c r="B1271" t="b">
        <f>COUNTIF($A$2:$A1271, A1271)&gt;1</f>
        <v>1</v>
      </c>
      <c r="C1271" t="b">
        <f t="shared" si="362"/>
        <v>1</v>
      </c>
      <c r="D1271">
        <f>VLOOKUP(A1271,variant_counts!A:B, 2, FALSE)</f>
        <v>4</v>
      </c>
      <c r="E1271" t="str">
        <f t="shared" si="375"/>
        <v>zard-exhaust-kit-ducati-xdiavel-201619-212-zd124skr</v>
      </c>
      <c r="F1271" t="str">
        <f t="shared" si="363"/>
        <v>ZARD EXHAUST KIT DUCATI XDIAVEL 2016/19 2&gt;1&gt;2 ZD124SKR</v>
      </c>
      <c r="G1271" t="str">
        <f t="shared" si="364"/>
        <v/>
      </c>
      <c r="H1271" t="str">
        <f t="shared" si="376"/>
        <v/>
      </c>
      <c r="I1271" t="str">
        <f t="shared" si="377"/>
        <v/>
      </c>
      <c r="J1271" t="str">
        <f t="shared" si="378"/>
        <v/>
      </c>
      <c r="K1271" t="str">
        <f t="shared" si="379"/>
        <v/>
      </c>
      <c r="L1271" t="str">
        <f t="shared" si="365"/>
        <v>Option</v>
      </c>
      <c r="M1271" t="str">
        <f t="shared" si="366"/>
        <v>BACK CARBON PLATE-HOLDER FENDER</v>
      </c>
      <c r="R1271" t="str">
        <f t="shared" si="367"/>
        <v>ZD124SKR</v>
      </c>
      <c r="S1271">
        <f t="shared" si="368"/>
        <v>0</v>
      </c>
      <c r="U1271" t="str">
        <f t="shared" si="369"/>
        <v>continue</v>
      </c>
      <c r="V1271" t="str">
        <f t="shared" si="370"/>
        <v>manual</v>
      </c>
      <c r="W1271" s="5">
        <f t="shared" si="371"/>
        <v>2207.6235000000001</v>
      </c>
      <c r="Y1271" t="b">
        <f t="shared" si="372"/>
        <v>1</v>
      </c>
      <c r="Z1271" t="b">
        <f t="shared" si="373"/>
        <v>0</v>
      </c>
      <c r="AB1271" t="str">
        <f t="shared" si="374"/>
        <v/>
      </c>
      <c r="AE1271" t="b">
        <v>0</v>
      </c>
    </row>
    <row r="1272" spans="1:31" x14ac:dyDescent="0.2">
      <c r="A1272" t="str">
        <f t="shared" si="361"/>
        <v>https://shop.officineitalianezard.it/en/products/index/ducati-xdiavel-exhaust-zard-7855-227/</v>
      </c>
      <c r="B1272" t="b">
        <f>COUNTIF($A$2:$A1272, A1272)&gt;1</f>
        <v>1</v>
      </c>
      <c r="C1272" t="b">
        <f t="shared" si="362"/>
        <v>1</v>
      </c>
      <c r="D1272">
        <f>VLOOKUP(A1272,variant_counts!A:B, 2, FALSE)</f>
        <v>4</v>
      </c>
      <c r="E1272" t="str">
        <f t="shared" si="375"/>
        <v>zard-exhaust-kit-ducati-xdiavel-201619-212-zd124skr</v>
      </c>
      <c r="F1272" t="str">
        <f t="shared" si="363"/>
        <v>ZARD EXHAUST KIT DUCATI XDIAVEL 2016/19 2&gt;1&gt;2 ZD124SKR</v>
      </c>
      <c r="G1272" t="str">
        <f t="shared" si="364"/>
        <v/>
      </c>
      <c r="H1272" t="str">
        <f t="shared" si="376"/>
        <v/>
      </c>
      <c r="I1272" t="str">
        <f t="shared" si="377"/>
        <v/>
      </c>
      <c r="J1272" t="str">
        <f t="shared" si="378"/>
        <v/>
      </c>
      <c r="K1272" t="str">
        <f t="shared" si="379"/>
        <v/>
      </c>
      <c r="L1272" t="str">
        <f t="shared" si="365"/>
        <v>Option</v>
      </c>
      <c r="M1272" t="str">
        <f t="shared" si="366"/>
        <v>EURO 4 HOMOLOGATED</v>
      </c>
      <c r="R1272" t="str">
        <f t="shared" si="367"/>
        <v>ZD124SKR</v>
      </c>
      <c r="S1272">
        <f t="shared" si="368"/>
        <v>0</v>
      </c>
      <c r="U1272" t="str">
        <f t="shared" si="369"/>
        <v>continue</v>
      </c>
      <c r="V1272" t="str">
        <f t="shared" si="370"/>
        <v>manual</v>
      </c>
      <c r="W1272" s="5">
        <f t="shared" si="371"/>
        <v>2758.7163</v>
      </c>
      <c r="Y1272" t="b">
        <f t="shared" si="372"/>
        <v>1</v>
      </c>
      <c r="Z1272" t="b">
        <f t="shared" si="373"/>
        <v>0</v>
      </c>
      <c r="AB1272" t="str">
        <f t="shared" si="374"/>
        <v/>
      </c>
      <c r="AE1272" t="b">
        <v>0</v>
      </c>
    </row>
    <row r="1273" spans="1:31" x14ac:dyDescent="0.2">
      <c r="A1273" t="str">
        <f t="shared" si="361"/>
        <v>https://shop.officineitalianezard.it/en/scrambler-ducati-400-sixty2-exhaust-zard-2/</v>
      </c>
      <c r="B1273" t="b">
        <f>COUNTIF($A$2:$A1273, A1273)&gt;1</f>
        <v>0</v>
      </c>
      <c r="C1273" t="b">
        <f t="shared" si="362"/>
        <v>0</v>
      </c>
      <c r="D1273">
        <f>VLOOKUP(A1273,variant_counts!A:B, 2, FALSE)</f>
        <v>2</v>
      </c>
      <c r="E1273" t="str">
        <f t="shared" si="375"/>
        <v>zard-exhaust-silencer-ducati-scrambler-sixty2-201619-conical-version-zd782ssr</v>
      </c>
      <c r="F1273" t="str">
        <f t="shared" si="363"/>
        <v>ZARD EXHAUST SILENCER DUCATI SCRAMBLER SIXTY2 2016/19 CONICAL VERSION ZD782SSR</v>
      </c>
      <c r="G1273" t="str">
        <f t="shared" si="364"/>
        <v>&lt;div class="page-product-descr product-font-size text-font"&gt;
&lt;p&gt;STEEL RACING SILENCER WITH REMOVABLE DBKILLER + LINK PIPE TO ORIGINAL HEADERS&lt;/p&gt;
&lt;p&gt;ORIGINAL SILENCER WEIGHT: 5.6 KG&lt;br&gt;ZARD SILENCER WEIGHT: 2.3 KG&lt;/p&gt;
&lt;p&gt;ASTONISHING SOUND,&amp;nbsp;EXCLUSIVE DESIGN.&lt;/p&gt;
&lt;p&gt;FITTING KIT INCLUDED.&lt;/p&gt;
&lt;/div&gt;
&lt;p&gt;&lt;/p&gt;</v>
      </c>
      <c r="H1273" t="str">
        <f t="shared" si="376"/>
        <v>ZARD</v>
      </c>
      <c r="I1273" t="str">
        <f t="shared" si="377"/>
        <v>Exhaust Pipe</v>
      </c>
      <c r="J1273" t="str">
        <f t="shared" si="378"/>
        <v>Test</v>
      </c>
      <c r="K1273" t="b">
        <f t="shared" si="379"/>
        <v>0</v>
      </c>
      <c r="L1273" t="str">
        <f t="shared" si="365"/>
        <v/>
      </c>
      <c r="M1273" t="str">
        <f t="shared" si="366"/>
        <v/>
      </c>
      <c r="R1273" t="str">
        <f t="shared" si="367"/>
        <v/>
      </c>
      <c r="S1273" t="str">
        <f t="shared" si="368"/>
        <v/>
      </c>
      <c r="U1273" t="str">
        <f t="shared" si="369"/>
        <v/>
      </c>
      <c r="V1273" t="str">
        <f t="shared" si="370"/>
        <v/>
      </c>
      <c r="W1273" s="5" t="str">
        <f t="shared" si="371"/>
        <v/>
      </c>
      <c r="Y1273" t="str">
        <f t="shared" si="372"/>
        <v/>
      </c>
      <c r="Z1273" t="str">
        <f t="shared" si="373"/>
        <v/>
      </c>
      <c r="AB1273" t="str">
        <f t="shared" si="374"/>
        <v>https://shop.officineitalianezard.it/contents/imgs/products/1_1525-1.jpg</v>
      </c>
      <c r="AE1273" t="b">
        <v>0</v>
      </c>
    </row>
    <row r="1274" spans="1:31" x14ac:dyDescent="0.2">
      <c r="A1274" t="str">
        <f t="shared" si="361"/>
        <v>https://shop.officineitalianezard.it/en/scrambler-ducati-400-sixty2-exhaust-zard-2/</v>
      </c>
      <c r="B1274" t="b">
        <f>COUNTIF($A$2:$A1274, A1274)&gt;1</f>
        <v>1</v>
      </c>
      <c r="C1274" t="b">
        <f t="shared" si="362"/>
        <v>0</v>
      </c>
      <c r="D1274">
        <f>VLOOKUP(A1274,variant_counts!A:B, 2, FALSE)</f>
        <v>2</v>
      </c>
      <c r="E1274" t="str">
        <f t="shared" si="375"/>
        <v>zard-exhaust-silencer-ducati-scrambler-sixty2-201619-conical-version-zd782ssr</v>
      </c>
      <c r="F1274" t="str">
        <f t="shared" si="363"/>
        <v>ZARD EXHAUST SILENCER DUCATI SCRAMBLER SIXTY2 2016/19 CONICAL VERSION ZD782SSR</v>
      </c>
      <c r="G1274" t="str">
        <f t="shared" si="364"/>
        <v/>
      </c>
      <c r="H1274" t="str">
        <f t="shared" si="376"/>
        <v/>
      </c>
      <c r="I1274" t="str">
        <f t="shared" si="377"/>
        <v/>
      </c>
      <c r="J1274" t="str">
        <f t="shared" si="378"/>
        <v/>
      </c>
      <c r="K1274" t="str">
        <f t="shared" si="379"/>
        <v/>
      </c>
      <c r="L1274" t="str">
        <f t="shared" si="365"/>
        <v/>
      </c>
      <c r="M1274" t="str">
        <f t="shared" si="366"/>
        <v/>
      </c>
      <c r="R1274" t="str">
        <f t="shared" si="367"/>
        <v/>
      </c>
      <c r="S1274" t="str">
        <f t="shared" si="368"/>
        <v/>
      </c>
      <c r="U1274" t="str">
        <f t="shared" si="369"/>
        <v/>
      </c>
      <c r="V1274" t="str">
        <f t="shared" si="370"/>
        <v/>
      </c>
      <c r="W1274" s="5" t="str">
        <f t="shared" si="371"/>
        <v/>
      </c>
      <c r="Y1274" t="str">
        <f t="shared" si="372"/>
        <v/>
      </c>
      <c r="Z1274" t="str">
        <f t="shared" si="373"/>
        <v/>
      </c>
      <c r="AB1274" t="str">
        <f t="shared" si="374"/>
        <v>https://shop.officineitalianezard.it/contents/imgs/products/1_1526-2.jpg</v>
      </c>
      <c r="AE1274" t="b">
        <v>0</v>
      </c>
    </row>
    <row r="1275" spans="1:31" x14ac:dyDescent="0.2">
      <c r="A1275" t="str">
        <f t="shared" si="361"/>
        <v>https://shop.officineitalianezard.it/en/scrambler-ducati-400-sixty2-exhaust-zard-2/</v>
      </c>
      <c r="B1275" t="b">
        <f>COUNTIF($A$2:$A1275, A1275)&gt;1</f>
        <v>1</v>
      </c>
      <c r="C1275" t="b">
        <f t="shared" si="362"/>
        <v>0</v>
      </c>
      <c r="D1275">
        <f>VLOOKUP(A1275,variant_counts!A:B, 2, FALSE)</f>
        <v>2</v>
      </c>
      <c r="E1275" t="str">
        <f t="shared" si="375"/>
        <v>zard-exhaust-silencer-ducati-scrambler-sixty2-201619-conical-version-zd782ssr</v>
      </c>
      <c r="F1275" t="str">
        <f t="shared" si="363"/>
        <v>ZARD EXHAUST SILENCER DUCATI SCRAMBLER SIXTY2 2016/19 CONICAL VERSION ZD782SSR</v>
      </c>
      <c r="G1275" t="str">
        <f t="shared" si="364"/>
        <v/>
      </c>
      <c r="H1275" t="str">
        <f t="shared" si="376"/>
        <v/>
      </c>
      <c r="I1275" t="str">
        <f t="shared" si="377"/>
        <v/>
      </c>
      <c r="J1275" t="str">
        <f t="shared" si="378"/>
        <v/>
      </c>
      <c r="K1275" t="str">
        <f t="shared" si="379"/>
        <v/>
      </c>
      <c r="L1275" t="str">
        <f t="shared" si="365"/>
        <v/>
      </c>
      <c r="M1275" t="str">
        <f t="shared" si="366"/>
        <v/>
      </c>
      <c r="R1275" t="str">
        <f t="shared" si="367"/>
        <v/>
      </c>
      <c r="S1275" t="str">
        <f t="shared" si="368"/>
        <v/>
      </c>
      <c r="U1275" t="str">
        <f t="shared" si="369"/>
        <v/>
      </c>
      <c r="V1275" t="str">
        <f t="shared" si="370"/>
        <v/>
      </c>
      <c r="W1275" s="5" t="str">
        <f t="shared" si="371"/>
        <v/>
      </c>
      <c r="Y1275" t="str">
        <f t="shared" si="372"/>
        <v/>
      </c>
      <c r="Z1275" t="str">
        <f t="shared" si="373"/>
        <v/>
      </c>
      <c r="AB1275" t="str">
        <f t="shared" si="374"/>
        <v>https://shop.officineitalianezard.it/contents/imgs/products/1_1527-3.jpg</v>
      </c>
      <c r="AE1275" t="b">
        <v>0</v>
      </c>
    </row>
    <row r="1276" spans="1:31" x14ac:dyDescent="0.2">
      <c r="A1276" t="str">
        <f t="shared" si="361"/>
        <v>https://shop.officineitalianezard.it/en/scrambler-ducati-400-sixty2-exhaust-zard-2/</v>
      </c>
      <c r="B1276" t="b">
        <f>COUNTIF($A$2:$A1276, A1276)&gt;1</f>
        <v>1</v>
      </c>
      <c r="C1276" t="b">
        <f t="shared" si="362"/>
        <v>0</v>
      </c>
      <c r="D1276">
        <f>VLOOKUP(A1276,variant_counts!A:B, 2, FALSE)</f>
        <v>2</v>
      </c>
      <c r="E1276" t="str">
        <f t="shared" si="375"/>
        <v>zard-exhaust-silencer-ducati-scrambler-sixty2-201619-conical-version-zd782ssr</v>
      </c>
      <c r="F1276" t="str">
        <f t="shared" si="363"/>
        <v>ZARD EXHAUST SILENCER DUCATI SCRAMBLER SIXTY2 2016/19 CONICAL VERSION ZD782SSR</v>
      </c>
      <c r="G1276" t="str">
        <f t="shared" si="364"/>
        <v/>
      </c>
      <c r="H1276" t="str">
        <f t="shared" si="376"/>
        <v/>
      </c>
      <c r="I1276" t="str">
        <f t="shared" si="377"/>
        <v/>
      </c>
      <c r="J1276" t="str">
        <f t="shared" si="378"/>
        <v/>
      </c>
      <c r="K1276" t="str">
        <f t="shared" si="379"/>
        <v/>
      </c>
      <c r="L1276" t="str">
        <f t="shared" si="365"/>
        <v/>
      </c>
      <c r="M1276" t="str">
        <f t="shared" si="366"/>
        <v/>
      </c>
      <c r="R1276" t="str">
        <f t="shared" si="367"/>
        <v/>
      </c>
      <c r="S1276" t="str">
        <f t="shared" si="368"/>
        <v/>
      </c>
      <c r="U1276" t="str">
        <f t="shared" si="369"/>
        <v/>
      </c>
      <c r="V1276" t="str">
        <f t="shared" si="370"/>
        <v/>
      </c>
      <c r="W1276" s="5" t="str">
        <f t="shared" si="371"/>
        <v/>
      </c>
      <c r="Y1276" t="str">
        <f t="shared" si="372"/>
        <v/>
      </c>
      <c r="Z1276" t="str">
        <f t="shared" si="373"/>
        <v/>
      </c>
      <c r="AB1276" t="str">
        <f t="shared" si="374"/>
        <v>https://shop.officineitalianezard.it/contents/imgs/products/1_1712-scarico%20scrambler%20ducati%20400%20zard.jpg</v>
      </c>
      <c r="AE1276" t="b">
        <v>0</v>
      </c>
    </row>
    <row r="1277" spans="1:31" x14ac:dyDescent="0.2">
      <c r="A1277" t="str">
        <f t="shared" si="361"/>
        <v>https://shop.officineitalianezard.it/en/scrambler-ducati-400-sixty2-exhaust-zard-2/</v>
      </c>
      <c r="B1277" t="b">
        <f>COUNTIF($A$2:$A1277, A1277)&gt;1</f>
        <v>1</v>
      </c>
      <c r="C1277" t="b">
        <f t="shared" si="362"/>
        <v>1</v>
      </c>
      <c r="D1277">
        <f>VLOOKUP(A1277,variant_counts!A:B, 2, FALSE)</f>
        <v>2</v>
      </c>
      <c r="E1277" t="str">
        <f t="shared" si="375"/>
        <v>zard-exhaust-silencer-ducati-scrambler-sixty2-201619-conical-version-zd782ssr</v>
      </c>
      <c r="F1277" t="str">
        <f t="shared" si="363"/>
        <v>ZARD EXHAUST SILENCER DUCATI SCRAMBLER SIXTY2 2016/19 CONICAL VERSION ZD782SSR</v>
      </c>
      <c r="G1277" t="str">
        <f t="shared" si="364"/>
        <v/>
      </c>
      <c r="H1277" t="str">
        <f t="shared" si="376"/>
        <v/>
      </c>
      <c r="I1277" t="str">
        <f t="shared" si="377"/>
        <v/>
      </c>
      <c r="J1277" t="str">
        <f t="shared" si="378"/>
        <v/>
      </c>
      <c r="K1277" t="str">
        <f t="shared" si="379"/>
        <v/>
      </c>
      <c r="L1277" t="str">
        <f t="shared" si="365"/>
        <v>Option</v>
      </c>
      <c r="M1277" t="str">
        <f t="shared" si="366"/>
        <v>BRUSHED</v>
      </c>
      <c r="R1277" t="str">
        <f t="shared" si="367"/>
        <v>ZD782SSR</v>
      </c>
      <c r="S1277">
        <f t="shared" si="368"/>
        <v>0</v>
      </c>
      <c r="U1277" t="str">
        <f t="shared" si="369"/>
        <v>continue</v>
      </c>
      <c r="V1277" t="str">
        <f t="shared" si="370"/>
        <v>manual</v>
      </c>
      <c r="W1277" s="5">
        <f t="shared" si="371"/>
        <v>686.74590000000012</v>
      </c>
      <c r="Y1277" t="b">
        <f t="shared" si="372"/>
        <v>1</v>
      </c>
      <c r="Z1277" t="b">
        <f t="shared" si="373"/>
        <v>0</v>
      </c>
      <c r="AB1277" t="str">
        <f t="shared" si="374"/>
        <v/>
      </c>
      <c r="AE1277" t="b">
        <v>0</v>
      </c>
    </row>
    <row r="1278" spans="1:31" x14ac:dyDescent="0.2">
      <c r="A1278" t="str">
        <f t="shared" si="361"/>
        <v>https://shop.officineitalianezard.it/en/scrambler-ducati-400-sixty2-exhaust-zard-2/</v>
      </c>
      <c r="B1278" t="b">
        <f>COUNTIF($A$2:$A1278, A1278)&gt;1</f>
        <v>1</v>
      </c>
      <c r="C1278" t="b">
        <f t="shared" si="362"/>
        <v>1</v>
      </c>
      <c r="D1278">
        <f>VLOOKUP(A1278,variant_counts!A:B, 2, FALSE)</f>
        <v>2</v>
      </c>
      <c r="E1278" t="str">
        <f t="shared" si="375"/>
        <v>zard-exhaust-silencer-ducati-scrambler-sixty2-201619-conical-version-zd782ssr</v>
      </c>
      <c r="F1278" t="str">
        <f t="shared" si="363"/>
        <v>ZARD EXHAUST SILENCER DUCATI SCRAMBLER SIXTY2 2016/19 CONICAL VERSION ZD782SSR</v>
      </c>
      <c r="G1278" t="str">
        <f t="shared" si="364"/>
        <v/>
      </c>
      <c r="H1278" t="str">
        <f t="shared" si="376"/>
        <v/>
      </c>
      <c r="I1278" t="str">
        <f t="shared" si="377"/>
        <v/>
      </c>
      <c r="J1278" t="str">
        <f t="shared" si="378"/>
        <v/>
      </c>
      <c r="K1278" t="str">
        <f t="shared" si="379"/>
        <v/>
      </c>
      <c r="L1278" t="str">
        <f t="shared" si="365"/>
        <v>Option</v>
      </c>
      <c r="M1278" t="str">
        <f t="shared" si="366"/>
        <v>BLACK COATING</v>
      </c>
      <c r="R1278" t="str">
        <f t="shared" si="367"/>
        <v>ZD782SSR</v>
      </c>
      <c r="S1278">
        <f t="shared" si="368"/>
        <v>0</v>
      </c>
      <c r="U1278" t="str">
        <f t="shared" si="369"/>
        <v>continue</v>
      </c>
      <c r="V1278" t="str">
        <f t="shared" si="370"/>
        <v>manual</v>
      </c>
      <c r="W1278" s="5">
        <f t="shared" si="371"/>
        <v>770.2623000000001</v>
      </c>
      <c r="Y1278" t="b">
        <f t="shared" si="372"/>
        <v>1</v>
      </c>
      <c r="Z1278" t="b">
        <f t="shared" si="373"/>
        <v>0</v>
      </c>
      <c r="AB1278" t="str">
        <f t="shared" si="374"/>
        <v/>
      </c>
      <c r="AE1278" t="b">
        <v>0</v>
      </c>
    </row>
    <row r="1279" spans="1:31" x14ac:dyDescent="0.2">
      <c r="A1279" t="str">
        <f t="shared" si="361"/>
        <v>https://shop.officineitalianezard.it/en/scrambler-ducati-400-sixty2-exhaust-zard/</v>
      </c>
      <c r="B1279" t="b">
        <f>COUNTIF($A$2:$A1279, A1279)&gt;1</f>
        <v>0</v>
      </c>
      <c r="C1279" t="b">
        <f t="shared" si="362"/>
        <v>0</v>
      </c>
      <c r="D1279">
        <f>VLOOKUP(A1279,variant_counts!A:B, 2, FALSE)</f>
        <v>2</v>
      </c>
      <c r="E1279" t="str">
        <f t="shared" si="375"/>
        <v>zard-exhaust-21-full-kit-ducati-scrambler-sixty2-201619-conical-version-zd784skr</v>
      </c>
      <c r="F1279" t="str">
        <f t="shared" si="363"/>
        <v>ZARD EXHAUST 2&gt;1 FULL KIT DUCATI SCRAMBLER SIXTY2 2016/19 CONICAL VERSION ZD784SKR</v>
      </c>
      <c r="G1279" t="str">
        <f t="shared" si="364"/>
        <v>&lt;div class="page-product-descr product-font-size text-font"&gt;
&lt;p&gt;&lt;strong&gt;AVAILABLE ON DEMAND ONLY. DELIVERY 4 WORKING WEEKS FROM ORDER.&lt;/strong&gt;&lt;/p&gt;
&lt;p&gt;2&amp;gt;1 STEEL&amp;nbsp;RACING FULL KIT&amp;nbsp;&lt;/p&gt;
&lt;p&gt;ORIGINAL FULL KIT&amp;nbsp;WEIGHT: 8&amp;nbsp;KG&lt;br&gt;ZARD&amp;nbsp;&lt;span&gt;TITANIUM&amp;nbsp;&lt;/span&gt;FULL KIT&amp;nbsp;WEIGHT: 1.2 KG&lt;br&gt;ZARD STEEL FULL KIT&amp;nbsp;WEIGHT: 1.7 KG&lt;/p&gt;
&lt;p&gt;&lt;span&gt;A VERY SPECIAL EXHAUST TOTALLY HANDMADE AND WELDED BY OUR BEST WELDERS.&lt;/span&gt;&lt;/p&gt;
&lt;p&gt;FITTING KIT INCLUDED.&lt;/p&gt;
&lt;p&gt;&lt;span&gt;VERY LOUD&amp;nbsp;SOUND,&amp;nbsp;EXCLUSIVE DESIGN.&lt;/span&gt;&lt;/p&gt;
&lt;/div&gt;
&lt;p&gt;&lt;/p&gt;</v>
      </c>
      <c r="H1279" t="str">
        <f t="shared" si="376"/>
        <v>ZARD</v>
      </c>
      <c r="I1279" t="str">
        <f t="shared" si="377"/>
        <v>Exhaust Pipe</v>
      </c>
      <c r="J1279" t="str">
        <f t="shared" si="378"/>
        <v>Test</v>
      </c>
      <c r="K1279" t="b">
        <f t="shared" si="379"/>
        <v>0</v>
      </c>
      <c r="L1279" t="str">
        <f t="shared" si="365"/>
        <v/>
      </c>
      <c r="M1279" t="str">
        <f t="shared" si="366"/>
        <v/>
      </c>
      <c r="R1279" t="str">
        <f t="shared" si="367"/>
        <v/>
      </c>
      <c r="S1279" t="str">
        <f t="shared" si="368"/>
        <v/>
      </c>
      <c r="U1279" t="str">
        <f t="shared" si="369"/>
        <v/>
      </c>
      <c r="V1279" t="str">
        <f t="shared" si="370"/>
        <v/>
      </c>
      <c r="W1279" s="5" t="str">
        <f t="shared" si="371"/>
        <v/>
      </c>
      <c r="Y1279" t="str">
        <f t="shared" si="372"/>
        <v/>
      </c>
      <c r="Z1279" t="str">
        <f t="shared" si="373"/>
        <v/>
      </c>
      <c r="AB1279" t="str">
        <f t="shared" si="374"/>
        <v>https://shop.officineitalianezard.it/contents/imgs/products/1_1791-1.jpg</v>
      </c>
      <c r="AE1279" t="b">
        <v>0</v>
      </c>
    </row>
    <row r="1280" spans="1:31" x14ac:dyDescent="0.2">
      <c r="A1280" t="str">
        <f t="shared" si="361"/>
        <v>https://shop.officineitalianezard.it/en/scrambler-ducati-400-sixty2-exhaust-zard/</v>
      </c>
      <c r="B1280" t="b">
        <f>COUNTIF($A$2:$A1280, A1280)&gt;1</f>
        <v>1</v>
      </c>
      <c r="C1280" t="b">
        <f t="shared" si="362"/>
        <v>0</v>
      </c>
      <c r="D1280">
        <f>VLOOKUP(A1280,variant_counts!A:B, 2, FALSE)</f>
        <v>2</v>
      </c>
      <c r="E1280" t="str">
        <f t="shared" si="375"/>
        <v>zard-exhaust-21-full-kit-ducati-scrambler-sixty2-201619-conical-version-zd784skr</v>
      </c>
      <c r="F1280" t="str">
        <f t="shared" si="363"/>
        <v>ZARD EXHAUST 2&gt;1 FULL KIT DUCATI SCRAMBLER SIXTY2 2016/19 CONICAL VERSION ZD784SKR</v>
      </c>
      <c r="G1280" t="str">
        <f t="shared" si="364"/>
        <v/>
      </c>
      <c r="H1280" t="str">
        <f t="shared" si="376"/>
        <v/>
      </c>
      <c r="I1280" t="str">
        <f t="shared" si="377"/>
        <v/>
      </c>
      <c r="J1280" t="str">
        <f t="shared" si="378"/>
        <v/>
      </c>
      <c r="K1280" t="str">
        <f t="shared" si="379"/>
        <v/>
      </c>
      <c r="L1280" t="str">
        <f t="shared" si="365"/>
        <v/>
      </c>
      <c r="M1280" t="str">
        <f t="shared" si="366"/>
        <v/>
      </c>
      <c r="R1280" t="str">
        <f t="shared" si="367"/>
        <v/>
      </c>
      <c r="S1280" t="str">
        <f t="shared" si="368"/>
        <v/>
      </c>
      <c r="U1280" t="str">
        <f t="shared" si="369"/>
        <v/>
      </c>
      <c r="V1280" t="str">
        <f t="shared" si="370"/>
        <v/>
      </c>
      <c r="W1280" s="5" t="str">
        <f t="shared" si="371"/>
        <v/>
      </c>
      <c r="Y1280" t="str">
        <f t="shared" si="372"/>
        <v/>
      </c>
      <c r="Z1280" t="str">
        <f t="shared" si="373"/>
        <v/>
      </c>
      <c r="AB1280" t="str">
        <f t="shared" si="374"/>
        <v>https://shop.officineitalianezard.it/contents/imgs/products/1_1792-2.jpg</v>
      </c>
      <c r="AE1280" t="b">
        <v>0</v>
      </c>
    </row>
    <row r="1281" spans="1:31" x14ac:dyDescent="0.2">
      <c r="A1281" t="str">
        <f t="shared" si="361"/>
        <v>https://shop.officineitalianezard.it/en/scrambler-ducati-400-sixty2-exhaust-zard/</v>
      </c>
      <c r="B1281" t="b">
        <f>COUNTIF($A$2:$A1281, A1281)&gt;1</f>
        <v>1</v>
      </c>
      <c r="C1281" t="b">
        <f t="shared" si="362"/>
        <v>0</v>
      </c>
      <c r="D1281">
        <f>VLOOKUP(A1281,variant_counts!A:B, 2, FALSE)</f>
        <v>2</v>
      </c>
      <c r="E1281" t="str">
        <f t="shared" si="375"/>
        <v>zard-exhaust-21-full-kit-ducati-scrambler-sixty2-201619-conical-version-zd784skr</v>
      </c>
      <c r="F1281" t="str">
        <f t="shared" si="363"/>
        <v>ZARD EXHAUST 2&gt;1 FULL KIT DUCATI SCRAMBLER SIXTY2 2016/19 CONICAL VERSION ZD784SKR</v>
      </c>
      <c r="G1281" t="str">
        <f t="shared" si="364"/>
        <v/>
      </c>
      <c r="H1281" t="str">
        <f t="shared" si="376"/>
        <v/>
      </c>
      <c r="I1281" t="str">
        <f t="shared" si="377"/>
        <v/>
      </c>
      <c r="J1281" t="str">
        <f t="shared" si="378"/>
        <v/>
      </c>
      <c r="K1281" t="str">
        <f t="shared" si="379"/>
        <v/>
      </c>
      <c r="L1281" t="str">
        <f t="shared" si="365"/>
        <v/>
      </c>
      <c r="M1281" t="str">
        <f t="shared" si="366"/>
        <v/>
      </c>
      <c r="R1281" t="str">
        <f t="shared" si="367"/>
        <v/>
      </c>
      <c r="S1281" t="str">
        <f t="shared" si="368"/>
        <v/>
      </c>
      <c r="U1281" t="str">
        <f t="shared" si="369"/>
        <v/>
      </c>
      <c r="V1281" t="str">
        <f t="shared" si="370"/>
        <v/>
      </c>
      <c r="W1281" s="5" t="str">
        <f t="shared" si="371"/>
        <v/>
      </c>
      <c r="Y1281" t="str">
        <f t="shared" si="372"/>
        <v/>
      </c>
      <c r="Z1281" t="str">
        <f t="shared" si="373"/>
        <v/>
      </c>
      <c r="AB1281" t="str">
        <f t="shared" si="374"/>
        <v>https://shop.officineitalianezard.it/contents/imgs/products/1_1793-3.jpg</v>
      </c>
      <c r="AE1281" t="b">
        <v>0</v>
      </c>
    </row>
    <row r="1282" spans="1:31" x14ac:dyDescent="0.2">
      <c r="A1282" t="str">
        <f t="shared" ref="A1282:A1345" si="380">source_product_link_href</f>
        <v>https://shop.officineitalianezard.it/en/scrambler-ducati-400-sixty2-exhaust-zard/</v>
      </c>
      <c r="B1282" t="b">
        <f>COUNTIF($A$2:$A1282, A1282)&gt;1</f>
        <v>1</v>
      </c>
      <c r="C1282" t="b">
        <f t="shared" ref="C1282:C1345" si="381">NOT(ISBLANK(source_option_name))</f>
        <v>1</v>
      </c>
      <c r="D1282">
        <f>VLOOKUP(A1282,variant_counts!A:B, 2, FALSE)</f>
        <v>2</v>
      </c>
      <c r="E1282" t="str">
        <f t="shared" si="375"/>
        <v>zard-exhaust-21-full-kit-ducati-scrambler-sixty2-201619-conical-version-zd784skr</v>
      </c>
      <c r="F1282" t="str">
        <f t="shared" ref="F1282:F1345" si="382">UPPER("ZARD EXHAUST " &amp; source_title &amp; " " &amp; source_brand &amp; " " &amp; source_bike &amp; " " &amp; source_product_link &amp; " " &amp; source_sku)</f>
        <v>ZARD EXHAUST 2&gt;1 FULL KIT DUCATI SCRAMBLER SIXTY2 2016/19 CONICAL VERSION ZD784SKR</v>
      </c>
      <c r="G1282" t="str">
        <f t="shared" ref="G1282:G1345" si="383">IF($B1282=FALSE, source_description, "")</f>
        <v/>
      </c>
      <c r="H1282" t="str">
        <f t="shared" si="376"/>
        <v/>
      </c>
      <c r="I1282" t="str">
        <f t="shared" si="377"/>
        <v/>
      </c>
      <c r="J1282" t="str">
        <f t="shared" si="378"/>
        <v/>
      </c>
      <c r="K1282" t="str">
        <f t="shared" si="379"/>
        <v/>
      </c>
      <c r="L1282" t="str">
        <f t="shared" ref="L1282:L1345" si="384">IF(AND(variant_count=0,duplicated=FALSE),"Title",IF(OR(AND(variant_count=1,duplicated=FALSE), source_option_name&lt;&gt;""), "Option", ""))</f>
        <v>Option</v>
      </c>
      <c r="M1282" t="str">
        <f t="shared" ref="M1282:M1345" si="385">IF(option1_name="Title", "Default Title", IF(AND(option1_name="Option",ISBLANK(source_option_name)),"DEFAULT",IF(ISBLANK(source_option_name), "", source_option_name)))</f>
        <v>FULL TITANIUM</v>
      </c>
      <c r="R1282" t="str">
        <f t="shared" ref="R1282:R1345" si="386">IF(option1_name &lt;&gt; "", source_sku, "")</f>
        <v>ZD784SKR</v>
      </c>
      <c r="S1282">
        <f t="shared" ref="S1282:S1345" si="387">IF(option1_name &lt;&gt; "", 0, "")</f>
        <v>0</v>
      </c>
      <c r="U1282" t="str">
        <f t="shared" ref="U1282:U1345" si="388">IF(option1_name &lt;&gt; "", "continue", "")</f>
        <v>continue</v>
      </c>
      <c r="V1282" t="str">
        <f t="shared" ref="V1282:V1345" si="389">IF(option1_name &lt;&gt; "", "manual", "")</f>
        <v>manual</v>
      </c>
      <c r="W1282" s="5">
        <f t="shared" ref="W1282:W1345" si="390">IF(option1_name&lt;&gt;"",(source_price_original+source_option_price)*eur_usd,"")</f>
        <v>1547.3622</v>
      </c>
      <c r="Y1282" t="b">
        <f t="shared" ref="Y1282:Y1345" si="391">IF(option1_name&lt;&gt;"",TRUE,"")</f>
        <v>1</v>
      </c>
      <c r="Z1282" t="b">
        <f t="shared" ref="Z1282:Z1345" si="392">IF(option1_name&lt;&gt;"",FALSE,"")</f>
        <v>0</v>
      </c>
      <c r="AB1282" t="str">
        <f t="shared" ref="AB1282:AB1345" si="393">IF(ISBLANK(source_image), "", source_image)</f>
        <v/>
      </c>
      <c r="AE1282" t="b">
        <v>0</v>
      </c>
    </row>
    <row r="1283" spans="1:31" x14ac:dyDescent="0.2">
      <c r="A1283" t="str">
        <f t="shared" si="380"/>
        <v>https://shop.officineitalianezard.it/en/scrambler-ducati-400-sixty2-exhaust-zard/</v>
      </c>
      <c r="B1283" t="b">
        <f>COUNTIF($A$2:$A1283, A1283)&gt;1</f>
        <v>1</v>
      </c>
      <c r="C1283" t="b">
        <f t="shared" si="381"/>
        <v>1</v>
      </c>
      <c r="D1283">
        <f>VLOOKUP(A1283,variant_counts!A:B, 2, FALSE)</f>
        <v>2</v>
      </c>
      <c r="E1283" t="str">
        <f t="shared" ref="E1283:E1346" si="394">FormatShopifyHandle(F1283)</f>
        <v>zard-exhaust-21-full-kit-ducati-scrambler-sixty2-201619-conical-version-zd784skr</v>
      </c>
      <c r="F1283" t="str">
        <f t="shared" si="382"/>
        <v>ZARD EXHAUST 2&gt;1 FULL KIT DUCATI SCRAMBLER SIXTY2 2016/19 CONICAL VERSION ZD784SKR</v>
      </c>
      <c r="G1283" t="str">
        <f t="shared" si="383"/>
        <v/>
      </c>
      <c r="H1283" t="str">
        <f t="shared" ref="H1283:H1346" si="395">IF($B1283=FALSE, "ZARD", "")</f>
        <v/>
      </c>
      <c r="I1283" t="str">
        <f t="shared" ref="I1283:I1346" si="396">IF($B1283=FALSE, "Exhaust Pipe", "")</f>
        <v/>
      </c>
      <c r="J1283" t="str">
        <f t="shared" ref="J1283:J1346" si="397">IF($B1283=FALSE, "Test", "")</f>
        <v/>
      </c>
      <c r="K1283" t="str">
        <f t="shared" ref="K1283:K1346" si="398">IF($B1283=FALSE, FALSE, "")</f>
        <v/>
      </c>
      <c r="L1283" t="str">
        <f t="shared" si="384"/>
        <v>Option</v>
      </c>
      <c r="M1283" t="str">
        <f t="shared" si="385"/>
        <v>SNAKE WELDED</v>
      </c>
      <c r="R1283" t="str">
        <f t="shared" si="386"/>
        <v>ZD784SKR</v>
      </c>
      <c r="S1283">
        <f t="shared" si="387"/>
        <v>0</v>
      </c>
      <c r="U1283" t="str">
        <f t="shared" si="388"/>
        <v>continue</v>
      </c>
      <c r="V1283" t="str">
        <f t="shared" si="389"/>
        <v>manual</v>
      </c>
      <c r="W1283" s="5">
        <f t="shared" si="390"/>
        <v>1051.1367</v>
      </c>
      <c r="Y1283" t="b">
        <f t="shared" si="391"/>
        <v>1</v>
      </c>
      <c r="Z1283" t="b">
        <f t="shared" si="392"/>
        <v>0</v>
      </c>
      <c r="AB1283" t="str">
        <f t="shared" si="393"/>
        <v/>
      </c>
      <c r="AE1283" t="b">
        <v>0</v>
      </c>
    </row>
    <row r="1284" spans="1:31" x14ac:dyDescent="0.2">
      <c r="A1284" t="str">
        <f t="shared" si="380"/>
        <v>https://shop.officineitalianezard.it/en/scarico-scrambler-ducati/</v>
      </c>
      <c r="B1284" t="b">
        <f>COUNTIF($A$2:$A1284, A1284)&gt;1</f>
        <v>0</v>
      </c>
      <c r="C1284" t="b">
        <f t="shared" si="381"/>
        <v>0</v>
      </c>
      <c r="D1284">
        <f>VLOOKUP(A1284,variant_counts!A:B, 2, FALSE)</f>
        <v>4</v>
      </c>
      <c r="E1284" t="str">
        <f t="shared" si="394"/>
        <v>zard-exhaust-low-mounted-silencer-ducati-scrambler-800-special-edition-zd778ssr</v>
      </c>
      <c r="F1284" t="str">
        <f t="shared" si="382"/>
        <v>ZARD EXHAUST LOW MOUNTED SILENCER DUCATI SCRAMBLER 800 SPECIAL EDITION ZD778SSR</v>
      </c>
      <c r="G1284" t="str">
        <f t="shared" si="383"/>
        <v>&lt;p&gt;STEEL RACING SILENCER WITH REMOVABLE DB KILLERS&lt;/p&gt;
&lt;p&gt;ORIGINAL SILENCER WEIGHT: 6 KG&lt;br&gt;ZARD SILENCER WEIGHT: 2.5 KG&amp;nbsp;&lt;/p&gt;
&lt;p&gt;BLACK AND SILVER WIRE MESH&amp;nbsp;IS SUPPLIED WITH HEAT SHIELD OF BLACK CERAMIC COATING VERSION&lt;/p&gt;
&lt;p&gt;&lt;span&gt;HOMOLOGATED-CATALYZED VERSION AVAILABLE AS OPTIONAL&lt;/span&gt;&lt;/p&gt;
&lt;p&gt;&lt;span&gt;ASTONISHING SOUND,&amp;nbsp;EXCLUSIVE DESIGN.&lt;/span&gt;&lt;/p&gt;
&lt;p&gt;N.B IMAGES SHOW STEEL SATIN SILENCER VERSION&lt;/p&gt;
&lt;p&gt;&lt;span&gt;THE INSTALLATION OF ZARD EXHAUST DOES NOT IMPLY ANY MODIFICATION TO ECU.&lt;/span&gt;&lt;br&gt;&lt;span&gt;THE BOX INCLUDES ALL PARTS FOR THE FITMENT OF ZARD EXHAUST.&lt;/span&gt;&lt;/p&gt;
&lt;p&gt;&lt;strong&gt;COMPATIBILITY MODEL:&lt;/strong&gt;&lt;/p&gt;
&lt;p&gt;SCRAMBLER URBAN ENDURO 800 CC, SCRAMBLER FULL THROTTLE 800 CC, SCRAMBLER ICON 800 CC, SCRAMBLER CLASSIC 800 CC, SCRAMBLER FLAT TRACK PRO 800 CC, CAFÈ RACER 800 CC.&lt;/p&gt;
&lt;p&gt;NOTICE: EURO 4 HOMOLOGATION AVAILABLE FROM THE END OF JULY.&lt;/p&gt;
&lt;p&gt;&lt;/p&gt;</v>
      </c>
      <c r="H1284" t="str">
        <f t="shared" si="395"/>
        <v>ZARD</v>
      </c>
      <c r="I1284" t="str">
        <f t="shared" si="396"/>
        <v>Exhaust Pipe</v>
      </c>
      <c r="J1284" t="str">
        <f t="shared" si="397"/>
        <v>Test</v>
      </c>
      <c r="K1284" t="b">
        <f t="shared" si="398"/>
        <v>0</v>
      </c>
      <c r="L1284" t="str">
        <f t="shared" si="384"/>
        <v/>
      </c>
      <c r="M1284" t="str">
        <f t="shared" si="385"/>
        <v/>
      </c>
      <c r="R1284" t="str">
        <f t="shared" si="386"/>
        <v/>
      </c>
      <c r="S1284" t="str">
        <f t="shared" si="387"/>
        <v/>
      </c>
      <c r="U1284" t="str">
        <f t="shared" si="388"/>
        <v/>
      </c>
      <c r="V1284" t="str">
        <f t="shared" si="389"/>
        <v/>
      </c>
      <c r="W1284" s="5" t="str">
        <f t="shared" si="390"/>
        <v/>
      </c>
      <c r="Y1284" t="str">
        <f t="shared" si="391"/>
        <v/>
      </c>
      <c r="Z1284" t="str">
        <f t="shared" si="392"/>
        <v/>
      </c>
      <c r="AB1284" t="str">
        <f t="shared" si="393"/>
        <v>https://shop.officineitalianezard.it/contents/imgs/products/1_1141-1.jpg</v>
      </c>
      <c r="AE1284" t="b">
        <v>0</v>
      </c>
    </row>
    <row r="1285" spans="1:31" x14ac:dyDescent="0.2">
      <c r="A1285" t="str">
        <f t="shared" si="380"/>
        <v>https://shop.officineitalianezard.it/en/scarico-scrambler-ducati/</v>
      </c>
      <c r="B1285" t="b">
        <f>COUNTIF($A$2:$A1285, A1285)&gt;1</f>
        <v>1</v>
      </c>
      <c r="C1285" t="b">
        <f t="shared" si="381"/>
        <v>0</v>
      </c>
      <c r="D1285">
        <f>VLOOKUP(A1285,variant_counts!A:B, 2, FALSE)</f>
        <v>4</v>
      </c>
      <c r="E1285" t="str">
        <f t="shared" si="394"/>
        <v>zard-exhaust-low-mounted-silencer-ducati-scrambler-800-special-edition-zd778ssr</v>
      </c>
      <c r="F1285" t="str">
        <f t="shared" si="382"/>
        <v>ZARD EXHAUST LOW MOUNTED SILENCER DUCATI SCRAMBLER 800 SPECIAL EDITION ZD778SSR</v>
      </c>
      <c r="G1285" t="str">
        <f t="shared" si="383"/>
        <v/>
      </c>
      <c r="H1285" t="str">
        <f t="shared" si="395"/>
        <v/>
      </c>
      <c r="I1285" t="str">
        <f t="shared" si="396"/>
        <v/>
      </c>
      <c r="J1285" t="str">
        <f t="shared" si="397"/>
        <v/>
      </c>
      <c r="K1285" t="str">
        <f t="shared" si="398"/>
        <v/>
      </c>
      <c r="L1285" t="str">
        <f t="shared" si="384"/>
        <v/>
      </c>
      <c r="M1285" t="str">
        <f t="shared" si="385"/>
        <v/>
      </c>
      <c r="R1285" t="str">
        <f t="shared" si="386"/>
        <v/>
      </c>
      <c r="S1285" t="str">
        <f t="shared" si="387"/>
        <v/>
      </c>
      <c r="U1285" t="str">
        <f t="shared" si="388"/>
        <v/>
      </c>
      <c r="V1285" t="str">
        <f t="shared" si="389"/>
        <v/>
      </c>
      <c r="W1285" s="5" t="str">
        <f t="shared" si="390"/>
        <v/>
      </c>
      <c r="Y1285" t="str">
        <f t="shared" si="391"/>
        <v/>
      </c>
      <c r="Z1285" t="str">
        <f t="shared" si="392"/>
        <v/>
      </c>
      <c r="AB1285" t="str">
        <f t="shared" si="393"/>
        <v>https://shop.officineitalianezard.it/contents/imgs/products/1_1208-scrambler%20ducati%20scarico%20paracalore%20nero.jpg</v>
      </c>
      <c r="AE1285" t="b">
        <v>0</v>
      </c>
    </row>
    <row r="1286" spans="1:31" x14ac:dyDescent="0.2">
      <c r="A1286" t="str">
        <f t="shared" si="380"/>
        <v>https://shop.officineitalianezard.it/en/scarico-scrambler-ducati/</v>
      </c>
      <c r="B1286" t="b">
        <f>COUNTIF($A$2:$A1286, A1286)&gt;1</f>
        <v>1</v>
      </c>
      <c r="C1286" t="b">
        <f t="shared" si="381"/>
        <v>0</v>
      </c>
      <c r="D1286">
        <f>VLOOKUP(A1286,variant_counts!A:B, 2, FALSE)</f>
        <v>4</v>
      </c>
      <c r="E1286" t="str">
        <f t="shared" si="394"/>
        <v>zard-exhaust-low-mounted-silencer-ducati-scrambler-800-special-edition-zd778ssr</v>
      </c>
      <c r="F1286" t="str">
        <f t="shared" si="382"/>
        <v>ZARD EXHAUST LOW MOUNTED SILENCER DUCATI SCRAMBLER 800 SPECIAL EDITION ZD778SSR</v>
      </c>
      <c r="G1286" t="str">
        <f t="shared" si="383"/>
        <v/>
      </c>
      <c r="H1286" t="str">
        <f t="shared" si="395"/>
        <v/>
      </c>
      <c r="I1286" t="str">
        <f t="shared" si="396"/>
        <v/>
      </c>
      <c r="J1286" t="str">
        <f t="shared" si="397"/>
        <v/>
      </c>
      <c r="K1286" t="str">
        <f t="shared" si="398"/>
        <v/>
      </c>
      <c r="L1286" t="str">
        <f t="shared" si="384"/>
        <v/>
      </c>
      <c r="M1286" t="str">
        <f t="shared" si="385"/>
        <v/>
      </c>
      <c r="R1286" t="str">
        <f t="shared" si="386"/>
        <v/>
      </c>
      <c r="S1286" t="str">
        <f t="shared" si="387"/>
        <v/>
      </c>
      <c r="U1286" t="str">
        <f t="shared" si="388"/>
        <v/>
      </c>
      <c r="V1286" t="str">
        <f t="shared" si="389"/>
        <v/>
      </c>
      <c r="W1286" s="5" t="str">
        <f t="shared" si="390"/>
        <v/>
      </c>
      <c r="Y1286" t="str">
        <f t="shared" si="391"/>
        <v/>
      </c>
      <c r="Z1286" t="str">
        <f t="shared" si="392"/>
        <v/>
      </c>
      <c r="AB1286" t="str">
        <f t="shared" si="393"/>
        <v>https://shop.officineitalianezard.it/contents/imgs/products/1_1139-3.jpg</v>
      </c>
      <c r="AE1286" t="b">
        <v>0</v>
      </c>
    </row>
    <row r="1287" spans="1:31" x14ac:dyDescent="0.2">
      <c r="A1287" t="str">
        <f t="shared" si="380"/>
        <v>https://shop.officineitalianezard.it/en/scarico-scrambler-ducati/</v>
      </c>
      <c r="B1287" t="b">
        <f>COUNTIF($A$2:$A1287, A1287)&gt;1</f>
        <v>1</v>
      </c>
      <c r="C1287" t="b">
        <f t="shared" si="381"/>
        <v>0</v>
      </c>
      <c r="D1287">
        <f>VLOOKUP(A1287,variant_counts!A:B, 2, FALSE)</f>
        <v>4</v>
      </c>
      <c r="E1287" t="str">
        <f t="shared" si="394"/>
        <v>zard-exhaust-low-mounted-silencer-ducati-scrambler-800-special-edition-zd778ssr</v>
      </c>
      <c r="F1287" t="str">
        <f t="shared" si="382"/>
        <v>ZARD EXHAUST LOW MOUNTED SILENCER DUCATI SCRAMBLER 800 SPECIAL EDITION ZD778SSR</v>
      </c>
      <c r="G1287" t="str">
        <f t="shared" si="383"/>
        <v/>
      </c>
      <c r="H1287" t="str">
        <f t="shared" si="395"/>
        <v/>
      </c>
      <c r="I1287" t="str">
        <f t="shared" si="396"/>
        <v/>
      </c>
      <c r="J1287" t="str">
        <f t="shared" si="397"/>
        <v/>
      </c>
      <c r="K1287" t="str">
        <f t="shared" si="398"/>
        <v/>
      </c>
      <c r="L1287" t="str">
        <f t="shared" si="384"/>
        <v/>
      </c>
      <c r="M1287" t="str">
        <f t="shared" si="385"/>
        <v/>
      </c>
      <c r="R1287" t="str">
        <f t="shared" si="386"/>
        <v/>
      </c>
      <c r="S1287" t="str">
        <f t="shared" si="387"/>
        <v/>
      </c>
      <c r="U1287" t="str">
        <f t="shared" si="388"/>
        <v/>
      </c>
      <c r="V1287" t="str">
        <f t="shared" si="389"/>
        <v/>
      </c>
      <c r="W1287" s="5" t="str">
        <f t="shared" si="390"/>
        <v/>
      </c>
      <c r="Y1287" t="str">
        <f t="shared" si="391"/>
        <v/>
      </c>
      <c r="Z1287" t="str">
        <f t="shared" si="392"/>
        <v/>
      </c>
      <c r="AB1287" t="str">
        <f t="shared" si="393"/>
        <v>https://shop.officineitalianezard.it/contents/imgs/products/1_1140-2.jpg</v>
      </c>
      <c r="AE1287" t="b">
        <v>0</v>
      </c>
    </row>
    <row r="1288" spans="1:31" x14ac:dyDescent="0.2">
      <c r="A1288" t="str">
        <f t="shared" si="380"/>
        <v>https://shop.officineitalianezard.it/en/scarico-scrambler-ducati/</v>
      </c>
      <c r="B1288" t="b">
        <f>COUNTIF($A$2:$A1288, A1288)&gt;1</f>
        <v>1</v>
      </c>
      <c r="C1288" t="b">
        <f t="shared" si="381"/>
        <v>0</v>
      </c>
      <c r="D1288">
        <f>VLOOKUP(A1288,variant_counts!A:B, 2, FALSE)</f>
        <v>4</v>
      </c>
      <c r="E1288" t="str">
        <f t="shared" si="394"/>
        <v>zard-exhaust-low-mounted-silencer-ducati-scrambler-800-special-edition-zd778ssr</v>
      </c>
      <c r="F1288" t="str">
        <f t="shared" si="382"/>
        <v>ZARD EXHAUST LOW MOUNTED SILENCER DUCATI SCRAMBLER 800 SPECIAL EDITION ZD778SSR</v>
      </c>
      <c r="G1288" t="str">
        <f t="shared" si="383"/>
        <v/>
      </c>
      <c r="H1288" t="str">
        <f t="shared" si="395"/>
        <v/>
      </c>
      <c r="I1288" t="str">
        <f t="shared" si="396"/>
        <v/>
      </c>
      <c r="J1288" t="str">
        <f t="shared" si="397"/>
        <v/>
      </c>
      <c r="K1288" t="str">
        <f t="shared" si="398"/>
        <v/>
      </c>
      <c r="L1288" t="str">
        <f t="shared" si="384"/>
        <v/>
      </c>
      <c r="M1288" t="str">
        <f t="shared" si="385"/>
        <v/>
      </c>
      <c r="R1288" t="str">
        <f t="shared" si="386"/>
        <v/>
      </c>
      <c r="S1288" t="str">
        <f t="shared" si="387"/>
        <v/>
      </c>
      <c r="U1288" t="str">
        <f t="shared" si="388"/>
        <v/>
      </c>
      <c r="V1288" t="str">
        <f t="shared" si="389"/>
        <v/>
      </c>
      <c r="W1288" s="5" t="str">
        <f t="shared" si="390"/>
        <v/>
      </c>
      <c r="Y1288" t="str">
        <f t="shared" si="391"/>
        <v/>
      </c>
      <c r="Z1288" t="str">
        <f t="shared" si="392"/>
        <v/>
      </c>
      <c r="AB1288" t="str">
        <f t="shared" si="393"/>
        <v>https://shop.officineitalianezard.it/contents/imgs/products/1_1138-4.jpg</v>
      </c>
      <c r="AE1288" t="b">
        <v>0</v>
      </c>
    </row>
    <row r="1289" spans="1:31" x14ac:dyDescent="0.2">
      <c r="A1289" t="str">
        <f t="shared" si="380"/>
        <v>https://shop.officineitalianezard.it/en/scarico-scrambler-ducati/</v>
      </c>
      <c r="B1289" t="b">
        <f>COUNTIF($A$2:$A1289, A1289)&gt;1</f>
        <v>1</v>
      </c>
      <c r="C1289" t="b">
        <f t="shared" si="381"/>
        <v>0</v>
      </c>
      <c r="D1289">
        <f>VLOOKUP(A1289,variant_counts!A:B, 2, FALSE)</f>
        <v>4</v>
      </c>
      <c r="E1289" t="str">
        <f t="shared" si="394"/>
        <v>zard-exhaust-low-mounted-silencer-ducati-scrambler-800-special-edition-zd778ssr</v>
      </c>
      <c r="F1289" t="str">
        <f t="shared" si="382"/>
        <v>ZARD EXHAUST LOW MOUNTED SILENCER DUCATI SCRAMBLER 800 SPECIAL EDITION ZD778SSR</v>
      </c>
      <c r="G1289" t="str">
        <f t="shared" si="383"/>
        <v/>
      </c>
      <c r="H1289" t="str">
        <f t="shared" si="395"/>
        <v/>
      </c>
      <c r="I1289" t="str">
        <f t="shared" si="396"/>
        <v/>
      </c>
      <c r="J1289" t="str">
        <f t="shared" si="397"/>
        <v/>
      </c>
      <c r="K1289" t="str">
        <f t="shared" si="398"/>
        <v/>
      </c>
      <c r="L1289" t="str">
        <f t="shared" si="384"/>
        <v/>
      </c>
      <c r="M1289" t="str">
        <f t="shared" si="385"/>
        <v/>
      </c>
      <c r="R1289" t="str">
        <f t="shared" si="386"/>
        <v/>
      </c>
      <c r="S1289" t="str">
        <f t="shared" si="387"/>
        <v/>
      </c>
      <c r="U1289" t="str">
        <f t="shared" si="388"/>
        <v/>
      </c>
      <c r="V1289" t="str">
        <f t="shared" si="389"/>
        <v/>
      </c>
      <c r="W1289" s="5" t="str">
        <f t="shared" si="390"/>
        <v/>
      </c>
      <c r="Y1289" t="str">
        <f t="shared" si="391"/>
        <v/>
      </c>
      <c r="Z1289" t="str">
        <f t="shared" si="392"/>
        <v/>
      </c>
      <c r="AB1289" t="str">
        <f t="shared" si="393"/>
        <v>https://shop.officineitalianezard.it/contents/imgs/products/1_1733-1067-scarico%20scrambler%20zard2.jpg</v>
      </c>
      <c r="AE1289" t="b">
        <v>0</v>
      </c>
    </row>
    <row r="1290" spans="1:31" x14ac:dyDescent="0.2">
      <c r="A1290" t="str">
        <f t="shared" si="380"/>
        <v>https://shop.officineitalianezard.it/en/scarico-scrambler-ducati/</v>
      </c>
      <c r="B1290" t="b">
        <f>COUNTIF($A$2:$A1290, A1290)&gt;1</f>
        <v>1</v>
      </c>
      <c r="C1290" t="b">
        <f t="shared" si="381"/>
        <v>0</v>
      </c>
      <c r="D1290">
        <f>VLOOKUP(A1290,variant_counts!A:B, 2, FALSE)</f>
        <v>4</v>
      </c>
      <c r="E1290" t="str">
        <f t="shared" si="394"/>
        <v>zard-exhaust-low-mounted-silencer-ducati-scrambler-800-special-edition-zd778ssr</v>
      </c>
      <c r="F1290" t="str">
        <f t="shared" si="382"/>
        <v>ZARD EXHAUST LOW MOUNTED SILENCER DUCATI SCRAMBLER 800 SPECIAL EDITION ZD778SSR</v>
      </c>
      <c r="G1290" t="str">
        <f t="shared" si="383"/>
        <v/>
      </c>
      <c r="H1290" t="str">
        <f t="shared" si="395"/>
        <v/>
      </c>
      <c r="I1290" t="str">
        <f t="shared" si="396"/>
        <v/>
      </c>
      <c r="J1290" t="str">
        <f t="shared" si="397"/>
        <v/>
      </c>
      <c r="K1290" t="str">
        <f t="shared" si="398"/>
        <v/>
      </c>
      <c r="L1290" t="str">
        <f t="shared" si="384"/>
        <v/>
      </c>
      <c r="M1290" t="str">
        <f t="shared" si="385"/>
        <v/>
      </c>
      <c r="R1290" t="str">
        <f t="shared" si="386"/>
        <v/>
      </c>
      <c r="S1290" t="str">
        <f t="shared" si="387"/>
        <v/>
      </c>
      <c r="U1290" t="str">
        <f t="shared" si="388"/>
        <v/>
      </c>
      <c r="V1290" t="str">
        <f t="shared" si="389"/>
        <v/>
      </c>
      <c r="W1290" s="5" t="str">
        <f t="shared" si="390"/>
        <v/>
      </c>
      <c r="Y1290" t="str">
        <f t="shared" si="391"/>
        <v/>
      </c>
      <c r="Z1290" t="str">
        <f t="shared" si="392"/>
        <v/>
      </c>
      <c r="AB1290" t="str">
        <f t="shared" si="393"/>
        <v>https://shop.officineitalianezard.it/contents/imgs/products/1_1734-1066-scarico%20scrambler%20zard1.jpg</v>
      </c>
      <c r="AE1290" t="b">
        <v>0</v>
      </c>
    </row>
    <row r="1291" spans="1:31" x14ac:dyDescent="0.2">
      <c r="A1291" t="str">
        <f t="shared" si="380"/>
        <v>https://shop.officineitalianezard.it/en/scarico-scrambler-ducati/</v>
      </c>
      <c r="B1291" t="b">
        <f>COUNTIF($A$2:$A1291, A1291)&gt;1</f>
        <v>1</v>
      </c>
      <c r="C1291" t="b">
        <f t="shared" si="381"/>
        <v>0</v>
      </c>
      <c r="D1291">
        <f>VLOOKUP(A1291,variant_counts!A:B, 2, FALSE)</f>
        <v>4</v>
      </c>
      <c r="E1291" t="str">
        <f t="shared" si="394"/>
        <v>zard-exhaust-low-mounted-silencer-ducati-scrambler-800-special-edition-zd778ssr</v>
      </c>
      <c r="F1291" t="str">
        <f t="shared" si="382"/>
        <v>ZARD EXHAUST LOW MOUNTED SILENCER DUCATI SCRAMBLER 800 SPECIAL EDITION ZD778SSR</v>
      </c>
      <c r="G1291" t="str">
        <f t="shared" si="383"/>
        <v/>
      </c>
      <c r="H1291" t="str">
        <f t="shared" si="395"/>
        <v/>
      </c>
      <c r="I1291" t="str">
        <f t="shared" si="396"/>
        <v/>
      </c>
      <c r="J1291" t="str">
        <f t="shared" si="397"/>
        <v/>
      </c>
      <c r="K1291" t="str">
        <f t="shared" si="398"/>
        <v/>
      </c>
      <c r="L1291" t="str">
        <f t="shared" si="384"/>
        <v/>
      </c>
      <c r="M1291" t="str">
        <f t="shared" si="385"/>
        <v/>
      </c>
      <c r="R1291" t="str">
        <f t="shared" si="386"/>
        <v/>
      </c>
      <c r="S1291" t="str">
        <f t="shared" si="387"/>
        <v/>
      </c>
      <c r="U1291" t="str">
        <f t="shared" si="388"/>
        <v/>
      </c>
      <c r="V1291" t="str">
        <f t="shared" si="389"/>
        <v/>
      </c>
      <c r="W1291" s="5" t="str">
        <f t="shared" si="390"/>
        <v/>
      </c>
      <c r="Y1291" t="str">
        <f t="shared" si="391"/>
        <v/>
      </c>
      <c r="Z1291" t="str">
        <f t="shared" si="392"/>
        <v/>
      </c>
      <c r="AB1291" t="str">
        <f t="shared" si="393"/>
        <v>https://shop.officineitalianezard.it/contents/imgs/products/1_1739-bassoneroridotta.jpg</v>
      </c>
      <c r="AE1291" t="b">
        <v>0</v>
      </c>
    </row>
    <row r="1292" spans="1:31" x14ac:dyDescent="0.2">
      <c r="A1292" t="str">
        <f t="shared" si="380"/>
        <v>https://shop.officineitalianezard.it/en/scarico-scrambler-ducati/</v>
      </c>
      <c r="B1292" t="b">
        <f>COUNTIF($A$2:$A1292, A1292)&gt;1</f>
        <v>1</v>
      </c>
      <c r="C1292" t="b">
        <f t="shared" si="381"/>
        <v>1</v>
      </c>
      <c r="D1292">
        <f>VLOOKUP(A1292,variant_counts!A:B, 2, FALSE)</f>
        <v>4</v>
      </c>
      <c r="E1292" t="str">
        <f t="shared" si="394"/>
        <v>zard-exhaust-low-mounted-silencer-ducati-scrambler-800-special-edition-zd778ssr</v>
      </c>
      <c r="F1292" t="str">
        <f t="shared" si="382"/>
        <v>ZARD EXHAUST LOW MOUNTED SILENCER DUCATI SCRAMBLER 800 SPECIAL EDITION ZD778SSR</v>
      </c>
      <c r="G1292" t="str">
        <f t="shared" si="383"/>
        <v/>
      </c>
      <c r="H1292" t="str">
        <f t="shared" si="395"/>
        <v/>
      </c>
      <c r="I1292" t="str">
        <f t="shared" si="396"/>
        <v/>
      </c>
      <c r="J1292" t="str">
        <f t="shared" si="397"/>
        <v/>
      </c>
      <c r="K1292" t="str">
        <f t="shared" si="398"/>
        <v/>
      </c>
      <c r="L1292" t="str">
        <f t="shared" si="384"/>
        <v>Option</v>
      </c>
      <c r="M1292" t="str">
        <f t="shared" si="385"/>
        <v>EURO 3 HOMOLOGATED</v>
      </c>
      <c r="R1292" t="str">
        <f t="shared" si="386"/>
        <v>ZD778SSR</v>
      </c>
      <c r="S1292">
        <f t="shared" si="387"/>
        <v>0</v>
      </c>
      <c r="U1292" t="str">
        <f t="shared" si="388"/>
        <v>continue</v>
      </c>
      <c r="V1292" t="str">
        <f t="shared" si="389"/>
        <v>manual</v>
      </c>
      <c r="W1292" s="5">
        <f t="shared" si="390"/>
        <v>715.76130000000012</v>
      </c>
      <c r="Y1292" t="b">
        <f t="shared" si="391"/>
        <v>1</v>
      </c>
      <c r="Z1292" t="b">
        <f t="shared" si="392"/>
        <v>0</v>
      </c>
      <c r="AB1292" t="str">
        <f t="shared" si="393"/>
        <v/>
      </c>
      <c r="AE1292" t="b">
        <v>0</v>
      </c>
    </row>
    <row r="1293" spans="1:31" x14ac:dyDescent="0.2">
      <c r="A1293" t="str">
        <f t="shared" si="380"/>
        <v>https://shop.officineitalianezard.it/en/scarico-scrambler-ducati/</v>
      </c>
      <c r="B1293" t="b">
        <f>COUNTIF($A$2:$A1293, A1293)&gt;1</f>
        <v>1</v>
      </c>
      <c r="C1293" t="b">
        <f t="shared" si="381"/>
        <v>1</v>
      </c>
      <c r="D1293">
        <f>VLOOKUP(A1293,variant_counts!A:B, 2, FALSE)</f>
        <v>4</v>
      </c>
      <c r="E1293" t="str">
        <f t="shared" si="394"/>
        <v>zard-exhaust-low-mounted-silencer-ducati-scrambler-800-special-edition-zd778ssr</v>
      </c>
      <c r="F1293" t="str">
        <f t="shared" si="382"/>
        <v>ZARD EXHAUST LOW MOUNTED SILENCER DUCATI SCRAMBLER 800 SPECIAL EDITION ZD778SSR</v>
      </c>
      <c r="G1293" t="str">
        <f t="shared" si="383"/>
        <v/>
      </c>
      <c r="H1293" t="str">
        <f t="shared" si="395"/>
        <v/>
      </c>
      <c r="I1293" t="str">
        <f t="shared" si="396"/>
        <v/>
      </c>
      <c r="J1293" t="str">
        <f t="shared" si="397"/>
        <v/>
      </c>
      <c r="K1293" t="str">
        <f t="shared" si="398"/>
        <v/>
      </c>
      <c r="L1293" t="str">
        <f t="shared" si="384"/>
        <v>Option</v>
      </c>
      <c r="M1293" t="str">
        <f t="shared" si="385"/>
        <v>EURO 4 HOMOLOGATED</v>
      </c>
      <c r="R1293" t="str">
        <f t="shared" si="386"/>
        <v>ZD778SSR</v>
      </c>
      <c r="S1293">
        <f t="shared" si="387"/>
        <v>0</v>
      </c>
      <c r="U1293" t="str">
        <f t="shared" si="388"/>
        <v>continue</v>
      </c>
      <c r="V1293" t="str">
        <f t="shared" si="389"/>
        <v>manual</v>
      </c>
      <c r="W1293" s="5">
        <f t="shared" si="390"/>
        <v>750.16020000000015</v>
      </c>
      <c r="Y1293" t="b">
        <f t="shared" si="391"/>
        <v>1</v>
      </c>
      <c r="Z1293" t="b">
        <f t="shared" si="392"/>
        <v>0</v>
      </c>
      <c r="AB1293" t="str">
        <f t="shared" si="393"/>
        <v/>
      </c>
      <c r="AE1293" t="b">
        <v>0</v>
      </c>
    </row>
    <row r="1294" spans="1:31" x14ac:dyDescent="0.2">
      <c r="A1294" t="str">
        <f t="shared" si="380"/>
        <v>https://shop.officineitalianezard.it/en/scarico-scrambler-ducati/</v>
      </c>
      <c r="B1294" t="b">
        <f>COUNTIF($A$2:$A1294, A1294)&gt;1</f>
        <v>1</v>
      </c>
      <c r="C1294" t="b">
        <f t="shared" si="381"/>
        <v>1</v>
      </c>
      <c r="D1294">
        <f>VLOOKUP(A1294,variant_counts!A:B, 2, FALSE)</f>
        <v>4</v>
      </c>
      <c r="E1294" t="str">
        <f t="shared" si="394"/>
        <v>zard-exhaust-low-mounted-silencer-ducati-scrambler-800-special-edition-zd778ssr</v>
      </c>
      <c r="F1294" t="str">
        <f t="shared" si="382"/>
        <v>ZARD EXHAUST LOW MOUNTED SILENCER DUCATI SCRAMBLER 800 SPECIAL EDITION ZD778SSR</v>
      </c>
      <c r="G1294" t="str">
        <f t="shared" si="383"/>
        <v/>
      </c>
      <c r="H1294" t="str">
        <f t="shared" si="395"/>
        <v/>
      </c>
      <c r="I1294" t="str">
        <f t="shared" si="396"/>
        <v/>
      </c>
      <c r="J1294" t="str">
        <f t="shared" si="397"/>
        <v/>
      </c>
      <c r="K1294" t="str">
        <f t="shared" si="398"/>
        <v/>
      </c>
      <c r="L1294" t="str">
        <f t="shared" si="384"/>
        <v>Option</v>
      </c>
      <c r="M1294" t="str">
        <f t="shared" si="385"/>
        <v>BLACK CERAMIC COATING</v>
      </c>
      <c r="R1294" t="str">
        <f t="shared" si="386"/>
        <v>ZD778SSR</v>
      </c>
      <c r="S1294">
        <f t="shared" si="387"/>
        <v>0</v>
      </c>
      <c r="U1294" t="str">
        <f t="shared" si="388"/>
        <v>continue</v>
      </c>
      <c r="V1294" t="str">
        <f t="shared" si="389"/>
        <v>manual</v>
      </c>
      <c r="W1294" s="5">
        <f t="shared" si="390"/>
        <v>741.96840000000009</v>
      </c>
      <c r="Y1294" t="b">
        <f t="shared" si="391"/>
        <v>1</v>
      </c>
      <c r="Z1294" t="b">
        <f t="shared" si="392"/>
        <v>0</v>
      </c>
      <c r="AB1294" t="str">
        <f t="shared" si="393"/>
        <v/>
      </c>
      <c r="AE1294" t="b">
        <v>0</v>
      </c>
    </row>
    <row r="1295" spans="1:31" x14ac:dyDescent="0.2">
      <c r="A1295" t="str">
        <f t="shared" si="380"/>
        <v>https://shop.officineitalianezard.it/en/scarico-scrambler-ducati/</v>
      </c>
      <c r="B1295" t="b">
        <f>COUNTIF($A$2:$A1295, A1295)&gt;1</f>
        <v>1</v>
      </c>
      <c r="C1295" t="b">
        <f t="shared" si="381"/>
        <v>1</v>
      </c>
      <c r="D1295">
        <f>VLOOKUP(A1295,variant_counts!A:B, 2, FALSE)</f>
        <v>4</v>
      </c>
      <c r="E1295" t="str">
        <f t="shared" si="394"/>
        <v>zard-exhaust-low-mounted-silencer-ducati-scrambler-800-special-edition-zd778ssr</v>
      </c>
      <c r="F1295" t="str">
        <f t="shared" si="382"/>
        <v>ZARD EXHAUST LOW MOUNTED SILENCER DUCATI SCRAMBLER 800 SPECIAL EDITION ZD778SSR</v>
      </c>
      <c r="G1295" t="str">
        <f t="shared" si="383"/>
        <v/>
      </c>
      <c r="H1295" t="str">
        <f t="shared" si="395"/>
        <v/>
      </c>
      <c r="I1295" t="str">
        <f t="shared" si="396"/>
        <v/>
      </c>
      <c r="J1295" t="str">
        <f t="shared" si="397"/>
        <v/>
      </c>
      <c r="K1295" t="str">
        <f t="shared" si="398"/>
        <v/>
      </c>
      <c r="L1295" t="str">
        <f t="shared" si="384"/>
        <v>Option</v>
      </c>
      <c r="M1295" t="str">
        <f t="shared" si="385"/>
        <v>BLACK HEAT SHIELD</v>
      </c>
      <c r="R1295" t="str">
        <f t="shared" si="386"/>
        <v>ZD778SSR</v>
      </c>
      <c r="S1295">
        <f t="shared" si="387"/>
        <v>0</v>
      </c>
      <c r="U1295" t="str">
        <f t="shared" si="388"/>
        <v>continue</v>
      </c>
      <c r="V1295" t="str">
        <f t="shared" si="389"/>
        <v>manual</v>
      </c>
      <c r="W1295" s="5">
        <f t="shared" si="390"/>
        <v>707.58060000000012</v>
      </c>
      <c r="Y1295" t="b">
        <f t="shared" si="391"/>
        <v>1</v>
      </c>
      <c r="Z1295" t="b">
        <f t="shared" si="392"/>
        <v>0</v>
      </c>
      <c r="AB1295" t="str">
        <f t="shared" si="393"/>
        <v/>
      </c>
      <c r="AE1295" t="b">
        <v>0</v>
      </c>
    </row>
    <row r="1296" spans="1:31" x14ac:dyDescent="0.2">
      <c r="A1296" t="str">
        <f t="shared" si="380"/>
        <v>https://shop.officineitalianezard.it/en/scrambler-ducati-collectors-zard/</v>
      </c>
      <c r="B1296" t="b">
        <f>COUNTIF($A$2:$A1296, A1296)&gt;1</f>
        <v>0</v>
      </c>
      <c r="C1296" t="b">
        <f t="shared" si="381"/>
        <v>0</v>
      </c>
      <c r="D1296">
        <f>VLOOKUP(A1296,variant_counts!A:B, 2, FALSE)</f>
        <v>2</v>
      </c>
      <c r="E1296" t="str">
        <f t="shared" si="394"/>
        <v>zard-exhaust-headers-kit-ducati-monster-797-201719-scrambler-ducati-800-monster-797-replica-zd783scr</v>
      </c>
      <c r="F1296" t="str">
        <f t="shared" si="382"/>
        <v>ZARD EXHAUST HEADERS KIT DUCATI MONSTER 797 2017/19 SCRAMBLER DUCATI 800 / MONSTER 797 REPLICA ZD783SCR</v>
      </c>
      <c r="G1296" t="str">
        <f t="shared" si="383"/>
        <v>&lt;p&gt;'SCRAMBLER DUCATI REPLICA'&amp;nbsp;STEEL RACING HEADERS KIT COMPATIBLE WITH DUCATI MONSTER 797&lt;/p&gt;
&lt;p&gt;BOTH STEEL AND TITANIUM VERSION HAVE&amp;nbsp;'SNAKE TIG WELDINGS' HANDMADE BY OUR BEST WELDERS&lt;/p&gt;
&lt;p&gt;ORIGINAL HEADERS WEIGHT: 2.7 KG&lt;/p&gt;
&lt;p class="p1"&gt;&lt;span class="s1"&gt;&lt;b&gt;NOTE&lt;/b&gt;: HEAD OUTPUT NOT INCLUDED, PLEASE USE OEM&amp;nbsp;DUCATI ONE.&lt;/span&gt;&lt;/p&gt;
&lt;p&gt;ZARD TITANIUM HEADERS WEIGHT: 0.9 KG&lt;br&gt;ZARD STEEL HEADERS WEIGHT: 1.4 KG&lt;/p&gt;
&lt;p&gt;TO IMPROVE BIKE PERFORMANCES AND HAVE A COOL DESIGN,&lt;/p&gt;
&lt;p&gt;ZARD HEADERS KIT CAN BE COMBINED WITH&amp;nbsp;ONE OF OUR LOW MOUNTED SILENCERS.&lt;/p&gt;
&lt;p&gt;&lt;/p&gt;</v>
      </c>
      <c r="H1296" t="str">
        <f t="shared" si="395"/>
        <v>ZARD</v>
      </c>
      <c r="I1296" t="str">
        <f t="shared" si="396"/>
        <v>Exhaust Pipe</v>
      </c>
      <c r="J1296" t="str">
        <f t="shared" si="397"/>
        <v>Test</v>
      </c>
      <c r="K1296" t="b">
        <f t="shared" si="398"/>
        <v>0</v>
      </c>
      <c r="L1296" t="str">
        <f t="shared" si="384"/>
        <v/>
      </c>
      <c r="M1296" t="str">
        <f t="shared" si="385"/>
        <v/>
      </c>
      <c r="R1296" t="str">
        <f t="shared" si="386"/>
        <v/>
      </c>
      <c r="S1296" t="str">
        <f t="shared" si="387"/>
        <v/>
      </c>
      <c r="U1296" t="str">
        <f t="shared" si="388"/>
        <v/>
      </c>
      <c r="V1296" t="str">
        <f t="shared" si="389"/>
        <v/>
      </c>
      <c r="W1296" s="5" t="str">
        <f t="shared" si="390"/>
        <v/>
      </c>
      <c r="Y1296" t="str">
        <f t="shared" si="391"/>
        <v/>
      </c>
      <c r="Z1296" t="str">
        <f t="shared" si="392"/>
        <v/>
      </c>
      <c r="AB1296" t="str">
        <f t="shared" si="393"/>
        <v>https://shop.officineitalianezard.it/contents/imgs/products/1_1803-collettori%20scrambler%20ducati%201.jpg</v>
      </c>
      <c r="AE1296" t="b">
        <v>0</v>
      </c>
    </row>
    <row r="1297" spans="1:31" x14ac:dyDescent="0.2">
      <c r="A1297" t="str">
        <f t="shared" si="380"/>
        <v>https://shop.officineitalianezard.it/en/scrambler-ducati-collectors-zard/</v>
      </c>
      <c r="B1297" t="b">
        <f>COUNTIF($A$2:$A1297, A1297)&gt;1</f>
        <v>1</v>
      </c>
      <c r="C1297" t="b">
        <f t="shared" si="381"/>
        <v>0</v>
      </c>
      <c r="D1297">
        <f>VLOOKUP(A1297,variant_counts!A:B, 2, FALSE)</f>
        <v>2</v>
      </c>
      <c r="E1297" t="str">
        <f t="shared" si="394"/>
        <v>zard-exhaust-headers-kit-ducati-monster-797-201719-scrambler-ducati-800-monster-797-replica-zd783scr</v>
      </c>
      <c r="F1297" t="str">
        <f t="shared" si="382"/>
        <v>ZARD EXHAUST HEADERS KIT DUCATI MONSTER 797 2017/19 SCRAMBLER DUCATI 800 / MONSTER 797 REPLICA ZD783SCR</v>
      </c>
      <c r="G1297" t="str">
        <f t="shared" si="383"/>
        <v/>
      </c>
      <c r="H1297" t="str">
        <f t="shared" si="395"/>
        <v/>
      </c>
      <c r="I1297" t="str">
        <f t="shared" si="396"/>
        <v/>
      </c>
      <c r="J1297" t="str">
        <f t="shared" si="397"/>
        <v/>
      </c>
      <c r="K1297" t="str">
        <f t="shared" si="398"/>
        <v/>
      </c>
      <c r="L1297" t="str">
        <f t="shared" si="384"/>
        <v/>
      </c>
      <c r="M1297" t="str">
        <f t="shared" si="385"/>
        <v/>
      </c>
      <c r="R1297" t="str">
        <f t="shared" si="386"/>
        <v/>
      </c>
      <c r="S1297" t="str">
        <f t="shared" si="387"/>
        <v/>
      </c>
      <c r="U1297" t="str">
        <f t="shared" si="388"/>
        <v/>
      </c>
      <c r="V1297" t="str">
        <f t="shared" si="389"/>
        <v/>
      </c>
      <c r="W1297" s="5" t="str">
        <f t="shared" si="390"/>
        <v/>
      </c>
      <c r="Y1297" t="str">
        <f t="shared" si="391"/>
        <v/>
      </c>
      <c r="Z1297" t="str">
        <f t="shared" si="392"/>
        <v/>
      </c>
      <c r="AB1297" t="str">
        <f t="shared" si="393"/>
        <v>https://shop.officineitalianezard.it/contents/imgs/products/1_1801-scarico%20scrambler%20ducati.jpg</v>
      </c>
      <c r="AE1297" t="b">
        <v>0</v>
      </c>
    </row>
    <row r="1298" spans="1:31" x14ac:dyDescent="0.2">
      <c r="A1298" t="str">
        <f t="shared" si="380"/>
        <v>https://shop.officineitalianezard.it/en/scrambler-ducati-collectors-zard/</v>
      </c>
      <c r="B1298" t="b">
        <f>COUNTIF($A$2:$A1298, A1298)&gt;1</f>
        <v>1</v>
      </c>
      <c r="C1298" t="b">
        <f t="shared" si="381"/>
        <v>0</v>
      </c>
      <c r="D1298">
        <f>VLOOKUP(A1298,variant_counts!A:B, 2, FALSE)</f>
        <v>2</v>
      </c>
      <c r="E1298" t="str">
        <f t="shared" si="394"/>
        <v>zard-exhaust-headers-kit-ducati-monster-797-201719-scrambler-ducati-800-monster-797-replica-zd783scr</v>
      </c>
      <c r="F1298" t="str">
        <f t="shared" si="382"/>
        <v>ZARD EXHAUST HEADERS KIT DUCATI MONSTER 797 2017/19 SCRAMBLER DUCATI 800 / MONSTER 797 REPLICA ZD783SCR</v>
      </c>
      <c r="G1298" t="str">
        <f t="shared" si="383"/>
        <v/>
      </c>
      <c r="H1298" t="str">
        <f t="shared" si="395"/>
        <v/>
      </c>
      <c r="I1298" t="str">
        <f t="shared" si="396"/>
        <v/>
      </c>
      <c r="J1298" t="str">
        <f t="shared" si="397"/>
        <v/>
      </c>
      <c r="K1298" t="str">
        <f t="shared" si="398"/>
        <v/>
      </c>
      <c r="L1298" t="str">
        <f t="shared" si="384"/>
        <v/>
      </c>
      <c r="M1298" t="str">
        <f t="shared" si="385"/>
        <v/>
      </c>
      <c r="R1298" t="str">
        <f t="shared" si="386"/>
        <v/>
      </c>
      <c r="S1298" t="str">
        <f t="shared" si="387"/>
        <v/>
      </c>
      <c r="U1298" t="str">
        <f t="shared" si="388"/>
        <v/>
      </c>
      <c r="V1298" t="str">
        <f t="shared" si="389"/>
        <v/>
      </c>
      <c r="W1298" s="5" t="str">
        <f t="shared" si="390"/>
        <v/>
      </c>
      <c r="Y1298" t="str">
        <f t="shared" si="391"/>
        <v/>
      </c>
      <c r="Z1298" t="str">
        <f t="shared" si="392"/>
        <v/>
      </c>
      <c r="AB1298" t="str">
        <f t="shared" si="393"/>
        <v>https://shop.officineitalianezard.it/contents/imgs/products/1_1802-scrambler%20ducati%20titanium.jpg</v>
      </c>
      <c r="AE1298" t="b">
        <v>0</v>
      </c>
    </row>
    <row r="1299" spans="1:31" x14ac:dyDescent="0.2">
      <c r="A1299" t="str">
        <f t="shared" si="380"/>
        <v>https://shop.officineitalianezard.it/en/scrambler-ducati-collectors-zard/</v>
      </c>
      <c r="B1299" t="b">
        <f>COUNTIF($A$2:$A1299, A1299)&gt;1</f>
        <v>1</v>
      </c>
      <c r="C1299" t="b">
        <f t="shared" si="381"/>
        <v>1</v>
      </c>
      <c r="D1299">
        <f>VLOOKUP(A1299,variant_counts!A:B, 2, FALSE)</f>
        <v>2</v>
      </c>
      <c r="E1299" t="str">
        <f t="shared" si="394"/>
        <v>zard-exhaust-headers-kit-ducati-monster-797-201719-scrambler-ducati-800-monster-797-replica-zd783scr</v>
      </c>
      <c r="F1299" t="str">
        <f t="shared" si="382"/>
        <v>ZARD EXHAUST HEADERS KIT DUCATI MONSTER 797 2017/19 SCRAMBLER DUCATI 800 / MONSTER 797 REPLICA ZD783SCR</v>
      </c>
      <c r="G1299" t="str">
        <f t="shared" si="383"/>
        <v/>
      </c>
      <c r="H1299" t="str">
        <f t="shared" si="395"/>
        <v/>
      </c>
      <c r="I1299" t="str">
        <f t="shared" si="396"/>
        <v/>
      </c>
      <c r="J1299" t="str">
        <f t="shared" si="397"/>
        <v/>
      </c>
      <c r="K1299" t="str">
        <f t="shared" si="398"/>
        <v/>
      </c>
      <c r="L1299" t="str">
        <f t="shared" si="384"/>
        <v>Option</v>
      </c>
      <c r="M1299" t="str">
        <f t="shared" si="385"/>
        <v>FULL TITANIUM</v>
      </c>
      <c r="R1299" t="str">
        <f t="shared" si="386"/>
        <v>ZD783SCR</v>
      </c>
      <c r="S1299">
        <f t="shared" si="387"/>
        <v>0</v>
      </c>
      <c r="U1299" t="str">
        <f t="shared" si="388"/>
        <v>continue</v>
      </c>
      <c r="V1299" t="str">
        <f t="shared" si="389"/>
        <v>manual</v>
      </c>
      <c r="W1299" s="5">
        <f t="shared" si="390"/>
        <v>1098.1674</v>
      </c>
      <c r="Y1299" t="b">
        <f t="shared" si="391"/>
        <v>1</v>
      </c>
      <c r="Z1299" t="b">
        <f t="shared" si="392"/>
        <v>0</v>
      </c>
      <c r="AB1299" t="str">
        <f t="shared" si="393"/>
        <v/>
      </c>
      <c r="AE1299" t="b">
        <v>0</v>
      </c>
    </row>
    <row r="1300" spans="1:31" x14ac:dyDescent="0.2">
      <c r="A1300" t="str">
        <f t="shared" si="380"/>
        <v>https://shop.officineitalianezard.it/en/scrambler-ducati-collectors-zard/</v>
      </c>
      <c r="B1300" t="b">
        <f>COUNTIF($A$2:$A1300, A1300)&gt;1</f>
        <v>1</v>
      </c>
      <c r="C1300" t="b">
        <f t="shared" si="381"/>
        <v>1</v>
      </c>
      <c r="D1300">
        <f>VLOOKUP(A1300,variant_counts!A:B, 2, FALSE)</f>
        <v>2</v>
      </c>
      <c r="E1300" t="str">
        <f t="shared" si="394"/>
        <v>zard-exhaust-headers-kit-ducati-monster-797-201719-scrambler-ducati-800-monster-797-replica-zd783scr</v>
      </c>
      <c r="F1300" t="str">
        <f t="shared" si="382"/>
        <v>ZARD EXHAUST HEADERS KIT DUCATI MONSTER 797 2017/19 SCRAMBLER DUCATI 800 / MONSTER 797 REPLICA ZD783SCR</v>
      </c>
      <c r="G1300" t="str">
        <f t="shared" si="383"/>
        <v/>
      </c>
      <c r="H1300" t="str">
        <f t="shared" si="395"/>
        <v/>
      </c>
      <c r="I1300" t="str">
        <f t="shared" si="396"/>
        <v/>
      </c>
      <c r="J1300" t="str">
        <f t="shared" si="397"/>
        <v/>
      </c>
      <c r="K1300" t="str">
        <f t="shared" si="398"/>
        <v/>
      </c>
      <c r="L1300" t="str">
        <f t="shared" si="384"/>
        <v>Option</v>
      </c>
      <c r="M1300" t="str">
        <f t="shared" si="385"/>
        <v>BLACK CERAMIC COATING</v>
      </c>
      <c r="R1300" t="str">
        <f t="shared" si="386"/>
        <v>ZD783SCR</v>
      </c>
      <c r="S1300">
        <f t="shared" si="387"/>
        <v>0</v>
      </c>
      <c r="U1300" t="str">
        <f t="shared" si="388"/>
        <v>continue</v>
      </c>
      <c r="V1300" t="str">
        <f t="shared" si="389"/>
        <v>manual</v>
      </c>
      <c r="W1300" s="5">
        <f t="shared" si="390"/>
        <v>876.25620000000015</v>
      </c>
      <c r="Y1300" t="b">
        <f t="shared" si="391"/>
        <v>1</v>
      </c>
      <c r="Z1300" t="b">
        <f t="shared" si="392"/>
        <v>0</v>
      </c>
      <c r="AB1300" t="str">
        <f t="shared" si="393"/>
        <v/>
      </c>
      <c r="AE1300" t="b">
        <v>0</v>
      </c>
    </row>
    <row r="1301" spans="1:31" x14ac:dyDescent="0.2">
      <c r="A1301" t="str">
        <f t="shared" si="380"/>
        <v>https://shop.officineitalianezard.it/en/scrambler-ducati-exhaust-by-zard/</v>
      </c>
      <c r="B1301" t="b">
        <f>COUNTIF($A$2:$A1301, A1301)&gt;1</f>
        <v>0</v>
      </c>
      <c r="C1301" t="b">
        <f t="shared" si="381"/>
        <v>0</v>
      </c>
      <c r="D1301">
        <f>VLOOKUP(A1301,variant_counts!A:B, 2, FALSE)</f>
        <v>4</v>
      </c>
      <c r="E1301" t="str">
        <f t="shared" si="394"/>
        <v>zard-exhaust-high-mounted-full-kit-ducati-scrambler-800-special-edition-zd779skr</v>
      </c>
      <c r="F1301" t="str">
        <f t="shared" si="382"/>
        <v>ZARD EXHAUST HIGH MOUNTED FULL KIT DUCATI SCRAMBLER 800 SPECIAL EDITION ZD779SKR</v>
      </c>
      <c r="G1301" t="str">
        <f t="shared" si="383"/>
        <v>&lt;p&gt;2&amp;gt;1 STEEL RACING FULL KIT WITH REMOVABLE DB KILLER&lt;/p&gt;
&lt;p&gt;ORIGINAL FULL KIT WEIGHT: 8.5 KG&lt;br&gt;ZARD FULL KIT WEIGHT: 4.7 KG&lt;/p&gt;
&lt;p&gt;&lt;/p&gt;
&lt;p&gt;'BLACK CERAMIC COATING' OPTIONAL INCLUDES BOTH BLACK HEAT SHIELDS AND BLACK + SILVER WIRE MESHEES&lt;/p&gt;
&lt;p&gt;HARD INCREASE, COMPARED TO THE ORIGINAL EXHAUST SYSTEM, IN TERMS OF TORQUE AND POWER AT ANY RANGE.&lt;/p&gt;
&lt;p&gt;ASTONISHING SOUND.&lt;/p&gt;
&lt;p&gt;&lt;strong&gt;COMPATIBILITY MODEL:&lt;/strong&gt;&lt;/p&gt;
&lt;p&gt;SCRAMBLER URBAN ENDURO 800 CC, SCRAMBLER FULL THROTTLE 800 CC, SCRAMBLER ICON 800 CC, SCRAMBLER CLASSIC 800 CC, SCRAMBLER FLAT TRACK PRO 800 CC, CAFÈ RACER 800 CC.&lt;/p&gt;
&lt;p&gt;NOTICE: EURO 3 HOMOLOGATED VERSION VALID TILL M.Y. 2016&lt;/p&gt;
&lt;p&gt;&lt;/p&gt;</v>
      </c>
      <c r="H1301" t="str">
        <f t="shared" si="395"/>
        <v>ZARD</v>
      </c>
      <c r="I1301" t="str">
        <f t="shared" si="396"/>
        <v>Exhaust Pipe</v>
      </c>
      <c r="J1301" t="str">
        <f t="shared" si="397"/>
        <v>Test</v>
      </c>
      <c r="K1301" t="b">
        <f t="shared" si="398"/>
        <v>0</v>
      </c>
      <c r="L1301" t="str">
        <f t="shared" si="384"/>
        <v/>
      </c>
      <c r="M1301" t="str">
        <f t="shared" si="385"/>
        <v/>
      </c>
      <c r="R1301" t="str">
        <f t="shared" si="386"/>
        <v/>
      </c>
      <c r="S1301" t="str">
        <f t="shared" si="387"/>
        <v/>
      </c>
      <c r="U1301" t="str">
        <f t="shared" si="388"/>
        <v/>
      </c>
      <c r="V1301" t="str">
        <f t="shared" si="389"/>
        <v/>
      </c>
      <c r="W1301" s="5" t="str">
        <f t="shared" si="390"/>
        <v/>
      </c>
      <c r="Y1301" t="str">
        <f t="shared" si="391"/>
        <v/>
      </c>
      <c r="Z1301" t="str">
        <f t="shared" si="392"/>
        <v/>
      </c>
      <c r="AB1301" t="str">
        <f t="shared" si="393"/>
        <v>https://shop.officineitalianezard.it/contents/imgs/products/1_1209-scarico%20scrambler%20ducati%20nero.jpg</v>
      </c>
      <c r="AE1301" t="b">
        <v>0</v>
      </c>
    </row>
    <row r="1302" spans="1:31" x14ac:dyDescent="0.2">
      <c r="A1302" t="str">
        <f t="shared" si="380"/>
        <v>https://shop.officineitalianezard.it/en/scrambler-ducati-exhaust-by-zard/</v>
      </c>
      <c r="B1302" t="b">
        <f>COUNTIF($A$2:$A1302, A1302)&gt;1</f>
        <v>1</v>
      </c>
      <c r="C1302" t="b">
        <f t="shared" si="381"/>
        <v>0</v>
      </c>
      <c r="D1302">
        <f>VLOOKUP(A1302,variant_counts!A:B, 2, FALSE)</f>
        <v>4</v>
      </c>
      <c r="E1302" t="str">
        <f t="shared" si="394"/>
        <v>zard-exhaust-high-mounted-full-kit-ducati-scrambler-800-special-edition-zd779skr</v>
      </c>
      <c r="F1302" t="str">
        <f t="shared" si="382"/>
        <v>ZARD EXHAUST HIGH MOUNTED FULL KIT DUCATI SCRAMBLER 800 SPECIAL EDITION ZD779SKR</v>
      </c>
      <c r="G1302" t="str">
        <f t="shared" si="383"/>
        <v/>
      </c>
      <c r="H1302" t="str">
        <f t="shared" si="395"/>
        <v/>
      </c>
      <c r="I1302" t="str">
        <f t="shared" si="396"/>
        <v/>
      </c>
      <c r="J1302" t="str">
        <f t="shared" si="397"/>
        <v/>
      </c>
      <c r="K1302" t="str">
        <f t="shared" si="398"/>
        <v/>
      </c>
      <c r="L1302" t="str">
        <f t="shared" si="384"/>
        <v/>
      </c>
      <c r="M1302" t="str">
        <f t="shared" si="385"/>
        <v/>
      </c>
      <c r="R1302" t="str">
        <f t="shared" si="386"/>
        <v/>
      </c>
      <c r="S1302" t="str">
        <f t="shared" si="387"/>
        <v/>
      </c>
      <c r="U1302" t="str">
        <f t="shared" si="388"/>
        <v/>
      </c>
      <c r="V1302" t="str">
        <f t="shared" si="389"/>
        <v/>
      </c>
      <c r="W1302" s="5" t="str">
        <f t="shared" si="390"/>
        <v/>
      </c>
      <c r="Y1302" t="str">
        <f t="shared" si="391"/>
        <v/>
      </c>
      <c r="Z1302" t="str">
        <f t="shared" si="392"/>
        <v/>
      </c>
      <c r="AB1302" t="str">
        <f t="shared" si="393"/>
        <v>https://shop.officineitalianezard.it/contents/imgs/products/1_1271-moto_verde_ridotta.jpg</v>
      </c>
      <c r="AE1302" t="b">
        <v>0</v>
      </c>
    </row>
    <row r="1303" spans="1:31" x14ac:dyDescent="0.2">
      <c r="A1303" t="str">
        <f t="shared" si="380"/>
        <v>https://shop.officineitalianezard.it/en/scrambler-ducati-exhaust-by-zard/</v>
      </c>
      <c r="B1303" t="b">
        <f>COUNTIF($A$2:$A1303, A1303)&gt;1</f>
        <v>1</v>
      </c>
      <c r="C1303" t="b">
        <f t="shared" si="381"/>
        <v>0</v>
      </c>
      <c r="D1303">
        <f>VLOOKUP(A1303,variant_counts!A:B, 2, FALSE)</f>
        <v>4</v>
      </c>
      <c r="E1303" t="str">
        <f t="shared" si="394"/>
        <v>zard-exhaust-high-mounted-full-kit-ducati-scrambler-800-special-edition-zd779skr</v>
      </c>
      <c r="F1303" t="str">
        <f t="shared" si="382"/>
        <v>ZARD EXHAUST HIGH MOUNTED FULL KIT DUCATI SCRAMBLER 800 SPECIAL EDITION ZD779SKR</v>
      </c>
      <c r="G1303" t="str">
        <f t="shared" si="383"/>
        <v/>
      </c>
      <c r="H1303" t="str">
        <f t="shared" si="395"/>
        <v/>
      </c>
      <c r="I1303" t="str">
        <f t="shared" si="396"/>
        <v/>
      </c>
      <c r="J1303" t="str">
        <f t="shared" si="397"/>
        <v/>
      </c>
      <c r="K1303" t="str">
        <f t="shared" si="398"/>
        <v/>
      </c>
      <c r="L1303" t="str">
        <f t="shared" si="384"/>
        <v/>
      </c>
      <c r="M1303" t="str">
        <f t="shared" si="385"/>
        <v/>
      </c>
      <c r="R1303" t="str">
        <f t="shared" si="386"/>
        <v/>
      </c>
      <c r="S1303" t="str">
        <f t="shared" si="387"/>
        <v/>
      </c>
      <c r="U1303" t="str">
        <f t="shared" si="388"/>
        <v/>
      </c>
      <c r="V1303" t="str">
        <f t="shared" si="389"/>
        <v/>
      </c>
      <c r="W1303" s="5" t="str">
        <f t="shared" si="390"/>
        <v/>
      </c>
      <c r="Y1303" t="str">
        <f t="shared" si="391"/>
        <v/>
      </c>
      <c r="Z1303" t="str">
        <f t="shared" si="392"/>
        <v/>
      </c>
      <c r="AB1303" t="str">
        <f t="shared" si="393"/>
        <v>https://shop.officineitalianezard.it/contents/imgs/products/1_1176-1.jpg</v>
      </c>
      <c r="AE1303" t="b">
        <v>0</v>
      </c>
    </row>
    <row r="1304" spans="1:31" x14ac:dyDescent="0.2">
      <c r="A1304" t="str">
        <f t="shared" si="380"/>
        <v>https://shop.officineitalianezard.it/en/scrambler-ducati-exhaust-by-zard/</v>
      </c>
      <c r="B1304" t="b">
        <f>COUNTIF($A$2:$A1304, A1304)&gt;1</f>
        <v>1</v>
      </c>
      <c r="C1304" t="b">
        <f t="shared" si="381"/>
        <v>0</v>
      </c>
      <c r="D1304">
        <f>VLOOKUP(A1304,variant_counts!A:B, 2, FALSE)</f>
        <v>4</v>
      </c>
      <c r="E1304" t="str">
        <f t="shared" si="394"/>
        <v>zard-exhaust-high-mounted-full-kit-ducati-scrambler-800-special-edition-zd779skr</v>
      </c>
      <c r="F1304" t="str">
        <f t="shared" si="382"/>
        <v>ZARD EXHAUST HIGH MOUNTED FULL KIT DUCATI SCRAMBLER 800 SPECIAL EDITION ZD779SKR</v>
      </c>
      <c r="G1304" t="str">
        <f t="shared" si="383"/>
        <v/>
      </c>
      <c r="H1304" t="str">
        <f t="shared" si="395"/>
        <v/>
      </c>
      <c r="I1304" t="str">
        <f t="shared" si="396"/>
        <v/>
      </c>
      <c r="J1304" t="str">
        <f t="shared" si="397"/>
        <v/>
      </c>
      <c r="K1304" t="str">
        <f t="shared" si="398"/>
        <v/>
      </c>
      <c r="L1304" t="str">
        <f t="shared" si="384"/>
        <v/>
      </c>
      <c r="M1304" t="str">
        <f t="shared" si="385"/>
        <v/>
      </c>
      <c r="R1304" t="str">
        <f t="shared" si="386"/>
        <v/>
      </c>
      <c r="S1304" t="str">
        <f t="shared" si="387"/>
        <v/>
      </c>
      <c r="U1304" t="str">
        <f t="shared" si="388"/>
        <v/>
      </c>
      <c r="V1304" t="str">
        <f t="shared" si="389"/>
        <v/>
      </c>
      <c r="W1304" s="5" t="str">
        <f t="shared" si="390"/>
        <v/>
      </c>
      <c r="Y1304" t="str">
        <f t="shared" si="391"/>
        <v/>
      </c>
      <c r="Z1304" t="str">
        <f t="shared" si="392"/>
        <v/>
      </c>
      <c r="AB1304" t="str">
        <f t="shared" si="393"/>
        <v>https://shop.officineitalianezard.it/contents/imgs/products/1_2486-1272-moto_verdee_2_ridotta.jpg</v>
      </c>
      <c r="AE1304" t="b">
        <v>0</v>
      </c>
    </row>
    <row r="1305" spans="1:31" x14ac:dyDescent="0.2">
      <c r="A1305" t="str">
        <f t="shared" si="380"/>
        <v>https://shop.officineitalianezard.it/en/scrambler-ducati-exhaust-by-zard/</v>
      </c>
      <c r="B1305" t="b">
        <f>COUNTIF($A$2:$A1305, A1305)&gt;1</f>
        <v>1</v>
      </c>
      <c r="C1305" t="b">
        <f t="shared" si="381"/>
        <v>0</v>
      </c>
      <c r="D1305">
        <f>VLOOKUP(A1305,variant_counts!A:B, 2, FALSE)</f>
        <v>4</v>
      </c>
      <c r="E1305" t="str">
        <f t="shared" si="394"/>
        <v>zard-exhaust-high-mounted-full-kit-ducati-scrambler-800-special-edition-zd779skr</v>
      </c>
      <c r="F1305" t="str">
        <f t="shared" si="382"/>
        <v>ZARD EXHAUST HIGH MOUNTED FULL KIT DUCATI SCRAMBLER 800 SPECIAL EDITION ZD779SKR</v>
      </c>
      <c r="G1305" t="str">
        <f t="shared" si="383"/>
        <v/>
      </c>
      <c r="H1305" t="str">
        <f t="shared" si="395"/>
        <v/>
      </c>
      <c r="I1305" t="str">
        <f t="shared" si="396"/>
        <v/>
      </c>
      <c r="J1305" t="str">
        <f t="shared" si="397"/>
        <v/>
      </c>
      <c r="K1305" t="str">
        <f t="shared" si="398"/>
        <v/>
      </c>
      <c r="L1305" t="str">
        <f t="shared" si="384"/>
        <v/>
      </c>
      <c r="M1305" t="str">
        <f t="shared" si="385"/>
        <v/>
      </c>
      <c r="R1305" t="str">
        <f t="shared" si="386"/>
        <v/>
      </c>
      <c r="S1305" t="str">
        <f t="shared" si="387"/>
        <v/>
      </c>
      <c r="U1305" t="str">
        <f t="shared" si="388"/>
        <v/>
      </c>
      <c r="V1305" t="str">
        <f t="shared" si="389"/>
        <v/>
      </c>
      <c r="W1305" s="5" t="str">
        <f t="shared" si="390"/>
        <v/>
      </c>
      <c r="Y1305" t="str">
        <f t="shared" si="391"/>
        <v/>
      </c>
      <c r="Z1305" t="str">
        <f t="shared" si="392"/>
        <v/>
      </c>
      <c r="AB1305" t="str">
        <f t="shared" si="393"/>
        <v>https://shop.officineitalianezard.it/contents/imgs/products/1_1177-2.jpg</v>
      </c>
      <c r="AE1305" t="b">
        <v>0</v>
      </c>
    </row>
    <row r="1306" spans="1:31" x14ac:dyDescent="0.2">
      <c r="A1306" t="str">
        <f t="shared" si="380"/>
        <v>https://shop.officineitalianezard.it/en/scrambler-ducati-exhaust-by-zard/</v>
      </c>
      <c r="B1306" t="b">
        <f>COUNTIF($A$2:$A1306, A1306)&gt;1</f>
        <v>1</v>
      </c>
      <c r="C1306" t="b">
        <f t="shared" si="381"/>
        <v>0</v>
      </c>
      <c r="D1306">
        <f>VLOOKUP(A1306,variant_counts!A:B, 2, FALSE)</f>
        <v>4</v>
      </c>
      <c r="E1306" t="str">
        <f t="shared" si="394"/>
        <v>zard-exhaust-high-mounted-full-kit-ducati-scrambler-800-special-edition-zd779skr</v>
      </c>
      <c r="F1306" t="str">
        <f t="shared" si="382"/>
        <v>ZARD EXHAUST HIGH MOUNTED FULL KIT DUCATI SCRAMBLER 800 SPECIAL EDITION ZD779SKR</v>
      </c>
      <c r="G1306" t="str">
        <f t="shared" si="383"/>
        <v/>
      </c>
      <c r="H1306" t="str">
        <f t="shared" si="395"/>
        <v/>
      </c>
      <c r="I1306" t="str">
        <f t="shared" si="396"/>
        <v/>
      </c>
      <c r="J1306" t="str">
        <f t="shared" si="397"/>
        <v/>
      </c>
      <c r="K1306" t="str">
        <f t="shared" si="398"/>
        <v/>
      </c>
      <c r="L1306" t="str">
        <f t="shared" si="384"/>
        <v/>
      </c>
      <c r="M1306" t="str">
        <f t="shared" si="385"/>
        <v/>
      </c>
      <c r="R1306" t="str">
        <f t="shared" si="386"/>
        <v/>
      </c>
      <c r="S1306" t="str">
        <f t="shared" si="387"/>
        <v/>
      </c>
      <c r="U1306" t="str">
        <f t="shared" si="388"/>
        <v/>
      </c>
      <c r="V1306" t="str">
        <f t="shared" si="389"/>
        <v/>
      </c>
      <c r="W1306" s="5" t="str">
        <f t="shared" si="390"/>
        <v/>
      </c>
      <c r="Y1306" t="str">
        <f t="shared" si="391"/>
        <v/>
      </c>
      <c r="Z1306" t="str">
        <f t="shared" si="392"/>
        <v/>
      </c>
      <c r="AB1306" t="str">
        <f t="shared" si="393"/>
        <v>https://shop.officineitalianezard.it/contents/imgs/products/1_1179-4.jpg</v>
      </c>
      <c r="AE1306" t="b">
        <v>0</v>
      </c>
    </row>
    <row r="1307" spans="1:31" x14ac:dyDescent="0.2">
      <c r="A1307" t="str">
        <f t="shared" si="380"/>
        <v>https://shop.officineitalianezard.it/en/scrambler-ducati-exhaust-by-zard/</v>
      </c>
      <c r="B1307" t="b">
        <f>COUNTIF($A$2:$A1307, A1307)&gt;1</f>
        <v>1</v>
      </c>
      <c r="C1307" t="b">
        <f t="shared" si="381"/>
        <v>0</v>
      </c>
      <c r="D1307">
        <f>VLOOKUP(A1307,variant_counts!A:B, 2, FALSE)</f>
        <v>4</v>
      </c>
      <c r="E1307" t="str">
        <f t="shared" si="394"/>
        <v>zard-exhaust-high-mounted-full-kit-ducati-scrambler-800-special-edition-zd779skr</v>
      </c>
      <c r="F1307" t="str">
        <f t="shared" si="382"/>
        <v>ZARD EXHAUST HIGH MOUNTED FULL KIT DUCATI SCRAMBLER 800 SPECIAL EDITION ZD779SKR</v>
      </c>
      <c r="G1307" t="str">
        <f t="shared" si="383"/>
        <v/>
      </c>
      <c r="H1307" t="str">
        <f t="shared" si="395"/>
        <v/>
      </c>
      <c r="I1307" t="str">
        <f t="shared" si="396"/>
        <v/>
      </c>
      <c r="J1307" t="str">
        <f t="shared" si="397"/>
        <v/>
      </c>
      <c r="K1307" t="str">
        <f t="shared" si="398"/>
        <v/>
      </c>
      <c r="L1307" t="str">
        <f t="shared" si="384"/>
        <v/>
      </c>
      <c r="M1307" t="str">
        <f t="shared" si="385"/>
        <v/>
      </c>
      <c r="R1307" t="str">
        <f t="shared" si="386"/>
        <v/>
      </c>
      <c r="S1307" t="str">
        <f t="shared" si="387"/>
        <v/>
      </c>
      <c r="U1307" t="str">
        <f t="shared" si="388"/>
        <v/>
      </c>
      <c r="V1307" t="str">
        <f t="shared" si="389"/>
        <v/>
      </c>
      <c r="W1307" s="5" t="str">
        <f t="shared" si="390"/>
        <v/>
      </c>
      <c r="Y1307" t="str">
        <f t="shared" si="391"/>
        <v/>
      </c>
      <c r="Z1307" t="str">
        <f t="shared" si="392"/>
        <v/>
      </c>
      <c r="AB1307" t="str">
        <f t="shared" si="393"/>
        <v>https://shop.officineitalianezard.it/contents/imgs/products/1_1732-1066-scarico%20scrambler%20zard1.jpg</v>
      </c>
      <c r="AE1307" t="b">
        <v>0</v>
      </c>
    </row>
    <row r="1308" spans="1:31" x14ac:dyDescent="0.2">
      <c r="A1308" t="str">
        <f t="shared" si="380"/>
        <v>https://shop.officineitalianezard.it/en/scrambler-ducati-exhaust-by-zard/</v>
      </c>
      <c r="B1308" t="b">
        <f>COUNTIF($A$2:$A1308, A1308)&gt;1</f>
        <v>1</v>
      </c>
      <c r="C1308" t="b">
        <f t="shared" si="381"/>
        <v>0</v>
      </c>
      <c r="D1308">
        <f>VLOOKUP(A1308,variant_counts!A:B, 2, FALSE)</f>
        <v>4</v>
      </c>
      <c r="E1308" t="str">
        <f t="shared" si="394"/>
        <v>zard-exhaust-high-mounted-full-kit-ducati-scrambler-800-special-edition-zd779skr</v>
      </c>
      <c r="F1308" t="str">
        <f t="shared" si="382"/>
        <v>ZARD EXHAUST HIGH MOUNTED FULL KIT DUCATI SCRAMBLER 800 SPECIAL EDITION ZD779SKR</v>
      </c>
      <c r="G1308" t="str">
        <f t="shared" si="383"/>
        <v/>
      </c>
      <c r="H1308" t="str">
        <f t="shared" si="395"/>
        <v/>
      </c>
      <c r="I1308" t="str">
        <f t="shared" si="396"/>
        <v/>
      </c>
      <c r="J1308" t="str">
        <f t="shared" si="397"/>
        <v/>
      </c>
      <c r="K1308" t="str">
        <f t="shared" si="398"/>
        <v/>
      </c>
      <c r="L1308" t="str">
        <f t="shared" si="384"/>
        <v/>
      </c>
      <c r="M1308" t="str">
        <f t="shared" si="385"/>
        <v/>
      </c>
      <c r="R1308" t="str">
        <f t="shared" si="386"/>
        <v/>
      </c>
      <c r="S1308" t="str">
        <f t="shared" si="387"/>
        <v/>
      </c>
      <c r="U1308" t="str">
        <f t="shared" si="388"/>
        <v/>
      </c>
      <c r="V1308" t="str">
        <f t="shared" si="389"/>
        <v/>
      </c>
      <c r="W1308" s="5" t="str">
        <f t="shared" si="390"/>
        <v/>
      </c>
      <c r="Y1308" t="str">
        <f t="shared" si="391"/>
        <v/>
      </c>
      <c r="Z1308" t="str">
        <f t="shared" si="392"/>
        <v/>
      </c>
      <c r="AB1308" t="str">
        <f t="shared" si="393"/>
        <v>https://shop.officineitalianezard.it/contents/imgs/products/1_1737-1067-scarico%20scrambler%20zard2.jpg</v>
      </c>
      <c r="AE1308" t="b">
        <v>0</v>
      </c>
    </row>
    <row r="1309" spans="1:31" x14ac:dyDescent="0.2">
      <c r="A1309" t="str">
        <f t="shared" si="380"/>
        <v>https://shop.officineitalianezard.it/en/scrambler-ducati-exhaust-by-zard/</v>
      </c>
      <c r="B1309" t="b">
        <f>COUNTIF($A$2:$A1309, A1309)&gt;1</f>
        <v>1</v>
      </c>
      <c r="C1309" t="b">
        <f t="shared" si="381"/>
        <v>1</v>
      </c>
      <c r="D1309">
        <f>VLOOKUP(A1309,variant_counts!A:B, 2, FALSE)</f>
        <v>4</v>
      </c>
      <c r="E1309" t="str">
        <f t="shared" si="394"/>
        <v>zard-exhaust-high-mounted-full-kit-ducati-scrambler-800-special-edition-zd779skr</v>
      </c>
      <c r="F1309" t="str">
        <f t="shared" si="382"/>
        <v>ZARD EXHAUST HIGH MOUNTED FULL KIT DUCATI SCRAMBLER 800 SPECIAL EDITION ZD779SKR</v>
      </c>
      <c r="G1309" t="str">
        <f t="shared" si="383"/>
        <v/>
      </c>
      <c r="H1309" t="str">
        <f t="shared" si="395"/>
        <v/>
      </c>
      <c r="I1309" t="str">
        <f t="shared" si="396"/>
        <v/>
      </c>
      <c r="J1309" t="str">
        <f t="shared" si="397"/>
        <v/>
      </c>
      <c r="K1309" t="str">
        <f t="shared" si="398"/>
        <v/>
      </c>
      <c r="L1309" t="str">
        <f t="shared" si="384"/>
        <v>Option</v>
      </c>
      <c r="M1309" t="str">
        <f t="shared" si="385"/>
        <v>HOMOLOGATED CAT.</v>
      </c>
      <c r="R1309" t="str">
        <f t="shared" si="386"/>
        <v>ZD779SKR</v>
      </c>
      <c r="S1309">
        <f t="shared" si="387"/>
        <v>0</v>
      </c>
      <c r="U1309" t="str">
        <f t="shared" si="388"/>
        <v>continue</v>
      </c>
      <c r="V1309" t="str">
        <f t="shared" si="389"/>
        <v>manual</v>
      </c>
      <c r="W1309" s="5">
        <f t="shared" si="390"/>
        <v>1103.7284999999999</v>
      </c>
      <c r="Y1309" t="b">
        <f t="shared" si="391"/>
        <v>1</v>
      </c>
      <c r="Z1309" t="b">
        <f t="shared" si="392"/>
        <v>0</v>
      </c>
      <c r="AB1309" t="str">
        <f t="shared" si="393"/>
        <v/>
      </c>
      <c r="AE1309" t="b">
        <v>0</v>
      </c>
    </row>
    <row r="1310" spans="1:31" x14ac:dyDescent="0.2">
      <c r="A1310" t="str">
        <f t="shared" si="380"/>
        <v>https://shop.officineitalianezard.it/en/scrambler-ducati-exhaust-by-zard/</v>
      </c>
      <c r="B1310" t="b">
        <f>COUNTIF($A$2:$A1310, A1310)&gt;1</f>
        <v>1</v>
      </c>
      <c r="C1310" t="b">
        <f t="shared" si="381"/>
        <v>1</v>
      </c>
      <c r="D1310">
        <f>VLOOKUP(A1310,variant_counts!A:B, 2, FALSE)</f>
        <v>4</v>
      </c>
      <c r="E1310" t="str">
        <f t="shared" si="394"/>
        <v>zard-exhaust-high-mounted-full-kit-ducati-scrambler-800-special-edition-zd779skr</v>
      </c>
      <c r="F1310" t="str">
        <f t="shared" si="382"/>
        <v>ZARD EXHAUST HIGH MOUNTED FULL KIT DUCATI SCRAMBLER 800 SPECIAL EDITION ZD779SKR</v>
      </c>
      <c r="G1310" t="str">
        <f t="shared" si="383"/>
        <v/>
      </c>
      <c r="H1310" t="str">
        <f t="shared" si="395"/>
        <v/>
      </c>
      <c r="I1310" t="str">
        <f t="shared" si="396"/>
        <v/>
      </c>
      <c r="J1310" t="str">
        <f t="shared" si="397"/>
        <v/>
      </c>
      <c r="K1310" t="str">
        <f t="shared" si="398"/>
        <v/>
      </c>
      <c r="L1310" t="str">
        <f t="shared" si="384"/>
        <v>Option</v>
      </c>
      <c r="M1310" t="str">
        <f t="shared" si="385"/>
        <v>BLACK HEAT SHIELDS</v>
      </c>
      <c r="R1310" t="str">
        <f t="shared" si="386"/>
        <v>ZD779SKR</v>
      </c>
      <c r="S1310">
        <f t="shared" si="387"/>
        <v>0</v>
      </c>
      <c r="U1310" t="str">
        <f t="shared" si="388"/>
        <v>continue</v>
      </c>
      <c r="V1310" t="str">
        <f t="shared" si="389"/>
        <v>manual</v>
      </c>
      <c r="W1310" s="5">
        <f t="shared" si="390"/>
        <v>984.17040000000009</v>
      </c>
      <c r="Y1310" t="b">
        <f t="shared" si="391"/>
        <v>1</v>
      </c>
      <c r="Z1310" t="b">
        <f t="shared" si="392"/>
        <v>0</v>
      </c>
      <c r="AB1310" t="str">
        <f t="shared" si="393"/>
        <v/>
      </c>
      <c r="AE1310" t="b">
        <v>0</v>
      </c>
    </row>
    <row r="1311" spans="1:31" x14ac:dyDescent="0.2">
      <c r="A1311" t="str">
        <f t="shared" si="380"/>
        <v>https://shop.officineitalianezard.it/en/scrambler-ducati-exhaust-by-zard/</v>
      </c>
      <c r="B1311" t="b">
        <f>COUNTIF($A$2:$A1311, A1311)&gt;1</f>
        <v>1</v>
      </c>
      <c r="C1311" t="b">
        <f t="shared" si="381"/>
        <v>1</v>
      </c>
      <c r="D1311">
        <f>VLOOKUP(A1311,variant_counts!A:B, 2, FALSE)</f>
        <v>4</v>
      </c>
      <c r="E1311" t="str">
        <f t="shared" si="394"/>
        <v>zard-exhaust-high-mounted-full-kit-ducati-scrambler-800-special-edition-zd779skr</v>
      </c>
      <c r="F1311" t="str">
        <f t="shared" si="382"/>
        <v>ZARD EXHAUST HIGH MOUNTED FULL KIT DUCATI SCRAMBLER 800 SPECIAL EDITION ZD779SKR</v>
      </c>
      <c r="G1311" t="str">
        <f t="shared" si="383"/>
        <v/>
      </c>
      <c r="H1311" t="str">
        <f t="shared" si="395"/>
        <v/>
      </c>
      <c r="I1311" t="str">
        <f t="shared" si="396"/>
        <v/>
      </c>
      <c r="J1311" t="str">
        <f t="shared" si="397"/>
        <v/>
      </c>
      <c r="K1311" t="str">
        <f t="shared" si="398"/>
        <v/>
      </c>
      <c r="L1311" t="str">
        <f t="shared" si="384"/>
        <v>Option</v>
      </c>
      <c r="M1311" t="str">
        <f t="shared" si="385"/>
        <v>BLACK COATING</v>
      </c>
      <c r="R1311" t="str">
        <f t="shared" si="386"/>
        <v>ZD779SKR</v>
      </c>
      <c r="S1311">
        <f t="shared" si="387"/>
        <v>0</v>
      </c>
      <c r="U1311" t="str">
        <f t="shared" si="388"/>
        <v>continue</v>
      </c>
      <c r="V1311" t="str">
        <f t="shared" si="389"/>
        <v>manual</v>
      </c>
      <c r="W1311" s="5">
        <f t="shared" si="390"/>
        <v>1112.7306000000001</v>
      </c>
      <c r="Y1311" t="b">
        <f t="shared" si="391"/>
        <v>1</v>
      </c>
      <c r="Z1311" t="b">
        <f t="shared" si="392"/>
        <v>0</v>
      </c>
      <c r="AB1311" t="str">
        <f t="shared" si="393"/>
        <v/>
      </c>
      <c r="AE1311" t="b">
        <v>0</v>
      </c>
    </row>
    <row r="1312" spans="1:31" x14ac:dyDescent="0.2">
      <c r="A1312" t="str">
        <f t="shared" si="380"/>
        <v>https://shop.officineitalianezard.it/en/scrambler-ducati-exhaust-by-zard/</v>
      </c>
      <c r="B1312" t="b">
        <f>COUNTIF($A$2:$A1312, A1312)&gt;1</f>
        <v>1</v>
      </c>
      <c r="C1312" t="b">
        <f t="shared" si="381"/>
        <v>1</v>
      </c>
      <c r="D1312">
        <f>VLOOKUP(A1312,variant_counts!A:B, 2, FALSE)</f>
        <v>4</v>
      </c>
      <c r="E1312" t="str">
        <f t="shared" si="394"/>
        <v>zard-exhaust-high-mounted-full-kit-ducati-scrambler-800-special-edition-zd779skr</v>
      </c>
      <c r="F1312" t="str">
        <f t="shared" si="382"/>
        <v>ZARD EXHAUST HIGH MOUNTED FULL KIT DUCATI SCRAMBLER 800 SPECIAL EDITION ZD779SKR</v>
      </c>
      <c r="G1312" t="str">
        <f t="shared" si="383"/>
        <v/>
      </c>
      <c r="H1312" t="str">
        <f t="shared" si="395"/>
        <v/>
      </c>
      <c r="I1312" t="str">
        <f t="shared" si="396"/>
        <v/>
      </c>
      <c r="J1312" t="str">
        <f t="shared" si="397"/>
        <v/>
      </c>
      <c r="K1312" t="str">
        <f t="shared" si="398"/>
        <v/>
      </c>
      <c r="L1312" t="str">
        <f t="shared" si="384"/>
        <v>Option</v>
      </c>
      <c r="M1312" t="str">
        <f t="shared" si="385"/>
        <v>BRUSHED FINISHING</v>
      </c>
      <c r="R1312" t="str">
        <f t="shared" si="386"/>
        <v>ZD779SKR</v>
      </c>
      <c r="S1312">
        <f t="shared" si="387"/>
        <v>0</v>
      </c>
      <c r="U1312" t="str">
        <f t="shared" si="388"/>
        <v>continue</v>
      </c>
      <c r="V1312" t="str">
        <f t="shared" si="389"/>
        <v>manual</v>
      </c>
      <c r="W1312" s="5">
        <f t="shared" si="390"/>
        <v>975.16830000000004</v>
      </c>
      <c r="Y1312" t="b">
        <f t="shared" si="391"/>
        <v>1</v>
      </c>
      <c r="Z1312" t="b">
        <f t="shared" si="392"/>
        <v>0</v>
      </c>
      <c r="AB1312" t="str">
        <f t="shared" si="393"/>
        <v/>
      </c>
      <c r="AE1312" t="b">
        <v>0</v>
      </c>
    </row>
    <row r="1313" spans="1:31" x14ac:dyDescent="0.2">
      <c r="A1313" t="str">
        <f t="shared" si="380"/>
        <v>https://shop.officineitalianezard.it/en/scrambler-ducati-exhaust-zard-2/</v>
      </c>
      <c r="B1313" t="b">
        <f>COUNTIF($A$2:$A1313, A1313)&gt;1</f>
        <v>0</v>
      </c>
      <c r="C1313" t="b">
        <f t="shared" si="381"/>
        <v>0</v>
      </c>
      <c r="D1313">
        <f>VLOOKUP(A1313,variant_counts!A:B, 2, FALSE)</f>
        <v>3</v>
      </c>
      <c r="E1313" t="str">
        <f t="shared" si="394"/>
        <v>zard-exhaust-silencer-ducati-scrambler-800-low-mounted-version-zd780ssr</v>
      </c>
      <c r="F1313" t="str">
        <f t="shared" si="382"/>
        <v>ZARD EXHAUST SILENCER DUCATI SCRAMBLER 800 LOW MOUNTED VERSION ZD780SSR</v>
      </c>
      <c r="G1313" t="str">
        <f t="shared" si="383"/>
        <v>&lt;p&gt;STEEL RACING SILENCER WITH REMOVABLE DB KILLERS&lt;/p&gt;
&lt;p&gt;CARBON ENDCAP&lt;/p&gt;
&lt;p&gt;HARD INCREASE, COMPARED TO THE ORIGINAL EXHAUST SYSTEM, IN TERMS OF TORQUE AND POWER AT ANY RANGE.&lt;/p&gt;
&lt;p&gt;ASTONISHING SOUND.&lt;/p&gt;
&lt;p&gt;&lt;strong&gt;COMPATIBILITY MODEL:&lt;/strong&gt;&lt;/p&gt;
&lt;p&gt;SCRAMBLER URBAN ENDURO 800 CC, SCRAMBLER FULL THROTTLE 800 CC, SCRAMBLER ICON 800 CC, SCRAMBLER CLASSIC 800 CC, SCRAMBLER FLAT TRACK PRO 800 CC, CAFÈ RACER 800 CC.&lt;/p&gt;
&lt;p&gt;NOTICE: EURO 4 HOMOLOGATION AVAILABLE FROM THE END OF JULY&lt;/p&gt;
&lt;p&gt;&lt;/p&gt;</v>
      </c>
      <c r="H1313" t="str">
        <f t="shared" si="395"/>
        <v>ZARD</v>
      </c>
      <c r="I1313" t="str">
        <f t="shared" si="396"/>
        <v>Exhaust Pipe</v>
      </c>
      <c r="J1313" t="str">
        <f t="shared" si="397"/>
        <v>Test</v>
      </c>
      <c r="K1313" t="b">
        <f t="shared" si="398"/>
        <v>0</v>
      </c>
      <c r="L1313" t="str">
        <f t="shared" si="384"/>
        <v/>
      </c>
      <c r="M1313" t="str">
        <f t="shared" si="385"/>
        <v/>
      </c>
      <c r="R1313" t="str">
        <f t="shared" si="386"/>
        <v/>
      </c>
      <c r="S1313" t="str">
        <f t="shared" si="387"/>
        <v/>
      </c>
      <c r="U1313" t="str">
        <f t="shared" si="388"/>
        <v/>
      </c>
      <c r="V1313" t="str">
        <f t="shared" si="389"/>
        <v/>
      </c>
      <c r="W1313" s="5" t="str">
        <f t="shared" si="390"/>
        <v/>
      </c>
      <c r="Y1313" t="str">
        <f t="shared" si="391"/>
        <v/>
      </c>
      <c r="Z1313" t="str">
        <f t="shared" si="392"/>
        <v/>
      </c>
      <c r="AB1313" t="str">
        <f t="shared" si="393"/>
        <v>https://shop.officineitalianezard.it/contents/imgs/products/1_1226-1.jpg</v>
      </c>
      <c r="AE1313" t="b">
        <v>0</v>
      </c>
    </row>
    <row r="1314" spans="1:31" x14ac:dyDescent="0.2">
      <c r="A1314" t="str">
        <f t="shared" si="380"/>
        <v>https://shop.officineitalianezard.it/en/scrambler-ducati-exhaust-zard-2/</v>
      </c>
      <c r="B1314" t="b">
        <f>COUNTIF($A$2:$A1314, A1314)&gt;1</f>
        <v>1</v>
      </c>
      <c r="C1314" t="b">
        <f t="shared" si="381"/>
        <v>0</v>
      </c>
      <c r="D1314">
        <f>VLOOKUP(A1314,variant_counts!A:B, 2, FALSE)</f>
        <v>3</v>
      </c>
      <c r="E1314" t="str">
        <f t="shared" si="394"/>
        <v>zard-exhaust-silencer-ducati-scrambler-800-low-mounted-version-zd780ssr</v>
      </c>
      <c r="F1314" t="str">
        <f t="shared" si="382"/>
        <v>ZARD EXHAUST SILENCER DUCATI SCRAMBLER 800 LOW MOUNTED VERSION ZD780SSR</v>
      </c>
      <c r="G1314" t="str">
        <f t="shared" si="383"/>
        <v/>
      </c>
      <c r="H1314" t="str">
        <f t="shared" si="395"/>
        <v/>
      </c>
      <c r="I1314" t="str">
        <f t="shared" si="396"/>
        <v/>
      </c>
      <c r="J1314" t="str">
        <f t="shared" si="397"/>
        <v/>
      </c>
      <c r="K1314" t="str">
        <f t="shared" si="398"/>
        <v/>
      </c>
      <c r="L1314" t="str">
        <f t="shared" si="384"/>
        <v/>
      </c>
      <c r="M1314" t="str">
        <f t="shared" si="385"/>
        <v/>
      </c>
      <c r="R1314" t="str">
        <f t="shared" si="386"/>
        <v/>
      </c>
      <c r="S1314" t="str">
        <f t="shared" si="387"/>
        <v/>
      </c>
      <c r="U1314" t="str">
        <f t="shared" si="388"/>
        <v/>
      </c>
      <c r="V1314" t="str">
        <f t="shared" si="389"/>
        <v/>
      </c>
      <c r="W1314" s="5" t="str">
        <f t="shared" si="390"/>
        <v/>
      </c>
      <c r="Y1314" t="str">
        <f t="shared" si="391"/>
        <v/>
      </c>
      <c r="Z1314" t="str">
        <f t="shared" si="392"/>
        <v/>
      </c>
      <c r="AB1314" t="str">
        <f t="shared" si="393"/>
        <v>https://shop.officineitalianezard.it/contents/imgs/products/1_1227-2.jpg</v>
      </c>
      <c r="AE1314" t="b">
        <v>0</v>
      </c>
    </row>
    <row r="1315" spans="1:31" x14ac:dyDescent="0.2">
      <c r="A1315" t="str">
        <f t="shared" si="380"/>
        <v>https://shop.officineitalianezard.it/en/scrambler-ducati-exhaust-zard-2/</v>
      </c>
      <c r="B1315" t="b">
        <f>COUNTIF($A$2:$A1315, A1315)&gt;1</f>
        <v>1</v>
      </c>
      <c r="C1315" t="b">
        <f t="shared" si="381"/>
        <v>0</v>
      </c>
      <c r="D1315">
        <f>VLOOKUP(A1315,variant_counts!A:B, 2, FALSE)</f>
        <v>3</v>
      </c>
      <c r="E1315" t="str">
        <f t="shared" si="394"/>
        <v>zard-exhaust-silencer-ducati-scrambler-800-low-mounted-version-zd780ssr</v>
      </c>
      <c r="F1315" t="str">
        <f t="shared" si="382"/>
        <v>ZARD EXHAUST SILENCER DUCATI SCRAMBLER 800 LOW MOUNTED VERSION ZD780SSR</v>
      </c>
      <c r="G1315" t="str">
        <f t="shared" si="383"/>
        <v/>
      </c>
      <c r="H1315" t="str">
        <f t="shared" si="395"/>
        <v/>
      </c>
      <c r="I1315" t="str">
        <f t="shared" si="396"/>
        <v/>
      </c>
      <c r="J1315" t="str">
        <f t="shared" si="397"/>
        <v/>
      </c>
      <c r="K1315" t="str">
        <f t="shared" si="398"/>
        <v/>
      </c>
      <c r="L1315" t="str">
        <f t="shared" si="384"/>
        <v/>
      </c>
      <c r="M1315" t="str">
        <f t="shared" si="385"/>
        <v/>
      </c>
      <c r="R1315" t="str">
        <f t="shared" si="386"/>
        <v/>
      </c>
      <c r="S1315" t="str">
        <f t="shared" si="387"/>
        <v/>
      </c>
      <c r="U1315" t="str">
        <f t="shared" si="388"/>
        <v/>
      </c>
      <c r="V1315" t="str">
        <f t="shared" si="389"/>
        <v/>
      </c>
      <c r="W1315" s="5" t="str">
        <f t="shared" si="390"/>
        <v/>
      </c>
      <c r="Y1315" t="str">
        <f t="shared" si="391"/>
        <v/>
      </c>
      <c r="Z1315" t="str">
        <f t="shared" si="392"/>
        <v/>
      </c>
      <c r="AB1315" t="str">
        <f t="shared" si="393"/>
        <v>https://shop.officineitalianezard.it/contents/imgs/products/1_1228-3.jpg</v>
      </c>
      <c r="AE1315" t="b">
        <v>0</v>
      </c>
    </row>
    <row r="1316" spans="1:31" x14ac:dyDescent="0.2">
      <c r="A1316" t="str">
        <f t="shared" si="380"/>
        <v>https://shop.officineitalianezard.it/en/scrambler-ducati-exhaust-zard-2/</v>
      </c>
      <c r="B1316" t="b">
        <f>COUNTIF($A$2:$A1316, A1316)&gt;1</f>
        <v>1</v>
      </c>
      <c r="C1316" t="b">
        <f t="shared" si="381"/>
        <v>0</v>
      </c>
      <c r="D1316">
        <f>VLOOKUP(A1316,variant_counts!A:B, 2, FALSE)</f>
        <v>3</v>
      </c>
      <c r="E1316" t="str">
        <f t="shared" si="394"/>
        <v>zard-exhaust-silencer-ducati-scrambler-800-low-mounted-version-zd780ssr</v>
      </c>
      <c r="F1316" t="str">
        <f t="shared" si="382"/>
        <v>ZARD EXHAUST SILENCER DUCATI SCRAMBLER 800 LOW MOUNTED VERSION ZD780SSR</v>
      </c>
      <c r="G1316" t="str">
        <f t="shared" si="383"/>
        <v/>
      </c>
      <c r="H1316" t="str">
        <f t="shared" si="395"/>
        <v/>
      </c>
      <c r="I1316" t="str">
        <f t="shared" si="396"/>
        <v/>
      </c>
      <c r="J1316" t="str">
        <f t="shared" si="397"/>
        <v/>
      </c>
      <c r="K1316" t="str">
        <f t="shared" si="398"/>
        <v/>
      </c>
      <c r="L1316" t="str">
        <f t="shared" si="384"/>
        <v/>
      </c>
      <c r="M1316" t="str">
        <f t="shared" si="385"/>
        <v/>
      </c>
      <c r="R1316" t="str">
        <f t="shared" si="386"/>
        <v/>
      </c>
      <c r="S1316" t="str">
        <f t="shared" si="387"/>
        <v/>
      </c>
      <c r="U1316" t="str">
        <f t="shared" si="388"/>
        <v/>
      </c>
      <c r="V1316" t="str">
        <f t="shared" si="389"/>
        <v/>
      </c>
      <c r="W1316" s="5" t="str">
        <f t="shared" si="390"/>
        <v/>
      </c>
      <c r="Y1316" t="str">
        <f t="shared" si="391"/>
        <v/>
      </c>
      <c r="Z1316" t="str">
        <f t="shared" si="392"/>
        <v/>
      </c>
      <c r="AB1316" t="str">
        <f t="shared" si="393"/>
        <v>https://shop.officineitalianezard.it/contents/imgs/products/1_1184-1ridotta.jpg</v>
      </c>
      <c r="AE1316" t="b">
        <v>0</v>
      </c>
    </row>
    <row r="1317" spans="1:31" x14ac:dyDescent="0.2">
      <c r="A1317" t="str">
        <f t="shared" si="380"/>
        <v>https://shop.officineitalianezard.it/en/scrambler-ducati-exhaust-zard-2/</v>
      </c>
      <c r="B1317" t="b">
        <f>COUNTIF($A$2:$A1317, A1317)&gt;1</f>
        <v>1</v>
      </c>
      <c r="C1317" t="b">
        <f t="shared" si="381"/>
        <v>0</v>
      </c>
      <c r="D1317">
        <f>VLOOKUP(A1317,variant_counts!A:B, 2, FALSE)</f>
        <v>3</v>
      </c>
      <c r="E1317" t="str">
        <f t="shared" si="394"/>
        <v>zard-exhaust-silencer-ducati-scrambler-800-low-mounted-version-zd780ssr</v>
      </c>
      <c r="F1317" t="str">
        <f t="shared" si="382"/>
        <v>ZARD EXHAUST SILENCER DUCATI SCRAMBLER 800 LOW MOUNTED VERSION ZD780SSR</v>
      </c>
      <c r="G1317" t="str">
        <f t="shared" si="383"/>
        <v/>
      </c>
      <c r="H1317" t="str">
        <f t="shared" si="395"/>
        <v/>
      </c>
      <c r="I1317" t="str">
        <f t="shared" si="396"/>
        <v/>
      </c>
      <c r="J1317" t="str">
        <f t="shared" si="397"/>
        <v/>
      </c>
      <c r="K1317" t="str">
        <f t="shared" si="398"/>
        <v/>
      </c>
      <c r="L1317" t="str">
        <f t="shared" si="384"/>
        <v/>
      </c>
      <c r="M1317" t="str">
        <f t="shared" si="385"/>
        <v/>
      </c>
      <c r="R1317" t="str">
        <f t="shared" si="386"/>
        <v/>
      </c>
      <c r="S1317" t="str">
        <f t="shared" si="387"/>
        <v/>
      </c>
      <c r="U1317" t="str">
        <f t="shared" si="388"/>
        <v/>
      </c>
      <c r="V1317" t="str">
        <f t="shared" si="389"/>
        <v/>
      </c>
      <c r="W1317" s="5" t="str">
        <f t="shared" si="390"/>
        <v/>
      </c>
      <c r="Y1317" t="str">
        <f t="shared" si="391"/>
        <v/>
      </c>
      <c r="Z1317" t="str">
        <f t="shared" si="392"/>
        <v/>
      </c>
      <c r="AB1317" t="str">
        <f t="shared" si="393"/>
        <v>https://shop.officineitalianezard.it/contents/imgs/products/1_1185-2ridotta.jpg</v>
      </c>
      <c r="AE1317" t="b">
        <v>0</v>
      </c>
    </row>
    <row r="1318" spans="1:31" x14ac:dyDescent="0.2">
      <c r="A1318" t="str">
        <f t="shared" si="380"/>
        <v>https://shop.officineitalianezard.it/en/scrambler-ducati-exhaust-zard-2/</v>
      </c>
      <c r="B1318" t="b">
        <f>COUNTIF($A$2:$A1318, A1318)&gt;1</f>
        <v>1</v>
      </c>
      <c r="C1318" t="b">
        <f t="shared" si="381"/>
        <v>0</v>
      </c>
      <c r="D1318">
        <f>VLOOKUP(A1318,variant_counts!A:B, 2, FALSE)</f>
        <v>3</v>
      </c>
      <c r="E1318" t="str">
        <f t="shared" si="394"/>
        <v>zard-exhaust-silencer-ducati-scrambler-800-low-mounted-version-zd780ssr</v>
      </c>
      <c r="F1318" t="str">
        <f t="shared" si="382"/>
        <v>ZARD EXHAUST SILENCER DUCATI SCRAMBLER 800 LOW MOUNTED VERSION ZD780SSR</v>
      </c>
      <c r="G1318" t="str">
        <f t="shared" si="383"/>
        <v/>
      </c>
      <c r="H1318" t="str">
        <f t="shared" si="395"/>
        <v/>
      </c>
      <c r="I1318" t="str">
        <f t="shared" si="396"/>
        <v/>
      </c>
      <c r="J1318" t="str">
        <f t="shared" si="397"/>
        <v/>
      </c>
      <c r="K1318" t="str">
        <f t="shared" si="398"/>
        <v/>
      </c>
      <c r="L1318" t="str">
        <f t="shared" si="384"/>
        <v/>
      </c>
      <c r="M1318" t="str">
        <f t="shared" si="385"/>
        <v/>
      </c>
      <c r="R1318" t="str">
        <f t="shared" si="386"/>
        <v/>
      </c>
      <c r="S1318" t="str">
        <f t="shared" si="387"/>
        <v/>
      </c>
      <c r="U1318" t="str">
        <f t="shared" si="388"/>
        <v/>
      </c>
      <c r="V1318" t="str">
        <f t="shared" si="389"/>
        <v/>
      </c>
      <c r="W1318" s="5" t="str">
        <f t="shared" si="390"/>
        <v/>
      </c>
      <c r="Y1318" t="str">
        <f t="shared" si="391"/>
        <v/>
      </c>
      <c r="Z1318" t="str">
        <f t="shared" si="392"/>
        <v/>
      </c>
      <c r="AB1318" t="str">
        <f t="shared" si="393"/>
        <v>https://shop.officineitalianezard.it/contents/imgs/products/1_1186-3ridotta.jpg</v>
      </c>
      <c r="AE1318" t="b">
        <v>0</v>
      </c>
    </row>
    <row r="1319" spans="1:31" x14ac:dyDescent="0.2">
      <c r="A1319" t="str">
        <f t="shared" si="380"/>
        <v>https://shop.officineitalianezard.it/en/scrambler-ducati-exhaust-zard-2/</v>
      </c>
      <c r="B1319" t="b">
        <f>COUNTIF($A$2:$A1319, A1319)&gt;1</f>
        <v>1</v>
      </c>
      <c r="C1319" t="b">
        <f t="shared" si="381"/>
        <v>1</v>
      </c>
      <c r="D1319">
        <f>VLOOKUP(A1319,variant_counts!A:B, 2, FALSE)</f>
        <v>3</v>
      </c>
      <c r="E1319" t="str">
        <f t="shared" si="394"/>
        <v>zard-exhaust-silencer-ducati-scrambler-800-low-mounted-version-zd780ssr</v>
      </c>
      <c r="F1319" t="str">
        <f t="shared" si="382"/>
        <v>ZARD EXHAUST SILENCER DUCATI SCRAMBLER 800 LOW MOUNTED VERSION ZD780SSR</v>
      </c>
      <c r="G1319" t="str">
        <f t="shared" si="383"/>
        <v/>
      </c>
      <c r="H1319" t="str">
        <f t="shared" si="395"/>
        <v/>
      </c>
      <c r="I1319" t="str">
        <f t="shared" si="396"/>
        <v/>
      </c>
      <c r="J1319" t="str">
        <f t="shared" si="397"/>
        <v/>
      </c>
      <c r="K1319" t="str">
        <f t="shared" si="398"/>
        <v/>
      </c>
      <c r="L1319" t="str">
        <f t="shared" si="384"/>
        <v>Option</v>
      </c>
      <c r="M1319" t="str">
        <f t="shared" si="385"/>
        <v>EURO 3 HOMOLOGATED</v>
      </c>
      <c r="R1319" t="str">
        <f t="shared" si="386"/>
        <v>ZD780SSR</v>
      </c>
      <c r="S1319">
        <f t="shared" si="387"/>
        <v>0</v>
      </c>
      <c r="U1319" t="str">
        <f t="shared" si="388"/>
        <v>continue</v>
      </c>
      <c r="V1319" t="str">
        <f t="shared" si="389"/>
        <v>manual</v>
      </c>
      <c r="W1319" s="5">
        <f t="shared" si="390"/>
        <v>715.76130000000012</v>
      </c>
      <c r="Y1319" t="b">
        <f t="shared" si="391"/>
        <v>1</v>
      </c>
      <c r="Z1319" t="b">
        <f t="shared" si="392"/>
        <v>0</v>
      </c>
      <c r="AB1319" t="str">
        <f t="shared" si="393"/>
        <v/>
      </c>
      <c r="AE1319" t="b">
        <v>0</v>
      </c>
    </row>
    <row r="1320" spans="1:31" x14ac:dyDescent="0.2">
      <c r="A1320" t="str">
        <f t="shared" si="380"/>
        <v>https://shop.officineitalianezard.it/en/scrambler-ducati-exhaust-zard-2/</v>
      </c>
      <c r="B1320" t="b">
        <f>COUNTIF($A$2:$A1320, A1320)&gt;1</f>
        <v>1</v>
      </c>
      <c r="C1320" t="b">
        <f t="shared" si="381"/>
        <v>1</v>
      </c>
      <c r="D1320">
        <f>VLOOKUP(A1320,variant_counts!A:B, 2, FALSE)</f>
        <v>3</v>
      </c>
      <c r="E1320" t="str">
        <f t="shared" si="394"/>
        <v>zard-exhaust-silencer-ducati-scrambler-800-low-mounted-version-zd780ssr</v>
      </c>
      <c r="F1320" t="str">
        <f t="shared" si="382"/>
        <v>ZARD EXHAUST SILENCER DUCATI SCRAMBLER 800 LOW MOUNTED VERSION ZD780SSR</v>
      </c>
      <c r="G1320" t="str">
        <f t="shared" si="383"/>
        <v/>
      </c>
      <c r="H1320" t="str">
        <f t="shared" si="395"/>
        <v/>
      </c>
      <c r="I1320" t="str">
        <f t="shared" si="396"/>
        <v/>
      </c>
      <c r="J1320" t="str">
        <f t="shared" si="397"/>
        <v/>
      </c>
      <c r="K1320" t="str">
        <f t="shared" si="398"/>
        <v/>
      </c>
      <c r="L1320" t="str">
        <f t="shared" si="384"/>
        <v>Option</v>
      </c>
      <c r="M1320" t="str">
        <f t="shared" si="385"/>
        <v>EURO 4 HOMOLOGATED</v>
      </c>
      <c r="R1320" t="str">
        <f t="shared" si="386"/>
        <v>ZD780SSR</v>
      </c>
      <c r="S1320">
        <f t="shared" si="387"/>
        <v>0</v>
      </c>
      <c r="U1320" t="str">
        <f t="shared" si="388"/>
        <v>continue</v>
      </c>
      <c r="V1320" t="str">
        <f t="shared" si="389"/>
        <v>manual</v>
      </c>
      <c r="W1320" s="5">
        <f t="shared" si="390"/>
        <v>750.16020000000015</v>
      </c>
      <c r="Y1320" t="b">
        <f t="shared" si="391"/>
        <v>1</v>
      </c>
      <c r="Z1320" t="b">
        <f t="shared" si="392"/>
        <v>0</v>
      </c>
      <c r="AB1320" t="str">
        <f t="shared" si="393"/>
        <v/>
      </c>
      <c r="AE1320" t="b">
        <v>0</v>
      </c>
    </row>
    <row r="1321" spans="1:31" x14ac:dyDescent="0.2">
      <c r="A1321" t="str">
        <f t="shared" si="380"/>
        <v>https://shop.officineitalianezard.it/en/scrambler-ducati-exhaust-zard-2/</v>
      </c>
      <c r="B1321" t="b">
        <f>COUNTIF($A$2:$A1321, A1321)&gt;1</f>
        <v>1</v>
      </c>
      <c r="C1321" t="b">
        <f t="shared" si="381"/>
        <v>1</v>
      </c>
      <c r="D1321">
        <f>VLOOKUP(A1321,variant_counts!A:B, 2, FALSE)</f>
        <v>3</v>
      </c>
      <c r="E1321" t="str">
        <f t="shared" si="394"/>
        <v>zard-exhaust-silencer-ducati-scrambler-800-low-mounted-version-zd780ssr</v>
      </c>
      <c r="F1321" t="str">
        <f t="shared" si="382"/>
        <v>ZARD EXHAUST SILENCER DUCATI SCRAMBLER 800 LOW MOUNTED VERSION ZD780SSR</v>
      </c>
      <c r="G1321" t="str">
        <f t="shared" si="383"/>
        <v/>
      </c>
      <c r="H1321" t="str">
        <f t="shared" si="395"/>
        <v/>
      </c>
      <c r="I1321" t="str">
        <f t="shared" si="396"/>
        <v/>
      </c>
      <c r="J1321" t="str">
        <f t="shared" si="397"/>
        <v/>
      </c>
      <c r="K1321" t="str">
        <f t="shared" si="398"/>
        <v/>
      </c>
      <c r="L1321" t="str">
        <f t="shared" si="384"/>
        <v>Option</v>
      </c>
      <c r="M1321" t="str">
        <f t="shared" si="385"/>
        <v>BLACK COATING</v>
      </c>
      <c r="R1321" t="str">
        <f t="shared" si="386"/>
        <v>ZD780SSR</v>
      </c>
      <c r="S1321">
        <f t="shared" si="387"/>
        <v>0</v>
      </c>
      <c r="U1321" t="str">
        <f t="shared" si="388"/>
        <v>continue</v>
      </c>
      <c r="V1321" t="str">
        <f t="shared" si="389"/>
        <v>manual</v>
      </c>
      <c r="W1321" s="5">
        <f t="shared" si="390"/>
        <v>741.96840000000009</v>
      </c>
      <c r="Y1321" t="b">
        <f t="shared" si="391"/>
        <v>1</v>
      </c>
      <c r="Z1321" t="b">
        <f t="shared" si="392"/>
        <v>0</v>
      </c>
      <c r="AB1321" t="str">
        <f t="shared" si="393"/>
        <v/>
      </c>
      <c r="AE1321" t="b">
        <v>0</v>
      </c>
    </row>
    <row r="1322" spans="1:31" x14ac:dyDescent="0.2">
      <c r="A1322" t="str">
        <f t="shared" si="380"/>
        <v>https://shop.officineitalianezard.it/en/scrambler-ducati-zard-exhaust/</v>
      </c>
      <c r="B1322" t="b">
        <f>COUNTIF($A$2:$A1322, A1322)&gt;1</f>
        <v>0</v>
      </c>
      <c r="C1322" t="b">
        <f t="shared" si="381"/>
        <v>0</v>
      </c>
      <c r="D1322">
        <f>VLOOKUP(A1322,variant_counts!A:B, 2, FALSE)</f>
        <v>2</v>
      </c>
      <c r="E1322" t="str">
        <f t="shared" si="394"/>
        <v>zard-exhaust-silencer-ducati-scrambler-800-zuma-zd781ssr</v>
      </c>
      <c r="F1322" t="str">
        <f t="shared" si="382"/>
        <v>ZARD EXHAUST SILENCER DUCATI SCRAMBLER 800 ZUMA ZD781SSR</v>
      </c>
      <c r="G1322" t="str">
        <f t="shared" si="383"/>
        <v>&lt;div class="page-product-descr product-font-size text-font"&gt;
&lt;p&gt;STEEL SILENCER RACING WITH REMOVABLE DB KILLER&lt;/p&gt;
&lt;p&gt;ORIGINAL SILENCER WEIGHT: 6KG&lt;/p&gt;
&lt;p&gt;ZARD RACING SILENCER WEIGHT: 1,7KG&lt;br&gt;ZARD HOMOLOGATED SILENCER WEIGHT: 1,8KG&lt;/p&gt;
&lt;p&gt;THE INSTALLATION OF ZARD EXHAUST DOES NOT IMPLY ANY MODIFICATION TO ECU.&lt;br&gt;THE BOX INCLUDES ALL PARTS FOR THE FITMENT OF ZARD EXHAUST.&lt;/p&gt;
&lt;p&gt;&lt;span&gt;HARD INCREASE, COMPARED TO THE ORIGINAL EXHAUST SYSTEM, IN TERMS OF TORQUE AND POWER AT ANY RANGE&lt;/span&gt;&lt;/p&gt;
&lt;p&gt;&lt;span&gt;ASTONISHING SOUND,&amp;nbsp;EXCLUSIVE DESIGN.&lt;/span&gt;&lt;/p&gt;
&lt;p&gt;&lt;strong&gt;COMPATIBILITY MODEL:&lt;/strong&gt;&lt;/p&gt;
&lt;p&gt;SCRAMBLER URBAN ENDURO 800 CC, SCRAMBLER FULL THROTTLE 800 CC, SCRAMBLER ICON 800 CC, SCRAMBLER CLASSIC 800 CC, SCRAMBLER FLAT TRACK PRO 800 CC, CAFÈ RACER 800 CC.&lt;/p&gt;
&lt;p&gt;ASTONISHING SOUND.&lt;/p&gt;
&lt;p&gt;NOTICE: EURO 4 HOMOLOGATION AVAILABLE FROM THE END OF JULY.&lt;/p&gt;
&lt;p&gt;&lt;/p&gt;
&lt;/div&gt;</v>
      </c>
      <c r="H1322" t="str">
        <f t="shared" si="395"/>
        <v>ZARD</v>
      </c>
      <c r="I1322" t="str">
        <f t="shared" si="396"/>
        <v>Exhaust Pipe</v>
      </c>
      <c r="J1322" t="str">
        <f t="shared" si="397"/>
        <v>Test</v>
      </c>
      <c r="K1322" t="b">
        <f t="shared" si="398"/>
        <v>0</v>
      </c>
      <c r="L1322" t="str">
        <f t="shared" si="384"/>
        <v/>
      </c>
      <c r="M1322" t="str">
        <f t="shared" si="385"/>
        <v/>
      </c>
      <c r="R1322" t="str">
        <f t="shared" si="386"/>
        <v/>
      </c>
      <c r="S1322" t="str">
        <f t="shared" si="387"/>
        <v/>
      </c>
      <c r="U1322" t="str">
        <f t="shared" si="388"/>
        <v/>
      </c>
      <c r="V1322" t="str">
        <f t="shared" si="389"/>
        <v/>
      </c>
      <c r="W1322" s="5" t="str">
        <f t="shared" si="390"/>
        <v/>
      </c>
      <c r="Y1322" t="str">
        <f t="shared" si="391"/>
        <v/>
      </c>
      <c r="Z1322" t="str">
        <f t="shared" si="392"/>
        <v/>
      </c>
      <c r="AB1322" t="str">
        <f t="shared" si="393"/>
        <v>https://shop.officineitalianezard.it/contents/imgs/products/1_1294-1.jpg</v>
      </c>
      <c r="AE1322" t="b">
        <v>0</v>
      </c>
    </row>
    <row r="1323" spans="1:31" x14ac:dyDescent="0.2">
      <c r="A1323" t="str">
        <f t="shared" si="380"/>
        <v>https://shop.officineitalianezard.it/en/scrambler-ducati-zard-exhaust/</v>
      </c>
      <c r="B1323" t="b">
        <f>COUNTIF($A$2:$A1323, A1323)&gt;1</f>
        <v>1</v>
      </c>
      <c r="C1323" t="b">
        <f t="shared" si="381"/>
        <v>0</v>
      </c>
      <c r="D1323">
        <f>VLOOKUP(A1323,variant_counts!A:B, 2, FALSE)</f>
        <v>2</v>
      </c>
      <c r="E1323" t="str">
        <f t="shared" si="394"/>
        <v>zard-exhaust-silencer-ducati-scrambler-800-zuma-zd781ssr</v>
      </c>
      <c r="F1323" t="str">
        <f t="shared" si="382"/>
        <v>ZARD EXHAUST SILENCER DUCATI SCRAMBLER 800 ZUMA ZD781SSR</v>
      </c>
      <c r="G1323" t="str">
        <f t="shared" si="383"/>
        <v/>
      </c>
      <c r="H1323" t="str">
        <f t="shared" si="395"/>
        <v/>
      </c>
      <c r="I1323" t="str">
        <f t="shared" si="396"/>
        <v/>
      </c>
      <c r="J1323" t="str">
        <f t="shared" si="397"/>
        <v/>
      </c>
      <c r="K1323" t="str">
        <f t="shared" si="398"/>
        <v/>
      </c>
      <c r="L1323" t="str">
        <f t="shared" si="384"/>
        <v/>
      </c>
      <c r="M1323" t="str">
        <f t="shared" si="385"/>
        <v/>
      </c>
      <c r="R1323" t="str">
        <f t="shared" si="386"/>
        <v/>
      </c>
      <c r="S1323" t="str">
        <f t="shared" si="387"/>
        <v/>
      </c>
      <c r="U1323" t="str">
        <f t="shared" si="388"/>
        <v/>
      </c>
      <c r="V1323" t="str">
        <f t="shared" si="389"/>
        <v/>
      </c>
      <c r="W1323" s="5" t="str">
        <f t="shared" si="390"/>
        <v/>
      </c>
      <c r="Y1323" t="str">
        <f t="shared" si="391"/>
        <v/>
      </c>
      <c r="Z1323" t="str">
        <f t="shared" si="392"/>
        <v/>
      </c>
      <c r="AB1323" t="str">
        <f t="shared" si="393"/>
        <v>https://shop.officineitalianezard.it/contents/imgs/products/1_1295-2.jpg</v>
      </c>
      <c r="AE1323" t="b">
        <v>0</v>
      </c>
    </row>
    <row r="1324" spans="1:31" x14ac:dyDescent="0.2">
      <c r="A1324" t="str">
        <f t="shared" si="380"/>
        <v>https://shop.officineitalianezard.it/en/scrambler-ducati-zard-exhaust/</v>
      </c>
      <c r="B1324" t="b">
        <f>COUNTIF($A$2:$A1324, A1324)&gt;1</f>
        <v>1</v>
      </c>
      <c r="C1324" t="b">
        <f t="shared" si="381"/>
        <v>0</v>
      </c>
      <c r="D1324">
        <f>VLOOKUP(A1324,variant_counts!A:B, 2, FALSE)</f>
        <v>2</v>
      </c>
      <c r="E1324" t="str">
        <f t="shared" si="394"/>
        <v>zard-exhaust-silencer-ducati-scrambler-800-zuma-zd781ssr</v>
      </c>
      <c r="F1324" t="str">
        <f t="shared" si="382"/>
        <v>ZARD EXHAUST SILENCER DUCATI SCRAMBLER 800 ZUMA ZD781SSR</v>
      </c>
      <c r="G1324" t="str">
        <f t="shared" si="383"/>
        <v/>
      </c>
      <c r="H1324" t="str">
        <f t="shared" si="395"/>
        <v/>
      </c>
      <c r="I1324" t="str">
        <f t="shared" si="396"/>
        <v/>
      </c>
      <c r="J1324" t="str">
        <f t="shared" si="397"/>
        <v/>
      </c>
      <c r="K1324" t="str">
        <f t="shared" si="398"/>
        <v/>
      </c>
      <c r="L1324" t="str">
        <f t="shared" si="384"/>
        <v/>
      </c>
      <c r="M1324" t="str">
        <f t="shared" si="385"/>
        <v/>
      </c>
      <c r="R1324" t="str">
        <f t="shared" si="386"/>
        <v/>
      </c>
      <c r="S1324" t="str">
        <f t="shared" si="387"/>
        <v/>
      </c>
      <c r="U1324" t="str">
        <f t="shared" si="388"/>
        <v/>
      </c>
      <c r="V1324" t="str">
        <f t="shared" si="389"/>
        <v/>
      </c>
      <c r="W1324" s="5" t="str">
        <f t="shared" si="390"/>
        <v/>
      </c>
      <c r="Y1324" t="str">
        <f t="shared" si="391"/>
        <v/>
      </c>
      <c r="Z1324" t="str">
        <f t="shared" si="392"/>
        <v/>
      </c>
      <c r="AB1324" t="str">
        <f t="shared" si="393"/>
        <v>https://shop.officineitalianezard.it/contents/imgs/products/1_1785-1296-3.jpg</v>
      </c>
      <c r="AE1324" t="b">
        <v>0</v>
      </c>
    </row>
    <row r="1325" spans="1:31" x14ac:dyDescent="0.2">
      <c r="A1325" t="str">
        <f t="shared" si="380"/>
        <v>https://shop.officineitalianezard.it/en/scrambler-ducati-zard-exhaust/</v>
      </c>
      <c r="B1325" t="b">
        <f>COUNTIF($A$2:$A1325, A1325)&gt;1</f>
        <v>1</v>
      </c>
      <c r="C1325" t="b">
        <f t="shared" si="381"/>
        <v>0</v>
      </c>
      <c r="D1325">
        <f>VLOOKUP(A1325,variant_counts!A:B, 2, FALSE)</f>
        <v>2</v>
      </c>
      <c r="E1325" t="str">
        <f t="shared" si="394"/>
        <v>zard-exhaust-silencer-ducati-scrambler-800-zuma-zd781ssr</v>
      </c>
      <c r="F1325" t="str">
        <f t="shared" si="382"/>
        <v>ZARD EXHAUST SILENCER DUCATI SCRAMBLER 800 ZUMA ZD781SSR</v>
      </c>
      <c r="G1325" t="str">
        <f t="shared" si="383"/>
        <v/>
      </c>
      <c r="H1325" t="str">
        <f t="shared" si="395"/>
        <v/>
      </c>
      <c r="I1325" t="str">
        <f t="shared" si="396"/>
        <v/>
      </c>
      <c r="J1325" t="str">
        <f t="shared" si="397"/>
        <v/>
      </c>
      <c r="K1325" t="str">
        <f t="shared" si="398"/>
        <v/>
      </c>
      <c r="L1325" t="str">
        <f t="shared" si="384"/>
        <v/>
      </c>
      <c r="M1325" t="str">
        <f t="shared" si="385"/>
        <v/>
      </c>
      <c r="R1325" t="str">
        <f t="shared" si="386"/>
        <v/>
      </c>
      <c r="S1325" t="str">
        <f t="shared" si="387"/>
        <v/>
      </c>
      <c r="U1325" t="str">
        <f t="shared" si="388"/>
        <v/>
      </c>
      <c r="V1325" t="str">
        <f t="shared" si="389"/>
        <v/>
      </c>
      <c r="W1325" s="5" t="str">
        <f t="shared" si="390"/>
        <v/>
      </c>
      <c r="Y1325" t="str">
        <f t="shared" si="391"/>
        <v/>
      </c>
      <c r="Z1325" t="str">
        <f t="shared" si="392"/>
        <v/>
      </c>
      <c r="AB1325" t="str">
        <f t="shared" si="393"/>
        <v>https://shop.officineitalianezard.it/contents/imgs/products/1_1786-1248-scrambler%20ducati%20zard.jpg</v>
      </c>
      <c r="AE1325" t="b">
        <v>0</v>
      </c>
    </row>
    <row r="1326" spans="1:31" x14ac:dyDescent="0.2">
      <c r="A1326" t="str">
        <f t="shared" si="380"/>
        <v>https://shop.officineitalianezard.it/en/scrambler-ducati-zard-exhaust/</v>
      </c>
      <c r="B1326" t="b">
        <f>COUNTIF($A$2:$A1326, A1326)&gt;1</f>
        <v>1</v>
      </c>
      <c r="C1326" t="b">
        <f t="shared" si="381"/>
        <v>0</v>
      </c>
      <c r="D1326">
        <f>VLOOKUP(A1326,variant_counts!A:B, 2, FALSE)</f>
        <v>2</v>
      </c>
      <c r="E1326" t="str">
        <f t="shared" si="394"/>
        <v>zard-exhaust-silencer-ducati-scrambler-800-zuma-zd781ssr</v>
      </c>
      <c r="F1326" t="str">
        <f t="shared" si="382"/>
        <v>ZARD EXHAUST SILENCER DUCATI SCRAMBLER 800 ZUMA ZD781SSR</v>
      </c>
      <c r="G1326" t="str">
        <f t="shared" si="383"/>
        <v/>
      </c>
      <c r="H1326" t="str">
        <f t="shared" si="395"/>
        <v/>
      </c>
      <c r="I1326" t="str">
        <f t="shared" si="396"/>
        <v/>
      </c>
      <c r="J1326" t="str">
        <f t="shared" si="397"/>
        <v/>
      </c>
      <c r="K1326" t="str">
        <f t="shared" si="398"/>
        <v/>
      </c>
      <c r="L1326" t="str">
        <f t="shared" si="384"/>
        <v/>
      </c>
      <c r="M1326" t="str">
        <f t="shared" si="385"/>
        <v/>
      </c>
      <c r="R1326" t="str">
        <f t="shared" si="386"/>
        <v/>
      </c>
      <c r="S1326" t="str">
        <f t="shared" si="387"/>
        <v/>
      </c>
      <c r="U1326" t="str">
        <f t="shared" si="388"/>
        <v/>
      </c>
      <c r="V1326" t="str">
        <f t="shared" si="389"/>
        <v/>
      </c>
      <c r="W1326" s="5" t="str">
        <f t="shared" si="390"/>
        <v/>
      </c>
      <c r="Y1326" t="str">
        <f t="shared" si="391"/>
        <v/>
      </c>
      <c r="Z1326" t="str">
        <f t="shared" si="392"/>
        <v/>
      </c>
      <c r="AB1326" t="str">
        <f t="shared" si="393"/>
        <v>https://shop.officineitalianezard.it/contents/imgs/products/1_1249-2.jpg</v>
      </c>
      <c r="AE1326" t="b">
        <v>0</v>
      </c>
    </row>
    <row r="1327" spans="1:31" x14ac:dyDescent="0.2">
      <c r="A1327" t="str">
        <f t="shared" si="380"/>
        <v>https://shop.officineitalianezard.it/en/scrambler-ducati-zard-exhaust/</v>
      </c>
      <c r="B1327" t="b">
        <f>COUNTIF($A$2:$A1327, A1327)&gt;1</f>
        <v>1</v>
      </c>
      <c r="C1327" t="b">
        <f t="shared" si="381"/>
        <v>0</v>
      </c>
      <c r="D1327">
        <f>VLOOKUP(A1327,variant_counts!A:B, 2, FALSE)</f>
        <v>2</v>
      </c>
      <c r="E1327" t="str">
        <f t="shared" si="394"/>
        <v>zard-exhaust-silencer-ducati-scrambler-800-zuma-zd781ssr</v>
      </c>
      <c r="F1327" t="str">
        <f t="shared" si="382"/>
        <v>ZARD EXHAUST SILENCER DUCATI SCRAMBLER 800 ZUMA ZD781SSR</v>
      </c>
      <c r="G1327" t="str">
        <f t="shared" si="383"/>
        <v/>
      </c>
      <c r="H1327" t="str">
        <f t="shared" si="395"/>
        <v/>
      </c>
      <c r="I1327" t="str">
        <f t="shared" si="396"/>
        <v/>
      </c>
      <c r="J1327" t="str">
        <f t="shared" si="397"/>
        <v/>
      </c>
      <c r="K1327" t="str">
        <f t="shared" si="398"/>
        <v/>
      </c>
      <c r="L1327" t="str">
        <f t="shared" si="384"/>
        <v/>
      </c>
      <c r="M1327" t="str">
        <f t="shared" si="385"/>
        <v/>
      </c>
      <c r="R1327" t="str">
        <f t="shared" si="386"/>
        <v/>
      </c>
      <c r="S1327" t="str">
        <f t="shared" si="387"/>
        <v/>
      </c>
      <c r="U1327" t="str">
        <f t="shared" si="388"/>
        <v/>
      </c>
      <c r="V1327" t="str">
        <f t="shared" si="389"/>
        <v/>
      </c>
      <c r="W1327" s="5" t="str">
        <f t="shared" si="390"/>
        <v/>
      </c>
      <c r="Y1327" t="str">
        <f t="shared" si="391"/>
        <v/>
      </c>
      <c r="Z1327" t="str">
        <f t="shared" si="392"/>
        <v/>
      </c>
      <c r="AB1327" t="str">
        <f t="shared" si="393"/>
        <v>https://shop.officineitalianezard.it/contents/imgs/products/1_1298-zuma%20nero%20e%20spazzolato.jpg</v>
      </c>
      <c r="AE1327" t="b">
        <v>0</v>
      </c>
    </row>
    <row r="1328" spans="1:31" x14ac:dyDescent="0.2">
      <c r="A1328" t="str">
        <f t="shared" si="380"/>
        <v>https://shop.officineitalianezard.it/en/scrambler-ducati-zard-exhaust/</v>
      </c>
      <c r="B1328" t="b">
        <f>COUNTIF($A$2:$A1328, A1328)&gt;1</f>
        <v>1</v>
      </c>
      <c r="C1328" t="b">
        <f t="shared" si="381"/>
        <v>0</v>
      </c>
      <c r="D1328">
        <f>VLOOKUP(A1328,variant_counts!A:B, 2, FALSE)</f>
        <v>2</v>
      </c>
      <c r="E1328" t="str">
        <f t="shared" si="394"/>
        <v>zard-exhaust-silencer-ducati-scrambler-800-zuma-zd781ssr</v>
      </c>
      <c r="F1328" t="str">
        <f t="shared" si="382"/>
        <v>ZARD EXHAUST SILENCER DUCATI SCRAMBLER 800 ZUMA ZD781SSR</v>
      </c>
      <c r="G1328" t="str">
        <f t="shared" si="383"/>
        <v/>
      </c>
      <c r="H1328" t="str">
        <f t="shared" si="395"/>
        <v/>
      </c>
      <c r="I1328" t="str">
        <f t="shared" si="396"/>
        <v/>
      </c>
      <c r="J1328" t="str">
        <f t="shared" si="397"/>
        <v/>
      </c>
      <c r="K1328" t="str">
        <f t="shared" si="398"/>
        <v/>
      </c>
      <c r="L1328" t="str">
        <f t="shared" si="384"/>
        <v/>
      </c>
      <c r="M1328" t="str">
        <f t="shared" si="385"/>
        <v/>
      </c>
      <c r="R1328" t="str">
        <f t="shared" si="386"/>
        <v/>
      </c>
      <c r="S1328" t="str">
        <f t="shared" si="387"/>
        <v/>
      </c>
      <c r="U1328" t="str">
        <f t="shared" si="388"/>
        <v/>
      </c>
      <c r="V1328" t="str">
        <f t="shared" si="389"/>
        <v/>
      </c>
      <c r="W1328" s="5" t="str">
        <f t="shared" si="390"/>
        <v/>
      </c>
      <c r="Y1328" t="str">
        <f t="shared" si="391"/>
        <v/>
      </c>
      <c r="Z1328" t="str">
        <f t="shared" si="392"/>
        <v/>
      </c>
      <c r="AB1328" t="str">
        <f t="shared" si="393"/>
        <v>https://shop.officineitalianezard.it/contents/imgs/products/1_1990-1250-3.jpg</v>
      </c>
      <c r="AE1328" t="b">
        <v>0</v>
      </c>
    </row>
    <row r="1329" spans="1:31" x14ac:dyDescent="0.2">
      <c r="A1329" t="str">
        <f t="shared" si="380"/>
        <v>https://shop.officineitalianezard.it/en/scrambler-ducati-zard-exhaust/</v>
      </c>
      <c r="B1329" t="b">
        <f>COUNTIF($A$2:$A1329, A1329)&gt;1</f>
        <v>1</v>
      </c>
      <c r="C1329" t="b">
        <f t="shared" si="381"/>
        <v>0</v>
      </c>
      <c r="D1329">
        <f>VLOOKUP(A1329,variant_counts!A:B, 2, FALSE)</f>
        <v>2</v>
      </c>
      <c r="E1329" t="str">
        <f t="shared" si="394"/>
        <v>zard-exhaust-silencer-ducati-scrambler-800-zuma-zd781ssr</v>
      </c>
      <c r="F1329" t="str">
        <f t="shared" si="382"/>
        <v>ZARD EXHAUST SILENCER DUCATI SCRAMBLER 800 ZUMA ZD781SSR</v>
      </c>
      <c r="G1329" t="str">
        <f t="shared" si="383"/>
        <v/>
      </c>
      <c r="H1329" t="str">
        <f t="shared" si="395"/>
        <v/>
      </c>
      <c r="I1329" t="str">
        <f t="shared" si="396"/>
        <v/>
      </c>
      <c r="J1329" t="str">
        <f t="shared" si="397"/>
        <v/>
      </c>
      <c r="K1329" t="str">
        <f t="shared" si="398"/>
        <v/>
      </c>
      <c r="L1329" t="str">
        <f t="shared" si="384"/>
        <v/>
      </c>
      <c r="M1329" t="str">
        <f t="shared" si="385"/>
        <v/>
      </c>
      <c r="R1329" t="str">
        <f t="shared" si="386"/>
        <v/>
      </c>
      <c r="S1329" t="str">
        <f t="shared" si="387"/>
        <v/>
      </c>
      <c r="U1329" t="str">
        <f t="shared" si="388"/>
        <v/>
      </c>
      <c r="V1329" t="str">
        <f t="shared" si="389"/>
        <v/>
      </c>
      <c r="W1329" s="5" t="str">
        <f t="shared" si="390"/>
        <v/>
      </c>
      <c r="Y1329" t="str">
        <f t="shared" si="391"/>
        <v/>
      </c>
      <c r="Z1329" t="str">
        <f t="shared" si="392"/>
        <v/>
      </c>
      <c r="AB1329" t="str">
        <f t="shared" si="393"/>
        <v>https://shop.officineitalianezard.it/contents/imgs/products/1_1991-1250-32.jpg</v>
      </c>
      <c r="AE1329" t="b">
        <v>0</v>
      </c>
    </row>
    <row r="1330" spans="1:31" x14ac:dyDescent="0.2">
      <c r="A1330" t="str">
        <f t="shared" si="380"/>
        <v>https://shop.officineitalianezard.it/en/scrambler-ducati-zard-exhaust/</v>
      </c>
      <c r="B1330" t="b">
        <f>COUNTIF($A$2:$A1330, A1330)&gt;1</f>
        <v>1</v>
      </c>
      <c r="C1330" t="b">
        <f t="shared" si="381"/>
        <v>0</v>
      </c>
      <c r="D1330">
        <f>VLOOKUP(A1330,variant_counts!A:B, 2, FALSE)</f>
        <v>2</v>
      </c>
      <c r="E1330" t="str">
        <f t="shared" si="394"/>
        <v>zard-exhaust-silencer-ducati-scrambler-800-zuma-zd781ssr</v>
      </c>
      <c r="F1330" t="str">
        <f t="shared" si="382"/>
        <v>ZARD EXHAUST SILENCER DUCATI SCRAMBLER 800 ZUMA ZD781SSR</v>
      </c>
      <c r="G1330" t="str">
        <f t="shared" si="383"/>
        <v/>
      </c>
      <c r="H1330" t="str">
        <f t="shared" si="395"/>
        <v/>
      </c>
      <c r="I1330" t="str">
        <f t="shared" si="396"/>
        <v/>
      </c>
      <c r="J1330" t="str">
        <f t="shared" si="397"/>
        <v/>
      </c>
      <c r="K1330" t="str">
        <f t="shared" si="398"/>
        <v/>
      </c>
      <c r="L1330" t="str">
        <f t="shared" si="384"/>
        <v/>
      </c>
      <c r="M1330" t="str">
        <f t="shared" si="385"/>
        <v/>
      </c>
      <c r="R1330" t="str">
        <f t="shared" si="386"/>
        <v/>
      </c>
      <c r="S1330" t="str">
        <f t="shared" si="387"/>
        <v/>
      </c>
      <c r="U1330" t="str">
        <f t="shared" si="388"/>
        <v/>
      </c>
      <c r="V1330" t="str">
        <f t="shared" si="389"/>
        <v/>
      </c>
      <c r="W1330" s="5" t="str">
        <f t="shared" si="390"/>
        <v/>
      </c>
      <c r="Y1330" t="str">
        <f t="shared" si="391"/>
        <v/>
      </c>
      <c r="Z1330" t="str">
        <f t="shared" si="392"/>
        <v/>
      </c>
      <c r="AB1330" t="str">
        <f t="shared" si="393"/>
        <v>https://shop.officineitalianezard.it/contents/imgs/products/1_2014-scrambler%20ducati%20scarico%20zard%20zuma.jpg</v>
      </c>
      <c r="AE1330" t="b">
        <v>0</v>
      </c>
    </row>
    <row r="1331" spans="1:31" x14ac:dyDescent="0.2">
      <c r="A1331" t="str">
        <f t="shared" si="380"/>
        <v>https://shop.officineitalianezard.it/en/scrambler-ducati-zard-exhaust/</v>
      </c>
      <c r="B1331" t="b">
        <f>COUNTIF($A$2:$A1331, A1331)&gt;1</f>
        <v>1</v>
      </c>
      <c r="C1331" t="b">
        <f t="shared" si="381"/>
        <v>0</v>
      </c>
      <c r="D1331">
        <f>VLOOKUP(A1331,variant_counts!A:B, 2, FALSE)</f>
        <v>2</v>
      </c>
      <c r="E1331" t="str">
        <f t="shared" si="394"/>
        <v>zard-exhaust-silencer-ducati-scrambler-800-zuma-zd781ssr</v>
      </c>
      <c r="F1331" t="str">
        <f t="shared" si="382"/>
        <v>ZARD EXHAUST SILENCER DUCATI SCRAMBLER 800 ZUMA ZD781SSR</v>
      </c>
      <c r="G1331" t="str">
        <f t="shared" si="383"/>
        <v/>
      </c>
      <c r="H1331" t="str">
        <f t="shared" si="395"/>
        <v/>
      </c>
      <c r="I1331" t="str">
        <f t="shared" si="396"/>
        <v/>
      </c>
      <c r="J1331" t="str">
        <f t="shared" si="397"/>
        <v/>
      </c>
      <c r="K1331" t="str">
        <f t="shared" si="398"/>
        <v/>
      </c>
      <c r="L1331" t="str">
        <f t="shared" si="384"/>
        <v/>
      </c>
      <c r="M1331" t="str">
        <f t="shared" si="385"/>
        <v/>
      </c>
      <c r="R1331" t="str">
        <f t="shared" si="386"/>
        <v/>
      </c>
      <c r="S1331" t="str">
        <f t="shared" si="387"/>
        <v/>
      </c>
      <c r="U1331" t="str">
        <f t="shared" si="388"/>
        <v/>
      </c>
      <c r="V1331" t="str">
        <f t="shared" si="389"/>
        <v/>
      </c>
      <c r="W1331" s="5" t="str">
        <f t="shared" si="390"/>
        <v/>
      </c>
      <c r="Y1331" t="str">
        <f t="shared" si="391"/>
        <v/>
      </c>
      <c r="Z1331" t="str">
        <f t="shared" si="392"/>
        <v/>
      </c>
      <c r="AB1331" t="str">
        <f t="shared" si="393"/>
        <v>https://shop.officineitalianezard.it/contents/imgs/products/1_2329-silenziatore%20zard%20zuma%20-%20logo%20e%20fondello%20neri.jpg</v>
      </c>
      <c r="AE1331" t="b">
        <v>0</v>
      </c>
    </row>
    <row r="1332" spans="1:31" x14ac:dyDescent="0.2">
      <c r="A1332" t="str">
        <f t="shared" si="380"/>
        <v>https://shop.officineitalianezard.it/en/scrambler-ducati-zard-exhaust/</v>
      </c>
      <c r="B1332" t="b">
        <f>COUNTIF($A$2:$A1332, A1332)&gt;1</f>
        <v>1</v>
      </c>
      <c r="C1332" t="b">
        <f t="shared" si="381"/>
        <v>1</v>
      </c>
      <c r="D1332">
        <f>VLOOKUP(A1332,variant_counts!A:B, 2, FALSE)</f>
        <v>2</v>
      </c>
      <c r="E1332" t="str">
        <f t="shared" si="394"/>
        <v>zard-exhaust-silencer-ducati-scrambler-800-zuma-zd781ssr</v>
      </c>
      <c r="F1332" t="str">
        <f t="shared" si="382"/>
        <v>ZARD EXHAUST SILENCER DUCATI SCRAMBLER 800 ZUMA ZD781SSR</v>
      </c>
      <c r="G1332" t="str">
        <f t="shared" si="383"/>
        <v/>
      </c>
      <c r="H1332" t="str">
        <f t="shared" si="395"/>
        <v/>
      </c>
      <c r="I1332" t="str">
        <f t="shared" si="396"/>
        <v/>
      </c>
      <c r="J1332" t="str">
        <f t="shared" si="397"/>
        <v/>
      </c>
      <c r="K1332" t="str">
        <f t="shared" si="398"/>
        <v/>
      </c>
      <c r="L1332" t="str">
        <f t="shared" si="384"/>
        <v>Option</v>
      </c>
      <c r="M1332" t="str">
        <f t="shared" si="385"/>
        <v>EURO 4 HOMOLOGATED</v>
      </c>
      <c r="R1332" t="str">
        <f t="shared" si="386"/>
        <v>ZD781SSR</v>
      </c>
      <c r="S1332">
        <f t="shared" si="387"/>
        <v>0</v>
      </c>
      <c r="U1332" t="str">
        <f t="shared" si="388"/>
        <v>continue</v>
      </c>
      <c r="V1332" t="str">
        <f t="shared" si="389"/>
        <v>manual</v>
      </c>
      <c r="W1332" s="5">
        <f t="shared" si="390"/>
        <v>731.96730000000014</v>
      </c>
      <c r="Y1332" t="b">
        <f t="shared" si="391"/>
        <v>1</v>
      </c>
      <c r="Z1332" t="b">
        <f t="shared" si="392"/>
        <v>0</v>
      </c>
      <c r="AB1332" t="str">
        <f t="shared" si="393"/>
        <v/>
      </c>
      <c r="AE1332" t="b">
        <v>0</v>
      </c>
    </row>
    <row r="1333" spans="1:31" x14ac:dyDescent="0.2">
      <c r="A1333" t="str">
        <f t="shared" si="380"/>
        <v>https://shop.officineitalianezard.it/en/scrambler-ducati-zard-exhaust/</v>
      </c>
      <c r="B1333" t="b">
        <f>COUNTIF($A$2:$A1333, A1333)&gt;1</f>
        <v>1</v>
      </c>
      <c r="C1333" t="b">
        <f t="shared" si="381"/>
        <v>1</v>
      </c>
      <c r="D1333">
        <f>VLOOKUP(A1333,variant_counts!A:B, 2, FALSE)</f>
        <v>2</v>
      </c>
      <c r="E1333" t="str">
        <f t="shared" si="394"/>
        <v>zard-exhaust-silencer-ducati-scrambler-800-zuma-zd781ssr</v>
      </c>
      <c r="F1333" t="str">
        <f t="shared" si="382"/>
        <v>ZARD EXHAUST SILENCER DUCATI SCRAMBLER 800 ZUMA ZD781SSR</v>
      </c>
      <c r="G1333" t="str">
        <f t="shared" si="383"/>
        <v/>
      </c>
      <c r="H1333" t="str">
        <f t="shared" si="395"/>
        <v/>
      </c>
      <c r="I1333" t="str">
        <f t="shared" si="396"/>
        <v/>
      </c>
      <c r="J1333" t="str">
        <f t="shared" si="397"/>
        <v/>
      </c>
      <c r="K1333" t="str">
        <f t="shared" si="398"/>
        <v/>
      </c>
      <c r="L1333" t="str">
        <f t="shared" si="384"/>
        <v>Option</v>
      </c>
      <c r="M1333" t="str">
        <f t="shared" si="385"/>
        <v>BLACK COATING</v>
      </c>
      <c r="R1333" t="str">
        <f t="shared" si="386"/>
        <v>ZD781SSR</v>
      </c>
      <c r="S1333">
        <f t="shared" si="387"/>
        <v>0</v>
      </c>
      <c r="U1333" t="str">
        <f t="shared" si="388"/>
        <v>continue</v>
      </c>
      <c r="V1333" t="str">
        <f t="shared" si="389"/>
        <v>manual</v>
      </c>
      <c r="W1333" s="5">
        <f t="shared" si="390"/>
        <v>723.77550000000019</v>
      </c>
      <c r="Y1333" t="b">
        <f t="shared" si="391"/>
        <v>1</v>
      </c>
      <c r="Z1333" t="b">
        <f t="shared" si="392"/>
        <v>0</v>
      </c>
      <c r="AB1333" t="str">
        <f t="shared" si="393"/>
        <v/>
      </c>
      <c r="AE1333" t="b">
        <v>0</v>
      </c>
    </row>
    <row r="1334" spans="1:31" x14ac:dyDescent="0.2">
      <c r="A1334" t="str">
        <f t="shared" si="380"/>
        <v>https://shop.officineitalianezard.it/en/scrambler-ducati-exhaust-zard/</v>
      </c>
      <c r="B1334" t="b">
        <f>COUNTIF($A$2:$A1334, A1334)&gt;1</f>
        <v>0</v>
      </c>
      <c r="C1334" t="b">
        <f t="shared" si="381"/>
        <v>0</v>
      </c>
      <c r="D1334">
        <f>VLOOKUP(A1334,variant_counts!A:B, 2, FALSE)</f>
        <v>2</v>
      </c>
      <c r="E1334" t="str">
        <f t="shared" si="394"/>
        <v>zard-exhaust-21-full-kit-ducati-scrambler-800-conical-version-zd785skr</v>
      </c>
      <c r="F1334" t="str">
        <f t="shared" si="382"/>
        <v>ZARD EXHAUST 2&gt;1 FULL KIT DUCATI SCRAMBLER 800 CONICAL VERSION ZD785SKR</v>
      </c>
      <c r="G1334" t="str">
        <f t="shared" si="383"/>
        <v>&lt;div class="page-product-descr product-font-size text-font"&gt;
&lt;p&gt;&lt;strong&gt;AVAILABLE ON DEMAND ONLY. DELIVERY 4 WORKING WEEKS FROM ORDER.&lt;/strong&gt;&lt;/p&gt;
&lt;p&gt;2&amp;gt;1 STEEL&amp;nbsp;RACING FULL KIT&amp;nbsp;&lt;/p&gt;
&lt;p&gt;ORIGINAL FULL KIT WEIGHT: 8.5 KG&lt;br&gt;ZARD FULL KIT WEIGHT: 1.4 KG&lt;/p&gt;
&lt;p&gt;&lt;span&gt;A VERY SPECIAL EXHAUST TOTALLY HANDMADE AND WELDED BY OUR BEST WELDERS.&lt;/span&gt;&lt;/p&gt;
&lt;p&gt;FITTING KIT INCLUDED.&lt;/p&gt;
&lt;p&gt;&lt;strong&gt;NOTE&lt;/strong&gt;: HEAD OUTPUT NOT INCLUDED, PLEASE USE OEM&amp;nbsp;DUCATI ONE.&lt;/p&gt;
&lt;p&gt;&lt;span&gt;LOUD&amp;nbsp;SOUND,&amp;nbsp;EXCLUSIVE DESIGN.&lt;/span&gt;&lt;/p&gt;
&lt;p&gt;&lt;strong&gt;COMPATIBILITY MODELS:&lt;/strong&gt;&lt;/p&gt;
&lt;p&gt;SCRAMBLER URBAN ENDURO 800 CC, SCRAMBLER FULL THROTTLE 800 CC, SCRAMBLER ICON 800 CC, SCRAMBLER CLASSIC 800 CC, SCRAMBLER FLAT TRACK PRO 800 CC, CAFÈ RACER 800 CC.&lt;/p&gt;
&lt;/div&gt;
&lt;p&gt;&lt;/p&gt;</v>
      </c>
      <c r="H1334" t="str">
        <f t="shared" si="395"/>
        <v>ZARD</v>
      </c>
      <c r="I1334" t="str">
        <f t="shared" si="396"/>
        <v>Exhaust Pipe</v>
      </c>
      <c r="J1334" t="str">
        <f t="shared" si="397"/>
        <v>Test</v>
      </c>
      <c r="K1334" t="b">
        <f t="shared" si="398"/>
        <v>0</v>
      </c>
      <c r="L1334" t="str">
        <f t="shared" si="384"/>
        <v/>
      </c>
      <c r="M1334" t="str">
        <f t="shared" si="385"/>
        <v/>
      </c>
      <c r="R1334" t="str">
        <f t="shared" si="386"/>
        <v/>
      </c>
      <c r="S1334" t="str">
        <f t="shared" si="387"/>
        <v/>
      </c>
      <c r="U1334" t="str">
        <f t="shared" si="388"/>
        <v/>
      </c>
      <c r="V1334" t="str">
        <f t="shared" si="389"/>
        <v/>
      </c>
      <c r="W1334" s="5" t="str">
        <f t="shared" si="390"/>
        <v/>
      </c>
      <c r="Y1334" t="str">
        <f t="shared" si="391"/>
        <v/>
      </c>
      <c r="Z1334" t="str">
        <f t="shared" si="392"/>
        <v/>
      </c>
      <c r="AB1334" t="str">
        <f t="shared" si="393"/>
        <v>https://shop.officineitalianezard.it/contents/imgs/products/1_1808-1.jpg</v>
      </c>
      <c r="AE1334" t="b">
        <v>0</v>
      </c>
    </row>
    <row r="1335" spans="1:31" x14ac:dyDescent="0.2">
      <c r="A1335" t="str">
        <f t="shared" si="380"/>
        <v>https://shop.officineitalianezard.it/en/scrambler-ducati-exhaust-zard/</v>
      </c>
      <c r="B1335" t="b">
        <f>COUNTIF($A$2:$A1335, A1335)&gt;1</f>
        <v>1</v>
      </c>
      <c r="C1335" t="b">
        <f t="shared" si="381"/>
        <v>0</v>
      </c>
      <c r="D1335">
        <f>VLOOKUP(A1335,variant_counts!A:B, 2, FALSE)</f>
        <v>2</v>
      </c>
      <c r="E1335" t="str">
        <f t="shared" si="394"/>
        <v>zard-exhaust-21-full-kit-ducati-scrambler-800-conical-version-zd785skr</v>
      </c>
      <c r="F1335" t="str">
        <f t="shared" si="382"/>
        <v>ZARD EXHAUST 2&gt;1 FULL KIT DUCATI SCRAMBLER 800 CONICAL VERSION ZD785SKR</v>
      </c>
      <c r="G1335" t="str">
        <f t="shared" si="383"/>
        <v/>
      </c>
      <c r="H1335" t="str">
        <f t="shared" si="395"/>
        <v/>
      </c>
      <c r="I1335" t="str">
        <f t="shared" si="396"/>
        <v/>
      </c>
      <c r="J1335" t="str">
        <f t="shared" si="397"/>
        <v/>
      </c>
      <c r="K1335" t="str">
        <f t="shared" si="398"/>
        <v/>
      </c>
      <c r="L1335" t="str">
        <f t="shared" si="384"/>
        <v/>
      </c>
      <c r="M1335" t="str">
        <f t="shared" si="385"/>
        <v/>
      </c>
      <c r="R1335" t="str">
        <f t="shared" si="386"/>
        <v/>
      </c>
      <c r="S1335" t="str">
        <f t="shared" si="387"/>
        <v/>
      </c>
      <c r="U1335" t="str">
        <f t="shared" si="388"/>
        <v/>
      </c>
      <c r="V1335" t="str">
        <f t="shared" si="389"/>
        <v/>
      </c>
      <c r="W1335" s="5" t="str">
        <f t="shared" si="390"/>
        <v/>
      </c>
      <c r="Y1335" t="str">
        <f t="shared" si="391"/>
        <v/>
      </c>
      <c r="Z1335" t="str">
        <f t="shared" si="392"/>
        <v/>
      </c>
      <c r="AB1335" t="str">
        <f t="shared" si="393"/>
        <v>https://shop.officineitalianezard.it/contents/imgs/products/1_1810-2.jpg</v>
      </c>
      <c r="AE1335" t="b">
        <v>0</v>
      </c>
    </row>
    <row r="1336" spans="1:31" x14ac:dyDescent="0.2">
      <c r="A1336" t="str">
        <f t="shared" si="380"/>
        <v>https://shop.officineitalianezard.it/en/scrambler-ducati-exhaust-zard/</v>
      </c>
      <c r="B1336" t="b">
        <f>COUNTIF($A$2:$A1336, A1336)&gt;1</f>
        <v>1</v>
      </c>
      <c r="C1336" t="b">
        <f t="shared" si="381"/>
        <v>0</v>
      </c>
      <c r="D1336">
        <f>VLOOKUP(A1336,variant_counts!A:B, 2, FALSE)</f>
        <v>2</v>
      </c>
      <c r="E1336" t="str">
        <f t="shared" si="394"/>
        <v>zard-exhaust-21-full-kit-ducati-scrambler-800-conical-version-zd785skr</v>
      </c>
      <c r="F1336" t="str">
        <f t="shared" si="382"/>
        <v>ZARD EXHAUST 2&gt;1 FULL KIT DUCATI SCRAMBLER 800 CONICAL VERSION ZD785SKR</v>
      </c>
      <c r="G1336" t="str">
        <f t="shared" si="383"/>
        <v/>
      </c>
      <c r="H1336" t="str">
        <f t="shared" si="395"/>
        <v/>
      </c>
      <c r="I1336" t="str">
        <f t="shared" si="396"/>
        <v/>
      </c>
      <c r="J1336" t="str">
        <f t="shared" si="397"/>
        <v/>
      </c>
      <c r="K1336" t="str">
        <f t="shared" si="398"/>
        <v/>
      </c>
      <c r="L1336" t="str">
        <f t="shared" si="384"/>
        <v/>
      </c>
      <c r="M1336" t="str">
        <f t="shared" si="385"/>
        <v/>
      </c>
      <c r="R1336" t="str">
        <f t="shared" si="386"/>
        <v/>
      </c>
      <c r="S1336" t="str">
        <f t="shared" si="387"/>
        <v/>
      </c>
      <c r="U1336" t="str">
        <f t="shared" si="388"/>
        <v/>
      </c>
      <c r="V1336" t="str">
        <f t="shared" si="389"/>
        <v/>
      </c>
      <c r="W1336" s="5" t="str">
        <f t="shared" si="390"/>
        <v/>
      </c>
      <c r="Y1336" t="str">
        <f t="shared" si="391"/>
        <v/>
      </c>
      <c r="Z1336" t="str">
        <f t="shared" si="392"/>
        <v/>
      </c>
      <c r="AB1336" t="str">
        <f t="shared" si="393"/>
        <v>https://shop.officineitalianezard.it/contents/imgs/products/1_1807-3.jpg</v>
      </c>
      <c r="AE1336" t="b">
        <v>0</v>
      </c>
    </row>
    <row r="1337" spans="1:31" x14ac:dyDescent="0.2">
      <c r="A1337" t="str">
        <f t="shared" si="380"/>
        <v>https://shop.officineitalianezard.it/en/scrambler-ducati-exhaust-zard/</v>
      </c>
      <c r="B1337" t="b">
        <f>COUNTIF($A$2:$A1337, A1337)&gt;1</f>
        <v>1</v>
      </c>
      <c r="C1337" t="b">
        <f t="shared" si="381"/>
        <v>0</v>
      </c>
      <c r="D1337">
        <f>VLOOKUP(A1337,variant_counts!A:B, 2, FALSE)</f>
        <v>2</v>
      </c>
      <c r="E1337" t="str">
        <f t="shared" si="394"/>
        <v>zard-exhaust-21-full-kit-ducati-scrambler-800-conical-version-zd785skr</v>
      </c>
      <c r="F1337" t="str">
        <f t="shared" si="382"/>
        <v>ZARD EXHAUST 2&gt;1 FULL KIT DUCATI SCRAMBLER 800 CONICAL VERSION ZD785SKR</v>
      </c>
      <c r="G1337" t="str">
        <f t="shared" si="383"/>
        <v/>
      </c>
      <c r="H1337" t="str">
        <f t="shared" si="395"/>
        <v/>
      </c>
      <c r="I1337" t="str">
        <f t="shared" si="396"/>
        <v/>
      </c>
      <c r="J1337" t="str">
        <f t="shared" si="397"/>
        <v/>
      </c>
      <c r="K1337" t="str">
        <f t="shared" si="398"/>
        <v/>
      </c>
      <c r="L1337" t="str">
        <f t="shared" si="384"/>
        <v/>
      </c>
      <c r="M1337" t="str">
        <f t="shared" si="385"/>
        <v/>
      </c>
      <c r="R1337" t="str">
        <f t="shared" si="386"/>
        <v/>
      </c>
      <c r="S1337" t="str">
        <f t="shared" si="387"/>
        <v/>
      </c>
      <c r="U1337" t="str">
        <f t="shared" si="388"/>
        <v/>
      </c>
      <c r="V1337" t="str">
        <f t="shared" si="389"/>
        <v/>
      </c>
      <c r="W1337" s="5" t="str">
        <f t="shared" si="390"/>
        <v/>
      </c>
      <c r="Y1337" t="str">
        <f t="shared" si="391"/>
        <v/>
      </c>
      <c r="Z1337" t="str">
        <f t="shared" si="392"/>
        <v/>
      </c>
      <c r="AB1337" t="str">
        <f t="shared" si="393"/>
        <v>https://shop.officineitalianezard.it/contents/imgs/products/1_1809-0text.jpg</v>
      </c>
      <c r="AE1337" t="b">
        <v>0</v>
      </c>
    </row>
    <row r="1338" spans="1:31" x14ac:dyDescent="0.2">
      <c r="A1338" t="str">
        <f t="shared" si="380"/>
        <v>https://shop.officineitalianezard.it/en/scrambler-ducati-exhaust-zard/</v>
      </c>
      <c r="B1338" t="b">
        <f>COUNTIF($A$2:$A1338, A1338)&gt;1</f>
        <v>1</v>
      </c>
      <c r="C1338" t="b">
        <f t="shared" si="381"/>
        <v>1</v>
      </c>
      <c r="D1338">
        <f>VLOOKUP(A1338,variant_counts!A:B, 2, FALSE)</f>
        <v>2</v>
      </c>
      <c r="E1338" t="str">
        <f t="shared" si="394"/>
        <v>zard-exhaust-21-full-kit-ducati-scrambler-800-conical-version-zd785skr</v>
      </c>
      <c r="F1338" t="str">
        <f t="shared" si="382"/>
        <v>ZARD EXHAUST 2&gt;1 FULL KIT DUCATI SCRAMBLER 800 CONICAL VERSION ZD785SKR</v>
      </c>
      <c r="G1338" t="str">
        <f t="shared" si="383"/>
        <v/>
      </c>
      <c r="H1338" t="str">
        <f t="shared" si="395"/>
        <v/>
      </c>
      <c r="I1338" t="str">
        <f t="shared" si="396"/>
        <v/>
      </c>
      <c r="J1338" t="str">
        <f t="shared" si="397"/>
        <v/>
      </c>
      <c r="K1338" t="str">
        <f t="shared" si="398"/>
        <v/>
      </c>
      <c r="L1338" t="str">
        <f t="shared" si="384"/>
        <v>Option</v>
      </c>
      <c r="M1338" t="str">
        <f t="shared" si="385"/>
        <v>FULL TITANIUM</v>
      </c>
      <c r="R1338" t="str">
        <f t="shared" si="386"/>
        <v>ZD785SKR</v>
      </c>
      <c r="S1338">
        <f t="shared" si="387"/>
        <v>0</v>
      </c>
      <c r="U1338" t="str">
        <f t="shared" si="388"/>
        <v>continue</v>
      </c>
      <c r="V1338" t="str">
        <f t="shared" si="389"/>
        <v>manual</v>
      </c>
      <c r="W1338" s="5">
        <f t="shared" si="390"/>
        <v>1701.2193000000002</v>
      </c>
      <c r="Y1338" t="b">
        <f t="shared" si="391"/>
        <v>1</v>
      </c>
      <c r="Z1338" t="b">
        <f t="shared" si="392"/>
        <v>0</v>
      </c>
      <c r="AB1338" t="str">
        <f t="shared" si="393"/>
        <v/>
      </c>
      <c r="AE1338" t="b">
        <v>0</v>
      </c>
    </row>
    <row r="1339" spans="1:31" x14ac:dyDescent="0.2">
      <c r="A1339" t="str">
        <f t="shared" si="380"/>
        <v>https://shop.officineitalianezard.it/en/scrambler-ducati-exhaust-zard/</v>
      </c>
      <c r="B1339" t="b">
        <f>COUNTIF($A$2:$A1339, A1339)&gt;1</f>
        <v>1</v>
      </c>
      <c r="C1339" t="b">
        <f t="shared" si="381"/>
        <v>1</v>
      </c>
      <c r="D1339">
        <f>VLOOKUP(A1339,variant_counts!A:B, 2, FALSE)</f>
        <v>2</v>
      </c>
      <c r="E1339" t="str">
        <f t="shared" si="394"/>
        <v>zard-exhaust-21-full-kit-ducati-scrambler-800-conical-version-zd785skr</v>
      </c>
      <c r="F1339" t="str">
        <f t="shared" si="382"/>
        <v>ZARD EXHAUST 2&gt;1 FULL KIT DUCATI SCRAMBLER 800 CONICAL VERSION ZD785SKR</v>
      </c>
      <c r="G1339" t="str">
        <f t="shared" si="383"/>
        <v/>
      </c>
      <c r="H1339" t="str">
        <f t="shared" si="395"/>
        <v/>
      </c>
      <c r="I1339" t="str">
        <f t="shared" si="396"/>
        <v/>
      </c>
      <c r="J1339" t="str">
        <f t="shared" si="397"/>
        <v/>
      </c>
      <c r="K1339" t="str">
        <f t="shared" si="398"/>
        <v/>
      </c>
      <c r="L1339" t="str">
        <f t="shared" si="384"/>
        <v>Option</v>
      </c>
      <c r="M1339" t="str">
        <f t="shared" si="385"/>
        <v>SNAKE WELDED</v>
      </c>
      <c r="R1339" t="str">
        <f t="shared" si="386"/>
        <v>ZD785SKR</v>
      </c>
      <c r="S1339">
        <f t="shared" si="387"/>
        <v>0</v>
      </c>
      <c r="U1339" t="str">
        <f t="shared" si="388"/>
        <v>continue</v>
      </c>
      <c r="V1339" t="str">
        <f t="shared" si="389"/>
        <v>manual</v>
      </c>
      <c r="W1339" s="5">
        <f t="shared" si="390"/>
        <v>1213.1745000000001</v>
      </c>
      <c r="Y1339" t="b">
        <f t="shared" si="391"/>
        <v>1</v>
      </c>
      <c r="Z1339" t="b">
        <f t="shared" si="392"/>
        <v>0</v>
      </c>
      <c r="AB1339" t="str">
        <f t="shared" si="393"/>
        <v/>
      </c>
      <c r="AE1339" t="b">
        <v>0</v>
      </c>
    </row>
    <row r="1340" spans="1:31" x14ac:dyDescent="0.2">
      <c r="A1340" t="str">
        <f t="shared" si="380"/>
        <v>https://shop.officineitalianezard.it/en/scrambler-ducati-desert-sled-exhaust-zard/</v>
      </c>
      <c r="B1340" t="b">
        <f>COUNTIF($A$2:$A1340, A1340)&gt;1</f>
        <v>0</v>
      </c>
      <c r="C1340" t="b">
        <f t="shared" si="381"/>
        <v>0</v>
      </c>
      <c r="D1340">
        <f>VLOOKUP(A1340,variant_counts!A:B, 2, FALSE)</f>
        <v>4</v>
      </c>
      <c r="E1340" t="str">
        <f t="shared" si="394"/>
        <v>zard-exhaust-zuma-silencer-ducati-scrambler-800-desert-sled-version-zd794ssr</v>
      </c>
      <c r="F1340" t="str">
        <f t="shared" si="382"/>
        <v>ZARD EXHAUST ZUMA SILENCER DUCATI SCRAMBLER 800 DESERT SLED VERSION ZD794SSR</v>
      </c>
      <c r="G1340" t="str">
        <f t="shared" si="383"/>
        <v>&lt;div class="page-product-descr product-font-size text-font"&gt;
&lt;p&gt;STEEL SILENCER RACING WITH REMOVABLE DB KILLER&lt;/p&gt;
&lt;p&gt;ORIGINAL SILENCER WEIGHT: 6KG&lt;br&gt;ZARD SILENCER WEIGHT: 1,7KG&lt;/p&gt;
&lt;p&gt;THE INSTALLATION OF ZARD EXHAUST DOES NOT IMPLY ANY MODIFICATION TO ECU.&lt;br&gt;THE BOX INCLUDES ALL PARTS FOR THE FITMENT OF ZARD EXHAUST.&lt;/p&gt;
&lt;p&gt;&lt;span&gt;HARD INCREASE, COMPARED TO THE ORIGINAL EXHAUST SYSTEM, IN TERMS OF TORQUE AND POWER AT ANY RANGE&lt;/span&gt;&lt;/p&gt;
&lt;p&gt;&lt;span&gt;ASTONISHING SOUND,&amp;nbsp;EXCLUSIVE DESIGN.&lt;/span&gt;&lt;/p&gt;
&lt;/div&gt;</v>
      </c>
      <c r="H1340" t="str">
        <f t="shared" si="395"/>
        <v>ZARD</v>
      </c>
      <c r="I1340" t="str">
        <f t="shared" si="396"/>
        <v>Exhaust Pipe</v>
      </c>
      <c r="J1340" t="str">
        <f t="shared" si="397"/>
        <v>Test</v>
      </c>
      <c r="K1340" t="b">
        <f t="shared" si="398"/>
        <v>0</v>
      </c>
      <c r="L1340" t="str">
        <f t="shared" si="384"/>
        <v/>
      </c>
      <c r="M1340" t="str">
        <f t="shared" si="385"/>
        <v/>
      </c>
      <c r="R1340" t="str">
        <f t="shared" si="386"/>
        <v/>
      </c>
      <c r="S1340" t="str">
        <f t="shared" si="387"/>
        <v/>
      </c>
      <c r="U1340" t="str">
        <f t="shared" si="388"/>
        <v/>
      </c>
      <c r="V1340" t="str">
        <f t="shared" si="389"/>
        <v/>
      </c>
      <c r="W1340" s="5" t="str">
        <f t="shared" si="390"/>
        <v/>
      </c>
      <c r="Y1340" t="str">
        <f t="shared" si="391"/>
        <v/>
      </c>
      <c r="Z1340" t="str">
        <f t="shared" si="392"/>
        <v/>
      </c>
      <c r="AB1340" t="str">
        <f t="shared" si="393"/>
        <v>https://shop.officineitalianezard.it/contents/imgs/products/1_2066-scarico%20scrambler%20desert%20sled%20-%20zard%201.jpg</v>
      </c>
      <c r="AE1340" t="b">
        <v>0</v>
      </c>
    </row>
    <row r="1341" spans="1:31" x14ac:dyDescent="0.2">
      <c r="A1341" t="str">
        <f t="shared" si="380"/>
        <v>https://shop.officineitalianezard.it/en/scrambler-ducati-desert-sled-exhaust-zard/</v>
      </c>
      <c r="B1341" t="b">
        <f>COUNTIF($A$2:$A1341, A1341)&gt;1</f>
        <v>1</v>
      </c>
      <c r="C1341" t="b">
        <f t="shared" si="381"/>
        <v>0</v>
      </c>
      <c r="D1341">
        <f>VLOOKUP(A1341,variant_counts!A:B, 2, FALSE)</f>
        <v>4</v>
      </c>
      <c r="E1341" t="str">
        <f t="shared" si="394"/>
        <v>zard-exhaust-zuma-silencer-ducati-scrambler-800-desert-sled-version-zd794ssr</v>
      </c>
      <c r="F1341" t="str">
        <f t="shared" si="382"/>
        <v>ZARD EXHAUST ZUMA SILENCER DUCATI SCRAMBLER 800 DESERT SLED VERSION ZD794SSR</v>
      </c>
      <c r="G1341" t="str">
        <f t="shared" si="383"/>
        <v/>
      </c>
      <c r="H1341" t="str">
        <f t="shared" si="395"/>
        <v/>
      </c>
      <c r="I1341" t="str">
        <f t="shared" si="396"/>
        <v/>
      </c>
      <c r="J1341" t="str">
        <f t="shared" si="397"/>
        <v/>
      </c>
      <c r="K1341" t="str">
        <f t="shared" si="398"/>
        <v/>
      </c>
      <c r="L1341" t="str">
        <f t="shared" si="384"/>
        <v/>
      </c>
      <c r="M1341" t="str">
        <f t="shared" si="385"/>
        <v/>
      </c>
      <c r="R1341" t="str">
        <f t="shared" si="386"/>
        <v/>
      </c>
      <c r="S1341" t="str">
        <f t="shared" si="387"/>
        <v/>
      </c>
      <c r="U1341" t="str">
        <f t="shared" si="388"/>
        <v/>
      </c>
      <c r="V1341" t="str">
        <f t="shared" si="389"/>
        <v/>
      </c>
      <c r="W1341" s="5" t="str">
        <f t="shared" si="390"/>
        <v/>
      </c>
      <c r="Y1341" t="str">
        <f t="shared" si="391"/>
        <v/>
      </c>
      <c r="Z1341" t="str">
        <f t="shared" si="392"/>
        <v/>
      </c>
      <c r="AB1341" t="str">
        <f t="shared" si="393"/>
        <v>https://shop.officineitalianezard.it/contents/imgs/products/1_2069-scarico%20scrambler%20desert%20sled%20-%20zard%202.jpg</v>
      </c>
      <c r="AE1341" t="b">
        <v>0</v>
      </c>
    </row>
    <row r="1342" spans="1:31" x14ac:dyDescent="0.2">
      <c r="A1342" t="str">
        <f t="shared" si="380"/>
        <v>https://shop.officineitalianezard.it/en/scrambler-ducati-desert-sled-exhaust-zard/</v>
      </c>
      <c r="B1342" t="b">
        <f>COUNTIF($A$2:$A1342, A1342)&gt;1</f>
        <v>1</v>
      </c>
      <c r="C1342" t="b">
        <f t="shared" si="381"/>
        <v>0</v>
      </c>
      <c r="D1342">
        <f>VLOOKUP(A1342,variant_counts!A:B, 2, FALSE)</f>
        <v>4</v>
      </c>
      <c r="E1342" t="str">
        <f t="shared" si="394"/>
        <v>zard-exhaust-zuma-silencer-ducati-scrambler-800-desert-sled-version-zd794ssr</v>
      </c>
      <c r="F1342" t="str">
        <f t="shared" si="382"/>
        <v>ZARD EXHAUST ZUMA SILENCER DUCATI SCRAMBLER 800 DESERT SLED VERSION ZD794SSR</v>
      </c>
      <c r="G1342" t="str">
        <f t="shared" si="383"/>
        <v/>
      </c>
      <c r="H1342" t="str">
        <f t="shared" si="395"/>
        <v/>
      </c>
      <c r="I1342" t="str">
        <f t="shared" si="396"/>
        <v/>
      </c>
      <c r="J1342" t="str">
        <f t="shared" si="397"/>
        <v/>
      </c>
      <c r="K1342" t="str">
        <f t="shared" si="398"/>
        <v/>
      </c>
      <c r="L1342" t="str">
        <f t="shared" si="384"/>
        <v/>
      </c>
      <c r="M1342" t="str">
        <f t="shared" si="385"/>
        <v/>
      </c>
      <c r="R1342" t="str">
        <f t="shared" si="386"/>
        <v/>
      </c>
      <c r="S1342" t="str">
        <f t="shared" si="387"/>
        <v/>
      </c>
      <c r="U1342" t="str">
        <f t="shared" si="388"/>
        <v/>
      </c>
      <c r="V1342" t="str">
        <f t="shared" si="389"/>
        <v/>
      </c>
      <c r="W1342" s="5" t="str">
        <f t="shared" si="390"/>
        <v/>
      </c>
      <c r="Y1342" t="str">
        <f t="shared" si="391"/>
        <v/>
      </c>
      <c r="Z1342" t="str">
        <f t="shared" si="392"/>
        <v/>
      </c>
      <c r="AB1342" t="str">
        <f t="shared" si="393"/>
        <v>https://shop.officineitalianezard.it/contents/imgs/products/1_2067-scarico%20scrambler%20desert%20sled%20-%20zard%203.jpg</v>
      </c>
      <c r="AE1342" t="b">
        <v>0</v>
      </c>
    </row>
    <row r="1343" spans="1:31" x14ac:dyDescent="0.2">
      <c r="A1343" t="str">
        <f t="shared" si="380"/>
        <v>https://shop.officineitalianezard.it/en/scrambler-ducati-desert-sled-exhaust-zard/</v>
      </c>
      <c r="B1343" t="b">
        <f>COUNTIF($A$2:$A1343, A1343)&gt;1</f>
        <v>1</v>
      </c>
      <c r="C1343" t="b">
        <f t="shared" si="381"/>
        <v>0</v>
      </c>
      <c r="D1343">
        <f>VLOOKUP(A1343,variant_counts!A:B, 2, FALSE)</f>
        <v>4</v>
      </c>
      <c r="E1343" t="str">
        <f t="shared" si="394"/>
        <v>zard-exhaust-zuma-silencer-ducati-scrambler-800-desert-sled-version-zd794ssr</v>
      </c>
      <c r="F1343" t="str">
        <f t="shared" si="382"/>
        <v>ZARD EXHAUST ZUMA SILENCER DUCATI SCRAMBLER 800 DESERT SLED VERSION ZD794SSR</v>
      </c>
      <c r="G1343" t="str">
        <f t="shared" si="383"/>
        <v/>
      </c>
      <c r="H1343" t="str">
        <f t="shared" si="395"/>
        <v/>
      </c>
      <c r="I1343" t="str">
        <f t="shared" si="396"/>
        <v/>
      </c>
      <c r="J1343" t="str">
        <f t="shared" si="397"/>
        <v/>
      </c>
      <c r="K1343" t="str">
        <f t="shared" si="398"/>
        <v/>
      </c>
      <c r="L1343" t="str">
        <f t="shared" si="384"/>
        <v/>
      </c>
      <c r="M1343" t="str">
        <f t="shared" si="385"/>
        <v/>
      </c>
      <c r="R1343" t="str">
        <f t="shared" si="386"/>
        <v/>
      </c>
      <c r="S1343" t="str">
        <f t="shared" si="387"/>
        <v/>
      </c>
      <c r="U1343" t="str">
        <f t="shared" si="388"/>
        <v/>
      </c>
      <c r="V1343" t="str">
        <f t="shared" si="389"/>
        <v/>
      </c>
      <c r="W1343" s="5" t="str">
        <f t="shared" si="390"/>
        <v/>
      </c>
      <c r="Y1343" t="str">
        <f t="shared" si="391"/>
        <v/>
      </c>
      <c r="Z1343" t="str">
        <f t="shared" si="392"/>
        <v/>
      </c>
      <c r="AB1343" t="str">
        <f t="shared" si="393"/>
        <v>https://shop.officineitalianezard.it/contents/imgs/products/1_2068-scarico%20scrambler%20desert%20sled%20-%20zard%204.jpg</v>
      </c>
      <c r="AE1343" t="b">
        <v>0</v>
      </c>
    </row>
    <row r="1344" spans="1:31" x14ac:dyDescent="0.2">
      <c r="A1344" t="str">
        <f t="shared" si="380"/>
        <v>https://shop.officineitalianezard.it/en/scrambler-ducati-desert-sled-exhaust-zard/</v>
      </c>
      <c r="B1344" t="b">
        <f>COUNTIF($A$2:$A1344, A1344)&gt;1</f>
        <v>1</v>
      </c>
      <c r="C1344" t="b">
        <f t="shared" si="381"/>
        <v>0</v>
      </c>
      <c r="D1344">
        <f>VLOOKUP(A1344,variant_counts!A:B, 2, FALSE)</f>
        <v>4</v>
      </c>
      <c r="E1344" t="str">
        <f t="shared" si="394"/>
        <v>zard-exhaust-zuma-silencer-ducati-scrambler-800-desert-sled-version-zd794ssr</v>
      </c>
      <c r="F1344" t="str">
        <f t="shared" si="382"/>
        <v>ZARD EXHAUST ZUMA SILENCER DUCATI SCRAMBLER 800 DESERT SLED VERSION ZD794SSR</v>
      </c>
      <c r="G1344" t="str">
        <f t="shared" si="383"/>
        <v/>
      </c>
      <c r="H1344" t="str">
        <f t="shared" si="395"/>
        <v/>
      </c>
      <c r="I1344" t="str">
        <f t="shared" si="396"/>
        <v/>
      </c>
      <c r="J1344" t="str">
        <f t="shared" si="397"/>
        <v/>
      </c>
      <c r="K1344" t="str">
        <f t="shared" si="398"/>
        <v/>
      </c>
      <c r="L1344" t="str">
        <f t="shared" si="384"/>
        <v/>
      </c>
      <c r="M1344" t="str">
        <f t="shared" si="385"/>
        <v/>
      </c>
      <c r="R1344" t="str">
        <f t="shared" si="386"/>
        <v/>
      </c>
      <c r="S1344" t="str">
        <f t="shared" si="387"/>
        <v/>
      </c>
      <c r="U1344" t="str">
        <f t="shared" si="388"/>
        <v/>
      </c>
      <c r="V1344" t="str">
        <f t="shared" si="389"/>
        <v/>
      </c>
      <c r="W1344" s="5" t="str">
        <f t="shared" si="390"/>
        <v/>
      </c>
      <c r="Y1344" t="str">
        <f t="shared" si="391"/>
        <v/>
      </c>
      <c r="Z1344" t="str">
        <f t="shared" si="392"/>
        <v/>
      </c>
      <c r="AB1344" t="str">
        <f t="shared" si="393"/>
        <v>https://shop.officineitalianezard.it/contents/imgs/products/1_2070-2014-scrambler%20ducati%20scarico%20zard%20zuma.jpg</v>
      </c>
      <c r="AE1344" t="b">
        <v>0</v>
      </c>
    </row>
    <row r="1345" spans="1:31" x14ac:dyDescent="0.2">
      <c r="A1345" t="str">
        <f t="shared" si="380"/>
        <v>https://shop.officineitalianezard.it/en/scrambler-ducati-desert-sled-exhaust-zard/</v>
      </c>
      <c r="B1345" t="b">
        <f>COUNTIF($A$2:$A1345, A1345)&gt;1</f>
        <v>1</v>
      </c>
      <c r="C1345" t="b">
        <f t="shared" si="381"/>
        <v>0</v>
      </c>
      <c r="D1345">
        <f>VLOOKUP(A1345,variant_counts!A:B, 2, FALSE)</f>
        <v>4</v>
      </c>
      <c r="E1345" t="str">
        <f t="shared" si="394"/>
        <v>zard-exhaust-zuma-silencer-ducati-scrambler-800-desert-sled-version-zd794ssr</v>
      </c>
      <c r="F1345" t="str">
        <f t="shared" si="382"/>
        <v>ZARD EXHAUST ZUMA SILENCER DUCATI SCRAMBLER 800 DESERT SLED VERSION ZD794SSR</v>
      </c>
      <c r="G1345" t="str">
        <f t="shared" si="383"/>
        <v/>
      </c>
      <c r="H1345" t="str">
        <f t="shared" si="395"/>
        <v/>
      </c>
      <c r="I1345" t="str">
        <f t="shared" si="396"/>
        <v/>
      </c>
      <c r="J1345" t="str">
        <f t="shared" si="397"/>
        <v/>
      </c>
      <c r="K1345" t="str">
        <f t="shared" si="398"/>
        <v/>
      </c>
      <c r="L1345" t="str">
        <f t="shared" si="384"/>
        <v/>
      </c>
      <c r="M1345" t="str">
        <f t="shared" si="385"/>
        <v/>
      </c>
      <c r="R1345" t="str">
        <f t="shared" si="386"/>
        <v/>
      </c>
      <c r="S1345" t="str">
        <f t="shared" si="387"/>
        <v/>
      </c>
      <c r="U1345" t="str">
        <f t="shared" si="388"/>
        <v/>
      </c>
      <c r="V1345" t="str">
        <f t="shared" si="389"/>
        <v/>
      </c>
      <c r="W1345" s="5" t="str">
        <f t="shared" si="390"/>
        <v/>
      </c>
      <c r="Y1345" t="str">
        <f t="shared" si="391"/>
        <v/>
      </c>
      <c r="Z1345" t="str">
        <f t="shared" si="392"/>
        <v/>
      </c>
      <c r="AB1345" t="str">
        <f t="shared" si="393"/>
        <v>https://shop.officineitalianezard.it/contents/imgs/products/1_2071-1298-zuma%20nero%20e%20spazzolato.jpg</v>
      </c>
      <c r="AE1345" t="b">
        <v>0</v>
      </c>
    </row>
    <row r="1346" spans="1:31" x14ac:dyDescent="0.2">
      <c r="A1346" t="str">
        <f t="shared" ref="A1346:A1409" si="399">source_product_link_href</f>
        <v>https://shop.officineitalianezard.it/en/scrambler-ducati-desert-sled-exhaust-zard/</v>
      </c>
      <c r="B1346" t="b">
        <f>COUNTIF($A$2:$A1346, A1346)&gt;1</f>
        <v>1</v>
      </c>
      <c r="C1346" t="b">
        <f t="shared" ref="C1346:C1409" si="400">NOT(ISBLANK(source_option_name))</f>
        <v>1</v>
      </c>
      <c r="D1346">
        <f>VLOOKUP(A1346,variant_counts!A:B, 2, FALSE)</f>
        <v>4</v>
      </c>
      <c r="E1346" t="str">
        <f t="shared" si="394"/>
        <v>zard-exhaust-zuma-silencer-ducati-scrambler-800-desert-sled-version-zd794ssr</v>
      </c>
      <c r="F1346" t="str">
        <f t="shared" ref="F1346:F1409" si="401">UPPER("ZARD EXHAUST " &amp; source_title &amp; " " &amp; source_brand &amp; " " &amp; source_bike &amp; " " &amp; source_product_link &amp; " " &amp; source_sku)</f>
        <v>ZARD EXHAUST ZUMA SILENCER DUCATI SCRAMBLER 800 DESERT SLED VERSION ZD794SSR</v>
      </c>
      <c r="G1346" t="str">
        <f t="shared" ref="G1346:G1409" si="402">IF($B1346=FALSE, source_description, "")</f>
        <v/>
      </c>
      <c r="H1346" t="str">
        <f t="shared" si="395"/>
        <v/>
      </c>
      <c r="I1346" t="str">
        <f t="shared" si="396"/>
        <v/>
      </c>
      <c r="J1346" t="str">
        <f t="shared" si="397"/>
        <v/>
      </c>
      <c r="K1346" t="str">
        <f t="shared" si="398"/>
        <v/>
      </c>
      <c r="L1346" t="str">
        <f t="shared" ref="L1346:L1409" si="403">IF(AND(variant_count=0,duplicated=FALSE),"Title",IF(OR(AND(variant_count=1,duplicated=FALSE), source_option_name&lt;&gt;""), "Option", ""))</f>
        <v>Option</v>
      </c>
      <c r="M1346" t="str">
        <f t="shared" ref="M1346:M1409" si="404">IF(option1_name="Title", "Default Title", IF(AND(option1_name="Option",ISBLANK(source_option_name)),"DEFAULT",IF(ISBLANK(source_option_name), "", source_option_name)))</f>
        <v>EURO 4 HOMOLOGATED</v>
      </c>
      <c r="R1346" t="str">
        <f t="shared" ref="R1346:R1409" si="405">IF(option1_name &lt;&gt; "", source_sku, "")</f>
        <v>ZD794SSR</v>
      </c>
      <c r="S1346">
        <f t="shared" ref="S1346:S1409" si="406">IF(option1_name &lt;&gt; "", 0, "")</f>
        <v>0</v>
      </c>
      <c r="U1346" t="str">
        <f t="shared" ref="U1346:U1409" si="407">IF(option1_name &lt;&gt; "", "continue", "")</f>
        <v>continue</v>
      </c>
      <c r="V1346" t="str">
        <f t="shared" ref="V1346:V1409" si="408">IF(option1_name &lt;&gt; "", "manual", "")</f>
        <v>manual</v>
      </c>
      <c r="W1346" s="5">
        <f t="shared" ref="W1346:W1409" si="409">IF(option1_name&lt;&gt;"",(source_price_original+source_option_price)*eur_usd,"")</f>
        <v>779.27550000000019</v>
      </c>
      <c r="Y1346" t="b">
        <f t="shared" ref="Y1346:Y1409" si="410">IF(option1_name&lt;&gt;"",TRUE,"")</f>
        <v>1</v>
      </c>
      <c r="Z1346" t="b">
        <f t="shared" ref="Z1346:Z1409" si="411">IF(option1_name&lt;&gt;"",FALSE,"")</f>
        <v>0</v>
      </c>
      <c r="AB1346" t="str">
        <f t="shared" ref="AB1346:AB1409" si="412">IF(ISBLANK(source_image), "", source_image)</f>
        <v/>
      </c>
      <c r="AE1346" t="b">
        <v>0</v>
      </c>
    </row>
    <row r="1347" spans="1:31" x14ac:dyDescent="0.2">
      <c r="A1347" t="str">
        <f t="shared" si="399"/>
        <v>https://shop.officineitalianezard.it/en/scrambler-ducati-desert-sled-exhaust-zard/</v>
      </c>
      <c r="B1347" t="b">
        <f>COUNTIF($A$2:$A1347, A1347)&gt;1</f>
        <v>1</v>
      </c>
      <c r="C1347" t="b">
        <f t="shared" si="400"/>
        <v>1</v>
      </c>
      <c r="D1347">
        <f>VLOOKUP(A1347,variant_counts!A:B, 2, FALSE)</f>
        <v>4</v>
      </c>
      <c r="E1347" t="str">
        <f t="shared" ref="E1347:E1410" si="413">FormatShopifyHandle(F1347)</f>
        <v>zard-exhaust-zuma-silencer-ducati-scrambler-800-desert-sled-version-zd794ssr</v>
      </c>
      <c r="F1347" t="str">
        <f t="shared" si="401"/>
        <v>ZARD EXHAUST ZUMA SILENCER DUCATI SCRAMBLER 800 DESERT SLED VERSION ZD794SSR</v>
      </c>
      <c r="G1347" t="str">
        <f t="shared" si="402"/>
        <v/>
      </c>
      <c r="H1347" t="str">
        <f t="shared" ref="H1347:H1410" si="414">IF($B1347=FALSE, "ZARD", "")</f>
        <v/>
      </c>
      <c r="I1347" t="str">
        <f t="shared" ref="I1347:I1410" si="415">IF($B1347=FALSE, "Exhaust Pipe", "")</f>
        <v/>
      </c>
      <c r="J1347" t="str">
        <f t="shared" ref="J1347:J1410" si="416">IF($B1347=FALSE, "Test", "")</f>
        <v/>
      </c>
      <c r="K1347" t="str">
        <f t="shared" ref="K1347:K1410" si="417">IF($B1347=FALSE, FALSE, "")</f>
        <v/>
      </c>
      <c r="L1347" t="str">
        <f t="shared" si="403"/>
        <v>Option</v>
      </c>
      <c r="M1347" t="str">
        <f t="shared" si="404"/>
        <v>BLACK CERAMIC COATING</v>
      </c>
      <c r="R1347" t="str">
        <f t="shared" si="405"/>
        <v>ZD794SSR</v>
      </c>
      <c r="S1347">
        <f t="shared" si="406"/>
        <v>0</v>
      </c>
      <c r="U1347" t="str">
        <f t="shared" si="407"/>
        <v>continue</v>
      </c>
      <c r="V1347" t="str">
        <f t="shared" si="408"/>
        <v>manual</v>
      </c>
      <c r="W1347" s="5">
        <f t="shared" si="409"/>
        <v>771.08370000000014</v>
      </c>
      <c r="Y1347" t="b">
        <f t="shared" si="410"/>
        <v>1</v>
      </c>
      <c r="Z1347" t="b">
        <f t="shared" si="411"/>
        <v>0</v>
      </c>
      <c r="AB1347" t="str">
        <f t="shared" si="412"/>
        <v/>
      </c>
      <c r="AE1347" t="b">
        <v>0</v>
      </c>
    </row>
    <row r="1348" spans="1:31" x14ac:dyDescent="0.2">
      <c r="A1348" t="str">
        <f t="shared" si="399"/>
        <v>https://shop.officineitalianezard.it/en/scrambler-ducati-desert-sled-exhaust-zard/</v>
      </c>
      <c r="B1348" t="b">
        <f>COUNTIF($A$2:$A1348, A1348)&gt;1</f>
        <v>1</v>
      </c>
      <c r="C1348" t="b">
        <f t="shared" si="400"/>
        <v>1</v>
      </c>
      <c r="D1348">
        <f>VLOOKUP(A1348,variant_counts!A:B, 2, FALSE)</f>
        <v>4</v>
      </c>
      <c r="E1348" t="str">
        <f t="shared" si="413"/>
        <v>zard-exhaust-zuma-silencer-ducati-scrambler-800-desert-sled-version-zd794ssr</v>
      </c>
      <c r="F1348" t="str">
        <f t="shared" si="401"/>
        <v>ZARD EXHAUST ZUMA SILENCER DUCATI SCRAMBLER 800 DESERT SLED VERSION ZD794SSR</v>
      </c>
      <c r="G1348" t="str">
        <f t="shared" si="402"/>
        <v/>
      </c>
      <c r="H1348" t="str">
        <f t="shared" si="414"/>
        <v/>
      </c>
      <c r="I1348" t="str">
        <f t="shared" si="415"/>
        <v/>
      </c>
      <c r="J1348" t="str">
        <f t="shared" si="416"/>
        <v/>
      </c>
      <c r="K1348" t="str">
        <f t="shared" si="417"/>
        <v/>
      </c>
      <c r="L1348" t="str">
        <f t="shared" si="403"/>
        <v>Option</v>
      </c>
      <c r="M1348" t="str">
        <f t="shared" si="404"/>
        <v>STEEL LOGO PLATE AND END CAP</v>
      </c>
      <c r="R1348" t="str">
        <f t="shared" si="405"/>
        <v>ZD794SSR</v>
      </c>
      <c r="S1348">
        <f t="shared" si="406"/>
        <v>0</v>
      </c>
      <c r="U1348" t="str">
        <f t="shared" si="407"/>
        <v>continue</v>
      </c>
      <c r="V1348" t="str">
        <f t="shared" si="408"/>
        <v>manual</v>
      </c>
      <c r="W1348" s="5">
        <f t="shared" si="409"/>
        <v>710.48880000000008</v>
      </c>
      <c r="Y1348" t="b">
        <f t="shared" si="410"/>
        <v>1</v>
      </c>
      <c r="Z1348" t="b">
        <f t="shared" si="411"/>
        <v>0</v>
      </c>
      <c r="AB1348" t="str">
        <f t="shared" si="412"/>
        <v/>
      </c>
      <c r="AE1348" t="b">
        <v>0</v>
      </c>
    </row>
    <row r="1349" spans="1:31" x14ac:dyDescent="0.2">
      <c r="A1349" t="str">
        <f t="shared" si="399"/>
        <v>https://shop.officineitalianezard.it/en/scrambler-ducati-desert-sled-exhaust-zard/</v>
      </c>
      <c r="B1349" t="b">
        <f>COUNTIF($A$2:$A1349, A1349)&gt;1</f>
        <v>1</v>
      </c>
      <c r="C1349" t="b">
        <f t="shared" si="400"/>
        <v>1</v>
      </c>
      <c r="D1349">
        <f>VLOOKUP(A1349,variant_counts!A:B, 2, FALSE)</f>
        <v>4</v>
      </c>
      <c r="E1349" t="str">
        <f t="shared" si="413"/>
        <v>zard-exhaust-zuma-silencer-ducati-scrambler-800-desert-sled-version-zd794ssr</v>
      </c>
      <c r="F1349" t="str">
        <f t="shared" si="401"/>
        <v>ZARD EXHAUST ZUMA SILENCER DUCATI SCRAMBLER 800 DESERT SLED VERSION ZD794SSR</v>
      </c>
      <c r="G1349" t="str">
        <f t="shared" si="402"/>
        <v/>
      </c>
      <c r="H1349" t="str">
        <f t="shared" si="414"/>
        <v/>
      </c>
      <c r="I1349" t="str">
        <f t="shared" si="415"/>
        <v/>
      </c>
      <c r="J1349" t="str">
        <f t="shared" si="416"/>
        <v/>
      </c>
      <c r="K1349" t="str">
        <f t="shared" si="417"/>
        <v/>
      </c>
      <c r="L1349" t="str">
        <f t="shared" si="403"/>
        <v>Option</v>
      </c>
      <c r="M1349" t="str">
        <f t="shared" si="404"/>
        <v>BLACK END CAP AND LOGO PLATE</v>
      </c>
      <c r="R1349" t="str">
        <f t="shared" si="405"/>
        <v>ZD794SSR</v>
      </c>
      <c r="S1349">
        <f t="shared" si="406"/>
        <v>0</v>
      </c>
      <c r="U1349" t="str">
        <f t="shared" si="407"/>
        <v>continue</v>
      </c>
      <c r="V1349" t="str">
        <f t="shared" si="408"/>
        <v>manual</v>
      </c>
      <c r="W1349" s="5">
        <f t="shared" si="409"/>
        <v>753.88980000000015</v>
      </c>
      <c r="Y1349" t="b">
        <f t="shared" si="410"/>
        <v>1</v>
      </c>
      <c r="Z1349" t="b">
        <f t="shared" si="411"/>
        <v>0</v>
      </c>
      <c r="AB1349" t="str">
        <f t="shared" si="412"/>
        <v/>
      </c>
      <c r="AE1349" t="b">
        <v>0</v>
      </c>
    </row>
    <row r="1350" spans="1:31" x14ac:dyDescent="0.2">
      <c r="A1350" t="str">
        <f t="shared" si="399"/>
        <v>https://shop.officineitalianezard.it/en/products/index/scrambler-ducati-desert-sled-exhaust-zard-7834-154/</v>
      </c>
      <c r="B1350" t="b">
        <f>COUNTIF($A$2:$A1350, A1350)&gt;1</f>
        <v>0</v>
      </c>
      <c r="C1350" t="b">
        <f t="shared" si="400"/>
        <v>0</v>
      </c>
      <c r="D1350">
        <f>VLOOKUP(A1350,variant_counts!A:B, 2, FALSE)</f>
        <v>3</v>
      </c>
      <c r="E1350" t="str">
        <f t="shared" si="413"/>
        <v>zard-exhaust-special-edition-silencer-ducati-scrambler-800-desert-sled-version-zd795ssr</v>
      </c>
      <c r="F1350" t="str">
        <f t="shared" si="401"/>
        <v>ZARD EXHAUST SPECIAL EDITION SILENCER DUCATI SCRAMBLER 800 DESERT SLED VERSION ZD795SSR</v>
      </c>
      <c r="G1350" t="str">
        <f t="shared" si="402"/>
        <v>&lt;p&gt;STEEL RACING SILENCER WITH REMOVABLE DB KILLERS&lt;/p&gt;
&lt;p&gt;ORIGINAL SILENCER WEIGHT: 6 KG&lt;br&gt;ZARD SILENCER WEIGHT: 2.5 KG&amp;nbsp;&lt;/p&gt;
&lt;p&gt;BLACK AND SILVER WIRE MESH&amp;nbsp;IS SUPPLIED WITH HEAT SHIELD OF BLACK&lt;br&gt;CERAMIC COATING VERSION.&amp;nbsp;&lt;span&gt;HOMOLOGATED-CATALYZED VERSION AVAILABLE AS OPTIONAL&lt;/span&gt;&lt;/p&gt;
&lt;p&gt;&lt;span&gt;ASTONISHING SOUND,&amp;nbsp;EXCLUSIVE DESIGN.&lt;/span&gt;&lt;/p&gt;
&lt;p&gt;N.B IMAGES SHOW STEEL SATIN SILENCER VERSION&lt;/p&gt;
&lt;p&gt;&lt;span&gt;THE INSTALLATION OF ZARD EXHAUST DOES NOT IMPLY ANY MODIFICATION TO ECU.&lt;/span&gt;&lt;br&gt;&lt;span&gt;THE BOX INCLUDES ALL PARTS FOR THE FITMENT OF ZARD EXHAUST.&lt;/span&gt;&lt;/p&gt;
&lt;p&gt;&lt;strong&gt;&lt;/strong&gt;NOTE: DELIVERY IN 4 WEEKS FROM DATA ORDER&lt;/p&gt;
&lt;p&gt;&lt;/p&gt;
&lt;p&gt;&lt;/p&gt;</v>
      </c>
      <c r="H1350" t="str">
        <f t="shared" si="414"/>
        <v>ZARD</v>
      </c>
      <c r="I1350" t="str">
        <f t="shared" si="415"/>
        <v>Exhaust Pipe</v>
      </c>
      <c r="J1350" t="str">
        <f t="shared" si="416"/>
        <v>Test</v>
      </c>
      <c r="K1350" t="b">
        <f t="shared" si="417"/>
        <v>0</v>
      </c>
      <c r="L1350" t="str">
        <f t="shared" si="403"/>
        <v/>
      </c>
      <c r="M1350" t="str">
        <f t="shared" si="404"/>
        <v/>
      </c>
      <c r="R1350" t="str">
        <f t="shared" si="405"/>
        <v/>
      </c>
      <c r="S1350" t="str">
        <f t="shared" si="406"/>
        <v/>
      </c>
      <c r="U1350" t="str">
        <f t="shared" si="407"/>
        <v/>
      </c>
      <c r="V1350" t="str">
        <f t="shared" si="408"/>
        <v/>
      </c>
      <c r="W1350" s="5" t="str">
        <f t="shared" si="409"/>
        <v/>
      </c>
      <c r="Y1350" t="str">
        <f t="shared" si="410"/>
        <v/>
      </c>
      <c r="Z1350" t="str">
        <f t="shared" si="411"/>
        <v/>
      </c>
      <c r="AB1350" t="str">
        <f t="shared" si="412"/>
        <v>https://shop.officineitalianezard.it/contents/imgs/products/1_2080-scrambler%20ducati%20desert%20sled%20scarichi%20-%20zard%201.jpg</v>
      </c>
      <c r="AE1350" t="b">
        <v>0</v>
      </c>
    </row>
    <row r="1351" spans="1:31" x14ac:dyDescent="0.2">
      <c r="A1351" t="str">
        <f t="shared" si="399"/>
        <v>https://shop.officineitalianezard.it/en/products/index/scrambler-ducati-desert-sled-exhaust-zard-7834-154/</v>
      </c>
      <c r="B1351" t="b">
        <f>COUNTIF($A$2:$A1351, A1351)&gt;1</f>
        <v>1</v>
      </c>
      <c r="C1351" t="b">
        <f t="shared" si="400"/>
        <v>0</v>
      </c>
      <c r="D1351">
        <f>VLOOKUP(A1351,variant_counts!A:B, 2, FALSE)</f>
        <v>3</v>
      </c>
      <c r="E1351" t="str">
        <f t="shared" si="413"/>
        <v>zard-exhaust-special-edition-silencer-ducati-scrambler-800-desert-sled-version-zd795ssr</v>
      </c>
      <c r="F1351" t="str">
        <f t="shared" si="401"/>
        <v>ZARD EXHAUST SPECIAL EDITION SILENCER DUCATI SCRAMBLER 800 DESERT SLED VERSION ZD795SSR</v>
      </c>
      <c r="G1351" t="str">
        <f t="shared" si="402"/>
        <v/>
      </c>
      <c r="H1351" t="str">
        <f t="shared" si="414"/>
        <v/>
      </c>
      <c r="I1351" t="str">
        <f t="shared" si="415"/>
        <v/>
      </c>
      <c r="J1351" t="str">
        <f t="shared" si="416"/>
        <v/>
      </c>
      <c r="K1351" t="str">
        <f t="shared" si="417"/>
        <v/>
      </c>
      <c r="L1351" t="str">
        <f t="shared" si="403"/>
        <v/>
      </c>
      <c r="M1351" t="str">
        <f t="shared" si="404"/>
        <v/>
      </c>
      <c r="R1351" t="str">
        <f t="shared" si="405"/>
        <v/>
      </c>
      <c r="S1351" t="str">
        <f t="shared" si="406"/>
        <v/>
      </c>
      <c r="U1351" t="str">
        <f t="shared" si="407"/>
        <v/>
      </c>
      <c r="V1351" t="str">
        <f t="shared" si="408"/>
        <v/>
      </c>
      <c r="W1351" s="5" t="str">
        <f t="shared" si="409"/>
        <v/>
      </c>
      <c r="Y1351" t="str">
        <f t="shared" si="410"/>
        <v/>
      </c>
      <c r="Z1351" t="str">
        <f t="shared" si="411"/>
        <v/>
      </c>
      <c r="AB1351" t="str">
        <f t="shared" si="412"/>
        <v>https://shop.officineitalianezard.it/contents/imgs/products/1_2083-scrambler%20ducati%20desert%20sled%20scarichi%20-%20zard%202.jpg</v>
      </c>
      <c r="AE1351" t="b">
        <v>0</v>
      </c>
    </row>
    <row r="1352" spans="1:31" x14ac:dyDescent="0.2">
      <c r="A1352" t="str">
        <f t="shared" si="399"/>
        <v>https://shop.officineitalianezard.it/en/products/index/scrambler-ducati-desert-sled-exhaust-zard-7834-154/</v>
      </c>
      <c r="B1352" t="b">
        <f>COUNTIF($A$2:$A1352, A1352)&gt;1</f>
        <v>1</v>
      </c>
      <c r="C1352" t="b">
        <f t="shared" si="400"/>
        <v>0</v>
      </c>
      <c r="D1352">
        <f>VLOOKUP(A1352,variant_counts!A:B, 2, FALSE)</f>
        <v>3</v>
      </c>
      <c r="E1352" t="str">
        <f t="shared" si="413"/>
        <v>zard-exhaust-special-edition-silencer-ducati-scrambler-800-desert-sled-version-zd795ssr</v>
      </c>
      <c r="F1352" t="str">
        <f t="shared" si="401"/>
        <v>ZARD EXHAUST SPECIAL EDITION SILENCER DUCATI SCRAMBLER 800 DESERT SLED VERSION ZD795SSR</v>
      </c>
      <c r="G1352" t="str">
        <f t="shared" si="402"/>
        <v/>
      </c>
      <c r="H1352" t="str">
        <f t="shared" si="414"/>
        <v/>
      </c>
      <c r="I1352" t="str">
        <f t="shared" si="415"/>
        <v/>
      </c>
      <c r="J1352" t="str">
        <f t="shared" si="416"/>
        <v/>
      </c>
      <c r="K1352" t="str">
        <f t="shared" si="417"/>
        <v/>
      </c>
      <c r="L1352" t="str">
        <f t="shared" si="403"/>
        <v/>
      </c>
      <c r="M1352" t="str">
        <f t="shared" si="404"/>
        <v/>
      </c>
      <c r="R1352" t="str">
        <f t="shared" si="405"/>
        <v/>
      </c>
      <c r="S1352" t="str">
        <f t="shared" si="406"/>
        <v/>
      </c>
      <c r="U1352" t="str">
        <f t="shared" si="407"/>
        <v/>
      </c>
      <c r="V1352" t="str">
        <f t="shared" si="408"/>
        <v/>
      </c>
      <c r="W1352" s="5" t="str">
        <f t="shared" si="409"/>
        <v/>
      </c>
      <c r="Y1352" t="str">
        <f t="shared" si="410"/>
        <v/>
      </c>
      <c r="Z1352" t="str">
        <f t="shared" si="411"/>
        <v/>
      </c>
      <c r="AB1352" t="str">
        <f t="shared" si="412"/>
        <v>https://shop.officineitalianezard.it/contents/imgs/products/1_2081-scrambler%20ducati%20desert%20sled%20scarichi%20-%20zard%203.jpg</v>
      </c>
      <c r="AE1352" t="b">
        <v>0</v>
      </c>
    </row>
    <row r="1353" spans="1:31" x14ac:dyDescent="0.2">
      <c r="A1353" t="str">
        <f t="shared" si="399"/>
        <v>https://shop.officineitalianezard.it/en/products/index/scrambler-ducati-desert-sled-exhaust-zard-7834-154/</v>
      </c>
      <c r="B1353" t="b">
        <f>COUNTIF($A$2:$A1353, A1353)&gt;1</f>
        <v>1</v>
      </c>
      <c r="C1353" t="b">
        <f t="shared" si="400"/>
        <v>0</v>
      </c>
      <c r="D1353">
        <f>VLOOKUP(A1353,variant_counts!A:B, 2, FALSE)</f>
        <v>3</v>
      </c>
      <c r="E1353" t="str">
        <f t="shared" si="413"/>
        <v>zard-exhaust-special-edition-silencer-ducati-scrambler-800-desert-sled-version-zd795ssr</v>
      </c>
      <c r="F1353" t="str">
        <f t="shared" si="401"/>
        <v>ZARD EXHAUST SPECIAL EDITION SILENCER DUCATI SCRAMBLER 800 DESERT SLED VERSION ZD795SSR</v>
      </c>
      <c r="G1353" t="str">
        <f t="shared" si="402"/>
        <v/>
      </c>
      <c r="H1353" t="str">
        <f t="shared" si="414"/>
        <v/>
      </c>
      <c r="I1353" t="str">
        <f t="shared" si="415"/>
        <v/>
      </c>
      <c r="J1353" t="str">
        <f t="shared" si="416"/>
        <v/>
      </c>
      <c r="K1353" t="str">
        <f t="shared" si="417"/>
        <v/>
      </c>
      <c r="L1353" t="str">
        <f t="shared" si="403"/>
        <v/>
      </c>
      <c r="M1353" t="str">
        <f t="shared" si="404"/>
        <v/>
      </c>
      <c r="R1353" t="str">
        <f t="shared" si="405"/>
        <v/>
      </c>
      <c r="S1353" t="str">
        <f t="shared" si="406"/>
        <v/>
      </c>
      <c r="U1353" t="str">
        <f t="shared" si="407"/>
        <v/>
      </c>
      <c r="V1353" t="str">
        <f t="shared" si="408"/>
        <v/>
      </c>
      <c r="W1353" s="5" t="str">
        <f t="shared" si="409"/>
        <v/>
      </c>
      <c r="Y1353" t="str">
        <f t="shared" si="410"/>
        <v/>
      </c>
      <c r="Z1353" t="str">
        <f t="shared" si="411"/>
        <v/>
      </c>
      <c r="AB1353" t="str">
        <f t="shared" si="412"/>
        <v>https://shop.officineitalianezard.it/contents/imgs/products/1_2082-scrambler%20ducati%20desert%20sled%20scarichi%20-%20zard%204.jpg</v>
      </c>
      <c r="AE1353" t="b">
        <v>0</v>
      </c>
    </row>
    <row r="1354" spans="1:31" x14ac:dyDescent="0.2">
      <c r="A1354" t="str">
        <f t="shared" si="399"/>
        <v>https://shop.officineitalianezard.it/en/products/index/scrambler-ducati-desert-sled-exhaust-zard-7834-154/</v>
      </c>
      <c r="B1354" t="b">
        <f>COUNTIF($A$2:$A1354, A1354)&gt;1</f>
        <v>1</v>
      </c>
      <c r="C1354" t="b">
        <f t="shared" si="400"/>
        <v>0</v>
      </c>
      <c r="D1354">
        <f>VLOOKUP(A1354,variant_counts!A:B, 2, FALSE)</f>
        <v>3</v>
      </c>
      <c r="E1354" t="str">
        <f t="shared" si="413"/>
        <v>zard-exhaust-special-edition-silencer-ducati-scrambler-800-desert-sled-version-zd795ssr</v>
      </c>
      <c r="F1354" t="str">
        <f t="shared" si="401"/>
        <v>ZARD EXHAUST SPECIAL EDITION SILENCER DUCATI SCRAMBLER 800 DESERT SLED VERSION ZD795SSR</v>
      </c>
      <c r="G1354" t="str">
        <f t="shared" si="402"/>
        <v/>
      </c>
      <c r="H1354" t="str">
        <f t="shared" si="414"/>
        <v/>
      </c>
      <c r="I1354" t="str">
        <f t="shared" si="415"/>
        <v/>
      </c>
      <c r="J1354" t="str">
        <f t="shared" si="416"/>
        <v/>
      </c>
      <c r="K1354" t="str">
        <f t="shared" si="417"/>
        <v/>
      </c>
      <c r="L1354" t="str">
        <f t="shared" si="403"/>
        <v/>
      </c>
      <c r="M1354" t="str">
        <f t="shared" si="404"/>
        <v/>
      </c>
      <c r="R1354" t="str">
        <f t="shared" si="405"/>
        <v/>
      </c>
      <c r="S1354" t="str">
        <f t="shared" si="406"/>
        <v/>
      </c>
      <c r="U1354" t="str">
        <f t="shared" si="407"/>
        <v/>
      </c>
      <c r="V1354" t="str">
        <f t="shared" si="408"/>
        <v/>
      </c>
      <c r="W1354" s="5" t="str">
        <f t="shared" si="409"/>
        <v/>
      </c>
      <c r="Y1354" t="str">
        <f t="shared" si="410"/>
        <v/>
      </c>
      <c r="Z1354" t="str">
        <f t="shared" si="411"/>
        <v/>
      </c>
      <c r="AB1354" t="str">
        <f t="shared" si="412"/>
        <v>https://shop.officineitalianezard.it/contents/imgs/products/1_2077-1067-scarico%20scrambler%20zard2.jpg</v>
      </c>
      <c r="AE1354" t="b">
        <v>0</v>
      </c>
    </row>
    <row r="1355" spans="1:31" x14ac:dyDescent="0.2">
      <c r="A1355" t="str">
        <f t="shared" si="399"/>
        <v>https://shop.officineitalianezard.it/en/products/index/scrambler-ducati-desert-sled-exhaust-zard-7834-154/</v>
      </c>
      <c r="B1355" t="b">
        <f>COUNTIF($A$2:$A1355, A1355)&gt;1</f>
        <v>1</v>
      </c>
      <c r="C1355" t="b">
        <f t="shared" si="400"/>
        <v>0</v>
      </c>
      <c r="D1355">
        <f>VLOOKUP(A1355,variant_counts!A:B, 2, FALSE)</f>
        <v>3</v>
      </c>
      <c r="E1355" t="str">
        <f t="shared" si="413"/>
        <v>zard-exhaust-special-edition-silencer-ducati-scrambler-800-desert-sled-version-zd795ssr</v>
      </c>
      <c r="F1355" t="str">
        <f t="shared" si="401"/>
        <v>ZARD EXHAUST SPECIAL EDITION SILENCER DUCATI SCRAMBLER 800 DESERT SLED VERSION ZD795SSR</v>
      </c>
      <c r="G1355" t="str">
        <f t="shared" si="402"/>
        <v/>
      </c>
      <c r="H1355" t="str">
        <f t="shared" si="414"/>
        <v/>
      </c>
      <c r="I1355" t="str">
        <f t="shared" si="415"/>
        <v/>
      </c>
      <c r="J1355" t="str">
        <f t="shared" si="416"/>
        <v/>
      </c>
      <c r="K1355" t="str">
        <f t="shared" si="417"/>
        <v/>
      </c>
      <c r="L1355" t="str">
        <f t="shared" si="403"/>
        <v/>
      </c>
      <c r="M1355" t="str">
        <f t="shared" si="404"/>
        <v/>
      </c>
      <c r="R1355" t="str">
        <f t="shared" si="405"/>
        <v/>
      </c>
      <c r="S1355" t="str">
        <f t="shared" si="406"/>
        <v/>
      </c>
      <c r="U1355" t="str">
        <f t="shared" si="407"/>
        <v/>
      </c>
      <c r="V1355" t="str">
        <f t="shared" si="408"/>
        <v/>
      </c>
      <c r="W1355" s="5" t="str">
        <f t="shared" si="409"/>
        <v/>
      </c>
      <c r="Y1355" t="str">
        <f t="shared" si="410"/>
        <v/>
      </c>
      <c r="Z1355" t="str">
        <f t="shared" si="411"/>
        <v/>
      </c>
      <c r="AB1355" t="str">
        <f t="shared" si="412"/>
        <v>https://shop.officineitalianezard.it/contents/imgs/products/1_2078-1066-scarico%20scrambler%20zard1.jpg</v>
      </c>
      <c r="AE1355" t="b">
        <v>0</v>
      </c>
    </row>
    <row r="1356" spans="1:31" x14ac:dyDescent="0.2">
      <c r="A1356" t="str">
        <f t="shared" si="399"/>
        <v>https://shop.officineitalianezard.it/en/products/index/scrambler-ducati-desert-sled-exhaust-zard-7834-154/</v>
      </c>
      <c r="B1356" t="b">
        <f>COUNTIF($A$2:$A1356, A1356)&gt;1</f>
        <v>1</v>
      </c>
      <c r="C1356" t="b">
        <f t="shared" si="400"/>
        <v>0</v>
      </c>
      <c r="D1356">
        <f>VLOOKUP(A1356,variant_counts!A:B, 2, FALSE)</f>
        <v>3</v>
      </c>
      <c r="E1356" t="str">
        <f t="shared" si="413"/>
        <v>zard-exhaust-special-edition-silencer-ducati-scrambler-800-desert-sled-version-zd795ssr</v>
      </c>
      <c r="F1356" t="str">
        <f t="shared" si="401"/>
        <v>ZARD EXHAUST SPECIAL EDITION SILENCER DUCATI SCRAMBLER 800 DESERT SLED VERSION ZD795SSR</v>
      </c>
      <c r="G1356" t="str">
        <f t="shared" si="402"/>
        <v/>
      </c>
      <c r="H1356" t="str">
        <f t="shared" si="414"/>
        <v/>
      </c>
      <c r="I1356" t="str">
        <f t="shared" si="415"/>
        <v/>
      </c>
      <c r="J1356" t="str">
        <f t="shared" si="416"/>
        <v/>
      </c>
      <c r="K1356" t="str">
        <f t="shared" si="417"/>
        <v/>
      </c>
      <c r="L1356" t="str">
        <f t="shared" si="403"/>
        <v/>
      </c>
      <c r="M1356" t="str">
        <f t="shared" si="404"/>
        <v/>
      </c>
      <c r="R1356" t="str">
        <f t="shared" si="405"/>
        <v/>
      </c>
      <c r="S1356" t="str">
        <f t="shared" si="406"/>
        <v/>
      </c>
      <c r="U1356" t="str">
        <f t="shared" si="407"/>
        <v/>
      </c>
      <c r="V1356" t="str">
        <f t="shared" si="408"/>
        <v/>
      </c>
      <c r="W1356" s="5" t="str">
        <f t="shared" si="409"/>
        <v/>
      </c>
      <c r="Y1356" t="str">
        <f t="shared" si="410"/>
        <v/>
      </c>
      <c r="Z1356" t="str">
        <f t="shared" si="411"/>
        <v/>
      </c>
      <c r="AB1356" t="str">
        <f t="shared" si="412"/>
        <v>https://shop.officineitalianezard.it/contents/imgs/products/1_2079-bassoneroridotta.jpg</v>
      </c>
      <c r="AE1356" t="b">
        <v>0</v>
      </c>
    </row>
    <row r="1357" spans="1:31" x14ac:dyDescent="0.2">
      <c r="A1357" t="str">
        <f t="shared" si="399"/>
        <v>https://shop.officineitalianezard.it/en/products/index/scrambler-ducati-desert-sled-exhaust-zard-7834-154/</v>
      </c>
      <c r="B1357" t="b">
        <f>COUNTIF($A$2:$A1357, A1357)&gt;1</f>
        <v>1</v>
      </c>
      <c r="C1357" t="b">
        <f t="shared" si="400"/>
        <v>1</v>
      </c>
      <c r="D1357">
        <f>VLOOKUP(A1357,variant_counts!A:B, 2, FALSE)</f>
        <v>3</v>
      </c>
      <c r="E1357" t="str">
        <f t="shared" si="413"/>
        <v>zard-exhaust-special-edition-silencer-ducati-scrambler-800-desert-sled-version-zd795ssr</v>
      </c>
      <c r="F1357" t="str">
        <f t="shared" si="401"/>
        <v>ZARD EXHAUST SPECIAL EDITION SILENCER DUCATI SCRAMBLER 800 DESERT SLED VERSION ZD795SSR</v>
      </c>
      <c r="G1357" t="str">
        <f t="shared" si="402"/>
        <v/>
      </c>
      <c r="H1357" t="str">
        <f t="shared" si="414"/>
        <v/>
      </c>
      <c r="I1357" t="str">
        <f t="shared" si="415"/>
        <v/>
      </c>
      <c r="J1357" t="str">
        <f t="shared" si="416"/>
        <v/>
      </c>
      <c r="K1357" t="str">
        <f t="shared" si="417"/>
        <v/>
      </c>
      <c r="L1357" t="str">
        <f t="shared" si="403"/>
        <v>Option</v>
      </c>
      <c r="M1357" t="str">
        <f t="shared" si="404"/>
        <v>EURO 4 HOMOLOGATED</v>
      </c>
      <c r="R1357" t="str">
        <f t="shared" si="405"/>
        <v>ZD795SSR</v>
      </c>
      <c r="S1357">
        <f t="shared" si="406"/>
        <v>0</v>
      </c>
      <c r="U1357" t="str">
        <f t="shared" si="407"/>
        <v>continue</v>
      </c>
      <c r="V1357" t="str">
        <f t="shared" si="408"/>
        <v>manual</v>
      </c>
      <c r="W1357" s="5">
        <f t="shared" si="409"/>
        <v>797.47950000000014</v>
      </c>
      <c r="Y1357" t="b">
        <f t="shared" si="410"/>
        <v>1</v>
      </c>
      <c r="Z1357" t="b">
        <f t="shared" si="411"/>
        <v>0</v>
      </c>
      <c r="AB1357" t="str">
        <f t="shared" si="412"/>
        <v/>
      </c>
      <c r="AE1357" t="b">
        <v>0</v>
      </c>
    </row>
    <row r="1358" spans="1:31" x14ac:dyDescent="0.2">
      <c r="A1358" t="str">
        <f t="shared" si="399"/>
        <v>https://shop.officineitalianezard.it/en/products/index/scrambler-ducati-desert-sled-exhaust-zard-7834-154/</v>
      </c>
      <c r="B1358" t="b">
        <f>COUNTIF($A$2:$A1358, A1358)&gt;1</f>
        <v>1</v>
      </c>
      <c r="C1358" t="b">
        <f t="shared" si="400"/>
        <v>1</v>
      </c>
      <c r="D1358">
        <f>VLOOKUP(A1358,variant_counts!A:B, 2, FALSE)</f>
        <v>3</v>
      </c>
      <c r="E1358" t="str">
        <f t="shared" si="413"/>
        <v>zard-exhaust-special-edition-silencer-ducati-scrambler-800-desert-sled-version-zd795ssr</v>
      </c>
      <c r="F1358" t="str">
        <f t="shared" si="401"/>
        <v>ZARD EXHAUST SPECIAL EDITION SILENCER DUCATI SCRAMBLER 800 DESERT SLED VERSION ZD795SSR</v>
      </c>
      <c r="G1358" t="str">
        <f t="shared" si="402"/>
        <v/>
      </c>
      <c r="H1358" t="str">
        <f t="shared" si="414"/>
        <v/>
      </c>
      <c r="I1358" t="str">
        <f t="shared" si="415"/>
        <v/>
      </c>
      <c r="J1358" t="str">
        <f t="shared" si="416"/>
        <v/>
      </c>
      <c r="K1358" t="str">
        <f t="shared" si="417"/>
        <v/>
      </c>
      <c r="L1358" t="str">
        <f t="shared" si="403"/>
        <v>Option</v>
      </c>
      <c r="M1358" t="str">
        <f t="shared" si="404"/>
        <v>BLACK CERAMIC COATING</v>
      </c>
      <c r="R1358" t="str">
        <f t="shared" si="405"/>
        <v>ZD795SSR</v>
      </c>
      <c r="S1358">
        <f t="shared" si="406"/>
        <v>0</v>
      </c>
      <c r="U1358" t="str">
        <f t="shared" si="407"/>
        <v>continue</v>
      </c>
      <c r="V1358" t="str">
        <f t="shared" si="408"/>
        <v>manual</v>
      </c>
      <c r="W1358" s="5">
        <f t="shared" si="409"/>
        <v>789.28770000000009</v>
      </c>
      <c r="Y1358" t="b">
        <f t="shared" si="410"/>
        <v>1</v>
      </c>
      <c r="Z1358" t="b">
        <f t="shared" si="411"/>
        <v>0</v>
      </c>
      <c r="AB1358" t="str">
        <f t="shared" si="412"/>
        <v/>
      </c>
      <c r="AE1358" t="b">
        <v>0</v>
      </c>
    </row>
    <row r="1359" spans="1:31" x14ac:dyDescent="0.2">
      <c r="A1359" t="str">
        <f t="shared" si="399"/>
        <v>https://shop.officineitalianezard.it/en/products/index/scrambler-ducati-desert-sled-exhaust-zard-7834-154/</v>
      </c>
      <c r="B1359" t="b">
        <f>COUNTIF($A$2:$A1359, A1359)&gt;1</f>
        <v>1</v>
      </c>
      <c r="C1359" t="b">
        <f t="shared" si="400"/>
        <v>1</v>
      </c>
      <c r="D1359">
        <f>VLOOKUP(A1359,variant_counts!A:B, 2, FALSE)</f>
        <v>3</v>
      </c>
      <c r="E1359" t="str">
        <f t="shared" si="413"/>
        <v>zard-exhaust-special-edition-silencer-ducati-scrambler-800-desert-sled-version-zd795ssr</v>
      </c>
      <c r="F1359" t="str">
        <f t="shared" si="401"/>
        <v>ZARD EXHAUST SPECIAL EDITION SILENCER DUCATI SCRAMBLER 800 DESERT SLED VERSION ZD795SSR</v>
      </c>
      <c r="G1359" t="str">
        <f t="shared" si="402"/>
        <v/>
      </c>
      <c r="H1359" t="str">
        <f t="shared" si="414"/>
        <v/>
      </c>
      <c r="I1359" t="str">
        <f t="shared" si="415"/>
        <v/>
      </c>
      <c r="J1359" t="str">
        <f t="shared" si="416"/>
        <v/>
      </c>
      <c r="K1359" t="str">
        <f t="shared" si="417"/>
        <v/>
      </c>
      <c r="L1359" t="str">
        <f t="shared" si="403"/>
        <v>Option</v>
      </c>
      <c r="M1359" t="str">
        <f t="shared" si="404"/>
        <v>BLACK HEAT SHIELD</v>
      </c>
      <c r="R1359" t="str">
        <f t="shared" si="405"/>
        <v>ZD795SSR</v>
      </c>
      <c r="S1359">
        <f t="shared" si="406"/>
        <v>0</v>
      </c>
      <c r="U1359" t="str">
        <f t="shared" si="407"/>
        <v>continue</v>
      </c>
      <c r="V1359" t="str">
        <f t="shared" si="408"/>
        <v>manual</v>
      </c>
      <c r="W1359" s="5">
        <f t="shared" si="409"/>
        <v>754.89990000000012</v>
      </c>
      <c r="Y1359" t="b">
        <f t="shared" si="410"/>
        <v>1</v>
      </c>
      <c r="Z1359" t="b">
        <f t="shared" si="411"/>
        <v>0</v>
      </c>
      <c r="AB1359" t="str">
        <f t="shared" si="412"/>
        <v/>
      </c>
      <c r="AE1359" t="b">
        <v>0</v>
      </c>
    </row>
    <row r="1360" spans="1:31" x14ac:dyDescent="0.2">
      <c r="A1360" t="str">
        <f t="shared" si="399"/>
        <v>https://shop.officineitalianezard.it/en/scrambler-ducati-exhaust-zard-evo-r/</v>
      </c>
      <c r="B1360" t="b">
        <f>COUNTIF($A$2:$A1360, A1360)&gt;1</f>
        <v>0</v>
      </c>
      <c r="C1360" t="b">
        <f t="shared" si="400"/>
        <v>0</v>
      </c>
      <c r="D1360">
        <f>VLOOKUP(A1360,variant_counts!A:B, 2, FALSE)</f>
        <v>1</v>
      </c>
      <c r="E1360" t="str">
        <f t="shared" si="413"/>
        <v>zard-exhaust-slip-on-silencer-ducati-scrambler-800-evo-r-version-zdspecial-evo-r</v>
      </c>
      <c r="F1360" t="str">
        <f t="shared" si="401"/>
        <v>ZARD EXHAUST SLIP-ON SILENCER DUCATI SCRAMBLER 800 EVO-R VERSION ZDSPECIAL EVO-R</v>
      </c>
      <c r="G1360" t="str">
        <f t="shared" si="402"/>
        <v>&lt;p&gt;SLIP-ON EVO-R SILENCER WITH REMOVABLE DBKILLERS.&lt;/p&gt;
&lt;p&gt;A SPECIAL EXHAUST WITH INNOVATIVE DESIGN MADE BY HAND IN AISI 304 STAINLESS STEEL BY OUR BEST WELDERS.&lt;/p&gt;
&lt;p&gt;CARBON HEAT SHIELD.&lt;/p&gt;
&lt;p&gt;ORIGINAL SILENCER WEIGHT: 6 KG&lt;br&gt;ZARD SILENCER WEIGHT: 2.8 KG&lt;/p&gt;
&lt;p&gt;HARD INCREASE, COMPARED TO THE ORIGINAL EXHAUST SYSTEM, IN TERMS OF TORQUE AND POWER AT ANY RANGE.&lt;/p&gt;
&lt;p&gt;&lt;span&gt;ASTONISHING SOUND.&lt;/span&gt;&lt;/p&gt;
&lt;p&gt;&lt;a href="https://www.facebook.com/officinezard/videos/1712286135520771/"&gt;&lt;/a&gt;NOT COMPATIBLE WITH DESERT SLED VERSION.&lt;/p&gt;
&lt;p&gt;&lt;strong&gt;NOTICE&lt;/strong&gt;:&amp;nbsp;THE PHOTOS SHOW THE EVO-R SILENCER COMBINED WITH THE ZARD TITANIUM&amp;nbsp;HEADERS&amp;nbsp;(NOT INCLUDED&amp;nbsp;BUT PURCHASED SEPARATELY IN SNAKE WELDED VERSION)&lt;/p&gt;</v>
      </c>
      <c r="H1360" t="str">
        <f t="shared" si="414"/>
        <v>ZARD</v>
      </c>
      <c r="I1360" t="str">
        <f t="shared" si="415"/>
        <v>Exhaust Pipe</v>
      </c>
      <c r="J1360" t="str">
        <f t="shared" si="416"/>
        <v>Test</v>
      </c>
      <c r="K1360" t="b">
        <f t="shared" si="417"/>
        <v>0</v>
      </c>
      <c r="L1360" t="str">
        <f t="shared" si="403"/>
        <v>Option</v>
      </c>
      <c r="M1360" t="str">
        <f t="shared" si="404"/>
        <v>DEFAULT</v>
      </c>
      <c r="R1360" t="str">
        <f t="shared" si="405"/>
        <v>ZDSPECIAL EVO-R</v>
      </c>
      <c r="S1360">
        <f t="shared" si="406"/>
        <v>0</v>
      </c>
      <c r="U1360" t="str">
        <f t="shared" si="407"/>
        <v>continue</v>
      </c>
      <c r="V1360" t="str">
        <f t="shared" si="408"/>
        <v>manual</v>
      </c>
      <c r="W1360" s="5">
        <f t="shared" si="409"/>
        <v>1483.0377000000001</v>
      </c>
      <c r="Y1360" t="b">
        <f t="shared" si="410"/>
        <v>1</v>
      </c>
      <c r="Z1360" t="b">
        <f t="shared" si="411"/>
        <v>0</v>
      </c>
      <c r="AB1360" t="str">
        <f t="shared" si="412"/>
        <v>https://shop.officineitalianezard.it/contents/imgs/products/1_2412-scarico%20scrambler%20ducati%20evo-r%20zard%201.jpg</v>
      </c>
      <c r="AE1360" t="b">
        <v>0</v>
      </c>
    </row>
    <row r="1361" spans="1:31" x14ac:dyDescent="0.2">
      <c r="A1361" t="str">
        <f t="shared" si="399"/>
        <v>https://shop.officineitalianezard.it/en/scrambler-ducati-exhaust-zard-evo-r/</v>
      </c>
      <c r="B1361" t="b">
        <f>COUNTIF($A$2:$A1361, A1361)&gt;1</f>
        <v>1</v>
      </c>
      <c r="C1361" t="b">
        <f t="shared" si="400"/>
        <v>0</v>
      </c>
      <c r="D1361">
        <f>VLOOKUP(A1361,variant_counts!A:B, 2, FALSE)</f>
        <v>1</v>
      </c>
      <c r="E1361" t="str">
        <f t="shared" si="413"/>
        <v>zard-exhaust-slip-on-silencer-ducati-scrambler-800-evo-r-version-zdspecial-evo-r</v>
      </c>
      <c r="F1361" t="str">
        <f t="shared" si="401"/>
        <v>ZARD EXHAUST SLIP-ON SILENCER DUCATI SCRAMBLER 800 EVO-R VERSION ZDSPECIAL EVO-R</v>
      </c>
      <c r="G1361" t="str">
        <f t="shared" si="402"/>
        <v/>
      </c>
      <c r="H1361" t="str">
        <f t="shared" si="414"/>
        <v/>
      </c>
      <c r="I1361" t="str">
        <f t="shared" si="415"/>
        <v/>
      </c>
      <c r="J1361" t="str">
        <f t="shared" si="416"/>
        <v/>
      </c>
      <c r="K1361" t="str">
        <f t="shared" si="417"/>
        <v/>
      </c>
      <c r="L1361" t="str">
        <f t="shared" si="403"/>
        <v/>
      </c>
      <c r="M1361" t="str">
        <f t="shared" si="404"/>
        <v/>
      </c>
      <c r="R1361" t="str">
        <f t="shared" si="405"/>
        <v/>
      </c>
      <c r="S1361" t="str">
        <f t="shared" si="406"/>
        <v/>
      </c>
      <c r="U1361" t="str">
        <f t="shared" si="407"/>
        <v/>
      </c>
      <c r="V1361" t="str">
        <f t="shared" si="408"/>
        <v/>
      </c>
      <c r="W1361" s="5" t="str">
        <f t="shared" si="409"/>
        <v/>
      </c>
      <c r="Y1361" t="str">
        <f t="shared" si="410"/>
        <v/>
      </c>
      <c r="Z1361" t="str">
        <f t="shared" si="411"/>
        <v/>
      </c>
      <c r="AB1361" t="str">
        <f t="shared" si="412"/>
        <v>https://shop.officineitalianezard.it/contents/imgs/products/1_2409-scarico%20scrambler%20ducati%20evo-r%20zard%202.jpg</v>
      </c>
      <c r="AE1361" t="b">
        <v>0</v>
      </c>
    </row>
    <row r="1362" spans="1:31" x14ac:dyDescent="0.2">
      <c r="A1362" t="str">
        <f t="shared" si="399"/>
        <v>https://shop.officineitalianezard.it/en/scrambler-ducati-exhaust-zard-evo-r/</v>
      </c>
      <c r="B1362" t="b">
        <f>COUNTIF($A$2:$A1362, A1362)&gt;1</f>
        <v>1</v>
      </c>
      <c r="C1362" t="b">
        <f t="shared" si="400"/>
        <v>0</v>
      </c>
      <c r="D1362">
        <f>VLOOKUP(A1362,variant_counts!A:B, 2, FALSE)</f>
        <v>1</v>
      </c>
      <c r="E1362" t="str">
        <f t="shared" si="413"/>
        <v>zard-exhaust-slip-on-silencer-ducati-scrambler-800-evo-r-version-zdspecial-evo-r</v>
      </c>
      <c r="F1362" t="str">
        <f t="shared" si="401"/>
        <v>ZARD EXHAUST SLIP-ON SILENCER DUCATI SCRAMBLER 800 EVO-R VERSION ZDSPECIAL EVO-R</v>
      </c>
      <c r="G1362" t="str">
        <f t="shared" si="402"/>
        <v/>
      </c>
      <c r="H1362" t="str">
        <f t="shared" si="414"/>
        <v/>
      </c>
      <c r="I1362" t="str">
        <f t="shared" si="415"/>
        <v/>
      </c>
      <c r="J1362" t="str">
        <f t="shared" si="416"/>
        <v/>
      </c>
      <c r="K1362" t="str">
        <f t="shared" si="417"/>
        <v/>
      </c>
      <c r="L1362" t="str">
        <f t="shared" si="403"/>
        <v/>
      </c>
      <c r="M1362" t="str">
        <f t="shared" si="404"/>
        <v/>
      </c>
      <c r="R1362" t="str">
        <f t="shared" si="405"/>
        <v/>
      </c>
      <c r="S1362" t="str">
        <f t="shared" si="406"/>
        <v/>
      </c>
      <c r="U1362" t="str">
        <f t="shared" si="407"/>
        <v/>
      </c>
      <c r="V1362" t="str">
        <f t="shared" si="408"/>
        <v/>
      </c>
      <c r="W1362" s="5" t="str">
        <f t="shared" si="409"/>
        <v/>
      </c>
      <c r="Y1362" t="str">
        <f t="shared" si="410"/>
        <v/>
      </c>
      <c r="Z1362" t="str">
        <f t="shared" si="411"/>
        <v/>
      </c>
      <c r="AB1362" t="str">
        <f t="shared" si="412"/>
        <v>https://shop.officineitalianezard.it/contents/imgs/products/1_2410-scarico%20scrambler%20ducati%20evo-r%20zard%203.jpg</v>
      </c>
      <c r="AE1362" t="b">
        <v>0</v>
      </c>
    </row>
    <row r="1363" spans="1:31" x14ac:dyDescent="0.2">
      <c r="A1363" t="str">
        <f t="shared" si="399"/>
        <v>https://shop.officineitalianezard.it/en/scrambler-ducati-exhaust-zard-evo-r/</v>
      </c>
      <c r="B1363" t="b">
        <f>COUNTIF($A$2:$A1363, A1363)&gt;1</f>
        <v>1</v>
      </c>
      <c r="C1363" t="b">
        <f t="shared" si="400"/>
        <v>0</v>
      </c>
      <c r="D1363">
        <f>VLOOKUP(A1363,variant_counts!A:B, 2, FALSE)</f>
        <v>1</v>
      </c>
      <c r="E1363" t="str">
        <f t="shared" si="413"/>
        <v>zard-exhaust-slip-on-silencer-ducati-scrambler-800-evo-r-version-zdspecial-evo-r</v>
      </c>
      <c r="F1363" t="str">
        <f t="shared" si="401"/>
        <v>ZARD EXHAUST SLIP-ON SILENCER DUCATI SCRAMBLER 800 EVO-R VERSION ZDSPECIAL EVO-R</v>
      </c>
      <c r="G1363" t="str">
        <f t="shared" si="402"/>
        <v/>
      </c>
      <c r="H1363" t="str">
        <f t="shared" si="414"/>
        <v/>
      </c>
      <c r="I1363" t="str">
        <f t="shared" si="415"/>
        <v/>
      </c>
      <c r="J1363" t="str">
        <f t="shared" si="416"/>
        <v/>
      </c>
      <c r="K1363" t="str">
        <f t="shared" si="417"/>
        <v/>
      </c>
      <c r="L1363" t="str">
        <f t="shared" si="403"/>
        <v/>
      </c>
      <c r="M1363" t="str">
        <f t="shared" si="404"/>
        <v/>
      </c>
      <c r="R1363" t="str">
        <f t="shared" si="405"/>
        <v/>
      </c>
      <c r="S1363" t="str">
        <f t="shared" si="406"/>
        <v/>
      </c>
      <c r="U1363" t="str">
        <f t="shared" si="407"/>
        <v/>
      </c>
      <c r="V1363" t="str">
        <f t="shared" si="408"/>
        <v/>
      </c>
      <c r="W1363" s="5" t="str">
        <f t="shared" si="409"/>
        <v/>
      </c>
      <c r="Y1363" t="str">
        <f t="shared" si="410"/>
        <v/>
      </c>
      <c r="Z1363" t="str">
        <f t="shared" si="411"/>
        <v/>
      </c>
      <c r="AB1363" t="str">
        <f t="shared" si="412"/>
        <v>https://shop.officineitalianezard.it/contents/imgs/products/1_2428-evo-r%20black%20ridotta.jpg</v>
      </c>
      <c r="AE1363" t="b">
        <v>0</v>
      </c>
    </row>
    <row r="1364" spans="1:31" x14ac:dyDescent="0.2">
      <c r="A1364" t="str">
        <f t="shared" si="399"/>
        <v>https://shop.officineitalianezard.it/en/scrambler-ducati-exhaust-zard-evo-r/</v>
      </c>
      <c r="B1364" t="b">
        <f>COUNTIF($A$2:$A1364, A1364)&gt;1</f>
        <v>1</v>
      </c>
      <c r="C1364" t="b">
        <f t="shared" si="400"/>
        <v>1</v>
      </c>
      <c r="D1364">
        <f>VLOOKUP(A1364,variant_counts!A:B, 2, FALSE)</f>
        <v>1</v>
      </c>
      <c r="E1364" t="str">
        <f t="shared" si="413"/>
        <v>zard-exhaust-slip-on-silencer-ducati-scrambler-800-evo-r-version-zdspecial-evo-r</v>
      </c>
      <c r="F1364" t="str">
        <f t="shared" si="401"/>
        <v>ZARD EXHAUST SLIP-ON SILENCER DUCATI SCRAMBLER 800 EVO-R VERSION ZDSPECIAL EVO-R</v>
      </c>
      <c r="G1364" t="str">
        <f t="shared" si="402"/>
        <v/>
      </c>
      <c r="H1364" t="str">
        <f t="shared" si="414"/>
        <v/>
      </c>
      <c r="I1364" t="str">
        <f t="shared" si="415"/>
        <v/>
      </c>
      <c r="J1364" t="str">
        <f t="shared" si="416"/>
        <v/>
      </c>
      <c r="K1364" t="str">
        <f t="shared" si="417"/>
        <v/>
      </c>
      <c r="L1364" t="str">
        <f t="shared" si="403"/>
        <v>Option</v>
      </c>
      <c r="M1364" t="str">
        <f t="shared" si="404"/>
        <v>BLACK CERAMIC COATING</v>
      </c>
      <c r="R1364" t="str">
        <f t="shared" si="405"/>
        <v>ZDSPECIAL EVO-R</v>
      </c>
      <c r="S1364">
        <f t="shared" si="406"/>
        <v>0</v>
      </c>
      <c r="U1364" t="str">
        <f t="shared" si="407"/>
        <v>continue</v>
      </c>
      <c r="V1364" t="str">
        <f t="shared" si="408"/>
        <v>manual</v>
      </c>
      <c r="W1364" s="5">
        <f t="shared" si="409"/>
        <v>1636.9836</v>
      </c>
      <c r="Y1364" t="b">
        <f t="shared" si="410"/>
        <v>1</v>
      </c>
      <c r="Z1364" t="b">
        <f t="shared" si="411"/>
        <v>0</v>
      </c>
      <c r="AB1364" t="str">
        <f t="shared" si="412"/>
        <v/>
      </c>
      <c r="AE1364" t="b">
        <v>0</v>
      </c>
    </row>
    <row r="1365" spans="1:31" x14ac:dyDescent="0.2">
      <c r="A1365" t="str">
        <f t="shared" si="399"/>
        <v>https://shop.officineitalianezard.it/en/products/index/ducati-multistrada-1200-exhaust-zard-7131-68/</v>
      </c>
      <c r="B1365" t="b">
        <f>COUNTIF($A$2:$A1365, A1365)&gt;1</f>
        <v>0</v>
      </c>
      <c r="C1365" t="b">
        <f t="shared" si="400"/>
        <v>0</v>
      </c>
      <c r="D1365">
        <f>VLOOKUP(A1365,variant_counts!A:B, 2, FALSE)</f>
        <v>1</v>
      </c>
      <c r="E1365" t="str">
        <f t="shared" si="413"/>
        <v>zard-exhaust-silencer-ducati-multistrada-1200-201014-penta-version-zd531asr</v>
      </c>
      <c r="F1365" t="str">
        <f t="shared" si="401"/>
        <v>ZARD EXHAUST SILENCER DUCATI MULTISTRADA 1200 2010/14 PENTA VERSION ZD531ASR</v>
      </c>
      <c r="G1365" t="str">
        <f t="shared" si="402"/>
        <v>&lt;p&gt;STEEL ALUMINIUM BLACK SILENCER RACING WITH REMOVABLE DB KILLER&lt;/p&gt;
&lt;p&gt;ALUMINIUM HEAT-SHIELD&lt;/p&gt;
&lt;p&gt;ORIGINAL EXHAUST WEIGHT: KG 2.1&lt;br&gt;ZARD EXHAUST WEIGHT: KG 1.7&lt;/p&gt;
&lt;p&gt;HARD INCREASE, COMPARED TO THE ORIGINAL EXHAUST SYSTEM, IN TERMS OF TORQUE AND POWER AT ANY RANGE (+2 HP).&lt;/p&gt;
&lt;p&gt;ASTONISHING SOUND.&lt;/p&gt;</v>
      </c>
      <c r="H1365" t="str">
        <f t="shared" si="414"/>
        <v>ZARD</v>
      </c>
      <c r="I1365" t="str">
        <f t="shared" si="415"/>
        <v>Exhaust Pipe</v>
      </c>
      <c r="J1365" t="str">
        <f t="shared" si="416"/>
        <v>Test</v>
      </c>
      <c r="K1365" t="b">
        <f t="shared" si="417"/>
        <v>0</v>
      </c>
      <c r="L1365" t="str">
        <f t="shared" si="403"/>
        <v>Option</v>
      </c>
      <c r="M1365" t="str">
        <f t="shared" si="404"/>
        <v>DEFAULT</v>
      </c>
      <c r="R1365" t="str">
        <f t="shared" si="405"/>
        <v>ZD531ASR</v>
      </c>
      <c r="S1365">
        <f t="shared" si="406"/>
        <v>0</v>
      </c>
      <c r="U1365" t="str">
        <f t="shared" si="407"/>
        <v>continue</v>
      </c>
      <c r="V1365" t="str">
        <f t="shared" si="408"/>
        <v>manual</v>
      </c>
      <c r="W1365" s="5">
        <f t="shared" si="409"/>
        <v>613.23060000000009</v>
      </c>
      <c r="Y1365" t="b">
        <f t="shared" si="410"/>
        <v>1</v>
      </c>
      <c r="Z1365" t="b">
        <f t="shared" si="411"/>
        <v>0</v>
      </c>
      <c r="AB1365" t="str">
        <f t="shared" si="412"/>
        <v>https://shop.officineitalianezard.it/contents/imgs/products/1_427-sliponpentamultistrada015.jpg</v>
      </c>
      <c r="AE1365" t="b">
        <v>0</v>
      </c>
    </row>
    <row r="1366" spans="1:31" x14ac:dyDescent="0.2">
      <c r="A1366" t="str">
        <f t="shared" si="399"/>
        <v>https://shop.officineitalianezard.it/en/products/index/ducati-multistrada-1200-exhaust-zard-7131-68/</v>
      </c>
      <c r="B1366" t="b">
        <f>COUNTIF($A$2:$A1366, A1366)&gt;1</f>
        <v>1</v>
      </c>
      <c r="C1366" t="b">
        <f t="shared" si="400"/>
        <v>0</v>
      </c>
      <c r="D1366">
        <f>VLOOKUP(A1366,variant_counts!A:B, 2, FALSE)</f>
        <v>1</v>
      </c>
      <c r="E1366" t="str">
        <f t="shared" si="413"/>
        <v>zard-exhaust-silencer-ducati-multistrada-1200-201014-penta-version-zd531asr</v>
      </c>
      <c r="F1366" t="str">
        <f t="shared" si="401"/>
        <v>ZARD EXHAUST SILENCER DUCATI MULTISTRADA 1200 2010/14 PENTA VERSION ZD531ASR</v>
      </c>
      <c r="G1366" t="str">
        <f t="shared" si="402"/>
        <v/>
      </c>
      <c r="H1366" t="str">
        <f t="shared" si="414"/>
        <v/>
      </c>
      <c r="I1366" t="str">
        <f t="shared" si="415"/>
        <v/>
      </c>
      <c r="J1366" t="str">
        <f t="shared" si="416"/>
        <v/>
      </c>
      <c r="K1366" t="str">
        <f t="shared" si="417"/>
        <v/>
      </c>
      <c r="L1366" t="str">
        <f t="shared" si="403"/>
        <v/>
      </c>
      <c r="M1366" t="str">
        <f t="shared" si="404"/>
        <v/>
      </c>
      <c r="R1366" t="str">
        <f t="shared" si="405"/>
        <v/>
      </c>
      <c r="S1366" t="str">
        <f t="shared" si="406"/>
        <v/>
      </c>
      <c r="U1366" t="str">
        <f t="shared" si="407"/>
        <v/>
      </c>
      <c r="V1366" t="str">
        <f t="shared" si="408"/>
        <v/>
      </c>
      <c r="W1366" s="5" t="str">
        <f t="shared" si="409"/>
        <v/>
      </c>
      <c r="Y1366" t="str">
        <f t="shared" si="410"/>
        <v/>
      </c>
      <c r="Z1366" t="str">
        <f t="shared" si="411"/>
        <v/>
      </c>
      <c r="AB1366" t="str">
        <f t="shared" si="412"/>
        <v>https://shop.officineitalianezard.it/contents/imgs/products/1_426-sliponpentamultistrada003.jpg</v>
      </c>
      <c r="AE1366" t="b">
        <v>0</v>
      </c>
    </row>
    <row r="1367" spans="1:31" x14ac:dyDescent="0.2">
      <c r="A1367" t="str">
        <f t="shared" si="399"/>
        <v>https://shop.officineitalianezard.it/en/products/index/ducati-multistrada-1200-exhaust-zard-7131-68/</v>
      </c>
      <c r="B1367" t="b">
        <f>COUNTIF($A$2:$A1367, A1367)&gt;1</f>
        <v>1</v>
      </c>
      <c r="C1367" t="b">
        <f t="shared" si="400"/>
        <v>0</v>
      </c>
      <c r="D1367">
        <f>VLOOKUP(A1367,variant_counts!A:B, 2, FALSE)</f>
        <v>1</v>
      </c>
      <c r="E1367" t="str">
        <f t="shared" si="413"/>
        <v>zard-exhaust-silencer-ducati-multistrada-1200-201014-penta-version-zd531asr</v>
      </c>
      <c r="F1367" t="str">
        <f t="shared" si="401"/>
        <v>ZARD EXHAUST SILENCER DUCATI MULTISTRADA 1200 2010/14 PENTA VERSION ZD531ASR</v>
      </c>
      <c r="G1367" t="str">
        <f t="shared" si="402"/>
        <v/>
      </c>
      <c r="H1367" t="str">
        <f t="shared" si="414"/>
        <v/>
      </c>
      <c r="I1367" t="str">
        <f t="shared" si="415"/>
        <v/>
      </c>
      <c r="J1367" t="str">
        <f t="shared" si="416"/>
        <v/>
      </c>
      <c r="K1367" t="str">
        <f t="shared" si="417"/>
        <v/>
      </c>
      <c r="L1367" t="str">
        <f t="shared" si="403"/>
        <v/>
      </c>
      <c r="M1367" t="str">
        <f t="shared" si="404"/>
        <v/>
      </c>
      <c r="R1367" t="str">
        <f t="shared" si="405"/>
        <v/>
      </c>
      <c r="S1367" t="str">
        <f t="shared" si="406"/>
        <v/>
      </c>
      <c r="U1367" t="str">
        <f t="shared" si="407"/>
        <v/>
      </c>
      <c r="V1367" t="str">
        <f t="shared" si="408"/>
        <v/>
      </c>
      <c r="W1367" s="5" t="str">
        <f t="shared" si="409"/>
        <v/>
      </c>
      <c r="Y1367" t="str">
        <f t="shared" si="410"/>
        <v/>
      </c>
      <c r="Z1367" t="str">
        <f t="shared" si="411"/>
        <v/>
      </c>
      <c r="AB1367" t="str">
        <f t="shared" si="412"/>
        <v>https://shop.officineitalianezard.it/contents/imgs/products/1_428-sliponpentamultistrada014.jpg</v>
      </c>
      <c r="AE1367" t="b">
        <v>0</v>
      </c>
    </row>
    <row r="1368" spans="1:31" x14ac:dyDescent="0.2">
      <c r="A1368" t="str">
        <f t="shared" si="399"/>
        <v>https://shop.officineitalianezard.it/en/products/index/ducati-multistrada-1200-exhaust-zard-7131-68/</v>
      </c>
      <c r="B1368" t="b">
        <f>COUNTIF($A$2:$A1368, A1368)&gt;1</f>
        <v>1</v>
      </c>
      <c r="C1368" t="b">
        <f t="shared" si="400"/>
        <v>1</v>
      </c>
      <c r="D1368">
        <f>VLOOKUP(A1368,variant_counts!A:B, 2, FALSE)</f>
        <v>1</v>
      </c>
      <c r="E1368" t="str">
        <f t="shared" si="413"/>
        <v>zard-exhaust-silencer-ducati-multistrada-1200-201014-penta-version-zd531asr</v>
      </c>
      <c r="F1368" t="str">
        <f t="shared" si="401"/>
        <v>ZARD EXHAUST SILENCER DUCATI MULTISTRADA 1200 2010/14 PENTA VERSION ZD531ASR</v>
      </c>
      <c r="G1368" t="str">
        <f t="shared" si="402"/>
        <v/>
      </c>
      <c r="H1368" t="str">
        <f t="shared" si="414"/>
        <v/>
      </c>
      <c r="I1368" t="str">
        <f t="shared" si="415"/>
        <v/>
      </c>
      <c r="J1368" t="str">
        <f t="shared" si="416"/>
        <v/>
      </c>
      <c r="K1368" t="str">
        <f t="shared" si="417"/>
        <v/>
      </c>
      <c r="L1368" t="str">
        <f t="shared" si="403"/>
        <v>Option</v>
      </c>
      <c r="M1368" t="str">
        <f t="shared" si="404"/>
        <v>EURO 3 HOMOLOGATED</v>
      </c>
      <c r="R1368" t="str">
        <f t="shared" si="405"/>
        <v>ZD531ASR</v>
      </c>
      <c r="S1368">
        <f t="shared" si="406"/>
        <v>0</v>
      </c>
      <c r="U1368" t="str">
        <f t="shared" si="407"/>
        <v>continue</v>
      </c>
      <c r="V1368" t="str">
        <f t="shared" si="408"/>
        <v>manual</v>
      </c>
      <c r="W1368" s="5">
        <f t="shared" si="409"/>
        <v>655.81020000000012</v>
      </c>
      <c r="Y1368" t="b">
        <f t="shared" si="410"/>
        <v>1</v>
      </c>
      <c r="Z1368" t="b">
        <f t="shared" si="411"/>
        <v>0</v>
      </c>
      <c r="AB1368" t="str">
        <f t="shared" si="412"/>
        <v/>
      </c>
      <c r="AE1368" t="b">
        <v>0</v>
      </c>
    </row>
    <row r="1369" spans="1:31" x14ac:dyDescent="0.2">
      <c r="A1369" t="str">
        <f t="shared" si="399"/>
        <v>https://shop.officineitalianezard.it/en/products/index/ducati-multistrada-exhaust-zard-7129-68/</v>
      </c>
      <c r="B1369" t="b">
        <f>COUNTIF($A$2:$A1369, A1369)&gt;1</f>
        <v>0</v>
      </c>
      <c r="C1369" t="b">
        <f t="shared" si="400"/>
        <v>0</v>
      </c>
      <c r="D1369">
        <f>VLOOKUP(A1369,variant_counts!A:B, 2, FALSE)</f>
        <v>2</v>
      </c>
      <c r="E1369" t="str">
        <f t="shared" si="413"/>
        <v>zard-exhaust-21-penta-evo-full-kit-ducati-multistrada-1200-201014-my-10-14-zd025skr</v>
      </c>
      <c r="F1369" t="str">
        <f t="shared" si="401"/>
        <v>ZARD EXHAUST 2&gt;1 PENTA EVO FULL KIT DUCATI MULTISTRADA 1200 2010/14 M.Y. 10-14 ZD025SKR</v>
      </c>
      <c r="G1369" t="str">
        <f t="shared" si="402"/>
        <v>&lt;p&gt;2&amp;gt;1 STEEL-CARBON FULL KIT RACING WITH REMOVABLE DB KILLER&lt;/p&gt;
&lt;p&gt;ALUMINIUM LASER CUTTED HEAT SHIELD AVAILABLE BLACK OR SILVER.&lt;/p&gt;
&lt;p&gt;HOMOLOGATED VERSION HAS BLACK STEEL ALUMINIUM SILENCER.&lt;/p&gt;
&lt;p&gt;ORIGINAL EXHAUST WEIGHT: KG 10.2&lt;br&gt;ZARD EXHAUST WEIGHT: KG 6.2&lt;/p&gt;
&lt;p&gt;THE KIT INCLUDES AN EXHAUST VALVE.&lt;/p&gt;
&lt;p&gt;HARD INCREASE, COMPARED TO THE ORIGINAL EXHAUST SYSTEM, IN TERMS OF TORQUE AND POWER AT ANY RANGE (+3 HP).&lt;/p&gt;
&lt;p&gt;HIGHT REDUCTION OF TEMPERATURE IN THE FOOTREST ZONE.&lt;/p&gt;
&lt;p&gt;ASTONISHING SOUND.&lt;/p&gt;
&lt;p&gt;&lt;strong&gt;NOTICE: FULL TITANIUM VERSION AVAILABLE ON DEMAND&lt;/strong&gt;&lt;/p&gt;</v>
      </c>
      <c r="H1369" t="str">
        <f t="shared" si="414"/>
        <v>ZARD</v>
      </c>
      <c r="I1369" t="str">
        <f t="shared" si="415"/>
        <v>Exhaust Pipe</v>
      </c>
      <c r="J1369" t="str">
        <f t="shared" si="416"/>
        <v>Test</v>
      </c>
      <c r="K1369" t="b">
        <f t="shared" si="417"/>
        <v>0</v>
      </c>
      <c r="L1369" t="str">
        <f t="shared" si="403"/>
        <v/>
      </c>
      <c r="M1369" t="str">
        <f t="shared" si="404"/>
        <v/>
      </c>
      <c r="R1369" t="str">
        <f t="shared" si="405"/>
        <v/>
      </c>
      <c r="S1369" t="str">
        <f t="shared" si="406"/>
        <v/>
      </c>
      <c r="U1369" t="str">
        <f t="shared" si="407"/>
        <v/>
      </c>
      <c r="V1369" t="str">
        <f t="shared" si="408"/>
        <v/>
      </c>
      <c r="W1369" s="5" t="str">
        <f t="shared" si="409"/>
        <v/>
      </c>
      <c r="Y1369" t="str">
        <f t="shared" si="410"/>
        <v/>
      </c>
      <c r="Z1369" t="str">
        <f t="shared" si="411"/>
        <v/>
      </c>
      <c r="AB1369" t="str">
        <f t="shared" si="412"/>
        <v>https://shop.officineitalianezard.it/contents/imgs/products/1_2524-scarico%20ducati%20multistrada%201200%20zard%20exhaust%201.jpg</v>
      </c>
      <c r="AE1369" t="b">
        <v>0</v>
      </c>
    </row>
    <row r="1370" spans="1:31" x14ac:dyDescent="0.2">
      <c r="A1370" t="str">
        <f t="shared" si="399"/>
        <v>https://shop.officineitalianezard.it/en/products/index/ducati-multistrada-exhaust-zard-7129-68/</v>
      </c>
      <c r="B1370" t="b">
        <f>COUNTIF($A$2:$A1370, A1370)&gt;1</f>
        <v>1</v>
      </c>
      <c r="C1370" t="b">
        <f t="shared" si="400"/>
        <v>0</v>
      </c>
      <c r="D1370">
        <f>VLOOKUP(A1370,variant_counts!A:B, 2, FALSE)</f>
        <v>2</v>
      </c>
      <c r="E1370" t="str">
        <f t="shared" si="413"/>
        <v>zard-exhaust-21-penta-evo-full-kit-ducati-multistrada-1200-201014-my-10-14-zd025skr</v>
      </c>
      <c r="F1370" t="str">
        <f t="shared" si="401"/>
        <v>ZARD EXHAUST 2&gt;1 PENTA EVO FULL KIT DUCATI MULTISTRADA 1200 2010/14 M.Y. 10-14 ZD025SKR</v>
      </c>
      <c r="G1370" t="str">
        <f t="shared" si="402"/>
        <v/>
      </c>
      <c r="H1370" t="str">
        <f t="shared" si="414"/>
        <v/>
      </c>
      <c r="I1370" t="str">
        <f t="shared" si="415"/>
        <v/>
      </c>
      <c r="J1370" t="str">
        <f t="shared" si="416"/>
        <v/>
      </c>
      <c r="K1370" t="str">
        <f t="shared" si="417"/>
        <v/>
      </c>
      <c r="L1370" t="str">
        <f t="shared" si="403"/>
        <v/>
      </c>
      <c r="M1370" t="str">
        <f t="shared" si="404"/>
        <v/>
      </c>
      <c r="R1370" t="str">
        <f t="shared" si="405"/>
        <v/>
      </c>
      <c r="S1370" t="str">
        <f t="shared" si="406"/>
        <v/>
      </c>
      <c r="U1370" t="str">
        <f t="shared" si="407"/>
        <v/>
      </c>
      <c r="V1370" t="str">
        <f t="shared" si="408"/>
        <v/>
      </c>
      <c r="W1370" s="5" t="str">
        <f t="shared" si="409"/>
        <v/>
      </c>
      <c r="Y1370" t="str">
        <f t="shared" si="410"/>
        <v/>
      </c>
      <c r="Z1370" t="str">
        <f t="shared" si="411"/>
        <v/>
      </c>
      <c r="AB1370" t="str">
        <f t="shared" si="412"/>
        <v>https://shop.officineitalianezard.it/contents/imgs/products/1_2525-scarico%20ducati%20multistrada%201200%20zard%20exhaust%202.jpg</v>
      </c>
      <c r="AE1370" t="b">
        <v>0</v>
      </c>
    </row>
    <row r="1371" spans="1:31" x14ac:dyDescent="0.2">
      <c r="A1371" t="str">
        <f t="shared" si="399"/>
        <v>https://shop.officineitalianezard.it/en/products/index/ducati-multistrada-exhaust-zard-7129-68/</v>
      </c>
      <c r="B1371" t="b">
        <f>COUNTIF($A$2:$A1371, A1371)&gt;1</f>
        <v>1</v>
      </c>
      <c r="C1371" t="b">
        <f t="shared" si="400"/>
        <v>0</v>
      </c>
      <c r="D1371">
        <f>VLOOKUP(A1371,variant_counts!A:B, 2, FALSE)</f>
        <v>2</v>
      </c>
      <c r="E1371" t="str">
        <f t="shared" si="413"/>
        <v>zard-exhaust-21-penta-evo-full-kit-ducati-multistrada-1200-201014-my-10-14-zd025skr</v>
      </c>
      <c r="F1371" t="str">
        <f t="shared" si="401"/>
        <v>ZARD EXHAUST 2&gt;1 PENTA EVO FULL KIT DUCATI MULTISTRADA 1200 2010/14 M.Y. 10-14 ZD025SKR</v>
      </c>
      <c r="G1371" t="str">
        <f t="shared" si="402"/>
        <v/>
      </c>
      <c r="H1371" t="str">
        <f t="shared" si="414"/>
        <v/>
      </c>
      <c r="I1371" t="str">
        <f t="shared" si="415"/>
        <v/>
      </c>
      <c r="J1371" t="str">
        <f t="shared" si="416"/>
        <v/>
      </c>
      <c r="K1371" t="str">
        <f t="shared" si="417"/>
        <v/>
      </c>
      <c r="L1371" t="str">
        <f t="shared" si="403"/>
        <v/>
      </c>
      <c r="M1371" t="str">
        <f t="shared" si="404"/>
        <v/>
      </c>
      <c r="R1371" t="str">
        <f t="shared" si="405"/>
        <v/>
      </c>
      <c r="S1371" t="str">
        <f t="shared" si="406"/>
        <v/>
      </c>
      <c r="U1371" t="str">
        <f t="shared" si="407"/>
        <v/>
      </c>
      <c r="V1371" t="str">
        <f t="shared" si="408"/>
        <v/>
      </c>
      <c r="W1371" s="5" t="str">
        <f t="shared" si="409"/>
        <v/>
      </c>
      <c r="Y1371" t="str">
        <f t="shared" si="410"/>
        <v/>
      </c>
      <c r="Z1371" t="str">
        <f t="shared" si="411"/>
        <v/>
      </c>
      <c r="AB1371" t="str">
        <f t="shared" si="412"/>
        <v>https://shop.officineitalianezard.it/contents/imgs/products/1_2526-scarico%20ducati%20multistrada%201200%20zard%20exhaust%203.jpg</v>
      </c>
      <c r="AE1371" t="b">
        <v>0</v>
      </c>
    </row>
    <row r="1372" spans="1:31" x14ac:dyDescent="0.2">
      <c r="A1372" t="str">
        <f t="shared" si="399"/>
        <v>https://shop.officineitalianezard.it/en/products/index/ducati-multistrada-exhaust-zard-7129-68/</v>
      </c>
      <c r="B1372" t="b">
        <f>COUNTIF($A$2:$A1372, A1372)&gt;1</f>
        <v>1</v>
      </c>
      <c r="C1372" t="b">
        <f t="shared" si="400"/>
        <v>1</v>
      </c>
      <c r="D1372">
        <f>VLOOKUP(A1372,variant_counts!A:B, 2, FALSE)</f>
        <v>2</v>
      </c>
      <c r="E1372" t="str">
        <f t="shared" si="413"/>
        <v>zard-exhaust-21-penta-evo-full-kit-ducati-multistrada-1200-201014-my-10-14-zd025skr</v>
      </c>
      <c r="F1372" t="str">
        <f t="shared" si="401"/>
        <v>ZARD EXHAUST 2&gt;1 PENTA EVO FULL KIT DUCATI MULTISTRADA 1200 2010/14 M.Y. 10-14 ZD025SKR</v>
      </c>
      <c r="G1372" t="str">
        <f t="shared" si="402"/>
        <v/>
      </c>
      <c r="H1372" t="str">
        <f t="shared" si="414"/>
        <v/>
      </c>
      <c r="I1372" t="str">
        <f t="shared" si="415"/>
        <v/>
      </c>
      <c r="J1372" t="str">
        <f t="shared" si="416"/>
        <v/>
      </c>
      <c r="K1372" t="str">
        <f t="shared" si="417"/>
        <v/>
      </c>
      <c r="L1372" t="str">
        <f t="shared" si="403"/>
        <v>Option</v>
      </c>
      <c r="M1372" t="str">
        <f t="shared" si="404"/>
        <v>EURO 3 HOMOLOGATED</v>
      </c>
      <c r="R1372" t="str">
        <f t="shared" si="405"/>
        <v>ZD025SKR</v>
      </c>
      <c r="S1372">
        <f t="shared" si="406"/>
        <v>0</v>
      </c>
      <c r="U1372" t="str">
        <f t="shared" si="407"/>
        <v>continue</v>
      </c>
      <c r="V1372" t="str">
        <f t="shared" si="408"/>
        <v>manual</v>
      </c>
      <c r="W1372" s="5">
        <f t="shared" si="409"/>
        <v>1587.5775000000001</v>
      </c>
      <c r="Y1372" t="b">
        <f t="shared" si="410"/>
        <v>1</v>
      </c>
      <c r="Z1372" t="b">
        <f t="shared" si="411"/>
        <v>0</v>
      </c>
      <c r="AB1372" t="str">
        <f t="shared" si="412"/>
        <v/>
      </c>
      <c r="AE1372" t="b">
        <v>0</v>
      </c>
    </row>
    <row r="1373" spans="1:31" x14ac:dyDescent="0.2">
      <c r="A1373" t="str">
        <f t="shared" si="399"/>
        <v>https://shop.officineitalianezard.it/en/products/index/ducati-multistrada-exhaust-zard-7129-68/</v>
      </c>
      <c r="B1373" t="b">
        <f>COUNTIF($A$2:$A1373, A1373)&gt;1</f>
        <v>1</v>
      </c>
      <c r="C1373" t="b">
        <f t="shared" si="400"/>
        <v>1</v>
      </c>
      <c r="D1373">
        <f>VLOOKUP(A1373,variant_counts!A:B, 2, FALSE)</f>
        <v>2</v>
      </c>
      <c r="E1373" t="str">
        <f t="shared" si="413"/>
        <v>zard-exhaust-21-penta-evo-full-kit-ducati-multistrada-1200-201014-my-10-14-zd025skr</v>
      </c>
      <c r="F1373" t="str">
        <f t="shared" si="401"/>
        <v>ZARD EXHAUST 2&gt;1 PENTA EVO FULL KIT DUCATI MULTISTRADA 1200 2010/14 M.Y. 10-14 ZD025SKR</v>
      </c>
      <c r="G1373" t="str">
        <f t="shared" si="402"/>
        <v/>
      </c>
      <c r="H1373" t="str">
        <f t="shared" si="414"/>
        <v/>
      </c>
      <c r="I1373" t="str">
        <f t="shared" si="415"/>
        <v/>
      </c>
      <c r="J1373" t="str">
        <f t="shared" si="416"/>
        <v/>
      </c>
      <c r="K1373" t="str">
        <f t="shared" si="417"/>
        <v/>
      </c>
      <c r="L1373" t="str">
        <f t="shared" si="403"/>
        <v>Option</v>
      </c>
      <c r="M1373" t="str">
        <f t="shared" si="404"/>
        <v>CARBON 'PENTA' ENDCAP</v>
      </c>
      <c r="R1373" t="str">
        <f t="shared" si="405"/>
        <v>ZD025SKR</v>
      </c>
      <c r="S1373">
        <f t="shared" si="406"/>
        <v>0</v>
      </c>
      <c r="U1373" t="str">
        <f t="shared" si="407"/>
        <v>continue</v>
      </c>
      <c r="V1373" t="str">
        <f t="shared" si="408"/>
        <v>manual</v>
      </c>
      <c r="W1373" s="5">
        <f t="shared" si="409"/>
        <v>1359.1173000000001</v>
      </c>
      <c r="Y1373" t="b">
        <f t="shared" si="410"/>
        <v>1</v>
      </c>
      <c r="Z1373" t="b">
        <f t="shared" si="411"/>
        <v>0</v>
      </c>
      <c r="AB1373" t="str">
        <f t="shared" si="412"/>
        <v/>
      </c>
      <c r="AE1373" t="b">
        <v>0</v>
      </c>
    </row>
    <row r="1374" spans="1:31" x14ac:dyDescent="0.2">
      <c r="A1374" t="str">
        <f t="shared" si="399"/>
        <v>https://shop.officineitalianezard.it/en/products/index/ducati-multistrada-exhaust-zard-7127-67/</v>
      </c>
      <c r="B1374" t="b">
        <f>COUNTIF($A$2:$A1374, A1374)&gt;1</f>
        <v>0</v>
      </c>
      <c r="C1374" t="b">
        <f t="shared" si="400"/>
        <v>0</v>
      </c>
      <c r="D1374">
        <f>VLOOKUP(A1374,variant_counts!A:B, 2, FALSE)</f>
        <v>1</v>
      </c>
      <c r="E1374" t="str">
        <f t="shared" si="413"/>
        <v>zard-exhaust-headers-kit-212-silencer-ducati-multistrada-62010001100-under-seat-version-zd014skr</v>
      </c>
      <c r="F1374" t="str">
        <f t="shared" si="401"/>
        <v>ZARD EXHAUST HEADERS KIT + 2&gt;1&gt;2 SILENCER DUCATI MULTISTRADA 620/1000/1100 UNDER-SEAT VERSION ZD014SKR</v>
      </c>
      <c r="G1374" t="str">
        <f t="shared" si="402"/>
        <v>&lt;p&gt;&lt;strong&gt;NOTES: FOR MULTISTRADA 620 IS AVAILABLE ONLY THE SILENCER&amp;nbsp;&lt;/strong&gt;&lt;/p&gt;
&lt;p&gt;STEEL HEADERS KIT + SILENCERS 2&amp;gt;1&amp;gt;2 RACING&lt;/p&gt;
&lt;p&gt;CARBON HEAT SHIELD BY DEFAULT&lt;br&gt;STELL LICENCE PLATE STAND AND BLINKERS STAND&lt;/p&gt;
&lt;p&gt;ZARD SILENCER WEIGHT: KG 5.5&lt;br&gt;ZARD MANIFOLD WEIGHT: KG 2.2&lt;/p&gt;
&lt;p&gt;HARD INCREASE, COMPARED TO THE ORIGINAL EXHAUST SYSTEM, IN TERMS OF TORQUE AND POWER AT ANY RANGE (+2 HP).&lt;/p&gt;
&lt;p&gt;ASTONISHING SOUND.&lt;/p&gt;</v>
      </c>
      <c r="H1374" t="str">
        <f t="shared" si="414"/>
        <v>ZARD</v>
      </c>
      <c r="I1374" t="str">
        <f t="shared" si="415"/>
        <v>Exhaust Pipe</v>
      </c>
      <c r="J1374" t="str">
        <f t="shared" si="416"/>
        <v>Test</v>
      </c>
      <c r="K1374" t="b">
        <f t="shared" si="417"/>
        <v>0</v>
      </c>
      <c r="L1374" t="str">
        <f t="shared" si="403"/>
        <v>Option</v>
      </c>
      <c r="M1374" t="str">
        <f t="shared" si="404"/>
        <v>DEFAULT</v>
      </c>
      <c r="R1374" t="str">
        <f t="shared" si="405"/>
        <v>ZD014SKR</v>
      </c>
      <c r="S1374">
        <f t="shared" si="406"/>
        <v>0</v>
      </c>
      <c r="U1374" t="str">
        <f t="shared" si="407"/>
        <v>continue</v>
      </c>
      <c r="V1374" t="str">
        <f t="shared" si="408"/>
        <v>manual</v>
      </c>
      <c r="W1374" s="5">
        <f t="shared" si="409"/>
        <v>1369.3071</v>
      </c>
      <c r="Y1374" t="b">
        <f t="shared" si="410"/>
        <v>1</v>
      </c>
      <c r="Z1374" t="b">
        <f t="shared" si="411"/>
        <v>0</v>
      </c>
      <c r="AB1374" t="str">
        <f t="shared" si="412"/>
        <v>https://shop.officineitalianezard.it/contents/imgs/products/1_410-ducati-multistrada1000-part.jpg</v>
      </c>
      <c r="AE1374" t="b">
        <v>0</v>
      </c>
    </row>
    <row r="1375" spans="1:31" x14ac:dyDescent="0.2">
      <c r="A1375" t="str">
        <f t="shared" si="399"/>
        <v>https://shop.officineitalianezard.it/en/products/index/ducati-multistrada-exhaust-zard-7127-67/</v>
      </c>
      <c r="B1375" t="b">
        <f>COUNTIF($A$2:$A1375, A1375)&gt;1</f>
        <v>1</v>
      </c>
      <c r="C1375" t="b">
        <f t="shared" si="400"/>
        <v>0</v>
      </c>
      <c r="D1375">
        <f>VLOOKUP(A1375,variant_counts!A:B, 2, FALSE)</f>
        <v>1</v>
      </c>
      <c r="E1375" t="str">
        <f t="shared" si="413"/>
        <v>zard-exhaust-headers-kit-212-silencer-ducati-multistrada-62010001100-under-seat-version-zd014skr</v>
      </c>
      <c r="F1375" t="str">
        <f t="shared" si="401"/>
        <v>ZARD EXHAUST HEADERS KIT + 2&gt;1&gt;2 SILENCER DUCATI MULTISTRADA 620/1000/1100 UNDER-SEAT VERSION ZD014SKR</v>
      </c>
      <c r="G1375" t="str">
        <f t="shared" si="402"/>
        <v/>
      </c>
      <c r="H1375" t="str">
        <f t="shared" si="414"/>
        <v/>
      </c>
      <c r="I1375" t="str">
        <f t="shared" si="415"/>
        <v/>
      </c>
      <c r="J1375" t="str">
        <f t="shared" si="416"/>
        <v/>
      </c>
      <c r="K1375" t="str">
        <f t="shared" si="417"/>
        <v/>
      </c>
      <c r="L1375" t="str">
        <f t="shared" si="403"/>
        <v/>
      </c>
      <c r="M1375" t="str">
        <f t="shared" si="404"/>
        <v/>
      </c>
      <c r="R1375" t="str">
        <f t="shared" si="405"/>
        <v/>
      </c>
      <c r="S1375" t="str">
        <f t="shared" si="406"/>
        <v/>
      </c>
      <c r="U1375" t="str">
        <f t="shared" si="407"/>
        <v/>
      </c>
      <c r="V1375" t="str">
        <f t="shared" si="408"/>
        <v/>
      </c>
      <c r="W1375" s="5" t="str">
        <f t="shared" si="409"/>
        <v/>
      </c>
      <c r="Y1375" t="str">
        <f t="shared" si="410"/>
        <v/>
      </c>
      <c r="Z1375" t="str">
        <f t="shared" si="411"/>
        <v/>
      </c>
      <c r="AB1375" t="str">
        <f t="shared" si="412"/>
        <v>https://shop.officineitalianezard.it/contents/imgs/products/1_411-ducati-multistrada1000.jpg</v>
      </c>
      <c r="AE1375" t="b">
        <v>0</v>
      </c>
    </row>
    <row r="1376" spans="1:31" x14ac:dyDescent="0.2">
      <c r="A1376" t="str">
        <f t="shared" si="399"/>
        <v>https://shop.officineitalianezard.it/en/products/index/ducati-multistrada-exhaust-zard-7127-67/</v>
      </c>
      <c r="B1376" t="b">
        <f>COUNTIF($A$2:$A1376, A1376)&gt;1</f>
        <v>1</v>
      </c>
      <c r="C1376" t="b">
        <f t="shared" si="400"/>
        <v>0</v>
      </c>
      <c r="D1376">
        <f>VLOOKUP(A1376,variant_counts!A:B, 2, FALSE)</f>
        <v>1</v>
      </c>
      <c r="E1376" t="str">
        <f t="shared" si="413"/>
        <v>zard-exhaust-headers-kit-212-silencer-ducati-multistrada-62010001100-under-seat-version-zd014skr</v>
      </c>
      <c r="F1376" t="str">
        <f t="shared" si="401"/>
        <v>ZARD EXHAUST HEADERS KIT + 2&gt;1&gt;2 SILENCER DUCATI MULTISTRADA 620/1000/1100 UNDER-SEAT VERSION ZD014SKR</v>
      </c>
      <c r="G1376" t="str">
        <f t="shared" si="402"/>
        <v/>
      </c>
      <c r="H1376" t="str">
        <f t="shared" si="414"/>
        <v/>
      </c>
      <c r="I1376" t="str">
        <f t="shared" si="415"/>
        <v/>
      </c>
      <c r="J1376" t="str">
        <f t="shared" si="416"/>
        <v/>
      </c>
      <c r="K1376" t="str">
        <f t="shared" si="417"/>
        <v/>
      </c>
      <c r="L1376" t="str">
        <f t="shared" si="403"/>
        <v/>
      </c>
      <c r="M1376" t="str">
        <f t="shared" si="404"/>
        <v/>
      </c>
      <c r="R1376" t="str">
        <f t="shared" si="405"/>
        <v/>
      </c>
      <c r="S1376" t="str">
        <f t="shared" si="406"/>
        <v/>
      </c>
      <c r="U1376" t="str">
        <f t="shared" si="407"/>
        <v/>
      </c>
      <c r="V1376" t="str">
        <f t="shared" si="408"/>
        <v/>
      </c>
      <c r="W1376" s="5" t="str">
        <f t="shared" si="409"/>
        <v/>
      </c>
      <c r="Y1376" t="str">
        <f t="shared" si="410"/>
        <v/>
      </c>
      <c r="Z1376" t="str">
        <f t="shared" si="411"/>
        <v/>
      </c>
      <c r="AB1376" t="str">
        <f t="shared" si="412"/>
        <v>https://shop.officineitalianezard.it/contents/imgs/products/1_562-scarichi%20moto%20ducati%20zard.jpg</v>
      </c>
      <c r="AE1376" t="b">
        <v>0</v>
      </c>
    </row>
    <row r="1377" spans="1:31" x14ac:dyDescent="0.2">
      <c r="A1377" t="str">
        <f t="shared" si="399"/>
        <v>https://shop.officineitalianezard.it/en/products/index/ducati-multistrada-exhaust-zard-7127-67/</v>
      </c>
      <c r="B1377" t="b">
        <f>COUNTIF($A$2:$A1377, A1377)&gt;1</f>
        <v>1</v>
      </c>
      <c r="C1377" t="b">
        <f t="shared" si="400"/>
        <v>1</v>
      </c>
      <c r="D1377">
        <f>VLOOKUP(A1377,variant_counts!A:B, 2, FALSE)</f>
        <v>1</v>
      </c>
      <c r="E1377" t="str">
        <f t="shared" si="413"/>
        <v>zard-exhaust-headers-kit-212-silencer-ducati-multistrada-62010001100-under-seat-version-zd014skr</v>
      </c>
      <c r="F1377" t="str">
        <f t="shared" si="401"/>
        <v>ZARD EXHAUST HEADERS KIT + 2&gt;1&gt;2 SILENCER DUCATI MULTISTRADA 620/1000/1100 UNDER-SEAT VERSION ZD014SKR</v>
      </c>
      <c r="G1377" t="str">
        <f t="shared" si="402"/>
        <v/>
      </c>
      <c r="H1377" t="str">
        <f t="shared" si="414"/>
        <v/>
      </c>
      <c r="I1377" t="str">
        <f t="shared" si="415"/>
        <v/>
      </c>
      <c r="J1377" t="str">
        <f t="shared" si="416"/>
        <v/>
      </c>
      <c r="K1377" t="str">
        <f t="shared" si="417"/>
        <v/>
      </c>
      <c r="L1377" t="str">
        <f t="shared" si="403"/>
        <v>Option</v>
      </c>
      <c r="M1377" t="str">
        <f t="shared" si="404"/>
        <v>HOMOLOGATED</v>
      </c>
      <c r="R1377" t="str">
        <f t="shared" si="405"/>
        <v>ZD014SKR</v>
      </c>
      <c r="S1377">
        <f t="shared" si="406"/>
        <v>0</v>
      </c>
      <c r="U1377" t="str">
        <f t="shared" si="407"/>
        <v>continue</v>
      </c>
      <c r="V1377" t="str">
        <f t="shared" si="408"/>
        <v>manual</v>
      </c>
      <c r="W1377" s="5">
        <f t="shared" si="409"/>
        <v>1442.1897000000001</v>
      </c>
      <c r="Y1377" t="b">
        <f t="shared" si="410"/>
        <v>1</v>
      </c>
      <c r="Z1377" t="b">
        <f t="shared" si="411"/>
        <v>0</v>
      </c>
      <c r="AB1377" t="str">
        <f t="shared" si="412"/>
        <v/>
      </c>
      <c r="AE1377" t="b">
        <v>0</v>
      </c>
    </row>
    <row r="1378" spans="1:31" x14ac:dyDescent="0.2">
      <c r="A1378" t="str">
        <f t="shared" si="399"/>
        <v>https://shop.officineitalianezard.it/en/products/index/ducati-multistrada-exhaust-zard-7126-67/</v>
      </c>
      <c r="B1378" t="b">
        <f>COUNTIF($A$2:$A1378, A1378)&gt;1</f>
        <v>0</v>
      </c>
      <c r="C1378" t="b">
        <f t="shared" si="400"/>
        <v>0</v>
      </c>
      <c r="D1378">
        <f>VLOOKUP(A1378,variant_counts!A:B, 2, FALSE)</f>
        <v>1</v>
      </c>
      <c r="E1378" t="str">
        <f t="shared" si="413"/>
        <v>zard-exhaust-silencer-ducati-multistrada-62010001100-under-seat-version-zd014ssr</v>
      </c>
      <c r="F1378" t="str">
        <f t="shared" si="401"/>
        <v>ZARD EXHAUST SILENCER DUCATI MULTISTRADA 620/1000/1100 UNDER-SEAT VERSION ZD014SSR</v>
      </c>
      <c r="G1378" t="str">
        <f t="shared" si="402"/>
        <v>&lt;p&gt;STEEL SILENCER RACING&lt;/p&gt;
&lt;p&gt;CARBON HEAT SHIELD&lt;br&gt;STEEL LICENCE PLATE STAND AND BLINKERS STAND&lt;/p&gt;
&lt;p&gt;ZARD SILENCER WEIGHT: KG 5.5&lt;br&gt;HARD INCREASE, COMPARED TO THE ORIGINAL EXHAUST SYSTEM, IN TERMS OF TORQUE AND POWER AT ANY RANGE (+2 HP).&lt;/p&gt;
&lt;p&gt;ASTONISHING SOUND.&lt;/p&gt;</v>
      </c>
      <c r="H1378" t="str">
        <f t="shared" si="414"/>
        <v>ZARD</v>
      </c>
      <c r="I1378" t="str">
        <f t="shared" si="415"/>
        <v>Exhaust Pipe</v>
      </c>
      <c r="J1378" t="str">
        <f t="shared" si="416"/>
        <v>Test</v>
      </c>
      <c r="K1378" t="b">
        <f t="shared" si="417"/>
        <v>0</v>
      </c>
      <c r="L1378" t="str">
        <f t="shared" si="403"/>
        <v>Option</v>
      </c>
      <c r="M1378" t="str">
        <f t="shared" si="404"/>
        <v>DEFAULT</v>
      </c>
      <c r="R1378" t="str">
        <f t="shared" si="405"/>
        <v>ZD014SSR</v>
      </c>
      <c r="S1378">
        <f t="shared" si="406"/>
        <v>0</v>
      </c>
      <c r="U1378" t="str">
        <f t="shared" si="407"/>
        <v>continue</v>
      </c>
      <c r="V1378" t="str">
        <f t="shared" si="408"/>
        <v>manual</v>
      </c>
      <c r="W1378" s="5">
        <f t="shared" si="409"/>
        <v>1009.0122000000001</v>
      </c>
      <c r="Y1378" t="b">
        <f t="shared" si="410"/>
        <v>1</v>
      </c>
      <c r="Z1378" t="b">
        <f t="shared" si="411"/>
        <v>0</v>
      </c>
      <c r="AB1378" t="str">
        <f t="shared" si="412"/>
        <v>https://shop.officineitalianezard.it/contents/imgs/products/1_408-ducati-multistrada1000-part.jpg</v>
      </c>
      <c r="AE1378" t="b">
        <v>0</v>
      </c>
    </row>
    <row r="1379" spans="1:31" x14ac:dyDescent="0.2">
      <c r="A1379" t="str">
        <f t="shared" si="399"/>
        <v>https://shop.officineitalianezard.it/en/products/index/ducati-multistrada-exhaust-zard-7126-67/</v>
      </c>
      <c r="B1379" t="b">
        <f>COUNTIF($A$2:$A1379, A1379)&gt;1</f>
        <v>1</v>
      </c>
      <c r="C1379" t="b">
        <f t="shared" si="400"/>
        <v>0</v>
      </c>
      <c r="D1379">
        <f>VLOOKUP(A1379,variant_counts!A:B, 2, FALSE)</f>
        <v>1</v>
      </c>
      <c r="E1379" t="str">
        <f t="shared" si="413"/>
        <v>zard-exhaust-silencer-ducati-multistrada-62010001100-under-seat-version-zd014ssr</v>
      </c>
      <c r="F1379" t="str">
        <f t="shared" si="401"/>
        <v>ZARD EXHAUST SILENCER DUCATI MULTISTRADA 620/1000/1100 UNDER-SEAT VERSION ZD014SSR</v>
      </c>
      <c r="G1379" t="str">
        <f t="shared" si="402"/>
        <v/>
      </c>
      <c r="H1379" t="str">
        <f t="shared" si="414"/>
        <v/>
      </c>
      <c r="I1379" t="str">
        <f t="shared" si="415"/>
        <v/>
      </c>
      <c r="J1379" t="str">
        <f t="shared" si="416"/>
        <v/>
      </c>
      <c r="K1379" t="str">
        <f t="shared" si="417"/>
        <v/>
      </c>
      <c r="L1379" t="str">
        <f t="shared" si="403"/>
        <v/>
      </c>
      <c r="M1379" t="str">
        <f t="shared" si="404"/>
        <v/>
      </c>
      <c r="R1379" t="str">
        <f t="shared" si="405"/>
        <v/>
      </c>
      <c r="S1379" t="str">
        <f t="shared" si="406"/>
        <v/>
      </c>
      <c r="U1379" t="str">
        <f t="shared" si="407"/>
        <v/>
      </c>
      <c r="V1379" t="str">
        <f t="shared" si="408"/>
        <v/>
      </c>
      <c r="W1379" s="5" t="str">
        <f t="shared" si="409"/>
        <v/>
      </c>
      <c r="Y1379" t="str">
        <f t="shared" si="410"/>
        <v/>
      </c>
      <c r="Z1379" t="str">
        <f t="shared" si="411"/>
        <v/>
      </c>
      <c r="AB1379" t="str">
        <f t="shared" si="412"/>
        <v>https://shop.officineitalianezard.it/contents/imgs/products/1_409-ducati-multistrada1000.jpg</v>
      </c>
      <c r="AE1379" t="b">
        <v>0</v>
      </c>
    </row>
    <row r="1380" spans="1:31" x14ac:dyDescent="0.2">
      <c r="A1380" t="str">
        <f t="shared" si="399"/>
        <v>https://shop.officineitalianezard.it/en/products/index/ducati-multistrada-exhaust-zard-7126-67/</v>
      </c>
      <c r="B1380" t="b">
        <f>COUNTIF($A$2:$A1380, A1380)&gt;1</f>
        <v>1</v>
      </c>
      <c r="C1380" t="b">
        <f t="shared" si="400"/>
        <v>0</v>
      </c>
      <c r="D1380">
        <f>VLOOKUP(A1380,variant_counts!A:B, 2, FALSE)</f>
        <v>1</v>
      </c>
      <c r="E1380" t="str">
        <f t="shared" si="413"/>
        <v>zard-exhaust-silencer-ducati-multistrada-62010001100-under-seat-version-zd014ssr</v>
      </c>
      <c r="F1380" t="str">
        <f t="shared" si="401"/>
        <v>ZARD EXHAUST SILENCER DUCATI MULTISTRADA 620/1000/1100 UNDER-SEAT VERSION ZD014SSR</v>
      </c>
      <c r="G1380" t="str">
        <f t="shared" si="402"/>
        <v/>
      </c>
      <c r="H1380" t="str">
        <f t="shared" si="414"/>
        <v/>
      </c>
      <c r="I1380" t="str">
        <f t="shared" si="415"/>
        <v/>
      </c>
      <c r="J1380" t="str">
        <f t="shared" si="416"/>
        <v/>
      </c>
      <c r="K1380" t="str">
        <f t="shared" si="417"/>
        <v/>
      </c>
      <c r="L1380" t="str">
        <f t="shared" si="403"/>
        <v/>
      </c>
      <c r="M1380" t="str">
        <f t="shared" si="404"/>
        <v/>
      </c>
      <c r="R1380" t="str">
        <f t="shared" si="405"/>
        <v/>
      </c>
      <c r="S1380" t="str">
        <f t="shared" si="406"/>
        <v/>
      </c>
      <c r="U1380" t="str">
        <f t="shared" si="407"/>
        <v/>
      </c>
      <c r="V1380" t="str">
        <f t="shared" si="408"/>
        <v/>
      </c>
      <c r="W1380" s="5" t="str">
        <f t="shared" si="409"/>
        <v/>
      </c>
      <c r="Y1380" t="str">
        <f t="shared" si="410"/>
        <v/>
      </c>
      <c r="Z1380" t="str">
        <f t="shared" si="411"/>
        <v/>
      </c>
      <c r="AB1380" t="str">
        <f t="shared" si="412"/>
        <v>https://shop.officineitalianezard.it/contents/imgs/products/1_561-scarichi%20moto%20ducati%20zard.jpg</v>
      </c>
      <c r="AE1380" t="b">
        <v>0</v>
      </c>
    </row>
    <row r="1381" spans="1:31" x14ac:dyDescent="0.2">
      <c r="A1381" t="str">
        <f t="shared" si="399"/>
        <v>https://shop.officineitalianezard.it/en/products/index/ducati-multistrada-exhaust-zard-7126-67/</v>
      </c>
      <c r="B1381" t="b">
        <f>COUNTIF($A$2:$A1381, A1381)&gt;1</f>
        <v>1</v>
      </c>
      <c r="C1381" t="b">
        <f t="shared" si="400"/>
        <v>1</v>
      </c>
      <c r="D1381">
        <f>VLOOKUP(A1381,variant_counts!A:B, 2, FALSE)</f>
        <v>1</v>
      </c>
      <c r="E1381" t="str">
        <f t="shared" si="413"/>
        <v>zard-exhaust-silencer-ducati-multistrada-62010001100-under-seat-version-zd014ssr</v>
      </c>
      <c r="F1381" t="str">
        <f t="shared" si="401"/>
        <v>ZARD EXHAUST SILENCER DUCATI MULTISTRADA 620/1000/1100 UNDER-SEAT VERSION ZD014SSR</v>
      </c>
      <c r="G1381" t="str">
        <f t="shared" si="402"/>
        <v/>
      </c>
      <c r="H1381" t="str">
        <f t="shared" si="414"/>
        <v/>
      </c>
      <c r="I1381" t="str">
        <f t="shared" si="415"/>
        <v/>
      </c>
      <c r="J1381" t="str">
        <f t="shared" si="416"/>
        <v/>
      </c>
      <c r="K1381" t="str">
        <f t="shared" si="417"/>
        <v/>
      </c>
      <c r="L1381" t="str">
        <f t="shared" si="403"/>
        <v>Option</v>
      </c>
      <c r="M1381" t="str">
        <f t="shared" si="404"/>
        <v>EURO 3 HOMOLOGATED</v>
      </c>
      <c r="R1381" t="str">
        <f t="shared" si="405"/>
        <v>ZD014SSR</v>
      </c>
      <c r="S1381">
        <f t="shared" si="406"/>
        <v>0</v>
      </c>
      <c r="U1381" t="str">
        <f t="shared" si="407"/>
        <v>continue</v>
      </c>
      <c r="V1381" t="str">
        <f t="shared" si="408"/>
        <v>manual</v>
      </c>
      <c r="W1381" s="5">
        <f t="shared" si="409"/>
        <v>1043.4000000000001</v>
      </c>
      <c r="Y1381" t="b">
        <f t="shared" si="410"/>
        <v>1</v>
      </c>
      <c r="Z1381" t="b">
        <f t="shared" si="411"/>
        <v>0</v>
      </c>
      <c r="AB1381" t="str">
        <f t="shared" si="412"/>
        <v/>
      </c>
      <c r="AE1381" t="b">
        <v>0</v>
      </c>
    </row>
    <row r="1382" spans="1:31" x14ac:dyDescent="0.2">
      <c r="A1382" t="str">
        <f t="shared" si="399"/>
        <v>https://shop.officineitalianezard.it/en/ducati-multistrada-1260-exhaust/</v>
      </c>
      <c r="B1382" t="b">
        <f>COUNTIF($A$2:$A1382, A1382)&gt;1</f>
        <v>0</v>
      </c>
      <c r="C1382" t="b">
        <f t="shared" si="400"/>
        <v>0</v>
      </c>
      <c r="D1382">
        <f>VLOOKUP(A1382,variant_counts!A:B, 2, FALSE)</f>
        <v>1</v>
      </c>
      <c r="E1382" t="str">
        <f t="shared" si="413"/>
        <v>zard-exhaust-slip-on-silencer-ducati-multistrada-1260-2018-19-short-version-zd021str-fc</v>
      </c>
      <c r="F1382" t="str">
        <f t="shared" si="401"/>
        <v>ZARD EXHAUST SLIP-ON SILENCER DUCATI MULTISTRADA 1260 2018-19 SHORT VERSION ZD021STR-FC</v>
      </c>
      <c r="G1382" t="str">
        <f t="shared" si="402"/>
        <v>&lt;p&gt;STAINLESS STEEL RACING SLIP-ON WITH TITANIUM&lt;br&gt;SLEEVE SILENCER AND REMOVABLE DB KILLER&lt;/p&gt;
&lt;p&gt;EURO 4 HOMOLOGATED VERSION AVAILABLE AS OPTIONAL&lt;br&gt; &lt;br&gt;CARBON ENDCAP AND CARBON HEAT SHIELD INCLUDED&lt;br&gt; &lt;br&gt;ORIGINAL EXHAUST WEIGHT: 2.6 KG&lt;br&gt;ZARD EXHAUST WEIGHT: 1.3 KG&lt;/p&gt;
&lt;p&gt;THE INSTALLATION OF ZARD EXHAUST DOES NOT&lt;br&gt;IMPLY ANY MODIFICATION TO ECU.&lt;/p&gt;
&lt;p&gt;&lt;span&gt;EXCLUSIVE DESIGN,&amp;nbsp;ASTONISHING SOUND.&lt;/span&gt;&lt;/p&gt;</v>
      </c>
      <c r="H1382" t="str">
        <f t="shared" si="414"/>
        <v>ZARD</v>
      </c>
      <c r="I1382" t="str">
        <f t="shared" si="415"/>
        <v>Exhaust Pipe</v>
      </c>
      <c r="J1382" t="str">
        <f t="shared" si="416"/>
        <v>Test</v>
      </c>
      <c r="K1382" t="b">
        <f t="shared" si="417"/>
        <v>0</v>
      </c>
      <c r="L1382" t="str">
        <f t="shared" si="403"/>
        <v>Option</v>
      </c>
      <c r="M1382" t="str">
        <f t="shared" si="404"/>
        <v>DEFAULT</v>
      </c>
      <c r="R1382" t="str">
        <f t="shared" si="405"/>
        <v>ZD021STR-FC</v>
      </c>
      <c r="S1382">
        <f t="shared" si="406"/>
        <v>0</v>
      </c>
      <c r="U1382" t="str">
        <f t="shared" si="407"/>
        <v>continue</v>
      </c>
      <c r="V1382" t="str">
        <f t="shared" si="408"/>
        <v>manual</v>
      </c>
      <c r="W1382" s="5">
        <f t="shared" si="409"/>
        <v>691.47450000000015</v>
      </c>
      <c r="Y1382" t="b">
        <f t="shared" si="410"/>
        <v>1</v>
      </c>
      <c r="Z1382" t="b">
        <f t="shared" si="411"/>
        <v>0</v>
      </c>
      <c r="AB1382" t="str">
        <f t="shared" si="412"/>
        <v>https://shop.officineitalianezard.it/contents/imgs/products/1_2538-scarico%20ducati%20multistrada%20zard.jpg</v>
      </c>
      <c r="AE1382" t="b">
        <v>0</v>
      </c>
    </row>
    <row r="1383" spans="1:31" x14ac:dyDescent="0.2">
      <c r="A1383" t="str">
        <f t="shared" si="399"/>
        <v>https://shop.officineitalianezard.it/en/ducati-multistrada-1260-exhaust/</v>
      </c>
      <c r="B1383" t="b">
        <f>COUNTIF($A$2:$A1383, A1383)&gt;1</f>
        <v>1</v>
      </c>
      <c r="C1383" t="b">
        <f t="shared" si="400"/>
        <v>0</v>
      </c>
      <c r="D1383">
        <f>VLOOKUP(A1383,variant_counts!A:B, 2, FALSE)</f>
        <v>1</v>
      </c>
      <c r="E1383" t="str">
        <f t="shared" si="413"/>
        <v>zard-exhaust-slip-on-silencer-ducati-multistrada-1260-2018-19-short-version-zd021str-fc</v>
      </c>
      <c r="F1383" t="str">
        <f t="shared" si="401"/>
        <v>ZARD EXHAUST SLIP-ON SILENCER DUCATI MULTISTRADA 1260 2018-19 SHORT VERSION ZD021STR-FC</v>
      </c>
      <c r="G1383" t="str">
        <f t="shared" si="402"/>
        <v/>
      </c>
      <c r="H1383" t="str">
        <f t="shared" si="414"/>
        <v/>
      </c>
      <c r="I1383" t="str">
        <f t="shared" si="415"/>
        <v/>
      </c>
      <c r="J1383" t="str">
        <f t="shared" si="416"/>
        <v/>
      </c>
      <c r="K1383" t="str">
        <f t="shared" si="417"/>
        <v/>
      </c>
      <c r="L1383" t="str">
        <f t="shared" si="403"/>
        <v/>
      </c>
      <c r="M1383" t="str">
        <f t="shared" si="404"/>
        <v/>
      </c>
      <c r="R1383" t="str">
        <f t="shared" si="405"/>
        <v/>
      </c>
      <c r="S1383" t="str">
        <f t="shared" si="406"/>
        <v/>
      </c>
      <c r="U1383" t="str">
        <f t="shared" si="407"/>
        <v/>
      </c>
      <c r="V1383" t="str">
        <f t="shared" si="408"/>
        <v/>
      </c>
      <c r="W1383" s="5" t="str">
        <f t="shared" si="409"/>
        <v/>
      </c>
      <c r="Y1383" t="str">
        <f t="shared" si="410"/>
        <v/>
      </c>
      <c r="Z1383" t="str">
        <f t="shared" si="411"/>
        <v/>
      </c>
      <c r="AB1383" t="str">
        <f t="shared" si="412"/>
        <v>https://shop.officineitalianezard.it/contents/imgs/products/1_2535-scarico%20ducati%20multistrada%20zard%201.jpg</v>
      </c>
      <c r="AE1383" t="b">
        <v>0</v>
      </c>
    </row>
    <row r="1384" spans="1:31" x14ac:dyDescent="0.2">
      <c r="A1384" t="str">
        <f t="shared" si="399"/>
        <v>https://shop.officineitalianezard.it/en/ducati-multistrada-1260-exhaust/</v>
      </c>
      <c r="B1384" t="b">
        <f>COUNTIF($A$2:$A1384, A1384)&gt;1</f>
        <v>1</v>
      </c>
      <c r="C1384" t="b">
        <f t="shared" si="400"/>
        <v>0</v>
      </c>
      <c r="D1384">
        <f>VLOOKUP(A1384,variant_counts!A:B, 2, FALSE)</f>
        <v>1</v>
      </c>
      <c r="E1384" t="str">
        <f t="shared" si="413"/>
        <v>zard-exhaust-slip-on-silencer-ducati-multistrada-1260-2018-19-short-version-zd021str-fc</v>
      </c>
      <c r="F1384" t="str">
        <f t="shared" si="401"/>
        <v>ZARD EXHAUST SLIP-ON SILENCER DUCATI MULTISTRADA 1260 2018-19 SHORT VERSION ZD021STR-FC</v>
      </c>
      <c r="G1384" t="str">
        <f t="shared" si="402"/>
        <v/>
      </c>
      <c r="H1384" t="str">
        <f t="shared" si="414"/>
        <v/>
      </c>
      <c r="I1384" t="str">
        <f t="shared" si="415"/>
        <v/>
      </c>
      <c r="J1384" t="str">
        <f t="shared" si="416"/>
        <v/>
      </c>
      <c r="K1384" t="str">
        <f t="shared" si="417"/>
        <v/>
      </c>
      <c r="L1384" t="str">
        <f t="shared" si="403"/>
        <v/>
      </c>
      <c r="M1384" t="str">
        <f t="shared" si="404"/>
        <v/>
      </c>
      <c r="R1384" t="str">
        <f t="shared" si="405"/>
        <v/>
      </c>
      <c r="S1384" t="str">
        <f t="shared" si="406"/>
        <v/>
      </c>
      <c r="U1384" t="str">
        <f t="shared" si="407"/>
        <v/>
      </c>
      <c r="V1384" t="str">
        <f t="shared" si="408"/>
        <v/>
      </c>
      <c r="W1384" s="5" t="str">
        <f t="shared" si="409"/>
        <v/>
      </c>
      <c r="Y1384" t="str">
        <f t="shared" si="410"/>
        <v/>
      </c>
      <c r="Z1384" t="str">
        <f t="shared" si="411"/>
        <v/>
      </c>
      <c r="AB1384" t="str">
        <f t="shared" si="412"/>
        <v>https://shop.officineitalianezard.it/contents/imgs/products/1_2536-scarico%20ducati%20multistrada%20zard%202.jpg</v>
      </c>
      <c r="AE1384" t="b">
        <v>0</v>
      </c>
    </row>
    <row r="1385" spans="1:31" x14ac:dyDescent="0.2">
      <c r="A1385" t="str">
        <f t="shared" si="399"/>
        <v>https://shop.officineitalianezard.it/en/ducati-multistrada-1260-exhaust/</v>
      </c>
      <c r="B1385" t="b">
        <f>COUNTIF($A$2:$A1385, A1385)&gt;1</f>
        <v>1</v>
      </c>
      <c r="C1385" t="b">
        <f t="shared" si="400"/>
        <v>0</v>
      </c>
      <c r="D1385">
        <f>VLOOKUP(A1385,variant_counts!A:B, 2, FALSE)</f>
        <v>1</v>
      </c>
      <c r="E1385" t="str">
        <f t="shared" si="413"/>
        <v>zard-exhaust-slip-on-silencer-ducati-multistrada-1260-2018-19-short-version-zd021str-fc</v>
      </c>
      <c r="F1385" t="str">
        <f t="shared" si="401"/>
        <v>ZARD EXHAUST SLIP-ON SILENCER DUCATI MULTISTRADA 1260 2018-19 SHORT VERSION ZD021STR-FC</v>
      </c>
      <c r="G1385" t="str">
        <f t="shared" si="402"/>
        <v/>
      </c>
      <c r="H1385" t="str">
        <f t="shared" si="414"/>
        <v/>
      </c>
      <c r="I1385" t="str">
        <f t="shared" si="415"/>
        <v/>
      </c>
      <c r="J1385" t="str">
        <f t="shared" si="416"/>
        <v/>
      </c>
      <c r="K1385" t="str">
        <f t="shared" si="417"/>
        <v/>
      </c>
      <c r="L1385" t="str">
        <f t="shared" si="403"/>
        <v/>
      </c>
      <c r="M1385" t="str">
        <f t="shared" si="404"/>
        <v/>
      </c>
      <c r="R1385" t="str">
        <f t="shared" si="405"/>
        <v/>
      </c>
      <c r="S1385" t="str">
        <f t="shared" si="406"/>
        <v/>
      </c>
      <c r="U1385" t="str">
        <f t="shared" si="407"/>
        <v/>
      </c>
      <c r="V1385" t="str">
        <f t="shared" si="408"/>
        <v/>
      </c>
      <c r="W1385" s="5" t="str">
        <f t="shared" si="409"/>
        <v/>
      </c>
      <c r="Y1385" t="str">
        <f t="shared" si="410"/>
        <v/>
      </c>
      <c r="Z1385" t="str">
        <f t="shared" si="411"/>
        <v/>
      </c>
      <c r="AB1385" t="str">
        <f t="shared" si="412"/>
        <v>https://shop.officineitalianezard.it/contents/imgs/products/1_2537-scarico%20ducati%20multistrada%20zard%203.jpg</v>
      </c>
      <c r="AE1385" t="b">
        <v>0</v>
      </c>
    </row>
    <row r="1386" spans="1:31" x14ac:dyDescent="0.2">
      <c r="A1386" t="str">
        <f t="shared" si="399"/>
        <v>https://shop.officineitalianezard.it/en/ducati-multistrada-1260-exhaust/</v>
      </c>
      <c r="B1386" t="b">
        <f>COUNTIF($A$2:$A1386, A1386)&gt;1</f>
        <v>1</v>
      </c>
      <c r="C1386" t="b">
        <f t="shared" si="400"/>
        <v>1</v>
      </c>
      <c r="D1386">
        <f>VLOOKUP(A1386,variant_counts!A:B, 2, FALSE)</f>
        <v>1</v>
      </c>
      <c r="E1386" t="str">
        <f t="shared" si="413"/>
        <v>zard-exhaust-slip-on-silencer-ducati-multistrada-1260-2018-19-short-version-zd021str-fc</v>
      </c>
      <c r="F1386" t="str">
        <f t="shared" si="401"/>
        <v>ZARD EXHAUST SLIP-ON SILENCER DUCATI MULTISTRADA 1260 2018-19 SHORT VERSION ZD021STR-FC</v>
      </c>
      <c r="G1386" t="str">
        <f t="shared" si="402"/>
        <v/>
      </c>
      <c r="H1386" t="str">
        <f t="shared" si="414"/>
        <v/>
      </c>
      <c r="I1386" t="str">
        <f t="shared" si="415"/>
        <v/>
      </c>
      <c r="J1386" t="str">
        <f t="shared" si="416"/>
        <v/>
      </c>
      <c r="K1386" t="str">
        <f t="shared" si="417"/>
        <v/>
      </c>
      <c r="L1386" t="str">
        <f t="shared" si="403"/>
        <v>Option</v>
      </c>
      <c r="M1386" t="str">
        <f t="shared" si="404"/>
        <v>EURO 4 HOMOLOGATED</v>
      </c>
      <c r="R1386" t="str">
        <f t="shared" si="405"/>
        <v>ZD021STR-FC</v>
      </c>
      <c r="S1386">
        <f t="shared" si="406"/>
        <v>0</v>
      </c>
      <c r="U1386" t="str">
        <f t="shared" si="407"/>
        <v>continue</v>
      </c>
      <c r="V1386" t="str">
        <f t="shared" si="408"/>
        <v>manual</v>
      </c>
      <c r="W1386" s="5">
        <f t="shared" si="409"/>
        <v>716.86020000000008</v>
      </c>
      <c r="Y1386" t="b">
        <f t="shared" si="410"/>
        <v>1</v>
      </c>
      <c r="Z1386" t="b">
        <f t="shared" si="411"/>
        <v>0</v>
      </c>
      <c r="AB1386" t="str">
        <f t="shared" si="412"/>
        <v/>
      </c>
      <c r="AE1386" t="b">
        <v>0</v>
      </c>
    </row>
    <row r="1387" spans="1:31" x14ac:dyDescent="0.2">
      <c r="A1387" t="str">
        <f t="shared" si="399"/>
        <v>https://shop.officineitalianezard.it/en/ducati-panigale-v4-zard-exhaust-2/</v>
      </c>
      <c r="B1387" t="b">
        <f>COUNTIF($A$2:$A1387, A1387)&gt;1</f>
        <v>0</v>
      </c>
      <c r="C1387" t="b">
        <f t="shared" si="400"/>
        <v>0</v>
      </c>
      <c r="D1387">
        <f>VLOOKUP(A1387,variant_counts!A:B, 2, FALSE)</f>
        <v>1</v>
      </c>
      <c r="E1387" t="str">
        <f t="shared" si="413"/>
        <v>zard-exhaust-compensated-exhaust-ducati-panigale-v4v4s-slip-on-version-zd1101tsr</v>
      </c>
      <c r="F1387" t="str">
        <f t="shared" si="401"/>
        <v>ZARD EXHAUST COMPENSATED EXHAUST DUCATI PANIGALE V4/V4S SLIP-ON VERSION ZD1101TSR</v>
      </c>
      <c r="G1387" t="str">
        <f t="shared" si="402"/>
        <v>&lt;p&gt;&lt;a href="/en/posts/index/ducati-panigale-v4-exhaust-24-237/"&gt;&lt;span style="color: #ff0000;"&gt;&lt;strong&gt;THE PERFECT MATCH BETWEEN TECHNOLOGY AND ITALIAN STYLE,&lt;br&gt;READ MORE ABOUT&amp;nbsp;ZARD&amp;nbsp;FOR DUCATI PANIGALE V4,&lt;br&gt;TESTED&amp;nbsp;BY DARIO MARCHETTI!&lt;/strong&gt;&lt;/span&gt;&lt;/a&gt;&lt;/p&gt;
&lt;p&gt;STAINLESS STEEL SLIP-ON KIT WITH TITANIUM SLEEVE&lt;br&gt;SILENCERS AND CARBON HEAT SHIELDS&lt;/p&gt;
&lt;p&gt;ORIGINAL EXHAUST WEIGHT:&amp;nbsp;10.1&amp;nbsp;KG&lt;br&gt;&lt;span&gt;ZARD EXHAUST WEIGHT:&amp;nbsp;5 KG&lt;/span&gt;&lt;/p&gt;
&lt;p&gt;&lt;span&gt;THE INSTALLATION OF ZARD EXHAUST DOES NOT IMPLY ANY&lt;br&gt;MODIFICATION TO ECU.&amp;nbsp;&lt;/span&gt;KIT INCLUDES&amp;nbsp;&lt;span&gt;EXHAUST SERVO ELIMINATOR.&lt;/span&gt;&lt;/p&gt;</v>
      </c>
      <c r="H1387" t="str">
        <f t="shared" si="414"/>
        <v>ZARD</v>
      </c>
      <c r="I1387" t="str">
        <f t="shared" si="415"/>
        <v>Exhaust Pipe</v>
      </c>
      <c r="J1387" t="str">
        <f t="shared" si="416"/>
        <v>Test</v>
      </c>
      <c r="K1387" t="b">
        <f t="shared" si="417"/>
        <v>0</v>
      </c>
      <c r="L1387" t="str">
        <f t="shared" si="403"/>
        <v>Option</v>
      </c>
      <c r="M1387" t="str">
        <f t="shared" si="404"/>
        <v>DEFAULT</v>
      </c>
      <c r="R1387" t="str">
        <f t="shared" si="405"/>
        <v>ZD1101TSR</v>
      </c>
      <c r="S1387">
        <f t="shared" si="406"/>
        <v>0</v>
      </c>
      <c r="U1387" t="str">
        <f t="shared" si="407"/>
        <v>continue</v>
      </c>
      <c r="V1387" t="str">
        <f t="shared" si="408"/>
        <v>manual</v>
      </c>
      <c r="W1387" s="5">
        <f t="shared" si="409"/>
        <v>1910.6541000000002</v>
      </c>
      <c r="Y1387" t="b">
        <f t="shared" si="410"/>
        <v>1</v>
      </c>
      <c r="Z1387" t="b">
        <f t="shared" si="411"/>
        <v>0</v>
      </c>
      <c r="AB1387" t="str">
        <f t="shared" si="412"/>
        <v>https://shop.officineitalianezard.it/contents/imgs/products/1_2547-scarichi%20panigale%20v4%20zard%20slip%20on.jpg</v>
      </c>
      <c r="AE1387" t="b">
        <v>0</v>
      </c>
    </row>
    <row r="1388" spans="1:31" x14ac:dyDescent="0.2">
      <c r="A1388" t="str">
        <f t="shared" si="399"/>
        <v>https://shop.officineitalianezard.it/en/ducati-panigale-v4-zard-exhaust-2/</v>
      </c>
      <c r="B1388" t="b">
        <f>COUNTIF($A$2:$A1388, A1388)&gt;1</f>
        <v>1</v>
      </c>
      <c r="C1388" t="b">
        <f t="shared" si="400"/>
        <v>0</v>
      </c>
      <c r="D1388">
        <f>VLOOKUP(A1388,variant_counts!A:B, 2, FALSE)</f>
        <v>1</v>
      </c>
      <c r="E1388" t="str">
        <f t="shared" si="413"/>
        <v>zard-exhaust-compensated-exhaust-ducati-panigale-v4v4s-slip-on-version-zd1101tsr</v>
      </c>
      <c r="F1388" t="str">
        <f t="shared" si="401"/>
        <v>ZARD EXHAUST COMPENSATED EXHAUST DUCATI PANIGALE V4/V4S SLIP-ON VERSION ZD1101TSR</v>
      </c>
      <c r="G1388" t="str">
        <f t="shared" si="402"/>
        <v/>
      </c>
      <c r="H1388" t="str">
        <f t="shared" si="414"/>
        <v/>
      </c>
      <c r="I1388" t="str">
        <f t="shared" si="415"/>
        <v/>
      </c>
      <c r="J1388" t="str">
        <f t="shared" si="416"/>
        <v/>
      </c>
      <c r="K1388" t="str">
        <f t="shared" si="417"/>
        <v/>
      </c>
      <c r="L1388" t="str">
        <f t="shared" si="403"/>
        <v/>
      </c>
      <c r="M1388" t="str">
        <f t="shared" si="404"/>
        <v/>
      </c>
      <c r="R1388" t="str">
        <f t="shared" si="405"/>
        <v/>
      </c>
      <c r="S1388" t="str">
        <f t="shared" si="406"/>
        <v/>
      </c>
      <c r="U1388" t="str">
        <f t="shared" si="407"/>
        <v/>
      </c>
      <c r="V1388" t="str">
        <f t="shared" si="408"/>
        <v/>
      </c>
      <c r="W1388" s="5" t="str">
        <f t="shared" si="409"/>
        <v/>
      </c>
      <c r="Y1388" t="str">
        <f t="shared" si="410"/>
        <v/>
      </c>
      <c r="Z1388" t="str">
        <f t="shared" si="411"/>
        <v/>
      </c>
      <c r="AB1388" t="str">
        <f t="shared" si="412"/>
        <v>https://shop.officineitalianezard.it/contents/imgs/products/1_2489-scarico%20ducati%20panigale%20v4%20zard%20-%201.jpg</v>
      </c>
      <c r="AE1388" t="b">
        <v>0</v>
      </c>
    </row>
    <row r="1389" spans="1:31" x14ac:dyDescent="0.2">
      <c r="A1389" t="str">
        <f t="shared" si="399"/>
        <v>https://shop.officineitalianezard.it/en/ducati-panigale-v4-zard-exhaust-2/</v>
      </c>
      <c r="B1389" t="b">
        <f>COUNTIF($A$2:$A1389, A1389)&gt;1</f>
        <v>1</v>
      </c>
      <c r="C1389" t="b">
        <f t="shared" si="400"/>
        <v>0</v>
      </c>
      <c r="D1389">
        <f>VLOOKUP(A1389,variant_counts!A:B, 2, FALSE)</f>
        <v>1</v>
      </c>
      <c r="E1389" t="str">
        <f t="shared" si="413"/>
        <v>zard-exhaust-compensated-exhaust-ducati-panigale-v4v4s-slip-on-version-zd1101tsr</v>
      </c>
      <c r="F1389" t="str">
        <f t="shared" si="401"/>
        <v>ZARD EXHAUST COMPENSATED EXHAUST DUCATI PANIGALE V4/V4S SLIP-ON VERSION ZD1101TSR</v>
      </c>
      <c r="G1389" t="str">
        <f t="shared" si="402"/>
        <v/>
      </c>
      <c r="H1389" t="str">
        <f t="shared" si="414"/>
        <v/>
      </c>
      <c r="I1389" t="str">
        <f t="shared" si="415"/>
        <v/>
      </c>
      <c r="J1389" t="str">
        <f t="shared" si="416"/>
        <v/>
      </c>
      <c r="K1389" t="str">
        <f t="shared" si="417"/>
        <v/>
      </c>
      <c r="L1389" t="str">
        <f t="shared" si="403"/>
        <v/>
      </c>
      <c r="M1389" t="str">
        <f t="shared" si="404"/>
        <v/>
      </c>
      <c r="R1389" t="str">
        <f t="shared" si="405"/>
        <v/>
      </c>
      <c r="S1389" t="str">
        <f t="shared" si="406"/>
        <v/>
      </c>
      <c r="U1389" t="str">
        <f t="shared" si="407"/>
        <v/>
      </c>
      <c r="V1389" t="str">
        <f t="shared" si="408"/>
        <v/>
      </c>
      <c r="W1389" s="5" t="str">
        <f t="shared" si="409"/>
        <v/>
      </c>
      <c r="Y1389" t="str">
        <f t="shared" si="410"/>
        <v/>
      </c>
      <c r="Z1389" t="str">
        <f t="shared" si="411"/>
        <v/>
      </c>
      <c r="AB1389" t="str">
        <f t="shared" si="412"/>
        <v>https://shop.officineitalianezard.it/contents/imgs/products/1_2490-scarico%20ducati%20panigale%20v4%20zard%20-%202.jpg</v>
      </c>
      <c r="AE1389" t="b">
        <v>0</v>
      </c>
    </row>
    <row r="1390" spans="1:31" x14ac:dyDescent="0.2">
      <c r="A1390" t="str">
        <f t="shared" si="399"/>
        <v>https://shop.officineitalianezard.it/en/ducati-panigale-v4-zard-exhaust-2/</v>
      </c>
      <c r="B1390" t="b">
        <f>COUNTIF($A$2:$A1390, A1390)&gt;1</f>
        <v>1</v>
      </c>
      <c r="C1390" t="b">
        <f t="shared" si="400"/>
        <v>0</v>
      </c>
      <c r="D1390">
        <f>VLOOKUP(A1390,variant_counts!A:B, 2, FALSE)</f>
        <v>1</v>
      </c>
      <c r="E1390" t="str">
        <f t="shared" si="413"/>
        <v>zard-exhaust-compensated-exhaust-ducati-panigale-v4v4s-slip-on-version-zd1101tsr</v>
      </c>
      <c r="F1390" t="str">
        <f t="shared" si="401"/>
        <v>ZARD EXHAUST COMPENSATED EXHAUST DUCATI PANIGALE V4/V4S SLIP-ON VERSION ZD1101TSR</v>
      </c>
      <c r="G1390" t="str">
        <f t="shared" si="402"/>
        <v/>
      </c>
      <c r="H1390" t="str">
        <f t="shared" si="414"/>
        <v/>
      </c>
      <c r="I1390" t="str">
        <f t="shared" si="415"/>
        <v/>
      </c>
      <c r="J1390" t="str">
        <f t="shared" si="416"/>
        <v/>
      </c>
      <c r="K1390" t="str">
        <f t="shared" si="417"/>
        <v/>
      </c>
      <c r="L1390" t="str">
        <f t="shared" si="403"/>
        <v/>
      </c>
      <c r="M1390" t="str">
        <f t="shared" si="404"/>
        <v/>
      </c>
      <c r="R1390" t="str">
        <f t="shared" si="405"/>
        <v/>
      </c>
      <c r="S1390" t="str">
        <f t="shared" si="406"/>
        <v/>
      </c>
      <c r="U1390" t="str">
        <f t="shared" si="407"/>
        <v/>
      </c>
      <c r="V1390" t="str">
        <f t="shared" si="408"/>
        <v/>
      </c>
      <c r="W1390" s="5" t="str">
        <f t="shared" si="409"/>
        <v/>
      </c>
      <c r="Y1390" t="str">
        <f t="shared" si="410"/>
        <v/>
      </c>
      <c r="Z1390" t="str">
        <f t="shared" si="411"/>
        <v/>
      </c>
      <c r="AB1390" t="str">
        <f t="shared" si="412"/>
        <v>https://shop.officineitalianezard.it/contents/imgs/products/1_2491-scarico%20ducati%20panigale%20v4%20zard%20-%203.jpg</v>
      </c>
      <c r="AE1390" t="b">
        <v>0</v>
      </c>
    </row>
    <row r="1391" spans="1:31" x14ac:dyDescent="0.2">
      <c r="A1391" t="str">
        <f t="shared" si="399"/>
        <v>https://shop.officineitalianezard.it/en/ducati-panigale-v4-zard-exhaust-2/</v>
      </c>
      <c r="B1391" t="b">
        <f>COUNTIF($A$2:$A1391, A1391)&gt;1</f>
        <v>1</v>
      </c>
      <c r="C1391" t="b">
        <f t="shared" si="400"/>
        <v>0</v>
      </c>
      <c r="D1391">
        <f>VLOOKUP(A1391,variant_counts!A:B, 2, FALSE)</f>
        <v>1</v>
      </c>
      <c r="E1391" t="str">
        <f t="shared" si="413"/>
        <v>zard-exhaust-compensated-exhaust-ducati-panigale-v4v4s-slip-on-version-zd1101tsr</v>
      </c>
      <c r="F1391" t="str">
        <f t="shared" si="401"/>
        <v>ZARD EXHAUST COMPENSATED EXHAUST DUCATI PANIGALE V4/V4S SLIP-ON VERSION ZD1101TSR</v>
      </c>
      <c r="G1391" t="str">
        <f t="shared" si="402"/>
        <v/>
      </c>
      <c r="H1391" t="str">
        <f t="shared" si="414"/>
        <v/>
      </c>
      <c r="I1391" t="str">
        <f t="shared" si="415"/>
        <v/>
      </c>
      <c r="J1391" t="str">
        <f t="shared" si="416"/>
        <v/>
      </c>
      <c r="K1391" t="str">
        <f t="shared" si="417"/>
        <v/>
      </c>
      <c r="L1391" t="str">
        <f t="shared" si="403"/>
        <v/>
      </c>
      <c r="M1391" t="str">
        <f t="shared" si="404"/>
        <v/>
      </c>
      <c r="R1391" t="str">
        <f t="shared" si="405"/>
        <v/>
      </c>
      <c r="S1391" t="str">
        <f t="shared" si="406"/>
        <v/>
      </c>
      <c r="U1391" t="str">
        <f t="shared" si="407"/>
        <v/>
      </c>
      <c r="V1391" t="str">
        <f t="shared" si="408"/>
        <v/>
      </c>
      <c r="W1391" s="5" t="str">
        <f t="shared" si="409"/>
        <v/>
      </c>
      <c r="Y1391" t="str">
        <f t="shared" si="410"/>
        <v/>
      </c>
      <c r="Z1391" t="str">
        <f t="shared" si="411"/>
        <v/>
      </c>
      <c r="AB1391" t="str">
        <f t="shared" si="412"/>
        <v>https://shop.officineitalianezard.it/contents/imgs/products/1_2492-scarico%20ducati%20panigale%20v4%20zard%20-%204.jpg</v>
      </c>
      <c r="AE1391" t="b">
        <v>0</v>
      </c>
    </row>
    <row r="1392" spans="1:31" x14ac:dyDescent="0.2">
      <c r="A1392" t="str">
        <f t="shared" si="399"/>
        <v>https://shop.officineitalianezard.it/en/ducati-panigale-v4-zard-exhaust-2/</v>
      </c>
      <c r="B1392" t="b">
        <f>COUNTIF($A$2:$A1392, A1392)&gt;1</f>
        <v>1</v>
      </c>
      <c r="C1392" t="b">
        <f t="shared" si="400"/>
        <v>1</v>
      </c>
      <c r="D1392">
        <f>VLOOKUP(A1392,variant_counts!A:B, 2, FALSE)</f>
        <v>1</v>
      </c>
      <c r="E1392" t="str">
        <f t="shared" si="413"/>
        <v>zard-exhaust-compensated-exhaust-ducati-panigale-v4v4s-slip-on-version-zd1101tsr</v>
      </c>
      <c r="F1392" t="str">
        <f t="shared" si="401"/>
        <v>ZARD EXHAUST COMPENSATED EXHAUST DUCATI PANIGALE V4/V4S SLIP-ON VERSION ZD1101TSR</v>
      </c>
      <c r="G1392" t="str">
        <f t="shared" si="402"/>
        <v/>
      </c>
      <c r="H1392" t="str">
        <f t="shared" si="414"/>
        <v/>
      </c>
      <c r="I1392" t="str">
        <f t="shared" si="415"/>
        <v/>
      </c>
      <c r="J1392" t="str">
        <f t="shared" si="416"/>
        <v/>
      </c>
      <c r="K1392" t="str">
        <f t="shared" si="417"/>
        <v/>
      </c>
      <c r="L1392" t="str">
        <f t="shared" si="403"/>
        <v>Option</v>
      </c>
      <c r="M1392" t="str">
        <f t="shared" si="404"/>
        <v>TITANIUM END-CAP</v>
      </c>
      <c r="R1392" t="str">
        <f t="shared" si="405"/>
        <v>ZD1101TSR</v>
      </c>
      <c r="S1392">
        <f t="shared" si="406"/>
        <v>0</v>
      </c>
      <c r="U1392" t="str">
        <f t="shared" si="407"/>
        <v>continue</v>
      </c>
      <c r="V1392" t="str">
        <f t="shared" si="408"/>
        <v>manual</v>
      </c>
      <c r="W1392" s="5">
        <f t="shared" si="409"/>
        <v>2075.2449000000001</v>
      </c>
      <c r="Y1392" t="b">
        <f t="shared" si="410"/>
        <v>1</v>
      </c>
      <c r="Z1392" t="b">
        <f t="shared" si="411"/>
        <v>0</v>
      </c>
      <c r="AB1392" t="str">
        <f t="shared" si="412"/>
        <v/>
      </c>
      <c r="AE1392" t="b">
        <v>0</v>
      </c>
    </row>
    <row r="1393" spans="1:31" x14ac:dyDescent="0.2">
      <c r="A1393" t="str">
        <f t="shared" si="399"/>
        <v>https://shop.officineitalianezard.it/en/ducati-panigale-v4-zard-exhaust/</v>
      </c>
      <c r="B1393" t="b">
        <f>COUNTIF($A$2:$A1393, A1393)&gt;1</f>
        <v>0</v>
      </c>
      <c r="C1393" t="b">
        <f t="shared" si="400"/>
        <v>0</v>
      </c>
      <c r="D1393">
        <f>VLOOKUP(A1393,variant_counts!A:B, 2, FALSE)</f>
        <v>1</v>
      </c>
      <c r="E1393" t="str">
        <f t="shared" si="413"/>
        <v>zard-exhaust-full-kit-ducati-panigale-v4v4s-dm5-version-zd1100stkr</v>
      </c>
      <c r="F1393" t="str">
        <f t="shared" si="401"/>
        <v>ZARD EXHAUST FULL KIT DUCATI PANIGALE V4/V4S DM5 VERSION ZD1100STKR</v>
      </c>
      <c r="G1393" t="str">
        <f t="shared" si="402"/>
        <v>&lt;p&gt;#DM5 RACING KIT WITH REMOVABLE DB KILLERS.&lt;/p&gt;
&lt;p&gt;THE KIT IS COMPOSED BY STAINLESS STEEL HEADERS&lt;br&gt;AND TITANIUM SILENCERS.&lt;br&gt;FULL TITANIUM VERSION AVAILABLE AS OPTIONAL.&lt;/p&gt;
&lt;p&gt;ORIGINAL EXHAUST WEIGHT: 9.6 KG&lt;br&gt;ZARD EXHAUST WEIGHT: 5.1&lt;span&gt;&amp;nbsp;&lt;/span&gt;&lt;br&gt;POWER: +16 CV&lt;/p&gt;
&lt;p&gt;&lt;span&gt;THE INSTALLATION OF ZARD EXHAUST DOES NOT IMPLY ANY&lt;br&gt;MODIFICATION TO ECU.&lt;br&gt;&lt;br&gt;&lt;/span&gt;&lt;span&gt;KIT INCLUDES: AIR FILTER SPRINT FILTER®,&amp;nbsp;&lt;/span&gt;&lt;span&gt;EXHAUST SERVO ELIMINATOR&lt;br&gt;AND RACING UNDERBELLY (WHITE).&lt;/span&gt;&lt;/p&gt;
&lt;p&gt;&lt;span style="color: #ff0000;"&gt;&lt;strong&gt;FOR FITTING ZARD DM5 EXHAUST, YOU MUST KEEP&lt;br&gt;DUCATI OEM PRIMARY PIPES.&lt;/strong&gt;&lt;/span&gt;&lt;/p&gt;
&lt;p&gt;&lt;strong&gt;NOTE&lt;/strong&gt;: PICTURES SHOW THE FIRST DM5 VERSION WITH&lt;br&gt;WELDED ENDCAPS ON SILENCERS.&lt;br&gt;MORE PICTURES&amp;nbsp;WILL BE AVAILABLE SOON!&lt;/p&gt;
&lt;p&gt;&lt;span&gt;AVAILABLE ON DEMAND ONLY. DELIVERY 4 WORKING WEEKS FROM ORDER.&lt;/span&gt;&lt;/p&gt;</v>
      </c>
      <c r="H1393" t="str">
        <f t="shared" si="414"/>
        <v>ZARD</v>
      </c>
      <c r="I1393" t="str">
        <f t="shared" si="415"/>
        <v>Exhaust Pipe</v>
      </c>
      <c r="J1393" t="str">
        <f t="shared" si="416"/>
        <v>Test</v>
      </c>
      <c r="K1393" t="b">
        <f t="shared" si="417"/>
        <v>0</v>
      </c>
      <c r="L1393" t="str">
        <f t="shared" si="403"/>
        <v>Option</v>
      </c>
      <c r="M1393" t="str">
        <f t="shared" si="404"/>
        <v>DEFAULT</v>
      </c>
      <c r="R1393" t="str">
        <f t="shared" si="405"/>
        <v>ZD1100STKR</v>
      </c>
      <c r="S1393">
        <f t="shared" si="406"/>
        <v>0</v>
      </c>
      <c r="U1393" t="str">
        <f t="shared" si="407"/>
        <v>continue</v>
      </c>
      <c r="V1393" t="str">
        <f t="shared" si="408"/>
        <v>manual</v>
      </c>
      <c r="W1393" s="5">
        <f t="shared" si="409"/>
        <v>3320.8980000000006</v>
      </c>
      <c r="Y1393" t="b">
        <f t="shared" si="410"/>
        <v>1</v>
      </c>
      <c r="Z1393" t="b">
        <f t="shared" si="411"/>
        <v>0</v>
      </c>
      <c r="AB1393" t="str">
        <f t="shared" si="412"/>
        <v>https://shop.officineitalianezard.it/contents/imgs/products/1_2532-scarico%20ducati%20panigale%20v4%20zard%20exhaust%201.jpg</v>
      </c>
      <c r="AE1393" t="b">
        <v>0</v>
      </c>
    </row>
    <row r="1394" spans="1:31" x14ac:dyDescent="0.2">
      <c r="A1394" t="str">
        <f t="shared" si="399"/>
        <v>https://shop.officineitalianezard.it/en/ducati-panigale-v4-zard-exhaust/</v>
      </c>
      <c r="B1394" t="b">
        <f>COUNTIF($A$2:$A1394, A1394)&gt;1</f>
        <v>1</v>
      </c>
      <c r="C1394" t="b">
        <f t="shared" si="400"/>
        <v>0</v>
      </c>
      <c r="D1394">
        <f>VLOOKUP(A1394,variant_counts!A:B, 2, FALSE)</f>
        <v>1</v>
      </c>
      <c r="E1394" t="str">
        <f t="shared" si="413"/>
        <v>zard-exhaust-full-kit-ducati-panigale-v4v4s-dm5-version-zd1100stkr</v>
      </c>
      <c r="F1394" t="str">
        <f t="shared" si="401"/>
        <v>ZARD EXHAUST FULL KIT DUCATI PANIGALE V4/V4S DM5 VERSION ZD1100STKR</v>
      </c>
      <c r="G1394" t="str">
        <f t="shared" si="402"/>
        <v/>
      </c>
      <c r="H1394" t="str">
        <f t="shared" si="414"/>
        <v/>
      </c>
      <c r="I1394" t="str">
        <f t="shared" si="415"/>
        <v/>
      </c>
      <c r="J1394" t="str">
        <f t="shared" si="416"/>
        <v/>
      </c>
      <c r="K1394" t="str">
        <f t="shared" si="417"/>
        <v/>
      </c>
      <c r="L1394" t="str">
        <f t="shared" si="403"/>
        <v/>
      </c>
      <c r="M1394" t="str">
        <f t="shared" si="404"/>
        <v/>
      </c>
      <c r="R1394" t="str">
        <f t="shared" si="405"/>
        <v/>
      </c>
      <c r="S1394" t="str">
        <f t="shared" si="406"/>
        <v/>
      </c>
      <c r="U1394" t="str">
        <f t="shared" si="407"/>
        <v/>
      </c>
      <c r="V1394" t="str">
        <f t="shared" si="408"/>
        <v/>
      </c>
      <c r="W1394" s="5" t="str">
        <f t="shared" si="409"/>
        <v/>
      </c>
      <c r="Y1394" t="str">
        <f t="shared" si="410"/>
        <v/>
      </c>
      <c r="Z1394" t="str">
        <f t="shared" si="411"/>
        <v/>
      </c>
      <c r="AB1394" t="str">
        <f t="shared" si="412"/>
        <v>https://shop.officineitalianezard.it/contents/imgs/products/1_2530-scarico%20ducati%20panigale%20v4%20zard%20exhaust%202.jpg</v>
      </c>
      <c r="AE1394" t="b">
        <v>0</v>
      </c>
    </row>
    <row r="1395" spans="1:31" x14ac:dyDescent="0.2">
      <c r="A1395" t="str">
        <f t="shared" si="399"/>
        <v>https://shop.officineitalianezard.it/en/ducati-panigale-v4-zard-exhaust/</v>
      </c>
      <c r="B1395" t="b">
        <f>COUNTIF($A$2:$A1395, A1395)&gt;1</f>
        <v>1</v>
      </c>
      <c r="C1395" t="b">
        <f t="shared" si="400"/>
        <v>0</v>
      </c>
      <c r="D1395">
        <f>VLOOKUP(A1395,variant_counts!A:B, 2, FALSE)</f>
        <v>1</v>
      </c>
      <c r="E1395" t="str">
        <f t="shared" si="413"/>
        <v>zard-exhaust-full-kit-ducati-panigale-v4v4s-dm5-version-zd1100stkr</v>
      </c>
      <c r="F1395" t="str">
        <f t="shared" si="401"/>
        <v>ZARD EXHAUST FULL KIT DUCATI PANIGALE V4/V4S DM5 VERSION ZD1100STKR</v>
      </c>
      <c r="G1395" t="str">
        <f t="shared" si="402"/>
        <v/>
      </c>
      <c r="H1395" t="str">
        <f t="shared" si="414"/>
        <v/>
      </c>
      <c r="I1395" t="str">
        <f t="shared" si="415"/>
        <v/>
      </c>
      <c r="J1395" t="str">
        <f t="shared" si="416"/>
        <v/>
      </c>
      <c r="K1395" t="str">
        <f t="shared" si="417"/>
        <v/>
      </c>
      <c r="L1395" t="str">
        <f t="shared" si="403"/>
        <v/>
      </c>
      <c r="M1395" t="str">
        <f t="shared" si="404"/>
        <v/>
      </c>
      <c r="R1395" t="str">
        <f t="shared" si="405"/>
        <v/>
      </c>
      <c r="S1395" t="str">
        <f t="shared" si="406"/>
        <v/>
      </c>
      <c r="U1395" t="str">
        <f t="shared" si="407"/>
        <v/>
      </c>
      <c r="V1395" t="str">
        <f t="shared" si="408"/>
        <v/>
      </c>
      <c r="W1395" s="5" t="str">
        <f t="shared" si="409"/>
        <v/>
      </c>
      <c r="Y1395" t="str">
        <f t="shared" si="410"/>
        <v/>
      </c>
      <c r="Z1395" t="str">
        <f t="shared" si="411"/>
        <v/>
      </c>
      <c r="AB1395" t="str">
        <f t="shared" si="412"/>
        <v>https://shop.officineitalianezard.it/contents/imgs/products/1_2527-scarico%20ducati%20panigale%20v4%20zard%20exhaust%203.jpg</v>
      </c>
      <c r="AE1395" t="b">
        <v>0</v>
      </c>
    </row>
    <row r="1396" spans="1:31" x14ac:dyDescent="0.2">
      <c r="A1396" t="str">
        <f t="shared" si="399"/>
        <v>https://shop.officineitalianezard.it/en/ducati-panigale-v4-zard-exhaust/</v>
      </c>
      <c r="B1396" t="b">
        <f>COUNTIF($A$2:$A1396, A1396)&gt;1</f>
        <v>1</v>
      </c>
      <c r="C1396" t="b">
        <f t="shared" si="400"/>
        <v>0</v>
      </c>
      <c r="D1396">
        <f>VLOOKUP(A1396,variant_counts!A:B, 2, FALSE)</f>
        <v>1</v>
      </c>
      <c r="E1396" t="str">
        <f t="shared" si="413"/>
        <v>zard-exhaust-full-kit-ducati-panigale-v4v4s-dm5-version-zd1100stkr</v>
      </c>
      <c r="F1396" t="str">
        <f t="shared" si="401"/>
        <v>ZARD EXHAUST FULL KIT DUCATI PANIGALE V4/V4S DM5 VERSION ZD1100STKR</v>
      </c>
      <c r="G1396" t="str">
        <f t="shared" si="402"/>
        <v/>
      </c>
      <c r="H1396" t="str">
        <f t="shared" si="414"/>
        <v/>
      </c>
      <c r="I1396" t="str">
        <f t="shared" si="415"/>
        <v/>
      </c>
      <c r="J1396" t="str">
        <f t="shared" si="416"/>
        <v/>
      </c>
      <c r="K1396" t="str">
        <f t="shared" si="417"/>
        <v/>
      </c>
      <c r="L1396" t="str">
        <f t="shared" si="403"/>
        <v/>
      </c>
      <c r="M1396" t="str">
        <f t="shared" si="404"/>
        <v/>
      </c>
      <c r="R1396" t="str">
        <f t="shared" si="405"/>
        <v/>
      </c>
      <c r="S1396" t="str">
        <f t="shared" si="406"/>
        <v/>
      </c>
      <c r="U1396" t="str">
        <f t="shared" si="407"/>
        <v/>
      </c>
      <c r="V1396" t="str">
        <f t="shared" si="408"/>
        <v/>
      </c>
      <c r="W1396" s="5" t="str">
        <f t="shared" si="409"/>
        <v/>
      </c>
      <c r="Y1396" t="str">
        <f t="shared" si="410"/>
        <v/>
      </c>
      <c r="Z1396" t="str">
        <f t="shared" si="411"/>
        <v/>
      </c>
      <c r="AB1396" t="str">
        <f t="shared" si="412"/>
        <v>https://shop.officineitalianezard.it/contents/imgs/products/1_2531-scarico%20ducati%20panigale%20v4%20zard%20exhaust%205.jpg</v>
      </c>
      <c r="AE1396" t="b">
        <v>0</v>
      </c>
    </row>
    <row r="1397" spans="1:31" x14ac:dyDescent="0.2">
      <c r="A1397" t="str">
        <f t="shared" si="399"/>
        <v>https://shop.officineitalianezard.it/en/ducati-panigale-v4-zard-exhaust/</v>
      </c>
      <c r="B1397" t="b">
        <f>COUNTIF($A$2:$A1397, A1397)&gt;1</f>
        <v>1</v>
      </c>
      <c r="C1397" t="b">
        <f t="shared" si="400"/>
        <v>0</v>
      </c>
      <c r="D1397">
        <f>VLOOKUP(A1397,variant_counts!A:B, 2, FALSE)</f>
        <v>1</v>
      </c>
      <c r="E1397" t="str">
        <f t="shared" si="413"/>
        <v>zard-exhaust-full-kit-ducati-panigale-v4v4s-dm5-version-zd1100stkr</v>
      </c>
      <c r="F1397" t="str">
        <f t="shared" si="401"/>
        <v>ZARD EXHAUST FULL KIT DUCATI PANIGALE V4/V4S DM5 VERSION ZD1100STKR</v>
      </c>
      <c r="G1397" t="str">
        <f t="shared" si="402"/>
        <v/>
      </c>
      <c r="H1397" t="str">
        <f t="shared" si="414"/>
        <v/>
      </c>
      <c r="I1397" t="str">
        <f t="shared" si="415"/>
        <v/>
      </c>
      <c r="J1397" t="str">
        <f t="shared" si="416"/>
        <v/>
      </c>
      <c r="K1397" t="str">
        <f t="shared" si="417"/>
        <v/>
      </c>
      <c r="L1397" t="str">
        <f t="shared" si="403"/>
        <v/>
      </c>
      <c r="M1397" t="str">
        <f t="shared" si="404"/>
        <v/>
      </c>
      <c r="R1397" t="str">
        <f t="shared" si="405"/>
        <v/>
      </c>
      <c r="S1397" t="str">
        <f t="shared" si="406"/>
        <v/>
      </c>
      <c r="U1397" t="str">
        <f t="shared" si="407"/>
        <v/>
      </c>
      <c r="V1397" t="str">
        <f t="shared" si="408"/>
        <v/>
      </c>
      <c r="W1397" s="5" t="str">
        <f t="shared" si="409"/>
        <v/>
      </c>
      <c r="Y1397" t="str">
        <f t="shared" si="410"/>
        <v/>
      </c>
      <c r="Z1397" t="str">
        <f t="shared" si="411"/>
        <v/>
      </c>
      <c r="AB1397" t="str">
        <f t="shared" si="412"/>
        <v>https://shop.officineitalianezard.it/contents/imgs/products/1_2529-scarico%20ducati%20panigale%20v4%20zard%20exhaust%206.jpg</v>
      </c>
      <c r="AE1397" t="b">
        <v>0</v>
      </c>
    </row>
    <row r="1398" spans="1:31" x14ac:dyDescent="0.2">
      <c r="A1398" t="str">
        <f t="shared" si="399"/>
        <v>https://shop.officineitalianezard.it/en/ducati-panigale-v4-zard-exhaust/</v>
      </c>
      <c r="B1398" t="b">
        <f>COUNTIF($A$2:$A1398, A1398)&gt;1</f>
        <v>1</v>
      </c>
      <c r="C1398" t="b">
        <f t="shared" si="400"/>
        <v>0</v>
      </c>
      <c r="D1398">
        <f>VLOOKUP(A1398,variant_counts!A:B, 2, FALSE)</f>
        <v>1</v>
      </c>
      <c r="E1398" t="str">
        <f t="shared" si="413"/>
        <v>zard-exhaust-full-kit-ducati-panigale-v4v4s-dm5-version-zd1100stkr</v>
      </c>
      <c r="F1398" t="str">
        <f t="shared" si="401"/>
        <v>ZARD EXHAUST FULL KIT DUCATI PANIGALE V4/V4S DM5 VERSION ZD1100STKR</v>
      </c>
      <c r="G1398" t="str">
        <f t="shared" si="402"/>
        <v/>
      </c>
      <c r="H1398" t="str">
        <f t="shared" si="414"/>
        <v/>
      </c>
      <c r="I1398" t="str">
        <f t="shared" si="415"/>
        <v/>
      </c>
      <c r="J1398" t="str">
        <f t="shared" si="416"/>
        <v/>
      </c>
      <c r="K1398" t="str">
        <f t="shared" si="417"/>
        <v/>
      </c>
      <c r="L1398" t="str">
        <f t="shared" si="403"/>
        <v/>
      </c>
      <c r="M1398" t="str">
        <f t="shared" si="404"/>
        <v/>
      </c>
      <c r="R1398" t="str">
        <f t="shared" si="405"/>
        <v/>
      </c>
      <c r="S1398" t="str">
        <f t="shared" si="406"/>
        <v/>
      </c>
      <c r="U1398" t="str">
        <f t="shared" si="407"/>
        <v/>
      </c>
      <c r="V1398" t="str">
        <f t="shared" si="408"/>
        <v/>
      </c>
      <c r="W1398" s="5" t="str">
        <f t="shared" si="409"/>
        <v/>
      </c>
      <c r="Y1398" t="str">
        <f t="shared" si="410"/>
        <v/>
      </c>
      <c r="Z1398" t="str">
        <f t="shared" si="411"/>
        <v/>
      </c>
      <c r="AB1398" t="str">
        <f t="shared" si="412"/>
        <v>https://shop.officineitalianezard.it/contents/imgs/products/1_2528-scarico%20ducati%20panigale%20v4%20zard%20exhaust%204.jpg</v>
      </c>
      <c r="AE1398" t="b">
        <v>0</v>
      </c>
    </row>
    <row r="1399" spans="1:31" x14ac:dyDescent="0.2">
      <c r="A1399" t="str">
        <f t="shared" si="399"/>
        <v>https://shop.officineitalianezard.it/en/ducati-panigale-v4-zard-exhaust/</v>
      </c>
      <c r="B1399" t="b">
        <f>COUNTIF($A$2:$A1399, A1399)&gt;1</f>
        <v>1</v>
      </c>
      <c r="C1399" t="b">
        <f t="shared" si="400"/>
        <v>1</v>
      </c>
      <c r="D1399">
        <f>VLOOKUP(A1399,variant_counts!A:B, 2, FALSE)</f>
        <v>1</v>
      </c>
      <c r="E1399" t="str">
        <f t="shared" si="413"/>
        <v>zard-exhaust-full-kit-ducati-panigale-v4v4s-dm5-version-zd1100stkr</v>
      </c>
      <c r="F1399" t="str">
        <f t="shared" si="401"/>
        <v>ZARD EXHAUST FULL KIT DUCATI PANIGALE V4/V4S DM5 VERSION ZD1100STKR</v>
      </c>
      <c r="G1399" t="str">
        <f t="shared" si="402"/>
        <v/>
      </c>
      <c r="H1399" t="str">
        <f t="shared" si="414"/>
        <v/>
      </c>
      <c r="I1399" t="str">
        <f t="shared" si="415"/>
        <v/>
      </c>
      <c r="J1399" t="str">
        <f t="shared" si="416"/>
        <v/>
      </c>
      <c r="K1399" t="str">
        <f t="shared" si="417"/>
        <v/>
      </c>
      <c r="L1399" t="str">
        <f t="shared" si="403"/>
        <v>Option</v>
      </c>
      <c r="M1399" t="str">
        <f t="shared" si="404"/>
        <v>FULL TITANIUM</v>
      </c>
      <c r="R1399" t="str">
        <f t="shared" si="405"/>
        <v>ZD1100STKR</v>
      </c>
      <c r="S1399">
        <f t="shared" si="406"/>
        <v>0</v>
      </c>
      <c r="U1399" t="str">
        <f t="shared" si="407"/>
        <v>continue</v>
      </c>
      <c r="V1399" t="str">
        <f t="shared" si="408"/>
        <v>manual</v>
      </c>
      <c r="W1399" s="5">
        <f t="shared" si="409"/>
        <v>3771.2694000000001</v>
      </c>
      <c r="Y1399" t="b">
        <f t="shared" si="410"/>
        <v>1</v>
      </c>
      <c r="Z1399" t="b">
        <f t="shared" si="411"/>
        <v>0</v>
      </c>
      <c r="AB1399" t="str">
        <f t="shared" si="412"/>
        <v/>
      </c>
      <c r="AE1399" t="b">
        <v>0</v>
      </c>
    </row>
    <row r="1400" spans="1:31" x14ac:dyDescent="0.2">
      <c r="A1400" t="str">
        <f t="shared" si="399"/>
        <v>https://shop.officineitalianezard.it/en/ducati-multistrada-950-exhaust-2/</v>
      </c>
      <c r="B1400" t="b">
        <f>COUNTIF($A$2:$A1400, A1400)&gt;1</f>
        <v>0</v>
      </c>
      <c r="C1400" t="b">
        <f t="shared" si="400"/>
        <v>0</v>
      </c>
      <c r="D1400">
        <f>VLOOKUP(A1400,variant_counts!A:B, 2, FALSE)</f>
        <v>0</v>
      </c>
      <c r="E1400" t="str">
        <f t="shared" si="413"/>
        <v>zard-exhaust-slip-on-silencer-ducati-multistrada-950-2018-2019-short-version-zd022str-fc</v>
      </c>
      <c r="F1400" t="str">
        <f t="shared" si="401"/>
        <v>ZARD EXHAUST SLIP-ON SILENCER DUCATI MULTISTRADA 950 2018-2019 SHORT VERSION ZD022STR-FC</v>
      </c>
      <c r="G1400" t="str">
        <f t="shared" si="402"/>
        <v>&lt;p&gt;STAINLESS STEEL RACING SLIP-ON WITH TITANIUM&lt;br&gt;SLEEVE SILENCER AND REMOVABLE DB KILLER&lt;/p&gt;
&lt;p&gt;CARBON ENDCAP INCLUDED&lt;br&gt; &lt;br&gt;ORIGINAL EXHAUST WEIGHT: 2.6 KG&lt;br&gt;ZARD EXHAUST WEIGHT: 1 KG&lt;/p&gt;
&lt;p&gt;THE INSTALLATION OF ZARD EXHAUST DOES NOT&lt;br&gt;IMPLY ANY MODIFICATION TO ECU.&lt;/p&gt;
&lt;p&gt;&lt;span&gt;EXCLUSIVE DESIGN,&amp;nbsp;ASTONISHING SOUND.&lt;/span&gt;&lt;/p&gt;</v>
      </c>
      <c r="H1400" t="str">
        <f t="shared" si="414"/>
        <v>ZARD</v>
      </c>
      <c r="I1400" t="str">
        <f t="shared" si="415"/>
        <v>Exhaust Pipe</v>
      </c>
      <c r="J1400" t="str">
        <f t="shared" si="416"/>
        <v>Test</v>
      </c>
      <c r="K1400" t="b">
        <f t="shared" si="417"/>
        <v>0</v>
      </c>
      <c r="L1400" t="str">
        <f t="shared" si="403"/>
        <v>Title</v>
      </c>
      <c r="M1400" t="str">
        <f t="shared" si="404"/>
        <v>Default Title</v>
      </c>
      <c r="R1400" t="str">
        <f t="shared" si="405"/>
        <v>ZD022STR-FC</v>
      </c>
      <c r="S1400">
        <f t="shared" si="406"/>
        <v>0</v>
      </c>
      <c r="U1400" t="str">
        <f t="shared" si="407"/>
        <v>continue</v>
      </c>
      <c r="V1400" t="str">
        <f t="shared" si="408"/>
        <v>manual</v>
      </c>
      <c r="W1400" s="5">
        <f t="shared" si="409"/>
        <v>636.88470000000007</v>
      </c>
      <c r="Y1400" t="b">
        <f t="shared" si="410"/>
        <v>1</v>
      </c>
      <c r="Z1400" t="b">
        <f t="shared" si="411"/>
        <v>0</v>
      </c>
      <c r="AB1400" t="str">
        <f t="shared" si="412"/>
        <v>https://shop.officineitalianezard.it/contents/imgs/products/1_2614-scarico%20ducati%20multistrada%20950%20-%20zard%20exhaust%201.jpg</v>
      </c>
      <c r="AE1400" t="b">
        <v>0</v>
      </c>
    </row>
    <row r="1401" spans="1:31" x14ac:dyDescent="0.2">
      <c r="A1401" t="str">
        <f t="shared" si="399"/>
        <v>https://shop.officineitalianezard.it/en/ducati-multistrada-950-exhaust-2/</v>
      </c>
      <c r="B1401" t="b">
        <f>COUNTIF($A$2:$A1401, A1401)&gt;1</f>
        <v>1</v>
      </c>
      <c r="C1401" t="b">
        <f t="shared" si="400"/>
        <v>0</v>
      </c>
      <c r="D1401">
        <f>VLOOKUP(A1401,variant_counts!A:B, 2, FALSE)</f>
        <v>0</v>
      </c>
      <c r="E1401" t="str">
        <f t="shared" si="413"/>
        <v>zard-exhaust-slip-on-silencer-ducati-multistrada-950-2018-2019-short-version-zd022str-fc</v>
      </c>
      <c r="F1401" t="str">
        <f t="shared" si="401"/>
        <v>ZARD EXHAUST SLIP-ON SILENCER DUCATI MULTISTRADA 950 2018-2019 SHORT VERSION ZD022STR-FC</v>
      </c>
      <c r="G1401" t="str">
        <f t="shared" si="402"/>
        <v/>
      </c>
      <c r="H1401" t="str">
        <f t="shared" si="414"/>
        <v/>
      </c>
      <c r="I1401" t="str">
        <f t="shared" si="415"/>
        <v/>
      </c>
      <c r="J1401" t="str">
        <f t="shared" si="416"/>
        <v/>
      </c>
      <c r="K1401" t="str">
        <f t="shared" si="417"/>
        <v/>
      </c>
      <c r="L1401" t="str">
        <f t="shared" si="403"/>
        <v/>
      </c>
      <c r="M1401" t="str">
        <f t="shared" si="404"/>
        <v/>
      </c>
      <c r="R1401" t="str">
        <f t="shared" si="405"/>
        <v/>
      </c>
      <c r="S1401" t="str">
        <f t="shared" si="406"/>
        <v/>
      </c>
      <c r="U1401" t="str">
        <f t="shared" si="407"/>
        <v/>
      </c>
      <c r="V1401" t="str">
        <f t="shared" si="408"/>
        <v/>
      </c>
      <c r="W1401" s="5" t="str">
        <f t="shared" si="409"/>
        <v/>
      </c>
      <c r="Y1401" t="str">
        <f t="shared" si="410"/>
        <v/>
      </c>
      <c r="Z1401" t="str">
        <f t="shared" si="411"/>
        <v/>
      </c>
      <c r="AB1401" t="str">
        <f t="shared" si="412"/>
        <v>https://shop.officineitalianezard.it/contents/imgs/products/1_2615-scarico%20ducati%20multistrada%20950%20-%20zard%20exhaust%202.jpg</v>
      </c>
      <c r="AE1401" t="b">
        <v>0</v>
      </c>
    </row>
    <row r="1402" spans="1:31" x14ac:dyDescent="0.2">
      <c r="A1402" t="str">
        <f t="shared" si="399"/>
        <v>https://shop.officineitalianezard.it/en/ducati-multistrada-950-exhaust-2/</v>
      </c>
      <c r="B1402" t="b">
        <f>COUNTIF($A$2:$A1402, A1402)&gt;1</f>
        <v>1</v>
      </c>
      <c r="C1402" t="b">
        <f t="shared" si="400"/>
        <v>0</v>
      </c>
      <c r="D1402">
        <f>VLOOKUP(A1402,variant_counts!A:B, 2, FALSE)</f>
        <v>0</v>
      </c>
      <c r="E1402" t="str">
        <f t="shared" si="413"/>
        <v>zard-exhaust-slip-on-silencer-ducati-multistrada-950-2018-2019-short-version-zd022str-fc</v>
      </c>
      <c r="F1402" t="str">
        <f t="shared" si="401"/>
        <v>ZARD EXHAUST SLIP-ON SILENCER DUCATI MULTISTRADA 950 2018-2019 SHORT VERSION ZD022STR-FC</v>
      </c>
      <c r="G1402" t="str">
        <f t="shared" si="402"/>
        <v/>
      </c>
      <c r="H1402" t="str">
        <f t="shared" si="414"/>
        <v/>
      </c>
      <c r="I1402" t="str">
        <f t="shared" si="415"/>
        <v/>
      </c>
      <c r="J1402" t="str">
        <f t="shared" si="416"/>
        <v/>
      </c>
      <c r="K1402" t="str">
        <f t="shared" si="417"/>
        <v/>
      </c>
      <c r="L1402" t="str">
        <f t="shared" si="403"/>
        <v/>
      </c>
      <c r="M1402" t="str">
        <f t="shared" si="404"/>
        <v/>
      </c>
      <c r="R1402" t="str">
        <f t="shared" si="405"/>
        <v/>
      </c>
      <c r="S1402" t="str">
        <f t="shared" si="406"/>
        <v/>
      </c>
      <c r="U1402" t="str">
        <f t="shared" si="407"/>
        <v/>
      </c>
      <c r="V1402" t="str">
        <f t="shared" si="408"/>
        <v/>
      </c>
      <c r="W1402" s="5" t="str">
        <f t="shared" si="409"/>
        <v/>
      </c>
      <c r="Y1402" t="str">
        <f t="shared" si="410"/>
        <v/>
      </c>
      <c r="Z1402" t="str">
        <f t="shared" si="411"/>
        <v/>
      </c>
      <c r="AB1402" t="str">
        <f t="shared" si="412"/>
        <v>https://shop.officineitalianezard.it/contents/imgs/products/1_2616-scarico%20ducati%20multistrada%20950%20-%20zard%20exhaust%203.jpg</v>
      </c>
      <c r="AE1402" t="b">
        <v>0</v>
      </c>
    </row>
    <row r="1403" spans="1:31" x14ac:dyDescent="0.2">
      <c r="A1403" t="str">
        <f t="shared" si="399"/>
        <v>https://shop.officineitalianezard.it/en/products/index/n-2-over-and-under-carbonium-mufflers-7125-66/</v>
      </c>
      <c r="B1403" t="b">
        <f>COUNTIF($A$2:$A1403, A1403)&gt;1</f>
        <v>0</v>
      </c>
      <c r="C1403" t="b">
        <f t="shared" si="400"/>
        <v>0</v>
      </c>
      <c r="D1403">
        <f>VLOOKUP(A1403,variant_counts!A:B, 2, FALSE)</f>
        <v>3</v>
      </c>
      <c r="E1403" t="str">
        <f t="shared" si="413"/>
        <v>zard-exhaust-silencers-ducati-monster-s4rs---t-stretta-overlapped-version-zd028hsr-1</v>
      </c>
      <c r="F1403" t="str">
        <f t="shared" si="401"/>
        <v>ZARD EXHAUST SILENCERS DUCATI MONSTER S4RS - T. STRETTA OVERLAPPED VERSION ZD028HSR-1</v>
      </c>
      <c r="G1403" t="str">
        <f t="shared" si="402"/>
        <v>&lt;p&gt;N.2 STEEL CARBON SILENCERS RACING WITH REMOVABLE DB KILLER&lt;/p&gt;
&lt;p&gt;ZARD SILENCERS WEIGHT: KG 3.8&lt;br&gt;ZARD MANIFOLD WEIGHT: KG 1.7&lt;/p&gt;
&lt;p&gt;HARD INCREASE, COMPARED TO THE ORIGINAL EXHAUST SYSTEM, IN TERMS OF TORQUE AND POWER AT ANY RANGE (+2.5 FOR THE SOLE MUFFLERS, + 5 HP FOR THE FULL KITS).&lt;/p&gt;
&lt;p&gt;ASTONISHING SOUND.&lt;/p&gt;</v>
      </c>
      <c r="H1403" t="str">
        <f t="shared" si="414"/>
        <v>ZARD</v>
      </c>
      <c r="I1403" t="str">
        <f t="shared" si="415"/>
        <v>Exhaust Pipe</v>
      </c>
      <c r="J1403" t="str">
        <f t="shared" si="416"/>
        <v>Test</v>
      </c>
      <c r="K1403" t="b">
        <f t="shared" si="417"/>
        <v>0</v>
      </c>
      <c r="L1403" t="str">
        <f t="shared" si="403"/>
        <v/>
      </c>
      <c r="M1403" t="str">
        <f t="shared" si="404"/>
        <v/>
      </c>
      <c r="R1403" t="str">
        <f t="shared" si="405"/>
        <v/>
      </c>
      <c r="S1403" t="str">
        <f t="shared" si="406"/>
        <v/>
      </c>
      <c r="U1403" t="str">
        <f t="shared" si="407"/>
        <v/>
      </c>
      <c r="V1403" t="str">
        <f t="shared" si="408"/>
        <v/>
      </c>
      <c r="W1403" s="5" t="str">
        <f t="shared" si="409"/>
        <v/>
      </c>
      <c r="Y1403" t="str">
        <f t="shared" si="410"/>
        <v/>
      </c>
      <c r="Z1403" t="str">
        <f t="shared" si="411"/>
        <v/>
      </c>
      <c r="AB1403" t="str">
        <f t="shared" si="412"/>
        <v>https://shop.officineitalianezard.it/contents/imgs/products/1_407-ducati-monster-s4r-laterale.jpg</v>
      </c>
      <c r="AE1403" t="b">
        <v>0</v>
      </c>
    </row>
    <row r="1404" spans="1:31" x14ac:dyDescent="0.2">
      <c r="A1404" t="str">
        <f t="shared" si="399"/>
        <v>https://shop.officineitalianezard.it/en/products/index/n-2-over-and-under-carbonium-mufflers-7125-66/</v>
      </c>
      <c r="B1404" t="b">
        <f>COUNTIF($A$2:$A1404, A1404)&gt;1</f>
        <v>1</v>
      </c>
      <c r="C1404" t="b">
        <f t="shared" si="400"/>
        <v>1</v>
      </c>
      <c r="D1404">
        <f>VLOOKUP(A1404,variant_counts!A:B, 2, FALSE)</f>
        <v>3</v>
      </c>
      <c r="E1404" t="str">
        <f t="shared" si="413"/>
        <v>zard-exhaust-silencers-ducati-monster-s4rs---t-stretta-overlapped-version-zd028hsr-1</v>
      </c>
      <c r="F1404" t="str">
        <f t="shared" si="401"/>
        <v>ZARD EXHAUST SILENCERS DUCATI MONSTER S4RS - T. STRETTA OVERLAPPED VERSION ZD028HSR-1</v>
      </c>
      <c r="G1404" t="str">
        <f t="shared" si="402"/>
        <v/>
      </c>
      <c r="H1404" t="str">
        <f t="shared" si="414"/>
        <v/>
      </c>
      <c r="I1404" t="str">
        <f t="shared" si="415"/>
        <v/>
      </c>
      <c r="J1404" t="str">
        <f t="shared" si="416"/>
        <v/>
      </c>
      <c r="K1404" t="str">
        <f t="shared" si="417"/>
        <v/>
      </c>
      <c r="L1404" t="str">
        <f t="shared" si="403"/>
        <v>Option</v>
      </c>
      <c r="M1404" t="str">
        <f t="shared" si="404"/>
        <v>EURO 3 HOMOLOGATED</v>
      </c>
      <c r="R1404" t="str">
        <f t="shared" si="405"/>
        <v>ZD028HSR-1</v>
      </c>
      <c r="S1404">
        <f t="shared" si="406"/>
        <v>0</v>
      </c>
      <c r="U1404" t="str">
        <f t="shared" si="407"/>
        <v>continue</v>
      </c>
      <c r="V1404" t="str">
        <f t="shared" si="408"/>
        <v>manual</v>
      </c>
      <c r="W1404" s="5">
        <f t="shared" si="409"/>
        <v>875.53470000000004</v>
      </c>
      <c r="Y1404" t="b">
        <f t="shared" si="410"/>
        <v>1</v>
      </c>
      <c r="Z1404" t="b">
        <f t="shared" si="411"/>
        <v>0</v>
      </c>
      <c r="AB1404" t="str">
        <f t="shared" si="412"/>
        <v/>
      </c>
      <c r="AE1404" t="b">
        <v>0</v>
      </c>
    </row>
    <row r="1405" spans="1:31" x14ac:dyDescent="0.2">
      <c r="A1405" t="str">
        <f t="shared" si="399"/>
        <v>https://shop.officineitalianezard.it/en/products/index/n-2-over-and-under-carbonium-mufflers-7125-66/</v>
      </c>
      <c r="B1405" t="b">
        <f>COUNTIF($A$2:$A1405, A1405)&gt;1</f>
        <v>1</v>
      </c>
      <c r="C1405" t="b">
        <f t="shared" si="400"/>
        <v>1</v>
      </c>
      <c r="D1405">
        <f>VLOOKUP(A1405,variant_counts!A:B, 2, FALSE)</f>
        <v>3</v>
      </c>
      <c r="E1405" t="str">
        <f t="shared" si="413"/>
        <v>zard-exhaust-silencers-ducati-monster-s4rs---t-stretta-overlapped-version-zd028hsr-1</v>
      </c>
      <c r="F1405" t="str">
        <f t="shared" si="401"/>
        <v>ZARD EXHAUST SILENCERS DUCATI MONSTER S4RS - T. STRETTA OVERLAPPED VERSION ZD028HSR-1</v>
      </c>
      <c r="G1405" t="str">
        <f t="shared" si="402"/>
        <v/>
      </c>
      <c r="H1405" t="str">
        <f t="shared" si="414"/>
        <v/>
      </c>
      <c r="I1405" t="str">
        <f t="shared" si="415"/>
        <v/>
      </c>
      <c r="J1405" t="str">
        <f t="shared" si="416"/>
        <v/>
      </c>
      <c r="K1405" t="str">
        <f t="shared" si="417"/>
        <v/>
      </c>
      <c r="L1405" t="str">
        <f t="shared" si="403"/>
        <v>Option</v>
      </c>
      <c r="M1405" t="str">
        <f t="shared" si="404"/>
        <v>FULL TITANIUM RACING</v>
      </c>
      <c r="R1405" t="str">
        <f t="shared" si="405"/>
        <v>ZD028HSR-1</v>
      </c>
      <c r="S1405">
        <f t="shared" si="406"/>
        <v>0</v>
      </c>
      <c r="U1405" t="str">
        <f t="shared" si="407"/>
        <v>continue</v>
      </c>
      <c r="V1405" t="str">
        <f t="shared" si="408"/>
        <v>manual</v>
      </c>
      <c r="W1405" s="5">
        <f t="shared" si="409"/>
        <v>828.8592000000001</v>
      </c>
      <c r="Y1405" t="b">
        <f t="shared" si="410"/>
        <v>1</v>
      </c>
      <c r="Z1405" t="b">
        <f t="shared" si="411"/>
        <v>0</v>
      </c>
      <c r="AB1405" t="str">
        <f t="shared" si="412"/>
        <v/>
      </c>
      <c r="AE1405" t="b">
        <v>0</v>
      </c>
    </row>
    <row r="1406" spans="1:31" x14ac:dyDescent="0.2">
      <c r="A1406" t="str">
        <f t="shared" si="399"/>
        <v>https://shop.officineitalianezard.it/en/products/index/n-2-over-and-under-carbonium-mufflers-7125-66/</v>
      </c>
      <c r="B1406" t="b">
        <f>COUNTIF($A$2:$A1406, A1406)&gt;1</f>
        <v>1</v>
      </c>
      <c r="C1406" t="b">
        <f t="shared" si="400"/>
        <v>1</v>
      </c>
      <c r="D1406">
        <f>VLOOKUP(A1406,variant_counts!A:B, 2, FALSE)</f>
        <v>3</v>
      </c>
      <c r="E1406" t="str">
        <f t="shared" si="413"/>
        <v>zard-exhaust-silencers-ducati-monster-s4rs---t-stretta-overlapped-version-zd028hsr-1</v>
      </c>
      <c r="F1406" t="str">
        <f t="shared" si="401"/>
        <v>ZARD EXHAUST SILENCERS DUCATI MONSTER S4RS - T. STRETTA OVERLAPPED VERSION ZD028HSR-1</v>
      </c>
      <c r="G1406" t="str">
        <f t="shared" si="402"/>
        <v/>
      </c>
      <c r="H1406" t="str">
        <f t="shared" si="414"/>
        <v/>
      </c>
      <c r="I1406" t="str">
        <f t="shared" si="415"/>
        <v/>
      </c>
      <c r="J1406" t="str">
        <f t="shared" si="416"/>
        <v/>
      </c>
      <c r="K1406" t="str">
        <f t="shared" si="417"/>
        <v/>
      </c>
      <c r="L1406" t="str">
        <f t="shared" si="403"/>
        <v>Option</v>
      </c>
      <c r="M1406" t="str">
        <f t="shared" si="404"/>
        <v>BLACK ENDCAP</v>
      </c>
      <c r="R1406" t="str">
        <f t="shared" si="405"/>
        <v>ZD028HSR-1</v>
      </c>
      <c r="S1406">
        <f t="shared" si="406"/>
        <v>0</v>
      </c>
      <c r="U1406" t="str">
        <f t="shared" si="407"/>
        <v>continue</v>
      </c>
      <c r="V1406" t="str">
        <f t="shared" si="408"/>
        <v>manual</v>
      </c>
      <c r="W1406" s="5">
        <f t="shared" si="409"/>
        <v>880.45200000000011</v>
      </c>
      <c r="Y1406" t="b">
        <f t="shared" si="410"/>
        <v>1</v>
      </c>
      <c r="Z1406" t="b">
        <f t="shared" si="411"/>
        <v>0</v>
      </c>
      <c r="AB1406" t="str">
        <f t="shared" si="412"/>
        <v/>
      </c>
      <c r="AE1406" t="b">
        <v>0</v>
      </c>
    </row>
    <row r="1407" spans="1:31" x14ac:dyDescent="0.2">
      <c r="A1407" t="str">
        <f t="shared" si="399"/>
        <v>https://shop.officineitalianezard.it/en/products/index/n-2-high-mounting-mufflers-7122-66/</v>
      </c>
      <c r="B1407" t="b">
        <f>COUNTIF($A$2:$A1407, A1407)&gt;1</f>
        <v>0</v>
      </c>
      <c r="C1407" t="b">
        <f t="shared" si="400"/>
        <v>0</v>
      </c>
      <c r="D1407">
        <f>VLOOKUP(A1407,variant_counts!A:B, 2, FALSE)</f>
        <v>3</v>
      </c>
      <c r="E1407" t="str">
        <f t="shared" si="413"/>
        <v>zard-exhaust-hight-mounted-silencers-ducati-monster-s4rs---t-stretta-lh-rh-version-zd028lsr-1</v>
      </c>
      <c r="F1407" t="str">
        <f t="shared" si="401"/>
        <v>ZARD EXHAUST HIGHT MOUNTED SILENCERS DUCATI MONSTER S4RS - T. STRETTA LH-RH VERSION ZD028LSR-1</v>
      </c>
      <c r="G1407" t="str">
        <f t="shared" si="402"/>
        <v>&lt;p&gt;STEEL-CARBON SILENCERS RACING WITH REMOVABLE DB KILLER&lt;/p&gt;
&lt;p&gt;ZARD SILENCERS WEIGHT: KG 3.8&lt;br&gt;ZARD MANIFOLD WEIGHT: KG 1.7&lt;/p&gt;
&lt;p&gt;HARD INCREASE, COMPARED TO THE STANDARD EXHAUST SYSTEM, IN TERMS OF TORQUE AND POWER AT ANY RANGE (+2.5 FOR THE SOLE MUFFLERS, + 5 HP FOR THE FULL KITS).&lt;/p&gt;
&lt;p&gt;ASTONISHING SOUND.&lt;/p&gt;</v>
      </c>
      <c r="H1407" t="str">
        <f t="shared" si="414"/>
        <v>ZARD</v>
      </c>
      <c r="I1407" t="str">
        <f t="shared" si="415"/>
        <v>Exhaust Pipe</v>
      </c>
      <c r="J1407" t="str">
        <f t="shared" si="416"/>
        <v>Test</v>
      </c>
      <c r="K1407" t="b">
        <f t="shared" si="417"/>
        <v>0</v>
      </c>
      <c r="L1407" t="str">
        <f t="shared" si="403"/>
        <v/>
      </c>
      <c r="M1407" t="str">
        <f t="shared" si="404"/>
        <v/>
      </c>
      <c r="R1407" t="str">
        <f t="shared" si="405"/>
        <v/>
      </c>
      <c r="S1407" t="str">
        <f t="shared" si="406"/>
        <v/>
      </c>
      <c r="U1407" t="str">
        <f t="shared" si="407"/>
        <v/>
      </c>
      <c r="V1407" t="str">
        <f t="shared" si="408"/>
        <v/>
      </c>
      <c r="W1407" s="5" t="str">
        <f t="shared" si="409"/>
        <v/>
      </c>
      <c r="Y1407" t="str">
        <f t="shared" si="410"/>
        <v/>
      </c>
      <c r="Z1407" t="str">
        <f t="shared" si="411"/>
        <v/>
      </c>
      <c r="AB1407" t="str">
        <f t="shared" si="412"/>
        <v>https://shop.officineitalianezard.it/contents/imgs/products/1_397-monsters4r2.jpg</v>
      </c>
      <c r="AE1407" t="b">
        <v>0</v>
      </c>
    </row>
    <row r="1408" spans="1:31" x14ac:dyDescent="0.2">
      <c r="A1408" t="str">
        <f t="shared" si="399"/>
        <v>https://shop.officineitalianezard.it/en/products/index/n-2-high-mounting-mufflers-7122-66/</v>
      </c>
      <c r="B1408" t="b">
        <f>COUNTIF($A$2:$A1408, A1408)&gt;1</f>
        <v>1</v>
      </c>
      <c r="C1408" t="b">
        <f t="shared" si="400"/>
        <v>0</v>
      </c>
      <c r="D1408">
        <f>VLOOKUP(A1408,variant_counts!A:B, 2, FALSE)</f>
        <v>3</v>
      </c>
      <c r="E1408" t="str">
        <f t="shared" si="413"/>
        <v>zard-exhaust-hight-mounted-silencers-ducati-monster-s4rs---t-stretta-lh-rh-version-zd028lsr-1</v>
      </c>
      <c r="F1408" t="str">
        <f t="shared" si="401"/>
        <v>ZARD EXHAUST HIGHT MOUNTED SILENCERS DUCATI MONSTER S4RS - T. STRETTA LH-RH VERSION ZD028LSR-1</v>
      </c>
      <c r="G1408" t="str">
        <f t="shared" si="402"/>
        <v/>
      </c>
      <c r="H1408" t="str">
        <f t="shared" si="414"/>
        <v/>
      </c>
      <c r="I1408" t="str">
        <f t="shared" si="415"/>
        <v/>
      </c>
      <c r="J1408" t="str">
        <f t="shared" si="416"/>
        <v/>
      </c>
      <c r="K1408" t="str">
        <f t="shared" si="417"/>
        <v/>
      </c>
      <c r="L1408" t="str">
        <f t="shared" si="403"/>
        <v/>
      </c>
      <c r="M1408" t="str">
        <f t="shared" si="404"/>
        <v/>
      </c>
      <c r="R1408" t="str">
        <f t="shared" si="405"/>
        <v/>
      </c>
      <c r="S1408" t="str">
        <f t="shared" si="406"/>
        <v/>
      </c>
      <c r="U1408" t="str">
        <f t="shared" si="407"/>
        <v/>
      </c>
      <c r="V1408" t="str">
        <f t="shared" si="408"/>
        <v/>
      </c>
      <c r="W1408" s="5" t="str">
        <f t="shared" si="409"/>
        <v/>
      </c>
      <c r="Y1408" t="str">
        <f t="shared" si="410"/>
        <v/>
      </c>
      <c r="Z1408" t="str">
        <f t="shared" si="411"/>
        <v/>
      </c>
      <c r="AB1408" t="str">
        <f t="shared" si="412"/>
        <v>https://shop.officineitalianezard.it/contents/imgs/products/1_395-ducati-monster.jpg</v>
      </c>
      <c r="AE1408" t="b">
        <v>0</v>
      </c>
    </row>
    <row r="1409" spans="1:31" x14ac:dyDescent="0.2">
      <c r="A1409" t="str">
        <f t="shared" si="399"/>
        <v>https://shop.officineitalianezard.it/en/products/index/n-2-high-mounting-mufflers-7122-66/</v>
      </c>
      <c r="B1409" t="b">
        <f>COUNTIF($A$2:$A1409, A1409)&gt;1</f>
        <v>1</v>
      </c>
      <c r="C1409" t="b">
        <f t="shared" si="400"/>
        <v>0</v>
      </c>
      <c r="D1409">
        <f>VLOOKUP(A1409,variant_counts!A:B, 2, FALSE)</f>
        <v>3</v>
      </c>
      <c r="E1409" t="str">
        <f t="shared" si="413"/>
        <v>zard-exhaust-hight-mounted-silencers-ducati-monster-s4rs---t-stretta-lh-rh-version-zd028lsr-1</v>
      </c>
      <c r="F1409" t="str">
        <f t="shared" si="401"/>
        <v>ZARD EXHAUST HIGHT MOUNTED SILENCERS DUCATI MONSTER S4RS - T. STRETTA LH-RH VERSION ZD028LSR-1</v>
      </c>
      <c r="G1409" t="str">
        <f t="shared" si="402"/>
        <v/>
      </c>
      <c r="H1409" t="str">
        <f t="shared" si="414"/>
        <v/>
      </c>
      <c r="I1409" t="str">
        <f t="shared" si="415"/>
        <v/>
      </c>
      <c r="J1409" t="str">
        <f t="shared" si="416"/>
        <v/>
      </c>
      <c r="K1409" t="str">
        <f t="shared" si="417"/>
        <v/>
      </c>
      <c r="L1409" t="str">
        <f t="shared" si="403"/>
        <v/>
      </c>
      <c r="M1409" t="str">
        <f t="shared" si="404"/>
        <v/>
      </c>
      <c r="R1409" t="str">
        <f t="shared" si="405"/>
        <v/>
      </c>
      <c r="S1409" t="str">
        <f t="shared" si="406"/>
        <v/>
      </c>
      <c r="U1409" t="str">
        <f t="shared" si="407"/>
        <v/>
      </c>
      <c r="V1409" t="str">
        <f t="shared" si="408"/>
        <v/>
      </c>
      <c r="W1409" s="5" t="str">
        <f t="shared" si="409"/>
        <v/>
      </c>
      <c r="Y1409" t="str">
        <f t="shared" si="410"/>
        <v/>
      </c>
      <c r="Z1409" t="str">
        <f t="shared" si="411"/>
        <v/>
      </c>
      <c r="AB1409" t="str">
        <f t="shared" si="412"/>
        <v>https://shop.officineitalianezard.it/contents/imgs/products/1_396-monsters4r1.jpg</v>
      </c>
      <c r="AE1409" t="b">
        <v>0</v>
      </c>
    </row>
    <row r="1410" spans="1:31" x14ac:dyDescent="0.2">
      <c r="A1410" t="str">
        <f t="shared" ref="A1410:A1473" si="418">source_product_link_href</f>
        <v>https://shop.officineitalianezard.it/en/products/index/n-2-high-mounting-mufflers-7122-66/</v>
      </c>
      <c r="B1410" t="b">
        <f>COUNTIF($A$2:$A1410, A1410)&gt;1</f>
        <v>1</v>
      </c>
      <c r="C1410" t="b">
        <f t="shared" ref="C1410:C1473" si="419">NOT(ISBLANK(source_option_name))</f>
        <v>1</v>
      </c>
      <c r="D1410">
        <f>VLOOKUP(A1410,variant_counts!A:B, 2, FALSE)</f>
        <v>3</v>
      </c>
      <c r="E1410" t="str">
        <f t="shared" si="413"/>
        <v>zard-exhaust-hight-mounted-silencers-ducati-monster-s4rs---t-stretta-lh-rh-version-zd028lsr-1</v>
      </c>
      <c r="F1410" t="str">
        <f t="shared" ref="F1410:F1473" si="420">UPPER("ZARD EXHAUST " &amp; source_title &amp; " " &amp; source_brand &amp; " " &amp; source_bike &amp; " " &amp; source_product_link &amp; " " &amp; source_sku)</f>
        <v>ZARD EXHAUST HIGHT MOUNTED SILENCERS DUCATI MONSTER S4RS - T. STRETTA LH-RH VERSION ZD028LSR-1</v>
      </c>
      <c r="G1410" t="str">
        <f t="shared" ref="G1410:G1473" si="421">IF($B1410=FALSE, source_description, "")</f>
        <v/>
      </c>
      <c r="H1410" t="str">
        <f t="shared" si="414"/>
        <v/>
      </c>
      <c r="I1410" t="str">
        <f t="shared" si="415"/>
        <v/>
      </c>
      <c r="J1410" t="str">
        <f t="shared" si="416"/>
        <v/>
      </c>
      <c r="K1410" t="str">
        <f t="shared" si="417"/>
        <v/>
      </c>
      <c r="L1410" t="str">
        <f t="shared" ref="L1410:L1473" si="422">IF(AND(variant_count=0,duplicated=FALSE),"Title",IF(OR(AND(variant_count=1,duplicated=FALSE), source_option_name&lt;&gt;""), "Option", ""))</f>
        <v>Option</v>
      </c>
      <c r="M1410" t="str">
        <f t="shared" ref="M1410:M1473" si="423">IF(option1_name="Title", "Default Title", IF(AND(option1_name="Option",ISBLANK(source_option_name)),"DEFAULT",IF(ISBLANK(source_option_name), "", source_option_name)))</f>
        <v>EURO 3 HOMOLOGATED</v>
      </c>
      <c r="R1410" t="str">
        <f t="shared" ref="R1410:R1473" si="424">IF(option1_name &lt;&gt; "", source_sku, "")</f>
        <v>ZD028LSR-1</v>
      </c>
      <c r="S1410">
        <f t="shared" ref="S1410:S1473" si="425">IF(option1_name &lt;&gt; "", 0, "")</f>
        <v>0</v>
      </c>
      <c r="U1410" t="str">
        <f t="shared" ref="U1410:U1473" si="426">IF(option1_name &lt;&gt; "", "continue", "")</f>
        <v>continue</v>
      </c>
      <c r="V1410" t="str">
        <f t="shared" ref="V1410:V1473" si="427">IF(option1_name &lt;&gt; "", "manual", "")</f>
        <v>manual</v>
      </c>
      <c r="W1410" s="5">
        <f t="shared" ref="W1410:W1473" si="428">IF(option1_name&lt;&gt;"",(source_price_original+source_option_price)*eur_usd,"")</f>
        <v>924.11940000000016</v>
      </c>
      <c r="Y1410" t="b">
        <f t="shared" ref="Y1410:Y1473" si="429">IF(option1_name&lt;&gt;"",TRUE,"")</f>
        <v>1</v>
      </c>
      <c r="Z1410" t="b">
        <f t="shared" ref="Z1410:Z1473" si="430">IF(option1_name&lt;&gt;"",FALSE,"")</f>
        <v>0</v>
      </c>
      <c r="AB1410" t="str">
        <f t="shared" ref="AB1410:AB1473" si="431">IF(ISBLANK(source_image), "", source_image)</f>
        <v/>
      </c>
      <c r="AE1410" t="b">
        <v>0</v>
      </c>
    </row>
    <row r="1411" spans="1:31" x14ac:dyDescent="0.2">
      <c r="A1411" t="str">
        <f t="shared" si="418"/>
        <v>https://shop.officineitalianezard.it/en/products/index/n-2-high-mounting-mufflers-7122-66/</v>
      </c>
      <c r="B1411" t="b">
        <f>COUNTIF($A$2:$A1411, A1411)&gt;1</f>
        <v>1</v>
      </c>
      <c r="C1411" t="b">
        <f t="shared" si="419"/>
        <v>1</v>
      </c>
      <c r="D1411">
        <f>VLOOKUP(A1411,variant_counts!A:B, 2, FALSE)</f>
        <v>3</v>
      </c>
      <c r="E1411" t="str">
        <f t="shared" ref="E1411:E1474" si="432">FormatShopifyHandle(F1411)</f>
        <v>zard-exhaust-hight-mounted-silencers-ducati-monster-s4rs---t-stretta-lh-rh-version-zd028lsr-1</v>
      </c>
      <c r="F1411" t="str">
        <f t="shared" si="420"/>
        <v>ZARD EXHAUST HIGHT MOUNTED SILENCERS DUCATI MONSTER S4RS - T. STRETTA LH-RH VERSION ZD028LSR-1</v>
      </c>
      <c r="G1411" t="str">
        <f t="shared" si="421"/>
        <v/>
      </c>
      <c r="H1411" t="str">
        <f t="shared" ref="H1411:H1474" si="433">IF($B1411=FALSE, "ZARD", "")</f>
        <v/>
      </c>
      <c r="I1411" t="str">
        <f t="shared" ref="I1411:I1474" si="434">IF($B1411=FALSE, "Exhaust Pipe", "")</f>
        <v/>
      </c>
      <c r="J1411" t="str">
        <f t="shared" ref="J1411:J1474" si="435">IF($B1411=FALSE, "Test", "")</f>
        <v/>
      </c>
      <c r="K1411" t="str">
        <f t="shared" ref="K1411:K1474" si="436">IF($B1411=FALSE, FALSE, "")</f>
        <v/>
      </c>
      <c r="L1411" t="str">
        <f t="shared" si="422"/>
        <v>Option</v>
      </c>
      <c r="M1411" t="str">
        <f t="shared" si="423"/>
        <v>FULL TITANIUM RACING</v>
      </c>
      <c r="R1411" t="str">
        <f t="shared" si="424"/>
        <v>ZD028LSR-1</v>
      </c>
      <c r="S1411">
        <f t="shared" si="425"/>
        <v>0</v>
      </c>
      <c r="U1411" t="str">
        <f t="shared" si="426"/>
        <v>continue</v>
      </c>
      <c r="V1411" t="str">
        <f t="shared" si="427"/>
        <v>manual</v>
      </c>
      <c r="W1411" s="5">
        <f t="shared" si="428"/>
        <v>864.34590000000014</v>
      </c>
      <c r="Y1411" t="b">
        <f t="shared" si="429"/>
        <v>1</v>
      </c>
      <c r="Z1411" t="b">
        <f t="shared" si="430"/>
        <v>0</v>
      </c>
      <c r="AB1411" t="str">
        <f t="shared" si="431"/>
        <v/>
      </c>
      <c r="AE1411" t="b">
        <v>0</v>
      </c>
    </row>
    <row r="1412" spans="1:31" x14ac:dyDescent="0.2">
      <c r="A1412" t="str">
        <f t="shared" si="418"/>
        <v>https://shop.officineitalianezard.it/en/products/index/n-2-high-mounting-mufflers-7122-66/</v>
      </c>
      <c r="B1412" t="b">
        <f>COUNTIF($A$2:$A1412, A1412)&gt;1</f>
        <v>1</v>
      </c>
      <c r="C1412" t="b">
        <f t="shared" si="419"/>
        <v>1</v>
      </c>
      <c r="D1412">
        <f>VLOOKUP(A1412,variant_counts!A:B, 2, FALSE)</f>
        <v>3</v>
      </c>
      <c r="E1412" t="str">
        <f t="shared" si="432"/>
        <v>zard-exhaust-hight-mounted-silencers-ducati-monster-s4rs---t-stretta-lh-rh-version-zd028lsr-1</v>
      </c>
      <c r="F1412" t="str">
        <f t="shared" si="420"/>
        <v>ZARD EXHAUST HIGHT MOUNTED SILENCERS DUCATI MONSTER S4RS - T. STRETTA LH-RH VERSION ZD028LSR-1</v>
      </c>
      <c r="G1412" t="str">
        <f t="shared" si="421"/>
        <v/>
      </c>
      <c r="H1412" t="str">
        <f t="shared" si="433"/>
        <v/>
      </c>
      <c r="I1412" t="str">
        <f t="shared" si="434"/>
        <v/>
      </c>
      <c r="J1412" t="str">
        <f t="shared" si="435"/>
        <v/>
      </c>
      <c r="K1412" t="str">
        <f t="shared" si="436"/>
        <v/>
      </c>
      <c r="L1412" t="str">
        <f t="shared" si="422"/>
        <v>Option</v>
      </c>
      <c r="M1412" t="str">
        <f t="shared" si="423"/>
        <v>BLACK ENDCAP</v>
      </c>
      <c r="R1412" t="str">
        <f t="shared" si="424"/>
        <v>ZD028LSR-1</v>
      </c>
      <c r="S1412">
        <f t="shared" si="425"/>
        <v>0</v>
      </c>
      <c r="U1412" t="str">
        <f t="shared" si="426"/>
        <v>continue</v>
      </c>
      <c r="V1412" t="str">
        <f t="shared" si="427"/>
        <v>manual</v>
      </c>
      <c r="W1412" s="5">
        <f t="shared" si="428"/>
        <v>915.93870000000015</v>
      </c>
      <c r="Y1412" t="b">
        <f t="shared" si="429"/>
        <v>1</v>
      </c>
      <c r="Z1412" t="b">
        <f t="shared" si="430"/>
        <v>0</v>
      </c>
      <c r="AB1412" t="str">
        <f t="shared" si="431"/>
        <v/>
      </c>
      <c r="AE1412" t="b">
        <v>0</v>
      </c>
    </row>
    <row r="1413" spans="1:31" x14ac:dyDescent="0.2">
      <c r="A1413" t="str">
        <f t="shared" si="418"/>
        <v>https://shop.officineitalianezard.it/en/products/index/kit-manifold-n-2-high-mounting-side-mufflers-steel-carbonium-7121-66/</v>
      </c>
      <c r="B1413" t="b">
        <f>COUNTIF($A$2:$A1413, A1413)&gt;1</f>
        <v>0</v>
      </c>
      <c r="C1413" t="b">
        <f t="shared" si="419"/>
        <v>0</v>
      </c>
      <c r="D1413">
        <f>VLOOKUP(A1413,variant_counts!A:B, 2, FALSE)</f>
        <v>3</v>
      </c>
      <c r="E1413" t="str">
        <f t="shared" si="432"/>
        <v>zard-exhaust-header-kit-hight-mounted-silencers-ducati-monster-s4rs---t-stretta-22-lh-rh-version-zd020skr</v>
      </c>
      <c r="F1413" t="str">
        <f t="shared" si="420"/>
        <v>ZARD EXHAUST HEADER KIT + HIGHT MOUNTED SILENCERS DUCATI MONSTER S4RS - T. STRETTA 2&gt;2 LH-RH VERSION ZD020SKR</v>
      </c>
      <c r="G1413" t="str">
        <f t="shared" si="421"/>
        <v>&lt;p&gt;HEADER KIT + HIGHT MOUNTED SILENCERS STEEL-CARBON RACING WITH REMOVABLE DB KILLER&lt;/p&gt;
&lt;p&gt;ZARD FULL KIT WEIGHT: KG 3.8&lt;br&gt;ZARD MANIFOLD WEIGHT: KG 1.7&lt;/p&gt;
&lt;p&gt;HARD INCREASE, COMPARED TO THE ORIGINAL EXHAUST SYSTEM, IN TERMS OF TORQUE AND POWER AT ANY RANGE (+2.5 FOR THE SOLE MUFFLERS, + 5 HP FOR THE FULL KITS).&lt;/p&gt;
&lt;p&gt;ASTONISHING SOUND.&lt;/p&gt;</v>
      </c>
      <c r="H1413" t="str">
        <f t="shared" si="433"/>
        <v>ZARD</v>
      </c>
      <c r="I1413" t="str">
        <f t="shared" si="434"/>
        <v>Exhaust Pipe</v>
      </c>
      <c r="J1413" t="str">
        <f t="shared" si="435"/>
        <v>Test</v>
      </c>
      <c r="K1413" t="b">
        <f t="shared" si="436"/>
        <v>0</v>
      </c>
      <c r="L1413" t="str">
        <f t="shared" si="422"/>
        <v/>
      </c>
      <c r="M1413" t="str">
        <f t="shared" si="423"/>
        <v/>
      </c>
      <c r="R1413" t="str">
        <f t="shared" si="424"/>
        <v/>
      </c>
      <c r="S1413" t="str">
        <f t="shared" si="425"/>
        <v/>
      </c>
      <c r="U1413" t="str">
        <f t="shared" si="426"/>
        <v/>
      </c>
      <c r="V1413" t="str">
        <f t="shared" si="427"/>
        <v/>
      </c>
      <c r="W1413" s="5" t="str">
        <f t="shared" si="428"/>
        <v/>
      </c>
      <c r="Y1413" t="str">
        <f t="shared" si="429"/>
        <v/>
      </c>
      <c r="Z1413" t="str">
        <f t="shared" si="430"/>
        <v/>
      </c>
      <c r="AB1413" t="str">
        <f t="shared" si="431"/>
        <v>https://shop.officineitalianezard.it/contents/imgs/products/1_393-monsters4r1.jpg</v>
      </c>
      <c r="AE1413" t="b">
        <v>0</v>
      </c>
    </row>
    <row r="1414" spans="1:31" x14ac:dyDescent="0.2">
      <c r="A1414" t="str">
        <f t="shared" si="418"/>
        <v>https://shop.officineitalianezard.it/en/products/index/kit-manifold-n-2-high-mounting-side-mufflers-steel-carbonium-7121-66/</v>
      </c>
      <c r="B1414" t="b">
        <f>COUNTIF($A$2:$A1414, A1414)&gt;1</f>
        <v>1</v>
      </c>
      <c r="C1414" t="b">
        <f t="shared" si="419"/>
        <v>0</v>
      </c>
      <c r="D1414">
        <f>VLOOKUP(A1414,variant_counts!A:B, 2, FALSE)</f>
        <v>3</v>
      </c>
      <c r="E1414" t="str">
        <f t="shared" si="432"/>
        <v>zard-exhaust-header-kit-hight-mounted-silencers-ducati-monster-s4rs---t-stretta-22-lh-rh-version-zd020skr</v>
      </c>
      <c r="F1414" t="str">
        <f t="shared" si="420"/>
        <v>ZARD EXHAUST HEADER KIT + HIGHT MOUNTED SILENCERS DUCATI MONSTER S4RS - T. STRETTA 2&gt;2 LH-RH VERSION ZD020SKR</v>
      </c>
      <c r="G1414" t="str">
        <f t="shared" si="421"/>
        <v/>
      </c>
      <c r="H1414" t="str">
        <f t="shared" si="433"/>
        <v/>
      </c>
      <c r="I1414" t="str">
        <f t="shared" si="434"/>
        <v/>
      </c>
      <c r="J1414" t="str">
        <f t="shared" si="435"/>
        <v/>
      </c>
      <c r="K1414" t="str">
        <f t="shared" si="436"/>
        <v/>
      </c>
      <c r="L1414" t="str">
        <f t="shared" si="422"/>
        <v/>
      </c>
      <c r="M1414" t="str">
        <f t="shared" si="423"/>
        <v/>
      </c>
      <c r="R1414" t="str">
        <f t="shared" si="424"/>
        <v/>
      </c>
      <c r="S1414" t="str">
        <f t="shared" si="425"/>
        <v/>
      </c>
      <c r="U1414" t="str">
        <f t="shared" si="426"/>
        <v/>
      </c>
      <c r="V1414" t="str">
        <f t="shared" si="427"/>
        <v/>
      </c>
      <c r="W1414" s="5" t="str">
        <f t="shared" si="428"/>
        <v/>
      </c>
      <c r="Y1414" t="str">
        <f t="shared" si="429"/>
        <v/>
      </c>
      <c r="Z1414" t="str">
        <f t="shared" si="430"/>
        <v/>
      </c>
      <c r="AB1414" t="str">
        <f t="shared" si="431"/>
        <v>https://shop.officineitalianezard.it/contents/imgs/products/1_392-ducati-monster.jpg</v>
      </c>
      <c r="AE1414" t="b">
        <v>0</v>
      </c>
    </row>
    <row r="1415" spans="1:31" x14ac:dyDescent="0.2">
      <c r="A1415" t="str">
        <f t="shared" si="418"/>
        <v>https://shop.officineitalianezard.it/en/products/index/kit-manifold-n-2-high-mounting-side-mufflers-steel-carbonium-7121-66/</v>
      </c>
      <c r="B1415" t="b">
        <f>COUNTIF($A$2:$A1415, A1415)&gt;1</f>
        <v>1</v>
      </c>
      <c r="C1415" t="b">
        <f t="shared" si="419"/>
        <v>0</v>
      </c>
      <c r="D1415">
        <f>VLOOKUP(A1415,variant_counts!A:B, 2, FALSE)</f>
        <v>3</v>
      </c>
      <c r="E1415" t="str">
        <f t="shared" si="432"/>
        <v>zard-exhaust-header-kit-hight-mounted-silencers-ducati-monster-s4rs---t-stretta-22-lh-rh-version-zd020skr</v>
      </c>
      <c r="F1415" t="str">
        <f t="shared" si="420"/>
        <v>ZARD EXHAUST HEADER KIT + HIGHT MOUNTED SILENCERS DUCATI MONSTER S4RS - T. STRETTA 2&gt;2 LH-RH VERSION ZD020SKR</v>
      </c>
      <c r="G1415" t="str">
        <f t="shared" si="421"/>
        <v/>
      </c>
      <c r="H1415" t="str">
        <f t="shared" si="433"/>
        <v/>
      </c>
      <c r="I1415" t="str">
        <f t="shared" si="434"/>
        <v/>
      </c>
      <c r="J1415" t="str">
        <f t="shared" si="435"/>
        <v/>
      </c>
      <c r="K1415" t="str">
        <f t="shared" si="436"/>
        <v/>
      </c>
      <c r="L1415" t="str">
        <f t="shared" si="422"/>
        <v/>
      </c>
      <c r="M1415" t="str">
        <f t="shared" si="423"/>
        <v/>
      </c>
      <c r="R1415" t="str">
        <f t="shared" si="424"/>
        <v/>
      </c>
      <c r="S1415" t="str">
        <f t="shared" si="425"/>
        <v/>
      </c>
      <c r="U1415" t="str">
        <f t="shared" si="426"/>
        <v/>
      </c>
      <c r="V1415" t="str">
        <f t="shared" si="427"/>
        <v/>
      </c>
      <c r="W1415" s="5" t="str">
        <f t="shared" si="428"/>
        <v/>
      </c>
      <c r="Y1415" t="str">
        <f t="shared" si="429"/>
        <v/>
      </c>
      <c r="Z1415" t="str">
        <f t="shared" si="430"/>
        <v/>
      </c>
      <c r="AB1415" t="str">
        <f t="shared" si="431"/>
        <v>https://shop.officineitalianezard.it/contents/imgs/products/1_394-monsters4r2.jpg</v>
      </c>
      <c r="AE1415" t="b">
        <v>0</v>
      </c>
    </row>
    <row r="1416" spans="1:31" x14ac:dyDescent="0.2">
      <c r="A1416" t="str">
        <f t="shared" si="418"/>
        <v>https://shop.officineitalianezard.it/en/products/index/kit-manifold-n-2-high-mounting-side-mufflers-steel-carbonium-7121-66/</v>
      </c>
      <c r="B1416" t="b">
        <f>COUNTIF($A$2:$A1416, A1416)&gt;1</f>
        <v>1</v>
      </c>
      <c r="C1416" t="b">
        <f t="shared" si="419"/>
        <v>1</v>
      </c>
      <c r="D1416">
        <f>VLOOKUP(A1416,variant_counts!A:B, 2, FALSE)</f>
        <v>3</v>
      </c>
      <c r="E1416" t="str">
        <f t="shared" si="432"/>
        <v>zard-exhaust-header-kit-hight-mounted-silencers-ducati-monster-s4rs---t-stretta-22-lh-rh-version-zd020skr</v>
      </c>
      <c r="F1416" t="str">
        <f t="shared" si="420"/>
        <v>ZARD EXHAUST HEADER KIT + HIGHT MOUNTED SILENCERS DUCATI MONSTER S4RS - T. STRETTA 2&gt;2 LH-RH VERSION ZD020SKR</v>
      </c>
      <c r="G1416" t="str">
        <f t="shared" si="421"/>
        <v/>
      </c>
      <c r="H1416" t="str">
        <f t="shared" si="433"/>
        <v/>
      </c>
      <c r="I1416" t="str">
        <f t="shared" si="434"/>
        <v/>
      </c>
      <c r="J1416" t="str">
        <f t="shared" si="435"/>
        <v/>
      </c>
      <c r="K1416" t="str">
        <f t="shared" si="436"/>
        <v/>
      </c>
      <c r="L1416" t="str">
        <f t="shared" si="422"/>
        <v>Option</v>
      </c>
      <c r="M1416" t="str">
        <f t="shared" si="423"/>
        <v>EURO 3 HOMOLOGATED</v>
      </c>
      <c r="R1416" t="str">
        <f t="shared" si="424"/>
        <v>ZD020SKR</v>
      </c>
      <c r="S1416">
        <f t="shared" si="425"/>
        <v>0</v>
      </c>
      <c r="U1416" t="str">
        <f t="shared" si="426"/>
        <v>continue</v>
      </c>
      <c r="V1416" t="str">
        <f t="shared" si="427"/>
        <v>manual</v>
      </c>
      <c r="W1416" s="5">
        <f t="shared" si="428"/>
        <v>1399.0551</v>
      </c>
      <c r="Y1416" t="b">
        <f t="shared" si="429"/>
        <v>1</v>
      </c>
      <c r="Z1416" t="b">
        <f t="shared" si="430"/>
        <v>0</v>
      </c>
      <c r="AB1416" t="str">
        <f t="shared" si="431"/>
        <v/>
      </c>
      <c r="AE1416" t="b">
        <v>0</v>
      </c>
    </row>
    <row r="1417" spans="1:31" x14ac:dyDescent="0.2">
      <c r="A1417" t="str">
        <f t="shared" si="418"/>
        <v>https://shop.officineitalianezard.it/en/products/index/kit-manifold-n-2-high-mounting-side-mufflers-steel-carbonium-7121-66/</v>
      </c>
      <c r="B1417" t="b">
        <f>COUNTIF($A$2:$A1417, A1417)&gt;1</f>
        <v>1</v>
      </c>
      <c r="C1417" t="b">
        <f t="shared" si="419"/>
        <v>1</v>
      </c>
      <c r="D1417">
        <f>VLOOKUP(A1417,variant_counts!A:B, 2, FALSE)</f>
        <v>3</v>
      </c>
      <c r="E1417" t="str">
        <f t="shared" si="432"/>
        <v>zard-exhaust-header-kit-hight-mounted-silencers-ducati-monster-s4rs---t-stretta-22-lh-rh-version-zd020skr</v>
      </c>
      <c r="F1417" t="str">
        <f t="shared" si="420"/>
        <v>ZARD EXHAUST HEADER KIT + HIGHT MOUNTED SILENCERS DUCATI MONSTER S4RS - T. STRETTA 2&gt;2 LH-RH VERSION ZD020SKR</v>
      </c>
      <c r="G1417" t="str">
        <f t="shared" si="421"/>
        <v/>
      </c>
      <c r="H1417" t="str">
        <f t="shared" si="433"/>
        <v/>
      </c>
      <c r="I1417" t="str">
        <f t="shared" si="434"/>
        <v/>
      </c>
      <c r="J1417" t="str">
        <f t="shared" si="435"/>
        <v/>
      </c>
      <c r="K1417" t="str">
        <f t="shared" si="436"/>
        <v/>
      </c>
      <c r="L1417" t="str">
        <f t="shared" si="422"/>
        <v>Option</v>
      </c>
      <c r="M1417" t="str">
        <f t="shared" si="423"/>
        <v>STEEL TITANIUM RACING</v>
      </c>
      <c r="R1417" t="str">
        <f t="shared" si="424"/>
        <v>ZD020SKR</v>
      </c>
      <c r="S1417">
        <f t="shared" si="425"/>
        <v>0</v>
      </c>
      <c r="U1417" t="str">
        <f t="shared" si="426"/>
        <v>continue</v>
      </c>
      <c r="V1417" t="str">
        <f t="shared" si="427"/>
        <v>manual</v>
      </c>
      <c r="W1417" s="5">
        <f t="shared" si="428"/>
        <v>1339.2816</v>
      </c>
      <c r="Y1417" t="b">
        <f t="shared" si="429"/>
        <v>1</v>
      </c>
      <c r="Z1417" t="b">
        <f t="shared" si="430"/>
        <v>0</v>
      </c>
      <c r="AB1417" t="str">
        <f t="shared" si="431"/>
        <v/>
      </c>
      <c r="AE1417" t="b">
        <v>0</v>
      </c>
    </row>
    <row r="1418" spans="1:31" x14ac:dyDescent="0.2">
      <c r="A1418" t="str">
        <f t="shared" si="418"/>
        <v>https://shop.officineitalianezard.it/en/products/index/kit-manifold-n-2-high-mounting-side-mufflers-steel-carbonium-7121-66/</v>
      </c>
      <c r="B1418" t="b">
        <f>COUNTIF($A$2:$A1418, A1418)&gt;1</f>
        <v>1</v>
      </c>
      <c r="C1418" t="b">
        <f t="shared" si="419"/>
        <v>1</v>
      </c>
      <c r="D1418">
        <f>VLOOKUP(A1418,variant_counts!A:B, 2, FALSE)</f>
        <v>3</v>
      </c>
      <c r="E1418" t="str">
        <f t="shared" si="432"/>
        <v>zard-exhaust-header-kit-hight-mounted-silencers-ducati-monster-s4rs---t-stretta-22-lh-rh-version-zd020skr</v>
      </c>
      <c r="F1418" t="str">
        <f t="shared" si="420"/>
        <v>ZARD EXHAUST HEADER KIT + HIGHT MOUNTED SILENCERS DUCATI MONSTER S4RS - T. STRETTA 2&gt;2 LH-RH VERSION ZD020SKR</v>
      </c>
      <c r="G1418" t="str">
        <f t="shared" si="421"/>
        <v/>
      </c>
      <c r="H1418" t="str">
        <f t="shared" si="433"/>
        <v/>
      </c>
      <c r="I1418" t="str">
        <f t="shared" si="434"/>
        <v/>
      </c>
      <c r="J1418" t="str">
        <f t="shared" si="435"/>
        <v/>
      </c>
      <c r="K1418" t="str">
        <f t="shared" si="436"/>
        <v/>
      </c>
      <c r="L1418" t="str">
        <f t="shared" si="422"/>
        <v>Option</v>
      </c>
      <c r="M1418" t="str">
        <f t="shared" si="423"/>
        <v>BLACK ENDCAP</v>
      </c>
      <c r="R1418" t="str">
        <f t="shared" si="424"/>
        <v>ZD020SKR</v>
      </c>
      <c r="S1418">
        <f t="shared" si="425"/>
        <v>0</v>
      </c>
      <c r="U1418" t="str">
        <f t="shared" si="426"/>
        <v>continue</v>
      </c>
      <c r="V1418" t="str">
        <f t="shared" si="427"/>
        <v>manual</v>
      </c>
      <c r="W1418" s="5">
        <f t="shared" si="428"/>
        <v>1390.8744000000002</v>
      </c>
      <c r="Y1418" t="b">
        <f t="shared" si="429"/>
        <v>1</v>
      </c>
      <c r="Z1418" t="b">
        <f t="shared" si="430"/>
        <v>0</v>
      </c>
      <c r="AB1418" t="str">
        <f t="shared" si="431"/>
        <v/>
      </c>
      <c r="AE1418" t="b">
        <v>0</v>
      </c>
    </row>
    <row r="1419" spans="1:31" x14ac:dyDescent="0.2">
      <c r="A1419" t="str">
        <f t="shared" si="418"/>
        <v>https://shop.officineitalianezard.it/en/products/index/n-2-high-mounting-carbonium-mufflers-7117-65/</v>
      </c>
      <c r="B1419" t="b">
        <f>COUNTIF($A$2:$A1419, A1419)&gt;1</f>
        <v>0</v>
      </c>
      <c r="C1419" t="b">
        <f t="shared" si="419"/>
        <v>0</v>
      </c>
      <c r="D1419">
        <f>VLOOKUP(A1419,variant_counts!A:B, 2, FALSE)</f>
        <v>3</v>
      </c>
      <c r="E1419" t="str">
        <f t="shared" si="432"/>
        <v>zard-exhaust-hight-mounted-silencers-ducati-monster-s4r-lh-rh-version-zd024lsr-1</v>
      </c>
      <c r="F1419" t="str">
        <f t="shared" si="420"/>
        <v>ZARD EXHAUST HIGHT MOUNTED SILENCERS DUCATI MONSTER S4R LH-RH VERSION ZD024LSR-1</v>
      </c>
      <c r="G1419" t="str">
        <f t="shared" si="421"/>
        <v>&lt;p&gt;STEEL-CARBON SILENCERS RACING WITH REMOVABLE DB KILLER&lt;/p&gt;
&lt;p&gt;ZARD SILENCERS WEIGHT: KG 3.8&lt;br&gt;ZARD MANIFOLD WEIGHT: KG 1.7&lt;/p&gt;
&lt;p&gt;HARD INCREASE, COMPARED TO THE STANDARD EXHAUST SYSTEM, IN TERMS OF TORQUE AND POWER AT ANY RANGE (+2.5 FOR THE SOLE MUFFLERS, + 5 HP FOR THE FULL KITS).&lt;/p&gt;
&lt;p&gt;ASTONISHING SOUND.&lt;/p&gt;</v>
      </c>
      <c r="H1419" t="str">
        <f t="shared" si="433"/>
        <v>ZARD</v>
      </c>
      <c r="I1419" t="str">
        <f t="shared" si="434"/>
        <v>Exhaust Pipe</v>
      </c>
      <c r="J1419" t="str">
        <f t="shared" si="435"/>
        <v>Test</v>
      </c>
      <c r="K1419" t="b">
        <f t="shared" si="436"/>
        <v>0</v>
      </c>
      <c r="L1419" t="str">
        <f t="shared" si="422"/>
        <v/>
      </c>
      <c r="M1419" t="str">
        <f t="shared" si="423"/>
        <v/>
      </c>
      <c r="R1419" t="str">
        <f t="shared" si="424"/>
        <v/>
      </c>
      <c r="S1419" t="str">
        <f t="shared" si="425"/>
        <v/>
      </c>
      <c r="U1419" t="str">
        <f t="shared" si="426"/>
        <v/>
      </c>
      <c r="V1419" t="str">
        <f t="shared" si="427"/>
        <v/>
      </c>
      <c r="W1419" s="5" t="str">
        <f t="shared" si="428"/>
        <v/>
      </c>
      <c r="Y1419" t="str">
        <f t="shared" si="429"/>
        <v/>
      </c>
      <c r="Z1419" t="str">
        <f t="shared" si="430"/>
        <v/>
      </c>
      <c r="AB1419" t="str">
        <f t="shared" si="431"/>
        <v>https://shop.officineitalianezard.it/contents/imgs/products/1_380-monsters2r10003.jpg</v>
      </c>
      <c r="AE1419" t="b">
        <v>0</v>
      </c>
    </row>
    <row r="1420" spans="1:31" x14ac:dyDescent="0.2">
      <c r="A1420" t="str">
        <f t="shared" si="418"/>
        <v>https://shop.officineitalianezard.it/en/products/index/n-2-high-mounting-carbonium-mufflers-7117-65/</v>
      </c>
      <c r="B1420" t="b">
        <f>COUNTIF($A$2:$A1420, A1420)&gt;1</f>
        <v>1</v>
      </c>
      <c r="C1420" t="b">
        <f t="shared" si="419"/>
        <v>0</v>
      </c>
      <c r="D1420">
        <f>VLOOKUP(A1420,variant_counts!A:B, 2, FALSE)</f>
        <v>3</v>
      </c>
      <c r="E1420" t="str">
        <f t="shared" si="432"/>
        <v>zard-exhaust-hight-mounted-silencers-ducati-monster-s4r-lh-rh-version-zd024lsr-1</v>
      </c>
      <c r="F1420" t="str">
        <f t="shared" si="420"/>
        <v>ZARD EXHAUST HIGHT MOUNTED SILENCERS DUCATI MONSTER S4R LH-RH VERSION ZD024LSR-1</v>
      </c>
      <c r="G1420" t="str">
        <f t="shared" si="421"/>
        <v/>
      </c>
      <c r="H1420" t="str">
        <f t="shared" si="433"/>
        <v/>
      </c>
      <c r="I1420" t="str">
        <f t="shared" si="434"/>
        <v/>
      </c>
      <c r="J1420" t="str">
        <f t="shared" si="435"/>
        <v/>
      </c>
      <c r="K1420" t="str">
        <f t="shared" si="436"/>
        <v/>
      </c>
      <c r="L1420" t="str">
        <f t="shared" si="422"/>
        <v/>
      </c>
      <c r="M1420" t="str">
        <f t="shared" si="423"/>
        <v/>
      </c>
      <c r="R1420" t="str">
        <f t="shared" si="424"/>
        <v/>
      </c>
      <c r="S1420" t="str">
        <f t="shared" si="425"/>
        <v/>
      </c>
      <c r="U1420" t="str">
        <f t="shared" si="426"/>
        <v/>
      </c>
      <c r="V1420" t="str">
        <f t="shared" si="427"/>
        <v/>
      </c>
      <c r="W1420" s="5" t="str">
        <f t="shared" si="428"/>
        <v/>
      </c>
      <c r="Y1420" t="str">
        <f t="shared" si="429"/>
        <v/>
      </c>
      <c r="Z1420" t="str">
        <f t="shared" si="430"/>
        <v/>
      </c>
      <c r="AB1420" t="str">
        <f t="shared" si="431"/>
        <v>https://shop.officineitalianezard.it/contents/imgs/products/1_379-ducati-monster.jpg</v>
      </c>
      <c r="AE1420" t="b">
        <v>0</v>
      </c>
    </row>
    <row r="1421" spans="1:31" x14ac:dyDescent="0.2">
      <c r="A1421" t="str">
        <f t="shared" si="418"/>
        <v>https://shop.officineitalianezard.it/en/products/index/n-2-high-mounting-carbonium-mufflers-7117-65/</v>
      </c>
      <c r="B1421" t="b">
        <f>COUNTIF($A$2:$A1421, A1421)&gt;1</f>
        <v>1</v>
      </c>
      <c r="C1421" t="b">
        <f t="shared" si="419"/>
        <v>1</v>
      </c>
      <c r="D1421">
        <f>VLOOKUP(A1421,variant_counts!A:B, 2, FALSE)</f>
        <v>3</v>
      </c>
      <c r="E1421" t="str">
        <f t="shared" si="432"/>
        <v>zard-exhaust-hight-mounted-silencers-ducati-monster-s4r-lh-rh-version-zd024lsr-1</v>
      </c>
      <c r="F1421" t="str">
        <f t="shared" si="420"/>
        <v>ZARD EXHAUST HIGHT MOUNTED SILENCERS DUCATI MONSTER S4R LH-RH VERSION ZD024LSR-1</v>
      </c>
      <c r="G1421" t="str">
        <f t="shared" si="421"/>
        <v/>
      </c>
      <c r="H1421" t="str">
        <f t="shared" si="433"/>
        <v/>
      </c>
      <c r="I1421" t="str">
        <f t="shared" si="434"/>
        <v/>
      </c>
      <c r="J1421" t="str">
        <f t="shared" si="435"/>
        <v/>
      </c>
      <c r="K1421" t="str">
        <f t="shared" si="436"/>
        <v/>
      </c>
      <c r="L1421" t="str">
        <f t="shared" si="422"/>
        <v>Option</v>
      </c>
      <c r="M1421" t="str">
        <f t="shared" si="423"/>
        <v>EURO 3 HOMOLOGATED</v>
      </c>
      <c r="R1421" t="str">
        <f t="shared" si="424"/>
        <v>ZD024LSR-1</v>
      </c>
      <c r="S1421">
        <f t="shared" si="425"/>
        <v>0</v>
      </c>
      <c r="U1421" t="str">
        <f t="shared" si="426"/>
        <v>continue</v>
      </c>
      <c r="V1421" t="str">
        <f t="shared" si="427"/>
        <v>manual</v>
      </c>
      <c r="W1421" s="5">
        <f t="shared" si="428"/>
        <v>924.94080000000019</v>
      </c>
      <c r="Y1421" t="b">
        <f t="shared" si="429"/>
        <v>1</v>
      </c>
      <c r="Z1421" t="b">
        <f t="shared" si="430"/>
        <v>0</v>
      </c>
      <c r="AB1421" t="str">
        <f t="shared" si="431"/>
        <v/>
      </c>
      <c r="AE1421" t="b">
        <v>0</v>
      </c>
    </row>
    <row r="1422" spans="1:31" x14ac:dyDescent="0.2">
      <c r="A1422" t="str">
        <f t="shared" si="418"/>
        <v>https://shop.officineitalianezard.it/en/products/index/n-2-high-mounting-carbonium-mufflers-7117-65/</v>
      </c>
      <c r="B1422" t="b">
        <f>COUNTIF($A$2:$A1422, A1422)&gt;1</f>
        <v>1</v>
      </c>
      <c r="C1422" t="b">
        <f t="shared" si="419"/>
        <v>1</v>
      </c>
      <c r="D1422">
        <f>VLOOKUP(A1422,variant_counts!A:B, 2, FALSE)</f>
        <v>3</v>
      </c>
      <c r="E1422" t="str">
        <f t="shared" si="432"/>
        <v>zard-exhaust-hight-mounted-silencers-ducati-monster-s4r-lh-rh-version-zd024lsr-1</v>
      </c>
      <c r="F1422" t="str">
        <f t="shared" si="420"/>
        <v>ZARD EXHAUST HIGHT MOUNTED SILENCERS DUCATI MONSTER S4R LH-RH VERSION ZD024LSR-1</v>
      </c>
      <c r="G1422" t="str">
        <f t="shared" si="421"/>
        <v/>
      </c>
      <c r="H1422" t="str">
        <f t="shared" si="433"/>
        <v/>
      </c>
      <c r="I1422" t="str">
        <f t="shared" si="434"/>
        <v/>
      </c>
      <c r="J1422" t="str">
        <f t="shared" si="435"/>
        <v/>
      </c>
      <c r="K1422" t="str">
        <f t="shared" si="436"/>
        <v/>
      </c>
      <c r="L1422" t="str">
        <f t="shared" si="422"/>
        <v>Option</v>
      </c>
      <c r="M1422" t="str">
        <f t="shared" si="423"/>
        <v>FULL TITANIUM RACING</v>
      </c>
      <c r="R1422" t="str">
        <f t="shared" si="424"/>
        <v>ZD024LSR-1</v>
      </c>
      <c r="S1422">
        <f t="shared" si="425"/>
        <v>0</v>
      </c>
      <c r="U1422" t="str">
        <f t="shared" si="426"/>
        <v>continue</v>
      </c>
      <c r="V1422" t="str">
        <f t="shared" si="427"/>
        <v>manual</v>
      </c>
      <c r="W1422" s="5">
        <f t="shared" si="428"/>
        <v>864.34590000000014</v>
      </c>
      <c r="Y1422" t="b">
        <f t="shared" si="429"/>
        <v>1</v>
      </c>
      <c r="Z1422" t="b">
        <f t="shared" si="430"/>
        <v>0</v>
      </c>
      <c r="AB1422" t="str">
        <f t="shared" si="431"/>
        <v/>
      </c>
      <c r="AE1422" t="b">
        <v>0</v>
      </c>
    </row>
    <row r="1423" spans="1:31" x14ac:dyDescent="0.2">
      <c r="A1423" t="str">
        <f t="shared" si="418"/>
        <v>https://shop.officineitalianezard.it/en/products/index/n-2-high-mounting-carbonium-mufflers-7117-65/</v>
      </c>
      <c r="B1423" t="b">
        <f>COUNTIF($A$2:$A1423, A1423)&gt;1</f>
        <v>1</v>
      </c>
      <c r="C1423" t="b">
        <f t="shared" si="419"/>
        <v>1</v>
      </c>
      <c r="D1423">
        <f>VLOOKUP(A1423,variant_counts!A:B, 2, FALSE)</f>
        <v>3</v>
      </c>
      <c r="E1423" t="str">
        <f t="shared" si="432"/>
        <v>zard-exhaust-hight-mounted-silencers-ducati-monster-s4r-lh-rh-version-zd024lsr-1</v>
      </c>
      <c r="F1423" t="str">
        <f t="shared" si="420"/>
        <v>ZARD EXHAUST HIGHT MOUNTED SILENCERS DUCATI MONSTER S4R LH-RH VERSION ZD024LSR-1</v>
      </c>
      <c r="G1423" t="str">
        <f t="shared" si="421"/>
        <v/>
      </c>
      <c r="H1423" t="str">
        <f t="shared" si="433"/>
        <v/>
      </c>
      <c r="I1423" t="str">
        <f t="shared" si="434"/>
        <v/>
      </c>
      <c r="J1423" t="str">
        <f t="shared" si="435"/>
        <v/>
      </c>
      <c r="K1423" t="str">
        <f t="shared" si="436"/>
        <v/>
      </c>
      <c r="L1423" t="str">
        <f t="shared" si="422"/>
        <v>Option</v>
      </c>
      <c r="M1423" t="str">
        <f t="shared" si="423"/>
        <v>BLACK ENDCAP</v>
      </c>
      <c r="R1423" t="str">
        <f t="shared" si="424"/>
        <v>ZD024LSR-1</v>
      </c>
      <c r="S1423">
        <f t="shared" si="425"/>
        <v>0</v>
      </c>
      <c r="U1423" t="str">
        <f t="shared" si="426"/>
        <v>continue</v>
      </c>
      <c r="V1423" t="str">
        <f t="shared" si="427"/>
        <v>manual</v>
      </c>
      <c r="W1423" s="5">
        <f t="shared" si="428"/>
        <v>915.93870000000015</v>
      </c>
      <c r="Y1423" t="b">
        <f t="shared" si="429"/>
        <v>1</v>
      </c>
      <c r="Z1423" t="b">
        <f t="shared" si="430"/>
        <v>0</v>
      </c>
      <c r="AB1423" t="str">
        <f t="shared" si="431"/>
        <v/>
      </c>
      <c r="AE1423" t="b">
        <v>0</v>
      </c>
    </row>
    <row r="1424" spans="1:31" x14ac:dyDescent="0.2">
      <c r="A1424" t="str">
        <f t="shared" si="418"/>
        <v>https://shop.officineitalianezard.it/en/products/index/header-kit-hight-mounted-silencers-7116-65/</v>
      </c>
      <c r="B1424" t="b">
        <f>COUNTIF($A$2:$A1424, A1424)&gt;1</f>
        <v>0</v>
      </c>
      <c r="C1424" t="b">
        <f t="shared" si="419"/>
        <v>0</v>
      </c>
      <c r="D1424">
        <f>VLOOKUP(A1424,variant_counts!A:B, 2, FALSE)</f>
        <v>2</v>
      </c>
      <c r="E1424" t="str">
        <f t="shared" si="432"/>
        <v>zard-exhaust-header-kit-hight-mounted-silencers-ducati-monster-s4r-22-lh-rh-version-zd017skr</v>
      </c>
      <c r="F1424" t="str">
        <f t="shared" si="420"/>
        <v>ZARD EXHAUST HEADER KIT + HIGHT MOUNTED SILENCERS DUCATI MONSTER S4R 2&gt;2 LH-RH VERSION ZD017SKR</v>
      </c>
      <c r="G1424" t="str">
        <f t="shared" si="421"/>
        <v>&lt;p&gt;HEADER KIT + HIGHT MOUNTED SILENCERS STEEL-CARBON RACING WITH REMOVABLE DB KILLER&lt;/p&gt;
&lt;p&gt;ZARD FULL KIT WEIGHT: KG 3.8&lt;br&gt;ZARD MANIFOLD WEIGHT: KG 1.7&lt;/p&gt;
&lt;p&gt;HARD INCREASE, COMPARED TO THE ORIGINAL EXHAUST SYSTEM, IN TERMS OF TORQUE AND POWER AT ANY RANGE (+2.5 FOR THE SOLE MUFFLERS, + 5 HP FOR THE FULL KITS).&lt;/p&gt;
&lt;p&gt;ASTONISHING SOUND.&lt;/p&gt;</v>
      </c>
      <c r="H1424" t="str">
        <f t="shared" si="433"/>
        <v>ZARD</v>
      </c>
      <c r="I1424" t="str">
        <f t="shared" si="434"/>
        <v>Exhaust Pipe</v>
      </c>
      <c r="J1424" t="str">
        <f t="shared" si="435"/>
        <v>Test</v>
      </c>
      <c r="K1424" t="b">
        <f t="shared" si="436"/>
        <v>0</v>
      </c>
      <c r="L1424" t="str">
        <f t="shared" si="422"/>
        <v/>
      </c>
      <c r="M1424" t="str">
        <f t="shared" si="423"/>
        <v/>
      </c>
      <c r="R1424" t="str">
        <f t="shared" si="424"/>
        <v/>
      </c>
      <c r="S1424" t="str">
        <f t="shared" si="425"/>
        <v/>
      </c>
      <c r="U1424" t="str">
        <f t="shared" si="426"/>
        <v/>
      </c>
      <c r="V1424" t="str">
        <f t="shared" si="427"/>
        <v/>
      </c>
      <c r="W1424" s="5" t="str">
        <f t="shared" si="428"/>
        <v/>
      </c>
      <c r="Y1424" t="str">
        <f t="shared" si="429"/>
        <v/>
      </c>
      <c r="Z1424" t="str">
        <f t="shared" si="430"/>
        <v/>
      </c>
      <c r="AB1424" t="str">
        <f t="shared" si="431"/>
        <v>https://shop.officineitalianezard.it/contents/imgs/products/1_377-monsters2r10003.jpg</v>
      </c>
      <c r="AE1424" t="b">
        <v>0</v>
      </c>
    </row>
    <row r="1425" spans="1:31" x14ac:dyDescent="0.2">
      <c r="A1425" t="str">
        <f t="shared" si="418"/>
        <v>https://shop.officineitalianezard.it/en/products/index/header-kit-hight-mounted-silencers-7116-65/</v>
      </c>
      <c r="B1425" t="b">
        <f>COUNTIF($A$2:$A1425, A1425)&gt;1</f>
        <v>1</v>
      </c>
      <c r="C1425" t="b">
        <f t="shared" si="419"/>
        <v>0</v>
      </c>
      <c r="D1425">
        <f>VLOOKUP(A1425,variant_counts!A:B, 2, FALSE)</f>
        <v>2</v>
      </c>
      <c r="E1425" t="str">
        <f t="shared" si="432"/>
        <v>zard-exhaust-header-kit-hight-mounted-silencers-ducati-monster-s4r-22-lh-rh-version-zd017skr</v>
      </c>
      <c r="F1425" t="str">
        <f t="shared" si="420"/>
        <v>ZARD EXHAUST HEADER KIT + HIGHT MOUNTED SILENCERS DUCATI MONSTER S4R 2&gt;2 LH-RH VERSION ZD017SKR</v>
      </c>
      <c r="G1425" t="str">
        <f t="shared" si="421"/>
        <v/>
      </c>
      <c r="H1425" t="str">
        <f t="shared" si="433"/>
        <v/>
      </c>
      <c r="I1425" t="str">
        <f t="shared" si="434"/>
        <v/>
      </c>
      <c r="J1425" t="str">
        <f t="shared" si="435"/>
        <v/>
      </c>
      <c r="K1425" t="str">
        <f t="shared" si="436"/>
        <v/>
      </c>
      <c r="L1425" t="str">
        <f t="shared" si="422"/>
        <v/>
      </c>
      <c r="M1425" t="str">
        <f t="shared" si="423"/>
        <v/>
      </c>
      <c r="R1425" t="str">
        <f t="shared" si="424"/>
        <v/>
      </c>
      <c r="S1425" t="str">
        <f t="shared" si="425"/>
        <v/>
      </c>
      <c r="U1425" t="str">
        <f t="shared" si="426"/>
        <v/>
      </c>
      <c r="V1425" t="str">
        <f t="shared" si="427"/>
        <v/>
      </c>
      <c r="W1425" s="5" t="str">
        <f t="shared" si="428"/>
        <v/>
      </c>
      <c r="Y1425" t="str">
        <f t="shared" si="429"/>
        <v/>
      </c>
      <c r="Z1425" t="str">
        <f t="shared" si="430"/>
        <v/>
      </c>
      <c r="AB1425" t="str">
        <f t="shared" si="431"/>
        <v>https://shop.officineitalianezard.it/contents/imgs/products/1_376-ducati-monster.jpg</v>
      </c>
      <c r="AE1425" t="b">
        <v>0</v>
      </c>
    </row>
    <row r="1426" spans="1:31" x14ac:dyDescent="0.2">
      <c r="A1426" t="str">
        <f t="shared" si="418"/>
        <v>https://shop.officineitalianezard.it/en/products/index/header-kit-hight-mounted-silencers-7116-65/</v>
      </c>
      <c r="B1426" t="b">
        <f>COUNTIF($A$2:$A1426, A1426)&gt;1</f>
        <v>1</v>
      </c>
      <c r="C1426" t="b">
        <f t="shared" si="419"/>
        <v>0</v>
      </c>
      <c r="D1426">
        <f>VLOOKUP(A1426,variant_counts!A:B, 2, FALSE)</f>
        <v>2</v>
      </c>
      <c r="E1426" t="str">
        <f t="shared" si="432"/>
        <v>zard-exhaust-header-kit-hight-mounted-silencers-ducati-monster-s4r-22-lh-rh-version-zd017skr</v>
      </c>
      <c r="F1426" t="str">
        <f t="shared" si="420"/>
        <v>ZARD EXHAUST HEADER KIT + HIGHT MOUNTED SILENCERS DUCATI MONSTER S4R 2&gt;2 LH-RH VERSION ZD017SKR</v>
      </c>
      <c r="G1426" t="str">
        <f t="shared" si="421"/>
        <v/>
      </c>
      <c r="H1426" t="str">
        <f t="shared" si="433"/>
        <v/>
      </c>
      <c r="I1426" t="str">
        <f t="shared" si="434"/>
        <v/>
      </c>
      <c r="J1426" t="str">
        <f t="shared" si="435"/>
        <v/>
      </c>
      <c r="K1426" t="str">
        <f t="shared" si="436"/>
        <v/>
      </c>
      <c r="L1426" t="str">
        <f t="shared" si="422"/>
        <v/>
      </c>
      <c r="M1426" t="str">
        <f t="shared" si="423"/>
        <v/>
      </c>
      <c r="R1426" t="str">
        <f t="shared" si="424"/>
        <v/>
      </c>
      <c r="S1426" t="str">
        <f t="shared" si="425"/>
        <v/>
      </c>
      <c r="U1426" t="str">
        <f t="shared" si="426"/>
        <v/>
      </c>
      <c r="V1426" t="str">
        <f t="shared" si="427"/>
        <v/>
      </c>
      <c r="W1426" s="5" t="str">
        <f t="shared" si="428"/>
        <v/>
      </c>
      <c r="Y1426" t="str">
        <f t="shared" si="429"/>
        <v/>
      </c>
      <c r="Z1426" t="str">
        <f t="shared" si="430"/>
        <v/>
      </c>
      <c r="AB1426" t="str">
        <f t="shared" si="431"/>
        <v>https://shop.officineitalianezard.it/contents/imgs/products/1_378-monsters2r10002.jpg</v>
      </c>
      <c r="AE1426" t="b">
        <v>0</v>
      </c>
    </row>
    <row r="1427" spans="1:31" x14ac:dyDescent="0.2">
      <c r="A1427" t="str">
        <f t="shared" si="418"/>
        <v>https://shop.officineitalianezard.it/en/products/index/header-kit-hight-mounted-silencers-7116-65/</v>
      </c>
      <c r="B1427" t="b">
        <f>COUNTIF($A$2:$A1427, A1427)&gt;1</f>
        <v>1</v>
      </c>
      <c r="C1427" t="b">
        <f t="shared" si="419"/>
        <v>1</v>
      </c>
      <c r="D1427">
        <f>VLOOKUP(A1427,variant_counts!A:B, 2, FALSE)</f>
        <v>2</v>
      </c>
      <c r="E1427" t="str">
        <f t="shared" si="432"/>
        <v>zard-exhaust-header-kit-hight-mounted-silencers-ducati-monster-s4r-22-lh-rh-version-zd017skr</v>
      </c>
      <c r="F1427" t="str">
        <f t="shared" si="420"/>
        <v>ZARD EXHAUST HEADER KIT + HIGHT MOUNTED SILENCERS DUCATI MONSTER S4R 2&gt;2 LH-RH VERSION ZD017SKR</v>
      </c>
      <c r="G1427" t="str">
        <f t="shared" si="421"/>
        <v/>
      </c>
      <c r="H1427" t="str">
        <f t="shared" si="433"/>
        <v/>
      </c>
      <c r="I1427" t="str">
        <f t="shared" si="434"/>
        <v/>
      </c>
      <c r="J1427" t="str">
        <f t="shared" si="435"/>
        <v/>
      </c>
      <c r="K1427" t="str">
        <f t="shared" si="436"/>
        <v/>
      </c>
      <c r="L1427" t="str">
        <f t="shared" si="422"/>
        <v>Option</v>
      </c>
      <c r="M1427" t="str">
        <f t="shared" si="423"/>
        <v>STEEL TITANIUM RACING</v>
      </c>
      <c r="R1427" t="str">
        <f t="shared" si="424"/>
        <v>ZD017SKR</v>
      </c>
      <c r="S1427">
        <f t="shared" si="425"/>
        <v>0</v>
      </c>
      <c r="U1427" t="str">
        <f t="shared" si="426"/>
        <v>continue</v>
      </c>
      <c r="V1427" t="str">
        <f t="shared" si="427"/>
        <v>manual</v>
      </c>
      <c r="W1427" s="5">
        <f t="shared" si="428"/>
        <v>1339.2816</v>
      </c>
      <c r="Y1427" t="b">
        <f t="shared" si="429"/>
        <v>1</v>
      </c>
      <c r="Z1427" t="b">
        <f t="shared" si="430"/>
        <v>0</v>
      </c>
      <c r="AB1427" t="str">
        <f t="shared" si="431"/>
        <v/>
      </c>
      <c r="AE1427" t="b">
        <v>0</v>
      </c>
    </row>
    <row r="1428" spans="1:31" x14ac:dyDescent="0.2">
      <c r="A1428" t="str">
        <f t="shared" si="418"/>
        <v>https://shop.officineitalianezard.it/en/products/index/header-kit-hight-mounted-silencers-7116-65/</v>
      </c>
      <c r="B1428" t="b">
        <f>COUNTIF($A$2:$A1428, A1428)&gt;1</f>
        <v>1</v>
      </c>
      <c r="C1428" t="b">
        <f t="shared" si="419"/>
        <v>1</v>
      </c>
      <c r="D1428">
        <f>VLOOKUP(A1428,variant_counts!A:B, 2, FALSE)</f>
        <v>2</v>
      </c>
      <c r="E1428" t="str">
        <f t="shared" si="432"/>
        <v>zard-exhaust-header-kit-hight-mounted-silencers-ducati-monster-s4r-22-lh-rh-version-zd017skr</v>
      </c>
      <c r="F1428" t="str">
        <f t="shared" si="420"/>
        <v>ZARD EXHAUST HEADER KIT + HIGHT MOUNTED SILENCERS DUCATI MONSTER S4R 2&gt;2 LH-RH VERSION ZD017SKR</v>
      </c>
      <c r="G1428" t="str">
        <f t="shared" si="421"/>
        <v/>
      </c>
      <c r="H1428" t="str">
        <f t="shared" si="433"/>
        <v/>
      </c>
      <c r="I1428" t="str">
        <f t="shared" si="434"/>
        <v/>
      </c>
      <c r="J1428" t="str">
        <f t="shared" si="435"/>
        <v/>
      </c>
      <c r="K1428" t="str">
        <f t="shared" si="436"/>
        <v/>
      </c>
      <c r="L1428" t="str">
        <f t="shared" si="422"/>
        <v>Option</v>
      </c>
      <c r="M1428" t="str">
        <f t="shared" si="423"/>
        <v>BLACK ENDCAP</v>
      </c>
      <c r="R1428" t="str">
        <f t="shared" si="424"/>
        <v>ZD017SKR</v>
      </c>
      <c r="S1428">
        <f t="shared" si="425"/>
        <v>0</v>
      </c>
      <c r="U1428" t="str">
        <f t="shared" si="426"/>
        <v>continue</v>
      </c>
      <c r="V1428" t="str">
        <f t="shared" si="427"/>
        <v>manual</v>
      </c>
      <c r="W1428" s="5">
        <f t="shared" si="428"/>
        <v>1390.8744000000002</v>
      </c>
      <c r="Y1428" t="b">
        <f t="shared" si="429"/>
        <v>1</v>
      </c>
      <c r="Z1428" t="b">
        <f t="shared" si="430"/>
        <v>0</v>
      </c>
      <c r="AB1428" t="str">
        <f t="shared" si="431"/>
        <v/>
      </c>
      <c r="AE1428" t="b">
        <v>0</v>
      </c>
    </row>
    <row r="1429" spans="1:31" x14ac:dyDescent="0.2">
      <c r="A1429" t="str">
        <f t="shared" si="418"/>
        <v>https://shop.officineitalianezard.it/en/products/index/n-2-over-and-under-carbonium-mufflers-7119-64/</v>
      </c>
      <c r="B1429" t="b">
        <f>COUNTIF($A$2:$A1429, A1429)&gt;1</f>
        <v>0</v>
      </c>
      <c r="C1429" t="b">
        <f t="shared" si="419"/>
        <v>0</v>
      </c>
      <c r="D1429">
        <f>VLOOKUP(A1429,variant_counts!A:B, 2, FALSE)</f>
        <v>3</v>
      </c>
      <c r="E1429" t="str">
        <f t="shared" si="432"/>
        <v>zard-exhaust-silencers-ducati-monster-s2r-1000-overlapped-version-zd024hsr-1</v>
      </c>
      <c r="F1429" t="str">
        <f t="shared" si="420"/>
        <v>ZARD EXHAUST SILENCERS DUCATI MONSTER S2R 1000 OVERLAPPED VERSION ZD024HSR-1</v>
      </c>
      <c r="G1429" t="str">
        <f t="shared" si="421"/>
        <v>&lt;p&gt;N.2 STEEL CARBON SILENCERS RACING WITH REMOVABLE DB KILLER&lt;/p&gt;
&lt;p&gt;ZARD SILENCERS WEIGHT: KG 3.8&lt;br&gt;ZARD MANIFOLD WEIGHT: KG 1.7&lt;/p&gt;
&lt;p&gt;HARD INCREASE, COMPARED TO THE ORIGINAL EXHAUST SYSTEM, IN TERMS OF TORQUE AND POWER AT ANY RANGE (+2.5 FOR THE SOLE MUFFLERS, + 5 HP FOR THE FULL KITS).&lt;/p&gt;
&lt;p&gt;ASTONISHING SOUND.&lt;/p&gt;</v>
      </c>
      <c r="H1429" t="str">
        <f t="shared" si="433"/>
        <v>ZARD</v>
      </c>
      <c r="I1429" t="str">
        <f t="shared" si="434"/>
        <v>Exhaust Pipe</v>
      </c>
      <c r="J1429" t="str">
        <f t="shared" si="435"/>
        <v>Test</v>
      </c>
      <c r="K1429" t="b">
        <f t="shared" si="436"/>
        <v>0</v>
      </c>
      <c r="L1429" t="str">
        <f t="shared" si="422"/>
        <v/>
      </c>
      <c r="M1429" t="str">
        <f t="shared" si="423"/>
        <v/>
      </c>
      <c r="R1429" t="str">
        <f t="shared" si="424"/>
        <v/>
      </c>
      <c r="S1429" t="str">
        <f t="shared" si="425"/>
        <v/>
      </c>
      <c r="U1429" t="str">
        <f t="shared" si="426"/>
        <v/>
      </c>
      <c r="V1429" t="str">
        <f t="shared" si="427"/>
        <v/>
      </c>
      <c r="W1429" s="5" t="str">
        <f t="shared" si="428"/>
        <v/>
      </c>
      <c r="Y1429" t="str">
        <f t="shared" si="429"/>
        <v/>
      </c>
      <c r="Z1429" t="str">
        <f t="shared" si="430"/>
        <v/>
      </c>
      <c r="AB1429" t="str">
        <f t="shared" si="431"/>
        <v>https://shop.officineitalianezard.it/contents/imgs/products/1_388-monstersovrapp-1.jpg</v>
      </c>
      <c r="AE1429" t="b">
        <v>0</v>
      </c>
    </row>
    <row r="1430" spans="1:31" x14ac:dyDescent="0.2">
      <c r="A1430" t="str">
        <f t="shared" si="418"/>
        <v>https://shop.officineitalianezard.it/en/products/index/n-2-over-and-under-carbonium-mufflers-7119-64/</v>
      </c>
      <c r="B1430" t="b">
        <f>COUNTIF($A$2:$A1430, A1430)&gt;1</f>
        <v>1</v>
      </c>
      <c r="C1430" t="b">
        <f t="shared" si="419"/>
        <v>1</v>
      </c>
      <c r="D1430">
        <f>VLOOKUP(A1430,variant_counts!A:B, 2, FALSE)</f>
        <v>3</v>
      </c>
      <c r="E1430" t="str">
        <f t="shared" si="432"/>
        <v>zard-exhaust-silencers-ducati-monster-s2r-1000-overlapped-version-zd024hsr-1</v>
      </c>
      <c r="F1430" t="str">
        <f t="shared" si="420"/>
        <v>ZARD EXHAUST SILENCERS DUCATI MONSTER S2R 1000 OVERLAPPED VERSION ZD024HSR-1</v>
      </c>
      <c r="G1430" t="str">
        <f t="shared" si="421"/>
        <v/>
      </c>
      <c r="H1430" t="str">
        <f t="shared" si="433"/>
        <v/>
      </c>
      <c r="I1430" t="str">
        <f t="shared" si="434"/>
        <v/>
      </c>
      <c r="J1430" t="str">
        <f t="shared" si="435"/>
        <v/>
      </c>
      <c r="K1430" t="str">
        <f t="shared" si="436"/>
        <v/>
      </c>
      <c r="L1430" t="str">
        <f t="shared" si="422"/>
        <v>Option</v>
      </c>
      <c r="M1430" t="str">
        <f t="shared" si="423"/>
        <v>EURO 3 HOMOLOGATED</v>
      </c>
      <c r="R1430" t="str">
        <f t="shared" si="424"/>
        <v>ZD024HSR-1</v>
      </c>
      <c r="S1430">
        <f t="shared" si="425"/>
        <v>0</v>
      </c>
      <c r="U1430" t="str">
        <f t="shared" si="426"/>
        <v>continue</v>
      </c>
      <c r="V1430" t="str">
        <f t="shared" si="427"/>
        <v>manual</v>
      </c>
      <c r="W1430" s="5">
        <f t="shared" si="428"/>
        <v>875.53470000000004</v>
      </c>
      <c r="Y1430" t="b">
        <f t="shared" si="429"/>
        <v>1</v>
      </c>
      <c r="Z1430" t="b">
        <f t="shared" si="430"/>
        <v>0</v>
      </c>
      <c r="AB1430" t="str">
        <f t="shared" si="431"/>
        <v/>
      </c>
      <c r="AE1430" t="b">
        <v>0</v>
      </c>
    </row>
    <row r="1431" spans="1:31" x14ac:dyDescent="0.2">
      <c r="A1431" t="str">
        <f t="shared" si="418"/>
        <v>https://shop.officineitalianezard.it/en/products/index/n-2-over-and-under-carbonium-mufflers-7119-64/</v>
      </c>
      <c r="B1431" t="b">
        <f>COUNTIF($A$2:$A1431, A1431)&gt;1</f>
        <v>1</v>
      </c>
      <c r="C1431" t="b">
        <f t="shared" si="419"/>
        <v>1</v>
      </c>
      <c r="D1431">
        <f>VLOOKUP(A1431,variant_counts!A:B, 2, FALSE)</f>
        <v>3</v>
      </c>
      <c r="E1431" t="str">
        <f t="shared" si="432"/>
        <v>zard-exhaust-silencers-ducati-monster-s2r-1000-overlapped-version-zd024hsr-1</v>
      </c>
      <c r="F1431" t="str">
        <f t="shared" si="420"/>
        <v>ZARD EXHAUST SILENCERS DUCATI MONSTER S2R 1000 OVERLAPPED VERSION ZD024HSR-1</v>
      </c>
      <c r="G1431" t="str">
        <f t="shared" si="421"/>
        <v/>
      </c>
      <c r="H1431" t="str">
        <f t="shared" si="433"/>
        <v/>
      </c>
      <c r="I1431" t="str">
        <f t="shared" si="434"/>
        <v/>
      </c>
      <c r="J1431" t="str">
        <f t="shared" si="435"/>
        <v/>
      </c>
      <c r="K1431" t="str">
        <f t="shared" si="436"/>
        <v/>
      </c>
      <c r="L1431" t="str">
        <f t="shared" si="422"/>
        <v>Option</v>
      </c>
      <c r="M1431" t="str">
        <f t="shared" si="423"/>
        <v>FULL TITANIUM RACING</v>
      </c>
      <c r="R1431" t="str">
        <f t="shared" si="424"/>
        <v>ZD024HSR-1</v>
      </c>
      <c r="S1431">
        <f t="shared" si="425"/>
        <v>0</v>
      </c>
      <c r="U1431" t="str">
        <f t="shared" si="426"/>
        <v>continue</v>
      </c>
      <c r="V1431" t="str">
        <f t="shared" si="427"/>
        <v>manual</v>
      </c>
      <c r="W1431" s="5">
        <f t="shared" si="428"/>
        <v>828.8592000000001</v>
      </c>
      <c r="Y1431" t="b">
        <f t="shared" si="429"/>
        <v>1</v>
      </c>
      <c r="Z1431" t="b">
        <f t="shared" si="430"/>
        <v>0</v>
      </c>
      <c r="AB1431" t="str">
        <f t="shared" si="431"/>
        <v/>
      </c>
      <c r="AE1431" t="b">
        <v>0</v>
      </c>
    </row>
    <row r="1432" spans="1:31" x14ac:dyDescent="0.2">
      <c r="A1432" t="str">
        <f t="shared" si="418"/>
        <v>https://shop.officineitalianezard.it/en/products/index/n-2-over-and-under-carbonium-mufflers-7119-64/</v>
      </c>
      <c r="B1432" t="b">
        <f>COUNTIF($A$2:$A1432, A1432)&gt;1</f>
        <v>1</v>
      </c>
      <c r="C1432" t="b">
        <f t="shared" si="419"/>
        <v>1</v>
      </c>
      <c r="D1432">
        <f>VLOOKUP(A1432,variant_counts!A:B, 2, FALSE)</f>
        <v>3</v>
      </c>
      <c r="E1432" t="str">
        <f t="shared" si="432"/>
        <v>zard-exhaust-silencers-ducati-monster-s2r-1000-overlapped-version-zd024hsr-1</v>
      </c>
      <c r="F1432" t="str">
        <f t="shared" si="420"/>
        <v>ZARD EXHAUST SILENCERS DUCATI MONSTER S2R 1000 OVERLAPPED VERSION ZD024HSR-1</v>
      </c>
      <c r="G1432" t="str">
        <f t="shared" si="421"/>
        <v/>
      </c>
      <c r="H1432" t="str">
        <f t="shared" si="433"/>
        <v/>
      </c>
      <c r="I1432" t="str">
        <f t="shared" si="434"/>
        <v/>
      </c>
      <c r="J1432" t="str">
        <f t="shared" si="435"/>
        <v/>
      </c>
      <c r="K1432" t="str">
        <f t="shared" si="436"/>
        <v/>
      </c>
      <c r="L1432" t="str">
        <f t="shared" si="422"/>
        <v>Option</v>
      </c>
      <c r="M1432" t="str">
        <f t="shared" si="423"/>
        <v>BLACK ENDCAP</v>
      </c>
      <c r="R1432" t="str">
        <f t="shared" si="424"/>
        <v>ZD024HSR-1</v>
      </c>
      <c r="S1432">
        <f t="shared" si="425"/>
        <v>0</v>
      </c>
      <c r="U1432" t="str">
        <f t="shared" si="426"/>
        <v>continue</v>
      </c>
      <c r="V1432" t="str">
        <f t="shared" si="427"/>
        <v>manual</v>
      </c>
      <c r="W1432" s="5">
        <f t="shared" si="428"/>
        <v>880.45200000000011</v>
      </c>
      <c r="Y1432" t="b">
        <f t="shared" si="429"/>
        <v>1</v>
      </c>
      <c r="Z1432" t="b">
        <f t="shared" si="430"/>
        <v>0</v>
      </c>
      <c r="AB1432" t="str">
        <f t="shared" si="431"/>
        <v/>
      </c>
      <c r="AE1432" t="b">
        <v>0</v>
      </c>
    </row>
    <row r="1433" spans="1:31" x14ac:dyDescent="0.2">
      <c r="A1433" t="str">
        <f t="shared" si="418"/>
        <v>https://shop.officineitalianezard.it/en/products/index/n-2-high-mounting-carbonium-mufflers-7117-64/</v>
      </c>
      <c r="B1433" t="b">
        <f>COUNTIF($A$2:$A1433, A1433)&gt;1</f>
        <v>0</v>
      </c>
      <c r="C1433" t="b">
        <f t="shared" si="419"/>
        <v>0</v>
      </c>
      <c r="D1433">
        <f>VLOOKUP(A1433,variant_counts!A:B, 2, FALSE)</f>
        <v>3</v>
      </c>
      <c r="E1433" t="str">
        <f t="shared" si="432"/>
        <v>zard-exhaust-hight-mounted-silencers-ducati-monster-s2r-1000-lh-rh-version-zd024lsr-1</v>
      </c>
      <c r="F1433" t="str">
        <f t="shared" si="420"/>
        <v>ZARD EXHAUST HIGHT MOUNTED SILENCERS DUCATI MONSTER S2R 1000 LH-RH VERSION ZD024LSR-1</v>
      </c>
      <c r="G1433" t="str">
        <f t="shared" si="421"/>
        <v>&lt;p&gt;STEEL-CARBON SILENCERS RACING WITH REMOVABLE DB KILLER&lt;/p&gt;
&lt;p&gt;ZARD SILENCERS WEIGHT: KG 3.8&lt;br&gt;ZARD MANIFOLD WEIGHT: KG 1.7&lt;/p&gt;
&lt;p&gt;HARD INCREASE, COMPARED TO THE STANDARD EXHAUST SYSTEM, IN TERMS OF TORQUE AND POWER AT ANY RANGE (+2.5 FOR THE SOLE MUFFLERS, + 5 HP FOR THE FULL KITS).&lt;/p&gt;
&lt;p&gt;ASTONISHING SOUND.&lt;/p&gt;</v>
      </c>
      <c r="H1433" t="str">
        <f t="shared" si="433"/>
        <v>ZARD</v>
      </c>
      <c r="I1433" t="str">
        <f t="shared" si="434"/>
        <v>Exhaust Pipe</v>
      </c>
      <c r="J1433" t="str">
        <f t="shared" si="435"/>
        <v>Test</v>
      </c>
      <c r="K1433" t="b">
        <f t="shared" si="436"/>
        <v>0</v>
      </c>
      <c r="L1433" t="str">
        <f t="shared" si="422"/>
        <v/>
      </c>
      <c r="M1433" t="str">
        <f t="shared" si="423"/>
        <v/>
      </c>
      <c r="R1433" t="str">
        <f t="shared" si="424"/>
        <v/>
      </c>
      <c r="S1433" t="str">
        <f t="shared" si="425"/>
        <v/>
      </c>
      <c r="U1433" t="str">
        <f t="shared" si="426"/>
        <v/>
      </c>
      <c r="V1433" t="str">
        <f t="shared" si="427"/>
        <v/>
      </c>
      <c r="W1433" s="5" t="str">
        <f t="shared" si="428"/>
        <v/>
      </c>
      <c r="Y1433" t="str">
        <f t="shared" si="429"/>
        <v/>
      </c>
      <c r="Z1433" t="str">
        <f t="shared" si="430"/>
        <v/>
      </c>
      <c r="AB1433" t="str">
        <f t="shared" si="431"/>
        <v>https://shop.officineitalianezard.it/contents/imgs/products/1_380-monsters2r10003.jpg</v>
      </c>
      <c r="AE1433" t="b">
        <v>0</v>
      </c>
    </row>
    <row r="1434" spans="1:31" x14ac:dyDescent="0.2">
      <c r="A1434" t="str">
        <f t="shared" si="418"/>
        <v>https://shop.officineitalianezard.it/en/products/index/n-2-high-mounting-carbonium-mufflers-7117-64/</v>
      </c>
      <c r="B1434" t="b">
        <f>COUNTIF($A$2:$A1434, A1434)&gt;1</f>
        <v>1</v>
      </c>
      <c r="C1434" t="b">
        <f t="shared" si="419"/>
        <v>0</v>
      </c>
      <c r="D1434">
        <f>VLOOKUP(A1434,variant_counts!A:B, 2, FALSE)</f>
        <v>3</v>
      </c>
      <c r="E1434" t="str">
        <f t="shared" si="432"/>
        <v>zard-exhaust-hight-mounted-silencers-ducati-monster-s2r-1000-lh-rh-version-zd024lsr-1</v>
      </c>
      <c r="F1434" t="str">
        <f t="shared" si="420"/>
        <v>ZARD EXHAUST HIGHT MOUNTED SILENCERS DUCATI MONSTER S2R 1000 LH-RH VERSION ZD024LSR-1</v>
      </c>
      <c r="G1434" t="str">
        <f t="shared" si="421"/>
        <v/>
      </c>
      <c r="H1434" t="str">
        <f t="shared" si="433"/>
        <v/>
      </c>
      <c r="I1434" t="str">
        <f t="shared" si="434"/>
        <v/>
      </c>
      <c r="J1434" t="str">
        <f t="shared" si="435"/>
        <v/>
      </c>
      <c r="K1434" t="str">
        <f t="shared" si="436"/>
        <v/>
      </c>
      <c r="L1434" t="str">
        <f t="shared" si="422"/>
        <v/>
      </c>
      <c r="M1434" t="str">
        <f t="shared" si="423"/>
        <v/>
      </c>
      <c r="R1434" t="str">
        <f t="shared" si="424"/>
        <v/>
      </c>
      <c r="S1434" t="str">
        <f t="shared" si="425"/>
        <v/>
      </c>
      <c r="U1434" t="str">
        <f t="shared" si="426"/>
        <v/>
      </c>
      <c r="V1434" t="str">
        <f t="shared" si="427"/>
        <v/>
      </c>
      <c r="W1434" s="5" t="str">
        <f t="shared" si="428"/>
        <v/>
      </c>
      <c r="Y1434" t="str">
        <f t="shared" si="429"/>
        <v/>
      </c>
      <c r="Z1434" t="str">
        <f t="shared" si="430"/>
        <v/>
      </c>
      <c r="AB1434" t="str">
        <f t="shared" si="431"/>
        <v>https://shop.officineitalianezard.it/contents/imgs/products/1_379-ducati-monster.jpg</v>
      </c>
      <c r="AE1434" t="b">
        <v>0</v>
      </c>
    </row>
    <row r="1435" spans="1:31" x14ac:dyDescent="0.2">
      <c r="A1435" t="str">
        <f t="shared" si="418"/>
        <v>https://shop.officineitalianezard.it/en/products/index/n-2-high-mounting-carbonium-mufflers-7117-64/</v>
      </c>
      <c r="B1435" t="b">
        <f>COUNTIF($A$2:$A1435, A1435)&gt;1</f>
        <v>1</v>
      </c>
      <c r="C1435" t="b">
        <f t="shared" si="419"/>
        <v>1</v>
      </c>
      <c r="D1435">
        <f>VLOOKUP(A1435,variant_counts!A:B, 2, FALSE)</f>
        <v>3</v>
      </c>
      <c r="E1435" t="str">
        <f t="shared" si="432"/>
        <v>zard-exhaust-hight-mounted-silencers-ducati-monster-s2r-1000-lh-rh-version-zd024lsr-1</v>
      </c>
      <c r="F1435" t="str">
        <f t="shared" si="420"/>
        <v>ZARD EXHAUST HIGHT MOUNTED SILENCERS DUCATI MONSTER S2R 1000 LH-RH VERSION ZD024LSR-1</v>
      </c>
      <c r="G1435" t="str">
        <f t="shared" si="421"/>
        <v/>
      </c>
      <c r="H1435" t="str">
        <f t="shared" si="433"/>
        <v/>
      </c>
      <c r="I1435" t="str">
        <f t="shared" si="434"/>
        <v/>
      </c>
      <c r="J1435" t="str">
        <f t="shared" si="435"/>
        <v/>
      </c>
      <c r="K1435" t="str">
        <f t="shared" si="436"/>
        <v/>
      </c>
      <c r="L1435" t="str">
        <f t="shared" si="422"/>
        <v>Option</v>
      </c>
      <c r="M1435" t="str">
        <f t="shared" si="423"/>
        <v>EURO 3 HOMOLOGATED</v>
      </c>
      <c r="R1435" t="str">
        <f t="shared" si="424"/>
        <v>ZD024LSR-1</v>
      </c>
      <c r="S1435">
        <f t="shared" si="425"/>
        <v>0</v>
      </c>
      <c r="U1435" t="str">
        <f t="shared" si="426"/>
        <v>continue</v>
      </c>
      <c r="V1435" t="str">
        <f t="shared" si="427"/>
        <v>manual</v>
      </c>
      <c r="W1435" s="5">
        <f t="shared" si="428"/>
        <v>924.94080000000019</v>
      </c>
      <c r="Y1435" t="b">
        <f t="shared" si="429"/>
        <v>1</v>
      </c>
      <c r="Z1435" t="b">
        <f t="shared" si="430"/>
        <v>0</v>
      </c>
      <c r="AB1435" t="str">
        <f t="shared" si="431"/>
        <v/>
      </c>
      <c r="AE1435" t="b">
        <v>0</v>
      </c>
    </row>
    <row r="1436" spans="1:31" x14ac:dyDescent="0.2">
      <c r="A1436" t="str">
        <f t="shared" si="418"/>
        <v>https://shop.officineitalianezard.it/en/products/index/n-2-high-mounting-carbonium-mufflers-7117-64/</v>
      </c>
      <c r="B1436" t="b">
        <f>COUNTIF($A$2:$A1436, A1436)&gt;1</f>
        <v>1</v>
      </c>
      <c r="C1436" t="b">
        <f t="shared" si="419"/>
        <v>1</v>
      </c>
      <c r="D1436">
        <f>VLOOKUP(A1436,variant_counts!A:B, 2, FALSE)</f>
        <v>3</v>
      </c>
      <c r="E1436" t="str">
        <f t="shared" si="432"/>
        <v>zard-exhaust-hight-mounted-silencers-ducati-monster-s2r-1000-lh-rh-version-zd024lsr-1</v>
      </c>
      <c r="F1436" t="str">
        <f t="shared" si="420"/>
        <v>ZARD EXHAUST HIGHT MOUNTED SILENCERS DUCATI MONSTER S2R 1000 LH-RH VERSION ZD024LSR-1</v>
      </c>
      <c r="G1436" t="str">
        <f t="shared" si="421"/>
        <v/>
      </c>
      <c r="H1436" t="str">
        <f t="shared" si="433"/>
        <v/>
      </c>
      <c r="I1436" t="str">
        <f t="shared" si="434"/>
        <v/>
      </c>
      <c r="J1436" t="str">
        <f t="shared" si="435"/>
        <v/>
      </c>
      <c r="K1436" t="str">
        <f t="shared" si="436"/>
        <v/>
      </c>
      <c r="L1436" t="str">
        <f t="shared" si="422"/>
        <v>Option</v>
      </c>
      <c r="M1436" t="str">
        <f t="shared" si="423"/>
        <v>FULL TITANIUM RACING</v>
      </c>
      <c r="R1436" t="str">
        <f t="shared" si="424"/>
        <v>ZD024LSR-1</v>
      </c>
      <c r="S1436">
        <f t="shared" si="425"/>
        <v>0</v>
      </c>
      <c r="U1436" t="str">
        <f t="shared" si="426"/>
        <v>continue</v>
      </c>
      <c r="V1436" t="str">
        <f t="shared" si="427"/>
        <v>manual</v>
      </c>
      <c r="W1436" s="5">
        <f t="shared" si="428"/>
        <v>864.34590000000014</v>
      </c>
      <c r="Y1436" t="b">
        <f t="shared" si="429"/>
        <v>1</v>
      </c>
      <c r="Z1436" t="b">
        <f t="shared" si="430"/>
        <v>0</v>
      </c>
      <c r="AB1436" t="str">
        <f t="shared" si="431"/>
        <v/>
      </c>
      <c r="AE1436" t="b">
        <v>0</v>
      </c>
    </row>
    <row r="1437" spans="1:31" x14ac:dyDescent="0.2">
      <c r="A1437" t="str">
        <f t="shared" si="418"/>
        <v>https://shop.officineitalianezard.it/en/products/index/n-2-high-mounting-carbonium-mufflers-7117-64/</v>
      </c>
      <c r="B1437" t="b">
        <f>COUNTIF($A$2:$A1437, A1437)&gt;1</f>
        <v>1</v>
      </c>
      <c r="C1437" t="b">
        <f t="shared" si="419"/>
        <v>1</v>
      </c>
      <c r="D1437">
        <f>VLOOKUP(A1437,variant_counts!A:B, 2, FALSE)</f>
        <v>3</v>
      </c>
      <c r="E1437" t="str">
        <f t="shared" si="432"/>
        <v>zard-exhaust-hight-mounted-silencers-ducati-monster-s2r-1000-lh-rh-version-zd024lsr-1</v>
      </c>
      <c r="F1437" t="str">
        <f t="shared" si="420"/>
        <v>ZARD EXHAUST HIGHT MOUNTED SILENCERS DUCATI MONSTER S2R 1000 LH-RH VERSION ZD024LSR-1</v>
      </c>
      <c r="G1437" t="str">
        <f t="shared" si="421"/>
        <v/>
      </c>
      <c r="H1437" t="str">
        <f t="shared" si="433"/>
        <v/>
      </c>
      <c r="I1437" t="str">
        <f t="shared" si="434"/>
        <v/>
      </c>
      <c r="J1437" t="str">
        <f t="shared" si="435"/>
        <v/>
      </c>
      <c r="K1437" t="str">
        <f t="shared" si="436"/>
        <v/>
      </c>
      <c r="L1437" t="str">
        <f t="shared" si="422"/>
        <v>Option</v>
      </c>
      <c r="M1437" t="str">
        <f t="shared" si="423"/>
        <v>BLACK ENDCAP</v>
      </c>
      <c r="R1437" t="str">
        <f t="shared" si="424"/>
        <v>ZD024LSR-1</v>
      </c>
      <c r="S1437">
        <f t="shared" si="425"/>
        <v>0</v>
      </c>
      <c r="U1437" t="str">
        <f t="shared" si="426"/>
        <v>continue</v>
      </c>
      <c r="V1437" t="str">
        <f t="shared" si="427"/>
        <v>manual</v>
      </c>
      <c r="W1437" s="5">
        <f t="shared" si="428"/>
        <v>915.93870000000015</v>
      </c>
      <c r="Y1437" t="b">
        <f t="shared" si="429"/>
        <v>1</v>
      </c>
      <c r="Z1437" t="b">
        <f t="shared" si="430"/>
        <v>0</v>
      </c>
      <c r="AB1437" t="str">
        <f t="shared" si="431"/>
        <v/>
      </c>
      <c r="AE1437" t="b">
        <v>0</v>
      </c>
    </row>
    <row r="1438" spans="1:31" x14ac:dyDescent="0.2">
      <c r="A1438" t="str">
        <f t="shared" si="418"/>
        <v>https://shop.officineitalianezard.it/en/products/index/header-kit-hight-mounted-silencers-7116-64/</v>
      </c>
      <c r="B1438" t="b">
        <f>COUNTIF($A$2:$A1438, A1438)&gt;1</f>
        <v>0</v>
      </c>
      <c r="C1438" t="b">
        <f t="shared" si="419"/>
        <v>0</v>
      </c>
      <c r="D1438">
        <f>VLOOKUP(A1438,variant_counts!A:B, 2, FALSE)</f>
        <v>2</v>
      </c>
      <c r="E1438" t="str">
        <f t="shared" si="432"/>
        <v>zard-exhaust-header-kit-hight-mounted-silencers-ducati-monster-s2r-1000-22-lh-rh-version-zd017skr</v>
      </c>
      <c r="F1438" t="str">
        <f t="shared" si="420"/>
        <v>ZARD EXHAUST HEADER KIT + HIGHT MOUNTED SILENCERS DUCATI MONSTER S2R 1000 2&gt;2 LH-RH VERSION ZD017SKR</v>
      </c>
      <c r="G1438" t="str">
        <f t="shared" si="421"/>
        <v>&lt;p&gt;HEADER KIT + HIGHT MOUNTED SILENCERS STEEL-CARBON RACING WITH REMOVABLE DB KILLER&lt;/p&gt;
&lt;p&gt;ZARD FULL KIT WEIGHT: KG 3.8&lt;br&gt;ZARD MANIFOLD WEIGHT: KG 1.7&lt;/p&gt;
&lt;p&gt;HARD INCREASE, COMPARED TO THE ORIGINAL EXHAUST SYSTEM, IN TERMS OF TORQUE AND POWER AT ANY RANGE (+2.5 FOR THE SOLE MUFFLERS, + 5 HP FOR THE FULL KITS).&lt;/p&gt;
&lt;p&gt;ASTONISHING SOUND.&lt;/p&gt;</v>
      </c>
      <c r="H1438" t="str">
        <f t="shared" si="433"/>
        <v>ZARD</v>
      </c>
      <c r="I1438" t="str">
        <f t="shared" si="434"/>
        <v>Exhaust Pipe</v>
      </c>
      <c r="J1438" t="str">
        <f t="shared" si="435"/>
        <v>Test</v>
      </c>
      <c r="K1438" t="b">
        <f t="shared" si="436"/>
        <v>0</v>
      </c>
      <c r="L1438" t="str">
        <f t="shared" si="422"/>
        <v/>
      </c>
      <c r="M1438" t="str">
        <f t="shared" si="423"/>
        <v/>
      </c>
      <c r="R1438" t="str">
        <f t="shared" si="424"/>
        <v/>
      </c>
      <c r="S1438" t="str">
        <f t="shared" si="425"/>
        <v/>
      </c>
      <c r="U1438" t="str">
        <f t="shared" si="426"/>
        <v/>
      </c>
      <c r="V1438" t="str">
        <f t="shared" si="427"/>
        <v/>
      </c>
      <c r="W1438" s="5" t="str">
        <f t="shared" si="428"/>
        <v/>
      </c>
      <c r="Y1438" t="str">
        <f t="shared" si="429"/>
        <v/>
      </c>
      <c r="Z1438" t="str">
        <f t="shared" si="430"/>
        <v/>
      </c>
      <c r="AB1438" t="str">
        <f t="shared" si="431"/>
        <v>https://shop.officineitalianezard.it/contents/imgs/products/1_377-monsters2r10003.jpg</v>
      </c>
      <c r="AE1438" t="b">
        <v>0</v>
      </c>
    </row>
    <row r="1439" spans="1:31" x14ac:dyDescent="0.2">
      <c r="A1439" t="str">
        <f t="shared" si="418"/>
        <v>https://shop.officineitalianezard.it/en/products/index/header-kit-hight-mounted-silencers-7116-64/</v>
      </c>
      <c r="B1439" t="b">
        <f>COUNTIF($A$2:$A1439, A1439)&gt;1</f>
        <v>1</v>
      </c>
      <c r="C1439" t="b">
        <f t="shared" si="419"/>
        <v>0</v>
      </c>
      <c r="D1439">
        <f>VLOOKUP(A1439,variant_counts!A:B, 2, FALSE)</f>
        <v>2</v>
      </c>
      <c r="E1439" t="str">
        <f t="shared" si="432"/>
        <v>zard-exhaust-header-kit-hight-mounted-silencers-ducati-monster-s2r-1000-22-lh-rh-version-zd017skr</v>
      </c>
      <c r="F1439" t="str">
        <f t="shared" si="420"/>
        <v>ZARD EXHAUST HEADER KIT + HIGHT MOUNTED SILENCERS DUCATI MONSTER S2R 1000 2&gt;2 LH-RH VERSION ZD017SKR</v>
      </c>
      <c r="G1439" t="str">
        <f t="shared" si="421"/>
        <v/>
      </c>
      <c r="H1439" t="str">
        <f t="shared" si="433"/>
        <v/>
      </c>
      <c r="I1439" t="str">
        <f t="shared" si="434"/>
        <v/>
      </c>
      <c r="J1439" t="str">
        <f t="shared" si="435"/>
        <v/>
      </c>
      <c r="K1439" t="str">
        <f t="shared" si="436"/>
        <v/>
      </c>
      <c r="L1439" t="str">
        <f t="shared" si="422"/>
        <v/>
      </c>
      <c r="M1439" t="str">
        <f t="shared" si="423"/>
        <v/>
      </c>
      <c r="R1439" t="str">
        <f t="shared" si="424"/>
        <v/>
      </c>
      <c r="S1439" t="str">
        <f t="shared" si="425"/>
        <v/>
      </c>
      <c r="U1439" t="str">
        <f t="shared" si="426"/>
        <v/>
      </c>
      <c r="V1439" t="str">
        <f t="shared" si="427"/>
        <v/>
      </c>
      <c r="W1439" s="5" t="str">
        <f t="shared" si="428"/>
        <v/>
      </c>
      <c r="Y1439" t="str">
        <f t="shared" si="429"/>
        <v/>
      </c>
      <c r="Z1439" t="str">
        <f t="shared" si="430"/>
        <v/>
      </c>
      <c r="AB1439" t="str">
        <f t="shared" si="431"/>
        <v>https://shop.officineitalianezard.it/contents/imgs/products/1_376-ducati-monster.jpg</v>
      </c>
      <c r="AE1439" t="b">
        <v>0</v>
      </c>
    </row>
    <row r="1440" spans="1:31" x14ac:dyDescent="0.2">
      <c r="A1440" t="str">
        <f t="shared" si="418"/>
        <v>https://shop.officineitalianezard.it/en/products/index/header-kit-hight-mounted-silencers-7116-64/</v>
      </c>
      <c r="B1440" t="b">
        <f>COUNTIF($A$2:$A1440, A1440)&gt;1</f>
        <v>1</v>
      </c>
      <c r="C1440" t="b">
        <f t="shared" si="419"/>
        <v>0</v>
      </c>
      <c r="D1440">
        <f>VLOOKUP(A1440,variant_counts!A:B, 2, FALSE)</f>
        <v>2</v>
      </c>
      <c r="E1440" t="str">
        <f t="shared" si="432"/>
        <v>zard-exhaust-header-kit-hight-mounted-silencers-ducati-monster-s2r-1000-22-lh-rh-version-zd017skr</v>
      </c>
      <c r="F1440" t="str">
        <f t="shared" si="420"/>
        <v>ZARD EXHAUST HEADER KIT + HIGHT MOUNTED SILENCERS DUCATI MONSTER S2R 1000 2&gt;2 LH-RH VERSION ZD017SKR</v>
      </c>
      <c r="G1440" t="str">
        <f t="shared" si="421"/>
        <v/>
      </c>
      <c r="H1440" t="str">
        <f t="shared" si="433"/>
        <v/>
      </c>
      <c r="I1440" t="str">
        <f t="shared" si="434"/>
        <v/>
      </c>
      <c r="J1440" t="str">
        <f t="shared" si="435"/>
        <v/>
      </c>
      <c r="K1440" t="str">
        <f t="shared" si="436"/>
        <v/>
      </c>
      <c r="L1440" t="str">
        <f t="shared" si="422"/>
        <v/>
      </c>
      <c r="M1440" t="str">
        <f t="shared" si="423"/>
        <v/>
      </c>
      <c r="R1440" t="str">
        <f t="shared" si="424"/>
        <v/>
      </c>
      <c r="S1440" t="str">
        <f t="shared" si="425"/>
        <v/>
      </c>
      <c r="U1440" t="str">
        <f t="shared" si="426"/>
        <v/>
      </c>
      <c r="V1440" t="str">
        <f t="shared" si="427"/>
        <v/>
      </c>
      <c r="W1440" s="5" t="str">
        <f t="shared" si="428"/>
        <v/>
      </c>
      <c r="Y1440" t="str">
        <f t="shared" si="429"/>
        <v/>
      </c>
      <c r="Z1440" t="str">
        <f t="shared" si="430"/>
        <v/>
      </c>
      <c r="AB1440" t="str">
        <f t="shared" si="431"/>
        <v>https://shop.officineitalianezard.it/contents/imgs/products/1_378-monsters2r10002.jpg</v>
      </c>
      <c r="AE1440" t="b">
        <v>0</v>
      </c>
    </row>
    <row r="1441" spans="1:31" x14ac:dyDescent="0.2">
      <c r="A1441" t="str">
        <f t="shared" si="418"/>
        <v>https://shop.officineitalianezard.it/en/products/index/header-kit-hight-mounted-silencers-7116-64/</v>
      </c>
      <c r="B1441" t="b">
        <f>COUNTIF($A$2:$A1441, A1441)&gt;1</f>
        <v>1</v>
      </c>
      <c r="C1441" t="b">
        <f t="shared" si="419"/>
        <v>1</v>
      </c>
      <c r="D1441">
        <f>VLOOKUP(A1441,variant_counts!A:B, 2, FALSE)</f>
        <v>2</v>
      </c>
      <c r="E1441" t="str">
        <f t="shared" si="432"/>
        <v>zard-exhaust-header-kit-hight-mounted-silencers-ducati-monster-s2r-1000-22-lh-rh-version-zd017skr</v>
      </c>
      <c r="F1441" t="str">
        <f t="shared" si="420"/>
        <v>ZARD EXHAUST HEADER KIT + HIGHT MOUNTED SILENCERS DUCATI MONSTER S2R 1000 2&gt;2 LH-RH VERSION ZD017SKR</v>
      </c>
      <c r="G1441" t="str">
        <f t="shared" si="421"/>
        <v/>
      </c>
      <c r="H1441" t="str">
        <f t="shared" si="433"/>
        <v/>
      </c>
      <c r="I1441" t="str">
        <f t="shared" si="434"/>
        <v/>
      </c>
      <c r="J1441" t="str">
        <f t="shared" si="435"/>
        <v/>
      </c>
      <c r="K1441" t="str">
        <f t="shared" si="436"/>
        <v/>
      </c>
      <c r="L1441" t="str">
        <f t="shared" si="422"/>
        <v>Option</v>
      </c>
      <c r="M1441" t="str">
        <f t="shared" si="423"/>
        <v>STEEL TITANIUM RACING</v>
      </c>
      <c r="R1441" t="str">
        <f t="shared" si="424"/>
        <v>ZD017SKR</v>
      </c>
      <c r="S1441">
        <f t="shared" si="425"/>
        <v>0</v>
      </c>
      <c r="U1441" t="str">
        <f t="shared" si="426"/>
        <v>continue</v>
      </c>
      <c r="V1441" t="str">
        <f t="shared" si="427"/>
        <v>manual</v>
      </c>
      <c r="W1441" s="5">
        <f t="shared" si="428"/>
        <v>1339.2816</v>
      </c>
      <c r="Y1441" t="b">
        <f t="shared" si="429"/>
        <v>1</v>
      </c>
      <c r="Z1441" t="b">
        <f t="shared" si="430"/>
        <v>0</v>
      </c>
      <c r="AB1441" t="str">
        <f t="shared" si="431"/>
        <v/>
      </c>
      <c r="AE1441" t="b">
        <v>0</v>
      </c>
    </row>
    <row r="1442" spans="1:31" x14ac:dyDescent="0.2">
      <c r="A1442" t="str">
        <f t="shared" si="418"/>
        <v>https://shop.officineitalianezard.it/en/products/index/header-kit-hight-mounted-silencers-7116-64/</v>
      </c>
      <c r="B1442" t="b">
        <f>COUNTIF($A$2:$A1442, A1442)&gt;1</f>
        <v>1</v>
      </c>
      <c r="C1442" t="b">
        <f t="shared" si="419"/>
        <v>1</v>
      </c>
      <c r="D1442">
        <f>VLOOKUP(A1442,variant_counts!A:B, 2, FALSE)</f>
        <v>2</v>
      </c>
      <c r="E1442" t="str">
        <f t="shared" si="432"/>
        <v>zard-exhaust-header-kit-hight-mounted-silencers-ducati-monster-s2r-1000-22-lh-rh-version-zd017skr</v>
      </c>
      <c r="F1442" t="str">
        <f t="shared" si="420"/>
        <v>ZARD EXHAUST HEADER KIT + HIGHT MOUNTED SILENCERS DUCATI MONSTER S2R 1000 2&gt;2 LH-RH VERSION ZD017SKR</v>
      </c>
      <c r="G1442" t="str">
        <f t="shared" si="421"/>
        <v/>
      </c>
      <c r="H1442" t="str">
        <f t="shared" si="433"/>
        <v/>
      </c>
      <c r="I1442" t="str">
        <f t="shared" si="434"/>
        <v/>
      </c>
      <c r="J1442" t="str">
        <f t="shared" si="435"/>
        <v/>
      </c>
      <c r="K1442" t="str">
        <f t="shared" si="436"/>
        <v/>
      </c>
      <c r="L1442" t="str">
        <f t="shared" si="422"/>
        <v>Option</v>
      </c>
      <c r="M1442" t="str">
        <f t="shared" si="423"/>
        <v>BLACK ENDCAP</v>
      </c>
      <c r="R1442" t="str">
        <f t="shared" si="424"/>
        <v>ZD017SKR</v>
      </c>
      <c r="S1442">
        <f t="shared" si="425"/>
        <v>0</v>
      </c>
      <c r="U1442" t="str">
        <f t="shared" si="426"/>
        <v>continue</v>
      </c>
      <c r="V1442" t="str">
        <f t="shared" si="427"/>
        <v>manual</v>
      </c>
      <c r="W1442" s="5">
        <f t="shared" si="428"/>
        <v>1390.8744000000002</v>
      </c>
      <c r="Y1442" t="b">
        <f t="shared" si="429"/>
        <v>1</v>
      </c>
      <c r="Z1442" t="b">
        <f t="shared" si="430"/>
        <v>0</v>
      </c>
      <c r="AB1442" t="str">
        <f t="shared" si="431"/>
        <v/>
      </c>
      <c r="AE1442" t="b">
        <v>0</v>
      </c>
    </row>
    <row r="1443" spans="1:31" x14ac:dyDescent="0.2">
      <c r="A1443" t="str">
        <f t="shared" si="418"/>
        <v>https://shop.officineitalianezard.it/en/products/index/header-kit-hight-mounted-silencers-7111-63/</v>
      </c>
      <c r="B1443" t="b">
        <f>COUNTIF($A$2:$A1443, A1443)&gt;1</f>
        <v>0</v>
      </c>
      <c r="C1443" t="b">
        <f t="shared" si="419"/>
        <v>0</v>
      </c>
      <c r="D1443">
        <f>VLOOKUP(A1443,variant_counts!A:B, 2, FALSE)</f>
        <v>3</v>
      </c>
      <c r="E1443" t="str">
        <f t="shared" si="432"/>
        <v>zard-exhaust-header-kit-hight-mounted-silencers-ducati-monster-s2r-800-my-0608-22-lh-rh-version-zd016skr</v>
      </c>
      <c r="F1443" t="str">
        <f t="shared" si="420"/>
        <v>ZARD EXHAUST HEADER KIT + HIGHT MOUNTED SILENCERS DUCATI MONSTER S2R 800 MY 06/08 2&gt;2 LH-RH VERSION ZD016SKR</v>
      </c>
      <c r="G1443" t="str">
        <f t="shared" si="421"/>
        <v>&lt;p&gt;HEADER KIT + HIGHT MOUNTED SILENCERS STEEL-CARBON RACING WITH REMOVABLE DB KILLER&lt;/p&gt;
&lt;p&gt;ZARD FULL KIT WEIGHT: KG 3.8&lt;br&gt;ZARD MANIFOLD WEIGHT: KG 1.7&lt;/p&gt;
&lt;p&gt;HARD INCREASE, COMPARED TO THE ORIGINAL EXHAUST SYSTEM, IN TERMS OF TORQUE AND POWER AT ANY RANGE (+2.5 FOR THE SOLE MUFFLERS, + 5 HP FOR THE FULL KITS).&lt;/p&gt;
&lt;p&gt;ASTONISHING SOUND.&lt;/p&gt;</v>
      </c>
      <c r="H1443" t="str">
        <f t="shared" si="433"/>
        <v>ZARD</v>
      </c>
      <c r="I1443" t="str">
        <f t="shared" si="434"/>
        <v>Exhaust Pipe</v>
      </c>
      <c r="J1443" t="str">
        <f t="shared" si="435"/>
        <v>Test</v>
      </c>
      <c r="K1443" t="b">
        <f t="shared" si="436"/>
        <v>0</v>
      </c>
      <c r="L1443" t="str">
        <f t="shared" si="422"/>
        <v/>
      </c>
      <c r="M1443" t="str">
        <f t="shared" si="423"/>
        <v/>
      </c>
      <c r="R1443" t="str">
        <f t="shared" si="424"/>
        <v/>
      </c>
      <c r="S1443" t="str">
        <f t="shared" si="425"/>
        <v/>
      </c>
      <c r="U1443" t="str">
        <f t="shared" si="426"/>
        <v/>
      </c>
      <c r="V1443" t="str">
        <f t="shared" si="427"/>
        <v/>
      </c>
      <c r="W1443" s="5" t="str">
        <f t="shared" si="428"/>
        <v/>
      </c>
      <c r="Y1443" t="str">
        <f t="shared" si="429"/>
        <v/>
      </c>
      <c r="Z1443" t="str">
        <f t="shared" si="430"/>
        <v/>
      </c>
      <c r="AB1443" t="str">
        <f t="shared" si="431"/>
        <v>https://shop.officineitalianezard.it/contents/imgs/products/1_367-ducati-monster-S2R800-part.jpg</v>
      </c>
      <c r="AE1443" t="b">
        <v>0</v>
      </c>
    </row>
    <row r="1444" spans="1:31" x14ac:dyDescent="0.2">
      <c r="A1444" t="str">
        <f t="shared" si="418"/>
        <v>https://shop.officineitalianezard.it/en/products/index/header-kit-hight-mounted-silencers-7111-63/</v>
      </c>
      <c r="B1444" t="b">
        <f>COUNTIF($A$2:$A1444, A1444)&gt;1</f>
        <v>1</v>
      </c>
      <c r="C1444" t="b">
        <f t="shared" si="419"/>
        <v>0</v>
      </c>
      <c r="D1444">
        <f>VLOOKUP(A1444,variant_counts!A:B, 2, FALSE)</f>
        <v>3</v>
      </c>
      <c r="E1444" t="str">
        <f t="shared" si="432"/>
        <v>zard-exhaust-header-kit-hight-mounted-silencers-ducati-monster-s2r-800-my-0608-22-lh-rh-version-zd016skr</v>
      </c>
      <c r="F1444" t="str">
        <f t="shared" si="420"/>
        <v>ZARD EXHAUST HEADER KIT + HIGHT MOUNTED SILENCERS DUCATI MONSTER S2R 800 MY 06/08 2&gt;2 LH-RH VERSION ZD016SKR</v>
      </c>
      <c r="G1444" t="str">
        <f t="shared" si="421"/>
        <v/>
      </c>
      <c r="H1444" t="str">
        <f t="shared" si="433"/>
        <v/>
      </c>
      <c r="I1444" t="str">
        <f t="shared" si="434"/>
        <v/>
      </c>
      <c r="J1444" t="str">
        <f t="shared" si="435"/>
        <v/>
      </c>
      <c r="K1444" t="str">
        <f t="shared" si="436"/>
        <v/>
      </c>
      <c r="L1444" t="str">
        <f t="shared" si="422"/>
        <v/>
      </c>
      <c r="M1444" t="str">
        <f t="shared" si="423"/>
        <v/>
      </c>
      <c r="R1444" t="str">
        <f t="shared" si="424"/>
        <v/>
      </c>
      <c r="S1444" t="str">
        <f t="shared" si="425"/>
        <v/>
      </c>
      <c r="U1444" t="str">
        <f t="shared" si="426"/>
        <v/>
      </c>
      <c r="V1444" t="str">
        <f t="shared" si="427"/>
        <v/>
      </c>
      <c r="W1444" s="5" t="str">
        <f t="shared" si="428"/>
        <v/>
      </c>
      <c r="Y1444" t="str">
        <f t="shared" si="429"/>
        <v/>
      </c>
      <c r="Z1444" t="str">
        <f t="shared" si="430"/>
        <v/>
      </c>
      <c r="AB1444" t="str">
        <f t="shared" si="431"/>
        <v>https://shop.officineitalianezard.it/contents/imgs/products/1_366-ducati-monster-S2R800-dx.jpg</v>
      </c>
      <c r="AE1444" t="b">
        <v>0</v>
      </c>
    </row>
    <row r="1445" spans="1:31" x14ac:dyDescent="0.2">
      <c r="A1445" t="str">
        <f t="shared" si="418"/>
        <v>https://shop.officineitalianezard.it/en/products/index/header-kit-hight-mounted-silencers-7111-63/</v>
      </c>
      <c r="B1445" t="b">
        <f>COUNTIF($A$2:$A1445, A1445)&gt;1</f>
        <v>1</v>
      </c>
      <c r="C1445" t="b">
        <f t="shared" si="419"/>
        <v>1</v>
      </c>
      <c r="D1445">
        <f>VLOOKUP(A1445,variant_counts!A:B, 2, FALSE)</f>
        <v>3</v>
      </c>
      <c r="E1445" t="str">
        <f t="shared" si="432"/>
        <v>zard-exhaust-header-kit-hight-mounted-silencers-ducati-monster-s2r-800-my-0608-22-lh-rh-version-zd016skr</v>
      </c>
      <c r="F1445" t="str">
        <f t="shared" si="420"/>
        <v>ZARD EXHAUST HEADER KIT + HIGHT MOUNTED SILENCERS DUCATI MONSTER S2R 800 MY 06/08 2&gt;2 LH-RH VERSION ZD016SKR</v>
      </c>
      <c r="G1445" t="str">
        <f t="shared" si="421"/>
        <v/>
      </c>
      <c r="H1445" t="str">
        <f t="shared" si="433"/>
        <v/>
      </c>
      <c r="I1445" t="str">
        <f t="shared" si="434"/>
        <v/>
      </c>
      <c r="J1445" t="str">
        <f t="shared" si="435"/>
        <v/>
      </c>
      <c r="K1445" t="str">
        <f t="shared" si="436"/>
        <v/>
      </c>
      <c r="L1445" t="str">
        <f t="shared" si="422"/>
        <v>Option</v>
      </c>
      <c r="M1445" t="str">
        <f t="shared" si="423"/>
        <v>EURO 3 HOMOLOGATED</v>
      </c>
      <c r="R1445" t="str">
        <f t="shared" si="424"/>
        <v>ZD016SKR</v>
      </c>
      <c r="S1445">
        <f t="shared" si="425"/>
        <v>0</v>
      </c>
      <c r="U1445" t="str">
        <f t="shared" si="426"/>
        <v>continue</v>
      </c>
      <c r="V1445" t="str">
        <f t="shared" si="427"/>
        <v>manual</v>
      </c>
      <c r="W1445" s="5">
        <f t="shared" si="428"/>
        <v>1399.0551</v>
      </c>
      <c r="Y1445" t="b">
        <f t="shared" si="429"/>
        <v>1</v>
      </c>
      <c r="Z1445" t="b">
        <f t="shared" si="430"/>
        <v>0</v>
      </c>
      <c r="AB1445" t="str">
        <f t="shared" si="431"/>
        <v/>
      </c>
      <c r="AE1445" t="b">
        <v>0</v>
      </c>
    </row>
    <row r="1446" spans="1:31" x14ac:dyDescent="0.2">
      <c r="A1446" t="str">
        <f t="shared" si="418"/>
        <v>https://shop.officineitalianezard.it/en/products/index/header-kit-hight-mounted-silencers-7111-63/</v>
      </c>
      <c r="B1446" t="b">
        <f>COUNTIF($A$2:$A1446, A1446)&gt;1</f>
        <v>1</v>
      </c>
      <c r="C1446" t="b">
        <f t="shared" si="419"/>
        <v>1</v>
      </c>
      <c r="D1446">
        <f>VLOOKUP(A1446,variant_counts!A:B, 2, FALSE)</f>
        <v>3</v>
      </c>
      <c r="E1446" t="str">
        <f t="shared" si="432"/>
        <v>zard-exhaust-header-kit-hight-mounted-silencers-ducati-monster-s2r-800-my-0608-22-lh-rh-version-zd016skr</v>
      </c>
      <c r="F1446" t="str">
        <f t="shared" si="420"/>
        <v>ZARD EXHAUST HEADER KIT + HIGHT MOUNTED SILENCERS DUCATI MONSTER S2R 800 MY 06/08 2&gt;2 LH-RH VERSION ZD016SKR</v>
      </c>
      <c r="G1446" t="str">
        <f t="shared" si="421"/>
        <v/>
      </c>
      <c r="H1446" t="str">
        <f t="shared" si="433"/>
        <v/>
      </c>
      <c r="I1446" t="str">
        <f t="shared" si="434"/>
        <v/>
      </c>
      <c r="J1446" t="str">
        <f t="shared" si="435"/>
        <v/>
      </c>
      <c r="K1446" t="str">
        <f t="shared" si="436"/>
        <v/>
      </c>
      <c r="L1446" t="str">
        <f t="shared" si="422"/>
        <v>Option</v>
      </c>
      <c r="M1446" t="str">
        <f t="shared" si="423"/>
        <v>STEEL-TITANIUM</v>
      </c>
      <c r="R1446" t="str">
        <f t="shared" si="424"/>
        <v>ZD016SKR</v>
      </c>
      <c r="S1446">
        <f t="shared" si="425"/>
        <v>0</v>
      </c>
      <c r="U1446" t="str">
        <f t="shared" si="426"/>
        <v>continue</v>
      </c>
      <c r="V1446" t="str">
        <f t="shared" si="427"/>
        <v>manual</v>
      </c>
      <c r="W1446" s="5">
        <f t="shared" si="428"/>
        <v>1339.2816</v>
      </c>
      <c r="Y1446" t="b">
        <f t="shared" si="429"/>
        <v>1</v>
      </c>
      <c r="Z1446" t="b">
        <f t="shared" si="430"/>
        <v>0</v>
      </c>
      <c r="AB1446" t="str">
        <f t="shared" si="431"/>
        <v/>
      </c>
      <c r="AE1446" t="b">
        <v>0</v>
      </c>
    </row>
    <row r="1447" spans="1:31" x14ac:dyDescent="0.2">
      <c r="A1447" t="str">
        <f t="shared" si="418"/>
        <v>https://shop.officineitalianezard.it/en/products/index/header-kit-hight-mounted-silencers-7111-63/</v>
      </c>
      <c r="B1447" t="b">
        <f>COUNTIF($A$2:$A1447, A1447)&gt;1</f>
        <v>1</v>
      </c>
      <c r="C1447" t="b">
        <f t="shared" si="419"/>
        <v>1</v>
      </c>
      <c r="D1447">
        <f>VLOOKUP(A1447,variant_counts!A:B, 2, FALSE)</f>
        <v>3</v>
      </c>
      <c r="E1447" t="str">
        <f t="shared" si="432"/>
        <v>zard-exhaust-header-kit-hight-mounted-silencers-ducati-monster-s2r-800-my-0608-22-lh-rh-version-zd016skr</v>
      </c>
      <c r="F1447" t="str">
        <f t="shared" si="420"/>
        <v>ZARD EXHAUST HEADER KIT + HIGHT MOUNTED SILENCERS DUCATI MONSTER S2R 800 MY 06/08 2&gt;2 LH-RH VERSION ZD016SKR</v>
      </c>
      <c r="G1447" t="str">
        <f t="shared" si="421"/>
        <v/>
      </c>
      <c r="H1447" t="str">
        <f t="shared" si="433"/>
        <v/>
      </c>
      <c r="I1447" t="str">
        <f t="shared" si="434"/>
        <v/>
      </c>
      <c r="J1447" t="str">
        <f t="shared" si="435"/>
        <v/>
      </c>
      <c r="K1447" t="str">
        <f t="shared" si="436"/>
        <v/>
      </c>
      <c r="L1447" t="str">
        <f t="shared" si="422"/>
        <v>Option</v>
      </c>
      <c r="M1447" t="str">
        <f t="shared" si="423"/>
        <v>BLACK ENDCAP</v>
      </c>
      <c r="R1447" t="str">
        <f t="shared" si="424"/>
        <v>ZD016SKR</v>
      </c>
      <c r="S1447">
        <f t="shared" si="425"/>
        <v>0</v>
      </c>
      <c r="U1447" t="str">
        <f t="shared" si="426"/>
        <v>continue</v>
      </c>
      <c r="V1447" t="str">
        <f t="shared" si="427"/>
        <v>manual</v>
      </c>
      <c r="W1447" s="5">
        <f t="shared" si="428"/>
        <v>1390.8744000000002</v>
      </c>
      <c r="Y1447" t="b">
        <f t="shared" si="429"/>
        <v>1</v>
      </c>
      <c r="Z1447" t="b">
        <f t="shared" si="430"/>
        <v>0</v>
      </c>
      <c r="AB1447" t="str">
        <f t="shared" si="431"/>
        <v/>
      </c>
      <c r="AE1447" t="b">
        <v>0</v>
      </c>
    </row>
    <row r="1448" spans="1:31" x14ac:dyDescent="0.2">
      <c r="A1448" t="str">
        <f t="shared" si="418"/>
        <v>https://shop.officineitalianezard.it/en/products/index/kit-steel-racing-manifold-7114-63/</v>
      </c>
      <c r="B1448" t="b">
        <f>COUNTIF($A$2:$A1448, A1448)&gt;1</f>
        <v>0</v>
      </c>
      <c r="C1448" t="b">
        <f t="shared" si="419"/>
        <v>0</v>
      </c>
      <c r="D1448">
        <f>VLOOKUP(A1448,variant_counts!A:B, 2, FALSE)</f>
        <v>1</v>
      </c>
      <c r="E1448" t="str">
        <f t="shared" si="432"/>
        <v>zard-exhaust-headers-kit-ducati-monster-s2r-800-my-0608-steel-version-zd025lcr</v>
      </c>
      <c r="F1448" t="str">
        <f t="shared" si="420"/>
        <v>ZARD EXHAUST HEADERS KIT DUCATI MONSTER S2R 800 MY 06/08 STEEL VERSION ZD025LCR</v>
      </c>
      <c r="G1448" t="str">
        <f t="shared" si="421"/>
        <v>&lt;p&gt;STEEL HEADERS KIT RACING FOR HIGHT MOUNTED ZARD LH-RH&amp;nbsp;SILENCERS&lt;/p&gt;
&lt;p&gt;ZARD HEADERS WEIGHT: KG 1.7&lt;/p&gt;
&lt;p&gt;HARD INCREASE, COMPARED TO THE ORIGINAL EXHAUST SYSTEM, IN TERMS OF TORQUE AND POWER AT ANY RANGE (+2.5 FOR THE SOLE MUFFLERS, + 5 HP FOR THE FULL KITS).&lt;/p&gt;
&lt;p&gt;ASTONISHING SOUND.&lt;/p&gt;</v>
      </c>
      <c r="H1448" t="str">
        <f t="shared" si="433"/>
        <v>ZARD</v>
      </c>
      <c r="I1448" t="str">
        <f t="shared" si="434"/>
        <v>Exhaust Pipe</v>
      </c>
      <c r="J1448" t="str">
        <f t="shared" si="435"/>
        <v>Test</v>
      </c>
      <c r="K1448" t="b">
        <f t="shared" si="436"/>
        <v>0</v>
      </c>
      <c r="L1448" t="str">
        <f t="shared" si="422"/>
        <v>Option</v>
      </c>
      <c r="M1448" t="str">
        <f t="shared" si="423"/>
        <v>DEFAULT</v>
      </c>
      <c r="R1448" t="str">
        <f t="shared" si="424"/>
        <v>ZD025LCR</v>
      </c>
      <c r="S1448">
        <f t="shared" si="425"/>
        <v>0</v>
      </c>
      <c r="U1448" t="str">
        <f t="shared" si="426"/>
        <v>continue</v>
      </c>
      <c r="V1448" t="str">
        <f t="shared" si="427"/>
        <v>manual</v>
      </c>
      <c r="W1448" s="5">
        <f t="shared" si="428"/>
        <v>783.37140000000011</v>
      </c>
      <c r="Y1448" t="b">
        <f t="shared" si="429"/>
        <v>1</v>
      </c>
      <c r="Z1448" t="b">
        <f t="shared" si="430"/>
        <v>0</v>
      </c>
      <c r="AB1448" t="str">
        <f t="shared" si="431"/>
        <v>https://shop.officineitalianezard.it/contents/imgs/products/1_372-ducati-monster-S2R800-dx.jpg</v>
      </c>
      <c r="AE1448" t="b">
        <v>0</v>
      </c>
    </row>
    <row r="1449" spans="1:31" x14ac:dyDescent="0.2">
      <c r="A1449" t="str">
        <f t="shared" si="418"/>
        <v>https://shop.officineitalianezard.it/en/products/index/kit-steel-racing-manifold-7114-63/</v>
      </c>
      <c r="B1449" t="b">
        <f>COUNTIF($A$2:$A1449, A1449)&gt;1</f>
        <v>1</v>
      </c>
      <c r="C1449" t="b">
        <f t="shared" si="419"/>
        <v>1</v>
      </c>
      <c r="D1449">
        <f>VLOOKUP(A1449,variant_counts!A:B, 2, FALSE)</f>
        <v>1</v>
      </c>
      <c r="E1449" t="str">
        <f t="shared" si="432"/>
        <v>zard-exhaust-headers-kit-ducati-monster-s2r-800-my-0608-steel-version-zd025lcr</v>
      </c>
      <c r="F1449" t="str">
        <f t="shared" si="420"/>
        <v>ZARD EXHAUST HEADERS KIT DUCATI MONSTER S2R 800 MY 06/08 STEEL VERSION ZD025LCR</v>
      </c>
      <c r="G1449" t="str">
        <f t="shared" si="421"/>
        <v/>
      </c>
      <c r="H1449" t="str">
        <f t="shared" si="433"/>
        <v/>
      </c>
      <c r="I1449" t="str">
        <f t="shared" si="434"/>
        <v/>
      </c>
      <c r="J1449" t="str">
        <f t="shared" si="435"/>
        <v/>
      </c>
      <c r="K1449" t="str">
        <f t="shared" si="436"/>
        <v/>
      </c>
      <c r="L1449" t="str">
        <f t="shared" si="422"/>
        <v>Option</v>
      </c>
      <c r="M1449" t="str">
        <f t="shared" si="423"/>
        <v>BLACK CERAMIC COATING</v>
      </c>
      <c r="R1449" t="str">
        <f t="shared" si="424"/>
        <v>ZD025LCR</v>
      </c>
      <c r="S1449">
        <f t="shared" si="425"/>
        <v>0</v>
      </c>
      <c r="U1449" t="str">
        <f t="shared" si="426"/>
        <v>continue</v>
      </c>
      <c r="V1449" t="str">
        <f t="shared" si="427"/>
        <v>manual</v>
      </c>
      <c r="W1449" s="5">
        <f t="shared" si="428"/>
        <v>869.35200000000009</v>
      </c>
      <c r="Y1449" t="b">
        <f t="shared" si="429"/>
        <v>1</v>
      </c>
      <c r="Z1449" t="b">
        <f t="shared" si="430"/>
        <v>0</v>
      </c>
      <c r="AB1449" t="str">
        <f t="shared" si="431"/>
        <v/>
      </c>
      <c r="AE1449" t="b">
        <v>0</v>
      </c>
    </row>
    <row r="1450" spans="1:31" x14ac:dyDescent="0.2">
      <c r="A1450" t="str">
        <f t="shared" si="418"/>
        <v>https://shop.officineitalianezard.it/en/products/index/n-2-carbonium-mufflers-dx-sx-7113-63/</v>
      </c>
      <c r="B1450" t="b">
        <f>COUNTIF($A$2:$A1450, A1450)&gt;1</f>
        <v>0</v>
      </c>
      <c r="C1450" t="b">
        <f t="shared" si="419"/>
        <v>0</v>
      </c>
      <c r="D1450">
        <f>VLOOKUP(A1450,variant_counts!A:B, 2, FALSE)</f>
        <v>3</v>
      </c>
      <c r="E1450" t="str">
        <f t="shared" si="432"/>
        <v>zard-exhaust-hight-mounted-silencers-ducati-monster-s2r-800-my-0608-lh-rh-version-zd024lsr-1</v>
      </c>
      <c r="F1450" t="str">
        <f t="shared" si="420"/>
        <v>ZARD EXHAUST HIGHT MOUNTED SILENCERS DUCATI MONSTER S2R 800 MY 06/08 LH-RH VERSION ZD024LSR-1</v>
      </c>
      <c r="G1450" t="str">
        <f t="shared" si="421"/>
        <v>&lt;p&gt;STEEL-CARBON SILENCERS RACING WITH REMOVABLE DB KILLER&lt;/p&gt;
&lt;p&gt;ZARD SILENCERS WEIGHT: KG 3.8&lt;br&gt;ZARD MANIFOLD WEIGHT: KG 1.7&lt;/p&gt;
&lt;p&gt;HARD INCREASE, COMPARED TO THE STANDARD EXHAUST SYSTEM, IN TERMS OF TORQUE AND POWER AT ANY RANGE (+2.5 FOR THE SOLE MUFFLERS, + 5 HP FOR THE FULL KITS).&lt;/p&gt;
&lt;p&gt;ASTONISHING SOUND.&lt;/p&gt;</v>
      </c>
      <c r="H1450" t="str">
        <f t="shared" si="433"/>
        <v>ZARD</v>
      </c>
      <c r="I1450" t="str">
        <f t="shared" si="434"/>
        <v>Exhaust Pipe</v>
      </c>
      <c r="J1450" t="str">
        <f t="shared" si="435"/>
        <v>Test</v>
      </c>
      <c r="K1450" t="b">
        <f t="shared" si="436"/>
        <v>0</v>
      </c>
      <c r="L1450" t="str">
        <f t="shared" si="422"/>
        <v/>
      </c>
      <c r="M1450" t="str">
        <f t="shared" si="423"/>
        <v/>
      </c>
      <c r="R1450" t="str">
        <f t="shared" si="424"/>
        <v/>
      </c>
      <c r="S1450" t="str">
        <f t="shared" si="425"/>
        <v/>
      </c>
      <c r="U1450" t="str">
        <f t="shared" si="426"/>
        <v/>
      </c>
      <c r="V1450" t="str">
        <f t="shared" si="427"/>
        <v/>
      </c>
      <c r="W1450" s="5" t="str">
        <f t="shared" si="428"/>
        <v/>
      </c>
      <c r="Y1450" t="str">
        <f t="shared" si="429"/>
        <v/>
      </c>
      <c r="Z1450" t="str">
        <f t="shared" si="430"/>
        <v/>
      </c>
      <c r="AB1450" t="str">
        <f t="shared" si="431"/>
        <v>https://shop.officineitalianezard.it/contents/imgs/products/1_370-ducati-monster-S2R800-dx.jpg</v>
      </c>
      <c r="AE1450" t="b">
        <v>0</v>
      </c>
    </row>
    <row r="1451" spans="1:31" x14ac:dyDescent="0.2">
      <c r="A1451" t="str">
        <f t="shared" si="418"/>
        <v>https://shop.officineitalianezard.it/en/products/index/n-2-carbonium-mufflers-dx-sx-7113-63/</v>
      </c>
      <c r="B1451" t="b">
        <f>COUNTIF($A$2:$A1451, A1451)&gt;1</f>
        <v>1</v>
      </c>
      <c r="C1451" t="b">
        <f t="shared" si="419"/>
        <v>0</v>
      </c>
      <c r="D1451">
        <f>VLOOKUP(A1451,variant_counts!A:B, 2, FALSE)</f>
        <v>3</v>
      </c>
      <c r="E1451" t="str">
        <f t="shared" si="432"/>
        <v>zard-exhaust-hight-mounted-silencers-ducati-monster-s2r-800-my-0608-lh-rh-version-zd024lsr-1</v>
      </c>
      <c r="F1451" t="str">
        <f t="shared" si="420"/>
        <v>ZARD EXHAUST HIGHT MOUNTED SILENCERS DUCATI MONSTER S2R 800 MY 06/08 LH-RH VERSION ZD024LSR-1</v>
      </c>
      <c r="G1451" t="str">
        <f t="shared" si="421"/>
        <v/>
      </c>
      <c r="H1451" t="str">
        <f t="shared" si="433"/>
        <v/>
      </c>
      <c r="I1451" t="str">
        <f t="shared" si="434"/>
        <v/>
      </c>
      <c r="J1451" t="str">
        <f t="shared" si="435"/>
        <v/>
      </c>
      <c r="K1451" t="str">
        <f t="shared" si="436"/>
        <v/>
      </c>
      <c r="L1451" t="str">
        <f t="shared" si="422"/>
        <v/>
      </c>
      <c r="M1451" t="str">
        <f t="shared" si="423"/>
        <v/>
      </c>
      <c r="R1451" t="str">
        <f t="shared" si="424"/>
        <v/>
      </c>
      <c r="S1451" t="str">
        <f t="shared" si="425"/>
        <v/>
      </c>
      <c r="U1451" t="str">
        <f t="shared" si="426"/>
        <v/>
      </c>
      <c r="V1451" t="str">
        <f t="shared" si="427"/>
        <v/>
      </c>
      <c r="W1451" s="5" t="str">
        <f t="shared" si="428"/>
        <v/>
      </c>
      <c r="Y1451" t="str">
        <f t="shared" si="429"/>
        <v/>
      </c>
      <c r="Z1451" t="str">
        <f t="shared" si="430"/>
        <v/>
      </c>
      <c r="AB1451" t="str">
        <f t="shared" si="431"/>
        <v>https://shop.officineitalianezard.it/contents/imgs/products/1_371-ducati-monster-S2R800-part.jpg</v>
      </c>
      <c r="AE1451" t="b">
        <v>0</v>
      </c>
    </row>
    <row r="1452" spans="1:31" x14ac:dyDescent="0.2">
      <c r="A1452" t="str">
        <f t="shared" si="418"/>
        <v>https://shop.officineitalianezard.it/en/products/index/n-2-carbonium-mufflers-dx-sx-7113-63/</v>
      </c>
      <c r="B1452" t="b">
        <f>COUNTIF($A$2:$A1452, A1452)&gt;1</f>
        <v>1</v>
      </c>
      <c r="C1452" t="b">
        <f t="shared" si="419"/>
        <v>1</v>
      </c>
      <c r="D1452">
        <f>VLOOKUP(A1452,variant_counts!A:B, 2, FALSE)</f>
        <v>3</v>
      </c>
      <c r="E1452" t="str">
        <f t="shared" si="432"/>
        <v>zard-exhaust-hight-mounted-silencers-ducati-monster-s2r-800-my-0608-lh-rh-version-zd024lsr-1</v>
      </c>
      <c r="F1452" t="str">
        <f t="shared" si="420"/>
        <v>ZARD EXHAUST HIGHT MOUNTED SILENCERS DUCATI MONSTER S2R 800 MY 06/08 LH-RH VERSION ZD024LSR-1</v>
      </c>
      <c r="G1452" t="str">
        <f t="shared" si="421"/>
        <v/>
      </c>
      <c r="H1452" t="str">
        <f t="shared" si="433"/>
        <v/>
      </c>
      <c r="I1452" t="str">
        <f t="shared" si="434"/>
        <v/>
      </c>
      <c r="J1452" t="str">
        <f t="shared" si="435"/>
        <v/>
      </c>
      <c r="K1452" t="str">
        <f t="shared" si="436"/>
        <v/>
      </c>
      <c r="L1452" t="str">
        <f t="shared" si="422"/>
        <v>Option</v>
      </c>
      <c r="M1452" t="str">
        <f t="shared" si="423"/>
        <v>EURO 3 HOMOLOGATED</v>
      </c>
      <c r="R1452" t="str">
        <f t="shared" si="424"/>
        <v>ZD024LSR-1</v>
      </c>
      <c r="S1452">
        <f t="shared" si="425"/>
        <v>0</v>
      </c>
      <c r="U1452" t="str">
        <f t="shared" si="426"/>
        <v>continue</v>
      </c>
      <c r="V1452" t="str">
        <f t="shared" si="427"/>
        <v>manual</v>
      </c>
      <c r="W1452" s="5">
        <f t="shared" si="428"/>
        <v>924.94080000000019</v>
      </c>
      <c r="Y1452" t="b">
        <f t="shared" si="429"/>
        <v>1</v>
      </c>
      <c r="Z1452" t="b">
        <f t="shared" si="430"/>
        <v>0</v>
      </c>
      <c r="AB1452" t="str">
        <f t="shared" si="431"/>
        <v/>
      </c>
      <c r="AE1452" t="b">
        <v>0</v>
      </c>
    </row>
    <row r="1453" spans="1:31" x14ac:dyDescent="0.2">
      <c r="A1453" t="str">
        <f t="shared" si="418"/>
        <v>https://shop.officineitalianezard.it/en/products/index/n-2-carbonium-mufflers-dx-sx-7113-63/</v>
      </c>
      <c r="B1453" t="b">
        <f>COUNTIF($A$2:$A1453, A1453)&gt;1</f>
        <v>1</v>
      </c>
      <c r="C1453" t="b">
        <f t="shared" si="419"/>
        <v>1</v>
      </c>
      <c r="D1453">
        <f>VLOOKUP(A1453,variant_counts!A:B, 2, FALSE)</f>
        <v>3</v>
      </c>
      <c r="E1453" t="str">
        <f t="shared" si="432"/>
        <v>zard-exhaust-hight-mounted-silencers-ducati-monster-s2r-800-my-0608-lh-rh-version-zd024lsr-1</v>
      </c>
      <c r="F1453" t="str">
        <f t="shared" si="420"/>
        <v>ZARD EXHAUST HIGHT MOUNTED SILENCERS DUCATI MONSTER S2R 800 MY 06/08 LH-RH VERSION ZD024LSR-1</v>
      </c>
      <c r="G1453" t="str">
        <f t="shared" si="421"/>
        <v/>
      </c>
      <c r="H1453" t="str">
        <f t="shared" si="433"/>
        <v/>
      </c>
      <c r="I1453" t="str">
        <f t="shared" si="434"/>
        <v/>
      </c>
      <c r="J1453" t="str">
        <f t="shared" si="435"/>
        <v/>
      </c>
      <c r="K1453" t="str">
        <f t="shared" si="436"/>
        <v/>
      </c>
      <c r="L1453" t="str">
        <f t="shared" si="422"/>
        <v>Option</v>
      </c>
      <c r="M1453" t="str">
        <f t="shared" si="423"/>
        <v>FULL TITANIUM RACING</v>
      </c>
      <c r="R1453" t="str">
        <f t="shared" si="424"/>
        <v>ZD024LSR-1</v>
      </c>
      <c r="S1453">
        <f t="shared" si="425"/>
        <v>0</v>
      </c>
      <c r="U1453" t="str">
        <f t="shared" si="426"/>
        <v>continue</v>
      </c>
      <c r="V1453" t="str">
        <f t="shared" si="427"/>
        <v>manual</v>
      </c>
      <c r="W1453" s="5">
        <f t="shared" si="428"/>
        <v>864.34590000000014</v>
      </c>
      <c r="Y1453" t="b">
        <f t="shared" si="429"/>
        <v>1</v>
      </c>
      <c r="Z1453" t="b">
        <f t="shared" si="430"/>
        <v>0</v>
      </c>
      <c r="AB1453" t="str">
        <f t="shared" si="431"/>
        <v/>
      </c>
      <c r="AE1453" t="b">
        <v>0</v>
      </c>
    </row>
    <row r="1454" spans="1:31" x14ac:dyDescent="0.2">
      <c r="A1454" t="str">
        <f t="shared" si="418"/>
        <v>https://shop.officineitalianezard.it/en/products/index/n-2-carbonium-mufflers-dx-sx-7113-63/</v>
      </c>
      <c r="B1454" t="b">
        <f>COUNTIF($A$2:$A1454, A1454)&gt;1</f>
        <v>1</v>
      </c>
      <c r="C1454" t="b">
        <f t="shared" si="419"/>
        <v>1</v>
      </c>
      <c r="D1454">
        <f>VLOOKUP(A1454,variant_counts!A:B, 2, FALSE)</f>
        <v>3</v>
      </c>
      <c r="E1454" t="str">
        <f t="shared" si="432"/>
        <v>zard-exhaust-hight-mounted-silencers-ducati-monster-s2r-800-my-0608-lh-rh-version-zd024lsr-1</v>
      </c>
      <c r="F1454" t="str">
        <f t="shared" si="420"/>
        <v>ZARD EXHAUST HIGHT MOUNTED SILENCERS DUCATI MONSTER S2R 800 MY 06/08 LH-RH VERSION ZD024LSR-1</v>
      </c>
      <c r="G1454" t="str">
        <f t="shared" si="421"/>
        <v/>
      </c>
      <c r="H1454" t="str">
        <f t="shared" si="433"/>
        <v/>
      </c>
      <c r="I1454" t="str">
        <f t="shared" si="434"/>
        <v/>
      </c>
      <c r="J1454" t="str">
        <f t="shared" si="435"/>
        <v/>
      </c>
      <c r="K1454" t="str">
        <f t="shared" si="436"/>
        <v/>
      </c>
      <c r="L1454" t="str">
        <f t="shared" si="422"/>
        <v>Option</v>
      </c>
      <c r="M1454" t="str">
        <f t="shared" si="423"/>
        <v>BLACK ENDCAP</v>
      </c>
      <c r="R1454" t="str">
        <f t="shared" si="424"/>
        <v>ZD024LSR-1</v>
      </c>
      <c r="S1454">
        <f t="shared" si="425"/>
        <v>0</v>
      </c>
      <c r="U1454" t="str">
        <f t="shared" si="426"/>
        <v>continue</v>
      </c>
      <c r="V1454" t="str">
        <f t="shared" si="427"/>
        <v>manual</v>
      </c>
      <c r="W1454" s="5">
        <f t="shared" si="428"/>
        <v>915.93870000000015</v>
      </c>
      <c r="Y1454" t="b">
        <f t="shared" si="429"/>
        <v>1</v>
      </c>
      <c r="Z1454" t="b">
        <f t="shared" si="430"/>
        <v>0</v>
      </c>
      <c r="AB1454" t="str">
        <f t="shared" si="431"/>
        <v/>
      </c>
      <c r="AE1454" t="b">
        <v>0</v>
      </c>
    </row>
    <row r="1455" spans="1:31" x14ac:dyDescent="0.2">
      <c r="A1455" t="str">
        <f t="shared" si="418"/>
        <v>https://shop.officineitalianezard.it/en/products/index/n-2-over-and-under-carbonium-mufflers-7115-63/</v>
      </c>
      <c r="B1455" t="b">
        <f>COUNTIF($A$2:$A1455, A1455)&gt;1</f>
        <v>0</v>
      </c>
      <c r="C1455" t="b">
        <f t="shared" si="419"/>
        <v>0</v>
      </c>
      <c r="D1455">
        <f>VLOOKUP(A1455,variant_counts!A:B, 2, FALSE)</f>
        <v>3</v>
      </c>
      <c r="E1455" t="str">
        <f t="shared" si="432"/>
        <v>zard-exhaust-silencers-ducati-monster-s2r-800-my-0608-overlapped-version-zd024hsr-1</v>
      </c>
      <c r="F1455" t="str">
        <f t="shared" si="420"/>
        <v>ZARD EXHAUST SILENCERS DUCATI MONSTER S2R 800 MY 06/08 OVERLAPPED VERSION ZD024HSR-1</v>
      </c>
      <c r="G1455" t="str">
        <f t="shared" si="421"/>
        <v>&lt;p&gt;N.2 STEEL CARBON SILENCERS RACING WITH REMOVABLE DB KILLER&lt;/p&gt;
&lt;p&gt;ZARD SILENCERS WEIGHT: KG 3.8&lt;br&gt;ZARD MANIFOLD WEIGHT: KG 1.7&lt;/p&gt;
&lt;p&gt;HARD INCREASE, COMPARED TO THE ORIGINAL EXHAUST SYSTEM, IN TERMS OF TORQUE AND POWER AT ANY RANGE (+2.5 FOR THE SOLE MUFFLERS, + 5 HP FOR THE FULL KITS).&lt;/p&gt;
&lt;p&gt;ASTONISHING SOUND.&lt;/p&gt;</v>
      </c>
      <c r="H1455" t="str">
        <f t="shared" si="433"/>
        <v>ZARD</v>
      </c>
      <c r="I1455" t="str">
        <f t="shared" si="434"/>
        <v>Exhaust Pipe</v>
      </c>
      <c r="J1455" t="str">
        <f t="shared" si="435"/>
        <v>Test</v>
      </c>
      <c r="K1455" t="b">
        <f t="shared" si="436"/>
        <v>0</v>
      </c>
      <c r="L1455" t="str">
        <f t="shared" si="422"/>
        <v/>
      </c>
      <c r="M1455" t="str">
        <f t="shared" si="423"/>
        <v/>
      </c>
      <c r="R1455" t="str">
        <f t="shared" si="424"/>
        <v/>
      </c>
      <c r="S1455" t="str">
        <f t="shared" si="425"/>
        <v/>
      </c>
      <c r="U1455" t="str">
        <f t="shared" si="426"/>
        <v/>
      </c>
      <c r="V1455" t="str">
        <f t="shared" si="427"/>
        <v/>
      </c>
      <c r="W1455" s="5" t="str">
        <f t="shared" si="428"/>
        <v/>
      </c>
      <c r="Y1455" t="str">
        <f t="shared" si="429"/>
        <v/>
      </c>
      <c r="Z1455" t="str">
        <f t="shared" si="430"/>
        <v/>
      </c>
      <c r="AB1455" t="str">
        <f t="shared" si="431"/>
        <v>https://shop.officineitalianezard.it/contents/imgs/products/1_558-374-ducati-monster-S2R800-dx.jpg</v>
      </c>
      <c r="AE1455" t="b">
        <v>0</v>
      </c>
    </row>
    <row r="1456" spans="1:31" x14ac:dyDescent="0.2">
      <c r="A1456" t="str">
        <f t="shared" si="418"/>
        <v>https://shop.officineitalianezard.it/en/products/index/n-2-over-and-under-carbonium-mufflers-7115-63/</v>
      </c>
      <c r="B1456" t="b">
        <f>COUNTIF($A$2:$A1456, A1456)&gt;1</f>
        <v>1</v>
      </c>
      <c r="C1456" t="b">
        <f t="shared" si="419"/>
        <v>1</v>
      </c>
      <c r="D1456">
        <f>VLOOKUP(A1456,variant_counts!A:B, 2, FALSE)</f>
        <v>3</v>
      </c>
      <c r="E1456" t="str">
        <f t="shared" si="432"/>
        <v>zard-exhaust-silencers-ducati-monster-s2r-800-my-0608-overlapped-version-zd024hsr-1</v>
      </c>
      <c r="F1456" t="str">
        <f t="shared" si="420"/>
        <v>ZARD EXHAUST SILENCERS DUCATI MONSTER S2R 800 MY 06/08 OVERLAPPED VERSION ZD024HSR-1</v>
      </c>
      <c r="G1456" t="str">
        <f t="shared" si="421"/>
        <v/>
      </c>
      <c r="H1456" t="str">
        <f t="shared" si="433"/>
        <v/>
      </c>
      <c r="I1456" t="str">
        <f t="shared" si="434"/>
        <v/>
      </c>
      <c r="J1456" t="str">
        <f t="shared" si="435"/>
        <v/>
      </c>
      <c r="K1456" t="str">
        <f t="shared" si="436"/>
        <v/>
      </c>
      <c r="L1456" t="str">
        <f t="shared" si="422"/>
        <v>Option</v>
      </c>
      <c r="M1456" t="str">
        <f t="shared" si="423"/>
        <v>EURO 3 HOMOLOGATED</v>
      </c>
      <c r="R1456" t="str">
        <f t="shared" si="424"/>
        <v>ZD024HSR-1</v>
      </c>
      <c r="S1456">
        <f t="shared" si="425"/>
        <v>0</v>
      </c>
      <c r="U1456" t="str">
        <f t="shared" si="426"/>
        <v>continue</v>
      </c>
      <c r="V1456" t="str">
        <f t="shared" si="427"/>
        <v>manual</v>
      </c>
      <c r="W1456" s="5">
        <f t="shared" si="428"/>
        <v>875.53470000000004</v>
      </c>
      <c r="Y1456" t="b">
        <f t="shared" si="429"/>
        <v>1</v>
      </c>
      <c r="Z1456" t="b">
        <f t="shared" si="430"/>
        <v>0</v>
      </c>
      <c r="AB1456" t="str">
        <f t="shared" si="431"/>
        <v/>
      </c>
      <c r="AE1456" t="b">
        <v>0</v>
      </c>
    </row>
    <row r="1457" spans="1:31" x14ac:dyDescent="0.2">
      <c r="A1457" t="str">
        <f t="shared" si="418"/>
        <v>https://shop.officineitalianezard.it/en/products/index/n-2-over-and-under-carbonium-mufflers-7115-63/</v>
      </c>
      <c r="B1457" t="b">
        <f>COUNTIF($A$2:$A1457, A1457)&gt;1</f>
        <v>1</v>
      </c>
      <c r="C1457" t="b">
        <f t="shared" si="419"/>
        <v>1</v>
      </c>
      <c r="D1457">
        <f>VLOOKUP(A1457,variant_counts!A:B, 2, FALSE)</f>
        <v>3</v>
      </c>
      <c r="E1457" t="str">
        <f t="shared" si="432"/>
        <v>zard-exhaust-silencers-ducati-monster-s2r-800-my-0608-overlapped-version-zd024hsr-1</v>
      </c>
      <c r="F1457" t="str">
        <f t="shared" si="420"/>
        <v>ZARD EXHAUST SILENCERS DUCATI MONSTER S2R 800 MY 06/08 OVERLAPPED VERSION ZD024HSR-1</v>
      </c>
      <c r="G1457" t="str">
        <f t="shared" si="421"/>
        <v/>
      </c>
      <c r="H1457" t="str">
        <f t="shared" si="433"/>
        <v/>
      </c>
      <c r="I1457" t="str">
        <f t="shared" si="434"/>
        <v/>
      </c>
      <c r="J1457" t="str">
        <f t="shared" si="435"/>
        <v/>
      </c>
      <c r="K1457" t="str">
        <f t="shared" si="436"/>
        <v/>
      </c>
      <c r="L1457" t="str">
        <f t="shared" si="422"/>
        <v>Option</v>
      </c>
      <c r="M1457" t="str">
        <f t="shared" si="423"/>
        <v>BLACK ENDCAP</v>
      </c>
      <c r="R1457" t="str">
        <f t="shared" si="424"/>
        <v>ZD024HSR-1</v>
      </c>
      <c r="S1457">
        <f t="shared" si="425"/>
        <v>0</v>
      </c>
      <c r="U1457" t="str">
        <f t="shared" si="426"/>
        <v>continue</v>
      </c>
      <c r="V1457" t="str">
        <f t="shared" si="427"/>
        <v>manual</v>
      </c>
      <c r="W1457" s="5">
        <f t="shared" si="428"/>
        <v>880.45200000000011</v>
      </c>
      <c r="Y1457" t="b">
        <f t="shared" si="429"/>
        <v>1</v>
      </c>
      <c r="Z1457" t="b">
        <f t="shared" si="430"/>
        <v>0</v>
      </c>
      <c r="AB1457" t="str">
        <f t="shared" si="431"/>
        <v/>
      </c>
      <c r="AE1457" t="b">
        <v>0</v>
      </c>
    </row>
    <row r="1458" spans="1:31" x14ac:dyDescent="0.2">
      <c r="A1458" t="str">
        <f t="shared" si="418"/>
        <v>https://shop.officineitalianezard.it/en/products/index/n-2-over-and-under-carbonium-mufflers-7115-63/</v>
      </c>
      <c r="B1458" t="b">
        <f>COUNTIF($A$2:$A1458, A1458)&gt;1</f>
        <v>1</v>
      </c>
      <c r="C1458" t="b">
        <f t="shared" si="419"/>
        <v>1</v>
      </c>
      <c r="D1458">
        <f>VLOOKUP(A1458,variant_counts!A:B, 2, FALSE)</f>
        <v>3</v>
      </c>
      <c r="E1458" t="str">
        <f t="shared" si="432"/>
        <v>zard-exhaust-silencers-ducati-monster-s2r-800-my-0608-overlapped-version-zd024hsr-1</v>
      </c>
      <c r="F1458" t="str">
        <f t="shared" si="420"/>
        <v>ZARD EXHAUST SILENCERS DUCATI MONSTER S2R 800 MY 06/08 OVERLAPPED VERSION ZD024HSR-1</v>
      </c>
      <c r="G1458" t="str">
        <f t="shared" si="421"/>
        <v/>
      </c>
      <c r="H1458" t="str">
        <f t="shared" si="433"/>
        <v/>
      </c>
      <c r="I1458" t="str">
        <f t="shared" si="434"/>
        <v/>
      </c>
      <c r="J1458" t="str">
        <f t="shared" si="435"/>
        <v/>
      </c>
      <c r="K1458" t="str">
        <f t="shared" si="436"/>
        <v/>
      </c>
      <c r="L1458" t="str">
        <f t="shared" si="422"/>
        <v>Option</v>
      </c>
      <c r="M1458" t="str">
        <f t="shared" si="423"/>
        <v>FULL TITANIUM RACING</v>
      </c>
      <c r="R1458" t="str">
        <f t="shared" si="424"/>
        <v>ZD024HSR-1</v>
      </c>
      <c r="S1458">
        <f t="shared" si="425"/>
        <v>0</v>
      </c>
      <c r="U1458" t="str">
        <f t="shared" si="426"/>
        <v>continue</v>
      </c>
      <c r="V1458" t="str">
        <f t="shared" si="427"/>
        <v>manual</v>
      </c>
      <c r="W1458" s="5">
        <f t="shared" si="428"/>
        <v>828.8592000000001</v>
      </c>
      <c r="Y1458" t="b">
        <f t="shared" si="429"/>
        <v>1</v>
      </c>
      <c r="Z1458" t="b">
        <f t="shared" si="430"/>
        <v>0</v>
      </c>
      <c r="AB1458" t="str">
        <f t="shared" si="431"/>
        <v/>
      </c>
      <c r="AE1458" t="b">
        <v>0</v>
      </c>
    </row>
    <row r="1459" spans="1:31" x14ac:dyDescent="0.2">
      <c r="A1459" t="str">
        <f t="shared" si="418"/>
        <v>https://shop.officineitalianezard.it/en/products/index/n-2-over-and-under-carbonium-mufflers-7115-62/</v>
      </c>
      <c r="B1459" t="b">
        <f>COUNTIF($A$2:$A1459, A1459)&gt;1</f>
        <v>0</v>
      </c>
      <c r="C1459" t="b">
        <f t="shared" si="419"/>
        <v>0</v>
      </c>
      <c r="D1459">
        <f>VLOOKUP(A1459,variant_counts!A:B, 2, FALSE)</f>
        <v>3</v>
      </c>
      <c r="E1459" t="str">
        <f t="shared" si="432"/>
        <v>zard-exhaust-silencers-ducati-monster-s2r-800-my-06-overlapped-version-zd024hsr-1</v>
      </c>
      <c r="F1459" t="str">
        <f t="shared" si="420"/>
        <v>ZARD EXHAUST SILENCERS DUCATI MONSTER S2R 800 MY 06 OVERLAPPED VERSION ZD024HSR-1</v>
      </c>
      <c r="G1459" t="str">
        <f t="shared" si="421"/>
        <v>&lt;p&gt;N.2 STEEL CARBON SILENCERS RACING WITH REMOVABLE DB KILLER&lt;/p&gt;
&lt;p&gt;ZARD SILENCERS WEIGHT: KG 3.8&lt;br&gt;ZARD MANIFOLD WEIGHT: KG 1.7&lt;/p&gt;
&lt;p&gt;HARD INCREASE, COMPARED TO THE ORIGINAL EXHAUST SYSTEM, IN TERMS OF TORQUE AND POWER AT ANY RANGE (+2.5 FOR THE SOLE MUFFLERS, + 5 HP FOR THE FULL KITS).&lt;/p&gt;
&lt;p&gt;ASTONISHING SOUND.&lt;/p&gt;</v>
      </c>
      <c r="H1459" t="str">
        <f t="shared" si="433"/>
        <v>ZARD</v>
      </c>
      <c r="I1459" t="str">
        <f t="shared" si="434"/>
        <v>Exhaust Pipe</v>
      </c>
      <c r="J1459" t="str">
        <f t="shared" si="435"/>
        <v>Test</v>
      </c>
      <c r="K1459" t="b">
        <f t="shared" si="436"/>
        <v>0</v>
      </c>
      <c r="L1459" t="str">
        <f t="shared" si="422"/>
        <v/>
      </c>
      <c r="M1459" t="str">
        <f t="shared" si="423"/>
        <v/>
      </c>
      <c r="R1459" t="str">
        <f t="shared" si="424"/>
        <v/>
      </c>
      <c r="S1459" t="str">
        <f t="shared" si="425"/>
        <v/>
      </c>
      <c r="U1459" t="str">
        <f t="shared" si="426"/>
        <v/>
      </c>
      <c r="V1459" t="str">
        <f t="shared" si="427"/>
        <v/>
      </c>
      <c r="W1459" s="5" t="str">
        <f t="shared" si="428"/>
        <v/>
      </c>
      <c r="Y1459" t="str">
        <f t="shared" si="429"/>
        <v/>
      </c>
      <c r="Z1459" t="str">
        <f t="shared" si="430"/>
        <v/>
      </c>
      <c r="AB1459" t="str">
        <f t="shared" si="431"/>
        <v>https://shop.officineitalianezard.it/contents/imgs/products/1_558-374-ducati-monster-S2R800-dx.jpg</v>
      </c>
      <c r="AE1459" t="b">
        <v>0</v>
      </c>
    </row>
    <row r="1460" spans="1:31" x14ac:dyDescent="0.2">
      <c r="A1460" t="str">
        <f t="shared" si="418"/>
        <v>https://shop.officineitalianezard.it/en/products/index/n-2-over-and-under-carbonium-mufflers-7115-62/</v>
      </c>
      <c r="B1460" t="b">
        <f>COUNTIF($A$2:$A1460, A1460)&gt;1</f>
        <v>1</v>
      </c>
      <c r="C1460" t="b">
        <f t="shared" si="419"/>
        <v>1</v>
      </c>
      <c r="D1460">
        <f>VLOOKUP(A1460,variant_counts!A:B, 2, FALSE)</f>
        <v>3</v>
      </c>
      <c r="E1460" t="str">
        <f t="shared" si="432"/>
        <v>zard-exhaust-silencers-ducati-monster-s2r-800-my-06-overlapped-version-zd024hsr-1</v>
      </c>
      <c r="F1460" t="str">
        <f t="shared" si="420"/>
        <v>ZARD EXHAUST SILENCERS DUCATI MONSTER S2R 800 MY 06 OVERLAPPED VERSION ZD024HSR-1</v>
      </c>
      <c r="G1460" t="str">
        <f t="shared" si="421"/>
        <v/>
      </c>
      <c r="H1460" t="str">
        <f t="shared" si="433"/>
        <v/>
      </c>
      <c r="I1460" t="str">
        <f t="shared" si="434"/>
        <v/>
      </c>
      <c r="J1460" t="str">
        <f t="shared" si="435"/>
        <v/>
      </c>
      <c r="K1460" t="str">
        <f t="shared" si="436"/>
        <v/>
      </c>
      <c r="L1460" t="str">
        <f t="shared" si="422"/>
        <v>Option</v>
      </c>
      <c r="M1460" t="str">
        <f t="shared" si="423"/>
        <v>EURO 3 HOMOLOGATED</v>
      </c>
      <c r="R1460" t="str">
        <f t="shared" si="424"/>
        <v>ZD024HSR-1</v>
      </c>
      <c r="S1460">
        <f t="shared" si="425"/>
        <v>0</v>
      </c>
      <c r="U1460" t="str">
        <f t="shared" si="426"/>
        <v>continue</v>
      </c>
      <c r="V1460" t="str">
        <f t="shared" si="427"/>
        <v>manual</v>
      </c>
      <c r="W1460" s="5">
        <f t="shared" si="428"/>
        <v>875.53470000000004</v>
      </c>
      <c r="Y1460" t="b">
        <f t="shared" si="429"/>
        <v>1</v>
      </c>
      <c r="Z1460" t="b">
        <f t="shared" si="430"/>
        <v>0</v>
      </c>
      <c r="AB1460" t="str">
        <f t="shared" si="431"/>
        <v/>
      </c>
      <c r="AE1460" t="b">
        <v>0</v>
      </c>
    </row>
    <row r="1461" spans="1:31" x14ac:dyDescent="0.2">
      <c r="A1461" t="str">
        <f t="shared" si="418"/>
        <v>https://shop.officineitalianezard.it/en/products/index/n-2-over-and-under-carbonium-mufflers-7115-62/</v>
      </c>
      <c r="B1461" t="b">
        <f>COUNTIF($A$2:$A1461, A1461)&gt;1</f>
        <v>1</v>
      </c>
      <c r="C1461" t="b">
        <f t="shared" si="419"/>
        <v>1</v>
      </c>
      <c r="D1461">
        <f>VLOOKUP(A1461,variant_counts!A:B, 2, FALSE)</f>
        <v>3</v>
      </c>
      <c r="E1461" t="str">
        <f t="shared" si="432"/>
        <v>zard-exhaust-silencers-ducati-monster-s2r-800-my-06-overlapped-version-zd024hsr-1</v>
      </c>
      <c r="F1461" t="str">
        <f t="shared" si="420"/>
        <v>ZARD EXHAUST SILENCERS DUCATI MONSTER S2R 800 MY 06 OVERLAPPED VERSION ZD024HSR-1</v>
      </c>
      <c r="G1461" t="str">
        <f t="shared" si="421"/>
        <v/>
      </c>
      <c r="H1461" t="str">
        <f t="shared" si="433"/>
        <v/>
      </c>
      <c r="I1461" t="str">
        <f t="shared" si="434"/>
        <v/>
      </c>
      <c r="J1461" t="str">
        <f t="shared" si="435"/>
        <v/>
      </c>
      <c r="K1461" t="str">
        <f t="shared" si="436"/>
        <v/>
      </c>
      <c r="L1461" t="str">
        <f t="shared" si="422"/>
        <v>Option</v>
      </c>
      <c r="M1461" t="str">
        <f t="shared" si="423"/>
        <v>BLACK ENDCAP</v>
      </c>
      <c r="R1461" t="str">
        <f t="shared" si="424"/>
        <v>ZD024HSR-1</v>
      </c>
      <c r="S1461">
        <f t="shared" si="425"/>
        <v>0</v>
      </c>
      <c r="U1461" t="str">
        <f t="shared" si="426"/>
        <v>continue</v>
      </c>
      <c r="V1461" t="str">
        <f t="shared" si="427"/>
        <v>manual</v>
      </c>
      <c r="W1461" s="5">
        <f t="shared" si="428"/>
        <v>880.45200000000011</v>
      </c>
      <c r="Y1461" t="b">
        <f t="shared" si="429"/>
        <v>1</v>
      </c>
      <c r="Z1461" t="b">
        <f t="shared" si="430"/>
        <v>0</v>
      </c>
      <c r="AB1461" t="str">
        <f t="shared" si="431"/>
        <v/>
      </c>
      <c r="AE1461" t="b">
        <v>0</v>
      </c>
    </row>
    <row r="1462" spans="1:31" x14ac:dyDescent="0.2">
      <c r="A1462" t="str">
        <f t="shared" si="418"/>
        <v>https://shop.officineitalianezard.it/en/products/index/n-2-over-and-under-carbonium-mufflers-7115-62/</v>
      </c>
      <c r="B1462" t="b">
        <f>COUNTIF($A$2:$A1462, A1462)&gt;1</f>
        <v>1</v>
      </c>
      <c r="C1462" t="b">
        <f t="shared" si="419"/>
        <v>1</v>
      </c>
      <c r="D1462">
        <f>VLOOKUP(A1462,variant_counts!A:B, 2, FALSE)</f>
        <v>3</v>
      </c>
      <c r="E1462" t="str">
        <f t="shared" si="432"/>
        <v>zard-exhaust-silencers-ducati-monster-s2r-800-my-06-overlapped-version-zd024hsr-1</v>
      </c>
      <c r="F1462" t="str">
        <f t="shared" si="420"/>
        <v>ZARD EXHAUST SILENCERS DUCATI MONSTER S2R 800 MY 06 OVERLAPPED VERSION ZD024HSR-1</v>
      </c>
      <c r="G1462" t="str">
        <f t="shared" si="421"/>
        <v/>
      </c>
      <c r="H1462" t="str">
        <f t="shared" si="433"/>
        <v/>
      </c>
      <c r="I1462" t="str">
        <f t="shared" si="434"/>
        <v/>
      </c>
      <c r="J1462" t="str">
        <f t="shared" si="435"/>
        <v/>
      </c>
      <c r="K1462" t="str">
        <f t="shared" si="436"/>
        <v/>
      </c>
      <c r="L1462" t="str">
        <f t="shared" si="422"/>
        <v>Option</v>
      </c>
      <c r="M1462" t="str">
        <f t="shared" si="423"/>
        <v>FULL TITANIUM RACING</v>
      </c>
      <c r="R1462" t="str">
        <f t="shared" si="424"/>
        <v>ZD024HSR-1</v>
      </c>
      <c r="S1462">
        <f t="shared" si="425"/>
        <v>0</v>
      </c>
      <c r="U1462" t="str">
        <f t="shared" si="426"/>
        <v>continue</v>
      </c>
      <c r="V1462" t="str">
        <f t="shared" si="427"/>
        <v>manual</v>
      </c>
      <c r="W1462" s="5">
        <f t="shared" si="428"/>
        <v>828.8592000000001</v>
      </c>
      <c r="Y1462" t="b">
        <f t="shared" si="429"/>
        <v>1</v>
      </c>
      <c r="Z1462" t="b">
        <f t="shared" si="430"/>
        <v>0</v>
      </c>
      <c r="AB1462" t="str">
        <f t="shared" si="431"/>
        <v/>
      </c>
      <c r="AE1462" t="b">
        <v>0</v>
      </c>
    </row>
    <row r="1463" spans="1:31" x14ac:dyDescent="0.2">
      <c r="A1463" t="str">
        <f t="shared" si="418"/>
        <v>https://shop.officineitalianezard.it/en/products/index/n-2-carbonium-mufflers-dx-sx-7113-62/</v>
      </c>
      <c r="B1463" t="b">
        <f>COUNTIF($A$2:$A1463, A1463)&gt;1</f>
        <v>0</v>
      </c>
      <c r="C1463" t="b">
        <f t="shared" si="419"/>
        <v>0</v>
      </c>
      <c r="D1463">
        <f>VLOOKUP(A1463,variant_counts!A:B, 2, FALSE)</f>
        <v>3</v>
      </c>
      <c r="E1463" t="str">
        <f t="shared" si="432"/>
        <v>zard-exhaust-hight-mounted-silencers-ducati-monster-s2r-800-my-06-lh-rh-version-zd024lsr-1</v>
      </c>
      <c r="F1463" t="str">
        <f t="shared" si="420"/>
        <v>ZARD EXHAUST HIGHT MOUNTED SILENCERS DUCATI MONSTER S2R 800 MY 06 LH-RH VERSION ZD024LSR-1</v>
      </c>
      <c r="G1463" t="str">
        <f t="shared" si="421"/>
        <v>&lt;p&gt;STEEL-CARBON SILENCERS RACING WITH REMOVABLE DB KILLER&lt;/p&gt;
&lt;p&gt;ZARD SILENCERS WEIGHT: KG 3.8&lt;br&gt;ZARD MANIFOLD WEIGHT: KG 1.7&lt;/p&gt;
&lt;p&gt;HARD INCREASE, COMPARED TO THE STANDARD EXHAUST SYSTEM, IN TERMS OF TORQUE AND POWER AT ANY RANGE (+2.5 FOR THE SOLE MUFFLERS, + 5 HP FOR THE FULL KITS).&lt;/p&gt;
&lt;p&gt;ASTONISHING SOUND.&lt;/p&gt;</v>
      </c>
      <c r="H1463" t="str">
        <f t="shared" si="433"/>
        <v>ZARD</v>
      </c>
      <c r="I1463" t="str">
        <f t="shared" si="434"/>
        <v>Exhaust Pipe</v>
      </c>
      <c r="J1463" t="str">
        <f t="shared" si="435"/>
        <v>Test</v>
      </c>
      <c r="K1463" t="b">
        <f t="shared" si="436"/>
        <v>0</v>
      </c>
      <c r="L1463" t="str">
        <f t="shared" si="422"/>
        <v/>
      </c>
      <c r="M1463" t="str">
        <f t="shared" si="423"/>
        <v/>
      </c>
      <c r="R1463" t="str">
        <f t="shared" si="424"/>
        <v/>
      </c>
      <c r="S1463" t="str">
        <f t="shared" si="425"/>
        <v/>
      </c>
      <c r="U1463" t="str">
        <f t="shared" si="426"/>
        <v/>
      </c>
      <c r="V1463" t="str">
        <f t="shared" si="427"/>
        <v/>
      </c>
      <c r="W1463" s="5" t="str">
        <f t="shared" si="428"/>
        <v/>
      </c>
      <c r="Y1463" t="str">
        <f t="shared" si="429"/>
        <v/>
      </c>
      <c r="Z1463" t="str">
        <f t="shared" si="430"/>
        <v/>
      </c>
      <c r="AB1463" t="str">
        <f t="shared" si="431"/>
        <v>https://shop.officineitalianezard.it/contents/imgs/products/1_370-ducati-monster-S2R800-dx.jpg</v>
      </c>
      <c r="AE1463" t="b">
        <v>0</v>
      </c>
    </row>
    <row r="1464" spans="1:31" x14ac:dyDescent="0.2">
      <c r="A1464" t="str">
        <f t="shared" si="418"/>
        <v>https://shop.officineitalianezard.it/en/products/index/n-2-carbonium-mufflers-dx-sx-7113-62/</v>
      </c>
      <c r="B1464" t="b">
        <f>COUNTIF($A$2:$A1464, A1464)&gt;1</f>
        <v>1</v>
      </c>
      <c r="C1464" t="b">
        <f t="shared" si="419"/>
        <v>0</v>
      </c>
      <c r="D1464">
        <f>VLOOKUP(A1464,variant_counts!A:B, 2, FALSE)</f>
        <v>3</v>
      </c>
      <c r="E1464" t="str">
        <f t="shared" si="432"/>
        <v>zard-exhaust-hight-mounted-silencers-ducati-monster-s2r-800-my-06-lh-rh-version-zd024lsr-1</v>
      </c>
      <c r="F1464" t="str">
        <f t="shared" si="420"/>
        <v>ZARD EXHAUST HIGHT MOUNTED SILENCERS DUCATI MONSTER S2R 800 MY 06 LH-RH VERSION ZD024LSR-1</v>
      </c>
      <c r="G1464" t="str">
        <f t="shared" si="421"/>
        <v/>
      </c>
      <c r="H1464" t="str">
        <f t="shared" si="433"/>
        <v/>
      </c>
      <c r="I1464" t="str">
        <f t="shared" si="434"/>
        <v/>
      </c>
      <c r="J1464" t="str">
        <f t="shared" si="435"/>
        <v/>
      </c>
      <c r="K1464" t="str">
        <f t="shared" si="436"/>
        <v/>
      </c>
      <c r="L1464" t="str">
        <f t="shared" si="422"/>
        <v/>
      </c>
      <c r="M1464" t="str">
        <f t="shared" si="423"/>
        <v/>
      </c>
      <c r="R1464" t="str">
        <f t="shared" si="424"/>
        <v/>
      </c>
      <c r="S1464" t="str">
        <f t="shared" si="425"/>
        <v/>
      </c>
      <c r="U1464" t="str">
        <f t="shared" si="426"/>
        <v/>
      </c>
      <c r="V1464" t="str">
        <f t="shared" si="427"/>
        <v/>
      </c>
      <c r="W1464" s="5" t="str">
        <f t="shared" si="428"/>
        <v/>
      </c>
      <c r="Y1464" t="str">
        <f t="shared" si="429"/>
        <v/>
      </c>
      <c r="Z1464" t="str">
        <f t="shared" si="430"/>
        <v/>
      </c>
      <c r="AB1464" t="str">
        <f t="shared" si="431"/>
        <v>https://shop.officineitalianezard.it/contents/imgs/products/1_371-ducati-monster-S2R800-part.jpg</v>
      </c>
      <c r="AE1464" t="b">
        <v>0</v>
      </c>
    </row>
    <row r="1465" spans="1:31" x14ac:dyDescent="0.2">
      <c r="A1465" t="str">
        <f t="shared" si="418"/>
        <v>https://shop.officineitalianezard.it/en/products/index/n-2-carbonium-mufflers-dx-sx-7113-62/</v>
      </c>
      <c r="B1465" t="b">
        <f>COUNTIF($A$2:$A1465, A1465)&gt;1</f>
        <v>1</v>
      </c>
      <c r="C1465" t="b">
        <f t="shared" si="419"/>
        <v>1</v>
      </c>
      <c r="D1465">
        <f>VLOOKUP(A1465,variant_counts!A:B, 2, FALSE)</f>
        <v>3</v>
      </c>
      <c r="E1465" t="str">
        <f t="shared" si="432"/>
        <v>zard-exhaust-hight-mounted-silencers-ducati-monster-s2r-800-my-06-lh-rh-version-zd024lsr-1</v>
      </c>
      <c r="F1465" t="str">
        <f t="shared" si="420"/>
        <v>ZARD EXHAUST HIGHT MOUNTED SILENCERS DUCATI MONSTER S2R 800 MY 06 LH-RH VERSION ZD024LSR-1</v>
      </c>
      <c r="G1465" t="str">
        <f t="shared" si="421"/>
        <v/>
      </c>
      <c r="H1465" t="str">
        <f t="shared" si="433"/>
        <v/>
      </c>
      <c r="I1465" t="str">
        <f t="shared" si="434"/>
        <v/>
      </c>
      <c r="J1465" t="str">
        <f t="shared" si="435"/>
        <v/>
      </c>
      <c r="K1465" t="str">
        <f t="shared" si="436"/>
        <v/>
      </c>
      <c r="L1465" t="str">
        <f t="shared" si="422"/>
        <v>Option</v>
      </c>
      <c r="M1465" t="str">
        <f t="shared" si="423"/>
        <v>EURO 3 HOMOLOGATED</v>
      </c>
      <c r="R1465" t="str">
        <f t="shared" si="424"/>
        <v>ZD024LSR-1</v>
      </c>
      <c r="S1465">
        <f t="shared" si="425"/>
        <v>0</v>
      </c>
      <c r="U1465" t="str">
        <f t="shared" si="426"/>
        <v>continue</v>
      </c>
      <c r="V1465" t="str">
        <f t="shared" si="427"/>
        <v>manual</v>
      </c>
      <c r="W1465" s="5">
        <f t="shared" si="428"/>
        <v>924.94080000000019</v>
      </c>
      <c r="Y1465" t="b">
        <f t="shared" si="429"/>
        <v>1</v>
      </c>
      <c r="Z1465" t="b">
        <f t="shared" si="430"/>
        <v>0</v>
      </c>
      <c r="AB1465" t="str">
        <f t="shared" si="431"/>
        <v/>
      </c>
      <c r="AE1465" t="b">
        <v>0</v>
      </c>
    </row>
    <row r="1466" spans="1:31" x14ac:dyDescent="0.2">
      <c r="A1466" t="str">
        <f t="shared" si="418"/>
        <v>https://shop.officineitalianezard.it/en/products/index/n-2-carbonium-mufflers-dx-sx-7113-62/</v>
      </c>
      <c r="B1466" t="b">
        <f>COUNTIF($A$2:$A1466, A1466)&gt;1</f>
        <v>1</v>
      </c>
      <c r="C1466" t="b">
        <f t="shared" si="419"/>
        <v>1</v>
      </c>
      <c r="D1466">
        <f>VLOOKUP(A1466,variant_counts!A:B, 2, FALSE)</f>
        <v>3</v>
      </c>
      <c r="E1466" t="str">
        <f t="shared" si="432"/>
        <v>zard-exhaust-hight-mounted-silencers-ducati-monster-s2r-800-my-06-lh-rh-version-zd024lsr-1</v>
      </c>
      <c r="F1466" t="str">
        <f t="shared" si="420"/>
        <v>ZARD EXHAUST HIGHT MOUNTED SILENCERS DUCATI MONSTER S2R 800 MY 06 LH-RH VERSION ZD024LSR-1</v>
      </c>
      <c r="G1466" t="str">
        <f t="shared" si="421"/>
        <v/>
      </c>
      <c r="H1466" t="str">
        <f t="shared" si="433"/>
        <v/>
      </c>
      <c r="I1466" t="str">
        <f t="shared" si="434"/>
        <v/>
      </c>
      <c r="J1466" t="str">
        <f t="shared" si="435"/>
        <v/>
      </c>
      <c r="K1466" t="str">
        <f t="shared" si="436"/>
        <v/>
      </c>
      <c r="L1466" t="str">
        <f t="shared" si="422"/>
        <v>Option</v>
      </c>
      <c r="M1466" t="str">
        <f t="shared" si="423"/>
        <v>FULL TITANIUM RACING</v>
      </c>
      <c r="R1466" t="str">
        <f t="shared" si="424"/>
        <v>ZD024LSR-1</v>
      </c>
      <c r="S1466">
        <f t="shared" si="425"/>
        <v>0</v>
      </c>
      <c r="U1466" t="str">
        <f t="shared" si="426"/>
        <v>continue</v>
      </c>
      <c r="V1466" t="str">
        <f t="shared" si="427"/>
        <v>manual</v>
      </c>
      <c r="W1466" s="5">
        <f t="shared" si="428"/>
        <v>864.34590000000014</v>
      </c>
      <c r="Y1466" t="b">
        <f t="shared" si="429"/>
        <v>1</v>
      </c>
      <c r="Z1466" t="b">
        <f t="shared" si="430"/>
        <v>0</v>
      </c>
      <c r="AB1466" t="str">
        <f t="shared" si="431"/>
        <v/>
      </c>
      <c r="AE1466" t="b">
        <v>0</v>
      </c>
    </row>
    <row r="1467" spans="1:31" x14ac:dyDescent="0.2">
      <c r="A1467" t="str">
        <f t="shared" si="418"/>
        <v>https://shop.officineitalianezard.it/en/products/index/n-2-carbonium-mufflers-dx-sx-7113-62/</v>
      </c>
      <c r="B1467" t="b">
        <f>COUNTIF($A$2:$A1467, A1467)&gt;1</f>
        <v>1</v>
      </c>
      <c r="C1467" t="b">
        <f t="shared" si="419"/>
        <v>1</v>
      </c>
      <c r="D1467">
        <f>VLOOKUP(A1467,variant_counts!A:B, 2, FALSE)</f>
        <v>3</v>
      </c>
      <c r="E1467" t="str">
        <f t="shared" si="432"/>
        <v>zard-exhaust-hight-mounted-silencers-ducati-monster-s2r-800-my-06-lh-rh-version-zd024lsr-1</v>
      </c>
      <c r="F1467" t="str">
        <f t="shared" si="420"/>
        <v>ZARD EXHAUST HIGHT MOUNTED SILENCERS DUCATI MONSTER S2R 800 MY 06 LH-RH VERSION ZD024LSR-1</v>
      </c>
      <c r="G1467" t="str">
        <f t="shared" si="421"/>
        <v/>
      </c>
      <c r="H1467" t="str">
        <f t="shared" si="433"/>
        <v/>
      </c>
      <c r="I1467" t="str">
        <f t="shared" si="434"/>
        <v/>
      </c>
      <c r="J1467" t="str">
        <f t="shared" si="435"/>
        <v/>
      </c>
      <c r="K1467" t="str">
        <f t="shared" si="436"/>
        <v/>
      </c>
      <c r="L1467" t="str">
        <f t="shared" si="422"/>
        <v>Option</v>
      </c>
      <c r="M1467" t="str">
        <f t="shared" si="423"/>
        <v>BLACK ENDCAP</v>
      </c>
      <c r="R1467" t="str">
        <f t="shared" si="424"/>
        <v>ZD024LSR-1</v>
      </c>
      <c r="S1467">
        <f t="shared" si="425"/>
        <v>0</v>
      </c>
      <c r="U1467" t="str">
        <f t="shared" si="426"/>
        <v>continue</v>
      </c>
      <c r="V1467" t="str">
        <f t="shared" si="427"/>
        <v>manual</v>
      </c>
      <c r="W1467" s="5">
        <f t="shared" si="428"/>
        <v>915.93870000000015</v>
      </c>
      <c r="Y1467" t="b">
        <f t="shared" si="429"/>
        <v>1</v>
      </c>
      <c r="Z1467" t="b">
        <f t="shared" si="430"/>
        <v>0</v>
      </c>
      <c r="AB1467" t="str">
        <f t="shared" si="431"/>
        <v/>
      </c>
      <c r="AE1467" t="b">
        <v>0</v>
      </c>
    </row>
    <row r="1468" spans="1:31" x14ac:dyDescent="0.2">
      <c r="A1468" t="str">
        <f t="shared" si="418"/>
        <v>https://shop.officineitalianezard.it/en/products/index/header-kit-hight-mounted-silencers-7111-62/</v>
      </c>
      <c r="B1468" t="b">
        <f>COUNTIF($A$2:$A1468, A1468)&gt;1</f>
        <v>0</v>
      </c>
      <c r="C1468" t="b">
        <f t="shared" si="419"/>
        <v>0</v>
      </c>
      <c r="D1468">
        <f>VLOOKUP(A1468,variant_counts!A:B, 2, FALSE)</f>
        <v>3</v>
      </c>
      <c r="E1468" t="str">
        <f t="shared" si="432"/>
        <v>zard-exhaust-header-kit-hight-mounted-silencers-ducati-monster-s2r-800-my-06-22-lh-rh-version-zd016skr</v>
      </c>
      <c r="F1468" t="str">
        <f t="shared" si="420"/>
        <v>ZARD EXHAUST HEADER KIT + HIGHT MOUNTED SILENCERS DUCATI MONSTER S2R 800 MY 06 2&gt;2 LH-RH VERSION ZD016SKR</v>
      </c>
      <c r="G1468" t="str">
        <f t="shared" si="421"/>
        <v>&lt;p&gt;HEADER KIT + HIGHT MOUNTED SILENCERS STEEL-CARBON RACING WITH REMOVABLE DB KILLER&lt;/p&gt;
&lt;p&gt;ZARD FULL KIT WEIGHT: KG 3.8&lt;br&gt;ZARD MANIFOLD WEIGHT: KG 1.7&lt;/p&gt;
&lt;p&gt;HARD INCREASE, COMPARED TO THE ORIGINAL EXHAUST SYSTEM, IN TERMS OF TORQUE AND POWER AT ANY RANGE (+2.5 FOR THE SOLE MUFFLERS, + 5 HP FOR THE FULL KITS).&lt;/p&gt;
&lt;p&gt;ASTONISHING SOUND.&lt;/p&gt;</v>
      </c>
      <c r="H1468" t="str">
        <f t="shared" si="433"/>
        <v>ZARD</v>
      </c>
      <c r="I1468" t="str">
        <f t="shared" si="434"/>
        <v>Exhaust Pipe</v>
      </c>
      <c r="J1468" t="str">
        <f t="shared" si="435"/>
        <v>Test</v>
      </c>
      <c r="K1468" t="b">
        <f t="shared" si="436"/>
        <v>0</v>
      </c>
      <c r="L1468" t="str">
        <f t="shared" si="422"/>
        <v/>
      </c>
      <c r="M1468" t="str">
        <f t="shared" si="423"/>
        <v/>
      </c>
      <c r="R1468" t="str">
        <f t="shared" si="424"/>
        <v/>
      </c>
      <c r="S1468" t="str">
        <f t="shared" si="425"/>
        <v/>
      </c>
      <c r="U1468" t="str">
        <f t="shared" si="426"/>
        <v/>
      </c>
      <c r="V1468" t="str">
        <f t="shared" si="427"/>
        <v/>
      </c>
      <c r="W1468" s="5" t="str">
        <f t="shared" si="428"/>
        <v/>
      </c>
      <c r="Y1468" t="str">
        <f t="shared" si="429"/>
        <v/>
      </c>
      <c r="Z1468" t="str">
        <f t="shared" si="430"/>
        <v/>
      </c>
      <c r="AB1468" t="str">
        <f t="shared" si="431"/>
        <v>https://shop.officineitalianezard.it/contents/imgs/products/1_367-ducati-monster-S2R800-part.jpg</v>
      </c>
      <c r="AE1468" t="b">
        <v>0</v>
      </c>
    </row>
    <row r="1469" spans="1:31" x14ac:dyDescent="0.2">
      <c r="A1469" t="str">
        <f t="shared" si="418"/>
        <v>https://shop.officineitalianezard.it/en/products/index/header-kit-hight-mounted-silencers-7111-62/</v>
      </c>
      <c r="B1469" t="b">
        <f>COUNTIF($A$2:$A1469, A1469)&gt;1</f>
        <v>1</v>
      </c>
      <c r="C1469" t="b">
        <f t="shared" si="419"/>
        <v>0</v>
      </c>
      <c r="D1469">
        <f>VLOOKUP(A1469,variant_counts!A:B, 2, FALSE)</f>
        <v>3</v>
      </c>
      <c r="E1469" t="str">
        <f t="shared" si="432"/>
        <v>zard-exhaust-header-kit-hight-mounted-silencers-ducati-monster-s2r-800-my-06-22-lh-rh-version-zd016skr</v>
      </c>
      <c r="F1469" t="str">
        <f t="shared" si="420"/>
        <v>ZARD EXHAUST HEADER KIT + HIGHT MOUNTED SILENCERS DUCATI MONSTER S2R 800 MY 06 2&gt;2 LH-RH VERSION ZD016SKR</v>
      </c>
      <c r="G1469" t="str">
        <f t="shared" si="421"/>
        <v/>
      </c>
      <c r="H1469" t="str">
        <f t="shared" si="433"/>
        <v/>
      </c>
      <c r="I1469" t="str">
        <f t="shared" si="434"/>
        <v/>
      </c>
      <c r="J1469" t="str">
        <f t="shared" si="435"/>
        <v/>
      </c>
      <c r="K1469" t="str">
        <f t="shared" si="436"/>
        <v/>
      </c>
      <c r="L1469" t="str">
        <f t="shared" si="422"/>
        <v/>
      </c>
      <c r="M1469" t="str">
        <f t="shared" si="423"/>
        <v/>
      </c>
      <c r="R1469" t="str">
        <f t="shared" si="424"/>
        <v/>
      </c>
      <c r="S1469" t="str">
        <f t="shared" si="425"/>
        <v/>
      </c>
      <c r="U1469" t="str">
        <f t="shared" si="426"/>
        <v/>
      </c>
      <c r="V1469" t="str">
        <f t="shared" si="427"/>
        <v/>
      </c>
      <c r="W1469" s="5" t="str">
        <f t="shared" si="428"/>
        <v/>
      </c>
      <c r="Y1469" t="str">
        <f t="shared" si="429"/>
        <v/>
      </c>
      <c r="Z1469" t="str">
        <f t="shared" si="430"/>
        <v/>
      </c>
      <c r="AB1469" t="str">
        <f t="shared" si="431"/>
        <v>https://shop.officineitalianezard.it/contents/imgs/products/1_366-ducati-monster-S2R800-dx.jpg</v>
      </c>
      <c r="AE1469" t="b">
        <v>0</v>
      </c>
    </row>
    <row r="1470" spans="1:31" x14ac:dyDescent="0.2">
      <c r="A1470" t="str">
        <f t="shared" si="418"/>
        <v>https://shop.officineitalianezard.it/en/products/index/header-kit-hight-mounted-silencers-7111-62/</v>
      </c>
      <c r="B1470" t="b">
        <f>COUNTIF($A$2:$A1470, A1470)&gt;1</f>
        <v>1</v>
      </c>
      <c r="C1470" t="b">
        <f t="shared" si="419"/>
        <v>1</v>
      </c>
      <c r="D1470">
        <f>VLOOKUP(A1470,variant_counts!A:B, 2, FALSE)</f>
        <v>3</v>
      </c>
      <c r="E1470" t="str">
        <f t="shared" si="432"/>
        <v>zard-exhaust-header-kit-hight-mounted-silencers-ducati-monster-s2r-800-my-06-22-lh-rh-version-zd016skr</v>
      </c>
      <c r="F1470" t="str">
        <f t="shared" si="420"/>
        <v>ZARD EXHAUST HEADER KIT + HIGHT MOUNTED SILENCERS DUCATI MONSTER S2R 800 MY 06 2&gt;2 LH-RH VERSION ZD016SKR</v>
      </c>
      <c r="G1470" t="str">
        <f t="shared" si="421"/>
        <v/>
      </c>
      <c r="H1470" t="str">
        <f t="shared" si="433"/>
        <v/>
      </c>
      <c r="I1470" t="str">
        <f t="shared" si="434"/>
        <v/>
      </c>
      <c r="J1470" t="str">
        <f t="shared" si="435"/>
        <v/>
      </c>
      <c r="K1470" t="str">
        <f t="shared" si="436"/>
        <v/>
      </c>
      <c r="L1470" t="str">
        <f t="shared" si="422"/>
        <v>Option</v>
      </c>
      <c r="M1470" t="str">
        <f t="shared" si="423"/>
        <v>EURO 3 HOMOLOGATED</v>
      </c>
      <c r="R1470" t="str">
        <f t="shared" si="424"/>
        <v>ZD016SKR</v>
      </c>
      <c r="S1470">
        <f t="shared" si="425"/>
        <v>0</v>
      </c>
      <c r="U1470" t="str">
        <f t="shared" si="426"/>
        <v>continue</v>
      </c>
      <c r="V1470" t="str">
        <f t="shared" si="427"/>
        <v>manual</v>
      </c>
      <c r="W1470" s="5">
        <f t="shared" si="428"/>
        <v>1399.0551</v>
      </c>
      <c r="Y1470" t="b">
        <f t="shared" si="429"/>
        <v>1</v>
      </c>
      <c r="Z1470" t="b">
        <f t="shared" si="430"/>
        <v>0</v>
      </c>
      <c r="AB1470" t="str">
        <f t="shared" si="431"/>
        <v/>
      </c>
      <c r="AE1470" t="b">
        <v>0</v>
      </c>
    </row>
    <row r="1471" spans="1:31" x14ac:dyDescent="0.2">
      <c r="A1471" t="str">
        <f t="shared" si="418"/>
        <v>https://shop.officineitalianezard.it/en/products/index/header-kit-hight-mounted-silencers-7111-62/</v>
      </c>
      <c r="B1471" t="b">
        <f>COUNTIF($A$2:$A1471, A1471)&gt;1</f>
        <v>1</v>
      </c>
      <c r="C1471" t="b">
        <f t="shared" si="419"/>
        <v>1</v>
      </c>
      <c r="D1471">
        <f>VLOOKUP(A1471,variant_counts!A:B, 2, FALSE)</f>
        <v>3</v>
      </c>
      <c r="E1471" t="str">
        <f t="shared" si="432"/>
        <v>zard-exhaust-header-kit-hight-mounted-silencers-ducati-monster-s2r-800-my-06-22-lh-rh-version-zd016skr</v>
      </c>
      <c r="F1471" t="str">
        <f t="shared" si="420"/>
        <v>ZARD EXHAUST HEADER KIT + HIGHT MOUNTED SILENCERS DUCATI MONSTER S2R 800 MY 06 2&gt;2 LH-RH VERSION ZD016SKR</v>
      </c>
      <c r="G1471" t="str">
        <f t="shared" si="421"/>
        <v/>
      </c>
      <c r="H1471" t="str">
        <f t="shared" si="433"/>
        <v/>
      </c>
      <c r="I1471" t="str">
        <f t="shared" si="434"/>
        <v/>
      </c>
      <c r="J1471" t="str">
        <f t="shared" si="435"/>
        <v/>
      </c>
      <c r="K1471" t="str">
        <f t="shared" si="436"/>
        <v/>
      </c>
      <c r="L1471" t="str">
        <f t="shared" si="422"/>
        <v>Option</v>
      </c>
      <c r="M1471" t="str">
        <f t="shared" si="423"/>
        <v>STEEL-TITANIUM</v>
      </c>
      <c r="R1471" t="str">
        <f t="shared" si="424"/>
        <v>ZD016SKR</v>
      </c>
      <c r="S1471">
        <f t="shared" si="425"/>
        <v>0</v>
      </c>
      <c r="U1471" t="str">
        <f t="shared" si="426"/>
        <v>continue</v>
      </c>
      <c r="V1471" t="str">
        <f t="shared" si="427"/>
        <v>manual</v>
      </c>
      <c r="W1471" s="5">
        <f t="shared" si="428"/>
        <v>1339.2816</v>
      </c>
      <c r="Y1471" t="b">
        <f t="shared" si="429"/>
        <v>1</v>
      </c>
      <c r="Z1471" t="b">
        <f t="shared" si="430"/>
        <v>0</v>
      </c>
      <c r="AB1471" t="str">
        <f t="shared" si="431"/>
        <v/>
      </c>
      <c r="AE1471" t="b">
        <v>0</v>
      </c>
    </row>
    <row r="1472" spans="1:31" x14ac:dyDescent="0.2">
      <c r="A1472" t="str">
        <f t="shared" si="418"/>
        <v>https://shop.officineitalianezard.it/en/products/index/header-kit-hight-mounted-silencers-7111-62/</v>
      </c>
      <c r="B1472" t="b">
        <f>COUNTIF($A$2:$A1472, A1472)&gt;1</f>
        <v>1</v>
      </c>
      <c r="C1472" t="b">
        <f t="shared" si="419"/>
        <v>1</v>
      </c>
      <c r="D1472">
        <f>VLOOKUP(A1472,variant_counts!A:B, 2, FALSE)</f>
        <v>3</v>
      </c>
      <c r="E1472" t="str">
        <f t="shared" si="432"/>
        <v>zard-exhaust-header-kit-hight-mounted-silencers-ducati-monster-s2r-800-my-06-22-lh-rh-version-zd016skr</v>
      </c>
      <c r="F1472" t="str">
        <f t="shared" si="420"/>
        <v>ZARD EXHAUST HEADER KIT + HIGHT MOUNTED SILENCERS DUCATI MONSTER S2R 800 MY 06 2&gt;2 LH-RH VERSION ZD016SKR</v>
      </c>
      <c r="G1472" t="str">
        <f t="shared" si="421"/>
        <v/>
      </c>
      <c r="H1472" t="str">
        <f t="shared" si="433"/>
        <v/>
      </c>
      <c r="I1472" t="str">
        <f t="shared" si="434"/>
        <v/>
      </c>
      <c r="J1472" t="str">
        <f t="shared" si="435"/>
        <v/>
      </c>
      <c r="K1472" t="str">
        <f t="shared" si="436"/>
        <v/>
      </c>
      <c r="L1472" t="str">
        <f t="shared" si="422"/>
        <v>Option</v>
      </c>
      <c r="M1472" t="str">
        <f t="shared" si="423"/>
        <v>BLACK ENDCAP</v>
      </c>
      <c r="R1472" t="str">
        <f t="shared" si="424"/>
        <v>ZD016SKR</v>
      </c>
      <c r="S1472">
        <f t="shared" si="425"/>
        <v>0</v>
      </c>
      <c r="U1472" t="str">
        <f t="shared" si="426"/>
        <v>continue</v>
      </c>
      <c r="V1472" t="str">
        <f t="shared" si="427"/>
        <v>manual</v>
      </c>
      <c r="W1472" s="5">
        <f t="shared" si="428"/>
        <v>1390.8744000000002</v>
      </c>
      <c r="Y1472" t="b">
        <f t="shared" si="429"/>
        <v>1</v>
      </c>
      <c r="Z1472" t="b">
        <f t="shared" si="430"/>
        <v>0</v>
      </c>
      <c r="AB1472" t="str">
        <f t="shared" si="431"/>
        <v/>
      </c>
      <c r="AE1472" t="b">
        <v>0</v>
      </c>
    </row>
    <row r="1473" spans="1:31" x14ac:dyDescent="0.2">
      <c r="A1473" t="str">
        <f t="shared" si="418"/>
        <v>https://shop.officineitalianezard.it/en/ducati-monster-1200-s-exhaust-zard-2/</v>
      </c>
      <c r="B1473" t="b">
        <f>COUNTIF($A$2:$A1473, A1473)&gt;1</f>
        <v>0</v>
      </c>
      <c r="C1473" t="b">
        <f t="shared" si="419"/>
        <v>0</v>
      </c>
      <c r="D1473">
        <f>VLOOKUP(A1473,variant_counts!A:B, 2, FALSE)</f>
        <v>2</v>
      </c>
      <c r="E1473" t="str">
        <f t="shared" si="432"/>
        <v>zard-exhaust-full-kit-ducati-monster-1200-s-my-2016-212-version-zd125skr</v>
      </c>
      <c r="F1473" t="str">
        <f t="shared" si="420"/>
        <v>ZARD EXHAUST FULL KIT DUCATI MONSTER 1200 S M.Y. 2016 2&gt;1&gt;2 VERSION ZD125SKR</v>
      </c>
      <c r="G1473" t="str">
        <f t="shared" si="421"/>
        <v>&lt;p&gt;2&amp;gt;1&amp;gt;2 STEEL RACING FULL KIT.&lt;/p&gt;
&lt;p&gt;&lt;span&gt;A VERY SPECIAL EXHAUST TOTALLY HANDMADE AND WELDED BY OUR BEST WELDERS.&lt;/span&gt;&lt;/p&gt;
&lt;p&gt;ORIGINAL EXHAUST WEIGHT: 12 KG&lt;br&gt;ZARD FULL KIT WEIGHT: 8 KG&lt;/p&gt;
&lt;p&gt;&lt;span&gt;THE INSTALLATION OF ZARD EXHAUST DOES NOT IMPLY ANY MODIFICATION TO ECU.&lt;/span&gt;&lt;/p&gt;
&lt;p&gt;&lt;span&gt;HARD INCREASE, COMPARED TO THE ORIGINAL EXHAUST SYSTEM, IN TERMS OF TORQUE AND POWER AT ANY RANGE.&lt;/span&gt;&lt;/p&gt;
&lt;p&gt;ASTONISHING SOUND,&amp;nbsp;EXCLUSIVE DESIGN.&lt;/p&gt;
&lt;p&gt;FITTING KIT INCLUDED.&lt;/p&gt;
&lt;p&gt;PHOTOS BY ARRICK MAURICE&lt;/p&gt;</v>
      </c>
      <c r="H1473" t="str">
        <f t="shared" si="433"/>
        <v>ZARD</v>
      </c>
      <c r="I1473" t="str">
        <f t="shared" si="434"/>
        <v>Exhaust Pipe</v>
      </c>
      <c r="J1473" t="str">
        <f t="shared" si="435"/>
        <v>Test</v>
      </c>
      <c r="K1473" t="b">
        <f t="shared" si="436"/>
        <v>0</v>
      </c>
      <c r="L1473" t="str">
        <f t="shared" si="422"/>
        <v/>
      </c>
      <c r="M1473" t="str">
        <f t="shared" si="423"/>
        <v/>
      </c>
      <c r="R1473" t="str">
        <f t="shared" si="424"/>
        <v/>
      </c>
      <c r="S1473" t="str">
        <f t="shared" si="425"/>
        <v/>
      </c>
      <c r="U1473" t="str">
        <f t="shared" si="426"/>
        <v/>
      </c>
      <c r="V1473" t="str">
        <f t="shared" si="427"/>
        <v/>
      </c>
      <c r="W1473" s="5" t="str">
        <f t="shared" si="428"/>
        <v/>
      </c>
      <c r="Y1473" t="str">
        <f t="shared" si="429"/>
        <v/>
      </c>
      <c r="Z1473" t="str">
        <f t="shared" si="430"/>
        <v/>
      </c>
      <c r="AB1473" t="str">
        <f t="shared" si="431"/>
        <v>https://shop.officineitalianezard.it/contents/imgs/products/1_2159-1705-1.jpg</v>
      </c>
      <c r="AE1473" t="b">
        <v>0</v>
      </c>
    </row>
    <row r="1474" spans="1:31" x14ac:dyDescent="0.2">
      <c r="A1474" t="str">
        <f t="shared" ref="A1474:A1537" si="437">source_product_link_href</f>
        <v>https://shop.officineitalianezard.it/en/ducati-monster-1200-s-exhaust-zard-2/</v>
      </c>
      <c r="B1474" t="b">
        <f>COUNTIF($A$2:$A1474, A1474)&gt;1</f>
        <v>1</v>
      </c>
      <c r="C1474" t="b">
        <f t="shared" ref="C1474:C1537" si="438">NOT(ISBLANK(source_option_name))</f>
        <v>0</v>
      </c>
      <c r="D1474">
        <f>VLOOKUP(A1474,variant_counts!A:B, 2, FALSE)</f>
        <v>2</v>
      </c>
      <c r="E1474" t="str">
        <f t="shared" si="432"/>
        <v>zard-exhaust-full-kit-ducati-monster-1200-s-my-2016-212-version-zd125skr</v>
      </c>
      <c r="F1474" t="str">
        <f t="shared" ref="F1474:F1537" si="439">UPPER("ZARD EXHAUST " &amp; source_title &amp; " " &amp; source_brand &amp; " " &amp; source_bike &amp; " " &amp; source_product_link &amp; " " &amp; source_sku)</f>
        <v>ZARD EXHAUST FULL KIT DUCATI MONSTER 1200 S M.Y. 2016 2&gt;1&gt;2 VERSION ZD125SKR</v>
      </c>
      <c r="G1474" t="str">
        <f t="shared" ref="G1474:G1537" si="440">IF($B1474=FALSE, source_description, "")</f>
        <v/>
      </c>
      <c r="H1474" t="str">
        <f t="shared" si="433"/>
        <v/>
      </c>
      <c r="I1474" t="str">
        <f t="shared" si="434"/>
        <v/>
      </c>
      <c r="J1474" t="str">
        <f t="shared" si="435"/>
        <v/>
      </c>
      <c r="K1474" t="str">
        <f t="shared" si="436"/>
        <v/>
      </c>
      <c r="L1474" t="str">
        <f t="shared" ref="L1474:L1537" si="441">IF(AND(variant_count=0,duplicated=FALSE),"Title",IF(OR(AND(variant_count=1,duplicated=FALSE), source_option_name&lt;&gt;""), "Option", ""))</f>
        <v/>
      </c>
      <c r="M1474" t="str">
        <f t="shared" ref="M1474:M1537" si="442">IF(option1_name="Title", "Default Title", IF(AND(option1_name="Option",ISBLANK(source_option_name)),"DEFAULT",IF(ISBLANK(source_option_name), "", source_option_name)))</f>
        <v/>
      </c>
      <c r="R1474" t="str">
        <f t="shared" ref="R1474:R1537" si="443">IF(option1_name &lt;&gt; "", source_sku, "")</f>
        <v/>
      </c>
      <c r="S1474" t="str">
        <f t="shared" ref="S1474:S1537" si="444">IF(option1_name &lt;&gt; "", 0, "")</f>
        <v/>
      </c>
      <c r="U1474" t="str">
        <f t="shared" ref="U1474:U1537" si="445">IF(option1_name &lt;&gt; "", "continue", "")</f>
        <v/>
      </c>
      <c r="V1474" t="str">
        <f t="shared" ref="V1474:V1537" si="446">IF(option1_name &lt;&gt; "", "manual", "")</f>
        <v/>
      </c>
      <c r="W1474" s="5" t="str">
        <f t="shared" ref="W1474:W1537" si="447">IF(option1_name&lt;&gt;"",(source_price_original+source_option_price)*eur_usd,"")</f>
        <v/>
      </c>
      <c r="Y1474" t="str">
        <f t="shared" ref="Y1474:Y1537" si="448">IF(option1_name&lt;&gt;"",TRUE,"")</f>
        <v/>
      </c>
      <c r="Z1474" t="str">
        <f t="shared" ref="Z1474:Z1537" si="449">IF(option1_name&lt;&gt;"",FALSE,"")</f>
        <v/>
      </c>
      <c r="AB1474" t="str">
        <f t="shared" ref="AB1474:AB1537" si="450">IF(ISBLANK(source_image), "", source_image)</f>
        <v>https://shop.officineitalianezard.it/contents/imgs/products/1_2160-1706-2.jpg</v>
      </c>
      <c r="AE1474" t="b">
        <v>0</v>
      </c>
    </row>
    <row r="1475" spans="1:31" x14ac:dyDescent="0.2">
      <c r="A1475" t="str">
        <f t="shared" si="437"/>
        <v>https://shop.officineitalianezard.it/en/ducati-monster-1200-s-exhaust-zard-2/</v>
      </c>
      <c r="B1475" t="b">
        <f>COUNTIF($A$2:$A1475, A1475)&gt;1</f>
        <v>1</v>
      </c>
      <c r="C1475" t="b">
        <f t="shared" si="438"/>
        <v>0</v>
      </c>
      <c r="D1475">
        <f>VLOOKUP(A1475,variant_counts!A:B, 2, FALSE)</f>
        <v>2</v>
      </c>
      <c r="E1475" t="str">
        <f t="shared" ref="E1475:E1538" si="451">FormatShopifyHandle(F1475)</f>
        <v>zard-exhaust-full-kit-ducati-monster-1200-s-my-2016-212-version-zd125skr</v>
      </c>
      <c r="F1475" t="str">
        <f t="shared" si="439"/>
        <v>ZARD EXHAUST FULL KIT DUCATI MONSTER 1200 S M.Y. 2016 2&gt;1&gt;2 VERSION ZD125SKR</v>
      </c>
      <c r="G1475" t="str">
        <f t="shared" si="440"/>
        <v/>
      </c>
      <c r="H1475" t="str">
        <f t="shared" ref="H1475:H1538" si="452">IF($B1475=FALSE, "ZARD", "")</f>
        <v/>
      </c>
      <c r="I1475" t="str">
        <f t="shared" ref="I1475:I1538" si="453">IF($B1475=FALSE, "Exhaust Pipe", "")</f>
        <v/>
      </c>
      <c r="J1475" t="str">
        <f t="shared" ref="J1475:J1538" si="454">IF($B1475=FALSE, "Test", "")</f>
        <v/>
      </c>
      <c r="K1475" t="str">
        <f t="shared" ref="K1475:K1538" si="455">IF($B1475=FALSE, FALSE, "")</f>
        <v/>
      </c>
      <c r="L1475" t="str">
        <f t="shared" si="441"/>
        <v/>
      </c>
      <c r="M1475" t="str">
        <f t="shared" si="442"/>
        <v/>
      </c>
      <c r="R1475" t="str">
        <f t="shared" si="443"/>
        <v/>
      </c>
      <c r="S1475" t="str">
        <f t="shared" si="444"/>
        <v/>
      </c>
      <c r="U1475" t="str">
        <f t="shared" si="445"/>
        <v/>
      </c>
      <c r="V1475" t="str">
        <f t="shared" si="446"/>
        <v/>
      </c>
      <c r="W1475" s="5" t="str">
        <f t="shared" si="447"/>
        <v/>
      </c>
      <c r="Y1475" t="str">
        <f t="shared" si="448"/>
        <v/>
      </c>
      <c r="Z1475" t="str">
        <f t="shared" si="449"/>
        <v/>
      </c>
      <c r="AB1475" t="str">
        <f t="shared" si="450"/>
        <v>https://shop.officineitalianezard.it/contents/imgs/products/1_2308-zard-5.jpg</v>
      </c>
      <c r="AE1475" t="b">
        <v>0</v>
      </c>
    </row>
    <row r="1476" spans="1:31" x14ac:dyDescent="0.2">
      <c r="A1476" t="str">
        <f t="shared" si="437"/>
        <v>https://shop.officineitalianezard.it/en/ducati-monster-1200-s-exhaust-zard-2/</v>
      </c>
      <c r="B1476" t="b">
        <f>COUNTIF($A$2:$A1476, A1476)&gt;1</f>
        <v>1</v>
      </c>
      <c r="C1476" t="b">
        <f t="shared" si="438"/>
        <v>0</v>
      </c>
      <c r="D1476">
        <f>VLOOKUP(A1476,variant_counts!A:B, 2, FALSE)</f>
        <v>2</v>
      </c>
      <c r="E1476" t="str">
        <f t="shared" si="451"/>
        <v>zard-exhaust-full-kit-ducati-monster-1200-s-my-2016-212-version-zd125skr</v>
      </c>
      <c r="F1476" t="str">
        <f t="shared" si="439"/>
        <v>ZARD EXHAUST FULL KIT DUCATI MONSTER 1200 S M.Y. 2016 2&gt;1&gt;2 VERSION ZD125SKR</v>
      </c>
      <c r="G1476" t="str">
        <f t="shared" si="440"/>
        <v/>
      </c>
      <c r="H1476" t="str">
        <f t="shared" si="452"/>
        <v/>
      </c>
      <c r="I1476" t="str">
        <f t="shared" si="453"/>
        <v/>
      </c>
      <c r="J1476" t="str">
        <f t="shared" si="454"/>
        <v/>
      </c>
      <c r="K1476" t="str">
        <f t="shared" si="455"/>
        <v/>
      </c>
      <c r="L1476" t="str">
        <f t="shared" si="441"/>
        <v/>
      </c>
      <c r="M1476" t="str">
        <f t="shared" si="442"/>
        <v/>
      </c>
      <c r="R1476" t="str">
        <f t="shared" si="443"/>
        <v/>
      </c>
      <c r="S1476" t="str">
        <f t="shared" si="444"/>
        <v/>
      </c>
      <c r="U1476" t="str">
        <f t="shared" si="445"/>
        <v/>
      </c>
      <c r="V1476" t="str">
        <f t="shared" si="446"/>
        <v/>
      </c>
      <c r="W1476" s="5" t="str">
        <f t="shared" si="447"/>
        <v/>
      </c>
      <c r="Y1476" t="str">
        <f t="shared" si="448"/>
        <v/>
      </c>
      <c r="Z1476" t="str">
        <f t="shared" si="449"/>
        <v/>
      </c>
      <c r="AB1476" t="str">
        <f t="shared" si="450"/>
        <v>https://shop.officineitalianezard.it/contents/imgs/products/1_2309-zard-4.jpg</v>
      </c>
      <c r="AE1476" t="b">
        <v>0</v>
      </c>
    </row>
    <row r="1477" spans="1:31" x14ac:dyDescent="0.2">
      <c r="A1477" t="str">
        <f t="shared" si="437"/>
        <v>https://shop.officineitalianezard.it/en/ducati-monster-1200-s-exhaust-zard-2/</v>
      </c>
      <c r="B1477" t="b">
        <f>COUNTIF($A$2:$A1477, A1477)&gt;1</f>
        <v>1</v>
      </c>
      <c r="C1477" t="b">
        <f t="shared" si="438"/>
        <v>0</v>
      </c>
      <c r="D1477">
        <f>VLOOKUP(A1477,variant_counts!A:B, 2, FALSE)</f>
        <v>2</v>
      </c>
      <c r="E1477" t="str">
        <f t="shared" si="451"/>
        <v>zard-exhaust-full-kit-ducati-monster-1200-s-my-2016-212-version-zd125skr</v>
      </c>
      <c r="F1477" t="str">
        <f t="shared" si="439"/>
        <v>ZARD EXHAUST FULL KIT DUCATI MONSTER 1200 S M.Y. 2016 2&gt;1&gt;2 VERSION ZD125SKR</v>
      </c>
      <c r="G1477" t="str">
        <f t="shared" si="440"/>
        <v/>
      </c>
      <c r="H1477" t="str">
        <f t="shared" si="452"/>
        <v/>
      </c>
      <c r="I1477" t="str">
        <f t="shared" si="453"/>
        <v/>
      </c>
      <c r="J1477" t="str">
        <f t="shared" si="454"/>
        <v/>
      </c>
      <c r="K1477" t="str">
        <f t="shared" si="455"/>
        <v/>
      </c>
      <c r="L1477" t="str">
        <f t="shared" si="441"/>
        <v/>
      </c>
      <c r="M1477" t="str">
        <f t="shared" si="442"/>
        <v/>
      </c>
      <c r="R1477" t="str">
        <f t="shared" si="443"/>
        <v/>
      </c>
      <c r="S1477" t="str">
        <f t="shared" si="444"/>
        <v/>
      </c>
      <c r="U1477" t="str">
        <f t="shared" si="445"/>
        <v/>
      </c>
      <c r="V1477" t="str">
        <f t="shared" si="446"/>
        <v/>
      </c>
      <c r="W1477" s="5" t="str">
        <f t="shared" si="447"/>
        <v/>
      </c>
      <c r="Y1477" t="str">
        <f t="shared" si="448"/>
        <v/>
      </c>
      <c r="Z1477" t="str">
        <f t="shared" si="449"/>
        <v/>
      </c>
      <c r="AB1477" t="str">
        <f t="shared" si="450"/>
        <v>https://shop.officineitalianezard.it/contents/imgs/products/1_2310-zard-3.jpg</v>
      </c>
      <c r="AE1477" t="b">
        <v>0</v>
      </c>
    </row>
    <row r="1478" spans="1:31" x14ac:dyDescent="0.2">
      <c r="A1478" t="str">
        <f t="shared" si="437"/>
        <v>https://shop.officineitalianezard.it/en/ducati-monster-1200-s-exhaust-zard-2/</v>
      </c>
      <c r="B1478" t="b">
        <f>COUNTIF($A$2:$A1478, A1478)&gt;1</f>
        <v>1</v>
      </c>
      <c r="C1478" t="b">
        <f t="shared" si="438"/>
        <v>0</v>
      </c>
      <c r="D1478">
        <f>VLOOKUP(A1478,variant_counts!A:B, 2, FALSE)</f>
        <v>2</v>
      </c>
      <c r="E1478" t="str">
        <f t="shared" si="451"/>
        <v>zard-exhaust-full-kit-ducati-monster-1200-s-my-2016-212-version-zd125skr</v>
      </c>
      <c r="F1478" t="str">
        <f t="shared" si="439"/>
        <v>ZARD EXHAUST FULL KIT DUCATI MONSTER 1200 S M.Y. 2016 2&gt;1&gt;2 VERSION ZD125SKR</v>
      </c>
      <c r="G1478" t="str">
        <f t="shared" si="440"/>
        <v/>
      </c>
      <c r="H1478" t="str">
        <f t="shared" si="452"/>
        <v/>
      </c>
      <c r="I1478" t="str">
        <f t="shared" si="453"/>
        <v/>
      </c>
      <c r="J1478" t="str">
        <f t="shared" si="454"/>
        <v/>
      </c>
      <c r="K1478" t="str">
        <f t="shared" si="455"/>
        <v/>
      </c>
      <c r="L1478" t="str">
        <f t="shared" si="441"/>
        <v/>
      </c>
      <c r="M1478" t="str">
        <f t="shared" si="442"/>
        <v/>
      </c>
      <c r="R1478" t="str">
        <f t="shared" si="443"/>
        <v/>
      </c>
      <c r="S1478" t="str">
        <f t="shared" si="444"/>
        <v/>
      </c>
      <c r="U1478" t="str">
        <f t="shared" si="445"/>
        <v/>
      </c>
      <c r="V1478" t="str">
        <f t="shared" si="446"/>
        <v/>
      </c>
      <c r="W1478" s="5" t="str">
        <f t="shared" si="447"/>
        <v/>
      </c>
      <c r="Y1478" t="str">
        <f t="shared" si="448"/>
        <v/>
      </c>
      <c r="Z1478" t="str">
        <f t="shared" si="449"/>
        <v/>
      </c>
      <c r="AB1478" t="str">
        <f t="shared" si="450"/>
        <v>https://shop.officineitalianezard.it/contents/imgs/products/1_2311-zard-2.jpg</v>
      </c>
      <c r="AE1478" t="b">
        <v>0</v>
      </c>
    </row>
    <row r="1479" spans="1:31" x14ac:dyDescent="0.2">
      <c r="A1479" t="str">
        <f t="shared" si="437"/>
        <v>https://shop.officineitalianezard.it/en/ducati-monster-1200-s-exhaust-zard-2/</v>
      </c>
      <c r="B1479" t="b">
        <f>COUNTIF($A$2:$A1479, A1479)&gt;1</f>
        <v>1</v>
      </c>
      <c r="C1479" t="b">
        <f t="shared" si="438"/>
        <v>0</v>
      </c>
      <c r="D1479">
        <f>VLOOKUP(A1479,variant_counts!A:B, 2, FALSE)</f>
        <v>2</v>
      </c>
      <c r="E1479" t="str">
        <f t="shared" si="451"/>
        <v>zard-exhaust-full-kit-ducati-monster-1200-s-my-2016-212-version-zd125skr</v>
      </c>
      <c r="F1479" t="str">
        <f t="shared" si="439"/>
        <v>ZARD EXHAUST FULL KIT DUCATI MONSTER 1200 S M.Y. 2016 2&gt;1&gt;2 VERSION ZD125SKR</v>
      </c>
      <c r="G1479" t="str">
        <f t="shared" si="440"/>
        <v/>
      </c>
      <c r="H1479" t="str">
        <f t="shared" si="452"/>
        <v/>
      </c>
      <c r="I1479" t="str">
        <f t="shared" si="453"/>
        <v/>
      </c>
      <c r="J1479" t="str">
        <f t="shared" si="454"/>
        <v/>
      </c>
      <c r="K1479" t="str">
        <f t="shared" si="455"/>
        <v/>
      </c>
      <c r="L1479" t="str">
        <f t="shared" si="441"/>
        <v/>
      </c>
      <c r="M1479" t="str">
        <f t="shared" si="442"/>
        <v/>
      </c>
      <c r="R1479" t="str">
        <f t="shared" si="443"/>
        <v/>
      </c>
      <c r="S1479" t="str">
        <f t="shared" si="444"/>
        <v/>
      </c>
      <c r="U1479" t="str">
        <f t="shared" si="445"/>
        <v/>
      </c>
      <c r="V1479" t="str">
        <f t="shared" si="446"/>
        <v/>
      </c>
      <c r="W1479" s="5" t="str">
        <f t="shared" si="447"/>
        <v/>
      </c>
      <c r="Y1479" t="str">
        <f t="shared" si="448"/>
        <v/>
      </c>
      <c r="Z1479" t="str">
        <f t="shared" si="449"/>
        <v/>
      </c>
      <c r="AB1479" t="str">
        <f t="shared" si="450"/>
        <v>https://shop.officineitalianezard.it/contents/imgs/products/1_2312-zard-1.jpg</v>
      </c>
      <c r="AE1479" t="b">
        <v>0</v>
      </c>
    </row>
    <row r="1480" spans="1:31" x14ac:dyDescent="0.2">
      <c r="A1480" t="str">
        <f t="shared" si="437"/>
        <v>https://shop.officineitalianezard.it/en/ducati-monster-1200-s-exhaust-zard-2/</v>
      </c>
      <c r="B1480" t="b">
        <f>COUNTIF($A$2:$A1480, A1480)&gt;1</f>
        <v>1</v>
      </c>
      <c r="C1480" t="b">
        <f t="shared" si="438"/>
        <v>1</v>
      </c>
      <c r="D1480">
        <f>VLOOKUP(A1480,variant_counts!A:B, 2, FALSE)</f>
        <v>2</v>
      </c>
      <c r="E1480" t="str">
        <f t="shared" si="451"/>
        <v>zard-exhaust-full-kit-ducati-monster-1200-s-my-2016-212-version-zd125skr</v>
      </c>
      <c r="F1480" t="str">
        <f t="shared" si="439"/>
        <v>ZARD EXHAUST FULL KIT DUCATI MONSTER 1200 S M.Y. 2016 2&gt;1&gt;2 VERSION ZD125SKR</v>
      </c>
      <c r="G1480" t="str">
        <f t="shared" si="440"/>
        <v/>
      </c>
      <c r="H1480" t="str">
        <f t="shared" si="452"/>
        <v/>
      </c>
      <c r="I1480" t="str">
        <f t="shared" si="453"/>
        <v/>
      </c>
      <c r="J1480" t="str">
        <f t="shared" si="454"/>
        <v/>
      </c>
      <c r="K1480" t="str">
        <f t="shared" si="455"/>
        <v/>
      </c>
      <c r="L1480" t="str">
        <f t="shared" si="441"/>
        <v>Option</v>
      </c>
      <c r="M1480" t="str">
        <f t="shared" si="442"/>
        <v>FULL TITANIUM</v>
      </c>
      <c r="R1480" t="str">
        <f t="shared" si="443"/>
        <v>ZD125SKR</v>
      </c>
      <c r="S1480">
        <f t="shared" si="444"/>
        <v>0</v>
      </c>
      <c r="U1480" t="str">
        <f t="shared" si="445"/>
        <v>continue</v>
      </c>
      <c r="V1480" t="str">
        <f t="shared" si="446"/>
        <v>manual</v>
      </c>
      <c r="W1480" s="5">
        <f t="shared" si="447"/>
        <v>3606.8673000000008</v>
      </c>
      <c r="Y1480" t="b">
        <f t="shared" si="448"/>
        <v>1</v>
      </c>
      <c r="Z1480" t="b">
        <f t="shared" si="449"/>
        <v>0</v>
      </c>
      <c r="AB1480" t="str">
        <f t="shared" si="450"/>
        <v/>
      </c>
      <c r="AE1480" t="b">
        <v>0</v>
      </c>
    </row>
    <row r="1481" spans="1:31" x14ac:dyDescent="0.2">
      <c r="A1481" t="str">
        <f t="shared" si="437"/>
        <v>https://shop.officineitalianezard.it/en/ducati-monster-1200-s-exhaust-zard-2/</v>
      </c>
      <c r="B1481" t="b">
        <f>COUNTIF($A$2:$A1481, A1481)&gt;1</f>
        <v>1</v>
      </c>
      <c r="C1481" t="b">
        <f t="shared" si="438"/>
        <v>1</v>
      </c>
      <c r="D1481">
        <f>VLOOKUP(A1481,variant_counts!A:B, 2, FALSE)</f>
        <v>2</v>
      </c>
      <c r="E1481" t="str">
        <f t="shared" si="451"/>
        <v>zard-exhaust-full-kit-ducati-monster-1200-s-my-2016-212-version-zd125skr</v>
      </c>
      <c r="F1481" t="str">
        <f t="shared" si="439"/>
        <v>ZARD EXHAUST FULL KIT DUCATI MONSTER 1200 S M.Y. 2016 2&gt;1&gt;2 VERSION ZD125SKR</v>
      </c>
      <c r="G1481" t="str">
        <f t="shared" si="440"/>
        <v/>
      </c>
      <c r="H1481" t="str">
        <f t="shared" si="452"/>
        <v/>
      </c>
      <c r="I1481" t="str">
        <f t="shared" si="453"/>
        <v/>
      </c>
      <c r="J1481" t="str">
        <f t="shared" si="454"/>
        <v/>
      </c>
      <c r="K1481" t="str">
        <f t="shared" si="455"/>
        <v/>
      </c>
      <c r="L1481" t="str">
        <f t="shared" si="441"/>
        <v>Option</v>
      </c>
      <c r="M1481" t="str">
        <f t="shared" si="442"/>
        <v>BLACK COATING</v>
      </c>
      <c r="R1481" t="str">
        <f t="shared" si="443"/>
        <v>ZD125SKR</v>
      </c>
      <c r="S1481">
        <f t="shared" si="444"/>
        <v>0</v>
      </c>
      <c r="U1481" t="str">
        <f t="shared" si="445"/>
        <v>continue</v>
      </c>
      <c r="V1481" t="str">
        <f t="shared" si="446"/>
        <v>manual</v>
      </c>
      <c r="W1481" s="5">
        <f t="shared" si="447"/>
        <v>3001.7286000000004</v>
      </c>
      <c r="Y1481" t="b">
        <f t="shared" si="448"/>
        <v>1</v>
      </c>
      <c r="Z1481" t="b">
        <f t="shared" si="449"/>
        <v>0</v>
      </c>
      <c r="AB1481" t="str">
        <f t="shared" si="450"/>
        <v/>
      </c>
      <c r="AE1481" t="b">
        <v>0</v>
      </c>
    </row>
    <row r="1482" spans="1:31" x14ac:dyDescent="0.2">
      <c r="A1482" t="str">
        <f t="shared" si="437"/>
        <v>https://shop.officineitalianezard.it/en/ducati-monster-1200-s-exhaust-zard/</v>
      </c>
      <c r="B1482" t="b">
        <f>COUNTIF($A$2:$A1482, A1482)&gt;1</f>
        <v>0</v>
      </c>
      <c r="C1482" t="b">
        <f t="shared" si="438"/>
        <v>0</v>
      </c>
      <c r="D1482">
        <f>VLOOKUP(A1482,variant_counts!A:B, 2, FALSE)</f>
        <v>2</v>
      </c>
      <c r="E1482" t="str">
        <f t="shared" si="451"/>
        <v>zard-exhaust-full-kit-ducati-monster-1200-r-s-my-2016-2018-212-version-zd126skr</v>
      </c>
      <c r="F1482" t="str">
        <f t="shared" si="439"/>
        <v>ZARD EXHAUST FULL KIT DUCATI MONSTER 1200 R-S M.Y. 2016 &gt; 2018 2&gt;1&gt;2 VERSION ZD126SKR</v>
      </c>
      <c r="G1482" t="str">
        <f t="shared" si="440"/>
        <v>&lt;p&gt;2&amp;gt;1&amp;gt;2 STEEL RACING FULL KIT.&lt;/p&gt;
&lt;p&gt;&lt;span&gt;A VERY SPECIAL EXHAUST TOTALLY HANDMADE AND WELDED BY OUR BEST WELDERS.&lt;/span&gt;&lt;/p&gt;
&lt;p&gt;ORIGINAL EXHAUST WEIGHT: 12 KG&lt;br&gt;ZARD FULL KIT WEIGHT: 8 KG&lt;/p&gt;
&lt;p&gt;&lt;span&gt;THE INSTALLATION OF ZARD EXHAUST DOES NOT IMPLY ANY MODIFICATION TO ECU.&lt;/span&gt;&lt;/p&gt;
&lt;p&gt;&lt;span&gt;HARD INCREASE, COMPARED TO THE ORIGINAL EXHAUST SYSTEM, IN TERMS OF TORQUE AND POWER AT ANY RANGE.&lt;/span&gt;&lt;/p&gt;
&lt;p&gt;ASTONISHING SOUND,&amp;nbsp;EXCLUSIVE DESIGN.&lt;/p&gt;
&lt;p&gt;FITTING KIT INCLUDED.&lt;/p&gt;
&lt;p&gt;PHOTOS BY ARRICK MAURICE&lt;/p&gt;</v>
      </c>
      <c r="H1482" t="str">
        <f t="shared" si="452"/>
        <v>ZARD</v>
      </c>
      <c r="I1482" t="str">
        <f t="shared" si="453"/>
        <v>Exhaust Pipe</v>
      </c>
      <c r="J1482" t="str">
        <f t="shared" si="454"/>
        <v>Test</v>
      </c>
      <c r="K1482" t="b">
        <f t="shared" si="455"/>
        <v>0</v>
      </c>
      <c r="L1482" t="str">
        <f t="shared" si="441"/>
        <v/>
      </c>
      <c r="M1482" t="str">
        <f t="shared" si="442"/>
        <v/>
      </c>
      <c r="R1482" t="str">
        <f t="shared" si="443"/>
        <v/>
      </c>
      <c r="S1482" t="str">
        <f t="shared" si="444"/>
        <v/>
      </c>
      <c r="U1482" t="str">
        <f t="shared" si="445"/>
        <v/>
      </c>
      <c r="V1482" t="str">
        <f t="shared" si="446"/>
        <v/>
      </c>
      <c r="W1482" s="5" t="str">
        <f t="shared" si="447"/>
        <v/>
      </c>
      <c r="Y1482" t="str">
        <f t="shared" si="448"/>
        <v/>
      </c>
      <c r="Z1482" t="str">
        <f t="shared" si="449"/>
        <v/>
      </c>
      <c r="AB1482" t="str">
        <f t="shared" si="450"/>
        <v>https://shop.officineitalianezard.it/contents/imgs/products/1_1705-1.jpg</v>
      </c>
      <c r="AE1482" t="b">
        <v>0</v>
      </c>
    </row>
    <row r="1483" spans="1:31" x14ac:dyDescent="0.2">
      <c r="A1483" t="str">
        <f t="shared" si="437"/>
        <v>https://shop.officineitalianezard.it/en/ducati-monster-1200-s-exhaust-zard/</v>
      </c>
      <c r="B1483" t="b">
        <f>COUNTIF($A$2:$A1483, A1483)&gt;1</f>
        <v>1</v>
      </c>
      <c r="C1483" t="b">
        <f t="shared" si="438"/>
        <v>0</v>
      </c>
      <c r="D1483">
        <f>VLOOKUP(A1483,variant_counts!A:B, 2, FALSE)</f>
        <v>2</v>
      </c>
      <c r="E1483" t="str">
        <f t="shared" si="451"/>
        <v>zard-exhaust-full-kit-ducati-monster-1200-r-s-my-2016-2018-212-version-zd126skr</v>
      </c>
      <c r="F1483" t="str">
        <f t="shared" si="439"/>
        <v>ZARD EXHAUST FULL KIT DUCATI MONSTER 1200 R-S M.Y. 2016 &gt; 2018 2&gt;1&gt;2 VERSION ZD126SKR</v>
      </c>
      <c r="G1483" t="str">
        <f t="shared" si="440"/>
        <v/>
      </c>
      <c r="H1483" t="str">
        <f t="shared" si="452"/>
        <v/>
      </c>
      <c r="I1483" t="str">
        <f t="shared" si="453"/>
        <v/>
      </c>
      <c r="J1483" t="str">
        <f t="shared" si="454"/>
        <v/>
      </c>
      <c r="K1483" t="str">
        <f t="shared" si="455"/>
        <v/>
      </c>
      <c r="L1483" t="str">
        <f t="shared" si="441"/>
        <v/>
      </c>
      <c r="M1483" t="str">
        <f t="shared" si="442"/>
        <v/>
      </c>
      <c r="R1483" t="str">
        <f t="shared" si="443"/>
        <v/>
      </c>
      <c r="S1483" t="str">
        <f t="shared" si="444"/>
        <v/>
      </c>
      <c r="U1483" t="str">
        <f t="shared" si="445"/>
        <v/>
      </c>
      <c r="V1483" t="str">
        <f t="shared" si="446"/>
        <v/>
      </c>
      <c r="W1483" s="5" t="str">
        <f t="shared" si="447"/>
        <v/>
      </c>
      <c r="Y1483" t="str">
        <f t="shared" si="448"/>
        <v/>
      </c>
      <c r="Z1483" t="str">
        <f t="shared" si="449"/>
        <v/>
      </c>
      <c r="AB1483" t="str">
        <f t="shared" si="450"/>
        <v>https://shop.officineitalianezard.it/contents/imgs/products/1_1706-2.jpg</v>
      </c>
      <c r="AE1483" t="b">
        <v>0</v>
      </c>
    </row>
    <row r="1484" spans="1:31" x14ac:dyDescent="0.2">
      <c r="A1484" t="str">
        <f t="shared" si="437"/>
        <v>https://shop.officineitalianezard.it/en/ducati-monster-1200-s-exhaust-zard/</v>
      </c>
      <c r="B1484" t="b">
        <f>COUNTIF($A$2:$A1484, A1484)&gt;1</f>
        <v>1</v>
      </c>
      <c r="C1484" t="b">
        <f t="shared" si="438"/>
        <v>0</v>
      </c>
      <c r="D1484">
        <f>VLOOKUP(A1484,variant_counts!A:B, 2, FALSE)</f>
        <v>2</v>
      </c>
      <c r="E1484" t="str">
        <f t="shared" si="451"/>
        <v>zard-exhaust-full-kit-ducati-monster-1200-r-s-my-2016-2018-212-version-zd126skr</v>
      </c>
      <c r="F1484" t="str">
        <f t="shared" si="439"/>
        <v>ZARD EXHAUST FULL KIT DUCATI MONSTER 1200 R-S M.Y. 2016 &gt; 2018 2&gt;1&gt;2 VERSION ZD126SKR</v>
      </c>
      <c r="G1484" t="str">
        <f t="shared" si="440"/>
        <v/>
      </c>
      <c r="H1484" t="str">
        <f t="shared" si="452"/>
        <v/>
      </c>
      <c r="I1484" t="str">
        <f t="shared" si="453"/>
        <v/>
      </c>
      <c r="J1484" t="str">
        <f t="shared" si="454"/>
        <v/>
      </c>
      <c r="K1484" t="str">
        <f t="shared" si="455"/>
        <v/>
      </c>
      <c r="L1484" t="str">
        <f t="shared" si="441"/>
        <v/>
      </c>
      <c r="M1484" t="str">
        <f t="shared" si="442"/>
        <v/>
      </c>
      <c r="R1484" t="str">
        <f t="shared" si="443"/>
        <v/>
      </c>
      <c r="S1484" t="str">
        <f t="shared" si="444"/>
        <v/>
      </c>
      <c r="U1484" t="str">
        <f t="shared" si="445"/>
        <v/>
      </c>
      <c r="V1484" t="str">
        <f t="shared" si="446"/>
        <v/>
      </c>
      <c r="W1484" s="5" t="str">
        <f t="shared" si="447"/>
        <v/>
      </c>
      <c r="Y1484" t="str">
        <f t="shared" si="448"/>
        <v/>
      </c>
      <c r="Z1484" t="str">
        <f t="shared" si="449"/>
        <v/>
      </c>
      <c r="AB1484" t="str">
        <f t="shared" si="450"/>
        <v>https://shop.officineitalianezard.it/contents/imgs/products/1_2303-zard-5.jpg</v>
      </c>
      <c r="AE1484" t="b">
        <v>0</v>
      </c>
    </row>
    <row r="1485" spans="1:31" x14ac:dyDescent="0.2">
      <c r="A1485" t="str">
        <f t="shared" si="437"/>
        <v>https://shop.officineitalianezard.it/en/ducati-monster-1200-s-exhaust-zard/</v>
      </c>
      <c r="B1485" t="b">
        <f>COUNTIF($A$2:$A1485, A1485)&gt;1</f>
        <v>1</v>
      </c>
      <c r="C1485" t="b">
        <f t="shared" si="438"/>
        <v>0</v>
      </c>
      <c r="D1485">
        <f>VLOOKUP(A1485,variant_counts!A:B, 2, FALSE)</f>
        <v>2</v>
      </c>
      <c r="E1485" t="str">
        <f t="shared" si="451"/>
        <v>zard-exhaust-full-kit-ducati-monster-1200-r-s-my-2016-2018-212-version-zd126skr</v>
      </c>
      <c r="F1485" t="str">
        <f t="shared" si="439"/>
        <v>ZARD EXHAUST FULL KIT DUCATI MONSTER 1200 R-S M.Y. 2016 &gt; 2018 2&gt;1&gt;2 VERSION ZD126SKR</v>
      </c>
      <c r="G1485" t="str">
        <f t="shared" si="440"/>
        <v/>
      </c>
      <c r="H1485" t="str">
        <f t="shared" si="452"/>
        <v/>
      </c>
      <c r="I1485" t="str">
        <f t="shared" si="453"/>
        <v/>
      </c>
      <c r="J1485" t="str">
        <f t="shared" si="454"/>
        <v/>
      </c>
      <c r="K1485" t="str">
        <f t="shared" si="455"/>
        <v/>
      </c>
      <c r="L1485" t="str">
        <f t="shared" si="441"/>
        <v/>
      </c>
      <c r="M1485" t="str">
        <f t="shared" si="442"/>
        <v/>
      </c>
      <c r="R1485" t="str">
        <f t="shared" si="443"/>
        <v/>
      </c>
      <c r="S1485" t="str">
        <f t="shared" si="444"/>
        <v/>
      </c>
      <c r="U1485" t="str">
        <f t="shared" si="445"/>
        <v/>
      </c>
      <c r="V1485" t="str">
        <f t="shared" si="446"/>
        <v/>
      </c>
      <c r="W1485" s="5" t="str">
        <f t="shared" si="447"/>
        <v/>
      </c>
      <c r="Y1485" t="str">
        <f t="shared" si="448"/>
        <v/>
      </c>
      <c r="Z1485" t="str">
        <f t="shared" si="449"/>
        <v/>
      </c>
      <c r="AB1485" t="str">
        <f t="shared" si="450"/>
        <v>https://shop.officineitalianezard.it/contents/imgs/products/1_2304-zard-4.jpg</v>
      </c>
      <c r="AE1485" t="b">
        <v>0</v>
      </c>
    </row>
    <row r="1486" spans="1:31" x14ac:dyDescent="0.2">
      <c r="A1486" t="str">
        <f t="shared" si="437"/>
        <v>https://shop.officineitalianezard.it/en/ducati-monster-1200-s-exhaust-zard/</v>
      </c>
      <c r="B1486" t="b">
        <f>COUNTIF($A$2:$A1486, A1486)&gt;1</f>
        <v>1</v>
      </c>
      <c r="C1486" t="b">
        <f t="shared" si="438"/>
        <v>0</v>
      </c>
      <c r="D1486">
        <f>VLOOKUP(A1486,variant_counts!A:B, 2, FALSE)</f>
        <v>2</v>
      </c>
      <c r="E1486" t="str">
        <f t="shared" si="451"/>
        <v>zard-exhaust-full-kit-ducati-monster-1200-r-s-my-2016-2018-212-version-zd126skr</v>
      </c>
      <c r="F1486" t="str">
        <f t="shared" si="439"/>
        <v>ZARD EXHAUST FULL KIT DUCATI MONSTER 1200 R-S M.Y. 2016 &gt; 2018 2&gt;1&gt;2 VERSION ZD126SKR</v>
      </c>
      <c r="G1486" t="str">
        <f t="shared" si="440"/>
        <v/>
      </c>
      <c r="H1486" t="str">
        <f t="shared" si="452"/>
        <v/>
      </c>
      <c r="I1486" t="str">
        <f t="shared" si="453"/>
        <v/>
      </c>
      <c r="J1486" t="str">
        <f t="shared" si="454"/>
        <v/>
      </c>
      <c r="K1486" t="str">
        <f t="shared" si="455"/>
        <v/>
      </c>
      <c r="L1486" t="str">
        <f t="shared" si="441"/>
        <v/>
      </c>
      <c r="M1486" t="str">
        <f t="shared" si="442"/>
        <v/>
      </c>
      <c r="R1486" t="str">
        <f t="shared" si="443"/>
        <v/>
      </c>
      <c r="S1486" t="str">
        <f t="shared" si="444"/>
        <v/>
      </c>
      <c r="U1486" t="str">
        <f t="shared" si="445"/>
        <v/>
      </c>
      <c r="V1486" t="str">
        <f t="shared" si="446"/>
        <v/>
      </c>
      <c r="W1486" s="5" t="str">
        <f t="shared" si="447"/>
        <v/>
      </c>
      <c r="Y1486" t="str">
        <f t="shared" si="448"/>
        <v/>
      </c>
      <c r="Z1486" t="str">
        <f t="shared" si="449"/>
        <v/>
      </c>
      <c r="AB1486" t="str">
        <f t="shared" si="450"/>
        <v>https://shop.officineitalianezard.it/contents/imgs/products/1_2305-zard-3.jpg</v>
      </c>
      <c r="AE1486" t="b">
        <v>0</v>
      </c>
    </row>
    <row r="1487" spans="1:31" x14ac:dyDescent="0.2">
      <c r="A1487" t="str">
        <f t="shared" si="437"/>
        <v>https://shop.officineitalianezard.it/en/ducati-monster-1200-s-exhaust-zard/</v>
      </c>
      <c r="B1487" t="b">
        <f>COUNTIF($A$2:$A1487, A1487)&gt;1</f>
        <v>1</v>
      </c>
      <c r="C1487" t="b">
        <f t="shared" si="438"/>
        <v>0</v>
      </c>
      <c r="D1487">
        <f>VLOOKUP(A1487,variant_counts!A:B, 2, FALSE)</f>
        <v>2</v>
      </c>
      <c r="E1487" t="str">
        <f t="shared" si="451"/>
        <v>zard-exhaust-full-kit-ducati-monster-1200-r-s-my-2016-2018-212-version-zd126skr</v>
      </c>
      <c r="F1487" t="str">
        <f t="shared" si="439"/>
        <v>ZARD EXHAUST FULL KIT DUCATI MONSTER 1200 R-S M.Y. 2016 &gt; 2018 2&gt;1&gt;2 VERSION ZD126SKR</v>
      </c>
      <c r="G1487" t="str">
        <f t="shared" si="440"/>
        <v/>
      </c>
      <c r="H1487" t="str">
        <f t="shared" si="452"/>
        <v/>
      </c>
      <c r="I1487" t="str">
        <f t="shared" si="453"/>
        <v/>
      </c>
      <c r="J1487" t="str">
        <f t="shared" si="454"/>
        <v/>
      </c>
      <c r="K1487" t="str">
        <f t="shared" si="455"/>
        <v/>
      </c>
      <c r="L1487" t="str">
        <f t="shared" si="441"/>
        <v/>
      </c>
      <c r="M1487" t="str">
        <f t="shared" si="442"/>
        <v/>
      </c>
      <c r="R1487" t="str">
        <f t="shared" si="443"/>
        <v/>
      </c>
      <c r="S1487" t="str">
        <f t="shared" si="444"/>
        <v/>
      </c>
      <c r="U1487" t="str">
        <f t="shared" si="445"/>
        <v/>
      </c>
      <c r="V1487" t="str">
        <f t="shared" si="446"/>
        <v/>
      </c>
      <c r="W1487" s="5" t="str">
        <f t="shared" si="447"/>
        <v/>
      </c>
      <c r="Y1487" t="str">
        <f t="shared" si="448"/>
        <v/>
      </c>
      <c r="Z1487" t="str">
        <f t="shared" si="449"/>
        <v/>
      </c>
      <c r="AB1487" t="str">
        <f t="shared" si="450"/>
        <v>https://shop.officineitalianezard.it/contents/imgs/products/1_2306-zard-2.jpg</v>
      </c>
      <c r="AE1487" t="b">
        <v>0</v>
      </c>
    </row>
    <row r="1488" spans="1:31" x14ac:dyDescent="0.2">
      <c r="A1488" t="str">
        <f t="shared" si="437"/>
        <v>https://shop.officineitalianezard.it/en/ducati-monster-1200-s-exhaust-zard/</v>
      </c>
      <c r="B1488" t="b">
        <f>COUNTIF($A$2:$A1488, A1488)&gt;1</f>
        <v>1</v>
      </c>
      <c r="C1488" t="b">
        <f t="shared" si="438"/>
        <v>0</v>
      </c>
      <c r="D1488">
        <f>VLOOKUP(A1488,variant_counts!A:B, 2, FALSE)</f>
        <v>2</v>
      </c>
      <c r="E1488" t="str">
        <f t="shared" si="451"/>
        <v>zard-exhaust-full-kit-ducati-monster-1200-r-s-my-2016-2018-212-version-zd126skr</v>
      </c>
      <c r="F1488" t="str">
        <f t="shared" si="439"/>
        <v>ZARD EXHAUST FULL KIT DUCATI MONSTER 1200 R-S M.Y. 2016 &gt; 2018 2&gt;1&gt;2 VERSION ZD126SKR</v>
      </c>
      <c r="G1488" t="str">
        <f t="shared" si="440"/>
        <v/>
      </c>
      <c r="H1488" t="str">
        <f t="shared" si="452"/>
        <v/>
      </c>
      <c r="I1488" t="str">
        <f t="shared" si="453"/>
        <v/>
      </c>
      <c r="J1488" t="str">
        <f t="shared" si="454"/>
        <v/>
      </c>
      <c r="K1488" t="str">
        <f t="shared" si="455"/>
        <v/>
      </c>
      <c r="L1488" t="str">
        <f t="shared" si="441"/>
        <v/>
      </c>
      <c r="M1488" t="str">
        <f t="shared" si="442"/>
        <v/>
      </c>
      <c r="R1488" t="str">
        <f t="shared" si="443"/>
        <v/>
      </c>
      <c r="S1488" t="str">
        <f t="shared" si="444"/>
        <v/>
      </c>
      <c r="U1488" t="str">
        <f t="shared" si="445"/>
        <v/>
      </c>
      <c r="V1488" t="str">
        <f t="shared" si="446"/>
        <v/>
      </c>
      <c r="W1488" s="5" t="str">
        <f t="shared" si="447"/>
        <v/>
      </c>
      <c r="Y1488" t="str">
        <f t="shared" si="448"/>
        <v/>
      </c>
      <c r="Z1488" t="str">
        <f t="shared" si="449"/>
        <v/>
      </c>
      <c r="AB1488" t="str">
        <f t="shared" si="450"/>
        <v>https://shop.officineitalianezard.it/contents/imgs/products/1_2307-zard-1.jpg</v>
      </c>
      <c r="AE1488" t="b">
        <v>0</v>
      </c>
    </row>
    <row r="1489" spans="1:31" x14ac:dyDescent="0.2">
      <c r="A1489" t="str">
        <f t="shared" si="437"/>
        <v>https://shop.officineitalianezard.it/en/ducati-monster-1200-s-exhaust-zard/</v>
      </c>
      <c r="B1489" t="b">
        <f>COUNTIF($A$2:$A1489, A1489)&gt;1</f>
        <v>1</v>
      </c>
      <c r="C1489" t="b">
        <f t="shared" si="438"/>
        <v>1</v>
      </c>
      <c r="D1489">
        <f>VLOOKUP(A1489,variant_counts!A:B, 2, FALSE)</f>
        <v>2</v>
      </c>
      <c r="E1489" t="str">
        <f t="shared" si="451"/>
        <v>zard-exhaust-full-kit-ducati-monster-1200-r-s-my-2016-2018-212-version-zd126skr</v>
      </c>
      <c r="F1489" t="str">
        <f t="shared" si="439"/>
        <v>ZARD EXHAUST FULL KIT DUCATI MONSTER 1200 R-S M.Y. 2016 &gt; 2018 2&gt;1&gt;2 VERSION ZD126SKR</v>
      </c>
      <c r="G1489" t="str">
        <f t="shared" si="440"/>
        <v/>
      </c>
      <c r="H1489" t="str">
        <f t="shared" si="452"/>
        <v/>
      </c>
      <c r="I1489" t="str">
        <f t="shared" si="453"/>
        <v/>
      </c>
      <c r="J1489" t="str">
        <f t="shared" si="454"/>
        <v/>
      </c>
      <c r="K1489" t="str">
        <f t="shared" si="455"/>
        <v/>
      </c>
      <c r="L1489" t="str">
        <f t="shared" si="441"/>
        <v>Option</v>
      </c>
      <c r="M1489" t="str">
        <f t="shared" si="442"/>
        <v>FULL TITANIUM</v>
      </c>
      <c r="R1489" t="str">
        <f t="shared" si="443"/>
        <v>ZD126SKR</v>
      </c>
      <c r="S1489">
        <f t="shared" si="444"/>
        <v>0</v>
      </c>
      <c r="U1489" t="str">
        <f t="shared" si="445"/>
        <v>continue</v>
      </c>
      <c r="V1489" t="str">
        <f t="shared" si="446"/>
        <v>manual</v>
      </c>
      <c r="W1489" s="5">
        <f t="shared" si="447"/>
        <v>3665.0979000000002</v>
      </c>
      <c r="Y1489" t="b">
        <f t="shared" si="448"/>
        <v>1</v>
      </c>
      <c r="Z1489" t="b">
        <f t="shared" si="449"/>
        <v>0</v>
      </c>
      <c r="AB1489" t="str">
        <f t="shared" si="450"/>
        <v/>
      </c>
      <c r="AE1489" t="b">
        <v>0</v>
      </c>
    </row>
    <row r="1490" spans="1:31" x14ac:dyDescent="0.2">
      <c r="A1490" t="str">
        <f t="shared" si="437"/>
        <v>https://shop.officineitalianezard.it/en/ducati-monster-1200-s-exhaust-zard/</v>
      </c>
      <c r="B1490" t="b">
        <f>COUNTIF($A$2:$A1490, A1490)&gt;1</f>
        <v>1</v>
      </c>
      <c r="C1490" t="b">
        <f t="shared" si="438"/>
        <v>1</v>
      </c>
      <c r="D1490">
        <f>VLOOKUP(A1490,variant_counts!A:B, 2, FALSE)</f>
        <v>2</v>
      </c>
      <c r="E1490" t="str">
        <f t="shared" si="451"/>
        <v>zard-exhaust-full-kit-ducati-monster-1200-r-s-my-2016-2018-212-version-zd126skr</v>
      </c>
      <c r="F1490" t="str">
        <f t="shared" si="439"/>
        <v>ZARD EXHAUST FULL KIT DUCATI MONSTER 1200 R-S M.Y. 2016 &gt; 2018 2&gt;1&gt;2 VERSION ZD126SKR</v>
      </c>
      <c r="G1490" t="str">
        <f t="shared" si="440"/>
        <v/>
      </c>
      <c r="H1490" t="str">
        <f t="shared" si="452"/>
        <v/>
      </c>
      <c r="I1490" t="str">
        <f t="shared" si="453"/>
        <v/>
      </c>
      <c r="J1490" t="str">
        <f t="shared" si="454"/>
        <v/>
      </c>
      <c r="K1490" t="str">
        <f t="shared" si="455"/>
        <v/>
      </c>
      <c r="L1490" t="str">
        <f t="shared" si="441"/>
        <v>Option</v>
      </c>
      <c r="M1490" t="str">
        <f t="shared" si="442"/>
        <v>BLACK COATING</v>
      </c>
      <c r="R1490" t="str">
        <f t="shared" si="443"/>
        <v>ZD126SKR</v>
      </c>
      <c r="S1490">
        <f t="shared" si="444"/>
        <v>0</v>
      </c>
      <c r="U1490" t="str">
        <f t="shared" si="445"/>
        <v>continue</v>
      </c>
      <c r="V1490" t="str">
        <f t="shared" si="446"/>
        <v>manual</v>
      </c>
      <c r="W1490" s="5">
        <f t="shared" si="447"/>
        <v>3059.9592000000002</v>
      </c>
      <c r="Y1490" t="b">
        <f t="shared" si="448"/>
        <v>1</v>
      </c>
      <c r="Z1490" t="b">
        <f t="shared" si="449"/>
        <v>0</v>
      </c>
      <c r="AB1490" t="str">
        <f t="shared" si="450"/>
        <v/>
      </c>
      <c r="AE1490" t="b">
        <v>0</v>
      </c>
    </row>
    <row r="1491" spans="1:31" x14ac:dyDescent="0.2">
      <c r="A1491" t="str">
        <f t="shared" si="437"/>
        <v>https://shop.officineitalianezard.it/en/ducati-monster-1100-evo-silencers/</v>
      </c>
      <c r="B1491" t="b">
        <f>COUNTIF($A$2:$A1491, A1491)&gt;1</f>
        <v>0</v>
      </c>
      <c r="C1491" t="b">
        <f t="shared" si="438"/>
        <v>0</v>
      </c>
      <c r="D1491">
        <f>VLOOKUP(A1491,variant_counts!A:B, 2, FALSE)</f>
        <v>3</v>
      </c>
      <c r="E1491" t="str">
        <f t="shared" si="451"/>
        <v>zard-exhaust-silencers-ducati-monster-1100-evo-overlapped-version-zd118csr</v>
      </c>
      <c r="F1491" t="str">
        <f t="shared" si="439"/>
        <v>ZARD EXHAUST SILENCERS DUCATI MONSTER 1100 EVO OVERLAPPED VERSION ZD118CSR</v>
      </c>
      <c r="G1491" t="str">
        <f t="shared" si="440"/>
        <v>&lt;p&gt;STEEL-CARBON SILENCERS RACING WITH REMOVABLE DB KILLER&lt;/p&gt;
&lt;p&gt;CARBON HEAT SHIELD&lt;/p&gt;
&lt;p&gt;ALUMINIUM BLACK MACHINED FROM SOLID END-CAP.&lt;/p&gt;
&lt;p&gt;ORIGINAL EXHAUST WEIGHT: 5.8 KG&lt;br&gt;ZARD SILENCERS WEIGHT: KG 3.3&lt;/p&gt;
&lt;p&gt;HARD INCREASE, COMPARED TO THE ORIGINAL EXHAUST SYSTEM, IN TERMS OF TORQUE AND POWER AT ANY RANGE.&lt;/p&gt;
&lt;p&gt;ASTONISHING SOUND.&lt;/p&gt;</v>
      </c>
      <c r="H1491" t="str">
        <f t="shared" si="452"/>
        <v>ZARD</v>
      </c>
      <c r="I1491" t="str">
        <f t="shared" si="453"/>
        <v>Exhaust Pipe</v>
      </c>
      <c r="J1491" t="str">
        <f t="shared" si="454"/>
        <v>Test</v>
      </c>
      <c r="K1491" t="b">
        <f t="shared" si="455"/>
        <v>0</v>
      </c>
      <c r="L1491" t="str">
        <f t="shared" si="441"/>
        <v/>
      </c>
      <c r="M1491" t="str">
        <f t="shared" si="442"/>
        <v/>
      </c>
      <c r="R1491" t="str">
        <f t="shared" si="443"/>
        <v/>
      </c>
      <c r="S1491" t="str">
        <f t="shared" si="444"/>
        <v/>
      </c>
      <c r="U1491" t="str">
        <f t="shared" si="445"/>
        <v/>
      </c>
      <c r="V1491" t="str">
        <f t="shared" si="446"/>
        <v/>
      </c>
      <c r="W1491" s="5" t="str">
        <f t="shared" si="447"/>
        <v/>
      </c>
      <c r="Y1491" t="str">
        <f t="shared" si="448"/>
        <v/>
      </c>
      <c r="Z1491" t="str">
        <f t="shared" si="449"/>
        <v/>
      </c>
      <c r="AB1491" t="str">
        <f t="shared" si="450"/>
        <v>https://shop.officineitalianezard.it/contents/imgs/products/1_557-scarichi%20moto%20ducati%20monster%201100%20evo%20zard.jpg</v>
      </c>
      <c r="AE1491" t="b">
        <v>0</v>
      </c>
    </row>
    <row r="1492" spans="1:31" x14ac:dyDescent="0.2">
      <c r="A1492" t="str">
        <f t="shared" si="437"/>
        <v>https://shop.officineitalianezard.it/en/ducati-monster-1100-evo-silencers/</v>
      </c>
      <c r="B1492" t="b">
        <f>COUNTIF($A$2:$A1492, A1492)&gt;1</f>
        <v>1</v>
      </c>
      <c r="C1492" t="b">
        <f t="shared" si="438"/>
        <v>0</v>
      </c>
      <c r="D1492">
        <f>VLOOKUP(A1492,variant_counts!A:B, 2, FALSE)</f>
        <v>3</v>
      </c>
      <c r="E1492" t="str">
        <f t="shared" si="451"/>
        <v>zard-exhaust-silencers-ducati-monster-1100-evo-overlapped-version-zd118csr</v>
      </c>
      <c r="F1492" t="str">
        <f t="shared" si="439"/>
        <v>ZARD EXHAUST SILENCERS DUCATI MONSTER 1100 EVO OVERLAPPED VERSION ZD118CSR</v>
      </c>
      <c r="G1492" t="str">
        <f t="shared" si="440"/>
        <v/>
      </c>
      <c r="H1492" t="str">
        <f t="shared" si="452"/>
        <v/>
      </c>
      <c r="I1492" t="str">
        <f t="shared" si="453"/>
        <v/>
      </c>
      <c r="J1492" t="str">
        <f t="shared" si="454"/>
        <v/>
      </c>
      <c r="K1492" t="str">
        <f t="shared" si="455"/>
        <v/>
      </c>
      <c r="L1492" t="str">
        <f t="shared" si="441"/>
        <v/>
      </c>
      <c r="M1492" t="str">
        <f t="shared" si="442"/>
        <v/>
      </c>
      <c r="R1492" t="str">
        <f t="shared" si="443"/>
        <v/>
      </c>
      <c r="S1492" t="str">
        <f t="shared" si="444"/>
        <v/>
      </c>
      <c r="U1492" t="str">
        <f t="shared" si="445"/>
        <v/>
      </c>
      <c r="V1492" t="str">
        <f t="shared" si="446"/>
        <v/>
      </c>
      <c r="W1492" s="5" t="str">
        <f t="shared" si="447"/>
        <v/>
      </c>
      <c r="Y1492" t="str">
        <f t="shared" si="448"/>
        <v/>
      </c>
      <c r="Z1492" t="str">
        <f t="shared" si="449"/>
        <v/>
      </c>
      <c r="AB1492" t="str">
        <f t="shared" si="450"/>
        <v>https://shop.officineitalianezard.it/contents/imgs/products/1_555-scarichi%20moto%20ducati%20monster%201100%20evo%20zard%202.jpg</v>
      </c>
      <c r="AE1492" t="b">
        <v>0</v>
      </c>
    </row>
    <row r="1493" spans="1:31" x14ac:dyDescent="0.2">
      <c r="A1493" t="str">
        <f t="shared" si="437"/>
        <v>https://shop.officineitalianezard.it/en/ducati-monster-1100-evo-silencers/</v>
      </c>
      <c r="B1493" t="b">
        <f>COUNTIF($A$2:$A1493, A1493)&gt;1</f>
        <v>1</v>
      </c>
      <c r="C1493" t="b">
        <f t="shared" si="438"/>
        <v>0</v>
      </c>
      <c r="D1493">
        <f>VLOOKUP(A1493,variant_counts!A:B, 2, FALSE)</f>
        <v>3</v>
      </c>
      <c r="E1493" t="str">
        <f t="shared" si="451"/>
        <v>zard-exhaust-silencers-ducati-monster-1100-evo-overlapped-version-zd118csr</v>
      </c>
      <c r="F1493" t="str">
        <f t="shared" si="439"/>
        <v>ZARD EXHAUST SILENCERS DUCATI MONSTER 1100 EVO OVERLAPPED VERSION ZD118CSR</v>
      </c>
      <c r="G1493" t="str">
        <f t="shared" si="440"/>
        <v/>
      </c>
      <c r="H1493" t="str">
        <f t="shared" si="452"/>
        <v/>
      </c>
      <c r="I1493" t="str">
        <f t="shared" si="453"/>
        <v/>
      </c>
      <c r="J1493" t="str">
        <f t="shared" si="454"/>
        <v/>
      </c>
      <c r="K1493" t="str">
        <f t="shared" si="455"/>
        <v/>
      </c>
      <c r="L1493" t="str">
        <f t="shared" si="441"/>
        <v/>
      </c>
      <c r="M1493" t="str">
        <f t="shared" si="442"/>
        <v/>
      </c>
      <c r="R1493" t="str">
        <f t="shared" si="443"/>
        <v/>
      </c>
      <c r="S1493" t="str">
        <f t="shared" si="444"/>
        <v/>
      </c>
      <c r="U1493" t="str">
        <f t="shared" si="445"/>
        <v/>
      </c>
      <c r="V1493" t="str">
        <f t="shared" si="446"/>
        <v/>
      </c>
      <c r="W1493" s="5" t="str">
        <f t="shared" si="447"/>
        <v/>
      </c>
      <c r="Y1493" t="str">
        <f t="shared" si="448"/>
        <v/>
      </c>
      <c r="Z1493" t="str">
        <f t="shared" si="449"/>
        <v/>
      </c>
      <c r="AB1493" t="str">
        <f t="shared" si="450"/>
        <v>https://shop.officineitalianezard.it/contents/imgs/products/1_556-scarichi%20moto%20ducati%20monster%201100%20evo%20zard%203.jpg</v>
      </c>
      <c r="AE1493" t="b">
        <v>0</v>
      </c>
    </row>
    <row r="1494" spans="1:31" x14ac:dyDescent="0.2">
      <c r="A1494" t="str">
        <f t="shared" si="437"/>
        <v>https://shop.officineitalianezard.it/en/ducati-monster-1100-evo-silencers/</v>
      </c>
      <c r="B1494" t="b">
        <f>COUNTIF($A$2:$A1494, A1494)&gt;1</f>
        <v>1</v>
      </c>
      <c r="C1494" t="b">
        <f t="shared" si="438"/>
        <v>0</v>
      </c>
      <c r="D1494">
        <f>VLOOKUP(A1494,variant_counts!A:B, 2, FALSE)</f>
        <v>3</v>
      </c>
      <c r="E1494" t="str">
        <f t="shared" si="451"/>
        <v>zard-exhaust-silencers-ducati-monster-1100-evo-overlapped-version-zd118csr</v>
      </c>
      <c r="F1494" t="str">
        <f t="shared" si="439"/>
        <v>ZARD EXHAUST SILENCERS DUCATI MONSTER 1100 EVO OVERLAPPED VERSION ZD118CSR</v>
      </c>
      <c r="G1494" t="str">
        <f t="shared" si="440"/>
        <v/>
      </c>
      <c r="H1494" t="str">
        <f t="shared" si="452"/>
        <v/>
      </c>
      <c r="I1494" t="str">
        <f t="shared" si="453"/>
        <v/>
      </c>
      <c r="J1494" t="str">
        <f t="shared" si="454"/>
        <v/>
      </c>
      <c r="K1494" t="str">
        <f t="shared" si="455"/>
        <v/>
      </c>
      <c r="L1494" t="str">
        <f t="shared" si="441"/>
        <v/>
      </c>
      <c r="M1494" t="str">
        <f t="shared" si="442"/>
        <v/>
      </c>
      <c r="R1494" t="str">
        <f t="shared" si="443"/>
        <v/>
      </c>
      <c r="S1494" t="str">
        <f t="shared" si="444"/>
        <v/>
      </c>
      <c r="U1494" t="str">
        <f t="shared" si="445"/>
        <v/>
      </c>
      <c r="V1494" t="str">
        <f t="shared" si="446"/>
        <v/>
      </c>
      <c r="W1494" s="5" t="str">
        <f t="shared" si="447"/>
        <v/>
      </c>
      <c r="Y1494" t="str">
        <f t="shared" si="448"/>
        <v/>
      </c>
      <c r="Z1494" t="str">
        <f t="shared" si="449"/>
        <v/>
      </c>
      <c r="AB1494" t="str">
        <f t="shared" si="450"/>
        <v>https://shop.officineitalianezard.it/contents/imgs/products/1_559-scarichi%20moto%20ducati%20zard.jpg</v>
      </c>
      <c r="AE1494" t="b">
        <v>0</v>
      </c>
    </row>
    <row r="1495" spans="1:31" x14ac:dyDescent="0.2">
      <c r="A1495" t="str">
        <f t="shared" si="437"/>
        <v>https://shop.officineitalianezard.it/en/ducati-monster-1100-evo-silencers/</v>
      </c>
      <c r="B1495" t="b">
        <f>COUNTIF($A$2:$A1495, A1495)&gt;1</f>
        <v>1</v>
      </c>
      <c r="C1495" t="b">
        <f t="shared" si="438"/>
        <v>1</v>
      </c>
      <c r="D1495">
        <f>VLOOKUP(A1495,variant_counts!A:B, 2, FALSE)</f>
        <v>3</v>
      </c>
      <c r="E1495" t="str">
        <f t="shared" si="451"/>
        <v>zard-exhaust-silencers-ducati-monster-1100-evo-overlapped-version-zd118csr</v>
      </c>
      <c r="F1495" t="str">
        <f t="shared" si="439"/>
        <v>ZARD EXHAUST SILENCERS DUCATI MONSTER 1100 EVO OVERLAPPED VERSION ZD118CSR</v>
      </c>
      <c r="G1495" t="str">
        <f t="shared" si="440"/>
        <v/>
      </c>
      <c r="H1495" t="str">
        <f t="shared" si="452"/>
        <v/>
      </c>
      <c r="I1495" t="str">
        <f t="shared" si="453"/>
        <v/>
      </c>
      <c r="J1495" t="str">
        <f t="shared" si="454"/>
        <v/>
      </c>
      <c r="K1495" t="str">
        <f t="shared" si="455"/>
        <v/>
      </c>
      <c r="L1495" t="str">
        <f t="shared" si="441"/>
        <v>Option</v>
      </c>
      <c r="M1495" t="str">
        <f t="shared" si="442"/>
        <v>STEEL TITANIUM RACING</v>
      </c>
      <c r="R1495" t="str">
        <f t="shared" si="443"/>
        <v>ZD118CSR</v>
      </c>
      <c r="S1495">
        <f t="shared" si="444"/>
        <v>0</v>
      </c>
      <c r="U1495" t="str">
        <f t="shared" si="445"/>
        <v>continue</v>
      </c>
      <c r="V1495" t="str">
        <f t="shared" si="446"/>
        <v>manual</v>
      </c>
      <c r="W1495" s="5">
        <f t="shared" si="447"/>
        <v>824.30820000000006</v>
      </c>
      <c r="Y1495" t="b">
        <f t="shared" si="448"/>
        <v>1</v>
      </c>
      <c r="Z1495" t="b">
        <f t="shared" si="449"/>
        <v>0</v>
      </c>
      <c r="AB1495" t="str">
        <f t="shared" si="450"/>
        <v/>
      </c>
      <c r="AE1495" t="b">
        <v>0</v>
      </c>
    </row>
    <row r="1496" spans="1:31" x14ac:dyDescent="0.2">
      <c r="A1496" t="str">
        <f t="shared" si="437"/>
        <v>https://shop.officineitalianezard.it/en/ducati-monster-1100-evo-silencers/</v>
      </c>
      <c r="B1496" t="b">
        <f>COUNTIF($A$2:$A1496, A1496)&gt;1</f>
        <v>1</v>
      </c>
      <c r="C1496" t="b">
        <f t="shared" si="438"/>
        <v>1</v>
      </c>
      <c r="D1496">
        <f>VLOOKUP(A1496,variant_counts!A:B, 2, FALSE)</f>
        <v>3</v>
      </c>
      <c r="E1496" t="str">
        <f t="shared" si="451"/>
        <v>zard-exhaust-silencers-ducati-monster-1100-evo-overlapped-version-zd118csr</v>
      </c>
      <c r="F1496" t="str">
        <f t="shared" si="439"/>
        <v>ZARD EXHAUST SILENCERS DUCATI MONSTER 1100 EVO OVERLAPPED VERSION ZD118CSR</v>
      </c>
      <c r="G1496" t="str">
        <f t="shared" si="440"/>
        <v/>
      </c>
      <c r="H1496" t="str">
        <f t="shared" si="452"/>
        <v/>
      </c>
      <c r="I1496" t="str">
        <f t="shared" si="453"/>
        <v/>
      </c>
      <c r="J1496" t="str">
        <f t="shared" si="454"/>
        <v/>
      </c>
      <c r="K1496" t="str">
        <f t="shared" si="455"/>
        <v/>
      </c>
      <c r="L1496" t="str">
        <f t="shared" si="441"/>
        <v>Option</v>
      </c>
      <c r="M1496" t="str">
        <f t="shared" si="442"/>
        <v>STEEL-TITANIUM HOMOLOGATED</v>
      </c>
      <c r="R1496" t="str">
        <f t="shared" si="443"/>
        <v>ZD118CSR</v>
      </c>
      <c r="S1496">
        <f t="shared" si="444"/>
        <v>0</v>
      </c>
      <c r="U1496" t="str">
        <f t="shared" si="445"/>
        <v>continue</v>
      </c>
      <c r="V1496" t="str">
        <f t="shared" si="446"/>
        <v>manual</v>
      </c>
      <c r="W1496" s="5">
        <f t="shared" si="447"/>
        <v>879.17550000000006</v>
      </c>
      <c r="Y1496" t="b">
        <f t="shared" si="448"/>
        <v>1</v>
      </c>
      <c r="Z1496" t="b">
        <f t="shared" si="449"/>
        <v>0</v>
      </c>
      <c r="AB1496" t="str">
        <f t="shared" si="450"/>
        <v/>
      </c>
      <c r="AE1496" t="b">
        <v>0</v>
      </c>
    </row>
    <row r="1497" spans="1:31" x14ac:dyDescent="0.2">
      <c r="A1497" t="str">
        <f t="shared" si="437"/>
        <v>https://shop.officineitalianezard.it/en/ducati-monster-1100-evo-silencers/</v>
      </c>
      <c r="B1497" t="b">
        <f>COUNTIF($A$2:$A1497, A1497)&gt;1</f>
        <v>1</v>
      </c>
      <c r="C1497" t="b">
        <f t="shared" si="438"/>
        <v>1</v>
      </c>
      <c r="D1497">
        <f>VLOOKUP(A1497,variant_counts!A:B, 2, FALSE)</f>
        <v>3</v>
      </c>
      <c r="E1497" t="str">
        <f t="shared" si="451"/>
        <v>zard-exhaust-silencers-ducati-monster-1100-evo-overlapped-version-zd118csr</v>
      </c>
      <c r="F1497" t="str">
        <f t="shared" si="439"/>
        <v>ZARD EXHAUST SILENCERS DUCATI MONSTER 1100 EVO OVERLAPPED VERSION ZD118CSR</v>
      </c>
      <c r="G1497" t="str">
        <f t="shared" si="440"/>
        <v/>
      </c>
      <c r="H1497" t="str">
        <f t="shared" si="452"/>
        <v/>
      </c>
      <c r="I1497" t="str">
        <f t="shared" si="453"/>
        <v/>
      </c>
      <c r="J1497" t="str">
        <f t="shared" si="454"/>
        <v/>
      </c>
      <c r="K1497" t="str">
        <f t="shared" si="455"/>
        <v/>
      </c>
      <c r="L1497" t="str">
        <f t="shared" si="441"/>
        <v>Option</v>
      </c>
      <c r="M1497" t="str">
        <f t="shared" si="442"/>
        <v>STEEL-CARBON HOMOLOGATED</v>
      </c>
      <c r="R1497" t="str">
        <f t="shared" si="443"/>
        <v>ZD118CSR</v>
      </c>
      <c r="S1497">
        <f t="shared" si="444"/>
        <v>0</v>
      </c>
      <c r="U1497" t="str">
        <f t="shared" si="445"/>
        <v>continue</v>
      </c>
      <c r="V1497" t="str">
        <f t="shared" si="446"/>
        <v>manual</v>
      </c>
      <c r="W1497" s="5">
        <f t="shared" si="447"/>
        <v>879.17550000000006</v>
      </c>
      <c r="Y1497" t="b">
        <f t="shared" si="448"/>
        <v>1</v>
      </c>
      <c r="Z1497" t="b">
        <f t="shared" si="449"/>
        <v>0</v>
      </c>
      <c r="AB1497" t="str">
        <f t="shared" si="450"/>
        <v/>
      </c>
      <c r="AE1497" t="b">
        <v>0</v>
      </c>
    </row>
    <row r="1498" spans="1:31" x14ac:dyDescent="0.2">
      <c r="A1498" t="str">
        <f t="shared" si="437"/>
        <v>https://shop.officineitalianezard.it/en/ducati-monster-821-exhaust-by-zard/</v>
      </c>
      <c r="B1498" t="b">
        <f>COUNTIF($A$2:$A1498, A1498)&gt;1</f>
        <v>0</v>
      </c>
      <c r="C1498" t="b">
        <f t="shared" si="438"/>
        <v>0</v>
      </c>
      <c r="D1498">
        <f>VLOOKUP(A1498,variant_counts!A:B, 2, FALSE)</f>
        <v>0</v>
      </c>
      <c r="E1498" t="str">
        <f t="shared" si="451"/>
        <v>zard-exhaust-silencer-ducati-monster-821-201517-steel-version-zd119ssr</v>
      </c>
      <c r="F1498" t="str">
        <f t="shared" si="439"/>
        <v>ZARD EXHAUST SILENCER DUCATI MONSTER 821 2015/17 STEEL VERSION ZD119SSR</v>
      </c>
      <c r="G1498" t="str">
        <f t="shared" si="440"/>
        <v>&lt;p&gt;CARBON RACING SILENCER WITH REMOVABLE DB KILLER.&lt;/p&gt;
&lt;p&gt;CARBON END CAP.&lt;/p&gt;
&lt;p&gt;CARBON HEAT SHIELDS.&lt;/p&gt;
&lt;p&gt;ORIGINAL SILENCER WEIGHT: 5,3KG&lt;br&gt;ZARD SILENCER WEIGHT: 2KG&lt;/p&gt;
&lt;p&gt;HARD INCREASE, COMPARED TO THE ORIGINAL EXHAUST SYSTEM, IN TERMS OF TORQUE AND POWER AT ANY RANGE.&lt;/p&gt;
&lt;p&gt;ASTONISHING SOUND.&lt;/p&gt;</v>
      </c>
      <c r="H1498" t="str">
        <f t="shared" si="452"/>
        <v>ZARD</v>
      </c>
      <c r="I1498" t="str">
        <f t="shared" si="453"/>
        <v>Exhaust Pipe</v>
      </c>
      <c r="J1498" t="str">
        <f t="shared" si="454"/>
        <v>Test</v>
      </c>
      <c r="K1498" t="b">
        <f t="shared" si="455"/>
        <v>0</v>
      </c>
      <c r="L1498" t="str">
        <f t="shared" si="441"/>
        <v>Title</v>
      </c>
      <c r="M1498" t="str">
        <f t="shared" si="442"/>
        <v>Default Title</v>
      </c>
      <c r="R1498" t="str">
        <f t="shared" si="443"/>
        <v>ZD119SSR</v>
      </c>
      <c r="S1498">
        <f t="shared" si="444"/>
        <v>0</v>
      </c>
      <c r="U1498" t="str">
        <f t="shared" si="445"/>
        <v>continue</v>
      </c>
      <c r="V1498" t="str">
        <f t="shared" si="446"/>
        <v>manual</v>
      </c>
      <c r="W1498" s="5">
        <f t="shared" si="447"/>
        <v>692.38470000000007</v>
      </c>
      <c r="Y1498" t="b">
        <f t="shared" si="448"/>
        <v>1</v>
      </c>
      <c r="Z1498" t="b">
        <f t="shared" si="449"/>
        <v>0</v>
      </c>
      <c r="AB1498" t="str">
        <f t="shared" si="450"/>
        <v>https://shop.officineitalianezard.it/contents/imgs/products/1_1309-1.jpg</v>
      </c>
      <c r="AE1498" t="b">
        <v>0</v>
      </c>
    </row>
    <row r="1499" spans="1:31" x14ac:dyDescent="0.2">
      <c r="A1499" t="str">
        <f t="shared" si="437"/>
        <v>https://shop.officineitalianezard.it/en/ducati-monster-821-exhaust-by-zard/</v>
      </c>
      <c r="B1499" t="b">
        <f>COUNTIF($A$2:$A1499, A1499)&gt;1</f>
        <v>1</v>
      </c>
      <c r="C1499" t="b">
        <f t="shared" si="438"/>
        <v>0</v>
      </c>
      <c r="D1499">
        <f>VLOOKUP(A1499,variant_counts!A:B, 2, FALSE)</f>
        <v>0</v>
      </c>
      <c r="E1499" t="str">
        <f t="shared" si="451"/>
        <v>zard-exhaust-silencer-ducati-monster-821-201517-steel-version-zd119ssr</v>
      </c>
      <c r="F1499" t="str">
        <f t="shared" si="439"/>
        <v>ZARD EXHAUST SILENCER DUCATI MONSTER 821 2015/17 STEEL VERSION ZD119SSR</v>
      </c>
      <c r="G1499" t="str">
        <f t="shared" si="440"/>
        <v/>
      </c>
      <c r="H1499" t="str">
        <f t="shared" si="452"/>
        <v/>
      </c>
      <c r="I1499" t="str">
        <f t="shared" si="453"/>
        <v/>
      </c>
      <c r="J1499" t="str">
        <f t="shared" si="454"/>
        <v/>
      </c>
      <c r="K1499" t="str">
        <f t="shared" si="455"/>
        <v/>
      </c>
      <c r="L1499" t="str">
        <f t="shared" si="441"/>
        <v/>
      </c>
      <c r="M1499" t="str">
        <f t="shared" si="442"/>
        <v/>
      </c>
      <c r="R1499" t="str">
        <f t="shared" si="443"/>
        <v/>
      </c>
      <c r="S1499" t="str">
        <f t="shared" si="444"/>
        <v/>
      </c>
      <c r="U1499" t="str">
        <f t="shared" si="445"/>
        <v/>
      </c>
      <c r="V1499" t="str">
        <f t="shared" si="446"/>
        <v/>
      </c>
      <c r="W1499" s="5" t="str">
        <f t="shared" si="447"/>
        <v/>
      </c>
      <c r="Y1499" t="str">
        <f t="shared" si="448"/>
        <v/>
      </c>
      <c r="Z1499" t="str">
        <f t="shared" si="449"/>
        <v/>
      </c>
      <c r="AB1499" t="str">
        <f t="shared" si="450"/>
        <v>https://shop.officineitalianezard.it/contents/imgs/products/1_1310-2.jpg</v>
      </c>
      <c r="AE1499" t="b">
        <v>0</v>
      </c>
    </row>
    <row r="1500" spans="1:31" x14ac:dyDescent="0.2">
      <c r="A1500" t="str">
        <f t="shared" si="437"/>
        <v>https://shop.officineitalianezard.it/en/ducati-monster-821-exhaust-by-zard/</v>
      </c>
      <c r="B1500" t="b">
        <f>COUNTIF($A$2:$A1500, A1500)&gt;1</f>
        <v>1</v>
      </c>
      <c r="C1500" t="b">
        <f t="shared" si="438"/>
        <v>0</v>
      </c>
      <c r="D1500">
        <f>VLOOKUP(A1500,variant_counts!A:B, 2, FALSE)</f>
        <v>0</v>
      </c>
      <c r="E1500" t="str">
        <f t="shared" si="451"/>
        <v>zard-exhaust-silencer-ducati-monster-821-201517-steel-version-zd119ssr</v>
      </c>
      <c r="F1500" t="str">
        <f t="shared" si="439"/>
        <v>ZARD EXHAUST SILENCER DUCATI MONSTER 821 2015/17 STEEL VERSION ZD119SSR</v>
      </c>
      <c r="G1500" t="str">
        <f t="shared" si="440"/>
        <v/>
      </c>
      <c r="H1500" t="str">
        <f t="shared" si="452"/>
        <v/>
      </c>
      <c r="I1500" t="str">
        <f t="shared" si="453"/>
        <v/>
      </c>
      <c r="J1500" t="str">
        <f t="shared" si="454"/>
        <v/>
      </c>
      <c r="K1500" t="str">
        <f t="shared" si="455"/>
        <v/>
      </c>
      <c r="L1500" t="str">
        <f t="shared" si="441"/>
        <v/>
      </c>
      <c r="M1500" t="str">
        <f t="shared" si="442"/>
        <v/>
      </c>
      <c r="R1500" t="str">
        <f t="shared" si="443"/>
        <v/>
      </c>
      <c r="S1500" t="str">
        <f t="shared" si="444"/>
        <v/>
      </c>
      <c r="U1500" t="str">
        <f t="shared" si="445"/>
        <v/>
      </c>
      <c r="V1500" t="str">
        <f t="shared" si="446"/>
        <v/>
      </c>
      <c r="W1500" s="5" t="str">
        <f t="shared" si="447"/>
        <v/>
      </c>
      <c r="Y1500" t="str">
        <f t="shared" si="448"/>
        <v/>
      </c>
      <c r="Z1500" t="str">
        <f t="shared" si="449"/>
        <v/>
      </c>
      <c r="AB1500" t="str">
        <f t="shared" si="450"/>
        <v>https://shop.officineitalianezard.it/contents/imgs/products/1_1311-4.jpg</v>
      </c>
      <c r="AE1500" t="b">
        <v>0</v>
      </c>
    </row>
    <row r="1501" spans="1:31" x14ac:dyDescent="0.2">
      <c r="A1501" t="str">
        <f t="shared" si="437"/>
        <v>https://shop.officineitalianezard.it/en/ducati-monster-797-exhaust-zard-2/</v>
      </c>
      <c r="B1501" t="b">
        <f>COUNTIF($A$2:$A1501, A1501)&gt;1</f>
        <v>0</v>
      </c>
      <c r="C1501" t="b">
        <f t="shared" si="438"/>
        <v>0</v>
      </c>
      <c r="D1501">
        <f>VLOOKUP(A1501,variant_counts!A:B, 2, FALSE)</f>
        <v>2</v>
      </c>
      <c r="E1501" t="str">
        <f t="shared" si="451"/>
        <v>zard-exhaust-21-full-kit-ducati-monster-797-201719-conical-version-zd789skr</v>
      </c>
      <c r="F1501" t="str">
        <f t="shared" si="439"/>
        <v>ZARD EXHAUST 2&gt;1 FULL KIT DUCATI MONSTER 797 2017/19 CONICAL VERSION ZD789SKR</v>
      </c>
      <c r="G1501" t="str">
        <f t="shared" si="440"/>
        <v>&lt;div class="page-product-descr product-font-size text-font"&gt;
&lt;p&gt;&lt;strong&gt;AVAILABLE ON DEMAND ONLY. DELIVERY 4 WORKING WEEKS FROM ORDER.&lt;/strong&gt;&lt;/p&gt;
&lt;p&gt;2&amp;gt;1 STEEL&amp;nbsp;RACING FULL KIT&amp;nbsp;&lt;/p&gt;
&lt;p&gt;ORIGINAL FULL KIT WEIGHT: 8.5 KG&lt;br&gt;ZARD FULL KIT WEIGHT: 1.4 KG&lt;/p&gt;
&lt;p&gt;&lt;span&gt;A VERY SPECIAL EXHAUST TOTALLY HANDMADE AND WELDED BY OUR BEST WELDERS.&lt;/span&gt;&lt;/p&gt;
&lt;p&gt;FITTING KIT INCLUDED.&lt;/p&gt;
&lt;p&gt;&lt;strong&gt;NOTE&lt;/strong&gt;: HEAD OUTPUT NOT INCLUDED, PLEASE USE OEM&amp;nbsp;DUCATI ONE.&lt;/p&gt;
&lt;p&gt;ALL THE PHOTOS SHOW THE FULL TITANIUM VERSION&lt;/p&gt;
&lt;p&gt;&lt;span&gt;LOUD&amp;nbsp;SOUND,&amp;nbsp;EXCLUSIVE DESIGN.&lt;/span&gt;&lt;/p&gt;
&lt;/div&gt;</v>
      </c>
      <c r="H1501" t="str">
        <f t="shared" si="452"/>
        <v>ZARD</v>
      </c>
      <c r="I1501" t="str">
        <f t="shared" si="453"/>
        <v>Exhaust Pipe</v>
      </c>
      <c r="J1501" t="str">
        <f t="shared" si="454"/>
        <v>Test</v>
      </c>
      <c r="K1501" t="b">
        <f t="shared" si="455"/>
        <v>0</v>
      </c>
      <c r="L1501" t="str">
        <f t="shared" si="441"/>
        <v/>
      </c>
      <c r="M1501" t="str">
        <f t="shared" si="442"/>
        <v/>
      </c>
      <c r="R1501" t="str">
        <f t="shared" si="443"/>
        <v/>
      </c>
      <c r="S1501" t="str">
        <f t="shared" si="444"/>
        <v/>
      </c>
      <c r="U1501" t="str">
        <f t="shared" si="445"/>
        <v/>
      </c>
      <c r="V1501" t="str">
        <f t="shared" si="446"/>
        <v/>
      </c>
      <c r="W1501" s="5" t="str">
        <f t="shared" si="447"/>
        <v/>
      </c>
      <c r="Y1501" t="str">
        <f t="shared" si="448"/>
        <v/>
      </c>
      <c r="Z1501" t="str">
        <f t="shared" si="449"/>
        <v/>
      </c>
      <c r="AB1501" t="str">
        <f t="shared" si="450"/>
        <v>https://shop.officineitalianezard.it/contents/imgs/products/1_1959-1.jpg</v>
      </c>
      <c r="AE1501" t="b">
        <v>0</v>
      </c>
    </row>
    <row r="1502" spans="1:31" x14ac:dyDescent="0.2">
      <c r="A1502" t="str">
        <f t="shared" si="437"/>
        <v>https://shop.officineitalianezard.it/en/ducati-monster-797-exhaust-zard-2/</v>
      </c>
      <c r="B1502" t="b">
        <f>COUNTIF($A$2:$A1502, A1502)&gt;1</f>
        <v>1</v>
      </c>
      <c r="C1502" t="b">
        <f t="shared" si="438"/>
        <v>0</v>
      </c>
      <c r="D1502">
        <f>VLOOKUP(A1502,variant_counts!A:B, 2, FALSE)</f>
        <v>2</v>
      </c>
      <c r="E1502" t="str">
        <f t="shared" si="451"/>
        <v>zard-exhaust-21-full-kit-ducati-monster-797-201719-conical-version-zd789skr</v>
      </c>
      <c r="F1502" t="str">
        <f t="shared" si="439"/>
        <v>ZARD EXHAUST 2&gt;1 FULL KIT DUCATI MONSTER 797 2017/19 CONICAL VERSION ZD789SKR</v>
      </c>
      <c r="G1502" t="str">
        <f t="shared" si="440"/>
        <v/>
      </c>
      <c r="H1502" t="str">
        <f t="shared" si="452"/>
        <v/>
      </c>
      <c r="I1502" t="str">
        <f t="shared" si="453"/>
        <v/>
      </c>
      <c r="J1502" t="str">
        <f t="shared" si="454"/>
        <v/>
      </c>
      <c r="K1502" t="str">
        <f t="shared" si="455"/>
        <v/>
      </c>
      <c r="L1502" t="str">
        <f t="shared" si="441"/>
        <v/>
      </c>
      <c r="M1502" t="str">
        <f t="shared" si="442"/>
        <v/>
      </c>
      <c r="R1502" t="str">
        <f t="shared" si="443"/>
        <v/>
      </c>
      <c r="S1502" t="str">
        <f t="shared" si="444"/>
        <v/>
      </c>
      <c r="U1502" t="str">
        <f t="shared" si="445"/>
        <v/>
      </c>
      <c r="V1502" t="str">
        <f t="shared" si="446"/>
        <v/>
      </c>
      <c r="W1502" s="5" t="str">
        <f t="shared" si="447"/>
        <v/>
      </c>
      <c r="Y1502" t="str">
        <f t="shared" si="448"/>
        <v/>
      </c>
      <c r="Z1502" t="str">
        <f t="shared" si="449"/>
        <v/>
      </c>
      <c r="AB1502" t="str">
        <f t="shared" si="450"/>
        <v>https://shop.officineitalianezard.it/contents/imgs/products/1_1958-2.jpg</v>
      </c>
      <c r="AE1502" t="b">
        <v>0</v>
      </c>
    </row>
    <row r="1503" spans="1:31" x14ac:dyDescent="0.2">
      <c r="A1503" t="str">
        <f t="shared" si="437"/>
        <v>https://shop.officineitalianezard.it/en/ducati-monster-797-exhaust-zard-2/</v>
      </c>
      <c r="B1503" t="b">
        <f>COUNTIF($A$2:$A1503, A1503)&gt;1</f>
        <v>1</v>
      </c>
      <c r="C1503" t="b">
        <f t="shared" si="438"/>
        <v>0</v>
      </c>
      <c r="D1503">
        <f>VLOOKUP(A1503,variant_counts!A:B, 2, FALSE)</f>
        <v>2</v>
      </c>
      <c r="E1503" t="str">
        <f t="shared" si="451"/>
        <v>zard-exhaust-21-full-kit-ducati-monster-797-201719-conical-version-zd789skr</v>
      </c>
      <c r="F1503" t="str">
        <f t="shared" si="439"/>
        <v>ZARD EXHAUST 2&gt;1 FULL KIT DUCATI MONSTER 797 2017/19 CONICAL VERSION ZD789SKR</v>
      </c>
      <c r="G1503" t="str">
        <f t="shared" si="440"/>
        <v/>
      </c>
      <c r="H1503" t="str">
        <f t="shared" si="452"/>
        <v/>
      </c>
      <c r="I1503" t="str">
        <f t="shared" si="453"/>
        <v/>
      </c>
      <c r="J1503" t="str">
        <f t="shared" si="454"/>
        <v/>
      </c>
      <c r="K1503" t="str">
        <f t="shared" si="455"/>
        <v/>
      </c>
      <c r="L1503" t="str">
        <f t="shared" si="441"/>
        <v/>
      </c>
      <c r="M1503" t="str">
        <f t="shared" si="442"/>
        <v/>
      </c>
      <c r="R1503" t="str">
        <f t="shared" si="443"/>
        <v/>
      </c>
      <c r="S1503" t="str">
        <f t="shared" si="444"/>
        <v/>
      </c>
      <c r="U1503" t="str">
        <f t="shared" si="445"/>
        <v/>
      </c>
      <c r="V1503" t="str">
        <f t="shared" si="446"/>
        <v/>
      </c>
      <c r="W1503" s="5" t="str">
        <f t="shared" si="447"/>
        <v/>
      </c>
      <c r="Y1503" t="str">
        <f t="shared" si="448"/>
        <v/>
      </c>
      <c r="Z1503" t="str">
        <f t="shared" si="449"/>
        <v/>
      </c>
      <c r="AB1503" t="str">
        <f t="shared" si="450"/>
        <v>https://shop.officineitalianezard.it/contents/imgs/products/1_1960-3.jpg</v>
      </c>
      <c r="AE1503" t="b">
        <v>0</v>
      </c>
    </row>
    <row r="1504" spans="1:31" x14ac:dyDescent="0.2">
      <c r="A1504" t="str">
        <f t="shared" si="437"/>
        <v>https://shop.officineitalianezard.it/en/ducati-monster-797-exhaust-zard-2/</v>
      </c>
      <c r="B1504" t="b">
        <f>COUNTIF($A$2:$A1504, A1504)&gt;1</f>
        <v>1</v>
      </c>
      <c r="C1504" t="b">
        <f t="shared" si="438"/>
        <v>0</v>
      </c>
      <c r="D1504">
        <f>VLOOKUP(A1504,variant_counts!A:B, 2, FALSE)</f>
        <v>2</v>
      </c>
      <c r="E1504" t="str">
        <f t="shared" si="451"/>
        <v>zard-exhaust-21-full-kit-ducati-monster-797-201719-conical-version-zd789skr</v>
      </c>
      <c r="F1504" t="str">
        <f t="shared" si="439"/>
        <v>ZARD EXHAUST 2&gt;1 FULL KIT DUCATI MONSTER 797 2017/19 CONICAL VERSION ZD789SKR</v>
      </c>
      <c r="G1504" t="str">
        <f t="shared" si="440"/>
        <v/>
      </c>
      <c r="H1504" t="str">
        <f t="shared" si="452"/>
        <v/>
      </c>
      <c r="I1504" t="str">
        <f t="shared" si="453"/>
        <v/>
      </c>
      <c r="J1504" t="str">
        <f t="shared" si="454"/>
        <v/>
      </c>
      <c r="K1504" t="str">
        <f t="shared" si="455"/>
        <v/>
      </c>
      <c r="L1504" t="str">
        <f t="shared" si="441"/>
        <v/>
      </c>
      <c r="M1504" t="str">
        <f t="shared" si="442"/>
        <v/>
      </c>
      <c r="R1504" t="str">
        <f t="shared" si="443"/>
        <v/>
      </c>
      <c r="S1504" t="str">
        <f t="shared" si="444"/>
        <v/>
      </c>
      <c r="U1504" t="str">
        <f t="shared" si="445"/>
        <v/>
      </c>
      <c r="V1504" t="str">
        <f t="shared" si="446"/>
        <v/>
      </c>
      <c r="W1504" s="5" t="str">
        <f t="shared" si="447"/>
        <v/>
      </c>
      <c r="Y1504" t="str">
        <f t="shared" si="448"/>
        <v/>
      </c>
      <c r="Z1504" t="str">
        <f t="shared" si="449"/>
        <v/>
      </c>
      <c r="AB1504" t="str">
        <f t="shared" si="450"/>
        <v>https://shop.officineitalianezard.it/contents/imgs/products/1_1962-1803-collettori%20scrambler%20ducati%201.jpg</v>
      </c>
      <c r="AE1504" t="b">
        <v>0</v>
      </c>
    </row>
    <row r="1505" spans="1:31" x14ac:dyDescent="0.2">
      <c r="A1505" t="str">
        <f t="shared" si="437"/>
        <v>https://shop.officineitalianezard.it/en/ducati-monster-797-exhaust-zard-2/</v>
      </c>
      <c r="B1505" t="b">
        <f>COUNTIF($A$2:$A1505, A1505)&gt;1</f>
        <v>1</v>
      </c>
      <c r="C1505" t="b">
        <f t="shared" si="438"/>
        <v>1</v>
      </c>
      <c r="D1505">
        <f>VLOOKUP(A1505,variant_counts!A:B, 2, FALSE)</f>
        <v>2</v>
      </c>
      <c r="E1505" t="str">
        <f t="shared" si="451"/>
        <v>zard-exhaust-21-full-kit-ducati-monster-797-201719-conical-version-zd789skr</v>
      </c>
      <c r="F1505" t="str">
        <f t="shared" si="439"/>
        <v>ZARD EXHAUST 2&gt;1 FULL KIT DUCATI MONSTER 797 2017/19 CONICAL VERSION ZD789SKR</v>
      </c>
      <c r="G1505" t="str">
        <f t="shared" si="440"/>
        <v/>
      </c>
      <c r="H1505" t="str">
        <f t="shared" si="452"/>
        <v/>
      </c>
      <c r="I1505" t="str">
        <f t="shared" si="453"/>
        <v/>
      </c>
      <c r="J1505" t="str">
        <f t="shared" si="454"/>
        <v/>
      </c>
      <c r="K1505" t="str">
        <f t="shared" si="455"/>
        <v/>
      </c>
      <c r="L1505" t="str">
        <f t="shared" si="441"/>
        <v>Option</v>
      </c>
      <c r="M1505" t="str">
        <f t="shared" si="442"/>
        <v>FULL TITANIUM</v>
      </c>
      <c r="R1505" t="str">
        <f t="shared" si="443"/>
        <v>ZD789SKR</v>
      </c>
      <c r="S1505">
        <f t="shared" si="444"/>
        <v>0</v>
      </c>
      <c r="U1505" t="str">
        <f t="shared" si="445"/>
        <v>continue</v>
      </c>
      <c r="V1505" t="str">
        <f t="shared" si="446"/>
        <v>manual</v>
      </c>
      <c r="W1505" s="5">
        <f t="shared" si="447"/>
        <v>1701.2193000000002</v>
      </c>
      <c r="Y1505" t="b">
        <f t="shared" si="448"/>
        <v>1</v>
      </c>
      <c r="Z1505" t="b">
        <f t="shared" si="449"/>
        <v>0</v>
      </c>
      <c r="AB1505" t="str">
        <f t="shared" si="450"/>
        <v/>
      </c>
      <c r="AE1505" t="b">
        <v>0</v>
      </c>
    </row>
    <row r="1506" spans="1:31" x14ac:dyDescent="0.2">
      <c r="A1506" t="str">
        <f t="shared" si="437"/>
        <v>https://shop.officineitalianezard.it/en/ducati-monster-797-exhaust-zard-2/</v>
      </c>
      <c r="B1506" t="b">
        <f>COUNTIF($A$2:$A1506, A1506)&gt;1</f>
        <v>1</v>
      </c>
      <c r="C1506" t="b">
        <f t="shared" si="438"/>
        <v>1</v>
      </c>
      <c r="D1506">
        <f>VLOOKUP(A1506,variant_counts!A:B, 2, FALSE)</f>
        <v>2</v>
      </c>
      <c r="E1506" t="str">
        <f t="shared" si="451"/>
        <v>zard-exhaust-21-full-kit-ducati-monster-797-201719-conical-version-zd789skr</v>
      </c>
      <c r="F1506" t="str">
        <f t="shared" si="439"/>
        <v>ZARD EXHAUST 2&gt;1 FULL KIT DUCATI MONSTER 797 2017/19 CONICAL VERSION ZD789SKR</v>
      </c>
      <c r="G1506" t="str">
        <f t="shared" si="440"/>
        <v/>
      </c>
      <c r="H1506" t="str">
        <f t="shared" si="452"/>
        <v/>
      </c>
      <c r="I1506" t="str">
        <f t="shared" si="453"/>
        <v/>
      </c>
      <c r="J1506" t="str">
        <f t="shared" si="454"/>
        <v/>
      </c>
      <c r="K1506" t="str">
        <f t="shared" si="455"/>
        <v/>
      </c>
      <c r="L1506" t="str">
        <f t="shared" si="441"/>
        <v>Option</v>
      </c>
      <c r="M1506" t="str">
        <f t="shared" si="442"/>
        <v>SNAKE WELDED</v>
      </c>
      <c r="R1506" t="str">
        <f t="shared" si="443"/>
        <v>ZD789SKR</v>
      </c>
      <c r="S1506">
        <f t="shared" si="444"/>
        <v>0</v>
      </c>
      <c r="U1506" t="str">
        <f t="shared" si="445"/>
        <v>continue</v>
      </c>
      <c r="V1506" t="str">
        <f t="shared" si="446"/>
        <v>manual</v>
      </c>
      <c r="W1506" s="5">
        <f t="shared" si="447"/>
        <v>1222.1876999999999</v>
      </c>
      <c r="Y1506" t="b">
        <f t="shared" si="448"/>
        <v>1</v>
      </c>
      <c r="Z1506" t="b">
        <f t="shared" si="449"/>
        <v>0</v>
      </c>
      <c r="AB1506" t="str">
        <f t="shared" si="450"/>
        <v/>
      </c>
      <c r="AE1506" t="b">
        <v>0</v>
      </c>
    </row>
    <row r="1507" spans="1:31" x14ac:dyDescent="0.2">
      <c r="A1507" t="str">
        <f t="shared" si="437"/>
        <v>https://shop.officineitalianezard.it/en/products/index/ducati-797-exhaust-zard-7810-217/</v>
      </c>
      <c r="B1507" t="b">
        <f>COUNTIF($A$2:$A1507, A1507)&gt;1</f>
        <v>0</v>
      </c>
      <c r="C1507" t="b">
        <f t="shared" si="438"/>
        <v>0</v>
      </c>
      <c r="D1507">
        <f>VLOOKUP(A1507,variant_counts!A:B, 2, FALSE)</f>
        <v>2</v>
      </c>
      <c r="E1507" t="str">
        <f t="shared" si="451"/>
        <v>zard-exhaust-silencer-ducati-monster-797-201719-low-mounted-version-zd787ssr</v>
      </c>
      <c r="F1507" t="str">
        <f t="shared" si="439"/>
        <v>ZARD EXHAUST SILENCER DUCATI MONSTER 797 2017/19 LOW MOUNTED VERSION ZD787SSR</v>
      </c>
      <c r="G1507" t="str">
        <f t="shared" si="440"/>
        <v>&lt;p&gt;STEEL RACING SILENCER WITH REMOVABLE DB KILLERS&lt;/p&gt;
&lt;p&gt;CARBON ENDCAP&lt;/p&gt;
&lt;p&gt;HARD INCREASE, COMPARED TO THE ORIGINAL EXHAUST SYSTEM, IN TERMS OF TORQUE AND POWER AT ANY RANGE.&lt;/p&gt;
&lt;p&gt;ASTONISHING SOUND.&lt;/p&gt;
&lt;p&gt;&lt;strong&gt;&lt;/strong&gt;&lt;/p&gt;</v>
      </c>
      <c r="H1507" t="str">
        <f t="shared" si="452"/>
        <v>ZARD</v>
      </c>
      <c r="I1507" t="str">
        <f t="shared" si="453"/>
        <v>Exhaust Pipe</v>
      </c>
      <c r="J1507" t="str">
        <f t="shared" si="454"/>
        <v>Test</v>
      </c>
      <c r="K1507" t="b">
        <f t="shared" si="455"/>
        <v>0</v>
      </c>
      <c r="L1507" t="str">
        <f t="shared" si="441"/>
        <v/>
      </c>
      <c r="M1507" t="str">
        <f t="shared" si="442"/>
        <v/>
      </c>
      <c r="R1507" t="str">
        <f t="shared" si="443"/>
        <v/>
      </c>
      <c r="S1507" t="str">
        <f t="shared" si="444"/>
        <v/>
      </c>
      <c r="U1507" t="str">
        <f t="shared" si="445"/>
        <v/>
      </c>
      <c r="V1507" t="str">
        <f t="shared" si="446"/>
        <v/>
      </c>
      <c r="W1507" s="5" t="str">
        <f t="shared" si="447"/>
        <v/>
      </c>
      <c r="Y1507" t="str">
        <f t="shared" si="448"/>
        <v/>
      </c>
      <c r="Z1507" t="str">
        <f t="shared" si="449"/>
        <v/>
      </c>
      <c r="AB1507" t="str">
        <f t="shared" si="450"/>
        <v>https://shop.officineitalianezard.it/contents/imgs/products/1_2317-1.jpg</v>
      </c>
      <c r="AE1507" t="b">
        <v>0</v>
      </c>
    </row>
    <row r="1508" spans="1:31" x14ac:dyDescent="0.2">
      <c r="A1508" t="str">
        <f t="shared" si="437"/>
        <v>https://shop.officineitalianezard.it/en/products/index/ducati-797-exhaust-zard-7810-217/</v>
      </c>
      <c r="B1508" t="b">
        <f>COUNTIF($A$2:$A1508, A1508)&gt;1</f>
        <v>1</v>
      </c>
      <c r="C1508" t="b">
        <f t="shared" si="438"/>
        <v>0</v>
      </c>
      <c r="D1508">
        <f>VLOOKUP(A1508,variant_counts!A:B, 2, FALSE)</f>
        <v>2</v>
      </c>
      <c r="E1508" t="str">
        <f t="shared" si="451"/>
        <v>zard-exhaust-silencer-ducati-monster-797-201719-low-mounted-version-zd787ssr</v>
      </c>
      <c r="F1508" t="str">
        <f t="shared" si="439"/>
        <v>ZARD EXHAUST SILENCER DUCATI MONSTER 797 2017/19 LOW MOUNTED VERSION ZD787SSR</v>
      </c>
      <c r="G1508" t="str">
        <f t="shared" si="440"/>
        <v/>
      </c>
      <c r="H1508" t="str">
        <f t="shared" si="452"/>
        <v/>
      </c>
      <c r="I1508" t="str">
        <f t="shared" si="453"/>
        <v/>
      </c>
      <c r="J1508" t="str">
        <f t="shared" si="454"/>
        <v/>
      </c>
      <c r="K1508" t="str">
        <f t="shared" si="455"/>
        <v/>
      </c>
      <c r="L1508" t="str">
        <f t="shared" si="441"/>
        <v/>
      </c>
      <c r="M1508" t="str">
        <f t="shared" si="442"/>
        <v/>
      </c>
      <c r="R1508" t="str">
        <f t="shared" si="443"/>
        <v/>
      </c>
      <c r="S1508" t="str">
        <f t="shared" si="444"/>
        <v/>
      </c>
      <c r="U1508" t="str">
        <f t="shared" si="445"/>
        <v/>
      </c>
      <c r="V1508" t="str">
        <f t="shared" si="446"/>
        <v/>
      </c>
      <c r="W1508" s="5" t="str">
        <f t="shared" si="447"/>
        <v/>
      </c>
      <c r="Y1508" t="str">
        <f t="shared" si="448"/>
        <v/>
      </c>
      <c r="Z1508" t="str">
        <f t="shared" si="449"/>
        <v/>
      </c>
      <c r="AB1508" t="str">
        <f t="shared" si="450"/>
        <v>https://shop.officineitalianezard.it/contents/imgs/products/1_2316-2.jpg</v>
      </c>
      <c r="AE1508" t="b">
        <v>0</v>
      </c>
    </row>
    <row r="1509" spans="1:31" x14ac:dyDescent="0.2">
      <c r="A1509" t="str">
        <f t="shared" si="437"/>
        <v>https://shop.officineitalianezard.it/en/products/index/ducati-797-exhaust-zard-7810-217/</v>
      </c>
      <c r="B1509" t="b">
        <f>COUNTIF($A$2:$A1509, A1509)&gt;1</f>
        <v>1</v>
      </c>
      <c r="C1509" t="b">
        <f t="shared" si="438"/>
        <v>0</v>
      </c>
      <c r="D1509">
        <f>VLOOKUP(A1509,variant_counts!A:B, 2, FALSE)</f>
        <v>2</v>
      </c>
      <c r="E1509" t="str">
        <f t="shared" si="451"/>
        <v>zard-exhaust-silencer-ducati-monster-797-201719-low-mounted-version-zd787ssr</v>
      </c>
      <c r="F1509" t="str">
        <f t="shared" si="439"/>
        <v>ZARD EXHAUST SILENCER DUCATI MONSTER 797 2017/19 LOW MOUNTED VERSION ZD787SSR</v>
      </c>
      <c r="G1509" t="str">
        <f t="shared" si="440"/>
        <v/>
      </c>
      <c r="H1509" t="str">
        <f t="shared" si="452"/>
        <v/>
      </c>
      <c r="I1509" t="str">
        <f t="shared" si="453"/>
        <v/>
      </c>
      <c r="J1509" t="str">
        <f t="shared" si="454"/>
        <v/>
      </c>
      <c r="K1509" t="str">
        <f t="shared" si="455"/>
        <v/>
      </c>
      <c r="L1509" t="str">
        <f t="shared" si="441"/>
        <v/>
      </c>
      <c r="M1509" t="str">
        <f t="shared" si="442"/>
        <v/>
      </c>
      <c r="R1509" t="str">
        <f t="shared" si="443"/>
        <v/>
      </c>
      <c r="S1509" t="str">
        <f t="shared" si="444"/>
        <v/>
      </c>
      <c r="U1509" t="str">
        <f t="shared" si="445"/>
        <v/>
      </c>
      <c r="V1509" t="str">
        <f t="shared" si="446"/>
        <v/>
      </c>
      <c r="W1509" s="5" t="str">
        <f t="shared" si="447"/>
        <v/>
      </c>
      <c r="Y1509" t="str">
        <f t="shared" si="448"/>
        <v/>
      </c>
      <c r="Z1509" t="str">
        <f t="shared" si="449"/>
        <v/>
      </c>
      <c r="AB1509" t="str">
        <f t="shared" si="450"/>
        <v>https://shop.officineitalianezard.it/contents/imgs/products/1_2318-3.jpg</v>
      </c>
      <c r="AE1509" t="b">
        <v>0</v>
      </c>
    </row>
    <row r="1510" spans="1:31" x14ac:dyDescent="0.2">
      <c r="A1510" t="str">
        <f t="shared" si="437"/>
        <v>https://shop.officineitalianezard.it/en/products/index/ducati-797-exhaust-zard-7810-217/</v>
      </c>
      <c r="B1510" t="b">
        <f>COUNTIF($A$2:$A1510, A1510)&gt;1</f>
        <v>1</v>
      </c>
      <c r="C1510" t="b">
        <f t="shared" si="438"/>
        <v>0</v>
      </c>
      <c r="D1510">
        <f>VLOOKUP(A1510,variant_counts!A:B, 2, FALSE)</f>
        <v>2</v>
      </c>
      <c r="E1510" t="str">
        <f t="shared" si="451"/>
        <v>zard-exhaust-silencer-ducati-monster-797-201719-low-mounted-version-zd787ssr</v>
      </c>
      <c r="F1510" t="str">
        <f t="shared" si="439"/>
        <v>ZARD EXHAUST SILENCER DUCATI MONSTER 797 2017/19 LOW MOUNTED VERSION ZD787SSR</v>
      </c>
      <c r="G1510" t="str">
        <f t="shared" si="440"/>
        <v/>
      </c>
      <c r="H1510" t="str">
        <f t="shared" si="452"/>
        <v/>
      </c>
      <c r="I1510" t="str">
        <f t="shared" si="453"/>
        <v/>
      </c>
      <c r="J1510" t="str">
        <f t="shared" si="454"/>
        <v/>
      </c>
      <c r="K1510" t="str">
        <f t="shared" si="455"/>
        <v/>
      </c>
      <c r="L1510" t="str">
        <f t="shared" si="441"/>
        <v/>
      </c>
      <c r="M1510" t="str">
        <f t="shared" si="442"/>
        <v/>
      </c>
      <c r="R1510" t="str">
        <f t="shared" si="443"/>
        <v/>
      </c>
      <c r="S1510" t="str">
        <f t="shared" si="444"/>
        <v/>
      </c>
      <c r="U1510" t="str">
        <f t="shared" si="445"/>
        <v/>
      </c>
      <c r="V1510" t="str">
        <f t="shared" si="446"/>
        <v/>
      </c>
      <c r="W1510" s="5" t="str">
        <f t="shared" si="447"/>
        <v/>
      </c>
      <c r="Y1510" t="str">
        <f t="shared" si="448"/>
        <v/>
      </c>
      <c r="Z1510" t="str">
        <f t="shared" si="449"/>
        <v/>
      </c>
      <c r="AB1510" t="str">
        <f t="shared" si="450"/>
        <v>https://shop.officineitalianezard.it/contents/imgs/products/1_1942-ducati%20monster%20797%20scarichi%20zard%20exhaust%20monster.jpg</v>
      </c>
      <c r="AE1510" t="b">
        <v>0</v>
      </c>
    </row>
    <row r="1511" spans="1:31" x14ac:dyDescent="0.2">
      <c r="A1511" t="str">
        <f t="shared" si="437"/>
        <v>https://shop.officineitalianezard.it/en/products/index/ducati-797-exhaust-zard-7810-217/</v>
      </c>
      <c r="B1511" t="b">
        <f>COUNTIF($A$2:$A1511, A1511)&gt;1</f>
        <v>1</v>
      </c>
      <c r="C1511" t="b">
        <f t="shared" si="438"/>
        <v>1</v>
      </c>
      <c r="D1511">
        <f>VLOOKUP(A1511,variant_counts!A:B, 2, FALSE)</f>
        <v>2</v>
      </c>
      <c r="E1511" t="str">
        <f t="shared" si="451"/>
        <v>zard-exhaust-silencer-ducati-monster-797-201719-low-mounted-version-zd787ssr</v>
      </c>
      <c r="F1511" t="str">
        <f t="shared" si="439"/>
        <v>ZARD EXHAUST SILENCER DUCATI MONSTER 797 2017/19 LOW MOUNTED VERSION ZD787SSR</v>
      </c>
      <c r="G1511" t="str">
        <f t="shared" si="440"/>
        <v/>
      </c>
      <c r="H1511" t="str">
        <f t="shared" si="452"/>
        <v/>
      </c>
      <c r="I1511" t="str">
        <f t="shared" si="453"/>
        <v/>
      </c>
      <c r="J1511" t="str">
        <f t="shared" si="454"/>
        <v/>
      </c>
      <c r="K1511" t="str">
        <f t="shared" si="455"/>
        <v/>
      </c>
      <c r="L1511" t="str">
        <f t="shared" si="441"/>
        <v>Option</v>
      </c>
      <c r="M1511" t="str">
        <f t="shared" si="442"/>
        <v>EURO 4 HOMOLOGATED</v>
      </c>
      <c r="R1511" t="str">
        <f t="shared" si="443"/>
        <v>ZD787SSR</v>
      </c>
      <c r="S1511">
        <f t="shared" si="444"/>
        <v>0</v>
      </c>
      <c r="U1511" t="str">
        <f t="shared" si="445"/>
        <v>continue</v>
      </c>
      <c r="V1511" t="str">
        <f t="shared" si="446"/>
        <v>manual</v>
      </c>
      <c r="W1511" s="5">
        <f t="shared" si="447"/>
        <v>750.16020000000015</v>
      </c>
      <c r="Y1511" t="b">
        <f t="shared" si="448"/>
        <v>1</v>
      </c>
      <c r="Z1511" t="b">
        <f t="shared" si="449"/>
        <v>0</v>
      </c>
      <c r="AB1511" t="str">
        <f t="shared" si="450"/>
        <v/>
      </c>
      <c r="AE1511" t="b">
        <v>0</v>
      </c>
    </row>
    <row r="1512" spans="1:31" x14ac:dyDescent="0.2">
      <c r="A1512" t="str">
        <f t="shared" si="437"/>
        <v>https://shop.officineitalianezard.it/en/products/index/ducati-797-exhaust-zard-7810-217/</v>
      </c>
      <c r="B1512" t="b">
        <f>COUNTIF($A$2:$A1512, A1512)&gt;1</f>
        <v>1</v>
      </c>
      <c r="C1512" t="b">
        <f t="shared" si="438"/>
        <v>1</v>
      </c>
      <c r="D1512">
        <f>VLOOKUP(A1512,variant_counts!A:B, 2, FALSE)</f>
        <v>2</v>
      </c>
      <c r="E1512" t="str">
        <f t="shared" si="451"/>
        <v>zard-exhaust-silencer-ducati-monster-797-201719-low-mounted-version-zd787ssr</v>
      </c>
      <c r="F1512" t="str">
        <f t="shared" si="439"/>
        <v>ZARD EXHAUST SILENCER DUCATI MONSTER 797 2017/19 LOW MOUNTED VERSION ZD787SSR</v>
      </c>
      <c r="G1512" t="str">
        <f t="shared" si="440"/>
        <v/>
      </c>
      <c r="H1512" t="str">
        <f t="shared" si="452"/>
        <v/>
      </c>
      <c r="I1512" t="str">
        <f t="shared" si="453"/>
        <v/>
      </c>
      <c r="J1512" t="str">
        <f t="shared" si="454"/>
        <v/>
      </c>
      <c r="K1512" t="str">
        <f t="shared" si="455"/>
        <v/>
      </c>
      <c r="L1512" t="str">
        <f t="shared" si="441"/>
        <v>Option</v>
      </c>
      <c r="M1512" t="str">
        <f t="shared" si="442"/>
        <v>BLACK COATING</v>
      </c>
      <c r="R1512" t="str">
        <f t="shared" si="443"/>
        <v>ZD787SSR</v>
      </c>
      <c r="S1512">
        <f t="shared" si="444"/>
        <v>0</v>
      </c>
      <c r="U1512" t="str">
        <f t="shared" si="445"/>
        <v>continue</v>
      </c>
      <c r="V1512" t="str">
        <f t="shared" si="446"/>
        <v>manual</v>
      </c>
      <c r="W1512" s="5">
        <f t="shared" si="447"/>
        <v>741.96840000000009</v>
      </c>
      <c r="Y1512" t="b">
        <f t="shared" si="448"/>
        <v>1</v>
      </c>
      <c r="Z1512" t="b">
        <f t="shared" si="449"/>
        <v>0</v>
      </c>
      <c r="AB1512" t="str">
        <f t="shared" si="450"/>
        <v/>
      </c>
      <c r="AE1512" t="b">
        <v>0</v>
      </c>
    </row>
    <row r="1513" spans="1:31" x14ac:dyDescent="0.2">
      <c r="A1513" t="str">
        <f t="shared" si="437"/>
        <v>https://shop.officineitalianezard.it/en/ducati-monster-797-exhaust-zard/</v>
      </c>
      <c r="B1513" t="b">
        <f>COUNTIF($A$2:$A1513, A1513)&gt;1</f>
        <v>0</v>
      </c>
      <c r="C1513" t="b">
        <f t="shared" si="438"/>
        <v>0</v>
      </c>
      <c r="D1513">
        <f>VLOOKUP(A1513,variant_counts!A:B, 2, FALSE)</f>
        <v>4</v>
      </c>
      <c r="E1513" t="str">
        <f t="shared" si="451"/>
        <v>zard-exhaust-silencer-ducati-monster-797-201719-zuma-zd788ssr</v>
      </c>
      <c r="F1513" t="str">
        <f t="shared" si="439"/>
        <v>ZARD EXHAUST SILENCER DUCATI MONSTER 797 2017/19 ZUMA ZD788SSR</v>
      </c>
      <c r="G1513" t="str">
        <f t="shared" si="440"/>
        <v>&lt;div class="page-product-descr product-font-size text-font"&gt;
&lt;p&gt;STEEL SILENCER RACING WITH REMOVABLE DB KILLER&lt;/p&gt;
&lt;p&gt;ORIGINAL SILENCER WEIGHT: 6KG&lt;br&gt;ZARD SILENCER WEIGHT: 1,7KG&lt;/p&gt;
&lt;p&gt;THE INSTALLATION OF ZARD EXHAUST DOES NOT IMPLY ANY MODIFICATION TO ECU.&lt;br&gt;THE BOX INCLUDES ALL PARTS FOR THE FITMENT OF ZARD EXHAUST.&lt;/p&gt;
&lt;p&gt;&lt;span&gt;HARD INCREASE, COMPARED TO THE ORIGINAL EXHAUST SYSTEM, IN TERMS OF TORQUE AND POWER AT ANY RANGE&lt;/span&gt;&lt;/p&gt;
&lt;p&gt;&lt;span&gt;ASTONISHING SOUND,&amp;nbsp;EXCLUSIVE DESIGN.&lt;/span&gt;&lt;/p&gt;
&lt;p&gt;&lt;strong&gt;&lt;/strong&gt;&lt;/p&gt;
&lt;/div&gt;</v>
      </c>
      <c r="H1513" t="str">
        <f t="shared" si="452"/>
        <v>ZARD</v>
      </c>
      <c r="I1513" t="str">
        <f t="shared" si="453"/>
        <v>Exhaust Pipe</v>
      </c>
      <c r="J1513" t="str">
        <f t="shared" si="454"/>
        <v>Test</v>
      </c>
      <c r="K1513" t="b">
        <f t="shared" si="455"/>
        <v>0</v>
      </c>
      <c r="L1513" t="str">
        <f t="shared" si="441"/>
        <v/>
      </c>
      <c r="M1513" t="str">
        <f t="shared" si="442"/>
        <v/>
      </c>
      <c r="R1513" t="str">
        <f t="shared" si="443"/>
        <v/>
      </c>
      <c r="S1513" t="str">
        <f t="shared" si="444"/>
        <v/>
      </c>
      <c r="U1513" t="str">
        <f t="shared" si="445"/>
        <v/>
      </c>
      <c r="V1513" t="str">
        <f t="shared" si="446"/>
        <v/>
      </c>
      <c r="W1513" s="5" t="str">
        <f t="shared" si="447"/>
        <v/>
      </c>
      <c r="Y1513" t="str">
        <f t="shared" si="448"/>
        <v/>
      </c>
      <c r="Z1513" t="str">
        <f t="shared" si="449"/>
        <v/>
      </c>
      <c r="AB1513" t="str">
        <f t="shared" si="450"/>
        <v>https://shop.officineitalianezard.it/contents/imgs/products/1_1950-1.jpg</v>
      </c>
      <c r="AE1513" t="b">
        <v>0</v>
      </c>
    </row>
    <row r="1514" spans="1:31" x14ac:dyDescent="0.2">
      <c r="A1514" t="str">
        <f t="shared" si="437"/>
        <v>https://shop.officineitalianezard.it/en/ducati-monster-797-exhaust-zard/</v>
      </c>
      <c r="B1514" t="b">
        <f>COUNTIF($A$2:$A1514, A1514)&gt;1</f>
        <v>1</v>
      </c>
      <c r="C1514" t="b">
        <f t="shared" si="438"/>
        <v>0</v>
      </c>
      <c r="D1514">
        <f>VLOOKUP(A1514,variant_counts!A:B, 2, FALSE)</f>
        <v>4</v>
      </c>
      <c r="E1514" t="str">
        <f t="shared" si="451"/>
        <v>zard-exhaust-silencer-ducati-monster-797-201719-zuma-zd788ssr</v>
      </c>
      <c r="F1514" t="str">
        <f t="shared" si="439"/>
        <v>ZARD EXHAUST SILENCER DUCATI MONSTER 797 2017/19 ZUMA ZD788SSR</v>
      </c>
      <c r="G1514" t="str">
        <f t="shared" si="440"/>
        <v/>
      </c>
      <c r="H1514" t="str">
        <f t="shared" si="452"/>
        <v/>
      </c>
      <c r="I1514" t="str">
        <f t="shared" si="453"/>
        <v/>
      </c>
      <c r="J1514" t="str">
        <f t="shared" si="454"/>
        <v/>
      </c>
      <c r="K1514" t="str">
        <f t="shared" si="455"/>
        <v/>
      </c>
      <c r="L1514" t="str">
        <f t="shared" si="441"/>
        <v/>
      </c>
      <c r="M1514" t="str">
        <f t="shared" si="442"/>
        <v/>
      </c>
      <c r="R1514" t="str">
        <f t="shared" si="443"/>
        <v/>
      </c>
      <c r="S1514" t="str">
        <f t="shared" si="444"/>
        <v/>
      </c>
      <c r="U1514" t="str">
        <f t="shared" si="445"/>
        <v/>
      </c>
      <c r="V1514" t="str">
        <f t="shared" si="446"/>
        <v/>
      </c>
      <c r="W1514" s="5" t="str">
        <f t="shared" si="447"/>
        <v/>
      </c>
      <c r="Y1514" t="str">
        <f t="shared" si="448"/>
        <v/>
      </c>
      <c r="Z1514" t="str">
        <f t="shared" si="449"/>
        <v/>
      </c>
      <c r="AB1514" t="str">
        <f t="shared" si="450"/>
        <v>https://shop.officineitalianezard.it/contents/imgs/products/1_1952-2.jpg</v>
      </c>
      <c r="AE1514" t="b">
        <v>0</v>
      </c>
    </row>
    <row r="1515" spans="1:31" x14ac:dyDescent="0.2">
      <c r="A1515" t="str">
        <f t="shared" si="437"/>
        <v>https://shop.officineitalianezard.it/en/ducati-monster-797-exhaust-zard/</v>
      </c>
      <c r="B1515" t="b">
        <f>COUNTIF($A$2:$A1515, A1515)&gt;1</f>
        <v>1</v>
      </c>
      <c r="C1515" t="b">
        <f t="shared" si="438"/>
        <v>0</v>
      </c>
      <c r="D1515">
        <f>VLOOKUP(A1515,variant_counts!A:B, 2, FALSE)</f>
        <v>4</v>
      </c>
      <c r="E1515" t="str">
        <f t="shared" si="451"/>
        <v>zard-exhaust-silencer-ducati-monster-797-201719-zuma-zd788ssr</v>
      </c>
      <c r="F1515" t="str">
        <f t="shared" si="439"/>
        <v>ZARD EXHAUST SILENCER DUCATI MONSTER 797 2017/19 ZUMA ZD788SSR</v>
      </c>
      <c r="G1515" t="str">
        <f t="shared" si="440"/>
        <v/>
      </c>
      <c r="H1515" t="str">
        <f t="shared" si="452"/>
        <v/>
      </c>
      <c r="I1515" t="str">
        <f t="shared" si="453"/>
        <v/>
      </c>
      <c r="J1515" t="str">
        <f t="shared" si="454"/>
        <v/>
      </c>
      <c r="K1515" t="str">
        <f t="shared" si="455"/>
        <v/>
      </c>
      <c r="L1515" t="str">
        <f t="shared" si="441"/>
        <v/>
      </c>
      <c r="M1515" t="str">
        <f t="shared" si="442"/>
        <v/>
      </c>
      <c r="R1515" t="str">
        <f t="shared" si="443"/>
        <v/>
      </c>
      <c r="S1515" t="str">
        <f t="shared" si="444"/>
        <v/>
      </c>
      <c r="U1515" t="str">
        <f t="shared" si="445"/>
        <v/>
      </c>
      <c r="V1515" t="str">
        <f t="shared" si="446"/>
        <v/>
      </c>
      <c r="W1515" s="5" t="str">
        <f t="shared" si="447"/>
        <v/>
      </c>
      <c r="Y1515" t="str">
        <f t="shared" si="448"/>
        <v/>
      </c>
      <c r="Z1515" t="str">
        <f t="shared" si="449"/>
        <v/>
      </c>
      <c r="AB1515" t="str">
        <f t="shared" si="450"/>
        <v>https://shop.officineitalianezard.it/contents/imgs/products/1_1951-3.jpg</v>
      </c>
      <c r="AE1515" t="b">
        <v>0</v>
      </c>
    </row>
    <row r="1516" spans="1:31" x14ac:dyDescent="0.2">
      <c r="A1516" t="str">
        <f t="shared" si="437"/>
        <v>https://shop.officineitalianezard.it/en/ducati-monster-797-exhaust-zard/</v>
      </c>
      <c r="B1516" t="b">
        <f>COUNTIF($A$2:$A1516, A1516)&gt;1</f>
        <v>1</v>
      </c>
      <c r="C1516" t="b">
        <f t="shared" si="438"/>
        <v>0</v>
      </c>
      <c r="D1516">
        <f>VLOOKUP(A1516,variant_counts!A:B, 2, FALSE)</f>
        <v>4</v>
      </c>
      <c r="E1516" t="str">
        <f t="shared" si="451"/>
        <v>zard-exhaust-silencer-ducati-monster-797-201719-zuma-zd788ssr</v>
      </c>
      <c r="F1516" t="str">
        <f t="shared" si="439"/>
        <v>ZARD EXHAUST SILENCER DUCATI MONSTER 797 2017/19 ZUMA ZD788SSR</v>
      </c>
      <c r="G1516" t="str">
        <f t="shared" si="440"/>
        <v/>
      </c>
      <c r="H1516" t="str">
        <f t="shared" si="452"/>
        <v/>
      </c>
      <c r="I1516" t="str">
        <f t="shared" si="453"/>
        <v/>
      </c>
      <c r="J1516" t="str">
        <f t="shared" si="454"/>
        <v/>
      </c>
      <c r="K1516" t="str">
        <f t="shared" si="455"/>
        <v/>
      </c>
      <c r="L1516" t="str">
        <f t="shared" si="441"/>
        <v/>
      </c>
      <c r="M1516" t="str">
        <f t="shared" si="442"/>
        <v/>
      </c>
      <c r="R1516" t="str">
        <f t="shared" si="443"/>
        <v/>
      </c>
      <c r="S1516" t="str">
        <f t="shared" si="444"/>
        <v/>
      </c>
      <c r="U1516" t="str">
        <f t="shared" si="445"/>
        <v/>
      </c>
      <c r="V1516" t="str">
        <f t="shared" si="446"/>
        <v/>
      </c>
      <c r="W1516" s="5" t="str">
        <f t="shared" si="447"/>
        <v/>
      </c>
      <c r="Y1516" t="str">
        <f t="shared" si="448"/>
        <v/>
      </c>
      <c r="Z1516" t="str">
        <f t="shared" si="449"/>
        <v/>
      </c>
      <c r="AB1516" t="str">
        <f t="shared" si="450"/>
        <v>https://shop.officineitalianezard.it/contents/imgs/products/1_1953-4.jpg</v>
      </c>
      <c r="AE1516" t="b">
        <v>0</v>
      </c>
    </row>
    <row r="1517" spans="1:31" x14ac:dyDescent="0.2">
      <c r="A1517" t="str">
        <f t="shared" si="437"/>
        <v>https://shop.officineitalianezard.it/en/ducati-monster-797-exhaust-zard/</v>
      </c>
      <c r="B1517" t="b">
        <f>COUNTIF($A$2:$A1517, A1517)&gt;1</f>
        <v>1</v>
      </c>
      <c r="C1517" t="b">
        <f t="shared" si="438"/>
        <v>0</v>
      </c>
      <c r="D1517">
        <f>VLOOKUP(A1517,variant_counts!A:B, 2, FALSE)</f>
        <v>4</v>
      </c>
      <c r="E1517" t="str">
        <f t="shared" si="451"/>
        <v>zard-exhaust-silencer-ducati-monster-797-201719-zuma-zd788ssr</v>
      </c>
      <c r="F1517" t="str">
        <f t="shared" si="439"/>
        <v>ZARD EXHAUST SILENCER DUCATI MONSTER 797 2017/19 ZUMA ZD788SSR</v>
      </c>
      <c r="G1517" t="str">
        <f t="shared" si="440"/>
        <v/>
      </c>
      <c r="H1517" t="str">
        <f t="shared" si="452"/>
        <v/>
      </c>
      <c r="I1517" t="str">
        <f t="shared" si="453"/>
        <v/>
      </c>
      <c r="J1517" t="str">
        <f t="shared" si="454"/>
        <v/>
      </c>
      <c r="K1517" t="str">
        <f t="shared" si="455"/>
        <v/>
      </c>
      <c r="L1517" t="str">
        <f t="shared" si="441"/>
        <v/>
      </c>
      <c r="M1517" t="str">
        <f t="shared" si="442"/>
        <v/>
      </c>
      <c r="R1517" t="str">
        <f t="shared" si="443"/>
        <v/>
      </c>
      <c r="S1517" t="str">
        <f t="shared" si="444"/>
        <v/>
      </c>
      <c r="U1517" t="str">
        <f t="shared" si="445"/>
        <v/>
      </c>
      <c r="V1517" t="str">
        <f t="shared" si="446"/>
        <v/>
      </c>
      <c r="W1517" s="5" t="str">
        <f t="shared" si="447"/>
        <v/>
      </c>
      <c r="Y1517" t="str">
        <f t="shared" si="448"/>
        <v/>
      </c>
      <c r="Z1517" t="str">
        <f t="shared" si="449"/>
        <v/>
      </c>
      <c r="AB1517" t="str">
        <f t="shared" si="450"/>
        <v>https://shop.officineitalianezard.it/contents/imgs/products/1_1961-1298-zuma%20nero%20e%20spazzolato.jpg</v>
      </c>
      <c r="AE1517" t="b">
        <v>0</v>
      </c>
    </row>
    <row r="1518" spans="1:31" x14ac:dyDescent="0.2">
      <c r="A1518" t="str">
        <f t="shared" si="437"/>
        <v>https://shop.officineitalianezard.it/en/ducati-monster-797-exhaust-zard/</v>
      </c>
      <c r="B1518" t="b">
        <f>COUNTIF($A$2:$A1518, A1518)&gt;1</f>
        <v>1</v>
      </c>
      <c r="C1518" t="b">
        <f t="shared" si="438"/>
        <v>1</v>
      </c>
      <c r="D1518">
        <f>VLOOKUP(A1518,variant_counts!A:B, 2, FALSE)</f>
        <v>4</v>
      </c>
      <c r="E1518" t="str">
        <f t="shared" si="451"/>
        <v>zard-exhaust-silencer-ducati-monster-797-201719-zuma-zd788ssr</v>
      </c>
      <c r="F1518" t="str">
        <f t="shared" si="439"/>
        <v>ZARD EXHAUST SILENCER DUCATI MONSTER 797 2017/19 ZUMA ZD788SSR</v>
      </c>
      <c r="G1518" t="str">
        <f t="shared" si="440"/>
        <v/>
      </c>
      <c r="H1518" t="str">
        <f t="shared" si="452"/>
        <v/>
      </c>
      <c r="I1518" t="str">
        <f t="shared" si="453"/>
        <v/>
      </c>
      <c r="J1518" t="str">
        <f t="shared" si="454"/>
        <v/>
      </c>
      <c r="K1518" t="str">
        <f t="shared" si="455"/>
        <v/>
      </c>
      <c r="L1518" t="str">
        <f t="shared" si="441"/>
        <v>Option</v>
      </c>
      <c r="M1518" t="str">
        <f t="shared" si="442"/>
        <v>EURO 4 HOMOLOGATED</v>
      </c>
      <c r="R1518" t="str">
        <f t="shared" si="443"/>
        <v>ZD788SSR</v>
      </c>
      <c r="S1518">
        <f t="shared" si="444"/>
        <v>0</v>
      </c>
      <c r="U1518" t="str">
        <f t="shared" si="445"/>
        <v>continue</v>
      </c>
      <c r="V1518" t="str">
        <f t="shared" si="446"/>
        <v>manual</v>
      </c>
      <c r="W1518" s="5">
        <f t="shared" si="447"/>
        <v>731.96730000000014</v>
      </c>
      <c r="Y1518" t="b">
        <f t="shared" si="448"/>
        <v>1</v>
      </c>
      <c r="Z1518" t="b">
        <f t="shared" si="449"/>
        <v>0</v>
      </c>
      <c r="AB1518" t="str">
        <f t="shared" si="450"/>
        <v/>
      </c>
      <c r="AE1518" t="b">
        <v>0</v>
      </c>
    </row>
    <row r="1519" spans="1:31" x14ac:dyDescent="0.2">
      <c r="A1519" t="str">
        <f t="shared" si="437"/>
        <v>https://shop.officineitalianezard.it/en/ducati-monster-797-exhaust-zard/</v>
      </c>
      <c r="B1519" t="b">
        <f>COUNTIF($A$2:$A1519, A1519)&gt;1</f>
        <v>1</v>
      </c>
      <c r="C1519" t="b">
        <f t="shared" si="438"/>
        <v>1</v>
      </c>
      <c r="D1519">
        <f>VLOOKUP(A1519,variant_counts!A:B, 2, FALSE)</f>
        <v>4</v>
      </c>
      <c r="E1519" t="str">
        <f t="shared" si="451"/>
        <v>zard-exhaust-silencer-ducati-monster-797-201719-zuma-zd788ssr</v>
      </c>
      <c r="F1519" t="str">
        <f t="shared" si="439"/>
        <v>ZARD EXHAUST SILENCER DUCATI MONSTER 797 2017/19 ZUMA ZD788SSR</v>
      </c>
      <c r="G1519" t="str">
        <f t="shared" si="440"/>
        <v/>
      </c>
      <c r="H1519" t="str">
        <f t="shared" si="452"/>
        <v/>
      </c>
      <c r="I1519" t="str">
        <f t="shared" si="453"/>
        <v/>
      </c>
      <c r="J1519" t="str">
        <f t="shared" si="454"/>
        <v/>
      </c>
      <c r="K1519" t="str">
        <f t="shared" si="455"/>
        <v/>
      </c>
      <c r="L1519" t="str">
        <f t="shared" si="441"/>
        <v>Option</v>
      </c>
      <c r="M1519" t="str">
        <f t="shared" si="442"/>
        <v>STEEL LOGO PLATE AND END CAP</v>
      </c>
      <c r="R1519" t="str">
        <f t="shared" si="443"/>
        <v>ZD788SSR</v>
      </c>
      <c r="S1519">
        <f t="shared" si="444"/>
        <v>0</v>
      </c>
      <c r="U1519" t="str">
        <f t="shared" si="445"/>
        <v>continue</v>
      </c>
      <c r="V1519" t="str">
        <f t="shared" si="446"/>
        <v>manual</v>
      </c>
      <c r="W1519" s="5">
        <f t="shared" si="447"/>
        <v>663.18060000000014</v>
      </c>
      <c r="Y1519" t="b">
        <f t="shared" si="448"/>
        <v>1</v>
      </c>
      <c r="Z1519" t="b">
        <f t="shared" si="449"/>
        <v>0</v>
      </c>
      <c r="AB1519" t="str">
        <f t="shared" si="450"/>
        <v/>
      </c>
      <c r="AE1519" t="b">
        <v>0</v>
      </c>
    </row>
    <row r="1520" spans="1:31" x14ac:dyDescent="0.2">
      <c r="A1520" t="str">
        <f t="shared" si="437"/>
        <v>https://shop.officineitalianezard.it/en/ducati-monster-797-exhaust-zard/</v>
      </c>
      <c r="B1520" t="b">
        <f>COUNTIF($A$2:$A1520, A1520)&gt;1</f>
        <v>1</v>
      </c>
      <c r="C1520" t="b">
        <f t="shared" si="438"/>
        <v>1</v>
      </c>
      <c r="D1520">
        <f>VLOOKUP(A1520,variant_counts!A:B, 2, FALSE)</f>
        <v>4</v>
      </c>
      <c r="E1520" t="str">
        <f t="shared" si="451"/>
        <v>zard-exhaust-silencer-ducati-monster-797-201719-zuma-zd788ssr</v>
      </c>
      <c r="F1520" t="str">
        <f t="shared" si="439"/>
        <v>ZARD EXHAUST SILENCER DUCATI MONSTER 797 2017/19 ZUMA ZD788SSR</v>
      </c>
      <c r="G1520" t="str">
        <f t="shared" si="440"/>
        <v/>
      </c>
      <c r="H1520" t="str">
        <f t="shared" si="452"/>
        <v/>
      </c>
      <c r="I1520" t="str">
        <f t="shared" si="453"/>
        <v/>
      </c>
      <c r="J1520" t="str">
        <f t="shared" si="454"/>
        <v/>
      </c>
      <c r="K1520" t="str">
        <f t="shared" si="455"/>
        <v/>
      </c>
      <c r="L1520" t="str">
        <f t="shared" si="441"/>
        <v>Option</v>
      </c>
      <c r="M1520" t="str">
        <f t="shared" si="442"/>
        <v>BLACK END CAP AND LOGO PLATE</v>
      </c>
      <c r="R1520" t="str">
        <f t="shared" si="443"/>
        <v>ZD788SSR</v>
      </c>
      <c r="S1520">
        <f t="shared" si="444"/>
        <v>0</v>
      </c>
      <c r="U1520" t="str">
        <f t="shared" si="445"/>
        <v>continue</v>
      </c>
      <c r="V1520" t="str">
        <f t="shared" si="446"/>
        <v>manual</v>
      </c>
      <c r="W1520" s="5">
        <f t="shared" si="447"/>
        <v>706.58160000000009</v>
      </c>
      <c r="Y1520" t="b">
        <f t="shared" si="448"/>
        <v>1</v>
      </c>
      <c r="Z1520" t="b">
        <f t="shared" si="449"/>
        <v>0</v>
      </c>
      <c r="AB1520" t="str">
        <f t="shared" si="450"/>
        <v/>
      </c>
      <c r="AE1520" t="b">
        <v>0</v>
      </c>
    </row>
    <row r="1521" spans="1:31" x14ac:dyDescent="0.2">
      <c r="A1521" t="str">
        <f t="shared" si="437"/>
        <v>https://shop.officineitalianezard.it/en/ducati-monster-797-exhaust-zard/</v>
      </c>
      <c r="B1521" t="b">
        <f>COUNTIF($A$2:$A1521, A1521)&gt;1</f>
        <v>1</v>
      </c>
      <c r="C1521" t="b">
        <f t="shared" si="438"/>
        <v>1</v>
      </c>
      <c r="D1521">
        <f>VLOOKUP(A1521,variant_counts!A:B, 2, FALSE)</f>
        <v>4</v>
      </c>
      <c r="E1521" t="str">
        <f t="shared" si="451"/>
        <v>zard-exhaust-silencer-ducati-monster-797-201719-zuma-zd788ssr</v>
      </c>
      <c r="F1521" t="str">
        <f t="shared" si="439"/>
        <v>ZARD EXHAUST SILENCER DUCATI MONSTER 797 2017/19 ZUMA ZD788SSR</v>
      </c>
      <c r="G1521" t="str">
        <f t="shared" si="440"/>
        <v/>
      </c>
      <c r="H1521" t="str">
        <f t="shared" si="452"/>
        <v/>
      </c>
      <c r="I1521" t="str">
        <f t="shared" si="453"/>
        <v/>
      </c>
      <c r="J1521" t="str">
        <f t="shared" si="454"/>
        <v/>
      </c>
      <c r="K1521" t="str">
        <f t="shared" si="455"/>
        <v/>
      </c>
      <c r="L1521" t="str">
        <f t="shared" si="441"/>
        <v>Option</v>
      </c>
      <c r="M1521" t="str">
        <f t="shared" si="442"/>
        <v>BLACK COATING</v>
      </c>
      <c r="R1521" t="str">
        <f t="shared" si="443"/>
        <v>ZD788SSR</v>
      </c>
      <c r="S1521">
        <f t="shared" si="444"/>
        <v>0</v>
      </c>
      <c r="U1521" t="str">
        <f t="shared" si="445"/>
        <v>continue</v>
      </c>
      <c r="V1521" t="str">
        <f t="shared" si="446"/>
        <v>manual</v>
      </c>
      <c r="W1521" s="5">
        <f t="shared" si="447"/>
        <v>723.77550000000019</v>
      </c>
      <c r="Y1521" t="b">
        <f t="shared" si="448"/>
        <v>1</v>
      </c>
      <c r="Z1521" t="b">
        <f t="shared" si="449"/>
        <v>0</v>
      </c>
      <c r="AB1521" t="str">
        <f t="shared" si="450"/>
        <v/>
      </c>
      <c r="AE1521" t="b">
        <v>0</v>
      </c>
    </row>
    <row r="1522" spans="1:31" x14ac:dyDescent="0.2">
      <c r="A1522" t="str">
        <f t="shared" si="437"/>
        <v>https://shop.officineitalianezard.it/en/products/index/penta-mufflers-inox-aluminium-7109-61/</v>
      </c>
      <c r="B1522" t="b">
        <f>COUNTIF($A$2:$A1522, A1522)&gt;1</f>
        <v>0</v>
      </c>
      <c r="C1522" t="b">
        <f t="shared" si="438"/>
        <v>0</v>
      </c>
      <c r="D1522">
        <f>VLOOKUP(A1522,variant_counts!A:B, 2, FALSE)</f>
        <v>3</v>
      </c>
      <c r="E1522" t="str">
        <f t="shared" si="451"/>
        <v>zard-exhaust-silencers-ducati-monster-6967961100-penta-version-zd115apr</v>
      </c>
      <c r="F1522" t="str">
        <f t="shared" si="439"/>
        <v>ZARD EXHAUST SILENCERS DUCATI MONSTER 696/796/1100 PENTA VERSION ZD115APR</v>
      </c>
      <c r="G1522" t="str">
        <f t="shared" si="440"/>
        <v>&lt;p&gt;N.2 STEEL-ALUMINIUM BLACK SILENCERS RACING WITH REMOVABLE DB KILLER&lt;/p&gt;
&lt;p&gt;ORIGINAL SILENCERS WEIGHT: KG 6.6&lt;br&gt;ZARD HOMOLOGATED CARBON SILENCERS WEIGHT: KG 3.9&lt;/p&gt;
&lt;p&gt;HARD INCREASE, COMPARED TO THE ORIGINAL EXHAUST SYSTEM, IN TERMS OF TORQUE AND POWER (+2.5 HP) AT ANY RANGE.&lt;/p&gt;
&lt;p&gt;ASTONISHING SOUND.&lt;/p&gt;</v>
      </c>
      <c r="H1522" t="str">
        <f t="shared" si="452"/>
        <v>ZARD</v>
      </c>
      <c r="I1522" t="str">
        <f t="shared" si="453"/>
        <v>Exhaust Pipe</v>
      </c>
      <c r="J1522" t="str">
        <f t="shared" si="454"/>
        <v>Test</v>
      </c>
      <c r="K1522" t="b">
        <f t="shared" si="455"/>
        <v>0</v>
      </c>
      <c r="L1522" t="str">
        <f t="shared" si="441"/>
        <v/>
      </c>
      <c r="M1522" t="str">
        <f t="shared" si="442"/>
        <v/>
      </c>
      <c r="R1522" t="str">
        <f t="shared" si="443"/>
        <v/>
      </c>
      <c r="S1522" t="str">
        <f t="shared" si="444"/>
        <v/>
      </c>
      <c r="U1522" t="str">
        <f t="shared" si="445"/>
        <v/>
      </c>
      <c r="V1522" t="str">
        <f t="shared" si="446"/>
        <v/>
      </c>
      <c r="W1522" s="5" t="str">
        <f t="shared" si="447"/>
        <v/>
      </c>
      <c r="Y1522" t="str">
        <f t="shared" si="448"/>
        <v/>
      </c>
      <c r="Z1522" t="str">
        <f t="shared" si="449"/>
        <v/>
      </c>
      <c r="AB1522" t="str">
        <f t="shared" si="450"/>
        <v>https://shop.officineitalianezard.it/contents/imgs/products/1_360-monster696-penta-part.jpg</v>
      </c>
      <c r="AE1522" t="b">
        <v>0</v>
      </c>
    </row>
    <row r="1523" spans="1:31" x14ac:dyDescent="0.2">
      <c r="A1523" t="str">
        <f t="shared" si="437"/>
        <v>https://shop.officineitalianezard.it/en/products/index/penta-mufflers-inox-aluminium-7109-61/</v>
      </c>
      <c r="B1523" t="b">
        <f>COUNTIF($A$2:$A1523, A1523)&gt;1</f>
        <v>1</v>
      </c>
      <c r="C1523" t="b">
        <f t="shared" si="438"/>
        <v>0</v>
      </c>
      <c r="D1523">
        <f>VLOOKUP(A1523,variant_counts!A:B, 2, FALSE)</f>
        <v>3</v>
      </c>
      <c r="E1523" t="str">
        <f t="shared" si="451"/>
        <v>zard-exhaust-silencers-ducati-monster-6967961100-penta-version-zd115apr</v>
      </c>
      <c r="F1523" t="str">
        <f t="shared" si="439"/>
        <v>ZARD EXHAUST SILENCERS DUCATI MONSTER 696/796/1100 PENTA VERSION ZD115APR</v>
      </c>
      <c r="G1523" t="str">
        <f t="shared" si="440"/>
        <v/>
      </c>
      <c r="H1523" t="str">
        <f t="shared" si="452"/>
        <v/>
      </c>
      <c r="I1523" t="str">
        <f t="shared" si="453"/>
        <v/>
      </c>
      <c r="J1523" t="str">
        <f t="shared" si="454"/>
        <v/>
      </c>
      <c r="K1523" t="str">
        <f t="shared" si="455"/>
        <v/>
      </c>
      <c r="L1523" t="str">
        <f t="shared" si="441"/>
        <v/>
      </c>
      <c r="M1523" t="str">
        <f t="shared" si="442"/>
        <v/>
      </c>
      <c r="R1523" t="str">
        <f t="shared" si="443"/>
        <v/>
      </c>
      <c r="S1523" t="str">
        <f t="shared" si="444"/>
        <v/>
      </c>
      <c r="U1523" t="str">
        <f t="shared" si="445"/>
        <v/>
      </c>
      <c r="V1523" t="str">
        <f t="shared" si="446"/>
        <v/>
      </c>
      <c r="W1523" s="5" t="str">
        <f t="shared" si="447"/>
        <v/>
      </c>
      <c r="Y1523" t="str">
        <f t="shared" si="448"/>
        <v/>
      </c>
      <c r="Z1523" t="str">
        <f t="shared" si="449"/>
        <v/>
      </c>
      <c r="AB1523" t="str">
        <f t="shared" si="450"/>
        <v>https://shop.officineitalianezard.it/contents/imgs/products/1_361-monster696-penta.jpg</v>
      </c>
      <c r="AE1523" t="b">
        <v>0</v>
      </c>
    </row>
    <row r="1524" spans="1:31" x14ac:dyDescent="0.2">
      <c r="A1524" t="str">
        <f t="shared" si="437"/>
        <v>https://shop.officineitalianezard.it/en/products/index/penta-mufflers-inox-aluminium-7109-61/</v>
      </c>
      <c r="B1524" t="b">
        <f>COUNTIF($A$2:$A1524, A1524)&gt;1</f>
        <v>1</v>
      </c>
      <c r="C1524" t="b">
        <f t="shared" si="438"/>
        <v>0</v>
      </c>
      <c r="D1524">
        <f>VLOOKUP(A1524,variant_counts!A:B, 2, FALSE)</f>
        <v>3</v>
      </c>
      <c r="E1524" t="str">
        <f t="shared" si="451"/>
        <v>zard-exhaust-silencers-ducati-monster-6967961100-penta-version-zd115apr</v>
      </c>
      <c r="F1524" t="str">
        <f t="shared" si="439"/>
        <v>ZARD EXHAUST SILENCERS DUCATI MONSTER 696/796/1100 PENTA VERSION ZD115APR</v>
      </c>
      <c r="G1524" t="str">
        <f t="shared" si="440"/>
        <v/>
      </c>
      <c r="H1524" t="str">
        <f t="shared" si="452"/>
        <v/>
      </c>
      <c r="I1524" t="str">
        <f t="shared" si="453"/>
        <v/>
      </c>
      <c r="J1524" t="str">
        <f t="shared" si="454"/>
        <v/>
      </c>
      <c r="K1524" t="str">
        <f t="shared" si="455"/>
        <v/>
      </c>
      <c r="L1524" t="str">
        <f t="shared" si="441"/>
        <v/>
      </c>
      <c r="M1524" t="str">
        <f t="shared" si="442"/>
        <v/>
      </c>
      <c r="R1524" t="str">
        <f t="shared" si="443"/>
        <v/>
      </c>
      <c r="S1524" t="str">
        <f t="shared" si="444"/>
        <v/>
      </c>
      <c r="U1524" t="str">
        <f t="shared" si="445"/>
        <v/>
      </c>
      <c r="V1524" t="str">
        <f t="shared" si="446"/>
        <v/>
      </c>
      <c r="W1524" s="5" t="str">
        <f t="shared" si="447"/>
        <v/>
      </c>
      <c r="Y1524" t="str">
        <f t="shared" si="448"/>
        <v/>
      </c>
      <c r="Z1524" t="str">
        <f t="shared" si="449"/>
        <v/>
      </c>
      <c r="AB1524" t="str">
        <f t="shared" si="450"/>
        <v>https://shop.officineitalianezard.it/contents/imgs/products/1_362-monster1100pentasil1.jpg</v>
      </c>
      <c r="AE1524" t="b">
        <v>0</v>
      </c>
    </row>
    <row r="1525" spans="1:31" x14ac:dyDescent="0.2">
      <c r="A1525" t="str">
        <f t="shared" si="437"/>
        <v>https://shop.officineitalianezard.it/en/products/index/penta-mufflers-inox-aluminium-7109-61/</v>
      </c>
      <c r="B1525" t="b">
        <f>COUNTIF($A$2:$A1525, A1525)&gt;1</f>
        <v>1</v>
      </c>
      <c r="C1525" t="b">
        <f t="shared" si="438"/>
        <v>1</v>
      </c>
      <c r="D1525">
        <f>VLOOKUP(A1525,variant_counts!A:B, 2, FALSE)</f>
        <v>3</v>
      </c>
      <c r="E1525" t="str">
        <f t="shared" si="451"/>
        <v>zard-exhaust-silencers-ducati-monster-6967961100-penta-version-zd115apr</v>
      </c>
      <c r="F1525" t="str">
        <f t="shared" si="439"/>
        <v>ZARD EXHAUST SILENCERS DUCATI MONSTER 696/796/1100 PENTA VERSION ZD115APR</v>
      </c>
      <c r="G1525" t="str">
        <f t="shared" si="440"/>
        <v/>
      </c>
      <c r="H1525" t="str">
        <f t="shared" si="452"/>
        <v/>
      </c>
      <c r="I1525" t="str">
        <f t="shared" si="453"/>
        <v/>
      </c>
      <c r="J1525" t="str">
        <f t="shared" si="454"/>
        <v/>
      </c>
      <c r="K1525" t="str">
        <f t="shared" si="455"/>
        <v/>
      </c>
      <c r="L1525" t="str">
        <f t="shared" si="441"/>
        <v>Option</v>
      </c>
      <c r="M1525" t="str">
        <f t="shared" si="442"/>
        <v>CARBON END CAP</v>
      </c>
      <c r="R1525" t="str">
        <f t="shared" si="443"/>
        <v>ZD115APR</v>
      </c>
      <c r="S1525">
        <f t="shared" si="444"/>
        <v>0</v>
      </c>
      <c r="U1525" t="str">
        <f t="shared" si="445"/>
        <v>continue</v>
      </c>
      <c r="V1525" t="str">
        <f t="shared" si="446"/>
        <v>manual</v>
      </c>
      <c r="W1525" s="5">
        <f t="shared" si="447"/>
        <v>860.52750000000003</v>
      </c>
      <c r="Y1525" t="b">
        <f t="shared" si="448"/>
        <v>1</v>
      </c>
      <c r="Z1525" t="b">
        <f t="shared" si="449"/>
        <v>0</v>
      </c>
      <c r="AB1525" t="str">
        <f t="shared" si="450"/>
        <v/>
      </c>
      <c r="AE1525" t="b">
        <v>0</v>
      </c>
    </row>
    <row r="1526" spans="1:31" x14ac:dyDescent="0.2">
      <c r="A1526" t="str">
        <f t="shared" si="437"/>
        <v>https://shop.officineitalianezard.it/en/products/index/penta-mufflers-inox-aluminium-7109-61/</v>
      </c>
      <c r="B1526" t="b">
        <f>COUNTIF($A$2:$A1526, A1526)&gt;1</f>
        <v>1</v>
      </c>
      <c r="C1526" t="b">
        <f t="shared" si="438"/>
        <v>1</v>
      </c>
      <c r="D1526">
        <f>VLOOKUP(A1526,variant_counts!A:B, 2, FALSE)</f>
        <v>3</v>
      </c>
      <c r="E1526" t="str">
        <f t="shared" si="451"/>
        <v>zard-exhaust-silencers-ducati-monster-6967961100-penta-version-zd115apr</v>
      </c>
      <c r="F1526" t="str">
        <f t="shared" si="439"/>
        <v>ZARD EXHAUST SILENCERS DUCATI MONSTER 696/796/1100 PENTA VERSION ZD115APR</v>
      </c>
      <c r="G1526" t="str">
        <f t="shared" si="440"/>
        <v/>
      </c>
      <c r="H1526" t="str">
        <f t="shared" si="452"/>
        <v/>
      </c>
      <c r="I1526" t="str">
        <f t="shared" si="453"/>
        <v/>
      </c>
      <c r="J1526" t="str">
        <f t="shared" si="454"/>
        <v/>
      </c>
      <c r="K1526" t="str">
        <f t="shared" si="455"/>
        <v/>
      </c>
      <c r="L1526" t="str">
        <f t="shared" si="441"/>
        <v>Option</v>
      </c>
      <c r="M1526" t="str">
        <f t="shared" si="442"/>
        <v>STEEL-ALUMINIUM HOMOLOGATED</v>
      </c>
      <c r="R1526" t="str">
        <f t="shared" si="443"/>
        <v>ZD115APR</v>
      </c>
      <c r="S1526">
        <f t="shared" si="444"/>
        <v>0</v>
      </c>
      <c r="U1526" t="str">
        <f t="shared" si="445"/>
        <v>continue</v>
      </c>
      <c r="V1526" t="str">
        <f t="shared" si="446"/>
        <v>manual</v>
      </c>
      <c r="W1526" s="5">
        <f t="shared" si="447"/>
        <v>884.27040000000011</v>
      </c>
      <c r="Y1526" t="b">
        <f t="shared" si="448"/>
        <v>1</v>
      </c>
      <c r="Z1526" t="b">
        <f t="shared" si="449"/>
        <v>0</v>
      </c>
      <c r="AB1526" t="str">
        <f t="shared" si="450"/>
        <v/>
      </c>
      <c r="AE1526" t="b">
        <v>0</v>
      </c>
    </row>
    <row r="1527" spans="1:31" x14ac:dyDescent="0.2">
      <c r="A1527" t="str">
        <f t="shared" si="437"/>
        <v>https://shop.officineitalianezard.it/en/products/index/penta-mufflers-inox-aluminium-7109-61/</v>
      </c>
      <c r="B1527" t="b">
        <f>COUNTIF($A$2:$A1527, A1527)&gt;1</f>
        <v>1</v>
      </c>
      <c r="C1527" t="b">
        <f t="shared" si="438"/>
        <v>1</v>
      </c>
      <c r="D1527">
        <f>VLOOKUP(A1527,variant_counts!A:B, 2, FALSE)</f>
        <v>3</v>
      </c>
      <c r="E1527" t="str">
        <f t="shared" si="451"/>
        <v>zard-exhaust-silencers-ducati-monster-6967961100-penta-version-zd115apr</v>
      </c>
      <c r="F1527" t="str">
        <f t="shared" si="439"/>
        <v>ZARD EXHAUST SILENCERS DUCATI MONSTER 696/796/1100 PENTA VERSION ZD115APR</v>
      </c>
      <c r="G1527" t="str">
        <f t="shared" si="440"/>
        <v/>
      </c>
      <c r="H1527" t="str">
        <f t="shared" si="452"/>
        <v/>
      </c>
      <c r="I1527" t="str">
        <f t="shared" si="453"/>
        <v/>
      </c>
      <c r="J1527" t="str">
        <f t="shared" si="454"/>
        <v/>
      </c>
      <c r="K1527" t="str">
        <f t="shared" si="455"/>
        <v/>
      </c>
      <c r="L1527" t="str">
        <f t="shared" si="441"/>
        <v>Option</v>
      </c>
      <c r="M1527" t="str">
        <f t="shared" si="442"/>
        <v>STEEL-CARBON RACING</v>
      </c>
      <c r="R1527" t="str">
        <f t="shared" si="443"/>
        <v>ZD115APR</v>
      </c>
      <c r="S1527">
        <f t="shared" si="444"/>
        <v>0</v>
      </c>
      <c r="U1527" t="str">
        <f t="shared" si="445"/>
        <v>continue</v>
      </c>
      <c r="V1527" t="str">
        <f t="shared" si="446"/>
        <v>manual</v>
      </c>
      <c r="W1527" s="5">
        <f t="shared" si="447"/>
        <v>916.20510000000002</v>
      </c>
      <c r="Y1527" t="b">
        <f t="shared" si="448"/>
        <v>1</v>
      </c>
      <c r="Z1527" t="b">
        <f t="shared" si="449"/>
        <v>0</v>
      </c>
      <c r="AB1527" t="str">
        <f t="shared" si="450"/>
        <v/>
      </c>
      <c r="AE1527" t="b">
        <v>0</v>
      </c>
    </row>
    <row r="1528" spans="1:31" x14ac:dyDescent="0.2">
      <c r="A1528" t="str">
        <f t="shared" si="437"/>
        <v>https://shop.officineitalianezard.it/en/products/index/conic-mufflers-7108-61/</v>
      </c>
      <c r="B1528" t="b">
        <f>COUNTIF($A$2:$A1528, A1528)&gt;1</f>
        <v>0</v>
      </c>
      <c r="C1528" t="b">
        <f t="shared" si="438"/>
        <v>0</v>
      </c>
      <c r="D1528">
        <f>VLOOKUP(A1528,variant_counts!A:B, 2, FALSE)</f>
        <v>5</v>
      </c>
      <c r="E1528" t="str">
        <f t="shared" si="451"/>
        <v>zard-exhaust-silencers-ducati-monster-6967961100-conical-version-zd115ssr</v>
      </c>
      <c r="F1528" t="str">
        <f t="shared" si="439"/>
        <v>ZARD EXHAUST SILENCERS DUCATI MONSTER 696/796/1100 CONICAL VERSION ZD115SSR</v>
      </c>
      <c r="G1528" t="str">
        <f t="shared" si="440"/>
        <v>&lt;p&gt;N.2 STEEL SILENCERS RACING WITH REMOVABLE DB KILLER&lt;/p&gt;
&lt;p&gt;ORIGINAL SILENCERS WEIGHT: KG 6.6&lt;br&gt;ZARD SILENCERS WEIGHT: KG 4&lt;/p&gt;
&lt;p&gt;HARD INCREASE, COMPARED TO THE ORIGINAL EXHAUST SYSTEM, IN TERMS OF TORQUE AND POWER (+2.5 HP) AT ANY RANGE.&lt;/p&gt;
&lt;p&gt;ASTONISHING SOUND.&lt;/p&gt;</v>
      </c>
      <c r="H1528" t="str">
        <f t="shared" si="452"/>
        <v>ZARD</v>
      </c>
      <c r="I1528" t="str">
        <f t="shared" si="453"/>
        <v>Exhaust Pipe</v>
      </c>
      <c r="J1528" t="str">
        <f t="shared" si="454"/>
        <v>Test</v>
      </c>
      <c r="K1528" t="b">
        <f t="shared" si="455"/>
        <v>0</v>
      </c>
      <c r="L1528" t="str">
        <f t="shared" si="441"/>
        <v/>
      </c>
      <c r="M1528" t="str">
        <f t="shared" si="442"/>
        <v/>
      </c>
      <c r="R1528" t="str">
        <f t="shared" si="443"/>
        <v/>
      </c>
      <c r="S1528" t="str">
        <f t="shared" si="444"/>
        <v/>
      </c>
      <c r="U1528" t="str">
        <f t="shared" si="445"/>
        <v/>
      </c>
      <c r="V1528" t="str">
        <f t="shared" si="446"/>
        <v/>
      </c>
      <c r="W1528" s="5" t="str">
        <f t="shared" si="447"/>
        <v/>
      </c>
      <c r="Y1528" t="str">
        <f t="shared" si="448"/>
        <v/>
      </c>
      <c r="Z1528" t="str">
        <f t="shared" si="449"/>
        <v/>
      </c>
      <c r="AB1528" t="str">
        <f t="shared" si="450"/>
        <v>https://shop.officineitalianezard.it/contents/imgs/products/1_358-monster696cono2.jpg</v>
      </c>
      <c r="AE1528" t="b">
        <v>0</v>
      </c>
    </row>
    <row r="1529" spans="1:31" x14ac:dyDescent="0.2">
      <c r="A1529" t="str">
        <f t="shared" si="437"/>
        <v>https://shop.officineitalianezard.it/en/products/index/conic-mufflers-7108-61/</v>
      </c>
      <c r="B1529" t="b">
        <f>COUNTIF($A$2:$A1529, A1529)&gt;1</f>
        <v>1</v>
      </c>
      <c r="C1529" t="b">
        <f t="shared" si="438"/>
        <v>0</v>
      </c>
      <c r="D1529">
        <f>VLOOKUP(A1529,variant_counts!A:B, 2, FALSE)</f>
        <v>5</v>
      </c>
      <c r="E1529" t="str">
        <f t="shared" si="451"/>
        <v>zard-exhaust-silencers-ducati-monster-6967961100-conical-version-zd115ssr</v>
      </c>
      <c r="F1529" t="str">
        <f t="shared" si="439"/>
        <v>ZARD EXHAUST SILENCERS DUCATI MONSTER 696/796/1100 CONICAL VERSION ZD115SSR</v>
      </c>
      <c r="G1529" t="str">
        <f t="shared" si="440"/>
        <v/>
      </c>
      <c r="H1529" t="str">
        <f t="shared" si="452"/>
        <v/>
      </c>
      <c r="I1529" t="str">
        <f t="shared" si="453"/>
        <v/>
      </c>
      <c r="J1529" t="str">
        <f t="shared" si="454"/>
        <v/>
      </c>
      <c r="K1529" t="str">
        <f t="shared" si="455"/>
        <v/>
      </c>
      <c r="L1529" t="str">
        <f t="shared" si="441"/>
        <v/>
      </c>
      <c r="M1529" t="str">
        <f t="shared" si="442"/>
        <v/>
      </c>
      <c r="R1529" t="str">
        <f t="shared" si="443"/>
        <v/>
      </c>
      <c r="S1529" t="str">
        <f t="shared" si="444"/>
        <v/>
      </c>
      <c r="U1529" t="str">
        <f t="shared" si="445"/>
        <v/>
      </c>
      <c r="V1529" t="str">
        <f t="shared" si="446"/>
        <v/>
      </c>
      <c r="W1529" s="5" t="str">
        <f t="shared" si="447"/>
        <v/>
      </c>
      <c r="Y1529" t="str">
        <f t="shared" si="448"/>
        <v/>
      </c>
      <c r="Z1529" t="str">
        <f t="shared" si="449"/>
        <v/>
      </c>
      <c r="AB1529" t="str">
        <f t="shared" si="450"/>
        <v>https://shop.officineitalianezard.it/contents/imgs/products/1_356-monster696cono1.jpg</v>
      </c>
      <c r="AE1529" t="b">
        <v>0</v>
      </c>
    </row>
    <row r="1530" spans="1:31" x14ac:dyDescent="0.2">
      <c r="A1530" t="str">
        <f t="shared" si="437"/>
        <v>https://shop.officineitalianezard.it/en/products/index/conic-mufflers-7108-61/</v>
      </c>
      <c r="B1530" t="b">
        <f>COUNTIF($A$2:$A1530, A1530)&gt;1</f>
        <v>1</v>
      </c>
      <c r="C1530" t="b">
        <f t="shared" si="438"/>
        <v>0</v>
      </c>
      <c r="D1530">
        <f>VLOOKUP(A1530,variant_counts!A:B, 2, FALSE)</f>
        <v>5</v>
      </c>
      <c r="E1530" t="str">
        <f t="shared" si="451"/>
        <v>zard-exhaust-silencers-ducati-monster-6967961100-conical-version-zd115ssr</v>
      </c>
      <c r="F1530" t="str">
        <f t="shared" si="439"/>
        <v>ZARD EXHAUST SILENCERS DUCATI MONSTER 696/796/1100 CONICAL VERSION ZD115SSR</v>
      </c>
      <c r="G1530" t="str">
        <f t="shared" si="440"/>
        <v/>
      </c>
      <c r="H1530" t="str">
        <f t="shared" si="452"/>
        <v/>
      </c>
      <c r="I1530" t="str">
        <f t="shared" si="453"/>
        <v/>
      </c>
      <c r="J1530" t="str">
        <f t="shared" si="454"/>
        <v/>
      </c>
      <c r="K1530" t="str">
        <f t="shared" si="455"/>
        <v/>
      </c>
      <c r="L1530" t="str">
        <f t="shared" si="441"/>
        <v/>
      </c>
      <c r="M1530" t="str">
        <f t="shared" si="442"/>
        <v/>
      </c>
      <c r="R1530" t="str">
        <f t="shared" si="443"/>
        <v/>
      </c>
      <c r="S1530" t="str">
        <f t="shared" si="444"/>
        <v/>
      </c>
      <c r="U1530" t="str">
        <f t="shared" si="445"/>
        <v/>
      </c>
      <c r="V1530" t="str">
        <f t="shared" si="446"/>
        <v/>
      </c>
      <c r="W1530" s="5" t="str">
        <f t="shared" si="447"/>
        <v/>
      </c>
      <c r="Y1530" t="str">
        <f t="shared" si="448"/>
        <v/>
      </c>
      <c r="Z1530" t="str">
        <f t="shared" si="449"/>
        <v/>
      </c>
      <c r="AB1530" t="str">
        <f t="shared" si="450"/>
        <v>https://shop.officineitalianezard.it/contents/imgs/products/1_357-monster696cono3.jpg</v>
      </c>
      <c r="AE1530" t="b">
        <v>0</v>
      </c>
    </row>
    <row r="1531" spans="1:31" x14ac:dyDescent="0.2">
      <c r="A1531" t="str">
        <f t="shared" si="437"/>
        <v>https://shop.officineitalianezard.it/en/products/index/conic-mufflers-7108-61/</v>
      </c>
      <c r="B1531" t="b">
        <f>COUNTIF($A$2:$A1531, A1531)&gt;1</f>
        <v>1</v>
      </c>
      <c r="C1531" t="b">
        <f t="shared" si="438"/>
        <v>0</v>
      </c>
      <c r="D1531">
        <f>VLOOKUP(A1531,variant_counts!A:B, 2, FALSE)</f>
        <v>5</v>
      </c>
      <c r="E1531" t="str">
        <f t="shared" si="451"/>
        <v>zard-exhaust-silencers-ducati-monster-6967961100-conical-version-zd115ssr</v>
      </c>
      <c r="F1531" t="str">
        <f t="shared" si="439"/>
        <v>ZARD EXHAUST SILENCERS DUCATI MONSTER 696/796/1100 CONICAL VERSION ZD115SSR</v>
      </c>
      <c r="G1531" t="str">
        <f t="shared" si="440"/>
        <v/>
      </c>
      <c r="H1531" t="str">
        <f t="shared" si="452"/>
        <v/>
      </c>
      <c r="I1531" t="str">
        <f t="shared" si="453"/>
        <v/>
      </c>
      <c r="J1531" t="str">
        <f t="shared" si="454"/>
        <v/>
      </c>
      <c r="K1531" t="str">
        <f t="shared" si="455"/>
        <v/>
      </c>
      <c r="L1531" t="str">
        <f t="shared" si="441"/>
        <v/>
      </c>
      <c r="M1531" t="str">
        <f t="shared" si="442"/>
        <v/>
      </c>
      <c r="R1531" t="str">
        <f t="shared" si="443"/>
        <v/>
      </c>
      <c r="S1531" t="str">
        <f t="shared" si="444"/>
        <v/>
      </c>
      <c r="U1531" t="str">
        <f t="shared" si="445"/>
        <v/>
      </c>
      <c r="V1531" t="str">
        <f t="shared" si="446"/>
        <v/>
      </c>
      <c r="W1531" s="5" t="str">
        <f t="shared" si="447"/>
        <v/>
      </c>
      <c r="Y1531" t="str">
        <f t="shared" si="448"/>
        <v/>
      </c>
      <c r="Z1531" t="str">
        <f t="shared" si="449"/>
        <v/>
      </c>
      <c r="AB1531" t="str">
        <f t="shared" si="450"/>
        <v>https://shop.officineitalianezard.it/contents/imgs/products/1_359-monster696cono4.jpg</v>
      </c>
      <c r="AE1531" t="b">
        <v>0</v>
      </c>
    </row>
    <row r="1532" spans="1:31" x14ac:dyDescent="0.2">
      <c r="A1532" t="str">
        <f t="shared" si="437"/>
        <v>https://shop.officineitalianezard.it/en/products/index/conic-mufflers-7108-61/</v>
      </c>
      <c r="B1532" t="b">
        <f>COUNTIF($A$2:$A1532, A1532)&gt;1</f>
        <v>1</v>
      </c>
      <c r="C1532" t="b">
        <f t="shared" si="438"/>
        <v>0</v>
      </c>
      <c r="D1532">
        <f>VLOOKUP(A1532,variant_counts!A:B, 2, FALSE)</f>
        <v>5</v>
      </c>
      <c r="E1532" t="str">
        <f t="shared" si="451"/>
        <v>zard-exhaust-silencers-ducati-monster-6967961100-conical-version-zd115ssr</v>
      </c>
      <c r="F1532" t="str">
        <f t="shared" si="439"/>
        <v>ZARD EXHAUST SILENCERS DUCATI MONSTER 696/796/1100 CONICAL VERSION ZD115SSR</v>
      </c>
      <c r="G1532" t="str">
        <f t="shared" si="440"/>
        <v/>
      </c>
      <c r="H1532" t="str">
        <f t="shared" si="452"/>
        <v/>
      </c>
      <c r="I1532" t="str">
        <f t="shared" si="453"/>
        <v/>
      </c>
      <c r="J1532" t="str">
        <f t="shared" si="454"/>
        <v/>
      </c>
      <c r="K1532" t="str">
        <f t="shared" si="455"/>
        <v/>
      </c>
      <c r="L1532" t="str">
        <f t="shared" si="441"/>
        <v/>
      </c>
      <c r="M1532" t="str">
        <f t="shared" si="442"/>
        <v/>
      </c>
      <c r="R1532" t="str">
        <f t="shared" si="443"/>
        <v/>
      </c>
      <c r="S1532" t="str">
        <f t="shared" si="444"/>
        <v/>
      </c>
      <c r="U1532" t="str">
        <f t="shared" si="445"/>
        <v/>
      </c>
      <c r="V1532" t="str">
        <f t="shared" si="446"/>
        <v/>
      </c>
      <c r="W1532" s="5" t="str">
        <f t="shared" si="447"/>
        <v/>
      </c>
      <c r="Y1532" t="str">
        <f t="shared" si="448"/>
        <v/>
      </c>
      <c r="Z1532" t="str">
        <f t="shared" si="449"/>
        <v/>
      </c>
      <c r="AB1532" t="str">
        <f t="shared" si="450"/>
        <v>https://shop.officineitalianezard.it/contents/imgs/products/1_551-scarichi%20moto%20ducati%20zard.jpg</v>
      </c>
      <c r="AE1532" t="b">
        <v>0</v>
      </c>
    </row>
    <row r="1533" spans="1:31" x14ac:dyDescent="0.2">
      <c r="A1533" t="str">
        <f t="shared" si="437"/>
        <v>https://shop.officineitalianezard.it/en/products/index/conic-mufflers-7108-61/</v>
      </c>
      <c r="B1533" t="b">
        <f>COUNTIF($A$2:$A1533, A1533)&gt;1</f>
        <v>1</v>
      </c>
      <c r="C1533" t="b">
        <f t="shared" si="438"/>
        <v>1</v>
      </c>
      <c r="D1533">
        <f>VLOOKUP(A1533,variant_counts!A:B, 2, FALSE)</f>
        <v>5</v>
      </c>
      <c r="E1533" t="str">
        <f t="shared" si="451"/>
        <v>zard-exhaust-silencers-ducati-monster-6967961100-conical-version-zd115ssr</v>
      </c>
      <c r="F1533" t="str">
        <f t="shared" si="439"/>
        <v>ZARD EXHAUST SILENCERS DUCATI MONSTER 696/796/1100 CONICAL VERSION ZD115SSR</v>
      </c>
      <c r="G1533" t="str">
        <f t="shared" si="440"/>
        <v/>
      </c>
      <c r="H1533" t="str">
        <f t="shared" si="452"/>
        <v/>
      </c>
      <c r="I1533" t="str">
        <f t="shared" si="453"/>
        <v/>
      </c>
      <c r="J1533" t="str">
        <f t="shared" si="454"/>
        <v/>
      </c>
      <c r="K1533" t="str">
        <f t="shared" si="455"/>
        <v/>
      </c>
      <c r="L1533" t="str">
        <f t="shared" si="441"/>
        <v>Option</v>
      </c>
      <c r="M1533" t="str">
        <f t="shared" si="442"/>
        <v>STEEL HOMOLOGATED</v>
      </c>
      <c r="R1533" t="str">
        <f t="shared" si="443"/>
        <v>ZD115SSR</v>
      </c>
      <c r="S1533">
        <f t="shared" si="444"/>
        <v>0</v>
      </c>
      <c r="U1533" t="str">
        <f t="shared" si="445"/>
        <v>continue</v>
      </c>
      <c r="V1533" t="str">
        <f t="shared" si="446"/>
        <v>manual</v>
      </c>
      <c r="W1533" s="5">
        <f t="shared" si="447"/>
        <v>896.10300000000007</v>
      </c>
      <c r="Y1533" t="b">
        <f t="shared" si="448"/>
        <v>1</v>
      </c>
      <c r="Z1533" t="b">
        <f t="shared" si="449"/>
        <v>0</v>
      </c>
      <c r="AB1533" t="str">
        <f t="shared" si="450"/>
        <v/>
      </c>
      <c r="AE1533" t="b">
        <v>0</v>
      </c>
    </row>
    <row r="1534" spans="1:31" x14ac:dyDescent="0.2">
      <c r="A1534" t="str">
        <f t="shared" si="437"/>
        <v>https://shop.officineitalianezard.it/en/products/index/conic-mufflers-7108-61/</v>
      </c>
      <c r="B1534" t="b">
        <f>COUNTIF($A$2:$A1534, A1534)&gt;1</f>
        <v>1</v>
      </c>
      <c r="C1534" t="b">
        <f t="shared" si="438"/>
        <v>1</v>
      </c>
      <c r="D1534">
        <f>VLOOKUP(A1534,variant_counts!A:B, 2, FALSE)</f>
        <v>5</v>
      </c>
      <c r="E1534" t="str">
        <f t="shared" si="451"/>
        <v>zard-exhaust-silencers-ducati-monster-6967961100-conical-version-zd115ssr</v>
      </c>
      <c r="F1534" t="str">
        <f t="shared" si="439"/>
        <v>ZARD EXHAUST SILENCERS DUCATI MONSTER 696/796/1100 CONICAL VERSION ZD115SSR</v>
      </c>
      <c r="G1534" t="str">
        <f t="shared" si="440"/>
        <v/>
      </c>
      <c r="H1534" t="str">
        <f t="shared" si="452"/>
        <v/>
      </c>
      <c r="I1534" t="str">
        <f t="shared" si="453"/>
        <v/>
      </c>
      <c r="J1534" t="str">
        <f t="shared" si="454"/>
        <v/>
      </c>
      <c r="K1534" t="str">
        <f t="shared" si="455"/>
        <v/>
      </c>
      <c r="L1534" t="str">
        <f t="shared" si="441"/>
        <v>Option</v>
      </c>
      <c r="M1534" t="str">
        <f t="shared" si="442"/>
        <v>STEEL-TITANIUM RACING</v>
      </c>
      <c r="R1534" t="str">
        <f t="shared" si="443"/>
        <v>ZD115SSR</v>
      </c>
      <c r="S1534">
        <f t="shared" si="444"/>
        <v>0</v>
      </c>
      <c r="U1534" t="str">
        <f t="shared" si="445"/>
        <v>continue</v>
      </c>
      <c r="V1534" t="str">
        <f t="shared" si="446"/>
        <v>manual</v>
      </c>
      <c r="W1534" s="5">
        <f t="shared" si="447"/>
        <v>938.68260000000009</v>
      </c>
      <c r="Y1534" t="b">
        <f t="shared" si="448"/>
        <v>1</v>
      </c>
      <c r="Z1534" t="b">
        <f t="shared" si="449"/>
        <v>0</v>
      </c>
      <c r="AB1534" t="str">
        <f t="shared" si="450"/>
        <v/>
      </c>
      <c r="AE1534" t="b">
        <v>0</v>
      </c>
    </row>
    <row r="1535" spans="1:31" x14ac:dyDescent="0.2">
      <c r="A1535" t="str">
        <f t="shared" si="437"/>
        <v>https://shop.officineitalianezard.it/en/products/index/conic-mufflers-7108-61/</v>
      </c>
      <c r="B1535" t="b">
        <f>COUNTIF($A$2:$A1535, A1535)&gt;1</f>
        <v>1</v>
      </c>
      <c r="C1535" t="b">
        <f t="shared" si="438"/>
        <v>1</v>
      </c>
      <c r="D1535">
        <f>VLOOKUP(A1535,variant_counts!A:B, 2, FALSE)</f>
        <v>5</v>
      </c>
      <c r="E1535" t="str">
        <f t="shared" si="451"/>
        <v>zard-exhaust-silencers-ducati-monster-6967961100-conical-version-zd115ssr</v>
      </c>
      <c r="F1535" t="str">
        <f t="shared" si="439"/>
        <v>ZARD EXHAUST SILENCERS DUCATI MONSTER 696/796/1100 CONICAL VERSION ZD115SSR</v>
      </c>
      <c r="G1535" t="str">
        <f t="shared" si="440"/>
        <v/>
      </c>
      <c r="H1535" t="str">
        <f t="shared" si="452"/>
        <v/>
      </c>
      <c r="I1535" t="str">
        <f t="shared" si="453"/>
        <v/>
      </c>
      <c r="J1535" t="str">
        <f t="shared" si="454"/>
        <v/>
      </c>
      <c r="K1535" t="str">
        <f t="shared" si="455"/>
        <v/>
      </c>
      <c r="L1535" t="str">
        <f t="shared" si="441"/>
        <v>Option</v>
      </c>
      <c r="M1535" t="str">
        <f t="shared" si="442"/>
        <v>STEEL-TITANIUM HOMOLOGATED</v>
      </c>
      <c r="R1535" t="str">
        <f t="shared" si="443"/>
        <v>ZD115SSR</v>
      </c>
      <c r="S1535">
        <f t="shared" si="444"/>
        <v>0</v>
      </c>
      <c r="U1535" t="str">
        <f t="shared" si="445"/>
        <v>continue</v>
      </c>
      <c r="V1535" t="str">
        <f t="shared" si="446"/>
        <v>manual</v>
      </c>
      <c r="W1535" s="5">
        <f t="shared" si="447"/>
        <v>1046.7744</v>
      </c>
      <c r="Y1535" t="b">
        <f t="shared" si="448"/>
        <v>1</v>
      </c>
      <c r="Z1535" t="b">
        <f t="shared" si="449"/>
        <v>0</v>
      </c>
      <c r="AB1535" t="str">
        <f t="shared" si="450"/>
        <v/>
      </c>
      <c r="AE1535" t="b">
        <v>0</v>
      </c>
    </row>
    <row r="1536" spans="1:31" x14ac:dyDescent="0.2">
      <c r="A1536" t="str">
        <f t="shared" si="437"/>
        <v>https://shop.officineitalianezard.it/en/products/index/conic-mufflers-7108-61/</v>
      </c>
      <c r="B1536" t="b">
        <f>COUNTIF($A$2:$A1536, A1536)&gt;1</f>
        <v>1</v>
      </c>
      <c r="C1536" t="b">
        <f t="shared" si="438"/>
        <v>1</v>
      </c>
      <c r="D1536">
        <f>VLOOKUP(A1536,variant_counts!A:B, 2, FALSE)</f>
        <v>5</v>
      </c>
      <c r="E1536" t="str">
        <f t="shared" si="451"/>
        <v>zard-exhaust-silencers-ducati-monster-6967961100-conical-version-zd115ssr</v>
      </c>
      <c r="F1536" t="str">
        <f t="shared" si="439"/>
        <v>ZARD EXHAUST SILENCERS DUCATI MONSTER 696/796/1100 CONICAL VERSION ZD115SSR</v>
      </c>
      <c r="G1536" t="str">
        <f t="shared" si="440"/>
        <v/>
      </c>
      <c r="H1536" t="str">
        <f t="shared" si="452"/>
        <v/>
      </c>
      <c r="I1536" t="str">
        <f t="shared" si="453"/>
        <v/>
      </c>
      <c r="J1536" t="str">
        <f t="shared" si="454"/>
        <v/>
      </c>
      <c r="K1536" t="str">
        <f t="shared" si="455"/>
        <v/>
      </c>
      <c r="L1536" t="str">
        <f t="shared" si="441"/>
        <v>Option</v>
      </c>
      <c r="M1536" t="str">
        <f t="shared" si="442"/>
        <v>STEEL-CARBON RACING</v>
      </c>
      <c r="R1536" t="str">
        <f t="shared" si="443"/>
        <v>ZD115SSR</v>
      </c>
      <c r="S1536">
        <f t="shared" si="444"/>
        <v>0</v>
      </c>
      <c r="U1536" t="str">
        <f t="shared" si="445"/>
        <v>continue</v>
      </c>
      <c r="V1536" t="str">
        <f t="shared" si="446"/>
        <v>manual</v>
      </c>
      <c r="W1536" s="5">
        <f t="shared" si="447"/>
        <v>938.68260000000009</v>
      </c>
      <c r="Y1536" t="b">
        <f t="shared" si="448"/>
        <v>1</v>
      </c>
      <c r="Z1536" t="b">
        <f t="shared" si="449"/>
        <v>0</v>
      </c>
      <c r="AB1536" t="str">
        <f t="shared" si="450"/>
        <v/>
      </c>
      <c r="AE1536" t="b">
        <v>0</v>
      </c>
    </row>
    <row r="1537" spans="1:31" x14ac:dyDescent="0.2">
      <c r="A1537" t="str">
        <f t="shared" si="437"/>
        <v>https://shop.officineitalianezard.it/en/products/index/conic-mufflers-7108-61/</v>
      </c>
      <c r="B1537" t="b">
        <f>COUNTIF($A$2:$A1537, A1537)&gt;1</f>
        <v>1</v>
      </c>
      <c r="C1537" t="b">
        <f t="shared" si="438"/>
        <v>1</v>
      </c>
      <c r="D1537">
        <f>VLOOKUP(A1537,variant_counts!A:B, 2, FALSE)</f>
        <v>5</v>
      </c>
      <c r="E1537" t="str">
        <f t="shared" si="451"/>
        <v>zard-exhaust-silencers-ducati-monster-6967961100-conical-version-zd115ssr</v>
      </c>
      <c r="F1537" t="str">
        <f t="shared" si="439"/>
        <v>ZARD EXHAUST SILENCERS DUCATI MONSTER 696/796/1100 CONICAL VERSION ZD115SSR</v>
      </c>
      <c r="G1537" t="str">
        <f t="shared" si="440"/>
        <v/>
      </c>
      <c r="H1537" t="str">
        <f t="shared" si="452"/>
        <v/>
      </c>
      <c r="I1537" t="str">
        <f t="shared" si="453"/>
        <v/>
      </c>
      <c r="J1537" t="str">
        <f t="shared" si="454"/>
        <v/>
      </c>
      <c r="K1537" t="str">
        <f t="shared" si="455"/>
        <v/>
      </c>
      <c r="L1537" t="str">
        <f t="shared" si="441"/>
        <v>Option</v>
      </c>
      <c r="M1537" t="str">
        <f t="shared" si="442"/>
        <v>CARBON ENDCAP</v>
      </c>
      <c r="R1537" t="str">
        <f t="shared" si="443"/>
        <v>ZD115SSR</v>
      </c>
      <c r="S1537">
        <f t="shared" si="444"/>
        <v>0</v>
      </c>
      <c r="U1537" t="str">
        <f t="shared" si="445"/>
        <v>continue</v>
      </c>
      <c r="V1537" t="str">
        <f t="shared" si="446"/>
        <v>manual</v>
      </c>
      <c r="W1537" s="5">
        <f t="shared" si="447"/>
        <v>883.00500000000011</v>
      </c>
      <c r="Y1537" t="b">
        <f t="shared" si="448"/>
        <v>1</v>
      </c>
      <c r="Z1537" t="b">
        <f t="shared" si="449"/>
        <v>0</v>
      </c>
      <c r="AB1537" t="str">
        <f t="shared" si="450"/>
        <v/>
      </c>
      <c r="AE1537" t="b">
        <v>0</v>
      </c>
    </row>
    <row r="1538" spans="1:31" x14ac:dyDescent="0.2">
      <c r="A1538" t="str">
        <f t="shared" ref="A1538:A1601" si="456">source_product_link_href</f>
        <v>https://shop.officineitalianezard.it/en/products/index/ducati-hypermotard-exhaust-zard-7522-59/</v>
      </c>
      <c r="B1538" t="b">
        <f>COUNTIF($A$2:$A1538, A1538)&gt;1</f>
        <v>0</v>
      </c>
      <c r="C1538" t="b">
        <f t="shared" ref="C1538:C1601" si="457">NOT(ISBLANK(source_option_name))</f>
        <v>0</v>
      </c>
      <c r="D1538">
        <f>VLOOKUP(A1538,variant_counts!A:B, 2, FALSE)</f>
        <v>3</v>
      </c>
      <c r="E1538" t="str">
        <f t="shared" si="451"/>
        <v>zard-exhaust-silencer-ducati-hypermotard---sp-my-2013-penta-version-zd123ssr</v>
      </c>
      <c r="F1538" t="str">
        <f t="shared" ref="F1538:F1601" si="458">UPPER("ZARD EXHAUST " &amp; source_title &amp; " " &amp; source_brand &amp; " " &amp; source_bike &amp; " " &amp; source_product_link &amp; " " &amp; source_sku)</f>
        <v>ZARD EXHAUST SILENCER DUCATI HYPERMOTARD - SP M.Y. 2013 PENTA VERSION ZD123SSR</v>
      </c>
      <c r="G1538" t="str">
        <f t="shared" ref="G1538:G1601" si="459">IF($B1538=FALSE, source_description, "")</f>
        <v>&lt;p&gt;STEEL-CARBON SILENCER WITH REMOVABLE DB KILLER&lt;/p&gt;
&lt;p&gt;CARBON HEAT SHIELD.&lt;/p&gt;
&lt;p&gt;HARD INCREASE, COMPARED TO THE ORIGINAL EXHAUST SYSTEM, IN TERMS OF TORQUE AND POWER AT ANY RANGE.&lt;/p&gt;
&lt;p&gt;ASTONISHING SOUND.&lt;/p&gt;</v>
      </c>
      <c r="H1538" t="str">
        <f t="shared" si="452"/>
        <v>ZARD</v>
      </c>
      <c r="I1538" t="str">
        <f t="shared" si="453"/>
        <v>Exhaust Pipe</v>
      </c>
      <c r="J1538" t="str">
        <f t="shared" si="454"/>
        <v>Test</v>
      </c>
      <c r="K1538" t="b">
        <f t="shared" si="455"/>
        <v>0</v>
      </c>
      <c r="L1538" t="str">
        <f t="shared" ref="L1538:L1601" si="460">IF(AND(variant_count=0,duplicated=FALSE),"Title",IF(OR(AND(variant_count=1,duplicated=FALSE), source_option_name&lt;&gt;""), "Option", ""))</f>
        <v/>
      </c>
      <c r="M1538" t="str">
        <f t="shared" ref="M1538:M1601" si="461">IF(option1_name="Title", "Default Title", IF(AND(option1_name="Option",ISBLANK(source_option_name)),"DEFAULT",IF(ISBLANK(source_option_name), "", source_option_name)))</f>
        <v/>
      </c>
      <c r="R1538" t="str">
        <f t="shared" ref="R1538:R1601" si="462">IF(option1_name &lt;&gt; "", source_sku, "")</f>
        <v/>
      </c>
      <c r="S1538" t="str">
        <f t="shared" ref="S1538:S1601" si="463">IF(option1_name &lt;&gt; "", 0, "")</f>
        <v/>
      </c>
      <c r="U1538" t="str">
        <f t="shared" ref="U1538:U1601" si="464">IF(option1_name &lt;&gt; "", "continue", "")</f>
        <v/>
      </c>
      <c r="V1538" t="str">
        <f t="shared" ref="V1538:V1601" si="465">IF(option1_name &lt;&gt; "", "manual", "")</f>
        <v/>
      </c>
      <c r="W1538" s="5" t="str">
        <f t="shared" ref="W1538:W1601" si="466">IF(option1_name&lt;&gt;"",(source_price_original+source_option_price)*eur_usd,"")</f>
        <v/>
      </c>
      <c r="Y1538" t="str">
        <f t="shared" ref="Y1538:Y1601" si="467">IF(option1_name&lt;&gt;"",TRUE,"")</f>
        <v/>
      </c>
      <c r="Z1538" t="str">
        <f t="shared" ref="Z1538:Z1601" si="468">IF(option1_name&lt;&gt;"",FALSE,"")</f>
        <v/>
      </c>
      <c r="AB1538" t="str">
        <f t="shared" ref="AB1538:AB1601" si="469">IF(ISBLANK(source_image), "", source_image)</f>
        <v>https://shop.officineitalianezard.it/contents/imgs/products/1_906-5.jpg</v>
      </c>
      <c r="AE1538" t="b">
        <v>0</v>
      </c>
    </row>
    <row r="1539" spans="1:31" x14ac:dyDescent="0.2">
      <c r="A1539" t="str">
        <f t="shared" si="456"/>
        <v>https://shop.officineitalianezard.it/en/products/index/ducati-hypermotard-exhaust-zard-7522-59/</v>
      </c>
      <c r="B1539" t="b">
        <f>COUNTIF($A$2:$A1539, A1539)&gt;1</f>
        <v>1</v>
      </c>
      <c r="C1539" t="b">
        <f t="shared" si="457"/>
        <v>0</v>
      </c>
      <c r="D1539">
        <f>VLOOKUP(A1539,variant_counts!A:B, 2, FALSE)</f>
        <v>3</v>
      </c>
      <c r="E1539" t="str">
        <f t="shared" ref="E1539:E1602" si="470">FormatShopifyHandle(F1539)</f>
        <v>zard-exhaust-silencer-ducati-hypermotard---sp-my-2013-penta-version-zd123ssr</v>
      </c>
      <c r="F1539" t="str">
        <f t="shared" si="458"/>
        <v>ZARD EXHAUST SILENCER DUCATI HYPERMOTARD - SP M.Y. 2013 PENTA VERSION ZD123SSR</v>
      </c>
      <c r="G1539" t="str">
        <f t="shared" si="459"/>
        <v/>
      </c>
      <c r="H1539" t="str">
        <f t="shared" ref="H1539:H1602" si="471">IF($B1539=FALSE, "ZARD", "")</f>
        <v/>
      </c>
      <c r="I1539" t="str">
        <f t="shared" ref="I1539:I1602" si="472">IF($B1539=FALSE, "Exhaust Pipe", "")</f>
        <v/>
      </c>
      <c r="J1539" t="str">
        <f t="shared" ref="J1539:J1602" si="473">IF($B1539=FALSE, "Test", "")</f>
        <v/>
      </c>
      <c r="K1539" t="str">
        <f t="shared" ref="K1539:K1602" si="474">IF($B1539=FALSE, FALSE, "")</f>
        <v/>
      </c>
      <c r="L1539" t="str">
        <f t="shared" si="460"/>
        <v/>
      </c>
      <c r="M1539" t="str">
        <f t="shared" si="461"/>
        <v/>
      </c>
      <c r="R1539" t="str">
        <f t="shared" si="462"/>
        <v/>
      </c>
      <c r="S1539" t="str">
        <f t="shared" si="463"/>
        <v/>
      </c>
      <c r="U1539" t="str">
        <f t="shared" si="464"/>
        <v/>
      </c>
      <c r="V1539" t="str">
        <f t="shared" si="465"/>
        <v/>
      </c>
      <c r="W1539" s="5" t="str">
        <f t="shared" si="466"/>
        <v/>
      </c>
      <c r="Y1539" t="str">
        <f t="shared" si="467"/>
        <v/>
      </c>
      <c r="Z1539" t="str">
        <f t="shared" si="468"/>
        <v/>
      </c>
      <c r="AB1539" t="str">
        <f t="shared" si="469"/>
        <v>https://shop.officineitalianezard.it/contents/imgs/products/1_903-1.jpg</v>
      </c>
      <c r="AE1539" t="b">
        <v>0</v>
      </c>
    </row>
    <row r="1540" spans="1:31" x14ac:dyDescent="0.2">
      <c r="A1540" t="str">
        <f t="shared" si="456"/>
        <v>https://shop.officineitalianezard.it/en/products/index/ducati-hypermotard-exhaust-zard-7522-59/</v>
      </c>
      <c r="B1540" t="b">
        <f>COUNTIF($A$2:$A1540, A1540)&gt;1</f>
        <v>1</v>
      </c>
      <c r="C1540" t="b">
        <f t="shared" si="457"/>
        <v>0</v>
      </c>
      <c r="D1540">
        <f>VLOOKUP(A1540,variant_counts!A:B, 2, FALSE)</f>
        <v>3</v>
      </c>
      <c r="E1540" t="str">
        <f t="shared" si="470"/>
        <v>zard-exhaust-silencer-ducati-hypermotard---sp-my-2013-penta-version-zd123ssr</v>
      </c>
      <c r="F1540" t="str">
        <f t="shared" si="458"/>
        <v>ZARD EXHAUST SILENCER DUCATI HYPERMOTARD - SP M.Y. 2013 PENTA VERSION ZD123SSR</v>
      </c>
      <c r="G1540" t="str">
        <f t="shared" si="459"/>
        <v/>
      </c>
      <c r="H1540" t="str">
        <f t="shared" si="471"/>
        <v/>
      </c>
      <c r="I1540" t="str">
        <f t="shared" si="472"/>
        <v/>
      </c>
      <c r="J1540" t="str">
        <f t="shared" si="473"/>
        <v/>
      </c>
      <c r="K1540" t="str">
        <f t="shared" si="474"/>
        <v/>
      </c>
      <c r="L1540" t="str">
        <f t="shared" si="460"/>
        <v/>
      </c>
      <c r="M1540" t="str">
        <f t="shared" si="461"/>
        <v/>
      </c>
      <c r="R1540" t="str">
        <f t="shared" si="462"/>
        <v/>
      </c>
      <c r="S1540" t="str">
        <f t="shared" si="463"/>
        <v/>
      </c>
      <c r="U1540" t="str">
        <f t="shared" si="464"/>
        <v/>
      </c>
      <c r="V1540" t="str">
        <f t="shared" si="465"/>
        <v/>
      </c>
      <c r="W1540" s="5" t="str">
        <f t="shared" si="466"/>
        <v/>
      </c>
      <c r="Y1540" t="str">
        <f t="shared" si="467"/>
        <v/>
      </c>
      <c r="Z1540" t="str">
        <f t="shared" si="468"/>
        <v/>
      </c>
      <c r="AB1540" t="str">
        <f t="shared" si="469"/>
        <v>https://shop.officineitalianezard.it/contents/imgs/products/1_904-2.jpg</v>
      </c>
      <c r="AE1540" t="b">
        <v>0</v>
      </c>
    </row>
    <row r="1541" spans="1:31" x14ac:dyDescent="0.2">
      <c r="A1541" t="str">
        <f t="shared" si="456"/>
        <v>https://shop.officineitalianezard.it/en/products/index/ducati-hypermotard-exhaust-zard-7522-59/</v>
      </c>
      <c r="B1541" t="b">
        <f>COUNTIF($A$2:$A1541, A1541)&gt;1</f>
        <v>1</v>
      </c>
      <c r="C1541" t="b">
        <f t="shared" si="457"/>
        <v>0</v>
      </c>
      <c r="D1541">
        <f>VLOOKUP(A1541,variant_counts!A:B, 2, FALSE)</f>
        <v>3</v>
      </c>
      <c r="E1541" t="str">
        <f t="shared" si="470"/>
        <v>zard-exhaust-silencer-ducati-hypermotard---sp-my-2013-penta-version-zd123ssr</v>
      </c>
      <c r="F1541" t="str">
        <f t="shared" si="458"/>
        <v>ZARD EXHAUST SILENCER DUCATI HYPERMOTARD - SP M.Y. 2013 PENTA VERSION ZD123SSR</v>
      </c>
      <c r="G1541" t="str">
        <f t="shared" si="459"/>
        <v/>
      </c>
      <c r="H1541" t="str">
        <f t="shared" si="471"/>
        <v/>
      </c>
      <c r="I1541" t="str">
        <f t="shared" si="472"/>
        <v/>
      </c>
      <c r="J1541" t="str">
        <f t="shared" si="473"/>
        <v/>
      </c>
      <c r="K1541" t="str">
        <f t="shared" si="474"/>
        <v/>
      </c>
      <c r="L1541" t="str">
        <f t="shared" si="460"/>
        <v/>
      </c>
      <c r="M1541" t="str">
        <f t="shared" si="461"/>
        <v/>
      </c>
      <c r="R1541" t="str">
        <f t="shared" si="462"/>
        <v/>
      </c>
      <c r="S1541" t="str">
        <f t="shared" si="463"/>
        <v/>
      </c>
      <c r="U1541" t="str">
        <f t="shared" si="464"/>
        <v/>
      </c>
      <c r="V1541" t="str">
        <f t="shared" si="465"/>
        <v/>
      </c>
      <c r="W1541" s="5" t="str">
        <f t="shared" si="466"/>
        <v/>
      </c>
      <c r="Y1541" t="str">
        <f t="shared" si="467"/>
        <v/>
      </c>
      <c r="Z1541" t="str">
        <f t="shared" si="468"/>
        <v/>
      </c>
      <c r="AB1541" t="str">
        <f t="shared" si="469"/>
        <v>https://shop.officineitalianezard.it/contents/imgs/products/1_905-4.jpg</v>
      </c>
      <c r="AE1541" t="b">
        <v>0</v>
      </c>
    </row>
    <row r="1542" spans="1:31" x14ac:dyDescent="0.2">
      <c r="A1542" t="str">
        <f t="shared" si="456"/>
        <v>https://shop.officineitalianezard.it/en/products/index/ducati-hypermotard-exhaust-zard-7522-59/</v>
      </c>
      <c r="B1542" t="b">
        <f>COUNTIF($A$2:$A1542, A1542)&gt;1</f>
        <v>1</v>
      </c>
      <c r="C1542" t="b">
        <f t="shared" si="457"/>
        <v>1</v>
      </c>
      <c r="D1542">
        <f>VLOOKUP(A1542,variant_counts!A:B, 2, FALSE)</f>
        <v>3</v>
      </c>
      <c r="E1542" t="str">
        <f t="shared" si="470"/>
        <v>zard-exhaust-silencer-ducati-hypermotard---sp-my-2013-penta-version-zd123ssr</v>
      </c>
      <c r="F1542" t="str">
        <f t="shared" si="458"/>
        <v>ZARD EXHAUST SILENCER DUCATI HYPERMOTARD - SP M.Y. 2013 PENTA VERSION ZD123SSR</v>
      </c>
      <c r="G1542" t="str">
        <f t="shared" si="459"/>
        <v/>
      </c>
      <c r="H1542" t="str">
        <f t="shared" si="471"/>
        <v/>
      </c>
      <c r="I1542" t="str">
        <f t="shared" si="472"/>
        <v/>
      </c>
      <c r="J1542" t="str">
        <f t="shared" si="473"/>
        <v/>
      </c>
      <c r="K1542" t="str">
        <f t="shared" si="474"/>
        <v/>
      </c>
      <c r="L1542" t="str">
        <f t="shared" si="460"/>
        <v>Option</v>
      </c>
      <c r="M1542" t="str">
        <f t="shared" si="461"/>
        <v>EURO 3 HOMOLOGATED</v>
      </c>
      <c r="R1542" t="str">
        <f t="shared" si="462"/>
        <v>ZD123SSR</v>
      </c>
      <c r="S1542">
        <f t="shared" si="463"/>
        <v>0</v>
      </c>
      <c r="U1542" t="str">
        <f t="shared" si="464"/>
        <v>continue</v>
      </c>
      <c r="V1542" t="str">
        <f t="shared" si="465"/>
        <v>manual</v>
      </c>
      <c r="W1542" s="5">
        <f t="shared" si="466"/>
        <v>525.42960000000005</v>
      </c>
      <c r="Y1542" t="b">
        <f t="shared" si="467"/>
        <v>1</v>
      </c>
      <c r="Z1542" t="b">
        <f t="shared" si="468"/>
        <v>0</v>
      </c>
      <c r="AB1542" t="str">
        <f t="shared" si="469"/>
        <v/>
      </c>
      <c r="AE1542" t="b">
        <v>0</v>
      </c>
    </row>
    <row r="1543" spans="1:31" x14ac:dyDescent="0.2">
      <c r="A1543" t="str">
        <f t="shared" si="456"/>
        <v>https://shop.officineitalianezard.it/en/products/index/ducati-hypermotard-exhaust-zard-7522-59/</v>
      </c>
      <c r="B1543" t="b">
        <f>COUNTIF($A$2:$A1543, A1543)&gt;1</f>
        <v>1</v>
      </c>
      <c r="C1543" t="b">
        <f t="shared" si="457"/>
        <v>1</v>
      </c>
      <c r="D1543">
        <f>VLOOKUP(A1543,variant_counts!A:B, 2, FALSE)</f>
        <v>3</v>
      </c>
      <c r="E1543" t="str">
        <f t="shared" si="470"/>
        <v>zard-exhaust-silencer-ducati-hypermotard---sp-my-2013-penta-version-zd123ssr</v>
      </c>
      <c r="F1543" t="str">
        <f t="shared" si="458"/>
        <v>ZARD EXHAUST SILENCER DUCATI HYPERMOTARD - SP M.Y. 2013 PENTA VERSION ZD123SSR</v>
      </c>
      <c r="G1543" t="str">
        <f t="shared" si="459"/>
        <v/>
      </c>
      <c r="H1543" t="str">
        <f t="shared" si="471"/>
        <v/>
      </c>
      <c r="I1543" t="str">
        <f t="shared" si="472"/>
        <v/>
      </c>
      <c r="J1543" t="str">
        <f t="shared" si="473"/>
        <v/>
      </c>
      <c r="K1543" t="str">
        <f t="shared" si="474"/>
        <v/>
      </c>
      <c r="L1543" t="str">
        <f t="shared" si="460"/>
        <v>Option</v>
      </c>
      <c r="M1543" t="str">
        <f t="shared" si="461"/>
        <v>BLACK COATING</v>
      </c>
      <c r="R1543" t="str">
        <f t="shared" si="462"/>
        <v>ZD123SSR</v>
      </c>
      <c r="S1543">
        <f t="shared" si="463"/>
        <v>0</v>
      </c>
      <c r="U1543" t="str">
        <f t="shared" si="464"/>
        <v>continue</v>
      </c>
      <c r="V1543" t="str">
        <f t="shared" si="465"/>
        <v>manual</v>
      </c>
      <c r="W1543" s="5">
        <f t="shared" si="466"/>
        <v>590.94180000000006</v>
      </c>
      <c r="Y1543" t="b">
        <f t="shared" si="467"/>
        <v>1</v>
      </c>
      <c r="Z1543" t="b">
        <f t="shared" si="468"/>
        <v>0</v>
      </c>
      <c r="AB1543" t="str">
        <f t="shared" si="469"/>
        <v/>
      </c>
      <c r="AE1543" t="b">
        <v>0</v>
      </c>
    </row>
    <row r="1544" spans="1:31" x14ac:dyDescent="0.2">
      <c r="A1544" t="str">
        <f t="shared" si="456"/>
        <v>https://shop.officineitalianezard.it/en/products/index/ducati-hypermotard-exhaust-zard-7522-59/</v>
      </c>
      <c r="B1544" t="b">
        <f>COUNTIF($A$2:$A1544, A1544)&gt;1</f>
        <v>1</v>
      </c>
      <c r="C1544" t="b">
        <f t="shared" si="457"/>
        <v>1</v>
      </c>
      <c r="D1544">
        <f>VLOOKUP(A1544,variant_counts!A:B, 2, FALSE)</f>
        <v>3</v>
      </c>
      <c r="E1544" t="str">
        <f t="shared" si="470"/>
        <v>zard-exhaust-silencer-ducati-hypermotard---sp-my-2013-penta-version-zd123ssr</v>
      </c>
      <c r="F1544" t="str">
        <f t="shared" si="458"/>
        <v>ZARD EXHAUST SILENCER DUCATI HYPERMOTARD - SP M.Y. 2013 PENTA VERSION ZD123SSR</v>
      </c>
      <c r="G1544" t="str">
        <f t="shared" si="459"/>
        <v/>
      </c>
      <c r="H1544" t="str">
        <f t="shared" si="471"/>
        <v/>
      </c>
      <c r="I1544" t="str">
        <f t="shared" si="472"/>
        <v/>
      </c>
      <c r="J1544" t="str">
        <f t="shared" si="473"/>
        <v/>
      </c>
      <c r="K1544" t="str">
        <f t="shared" si="474"/>
        <v/>
      </c>
      <c r="L1544" t="str">
        <f t="shared" si="460"/>
        <v>Option</v>
      </c>
      <c r="M1544" t="str">
        <f t="shared" si="461"/>
        <v>FULL TITANIO</v>
      </c>
      <c r="R1544" t="str">
        <f t="shared" si="462"/>
        <v>ZD123SSR</v>
      </c>
      <c r="S1544">
        <f t="shared" si="463"/>
        <v>0</v>
      </c>
      <c r="U1544" t="str">
        <f t="shared" si="464"/>
        <v>continue</v>
      </c>
      <c r="V1544" t="str">
        <f t="shared" si="465"/>
        <v>manual</v>
      </c>
      <c r="W1544" s="5">
        <f t="shared" si="466"/>
        <v>546.71940000000006</v>
      </c>
      <c r="Y1544" t="b">
        <f t="shared" si="467"/>
        <v>1</v>
      </c>
      <c r="Z1544" t="b">
        <f t="shared" si="468"/>
        <v>0</v>
      </c>
      <c r="AB1544" t="str">
        <f t="shared" si="469"/>
        <v/>
      </c>
      <c r="AE1544" t="b">
        <v>0</v>
      </c>
    </row>
    <row r="1545" spans="1:31" x14ac:dyDescent="0.2">
      <c r="A1545" t="str">
        <f t="shared" si="456"/>
        <v>https://shop.officineitalianezard.it/en/ducati-hypermotard-950-gt-exhaust/</v>
      </c>
      <c r="B1545" t="b">
        <f>COUNTIF($A$2:$A1545, A1545)&gt;1</f>
        <v>0</v>
      </c>
      <c r="C1545" t="b">
        <f t="shared" si="457"/>
        <v>0</v>
      </c>
      <c r="D1545">
        <f>VLOOKUP(A1545,variant_counts!A:B, 2, FALSE)</f>
        <v>2</v>
      </c>
      <c r="E1545" t="str">
        <f t="shared" si="470"/>
        <v>zard-exhaust-slip-ons-ducati-hypermotard-950---sp-my-2019-gt-version-zd127ssr</v>
      </c>
      <c r="F1545" t="str">
        <f t="shared" si="458"/>
        <v>ZARD EXHAUST SLIP-ONS DUCATI HYPERMOTARD 950 - SP M.Y. 2019 GT VERSION ZD127SSR</v>
      </c>
      <c r="G1545" t="str">
        <f t="shared" si="459"/>
        <v>&lt;p&gt;STAINLESS STEEL RACING SLIP-ONS WITH SANDBLASTED&lt;br&gt;FINISH AND REMOVABLE DBKILLERS.&lt;/p&gt;
&lt;p&gt;EURO 4 HOMOLOGATED VERSION AVAILABLE AS OPTIONAL,&lt;br&gt;BLACK&amp;nbsp;END-CAPS INCLUDED.&lt;/p&gt;
&lt;p&gt;&lt;span&gt;&lt;strong&gt;NOTICE&lt;/strong&gt;: THE PACKAGE INCLUDE CARBON SIDE COVER&lt;br&gt;&lt;/span&gt;&lt;span&gt;THAT PERFECTLY FOLLOW THE SIDE PANELS.&lt;/span&gt;&lt;/p&gt;
&lt;p&gt;ORIGINAL&amp;nbsp;EXHAUSTS WEIGHT: 4.8 KG&lt;br&gt;ZARD SLIP-ONS WEIGHT:&amp;nbsp;3 KG&lt;/p&gt;
&lt;p&gt;&lt;span&gt;THE INSTALLATION OF ZARD EXHAUST FOR DUCATI&lt;br&gt;HYPERMOTARD 950 AND DUCATI HYPERMOTARD 950 SP&lt;br&gt;DOES NOT&amp;nbsp;&lt;/span&gt;&lt;span&gt;IMPLY ANY MODIFICATION TO ECU&lt;/span&gt;&lt;/p&gt;
&lt;p&gt;SIGNIFICANT&amp;nbsp;INCREASE, COMPARED TO THE ORIGINAL EXHAUST SYSTEM,&lt;br&gt;&lt;span&gt;IN TERMS OF TORQUE AND POWER AT ANY RANGE, ASTONISHING SOUND.&lt;/span&gt;&lt;/p&gt;</v>
      </c>
      <c r="H1545" t="str">
        <f t="shared" si="471"/>
        <v>ZARD</v>
      </c>
      <c r="I1545" t="str">
        <f t="shared" si="472"/>
        <v>Exhaust Pipe</v>
      </c>
      <c r="J1545" t="str">
        <f t="shared" si="473"/>
        <v>Test</v>
      </c>
      <c r="K1545" t="b">
        <f t="shared" si="474"/>
        <v>0</v>
      </c>
      <c r="L1545" t="str">
        <f t="shared" si="460"/>
        <v/>
      </c>
      <c r="M1545" t="str">
        <f t="shared" si="461"/>
        <v/>
      </c>
      <c r="R1545" t="str">
        <f t="shared" si="462"/>
        <v/>
      </c>
      <c r="S1545" t="str">
        <f t="shared" si="463"/>
        <v/>
      </c>
      <c r="U1545" t="str">
        <f t="shared" si="464"/>
        <v/>
      </c>
      <c r="V1545" t="str">
        <f t="shared" si="465"/>
        <v/>
      </c>
      <c r="W1545" s="5" t="str">
        <f t="shared" si="466"/>
        <v/>
      </c>
      <c r="Y1545" t="str">
        <f t="shared" si="467"/>
        <v/>
      </c>
      <c r="Z1545" t="str">
        <f t="shared" si="468"/>
        <v/>
      </c>
      <c r="AB1545" t="str">
        <f t="shared" si="469"/>
        <v>https://shop.officineitalianezard.it/contents/imgs/products/1_2582-scarichi%20hypermotard%20sp%202019%20zard%201.jpg</v>
      </c>
      <c r="AE1545" t="b">
        <v>0</v>
      </c>
    </row>
    <row r="1546" spans="1:31" x14ac:dyDescent="0.2">
      <c r="A1546" t="str">
        <f t="shared" si="456"/>
        <v>https://shop.officineitalianezard.it/en/ducati-hypermotard-950-gt-exhaust/</v>
      </c>
      <c r="B1546" t="b">
        <f>COUNTIF($A$2:$A1546, A1546)&gt;1</f>
        <v>1</v>
      </c>
      <c r="C1546" t="b">
        <f t="shared" si="457"/>
        <v>0</v>
      </c>
      <c r="D1546">
        <f>VLOOKUP(A1546,variant_counts!A:B, 2, FALSE)</f>
        <v>2</v>
      </c>
      <c r="E1546" t="str">
        <f t="shared" si="470"/>
        <v>zard-exhaust-slip-ons-ducati-hypermotard-950---sp-my-2019-gt-version-zd127ssr</v>
      </c>
      <c r="F1546" t="str">
        <f t="shared" si="458"/>
        <v>ZARD EXHAUST SLIP-ONS DUCATI HYPERMOTARD 950 - SP M.Y. 2019 GT VERSION ZD127SSR</v>
      </c>
      <c r="G1546" t="str">
        <f t="shared" si="459"/>
        <v/>
      </c>
      <c r="H1546" t="str">
        <f t="shared" si="471"/>
        <v/>
      </c>
      <c r="I1546" t="str">
        <f t="shared" si="472"/>
        <v/>
      </c>
      <c r="J1546" t="str">
        <f t="shared" si="473"/>
        <v/>
      </c>
      <c r="K1546" t="str">
        <f t="shared" si="474"/>
        <v/>
      </c>
      <c r="L1546" t="str">
        <f t="shared" si="460"/>
        <v/>
      </c>
      <c r="M1546" t="str">
        <f t="shared" si="461"/>
        <v/>
      </c>
      <c r="R1546" t="str">
        <f t="shared" si="462"/>
        <v/>
      </c>
      <c r="S1546" t="str">
        <f t="shared" si="463"/>
        <v/>
      </c>
      <c r="U1546" t="str">
        <f t="shared" si="464"/>
        <v/>
      </c>
      <c r="V1546" t="str">
        <f t="shared" si="465"/>
        <v/>
      </c>
      <c r="W1546" s="5" t="str">
        <f t="shared" si="466"/>
        <v/>
      </c>
      <c r="Y1546" t="str">
        <f t="shared" si="467"/>
        <v/>
      </c>
      <c r="Z1546" t="str">
        <f t="shared" si="468"/>
        <v/>
      </c>
      <c r="AB1546" t="str">
        <f t="shared" si="469"/>
        <v>https://shop.officineitalianezard.it/contents/imgs/products/1_2581-scarichi%20hypermotard%20sp%202019%20zard%202.jpg</v>
      </c>
      <c r="AE1546" t="b">
        <v>0</v>
      </c>
    </row>
    <row r="1547" spans="1:31" x14ac:dyDescent="0.2">
      <c r="A1547" t="str">
        <f t="shared" si="456"/>
        <v>https://shop.officineitalianezard.it/en/ducati-hypermotard-950-gt-exhaust/</v>
      </c>
      <c r="B1547" t="b">
        <f>COUNTIF($A$2:$A1547, A1547)&gt;1</f>
        <v>1</v>
      </c>
      <c r="C1547" t="b">
        <f t="shared" si="457"/>
        <v>0</v>
      </c>
      <c r="D1547">
        <f>VLOOKUP(A1547,variant_counts!A:B, 2, FALSE)</f>
        <v>2</v>
      </c>
      <c r="E1547" t="str">
        <f t="shared" si="470"/>
        <v>zard-exhaust-slip-ons-ducati-hypermotard-950---sp-my-2019-gt-version-zd127ssr</v>
      </c>
      <c r="F1547" t="str">
        <f t="shared" si="458"/>
        <v>ZARD EXHAUST SLIP-ONS DUCATI HYPERMOTARD 950 - SP M.Y. 2019 GT VERSION ZD127SSR</v>
      </c>
      <c r="G1547" t="str">
        <f t="shared" si="459"/>
        <v/>
      </c>
      <c r="H1547" t="str">
        <f t="shared" si="471"/>
        <v/>
      </c>
      <c r="I1547" t="str">
        <f t="shared" si="472"/>
        <v/>
      </c>
      <c r="J1547" t="str">
        <f t="shared" si="473"/>
        <v/>
      </c>
      <c r="K1547" t="str">
        <f t="shared" si="474"/>
        <v/>
      </c>
      <c r="L1547" t="str">
        <f t="shared" si="460"/>
        <v/>
      </c>
      <c r="M1547" t="str">
        <f t="shared" si="461"/>
        <v/>
      </c>
      <c r="R1547" t="str">
        <f t="shared" si="462"/>
        <v/>
      </c>
      <c r="S1547" t="str">
        <f t="shared" si="463"/>
        <v/>
      </c>
      <c r="U1547" t="str">
        <f t="shared" si="464"/>
        <v/>
      </c>
      <c r="V1547" t="str">
        <f t="shared" si="465"/>
        <v/>
      </c>
      <c r="W1547" s="5" t="str">
        <f t="shared" si="466"/>
        <v/>
      </c>
      <c r="Y1547" t="str">
        <f t="shared" si="467"/>
        <v/>
      </c>
      <c r="Z1547" t="str">
        <f t="shared" si="468"/>
        <v/>
      </c>
      <c r="AB1547" t="str">
        <f t="shared" si="469"/>
        <v>https://shop.officineitalianezard.it/contents/imgs/products/1_2580-scarichi%20hypermotard%20sp%202019%20zard%203.jpg</v>
      </c>
      <c r="AE1547" t="b">
        <v>0</v>
      </c>
    </row>
    <row r="1548" spans="1:31" x14ac:dyDescent="0.2">
      <c r="A1548" t="str">
        <f t="shared" si="456"/>
        <v>https://shop.officineitalianezard.it/en/ducati-hypermotard-950-gt-exhaust/</v>
      </c>
      <c r="B1548" t="b">
        <f>COUNTIF($A$2:$A1548, A1548)&gt;1</f>
        <v>1</v>
      </c>
      <c r="C1548" t="b">
        <f t="shared" si="457"/>
        <v>0</v>
      </c>
      <c r="D1548">
        <f>VLOOKUP(A1548,variant_counts!A:B, 2, FALSE)</f>
        <v>2</v>
      </c>
      <c r="E1548" t="str">
        <f t="shared" si="470"/>
        <v>zard-exhaust-slip-ons-ducati-hypermotard-950---sp-my-2019-gt-version-zd127ssr</v>
      </c>
      <c r="F1548" t="str">
        <f t="shared" si="458"/>
        <v>ZARD EXHAUST SLIP-ONS DUCATI HYPERMOTARD 950 - SP M.Y. 2019 GT VERSION ZD127SSR</v>
      </c>
      <c r="G1548" t="str">
        <f t="shared" si="459"/>
        <v/>
      </c>
      <c r="H1548" t="str">
        <f t="shared" si="471"/>
        <v/>
      </c>
      <c r="I1548" t="str">
        <f t="shared" si="472"/>
        <v/>
      </c>
      <c r="J1548" t="str">
        <f t="shared" si="473"/>
        <v/>
      </c>
      <c r="K1548" t="str">
        <f t="shared" si="474"/>
        <v/>
      </c>
      <c r="L1548" t="str">
        <f t="shared" si="460"/>
        <v/>
      </c>
      <c r="M1548" t="str">
        <f t="shared" si="461"/>
        <v/>
      </c>
      <c r="R1548" t="str">
        <f t="shared" si="462"/>
        <v/>
      </c>
      <c r="S1548" t="str">
        <f t="shared" si="463"/>
        <v/>
      </c>
      <c r="U1548" t="str">
        <f t="shared" si="464"/>
        <v/>
      </c>
      <c r="V1548" t="str">
        <f t="shared" si="465"/>
        <v/>
      </c>
      <c r="W1548" s="5" t="str">
        <f t="shared" si="466"/>
        <v/>
      </c>
      <c r="Y1548" t="str">
        <f t="shared" si="467"/>
        <v/>
      </c>
      <c r="Z1548" t="str">
        <f t="shared" si="468"/>
        <v/>
      </c>
      <c r="AB1548" t="str">
        <f t="shared" si="469"/>
        <v>https://shop.officineitalianezard.it/contents/imgs/products/1_2579-scarichi%20hypermotard%20sp%202019%20zard%204.jpg</v>
      </c>
      <c r="AE1548" t="b">
        <v>0</v>
      </c>
    </row>
    <row r="1549" spans="1:31" x14ac:dyDescent="0.2">
      <c r="A1549" t="str">
        <f t="shared" si="456"/>
        <v>https://shop.officineitalianezard.it/en/ducati-hypermotard-950-gt-exhaust/</v>
      </c>
      <c r="B1549" t="b">
        <f>COUNTIF($A$2:$A1549, A1549)&gt;1</f>
        <v>1</v>
      </c>
      <c r="C1549" t="b">
        <f t="shared" si="457"/>
        <v>0</v>
      </c>
      <c r="D1549">
        <f>VLOOKUP(A1549,variant_counts!A:B, 2, FALSE)</f>
        <v>2</v>
      </c>
      <c r="E1549" t="str">
        <f t="shared" si="470"/>
        <v>zard-exhaust-slip-ons-ducati-hypermotard-950---sp-my-2019-gt-version-zd127ssr</v>
      </c>
      <c r="F1549" t="str">
        <f t="shared" si="458"/>
        <v>ZARD EXHAUST SLIP-ONS DUCATI HYPERMOTARD 950 - SP M.Y. 2019 GT VERSION ZD127SSR</v>
      </c>
      <c r="G1549" t="str">
        <f t="shared" si="459"/>
        <v/>
      </c>
      <c r="H1549" t="str">
        <f t="shared" si="471"/>
        <v/>
      </c>
      <c r="I1549" t="str">
        <f t="shared" si="472"/>
        <v/>
      </c>
      <c r="J1549" t="str">
        <f t="shared" si="473"/>
        <v/>
      </c>
      <c r="K1549" t="str">
        <f t="shared" si="474"/>
        <v/>
      </c>
      <c r="L1549" t="str">
        <f t="shared" si="460"/>
        <v/>
      </c>
      <c r="M1549" t="str">
        <f t="shared" si="461"/>
        <v/>
      </c>
      <c r="R1549" t="str">
        <f t="shared" si="462"/>
        <v/>
      </c>
      <c r="S1549" t="str">
        <f t="shared" si="463"/>
        <v/>
      </c>
      <c r="U1549" t="str">
        <f t="shared" si="464"/>
        <v/>
      </c>
      <c r="V1549" t="str">
        <f t="shared" si="465"/>
        <v/>
      </c>
      <c r="W1549" s="5" t="str">
        <f t="shared" si="466"/>
        <v/>
      </c>
      <c r="Y1549" t="str">
        <f t="shared" si="467"/>
        <v/>
      </c>
      <c r="Z1549" t="str">
        <f t="shared" si="468"/>
        <v/>
      </c>
      <c r="AB1549" t="str">
        <f t="shared" si="469"/>
        <v>https://shop.officineitalianezard.it/contents/imgs/products/1_2578-scarichi%20hypermotard%20sp%202019%20zard%20carbonio.jpg</v>
      </c>
      <c r="AE1549" t="b">
        <v>0</v>
      </c>
    </row>
    <row r="1550" spans="1:31" x14ac:dyDescent="0.2">
      <c r="A1550" t="str">
        <f t="shared" si="456"/>
        <v>https://shop.officineitalianezard.it/en/ducati-hypermotard-950-gt-exhaust/</v>
      </c>
      <c r="B1550" t="b">
        <f>COUNTIF($A$2:$A1550, A1550)&gt;1</f>
        <v>1</v>
      </c>
      <c r="C1550" t="b">
        <f t="shared" si="457"/>
        <v>1</v>
      </c>
      <c r="D1550">
        <f>VLOOKUP(A1550,variant_counts!A:B, 2, FALSE)</f>
        <v>2</v>
      </c>
      <c r="E1550" t="str">
        <f t="shared" si="470"/>
        <v>zard-exhaust-slip-ons-ducati-hypermotard-950---sp-my-2019-gt-version-zd127ssr</v>
      </c>
      <c r="F1550" t="str">
        <f t="shared" si="458"/>
        <v>ZARD EXHAUST SLIP-ONS DUCATI HYPERMOTARD 950 - SP M.Y. 2019 GT VERSION ZD127SSR</v>
      </c>
      <c r="G1550" t="str">
        <f t="shared" si="459"/>
        <v/>
      </c>
      <c r="H1550" t="str">
        <f t="shared" si="471"/>
        <v/>
      </c>
      <c r="I1550" t="str">
        <f t="shared" si="472"/>
        <v/>
      </c>
      <c r="J1550" t="str">
        <f t="shared" si="473"/>
        <v/>
      </c>
      <c r="K1550" t="str">
        <f t="shared" si="474"/>
        <v/>
      </c>
      <c r="L1550" t="str">
        <f t="shared" si="460"/>
        <v>Option</v>
      </c>
      <c r="M1550" t="str">
        <f t="shared" si="461"/>
        <v>CARBON ENDCAP</v>
      </c>
      <c r="R1550" t="str">
        <f t="shared" si="462"/>
        <v>ZD127SSR</v>
      </c>
      <c r="S1550">
        <f t="shared" si="463"/>
        <v>0</v>
      </c>
      <c r="U1550" t="str">
        <f t="shared" si="464"/>
        <v>continue</v>
      </c>
      <c r="V1550" t="str">
        <f t="shared" si="465"/>
        <v>manual</v>
      </c>
      <c r="W1550" s="5">
        <f t="shared" si="466"/>
        <v>859.3398000000002</v>
      </c>
      <c r="Y1550" t="b">
        <f t="shared" si="467"/>
        <v>1</v>
      </c>
      <c r="Z1550" t="b">
        <f t="shared" si="468"/>
        <v>0</v>
      </c>
      <c r="AB1550" t="str">
        <f t="shared" si="469"/>
        <v/>
      </c>
      <c r="AE1550" t="b">
        <v>0</v>
      </c>
    </row>
    <row r="1551" spans="1:31" x14ac:dyDescent="0.2">
      <c r="A1551" t="str">
        <f t="shared" si="456"/>
        <v>https://shop.officineitalianezard.it/en/ducati-hypermotard-950-gt-exhaust/</v>
      </c>
      <c r="B1551" t="b">
        <f>COUNTIF($A$2:$A1551, A1551)&gt;1</f>
        <v>1</v>
      </c>
      <c r="C1551" t="b">
        <f t="shared" si="457"/>
        <v>1</v>
      </c>
      <c r="D1551">
        <f>VLOOKUP(A1551,variant_counts!A:B, 2, FALSE)</f>
        <v>2</v>
      </c>
      <c r="E1551" t="str">
        <f t="shared" si="470"/>
        <v>zard-exhaust-slip-ons-ducati-hypermotard-950---sp-my-2019-gt-version-zd127ssr</v>
      </c>
      <c r="F1551" t="str">
        <f t="shared" si="458"/>
        <v>ZARD EXHAUST SLIP-ONS DUCATI HYPERMOTARD 950 - SP M.Y. 2019 GT VERSION ZD127SSR</v>
      </c>
      <c r="G1551" t="str">
        <f t="shared" si="459"/>
        <v/>
      </c>
      <c r="H1551" t="str">
        <f t="shared" si="471"/>
        <v/>
      </c>
      <c r="I1551" t="str">
        <f t="shared" si="472"/>
        <v/>
      </c>
      <c r="J1551" t="str">
        <f t="shared" si="473"/>
        <v/>
      </c>
      <c r="K1551" t="str">
        <f t="shared" si="474"/>
        <v/>
      </c>
      <c r="L1551" t="str">
        <f t="shared" si="460"/>
        <v>Option</v>
      </c>
      <c r="M1551" t="str">
        <f t="shared" si="461"/>
        <v>EURO 4 HOMOLOGATED</v>
      </c>
      <c r="R1551" t="str">
        <f t="shared" si="462"/>
        <v>ZD127SSR</v>
      </c>
      <c r="S1551">
        <f t="shared" si="463"/>
        <v>0</v>
      </c>
      <c r="U1551" t="str">
        <f t="shared" si="464"/>
        <v>continue</v>
      </c>
      <c r="V1551" t="str">
        <f t="shared" si="465"/>
        <v>manual</v>
      </c>
      <c r="W1551" s="5">
        <f t="shared" si="466"/>
        <v>789.73170000000005</v>
      </c>
      <c r="Y1551" t="b">
        <f t="shared" si="467"/>
        <v>1</v>
      </c>
      <c r="Z1551" t="b">
        <f t="shared" si="468"/>
        <v>0</v>
      </c>
      <c r="AB1551" t="str">
        <f t="shared" si="469"/>
        <v/>
      </c>
      <c r="AE1551" t="b">
        <v>0</v>
      </c>
    </row>
    <row r="1552" spans="1:31" x14ac:dyDescent="0.2">
      <c r="A1552" t="str">
        <f t="shared" si="456"/>
        <v>https://shop.officineitalianezard.it/en/ducati-hypermotard-950-top-gun-exhaust/</v>
      </c>
      <c r="B1552" t="b">
        <f>COUNTIF($A$2:$A1552, A1552)&gt;1</f>
        <v>0</v>
      </c>
      <c r="C1552" t="b">
        <f t="shared" si="457"/>
        <v>0</v>
      </c>
      <c r="D1552">
        <f>VLOOKUP(A1552,variant_counts!A:B, 2, FALSE)</f>
        <v>1</v>
      </c>
      <c r="E1552" t="str">
        <f t="shared" si="470"/>
        <v>zard-exhaust-slip-ons-ducati-hypermotard-950---sp-my-2019-top-gun-version-zd128ssr</v>
      </c>
      <c r="F1552" t="str">
        <f t="shared" si="458"/>
        <v>ZARD EXHAUST SLIP-ONS DUCATI HYPERMOTARD 950 - SP M.Y. 2019 TOP GUN VERSION ZD128SSR</v>
      </c>
      <c r="G1552" t="str">
        <f t="shared" si="459"/>
        <v>&lt;p&gt;STAINLESS STEEL RACING SLIP-ONS WITH SANDBLASTED&lt;br&gt;FINISH AND REMOVABLE DBKILLERS.&lt;/p&gt;
&lt;p&gt;EURO 4 HOMOLOGATED VERSION AVAILABLE AS OPTIONAL,&lt;br&gt;CARBON END-CAPS INCLUDED.&lt;/p&gt;
&lt;p&gt;&lt;span&gt;&lt;strong&gt;NOTICE&lt;/strong&gt;: THE PACKAGE INCLUDE CARBON SIDE COVER&lt;br&gt;&lt;/span&gt;&lt;span&gt;THAT PERFECTLY FOLLOW THE SIDE PANELS.&lt;/span&gt;&lt;/p&gt;
&lt;p&gt;ORIGINAL&amp;nbsp;EXHAUSTS WEIGHT: 4.8 KG&lt;br&gt;ZARD SLIP-ONS WEIGHT: 2.6 KG&lt;/p&gt;
&lt;p&gt;&lt;span&gt;THE INSTALLATION OF ZARD EXHAUST FOR DUCATI&lt;br&gt;HYPERMOTARD 950 AND DUCATI HYPERMOTARD 950 SP&lt;br&gt;DOES NOT&amp;nbsp;&lt;/span&gt;&lt;span&gt;IMPLY ANY MODIFICATION TO ECU&lt;/span&gt;&lt;/p&gt;
&lt;p&gt;SIGNIFICANT&amp;nbsp;INCREASE, COMPARED TO THE ORIGINAL EXHAUST SYSTEM,&lt;br&gt;&lt;span&gt;IN TERMS OF TORQUE AND POWER AT ANY RANGE, ASTONISHING SOUND.&lt;/span&gt;&lt;/p&gt;</v>
      </c>
      <c r="H1552" t="str">
        <f t="shared" si="471"/>
        <v>ZARD</v>
      </c>
      <c r="I1552" t="str">
        <f t="shared" si="472"/>
        <v>Exhaust Pipe</v>
      </c>
      <c r="J1552" t="str">
        <f t="shared" si="473"/>
        <v>Test</v>
      </c>
      <c r="K1552" t="b">
        <f t="shared" si="474"/>
        <v>0</v>
      </c>
      <c r="L1552" t="str">
        <f t="shared" si="460"/>
        <v>Option</v>
      </c>
      <c r="M1552" t="str">
        <f t="shared" si="461"/>
        <v>DEFAULT</v>
      </c>
      <c r="R1552" t="str">
        <f t="shared" si="462"/>
        <v>ZD128SSR</v>
      </c>
      <c r="S1552">
        <f t="shared" si="463"/>
        <v>0</v>
      </c>
      <c r="U1552" t="str">
        <f t="shared" si="464"/>
        <v>continue</v>
      </c>
      <c r="V1552" t="str">
        <f t="shared" si="465"/>
        <v>manual</v>
      </c>
      <c r="W1552" s="5">
        <f t="shared" si="466"/>
        <v>773.3592000000001</v>
      </c>
      <c r="Y1552" t="b">
        <f t="shared" si="467"/>
        <v>1</v>
      </c>
      <c r="Z1552" t="b">
        <f t="shared" si="468"/>
        <v>0</v>
      </c>
      <c r="AB1552" t="str">
        <f t="shared" si="469"/>
        <v>https://shop.officineitalianezard.it/contents/imgs/products/1_2573-scarico%20ducati%20hypermotard%20zard%201.jpg</v>
      </c>
      <c r="AE1552" t="b">
        <v>0</v>
      </c>
    </row>
    <row r="1553" spans="1:31" x14ac:dyDescent="0.2">
      <c r="A1553" t="str">
        <f t="shared" si="456"/>
        <v>https://shop.officineitalianezard.it/en/ducati-hypermotard-950-top-gun-exhaust/</v>
      </c>
      <c r="B1553" t="b">
        <f>COUNTIF($A$2:$A1553, A1553)&gt;1</f>
        <v>1</v>
      </c>
      <c r="C1553" t="b">
        <f t="shared" si="457"/>
        <v>0</v>
      </c>
      <c r="D1553">
        <f>VLOOKUP(A1553,variant_counts!A:B, 2, FALSE)</f>
        <v>1</v>
      </c>
      <c r="E1553" t="str">
        <f t="shared" si="470"/>
        <v>zard-exhaust-slip-ons-ducati-hypermotard-950---sp-my-2019-top-gun-version-zd128ssr</v>
      </c>
      <c r="F1553" t="str">
        <f t="shared" si="458"/>
        <v>ZARD EXHAUST SLIP-ONS DUCATI HYPERMOTARD 950 - SP M.Y. 2019 TOP GUN VERSION ZD128SSR</v>
      </c>
      <c r="G1553" t="str">
        <f t="shared" si="459"/>
        <v/>
      </c>
      <c r="H1553" t="str">
        <f t="shared" si="471"/>
        <v/>
      </c>
      <c r="I1553" t="str">
        <f t="shared" si="472"/>
        <v/>
      </c>
      <c r="J1553" t="str">
        <f t="shared" si="473"/>
        <v/>
      </c>
      <c r="K1553" t="str">
        <f t="shared" si="474"/>
        <v/>
      </c>
      <c r="L1553" t="str">
        <f t="shared" si="460"/>
        <v/>
      </c>
      <c r="M1553" t="str">
        <f t="shared" si="461"/>
        <v/>
      </c>
      <c r="R1553" t="str">
        <f t="shared" si="462"/>
        <v/>
      </c>
      <c r="S1553" t="str">
        <f t="shared" si="463"/>
        <v/>
      </c>
      <c r="U1553" t="str">
        <f t="shared" si="464"/>
        <v/>
      </c>
      <c r="V1553" t="str">
        <f t="shared" si="465"/>
        <v/>
      </c>
      <c r="W1553" s="5" t="str">
        <f t="shared" si="466"/>
        <v/>
      </c>
      <c r="Y1553" t="str">
        <f t="shared" si="467"/>
        <v/>
      </c>
      <c r="Z1553" t="str">
        <f t="shared" si="468"/>
        <v/>
      </c>
      <c r="AB1553" t="str">
        <f t="shared" si="469"/>
        <v>https://shop.officineitalianezard.it/contents/imgs/products/1_2572-scarico%20ducati%20hypermotard%20zard%202.jpg</v>
      </c>
      <c r="AE1553" t="b">
        <v>0</v>
      </c>
    </row>
    <row r="1554" spans="1:31" x14ac:dyDescent="0.2">
      <c r="A1554" t="str">
        <f t="shared" si="456"/>
        <v>https://shop.officineitalianezard.it/en/ducati-hypermotard-950-top-gun-exhaust/</v>
      </c>
      <c r="B1554" t="b">
        <f>COUNTIF($A$2:$A1554, A1554)&gt;1</f>
        <v>1</v>
      </c>
      <c r="C1554" t="b">
        <f t="shared" si="457"/>
        <v>0</v>
      </c>
      <c r="D1554">
        <f>VLOOKUP(A1554,variant_counts!A:B, 2, FALSE)</f>
        <v>1</v>
      </c>
      <c r="E1554" t="str">
        <f t="shared" si="470"/>
        <v>zard-exhaust-slip-ons-ducati-hypermotard-950---sp-my-2019-top-gun-version-zd128ssr</v>
      </c>
      <c r="F1554" t="str">
        <f t="shared" si="458"/>
        <v>ZARD EXHAUST SLIP-ONS DUCATI HYPERMOTARD 950 - SP M.Y. 2019 TOP GUN VERSION ZD128SSR</v>
      </c>
      <c r="G1554" t="str">
        <f t="shared" si="459"/>
        <v/>
      </c>
      <c r="H1554" t="str">
        <f t="shared" si="471"/>
        <v/>
      </c>
      <c r="I1554" t="str">
        <f t="shared" si="472"/>
        <v/>
      </c>
      <c r="J1554" t="str">
        <f t="shared" si="473"/>
        <v/>
      </c>
      <c r="K1554" t="str">
        <f t="shared" si="474"/>
        <v/>
      </c>
      <c r="L1554" t="str">
        <f t="shared" si="460"/>
        <v/>
      </c>
      <c r="M1554" t="str">
        <f t="shared" si="461"/>
        <v/>
      </c>
      <c r="R1554" t="str">
        <f t="shared" si="462"/>
        <v/>
      </c>
      <c r="S1554" t="str">
        <f t="shared" si="463"/>
        <v/>
      </c>
      <c r="U1554" t="str">
        <f t="shared" si="464"/>
        <v/>
      </c>
      <c r="V1554" t="str">
        <f t="shared" si="465"/>
        <v/>
      </c>
      <c r="W1554" s="5" t="str">
        <f t="shared" si="466"/>
        <v/>
      </c>
      <c r="Y1554" t="str">
        <f t="shared" si="467"/>
        <v/>
      </c>
      <c r="Z1554" t="str">
        <f t="shared" si="468"/>
        <v/>
      </c>
      <c r="AB1554" t="str">
        <f t="shared" si="469"/>
        <v>https://shop.officineitalianezard.it/contents/imgs/products/1_2571-scarico%20ducati%20hypermotard%20zard%203.jpg</v>
      </c>
      <c r="AE1554" t="b">
        <v>0</v>
      </c>
    </row>
    <row r="1555" spans="1:31" x14ac:dyDescent="0.2">
      <c r="A1555" t="str">
        <f t="shared" si="456"/>
        <v>https://shop.officineitalianezard.it/en/ducati-hypermotard-950-top-gun-exhaust/</v>
      </c>
      <c r="B1555" t="b">
        <f>COUNTIF($A$2:$A1555, A1555)&gt;1</f>
        <v>1</v>
      </c>
      <c r="C1555" t="b">
        <f t="shared" si="457"/>
        <v>0</v>
      </c>
      <c r="D1555">
        <f>VLOOKUP(A1555,variant_counts!A:B, 2, FALSE)</f>
        <v>1</v>
      </c>
      <c r="E1555" t="str">
        <f t="shared" si="470"/>
        <v>zard-exhaust-slip-ons-ducati-hypermotard-950---sp-my-2019-top-gun-version-zd128ssr</v>
      </c>
      <c r="F1555" t="str">
        <f t="shared" si="458"/>
        <v>ZARD EXHAUST SLIP-ONS DUCATI HYPERMOTARD 950 - SP M.Y. 2019 TOP GUN VERSION ZD128SSR</v>
      </c>
      <c r="G1555" t="str">
        <f t="shared" si="459"/>
        <v/>
      </c>
      <c r="H1555" t="str">
        <f t="shared" si="471"/>
        <v/>
      </c>
      <c r="I1555" t="str">
        <f t="shared" si="472"/>
        <v/>
      </c>
      <c r="J1555" t="str">
        <f t="shared" si="473"/>
        <v/>
      </c>
      <c r="K1555" t="str">
        <f t="shared" si="474"/>
        <v/>
      </c>
      <c r="L1555" t="str">
        <f t="shared" si="460"/>
        <v/>
      </c>
      <c r="M1555" t="str">
        <f t="shared" si="461"/>
        <v/>
      </c>
      <c r="R1555" t="str">
        <f t="shared" si="462"/>
        <v/>
      </c>
      <c r="S1555" t="str">
        <f t="shared" si="463"/>
        <v/>
      </c>
      <c r="U1555" t="str">
        <f t="shared" si="464"/>
        <v/>
      </c>
      <c r="V1555" t="str">
        <f t="shared" si="465"/>
        <v/>
      </c>
      <c r="W1555" s="5" t="str">
        <f t="shared" si="466"/>
        <v/>
      </c>
      <c r="Y1555" t="str">
        <f t="shared" si="467"/>
        <v/>
      </c>
      <c r="Z1555" t="str">
        <f t="shared" si="468"/>
        <v/>
      </c>
      <c r="AB1555" t="str">
        <f t="shared" si="469"/>
        <v>https://shop.officineitalianezard.it/contents/imgs/products/1_2570-scarico%20ducati%20hypermotard%20zard%204.jpg</v>
      </c>
      <c r="AE1555" t="b">
        <v>0</v>
      </c>
    </row>
    <row r="1556" spans="1:31" x14ac:dyDescent="0.2">
      <c r="A1556" t="str">
        <f t="shared" si="456"/>
        <v>https://shop.officineitalianezard.it/en/ducati-hypermotard-950-top-gun-exhaust/</v>
      </c>
      <c r="B1556" t="b">
        <f>COUNTIF($A$2:$A1556, A1556)&gt;1</f>
        <v>1</v>
      </c>
      <c r="C1556" t="b">
        <f t="shared" si="457"/>
        <v>1</v>
      </c>
      <c r="D1556">
        <f>VLOOKUP(A1556,variant_counts!A:B, 2, FALSE)</f>
        <v>1</v>
      </c>
      <c r="E1556" t="str">
        <f t="shared" si="470"/>
        <v>zard-exhaust-slip-ons-ducati-hypermotard-950---sp-my-2019-top-gun-version-zd128ssr</v>
      </c>
      <c r="F1556" t="str">
        <f t="shared" si="458"/>
        <v>ZARD EXHAUST SLIP-ONS DUCATI HYPERMOTARD 950 - SP M.Y. 2019 TOP GUN VERSION ZD128SSR</v>
      </c>
      <c r="G1556" t="str">
        <f t="shared" si="459"/>
        <v/>
      </c>
      <c r="H1556" t="str">
        <f t="shared" si="471"/>
        <v/>
      </c>
      <c r="I1556" t="str">
        <f t="shared" si="472"/>
        <v/>
      </c>
      <c r="J1556" t="str">
        <f t="shared" si="473"/>
        <v/>
      </c>
      <c r="K1556" t="str">
        <f t="shared" si="474"/>
        <v/>
      </c>
      <c r="L1556" t="str">
        <f t="shared" si="460"/>
        <v>Option</v>
      </c>
      <c r="M1556" t="str">
        <f t="shared" si="461"/>
        <v>EURO 4 HOMOLOGATED</v>
      </c>
      <c r="R1556" t="str">
        <f t="shared" si="462"/>
        <v>ZD128SSR</v>
      </c>
      <c r="S1556">
        <f t="shared" si="463"/>
        <v>0</v>
      </c>
      <c r="U1556" t="str">
        <f t="shared" si="464"/>
        <v>continue</v>
      </c>
      <c r="V1556" t="str">
        <f t="shared" si="465"/>
        <v>manual</v>
      </c>
      <c r="W1556" s="5">
        <f t="shared" si="466"/>
        <v>806.11530000000005</v>
      </c>
      <c r="Y1556" t="b">
        <f t="shared" si="467"/>
        <v>1</v>
      </c>
      <c r="Z1556" t="b">
        <f t="shared" si="468"/>
        <v>0</v>
      </c>
      <c r="AB1556" t="str">
        <f t="shared" si="469"/>
        <v/>
      </c>
      <c r="AE1556" t="b">
        <v>0</v>
      </c>
    </row>
    <row r="1557" spans="1:31" x14ac:dyDescent="0.2">
      <c r="A1557" t="str">
        <f t="shared" si="456"/>
        <v>https://shop.officineitalianezard.it/en/products/index/ducati-hypermotard-796-exhaust-zard-7097-58/</v>
      </c>
      <c r="B1557" t="b">
        <f>COUNTIF($A$2:$A1557, A1557)&gt;1</f>
        <v>0</v>
      </c>
      <c r="C1557" t="b">
        <f t="shared" si="457"/>
        <v>0</v>
      </c>
      <c r="D1557">
        <f>VLOOKUP(A1557,variant_counts!A:B, 2, FALSE)</f>
        <v>5</v>
      </c>
      <c r="E1557" t="str">
        <f t="shared" si="470"/>
        <v>zard-exhaust-21-full-kit-ducati-hypermotard-1100-evo-scudo-version-zd108skrzd110skrzd114skr</v>
      </c>
      <c r="F1557" t="str">
        <f t="shared" si="458"/>
        <v>ZARD EXHAUST 2&gt;1 FULL KIT DUCATI HYPERMOTARD 1100 EVO SCUDO VERSION ZD108SKR/ZD110SKR/ZD114SKR</v>
      </c>
      <c r="G1557" t="str">
        <f t="shared" si="459"/>
        <v>&lt;p&gt;2&amp;gt;1 STEEL FULL KIT RACING WITH REMOVABLE DB KILLER&lt;/p&gt;
&lt;p&gt;CARBONIUM END-CAP AND HEAT-SHIELD&amp;nbsp;&lt;/p&gt;
&lt;p&gt;ORIGINAL FULL KIT WEIGHT (WITH NO LICENCE PLATE STAND): KG 5.6&lt;br&gt;ZARD STEEL FULL KIT WEIGHT: KG 3.1&lt;br&gt;ZARD TITANIUM FULL KIT WEIGHT: KG 1.9&lt;br&gt;ORIGINAL MANIFOLD WEIGHT: KG 5&lt;br&gt;ZARD HEADERS WEIGHT (NO CAT): KG 2.75&lt;/p&gt;
&lt;p&gt;HARD INCREASE, COMPARED TO THE ORIGINAL EXHAUST SYSTEM, IN TERMS OF TORQUE AND POWER AT ANY RANGE.&lt;/p&gt;
&lt;p&gt;ASTONISHING SOUND.&lt;/p&gt;</v>
      </c>
      <c r="H1557" t="str">
        <f t="shared" si="471"/>
        <v>ZARD</v>
      </c>
      <c r="I1557" t="str">
        <f t="shared" si="472"/>
        <v>Exhaust Pipe</v>
      </c>
      <c r="J1557" t="str">
        <f t="shared" si="473"/>
        <v>Test</v>
      </c>
      <c r="K1557" t="b">
        <f t="shared" si="474"/>
        <v>0</v>
      </c>
      <c r="L1557" t="str">
        <f t="shared" si="460"/>
        <v/>
      </c>
      <c r="M1557" t="str">
        <f t="shared" si="461"/>
        <v/>
      </c>
      <c r="R1557" t="str">
        <f t="shared" si="462"/>
        <v/>
      </c>
      <c r="S1557" t="str">
        <f t="shared" si="463"/>
        <v/>
      </c>
      <c r="U1557" t="str">
        <f t="shared" si="464"/>
        <v/>
      </c>
      <c r="V1557" t="str">
        <f t="shared" si="465"/>
        <v/>
      </c>
      <c r="W1557" s="5" t="str">
        <f t="shared" si="466"/>
        <v/>
      </c>
      <c r="Y1557" t="str">
        <f t="shared" si="467"/>
        <v/>
      </c>
      <c r="Z1557" t="str">
        <f t="shared" si="468"/>
        <v/>
      </c>
      <c r="AB1557" t="str">
        <f t="shared" si="469"/>
        <v>https://shop.officineitalianezard.it/contents/imgs/products/1_316-hypelateralekittitanio4.jpg</v>
      </c>
      <c r="AE1557" t="b">
        <v>0</v>
      </c>
    </row>
    <row r="1558" spans="1:31" x14ac:dyDescent="0.2">
      <c r="A1558" t="str">
        <f t="shared" si="456"/>
        <v>https://shop.officineitalianezard.it/en/products/index/ducati-hypermotard-796-exhaust-zard-7097-58/</v>
      </c>
      <c r="B1558" t="b">
        <f>COUNTIF($A$2:$A1558, A1558)&gt;1</f>
        <v>1</v>
      </c>
      <c r="C1558" t="b">
        <f t="shared" si="457"/>
        <v>0</v>
      </c>
      <c r="D1558">
        <f>VLOOKUP(A1558,variant_counts!A:B, 2, FALSE)</f>
        <v>5</v>
      </c>
      <c r="E1558" t="str">
        <f t="shared" si="470"/>
        <v>zard-exhaust-21-full-kit-ducati-hypermotard-1100-evo-scudo-version-zd108skrzd110skrzd114skr</v>
      </c>
      <c r="F1558" t="str">
        <f t="shared" si="458"/>
        <v>ZARD EXHAUST 2&gt;1 FULL KIT DUCATI HYPERMOTARD 1100 EVO SCUDO VERSION ZD108SKR/ZD110SKR/ZD114SKR</v>
      </c>
      <c r="G1558" t="str">
        <f t="shared" si="459"/>
        <v/>
      </c>
      <c r="H1558" t="str">
        <f t="shared" si="471"/>
        <v/>
      </c>
      <c r="I1558" t="str">
        <f t="shared" si="472"/>
        <v/>
      </c>
      <c r="J1558" t="str">
        <f t="shared" si="473"/>
        <v/>
      </c>
      <c r="K1558" t="str">
        <f t="shared" si="474"/>
        <v/>
      </c>
      <c r="L1558" t="str">
        <f t="shared" si="460"/>
        <v/>
      </c>
      <c r="M1558" t="str">
        <f t="shared" si="461"/>
        <v/>
      </c>
      <c r="R1558" t="str">
        <f t="shared" si="462"/>
        <v/>
      </c>
      <c r="S1558" t="str">
        <f t="shared" si="463"/>
        <v/>
      </c>
      <c r="U1558" t="str">
        <f t="shared" si="464"/>
        <v/>
      </c>
      <c r="V1558" t="str">
        <f t="shared" si="465"/>
        <v/>
      </c>
      <c r="W1558" s="5" t="str">
        <f t="shared" si="466"/>
        <v/>
      </c>
      <c r="Y1558" t="str">
        <f t="shared" si="467"/>
        <v/>
      </c>
      <c r="Z1558" t="str">
        <f t="shared" si="468"/>
        <v/>
      </c>
      <c r="AB1558" t="str">
        <f t="shared" si="469"/>
        <v>https://shop.officineitalianezard.it/contents/imgs/products/1_315-hypekitlateraleinox.jpg</v>
      </c>
      <c r="AE1558" t="b">
        <v>0</v>
      </c>
    </row>
    <row r="1559" spans="1:31" x14ac:dyDescent="0.2">
      <c r="A1559" t="str">
        <f t="shared" si="456"/>
        <v>https://shop.officineitalianezard.it/en/products/index/ducati-hypermotard-796-exhaust-zard-7097-58/</v>
      </c>
      <c r="B1559" t="b">
        <f>COUNTIF($A$2:$A1559, A1559)&gt;1</f>
        <v>1</v>
      </c>
      <c r="C1559" t="b">
        <f t="shared" si="457"/>
        <v>0</v>
      </c>
      <c r="D1559">
        <f>VLOOKUP(A1559,variant_counts!A:B, 2, FALSE)</f>
        <v>5</v>
      </c>
      <c r="E1559" t="str">
        <f t="shared" si="470"/>
        <v>zard-exhaust-21-full-kit-ducati-hypermotard-1100-evo-scudo-version-zd108skrzd110skrzd114skr</v>
      </c>
      <c r="F1559" t="str">
        <f t="shared" si="458"/>
        <v>ZARD EXHAUST 2&gt;1 FULL KIT DUCATI HYPERMOTARD 1100 EVO SCUDO VERSION ZD108SKR/ZD110SKR/ZD114SKR</v>
      </c>
      <c r="G1559" t="str">
        <f t="shared" si="459"/>
        <v/>
      </c>
      <c r="H1559" t="str">
        <f t="shared" si="471"/>
        <v/>
      </c>
      <c r="I1559" t="str">
        <f t="shared" si="472"/>
        <v/>
      </c>
      <c r="J1559" t="str">
        <f t="shared" si="473"/>
        <v/>
      </c>
      <c r="K1559" t="str">
        <f t="shared" si="474"/>
        <v/>
      </c>
      <c r="L1559" t="str">
        <f t="shared" si="460"/>
        <v/>
      </c>
      <c r="M1559" t="str">
        <f t="shared" si="461"/>
        <v/>
      </c>
      <c r="R1559" t="str">
        <f t="shared" si="462"/>
        <v/>
      </c>
      <c r="S1559" t="str">
        <f t="shared" si="463"/>
        <v/>
      </c>
      <c r="U1559" t="str">
        <f t="shared" si="464"/>
        <v/>
      </c>
      <c r="V1559" t="str">
        <f t="shared" si="465"/>
        <v/>
      </c>
      <c r="W1559" s="5" t="str">
        <f t="shared" si="466"/>
        <v/>
      </c>
      <c r="Y1559" t="str">
        <f t="shared" si="467"/>
        <v/>
      </c>
      <c r="Z1559" t="str">
        <f t="shared" si="468"/>
        <v/>
      </c>
      <c r="AB1559" t="str">
        <f t="shared" si="469"/>
        <v>https://shop.officineitalianezard.it/contents/imgs/products/1_317-hypekitlateraleinox3.jpg</v>
      </c>
      <c r="AE1559" t="b">
        <v>0</v>
      </c>
    </row>
    <row r="1560" spans="1:31" x14ac:dyDescent="0.2">
      <c r="A1560" t="str">
        <f t="shared" si="456"/>
        <v>https://shop.officineitalianezard.it/en/products/index/ducati-hypermotard-796-exhaust-zard-7097-58/</v>
      </c>
      <c r="B1560" t="b">
        <f>COUNTIF($A$2:$A1560, A1560)&gt;1</f>
        <v>1</v>
      </c>
      <c r="C1560" t="b">
        <f t="shared" si="457"/>
        <v>0</v>
      </c>
      <c r="D1560">
        <f>VLOOKUP(A1560,variant_counts!A:B, 2, FALSE)</f>
        <v>5</v>
      </c>
      <c r="E1560" t="str">
        <f t="shared" si="470"/>
        <v>zard-exhaust-21-full-kit-ducati-hypermotard-1100-evo-scudo-version-zd108skrzd110skrzd114skr</v>
      </c>
      <c r="F1560" t="str">
        <f t="shared" si="458"/>
        <v>ZARD EXHAUST 2&gt;1 FULL KIT DUCATI HYPERMOTARD 1100 EVO SCUDO VERSION ZD108SKR/ZD110SKR/ZD114SKR</v>
      </c>
      <c r="G1560" t="str">
        <f t="shared" si="459"/>
        <v/>
      </c>
      <c r="H1560" t="str">
        <f t="shared" si="471"/>
        <v/>
      </c>
      <c r="I1560" t="str">
        <f t="shared" si="472"/>
        <v/>
      </c>
      <c r="J1560" t="str">
        <f t="shared" si="473"/>
        <v/>
      </c>
      <c r="K1560" t="str">
        <f t="shared" si="474"/>
        <v/>
      </c>
      <c r="L1560" t="str">
        <f t="shared" si="460"/>
        <v/>
      </c>
      <c r="M1560" t="str">
        <f t="shared" si="461"/>
        <v/>
      </c>
      <c r="R1560" t="str">
        <f t="shared" si="462"/>
        <v/>
      </c>
      <c r="S1560" t="str">
        <f t="shared" si="463"/>
        <v/>
      </c>
      <c r="U1560" t="str">
        <f t="shared" si="464"/>
        <v/>
      </c>
      <c r="V1560" t="str">
        <f t="shared" si="465"/>
        <v/>
      </c>
      <c r="W1560" s="5" t="str">
        <f t="shared" si="466"/>
        <v/>
      </c>
      <c r="Y1560" t="str">
        <f t="shared" si="467"/>
        <v/>
      </c>
      <c r="Z1560" t="str">
        <f t="shared" si="468"/>
        <v/>
      </c>
      <c r="AB1560" t="str">
        <f t="shared" si="469"/>
        <v>https://shop.officineitalianezard.it/contents/imgs/products/1_318-hypekitlateraleinox2.jpg</v>
      </c>
      <c r="AE1560" t="b">
        <v>0</v>
      </c>
    </row>
    <row r="1561" spans="1:31" x14ac:dyDescent="0.2">
      <c r="A1561" t="str">
        <f t="shared" si="456"/>
        <v>https://shop.officineitalianezard.it/en/products/index/ducati-hypermotard-796-exhaust-zard-7097-58/</v>
      </c>
      <c r="B1561" t="b">
        <f>COUNTIF($A$2:$A1561, A1561)&gt;1</f>
        <v>1</v>
      </c>
      <c r="C1561" t="b">
        <f t="shared" si="457"/>
        <v>1</v>
      </c>
      <c r="D1561">
        <f>VLOOKUP(A1561,variant_counts!A:B, 2, FALSE)</f>
        <v>5</v>
      </c>
      <c r="E1561" t="str">
        <f t="shared" si="470"/>
        <v>zard-exhaust-21-full-kit-ducati-hypermotard-1100-evo-scudo-version-zd108skrzd110skrzd114skr</v>
      </c>
      <c r="F1561" t="str">
        <f t="shared" si="458"/>
        <v>ZARD EXHAUST 2&gt;1 FULL KIT DUCATI HYPERMOTARD 1100 EVO SCUDO VERSION ZD108SKR/ZD110SKR/ZD114SKR</v>
      </c>
      <c r="G1561" t="str">
        <f t="shared" si="459"/>
        <v/>
      </c>
      <c r="H1561" t="str">
        <f t="shared" si="471"/>
        <v/>
      </c>
      <c r="I1561" t="str">
        <f t="shared" si="472"/>
        <v/>
      </c>
      <c r="J1561" t="str">
        <f t="shared" si="473"/>
        <v/>
      </c>
      <c r="K1561" t="str">
        <f t="shared" si="474"/>
        <v/>
      </c>
      <c r="L1561" t="str">
        <f t="shared" si="460"/>
        <v>Option</v>
      </c>
      <c r="M1561" t="str">
        <f t="shared" si="461"/>
        <v>STEEL-TITANIUM RACING</v>
      </c>
      <c r="R1561" t="str">
        <f t="shared" si="462"/>
        <v>ZD108SKR/ZD110SKR/ZD114SKR</v>
      </c>
      <c r="S1561">
        <f t="shared" si="463"/>
        <v>0</v>
      </c>
      <c r="U1561" t="str">
        <f t="shared" si="464"/>
        <v>continue</v>
      </c>
      <c r="V1561" t="str">
        <f t="shared" si="465"/>
        <v>manual</v>
      </c>
      <c r="W1561" s="5">
        <f t="shared" si="466"/>
        <v>1351.5581999999999</v>
      </c>
      <c r="Y1561" t="b">
        <f t="shared" si="467"/>
        <v>1</v>
      </c>
      <c r="Z1561" t="b">
        <f t="shared" si="468"/>
        <v>0</v>
      </c>
      <c r="AB1561" t="str">
        <f t="shared" si="469"/>
        <v/>
      </c>
      <c r="AE1561" t="b">
        <v>0</v>
      </c>
    </row>
    <row r="1562" spans="1:31" x14ac:dyDescent="0.2">
      <c r="A1562" t="str">
        <f t="shared" si="456"/>
        <v>https://shop.officineitalianezard.it/en/products/index/ducati-hypermotard-796-exhaust-zard-7097-58/</v>
      </c>
      <c r="B1562" t="b">
        <f>COUNTIF($A$2:$A1562, A1562)&gt;1</f>
        <v>1</v>
      </c>
      <c r="C1562" t="b">
        <f t="shared" si="457"/>
        <v>1</v>
      </c>
      <c r="D1562">
        <f>VLOOKUP(A1562,variant_counts!A:B, 2, FALSE)</f>
        <v>5</v>
      </c>
      <c r="E1562" t="str">
        <f t="shared" si="470"/>
        <v>zard-exhaust-21-full-kit-ducati-hypermotard-1100-evo-scudo-version-zd108skrzd110skrzd114skr</v>
      </c>
      <c r="F1562" t="str">
        <f t="shared" si="458"/>
        <v>ZARD EXHAUST 2&gt;1 FULL KIT DUCATI HYPERMOTARD 1100 EVO SCUDO VERSION ZD108SKR/ZD110SKR/ZD114SKR</v>
      </c>
      <c r="G1562" t="str">
        <f t="shared" si="459"/>
        <v/>
      </c>
      <c r="H1562" t="str">
        <f t="shared" si="471"/>
        <v/>
      </c>
      <c r="I1562" t="str">
        <f t="shared" si="472"/>
        <v/>
      </c>
      <c r="J1562" t="str">
        <f t="shared" si="473"/>
        <v/>
      </c>
      <c r="K1562" t="str">
        <f t="shared" si="474"/>
        <v/>
      </c>
      <c r="L1562" t="str">
        <f t="shared" si="460"/>
        <v>Option</v>
      </c>
      <c r="M1562" t="str">
        <f t="shared" si="461"/>
        <v>FULL TITANIUM RACING</v>
      </c>
      <c r="R1562" t="str">
        <f t="shared" si="462"/>
        <v>ZD108SKR/ZD110SKR/ZD114SKR</v>
      </c>
      <c r="S1562">
        <f t="shared" si="463"/>
        <v>0</v>
      </c>
      <c r="U1562" t="str">
        <f t="shared" si="464"/>
        <v>continue</v>
      </c>
      <c r="V1562" t="str">
        <f t="shared" si="465"/>
        <v>manual</v>
      </c>
      <c r="W1562" s="5">
        <f t="shared" si="466"/>
        <v>1545.6306000000002</v>
      </c>
      <c r="Y1562" t="b">
        <f t="shared" si="467"/>
        <v>1</v>
      </c>
      <c r="Z1562" t="b">
        <f t="shared" si="468"/>
        <v>0</v>
      </c>
      <c r="AB1562" t="str">
        <f t="shared" si="469"/>
        <v/>
      </c>
      <c r="AE1562" t="b">
        <v>0</v>
      </c>
    </row>
    <row r="1563" spans="1:31" x14ac:dyDescent="0.2">
      <c r="A1563" t="str">
        <f t="shared" si="456"/>
        <v>https://shop.officineitalianezard.it/en/products/index/ducati-hypermotard-796-exhaust-zard-7097-58/</v>
      </c>
      <c r="B1563" t="b">
        <f>COUNTIF($A$2:$A1563, A1563)&gt;1</f>
        <v>1</v>
      </c>
      <c r="C1563" t="b">
        <f t="shared" si="457"/>
        <v>1</v>
      </c>
      <c r="D1563">
        <f>VLOOKUP(A1563,variant_counts!A:B, 2, FALSE)</f>
        <v>5</v>
      </c>
      <c r="E1563" t="str">
        <f t="shared" si="470"/>
        <v>zard-exhaust-21-full-kit-ducati-hypermotard-1100-evo-scudo-version-zd108skrzd110skrzd114skr</v>
      </c>
      <c r="F1563" t="str">
        <f t="shared" si="458"/>
        <v>ZARD EXHAUST 2&gt;1 FULL KIT DUCATI HYPERMOTARD 1100 EVO SCUDO VERSION ZD108SKR/ZD110SKR/ZD114SKR</v>
      </c>
      <c r="G1563" t="str">
        <f t="shared" si="459"/>
        <v/>
      </c>
      <c r="H1563" t="str">
        <f t="shared" si="471"/>
        <v/>
      </c>
      <c r="I1563" t="str">
        <f t="shared" si="472"/>
        <v/>
      </c>
      <c r="J1563" t="str">
        <f t="shared" si="473"/>
        <v/>
      </c>
      <c r="K1563" t="str">
        <f t="shared" si="474"/>
        <v/>
      </c>
      <c r="L1563" t="str">
        <f t="shared" si="460"/>
        <v>Option</v>
      </c>
      <c r="M1563" t="str">
        <f t="shared" si="461"/>
        <v>FULL TITANIUM HOMOLOGATED</v>
      </c>
      <c r="R1563" t="str">
        <f t="shared" si="462"/>
        <v>ZD108SKR/ZD110SKR/ZD114SKR</v>
      </c>
      <c r="S1563">
        <f t="shared" si="463"/>
        <v>0</v>
      </c>
      <c r="U1563" t="str">
        <f t="shared" si="464"/>
        <v>continue</v>
      </c>
      <c r="V1563" t="str">
        <f t="shared" si="465"/>
        <v>manual</v>
      </c>
      <c r="W1563" s="5">
        <f t="shared" si="466"/>
        <v>1764.2673</v>
      </c>
      <c r="Y1563" t="b">
        <f t="shared" si="467"/>
        <v>1</v>
      </c>
      <c r="Z1563" t="b">
        <f t="shared" si="468"/>
        <v>0</v>
      </c>
      <c r="AB1563" t="str">
        <f t="shared" si="469"/>
        <v/>
      </c>
      <c r="AE1563" t="b">
        <v>0</v>
      </c>
    </row>
    <row r="1564" spans="1:31" x14ac:dyDescent="0.2">
      <c r="A1564" t="str">
        <f t="shared" si="456"/>
        <v>https://shop.officineitalianezard.it/en/products/index/ducati-hypermotard-796-exhaust-zard-7097-58/</v>
      </c>
      <c r="B1564" t="b">
        <f>COUNTIF($A$2:$A1564, A1564)&gt;1</f>
        <v>1</v>
      </c>
      <c r="C1564" t="b">
        <f t="shared" si="457"/>
        <v>1</v>
      </c>
      <c r="D1564">
        <f>VLOOKUP(A1564,variant_counts!A:B, 2, FALSE)</f>
        <v>5</v>
      </c>
      <c r="E1564" t="str">
        <f t="shared" si="470"/>
        <v>zard-exhaust-21-full-kit-ducati-hypermotard-1100-evo-scudo-version-zd108skrzd110skrzd114skr</v>
      </c>
      <c r="F1564" t="str">
        <f t="shared" si="458"/>
        <v>ZARD EXHAUST 2&gt;1 FULL KIT DUCATI HYPERMOTARD 1100 EVO SCUDO VERSION ZD108SKR/ZD110SKR/ZD114SKR</v>
      </c>
      <c r="G1564" t="str">
        <f t="shared" si="459"/>
        <v/>
      </c>
      <c r="H1564" t="str">
        <f t="shared" si="471"/>
        <v/>
      </c>
      <c r="I1564" t="str">
        <f t="shared" si="472"/>
        <v/>
      </c>
      <c r="J1564" t="str">
        <f t="shared" si="473"/>
        <v/>
      </c>
      <c r="K1564" t="str">
        <f t="shared" si="474"/>
        <v/>
      </c>
      <c r="L1564" t="str">
        <f t="shared" si="460"/>
        <v>Option</v>
      </c>
      <c r="M1564" t="str">
        <f t="shared" si="461"/>
        <v>STEEL-ALUMINIUM HOMOLOGATED</v>
      </c>
      <c r="R1564" t="str">
        <f t="shared" si="462"/>
        <v>ZD108SKR/ZD110SKR/ZD114SKR</v>
      </c>
      <c r="S1564">
        <f t="shared" si="463"/>
        <v>0</v>
      </c>
      <c r="U1564" t="str">
        <f t="shared" si="464"/>
        <v>continue</v>
      </c>
      <c r="V1564" t="str">
        <f t="shared" si="465"/>
        <v>manual</v>
      </c>
      <c r="W1564" s="5">
        <f t="shared" si="466"/>
        <v>1351.5581999999999</v>
      </c>
      <c r="Y1564" t="b">
        <f t="shared" si="467"/>
        <v>1</v>
      </c>
      <c r="Z1564" t="b">
        <f t="shared" si="468"/>
        <v>0</v>
      </c>
      <c r="AB1564" t="str">
        <f t="shared" si="469"/>
        <v/>
      </c>
      <c r="AE1564" t="b">
        <v>0</v>
      </c>
    </row>
    <row r="1565" spans="1:31" x14ac:dyDescent="0.2">
      <c r="A1565" t="str">
        <f t="shared" si="456"/>
        <v>https://shop.officineitalianezard.it/en/products/index/ducati-hypermotard-796-exhaust-zard-7097-58/</v>
      </c>
      <c r="B1565" t="b">
        <f>COUNTIF($A$2:$A1565, A1565)&gt;1</f>
        <v>1</v>
      </c>
      <c r="C1565" t="b">
        <f t="shared" si="457"/>
        <v>1</v>
      </c>
      <c r="D1565">
        <f>VLOOKUP(A1565,variant_counts!A:B, 2, FALSE)</f>
        <v>5</v>
      </c>
      <c r="E1565" t="str">
        <f t="shared" si="470"/>
        <v>zard-exhaust-21-full-kit-ducati-hypermotard-1100-evo-scudo-version-zd108skrzd110skrzd114skr</v>
      </c>
      <c r="F1565" t="str">
        <f t="shared" si="458"/>
        <v>ZARD EXHAUST 2&gt;1 FULL KIT DUCATI HYPERMOTARD 1100 EVO SCUDO VERSION ZD108SKR/ZD110SKR/ZD114SKR</v>
      </c>
      <c r="G1565" t="str">
        <f t="shared" si="459"/>
        <v/>
      </c>
      <c r="H1565" t="str">
        <f t="shared" si="471"/>
        <v/>
      </c>
      <c r="I1565" t="str">
        <f t="shared" si="472"/>
        <v/>
      </c>
      <c r="J1565" t="str">
        <f t="shared" si="473"/>
        <v/>
      </c>
      <c r="K1565" t="str">
        <f t="shared" si="474"/>
        <v/>
      </c>
      <c r="L1565" t="str">
        <f t="shared" si="460"/>
        <v>Option</v>
      </c>
      <c r="M1565" t="str">
        <f t="shared" si="461"/>
        <v>STEEL-TITANIUM HOMOLOGATED</v>
      </c>
      <c r="R1565" t="str">
        <f t="shared" si="462"/>
        <v>ZD108SKR/ZD110SKR/ZD114SKR</v>
      </c>
      <c r="S1565">
        <f t="shared" si="463"/>
        <v>0</v>
      </c>
      <c r="U1565" t="str">
        <f t="shared" si="464"/>
        <v>continue</v>
      </c>
      <c r="V1565" t="str">
        <f t="shared" si="465"/>
        <v>manual</v>
      </c>
      <c r="W1565" s="5">
        <f t="shared" si="466"/>
        <v>1569.3735000000001</v>
      </c>
      <c r="Y1565" t="b">
        <f t="shared" si="467"/>
        <v>1</v>
      </c>
      <c r="Z1565" t="b">
        <f t="shared" si="468"/>
        <v>0</v>
      </c>
      <c r="AB1565" t="str">
        <f t="shared" si="469"/>
        <v/>
      </c>
      <c r="AE1565" t="b">
        <v>0</v>
      </c>
    </row>
    <row r="1566" spans="1:31" x14ac:dyDescent="0.2">
      <c r="A1566" t="str">
        <f t="shared" si="456"/>
        <v>https://shop.officineitalianezard.it/en/products/index/ducati-hypermotard-796-exhaust-zard-7097-57/</v>
      </c>
      <c r="B1566" t="b">
        <f>COUNTIF($A$2:$A1566, A1566)&gt;1</f>
        <v>0</v>
      </c>
      <c r="C1566" t="b">
        <f t="shared" si="457"/>
        <v>0</v>
      </c>
      <c r="D1566">
        <f>VLOOKUP(A1566,variant_counts!A:B, 2, FALSE)</f>
        <v>5</v>
      </c>
      <c r="E1566" t="str">
        <f t="shared" si="470"/>
        <v>zard-exhaust-21-full-kit-ducati-hypermotard-1100-scudo-version-zd108skrzd110skrzd114skr</v>
      </c>
      <c r="F1566" t="str">
        <f t="shared" si="458"/>
        <v>ZARD EXHAUST 2&gt;1 FULL KIT DUCATI HYPERMOTARD 1100 SCUDO VERSION ZD108SKR/ZD110SKR/ZD114SKR</v>
      </c>
      <c r="G1566" t="str">
        <f t="shared" si="459"/>
        <v>&lt;p&gt;2&amp;gt;1 STEEL FULL KIT RACING WITH REMOVABLE DB KILLER&lt;/p&gt;
&lt;p&gt;CARBONIUM END-CAP AND HEAT-SHIELD&amp;nbsp;&lt;/p&gt;
&lt;p&gt;ORIGINAL FULL KIT WEIGHT (WITH NO LICENCE PLATE STAND): KG 5.6&lt;br&gt;ZARD STEEL FULL KIT WEIGHT: KG 3.1&lt;br&gt;ZARD TITANIUM FULL KIT WEIGHT: KG 1.9&lt;br&gt;ORIGINAL MANIFOLD WEIGHT: KG 5&lt;br&gt;ZARD HEADERS WEIGHT (NO CAT): KG 2.75&lt;/p&gt;
&lt;p&gt;HARD INCREASE, COMPARED TO THE ORIGINAL EXHAUST SYSTEM, IN TERMS OF TORQUE AND POWER AT ANY RANGE.&lt;/p&gt;
&lt;p&gt;ASTONISHING SOUND.&lt;/p&gt;</v>
      </c>
      <c r="H1566" t="str">
        <f t="shared" si="471"/>
        <v>ZARD</v>
      </c>
      <c r="I1566" t="str">
        <f t="shared" si="472"/>
        <v>Exhaust Pipe</v>
      </c>
      <c r="J1566" t="str">
        <f t="shared" si="473"/>
        <v>Test</v>
      </c>
      <c r="K1566" t="b">
        <f t="shared" si="474"/>
        <v>0</v>
      </c>
      <c r="L1566" t="str">
        <f t="shared" si="460"/>
        <v/>
      </c>
      <c r="M1566" t="str">
        <f t="shared" si="461"/>
        <v/>
      </c>
      <c r="R1566" t="str">
        <f t="shared" si="462"/>
        <v/>
      </c>
      <c r="S1566" t="str">
        <f t="shared" si="463"/>
        <v/>
      </c>
      <c r="U1566" t="str">
        <f t="shared" si="464"/>
        <v/>
      </c>
      <c r="V1566" t="str">
        <f t="shared" si="465"/>
        <v/>
      </c>
      <c r="W1566" s="5" t="str">
        <f t="shared" si="466"/>
        <v/>
      </c>
      <c r="Y1566" t="str">
        <f t="shared" si="467"/>
        <v/>
      </c>
      <c r="Z1566" t="str">
        <f t="shared" si="468"/>
        <v/>
      </c>
      <c r="AB1566" t="str">
        <f t="shared" si="469"/>
        <v>https://shop.officineitalianezard.it/contents/imgs/products/1_316-hypelateralekittitanio4.jpg</v>
      </c>
      <c r="AE1566" t="b">
        <v>0</v>
      </c>
    </row>
    <row r="1567" spans="1:31" x14ac:dyDescent="0.2">
      <c r="A1567" t="str">
        <f t="shared" si="456"/>
        <v>https://shop.officineitalianezard.it/en/products/index/ducati-hypermotard-796-exhaust-zard-7097-57/</v>
      </c>
      <c r="B1567" t="b">
        <f>COUNTIF($A$2:$A1567, A1567)&gt;1</f>
        <v>1</v>
      </c>
      <c r="C1567" t="b">
        <f t="shared" si="457"/>
        <v>0</v>
      </c>
      <c r="D1567">
        <f>VLOOKUP(A1567,variant_counts!A:B, 2, FALSE)</f>
        <v>5</v>
      </c>
      <c r="E1567" t="str">
        <f t="shared" si="470"/>
        <v>zard-exhaust-21-full-kit-ducati-hypermotard-1100-scudo-version-zd108skrzd110skrzd114skr</v>
      </c>
      <c r="F1567" t="str">
        <f t="shared" si="458"/>
        <v>ZARD EXHAUST 2&gt;1 FULL KIT DUCATI HYPERMOTARD 1100 SCUDO VERSION ZD108SKR/ZD110SKR/ZD114SKR</v>
      </c>
      <c r="G1567" t="str">
        <f t="shared" si="459"/>
        <v/>
      </c>
      <c r="H1567" t="str">
        <f t="shared" si="471"/>
        <v/>
      </c>
      <c r="I1567" t="str">
        <f t="shared" si="472"/>
        <v/>
      </c>
      <c r="J1567" t="str">
        <f t="shared" si="473"/>
        <v/>
      </c>
      <c r="K1567" t="str">
        <f t="shared" si="474"/>
        <v/>
      </c>
      <c r="L1567" t="str">
        <f t="shared" si="460"/>
        <v/>
      </c>
      <c r="M1567" t="str">
        <f t="shared" si="461"/>
        <v/>
      </c>
      <c r="R1567" t="str">
        <f t="shared" si="462"/>
        <v/>
      </c>
      <c r="S1567" t="str">
        <f t="shared" si="463"/>
        <v/>
      </c>
      <c r="U1567" t="str">
        <f t="shared" si="464"/>
        <v/>
      </c>
      <c r="V1567" t="str">
        <f t="shared" si="465"/>
        <v/>
      </c>
      <c r="W1567" s="5" t="str">
        <f t="shared" si="466"/>
        <v/>
      </c>
      <c r="Y1567" t="str">
        <f t="shared" si="467"/>
        <v/>
      </c>
      <c r="Z1567" t="str">
        <f t="shared" si="468"/>
        <v/>
      </c>
      <c r="AB1567" t="str">
        <f t="shared" si="469"/>
        <v>https://shop.officineitalianezard.it/contents/imgs/products/1_315-hypekitlateraleinox.jpg</v>
      </c>
      <c r="AE1567" t="b">
        <v>0</v>
      </c>
    </row>
    <row r="1568" spans="1:31" x14ac:dyDescent="0.2">
      <c r="A1568" t="str">
        <f t="shared" si="456"/>
        <v>https://shop.officineitalianezard.it/en/products/index/ducati-hypermotard-796-exhaust-zard-7097-57/</v>
      </c>
      <c r="B1568" t="b">
        <f>COUNTIF($A$2:$A1568, A1568)&gt;1</f>
        <v>1</v>
      </c>
      <c r="C1568" t="b">
        <f t="shared" si="457"/>
        <v>0</v>
      </c>
      <c r="D1568">
        <f>VLOOKUP(A1568,variant_counts!A:B, 2, FALSE)</f>
        <v>5</v>
      </c>
      <c r="E1568" t="str">
        <f t="shared" si="470"/>
        <v>zard-exhaust-21-full-kit-ducati-hypermotard-1100-scudo-version-zd108skrzd110skrzd114skr</v>
      </c>
      <c r="F1568" t="str">
        <f t="shared" si="458"/>
        <v>ZARD EXHAUST 2&gt;1 FULL KIT DUCATI HYPERMOTARD 1100 SCUDO VERSION ZD108SKR/ZD110SKR/ZD114SKR</v>
      </c>
      <c r="G1568" t="str">
        <f t="shared" si="459"/>
        <v/>
      </c>
      <c r="H1568" t="str">
        <f t="shared" si="471"/>
        <v/>
      </c>
      <c r="I1568" t="str">
        <f t="shared" si="472"/>
        <v/>
      </c>
      <c r="J1568" t="str">
        <f t="shared" si="473"/>
        <v/>
      </c>
      <c r="K1568" t="str">
        <f t="shared" si="474"/>
        <v/>
      </c>
      <c r="L1568" t="str">
        <f t="shared" si="460"/>
        <v/>
      </c>
      <c r="M1568" t="str">
        <f t="shared" si="461"/>
        <v/>
      </c>
      <c r="R1568" t="str">
        <f t="shared" si="462"/>
        <v/>
      </c>
      <c r="S1568" t="str">
        <f t="shared" si="463"/>
        <v/>
      </c>
      <c r="U1568" t="str">
        <f t="shared" si="464"/>
        <v/>
      </c>
      <c r="V1568" t="str">
        <f t="shared" si="465"/>
        <v/>
      </c>
      <c r="W1568" s="5" t="str">
        <f t="shared" si="466"/>
        <v/>
      </c>
      <c r="Y1568" t="str">
        <f t="shared" si="467"/>
        <v/>
      </c>
      <c r="Z1568" t="str">
        <f t="shared" si="468"/>
        <v/>
      </c>
      <c r="AB1568" t="str">
        <f t="shared" si="469"/>
        <v>https://shop.officineitalianezard.it/contents/imgs/products/1_317-hypekitlateraleinox3.jpg</v>
      </c>
      <c r="AE1568" t="b">
        <v>0</v>
      </c>
    </row>
    <row r="1569" spans="1:31" x14ac:dyDescent="0.2">
      <c r="A1569" t="str">
        <f t="shared" si="456"/>
        <v>https://shop.officineitalianezard.it/en/products/index/ducati-hypermotard-796-exhaust-zard-7097-57/</v>
      </c>
      <c r="B1569" t="b">
        <f>COUNTIF($A$2:$A1569, A1569)&gt;1</f>
        <v>1</v>
      </c>
      <c r="C1569" t="b">
        <f t="shared" si="457"/>
        <v>0</v>
      </c>
      <c r="D1569">
        <f>VLOOKUP(A1569,variant_counts!A:B, 2, FALSE)</f>
        <v>5</v>
      </c>
      <c r="E1569" t="str">
        <f t="shared" si="470"/>
        <v>zard-exhaust-21-full-kit-ducati-hypermotard-1100-scudo-version-zd108skrzd110skrzd114skr</v>
      </c>
      <c r="F1569" t="str">
        <f t="shared" si="458"/>
        <v>ZARD EXHAUST 2&gt;1 FULL KIT DUCATI HYPERMOTARD 1100 SCUDO VERSION ZD108SKR/ZD110SKR/ZD114SKR</v>
      </c>
      <c r="G1569" t="str">
        <f t="shared" si="459"/>
        <v/>
      </c>
      <c r="H1569" t="str">
        <f t="shared" si="471"/>
        <v/>
      </c>
      <c r="I1569" t="str">
        <f t="shared" si="472"/>
        <v/>
      </c>
      <c r="J1569" t="str">
        <f t="shared" si="473"/>
        <v/>
      </c>
      <c r="K1569" t="str">
        <f t="shared" si="474"/>
        <v/>
      </c>
      <c r="L1569" t="str">
        <f t="shared" si="460"/>
        <v/>
      </c>
      <c r="M1569" t="str">
        <f t="shared" si="461"/>
        <v/>
      </c>
      <c r="R1569" t="str">
        <f t="shared" si="462"/>
        <v/>
      </c>
      <c r="S1569" t="str">
        <f t="shared" si="463"/>
        <v/>
      </c>
      <c r="U1569" t="str">
        <f t="shared" si="464"/>
        <v/>
      </c>
      <c r="V1569" t="str">
        <f t="shared" si="465"/>
        <v/>
      </c>
      <c r="W1569" s="5" t="str">
        <f t="shared" si="466"/>
        <v/>
      </c>
      <c r="Y1569" t="str">
        <f t="shared" si="467"/>
        <v/>
      </c>
      <c r="Z1569" t="str">
        <f t="shared" si="468"/>
        <v/>
      </c>
      <c r="AB1569" t="str">
        <f t="shared" si="469"/>
        <v>https://shop.officineitalianezard.it/contents/imgs/products/1_318-hypekitlateraleinox2.jpg</v>
      </c>
      <c r="AE1569" t="b">
        <v>0</v>
      </c>
    </row>
    <row r="1570" spans="1:31" x14ac:dyDescent="0.2">
      <c r="A1570" t="str">
        <f t="shared" si="456"/>
        <v>https://shop.officineitalianezard.it/en/products/index/ducati-hypermotard-796-exhaust-zard-7097-57/</v>
      </c>
      <c r="B1570" t="b">
        <f>COUNTIF($A$2:$A1570, A1570)&gt;1</f>
        <v>1</v>
      </c>
      <c r="C1570" t="b">
        <f t="shared" si="457"/>
        <v>1</v>
      </c>
      <c r="D1570">
        <f>VLOOKUP(A1570,variant_counts!A:B, 2, FALSE)</f>
        <v>5</v>
      </c>
      <c r="E1570" t="str">
        <f t="shared" si="470"/>
        <v>zard-exhaust-21-full-kit-ducati-hypermotard-1100-scudo-version-zd108skrzd110skrzd114skr</v>
      </c>
      <c r="F1570" t="str">
        <f t="shared" si="458"/>
        <v>ZARD EXHAUST 2&gt;1 FULL KIT DUCATI HYPERMOTARD 1100 SCUDO VERSION ZD108SKR/ZD110SKR/ZD114SKR</v>
      </c>
      <c r="G1570" t="str">
        <f t="shared" si="459"/>
        <v/>
      </c>
      <c r="H1570" t="str">
        <f t="shared" si="471"/>
        <v/>
      </c>
      <c r="I1570" t="str">
        <f t="shared" si="472"/>
        <v/>
      </c>
      <c r="J1570" t="str">
        <f t="shared" si="473"/>
        <v/>
      </c>
      <c r="K1570" t="str">
        <f t="shared" si="474"/>
        <v/>
      </c>
      <c r="L1570" t="str">
        <f t="shared" si="460"/>
        <v>Option</v>
      </c>
      <c r="M1570" t="str">
        <f t="shared" si="461"/>
        <v>STEEL-TITANIUM RACING</v>
      </c>
      <c r="R1570" t="str">
        <f t="shared" si="462"/>
        <v>ZD108SKR/ZD110SKR/ZD114SKR</v>
      </c>
      <c r="S1570">
        <f t="shared" si="463"/>
        <v>0</v>
      </c>
      <c r="U1570" t="str">
        <f t="shared" si="464"/>
        <v>continue</v>
      </c>
      <c r="V1570" t="str">
        <f t="shared" si="465"/>
        <v>manual</v>
      </c>
      <c r="W1570" s="5">
        <f t="shared" si="466"/>
        <v>1351.5581999999999</v>
      </c>
      <c r="Y1570" t="b">
        <f t="shared" si="467"/>
        <v>1</v>
      </c>
      <c r="Z1570" t="b">
        <f t="shared" si="468"/>
        <v>0</v>
      </c>
      <c r="AB1570" t="str">
        <f t="shared" si="469"/>
        <v/>
      </c>
      <c r="AE1570" t="b">
        <v>0</v>
      </c>
    </row>
    <row r="1571" spans="1:31" x14ac:dyDescent="0.2">
      <c r="A1571" t="str">
        <f t="shared" si="456"/>
        <v>https://shop.officineitalianezard.it/en/products/index/ducati-hypermotard-796-exhaust-zard-7097-57/</v>
      </c>
      <c r="B1571" t="b">
        <f>COUNTIF($A$2:$A1571, A1571)&gt;1</f>
        <v>1</v>
      </c>
      <c r="C1571" t="b">
        <f t="shared" si="457"/>
        <v>1</v>
      </c>
      <c r="D1571">
        <f>VLOOKUP(A1571,variant_counts!A:B, 2, FALSE)</f>
        <v>5</v>
      </c>
      <c r="E1571" t="str">
        <f t="shared" si="470"/>
        <v>zard-exhaust-21-full-kit-ducati-hypermotard-1100-scudo-version-zd108skrzd110skrzd114skr</v>
      </c>
      <c r="F1571" t="str">
        <f t="shared" si="458"/>
        <v>ZARD EXHAUST 2&gt;1 FULL KIT DUCATI HYPERMOTARD 1100 SCUDO VERSION ZD108SKR/ZD110SKR/ZD114SKR</v>
      </c>
      <c r="G1571" t="str">
        <f t="shared" si="459"/>
        <v/>
      </c>
      <c r="H1571" t="str">
        <f t="shared" si="471"/>
        <v/>
      </c>
      <c r="I1571" t="str">
        <f t="shared" si="472"/>
        <v/>
      </c>
      <c r="J1571" t="str">
        <f t="shared" si="473"/>
        <v/>
      </c>
      <c r="K1571" t="str">
        <f t="shared" si="474"/>
        <v/>
      </c>
      <c r="L1571" t="str">
        <f t="shared" si="460"/>
        <v>Option</v>
      </c>
      <c r="M1571" t="str">
        <f t="shared" si="461"/>
        <v>FULL TITANIUM RACING</v>
      </c>
      <c r="R1571" t="str">
        <f t="shared" si="462"/>
        <v>ZD108SKR/ZD110SKR/ZD114SKR</v>
      </c>
      <c r="S1571">
        <f t="shared" si="463"/>
        <v>0</v>
      </c>
      <c r="U1571" t="str">
        <f t="shared" si="464"/>
        <v>continue</v>
      </c>
      <c r="V1571" t="str">
        <f t="shared" si="465"/>
        <v>manual</v>
      </c>
      <c r="W1571" s="5">
        <f t="shared" si="466"/>
        <v>1545.6306000000002</v>
      </c>
      <c r="Y1571" t="b">
        <f t="shared" si="467"/>
        <v>1</v>
      </c>
      <c r="Z1571" t="b">
        <f t="shared" si="468"/>
        <v>0</v>
      </c>
      <c r="AB1571" t="str">
        <f t="shared" si="469"/>
        <v/>
      </c>
      <c r="AE1571" t="b">
        <v>0</v>
      </c>
    </row>
    <row r="1572" spans="1:31" x14ac:dyDescent="0.2">
      <c r="A1572" t="str">
        <f t="shared" si="456"/>
        <v>https://shop.officineitalianezard.it/en/products/index/ducati-hypermotard-796-exhaust-zard-7097-57/</v>
      </c>
      <c r="B1572" t="b">
        <f>COUNTIF($A$2:$A1572, A1572)&gt;1</f>
        <v>1</v>
      </c>
      <c r="C1572" t="b">
        <f t="shared" si="457"/>
        <v>1</v>
      </c>
      <c r="D1572">
        <f>VLOOKUP(A1572,variant_counts!A:B, 2, FALSE)</f>
        <v>5</v>
      </c>
      <c r="E1572" t="str">
        <f t="shared" si="470"/>
        <v>zard-exhaust-21-full-kit-ducati-hypermotard-1100-scudo-version-zd108skrzd110skrzd114skr</v>
      </c>
      <c r="F1572" t="str">
        <f t="shared" si="458"/>
        <v>ZARD EXHAUST 2&gt;1 FULL KIT DUCATI HYPERMOTARD 1100 SCUDO VERSION ZD108SKR/ZD110SKR/ZD114SKR</v>
      </c>
      <c r="G1572" t="str">
        <f t="shared" si="459"/>
        <v/>
      </c>
      <c r="H1572" t="str">
        <f t="shared" si="471"/>
        <v/>
      </c>
      <c r="I1572" t="str">
        <f t="shared" si="472"/>
        <v/>
      </c>
      <c r="J1572" t="str">
        <f t="shared" si="473"/>
        <v/>
      </c>
      <c r="K1572" t="str">
        <f t="shared" si="474"/>
        <v/>
      </c>
      <c r="L1572" t="str">
        <f t="shared" si="460"/>
        <v>Option</v>
      </c>
      <c r="M1572" t="str">
        <f t="shared" si="461"/>
        <v>FULL TITANIUM HOMOLOGATED</v>
      </c>
      <c r="R1572" t="str">
        <f t="shared" si="462"/>
        <v>ZD108SKR/ZD110SKR/ZD114SKR</v>
      </c>
      <c r="S1572">
        <f t="shared" si="463"/>
        <v>0</v>
      </c>
      <c r="U1572" t="str">
        <f t="shared" si="464"/>
        <v>continue</v>
      </c>
      <c r="V1572" t="str">
        <f t="shared" si="465"/>
        <v>manual</v>
      </c>
      <c r="W1572" s="5">
        <f t="shared" si="466"/>
        <v>1764.2673</v>
      </c>
      <c r="Y1572" t="b">
        <f t="shared" si="467"/>
        <v>1</v>
      </c>
      <c r="Z1572" t="b">
        <f t="shared" si="468"/>
        <v>0</v>
      </c>
      <c r="AB1572" t="str">
        <f t="shared" si="469"/>
        <v/>
      </c>
      <c r="AE1572" t="b">
        <v>0</v>
      </c>
    </row>
    <row r="1573" spans="1:31" x14ac:dyDescent="0.2">
      <c r="A1573" t="str">
        <f t="shared" si="456"/>
        <v>https://shop.officineitalianezard.it/en/products/index/ducati-hypermotard-796-exhaust-zard-7097-57/</v>
      </c>
      <c r="B1573" t="b">
        <f>COUNTIF($A$2:$A1573, A1573)&gt;1</f>
        <v>1</v>
      </c>
      <c r="C1573" t="b">
        <f t="shared" si="457"/>
        <v>1</v>
      </c>
      <c r="D1573">
        <f>VLOOKUP(A1573,variant_counts!A:B, 2, FALSE)</f>
        <v>5</v>
      </c>
      <c r="E1573" t="str">
        <f t="shared" si="470"/>
        <v>zard-exhaust-21-full-kit-ducati-hypermotard-1100-scudo-version-zd108skrzd110skrzd114skr</v>
      </c>
      <c r="F1573" t="str">
        <f t="shared" si="458"/>
        <v>ZARD EXHAUST 2&gt;1 FULL KIT DUCATI HYPERMOTARD 1100 SCUDO VERSION ZD108SKR/ZD110SKR/ZD114SKR</v>
      </c>
      <c r="G1573" t="str">
        <f t="shared" si="459"/>
        <v/>
      </c>
      <c r="H1573" t="str">
        <f t="shared" si="471"/>
        <v/>
      </c>
      <c r="I1573" t="str">
        <f t="shared" si="472"/>
        <v/>
      </c>
      <c r="J1573" t="str">
        <f t="shared" si="473"/>
        <v/>
      </c>
      <c r="K1573" t="str">
        <f t="shared" si="474"/>
        <v/>
      </c>
      <c r="L1573" t="str">
        <f t="shared" si="460"/>
        <v>Option</v>
      </c>
      <c r="M1573" t="str">
        <f t="shared" si="461"/>
        <v>STEEL-ALUMINIUM HOMOLOGATED</v>
      </c>
      <c r="R1573" t="str">
        <f t="shared" si="462"/>
        <v>ZD108SKR/ZD110SKR/ZD114SKR</v>
      </c>
      <c r="S1573">
        <f t="shared" si="463"/>
        <v>0</v>
      </c>
      <c r="U1573" t="str">
        <f t="shared" si="464"/>
        <v>continue</v>
      </c>
      <c r="V1573" t="str">
        <f t="shared" si="465"/>
        <v>manual</v>
      </c>
      <c r="W1573" s="5">
        <f t="shared" si="466"/>
        <v>1351.5581999999999</v>
      </c>
      <c r="Y1573" t="b">
        <f t="shared" si="467"/>
        <v>1</v>
      </c>
      <c r="Z1573" t="b">
        <f t="shared" si="468"/>
        <v>0</v>
      </c>
      <c r="AB1573" t="str">
        <f t="shared" si="469"/>
        <v/>
      </c>
      <c r="AE1573" t="b">
        <v>0</v>
      </c>
    </row>
    <row r="1574" spans="1:31" x14ac:dyDescent="0.2">
      <c r="A1574" t="str">
        <f t="shared" si="456"/>
        <v>https://shop.officineitalianezard.it/en/products/index/ducati-hypermotard-796-exhaust-zard-7097-57/</v>
      </c>
      <c r="B1574" t="b">
        <f>COUNTIF($A$2:$A1574, A1574)&gt;1</f>
        <v>1</v>
      </c>
      <c r="C1574" t="b">
        <f t="shared" si="457"/>
        <v>1</v>
      </c>
      <c r="D1574">
        <f>VLOOKUP(A1574,variant_counts!A:B, 2, FALSE)</f>
        <v>5</v>
      </c>
      <c r="E1574" t="str">
        <f t="shared" si="470"/>
        <v>zard-exhaust-21-full-kit-ducati-hypermotard-1100-scudo-version-zd108skrzd110skrzd114skr</v>
      </c>
      <c r="F1574" t="str">
        <f t="shared" si="458"/>
        <v>ZARD EXHAUST 2&gt;1 FULL KIT DUCATI HYPERMOTARD 1100 SCUDO VERSION ZD108SKR/ZD110SKR/ZD114SKR</v>
      </c>
      <c r="G1574" t="str">
        <f t="shared" si="459"/>
        <v/>
      </c>
      <c r="H1574" t="str">
        <f t="shared" si="471"/>
        <v/>
      </c>
      <c r="I1574" t="str">
        <f t="shared" si="472"/>
        <v/>
      </c>
      <c r="J1574" t="str">
        <f t="shared" si="473"/>
        <v/>
      </c>
      <c r="K1574" t="str">
        <f t="shared" si="474"/>
        <v/>
      </c>
      <c r="L1574" t="str">
        <f t="shared" si="460"/>
        <v>Option</v>
      </c>
      <c r="M1574" t="str">
        <f t="shared" si="461"/>
        <v>STEEL-TITANIUM HOMOLOGATED</v>
      </c>
      <c r="R1574" t="str">
        <f t="shared" si="462"/>
        <v>ZD108SKR/ZD110SKR/ZD114SKR</v>
      </c>
      <c r="S1574">
        <f t="shared" si="463"/>
        <v>0</v>
      </c>
      <c r="U1574" t="str">
        <f t="shared" si="464"/>
        <v>continue</v>
      </c>
      <c r="V1574" t="str">
        <f t="shared" si="465"/>
        <v>manual</v>
      </c>
      <c r="W1574" s="5">
        <f t="shared" si="466"/>
        <v>1569.3735000000001</v>
      </c>
      <c r="Y1574" t="b">
        <f t="shared" si="467"/>
        <v>1</v>
      </c>
      <c r="Z1574" t="b">
        <f t="shared" si="468"/>
        <v>0</v>
      </c>
      <c r="AB1574" t="str">
        <f t="shared" si="469"/>
        <v/>
      </c>
      <c r="AE1574" t="b">
        <v>0</v>
      </c>
    </row>
    <row r="1575" spans="1:31" x14ac:dyDescent="0.2">
      <c r="A1575" t="str">
        <f t="shared" si="456"/>
        <v>https://shop.officineitalianezard.it/en/products/index/ducati-hypermotard-exhaust-zard-7095-57/</v>
      </c>
      <c r="B1575" t="b">
        <f>COUNTIF($A$2:$A1575, A1575)&gt;1</f>
        <v>0</v>
      </c>
      <c r="C1575" t="b">
        <f t="shared" si="457"/>
        <v>0</v>
      </c>
      <c r="D1575">
        <f>VLOOKUP(A1575,variant_counts!A:B, 2, FALSE)</f>
        <v>2</v>
      </c>
      <c r="E1575" t="str">
        <f t="shared" si="470"/>
        <v>zard-exhaust-silencer-ducati-hypermotard-1100-top-gun-version-zd110ssr</v>
      </c>
      <c r="F1575" t="str">
        <f t="shared" si="458"/>
        <v>ZARD EXHAUST SILENCER DUCATI HYPERMOTARD 1100 TOP-GUN VERSION ZD110SSR</v>
      </c>
      <c r="G1575" t="str">
        <f t="shared" si="459"/>
        <v>&lt;p&gt;STEEL-CARBON SILENCER RACING WITH REMOVABLE DB KILLER&lt;/p&gt;
&lt;p&gt;ORIGINAL SILENCER WEIGHT&amp;nbsp;(WITHOUT LICENCE PLATE STAND): KG 6.6&lt;br&gt;ZARD SILENCER WEIGHT: KG 3.8&lt;br&gt;ORIGINAL MUFFLER WEIGHT: KG 5&lt;/p&gt;
&lt;p&gt;WEIGHT OF THE ZARD MANIFOLD (NO CAT): KG 2.75&lt;/p&gt;
&lt;p&gt;CARBON HEAT-SHIELDS.&lt;/p&gt;
&lt;p&gt;THE EXHAUST INCLUDES THE ZARD LICENCE-PLATE BRACKET, THE FITTING KIT FOR THE ORIGINAL ONE AND THE&amp;nbsp;&lt;span class="s1"&gt;SIDE CARBON PANELS&lt;/span&gt;&lt;/p&gt;
&lt;p&gt;HARD INCREASE, COMPARED TO THE ORIGINAL EXHAUST SYSTEM, IN TERMS OF TORQUE AND POWER AT ANY RANGE.&lt;/p&gt;
&lt;p&gt;ASTONISHING SOUND.&lt;/p&gt;</v>
      </c>
      <c r="H1575" t="str">
        <f t="shared" si="471"/>
        <v>ZARD</v>
      </c>
      <c r="I1575" t="str">
        <f t="shared" si="472"/>
        <v>Exhaust Pipe</v>
      </c>
      <c r="J1575" t="str">
        <f t="shared" si="473"/>
        <v>Test</v>
      </c>
      <c r="K1575" t="b">
        <f t="shared" si="474"/>
        <v>0</v>
      </c>
      <c r="L1575" t="str">
        <f t="shared" si="460"/>
        <v/>
      </c>
      <c r="M1575" t="str">
        <f t="shared" si="461"/>
        <v/>
      </c>
      <c r="R1575" t="str">
        <f t="shared" si="462"/>
        <v/>
      </c>
      <c r="S1575" t="str">
        <f t="shared" si="463"/>
        <v/>
      </c>
      <c r="U1575" t="str">
        <f t="shared" si="464"/>
        <v/>
      </c>
      <c r="V1575" t="str">
        <f t="shared" si="465"/>
        <v/>
      </c>
      <c r="W1575" s="5" t="str">
        <f t="shared" si="466"/>
        <v/>
      </c>
      <c r="Y1575" t="str">
        <f t="shared" si="467"/>
        <v/>
      </c>
      <c r="Z1575" t="str">
        <f t="shared" si="468"/>
        <v/>
      </c>
      <c r="AB1575" t="str">
        <f t="shared" si="469"/>
        <v>https://shop.officineitalianezard.it/contents/imgs/products/1_306-ducati-hypermotard_top-gun_004.jpg</v>
      </c>
      <c r="AE1575" t="b">
        <v>0</v>
      </c>
    </row>
    <row r="1576" spans="1:31" x14ac:dyDescent="0.2">
      <c r="A1576" t="str">
        <f t="shared" si="456"/>
        <v>https://shop.officineitalianezard.it/en/products/index/ducati-hypermotard-exhaust-zard-7095-57/</v>
      </c>
      <c r="B1576" t="b">
        <f>COUNTIF($A$2:$A1576, A1576)&gt;1</f>
        <v>1</v>
      </c>
      <c r="C1576" t="b">
        <f t="shared" si="457"/>
        <v>0</v>
      </c>
      <c r="D1576">
        <f>VLOOKUP(A1576,variant_counts!A:B, 2, FALSE)</f>
        <v>2</v>
      </c>
      <c r="E1576" t="str">
        <f t="shared" si="470"/>
        <v>zard-exhaust-silencer-ducati-hypermotard-1100-top-gun-version-zd110ssr</v>
      </c>
      <c r="F1576" t="str">
        <f t="shared" si="458"/>
        <v>ZARD EXHAUST SILENCER DUCATI HYPERMOTARD 1100 TOP-GUN VERSION ZD110SSR</v>
      </c>
      <c r="G1576" t="str">
        <f t="shared" si="459"/>
        <v/>
      </c>
      <c r="H1576" t="str">
        <f t="shared" si="471"/>
        <v/>
      </c>
      <c r="I1576" t="str">
        <f t="shared" si="472"/>
        <v/>
      </c>
      <c r="J1576" t="str">
        <f t="shared" si="473"/>
        <v/>
      </c>
      <c r="K1576" t="str">
        <f t="shared" si="474"/>
        <v/>
      </c>
      <c r="L1576" t="str">
        <f t="shared" si="460"/>
        <v/>
      </c>
      <c r="M1576" t="str">
        <f t="shared" si="461"/>
        <v/>
      </c>
      <c r="R1576" t="str">
        <f t="shared" si="462"/>
        <v/>
      </c>
      <c r="S1576" t="str">
        <f t="shared" si="463"/>
        <v/>
      </c>
      <c r="U1576" t="str">
        <f t="shared" si="464"/>
        <v/>
      </c>
      <c r="V1576" t="str">
        <f t="shared" si="465"/>
        <v/>
      </c>
      <c r="W1576" s="5" t="str">
        <f t="shared" si="466"/>
        <v/>
      </c>
      <c r="Y1576" t="str">
        <f t="shared" si="467"/>
        <v/>
      </c>
      <c r="Z1576" t="str">
        <f t="shared" si="468"/>
        <v/>
      </c>
      <c r="AB1576" t="str">
        <f t="shared" si="469"/>
        <v>https://shop.officineitalianezard.it/contents/imgs/products/1_305-ducati-hypermotard_top-gun_002.jpg</v>
      </c>
      <c r="AE1576" t="b">
        <v>0</v>
      </c>
    </row>
    <row r="1577" spans="1:31" x14ac:dyDescent="0.2">
      <c r="A1577" t="str">
        <f t="shared" si="456"/>
        <v>https://shop.officineitalianezard.it/en/products/index/ducati-hypermotard-exhaust-zard-7095-57/</v>
      </c>
      <c r="B1577" t="b">
        <f>COUNTIF($A$2:$A1577, A1577)&gt;1</f>
        <v>1</v>
      </c>
      <c r="C1577" t="b">
        <f t="shared" si="457"/>
        <v>0</v>
      </c>
      <c r="D1577">
        <f>VLOOKUP(A1577,variant_counts!A:B, 2, FALSE)</f>
        <v>2</v>
      </c>
      <c r="E1577" t="str">
        <f t="shared" si="470"/>
        <v>zard-exhaust-silencer-ducati-hypermotard-1100-top-gun-version-zd110ssr</v>
      </c>
      <c r="F1577" t="str">
        <f t="shared" si="458"/>
        <v>ZARD EXHAUST SILENCER DUCATI HYPERMOTARD 1100 TOP-GUN VERSION ZD110SSR</v>
      </c>
      <c r="G1577" t="str">
        <f t="shared" si="459"/>
        <v/>
      </c>
      <c r="H1577" t="str">
        <f t="shared" si="471"/>
        <v/>
      </c>
      <c r="I1577" t="str">
        <f t="shared" si="472"/>
        <v/>
      </c>
      <c r="J1577" t="str">
        <f t="shared" si="473"/>
        <v/>
      </c>
      <c r="K1577" t="str">
        <f t="shared" si="474"/>
        <v/>
      </c>
      <c r="L1577" t="str">
        <f t="shared" si="460"/>
        <v/>
      </c>
      <c r="M1577" t="str">
        <f t="shared" si="461"/>
        <v/>
      </c>
      <c r="R1577" t="str">
        <f t="shared" si="462"/>
        <v/>
      </c>
      <c r="S1577" t="str">
        <f t="shared" si="463"/>
        <v/>
      </c>
      <c r="U1577" t="str">
        <f t="shared" si="464"/>
        <v/>
      </c>
      <c r="V1577" t="str">
        <f t="shared" si="465"/>
        <v/>
      </c>
      <c r="W1577" s="5" t="str">
        <f t="shared" si="466"/>
        <v/>
      </c>
      <c r="Y1577" t="str">
        <f t="shared" si="467"/>
        <v/>
      </c>
      <c r="Z1577" t="str">
        <f t="shared" si="468"/>
        <v/>
      </c>
      <c r="AB1577" t="str">
        <f t="shared" si="469"/>
        <v>https://shop.officineitalianezard.it/contents/imgs/products/1_307-ducati-hypermotard_top-gun_003.jpg</v>
      </c>
      <c r="AE1577" t="b">
        <v>0</v>
      </c>
    </row>
    <row r="1578" spans="1:31" x14ac:dyDescent="0.2">
      <c r="A1578" t="str">
        <f t="shared" si="456"/>
        <v>https://shop.officineitalianezard.it/en/products/index/ducati-hypermotard-exhaust-zard-7095-57/</v>
      </c>
      <c r="B1578" t="b">
        <f>COUNTIF($A$2:$A1578, A1578)&gt;1</f>
        <v>1</v>
      </c>
      <c r="C1578" t="b">
        <f t="shared" si="457"/>
        <v>0</v>
      </c>
      <c r="D1578">
        <f>VLOOKUP(A1578,variant_counts!A:B, 2, FALSE)</f>
        <v>2</v>
      </c>
      <c r="E1578" t="str">
        <f t="shared" si="470"/>
        <v>zard-exhaust-silencer-ducati-hypermotard-1100-top-gun-version-zd110ssr</v>
      </c>
      <c r="F1578" t="str">
        <f t="shared" si="458"/>
        <v>ZARD EXHAUST SILENCER DUCATI HYPERMOTARD 1100 TOP-GUN VERSION ZD110SSR</v>
      </c>
      <c r="G1578" t="str">
        <f t="shared" si="459"/>
        <v/>
      </c>
      <c r="H1578" t="str">
        <f t="shared" si="471"/>
        <v/>
      </c>
      <c r="I1578" t="str">
        <f t="shared" si="472"/>
        <v/>
      </c>
      <c r="J1578" t="str">
        <f t="shared" si="473"/>
        <v/>
      </c>
      <c r="K1578" t="str">
        <f t="shared" si="474"/>
        <v/>
      </c>
      <c r="L1578" t="str">
        <f t="shared" si="460"/>
        <v/>
      </c>
      <c r="M1578" t="str">
        <f t="shared" si="461"/>
        <v/>
      </c>
      <c r="R1578" t="str">
        <f t="shared" si="462"/>
        <v/>
      </c>
      <c r="S1578" t="str">
        <f t="shared" si="463"/>
        <v/>
      </c>
      <c r="U1578" t="str">
        <f t="shared" si="464"/>
        <v/>
      </c>
      <c r="V1578" t="str">
        <f t="shared" si="465"/>
        <v/>
      </c>
      <c r="W1578" s="5" t="str">
        <f t="shared" si="466"/>
        <v/>
      </c>
      <c r="Y1578" t="str">
        <f t="shared" si="467"/>
        <v/>
      </c>
      <c r="Z1578" t="str">
        <f t="shared" si="468"/>
        <v/>
      </c>
      <c r="AB1578" t="str">
        <f t="shared" si="469"/>
        <v>https://shop.officineitalianezard.it/contents/imgs/products/1_1122-DSCN1977.JPG</v>
      </c>
      <c r="AE1578" t="b">
        <v>0</v>
      </c>
    </row>
    <row r="1579" spans="1:31" x14ac:dyDescent="0.2">
      <c r="A1579" t="str">
        <f t="shared" si="456"/>
        <v>https://shop.officineitalianezard.it/en/products/index/ducati-hypermotard-exhaust-zard-7095-57/</v>
      </c>
      <c r="B1579" t="b">
        <f>COUNTIF($A$2:$A1579, A1579)&gt;1</f>
        <v>1</v>
      </c>
      <c r="C1579" t="b">
        <f t="shared" si="457"/>
        <v>0</v>
      </c>
      <c r="D1579">
        <f>VLOOKUP(A1579,variant_counts!A:B, 2, FALSE)</f>
        <v>2</v>
      </c>
      <c r="E1579" t="str">
        <f t="shared" si="470"/>
        <v>zard-exhaust-silencer-ducati-hypermotard-1100-top-gun-version-zd110ssr</v>
      </c>
      <c r="F1579" t="str">
        <f t="shared" si="458"/>
        <v>ZARD EXHAUST SILENCER DUCATI HYPERMOTARD 1100 TOP-GUN VERSION ZD110SSR</v>
      </c>
      <c r="G1579" t="str">
        <f t="shared" si="459"/>
        <v/>
      </c>
      <c r="H1579" t="str">
        <f t="shared" si="471"/>
        <v/>
      </c>
      <c r="I1579" t="str">
        <f t="shared" si="472"/>
        <v/>
      </c>
      <c r="J1579" t="str">
        <f t="shared" si="473"/>
        <v/>
      </c>
      <c r="K1579" t="str">
        <f t="shared" si="474"/>
        <v/>
      </c>
      <c r="L1579" t="str">
        <f t="shared" si="460"/>
        <v/>
      </c>
      <c r="M1579" t="str">
        <f t="shared" si="461"/>
        <v/>
      </c>
      <c r="R1579" t="str">
        <f t="shared" si="462"/>
        <v/>
      </c>
      <c r="S1579" t="str">
        <f t="shared" si="463"/>
        <v/>
      </c>
      <c r="U1579" t="str">
        <f t="shared" si="464"/>
        <v/>
      </c>
      <c r="V1579" t="str">
        <f t="shared" si="465"/>
        <v/>
      </c>
      <c r="W1579" s="5" t="str">
        <f t="shared" si="466"/>
        <v/>
      </c>
      <c r="Y1579" t="str">
        <f t="shared" si="467"/>
        <v/>
      </c>
      <c r="Z1579" t="str">
        <f t="shared" si="468"/>
        <v/>
      </c>
      <c r="AB1579" t="str">
        <f t="shared" si="469"/>
        <v>https://shop.officineitalianezard.it/contents/imgs/products/1_1123-Hyper.jpg</v>
      </c>
      <c r="AE1579" t="b">
        <v>0</v>
      </c>
    </row>
    <row r="1580" spans="1:31" x14ac:dyDescent="0.2">
      <c r="A1580" t="str">
        <f t="shared" si="456"/>
        <v>https://shop.officineitalianezard.it/en/products/index/ducati-hypermotard-exhaust-zard-7095-57/</v>
      </c>
      <c r="B1580" t="b">
        <f>COUNTIF($A$2:$A1580, A1580)&gt;1</f>
        <v>1</v>
      </c>
      <c r="C1580" t="b">
        <f t="shared" si="457"/>
        <v>1</v>
      </c>
      <c r="D1580">
        <f>VLOOKUP(A1580,variant_counts!A:B, 2, FALSE)</f>
        <v>2</v>
      </c>
      <c r="E1580" t="str">
        <f t="shared" si="470"/>
        <v>zard-exhaust-silencer-ducati-hypermotard-1100-top-gun-version-zd110ssr</v>
      </c>
      <c r="F1580" t="str">
        <f t="shared" si="458"/>
        <v>ZARD EXHAUST SILENCER DUCATI HYPERMOTARD 1100 TOP-GUN VERSION ZD110SSR</v>
      </c>
      <c r="G1580" t="str">
        <f t="shared" si="459"/>
        <v/>
      </c>
      <c r="H1580" t="str">
        <f t="shared" si="471"/>
        <v/>
      </c>
      <c r="I1580" t="str">
        <f t="shared" si="472"/>
        <v/>
      </c>
      <c r="J1580" t="str">
        <f t="shared" si="473"/>
        <v/>
      </c>
      <c r="K1580" t="str">
        <f t="shared" si="474"/>
        <v/>
      </c>
      <c r="L1580" t="str">
        <f t="shared" si="460"/>
        <v>Option</v>
      </c>
      <c r="M1580" t="str">
        <f t="shared" si="461"/>
        <v>EURO 3 HOMOLOGATED</v>
      </c>
      <c r="R1580" t="str">
        <f t="shared" si="462"/>
        <v>ZD110SSR</v>
      </c>
      <c r="S1580">
        <f t="shared" si="463"/>
        <v>0</v>
      </c>
      <c r="U1580" t="str">
        <f t="shared" si="464"/>
        <v>continue</v>
      </c>
      <c r="V1580" t="str">
        <f t="shared" si="465"/>
        <v>manual</v>
      </c>
      <c r="W1580" s="5">
        <f t="shared" si="466"/>
        <v>850.3266000000001</v>
      </c>
      <c r="Y1580" t="b">
        <f t="shared" si="467"/>
        <v>1</v>
      </c>
      <c r="Z1580" t="b">
        <f t="shared" si="468"/>
        <v>0</v>
      </c>
      <c r="AB1580" t="str">
        <f t="shared" si="469"/>
        <v/>
      </c>
      <c r="AE1580" t="b">
        <v>0</v>
      </c>
    </row>
    <row r="1581" spans="1:31" x14ac:dyDescent="0.2">
      <c r="A1581" t="str">
        <f t="shared" si="456"/>
        <v>https://shop.officineitalianezard.it/en/products/index/ducati-hypermotard-exhaust-zard-7095-57/</v>
      </c>
      <c r="B1581" t="b">
        <f>COUNTIF($A$2:$A1581, A1581)&gt;1</f>
        <v>1</v>
      </c>
      <c r="C1581" t="b">
        <f t="shared" si="457"/>
        <v>1</v>
      </c>
      <c r="D1581">
        <f>VLOOKUP(A1581,variant_counts!A:B, 2, FALSE)</f>
        <v>2</v>
      </c>
      <c r="E1581" t="str">
        <f t="shared" si="470"/>
        <v>zard-exhaust-silencer-ducati-hypermotard-1100-top-gun-version-zd110ssr</v>
      </c>
      <c r="F1581" t="str">
        <f t="shared" si="458"/>
        <v>ZARD EXHAUST SILENCER DUCATI HYPERMOTARD 1100 TOP-GUN VERSION ZD110SSR</v>
      </c>
      <c r="G1581" t="str">
        <f t="shared" si="459"/>
        <v/>
      </c>
      <c r="H1581" t="str">
        <f t="shared" si="471"/>
        <v/>
      </c>
      <c r="I1581" t="str">
        <f t="shared" si="472"/>
        <v/>
      </c>
      <c r="J1581" t="str">
        <f t="shared" si="473"/>
        <v/>
      </c>
      <c r="K1581" t="str">
        <f t="shared" si="474"/>
        <v/>
      </c>
      <c r="L1581" t="str">
        <f t="shared" si="460"/>
        <v>Option</v>
      </c>
      <c r="M1581" t="str">
        <f t="shared" si="461"/>
        <v>BLACK ENDCAP</v>
      </c>
      <c r="R1581" t="str">
        <f t="shared" si="462"/>
        <v>ZD110SSR</v>
      </c>
      <c r="S1581">
        <f t="shared" si="463"/>
        <v>0</v>
      </c>
      <c r="U1581" t="str">
        <f t="shared" si="464"/>
        <v>continue</v>
      </c>
      <c r="V1581" t="str">
        <f t="shared" si="465"/>
        <v>manual</v>
      </c>
      <c r="W1581" s="5">
        <f t="shared" si="466"/>
        <v>824.95200000000011</v>
      </c>
      <c r="Y1581" t="b">
        <f t="shared" si="467"/>
        <v>1</v>
      </c>
      <c r="Z1581" t="b">
        <f t="shared" si="468"/>
        <v>0</v>
      </c>
      <c r="AB1581" t="str">
        <f t="shared" si="469"/>
        <v/>
      </c>
      <c r="AE1581" t="b">
        <v>0</v>
      </c>
    </row>
    <row r="1582" spans="1:31" x14ac:dyDescent="0.2">
      <c r="A1582" t="str">
        <f t="shared" si="456"/>
        <v>https://shop.officineitalianezard.it/en/products/index/ducati-hypermotard-796-exhaust-zard-7096-57/</v>
      </c>
      <c r="B1582" t="b">
        <f>COUNTIF($A$2:$A1582, A1582)&gt;1</f>
        <v>0</v>
      </c>
      <c r="C1582" t="b">
        <f t="shared" si="457"/>
        <v>0</v>
      </c>
      <c r="D1582">
        <f>VLOOKUP(A1582,variant_counts!A:B, 2, FALSE)</f>
        <v>3</v>
      </c>
      <c r="E1582" t="str">
        <f t="shared" si="470"/>
        <v>zard-exhaust-silencers-ducati-hypermotard-1100-penta-version-zd111asr</v>
      </c>
      <c r="F1582" t="str">
        <f t="shared" si="458"/>
        <v>ZARD EXHAUST SILENCERS DUCATI HYPERMOTARD 1100 PENTA VERSION ZD111ASR</v>
      </c>
      <c r="G1582" t="str">
        <f t="shared" si="459"/>
        <v>&lt;p&gt;STEEL-ALUMINIUM SILENCERS RACING WITH REMOVABLE DB KILLER&lt;/p&gt;
&lt;p&gt;ORIGINAL SILENCERS WEIGHT: KG 5.6&lt;br&gt;ZARD ALUMINIUM SILENCERS WEIGHT: KG 4&lt;/p&gt;
&lt;p&gt;ZARD CARBON SILENCERS WEIGHT: KG 3.7&lt;/p&gt;
&lt;p&gt;ORIGINAL MUFFLERS WEIGHT: KG 5&lt;/p&gt;
&lt;p&gt;WEIGHT OF THE ZARD MANIFOLD: KG 2.75&lt;/p&gt;
&lt;p&gt;CARBON HEAT-SHIELDS&lt;/p&gt;
&lt;p&gt;THE EXHAUST INCLUDES THE ZARD LICENCE-PLATE BRACKET, THE FITTING KIT FOR THE ORIGINAL ONE AND THE SIDE CARBON PANELS&lt;/p&gt;
&lt;p&gt;HARD INCREASE, COMPARED TO THE ORIGINAL EXHAUST SYSTEM, IN TERMS OF TORQUE AND POWER AT ANY RANGE.&lt;/p&gt;
&lt;p&gt;ASTONISHING SOUND.&lt;/p&gt;</v>
      </c>
      <c r="H1582" t="str">
        <f t="shared" si="471"/>
        <v>ZARD</v>
      </c>
      <c r="I1582" t="str">
        <f t="shared" si="472"/>
        <v>Exhaust Pipe</v>
      </c>
      <c r="J1582" t="str">
        <f t="shared" si="473"/>
        <v>Test</v>
      </c>
      <c r="K1582" t="b">
        <f t="shared" si="474"/>
        <v>0</v>
      </c>
      <c r="L1582" t="str">
        <f t="shared" si="460"/>
        <v/>
      </c>
      <c r="M1582" t="str">
        <f t="shared" si="461"/>
        <v/>
      </c>
      <c r="R1582" t="str">
        <f t="shared" si="462"/>
        <v/>
      </c>
      <c r="S1582" t="str">
        <f t="shared" si="463"/>
        <v/>
      </c>
      <c r="U1582" t="str">
        <f t="shared" si="464"/>
        <v/>
      </c>
      <c r="V1582" t="str">
        <f t="shared" si="465"/>
        <v/>
      </c>
      <c r="W1582" s="5" t="str">
        <f t="shared" si="466"/>
        <v/>
      </c>
      <c r="Y1582" t="str">
        <f t="shared" si="467"/>
        <v/>
      </c>
      <c r="Z1582" t="str">
        <f t="shared" si="468"/>
        <v/>
      </c>
      <c r="AB1582" t="str">
        <f t="shared" si="469"/>
        <v>https://shop.officineitalianezard.it/contents/imgs/products/1_311-ducati-hypermotard_penta_002.jpg</v>
      </c>
      <c r="AE1582" t="b">
        <v>0</v>
      </c>
    </row>
    <row r="1583" spans="1:31" x14ac:dyDescent="0.2">
      <c r="A1583" t="str">
        <f t="shared" si="456"/>
        <v>https://shop.officineitalianezard.it/en/products/index/ducati-hypermotard-796-exhaust-zard-7096-57/</v>
      </c>
      <c r="B1583" t="b">
        <f>COUNTIF($A$2:$A1583, A1583)&gt;1</f>
        <v>1</v>
      </c>
      <c r="C1583" t="b">
        <f t="shared" si="457"/>
        <v>0</v>
      </c>
      <c r="D1583">
        <f>VLOOKUP(A1583,variant_counts!A:B, 2, FALSE)</f>
        <v>3</v>
      </c>
      <c r="E1583" t="str">
        <f t="shared" si="470"/>
        <v>zard-exhaust-silencers-ducati-hypermotard-1100-penta-version-zd111asr</v>
      </c>
      <c r="F1583" t="str">
        <f t="shared" si="458"/>
        <v>ZARD EXHAUST SILENCERS DUCATI HYPERMOTARD 1100 PENTA VERSION ZD111ASR</v>
      </c>
      <c r="G1583" t="str">
        <f t="shared" si="459"/>
        <v/>
      </c>
      <c r="H1583" t="str">
        <f t="shared" si="471"/>
        <v/>
      </c>
      <c r="I1583" t="str">
        <f t="shared" si="472"/>
        <v/>
      </c>
      <c r="J1583" t="str">
        <f t="shared" si="473"/>
        <v/>
      </c>
      <c r="K1583" t="str">
        <f t="shared" si="474"/>
        <v/>
      </c>
      <c r="L1583" t="str">
        <f t="shared" si="460"/>
        <v/>
      </c>
      <c r="M1583" t="str">
        <f t="shared" si="461"/>
        <v/>
      </c>
      <c r="R1583" t="str">
        <f t="shared" si="462"/>
        <v/>
      </c>
      <c r="S1583" t="str">
        <f t="shared" si="463"/>
        <v/>
      </c>
      <c r="U1583" t="str">
        <f t="shared" si="464"/>
        <v/>
      </c>
      <c r="V1583" t="str">
        <f t="shared" si="465"/>
        <v/>
      </c>
      <c r="W1583" s="5" t="str">
        <f t="shared" si="466"/>
        <v/>
      </c>
      <c r="Y1583" t="str">
        <f t="shared" si="467"/>
        <v/>
      </c>
      <c r="Z1583" t="str">
        <f t="shared" si="468"/>
        <v/>
      </c>
      <c r="AB1583" t="str">
        <f t="shared" si="469"/>
        <v>https://shop.officineitalianezard.it/contents/imgs/products/1_312-ducati-hypermotard_penta_003.jpg</v>
      </c>
      <c r="AE1583" t="b">
        <v>0</v>
      </c>
    </row>
    <row r="1584" spans="1:31" x14ac:dyDescent="0.2">
      <c r="A1584" t="str">
        <f t="shared" si="456"/>
        <v>https://shop.officineitalianezard.it/en/products/index/ducati-hypermotard-796-exhaust-zard-7096-57/</v>
      </c>
      <c r="B1584" t="b">
        <f>COUNTIF($A$2:$A1584, A1584)&gt;1</f>
        <v>1</v>
      </c>
      <c r="C1584" t="b">
        <f t="shared" si="457"/>
        <v>1</v>
      </c>
      <c r="D1584">
        <f>VLOOKUP(A1584,variant_counts!A:B, 2, FALSE)</f>
        <v>3</v>
      </c>
      <c r="E1584" t="str">
        <f t="shared" si="470"/>
        <v>zard-exhaust-silencers-ducati-hypermotard-1100-penta-version-zd111asr</v>
      </c>
      <c r="F1584" t="str">
        <f t="shared" si="458"/>
        <v>ZARD EXHAUST SILENCERS DUCATI HYPERMOTARD 1100 PENTA VERSION ZD111ASR</v>
      </c>
      <c r="G1584" t="str">
        <f t="shared" si="459"/>
        <v/>
      </c>
      <c r="H1584" t="str">
        <f t="shared" si="471"/>
        <v/>
      </c>
      <c r="I1584" t="str">
        <f t="shared" si="472"/>
        <v/>
      </c>
      <c r="J1584" t="str">
        <f t="shared" si="473"/>
        <v/>
      </c>
      <c r="K1584" t="str">
        <f t="shared" si="474"/>
        <v/>
      </c>
      <c r="L1584" t="str">
        <f t="shared" si="460"/>
        <v>Option</v>
      </c>
      <c r="M1584" t="str">
        <f t="shared" si="461"/>
        <v>STEEL-ALUMINIUM HOMOLOGATED</v>
      </c>
      <c r="R1584" t="str">
        <f t="shared" si="462"/>
        <v>ZD111ASR</v>
      </c>
      <c r="S1584">
        <f t="shared" si="463"/>
        <v>0</v>
      </c>
      <c r="U1584" t="str">
        <f t="shared" si="464"/>
        <v>continue</v>
      </c>
      <c r="V1584" t="str">
        <f t="shared" si="465"/>
        <v>manual</v>
      </c>
      <c r="W1584" s="5">
        <f t="shared" si="466"/>
        <v>936.68460000000005</v>
      </c>
      <c r="Y1584" t="b">
        <f t="shared" si="467"/>
        <v>1</v>
      </c>
      <c r="Z1584" t="b">
        <f t="shared" si="468"/>
        <v>0</v>
      </c>
      <c r="AB1584" t="str">
        <f t="shared" si="469"/>
        <v/>
      </c>
      <c r="AE1584" t="b">
        <v>0</v>
      </c>
    </row>
    <row r="1585" spans="1:31" x14ac:dyDescent="0.2">
      <c r="A1585" t="str">
        <f t="shared" si="456"/>
        <v>https://shop.officineitalianezard.it/en/products/index/ducati-hypermotard-796-exhaust-zard-7096-57/</v>
      </c>
      <c r="B1585" t="b">
        <f>COUNTIF($A$2:$A1585, A1585)&gt;1</f>
        <v>1</v>
      </c>
      <c r="C1585" t="b">
        <f t="shared" si="457"/>
        <v>1</v>
      </c>
      <c r="D1585">
        <f>VLOOKUP(A1585,variant_counts!A:B, 2, FALSE)</f>
        <v>3</v>
      </c>
      <c r="E1585" t="str">
        <f t="shared" si="470"/>
        <v>zard-exhaust-silencers-ducati-hypermotard-1100-penta-version-zd111asr</v>
      </c>
      <c r="F1585" t="str">
        <f t="shared" si="458"/>
        <v>ZARD EXHAUST SILENCERS DUCATI HYPERMOTARD 1100 PENTA VERSION ZD111ASR</v>
      </c>
      <c r="G1585" t="str">
        <f t="shared" si="459"/>
        <v/>
      </c>
      <c r="H1585" t="str">
        <f t="shared" si="471"/>
        <v/>
      </c>
      <c r="I1585" t="str">
        <f t="shared" si="472"/>
        <v/>
      </c>
      <c r="J1585" t="str">
        <f t="shared" si="473"/>
        <v/>
      </c>
      <c r="K1585" t="str">
        <f t="shared" si="474"/>
        <v/>
      </c>
      <c r="L1585" t="str">
        <f t="shared" si="460"/>
        <v>Option</v>
      </c>
      <c r="M1585" t="str">
        <f t="shared" si="461"/>
        <v>CARBON END CAP</v>
      </c>
      <c r="R1585" t="str">
        <f t="shared" si="462"/>
        <v>ZD111ASR</v>
      </c>
      <c r="S1585">
        <f t="shared" si="463"/>
        <v>0</v>
      </c>
      <c r="U1585" t="str">
        <f t="shared" si="464"/>
        <v>continue</v>
      </c>
      <c r="V1585" t="str">
        <f t="shared" si="465"/>
        <v>manual</v>
      </c>
      <c r="W1585" s="5">
        <f t="shared" si="466"/>
        <v>983.3601000000001</v>
      </c>
      <c r="Y1585" t="b">
        <f t="shared" si="467"/>
        <v>1</v>
      </c>
      <c r="Z1585" t="b">
        <f t="shared" si="468"/>
        <v>0</v>
      </c>
      <c r="AB1585" t="str">
        <f t="shared" si="469"/>
        <v/>
      </c>
      <c r="AE1585" t="b">
        <v>0</v>
      </c>
    </row>
    <row r="1586" spans="1:31" x14ac:dyDescent="0.2">
      <c r="A1586" t="str">
        <f t="shared" si="456"/>
        <v>https://shop.officineitalianezard.it/en/products/index/ducati-hypermotard-796-exhaust-zard-7096-57/</v>
      </c>
      <c r="B1586" t="b">
        <f>COUNTIF($A$2:$A1586, A1586)&gt;1</f>
        <v>1</v>
      </c>
      <c r="C1586" t="b">
        <f t="shared" si="457"/>
        <v>1</v>
      </c>
      <c r="D1586">
        <f>VLOOKUP(A1586,variant_counts!A:B, 2, FALSE)</f>
        <v>3</v>
      </c>
      <c r="E1586" t="str">
        <f t="shared" si="470"/>
        <v>zard-exhaust-silencers-ducati-hypermotard-1100-penta-version-zd111asr</v>
      </c>
      <c r="F1586" t="str">
        <f t="shared" si="458"/>
        <v>ZARD EXHAUST SILENCERS DUCATI HYPERMOTARD 1100 PENTA VERSION ZD111ASR</v>
      </c>
      <c r="G1586" t="str">
        <f t="shared" si="459"/>
        <v/>
      </c>
      <c r="H1586" t="str">
        <f t="shared" si="471"/>
        <v/>
      </c>
      <c r="I1586" t="str">
        <f t="shared" si="472"/>
        <v/>
      </c>
      <c r="J1586" t="str">
        <f t="shared" si="473"/>
        <v/>
      </c>
      <c r="K1586" t="str">
        <f t="shared" si="474"/>
        <v/>
      </c>
      <c r="L1586" t="str">
        <f t="shared" si="460"/>
        <v>Option</v>
      </c>
      <c r="M1586" t="str">
        <f t="shared" si="461"/>
        <v>STEEL-CARBON RACING</v>
      </c>
      <c r="R1586" t="str">
        <f t="shared" si="462"/>
        <v>ZD111ASR</v>
      </c>
      <c r="S1586">
        <f t="shared" si="463"/>
        <v>0</v>
      </c>
      <c r="U1586" t="str">
        <f t="shared" si="464"/>
        <v>continue</v>
      </c>
      <c r="V1586" t="str">
        <f t="shared" si="465"/>
        <v>manual</v>
      </c>
      <c r="W1586" s="5">
        <f t="shared" si="466"/>
        <v>936.68460000000005</v>
      </c>
      <c r="Y1586" t="b">
        <f t="shared" si="467"/>
        <v>1</v>
      </c>
      <c r="Z1586" t="b">
        <f t="shared" si="468"/>
        <v>0</v>
      </c>
      <c r="AB1586" t="str">
        <f t="shared" si="469"/>
        <v/>
      </c>
      <c r="AE1586" t="b">
        <v>0</v>
      </c>
    </row>
    <row r="1587" spans="1:31" x14ac:dyDescent="0.2">
      <c r="A1587" t="str">
        <f t="shared" si="456"/>
        <v>https://shop.officineitalianezard.it/en/products/index/ducati-hypermotard-796-exhaust-zard-7097-56/</v>
      </c>
      <c r="B1587" t="b">
        <f>COUNTIF($A$2:$A1587, A1587)&gt;1</f>
        <v>0</v>
      </c>
      <c r="C1587" t="b">
        <f t="shared" si="457"/>
        <v>0</v>
      </c>
      <c r="D1587">
        <f>VLOOKUP(A1587,variant_counts!A:B, 2, FALSE)</f>
        <v>5</v>
      </c>
      <c r="E1587" t="str">
        <f t="shared" si="470"/>
        <v>zard-exhaust-21-full-kit-ducati-hypermotard-796-scudo-version-zd108skrzd110skrzd114skr</v>
      </c>
      <c r="F1587" t="str">
        <f t="shared" si="458"/>
        <v>ZARD EXHAUST 2&gt;1 FULL KIT DUCATI HYPERMOTARD 796 SCUDO VERSION ZD108SKR/ZD110SKR/ZD114SKR</v>
      </c>
      <c r="G1587" t="str">
        <f t="shared" si="459"/>
        <v>&lt;p&gt;2&amp;gt;1 STEEL FULL KIT RACING WITH REMOVABLE DB KILLER&lt;/p&gt;
&lt;p&gt;CARBONIUM END-CAP AND HEAT-SHIELD&amp;nbsp;&lt;/p&gt;
&lt;p&gt;ORIGINAL FULL KIT WEIGHT (WITH NO LICENCE PLATE STAND): KG 5.6&lt;br&gt;ZARD STEEL FULL KIT WEIGHT: KG 3.1&lt;br&gt;ZARD TITANIUM FULL KIT WEIGHT: KG 1.9&lt;br&gt;ORIGINAL MANIFOLD WEIGHT: KG 5&lt;br&gt;ZARD HEADERS WEIGHT (NO CAT): KG 2.75&lt;/p&gt;
&lt;p&gt;HARD INCREASE, COMPARED TO THE ORIGINAL EXHAUST SYSTEM, IN TERMS OF TORQUE AND POWER AT ANY RANGE.&lt;/p&gt;
&lt;p&gt;ASTONISHING SOUND.&lt;/p&gt;</v>
      </c>
      <c r="H1587" t="str">
        <f t="shared" si="471"/>
        <v>ZARD</v>
      </c>
      <c r="I1587" t="str">
        <f t="shared" si="472"/>
        <v>Exhaust Pipe</v>
      </c>
      <c r="J1587" t="str">
        <f t="shared" si="473"/>
        <v>Test</v>
      </c>
      <c r="K1587" t="b">
        <f t="shared" si="474"/>
        <v>0</v>
      </c>
      <c r="L1587" t="str">
        <f t="shared" si="460"/>
        <v/>
      </c>
      <c r="M1587" t="str">
        <f t="shared" si="461"/>
        <v/>
      </c>
      <c r="R1587" t="str">
        <f t="shared" si="462"/>
        <v/>
      </c>
      <c r="S1587" t="str">
        <f t="shared" si="463"/>
        <v/>
      </c>
      <c r="U1587" t="str">
        <f t="shared" si="464"/>
        <v/>
      </c>
      <c r="V1587" t="str">
        <f t="shared" si="465"/>
        <v/>
      </c>
      <c r="W1587" s="5" t="str">
        <f t="shared" si="466"/>
        <v/>
      </c>
      <c r="Y1587" t="str">
        <f t="shared" si="467"/>
        <v/>
      </c>
      <c r="Z1587" t="str">
        <f t="shared" si="468"/>
        <v/>
      </c>
      <c r="AB1587" t="str">
        <f t="shared" si="469"/>
        <v>https://shop.officineitalianezard.it/contents/imgs/products/1_316-hypelateralekittitanio4.jpg</v>
      </c>
      <c r="AE1587" t="b">
        <v>0</v>
      </c>
    </row>
    <row r="1588" spans="1:31" x14ac:dyDescent="0.2">
      <c r="A1588" t="str">
        <f t="shared" si="456"/>
        <v>https://shop.officineitalianezard.it/en/products/index/ducati-hypermotard-796-exhaust-zard-7097-56/</v>
      </c>
      <c r="B1588" t="b">
        <f>COUNTIF($A$2:$A1588, A1588)&gt;1</f>
        <v>1</v>
      </c>
      <c r="C1588" t="b">
        <f t="shared" si="457"/>
        <v>0</v>
      </c>
      <c r="D1588">
        <f>VLOOKUP(A1588,variant_counts!A:B, 2, FALSE)</f>
        <v>5</v>
      </c>
      <c r="E1588" t="str">
        <f t="shared" si="470"/>
        <v>zard-exhaust-21-full-kit-ducati-hypermotard-796-scudo-version-zd108skrzd110skrzd114skr</v>
      </c>
      <c r="F1588" t="str">
        <f t="shared" si="458"/>
        <v>ZARD EXHAUST 2&gt;1 FULL KIT DUCATI HYPERMOTARD 796 SCUDO VERSION ZD108SKR/ZD110SKR/ZD114SKR</v>
      </c>
      <c r="G1588" t="str">
        <f t="shared" si="459"/>
        <v/>
      </c>
      <c r="H1588" t="str">
        <f t="shared" si="471"/>
        <v/>
      </c>
      <c r="I1588" t="str">
        <f t="shared" si="472"/>
        <v/>
      </c>
      <c r="J1588" t="str">
        <f t="shared" si="473"/>
        <v/>
      </c>
      <c r="K1588" t="str">
        <f t="shared" si="474"/>
        <v/>
      </c>
      <c r="L1588" t="str">
        <f t="shared" si="460"/>
        <v/>
      </c>
      <c r="M1588" t="str">
        <f t="shared" si="461"/>
        <v/>
      </c>
      <c r="R1588" t="str">
        <f t="shared" si="462"/>
        <v/>
      </c>
      <c r="S1588" t="str">
        <f t="shared" si="463"/>
        <v/>
      </c>
      <c r="U1588" t="str">
        <f t="shared" si="464"/>
        <v/>
      </c>
      <c r="V1588" t="str">
        <f t="shared" si="465"/>
        <v/>
      </c>
      <c r="W1588" s="5" t="str">
        <f t="shared" si="466"/>
        <v/>
      </c>
      <c r="Y1588" t="str">
        <f t="shared" si="467"/>
        <v/>
      </c>
      <c r="Z1588" t="str">
        <f t="shared" si="468"/>
        <v/>
      </c>
      <c r="AB1588" t="str">
        <f t="shared" si="469"/>
        <v>https://shop.officineitalianezard.it/contents/imgs/products/1_315-hypekitlateraleinox.jpg</v>
      </c>
      <c r="AE1588" t="b">
        <v>0</v>
      </c>
    </row>
    <row r="1589" spans="1:31" x14ac:dyDescent="0.2">
      <c r="A1589" t="str">
        <f t="shared" si="456"/>
        <v>https://shop.officineitalianezard.it/en/products/index/ducati-hypermotard-796-exhaust-zard-7097-56/</v>
      </c>
      <c r="B1589" t="b">
        <f>COUNTIF($A$2:$A1589, A1589)&gt;1</f>
        <v>1</v>
      </c>
      <c r="C1589" t="b">
        <f t="shared" si="457"/>
        <v>0</v>
      </c>
      <c r="D1589">
        <f>VLOOKUP(A1589,variant_counts!A:B, 2, FALSE)</f>
        <v>5</v>
      </c>
      <c r="E1589" t="str">
        <f t="shared" si="470"/>
        <v>zard-exhaust-21-full-kit-ducati-hypermotard-796-scudo-version-zd108skrzd110skrzd114skr</v>
      </c>
      <c r="F1589" t="str">
        <f t="shared" si="458"/>
        <v>ZARD EXHAUST 2&gt;1 FULL KIT DUCATI HYPERMOTARD 796 SCUDO VERSION ZD108SKR/ZD110SKR/ZD114SKR</v>
      </c>
      <c r="G1589" t="str">
        <f t="shared" si="459"/>
        <v/>
      </c>
      <c r="H1589" t="str">
        <f t="shared" si="471"/>
        <v/>
      </c>
      <c r="I1589" t="str">
        <f t="shared" si="472"/>
        <v/>
      </c>
      <c r="J1589" t="str">
        <f t="shared" si="473"/>
        <v/>
      </c>
      <c r="K1589" t="str">
        <f t="shared" si="474"/>
        <v/>
      </c>
      <c r="L1589" t="str">
        <f t="shared" si="460"/>
        <v/>
      </c>
      <c r="M1589" t="str">
        <f t="shared" si="461"/>
        <v/>
      </c>
      <c r="R1589" t="str">
        <f t="shared" si="462"/>
        <v/>
      </c>
      <c r="S1589" t="str">
        <f t="shared" si="463"/>
        <v/>
      </c>
      <c r="U1589" t="str">
        <f t="shared" si="464"/>
        <v/>
      </c>
      <c r="V1589" t="str">
        <f t="shared" si="465"/>
        <v/>
      </c>
      <c r="W1589" s="5" t="str">
        <f t="shared" si="466"/>
        <v/>
      </c>
      <c r="Y1589" t="str">
        <f t="shared" si="467"/>
        <v/>
      </c>
      <c r="Z1589" t="str">
        <f t="shared" si="468"/>
        <v/>
      </c>
      <c r="AB1589" t="str">
        <f t="shared" si="469"/>
        <v>https://shop.officineitalianezard.it/contents/imgs/products/1_317-hypekitlateraleinox3.jpg</v>
      </c>
      <c r="AE1589" t="b">
        <v>0</v>
      </c>
    </row>
    <row r="1590" spans="1:31" x14ac:dyDescent="0.2">
      <c r="A1590" t="str">
        <f t="shared" si="456"/>
        <v>https://shop.officineitalianezard.it/en/products/index/ducati-hypermotard-796-exhaust-zard-7097-56/</v>
      </c>
      <c r="B1590" t="b">
        <f>COUNTIF($A$2:$A1590, A1590)&gt;1</f>
        <v>1</v>
      </c>
      <c r="C1590" t="b">
        <f t="shared" si="457"/>
        <v>0</v>
      </c>
      <c r="D1590">
        <f>VLOOKUP(A1590,variant_counts!A:B, 2, FALSE)</f>
        <v>5</v>
      </c>
      <c r="E1590" t="str">
        <f t="shared" si="470"/>
        <v>zard-exhaust-21-full-kit-ducati-hypermotard-796-scudo-version-zd108skrzd110skrzd114skr</v>
      </c>
      <c r="F1590" t="str">
        <f t="shared" si="458"/>
        <v>ZARD EXHAUST 2&gt;1 FULL KIT DUCATI HYPERMOTARD 796 SCUDO VERSION ZD108SKR/ZD110SKR/ZD114SKR</v>
      </c>
      <c r="G1590" t="str">
        <f t="shared" si="459"/>
        <v/>
      </c>
      <c r="H1590" t="str">
        <f t="shared" si="471"/>
        <v/>
      </c>
      <c r="I1590" t="str">
        <f t="shared" si="472"/>
        <v/>
      </c>
      <c r="J1590" t="str">
        <f t="shared" si="473"/>
        <v/>
      </c>
      <c r="K1590" t="str">
        <f t="shared" si="474"/>
        <v/>
      </c>
      <c r="L1590" t="str">
        <f t="shared" si="460"/>
        <v/>
      </c>
      <c r="M1590" t="str">
        <f t="shared" si="461"/>
        <v/>
      </c>
      <c r="R1590" t="str">
        <f t="shared" si="462"/>
        <v/>
      </c>
      <c r="S1590" t="str">
        <f t="shared" si="463"/>
        <v/>
      </c>
      <c r="U1590" t="str">
        <f t="shared" si="464"/>
        <v/>
      </c>
      <c r="V1590" t="str">
        <f t="shared" si="465"/>
        <v/>
      </c>
      <c r="W1590" s="5" t="str">
        <f t="shared" si="466"/>
        <v/>
      </c>
      <c r="Y1590" t="str">
        <f t="shared" si="467"/>
        <v/>
      </c>
      <c r="Z1590" t="str">
        <f t="shared" si="468"/>
        <v/>
      </c>
      <c r="AB1590" t="str">
        <f t="shared" si="469"/>
        <v>https://shop.officineitalianezard.it/contents/imgs/products/1_318-hypekitlateraleinox2.jpg</v>
      </c>
      <c r="AE1590" t="b">
        <v>0</v>
      </c>
    </row>
    <row r="1591" spans="1:31" x14ac:dyDescent="0.2">
      <c r="A1591" t="str">
        <f t="shared" si="456"/>
        <v>https://shop.officineitalianezard.it/en/products/index/ducati-hypermotard-796-exhaust-zard-7097-56/</v>
      </c>
      <c r="B1591" t="b">
        <f>COUNTIF($A$2:$A1591, A1591)&gt;1</f>
        <v>1</v>
      </c>
      <c r="C1591" t="b">
        <f t="shared" si="457"/>
        <v>1</v>
      </c>
      <c r="D1591">
        <f>VLOOKUP(A1591,variant_counts!A:B, 2, FALSE)</f>
        <v>5</v>
      </c>
      <c r="E1591" t="str">
        <f t="shared" si="470"/>
        <v>zard-exhaust-21-full-kit-ducati-hypermotard-796-scudo-version-zd108skrzd110skrzd114skr</v>
      </c>
      <c r="F1591" t="str">
        <f t="shared" si="458"/>
        <v>ZARD EXHAUST 2&gt;1 FULL KIT DUCATI HYPERMOTARD 796 SCUDO VERSION ZD108SKR/ZD110SKR/ZD114SKR</v>
      </c>
      <c r="G1591" t="str">
        <f t="shared" si="459"/>
        <v/>
      </c>
      <c r="H1591" t="str">
        <f t="shared" si="471"/>
        <v/>
      </c>
      <c r="I1591" t="str">
        <f t="shared" si="472"/>
        <v/>
      </c>
      <c r="J1591" t="str">
        <f t="shared" si="473"/>
        <v/>
      </c>
      <c r="K1591" t="str">
        <f t="shared" si="474"/>
        <v/>
      </c>
      <c r="L1591" t="str">
        <f t="shared" si="460"/>
        <v>Option</v>
      </c>
      <c r="M1591" t="str">
        <f t="shared" si="461"/>
        <v>STEEL-TITANIUM RACING</v>
      </c>
      <c r="R1591" t="str">
        <f t="shared" si="462"/>
        <v>ZD108SKR/ZD110SKR/ZD114SKR</v>
      </c>
      <c r="S1591">
        <f t="shared" si="463"/>
        <v>0</v>
      </c>
      <c r="U1591" t="str">
        <f t="shared" si="464"/>
        <v>continue</v>
      </c>
      <c r="V1591" t="str">
        <f t="shared" si="465"/>
        <v>manual</v>
      </c>
      <c r="W1591" s="5">
        <f t="shared" si="466"/>
        <v>1351.5581999999999</v>
      </c>
      <c r="Y1591" t="b">
        <f t="shared" si="467"/>
        <v>1</v>
      </c>
      <c r="Z1591" t="b">
        <f t="shared" si="468"/>
        <v>0</v>
      </c>
      <c r="AB1591" t="str">
        <f t="shared" si="469"/>
        <v/>
      </c>
      <c r="AE1591" t="b">
        <v>0</v>
      </c>
    </row>
    <row r="1592" spans="1:31" x14ac:dyDescent="0.2">
      <c r="A1592" t="str">
        <f t="shared" si="456"/>
        <v>https://shop.officineitalianezard.it/en/products/index/ducati-hypermotard-796-exhaust-zard-7097-56/</v>
      </c>
      <c r="B1592" t="b">
        <f>COUNTIF($A$2:$A1592, A1592)&gt;1</f>
        <v>1</v>
      </c>
      <c r="C1592" t="b">
        <f t="shared" si="457"/>
        <v>1</v>
      </c>
      <c r="D1592">
        <f>VLOOKUP(A1592,variant_counts!A:B, 2, FALSE)</f>
        <v>5</v>
      </c>
      <c r="E1592" t="str">
        <f t="shared" si="470"/>
        <v>zard-exhaust-21-full-kit-ducati-hypermotard-796-scudo-version-zd108skrzd110skrzd114skr</v>
      </c>
      <c r="F1592" t="str">
        <f t="shared" si="458"/>
        <v>ZARD EXHAUST 2&gt;1 FULL KIT DUCATI HYPERMOTARD 796 SCUDO VERSION ZD108SKR/ZD110SKR/ZD114SKR</v>
      </c>
      <c r="G1592" t="str">
        <f t="shared" si="459"/>
        <v/>
      </c>
      <c r="H1592" t="str">
        <f t="shared" si="471"/>
        <v/>
      </c>
      <c r="I1592" t="str">
        <f t="shared" si="472"/>
        <v/>
      </c>
      <c r="J1592" t="str">
        <f t="shared" si="473"/>
        <v/>
      </c>
      <c r="K1592" t="str">
        <f t="shared" si="474"/>
        <v/>
      </c>
      <c r="L1592" t="str">
        <f t="shared" si="460"/>
        <v>Option</v>
      </c>
      <c r="M1592" t="str">
        <f t="shared" si="461"/>
        <v>FULL TITANIUM RACING</v>
      </c>
      <c r="R1592" t="str">
        <f t="shared" si="462"/>
        <v>ZD108SKR/ZD110SKR/ZD114SKR</v>
      </c>
      <c r="S1592">
        <f t="shared" si="463"/>
        <v>0</v>
      </c>
      <c r="U1592" t="str">
        <f t="shared" si="464"/>
        <v>continue</v>
      </c>
      <c r="V1592" t="str">
        <f t="shared" si="465"/>
        <v>manual</v>
      </c>
      <c r="W1592" s="5">
        <f t="shared" si="466"/>
        <v>1545.6306000000002</v>
      </c>
      <c r="Y1592" t="b">
        <f t="shared" si="467"/>
        <v>1</v>
      </c>
      <c r="Z1592" t="b">
        <f t="shared" si="468"/>
        <v>0</v>
      </c>
      <c r="AB1592" t="str">
        <f t="shared" si="469"/>
        <v/>
      </c>
      <c r="AE1592" t="b">
        <v>0</v>
      </c>
    </row>
    <row r="1593" spans="1:31" x14ac:dyDescent="0.2">
      <c r="A1593" t="str">
        <f t="shared" si="456"/>
        <v>https://shop.officineitalianezard.it/en/products/index/ducati-hypermotard-796-exhaust-zard-7097-56/</v>
      </c>
      <c r="B1593" t="b">
        <f>COUNTIF($A$2:$A1593, A1593)&gt;1</f>
        <v>1</v>
      </c>
      <c r="C1593" t="b">
        <f t="shared" si="457"/>
        <v>1</v>
      </c>
      <c r="D1593">
        <f>VLOOKUP(A1593,variant_counts!A:B, 2, FALSE)</f>
        <v>5</v>
      </c>
      <c r="E1593" t="str">
        <f t="shared" si="470"/>
        <v>zard-exhaust-21-full-kit-ducati-hypermotard-796-scudo-version-zd108skrzd110skrzd114skr</v>
      </c>
      <c r="F1593" t="str">
        <f t="shared" si="458"/>
        <v>ZARD EXHAUST 2&gt;1 FULL KIT DUCATI HYPERMOTARD 796 SCUDO VERSION ZD108SKR/ZD110SKR/ZD114SKR</v>
      </c>
      <c r="G1593" t="str">
        <f t="shared" si="459"/>
        <v/>
      </c>
      <c r="H1593" t="str">
        <f t="shared" si="471"/>
        <v/>
      </c>
      <c r="I1593" t="str">
        <f t="shared" si="472"/>
        <v/>
      </c>
      <c r="J1593" t="str">
        <f t="shared" si="473"/>
        <v/>
      </c>
      <c r="K1593" t="str">
        <f t="shared" si="474"/>
        <v/>
      </c>
      <c r="L1593" t="str">
        <f t="shared" si="460"/>
        <v>Option</v>
      </c>
      <c r="M1593" t="str">
        <f t="shared" si="461"/>
        <v>FULL TITANIUM HOMOLOGATED</v>
      </c>
      <c r="R1593" t="str">
        <f t="shared" si="462"/>
        <v>ZD108SKR/ZD110SKR/ZD114SKR</v>
      </c>
      <c r="S1593">
        <f t="shared" si="463"/>
        <v>0</v>
      </c>
      <c r="U1593" t="str">
        <f t="shared" si="464"/>
        <v>continue</v>
      </c>
      <c r="V1593" t="str">
        <f t="shared" si="465"/>
        <v>manual</v>
      </c>
      <c r="W1593" s="5">
        <f t="shared" si="466"/>
        <v>1764.2673</v>
      </c>
      <c r="Y1593" t="b">
        <f t="shared" si="467"/>
        <v>1</v>
      </c>
      <c r="Z1593" t="b">
        <f t="shared" si="468"/>
        <v>0</v>
      </c>
      <c r="AB1593" t="str">
        <f t="shared" si="469"/>
        <v/>
      </c>
      <c r="AE1593" t="b">
        <v>0</v>
      </c>
    </row>
    <row r="1594" spans="1:31" x14ac:dyDescent="0.2">
      <c r="A1594" t="str">
        <f t="shared" si="456"/>
        <v>https://shop.officineitalianezard.it/en/products/index/ducati-hypermotard-796-exhaust-zard-7097-56/</v>
      </c>
      <c r="B1594" t="b">
        <f>COUNTIF($A$2:$A1594, A1594)&gt;1</f>
        <v>1</v>
      </c>
      <c r="C1594" t="b">
        <f t="shared" si="457"/>
        <v>1</v>
      </c>
      <c r="D1594">
        <f>VLOOKUP(A1594,variant_counts!A:B, 2, FALSE)</f>
        <v>5</v>
      </c>
      <c r="E1594" t="str">
        <f t="shared" si="470"/>
        <v>zard-exhaust-21-full-kit-ducati-hypermotard-796-scudo-version-zd108skrzd110skrzd114skr</v>
      </c>
      <c r="F1594" t="str">
        <f t="shared" si="458"/>
        <v>ZARD EXHAUST 2&gt;1 FULL KIT DUCATI HYPERMOTARD 796 SCUDO VERSION ZD108SKR/ZD110SKR/ZD114SKR</v>
      </c>
      <c r="G1594" t="str">
        <f t="shared" si="459"/>
        <v/>
      </c>
      <c r="H1594" t="str">
        <f t="shared" si="471"/>
        <v/>
      </c>
      <c r="I1594" t="str">
        <f t="shared" si="472"/>
        <v/>
      </c>
      <c r="J1594" t="str">
        <f t="shared" si="473"/>
        <v/>
      </c>
      <c r="K1594" t="str">
        <f t="shared" si="474"/>
        <v/>
      </c>
      <c r="L1594" t="str">
        <f t="shared" si="460"/>
        <v>Option</v>
      </c>
      <c r="M1594" t="str">
        <f t="shared" si="461"/>
        <v>STEEL-ALUMINIUM HOMOLOGATED</v>
      </c>
      <c r="R1594" t="str">
        <f t="shared" si="462"/>
        <v>ZD108SKR/ZD110SKR/ZD114SKR</v>
      </c>
      <c r="S1594">
        <f t="shared" si="463"/>
        <v>0</v>
      </c>
      <c r="U1594" t="str">
        <f t="shared" si="464"/>
        <v>continue</v>
      </c>
      <c r="V1594" t="str">
        <f t="shared" si="465"/>
        <v>manual</v>
      </c>
      <c r="W1594" s="5">
        <f t="shared" si="466"/>
        <v>1351.5581999999999</v>
      </c>
      <c r="Y1594" t="b">
        <f t="shared" si="467"/>
        <v>1</v>
      </c>
      <c r="Z1594" t="b">
        <f t="shared" si="468"/>
        <v>0</v>
      </c>
      <c r="AB1594" t="str">
        <f t="shared" si="469"/>
        <v/>
      </c>
      <c r="AE1594" t="b">
        <v>0</v>
      </c>
    </row>
    <row r="1595" spans="1:31" x14ac:dyDescent="0.2">
      <c r="A1595" t="str">
        <f t="shared" si="456"/>
        <v>https://shop.officineitalianezard.it/en/products/index/ducati-hypermotard-796-exhaust-zard-7097-56/</v>
      </c>
      <c r="B1595" t="b">
        <f>COUNTIF($A$2:$A1595, A1595)&gt;1</f>
        <v>1</v>
      </c>
      <c r="C1595" t="b">
        <f t="shared" si="457"/>
        <v>1</v>
      </c>
      <c r="D1595">
        <f>VLOOKUP(A1595,variant_counts!A:B, 2, FALSE)</f>
        <v>5</v>
      </c>
      <c r="E1595" t="str">
        <f t="shared" si="470"/>
        <v>zard-exhaust-21-full-kit-ducati-hypermotard-796-scudo-version-zd108skrzd110skrzd114skr</v>
      </c>
      <c r="F1595" t="str">
        <f t="shared" si="458"/>
        <v>ZARD EXHAUST 2&gt;1 FULL KIT DUCATI HYPERMOTARD 796 SCUDO VERSION ZD108SKR/ZD110SKR/ZD114SKR</v>
      </c>
      <c r="G1595" t="str">
        <f t="shared" si="459"/>
        <v/>
      </c>
      <c r="H1595" t="str">
        <f t="shared" si="471"/>
        <v/>
      </c>
      <c r="I1595" t="str">
        <f t="shared" si="472"/>
        <v/>
      </c>
      <c r="J1595" t="str">
        <f t="shared" si="473"/>
        <v/>
      </c>
      <c r="K1595" t="str">
        <f t="shared" si="474"/>
        <v/>
      </c>
      <c r="L1595" t="str">
        <f t="shared" si="460"/>
        <v>Option</v>
      </c>
      <c r="M1595" t="str">
        <f t="shared" si="461"/>
        <v>STEEL-TITANIUM HOMOLOGATED</v>
      </c>
      <c r="R1595" t="str">
        <f t="shared" si="462"/>
        <v>ZD108SKR/ZD110SKR/ZD114SKR</v>
      </c>
      <c r="S1595">
        <f t="shared" si="463"/>
        <v>0</v>
      </c>
      <c r="U1595" t="str">
        <f t="shared" si="464"/>
        <v>continue</v>
      </c>
      <c r="V1595" t="str">
        <f t="shared" si="465"/>
        <v>manual</v>
      </c>
      <c r="W1595" s="5">
        <f t="shared" si="466"/>
        <v>1569.3735000000001</v>
      </c>
      <c r="Y1595" t="b">
        <f t="shared" si="467"/>
        <v>1</v>
      </c>
      <c r="Z1595" t="b">
        <f t="shared" si="468"/>
        <v>0</v>
      </c>
      <c r="AB1595" t="str">
        <f t="shared" si="469"/>
        <v/>
      </c>
      <c r="AE1595" t="b">
        <v>0</v>
      </c>
    </row>
    <row r="1596" spans="1:31" x14ac:dyDescent="0.2">
      <c r="A1596" t="str">
        <f t="shared" si="456"/>
        <v>https://shop.officineitalianezard.it/en/products/index/ducati-hypermotard-796-exhaust-zard-7096-56/</v>
      </c>
      <c r="B1596" t="b">
        <f>COUNTIF($A$2:$A1596, A1596)&gt;1</f>
        <v>0</v>
      </c>
      <c r="C1596" t="b">
        <f t="shared" si="457"/>
        <v>0</v>
      </c>
      <c r="D1596">
        <f>VLOOKUP(A1596,variant_counts!A:B, 2, FALSE)</f>
        <v>3</v>
      </c>
      <c r="E1596" t="str">
        <f t="shared" si="470"/>
        <v>zard-exhaust-silencers-ducati-hypermotard-796-penta-version-zd111asr</v>
      </c>
      <c r="F1596" t="str">
        <f t="shared" si="458"/>
        <v>ZARD EXHAUST SILENCERS DUCATI HYPERMOTARD 796 PENTA VERSION ZD111ASR</v>
      </c>
      <c r="G1596" t="str">
        <f t="shared" si="459"/>
        <v>&lt;p&gt;STEEL-ALUMINIUM SILENCERS RACING WITH REMOVABLE DB KILLER&lt;/p&gt;
&lt;p&gt;ORIGINAL SILENCERS WEIGHT: KG 5.6&lt;br&gt;ZARD ALUMINIUM SILENCERS WEIGHT: KG 4&lt;/p&gt;
&lt;p&gt;ZARD CARBON SILENCERS WEIGHT: KG 3.7&lt;/p&gt;
&lt;p&gt;ORIGINAL MUFFLERS WEIGHT: KG 5&lt;/p&gt;
&lt;p&gt;WEIGHT OF THE ZARD MANIFOLD: KG 2.75&lt;/p&gt;
&lt;p&gt;CARBON HEAT-SHIELDS&lt;/p&gt;
&lt;p&gt;THE EXHAUST INCLUDES THE ZARD LICENCE-PLATE BRACKET, THE FITTING KIT FOR THE ORIGINAL ONE AND THE SIDE CARBON PANELS&lt;/p&gt;
&lt;p&gt;HARD INCREASE, COMPARED TO THE ORIGINAL EXHAUST SYSTEM, IN TERMS OF TORQUE AND POWER AT ANY RANGE.&lt;/p&gt;
&lt;p&gt;ASTONISHING SOUND.&lt;/p&gt;</v>
      </c>
      <c r="H1596" t="str">
        <f t="shared" si="471"/>
        <v>ZARD</v>
      </c>
      <c r="I1596" t="str">
        <f t="shared" si="472"/>
        <v>Exhaust Pipe</v>
      </c>
      <c r="J1596" t="str">
        <f t="shared" si="473"/>
        <v>Test</v>
      </c>
      <c r="K1596" t="b">
        <f t="shared" si="474"/>
        <v>0</v>
      </c>
      <c r="L1596" t="str">
        <f t="shared" si="460"/>
        <v/>
      </c>
      <c r="M1596" t="str">
        <f t="shared" si="461"/>
        <v/>
      </c>
      <c r="R1596" t="str">
        <f t="shared" si="462"/>
        <v/>
      </c>
      <c r="S1596" t="str">
        <f t="shared" si="463"/>
        <v/>
      </c>
      <c r="U1596" t="str">
        <f t="shared" si="464"/>
        <v/>
      </c>
      <c r="V1596" t="str">
        <f t="shared" si="465"/>
        <v/>
      </c>
      <c r="W1596" s="5" t="str">
        <f t="shared" si="466"/>
        <v/>
      </c>
      <c r="Y1596" t="str">
        <f t="shared" si="467"/>
        <v/>
      </c>
      <c r="Z1596" t="str">
        <f t="shared" si="468"/>
        <v/>
      </c>
      <c r="AB1596" t="str">
        <f t="shared" si="469"/>
        <v>https://shop.officineitalianezard.it/contents/imgs/products/1_311-ducati-hypermotard_penta_002.jpg</v>
      </c>
      <c r="AE1596" t="b">
        <v>0</v>
      </c>
    </row>
    <row r="1597" spans="1:31" x14ac:dyDescent="0.2">
      <c r="A1597" t="str">
        <f t="shared" si="456"/>
        <v>https://shop.officineitalianezard.it/en/products/index/ducati-hypermotard-796-exhaust-zard-7096-56/</v>
      </c>
      <c r="B1597" t="b">
        <f>COUNTIF($A$2:$A1597, A1597)&gt;1</f>
        <v>1</v>
      </c>
      <c r="C1597" t="b">
        <f t="shared" si="457"/>
        <v>0</v>
      </c>
      <c r="D1597">
        <f>VLOOKUP(A1597,variant_counts!A:B, 2, FALSE)</f>
        <v>3</v>
      </c>
      <c r="E1597" t="str">
        <f t="shared" si="470"/>
        <v>zard-exhaust-silencers-ducati-hypermotard-796-penta-version-zd111asr</v>
      </c>
      <c r="F1597" t="str">
        <f t="shared" si="458"/>
        <v>ZARD EXHAUST SILENCERS DUCATI HYPERMOTARD 796 PENTA VERSION ZD111ASR</v>
      </c>
      <c r="G1597" t="str">
        <f t="shared" si="459"/>
        <v/>
      </c>
      <c r="H1597" t="str">
        <f t="shared" si="471"/>
        <v/>
      </c>
      <c r="I1597" t="str">
        <f t="shared" si="472"/>
        <v/>
      </c>
      <c r="J1597" t="str">
        <f t="shared" si="473"/>
        <v/>
      </c>
      <c r="K1597" t="str">
        <f t="shared" si="474"/>
        <v/>
      </c>
      <c r="L1597" t="str">
        <f t="shared" si="460"/>
        <v/>
      </c>
      <c r="M1597" t="str">
        <f t="shared" si="461"/>
        <v/>
      </c>
      <c r="R1597" t="str">
        <f t="shared" si="462"/>
        <v/>
      </c>
      <c r="S1597" t="str">
        <f t="shared" si="463"/>
        <v/>
      </c>
      <c r="U1597" t="str">
        <f t="shared" si="464"/>
        <v/>
      </c>
      <c r="V1597" t="str">
        <f t="shared" si="465"/>
        <v/>
      </c>
      <c r="W1597" s="5" t="str">
        <f t="shared" si="466"/>
        <v/>
      </c>
      <c r="Y1597" t="str">
        <f t="shared" si="467"/>
        <v/>
      </c>
      <c r="Z1597" t="str">
        <f t="shared" si="468"/>
        <v/>
      </c>
      <c r="AB1597" t="str">
        <f t="shared" si="469"/>
        <v>https://shop.officineitalianezard.it/contents/imgs/products/1_312-ducati-hypermotard_penta_003.jpg</v>
      </c>
      <c r="AE1597" t="b">
        <v>0</v>
      </c>
    </row>
    <row r="1598" spans="1:31" x14ac:dyDescent="0.2">
      <c r="A1598" t="str">
        <f t="shared" si="456"/>
        <v>https://shop.officineitalianezard.it/en/products/index/ducati-hypermotard-796-exhaust-zard-7096-56/</v>
      </c>
      <c r="B1598" t="b">
        <f>COUNTIF($A$2:$A1598, A1598)&gt;1</f>
        <v>1</v>
      </c>
      <c r="C1598" t="b">
        <f t="shared" si="457"/>
        <v>1</v>
      </c>
      <c r="D1598">
        <f>VLOOKUP(A1598,variant_counts!A:B, 2, FALSE)</f>
        <v>3</v>
      </c>
      <c r="E1598" t="str">
        <f t="shared" si="470"/>
        <v>zard-exhaust-silencers-ducati-hypermotard-796-penta-version-zd111asr</v>
      </c>
      <c r="F1598" t="str">
        <f t="shared" si="458"/>
        <v>ZARD EXHAUST SILENCERS DUCATI HYPERMOTARD 796 PENTA VERSION ZD111ASR</v>
      </c>
      <c r="G1598" t="str">
        <f t="shared" si="459"/>
        <v/>
      </c>
      <c r="H1598" t="str">
        <f t="shared" si="471"/>
        <v/>
      </c>
      <c r="I1598" t="str">
        <f t="shared" si="472"/>
        <v/>
      </c>
      <c r="J1598" t="str">
        <f t="shared" si="473"/>
        <v/>
      </c>
      <c r="K1598" t="str">
        <f t="shared" si="474"/>
        <v/>
      </c>
      <c r="L1598" t="str">
        <f t="shared" si="460"/>
        <v>Option</v>
      </c>
      <c r="M1598" t="str">
        <f t="shared" si="461"/>
        <v>STEEL-ALUMINIUM HOMOLOGATED</v>
      </c>
      <c r="R1598" t="str">
        <f t="shared" si="462"/>
        <v>ZD111ASR</v>
      </c>
      <c r="S1598">
        <f t="shared" si="463"/>
        <v>0</v>
      </c>
      <c r="U1598" t="str">
        <f t="shared" si="464"/>
        <v>continue</v>
      </c>
      <c r="V1598" t="str">
        <f t="shared" si="465"/>
        <v>manual</v>
      </c>
      <c r="W1598" s="5">
        <f t="shared" si="466"/>
        <v>936.68460000000005</v>
      </c>
      <c r="Y1598" t="b">
        <f t="shared" si="467"/>
        <v>1</v>
      </c>
      <c r="Z1598" t="b">
        <f t="shared" si="468"/>
        <v>0</v>
      </c>
      <c r="AB1598" t="str">
        <f t="shared" si="469"/>
        <v/>
      </c>
      <c r="AE1598" t="b">
        <v>0</v>
      </c>
    </row>
    <row r="1599" spans="1:31" x14ac:dyDescent="0.2">
      <c r="A1599" t="str">
        <f t="shared" si="456"/>
        <v>https://shop.officineitalianezard.it/en/products/index/ducati-hypermotard-796-exhaust-zard-7096-56/</v>
      </c>
      <c r="B1599" t="b">
        <f>COUNTIF($A$2:$A1599, A1599)&gt;1</f>
        <v>1</v>
      </c>
      <c r="C1599" t="b">
        <f t="shared" si="457"/>
        <v>1</v>
      </c>
      <c r="D1599">
        <f>VLOOKUP(A1599,variant_counts!A:B, 2, FALSE)</f>
        <v>3</v>
      </c>
      <c r="E1599" t="str">
        <f t="shared" si="470"/>
        <v>zard-exhaust-silencers-ducati-hypermotard-796-penta-version-zd111asr</v>
      </c>
      <c r="F1599" t="str">
        <f t="shared" si="458"/>
        <v>ZARD EXHAUST SILENCERS DUCATI HYPERMOTARD 796 PENTA VERSION ZD111ASR</v>
      </c>
      <c r="G1599" t="str">
        <f t="shared" si="459"/>
        <v/>
      </c>
      <c r="H1599" t="str">
        <f t="shared" si="471"/>
        <v/>
      </c>
      <c r="I1599" t="str">
        <f t="shared" si="472"/>
        <v/>
      </c>
      <c r="J1599" t="str">
        <f t="shared" si="473"/>
        <v/>
      </c>
      <c r="K1599" t="str">
        <f t="shared" si="474"/>
        <v/>
      </c>
      <c r="L1599" t="str">
        <f t="shared" si="460"/>
        <v>Option</v>
      </c>
      <c r="M1599" t="str">
        <f t="shared" si="461"/>
        <v>CARBON END CAP</v>
      </c>
      <c r="R1599" t="str">
        <f t="shared" si="462"/>
        <v>ZD111ASR</v>
      </c>
      <c r="S1599">
        <f t="shared" si="463"/>
        <v>0</v>
      </c>
      <c r="U1599" t="str">
        <f t="shared" si="464"/>
        <v>continue</v>
      </c>
      <c r="V1599" t="str">
        <f t="shared" si="465"/>
        <v>manual</v>
      </c>
      <c r="W1599" s="5">
        <f t="shared" si="466"/>
        <v>983.3601000000001</v>
      </c>
      <c r="Y1599" t="b">
        <f t="shared" si="467"/>
        <v>1</v>
      </c>
      <c r="Z1599" t="b">
        <f t="shared" si="468"/>
        <v>0</v>
      </c>
      <c r="AB1599" t="str">
        <f t="shared" si="469"/>
        <v/>
      </c>
      <c r="AE1599" t="b">
        <v>0</v>
      </c>
    </row>
    <row r="1600" spans="1:31" x14ac:dyDescent="0.2">
      <c r="A1600" t="str">
        <f t="shared" si="456"/>
        <v>https://shop.officineitalianezard.it/en/products/index/ducati-hypermotard-796-exhaust-zard-7096-56/</v>
      </c>
      <c r="B1600" t="b">
        <f>COUNTIF($A$2:$A1600, A1600)&gt;1</f>
        <v>1</v>
      </c>
      <c r="C1600" t="b">
        <f t="shared" si="457"/>
        <v>1</v>
      </c>
      <c r="D1600">
        <f>VLOOKUP(A1600,variant_counts!A:B, 2, FALSE)</f>
        <v>3</v>
      </c>
      <c r="E1600" t="str">
        <f t="shared" si="470"/>
        <v>zard-exhaust-silencers-ducati-hypermotard-796-penta-version-zd111asr</v>
      </c>
      <c r="F1600" t="str">
        <f t="shared" si="458"/>
        <v>ZARD EXHAUST SILENCERS DUCATI HYPERMOTARD 796 PENTA VERSION ZD111ASR</v>
      </c>
      <c r="G1600" t="str">
        <f t="shared" si="459"/>
        <v/>
      </c>
      <c r="H1600" t="str">
        <f t="shared" si="471"/>
        <v/>
      </c>
      <c r="I1600" t="str">
        <f t="shared" si="472"/>
        <v/>
      </c>
      <c r="J1600" t="str">
        <f t="shared" si="473"/>
        <v/>
      </c>
      <c r="K1600" t="str">
        <f t="shared" si="474"/>
        <v/>
      </c>
      <c r="L1600" t="str">
        <f t="shared" si="460"/>
        <v>Option</v>
      </c>
      <c r="M1600" t="str">
        <f t="shared" si="461"/>
        <v>STEEL-CARBON RACING</v>
      </c>
      <c r="R1600" t="str">
        <f t="shared" si="462"/>
        <v>ZD111ASR</v>
      </c>
      <c r="S1600">
        <f t="shared" si="463"/>
        <v>0</v>
      </c>
      <c r="U1600" t="str">
        <f t="shared" si="464"/>
        <v>continue</v>
      </c>
      <c r="V1600" t="str">
        <f t="shared" si="465"/>
        <v>manual</v>
      </c>
      <c r="W1600" s="5">
        <f t="shared" si="466"/>
        <v>936.68460000000005</v>
      </c>
      <c r="Y1600" t="b">
        <f t="shared" si="467"/>
        <v>1</v>
      </c>
      <c r="Z1600" t="b">
        <f t="shared" si="468"/>
        <v>0</v>
      </c>
      <c r="AB1600" t="str">
        <f t="shared" si="469"/>
        <v/>
      </c>
      <c r="AE1600" t="b">
        <v>0</v>
      </c>
    </row>
    <row r="1601" spans="1:31" x14ac:dyDescent="0.2">
      <c r="A1601" t="str">
        <f t="shared" si="456"/>
        <v>https://shop.officineitalianezard.it/en/products/index/ducati-gt-1000-exhaust-zard-7094-55/</v>
      </c>
      <c r="B1601" t="b">
        <f>COUNTIF($A$2:$A1601, A1601)&gt;1</f>
        <v>0</v>
      </c>
      <c r="C1601" t="b">
        <f t="shared" si="457"/>
        <v>0</v>
      </c>
      <c r="D1601">
        <f>VLOOKUP(A1601,variant_counts!A:B, 2, FALSE)</f>
        <v>2</v>
      </c>
      <c r="E1601" t="str">
        <f t="shared" si="470"/>
        <v>zard-exhaust-silencers-ducati-gt-1000-low-mounted-version-zd120ssr</v>
      </c>
      <c r="F1601" t="str">
        <f t="shared" si="458"/>
        <v>ZARD EXHAUST SILENCERS DUCATI GT 1000 LOW MOUNTED VERSION ZD120SSR</v>
      </c>
      <c r="G1601" t="str">
        <f t="shared" si="459"/>
        <v>&lt;p&gt;STEEL RACING SILENCERS WITH REMOVABLE DBKILLER&lt;/p&gt;
&lt;p&gt;SILENCERS UNICUE DESIGN IS DUE TO 'SNAKE WELDING' TOTALLY HANDMADE&lt;/p&gt;
&lt;p&gt;HARD INCREASE, COMPARED TO THE ORIGINAL EXHAUST SYSTEM, IN TERMS OF TORQUE AND POWER AT ANY RANGE.&lt;/p&gt;
&lt;p&gt;ASTONISHING SOUND.&lt;/p&gt;</v>
      </c>
      <c r="H1601" t="str">
        <f t="shared" si="471"/>
        <v>ZARD</v>
      </c>
      <c r="I1601" t="str">
        <f t="shared" si="472"/>
        <v>Exhaust Pipe</v>
      </c>
      <c r="J1601" t="str">
        <f t="shared" si="473"/>
        <v>Test</v>
      </c>
      <c r="K1601" t="b">
        <f t="shared" si="474"/>
        <v>0</v>
      </c>
      <c r="L1601" t="str">
        <f t="shared" si="460"/>
        <v/>
      </c>
      <c r="M1601" t="str">
        <f t="shared" si="461"/>
        <v/>
      </c>
      <c r="R1601" t="str">
        <f t="shared" si="462"/>
        <v/>
      </c>
      <c r="S1601" t="str">
        <f t="shared" si="463"/>
        <v/>
      </c>
      <c r="U1601" t="str">
        <f t="shared" si="464"/>
        <v/>
      </c>
      <c r="V1601" t="str">
        <f t="shared" si="465"/>
        <v/>
      </c>
      <c r="W1601" s="5" t="str">
        <f t="shared" si="466"/>
        <v/>
      </c>
      <c r="Y1601" t="str">
        <f t="shared" si="467"/>
        <v/>
      </c>
      <c r="Z1601" t="str">
        <f t="shared" si="468"/>
        <v/>
      </c>
      <c r="AB1601" t="str">
        <f t="shared" si="469"/>
        <v>https://shop.officineitalianezard.it/contents/imgs/products/1_529-new.jpg</v>
      </c>
      <c r="AE1601" t="b">
        <v>0</v>
      </c>
    </row>
    <row r="1602" spans="1:31" x14ac:dyDescent="0.2">
      <c r="A1602" t="str">
        <f t="shared" ref="A1602:A1665" si="475">source_product_link_href</f>
        <v>https://shop.officineitalianezard.it/en/products/index/ducati-gt-1000-exhaust-zard-7094-55/</v>
      </c>
      <c r="B1602" t="b">
        <f>COUNTIF($A$2:$A1602, A1602)&gt;1</f>
        <v>1</v>
      </c>
      <c r="C1602" t="b">
        <f t="shared" ref="C1602:C1665" si="476">NOT(ISBLANK(source_option_name))</f>
        <v>0</v>
      </c>
      <c r="D1602">
        <f>VLOOKUP(A1602,variant_counts!A:B, 2, FALSE)</f>
        <v>2</v>
      </c>
      <c r="E1602" t="str">
        <f t="shared" si="470"/>
        <v>zard-exhaust-silencers-ducati-gt-1000-low-mounted-version-zd120ssr</v>
      </c>
      <c r="F1602" t="str">
        <f t="shared" ref="F1602:F1665" si="477">UPPER("ZARD EXHAUST " &amp; source_title &amp; " " &amp; source_brand &amp; " " &amp; source_bike &amp; " " &amp; source_product_link &amp; " " &amp; source_sku)</f>
        <v>ZARD EXHAUST SILENCERS DUCATI GT 1000 LOW MOUNTED VERSION ZD120SSR</v>
      </c>
      <c r="G1602" t="str">
        <f t="shared" ref="G1602:G1665" si="478">IF($B1602=FALSE, source_description, "")</f>
        <v/>
      </c>
      <c r="H1602" t="str">
        <f t="shared" si="471"/>
        <v/>
      </c>
      <c r="I1602" t="str">
        <f t="shared" si="472"/>
        <v/>
      </c>
      <c r="J1602" t="str">
        <f t="shared" si="473"/>
        <v/>
      </c>
      <c r="K1602" t="str">
        <f t="shared" si="474"/>
        <v/>
      </c>
      <c r="L1602" t="str">
        <f t="shared" ref="L1602:L1665" si="479">IF(AND(variant_count=0,duplicated=FALSE),"Title",IF(OR(AND(variant_count=1,duplicated=FALSE), source_option_name&lt;&gt;""), "Option", ""))</f>
        <v/>
      </c>
      <c r="M1602" t="str">
        <f t="shared" ref="M1602:M1665" si="480">IF(option1_name="Title", "Default Title", IF(AND(option1_name="Option",ISBLANK(source_option_name)),"DEFAULT",IF(ISBLANK(source_option_name), "", source_option_name)))</f>
        <v/>
      </c>
      <c r="R1602" t="str">
        <f t="shared" ref="R1602:R1665" si="481">IF(option1_name &lt;&gt; "", source_sku, "")</f>
        <v/>
      </c>
      <c r="S1602" t="str">
        <f t="shared" ref="S1602:S1665" si="482">IF(option1_name &lt;&gt; "", 0, "")</f>
        <v/>
      </c>
      <c r="U1602" t="str">
        <f t="shared" ref="U1602:U1665" si="483">IF(option1_name &lt;&gt; "", "continue", "")</f>
        <v/>
      </c>
      <c r="V1602" t="str">
        <f t="shared" ref="V1602:V1665" si="484">IF(option1_name &lt;&gt; "", "manual", "")</f>
        <v/>
      </c>
      <c r="W1602" s="5" t="str">
        <f t="shared" ref="W1602:W1665" si="485">IF(option1_name&lt;&gt;"",(source_price_original+source_option_price)*eur_usd,"")</f>
        <v/>
      </c>
      <c r="Y1602" t="str">
        <f t="shared" ref="Y1602:Y1665" si="486">IF(option1_name&lt;&gt;"",TRUE,"")</f>
        <v/>
      </c>
      <c r="Z1602" t="str">
        <f t="shared" ref="Z1602:Z1665" si="487">IF(option1_name&lt;&gt;"",FALSE,"")</f>
        <v/>
      </c>
      <c r="AB1602" t="str">
        <f t="shared" ref="AB1602:AB1665" si="488">IF(ISBLANK(source_image), "", source_image)</f>
        <v>https://shop.officineitalianezard.it/contents/imgs/products/1_563-scarichi%20moto%20gt%201000%20zard%20ducati.jpg</v>
      </c>
      <c r="AE1602" t="b">
        <v>0</v>
      </c>
    </row>
    <row r="1603" spans="1:31" x14ac:dyDescent="0.2">
      <c r="A1603" t="str">
        <f t="shared" si="475"/>
        <v>https://shop.officineitalianezard.it/en/products/index/ducati-gt-1000-exhaust-zard-7094-55/</v>
      </c>
      <c r="B1603" t="b">
        <f>COUNTIF($A$2:$A1603, A1603)&gt;1</f>
        <v>1</v>
      </c>
      <c r="C1603" t="b">
        <f t="shared" si="476"/>
        <v>0</v>
      </c>
      <c r="D1603">
        <f>VLOOKUP(A1603,variant_counts!A:B, 2, FALSE)</f>
        <v>2</v>
      </c>
      <c r="E1603" t="str">
        <f t="shared" ref="E1603:E1666" si="489">FormatShopifyHandle(F1603)</f>
        <v>zard-exhaust-silencers-ducati-gt-1000-low-mounted-version-zd120ssr</v>
      </c>
      <c r="F1603" t="str">
        <f t="shared" si="477"/>
        <v>ZARD EXHAUST SILENCERS DUCATI GT 1000 LOW MOUNTED VERSION ZD120SSR</v>
      </c>
      <c r="G1603" t="str">
        <f t="shared" si="478"/>
        <v/>
      </c>
      <c r="H1603" t="str">
        <f t="shared" ref="H1603:H1666" si="490">IF($B1603=FALSE, "ZARD", "")</f>
        <v/>
      </c>
      <c r="I1603" t="str">
        <f t="shared" ref="I1603:I1666" si="491">IF($B1603=FALSE, "Exhaust Pipe", "")</f>
        <v/>
      </c>
      <c r="J1603" t="str">
        <f t="shared" ref="J1603:J1666" si="492">IF($B1603=FALSE, "Test", "")</f>
        <v/>
      </c>
      <c r="K1603" t="str">
        <f t="shared" ref="K1603:K1666" si="493">IF($B1603=FALSE, FALSE, "")</f>
        <v/>
      </c>
      <c r="L1603" t="str">
        <f t="shared" si="479"/>
        <v/>
      </c>
      <c r="M1603" t="str">
        <f t="shared" si="480"/>
        <v/>
      </c>
      <c r="R1603" t="str">
        <f t="shared" si="481"/>
        <v/>
      </c>
      <c r="S1603" t="str">
        <f t="shared" si="482"/>
        <v/>
      </c>
      <c r="U1603" t="str">
        <f t="shared" si="483"/>
        <v/>
      </c>
      <c r="V1603" t="str">
        <f t="shared" si="484"/>
        <v/>
      </c>
      <c r="W1603" s="5" t="str">
        <f t="shared" si="485"/>
        <v/>
      </c>
      <c r="Y1603" t="str">
        <f t="shared" si="486"/>
        <v/>
      </c>
      <c r="Z1603" t="str">
        <f t="shared" si="487"/>
        <v/>
      </c>
      <c r="AB1603" t="str">
        <f t="shared" si="488"/>
        <v>https://shop.officineitalianezard.it/contents/imgs/products/1_2026-ducati%20gt%201000%20scarichi%20zard.jpg</v>
      </c>
      <c r="AE1603" t="b">
        <v>0</v>
      </c>
    </row>
    <row r="1604" spans="1:31" x14ac:dyDescent="0.2">
      <c r="A1604" t="str">
        <f t="shared" si="475"/>
        <v>https://shop.officineitalianezard.it/en/products/index/ducati-gt-1000-exhaust-zard-7094-55/</v>
      </c>
      <c r="B1604" t="b">
        <f>COUNTIF($A$2:$A1604, A1604)&gt;1</f>
        <v>1</v>
      </c>
      <c r="C1604" t="b">
        <f t="shared" si="476"/>
        <v>1</v>
      </c>
      <c r="D1604">
        <f>VLOOKUP(A1604,variant_counts!A:B, 2, FALSE)</f>
        <v>2</v>
      </c>
      <c r="E1604" t="str">
        <f t="shared" si="489"/>
        <v>zard-exhaust-silencers-ducati-gt-1000-low-mounted-version-zd120ssr</v>
      </c>
      <c r="F1604" t="str">
        <f t="shared" si="477"/>
        <v>ZARD EXHAUST SILENCERS DUCATI GT 1000 LOW MOUNTED VERSION ZD120SSR</v>
      </c>
      <c r="G1604" t="str">
        <f t="shared" si="478"/>
        <v/>
      </c>
      <c r="H1604" t="str">
        <f t="shared" si="490"/>
        <v/>
      </c>
      <c r="I1604" t="str">
        <f t="shared" si="491"/>
        <v/>
      </c>
      <c r="J1604" t="str">
        <f t="shared" si="492"/>
        <v/>
      </c>
      <c r="K1604" t="str">
        <f t="shared" si="493"/>
        <v/>
      </c>
      <c r="L1604" t="str">
        <f t="shared" si="479"/>
        <v>Option</v>
      </c>
      <c r="M1604" t="str">
        <f t="shared" si="480"/>
        <v>BLACK COATING</v>
      </c>
      <c r="R1604" t="str">
        <f t="shared" si="481"/>
        <v>ZD120SSR</v>
      </c>
      <c r="S1604">
        <f t="shared" si="482"/>
        <v>0</v>
      </c>
      <c r="U1604" t="str">
        <f t="shared" si="483"/>
        <v>continue</v>
      </c>
      <c r="V1604" t="str">
        <f t="shared" si="484"/>
        <v>manual</v>
      </c>
      <c r="W1604" s="5">
        <f t="shared" si="485"/>
        <v>1272.9480000000001</v>
      </c>
      <c r="Y1604" t="b">
        <f t="shared" si="486"/>
        <v>1</v>
      </c>
      <c r="Z1604" t="b">
        <f t="shared" si="487"/>
        <v>0</v>
      </c>
      <c r="AB1604" t="str">
        <f t="shared" si="488"/>
        <v/>
      </c>
      <c r="AE1604" t="b">
        <v>0</v>
      </c>
    </row>
    <row r="1605" spans="1:31" x14ac:dyDescent="0.2">
      <c r="A1605" t="str">
        <f t="shared" si="475"/>
        <v>https://shop.officineitalianezard.it/en/products/index/ducati-gt-1000-exhaust-zard-7094-55/</v>
      </c>
      <c r="B1605" t="b">
        <f>COUNTIF($A$2:$A1605, A1605)&gt;1</f>
        <v>1</v>
      </c>
      <c r="C1605" t="b">
        <f t="shared" si="476"/>
        <v>1</v>
      </c>
      <c r="D1605">
        <f>VLOOKUP(A1605,variant_counts!A:B, 2, FALSE)</f>
        <v>2</v>
      </c>
      <c r="E1605" t="str">
        <f t="shared" si="489"/>
        <v>zard-exhaust-silencers-ducati-gt-1000-low-mounted-version-zd120ssr</v>
      </c>
      <c r="F1605" t="str">
        <f t="shared" si="477"/>
        <v>ZARD EXHAUST SILENCERS DUCATI GT 1000 LOW MOUNTED VERSION ZD120SSR</v>
      </c>
      <c r="G1605" t="str">
        <f t="shared" si="478"/>
        <v/>
      </c>
      <c r="H1605" t="str">
        <f t="shared" si="490"/>
        <v/>
      </c>
      <c r="I1605" t="str">
        <f t="shared" si="491"/>
        <v/>
      </c>
      <c r="J1605" t="str">
        <f t="shared" si="492"/>
        <v/>
      </c>
      <c r="K1605" t="str">
        <f t="shared" si="493"/>
        <v/>
      </c>
      <c r="L1605" t="str">
        <f t="shared" si="479"/>
        <v>Option</v>
      </c>
      <c r="M1605" t="str">
        <f t="shared" si="480"/>
        <v>FULL TITANIUM</v>
      </c>
      <c r="R1605" t="str">
        <f t="shared" si="481"/>
        <v>ZD120SSR</v>
      </c>
      <c r="S1605">
        <f t="shared" si="482"/>
        <v>0</v>
      </c>
      <c r="U1605" t="str">
        <f t="shared" si="483"/>
        <v>continue</v>
      </c>
      <c r="V1605" t="str">
        <f t="shared" si="484"/>
        <v>manual</v>
      </c>
      <c r="W1605" s="5">
        <f t="shared" si="485"/>
        <v>1534.1643000000004</v>
      </c>
      <c r="Y1605" t="b">
        <f t="shared" si="486"/>
        <v>1</v>
      </c>
      <c r="Z1605" t="b">
        <f t="shared" si="487"/>
        <v>0</v>
      </c>
      <c r="AB1605" t="str">
        <f t="shared" si="488"/>
        <v/>
      </c>
      <c r="AE1605" t="b">
        <v>0</v>
      </c>
    </row>
    <row r="1606" spans="1:31" x14ac:dyDescent="0.2">
      <c r="A1606" t="str">
        <f t="shared" si="475"/>
        <v>https://shop.officineitalianezard.it/en/ducati-diavel-exhaust-zard/</v>
      </c>
      <c r="B1606" t="b">
        <f>COUNTIF($A$2:$A1606, A1606)&gt;1</f>
        <v>0</v>
      </c>
      <c r="C1606" t="b">
        <f t="shared" si="476"/>
        <v>0</v>
      </c>
      <c r="D1606">
        <f>VLOOKUP(A1606,variant_counts!A:B, 2, FALSE)</f>
        <v>4</v>
      </c>
      <c r="E1606" t="str">
        <f t="shared" si="489"/>
        <v>zard-exhaust-silencer-ducati-diavel-2011-2018-limited-edition-zd117limssr</v>
      </c>
      <c r="F1606" t="str">
        <f t="shared" si="477"/>
        <v>ZARD EXHAUST SILENCER DUCATI DIAVEL 2011-2018 LIMITED EDITION ZD117LIMSSR</v>
      </c>
      <c r="G1606" t="str">
        <f t="shared" si="478"/>
        <v>&lt;p&gt;STEEL SILENCER RACING&lt;/p&gt;
&lt;p&gt;LIMITED PARTS, DELIVERED IN A PRECIOUS WOODEN BOX WITH LASER CUTTED ZARD LOGO&lt;/p&gt;
&lt;p&gt;ZARD STEEL SILENCER WEIGHT: 2,9 KG&lt;/p&gt;
&lt;p&gt;ZARD TITANIUM SILENCER WEIGHT: 2,9 KG&lt;/p&gt;
&lt;p&gt;HARD INCREASE, COMPARED TO THE STANDARD EXHAUST SYSTEM, IN TERMS OF TORQUE AND POWER AT ANY RANGE.&lt;/p&gt;
&lt;p&gt;ASTONISHING SOUND.&lt;/p&gt;
&lt;p&gt;N.B. FULL TITANIUM SILENCER IS AVAILABLE IN RACING VERSION ONLY&lt;/p&gt;</v>
      </c>
      <c r="H1606" t="str">
        <f t="shared" si="490"/>
        <v>ZARD</v>
      </c>
      <c r="I1606" t="str">
        <f t="shared" si="491"/>
        <v>Exhaust Pipe</v>
      </c>
      <c r="J1606" t="str">
        <f t="shared" si="492"/>
        <v>Test</v>
      </c>
      <c r="K1606" t="b">
        <f t="shared" si="493"/>
        <v>0</v>
      </c>
      <c r="L1606" t="str">
        <f t="shared" si="479"/>
        <v/>
      </c>
      <c r="M1606" t="str">
        <f t="shared" si="480"/>
        <v/>
      </c>
      <c r="R1606" t="str">
        <f t="shared" si="481"/>
        <v/>
      </c>
      <c r="S1606" t="str">
        <f t="shared" si="482"/>
        <v/>
      </c>
      <c r="U1606" t="str">
        <f t="shared" si="483"/>
        <v/>
      </c>
      <c r="V1606" t="str">
        <f t="shared" si="484"/>
        <v/>
      </c>
      <c r="W1606" s="5" t="str">
        <f t="shared" si="485"/>
        <v/>
      </c>
      <c r="Y1606" t="str">
        <f t="shared" si="486"/>
        <v/>
      </c>
      <c r="Z1606" t="str">
        <f t="shared" si="487"/>
        <v/>
      </c>
      <c r="AB1606" t="str">
        <f t="shared" si="488"/>
        <v>https://shop.officineitalianezard.it/contents/imgs/products/1_301-diaveledlimit2.jpg</v>
      </c>
      <c r="AE1606" t="b">
        <v>0</v>
      </c>
    </row>
    <row r="1607" spans="1:31" x14ac:dyDescent="0.2">
      <c r="A1607" t="str">
        <f t="shared" si="475"/>
        <v>https://shop.officineitalianezard.it/en/ducati-diavel-exhaust-zard/</v>
      </c>
      <c r="B1607" t="b">
        <f>COUNTIF($A$2:$A1607, A1607)&gt;1</f>
        <v>1</v>
      </c>
      <c r="C1607" t="b">
        <f t="shared" si="476"/>
        <v>0</v>
      </c>
      <c r="D1607">
        <f>VLOOKUP(A1607,variant_counts!A:B, 2, FALSE)</f>
        <v>4</v>
      </c>
      <c r="E1607" t="str">
        <f t="shared" si="489"/>
        <v>zard-exhaust-silencer-ducati-diavel-2011-2018-limited-edition-zd117limssr</v>
      </c>
      <c r="F1607" t="str">
        <f t="shared" si="477"/>
        <v>ZARD EXHAUST SILENCER DUCATI DIAVEL 2011-2018 LIMITED EDITION ZD117LIMSSR</v>
      </c>
      <c r="G1607" t="str">
        <f t="shared" si="478"/>
        <v/>
      </c>
      <c r="H1607" t="str">
        <f t="shared" si="490"/>
        <v/>
      </c>
      <c r="I1607" t="str">
        <f t="shared" si="491"/>
        <v/>
      </c>
      <c r="J1607" t="str">
        <f t="shared" si="492"/>
        <v/>
      </c>
      <c r="K1607" t="str">
        <f t="shared" si="493"/>
        <v/>
      </c>
      <c r="L1607" t="str">
        <f t="shared" si="479"/>
        <v/>
      </c>
      <c r="M1607" t="str">
        <f t="shared" si="480"/>
        <v/>
      </c>
      <c r="R1607" t="str">
        <f t="shared" si="481"/>
        <v/>
      </c>
      <c r="S1607" t="str">
        <f t="shared" si="482"/>
        <v/>
      </c>
      <c r="U1607" t="str">
        <f t="shared" si="483"/>
        <v/>
      </c>
      <c r="V1607" t="str">
        <f t="shared" si="484"/>
        <v/>
      </c>
      <c r="W1607" s="5" t="str">
        <f t="shared" si="485"/>
        <v/>
      </c>
      <c r="Y1607" t="str">
        <f t="shared" si="486"/>
        <v/>
      </c>
      <c r="Z1607" t="str">
        <f t="shared" si="487"/>
        <v/>
      </c>
      <c r="AB1607" t="str">
        <f t="shared" si="488"/>
        <v>https://shop.officineitalianezard.it/contents/imgs/products/1_300-diaveledlimit1.jpg</v>
      </c>
      <c r="AE1607" t="b">
        <v>0</v>
      </c>
    </row>
    <row r="1608" spans="1:31" x14ac:dyDescent="0.2">
      <c r="A1608" t="str">
        <f t="shared" si="475"/>
        <v>https://shop.officineitalianezard.it/en/ducati-diavel-exhaust-zard/</v>
      </c>
      <c r="B1608" t="b">
        <f>COUNTIF($A$2:$A1608, A1608)&gt;1</f>
        <v>1</v>
      </c>
      <c r="C1608" t="b">
        <f t="shared" si="476"/>
        <v>0</v>
      </c>
      <c r="D1608">
        <f>VLOOKUP(A1608,variant_counts!A:B, 2, FALSE)</f>
        <v>4</v>
      </c>
      <c r="E1608" t="str">
        <f t="shared" si="489"/>
        <v>zard-exhaust-silencer-ducati-diavel-2011-2018-limited-edition-zd117limssr</v>
      </c>
      <c r="F1608" t="str">
        <f t="shared" si="477"/>
        <v>ZARD EXHAUST SILENCER DUCATI DIAVEL 2011-2018 LIMITED EDITION ZD117LIMSSR</v>
      </c>
      <c r="G1608" t="str">
        <f t="shared" si="478"/>
        <v/>
      </c>
      <c r="H1608" t="str">
        <f t="shared" si="490"/>
        <v/>
      </c>
      <c r="I1608" t="str">
        <f t="shared" si="491"/>
        <v/>
      </c>
      <c r="J1608" t="str">
        <f t="shared" si="492"/>
        <v/>
      </c>
      <c r="K1608" t="str">
        <f t="shared" si="493"/>
        <v/>
      </c>
      <c r="L1608" t="str">
        <f t="shared" si="479"/>
        <v/>
      </c>
      <c r="M1608" t="str">
        <f t="shared" si="480"/>
        <v/>
      </c>
      <c r="R1608" t="str">
        <f t="shared" si="481"/>
        <v/>
      </c>
      <c r="S1608" t="str">
        <f t="shared" si="482"/>
        <v/>
      </c>
      <c r="U1608" t="str">
        <f t="shared" si="483"/>
        <v/>
      </c>
      <c r="V1608" t="str">
        <f t="shared" si="484"/>
        <v/>
      </c>
      <c r="W1608" s="5" t="str">
        <f t="shared" si="485"/>
        <v/>
      </c>
      <c r="Y1608" t="str">
        <f t="shared" si="486"/>
        <v/>
      </c>
      <c r="Z1608" t="str">
        <f t="shared" si="487"/>
        <v/>
      </c>
      <c r="AB1608" t="str">
        <f t="shared" si="488"/>
        <v>https://shop.officineitalianezard.it/contents/imgs/products/1_1127-diavel%20zard%20limited.jpg</v>
      </c>
      <c r="AE1608" t="b">
        <v>0</v>
      </c>
    </row>
    <row r="1609" spans="1:31" x14ac:dyDescent="0.2">
      <c r="A1609" t="str">
        <f t="shared" si="475"/>
        <v>https://shop.officineitalianezard.it/en/ducati-diavel-exhaust-zard/</v>
      </c>
      <c r="B1609" t="b">
        <f>COUNTIF($A$2:$A1609, A1609)&gt;1</f>
        <v>1</v>
      </c>
      <c r="C1609" t="b">
        <f t="shared" si="476"/>
        <v>0</v>
      </c>
      <c r="D1609">
        <f>VLOOKUP(A1609,variant_counts!A:B, 2, FALSE)</f>
        <v>4</v>
      </c>
      <c r="E1609" t="str">
        <f t="shared" si="489"/>
        <v>zard-exhaust-silencer-ducati-diavel-2011-2018-limited-edition-zd117limssr</v>
      </c>
      <c r="F1609" t="str">
        <f t="shared" si="477"/>
        <v>ZARD EXHAUST SILENCER DUCATI DIAVEL 2011-2018 LIMITED EDITION ZD117LIMSSR</v>
      </c>
      <c r="G1609" t="str">
        <f t="shared" si="478"/>
        <v/>
      </c>
      <c r="H1609" t="str">
        <f t="shared" si="490"/>
        <v/>
      </c>
      <c r="I1609" t="str">
        <f t="shared" si="491"/>
        <v/>
      </c>
      <c r="J1609" t="str">
        <f t="shared" si="492"/>
        <v/>
      </c>
      <c r="K1609" t="str">
        <f t="shared" si="493"/>
        <v/>
      </c>
      <c r="L1609" t="str">
        <f t="shared" si="479"/>
        <v/>
      </c>
      <c r="M1609" t="str">
        <f t="shared" si="480"/>
        <v/>
      </c>
      <c r="R1609" t="str">
        <f t="shared" si="481"/>
        <v/>
      </c>
      <c r="S1609" t="str">
        <f t="shared" si="482"/>
        <v/>
      </c>
      <c r="U1609" t="str">
        <f t="shared" si="483"/>
        <v/>
      </c>
      <c r="V1609" t="str">
        <f t="shared" si="484"/>
        <v/>
      </c>
      <c r="W1609" s="5" t="str">
        <f t="shared" si="485"/>
        <v/>
      </c>
      <c r="Y1609" t="str">
        <f t="shared" si="486"/>
        <v/>
      </c>
      <c r="Z1609" t="str">
        <f t="shared" si="487"/>
        <v/>
      </c>
      <c r="AB1609" t="str">
        <f t="shared" si="488"/>
        <v>https://shop.officineitalianezard.it/contents/imgs/products/1_1463-ducati%20diavel%20exhaust%20.jpg</v>
      </c>
      <c r="AE1609" t="b">
        <v>0</v>
      </c>
    </row>
    <row r="1610" spans="1:31" x14ac:dyDescent="0.2">
      <c r="A1610" t="str">
        <f t="shared" si="475"/>
        <v>https://shop.officineitalianezard.it/en/ducati-diavel-exhaust-zard/</v>
      </c>
      <c r="B1610" t="b">
        <f>COUNTIF($A$2:$A1610, A1610)&gt;1</f>
        <v>1</v>
      </c>
      <c r="C1610" t="b">
        <f t="shared" si="476"/>
        <v>1</v>
      </c>
      <c r="D1610">
        <f>VLOOKUP(A1610,variant_counts!A:B, 2, FALSE)</f>
        <v>4</v>
      </c>
      <c r="E1610" t="str">
        <f t="shared" si="489"/>
        <v>zard-exhaust-silencer-ducati-diavel-2011-2018-limited-edition-zd117limssr</v>
      </c>
      <c r="F1610" t="str">
        <f t="shared" si="477"/>
        <v>ZARD EXHAUST SILENCER DUCATI DIAVEL 2011-2018 LIMITED EDITION ZD117LIMSSR</v>
      </c>
      <c r="G1610" t="str">
        <f t="shared" si="478"/>
        <v/>
      </c>
      <c r="H1610" t="str">
        <f t="shared" si="490"/>
        <v/>
      </c>
      <c r="I1610" t="str">
        <f t="shared" si="491"/>
        <v/>
      </c>
      <c r="J1610" t="str">
        <f t="shared" si="492"/>
        <v/>
      </c>
      <c r="K1610" t="str">
        <f t="shared" si="493"/>
        <v/>
      </c>
      <c r="L1610" t="str">
        <f t="shared" si="479"/>
        <v>Option</v>
      </c>
      <c r="M1610" t="str">
        <f t="shared" si="480"/>
        <v>BLACK CERAMIC COATING</v>
      </c>
      <c r="R1610" t="str">
        <f t="shared" si="481"/>
        <v>ZD117LIMSSR</v>
      </c>
      <c r="S1610">
        <f t="shared" si="482"/>
        <v>0</v>
      </c>
      <c r="U1610" t="str">
        <f t="shared" si="483"/>
        <v>continue</v>
      </c>
      <c r="V1610" t="str">
        <f t="shared" si="484"/>
        <v>manual</v>
      </c>
      <c r="W1610" s="5">
        <f t="shared" si="485"/>
        <v>1433.1765</v>
      </c>
      <c r="Y1610" t="b">
        <f t="shared" si="486"/>
        <v>1</v>
      </c>
      <c r="Z1610" t="b">
        <f t="shared" si="487"/>
        <v>0</v>
      </c>
      <c r="AB1610" t="str">
        <f t="shared" si="488"/>
        <v/>
      </c>
      <c r="AE1610" t="b">
        <v>0</v>
      </c>
    </row>
    <row r="1611" spans="1:31" x14ac:dyDescent="0.2">
      <c r="A1611" t="str">
        <f t="shared" si="475"/>
        <v>https://shop.officineitalianezard.it/en/ducati-diavel-exhaust-zard/</v>
      </c>
      <c r="B1611" t="b">
        <f>COUNTIF($A$2:$A1611, A1611)&gt;1</f>
        <v>1</v>
      </c>
      <c r="C1611" t="b">
        <f t="shared" si="476"/>
        <v>1</v>
      </c>
      <c r="D1611">
        <f>VLOOKUP(A1611,variant_counts!A:B, 2, FALSE)</f>
        <v>4</v>
      </c>
      <c r="E1611" t="str">
        <f t="shared" si="489"/>
        <v>zard-exhaust-silencer-ducati-diavel-2011-2018-limited-edition-zd117limssr</v>
      </c>
      <c r="F1611" t="str">
        <f t="shared" si="477"/>
        <v>ZARD EXHAUST SILENCER DUCATI DIAVEL 2011-2018 LIMITED EDITION ZD117LIMSSR</v>
      </c>
      <c r="G1611" t="str">
        <f t="shared" si="478"/>
        <v/>
      </c>
      <c r="H1611" t="str">
        <f t="shared" si="490"/>
        <v/>
      </c>
      <c r="I1611" t="str">
        <f t="shared" si="491"/>
        <v/>
      </c>
      <c r="J1611" t="str">
        <f t="shared" si="492"/>
        <v/>
      </c>
      <c r="K1611" t="str">
        <f t="shared" si="493"/>
        <v/>
      </c>
      <c r="L1611" t="str">
        <f t="shared" si="479"/>
        <v>Option</v>
      </c>
      <c r="M1611" t="str">
        <f t="shared" si="480"/>
        <v>FULL TITANIUM RACING</v>
      </c>
      <c r="R1611" t="str">
        <f t="shared" si="481"/>
        <v>ZD117LIMSSR</v>
      </c>
      <c r="S1611">
        <f t="shared" si="482"/>
        <v>0</v>
      </c>
      <c r="U1611" t="str">
        <f t="shared" si="483"/>
        <v>continue</v>
      </c>
      <c r="V1611" t="str">
        <f t="shared" si="484"/>
        <v>manual</v>
      </c>
      <c r="W1611" s="5">
        <f t="shared" si="485"/>
        <v>1415.9826</v>
      </c>
      <c r="Y1611" t="b">
        <f t="shared" si="486"/>
        <v>1</v>
      </c>
      <c r="Z1611" t="b">
        <f t="shared" si="487"/>
        <v>0</v>
      </c>
      <c r="AB1611" t="str">
        <f t="shared" si="488"/>
        <v/>
      </c>
      <c r="AE1611" t="b">
        <v>0</v>
      </c>
    </row>
    <row r="1612" spans="1:31" x14ac:dyDescent="0.2">
      <c r="A1612" t="str">
        <f t="shared" si="475"/>
        <v>https://shop.officineitalianezard.it/en/ducati-diavel-exhaust-zard/</v>
      </c>
      <c r="B1612" t="b">
        <f>COUNTIF($A$2:$A1612, A1612)&gt;1</f>
        <v>1</v>
      </c>
      <c r="C1612" t="b">
        <f t="shared" si="476"/>
        <v>1</v>
      </c>
      <c r="D1612">
        <f>VLOOKUP(A1612,variant_counts!A:B, 2, FALSE)</f>
        <v>4</v>
      </c>
      <c r="E1612" t="str">
        <f t="shared" si="489"/>
        <v>zard-exhaust-silencer-ducati-diavel-2011-2018-limited-edition-zd117limssr</v>
      </c>
      <c r="F1612" t="str">
        <f t="shared" si="477"/>
        <v>ZARD EXHAUST SILENCER DUCATI DIAVEL 2011-2018 LIMITED EDITION ZD117LIMSSR</v>
      </c>
      <c r="G1612" t="str">
        <f t="shared" si="478"/>
        <v/>
      </c>
      <c r="H1612" t="str">
        <f t="shared" si="490"/>
        <v/>
      </c>
      <c r="I1612" t="str">
        <f t="shared" si="491"/>
        <v/>
      </c>
      <c r="J1612" t="str">
        <f t="shared" si="492"/>
        <v/>
      </c>
      <c r="K1612" t="str">
        <f t="shared" si="493"/>
        <v/>
      </c>
      <c r="L1612" t="str">
        <f t="shared" si="479"/>
        <v>Option</v>
      </c>
      <c r="M1612" t="str">
        <f t="shared" si="480"/>
        <v>BLACK COATING FOR ORIGINAL HEADERS PIPE</v>
      </c>
      <c r="R1612" t="str">
        <f t="shared" si="481"/>
        <v>ZD117LIMSSR</v>
      </c>
      <c r="S1612">
        <f t="shared" si="482"/>
        <v>0</v>
      </c>
      <c r="U1612" t="str">
        <f t="shared" si="483"/>
        <v>continue</v>
      </c>
      <c r="V1612" t="str">
        <f t="shared" si="484"/>
        <v>manual</v>
      </c>
      <c r="W1612" s="5">
        <f t="shared" si="485"/>
        <v>1527.3489000000002</v>
      </c>
      <c r="Y1612" t="b">
        <f t="shared" si="486"/>
        <v>1</v>
      </c>
      <c r="Z1612" t="b">
        <f t="shared" si="487"/>
        <v>0</v>
      </c>
      <c r="AB1612" t="str">
        <f t="shared" si="488"/>
        <v/>
      </c>
      <c r="AE1612" t="b">
        <v>0</v>
      </c>
    </row>
    <row r="1613" spans="1:31" x14ac:dyDescent="0.2">
      <c r="A1613" t="str">
        <f t="shared" si="475"/>
        <v>https://shop.officineitalianezard.it/en/ducati-diavel-exhaust-zard/</v>
      </c>
      <c r="B1613" t="b">
        <f>COUNTIF($A$2:$A1613, A1613)&gt;1</f>
        <v>1</v>
      </c>
      <c r="C1613" t="b">
        <f t="shared" si="476"/>
        <v>1</v>
      </c>
      <c r="D1613">
        <f>VLOOKUP(A1613,variant_counts!A:B, 2, FALSE)</f>
        <v>4</v>
      </c>
      <c r="E1613" t="str">
        <f t="shared" si="489"/>
        <v>zard-exhaust-silencer-ducati-diavel-2011-2018-limited-edition-zd117limssr</v>
      </c>
      <c r="F1613" t="str">
        <f t="shared" si="477"/>
        <v>ZARD EXHAUST SILENCER DUCATI DIAVEL 2011-2018 LIMITED EDITION ZD117LIMSSR</v>
      </c>
      <c r="G1613" t="str">
        <f t="shared" si="478"/>
        <v/>
      </c>
      <c r="H1613" t="str">
        <f t="shared" si="490"/>
        <v/>
      </c>
      <c r="I1613" t="str">
        <f t="shared" si="491"/>
        <v/>
      </c>
      <c r="J1613" t="str">
        <f t="shared" si="492"/>
        <v/>
      </c>
      <c r="K1613" t="str">
        <f t="shared" si="493"/>
        <v/>
      </c>
      <c r="L1613" t="str">
        <f t="shared" si="479"/>
        <v>Option</v>
      </c>
      <c r="M1613" t="str">
        <f t="shared" si="480"/>
        <v>EURO 3 HOMOLOGATED</v>
      </c>
      <c r="R1613" t="str">
        <f t="shared" si="481"/>
        <v>ZD117LIMSSR</v>
      </c>
      <c r="S1613">
        <f t="shared" si="482"/>
        <v>0</v>
      </c>
      <c r="U1613" t="str">
        <f t="shared" si="483"/>
        <v>continue</v>
      </c>
      <c r="V1613" t="str">
        <f t="shared" si="484"/>
        <v>manual</v>
      </c>
      <c r="W1613" s="5">
        <f t="shared" si="485"/>
        <v>1370.9499000000001</v>
      </c>
      <c r="Y1613" t="b">
        <f t="shared" si="486"/>
        <v>1</v>
      </c>
      <c r="Z1613" t="b">
        <f t="shared" si="487"/>
        <v>0</v>
      </c>
      <c r="AB1613" t="str">
        <f t="shared" si="488"/>
        <v/>
      </c>
      <c r="AE1613" t="b">
        <v>0</v>
      </c>
    </row>
    <row r="1614" spans="1:31" x14ac:dyDescent="0.2">
      <c r="A1614" t="str">
        <f t="shared" si="475"/>
        <v>https://shop.officineitalianezard.it/en/ducati-diavel-exhaust-zard-3/</v>
      </c>
      <c r="B1614" t="b">
        <f>COUNTIF($A$2:$A1614, A1614)&gt;1</f>
        <v>0</v>
      </c>
      <c r="C1614" t="b">
        <f t="shared" si="476"/>
        <v>0</v>
      </c>
      <c r="D1614">
        <f>VLOOKUP(A1614,variant_counts!A:B, 2, FALSE)</f>
        <v>2</v>
      </c>
      <c r="E1614" t="str">
        <f t="shared" si="489"/>
        <v>zard-exhaust-headers-kit-ducati-diavel-2011-2018-21-version-zd117scr</v>
      </c>
      <c r="F1614" t="str">
        <f t="shared" si="477"/>
        <v>ZARD EXHAUST HEADERS KIT DUCATI DIAVEL 2011-2018 2&gt;1 VERSION ZD117SCR</v>
      </c>
      <c r="G1614" t="str">
        <f t="shared" si="478"/>
        <v>&lt;p&gt;2&amp;gt;1 STEEL RACING HEADERS KIT&amp;nbsp;&lt;/p&gt;
&lt;p&gt;ZARD STEEL COLLECTOR KIT WEIGHT : 2.4 KG&lt;/p&gt;
&lt;p&gt;ZARD TITANIUM COLLECTOR KIT WEIGHT : 1.7 KG&lt;/p&gt;
&lt;p&gt;HEADERS KIT NEEDS TO BE FITTED WITH OEM HEAD-OUTLET OF HORIZONTAL PIPE AND OEM HEAT SHIELD&lt;/p&gt;
&lt;p&gt;HARD INCREASE, COMPARED TO THE ORIGINAL EXHAUST SYSTEM, IN TERMS OF TORQUE AND POWER AT ANY RANGE.&lt;/p&gt;
&lt;p&gt;ASTONISHING SOUND.&lt;/p&gt;
&lt;p&gt;&lt;strong&gt;NOTICE: COMPATIBLE WITH OEM SILENCER&lt;/strong&gt;&lt;/p&gt;</v>
      </c>
      <c r="H1614" t="str">
        <f t="shared" si="490"/>
        <v>ZARD</v>
      </c>
      <c r="I1614" t="str">
        <f t="shared" si="491"/>
        <v>Exhaust Pipe</v>
      </c>
      <c r="J1614" t="str">
        <f t="shared" si="492"/>
        <v>Test</v>
      </c>
      <c r="K1614" t="b">
        <f t="shared" si="493"/>
        <v>0</v>
      </c>
      <c r="L1614" t="str">
        <f t="shared" si="479"/>
        <v/>
      </c>
      <c r="M1614" t="str">
        <f t="shared" si="480"/>
        <v/>
      </c>
      <c r="R1614" t="str">
        <f t="shared" si="481"/>
        <v/>
      </c>
      <c r="S1614" t="str">
        <f t="shared" si="482"/>
        <v/>
      </c>
      <c r="U1614" t="str">
        <f t="shared" si="483"/>
        <v/>
      </c>
      <c r="V1614" t="str">
        <f t="shared" si="484"/>
        <v/>
      </c>
      <c r="W1614" s="5" t="str">
        <f t="shared" si="485"/>
        <v/>
      </c>
      <c r="Y1614" t="str">
        <f t="shared" si="486"/>
        <v/>
      </c>
      <c r="Z1614" t="str">
        <f t="shared" si="487"/>
        <v/>
      </c>
      <c r="AB1614" t="str">
        <f t="shared" si="488"/>
        <v>https://shop.officineitalianezard.it/contents/imgs/products/1_1049-ducati%20diavel%20exhaust2.jpg</v>
      </c>
      <c r="AE1614" t="b">
        <v>0</v>
      </c>
    </row>
    <row r="1615" spans="1:31" x14ac:dyDescent="0.2">
      <c r="A1615" t="str">
        <f t="shared" si="475"/>
        <v>https://shop.officineitalianezard.it/en/ducati-diavel-exhaust-zard-3/</v>
      </c>
      <c r="B1615" t="b">
        <f>COUNTIF($A$2:$A1615, A1615)&gt;1</f>
        <v>1</v>
      </c>
      <c r="C1615" t="b">
        <f t="shared" si="476"/>
        <v>0</v>
      </c>
      <c r="D1615">
        <f>VLOOKUP(A1615,variant_counts!A:B, 2, FALSE)</f>
        <v>2</v>
      </c>
      <c r="E1615" t="str">
        <f t="shared" si="489"/>
        <v>zard-exhaust-headers-kit-ducati-diavel-2011-2018-21-version-zd117scr</v>
      </c>
      <c r="F1615" t="str">
        <f t="shared" si="477"/>
        <v>ZARD EXHAUST HEADERS KIT DUCATI DIAVEL 2011-2018 2&gt;1 VERSION ZD117SCR</v>
      </c>
      <c r="G1615" t="str">
        <f t="shared" si="478"/>
        <v/>
      </c>
      <c r="H1615" t="str">
        <f t="shared" si="490"/>
        <v/>
      </c>
      <c r="I1615" t="str">
        <f t="shared" si="491"/>
        <v/>
      </c>
      <c r="J1615" t="str">
        <f t="shared" si="492"/>
        <v/>
      </c>
      <c r="K1615" t="str">
        <f t="shared" si="493"/>
        <v/>
      </c>
      <c r="L1615" t="str">
        <f t="shared" si="479"/>
        <v/>
      </c>
      <c r="M1615" t="str">
        <f t="shared" si="480"/>
        <v/>
      </c>
      <c r="R1615" t="str">
        <f t="shared" si="481"/>
        <v/>
      </c>
      <c r="S1615" t="str">
        <f t="shared" si="482"/>
        <v/>
      </c>
      <c r="U1615" t="str">
        <f t="shared" si="483"/>
        <v/>
      </c>
      <c r="V1615" t="str">
        <f t="shared" si="484"/>
        <v/>
      </c>
      <c r="W1615" s="5" t="str">
        <f t="shared" si="485"/>
        <v/>
      </c>
      <c r="Y1615" t="str">
        <f t="shared" si="486"/>
        <v/>
      </c>
      <c r="Z1615" t="str">
        <f t="shared" si="487"/>
        <v/>
      </c>
      <c r="AB1615" t="str">
        <f t="shared" si="488"/>
        <v>https://shop.officineitalianezard.it/contents/imgs/products/1_298-diavelcolltitanio2.jpg</v>
      </c>
      <c r="AE1615" t="b">
        <v>0</v>
      </c>
    </row>
    <row r="1616" spans="1:31" x14ac:dyDescent="0.2">
      <c r="A1616" t="str">
        <f t="shared" si="475"/>
        <v>https://shop.officineitalianezard.it/en/ducati-diavel-exhaust-zard-3/</v>
      </c>
      <c r="B1616" t="b">
        <f>COUNTIF($A$2:$A1616, A1616)&gt;1</f>
        <v>1</v>
      </c>
      <c r="C1616" t="b">
        <f t="shared" si="476"/>
        <v>0</v>
      </c>
      <c r="D1616">
        <f>VLOOKUP(A1616,variant_counts!A:B, 2, FALSE)</f>
        <v>2</v>
      </c>
      <c r="E1616" t="str">
        <f t="shared" si="489"/>
        <v>zard-exhaust-headers-kit-ducati-diavel-2011-2018-21-version-zd117scr</v>
      </c>
      <c r="F1616" t="str">
        <f t="shared" si="477"/>
        <v>ZARD EXHAUST HEADERS KIT DUCATI DIAVEL 2011-2018 2&gt;1 VERSION ZD117SCR</v>
      </c>
      <c r="G1616" t="str">
        <f t="shared" si="478"/>
        <v/>
      </c>
      <c r="H1616" t="str">
        <f t="shared" si="490"/>
        <v/>
      </c>
      <c r="I1616" t="str">
        <f t="shared" si="491"/>
        <v/>
      </c>
      <c r="J1616" t="str">
        <f t="shared" si="492"/>
        <v/>
      </c>
      <c r="K1616" t="str">
        <f t="shared" si="493"/>
        <v/>
      </c>
      <c r="L1616" t="str">
        <f t="shared" si="479"/>
        <v/>
      </c>
      <c r="M1616" t="str">
        <f t="shared" si="480"/>
        <v/>
      </c>
      <c r="R1616" t="str">
        <f t="shared" si="481"/>
        <v/>
      </c>
      <c r="S1616" t="str">
        <f t="shared" si="482"/>
        <v/>
      </c>
      <c r="U1616" t="str">
        <f t="shared" si="483"/>
        <v/>
      </c>
      <c r="V1616" t="str">
        <f t="shared" si="484"/>
        <v/>
      </c>
      <c r="W1616" s="5" t="str">
        <f t="shared" si="485"/>
        <v/>
      </c>
      <c r="Y1616" t="str">
        <f t="shared" si="486"/>
        <v/>
      </c>
      <c r="Z1616" t="str">
        <f t="shared" si="487"/>
        <v/>
      </c>
      <c r="AB1616" t="str">
        <f t="shared" si="488"/>
        <v>https://shop.officineitalianezard.it/contents/imgs/products/1_1050-ducati%20diavel%20exhaust1.jpg</v>
      </c>
      <c r="AE1616" t="b">
        <v>0</v>
      </c>
    </row>
    <row r="1617" spans="1:31" x14ac:dyDescent="0.2">
      <c r="A1617" t="str">
        <f t="shared" si="475"/>
        <v>https://shop.officineitalianezard.it/en/ducati-diavel-exhaust-zard-3/</v>
      </c>
      <c r="B1617" t="b">
        <f>COUNTIF($A$2:$A1617, A1617)&gt;1</f>
        <v>1</v>
      </c>
      <c r="C1617" t="b">
        <f t="shared" si="476"/>
        <v>1</v>
      </c>
      <c r="D1617">
        <f>VLOOKUP(A1617,variant_counts!A:B, 2, FALSE)</f>
        <v>2</v>
      </c>
      <c r="E1617" t="str">
        <f t="shared" si="489"/>
        <v>zard-exhaust-headers-kit-ducati-diavel-2011-2018-21-version-zd117scr</v>
      </c>
      <c r="F1617" t="str">
        <f t="shared" si="477"/>
        <v>ZARD EXHAUST HEADERS KIT DUCATI DIAVEL 2011-2018 2&gt;1 VERSION ZD117SCR</v>
      </c>
      <c r="G1617" t="str">
        <f t="shared" si="478"/>
        <v/>
      </c>
      <c r="H1617" t="str">
        <f t="shared" si="490"/>
        <v/>
      </c>
      <c r="I1617" t="str">
        <f t="shared" si="491"/>
        <v/>
      </c>
      <c r="J1617" t="str">
        <f t="shared" si="492"/>
        <v/>
      </c>
      <c r="K1617" t="str">
        <f t="shared" si="493"/>
        <v/>
      </c>
      <c r="L1617" t="str">
        <f t="shared" si="479"/>
        <v>Option</v>
      </c>
      <c r="M1617" t="str">
        <f t="shared" si="480"/>
        <v>BLACK CERAMIC COATING</v>
      </c>
      <c r="R1617" t="str">
        <f t="shared" si="481"/>
        <v>ZD117SCR</v>
      </c>
      <c r="S1617">
        <f t="shared" si="482"/>
        <v>0</v>
      </c>
      <c r="U1617" t="str">
        <f t="shared" si="483"/>
        <v>continue</v>
      </c>
      <c r="V1617" t="str">
        <f t="shared" si="484"/>
        <v>manual</v>
      </c>
      <c r="W1617" s="5">
        <f t="shared" si="485"/>
        <v>1513.6959000000002</v>
      </c>
      <c r="Y1617" t="b">
        <f t="shared" si="486"/>
        <v>1</v>
      </c>
      <c r="Z1617" t="b">
        <f t="shared" si="487"/>
        <v>0</v>
      </c>
      <c r="AB1617" t="str">
        <f t="shared" si="488"/>
        <v/>
      </c>
      <c r="AE1617" t="b">
        <v>0</v>
      </c>
    </row>
    <row r="1618" spans="1:31" x14ac:dyDescent="0.2">
      <c r="A1618" t="str">
        <f t="shared" si="475"/>
        <v>https://shop.officineitalianezard.it/en/ducati-diavel-exhaust-zard-3/</v>
      </c>
      <c r="B1618" t="b">
        <f>COUNTIF($A$2:$A1618, A1618)&gt;1</f>
        <v>1</v>
      </c>
      <c r="C1618" t="b">
        <f t="shared" si="476"/>
        <v>1</v>
      </c>
      <c r="D1618">
        <f>VLOOKUP(A1618,variant_counts!A:B, 2, FALSE)</f>
        <v>2</v>
      </c>
      <c r="E1618" t="str">
        <f t="shared" si="489"/>
        <v>zard-exhaust-headers-kit-ducati-diavel-2011-2018-21-version-zd117scr</v>
      </c>
      <c r="F1618" t="str">
        <f t="shared" si="477"/>
        <v>ZARD EXHAUST HEADERS KIT DUCATI DIAVEL 2011-2018 2&gt;1 VERSION ZD117SCR</v>
      </c>
      <c r="G1618" t="str">
        <f t="shared" si="478"/>
        <v/>
      </c>
      <c r="H1618" t="str">
        <f t="shared" si="490"/>
        <v/>
      </c>
      <c r="I1618" t="str">
        <f t="shared" si="491"/>
        <v/>
      </c>
      <c r="J1618" t="str">
        <f t="shared" si="492"/>
        <v/>
      </c>
      <c r="K1618" t="str">
        <f t="shared" si="493"/>
        <v/>
      </c>
      <c r="L1618" t="str">
        <f t="shared" si="479"/>
        <v>Option</v>
      </c>
      <c r="M1618" t="str">
        <f t="shared" si="480"/>
        <v>FULL TITANIO</v>
      </c>
      <c r="R1618" t="str">
        <f t="shared" si="481"/>
        <v>ZD117SCR</v>
      </c>
      <c r="S1618">
        <f t="shared" si="482"/>
        <v>0</v>
      </c>
      <c r="U1618" t="str">
        <f t="shared" si="483"/>
        <v>continue</v>
      </c>
      <c r="V1618" t="str">
        <f t="shared" si="484"/>
        <v>manual</v>
      </c>
      <c r="W1618" s="5">
        <f t="shared" si="485"/>
        <v>2317.8021000000003</v>
      </c>
      <c r="Y1618" t="b">
        <f t="shared" si="486"/>
        <v>1</v>
      </c>
      <c r="Z1618" t="b">
        <f t="shared" si="487"/>
        <v>0</v>
      </c>
      <c r="AB1618" t="str">
        <f t="shared" si="488"/>
        <v/>
      </c>
      <c r="AE1618" t="b">
        <v>0</v>
      </c>
    </row>
    <row r="1619" spans="1:31" x14ac:dyDescent="0.2">
      <c r="A1619" t="str">
        <f t="shared" si="475"/>
        <v>https://shop.officineitalianezard.it/en/ducati-diavel-exhaust-zard-2/</v>
      </c>
      <c r="B1619" t="b">
        <f>COUNTIF($A$2:$A1619, A1619)&gt;1</f>
        <v>0</v>
      </c>
      <c r="C1619" t="b">
        <f t="shared" si="476"/>
        <v>0</v>
      </c>
      <c r="D1619">
        <f>VLOOKUP(A1619,variant_counts!A:B, 2, FALSE)</f>
        <v>6</v>
      </c>
      <c r="E1619" t="str">
        <f t="shared" si="489"/>
        <v>zard-exhaust-silencer-ducati-diavel-2011-2018-steel-version-zd117ssr</v>
      </c>
      <c r="F1619" t="str">
        <f t="shared" si="477"/>
        <v>ZARD EXHAUST SILENCER DUCATI DIAVEL 2011-2018 STEEL VERSION ZD117SSR</v>
      </c>
      <c r="G1619" t="str">
        <f t="shared" si="478"/>
        <v>&lt;p&gt;STEEL SILENCER RACING&amp;nbsp;&lt;/p&gt;
&lt;p&gt;MACHINED FROM SOLID ALUMINIUM END-CAP&amp;nbsp;&lt;/p&gt;
&lt;p&gt;BLACK STEEL HEAT SHIELD&lt;/p&gt;
&lt;p&gt;CARBON COVER IS AVAILABLE AS OPTIONAL AND CAN BE FITTED ON BLACK STEEL SILENCER ONLY&lt;/p&gt;
&lt;p&gt;ZARD EXHAUST WEIGHT: 4 KG&lt;/p&gt;
&lt;p&gt;THE SILENCER CAN BE FITTED ON ORIGINAL DUCATI HEADERS OR ON ZARD COLLECTOR TO HAVE BEST PERFORMANCES AND UNIQUE DESIGN.&lt;/p&gt;
&lt;p&gt;IL SILENZIATORE PUO' ESSERE MONTATO SUL COLLETTORE ORIGINALE DUCATI OPPURE SUL COLLETTORE ZARD DEDICATO, PER UN NOTEVOLE AUMENTO DELLE PERFORMANCE E UN'ESTETICA ACCATTIVANTE.&lt;/p&gt;
&lt;p&gt;HARD INCREASE, COMPARED TO THE ORIGINAL EXHAUST SYSTEM, IN TERMS OF TORQUE AND POWER AT ANY RANGE.&lt;/p&gt;
&lt;p&gt;ASTONISHING SOUND.&lt;/p&gt;
&lt;p&gt;&lt;/p&gt;</v>
      </c>
      <c r="H1619" t="str">
        <f t="shared" si="490"/>
        <v>ZARD</v>
      </c>
      <c r="I1619" t="str">
        <f t="shared" si="491"/>
        <v>Exhaust Pipe</v>
      </c>
      <c r="J1619" t="str">
        <f t="shared" si="492"/>
        <v>Test</v>
      </c>
      <c r="K1619" t="b">
        <f t="shared" si="493"/>
        <v>0</v>
      </c>
      <c r="L1619" t="str">
        <f t="shared" si="479"/>
        <v/>
      </c>
      <c r="M1619" t="str">
        <f t="shared" si="480"/>
        <v/>
      </c>
      <c r="R1619" t="str">
        <f t="shared" si="481"/>
        <v/>
      </c>
      <c r="S1619" t="str">
        <f t="shared" si="482"/>
        <v/>
      </c>
      <c r="U1619" t="str">
        <f t="shared" si="483"/>
        <v/>
      </c>
      <c r="V1619" t="str">
        <f t="shared" si="484"/>
        <v/>
      </c>
      <c r="W1619" s="5" t="str">
        <f t="shared" si="485"/>
        <v/>
      </c>
      <c r="Y1619" t="str">
        <f t="shared" si="486"/>
        <v/>
      </c>
      <c r="Z1619" t="str">
        <f t="shared" si="487"/>
        <v/>
      </c>
      <c r="AB1619" t="str">
        <f t="shared" si="488"/>
        <v>https://shop.officineitalianezard.it/contents/imgs/products/1_1892-diavelzard.jpg</v>
      </c>
      <c r="AE1619" t="b">
        <v>0</v>
      </c>
    </row>
    <row r="1620" spans="1:31" x14ac:dyDescent="0.2">
      <c r="A1620" t="str">
        <f t="shared" si="475"/>
        <v>https://shop.officineitalianezard.it/en/ducati-diavel-exhaust-zard-2/</v>
      </c>
      <c r="B1620" t="b">
        <f>COUNTIF($A$2:$A1620, A1620)&gt;1</f>
        <v>1</v>
      </c>
      <c r="C1620" t="b">
        <f t="shared" si="476"/>
        <v>0</v>
      </c>
      <c r="D1620">
        <f>VLOOKUP(A1620,variant_counts!A:B, 2, FALSE)</f>
        <v>6</v>
      </c>
      <c r="E1620" t="str">
        <f t="shared" si="489"/>
        <v>zard-exhaust-silencer-ducati-diavel-2011-2018-steel-version-zd117ssr</v>
      </c>
      <c r="F1620" t="str">
        <f t="shared" si="477"/>
        <v>ZARD EXHAUST SILENCER DUCATI DIAVEL 2011-2018 STEEL VERSION ZD117SSR</v>
      </c>
      <c r="G1620" t="str">
        <f t="shared" si="478"/>
        <v/>
      </c>
      <c r="H1620" t="str">
        <f t="shared" si="490"/>
        <v/>
      </c>
      <c r="I1620" t="str">
        <f t="shared" si="491"/>
        <v/>
      </c>
      <c r="J1620" t="str">
        <f t="shared" si="492"/>
        <v/>
      </c>
      <c r="K1620" t="str">
        <f t="shared" si="493"/>
        <v/>
      </c>
      <c r="L1620" t="str">
        <f t="shared" si="479"/>
        <v/>
      </c>
      <c r="M1620" t="str">
        <f t="shared" si="480"/>
        <v/>
      </c>
      <c r="R1620" t="str">
        <f t="shared" si="481"/>
        <v/>
      </c>
      <c r="S1620" t="str">
        <f t="shared" si="482"/>
        <v/>
      </c>
      <c r="U1620" t="str">
        <f t="shared" si="483"/>
        <v/>
      </c>
      <c r="V1620" t="str">
        <f t="shared" si="484"/>
        <v/>
      </c>
      <c r="W1620" s="5" t="str">
        <f t="shared" si="485"/>
        <v/>
      </c>
      <c r="Y1620" t="str">
        <f t="shared" si="486"/>
        <v/>
      </c>
      <c r="Z1620" t="str">
        <f t="shared" si="487"/>
        <v/>
      </c>
      <c r="AB1620" t="str">
        <f t="shared" si="488"/>
        <v>https://shop.officineitalianezard.it/contents/imgs/products/1_619-scarichi%20moto%20ducati%20zard%20diavel%201.jpg</v>
      </c>
      <c r="AE1620" t="b">
        <v>0</v>
      </c>
    </row>
    <row r="1621" spans="1:31" x14ac:dyDescent="0.2">
      <c r="A1621" t="str">
        <f t="shared" si="475"/>
        <v>https://shop.officineitalianezard.it/en/ducati-diavel-exhaust-zard-2/</v>
      </c>
      <c r="B1621" t="b">
        <f>COUNTIF($A$2:$A1621, A1621)&gt;1</f>
        <v>1</v>
      </c>
      <c r="C1621" t="b">
        <f t="shared" si="476"/>
        <v>0</v>
      </c>
      <c r="D1621">
        <f>VLOOKUP(A1621,variant_counts!A:B, 2, FALSE)</f>
        <v>6</v>
      </c>
      <c r="E1621" t="str">
        <f t="shared" si="489"/>
        <v>zard-exhaust-silencer-ducati-diavel-2011-2018-steel-version-zd117ssr</v>
      </c>
      <c r="F1621" t="str">
        <f t="shared" si="477"/>
        <v>ZARD EXHAUST SILENCER DUCATI DIAVEL 2011-2018 STEEL VERSION ZD117SSR</v>
      </c>
      <c r="G1621" t="str">
        <f t="shared" si="478"/>
        <v/>
      </c>
      <c r="H1621" t="str">
        <f t="shared" si="490"/>
        <v/>
      </c>
      <c r="I1621" t="str">
        <f t="shared" si="491"/>
        <v/>
      </c>
      <c r="J1621" t="str">
        <f t="shared" si="492"/>
        <v/>
      </c>
      <c r="K1621" t="str">
        <f t="shared" si="493"/>
        <v/>
      </c>
      <c r="L1621" t="str">
        <f t="shared" si="479"/>
        <v/>
      </c>
      <c r="M1621" t="str">
        <f t="shared" si="480"/>
        <v/>
      </c>
      <c r="R1621" t="str">
        <f t="shared" si="481"/>
        <v/>
      </c>
      <c r="S1621" t="str">
        <f t="shared" si="482"/>
        <v/>
      </c>
      <c r="U1621" t="str">
        <f t="shared" si="483"/>
        <v/>
      </c>
      <c r="V1621" t="str">
        <f t="shared" si="484"/>
        <v/>
      </c>
      <c r="W1621" s="5" t="str">
        <f t="shared" si="485"/>
        <v/>
      </c>
      <c r="Y1621" t="str">
        <f t="shared" si="486"/>
        <v/>
      </c>
      <c r="Z1621" t="str">
        <f t="shared" si="487"/>
        <v/>
      </c>
      <c r="AB1621" t="str">
        <f t="shared" si="488"/>
        <v>https://shop.officineitalianezard.it/contents/imgs/products/1_620-scarichi%20moto%20ducati%20zard%20diavel%202.jpg</v>
      </c>
      <c r="AE1621" t="b">
        <v>0</v>
      </c>
    </row>
    <row r="1622" spans="1:31" x14ac:dyDescent="0.2">
      <c r="A1622" t="str">
        <f t="shared" si="475"/>
        <v>https://shop.officineitalianezard.it/en/ducati-diavel-exhaust-zard-2/</v>
      </c>
      <c r="B1622" t="b">
        <f>COUNTIF($A$2:$A1622, A1622)&gt;1</f>
        <v>1</v>
      </c>
      <c r="C1622" t="b">
        <f t="shared" si="476"/>
        <v>0</v>
      </c>
      <c r="D1622">
        <f>VLOOKUP(A1622,variant_counts!A:B, 2, FALSE)</f>
        <v>6</v>
      </c>
      <c r="E1622" t="str">
        <f t="shared" si="489"/>
        <v>zard-exhaust-silencer-ducati-diavel-2011-2018-steel-version-zd117ssr</v>
      </c>
      <c r="F1622" t="str">
        <f t="shared" si="477"/>
        <v>ZARD EXHAUST SILENCER DUCATI DIAVEL 2011-2018 STEEL VERSION ZD117SSR</v>
      </c>
      <c r="G1622" t="str">
        <f t="shared" si="478"/>
        <v/>
      </c>
      <c r="H1622" t="str">
        <f t="shared" si="490"/>
        <v/>
      </c>
      <c r="I1622" t="str">
        <f t="shared" si="491"/>
        <v/>
      </c>
      <c r="J1622" t="str">
        <f t="shared" si="492"/>
        <v/>
      </c>
      <c r="K1622" t="str">
        <f t="shared" si="493"/>
        <v/>
      </c>
      <c r="L1622" t="str">
        <f t="shared" si="479"/>
        <v/>
      </c>
      <c r="M1622" t="str">
        <f t="shared" si="480"/>
        <v/>
      </c>
      <c r="R1622" t="str">
        <f t="shared" si="481"/>
        <v/>
      </c>
      <c r="S1622" t="str">
        <f t="shared" si="482"/>
        <v/>
      </c>
      <c r="U1622" t="str">
        <f t="shared" si="483"/>
        <v/>
      </c>
      <c r="V1622" t="str">
        <f t="shared" si="484"/>
        <v/>
      </c>
      <c r="W1622" s="5" t="str">
        <f t="shared" si="485"/>
        <v/>
      </c>
      <c r="Y1622" t="str">
        <f t="shared" si="486"/>
        <v/>
      </c>
      <c r="Z1622" t="str">
        <f t="shared" si="487"/>
        <v/>
      </c>
      <c r="AB1622" t="str">
        <f t="shared" si="488"/>
        <v>https://shop.officineitalianezard.it/contents/imgs/products/1_621-scarichi%20moto%20ducati%20zard%20diavel%205.jpg</v>
      </c>
      <c r="AE1622" t="b">
        <v>0</v>
      </c>
    </row>
    <row r="1623" spans="1:31" x14ac:dyDescent="0.2">
      <c r="A1623" t="str">
        <f t="shared" si="475"/>
        <v>https://shop.officineitalianezard.it/en/ducati-diavel-exhaust-zard-2/</v>
      </c>
      <c r="B1623" t="b">
        <f>COUNTIF($A$2:$A1623, A1623)&gt;1</f>
        <v>1</v>
      </c>
      <c r="C1623" t="b">
        <f t="shared" si="476"/>
        <v>0</v>
      </c>
      <c r="D1623">
        <f>VLOOKUP(A1623,variant_counts!A:B, 2, FALSE)</f>
        <v>6</v>
      </c>
      <c r="E1623" t="str">
        <f t="shared" si="489"/>
        <v>zard-exhaust-silencer-ducati-diavel-2011-2018-steel-version-zd117ssr</v>
      </c>
      <c r="F1623" t="str">
        <f t="shared" si="477"/>
        <v>ZARD EXHAUST SILENCER DUCATI DIAVEL 2011-2018 STEEL VERSION ZD117SSR</v>
      </c>
      <c r="G1623" t="str">
        <f t="shared" si="478"/>
        <v/>
      </c>
      <c r="H1623" t="str">
        <f t="shared" si="490"/>
        <v/>
      </c>
      <c r="I1623" t="str">
        <f t="shared" si="491"/>
        <v/>
      </c>
      <c r="J1623" t="str">
        <f t="shared" si="492"/>
        <v/>
      </c>
      <c r="K1623" t="str">
        <f t="shared" si="493"/>
        <v/>
      </c>
      <c r="L1623" t="str">
        <f t="shared" si="479"/>
        <v/>
      </c>
      <c r="M1623" t="str">
        <f t="shared" si="480"/>
        <v/>
      </c>
      <c r="R1623" t="str">
        <f t="shared" si="481"/>
        <v/>
      </c>
      <c r="S1623" t="str">
        <f t="shared" si="482"/>
        <v/>
      </c>
      <c r="U1623" t="str">
        <f t="shared" si="483"/>
        <v/>
      </c>
      <c r="V1623" t="str">
        <f t="shared" si="484"/>
        <v/>
      </c>
      <c r="W1623" s="5" t="str">
        <f t="shared" si="485"/>
        <v/>
      </c>
      <c r="Y1623" t="str">
        <f t="shared" si="486"/>
        <v/>
      </c>
      <c r="Z1623" t="str">
        <f t="shared" si="487"/>
        <v/>
      </c>
      <c r="AB1623" t="str">
        <f t="shared" si="488"/>
        <v>https://shop.officineitalianezard.it/contents/imgs/products/1_622-scarichi%20moto%20ducati%20zard%20diavel%203.jpg</v>
      </c>
      <c r="AE1623" t="b">
        <v>0</v>
      </c>
    </row>
    <row r="1624" spans="1:31" x14ac:dyDescent="0.2">
      <c r="A1624" t="str">
        <f t="shared" si="475"/>
        <v>https://shop.officineitalianezard.it/en/ducati-diavel-exhaust-zard-2/</v>
      </c>
      <c r="B1624" t="b">
        <f>COUNTIF($A$2:$A1624, A1624)&gt;1</f>
        <v>1</v>
      </c>
      <c r="C1624" t="b">
        <f t="shared" si="476"/>
        <v>0</v>
      </c>
      <c r="D1624">
        <f>VLOOKUP(A1624,variant_counts!A:B, 2, FALSE)</f>
        <v>6</v>
      </c>
      <c r="E1624" t="str">
        <f t="shared" si="489"/>
        <v>zard-exhaust-silencer-ducati-diavel-2011-2018-steel-version-zd117ssr</v>
      </c>
      <c r="F1624" t="str">
        <f t="shared" si="477"/>
        <v>ZARD EXHAUST SILENCER DUCATI DIAVEL 2011-2018 STEEL VERSION ZD117SSR</v>
      </c>
      <c r="G1624" t="str">
        <f t="shared" si="478"/>
        <v/>
      </c>
      <c r="H1624" t="str">
        <f t="shared" si="490"/>
        <v/>
      </c>
      <c r="I1624" t="str">
        <f t="shared" si="491"/>
        <v/>
      </c>
      <c r="J1624" t="str">
        <f t="shared" si="492"/>
        <v/>
      </c>
      <c r="K1624" t="str">
        <f t="shared" si="493"/>
        <v/>
      </c>
      <c r="L1624" t="str">
        <f t="shared" si="479"/>
        <v/>
      </c>
      <c r="M1624" t="str">
        <f t="shared" si="480"/>
        <v/>
      </c>
      <c r="R1624" t="str">
        <f t="shared" si="481"/>
        <v/>
      </c>
      <c r="S1624" t="str">
        <f t="shared" si="482"/>
        <v/>
      </c>
      <c r="U1624" t="str">
        <f t="shared" si="483"/>
        <v/>
      </c>
      <c r="V1624" t="str">
        <f t="shared" si="484"/>
        <v/>
      </c>
      <c r="W1624" s="5" t="str">
        <f t="shared" si="485"/>
        <v/>
      </c>
      <c r="Y1624" t="str">
        <f t="shared" si="486"/>
        <v/>
      </c>
      <c r="Z1624" t="str">
        <f t="shared" si="487"/>
        <v/>
      </c>
      <c r="AB1624" t="str">
        <f t="shared" si="488"/>
        <v>https://shop.officineitalianezard.it/contents/imgs/products/1_623-scarichi%20moto%20ducati%20zard%20diavel%204.jpg</v>
      </c>
      <c r="AE1624" t="b">
        <v>0</v>
      </c>
    </row>
    <row r="1625" spans="1:31" x14ac:dyDescent="0.2">
      <c r="A1625" t="str">
        <f t="shared" si="475"/>
        <v>https://shop.officineitalianezard.it/en/ducati-diavel-exhaust-zard-2/</v>
      </c>
      <c r="B1625" t="b">
        <f>COUNTIF($A$2:$A1625, A1625)&gt;1</f>
        <v>1</v>
      </c>
      <c r="C1625" t="b">
        <f t="shared" si="476"/>
        <v>1</v>
      </c>
      <c r="D1625">
        <f>VLOOKUP(A1625,variant_counts!A:B, 2, FALSE)</f>
        <v>6</v>
      </c>
      <c r="E1625" t="str">
        <f t="shared" si="489"/>
        <v>zard-exhaust-silencer-ducati-diavel-2011-2018-steel-version-zd117ssr</v>
      </c>
      <c r="F1625" t="str">
        <f t="shared" si="477"/>
        <v>ZARD EXHAUST SILENCER DUCATI DIAVEL 2011-2018 STEEL VERSION ZD117SSR</v>
      </c>
      <c r="G1625" t="str">
        <f t="shared" si="478"/>
        <v/>
      </c>
      <c r="H1625" t="str">
        <f t="shared" si="490"/>
        <v/>
      </c>
      <c r="I1625" t="str">
        <f t="shared" si="491"/>
        <v/>
      </c>
      <c r="J1625" t="str">
        <f t="shared" si="492"/>
        <v/>
      </c>
      <c r="K1625" t="str">
        <f t="shared" si="493"/>
        <v/>
      </c>
      <c r="L1625" t="str">
        <f t="shared" si="479"/>
        <v>Option</v>
      </c>
      <c r="M1625" t="str">
        <f t="shared" si="480"/>
        <v>CARBON ENDCAP</v>
      </c>
      <c r="R1625" t="str">
        <f t="shared" si="481"/>
        <v>ZD117SSR</v>
      </c>
      <c r="S1625">
        <f t="shared" si="482"/>
        <v>0</v>
      </c>
      <c r="U1625" t="str">
        <f t="shared" si="483"/>
        <v>continue</v>
      </c>
      <c r="V1625" t="str">
        <f t="shared" si="484"/>
        <v>manual</v>
      </c>
      <c r="W1625" s="5">
        <f t="shared" si="485"/>
        <v>949.23870000000011</v>
      </c>
      <c r="Y1625" t="b">
        <f t="shared" si="486"/>
        <v>1</v>
      </c>
      <c r="Z1625" t="b">
        <f t="shared" si="487"/>
        <v>0</v>
      </c>
      <c r="AB1625" t="str">
        <f t="shared" si="488"/>
        <v/>
      </c>
      <c r="AE1625" t="b">
        <v>0</v>
      </c>
    </row>
    <row r="1626" spans="1:31" x14ac:dyDescent="0.2">
      <c r="A1626" t="str">
        <f t="shared" si="475"/>
        <v>https://shop.officineitalianezard.it/en/ducati-diavel-exhaust-zard-2/</v>
      </c>
      <c r="B1626" t="b">
        <f>COUNTIF($A$2:$A1626, A1626)&gt;1</f>
        <v>1</v>
      </c>
      <c r="C1626" t="b">
        <f t="shared" si="476"/>
        <v>1</v>
      </c>
      <c r="D1626">
        <f>VLOOKUP(A1626,variant_counts!A:B, 2, FALSE)</f>
        <v>6</v>
      </c>
      <c r="E1626" t="str">
        <f t="shared" si="489"/>
        <v>zard-exhaust-silencer-ducati-diavel-2011-2018-steel-version-zd117ssr</v>
      </c>
      <c r="F1626" t="str">
        <f t="shared" si="477"/>
        <v>ZARD EXHAUST SILENCER DUCATI DIAVEL 2011-2018 STEEL VERSION ZD117SSR</v>
      </c>
      <c r="G1626" t="str">
        <f t="shared" si="478"/>
        <v/>
      </c>
      <c r="H1626" t="str">
        <f t="shared" si="490"/>
        <v/>
      </c>
      <c r="I1626" t="str">
        <f t="shared" si="491"/>
        <v/>
      </c>
      <c r="J1626" t="str">
        <f t="shared" si="492"/>
        <v/>
      </c>
      <c r="K1626" t="str">
        <f t="shared" si="493"/>
        <v/>
      </c>
      <c r="L1626" t="str">
        <f t="shared" si="479"/>
        <v>Option</v>
      </c>
      <c r="M1626" t="str">
        <f t="shared" si="480"/>
        <v>BLACK CERAMIC COATING</v>
      </c>
      <c r="R1626" t="str">
        <f t="shared" si="481"/>
        <v>ZD117SSR</v>
      </c>
      <c r="S1626">
        <f t="shared" si="482"/>
        <v>0</v>
      </c>
      <c r="U1626" t="str">
        <f t="shared" si="483"/>
        <v>continue</v>
      </c>
      <c r="V1626" t="str">
        <f t="shared" si="484"/>
        <v>manual</v>
      </c>
      <c r="W1626" s="5">
        <f t="shared" si="485"/>
        <v>845.2428000000001</v>
      </c>
      <c r="Y1626" t="b">
        <f t="shared" si="486"/>
        <v>1</v>
      </c>
      <c r="Z1626" t="b">
        <f t="shared" si="487"/>
        <v>0</v>
      </c>
      <c r="AB1626" t="str">
        <f t="shared" si="488"/>
        <v/>
      </c>
      <c r="AE1626" t="b">
        <v>0</v>
      </c>
    </row>
    <row r="1627" spans="1:31" x14ac:dyDescent="0.2">
      <c r="A1627" t="str">
        <f t="shared" si="475"/>
        <v>https://shop.officineitalianezard.it/en/ducati-diavel-exhaust-zard-2/</v>
      </c>
      <c r="B1627" t="b">
        <f>COUNTIF($A$2:$A1627, A1627)&gt;1</f>
        <v>1</v>
      </c>
      <c r="C1627" t="b">
        <f t="shared" si="476"/>
        <v>1</v>
      </c>
      <c r="D1627">
        <f>VLOOKUP(A1627,variant_counts!A:B, 2, FALSE)</f>
        <v>6</v>
      </c>
      <c r="E1627" t="str">
        <f t="shared" si="489"/>
        <v>zard-exhaust-silencer-ducati-diavel-2011-2018-steel-version-zd117ssr</v>
      </c>
      <c r="F1627" t="str">
        <f t="shared" si="477"/>
        <v>ZARD EXHAUST SILENCER DUCATI DIAVEL 2011-2018 STEEL VERSION ZD117SSR</v>
      </c>
      <c r="G1627" t="str">
        <f t="shared" si="478"/>
        <v/>
      </c>
      <c r="H1627" t="str">
        <f t="shared" si="490"/>
        <v/>
      </c>
      <c r="I1627" t="str">
        <f t="shared" si="491"/>
        <v/>
      </c>
      <c r="J1627" t="str">
        <f t="shared" si="492"/>
        <v/>
      </c>
      <c r="K1627" t="str">
        <f t="shared" si="493"/>
        <v/>
      </c>
      <c r="L1627" t="str">
        <f t="shared" si="479"/>
        <v>Option</v>
      </c>
      <c r="M1627" t="str">
        <f t="shared" si="480"/>
        <v>BLACK ENDCAP</v>
      </c>
      <c r="R1627" t="str">
        <f t="shared" si="481"/>
        <v>ZD117SSR</v>
      </c>
      <c r="S1627">
        <f t="shared" si="482"/>
        <v>0</v>
      </c>
      <c r="U1627" t="str">
        <f t="shared" si="483"/>
        <v>continue</v>
      </c>
      <c r="V1627" t="str">
        <f t="shared" si="484"/>
        <v>manual</v>
      </c>
      <c r="W1627" s="5">
        <f t="shared" si="485"/>
        <v>891.91830000000004</v>
      </c>
      <c r="Y1627" t="b">
        <f t="shared" si="486"/>
        <v>1</v>
      </c>
      <c r="Z1627" t="b">
        <f t="shared" si="487"/>
        <v>0</v>
      </c>
      <c r="AB1627" t="str">
        <f t="shared" si="488"/>
        <v/>
      </c>
      <c r="AE1627" t="b">
        <v>0</v>
      </c>
    </row>
    <row r="1628" spans="1:31" x14ac:dyDescent="0.2">
      <c r="A1628" t="str">
        <f t="shared" si="475"/>
        <v>https://shop.officineitalianezard.it/en/ducati-diavel-exhaust-zard-2/</v>
      </c>
      <c r="B1628" t="b">
        <f>COUNTIF($A$2:$A1628, A1628)&gt;1</f>
        <v>1</v>
      </c>
      <c r="C1628" t="b">
        <f t="shared" si="476"/>
        <v>1</v>
      </c>
      <c r="D1628">
        <f>VLOOKUP(A1628,variant_counts!A:B, 2, FALSE)</f>
        <v>6</v>
      </c>
      <c r="E1628" t="str">
        <f t="shared" si="489"/>
        <v>zard-exhaust-silencer-ducati-diavel-2011-2018-steel-version-zd117ssr</v>
      </c>
      <c r="F1628" t="str">
        <f t="shared" si="477"/>
        <v>ZARD EXHAUST SILENCER DUCATI DIAVEL 2011-2018 STEEL VERSION ZD117SSR</v>
      </c>
      <c r="G1628" t="str">
        <f t="shared" si="478"/>
        <v/>
      </c>
      <c r="H1628" t="str">
        <f t="shared" si="490"/>
        <v/>
      </c>
      <c r="I1628" t="str">
        <f t="shared" si="491"/>
        <v/>
      </c>
      <c r="J1628" t="str">
        <f t="shared" si="492"/>
        <v/>
      </c>
      <c r="K1628" t="str">
        <f t="shared" si="493"/>
        <v/>
      </c>
      <c r="L1628" t="str">
        <f t="shared" si="479"/>
        <v>Option</v>
      </c>
      <c r="M1628" t="str">
        <f t="shared" si="480"/>
        <v>CARBON SILENCER COVER</v>
      </c>
      <c r="R1628" t="str">
        <f t="shared" si="481"/>
        <v>ZD117SSR</v>
      </c>
      <c r="S1628">
        <f t="shared" si="482"/>
        <v>0</v>
      </c>
      <c r="U1628" t="str">
        <f t="shared" si="483"/>
        <v>continue</v>
      </c>
      <c r="V1628" t="str">
        <f t="shared" si="484"/>
        <v>manual</v>
      </c>
      <c r="W1628" s="5">
        <f t="shared" si="485"/>
        <v>1086.8010000000002</v>
      </c>
      <c r="Y1628" t="b">
        <f t="shared" si="486"/>
        <v>1</v>
      </c>
      <c r="Z1628" t="b">
        <f t="shared" si="487"/>
        <v>0</v>
      </c>
      <c r="AB1628" t="str">
        <f t="shared" si="488"/>
        <v/>
      </c>
      <c r="AE1628" t="b">
        <v>0</v>
      </c>
    </row>
    <row r="1629" spans="1:31" x14ac:dyDescent="0.2">
      <c r="A1629" t="str">
        <f t="shared" si="475"/>
        <v>https://shop.officineitalianezard.it/en/ducati-diavel-exhaust-zard-2/</v>
      </c>
      <c r="B1629" t="b">
        <f>COUNTIF($A$2:$A1629, A1629)&gt;1</f>
        <v>1</v>
      </c>
      <c r="C1629" t="b">
        <f t="shared" si="476"/>
        <v>1</v>
      </c>
      <c r="D1629">
        <f>VLOOKUP(A1629,variant_counts!A:B, 2, FALSE)</f>
        <v>6</v>
      </c>
      <c r="E1629" t="str">
        <f t="shared" si="489"/>
        <v>zard-exhaust-silencer-ducati-diavel-2011-2018-steel-version-zd117ssr</v>
      </c>
      <c r="F1629" t="str">
        <f t="shared" si="477"/>
        <v>ZARD EXHAUST SILENCER DUCATI DIAVEL 2011-2018 STEEL VERSION ZD117SSR</v>
      </c>
      <c r="G1629" t="str">
        <f t="shared" si="478"/>
        <v/>
      </c>
      <c r="H1629" t="str">
        <f t="shared" si="490"/>
        <v/>
      </c>
      <c r="I1629" t="str">
        <f t="shared" si="491"/>
        <v/>
      </c>
      <c r="J1629" t="str">
        <f t="shared" si="492"/>
        <v/>
      </c>
      <c r="K1629" t="str">
        <f t="shared" si="493"/>
        <v/>
      </c>
      <c r="L1629" t="str">
        <f t="shared" si="479"/>
        <v>Option</v>
      </c>
      <c r="M1629" t="str">
        <f t="shared" si="480"/>
        <v>BLACK COATING FOR ORIGINAL HEADERS PIPE</v>
      </c>
      <c r="R1629" t="str">
        <f t="shared" si="481"/>
        <v>ZD117SSR</v>
      </c>
      <c r="S1629">
        <f t="shared" si="482"/>
        <v>0</v>
      </c>
      <c r="U1629" t="str">
        <f t="shared" si="483"/>
        <v>continue</v>
      </c>
      <c r="V1629" t="str">
        <f t="shared" si="484"/>
        <v>manual</v>
      </c>
      <c r="W1629" s="5">
        <f t="shared" si="485"/>
        <v>1085.1693</v>
      </c>
      <c r="Y1629" t="b">
        <f t="shared" si="486"/>
        <v>1</v>
      </c>
      <c r="Z1629" t="b">
        <f t="shared" si="487"/>
        <v>0</v>
      </c>
      <c r="AB1629" t="str">
        <f t="shared" si="488"/>
        <v/>
      </c>
      <c r="AE1629" t="b">
        <v>0</v>
      </c>
    </row>
    <row r="1630" spans="1:31" x14ac:dyDescent="0.2">
      <c r="A1630" t="str">
        <f t="shared" si="475"/>
        <v>https://shop.officineitalianezard.it/en/ducati-diavel-exhaust-zard-2/</v>
      </c>
      <c r="B1630" t="b">
        <f>COUNTIF($A$2:$A1630, A1630)&gt;1</f>
        <v>1</v>
      </c>
      <c r="C1630" t="b">
        <f t="shared" si="476"/>
        <v>1</v>
      </c>
      <c r="D1630">
        <f>VLOOKUP(A1630,variant_counts!A:B, 2, FALSE)</f>
        <v>6</v>
      </c>
      <c r="E1630" t="str">
        <f t="shared" si="489"/>
        <v>zard-exhaust-silencer-ducati-diavel-2011-2018-steel-version-zd117ssr</v>
      </c>
      <c r="F1630" t="str">
        <f t="shared" si="477"/>
        <v>ZARD EXHAUST SILENCER DUCATI DIAVEL 2011-2018 STEEL VERSION ZD117SSR</v>
      </c>
      <c r="G1630" t="str">
        <f t="shared" si="478"/>
        <v/>
      </c>
      <c r="H1630" t="str">
        <f t="shared" si="490"/>
        <v/>
      </c>
      <c r="I1630" t="str">
        <f t="shared" si="491"/>
        <v/>
      </c>
      <c r="J1630" t="str">
        <f t="shared" si="492"/>
        <v/>
      </c>
      <c r="K1630" t="str">
        <f t="shared" si="493"/>
        <v/>
      </c>
      <c r="L1630" t="str">
        <f t="shared" si="479"/>
        <v>Option</v>
      </c>
      <c r="M1630" t="str">
        <f t="shared" si="480"/>
        <v>EURO 3 HOMOLOGATED</v>
      </c>
      <c r="R1630" t="str">
        <f t="shared" si="481"/>
        <v>ZD117SSR</v>
      </c>
      <c r="S1630">
        <f t="shared" si="482"/>
        <v>0</v>
      </c>
      <c r="U1630" t="str">
        <f t="shared" si="483"/>
        <v>continue</v>
      </c>
      <c r="V1630" t="str">
        <f t="shared" si="484"/>
        <v>manual</v>
      </c>
      <c r="W1630" s="5">
        <f t="shared" si="485"/>
        <v>914.0295000000001</v>
      </c>
      <c r="Y1630" t="b">
        <f t="shared" si="486"/>
        <v>1</v>
      </c>
      <c r="Z1630" t="b">
        <f t="shared" si="487"/>
        <v>0</v>
      </c>
      <c r="AB1630" t="str">
        <f t="shared" si="488"/>
        <v/>
      </c>
      <c r="AE1630" t="b">
        <v>0</v>
      </c>
    </row>
    <row r="1631" spans="1:31" x14ac:dyDescent="0.2">
      <c r="A1631" t="str">
        <f t="shared" si="475"/>
        <v>https://shop.officineitalianezard.it/en/ducati-959-panigale-exhaust-zard/</v>
      </c>
      <c r="B1631" t="b">
        <f>COUNTIF($A$2:$A1631, A1631)&gt;1</f>
        <v>0</v>
      </c>
      <c r="C1631" t="b">
        <f t="shared" si="476"/>
        <v>0</v>
      </c>
      <c r="D1631">
        <f>VLOOKUP(A1631,variant_counts!A:B, 2, FALSE)</f>
        <v>3</v>
      </c>
      <c r="E1631" t="str">
        <f t="shared" si="489"/>
        <v>zard-exhaust-212-full-kit-ducati-1199-panigale-underseat-version-zd1199skr-1</v>
      </c>
      <c r="F1631" t="str">
        <f t="shared" si="477"/>
        <v>ZARD EXHAUST 2&gt;1&gt;2 FULL KIT DUCATI 1199 PANIGALE UNDERSEAT VERSION ZD1199SKR-1</v>
      </c>
      <c r="G1631" t="str">
        <f t="shared" si="478"/>
        <v>&lt;p&gt;2&amp;gt;1&amp;gt;2 STEEL-ALUMINIUM BLACK FULL KIT RACING WITH REMOVABLE DB KILLER&lt;/p&gt;
&lt;p&gt;THE EXHAUST CAN BE FITTED ONLY MODIFYING ORIGINAL TAIL OR USING OPTIONAL ZARD RESIN TAIL.&lt;/p&gt;
&lt;p&gt;ORIGINAL FULL KIT WEIGHT: KG 10&lt;br&gt;ZARD STEEL-ALUMINIUM WEIGHT: KG 6.2&lt;br&gt;HEADERS DIAMETERS: 60.3 TO 63.5mm&lt;/p&gt;
&lt;p&gt;CARBON END-CAPS.&lt;/p&gt;
&lt;p&gt;HARD INCREASE, COMPARED TO THE ORIGINAL EXHAUST SYSTEM, IN TERMS OF TORQUE AND POWER (+20 HP) AT MEDIUM RANGE.&lt;/p&gt;
&lt;p&gt;ASTONISHING SOUND.&lt;/p&gt;
&lt;p&gt;&lt;/p&gt;</v>
      </c>
      <c r="H1631" t="str">
        <f t="shared" si="490"/>
        <v>ZARD</v>
      </c>
      <c r="I1631" t="str">
        <f t="shared" si="491"/>
        <v>Exhaust Pipe</v>
      </c>
      <c r="J1631" t="str">
        <f t="shared" si="492"/>
        <v>Test</v>
      </c>
      <c r="K1631" t="b">
        <f t="shared" si="493"/>
        <v>0</v>
      </c>
      <c r="L1631" t="str">
        <f t="shared" si="479"/>
        <v/>
      </c>
      <c r="M1631" t="str">
        <f t="shared" si="480"/>
        <v/>
      </c>
      <c r="R1631" t="str">
        <f t="shared" si="481"/>
        <v/>
      </c>
      <c r="S1631" t="str">
        <f t="shared" si="482"/>
        <v/>
      </c>
      <c r="U1631" t="str">
        <f t="shared" si="483"/>
        <v/>
      </c>
      <c r="V1631" t="str">
        <f t="shared" si="484"/>
        <v/>
      </c>
      <c r="W1631" s="5" t="str">
        <f t="shared" si="485"/>
        <v/>
      </c>
      <c r="Y1631" t="str">
        <f t="shared" si="486"/>
        <v/>
      </c>
      <c r="Z1631" t="str">
        <f t="shared" si="487"/>
        <v/>
      </c>
      <c r="AB1631" t="str">
        <f t="shared" si="488"/>
        <v>https://shop.officineitalianezard.it/contents/imgs/products/1_530-DSCN2898.jpg</v>
      </c>
      <c r="AE1631" t="b">
        <v>0</v>
      </c>
    </row>
    <row r="1632" spans="1:31" x14ac:dyDescent="0.2">
      <c r="A1632" t="str">
        <f t="shared" si="475"/>
        <v>https://shop.officineitalianezard.it/en/ducati-959-panigale-exhaust-zard/</v>
      </c>
      <c r="B1632" t="b">
        <f>COUNTIF($A$2:$A1632, A1632)&gt;1</f>
        <v>1</v>
      </c>
      <c r="C1632" t="b">
        <f t="shared" si="476"/>
        <v>0</v>
      </c>
      <c r="D1632">
        <f>VLOOKUP(A1632,variant_counts!A:B, 2, FALSE)</f>
        <v>3</v>
      </c>
      <c r="E1632" t="str">
        <f t="shared" si="489"/>
        <v>zard-exhaust-212-full-kit-ducati-1199-panigale-underseat-version-zd1199skr-1</v>
      </c>
      <c r="F1632" t="str">
        <f t="shared" si="477"/>
        <v>ZARD EXHAUST 2&gt;1&gt;2 FULL KIT DUCATI 1199 PANIGALE UNDERSEAT VERSION ZD1199SKR-1</v>
      </c>
      <c r="G1632" t="str">
        <f t="shared" si="478"/>
        <v/>
      </c>
      <c r="H1632" t="str">
        <f t="shared" si="490"/>
        <v/>
      </c>
      <c r="I1632" t="str">
        <f t="shared" si="491"/>
        <v/>
      </c>
      <c r="J1632" t="str">
        <f t="shared" si="492"/>
        <v/>
      </c>
      <c r="K1632" t="str">
        <f t="shared" si="493"/>
        <v/>
      </c>
      <c r="L1632" t="str">
        <f t="shared" si="479"/>
        <v/>
      </c>
      <c r="M1632" t="str">
        <f t="shared" si="480"/>
        <v/>
      </c>
      <c r="R1632" t="str">
        <f t="shared" si="481"/>
        <v/>
      </c>
      <c r="S1632" t="str">
        <f t="shared" si="482"/>
        <v/>
      </c>
      <c r="U1632" t="str">
        <f t="shared" si="483"/>
        <v/>
      </c>
      <c r="V1632" t="str">
        <f t="shared" si="484"/>
        <v/>
      </c>
      <c r="W1632" s="5" t="str">
        <f t="shared" si="485"/>
        <v/>
      </c>
      <c r="Y1632" t="str">
        <f t="shared" si="486"/>
        <v/>
      </c>
      <c r="Z1632" t="str">
        <f t="shared" si="487"/>
        <v/>
      </c>
      <c r="AB1632" t="str">
        <f t="shared" si="488"/>
        <v>https://shop.officineitalianezard.it/contents/imgs/products/1_279-panigalezard3.jpg</v>
      </c>
      <c r="AE1632" t="b">
        <v>0</v>
      </c>
    </row>
    <row r="1633" spans="1:31" x14ac:dyDescent="0.2">
      <c r="A1633" t="str">
        <f t="shared" si="475"/>
        <v>https://shop.officineitalianezard.it/en/ducati-959-panigale-exhaust-zard/</v>
      </c>
      <c r="B1633" t="b">
        <f>COUNTIF($A$2:$A1633, A1633)&gt;1</f>
        <v>1</v>
      </c>
      <c r="C1633" t="b">
        <f t="shared" si="476"/>
        <v>0</v>
      </c>
      <c r="D1633">
        <f>VLOOKUP(A1633,variant_counts!A:B, 2, FALSE)</f>
        <v>3</v>
      </c>
      <c r="E1633" t="str">
        <f t="shared" si="489"/>
        <v>zard-exhaust-212-full-kit-ducati-1199-panigale-underseat-version-zd1199skr-1</v>
      </c>
      <c r="F1633" t="str">
        <f t="shared" si="477"/>
        <v>ZARD EXHAUST 2&gt;1&gt;2 FULL KIT DUCATI 1199 PANIGALE UNDERSEAT VERSION ZD1199SKR-1</v>
      </c>
      <c r="G1633" t="str">
        <f t="shared" si="478"/>
        <v/>
      </c>
      <c r="H1633" t="str">
        <f t="shared" si="490"/>
        <v/>
      </c>
      <c r="I1633" t="str">
        <f t="shared" si="491"/>
        <v/>
      </c>
      <c r="J1633" t="str">
        <f t="shared" si="492"/>
        <v/>
      </c>
      <c r="K1633" t="str">
        <f t="shared" si="493"/>
        <v/>
      </c>
      <c r="L1633" t="str">
        <f t="shared" si="479"/>
        <v/>
      </c>
      <c r="M1633" t="str">
        <f t="shared" si="480"/>
        <v/>
      </c>
      <c r="R1633" t="str">
        <f t="shared" si="481"/>
        <v/>
      </c>
      <c r="S1633" t="str">
        <f t="shared" si="482"/>
        <v/>
      </c>
      <c r="U1633" t="str">
        <f t="shared" si="483"/>
        <v/>
      </c>
      <c r="V1633" t="str">
        <f t="shared" si="484"/>
        <v/>
      </c>
      <c r="W1633" s="5" t="str">
        <f t="shared" si="485"/>
        <v/>
      </c>
      <c r="Y1633" t="str">
        <f t="shared" si="486"/>
        <v/>
      </c>
      <c r="Z1633" t="str">
        <f t="shared" si="487"/>
        <v/>
      </c>
      <c r="AB1633" t="str">
        <f t="shared" si="488"/>
        <v>https://shop.officineitalianezard.it/contents/imgs/products/1_1048-ducati%20panigale%20exhaust%20by%20zard.jpg</v>
      </c>
      <c r="AE1633" t="b">
        <v>0</v>
      </c>
    </row>
    <row r="1634" spans="1:31" x14ac:dyDescent="0.2">
      <c r="A1634" t="str">
        <f t="shared" si="475"/>
        <v>https://shop.officineitalianezard.it/en/ducati-959-panigale-exhaust-zard/</v>
      </c>
      <c r="B1634" t="b">
        <f>COUNTIF($A$2:$A1634, A1634)&gt;1</f>
        <v>1</v>
      </c>
      <c r="C1634" t="b">
        <f t="shared" si="476"/>
        <v>0</v>
      </c>
      <c r="D1634">
        <f>VLOOKUP(A1634,variant_counts!A:B, 2, FALSE)</f>
        <v>3</v>
      </c>
      <c r="E1634" t="str">
        <f t="shared" si="489"/>
        <v>zard-exhaust-212-full-kit-ducati-1199-panigale-underseat-version-zd1199skr-1</v>
      </c>
      <c r="F1634" t="str">
        <f t="shared" si="477"/>
        <v>ZARD EXHAUST 2&gt;1&gt;2 FULL KIT DUCATI 1199 PANIGALE UNDERSEAT VERSION ZD1199SKR-1</v>
      </c>
      <c r="G1634" t="str">
        <f t="shared" si="478"/>
        <v/>
      </c>
      <c r="H1634" t="str">
        <f t="shared" si="490"/>
        <v/>
      </c>
      <c r="I1634" t="str">
        <f t="shared" si="491"/>
        <v/>
      </c>
      <c r="J1634" t="str">
        <f t="shared" si="492"/>
        <v/>
      </c>
      <c r="K1634" t="str">
        <f t="shared" si="493"/>
        <v/>
      </c>
      <c r="L1634" t="str">
        <f t="shared" si="479"/>
        <v/>
      </c>
      <c r="M1634" t="str">
        <f t="shared" si="480"/>
        <v/>
      </c>
      <c r="R1634" t="str">
        <f t="shared" si="481"/>
        <v/>
      </c>
      <c r="S1634" t="str">
        <f t="shared" si="482"/>
        <v/>
      </c>
      <c r="U1634" t="str">
        <f t="shared" si="483"/>
        <v/>
      </c>
      <c r="V1634" t="str">
        <f t="shared" si="484"/>
        <v/>
      </c>
      <c r="W1634" s="5" t="str">
        <f t="shared" si="485"/>
        <v/>
      </c>
      <c r="Y1634" t="str">
        <f t="shared" si="486"/>
        <v/>
      </c>
      <c r="Z1634" t="str">
        <f t="shared" si="487"/>
        <v/>
      </c>
      <c r="AB1634" t="str">
        <f t="shared" si="488"/>
        <v>https://shop.officineitalianezard.it/contents/imgs/products/1_1045-saldature%20zard.jpg</v>
      </c>
      <c r="AE1634" t="b">
        <v>0</v>
      </c>
    </row>
    <row r="1635" spans="1:31" x14ac:dyDescent="0.2">
      <c r="A1635" t="str">
        <f t="shared" si="475"/>
        <v>https://shop.officineitalianezard.it/en/ducati-959-panigale-exhaust-zard/</v>
      </c>
      <c r="B1635" t="b">
        <f>COUNTIF($A$2:$A1635, A1635)&gt;1</f>
        <v>1</v>
      </c>
      <c r="C1635" t="b">
        <f t="shared" si="476"/>
        <v>1</v>
      </c>
      <c r="D1635">
        <f>VLOOKUP(A1635,variant_counts!A:B, 2, FALSE)</f>
        <v>3</v>
      </c>
      <c r="E1635" t="str">
        <f t="shared" si="489"/>
        <v>zard-exhaust-212-full-kit-ducati-1199-panigale-underseat-version-zd1199skr-1</v>
      </c>
      <c r="F1635" t="str">
        <f t="shared" si="477"/>
        <v>ZARD EXHAUST 2&gt;1&gt;2 FULL KIT DUCATI 1199 PANIGALE UNDERSEAT VERSION ZD1199SKR-1</v>
      </c>
      <c r="G1635" t="str">
        <f t="shared" si="478"/>
        <v/>
      </c>
      <c r="H1635" t="str">
        <f t="shared" si="490"/>
        <v/>
      </c>
      <c r="I1635" t="str">
        <f t="shared" si="491"/>
        <v/>
      </c>
      <c r="J1635" t="str">
        <f t="shared" si="492"/>
        <v/>
      </c>
      <c r="K1635" t="str">
        <f t="shared" si="493"/>
        <v/>
      </c>
      <c r="L1635" t="str">
        <f t="shared" si="479"/>
        <v>Option</v>
      </c>
      <c r="M1635" t="str">
        <f t="shared" si="480"/>
        <v>FULL TITANIUM</v>
      </c>
      <c r="R1635" t="str">
        <f t="shared" si="481"/>
        <v>ZD1199SKR-1</v>
      </c>
      <c r="S1635">
        <f t="shared" si="482"/>
        <v>0</v>
      </c>
      <c r="U1635" t="str">
        <f t="shared" si="483"/>
        <v>continue</v>
      </c>
      <c r="V1635" t="str">
        <f t="shared" si="484"/>
        <v>manual</v>
      </c>
      <c r="W1635" s="5">
        <f t="shared" si="485"/>
        <v>3283.6907999999999</v>
      </c>
      <c r="Y1635" t="b">
        <f t="shared" si="486"/>
        <v>1</v>
      </c>
      <c r="Z1635" t="b">
        <f t="shared" si="487"/>
        <v>0</v>
      </c>
      <c r="AB1635" t="str">
        <f t="shared" si="488"/>
        <v/>
      </c>
      <c r="AE1635" t="b">
        <v>0</v>
      </c>
    </row>
    <row r="1636" spans="1:31" x14ac:dyDescent="0.2">
      <c r="A1636" t="str">
        <f t="shared" si="475"/>
        <v>https://shop.officineitalianezard.it/en/ducati-959-panigale-exhaust-zard/</v>
      </c>
      <c r="B1636" t="b">
        <f>COUNTIF($A$2:$A1636, A1636)&gt;1</f>
        <v>1</v>
      </c>
      <c r="C1636" t="b">
        <f t="shared" si="476"/>
        <v>1</v>
      </c>
      <c r="D1636">
        <f>VLOOKUP(A1636,variant_counts!A:B, 2, FALSE)</f>
        <v>3</v>
      </c>
      <c r="E1636" t="str">
        <f t="shared" si="489"/>
        <v>zard-exhaust-212-full-kit-ducati-1199-panigale-underseat-version-zd1199skr-1</v>
      </c>
      <c r="F1636" t="str">
        <f t="shared" si="477"/>
        <v>ZARD EXHAUST 2&gt;1&gt;2 FULL KIT DUCATI 1199 PANIGALE UNDERSEAT VERSION ZD1199SKR-1</v>
      </c>
      <c r="G1636" t="str">
        <f t="shared" si="478"/>
        <v/>
      </c>
      <c r="H1636" t="str">
        <f t="shared" si="490"/>
        <v/>
      </c>
      <c r="I1636" t="str">
        <f t="shared" si="491"/>
        <v/>
      </c>
      <c r="J1636" t="str">
        <f t="shared" si="492"/>
        <v/>
      </c>
      <c r="K1636" t="str">
        <f t="shared" si="493"/>
        <v/>
      </c>
      <c r="L1636" t="str">
        <f t="shared" si="479"/>
        <v>Option</v>
      </c>
      <c r="M1636" t="str">
        <f t="shared" si="480"/>
        <v>STEEL HEADERS KIT + TITANIUM</v>
      </c>
      <c r="R1636" t="str">
        <f t="shared" si="481"/>
        <v>ZD1199SKR-1</v>
      </c>
      <c r="S1636">
        <f t="shared" si="482"/>
        <v>0</v>
      </c>
      <c r="U1636" t="str">
        <f t="shared" si="483"/>
        <v>continue</v>
      </c>
      <c r="V1636" t="str">
        <f t="shared" si="484"/>
        <v>manual</v>
      </c>
      <c r="W1636" s="5">
        <f t="shared" si="485"/>
        <v>2699.0316000000003</v>
      </c>
      <c r="Y1636" t="b">
        <f t="shared" si="486"/>
        <v>1</v>
      </c>
      <c r="Z1636" t="b">
        <f t="shared" si="487"/>
        <v>0</v>
      </c>
      <c r="AB1636" t="str">
        <f t="shared" si="488"/>
        <v/>
      </c>
      <c r="AE1636" t="b">
        <v>0</v>
      </c>
    </row>
    <row r="1637" spans="1:31" x14ac:dyDescent="0.2">
      <c r="A1637" t="str">
        <f t="shared" si="475"/>
        <v>https://shop.officineitalianezard.it/en/ducati-959-panigale-exhaust-zard/</v>
      </c>
      <c r="B1637" t="b">
        <f>COUNTIF($A$2:$A1637, A1637)&gt;1</f>
        <v>1</v>
      </c>
      <c r="C1637" t="b">
        <f t="shared" si="476"/>
        <v>1</v>
      </c>
      <c r="D1637">
        <f>VLOOKUP(A1637,variant_counts!A:B, 2, FALSE)</f>
        <v>3</v>
      </c>
      <c r="E1637" t="str">
        <f t="shared" si="489"/>
        <v>zard-exhaust-212-full-kit-ducati-1199-panigale-underseat-version-zd1199skr-1</v>
      </c>
      <c r="F1637" t="str">
        <f t="shared" si="477"/>
        <v>ZARD EXHAUST 2&gt;1&gt;2 FULL KIT DUCATI 1199 PANIGALE UNDERSEAT VERSION ZD1199SKR-1</v>
      </c>
      <c r="G1637" t="str">
        <f t="shared" si="478"/>
        <v/>
      </c>
      <c r="H1637" t="str">
        <f t="shared" si="490"/>
        <v/>
      </c>
      <c r="I1637" t="str">
        <f t="shared" si="491"/>
        <v/>
      </c>
      <c r="J1637" t="str">
        <f t="shared" si="492"/>
        <v/>
      </c>
      <c r="K1637" t="str">
        <f t="shared" si="493"/>
        <v/>
      </c>
      <c r="L1637" t="str">
        <f t="shared" si="479"/>
        <v>Option</v>
      </c>
      <c r="M1637" t="str">
        <f t="shared" si="480"/>
        <v>RAW RESIN TAIL KIT WHITE</v>
      </c>
      <c r="R1637" t="str">
        <f t="shared" si="481"/>
        <v>ZD1199SKR-1</v>
      </c>
      <c r="S1637">
        <f t="shared" si="482"/>
        <v>0</v>
      </c>
      <c r="U1637" t="str">
        <f t="shared" si="483"/>
        <v>continue</v>
      </c>
      <c r="V1637" t="str">
        <f t="shared" si="484"/>
        <v>manual</v>
      </c>
      <c r="W1637" s="5">
        <f t="shared" si="485"/>
        <v>2317.4469000000004</v>
      </c>
      <c r="Y1637" t="b">
        <f t="shared" si="486"/>
        <v>1</v>
      </c>
      <c r="Z1637" t="b">
        <f t="shared" si="487"/>
        <v>0</v>
      </c>
      <c r="AB1637" t="str">
        <f t="shared" si="488"/>
        <v/>
      </c>
      <c r="AE1637" t="b">
        <v>0</v>
      </c>
    </row>
    <row r="1638" spans="1:31" x14ac:dyDescent="0.2">
      <c r="A1638" t="str">
        <f t="shared" si="475"/>
        <v>https://shop.officineitalianezard.it/en/ducati-959-panigale-exhaust-zard-2/</v>
      </c>
      <c r="B1638" t="b">
        <f>COUNTIF($A$2:$A1638, A1638)&gt;1</f>
        <v>0</v>
      </c>
      <c r="C1638" t="b">
        <f t="shared" si="476"/>
        <v>0</v>
      </c>
      <c r="D1638">
        <f>VLOOKUP(A1638,variant_counts!A:B, 2, FALSE)</f>
        <v>2</v>
      </c>
      <c r="E1638" t="str">
        <f t="shared" si="489"/>
        <v>zard-exhaust-full-kit-ducati-1199-panigale-212-version-zd1199skr-2</v>
      </c>
      <c r="F1638" t="str">
        <f t="shared" si="477"/>
        <v>ZARD EXHAUST FULL KIT DUCATI 1199 PANIGALE 2&gt;1&gt;2 VERSION ZD1199SKR-2</v>
      </c>
      <c r="G1638" t="str">
        <f t="shared" si="478"/>
        <v>&lt;p&gt;2&amp;gt;1&amp;gt;2 STEEL RACING FULL KIT&lt;/p&gt;
&lt;p&gt;ORIGINAL EXHAUST WEIGHT: 10 KG&lt;br&gt;STEEL FULL KIT ZARD WEIGHT: 6.6 KG&lt;br&gt;TITANIUM FULL KIT ZARD WEIGHT: 4.5 KG&lt;/p&gt;
&lt;p&gt;HARD INCREASE, COMPARED TO THE ORIGINAL EXHAUST SYSTEM, IN TERMS OF TORQUE AND POWER AT ANY RANGE.&lt;/p&gt;
&lt;p&gt;FITTING KIT INCLUDED.&lt;/p&gt;
&lt;p&gt;NOTE: ORIGINAL HORIZONTAL PIPE HAS NOT BE REMOVED, BACK HEADER PIPE IS STEEL&lt;/p&gt;
&lt;p&gt;&lt;span&gt;THE INSTALLATION OF ZARD EXHAUST DOES NOT IMPLY ANY MODIFICATION TO ECU.&lt;/span&gt;&lt;br&gt;&lt;span&gt;THE BOX INCLUDES ALL PARTS FOR THE FITMENT OF ZARD EXHAUST.&lt;/span&gt;&lt;/p&gt;
&lt;p&gt;&lt;span&gt;'GOLD' VERSION END CAPS HAVE A GOLD FINISH, BLACK END CAPS ARE PAINTED WITH HIGH TEMPERATURE RESISTANT COATING FORMULATED TO WITHSTAND INTERNAL EXHAUST GAS TEMPERATURES OF OVER 2,000 DEGREES FAHRENHEIT.&amp;nbsp;&lt;/span&gt;&lt;/p&gt;</v>
      </c>
      <c r="H1638" t="str">
        <f t="shared" si="490"/>
        <v>ZARD</v>
      </c>
      <c r="I1638" t="str">
        <f t="shared" si="491"/>
        <v>Exhaust Pipe</v>
      </c>
      <c r="J1638" t="str">
        <f t="shared" si="492"/>
        <v>Test</v>
      </c>
      <c r="K1638" t="b">
        <f t="shared" si="493"/>
        <v>0</v>
      </c>
      <c r="L1638" t="str">
        <f t="shared" si="479"/>
        <v/>
      </c>
      <c r="M1638" t="str">
        <f t="shared" si="480"/>
        <v/>
      </c>
      <c r="R1638" t="str">
        <f t="shared" si="481"/>
        <v/>
      </c>
      <c r="S1638" t="str">
        <f t="shared" si="482"/>
        <v/>
      </c>
      <c r="U1638" t="str">
        <f t="shared" si="483"/>
        <v/>
      </c>
      <c r="V1638" t="str">
        <f t="shared" si="484"/>
        <v/>
      </c>
      <c r="W1638" s="5" t="str">
        <f t="shared" si="485"/>
        <v/>
      </c>
      <c r="Y1638" t="str">
        <f t="shared" si="486"/>
        <v/>
      </c>
      <c r="Z1638" t="str">
        <f t="shared" si="487"/>
        <v/>
      </c>
      <c r="AB1638" t="str">
        <f t="shared" si="488"/>
        <v>https://shop.officineitalianezard.it/contents/imgs/products/1_1906-1%20ducati%20panigale%201199%20scarichi%20zard.jpg</v>
      </c>
      <c r="AE1638" t="b">
        <v>0</v>
      </c>
    </row>
    <row r="1639" spans="1:31" x14ac:dyDescent="0.2">
      <c r="A1639" t="str">
        <f t="shared" si="475"/>
        <v>https://shop.officineitalianezard.it/en/ducati-959-panigale-exhaust-zard-2/</v>
      </c>
      <c r="B1639" t="b">
        <f>COUNTIF($A$2:$A1639, A1639)&gt;1</f>
        <v>1</v>
      </c>
      <c r="C1639" t="b">
        <f t="shared" si="476"/>
        <v>0</v>
      </c>
      <c r="D1639">
        <f>VLOOKUP(A1639,variant_counts!A:B, 2, FALSE)</f>
        <v>2</v>
      </c>
      <c r="E1639" t="str">
        <f t="shared" si="489"/>
        <v>zard-exhaust-full-kit-ducati-1199-panigale-212-version-zd1199skr-2</v>
      </c>
      <c r="F1639" t="str">
        <f t="shared" si="477"/>
        <v>ZARD EXHAUST FULL KIT DUCATI 1199 PANIGALE 2&gt;1&gt;2 VERSION ZD1199SKR-2</v>
      </c>
      <c r="G1639" t="str">
        <f t="shared" si="478"/>
        <v/>
      </c>
      <c r="H1639" t="str">
        <f t="shared" si="490"/>
        <v/>
      </c>
      <c r="I1639" t="str">
        <f t="shared" si="491"/>
        <v/>
      </c>
      <c r="J1639" t="str">
        <f t="shared" si="492"/>
        <v/>
      </c>
      <c r="K1639" t="str">
        <f t="shared" si="493"/>
        <v/>
      </c>
      <c r="L1639" t="str">
        <f t="shared" si="479"/>
        <v/>
      </c>
      <c r="M1639" t="str">
        <f t="shared" si="480"/>
        <v/>
      </c>
      <c r="R1639" t="str">
        <f t="shared" si="481"/>
        <v/>
      </c>
      <c r="S1639" t="str">
        <f t="shared" si="482"/>
        <v/>
      </c>
      <c r="U1639" t="str">
        <f t="shared" si="483"/>
        <v/>
      </c>
      <c r="V1639" t="str">
        <f t="shared" si="484"/>
        <v/>
      </c>
      <c r="W1639" s="5" t="str">
        <f t="shared" si="485"/>
        <v/>
      </c>
      <c r="Y1639" t="str">
        <f t="shared" si="486"/>
        <v/>
      </c>
      <c r="Z1639" t="str">
        <f t="shared" si="487"/>
        <v/>
      </c>
      <c r="AB1639" t="str">
        <f t="shared" si="488"/>
        <v>https://shop.officineitalianezard.it/contents/imgs/products/1_1910-2%20panigale%201199%20scarichi%20zard%20exhaust.jpg</v>
      </c>
      <c r="AE1639" t="b">
        <v>0</v>
      </c>
    </row>
    <row r="1640" spans="1:31" x14ac:dyDescent="0.2">
      <c r="A1640" t="str">
        <f t="shared" si="475"/>
        <v>https://shop.officineitalianezard.it/en/ducati-959-panigale-exhaust-zard-2/</v>
      </c>
      <c r="B1640" t="b">
        <f>COUNTIF($A$2:$A1640, A1640)&gt;1</f>
        <v>1</v>
      </c>
      <c r="C1640" t="b">
        <f t="shared" si="476"/>
        <v>0</v>
      </c>
      <c r="D1640">
        <f>VLOOKUP(A1640,variant_counts!A:B, 2, FALSE)</f>
        <v>2</v>
      </c>
      <c r="E1640" t="str">
        <f t="shared" si="489"/>
        <v>zard-exhaust-full-kit-ducati-1199-panigale-212-version-zd1199skr-2</v>
      </c>
      <c r="F1640" t="str">
        <f t="shared" si="477"/>
        <v>ZARD EXHAUST FULL KIT DUCATI 1199 PANIGALE 2&gt;1&gt;2 VERSION ZD1199SKR-2</v>
      </c>
      <c r="G1640" t="str">
        <f t="shared" si="478"/>
        <v/>
      </c>
      <c r="H1640" t="str">
        <f t="shared" si="490"/>
        <v/>
      </c>
      <c r="I1640" t="str">
        <f t="shared" si="491"/>
        <v/>
      </c>
      <c r="J1640" t="str">
        <f t="shared" si="492"/>
        <v/>
      </c>
      <c r="K1640" t="str">
        <f t="shared" si="493"/>
        <v/>
      </c>
      <c r="L1640" t="str">
        <f t="shared" si="479"/>
        <v/>
      </c>
      <c r="M1640" t="str">
        <f t="shared" si="480"/>
        <v/>
      </c>
      <c r="R1640" t="str">
        <f t="shared" si="481"/>
        <v/>
      </c>
      <c r="S1640" t="str">
        <f t="shared" si="482"/>
        <v/>
      </c>
      <c r="U1640" t="str">
        <f t="shared" si="483"/>
        <v/>
      </c>
      <c r="V1640" t="str">
        <f t="shared" si="484"/>
        <v/>
      </c>
      <c r="W1640" s="5" t="str">
        <f t="shared" si="485"/>
        <v/>
      </c>
      <c r="Y1640" t="str">
        <f t="shared" si="486"/>
        <v/>
      </c>
      <c r="Z1640" t="str">
        <f t="shared" si="487"/>
        <v/>
      </c>
      <c r="AB1640" t="str">
        <f t="shared" si="488"/>
        <v>https://shop.officineitalianezard.it/contents/imgs/products/1_1909-3%20ducati%20panigale%201199%20zard.jpg</v>
      </c>
      <c r="AE1640" t="b">
        <v>0</v>
      </c>
    </row>
    <row r="1641" spans="1:31" x14ac:dyDescent="0.2">
      <c r="A1641" t="str">
        <f t="shared" si="475"/>
        <v>https://shop.officineitalianezard.it/en/ducati-959-panigale-exhaust-zard-2/</v>
      </c>
      <c r="B1641" t="b">
        <f>COUNTIF($A$2:$A1641, A1641)&gt;1</f>
        <v>1</v>
      </c>
      <c r="C1641" t="b">
        <f t="shared" si="476"/>
        <v>0</v>
      </c>
      <c r="D1641">
        <f>VLOOKUP(A1641,variant_counts!A:B, 2, FALSE)</f>
        <v>2</v>
      </c>
      <c r="E1641" t="str">
        <f t="shared" si="489"/>
        <v>zard-exhaust-full-kit-ducati-1199-panigale-212-version-zd1199skr-2</v>
      </c>
      <c r="F1641" t="str">
        <f t="shared" si="477"/>
        <v>ZARD EXHAUST FULL KIT DUCATI 1199 PANIGALE 2&gt;1&gt;2 VERSION ZD1199SKR-2</v>
      </c>
      <c r="G1641" t="str">
        <f t="shared" si="478"/>
        <v/>
      </c>
      <c r="H1641" t="str">
        <f t="shared" si="490"/>
        <v/>
      </c>
      <c r="I1641" t="str">
        <f t="shared" si="491"/>
        <v/>
      </c>
      <c r="J1641" t="str">
        <f t="shared" si="492"/>
        <v/>
      </c>
      <c r="K1641" t="str">
        <f t="shared" si="493"/>
        <v/>
      </c>
      <c r="L1641" t="str">
        <f t="shared" si="479"/>
        <v/>
      </c>
      <c r="M1641" t="str">
        <f t="shared" si="480"/>
        <v/>
      </c>
      <c r="R1641" t="str">
        <f t="shared" si="481"/>
        <v/>
      </c>
      <c r="S1641" t="str">
        <f t="shared" si="482"/>
        <v/>
      </c>
      <c r="U1641" t="str">
        <f t="shared" si="483"/>
        <v/>
      </c>
      <c r="V1641" t="str">
        <f t="shared" si="484"/>
        <v/>
      </c>
      <c r="W1641" s="5" t="str">
        <f t="shared" si="485"/>
        <v/>
      </c>
      <c r="Y1641" t="str">
        <f t="shared" si="486"/>
        <v/>
      </c>
      <c r="Z1641" t="str">
        <f t="shared" si="487"/>
        <v/>
      </c>
      <c r="AB1641" t="str">
        <f t="shared" si="488"/>
        <v>https://shop.officineitalianezard.it/contents/imgs/products/1_1908-4%20ducati%20panigale%201199%20exhaust.jpg</v>
      </c>
      <c r="AE1641" t="b">
        <v>0</v>
      </c>
    </row>
    <row r="1642" spans="1:31" x14ac:dyDescent="0.2">
      <c r="A1642" t="str">
        <f t="shared" si="475"/>
        <v>https://shop.officineitalianezard.it/en/ducati-959-panigale-exhaust-zard-2/</v>
      </c>
      <c r="B1642" t="b">
        <f>COUNTIF($A$2:$A1642, A1642)&gt;1</f>
        <v>1</v>
      </c>
      <c r="C1642" t="b">
        <f t="shared" si="476"/>
        <v>0</v>
      </c>
      <c r="D1642">
        <f>VLOOKUP(A1642,variant_counts!A:B, 2, FALSE)</f>
        <v>2</v>
      </c>
      <c r="E1642" t="str">
        <f t="shared" si="489"/>
        <v>zard-exhaust-full-kit-ducati-1199-panigale-212-version-zd1199skr-2</v>
      </c>
      <c r="F1642" t="str">
        <f t="shared" si="477"/>
        <v>ZARD EXHAUST FULL KIT DUCATI 1199 PANIGALE 2&gt;1&gt;2 VERSION ZD1199SKR-2</v>
      </c>
      <c r="G1642" t="str">
        <f t="shared" si="478"/>
        <v/>
      </c>
      <c r="H1642" t="str">
        <f t="shared" si="490"/>
        <v/>
      </c>
      <c r="I1642" t="str">
        <f t="shared" si="491"/>
        <v/>
      </c>
      <c r="J1642" t="str">
        <f t="shared" si="492"/>
        <v/>
      </c>
      <c r="K1642" t="str">
        <f t="shared" si="493"/>
        <v/>
      </c>
      <c r="L1642" t="str">
        <f t="shared" si="479"/>
        <v/>
      </c>
      <c r="M1642" t="str">
        <f t="shared" si="480"/>
        <v/>
      </c>
      <c r="R1642" t="str">
        <f t="shared" si="481"/>
        <v/>
      </c>
      <c r="S1642" t="str">
        <f t="shared" si="482"/>
        <v/>
      </c>
      <c r="U1642" t="str">
        <f t="shared" si="483"/>
        <v/>
      </c>
      <c r="V1642" t="str">
        <f t="shared" si="484"/>
        <v/>
      </c>
      <c r="W1642" s="5" t="str">
        <f t="shared" si="485"/>
        <v/>
      </c>
      <c r="Y1642" t="str">
        <f t="shared" si="486"/>
        <v/>
      </c>
      <c r="Z1642" t="str">
        <f t="shared" si="487"/>
        <v/>
      </c>
      <c r="AB1642" t="str">
        <f t="shared" si="488"/>
        <v>https://shop.officineitalianezard.it/contents/imgs/products/1_1911-5%20ducati%20panigale%201199%20exhaust.jpg</v>
      </c>
      <c r="AE1642" t="b">
        <v>0</v>
      </c>
    </row>
    <row r="1643" spans="1:31" x14ac:dyDescent="0.2">
      <c r="A1643" t="str">
        <f t="shared" si="475"/>
        <v>https://shop.officineitalianezard.it/en/ducati-959-panigale-exhaust-zard-2/</v>
      </c>
      <c r="B1643" t="b">
        <f>COUNTIF($A$2:$A1643, A1643)&gt;1</f>
        <v>1</v>
      </c>
      <c r="C1643" t="b">
        <f t="shared" si="476"/>
        <v>0</v>
      </c>
      <c r="D1643">
        <f>VLOOKUP(A1643,variant_counts!A:B, 2, FALSE)</f>
        <v>2</v>
      </c>
      <c r="E1643" t="str">
        <f t="shared" si="489"/>
        <v>zard-exhaust-full-kit-ducati-1199-panigale-212-version-zd1199skr-2</v>
      </c>
      <c r="F1643" t="str">
        <f t="shared" si="477"/>
        <v>ZARD EXHAUST FULL KIT DUCATI 1199 PANIGALE 2&gt;1&gt;2 VERSION ZD1199SKR-2</v>
      </c>
      <c r="G1643" t="str">
        <f t="shared" si="478"/>
        <v/>
      </c>
      <c r="H1643" t="str">
        <f t="shared" si="490"/>
        <v/>
      </c>
      <c r="I1643" t="str">
        <f t="shared" si="491"/>
        <v/>
      </c>
      <c r="J1643" t="str">
        <f t="shared" si="492"/>
        <v/>
      </c>
      <c r="K1643" t="str">
        <f t="shared" si="493"/>
        <v/>
      </c>
      <c r="L1643" t="str">
        <f t="shared" si="479"/>
        <v/>
      </c>
      <c r="M1643" t="str">
        <f t="shared" si="480"/>
        <v/>
      </c>
      <c r="R1643" t="str">
        <f t="shared" si="481"/>
        <v/>
      </c>
      <c r="S1643" t="str">
        <f t="shared" si="482"/>
        <v/>
      </c>
      <c r="U1643" t="str">
        <f t="shared" si="483"/>
        <v/>
      </c>
      <c r="V1643" t="str">
        <f t="shared" si="484"/>
        <v/>
      </c>
      <c r="W1643" s="5" t="str">
        <f t="shared" si="485"/>
        <v/>
      </c>
      <c r="Y1643" t="str">
        <f t="shared" si="486"/>
        <v/>
      </c>
      <c r="Z1643" t="str">
        <f t="shared" si="487"/>
        <v/>
      </c>
      <c r="AB1643" t="str">
        <f t="shared" si="488"/>
        <v>https://shop.officineitalianezard.it/contents/imgs/products/1_1905-7%20ducati%20panigale%20scarichi%20zard%20959%201199.jpg</v>
      </c>
      <c r="AE1643" t="b">
        <v>0</v>
      </c>
    </row>
    <row r="1644" spans="1:31" x14ac:dyDescent="0.2">
      <c r="A1644" t="str">
        <f t="shared" si="475"/>
        <v>https://shop.officineitalianezard.it/en/ducati-959-panigale-exhaust-zard-2/</v>
      </c>
      <c r="B1644" t="b">
        <f>COUNTIF($A$2:$A1644, A1644)&gt;1</f>
        <v>1</v>
      </c>
      <c r="C1644" t="b">
        <f t="shared" si="476"/>
        <v>0</v>
      </c>
      <c r="D1644">
        <f>VLOOKUP(A1644,variant_counts!A:B, 2, FALSE)</f>
        <v>2</v>
      </c>
      <c r="E1644" t="str">
        <f t="shared" si="489"/>
        <v>zard-exhaust-full-kit-ducati-1199-panigale-212-version-zd1199skr-2</v>
      </c>
      <c r="F1644" t="str">
        <f t="shared" si="477"/>
        <v>ZARD EXHAUST FULL KIT DUCATI 1199 PANIGALE 2&gt;1&gt;2 VERSION ZD1199SKR-2</v>
      </c>
      <c r="G1644" t="str">
        <f t="shared" si="478"/>
        <v/>
      </c>
      <c r="H1644" t="str">
        <f t="shared" si="490"/>
        <v/>
      </c>
      <c r="I1644" t="str">
        <f t="shared" si="491"/>
        <v/>
      </c>
      <c r="J1644" t="str">
        <f t="shared" si="492"/>
        <v/>
      </c>
      <c r="K1644" t="str">
        <f t="shared" si="493"/>
        <v/>
      </c>
      <c r="L1644" t="str">
        <f t="shared" si="479"/>
        <v/>
      </c>
      <c r="M1644" t="str">
        <f t="shared" si="480"/>
        <v/>
      </c>
      <c r="R1644" t="str">
        <f t="shared" si="481"/>
        <v/>
      </c>
      <c r="S1644" t="str">
        <f t="shared" si="482"/>
        <v/>
      </c>
      <c r="U1644" t="str">
        <f t="shared" si="483"/>
        <v/>
      </c>
      <c r="V1644" t="str">
        <f t="shared" si="484"/>
        <v/>
      </c>
      <c r="W1644" s="5" t="str">
        <f t="shared" si="485"/>
        <v/>
      </c>
      <c r="Y1644" t="str">
        <f t="shared" si="486"/>
        <v/>
      </c>
      <c r="Z1644" t="str">
        <f t="shared" si="487"/>
        <v/>
      </c>
      <c r="AB1644" t="str">
        <f t="shared" si="488"/>
        <v>https://shop.officineitalianezard.it/contents/imgs/products/1_1907-6%201199%20panigale%20zard%20scarichi.jpg</v>
      </c>
      <c r="AE1644" t="b">
        <v>0</v>
      </c>
    </row>
    <row r="1645" spans="1:31" x14ac:dyDescent="0.2">
      <c r="A1645" t="str">
        <f t="shared" si="475"/>
        <v>https://shop.officineitalianezard.it/en/ducati-959-panigale-exhaust-zard-2/</v>
      </c>
      <c r="B1645" t="b">
        <f>COUNTIF($A$2:$A1645, A1645)&gt;1</f>
        <v>1</v>
      </c>
      <c r="C1645" t="b">
        <f t="shared" si="476"/>
        <v>1</v>
      </c>
      <c r="D1645">
        <f>VLOOKUP(A1645,variant_counts!A:B, 2, FALSE)</f>
        <v>2</v>
      </c>
      <c r="E1645" t="str">
        <f t="shared" si="489"/>
        <v>zard-exhaust-full-kit-ducati-1199-panigale-212-version-zd1199skr-2</v>
      </c>
      <c r="F1645" t="str">
        <f t="shared" si="477"/>
        <v>ZARD EXHAUST FULL KIT DUCATI 1199 PANIGALE 2&gt;1&gt;2 VERSION ZD1199SKR-2</v>
      </c>
      <c r="G1645" t="str">
        <f t="shared" si="478"/>
        <v/>
      </c>
      <c r="H1645" t="str">
        <f t="shared" si="490"/>
        <v/>
      </c>
      <c r="I1645" t="str">
        <f t="shared" si="491"/>
        <v/>
      </c>
      <c r="J1645" t="str">
        <f t="shared" si="492"/>
        <v/>
      </c>
      <c r="K1645" t="str">
        <f t="shared" si="493"/>
        <v/>
      </c>
      <c r="L1645" t="str">
        <f t="shared" si="479"/>
        <v>Option</v>
      </c>
      <c r="M1645" t="str">
        <f t="shared" si="480"/>
        <v>STEEL HEADERS + TITANIUM SILENCER</v>
      </c>
      <c r="R1645" t="str">
        <f t="shared" si="481"/>
        <v>ZD1199SKR-2</v>
      </c>
      <c r="S1645">
        <f t="shared" si="482"/>
        <v>0</v>
      </c>
      <c r="U1645" t="str">
        <f t="shared" si="483"/>
        <v>continue</v>
      </c>
      <c r="V1645" t="str">
        <f t="shared" si="484"/>
        <v>manual</v>
      </c>
      <c r="W1645" s="5">
        <f t="shared" si="485"/>
        <v>2443.5540000000005</v>
      </c>
      <c r="Y1645" t="b">
        <f t="shared" si="486"/>
        <v>1</v>
      </c>
      <c r="Z1645" t="b">
        <f t="shared" si="487"/>
        <v>0</v>
      </c>
      <c r="AB1645" t="str">
        <f t="shared" si="488"/>
        <v/>
      </c>
      <c r="AE1645" t="b">
        <v>0</v>
      </c>
    </row>
    <row r="1646" spans="1:31" x14ac:dyDescent="0.2">
      <c r="A1646" t="str">
        <f t="shared" si="475"/>
        <v>https://shop.officineitalianezard.it/en/ducati-959-panigale-exhaust-zard-2/</v>
      </c>
      <c r="B1646" t="b">
        <f>COUNTIF($A$2:$A1646, A1646)&gt;1</f>
        <v>1</v>
      </c>
      <c r="C1646" t="b">
        <f t="shared" si="476"/>
        <v>1</v>
      </c>
      <c r="D1646">
        <f>VLOOKUP(A1646,variant_counts!A:B, 2, FALSE)</f>
        <v>2</v>
      </c>
      <c r="E1646" t="str">
        <f t="shared" si="489"/>
        <v>zard-exhaust-full-kit-ducati-1199-panigale-212-version-zd1199skr-2</v>
      </c>
      <c r="F1646" t="str">
        <f t="shared" si="477"/>
        <v>ZARD EXHAUST FULL KIT DUCATI 1199 PANIGALE 2&gt;1&gt;2 VERSION ZD1199SKR-2</v>
      </c>
      <c r="G1646" t="str">
        <f t="shared" si="478"/>
        <v/>
      </c>
      <c r="H1646" t="str">
        <f t="shared" si="490"/>
        <v/>
      </c>
      <c r="I1646" t="str">
        <f t="shared" si="491"/>
        <v/>
      </c>
      <c r="J1646" t="str">
        <f t="shared" si="492"/>
        <v/>
      </c>
      <c r="K1646" t="str">
        <f t="shared" si="493"/>
        <v/>
      </c>
      <c r="L1646" t="str">
        <f t="shared" si="479"/>
        <v>Option</v>
      </c>
      <c r="M1646" t="str">
        <f t="shared" si="480"/>
        <v>FULL TITANIUM</v>
      </c>
      <c r="R1646" t="str">
        <f t="shared" si="481"/>
        <v>ZD1199SKR-2</v>
      </c>
      <c r="S1646">
        <f t="shared" si="482"/>
        <v>0</v>
      </c>
      <c r="U1646" t="str">
        <f t="shared" si="483"/>
        <v>continue</v>
      </c>
      <c r="V1646" t="str">
        <f t="shared" si="484"/>
        <v>manual</v>
      </c>
      <c r="W1646" s="5">
        <f t="shared" si="485"/>
        <v>2867.7183000000005</v>
      </c>
      <c r="Y1646" t="b">
        <f t="shared" si="486"/>
        <v>1</v>
      </c>
      <c r="Z1646" t="b">
        <f t="shared" si="487"/>
        <v>0</v>
      </c>
      <c r="AB1646" t="str">
        <f t="shared" si="488"/>
        <v/>
      </c>
      <c r="AE1646" t="b">
        <v>0</v>
      </c>
    </row>
    <row r="1647" spans="1:31" x14ac:dyDescent="0.2">
      <c r="A1647" t="str">
        <f t="shared" si="475"/>
        <v>https://shop.officineitalianezard.it/en/ducati-1199-panigale-exhaust-zard/</v>
      </c>
      <c r="B1647" t="b">
        <f>COUNTIF($A$2:$A1647, A1647)&gt;1</f>
        <v>0</v>
      </c>
      <c r="C1647" t="b">
        <f t="shared" si="476"/>
        <v>0</v>
      </c>
      <c r="D1647">
        <f>VLOOKUP(A1647,variant_counts!A:B, 2, FALSE)</f>
        <v>0</v>
      </c>
      <c r="E1647" t="str">
        <f t="shared" si="489"/>
        <v>zard-exhaust-full-kit-ducati-1199-panigale-212-version-zd1199tkr-3</v>
      </c>
      <c r="F1647" t="str">
        <f t="shared" si="477"/>
        <v>ZARD EXHAUST FULL KIT DUCATI 1199 PANIGALE 2&gt;1&gt;2 VERSION ZD1199TKR-3</v>
      </c>
      <c r="G1647" t="str">
        <f t="shared" si="478"/>
        <v>&lt;p&gt;2&amp;gt;1&amp;gt;2 TITANIUM RACING FULL KIT&lt;/p&gt;
&lt;p&gt;A VERY SPECIAL EXHAUST TOTALLY HANDMADE AND WELDED BY OUR BEST WELDERS.&lt;/p&gt;
&lt;p&gt;ORIGINAL EXHAUST WEIGHT: 10 KG&lt;br&gt;ZARD EXHAUST WEIGHT: 4.2 KG&lt;/p&gt;
&lt;p&gt;HARD INCREASE, COMPARED TO THE ORIGINAL EXHAUST SYSTEM, IN TERMS OF TORQUE AND POWER AT ANY RANGE.&lt;/p&gt;
&lt;p&gt;FITTING KIT INCLUDED.&lt;/p&gt;
&lt;p&gt;&lt;strong&gt;NOTICE: AVAILABLE ON DEMAND ONLY. DELIVERY 4 WORKING WEEKS FROM ORDER.&lt;/strong&gt;&lt;/p&gt;
&lt;p&gt;&lt;strong&gt;FOR A PROPER FITMENT OF THE EXHAUST YOU NEED TO REMOVE THE LOWER FAIRINGS (PLEASE SEE THE PHOTOS).&lt;/strong&gt;&lt;/p&gt;
&lt;p&gt;&lt;strong&gt;THE INSTALLATION OF ZARD EXHAUST DOES NOT IMPLY ANY MODIFICATION TO ECU.&lt;/strong&gt;&lt;/p&gt;</v>
      </c>
      <c r="H1647" t="str">
        <f t="shared" si="490"/>
        <v>ZARD</v>
      </c>
      <c r="I1647" t="str">
        <f t="shared" si="491"/>
        <v>Exhaust Pipe</v>
      </c>
      <c r="J1647" t="str">
        <f t="shared" si="492"/>
        <v>Test</v>
      </c>
      <c r="K1647" t="b">
        <f t="shared" si="493"/>
        <v>0</v>
      </c>
      <c r="L1647" t="str">
        <f t="shared" si="479"/>
        <v>Title</v>
      </c>
      <c r="M1647" t="str">
        <f t="shared" si="480"/>
        <v>Default Title</v>
      </c>
      <c r="R1647" t="str">
        <f t="shared" si="481"/>
        <v>ZD1199TKR-3</v>
      </c>
      <c r="S1647">
        <f t="shared" si="482"/>
        <v>0</v>
      </c>
      <c r="U1647" t="str">
        <f t="shared" si="483"/>
        <v>continue</v>
      </c>
      <c r="V1647" t="str">
        <f t="shared" si="484"/>
        <v>manual</v>
      </c>
      <c r="W1647" s="5">
        <f t="shared" si="485"/>
        <v>2995.1796000000004</v>
      </c>
      <c r="Y1647" t="b">
        <f t="shared" si="486"/>
        <v>1</v>
      </c>
      <c r="Z1647" t="b">
        <f t="shared" si="487"/>
        <v>0</v>
      </c>
      <c r="AB1647" t="str">
        <f t="shared" si="488"/>
        <v>https://shop.officineitalianezard.it/contents/imgs/products/1_1999-1.jpg</v>
      </c>
      <c r="AE1647" t="b">
        <v>0</v>
      </c>
    </row>
    <row r="1648" spans="1:31" x14ac:dyDescent="0.2">
      <c r="A1648" t="str">
        <f t="shared" si="475"/>
        <v>https://shop.officineitalianezard.it/en/ducati-1199-panigale-exhaust-zard/</v>
      </c>
      <c r="B1648" t="b">
        <f>COUNTIF($A$2:$A1648, A1648)&gt;1</f>
        <v>1</v>
      </c>
      <c r="C1648" t="b">
        <f t="shared" si="476"/>
        <v>0</v>
      </c>
      <c r="D1648">
        <f>VLOOKUP(A1648,variant_counts!A:B, 2, FALSE)</f>
        <v>0</v>
      </c>
      <c r="E1648" t="str">
        <f t="shared" si="489"/>
        <v>zard-exhaust-full-kit-ducati-1199-panigale-212-version-zd1199tkr-3</v>
      </c>
      <c r="F1648" t="str">
        <f t="shared" si="477"/>
        <v>ZARD EXHAUST FULL KIT DUCATI 1199 PANIGALE 2&gt;1&gt;2 VERSION ZD1199TKR-3</v>
      </c>
      <c r="G1648" t="str">
        <f t="shared" si="478"/>
        <v/>
      </c>
      <c r="H1648" t="str">
        <f t="shared" si="490"/>
        <v/>
      </c>
      <c r="I1648" t="str">
        <f t="shared" si="491"/>
        <v/>
      </c>
      <c r="J1648" t="str">
        <f t="shared" si="492"/>
        <v/>
      </c>
      <c r="K1648" t="str">
        <f t="shared" si="493"/>
        <v/>
      </c>
      <c r="L1648" t="str">
        <f t="shared" si="479"/>
        <v/>
      </c>
      <c r="M1648" t="str">
        <f t="shared" si="480"/>
        <v/>
      </c>
      <c r="R1648" t="str">
        <f t="shared" si="481"/>
        <v/>
      </c>
      <c r="S1648" t="str">
        <f t="shared" si="482"/>
        <v/>
      </c>
      <c r="U1648" t="str">
        <f t="shared" si="483"/>
        <v/>
      </c>
      <c r="V1648" t="str">
        <f t="shared" si="484"/>
        <v/>
      </c>
      <c r="W1648" s="5" t="str">
        <f t="shared" si="485"/>
        <v/>
      </c>
      <c r="Y1648" t="str">
        <f t="shared" si="486"/>
        <v/>
      </c>
      <c r="Z1648" t="str">
        <f t="shared" si="487"/>
        <v/>
      </c>
      <c r="AB1648" t="str">
        <f t="shared" si="488"/>
        <v>https://shop.officineitalianezard.it/contents/imgs/products/1_2006-2.jpg</v>
      </c>
      <c r="AE1648" t="b">
        <v>0</v>
      </c>
    </row>
    <row r="1649" spans="1:31" x14ac:dyDescent="0.2">
      <c r="A1649" t="str">
        <f t="shared" si="475"/>
        <v>https://shop.officineitalianezard.it/en/ducati-1199-panigale-exhaust-zard/</v>
      </c>
      <c r="B1649" t="b">
        <f>COUNTIF($A$2:$A1649, A1649)&gt;1</f>
        <v>1</v>
      </c>
      <c r="C1649" t="b">
        <f t="shared" si="476"/>
        <v>0</v>
      </c>
      <c r="D1649">
        <f>VLOOKUP(A1649,variant_counts!A:B, 2, FALSE)</f>
        <v>0</v>
      </c>
      <c r="E1649" t="str">
        <f t="shared" si="489"/>
        <v>zard-exhaust-full-kit-ducati-1199-panigale-212-version-zd1199tkr-3</v>
      </c>
      <c r="F1649" t="str">
        <f t="shared" si="477"/>
        <v>ZARD EXHAUST FULL KIT DUCATI 1199 PANIGALE 2&gt;1&gt;2 VERSION ZD1199TKR-3</v>
      </c>
      <c r="G1649" t="str">
        <f t="shared" si="478"/>
        <v/>
      </c>
      <c r="H1649" t="str">
        <f t="shared" si="490"/>
        <v/>
      </c>
      <c r="I1649" t="str">
        <f t="shared" si="491"/>
        <v/>
      </c>
      <c r="J1649" t="str">
        <f t="shared" si="492"/>
        <v/>
      </c>
      <c r="K1649" t="str">
        <f t="shared" si="493"/>
        <v/>
      </c>
      <c r="L1649" t="str">
        <f t="shared" si="479"/>
        <v/>
      </c>
      <c r="M1649" t="str">
        <f t="shared" si="480"/>
        <v/>
      </c>
      <c r="R1649" t="str">
        <f t="shared" si="481"/>
        <v/>
      </c>
      <c r="S1649" t="str">
        <f t="shared" si="482"/>
        <v/>
      </c>
      <c r="U1649" t="str">
        <f t="shared" si="483"/>
        <v/>
      </c>
      <c r="V1649" t="str">
        <f t="shared" si="484"/>
        <v/>
      </c>
      <c r="W1649" s="5" t="str">
        <f t="shared" si="485"/>
        <v/>
      </c>
      <c r="Y1649" t="str">
        <f t="shared" si="486"/>
        <v/>
      </c>
      <c r="Z1649" t="str">
        <f t="shared" si="487"/>
        <v/>
      </c>
      <c r="AB1649" t="str">
        <f t="shared" si="488"/>
        <v>https://shop.officineitalianezard.it/contents/imgs/products/1_2005-3.jpg</v>
      </c>
      <c r="AE1649" t="b">
        <v>0</v>
      </c>
    </row>
    <row r="1650" spans="1:31" x14ac:dyDescent="0.2">
      <c r="A1650" t="str">
        <f t="shared" si="475"/>
        <v>https://shop.officineitalianezard.it/en/ducati-1199-panigale-exhaust-zard/</v>
      </c>
      <c r="B1650" t="b">
        <f>COUNTIF($A$2:$A1650, A1650)&gt;1</f>
        <v>1</v>
      </c>
      <c r="C1650" t="b">
        <f t="shared" si="476"/>
        <v>0</v>
      </c>
      <c r="D1650">
        <f>VLOOKUP(A1650,variant_counts!A:B, 2, FALSE)</f>
        <v>0</v>
      </c>
      <c r="E1650" t="str">
        <f t="shared" si="489"/>
        <v>zard-exhaust-full-kit-ducati-1199-panigale-212-version-zd1199tkr-3</v>
      </c>
      <c r="F1650" t="str">
        <f t="shared" si="477"/>
        <v>ZARD EXHAUST FULL KIT DUCATI 1199 PANIGALE 2&gt;1&gt;2 VERSION ZD1199TKR-3</v>
      </c>
      <c r="G1650" t="str">
        <f t="shared" si="478"/>
        <v/>
      </c>
      <c r="H1650" t="str">
        <f t="shared" si="490"/>
        <v/>
      </c>
      <c r="I1650" t="str">
        <f t="shared" si="491"/>
        <v/>
      </c>
      <c r="J1650" t="str">
        <f t="shared" si="492"/>
        <v/>
      </c>
      <c r="K1650" t="str">
        <f t="shared" si="493"/>
        <v/>
      </c>
      <c r="L1650" t="str">
        <f t="shared" si="479"/>
        <v/>
      </c>
      <c r="M1650" t="str">
        <f t="shared" si="480"/>
        <v/>
      </c>
      <c r="R1650" t="str">
        <f t="shared" si="481"/>
        <v/>
      </c>
      <c r="S1650" t="str">
        <f t="shared" si="482"/>
        <v/>
      </c>
      <c r="U1650" t="str">
        <f t="shared" si="483"/>
        <v/>
      </c>
      <c r="V1650" t="str">
        <f t="shared" si="484"/>
        <v/>
      </c>
      <c r="W1650" s="5" t="str">
        <f t="shared" si="485"/>
        <v/>
      </c>
      <c r="Y1650" t="str">
        <f t="shared" si="486"/>
        <v/>
      </c>
      <c r="Z1650" t="str">
        <f t="shared" si="487"/>
        <v/>
      </c>
      <c r="AB1650" t="str">
        <f t="shared" si="488"/>
        <v>https://shop.officineitalianezard.it/contents/imgs/products/1_2003-5.jpg</v>
      </c>
      <c r="AE1650" t="b">
        <v>0</v>
      </c>
    </row>
    <row r="1651" spans="1:31" x14ac:dyDescent="0.2">
      <c r="A1651" t="str">
        <f t="shared" si="475"/>
        <v>https://shop.officineitalianezard.it/en/ducati-1199-panigale-exhaust-zard/</v>
      </c>
      <c r="B1651" t="b">
        <f>COUNTIF($A$2:$A1651, A1651)&gt;1</f>
        <v>1</v>
      </c>
      <c r="C1651" t="b">
        <f t="shared" si="476"/>
        <v>0</v>
      </c>
      <c r="D1651">
        <f>VLOOKUP(A1651,variant_counts!A:B, 2, FALSE)</f>
        <v>0</v>
      </c>
      <c r="E1651" t="str">
        <f t="shared" si="489"/>
        <v>zard-exhaust-full-kit-ducati-1199-panigale-212-version-zd1199tkr-3</v>
      </c>
      <c r="F1651" t="str">
        <f t="shared" si="477"/>
        <v>ZARD EXHAUST FULL KIT DUCATI 1199 PANIGALE 2&gt;1&gt;2 VERSION ZD1199TKR-3</v>
      </c>
      <c r="G1651" t="str">
        <f t="shared" si="478"/>
        <v/>
      </c>
      <c r="H1651" t="str">
        <f t="shared" si="490"/>
        <v/>
      </c>
      <c r="I1651" t="str">
        <f t="shared" si="491"/>
        <v/>
      </c>
      <c r="J1651" t="str">
        <f t="shared" si="492"/>
        <v/>
      </c>
      <c r="K1651" t="str">
        <f t="shared" si="493"/>
        <v/>
      </c>
      <c r="L1651" t="str">
        <f t="shared" si="479"/>
        <v/>
      </c>
      <c r="M1651" t="str">
        <f t="shared" si="480"/>
        <v/>
      </c>
      <c r="R1651" t="str">
        <f t="shared" si="481"/>
        <v/>
      </c>
      <c r="S1651" t="str">
        <f t="shared" si="482"/>
        <v/>
      </c>
      <c r="U1651" t="str">
        <f t="shared" si="483"/>
        <v/>
      </c>
      <c r="V1651" t="str">
        <f t="shared" si="484"/>
        <v/>
      </c>
      <c r="W1651" s="5" t="str">
        <f t="shared" si="485"/>
        <v/>
      </c>
      <c r="Y1651" t="str">
        <f t="shared" si="486"/>
        <v/>
      </c>
      <c r="Z1651" t="str">
        <f t="shared" si="487"/>
        <v/>
      </c>
      <c r="AB1651" t="str">
        <f t="shared" si="488"/>
        <v>https://shop.officineitalianezard.it/contents/imgs/products/1_2004-4.jpg</v>
      </c>
      <c r="AE1651" t="b">
        <v>0</v>
      </c>
    </row>
    <row r="1652" spans="1:31" x14ac:dyDescent="0.2">
      <c r="A1652" t="str">
        <f t="shared" si="475"/>
        <v>https://shop.officineitalianezard.it/en/ducati-1199-panigale-exhaust-zard/</v>
      </c>
      <c r="B1652" t="b">
        <f>COUNTIF($A$2:$A1652, A1652)&gt;1</f>
        <v>1</v>
      </c>
      <c r="C1652" t="b">
        <f t="shared" si="476"/>
        <v>0</v>
      </c>
      <c r="D1652">
        <f>VLOOKUP(A1652,variant_counts!A:B, 2, FALSE)</f>
        <v>0</v>
      </c>
      <c r="E1652" t="str">
        <f t="shared" si="489"/>
        <v>zard-exhaust-full-kit-ducati-1199-panigale-212-version-zd1199tkr-3</v>
      </c>
      <c r="F1652" t="str">
        <f t="shared" si="477"/>
        <v>ZARD EXHAUST FULL KIT DUCATI 1199 PANIGALE 2&gt;1&gt;2 VERSION ZD1199TKR-3</v>
      </c>
      <c r="G1652" t="str">
        <f t="shared" si="478"/>
        <v/>
      </c>
      <c r="H1652" t="str">
        <f t="shared" si="490"/>
        <v/>
      </c>
      <c r="I1652" t="str">
        <f t="shared" si="491"/>
        <v/>
      </c>
      <c r="J1652" t="str">
        <f t="shared" si="492"/>
        <v/>
      </c>
      <c r="K1652" t="str">
        <f t="shared" si="493"/>
        <v/>
      </c>
      <c r="L1652" t="str">
        <f t="shared" si="479"/>
        <v/>
      </c>
      <c r="M1652" t="str">
        <f t="shared" si="480"/>
        <v/>
      </c>
      <c r="R1652" t="str">
        <f t="shared" si="481"/>
        <v/>
      </c>
      <c r="S1652" t="str">
        <f t="shared" si="482"/>
        <v/>
      </c>
      <c r="U1652" t="str">
        <f t="shared" si="483"/>
        <v/>
      </c>
      <c r="V1652" t="str">
        <f t="shared" si="484"/>
        <v/>
      </c>
      <c r="W1652" s="5" t="str">
        <f t="shared" si="485"/>
        <v/>
      </c>
      <c r="Y1652" t="str">
        <f t="shared" si="486"/>
        <v/>
      </c>
      <c r="Z1652" t="str">
        <f t="shared" si="487"/>
        <v/>
      </c>
      <c r="AB1652" t="str">
        <f t="shared" si="488"/>
        <v>https://shop.officineitalianezard.it/contents/imgs/products/1_2002-6.jpg</v>
      </c>
      <c r="AE1652" t="b">
        <v>0</v>
      </c>
    </row>
    <row r="1653" spans="1:31" x14ac:dyDescent="0.2">
      <c r="A1653" t="str">
        <f t="shared" si="475"/>
        <v>https://shop.officineitalianezard.it/en/ducati-1199-panigale-exhaust-zard/</v>
      </c>
      <c r="B1653" t="b">
        <f>COUNTIF($A$2:$A1653, A1653)&gt;1</f>
        <v>1</v>
      </c>
      <c r="C1653" t="b">
        <f t="shared" si="476"/>
        <v>0</v>
      </c>
      <c r="D1653">
        <f>VLOOKUP(A1653,variant_counts!A:B, 2, FALSE)</f>
        <v>0</v>
      </c>
      <c r="E1653" t="str">
        <f t="shared" si="489"/>
        <v>zard-exhaust-full-kit-ducati-1199-panigale-212-version-zd1199tkr-3</v>
      </c>
      <c r="F1653" t="str">
        <f t="shared" si="477"/>
        <v>ZARD EXHAUST FULL KIT DUCATI 1199 PANIGALE 2&gt;1&gt;2 VERSION ZD1199TKR-3</v>
      </c>
      <c r="G1653" t="str">
        <f t="shared" si="478"/>
        <v/>
      </c>
      <c r="H1653" t="str">
        <f t="shared" si="490"/>
        <v/>
      </c>
      <c r="I1653" t="str">
        <f t="shared" si="491"/>
        <v/>
      </c>
      <c r="J1653" t="str">
        <f t="shared" si="492"/>
        <v/>
      </c>
      <c r="K1653" t="str">
        <f t="shared" si="493"/>
        <v/>
      </c>
      <c r="L1653" t="str">
        <f t="shared" si="479"/>
        <v/>
      </c>
      <c r="M1653" t="str">
        <f t="shared" si="480"/>
        <v/>
      </c>
      <c r="R1653" t="str">
        <f t="shared" si="481"/>
        <v/>
      </c>
      <c r="S1653" t="str">
        <f t="shared" si="482"/>
        <v/>
      </c>
      <c r="U1653" t="str">
        <f t="shared" si="483"/>
        <v/>
      </c>
      <c r="V1653" t="str">
        <f t="shared" si="484"/>
        <v/>
      </c>
      <c r="W1653" s="5" t="str">
        <f t="shared" si="485"/>
        <v/>
      </c>
      <c r="Y1653" t="str">
        <f t="shared" si="486"/>
        <v/>
      </c>
      <c r="Z1653" t="str">
        <f t="shared" si="487"/>
        <v/>
      </c>
      <c r="AB1653" t="str">
        <f t="shared" si="488"/>
        <v>https://shop.officineitalianezard.it/contents/imgs/products/1_2001-7.jpg</v>
      </c>
      <c r="AE1653" t="b">
        <v>0</v>
      </c>
    </row>
    <row r="1654" spans="1:31" x14ac:dyDescent="0.2">
      <c r="A1654" t="str">
        <f t="shared" si="475"/>
        <v>https://shop.officineitalianezard.it/en/ducati-1199-panigale-exhaust-zard/</v>
      </c>
      <c r="B1654" t="b">
        <f>COUNTIF($A$2:$A1654, A1654)&gt;1</f>
        <v>1</v>
      </c>
      <c r="C1654" t="b">
        <f t="shared" si="476"/>
        <v>0</v>
      </c>
      <c r="D1654">
        <f>VLOOKUP(A1654,variant_counts!A:B, 2, FALSE)</f>
        <v>0</v>
      </c>
      <c r="E1654" t="str">
        <f t="shared" si="489"/>
        <v>zard-exhaust-full-kit-ducati-1199-panigale-212-version-zd1199tkr-3</v>
      </c>
      <c r="F1654" t="str">
        <f t="shared" si="477"/>
        <v>ZARD EXHAUST FULL KIT DUCATI 1199 PANIGALE 2&gt;1&gt;2 VERSION ZD1199TKR-3</v>
      </c>
      <c r="G1654" t="str">
        <f t="shared" si="478"/>
        <v/>
      </c>
      <c r="H1654" t="str">
        <f t="shared" si="490"/>
        <v/>
      </c>
      <c r="I1654" t="str">
        <f t="shared" si="491"/>
        <v/>
      </c>
      <c r="J1654" t="str">
        <f t="shared" si="492"/>
        <v/>
      </c>
      <c r="K1654" t="str">
        <f t="shared" si="493"/>
        <v/>
      </c>
      <c r="L1654" t="str">
        <f t="shared" si="479"/>
        <v/>
      </c>
      <c r="M1654" t="str">
        <f t="shared" si="480"/>
        <v/>
      </c>
      <c r="R1654" t="str">
        <f t="shared" si="481"/>
        <v/>
      </c>
      <c r="S1654" t="str">
        <f t="shared" si="482"/>
        <v/>
      </c>
      <c r="U1654" t="str">
        <f t="shared" si="483"/>
        <v/>
      </c>
      <c r="V1654" t="str">
        <f t="shared" si="484"/>
        <v/>
      </c>
      <c r="W1654" s="5" t="str">
        <f t="shared" si="485"/>
        <v/>
      </c>
      <c r="Y1654" t="str">
        <f t="shared" si="486"/>
        <v/>
      </c>
      <c r="Z1654" t="str">
        <f t="shared" si="487"/>
        <v/>
      </c>
      <c r="AB1654" t="str">
        <f t="shared" si="488"/>
        <v>https://shop.officineitalianezard.it/contents/imgs/products/1_2000-smontato.jpg</v>
      </c>
      <c r="AE1654" t="b">
        <v>0</v>
      </c>
    </row>
    <row r="1655" spans="1:31" x14ac:dyDescent="0.2">
      <c r="A1655" t="str">
        <f t="shared" si="475"/>
        <v>https://shop.officineitalianezard.it/en/ducati-959-panigale-exhaust-zard-3/</v>
      </c>
      <c r="B1655" t="b">
        <f>COUNTIF($A$2:$A1655, A1655)&gt;1</f>
        <v>0</v>
      </c>
      <c r="C1655" t="b">
        <f t="shared" si="476"/>
        <v>0</v>
      </c>
      <c r="D1655">
        <f>VLOOKUP(A1655,variant_counts!A:B, 2, FALSE)</f>
        <v>2</v>
      </c>
      <c r="E1655" t="str">
        <f t="shared" si="489"/>
        <v>zard-exhaust-full-kit-ducati-959-panigale-212-version-zd959skr</v>
      </c>
      <c r="F1655" t="str">
        <f t="shared" si="477"/>
        <v>ZARD EXHAUST FULL KIT DUCATI 959 PANIGALE 2&gt;1&gt;2 VERSION ZD959SKR</v>
      </c>
      <c r="G1655" t="str">
        <f t="shared" si="478"/>
        <v>&lt;p&gt;2&amp;gt;1&amp;gt;2 STEEL RACING FULL KIT FOR DOUBLE SEAT. VERSION&lt;/p&gt;
&lt;p&gt;ORIGINAL EXHAUST WEIGHT: 10 KG&lt;br&gt;STEEL FULL KIT ZARD WEIGHT: 6.6 KG&lt;br&gt;TITANIUM FULL KIT ZARD WEIGHT: 4.5 KG&lt;/p&gt;
&lt;p&gt;HARD INCREASE, COMPARED TO THE ORIGINAL EXHAUST SYSTEM, IN TERMS OF TORQUE AND POWER AT ANY RANGE.&lt;/p&gt;
&lt;p&gt;FITTING KIT INCLUDED.&lt;/p&gt;
&lt;p&gt;NOTE: ORIGINAL HORIZONTAL PIPE HAS NOT BE REMOVED, BACK HEADER PIPE IS STEEL&lt;/p&gt;
&lt;p&gt;&lt;span&gt;THE INSTALLATION OF ZARD EXHAUST DOES NOT IMPLY ANY MODIFICATION TO ECU.&lt;/span&gt;&lt;br&gt;&lt;span&gt;THE BOX INCLUDES ALL PARTS FOR THE FITMENT OF ZARD EXHAUST.&lt;/span&gt;&lt;/p&gt;
&lt;p&gt;&lt;span&gt;'GOLD' VERSION END CAPS HAVE A GOLD FINISH, BLACK END CAPS ARE PAINTED WITH HIGH TEMPERATURE RESISTANT COATING FORMULATED TO WITHSTAND INTERNAL EXHAUST GAS TEMPERATURES OF OVER 2,000 DEGREES FAHRENHEIT.&amp;nbsp;&lt;/span&gt;&lt;/p&gt;
&lt;p&gt;&lt;/p&gt;
&lt;p&gt;&lt;strong&gt;&amp;nbsp;&lt;/strong&gt;&lt;/p&gt;</v>
      </c>
      <c r="H1655" t="str">
        <f t="shared" si="490"/>
        <v>ZARD</v>
      </c>
      <c r="I1655" t="str">
        <f t="shared" si="491"/>
        <v>Exhaust Pipe</v>
      </c>
      <c r="J1655" t="str">
        <f t="shared" si="492"/>
        <v>Test</v>
      </c>
      <c r="K1655" t="b">
        <f t="shared" si="493"/>
        <v>0</v>
      </c>
      <c r="L1655" t="str">
        <f t="shared" si="479"/>
        <v/>
      </c>
      <c r="M1655" t="str">
        <f t="shared" si="480"/>
        <v/>
      </c>
      <c r="R1655" t="str">
        <f t="shared" si="481"/>
        <v/>
      </c>
      <c r="S1655" t="str">
        <f t="shared" si="482"/>
        <v/>
      </c>
      <c r="U1655" t="str">
        <f t="shared" si="483"/>
        <v/>
      </c>
      <c r="V1655" t="str">
        <f t="shared" si="484"/>
        <v/>
      </c>
      <c r="W1655" s="5" t="str">
        <f t="shared" si="485"/>
        <v/>
      </c>
      <c r="Y1655" t="str">
        <f t="shared" si="486"/>
        <v/>
      </c>
      <c r="Z1655" t="str">
        <f t="shared" si="487"/>
        <v/>
      </c>
      <c r="AB1655" t="str">
        <f t="shared" si="488"/>
        <v>https://shop.officineitalianezard.it/contents/imgs/products/1_1761-1.jpg</v>
      </c>
      <c r="AE1655" t="b">
        <v>0</v>
      </c>
    </row>
    <row r="1656" spans="1:31" x14ac:dyDescent="0.2">
      <c r="A1656" t="str">
        <f t="shared" si="475"/>
        <v>https://shop.officineitalianezard.it/en/ducati-959-panigale-exhaust-zard-3/</v>
      </c>
      <c r="B1656" t="b">
        <f>COUNTIF($A$2:$A1656, A1656)&gt;1</f>
        <v>1</v>
      </c>
      <c r="C1656" t="b">
        <f t="shared" si="476"/>
        <v>0</v>
      </c>
      <c r="D1656">
        <f>VLOOKUP(A1656,variant_counts!A:B, 2, FALSE)</f>
        <v>2</v>
      </c>
      <c r="E1656" t="str">
        <f t="shared" si="489"/>
        <v>zard-exhaust-full-kit-ducati-959-panigale-212-version-zd959skr</v>
      </c>
      <c r="F1656" t="str">
        <f t="shared" si="477"/>
        <v>ZARD EXHAUST FULL KIT DUCATI 959 PANIGALE 2&gt;1&gt;2 VERSION ZD959SKR</v>
      </c>
      <c r="G1656" t="str">
        <f t="shared" si="478"/>
        <v/>
      </c>
      <c r="H1656" t="str">
        <f t="shared" si="490"/>
        <v/>
      </c>
      <c r="I1656" t="str">
        <f t="shared" si="491"/>
        <v/>
      </c>
      <c r="J1656" t="str">
        <f t="shared" si="492"/>
        <v/>
      </c>
      <c r="K1656" t="str">
        <f t="shared" si="493"/>
        <v/>
      </c>
      <c r="L1656" t="str">
        <f t="shared" si="479"/>
        <v/>
      </c>
      <c r="M1656" t="str">
        <f t="shared" si="480"/>
        <v/>
      </c>
      <c r="R1656" t="str">
        <f t="shared" si="481"/>
        <v/>
      </c>
      <c r="S1656" t="str">
        <f t="shared" si="482"/>
        <v/>
      </c>
      <c r="U1656" t="str">
        <f t="shared" si="483"/>
        <v/>
      </c>
      <c r="V1656" t="str">
        <f t="shared" si="484"/>
        <v/>
      </c>
      <c r="W1656" s="5" t="str">
        <f t="shared" si="485"/>
        <v/>
      </c>
      <c r="Y1656" t="str">
        <f t="shared" si="486"/>
        <v/>
      </c>
      <c r="Z1656" t="str">
        <f t="shared" si="487"/>
        <v/>
      </c>
      <c r="AB1656" t="str">
        <f t="shared" si="488"/>
        <v>https://shop.officineitalianezard.it/contents/imgs/products/1_1762-2.jpg</v>
      </c>
      <c r="AE1656" t="b">
        <v>0</v>
      </c>
    </row>
    <row r="1657" spans="1:31" x14ac:dyDescent="0.2">
      <c r="A1657" t="str">
        <f t="shared" si="475"/>
        <v>https://shop.officineitalianezard.it/en/ducati-959-panigale-exhaust-zard-3/</v>
      </c>
      <c r="B1657" t="b">
        <f>COUNTIF($A$2:$A1657, A1657)&gt;1</f>
        <v>1</v>
      </c>
      <c r="C1657" t="b">
        <f t="shared" si="476"/>
        <v>0</v>
      </c>
      <c r="D1657">
        <f>VLOOKUP(A1657,variant_counts!A:B, 2, FALSE)</f>
        <v>2</v>
      </c>
      <c r="E1657" t="str">
        <f t="shared" si="489"/>
        <v>zard-exhaust-full-kit-ducati-959-panigale-212-version-zd959skr</v>
      </c>
      <c r="F1657" t="str">
        <f t="shared" si="477"/>
        <v>ZARD EXHAUST FULL KIT DUCATI 959 PANIGALE 2&gt;1&gt;2 VERSION ZD959SKR</v>
      </c>
      <c r="G1657" t="str">
        <f t="shared" si="478"/>
        <v/>
      </c>
      <c r="H1657" t="str">
        <f t="shared" si="490"/>
        <v/>
      </c>
      <c r="I1657" t="str">
        <f t="shared" si="491"/>
        <v/>
      </c>
      <c r="J1657" t="str">
        <f t="shared" si="492"/>
        <v/>
      </c>
      <c r="K1657" t="str">
        <f t="shared" si="493"/>
        <v/>
      </c>
      <c r="L1657" t="str">
        <f t="shared" si="479"/>
        <v/>
      </c>
      <c r="M1657" t="str">
        <f t="shared" si="480"/>
        <v/>
      </c>
      <c r="R1657" t="str">
        <f t="shared" si="481"/>
        <v/>
      </c>
      <c r="S1657" t="str">
        <f t="shared" si="482"/>
        <v/>
      </c>
      <c r="U1657" t="str">
        <f t="shared" si="483"/>
        <v/>
      </c>
      <c r="V1657" t="str">
        <f t="shared" si="484"/>
        <v/>
      </c>
      <c r="W1657" s="5" t="str">
        <f t="shared" si="485"/>
        <v/>
      </c>
      <c r="Y1657" t="str">
        <f t="shared" si="486"/>
        <v/>
      </c>
      <c r="Z1657" t="str">
        <f t="shared" si="487"/>
        <v/>
      </c>
      <c r="AB1657" t="str">
        <f t="shared" si="488"/>
        <v>https://shop.officineitalianezard.it/contents/imgs/products/1_1838-4.jpg</v>
      </c>
      <c r="AE1657" t="b">
        <v>0</v>
      </c>
    </row>
    <row r="1658" spans="1:31" x14ac:dyDescent="0.2">
      <c r="A1658" t="str">
        <f t="shared" si="475"/>
        <v>https://shop.officineitalianezard.it/en/ducati-959-panigale-exhaust-zard-3/</v>
      </c>
      <c r="B1658" t="b">
        <f>COUNTIF($A$2:$A1658, A1658)&gt;1</f>
        <v>1</v>
      </c>
      <c r="C1658" t="b">
        <f t="shared" si="476"/>
        <v>0</v>
      </c>
      <c r="D1658">
        <f>VLOOKUP(A1658,variant_counts!A:B, 2, FALSE)</f>
        <v>2</v>
      </c>
      <c r="E1658" t="str">
        <f t="shared" si="489"/>
        <v>zard-exhaust-full-kit-ducati-959-panigale-212-version-zd959skr</v>
      </c>
      <c r="F1658" t="str">
        <f t="shared" si="477"/>
        <v>ZARD EXHAUST FULL KIT DUCATI 959 PANIGALE 2&gt;1&gt;2 VERSION ZD959SKR</v>
      </c>
      <c r="G1658" t="str">
        <f t="shared" si="478"/>
        <v/>
      </c>
      <c r="H1658" t="str">
        <f t="shared" si="490"/>
        <v/>
      </c>
      <c r="I1658" t="str">
        <f t="shared" si="491"/>
        <v/>
      </c>
      <c r="J1658" t="str">
        <f t="shared" si="492"/>
        <v/>
      </c>
      <c r="K1658" t="str">
        <f t="shared" si="493"/>
        <v/>
      </c>
      <c r="L1658" t="str">
        <f t="shared" si="479"/>
        <v/>
      </c>
      <c r="M1658" t="str">
        <f t="shared" si="480"/>
        <v/>
      </c>
      <c r="R1658" t="str">
        <f t="shared" si="481"/>
        <v/>
      </c>
      <c r="S1658" t="str">
        <f t="shared" si="482"/>
        <v/>
      </c>
      <c r="U1658" t="str">
        <f t="shared" si="483"/>
        <v/>
      </c>
      <c r="V1658" t="str">
        <f t="shared" si="484"/>
        <v/>
      </c>
      <c r="W1658" s="5" t="str">
        <f t="shared" si="485"/>
        <v/>
      </c>
      <c r="Y1658" t="str">
        <f t="shared" si="486"/>
        <v/>
      </c>
      <c r="Z1658" t="str">
        <f t="shared" si="487"/>
        <v/>
      </c>
      <c r="AB1658" t="str">
        <f t="shared" si="488"/>
        <v>https://shop.officineitalianezard.it/contents/imgs/products/1_1763-3.jpg</v>
      </c>
      <c r="AE1658" t="b">
        <v>0</v>
      </c>
    </row>
    <row r="1659" spans="1:31" x14ac:dyDescent="0.2">
      <c r="A1659" t="str">
        <f t="shared" si="475"/>
        <v>https://shop.officineitalianezard.it/en/ducati-959-panigale-exhaust-zard-3/</v>
      </c>
      <c r="B1659" t="b">
        <f>COUNTIF($A$2:$A1659, A1659)&gt;1</f>
        <v>1</v>
      </c>
      <c r="C1659" t="b">
        <f t="shared" si="476"/>
        <v>0</v>
      </c>
      <c r="D1659">
        <f>VLOOKUP(A1659,variant_counts!A:B, 2, FALSE)</f>
        <v>2</v>
      </c>
      <c r="E1659" t="str">
        <f t="shared" si="489"/>
        <v>zard-exhaust-full-kit-ducati-959-panigale-212-version-zd959skr</v>
      </c>
      <c r="F1659" t="str">
        <f t="shared" si="477"/>
        <v>ZARD EXHAUST FULL KIT DUCATI 959 PANIGALE 2&gt;1&gt;2 VERSION ZD959SKR</v>
      </c>
      <c r="G1659" t="str">
        <f t="shared" si="478"/>
        <v/>
      </c>
      <c r="H1659" t="str">
        <f t="shared" si="490"/>
        <v/>
      </c>
      <c r="I1659" t="str">
        <f t="shared" si="491"/>
        <v/>
      </c>
      <c r="J1659" t="str">
        <f t="shared" si="492"/>
        <v/>
      </c>
      <c r="K1659" t="str">
        <f t="shared" si="493"/>
        <v/>
      </c>
      <c r="L1659" t="str">
        <f t="shared" si="479"/>
        <v/>
      </c>
      <c r="M1659" t="str">
        <f t="shared" si="480"/>
        <v/>
      </c>
      <c r="R1659" t="str">
        <f t="shared" si="481"/>
        <v/>
      </c>
      <c r="S1659" t="str">
        <f t="shared" si="482"/>
        <v/>
      </c>
      <c r="U1659" t="str">
        <f t="shared" si="483"/>
        <v/>
      </c>
      <c r="V1659" t="str">
        <f t="shared" si="484"/>
        <v/>
      </c>
      <c r="W1659" s="5" t="str">
        <f t="shared" si="485"/>
        <v/>
      </c>
      <c r="Y1659" t="str">
        <f t="shared" si="486"/>
        <v/>
      </c>
      <c r="Z1659" t="str">
        <f t="shared" si="487"/>
        <v/>
      </c>
      <c r="AB1659" t="str">
        <f t="shared" si="488"/>
        <v>https://shop.officineitalianezard.it/contents/imgs/products/1_1765-scarico%20ducati%20panigale.jpg</v>
      </c>
      <c r="AE1659" t="b">
        <v>0</v>
      </c>
    </row>
    <row r="1660" spans="1:31" x14ac:dyDescent="0.2">
      <c r="A1660" t="str">
        <f t="shared" si="475"/>
        <v>https://shop.officineitalianezard.it/en/ducati-959-panigale-exhaust-zard-3/</v>
      </c>
      <c r="B1660" t="b">
        <f>COUNTIF($A$2:$A1660, A1660)&gt;1</f>
        <v>1</v>
      </c>
      <c r="C1660" t="b">
        <f t="shared" si="476"/>
        <v>0</v>
      </c>
      <c r="D1660">
        <f>VLOOKUP(A1660,variant_counts!A:B, 2, FALSE)</f>
        <v>2</v>
      </c>
      <c r="E1660" t="str">
        <f t="shared" si="489"/>
        <v>zard-exhaust-full-kit-ducati-959-panigale-212-version-zd959skr</v>
      </c>
      <c r="F1660" t="str">
        <f t="shared" si="477"/>
        <v>ZARD EXHAUST FULL KIT DUCATI 959 PANIGALE 2&gt;1&gt;2 VERSION ZD959SKR</v>
      </c>
      <c r="G1660" t="str">
        <f t="shared" si="478"/>
        <v/>
      </c>
      <c r="H1660" t="str">
        <f t="shared" si="490"/>
        <v/>
      </c>
      <c r="I1660" t="str">
        <f t="shared" si="491"/>
        <v/>
      </c>
      <c r="J1660" t="str">
        <f t="shared" si="492"/>
        <v/>
      </c>
      <c r="K1660" t="str">
        <f t="shared" si="493"/>
        <v/>
      </c>
      <c r="L1660" t="str">
        <f t="shared" si="479"/>
        <v/>
      </c>
      <c r="M1660" t="str">
        <f t="shared" si="480"/>
        <v/>
      </c>
      <c r="R1660" t="str">
        <f t="shared" si="481"/>
        <v/>
      </c>
      <c r="S1660" t="str">
        <f t="shared" si="482"/>
        <v/>
      </c>
      <c r="U1660" t="str">
        <f t="shared" si="483"/>
        <v/>
      </c>
      <c r="V1660" t="str">
        <f t="shared" si="484"/>
        <v/>
      </c>
      <c r="W1660" s="5" t="str">
        <f t="shared" si="485"/>
        <v/>
      </c>
      <c r="Y1660" t="str">
        <f t="shared" si="486"/>
        <v/>
      </c>
      <c r="Z1660" t="str">
        <f t="shared" si="487"/>
        <v/>
      </c>
      <c r="AB1660" t="str">
        <f t="shared" si="488"/>
        <v>https://shop.officineitalianezard.it/contents/imgs/products/1_1764-0.jpg</v>
      </c>
      <c r="AE1660" t="b">
        <v>0</v>
      </c>
    </row>
    <row r="1661" spans="1:31" x14ac:dyDescent="0.2">
      <c r="A1661" t="str">
        <f t="shared" si="475"/>
        <v>https://shop.officineitalianezard.it/en/ducati-959-panigale-exhaust-zard-3/</v>
      </c>
      <c r="B1661" t="b">
        <f>COUNTIF($A$2:$A1661, A1661)&gt;1</f>
        <v>1</v>
      </c>
      <c r="C1661" t="b">
        <f t="shared" si="476"/>
        <v>0</v>
      </c>
      <c r="D1661">
        <f>VLOOKUP(A1661,variant_counts!A:B, 2, FALSE)</f>
        <v>2</v>
      </c>
      <c r="E1661" t="str">
        <f t="shared" si="489"/>
        <v>zard-exhaust-full-kit-ducati-959-panigale-212-version-zd959skr</v>
      </c>
      <c r="F1661" t="str">
        <f t="shared" si="477"/>
        <v>ZARD EXHAUST FULL KIT DUCATI 959 PANIGALE 2&gt;1&gt;2 VERSION ZD959SKR</v>
      </c>
      <c r="G1661" t="str">
        <f t="shared" si="478"/>
        <v/>
      </c>
      <c r="H1661" t="str">
        <f t="shared" si="490"/>
        <v/>
      </c>
      <c r="I1661" t="str">
        <f t="shared" si="491"/>
        <v/>
      </c>
      <c r="J1661" t="str">
        <f t="shared" si="492"/>
        <v/>
      </c>
      <c r="K1661" t="str">
        <f t="shared" si="493"/>
        <v/>
      </c>
      <c r="L1661" t="str">
        <f t="shared" si="479"/>
        <v/>
      </c>
      <c r="M1661" t="str">
        <f t="shared" si="480"/>
        <v/>
      </c>
      <c r="R1661" t="str">
        <f t="shared" si="481"/>
        <v/>
      </c>
      <c r="S1661" t="str">
        <f t="shared" si="482"/>
        <v/>
      </c>
      <c r="U1661" t="str">
        <f t="shared" si="483"/>
        <v/>
      </c>
      <c r="V1661" t="str">
        <f t="shared" si="484"/>
        <v/>
      </c>
      <c r="W1661" s="5" t="str">
        <f t="shared" si="485"/>
        <v/>
      </c>
      <c r="Y1661" t="str">
        <f t="shared" si="486"/>
        <v/>
      </c>
      <c r="Z1661" t="str">
        <f t="shared" si="487"/>
        <v/>
      </c>
      <c r="AB1661" t="str">
        <f t="shared" si="488"/>
        <v>https://shop.officineitalianezard.it/contents/imgs/products/1_1840-959panigale_Zard_powercurve.jpg</v>
      </c>
      <c r="AE1661" t="b">
        <v>0</v>
      </c>
    </row>
    <row r="1662" spans="1:31" x14ac:dyDescent="0.2">
      <c r="A1662" t="str">
        <f t="shared" si="475"/>
        <v>https://shop.officineitalianezard.it/en/ducati-959-panigale-exhaust-zard-3/</v>
      </c>
      <c r="B1662" t="b">
        <f>COUNTIF($A$2:$A1662, A1662)&gt;1</f>
        <v>1</v>
      </c>
      <c r="C1662" t="b">
        <f t="shared" si="476"/>
        <v>1</v>
      </c>
      <c r="D1662">
        <f>VLOOKUP(A1662,variant_counts!A:B, 2, FALSE)</f>
        <v>2</v>
      </c>
      <c r="E1662" t="str">
        <f t="shared" si="489"/>
        <v>zard-exhaust-full-kit-ducati-959-panigale-212-version-zd959skr</v>
      </c>
      <c r="F1662" t="str">
        <f t="shared" si="477"/>
        <v>ZARD EXHAUST FULL KIT DUCATI 959 PANIGALE 2&gt;1&gt;2 VERSION ZD959SKR</v>
      </c>
      <c r="G1662" t="str">
        <f t="shared" si="478"/>
        <v/>
      </c>
      <c r="H1662" t="str">
        <f t="shared" si="490"/>
        <v/>
      </c>
      <c r="I1662" t="str">
        <f t="shared" si="491"/>
        <v/>
      </c>
      <c r="J1662" t="str">
        <f t="shared" si="492"/>
        <v/>
      </c>
      <c r="K1662" t="str">
        <f t="shared" si="493"/>
        <v/>
      </c>
      <c r="L1662" t="str">
        <f t="shared" si="479"/>
        <v>Option</v>
      </c>
      <c r="M1662" t="str">
        <f t="shared" si="480"/>
        <v>STEEL HEADERS + TITANIUM SILENCER</v>
      </c>
      <c r="R1662" t="str">
        <f t="shared" si="481"/>
        <v>ZD959SKR</v>
      </c>
      <c r="S1662">
        <f t="shared" si="482"/>
        <v>0</v>
      </c>
      <c r="U1662" t="str">
        <f t="shared" si="483"/>
        <v>continue</v>
      </c>
      <c r="V1662" t="str">
        <f t="shared" si="484"/>
        <v>manual</v>
      </c>
      <c r="W1662" s="5">
        <f t="shared" si="485"/>
        <v>2253.3998999999999</v>
      </c>
      <c r="Y1662" t="b">
        <f t="shared" si="486"/>
        <v>1</v>
      </c>
      <c r="Z1662" t="b">
        <f t="shared" si="487"/>
        <v>0</v>
      </c>
      <c r="AB1662" t="str">
        <f t="shared" si="488"/>
        <v/>
      </c>
      <c r="AE1662" t="b">
        <v>0</v>
      </c>
    </row>
    <row r="1663" spans="1:31" x14ac:dyDescent="0.2">
      <c r="A1663" t="str">
        <f t="shared" si="475"/>
        <v>https://shop.officineitalianezard.it/en/ducati-959-panigale-exhaust-zard-3/</v>
      </c>
      <c r="B1663" t="b">
        <f>COUNTIF($A$2:$A1663, A1663)&gt;1</f>
        <v>1</v>
      </c>
      <c r="C1663" t="b">
        <f t="shared" si="476"/>
        <v>1</v>
      </c>
      <c r="D1663">
        <f>VLOOKUP(A1663,variant_counts!A:B, 2, FALSE)</f>
        <v>2</v>
      </c>
      <c r="E1663" t="str">
        <f t="shared" si="489"/>
        <v>zard-exhaust-full-kit-ducati-959-panigale-212-version-zd959skr</v>
      </c>
      <c r="F1663" t="str">
        <f t="shared" si="477"/>
        <v>ZARD EXHAUST FULL KIT DUCATI 959 PANIGALE 2&gt;1&gt;2 VERSION ZD959SKR</v>
      </c>
      <c r="G1663" t="str">
        <f t="shared" si="478"/>
        <v/>
      </c>
      <c r="H1663" t="str">
        <f t="shared" si="490"/>
        <v/>
      </c>
      <c r="I1663" t="str">
        <f t="shared" si="491"/>
        <v/>
      </c>
      <c r="J1663" t="str">
        <f t="shared" si="492"/>
        <v/>
      </c>
      <c r="K1663" t="str">
        <f t="shared" si="493"/>
        <v/>
      </c>
      <c r="L1663" t="str">
        <f t="shared" si="479"/>
        <v>Option</v>
      </c>
      <c r="M1663" t="str">
        <f t="shared" si="480"/>
        <v>FULL TITANIUM</v>
      </c>
      <c r="R1663" t="str">
        <f t="shared" si="481"/>
        <v>ZD959SKR</v>
      </c>
      <c r="S1663">
        <f t="shared" si="482"/>
        <v>0</v>
      </c>
      <c r="U1663" t="str">
        <f t="shared" si="483"/>
        <v>continue</v>
      </c>
      <c r="V1663" t="str">
        <f t="shared" si="484"/>
        <v>manual</v>
      </c>
      <c r="W1663" s="5">
        <f t="shared" si="485"/>
        <v>2677.5641999999998</v>
      </c>
      <c r="Y1663" t="b">
        <f t="shared" si="486"/>
        <v>1</v>
      </c>
      <c r="Z1663" t="b">
        <f t="shared" si="487"/>
        <v>0</v>
      </c>
      <c r="AB1663" t="str">
        <f t="shared" si="488"/>
        <v/>
      </c>
      <c r="AE1663" t="b">
        <v>0</v>
      </c>
    </row>
    <row r="1664" spans="1:31" x14ac:dyDescent="0.2">
      <c r="A1664" t="str">
        <f t="shared" si="475"/>
        <v>https://shop.officineitalianezard.it/en/products/index/penta-inox-carbonium-mufflers-7078-52/</v>
      </c>
      <c r="B1664" t="b">
        <f>COUNTIF($A$2:$A1664, A1664)&gt;1</f>
        <v>0</v>
      </c>
      <c r="C1664" t="b">
        <f t="shared" si="476"/>
        <v>0</v>
      </c>
      <c r="D1664">
        <f>VLOOKUP(A1664,variant_counts!A:B, 2, FALSE)</f>
        <v>1</v>
      </c>
      <c r="E1664" t="str">
        <f t="shared" si="489"/>
        <v>zard-exhaust-8481098r-s1198r-s-silencers-ducati-848-1098rs-1198rs-penta-version-zd010ssr</v>
      </c>
      <c r="F1664" t="str">
        <f t="shared" si="477"/>
        <v>ZARD EXHAUST 848/1098R-S/1198R-S SILENCERS DUCATI 848-1098R/S-1198R/S PENTA VERSION ZD010SSR</v>
      </c>
      <c r="G1664" t="str">
        <f t="shared" si="478"/>
        <v>&lt;p&gt;STEEL-CARBON UNDER-SEAT SILENCERS RACING WITH REMOVABLE DB KILLER&lt;/p&gt;
&lt;p&gt;ORIGINAL SILENCER WEIGHT: KG 5.2&lt;br&gt;ZARD SILENCER WEIGHT: KG 4.2&lt;br&gt;ZARD SILENCER CARBON WEIGHT: KG 3.8&lt;/p&gt;
&lt;p&gt;HARD INCREASE, COMPARED TO THE STANDARD EXHAUST SYSTEM, IN TERMS OF TORQUE AND POWER (+4 HP) AT ANY RANGE.&lt;/p&gt;
&lt;p&gt;ASTONISHING SOUND.&lt;/p&gt;</v>
      </c>
      <c r="H1664" t="str">
        <f t="shared" si="490"/>
        <v>ZARD</v>
      </c>
      <c r="I1664" t="str">
        <f t="shared" si="491"/>
        <v>Exhaust Pipe</v>
      </c>
      <c r="J1664" t="str">
        <f t="shared" si="492"/>
        <v>Test</v>
      </c>
      <c r="K1664" t="b">
        <f t="shared" si="493"/>
        <v>0</v>
      </c>
      <c r="L1664" t="str">
        <f t="shared" si="479"/>
        <v>Option</v>
      </c>
      <c r="M1664" t="str">
        <f t="shared" si="480"/>
        <v>DEFAULT</v>
      </c>
      <c r="R1664" t="str">
        <f t="shared" si="481"/>
        <v>ZD010SSR</v>
      </c>
      <c r="S1664">
        <f t="shared" si="482"/>
        <v>0</v>
      </c>
      <c r="U1664" t="str">
        <f t="shared" si="483"/>
        <v>continue</v>
      </c>
      <c r="V1664" t="str">
        <f t="shared" si="484"/>
        <v>manual</v>
      </c>
      <c r="W1664" s="5">
        <f t="shared" si="485"/>
        <v>974.43570000000011</v>
      </c>
      <c r="Y1664" t="b">
        <f t="shared" si="486"/>
        <v>1</v>
      </c>
      <c r="Z1664" t="b">
        <f t="shared" si="487"/>
        <v>0</v>
      </c>
      <c r="AB1664" t="str">
        <f t="shared" si="488"/>
        <v>https://shop.officineitalianezard.it/contents/imgs/products/1_251-ducati1098s-penta-part2.jpg</v>
      </c>
      <c r="AE1664" t="b">
        <v>0</v>
      </c>
    </row>
    <row r="1665" spans="1:31" x14ac:dyDescent="0.2">
      <c r="A1665" t="str">
        <f t="shared" si="475"/>
        <v>https://shop.officineitalianezard.it/en/products/index/penta-inox-carbonium-mufflers-7078-52/</v>
      </c>
      <c r="B1665" t="b">
        <f>COUNTIF($A$2:$A1665, A1665)&gt;1</f>
        <v>1</v>
      </c>
      <c r="C1665" t="b">
        <f t="shared" si="476"/>
        <v>0</v>
      </c>
      <c r="D1665">
        <f>VLOOKUP(A1665,variant_counts!A:B, 2, FALSE)</f>
        <v>1</v>
      </c>
      <c r="E1665" t="str">
        <f t="shared" si="489"/>
        <v>zard-exhaust-8481098r-s1198r-s-silencers-ducati-848-1098rs-1198rs-penta-version-zd010ssr</v>
      </c>
      <c r="F1665" t="str">
        <f t="shared" si="477"/>
        <v>ZARD EXHAUST 848/1098R-S/1198R-S SILENCERS DUCATI 848-1098R/S-1198R/S PENTA VERSION ZD010SSR</v>
      </c>
      <c r="G1665" t="str">
        <f t="shared" si="478"/>
        <v/>
      </c>
      <c r="H1665" t="str">
        <f t="shared" si="490"/>
        <v/>
      </c>
      <c r="I1665" t="str">
        <f t="shared" si="491"/>
        <v/>
      </c>
      <c r="J1665" t="str">
        <f t="shared" si="492"/>
        <v/>
      </c>
      <c r="K1665" t="str">
        <f t="shared" si="493"/>
        <v/>
      </c>
      <c r="L1665" t="str">
        <f t="shared" si="479"/>
        <v/>
      </c>
      <c r="M1665" t="str">
        <f t="shared" si="480"/>
        <v/>
      </c>
      <c r="R1665" t="str">
        <f t="shared" si="481"/>
        <v/>
      </c>
      <c r="S1665" t="str">
        <f t="shared" si="482"/>
        <v/>
      </c>
      <c r="U1665" t="str">
        <f t="shared" si="483"/>
        <v/>
      </c>
      <c r="V1665" t="str">
        <f t="shared" si="484"/>
        <v/>
      </c>
      <c r="W1665" s="5" t="str">
        <f t="shared" si="485"/>
        <v/>
      </c>
      <c r="Y1665" t="str">
        <f t="shared" si="486"/>
        <v/>
      </c>
      <c r="Z1665" t="str">
        <f t="shared" si="487"/>
        <v/>
      </c>
      <c r="AB1665" t="str">
        <f t="shared" si="488"/>
        <v>https://shop.officineitalianezard.it/contents/imgs/products/1_250-1098penta3.jpg</v>
      </c>
      <c r="AE1665" t="b">
        <v>0</v>
      </c>
    </row>
    <row r="1666" spans="1:31" x14ac:dyDescent="0.2">
      <c r="A1666" t="str">
        <f t="shared" ref="A1666:A1729" si="494">source_product_link_href</f>
        <v>https://shop.officineitalianezard.it/en/products/index/penta-inox-carbonium-mufflers-7078-52/</v>
      </c>
      <c r="B1666" t="b">
        <f>COUNTIF($A$2:$A1666, A1666)&gt;1</f>
        <v>1</v>
      </c>
      <c r="C1666" t="b">
        <f t="shared" ref="C1666:C1729" si="495">NOT(ISBLANK(source_option_name))</f>
        <v>0</v>
      </c>
      <c r="D1666">
        <f>VLOOKUP(A1666,variant_counts!A:B, 2, FALSE)</f>
        <v>1</v>
      </c>
      <c r="E1666" t="str">
        <f t="shared" si="489"/>
        <v>zard-exhaust-8481098r-s1198r-s-silencers-ducati-848-1098rs-1198rs-penta-version-zd010ssr</v>
      </c>
      <c r="F1666" t="str">
        <f t="shared" ref="F1666:F1729" si="496">UPPER("ZARD EXHAUST " &amp; source_title &amp; " " &amp; source_brand &amp; " " &amp; source_bike &amp; " " &amp; source_product_link &amp; " " &amp; source_sku)</f>
        <v>ZARD EXHAUST 848/1098R-S/1198R-S SILENCERS DUCATI 848-1098R/S-1198R/S PENTA VERSION ZD010SSR</v>
      </c>
      <c r="G1666" t="str">
        <f t="shared" ref="G1666:G1729" si="497">IF($B1666=FALSE, source_description, "")</f>
        <v/>
      </c>
      <c r="H1666" t="str">
        <f t="shared" si="490"/>
        <v/>
      </c>
      <c r="I1666" t="str">
        <f t="shared" si="491"/>
        <v/>
      </c>
      <c r="J1666" t="str">
        <f t="shared" si="492"/>
        <v/>
      </c>
      <c r="K1666" t="str">
        <f t="shared" si="493"/>
        <v/>
      </c>
      <c r="L1666" t="str">
        <f t="shared" ref="L1666:L1729" si="498">IF(AND(variant_count=0,duplicated=FALSE),"Title",IF(OR(AND(variant_count=1,duplicated=FALSE), source_option_name&lt;&gt;""), "Option", ""))</f>
        <v/>
      </c>
      <c r="M1666" t="str">
        <f t="shared" ref="M1666:M1729" si="499">IF(option1_name="Title", "Default Title", IF(AND(option1_name="Option",ISBLANK(source_option_name)),"DEFAULT",IF(ISBLANK(source_option_name), "", source_option_name)))</f>
        <v/>
      </c>
      <c r="R1666" t="str">
        <f t="shared" ref="R1666:R1729" si="500">IF(option1_name &lt;&gt; "", source_sku, "")</f>
        <v/>
      </c>
      <c r="S1666" t="str">
        <f t="shared" ref="S1666:S1729" si="501">IF(option1_name &lt;&gt; "", 0, "")</f>
        <v/>
      </c>
      <c r="U1666" t="str">
        <f t="shared" ref="U1666:U1729" si="502">IF(option1_name &lt;&gt; "", "continue", "")</f>
        <v/>
      </c>
      <c r="V1666" t="str">
        <f t="shared" ref="V1666:V1729" si="503">IF(option1_name &lt;&gt; "", "manual", "")</f>
        <v/>
      </c>
      <c r="W1666" s="5" t="str">
        <f t="shared" ref="W1666:W1729" si="504">IF(option1_name&lt;&gt;"",(source_price_original+source_option_price)*eur_usd,"")</f>
        <v/>
      </c>
      <c r="Y1666" t="str">
        <f t="shared" ref="Y1666:Y1729" si="505">IF(option1_name&lt;&gt;"",TRUE,"")</f>
        <v/>
      </c>
      <c r="Z1666" t="str">
        <f t="shared" ref="Z1666:Z1729" si="506">IF(option1_name&lt;&gt;"",FALSE,"")</f>
        <v/>
      </c>
      <c r="AB1666" t="str">
        <f t="shared" ref="AB1666:AB1729" si="507">IF(ISBLANK(source_image), "", source_image)</f>
        <v>https://shop.officineitalianezard.it/contents/imgs/products/1_252-ducati1098s-penta-part1.jpg</v>
      </c>
      <c r="AE1666" t="b">
        <v>0</v>
      </c>
    </row>
    <row r="1667" spans="1:31" x14ac:dyDescent="0.2">
      <c r="A1667" t="str">
        <f t="shared" si="494"/>
        <v>https://shop.officineitalianezard.it/en/products/index/penta-inox-carbonium-mufflers-7078-52/</v>
      </c>
      <c r="B1667" t="b">
        <f>COUNTIF($A$2:$A1667, A1667)&gt;1</f>
        <v>1</v>
      </c>
      <c r="C1667" t="b">
        <f t="shared" si="495"/>
        <v>0</v>
      </c>
      <c r="D1667">
        <f>VLOOKUP(A1667,variant_counts!A:B, 2, FALSE)</f>
        <v>1</v>
      </c>
      <c r="E1667" t="str">
        <f t="shared" ref="E1667:E1730" si="508">FormatShopifyHandle(F1667)</f>
        <v>zard-exhaust-8481098r-s1198r-s-silencers-ducati-848-1098rs-1198rs-penta-version-zd010ssr</v>
      </c>
      <c r="F1667" t="str">
        <f t="shared" si="496"/>
        <v>ZARD EXHAUST 848/1098R-S/1198R-S SILENCERS DUCATI 848-1098R/S-1198R/S PENTA VERSION ZD010SSR</v>
      </c>
      <c r="G1667" t="str">
        <f t="shared" si="497"/>
        <v/>
      </c>
      <c r="H1667" t="str">
        <f t="shared" ref="H1667:H1730" si="509">IF($B1667=FALSE, "ZARD", "")</f>
        <v/>
      </c>
      <c r="I1667" t="str">
        <f t="shared" ref="I1667:I1730" si="510">IF($B1667=FALSE, "Exhaust Pipe", "")</f>
        <v/>
      </c>
      <c r="J1667" t="str">
        <f t="shared" ref="J1667:J1730" si="511">IF($B1667=FALSE, "Test", "")</f>
        <v/>
      </c>
      <c r="K1667" t="str">
        <f t="shared" ref="K1667:K1730" si="512">IF($B1667=FALSE, FALSE, "")</f>
        <v/>
      </c>
      <c r="L1667" t="str">
        <f t="shared" si="498"/>
        <v/>
      </c>
      <c r="M1667" t="str">
        <f t="shared" si="499"/>
        <v/>
      </c>
      <c r="R1667" t="str">
        <f t="shared" si="500"/>
        <v/>
      </c>
      <c r="S1667" t="str">
        <f t="shared" si="501"/>
        <v/>
      </c>
      <c r="U1667" t="str">
        <f t="shared" si="502"/>
        <v/>
      </c>
      <c r="V1667" t="str">
        <f t="shared" si="503"/>
        <v/>
      </c>
      <c r="W1667" s="5" t="str">
        <f t="shared" si="504"/>
        <v/>
      </c>
      <c r="Y1667" t="str">
        <f t="shared" si="505"/>
        <v/>
      </c>
      <c r="Z1667" t="str">
        <f t="shared" si="506"/>
        <v/>
      </c>
      <c r="AB1667" t="str">
        <f t="shared" si="507"/>
        <v>https://shop.officineitalianezard.it/contents/imgs/products/1_253-ducati-1098_001.jpg</v>
      </c>
      <c r="AE1667" t="b">
        <v>0</v>
      </c>
    </row>
    <row r="1668" spans="1:31" x14ac:dyDescent="0.2">
      <c r="A1668" t="str">
        <f t="shared" si="494"/>
        <v>https://shop.officineitalianezard.it/en/products/index/penta-inox-carbonium-mufflers-7078-52/</v>
      </c>
      <c r="B1668" t="b">
        <f>COUNTIF($A$2:$A1668, A1668)&gt;1</f>
        <v>1</v>
      </c>
      <c r="C1668" t="b">
        <f t="shared" si="495"/>
        <v>1</v>
      </c>
      <c r="D1668">
        <f>VLOOKUP(A1668,variant_counts!A:B, 2, FALSE)</f>
        <v>1</v>
      </c>
      <c r="E1668" t="str">
        <f t="shared" si="508"/>
        <v>zard-exhaust-8481098r-s1198r-s-silencers-ducati-848-1098rs-1198rs-penta-version-zd010ssr</v>
      </c>
      <c r="F1668" t="str">
        <f t="shared" si="496"/>
        <v>ZARD EXHAUST 848/1098R-S/1198R-S SILENCERS DUCATI 848-1098R/S-1198R/S PENTA VERSION ZD010SSR</v>
      </c>
      <c r="G1668" t="str">
        <f t="shared" si="497"/>
        <v/>
      </c>
      <c r="H1668" t="str">
        <f t="shared" si="509"/>
        <v/>
      </c>
      <c r="I1668" t="str">
        <f t="shared" si="510"/>
        <v/>
      </c>
      <c r="J1668" t="str">
        <f t="shared" si="511"/>
        <v/>
      </c>
      <c r="K1668" t="str">
        <f t="shared" si="512"/>
        <v/>
      </c>
      <c r="L1668" t="str">
        <f t="shared" si="498"/>
        <v>Option</v>
      </c>
      <c r="M1668" t="str">
        <f t="shared" si="499"/>
        <v>CARBON 'PENTA' ENDCAP</v>
      </c>
      <c r="R1668" t="str">
        <f t="shared" si="500"/>
        <v>ZD010SSR</v>
      </c>
      <c r="S1668">
        <f t="shared" si="501"/>
        <v>0</v>
      </c>
      <c r="U1668" t="str">
        <f t="shared" si="502"/>
        <v>continue</v>
      </c>
      <c r="V1668" t="str">
        <f t="shared" si="503"/>
        <v>manual</v>
      </c>
      <c r="W1668" s="5">
        <f t="shared" si="504"/>
        <v>1057.9632000000001</v>
      </c>
      <c r="Y1668" t="b">
        <f t="shared" si="505"/>
        <v>1</v>
      </c>
      <c r="Z1668" t="b">
        <f t="shared" si="506"/>
        <v>0</v>
      </c>
      <c r="AB1668" t="str">
        <f t="shared" si="507"/>
        <v/>
      </c>
      <c r="AE1668" t="b">
        <v>0</v>
      </c>
    </row>
    <row r="1669" spans="1:31" x14ac:dyDescent="0.2">
      <c r="A1669" t="str">
        <f t="shared" si="494"/>
        <v>https://shop.officineitalianezard.it/en/penta-evo-inox-carbonium-mufflers/</v>
      </c>
      <c r="B1669" t="b">
        <f>COUNTIF($A$2:$A1669, A1669)&gt;1</f>
        <v>0</v>
      </c>
      <c r="C1669" t="b">
        <f t="shared" si="495"/>
        <v>0</v>
      </c>
      <c r="D1669">
        <f>VLOOKUP(A1669,variant_counts!A:B, 2, FALSE)</f>
        <v>1</v>
      </c>
      <c r="E1669" t="str">
        <f t="shared" si="508"/>
        <v>zard-exhaust-8481098r-s1198r-s-silencers-ducati-848-1098rs-1198rs-penta-evo-version-zd010ssr-e</v>
      </c>
      <c r="F1669" t="str">
        <f t="shared" si="496"/>
        <v>ZARD EXHAUST 848/1098R-S/1198R-S SILENCERS DUCATI 848-1098R/S-1198R/S PENTA EVO VERSION ZD010SSR-E</v>
      </c>
      <c r="G1669" t="str">
        <f t="shared" si="497"/>
        <v>&lt;p&gt;STEEL-CARBON PENTA EVO SILENCERS RACING WITH REMOVABLE DB KILLER&lt;/p&gt;
&lt;p&gt;THE PENTA EVO MUFFLER HAS A PARTICULAR SHAPE, OVAL AT THE BASE THAT DYNAMICALLY EVOLVES IN A PENTAGON AT THE END.&lt;/p&gt;
&lt;p&gt;HOMOLOGATED VERSION HAS STEEL-ALUMINIUM BLACK SILENCERS&amp;nbsp;&lt;/p&gt;
&lt;p&gt;ORIGINAL SILENCERS WEIGHT: KG 5.2&lt;br&gt;ZARD ALUMINIUM SILENCERS WEIGHT: KG 4.2&lt;br&gt;ZARD CARBON SILENCERS WEIGHT: KG 3.8&lt;/p&gt;
&lt;p&gt;HARD INCREASE, COMPARED TO THE ORIGINAL EXHAUST SYSTEM, IN TERMS OF TORQUE AND POWER AT ANY RANGE (+4 HP FOR THE RACING VERSION AND + 2.8 HP FOR THE STREET LEGAL MODEL).&lt;/p&gt;
&lt;p&gt;ASTONISHING SOUND.&lt;/p&gt;
&lt;p&gt;POWER CURVE: &lt;a href="http://shop.officineitalianezard.it//public/contents/imgs/cms/1198_slip-on_omo.pdf"&gt;DOWNLOAD&lt;/a&gt;&lt;/p&gt;</v>
      </c>
      <c r="H1669" t="str">
        <f t="shared" si="509"/>
        <v>ZARD</v>
      </c>
      <c r="I1669" t="str">
        <f t="shared" si="510"/>
        <v>Exhaust Pipe</v>
      </c>
      <c r="J1669" t="str">
        <f t="shared" si="511"/>
        <v>Test</v>
      </c>
      <c r="K1669" t="b">
        <f t="shared" si="512"/>
        <v>0</v>
      </c>
      <c r="L1669" t="str">
        <f t="shared" si="498"/>
        <v>Option</v>
      </c>
      <c r="M1669" t="str">
        <f t="shared" si="499"/>
        <v>DEFAULT</v>
      </c>
      <c r="R1669" t="str">
        <f t="shared" si="500"/>
        <v>ZD010SSR-E</v>
      </c>
      <c r="S1669">
        <f t="shared" si="501"/>
        <v>0</v>
      </c>
      <c r="U1669" t="str">
        <f t="shared" si="502"/>
        <v>continue</v>
      </c>
      <c r="V1669" t="str">
        <f t="shared" si="503"/>
        <v>manual</v>
      </c>
      <c r="W1669" s="5">
        <f t="shared" si="504"/>
        <v>1066.3326</v>
      </c>
      <c r="Y1669" t="b">
        <f t="shared" si="505"/>
        <v>1</v>
      </c>
      <c r="Z1669" t="b">
        <f t="shared" si="506"/>
        <v>0</v>
      </c>
      <c r="AB1669" t="str">
        <f t="shared" si="507"/>
        <v>https://shop.officineitalianezard.it/contents/imgs/products/1_254-1.jpg</v>
      </c>
      <c r="AE1669" t="b">
        <v>0</v>
      </c>
    </row>
    <row r="1670" spans="1:31" x14ac:dyDescent="0.2">
      <c r="A1670" t="str">
        <f t="shared" si="494"/>
        <v>https://shop.officineitalianezard.it/en/penta-evo-inox-carbonium-mufflers/</v>
      </c>
      <c r="B1670" t="b">
        <f>COUNTIF($A$2:$A1670, A1670)&gt;1</f>
        <v>1</v>
      </c>
      <c r="C1670" t="b">
        <f t="shared" si="495"/>
        <v>0</v>
      </c>
      <c r="D1670">
        <f>VLOOKUP(A1670,variant_counts!A:B, 2, FALSE)</f>
        <v>1</v>
      </c>
      <c r="E1670" t="str">
        <f t="shared" si="508"/>
        <v>zard-exhaust-8481098r-s1198r-s-silencers-ducati-848-1098rs-1198rs-penta-evo-version-zd010ssr-e</v>
      </c>
      <c r="F1670" t="str">
        <f t="shared" si="496"/>
        <v>ZARD EXHAUST 848/1098R-S/1198R-S SILENCERS DUCATI 848-1098R/S-1198R/S PENTA EVO VERSION ZD010SSR-E</v>
      </c>
      <c r="G1670" t="str">
        <f t="shared" si="497"/>
        <v/>
      </c>
      <c r="H1670" t="str">
        <f t="shared" si="509"/>
        <v/>
      </c>
      <c r="I1670" t="str">
        <f t="shared" si="510"/>
        <v/>
      </c>
      <c r="J1670" t="str">
        <f t="shared" si="511"/>
        <v/>
      </c>
      <c r="K1670" t="str">
        <f t="shared" si="512"/>
        <v/>
      </c>
      <c r="L1670" t="str">
        <f t="shared" si="498"/>
        <v/>
      </c>
      <c r="M1670" t="str">
        <f t="shared" si="499"/>
        <v/>
      </c>
      <c r="R1670" t="str">
        <f t="shared" si="500"/>
        <v/>
      </c>
      <c r="S1670" t="str">
        <f t="shared" si="501"/>
        <v/>
      </c>
      <c r="U1670" t="str">
        <f t="shared" si="502"/>
        <v/>
      </c>
      <c r="V1670" t="str">
        <f t="shared" si="503"/>
        <v/>
      </c>
      <c r="W1670" s="5" t="str">
        <f t="shared" si="504"/>
        <v/>
      </c>
      <c r="Y1670" t="str">
        <f t="shared" si="505"/>
        <v/>
      </c>
      <c r="Z1670" t="str">
        <f t="shared" si="506"/>
        <v/>
      </c>
      <c r="AB1670" t="str">
        <f t="shared" si="507"/>
        <v>https://shop.officineitalianezard.it/contents/imgs/products/1_255-2.jpg</v>
      </c>
      <c r="AE1670" t="b">
        <v>0</v>
      </c>
    </row>
    <row r="1671" spans="1:31" x14ac:dyDescent="0.2">
      <c r="A1671" t="str">
        <f t="shared" si="494"/>
        <v>https://shop.officineitalianezard.it/en/penta-evo-inox-carbonium-mufflers/</v>
      </c>
      <c r="B1671" t="b">
        <f>COUNTIF($A$2:$A1671, A1671)&gt;1</f>
        <v>1</v>
      </c>
      <c r="C1671" t="b">
        <f t="shared" si="495"/>
        <v>1</v>
      </c>
      <c r="D1671">
        <f>VLOOKUP(A1671,variant_counts!A:B, 2, FALSE)</f>
        <v>1</v>
      </c>
      <c r="E1671" t="str">
        <f t="shared" si="508"/>
        <v>zard-exhaust-8481098r-s1198r-s-silencers-ducati-848-1098rs-1198rs-penta-evo-version-zd010ssr-e</v>
      </c>
      <c r="F1671" t="str">
        <f t="shared" si="496"/>
        <v>ZARD EXHAUST 848/1098R-S/1198R-S SILENCERS DUCATI 848-1098R/S-1198R/S PENTA EVO VERSION ZD010SSR-E</v>
      </c>
      <c r="G1671" t="str">
        <f t="shared" si="497"/>
        <v/>
      </c>
      <c r="H1671" t="str">
        <f t="shared" si="509"/>
        <v/>
      </c>
      <c r="I1671" t="str">
        <f t="shared" si="510"/>
        <v/>
      </c>
      <c r="J1671" t="str">
        <f t="shared" si="511"/>
        <v/>
      </c>
      <c r="K1671" t="str">
        <f t="shared" si="512"/>
        <v/>
      </c>
      <c r="L1671" t="str">
        <f t="shared" si="498"/>
        <v>Option</v>
      </c>
      <c r="M1671" t="str">
        <f t="shared" si="499"/>
        <v>EURO 3 HOMOLOGATED</v>
      </c>
      <c r="R1671" t="str">
        <f t="shared" si="500"/>
        <v>ZD010SSR-E</v>
      </c>
      <c r="S1671">
        <f t="shared" si="501"/>
        <v>0</v>
      </c>
      <c r="U1671" t="str">
        <f t="shared" si="502"/>
        <v>continue</v>
      </c>
      <c r="V1671" t="str">
        <f t="shared" si="503"/>
        <v>manual</v>
      </c>
      <c r="W1671" s="5">
        <f t="shared" si="504"/>
        <v>1212.9081000000001</v>
      </c>
      <c r="Y1671" t="b">
        <f t="shared" si="505"/>
        <v>1</v>
      </c>
      <c r="Z1671" t="b">
        <f t="shared" si="506"/>
        <v>0</v>
      </c>
      <c r="AB1671" t="str">
        <f t="shared" si="507"/>
        <v/>
      </c>
      <c r="AE1671" t="b">
        <v>0</v>
      </c>
    </row>
    <row r="1672" spans="1:31" x14ac:dyDescent="0.2">
      <c r="A1672" t="str">
        <f t="shared" si="494"/>
        <v>https://shop.officineitalianezard.it/en/products/index/full-kit-2-1-2-penta-evo-1098-s-848-7080-52/</v>
      </c>
      <c r="B1672" t="b">
        <f>COUNTIF($A$2:$A1672, A1672)&gt;1</f>
        <v>0</v>
      </c>
      <c r="C1672" t="b">
        <f t="shared" si="495"/>
        <v>0</v>
      </c>
      <c r="D1672">
        <f>VLOOKUP(A1672,variant_counts!A:B, 2, FALSE)</f>
        <v>0</v>
      </c>
      <c r="E1672" t="str">
        <f t="shared" si="508"/>
        <v>zard-exhaust-8481098s-full-kit-212-ducati-848-1098rs-1198rs-penta-evo-version-zd010skr</v>
      </c>
      <c r="F1672" t="str">
        <f t="shared" si="496"/>
        <v>ZARD EXHAUST 848/1098S FULL KIT 2&gt;1&gt;2 DUCATI 848-1098R/S-1198R/S PENTA EVO VERSION ZD010SKR</v>
      </c>
      <c r="G1672" t="str">
        <f t="shared" si="497"/>
        <v>&lt;p&gt;2&amp;gt;1&amp;gt;2 STEEL-CARBON FULL KIT RACING WITH REMOVABLE DB KILLER&lt;/p&gt;
&lt;p&gt;THE PENTA EVO MUFFLER HAS A PARTICULAR SHAPE, OVAL AT THE BASE THAT DYNAMICALLY EVOLVES IN A PENTAGON AT THE END.&lt;/p&gt;
&lt;p&gt;ORIGINAL FULL KIT WEIGHT: KG 8.7&lt;/p&gt;
&lt;p&gt;ZARD ALUMINIUM FULL KIT &amp;nbsp;WEIGHT: KG 6.7&lt;br&gt;ZARD CARBON FULL KIT: KG 6.3&lt;/p&gt;
&lt;p&gt;HEADERS DIAMETERS: 60 TO 63.5mm&lt;/p&gt;
&lt;p&gt;HARD INCREASE, COMPARED TO THE ORIGINAL EXHAUST SYSTEM, IN TERMS OF TORQUE AND POWER (+4 HP) AT ANY RANGE.&lt;/p&gt;
&lt;p&gt;ASTONISHING SOUND.&lt;/p&gt;</v>
      </c>
      <c r="H1672" t="str">
        <f t="shared" si="509"/>
        <v>ZARD</v>
      </c>
      <c r="I1672" t="str">
        <f t="shared" si="510"/>
        <v>Exhaust Pipe</v>
      </c>
      <c r="J1672" t="str">
        <f t="shared" si="511"/>
        <v>Test</v>
      </c>
      <c r="K1672" t="b">
        <f t="shared" si="512"/>
        <v>0</v>
      </c>
      <c r="L1672" t="str">
        <f t="shared" si="498"/>
        <v>Title</v>
      </c>
      <c r="M1672" t="str">
        <f t="shared" si="499"/>
        <v>Default Title</v>
      </c>
      <c r="R1672" t="str">
        <f t="shared" si="500"/>
        <v>ZD010SKR</v>
      </c>
      <c r="S1672">
        <f t="shared" si="501"/>
        <v>0</v>
      </c>
      <c r="U1672" t="str">
        <f t="shared" si="502"/>
        <v>continue</v>
      </c>
      <c r="V1672" t="str">
        <f t="shared" si="503"/>
        <v>manual</v>
      </c>
      <c r="W1672" s="5">
        <f t="shared" si="504"/>
        <v>2105.3592000000003</v>
      </c>
      <c r="Y1672" t="b">
        <f t="shared" si="505"/>
        <v>1</v>
      </c>
      <c r="Z1672" t="b">
        <f t="shared" si="506"/>
        <v>0</v>
      </c>
      <c r="AB1672" t="str">
        <f t="shared" si="507"/>
        <v>https://shop.officineitalianezard.it/contents/imgs/products/1_256-0.jpg</v>
      </c>
      <c r="AE1672" t="b">
        <v>0</v>
      </c>
    </row>
    <row r="1673" spans="1:31" x14ac:dyDescent="0.2">
      <c r="A1673" t="str">
        <f t="shared" si="494"/>
        <v>https://shop.officineitalianezard.it/en/products/index/full-kit-2-1-2-penta-evo-1098-s-848-7080-52/</v>
      </c>
      <c r="B1673" t="b">
        <f>COUNTIF($A$2:$A1673, A1673)&gt;1</f>
        <v>1</v>
      </c>
      <c r="C1673" t="b">
        <f t="shared" si="495"/>
        <v>0</v>
      </c>
      <c r="D1673">
        <f>VLOOKUP(A1673,variant_counts!A:B, 2, FALSE)</f>
        <v>0</v>
      </c>
      <c r="E1673" t="str">
        <f t="shared" si="508"/>
        <v>zard-exhaust-8481098s-full-kit-212-ducati-848-1098rs-1198rs-penta-evo-version-zd010skr</v>
      </c>
      <c r="F1673" t="str">
        <f t="shared" si="496"/>
        <v>ZARD EXHAUST 848/1098S FULL KIT 2&gt;1&gt;2 DUCATI 848-1098R/S-1198R/S PENTA EVO VERSION ZD010SKR</v>
      </c>
      <c r="G1673" t="str">
        <f t="shared" si="497"/>
        <v/>
      </c>
      <c r="H1673" t="str">
        <f t="shared" si="509"/>
        <v/>
      </c>
      <c r="I1673" t="str">
        <f t="shared" si="510"/>
        <v/>
      </c>
      <c r="J1673" t="str">
        <f t="shared" si="511"/>
        <v/>
      </c>
      <c r="K1673" t="str">
        <f t="shared" si="512"/>
        <v/>
      </c>
      <c r="L1673" t="str">
        <f t="shared" si="498"/>
        <v/>
      </c>
      <c r="M1673" t="str">
        <f t="shared" si="499"/>
        <v/>
      </c>
      <c r="R1673" t="str">
        <f t="shared" si="500"/>
        <v/>
      </c>
      <c r="S1673" t="str">
        <f t="shared" si="501"/>
        <v/>
      </c>
      <c r="U1673" t="str">
        <f t="shared" si="502"/>
        <v/>
      </c>
      <c r="V1673" t="str">
        <f t="shared" si="503"/>
        <v/>
      </c>
      <c r="W1673" s="5" t="str">
        <f t="shared" si="504"/>
        <v/>
      </c>
      <c r="Y1673" t="str">
        <f t="shared" si="505"/>
        <v/>
      </c>
      <c r="Z1673" t="str">
        <f t="shared" si="506"/>
        <v/>
      </c>
      <c r="AB1673" t="str">
        <f t="shared" si="507"/>
        <v>https://shop.officineitalianezard.it/contents/imgs/products/1_257-2.jpg</v>
      </c>
      <c r="AE1673" t="b">
        <v>0</v>
      </c>
    </row>
    <row r="1674" spans="1:31" x14ac:dyDescent="0.2">
      <c r="A1674" t="str">
        <f t="shared" si="494"/>
        <v>https://shop.officineitalianezard.it/en/products/index/full-kit-2-1-2-penta-evo-1098-s-848-7080-52/</v>
      </c>
      <c r="B1674" t="b">
        <f>COUNTIF($A$2:$A1674, A1674)&gt;1</f>
        <v>1</v>
      </c>
      <c r="C1674" t="b">
        <f t="shared" si="495"/>
        <v>0</v>
      </c>
      <c r="D1674">
        <f>VLOOKUP(A1674,variant_counts!A:B, 2, FALSE)</f>
        <v>0</v>
      </c>
      <c r="E1674" t="str">
        <f t="shared" si="508"/>
        <v>zard-exhaust-8481098s-full-kit-212-ducati-848-1098rs-1198rs-penta-evo-version-zd010skr</v>
      </c>
      <c r="F1674" t="str">
        <f t="shared" si="496"/>
        <v>ZARD EXHAUST 848/1098S FULL KIT 2&gt;1&gt;2 DUCATI 848-1098R/S-1198R/S PENTA EVO VERSION ZD010SKR</v>
      </c>
      <c r="G1674" t="str">
        <f t="shared" si="497"/>
        <v/>
      </c>
      <c r="H1674" t="str">
        <f t="shared" si="509"/>
        <v/>
      </c>
      <c r="I1674" t="str">
        <f t="shared" si="510"/>
        <v/>
      </c>
      <c r="J1674" t="str">
        <f t="shared" si="511"/>
        <v/>
      </c>
      <c r="K1674" t="str">
        <f t="shared" si="512"/>
        <v/>
      </c>
      <c r="L1674" t="str">
        <f t="shared" si="498"/>
        <v/>
      </c>
      <c r="M1674" t="str">
        <f t="shared" si="499"/>
        <v/>
      </c>
      <c r="R1674" t="str">
        <f t="shared" si="500"/>
        <v/>
      </c>
      <c r="S1674" t="str">
        <f t="shared" si="501"/>
        <v/>
      </c>
      <c r="U1674" t="str">
        <f t="shared" si="502"/>
        <v/>
      </c>
      <c r="V1674" t="str">
        <f t="shared" si="503"/>
        <v/>
      </c>
      <c r="W1674" s="5" t="str">
        <f t="shared" si="504"/>
        <v/>
      </c>
      <c r="Y1674" t="str">
        <f t="shared" si="505"/>
        <v/>
      </c>
      <c r="Z1674" t="str">
        <f t="shared" si="506"/>
        <v/>
      </c>
      <c r="AB1674" t="str">
        <f t="shared" si="507"/>
        <v>https://shop.officineitalianezard.it/contents/imgs/products/1_258-1.jpg</v>
      </c>
      <c r="AE1674" t="b">
        <v>0</v>
      </c>
    </row>
    <row r="1675" spans="1:31" x14ac:dyDescent="0.2">
      <c r="A1675" t="str">
        <f t="shared" si="494"/>
        <v>https://shop.officineitalianezard.it/en/full-kit-2-1-2-penta-evo-1098-r-1198-r-s/</v>
      </c>
      <c r="B1675" t="b">
        <f>COUNTIF($A$2:$A1675, A1675)&gt;1</f>
        <v>0</v>
      </c>
      <c r="C1675" t="b">
        <f t="shared" si="495"/>
        <v>0</v>
      </c>
      <c r="D1675">
        <f>VLOOKUP(A1675,variant_counts!A:B, 2, FALSE)</f>
        <v>0</v>
      </c>
      <c r="E1675" t="str">
        <f t="shared" si="508"/>
        <v>zard-exhaust-1098-r-s1198-r-s-212-full-kit-ducati-848-1098rs-1198rs-penta-evo-version-zd010srr</v>
      </c>
      <c r="F1675" t="str">
        <f t="shared" si="496"/>
        <v>ZARD EXHAUST 1098 R-S/1198 R-S 2&gt;1&gt;2 FULL KIT DUCATI 848-1098R/S-1198R/S PENTA EVO VERSION ZD010SRR</v>
      </c>
      <c r="G1675" t="str">
        <f t="shared" si="497"/>
        <v>&lt;p&gt;2&amp;gt;1&amp;gt;2 STEEL-CARBON FULL KIT RACING WITH REMOVABLE DB KILLER&lt;/p&gt;
&lt;p&gt;THE PENTA EVO MUFFLER HAS A PARTICULAR SHAPE, OVAL AT THE BASE THAT DYNAMICALLY EVOLVES IN A PENTAGON AT THE END.&lt;/p&gt;
&lt;p&gt;CARBON ENDCAPS.&lt;/p&gt;
&lt;p&gt;ORIGINAL FULL KIT WEIGHT: KG 8.7&lt;br&gt;ZARD ALUMINIUM FULL KIT WEIGHT: KG 6.7&lt;br&gt;ZARD CARBON FULL KIT: KG 6.3&lt;/p&gt;
&lt;p&gt;HEADERS DIAMETERS: 60 TO 63.5mm&lt;/p&gt;
&lt;p&gt;HARD INCREASE, COMPARED TO THE ORIGINAL EXHAUST SYSTEM, IN TERMS OF TORQUE AND POWER (+4 HP) AT ANY RANGE.&lt;/p&gt;
&lt;p&gt;ASTONISHING SOUND.&lt;/p&gt;
&lt;p&gt;POWER CURVE: &lt;a href="http://shop.officineitalianezard.it//public/contents/imgs/cms/kit_zard_1198_racing_8_cv.pdf"&gt;DOWNLOAD&lt;/a&gt;&lt;/p&gt;</v>
      </c>
      <c r="H1675" t="str">
        <f t="shared" si="509"/>
        <v>ZARD</v>
      </c>
      <c r="I1675" t="str">
        <f t="shared" si="510"/>
        <v>Exhaust Pipe</v>
      </c>
      <c r="J1675" t="str">
        <f t="shared" si="511"/>
        <v>Test</v>
      </c>
      <c r="K1675" t="b">
        <f t="shared" si="512"/>
        <v>0</v>
      </c>
      <c r="L1675" t="str">
        <f t="shared" si="498"/>
        <v>Title</v>
      </c>
      <c r="M1675" t="str">
        <f t="shared" si="499"/>
        <v>Default Title</v>
      </c>
      <c r="R1675" t="str">
        <f t="shared" si="500"/>
        <v>ZD010SRR</v>
      </c>
      <c r="S1675">
        <f t="shared" si="501"/>
        <v>0</v>
      </c>
      <c r="U1675" t="str">
        <f t="shared" si="502"/>
        <v>continue</v>
      </c>
      <c r="V1675" t="str">
        <f t="shared" si="503"/>
        <v>manual</v>
      </c>
      <c r="W1675" s="5">
        <f t="shared" si="504"/>
        <v>2220.9102000000003</v>
      </c>
      <c r="Y1675" t="b">
        <f t="shared" si="505"/>
        <v>1</v>
      </c>
      <c r="Z1675" t="b">
        <f t="shared" si="506"/>
        <v>0</v>
      </c>
      <c r="AB1675" t="str">
        <f t="shared" si="507"/>
        <v>https://shop.officineitalianezard.it/contents/imgs/products/1_259-0.jpg</v>
      </c>
      <c r="AE1675" t="b">
        <v>0</v>
      </c>
    </row>
    <row r="1676" spans="1:31" x14ac:dyDescent="0.2">
      <c r="A1676" t="str">
        <f t="shared" si="494"/>
        <v>https://shop.officineitalianezard.it/en/full-kit-2-1-2-penta-evo-1098-r-1198-r-s/</v>
      </c>
      <c r="B1676" t="b">
        <f>COUNTIF($A$2:$A1676, A1676)&gt;1</f>
        <v>1</v>
      </c>
      <c r="C1676" t="b">
        <f t="shared" si="495"/>
        <v>0</v>
      </c>
      <c r="D1676">
        <f>VLOOKUP(A1676,variant_counts!A:B, 2, FALSE)</f>
        <v>0</v>
      </c>
      <c r="E1676" t="str">
        <f t="shared" si="508"/>
        <v>zard-exhaust-1098-r-s1198-r-s-212-full-kit-ducati-848-1098rs-1198rs-penta-evo-version-zd010srr</v>
      </c>
      <c r="F1676" t="str">
        <f t="shared" si="496"/>
        <v>ZARD EXHAUST 1098 R-S/1198 R-S 2&gt;1&gt;2 FULL KIT DUCATI 848-1098R/S-1198R/S PENTA EVO VERSION ZD010SRR</v>
      </c>
      <c r="G1676" t="str">
        <f t="shared" si="497"/>
        <v/>
      </c>
      <c r="H1676" t="str">
        <f t="shared" si="509"/>
        <v/>
      </c>
      <c r="I1676" t="str">
        <f t="shared" si="510"/>
        <v/>
      </c>
      <c r="J1676" t="str">
        <f t="shared" si="511"/>
        <v/>
      </c>
      <c r="K1676" t="str">
        <f t="shared" si="512"/>
        <v/>
      </c>
      <c r="L1676" t="str">
        <f t="shared" si="498"/>
        <v/>
      </c>
      <c r="M1676" t="str">
        <f t="shared" si="499"/>
        <v/>
      </c>
      <c r="R1676" t="str">
        <f t="shared" si="500"/>
        <v/>
      </c>
      <c r="S1676" t="str">
        <f t="shared" si="501"/>
        <v/>
      </c>
      <c r="U1676" t="str">
        <f t="shared" si="502"/>
        <v/>
      </c>
      <c r="V1676" t="str">
        <f t="shared" si="503"/>
        <v/>
      </c>
      <c r="W1676" s="5" t="str">
        <f t="shared" si="504"/>
        <v/>
      </c>
      <c r="Y1676" t="str">
        <f t="shared" si="505"/>
        <v/>
      </c>
      <c r="Z1676" t="str">
        <f t="shared" si="506"/>
        <v/>
      </c>
      <c r="AB1676" t="str">
        <f t="shared" si="507"/>
        <v>https://shop.officineitalianezard.it/contents/imgs/products/1_260-2.jpg</v>
      </c>
      <c r="AE1676" t="b">
        <v>0</v>
      </c>
    </row>
    <row r="1677" spans="1:31" x14ac:dyDescent="0.2">
      <c r="A1677" t="str">
        <f t="shared" si="494"/>
        <v>https://shop.officineitalianezard.it/en/full-kit-2-1-2-penta-evo-1098-r-1198-r-s/</v>
      </c>
      <c r="B1677" t="b">
        <f>COUNTIF($A$2:$A1677, A1677)&gt;1</f>
        <v>1</v>
      </c>
      <c r="C1677" t="b">
        <f t="shared" si="495"/>
        <v>0</v>
      </c>
      <c r="D1677">
        <f>VLOOKUP(A1677,variant_counts!A:B, 2, FALSE)</f>
        <v>0</v>
      </c>
      <c r="E1677" t="str">
        <f t="shared" si="508"/>
        <v>zard-exhaust-1098-r-s1198-r-s-212-full-kit-ducati-848-1098rs-1198rs-penta-evo-version-zd010srr</v>
      </c>
      <c r="F1677" t="str">
        <f t="shared" si="496"/>
        <v>ZARD EXHAUST 1098 R-S/1198 R-S 2&gt;1&gt;2 FULL KIT DUCATI 848-1098R/S-1198R/S PENTA EVO VERSION ZD010SRR</v>
      </c>
      <c r="G1677" t="str">
        <f t="shared" si="497"/>
        <v/>
      </c>
      <c r="H1677" t="str">
        <f t="shared" si="509"/>
        <v/>
      </c>
      <c r="I1677" t="str">
        <f t="shared" si="510"/>
        <v/>
      </c>
      <c r="J1677" t="str">
        <f t="shared" si="511"/>
        <v/>
      </c>
      <c r="K1677" t="str">
        <f t="shared" si="512"/>
        <v/>
      </c>
      <c r="L1677" t="str">
        <f t="shared" si="498"/>
        <v/>
      </c>
      <c r="M1677" t="str">
        <f t="shared" si="499"/>
        <v/>
      </c>
      <c r="R1677" t="str">
        <f t="shared" si="500"/>
        <v/>
      </c>
      <c r="S1677" t="str">
        <f t="shared" si="501"/>
        <v/>
      </c>
      <c r="U1677" t="str">
        <f t="shared" si="502"/>
        <v/>
      </c>
      <c r="V1677" t="str">
        <f t="shared" si="503"/>
        <v/>
      </c>
      <c r="W1677" s="5" t="str">
        <f t="shared" si="504"/>
        <v/>
      </c>
      <c r="Y1677" t="str">
        <f t="shared" si="505"/>
        <v/>
      </c>
      <c r="Z1677" t="str">
        <f t="shared" si="506"/>
        <v/>
      </c>
      <c r="AB1677" t="str">
        <f t="shared" si="507"/>
        <v>https://shop.officineitalianezard.it/contents/imgs/products/1_261-1.jpg</v>
      </c>
      <c r="AE1677" t="b">
        <v>0</v>
      </c>
    </row>
    <row r="1678" spans="1:31" x14ac:dyDescent="0.2">
      <c r="A1678" t="str">
        <f t="shared" si="494"/>
        <v>https://shop.officineitalianezard.it/en/ducati-749-exhaust-ducati-999-exhaust-zard-2/</v>
      </c>
      <c r="B1678" t="b">
        <f>COUNTIF($A$2:$A1678, A1678)&gt;1</f>
        <v>0</v>
      </c>
      <c r="C1678" t="b">
        <f t="shared" si="495"/>
        <v>0</v>
      </c>
      <c r="D1678">
        <f>VLOOKUP(A1678,variant_counts!A:B, 2, FALSE)</f>
        <v>0</v>
      </c>
      <c r="E1678" t="str">
        <f t="shared" si="508"/>
        <v>zard-exhaust-full-kit-212-ducati-749999-single-seat-underseat-version-zd013smr-11</v>
      </c>
      <c r="F1678" t="str">
        <f t="shared" si="496"/>
        <v>ZARD EXHAUST FULL KIT 2&gt;1&gt;2 DUCATI 749/999 SINGLE-SEAT UNDERSEAT VERSION ZD013SMR-11</v>
      </c>
      <c r="G1678" t="str">
        <f t="shared" si="497"/>
        <v>&lt;p&gt;2&amp;gt;1&amp;gt;2 STEEL RACING FULL KIT&lt;/p&gt;
&lt;p&gt;THE KIT INCLUDES THE CARBON HEAT SHIELD FOR MUFFLER&lt;/p&gt;
&lt;p&gt;SUITABLE FOR SINGLE-SIT VERSION:749 R 03-04, 999 MY 03-06, 999 S MY 04-06, 999 R MY 03-06&amp;nbsp;&lt;/p&gt;
&lt;p&gt;ZARD MUFFLER WEIGHT: KG 4.5&lt;/p&gt;
&lt;p&gt;ZARD MANIFOLD WEIGHT: KG 3.5&lt;/p&gt;
&lt;p&gt;HEADERS PIPES Ø 50mm&lt;br&gt;PIPES Ø 54-63.5mm&lt;br&gt;SILENCERS Ø 60mm&lt;/p&gt;
&lt;p&gt;HARD INCREASE, COMPARED TO THE ORIGINAL EXHAUST SYSTEM, IN TERMS OF TORQUE AND POWER (+6 HP ON 749 AND +9 HP ON 999) AT ANY RANGE.&lt;/p&gt;
&lt;p&gt;ASTONISHING SOUND.&lt;/p&gt;</v>
      </c>
      <c r="H1678" t="str">
        <f t="shared" si="509"/>
        <v>ZARD</v>
      </c>
      <c r="I1678" t="str">
        <f t="shared" si="510"/>
        <v>Exhaust Pipe</v>
      </c>
      <c r="J1678" t="str">
        <f t="shared" si="511"/>
        <v>Test</v>
      </c>
      <c r="K1678" t="b">
        <f t="shared" si="512"/>
        <v>0</v>
      </c>
      <c r="L1678" t="str">
        <f t="shared" si="498"/>
        <v>Title</v>
      </c>
      <c r="M1678" t="str">
        <f t="shared" si="499"/>
        <v>Default Title</v>
      </c>
      <c r="R1678" t="str">
        <f t="shared" si="500"/>
        <v>ZD013SMR-11</v>
      </c>
      <c r="S1678">
        <f t="shared" si="501"/>
        <v>0</v>
      </c>
      <c r="U1678" t="str">
        <f t="shared" si="502"/>
        <v>continue</v>
      </c>
      <c r="V1678" t="str">
        <f t="shared" si="503"/>
        <v>manual</v>
      </c>
      <c r="W1678" s="5">
        <f t="shared" si="504"/>
        <v>1725.9612000000002</v>
      </c>
      <c r="Y1678" t="b">
        <f t="shared" si="505"/>
        <v>1</v>
      </c>
      <c r="Z1678" t="b">
        <f t="shared" si="506"/>
        <v>0</v>
      </c>
      <c r="AB1678" t="str">
        <f t="shared" si="507"/>
        <v>https://shop.officineitalianezard.it/contents/imgs/products/1_245-ducati999mono.jpg</v>
      </c>
      <c r="AE1678" t="b">
        <v>0</v>
      </c>
    </row>
    <row r="1679" spans="1:31" x14ac:dyDescent="0.2">
      <c r="A1679" t="str">
        <f t="shared" si="494"/>
        <v>https://shop.officineitalianezard.it/en/ducati-749-exhaust-ducati-999-exhaust-zard-2/</v>
      </c>
      <c r="B1679" t="b">
        <f>COUNTIF($A$2:$A1679, A1679)&gt;1</f>
        <v>1</v>
      </c>
      <c r="C1679" t="b">
        <f t="shared" si="495"/>
        <v>0</v>
      </c>
      <c r="D1679">
        <f>VLOOKUP(A1679,variant_counts!A:B, 2, FALSE)</f>
        <v>0</v>
      </c>
      <c r="E1679" t="str">
        <f t="shared" si="508"/>
        <v>zard-exhaust-full-kit-212-ducati-749999-single-seat-underseat-version-zd013smr-11</v>
      </c>
      <c r="F1679" t="str">
        <f t="shared" si="496"/>
        <v>ZARD EXHAUST FULL KIT 2&gt;1&gt;2 DUCATI 749/999 SINGLE-SEAT UNDERSEAT VERSION ZD013SMR-11</v>
      </c>
      <c r="G1679" t="str">
        <f t="shared" si="497"/>
        <v/>
      </c>
      <c r="H1679" t="str">
        <f t="shared" si="509"/>
        <v/>
      </c>
      <c r="I1679" t="str">
        <f t="shared" si="510"/>
        <v/>
      </c>
      <c r="J1679" t="str">
        <f t="shared" si="511"/>
        <v/>
      </c>
      <c r="K1679" t="str">
        <f t="shared" si="512"/>
        <v/>
      </c>
      <c r="L1679" t="str">
        <f t="shared" si="498"/>
        <v/>
      </c>
      <c r="M1679" t="str">
        <f t="shared" si="499"/>
        <v/>
      </c>
      <c r="R1679" t="str">
        <f t="shared" si="500"/>
        <v/>
      </c>
      <c r="S1679" t="str">
        <f t="shared" si="501"/>
        <v/>
      </c>
      <c r="U1679" t="str">
        <f t="shared" si="502"/>
        <v/>
      </c>
      <c r="V1679" t="str">
        <f t="shared" si="503"/>
        <v/>
      </c>
      <c r="W1679" s="5" t="str">
        <f t="shared" si="504"/>
        <v/>
      </c>
      <c r="Y1679" t="str">
        <f t="shared" si="505"/>
        <v/>
      </c>
      <c r="Z1679" t="str">
        <f t="shared" si="506"/>
        <v/>
      </c>
      <c r="AB1679" t="str">
        <f t="shared" si="507"/>
        <v>https://shop.officineitalianezard.it/contents/imgs/products/1_533-SCARICO%20DUCATI%20ZARD%20SCARICHI%20MOTO.jpg</v>
      </c>
      <c r="AE1679" t="b">
        <v>0</v>
      </c>
    </row>
    <row r="1680" spans="1:31" x14ac:dyDescent="0.2">
      <c r="A1680" t="str">
        <f t="shared" si="494"/>
        <v>https://shop.officineitalianezard.it/en/ducati-749-exhaust-ducati-999-exhaust-zard/</v>
      </c>
      <c r="B1680" t="b">
        <f>COUNTIF($A$2:$A1680, A1680)&gt;1</f>
        <v>0</v>
      </c>
      <c r="C1680" t="b">
        <f t="shared" si="495"/>
        <v>0</v>
      </c>
      <c r="D1680">
        <f>VLOOKUP(A1680,variant_counts!A:B, 2, FALSE)</f>
        <v>0</v>
      </c>
      <c r="E1680" t="str">
        <f t="shared" si="508"/>
        <v>zard-exhaust-full-kit-212-ducati-749999-double-seat-underseat-version-zd013sbr-11</v>
      </c>
      <c r="F1680" t="str">
        <f t="shared" si="496"/>
        <v>ZARD EXHAUST FULL KIT 2&gt;1&gt;2 DUCATI 749/999 DOUBLE-SEAT UNDERSEAT VERSION ZD013SBR-11</v>
      </c>
      <c r="G1680" t="str">
        <f t="shared" si="497"/>
        <v>&lt;p&gt;2&amp;gt;1&amp;gt;2 &amp;nbsp;STEEL RACING FULL KIT&amp;nbsp;&lt;/p&gt;
&lt;p&gt;ZARD MUFFLER WEIGHT: KG 4.5&lt;br&gt;ZARD MANIFOLD WEIGHT: KG 3.5&lt;/p&gt;
&lt;p&gt;HEADERS PIPES Ø 50mm&lt;br&gt;PIPES Ø 54-63.5mm&lt;br&gt;SILENCERS Ø 60mm&lt;/p&gt;
&lt;p&gt;SUITABLE FOR DOUBLE-SIT VERSION: 749 MY 03-05, 749S 03-05, 999 MY 05-06, 999S MY 04-06&lt;/p&gt;
&lt;p&gt;HARD INCREASE, COMPARED TO THE ORIGINAL EXHAUST SYSTEM, IN TERMS OF TORQUE AND POWER (+6 HP ON 749 AND +9 HP ON 999) AT ANY RANGE.&lt;/p&gt;
&lt;p&gt;ASTONISHING SOUND.&lt;/p&gt;</v>
      </c>
      <c r="H1680" t="str">
        <f t="shared" si="509"/>
        <v>ZARD</v>
      </c>
      <c r="I1680" t="str">
        <f t="shared" si="510"/>
        <v>Exhaust Pipe</v>
      </c>
      <c r="J1680" t="str">
        <f t="shared" si="511"/>
        <v>Test</v>
      </c>
      <c r="K1680" t="b">
        <f t="shared" si="512"/>
        <v>0</v>
      </c>
      <c r="L1680" t="str">
        <f t="shared" si="498"/>
        <v>Title</v>
      </c>
      <c r="M1680" t="str">
        <f t="shared" si="499"/>
        <v>Default Title</v>
      </c>
      <c r="R1680" t="str">
        <f t="shared" si="500"/>
        <v>ZD013SBR-11</v>
      </c>
      <c r="S1680">
        <f t="shared" si="501"/>
        <v>0</v>
      </c>
      <c r="U1680" t="str">
        <f t="shared" si="502"/>
        <v>continue</v>
      </c>
      <c r="V1680" t="str">
        <f t="shared" si="503"/>
        <v>manual</v>
      </c>
      <c r="W1680" s="5">
        <f t="shared" si="504"/>
        <v>1587.6663000000001</v>
      </c>
      <c r="Y1680" t="b">
        <f t="shared" si="505"/>
        <v>1</v>
      </c>
      <c r="Z1680" t="b">
        <f t="shared" si="506"/>
        <v>0</v>
      </c>
      <c r="AB1680" t="str">
        <f t="shared" si="507"/>
        <v>https://shop.officineitalianezard.it/contents/imgs/products/1_535-SCARICO%20DUCATI%20ZARD%20SCARICHI%20MOTO.jpg</v>
      </c>
      <c r="AE1680" t="b">
        <v>0</v>
      </c>
    </row>
    <row r="1681" spans="1:31" x14ac:dyDescent="0.2">
      <c r="A1681" t="str">
        <f t="shared" si="494"/>
        <v>https://shop.officineitalianezard.it/en/ducati-749-exhaust-ducati-999-exhaust-zard/</v>
      </c>
      <c r="B1681" t="b">
        <f>COUNTIF($A$2:$A1681, A1681)&gt;1</f>
        <v>1</v>
      </c>
      <c r="C1681" t="b">
        <f t="shared" si="495"/>
        <v>0</v>
      </c>
      <c r="D1681">
        <f>VLOOKUP(A1681,variant_counts!A:B, 2, FALSE)</f>
        <v>0</v>
      </c>
      <c r="E1681" t="str">
        <f t="shared" si="508"/>
        <v>zard-exhaust-full-kit-212-ducati-749999-double-seat-underseat-version-zd013sbr-11</v>
      </c>
      <c r="F1681" t="str">
        <f t="shared" si="496"/>
        <v>ZARD EXHAUST FULL KIT 2&gt;1&gt;2 DUCATI 749/999 DOUBLE-SEAT UNDERSEAT VERSION ZD013SBR-11</v>
      </c>
      <c r="G1681" t="str">
        <f t="shared" si="497"/>
        <v/>
      </c>
      <c r="H1681" t="str">
        <f t="shared" si="509"/>
        <v/>
      </c>
      <c r="I1681" t="str">
        <f t="shared" si="510"/>
        <v/>
      </c>
      <c r="J1681" t="str">
        <f t="shared" si="511"/>
        <v/>
      </c>
      <c r="K1681" t="str">
        <f t="shared" si="512"/>
        <v/>
      </c>
      <c r="L1681" t="str">
        <f t="shared" si="498"/>
        <v/>
      </c>
      <c r="M1681" t="str">
        <f t="shared" si="499"/>
        <v/>
      </c>
      <c r="R1681" t="str">
        <f t="shared" si="500"/>
        <v/>
      </c>
      <c r="S1681" t="str">
        <f t="shared" si="501"/>
        <v/>
      </c>
      <c r="U1681" t="str">
        <f t="shared" si="502"/>
        <v/>
      </c>
      <c r="V1681" t="str">
        <f t="shared" si="503"/>
        <v/>
      </c>
      <c r="W1681" s="5" t="str">
        <f t="shared" si="504"/>
        <v/>
      </c>
      <c r="Y1681" t="str">
        <f t="shared" si="505"/>
        <v/>
      </c>
      <c r="Z1681" t="str">
        <f t="shared" si="506"/>
        <v/>
      </c>
      <c r="AB1681" t="str">
        <f t="shared" si="507"/>
        <v>https://shop.officineitalianezard.it/contents/imgs/products/1_536-SCARICO%20DUCATI%20ZARD%20SCARICHI%20MOTO.jpg</v>
      </c>
      <c r="AE1681" t="b">
        <v>0</v>
      </c>
    </row>
    <row r="1682" spans="1:31" x14ac:dyDescent="0.2">
      <c r="A1682" t="str">
        <f t="shared" si="494"/>
        <v>https://shop.officineitalianezard.it/en/ducati-749-exhaust-ducati-999-exhaust-zard/</v>
      </c>
      <c r="B1682" t="b">
        <f>COUNTIF($A$2:$A1682, A1682)&gt;1</f>
        <v>1</v>
      </c>
      <c r="C1682" t="b">
        <f t="shared" si="495"/>
        <v>0</v>
      </c>
      <c r="D1682">
        <f>VLOOKUP(A1682,variant_counts!A:B, 2, FALSE)</f>
        <v>0</v>
      </c>
      <c r="E1682" t="str">
        <f t="shared" si="508"/>
        <v>zard-exhaust-full-kit-212-ducati-749999-double-seat-underseat-version-zd013sbr-11</v>
      </c>
      <c r="F1682" t="str">
        <f t="shared" si="496"/>
        <v>ZARD EXHAUST FULL KIT 2&gt;1&gt;2 DUCATI 749/999 DOUBLE-SEAT UNDERSEAT VERSION ZD013SBR-11</v>
      </c>
      <c r="G1682" t="str">
        <f t="shared" si="497"/>
        <v/>
      </c>
      <c r="H1682" t="str">
        <f t="shared" si="509"/>
        <v/>
      </c>
      <c r="I1682" t="str">
        <f t="shared" si="510"/>
        <v/>
      </c>
      <c r="J1682" t="str">
        <f t="shared" si="511"/>
        <v/>
      </c>
      <c r="K1682" t="str">
        <f t="shared" si="512"/>
        <v/>
      </c>
      <c r="L1682" t="str">
        <f t="shared" si="498"/>
        <v/>
      </c>
      <c r="M1682" t="str">
        <f t="shared" si="499"/>
        <v/>
      </c>
      <c r="R1682" t="str">
        <f t="shared" si="500"/>
        <v/>
      </c>
      <c r="S1682" t="str">
        <f t="shared" si="501"/>
        <v/>
      </c>
      <c r="U1682" t="str">
        <f t="shared" si="502"/>
        <v/>
      </c>
      <c r="V1682" t="str">
        <f t="shared" si="503"/>
        <v/>
      </c>
      <c r="W1682" s="5" t="str">
        <f t="shared" si="504"/>
        <v/>
      </c>
      <c r="Y1682" t="str">
        <f t="shared" si="505"/>
        <v/>
      </c>
      <c r="Z1682" t="str">
        <f t="shared" si="506"/>
        <v/>
      </c>
      <c r="AB1682" t="str">
        <f t="shared" si="507"/>
        <v>https://shop.officineitalianezard.it/contents/imgs/products/1_537-SCARICO%20DUCATI%20ZARD%20SCARICHI%20MOTO.jpg</v>
      </c>
      <c r="AE1682" t="b">
        <v>0</v>
      </c>
    </row>
    <row r="1683" spans="1:31" x14ac:dyDescent="0.2">
      <c r="A1683" t="str">
        <f t="shared" si="494"/>
        <v>https://shop.officineitalianezard.it/en/products/index/can-am-spider-zard-exhaust-7574-153/</v>
      </c>
      <c r="B1683" t="b">
        <f>COUNTIF($A$2:$A1683, A1683)&gt;1</f>
        <v>0</v>
      </c>
      <c r="C1683" t="b">
        <f t="shared" si="495"/>
        <v>0</v>
      </c>
      <c r="D1683">
        <f>VLOOKUP(A1683,variant_counts!A:B, 2, FALSE)</f>
        <v>2</v>
      </c>
      <c r="E1683" t="str">
        <f t="shared" si="508"/>
        <v>zard-exhaust-silencer-can-am-spider-conical-version-zcan380ssr</v>
      </c>
      <c r="F1683" t="str">
        <f t="shared" si="496"/>
        <v>ZARD EXHAUST SILENCER CAN-AM SPIDER CONICAL VERSION ZCAN380SSR</v>
      </c>
      <c r="G1683" t="str">
        <f t="shared" si="497"/>
        <v>&lt;p&gt;STEEL RACING SILENCER WITH REMOVABLE DB KILLER&lt;/p&gt;
&lt;p&gt;ONE MORE DB KILLER ADDED (SUPERIOR DIAMETER)&lt;/p&gt;
&lt;p&gt;HARD INCREASE, COMPARED TO THE ORIGINAL EXHAUST SYSTEM, IN TERMS OF TORQUE AND POWER AT ANY RANGE.&lt;/p&gt;
&lt;p&gt;ASTONISHING SOUND.&lt;/p&gt;</v>
      </c>
      <c r="H1683" t="str">
        <f t="shared" si="509"/>
        <v>ZARD</v>
      </c>
      <c r="I1683" t="str">
        <f t="shared" si="510"/>
        <v>Exhaust Pipe</v>
      </c>
      <c r="J1683" t="str">
        <f t="shared" si="511"/>
        <v>Test</v>
      </c>
      <c r="K1683" t="b">
        <f t="shared" si="512"/>
        <v>0</v>
      </c>
      <c r="L1683" t="str">
        <f t="shared" si="498"/>
        <v/>
      </c>
      <c r="M1683" t="str">
        <f t="shared" si="499"/>
        <v/>
      </c>
      <c r="R1683" t="str">
        <f t="shared" si="500"/>
        <v/>
      </c>
      <c r="S1683" t="str">
        <f t="shared" si="501"/>
        <v/>
      </c>
      <c r="U1683" t="str">
        <f t="shared" si="502"/>
        <v/>
      </c>
      <c r="V1683" t="str">
        <f t="shared" si="503"/>
        <v/>
      </c>
      <c r="W1683" s="5" t="str">
        <f t="shared" si="504"/>
        <v/>
      </c>
      <c r="Y1683" t="str">
        <f t="shared" si="505"/>
        <v/>
      </c>
      <c r="Z1683" t="str">
        <f t="shared" si="506"/>
        <v/>
      </c>
      <c r="AB1683" t="str">
        <f t="shared" si="507"/>
        <v>https://shop.officineitalianezard.it/contents/imgs/products/1_1038-scarico%20can-am%20zard.jpg</v>
      </c>
      <c r="AE1683" t="b">
        <v>0</v>
      </c>
    </row>
    <row r="1684" spans="1:31" x14ac:dyDescent="0.2">
      <c r="A1684" t="str">
        <f t="shared" si="494"/>
        <v>https://shop.officineitalianezard.it/en/products/index/can-am-spider-zard-exhaust-7574-153/</v>
      </c>
      <c r="B1684" t="b">
        <f>COUNTIF($A$2:$A1684, A1684)&gt;1</f>
        <v>1</v>
      </c>
      <c r="C1684" t="b">
        <f t="shared" si="495"/>
        <v>0</v>
      </c>
      <c r="D1684">
        <f>VLOOKUP(A1684,variant_counts!A:B, 2, FALSE)</f>
        <v>2</v>
      </c>
      <c r="E1684" t="str">
        <f t="shared" si="508"/>
        <v>zard-exhaust-silencer-can-am-spider-conical-version-zcan380ssr</v>
      </c>
      <c r="F1684" t="str">
        <f t="shared" si="496"/>
        <v>ZARD EXHAUST SILENCER CAN-AM SPIDER CONICAL VERSION ZCAN380SSR</v>
      </c>
      <c r="G1684" t="str">
        <f t="shared" si="497"/>
        <v/>
      </c>
      <c r="H1684" t="str">
        <f t="shared" si="509"/>
        <v/>
      </c>
      <c r="I1684" t="str">
        <f t="shared" si="510"/>
        <v/>
      </c>
      <c r="J1684" t="str">
        <f t="shared" si="511"/>
        <v/>
      </c>
      <c r="K1684" t="str">
        <f t="shared" si="512"/>
        <v/>
      </c>
      <c r="L1684" t="str">
        <f t="shared" si="498"/>
        <v/>
      </c>
      <c r="M1684" t="str">
        <f t="shared" si="499"/>
        <v/>
      </c>
      <c r="R1684" t="str">
        <f t="shared" si="500"/>
        <v/>
      </c>
      <c r="S1684" t="str">
        <f t="shared" si="501"/>
        <v/>
      </c>
      <c r="U1684" t="str">
        <f t="shared" si="502"/>
        <v/>
      </c>
      <c r="V1684" t="str">
        <f t="shared" si="503"/>
        <v/>
      </c>
      <c r="W1684" s="5" t="str">
        <f t="shared" si="504"/>
        <v/>
      </c>
      <c r="Y1684" t="str">
        <f t="shared" si="505"/>
        <v/>
      </c>
      <c r="Z1684" t="str">
        <f t="shared" si="506"/>
        <v/>
      </c>
      <c r="AB1684" t="str">
        <f t="shared" si="507"/>
        <v>https://shop.officineitalianezard.it/contents/imgs/products/1_1037-scarico%20can-am%20zard%202.jpg</v>
      </c>
      <c r="AE1684" t="b">
        <v>0</v>
      </c>
    </row>
    <row r="1685" spans="1:31" x14ac:dyDescent="0.2">
      <c r="A1685" t="str">
        <f t="shared" si="494"/>
        <v>https://shop.officineitalianezard.it/en/products/index/can-am-spider-zard-exhaust-7574-153/</v>
      </c>
      <c r="B1685" t="b">
        <f>COUNTIF($A$2:$A1685, A1685)&gt;1</f>
        <v>1</v>
      </c>
      <c r="C1685" t="b">
        <f t="shared" si="495"/>
        <v>1</v>
      </c>
      <c r="D1685">
        <f>VLOOKUP(A1685,variant_counts!A:B, 2, FALSE)</f>
        <v>2</v>
      </c>
      <c r="E1685" t="str">
        <f t="shared" si="508"/>
        <v>zard-exhaust-silencer-can-am-spider-conical-version-zcan380ssr</v>
      </c>
      <c r="F1685" t="str">
        <f t="shared" si="496"/>
        <v>ZARD EXHAUST SILENCER CAN-AM SPIDER CONICAL VERSION ZCAN380SSR</v>
      </c>
      <c r="G1685" t="str">
        <f t="shared" si="497"/>
        <v/>
      </c>
      <c r="H1685" t="str">
        <f t="shared" si="509"/>
        <v/>
      </c>
      <c r="I1685" t="str">
        <f t="shared" si="510"/>
        <v/>
      </c>
      <c r="J1685" t="str">
        <f t="shared" si="511"/>
        <v/>
      </c>
      <c r="K1685" t="str">
        <f t="shared" si="512"/>
        <v/>
      </c>
      <c r="L1685" t="str">
        <f t="shared" si="498"/>
        <v>Option</v>
      </c>
      <c r="M1685" t="str">
        <f t="shared" si="499"/>
        <v>BLACK CERAMIC COATING</v>
      </c>
      <c r="R1685" t="str">
        <f t="shared" si="500"/>
        <v>ZCAN380SSR</v>
      </c>
      <c r="S1685">
        <f t="shared" si="501"/>
        <v>0</v>
      </c>
      <c r="U1685" t="str">
        <f t="shared" si="502"/>
        <v>continue</v>
      </c>
      <c r="V1685" t="str">
        <f t="shared" si="503"/>
        <v>manual</v>
      </c>
      <c r="W1685" s="5">
        <f t="shared" si="504"/>
        <v>817.4928000000001</v>
      </c>
      <c r="Y1685" t="b">
        <f t="shared" si="505"/>
        <v>1</v>
      </c>
      <c r="Z1685" t="b">
        <f t="shared" si="506"/>
        <v>0</v>
      </c>
      <c r="AB1685" t="str">
        <f t="shared" si="507"/>
        <v/>
      </c>
      <c r="AE1685" t="b">
        <v>0</v>
      </c>
    </row>
    <row r="1686" spans="1:31" x14ac:dyDescent="0.2">
      <c r="A1686" t="str">
        <f t="shared" si="494"/>
        <v>https://shop.officineitalianezard.it/en/products/index/can-am-spider-zard-exhaust-7574-153/</v>
      </c>
      <c r="B1686" t="b">
        <f>COUNTIF($A$2:$A1686, A1686)&gt;1</f>
        <v>1</v>
      </c>
      <c r="C1686" t="b">
        <f t="shared" si="495"/>
        <v>1</v>
      </c>
      <c r="D1686">
        <f>VLOOKUP(A1686,variant_counts!A:B, 2, FALSE)</f>
        <v>2</v>
      </c>
      <c r="E1686" t="str">
        <f t="shared" si="508"/>
        <v>zard-exhaust-silencer-can-am-spider-conical-version-zcan380ssr</v>
      </c>
      <c r="F1686" t="str">
        <f t="shared" si="496"/>
        <v>ZARD EXHAUST SILENCER CAN-AM SPIDER CONICAL VERSION ZCAN380SSR</v>
      </c>
      <c r="G1686" t="str">
        <f t="shared" si="497"/>
        <v/>
      </c>
      <c r="H1686" t="str">
        <f t="shared" si="509"/>
        <v/>
      </c>
      <c r="I1686" t="str">
        <f t="shared" si="510"/>
        <v/>
      </c>
      <c r="J1686" t="str">
        <f t="shared" si="511"/>
        <v/>
      </c>
      <c r="K1686" t="str">
        <f t="shared" si="512"/>
        <v/>
      </c>
      <c r="L1686" t="str">
        <f t="shared" si="498"/>
        <v>Option</v>
      </c>
      <c r="M1686" t="str">
        <f t="shared" si="499"/>
        <v>MIRROR POLISHED</v>
      </c>
      <c r="R1686" t="str">
        <f t="shared" si="500"/>
        <v>ZCAN380SSR</v>
      </c>
      <c r="S1686">
        <f t="shared" si="501"/>
        <v>0</v>
      </c>
      <c r="U1686" t="str">
        <f t="shared" si="502"/>
        <v>continue</v>
      </c>
      <c r="V1686" t="str">
        <f t="shared" si="503"/>
        <v>manual</v>
      </c>
      <c r="W1686" s="5">
        <f t="shared" si="504"/>
        <v>804.39480000000003</v>
      </c>
      <c r="Y1686" t="b">
        <f t="shared" si="505"/>
        <v>1</v>
      </c>
      <c r="Z1686" t="b">
        <f t="shared" si="506"/>
        <v>0</v>
      </c>
      <c r="AB1686" t="str">
        <f t="shared" si="507"/>
        <v/>
      </c>
      <c r="AE1686" t="b">
        <v>0</v>
      </c>
    </row>
    <row r="1687" spans="1:31" x14ac:dyDescent="0.2">
      <c r="A1687" t="str">
        <f t="shared" si="494"/>
        <v>https://shop.officineitalianezard.it/en/zard-silencer-bmw/</v>
      </c>
      <c r="B1687" t="b">
        <f>COUNTIF($A$2:$A1687, A1687)&gt;1</f>
        <v>0</v>
      </c>
      <c r="C1687" t="b">
        <f t="shared" si="495"/>
        <v>0</v>
      </c>
      <c r="D1687">
        <f>VLOOKUP(A1687,variant_counts!A:B, 2, FALSE)</f>
        <v>0</v>
      </c>
      <c r="E1687" t="str">
        <f t="shared" si="508"/>
        <v>zard-exhaust-silencer-bmw-r-1200-s-under-seat-version-zbmw082sso-s</v>
      </c>
      <c r="F1687" t="str">
        <f t="shared" si="496"/>
        <v>ZARD EXHAUST SILENCER BMW R 1200 S UNDER-SEAT VERSION ZBMW082SSO-S</v>
      </c>
      <c r="G1687" t="str">
        <f t="shared" si="497"/>
        <v>&lt;p&gt;STEEL SILENCER HOMOLOGATED&lt;/p&gt;
&lt;p&gt;ORIGINAL SILENCER WEIGHT: KG 6&lt;br&gt;ZARD SILENCER WEIGHT: KG 5.3&lt;/p&gt;
&lt;p&gt;HARD INCREASE, COMPARED TO THE ORIGINAL EXHAUST SYSTEM, IN TERMS OF TORQUE AND POWER AT ANY RANGE&lt;/p&gt;
&lt;p&gt;ASTONISHING SOUND&lt;/p&gt;</v>
      </c>
      <c r="H1687" t="str">
        <f t="shared" si="509"/>
        <v>ZARD</v>
      </c>
      <c r="I1687" t="str">
        <f t="shared" si="510"/>
        <v>Exhaust Pipe</v>
      </c>
      <c r="J1687" t="str">
        <f t="shared" si="511"/>
        <v>Test</v>
      </c>
      <c r="K1687" t="b">
        <f t="shared" si="512"/>
        <v>0</v>
      </c>
      <c r="L1687" t="str">
        <f t="shared" si="498"/>
        <v>Title</v>
      </c>
      <c r="M1687" t="str">
        <f t="shared" si="499"/>
        <v>Default Title</v>
      </c>
      <c r="R1687" t="str">
        <f t="shared" si="500"/>
        <v>ZBMW082SSO-S</v>
      </c>
      <c r="S1687">
        <f t="shared" si="501"/>
        <v>0</v>
      </c>
      <c r="U1687" t="str">
        <f t="shared" si="502"/>
        <v>continue</v>
      </c>
      <c r="V1687" t="str">
        <f t="shared" si="503"/>
        <v>manual</v>
      </c>
      <c r="W1687" s="5">
        <f t="shared" si="504"/>
        <v>684.19290000000001</v>
      </c>
      <c r="Y1687" t="b">
        <f t="shared" si="505"/>
        <v>1</v>
      </c>
      <c r="Z1687" t="b">
        <f t="shared" si="506"/>
        <v>0</v>
      </c>
      <c r="AB1687" t="str">
        <f t="shared" si="507"/>
        <v>https://shop.officineitalianezard.it/contents/imgs/products/1_808-S8000005.JPG</v>
      </c>
      <c r="AE1687" t="b">
        <v>0</v>
      </c>
    </row>
    <row r="1688" spans="1:31" x14ac:dyDescent="0.2">
      <c r="A1688" t="str">
        <f t="shared" si="494"/>
        <v>https://shop.officineitalianezard.it/en/zard-silencer-bmw/</v>
      </c>
      <c r="B1688" t="b">
        <f>COUNTIF($A$2:$A1688, A1688)&gt;1</f>
        <v>1</v>
      </c>
      <c r="C1688" t="b">
        <f t="shared" si="495"/>
        <v>0</v>
      </c>
      <c r="D1688">
        <f>VLOOKUP(A1688,variant_counts!A:B, 2, FALSE)</f>
        <v>0</v>
      </c>
      <c r="E1688" t="str">
        <f t="shared" si="508"/>
        <v>zard-exhaust-silencer-bmw-r-1200-s-under-seat-version-zbmw082sso-s</v>
      </c>
      <c r="F1688" t="str">
        <f t="shared" si="496"/>
        <v>ZARD EXHAUST SILENCER BMW R 1200 S UNDER-SEAT VERSION ZBMW082SSO-S</v>
      </c>
      <c r="G1688" t="str">
        <f t="shared" si="497"/>
        <v/>
      </c>
      <c r="H1688" t="str">
        <f t="shared" si="509"/>
        <v/>
      </c>
      <c r="I1688" t="str">
        <f t="shared" si="510"/>
        <v/>
      </c>
      <c r="J1688" t="str">
        <f t="shared" si="511"/>
        <v/>
      </c>
      <c r="K1688" t="str">
        <f t="shared" si="512"/>
        <v/>
      </c>
      <c r="L1688" t="str">
        <f t="shared" si="498"/>
        <v/>
      </c>
      <c r="M1688" t="str">
        <f t="shared" si="499"/>
        <v/>
      </c>
      <c r="R1688" t="str">
        <f t="shared" si="500"/>
        <v/>
      </c>
      <c r="S1688" t="str">
        <f t="shared" si="501"/>
        <v/>
      </c>
      <c r="U1688" t="str">
        <f t="shared" si="502"/>
        <v/>
      </c>
      <c r="V1688" t="str">
        <f t="shared" si="503"/>
        <v/>
      </c>
      <c r="W1688" s="5" t="str">
        <f t="shared" si="504"/>
        <v/>
      </c>
      <c r="Y1688" t="str">
        <f t="shared" si="505"/>
        <v/>
      </c>
      <c r="Z1688" t="str">
        <f t="shared" si="506"/>
        <v/>
      </c>
      <c r="AB1688" t="str">
        <f t="shared" si="507"/>
        <v>https://shop.officineitalianezard.it/contents/imgs/products/1_787-scarichi%20moto%20zard%20bmw%201.jpg</v>
      </c>
      <c r="AE1688" t="b">
        <v>0</v>
      </c>
    </row>
    <row r="1689" spans="1:31" x14ac:dyDescent="0.2">
      <c r="A1689" t="str">
        <f t="shared" si="494"/>
        <v>https://shop.officineitalianezard.it/en/zard-silencer-bmw/</v>
      </c>
      <c r="B1689" t="b">
        <f>COUNTIF($A$2:$A1689, A1689)&gt;1</f>
        <v>1</v>
      </c>
      <c r="C1689" t="b">
        <f t="shared" si="495"/>
        <v>0</v>
      </c>
      <c r="D1689">
        <f>VLOOKUP(A1689,variant_counts!A:B, 2, FALSE)</f>
        <v>0</v>
      </c>
      <c r="E1689" t="str">
        <f t="shared" si="508"/>
        <v>zard-exhaust-silencer-bmw-r-1200-s-under-seat-version-zbmw082sso-s</v>
      </c>
      <c r="F1689" t="str">
        <f t="shared" si="496"/>
        <v>ZARD EXHAUST SILENCER BMW R 1200 S UNDER-SEAT VERSION ZBMW082SSO-S</v>
      </c>
      <c r="G1689" t="str">
        <f t="shared" si="497"/>
        <v/>
      </c>
      <c r="H1689" t="str">
        <f t="shared" si="509"/>
        <v/>
      </c>
      <c r="I1689" t="str">
        <f t="shared" si="510"/>
        <v/>
      </c>
      <c r="J1689" t="str">
        <f t="shared" si="511"/>
        <v/>
      </c>
      <c r="K1689" t="str">
        <f t="shared" si="512"/>
        <v/>
      </c>
      <c r="L1689" t="str">
        <f t="shared" si="498"/>
        <v/>
      </c>
      <c r="M1689" t="str">
        <f t="shared" si="499"/>
        <v/>
      </c>
      <c r="R1689" t="str">
        <f t="shared" si="500"/>
        <v/>
      </c>
      <c r="S1689" t="str">
        <f t="shared" si="501"/>
        <v/>
      </c>
      <c r="U1689" t="str">
        <f t="shared" si="502"/>
        <v/>
      </c>
      <c r="V1689" t="str">
        <f t="shared" si="503"/>
        <v/>
      </c>
      <c r="W1689" s="5" t="str">
        <f t="shared" si="504"/>
        <v/>
      </c>
      <c r="Y1689" t="str">
        <f t="shared" si="505"/>
        <v/>
      </c>
      <c r="Z1689" t="str">
        <f t="shared" si="506"/>
        <v/>
      </c>
      <c r="AB1689" t="str">
        <f t="shared" si="507"/>
        <v>https://shop.officineitalianezard.it/contents/imgs/products/1_809-S8000010.JPG</v>
      </c>
      <c r="AE1689" t="b">
        <v>0</v>
      </c>
    </row>
    <row r="1690" spans="1:31" x14ac:dyDescent="0.2">
      <c r="A1690" t="str">
        <f t="shared" si="494"/>
        <v>https://shop.officineitalianezard.it/en/zard-headers-kit-bmw-2/</v>
      </c>
      <c r="B1690" t="b">
        <f>COUNTIF($A$2:$A1690, A1690)&gt;1</f>
        <v>0</v>
      </c>
      <c r="C1690" t="b">
        <f t="shared" si="495"/>
        <v>0</v>
      </c>
      <c r="D1690">
        <f>VLOOKUP(A1690,variant_counts!A:B, 2, FALSE)</f>
        <v>4</v>
      </c>
      <c r="E1690" t="str">
        <f t="shared" si="508"/>
        <v>zard-exhaust-headers-kit-bmw-r-1200-r-my-11-13-steel-version-zbmw518scr</v>
      </c>
      <c r="F1690" t="str">
        <f t="shared" si="496"/>
        <v>ZARD EXHAUST HEADERS KIT BMW R 1200 R M.Y. 11-13 STEEL VERSION ZBMW518SCR</v>
      </c>
      <c r="G1690" t="str">
        <f t="shared" si="497"/>
        <v>&lt;p&gt;STEEL RACING HEADERS KIT&lt;/p&gt;
&lt;p&gt;THE EXHAUST CAN BE FITTED ON "ADVENTURE" VERSION&lt;/p&gt;
&lt;p&gt;ORIGINAL HEADERS KIT WEIGHT: KG 4.3&lt;br&gt;ZARD HEADERS KIT WEIGHT: KG 3&lt;/p&gt;
&lt;p&gt;HARD INCREASE, COMPARED TO THE STANDARD EXHAUST SYSTEM, IN TERMS OF TORQUE AND POWER AT ANY RANGE (+5 HP), IF FITTED WITH ZARD CONICAL OR PENTA SILENCER.&lt;/p&gt;
&lt;p&gt;&lt;br class="Apple-interchange-newline"&gt;&lt;br&gt;&lt;/p&gt;</v>
      </c>
      <c r="H1690" t="str">
        <f t="shared" si="509"/>
        <v>ZARD</v>
      </c>
      <c r="I1690" t="str">
        <f t="shared" si="510"/>
        <v>Exhaust Pipe</v>
      </c>
      <c r="J1690" t="str">
        <f t="shared" si="511"/>
        <v>Test</v>
      </c>
      <c r="K1690" t="b">
        <f t="shared" si="512"/>
        <v>0</v>
      </c>
      <c r="L1690" t="str">
        <f t="shared" si="498"/>
        <v/>
      </c>
      <c r="M1690" t="str">
        <f t="shared" si="499"/>
        <v/>
      </c>
      <c r="R1690" t="str">
        <f t="shared" si="500"/>
        <v/>
      </c>
      <c r="S1690" t="str">
        <f t="shared" si="501"/>
        <v/>
      </c>
      <c r="U1690" t="str">
        <f t="shared" si="502"/>
        <v/>
      </c>
      <c r="V1690" t="str">
        <f t="shared" si="503"/>
        <v/>
      </c>
      <c r="W1690" s="5" t="str">
        <f t="shared" si="504"/>
        <v/>
      </c>
      <c r="Y1690" t="str">
        <f t="shared" si="505"/>
        <v/>
      </c>
      <c r="Z1690" t="str">
        <f t="shared" si="506"/>
        <v/>
      </c>
      <c r="AB1690" t="str">
        <f t="shared" si="507"/>
        <v>https://shop.officineitalianezard.it/contents/imgs/products/1_922-Collettorecomp.1.JPG</v>
      </c>
      <c r="AE1690" t="b">
        <v>0</v>
      </c>
    </row>
    <row r="1691" spans="1:31" x14ac:dyDescent="0.2">
      <c r="A1691" t="str">
        <f t="shared" si="494"/>
        <v>https://shop.officineitalianezard.it/en/zard-headers-kit-bmw-2/</v>
      </c>
      <c r="B1691" t="b">
        <f>COUNTIF($A$2:$A1691, A1691)&gt;1</f>
        <v>1</v>
      </c>
      <c r="C1691" t="b">
        <f t="shared" si="495"/>
        <v>0</v>
      </c>
      <c r="D1691">
        <f>VLOOKUP(A1691,variant_counts!A:B, 2, FALSE)</f>
        <v>4</v>
      </c>
      <c r="E1691" t="str">
        <f t="shared" si="508"/>
        <v>zard-exhaust-headers-kit-bmw-r-1200-r-my-11-13-steel-version-zbmw518scr</v>
      </c>
      <c r="F1691" t="str">
        <f t="shared" si="496"/>
        <v>ZARD EXHAUST HEADERS KIT BMW R 1200 R M.Y. 11-13 STEEL VERSION ZBMW518SCR</v>
      </c>
      <c r="G1691" t="str">
        <f t="shared" si="497"/>
        <v/>
      </c>
      <c r="H1691" t="str">
        <f t="shared" si="509"/>
        <v/>
      </c>
      <c r="I1691" t="str">
        <f t="shared" si="510"/>
        <v/>
      </c>
      <c r="J1691" t="str">
        <f t="shared" si="511"/>
        <v/>
      </c>
      <c r="K1691" t="str">
        <f t="shared" si="512"/>
        <v/>
      </c>
      <c r="L1691" t="str">
        <f t="shared" si="498"/>
        <v/>
      </c>
      <c r="M1691" t="str">
        <f t="shared" si="499"/>
        <v/>
      </c>
      <c r="R1691" t="str">
        <f t="shared" si="500"/>
        <v/>
      </c>
      <c r="S1691" t="str">
        <f t="shared" si="501"/>
        <v/>
      </c>
      <c r="U1691" t="str">
        <f t="shared" si="502"/>
        <v/>
      </c>
      <c r="V1691" t="str">
        <f t="shared" si="503"/>
        <v/>
      </c>
      <c r="W1691" s="5" t="str">
        <f t="shared" si="504"/>
        <v/>
      </c>
      <c r="Y1691" t="str">
        <f t="shared" si="505"/>
        <v/>
      </c>
      <c r="Z1691" t="str">
        <f t="shared" si="506"/>
        <v/>
      </c>
      <c r="AB1691" t="str">
        <f t="shared" si="507"/>
        <v>https://shop.officineitalianezard.it/contents/imgs/products/1_923-Collettorecomp.2.JPG</v>
      </c>
      <c r="AE1691" t="b">
        <v>0</v>
      </c>
    </row>
    <row r="1692" spans="1:31" x14ac:dyDescent="0.2">
      <c r="A1692" t="str">
        <f t="shared" si="494"/>
        <v>https://shop.officineitalianezard.it/en/zard-headers-kit-bmw-2/</v>
      </c>
      <c r="B1692" t="b">
        <f>COUNTIF($A$2:$A1692, A1692)&gt;1</f>
        <v>1</v>
      </c>
      <c r="C1692" t="b">
        <f t="shared" si="495"/>
        <v>0</v>
      </c>
      <c r="D1692">
        <f>VLOOKUP(A1692,variant_counts!A:B, 2, FALSE)</f>
        <v>4</v>
      </c>
      <c r="E1692" t="str">
        <f t="shared" si="508"/>
        <v>zard-exhaust-headers-kit-bmw-r-1200-r-my-11-13-steel-version-zbmw518scr</v>
      </c>
      <c r="F1692" t="str">
        <f t="shared" si="496"/>
        <v>ZARD EXHAUST HEADERS KIT BMW R 1200 R M.Y. 11-13 STEEL VERSION ZBMW518SCR</v>
      </c>
      <c r="G1692" t="str">
        <f t="shared" si="497"/>
        <v/>
      </c>
      <c r="H1692" t="str">
        <f t="shared" si="509"/>
        <v/>
      </c>
      <c r="I1692" t="str">
        <f t="shared" si="510"/>
        <v/>
      </c>
      <c r="J1692" t="str">
        <f t="shared" si="511"/>
        <v/>
      </c>
      <c r="K1692" t="str">
        <f t="shared" si="512"/>
        <v/>
      </c>
      <c r="L1692" t="str">
        <f t="shared" si="498"/>
        <v/>
      </c>
      <c r="M1692" t="str">
        <f t="shared" si="499"/>
        <v/>
      </c>
      <c r="R1692" t="str">
        <f t="shared" si="500"/>
        <v/>
      </c>
      <c r="S1692" t="str">
        <f t="shared" si="501"/>
        <v/>
      </c>
      <c r="U1692" t="str">
        <f t="shared" si="502"/>
        <v/>
      </c>
      <c r="V1692" t="str">
        <f t="shared" si="503"/>
        <v/>
      </c>
      <c r="W1692" s="5" t="str">
        <f t="shared" si="504"/>
        <v/>
      </c>
      <c r="Y1692" t="str">
        <f t="shared" si="505"/>
        <v/>
      </c>
      <c r="Z1692" t="str">
        <f t="shared" si="506"/>
        <v/>
      </c>
      <c r="AB1692" t="str">
        <f t="shared" si="507"/>
        <v>https://shop.officineitalianezard.it/contents/imgs/products/1_924-Collettorecomp.3.JPG</v>
      </c>
      <c r="AE1692" t="b">
        <v>0</v>
      </c>
    </row>
    <row r="1693" spans="1:31" x14ac:dyDescent="0.2">
      <c r="A1693" t="str">
        <f t="shared" si="494"/>
        <v>https://shop.officineitalianezard.it/en/zard-headers-kit-bmw-2/</v>
      </c>
      <c r="B1693" t="b">
        <f>COUNTIF($A$2:$A1693, A1693)&gt;1</f>
        <v>1</v>
      </c>
      <c r="C1693" t="b">
        <f t="shared" si="495"/>
        <v>0</v>
      </c>
      <c r="D1693">
        <f>VLOOKUP(A1693,variant_counts!A:B, 2, FALSE)</f>
        <v>4</v>
      </c>
      <c r="E1693" t="str">
        <f t="shared" si="508"/>
        <v>zard-exhaust-headers-kit-bmw-r-1200-r-my-11-13-steel-version-zbmw518scr</v>
      </c>
      <c r="F1693" t="str">
        <f t="shared" si="496"/>
        <v>ZARD EXHAUST HEADERS KIT BMW R 1200 R M.Y. 11-13 STEEL VERSION ZBMW518SCR</v>
      </c>
      <c r="G1693" t="str">
        <f t="shared" si="497"/>
        <v/>
      </c>
      <c r="H1693" t="str">
        <f t="shared" si="509"/>
        <v/>
      </c>
      <c r="I1693" t="str">
        <f t="shared" si="510"/>
        <v/>
      </c>
      <c r="J1693" t="str">
        <f t="shared" si="511"/>
        <v/>
      </c>
      <c r="K1693" t="str">
        <f t="shared" si="512"/>
        <v/>
      </c>
      <c r="L1693" t="str">
        <f t="shared" si="498"/>
        <v/>
      </c>
      <c r="M1693" t="str">
        <f t="shared" si="499"/>
        <v/>
      </c>
      <c r="R1693" t="str">
        <f t="shared" si="500"/>
        <v/>
      </c>
      <c r="S1693" t="str">
        <f t="shared" si="501"/>
        <v/>
      </c>
      <c r="U1693" t="str">
        <f t="shared" si="502"/>
        <v/>
      </c>
      <c r="V1693" t="str">
        <f t="shared" si="503"/>
        <v/>
      </c>
      <c r="W1693" s="5" t="str">
        <f t="shared" si="504"/>
        <v/>
      </c>
      <c r="Y1693" t="str">
        <f t="shared" si="505"/>
        <v/>
      </c>
      <c r="Z1693" t="str">
        <f t="shared" si="506"/>
        <v/>
      </c>
      <c r="AB1693" t="str">
        <f t="shared" si="507"/>
        <v>https://shop.officineitalianezard.it/contents/imgs/products/1_925-Collettorecomp.JPG</v>
      </c>
      <c r="AE1693" t="b">
        <v>0</v>
      </c>
    </row>
    <row r="1694" spans="1:31" x14ac:dyDescent="0.2">
      <c r="A1694" t="str">
        <f t="shared" si="494"/>
        <v>https://shop.officineitalianezard.it/en/zard-headers-kit-bmw-2/</v>
      </c>
      <c r="B1694" t="b">
        <f>COUNTIF($A$2:$A1694, A1694)&gt;1</f>
        <v>1</v>
      </c>
      <c r="C1694" t="b">
        <f t="shared" si="495"/>
        <v>1</v>
      </c>
      <c r="D1694">
        <f>VLOOKUP(A1694,variant_counts!A:B, 2, FALSE)</f>
        <v>4</v>
      </c>
      <c r="E1694" t="str">
        <f t="shared" si="508"/>
        <v>zard-exhaust-headers-kit-bmw-r-1200-r-my-11-13-steel-version-zbmw518scr</v>
      </c>
      <c r="F1694" t="str">
        <f t="shared" si="496"/>
        <v>ZARD EXHAUST HEADERS KIT BMW R 1200 R M.Y. 11-13 STEEL VERSION ZBMW518SCR</v>
      </c>
      <c r="G1694" t="str">
        <f t="shared" si="497"/>
        <v/>
      </c>
      <c r="H1694" t="str">
        <f t="shared" si="509"/>
        <v/>
      </c>
      <c r="I1694" t="str">
        <f t="shared" si="510"/>
        <v/>
      </c>
      <c r="J1694" t="str">
        <f t="shared" si="511"/>
        <v/>
      </c>
      <c r="K1694" t="str">
        <f t="shared" si="512"/>
        <v/>
      </c>
      <c r="L1694" t="str">
        <f t="shared" si="498"/>
        <v>Option</v>
      </c>
      <c r="M1694" t="str">
        <f t="shared" si="499"/>
        <v>BLACK COATING</v>
      </c>
      <c r="R1694" t="str">
        <f t="shared" si="500"/>
        <v>ZBMW518SCR</v>
      </c>
      <c r="S1694">
        <f t="shared" si="501"/>
        <v>0</v>
      </c>
      <c r="U1694" t="str">
        <f t="shared" si="502"/>
        <v>continue</v>
      </c>
      <c r="V1694" t="str">
        <f t="shared" si="503"/>
        <v>manual</v>
      </c>
      <c r="W1694" s="5">
        <f t="shared" si="504"/>
        <v>480.85200000000003</v>
      </c>
      <c r="Y1694" t="b">
        <f t="shared" si="505"/>
        <v>1</v>
      </c>
      <c r="Z1694" t="b">
        <f t="shared" si="506"/>
        <v>0</v>
      </c>
      <c r="AB1694" t="str">
        <f t="shared" si="507"/>
        <v/>
      </c>
      <c r="AE1694" t="b">
        <v>0</v>
      </c>
    </row>
    <row r="1695" spans="1:31" x14ac:dyDescent="0.2">
      <c r="A1695" t="str">
        <f t="shared" si="494"/>
        <v>https://shop.officineitalianezard.it/en/zard-headers-kit-bmw-2/</v>
      </c>
      <c r="B1695" t="b">
        <f>COUNTIF($A$2:$A1695, A1695)&gt;1</f>
        <v>1</v>
      </c>
      <c r="C1695" t="b">
        <f t="shared" si="495"/>
        <v>1</v>
      </c>
      <c r="D1695">
        <f>VLOOKUP(A1695,variant_counts!A:B, 2, FALSE)</f>
        <v>4</v>
      </c>
      <c r="E1695" t="str">
        <f t="shared" si="508"/>
        <v>zard-exhaust-headers-kit-bmw-r-1200-r-my-11-13-steel-version-zbmw518scr</v>
      </c>
      <c r="F1695" t="str">
        <f t="shared" si="496"/>
        <v>ZARD EXHAUST HEADERS KIT BMW R 1200 R M.Y. 11-13 STEEL VERSION ZBMW518SCR</v>
      </c>
      <c r="G1695" t="str">
        <f t="shared" si="497"/>
        <v/>
      </c>
      <c r="H1695" t="str">
        <f t="shared" si="509"/>
        <v/>
      </c>
      <c r="I1695" t="str">
        <f t="shared" si="510"/>
        <v/>
      </c>
      <c r="J1695" t="str">
        <f t="shared" si="511"/>
        <v/>
      </c>
      <c r="K1695" t="str">
        <f t="shared" si="512"/>
        <v/>
      </c>
      <c r="L1695" t="str">
        <f t="shared" si="498"/>
        <v>Option</v>
      </c>
      <c r="M1695" t="str">
        <f t="shared" si="499"/>
        <v>MIRROR POLISHED</v>
      </c>
      <c r="R1695" t="str">
        <f t="shared" si="500"/>
        <v>ZBMW518SCR</v>
      </c>
      <c r="S1695">
        <f t="shared" si="501"/>
        <v>0</v>
      </c>
      <c r="U1695" t="str">
        <f t="shared" si="502"/>
        <v>continue</v>
      </c>
      <c r="V1695" t="str">
        <f t="shared" si="503"/>
        <v>manual</v>
      </c>
      <c r="W1695" s="5">
        <f t="shared" si="504"/>
        <v>447.27450000000005</v>
      </c>
      <c r="Y1695" t="b">
        <f t="shared" si="505"/>
        <v>1</v>
      </c>
      <c r="Z1695" t="b">
        <f t="shared" si="506"/>
        <v>0</v>
      </c>
      <c r="AB1695" t="str">
        <f t="shared" si="507"/>
        <v/>
      </c>
      <c r="AE1695" t="b">
        <v>0</v>
      </c>
    </row>
    <row r="1696" spans="1:31" x14ac:dyDescent="0.2">
      <c r="A1696" t="str">
        <f t="shared" si="494"/>
        <v>https://shop.officineitalianezard.it/en/zard-headers-kit-bmw-2/</v>
      </c>
      <c r="B1696" t="b">
        <f>COUNTIF($A$2:$A1696, A1696)&gt;1</f>
        <v>1</v>
      </c>
      <c r="C1696" t="b">
        <f t="shared" si="495"/>
        <v>1</v>
      </c>
      <c r="D1696">
        <f>VLOOKUP(A1696,variant_counts!A:B, 2, FALSE)</f>
        <v>4</v>
      </c>
      <c r="E1696" t="str">
        <f t="shared" si="508"/>
        <v>zard-exhaust-headers-kit-bmw-r-1200-r-my-11-13-steel-version-zbmw518scr</v>
      </c>
      <c r="F1696" t="str">
        <f t="shared" si="496"/>
        <v>ZARD EXHAUST HEADERS KIT BMW R 1200 R M.Y. 11-13 STEEL VERSION ZBMW518SCR</v>
      </c>
      <c r="G1696" t="str">
        <f t="shared" si="497"/>
        <v/>
      </c>
      <c r="H1696" t="str">
        <f t="shared" si="509"/>
        <v/>
      </c>
      <c r="I1696" t="str">
        <f t="shared" si="510"/>
        <v/>
      </c>
      <c r="J1696" t="str">
        <f t="shared" si="511"/>
        <v/>
      </c>
      <c r="K1696" t="str">
        <f t="shared" si="512"/>
        <v/>
      </c>
      <c r="L1696" t="str">
        <f t="shared" si="498"/>
        <v>Option</v>
      </c>
      <c r="M1696" t="str">
        <f t="shared" si="499"/>
        <v>STAINLESS STEEL WITH COMPENSER</v>
      </c>
      <c r="R1696" t="str">
        <f t="shared" si="500"/>
        <v>ZBMW518SCR</v>
      </c>
      <c r="S1696">
        <f t="shared" si="501"/>
        <v>0</v>
      </c>
      <c r="U1696" t="str">
        <f t="shared" si="502"/>
        <v>continue</v>
      </c>
      <c r="V1696" t="str">
        <f t="shared" si="503"/>
        <v>manual</v>
      </c>
      <c r="W1696" s="5">
        <f t="shared" si="504"/>
        <v>488.22240000000005</v>
      </c>
      <c r="Y1696" t="b">
        <f t="shared" si="505"/>
        <v>1</v>
      </c>
      <c r="Z1696" t="b">
        <f t="shared" si="506"/>
        <v>0</v>
      </c>
      <c r="AB1696" t="str">
        <f t="shared" si="507"/>
        <v/>
      </c>
      <c r="AE1696" t="b">
        <v>0</v>
      </c>
    </row>
    <row r="1697" spans="1:31" x14ac:dyDescent="0.2">
      <c r="A1697" t="str">
        <f t="shared" si="494"/>
        <v>https://shop.officineitalianezard.it/en/zard-headers-kit-bmw-2/</v>
      </c>
      <c r="B1697" t="b">
        <f>COUNTIF($A$2:$A1697, A1697)&gt;1</f>
        <v>1</v>
      </c>
      <c r="C1697" t="b">
        <f t="shared" si="495"/>
        <v>1</v>
      </c>
      <c r="D1697">
        <f>VLOOKUP(A1697,variant_counts!A:B, 2, FALSE)</f>
        <v>4</v>
      </c>
      <c r="E1697" t="str">
        <f t="shared" si="508"/>
        <v>zard-exhaust-headers-kit-bmw-r-1200-r-my-11-13-steel-version-zbmw518scr</v>
      </c>
      <c r="F1697" t="str">
        <f t="shared" si="496"/>
        <v>ZARD EXHAUST HEADERS KIT BMW R 1200 R M.Y. 11-13 STEEL VERSION ZBMW518SCR</v>
      </c>
      <c r="G1697" t="str">
        <f t="shared" si="497"/>
        <v/>
      </c>
      <c r="H1697" t="str">
        <f t="shared" si="509"/>
        <v/>
      </c>
      <c r="I1697" t="str">
        <f t="shared" si="510"/>
        <v/>
      </c>
      <c r="J1697" t="str">
        <f t="shared" si="511"/>
        <v/>
      </c>
      <c r="K1697" t="str">
        <f t="shared" si="512"/>
        <v/>
      </c>
      <c r="L1697" t="str">
        <f t="shared" si="498"/>
        <v>Option</v>
      </c>
      <c r="M1697" t="str">
        <f t="shared" si="499"/>
        <v>TITANIUM WITH COMPENSER</v>
      </c>
      <c r="R1697" t="str">
        <f t="shared" si="500"/>
        <v>ZBMW518SCR</v>
      </c>
      <c r="S1697">
        <f t="shared" si="501"/>
        <v>0</v>
      </c>
      <c r="U1697" t="str">
        <f t="shared" si="502"/>
        <v>continue</v>
      </c>
      <c r="V1697" t="str">
        <f t="shared" si="503"/>
        <v>manual</v>
      </c>
      <c r="W1697" s="5">
        <f t="shared" si="504"/>
        <v>770.72850000000005</v>
      </c>
      <c r="Y1697" t="b">
        <f t="shared" si="505"/>
        <v>1</v>
      </c>
      <c r="Z1697" t="b">
        <f t="shared" si="506"/>
        <v>0</v>
      </c>
      <c r="AB1697" t="str">
        <f t="shared" si="507"/>
        <v/>
      </c>
      <c r="AE1697" t="b">
        <v>0</v>
      </c>
    </row>
    <row r="1698" spans="1:31" x14ac:dyDescent="0.2">
      <c r="A1698" t="str">
        <f t="shared" si="494"/>
        <v>https://shop.officineitalianezard.it/en/products/index/zard-conical-silencer-bmw-r-1200-r-7526-141/</v>
      </c>
      <c r="B1698" t="b">
        <f>COUNTIF($A$2:$A1698, A1698)&gt;1</f>
        <v>0</v>
      </c>
      <c r="C1698" t="b">
        <f t="shared" si="495"/>
        <v>0</v>
      </c>
      <c r="D1698">
        <f>VLOOKUP(A1698,variant_counts!A:B, 2, FALSE)</f>
        <v>4</v>
      </c>
      <c r="E1698" t="str">
        <f t="shared" si="508"/>
        <v>zard-exhaust-silencer-bmw-r-1200-r-my-11-13-conical-version-zbmw518ssr-s</v>
      </c>
      <c r="F1698" t="str">
        <f t="shared" si="496"/>
        <v>ZARD EXHAUST SILENCER BMW R 1200 R M.Y. 11-13 CONICAL VERSION ZBMW518SSR-S</v>
      </c>
      <c r="G1698" t="str">
        <f t="shared" si="497"/>
        <v>&lt;p&gt;STEEL SILENCER RACING ..&amp;nbsp;&lt;/p&gt;
&lt;p&gt;ORIGINAL SILENCER WEIGHT: KG 6.2&lt;br&gt;ZARD SILENCER WEIGHT: KG 3&lt;/p&gt;
&lt;p&gt;HARD INCREASE, COMPARED TO THE ORIGINAL EXHAUST SYSTEM, IN TERMS OF TORQUE AND POWER AT ANY RANGE&lt;/p&gt;
&lt;p&gt;ASTONISHING SOUND&lt;/p&gt;</v>
      </c>
      <c r="H1698" t="str">
        <f t="shared" si="509"/>
        <v>ZARD</v>
      </c>
      <c r="I1698" t="str">
        <f t="shared" si="510"/>
        <v>Exhaust Pipe</v>
      </c>
      <c r="J1698" t="str">
        <f t="shared" si="511"/>
        <v>Test</v>
      </c>
      <c r="K1698" t="b">
        <f t="shared" si="512"/>
        <v>0</v>
      </c>
      <c r="L1698" t="str">
        <f t="shared" si="498"/>
        <v/>
      </c>
      <c r="M1698" t="str">
        <f t="shared" si="499"/>
        <v/>
      </c>
      <c r="R1698" t="str">
        <f t="shared" si="500"/>
        <v/>
      </c>
      <c r="S1698" t="str">
        <f t="shared" si="501"/>
        <v/>
      </c>
      <c r="U1698" t="str">
        <f t="shared" si="502"/>
        <v/>
      </c>
      <c r="V1698" t="str">
        <f t="shared" si="503"/>
        <v/>
      </c>
      <c r="W1698" s="5" t="str">
        <f t="shared" si="504"/>
        <v/>
      </c>
      <c r="Y1698" t="str">
        <f t="shared" si="505"/>
        <v/>
      </c>
      <c r="Z1698" t="str">
        <f t="shared" si="506"/>
        <v/>
      </c>
      <c r="AB1698" t="str">
        <f t="shared" si="507"/>
        <v>https://shop.officineitalianezard.it/contents/imgs/products/1_912-scarichi%20moto%20zard%20bmw%20r%201200%20r%201.jpg</v>
      </c>
      <c r="AE1698" t="b">
        <v>0</v>
      </c>
    </row>
    <row r="1699" spans="1:31" x14ac:dyDescent="0.2">
      <c r="A1699" t="str">
        <f t="shared" si="494"/>
        <v>https://shop.officineitalianezard.it/en/products/index/zard-conical-silencer-bmw-r-1200-r-7526-141/</v>
      </c>
      <c r="B1699" t="b">
        <f>COUNTIF($A$2:$A1699, A1699)&gt;1</f>
        <v>1</v>
      </c>
      <c r="C1699" t="b">
        <f t="shared" si="495"/>
        <v>0</v>
      </c>
      <c r="D1699">
        <f>VLOOKUP(A1699,variant_counts!A:B, 2, FALSE)</f>
        <v>4</v>
      </c>
      <c r="E1699" t="str">
        <f t="shared" si="508"/>
        <v>zard-exhaust-silencer-bmw-r-1200-r-my-11-13-conical-version-zbmw518ssr-s</v>
      </c>
      <c r="F1699" t="str">
        <f t="shared" si="496"/>
        <v>ZARD EXHAUST SILENCER BMW R 1200 R M.Y. 11-13 CONICAL VERSION ZBMW518SSR-S</v>
      </c>
      <c r="G1699" t="str">
        <f t="shared" si="497"/>
        <v/>
      </c>
      <c r="H1699" t="str">
        <f t="shared" si="509"/>
        <v/>
      </c>
      <c r="I1699" t="str">
        <f t="shared" si="510"/>
        <v/>
      </c>
      <c r="J1699" t="str">
        <f t="shared" si="511"/>
        <v/>
      </c>
      <c r="K1699" t="str">
        <f t="shared" si="512"/>
        <v/>
      </c>
      <c r="L1699" t="str">
        <f t="shared" si="498"/>
        <v/>
      </c>
      <c r="M1699" t="str">
        <f t="shared" si="499"/>
        <v/>
      </c>
      <c r="R1699" t="str">
        <f t="shared" si="500"/>
        <v/>
      </c>
      <c r="S1699" t="str">
        <f t="shared" si="501"/>
        <v/>
      </c>
      <c r="U1699" t="str">
        <f t="shared" si="502"/>
        <v/>
      </c>
      <c r="V1699" t="str">
        <f t="shared" si="503"/>
        <v/>
      </c>
      <c r="W1699" s="5" t="str">
        <f t="shared" si="504"/>
        <v/>
      </c>
      <c r="Y1699" t="str">
        <f t="shared" si="505"/>
        <v/>
      </c>
      <c r="Z1699" t="str">
        <f t="shared" si="506"/>
        <v/>
      </c>
      <c r="AB1699" t="str">
        <f t="shared" si="507"/>
        <v>https://shop.officineitalianezard.it/contents/imgs/products/1_913-scarichi%20moto%20zard%20bmw%20r%201200%20r%202.jpg</v>
      </c>
      <c r="AE1699" t="b">
        <v>0</v>
      </c>
    </row>
    <row r="1700" spans="1:31" x14ac:dyDescent="0.2">
      <c r="A1700" t="str">
        <f t="shared" si="494"/>
        <v>https://shop.officineitalianezard.it/en/products/index/zard-conical-silencer-bmw-r-1200-r-7526-141/</v>
      </c>
      <c r="B1700" t="b">
        <f>COUNTIF($A$2:$A1700, A1700)&gt;1</f>
        <v>1</v>
      </c>
      <c r="C1700" t="b">
        <f t="shared" si="495"/>
        <v>1</v>
      </c>
      <c r="D1700">
        <f>VLOOKUP(A1700,variant_counts!A:B, 2, FALSE)</f>
        <v>4</v>
      </c>
      <c r="E1700" t="str">
        <f t="shared" si="508"/>
        <v>zard-exhaust-silencer-bmw-r-1200-r-my-11-13-conical-version-zbmw518ssr-s</v>
      </c>
      <c r="F1700" t="str">
        <f t="shared" si="496"/>
        <v>ZARD EXHAUST SILENCER BMW R 1200 R M.Y. 11-13 CONICAL VERSION ZBMW518SSR-S</v>
      </c>
      <c r="G1700" t="str">
        <f t="shared" si="497"/>
        <v/>
      </c>
      <c r="H1700" t="str">
        <f t="shared" si="509"/>
        <v/>
      </c>
      <c r="I1700" t="str">
        <f t="shared" si="510"/>
        <v/>
      </c>
      <c r="J1700" t="str">
        <f t="shared" si="511"/>
        <v/>
      </c>
      <c r="K1700" t="str">
        <f t="shared" si="512"/>
        <v/>
      </c>
      <c r="L1700" t="str">
        <f t="shared" si="498"/>
        <v>Option</v>
      </c>
      <c r="M1700" t="str">
        <f t="shared" si="499"/>
        <v>HOMOLOGATED EURO 3</v>
      </c>
      <c r="R1700" t="str">
        <f t="shared" si="500"/>
        <v>ZBMW518SSR-S</v>
      </c>
      <c r="S1700">
        <f t="shared" si="501"/>
        <v>0</v>
      </c>
      <c r="U1700" t="str">
        <f t="shared" si="502"/>
        <v>continue</v>
      </c>
      <c r="V1700" t="str">
        <f t="shared" si="503"/>
        <v>manual</v>
      </c>
      <c r="W1700" s="5">
        <f t="shared" si="504"/>
        <v>493.86120000000005</v>
      </c>
      <c r="Y1700" t="b">
        <f t="shared" si="505"/>
        <v>1</v>
      </c>
      <c r="Z1700" t="b">
        <f t="shared" si="506"/>
        <v>0</v>
      </c>
      <c r="AB1700" t="str">
        <f t="shared" si="507"/>
        <v/>
      </c>
      <c r="AE1700" t="b">
        <v>0</v>
      </c>
    </row>
    <row r="1701" spans="1:31" x14ac:dyDescent="0.2">
      <c r="A1701" t="str">
        <f t="shared" si="494"/>
        <v>https://shop.officineitalianezard.it/en/products/index/zard-conical-silencer-bmw-r-1200-r-7526-141/</v>
      </c>
      <c r="B1701" t="b">
        <f>COUNTIF($A$2:$A1701, A1701)&gt;1</f>
        <v>1</v>
      </c>
      <c r="C1701" t="b">
        <f t="shared" si="495"/>
        <v>1</v>
      </c>
      <c r="D1701">
        <f>VLOOKUP(A1701,variant_counts!A:B, 2, FALSE)</f>
        <v>4</v>
      </c>
      <c r="E1701" t="str">
        <f t="shared" si="508"/>
        <v>zard-exhaust-silencer-bmw-r-1200-r-my-11-13-conical-version-zbmw518ssr-s</v>
      </c>
      <c r="F1701" t="str">
        <f t="shared" si="496"/>
        <v>ZARD EXHAUST SILENCER BMW R 1200 R M.Y. 11-13 CONICAL VERSION ZBMW518SSR-S</v>
      </c>
      <c r="G1701" t="str">
        <f t="shared" si="497"/>
        <v/>
      </c>
      <c r="H1701" t="str">
        <f t="shared" si="509"/>
        <v/>
      </c>
      <c r="I1701" t="str">
        <f t="shared" si="510"/>
        <v/>
      </c>
      <c r="J1701" t="str">
        <f t="shared" si="511"/>
        <v/>
      </c>
      <c r="K1701" t="str">
        <f t="shared" si="512"/>
        <v/>
      </c>
      <c r="L1701" t="str">
        <f t="shared" si="498"/>
        <v>Option</v>
      </c>
      <c r="M1701" t="str">
        <f t="shared" si="499"/>
        <v>BLACK COATING</v>
      </c>
      <c r="R1701" t="str">
        <f t="shared" si="500"/>
        <v>ZBMW518SSR-S</v>
      </c>
      <c r="S1701">
        <f t="shared" si="501"/>
        <v>0</v>
      </c>
      <c r="U1701" t="str">
        <f t="shared" si="502"/>
        <v>continue</v>
      </c>
      <c r="V1701" t="str">
        <f t="shared" si="503"/>
        <v>manual</v>
      </c>
      <c r="W1701" s="5">
        <f t="shared" si="504"/>
        <v>553.63470000000007</v>
      </c>
      <c r="Y1701" t="b">
        <f t="shared" si="505"/>
        <v>1</v>
      </c>
      <c r="Z1701" t="b">
        <f t="shared" si="506"/>
        <v>0</v>
      </c>
      <c r="AB1701" t="str">
        <f t="shared" si="507"/>
        <v/>
      </c>
      <c r="AE1701" t="b">
        <v>0</v>
      </c>
    </row>
    <row r="1702" spans="1:31" x14ac:dyDescent="0.2">
      <c r="A1702" t="str">
        <f t="shared" si="494"/>
        <v>https://shop.officineitalianezard.it/en/products/index/zard-conical-silencer-bmw-r-1200-r-7526-141/</v>
      </c>
      <c r="B1702" t="b">
        <f>COUNTIF($A$2:$A1702, A1702)&gt;1</f>
        <v>1</v>
      </c>
      <c r="C1702" t="b">
        <f t="shared" si="495"/>
        <v>1</v>
      </c>
      <c r="D1702">
        <f>VLOOKUP(A1702,variant_counts!A:B, 2, FALSE)</f>
        <v>4</v>
      </c>
      <c r="E1702" t="str">
        <f t="shared" si="508"/>
        <v>zard-exhaust-silencer-bmw-r-1200-r-my-11-13-conical-version-zbmw518ssr-s</v>
      </c>
      <c r="F1702" t="str">
        <f t="shared" si="496"/>
        <v>ZARD EXHAUST SILENCER BMW R 1200 R M.Y. 11-13 CONICAL VERSION ZBMW518SSR-S</v>
      </c>
      <c r="G1702" t="str">
        <f t="shared" si="497"/>
        <v/>
      </c>
      <c r="H1702" t="str">
        <f t="shared" si="509"/>
        <v/>
      </c>
      <c r="I1702" t="str">
        <f t="shared" si="510"/>
        <v/>
      </c>
      <c r="J1702" t="str">
        <f t="shared" si="511"/>
        <v/>
      </c>
      <c r="K1702" t="str">
        <f t="shared" si="512"/>
        <v/>
      </c>
      <c r="L1702" t="str">
        <f t="shared" si="498"/>
        <v>Option</v>
      </c>
      <c r="M1702" t="str">
        <f t="shared" si="499"/>
        <v>MIRROR POLISHED</v>
      </c>
      <c r="R1702" t="str">
        <f t="shared" si="500"/>
        <v>ZBMW518SSR-S</v>
      </c>
      <c r="S1702">
        <f t="shared" si="501"/>
        <v>0</v>
      </c>
      <c r="U1702" t="str">
        <f t="shared" si="502"/>
        <v>continue</v>
      </c>
      <c r="V1702" t="str">
        <f t="shared" si="503"/>
        <v>manual</v>
      </c>
      <c r="W1702" s="5">
        <f t="shared" si="504"/>
        <v>488.94390000000004</v>
      </c>
      <c r="Y1702" t="b">
        <f t="shared" si="505"/>
        <v>1</v>
      </c>
      <c r="Z1702" t="b">
        <f t="shared" si="506"/>
        <v>0</v>
      </c>
      <c r="AB1702" t="str">
        <f t="shared" si="507"/>
        <v/>
      </c>
      <c r="AE1702" t="b">
        <v>0</v>
      </c>
    </row>
    <row r="1703" spans="1:31" x14ac:dyDescent="0.2">
      <c r="A1703" t="str">
        <f t="shared" si="494"/>
        <v>https://shop.officineitalianezard.it/en/products/index/zard-conical-silencer-bmw-r-1200-r-7526-141/</v>
      </c>
      <c r="B1703" t="b">
        <f>COUNTIF($A$2:$A1703, A1703)&gt;1</f>
        <v>1</v>
      </c>
      <c r="C1703" t="b">
        <f t="shared" si="495"/>
        <v>1</v>
      </c>
      <c r="D1703">
        <f>VLOOKUP(A1703,variant_counts!A:B, 2, FALSE)</f>
        <v>4</v>
      </c>
      <c r="E1703" t="str">
        <f t="shared" si="508"/>
        <v>zard-exhaust-silencer-bmw-r-1200-r-my-11-13-conical-version-zbmw518ssr-s</v>
      </c>
      <c r="F1703" t="str">
        <f t="shared" si="496"/>
        <v>ZARD EXHAUST SILENCER BMW R 1200 R M.Y. 11-13 CONICAL VERSION ZBMW518SSR-S</v>
      </c>
      <c r="G1703" t="str">
        <f t="shared" si="497"/>
        <v/>
      </c>
      <c r="H1703" t="str">
        <f t="shared" si="509"/>
        <v/>
      </c>
      <c r="I1703" t="str">
        <f t="shared" si="510"/>
        <v/>
      </c>
      <c r="J1703" t="str">
        <f t="shared" si="511"/>
        <v/>
      </c>
      <c r="K1703" t="str">
        <f t="shared" si="512"/>
        <v/>
      </c>
      <c r="L1703" t="str">
        <f t="shared" si="498"/>
        <v>Option</v>
      </c>
      <c r="M1703" t="str">
        <f t="shared" si="499"/>
        <v>CARBON ENDCAP</v>
      </c>
      <c r="R1703" t="str">
        <f t="shared" si="500"/>
        <v>ZBMW518SSR-S</v>
      </c>
      <c r="S1703">
        <f t="shared" si="501"/>
        <v>0</v>
      </c>
      <c r="U1703" t="str">
        <f t="shared" si="502"/>
        <v>continue</v>
      </c>
      <c r="V1703" t="str">
        <f t="shared" si="503"/>
        <v>manual</v>
      </c>
      <c r="W1703" s="5">
        <f t="shared" si="504"/>
        <v>514.32960000000003</v>
      </c>
      <c r="Y1703" t="b">
        <f t="shared" si="505"/>
        <v>1</v>
      </c>
      <c r="Z1703" t="b">
        <f t="shared" si="506"/>
        <v>0</v>
      </c>
      <c r="AB1703" t="str">
        <f t="shared" si="507"/>
        <v/>
      </c>
      <c r="AE1703" t="b">
        <v>0</v>
      </c>
    </row>
    <row r="1704" spans="1:31" x14ac:dyDescent="0.2">
      <c r="A1704" t="str">
        <f t="shared" si="494"/>
        <v>https://shop.officineitalianezard.it/en/products/index/bmw-gs-1200-exhaust-zard-7918-251/</v>
      </c>
      <c r="B1704" t="b">
        <f>COUNTIF($A$2:$A1704, A1704)&gt;1</f>
        <v>0</v>
      </c>
      <c r="C1704" t="b">
        <f t="shared" si="495"/>
        <v>0</v>
      </c>
      <c r="D1704">
        <f>VLOOKUP(A1704,variant_counts!A:B, 2, FALSE)</f>
        <v>3</v>
      </c>
      <c r="E1704" t="str">
        <f t="shared" si="508"/>
        <v>zard-exhaust-silencer-bmw-r-1250-gs-2019-slip-on-version-zbmw523ssr-fc</v>
      </c>
      <c r="F1704" t="str">
        <f t="shared" si="496"/>
        <v>ZARD EXHAUST SILENCER BMW R 1250 GS &gt; 2019 SLIP-ON VERSION ZBMW523SSR-FC</v>
      </c>
      <c r="G1704" t="str">
        <f t="shared" si="497"/>
        <v>&lt;p&gt;STEEL RACING SILENCER WITH&amp;nbsp;CARBON ENDCAP AND HEAT SHIELD.&lt;br&gt;REMOVABLE DB-KILLERS.&lt;/p&gt;
&lt;p&gt;ORIGINAL SILENCER WEIGHT: KG 5.3&lt;br&gt;ZARD SILENCER WEIGHT: KG 3.1&lt;/p&gt;
&lt;p&gt;HARD INCREASE IN TERMS OF RESPONSE IN THE MID-RANGE AND MORE&lt;br&gt;MAXIMUM POWER COMPARED TO THE DEFAULT EXHAUST SYSTEM,&lt;br&gt;ASTONISHING SOUND.&lt;/p&gt;</v>
      </c>
      <c r="H1704" t="str">
        <f t="shared" si="509"/>
        <v>ZARD</v>
      </c>
      <c r="I1704" t="str">
        <f t="shared" si="510"/>
        <v>Exhaust Pipe</v>
      </c>
      <c r="J1704" t="str">
        <f t="shared" si="511"/>
        <v>Test</v>
      </c>
      <c r="K1704" t="b">
        <f t="shared" si="512"/>
        <v>0</v>
      </c>
      <c r="L1704" t="str">
        <f t="shared" si="498"/>
        <v/>
      </c>
      <c r="M1704" t="str">
        <f t="shared" si="499"/>
        <v/>
      </c>
      <c r="R1704" t="str">
        <f t="shared" si="500"/>
        <v/>
      </c>
      <c r="S1704" t="str">
        <f t="shared" si="501"/>
        <v/>
      </c>
      <c r="U1704" t="str">
        <f t="shared" si="502"/>
        <v/>
      </c>
      <c r="V1704" t="str">
        <f t="shared" si="503"/>
        <v/>
      </c>
      <c r="W1704" s="5" t="str">
        <f t="shared" si="504"/>
        <v/>
      </c>
      <c r="Y1704" t="str">
        <f t="shared" si="505"/>
        <v/>
      </c>
      <c r="Z1704" t="str">
        <f t="shared" si="506"/>
        <v/>
      </c>
      <c r="AB1704" t="str">
        <f t="shared" si="507"/>
        <v>https://shop.officineitalianezard.it/contents/imgs/products/1_2461-scarico%20bmw%201250%20gs%20-%20zard%201.jpg</v>
      </c>
      <c r="AE1704" t="b">
        <v>0</v>
      </c>
    </row>
    <row r="1705" spans="1:31" x14ac:dyDescent="0.2">
      <c r="A1705" t="str">
        <f t="shared" si="494"/>
        <v>https://shop.officineitalianezard.it/en/products/index/bmw-gs-1200-exhaust-zard-7918-251/</v>
      </c>
      <c r="B1705" t="b">
        <f>COUNTIF($A$2:$A1705, A1705)&gt;1</f>
        <v>1</v>
      </c>
      <c r="C1705" t="b">
        <f t="shared" si="495"/>
        <v>0</v>
      </c>
      <c r="D1705">
        <f>VLOOKUP(A1705,variant_counts!A:B, 2, FALSE)</f>
        <v>3</v>
      </c>
      <c r="E1705" t="str">
        <f t="shared" si="508"/>
        <v>zard-exhaust-silencer-bmw-r-1250-gs-2019-slip-on-version-zbmw523ssr-fc</v>
      </c>
      <c r="F1705" t="str">
        <f t="shared" si="496"/>
        <v>ZARD EXHAUST SILENCER BMW R 1250 GS &gt; 2019 SLIP-ON VERSION ZBMW523SSR-FC</v>
      </c>
      <c r="G1705" t="str">
        <f t="shared" si="497"/>
        <v/>
      </c>
      <c r="H1705" t="str">
        <f t="shared" si="509"/>
        <v/>
      </c>
      <c r="I1705" t="str">
        <f t="shared" si="510"/>
        <v/>
      </c>
      <c r="J1705" t="str">
        <f t="shared" si="511"/>
        <v/>
      </c>
      <c r="K1705" t="str">
        <f t="shared" si="512"/>
        <v/>
      </c>
      <c r="L1705" t="str">
        <f t="shared" si="498"/>
        <v/>
      </c>
      <c r="M1705" t="str">
        <f t="shared" si="499"/>
        <v/>
      </c>
      <c r="R1705" t="str">
        <f t="shared" si="500"/>
        <v/>
      </c>
      <c r="S1705" t="str">
        <f t="shared" si="501"/>
        <v/>
      </c>
      <c r="U1705" t="str">
        <f t="shared" si="502"/>
        <v/>
      </c>
      <c r="V1705" t="str">
        <f t="shared" si="503"/>
        <v/>
      </c>
      <c r="W1705" s="5" t="str">
        <f t="shared" si="504"/>
        <v/>
      </c>
      <c r="Y1705" t="str">
        <f t="shared" si="505"/>
        <v/>
      </c>
      <c r="Z1705" t="str">
        <f t="shared" si="506"/>
        <v/>
      </c>
      <c r="AB1705" t="str">
        <f t="shared" si="507"/>
        <v>https://shop.officineitalianezard.it/contents/imgs/products/1_2462-scarico%20bmw%201250%20gs%20-%20zard%202.jpg</v>
      </c>
      <c r="AE1705" t="b">
        <v>0</v>
      </c>
    </row>
    <row r="1706" spans="1:31" x14ac:dyDescent="0.2">
      <c r="A1706" t="str">
        <f t="shared" si="494"/>
        <v>https://shop.officineitalianezard.it/en/products/index/bmw-gs-1200-exhaust-zard-7918-251/</v>
      </c>
      <c r="B1706" t="b">
        <f>COUNTIF($A$2:$A1706, A1706)&gt;1</f>
        <v>1</v>
      </c>
      <c r="C1706" t="b">
        <f t="shared" si="495"/>
        <v>0</v>
      </c>
      <c r="D1706">
        <f>VLOOKUP(A1706,variant_counts!A:B, 2, FALSE)</f>
        <v>3</v>
      </c>
      <c r="E1706" t="str">
        <f t="shared" si="508"/>
        <v>zard-exhaust-silencer-bmw-r-1250-gs-2019-slip-on-version-zbmw523ssr-fc</v>
      </c>
      <c r="F1706" t="str">
        <f t="shared" si="496"/>
        <v>ZARD EXHAUST SILENCER BMW R 1250 GS &gt; 2019 SLIP-ON VERSION ZBMW523SSR-FC</v>
      </c>
      <c r="G1706" t="str">
        <f t="shared" si="497"/>
        <v/>
      </c>
      <c r="H1706" t="str">
        <f t="shared" si="509"/>
        <v/>
      </c>
      <c r="I1706" t="str">
        <f t="shared" si="510"/>
        <v/>
      </c>
      <c r="J1706" t="str">
        <f t="shared" si="511"/>
        <v/>
      </c>
      <c r="K1706" t="str">
        <f t="shared" si="512"/>
        <v/>
      </c>
      <c r="L1706" t="str">
        <f t="shared" si="498"/>
        <v/>
      </c>
      <c r="M1706" t="str">
        <f t="shared" si="499"/>
        <v/>
      </c>
      <c r="R1706" t="str">
        <f t="shared" si="500"/>
        <v/>
      </c>
      <c r="S1706" t="str">
        <f t="shared" si="501"/>
        <v/>
      </c>
      <c r="U1706" t="str">
        <f t="shared" si="502"/>
        <v/>
      </c>
      <c r="V1706" t="str">
        <f t="shared" si="503"/>
        <v/>
      </c>
      <c r="W1706" s="5" t="str">
        <f t="shared" si="504"/>
        <v/>
      </c>
      <c r="Y1706" t="str">
        <f t="shared" si="505"/>
        <v/>
      </c>
      <c r="Z1706" t="str">
        <f t="shared" si="506"/>
        <v/>
      </c>
      <c r="AB1706" t="str">
        <f t="shared" si="507"/>
        <v>https://shop.officineitalianezard.it/contents/imgs/products/1_2463-scarico%20bmw%201250%20gs%20-%20zard%203.jpg</v>
      </c>
      <c r="AE1706" t="b">
        <v>0</v>
      </c>
    </row>
    <row r="1707" spans="1:31" x14ac:dyDescent="0.2">
      <c r="A1707" t="str">
        <f t="shared" si="494"/>
        <v>https://shop.officineitalianezard.it/en/products/index/bmw-gs-1200-exhaust-zard-7918-251/</v>
      </c>
      <c r="B1707" t="b">
        <f>COUNTIF($A$2:$A1707, A1707)&gt;1</f>
        <v>1</v>
      </c>
      <c r="C1707" t="b">
        <f t="shared" si="495"/>
        <v>1</v>
      </c>
      <c r="D1707">
        <f>VLOOKUP(A1707,variant_counts!A:B, 2, FALSE)</f>
        <v>3</v>
      </c>
      <c r="E1707" t="str">
        <f t="shared" si="508"/>
        <v>zard-exhaust-silencer-bmw-r-1250-gs-2019-slip-on-version-zbmw523ssr-fc</v>
      </c>
      <c r="F1707" t="str">
        <f t="shared" si="496"/>
        <v>ZARD EXHAUST SILENCER BMW R 1250 GS &gt; 2019 SLIP-ON VERSION ZBMW523SSR-FC</v>
      </c>
      <c r="G1707" t="str">
        <f t="shared" si="497"/>
        <v/>
      </c>
      <c r="H1707" t="str">
        <f t="shared" si="509"/>
        <v/>
      </c>
      <c r="I1707" t="str">
        <f t="shared" si="510"/>
        <v/>
      </c>
      <c r="J1707" t="str">
        <f t="shared" si="511"/>
        <v/>
      </c>
      <c r="K1707" t="str">
        <f t="shared" si="512"/>
        <v/>
      </c>
      <c r="L1707" t="str">
        <f t="shared" si="498"/>
        <v>Option</v>
      </c>
      <c r="M1707" t="str">
        <f t="shared" si="499"/>
        <v>HOMOLOGATED</v>
      </c>
      <c r="R1707" t="str">
        <f t="shared" si="500"/>
        <v>ZBMW523SSR-FC</v>
      </c>
      <c r="S1707">
        <f t="shared" si="501"/>
        <v>0</v>
      </c>
      <c r="U1707" t="str">
        <f t="shared" si="502"/>
        <v>continue</v>
      </c>
      <c r="V1707" t="str">
        <f t="shared" si="503"/>
        <v>manual</v>
      </c>
      <c r="W1707" s="5">
        <f t="shared" si="504"/>
        <v>683.28269999999998</v>
      </c>
      <c r="Y1707" t="b">
        <f t="shared" si="505"/>
        <v>1</v>
      </c>
      <c r="Z1707" t="b">
        <f t="shared" si="506"/>
        <v>0</v>
      </c>
      <c r="AB1707" t="str">
        <f t="shared" si="507"/>
        <v/>
      </c>
      <c r="AE1707" t="b">
        <v>0</v>
      </c>
    </row>
    <row r="1708" spans="1:31" x14ac:dyDescent="0.2">
      <c r="A1708" t="str">
        <f t="shared" si="494"/>
        <v>https://shop.officineitalianezard.it/en/products/index/bmw-gs-1200-exhaust-zard-7918-251/</v>
      </c>
      <c r="B1708" t="b">
        <f>COUNTIF($A$2:$A1708, A1708)&gt;1</f>
        <v>1</v>
      </c>
      <c r="C1708" t="b">
        <f t="shared" si="495"/>
        <v>1</v>
      </c>
      <c r="D1708">
        <f>VLOOKUP(A1708,variant_counts!A:B, 2, FALSE)</f>
        <v>3</v>
      </c>
      <c r="E1708" t="str">
        <f t="shared" si="508"/>
        <v>zard-exhaust-silencer-bmw-r-1250-gs-2019-slip-on-version-zbmw523ssr-fc</v>
      </c>
      <c r="F1708" t="str">
        <f t="shared" si="496"/>
        <v>ZARD EXHAUST SILENCER BMW R 1250 GS &gt; 2019 SLIP-ON VERSION ZBMW523SSR-FC</v>
      </c>
      <c r="G1708" t="str">
        <f t="shared" si="497"/>
        <v/>
      </c>
      <c r="H1708" t="str">
        <f t="shared" si="509"/>
        <v/>
      </c>
      <c r="I1708" t="str">
        <f t="shared" si="510"/>
        <v/>
      </c>
      <c r="J1708" t="str">
        <f t="shared" si="511"/>
        <v/>
      </c>
      <c r="K1708" t="str">
        <f t="shared" si="512"/>
        <v/>
      </c>
      <c r="L1708" t="str">
        <f t="shared" si="498"/>
        <v>Option</v>
      </c>
      <c r="M1708" t="str">
        <f t="shared" si="499"/>
        <v>TITANIUM VERSION</v>
      </c>
      <c r="R1708" t="str">
        <f t="shared" si="500"/>
        <v>ZBMW523SSR-FC</v>
      </c>
      <c r="S1708">
        <f t="shared" si="501"/>
        <v>0</v>
      </c>
      <c r="U1708" t="str">
        <f t="shared" si="502"/>
        <v>continue</v>
      </c>
      <c r="V1708" t="str">
        <f t="shared" si="503"/>
        <v>manual</v>
      </c>
      <c r="W1708" s="5">
        <f t="shared" si="504"/>
        <v>687.37860000000001</v>
      </c>
      <c r="Y1708" t="b">
        <f t="shared" si="505"/>
        <v>1</v>
      </c>
      <c r="Z1708" t="b">
        <f t="shared" si="506"/>
        <v>0</v>
      </c>
      <c r="AB1708" t="str">
        <f t="shared" si="507"/>
        <v/>
      </c>
      <c r="AE1708" t="b">
        <v>0</v>
      </c>
    </row>
    <row r="1709" spans="1:31" x14ac:dyDescent="0.2">
      <c r="A1709" t="str">
        <f t="shared" si="494"/>
        <v>https://shop.officineitalianezard.it/en/products/index/bmw-gs-1200-exhaust-zard-7918-251/</v>
      </c>
      <c r="B1709" t="b">
        <f>COUNTIF($A$2:$A1709, A1709)&gt;1</f>
        <v>1</v>
      </c>
      <c r="C1709" t="b">
        <f t="shared" si="495"/>
        <v>1</v>
      </c>
      <c r="D1709">
        <f>VLOOKUP(A1709,variant_counts!A:B, 2, FALSE)</f>
        <v>3</v>
      </c>
      <c r="E1709" t="str">
        <f t="shared" si="508"/>
        <v>zard-exhaust-silencer-bmw-r-1250-gs-2019-slip-on-version-zbmw523ssr-fc</v>
      </c>
      <c r="F1709" t="str">
        <f t="shared" si="496"/>
        <v>ZARD EXHAUST SILENCER BMW R 1250 GS &gt; 2019 SLIP-ON VERSION ZBMW523SSR-FC</v>
      </c>
      <c r="G1709" t="str">
        <f t="shared" si="497"/>
        <v/>
      </c>
      <c r="H1709" t="str">
        <f t="shared" si="509"/>
        <v/>
      </c>
      <c r="I1709" t="str">
        <f t="shared" si="510"/>
        <v/>
      </c>
      <c r="J1709" t="str">
        <f t="shared" si="511"/>
        <v/>
      </c>
      <c r="K1709" t="str">
        <f t="shared" si="512"/>
        <v/>
      </c>
      <c r="L1709" t="str">
        <f t="shared" si="498"/>
        <v>Option</v>
      </c>
      <c r="M1709" t="str">
        <f t="shared" si="499"/>
        <v>CARBON VERSION</v>
      </c>
      <c r="R1709" t="str">
        <f t="shared" si="500"/>
        <v>ZBMW523SSR-FC</v>
      </c>
      <c r="S1709">
        <f t="shared" si="501"/>
        <v>0</v>
      </c>
      <c r="U1709" t="str">
        <f t="shared" si="502"/>
        <v>continue</v>
      </c>
      <c r="V1709" t="str">
        <f t="shared" si="503"/>
        <v>manual</v>
      </c>
      <c r="W1709" s="5">
        <f t="shared" si="504"/>
        <v>707.84699999999998</v>
      </c>
      <c r="Y1709" t="b">
        <f t="shared" si="505"/>
        <v>1</v>
      </c>
      <c r="Z1709" t="b">
        <f t="shared" si="506"/>
        <v>0</v>
      </c>
      <c r="AB1709" t="str">
        <f t="shared" si="507"/>
        <v/>
      </c>
      <c r="AE1709" t="b">
        <v>0</v>
      </c>
    </row>
    <row r="1710" spans="1:31" x14ac:dyDescent="0.2">
      <c r="A1710" t="str">
        <f t="shared" si="494"/>
        <v>https://shop.officineitalianezard.it/en/zard-headers-kit-bmw/</v>
      </c>
      <c r="B1710" t="b">
        <f>COUNTIF($A$2:$A1710, A1710)&gt;1</f>
        <v>0</v>
      </c>
      <c r="C1710" t="b">
        <f t="shared" si="495"/>
        <v>0</v>
      </c>
      <c r="D1710">
        <f>VLOOKUP(A1710,variant_counts!A:B, 2, FALSE)</f>
        <v>2</v>
      </c>
      <c r="E1710" t="str">
        <f t="shared" si="508"/>
        <v>zard-exhaust-headers-kit-bmw-r-1200-r-my-09-10-steel-version-zbmw084scr</v>
      </c>
      <c r="F1710" t="str">
        <f t="shared" si="496"/>
        <v>ZARD EXHAUST HEADERS KIT BMW R 1200 R M.Y. 09-10 STEEL VERSION ZBMW084SCR</v>
      </c>
      <c r="G1710" t="str">
        <f t="shared" si="497"/>
        <v>&lt;p&gt;STEEL RACING HEADERS KIT&lt;/p&gt;
&lt;p&gt;THE EXHAUST CAN BE FITTED ON "ADVENTURE" VERSION&lt;/p&gt;
&lt;p&gt;ORIGINAL HEADERS KIT WEIGHT: KG 4.3&lt;br&gt;ZARD HEADERS KIT WEIGHT: KG 3&lt;/p&gt;
&lt;p&gt;HARD INCREASE, COMPARED TO THE STANDARD EXHAUST SYSTEM, IN TERMS OF TORQUE AND POWER AT ANY RANGE (+5 HP), IF FITTED WITH ZARD CONICAL OR PENTA SILENCER.&lt;/p&gt;
&lt;p&gt;&lt;br class="Apple-interchange-newline"&gt;&lt;br&gt;&lt;/p&gt;</v>
      </c>
      <c r="H1710" t="str">
        <f t="shared" si="509"/>
        <v>ZARD</v>
      </c>
      <c r="I1710" t="str">
        <f t="shared" si="510"/>
        <v>Exhaust Pipe</v>
      </c>
      <c r="J1710" t="str">
        <f t="shared" si="511"/>
        <v>Test</v>
      </c>
      <c r="K1710" t="b">
        <f t="shared" si="512"/>
        <v>0</v>
      </c>
      <c r="L1710" t="str">
        <f t="shared" si="498"/>
        <v/>
      </c>
      <c r="M1710" t="str">
        <f t="shared" si="499"/>
        <v/>
      </c>
      <c r="R1710" t="str">
        <f t="shared" si="500"/>
        <v/>
      </c>
      <c r="S1710" t="str">
        <f t="shared" si="501"/>
        <v/>
      </c>
      <c r="U1710" t="str">
        <f t="shared" si="502"/>
        <v/>
      </c>
      <c r="V1710" t="str">
        <f t="shared" si="503"/>
        <v/>
      </c>
      <c r="W1710" s="5" t="str">
        <f t="shared" si="504"/>
        <v/>
      </c>
      <c r="Y1710" t="str">
        <f t="shared" si="505"/>
        <v/>
      </c>
      <c r="Z1710" t="str">
        <f t="shared" si="506"/>
        <v/>
      </c>
      <c r="AB1710" t="str">
        <f t="shared" si="507"/>
        <v>https://shop.officineitalianezard.it/contents/imgs/products/1_918-Collettorecomp.1.JPG</v>
      </c>
      <c r="AE1710" t="b">
        <v>0</v>
      </c>
    </row>
    <row r="1711" spans="1:31" x14ac:dyDescent="0.2">
      <c r="A1711" t="str">
        <f t="shared" si="494"/>
        <v>https://shop.officineitalianezard.it/en/zard-headers-kit-bmw/</v>
      </c>
      <c r="B1711" t="b">
        <f>COUNTIF($A$2:$A1711, A1711)&gt;1</f>
        <v>1</v>
      </c>
      <c r="C1711" t="b">
        <f t="shared" si="495"/>
        <v>0</v>
      </c>
      <c r="D1711">
        <f>VLOOKUP(A1711,variant_counts!A:B, 2, FALSE)</f>
        <v>2</v>
      </c>
      <c r="E1711" t="str">
        <f t="shared" si="508"/>
        <v>zard-exhaust-headers-kit-bmw-r-1200-r-my-09-10-steel-version-zbmw084scr</v>
      </c>
      <c r="F1711" t="str">
        <f t="shared" si="496"/>
        <v>ZARD EXHAUST HEADERS KIT BMW R 1200 R M.Y. 09-10 STEEL VERSION ZBMW084SCR</v>
      </c>
      <c r="G1711" t="str">
        <f t="shared" si="497"/>
        <v/>
      </c>
      <c r="H1711" t="str">
        <f t="shared" si="509"/>
        <v/>
      </c>
      <c r="I1711" t="str">
        <f t="shared" si="510"/>
        <v/>
      </c>
      <c r="J1711" t="str">
        <f t="shared" si="511"/>
        <v/>
      </c>
      <c r="K1711" t="str">
        <f t="shared" si="512"/>
        <v/>
      </c>
      <c r="L1711" t="str">
        <f t="shared" si="498"/>
        <v/>
      </c>
      <c r="M1711" t="str">
        <f t="shared" si="499"/>
        <v/>
      </c>
      <c r="R1711" t="str">
        <f t="shared" si="500"/>
        <v/>
      </c>
      <c r="S1711" t="str">
        <f t="shared" si="501"/>
        <v/>
      </c>
      <c r="U1711" t="str">
        <f t="shared" si="502"/>
        <v/>
      </c>
      <c r="V1711" t="str">
        <f t="shared" si="503"/>
        <v/>
      </c>
      <c r="W1711" s="5" t="str">
        <f t="shared" si="504"/>
        <v/>
      </c>
      <c r="Y1711" t="str">
        <f t="shared" si="505"/>
        <v/>
      </c>
      <c r="Z1711" t="str">
        <f t="shared" si="506"/>
        <v/>
      </c>
      <c r="AB1711" t="str">
        <f t="shared" si="507"/>
        <v>https://shop.officineitalianezard.it/contents/imgs/products/1_919-Collettorecomp.2.JPG</v>
      </c>
      <c r="AE1711" t="b">
        <v>0</v>
      </c>
    </row>
    <row r="1712" spans="1:31" x14ac:dyDescent="0.2">
      <c r="A1712" t="str">
        <f t="shared" si="494"/>
        <v>https://shop.officineitalianezard.it/en/zard-headers-kit-bmw/</v>
      </c>
      <c r="B1712" t="b">
        <f>COUNTIF($A$2:$A1712, A1712)&gt;1</f>
        <v>1</v>
      </c>
      <c r="C1712" t="b">
        <f t="shared" si="495"/>
        <v>0</v>
      </c>
      <c r="D1712">
        <f>VLOOKUP(A1712,variant_counts!A:B, 2, FALSE)</f>
        <v>2</v>
      </c>
      <c r="E1712" t="str">
        <f t="shared" si="508"/>
        <v>zard-exhaust-headers-kit-bmw-r-1200-r-my-09-10-steel-version-zbmw084scr</v>
      </c>
      <c r="F1712" t="str">
        <f t="shared" si="496"/>
        <v>ZARD EXHAUST HEADERS KIT BMW R 1200 R M.Y. 09-10 STEEL VERSION ZBMW084SCR</v>
      </c>
      <c r="G1712" t="str">
        <f t="shared" si="497"/>
        <v/>
      </c>
      <c r="H1712" t="str">
        <f t="shared" si="509"/>
        <v/>
      </c>
      <c r="I1712" t="str">
        <f t="shared" si="510"/>
        <v/>
      </c>
      <c r="J1712" t="str">
        <f t="shared" si="511"/>
        <v/>
      </c>
      <c r="K1712" t="str">
        <f t="shared" si="512"/>
        <v/>
      </c>
      <c r="L1712" t="str">
        <f t="shared" si="498"/>
        <v/>
      </c>
      <c r="M1712" t="str">
        <f t="shared" si="499"/>
        <v/>
      </c>
      <c r="R1712" t="str">
        <f t="shared" si="500"/>
        <v/>
      </c>
      <c r="S1712" t="str">
        <f t="shared" si="501"/>
        <v/>
      </c>
      <c r="U1712" t="str">
        <f t="shared" si="502"/>
        <v/>
      </c>
      <c r="V1712" t="str">
        <f t="shared" si="503"/>
        <v/>
      </c>
      <c r="W1712" s="5" t="str">
        <f t="shared" si="504"/>
        <v/>
      </c>
      <c r="Y1712" t="str">
        <f t="shared" si="505"/>
        <v/>
      </c>
      <c r="Z1712" t="str">
        <f t="shared" si="506"/>
        <v/>
      </c>
      <c r="AB1712" t="str">
        <f t="shared" si="507"/>
        <v>https://shop.officineitalianezard.it/contents/imgs/products/1_920-Collettorecomp.3.JPG</v>
      </c>
      <c r="AE1712" t="b">
        <v>0</v>
      </c>
    </row>
    <row r="1713" spans="1:31" x14ac:dyDescent="0.2">
      <c r="A1713" t="str">
        <f t="shared" si="494"/>
        <v>https://shop.officineitalianezard.it/en/zard-headers-kit-bmw/</v>
      </c>
      <c r="B1713" t="b">
        <f>COUNTIF($A$2:$A1713, A1713)&gt;1</f>
        <v>1</v>
      </c>
      <c r="C1713" t="b">
        <f t="shared" si="495"/>
        <v>0</v>
      </c>
      <c r="D1713">
        <f>VLOOKUP(A1713,variant_counts!A:B, 2, FALSE)</f>
        <v>2</v>
      </c>
      <c r="E1713" t="str">
        <f t="shared" si="508"/>
        <v>zard-exhaust-headers-kit-bmw-r-1200-r-my-09-10-steel-version-zbmw084scr</v>
      </c>
      <c r="F1713" t="str">
        <f t="shared" si="496"/>
        <v>ZARD EXHAUST HEADERS KIT BMW R 1200 R M.Y. 09-10 STEEL VERSION ZBMW084SCR</v>
      </c>
      <c r="G1713" t="str">
        <f t="shared" si="497"/>
        <v/>
      </c>
      <c r="H1713" t="str">
        <f t="shared" si="509"/>
        <v/>
      </c>
      <c r="I1713" t="str">
        <f t="shared" si="510"/>
        <v/>
      </c>
      <c r="J1713" t="str">
        <f t="shared" si="511"/>
        <v/>
      </c>
      <c r="K1713" t="str">
        <f t="shared" si="512"/>
        <v/>
      </c>
      <c r="L1713" t="str">
        <f t="shared" si="498"/>
        <v/>
      </c>
      <c r="M1713" t="str">
        <f t="shared" si="499"/>
        <v/>
      </c>
      <c r="R1713" t="str">
        <f t="shared" si="500"/>
        <v/>
      </c>
      <c r="S1713" t="str">
        <f t="shared" si="501"/>
        <v/>
      </c>
      <c r="U1713" t="str">
        <f t="shared" si="502"/>
        <v/>
      </c>
      <c r="V1713" t="str">
        <f t="shared" si="503"/>
        <v/>
      </c>
      <c r="W1713" s="5" t="str">
        <f t="shared" si="504"/>
        <v/>
      </c>
      <c r="Y1713" t="str">
        <f t="shared" si="505"/>
        <v/>
      </c>
      <c r="Z1713" t="str">
        <f t="shared" si="506"/>
        <v/>
      </c>
      <c r="AB1713" t="str">
        <f t="shared" si="507"/>
        <v>https://shop.officineitalianezard.it/contents/imgs/products/1_921-Collettorecomp.JPG</v>
      </c>
      <c r="AE1713" t="b">
        <v>0</v>
      </c>
    </row>
    <row r="1714" spans="1:31" x14ac:dyDescent="0.2">
      <c r="A1714" t="str">
        <f t="shared" si="494"/>
        <v>https://shop.officineitalianezard.it/en/zard-headers-kit-bmw/</v>
      </c>
      <c r="B1714" t="b">
        <f>COUNTIF($A$2:$A1714, A1714)&gt;1</f>
        <v>1</v>
      </c>
      <c r="C1714" t="b">
        <f t="shared" si="495"/>
        <v>1</v>
      </c>
      <c r="D1714">
        <f>VLOOKUP(A1714,variant_counts!A:B, 2, FALSE)</f>
        <v>2</v>
      </c>
      <c r="E1714" t="str">
        <f t="shared" si="508"/>
        <v>zard-exhaust-headers-kit-bmw-r-1200-r-my-09-10-steel-version-zbmw084scr</v>
      </c>
      <c r="F1714" t="str">
        <f t="shared" si="496"/>
        <v>ZARD EXHAUST HEADERS KIT BMW R 1200 R M.Y. 09-10 STEEL VERSION ZBMW084SCR</v>
      </c>
      <c r="G1714" t="str">
        <f t="shared" si="497"/>
        <v/>
      </c>
      <c r="H1714" t="str">
        <f t="shared" si="509"/>
        <v/>
      </c>
      <c r="I1714" t="str">
        <f t="shared" si="510"/>
        <v/>
      </c>
      <c r="J1714" t="str">
        <f t="shared" si="511"/>
        <v/>
      </c>
      <c r="K1714" t="str">
        <f t="shared" si="512"/>
        <v/>
      </c>
      <c r="L1714" t="str">
        <f t="shared" si="498"/>
        <v>Option</v>
      </c>
      <c r="M1714" t="str">
        <f t="shared" si="499"/>
        <v>MIRROR POLISHED</v>
      </c>
      <c r="R1714" t="str">
        <f t="shared" si="500"/>
        <v>ZBMW084SCR</v>
      </c>
      <c r="S1714">
        <f t="shared" si="501"/>
        <v>0</v>
      </c>
      <c r="U1714" t="str">
        <f t="shared" si="502"/>
        <v>continue</v>
      </c>
      <c r="V1714" t="str">
        <f t="shared" si="503"/>
        <v>manual</v>
      </c>
      <c r="W1714" s="5">
        <f t="shared" si="504"/>
        <v>423.62040000000002</v>
      </c>
      <c r="Y1714" t="b">
        <f t="shared" si="505"/>
        <v>1</v>
      </c>
      <c r="Z1714" t="b">
        <f t="shared" si="506"/>
        <v>0</v>
      </c>
      <c r="AB1714" t="str">
        <f t="shared" si="507"/>
        <v/>
      </c>
      <c r="AE1714" t="b">
        <v>0</v>
      </c>
    </row>
    <row r="1715" spans="1:31" x14ac:dyDescent="0.2">
      <c r="A1715" t="str">
        <f t="shared" si="494"/>
        <v>https://shop.officineitalianezard.it/en/zard-headers-kit-bmw/</v>
      </c>
      <c r="B1715" t="b">
        <f>COUNTIF($A$2:$A1715, A1715)&gt;1</f>
        <v>1</v>
      </c>
      <c r="C1715" t="b">
        <f t="shared" si="495"/>
        <v>1</v>
      </c>
      <c r="D1715">
        <f>VLOOKUP(A1715,variant_counts!A:B, 2, FALSE)</f>
        <v>2</v>
      </c>
      <c r="E1715" t="str">
        <f t="shared" si="508"/>
        <v>zard-exhaust-headers-kit-bmw-r-1200-r-my-09-10-steel-version-zbmw084scr</v>
      </c>
      <c r="F1715" t="str">
        <f t="shared" si="496"/>
        <v>ZARD EXHAUST HEADERS KIT BMW R 1200 R M.Y. 09-10 STEEL VERSION ZBMW084SCR</v>
      </c>
      <c r="G1715" t="str">
        <f t="shared" si="497"/>
        <v/>
      </c>
      <c r="H1715" t="str">
        <f t="shared" si="509"/>
        <v/>
      </c>
      <c r="I1715" t="str">
        <f t="shared" si="510"/>
        <v/>
      </c>
      <c r="J1715" t="str">
        <f t="shared" si="511"/>
        <v/>
      </c>
      <c r="K1715" t="str">
        <f t="shared" si="512"/>
        <v/>
      </c>
      <c r="L1715" t="str">
        <f t="shared" si="498"/>
        <v>Option</v>
      </c>
      <c r="M1715" t="str">
        <f t="shared" si="499"/>
        <v>BLACK COATING</v>
      </c>
      <c r="R1715" t="str">
        <f t="shared" si="500"/>
        <v>ZBMW084SCR</v>
      </c>
      <c r="S1715">
        <f t="shared" si="501"/>
        <v>0</v>
      </c>
      <c r="U1715" t="str">
        <f t="shared" si="502"/>
        <v>continue</v>
      </c>
      <c r="V1715" t="str">
        <f t="shared" si="503"/>
        <v>manual</v>
      </c>
      <c r="W1715" s="5">
        <f t="shared" si="504"/>
        <v>457.1979</v>
      </c>
      <c r="Y1715" t="b">
        <f t="shared" si="505"/>
        <v>1</v>
      </c>
      <c r="Z1715" t="b">
        <f t="shared" si="506"/>
        <v>0</v>
      </c>
      <c r="AB1715" t="str">
        <f t="shared" si="507"/>
        <v/>
      </c>
      <c r="AE1715" t="b">
        <v>0</v>
      </c>
    </row>
    <row r="1716" spans="1:31" x14ac:dyDescent="0.2">
      <c r="A1716" t="str">
        <f t="shared" si="494"/>
        <v>https://shop.officineitalianezard.it/en/products/index/zard-conical-silencer-bmw-r-1200-r-7525-140/</v>
      </c>
      <c r="B1716" t="b">
        <f>COUNTIF($A$2:$A1716, A1716)&gt;1</f>
        <v>0</v>
      </c>
      <c r="C1716" t="b">
        <f t="shared" si="495"/>
        <v>0</v>
      </c>
      <c r="D1716">
        <f>VLOOKUP(A1716,variant_counts!A:B, 2, FALSE)</f>
        <v>4</v>
      </c>
      <c r="E1716" t="str">
        <f t="shared" si="508"/>
        <v>zard-exhaust-silencer-bmw-r-1200-r-my-09-10-conical-version-zbmw085ssr-s</v>
      </c>
      <c r="F1716" t="str">
        <f t="shared" si="496"/>
        <v>ZARD EXHAUST SILENCER BMW R 1200 R M.Y. 09-10 CONICAL VERSION ZBMW085SSR-S</v>
      </c>
      <c r="G1716" t="str">
        <f t="shared" si="497"/>
        <v>&lt;p&gt;STEEL RACING SILENCER WITH REMOVABLE DB KILLER&amp;nbsp;&lt;/p&gt;
&lt;p&gt;ORIGINAL SILENCER WEIGHT: KG 6.2&lt;br&gt;ZARD SILENCER WEIGHT: KG 3&lt;/p&gt;
&lt;p&gt;HARD INCREASE, COMPARED TO THE ORIGINAL EXHAUST SYSTEM, IN TERMS OF TORQUE AND POWER AT ANY RANGE&lt;/p&gt;
&lt;p&gt;ASTONISHING SOUND&lt;/p&gt;</v>
      </c>
      <c r="H1716" t="str">
        <f t="shared" si="509"/>
        <v>ZARD</v>
      </c>
      <c r="I1716" t="str">
        <f t="shared" si="510"/>
        <v>Exhaust Pipe</v>
      </c>
      <c r="J1716" t="str">
        <f t="shared" si="511"/>
        <v>Test</v>
      </c>
      <c r="K1716" t="b">
        <f t="shared" si="512"/>
        <v>0</v>
      </c>
      <c r="L1716" t="str">
        <f t="shared" si="498"/>
        <v/>
      </c>
      <c r="M1716" t="str">
        <f t="shared" si="499"/>
        <v/>
      </c>
      <c r="R1716" t="str">
        <f t="shared" si="500"/>
        <v/>
      </c>
      <c r="S1716" t="str">
        <f t="shared" si="501"/>
        <v/>
      </c>
      <c r="U1716" t="str">
        <f t="shared" si="502"/>
        <v/>
      </c>
      <c r="V1716" t="str">
        <f t="shared" si="503"/>
        <v/>
      </c>
      <c r="W1716" s="5" t="str">
        <f t="shared" si="504"/>
        <v/>
      </c>
      <c r="Y1716" t="str">
        <f t="shared" si="505"/>
        <v/>
      </c>
      <c r="Z1716" t="str">
        <f t="shared" si="506"/>
        <v/>
      </c>
      <c r="AB1716" t="str">
        <f t="shared" si="507"/>
        <v>https://shop.officineitalianezard.it/contents/imgs/products/1_911-scarichi%20moto%20zard%20bmw%20r%201200%20r%202.jpg</v>
      </c>
      <c r="AE1716" t="b">
        <v>0</v>
      </c>
    </row>
    <row r="1717" spans="1:31" x14ac:dyDescent="0.2">
      <c r="A1717" t="str">
        <f t="shared" si="494"/>
        <v>https://shop.officineitalianezard.it/en/products/index/zard-conical-silencer-bmw-r-1200-r-7525-140/</v>
      </c>
      <c r="B1717" t="b">
        <f>COUNTIF($A$2:$A1717, A1717)&gt;1</f>
        <v>1</v>
      </c>
      <c r="C1717" t="b">
        <f t="shared" si="495"/>
        <v>0</v>
      </c>
      <c r="D1717">
        <f>VLOOKUP(A1717,variant_counts!A:B, 2, FALSE)</f>
        <v>4</v>
      </c>
      <c r="E1717" t="str">
        <f t="shared" si="508"/>
        <v>zard-exhaust-silencer-bmw-r-1200-r-my-09-10-conical-version-zbmw085ssr-s</v>
      </c>
      <c r="F1717" t="str">
        <f t="shared" si="496"/>
        <v>ZARD EXHAUST SILENCER BMW R 1200 R M.Y. 09-10 CONICAL VERSION ZBMW085SSR-S</v>
      </c>
      <c r="G1717" t="str">
        <f t="shared" si="497"/>
        <v/>
      </c>
      <c r="H1717" t="str">
        <f t="shared" si="509"/>
        <v/>
      </c>
      <c r="I1717" t="str">
        <f t="shared" si="510"/>
        <v/>
      </c>
      <c r="J1717" t="str">
        <f t="shared" si="511"/>
        <v/>
      </c>
      <c r="K1717" t="str">
        <f t="shared" si="512"/>
        <v/>
      </c>
      <c r="L1717" t="str">
        <f t="shared" si="498"/>
        <v/>
      </c>
      <c r="M1717" t="str">
        <f t="shared" si="499"/>
        <v/>
      </c>
      <c r="R1717" t="str">
        <f t="shared" si="500"/>
        <v/>
      </c>
      <c r="S1717" t="str">
        <f t="shared" si="501"/>
        <v/>
      </c>
      <c r="U1717" t="str">
        <f t="shared" si="502"/>
        <v/>
      </c>
      <c r="V1717" t="str">
        <f t="shared" si="503"/>
        <v/>
      </c>
      <c r="W1717" s="5" t="str">
        <f t="shared" si="504"/>
        <v/>
      </c>
      <c r="Y1717" t="str">
        <f t="shared" si="505"/>
        <v/>
      </c>
      <c r="Z1717" t="str">
        <f t="shared" si="506"/>
        <v/>
      </c>
      <c r="AB1717" t="str">
        <f t="shared" si="507"/>
        <v>https://shop.officineitalianezard.it/contents/imgs/products/1_932-R1200R.jpg</v>
      </c>
      <c r="AE1717" t="b">
        <v>0</v>
      </c>
    </row>
    <row r="1718" spans="1:31" x14ac:dyDescent="0.2">
      <c r="A1718" t="str">
        <f t="shared" si="494"/>
        <v>https://shop.officineitalianezard.it/en/products/index/zard-conical-silencer-bmw-r-1200-r-7525-140/</v>
      </c>
      <c r="B1718" t="b">
        <f>COUNTIF($A$2:$A1718, A1718)&gt;1</f>
        <v>1</v>
      </c>
      <c r="C1718" t="b">
        <f t="shared" si="495"/>
        <v>1</v>
      </c>
      <c r="D1718">
        <f>VLOOKUP(A1718,variant_counts!A:B, 2, FALSE)</f>
        <v>4</v>
      </c>
      <c r="E1718" t="str">
        <f t="shared" si="508"/>
        <v>zard-exhaust-silencer-bmw-r-1200-r-my-09-10-conical-version-zbmw085ssr-s</v>
      </c>
      <c r="F1718" t="str">
        <f t="shared" si="496"/>
        <v>ZARD EXHAUST SILENCER BMW R 1200 R M.Y. 09-10 CONICAL VERSION ZBMW085SSR-S</v>
      </c>
      <c r="G1718" t="str">
        <f t="shared" si="497"/>
        <v/>
      </c>
      <c r="H1718" t="str">
        <f t="shared" si="509"/>
        <v/>
      </c>
      <c r="I1718" t="str">
        <f t="shared" si="510"/>
        <v/>
      </c>
      <c r="J1718" t="str">
        <f t="shared" si="511"/>
        <v/>
      </c>
      <c r="K1718" t="str">
        <f t="shared" si="512"/>
        <v/>
      </c>
      <c r="L1718" t="str">
        <f t="shared" si="498"/>
        <v>Option</v>
      </c>
      <c r="M1718" t="str">
        <f t="shared" si="499"/>
        <v>HOMOLOGATED EURO 3</v>
      </c>
      <c r="R1718" t="str">
        <f t="shared" si="500"/>
        <v>ZBMW085SSR-S</v>
      </c>
      <c r="S1718">
        <f t="shared" si="501"/>
        <v>0</v>
      </c>
      <c r="U1718" t="str">
        <f t="shared" si="502"/>
        <v>continue</v>
      </c>
      <c r="V1718" t="str">
        <f t="shared" si="503"/>
        <v>manual</v>
      </c>
      <c r="W1718" s="5">
        <f t="shared" si="504"/>
        <v>482.0397000000001</v>
      </c>
      <c r="Y1718" t="b">
        <f t="shared" si="505"/>
        <v>1</v>
      </c>
      <c r="Z1718" t="b">
        <f t="shared" si="506"/>
        <v>0</v>
      </c>
      <c r="AB1718" t="str">
        <f t="shared" si="507"/>
        <v/>
      </c>
      <c r="AE1718" t="b">
        <v>0</v>
      </c>
    </row>
    <row r="1719" spans="1:31" x14ac:dyDescent="0.2">
      <c r="A1719" t="str">
        <f t="shared" si="494"/>
        <v>https://shop.officineitalianezard.it/en/products/index/zard-conical-silencer-bmw-r-1200-r-7525-140/</v>
      </c>
      <c r="B1719" t="b">
        <f>COUNTIF($A$2:$A1719, A1719)&gt;1</f>
        <v>1</v>
      </c>
      <c r="C1719" t="b">
        <f t="shared" si="495"/>
        <v>1</v>
      </c>
      <c r="D1719">
        <f>VLOOKUP(A1719,variant_counts!A:B, 2, FALSE)</f>
        <v>4</v>
      </c>
      <c r="E1719" t="str">
        <f t="shared" si="508"/>
        <v>zard-exhaust-silencer-bmw-r-1200-r-my-09-10-conical-version-zbmw085ssr-s</v>
      </c>
      <c r="F1719" t="str">
        <f t="shared" si="496"/>
        <v>ZARD EXHAUST SILENCER BMW R 1200 R M.Y. 09-10 CONICAL VERSION ZBMW085SSR-S</v>
      </c>
      <c r="G1719" t="str">
        <f t="shared" si="497"/>
        <v/>
      </c>
      <c r="H1719" t="str">
        <f t="shared" si="509"/>
        <v/>
      </c>
      <c r="I1719" t="str">
        <f t="shared" si="510"/>
        <v/>
      </c>
      <c r="J1719" t="str">
        <f t="shared" si="511"/>
        <v/>
      </c>
      <c r="K1719" t="str">
        <f t="shared" si="512"/>
        <v/>
      </c>
      <c r="L1719" t="str">
        <f t="shared" si="498"/>
        <v>Option</v>
      </c>
      <c r="M1719" t="str">
        <f t="shared" si="499"/>
        <v>BLACK COATING</v>
      </c>
      <c r="R1719" t="str">
        <f t="shared" si="500"/>
        <v>ZBMW085SSR-S</v>
      </c>
      <c r="S1719">
        <f t="shared" si="501"/>
        <v>0</v>
      </c>
      <c r="U1719" t="str">
        <f t="shared" si="502"/>
        <v>continue</v>
      </c>
      <c r="V1719" t="str">
        <f t="shared" si="503"/>
        <v>manual</v>
      </c>
      <c r="W1719" s="5">
        <f t="shared" si="504"/>
        <v>541.81320000000005</v>
      </c>
      <c r="Y1719" t="b">
        <f t="shared" si="505"/>
        <v>1</v>
      </c>
      <c r="Z1719" t="b">
        <f t="shared" si="506"/>
        <v>0</v>
      </c>
      <c r="AB1719" t="str">
        <f t="shared" si="507"/>
        <v/>
      </c>
      <c r="AE1719" t="b">
        <v>0</v>
      </c>
    </row>
    <row r="1720" spans="1:31" x14ac:dyDescent="0.2">
      <c r="A1720" t="str">
        <f t="shared" si="494"/>
        <v>https://shop.officineitalianezard.it/en/products/index/zard-conical-silencer-bmw-r-1200-r-7525-140/</v>
      </c>
      <c r="B1720" t="b">
        <f>COUNTIF($A$2:$A1720, A1720)&gt;1</f>
        <v>1</v>
      </c>
      <c r="C1720" t="b">
        <f t="shared" si="495"/>
        <v>1</v>
      </c>
      <c r="D1720">
        <f>VLOOKUP(A1720,variant_counts!A:B, 2, FALSE)</f>
        <v>4</v>
      </c>
      <c r="E1720" t="str">
        <f t="shared" si="508"/>
        <v>zard-exhaust-silencer-bmw-r-1200-r-my-09-10-conical-version-zbmw085ssr-s</v>
      </c>
      <c r="F1720" t="str">
        <f t="shared" si="496"/>
        <v>ZARD EXHAUST SILENCER BMW R 1200 R M.Y. 09-10 CONICAL VERSION ZBMW085SSR-S</v>
      </c>
      <c r="G1720" t="str">
        <f t="shared" si="497"/>
        <v/>
      </c>
      <c r="H1720" t="str">
        <f t="shared" si="509"/>
        <v/>
      </c>
      <c r="I1720" t="str">
        <f t="shared" si="510"/>
        <v/>
      </c>
      <c r="J1720" t="str">
        <f t="shared" si="511"/>
        <v/>
      </c>
      <c r="K1720" t="str">
        <f t="shared" si="512"/>
        <v/>
      </c>
      <c r="L1720" t="str">
        <f t="shared" si="498"/>
        <v>Option</v>
      </c>
      <c r="M1720" t="str">
        <f t="shared" si="499"/>
        <v>MIRROR POLISHED</v>
      </c>
      <c r="R1720" t="str">
        <f t="shared" si="500"/>
        <v>ZBMW085SSR-S</v>
      </c>
      <c r="S1720">
        <f t="shared" si="501"/>
        <v>0</v>
      </c>
      <c r="U1720" t="str">
        <f t="shared" si="502"/>
        <v>continue</v>
      </c>
      <c r="V1720" t="str">
        <f t="shared" si="503"/>
        <v>manual</v>
      </c>
      <c r="W1720" s="5">
        <f t="shared" si="504"/>
        <v>477.12240000000008</v>
      </c>
      <c r="Y1720" t="b">
        <f t="shared" si="505"/>
        <v>1</v>
      </c>
      <c r="Z1720" t="b">
        <f t="shared" si="506"/>
        <v>0</v>
      </c>
      <c r="AB1720" t="str">
        <f t="shared" si="507"/>
        <v/>
      </c>
      <c r="AE1720" t="b">
        <v>0</v>
      </c>
    </row>
    <row r="1721" spans="1:31" x14ac:dyDescent="0.2">
      <c r="A1721" t="str">
        <f t="shared" si="494"/>
        <v>https://shop.officineitalianezard.it/en/products/index/zard-conical-silencer-bmw-r-1200-r-7525-140/</v>
      </c>
      <c r="B1721" t="b">
        <f>COUNTIF($A$2:$A1721, A1721)&gt;1</f>
        <v>1</v>
      </c>
      <c r="C1721" t="b">
        <f t="shared" si="495"/>
        <v>1</v>
      </c>
      <c r="D1721">
        <f>VLOOKUP(A1721,variant_counts!A:B, 2, FALSE)</f>
        <v>4</v>
      </c>
      <c r="E1721" t="str">
        <f t="shared" si="508"/>
        <v>zard-exhaust-silencer-bmw-r-1200-r-my-09-10-conical-version-zbmw085ssr-s</v>
      </c>
      <c r="F1721" t="str">
        <f t="shared" si="496"/>
        <v>ZARD EXHAUST SILENCER BMW R 1200 R M.Y. 09-10 CONICAL VERSION ZBMW085SSR-S</v>
      </c>
      <c r="G1721" t="str">
        <f t="shared" si="497"/>
        <v/>
      </c>
      <c r="H1721" t="str">
        <f t="shared" si="509"/>
        <v/>
      </c>
      <c r="I1721" t="str">
        <f t="shared" si="510"/>
        <v/>
      </c>
      <c r="J1721" t="str">
        <f t="shared" si="511"/>
        <v/>
      </c>
      <c r="K1721" t="str">
        <f t="shared" si="512"/>
        <v/>
      </c>
      <c r="L1721" t="str">
        <f t="shared" si="498"/>
        <v>Option</v>
      </c>
      <c r="M1721" t="str">
        <f t="shared" si="499"/>
        <v>CARBON ENDCAP</v>
      </c>
      <c r="R1721" t="str">
        <f t="shared" si="500"/>
        <v>ZBMW085SSR-S</v>
      </c>
      <c r="S1721">
        <f t="shared" si="501"/>
        <v>0</v>
      </c>
      <c r="U1721" t="str">
        <f t="shared" si="502"/>
        <v>continue</v>
      </c>
      <c r="V1721" t="str">
        <f t="shared" si="503"/>
        <v>manual</v>
      </c>
      <c r="W1721" s="5">
        <f t="shared" si="504"/>
        <v>502.50810000000007</v>
      </c>
      <c r="Y1721" t="b">
        <f t="shared" si="505"/>
        <v>1</v>
      </c>
      <c r="Z1721" t="b">
        <f t="shared" si="506"/>
        <v>0</v>
      </c>
      <c r="AB1721" t="str">
        <f t="shared" si="507"/>
        <v/>
      </c>
      <c r="AE1721" t="b">
        <v>0</v>
      </c>
    </row>
    <row r="1722" spans="1:31" x14ac:dyDescent="0.2">
      <c r="A1722" t="str">
        <f t="shared" si="494"/>
        <v>https://shop.officineitalianezard.it/en/products/index/zard-conical-silencer-bmw-r-1200-r-7524-139/</v>
      </c>
      <c r="B1722" t="b">
        <f>COUNTIF($A$2:$A1722, A1722)&gt;1</f>
        <v>0</v>
      </c>
      <c r="C1722" t="b">
        <f t="shared" si="495"/>
        <v>0</v>
      </c>
      <c r="D1722">
        <f>VLOOKUP(A1722,variant_counts!A:B, 2, FALSE)</f>
        <v>4</v>
      </c>
      <c r="E1722" t="str">
        <f t="shared" si="508"/>
        <v>zard-exhaust-silencer-bmw-r-1200-r-my-04-08-conical-version-zbmw084ssr-s</v>
      </c>
      <c r="F1722" t="str">
        <f t="shared" si="496"/>
        <v>ZARD EXHAUST SILENCER BMW R 1200 R M.Y. 04-08 CONICAL VERSION ZBMW084SSR-S</v>
      </c>
      <c r="G1722" t="str">
        <f t="shared" si="497"/>
        <v>&lt;p&gt;STEEL SILENCER RACING WITH REMOVABLE DBKILLER&lt;/p&gt;
&lt;p&gt;ORIGINAL SILENCER WEIGHT: KG 6.2&lt;br&gt;ZARD SILENCER WEIGHT: KG 3&lt;/p&gt;
&lt;p&gt;HARD INCREASE, COMPARED TO THE ORIGINAL EXHAUST SYSTEM, IN TERMS OF TORQUE AND POWER AT ANY RANGE&lt;/p&gt;
&lt;p&gt;ASTONISHING SOUND&lt;/p&gt;</v>
      </c>
      <c r="H1722" t="str">
        <f t="shared" si="509"/>
        <v>ZARD</v>
      </c>
      <c r="I1722" t="str">
        <f t="shared" si="510"/>
        <v>Exhaust Pipe</v>
      </c>
      <c r="J1722" t="str">
        <f t="shared" si="511"/>
        <v>Test</v>
      </c>
      <c r="K1722" t="b">
        <f t="shared" si="512"/>
        <v>0</v>
      </c>
      <c r="L1722" t="str">
        <f t="shared" si="498"/>
        <v/>
      </c>
      <c r="M1722" t="str">
        <f t="shared" si="499"/>
        <v/>
      </c>
      <c r="R1722" t="str">
        <f t="shared" si="500"/>
        <v/>
      </c>
      <c r="S1722" t="str">
        <f t="shared" si="501"/>
        <v/>
      </c>
      <c r="U1722" t="str">
        <f t="shared" si="502"/>
        <v/>
      </c>
      <c r="V1722" t="str">
        <f t="shared" si="503"/>
        <v/>
      </c>
      <c r="W1722" s="5" t="str">
        <f t="shared" si="504"/>
        <v/>
      </c>
      <c r="Y1722" t="str">
        <f t="shared" si="505"/>
        <v/>
      </c>
      <c r="Z1722" t="str">
        <f t="shared" si="506"/>
        <v/>
      </c>
      <c r="AB1722" t="str">
        <f t="shared" si="507"/>
        <v>https://shop.officineitalianezard.it/contents/imgs/products/1_909-scarichi%20moto%20zard%20bmw%20r%201200%20r%202.jpg</v>
      </c>
      <c r="AE1722" t="b">
        <v>0</v>
      </c>
    </row>
    <row r="1723" spans="1:31" x14ac:dyDescent="0.2">
      <c r="A1723" t="str">
        <f t="shared" si="494"/>
        <v>https://shop.officineitalianezard.it/en/products/index/zard-conical-silencer-bmw-r-1200-r-7524-139/</v>
      </c>
      <c r="B1723" t="b">
        <f>COUNTIF($A$2:$A1723, A1723)&gt;1</f>
        <v>1</v>
      </c>
      <c r="C1723" t="b">
        <f t="shared" si="495"/>
        <v>0</v>
      </c>
      <c r="D1723">
        <f>VLOOKUP(A1723,variant_counts!A:B, 2, FALSE)</f>
        <v>4</v>
      </c>
      <c r="E1723" t="str">
        <f t="shared" si="508"/>
        <v>zard-exhaust-silencer-bmw-r-1200-r-my-04-08-conical-version-zbmw084ssr-s</v>
      </c>
      <c r="F1723" t="str">
        <f t="shared" si="496"/>
        <v>ZARD EXHAUST SILENCER BMW R 1200 R M.Y. 04-08 CONICAL VERSION ZBMW084SSR-S</v>
      </c>
      <c r="G1723" t="str">
        <f t="shared" si="497"/>
        <v/>
      </c>
      <c r="H1723" t="str">
        <f t="shared" si="509"/>
        <v/>
      </c>
      <c r="I1723" t="str">
        <f t="shared" si="510"/>
        <v/>
      </c>
      <c r="J1723" t="str">
        <f t="shared" si="511"/>
        <v/>
      </c>
      <c r="K1723" t="str">
        <f t="shared" si="512"/>
        <v/>
      </c>
      <c r="L1723" t="str">
        <f t="shared" si="498"/>
        <v/>
      </c>
      <c r="M1723" t="str">
        <f t="shared" si="499"/>
        <v/>
      </c>
      <c r="R1723" t="str">
        <f t="shared" si="500"/>
        <v/>
      </c>
      <c r="S1723" t="str">
        <f t="shared" si="501"/>
        <v/>
      </c>
      <c r="U1723" t="str">
        <f t="shared" si="502"/>
        <v/>
      </c>
      <c r="V1723" t="str">
        <f t="shared" si="503"/>
        <v/>
      </c>
      <c r="W1723" s="5" t="str">
        <f t="shared" si="504"/>
        <v/>
      </c>
      <c r="Y1723" t="str">
        <f t="shared" si="505"/>
        <v/>
      </c>
      <c r="Z1723" t="str">
        <f t="shared" si="506"/>
        <v/>
      </c>
      <c r="AB1723" t="str">
        <f t="shared" si="507"/>
        <v>https://shop.officineitalianezard.it/contents/imgs/products/1_933-R1200R.jpg</v>
      </c>
      <c r="AE1723" t="b">
        <v>0</v>
      </c>
    </row>
    <row r="1724" spans="1:31" x14ac:dyDescent="0.2">
      <c r="A1724" t="str">
        <f t="shared" si="494"/>
        <v>https://shop.officineitalianezard.it/en/products/index/zard-conical-silencer-bmw-r-1200-r-7524-139/</v>
      </c>
      <c r="B1724" t="b">
        <f>COUNTIF($A$2:$A1724, A1724)&gt;1</f>
        <v>1</v>
      </c>
      <c r="C1724" t="b">
        <f t="shared" si="495"/>
        <v>1</v>
      </c>
      <c r="D1724">
        <f>VLOOKUP(A1724,variant_counts!A:B, 2, FALSE)</f>
        <v>4</v>
      </c>
      <c r="E1724" t="str">
        <f t="shared" si="508"/>
        <v>zard-exhaust-silencer-bmw-r-1200-r-my-04-08-conical-version-zbmw084ssr-s</v>
      </c>
      <c r="F1724" t="str">
        <f t="shared" si="496"/>
        <v>ZARD EXHAUST SILENCER BMW R 1200 R M.Y. 04-08 CONICAL VERSION ZBMW084SSR-S</v>
      </c>
      <c r="G1724" t="str">
        <f t="shared" si="497"/>
        <v/>
      </c>
      <c r="H1724" t="str">
        <f t="shared" si="509"/>
        <v/>
      </c>
      <c r="I1724" t="str">
        <f t="shared" si="510"/>
        <v/>
      </c>
      <c r="J1724" t="str">
        <f t="shared" si="511"/>
        <v/>
      </c>
      <c r="K1724" t="str">
        <f t="shared" si="512"/>
        <v/>
      </c>
      <c r="L1724" t="str">
        <f t="shared" si="498"/>
        <v>Option</v>
      </c>
      <c r="M1724" t="str">
        <f t="shared" si="499"/>
        <v>HOMOLOGATED EURO 3</v>
      </c>
      <c r="R1724" t="str">
        <f t="shared" si="500"/>
        <v>ZBMW084SSR-S</v>
      </c>
      <c r="S1724">
        <f t="shared" si="501"/>
        <v>0</v>
      </c>
      <c r="U1724" t="str">
        <f t="shared" si="502"/>
        <v>continue</v>
      </c>
      <c r="V1724" t="str">
        <f t="shared" si="503"/>
        <v>manual</v>
      </c>
      <c r="W1724" s="5">
        <f t="shared" si="504"/>
        <v>482.0397000000001</v>
      </c>
      <c r="Y1724" t="b">
        <f t="shared" si="505"/>
        <v>1</v>
      </c>
      <c r="Z1724" t="b">
        <f t="shared" si="506"/>
        <v>0</v>
      </c>
      <c r="AB1724" t="str">
        <f t="shared" si="507"/>
        <v/>
      </c>
      <c r="AE1724" t="b">
        <v>0</v>
      </c>
    </row>
    <row r="1725" spans="1:31" x14ac:dyDescent="0.2">
      <c r="A1725" t="str">
        <f t="shared" si="494"/>
        <v>https://shop.officineitalianezard.it/en/products/index/zard-conical-silencer-bmw-r-1200-r-7524-139/</v>
      </c>
      <c r="B1725" t="b">
        <f>COUNTIF($A$2:$A1725, A1725)&gt;1</f>
        <v>1</v>
      </c>
      <c r="C1725" t="b">
        <f t="shared" si="495"/>
        <v>1</v>
      </c>
      <c r="D1725">
        <f>VLOOKUP(A1725,variant_counts!A:B, 2, FALSE)</f>
        <v>4</v>
      </c>
      <c r="E1725" t="str">
        <f t="shared" si="508"/>
        <v>zard-exhaust-silencer-bmw-r-1200-r-my-04-08-conical-version-zbmw084ssr-s</v>
      </c>
      <c r="F1725" t="str">
        <f t="shared" si="496"/>
        <v>ZARD EXHAUST SILENCER BMW R 1200 R M.Y. 04-08 CONICAL VERSION ZBMW084SSR-S</v>
      </c>
      <c r="G1725" t="str">
        <f t="shared" si="497"/>
        <v/>
      </c>
      <c r="H1725" t="str">
        <f t="shared" si="509"/>
        <v/>
      </c>
      <c r="I1725" t="str">
        <f t="shared" si="510"/>
        <v/>
      </c>
      <c r="J1725" t="str">
        <f t="shared" si="511"/>
        <v/>
      </c>
      <c r="K1725" t="str">
        <f t="shared" si="512"/>
        <v/>
      </c>
      <c r="L1725" t="str">
        <f t="shared" si="498"/>
        <v>Option</v>
      </c>
      <c r="M1725" t="str">
        <f t="shared" si="499"/>
        <v>BLACK COATING</v>
      </c>
      <c r="R1725" t="str">
        <f t="shared" si="500"/>
        <v>ZBMW084SSR-S</v>
      </c>
      <c r="S1725">
        <f t="shared" si="501"/>
        <v>0</v>
      </c>
      <c r="U1725" t="str">
        <f t="shared" si="502"/>
        <v>continue</v>
      </c>
      <c r="V1725" t="str">
        <f t="shared" si="503"/>
        <v>manual</v>
      </c>
      <c r="W1725" s="5">
        <f t="shared" si="504"/>
        <v>541.81320000000005</v>
      </c>
      <c r="Y1725" t="b">
        <f t="shared" si="505"/>
        <v>1</v>
      </c>
      <c r="Z1725" t="b">
        <f t="shared" si="506"/>
        <v>0</v>
      </c>
      <c r="AB1725" t="str">
        <f t="shared" si="507"/>
        <v/>
      </c>
      <c r="AE1725" t="b">
        <v>0</v>
      </c>
    </row>
    <row r="1726" spans="1:31" x14ac:dyDescent="0.2">
      <c r="A1726" t="str">
        <f t="shared" si="494"/>
        <v>https://shop.officineitalianezard.it/en/products/index/zard-conical-silencer-bmw-r-1200-r-7524-139/</v>
      </c>
      <c r="B1726" t="b">
        <f>COUNTIF($A$2:$A1726, A1726)&gt;1</f>
        <v>1</v>
      </c>
      <c r="C1726" t="b">
        <f t="shared" si="495"/>
        <v>1</v>
      </c>
      <c r="D1726">
        <f>VLOOKUP(A1726,variant_counts!A:B, 2, FALSE)</f>
        <v>4</v>
      </c>
      <c r="E1726" t="str">
        <f t="shared" si="508"/>
        <v>zard-exhaust-silencer-bmw-r-1200-r-my-04-08-conical-version-zbmw084ssr-s</v>
      </c>
      <c r="F1726" t="str">
        <f t="shared" si="496"/>
        <v>ZARD EXHAUST SILENCER BMW R 1200 R M.Y. 04-08 CONICAL VERSION ZBMW084SSR-S</v>
      </c>
      <c r="G1726" t="str">
        <f t="shared" si="497"/>
        <v/>
      </c>
      <c r="H1726" t="str">
        <f t="shared" si="509"/>
        <v/>
      </c>
      <c r="I1726" t="str">
        <f t="shared" si="510"/>
        <v/>
      </c>
      <c r="J1726" t="str">
        <f t="shared" si="511"/>
        <v/>
      </c>
      <c r="K1726" t="str">
        <f t="shared" si="512"/>
        <v/>
      </c>
      <c r="L1726" t="str">
        <f t="shared" si="498"/>
        <v>Option</v>
      </c>
      <c r="M1726" t="str">
        <f t="shared" si="499"/>
        <v>MIRROR POLISHED</v>
      </c>
      <c r="R1726" t="str">
        <f t="shared" si="500"/>
        <v>ZBMW084SSR-S</v>
      </c>
      <c r="S1726">
        <f t="shared" si="501"/>
        <v>0</v>
      </c>
      <c r="U1726" t="str">
        <f t="shared" si="502"/>
        <v>continue</v>
      </c>
      <c r="V1726" t="str">
        <f t="shared" si="503"/>
        <v>manual</v>
      </c>
      <c r="W1726" s="5">
        <f t="shared" si="504"/>
        <v>477.12240000000008</v>
      </c>
      <c r="Y1726" t="b">
        <f t="shared" si="505"/>
        <v>1</v>
      </c>
      <c r="Z1726" t="b">
        <f t="shared" si="506"/>
        <v>0</v>
      </c>
      <c r="AB1726" t="str">
        <f t="shared" si="507"/>
        <v/>
      </c>
      <c r="AE1726" t="b">
        <v>0</v>
      </c>
    </row>
    <row r="1727" spans="1:31" x14ac:dyDescent="0.2">
      <c r="A1727" t="str">
        <f t="shared" si="494"/>
        <v>https://shop.officineitalianezard.it/en/products/index/zard-conical-silencer-bmw-r-1200-r-7524-139/</v>
      </c>
      <c r="B1727" t="b">
        <f>COUNTIF($A$2:$A1727, A1727)&gt;1</f>
        <v>1</v>
      </c>
      <c r="C1727" t="b">
        <f t="shared" si="495"/>
        <v>1</v>
      </c>
      <c r="D1727">
        <f>VLOOKUP(A1727,variant_counts!A:B, 2, FALSE)</f>
        <v>4</v>
      </c>
      <c r="E1727" t="str">
        <f t="shared" si="508"/>
        <v>zard-exhaust-silencer-bmw-r-1200-r-my-04-08-conical-version-zbmw084ssr-s</v>
      </c>
      <c r="F1727" t="str">
        <f t="shared" si="496"/>
        <v>ZARD EXHAUST SILENCER BMW R 1200 R M.Y. 04-08 CONICAL VERSION ZBMW084SSR-S</v>
      </c>
      <c r="G1727" t="str">
        <f t="shared" si="497"/>
        <v/>
      </c>
      <c r="H1727" t="str">
        <f t="shared" si="509"/>
        <v/>
      </c>
      <c r="I1727" t="str">
        <f t="shared" si="510"/>
        <v/>
      </c>
      <c r="J1727" t="str">
        <f t="shared" si="511"/>
        <v/>
      </c>
      <c r="K1727" t="str">
        <f t="shared" si="512"/>
        <v/>
      </c>
      <c r="L1727" t="str">
        <f t="shared" si="498"/>
        <v>Option</v>
      </c>
      <c r="M1727" t="str">
        <f t="shared" si="499"/>
        <v>CARBON ENDCAP</v>
      </c>
      <c r="R1727" t="str">
        <f t="shared" si="500"/>
        <v>ZBMW084SSR-S</v>
      </c>
      <c r="S1727">
        <f t="shared" si="501"/>
        <v>0</v>
      </c>
      <c r="U1727" t="str">
        <f t="shared" si="502"/>
        <v>continue</v>
      </c>
      <c r="V1727" t="str">
        <f t="shared" si="503"/>
        <v>manual</v>
      </c>
      <c r="W1727" s="5">
        <f t="shared" si="504"/>
        <v>502.50810000000007</v>
      </c>
      <c r="Y1727" t="b">
        <f t="shared" si="505"/>
        <v>1</v>
      </c>
      <c r="Z1727" t="b">
        <f t="shared" si="506"/>
        <v>0</v>
      </c>
      <c r="AB1727" t="str">
        <f t="shared" si="507"/>
        <v/>
      </c>
      <c r="AE1727" t="b">
        <v>0</v>
      </c>
    </row>
    <row r="1728" spans="1:31" x14ac:dyDescent="0.2">
      <c r="A1728" t="str">
        <f t="shared" si="494"/>
        <v>https://shop.officineitalianezard.it/en/bmw-gs-1200-exhaust-zard/</v>
      </c>
      <c r="B1728" t="b">
        <f>COUNTIF($A$2:$A1728, A1728)&gt;1</f>
        <v>0</v>
      </c>
      <c r="C1728" t="b">
        <f t="shared" si="495"/>
        <v>0</v>
      </c>
      <c r="D1728">
        <f>VLOOKUP(A1728,variant_counts!A:B, 2, FALSE)</f>
        <v>4</v>
      </c>
      <c r="E1728" t="str">
        <f t="shared" si="508"/>
        <v>zard-exhaust-silencer-bmw-r-1200-gs-2013-2018-penta-r-version-zbmw521ssr</v>
      </c>
      <c r="F1728" t="str">
        <f t="shared" si="496"/>
        <v>ZARD EXHAUST SILENCER BMW R 1200 GS 2013-2018 PENTA-R VERSION ZBMW521SSR</v>
      </c>
      <c r="G1728" t="str">
        <f t="shared" si="497"/>
        <v>&lt;p&gt;STEEL RACING SILENCER WITH&amp;nbsp;CARBON ENDCAP AND HEAT SHIELD.&lt;/p&gt;
&lt;p&gt;ORIGINAL SILENCER WEIGHT: KG 6.1&lt;br&gt;ZARD STEEL SILENCER WEIGHT: KG 3.3&lt;br&gt;ZARD TITANIUM SILENCER WEIGHT: KG 3&lt;/p&gt;
&lt;p&gt;HARD INCREASE IN TERMS OF RESPONSE IN THE MID-RANGE AND MORE MAXIMUM POWER COMPARED TO THE DEFAULT EXHAUST SYSTEM.&lt;/p&gt;
&lt;p&gt;ASTONISHING SOUND.&lt;/p&gt;</v>
      </c>
      <c r="H1728" t="str">
        <f t="shared" si="509"/>
        <v>ZARD</v>
      </c>
      <c r="I1728" t="str">
        <f t="shared" si="510"/>
        <v>Exhaust Pipe</v>
      </c>
      <c r="J1728" t="str">
        <f t="shared" si="511"/>
        <v>Test</v>
      </c>
      <c r="K1728" t="b">
        <f t="shared" si="512"/>
        <v>0</v>
      </c>
      <c r="L1728" t="str">
        <f t="shared" si="498"/>
        <v/>
      </c>
      <c r="M1728" t="str">
        <f t="shared" si="499"/>
        <v/>
      </c>
      <c r="R1728" t="str">
        <f t="shared" si="500"/>
        <v/>
      </c>
      <c r="S1728" t="str">
        <f t="shared" si="501"/>
        <v/>
      </c>
      <c r="U1728" t="str">
        <f t="shared" si="502"/>
        <v/>
      </c>
      <c r="V1728" t="str">
        <f t="shared" si="503"/>
        <v/>
      </c>
      <c r="W1728" s="5" t="str">
        <f t="shared" si="504"/>
        <v/>
      </c>
      <c r="Y1728" t="str">
        <f t="shared" si="505"/>
        <v/>
      </c>
      <c r="Z1728" t="str">
        <f t="shared" si="506"/>
        <v/>
      </c>
      <c r="AB1728" t="str">
        <f t="shared" si="507"/>
        <v>https://shop.officineitalianezard.it/contents/imgs/products/1_2270-scarico%20bmw%20gs%201200%20-%20zard%201.jpg</v>
      </c>
      <c r="AE1728" t="b">
        <v>0</v>
      </c>
    </row>
    <row r="1729" spans="1:31" x14ac:dyDescent="0.2">
      <c r="A1729" t="str">
        <f t="shared" si="494"/>
        <v>https://shop.officineitalianezard.it/en/bmw-gs-1200-exhaust-zard/</v>
      </c>
      <c r="B1729" t="b">
        <f>COUNTIF($A$2:$A1729, A1729)&gt;1</f>
        <v>1</v>
      </c>
      <c r="C1729" t="b">
        <f t="shared" si="495"/>
        <v>0</v>
      </c>
      <c r="D1729">
        <f>VLOOKUP(A1729,variant_counts!A:B, 2, FALSE)</f>
        <v>4</v>
      </c>
      <c r="E1729" t="str">
        <f t="shared" si="508"/>
        <v>zard-exhaust-silencer-bmw-r-1200-gs-2013-2018-penta-r-version-zbmw521ssr</v>
      </c>
      <c r="F1729" t="str">
        <f t="shared" si="496"/>
        <v>ZARD EXHAUST SILENCER BMW R 1200 GS 2013-2018 PENTA-R VERSION ZBMW521SSR</v>
      </c>
      <c r="G1729" t="str">
        <f t="shared" si="497"/>
        <v/>
      </c>
      <c r="H1729" t="str">
        <f t="shared" si="509"/>
        <v/>
      </c>
      <c r="I1729" t="str">
        <f t="shared" si="510"/>
        <v/>
      </c>
      <c r="J1729" t="str">
        <f t="shared" si="511"/>
        <v/>
      </c>
      <c r="K1729" t="str">
        <f t="shared" si="512"/>
        <v/>
      </c>
      <c r="L1729" t="str">
        <f t="shared" si="498"/>
        <v/>
      </c>
      <c r="M1729" t="str">
        <f t="shared" si="499"/>
        <v/>
      </c>
      <c r="R1729" t="str">
        <f t="shared" si="500"/>
        <v/>
      </c>
      <c r="S1729" t="str">
        <f t="shared" si="501"/>
        <v/>
      </c>
      <c r="U1729" t="str">
        <f t="shared" si="502"/>
        <v/>
      </c>
      <c r="V1729" t="str">
        <f t="shared" si="503"/>
        <v/>
      </c>
      <c r="W1729" s="5" t="str">
        <f t="shared" si="504"/>
        <v/>
      </c>
      <c r="Y1729" t="str">
        <f t="shared" si="505"/>
        <v/>
      </c>
      <c r="Z1729" t="str">
        <f t="shared" si="506"/>
        <v/>
      </c>
      <c r="AB1729" t="str">
        <f t="shared" si="507"/>
        <v>https://shop.officineitalianezard.it/contents/imgs/products/1_2269-scarico%20bmw%20gs%201200%20-%20zard%202.jpg</v>
      </c>
      <c r="AE1729" t="b">
        <v>0</v>
      </c>
    </row>
    <row r="1730" spans="1:31" x14ac:dyDescent="0.2">
      <c r="A1730" t="str">
        <f t="shared" ref="A1730:A1793" si="513">source_product_link_href</f>
        <v>https://shop.officineitalianezard.it/en/bmw-gs-1200-exhaust-zard/</v>
      </c>
      <c r="B1730" t="b">
        <f>COUNTIF($A$2:$A1730, A1730)&gt;1</f>
        <v>1</v>
      </c>
      <c r="C1730" t="b">
        <f t="shared" ref="C1730:C1793" si="514">NOT(ISBLANK(source_option_name))</f>
        <v>0</v>
      </c>
      <c r="D1730">
        <f>VLOOKUP(A1730,variant_counts!A:B, 2, FALSE)</f>
        <v>4</v>
      </c>
      <c r="E1730" t="str">
        <f t="shared" si="508"/>
        <v>zard-exhaust-silencer-bmw-r-1200-gs-2013-2018-penta-r-version-zbmw521ssr</v>
      </c>
      <c r="F1730" t="str">
        <f t="shared" ref="F1730:F1793" si="515">UPPER("ZARD EXHAUST " &amp; source_title &amp; " " &amp; source_brand &amp; " " &amp; source_bike &amp; " " &amp; source_product_link &amp; " " &amp; source_sku)</f>
        <v>ZARD EXHAUST SILENCER BMW R 1200 GS 2013-2018 PENTA-R VERSION ZBMW521SSR</v>
      </c>
      <c r="G1730" t="str">
        <f t="shared" ref="G1730:G1793" si="516">IF($B1730=FALSE, source_description, "")</f>
        <v/>
      </c>
      <c r="H1730" t="str">
        <f t="shared" si="509"/>
        <v/>
      </c>
      <c r="I1730" t="str">
        <f t="shared" si="510"/>
        <v/>
      </c>
      <c r="J1730" t="str">
        <f t="shared" si="511"/>
        <v/>
      </c>
      <c r="K1730" t="str">
        <f t="shared" si="512"/>
        <v/>
      </c>
      <c r="L1730" t="str">
        <f t="shared" ref="L1730:L1793" si="517">IF(AND(variant_count=0,duplicated=FALSE),"Title",IF(OR(AND(variant_count=1,duplicated=FALSE), source_option_name&lt;&gt;""), "Option", ""))</f>
        <v/>
      </c>
      <c r="M1730" t="str">
        <f t="shared" ref="M1730:M1793" si="518">IF(option1_name="Title", "Default Title", IF(AND(option1_name="Option",ISBLANK(source_option_name)),"DEFAULT",IF(ISBLANK(source_option_name), "", source_option_name)))</f>
        <v/>
      </c>
      <c r="R1730" t="str">
        <f t="shared" ref="R1730:R1793" si="519">IF(option1_name &lt;&gt; "", source_sku, "")</f>
        <v/>
      </c>
      <c r="S1730" t="str">
        <f t="shared" ref="S1730:S1793" si="520">IF(option1_name &lt;&gt; "", 0, "")</f>
        <v/>
      </c>
      <c r="U1730" t="str">
        <f t="shared" ref="U1730:U1793" si="521">IF(option1_name &lt;&gt; "", "continue", "")</f>
        <v/>
      </c>
      <c r="V1730" t="str">
        <f t="shared" ref="V1730:V1793" si="522">IF(option1_name &lt;&gt; "", "manual", "")</f>
        <v/>
      </c>
      <c r="W1730" s="5" t="str">
        <f t="shared" ref="W1730:W1793" si="523">IF(option1_name&lt;&gt;"",(source_price_original+source_option_price)*eur_usd,"")</f>
        <v/>
      </c>
      <c r="Y1730" t="str">
        <f t="shared" ref="Y1730:Y1793" si="524">IF(option1_name&lt;&gt;"",TRUE,"")</f>
        <v/>
      </c>
      <c r="Z1730" t="str">
        <f t="shared" ref="Z1730:Z1793" si="525">IF(option1_name&lt;&gt;"",FALSE,"")</f>
        <v/>
      </c>
      <c r="AB1730" t="str">
        <f t="shared" ref="AB1730:AB1793" si="526">IF(ISBLANK(source_image), "", source_image)</f>
        <v>https://shop.officineitalianezard.it/contents/imgs/products/1_2271-scarico%20bmw%20gs%201200%20-%20zard%203.jpg</v>
      </c>
      <c r="AE1730" t="b">
        <v>0</v>
      </c>
    </row>
    <row r="1731" spans="1:31" x14ac:dyDescent="0.2">
      <c r="A1731" t="str">
        <f t="shared" si="513"/>
        <v>https://shop.officineitalianezard.it/en/bmw-gs-1200-exhaust-zard/</v>
      </c>
      <c r="B1731" t="b">
        <f>COUNTIF($A$2:$A1731, A1731)&gt;1</f>
        <v>1</v>
      </c>
      <c r="C1731" t="b">
        <f t="shared" si="514"/>
        <v>0</v>
      </c>
      <c r="D1731">
        <f>VLOOKUP(A1731,variant_counts!A:B, 2, FALSE)</f>
        <v>4</v>
      </c>
      <c r="E1731" t="str">
        <f t="shared" ref="E1731:E1794" si="527">FormatShopifyHandle(F1731)</f>
        <v>zard-exhaust-silencer-bmw-r-1200-gs-2013-2018-penta-r-version-zbmw521ssr</v>
      </c>
      <c r="F1731" t="str">
        <f t="shared" si="515"/>
        <v>ZARD EXHAUST SILENCER BMW R 1200 GS 2013-2018 PENTA-R VERSION ZBMW521SSR</v>
      </c>
      <c r="G1731" t="str">
        <f t="shared" si="516"/>
        <v/>
      </c>
      <c r="H1731" t="str">
        <f t="shared" ref="H1731:H1794" si="528">IF($B1731=FALSE, "ZARD", "")</f>
        <v/>
      </c>
      <c r="I1731" t="str">
        <f t="shared" ref="I1731:I1794" si="529">IF($B1731=FALSE, "Exhaust Pipe", "")</f>
        <v/>
      </c>
      <c r="J1731" t="str">
        <f t="shared" ref="J1731:J1794" si="530">IF($B1731=FALSE, "Test", "")</f>
        <v/>
      </c>
      <c r="K1731" t="str">
        <f t="shared" ref="K1731:K1794" si="531">IF($B1731=FALSE, FALSE, "")</f>
        <v/>
      </c>
      <c r="L1731" t="str">
        <f t="shared" si="517"/>
        <v/>
      </c>
      <c r="M1731" t="str">
        <f t="shared" si="518"/>
        <v/>
      </c>
      <c r="R1731" t="str">
        <f t="shared" si="519"/>
        <v/>
      </c>
      <c r="S1731" t="str">
        <f t="shared" si="520"/>
        <v/>
      </c>
      <c r="U1731" t="str">
        <f t="shared" si="521"/>
        <v/>
      </c>
      <c r="V1731" t="str">
        <f t="shared" si="522"/>
        <v/>
      </c>
      <c r="W1731" s="5" t="str">
        <f t="shared" si="523"/>
        <v/>
      </c>
      <c r="Y1731" t="str">
        <f t="shared" si="524"/>
        <v/>
      </c>
      <c r="Z1731" t="str">
        <f t="shared" si="525"/>
        <v/>
      </c>
      <c r="AB1731" t="str">
        <f t="shared" si="526"/>
        <v>https://shop.officineitalianezard.it/contents/imgs/products/1_805-1.jpg</v>
      </c>
      <c r="AE1731" t="b">
        <v>0</v>
      </c>
    </row>
    <row r="1732" spans="1:31" x14ac:dyDescent="0.2">
      <c r="A1732" t="str">
        <f t="shared" si="513"/>
        <v>https://shop.officineitalianezard.it/en/bmw-gs-1200-exhaust-zard/</v>
      </c>
      <c r="B1732" t="b">
        <f>COUNTIF($A$2:$A1732, A1732)&gt;1</f>
        <v>1</v>
      </c>
      <c r="C1732" t="b">
        <f t="shared" si="514"/>
        <v>0</v>
      </c>
      <c r="D1732">
        <f>VLOOKUP(A1732,variant_counts!A:B, 2, FALSE)</f>
        <v>4</v>
      </c>
      <c r="E1732" t="str">
        <f t="shared" si="527"/>
        <v>zard-exhaust-silencer-bmw-r-1200-gs-2013-2018-penta-r-version-zbmw521ssr</v>
      </c>
      <c r="F1732" t="str">
        <f t="shared" si="515"/>
        <v>ZARD EXHAUST SILENCER BMW R 1200 GS 2013-2018 PENTA-R VERSION ZBMW521SSR</v>
      </c>
      <c r="G1732" t="str">
        <f t="shared" si="516"/>
        <v/>
      </c>
      <c r="H1732" t="str">
        <f t="shared" si="528"/>
        <v/>
      </c>
      <c r="I1732" t="str">
        <f t="shared" si="529"/>
        <v/>
      </c>
      <c r="J1732" t="str">
        <f t="shared" si="530"/>
        <v/>
      </c>
      <c r="K1732" t="str">
        <f t="shared" si="531"/>
        <v/>
      </c>
      <c r="L1732" t="str">
        <f t="shared" si="517"/>
        <v/>
      </c>
      <c r="M1732" t="str">
        <f t="shared" si="518"/>
        <v/>
      </c>
      <c r="R1732" t="str">
        <f t="shared" si="519"/>
        <v/>
      </c>
      <c r="S1732" t="str">
        <f t="shared" si="520"/>
        <v/>
      </c>
      <c r="U1732" t="str">
        <f t="shared" si="521"/>
        <v/>
      </c>
      <c r="V1732" t="str">
        <f t="shared" si="522"/>
        <v/>
      </c>
      <c r="W1732" s="5" t="str">
        <f t="shared" si="523"/>
        <v/>
      </c>
      <c r="Y1732" t="str">
        <f t="shared" si="524"/>
        <v/>
      </c>
      <c r="Z1732" t="str">
        <f t="shared" si="525"/>
        <v/>
      </c>
      <c r="AB1732" t="str">
        <f t="shared" si="526"/>
        <v>https://shop.officineitalianezard.it/contents/imgs/products/1_807-3.jpg</v>
      </c>
      <c r="AE1732" t="b">
        <v>0</v>
      </c>
    </row>
    <row r="1733" spans="1:31" x14ac:dyDescent="0.2">
      <c r="A1733" t="str">
        <f t="shared" si="513"/>
        <v>https://shop.officineitalianezard.it/en/bmw-gs-1200-exhaust-zard/</v>
      </c>
      <c r="B1733" t="b">
        <f>COUNTIF($A$2:$A1733, A1733)&gt;1</f>
        <v>1</v>
      </c>
      <c r="C1733" t="b">
        <f t="shared" si="514"/>
        <v>0</v>
      </c>
      <c r="D1733">
        <f>VLOOKUP(A1733,variant_counts!A:B, 2, FALSE)</f>
        <v>4</v>
      </c>
      <c r="E1733" t="str">
        <f t="shared" si="527"/>
        <v>zard-exhaust-silencer-bmw-r-1200-gs-2013-2018-penta-r-version-zbmw521ssr</v>
      </c>
      <c r="F1733" t="str">
        <f t="shared" si="515"/>
        <v>ZARD EXHAUST SILENCER BMW R 1200 GS 2013-2018 PENTA-R VERSION ZBMW521SSR</v>
      </c>
      <c r="G1733" t="str">
        <f t="shared" si="516"/>
        <v/>
      </c>
      <c r="H1733" t="str">
        <f t="shared" si="528"/>
        <v/>
      </c>
      <c r="I1733" t="str">
        <f t="shared" si="529"/>
        <v/>
      </c>
      <c r="J1733" t="str">
        <f t="shared" si="530"/>
        <v/>
      </c>
      <c r="K1733" t="str">
        <f t="shared" si="531"/>
        <v/>
      </c>
      <c r="L1733" t="str">
        <f t="shared" si="517"/>
        <v/>
      </c>
      <c r="M1733" t="str">
        <f t="shared" si="518"/>
        <v/>
      </c>
      <c r="R1733" t="str">
        <f t="shared" si="519"/>
        <v/>
      </c>
      <c r="S1733" t="str">
        <f t="shared" si="520"/>
        <v/>
      </c>
      <c r="U1733" t="str">
        <f t="shared" si="521"/>
        <v/>
      </c>
      <c r="V1733" t="str">
        <f t="shared" si="522"/>
        <v/>
      </c>
      <c r="W1733" s="5" t="str">
        <f t="shared" si="523"/>
        <v/>
      </c>
      <c r="Y1733" t="str">
        <f t="shared" si="524"/>
        <v/>
      </c>
      <c r="Z1733" t="str">
        <f t="shared" si="525"/>
        <v/>
      </c>
      <c r="AB1733" t="str">
        <f t="shared" si="526"/>
        <v>https://shop.officineitalianezard.it/contents/imgs/products/1_970-1.jpg</v>
      </c>
      <c r="AE1733" t="b">
        <v>0</v>
      </c>
    </row>
    <row r="1734" spans="1:31" x14ac:dyDescent="0.2">
      <c r="A1734" t="str">
        <f t="shared" si="513"/>
        <v>https://shop.officineitalianezard.it/en/bmw-gs-1200-exhaust-zard/</v>
      </c>
      <c r="B1734" t="b">
        <f>COUNTIF($A$2:$A1734, A1734)&gt;1</f>
        <v>1</v>
      </c>
      <c r="C1734" t="b">
        <f t="shared" si="514"/>
        <v>0</v>
      </c>
      <c r="D1734">
        <f>VLOOKUP(A1734,variant_counts!A:B, 2, FALSE)</f>
        <v>4</v>
      </c>
      <c r="E1734" t="str">
        <f t="shared" si="527"/>
        <v>zard-exhaust-silencer-bmw-r-1200-gs-2013-2018-penta-r-version-zbmw521ssr</v>
      </c>
      <c r="F1734" t="str">
        <f t="shared" si="515"/>
        <v>ZARD EXHAUST SILENCER BMW R 1200 GS 2013-2018 PENTA-R VERSION ZBMW521SSR</v>
      </c>
      <c r="G1734" t="str">
        <f t="shared" si="516"/>
        <v/>
      </c>
      <c r="H1734" t="str">
        <f t="shared" si="528"/>
        <v/>
      </c>
      <c r="I1734" t="str">
        <f t="shared" si="529"/>
        <v/>
      </c>
      <c r="J1734" t="str">
        <f t="shared" si="530"/>
        <v/>
      </c>
      <c r="K1734" t="str">
        <f t="shared" si="531"/>
        <v/>
      </c>
      <c r="L1734" t="str">
        <f t="shared" si="517"/>
        <v/>
      </c>
      <c r="M1734" t="str">
        <f t="shared" si="518"/>
        <v/>
      </c>
      <c r="R1734" t="str">
        <f t="shared" si="519"/>
        <v/>
      </c>
      <c r="S1734" t="str">
        <f t="shared" si="520"/>
        <v/>
      </c>
      <c r="U1734" t="str">
        <f t="shared" si="521"/>
        <v/>
      </c>
      <c r="V1734" t="str">
        <f t="shared" si="522"/>
        <v/>
      </c>
      <c r="W1734" s="5" t="str">
        <f t="shared" si="523"/>
        <v/>
      </c>
      <c r="Y1734" t="str">
        <f t="shared" si="524"/>
        <v/>
      </c>
      <c r="Z1734" t="str">
        <f t="shared" si="525"/>
        <v/>
      </c>
      <c r="AB1734" t="str">
        <f t="shared" si="526"/>
        <v>https://shop.officineitalianezard.it/contents/imgs/products/1_971-2.jpg</v>
      </c>
      <c r="AE1734" t="b">
        <v>0</v>
      </c>
    </row>
    <row r="1735" spans="1:31" x14ac:dyDescent="0.2">
      <c r="A1735" t="str">
        <f t="shared" si="513"/>
        <v>https://shop.officineitalianezard.it/en/bmw-gs-1200-exhaust-zard/</v>
      </c>
      <c r="B1735" t="b">
        <f>COUNTIF($A$2:$A1735, A1735)&gt;1</f>
        <v>1</v>
      </c>
      <c r="C1735" t="b">
        <f t="shared" si="514"/>
        <v>0</v>
      </c>
      <c r="D1735">
        <f>VLOOKUP(A1735,variant_counts!A:B, 2, FALSE)</f>
        <v>4</v>
      </c>
      <c r="E1735" t="str">
        <f t="shared" si="527"/>
        <v>zard-exhaust-silencer-bmw-r-1200-gs-2013-2018-penta-r-version-zbmw521ssr</v>
      </c>
      <c r="F1735" t="str">
        <f t="shared" si="515"/>
        <v>ZARD EXHAUST SILENCER BMW R 1200 GS 2013-2018 PENTA-R VERSION ZBMW521SSR</v>
      </c>
      <c r="G1735" t="str">
        <f t="shared" si="516"/>
        <v/>
      </c>
      <c r="H1735" t="str">
        <f t="shared" si="528"/>
        <v/>
      </c>
      <c r="I1735" t="str">
        <f t="shared" si="529"/>
        <v/>
      </c>
      <c r="J1735" t="str">
        <f t="shared" si="530"/>
        <v/>
      </c>
      <c r="K1735" t="str">
        <f t="shared" si="531"/>
        <v/>
      </c>
      <c r="L1735" t="str">
        <f t="shared" si="517"/>
        <v/>
      </c>
      <c r="M1735" t="str">
        <f t="shared" si="518"/>
        <v/>
      </c>
      <c r="R1735" t="str">
        <f t="shared" si="519"/>
        <v/>
      </c>
      <c r="S1735" t="str">
        <f t="shared" si="520"/>
        <v/>
      </c>
      <c r="U1735" t="str">
        <f t="shared" si="521"/>
        <v/>
      </c>
      <c r="V1735" t="str">
        <f t="shared" si="522"/>
        <v/>
      </c>
      <c r="W1735" s="5" t="str">
        <f t="shared" si="523"/>
        <v/>
      </c>
      <c r="Y1735" t="str">
        <f t="shared" si="524"/>
        <v/>
      </c>
      <c r="Z1735" t="str">
        <f t="shared" si="525"/>
        <v/>
      </c>
      <c r="AB1735" t="str">
        <f t="shared" si="526"/>
        <v>https://shop.officineitalianezard.it/contents/imgs/products/1_972-3.jpg</v>
      </c>
      <c r="AE1735" t="b">
        <v>0</v>
      </c>
    </row>
    <row r="1736" spans="1:31" x14ac:dyDescent="0.2">
      <c r="A1736" t="str">
        <f t="shared" si="513"/>
        <v>https://shop.officineitalianezard.it/en/bmw-gs-1200-exhaust-zard/</v>
      </c>
      <c r="B1736" t="b">
        <f>COUNTIF($A$2:$A1736, A1736)&gt;1</f>
        <v>1</v>
      </c>
      <c r="C1736" t="b">
        <f t="shared" si="514"/>
        <v>0</v>
      </c>
      <c r="D1736">
        <f>VLOOKUP(A1736,variant_counts!A:B, 2, FALSE)</f>
        <v>4</v>
      </c>
      <c r="E1736" t="str">
        <f t="shared" si="527"/>
        <v>zard-exhaust-silencer-bmw-r-1200-gs-2013-2018-penta-r-version-zbmw521ssr</v>
      </c>
      <c r="F1736" t="str">
        <f t="shared" si="515"/>
        <v>ZARD EXHAUST SILENCER BMW R 1200 GS 2013-2018 PENTA-R VERSION ZBMW521SSR</v>
      </c>
      <c r="G1736" t="str">
        <f t="shared" si="516"/>
        <v/>
      </c>
      <c r="H1736" t="str">
        <f t="shared" si="528"/>
        <v/>
      </c>
      <c r="I1736" t="str">
        <f t="shared" si="529"/>
        <v/>
      </c>
      <c r="J1736" t="str">
        <f t="shared" si="530"/>
        <v/>
      </c>
      <c r="K1736" t="str">
        <f t="shared" si="531"/>
        <v/>
      </c>
      <c r="L1736" t="str">
        <f t="shared" si="517"/>
        <v/>
      </c>
      <c r="M1736" t="str">
        <f t="shared" si="518"/>
        <v/>
      </c>
      <c r="R1736" t="str">
        <f t="shared" si="519"/>
        <v/>
      </c>
      <c r="S1736" t="str">
        <f t="shared" si="520"/>
        <v/>
      </c>
      <c r="U1736" t="str">
        <f t="shared" si="521"/>
        <v/>
      </c>
      <c r="V1736" t="str">
        <f t="shared" si="522"/>
        <v/>
      </c>
      <c r="W1736" s="5" t="str">
        <f t="shared" si="523"/>
        <v/>
      </c>
      <c r="Y1736" t="str">
        <f t="shared" si="524"/>
        <v/>
      </c>
      <c r="Z1736" t="str">
        <f t="shared" si="525"/>
        <v/>
      </c>
      <c r="AB1736" t="str">
        <f t="shared" si="526"/>
        <v>https://shop.officineitalianezard.it/contents/imgs/products/1_979-carbon%20exhaust.jpg</v>
      </c>
      <c r="AE1736" t="b">
        <v>0</v>
      </c>
    </row>
    <row r="1737" spans="1:31" x14ac:dyDescent="0.2">
      <c r="A1737" t="str">
        <f t="shared" si="513"/>
        <v>https://shop.officineitalianezard.it/en/bmw-gs-1200-exhaust-zard/</v>
      </c>
      <c r="B1737" t="b">
        <f>COUNTIF($A$2:$A1737, A1737)&gt;1</f>
        <v>1</v>
      </c>
      <c r="C1737" t="b">
        <f t="shared" si="514"/>
        <v>1</v>
      </c>
      <c r="D1737">
        <f>VLOOKUP(A1737,variant_counts!A:B, 2, FALSE)</f>
        <v>4</v>
      </c>
      <c r="E1737" t="str">
        <f t="shared" si="527"/>
        <v>zard-exhaust-silencer-bmw-r-1200-gs-2013-2018-penta-r-version-zbmw521ssr</v>
      </c>
      <c r="F1737" t="str">
        <f t="shared" si="515"/>
        <v>ZARD EXHAUST SILENCER BMW R 1200 GS 2013-2018 PENTA-R VERSION ZBMW521SSR</v>
      </c>
      <c r="G1737" t="str">
        <f t="shared" si="516"/>
        <v/>
      </c>
      <c r="H1737" t="str">
        <f t="shared" si="528"/>
        <v/>
      </c>
      <c r="I1737" t="str">
        <f t="shared" si="529"/>
        <v/>
      </c>
      <c r="J1737" t="str">
        <f t="shared" si="530"/>
        <v/>
      </c>
      <c r="K1737" t="str">
        <f t="shared" si="531"/>
        <v/>
      </c>
      <c r="L1737" t="str">
        <f t="shared" si="517"/>
        <v>Option</v>
      </c>
      <c r="M1737" t="str">
        <f t="shared" si="518"/>
        <v>TITANIUM VERSION</v>
      </c>
      <c r="R1737" t="str">
        <f t="shared" si="519"/>
        <v>ZBMW521SSR</v>
      </c>
      <c r="S1737">
        <f t="shared" si="520"/>
        <v>0</v>
      </c>
      <c r="U1737" t="str">
        <f t="shared" si="521"/>
        <v>continue</v>
      </c>
      <c r="V1737" t="str">
        <f t="shared" si="522"/>
        <v>manual</v>
      </c>
      <c r="W1737" s="5">
        <f t="shared" si="523"/>
        <v>718.76940000000002</v>
      </c>
      <c r="Y1737" t="b">
        <f t="shared" si="524"/>
        <v>1</v>
      </c>
      <c r="Z1737" t="b">
        <f t="shared" si="525"/>
        <v>0</v>
      </c>
      <c r="AB1737" t="str">
        <f t="shared" si="526"/>
        <v/>
      </c>
      <c r="AE1737" t="b">
        <v>0</v>
      </c>
    </row>
    <row r="1738" spans="1:31" x14ac:dyDescent="0.2">
      <c r="A1738" t="str">
        <f t="shared" si="513"/>
        <v>https://shop.officineitalianezard.it/en/bmw-gs-1200-exhaust-zard/</v>
      </c>
      <c r="B1738" t="b">
        <f>COUNTIF($A$2:$A1738, A1738)&gt;1</f>
        <v>1</v>
      </c>
      <c r="C1738" t="b">
        <f t="shared" si="514"/>
        <v>1</v>
      </c>
      <c r="D1738">
        <f>VLOOKUP(A1738,variant_counts!A:B, 2, FALSE)</f>
        <v>4</v>
      </c>
      <c r="E1738" t="str">
        <f t="shared" si="527"/>
        <v>zard-exhaust-silencer-bmw-r-1200-gs-2013-2018-penta-r-version-zbmw521ssr</v>
      </c>
      <c r="F1738" t="str">
        <f t="shared" si="515"/>
        <v>ZARD EXHAUST SILENCER BMW R 1200 GS 2013-2018 PENTA-R VERSION ZBMW521SSR</v>
      </c>
      <c r="G1738" t="str">
        <f t="shared" si="516"/>
        <v/>
      </c>
      <c r="H1738" t="str">
        <f t="shared" si="528"/>
        <v/>
      </c>
      <c r="I1738" t="str">
        <f t="shared" si="529"/>
        <v/>
      </c>
      <c r="J1738" t="str">
        <f t="shared" si="530"/>
        <v/>
      </c>
      <c r="K1738" t="str">
        <f t="shared" si="531"/>
        <v/>
      </c>
      <c r="L1738" t="str">
        <f t="shared" si="517"/>
        <v>Option</v>
      </c>
      <c r="M1738" t="str">
        <f t="shared" si="518"/>
        <v>CARBON VERSION</v>
      </c>
      <c r="R1738" t="str">
        <f t="shared" si="519"/>
        <v>ZBMW521SSR</v>
      </c>
      <c r="S1738">
        <f t="shared" si="520"/>
        <v>0</v>
      </c>
      <c r="U1738" t="str">
        <f t="shared" si="521"/>
        <v>continue</v>
      </c>
      <c r="V1738" t="str">
        <f t="shared" si="522"/>
        <v>manual</v>
      </c>
      <c r="W1738" s="5">
        <f t="shared" si="523"/>
        <v>740.05920000000015</v>
      </c>
      <c r="Y1738" t="b">
        <f t="shared" si="524"/>
        <v>1</v>
      </c>
      <c r="Z1738" t="b">
        <f t="shared" si="525"/>
        <v>0</v>
      </c>
      <c r="AB1738" t="str">
        <f t="shared" si="526"/>
        <v/>
      </c>
      <c r="AE1738" t="b">
        <v>0</v>
      </c>
    </row>
    <row r="1739" spans="1:31" x14ac:dyDescent="0.2">
      <c r="A1739" t="str">
        <f t="shared" si="513"/>
        <v>https://shop.officineitalianezard.it/en/bmw-gs-1200-exhaust-zard/</v>
      </c>
      <c r="B1739" t="b">
        <f>COUNTIF($A$2:$A1739, A1739)&gt;1</f>
        <v>1</v>
      </c>
      <c r="C1739" t="b">
        <f t="shared" si="514"/>
        <v>1</v>
      </c>
      <c r="D1739">
        <f>VLOOKUP(A1739,variant_counts!A:B, 2, FALSE)</f>
        <v>4</v>
      </c>
      <c r="E1739" t="str">
        <f t="shared" si="527"/>
        <v>zard-exhaust-silencer-bmw-r-1200-gs-2013-2018-penta-r-version-zbmw521ssr</v>
      </c>
      <c r="F1739" t="str">
        <f t="shared" si="515"/>
        <v>ZARD EXHAUST SILENCER BMW R 1200 GS 2013-2018 PENTA-R VERSION ZBMW521SSR</v>
      </c>
      <c r="G1739" t="str">
        <f t="shared" si="516"/>
        <v/>
      </c>
      <c r="H1739" t="str">
        <f t="shared" si="528"/>
        <v/>
      </c>
      <c r="I1739" t="str">
        <f t="shared" si="529"/>
        <v/>
      </c>
      <c r="J1739" t="str">
        <f t="shared" si="530"/>
        <v/>
      </c>
      <c r="K1739" t="str">
        <f t="shared" si="531"/>
        <v/>
      </c>
      <c r="L1739" t="str">
        <f t="shared" si="517"/>
        <v>Option</v>
      </c>
      <c r="M1739" t="str">
        <f t="shared" si="518"/>
        <v>HOMOLOGATED EURO 3</v>
      </c>
      <c r="R1739" t="str">
        <f t="shared" si="519"/>
        <v>ZBMW521SSR</v>
      </c>
      <c r="S1739">
        <f t="shared" si="520"/>
        <v>0</v>
      </c>
      <c r="U1739" t="str">
        <f t="shared" si="521"/>
        <v>continue</v>
      </c>
      <c r="V1739" t="str">
        <f t="shared" si="522"/>
        <v>manual</v>
      </c>
      <c r="W1739" s="5">
        <f t="shared" si="523"/>
        <v>654.90000000000009</v>
      </c>
      <c r="Y1739" t="b">
        <f t="shared" si="524"/>
        <v>1</v>
      </c>
      <c r="Z1739" t="b">
        <f t="shared" si="525"/>
        <v>0</v>
      </c>
      <c r="AB1739" t="str">
        <f t="shared" si="526"/>
        <v/>
      </c>
      <c r="AE1739" t="b">
        <v>0</v>
      </c>
    </row>
    <row r="1740" spans="1:31" x14ac:dyDescent="0.2">
      <c r="A1740" t="str">
        <f t="shared" si="513"/>
        <v>https://shop.officineitalianezard.it/en/bmw-gs-1200-exhaust-zard/</v>
      </c>
      <c r="B1740" t="b">
        <f>COUNTIF($A$2:$A1740, A1740)&gt;1</f>
        <v>1</v>
      </c>
      <c r="C1740" t="b">
        <f t="shared" si="514"/>
        <v>1</v>
      </c>
      <c r="D1740">
        <f>VLOOKUP(A1740,variant_counts!A:B, 2, FALSE)</f>
        <v>4</v>
      </c>
      <c r="E1740" t="str">
        <f t="shared" si="527"/>
        <v>zard-exhaust-silencer-bmw-r-1200-gs-2013-2018-penta-r-version-zbmw521ssr</v>
      </c>
      <c r="F1740" t="str">
        <f t="shared" si="515"/>
        <v>ZARD EXHAUST SILENCER BMW R 1200 GS 2013-2018 PENTA-R VERSION ZBMW521SSR</v>
      </c>
      <c r="G1740" t="str">
        <f t="shared" si="516"/>
        <v/>
      </c>
      <c r="H1740" t="str">
        <f t="shared" si="528"/>
        <v/>
      </c>
      <c r="I1740" t="str">
        <f t="shared" si="529"/>
        <v/>
      </c>
      <c r="J1740" t="str">
        <f t="shared" si="530"/>
        <v/>
      </c>
      <c r="K1740" t="str">
        <f t="shared" si="531"/>
        <v/>
      </c>
      <c r="L1740" t="str">
        <f t="shared" si="517"/>
        <v>Option</v>
      </c>
      <c r="M1740" t="str">
        <f t="shared" si="518"/>
        <v>EURO 4 HOMOLOGATED</v>
      </c>
      <c r="R1740" t="str">
        <f t="shared" si="519"/>
        <v>ZBMW521SSR</v>
      </c>
      <c r="S1740">
        <f t="shared" si="520"/>
        <v>0</v>
      </c>
      <c r="U1740" t="str">
        <f t="shared" si="521"/>
        <v>continue</v>
      </c>
      <c r="V1740" t="str">
        <f t="shared" si="522"/>
        <v>manual</v>
      </c>
      <c r="W1740" s="5">
        <f t="shared" si="523"/>
        <v>714.6735000000001</v>
      </c>
      <c r="Y1740" t="b">
        <f t="shared" si="524"/>
        <v>1</v>
      </c>
      <c r="Z1740" t="b">
        <f t="shared" si="525"/>
        <v>0</v>
      </c>
      <c r="AB1740" t="str">
        <f t="shared" si="526"/>
        <v/>
      </c>
      <c r="AE1740" t="b">
        <v>0</v>
      </c>
    </row>
    <row r="1741" spans="1:31" x14ac:dyDescent="0.2">
      <c r="A1741" t="str">
        <f t="shared" si="513"/>
        <v>https://shop.officineitalianezard.it/en/bmw-r-1200-gs-headers-kit-zard/</v>
      </c>
      <c r="B1741" t="b">
        <f>COUNTIF($A$2:$A1741, A1741)&gt;1</f>
        <v>0</v>
      </c>
      <c r="C1741" t="b">
        <f t="shared" si="514"/>
        <v>0</v>
      </c>
      <c r="D1741">
        <f>VLOOKUP(A1741,variant_counts!A:B, 2, FALSE)</f>
        <v>0</v>
      </c>
      <c r="E1741" t="str">
        <f t="shared" si="527"/>
        <v>zard-exhaust-headers-kit-bmw-r-1200-gs-2013-2018-stainless-steel-version-zbmw521scr</v>
      </c>
      <c r="F1741" t="str">
        <f t="shared" si="515"/>
        <v>ZARD EXHAUST HEADERS KIT BMW R 1200 GS 2013-2018 STAINLESS STEEL VERSION ZBMW521SCR</v>
      </c>
      <c r="G1741" t="str">
        <f t="shared" si="516"/>
        <v>&lt;p&gt;&lt;span&gt;STAINLESS STEEL RACING HEADERS KIT WITH COMPENSER&lt;/span&gt;&lt;span&gt;&lt;br&gt;&lt;br&gt;ORIGINAL HEADERS KIT WEIGHT: 3 KG&lt;br&gt;ZARD&amp;nbsp;HEADERS KIT WEIGHT: 2.6 KG&lt;/span&gt;&lt;/p&gt;
&lt;p&gt;&lt;span&gt;HARD INCREASE, COMPARED TO THE STANDARD EXHAUST SYSTEM,&lt;br&gt;IN TERMS OF TORQUE AND POWER AT ANY RANGE (+5 HP),&lt;br&gt;IF FITTED WITH ZARD&amp;nbsp;PENTA-R&amp;nbsp;SLIP-ON&lt;/span&gt;&lt;/p&gt;
&lt;p&gt;&lt;span&gt;&lt;/span&gt;&lt;/p&gt;</v>
      </c>
      <c r="H1741" t="str">
        <f t="shared" si="528"/>
        <v>ZARD</v>
      </c>
      <c r="I1741" t="str">
        <f t="shared" si="529"/>
        <v>Exhaust Pipe</v>
      </c>
      <c r="J1741" t="str">
        <f t="shared" si="530"/>
        <v>Test</v>
      </c>
      <c r="K1741" t="b">
        <f t="shared" si="531"/>
        <v>0</v>
      </c>
      <c r="L1741" t="str">
        <f t="shared" si="517"/>
        <v>Title</v>
      </c>
      <c r="M1741" t="str">
        <f t="shared" si="518"/>
        <v>Default Title</v>
      </c>
      <c r="R1741" t="str">
        <f t="shared" si="519"/>
        <v>ZBMW521SCR</v>
      </c>
      <c r="S1741">
        <f t="shared" si="520"/>
        <v>0</v>
      </c>
      <c r="U1741" t="str">
        <f t="shared" si="521"/>
        <v>continue</v>
      </c>
      <c r="V1741" t="str">
        <f t="shared" si="522"/>
        <v>manual</v>
      </c>
      <c r="W1741" s="5">
        <f t="shared" si="523"/>
        <v>473.11530000000005</v>
      </c>
      <c r="Y1741" t="b">
        <f t="shared" si="524"/>
        <v>1</v>
      </c>
      <c r="Z1741" t="b">
        <f t="shared" si="525"/>
        <v>0</v>
      </c>
      <c r="AB1741" t="str">
        <f t="shared" si="526"/>
        <v>https://shop.officineitalianezard.it/contents/imgs/products/1_2544-1.jpg</v>
      </c>
      <c r="AE1741" t="b">
        <v>0</v>
      </c>
    </row>
    <row r="1742" spans="1:31" x14ac:dyDescent="0.2">
      <c r="A1742" t="str">
        <f t="shared" si="513"/>
        <v>https://shop.officineitalianezard.it/en/bmw-r-1200-gs-headers-kit-zard/</v>
      </c>
      <c r="B1742" t="b">
        <f>COUNTIF($A$2:$A1742, A1742)&gt;1</f>
        <v>1</v>
      </c>
      <c r="C1742" t="b">
        <f t="shared" si="514"/>
        <v>0</v>
      </c>
      <c r="D1742">
        <f>VLOOKUP(A1742,variant_counts!A:B, 2, FALSE)</f>
        <v>0</v>
      </c>
      <c r="E1742" t="str">
        <f t="shared" si="527"/>
        <v>zard-exhaust-headers-kit-bmw-r-1200-gs-2013-2018-stainless-steel-version-zbmw521scr</v>
      </c>
      <c r="F1742" t="str">
        <f t="shared" si="515"/>
        <v>ZARD EXHAUST HEADERS KIT BMW R 1200 GS 2013-2018 STAINLESS STEEL VERSION ZBMW521SCR</v>
      </c>
      <c r="G1742" t="str">
        <f t="shared" si="516"/>
        <v/>
      </c>
      <c r="H1742" t="str">
        <f t="shared" si="528"/>
        <v/>
      </c>
      <c r="I1742" t="str">
        <f t="shared" si="529"/>
        <v/>
      </c>
      <c r="J1742" t="str">
        <f t="shared" si="530"/>
        <v/>
      </c>
      <c r="K1742" t="str">
        <f t="shared" si="531"/>
        <v/>
      </c>
      <c r="L1742" t="str">
        <f t="shared" si="517"/>
        <v/>
      </c>
      <c r="M1742" t="str">
        <f t="shared" si="518"/>
        <v/>
      </c>
      <c r="R1742" t="str">
        <f t="shared" si="519"/>
        <v/>
      </c>
      <c r="S1742" t="str">
        <f t="shared" si="520"/>
        <v/>
      </c>
      <c r="U1742" t="str">
        <f t="shared" si="521"/>
        <v/>
      </c>
      <c r="V1742" t="str">
        <f t="shared" si="522"/>
        <v/>
      </c>
      <c r="W1742" s="5" t="str">
        <f t="shared" si="523"/>
        <v/>
      </c>
      <c r="Y1742" t="str">
        <f t="shared" si="524"/>
        <v/>
      </c>
      <c r="Z1742" t="str">
        <f t="shared" si="525"/>
        <v/>
      </c>
      <c r="AB1742" t="str">
        <f t="shared" si="526"/>
        <v>https://shop.officineitalianezard.it/contents/imgs/products/1_2543-0.jpg</v>
      </c>
      <c r="AE1742" t="b">
        <v>0</v>
      </c>
    </row>
    <row r="1743" spans="1:31" x14ac:dyDescent="0.2">
      <c r="A1743" t="str">
        <f t="shared" si="513"/>
        <v>https://shop.officineitalianezard.it/en/bmw-r-1200-gs-headers-kit-zard/</v>
      </c>
      <c r="B1743" t="b">
        <f>COUNTIF($A$2:$A1743, A1743)&gt;1</f>
        <v>1</v>
      </c>
      <c r="C1743" t="b">
        <f t="shared" si="514"/>
        <v>0</v>
      </c>
      <c r="D1743">
        <f>VLOOKUP(A1743,variant_counts!A:B, 2, FALSE)</f>
        <v>0</v>
      </c>
      <c r="E1743" t="str">
        <f t="shared" si="527"/>
        <v>zard-exhaust-headers-kit-bmw-r-1200-gs-2013-2018-stainless-steel-version-zbmw521scr</v>
      </c>
      <c r="F1743" t="str">
        <f t="shared" si="515"/>
        <v>ZARD EXHAUST HEADERS KIT BMW R 1200 GS 2013-2018 STAINLESS STEEL VERSION ZBMW521SCR</v>
      </c>
      <c r="G1743" t="str">
        <f t="shared" si="516"/>
        <v/>
      </c>
      <c r="H1743" t="str">
        <f t="shared" si="528"/>
        <v/>
      </c>
      <c r="I1743" t="str">
        <f t="shared" si="529"/>
        <v/>
      </c>
      <c r="J1743" t="str">
        <f t="shared" si="530"/>
        <v/>
      </c>
      <c r="K1743" t="str">
        <f t="shared" si="531"/>
        <v/>
      </c>
      <c r="L1743" t="str">
        <f t="shared" si="517"/>
        <v/>
      </c>
      <c r="M1743" t="str">
        <f t="shared" si="518"/>
        <v/>
      </c>
      <c r="R1743" t="str">
        <f t="shared" si="519"/>
        <v/>
      </c>
      <c r="S1743" t="str">
        <f t="shared" si="520"/>
        <v/>
      </c>
      <c r="U1743" t="str">
        <f t="shared" si="521"/>
        <v/>
      </c>
      <c r="V1743" t="str">
        <f t="shared" si="522"/>
        <v/>
      </c>
      <c r="W1743" s="5" t="str">
        <f t="shared" si="523"/>
        <v/>
      </c>
      <c r="Y1743" t="str">
        <f t="shared" si="524"/>
        <v/>
      </c>
      <c r="Z1743" t="str">
        <f t="shared" si="525"/>
        <v/>
      </c>
      <c r="AB1743" t="str">
        <f t="shared" si="526"/>
        <v>https://shop.officineitalianezard.it/contents/imgs/products/1_2545-2.jpg</v>
      </c>
      <c r="AE1743" t="b">
        <v>0</v>
      </c>
    </row>
    <row r="1744" spans="1:31" x14ac:dyDescent="0.2">
      <c r="A1744" t="str">
        <f t="shared" si="513"/>
        <v>https://shop.officineitalianezard.it/en/products/index/zard-headers-kit-bmw-7459-124/</v>
      </c>
      <c r="B1744" t="b">
        <f>COUNTIF($A$2:$A1744, A1744)&gt;1</f>
        <v>0</v>
      </c>
      <c r="C1744" t="b">
        <f t="shared" si="514"/>
        <v>0</v>
      </c>
      <c r="D1744">
        <f>VLOOKUP(A1744,variant_counts!A:B, 2, FALSE)</f>
        <v>5</v>
      </c>
      <c r="E1744" t="str">
        <f t="shared" si="527"/>
        <v>zard-exhaust-headers-kit-bmw-r-1200-gs-my-10-12-steel-version-zbmw-516-sc</v>
      </c>
      <c r="F1744" t="str">
        <f t="shared" si="515"/>
        <v>ZARD EXHAUST HEADERS KIT BMW R 1200 GS M.Y. 10-12 STEEL VERSION ZBMW 516 SC</v>
      </c>
      <c r="G1744" t="str">
        <f t="shared" si="516"/>
        <v>&lt;p&gt;STEEL RACING HEADERS KIT&lt;/p&gt;
&lt;p&gt;THE EXHAUST CAN BE FITTED ON "ADVENTURE" VERSION&lt;/p&gt;
&lt;p&gt;ORIGINAL HEADERS KIT WEIGHT: KG 4.3&lt;br&gt;ZARD HEADERS KIT WEIGHT: KG 3&lt;/p&gt;
&lt;p&gt;HARD INCREASE, COMPARED TO THE STANDARD EXHAUST SYSTEM, IN TERMS OF TORQUE AND POWER AT ANY RANGE (+5 HP), IF FITTED WITH ZARD CONICAL OR PENTA SILENCER.&lt;/p&gt;
&lt;p&gt;&lt;br class="Apple-interchange-newline"&gt;&lt;br&gt;&lt;/p&gt;</v>
      </c>
      <c r="H1744" t="str">
        <f t="shared" si="528"/>
        <v>ZARD</v>
      </c>
      <c r="I1744" t="str">
        <f t="shared" si="529"/>
        <v>Exhaust Pipe</v>
      </c>
      <c r="J1744" t="str">
        <f t="shared" si="530"/>
        <v>Test</v>
      </c>
      <c r="K1744" t="b">
        <f t="shared" si="531"/>
        <v>0</v>
      </c>
      <c r="L1744" t="str">
        <f t="shared" si="517"/>
        <v/>
      </c>
      <c r="M1744" t="str">
        <f t="shared" si="518"/>
        <v/>
      </c>
      <c r="R1744" t="str">
        <f t="shared" si="519"/>
        <v/>
      </c>
      <c r="S1744" t="str">
        <f t="shared" si="520"/>
        <v/>
      </c>
      <c r="U1744" t="str">
        <f t="shared" si="521"/>
        <v/>
      </c>
      <c r="V1744" t="str">
        <f t="shared" si="522"/>
        <v/>
      </c>
      <c r="W1744" s="5" t="str">
        <f t="shared" si="523"/>
        <v/>
      </c>
      <c r="Y1744" t="str">
        <f t="shared" si="524"/>
        <v/>
      </c>
      <c r="Z1744" t="str">
        <f t="shared" si="525"/>
        <v/>
      </c>
      <c r="AB1744" t="str">
        <f t="shared" si="526"/>
        <v>https://shop.officineitalianezard.it/contents/imgs/products/1_779-Collettorecomp.1.JPG</v>
      </c>
      <c r="AE1744" t="b">
        <v>0</v>
      </c>
    </row>
    <row r="1745" spans="1:31" x14ac:dyDescent="0.2">
      <c r="A1745" t="str">
        <f t="shared" si="513"/>
        <v>https://shop.officineitalianezard.it/en/products/index/zard-headers-kit-bmw-7459-124/</v>
      </c>
      <c r="B1745" t="b">
        <f>COUNTIF($A$2:$A1745, A1745)&gt;1</f>
        <v>1</v>
      </c>
      <c r="C1745" t="b">
        <f t="shared" si="514"/>
        <v>0</v>
      </c>
      <c r="D1745">
        <f>VLOOKUP(A1745,variant_counts!A:B, 2, FALSE)</f>
        <v>5</v>
      </c>
      <c r="E1745" t="str">
        <f t="shared" si="527"/>
        <v>zard-exhaust-headers-kit-bmw-r-1200-gs-my-10-12-steel-version-zbmw-516-sc</v>
      </c>
      <c r="F1745" t="str">
        <f t="shared" si="515"/>
        <v>ZARD EXHAUST HEADERS KIT BMW R 1200 GS M.Y. 10-12 STEEL VERSION ZBMW 516 SC</v>
      </c>
      <c r="G1745" t="str">
        <f t="shared" si="516"/>
        <v/>
      </c>
      <c r="H1745" t="str">
        <f t="shared" si="528"/>
        <v/>
      </c>
      <c r="I1745" t="str">
        <f t="shared" si="529"/>
        <v/>
      </c>
      <c r="J1745" t="str">
        <f t="shared" si="530"/>
        <v/>
      </c>
      <c r="K1745" t="str">
        <f t="shared" si="531"/>
        <v/>
      </c>
      <c r="L1745" t="str">
        <f t="shared" si="517"/>
        <v/>
      </c>
      <c r="M1745" t="str">
        <f t="shared" si="518"/>
        <v/>
      </c>
      <c r="R1745" t="str">
        <f t="shared" si="519"/>
        <v/>
      </c>
      <c r="S1745" t="str">
        <f t="shared" si="520"/>
        <v/>
      </c>
      <c r="U1745" t="str">
        <f t="shared" si="521"/>
        <v/>
      </c>
      <c r="V1745" t="str">
        <f t="shared" si="522"/>
        <v/>
      </c>
      <c r="W1745" s="5" t="str">
        <f t="shared" si="523"/>
        <v/>
      </c>
      <c r="Y1745" t="str">
        <f t="shared" si="524"/>
        <v/>
      </c>
      <c r="Z1745" t="str">
        <f t="shared" si="525"/>
        <v/>
      </c>
      <c r="AB1745" t="str">
        <f t="shared" si="526"/>
        <v>https://shop.officineitalianezard.it/contents/imgs/products/1_780-Collettorecomp.2.JPG</v>
      </c>
      <c r="AE1745" t="b">
        <v>0</v>
      </c>
    </row>
    <row r="1746" spans="1:31" x14ac:dyDescent="0.2">
      <c r="A1746" t="str">
        <f t="shared" si="513"/>
        <v>https://shop.officineitalianezard.it/en/products/index/zard-headers-kit-bmw-7459-124/</v>
      </c>
      <c r="B1746" t="b">
        <f>COUNTIF($A$2:$A1746, A1746)&gt;1</f>
        <v>1</v>
      </c>
      <c r="C1746" t="b">
        <f t="shared" si="514"/>
        <v>0</v>
      </c>
      <c r="D1746">
        <f>VLOOKUP(A1746,variant_counts!A:B, 2, FALSE)</f>
        <v>5</v>
      </c>
      <c r="E1746" t="str">
        <f t="shared" si="527"/>
        <v>zard-exhaust-headers-kit-bmw-r-1200-gs-my-10-12-steel-version-zbmw-516-sc</v>
      </c>
      <c r="F1746" t="str">
        <f t="shared" si="515"/>
        <v>ZARD EXHAUST HEADERS KIT BMW R 1200 GS M.Y. 10-12 STEEL VERSION ZBMW 516 SC</v>
      </c>
      <c r="G1746" t="str">
        <f t="shared" si="516"/>
        <v/>
      </c>
      <c r="H1746" t="str">
        <f t="shared" si="528"/>
        <v/>
      </c>
      <c r="I1746" t="str">
        <f t="shared" si="529"/>
        <v/>
      </c>
      <c r="J1746" t="str">
        <f t="shared" si="530"/>
        <v/>
      </c>
      <c r="K1746" t="str">
        <f t="shared" si="531"/>
        <v/>
      </c>
      <c r="L1746" t="str">
        <f t="shared" si="517"/>
        <v/>
      </c>
      <c r="M1746" t="str">
        <f t="shared" si="518"/>
        <v/>
      </c>
      <c r="R1746" t="str">
        <f t="shared" si="519"/>
        <v/>
      </c>
      <c r="S1746" t="str">
        <f t="shared" si="520"/>
        <v/>
      </c>
      <c r="U1746" t="str">
        <f t="shared" si="521"/>
        <v/>
      </c>
      <c r="V1746" t="str">
        <f t="shared" si="522"/>
        <v/>
      </c>
      <c r="W1746" s="5" t="str">
        <f t="shared" si="523"/>
        <v/>
      </c>
      <c r="Y1746" t="str">
        <f t="shared" si="524"/>
        <v/>
      </c>
      <c r="Z1746" t="str">
        <f t="shared" si="525"/>
        <v/>
      </c>
      <c r="AB1746" t="str">
        <f t="shared" si="526"/>
        <v>https://shop.officineitalianezard.it/contents/imgs/products/1_781-Collettorecomp.3.JPG</v>
      </c>
      <c r="AE1746" t="b">
        <v>0</v>
      </c>
    </row>
    <row r="1747" spans="1:31" x14ac:dyDescent="0.2">
      <c r="A1747" t="str">
        <f t="shared" si="513"/>
        <v>https://shop.officineitalianezard.it/en/products/index/zard-headers-kit-bmw-7459-124/</v>
      </c>
      <c r="B1747" t="b">
        <f>COUNTIF($A$2:$A1747, A1747)&gt;1</f>
        <v>1</v>
      </c>
      <c r="C1747" t="b">
        <f t="shared" si="514"/>
        <v>0</v>
      </c>
      <c r="D1747">
        <f>VLOOKUP(A1747,variant_counts!A:B, 2, FALSE)</f>
        <v>5</v>
      </c>
      <c r="E1747" t="str">
        <f t="shared" si="527"/>
        <v>zard-exhaust-headers-kit-bmw-r-1200-gs-my-10-12-steel-version-zbmw-516-sc</v>
      </c>
      <c r="F1747" t="str">
        <f t="shared" si="515"/>
        <v>ZARD EXHAUST HEADERS KIT BMW R 1200 GS M.Y. 10-12 STEEL VERSION ZBMW 516 SC</v>
      </c>
      <c r="G1747" t="str">
        <f t="shared" si="516"/>
        <v/>
      </c>
      <c r="H1747" t="str">
        <f t="shared" si="528"/>
        <v/>
      </c>
      <c r="I1747" t="str">
        <f t="shared" si="529"/>
        <v/>
      </c>
      <c r="J1747" t="str">
        <f t="shared" si="530"/>
        <v/>
      </c>
      <c r="K1747" t="str">
        <f t="shared" si="531"/>
        <v/>
      </c>
      <c r="L1747" t="str">
        <f t="shared" si="517"/>
        <v/>
      </c>
      <c r="M1747" t="str">
        <f t="shared" si="518"/>
        <v/>
      </c>
      <c r="R1747" t="str">
        <f t="shared" si="519"/>
        <v/>
      </c>
      <c r="S1747" t="str">
        <f t="shared" si="520"/>
        <v/>
      </c>
      <c r="U1747" t="str">
        <f t="shared" si="521"/>
        <v/>
      </c>
      <c r="V1747" t="str">
        <f t="shared" si="522"/>
        <v/>
      </c>
      <c r="W1747" s="5" t="str">
        <f t="shared" si="523"/>
        <v/>
      </c>
      <c r="Y1747" t="str">
        <f t="shared" si="524"/>
        <v/>
      </c>
      <c r="Z1747" t="str">
        <f t="shared" si="525"/>
        <v/>
      </c>
      <c r="AB1747" t="str">
        <f t="shared" si="526"/>
        <v>https://shop.officineitalianezard.it/contents/imgs/products/1_782-Collettorecomp.JPG</v>
      </c>
      <c r="AE1747" t="b">
        <v>0</v>
      </c>
    </row>
    <row r="1748" spans="1:31" x14ac:dyDescent="0.2">
      <c r="A1748" t="str">
        <f t="shared" si="513"/>
        <v>https://shop.officineitalianezard.it/en/products/index/zard-headers-kit-bmw-7459-124/</v>
      </c>
      <c r="B1748" t="b">
        <f>COUNTIF($A$2:$A1748, A1748)&gt;1</f>
        <v>1</v>
      </c>
      <c r="C1748" t="b">
        <f t="shared" si="514"/>
        <v>1</v>
      </c>
      <c r="D1748">
        <f>VLOOKUP(A1748,variant_counts!A:B, 2, FALSE)</f>
        <v>5</v>
      </c>
      <c r="E1748" t="str">
        <f t="shared" si="527"/>
        <v>zard-exhaust-headers-kit-bmw-r-1200-gs-my-10-12-steel-version-zbmw-516-sc</v>
      </c>
      <c r="F1748" t="str">
        <f t="shared" si="515"/>
        <v>ZARD EXHAUST HEADERS KIT BMW R 1200 GS M.Y. 10-12 STEEL VERSION ZBMW 516 SC</v>
      </c>
      <c r="G1748" t="str">
        <f t="shared" si="516"/>
        <v/>
      </c>
      <c r="H1748" t="str">
        <f t="shared" si="528"/>
        <v/>
      </c>
      <c r="I1748" t="str">
        <f t="shared" si="529"/>
        <v/>
      </c>
      <c r="J1748" t="str">
        <f t="shared" si="530"/>
        <v/>
      </c>
      <c r="K1748" t="str">
        <f t="shared" si="531"/>
        <v/>
      </c>
      <c r="L1748" t="str">
        <f t="shared" si="517"/>
        <v>Option</v>
      </c>
      <c r="M1748" t="str">
        <f t="shared" si="518"/>
        <v>BLACK COATING</v>
      </c>
      <c r="R1748" t="str">
        <f t="shared" si="519"/>
        <v>ZBMW 516 SC</v>
      </c>
      <c r="S1748">
        <f t="shared" si="520"/>
        <v>0</v>
      </c>
      <c r="U1748" t="str">
        <f t="shared" si="521"/>
        <v>continue</v>
      </c>
      <c r="V1748" t="str">
        <f t="shared" si="522"/>
        <v>manual</v>
      </c>
      <c r="W1748" s="5">
        <f t="shared" si="523"/>
        <v>469.01940000000002</v>
      </c>
      <c r="Y1748" t="b">
        <f t="shared" si="524"/>
        <v>1</v>
      </c>
      <c r="Z1748" t="b">
        <f t="shared" si="525"/>
        <v>0</v>
      </c>
      <c r="AB1748" t="str">
        <f t="shared" si="526"/>
        <v/>
      </c>
      <c r="AE1748" t="b">
        <v>0</v>
      </c>
    </row>
    <row r="1749" spans="1:31" x14ac:dyDescent="0.2">
      <c r="A1749" t="str">
        <f t="shared" si="513"/>
        <v>https://shop.officineitalianezard.it/en/products/index/zard-headers-kit-bmw-7459-124/</v>
      </c>
      <c r="B1749" t="b">
        <f>COUNTIF($A$2:$A1749, A1749)&gt;1</f>
        <v>1</v>
      </c>
      <c r="C1749" t="b">
        <f t="shared" si="514"/>
        <v>1</v>
      </c>
      <c r="D1749">
        <f>VLOOKUP(A1749,variant_counts!A:B, 2, FALSE)</f>
        <v>5</v>
      </c>
      <c r="E1749" t="str">
        <f t="shared" si="527"/>
        <v>zard-exhaust-headers-kit-bmw-r-1200-gs-my-10-12-steel-version-zbmw-516-sc</v>
      </c>
      <c r="F1749" t="str">
        <f t="shared" si="515"/>
        <v>ZARD EXHAUST HEADERS KIT BMW R 1200 GS M.Y. 10-12 STEEL VERSION ZBMW 516 SC</v>
      </c>
      <c r="G1749" t="str">
        <f t="shared" si="516"/>
        <v/>
      </c>
      <c r="H1749" t="str">
        <f t="shared" si="528"/>
        <v/>
      </c>
      <c r="I1749" t="str">
        <f t="shared" si="529"/>
        <v/>
      </c>
      <c r="J1749" t="str">
        <f t="shared" si="530"/>
        <v/>
      </c>
      <c r="K1749" t="str">
        <f t="shared" si="531"/>
        <v/>
      </c>
      <c r="L1749" t="str">
        <f t="shared" si="517"/>
        <v>Option</v>
      </c>
      <c r="M1749" t="str">
        <f t="shared" si="518"/>
        <v>FULL TITANIUM</v>
      </c>
      <c r="R1749" t="str">
        <f t="shared" si="519"/>
        <v>ZBMW 516 SC</v>
      </c>
      <c r="S1749">
        <f t="shared" si="520"/>
        <v>0</v>
      </c>
      <c r="U1749" t="str">
        <f t="shared" si="521"/>
        <v>continue</v>
      </c>
      <c r="V1749" t="str">
        <f t="shared" si="522"/>
        <v>manual</v>
      </c>
      <c r="W1749" s="5">
        <f t="shared" si="523"/>
        <v>664.72350000000006</v>
      </c>
      <c r="Y1749" t="b">
        <f t="shared" si="524"/>
        <v>1</v>
      </c>
      <c r="Z1749" t="b">
        <f t="shared" si="525"/>
        <v>0</v>
      </c>
      <c r="AB1749" t="str">
        <f t="shared" si="526"/>
        <v/>
      </c>
      <c r="AE1749" t="b">
        <v>0</v>
      </c>
    </row>
    <row r="1750" spans="1:31" x14ac:dyDescent="0.2">
      <c r="A1750" t="str">
        <f t="shared" si="513"/>
        <v>https://shop.officineitalianezard.it/en/products/index/zard-headers-kit-bmw-7459-124/</v>
      </c>
      <c r="B1750" t="b">
        <f>COUNTIF($A$2:$A1750, A1750)&gt;1</f>
        <v>1</v>
      </c>
      <c r="C1750" t="b">
        <f t="shared" si="514"/>
        <v>1</v>
      </c>
      <c r="D1750">
        <f>VLOOKUP(A1750,variant_counts!A:B, 2, FALSE)</f>
        <v>5</v>
      </c>
      <c r="E1750" t="str">
        <f t="shared" si="527"/>
        <v>zard-exhaust-headers-kit-bmw-r-1200-gs-my-10-12-steel-version-zbmw-516-sc</v>
      </c>
      <c r="F1750" t="str">
        <f t="shared" si="515"/>
        <v>ZARD EXHAUST HEADERS KIT BMW R 1200 GS M.Y. 10-12 STEEL VERSION ZBMW 516 SC</v>
      </c>
      <c r="G1750" t="str">
        <f t="shared" si="516"/>
        <v/>
      </c>
      <c r="H1750" t="str">
        <f t="shared" si="528"/>
        <v/>
      </c>
      <c r="I1750" t="str">
        <f t="shared" si="529"/>
        <v/>
      </c>
      <c r="J1750" t="str">
        <f t="shared" si="530"/>
        <v/>
      </c>
      <c r="K1750" t="str">
        <f t="shared" si="531"/>
        <v/>
      </c>
      <c r="L1750" t="str">
        <f t="shared" si="517"/>
        <v>Option</v>
      </c>
      <c r="M1750" t="str">
        <f t="shared" si="518"/>
        <v>STEEL WITH COMPENSER</v>
      </c>
      <c r="R1750" t="str">
        <f t="shared" si="519"/>
        <v>ZBMW 516 SC</v>
      </c>
      <c r="S1750">
        <f t="shared" si="520"/>
        <v>0</v>
      </c>
      <c r="U1750" t="str">
        <f t="shared" si="521"/>
        <v>continue</v>
      </c>
      <c r="V1750" t="str">
        <f t="shared" si="522"/>
        <v>manual</v>
      </c>
      <c r="W1750" s="5">
        <f t="shared" si="523"/>
        <v>487.03470000000004</v>
      </c>
      <c r="Y1750" t="b">
        <f t="shared" si="524"/>
        <v>1</v>
      </c>
      <c r="Z1750" t="b">
        <f t="shared" si="525"/>
        <v>0</v>
      </c>
      <c r="AB1750" t="str">
        <f t="shared" si="526"/>
        <v/>
      </c>
      <c r="AE1750" t="b">
        <v>0</v>
      </c>
    </row>
    <row r="1751" spans="1:31" x14ac:dyDescent="0.2">
      <c r="A1751" t="str">
        <f t="shared" si="513"/>
        <v>https://shop.officineitalianezard.it/en/products/index/zard-headers-kit-bmw-7459-124/</v>
      </c>
      <c r="B1751" t="b">
        <f>COUNTIF($A$2:$A1751, A1751)&gt;1</f>
        <v>1</v>
      </c>
      <c r="C1751" t="b">
        <f t="shared" si="514"/>
        <v>1</v>
      </c>
      <c r="D1751">
        <f>VLOOKUP(A1751,variant_counts!A:B, 2, FALSE)</f>
        <v>5</v>
      </c>
      <c r="E1751" t="str">
        <f t="shared" si="527"/>
        <v>zard-exhaust-headers-kit-bmw-r-1200-gs-my-10-12-steel-version-zbmw-516-sc</v>
      </c>
      <c r="F1751" t="str">
        <f t="shared" si="515"/>
        <v>ZARD EXHAUST HEADERS KIT BMW R 1200 GS M.Y. 10-12 STEEL VERSION ZBMW 516 SC</v>
      </c>
      <c r="G1751" t="str">
        <f t="shared" si="516"/>
        <v/>
      </c>
      <c r="H1751" t="str">
        <f t="shared" si="528"/>
        <v/>
      </c>
      <c r="I1751" t="str">
        <f t="shared" si="529"/>
        <v/>
      </c>
      <c r="J1751" t="str">
        <f t="shared" si="530"/>
        <v/>
      </c>
      <c r="K1751" t="str">
        <f t="shared" si="531"/>
        <v/>
      </c>
      <c r="L1751" t="str">
        <f t="shared" si="517"/>
        <v>Option</v>
      </c>
      <c r="M1751" t="str">
        <f t="shared" si="518"/>
        <v>TITANIUM WITH COMPENSER</v>
      </c>
      <c r="R1751" t="str">
        <f t="shared" si="519"/>
        <v>ZBMW 516 SC</v>
      </c>
      <c r="S1751">
        <f t="shared" si="520"/>
        <v>0</v>
      </c>
      <c r="U1751" t="str">
        <f t="shared" si="521"/>
        <v>continue</v>
      </c>
      <c r="V1751" t="str">
        <f t="shared" si="522"/>
        <v>manual</v>
      </c>
      <c r="W1751" s="5">
        <f t="shared" si="523"/>
        <v>768.71940000000006</v>
      </c>
      <c r="Y1751" t="b">
        <f t="shared" si="524"/>
        <v>1</v>
      </c>
      <c r="Z1751" t="b">
        <f t="shared" si="525"/>
        <v>0</v>
      </c>
      <c r="AB1751" t="str">
        <f t="shared" si="526"/>
        <v/>
      </c>
      <c r="AE1751" t="b">
        <v>0</v>
      </c>
    </row>
    <row r="1752" spans="1:31" x14ac:dyDescent="0.2">
      <c r="A1752" t="str">
        <f t="shared" si="513"/>
        <v>https://shop.officineitalianezard.it/en/products/index/zard-headers-kit-bmw-7459-124/</v>
      </c>
      <c r="B1752" t="b">
        <f>COUNTIF($A$2:$A1752, A1752)&gt;1</f>
        <v>1</v>
      </c>
      <c r="C1752" t="b">
        <f t="shared" si="514"/>
        <v>1</v>
      </c>
      <c r="D1752">
        <f>VLOOKUP(A1752,variant_counts!A:B, 2, FALSE)</f>
        <v>5</v>
      </c>
      <c r="E1752" t="str">
        <f t="shared" si="527"/>
        <v>zard-exhaust-headers-kit-bmw-r-1200-gs-my-10-12-steel-version-zbmw-516-sc</v>
      </c>
      <c r="F1752" t="str">
        <f t="shared" si="515"/>
        <v>ZARD EXHAUST HEADERS KIT BMW R 1200 GS M.Y. 10-12 STEEL VERSION ZBMW 516 SC</v>
      </c>
      <c r="G1752" t="str">
        <f t="shared" si="516"/>
        <v/>
      </c>
      <c r="H1752" t="str">
        <f t="shared" si="528"/>
        <v/>
      </c>
      <c r="I1752" t="str">
        <f t="shared" si="529"/>
        <v/>
      </c>
      <c r="J1752" t="str">
        <f t="shared" si="530"/>
        <v/>
      </c>
      <c r="K1752" t="str">
        <f t="shared" si="531"/>
        <v/>
      </c>
      <c r="L1752" t="str">
        <f t="shared" si="517"/>
        <v>Option</v>
      </c>
      <c r="M1752" t="str">
        <f t="shared" si="518"/>
        <v>MIRROR POLISHED</v>
      </c>
      <c r="R1752" t="str">
        <f t="shared" si="519"/>
        <v>ZBMW 516 SC</v>
      </c>
      <c r="S1752">
        <f t="shared" si="520"/>
        <v>0</v>
      </c>
      <c r="U1752" t="str">
        <f t="shared" si="521"/>
        <v>continue</v>
      </c>
      <c r="V1752" t="str">
        <f t="shared" si="522"/>
        <v>manual</v>
      </c>
      <c r="W1752" s="5">
        <f t="shared" si="523"/>
        <v>435.44189999999998</v>
      </c>
      <c r="Y1752" t="b">
        <f t="shared" si="524"/>
        <v>1</v>
      </c>
      <c r="Z1752" t="b">
        <f t="shared" si="525"/>
        <v>0</v>
      </c>
      <c r="AB1752" t="str">
        <f t="shared" si="526"/>
        <v/>
      </c>
      <c r="AE1752" t="b">
        <v>0</v>
      </c>
    </row>
    <row r="1753" spans="1:31" x14ac:dyDescent="0.2">
      <c r="A1753" t="str">
        <f t="shared" si="513"/>
        <v>https://shop.officineitalianezard.it/en/products/index/zard-silencer-penta-version-7460-124/</v>
      </c>
      <c r="B1753" t="b">
        <f>COUNTIF($A$2:$A1753, A1753)&gt;1</f>
        <v>0</v>
      </c>
      <c r="C1753" t="b">
        <f t="shared" si="514"/>
        <v>0</v>
      </c>
      <c r="D1753">
        <f>VLOOKUP(A1753,variant_counts!A:B, 2, FALSE)</f>
        <v>3</v>
      </c>
      <c r="E1753" t="str">
        <f t="shared" si="527"/>
        <v>zard-exhaust-silencer-bmw-r-1200-gs-my-10-12-penta-version-zbmw-517-apr</v>
      </c>
      <c r="F1753" t="str">
        <f t="shared" si="515"/>
        <v>ZARD EXHAUST SILENCER BMW R 1200 GS M.Y. 10-12 PENTA VERSION ZBMW 517 APR</v>
      </c>
      <c r="G1753" t="str">
        <f t="shared" si="516"/>
        <v>&lt;p&gt;STEEL-ALUMINIUM BLACK SILENCER RACING WITH REMOVABLE DB KILLER&lt;/p&gt;
&lt;p&gt;THE EXHAUST CAN BE FITTED ON "ADVENTURE" V ERSION&lt;/p&gt;
&lt;p&gt;ORIGINAL SILENCER WEIGHT: KG 6.2&lt;/p&gt;
&lt;p&gt;ZARD SILENCER WEIGHT: KG 2.7&lt;/p&gt;
&lt;p&gt;HARD INCREASE, COMPARED TO THE STANDARD EXHAUST SYSTEM, IN TERMS OF TORQUE AND POWER AT ANY RANGE&lt;/p&gt;
&lt;p&gt;ASTONISHING SOUND&lt;/p&gt;</v>
      </c>
      <c r="H1753" t="str">
        <f t="shared" si="528"/>
        <v>ZARD</v>
      </c>
      <c r="I1753" t="str">
        <f t="shared" si="529"/>
        <v>Exhaust Pipe</v>
      </c>
      <c r="J1753" t="str">
        <f t="shared" si="530"/>
        <v>Test</v>
      </c>
      <c r="K1753" t="b">
        <f t="shared" si="531"/>
        <v>0</v>
      </c>
      <c r="L1753" t="str">
        <f t="shared" si="517"/>
        <v/>
      </c>
      <c r="M1753" t="str">
        <f t="shared" si="518"/>
        <v/>
      </c>
      <c r="R1753" t="str">
        <f t="shared" si="519"/>
        <v/>
      </c>
      <c r="S1753" t="str">
        <f t="shared" si="520"/>
        <v/>
      </c>
      <c r="U1753" t="str">
        <f t="shared" si="521"/>
        <v/>
      </c>
      <c r="V1753" t="str">
        <f t="shared" si="522"/>
        <v/>
      </c>
      <c r="W1753" s="5" t="str">
        <f t="shared" si="523"/>
        <v/>
      </c>
      <c r="Y1753" t="str">
        <f t="shared" si="524"/>
        <v/>
      </c>
      <c r="Z1753" t="str">
        <f t="shared" si="525"/>
        <v/>
      </c>
      <c r="AB1753" t="str">
        <f t="shared" si="526"/>
        <v>https://shop.officineitalianezard.it/contents/imgs/products/1_797-scarichi%20moto%20zard%20bmw1.jpg</v>
      </c>
      <c r="AE1753" t="b">
        <v>0</v>
      </c>
    </row>
    <row r="1754" spans="1:31" x14ac:dyDescent="0.2">
      <c r="A1754" t="str">
        <f t="shared" si="513"/>
        <v>https://shop.officineitalianezard.it/en/products/index/zard-silencer-penta-version-7460-124/</v>
      </c>
      <c r="B1754" t="b">
        <f>COUNTIF($A$2:$A1754, A1754)&gt;1</f>
        <v>1</v>
      </c>
      <c r="C1754" t="b">
        <f t="shared" si="514"/>
        <v>0</v>
      </c>
      <c r="D1754">
        <f>VLOOKUP(A1754,variant_counts!A:B, 2, FALSE)</f>
        <v>3</v>
      </c>
      <c r="E1754" t="str">
        <f t="shared" si="527"/>
        <v>zard-exhaust-silencer-bmw-r-1200-gs-my-10-12-penta-version-zbmw-517-apr</v>
      </c>
      <c r="F1754" t="str">
        <f t="shared" si="515"/>
        <v>ZARD EXHAUST SILENCER BMW R 1200 GS M.Y. 10-12 PENTA VERSION ZBMW 517 APR</v>
      </c>
      <c r="G1754" t="str">
        <f t="shared" si="516"/>
        <v/>
      </c>
      <c r="H1754" t="str">
        <f t="shared" si="528"/>
        <v/>
      </c>
      <c r="I1754" t="str">
        <f t="shared" si="529"/>
        <v/>
      </c>
      <c r="J1754" t="str">
        <f t="shared" si="530"/>
        <v/>
      </c>
      <c r="K1754" t="str">
        <f t="shared" si="531"/>
        <v/>
      </c>
      <c r="L1754" t="str">
        <f t="shared" si="517"/>
        <v/>
      </c>
      <c r="M1754" t="str">
        <f t="shared" si="518"/>
        <v/>
      </c>
      <c r="R1754" t="str">
        <f t="shared" si="519"/>
        <v/>
      </c>
      <c r="S1754" t="str">
        <f t="shared" si="520"/>
        <v/>
      </c>
      <c r="U1754" t="str">
        <f t="shared" si="521"/>
        <v/>
      </c>
      <c r="V1754" t="str">
        <f t="shared" si="522"/>
        <v/>
      </c>
      <c r="W1754" s="5" t="str">
        <f t="shared" si="523"/>
        <v/>
      </c>
      <c r="Y1754" t="str">
        <f t="shared" si="524"/>
        <v/>
      </c>
      <c r="Z1754" t="str">
        <f t="shared" si="525"/>
        <v/>
      </c>
      <c r="AB1754" t="str">
        <f t="shared" si="526"/>
        <v>https://shop.officineitalianezard.it/contents/imgs/products/1_798-scarichi%20moto%20zard%20bmw2.jpg</v>
      </c>
      <c r="AE1754" t="b">
        <v>0</v>
      </c>
    </row>
    <row r="1755" spans="1:31" x14ac:dyDescent="0.2">
      <c r="A1755" t="str">
        <f t="shared" si="513"/>
        <v>https://shop.officineitalianezard.it/en/products/index/zard-silencer-penta-version-7460-124/</v>
      </c>
      <c r="B1755" t="b">
        <f>COUNTIF($A$2:$A1755, A1755)&gt;1</f>
        <v>1</v>
      </c>
      <c r="C1755" t="b">
        <f t="shared" si="514"/>
        <v>0</v>
      </c>
      <c r="D1755">
        <f>VLOOKUP(A1755,variant_counts!A:B, 2, FALSE)</f>
        <v>3</v>
      </c>
      <c r="E1755" t="str">
        <f t="shared" si="527"/>
        <v>zard-exhaust-silencer-bmw-r-1200-gs-my-10-12-penta-version-zbmw-517-apr</v>
      </c>
      <c r="F1755" t="str">
        <f t="shared" si="515"/>
        <v>ZARD EXHAUST SILENCER BMW R 1200 GS M.Y. 10-12 PENTA VERSION ZBMW 517 APR</v>
      </c>
      <c r="G1755" t="str">
        <f t="shared" si="516"/>
        <v/>
      </c>
      <c r="H1755" t="str">
        <f t="shared" si="528"/>
        <v/>
      </c>
      <c r="I1755" t="str">
        <f t="shared" si="529"/>
        <v/>
      </c>
      <c r="J1755" t="str">
        <f t="shared" si="530"/>
        <v/>
      </c>
      <c r="K1755" t="str">
        <f t="shared" si="531"/>
        <v/>
      </c>
      <c r="L1755" t="str">
        <f t="shared" si="517"/>
        <v/>
      </c>
      <c r="M1755" t="str">
        <f t="shared" si="518"/>
        <v/>
      </c>
      <c r="R1755" t="str">
        <f t="shared" si="519"/>
        <v/>
      </c>
      <c r="S1755" t="str">
        <f t="shared" si="520"/>
        <v/>
      </c>
      <c r="U1755" t="str">
        <f t="shared" si="521"/>
        <v/>
      </c>
      <c r="V1755" t="str">
        <f t="shared" si="522"/>
        <v/>
      </c>
      <c r="W1755" s="5" t="str">
        <f t="shared" si="523"/>
        <v/>
      </c>
      <c r="Y1755" t="str">
        <f t="shared" si="524"/>
        <v/>
      </c>
      <c r="Z1755" t="str">
        <f t="shared" si="525"/>
        <v/>
      </c>
      <c r="AB1755" t="str">
        <f t="shared" si="526"/>
        <v>https://shop.officineitalianezard.it/contents/imgs/products/1_799-scarichi%20moto%20zard%20bmw3.jpg</v>
      </c>
      <c r="AE1755" t="b">
        <v>0</v>
      </c>
    </row>
    <row r="1756" spans="1:31" x14ac:dyDescent="0.2">
      <c r="A1756" t="str">
        <f t="shared" si="513"/>
        <v>https://shop.officineitalianezard.it/en/products/index/zard-silencer-penta-version-7460-124/</v>
      </c>
      <c r="B1756" t="b">
        <f>COUNTIF($A$2:$A1756, A1756)&gt;1</f>
        <v>1</v>
      </c>
      <c r="C1756" t="b">
        <f t="shared" si="514"/>
        <v>1</v>
      </c>
      <c r="D1756">
        <f>VLOOKUP(A1756,variant_counts!A:B, 2, FALSE)</f>
        <v>3</v>
      </c>
      <c r="E1756" t="str">
        <f t="shared" si="527"/>
        <v>zard-exhaust-silencer-bmw-r-1200-gs-my-10-12-penta-version-zbmw-517-apr</v>
      </c>
      <c r="F1756" t="str">
        <f t="shared" si="515"/>
        <v>ZARD EXHAUST SILENCER BMW R 1200 GS M.Y. 10-12 PENTA VERSION ZBMW 517 APR</v>
      </c>
      <c r="G1756" t="str">
        <f t="shared" si="516"/>
        <v/>
      </c>
      <c r="H1756" t="str">
        <f t="shared" si="528"/>
        <v/>
      </c>
      <c r="I1756" t="str">
        <f t="shared" si="529"/>
        <v/>
      </c>
      <c r="J1756" t="str">
        <f t="shared" si="530"/>
        <v/>
      </c>
      <c r="K1756" t="str">
        <f t="shared" si="531"/>
        <v/>
      </c>
      <c r="L1756" t="str">
        <f t="shared" si="517"/>
        <v>Option</v>
      </c>
      <c r="M1756" t="str">
        <f t="shared" si="518"/>
        <v>EURO 3 HOMOLOGATED</v>
      </c>
      <c r="R1756" t="str">
        <f t="shared" si="519"/>
        <v>ZBMW 517 APR</v>
      </c>
      <c r="S1756">
        <f t="shared" si="520"/>
        <v>0</v>
      </c>
      <c r="U1756" t="str">
        <f t="shared" si="521"/>
        <v>continue</v>
      </c>
      <c r="V1756" t="str">
        <f t="shared" si="522"/>
        <v>manual</v>
      </c>
      <c r="W1756" s="5">
        <f t="shared" si="523"/>
        <v>518.69190000000003</v>
      </c>
      <c r="Y1756" t="b">
        <f t="shared" si="524"/>
        <v>1</v>
      </c>
      <c r="Z1756" t="b">
        <f t="shared" si="525"/>
        <v>0</v>
      </c>
      <c r="AB1756" t="str">
        <f t="shared" si="526"/>
        <v/>
      </c>
      <c r="AE1756" t="b">
        <v>0</v>
      </c>
    </row>
    <row r="1757" spans="1:31" x14ac:dyDescent="0.2">
      <c r="A1757" t="str">
        <f t="shared" si="513"/>
        <v>https://shop.officineitalianezard.it/en/products/index/zard-silencer-penta-version-7460-124/</v>
      </c>
      <c r="B1757" t="b">
        <f>COUNTIF($A$2:$A1757, A1757)&gt;1</f>
        <v>1</v>
      </c>
      <c r="C1757" t="b">
        <f t="shared" si="514"/>
        <v>1</v>
      </c>
      <c r="D1757">
        <f>VLOOKUP(A1757,variant_counts!A:B, 2, FALSE)</f>
        <v>3</v>
      </c>
      <c r="E1757" t="str">
        <f t="shared" si="527"/>
        <v>zard-exhaust-silencer-bmw-r-1200-gs-my-10-12-penta-version-zbmw-517-apr</v>
      </c>
      <c r="F1757" t="str">
        <f t="shared" si="515"/>
        <v>ZARD EXHAUST SILENCER BMW R 1200 GS M.Y. 10-12 PENTA VERSION ZBMW 517 APR</v>
      </c>
      <c r="G1757" t="str">
        <f t="shared" si="516"/>
        <v/>
      </c>
      <c r="H1757" t="str">
        <f t="shared" si="528"/>
        <v/>
      </c>
      <c r="I1757" t="str">
        <f t="shared" si="529"/>
        <v/>
      </c>
      <c r="J1757" t="str">
        <f t="shared" si="530"/>
        <v/>
      </c>
      <c r="K1757" t="str">
        <f t="shared" si="531"/>
        <v/>
      </c>
      <c r="L1757" t="str">
        <f t="shared" si="517"/>
        <v>Option</v>
      </c>
      <c r="M1757" t="str">
        <f t="shared" si="518"/>
        <v>CARBON (RACING ONLY)</v>
      </c>
      <c r="R1757" t="str">
        <f t="shared" si="519"/>
        <v>ZBMW 517 APR</v>
      </c>
      <c r="S1757">
        <f t="shared" si="520"/>
        <v>0</v>
      </c>
      <c r="U1757" t="str">
        <f t="shared" si="521"/>
        <v>continue</v>
      </c>
      <c r="V1757" t="str">
        <f t="shared" si="522"/>
        <v>manual</v>
      </c>
      <c r="W1757" s="5">
        <f t="shared" si="523"/>
        <v>580.92960000000005</v>
      </c>
      <c r="Y1757" t="b">
        <f t="shared" si="524"/>
        <v>1</v>
      </c>
      <c r="Z1757" t="b">
        <f t="shared" si="525"/>
        <v>0</v>
      </c>
      <c r="AB1757" t="str">
        <f t="shared" si="526"/>
        <v/>
      </c>
      <c r="AE1757" t="b">
        <v>0</v>
      </c>
    </row>
    <row r="1758" spans="1:31" x14ac:dyDescent="0.2">
      <c r="A1758" t="str">
        <f t="shared" si="513"/>
        <v>https://shop.officineitalianezard.it/en/products/index/zard-silencer-penta-version-7460-124/</v>
      </c>
      <c r="B1758" t="b">
        <f>COUNTIF($A$2:$A1758, A1758)&gt;1</f>
        <v>1</v>
      </c>
      <c r="C1758" t="b">
        <f t="shared" si="514"/>
        <v>1</v>
      </c>
      <c r="D1758">
        <f>VLOOKUP(A1758,variant_counts!A:B, 2, FALSE)</f>
        <v>3</v>
      </c>
      <c r="E1758" t="str">
        <f t="shared" si="527"/>
        <v>zard-exhaust-silencer-bmw-r-1200-gs-my-10-12-penta-version-zbmw-517-apr</v>
      </c>
      <c r="F1758" t="str">
        <f t="shared" si="515"/>
        <v>ZARD EXHAUST SILENCER BMW R 1200 GS M.Y. 10-12 PENTA VERSION ZBMW 517 APR</v>
      </c>
      <c r="G1758" t="str">
        <f t="shared" si="516"/>
        <v/>
      </c>
      <c r="H1758" t="str">
        <f t="shared" si="528"/>
        <v/>
      </c>
      <c r="I1758" t="str">
        <f t="shared" si="529"/>
        <v/>
      </c>
      <c r="J1758" t="str">
        <f t="shared" si="530"/>
        <v/>
      </c>
      <c r="K1758" t="str">
        <f t="shared" si="531"/>
        <v/>
      </c>
      <c r="L1758" t="str">
        <f t="shared" si="517"/>
        <v>Option</v>
      </c>
      <c r="M1758" t="str">
        <f t="shared" si="518"/>
        <v>CARBON ENDCAP</v>
      </c>
      <c r="R1758" t="str">
        <f t="shared" si="519"/>
        <v>ZBMW 517 APR</v>
      </c>
      <c r="S1758">
        <f t="shared" si="520"/>
        <v>0</v>
      </c>
      <c r="U1758" t="str">
        <f t="shared" si="521"/>
        <v>continue</v>
      </c>
      <c r="V1758" t="str">
        <f t="shared" si="522"/>
        <v>manual</v>
      </c>
      <c r="W1758" s="5">
        <f t="shared" si="523"/>
        <v>528.5154</v>
      </c>
      <c r="Y1758" t="b">
        <f t="shared" si="524"/>
        <v>1</v>
      </c>
      <c r="Z1758" t="b">
        <f t="shared" si="525"/>
        <v>0</v>
      </c>
      <c r="AB1758" t="str">
        <f t="shared" si="526"/>
        <v/>
      </c>
      <c r="AE1758" t="b">
        <v>0</v>
      </c>
    </row>
    <row r="1759" spans="1:31" x14ac:dyDescent="0.2">
      <c r="A1759" t="str">
        <f t="shared" si="513"/>
        <v>https://shop.officineitalianezard.it/en/products/index/zard-conical-silencer-bmw-7457-124/</v>
      </c>
      <c r="B1759" t="b">
        <f>COUNTIF($A$2:$A1759, A1759)&gt;1</f>
        <v>0</v>
      </c>
      <c r="C1759" t="b">
        <f t="shared" si="514"/>
        <v>0</v>
      </c>
      <c r="D1759">
        <f>VLOOKUP(A1759,variant_counts!A:B, 2, FALSE)</f>
        <v>4</v>
      </c>
      <c r="E1759" t="str">
        <f t="shared" si="527"/>
        <v>zard-exhaust-silencer-bmw-r-1200-gs-my-10-12-conical-version-zbmw-516-ssr-s</v>
      </c>
      <c r="F1759" t="str">
        <f t="shared" si="515"/>
        <v>ZARD EXHAUST SILENCER BMW R 1200 GS M.Y. 10-12 CONICAL VERSION ZBMW 516 SSR-S</v>
      </c>
      <c r="G1759" t="str">
        <f t="shared" si="516"/>
        <v>&lt;p&gt;STEEL SILENCER RACING WITH REMOVABLE DB KILLER&lt;/p&gt;
&lt;p&gt;THE EXHAUST CAN BE FITTED ON "ADVENTURE" VERSION&lt;/p&gt;
&lt;p&gt;ORIGINAL SILENCER WEIGHT: KG 6.2&lt;br&gt;ZARD SILENCER WEIGHT: KG 3&lt;/p&gt;
&lt;p&gt;HARD INCREASE, COMPARED TO THE ORIGINAL EXHAUST SYSTEM, IN TERMS OF TORQUE AND POWER AT ANY RANGE (+2 HP)&lt;/p&gt;
&lt;p&gt;ASTONISHING SOUND&lt;/p&gt;</v>
      </c>
      <c r="H1759" t="str">
        <f t="shared" si="528"/>
        <v>ZARD</v>
      </c>
      <c r="I1759" t="str">
        <f t="shared" si="529"/>
        <v>Exhaust Pipe</v>
      </c>
      <c r="J1759" t="str">
        <f t="shared" si="530"/>
        <v>Test</v>
      </c>
      <c r="K1759" t="b">
        <f t="shared" si="531"/>
        <v>0</v>
      </c>
      <c r="L1759" t="str">
        <f t="shared" si="517"/>
        <v/>
      </c>
      <c r="M1759" t="str">
        <f t="shared" si="518"/>
        <v/>
      </c>
      <c r="R1759" t="str">
        <f t="shared" si="519"/>
        <v/>
      </c>
      <c r="S1759" t="str">
        <f t="shared" si="520"/>
        <v/>
      </c>
      <c r="U1759" t="str">
        <f t="shared" si="521"/>
        <v/>
      </c>
      <c r="V1759" t="str">
        <f t="shared" si="522"/>
        <v/>
      </c>
      <c r="W1759" s="5" t="str">
        <f t="shared" si="523"/>
        <v/>
      </c>
      <c r="Y1759" t="str">
        <f t="shared" si="524"/>
        <v/>
      </c>
      <c r="Z1759" t="str">
        <f t="shared" si="525"/>
        <v/>
      </c>
      <c r="AB1759" t="str">
        <f t="shared" si="526"/>
        <v>https://shop.officineitalianezard.it/contents/imgs/products/1_777-scarichi%20moto%20zard%20bmw%202.jpg</v>
      </c>
      <c r="AE1759" t="b">
        <v>0</v>
      </c>
    </row>
    <row r="1760" spans="1:31" x14ac:dyDescent="0.2">
      <c r="A1760" t="str">
        <f t="shared" si="513"/>
        <v>https://shop.officineitalianezard.it/en/products/index/zard-conical-silencer-bmw-7457-124/</v>
      </c>
      <c r="B1760" t="b">
        <f>COUNTIF($A$2:$A1760, A1760)&gt;1</f>
        <v>1</v>
      </c>
      <c r="C1760" t="b">
        <f t="shared" si="514"/>
        <v>0</v>
      </c>
      <c r="D1760">
        <f>VLOOKUP(A1760,variant_counts!A:B, 2, FALSE)</f>
        <v>4</v>
      </c>
      <c r="E1760" t="str">
        <f t="shared" si="527"/>
        <v>zard-exhaust-silencer-bmw-r-1200-gs-my-10-12-conical-version-zbmw-516-ssr-s</v>
      </c>
      <c r="F1760" t="str">
        <f t="shared" si="515"/>
        <v>ZARD EXHAUST SILENCER BMW R 1200 GS M.Y. 10-12 CONICAL VERSION ZBMW 516 SSR-S</v>
      </c>
      <c r="G1760" t="str">
        <f t="shared" si="516"/>
        <v/>
      </c>
      <c r="H1760" t="str">
        <f t="shared" si="528"/>
        <v/>
      </c>
      <c r="I1760" t="str">
        <f t="shared" si="529"/>
        <v/>
      </c>
      <c r="J1760" t="str">
        <f t="shared" si="530"/>
        <v/>
      </c>
      <c r="K1760" t="str">
        <f t="shared" si="531"/>
        <v/>
      </c>
      <c r="L1760" t="str">
        <f t="shared" si="517"/>
        <v/>
      </c>
      <c r="M1760" t="str">
        <f t="shared" si="518"/>
        <v/>
      </c>
      <c r="R1760" t="str">
        <f t="shared" si="519"/>
        <v/>
      </c>
      <c r="S1760" t="str">
        <f t="shared" si="520"/>
        <v/>
      </c>
      <c r="U1760" t="str">
        <f t="shared" si="521"/>
        <v/>
      </c>
      <c r="V1760" t="str">
        <f t="shared" si="522"/>
        <v/>
      </c>
      <c r="W1760" s="5" t="str">
        <f t="shared" si="523"/>
        <v/>
      </c>
      <c r="Y1760" t="str">
        <f t="shared" si="524"/>
        <v/>
      </c>
      <c r="Z1760" t="str">
        <f t="shared" si="525"/>
        <v/>
      </c>
      <c r="AB1760" t="str">
        <f t="shared" si="526"/>
        <v>https://shop.officineitalianezard.it/contents/imgs/products/1_776-scarichi%20moto%20zard%20bmw%201.jpg</v>
      </c>
      <c r="AE1760" t="b">
        <v>0</v>
      </c>
    </row>
    <row r="1761" spans="1:31" x14ac:dyDescent="0.2">
      <c r="A1761" t="str">
        <f t="shared" si="513"/>
        <v>https://shop.officineitalianezard.it/en/products/index/zard-conical-silencer-bmw-7457-124/</v>
      </c>
      <c r="B1761" t="b">
        <f>COUNTIF($A$2:$A1761, A1761)&gt;1</f>
        <v>1</v>
      </c>
      <c r="C1761" t="b">
        <f t="shared" si="514"/>
        <v>0</v>
      </c>
      <c r="D1761">
        <f>VLOOKUP(A1761,variant_counts!A:B, 2, FALSE)</f>
        <v>4</v>
      </c>
      <c r="E1761" t="str">
        <f t="shared" si="527"/>
        <v>zard-exhaust-silencer-bmw-r-1200-gs-my-10-12-conical-version-zbmw-516-ssr-s</v>
      </c>
      <c r="F1761" t="str">
        <f t="shared" si="515"/>
        <v>ZARD EXHAUST SILENCER BMW R 1200 GS M.Y. 10-12 CONICAL VERSION ZBMW 516 SSR-S</v>
      </c>
      <c r="G1761" t="str">
        <f t="shared" si="516"/>
        <v/>
      </c>
      <c r="H1761" t="str">
        <f t="shared" si="528"/>
        <v/>
      </c>
      <c r="I1761" t="str">
        <f t="shared" si="529"/>
        <v/>
      </c>
      <c r="J1761" t="str">
        <f t="shared" si="530"/>
        <v/>
      </c>
      <c r="K1761" t="str">
        <f t="shared" si="531"/>
        <v/>
      </c>
      <c r="L1761" t="str">
        <f t="shared" si="517"/>
        <v/>
      </c>
      <c r="M1761" t="str">
        <f t="shared" si="518"/>
        <v/>
      </c>
      <c r="R1761" t="str">
        <f t="shared" si="519"/>
        <v/>
      </c>
      <c r="S1761" t="str">
        <f t="shared" si="520"/>
        <v/>
      </c>
      <c r="U1761" t="str">
        <f t="shared" si="521"/>
        <v/>
      </c>
      <c r="V1761" t="str">
        <f t="shared" si="522"/>
        <v/>
      </c>
      <c r="W1761" s="5" t="str">
        <f t="shared" si="523"/>
        <v/>
      </c>
      <c r="Y1761" t="str">
        <f t="shared" si="524"/>
        <v/>
      </c>
      <c r="Z1761" t="str">
        <f t="shared" si="525"/>
        <v/>
      </c>
      <c r="AB1761" t="str">
        <f t="shared" si="526"/>
        <v>https://shop.officineitalianezard.it/contents/imgs/products/1_778-scarichi%20moto%20zard%20bmw%203.jpg</v>
      </c>
      <c r="AE1761" t="b">
        <v>0</v>
      </c>
    </row>
    <row r="1762" spans="1:31" x14ac:dyDescent="0.2">
      <c r="A1762" t="str">
        <f t="shared" si="513"/>
        <v>https://shop.officineitalianezard.it/en/products/index/zard-conical-silencer-bmw-7457-124/</v>
      </c>
      <c r="B1762" t="b">
        <f>COUNTIF($A$2:$A1762, A1762)&gt;1</f>
        <v>1</v>
      </c>
      <c r="C1762" t="b">
        <f t="shared" si="514"/>
        <v>1</v>
      </c>
      <c r="D1762">
        <f>VLOOKUP(A1762,variant_counts!A:B, 2, FALSE)</f>
        <v>4</v>
      </c>
      <c r="E1762" t="str">
        <f t="shared" si="527"/>
        <v>zard-exhaust-silencer-bmw-r-1200-gs-my-10-12-conical-version-zbmw-516-ssr-s</v>
      </c>
      <c r="F1762" t="str">
        <f t="shared" si="515"/>
        <v>ZARD EXHAUST SILENCER BMW R 1200 GS M.Y. 10-12 CONICAL VERSION ZBMW 516 SSR-S</v>
      </c>
      <c r="G1762" t="str">
        <f t="shared" si="516"/>
        <v/>
      </c>
      <c r="H1762" t="str">
        <f t="shared" si="528"/>
        <v/>
      </c>
      <c r="I1762" t="str">
        <f t="shared" si="529"/>
        <v/>
      </c>
      <c r="J1762" t="str">
        <f t="shared" si="530"/>
        <v/>
      </c>
      <c r="K1762" t="str">
        <f t="shared" si="531"/>
        <v/>
      </c>
      <c r="L1762" t="str">
        <f t="shared" si="517"/>
        <v>Option</v>
      </c>
      <c r="M1762" t="str">
        <f t="shared" si="518"/>
        <v>HOMOLOGATED EURO 3</v>
      </c>
      <c r="R1762" t="str">
        <f t="shared" si="519"/>
        <v>ZBMW 516 SSR-S</v>
      </c>
      <c r="S1762">
        <f t="shared" si="520"/>
        <v>0</v>
      </c>
      <c r="U1762" t="str">
        <f t="shared" si="521"/>
        <v>continue</v>
      </c>
      <c r="V1762" t="str">
        <f t="shared" si="522"/>
        <v>manual</v>
      </c>
      <c r="W1762" s="5">
        <f t="shared" si="523"/>
        <v>467.4765000000001</v>
      </c>
      <c r="Y1762" t="b">
        <f t="shared" si="524"/>
        <v>1</v>
      </c>
      <c r="Z1762" t="b">
        <f t="shared" si="525"/>
        <v>0</v>
      </c>
      <c r="AB1762" t="str">
        <f t="shared" si="526"/>
        <v/>
      </c>
      <c r="AE1762" t="b">
        <v>0</v>
      </c>
    </row>
    <row r="1763" spans="1:31" x14ac:dyDescent="0.2">
      <c r="A1763" t="str">
        <f t="shared" si="513"/>
        <v>https://shop.officineitalianezard.it/en/products/index/zard-conical-silencer-bmw-7457-124/</v>
      </c>
      <c r="B1763" t="b">
        <f>COUNTIF($A$2:$A1763, A1763)&gt;1</f>
        <v>1</v>
      </c>
      <c r="C1763" t="b">
        <f t="shared" si="514"/>
        <v>1</v>
      </c>
      <c r="D1763">
        <f>VLOOKUP(A1763,variant_counts!A:B, 2, FALSE)</f>
        <v>4</v>
      </c>
      <c r="E1763" t="str">
        <f t="shared" si="527"/>
        <v>zard-exhaust-silencer-bmw-r-1200-gs-my-10-12-conical-version-zbmw-516-ssr-s</v>
      </c>
      <c r="F1763" t="str">
        <f t="shared" si="515"/>
        <v>ZARD EXHAUST SILENCER BMW R 1200 GS M.Y. 10-12 CONICAL VERSION ZBMW 516 SSR-S</v>
      </c>
      <c r="G1763" t="str">
        <f t="shared" si="516"/>
        <v/>
      </c>
      <c r="H1763" t="str">
        <f t="shared" si="528"/>
        <v/>
      </c>
      <c r="I1763" t="str">
        <f t="shared" si="529"/>
        <v/>
      </c>
      <c r="J1763" t="str">
        <f t="shared" si="530"/>
        <v/>
      </c>
      <c r="K1763" t="str">
        <f t="shared" si="531"/>
        <v/>
      </c>
      <c r="L1763" t="str">
        <f t="shared" si="517"/>
        <v>Option</v>
      </c>
      <c r="M1763" t="str">
        <f t="shared" si="518"/>
        <v>BLACK COATING</v>
      </c>
      <c r="R1763" t="str">
        <f t="shared" si="519"/>
        <v>ZBMW 516 SSR-S</v>
      </c>
      <c r="S1763">
        <f t="shared" si="520"/>
        <v>0</v>
      </c>
      <c r="U1763" t="str">
        <f t="shared" si="521"/>
        <v>continue</v>
      </c>
      <c r="V1763" t="str">
        <f t="shared" si="522"/>
        <v>manual</v>
      </c>
      <c r="W1763" s="5">
        <f t="shared" si="523"/>
        <v>527.25</v>
      </c>
      <c r="Y1763" t="b">
        <f t="shared" si="524"/>
        <v>1</v>
      </c>
      <c r="Z1763" t="b">
        <f t="shared" si="525"/>
        <v>0</v>
      </c>
      <c r="AB1763" t="str">
        <f t="shared" si="526"/>
        <v/>
      </c>
      <c r="AE1763" t="b">
        <v>0</v>
      </c>
    </row>
    <row r="1764" spans="1:31" x14ac:dyDescent="0.2">
      <c r="A1764" t="str">
        <f t="shared" si="513"/>
        <v>https://shop.officineitalianezard.it/en/products/index/zard-conical-silencer-bmw-7457-124/</v>
      </c>
      <c r="B1764" t="b">
        <f>COUNTIF($A$2:$A1764, A1764)&gt;1</f>
        <v>1</v>
      </c>
      <c r="C1764" t="b">
        <f t="shared" si="514"/>
        <v>1</v>
      </c>
      <c r="D1764">
        <f>VLOOKUP(A1764,variant_counts!A:B, 2, FALSE)</f>
        <v>4</v>
      </c>
      <c r="E1764" t="str">
        <f t="shared" si="527"/>
        <v>zard-exhaust-silencer-bmw-r-1200-gs-my-10-12-conical-version-zbmw-516-ssr-s</v>
      </c>
      <c r="F1764" t="str">
        <f t="shared" si="515"/>
        <v>ZARD EXHAUST SILENCER BMW R 1200 GS M.Y. 10-12 CONICAL VERSION ZBMW 516 SSR-S</v>
      </c>
      <c r="G1764" t="str">
        <f t="shared" si="516"/>
        <v/>
      </c>
      <c r="H1764" t="str">
        <f t="shared" si="528"/>
        <v/>
      </c>
      <c r="I1764" t="str">
        <f t="shared" si="529"/>
        <v/>
      </c>
      <c r="J1764" t="str">
        <f t="shared" si="530"/>
        <v/>
      </c>
      <c r="K1764" t="str">
        <f t="shared" si="531"/>
        <v/>
      </c>
      <c r="L1764" t="str">
        <f t="shared" si="517"/>
        <v>Option</v>
      </c>
      <c r="M1764" t="str">
        <f t="shared" si="518"/>
        <v>MIRROR POLISHED</v>
      </c>
      <c r="R1764" t="str">
        <f t="shared" si="519"/>
        <v>ZBMW 516 SSR-S</v>
      </c>
      <c r="S1764">
        <f t="shared" si="520"/>
        <v>0</v>
      </c>
      <c r="U1764" t="str">
        <f t="shared" si="521"/>
        <v>continue</v>
      </c>
      <c r="V1764" t="str">
        <f t="shared" si="522"/>
        <v>manual</v>
      </c>
      <c r="W1764" s="5">
        <f t="shared" si="523"/>
        <v>466.65510000000006</v>
      </c>
      <c r="Y1764" t="b">
        <f t="shared" si="524"/>
        <v>1</v>
      </c>
      <c r="Z1764" t="b">
        <f t="shared" si="525"/>
        <v>0</v>
      </c>
      <c r="AB1764" t="str">
        <f t="shared" si="526"/>
        <v/>
      </c>
      <c r="AE1764" t="b">
        <v>0</v>
      </c>
    </row>
    <row r="1765" spans="1:31" x14ac:dyDescent="0.2">
      <c r="A1765" t="str">
        <f t="shared" si="513"/>
        <v>https://shop.officineitalianezard.it/en/products/index/zard-conical-silencer-bmw-7457-124/</v>
      </c>
      <c r="B1765" t="b">
        <f>COUNTIF($A$2:$A1765, A1765)&gt;1</f>
        <v>1</v>
      </c>
      <c r="C1765" t="b">
        <f t="shared" si="514"/>
        <v>1</v>
      </c>
      <c r="D1765">
        <f>VLOOKUP(A1765,variant_counts!A:B, 2, FALSE)</f>
        <v>4</v>
      </c>
      <c r="E1765" t="str">
        <f t="shared" si="527"/>
        <v>zard-exhaust-silencer-bmw-r-1200-gs-my-10-12-conical-version-zbmw-516-ssr-s</v>
      </c>
      <c r="F1765" t="str">
        <f t="shared" si="515"/>
        <v>ZARD EXHAUST SILENCER BMW R 1200 GS M.Y. 10-12 CONICAL VERSION ZBMW 516 SSR-S</v>
      </c>
      <c r="G1765" t="str">
        <f t="shared" si="516"/>
        <v/>
      </c>
      <c r="H1765" t="str">
        <f t="shared" si="528"/>
        <v/>
      </c>
      <c r="I1765" t="str">
        <f t="shared" si="529"/>
        <v/>
      </c>
      <c r="J1765" t="str">
        <f t="shared" si="530"/>
        <v/>
      </c>
      <c r="K1765" t="str">
        <f t="shared" si="531"/>
        <v/>
      </c>
      <c r="L1765" t="str">
        <f t="shared" si="517"/>
        <v>Option</v>
      </c>
      <c r="M1765" t="str">
        <f t="shared" si="518"/>
        <v>CARBON ENDCAP</v>
      </c>
      <c r="R1765" t="str">
        <f t="shared" si="519"/>
        <v>ZBMW 516 SSR-S</v>
      </c>
      <c r="S1765">
        <f t="shared" si="520"/>
        <v>0</v>
      </c>
      <c r="U1765" t="str">
        <f t="shared" si="521"/>
        <v>continue</v>
      </c>
      <c r="V1765" t="str">
        <f t="shared" si="522"/>
        <v>manual</v>
      </c>
      <c r="W1765" s="5">
        <f t="shared" si="523"/>
        <v>487.94490000000008</v>
      </c>
      <c r="Y1765" t="b">
        <f t="shared" si="524"/>
        <v>1</v>
      </c>
      <c r="Z1765" t="b">
        <f t="shared" si="525"/>
        <v>0</v>
      </c>
      <c r="AB1765" t="str">
        <f t="shared" si="526"/>
        <v/>
      </c>
      <c r="AE1765" t="b">
        <v>0</v>
      </c>
    </row>
    <row r="1766" spans="1:31" x14ac:dyDescent="0.2">
      <c r="A1766" t="str">
        <f t="shared" si="513"/>
        <v>https://shop.officineitalianezard.it/en/products/index/zard-headers-kit-bmw-7456-123/</v>
      </c>
      <c r="B1766" t="b">
        <f>COUNTIF($A$2:$A1766, A1766)&gt;1</f>
        <v>0</v>
      </c>
      <c r="C1766" t="b">
        <f t="shared" si="514"/>
        <v>0</v>
      </c>
      <c r="D1766">
        <f>VLOOKUP(A1766,variant_counts!A:B, 2, FALSE)</f>
        <v>5</v>
      </c>
      <c r="E1766" t="str">
        <f t="shared" si="527"/>
        <v>zard-exhaust-headers-kit-bmw-r-1200-gs-my-04-09-steel-version-zbmw-080-scr</v>
      </c>
      <c r="F1766" t="str">
        <f t="shared" si="515"/>
        <v>ZARD EXHAUST HEADERS KIT BMW R 1200 GS M.Y. 04-09 STEEL VERSION ZBMW 080 SCR</v>
      </c>
      <c r="G1766" t="str">
        <f t="shared" si="516"/>
        <v>&lt;p&gt;STEEL RACING HEADERS KIT&lt;/p&gt;
&lt;p&gt;THE EXHAUST CAN BE FITTED ON "ADVENTURE" VERSION&lt;/p&gt;
&lt;p&gt;ORIGINAL HEADERS KIT WEIGHT: KG 4.3&lt;br&gt;ZARD HEADERS KIT WEIGHT: KG 3&lt;/p&gt;
&lt;p&gt;HARD INCREASE, COMPARED TO THE STANDARD EXHAUST SYSTEM, IN TERMS OF TORQUE AND POWER AT ANY RANGE (+5 HP), IF FITTED WITH ZARD CONICAL OR PENTA SILENCER.&lt;/p&gt;
&lt;p&gt;&amp;nbsp;&lt;/p&gt;</v>
      </c>
      <c r="H1766" t="str">
        <f t="shared" si="528"/>
        <v>ZARD</v>
      </c>
      <c r="I1766" t="str">
        <f t="shared" si="529"/>
        <v>Exhaust Pipe</v>
      </c>
      <c r="J1766" t="str">
        <f t="shared" si="530"/>
        <v>Test</v>
      </c>
      <c r="K1766" t="b">
        <f t="shared" si="531"/>
        <v>0</v>
      </c>
      <c r="L1766" t="str">
        <f t="shared" si="517"/>
        <v/>
      </c>
      <c r="M1766" t="str">
        <f t="shared" si="518"/>
        <v/>
      </c>
      <c r="R1766" t="str">
        <f t="shared" si="519"/>
        <v/>
      </c>
      <c r="S1766" t="str">
        <f t="shared" si="520"/>
        <v/>
      </c>
      <c r="U1766" t="str">
        <f t="shared" si="521"/>
        <v/>
      </c>
      <c r="V1766" t="str">
        <f t="shared" si="522"/>
        <v/>
      </c>
      <c r="W1766" s="5" t="str">
        <f t="shared" si="523"/>
        <v/>
      </c>
      <c r="Y1766" t="str">
        <f t="shared" si="524"/>
        <v/>
      </c>
      <c r="Z1766" t="str">
        <f t="shared" si="525"/>
        <v/>
      </c>
      <c r="AB1766" t="str">
        <f t="shared" si="526"/>
        <v>https://shop.officineitalianezard.it/contents/imgs/products/1_772-Collettorecomp.1.JPG</v>
      </c>
      <c r="AE1766" t="b">
        <v>0</v>
      </c>
    </row>
    <row r="1767" spans="1:31" x14ac:dyDescent="0.2">
      <c r="A1767" t="str">
        <f t="shared" si="513"/>
        <v>https://shop.officineitalianezard.it/en/products/index/zard-headers-kit-bmw-7456-123/</v>
      </c>
      <c r="B1767" t="b">
        <f>COUNTIF($A$2:$A1767, A1767)&gt;1</f>
        <v>1</v>
      </c>
      <c r="C1767" t="b">
        <f t="shared" si="514"/>
        <v>0</v>
      </c>
      <c r="D1767">
        <f>VLOOKUP(A1767,variant_counts!A:B, 2, FALSE)</f>
        <v>5</v>
      </c>
      <c r="E1767" t="str">
        <f t="shared" si="527"/>
        <v>zard-exhaust-headers-kit-bmw-r-1200-gs-my-04-09-steel-version-zbmw-080-scr</v>
      </c>
      <c r="F1767" t="str">
        <f t="shared" si="515"/>
        <v>ZARD EXHAUST HEADERS KIT BMW R 1200 GS M.Y. 04-09 STEEL VERSION ZBMW 080 SCR</v>
      </c>
      <c r="G1767" t="str">
        <f t="shared" si="516"/>
        <v/>
      </c>
      <c r="H1767" t="str">
        <f t="shared" si="528"/>
        <v/>
      </c>
      <c r="I1767" t="str">
        <f t="shared" si="529"/>
        <v/>
      </c>
      <c r="J1767" t="str">
        <f t="shared" si="530"/>
        <v/>
      </c>
      <c r="K1767" t="str">
        <f t="shared" si="531"/>
        <v/>
      </c>
      <c r="L1767" t="str">
        <f t="shared" si="517"/>
        <v/>
      </c>
      <c r="M1767" t="str">
        <f t="shared" si="518"/>
        <v/>
      </c>
      <c r="R1767" t="str">
        <f t="shared" si="519"/>
        <v/>
      </c>
      <c r="S1767" t="str">
        <f t="shared" si="520"/>
        <v/>
      </c>
      <c r="U1767" t="str">
        <f t="shared" si="521"/>
        <v/>
      </c>
      <c r="V1767" t="str">
        <f t="shared" si="522"/>
        <v/>
      </c>
      <c r="W1767" s="5" t="str">
        <f t="shared" si="523"/>
        <v/>
      </c>
      <c r="Y1767" t="str">
        <f t="shared" si="524"/>
        <v/>
      </c>
      <c r="Z1767" t="str">
        <f t="shared" si="525"/>
        <v/>
      </c>
      <c r="AB1767" t="str">
        <f t="shared" si="526"/>
        <v>https://shop.officineitalianezard.it/contents/imgs/products/1_773-Collettorecomp.2.JPG</v>
      </c>
      <c r="AE1767" t="b">
        <v>0</v>
      </c>
    </row>
    <row r="1768" spans="1:31" x14ac:dyDescent="0.2">
      <c r="A1768" t="str">
        <f t="shared" si="513"/>
        <v>https://shop.officineitalianezard.it/en/products/index/zard-headers-kit-bmw-7456-123/</v>
      </c>
      <c r="B1768" t="b">
        <f>COUNTIF($A$2:$A1768, A1768)&gt;1</f>
        <v>1</v>
      </c>
      <c r="C1768" t="b">
        <f t="shared" si="514"/>
        <v>0</v>
      </c>
      <c r="D1768">
        <f>VLOOKUP(A1768,variant_counts!A:B, 2, FALSE)</f>
        <v>5</v>
      </c>
      <c r="E1768" t="str">
        <f t="shared" si="527"/>
        <v>zard-exhaust-headers-kit-bmw-r-1200-gs-my-04-09-steel-version-zbmw-080-scr</v>
      </c>
      <c r="F1768" t="str">
        <f t="shared" si="515"/>
        <v>ZARD EXHAUST HEADERS KIT BMW R 1200 GS M.Y. 04-09 STEEL VERSION ZBMW 080 SCR</v>
      </c>
      <c r="G1768" t="str">
        <f t="shared" si="516"/>
        <v/>
      </c>
      <c r="H1768" t="str">
        <f t="shared" si="528"/>
        <v/>
      </c>
      <c r="I1768" t="str">
        <f t="shared" si="529"/>
        <v/>
      </c>
      <c r="J1768" t="str">
        <f t="shared" si="530"/>
        <v/>
      </c>
      <c r="K1768" t="str">
        <f t="shared" si="531"/>
        <v/>
      </c>
      <c r="L1768" t="str">
        <f t="shared" si="517"/>
        <v/>
      </c>
      <c r="M1768" t="str">
        <f t="shared" si="518"/>
        <v/>
      </c>
      <c r="R1768" t="str">
        <f t="shared" si="519"/>
        <v/>
      </c>
      <c r="S1768" t="str">
        <f t="shared" si="520"/>
        <v/>
      </c>
      <c r="U1768" t="str">
        <f t="shared" si="521"/>
        <v/>
      </c>
      <c r="V1768" t="str">
        <f t="shared" si="522"/>
        <v/>
      </c>
      <c r="W1768" s="5" t="str">
        <f t="shared" si="523"/>
        <v/>
      </c>
      <c r="Y1768" t="str">
        <f t="shared" si="524"/>
        <v/>
      </c>
      <c r="Z1768" t="str">
        <f t="shared" si="525"/>
        <v/>
      </c>
      <c r="AB1768" t="str">
        <f t="shared" si="526"/>
        <v>https://shop.officineitalianezard.it/contents/imgs/products/1_774-Collettorecomp.3.JPG</v>
      </c>
      <c r="AE1768" t="b">
        <v>0</v>
      </c>
    </row>
    <row r="1769" spans="1:31" x14ac:dyDescent="0.2">
      <c r="A1769" t="str">
        <f t="shared" si="513"/>
        <v>https://shop.officineitalianezard.it/en/products/index/zard-headers-kit-bmw-7456-123/</v>
      </c>
      <c r="B1769" t="b">
        <f>COUNTIF($A$2:$A1769, A1769)&gt;1</f>
        <v>1</v>
      </c>
      <c r="C1769" t="b">
        <f t="shared" si="514"/>
        <v>0</v>
      </c>
      <c r="D1769">
        <f>VLOOKUP(A1769,variant_counts!A:B, 2, FALSE)</f>
        <v>5</v>
      </c>
      <c r="E1769" t="str">
        <f t="shared" si="527"/>
        <v>zard-exhaust-headers-kit-bmw-r-1200-gs-my-04-09-steel-version-zbmw-080-scr</v>
      </c>
      <c r="F1769" t="str">
        <f t="shared" si="515"/>
        <v>ZARD EXHAUST HEADERS KIT BMW R 1200 GS M.Y. 04-09 STEEL VERSION ZBMW 080 SCR</v>
      </c>
      <c r="G1769" t="str">
        <f t="shared" si="516"/>
        <v/>
      </c>
      <c r="H1769" t="str">
        <f t="shared" si="528"/>
        <v/>
      </c>
      <c r="I1769" t="str">
        <f t="shared" si="529"/>
        <v/>
      </c>
      <c r="J1769" t="str">
        <f t="shared" si="530"/>
        <v/>
      </c>
      <c r="K1769" t="str">
        <f t="shared" si="531"/>
        <v/>
      </c>
      <c r="L1769" t="str">
        <f t="shared" si="517"/>
        <v/>
      </c>
      <c r="M1769" t="str">
        <f t="shared" si="518"/>
        <v/>
      </c>
      <c r="R1769" t="str">
        <f t="shared" si="519"/>
        <v/>
      </c>
      <c r="S1769" t="str">
        <f t="shared" si="520"/>
        <v/>
      </c>
      <c r="U1769" t="str">
        <f t="shared" si="521"/>
        <v/>
      </c>
      <c r="V1769" t="str">
        <f t="shared" si="522"/>
        <v/>
      </c>
      <c r="W1769" s="5" t="str">
        <f t="shared" si="523"/>
        <v/>
      </c>
      <c r="Y1769" t="str">
        <f t="shared" si="524"/>
        <v/>
      </c>
      <c r="Z1769" t="str">
        <f t="shared" si="525"/>
        <v/>
      </c>
      <c r="AB1769" t="str">
        <f t="shared" si="526"/>
        <v>https://shop.officineitalianezard.it/contents/imgs/products/1_775-Collettorecomp.JPG</v>
      </c>
      <c r="AE1769" t="b">
        <v>0</v>
      </c>
    </row>
    <row r="1770" spans="1:31" x14ac:dyDescent="0.2">
      <c r="A1770" t="str">
        <f t="shared" si="513"/>
        <v>https://shop.officineitalianezard.it/en/products/index/zard-headers-kit-bmw-7456-123/</v>
      </c>
      <c r="B1770" t="b">
        <f>COUNTIF($A$2:$A1770, A1770)&gt;1</f>
        <v>1</v>
      </c>
      <c r="C1770" t="b">
        <f t="shared" si="514"/>
        <v>1</v>
      </c>
      <c r="D1770">
        <f>VLOOKUP(A1770,variant_counts!A:B, 2, FALSE)</f>
        <v>5</v>
      </c>
      <c r="E1770" t="str">
        <f t="shared" si="527"/>
        <v>zard-exhaust-headers-kit-bmw-r-1200-gs-my-04-09-steel-version-zbmw-080-scr</v>
      </c>
      <c r="F1770" t="str">
        <f t="shared" si="515"/>
        <v>ZARD EXHAUST HEADERS KIT BMW R 1200 GS M.Y. 04-09 STEEL VERSION ZBMW 080 SCR</v>
      </c>
      <c r="G1770" t="str">
        <f t="shared" si="516"/>
        <v/>
      </c>
      <c r="H1770" t="str">
        <f t="shared" si="528"/>
        <v/>
      </c>
      <c r="I1770" t="str">
        <f t="shared" si="529"/>
        <v/>
      </c>
      <c r="J1770" t="str">
        <f t="shared" si="530"/>
        <v/>
      </c>
      <c r="K1770" t="str">
        <f t="shared" si="531"/>
        <v/>
      </c>
      <c r="L1770" t="str">
        <f t="shared" si="517"/>
        <v>Option</v>
      </c>
      <c r="M1770" t="str">
        <f t="shared" si="518"/>
        <v>FULL TITANIUM</v>
      </c>
      <c r="R1770" t="str">
        <f t="shared" si="519"/>
        <v>ZBMW 080 SCR</v>
      </c>
      <c r="S1770">
        <f t="shared" si="520"/>
        <v>0</v>
      </c>
      <c r="U1770" t="str">
        <f t="shared" si="521"/>
        <v>continue</v>
      </c>
      <c r="V1770" t="str">
        <f t="shared" si="522"/>
        <v>manual</v>
      </c>
      <c r="W1770" s="5">
        <f t="shared" si="523"/>
        <v>629.23680000000002</v>
      </c>
      <c r="Y1770" t="b">
        <f t="shared" si="524"/>
        <v>1</v>
      </c>
      <c r="Z1770" t="b">
        <f t="shared" si="525"/>
        <v>0</v>
      </c>
      <c r="AB1770" t="str">
        <f t="shared" si="526"/>
        <v/>
      </c>
      <c r="AE1770" t="b">
        <v>0</v>
      </c>
    </row>
    <row r="1771" spans="1:31" x14ac:dyDescent="0.2">
      <c r="A1771" t="str">
        <f t="shared" si="513"/>
        <v>https://shop.officineitalianezard.it/en/products/index/zard-headers-kit-bmw-7456-123/</v>
      </c>
      <c r="B1771" t="b">
        <f>COUNTIF($A$2:$A1771, A1771)&gt;1</f>
        <v>1</v>
      </c>
      <c r="C1771" t="b">
        <f t="shared" si="514"/>
        <v>1</v>
      </c>
      <c r="D1771">
        <f>VLOOKUP(A1771,variant_counts!A:B, 2, FALSE)</f>
        <v>5</v>
      </c>
      <c r="E1771" t="str">
        <f t="shared" si="527"/>
        <v>zard-exhaust-headers-kit-bmw-r-1200-gs-my-04-09-steel-version-zbmw-080-scr</v>
      </c>
      <c r="F1771" t="str">
        <f t="shared" si="515"/>
        <v>ZARD EXHAUST HEADERS KIT BMW R 1200 GS M.Y. 04-09 STEEL VERSION ZBMW 080 SCR</v>
      </c>
      <c r="G1771" t="str">
        <f t="shared" si="516"/>
        <v/>
      </c>
      <c r="H1771" t="str">
        <f t="shared" si="528"/>
        <v/>
      </c>
      <c r="I1771" t="str">
        <f t="shared" si="529"/>
        <v/>
      </c>
      <c r="J1771" t="str">
        <f t="shared" si="530"/>
        <v/>
      </c>
      <c r="K1771" t="str">
        <f t="shared" si="531"/>
        <v/>
      </c>
      <c r="L1771" t="str">
        <f t="shared" si="517"/>
        <v>Option</v>
      </c>
      <c r="M1771" t="str">
        <f t="shared" si="518"/>
        <v>STEEL WITH COMPENSER</v>
      </c>
      <c r="R1771" t="str">
        <f t="shared" si="519"/>
        <v>ZBMW 080 SCR</v>
      </c>
      <c r="S1771">
        <f t="shared" si="520"/>
        <v>0</v>
      </c>
      <c r="U1771" t="str">
        <f t="shared" si="521"/>
        <v>continue</v>
      </c>
      <c r="V1771" t="str">
        <f t="shared" si="522"/>
        <v>manual</v>
      </c>
      <c r="W1771" s="5">
        <f t="shared" si="523"/>
        <v>451.54800000000006</v>
      </c>
      <c r="Y1771" t="b">
        <f t="shared" si="524"/>
        <v>1</v>
      </c>
      <c r="Z1771" t="b">
        <f t="shared" si="525"/>
        <v>0</v>
      </c>
      <c r="AB1771" t="str">
        <f t="shared" si="526"/>
        <v/>
      </c>
      <c r="AE1771" t="b">
        <v>0</v>
      </c>
    </row>
    <row r="1772" spans="1:31" x14ac:dyDescent="0.2">
      <c r="A1772" t="str">
        <f t="shared" si="513"/>
        <v>https://shop.officineitalianezard.it/en/products/index/zard-headers-kit-bmw-7456-123/</v>
      </c>
      <c r="B1772" t="b">
        <f>COUNTIF($A$2:$A1772, A1772)&gt;1</f>
        <v>1</v>
      </c>
      <c r="C1772" t="b">
        <f t="shared" si="514"/>
        <v>1</v>
      </c>
      <c r="D1772">
        <f>VLOOKUP(A1772,variant_counts!A:B, 2, FALSE)</f>
        <v>5</v>
      </c>
      <c r="E1772" t="str">
        <f t="shared" si="527"/>
        <v>zard-exhaust-headers-kit-bmw-r-1200-gs-my-04-09-steel-version-zbmw-080-scr</v>
      </c>
      <c r="F1772" t="str">
        <f t="shared" si="515"/>
        <v>ZARD EXHAUST HEADERS KIT BMW R 1200 GS M.Y. 04-09 STEEL VERSION ZBMW 080 SCR</v>
      </c>
      <c r="G1772" t="str">
        <f t="shared" si="516"/>
        <v/>
      </c>
      <c r="H1772" t="str">
        <f t="shared" si="528"/>
        <v/>
      </c>
      <c r="I1772" t="str">
        <f t="shared" si="529"/>
        <v/>
      </c>
      <c r="J1772" t="str">
        <f t="shared" si="530"/>
        <v/>
      </c>
      <c r="K1772" t="str">
        <f t="shared" si="531"/>
        <v/>
      </c>
      <c r="L1772" t="str">
        <f t="shared" si="517"/>
        <v>Option</v>
      </c>
      <c r="M1772" t="str">
        <f t="shared" si="518"/>
        <v>TITANIUM WITH COMPENSER</v>
      </c>
      <c r="R1772" t="str">
        <f t="shared" si="519"/>
        <v>ZBMW 080 SCR</v>
      </c>
      <c r="S1772">
        <f t="shared" si="520"/>
        <v>0</v>
      </c>
      <c r="U1772" t="str">
        <f t="shared" si="521"/>
        <v>continue</v>
      </c>
      <c r="V1772" t="str">
        <f t="shared" si="522"/>
        <v>manual</v>
      </c>
      <c r="W1772" s="5">
        <f t="shared" si="523"/>
        <v>733.23270000000002</v>
      </c>
      <c r="Y1772" t="b">
        <f t="shared" si="524"/>
        <v>1</v>
      </c>
      <c r="Z1772" t="b">
        <f t="shared" si="525"/>
        <v>0</v>
      </c>
      <c r="AB1772" t="str">
        <f t="shared" si="526"/>
        <v/>
      </c>
      <c r="AE1772" t="b">
        <v>0</v>
      </c>
    </row>
    <row r="1773" spans="1:31" x14ac:dyDescent="0.2">
      <c r="A1773" t="str">
        <f t="shared" si="513"/>
        <v>https://shop.officineitalianezard.it/en/products/index/zard-headers-kit-bmw-7456-123/</v>
      </c>
      <c r="B1773" t="b">
        <f>COUNTIF($A$2:$A1773, A1773)&gt;1</f>
        <v>1</v>
      </c>
      <c r="C1773" t="b">
        <f t="shared" si="514"/>
        <v>1</v>
      </c>
      <c r="D1773">
        <f>VLOOKUP(A1773,variant_counts!A:B, 2, FALSE)</f>
        <v>5</v>
      </c>
      <c r="E1773" t="str">
        <f t="shared" si="527"/>
        <v>zard-exhaust-headers-kit-bmw-r-1200-gs-my-04-09-steel-version-zbmw-080-scr</v>
      </c>
      <c r="F1773" t="str">
        <f t="shared" si="515"/>
        <v>ZARD EXHAUST HEADERS KIT BMW R 1200 GS M.Y. 04-09 STEEL VERSION ZBMW 080 SCR</v>
      </c>
      <c r="G1773" t="str">
        <f t="shared" si="516"/>
        <v/>
      </c>
      <c r="H1773" t="str">
        <f t="shared" si="528"/>
        <v/>
      </c>
      <c r="I1773" t="str">
        <f t="shared" si="529"/>
        <v/>
      </c>
      <c r="J1773" t="str">
        <f t="shared" si="530"/>
        <v/>
      </c>
      <c r="K1773" t="str">
        <f t="shared" si="531"/>
        <v/>
      </c>
      <c r="L1773" t="str">
        <f t="shared" si="517"/>
        <v>Option</v>
      </c>
      <c r="M1773" t="str">
        <f t="shared" si="518"/>
        <v>MIRROR POLISHED</v>
      </c>
      <c r="R1773" t="str">
        <f t="shared" si="519"/>
        <v>ZBMW 080 SCR</v>
      </c>
      <c r="S1773">
        <f t="shared" si="520"/>
        <v>0</v>
      </c>
      <c r="U1773" t="str">
        <f t="shared" si="521"/>
        <v>continue</v>
      </c>
      <c r="V1773" t="str">
        <f t="shared" si="522"/>
        <v>manual</v>
      </c>
      <c r="W1773" s="5">
        <f t="shared" si="523"/>
        <v>399.95520000000005</v>
      </c>
      <c r="Y1773" t="b">
        <f t="shared" si="524"/>
        <v>1</v>
      </c>
      <c r="Z1773" t="b">
        <f t="shared" si="525"/>
        <v>0</v>
      </c>
      <c r="AB1773" t="str">
        <f t="shared" si="526"/>
        <v/>
      </c>
      <c r="AE1773" t="b">
        <v>0</v>
      </c>
    </row>
    <row r="1774" spans="1:31" x14ac:dyDescent="0.2">
      <c r="A1774" t="str">
        <f t="shared" si="513"/>
        <v>https://shop.officineitalianezard.it/en/products/index/zard-headers-kit-bmw-7456-123/</v>
      </c>
      <c r="B1774" t="b">
        <f>COUNTIF($A$2:$A1774, A1774)&gt;1</f>
        <v>1</v>
      </c>
      <c r="C1774" t="b">
        <f t="shared" si="514"/>
        <v>1</v>
      </c>
      <c r="D1774">
        <f>VLOOKUP(A1774,variant_counts!A:B, 2, FALSE)</f>
        <v>5</v>
      </c>
      <c r="E1774" t="str">
        <f t="shared" si="527"/>
        <v>zard-exhaust-headers-kit-bmw-r-1200-gs-my-04-09-steel-version-zbmw-080-scr</v>
      </c>
      <c r="F1774" t="str">
        <f t="shared" si="515"/>
        <v>ZARD EXHAUST HEADERS KIT BMW R 1200 GS M.Y. 04-09 STEEL VERSION ZBMW 080 SCR</v>
      </c>
      <c r="G1774" t="str">
        <f t="shared" si="516"/>
        <v/>
      </c>
      <c r="H1774" t="str">
        <f t="shared" si="528"/>
        <v/>
      </c>
      <c r="I1774" t="str">
        <f t="shared" si="529"/>
        <v/>
      </c>
      <c r="J1774" t="str">
        <f t="shared" si="530"/>
        <v/>
      </c>
      <c r="K1774" t="str">
        <f t="shared" si="531"/>
        <v/>
      </c>
      <c r="L1774" t="str">
        <f t="shared" si="517"/>
        <v>Option</v>
      </c>
      <c r="M1774" t="str">
        <f t="shared" si="518"/>
        <v>BLACK COATING</v>
      </c>
      <c r="R1774" t="str">
        <f t="shared" si="519"/>
        <v>ZBMW 080 SCR</v>
      </c>
      <c r="S1774">
        <f t="shared" si="520"/>
        <v>0</v>
      </c>
      <c r="U1774" t="str">
        <f t="shared" si="521"/>
        <v>continue</v>
      </c>
      <c r="V1774" t="str">
        <f t="shared" si="522"/>
        <v>manual</v>
      </c>
      <c r="W1774" s="5">
        <f t="shared" si="523"/>
        <v>433.53270000000003</v>
      </c>
      <c r="Y1774" t="b">
        <f t="shared" si="524"/>
        <v>1</v>
      </c>
      <c r="Z1774" t="b">
        <f t="shared" si="525"/>
        <v>0</v>
      </c>
      <c r="AB1774" t="str">
        <f t="shared" si="526"/>
        <v/>
      </c>
      <c r="AE1774" t="b">
        <v>0</v>
      </c>
    </row>
    <row r="1775" spans="1:31" x14ac:dyDescent="0.2">
      <c r="A1775" t="str">
        <f t="shared" si="513"/>
        <v>https://shop.officineitalianezard.it/en/products/index/zard-silencer-penta-version-7455-123/</v>
      </c>
      <c r="B1775" t="b">
        <f>COUNTIF($A$2:$A1775, A1775)&gt;1</f>
        <v>0</v>
      </c>
      <c r="C1775" t="b">
        <f t="shared" si="514"/>
        <v>0</v>
      </c>
      <c r="D1775">
        <f>VLOOKUP(A1775,variant_counts!A:B, 2, FALSE)</f>
        <v>3</v>
      </c>
      <c r="E1775" t="str">
        <f t="shared" si="527"/>
        <v>zard-exhaust-silencer-bmw-r-1200-gs-my-04-09-penta-version-zbmw-520-apr</v>
      </c>
      <c r="F1775" t="str">
        <f t="shared" si="515"/>
        <v>ZARD EXHAUST SILENCER BMW R 1200 GS M.Y. 04-09 PENTA VERSION ZBMW 520 APR</v>
      </c>
      <c r="G1775" t="str">
        <f t="shared" si="516"/>
        <v>&lt;p&gt;STEEL-ALUMINIUM BLACK SILENCER RACING WITH REMOVABLE DB KILLER&lt;/p&gt;
&lt;p&gt;THE EXHAUST CAN BE FITTED ON "ADVENTURE" V ERSION&lt;/p&gt;
&lt;p&gt;ORIGINAL SILENCER WEIGHT: KG 6.2&lt;/p&gt;
&lt;p&gt;ZARD SILENCER WEIGHT: KG 2.7&lt;/p&gt;
&lt;p&gt;HARD INCREASE, COMPARED TO THE STANDARD EXHAUST SYSTEM, IN TERMS OF TORQUE AND POWER AT ANY RANGE&lt;/p&gt;
&lt;p&gt;ASTONISHING SOUND&lt;/p&gt;</v>
      </c>
      <c r="H1775" t="str">
        <f t="shared" si="528"/>
        <v>ZARD</v>
      </c>
      <c r="I1775" t="str">
        <f t="shared" si="529"/>
        <v>Exhaust Pipe</v>
      </c>
      <c r="J1775" t="str">
        <f t="shared" si="530"/>
        <v>Test</v>
      </c>
      <c r="K1775" t="b">
        <f t="shared" si="531"/>
        <v>0</v>
      </c>
      <c r="L1775" t="str">
        <f t="shared" si="517"/>
        <v/>
      </c>
      <c r="M1775" t="str">
        <f t="shared" si="518"/>
        <v/>
      </c>
      <c r="R1775" t="str">
        <f t="shared" si="519"/>
        <v/>
      </c>
      <c r="S1775" t="str">
        <f t="shared" si="520"/>
        <v/>
      </c>
      <c r="U1775" t="str">
        <f t="shared" si="521"/>
        <v/>
      </c>
      <c r="V1775" t="str">
        <f t="shared" si="522"/>
        <v/>
      </c>
      <c r="W1775" s="5" t="str">
        <f t="shared" si="523"/>
        <v/>
      </c>
      <c r="Y1775" t="str">
        <f t="shared" si="524"/>
        <v/>
      </c>
      <c r="Z1775" t="str">
        <f t="shared" si="525"/>
        <v/>
      </c>
      <c r="AB1775" t="str">
        <f t="shared" si="526"/>
        <v>https://shop.officineitalianezard.it/contents/imgs/products/1_768-scarichi%20moto%20zard1a.jpg</v>
      </c>
      <c r="AE1775" t="b">
        <v>0</v>
      </c>
    </row>
    <row r="1776" spans="1:31" x14ac:dyDescent="0.2">
      <c r="A1776" t="str">
        <f t="shared" si="513"/>
        <v>https://shop.officineitalianezard.it/en/products/index/zard-silencer-penta-version-7455-123/</v>
      </c>
      <c r="B1776" t="b">
        <f>COUNTIF($A$2:$A1776, A1776)&gt;1</f>
        <v>1</v>
      </c>
      <c r="C1776" t="b">
        <f t="shared" si="514"/>
        <v>0</v>
      </c>
      <c r="D1776">
        <f>VLOOKUP(A1776,variant_counts!A:B, 2, FALSE)</f>
        <v>3</v>
      </c>
      <c r="E1776" t="str">
        <f t="shared" si="527"/>
        <v>zard-exhaust-silencer-bmw-r-1200-gs-my-04-09-penta-version-zbmw-520-apr</v>
      </c>
      <c r="F1776" t="str">
        <f t="shared" si="515"/>
        <v>ZARD EXHAUST SILENCER BMW R 1200 GS M.Y. 04-09 PENTA VERSION ZBMW 520 APR</v>
      </c>
      <c r="G1776" t="str">
        <f t="shared" si="516"/>
        <v/>
      </c>
      <c r="H1776" t="str">
        <f t="shared" si="528"/>
        <v/>
      </c>
      <c r="I1776" t="str">
        <f t="shared" si="529"/>
        <v/>
      </c>
      <c r="J1776" t="str">
        <f t="shared" si="530"/>
        <v/>
      </c>
      <c r="K1776" t="str">
        <f t="shared" si="531"/>
        <v/>
      </c>
      <c r="L1776" t="str">
        <f t="shared" si="517"/>
        <v/>
      </c>
      <c r="M1776" t="str">
        <f t="shared" si="518"/>
        <v/>
      </c>
      <c r="R1776" t="str">
        <f t="shared" si="519"/>
        <v/>
      </c>
      <c r="S1776" t="str">
        <f t="shared" si="520"/>
        <v/>
      </c>
      <c r="U1776" t="str">
        <f t="shared" si="521"/>
        <v/>
      </c>
      <c r="V1776" t="str">
        <f t="shared" si="522"/>
        <v/>
      </c>
      <c r="W1776" s="5" t="str">
        <f t="shared" si="523"/>
        <v/>
      </c>
      <c r="Y1776" t="str">
        <f t="shared" si="524"/>
        <v/>
      </c>
      <c r="Z1776" t="str">
        <f t="shared" si="525"/>
        <v/>
      </c>
      <c r="AB1776" t="str">
        <f t="shared" si="526"/>
        <v>https://shop.officineitalianezard.it/contents/imgs/products/1_769-scarichi%20moto%20zard1aa.jpg</v>
      </c>
      <c r="AE1776" t="b">
        <v>0</v>
      </c>
    </row>
    <row r="1777" spans="1:31" x14ac:dyDescent="0.2">
      <c r="A1777" t="str">
        <f t="shared" si="513"/>
        <v>https://shop.officineitalianezard.it/en/products/index/zard-silencer-penta-version-7455-123/</v>
      </c>
      <c r="B1777" t="b">
        <f>COUNTIF($A$2:$A1777, A1777)&gt;1</f>
        <v>1</v>
      </c>
      <c r="C1777" t="b">
        <f t="shared" si="514"/>
        <v>0</v>
      </c>
      <c r="D1777">
        <f>VLOOKUP(A1777,variant_counts!A:B, 2, FALSE)</f>
        <v>3</v>
      </c>
      <c r="E1777" t="str">
        <f t="shared" si="527"/>
        <v>zard-exhaust-silencer-bmw-r-1200-gs-my-04-09-penta-version-zbmw-520-apr</v>
      </c>
      <c r="F1777" t="str">
        <f t="shared" si="515"/>
        <v>ZARD EXHAUST SILENCER BMW R 1200 GS M.Y. 04-09 PENTA VERSION ZBMW 520 APR</v>
      </c>
      <c r="G1777" t="str">
        <f t="shared" si="516"/>
        <v/>
      </c>
      <c r="H1777" t="str">
        <f t="shared" si="528"/>
        <v/>
      </c>
      <c r="I1777" t="str">
        <f t="shared" si="529"/>
        <v/>
      </c>
      <c r="J1777" t="str">
        <f t="shared" si="530"/>
        <v/>
      </c>
      <c r="K1777" t="str">
        <f t="shared" si="531"/>
        <v/>
      </c>
      <c r="L1777" t="str">
        <f t="shared" si="517"/>
        <v/>
      </c>
      <c r="M1777" t="str">
        <f t="shared" si="518"/>
        <v/>
      </c>
      <c r="R1777" t="str">
        <f t="shared" si="519"/>
        <v/>
      </c>
      <c r="S1777" t="str">
        <f t="shared" si="520"/>
        <v/>
      </c>
      <c r="U1777" t="str">
        <f t="shared" si="521"/>
        <v/>
      </c>
      <c r="V1777" t="str">
        <f t="shared" si="522"/>
        <v/>
      </c>
      <c r="W1777" s="5" t="str">
        <f t="shared" si="523"/>
        <v/>
      </c>
      <c r="Y1777" t="str">
        <f t="shared" si="524"/>
        <v/>
      </c>
      <c r="Z1777" t="str">
        <f t="shared" si="525"/>
        <v/>
      </c>
      <c r="AB1777" t="str">
        <f t="shared" si="526"/>
        <v>https://shop.officineitalianezard.it/contents/imgs/products/1_770-scarichi%20moto%20zard1b.jpg</v>
      </c>
      <c r="AE1777" t="b">
        <v>0</v>
      </c>
    </row>
    <row r="1778" spans="1:31" x14ac:dyDescent="0.2">
      <c r="A1778" t="str">
        <f t="shared" si="513"/>
        <v>https://shop.officineitalianezard.it/en/products/index/zard-silencer-penta-version-7455-123/</v>
      </c>
      <c r="B1778" t="b">
        <f>COUNTIF($A$2:$A1778, A1778)&gt;1</f>
        <v>1</v>
      </c>
      <c r="C1778" t="b">
        <f t="shared" si="514"/>
        <v>0</v>
      </c>
      <c r="D1778">
        <f>VLOOKUP(A1778,variant_counts!A:B, 2, FALSE)</f>
        <v>3</v>
      </c>
      <c r="E1778" t="str">
        <f t="shared" si="527"/>
        <v>zard-exhaust-silencer-bmw-r-1200-gs-my-04-09-penta-version-zbmw-520-apr</v>
      </c>
      <c r="F1778" t="str">
        <f t="shared" si="515"/>
        <v>ZARD EXHAUST SILENCER BMW R 1200 GS M.Y. 04-09 PENTA VERSION ZBMW 520 APR</v>
      </c>
      <c r="G1778" t="str">
        <f t="shared" si="516"/>
        <v/>
      </c>
      <c r="H1778" t="str">
        <f t="shared" si="528"/>
        <v/>
      </c>
      <c r="I1778" t="str">
        <f t="shared" si="529"/>
        <v/>
      </c>
      <c r="J1778" t="str">
        <f t="shared" si="530"/>
        <v/>
      </c>
      <c r="K1778" t="str">
        <f t="shared" si="531"/>
        <v/>
      </c>
      <c r="L1778" t="str">
        <f t="shared" si="517"/>
        <v/>
      </c>
      <c r="M1778" t="str">
        <f t="shared" si="518"/>
        <v/>
      </c>
      <c r="R1778" t="str">
        <f t="shared" si="519"/>
        <v/>
      </c>
      <c r="S1778" t="str">
        <f t="shared" si="520"/>
        <v/>
      </c>
      <c r="U1778" t="str">
        <f t="shared" si="521"/>
        <v/>
      </c>
      <c r="V1778" t="str">
        <f t="shared" si="522"/>
        <v/>
      </c>
      <c r="W1778" s="5" t="str">
        <f t="shared" si="523"/>
        <v/>
      </c>
      <c r="Y1778" t="str">
        <f t="shared" si="524"/>
        <v/>
      </c>
      <c r="Z1778" t="str">
        <f t="shared" si="525"/>
        <v/>
      </c>
      <c r="AB1778" t="str">
        <f t="shared" si="526"/>
        <v>https://shop.officineitalianezard.it/contents/imgs/products/1_771-scarichi%20moto%20zard1c.jpg</v>
      </c>
      <c r="AE1778" t="b">
        <v>0</v>
      </c>
    </row>
    <row r="1779" spans="1:31" x14ac:dyDescent="0.2">
      <c r="A1779" t="str">
        <f t="shared" si="513"/>
        <v>https://shop.officineitalianezard.it/en/products/index/zard-silencer-penta-version-7455-123/</v>
      </c>
      <c r="B1779" t="b">
        <f>COUNTIF($A$2:$A1779, A1779)&gt;1</f>
        <v>1</v>
      </c>
      <c r="C1779" t="b">
        <f t="shared" si="514"/>
        <v>1</v>
      </c>
      <c r="D1779">
        <f>VLOOKUP(A1779,variant_counts!A:B, 2, FALSE)</f>
        <v>3</v>
      </c>
      <c r="E1779" t="str">
        <f t="shared" si="527"/>
        <v>zard-exhaust-silencer-bmw-r-1200-gs-my-04-09-penta-version-zbmw-520-apr</v>
      </c>
      <c r="F1779" t="str">
        <f t="shared" si="515"/>
        <v>ZARD EXHAUST SILENCER BMW R 1200 GS M.Y. 04-09 PENTA VERSION ZBMW 520 APR</v>
      </c>
      <c r="G1779" t="str">
        <f t="shared" si="516"/>
        <v/>
      </c>
      <c r="H1779" t="str">
        <f t="shared" si="528"/>
        <v/>
      </c>
      <c r="I1779" t="str">
        <f t="shared" si="529"/>
        <v/>
      </c>
      <c r="J1779" t="str">
        <f t="shared" si="530"/>
        <v/>
      </c>
      <c r="K1779" t="str">
        <f t="shared" si="531"/>
        <v/>
      </c>
      <c r="L1779" t="str">
        <f t="shared" si="517"/>
        <v>Option</v>
      </c>
      <c r="M1779" t="str">
        <f t="shared" si="518"/>
        <v>EURO 3 HOMOLOGATED</v>
      </c>
      <c r="R1779" t="str">
        <f t="shared" si="519"/>
        <v>ZBMW 520 APR</v>
      </c>
      <c r="S1779">
        <f t="shared" si="520"/>
        <v>0</v>
      </c>
      <c r="U1779" t="str">
        <f t="shared" si="521"/>
        <v>continue</v>
      </c>
      <c r="V1779" t="str">
        <f t="shared" si="522"/>
        <v>manual</v>
      </c>
      <c r="W1779" s="5">
        <f t="shared" si="523"/>
        <v>518.69190000000003</v>
      </c>
      <c r="Y1779" t="b">
        <f t="shared" si="524"/>
        <v>1</v>
      </c>
      <c r="Z1779" t="b">
        <f t="shared" si="525"/>
        <v>0</v>
      </c>
      <c r="AB1779" t="str">
        <f t="shared" si="526"/>
        <v/>
      </c>
      <c r="AE1779" t="b">
        <v>0</v>
      </c>
    </row>
    <row r="1780" spans="1:31" x14ac:dyDescent="0.2">
      <c r="A1780" t="str">
        <f t="shared" si="513"/>
        <v>https://shop.officineitalianezard.it/en/products/index/zard-silencer-penta-version-7455-123/</v>
      </c>
      <c r="B1780" t="b">
        <f>COUNTIF($A$2:$A1780, A1780)&gt;1</f>
        <v>1</v>
      </c>
      <c r="C1780" t="b">
        <f t="shared" si="514"/>
        <v>1</v>
      </c>
      <c r="D1780">
        <f>VLOOKUP(A1780,variant_counts!A:B, 2, FALSE)</f>
        <v>3</v>
      </c>
      <c r="E1780" t="str">
        <f t="shared" si="527"/>
        <v>zard-exhaust-silencer-bmw-r-1200-gs-my-04-09-penta-version-zbmw-520-apr</v>
      </c>
      <c r="F1780" t="str">
        <f t="shared" si="515"/>
        <v>ZARD EXHAUST SILENCER BMW R 1200 GS M.Y. 04-09 PENTA VERSION ZBMW 520 APR</v>
      </c>
      <c r="G1780" t="str">
        <f t="shared" si="516"/>
        <v/>
      </c>
      <c r="H1780" t="str">
        <f t="shared" si="528"/>
        <v/>
      </c>
      <c r="I1780" t="str">
        <f t="shared" si="529"/>
        <v/>
      </c>
      <c r="J1780" t="str">
        <f t="shared" si="530"/>
        <v/>
      </c>
      <c r="K1780" t="str">
        <f t="shared" si="531"/>
        <v/>
      </c>
      <c r="L1780" t="str">
        <f t="shared" si="517"/>
        <v>Option</v>
      </c>
      <c r="M1780" t="str">
        <f t="shared" si="518"/>
        <v>CARBON (RACING ONLY)</v>
      </c>
      <c r="R1780" t="str">
        <f t="shared" si="519"/>
        <v>ZBMW 520 APR</v>
      </c>
      <c r="S1780">
        <f t="shared" si="520"/>
        <v>0</v>
      </c>
      <c r="U1780" t="str">
        <f t="shared" si="521"/>
        <v>continue</v>
      </c>
      <c r="V1780" t="str">
        <f t="shared" si="522"/>
        <v>manual</v>
      </c>
      <c r="W1780" s="5">
        <f t="shared" si="523"/>
        <v>698.02350000000013</v>
      </c>
      <c r="Y1780" t="b">
        <f t="shared" si="524"/>
        <v>1</v>
      </c>
      <c r="Z1780" t="b">
        <f t="shared" si="525"/>
        <v>0</v>
      </c>
      <c r="AB1780" t="str">
        <f t="shared" si="526"/>
        <v/>
      </c>
      <c r="AE1780" t="b">
        <v>0</v>
      </c>
    </row>
    <row r="1781" spans="1:31" x14ac:dyDescent="0.2">
      <c r="A1781" t="str">
        <f t="shared" si="513"/>
        <v>https://shop.officineitalianezard.it/en/products/index/zard-silencer-penta-version-7455-123/</v>
      </c>
      <c r="B1781" t="b">
        <f>COUNTIF($A$2:$A1781, A1781)&gt;1</f>
        <v>1</v>
      </c>
      <c r="C1781" t="b">
        <f t="shared" si="514"/>
        <v>1</v>
      </c>
      <c r="D1781">
        <f>VLOOKUP(A1781,variant_counts!A:B, 2, FALSE)</f>
        <v>3</v>
      </c>
      <c r="E1781" t="str">
        <f t="shared" si="527"/>
        <v>zard-exhaust-silencer-bmw-r-1200-gs-my-04-09-penta-version-zbmw-520-apr</v>
      </c>
      <c r="F1781" t="str">
        <f t="shared" si="515"/>
        <v>ZARD EXHAUST SILENCER BMW R 1200 GS M.Y. 04-09 PENTA VERSION ZBMW 520 APR</v>
      </c>
      <c r="G1781" t="str">
        <f t="shared" si="516"/>
        <v/>
      </c>
      <c r="H1781" t="str">
        <f t="shared" si="528"/>
        <v/>
      </c>
      <c r="I1781" t="str">
        <f t="shared" si="529"/>
        <v/>
      </c>
      <c r="J1781" t="str">
        <f t="shared" si="530"/>
        <v/>
      </c>
      <c r="K1781" t="str">
        <f t="shared" si="531"/>
        <v/>
      </c>
      <c r="L1781" t="str">
        <f t="shared" si="517"/>
        <v>Option</v>
      </c>
      <c r="M1781" t="str">
        <f t="shared" si="518"/>
        <v>CARBON ENDCAP</v>
      </c>
      <c r="R1781" t="str">
        <f t="shared" si="519"/>
        <v>ZBMW 520 APR</v>
      </c>
      <c r="S1781">
        <f t="shared" si="520"/>
        <v>0</v>
      </c>
      <c r="U1781" t="str">
        <f t="shared" si="521"/>
        <v>continue</v>
      </c>
      <c r="V1781" t="str">
        <f t="shared" si="522"/>
        <v>manual</v>
      </c>
      <c r="W1781" s="5">
        <f t="shared" si="523"/>
        <v>528.5154</v>
      </c>
      <c r="Y1781" t="b">
        <f t="shared" si="524"/>
        <v>1</v>
      </c>
      <c r="Z1781" t="b">
        <f t="shared" si="525"/>
        <v>0</v>
      </c>
      <c r="AB1781" t="str">
        <f t="shared" si="526"/>
        <v/>
      </c>
      <c r="AE1781" t="b">
        <v>0</v>
      </c>
    </row>
    <row r="1782" spans="1:31" x14ac:dyDescent="0.2">
      <c r="A1782" t="str">
        <f t="shared" si="513"/>
        <v>https://shop.officineitalianezard.it/en/products/index/zard-conical-silencer-bmw-7453-123/</v>
      </c>
      <c r="B1782" t="b">
        <f>COUNTIF($A$2:$A1782, A1782)&gt;1</f>
        <v>0</v>
      </c>
      <c r="C1782" t="b">
        <f t="shared" si="514"/>
        <v>0</v>
      </c>
      <c r="D1782">
        <f>VLOOKUP(A1782,variant_counts!A:B, 2, FALSE)</f>
        <v>4</v>
      </c>
      <c r="E1782" t="str">
        <f t="shared" si="527"/>
        <v>zard-exhaust-silencer-bmw-r-1200-gs-my-04-09-conical-version-zbmw-080-ssr-s</v>
      </c>
      <c r="F1782" t="str">
        <f t="shared" si="515"/>
        <v>ZARD EXHAUST SILENCER BMW R 1200 GS M.Y. 04-09 CONICAL VERSION ZBMW 080 SSR-S</v>
      </c>
      <c r="G1782" t="str">
        <f t="shared" si="516"/>
        <v>&lt;p&gt;STEEL SILENCER RACING WITH REMOVABLE DB KILLER&lt;/p&gt;
&lt;p&gt;THE EXHAUST CAN BE FITTED ON "ADVENTURE" VERSION&lt;/p&gt;
&lt;p&gt;ORIGINAL SILENCER WEIGHT: KG 6.2&lt;br&gt;ZARD SILENCER WEIGHT: KG 3&lt;/p&gt;
&lt;p&gt;HARD INCREASE, COMPARED TO THE ORIGINAL EXHAUST SYSTEM, IN TERMS OF TORQUE AND POWER AT ANY RANGE (+2 HP)&lt;/p&gt;
&lt;p&gt;ASTONISHING SOUND&lt;/p&gt;</v>
      </c>
      <c r="H1782" t="str">
        <f t="shared" si="528"/>
        <v>ZARD</v>
      </c>
      <c r="I1782" t="str">
        <f t="shared" si="529"/>
        <v>Exhaust Pipe</v>
      </c>
      <c r="J1782" t="str">
        <f t="shared" si="530"/>
        <v>Test</v>
      </c>
      <c r="K1782" t="b">
        <f t="shared" si="531"/>
        <v>0</v>
      </c>
      <c r="L1782" t="str">
        <f t="shared" si="517"/>
        <v/>
      </c>
      <c r="M1782" t="str">
        <f t="shared" si="518"/>
        <v/>
      </c>
      <c r="R1782" t="str">
        <f t="shared" si="519"/>
        <v/>
      </c>
      <c r="S1782" t="str">
        <f t="shared" si="520"/>
        <v/>
      </c>
      <c r="U1782" t="str">
        <f t="shared" si="521"/>
        <v/>
      </c>
      <c r="V1782" t="str">
        <f t="shared" si="522"/>
        <v/>
      </c>
      <c r="W1782" s="5" t="str">
        <f t="shared" si="523"/>
        <v/>
      </c>
      <c r="Y1782" t="str">
        <f t="shared" si="524"/>
        <v/>
      </c>
      <c r="Z1782" t="str">
        <f t="shared" si="525"/>
        <v/>
      </c>
      <c r="AB1782" t="str">
        <f t="shared" si="526"/>
        <v>https://shop.officineitalianezard.it/contents/imgs/products/1_762-scarichi%20moto%20zard%20bmw1.jpg</v>
      </c>
      <c r="AE1782" t="b">
        <v>0</v>
      </c>
    </row>
    <row r="1783" spans="1:31" x14ac:dyDescent="0.2">
      <c r="A1783" t="str">
        <f t="shared" si="513"/>
        <v>https://shop.officineitalianezard.it/en/products/index/zard-conical-silencer-bmw-7453-123/</v>
      </c>
      <c r="B1783" t="b">
        <f>COUNTIF($A$2:$A1783, A1783)&gt;1</f>
        <v>1</v>
      </c>
      <c r="C1783" t="b">
        <f t="shared" si="514"/>
        <v>0</v>
      </c>
      <c r="D1783">
        <f>VLOOKUP(A1783,variant_counts!A:B, 2, FALSE)</f>
        <v>4</v>
      </c>
      <c r="E1783" t="str">
        <f t="shared" si="527"/>
        <v>zard-exhaust-silencer-bmw-r-1200-gs-my-04-09-conical-version-zbmw-080-ssr-s</v>
      </c>
      <c r="F1783" t="str">
        <f t="shared" si="515"/>
        <v>ZARD EXHAUST SILENCER BMW R 1200 GS M.Y. 04-09 CONICAL VERSION ZBMW 080 SSR-S</v>
      </c>
      <c r="G1783" t="str">
        <f t="shared" si="516"/>
        <v/>
      </c>
      <c r="H1783" t="str">
        <f t="shared" si="528"/>
        <v/>
      </c>
      <c r="I1783" t="str">
        <f t="shared" si="529"/>
        <v/>
      </c>
      <c r="J1783" t="str">
        <f t="shared" si="530"/>
        <v/>
      </c>
      <c r="K1783" t="str">
        <f t="shared" si="531"/>
        <v/>
      </c>
      <c r="L1783" t="str">
        <f t="shared" si="517"/>
        <v/>
      </c>
      <c r="M1783" t="str">
        <f t="shared" si="518"/>
        <v/>
      </c>
      <c r="R1783" t="str">
        <f t="shared" si="519"/>
        <v/>
      </c>
      <c r="S1783" t="str">
        <f t="shared" si="520"/>
        <v/>
      </c>
      <c r="U1783" t="str">
        <f t="shared" si="521"/>
        <v/>
      </c>
      <c r="V1783" t="str">
        <f t="shared" si="522"/>
        <v/>
      </c>
      <c r="W1783" s="5" t="str">
        <f t="shared" si="523"/>
        <v/>
      </c>
      <c r="Y1783" t="str">
        <f t="shared" si="524"/>
        <v/>
      </c>
      <c r="Z1783" t="str">
        <f t="shared" si="525"/>
        <v/>
      </c>
      <c r="AB1783" t="str">
        <f t="shared" si="526"/>
        <v>https://shop.officineitalianezard.it/contents/imgs/products/1_763-scarichi%20moto%20zard%20bmw2.jpg</v>
      </c>
      <c r="AE1783" t="b">
        <v>0</v>
      </c>
    </row>
    <row r="1784" spans="1:31" x14ac:dyDescent="0.2">
      <c r="A1784" t="str">
        <f t="shared" si="513"/>
        <v>https://shop.officineitalianezard.it/en/products/index/zard-conical-silencer-bmw-7453-123/</v>
      </c>
      <c r="B1784" t="b">
        <f>COUNTIF($A$2:$A1784, A1784)&gt;1</f>
        <v>1</v>
      </c>
      <c r="C1784" t="b">
        <f t="shared" si="514"/>
        <v>1</v>
      </c>
      <c r="D1784">
        <f>VLOOKUP(A1784,variant_counts!A:B, 2, FALSE)</f>
        <v>4</v>
      </c>
      <c r="E1784" t="str">
        <f t="shared" si="527"/>
        <v>zard-exhaust-silencer-bmw-r-1200-gs-my-04-09-conical-version-zbmw-080-ssr-s</v>
      </c>
      <c r="F1784" t="str">
        <f t="shared" si="515"/>
        <v>ZARD EXHAUST SILENCER BMW R 1200 GS M.Y. 04-09 CONICAL VERSION ZBMW 080 SSR-S</v>
      </c>
      <c r="G1784" t="str">
        <f t="shared" si="516"/>
        <v/>
      </c>
      <c r="H1784" t="str">
        <f t="shared" si="528"/>
        <v/>
      </c>
      <c r="I1784" t="str">
        <f t="shared" si="529"/>
        <v/>
      </c>
      <c r="J1784" t="str">
        <f t="shared" si="530"/>
        <v/>
      </c>
      <c r="K1784" t="str">
        <f t="shared" si="531"/>
        <v/>
      </c>
      <c r="L1784" t="str">
        <f t="shared" si="517"/>
        <v>Option</v>
      </c>
      <c r="M1784" t="str">
        <f t="shared" si="518"/>
        <v>HOMOLOGATED EURO 3</v>
      </c>
      <c r="R1784" t="str">
        <f t="shared" si="519"/>
        <v>ZBMW 080 SSR-S</v>
      </c>
      <c r="S1784">
        <f t="shared" si="520"/>
        <v>0</v>
      </c>
      <c r="U1784" t="str">
        <f t="shared" si="521"/>
        <v>continue</v>
      </c>
      <c r="V1784" t="str">
        <f t="shared" si="522"/>
        <v>manual</v>
      </c>
      <c r="W1784" s="5">
        <f t="shared" si="523"/>
        <v>454.74480000000005</v>
      </c>
      <c r="Y1784" t="b">
        <f t="shared" si="524"/>
        <v>1</v>
      </c>
      <c r="Z1784" t="b">
        <f t="shared" si="525"/>
        <v>0</v>
      </c>
      <c r="AB1784" t="str">
        <f t="shared" si="526"/>
        <v/>
      </c>
      <c r="AE1784" t="b">
        <v>0</v>
      </c>
    </row>
    <row r="1785" spans="1:31" x14ac:dyDescent="0.2">
      <c r="A1785" t="str">
        <f t="shared" si="513"/>
        <v>https://shop.officineitalianezard.it/en/products/index/zard-conical-silencer-bmw-7453-123/</v>
      </c>
      <c r="B1785" t="b">
        <f>COUNTIF($A$2:$A1785, A1785)&gt;1</f>
        <v>1</v>
      </c>
      <c r="C1785" t="b">
        <f t="shared" si="514"/>
        <v>1</v>
      </c>
      <c r="D1785">
        <f>VLOOKUP(A1785,variant_counts!A:B, 2, FALSE)</f>
        <v>4</v>
      </c>
      <c r="E1785" t="str">
        <f t="shared" si="527"/>
        <v>zard-exhaust-silencer-bmw-r-1200-gs-my-04-09-conical-version-zbmw-080-ssr-s</v>
      </c>
      <c r="F1785" t="str">
        <f t="shared" si="515"/>
        <v>ZARD EXHAUST SILENCER BMW R 1200 GS M.Y. 04-09 CONICAL VERSION ZBMW 080 SSR-S</v>
      </c>
      <c r="G1785" t="str">
        <f t="shared" si="516"/>
        <v/>
      </c>
      <c r="H1785" t="str">
        <f t="shared" si="528"/>
        <v/>
      </c>
      <c r="I1785" t="str">
        <f t="shared" si="529"/>
        <v/>
      </c>
      <c r="J1785" t="str">
        <f t="shared" si="530"/>
        <v/>
      </c>
      <c r="K1785" t="str">
        <f t="shared" si="531"/>
        <v/>
      </c>
      <c r="L1785" t="str">
        <f t="shared" si="517"/>
        <v>Option</v>
      </c>
      <c r="M1785" t="str">
        <f t="shared" si="518"/>
        <v>BLACK COATING</v>
      </c>
      <c r="R1785" t="str">
        <f t="shared" si="519"/>
        <v>ZBMW 080 SSR-S</v>
      </c>
      <c r="S1785">
        <f t="shared" si="520"/>
        <v>0</v>
      </c>
      <c r="U1785" t="str">
        <f t="shared" si="521"/>
        <v>continue</v>
      </c>
      <c r="V1785" t="str">
        <f t="shared" si="522"/>
        <v>manual</v>
      </c>
      <c r="W1785" s="5">
        <f t="shared" si="523"/>
        <v>514.51830000000007</v>
      </c>
      <c r="Y1785" t="b">
        <f t="shared" si="524"/>
        <v>1</v>
      </c>
      <c r="Z1785" t="b">
        <f t="shared" si="525"/>
        <v>0</v>
      </c>
      <c r="AB1785" t="str">
        <f t="shared" si="526"/>
        <v/>
      </c>
      <c r="AE1785" t="b">
        <v>0</v>
      </c>
    </row>
    <row r="1786" spans="1:31" x14ac:dyDescent="0.2">
      <c r="A1786" t="str">
        <f t="shared" si="513"/>
        <v>https://shop.officineitalianezard.it/en/products/index/zard-conical-silencer-bmw-7453-123/</v>
      </c>
      <c r="B1786" t="b">
        <f>COUNTIF($A$2:$A1786, A1786)&gt;1</f>
        <v>1</v>
      </c>
      <c r="C1786" t="b">
        <f t="shared" si="514"/>
        <v>1</v>
      </c>
      <c r="D1786">
        <f>VLOOKUP(A1786,variant_counts!A:B, 2, FALSE)</f>
        <v>4</v>
      </c>
      <c r="E1786" t="str">
        <f t="shared" si="527"/>
        <v>zard-exhaust-silencer-bmw-r-1200-gs-my-04-09-conical-version-zbmw-080-ssr-s</v>
      </c>
      <c r="F1786" t="str">
        <f t="shared" si="515"/>
        <v>ZARD EXHAUST SILENCER BMW R 1200 GS M.Y. 04-09 CONICAL VERSION ZBMW 080 SSR-S</v>
      </c>
      <c r="G1786" t="str">
        <f t="shared" si="516"/>
        <v/>
      </c>
      <c r="H1786" t="str">
        <f t="shared" si="528"/>
        <v/>
      </c>
      <c r="I1786" t="str">
        <f t="shared" si="529"/>
        <v/>
      </c>
      <c r="J1786" t="str">
        <f t="shared" si="530"/>
        <v/>
      </c>
      <c r="K1786" t="str">
        <f t="shared" si="531"/>
        <v/>
      </c>
      <c r="L1786" t="str">
        <f t="shared" si="517"/>
        <v>Option</v>
      </c>
      <c r="M1786" t="str">
        <f t="shared" si="518"/>
        <v>CARBON ENDCAP</v>
      </c>
      <c r="R1786" t="str">
        <f t="shared" si="519"/>
        <v>ZBMW 080 SSR-S</v>
      </c>
      <c r="S1786">
        <f t="shared" si="520"/>
        <v>0</v>
      </c>
      <c r="U1786" t="str">
        <f t="shared" si="521"/>
        <v>continue</v>
      </c>
      <c r="V1786" t="str">
        <f t="shared" si="522"/>
        <v>manual</v>
      </c>
      <c r="W1786" s="5">
        <f t="shared" si="523"/>
        <v>475.21320000000003</v>
      </c>
      <c r="Y1786" t="b">
        <f t="shared" si="524"/>
        <v>1</v>
      </c>
      <c r="Z1786" t="b">
        <f t="shared" si="525"/>
        <v>0</v>
      </c>
      <c r="AB1786" t="str">
        <f t="shared" si="526"/>
        <v/>
      </c>
      <c r="AE1786" t="b">
        <v>0</v>
      </c>
    </row>
    <row r="1787" spans="1:31" x14ac:dyDescent="0.2">
      <c r="A1787" t="str">
        <f t="shared" si="513"/>
        <v>https://shop.officineitalianezard.it/en/products/index/zard-conical-silencer-bmw-7453-123/</v>
      </c>
      <c r="B1787" t="b">
        <f>COUNTIF($A$2:$A1787, A1787)&gt;1</f>
        <v>1</v>
      </c>
      <c r="C1787" t="b">
        <f t="shared" si="514"/>
        <v>1</v>
      </c>
      <c r="D1787">
        <f>VLOOKUP(A1787,variant_counts!A:B, 2, FALSE)</f>
        <v>4</v>
      </c>
      <c r="E1787" t="str">
        <f t="shared" si="527"/>
        <v>zard-exhaust-silencer-bmw-r-1200-gs-my-04-09-conical-version-zbmw-080-ssr-s</v>
      </c>
      <c r="F1787" t="str">
        <f t="shared" si="515"/>
        <v>ZARD EXHAUST SILENCER BMW R 1200 GS M.Y. 04-09 CONICAL VERSION ZBMW 080 SSR-S</v>
      </c>
      <c r="G1787" t="str">
        <f t="shared" si="516"/>
        <v/>
      </c>
      <c r="H1787" t="str">
        <f t="shared" si="528"/>
        <v/>
      </c>
      <c r="I1787" t="str">
        <f t="shared" si="529"/>
        <v/>
      </c>
      <c r="J1787" t="str">
        <f t="shared" si="530"/>
        <v/>
      </c>
      <c r="K1787" t="str">
        <f t="shared" si="531"/>
        <v/>
      </c>
      <c r="L1787" t="str">
        <f t="shared" si="517"/>
        <v>Option</v>
      </c>
      <c r="M1787" t="str">
        <f t="shared" si="518"/>
        <v>MIRROR POLISHED</v>
      </c>
      <c r="R1787" t="str">
        <f t="shared" si="519"/>
        <v>ZBMW 080 SSR-S</v>
      </c>
      <c r="S1787">
        <f t="shared" si="520"/>
        <v>0</v>
      </c>
      <c r="U1787" t="str">
        <f t="shared" si="521"/>
        <v>continue</v>
      </c>
      <c r="V1787" t="str">
        <f t="shared" si="522"/>
        <v>manual</v>
      </c>
      <c r="W1787" s="5">
        <f t="shared" si="523"/>
        <v>449.82750000000004</v>
      </c>
      <c r="Y1787" t="b">
        <f t="shared" si="524"/>
        <v>1</v>
      </c>
      <c r="Z1787" t="b">
        <f t="shared" si="525"/>
        <v>0</v>
      </c>
      <c r="AB1787" t="str">
        <f t="shared" si="526"/>
        <v/>
      </c>
      <c r="AE1787" t="b">
        <v>0</v>
      </c>
    </row>
    <row r="1788" spans="1:31" x14ac:dyDescent="0.2">
      <c r="A1788" t="str">
        <f t="shared" si="513"/>
        <v>https://shop.officineitalianezard.it/en/products/index/decatalyzer-7452-122/</v>
      </c>
      <c r="B1788" t="b">
        <f>COUNTIF($A$2:$A1788, A1788)&gt;1</f>
        <v>0</v>
      </c>
      <c r="C1788" t="b">
        <f t="shared" si="514"/>
        <v>0</v>
      </c>
      <c r="D1788">
        <f>VLOOKUP(A1788,variant_counts!A:B, 2, FALSE)</f>
        <v>2</v>
      </c>
      <c r="E1788" t="str">
        <f t="shared" si="527"/>
        <v>zard-exhaust-decatalyzer-bmw-r-850-gs---r-1150-gs---r-1150-r-steel-version-zbmw-514-scr</v>
      </c>
      <c r="F1788" t="str">
        <f t="shared" si="515"/>
        <v>ZARD EXHAUST DECATALYZER BMW R 850 GS - R 1150 GS - R 1150 R STEEL VERSION ZBMW 514 SCR</v>
      </c>
      <c r="G1788" t="str">
        <f t="shared" si="516"/>
        <v>&lt;p&gt;STEEL RACING CENTRAL DECATALYZER&lt;/p&gt;
&lt;p&gt;ORIGINAL CENTRAL WEIGHT: KG 4.5&lt;br&gt;ZARD CENTRAL WEIGHT: KG 3&lt;/p&gt;
&lt;p&gt;HARD INCREASE IN TERMS OF TORQUE AND POWER AT ANY RANGE (+5 HP) IF FITTED WITH ZARD CONICAL SILENCER.&lt;/p&gt;</v>
      </c>
      <c r="H1788" t="str">
        <f t="shared" si="528"/>
        <v>ZARD</v>
      </c>
      <c r="I1788" t="str">
        <f t="shared" si="529"/>
        <v>Exhaust Pipe</v>
      </c>
      <c r="J1788" t="str">
        <f t="shared" si="530"/>
        <v>Test</v>
      </c>
      <c r="K1788" t="b">
        <f t="shared" si="531"/>
        <v>0</v>
      </c>
      <c r="L1788" t="str">
        <f t="shared" si="517"/>
        <v/>
      </c>
      <c r="M1788" t="str">
        <f t="shared" si="518"/>
        <v/>
      </c>
      <c r="R1788" t="str">
        <f t="shared" si="519"/>
        <v/>
      </c>
      <c r="S1788" t="str">
        <f t="shared" si="520"/>
        <v/>
      </c>
      <c r="U1788" t="str">
        <f t="shared" si="521"/>
        <v/>
      </c>
      <c r="V1788" t="str">
        <f t="shared" si="522"/>
        <v/>
      </c>
      <c r="W1788" s="5" t="str">
        <f t="shared" si="523"/>
        <v/>
      </c>
      <c r="Y1788" t="str">
        <f t="shared" si="524"/>
        <v/>
      </c>
      <c r="Z1788" t="str">
        <f t="shared" si="525"/>
        <v/>
      </c>
      <c r="AB1788" t="str">
        <f t="shared" si="526"/>
        <v>https://shop.officineitalianezard.it/contents/imgs/products/1_760-scarichi%20moto%20zard%20bmw%205.jpg</v>
      </c>
      <c r="AE1788" t="b">
        <v>0</v>
      </c>
    </row>
    <row r="1789" spans="1:31" x14ac:dyDescent="0.2">
      <c r="A1789" t="str">
        <f t="shared" si="513"/>
        <v>https://shop.officineitalianezard.it/en/products/index/decatalyzer-7452-122/</v>
      </c>
      <c r="B1789" t="b">
        <f>COUNTIF($A$2:$A1789, A1789)&gt;1</f>
        <v>1</v>
      </c>
      <c r="C1789" t="b">
        <f t="shared" si="514"/>
        <v>0</v>
      </c>
      <c r="D1789">
        <f>VLOOKUP(A1789,variant_counts!A:B, 2, FALSE)</f>
        <v>2</v>
      </c>
      <c r="E1789" t="str">
        <f t="shared" si="527"/>
        <v>zard-exhaust-decatalyzer-bmw-r-850-gs---r-1150-gs---r-1150-r-steel-version-zbmw-514-scr</v>
      </c>
      <c r="F1789" t="str">
        <f t="shared" si="515"/>
        <v>ZARD EXHAUST DECATALYZER BMW R 850 GS - R 1150 GS - R 1150 R STEEL VERSION ZBMW 514 SCR</v>
      </c>
      <c r="G1789" t="str">
        <f t="shared" si="516"/>
        <v/>
      </c>
      <c r="H1789" t="str">
        <f t="shared" si="528"/>
        <v/>
      </c>
      <c r="I1789" t="str">
        <f t="shared" si="529"/>
        <v/>
      </c>
      <c r="J1789" t="str">
        <f t="shared" si="530"/>
        <v/>
      </c>
      <c r="K1789" t="str">
        <f t="shared" si="531"/>
        <v/>
      </c>
      <c r="L1789" t="str">
        <f t="shared" si="517"/>
        <v/>
      </c>
      <c r="M1789" t="str">
        <f t="shared" si="518"/>
        <v/>
      </c>
      <c r="R1789" t="str">
        <f t="shared" si="519"/>
        <v/>
      </c>
      <c r="S1789" t="str">
        <f t="shared" si="520"/>
        <v/>
      </c>
      <c r="U1789" t="str">
        <f t="shared" si="521"/>
        <v/>
      </c>
      <c r="V1789" t="str">
        <f t="shared" si="522"/>
        <v/>
      </c>
      <c r="W1789" s="5" t="str">
        <f t="shared" si="523"/>
        <v/>
      </c>
      <c r="Y1789" t="str">
        <f t="shared" si="524"/>
        <v/>
      </c>
      <c r="Z1789" t="str">
        <f t="shared" si="525"/>
        <v/>
      </c>
      <c r="AB1789" t="str">
        <f t="shared" si="526"/>
        <v>https://shop.officineitalianezard.it/contents/imgs/products/1_758-scarichi%20moto%20zard%20bmw%202.jpg</v>
      </c>
      <c r="AE1789" t="b">
        <v>0</v>
      </c>
    </row>
    <row r="1790" spans="1:31" x14ac:dyDescent="0.2">
      <c r="A1790" t="str">
        <f t="shared" si="513"/>
        <v>https://shop.officineitalianezard.it/en/products/index/decatalyzer-7452-122/</v>
      </c>
      <c r="B1790" t="b">
        <f>COUNTIF($A$2:$A1790, A1790)&gt;1</f>
        <v>1</v>
      </c>
      <c r="C1790" t="b">
        <f t="shared" si="514"/>
        <v>1</v>
      </c>
      <c r="D1790">
        <f>VLOOKUP(A1790,variant_counts!A:B, 2, FALSE)</f>
        <v>2</v>
      </c>
      <c r="E1790" t="str">
        <f t="shared" si="527"/>
        <v>zard-exhaust-decatalyzer-bmw-r-850-gs---r-1150-gs---r-1150-r-steel-version-zbmw-514-scr</v>
      </c>
      <c r="F1790" t="str">
        <f t="shared" si="515"/>
        <v>ZARD EXHAUST DECATALYZER BMW R 850 GS - R 1150 GS - R 1150 R STEEL VERSION ZBMW 514 SCR</v>
      </c>
      <c r="G1790" t="str">
        <f t="shared" si="516"/>
        <v/>
      </c>
      <c r="H1790" t="str">
        <f t="shared" si="528"/>
        <v/>
      </c>
      <c r="I1790" t="str">
        <f t="shared" si="529"/>
        <v/>
      </c>
      <c r="J1790" t="str">
        <f t="shared" si="530"/>
        <v/>
      </c>
      <c r="K1790" t="str">
        <f t="shared" si="531"/>
        <v/>
      </c>
      <c r="L1790" t="str">
        <f t="shared" si="517"/>
        <v>Option</v>
      </c>
      <c r="M1790" t="str">
        <f t="shared" si="518"/>
        <v>BLACK COATING</v>
      </c>
      <c r="R1790" t="str">
        <f t="shared" si="519"/>
        <v>ZBMW 514 SCR</v>
      </c>
      <c r="S1790">
        <f t="shared" si="520"/>
        <v>0</v>
      </c>
      <c r="U1790" t="str">
        <f t="shared" si="521"/>
        <v>continue</v>
      </c>
      <c r="V1790" t="str">
        <f t="shared" si="522"/>
        <v>manual</v>
      </c>
      <c r="W1790" s="5">
        <f t="shared" si="523"/>
        <v>376.22340000000003</v>
      </c>
      <c r="Y1790" t="b">
        <f t="shared" si="524"/>
        <v>1</v>
      </c>
      <c r="Z1790" t="b">
        <f t="shared" si="525"/>
        <v>0</v>
      </c>
      <c r="AB1790" t="str">
        <f t="shared" si="526"/>
        <v/>
      </c>
      <c r="AE1790" t="b">
        <v>0</v>
      </c>
    </row>
    <row r="1791" spans="1:31" x14ac:dyDescent="0.2">
      <c r="A1791" t="str">
        <f t="shared" si="513"/>
        <v>https://shop.officineitalianezard.it/en/products/index/decatalyzer-7452-122/</v>
      </c>
      <c r="B1791" t="b">
        <f>COUNTIF($A$2:$A1791, A1791)&gt;1</f>
        <v>1</v>
      </c>
      <c r="C1791" t="b">
        <f t="shared" si="514"/>
        <v>1</v>
      </c>
      <c r="D1791">
        <f>VLOOKUP(A1791,variant_counts!A:B, 2, FALSE)</f>
        <v>2</v>
      </c>
      <c r="E1791" t="str">
        <f t="shared" si="527"/>
        <v>zard-exhaust-decatalyzer-bmw-r-850-gs---r-1150-gs---r-1150-r-steel-version-zbmw-514-scr</v>
      </c>
      <c r="F1791" t="str">
        <f t="shared" si="515"/>
        <v>ZARD EXHAUST DECATALYZER BMW R 850 GS - R 1150 GS - R 1150 R STEEL VERSION ZBMW 514 SCR</v>
      </c>
      <c r="G1791" t="str">
        <f t="shared" si="516"/>
        <v/>
      </c>
      <c r="H1791" t="str">
        <f t="shared" si="528"/>
        <v/>
      </c>
      <c r="I1791" t="str">
        <f t="shared" si="529"/>
        <v/>
      </c>
      <c r="J1791" t="str">
        <f t="shared" si="530"/>
        <v/>
      </c>
      <c r="K1791" t="str">
        <f t="shared" si="531"/>
        <v/>
      </c>
      <c r="L1791" t="str">
        <f t="shared" si="517"/>
        <v>Option</v>
      </c>
      <c r="M1791" t="str">
        <f t="shared" si="518"/>
        <v>MIRROR POLISHED</v>
      </c>
      <c r="R1791" t="str">
        <f t="shared" si="519"/>
        <v>ZBMW 514 SCR</v>
      </c>
      <c r="S1791">
        <f t="shared" si="520"/>
        <v>0</v>
      </c>
      <c r="U1791" t="str">
        <f t="shared" si="521"/>
        <v>continue</v>
      </c>
      <c r="V1791" t="str">
        <f t="shared" si="522"/>
        <v>manual</v>
      </c>
      <c r="W1791" s="5">
        <f t="shared" si="523"/>
        <v>342.64590000000004</v>
      </c>
      <c r="Y1791" t="b">
        <f t="shared" si="524"/>
        <v>1</v>
      </c>
      <c r="Z1791" t="b">
        <f t="shared" si="525"/>
        <v>0</v>
      </c>
      <c r="AB1791" t="str">
        <f t="shared" si="526"/>
        <v/>
      </c>
      <c r="AE1791" t="b">
        <v>0</v>
      </c>
    </row>
    <row r="1792" spans="1:31" x14ac:dyDescent="0.2">
      <c r="A1792" t="str">
        <f t="shared" si="513"/>
        <v>https://shop.officineitalianezard.it/en/products/index/zard-conical-silencer-bmw-7451-122/</v>
      </c>
      <c r="B1792" t="b">
        <f>COUNTIF($A$2:$A1792, A1792)&gt;1</f>
        <v>0</v>
      </c>
      <c r="C1792" t="b">
        <f t="shared" si="514"/>
        <v>0</v>
      </c>
      <c r="D1792">
        <f>VLOOKUP(A1792,variant_counts!A:B, 2, FALSE)</f>
        <v>4</v>
      </c>
      <c r="E1792" t="str">
        <f t="shared" si="527"/>
        <v>zard-exhaust-silencer-bmw-r-850-gs---r-1150-gs---r-1150-r-conical-version-zbmw-514-ssr-s</v>
      </c>
      <c r="F1792" t="str">
        <f t="shared" si="515"/>
        <v>ZARD EXHAUST SILENCER BMW R 850 GS - R 1150 GS - R 1150 R CONICAL VERSION ZBMW 514 SSR-S</v>
      </c>
      <c r="G1792" t="str">
        <f t="shared" si="516"/>
        <v>&lt;p&gt;STEEL SILENCER RACING WITH REMOVABLE DB KILLER&lt;/p&gt;
&lt;p&gt;ORIGINAL SILENCER WEIGHT: KG 6.5&lt;br&gt;ZARD SILENCER WEIGHT: KG 3.2&lt;/p&gt;
&lt;p&gt;HARD INCREASE, COMPARED TO THE STANDARD EXHAUST SYSTEM, IN TERMS OF TORQUE AND POWER AT ANY RANGE (+2 HP)&lt;/p&gt;</v>
      </c>
      <c r="H1792" t="str">
        <f t="shared" si="528"/>
        <v>ZARD</v>
      </c>
      <c r="I1792" t="str">
        <f t="shared" si="529"/>
        <v>Exhaust Pipe</v>
      </c>
      <c r="J1792" t="str">
        <f t="shared" si="530"/>
        <v>Test</v>
      </c>
      <c r="K1792" t="b">
        <f t="shared" si="531"/>
        <v>0</v>
      </c>
      <c r="L1792" t="str">
        <f t="shared" si="517"/>
        <v/>
      </c>
      <c r="M1792" t="str">
        <f t="shared" si="518"/>
        <v/>
      </c>
      <c r="R1792" t="str">
        <f t="shared" si="519"/>
        <v/>
      </c>
      <c r="S1792" t="str">
        <f t="shared" si="520"/>
        <v/>
      </c>
      <c r="U1792" t="str">
        <f t="shared" si="521"/>
        <v/>
      </c>
      <c r="V1792" t="str">
        <f t="shared" si="522"/>
        <v/>
      </c>
      <c r="W1792" s="5" t="str">
        <f t="shared" si="523"/>
        <v/>
      </c>
      <c r="Y1792" t="str">
        <f t="shared" si="524"/>
        <v/>
      </c>
      <c r="Z1792" t="str">
        <f t="shared" si="525"/>
        <v/>
      </c>
      <c r="AB1792" t="str">
        <f t="shared" si="526"/>
        <v>https://shop.officineitalianezard.it/contents/imgs/products/1_753-scarichi%20moto%20zard%20bmw%201.jpg</v>
      </c>
      <c r="AE1792" t="b">
        <v>0</v>
      </c>
    </row>
    <row r="1793" spans="1:31" x14ac:dyDescent="0.2">
      <c r="A1793" t="str">
        <f t="shared" si="513"/>
        <v>https://shop.officineitalianezard.it/en/products/index/zard-conical-silencer-bmw-7451-122/</v>
      </c>
      <c r="B1793" t="b">
        <f>COUNTIF($A$2:$A1793, A1793)&gt;1</f>
        <v>1</v>
      </c>
      <c r="C1793" t="b">
        <f t="shared" si="514"/>
        <v>0</v>
      </c>
      <c r="D1793">
        <f>VLOOKUP(A1793,variant_counts!A:B, 2, FALSE)</f>
        <v>4</v>
      </c>
      <c r="E1793" t="str">
        <f t="shared" si="527"/>
        <v>zard-exhaust-silencer-bmw-r-850-gs---r-1150-gs---r-1150-r-conical-version-zbmw-514-ssr-s</v>
      </c>
      <c r="F1793" t="str">
        <f t="shared" si="515"/>
        <v>ZARD EXHAUST SILENCER BMW R 850 GS - R 1150 GS - R 1150 R CONICAL VERSION ZBMW 514 SSR-S</v>
      </c>
      <c r="G1793" t="str">
        <f t="shared" si="516"/>
        <v/>
      </c>
      <c r="H1793" t="str">
        <f t="shared" si="528"/>
        <v/>
      </c>
      <c r="I1793" t="str">
        <f t="shared" si="529"/>
        <v/>
      </c>
      <c r="J1793" t="str">
        <f t="shared" si="530"/>
        <v/>
      </c>
      <c r="K1793" t="str">
        <f t="shared" si="531"/>
        <v/>
      </c>
      <c r="L1793" t="str">
        <f t="shared" si="517"/>
        <v/>
      </c>
      <c r="M1793" t="str">
        <f t="shared" si="518"/>
        <v/>
      </c>
      <c r="R1793" t="str">
        <f t="shared" si="519"/>
        <v/>
      </c>
      <c r="S1793" t="str">
        <f t="shared" si="520"/>
        <v/>
      </c>
      <c r="U1793" t="str">
        <f t="shared" si="521"/>
        <v/>
      </c>
      <c r="V1793" t="str">
        <f t="shared" si="522"/>
        <v/>
      </c>
      <c r="W1793" s="5" t="str">
        <f t="shared" si="523"/>
        <v/>
      </c>
      <c r="Y1793" t="str">
        <f t="shared" si="524"/>
        <v/>
      </c>
      <c r="Z1793" t="str">
        <f t="shared" si="525"/>
        <v/>
      </c>
      <c r="AB1793" t="str">
        <f t="shared" si="526"/>
        <v>https://shop.officineitalianezard.it/contents/imgs/products/1_756-scarichi%20moto%20zard%20bmw%205.jpg</v>
      </c>
      <c r="AE1793" t="b">
        <v>0</v>
      </c>
    </row>
    <row r="1794" spans="1:31" x14ac:dyDescent="0.2">
      <c r="A1794" t="str">
        <f t="shared" ref="A1794:A1857" si="532">source_product_link_href</f>
        <v>https://shop.officineitalianezard.it/en/products/index/zard-conical-silencer-bmw-7451-122/</v>
      </c>
      <c r="B1794" t="b">
        <f>COUNTIF($A$2:$A1794, A1794)&gt;1</f>
        <v>1</v>
      </c>
      <c r="C1794" t="b">
        <f t="shared" ref="C1794:C1857" si="533">NOT(ISBLANK(source_option_name))</f>
        <v>0</v>
      </c>
      <c r="D1794">
        <f>VLOOKUP(A1794,variant_counts!A:B, 2, FALSE)</f>
        <v>4</v>
      </c>
      <c r="E1794" t="str">
        <f t="shared" si="527"/>
        <v>zard-exhaust-silencer-bmw-r-850-gs---r-1150-gs---r-1150-r-conical-version-zbmw-514-ssr-s</v>
      </c>
      <c r="F1794" t="str">
        <f t="shared" ref="F1794:F1857" si="534">UPPER("ZARD EXHAUST " &amp; source_title &amp; " " &amp; source_brand &amp; " " &amp; source_bike &amp; " " &amp; source_product_link &amp; " " &amp; source_sku)</f>
        <v>ZARD EXHAUST SILENCER BMW R 850 GS - R 1150 GS - R 1150 R CONICAL VERSION ZBMW 514 SSR-S</v>
      </c>
      <c r="G1794" t="str">
        <f t="shared" ref="G1794:G1857" si="535">IF($B1794=FALSE, source_description, "")</f>
        <v/>
      </c>
      <c r="H1794" t="str">
        <f t="shared" si="528"/>
        <v/>
      </c>
      <c r="I1794" t="str">
        <f t="shared" si="529"/>
        <v/>
      </c>
      <c r="J1794" t="str">
        <f t="shared" si="530"/>
        <v/>
      </c>
      <c r="K1794" t="str">
        <f t="shared" si="531"/>
        <v/>
      </c>
      <c r="L1794" t="str">
        <f t="shared" ref="L1794:L1857" si="536">IF(AND(variant_count=0,duplicated=FALSE),"Title",IF(OR(AND(variant_count=1,duplicated=FALSE), source_option_name&lt;&gt;""), "Option", ""))</f>
        <v/>
      </c>
      <c r="M1794" t="str">
        <f t="shared" ref="M1794:M1857" si="537">IF(option1_name="Title", "Default Title", IF(AND(option1_name="Option",ISBLANK(source_option_name)),"DEFAULT",IF(ISBLANK(source_option_name), "", source_option_name)))</f>
        <v/>
      </c>
      <c r="R1794" t="str">
        <f t="shared" ref="R1794:R1857" si="538">IF(option1_name &lt;&gt; "", source_sku, "")</f>
        <v/>
      </c>
      <c r="S1794" t="str">
        <f t="shared" ref="S1794:S1857" si="539">IF(option1_name &lt;&gt; "", 0, "")</f>
        <v/>
      </c>
      <c r="U1794" t="str">
        <f t="shared" ref="U1794:U1857" si="540">IF(option1_name &lt;&gt; "", "continue", "")</f>
        <v/>
      </c>
      <c r="V1794" t="str">
        <f t="shared" ref="V1794:V1857" si="541">IF(option1_name &lt;&gt; "", "manual", "")</f>
        <v/>
      </c>
      <c r="W1794" s="5" t="str">
        <f t="shared" ref="W1794:W1857" si="542">IF(option1_name&lt;&gt;"",(source_price_original+source_option_price)*eur_usd,"")</f>
        <v/>
      </c>
      <c r="Y1794" t="str">
        <f t="shared" ref="Y1794:Y1857" si="543">IF(option1_name&lt;&gt;"",TRUE,"")</f>
        <v/>
      </c>
      <c r="Z1794" t="str">
        <f t="shared" ref="Z1794:Z1857" si="544">IF(option1_name&lt;&gt;"",FALSE,"")</f>
        <v/>
      </c>
      <c r="AB1794" t="str">
        <f t="shared" ref="AB1794:AB1857" si="545">IF(ISBLANK(source_image), "", source_image)</f>
        <v>https://shop.officineitalianezard.it/contents/imgs/products/1_754-scarichi%20moto%20zard%20bmw%202.jpg</v>
      </c>
      <c r="AE1794" t="b">
        <v>0</v>
      </c>
    </row>
    <row r="1795" spans="1:31" x14ac:dyDescent="0.2">
      <c r="A1795" t="str">
        <f t="shared" si="532"/>
        <v>https://shop.officineitalianezard.it/en/products/index/zard-conical-silencer-bmw-7451-122/</v>
      </c>
      <c r="B1795" t="b">
        <f>COUNTIF($A$2:$A1795, A1795)&gt;1</f>
        <v>1</v>
      </c>
      <c r="C1795" t="b">
        <f t="shared" si="533"/>
        <v>0</v>
      </c>
      <c r="D1795">
        <f>VLOOKUP(A1795,variant_counts!A:B, 2, FALSE)</f>
        <v>4</v>
      </c>
      <c r="E1795" t="str">
        <f t="shared" ref="E1795:E1858" si="546">FormatShopifyHandle(F1795)</f>
        <v>zard-exhaust-silencer-bmw-r-850-gs---r-1150-gs---r-1150-r-conical-version-zbmw-514-ssr-s</v>
      </c>
      <c r="F1795" t="str">
        <f t="shared" si="534"/>
        <v>ZARD EXHAUST SILENCER BMW R 850 GS - R 1150 GS - R 1150 R CONICAL VERSION ZBMW 514 SSR-S</v>
      </c>
      <c r="G1795" t="str">
        <f t="shared" si="535"/>
        <v/>
      </c>
      <c r="H1795" t="str">
        <f t="shared" ref="H1795:H1858" si="547">IF($B1795=FALSE, "ZARD", "")</f>
        <v/>
      </c>
      <c r="I1795" t="str">
        <f t="shared" ref="I1795:I1858" si="548">IF($B1795=FALSE, "Exhaust Pipe", "")</f>
        <v/>
      </c>
      <c r="J1795" t="str">
        <f t="shared" ref="J1795:J1858" si="549">IF($B1795=FALSE, "Test", "")</f>
        <v/>
      </c>
      <c r="K1795" t="str">
        <f t="shared" ref="K1795:K1858" si="550">IF($B1795=FALSE, FALSE, "")</f>
        <v/>
      </c>
      <c r="L1795" t="str">
        <f t="shared" si="536"/>
        <v/>
      </c>
      <c r="M1795" t="str">
        <f t="shared" si="537"/>
        <v/>
      </c>
      <c r="R1795" t="str">
        <f t="shared" si="538"/>
        <v/>
      </c>
      <c r="S1795" t="str">
        <f t="shared" si="539"/>
        <v/>
      </c>
      <c r="U1795" t="str">
        <f t="shared" si="540"/>
        <v/>
      </c>
      <c r="V1795" t="str">
        <f t="shared" si="541"/>
        <v/>
      </c>
      <c r="W1795" s="5" t="str">
        <f t="shared" si="542"/>
        <v/>
      </c>
      <c r="Y1795" t="str">
        <f t="shared" si="543"/>
        <v/>
      </c>
      <c r="Z1795" t="str">
        <f t="shared" si="544"/>
        <v/>
      </c>
      <c r="AB1795" t="str">
        <f t="shared" si="545"/>
        <v>https://shop.officineitalianezard.it/contents/imgs/products/1_755-scarichi%20moto%20zard%20bmw%204.jpg</v>
      </c>
      <c r="AE1795" t="b">
        <v>0</v>
      </c>
    </row>
    <row r="1796" spans="1:31" x14ac:dyDescent="0.2">
      <c r="A1796" t="str">
        <f t="shared" si="532"/>
        <v>https://shop.officineitalianezard.it/en/products/index/zard-conical-silencer-bmw-7451-122/</v>
      </c>
      <c r="B1796" t="b">
        <f>COUNTIF($A$2:$A1796, A1796)&gt;1</f>
        <v>1</v>
      </c>
      <c r="C1796" t="b">
        <f t="shared" si="533"/>
        <v>1</v>
      </c>
      <c r="D1796">
        <f>VLOOKUP(A1796,variant_counts!A:B, 2, FALSE)</f>
        <v>4</v>
      </c>
      <c r="E1796" t="str">
        <f t="shared" si="546"/>
        <v>zard-exhaust-silencer-bmw-r-850-gs---r-1150-gs---r-1150-r-conical-version-zbmw-514-ssr-s</v>
      </c>
      <c r="F1796" t="str">
        <f t="shared" si="534"/>
        <v>ZARD EXHAUST SILENCER BMW R 850 GS - R 1150 GS - R 1150 R CONICAL VERSION ZBMW 514 SSR-S</v>
      </c>
      <c r="G1796" t="str">
        <f t="shared" si="535"/>
        <v/>
      </c>
      <c r="H1796" t="str">
        <f t="shared" si="547"/>
        <v/>
      </c>
      <c r="I1796" t="str">
        <f t="shared" si="548"/>
        <v/>
      </c>
      <c r="J1796" t="str">
        <f t="shared" si="549"/>
        <v/>
      </c>
      <c r="K1796" t="str">
        <f t="shared" si="550"/>
        <v/>
      </c>
      <c r="L1796" t="str">
        <f t="shared" si="536"/>
        <v>Option</v>
      </c>
      <c r="M1796" t="str">
        <f t="shared" si="537"/>
        <v>HOMOLOGATED EURO 3</v>
      </c>
      <c r="R1796" t="str">
        <f t="shared" si="538"/>
        <v>ZBMW 514 SSR-S</v>
      </c>
      <c r="S1796">
        <f t="shared" si="539"/>
        <v>0</v>
      </c>
      <c r="U1796" t="str">
        <f t="shared" si="540"/>
        <v>continue</v>
      </c>
      <c r="V1796" t="str">
        <f t="shared" si="541"/>
        <v>manual</v>
      </c>
      <c r="W1796" s="5">
        <f t="shared" si="542"/>
        <v>421.07850000000008</v>
      </c>
      <c r="Y1796" t="b">
        <f t="shared" si="543"/>
        <v>1</v>
      </c>
      <c r="Z1796" t="b">
        <f t="shared" si="544"/>
        <v>0</v>
      </c>
      <c r="AB1796" t="str">
        <f t="shared" si="545"/>
        <v/>
      </c>
      <c r="AE1796" t="b">
        <v>0</v>
      </c>
    </row>
    <row r="1797" spans="1:31" x14ac:dyDescent="0.2">
      <c r="A1797" t="str">
        <f t="shared" si="532"/>
        <v>https://shop.officineitalianezard.it/en/products/index/zard-conical-silencer-bmw-7451-122/</v>
      </c>
      <c r="B1797" t="b">
        <f>COUNTIF($A$2:$A1797, A1797)&gt;1</f>
        <v>1</v>
      </c>
      <c r="C1797" t="b">
        <f t="shared" si="533"/>
        <v>1</v>
      </c>
      <c r="D1797">
        <f>VLOOKUP(A1797,variant_counts!A:B, 2, FALSE)</f>
        <v>4</v>
      </c>
      <c r="E1797" t="str">
        <f t="shared" si="546"/>
        <v>zard-exhaust-silencer-bmw-r-850-gs---r-1150-gs---r-1150-r-conical-version-zbmw-514-ssr-s</v>
      </c>
      <c r="F1797" t="str">
        <f t="shared" si="534"/>
        <v>ZARD EXHAUST SILENCER BMW R 850 GS - R 1150 GS - R 1150 R CONICAL VERSION ZBMW 514 SSR-S</v>
      </c>
      <c r="G1797" t="str">
        <f t="shared" si="535"/>
        <v/>
      </c>
      <c r="H1797" t="str">
        <f t="shared" si="547"/>
        <v/>
      </c>
      <c r="I1797" t="str">
        <f t="shared" si="548"/>
        <v/>
      </c>
      <c r="J1797" t="str">
        <f t="shared" si="549"/>
        <v/>
      </c>
      <c r="K1797" t="str">
        <f t="shared" si="550"/>
        <v/>
      </c>
      <c r="L1797" t="str">
        <f t="shared" si="536"/>
        <v>Option</v>
      </c>
      <c r="M1797" t="str">
        <f t="shared" si="537"/>
        <v>BLACK COATING</v>
      </c>
      <c r="R1797" t="str">
        <f t="shared" si="538"/>
        <v>ZBMW 514 SSR-S</v>
      </c>
      <c r="S1797">
        <f t="shared" si="539"/>
        <v>0</v>
      </c>
      <c r="U1797" t="str">
        <f t="shared" si="540"/>
        <v>continue</v>
      </c>
      <c r="V1797" t="str">
        <f t="shared" si="541"/>
        <v>manual</v>
      </c>
      <c r="W1797" s="5">
        <f t="shared" si="542"/>
        <v>480.85200000000003</v>
      </c>
      <c r="Y1797" t="b">
        <f t="shared" si="543"/>
        <v>1</v>
      </c>
      <c r="Z1797" t="b">
        <f t="shared" si="544"/>
        <v>0</v>
      </c>
      <c r="AB1797" t="str">
        <f t="shared" si="545"/>
        <v/>
      </c>
      <c r="AE1797" t="b">
        <v>0</v>
      </c>
    </row>
    <row r="1798" spans="1:31" x14ac:dyDescent="0.2">
      <c r="A1798" t="str">
        <f t="shared" si="532"/>
        <v>https://shop.officineitalianezard.it/en/products/index/zard-conical-silencer-bmw-7451-122/</v>
      </c>
      <c r="B1798" t="b">
        <f>COUNTIF($A$2:$A1798, A1798)&gt;1</f>
        <v>1</v>
      </c>
      <c r="C1798" t="b">
        <f t="shared" si="533"/>
        <v>1</v>
      </c>
      <c r="D1798">
        <f>VLOOKUP(A1798,variant_counts!A:B, 2, FALSE)</f>
        <v>4</v>
      </c>
      <c r="E1798" t="str">
        <f t="shared" si="546"/>
        <v>zard-exhaust-silencer-bmw-r-850-gs---r-1150-gs---r-1150-r-conical-version-zbmw-514-ssr-s</v>
      </c>
      <c r="F1798" t="str">
        <f t="shared" si="534"/>
        <v>ZARD EXHAUST SILENCER BMW R 850 GS - R 1150 GS - R 1150 R CONICAL VERSION ZBMW 514 SSR-S</v>
      </c>
      <c r="G1798" t="str">
        <f t="shared" si="535"/>
        <v/>
      </c>
      <c r="H1798" t="str">
        <f t="shared" si="547"/>
        <v/>
      </c>
      <c r="I1798" t="str">
        <f t="shared" si="548"/>
        <v/>
      </c>
      <c r="J1798" t="str">
        <f t="shared" si="549"/>
        <v/>
      </c>
      <c r="K1798" t="str">
        <f t="shared" si="550"/>
        <v/>
      </c>
      <c r="L1798" t="str">
        <f t="shared" si="536"/>
        <v>Option</v>
      </c>
      <c r="M1798" t="str">
        <f t="shared" si="537"/>
        <v>MIRROR POLISHED</v>
      </c>
      <c r="R1798" t="str">
        <f t="shared" si="538"/>
        <v>ZBMW 514 SSR-S</v>
      </c>
      <c r="S1798">
        <f t="shared" si="539"/>
        <v>0</v>
      </c>
      <c r="U1798" t="str">
        <f t="shared" si="540"/>
        <v>continue</v>
      </c>
      <c r="V1798" t="str">
        <f t="shared" si="541"/>
        <v>manual</v>
      </c>
      <c r="W1798" s="5">
        <f t="shared" si="542"/>
        <v>416.16120000000006</v>
      </c>
      <c r="Y1798" t="b">
        <f t="shared" si="543"/>
        <v>1</v>
      </c>
      <c r="Z1798" t="b">
        <f t="shared" si="544"/>
        <v>0</v>
      </c>
      <c r="AB1798" t="str">
        <f t="shared" si="545"/>
        <v/>
      </c>
      <c r="AE1798" t="b">
        <v>0</v>
      </c>
    </row>
    <row r="1799" spans="1:31" x14ac:dyDescent="0.2">
      <c r="A1799" t="str">
        <f t="shared" si="532"/>
        <v>https://shop.officineitalianezard.it/en/products/index/zard-conical-silencer-bmw-7451-122/</v>
      </c>
      <c r="B1799" t="b">
        <f>COUNTIF($A$2:$A1799, A1799)&gt;1</f>
        <v>1</v>
      </c>
      <c r="C1799" t="b">
        <f t="shared" si="533"/>
        <v>1</v>
      </c>
      <c r="D1799">
        <f>VLOOKUP(A1799,variant_counts!A:B, 2, FALSE)</f>
        <v>4</v>
      </c>
      <c r="E1799" t="str">
        <f t="shared" si="546"/>
        <v>zard-exhaust-silencer-bmw-r-850-gs---r-1150-gs---r-1150-r-conical-version-zbmw-514-ssr-s</v>
      </c>
      <c r="F1799" t="str">
        <f t="shared" si="534"/>
        <v>ZARD EXHAUST SILENCER BMW R 850 GS - R 1150 GS - R 1150 R CONICAL VERSION ZBMW 514 SSR-S</v>
      </c>
      <c r="G1799" t="str">
        <f t="shared" si="535"/>
        <v/>
      </c>
      <c r="H1799" t="str">
        <f t="shared" si="547"/>
        <v/>
      </c>
      <c r="I1799" t="str">
        <f t="shared" si="548"/>
        <v/>
      </c>
      <c r="J1799" t="str">
        <f t="shared" si="549"/>
        <v/>
      </c>
      <c r="K1799" t="str">
        <f t="shared" si="550"/>
        <v/>
      </c>
      <c r="L1799" t="str">
        <f t="shared" si="536"/>
        <v>Option</v>
      </c>
      <c r="M1799" t="str">
        <f t="shared" si="537"/>
        <v>CARBON ENDCAP</v>
      </c>
      <c r="R1799" t="str">
        <f t="shared" si="538"/>
        <v>ZBMW 514 SSR-S</v>
      </c>
      <c r="S1799">
        <f t="shared" si="539"/>
        <v>0</v>
      </c>
      <c r="U1799" t="str">
        <f t="shared" si="540"/>
        <v>continue</v>
      </c>
      <c r="V1799" t="str">
        <f t="shared" si="541"/>
        <v>manual</v>
      </c>
      <c r="W1799" s="5">
        <f t="shared" si="542"/>
        <v>441.54690000000005</v>
      </c>
      <c r="Y1799" t="b">
        <f t="shared" si="543"/>
        <v>1</v>
      </c>
      <c r="Z1799" t="b">
        <f t="shared" si="544"/>
        <v>0</v>
      </c>
      <c r="AB1799" t="str">
        <f t="shared" si="545"/>
        <v/>
      </c>
      <c r="AE1799" t="b">
        <v>0</v>
      </c>
    </row>
    <row r="1800" spans="1:31" x14ac:dyDescent="0.2">
      <c r="A1800" t="str">
        <f t="shared" si="532"/>
        <v>https://shop.officineitalianezard.it/en/products/index/bmw-r1150-exhaust-zard-7830-220/</v>
      </c>
      <c r="B1800" t="b">
        <f>COUNTIF($A$2:$A1800, A1800)&gt;1</f>
        <v>0</v>
      </c>
      <c r="C1800" t="b">
        <f t="shared" si="533"/>
        <v>0</v>
      </c>
      <c r="D1800">
        <f>VLOOKUP(A1800,variant_counts!A:B, 2, FALSE)</f>
        <v>3</v>
      </c>
      <c r="E1800" t="str">
        <f t="shared" si="546"/>
        <v>zard-exhaust-silencer-kit-bmw-r-1150-racing-version-zbmw532skr</v>
      </c>
      <c r="F1800" t="str">
        <f t="shared" si="534"/>
        <v>ZARD EXHAUST SILENCER KIT BMW R 1150 RACING VERSION ZBMW532SKR</v>
      </c>
      <c r="G1800" t="str">
        <f t="shared" si="535"/>
        <v>&lt;p&gt;STEEL SILENCER RACING WITH REMOVABLE DB KILLER&lt;/p&gt;
&lt;p&gt;&lt;span&gt;ZARD&amp;nbsp;SILENCER + DECAT. CAN BE FITTED ON ORIGINAL BMW&amp;nbsp;HEADERS (2&amp;gt;1)&lt;/span&gt;&lt;/p&gt;
&lt;p&gt;HARD INCREASE, COMPARED TO THE ORIGINAL EXHAUST SYSTEM, IN TERMS OF TORQUE AND POWER AT ANY RANGE.&lt;/p&gt;
&lt;p&gt;ASTONISHING SOUND.&lt;/p&gt;
&lt;p&gt;AVAILABLE IN 4 WEEKS FROM ORDER.&lt;/p&gt;
&lt;p&gt;GOLD&amp;nbsp;END CAP AND LOGO PLATE AVAILABLE AS OPTIONAL&lt;/p&gt;
&lt;p&gt;&lt;strong&gt;COMPATIBILITY MODEL:&lt;/strong&gt; R 1150 R, R 1150 RS, R 1150 ROCKSTER, R 850 R&amp;nbsp;II&lt;/p&gt;
&lt;p&gt;&lt;span&gt;&lt;/span&gt;&lt;/p&gt;</v>
      </c>
      <c r="H1800" t="str">
        <f t="shared" si="547"/>
        <v>ZARD</v>
      </c>
      <c r="I1800" t="str">
        <f t="shared" si="548"/>
        <v>Exhaust Pipe</v>
      </c>
      <c r="J1800" t="str">
        <f t="shared" si="549"/>
        <v>Test</v>
      </c>
      <c r="K1800" t="b">
        <f t="shared" si="550"/>
        <v>0</v>
      </c>
      <c r="L1800" t="str">
        <f t="shared" si="536"/>
        <v/>
      </c>
      <c r="M1800" t="str">
        <f t="shared" si="537"/>
        <v/>
      </c>
      <c r="R1800" t="str">
        <f t="shared" si="538"/>
        <v/>
      </c>
      <c r="S1800" t="str">
        <f t="shared" si="539"/>
        <v/>
      </c>
      <c r="U1800" t="str">
        <f t="shared" si="540"/>
        <v/>
      </c>
      <c r="V1800" t="str">
        <f t="shared" si="541"/>
        <v/>
      </c>
      <c r="W1800" s="5" t="str">
        <f t="shared" si="542"/>
        <v/>
      </c>
      <c r="Y1800" t="str">
        <f t="shared" si="543"/>
        <v/>
      </c>
      <c r="Z1800" t="str">
        <f t="shared" si="544"/>
        <v/>
      </c>
      <c r="AB1800" t="str">
        <f t="shared" si="545"/>
        <v>https://shop.officineitalianezard.it/contents/imgs/products/1_2355-2040-scarico%20bmw%20R1150%20zard1.jpg</v>
      </c>
      <c r="AE1800" t="b">
        <v>0</v>
      </c>
    </row>
    <row r="1801" spans="1:31" x14ac:dyDescent="0.2">
      <c r="A1801" t="str">
        <f t="shared" si="532"/>
        <v>https://shop.officineitalianezard.it/en/products/index/bmw-r1150-exhaust-zard-7830-220/</v>
      </c>
      <c r="B1801" t="b">
        <f>COUNTIF($A$2:$A1801, A1801)&gt;1</f>
        <v>1</v>
      </c>
      <c r="C1801" t="b">
        <f t="shared" si="533"/>
        <v>0</v>
      </c>
      <c r="D1801">
        <f>VLOOKUP(A1801,variant_counts!A:B, 2, FALSE)</f>
        <v>3</v>
      </c>
      <c r="E1801" t="str">
        <f t="shared" si="546"/>
        <v>zard-exhaust-silencer-kit-bmw-r-1150-racing-version-zbmw532skr</v>
      </c>
      <c r="F1801" t="str">
        <f t="shared" si="534"/>
        <v>ZARD EXHAUST SILENCER KIT BMW R 1150 RACING VERSION ZBMW532SKR</v>
      </c>
      <c r="G1801" t="str">
        <f t="shared" si="535"/>
        <v/>
      </c>
      <c r="H1801" t="str">
        <f t="shared" si="547"/>
        <v/>
      </c>
      <c r="I1801" t="str">
        <f t="shared" si="548"/>
        <v/>
      </c>
      <c r="J1801" t="str">
        <f t="shared" si="549"/>
        <v/>
      </c>
      <c r="K1801" t="str">
        <f t="shared" si="550"/>
        <v/>
      </c>
      <c r="L1801" t="str">
        <f t="shared" si="536"/>
        <v/>
      </c>
      <c r="M1801" t="str">
        <f t="shared" si="537"/>
        <v/>
      </c>
      <c r="R1801" t="str">
        <f t="shared" si="538"/>
        <v/>
      </c>
      <c r="S1801" t="str">
        <f t="shared" si="539"/>
        <v/>
      </c>
      <c r="U1801" t="str">
        <f t="shared" si="540"/>
        <v/>
      </c>
      <c r="V1801" t="str">
        <f t="shared" si="541"/>
        <v/>
      </c>
      <c r="W1801" s="5" t="str">
        <f t="shared" si="542"/>
        <v/>
      </c>
      <c r="Y1801" t="str">
        <f t="shared" si="543"/>
        <v/>
      </c>
      <c r="Z1801" t="str">
        <f t="shared" si="544"/>
        <v/>
      </c>
      <c r="AB1801" t="str">
        <f t="shared" si="545"/>
        <v>https://shop.officineitalianezard.it/contents/imgs/products/1_2041-scarico%20bmw%20R1150%20zard2.jpg</v>
      </c>
      <c r="AE1801" t="b">
        <v>0</v>
      </c>
    </row>
    <row r="1802" spans="1:31" x14ac:dyDescent="0.2">
      <c r="A1802" t="str">
        <f t="shared" si="532"/>
        <v>https://shop.officineitalianezard.it/en/products/index/bmw-r1150-exhaust-zard-7830-220/</v>
      </c>
      <c r="B1802" t="b">
        <f>COUNTIF($A$2:$A1802, A1802)&gt;1</f>
        <v>1</v>
      </c>
      <c r="C1802" t="b">
        <f t="shared" si="533"/>
        <v>0</v>
      </c>
      <c r="D1802">
        <f>VLOOKUP(A1802,variant_counts!A:B, 2, FALSE)</f>
        <v>3</v>
      </c>
      <c r="E1802" t="str">
        <f t="shared" si="546"/>
        <v>zard-exhaust-silencer-kit-bmw-r-1150-racing-version-zbmw532skr</v>
      </c>
      <c r="F1802" t="str">
        <f t="shared" si="534"/>
        <v>ZARD EXHAUST SILENCER KIT BMW R 1150 RACING VERSION ZBMW532SKR</v>
      </c>
      <c r="G1802" t="str">
        <f t="shared" si="535"/>
        <v/>
      </c>
      <c r="H1802" t="str">
        <f t="shared" si="547"/>
        <v/>
      </c>
      <c r="I1802" t="str">
        <f t="shared" si="548"/>
        <v/>
      </c>
      <c r="J1802" t="str">
        <f t="shared" si="549"/>
        <v/>
      </c>
      <c r="K1802" t="str">
        <f t="shared" si="550"/>
        <v/>
      </c>
      <c r="L1802" t="str">
        <f t="shared" si="536"/>
        <v/>
      </c>
      <c r="M1802" t="str">
        <f t="shared" si="537"/>
        <v/>
      </c>
      <c r="R1802" t="str">
        <f t="shared" si="538"/>
        <v/>
      </c>
      <c r="S1802" t="str">
        <f t="shared" si="539"/>
        <v/>
      </c>
      <c r="U1802" t="str">
        <f t="shared" si="540"/>
        <v/>
      </c>
      <c r="V1802" t="str">
        <f t="shared" si="541"/>
        <v/>
      </c>
      <c r="W1802" s="5" t="str">
        <f t="shared" si="542"/>
        <v/>
      </c>
      <c r="Y1802" t="str">
        <f t="shared" si="543"/>
        <v/>
      </c>
      <c r="Z1802" t="str">
        <f t="shared" si="544"/>
        <v/>
      </c>
      <c r="AB1802" t="str">
        <f t="shared" si="545"/>
        <v>https://shop.officineitalianezard.it/contents/imgs/products/1_2042-scarico%20bmw%20R1150%20zard3.jpg</v>
      </c>
      <c r="AE1802" t="b">
        <v>0</v>
      </c>
    </row>
    <row r="1803" spans="1:31" x14ac:dyDescent="0.2">
      <c r="A1803" t="str">
        <f t="shared" si="532"/>
        <v>https://shop.officineitalianezard.it/en/products/index/bmw-r1150-exhaust-zard-7830-220/</v>
      </c>
      <c r="B1803" t="b">
        <f>COUNTIF($A$2:$A1803, A1803)&gt;1</f>
        <v>1</v>
      </c>
      <c r="C1803" t="b">
        <f t="shared" si="533"/>
        <v>0</v>
      </c>
      <c r="D1803">
        <f>VLOOKUP(A1803,variant_counts!A:B, 2, FALSE)</f>
        <v>3</v>
      </c>
      <c r="E1803" t="str">
        <f t="shared" si="546"/>
        <v>zard-exhaust-silencer-kit-bmw-r-1150-racing-version-zbmw532skr</v>
      </c>
      <c r="F1803" t="str">
        <f t="shared" si="534"/>
        <v>ZARD EXHAUST SILENCER KIT BMW R 1150 RACING VERSION ZBMW532SKR</v>
      </c>
      <c r="G1803" t="str">
        <f t="shared" si="535"/>
        <v/>
      </c>
      <c r="H1803" t="str">
        <f t="shared" si="547"/>
        <v/>
      </c>
      <c r="I1803" t="str">
        <f t="shared" si="548"/>
        <v/>
      </c>
      <c r="J1803" t="str">
        <f t="shared" si="549"/>
        <v/>
      </c>
      <c r="K1803" t="str">
        <f t="shared" si="550"/>
        <v/>
      </c>
      <c r="L1803" t="str">
        <f t="shared" si="536"/>
        <v/>
      </c>
      <c r="M1803" t="str">
        <f t="shared" si="537"/>
        <v/>
      </c>
      <c r="R1803" t="str">
        <f t="shared" si="538"/>
        <v/>
      </c>
      <c r="S1803" t="str">
        <f t="shared" si="539"/>
        <v/>
      </c>
      <c r="U1803" t="str">
        <f t="shared" si="540"/>
        <v/>
      </c>
      <c r="V1803" t="str">
        <f t="shared" si="541"/>
        <v/>
      </c>
      <c r="W1803" s="5" t="str">
        <f t="shared" si="542"/>
        <v/>
      </c>
      <c r="Y1803" t="str">
        <f t="shared" si="543"/>
        <v/>
      </c>
      <c r="Z1803" t="str">
        <f t="shared" si="544"/>
        <v/>
      </c>
      <c r="AB1803" t="str">
        <f t="shared" si="545"/>
        <v>https://shop.officineitalianezard.it/contents/imgs/products/1_2043-scarico%20bmw%20R1150%20zard4.jpg</v>
      </c>
      <c r="AE1803" t="b">
        <v>0</v>
      </c>
    </row>
    <row r="1804" spans="1:31" x14ac:dyDescent="0.2">
      <c r="A1804" t="str">
        <f t="shared" si="532"/>
        <v>https://shop.officineitalianezard.it/en/products/index/bmw-r1150-exhaust-zard-7830-220/</v>
      </c>
      <c r="B1804" t="b">
        <f>COUNTIF($A$2:$A1804, A1804)&gt;1</f>
        <v>1</v>
      </c>
      <c r="C1804" t="b">
        <f t="shared" si="533"/>
        <v>0</v>
      </c>
      <c r="D1804">
        <f>VLOOKUP(A1804,variant_counts!A:B, 2, FALSE)</f>
        <v>3</v>
      </c>
      <c r="E1804" t="str">
        <f t="shared" si="546"/>
        <v>zard-exhaust-silencer-kit-bmw-r-1150-racing-version-zbmw532skr</v>
      </c>
      <c r="F1804" t="str">
        <f t="shared" si="534"/>
        <v>ZARD EXHAUST SILENCER KIT BMW R 1150 RACING VERSION ZBMW532SKR</v>
      </c>
      <c r="G1804" t="str">
        <f t="shared" si="535"/>
        <v/>
      </c>
      <c r="H1804" t="str">
        <f t="shared" si="547"/>
        <v/>
      </c>
      <c r="I1804" t="str">
        <f t="shared" si="548"/>
        <v/>
      </c>
      <c r="J1804" t="str">
        <f t="shared" si="549"/>
        <v/>
      </c>
      <c r="K1804" t="str">
        <f t="shared" si="550"/>
        <v/>
      </c>
      <c r="L1804" t="str">
        <f t="shared" si="536"/>
        <v/>
      </c>
      <c r="M1804" t="str">
        <f t="shared" si="537"/>
        <v/>
      </c>
      <c r="R1804" t="str">
        <f t="shared" si="538"/>
        <v/>
      </c>
      <c r="S1804" t="str">
        <f t="shared" si="539"/>
        <v/>
      </c>
      <c r="U1804" t="str">
        <f t="shared" si="540"/>
        <v/>
      </c>
      <c r="V1804" t="str">
        <f t="shared" si="541"/>
        <v/>
      </c>
      <c r="W1804" s="5" t="str">
        <f t="shared" si="542"/>
        <v/>
      </c>
      <c r="Y1804" t="str">
        <f t="shared" si="543"/>
        <v/>
      </c>
      <c r="Z1804" t="str">
        <f t="shared" si="544"/>
        <v/>
      </c>
      <c r="AB1804" t="str">
        <f t="shared" si="545"/>
        <v>https://shop.officineitalianezard.it/contents/imgs/products/1_2045-scarico%20bmw%20R1150%20zard5.jpg</v>
      </c>
      <c r="AE1804" t="b">
        <v>0</v>
      </c>
    </row>
    <row r="1805" spans="1:31" x14ac:dyDescent="0.2">
      <c r="A1805" t="str">
        <f t="shared" si="532"/>
        <v>https://shop.officineitalianezard.it/en/products/index/bmw-r1150-exhaust-zard-7830-220/</v>
      </c>
      <c r="B1805" t="b">
        <f>COUNTIF($A$2:$A1805, A1805)&gt;1</f>
        <v>1</v>
      </c>
      <c r="C1805" t="b">
        <f t="shared" si="533"/>
        <v>1</v>
      </c>
      <c r="D1805">
        <f>VLOOKUP(A1805,variant_counts!A:B, 2, FALSE)</f>
        <v>3</v>
      </c>
      <c r="E1805" t="str">
        <f t="shared" si="546"/>
        <v>zard-exhaust-silencer-kit-bmw-r-1150-racing-version-zbmw532skr</v>
      </c>
      <c r="F1805" t="str">
        <f t="shared" si="534"/>
        <v>ZARD EXHAUST SILENCER KIT BMW R 1150 RACING VERSION ZBMW532SKR</v>
      </c>
      <c r="G1805" t="str">
        <f t="shared" si="535"/>
        <v/>
      </c>
      <c r="H1805" t="str">
        <f t="shared" si="547"/>
        <v/>
      </c>
      <c r="I1805" t="str">
        <f t="shared" si="548"/>
        <v/>
      </c>
      <c r="J1805" t="str">
        <f t="shared" si="549"/>
        <v/>
      </c>
      <c r="K1805" t="str">
        <f t="shared" si="550"/>
        <v/>
      </c>
      <c r="L1805" t="str">
        <f t="shared" si="536"/>
        <v>Option</v>
      </c>
      <c r="M1805" t="str">
        <f t="shared" si="537"/>
        <v>BLACK COATING</v>
      </c>
      <c r="R1805" t="str">
        <f t="shared" si="538"/>
        <v>ZBMW532SKR</v>
      </c>
      <c r="S1805">
        <f t="shared" si="539"/>
        <v>0</v>
      </c>
      <c r="U1805" t="str">
        <f t="shared" si="540"/>
        <v>continue</v>
      </c>
      <c r="V1805" t="str">
        <f t="shared" si="541"/>
        <v>manual</v>
      </c>
      <c r="W1805" s="5">
        <f t="shared" si="542"/>
        <v>932.13360000000011</v>
      </c>
      <c r="Y1805" t="b">
        <f t="shared" si="543"/>
        <v>1</v>
      </c>
      <c r="Z1805" t="b">
        <f t="shared" si="544"/>
        <v>0</v>
      </c>
      <c r="AB1805" t="str">
        <f t="shared" si="545"/>
        <v/>
      </c>
      <c r="AE1805" t="b">
        <v>0</v>
      </c>
    </row>
    <row r="1806" spans="1:31" x14ac:dyDescent="0.2">
      <c r="A1806" t="str">
        <f t="shared" si="532"/>
        <v>https://shop.officineitalianezard.it/en/products/index/bmw-r1150-exhaust-zard-7830-220/</v>
      </c>
      <c r="B1806" t="b">
        <f>COUNTIF($A$2:$A1806, A1806)&gt;1</f>
        <v>1</v>
      </c>
      <c r="C1806" t="b">
        <f t="shared" si="533"/>
        <v>1</v>
      </c>
      <c r="D1806">
        <f>VLOOKUP(A1806,variant_counts!A:B, 2, FALSE)</f>
        <v>3</v>
      </c>
      <c r="E1806" t="str">
        <f t="shared" si="546"/>
        <v>zard-exhaust-silencer-kit-bmw-r-1150-racing-version-zbmw532skr</v>
      </c>
      <c r="F1806" t="str">
        <f t="shared" si="534"/>
        <v>ZARD EXHAUST SILENCER KIT BMW R 1150 RACING VERSION ZBMW532SKR</v>
      </c>
      <c r="G1806" t="str">
        <f t="shared" si="535"/>
        <v/>
      </c>
      <c r="H1806" t="str">
        <f t="shared" si="547"/>
        <v/>
      </c>
      <c r="I1806" t="str">
        <f t="shared" si="548"/>
        <v/>
      </c>
      <c r="J1806" t="str">
        <f t="shared" si="549"/>
        <v/>
      </c>
      <c r="K1806" t="str">
        <f t="shared" si="550"/>
        <v/>
      </c>
      <c r="L1806" t="str">
        <f t="shared" si="536"/>
        <v>Option</v>
      </c>
      <c r="M1806" t="str">
        <f t="shared" si="537"/>
        <v>BLACK CERAMIC COATING ON ORIGINAL HEADERS</v>
      </c>
      <c r="R1806" t="str">
        <f t="shared" si="538"/>
        <v>ZBMW532SKR</v>
      </c>
      <c r="S1806">
        <f t="shared" si="539"/>
        <v>0</v>
      </c>
      <c r="U1806" t="str">
        <f t="shared" si="540"/>
        <v>continue</v>
      </c>
      <c r="V1806" t="str">
        <f t="shared" si="541"/>
        <v>manual</v>
      </c>
      <c r="W1806" s="5">
        <f t="shared" si="542"/>
        <v>1000.0989000000001</v>
      </c>
      <c r="Y1806" t="b">
        <f t="shared" si="543"/>
        <v>1</v>
      </c>
      <c r="Z1806" t="b">
        <f t="shared" si="544"/>
        <v>0</v>
      </c>
      <c r="AB1806" t="str">
        <f t="shared" si="545"/>
        <v/>
      </c>
      <c r="AE1806" t="b">
        <v>0</v>
      </c>
    </row>
    <row r="1807" spans="1:31" x14ac:dyDescent="0.2">
      <c r="A1807" t="str">
        <f t="shared" si="532"/>
        <v>https://shop.officineitalianezard.it/en/products/index/bmw-r1150-exhaust-zard-7830-220/</v>
      </c>
      <c r="B1807" t="b">
        <f>COUNTIF($A$2:$A1807, A1807)&gt;1</f>
        <v>1</v>
      </c>
      <c r="C1807" t="b">
        <f t="shared" si="533"/>
        <v>1</v>
      </c>
      <c r="D1807">
        <f>VLOOKUP(A1807,variant_counts!A:B, 2, FALSE)</f>
        <v>3</v>
      </c>
      <c r="E1807" t="str">
        <f t="shared" si="546"/>
        <v>zard-exhaust-silencer-kit-bmw-r-1150-racing-version-zbmw532skr</v>
      </c>
      <c r="F1807" t="str">
        <f t="shared" si="534"/>
        <v>ZARD EXHAUST SILENCER KIT BMW R 1150 RACING VERSION ZBMW532SKR</v>
      </c>
      <c r="G1807" t="str">
        <f t="shared" si="535"/>
        <v/>
      </c>
      <c r="H1807" t="str">
        <f t="shared" si="547"/>
        <v/>
      </c>
      <c r="I1807" t="str">
        <f t="shared" si="548"/>
        <v/>
      </c>
      <c r="J1807" t="str">
        <f t="shared" si="549"/>
        <v/>
      </c>
      <c r="K1807" t="str">
        <f t="shared" si="550"/>
        <v/>
      </c>
      <c r="L1807" t="str">
        <f t="shared" si="536"/>
        <v>Option</v>
      </c>
      <c r="M1807" t="str">
        <f t="shared" si="537"/>
        <v>GOLD END CAP AND LOGO PLATE</v>
      </c>
      <c r="R1807" t="str">
        <f t="shared" si="538"/>
        <v>ZBMW532SKR</v>
      </c>
      <c r="S1807">
        <f t="shared" si="539"/>
        <v>0</v>
      </c>
      <c r="U1807" t="str">
        <f t="shared" si="540"/>
        <v>continue</v>
      </c>
      <c r="V1807" t="str">
        <f t="shared" si="541"/>
        <v>manual</v>
      </c>
      <c r="W1807" s="5">
        <f t="shared" si="542"/>
        <v>897.74580000000003</v>
      </c>
      <c r="Y1807" t="b">
        <f t="shared" si="543"/>
        <v>1</v>
      </c>
      <c r="Z1807" t="b">
        <f t="shared" si="544"/>
        <v>0</v>
      </c>
      <c r="AB1807" t="str">
        <f t="shared" si="545"/>
        <v/>
      </c>
      <c r="AE1807" t="b">
        <v>0</v>
      </c>
    </row>
    <row r="1808" spans="1:31" x14ac:dyDescent="0.2">
      <c r="A1808" t="str">
        <f t="shared" si="532"/>
        <v>https://shop.officineitalianezard.it/en/zard-conical-silencer-bmw/</v>
      </c>
      <c r="B1808" t="b">
        <f>COUNTIF($A$2:$A1808, A1808)&gt;1</f>
        <v>0</v>
      </c>
      <c r="C1808" t="b">
        <f t="shared" si="533"/>
        <v>0</v>
      </c>
      <c r="D1808">
        <f>VLOOKUP(A1808,variant_counts!A:B, 2, FALSE)</f>
        <v>4</v>
      </c>
      <c r="E1808" t="str">
        <f t="shared" si="546"/>
        <v>zard-exhaust-silencer-bmw-k-1200-s-r-conical-version-zbmw081sso-s</v>
      </c>
      <c r="F1808" t="str">
        <f t="shared" si="534"/>
        <v>ZARD EXHAUST SILENCER BMW K 1200 S-R CONICAL VERSION ZBMW081SSO-S</v>
      </c>
      <c r="G1808" t="str">
        <f t="shared" si="535"/>
        <v>&lt;p&gt;STEEL SILENCER RACING WITH REMOVABLE DB KILLER&lt;/p&gt;
&lt;p&gt;ORIGINAL SILENCER WEIGHT: KG 6.5&lt;br&gt;ZARD SILENCER WEIGHT: KG 3.2&lt;/p&gt;
&lt;p&gt;HARD INCREASE, COMPARED TO THE STANDARD EXHAUST SYSTEM, IN TERMS OF TORQUE AND POWER AT ANY RANGE (+2 HP)&lt;/p&gt;
&lt;p&gt;ASTONISHING SOUND&lt;/p&gt;</v>
      </c>
      <c r="H1808" t="str">
        <f t="shared" si="547"/>
        <v>ZARD</v>
      </c>
      <c r="I1808" t="str">
        <f t="shared" si="548"/>
        <v>Exhaust Pipe</v>
      </c>
      <c r="J1808" t="str">
        <f t="shared" si="549"/>
        <v>Test</v>
      </c>
      <c r="K1808" t="b">
        <f t="shared" si="550"/>
        <v>0</v>
      </c>
      <c r="L1808" t="str">
        <f t="shared" si="536"/>
        <v/>
      </c>
      <c r="M1808" t="str">
        <f t="shared" si="537"/>
        <v/>
      </c>
      <c r="R1808" t="str">
        <f t="shared" si="538"/>
        <v/>
      </c>
      <c r="S1808" t="str">
        <f t="shared" si="539"/>
        <v/>
      </c>
      <c r="U1808" t="str">
        <f t="shared" si="540"/>
        <v/>
      </c>
      <c r="V1808" t="str">
        <f t="shared" si="541"/>
        <v/>
      </c>
      <c r="W1808" s="5" t="str">
        <f t="shared" si="542"/>
        <v/>
      </c>
      <c r="Y1808" t="str">
        <f t="shared" si="543"/>
        <v/>
      </c>
      <c r="Z1808" t="str">
        <f t="shared" si="544"/>
        <v/>
      </c>
      <c r="AB1808" t="str">
        <f t="shared" si="545"/>
        <v>https://shop.officineitalianezard.it/contents/imgs/products/1_795-2_752-scarichi%20moto%20zard%20bmw1.jpg</v>
      </c>
      <c r="AE1808" t="b">
        <v>0</v>
      </c>
    </row>
    <row r="1809" spans="1:31" x14ac:dyDescent="0.2">
      <c r="A1809" t="str">
        <f t="shared" si="532"/>
        <v>https://shop.officineitalianezard.it/en/zard-conical-silencer-bmw/</v>
      </c>
      <c r="B1809" t="b">
        <f>COUNTIF($A$2:$A1809, A1809)&gt;1</f>
        <v>1</v>
      </c>
      <c r="C1809" t="b">
        <f t="shared" si="533"/>
        <v>1</v>
      </c>
      <c r="D1809">
        <f>VLOOKUP(A1809,variant_counts!A:B, 2, FALSE)</f>
        <v>4</v>
      </c>
      <c r="E1809" t="str">
        <f t="shared" si="546"/>
        <v>zard-exhaust-silencer-bmw-k-1200-s-r-conical-version-zbmw081sso-s</v>
      </c>
      <c r="F1809" t="str">
        <f t="shared" si="534"/>
        <v>ZARD EXHAUST SILENCER BMW K 1200 S-R CONICAL VERSION ZBMW081SSO-S</v>
      </c>
      <c r="G1809" t="str">
        <f t="shared" si="535"/>
        <v/>
      </c>
      <c r="H1809" t="str">
        <f t="shared" si="547"/>
        <v/>
      </c>
      <c r="I1809" t="str">
        <f t="shared" si="548"/>
        <v/>
      </c>
      <c r="J1809" t="str">
        <f t="shared" si="549"/>
        <v/>
      </c>
      <c r="K1809" t="str">
        <f t="shared" si="550"/>
        <v/>
      </c>
      <c r="L1809" t="str">
        <f t="shared" si="536"/>
        <v>Option</v>
      </c>
      <c r="M1809" t="str">
        <f t="shared" si="537"/>
        <v>HOMOLOGATED EURO 3</v>
      </c>
      <c r="R1809" t="str">
        <f t="shared" si="538"/>
        <v>ZBMW081SSO-S</v>
      </c>
      <c r="S1809">
        <f t="shared" si="539"/>
        <v>0</v>
      </c>
      <c r="U1809" t="str">
        <f t="shared" si="540"/>
        <v>continue</v>
      </c>
      <c r="V1809" t="str">
        <f t="shared" si="541"/>
        <v>manual</v>
      </c>
      <c r="W1809" s="5">
        <f t="shared" si="542"/>
        <v>624.87450000000013</v>
      </c>
      <c r="Y1809" t="b">
        <f t="shared" si="543"/>
        <v>1</v>
      </c>
      <c r="Z1809" t="b">
        <f t="shared" si="544"/>
        <v>0</v>
      </c>
      <c r="AB1809" t="str">
        <f t="shared" si="545"/>
        <v/>
      </c>
      <c r="AE1809" t="b">
        <v>0</v>
      </c>
    </row>
    <row r="1810" spans="1:31" x14ac:dyDescent="0.2">
      <c r="A1810" t="str">
        <f t="shared" si="532"/>
        <v>https://shop.officineitalianezard.it/en/zard-conical-silencer-bmw/</v>
      </c>
      <c r="B1810" t="b">
        <f>COUNTIF($A$2:$A1810, A1810)&gt;1</f>
        <v>1</v>
      </c>
      <c r="C1810" t="b">
        <f t="shared" si="533"/>
        <v>1</v>
      </c>
      <c r="D1810">
        <f>VLOOKUP(A1810,variant_counts!A:B, 2, FALSE)</f>
        <v>4</v>
      </c>
      <c r="E1810" t="str">
        <f t="shared" si="546"/>
        <v>zard-exhaust-silencer-bmw-k-1200-s-r-conical-version-zbmw081sso-s</v>
      </c>
      <c r="F1810" t="str">
        <f t="shared" si="534"/>
        <v>ZARD EXHAUST SILENCER BMW K 1200 S-R CONICAL VERSION ZBMW081SSO-S</v>
      </c>
      <c r="G1810" t="str">
        <f t="shared" si="535"/>
        <v/>
      </c>
      <c r="H1810" t="str">
        <f t="shared" si="547"/>
        <v/>
      </c>
      <c r="I1810" t="str">
        <f t="shared" si="548"/>
        <v/>
      </c>
      <c r="J1810" t="str">
        <f t="shared" si="549"/>
        <v/>
      </c>
      <c r="K1810" t="str">
        <f t="shared" si="550"/>
        <v/>
      </c>
      <c r="L1810" t="str">
        <f t="shared" si="536"/>
        <v>Option</v>
      </c>
      <c r="M1810" t="str">
        <f t="shared" si="537"/>
        <v>BLACK COATING</v>
      </c>
      <c r="R1810" t="str">
        <f t="shared" si="538"/>
        <v>ZBMW081SSO-S</v>
      </c>
      <c r="S1810">
        <f t="shared" si="539"/>
        <v>0</v>
      </c>
      <c r="U1810" t="str">
        <f t="shared" si="540"/>
        <v>continue</v>
      </c>
      <c r="V1810" t="str">
        <f t="shared" si="541"/>
        <v>manual</v>
      </c>
      <c r="W1810" s="5">
        <f t="shared" si="542"/>
        <v>684.64800000000014</v>
      </c>
      <c r="Y1810" t="b">
        <f t="shared" si="543"/>
        <v>1</v>
      </c>
      <c r="Z1810" t="b">
        <f t="shared" si="544"/>
        <v>0</v>
      </c>
      <c r="AB1810" t="str">
        <f t="shared" si="545"/>
        <v/>
      </c>
      <c r="AE1810" t="b">
        <v>0</v>
      </c>
    </row>
    <row r="1811" spans="1:31" x14ac:dyDescent="0.2">
      <c r="A1811" t="str">
        <f t="shared" si="532"/>
        <v>https://shop.officineitalianezard.it/en/zard-conical-silencer-bmw/</v>
      </c>
      <c r="B1811" t="b">
        <f>COUNTIF($A$2:$A1811, A1811)&gt;1</f>
        <v>1</v>
      </c>
      <c r="C1811" t="b">
        <f t="shared" si="533"/>
        <v>1</v>
      </c>
      <c r="D1811">
        <f>VLOOKUP(A1811,variant_counts!A:B, 2, FALSE)</f>
        <v>4</v>
      </c>
      <c r="E1811" t="str">
        <f t="shared" si="546"/>
        <v>zard-exhaust-silencer-bmw-k-1200-s-r-conical-version-zbmw081sso-s</v>
      </c>
      <c r="F1811" t="str">
        <f t="shared" si="534"/>
        <v>ZARD EXHAUST SILENCER BMW K 1200 S-R CONICAL VERSION ZBMW081SSO-S</v>
      </c>
      <c r="G1811" t="str">
        <f t="shared" si="535"/>
        <v/>
      </c>
      <c r="H1811" t="str">
        <f t="shared" si="547"/>
        <v/>
      </c>
      <c r="I1811" t="str">
        <f t="shared" si="548"/>
        <v/>
      </c>
      <c r="J1811" t="str">
        <f t="shared" si="549"/>
        <v/>
      </c>
      <c r="K1811" t="str">
        <f t="shared" si="550"/>
        <v/>
      </c>
      <c r="L1811" t="str">
        <f t="shared" si="536"/>
        <v>Option</v>
      </c>
      <c r="M1811" t="str">
        <f t="shared" si="537"/>
        <v>MIRROR POLISHED</v>
      </c>
      <c r="R1811" t="str">
        <f t="shared" si="538"/>
        <v>ZBMW081SSO-S</v>
      </c>
      <c r="S1811">
        <f t="shared" si="539"/>
        <v>0</v>
      </c>
      <c r="U1811" t="str">
        <f t="shared" si="540"/>
        <v>continue</v>
      </c>
      <c r="V1811" t="str">
        <f t="shared" si="541"/>
        <v>manual</v>
      </c>
      <c r="W1811" s="5">
        <f t="shared" si="542"/>
        <v>619.95720000000006</v>
      </c>
      <c r="Y1811" t="b">
        <f t="shared" si="543"/>
        <v>1</v>
      </c>
      <c r="Z1811" t="b">
        <f t="shared" si="544"/>
        <v>0</v>
      </c>
      <c r="AB1811" t="str">
        <f t="shared" si="545"/>
        <v/>
      </c>
      <c r="AE1811" t="b">
        <v>0</v>
      </c>
    </row>
    <row r="1812" spans="1:31" x14ac:dyDescent="0.2">
      <c r="A1812" t="str">
        <f t="shared" si="532"/>
        <v>https://shop.officineitalianezard.it/en/zard-conical-silencer-bmw/</v>
      </c>
      <c r="B1812" t="b">
        <f>COUNTIF($A$2:$A1812, A1812)&gt;1</f>
        <v>1</v>
      </c>
      <c r="C1812" t="b">
        <f t="shared" si="533"/>
        <v>1</v>
      </c>
      <c r="D1812">
        <f>VLOOKUP(A1812,variant_counts!A:B, 2, FALSE)</f>
        <v>4</v>
      </c>
      <c r="E1812" t="str">
        <f t="shared" si="546"/>
        <v>zard-exhaust-silencer-bmw-k-1200-s-r-conical-version-zbmw081sso-s</v>
      </c>
      <c r="F1812" t="str">
        <f t="shared" si="534"/>
        <v>ZARD EXHAUST SILENCER BMW K 1200 S-R CONICAL VERSION ZBMW081SSO-S</v>
      </c>
      <c r="G1812" t="str">
        <f t="shared" si="535"/>
        <v/>
      </c>
      <c r="H1812" t="str">
        <f t="shared" si="547"/>
        <v/>
      </c>
      <c r="I1812" t="str">
        <f t="shared" si="548"/>
        <v/>
      </c>
      <c r="J1812" t="str">
        <f t="shared" si="549"/>
        <v/>
      </c>
      <c r="K1812" t="str">
        <f t="shared" si="550"/>
        <v/>
      </c>
      <c r="L1812" t="str">
        <f t="shared" si="536"/>
        <v>Option</v>
      </c>
      <c r="M1812" t="str">
        <f t="shared" si="537"/>
        <v>CARBON ENDCAP</v>
      </c>
      <c r="R1812" t="str">
        <f t="shared" si="538"/>
        <v>ZBMW081SSO-S</v>
      </c>
      <c r="S1812">
        <f t="shared" si="539"/>
        <v>0</v>
      </c>
      <c r="U1812" t="str">
        <f t="shared" si="540"/>
        <v>continue</v>
      </c>
      <c r="V1812" t="str">
        <f t="shared" si="541"/>
        <v>manual</v>
      </c>
      <c r="W1812" s="5">
        <f t="shared" si="542"/>
        <v>645.34289999999999</v>
      </c>
      <c r="Y1812" t="b">
        <f t="shared" si="543"/>
        <v>1</v>
      </c>
      <c r="Z1812" t="b">
        <f t="shared" si="544"/>
        <v>0</v>
      </c>
      <c r="AB1812" t="str">
        <f t="shared" si="545"/>
        <v/>
      </c>
      <c r="AE1812" t="b">
        <v>0</v>
      </c>
    </row>
    <row r="1813" spans="1:31" x14ac:dyDescent="0.2">
      <c r="A1813" t="str">
        <f t="shared" si="532"/>
        <v>https://shop.officineitalianezard.it/en/products/index/bmw-r45-r65-exhaust-zard-7831-222/</v>
      </c>
      <c r="B1813" t="b">
        <f>COUNTIF($A$2:$A1813, A1813)&gt;1</f>
        <v>0</v>
      </c>
      <c r="C1813" t="b">
        <f t="shared" si="533"/>
        <v>0</v>
      </c>
      <c r="D1813">
        <f>VLOOKUP(A1813,variant_counts!A:B, 2, FALSE)</f>
        <v>2</v>
      </c>
      <c r="E1813" t="str">
        <f t="shared" si="546"/>
        <v>zard-exhaust-full-kit-bmw-r45-r65-22-version-zbmw533skr</v>
      </c>
      <c r="F1813" t="str">
        <f t="shared" si="534"/>
        <v>ZARD EXHAUST FULL KIT BMW R45-R65 2&gt;2 VERSION ZBMW533SKR</v>
      </c>
      <c r="G1813" t="str">
        <f t="shared" si="535"/>
        <v>&lt;p&gt;2&amp;gt;2&amp;nbsp;STEEL RACING&amp;nbsp;FULL KIT WITH REMOVABLE DB KILLERS&lt;/p&gt;
&lt;p&gt;HARD INCREASE, COMPARED TO THE ORIGINAL EXHAUST SYSTEM, IN TERMS OF TORQUE AND POWER AT ANY RANGE.&lt;/p&gt;
&lt;p&gt;ASTONISHING SOUND.&lt;/p&gt;
&lt;p&gt;AVAILABLE IN 4 WEEKS FROM ORDER.&lt;/p&gt;
&lt;p&gt;&lt;/p&gt;</v>
      </c>
      <c r="H1813" t="str">
        <f t="shared" si="547"/>
        <v>ZARD</v>
      </c>
      <c r="I1813" t="str">
        <f t="shared" si="548"/>
        <v>Exhaust Pipe</v>
      </c>
      <c r="J1813" t="str">
        <f t="shared" si="549"/>
        <v>Test</v>
      </c>
      <c r="K1813" t="b">
        <f t="shared" si="550"/>
        <v>0</v>
      </c>
      <c r="L1813" t="str">
        <f t="shared" si="536"/>
        <v/>
      </c>
      <c r="M1813" t="str">
        <f t="shared" si="537"/>
        <v/>
      </c>
      <c r="R1813" t="str">
        <f t="shared" si="538"/>
        <v/>
      </c>
      <c r="S1813" t="str">
        <f t="shared" si="539"/>
        <v/>
      </c>
      <c r="U1813" t="str">
        <f t="shared" si="540"/>
        <v/>
      </c>
      <c r="V1813" t="str">
        <f t="shared" si="541"/>
        <v/>
      </c>
      <c r="W1813" s="5" t="str">
        <f t="shared" si="542"/>
        <v/>
      </c>
      <c r="Y1813" t="str">
        <f t="shared" si="543"/>
        <v/>
      </c>
      <c r="Z1813" t="str">
        <f t="shared" si="544"/>
        <v/>
      </c>
      <c r="AB1813" t="str">
        <f t="shared" si="545"/>
        <v>https://shop.officineitalianezard.it/contents/imgs/products/1_2051-bmw%20r%20exhaust%20zard%20.jpg</v>
      </c>
      <c r="AE1813" t="b">
        <v>0</v>
      </c>
    </row>
    <row r="1814" spans="1:31" x14ac:dyDescent="0.2">
      <c r="A1814" t="str">
        <f t="shared" si="532"/>
        <v>https://shop.officineitalianezard.it/en/products/index/bmw-r45-r65-exhaust-zard-7831-222/</v>
      </c>
      <c r="B1814" t="b">
        <f>COUNTIF($A$2:$A1814, A1814)&gt;1</f>
        <v>1</v>
      </c>
      <c r="C1814" t="b">
        <f t="shared" si="533"/>
        <v>0</v>
      </c>
      <c r="D1814">
        <f>VLOOKUP(A1814,variant_counts!A:B, 2, FALSE)</f>
        <v>2</v>
      </c>
      <c r="E1814" t="str">
        <f t="shared" si="546"/>
        <v>zard-exhaust-full-kit-bmw-r45-r65-22-version-zbmw533skr</v>
      </c>
      <c r="F1814" t="str">
        <f t="shared" si="534"/>
        <v>ZARD EXHAUST FULL KIT BMW R45-R65 2&gt;2 VERSION ZBMW533SKR</v>
      </c>
      <c r="G1814" t="str">
        <f t="shared" si="535"/>
        <v/>
      </c>
      <c r="H1814" t="str">
        <f t="shared" si="547"/>
        <v/>
      </c>
      <c r="I1814" t="str">
        <f t="shared" si="548"/>
        <v/>
      </c>
      <c r="J1814" t="str">
        <f t="shared" si="549"/>
        <v/>
      </c>
      <c r="K1814" t="str">
        <f t="shared" si="550"/>
        <v/>
      </c>
      <c r="L1814" t="str">
        <f t="shared" si="536"/>
        <v/>
      </c>
      <c r="M1814" t="str">
        <f t="shared" si="537"/>
        <v/>
      </c>
      <c r="R1814" t="str">
        <f t="shared" si="538"/>
        <v/>
      </c>
      <c r="S1814" t="str">
        <f t="shared" si="539"/>
        <v/>
      </c>
      <c r="U1814" t="str">
        <f t="shared" si="540"/>
        <v/>
      </c>
      <c r="V1814" t="str">
        <f t="shared" si="541"/>
        <v/>
      </c>
      <c r="W1814" s="5" t="str">
        <f t="shared" si="542"/>
        <v/>
      </c>
      <c r="Y1814" t="str">
        <f t="shared" si="543"/>
        <v/>
      </c>
      <c r="Z1814" t="str">
        <f t="shared" si="544"/>
        <v/>
      </c>
      <c r="AB1814" t="str">
        <f t="shared" si="545"/>
        <v>https://shop.officineitalianezard.it/contents/imgs/products/1_2054-bmw%20r100%20scarico%20-%20zard%201.jpg</v>
      </c>
      <c r="AE1814" t="b">
        <v>0</v>
      </c>
    </row>
    <row r="1815" spans="1:31" x14ac:dyDescent="0.2">
      <c r="A1815" t="str">
        <f t="shared" si="532"/>
        <v>https://shop.officineitalianezard.it/en/products/index/bmw-r45-r65-exhaust-zard-7831-222/</v>
      </c>
      <c r="B1815" t="b">
        <f>COUNTIF($A$2:$A1815, A1815)&gt;1</f>
        <v>1</v>
      </c>
      <c r="C1815" t="b">
        <f t="shared" si="533"/>
        <v>0</v>
      </c>
      <c r="D1815">
        <f>VLOOKUP(A1815,variant_counts!A:B, 2, FALSE)</f>
        <v>2</v>
      </c>
      <c r="E1815" t="str">
        <f t="shared" si="546"/>
        <v>zard-exhaust-full-kit-bmw-r45-r65-22-version-zbmw533skr</v>
      </c>
      <c r="F1815" t="str">
        <f t="shared" si="534"/>
        <v>ZARD EXHAUST FULL KIT BMW R45-R65 2&gt;2 VERSION ZBMW533SKR</v>
      </c>
      <c r="G1815" t="str">
        <f t="shared" si="535"/>
        <v/>
      </c>
      <c r="H1815" t="str">
        <f t="shared" si="547"/>
        <v/>
      </c>
      <c r="I1815" t="str">
        <f t="shared" si="548"/>
        <v/>
      </c>
      <c r="J1815" t="str">
        <f t="shared" si="549"/>
        <v/>
      </c>
      <c r="K1815" t="str">
        <f t="shared" si="550"/>
        <v/>
      </c>
      <c r="L1815" t="str">
        <f t="shared" si="536"/>
        <v/>
      </c>
      <c r="M1815" t="str">
        <f t="shared" si="537"/>
        <v/>
      </c>
      <c r="R1815" t="str">
        <f t="shared" si="538"/>
        <v/>
      </c>
      <c r="S1815" t="str">
        <f t="shared" si="539"/>
        <v/>
      </c>
      <c r="U1815" t="str">
        <f t="shared" si="540"/>
        <v/>
      </c>
      <c r="V1815" t="str">
        <f t="shared" si="541"/>
        <v/>
      </c>
      <c r="W1815" s="5" t="str">
        <f t="shared" si="542"/>
        <v/>
      </c>
      <c r="Y1815" t="str">
        <f t="shared" si="543"/>
        <v/>
      </c>
      <c r="Z1815" t="str">
        <f t="shared" si="544"/>
        <v/>
      </c>
      <c r="AB1815" t="str">
        <f t="shared" si="545"/>
        <v>https://shop.officineitalianezard.it/contents/imgs/products/1_2055-bmw%20r100%20scarico%20-%20zard%202.jpg</v>
      </c>
      <c r="AE1815" t="b">
        <v>0</v>
      </c>
    </row>
    <row r="1816" spans="1:31" x14ac:dyDescent="0.2">
      <c r="A1816" t="str">
        <f t="shared" si="532"/>
        <v>https://shop.officineitalianezard.it/en/products/index/bmw-r45-r65-exhaust-zard-7831-222/</v>
      </c>
      <c r="B1816" t="b">
        <f>COUNTIF($A$2:$A1816, A1816)&gt;1</f>
        <v>1</v>
      </c>
      <c r="C1816" t="b">
        <f t="shared" si="533"/>
        <v>0</v>
      </c>
      <c r="D1816">
        <f>VLOOKUP(A1816,variant_counts!A:B, 2, FALSE)</f>
        <v>2</v>
      </c>
      <c r="E1816" t="str">
        <f t="shared" si="546"/>
        <v>zard-exhaust-full-kit-bmw-r45-r65-22-version-zbmw533skr</v>
      </c>
      <c r="F1816" t="str">
        <f t="shared" si="534"/>
        <v>ZARD EXHAUST FULL KIT BMW R45-R65 2&gt;2 VERSION ZBMW533SKR</v>
      </c>
      <c r="G1816" t="str">
        <f t="shared" si="535"/>
        <v/>
      </c>
      <c r="H1816" t="str">
        <f t="shared" si="547"/>
        <v/>
      </c>
      <c r="I1816" t="str">
        <f t="shared" si="548"/>
        <v/>
      </c>
      <c r="J1816" t="str">
        <f t="shared" si="549"/>
        <v/>
      </c>
      <c r="K1816" t="str">
        <f t="shared" si="550"/>
        <v/>
      </c>
      <c r="L1816" t="str">
        <f t="shared" si="536"/>
        <v/>
      </c>
      <c r="M1816" t="str">
        <f t="shared" si="537"/>
        <v/>
      </c>
      <c r="R1816" t="str">
        <f t="shared" si="538"/>
        <v/>
      </c>
      <c r="S1816" t="str">
        <f t="shared" si="539"/>
        <v/>
      </c>
      <c r="U1816" t="str">
        <f t="shared" si="540"/>
        <v/>
      </c>
      <c r="V1816" t="str">
        <f t="shared" si="541"/>
        <v/>
      </c>
      <c r="W1816" s="5" t="str">
        <f t="shared" si="542"/>
        <v/>
      </c>
      <c r="Y1816" t="str">
        <f t="shared" si="543"/>
        <v/>
      </c>
      <c r="Z1816" t="str">
        <f t="shared" si="544"/>
        <v/>
      </c>
      <c r="AB1816" t="str">
        <f t="shared" si="545"/>
        <v>https://shop.officineitalianezard.it/contents/imgs/products/1_2052-bmw%20r65%20r45%20scarico%20-%20zard.jpg</v>
      </c>
      <c r="AE1816" t="b">
        <v>0</v>
      </c>
    </row>
    <row r="1817" spans="1:31" x14ac:dyDescent="0.2">
      <c r="A1817" t="str">
        <f t="shared" si="532"/>
        <v>https://shop.officineitalianezard.it/en/products/index/bmw-r45-r65-exhaust-zard-7831-222/</v>
      </c>
      <c r="B1817" t="b">
        <f>COUNTIF($A$2:$A1817, A1817)&gt;1</f>
        <v>1</v>
      </c>
      <c r="C1817" t="b">
        <f t="shared" si="533"/>
        <v>0</v>
      </c>
      <c r="D1817">
        <f>VLOOKUP(A1817,variant_counts!A:B, 2, FALSE)</f>
        <v>2</v>
      </c>
      <c r="E1817" t="str">
        <f t="shared" si="546"/>
        <v>zard-exhaust-full-kit-bmw-r45-r65-22-version-zbmw533skr</v>
      </c>
      <c r="F1817" t="str">
        <f t="shared" si="534"/>
        <v>ZARD EXHAUST FULL KIT BMW R45-R65 2&gt;2 VERSION ZBMW533SKR</v>
      </c>
      <c r="G1817" t="str">
        <f t="shared" si="535"/>
        <v/>
      </c>
      <c r="H1817" t="str">
        <f t="shared" si="547"/>
        <v/>
      </c>
      <c r="I1817" t="str">
        <f t="shared" si="548"/>
        <v/>
      </c>
      <c r="J1817" t="str">
        <f t="shared" si="549"/>
        <v/>
      </c>
      <c r="K1817" t="str">
        <f t="shared" si="550"/>
        <v/>
      </c>
      <c r="L1817" t="str">
        <f t="shared" si="536"/>
        <v/>
      </c>
      <c r="M1817" t="str">
        <f t="shared" si="537"/>
        <v/>
      </c>
      <c r="R1817" t="str">
        <f t="shared" si="538"/>
        <v/>
      </c>
      <c r="S1817" t="str">
        <f t="shared" si="539"/>
        <v/>
      </c>
      <c r="U1817" t="str">
        <f t="shared" si="540"/>
        <v/>
      </c>
      <c r="V1817" t="str">
        <f t="shared" si="541"/>
        <v/>
      </c>
      <c r="W1817" s="5" t="str">
        <f t="shared" si="542"/>
        <v/>
      </c>
      <c r="Y1817" t="str">
        <f t="shared" si="543"/>
        <v/>
      </c>
      <c r="Z1817" t="str">
        <f t="shared" si="544"/>
        <v/>
      </c>
      <c r="AB1817" t="str">
        <f t="shared" si="545"/>
        <v>https://shop.officineitalianezard.it/contents/imgs/products/1_2053-bmw%20r80%20scarico%20-%20zard%201.jpg</v>
      </c>
      <c r="AE1817" t="b">
        <v>0</v>
      </c>
    </row>
    <row r="1818" spans="1:31" x14ac:dyDescent="0.2">
      <c r="A1818" t="str">
        <f t="shared" si="532"/>
        <v>https://shop.officineitalianezard.it/en/products/index/bmw-r45-r65-exhaust-zard-7831-222/</v>
      </c>
      <c r="B1818" t="b">
        <f>COUNTIF($A$2:$A1818, A1818)&gt;1</f>
        <v>1</v>
      </c>
      <c r="C1818" t="b">
        <f t="shared" si="533"/>
        <v>1</v>
      </c>
      <c r="D1818">
        <f>VLOOKUP(A1818,variant_counts!A:B, 2, FALSE)</f>
        <v>2</v>
      </c>
      <c r="E1818" t="str">
        <f t="shared" si="546"/>
        <v>zard-exhaust-full-kit-bmw-r45-r65-22-version-zbmw533skr</v>
      </c>
      <c r="F1818" t="str">
        <f t="shared" si="534"/>
        <v>ZARD EXHAUST FULL KIT BMW R45-R65 2&gt;2 VERSION ZBMW533SKR</v>
      </c>
      <c r="G1818" t="str">
        <f t="shared" si="535"/>
        <v/>
      </c>
      <c r="H1818" t="str">
        <f t="shared" si="547"/>
        <v/>
      </c>
      <c r="I1818" t="str">
        <f t="shared" si="548"/>
        <v/>
      </c>
      <c r="J1818" t="str">
        <f t="shared" si="549"/>
        <v/>
      </c>
      <c r="K1818" t="str">
        <f t="shared" si="550"/>
        <v/>
      </c>
      <c r="L1818" t="str">
        <f t="shared" si="536"/>
        <v>Option</v>
      </c>
      <c r="M1818" t="str">
        <f t="shared" si="537"/>
        <v>BLACK COATING</v>
      </c>
      <c r="R1818" t="str">
        <f t="shared" si="538"/>
        <v>ZBMW533SKR</v>
      </c>
      <c r="S1818">
        <f t="shared" si="539"/>
        <v>0</v>
      </c>
      <c r="U1818" t="str">
        <f t="shared" si="540"/>
        <v>continue</v>
      </c>
      <c r="V1818" t="str">
        <f t="shared" si="541"/>
        <v>manual</v>
      </c>
      <c r="W1818" s="5">
        <f t="shared" si="542"/>
        <v>1238.0163</v>
      </c>
      <c r="Y1818" t="b">
        <f t="shared" si="543"/>
        <v>1</v>
      </c>
      <c r="Z1818" t="b">
        <f t="shared" si="544"/>
        <v>0</v>
      </c>
      <c r="AB1818" t="str">
        <f t="shared" si="545"/>
        <v/>
      </c>
      <c r="AE1818" t="b">
        <v>0</v>
      </c>
    </row>
    <row r="1819" spans="1:31" x14ac:dyDescent="0.2">
      <c r="A1819" t="str">
        <f t="shared" si="532"/>
        <v>https://shop.officineitalianezard.it/en/products/index/bmw-r45-r65-exhaust-zard-7831-222/</v>
      </c>
      <c r="B1819" t="b">
        <f>COUNTIF($A$2:$A1819, A1819)&gt;1</f>
        <v>1</v>
      </c>
      <c r="C1819" t="b">
        <f t="shared" si="533"/>
        <v>1</v>
      </c>
      <c r="D1819">
        <f>VLOOKUP(A1819,variant_counts!A:B, 2, FALSE)</f>
        <v>2</v>
      </c>
      <c r="E1819" t="str">
        <f t="shared" si="546"/>
        <v>zard-exhaust-full-kit-bmw-r45-r65-22-version-zbmw533skr</v>
      </c>
      <c r="F1819" t="str">
        <f t="shared" si="534"/>
        <v>ZARD EXHAUST FULL KIT BMW R45-R65 2&gt;2 VERSION ZBMW533SKR</v>
      </c>
      <c r="G1819" t="str">
        <f t="shared" si="535"/>
        <v/>
      </c>
      <c r="H1819" t="str">
        <f t="shared" si="547"/>
        <v/>
      </c>
      <c r="I1819" t="str">
        <f t="shared" si="548"/>
        <v/>
      </c>
      <c r="J1819" t="str">
        <f t="shared" si="549"/>
        <v/>
      </c>
      <c r="K1819" t="str">
        <f t="shared" si="550"/>
        <v/>
      </c>
      <c r="L1819" t="str">
        <f t="shared" si="536"/>
        <v>Option</v>
      </c>
      <c r="M1819" t="str">
        <f t="shared" si="537"/>
        <v>MIRROR POLISHED</v>
      </c>
      <c r="R1819" t="str">
        <f t="shared" si="538"/>
        <v>ZBMW533SKR</v>
      </c>
      <c r="S1819">
        <f t="shared" si="539"/>
        <v>0</v>
      </c>
      <c r="U1819" t="str">
        <f t="shared" si="540"/>
        <v>continue</v>
      </c>
      <c r="V1819" t="str">
        <f t="shared" si="541"/>
        <v>manual</v>
      </c>
      <c r="W1819" s="5">
        <f t="shared" si="542"/>
        <v>1126.6500000000001</v>
      </c>
      <c r="Y1819" t="b">
        <f t="shared" si="543"/>
        <v>1</v>
      </c>
      <c r="Z1819" t="b">
        <f t="shared" si="544"/>
        <v>0</v>
      </c>
      <c r="AB1819" t="str">
        <f t="shared" si="545"/>
        <v/>
      </c>
      <c r="AE1819" t="b">
        <v>0</v>
      </c>
    </row>
    <row r="1820" spans="1:31" x14ac:dyDescent="0.2">
      <c r="A1820" t="str">
        <f t="shared" si="532"/>
        <v>https://shop.officineitalianezard.it/en/products/index/bmw-r45-r65-exhaust-zard-7832-223/</v>
      </c>
      <c r="B1820" t="b">
        <f>COUNTIF($A$2:$A1820, A1820)&gt;1</f>
        <v>0</v>
      </c>
      <c r="C1820" t="b">
        <f t="shared" si="533"/>
        <v>0</v>
      </c>
      <c r="D1820">
        <f>VLOOKUP(A1820,variant_counts!A:B, 2, FALSE)</f>
        <v>2</v>
      </c>
      <c r="E1820" t="str">
        <f t="shared" si="546"/>
        <v>zard-exhaust-full-kit-bmw-r80-r100-22-version-zbmw534skr</v>
      </c>
      <c r="F1820" t="str">
        <f t="shared" si="534"/>
        <v>ZARD EXHAUST FULL KIT BMW R80-R100 2&gt;2 VERSION ZBMW534SKR</v>
      </c>
      <c r="G1820" t="str">
        <f t="shared" si="535"/>
        <v>&lt;p&gt;2&amp;gt;2&amp;nbsp;STEEL RACING&amp;nbsp;FULL KIT WITH REMOVABLE DB KILLERS&lt;/p&gt;
&lt;p&gt;HARD INCREASE, COMPARED TO THE ORIGINAL EXHAUST SYSTEM, IN TERMS OF TORQUE AND POWER AT ANY RANGE.&lt;/p&gt;
&lt;p&gt;ASTONISHING SOUND.&lt;/p&gt;
&lt;p&gt;AVAILABLE IN 4 WEEKS FROM ORDER.&lt;/p&gt;
&lt;p&gt;&lt;/p&gt;</v>
      </c>
      <c r="H1820" t="str">
        <f t="shared" si="547"/>
        <v>ZARD</v>
      </c>
      <c r="I1820" t="str">
        <f t="shared" si="548"/>
        <v>Exhaust Pipe</v>
      </c>
      <c r="J1820" t="str">
        <f t="shared" si="549"/>
        <v>Test</v>
      </c>
      <c r="K1820" t="b">
        <f t="shared" si="550"/>
        <v>0</v>
      </c>
      <c r="L1820" t="str">
        <f t="shared" si="536"/>
        <v/>
      </c>
      <c r="M1820" t="str">
        <f t="shared" si="537"/>
        <v/>
      </c>
      <c r="R1820" t="str">
        <f t="shared" si="538"/>
        <v/>
      </c>
      <c r="S1820" t="str">
        <f t="shared" si="539"/>
        <v/>
      </c>
      <c r="U1820" t="str">
        <f t="shared" si="540"/>
        <v/>
      </c>
      <c r="V1820" t="str">
        <f t="shared" si="541"/>
        <v/>
      </c>
      <c r="W1820" s="5" t="str">
        <f t="shared" si="542"/>
        <v/>
      </c>
      <c r="Y1820" t="str">
        <f t="shared" si="543"/>
        <v/>
      </c>
      <c r="Z1820" t="str">
        <f t="shared" si="544"/>
        <v/>
      </c>
      <c r="AB1820" t="str">
        <f t="shared" si="545"/>
        <v>https://shop.officineitalianezard.it/contents/imgs/products/1_2354-2056-bmw%20r%20exhaust%20zard%20.jpg</v>
      </c>
      <c r="AE1820" t="b">
        <v>0</v>
      </c>
    </row>
    <row r="1821" spans="1:31" x14ac:dyDescent="0.2">
      <c r="A1821" t="str">
        <f t="shared" si="532"/>
        <v>https://shop.officineitalianezard.it/en/products/index/bmw-r45-r65-exhaust-zard-7832-223/</v>
      </c>
      <c r="B1821" t="b">
        <f>COUNTIF($A$2:$A1821, A1821)&gt;1</f>
        <v>1</v>
      </c>
      <c r="C1821" t="b">
        <f t="shared" si="533"/>
        <v>0</v>
      </c>
      <c r="D1821">
        <f>VLOOKUP(A1821,variant_counts!A:B, 2, FALSE)</f>
        <v>2</v>
      </c>
      <c r="E1821" t="str">
        <f t="shared" si="546"/>
        <v>zard-exhaust-full-kit-bmw-r80-r100-22-version-zbmw534skr</v>
      </c>
      <c r="F1821" t="str">
        <f t="shared" si="534"/>
        <v>ZARD EXHAUST FULL KIT BMW R80-R100 2&gt;2 VERSION ZBMW534SKR</v>
      </c>
      <c r="G1821" t="str">
        <f t="shared" si="535"/>
        <v/>
      </c>
      <c r="H1821" t="str">
        <f t="shared" si="547"/>
        <v/>
      </c>
      <c r="I1821" t="str">
        <f t="shared" si="548"/>
        <v/>
      </c>
      <c r="J1821" t="str">
        <f t="shared" si="549"/>
        <v/>
      </c>
      <c r="K1821" t="str">
        <f t="shared" si="550"/>
        <v/>
      </c>
      <c r="L1821" t="str">
        <f t="shared" si="536"/>
        <v/>
      </c>
      <c r="M1821" t="str">
        <f t="shared" si="537"/>
        <v/>
      </c>
      <c r="R1821" t="str">
        <f t="shared" si="538"/>
        <v/>
      </c>
      <c r="S1821" t="str">
        <f t="shared" si="539"/>
        <v/>
      </c>
      <c r="U1821" t="str">
        <f t="shared" si="540"/>
        <v/>
      </c>
      <c r="V1821" t="str">
        <f t="shared" si="541"/>
        <v/>
      </c>
      <c r="W1821" s="5" t="str">
        <f t="shared" si="542"/>
        <v/>
      </c>
      <c r="Y1821" t="str">
        <f t="shared" si="543"/>
        <v/>
      </c>
      <c r="Z1821" t="str">
        <f t="shared" si="544"/>
        <v/>
      </c>
      <c r="AB1821" t="str">
        <f t="shared" si="545"/>
        <v>https://shop.officineitalianezard.it/contents/imgs/products/1_2059-bmw%20r100%20scarico%20-%20zard%201.jpg</v>
      </c>
      <c r="AE1821" t="b">
        <v>0</v>
      </c>
    </row>
    <row r="1822" spans="1:31" x14ac:dyDescent="0.2">
      <c r="A1822" t="str">
        <f t="shared" si="532"/>
        <v>https://shop.officineitalianezard.it/en/products/index/bmw-r45-r65-exhaust-zard-7832-223/</v>
      </c>
      <c r="B1822" t="b">
        <f>COUNTIF($A$2:$A1822, A1822)&gt;1</f>
        <v>1</v>
      </c>
      <c r="C1822" t="b">
        <f t="shared" si="533"/>
        <v>0</v>
      </c>
      <c r="D1822">
        <f>VLOOKUP(A1822,variant_counts!A:B, 2, FALSE)</f>
        <v>2</v>
      </c>
      <c r="E1822" t="str">
        <f t="shared" si="546"/>
        <v>zard-exhaust-full-kit-bmw-r80-r100-22-version-zbmw534skr</v>
      </c>
      <c r="F1822" t="str">
        <f t="shared" si="534"/>
        <v>ZARD EXHAUST FULL KIT BMW R80-R100 2&gt;2 VERSION ZBMW534SKR</v>
      </c>
      <c r="G1822" t="str">
        <f t="shared" si="535"/>
        <v/>
      </c>
      <c r="H1822" t="str">
        <f t="shared" si="547"/>
        <v/>
      </c>
      <c r="I1822" t="str">
        <f t="shared" si="548"/>
        <v/>
      </c>
      <c r="J1822" t="str">
        <f t="shared" si="549"/>
        <v/>
      </c>
      <c r="K1822" t="str">
        <f t="shared" si="550"/>
        <v/>
      </c>
      <c r="L1822" t="str">
        <f t="shared" si="536"/>
        <v/>
      </c>
      <c r="M1822" t="str">
        <f t="shared" si="537"/>
        <v/>
      </c>
      <c r="R1822" t="str">
        <f t="shared" si="538"/>
        <v/>
      </c>
      <c r="S1822" t="str">
        <f t="shared" si="539"/>
        <v/>
      </c>
      <c r="U1822" t="str">
        <f t="shared" si="540"/>
        <v/>
      </c>
      <c r="V1822" t="str">
        <f t="shared" si="541"/>
        <v/>
      </c>
      <c r="W1822" s="5" t="str">
        <f t="shared" si="542"/>
        <v/>
      </c>
      <c r="Y1822" t="str">
        <f t="shared" si="543"/>
        <v/>
      </c>
      <c r="Z1822" t="str">
        <f t="shared" si="544"/>
        <v/>
      </c>
      <c r="AB1822" t="str">
        <f t="shared" si="545"/>
        <v>https://shop.officineitalianezard.it/contents/imgs/products/1_2060-bmw%20r100%20scarico%20-%20zard%202.jpg</v>
      </c>
      <c r="AE1822" t="b">
        <v>0</v>
      </c>
    </row>
    <row r="1823" spans="1:31" x14ac:dyDescent="0.2">
      <c r="A1823" t="str">
        <f t="shared" si="532"/>
        <v>https://shop.officineitalianezard.it/en/products/index/bmw-r45-r65-exhaust-zard-7832-223/</v>
      </c>
      <c r="B1823" t="b">
        <f>COUNTIF($A$2:$A1823, A1823)&gt;1</f>
        <v>1</v>
      </c>
      <c r="C1823" t="b">
        <f t="shared" si="533"/>
        <v>0</v>
      </c>
      <c r="D1823">
        <f>VLOOKUP(A1823,variant_counts!A:B, 2, FALSE)</f>
        <v>2</v>
      </c>
      <c r="E1823" t="str">
        <f t="shared" si="546"/>
        <v>zard-exhaust-full-kit-bmw-r80-r100-22-version-zbmw534skr</v>
      </c>
      <c r="F1823" t="str">
        <f t="shared" si="534"/>
        <v>ZARD EXHAUST FULL KIT BMW R80-R100 2&gt;2 VERSION ZBMW534SKR</v>
      </c>
      <c r="G1823" t="str">
        <f t="shared" si="535"/>
        <v/>
      </c>
      <c r="H1823" t="str">
        <f t="shared" si="547"/>
        <v/>
      </c>
      <c r="I1823" t="str">
        <f t="shared" si="548"/>
        <v/>
      </c>
      <c r="J1823" t="str">
        <f t="shared" si="549"/>
        <v/>
      </c>
      <c r="K1823" t="str">
        <f t="shared" si="550"/>
        <v/>
      </c>
      <c r="L1823" t="str">
        <f t="shared" si="536"/>
        <v/>
      </c>
      <c r="M1823" t="str">
        <f t="shared" si="537"/>
        <v/>
      </c>
      <c r="R1823" t="str">
        <f t="shared" si="538"/>
        <v/>
      </c>
      <c r="S1823" t="str">
        <f t="shared" si="539"/>
        <v/>
      </c>
      <c r="U1823" t="str">
        <f t="shared" si="540"/>
        <v/>
      </c>
      <c r="V1823" t="str">
        <f t="shared" si="541"/>
        <v/>
      </c>
      <c r="W1823" s="5" t="str">
        <f t="shared" si="542"/>
        <v/>
      </c>
      <c r="Y1823" t="str">
        <f t="shared" si="543"/>
        <v/>
      </c>
      <c r="Z1823" t="str">
        <f t="shared" si="544"/>
        <v/>
      </c>
      <c r="AB1823" t="str">
        <f t="shared" si="545"/>
        <v>https://shop.officineitalianezard.it/contents/imgs/products/1_2057-bmw%20r65%20r45%20scarico%20-%20zard.jpg</v>
      </c>
      <c r="AE1823" t="b">
        <v>0</v>
      </c>
    </row>
    <row r="1824" spans="1:31" x14ac:dyDescent="0.2">
      <c r="A1824" t="str">
        <f t="shared" si="532"/>
        <v>https://shop.officineitalianezard.it/en/products/index/bmw-r45-r65-exhaust-zard-7832-223/</v>
      </c>
      <c r="B1824" t="b">
        <f>COUNTIF($A$2:$A1824, A1824)&gt;1</f>
        <v>1</v>
      </c>
      <c r="C1824" t="b">
        <f t="shared" si="533"/>
        <v>0</v>
      </c>
      <c r="D1824">
        <f>VLOOKUP(A1824,variant_counts!A:B, 2, FALSE)</f>
        <v>2</v>
      </c>
      <c r="E1824" t="str">
        <f t="shared" si="546"/>
        <v>zard-exhaust-full-kit-bmw-r80-r100-22-version-zbmw534skr</v>
      </c>
      <c r="F1824" t="str">
        <f t="shared" si="534"/>
        <v>ZARD EXHAUST FULL KIT BMW R80-R100 2&gt;2 VERSION ZBMW534SKR</v>
      </c>
      <c r="G1824" t="str">
        <f t="shared" si="535"/>
        <v/>
      </c>
      <c r="H1824" t="str">
        <f t="shared" si="547"/>
        <v/>
      </c>
      <c r="I1824" t="str">
        <f t="shared" si="548"/>
        <v/>
      </c>
      <c r="J1824" t="str">
        <f t="shared" si="549"/>
        <v/>
      </c>
      <c r="K1824" t="str">
        <f t="shared" si="550"/>
        <v/>
      </c>
      <c r="L1824" t="str">
        <f t="shared" si="536"/>
        <v/>
      </c>
      <c r="M1824" t="str">
        <f t="shared" si="537"/>
        <v/>
      </c>
      <c r="R1824" t="str">
        <f t="shared" si="538"/>
        <v/>
      </c>
      <c r="S1824" t="str">
        <f t="shared" si="539"/>
        <v/>
      </c>
      <c r="U1824" t="str">
        <f t="shared" si="540"/>
        <v/>
      </c>
      <c r="V1824" t="str">
        <f t="shared" si="541"/>
        <v/>
      </c>
      <c r="W1824" s="5" t="str">
        <f t="shared" si="542"/>
        <v/>
      </c>
      <c r="Y1824" t="str">
        <f t="shared" si="543"/>
        <v/>
      </c>
      <c r="Z1824" t="str">
        <f t="shared" si="544"/>
        <v/>
      </c>
      <c r="AB1824" t="str">
        <f t="shared" si="545"/>
        <v>https://shop.officineitalianezard.it/contents/imgs/products/1_2058-bmw%20r80%20scarico%20-%20zard%201.jpg</v>
      </c>
      <c r="AE1824" t="b">
        <v>0</v>
      </c>
    </row>
    <row r="1825" spans="1:31" x14ac:dyDescent="0.2">
      <c r="A1825" t="str">
        <f t="shared" si="532"/>
        <v>https://shop.officineitalianezard.it/en/products/index/bmw-r45-r65-exhaust-zard-7832-223/</v>
      </c>
      <c r="B1825" t="b">
        <f>COUNTIF($A$2:$A1825, A1825)&gt;1</f>
        <v>1</v>
      </c>
      <c r="C1825" t="b">
        <f t="shared" si="533"/>
        <v>1</v>
      </c>
      <c r="D1825">
        <f>VLOOKUP(A1825,variant_counts!A:B, 2, FALSE)</f>
        <v>2</v>
      </c>
      <c r="E1825" t="str">
        <f t="shared" si="546"/>
        <v>zard-exhaust-full-kit-bmw-r80-r100-22-version-zbmw534skr</v>
      </c>
      <c r="F1825" t="str">
        <f t="shared" si="534"/>
        <v>ZARD EXHAUST FULL KIT BMW R80-R100 2&gt;2 VERSION ZBMW534SKR</v>
      </c>
      <c r="G1825" t="str">
        <f t="shared" si="535"/>
        <v/>
      </c>
      <c r="H1825" t="str">
        <f t="shared" si="547"/>
        <v/>
      </c>
      <c r="I1825" t="str">
        <f t="shared" si="548"/>
        <v/>
      </c>
      <c r="J1825" t="str">
        <f t="shared" si="549"/>
        <v/>
      </c>
      <c r="K1825" t="str">
        <f t="shared" si="550"/>
        <v/>
      </c>
      <c r="L1825" t="str">
        <f t="shared" si="536"/>
        <v>Option</v>
      </c>
      <c r="M1825" t="str">
        <f t="shared" si="537"/>
        <v>BLACK COATING</v>
      </c>
      <c r="R1825" t="str">
        <f t="shared" si="538"/>
        <v>ZBMW534SKR</v>
      </c>
      <c r="S1825">
        <f t="shared" si="539"/>
        <v>0</v>
      </c>
      <c r="U1825" t="str">
        <f t="shared" si="540"/>
        <v>continue</v>
      </c>
      <c r="V1825" t="str">
        <f t="shared" si="541"/>
        <v>manual</v>
      </c>
      <c r="W1825" s="5">
        <f t="shared" si="542"/>
        <v>1267.1316000000002</v>
      </c>
      <c r="Y1825" t="b">
        <f t="shared" si="543"/>
        <v>1</v>
      </c>
      <c r="Z1825" t="b">
        <f t="shared" si="544"/>
        <v>0</v>
      </c>
      <c r="AB1825" t="str">
        <f t="shared" si="545"/>
        <v/>
      </c>
      <c r="AE1825" t="b">
        <v>0</v>
      </c>
    </row>
    <row r="1826" spans="1:31" x14ac:dyDescent="0.2">
      <c r="A1826" t="str">
        <f t="shared" si="532"/>
        <v>https://shop.officineitalianezard.it/en/products/index/bmw-r45-r65-exhaust-zard-7832-223/</v>
      </c>
      <c r="B1826" t="b">
        <f>COUNTIF($A$2:$A1826, A1826)&gt;1</f>
        <v>1</v>
      </c>
      <c r="C1826" t="b">
        <f t="shared" si="533"/>
        <v>1</v>
      </c>
      <c r="D1826">
        <f>VLOOKUP(A1826,variant_counts!A:B, 2, FALSE)</f>
        <v>2</v>
      </c>
      <c r="E1826" t="str">
        <f t="shared" si="546"/>
        <v>zard-exhaust-full-kit-bmw-r80-r100-22-version-zbmw534skr</v>
      </c>
      <c r="F1826" t="str">
        <f t="shared" si="534"/>
        <v>ZARD EXHAUST FULL KIT BMW R80-R100 2&gt;2 VERSION ZBMW534SKR</v>
      </c>
      <c r="G1826" t="str">
        <f t="shared" si="535"/>
        <v/>
      </c>
      <c r="H1826" t="str">
        <f t="shared" si="547"/>
        <v/>
      </c>
      <c r="I1826" t="str">
        <f t="shared" si="548"/>
        <v/>
      </c>
      <c r="J1826" t="str">
        <f t="shared" si="549"/>
        <v/>
      </c>
      <c r="K1826" t="str">
        <f t="shared" si="550"/>
        <v/>
      </c>
      <c r="L1826" t="str">
        <f t="shared" si="536"/>
        <v>Option</v>
      </c>
      <c r="M1826" t="str">
        <f t="shared" si="537"/>
        <v>MIRROR POLISHED</v>
      </c>
      <c r="R1826" t="str">
        <f t="shared" si="538"/>
        <v>ZBMW534SKR</v>
      </c>
      <c r="S1826">
        <f t="shared" si="539"/>
        <v>0</v>
      </c>
      <c r="U1826" t="str">
        <f t="shared" si="540"/>
        <v>continue</v>
      </c>
      <c r="V1826" t="str">
        <f t="shared" si="541"/>
        <v>manual</v>
      </c>
      <c r="W1826" s="5">
        <f t="shared" si="542"/>
        <v>1155.7653</v>
      </c>
      <c r="Y1826" t="b">
        <f t="shared" si="543"/>
        <v>1</v>
      </c>
      <c r="Z1826" t="b">
        <f t="shared" si="544"/>
        <v>0</v>
      </c>
      <c r="AB1826" t="str">
        <f t="shared" si="545"/>
        <v/>
      </c>
      <c r="AE1826" t="b">
        <v>0</v>
      </c>
    </row>
    <row r="1827" spans="1:31" x14ac:dyDescent="0.2">
      <c r="A1827" t="str">
        <f t="shared" si="532"/>
        <v>https://shop.officineitalianezard.it/en/products/index/bmw-k100-exhaust-zard-7827-219/</v>
      </c>
      <c r="B1827" t="b">
        <f>COUNTIF($A$2:$A1827, A1827)&gt;1</f>
        <v>0</v>
      </c>
      <c r="C1827" t="b">
        <f t="shared" si="533"/>
        <v>0</v>
      </c>
      <c r="D1827">
        <f>VLOOKUP(A1827,variant_counts!A:B, 2, FALSE)</f>
        <v>3</v>
      </c>
      <c r="E1827" t="str">
        <f t="shared" si="546"/>
        <v>zard-exhaust-silencer-kit-bmw-k-100-racing-version-zbmw531skr</v>
      </c>
      <c r="F1827" t="str">
        <f t="shared" si="534"/>
        <v>ZARD EXHAUST SILENCER KIT BMW K 100 RACING VERSION ZBMW531SKR</v>
      </c>
      <c r="G1827" t="str">
        <f t="shared" si="535"/>
        <v>&lt;p&gt;STEEL SILENCER RACING WITH REMOVABLE DB KILLER&lt;/p&gt;
&lt;p&gt;&lt;span&gt;THE SILENCER CAN BE FITTED ON ORIGINAL BMW&amp;nbsp;HEADERS (4&amp;gt;2&amp;gt;1)&lt;/span&gt;&lt;/p&gt;
&lt;p&gt;HARD INCREASE, COMPARED TO THE ORIGINAL EXHAUST SYSTEM, IN TERMS OF TORQUE AND POWER AT ANY RANGE.&lt;/p&gt;
&lt;p&gt;ASTONISHING SOUND.&lt;/p&gt;
&lt;p&gt;AVAILABLE IN 4 WEEKS FROM ORDER.&lt;/p&gt;
&lt;p&gt;GOLD&amp;nbsp;END CAP AND LOGO PLATE AVAILABLE AS OPTIONAL&lt;/p&gt;
&lt;p&gt;&lt;strong&gt;COMPATIBILITY MODEL:&lt;/strong&gt;&amp;nbsp;K 100, K 100 RS, K 100 RT, K 100 LT, K RS 16, K 1100 LT, K 1100 RS.&lt;/p&gt;
&lt;p&gt;&lt;span&gt;&lt;/span&gt;&lt;/p&gt;</v>
      </c>
      <c r="H1827" t="str">
        <f t="shared" si="547"/>
        <v>ZARD</v>
      </c>
      <c r="I1827" t="str">
        <f t="shared" si="548"/>
        <v>Exhaust Pipe</v>
      </c>
      <c r="J1827" t="str">
        <f t="shared" si="549"/>
        <v>Test</v>
      </c>
      <c r="K1827" t="b">
        <f t="shared" si="550"/>
        <v>0</v>
      </c>
      <c r="L1827" t="str">
        <f t="shared" si="536"/>
        <v/>
      </c>
      <c r="M1827" t="str">
        <f t="shared" si="537"/>
        <v/>
      </c>
      <c r="R1827" t="str">
        <f t="shared" si="538"/>
        <v/>
      </c>
      <c r="S1827" t="str">
        <f t="shared" si="539"/>
        <v/>
      </c>
      <c r="U1827" t="str">
        <f t="shared" si="540"/>
        <v/>
      </c>
      <c r="V1827" t="str">
        <f t="shared" si="541"/>
        <v/>
      </c>
      <c r="W1827" s="5" t="str">
        <f t="shared" si="542"/>
        <v/>
      </c>
      <c r="Y1827" t="str">
        <f t="shared" si="543"/>
        <v/>
      </c>
      <c r="Z1827" t="str">
        <f t="shared" si="544"/>
        <v/>
      </c>
      <c r="AB1827" t="str">
        <f t="shared" si="545"/>
        <v>https://shop.officineitalianezard.it/contents/imgs/products/1_2353-2029-scarico%20bmw%20k100%20zard1.jpg</v>
      </c>
      <c r="AE1827" t="b">
        <v>0</v>
      </c>
    </row>
    <row r="1828" spans="1:31" x14ac:dyDescent="0.2">
      <c r="A1828" t="str">
        <f t="shared" si="532"/>
        <v>https://shop.officineitalianezard.it/en/products/index/bmw-k100-exhaust-zard-7827-219/</v>
      </c>
      <c r="B1828" t="b">
        <f>COUNTIF($A$2:$A1828, A1828)&gt;1</f>
        <v>1</v>
      </c>
      <c r="C1828" t="b">
        <f t="shared" si="533"/>
        <v>0</v>
      </c>
      <c r="D1828">
        <f>VLOOKUP(A1828,variant_counts!A:B, 2, FALSE)</f>
        <v>3</v>
      </c>
      <c r="E1828" t="str">
        <f t="shared" si="546"/>
        <v>zard-exhaust-silencer-kit-bmw-k-100-racing-version-zbmw531skr</v>
      </c>
      <c r="F1828" t="str">
        <f t="shared" si="534"/>
        <v>ZARD EXHAUST SILENCER KIT BMW K 100 RACING VERSION ZBMW531SKR</v>
      </c>
      <c r="G1828" t="str">
        <f t="shared" si="535"/>
        <v/>
      </c>
      <c r="H1828" t="str">
        <f t="shared" si="547"/>
        <v/>
      </c>
      <c r="I1828" t="str">
        <f t="shared" si="548"/>
        <v/>
      </c>
      <c r="J1828" t="str">
        <f t="shared" si="549"/>
        <v/>
      </c>
      <c r="K1828" t="str">
        <f t="shared" si="550"/>
        <v/>
      </c>
      <c r="L1828" t="str">
        <f t="shared" si="536"/>
        <v/>
      </c>
      <c r="M1828" t="str">
        <f t="shared" si="537"/>
        <v/>
      </c>
      <c r="R1828" t="str">
        <f t="shared" si="538"/>
        <v/>
      </c>
      <c r="S1828" t="str">
        <f t="shared" si="539"/>
        <v/>
      </c>
      <c r="U1828" t="str">
        <f t="shared" si="540"/>
        <v/>
      </c>
      <c r="V1828" t="str">
        <f t="shared" si="541"/>
        <v/>
      </c>
      <c r="W1828" s="5" t="str">
        <f t="shared" si="542"/>
        <v/>
      </c>
      <c r="Y1828" t="str">
        <f t="shared" si="543"/>
        <v/>
      </c>
      <c r="Z1828" t="str">
        <f t="shared" si="544"/>
        <v/>
      </c>
      <c r="AB1828" t="str">
        <f t="shared" si="545"/>
        <v>https://shop.officineitalianezard.it/contents/imgs/products/1_2030-scarico%20bmw%20k100%20zard3.jpg</v>
      </c>
      <c r="AE1828" t="b">
        <v>0</v>
      </c>
    </row>
    <row r="1829" spans="1:31" x14ac:dyDescent="0.2">
      <c r="A1829" t="str">
        <f t="shared" si="532"/>
        <v>https://shop.officineitalianezard.it/en/products/index/bmw-k100-exhaust-zard-7827-219/</v>
      </c>
      <c r="B1829" t="b">
        <f>COUNTIF($A$2:$A1829, A1829)&gt;1</f>
        <v>1</v>
      </c>
      <c r="C1829" t="b">
        <f t="shared" si="533"/>
        <v>0</v>
      </c>
      <c r="D1829">
        <f>VLOOKUP(A1829,variant_counts!A:B, 2, FALSE)</f>
        <v>3</v>
      </c>
      <c r="E1829" t="str">
        <f t="shared" si="546"/>
        <v>zard-exhaust-silencer-kit-bmw-k-100-racing-version-zbmw531skr</v>
      </c>
      <c r="F1829" t="str">
        <f t="shared" si="534"/>
        <v>ZARD EXHAUST SILENCER KIT BMW K 100 RACING VERSION ZBMW531SKR</v>
      </c>
      <c r="G1829" t="str">
        <f t="shared" si="535"/>
        <v/>
      </c>
      <c r="H1829" t="str">
        <f t="shared" si="547"/>
        <v/>
      </c>
      <c r="I1829" t="str">
        <f t="shared" si="548"/>
        <v/>
      </c>
      <c r="J1829" t="str">
        <f t="shared" si="549"/>
        <v/>
      </c>
      <c r="K1829" t="str">
        <f t="shared" si="550"/>
        <v/>
      </c>
      <c r="L1829" t="str">
        <f t="shared" si="536"/>
        <v/>
      </c>
      <c r="M1829" t="str">
        <f t="shared" si="537"/>
        <v/>
      </c>
      <c r="R1829" t="str">
        <f t="shared" si="538"/>
        <v/>
      </c>
      <c r="S1829" t="str">
        <f t="shared" si="539"/>
        <v/>
      </c>
      <c r="U1829" t="str">
        <f t="shared" si="540"/>
        <v/>
      </c>
      <c r="V1829" t="str">
        <f t="shared" si="541"/>
        <v/>
      </c>
      <c r="W1829" s="5" t="str">
        <f t="shared" si="542"/>
        <v/>
      </c>
      <c r="Y1829" t="str">
        <f t="shared" si="543"/>
        <v/>
      </c>
      <c r="Z1829" t="str">
        <f t="shared" si="544"/>
        <v/>
      </c>
      <c r="AB1829" t="str">
        <f t="shared" si="545"/>
        <v>https://shop.officineitalianezard.it/contents/imgs/products/1_2031-scarico%20bmw%20k100%20zard2.jpg</v>
      </c>
      <c r="AE1829" t="b">
        <v>0</v>
      </c>
    </row>
    <row r="1830" spans="1:31" x14ac:dyDescent="0.2">
      <c r="A1830" t="str">
        <f t="shared" si="532"/>
        <v>https://shop.officineitalianezard.it/en/products/index/bmw-k100-exhaust-zard-7827-219/</v>
      </c>
      <c r="B1830" t="b">
        <f>COUNTIF($A$2:$A1830, A1830)&gt;1</f>
        <v>1</v>
      </c>
      <c r="C1830" t="b">
        <f t="shared" si="533"/>
        <v>0</v>
      </c>
      <c r="D1830">
        <f>VLOOKUP(A1830,variant_counts!A:B, 2, FALSE)</f>
        <v>3</v>
      </c>
      <c r="E1830" t="str">
        <f t="shared" si="546"/>
        <v>zard-exhaust-silencer-kit-bmw-k-100-racing-version-zbmw531skr</v>
      </c>
      <c r="F1830" t="str">
        <f t="shared" si="534"/>
        <v>ZARD EXHAUST SILENCER KIT BMW K 100 RACING VERSION ZBMW531SKR</v>
      </c>
      <c r="G1830" t="str">
        <f t="shared" si="535"/>
        <v/>
      </c>
      <c r="H1830" t="str">
        <f t="shared" si="547"/>
        <v/>
      </c>
      <c r="I1830" t="str">
        <f t="shared" si="548"/>
        <v/>
      </c>
      <c r="J1830" t="str">
        <f t="shared" si="549"/>
        <v/>
      </c>
      <c r="K1830" t="str">
        <f t="shared" si="550"/>
        <v/>
      </c>
      <c r="L1830" t="str">
        <f t="shared" si="536"/>
        <v/>
      </c>
      <c r="M1830" t="str">
        <f t="shared" si="537"/>
        <v/>
      </c>
      <c r="R1830" t="str">
        <f t="shared" si="538"/>
        <v/>
      </c>
      <c r="S1830" t="str">
        <f t="shared" si="539"/>
        <v/>
      </c>
      <c r="U1830" t="str">
        <f t="shared" si="540"/>
        <v/>
      </c>
      <c r="V1830" t="str">
        <f t="shared" si="541"/>
        <v/>
      </c>
      <c r="W1830" s="5" t="str">
        <f t="shared" si="542"/>
        <v/>
      </c>
      <c r="Y1830" t="str">
        <f t="shared" si="543"/>
        <v/>
      </c>
      <c r="Z1830" t="str">
        <f t="shared" si="544"/>
        <v/>
      </c>
      <c r="AB1830" t="str">
        <f t="shared" si="545"/>
        <v>https://shop.officineitalianezard.it/contents/imgs/products/1_2034-scarico%20bmw%20k100%20zard5.jpg</v>
      </c>
      <c r="AE1830" t="b">
        <v>0</v>
      </c>
    </row>
    <row r="1831" spans="1:31" x14ac:dyDescent="0.2">
      <c r="A1831" t="str">
        <f t="shared" si="532"/>
        <v>https://shop.officineitalianezard.it/en/products/index/bmw-k100-exhaust-zard-7827-219/</v>
      </c>
      <c r="B1831" t="b">
        <f>COUNTIF($A$2:$A1831, A1831)&gt;1</f>
        <v>1</v>
      </c>
      <c r="C1831" t="b">
        <f t="shared" si="533"/>
        <v>0</v>
      </c>
      <c r="D1831">
        <f>VLOOKUP(A1831,variant_counts!A:B, 2, FALSE)</f>
        <v>3</v>
      </c>
      <c r="E1831" t="str">
        <f t="shared" si="546"/>
        <v>zard-exhaust-silencer-kit-bmw-k-100-racing-version-zbmw531skr</v>
      </c>
      <c r="F1831" t="str">
        <f t="shared" si="534"/>
        <v>ZARD EXHAUST SILENCER KIT BMW K 100 RACING VERSION ZBMW531SKR</v>
      </c>
      <c r="G1831" t="str">
        <f t="shared" si="535"/>
        <v/>
      </c>
      <c r="H1831" t="str">
        <f t="shared" si="547"/>
        <v/>
      </c>
      <c r="I1831" t="str">
        <f t="shared" si="548"/>
        <v/>
      </c>
      <c r="J1831" t="str">
        <f t="shared" si="549"/>
        <v/>
      </c>
      <c r="K1831" t="str">
        <f t="shared" si="550"/>
        <v/>
      </c>
      <c r="L1831" t="str">
        <f t="shared" si="536"/>
        <v/>
      </c>
      <c r="M1831" t="str">
        <f t="shared" si="537"/>
        <v/>
      </c>
      <c r="R1831" t="str">
        <f t="shared" si="538"/>
        <v/>
      </c>
      <c r="S1831" t="str">
        <f t="shared" si="539"/>
        <v/>
      </c>
      <c r="U1831" t="str">
        <f t="shared" si="540"/>
        <v/>
      </c>
      <c r="V1831" t="str">
        <f t="shared" si="541"/>
        <v/>
      </c>
      <c r="W1831" s="5" t="str">
        <f t="shared" si="542"/>
        <v/>
      </c>
      <c r="Y1831" t="str">
        <f t="shared" si="543"/>
        <v/>
      </c>
      <c r="Z1831" t="str">
        <f t="shared" si="544"/>
        <v/>
      </c>
      <c r="AB1831" t="str">
        <f t="shared" si="545"/>
        <v>https://shop.officineitalianezard.it/contents/imgs/products/1_2033-scarico%20bmw%20k100%20zard4.jpg</v>
      </c>
      <c r="AE1831" t="b">
        <v>0</v>
      </c>
    </row>
    <row r="1832" spans="1:31" x14ac:dyDescent="0.2">
      <c r="A1832" t="str">
        <f t="shared" si="532"/>
        <v>https://shop.officineitalianezard.it/en/products/index/bmw-k100-exhaust-zard-7827-219/</v>
      </c>
      <c r="B1832" t="b">
        <f>COUNTIF($A$2:$A1832, A1832)&gt;1</f>
        <v>1</v>
      </c>
      <c r="C1832" t="b">
        <f t="shared" si="533"/>
        <v>0</v>
      </c>
      <c r="D1832">
        <f>VLOOKUP(A1832,variant_counts!A:B, 2, FALSE)</f>
        <v>3</v>
      </c>
      <c r="E1832" t="str">
        <f t="shared" si="546"/>
        <v>zard-exhaust-silencer-kit-bmw-k-100-racing-version-zbmw531skr</v>
      </c>
      <c r="F1832" t="str">
        <f t="shared" si="534"/>
        <v>ZARD EXHAUST SILENCER KIT BMW K 100 RACING VERSION ZBMW531SKR</v>
      </c>
      <c r="G1832" t="str">
        <f t="shared" si="535"/>
        <v/>
      </c>
      <c r="H1832" t="str">
        <f t="shared" si="547"/>
        <v/>
      </c>
      <c r="I1832" t="str">
        <f t="shared" si="548"/>
        <v/>
      </c>
      <c r="J1832" t="str">
        <f t="shared" si="549"/>
        <v/>
      </c>
      <c r="K1832" t="str">
        <f t="shared" si="550"/>
        <v/>
      </c>
      <c r="L1832" t="str">
        <f t="shared" si="536"/>
        <v/>
      </c>
      <c r="M1832" t="str">
        <f t="shared" si="537"/>
        <v/>
      </c>
      <c r="R1832" t="str">
        <f t="shared" si="538"/>
        <v/>
      </c>
      <c r="S1832" t="str">
        <f t="shared" si="539"/>
        <v/>
      </c>
      <c r="U1832" t="str">
        <f t="shared" si="540"/>
        <v/>
      </c>
      <c r="V1832" t="str">
        <f t="shared" si="541"/>
        <v/>
      </c>
      <c r="W1832" s="5" t="str">
        <f t="shared" si="542"/>
        <v/>
      </c>
      <c r="Y1832" t="str">
        <f t="shared" si="543"/>
        <v/>
      </c>
      <c r="Z1832" t="str">
        <f t="shared" si="544"/>
        <v/>
      </c>
      <c r="AB1832" t="str">
        <f t="shared" si="545"/>
        <v>https://shop.officineitalianezard.it/contents/imgs/products/1_2148-scarico%20bmw%20k100.jpg</v>
      </c>
      <c r="AE1832" t="b">
        <v>0</v>
      </c>
    </row>
    <row r="1833" spans="1:31" x14ac:dyDescent="0.2">
      <c r="A1833" t="str">
        <f t="shared" si="532"/>
        <v>https://shop.officineitalianezard.it/en/products/index/bmw-k100-exhaust-zard-7827-219/</v>
      </c>
      <c r="B1833" t="b">
        <f>COUNTIF($A$2:$A1833, A1833)&gt;1</f>
        <v>1</v>
      </c>
      <c r="C1833" t="b">
        <f t="shared" si="533"/>
        <v>1</v>
      </c>
      <c r="D1833">
        <f>VLOOKUP(A1833,variant_counts!A:B, 2, FALSE)</f>
        <v>3</v>
      </c>
      <c r="E1833" t="str">
        <f t="shared" si="546"/>
        <v>zard-exhaust-silencer-kit-bmw-k-100-racing-version-zbmw531skr</v>
      </c>
      <c r="F1833" t="str">
        <f t="shared" si="534"/>
        <v>ZARD EXHAUST SILENCER KIT BMW K 100 RACING VERSION ZBMW531SKR</v>
      </c>
      <c r="G1833" t="str">
        <f t="shared" si="535"/>
        <v/>
      </c>
      <c r="H1833" t="str">
        <f t="shared" si="547"/>
        <v/>
      </c>
      <c r="I1833" t="str">
        <f t="shared" si="548"/>
        <v/>
      </c>
      <c r="J1833" t="str">
        <f t="shared" si="549"/>
        <v/>
      </c>
      <c r="K1833" t="str">
        <f t="shared" si="550"/>
        <v/>
      </c>
      <c r="L1833" t="str">
        <f t="shared" si="536"/>
        <v>Option</v>
      </c>
      <c r="M1833" t="str">
        <f t="shared" si="537"/>
        <v>BLACK COATING</v>
      </c>
      <c r="R1833" t="str">
        <f t="shared" si="538"/>
        <v>ZBMW531SKR</v>
      </c>
      <c r="S1833">
        <f t="shared" si="539"/>
        <v>0</v>
      </c>
      <c r="U1833" t="str">
        <f t="shared" si="540"/>
        <v>continue</v>
      </c>
      <c r="V1833" t="str">
        <f t="shared" si="541"/>
        <v>manual</v>
      </c>
      <c r="W1833" s="5">
        <f t="shared" si="542"/>
        <v>827.49390000000005</v>
      </c>
      <c r="Y1833" t="b">
        <f t="shared" si="543"/>
        <v>1</v>
      </c>
      <c r="Z1833" t="b">
        <f t="shared" si="544"/>
        <v>0</v>
      </c>
      <c r="AB1833" t="str">
        <f t="shared" si="545"/>
        <v/>
      </c>
      <c r="AE1833" t="b">
        <v>0</v>
      </c>
    </row>
    <row r="1834" spans="1:31" x14ac:dyDescent="0.2">
      <c r="A1834" t="str">
        <f t="shared" si="532"/>
        <v>https://shop.officineitalianezard.it/en/products/index/bmw-k100-exhaust-zard-7827-219/</v>
      </c>
      <c r="B1834" t="b">
        <f>COUNTIF($A$2:$A1834, A1834)&gt;1</f>
        <v>1</v>
      </c>
      <c r="C1834" t="b">
        <f t="shared" si="533"/>
        <v>1</v>
      </c>
      <c r="D1834">
        <f>VLOOKUP(A1834,variant_counts!A:B, 2, FALSE)</f>
        <v>3</v>
      </c>
      <c r="E1834" t="str">
        <f t="shared" si="546"/>
        <v>zard-exhaust-silencer-kit-bmw-k-100-racing-version-zbmw531skr</v>
      </c>
      <c r="F1834" t="str">
        <f t="shared" si="534"/>
        <v>ZARD EXHAUST SILENCER KIT BMW K 100 RACING VERSION ZBMW531SKR</v>
      </c>
      <c r="G1834" t="str">
        <f t="shared" si="535"/>
        <v/>
      </c>
      <c r="H1834" t="str">
        <f t="shared" si="547"/>
        <v/>
      </c>
      <c r="I1834" t="str">
        <f t="shared" si="548"/>
        <v/>
      </c>
      <c r="J1834" t="str">
        <f t="shared" si="549"/>
        <v/>
      </c>
      <c r="K1834" t="str">
        <f t="shared" si="550"/>
        <v/>
      </c>
      <c r="L1834" t="str">
        <f t="shared" si="536"/>
        <v>Option</v>
      </c>
      <c r="M1834" t="str">
        <f t="shared" si="537"/>
        <v>BLACK CERAMIC COATING ON ORIGINAL HEADERS</v>
      </c>
      <c r="R1834" t="str">
        <f t="shared" si="538"/>
        <v>ZBMW531SKR</v>
      </c>
      <c r="S1834">
        <f t="shared" si="539"/>
        <v>0</v>
      </c>
      <c r="U1834" t="str">
        <f t="shared" si="540"/>
        <v>continue</v>
      </c>
      <c r="V1834" t="str">
        <f t="shared" si="541"/>
        <v>manual</v>
      </c>
      <c r="W1834" s="5">
        <f t="shared" si="542"/>
        <v>895.45920000000012</v>
      </c>
      <c r="Y1834" t="b">
        <f t="shared" si="543"/>
        <v>1</v>
      </c>
      <c r="Z1834" t="b">
        <f t="shared" si="544"/>
        <v>0</v>
      </c>
      <c r="AB1834" t="str">
        <f t="shared" si="545"/>
        <v/>
      </c>
      <c r="AE1834" t="b">
        <v>0</v>
      </c>
    </row>
    <row r="1835" spans="1:31" x14ac:dyDescent="0.2">
      <c r="A1835" t="str">
        <f t="shared" si="532"/>
        <v>https://shop.officineitalianezard.it/en/products/index/bmw-k100-exhaust-zard-7827-219/</v>
      </c>
      <c r="B1835" t="b">
        <f>COUNTIF($A$2:$A1835, A1835)&gt;1</f>
        <v>1</v>
      </c>
      <c r="C1835" t="b">
        <f t="shared" si="533"/>
        <v>1</v>
      </c>
      <c r="D1835">
        <f>VLOOKUP(A1835,variant_counts!A:B, 2, FALSE)</f>
        <v>3</v>
      </c>
      <c r="E1835" t="str">
        <f t="shared" si="546"/>
        <v>zard-exhaust-silencer-kit-bmw-k-100-racing-version-zbmw531skr</v>
      </c>
      <c r="F1835" t="str">
        <f t="shared" si="534"/>
        <v>ZARD EXHAUST SILENCER KIT BMW K 100 RACING VERSION ZBMW531SKR</v>
      </c>
      <c r="G1835" t="str">
        <f t="shared" si="535"/>
        <v/>
      </c>
      <c r="H1835" t="str">
        <f t="shared" si="547"/>
        <v/>
      </c>
      <c r="I1835" t="str">
        <f t="shared" si="548"/>
        <v/>
      </c>
      <c r="J1835" t="str">
        <f t="shared" si="549"/>
        <v/>
      </c>
      <c r="K1835" t="str">
        <f t="shared" si="550"/>
        <v/>
      </c>
      <c r="L1835" t="str">
        <f t="shared" si="536"/>
        <v>Option</v>
      </c>
      <c r="M1835" t="str">
        <f t="shared" si="537"/>
        <v>GOLD END CAP AND LOGO PLATE</v>
      </c>
      <c r="R1835" t="str">
        <f t="shared" si="538"/>
        <v>ZBMW531SKR</v>
      </c>
      <c r="S1835">
        <f t="shared" si="539"/>
        <v>0</v>
      </c>
      <c r="U1835" t="str">
        <f t="shared" si="540"/>
        <v>continue</v>
      </c>
      <c r="V1835" t="str">
        <f t="shared" si="541"/>
        <v>manual</v>
      </c>
      <c r="W1835" s="5">
        <f t="shared" si="542"/>
        <v>793.10610000000008</v>
      </c>
      <c r="Y1835" t="b">
        <f t="shared" si="543"/>
        <v>1</v>
      </c>
      <c r="Z1835" t="b">
        <f t="shared" si="544"/>
        <v>0</v>
      </c>
      <c r="AB1835" t="str">
        <f t="shared" si="545"/>
        <v/>
      </c>
      <c r="AE1835" t="b">
        <v>0</v>
      </c>
    </row>
    <row r="1836" spans="1:31" x14ac:dyDescent="0.2">
      <c r="A1836" t="str">
        <f t="shared" si="532"/>
        <v>https://shop.officineitalianezard.it/en/zard-headers-kit-bmw-nine-t-1200/</v>
      </c>
      <c r="B1836" t="b">
        <f>COUNTIF($A$2:$A1836, A1836)&gt;1</f>
        <v>0</v>
      </c>
      <c r="C1836" t="b">
        <f t="shared" si="533"/>
        <v>0</v>
      </c>
      <c r="D1836">
        <f>VLOOKUP(A1836,variant_counts!A:B, 2, FALSE)</f>
        <v>2</v>
      </c>
      <c r="E1836" t="str">
        <f t="shared" si="546"/>
        <v>zard-exhaust-21-headers-kit-bmw-r-nine-t-my-2017-limited-edition-zbmw526scr-lim-17</v>
      </c>
      <c r="F1836" t="str">
        <f t="shared" si="534"/>
        <v>ZARD EXHAUST 2&gt;1 HEADERS KIT BMW R NINE-T &gt; M.Y. 2017 LIMITED EDITION ZBMW526SCR-LIM-17</v>
      </c>
      <c r="G1836" t="str">
        <f t="shared" si="535"/>
        <v>&lt;p&gt;2&amp;gt;1 STEEL RACING &lt;strong&gt;SNAKE WELDED&lt;/strong&gt; HEADERS KIT&amp;nbsp;&lt;/p&gt;
&lt;p&gt;HEADERS KIT CAN BE FITTED WITH ORIGINAL SILENCERS&lt;/p&gt;
&lt;p&gt;ORIGINAL HEADERS KIT WEIGHT: KG 4.4&lt;br&gt;ZARD STEEL HEADERS KIT WEIGHT: 3.8&lt;/p&gt;
&lt;p&gt;HARD INCREASE, COMPARED TO THE ORIGINAL EXHAUST SYSTEM, IN TERMS OF TORQUE AND POWER AT ANY RANGE.&lt;/p&gt;
&lt;p&gt;ASTONISHING SOUND.&lt;/p&gt;
&lt;p&gt;SOUND TEST:&amp;nbsp;&lt;a href="http://youtu.be/DJe9a-qfmqI"&gt;http://youtu.be/DJe9a-qfmqI&lt;/a&gt;&lt;/p&gt;
&lt;p&gt;&lt;a href="http://shop.officineitalianezard.it/it/products/index/scarico-bmw-nine-t-zard-7666-143/"&gt;DISCOVER THE ZARD ACCESSORIES FOR YOUR BMW NINE-T&lt;/a&gt;&lt;/p&gt;</v>
      </c>
      <c r="H1836" t="str">
        <f t="shared" si="547"/>
        <v>ZARD</v>
      </c>
      <c r="I1836" t="str">
        <f t="shared" si="548"/>
        <v>Exhaust Pipe</v>
      </c>
      <c r="J1836" t="str">
        <f t="shared" si="549"/>
        <v>Test</v>
      </c>
      <c r="K1836" t="b">
        <f t="shared" si="550"/>
        <v>0</v>
      </c>
      <c r="L1836" t="str">
        <f t="shared" si="536"/>
        <v/>
      </c>
      <c r="M1836" t="str">
        <f t="shared" si="537"/>
        <v/>
      </c>
      <c r="R1836" t="str">
        <f t="shared" si="538"/>
        <v/>
      </c>
      <c r="S1836" t="str">
        <f t="shared" si="539"/>
        <v/>
      </c>
      <c r="U1836" t="str">
        <f t="shared" si="540"/>
        <v/>
      </c>
      <c r="V1836" t="str">
        <f t="shared" si="541"/>
        <v/>
      </c>
      <c r="W1836" s="5" t="str">
        <f t="shared" si="542"/>
        <v/>
      </c>
      <c r="Y1836" t="str">
        <f t="shared" si="543"/>
        <v/>
      </c>
      <c r="Z1836" t="str">
        <f t="shared" si="544"/>
        <v/>
      </c>
      <c r="AB1836" t="str">
        <f t="shared" si="545"/>
        <v>https://shop.officineitalianezard.it/contents/imgs/products/1_2719-scarichi%20moto%20zard%20collettori%20titanio%20bmw%20r%20nine%20t_1.jpg</v>
      </c>
      <c r="AE1836" t="b">
        <v>0</v>
      </c>
    </row>
    <row r="1837" spans="1:31" x14ac:dyDescent="0.2">
      <c r="A1837" t="str">
        <f t="shared" si="532"/>
        <v>https://shop.officineitalianezard.it/en/zard-headers-kit-bmw-nine-t-1200/</v>
      </c>
      <c r="B1837" t="b">
        <f>COUNTIF($A$2:$A1837, A1837)&gt;1</f>
        <v>1</v>
      </c>
      <c r="C1837" t="b">
        <f t="shared" si="533"/>
        <v>0</v>
      </c>
      <c r="D1837">
        <f>VLOOKUP(A1837,variant_counts!A:B, 2, FALSE)</f>
        <v>2</v>
      </c>
      <c r="E1837" t="str">
        <f t="shared" si="546"/>
        <v>zard-exhaust-21-headers-kit-bmw-r-nine-t-my-2017-limited-edition-zbmw526scr-lim-17</v>
      </c>
      <c r="F1837" t="str">
        <f t="shared" si="534"/>
        <v>ZARD EXHAUST 2&gt;1 HEADERS KIT BMW R NINE-T &gt; M.Y. 2017 LIMITED EDITION ZBMW526SCR-LIM-17</v>
      </c>
      <c r="G1837" t="str">
        <f t="shared" si="535"/>
        <v/>
      </c>
      <c r="H1837" t="str">
        <f t="shared" si="547"/>
        <v/>
      </c>
      <c r="I1837" t="str">
        <f t="shared" si="548"/>
        <v/>
      </c>
      <c r="J1837" t="str">
        <f t="shared" si="549"/>
        <v/>
      </c>
      <c r="K1837" t="str">
        <f t="shared" si="550"/>
        <v/>
      </c>
      <c r="L1837" t="str">
        <f t="shared" si="536"/>
        <v/>
      </c>
      <c r="M1837" t="str">
        <f t="shared" si="537"/>
        <v/>
      </c>
      <c r="R1837" t="str">
        <f t="shared" si="538"/>
        <v/>
      </c>
      <c r="S1837" t="str">
        <f t="shared" si="539"/>
        <v/>
      </c>
      <c r="U1837" t="str">
        <f t="shared" si="540"/>
        <v/>
      </c>
      <c r="V1837" t="str">
        <f t="shared" si="541"/>
        <v/>
      </c>
      <c r="W1837" s="5" t="str">
        <f t="shared" si="542"/>
        <v/>
      </c>
      <c r="Y1837" t="str">
        <f t="shared" si="543"/>
        <v/>
      </c>
      <c r="Z1837" t="str">
        <f t="shared" si="544"/>
        <v/>
      </c>
      <c r="AB1837" t="str">
        <f t="shared" si="545"/>
        <v>https://shop.officineitalianezard.it/contents/imgs/products/1_2366-1.jpg</v>
      </c>
      <c r="AE1837" t="b">
        <v>0</v>
      </c>
    </row>
    <row r="1838" spans="1:31" x14ac:dyDescent="0.2">
      <c r="A1838" t="str">
        <f t="shared" si="532"/>
        <v>https://shop.officineitalianezard.it/en/zard-headers-kit-bmw-nine-t-1200/</v>
      </c>
      <c r="B1838" t="b">
        <f>COUNTIF($A$2:$A1838, A1838)&gt;1</f>
        <v>1</v>
      </c>
      <c r="C1838" t="b">
        <f t="shared" si="533"/>
        <v>0</v>
      </c>
      <c r="D1838">
        <f>VLOOKUP(A1838,variant_counts!A:B, 2, FALSE)</f>
        <v>2</v>
      </c>
      <c r="E1838" t="str">
        <f t="shared" si="546"/>
        <v>zard-exhaust-21-headers-kit-bmw-r-nine-t-my-2017-limited-edition-zbmw526scr-lim-17</v>
      </c>
      <c r="F1838" t="str">
        <f t="shared" si="534"/>
        <v>ZARD EXHAUST 2&gt;1 HEADERS KIT BMW R NINE-T &gt; M.Y. 2017 LIMITED EDITION ZBMW526SCR-LIM-17</v>
      </c>
      <c r="G1838" t="str">
        <f t="shared" si="535"/>
        <v/>
      </c>
      <c r="H1838" t="str">
        <f t="shared" si="547"/>
        <v/>
      </c>
      <c r="I1838" t="str">
        <f t="shared" si="548"/>
        <v/>
      </c>
      <c r="J1838" t="str">
        <f t="shared" si="549"/>
        <v/>
      </c>
      <c r="K1838" t="str">
        <f t="shared" si="550"/>
        <v/>
      </c>
      <c r="L1838" t="str">
        <f t="shared" si="536"/>
        <v/>
      </c>
      <c r="M1838" t="str">
        <f t="shared" si="537"/>
        <v/>
      </c>
      <c r="R1838" t="str">
        <f t="shared" si="538"/>
        <v/>
      </c>
      <c r="S1838" t="str">
        <f t="shared" si="539"/>
        <v/>
      </c>
      <c r="U1838" t="str">
        <f t="shared" si="540"/>
        <v/>
      </c>
      <c r="V1838" t="str">
        <f t="shared" si="541"/>
        <v/>
      </c>
      <c r="W1838" s="5" t="str">
        <f t="shared" si="542"/>
        <v/>
      </c>
      <c r="Y1838" t="str">
        <f t="shared" si="543"/>
        <v/>
      </c>
      <c r="Z1838" t="str">
        <f t="shared" si="544"/>
        <v/>
      </c>
      <c r="AB1838" t="str">
        <f t="shared" si="545"/>
        <v>https://shop.officineitalianezard.it/contents/imgs/products/1_2367-2.jpg</v>
      </c>
      <c r="AE1838" t="b">
        <v>0</v>
      </c>
    </row>
    <row r="1839" spans="1:31" x14ac:dyDescent="0.2">
      <c r="A1839" t="str">
        <f t="shared" si="532"/>
        <v>https://shop.officineitalianezard.it/en/zard-headers-kit-bmw-nine-t-1200/</v>
      </c>
      <c r="B1839" t="b">
        <f>COUNTIF($A$2:$A1839, A1839)&gt;1</f>
        <v>1</v>
      </c>
      <c r="C1839" t="b">
        <f t="shared" si="533"/>
        <v>0</v>
      </c>
      <c r="D1839">
        <f>VLOOKUP(A1839,variant_counts!A:B, 2, FALSE)</f>
        <v>2</v>
      </c>
      <c r="E1839" t="str">
        <f t="shared" si="546"/>
        <v>zard-exhaust-21-headers-kit-bmw-r-nine-t-my-2017-limited-edition-zbmw526scr-lim-17</v>
      </c>
      <c r="F1839" t="str">
        <f t="shared" si="534"/>
        <v>ZARD EXHAUST 2&gt;1 HEADERS KIT BMW R NINE-T &gt; M.Y. 2017 LIMITED EDITION ZBMW526SCR-LIM-17</v>
      </c>
      <c r="G1839" t="str">
        <f t="shared" si="535"/>
        <v/>
      </c>
      <c r="H1839" t="str">
        <f t="shared" si="547"/>
        <v/>
      </c>
      <c r="I1839" t="str">
        <f t="shared" si="548"/>
        <v/>
      </c>
      <c r="J1839" t="str">
        <f t="shared" si="549"/>
        <v/>
      </c>
      <c r="K1839" t="str">
        <f t="shared" si="550"/>
        <v/>
      </c>
      <c r="L1839" t="str">
        <f t="shared" si="536"/>
        <v/>
      </c>
      <c r="M1839" t="str">
        <f t="shared" si="537"/>
        <v/>
      </c>
      <c r="R1839" t="str">
        <f t="shared" si="538"/>
        <v/>
      </c>
      <c r="S1839" t="str">
        <f t="shared" si="539"/>
        <v/>
      </c>
      <c r="U1839" t="str">
        <f t="shared" si="540"/>
        <v/>
      </c>
      <c r="V1839" t="str">
        <f t="shared" si="541"/>
        <v/>
      </c>
      <c r="W1839" s="5" t="str">
        <f t="shared" si="542"/>
        <v/>
      </c>
      <c r="Y1839" t="str">
        <f t="shared" si="543"/>
        <v/>
      </c>
      <c r="Z1839" t="str">
        <f t="shared" si="544"/>
        <v/>
      </c>
      <c r="AB1839" t="str">
        <f t="shared" si="545"/>
        <v>https://shop.officineitalianezard.it/contents/imgs/products/1_2369-r9t.jpg</v>
      </c>
      <c r="AE1839" t="b">
        <v>0</v>
      </c>
    </row>
    <row r="1840" spans="1:31" x14ac:dyDescent="0.2">
      <c r="A1840" t="str">
        <f t="shared" si="532"/>
        <v>https://shop.officineitalianezard.it/en/zard-headers-kit-bmw-nine-t-1200/</v>
      </c>
      <c r="B1840" t="b">
        <f>COUNTIF($A$2:$A1840, A1840)&gt;1</f>
        <v>1</v>
      </c>
      <c r="C1840" t="b">
        <f t="shared" si="533"/>
        <v>1</v>
      </c>
      <c r="D1840">
        <f>VLOOKUP(A1840,variant_counts!A:B, 2, FALSE)</f>
        <v>2</v>
      </c>
      <c r="E1840" t="str">
        <f t="shared" si="546"/>
        <v>zard-exhaust-21-headers-kit-bmw-r-nine-t-my-2017-limited-edition-zbmw526scr-lim-17</v>
      </c>
      <c r="F1840" t="str">
        <f t="shared" si="534"/>
        <v>ZARD EXHAUST 2&gt;1 HEADERS KIT BMW R NINE-T &gt; M.Y. 2017 LIMITED EDITION ZBMW526SCR-LIM-17</v>
      </c>
      <c r="G1840" t="str">
        <f t="shared" si="535"/>
        <v/>
      </c>
      <c r="H1840" t="str">
        <f t="shared" si="547"/>
        <v/>
      </c>
      <c r="I1840" t="str">
        <f t="shared" si="548"/>
        <v/>
      </c>
      <c r="J1840" t="str">
        <f t="shared" si="549"/>
        <v/>
      </c>
      <c r="K1840" t="str">
        <f t="shared" si="550"/>
        <v/>
      </c>
      <c r="L1840" t="str">
        <f t="shared" si="536"/>
        <v>Option</v>
      </c>
      <c r="M1840" t="str">
        <f t="shared" si="537"/>
        <v>FULL TITANIUM RACING</v>
      </c>
      <c r="R1840" t="str">
        <f t="shared" si="538"/>
        <v>ZBMW526SCR-LIM-17</v>
      </c>
      <c r="S1840">
        <f t="shared" si="539"/>
        <v>0</v>
      </c>
      <c r="U1840" t="str">
        <f t="shared" si="540"/>
        <v>continue</v>
      </c>
      <c r="V1840" t="str">
        <f t="shared" si="541"/>
        <v>manual</v>
      </c>
      <c r="W1840" s="5">
        <f t="shared" si="542"/>
        <v>948.77250000000004</v>
      </c>
      <c r="Y1840" t="b">
        <f t="shared" si="543"/>
        <v>1</v>
      </c>
      <c r="Z1840" t="b">
        <f t="shared" si="544"/>
        <v>0</v>
      </c>
      <c r="AB1840" t="str">
        <f t="shared" si="545"/>
        <v/>
      </c>
      <c r="AE1840" t="b">
        <v>0</v>
      </c>
    </row>
    <row r="1841" spans="1:31" x14ac:dyDescent="0.2">
      <c r="A1841" t="str">
        <f t="shared" si="532"/>
        <v>https://shop.officineitalianezard.it/en/zard-headers-kit-bmw-nine-t-1200/</v>
      </c>
      <c r="B1841" t="b">
        <f>COUNTIF($A$2:$A1841, A1841)&gt;1</f>
        <v>1</v>
      </c>
      <c r="C1841" t="b">
        <f t="shared" si="533"/>
        <v>1</v>
      </c>
      <c r="D1841">
        <f>VLOOKUP(A1841,variant_counts!A:B, 2, FALSE)</f>
        <v>2</v>
      </c>
      <c r="E1841" t="str">
        <f t="shared" si="546"/>
        <v>zard-exhaust-21-headers-kit-bmw-r-nine-t-my-2017-limited-edition-zbmw526scr-lim-17</v>
      </c>
      <c r="F1841" t="str">
        <f t="shared" si="534"/>
        <v>ZARD EXHAUST 2&gt;1 HEADERS KIT BMW R NINE-T &gt; M.Y. 2017 LIMITED EDITION ZBMW526SCR-LIM-17</v>
      </c>
      <c r="G1841" t="str">
        <f t="shared" si="535"/>
        <v/>
      </c>
      <c r="H1841" t="str">
        <f t="shared" si="547"/>
        <v/>
      </c>
      <c r="I1841" t="str">
        <f t="shared" si="548"/>
        <v/>
      </c>
      <c r="J1841" t="str">
        <f t="shared" si="549"/>
        <v/>
      </c>
      <c r="K1841" t="str">
        <f t="shared" si="550"/>
        <v/>
      </c>
      <c r="L1841" t="str">
        <f t="shared" si="536"/>
        <v>Option</v>
      </c>
      <c r="M1841" t="str">
        <f t="shared" si="537"/>
        <v>BLACK CERAMIC COATING</v>
      </c>
      <c r="R1841" t="str">
        <f t="shared" si="538"/>
        <v>ZBMW526SCR-LIM-17</v>
      </c>
      <c r="S1841">
        <f t="shared" si="539"/>
        <v>0</v>
      </c>
      <c r="U1841" t="str">
        <f t="shared" si="540"/>
        <v>continue</v>
      </c>
      <c r="V1841" t="str">
        <f t="shared" si="541"/>
        <v>manual</v>
      </c>
      <c r="W1841" s="5">
        <f t="shared" si="542"/>
        <v>879.17550000000017</v>
      </c>
      <c r="Y1841" t="b">
        <f t="shared" si="543"/>
        <v>1</v>
      </c>
      <c r="Z1841" t="b">
        <f t="shared" si="544"/>
        <v>0</v>
      </c>
      <c r="AB1841" t="str">
        <f t="shared" si="545"/>
        <v/>
      </c>
      <c r="AE1841" t="b">
        <v>0</v>
      </c>
    </row>
    <row r="1842" spans="1:31" x14ac:dyDescent="0.2">
      <c r="A1842" t="str">
        <f t="shared" si="532"/>
        <v>https://shop.officineitalianezard.it/en/zard-headers-kit-bmw-nine-t-1203/</v>
      </c>
      <c r="B1842" t="b">
        <f>COUNTIF($A$2:$A1842, A1842)&gt;1</f>
        <v>0</v>
      </c>
      <c r="C1842" t="b">
        <f t="shared" si="533"/>
        <v>0</v>
      </c>
      <c r="D1842">
        <f>VLOOKUP(A1842,variant_counts!A:B, 2, FALSE)</f>
        <v>2</v>
      </c>
      <c r="E1842" t="str">
        <f t="shared" si="546"/>
        <v>zard-exhaust-headers-kit-bmw-r-nine-t-my-2017-21-version-zbmw525scr-17</v>
      </c>
      <c r="F1842" t="str">
        <f t="shared" si="534"/>
        <v>ZARD EXHAUST HEADERS KIT BMW R NINE-T &gt; M.Y. 2017 2&gt;1 VERSION ZBMW525SCR-17</v>
      </c>
      <c r="G1842" t="str">
        <f t="shared" si="535"/>
        <v>&lt;p&gt;2&amp;gt;1 STEEL RACING HEADERS KIT&amp;nbsp;&lt;/p&gt;
&lt;p&gt;HEADERS KIT CAN BE FITTED WITH ORIGINAL SILENCERS&lt;/p&gt;
&lt;p&gt;ORIGINAL HEADERS KIT WEIGHT: KG 4.4&lt;/p&gt;
&lt;p&gt;ZARD STEEL HEADERS KIT WEIGHT: 3.8&lt;/p&gt;
&lt;p&gt;HARD INCREASE, COMPARED TO THE ORIGINAL EXHAUST SYSTEM, IN TERMS OF TORQUE AND POWER AT ANY RANGE.&lt;/p&gt;
&lt;p&gt;ASTONISHING SOUND.&lt;/p&gt;
&lt;p&gt;N.B.: PHOTOS ARE REFERRED TO&amp;nbsp;STEEL VERSION&lt;/p&gt;
&lt;p&gt;SOUND TEST:&amp;nbsp;&lt;a href="http://youtu.be/DJe9a-qfmqI"&gt;http://youtu.be/DJe9a-qfmqI&lt;/a&gt;&lt;/p&gt;
&lt;p&gt;&lt;a href="http://shop.officineitalianezard.it/it/products/index/scarico-bmw-nine-t-zard-7666-143/"&gt;DISCOVER THE ZARD ACCESSORIES FOR YOUR BMW NINE-T&lt;/a&gt;&lt;/p&gt;
&lt;p&gt;&amp;nbsp;&lt;/p&gt;</v>
      </c>
      <c r="H1842" t="str">
        <f t="shared" si="547"/>
        <v>ZARD</v>
      </c>
      <c r="I1842" t="str">
        <f t="shared" si="548"/>
        <v>Exhaust Pipe</v>
      </c>
      <c r="J1842" t="str">
        <f t="shared" si="549"/>
        <v>Test</v>
      </c>
      <c r="K1842" t="b">
        <f t="shared" si="550"/>
        <v>0</v>
      </c>
      <c r="L1842" t="str">
        <f t="shared" si="536"/>
        <v/>
      </c>
      <c r="M1842" t="str">
        <f t="shared" si="537"/>
        <v/>
      </c>
      <c r="R1842" t="str">
        <f t="shared" si="538"/>
        <v/>
      </c>
      <c r="S1842" t="str">
        <f t="shared" si="539"/>
        <v/>
      </c>
      <c r="U1842" t="str">
        <f t="shared" si="540"/>
        <v/>
      </c>
      <c r="V1842" t="str">
        <f t="shared" si="541"/>
        <v/>
      </c>
      <c r="W1842" s="5" t="str">
        <f t="shared" si="542"/>
        <v/>
      </c>
      <c r="Y1842" t="str">
        <f t="shared" si="543"/>
        <v/>
      </c>
      <c r="Z1842" t="str">
        <f t="shared" si="544"/>
        <v/>
      </c>
      <c r="AB1842" t="str">
        <f t="shared" si="545"/>
        <v>https://shop.officineitalianezard.it/contents/imgs/products/1_2394-kit%20collettori%20bmw%20r%20ninet%20zard.jpg</v>
      </c>
      <c r="AE1842" t="b">
        <v>0</v>
      </c>
    </row>
    <row r="1843" spans="1:31" x14ac:dyDescent="0.2">
      <c r="A1843" t="str">
        <f t="shared" si="532"/>
        <v>https://shop.officineitalianezard.it/en/zard-headers-kit-bmw-nine-t-1203/</v>
      </c>
      <c r="B1843" t="b">
        <f>COUNTIF($A$2:$A1843, A1843)&gt;1</f>
        <v>1</v>
      </c>
      <c r="C1843" t="b">
        <f t="shared" si="533"/>
        <v>1</v>
      </c>
      <c r="D1843">
        <f>VLOOKUP(A1843,variant_counts!A:B, 2, FALSE)</f>
        <v>2</v>
      </c>
      <c r="E1843" t="str">
        <f t="shared" si="546"/>
        <v>zard-exhaust-headers-kit-bmw-r-nine-t-my-2017-21-version-zbmw525scr-17</v>
      </c>
      <c r="F1843" t="str">
        <f t="shared" si="534"/>
        <v>ZARD EXHAUST HEADERS KIT BMW R NINE-T &gt; M.Y. 2017 2&gt;1 VERSION ZBMW525SCR-17</v>
      </c>
      <c r="G1843" t="str">
        <f t="shared" si="535"/>
        <v/>
      </c>
      <c r="H1843" t="str">
        <f t="shared" si="547"/>
        <v/>
      </c>
      <c r="I1843" t="str">
        <f t="shared" si="548"/>
        <v/>
      </c>
      <c r="J1843" t="str">
        <f t="shared" si="549"/>
        <v/>
      </c>
      <c r="K1843" t="str">
        <f t="shared" si="550"/>
        <v/>
      </c>
      <c r="L1843" t="str">
        <f t="shared" si="536"/>
        <v>Option</v>
      </c>
      <c r="M1843" t="str">
        <f t="shared" si="537"/>
        <v>FULL TITANIUM RACING</v>
      </c>
      <c r="R1843" t="str">
        <f t="shared" si="538"/>
        <v>ZBMW525SCR-17</v>
      </c>
      <c r="S1843">
        <f t="shared" si="539"/>
        <v>0</v>
      </c>
      <c r="U1843" t="str">
        <f t="shared" si="540"/>
        <v>continue</v>
      </c>
      <c r="V1843" t="str">
        <f t="shared" si="541"/>
        <v>manual</v>
      </c>
      <c r="W1843" s="5">
        <f t="shared" si="542"/>
        <v>727.68270000000007</v>
      </c>
      <c r="Y1843" t="b">
        <f t="shared" si="543"/>
        <v>1</v>
      </c>
      <c r="Z1843" t="b">
        <f t="shared" si="544"/>
        <v>0</v>
      </c>
      <c r="AB1843" t="str">
        <f t="shared" si="545"/>
        <v/>
      </c>
      <c r="AE1843" t="b">
        <v>0</v>
      </c>
    </row>
    <row r="1844" spans="1:31" x14ac:dyDescent="0.2">
      <c r="A1844" t="str">
        <f t="shared" si="532"/>
        <v>https://shop.officineitalianezard.it/en/zard-headers-kit-bmw-nine-t-1203/</v>
      </c>
      <c r="B1844" t="b">
        <f>COUNTIF($A$2:$A1844, A1844)&gt;1</f>
        <v>1</v>
      </c>
      <c r="C1844" t="b">
        <f t="shared" si="533"/>
        <v>1</v>
      </c>
      <c r="D1844">
        <f>VLOOKUP(A1844,variant_counts!A:B, 2, FALSE)</f>
        <v>2</v>
      </c>
      <c r="E1844" t="str">
        <f t="shared" si="546"/>
        <v>zard-exhaust-headers-kit-bmw-r-nine-t-my-2017-21-version-zbmw525scr-17</v>
      </c>
      <c r="F1844" t="str">
        <f t="shared" si="534"/>
        <v>ZARD EXHAUST HEADERS KIT BMW R NINE-T &gt; M.Y. 2017 2&gt;1 VERSION ZBMW525SCR-17</v>
      </c>
      <c r="G1844" t="str">
        <f t="shared" si="535"/>
        <v/>
      </c>
      <c r="H1844" t="str">
        <f t="shared" si="547"/>
        <v/>
      </c>
      <c r="I1844" t="str">
        <f t="shared" si="548"/>
        <v/>
      </c>
      <c r="J1844" t="str">
        <f t="shared" si="549"/>
        <v/>
      </c>
      <c r="K1844" t="str">
        <f t="shared" si="550"/>
        <v/>
      </c>
      <c r="L1844" t="str">
        <f t="shared" si="536"/>
        <v>Option</v>
      </c>
      <c r="M1844" t="str">
        <f t="shared" si="537"/>
        <v>BLACK CERAMIC COATING</v>
      </c>
      <c r="R1844" t="str">
        <f t="shared" si="538"/>
        <v>ZBMW525SCR-17</v>
      </c>
      <c r="S1844">
        <f t="shared" si="539"/>
        <v>0</v>
      </c>
      <c r="U1844" t="str">
        <f t="shared" si="540"/>
        <v>continue</v>
      </c>
      <c r="V1844" t="str">
        <f t="shared" si="541"/>
        <v>manual</v>
      </c>
      <c r="W1844" s="5">
        <f t="shared" si="542"/>
        <v>658.08570000000009</v>
      </c>
      <c r="Y1844" t="b">
        <f t="shared" si="543"/>
        <v>1</v>
      </c>
      <c r="Z1844" t="b">
        <f t="shared" si="544"/>
        <v>0</v>
      </c>
      <c r="AB1844" t="str">
        <f t="shared" si="545"/>
        <v/>
      </c>
      <c r="AE1844" t="b">
        <v>0</v>
      </c>
    </row>
    <row r="1845" spans="1:31" x14ac:dyDescent="0.2">
      <c r="A1845" t="str">
        <f t="shared" si="532"/>
        <v>https://shop.officineitalianezard.it/en/bmw-r-nine-t-scrambler-exhaust-zard/</v>
      </c>
      <c r="B1845" t="b">
        <f>COUNTIF($A$2:$A1845, A1845)&gt;1</f>
        <v>0</v>
      </c>
      <c r="C1845" t="b">
        <f t="shared" si="533"/>
        <v>0</v>
      </c>
      <c r="D1845">
        <f>VLOOKUP(A1845,variant_counts!A:B, 2, FALSE)</f>
        <v>2</v>
      </c>
      <c r="E1845" t="str">
        <f t="shared" si="546"/>
        <v>zard-exhaust-silencers-bmw-r-nine-t-my-2017-hardy-zbmw541ssr</v>
      </c>
      <c r="F1845" t="str">
        <f t="shared" si="534"/>
        <v>ZARD EXHAUST SILENCERS BMW R NINE-T &gt; M.Y. 2017 HARDY ZBMW541SSR</v>
      </c>
      <c r="G1845" t="str">
        <f t="shared" si="535"/>
        <v>&lt;p&gt;N. 2 SILENCERS WITH REMOVABLE DB KILLERS HARDY VERSION&lt;/p&gt;
&lt;p&gt;ORIGINAL SILENCER WEIGHT: 4,8 KG&lt;/p&gt;
&lt;p&gt;ZARD SILENCERS WEIGHT: 3,8 KG&lt;/p&gt;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
&lt;p&gt;&lt;strong&gt;COMPATIBILIY MODELS:&lt;/strong&gt; BMW R NINE-T SCRAMBLER&lt;/p&gt;</v>
      </c>
      <c r="H1845" t="str">
        <f t="shared" si="547"/>
        <v>ZARD</v>
      </c>
      <c r="I1845" t="str">
        <f t="shared" si="548"/>
        <v>Exhaust Pipe</v>
      </c>
      <c r="J1845" t="str">
        <f t="shared" si="549"/>
        <v>Test</v>
      </c>
      <c r="K1845" t="b">
        <f t="shared" si="550"/>
        <v>0</v>
      </c>
      <c r="L1845" t="str">
        <f t="shared" si="536"/>
        <v/>
      </c>
      <c r="M1845" t="str">
        <f t="shared" si="537"/>
        <v/>
      </c>
      <c r="R1845" t="str">
        <f t="shared" si="538"/>
        <v/>
      </c>
      <c r="S1845" t="str">
        <f t="shared" si="539"/>
        <v/>
      </c>
      <c r="U1845" t="str">
        <f t="shared" si="540"/>
        <v/>
      </c>
      <c r="V1845" t="str">
        <f t="shared" si="541"/>
        <v/>
      </c>
      <c r="W1845" s="5" t="str">
        <f t="shared" si="542"/>
        <v/>
      </c>
      <c r="Y1845" t="str">
        <f t="shared" si="543"/>
        <v/>
      </c>
      <c r="Z1845" t="str">
        <f t="shared" si="544"/>
        <v/>
      </c>
      <c r="AB1845" t="str">
        <f t="shared" si="545"/>
        <v>https://shop.officineitalianezard.it/contents/imgs/products/1_2674-bmw%20nine%20t%20zard%20exhaust.jpg</v>
      </c>
      <c r="AE1845" t="b">
        <v>0</v>
      </c>
    </row>
    <row r="1846" spans="1:31" x14ac:dyDescent="0.2">
      <c r="A1846" t="str">
        <f t="shared" si="532"/>
        <v>https://shop.officineitalianezard.it/en/bmw-r-nine-t-scrambler-exhaust-zard/</v>
      </c>
      <c r="B1846" t="b">
        <f>COUNTIF($A$2:$A1846, A1846)&gt;1</f>
        <v>1</v>
      </c>
      <c r="C1846" t="b">
        <f t="shared" si="533"/>
        <v>0</v>
      </c>
      <c r="D1846">
        <f>VLOOKUP(A1846,variant_counts!A:B, 2, FALSE)</f>
        <v>2</v>
      </c>
      <c r="E1846" t="str">
        <f t="shared" si="546"/>
        <v>zard-exhaust-silencers-bmw-r-nine-t-my-2017-hardy-zbmw541ssr</v>
      </c>
      <c r="F1846" t="str">
        <f t="shared" si="534"/>
        <v>ZARD EXHAUST SILENCERS BMW R NINE-T &gt; M.Y. 2017 HARDY ZBMW541SSR</v>
      </c>
      <c r="G1846" t="str">
        <f t="shared" si="535"/>
        <v/>
      </c>
      <c r="H1846" t="str">
        <f t="shared" si="547"/>
        <v/>
      </c>
      <c r="I1846" t="str">
        <f t="shared" si="548"/>
        <v/>
      </c>
      <c r="J1846" t="str">
        <f t="shared" si="549"/>
        <v/>
      </c>
      <c r="K1846" t="str">
        <f t="shared" si="550"/>
        <v/>
      </c>
      <c r="L1846" t="str">
        <f t="shared" si="536"/>
        <v/>
      </c>
      <c r="M1846" t="str">
        <f t="shared" si="537"/>
        <v/>
      </c>
      <c r="R1846" t="str">
        <f t="shared" si="538"/>
        <v/>
      </c>
      <c r="S1846" t="str">
        <f t="shared" si="539"/>
        <v/>
      </c>
      <c r="U1846" t="str">
        <f t="shared" si="540"/>
        <v/>
      </c>
      <c r="V1846" t="str">
        <f t="shared" si="541"/>
        <v/>
      </c>
      <c r="W1846" s="5" t="str">
        <f t="shared" si="542"/>
        <v/>
      </c>
      <c r="Y1846" t="str">
        <f t="shared" si="543"/>
        <v/>
      </c>
      <c r="Z1846" t="str">
        <f t="shared" si="544"/>
        <v/>
      </c>
      <c r="AB1846" t="str">
        <f t="shared" si="545"/>
        <v>https://shop.officineitalianezard.it/contents/imgs/products/1_2209-scarico%20bmw%20r%20nine%20t%20scrambler%20-%20zard%201.jpg</v>
      </c>
      <c r="AE1846" t="b">
        <v>0</v>
      </c>
    </row>
    <row r="1847" spans="1:31" x14ac:dyDescent="0.2">
      <c r="A1847" t="str">
        <f t="shared" si="532"/>
        <v>https://shop.officineitalianezard.it/en/bmw-r-nine-t-scrambler-exhaust-zard/</v>
      </c>
      <c r="B1847" t="b">
        <f>COUNTIF($A$2:$A1847, A1847)&gt;1</f>
        <v>1</v>
      </c>
      <c r="C1847" t="b">
        <f t="shared" si="533"/>
        <v>0</v>
      </c>
      <c r="D1847">
        <f>VLOOKUP(A1847,variant_counts!A:B, 2, FALSE)</f>
        <v>2</v>
      </c>
      <c r="E1847" t="str">
        <f t="shared" si="546"/>
        <v>zard-exhaust-silencers-bmw-r-nine-t-my-2017-hardy-zbmw541ssr</v>
      </c>
      <c r="F1847" t="str">
        <f t="shared" si="534"/>
        <v>ZARD EXHAUST SILENCERS BMW R NINE-T &gt; M.Y. 2017 HARDY ZBMW541SSR</v>
      </c>
      <c r="G1847" t="str">
        <f t="shared" si="535"/>
        <v/>
      </c>
      <c r="H1847" t="str">
        <f t="shared" si="547"/>
        <v/>
      </c>
      <c r="I1847" t="str">
        <f t="shared" si="548"/>
        <v/>
      </c>
      <c r="J1847" t="str">
        <f t="shared" si="549"/>
        <v/>
      </c>
      <c r="K1847" t="str">
        <f t="shared" si="550"/>
        <v/>
      </c>
      <c r="L1847" t="str">
        <f t="shared" si="536"/>
        <v/>
      </c>
      <c r="M1847" t="str">
        <f t="shared" si="537"/>
        <v/>
      </c>
      <c r="R1847" t="str">
        <f t="shared" si="538"/>
        <v/>
      </c>
      <c r="S1847" t="str">
        <f t="shared" si="539"/>
        <v/>
      </c>
      <c r="U1847" t="str">
        <f t="shared" si="540"/>
        <v/>
      </c>
      <c r="V1847" t="str">
        <f t="shared" si="541"/>
        <v/>
      </c>
      <c r="W1847" s="5" t="str">
        <f t="shared" si="542"/>
        <v/>
      </c>
      <c r="Y1847" t="str">
        <f t="shared" si="543"/>
        <v/>
      </c>
      <c r="Z1847" t="str">
        <f t="shared" si="544"/>
        <v/>
      </c>
      <c r="AB1847" t="str">
        <f t="shared" si="545"/>
        <v>https://shop.officineitalianezard.it/contents/imgs/products/1_2208-scarico%20bmw%20r%20nine%20t%20scrambler%20-%20zard%202.jpg</v>
      </c>
      <c r="AE1847" t="b">
        <v>0</v>
      </c>
    </row>
    <row r="1848" spans="1:31" x14ac:dyDescent="0.2">
      <c r="A1848" t="str">
        <f t="shared" si="532"/>
        <v>https://shop.officineitalianezard.it/en/bmw-r-nine-t-scrambler-exhaust-zard/</v>
      </c>
      <c r="B1848" t="b">
        <f>COUNTIF($A$2:$A1848, A1848)&gt;1</f>
        <v>1</v>
      </c>
      <c r="C1848" t="b">
        <f t="shared" si="533"/>
        <v>0</v>
      </c>
      <c r="D1848">
        <f>VLOOKUP(A1848,variant_counts!A:B, 2, FALSE)</f>
        <v>2</v>
      </c>
      <c r="E1848" t="str">
        <f t="shared" si="546"/>
        <v>zard-exhaust-silencers-bmw-r-nine-t-my-2017-hardy-zbmw541ssr</v>
      </c>
      <c r="F1848" t="str">
        <f t="shared" si="534"/>
        <v>ZARD EXHAUST SILENCERS BMW R NINE-T &gt; M.Y. 2017 HARDY ZBMW541SSR</v>
      </c>
      <c r="G1848" t="str">
        <f t="shared" si="535"/>
        <v/>
      </c>
      <c r="H1848" t="str">
        <f t="shared" si="547"/>
        <v/>
      </c>
      <c r="I1848" t="str">
        <f t="shared" si="548"/>
        <v/>
      </c>
      <c r="J1848" t="str">
        <f t="shared" si="549"/>
        <v/>
      </c>
      <c r="K1848" t="str">
        <f t="shared" si="550"/>
        <v/>
      </c>
      <c r="L1848" t="str">
        <f t="shared" si="536"/>
        <v/>
      </c>
      <c r="M1848" t="str">
        <f t="shared" si="537"/>
        <v/>
      </c>
      <c r="R1848" t="str">
        <f t="shared" si="538"/>
        <v/>
      </c>
      <c r="S1848" t="str">
        <f t="shared" si="539"/>
        <v/>
      </c>
      <c r="U1848" t="str">
        <f t="shared" si="540"/>
        <v/>
      </c>
      <c r="V1848" t="str">
        <f t="shared" si="541"/>
        <v/>
      </c>
      <c r="W1848" s="5" t="str">
        <f t="shared" si="542"/>
        <v/>
      </c>
      <c r="Y1848" t="str">
        <f t="shared" si="543"/>
        <v/>
      </c>
      <c r="Z1848" t="str">
        <f t="shared" si="544"/>
        <v/>
      </c>
      <c r="AB1848" t="str">
        <f t="shared" si="545"/>
        <v>https://shop.officineitalianezard.it/contents/imgs/products/1_2210-scarico%20bmw%20r%20nine%20t%20scrambler%20-%20zard%203.jpg</v>
      </c>
      <c r="AE1848" t="b">
        <v>0</v>
      </c>
    </row>
    <row r="1849" spans="1:31" x14ac:dyDescent="0.2">
      <c r="A1849" t="str">
        <f t="shared" si="532"/>
        <v>https://shop.officineitalianezard.it/en/bmw-r-nine-t-scrambler-exhaust-zard/</v>
      </c>
      <c r="B1849" t="b">
        <f>COUNTIF($A$2:$A1849, A1849)&gt;1</f>
        <v>1</v>
      </c>
      <c r="C1849" t="b">
        <f t="shared" si="533"/>
        <v>1</v>
      </c>
      <c r="D1849">
        <f>VLOOKUP(A1849,variant_counts!A:B, 2, FALSE)</f>
        <v>2</v>
      </c>
      <c r="E1849" t="str">
        <f t="shared" si="546"/>
        <v>zard-exhaust-silencers-bmw-r-nine-t-my-2017-hardy-zbmw541ssr</v>
      </c>
      <c r="F1849" t="str">
        <f t="shared" si="534"/>
        <v>ZARD EXHAUST SILENCERS BMW R NINE-T &gt; M.Y. 2017 HARDY ZBMW541SSR</v>
      </c>
      <c r="G1849" t="str">
        <f t="shared" si="535"/>
        <v/>
      </c>
      <c r="H1849" t="str">
        <f t="shared" si="547"/>
        <v/>
      </c>
      <c r="I1849" t="str">
        <f t="shared" si="548"/>
        <v/>
      </c>
      <c r="J1849" t="str">
        <f t="shared" si="549"/>
        <v/>
      </c>
      <c r="K1849" t="str">
        <f t="shared" si="550"/>
        <v/>
      </c>
      <c r="L1849" t="str">
        <f t="shared" si="536"/>
        <v>Option</v>
      </c>
      <c r="M1849" t="str">
        <f t="shared" si="537"/>
        <v>BLACK CERAMIC COATING</v>
      </c>
      <c r="R1849" t="str">
        <f t="shared" si="538"/>
        <v>ZBMW541SSR</v>
      </c>
      <c r="S1849">
        <f t="shared" si="539"/>
        <v>0</v>
      </c>
      <c r="U1849" t="str">
        <f t="shared" si="540"/>
        <v>continue</v>
      </c>
      <c r="V1849" t="str">
        <f t="shared" si="541"/>
        <v>manual</v>
      </c>
      <c r="W1849" s="5">
        <f t="shared" si="542"/>
        <v>1130.8347000000001</v>
      </c>
      <c r="Y1849" t="b">
        <f t="shared" si="543"/>
        <v>1</v>
      </c>
      <c r="Z1849" t="b">
        <f t="shared" si="544"/>
        <v>0</v>
      </c>
      <c r="AB1849" t="str">
        <f t="shared" si="545"/>
        <v/>
      </c>
      <c r="AE1849" t="b">
        <v>0</v>
      </c>
    </row>
    <row r="1850" spans="1:31" x14ac:dyDescent="0.2">
      <c r="A1850" t="str">
        <f t="shared" si="532"/>
        <v>https://shop.officineitalianezard.it/en/bmw-r-nine-t-scrambler-exhaust-zard/</v>
      </c>
      <c r="B1850" t="b">
        <f>COUNTIF($A$2:$A1850, A1850)&gt;1</f>
        <v>1</v>
      </c>
      <c r="C1850" t="b">
        <f t="shared" si="533"/>
        <v>1</v>
      </c>
      <c r="D1850">
        <f>VLOOKUP(A1850,variant_counts!A:B, 2, FALSE)</f>
        <v>2</v>
      </c>
      <c r="E1850" t="str">
        <f t="shared" si="546"/>
        <v>zard-exhaust-silencers-bmw-r-nine-t-my-2017-hardy-zbmw541ssr</v>
      </c>
      <c r="F1850" t="str">
        <f t="shared" si="534"/>
        <v>ZARD EXHAUST SILENCERS BMW R NINE-T &gt; M.Y. 2017 HARDY ZBMW541SSR</v>
      </c>
      <c r="G1850" t="str">
        <f t="shared" si="535"/>
        <v/>
      </c>
      <c r="H1850" t="str">
        <f t="shared" si="547"/>
        <v/>
      </c>
      <c r="I1850" t="str">
        <f t="shared" si="548"/>
        <v/>
      </c>
      <c r="J1850" t="str">
        <f t="shared" si="549"/>
        <v/>
      </c>
      <c r="K1850" t="str">
        <f t="shared" si="550"/>
        <v/>
      </c>
      <c r="L1850" t="str">
        <f t="shared" si="536"/>
        <v>Option</v>
      </c>
      <c r="M1850" t="str">
        <f t="shared" si="537"/>
        <v>EURO 4 HOMOLOGATED</v>
      </c>
      <c r="R1850" t="str">
        <f t="shared" si="538"/>
        <v>ZBMW541SSR</v>
      </c>
      <c r="S1850">
        <f t="shared" si="539"/>
        <v>0</v>
      </c>
      <c r="U1850" t="str">
        <f t="shared" si="540"/>
        <v>continue</v>
      </c>
      <c r="V1850" t="str">
        <f t="shared" si="541"/>
        <v>manual</v>
      </c>
      <c r="W1850" s="5">
        <f t="shared" si="542"/>
        <v>1026.0174000000002</v>
      </c>
      <c r="Y1850" t="b">
        <f t="shared" si="543"/>
        <v>1</v>
      </c>
      <c r="Z1850" t="b">
        <f t="shared" si="544"/>
        <v>0</v>
      </c>
      <c r="AB1850" t="str">
        <f t="shared" si="545"/>
        <v/>
      </c>
      <c r="AE1850" t="b">
        <v>0</v>
      </c>
    </row>
    <row r="1851" spans="1:31" x14ac:dyDescent="0.2">
      <c r="A1851" t="str">
        <f t="shared" si="532"/>
        <v>https://shop.officineitalianezard.it/en/products/index/bmw-r-nine-t-scrambler-exhaust-zard-7865-228/</v>
      </c>
      <c r="B1851" t="b">
        <f>COUNTIF($A$2:$A1851, A1851)&gt;1</f>
        <v>0</v>
      </c>
      <c r="C1851" t="b">
        <f t="shared" si="533"/>
        <v>0</v>
      </c>
      <c r="D1851">
        <f>VLOOKUP(A1851,variant_counts!A:B, 2, FALSE)</f>
        <v>3</v>
      </c>
      <c r="E1851" t="str">
        <f t="shared" si="546"/>
        <v>zard-exhaust-high-silencer-bmw-r-nine-t-my-2017-limited-edition-zbmw543ssr</v>
      </c>
      <c r="F1851" t="str">
        <f t="shared" si="534"/>
        <v>ZARD EXHAUST HIGH SILENCER BMW R NINE-T &gt; M.Y. 2017 LIMITED EDITION ZBMW543SSR</v>
      </c>
      <c r="G1851" t="str">
        <f t="shared" si="535"/>
        <v>&lt;p&gt;STEEL RACING SILENCER WITH REMOVABLE DB KILLERS&lt;/p&gt;
&lt;p&gt;ORIGINAL SILENCER WEIGHT: 4,8 KG&lt;/p&gt;
&lt;p&gt;ZARD SILENCER WEIGHT: 2,6 KG&lt;/p&gt;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
&lt;p&gt;&lt;strong&gt;COMPATIBILITY MODELS&lt;/strong&gt;:&amp;nbsp;&lt;span&gt;BMW R NINE-T SCRAMBLER&lt;/span&gt;&lt;/p&gt;</v>
      </c>
      <c r="H1851" t="str">
        <f t="shared" si="547"/>
        <v>ZARD</v>
      </c>
      <c r="I1851" t="str">
        <f t="shared" si="548"/>
        <v>Exhaust Pipe</v>
      </c>
      <c r="J1851" t="str">
        <f t="shared" si="549"/>
        <v>Test</v>
      </c>
      <c r="K1851" t="b">
        <f t="shared" si="550"/>
        <v>0</v>
      </c>
      <c r="L1851" t="str">
        <f t="shared" si="536"/>
        <v/>
      </c>
      <c r="M1851" t="str">
        <f t="shared" si="537"/>
        <v/>
      </c>
      <c r="R1851" t="str">
        <f t="shared" si="538"/>
        <v/>
      </c>
      <c r="S1851" t="str">
        <f t="shared" si="539"/>
        <v/>
      </c>
      <c r="U1851" t="str">
        <f t="shared" si="540"/>
        <v/>
      </c>
      <c r="V1851" t="str">
        <f t="shared" si="541"/>
        <v/>
      </c>
      <c r="W1851" s="5" t="str">
        <f t="shared" si="542"/>
        <v/>
      </c>
      <c r="Y1851" t="str">
        <f t="shared" si="543"/>
        <v/>
      </c>
      <c r="Z1851" t="str">
        <f t="shared" si="544"/>
        <v/>
      </c>
      <c r="AB1851" t="str">
        <f t="shared" si="545"/>
        <v>https://shop.officineitalianezard.it/contents/imgs/products/1_2214-1.jpg</v>
      </c>
      <c r="AE1851" t="b">
        <v>0</v>
      </c>
    </row>
    <row r="1852" spans="1:31" x14ac:dyDescent="0.2">
      <c r="A1852" t="str">
        <f t="shared" si="532"/>
        <v>https://shop.officineitalianezard.it/en/products/index/bmw-r-nine-t-scrambler-exhaust-zard-7865-228/</v>
      </c>
      <c r="B1852" t="b">
        <f>COUNTIF($A$2:$A1852, A1852)&gt;1</f>
        <v>1</v>
      </c>
      <c r="C1852" t="b">
        <f t="shared" si="533"/>
        <v>0</v>
      </c>
      <c r="D1852">
        <f>VLOOKUP(A1852,variant_counts!A:B, 2, FALSE)</f>
        <v>3</v>
      </c>
      <c r="E1852" t="str">
        <f t="shared" si="546"/>
        <v>zard-exhaust-high-silencer-bmw-r-nine-t-my-2017-limited-edition-zbmw543ssr</v>
      </c>
      <c r="F1852" t="str">
        <f t="shared" si="534"/>
        <v>ZARD EXHAUST HIGH SILENCER BMW R NINE-T &gt; M.Y. 2017 LIMITED EDITION ZBMW543SSR</v>
      </c>
      <c r="G1852" t="str">
        <f t="shared" si="535"/>
        <v/>
      </c>
      <c r="H1852" t="str">
        <f t="shared" si="547"/>
        <v/>
      </c>
      <c r="I1852" t="str">
        <f t="shared" si="548"/>
        <v/>
      </c>
      <c r="J1852" t="str">
        <f t="shared" si="549"/>
        <v/>
      </c>
      <c r="K1852" t="str">
        <f t="shared" si="550"/>
        <v/>
      </c>
      <c r="L1852" t="str">
        <f t="shared" si="536"/>
        <v/>
      </c>
      <c r="M1852" t="str">
        <f t="shared" si="537"/>
        <v/>
      </c>
      <c r="R1852" t="str">
        <f t="shared" si="538"/>
        <v/>
      </c>
      <c r="S1852" t="str">
        <f t="shared" si="539"/>
        <v/>
      </c>
      <c r="U1852" t="str">
        <f t="shared" si="540"/>
        <v/>
      </c>
      <c r="V1852" t="str">
        <f t="shared" si="541"/>
        <v/>
      </c>
      <c r="W1852" s="5" t="str">
        <f t="shared" si="542"/>
        <v/>
      </c>
      <c r="Y1852" t="str">
        <f t="shared" si="543"/>
        <v/>
      </c>
      <c r="Z1852" t="str">
        <f t="shared" si="544"/>
        <v/>
      </c>
      <c r="AB1852" t="str">
        <f t="shared" si="545"/>
        <v>https://shop.officineitalianezard.it/contents/imgs/products/1_2215-5.jpg</v>
      </c>
      <c r="AE1852" t="b">
        <v>0</v>
      </c>
    </row>
    <row r="1853" spans="1:31" x14ac:dyDescent="0.2">
      <c r="A1853" t="str">
        <f t="shared" si="532"/>
        <v>https://shop.officineitalianezard.it/en/products/index/bmw-r-nine-t-scrambler-exhaust-zard-7865-228/</v>
      </c>
      <c r="B1853" t="b">
        <f>COUNTIF($A$2:$A1853, A1853)&gt;1</f>
        <v>1</v>
      </c>
      <c r="C1853" t="b">
        <f t="shared" si="533"/>
        <v>0</v>
      </c>
      <c r="D1853">
        <f>VLOOKUP(A1853,variant_counts!A:B, 2, FALSE)</f>
        <v>3</v>
      </c>
      <c r="E1853" t="str">
        <f t="shared" si="546"/>
        <v>zard-exhaust-high-silencer-bmw-r-nine-t-my-2017-limited-edition-zbmw543ssr</v>
      </c>
      <c r="F1853" t="str">
        <f t="shared" si="534"/>
        <v>ZARD EXHAUST HIGH SILENCER BMW R NINE-T &gt; M.Y. 2017 LIMITED EDITION ZBMW543SSR</v>
      </c>
      <c r="G1853" t="str">
        <f t="shared" si="535"/>
        <v/>
      </c>
      <c r="H1853" t="str">
        <f t="shared" si="547"/>
        <v/>
      </c>
      <c r="I1853" t="str">
        <f t="shared" si="548"/>
        <v/>
      </c>
      <c r="J1853" t="str">
        <f t="shared" si="549"/>
        <v/>
      </c>
      <c r="K1853" t="str">
        <f t="shared" si="550"/>
        <v/>
      </c>
      <c r="L1853" t="str">
        <f t="shared" si="536"/>
        <v/>
      </c>
      <c r="M1853" t="str">
        <f t="shared" si="537"/>
        <v/>
      </c>
      <c r="R1853" t="str">
        <f t="shared" si="538"/>
        <v/>
      </c>
      <c r="S1853" t="str">
        <f t="shared" si="539"/>
        <v/>
      </c>
      <c r="U1853" t="str">
        <f t="shared" si="540"/>
        <v/>
      </c>
      <c r="V1853" t="str">
        <f t="shared" si="541"/>
        <v/>
      </c>
      <c r="W1853" s="5" t="str">
        <f t="shared" si="542"/>
        <v/>
      </c>
      <c r="Y1853" t="str">
        <f t="shared" si="543"/>
        <v/>
      </c>
      <c r="Z1853" t="str">
        <f t="shared" si="544"/>
        <v/>
      </c>
      <c r="AB1853" t="str">
        <f t="shared" si="545"/>
        <v>https://shop.officineitalianezard.it/contents/imgs/products/1_2217-3.jpg</v>
      </c>
      <c r="AE1853" t="b">
        <v>0</v>
      </c>
    </row>
    <row r="1854" spans="1:31" x14ac:dyDescent="0.2">
      <c r="A1854" t="str">
        <f t="shared" si="532"/>
        <v>https://shop.officineitalianezard.it/en/products/index/bmw-r-nine-t-scrambler-exhaust-zard-7865-228/</v>
      </c>
      <c r="B1854" t="b">
        <f>COUNTIF($A$2:$A1854, A1854)&gt;1</f>
        <v>1</v>
      </c>
      <c r="C1854" t="b">
        <f t="shared" si="533"/>
        <v>0</v>
      </c>
      <c r="D1854">
        <f>VLOOKUP(A1854,variant_counts!A:B, 2, FALSE)</f>
        <v>3</v>
      </c>
      <c r="E1854" t="str">
        <f t="shared" si="546"/>
        <v>zard-exhaust-high-silencer-bmw-r-nine-t-my-2017-limited-edition-zbmw543ssr</v>
      </c>
      <c r="F1854" t="str">
        <f t="shared" si="534"/>
        <v>ZARD EXHAUST HIGH SILENCER BMW R NINE-T &gt; M.Y. 2017 LIMITED EDITION ZBMW543SSR</v>
      </c>
      <c r="G1854" t="str">
        <f t="shared" si="535"/>
        <v/>
      </c>
      <c r="H1854" t="str">
        <f t="shared" si="547"/>
        <v/>
      </c>
      <c r="I1854" t="str">
        <f t="shared" si="548"/>
        <v/>
      </c>
      <c r="J1854" t="str">
        <f t="shared" si="549"/>
        <v/>
      </c>
      <c r="K1854" t="str">
        <f t="shared" si="550"/>
        <v/>
      </c>
      <c r="L1854" t="str">
        <f t="shared" si="536"/>
        <v/>
      </c>
      <c r="M1854" t="str">
        <f t="shared" si="537"/>
        <v/>
      </c>
      <c r="R1854" t="str">
        <f t="shared" si="538"/>
        <v/>
      </c>
      <c r="S1854" t="str">
        <f t="shared" si="539"/>
        <v/>
      </c>
      <c r="U1854" t="str">
        <f t="shared" si="540"/>
        <v/>
      </c>
      <c r="V1854" t="str">
        <f t="shared" si="541"/>
        <v/>
      </c>
      <c r="W1854" s="5" t="str">
        <f t="shared" si="542"/>
        <v/>
      </c>
      <c r="Y1854" t="str">
        <f t="shared" si="543"/>
        <v/>
      </c>
      <c r="Z1854" t="str">
        <f t="shared" si="544"/>
        <v/>
      </c>
      <c r="AB1854" t="str">
        <f t="shared" si="545"/>
        <v>https://shop.officineitalianezard.it/contents/imgs/products/1_2218-2.jpg</v>
      </c>
      <c r="AE1854" t="b">
        <v>0</v>
      </c>
    </row>
    <row r="1855" spans="1:31" x14ac:dyDescent="0.2">
      <c r="A1855" t="str">
        <f t="shared" si="532"/>
        <v>https://shop.officineitalianezard.it/en/products/index/bmw-r-nine-t-scrambler-exhaust-zard-7865-228/</v>
      </c>
      <c r="B1855" t="b">
        <f>COUNTIF($A$2:$A1855, A1855)&gt;1</f>
        <v>1</v>
      </c>
      <c r="C1855" t="b">
        <f t="shared" si="533"/>
        <v>0</v>
      </c>
      <c r="D1855">
        <f>VLOOKUP(A1855,variant_counts!A:B, 2, FALSE)</f>
        <v>3</v>
      </c>
      <c r="E1855" t="str">
        <f t="shared" si="546"/>
        <v>zard-exhaust-high-silencer-bmw-r-nine-t-my-2017-limited-edition-zbmw543ssr</v>
      </c>
      <c r="F1855" t="str">
        <f t="shared" si="534"/>
        <v>ZARD EXHAUST HIGH SILENCER BMW R NINE-T &gt; M.Y. 2017 LIMITED EDITION ZBMW543SSR</v>
      </c>
      <c r="G1855" t="str">
        <f t="shared" si="535"/>
        <v/>
      </c>
      <c r="H1855" t="str">
        <f t="shared" si="547"/>
        <v/>
      </c>
      <c r="I1855" t="str">
        <f t="shared" si="548"/>
        <v/>
      </c>
      <c r="J1855" t="str">
        <f t="shared" si="549"/>
        <v/>
      </c>
      <c r="K1855" t="str">
        <f t="shared" si="550"/>
        <v/>
      </c>
      <c r="L1855" t="str">
        <f t="shared" si="536"/>
        <v/>
      </c>
      <c r="M1855" t="str">
        <f t="shared" si="537"/>
        <v/>
      </c>
      <c r="R1855" t="str">
        <f t="shared" si="538"/>
        <v/>
      </c>
      <c r="S1855" t="str">
        <f t="shared" si="539"/>
        <v/>
      </c>
      <c r="U1855" t="str">
        <f t="shared" si="540"/>
        <v/>
      </c>
      <c r="V1855" t="str">
        <f t="shared" si="541"/>
        <v/>
      </c>
      <c r="W1855" s="5" t="str">
        <f t="shared" si="542"/>
        <v/>
      </c>
      <c r="Y1855" t="str">
        <f t="shared" si="543"/>
        <v/>
      </c>
      <c r="Z1855" t="str">
        <f t="shared" si="544"/>
        <v/>
      </c>
      <c r="AB1855" t="str">
        <f t="shared" si="545"/>
        <v>https://shop.officineitalianezard.it/contents/imgs/products/1_2216-4.jpg</v>
      </c>
      <c r="AE1855" t="b">
        <v>0</v>
      </c>
    </row>
    <row r="1856" spans="1:31" x14ac:dyDescent="0.2">
      <c r="A1856" t="str">
        <f t="shared" si="532"/>
        <v>https://shop.officineitalianezard.it/en/products/index/bmw-r-nine-t-scrambler-exhaust-zard-7865-228/</v>
      </c>
      <c r="B1856" t="b">
        <f>COUNTIF($A$2:$A1856, A1856)&gt;1</f>
        <v>1</v>
      </c>
      <c r="C1856" t="b">
        <f t="shared" si="533"/>
        <v>0</v>
      </c>
      <c r="D1856">
        <f>VLOOKUP(A1856,variant_counts!A:B, 2, FALSE)</f>
        <v>3</v>
      </c>
      <c r="E1856" t="str">
        <f t="shared" si="546"/>
        <v>zard-exhaust-high-silencer-bmw-r-nine-t-my-2017-limited-edition-zbmw543ssr</v>
      </c>
      <c r="F1856" t="str">
        <f t="shared" si="534"/>
        <v>ZARD EXHAUST HIGH SILENCER BMW R NINE-T &gt; M.Y. 2017 LIMITED EDITION ZBMW543SSR</v>
      </c>
      <c r="G1856" t="str">
        <f t="shared" si="535"/>
        <v/>
      </c>
      <c r="H1856" t="str">
        <f t="shared" si="547"/>
        <v/>
      </c>
      <c r="I1856" t="str">
        <f t="shared" si="548"/>
        <v/>
      </c>
      <c r="J1856" t="str">
        <f t="shared" si="549"/>
        <v/>
      </c>
      <c r="K1856" t="str">
        <f t="shared" si="550"/>
        <v/>
      </c>
      <c r="L1856" t="str">
        <f t="shared" si="536"/>
        <v/>
      </c>
      <c r="M1856" t="str">
        <f t="shared" si="537"/>
        <v/>
      </c>
      <c r="R1856" t="str">
        <f t="shared" si="538"/>
        <v/>
      </c>
      <c r="S1856" t="str">
        <f t="shared" si="539"/>
        <v/>
      </c>
      <c r="U1856" t="str">
        <f t="shared" si="540"/>
        <v/>
      </c>
      <c r="V1856" t="str">
        <f t="shared" si="541"/>
        <v/>
      </c>
      <c r="W1856" s="5" t="str">
        <f t="shared" si="542"/>
        <v/>
      </c>
      <c r="Y1856" t="str">
        <f t="shared" si="543"/>
        <v/>
      </c>
      <c r="Z1856" t="str">
        <f t="shared" si="544"/>
        <v/>
      </c>
      <c r="AB1856" t="str">
        <f t="shared" si="545"/>
        <v>https://shop.officineitalianezard.it/contents/imgs/products/1_2377-scarico%20bmw%20nine%20t%20scrambler%20zard%20nero.jpg</v>
      </c>
      <c r="AE1856" t="b">
        <v>0</v>
      </c>
    </row>
    <row r="1857" spans="1:31" x14ac:dyDescent="0.2">
      <c r="A1857" t="str">
        <f t="shared" si="532"/>
        <v>https://shop.officineitalianezard.it/en/products/index/bmw-r-nine-t-scrambler-exhaust-zard-7865-228/</v>
      </c>
      <c r="B1857" t="b">
        <f>COUNTIF($A$2:$A1857, A1857)&gt;1</f>
        <v>1</v>
      </c>
      <c r="C1857" t="b">
        <f t="shared" si="533"/>
        <v>1</v>
      </c>
      <c r="D1857">
        <f>VLOOKUP(A1857,variant_counts!A:B, 2, FALSE)</f>
        <v>3</v>
      </c>
      <c r="E1857" t="str">
        <f t="shared" si="546"/>
        <v>zard-exhaust-high-silencer-bmw-r-nine-t-my-2017-limited-edition-zbmw543ssr</v>
      </c>
      <c r="F1857" t="str">
        <f t="shared" si="534"/>
        <v>ZARD EXHAUST HIGH SILENCER BMW R NINE-T &gt; M.Y. 2017 LIMITED EDITION ZBMW543SSR</v>
      </c>
      <c r="G1857" t="str">
        <f t="shared" si="535"/>
        <v/>
      </c>
      <c r="H1857" t="str">
        <f t="shared" si="547"/>
        <v/>
      </c>
      <c r="I1857" t="str">
        <f t="shared" si="548"/>
        <v/>
      </c>
      <c r="J1857" t="str">
        <f t="shared" si="549"/>
        <v/>
      </c>
      <c r="K1857" t="str">
        <f t="shared" si="550"/>
        <v/>
      </c>
      <c r="L1857" t="str">
        <f t="shared" si="536"/>
        <v>Option</v>
      </c>
      <c r="M1857" t="str">
        <f t="shared" si="537"/>
        <v>BLACK CERAMIC COATING</v>
      </c>
      <c r="R1857" t="str">
        <f t="shared" si="538"/>
        <v>ZBMW543SSR</v>
      </c>
      <c r="S1857">
        <f t="shared" si="539"/>
        <v>0</v>
      </c>
      <c r="U1857" t="str">
        <f t="shared" si="540"/>
        <v>continue</v>
      </c>
      <c r="V1857" t="str">
        <f t="shared" si="541"/>
        <v>manual</v>
      </c>
      <c r="W1857" s="5">
        <f t="shared" si="542"/>
        <v>947.2296</v>
      </c>
      <c r="Y1857" t="b">
        <f t="shared" si="543"/>
        <v>1</v>
      </c>
      <c r="Z1857" t="b">
        <f t="shared" si="544"/>
        <v>0</v>
      </c>
      <c r="AB1857" t="str">
        <f t="shared" si="545"/>
        <v/>
      </c>
      <c r="AE1857" t="b">
        <v>0</v>
      </c>
    </row>
    <row r="1858" spans="1:31" x14ac:dyDescent="0.2">
      <c r="A1858" t="str">
        <f t="shared" ref="A1858:A1921" si="551">source_product_link_href</f>
        <v>https://shop.officineitalianezard.it/en/products/index/bmw-r-nine-t-scrambler-exhaust-zard-7865-228/</v>
      </c>
      <c r="B1858" t="b">
        <f>COUNTIF($A$2:$A1858, A1858)&gt;1</f>
        <v>1</v>
      </c>
      <c r="C1858" t="b">
        <f t="shared" ref="C1858:C1921" si="552">NOT(ISBLANK(source_option_name))</f>
        <v>1</v>
      </c>
      <c r="D1858">
        <f>VLOOKUP(A1858,variant_counts!A:B, 2, FALSE)</f>
        <v>3</v>
      </c>
      <c r="E1858" t="str">
        <f t="shared" si="546"/>
        <v>zard-exhaust-high-silencer-bmw-r-nine-t-my-2017-limited-edition-zbmw543ssr</v>
      </c>
      <c r="F1858" t="str">
        <f t="shared" ref="F1858:F1921" si="553">UPPER("ZARD EXHAUST " &amp; source_title &amp; " " &amp; source_brand &amp; " " &amp; source_bike &amp; " " &amp; source_product_link &amp; " " &amp; source_sku)</f>
        <v>ZARD EXHAUST HIGH SILENCER BMW R NINE-T &gt; M.Y. 2017 LIMITED EDITION ZBMW543SSR</v>
      </c>
      <c r="G1858" t="str">
        <f t="shared" ref="G1858:G1921" si="554">IF($B1858=FALSE, source_description, "")</f>
        <v/>
      </c>
      <c r="H1858" t="str">
        <f t="shared" si="547"/>
        <v/>
      </c>
      <c r="I1858" t="str">
        <f t="shared" si="548"/>
        <v/>
      </c>
      <c r="J1858" t="str">
        <f t="shared" si="549"/>
        <v/>
      </c>
      <c r="K1858" t="str">
        <f t="shared" si="550"/>
        <v/>
      </c>
      <c r="L1858" t="str">
        <f t="shared" ref="L1858:L1921" si="555">IF(AND(variant_count=0,duplicated=FALSE),"Title",IF(OR(AND(variant_count=1,duplicated=FALSE), source_option_name&lt;&gt;""), "Option", ""))</f>
        <v>Option</v>
      </c>
      <c r="M1858" t="str">
        <f t="shared" ref="M1858:M1921" si="556">IF(option1_name="Title", "Default Title", IF(AND(option1_name="Option",ISBLANK(source_option_name)),"DEFAULT",IF(ISBLANK(source_option_name), "", source_option_name)))</f>
        <v>STEEL MESH FOR END-CAP</v>
      </c>
      <c r="R1858" t="str">
        <f t="shared" ref="R1858:R1921" si="557">IF(option1_name &lt;&gt; "", source_sku, "")</f>
        <v>ZBMW543SSR</v>
      </c>
      <c r="S1858">
        <f t="shared" ref="S1858:S1921" si="558">IF(option1_name &lt;&gt; "", 0, "")</f>
        <v>0</v>
      </c>
      <c r="U1858" t="str">
        <f t="shared" ref="U1858:U1921" si="559">IF(option1_name &lt;&gt; "", "continue", "")</f>
        <v>continue</v>
      </c>
      <c r="V1858" t="str">
        <f t="shared" ref="V1858:V1921" si="560">IF(option1_name &lt;&gt; "", "manual", "")</f>
        <v>manual</v>
      </c>
      <c r="W1858" s="5">
        <f t="shared" ref="W1858:W1921" si="561">IF(option1_name&lt;&gt;"",(source_price_original+source_option_price)*eur_usd,"")</f>
        <v>886.63470000000007</v>
      </c>
      <c r="Y1858" t="b">
        <f t="shared" ref="Y1858:Y1921" si="562">IF(option1_name&lt;&gt;"",TRUE,"")</f>
        <v>1</v>
      </c>
      <c r="Z1858" t="b">
        <f t="shared" ref="Z1858:Z1921" si="563">IF(option1_name&lt;&gt;"",FALSE,"")</f>
        <v>0</v>
      </c>
      <c r="AB1858" t="str">
        <f t="shared" ref="AB1858:AB1921" si="564">IF(ISBLANK(source_image), "", source_image)</f>
        <v/>
      </c>
      <c r="AE1858" t="b">
        <v>0</v>
      </c>
    </row>
    <row r="1859" spans="1:31" x14ac:dyDescent="0.2">
      <c r="A1859" t="str">
        <f t="shared" si="551"/>
        <v>https://shop.officineitalianezard.it/en/products/index/bmw-r-nine-t-scrambler-exhaust-zard-7865-228/</v>
      </c>
      <c r="B1859" t="b">
        <f>COUNTIF($A$2:$A1859, A1859)&gt;1</f>
        <v>1</v>
      </c>
      <c r="C1859" t="b">
        <f t="shared" si="552"/>
        <v>1</v>
      </c>
      <c r="D1859">
        <f>VLOOKUP(A1859,variant_counts!A:B, 2, FALSE)</f>
        <v>3</v>
      </c>
      <c r="E1859" t="str">
        <f t="shared" ref="E1859:E1922" si="565">FormatShopifyHandle(F1859)</f>
        <v>zard-exhaust-high-silencer-bmw-r-nine-t-my-2017-limited-edition-zbmw543ssr</v>
      </c>
      <c r="F1859" t="str">
        <f t="shared" si="553"/>
        <v>ZARD EXHAUST HIGH SILENCER BMW R NINE-T &gt; M.Y. 2017 LIMITED EDITION ZBMW543SSR</v>
      </c>
      <c r="G1859" t="str">
        <f t="shared" si="554"/>
        <v/>
      </c>
      <c r="H1859" t="str">
        <f t="shared" ref="H1859:H1922" si="566">IF($B1859=FALSE, "ZARD", "")</f>
        <v/>
      </c>
      <c r="I1859" t="str">
        <f t="shared" ref="I1859:I1922" si="567">IF($B1859=FALSE, "Exhaust Pipe", "")</f>
        <v/>
      </c>
      <c r="J1859" t="str">
        <f t="shared" ref="J1859:J1922" si="568">IF($B1859=FALSE, "Test", "")</f>
        <v/>
      </c>
      <c r="K1859" t="str">
        <f t="shared" ref="K1859:K1922" si="569">IF($B1859=FALSE, FALSE, "")</f>
        <v/>
      </c>
      <c r="L1859" t="str">
        <f t="shared" si="555"/>
        <v>Option</v>
      </c>
      <c r="M1859" t="str">
        <f t="shared" si="556"/>
        <v>EURO 4 HOMOLOGATED</v>
      </c>
      <c r="R1859" t="str">
        <f t="shared" si="557"/>
        <v>ZBMW543SSR</v>
      </c>
      <c r="S1859">
        <f t="shared" si="558"/>
        <v>0</v>
      </c>
      <c r="U1859" t="str">
        <f t="shared" si="559"/>
        <v>continue</v>
      </c>
      <c r="V1859" t="str">
        <f t="shared" si="560"/>
        <v>manual</v>
      </c>
      <c r="W1859" s="5">
        <f t="shared" si="561"/>
        <v>852.24689999999998</v>
      </c>
      <c r="Y1859" t="b">
        <f t="shared" si="562"/>
        <v>1</v>
      </c>
      <c r="Z1859" t="b">
        <f t="shared" si="563"/>
        <v>0</v>
      </c>
      <c r="AB1859" t="str">
        <f t="shared" si="564"/>
        <v/>
      </c>
      <c r="AE1859" t="b">
        <v>0</v>
      </c>
    </row>
    <row r="1860" spans="1:31" x14ac:dyDescent="0.2">
      <c r="A1860" t="str">
        <f t="shared" si="551"/>
        <v>https://shop.officineitalianezard.it/en/products/index/bmw-r-nine-t-scrambler-exhaust-zard-7864-228/</v>
      </c>
      <c r="B1860" t="b">
        <f>COUNTIF($A$2:$A1860, A1860)&gt;1</f>
        <v>0</v>
      </c>
      <c r="C1860" t="b">
        <f t="shared" si="552"/>
        <v>0</v>
      </c>
      <c r="D1860">
        <f>VLOOKUP(A1860,variant_counts!A:B, 2, FALSE)</f>
        <v>2</v>
      </c>
      <c r="E1860" t="str">
        <f t="shared" si="565"/>
        <v>zard-exhaust-n-2-overlapped-silencers-bmw-r-nine-t-my-2017-thunderbolt-version-zbmw542ssr</v>
      </c>
      <c r="F1860" t="str">
        <f t="shared" si="553"/>
        <v>ZARD EXHAUST N. 2 OVERLAPPED SILENCERS BMW R NINE-T &gt; M.Y. 2017 THUNDERBOLT VERSION ZBMW542SSR</v>
      </c>
      <c r="G1860" t="str">
        <f t="shared" si="554"/>
        <v>&lt;p&gt;N. 2 OVERLAPPED SILENCERS WITH REMOVABLE DB KILLERS THUNDERBOLT VERSION&lt;/p&gt;
&lt;p&gt;ORIGINAL SILENCER WEIGHT: 4,8 KG&lt;/p&gt;
&lt;p&gt;ZARD SILENCER WEIGHT: 4,1 KG&lt;/p&gt;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
&lt;p&gt;&lt;strong&gt;COMPATIBILITY MODELS:&lt;/strong&gt; BMW R NINE-T SCRAMBLER&lt;/p&gt;</v>
      </c>
      <c r="H1860" t="str">
        <f t="shared" si="566"/>
        <v>ZARD</v>
      </c>
      <c r="I1860" t="str">
        <f t="shared" si="567"/>
        <v>Exhaust Pipe</v>
      </c>
      <c r="J1860" t="str">
        <f t="shared" si="568"/>
        <v>Test</v>
      </c>
      <c r="K1860" t="b">
        <f t="shared" si="569"/>
        <v>0</v>
      </c>
      <c r="L1860" t="str">
        <f t="shared" si="555"/>
        <v/>
      </c>
      <c r="M1860" t="str">
        <f t="shared" si="556"/>
        <v/>
      </c>
      <c r="R1860" t="str">
        <f t="shared" si="557"/>
        <v/>
      </c>
      <c r="S1860" t="str">
        <f t="shared" si="558"/>
        <v/>
      </c>
      <c r="U1860" t="str">
        <f t="shared" si="559"/>
        <v/>
      </c>
      <c r="V1860" t="str">
        <f t="shared" si="560"/>
        <v/>
      </c>
      <c r="W1860" s="5" t="str">
        <f t="shared" si="561"/>
        <v/>
      </c>
      <c r="Y1860" t="str">
        <f t="shared" si="562"/>
        <v/>
      </c>
      <c r="Z1860" t="str">
        <f t="shared" si="563"/>
        <v/>
      </c>
      <c r="AB1860" t="str">
        <f t="shared" si="564"/>
        <v>https://shop.officineitalianezard.it/contents/imgs/products/1_2212-scarico%20bmw%20nine%20t%20scrambler%20-%20zard%201.jpg</v>
      </c>
      <c r="AE1860" t="b">
        <v>0</v>
      </c>
    </row>
    <row r="1861" spans="1:31" x14ac:dyDescent="0.2">
      <c r="A1861" t="str">
        <f t="shared" si="551"/>
        <v>https://shop.officineitalianezard.it/en/products/index/bmw-r-nine-t-scrambler-exhaust-zard-7864-228/</v>
      </c>
      <c r="B1861" t="b">
        <f>COUNTIF($A$2:$A1861, A1861)&gt;1</f>
        <v>1</v>
      </c>
      <c r="C1861" t="b">
        <f t="shared" si="552"/>
        <v>0</v>
      </c>
      <c r="D1861">
        <f>VLOOKUP(A1861,variant_counts!A:B, 2, FALSE)</f>
        <v>2</v>
      </c>
      <c r="E1861" t="str">
        <f t="shared" si="565"/>
        <v>zard-exhaust-n-2-overlapped-silencers-bmw-r-nine-t-my-2017-thunderbolt-version-zbmw542ssr</v>
      </c>
      <c r="F1861" t="str">
        <f t="shared" si="553"/>
        <v>ZARD EXHAUST N. 2 OVERLAPPED SILENCERS BMW R NINE-T &gt; M.Y. 2017 THUNDERBOLT VERSION ZBMW542SSR</v>
      </c>
      <c r="G1861" t="str">
        <f t="shared" si="554"/>
        <v/>
      </c>
      <c r="H1861" t="str">
        <f t="shared" si="566"/>
        <v/>
      </c>
      <c r="I1861" t="str">
        <f t="shared" si="567"/>
        <v/>
      </c>
      <c r="J1861" t="str">
        <f t="shared" si="568"/>
        <v/>
      </c>
      <c r="K1861" t="str">
        <f t="shared" si="569"/>
        <v/>
      </c>
      <c r="L1861" t="str">
        <f t="shared" si="555"/>
        <v/>
      </c>
      <c r="M1861" t="str">
        <f t="shared" si="556"/>
        <v/>
      </c>
      <c r="R1861" t="str">
        <f t="shared" si="557"/>
        <v/>
      </c>
      <c r="S1861" t="str">
        <f t="shared" si="558"/>
        <v/>
      </c>
      <c r="U1861" t="str">
        <f t="shared" si="559"/>
        <v/>
      </c>
      <c r="V1861" t="str">
        <f t="shared" si="560"/>
        <v/>
      </c>
      <c r="W1861" s="5" t="str">
        <f t="shared" si="561"/>
        <v/>
      </c>
      <c r="Y1861" t="str">
        <f t="shared" si="562"/>
        <v/>
      </c>
      <c r="Z1861" t="str">
        <f t="shared" si="563"/>
        <v/>
      </c>
      <c r="AB1861" t="str">
        <f t="shared" si="564"/>
        <v>https://shop.officineitalianezard.it/contents/imgs/products/1_2211-scarico%20bmw%20nine%20t%20scrambler%20-%20zard%202.jpg</v>
      </c>
      <c r="AE1861" t="b">
        <v>0</v>
      </c>
    </row>
    <row r="1862" spans="1:31" x14ac:dyDescent="0.2">
      <c r="A1862" t="str">
        <f t="shared" si="551"/>
        <v>https://shop.officineitalianezard.it/en/products/index/bmw-r-nine-t-scrambler-exhaust-zard-7864-228/</v>
      </c>
      <c r="B1862" t="b">
        <f>COUNTIF($A$2:$A1862, A1862)&gt;1</f>
        <v>1</v>
      </c>
      <c r="C1862" t="b">
        <f t="shared" si="552"/>
        <v>0</v>
      </c>
      <c r="D1862">
        <f>VLOOKUP(A1862,variant_counts!A:B, 2, FALSE)</f>
        <v>2</v>
      </c>
      <c r="E1862" t="str">
        <f t="shared" si="565"/>
        <v>zard-exhaust-n-2-overlapped-silencers-bmw-r-nine-t-my-2017-thunderbolt-version-zbmw542ssr</v>
      </c>
      <c r="F1862" t="str">
        <f t="shared" si="553"/>
        <v>ZARD EXHAUST N. 2 OVERLAPPED SILENCERS BMW R NINE-T &gt; M.Y. 2017 THUNDERBOLT VERSION ZBMW542SSR</v>
      </c>
      <c r="G1862" t="str">
        <f t="shared" si="554"/>
        <v/>
      </c>
      <c r="H1862" t="str">
        <f t="shared" si="566"/>
        <v/>
      </c>
      <c r="I1862" t="str">
        <f t="shared" si="567"/>
        <v/>
      </c>
      <c r="J1862" t="str">
        <f t="shared" si="568"/>
        <v/>
      </c>
      <c r="K1862" t="str">
        <f t="shared" si="569"/>
        <v/>
      </c>
      <c r="L1862" t="str">
        <f t="shared" si="555"/>
        <v/>
      </c>
      <c r="M1862" t="str">
        <f t="shared" si="556"/>
        <v/>
      </c>
      <c r="R1862" t="str">
        <f t="shared" si="557"/>
        <v/>
      </c>
      <c r="S1862" t="str">
        <f t="shared" si="558"/>
        <v/>
      </c>
      <c r="U1862" t="str">
        <f t="shared" si="559"/>
        <v/>
      </c>
      <c r="V1862" t="str">
        <f t="shared" si="560"/>
        <v/>
      </c>
      <c r="W1862" s="5" t="str">
        <f t="shared" si="561"/>
        <v/>
      </c>
      <c r="Y1862" t="str">
        <f t="shared" si="562"/>
        <v/>
      </c>
      <c r="Z1862" t="str">
        <f t="shared" si="563"/>
        <v/>
      </c>
      <c r="AB1862" t="str">
        <f t="shared" si="564"/>
        <v>https://shop.officineitalianezard.it/contents/imgs/products/1_2213-scarico%20bmw%20nine%20t%20scrambler%20-%20zard%203.jpg</v>
      </c>
      <c r="AE1862" t="b">
        <v>0</v>
      </c>
    </row>
    <row r="1863" spans="1:31" x14ac:dyDescent="0.2">
      <c r="A1863" t="str">
        <f t="shared" si="551"/>
        <v>https://shop.officineitalianezard.it/en/products/index/bmw-r-nine-t-scrambler-exhaust-zard-7864-228/</v>
      </c>
      <c r="B1863" t="b">
        <f>COUNTIF($A$2:$A1863, A1863)&gt;1</f>
        <v>1</v>
      </c>
      <c r="C1863" t="b">
        <f t="shared" si="552"/>
        <v>1</v>
      </c>
      <c r="D1863">
        <f>VLOOKUP(A1863,variant_counts!A:B, 2, FALSE)</f>
        <v>2</v>
      </c>
      <c r="E1863" t="str">
        <f t="shared" si="565"/>
        <v>zard-exhaust-n-2-overlapped-silencers-bmw-r-nine-t-my-2017-thunderbolt-version-zbmw542ssr</v>
      </c>
      <c r="F1863" t="str">
        <f t="shared" si="553"/>
        <v>ZARD EXHAUST N. 2 OVERLAPPED SILENCERS BMW R NINE-T &gt; M.Y. 2017 THUNDERBOLT VERSION ZBMW542SSR</v>
      </c>
      <c r="G1863" t="str">
        <f t="shared" si="554"/>
        <v/>
      </c>
      <c r="H1863" t="str">
        <f t="shared" si="566"/>
        <v/>
      </c>
      <c r="I1863" t="str">
        <f t="shared" si="567"/>
        <v/>
      </c>
      <c r="J1863" t="str">
        <f t="shared" si="568"/>
        <v/>
      </c>
      <c r="K1863" t="str">
        <f t="shared" si="569"/>
        <v/>
      </c>
      <c r="L1863" t="str">
        <f t="shared" si="555"/>
        <v>Option</v>
      </c>
      <c r="M1863" t="str">
        <f t="shared" si="556"/>
        <v>BLACK CERAMIC COATING</v>
      </c>
      <c r="R1863" t="str">
        <f t="shared" si="557"/>
        <v>ZBMW542SSR</v>
      </c>
      <c r="S1863">
        <f t="shared" si="558"/>
        <v>0</v>
      </c>
      <c r="U1863" t="str">
        <f t="shared" si="559"/>
        <v>continue</v>
      </c>
      <c r="V1863" t="str">
        <f t="shared" si="560"/>
        <v>manual</v>
      </c>
      <c r="W1863" s="5">
        <f t="shared" si="561"/>
        <v>1246.3857000000003</v>
      </c>
      <c r="Y1863" t="b">
        <f t="shared" si="562"/>
        <v>1</v>
      </c>
      <c r="Z1863" t="b">
        <f t="shared" si="563"/>
        <v>0</v>
      </c>
      <c r="AB1863" t="str">
        <f t="shared" si="564"/>
        <v/>
      </c>
      <c r="AE1863" t="b">
        <v>0</v>
      </c>
    </row>
    <row r="1864" spans="1:31" x14ac:dyDescent="0.2">
      <c r="A1864" t="str">
        <f t="shared" si="551"/>
        <v>https://shop.officineitalianezard.it/en/products/index/bmw-r-nine-t-scrambler-exhaust-zard-7864-228/</v>
      </c>
      <c r="B1864" t="b">
        <f>COUNTIF($A$2:$A1864, A1864)&gt;1</f>
        <v>1</v>
      </c>
      <c r="C1864" t="b">
        <f t="shared" si="552"/>
        <v>1</v>
      </c>
      <c r="D1864">
        <f>VLOOKUP(A1864,variant_counts!A:B, 2, FALSE)</f>
        <v>2</v>
      </c>
      <c r="E1864" t="str">
        <f t="shared" si="565"/>
        <v>zard-exhaust-n-2-overlapped-silencers-bmw-r-nine-t-my-2017-thunderbolt-version-zbmw542ssr</v>
      </c>
      <c r="F1864" t="str">
        <f t="shared" si="553"/>
        <v>ZARD EXHAUST N. 2 OVERLAPPED SILENCERS BMW R NINE-T &gt; M.Y. 2017 THUNDERBOLT VERSION ZBMW542SSR</v>
      </c>
      <c r="G1864" t="str">
        <f t="shared" si="554"/>
        <v/>
      </c>
      <c r="H1864" t="str">
        <f t="shared" si="566"/>
        <v/>
      </c>
      <c r="I1864" t="str">
        <f t="shared" si="567"/>
        <v/>
      </c>
      <c r="J1864" t="str">
        <f t="shared" si="568"/>
        <v/>
      </c>
      <c r="K1864" t="str">
        <f t="shared" si="569"/>
        <v/>
      </c>
      <c r="L1864" t="str">
        <f t="shared" si="555"/>
        <v>Option</v>
      </c>
      <c r="M1864" t="str">
        <f t="shared" si="556"/>
        <v>EURO 4 HOMOLOGATED</v>
      </c>
      <c r="R1864" t="str">
        <f t="shared" si="557"/>
        <v>ZBMW542SSR</v>
      </c>
      <c r="S1864">
        <f t="shared" si="558"/>
        <v>0</v>
      </c>
      <c r="U1864" t="str">
        <f t="shared" si="559"/>
        <v>continue</v>
      </c>
      <c r="V1864" t="str">
        <f t="shared" si="560"/>
        <v>manual</v>
      </c>
      <c r="W1864" s="5">
        <f t="shared" si="561"/>
        <v>1094.9040000000002</v>
      </c>
      <c r="Y1864" t="b">
        <f t="shared" si="562"/>
        <v>1</v>
      </c>
      <c r="Z1864" t="b">
        <f t="shared" si="563"/>
        <v>0</v>
      </c>
      <c r="AB1864" t="str">
        <f t="shared" si="564"/>
        <v/>
      </c>
      <c r="AE1864" t="b">
        <v>0</v>
      </c>
    </row>
    <row r="1865" spans="1:31" x14ac:dyDescent="0.2">
      <c r="A1865" t="str">
        <f t="shared" si="551"/>
        <v>https://shop.officineitalianezard.it/en/products/index/bmw-r-nine-t-racer-urban-gs-exhaust-zard-7873-228/</v>
      </c>
      <c r="B1865" t="b">
        <f>COUNTIF($A$2:$A1865, A1865)&gt;1</f>
        <v>0</v>
      </c>
      <c r="C1865" t="b">
        <f t="shared" si="552"/>
        <v>0</v>
      </c>
      <c r="D1865">
        <f>VLOOKUP(A1865,variant_counts!A:B, 2, FALSE)</f>
        <v>1</v>
      </c>
      <c r="E1865" t="str">
        <f t="shared" si="565"/>
        <v>zard-exhaust-21-full-kit-bmw-r-nine-t-my-2017-gp-version-zbmw536skr</v>
      </c>
      <c r="F1865" t="str">
        <f t="shared" si="553"/>
        <v>ZARD EXHAUST 2&gt;1 FULL KIT BMW R NINE-T &gt; M.Y. 2017 GP VERSION ZBMW536SKR</v>
      </c>
      <c r="G1865" t="str">
        <f t="shared" si="554"/>
        <v>&lt;p&gt;2&amp;gt;1&amp;nbsp;STEEL RACING&amp;nbsp;FULL KIT GP VERSION&lt;/p&gt;
&lt;p&gt;ORIGINAL EXHAUST WEIGHT: 8,9 KG&lt;/p&gt;
&lt;p&gt;ZARD FULL KIT WEIGHT:&amp;nbsp;4.6 KG&lt;/p&gt;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
&lt;p&gt;&lt;strong&gt;COMPATIBILITY MODELS&lt;/strong&gt;: BMW R NINE-T, BMW R NINE-T PURE, BMW R NINE-T RACER, BMW R NINE-T URBAN G/S&lt;/p&gt;</v>
      </c>
      <c r="H1865" t="str">
        <f t="shared" si="566"/>
        <v>ZARD</v>
      </c>
      <c r="I1865" t="str">
        <f t="shared" si="567"/>
        <v>Exhaust Pipe</v>
      </c>
      <c r="J1865" t="str">
        <f t="shared" si="568"/>
        <v>Test</v>
      </c>
      <c r="K1865" t="b">
        <f t="shared" si="569"/>
        <v>0</v>
      </c>
      <c r="L1865" t="str">
        <f t="shared" si="555"/>
        <v>Option</v>
      </c>
      <c r="M1865" t="str">
        <f t="shared" si="556"/>
        <v>DEFAULT</v>
      </c>
      <c r="R1865" t="str">
        <f t="shared" si="557"/>
        <v>ZBMW536SKR</v>
      </c>
      <c r="S1865">
        <f t="shared" si="558"/>
        <v>0</v>
      </c>
      <c r="U1865" t="str">
        <f t="shared" si="559"/>
        <v>continue</v>
      </c>
      <c r="V1865" t="str">
        <f t="shared" si="560"/>
        <v>manual</v>
      </c>
      <c r="W1865" s="5">
        <f t="shared" si="561"/>
        <v>1311.9867000000002</v>
      </c>
      <c r="Y1865" t="b">
        <f t="shared" si="562"/>
        <v>1</v>
      </c>
      <c r="Z1865" t="b">
        <f t="shared" si="563"/>
        <v>0</v>
      </c>
      <c r="AB1865" t="str">
        <f t="shared" si="564"/>
        <v>https://shop.officineitalianezard.it/contents/imgs/products/1_2407-1.jpg</v>
      </c>
      <c r="AE1865" t="b">
        <v>0</v>
      </c>
    </row>
    <row r="1866" spans="1:31" x14ac:dyDescent="0.2">
      <c r="A1866" t="str">
        <f t="shared" si="551"/>
        <v>https://shop.officineitalianezard.it/en/products/index/bmw-r-nine-t-racer-urban-gs-exhaust-zard-7873-228/</v>
      </c>
      <c r="B1866" t="b">
        <f>COUNTIF($A$2:$A1866, A1866)&gt;1</f>
        <v>1</v>
      </c>
      <c r="C1866" t="b">
        <f t="shared" si="552"/>
        <v>0</v>
      </c>
      <c r="D1866">
        <f>VLOOKUP(A1866,variant_counts!A:B, 2, FALSE)</f>
        <v>1</v>
      </c>
      <c r="E1866" t="str">
        <f t="shared" si="565"/>
        <v>zard-exhaust-21-full-kit-bmw-r-nine-t-my-2017-gp-version-zbmw536skr</v>
      </c>
      <c r="F1866" t="str">
        <f t="shared" si="553"/>
        <v>ZARD EXHAUST 2&gt;1 FULL KIT BMW R NINE-T &gt; M.Y. 2017 GP VERSION ZBMW536SKR</v>
      </c>
      <c r="G1866" t="str">
        <f t="shared" si="554"/>
        <v/>
      </c>
      <c r="H1866" t="str">
        <f t="shared" si="566"/>
        <v/>
      </c>
      <c r="I1866" t="str">
        <f t="shared" si="567"/>
        <v/>
      </c>
      <c r="J1866" t="str">
        <f t="shared" si="568"/>
        <v/>
      </c>
      <c r="K1866" t="str">
        <f t="shared" si="569"/>
        <v/>
      </c>
      <c r="L1866" t="str">
        <f t="shared" si="555"/>
        <v/>
      </c>
      <c r="M1866" t="str">
        <f t="shared" si="556"/>
        <v/>
      </c>
      <c r="R1866" t="str">
        <f t="shared" si="557"/>
        <v/>
      </c>
      <c r="S1866" t="str">
        <f t="shared" si="558"/>
        <v/>
      </c>
      <c r="U1866" t="str">
        <f t="shared" si="559"/>
        <v/>
      </c>
      <c r="V1866" t="str">
        <f t="shared" si="560"/>
        <v/>
      </c>
      <c r="W1866" s="5" t="str">
        <f t="shared" si="561"/>
        <v/>
      </c>
      <c r="Y1866" t="str">
        <f t="shared" si="562"/>
        <v/>
      </c>
      <c r="Z1866" t="str">
        <f t="shared" si="563"/>
        <v/>
      </c>
      <c r="AB1866" t="str">
        <f t="shared" si="564"/>
        <v>https://shop.officineitalianezard.it/contents/imgs/products/1_2405-2.jpg</v>
      </c>
      <c r="AE1866" t="b">
        <v>0</v>
      </c>
    </row>
    <row r="1867" spans="1:31" x14ac:dyDescent="0.2">
      <c r="A1867" t="str">
        <f t="shared" si="551"/>
        <v>https://shop.officineitalianezard.it/en/products/index/bmw-r-nine-t-racer-urban-gs-exhaust-zard-7873-228/</v>
      </c>
      <c r="B1867" t="b">
        <f>COUNTIF($A$2:$A1867, A1867)&gt;1</f>
        <v>1</v>
      </c>
      <c r="C1867" t="b">
        <f t="shared" si="552"/>
        <v>0</v>
      </c>
      <c r="D1867">
        <f>VLOOKUP(A1867,variant_counts!A:B, 2, FALSE)</f>
        <v>1</v>
      </c>
      <c r="E1867" t="str">
        <f t="shared" si="565"/>
        <v>zard-exhaust-21-full-kit-bmw-r-nine-t-my-2017-gp-version-zbmw536skr</v>
      </c>
      <c r="F1867" t="str">
        <f t="shared" si="553"/>
        <v>ZARD EXHAUST 2&gt;1 FULL KIT BMW R NINE-T &gt; M.Y. 2017 GP VERSION ZBMW536SKR</v>
      </c>
      <c r="G1867" t="str">
        <f t="shared" si="554"/>
        <v/>
      </c>
      <c r="H1867" t="str">
        <f t="shared" si="566"/>
        <v/>
      </c>
      <c r="I1867" t="str">
        <f t="shared" si="567"/>
        <v/>
      </c>
      <c r="J1867" t="str">
        <f t="shared" si="568"/>
        <v/>
      </c>
      <c r="K1867" t="str">
        <f t="shared" si="569"/>
        <v/>
      </c>
      <c r="L1867" t="str">
        <f t="shared" si="555"/>
        <v/>
      </c>
      <c r="M1867" t="str">
        <f t="shared" si="556"/>
        <v/>
      </c>
      <c r="R1867" t="str">
        <f t="shared" si="557"/>
        <v/>
      </c>
      <c r="S1867" t="str">
        <f t="shared" si="558"/>
        <v/>
      </c>
      <c r="U1867" t="str">
        <f t="shared" si="559"/>
        <v/>
      </c>
      <c r="V1867" t="str">
        <f t="shared" si="560"/>
        <v/>
      </c>
      <c r="W1867" s="5" t="str">
        <f t="shared" si="561"/>
        <v/>
      </c>
      <c r="Y1867" t="str">
        <f t="shared" si="562"/>
        <v/>
      </c>
      <c r="Z1867" t="str">
        <f t="shared" si="563"/>
        <v/>
      </c>
      <c r="AB1867" t="str">
        <f t="shared" si="564"/>
        <v>https://shop.officineitalianezard.it/contents/imgs/products/1_2406-3.jpg</v>
      </c>
      <c r="AE1867" t="b">
        <v>0</v>
      </c>
    </row>
    <row r="1868" spans="1:31" x14ac:dyDescent="0.2">
      <c r="A1868" t="str">
        <f t="shared" si="551"/>
        <v>https://shop.officineitalianezard.it/en/products/index/bmw-r-nine-t-racer-urban-gs-exhaust-zard-7873-228/</v>
      </c>
      <c r="B1868" t="b">
        <f>COUNTIF($A$2:$A1868, A1868)&gt;1</f>
        <v>1</v>
      </c>
      <c r="C1868" t="b">
        <f t="shared" si="552"/>
        <v>1</v>
      </c>
      <c r="D1868">
        <f>VLOOKUP(A1868,variant_counts!A:B, 2, FALSE)</f>
        <v>1</v>
      </c>
      <c r="E1868" t="str">
        <f t="shared" si="565"/>
        <v>zard-exhaust-21-full-kit-bmw-r-nine-t-my-2017-gp-version-zbmw536skr</v>
      </c>
      <c r="F1868" t="str">
        <f t="shared" si="553"/>
        <v>ZARD EXHAUST 2&gt;1 FULL KIT BMW R NINE-T &gt; M.Y. 2017 GP VERSION ZBMW536SKR</v>
      </c>
      <c r="G1868" t="str">
        <f t="shared" si="554"/>
        <v/>
      </c>
      <c r="H1868" t="str">
        <f t="shared" si="566"/>
        <v/>
      </c>
      <c r="I1868" t="str">
        <f t="shared" si="567"/>
        <v/>
      </c>
      <c r="J1868" t="str">
        <f t="shared" si="568"/>
        <v/>
      </c>
      <c r="K1868" t="str">
        <f t="shared" si="569"/>
        <v/>
      </c>
      <c r="L1868" t="str">
        <f t="shared" si="555"/>
        <v>Option</v>
      </c>
      <c r="M1868" t="str">
        <f t="shared" si="556"/>
        <v>BLACK CERAMIC COATING</v>
      </c>
      <c r="R1868" t="str">
        <f t="shared" si="557"/>
        <v>ZBMW536SKR</v>
      </c>
      <c r="S1868">
        <f t="shared" si="558"/>
        <v>0</v>
      </c>
      <c r="U1868" t="str">
        <f t="shared" si="559"/>
        <v>continue</v>
      </c>
      <c r="V1868" t="str">
        <f t="shared" si="560"/>
        <v>manual</v>
      </c>
      <c r="W1868" s="5">
        <f t="shared" si="561"/>
        <v>1583.0265000000002</v>
      </c>
      <c r="Y1868" t="b">
        <f t="shared" si="562"/>
        <v>1</v>
      </c>
      <c r="Z1868" t="b">
        <f t="shared" si="563"/>
        <v>0</v>
      </c>
      <c r="AB1868" t="str">
        <f t="shared" si="564"/>
        <v/>
      </c>
      <c r="AE1868" t="b">
        <v>0</v>
      </c>
    </row>
    <row r="1869" spans="1:31" x14ac:dyDescent="0.2">
      <c r="A1869" t="str">
        <f t="shared" si="551"/>
        <v>https://shop.officineitalianezard.it/en/products/index/bmw-r-nine-t-racer-urban-gs-exhaust-zard-7866-228/</v>
      </c>
      <c r="B1869" t="b">
        <f>COUNTIF($A$2:$A1869, A1869)&gt;1</f>
        <v>0</v>
      </c>
      <c r="C1869" t="b">
        <f t="shared" si="552"/>
        <v>0</v>
      </c>
      <c r="D1869">
        <f>VLOOKUP(A1869,variant_counts!A:B, 2, FALSE)</f>
        <v>3</v>
      </c>
      <c r="E1869" t="str">
        <f t="shared" si="565"/>
        <v>zard-exhaust-silencer-bmw-r-nine-t-my-2017-high-limited-zbmw544ssr</v>
      </c>
      <c r="F1869" t="str">
        <f t="shared" si="553"/>
        <v>ZARD EXHAUST SILENCER BMW R NINE-T &gt; M.Y. 2017 HIGH LIMITED ZBMW544SSR</v>
      </c>
      <c r="G1869" t="str">
        <f t="shared" si="554"/>
        <v>&lt;p&gt;STEEL&amp;nbsp;RACING SILENCER WITH REMOVABLE DB KILLERS&lt;/p&gt;
&lt;p&gt;&lt;strong&gt;NOTICE:&amp;nbsp;PHOTOS SHOWS A TITANIUM FULL KIT WITH ZARD HEADERS, SOLD SEPARATELY&lt;/strong&gt;&lt;/p&gt;
&lt;p&gt;ORIGINAL SILENCER WEIGHT: 4,5 KG&lt;/p&gt;
&lt;p&gt;ZARD SILENCER WEIGHT: 2 KG&lt;/p&gt;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
&lt;p&gt;&lt;strong&gt;COMPATIBILITY MODELS:&lt;/strong&gt;&amp;nbsp;BMW R NINE-T, BMW R NINE-T PURE, BMW R NINE-T URBAN G/S&lt;/p&gt;
&lt;p&gt;&lt;strong&gt;THE PRODUCT WAS PHOTOGRAPHED DURING PROTOTYPE PHASE.&lt;br&gt;ZARD COULD RESERVE THE RIGHT TO CHANGE AND/OR REPLACE SOME AESTHETIC DEATAILS.&lt;br&gt;IMAGES HAS TO BE CONSIDERED FOR INDICATIVE PURPOSE.&lt;/strong&gt;&lt;/p&gt;</v>
      </c>
      <c r="H1869" t="str">
        <f t="shared" si="566"/>
        <v>ZARD</v>
      </c>
      <c r="I1869" t="str">
        <f t="shared" si="567"/>
        <v>Exhaust Pipe</v>
      </c>
      <c r="J1869" t="str">
        <f t="shared" si="568"/>
        <v>Test</v>
      </c>
      <c r="K1869" t="b">
        <f t="shared" si="569"/>
        <v>0</v>
      </c>
      <c r="L1869" t="str">
        <f t="shared" si="555"/>
        <v/>
      </c>
      <c r="M1869" t="str">
        <f t="shared" si="556"/>
        <v/>
      </c>
      <c r="R1869" t="str">
        <f t="shared" si="557"/>
        <v/>
      </c>
      <c r="S1869" t="str">
        <f t="shared" si="558"/>
        <v/>
      </c>
      <c r="U1869" t="str">
        <f t="shared" si="559"/>
        <v/>
      </c>
      <c r="V1869" t="str">
        <f t="shared" si="560"/>
        <v/>
      </c>
      <c r="W1869" s="5" t="str">
        <f t="shared" si="561"/>
        <v/>
      </c>
      <c r="Y1869" t="str">
        <f t="shared" si="562"/>
        <v/>
      </c>
      <c r="Z1869" t="str">
        <f t="shared" si="563"/>
        <v/>
      </c>
      <c r="AB1869" t="str">
        <f t="shared" si="564"/>
        <v>https://shop.officineitalianezard.it/contents/imgs/products/1_2360-scarico%20bmw%20r%20nine%20t%20zard%201.jpg</v>
      </c>
      <c r="AE1869" t="b">
        <v>0</v>
      </c>
    </row>
    <row r="1870" spans="1:31" x14ac:dyDescent="0.2">
      <c r="A1870" t="str">
        <f t="shared" si="551"/>
        <v>https://shop.officineitalianezard.it/en/products/index/bmw-r-nine-t-racer-urban-gs-exhaust-zard-7866-228/</v>
      </c>
      <c r="B1870" t="b">
        <f>COUNTIF($A$2:$A1870, A1870)&gt;1</f>
        <v>1</v>
      </c>
      <c r="C1870" t="b">
        <f t="shared" si="552"/>
        <v>0</v>
      </c>
      <c r="D1870">
        <f>VLOOKUP(A1870,variant_counts!A:B, 2, FALSE)</f>
        <v>3</v>
      </c>
      <c r="E1870" t="str">
        <f t="shared" si="565"/>
        <v>zard-exhaust-silencer-bmw-r-nine-t-my-2017-high-limited-zbmw544ssr</v>
      </c>
      <c r="F1870" t="str">
        <f t="shared" si="553"/>
        <v>ZARD EXHAUST SILENCER BMW R NINE-T &gt; M.Y. 2017 HIGH LIMITED ZBMW544SSR</v>
      </c>
      <c r="G1870" t="str">
        <f t="shared" si="554"/>
        <v/>
      </c>
      <c r="H1870" t="str">
        <f t="shared" si="566"/>
        <v/>
      </c>
      <c r="I1870" t="str">
        <f t="shared" si="567"/>
        <v/>
      </c>
      <c r="J1870" t="str">
        <f t="shared" si="568"/>
        <v/>
      </c>
      <c r="K1870" t="str">
        <f t="shared" si="569"/>
        <v/>
      </c>
      <c r="L1870" t="str">
        <f t="shared" si="555"/>
        <v/>
      </c>
      <c r="M1870" t="str">
        <f t="shared" si="556"/>
        <v/>
      </c>
      <c r="R1870" t="str">
        <f t="shared" si="557"/>
        <v/>
      </c>
      <c r="S1870" t="str">
        <f t="shared" si="558"/>
        <v/>
      </c>
      <c r="U1870" t="str">
        <f t="shared" si="559"/>
        <v/>
      </c>
      <c r="V1870" t="str">
        <f t="shared" si="560"/>
        <v/>
      </c>
      <c r="W1870" s="5" t="str">
        <f t="shared" si="561"/>
        <v/>
      </c>
      <c r="Y1870" t="str">
        <f t="shared" si="562"/>
        <v/>
      </c>
      <c r="Z1870" t="str">
        <f t="shared" si="563"/>
        <v/>
      </c>
      <c r="AB1870" t="str">
        <f t="shared" si="564"/>
        <v>https://shop.officineitalianezard.it/contents/imgs/products/1_2361-scarico%20bmw%20r%20nine%20t%20zard%202.jpg</v>
      </c>
      <c r="AE1870" t="b">
        <v>0</v>
      </c>
    </row>
    <row r="1871" spans="1:31" x14ac:dyDescent="0.2">
      <c r="A1871" t="str">
        <f t="shared" si="551"/>
        <v>https://shop.officineitalianezard.it/en/products/index/bmw-r-nine-t-racer-urban-gs-exhaust-zard-7866-228/</v>
      </c>
      <c r="B1871" t="b">
        <f>COUNTIF($A$2:$A1871, A1871)&gt;1</f>
        <v>1</v>
      </c>
      <c r="C1871" t="b">
        <f t="shared" si="552"/>
        <v>0</v>
      </c>
      <c r="D1871">
        <f>VLOOKUP(A1871,variant_counts!A:B, 2, FALSE)</f>
        <v>3</v>
      </c>
      <c r="E1871" t="str">
        <f t="shared" si="565"/>
        <v>zard-exhaust-silencer-bmw-r-nine-t-my-2017-high-limited-zbmw544ssr</v>
      </c>
      <c r="F1871" t="str">
        <f t="shared" si="553"/>
        <v>ZARD EXHAUST SILENCER BMW R NINE-T &gt; M.Y. 2017 HIGH LIMITED ZBMW544SSR</v>
      </c>
      <c r="G1871" t="str">
        <f t="shared" si="554"/>
        <v/>
      </c>
      <c r="H1871" t="str">
        <f t="shared" si="566"/>
        <v/>
      </c>
      <c r="I1871" t="str">
        <f t="shared" si="567"/>
        <v/>
      </c>
      <c r="J1871" t="str">
        <f t="shared" si="568"/>
        <v/>
      </c>
      <c r="K1871" t="str">
        <f t="shared" si="569"/>
        <v/>
      </c>
      <c r="L1871" t="str">
        <f t="shared" si="555"/>
        <v/>
      </c>
      <c r="M1871" t="str">
        <f t="shared" si="556"/>
        <v/>
      </c>
      <c r="R1871" t="str">
        <f t="shared" si="557"/>
        <v/>
      </c>
      <c r="S1871" t="str">
        <f t="shared" si="558"/>
        <v/>
      </c>
      <c r="U1871" t="str">
        <f t="shared" si="559"/>
        <v/>
      </c>
      <c r="V1871" t="str">
        <f t="shared" si="560"/>
        <v/>
      </c>
      <c r="W1871" s="5" t="str">
        <f t="shared" si="561"/>
        <v/>
      </c>
      <c r="Y1871" t="str">
        <f t="shared" si="562"/>
        <v/>
      </c>
      <c r="Z1871" t="str">
        <f t="shared" si="563"/>
        <v/>
      </c>
      <c r="AB1871" t="str">
        <f t="shared" si="564"/>
        <v>https://shop.officineitalianezard.it/contents/imgs/products/1_2362-scarico%20bmw%20r%20nine%20t%20zard%203.jpg</v>
      </c>
      <c r="AE1871" t="b">
        <v>0</v>
      </c>
    </row>
    <row r="1872" spans="1:31" x14ac:dyDescent="0.2">
      <c r="A1872" t="str">
        <f t="shared" si="551"/>
        <v>https://shop.officineitalianezard.it/en/products/index/bmw-r-nine-t-racer-urban-gs-exhaust-zard-7866-228/</v>
      </c>
      <c r="B1872" t="b">
        <f>COUNTIF($A$2:$A1872, A1872)&gt;1</f>
        <v>1</v>
      </c>
      <c r="C1872" t="b">
        <f t="shared" si="552"/>
        <v>0</v>
      </c>
      <c r="D1872">
        <f>VLOOKUP(A1872,variant_counts!A:B, 2, FALSE)</f>
        <v>3</v>
      </c>
      <c r="E1872" t="str">
        <f t="shared" si="565"/>
        <v>zard-exhaust-silencer-bmw-r-nine-t-my-2017-high-limited-zbmw544ssr</v>
      </c>
      <c r="F1872" t="str">
        <f t="shared" si="553"/>
        <v>ZARD EXHAUST SILENCER BMW R NINE-T &gt; M.Y. 2017 HIGH LIMITED ZBMW544SSR</v>
      </c>
      <c r="G1872" t="str">
        <f t="shared" si="554"/>
        <v/>
      </c>
      <c r="H1872" t="str">
        <f t="shared" si="566"/>
        <v/>
      </c>
      <c r="I1872" t="str">
        <f t="shared" si="567"/>
        <v/>
      </c>
      <c r="J1872" t="str">
        <f t="shared" si="568"/>
        <v/>
      </c>
      <c r="K1872" t="str">
        <f t="shared" si="569"/>
        <v/>
      </c>
      <c r="L1872" t="str">
        <f t="shared" si="555"/>
        <v/>
      </c>
      <c r="M1872" t="str">
        <f t="shared" si="556"/>
        <v/>
      </c>
      <c r="R1872" t="str">
        <f t="shared" si="557"/>
        <v/>
      </c>
      <c r="S1872" t="str">
        <f t="shared" si="558"/>
        <v/>
      </c>
      <c r="U1872" t="str">
        <f t="shared" si="559"/>
        <v/>
      </c>
      <c r="V1872" t="str">
        <f t="shared" si="560"/>
        <v/>
      </c>
      <c r="W1872" s="5" t="str">
        <f t="shared" si="561"/>
        <v/>
      </c>
      <c r="Y1872" t="str">
        <f t="shared" si="562"/>
        <v/>
      </c>
      <c r="Z1872" t="str">
        <f t="shared" si="563"/>
        <v/>
      </c>
      <c r="AB1872" t="str">
        <f t="shared" si="564"/>
        <v>https://shop.officineitalianezard.it/contents/imgs/products/1_2386-scarico%20bmw%20r%20nine%20t%20zard%204.jpg</v>
      </c>
      <c r="AE1872" t="b">
        <v>0</v>
      </c>
    </row>
    <row r="1873" spans="1:31" x14ac:dyDescent="0.2">
      <c r="A1873" t="str">
        <f t="shared" si="551"/>
        <v>https://shop.officineitalianezard.it/en/products/index/bmw-r-nine-t-racer-urban-gs-exhaust-zard-7866-228/</v>
      </c>
      <c r="B1873" t="b">
        <f>COUNTIF($A$2:$A1873, A1873)&gt;1</f>
        <v>1</v>
      </c>
      <c r="C1873" t="b">
        <f t="shared" si="552"/>
        <v>1</v>
      </c>
      <c r="D1873">
        <f>VLOOKUP(A1873,variant_counts!A:B, 2, FALSE)</f>
        <v>3</v>
      </c>
      <c r="E1873" t="str">
        <f t="shared" si="565"/>
        <v>zard-exhaust-silencer-bmw-r-nine-t-my-2017-high-limited-zbmw544ssr</v>
      </c>
      <c r="F1873" t="str">
        <f t="shared" si="553"/>
        <v>ZARD EXHAUST SILENCER BMW R NINE-T &gt; M.Y. 2017 HIGH LIMITED ZBMW544SSR</v>
      </c>
      <c r="G1873" t="str">
        <f t="shared" si="554"/>
        <v/>
      </c>
      <c r="H1873" t="str">
        <f t="shared" si="566"/>
        <v/>
      </c>
      <c r="I1873" t="str">
        <f t="shared" si="567"/>
        <v/>
      </c>
      <c r="J1873" t="str">
        <f t="shared" si="568"/>
        <v/>
      </c>
      <c r="K1873" t="str">
        <f t="shared" si="569"/>
        <v/>
      </c>
      <c r="L1873" t="str">
        <f t="shared" si="555"/>
        <v>Option</v>
      </c>
      <c r="M1873" t="str">
        <f t="shared" si="556"/>
        <v>BLACK CERAMIC COATING</v>
      </c>
      <c r="R1873" t="str">
        <f t="shared" si="557"/>
        <v>ZBMW544SSR</v>
      </c>
      <c r="S1873">
        <f t="shared" si="558"/>
        <v>0</v>
      </c>
      <c r="U1873" t="str">
        <f t="shared" si="559"/>
        <v>continue</v>
      </c>
      <c r="V1873" t="str">
        <f t="shared" si="560"/>
        <v>manual</v>
      </c>
      <c r="W1873" s="5">
        <f t="shared" si="561"/>
        <v>947.2296</v>
      </c>
      <c r="Y1873" t="b">
        <f t="shared" si="562"/>
        <v>1</v>
      </c>
      <c r="Z1873" t="b">
        <f t="shared" si="563"/>
        <v>0</v>
      </c>
      <c r="AB1873" t="str">
        <f t="shared" si="564"/>
        <v/>
      </c>
      <c r="AE1873" t="b">
        <v>0</v>
      </c>
    </row>
    <row r="1874" spans="1:31" x14ac:dyDescent="0.2">
      <c r="A1874" t="str">
        <f t="shared" si="551"/>
        <v>https://shop.officineitalianezard.it/en/products/index/bmw-r-nine-t-racer-urban-gs-exhaust-zard-7866-228/</v>
      </c>
      <c r="B1874" t="b">
        <f>COUNTIF($A$2:$A1874, A1874)&gt;1</f>
        <v>1</v>
      </c>
      <c r="C1874" t="b">
        <f t="shared" si="552"/>
        <v>1</v>
      </c>
      <c r="D1874">
        <f>VLOOKUP(A1874,variant_counts!A:B, 2, FALSE)</f>
        <v>3</v>
      </c>
      <c r="E1874" t="str">
        <f t="shared" si="565"/>
        <v>zard-exhaust-silencer-bmw-r-nine-t-my-2017-high-limited-zbmw544ssr</v>
      </c>
      <c r="F1874" t="str">
        <f t="shared" si="553"/>
        <v>ZARD EXHAUST SILENCER BMW R NINE-T &gt; M.Y. 2017 HIGH LIMITED ZBMW544SSR</v>
      </c>
      <c r="G1874" t="str">
        <f t="shared" si="554"/>
        <v/>
      </c>
      <c r="H1874" t="str">
        <f t="shared" si="566"/>
        <v/>
      </c>
      <c r="I1874" t="str">
        <f t="shared" si="567"/>
        <v/>
      </c>
      <c r="J1874" t="str">
        <f t="shared" si="568"/>
        <v/>
      </c>
      <c r="K1874" t="str">
        <f t="shared" si="569"/>
        <v/>
      </c>
      <c r="L1874" t="str">
        <f t="shared" si="555"/>
        <v>Option</v>
      </c>
      <c r="M1874" t="str">
        <f t="shared" si="556"/>
        <v>STEEL MESH FOR END-CAP</v>
      </c>
      <c r="R1874" t="str">
        <f t="shared" si="557"/>
        <v>ZBMW544SSR</v>
      </c>
      <c r="S1874">
        <f t="shared" si="558"/>
        <v>0</v>
      </c>
      <c r="U1874" t="str">
        <f t="shared" si="559"/>
        <v>continue</v>
      </c>
      <c r="V1874" t="str">
        <f t="shared" si="560"/>
        <v>manual</v>
      </c>
      <c r="W1874" s="5">
        <f t="shared" si="561"/>
        <v>886.63470000000007</v>
      </c>
      <c r="Y1874" t="b">
        <f t="shared" si="562"/>
        <v>1</v>
      </c>
      <c r="Z1874" t="b">
        <f t="shared" si="563"/>
        <v>0</v>
      </c>
      <c r="AB1874" t="str">
        <f t="shared" si="564"/>
        <v/>
      </c>
      <c r="AE1874" t="b">
        <v>0</v>
      </c>
    </row>
    <row r="1875" spans="1:31" x14ac:dyDescent="0.2">
      <c r="A1875" t="str">
        <f t="shared" si="551"/>
        <v>https://shop.officineitalianezard.it/en/products/index/bmw-r-nine-t-racer-urban-gs-exhaust-zard-7866-228/</v>
      </c>
      <c r="B1875" t="b">
        <f>COUNTIF($A$2:$A1875, A1875)&gt;1</f>
        <v>1</v>
      </c>
      <c r="C1875" t="b">
        <f t="shared" si="552"/>
        <v>1</v>
      </c>
      <c r="D1875">
        <f>VLOOKUP(A1875,variant_counts!A:B, 2, FALSE)</f>
        <v>3</v>
      </c>
      <c r="E1875" t="str">
        <f t="shared" si="565"/>
        <v>zard-exhaust-silencer-bmw-r-nine-t-my-2017-high-limited-zbmw544ssr</v>
      </c>
      <c r="F1875" t="str">
        <f t="shared" si="553"/>
        <v>ZARD EXHAUST SILENCER BMW R NINE-T &gt; M.Y. 2017 HIGH LIMITED ZBMW544SSR</v>
      </c>
      <c r="G1875" t="str">
        <f t="shared" si="554"/>
        <v/>
      </c>
      <c r="H1875" t="str">
        <f t="shared" si="566"/>
        <v/>
      </c>
      <c r="I1875" t="str">
        <f t="shared" si="567"/>
        <v/>
      </c>
      <c r="J1875" t="str">
        <f t="shared" si="568"/>
        <v/>
      </c>
      <c r="K1875" t="str">
        <f t="shared" si="569"/>
        <v/>
      </c>
      <c r="L1875" t="str">
        <f t="shared" si="555"/>
        <v>Option</v>
      </c>
      <c r="M1875" t="str">
        <f t="shared" si="556"/>
        <v>EURO 4 HOMOLOGATED</v>
      </c>
      <c r="R1875" t="str">
        <f t="shared" si="557"/>
        <v>ZBMW544SSR</v>
      </c>
      <c r="S1875">
        <f t="shared" si="558"/>
        <v>0</v>
      </c>
      <c r="U1875" t="str">
        <f t="shared" si="559"/>
        <v>continue</v>
      </c>
      <c r="V1875" t="str">
        <f t="shared" si="560"/>
        <v>manual</v>
      </c>
      <c r="W1875" s="5">
        <f t="shared" si="561"/>
        <v>853.05720000000008</v>
      </c>
      <c r="Y1875" t="b">
        <f t="shared" si="562"/>
        <v>1</v>
      </c>
      <c r="Z1875" t="b">
        <f t="shared" si="563"/>
        <v>0</v>
      </c>
      <c r="AB1875" t="str">
        <f t="shared" si="564"/>
        <v/>
      </c>
      <c r="AE1875" t="b">
        <v>0</v>
      </c>
    </row>
    <row r="1876" spans="1:31" x14ac:dyDescent="0.2">
      <c r="A1876" t="str">
        <f t="shared" si="551"/>
        <v>https://shop.officineitalianezard.it/en/products/index/bmw-r-nine-t-racer-urban-gs-exhaust-zard-7859-228/</v>
      </c>
      <c r="B1876" t="b">
        <f>COUNTIF($A$2:$A1876, A1876)&gt;1</f>
        <v>0</v>
      </c>
      <c r="C1876" t="b">
        <f t="shared" si="552"/>
        <v>0</v>
      </c>
      <c r="D1876">
        <f>VLOOKUP(A1876,variant_counts!A:B, 2, FALSE)</f>
        <v>3</v>
      </c>
      <c r="E1876" t="str">
        <f t="shared" si="565"/>
        <v>zard-exhaust-silencer-bmw-r-nine-t-my-2017-high-limited-version-zbmw538ssr</v>
      </c>
      <c r="F1876" t="str">
        <f t="shared" si="553"/>
        <v>ZARD EXHAUST SILENCER BMW R NINE-T &gt; M.Y. 2017 HIGH LIMITED VERSION ZBMW538SSR</v>
      </c>
      <c r="G1876" t="str">
        <f t="shared" si="554"/>
        <v>&lt;p&gt;STEEL SILENCER RACING WITH REMOVABLE DB KILLERS&lt;/p&gt;
&lt;p&gt;ORIGINAL SILENCER WEIGHT: 4,4 KG&lt;/p&gt;
&lt;p&gt;ZARD SILENCER WEIGHT: 2,6 KG&lt;/p&gt;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
&lt;p&gt;&lt;span&gt;&lt;strong&gt;COMPATIBILITY MODELS&lt;/strong&gt;: BMW R NINE-T, BMW R NINE-T PURE, BMW R NINE-T URBAN G/S&lt;/span&gt;&lt;/p&gt;
&lt;p&gt;&lt;strong&gt;THE PRODUCT WAS PHOTOGRAPHED DURING PROTOTYPE PHASE.&lt;br&gt;ZARD COULD RESERVE THE RIGHT TO CHANGE AND/OR REPLACE SOME AESTHETIC DEATAILS.&lt;br&gt;IMAGES HAS TO BE CONSIDERED FOR INDICATIVE PURPOSE.&lt;/strong&gt;&lt;/p&gt;</v>
      </c>
      <c r="H1876" t="str">
        <f t="shared" si="566"/>
        <v>ZARD</v>
      </c>
      <c r="I1876" t="str">
        <f t="shared" si="567"/>
        <v>Exhaust Pipe</v>
      </c>
      <c r="J1876" t="str">
        <f t="shared" si="568"/>
        <v>Test</v>
      </c>
      <c r="K1876" t="b">
        <f t="shared" si="569"/>
        <v>0</v>
      </c>
      <c r="L1876" t="str">
        <f t="shared" si="555"/>
        <v/>
      </c>
      <c r="M1876" t="str">
        <f t="shared" si="556"/>
        <v/>
      </c>
      <c r="R1876" t="str">
        <f t="shared" si="557"/>
        <v/>
      </c>
      <c r="S1876" t="str">
        <f t="shared" si="558"/>
        <v/>
      </c>
      <c r="U1876" t="str">
        <f t="shared" si="559"/>
        <v/>
      </c>
      <c r="V1876" t="str">
        <f t="shared" si="560"/>
        <v/>
      </c>
      <c r="W1876" s="5" t="str">
        <f t="shared" si="561"/>
        <v/>
      </c>
      <c r="Y1876" t="str">
        <f t="shared" si="562"/>
        <v/>
      </c>
      <c r="Z1876" t="str">
        <f t="shared" si="563"/>
        <v/>
      </c>
      <c r="AB1876" t="str">
        <f t="shared" si="564"/>
        <v>https://shop.officineitalianezard.it/contents/imgs/products/1_2194-scarico%20bmw%20r%20nine%20t%20urban%20gs%20zard%20-%201.jpg</v>
      </c>
      <c r="AE1876" t="b">
        <v>0</v>
      </c>
    </row>
    <row r="1877" spans="1:31" x14ac:dyDescent="0.2">
      <c r="A1877" t="str">
        <f t="shared" si="551"/>
        <v>https://shop.officineitalianezard.it/en/products/index/bmw-r-nine-t-racer-urban-gs-exhaust-zard-7859-228/</v>
      </c>
      <c r="B1877" t="b">
        <f>COUNTIF($A$2:$A1877, A1877)&gt;1</f>
        <v>1</v>
      </c>
      <c r="C1877" t="b">
        <f t="shared" si="552"/>
        <v>0</v>
      </c>
      <c r="D1877">
        <f>VLOOKUP(A1877,variant_counts!A:B, 2, FALSE)</f>
        <v>3</v>
      </c>
      <c r="E1877" t="str">
        <f t="shared" si="565"/>
        <v>zard-exhaust-silencer-bmw-r-nine-t-my-2017-high-limited-version-zbmw538ssr</v>
      </c>
      <c r="F1877" t="str">
        <f t="shared" si="553"/>
        <v>ZARD EXHAUST SILENCER BMW R NINE-T &gt; M.Y. 2017 HIGH LIMITED VERSION ZBMW538SSR</v>
      </c>
      <c r="G1877" t="str">
        <f t="shared" si="554"/>
        <v/>
      </c>
      <c r="H1877" t="str">
        <f t="shared" si="566"/>
        <v/>
      </c>
      <c r="I1877" t="str">
        <f t="shared" si="567"/>
        <v/>
      </c>
      <c r="J1877" t="str">
        <f t="shared" si="568"/>
        <v/>
      </c>
      <c r="K1877" t="str">
        <f t="shared" si="569"/>
        <v/>
      </c>
      <c r="L1877" t="str">
        <f t="shared" si="555"/>
        <v/>
      </c>
      <c r="M1877" t="str">
        <f t="shared" si="556"/>
        <v/>
      </c>
      <c r="R1877" t="str">
        <f t="shared" si="557"/>
        <v/>
      </c>
      <c r="S1877" t="str">
        <f t="shared" si="558"/>
        <v/>
      </c>
      <c r="U1877" t="str">
        <f t="shared" si="559"/>
        <v/>
      </c>
      <c r="V1877" t="str">
        <f t="shared" si="560"/>
        <v/>
      </c>
      <c r="W1877" s="5" t="str">
        <f t="shared" si="561"/>
        <v/>
      </c>
      <c r="Y1877" t="str">
        <f t="shared" si="562"/>
        <v/>
      </c>
      <c r="Z1877" t="str">
        <f t="shared" si="563"/>
        <v/>
      </c>
      <c r="AB1877" t="str">
        <f t="shared" si="564"/>
        <v>https://shop.officineitalianezard.it/contents/imgs/products/1_2195-scarico%20bmw%20r%20nine%20t%20urban%20gs%20zard%20-%204.jpg</v>
      </c>
      <c r="AE1877" t="b">
        <v>0</v>
      </c>
    </row>
    <row r="1878" spans="1:31" x14ac:dyDescent="0.2">
      <c r="A1878" t="str">
        <f t="shared" si="551"/>
        <v>https://shop.officineitalianezard.it/en/products/index/bmw-r-nine-t-racer-urban-gs-exhaust-zard-7859-228/</v>
      </c>
      <c r="B1878" t="b">
        <f>COUNTIF($A$2:$A1878, A1878)&gt;1</f>
        <v>1</v>
      </c>
      <c r="C1878" t="b">
        <f t="shared" si="552"/>
        <v>0</v>
      </c>
      <c r="D1878">
        <f>VLOOKUP(A1878,variant_counts!A:B, 2, FALSE)</f>
        <v>3</v>
      </c>
      <c r="E1878" t="str">
        <f t="shared" si="565"/>
        <v>zard-exhaust-silencer-bmw-r-nine-t-my-2017-high-limited-version-zbmw538ssr</v>
      </c>
      <c r="F1878" t="str">
        <f t="shared" si="553"/>
        <v>ZARD EXHAUST SILENCER BMW R NINE-T &gt; M.Y. 2017 HIGH LIMITED VERSION ZBMW538SSR</v>
      </c>
      <c r="G1878" t="str">
        <f t="shared" si="554"/>
        <v/>
      </c>
      <c r="H1878" t="str">
        <f t="shared" si="566"/>
        <v/>
      </c>
      <c r="I1878" t="str">
        <f t="shared" si="567"/>
        <v/>
      </c>
      <c r="J1878" t="str">
        <f t="shared" si="568"/>
        <v/>
      </c>
      <c r="K1878" t="str">
        <f t="shared" si="569"/>
        <v/>
      </c>
      <c r="L1878" t="str">
        <f t="shared" si="555"/>
        <v/>
      </c>
      <c r="M1878" t="str">
        <f t="shared" si="556"/>
        <v/>
      </c>
      <c r="R1878" t="str">
        <f t="shared" si="557"/>
        <v/>
      </c>
      <c r="S1878" t="str">
        <f t="shared" si="558"/>
        <v/>
      </c>
      <c r="U1878" t="str">
        <f t="shared" si="559"/>
        <v/>
      </c>
      <c r="V1878" t="str">
        <f t="shared" si="560"/>
        <v/>
      </c>
      <c r="W1878" s="5" t="str">
        <f t="shared" si="561"/>
        <v/>
      </c>
      <c r="Y1878" t="str">
        <f t="shared" si="562"/>
        <v/>
      </c>
      <c r="Z1878" t="str">
        <f t="shared" si="563"/>
        <v/>
      </c>
      <c r="AB1878" t="str">
        <f t="shared" si="564"/>
        <v>https://shop.officineitalianezard.it/contents/imgs/products/1_2197-scarico%20bmw%20r%20nine%20t%20urban%20gs%20zard%20-%203.jpg</v>
      </c>
      <c r="AE1878" t="b">
        <v>0</v>
      </c>
    </row>
    <row r="1879" spans="1:31" x14ac:dyDescent="0.2">
      <c r="A1879" t="str">
        <f t="shared" si="551"/>
        <v>https://shop.officineitalianezard.it/en/products/index/bmw-r-nine-t-racer-urban-gs-exhaust-zard-7859-228/</v>
      </c>
      <c r="B1879" t="b">
        <f>COUNTIF($A$2:$A1879, A1879)&gt;1</f>
        <v>1</v>
      </c>
      <c r="C1879" t="b">
        <f t="shared" si="552"/>
        <v>0</v>
      </c>
      <c r="D1879">
        <f>VLOOKUP(A1879,variant_counts!A:B, 2, FALSE)</f>
        <v>3</v>
      </c>
      <c r="E1879" t="str">
        <f t="shared" si="565"/>
        <v>zard-exhaust-silencer-bmw-r-nine-t-my-2017-high-limited-version-zbmw538ssr</v>
      </c>
      <c r="F1879" t="str">
        <f t="shared" si="553"/>
        <v>ZARD EXHAUST SILENCER BMW R NINE-T &gt; M.Y. 2017 HIGH LIMITED VERSION ZBMW538SSR</v>
      </c>
      <c r="G1879" t="str">
        <f t="shared" si="554"/>
        <v/>
      </c>
      <c r="H1879" t="str">
        <f t="shared" si="566"/>
        <v/>
      </c>
      <c r="I1879" t="str">
        <f t="shared" si="567"/>
        <v/>
      </c>
      <c r="J1879" t="str">
        <f t="shared" si="568"/>
        <v/>
      </c>
      <c r="K1879" t="str">
        <f t="shared" si="569"/>
        <v/>
      </c>
      <c r="L1879" t="str">
        <f t="shared" si="555"/>
        <v/>
      </c>
      <c r="M1879" t="str">
        <f t="shared" si="556"/>
        <v/>
      </c>
      <c r="R1879" t="str">
        <f t="shared" si="557"/>
        <v/>
      </c>
      <c r="S1879" t="str">
        <f t="shared" si="558"/>
        <v/>
      </c>
      <c r="U1879" t="str">
        <f t="shared" si="559"/>
        <v/>
      </c>
      <c r="V1879" t="str">
        <f t="shared" si="560"/>
        <v/>
      </c>
      <c r="W1879" s="5" t="str">
        <f t="shared" si="561"/>
        <v/>
      </c>
      <c r="Y1879" t="str">
        <f t="shared" si="562"/>
        <v/>
      </c>
      <c r="Z1879" t="str">
        <f t="shared" si="563"/>
        <v/>
      </c>
      <c r="AB1879" t="str">
        <f t="shared" si="564"/>
        <v>https://shop.officineitalianezard.it/contents/imgs/products/1_2198-scarico%20bmw%20r%20nine%20t%20urban%20gs%20zard%20-%202.jpg</v>
      </c>
      <c r="AE1879" t="b">
        <v>0</v>
      </c>
    </row>
    <row r="1880" spans="1:31" x14ac:dyDescent="0.2">
      <c r="A1880" t="str">
        <f t="shared" si="551"/>
        <v>https://shop.officineitalianezard.it/en/products/index/bmw-r-nine-t-racer-urban-gs-exhaust-zard-7859-228/</v>
      </c>
      <c r="B1880" t="b">
        <f>COUNTIF($A$2:$A1880, A1880)&gt;1</f>
        <v>1</v>
      </c>
      <c r="C1880" t="b">
        <f t="shared" si="552"/>
        <v>0</v>
      </c>
      <c r="D1880">
        <f>VLOOKUP(A1880,variant_counts!A:B, 2, FALSE)</f>
        <v>3</v>
      </c>
      <c r="E1880" t="str">
        <f t="shared" si="565"/>
        <v>zard-exhaust-silencer-bmw-r-nine-t-my-2017-high-limited-version-zbmw538ssr</v>
      </c>
      <c r="F1880" t="str">
        <f t="shared" si="553"/>
        <v>ZARD EXHAUST SILENCER BMW R NINE-T &gt; M.Y. 2017 HIGH LIMITED VERSION ZBMW538SSR</v>
      </c>
      <c r="G1880" t="str">
        <f t="shared" si="554"/>
        <v/>
      </c>
      <c r="H1880" t="str">
        <f t="shared" si="566"/>
        <v/>
      </c>
      <c r="I1880" t="str">
        <f t="shared" si="567"/>
        <v/>
      </c>
      <c r="J1880" t="str">
        <f t="shared" si="568"/>
        <v/>
      </c>
      <c r="K1880" t="str">
        <f t="shared" si="569"/>
        <v/>
      </c>
      <c r="L1880" t="str">
        <f t="shared" si="555"/>
        <v/>
      </c>
      <c r="M1880" t="str">
        <f t="shared" si="556"/>
        <v/>
      </c>
      <c r="R1880" t="str">
        <f t="shared" si="557"/>
        <v/>
      </c>
      <c r="S1880" t="str">
        <f t="shared" si="558"/>
        <v/>
      </c>
      <c r="U1880" t="str">
        <f t="shared" si="559"/>
        <v/>
      </c>
      <c r="V1880" t="str">
        <f t="shared" si="560"/>
        <v/>
      </c>
      <c r="W1880" s="5" t="str">
        <f t="shared" si="561"/>
        <v/>
      </c>
      <c r="Y1880" t="str">
        <f t="shared" si="562"/>
        <v/>
      </c>
      <c r="Z1880" t="str">
        <f t="shared" si="563"/>
        <v/>
      </c>
      <c r="AB1880" t="str">
        <f t="shared" si="564"/>
        <v>https://shop.officineitalianezard.it/contents/imgs/products/1_2196-scarico%20bmw%20r%20nine%20t%20urban%20gs%20zard%20-%205.jpg</v>
      </c>
      <c r="AE1880" t="b">
        <v>0</v>
      </c>
    </row>
    <row r="1881" spans="1:31" x14ac:dyDescent="0.2">
      <c r="A1881" t="str">
        <f t="shared" si="551"/>
        <v>https://shop.officineitalianezard.it/en/products/index/bmw-r-nine-t-racer-urban-gs-exhaust-zard-7859-228/</v>
      </c>
      <c r="B1881" t="b">
        <f>COUNTIF($A$2:$A1881, A1881)&gt;1</f>
        <v>1</v>
      </c>
      <c r="C1881" t="b">
        <f t="shared" si="552"/>
        <v>1</v>
      </c>
      <c r="D1881">
        <f>VLOOKUP(A1881,variant_counts!A:B, 2, FALSE)</f>
        <v>3</v>
      </c>
      <c r="E1881" t="str">
        <f t="shared" si="565"/>
        <v>zard-exhaust-silencer-bmw-r-nine-t-my-2017-high-limited-version-zbmw538ssr</v>
      </c>
      <c r="F1881" t="str">
        <f t="shared" si="553"/>
        <v>ZARD EXHAUST SILENCER BMW R NINE-T &gt; M.Y. 2017 HIGH LIMITED VERSION ZBMW538SSR</v>
      </c>
      <c r="G1881" t="str">
        <f t="shared" si="554"/>
        <v/>
      </c>
      <c r="H1881" t="str">
        <f t="shared" si="566"/>
        <v/>
      </c>
      <c r="I1881" t="str">
        <f t="shared" si="567"/>
        <v/>
      </c>
      <c r="J1881" t="str">
        <f t="shared" si="568"/>
        <v/>
      </c>
      <c r="K1881" t="str">
        <f t="shared" si="569"/>
        <v/>
      </c>
      <c r="L1881" t="str">
        <f t="shared" si="555"/>
        <v>Option</v>
      </c>
      <c r="M1881" t="str">
        <f t="shared" si="556"/>
        <v>BLACK CERAMIC COATING</v>
      </c>
      <c r="R1881" t="str">
        <f t="shared" si="557"/>
        <v>ZBMW538SSR</v>
      </c>
      <c r="S1881">
        <f t="shared" si="558"/>
        <v>0</v>
      </c>
      <c r="U1881" t="str">
        <f t="shared" si="559"/>
        <v>continue</v>
      </c>
      <c r="V1881" t="str">
        <f t="shared" si="560"/>
        <v>manual</v>
      </c>
      <c r="W1881" s="5">
        <f t="shared" si="561"/>
        <v>947.2296</v>
      </c>
      <c r="Y1881" t="b">
        <f t="shared" si="562"/>
        <v>1</v>
      </c>
      <c r="Z1881" t="b">
        <f t="shared" si="563"/>
        <v>0</v>
      </c>
      <c r="AB1881" t="str">
        <f t="shared" si="564"/>
        <v/>
      </c>
      <c r="AE1881" t="b">
        <v>0</v>
      </c>
    </row>
    <row r="1882" spans="1:31" x14ac:dyDescent="0.2">
      <c r="A1882" t="str">
        <f t="shared" si="551"/>
        <v>https://shop.officineitalianezard.it/en/products/index/bmw-r-nine-t-racer-urban-gs-exhaust-zard-7859-228/</v>
      </c>
      <c r="B1882" t="b">
        <f>COUNTIF($A$2:$A1882, A1882)&gt;1</f>
        <v>1</v>
      </c>
      <c r="C1882" t="b">
        <f t="shared" si="552"/>
        <v>1</v>
      </c>
      <c r="D1882">
        <f>VLOOKUP(A1882,variant_counts!A:B, 2, FALSE)</f>
        <v>3</v>
      </c>
      <c r="E1882" t="str">
        <f t="shared" si="565"/>
        <v>zard-exhaust-silencer-bmw-r-nine-t-my-2017-high-limited-version-zbmw538ssr</v>
      </c>
      <c r="F1882" t="str">
        <f t="shared" si="553"/>
        <v>ZARD EXHAUST SILENCER BMW R NINE-T &gt; M.Y. 2017 HIGH LIMITED VERSION ZBMW538SSR</v>
      </c>
      <c r="G1882" t="str">
        <f t="shared" si="554"/>
        <v/>
      </c>
      <c r="H1882" t="str">
        <f t="shared" si="566"/>
        <v/>
      </c>
      <c r="I1882" t="str">
        <f t="shared" si="567"/>
        <v/>
      </c>
      <c r="J1882" t="str">
        <f t="shared" si="568"/>
        <v/>
      </c>
      <c r="K1882" t="str">
        <f t="shared" si="569"/>
        <v/>
      </c>
      <c r="L1882" t="str">
        <f t="shared" si="555"/>
        <v>Option</v>
      </c>
      <c r="M1882" t="str">
        <f t="shared" si="556"/>
        <v>STEEL MESH FOR END-CAP</v>
      </c>
      <c r="R1882" t="str">
        <f t="shared" si="557"/>
        <v>ZBMW538SSR</v>
      </c>
      <c r="S1882">
        <f t="shared" si="558"/>
        <v>0</v>
      </c>
      <c r="U1882" t="str">
        <f t="shared" si="559"/>
        <v>continue</v>
      </c>
      <c r="V1882" t="str">
        <f t="shared" si="560"/>
        <v>manual</v>
      </c>
      <c r="W1882" s="5">
        <f t="shared" si="561"/>
        <v>886.63470000000007</v>
      </c>
      <c r="Y1882" t="b">
        <f t="shared" si="562"/>
        <v>1</v>
      </c>
      <c r="Z1882" t="b">
        <f t="shared" si="563"/>
        <v>0</v>
      </c>
      <c r="AB1882" t="str">
        <f t="shared" si="564"/>
        <v/>
      </c>
      <c r="AE1882" t="b">
        <v>0</v>
      </c>
    </row>
    <row r="1883" spans="1:31" x14ac:dyDescent="0.2">
      <c r="A1883" t="str">
        <f t="shared" si="551"/>
        <v>https://shop.officineitalianezard.it/en/products/index/bmw-r-nine-t-racer-urban-gs-exhaust-zard-7859-228/</v>
      </c>
      <c r="B1883" t="b">
        <f>COUNTIF($A$2:$A1883, A1883)&gt;1</f>
        <v>1</v>
      </c>
      <c r="C1883" t="b">
        <f t="shared" si="552"/>
        <v>1</v>
      </c>
      <c r="D1883">
        <f>VLOOKUP(A1883,variant_counts!A:B, 2, FALSE)</f>
        <v>3</v>
      </c>
      <c r="E1883" t="str">
        <f t="shared" si="565"/>
        <v>zard-exhaust-silencer-bmw-r-nine-t-my-2017-high-limited-version-zbmw538ssr</v>
      </c>
      <c r="F1883" t="str">
        <f t="shared" si="553"/>
        <v>ZARD EXHAUST SILENCER BMW R NINE-T &gt; M.Y. 2017 HIGH LIMITED VERSION ZBMW538SSR</v>
      </c>
      <c r="G1883" t="str">
        <f t="shared" si="554"/>
        <v/>
      </c>
      <c r="H1883" t="str">
        <f t="shared" si="566"/>
        <v/>
      </c>
      <c r="I1883" t="str">
        <f t="shared" si="567"/>
        <v/>
      </c>
      <c r="J1883" t="str">
        <f t="shared" si="568"/>
        <v/>
      </c>
      <c r="K1883" t="str">
        <f t="shared" si="569"/>
        <v/>
      </c>
      <c r="L1883" t="str">
        <f t="shared" si="555"/>
        <v>Option</v>
      </c>
      <c r="M1883" t="str">
        <f t="shared" si="556"/>
        <v>EURO 4 HOMOLOGATED</v>
      </c>
      <c r="R1883" t="str">
        <f t="shared" si="557"/>
        <v>ZBMW538SSR</v>
      </c>
      <c r="S1883">
        <f t="shared" si="558"/>
        <v>0</v>
      </c>
      <c r="U1883" t="str">
        <f t="shared" si="559"/>
        <v>continue</v>
      </c>
      <c r="V1883" t="str">
        <f t="shared" si="560"/>
        <v>manual</v>
      </c>
      <c r="W1883" s="5">
        <f t="shared" si="561"/>
        <v>852.24689999999998</v>
      </c>
      <c r="Y1883" t="b">
        <f t="shared" si="562"/>
        <v>1</v>
      </c>
      <c r="Z1883" t="b">
        <f t="shared" si="563"/>
        <v>0</v>
      </c>
      <c r="AB1883" t="str">
        <f t="shared" si="564"/>
        <v/>
      </c>
      <c r="AE1883" t="b">
        <v>0</v>
      </c>
    </row>
    <row r="1884" spans="1:31" x14ac:dyDescent="0.2">
      <c r="A1884" t="str">
        <f t="shared" si="551"/>
        <v>https://shop.officineitalianezard.it/en/products/index/bmw-r-nine-t-racer-scrambler-urban-gs-exhaust-zard-7862-228/</v>
      </c>
      <c r="B1884" t="b">
        <f>COUNTIF($A$2:$A1884, A1884)&gt;1</f>
        <v>0</v>
      </c>
      <c r="C1884" t="b">
        <f t="shared" si="552"/>
        <v>0</v>
      </c>
      <c r="D1884">
        <f>VLOOKUP(A1884,variant_counts!A:B, 2, FALSE)</f>
        <v>2</v>
      </c>
      <c r="E1884" t="str">
        <f t="shared" si="565"/>
        <v>zard-exhaust-silencer-bmw-r-nine-t-my-2017-r80-version-zbmw545ssr</v>
      </c>
      <c r="F1884" t="str">
        <f t="shared" si="553"/>
        <v>ZARD EXHAUST SILENCER BMW R NINE-T &gt; M.Y. 2017 R80 VERSION ZBMW545SSR</v>
      </c>
      <c r="G1884" t="str">
        <f t="shared" si="554"/>
        <v>&lt;p&gt;&lt;strong&gt;&lt;/strong&gt;STEEL SILENCER RACING WITH REMOVABLE DB KILLER R80 VERSION&lt;/p&gt;
&lt;p&gt;ORIGINAL SILENCER WEIGHT: 4,4 KG&lt;/p&gt;
&lt;p&gt;ZARD SILENCER WEIGHT: 2,5 KG&lt;/p&gt;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
&lt;p&gt;&lt;strong&gt;COMPATIBILITY MODELS:&lt;/strong&gt;&lt;span&gt;&amp;nbsp;&lt;/span&gt;&lt;span&gt;BMW R NINE-T, BMW R NINE-T PURE, BMW R NINE-T URBAN G/S&lt;/span&gt;&lt;/p&gt;
&lt;p&gt;&lt;span&gt;&lt;strong&gt;NOTICE:&amp;nbsp; ZARD COULD RESERVE THE RIGHT TO CHANGE AND/OR REPLACE&lt;br&gt;SOME AESTHETIC DEATAILS. IMAGES HAS TO BE CONSIDERED&lt;br&gt;FOR INDICATIVE PURPOSE.&lt;/strong&gt;&lt;/span&gt;&lt;/p&gt;</v>
      </c>
      <c r="H1884" t="str">
        <f t="shared" si="566"/>
        <v>ZARD</v>
      </c>
      <c r="I1884" t="str">
        <f t="shared" si="567"/>
        <v>Exhaust Pipe</v>
      </c>
      <c r="J1884" t="str">
        <f t="shared" si="568"/>
        <v>Test</v>
      </c>
      <c r="K1884" t="b">
        <f t="shared" si="569"/>
        <v>0</v>
      </c>
      <c r="L1884" t="str">
        <f t="shared" si="555"/>
        <v/>
      </c>
      <c r="M1884" t="str">
        <f t="shared" si="556"/>
        <v/>
      </c>
      <c r="R1884" t="str">
        <f t="shared" si="557"/>
        <v/>
      </c>
      <c r="S1884" t="str">
        <f t="shared" si="558"/>
        <v/>
      </c>
      <c r="U1884" t="str">
        <f t="shared" si="559"/>
        <v/>
      </c>
      <c r="V1884" t="str">
        <f t="shared" si="560"/>
        <v/>
      </c>
      <c r="W1884" s="5" t="str">
        <f t="shared" si="561"/>
        <v/>
      </c>
      <c r="Y1884" t="str">
        <f t="shared" si="562"/>
        <v/>
      </c>
      <c r="Z1884" t="str">
        <f t="shared" si="563"/>
        <v/>
      </c>
      <c r="AB1884" t="str">
        <f t="shared" si="564"/>
        <v>https://shop.officineitalianezard.it/contents/imgs/products/1_2474-scarico%20bmw%20nine%20r80%20zard%20exhaust.jpg</v>
      </c>
      <c r="AE1884" t="b">
        <v>0</v>
      </c>
    </row>
    <row r="1885" spans="1:31" x14ac:dyDescent="0.2">
      <c r="A1885" t="str">
        <f t="shared" si="551"/>
        <v>https://shop.officineitalianezard.it/en/products/index/bmw-r-nine-t-racer-scrambler-urban-gs-exhaust-zard-7862-228/</v>
      </c>
      <c r="B1885" t="b">
        <f>COUNTIF($A$2:$A1885, A1885)&gt;1</f>
        <v>1</v>
      </c>
      <c r="C1885" t="b">
        <f t="shared" si="552"/>
        <v>0</v>
      </c>
      <c r="D1885">
        <f>VLOOKUP(A1885,variant_counts!A:B, 2, FALSE)</f>
        <v>2</v>
      </c>
      <c r="E1885" t="str">
        <f t="shared" si="565"/>
        <v>zard-exhaust-silencer-bmw-r-nine-t-my-2017-r80-version-zbmw545ssr</v>
      </c>
      <c r="F1885" t="str">
        <f t="shared" si="553"/>
        <v>ZARD EXHAUST SILENCER BMW R NINE-T &gt; M.Y. 2017 R80 VERSION ZBMW545SSR</v>
      </c>
      <c r="G1885" t="str">
        <f t="shared" si="554"/>
        <v/>
      </c>
      <c r="H1885" t="str">
        <f t="shared" si="566"/>
        <v/>
      </c>
      <c r="I1885" t="str">
        <f t="shared" si="567"/>
        <v/>
      </c>
      <c r="J1885" t="str">
        <f t="shared" si="568"/>
        <v/>
      </c>
      <c r="K1885" t="str">
        <f t="shared" si="569"/>
        <v/>
      </c>
      <c r="L1885" t="str">
        <f t="shared" si="555"/>
        <v/>
      </c>
      <c r="M1885" t="str">
        <f t="shared" si="556"/>
        <v/>
      </c>
      <c r="R1885" t="str">
        <f t="shared" si="557"/>
        <v/>
      </c>
      <c r="S1885" t="str">
        <f t="shared" si="558"/>
        <v/>
      </c>
      <c r="U1885" t="str">
        <f t="shared" si="559"/>
        <v/>
      </c>
      <c r="V1885" t="str">
        <f t="shared" si="560"/>
        <v/>
      </c>
      <c r="W1885" s="5" t="str">
        <f t="shared" si="561"/>
        <v/>
      </c>
      <c r="Y1885" t="str">
        <f t="shared" si="562"/>
        <v/>
      </c>
      <c r="Z1885" t="str">
        <f t="shared" si="563"/>
        <v/>
      </c>
      <c r="AB1885" t="str">
        <f t="shared" si="564"/>
        <v>https://shop.officineitalianezard.it/contents/imgs/products/1_2206-scarico%20bmw%20urban%20gs%201.jpg</v>
      </c>
      <c r="AE1885" t="b">
        <v>0</v>
      </c>
    </row>
    <row r="1886" spans="1:31" x14ac:dyDescent="0.2">
      <c r="A1886" t="str">
        <f t="shared" si="551"/>
        <v>https://shop.officineitalianezard.it/en/products/index/bmw-r-nine-t-racer-scrambler-urban-gs-exhaust-zard-7862-228/</v>
      </c>
      <c r="B1886" t="b">
        <f>COUNTIF($A$2:$A1886, A1886)&gt;1</f>
        <v>1</v>
      </c>
      <c r="C1886" t="b">
        <f t="shared" si="552"/>
        <v>0</v>
      </c>
      <c r="D1886">
        <f>VLOOKUP(A1886,variant_counts!A:B, 2, FALSE)</f>
        <v>2</v>
      </c>
      <c r="E1886" t="str">
        <f t="shared" si="565"/>
        <v>zard-exhaust-silencer-bmw-r-nine-t-my-2017-r80-version-zbmw545ssr</v>
      </c>
      <c r="F1886" t="str">
        <f t="shared" si="553"/>
        <v>ZARD EXHAUST SILENCER BMW R NINE-T &gt; M.Y. 2017 R80 VERSION ZBMW545SSR</v>
      </c>
      <c r="G1886" t="str">
        <f t="shared" si="554"/>
        <v/>
      </c>
      <c r="H1886" t="str">
        <f t="shared" si="566"/>
        <v/>
      </c>
      <c r="I1886" t="str">
        <f t="shared" si="567"/>
        <v/>
      </c>
      <c r="J1886" t="str">
        <f t="shared" si="568"/>
        <v/>
      </c>
      <c r="K1886" t="str">
        <f t="shared" si="569"/>
        <v/>
      </c>
      <c r="L1886" t="str">
        <f t="shared" si="555"/>
        <v/>
      </c>
      <c r="M1886" t="str">
        <f t="shared" si="556"/>
        <v/>
      </c>
      <c r="R1886" t="str">
        <f t="shared" si="557"/>
        <v/>
      </c>
      <c r="S1886" t="str">
        <f t="shared" si="558"/>
        <v/>
      </c>
      <c r="U1886" t="str">
        <f t="shared" si="559"/>
        <v/>
      </c>
      <c r="V1886" t="str">
        <f t="shared" si="560"/>
        <v/>
      </c>
      <c r="W1886" s="5" t="str">
        <f t="shared" si="561"/>
        <v/>
      </c>
      <c r="Y1886" t="str">
        <f t="shared" si="562"/>
        <v/>
      </c>
      <c r="Z1886" t="str">
        <f t="shared" si="563"/>
        <v/>
      </c>
      <c r="AB1886" t="str">
        <f t="shared" si="564"/>
        <v>https://shop.officineitalianezard.it/contents/imgs/products/1_2205-scarico%20bmw%20urban%20gs%202.jpg</v>
      </c>
      <c r="AE1886" t="b">
        <v>0</v>
      </c>
    </row>
    <row r="1887" spans="1:31" x14ac:dyDescent="0.2">
      <c r="A1887" t="str">
        <f t="shared" si="551"/>
        <v>https://shop.officineitalianezard.it/en/products/index/bmw-r-nine-t-racer-scrambler-urban-gs-exhaust-zard-7862-228/</v>
      </c>
      <c r="B1887" t="b">
        <f>COUNTIF($A$2:$A1887, A1887)&gt;1</f>
        <v>1</v>
      </c>
      <c r="C1887" t="b">
        <f t="shared" si="552"/>
        <v>0</v>
      </c>
      <c r="D1887">
        <f>VLOOKUP(A1887,variant_counts!A:B, 2, FALSE)</f>
        <v>2</v>
      </c>
      <c r="E1887" t="str">
        <f t="shared" si="565"/>
        <v>zard-exhaust-silencer-bmw-r-nine-t-my-2017-r80-version-zbmw545ssr</v>
      </c>
      <c r="F1887" t="str">
        <f t="shared" si="553"/>
        <v>ZARD EXHAUST SILENCER BMW R NINE-T &gt; M.Y. 2017 R80 VERSION ZBMW545SSR</v>
      </c>
      <c r="G1887" t="str">
        <f t="shared" si="554"/>
        <v/>
      </c>
      <c r="H1887" t="str">
        <f t="shared" si="566"/>
        <v/>
      </c>
      <c r="I1887" t="str">
        <f t="shared" si="567"/>
        <v/>
      </c>
      <c r="J1887" t="str">
        <f t="shared" si="568"/>
        <v/>
      </c>
      <c r="K1887" t="str">
        <f t="shared" si="569"/>
        <v/>
      </c>
      <c r="L1887" t="str">
        <f t="shared" si="555"/>
        <v/>
      </c>
      <c r="M1887" t="str">
        <f t="shared" si="556"/>
        <v/>
      </c>
      <c r="R1887" t="str">
        <f t="shared" si="557"/>
        <v/>
      </c>
      <c r="S1887" t="str">
        <f t="shared" si="558"/>
        <v/>
      </c>
      <c r="U1887" t="str">
        <f t="shared" si="559"/>
        <v/>
      </c>
      <c r="V1887" t="str">
        <f t="shared" si="560"/>
        <v/>
      </c>
      <c r="W1887" s="5" t="str">
        <f t="shared" si="561"/>
        <v/>
      </c>
      <c r="Y1887" t="str">
        <f t="shared" si="562"/>
        <v/>
      </c>
      <c r="Z1887" t="str">
        <f t="shared" si="563"/>
        <v/>
      </c>
      <c r="AB1887" t="str">
        <f t="shared" si="564"/>
        <v>https://shop.officineitalianezard.it/contents/imgs/products/1_2207-scarico%20bmw%20urban%20gs%203.jpg</v>
      </c>
      <c r="AE1887" t="b">
        <v>0</v>
      </c>
    </row>
    <row r="1888" spans="1:31" x14ac:dyDescent="0.2">
      <c r="A1888" t="str">
        <f t="shared" si="551"/>
        <v>https://shop.officineitalianezard.it/en/products/index/bmw-r-nine-t-racer-scrambler-urban-gs-exhaust-zard-7862-228/</v>
      </c>
      <c r="B1888" t="b">
        <f>COUNTIF($A$2:$A1888, A1888)&gt;1</f>
        <v>1</v>
      </c>
      <c r="C1888" t="b">
        <f t="shared" si="552"/>
        <v>1</v>
      </c>
      <c r="D1888">
        <f>VLOOKUP(A1888,variant_counts!A:B, 2, FALSE)</f>
        <v>2</v>
      </c>
      <c r="E1888" t="str">
        <f t="shared" si="565"/>
        <v>zard-exhaust-silencer-bmw-r-nine-t-my-2017-r80-version-zbmw545ssr</v>
      </c>
      <c r="F1888" t="str">
        <f t="shared" si="553"/>
        <v>ZARD EXHAUST SILENCER BMW R NINE-T &gt; M.Y. 2017 R80 VERSION ZBMW545SSR</v>
      </c>
      <c r="G1888" t="str">
        <f t="shared" si="554"/>
        <v/>
      </c>
      <c r="H1888" t="str">
        <f t="shared" si="566"/>
        <v/>
      </c>
      <c r="I1888" t="str">
        <f t="shared" si="567"/>
        <v/>
      </c>
      <c r="J1888" t="str">
        <f t="shared" si="568"/>
        <v/>
      </c>
      <c r="K1888" t="str">
        <f t="shared" si="569"/>
        <v/>
      </c>
      <c r="L1888" t="str">
        <f t="shared" si="555"/>
        <v>Option</v>
      </c>
      <c r="M1888" t="str">
        <f t="shared" si="556"/>
        <v>BLACK CERAMIC COATING</v>
      </c>
      <c r="R1888" t="str">
        <f t="shared" si="557"/>
        <v>ZBMW545SSR</v>
      </c>
      <c r="S1888">
        <f t="shared" si="558"/>
        <v>0</v>
      </c>
      <c r="U1888" t="str">
        <f t="shared" si="559"/>
        <v>continue</v>
      </c>
      <c r="V1888" t="str">
        <f t="shared" si="560"/>
        <v>manual</v>
      </c>
      <c r="W1888" s="5">
        <f t="shared" si="561"/>
        <v>947.2296</v>
      </c>
      <c r="Y1888" t="b">
        <f t="shared" si="562"/>
        <v>1</v>
      </c>
      <c r="Z1888" t="b">
        <f t="shared" si="563"/>
        <v>0</v>
      </c>
      <c r="AB1888" t="str">
        <f t="shared" si="564"/>
        <v/>
      </c>
      <c r="AE1888" t="b">
        <v>0</v>
      </c>
    </row>
    <row r="1889" spans="1:31" x14ac:dyDescent="0.2">
      <c r="A1889" t="str">
        <f t="shared" si="551"/>
        <v>https://shop.officineitalianezard.it/en/products/index/bmw-r-nine-t-racer-scrambler-urban-gs-exhaust-zard-7862-228/</v>
      </c>
      <c r="B1889" t="b">
        <f>COUNTIF($A$2:$A1889, A1889)&gt;1</f>
        <v>1</v>
      </c>
      <c r="C1889" t="b">
        <f t="shared" si="552"/>
        <v>1</v>
      </c>
      <c r="D1889">
        <f>VLOOKUP(A1889,variant_counts!A:B, 2, FALSE)</f>
        <v>2</v>
      </c>
      <c r="E1889" t="str">
        <f t="shared" si="565"/>
        <v>zard-exhaust-silencer-bmw-r-nine-t-my-2017-r80-version-zbmw545ssr</v>
      </c>
      <c r="F1889" t="str">
        <f t="shared" si="553"/>
        <v>ZARD EXHAUST SILENCER BMW R NINE-T &gt; M.Y. 2017 R80 VERSION ZBMW545SSR</v>
      </c>
      <c r="G1889" t="str">
        <f t="shared" si="554"/>
        <v/>
      </c>
      <c r="H1889" t="str">
        <f t="shared" si="566"/>
        <v/>
      </c>
      <c r="I1889" t="str">
        <f t="shared" si="567"/>
        <v/>
      </c>
      <c r="J1889" t="str">
        <f t="shared" si="568"/>
        <v/>
      </c>
      <c r="K1889" t="str">
        <f t="shared" si="569"/>
        <v/>
      </c>
      <c r="L1889" t="str">
        <f t="shared" si="555"/>
        <v>Option</v>
      </c>
      <c r="M1889" t="str">
        <f t="shared" si="556"/>
        <v>EURO 4 HOMOLOGATED</v>
      </c>
      <c r="R1889" t="str">
        <f t="shared" si="557"/>
        <v>ZBMW545SSR</v>
      </c>
      <c r="S1889">
        <f t="shared" si="558"/>
        <v>0</v>
      </c>
      <c r="U1889" t="str">
        <f t="shared" si="559"/>
        <v>continue</v>
      </c>
      <c r="V1889" t="str">
        <f t="shared" si="560"/>
        <v>manual</v>
      </c>
      <c r="W1889" s="5">
        <f t="shared" si="561"/>
        <v>853.05720000000008</v>
      </c>
      <c r="Y1889" t="b">
        <f t="shared" si="562"/>
        <v>1</v>
      </c>
      <c r="Z1889" t="b">
        <f t="shared" si="563"/>
        <v>0</v>
      </c>
      <c r="AB1889" t="str">
        <f t="shared" si="564"/>
        <v/>
      </c>
      <c r="AE1889" t="b">
        <v>0</v>
      </c>
    </row>
    <row r="1890" spans="1:31" x14ac:dyDescent="0.2">
      <c r="A1890" t="str">
        <f t="shared" si="551"/>
        <v>https://shop.officineitalianezard.it/en/bmw-r-nine-t-racer-urban-gs-exhaust-zard-2/</v>
      </c>
      <c r="B1890" t="b">
        <f>COUNTIF($A$2:$A1890, A1890)&gt;1</f>
        <v>0</v>
      </c>
      <c r="C1890" t="b">
        <f t="shared" si="552"/>
        <v>0</v>
      </c>
      <c r="D1890">
        <f>VLOOKUP(A1890,variant_counts!A:B, 2, FALSE)</f>
        <v>1</v>
      </c>
      <c r="E1890" t="str">
        <f t="shared" si="565"/>
        <v>zard-exhaust-slip-on-bmw-r-nine-t-my-2017-gp-version-zbmw536ssr</v>
      </c>
      <c r="F1890" t="str">
        <f t="shared" si="553"/>
        <v>ZARD EXHAUST SLIP-ON BMW R NINE-T &gt; M.Y. 2017 GP VERSION ZBMW536SSR</v>
      </c>
      <c r="G1890" t="str">
        <f t="shared" si="554"/>
        <v>&lt;p&gt;RACING&amp;nbsp;SLIP-ON GP VERSION&lt;/p&gt;
&lt;p&gt;&lt;strong&gt;NOTICE: PICTURES SHOW THE ZARD GP SLIP-ON WITH ZARD HEADERS KIT&lt;/strong&gt;&lt;/p&gt;
&lt;p&gt;THE INSTALLATION OF ZARD EXHAUST DOES NOT IMPLY ANY MODIFICATION TO ECU.&lt;br&gt;THE BOX INCLUDES ALL PARTS FOR THE FITMENT OF ZARD EXHAUST.&lt;/p&gt;
&lt;p&gt;HARD INCREASE, COMPARED TO THE ORIGINAL EXHAUST SYSTEM.&lt;/p&gt;
&lt;p&gt;ASTONISHING SOUND.&lt;/p&gt;
&lt;p&gt;&lt;strong&gt;COMPATIBILITY MODELS&lt;/strong&gt;: BMW R NINE-T, BMW R NINE-T PURE, BMW R NINE-T RACER, BMW R NINE-T URBAN G/S&lt;/p&gt;</v>
      </c>
      <c r="H1890" t="str">
        <f t="shared" si="566"/>
        <v>ZARD</v>
      </c>
      <c r="I1890" t="str">
        <f t="shared" si="567"/>
        <v>Exhaust Pipe</v>
      </c>
      <c r="J1890" t="str">
        <f t="shared" si="568"/>
        <v>Test</v>
      </c>
      <c r="K1890" t="b">
        <f t="shared" si="569"/>
        <v>0</v>
      </c>
      <c r="L1890" t="str">
        <f t="shared" si="555"/>
        <v>Option</v>
      </c>
      <c r="M1890" t="str">
        <f t="shared" si="556"/>
        <v>DEFAULT</v>
      </c>
      <c r="R1890" t="str">
        <f t="shared" si="557"/>
        <v>ZBMW536SSR</v>
      </c>
      <c r="S1890">
        <f t="shared" si="558"/>
        <v>0</v>
      </c>
      <c r="U1890" t="str">
        <f t="shared" si="559"/>
        <v>continue</v>
      </c>
      <c r="V1890" t="str">
        <f t="shared" si="560"/>
        <v>manual</v>
      </c>
      <c r="W1890" s="5">
        <f t="shared" si="561"/>
        <v>644.16630000000009</v>
      </c>
      <c r="Y1890" t="b">
        <f t="shared" si="562"/>
        <v>1</v>
      </c>
      <c r="Z1890" t="b">
        <f t="shared" si="563"/>
        <v>0</v>
      </c>
      <c r="AB1890" t="str">
        <f t="shared" si="564"/>
        <v>https://shop.officineitalianezard.it/contents/imgs/products/1_2726-1.jpg</v>
      </c>
      <c r="AE1890" t="b">
        <v>0</v>
      </c>
    </row>
    <row r="1891" spans="1:31" x14ac:dyDescent="0.2">
      <c r="A1891" t="str">
        <f t="shared" si="551"/>
        <v>https://shop.officineitalianezard.it/en/bmw-r-nine-t-racer-urban-gs-exhaust-zard-2/</v>
      </c>
      <c r="B1891" t="b">
        <f>COUNTIF($A$2:$A1891, A1891)&gt;1</f>
        <v>1</v>
      </c>
      <c r="C1891" t="b">
        <f t="shared" si="552"/>
        <v>0</v>
      </c>
      <c r="D1891">
        <f>VLOOKUP(A1891,variant_counts!A:B, 2, FALSE)</f>
        <v>1</v>
      </c>
      <c r="E1891" t="str">
        <f t="shared" si="565"/>
        <v>zard-exhaust-slip-on-bmw-r-nine-t-my-2017-gp-version-zbmw536ssr</v>
      </c>
      <c r="F1891" t="str">
        <f t="shared" si="553"/>
        <v>ZARD EXHAUST SLIP-ON BMW R NINE-T &gt; M.Y. 2017 GP VERSION ZBMW536SSR</v>
      </c>
      <c r="G1891" t="str">
        <f t="shared" si="554"/>
        <v/>
      </c>
      <c r="H1891" t="str">
        <f t="shared" si="566"/>
        <v/>
      </c>
      <c r="I1891" t="str">
        <f t="shared" si="567"/>
        <v/>
      </c>
      <c r="J1891" t="str">
        <f t="shared" si="568"/>
        <v/>
      </c>
      <c r="K1891" t="str">
        <f t="shared" si="569"/>
        <v/>
      </c>
      <c r="L1891" t="str">
        <f t="shared" si="555"/>
        <v/>
      </c>
      <c r="M1891" t="str">
        <f t="shared" si="556"/>
        <v/>
      </c>
      <c r="R1891" t="str">
        <f t="shared" si="557"/>
        <v/>
      </c>
      <c r="S1891" t="str">
        <f t="shared" si="558"/>
        <v/>
      </c>
      <c r="U1891" t="str">
        <f t="shared" si="559"/>
        <v/>
      </c>
      <c r="V1891" t="str">
        <f t="shared" si="560"/>
        <v/>
      </c>
      <c r="W1891" s="5" t="str">
        <f t="shared" si="561"/>
        <v/>
      </c>
      <c r="Y1891" t="str">
        <f t="shared" si="562"/>
        <v/>
      </c>
      <c r="Z1891" t="str">
        <f t="shared" si="563"/>
        <v/>
      </c>
      <c r="AB1891" t="str">
        <f t="shared" si="564"/>
        <v>https://shop.officineitalianezard.it/contents/imgs/products/1_2724-2.jpg</v>
      </c>
      <c r="AE1891" t="b">
        <v>0</v>
      </c>
    </row>
    <row r="1892" spans="1:31" x14ac:dyDescent="0.2">
      <c r="A1892" t="str">
        <f t="shared" si="551"/>
        <v>https://shop.officineitalianezard.it/en/bmw-r-nine-t-racer-urban-gs-exhaust-zard-2/</v>
      </c>
      <c r="B1892" t="b">
        <f>COUNTIF($A$2:$A1892, A1892)&gt;1</f>
        <v>1</v>
      </c>
      <c r="C1892" t="b">
        <f t="shared" si="552"/>
        <v>0</v>
      </c>
      <c r="D1892">
        <f>VLOOKUP(A1892,variant_counts!A:B, 2, FALSE)</f>
        <v>1</v>
      </c>
      <c r="E1892" t="str">
        <f t="shared" si="565"/>
        <v>zard-exhaust-slip-on-bmw-r-nine-t-my-2017-gp-version-zbmw536ssr</v>
      </c>
      <c r="F1892" t="str">
        <f t="shared" si="553"/>
        <v>ZARD EXHAUST SLIP-ON BMW R NINE-T &gt; M.Y. 2017 GP VERSION ZBMW536SSR</v>
      </c>
      <c r="G1892" t="str">
        <f t="shared" si="554"/>
        <v/>
      </c>
      <c r="H1892" t="str">
        <f t="shared" si="566"/>
        <v/>
      </c>
      <c r="I1892" t="str">
        <f t="shared" si="567"/>
        <v/>
      </c>
      <c r="J1892" t="str">
        <f t="shared" si="568"/>
        <v/>
      </c>
      <c r="K1892" t="str">
        <f t="shared" si="569"/>
        <v/>
      </c>
      <c r="L1892" t="str">
        <f t="shared" si="555"/>
        <v/>
      </c>
      <c r="M1892" t="str">
        <f t="shared" si="556"/>
        <v/>
      </c>
      <c r="R1892" t="str">
        <f t="shared" si="557"/>
        <v/>
      </c>
      <c r="S1892" t="str">
        <f t="shared" si="558"/>
        <v/>
      </c>
      <c r="U1892" t="str">
        <f t="shared" si="559"/>
        <v/>
      </c>
      <c r="V1892" t="str">
        <f t="shared" si="560"/>
        <v/>
      </c>
      <c r="W1892" s="5" t="str">
        <f t="shared" si="561"/>
        <v/>
      </c>
      <c r="Y1892" t="str">
        <f t="shared" si="562"/>
        <v/>
      </c>
      <c r="Z1892" t="str">
        <f t="shared" si="563"/>
        <v/>
      </c>
      <c r="AB1892" t="str">
        <f t="shared" si="564"/>
        <v>https://shop.officineitalianezard.it/contents/imgs/products/1_2725-3.jpg</v>
      </c>
      <c r="AE1892" t="b">
        <v>0</v>
      </c>
    </row>
    <row r="1893" spans="1:31" x14ac:dyDescent="0.2">
      <c r="A1893" t="str">
        <f t="shared" si="551"/>
        <v>https://shop.officineitalianezard.it/en/bmw-r-nine-t-racer-urban-gs-exhaust-zard-2/</v>
      </c>
      <c r="B1893" t="b">
        <f>COUNTIF($A$2:$A1893, A1893)&gt;1</f>
        <v>1</v>
      </c>
      <c r="C1893" t="b">
        <f t="shared" si="552"/>
        <v>1</v>
      </c>
      <c r="D1893">
        <f>VLOOKUP(A1893,variant_counts!A:B, 2, FALSE)</f>
        <v>1</v>
      </c>
      <c r="E1893" t="str">
        <f t="shared" si="565"/>
        <v>zard-exhaust-slip-on-bmw-r-nine-t-my-2017-gp-version-zbmw536ssr</v>
      </c>
      <c r="F1893" t="str">
        <f t="shared" si="553"/>
        <v>ZARD EXHAUST SLIP-ON BMW R NINE-T &gt; M.Y. 2017 GP VERSION ZBMW536SSR</v>
      </c>
      <c r="G1893" t="str">
        <f t="shared" si="554"/>
        <v/>
      </c>
      <c r="H1893" t="str">
        <f t="shared" si="566"/>
        <v/>
      </c>
      <c r="I1893" t="str">
        <f t="shared" si="567"/>
        <v/>
      </c>
      <c r="J1893" t="str">
        <f t="shared" si="568"/>
        <v/>
      </c>
      <c r="K1893" t="str">
        <f t="shared" si="569"/>
        <v/>
      </c>
      <c r="L1893" t="str">
        <f t="shared" si="555"/>
        <v>Option</v>
      </c>
      <c r="M1893" t="str">
        <f t="shared" si="556"/>
        <v>BLACK COATING</v>
      </c>
      <c r="R1893" t="str">
        <f t="shared" si="557"/>
        <v>ZBMW536SSR</v>
      </c>
      <c r="S1893">
        <f t="shared" si="558"/>
        <v>0</v>
      </c>
      <c r="U1893" t="str">
        <f t="shared" si="559"/>
        <v>continue</v>
      </c>
      <c r="V1893" t="str">
        <f t="shared" si="560"/>
        <v>manual</v>
      </c>
      <c r="W1893" s="5">
        <f t="shared" si="561"/>
        <v>730.14690000000019</v>
      </c>
      <c r="Y1893" t="b">
        <f t="shared" si="562"/>
        <v>1</v>
      </c>
      <c r="Z1893" t="b">
        <f t="shared" si="563"/>
        <v>0</v>
      </c>
      <c r="AB1893" t="str">
        <f t="shared" si="564"/>
        <v/>
      </c>
      <c r="AE1893" t="b">
        <v>0</v>
      </c>
    </row>
    <row r="1894" spans="1:31" x14ac:dyDescent="0.2">
      <c r="A1894" t="str">
        <f t="shared" si="551"/>
        <v>https://shop.officineitalianezard.it/en/bmw-nine-t-exhaust-zard-4/</v>
      </c>
      <c r="B1894" t="b">
        <f>COUNTIF($A$2:$A1894, A1894)&gt;1</f>
        <v>0</v>
      </c>
      <c r="C1894" t="b">
        <f t="shared" si="552"/>
        <v>0</v>
      </c>
      <c r="D1894">
        <f>VLOOKUP(A1894,variant_counts!A:B, 2, FALSE)</f>
        <v>0</v>
      </c>
      <c r="E1894" t="str">
        <f t="shared" si="565"/>
        <v>zard-exhaust-titanium-full-kit-bmw-r-nine-t-1200-22-version-zbmw530tkr</v>
      </c>
      <c r="F1894" t="str">
        <f t="shared" si="553"/>
        <v>ZARD EXHAUST TITANIUM FULL KIT BMW R NINE-T 1200 2&gt;2 VERSION ZBMW530TKR</v>
      </c>
      <c r="G1894" t="str">
        <f t="shared" si="554"/>
        <v>&lt;p&gt;2&amp;gt;1&amp;gt;2 TITANIUM RACING FULL KIT&lt;/p&gt;
&lt;p&gt;A VERY SPECIAL EXHAUST TOTALLY HANDMADE AND WELDED BY OUR BEST WELDERS.&lt;/p&gt;
&lt;p&gt;ORIGINAL FULL KIT WEIGHT: 8.8 KG&amp;nbsp;&lt;br&gt;ZARD STEEL FULL KIT WEIGHT: 2.7 KG&lt;/p&gt;
&lt;p&gt;HARD INCREASE, COMPARED TO THE ORIGINAL EXHAUST SYSTEM, IN TERMS OF TORQUE AND POWER AT ANY RANGE.&lt;/p&gt;
&lt;p&gt;ASTONISHING SOUND.&lt;/p&gt;
&lt;p&gt;AVAILABLE ON DEMAND ONLY. DELIVERY 4 WORKING WEEKS FROM ORDER.&lt;/p&gt;
&lt;p&gt;&lt;a href="http://shop.officineitalianezard.it/it/products/index/scarico-bmw-nine-t-zard-7666-143/"&gt;DISCOVER THE ZARD ACCESSORIES FOR YOUR BMW NINE-T&lt;/a&gt;&lt;/p&gt;
&lt;p&gt;NOTE: THE EXHAUST FITS STANDARD FOOT FONTROLS&lt;/p&gt;
&lt;p&gt;&amp;nbsp;&lt;/p&gt;</v>
      </c>
      <c r="H1894" t="str">
        <f t="shared" si="566"/>
        <v>ZARD</v>
      </c>
      <c r="I1894" t="str">
        <f t="shared" si="567"/>
        <v>Exhaust Pipe</v>
      </c>
      <c r="J1894" t="str">
        <f t="shared" si="568"/>
        <v>Test</v>
      </c>
      <c r="K1894" t="b">
        <f t="shared" si="569"/>
        <v>0</v>
      </c>
      <c r="L1894" t="str">
        <f t="shared" si="555"/>
        <v>Title</v>
      </c>
      <c r="M1894" t="str">
        <f t="shared" si="556"/>
        <v>Default Title</v>
      </c>
      <c r="R1894" t="str">
        <f t="shared" si="557"/>
        <v>ZBMW530TKR</v>
      </c>
      <c r="S1894">
        <f t="shared" si="558"/>
        <v>0</v>
      </c>
      <c r="U1894" t="str">
        <f t="shared" si="559"/>
        <v>continue</v>
      </c>
      <c r="V1894" t="str">
        <f t="shared" si="560"/>
        <v>manual</v>
      </c>
      <c r="W1894" s="5">
        <f t="shared" si="561"/>
        <v>3089.8071000000004</v>
      </c>
      <c r="Y1894" t="b">
        <f t="shared" si="562"/>
        <v>1</v>
      </c>
      <c r="Z1894" t="b">
        <f t="shared" si="563"/>
        <v>0</v>
      </c>
      <c r="AB1894" t="str">
        <f t="shared" si="564"/>
        <v>https://shop.officineitalianezard.it/contents/imgs/products/1_1447-1.jpg</v>
      </c>
      <c r="AE1894" t="b">
        <v>0</v>
      </c>
    </row>
    <row r="1895" spans="1:31" x14ac:dyDescent="0.2">
      <c r="A1895" t="str">
        <f t="shared" si="551"/>
        <v>https://shop.officineitalianezard.it/en/bmw-nine-t-exhaust-zard-4/</v>
      </c>
      <c r="B1895" t="b">
        <f>COUNTIF($A$2:$A1895, A1895)&gt;1</f>
        <v>1</v>
      </c>
      <c r="C1895" t="b">
        <f t="shared" si="552"/>
        <v>0</v>
      </c>
      <c r="D1895">
        <f>VLOOKUP(A1895,variant_counts!A:B, 2, FALSE)</f>
        <v>0</v>
      </c>
      <c r="E1895" t="str">
        <f t="shared" si="565"/>
        <v>zard-exhaust-titanium-full-kit-bmw-r-nine-t-1200-22-version-zbmw530tkr</v>
      </c>
      <c r="F1895" t="str">
        <f t="shared" si="553"/>
        <v>ZARD EXHAUST TITANIUM FULL KIT BMW R NINE-T 1200 2&gt;2 VERSION ZBMW530TKR</v>
      </c>
      <c r="G1895" t="str">
        <f t="shared" si="554"/>
        <v/>
      </c>
      <c r="H1895" t="str">
        <f t="shared" si="566"/>
        <v/>
      </c>
      <c r="I1895" t="str">
        <f t="shared" si="567"/>
        <v/>
      </c>
      <c r="J1895" t="str">
        <f t="shared" si="568"/>
        <v/>
      </c>
      <c r="K1895" t="str">
        <f t="shared" si="569"/>
        <v/>
      </c>
      <c r="L1895" t="str">
        <f t="shared" si="555"/>
        <v/>
      </c>
      <c r="M1895" t="str">
        <f t="shared" si="556"/>
        <v/>
      </c>
      <c r="R1895" t="str">
        <f t="shared" si="557"/>
        <v/>
      </c>
      <c r="S1895" t="str">
        <f t="shared" si="558"/>
        <v/>
      </c>
      <c r="U1895" t="str">
        <f t="shared" si="559"/>
        <v/>
      </c>
      <c r="V1895" t="str">
        <f t="shared" si="560"/>
        <v/>
      </c>
      <c r="W1895" s="5" t="str">
        <f t="shared" si="561"/>
        <v/>
      </c>
      <c r="Y1895" t="str">
        <f t="shared" si="562"/>
        <v/>
      </c>
      <c r="Z1895" t="str">
        <f t="shared" si="563"/>
        <v/>
      </c>
      <c r="AB1895" t="str">
        <f t="shared" si="564"/>
        <v>https://shop.officineitalianezard.it/contents/imgs/products/1_1448-3.jpg</v>
      </c>
      <c r="AE1895" t="b">
        <v>0</v>
      </c>
    </row>
    <row r="1896" spans="1:31" x14ac:dyDescent="0.2">
      <c r="A1896" t="str">
        <f t="shared" si="551"/>
        <v>https://shop.officineitalianezard.it/en/bmw-nine-t-exhaust-zard-4/</v>
      </c>
      <c r="B1896" t="b">
        <f>COUNTIF($A$2:$A1896, A1896)&gt;1</f>
        <v>1</v>
      </c>
      <c r="C1896" t="b">
        <f t="shared" si="552"/>
        <v>0</v>
      </c>
      <c r="D1896">
        <f>VLOOKUP(A1896,variant_counts!A:B, 2, FALSE)</f>
        <v>0</v>
      </c>
      <c r="E1896" t="str">
        <f t="shared" si="565"/>
        <v>zard-exhaust-titanium-full-kit-bmw-r-nine-t-1200-22-version-zbmw530tkr</v>
      </c>
      <c r="F1896" t="str">
        <f t="shared" si="553"/>
        <v>ZARD EXHAUST TITANIUM FULL KIT BMW R NINE-T 1200 2&gt;2 VERSION ZBMW530TKR</v>
      </c>
      <c r="G1896" t="str">
        <f t="shared" si="554"/>
        <v/>
      </c>
      <c r="H1896" t="str">
        <f t="shared" si="566"/>
        <v/>
      </c>
      <c r="I1896" t="str">
        <f t="shared" si="567"/>
        <v/>
      </c>
      <c r="J1896" t="str">
        <f t="shared" si="568"/>
        <v/>
      </c>
      <c r="K1896" t="str">
        <f t="shared" si="569"/>
        <v/>
      </c>
      <c r="L1896" t="str">
        <f t="shared" si="555"/>
        <v/>
      </c>
      <c r="M1896" t="str">
        <f t="shared" si="556"/>
        <v/>
      </c>
      <c r="R1896" t="str">
        <f t="shared" si="557"/>
        <v/>
      </c>
      <c r="S1896" t="str">
        <f t="shared" si="558"/>
        <v/>
      </c>
      <c r="U1896" t="str">
        <f t="shared" si="559"/>
        <v/>
      </c>
      <c r="V1896" t="str">
        <f t="shared" si="560"/>
        <v/>
      </c>
      <c r="W1896" s="5" t="str">
        <f t="shared" si="561"/>
        <v/>
      </c>
      <c r="Y1896" t="str">
        <f t="shared" si="562"/>
        <v/>
      </c>
      <c r="Z1896" t="str">
        <f t="shared" si="563"/>
        <v/>
      </c>
      <c r="AB1896" t="str">
        <f t="shared" si="564"/>
        <v>https://shop.officineitalianezard.it/contents/imgs/products/1_1449-2.jpg</v>
      </c>
      <c r="AE1896" t="b">
        <v>0</v>
      </c>
    </row>
    <row r="1897" spans="1:31" x14ac:dyDescent="0.2">
      <c r="A1897" t="str">
        <f t="shared" si="551"/>
        <v>https://shop.officineitalianezard.it/en/bmw-nine-t-exhaust-zard-4/</v>
      </c>
      <c r="B1897" t="b">
        <f>COUNTIF($A$2:$A1897, A1897)&gt;1</f>
        <v>1</v>
      </c>
      <c r="C1897" t="b">
        <f t="shared" si="552"/>
        <v>0</v>
      </c>
      <c r="D1897">
        <f>VLOOKUP(A1897,variant_counts!A:B, 2, FALSE)</f>
        <v>0</v>
      </c>
      <c r="E1897" t="str">
        <f t="shared" si="565"/>
        <v>zard-exhaust-titanium-full-kit-bmw-r-nine-t-1200-22-version-zbmw530tkr</v>
      </c>
      <c r="F1897" t="str">
        <f t="shared" si="553"/>
        <v>ZARD EXHAUST TITANIUM FULL KIT BMW R NINE-T 1200 2&gt;2 VERSION ZBMW530TKR</v>
      </c>
      <c r="G1897" t="str">
        <f t="shared" si="554"/>
        <v/>
      </c>
      <c r="H1897" t="str">
        <f t="shared" si="566"/>
        <v/>
      </c>
      <c r="I1897" t="str">
        <f t="shared" si="567"/>
        <v/>
      </c>
      <c r="J1897" t="str">
        <f t="shared" si="568"/>
        <v/>
      </c>
      <c r="K1897" t="str">
        <f t="shared" si="569"/>
        <v/>
      </c>
      <c r="L1897" t="str">
        <f t="shared" si="555"/>
        <v/>
      </c>
      <c r="M1897" t="str">
        <f t="shared" si="556"/>
        <v/>
      </c>
      <c r="R1897" t="str">
        <f t="shared" si="557"/>
        <v/>
      </c>
      <c r="S1897" t="str">
        <f t="shared" si="558"/>
        <v/>
      </c>
      <c r="U1897" t="str">
        <f t="shared" si="559"/>
        <v/>
      </c>
      <c r="V1897" t="str">
        <f t="shared" si="560"/>
        <v/>
      </c>
      <c r="W1897" s="5" t="str">
        <f t="shared" si="561"/>
        <v/>
      </c>
      <c r="Y1897" t="str">
        <f t="shared" si="562"/>
        <v/>
      </c>
      <c r="Z1897" t="str">
        <f t="shared" si="563"/>
        <v/>
      </c>
      <c r="AB1897" t="str">
        <f t="shared" si="564"/>
        <v>https://shop.officineitalianezard.it/contents/imgs/products/1_2146-r9t.jpg</v>
      </c>
      <c r="AE1897" t="b">
        <v>0</v>
      </c>
    </row>
    <row r="1898" spans="1:31" x14ac:dyDescent="0.2">
      <c r="A1898" t="str">
        <f t="shared" si="551"/>
        <v>https://shop.officineitalianezard.it/en/bmw-nine-t-exhaust-zard-2/</v>
      </c>
      <c r="B1898" t="b">
        <f>COUNTIF($A$2:$A1898, A1898)&gt;1</f>
        <v>0</v>
      </c>
      <c r="C1898" t="b">
        <f t="shared" si="552"/>
        <v>0</v>
      </c>
      <c r="D1898">
        <f>VLOOKUP(A1898,variant_counts!A:B, 2, FALSE)</f>
        <v>0</v>
      </c>
      <c r="E1898" t="str">
        <f t="shared" si="565"/>
        <v>zard-exhaust-titanium-full-kit-bmw-r-nine-t-1200-22-version-zbmw529tkr</v>
      </c>
      <c r="F1898" t="str">
        <f t="shared" si="553"/>
        <v>ZARD EXHAUST TITANIUM FULL KIT BMW R NINE-T 1200 2&gt;2 VERSION ZBMW529TKR</v>
      </c>
      <c r="G1898" t="str">
        <f t="shared" si="554"/>
        <v>&lt;p&gt;2&amp;gt;1&amp;gt;2 TITANIUM RACING FULL KIT WITH REMOVABLE DB KILLERS&lt;/p&gt;
&lt;p&gt;A VERY SPECIAL EXHAUST TOTALLY HANDMADE AND WELDED BY OUR BEST WELDERS.&lt;/p&gt;
&lt;p&gt;CNC BUILD ALUMINIUM ENDCAP&lt;/p&gt;
&lt;p&gt;ORIGINAL FULL KIT WEIGHT: 8.8 KG&amp;nbsp;&lt;br&gt;ZARD STEEL FULL KIT WEIGHT: 3.5 KG&lt;/p&gt;
&lt;p&gt;HARD INCREASE, COMPARED TO THE ORIGINAL EXHAUST SYSTEM, IN TERMS OF TORQUE AND POWER AT ANY RANGE.&lt;/p&gt;
&lt;p&gt;ASTONISHING SOUND.&lt;/p&gt;
&lt;p&gt;AVAILABLE ON DEMAND ONLY. DELIVERY 4 WORKING WEEKS FROM ORDER.&lt;/p&gt;
&lt;p&gt;FITTING MANUAL:&amp;nbsp;&lt;a href="http://shop.officineitalianezard.it//public/contents/imgs/cms/zbmw529tkr.pdf"&gt;DOWNLOAD&lt;/a&gt;&lt;/p&gt;
&lt;p&gt;&lt;a href="http://shop.officineitalianezard.it/it/products/index/scarico-bmw-nine-t-zard-7666-143/"&gt;DISCOVER THE ZARD ACCESSORIES FOR YOUR BMW NINE-T&lt;/a&gt;&lt;/p&gt;</v>
      </c>
      <c r="H1898" t="str">
        <f t="shared" si="566"/>
        <v>ZARD</v>
      </c>
      <c r="I1898" t="str">
        <f t="shared" si="567"/>
        <v>Exhaust Pipe</v>
      </c>
      <c r="J1898" t="str">
        <f t="shared" si="568"/>
        <v>Test</v>
      </c>
      <c r="K1898" t="b">
        <f t="shared" si="569"/>
        <v>0</v>
      </c>
      <c r="L1898" t="str">
        <f t="shared" si="555"/>
        <v>Title</v>
      </c>
      <c r="M1898" t="str">
        <f t="shared" si="556"/>
        <v>Default Title</v>
      </c>
      <c r="R1898" t="str">
        <f t="shared" si="557"/>
        <v>ZBMW529TKR</v>
      </c>
      <c r="S1898">
        <f t="shared" si="558"/>
        <v>0</v>
      </c>
      <c r="U1898" t="str">
        <f t="shared" si="559"/>
        <v>continue</v>
      </c>
      <c r="V1898" t="str">
        <f t="shared" si="560"/>
        <v>manual</v>
      </c>
      <c r="W1898" s="5">
        <f t="shared" si="561"/>
        <v>3363.6663000000003</v>
      </c>
      <c r="Y1898" t="b">
        <f t="shared" si="562"/>
        <v>1</v>
      </c>
      <c r="Z1898" t="b">
        <f t="shared" si="563"/>
        <v>0</v>
      </c>
      <c r="AB1898" t="str">
        <f t="shared" si="564"/>
        <v>https://shop.officineitalianezard.it/contents/imgs/products/1_1376-1.jpg</v>
      </c>
      <c r="AE1898" t="b">
        <v>0</v>
      </c>
    </row>
    <row r="1899" spans="1:31" x14ac:dyDescent="0.2">
      <c r="A1899" t="str">
        <f t="shared" si="551"/>
        <v>https://shop.officineitalianezard.it/en/bmw-nine-t-exhaust-zard-2/</v>
      </c>
      <c r="B1899" t="b">
        <f>COUNTIF($A$2:$A1899, A1899)&gt;1</f>
        <v>1</v>
      </c>
      <c r="C1899" t="b">
        <f t="shared" si="552"/>
        <v>0</v>
      </c>
      <c r="D1899">
        <f>VLOOKUP(A1899,variant_counts!A:B, 2, FALSE)</f>
        <v>0</v>
      </c>
      <c r="E1899" t="str">
        <f t="shared" si="565"/>
        <v>zard-exhaust-titanium-full-kit-bmw-r-nine-t-1200-22-version-zbmw529tkr</v>
      </c>
      <c r="F1899" t="str">
        <f t="shared" si="553"/>
        <v>ZARD EXHAUST TITANIUM FULL KIT BMW R NINE-T 1200 2&gt;2 VERSION ZBMW529TKR</v>
      </c>
      <c r="G1899" t="str">
        <f t="shared" si="554"/>
        <v/>
      </c>
      <c r="H1899" t="str">
        <f t="shared" si="566"/>
        <v/>
      </c>
      <c r="I1899" t="str">
        <f t="shared" si="567"/>
        <v/>
      </c>
      <c r="J1899" t="str">
        <f t="shared" si="568"/>
        <v/>
      </c>
      <c r="K1899" t="str">
        <f t="shared" si="569"/>
        <v/>
      </c>
      <c r="L1899" t="str">
        <f t="shared" si="555"/>
        <v/>
      </c>
      <c r="M1899" t="str">
        <f t="shared" si="556"/>
        <v/>
      </c>
      <c r="R1899" t="str">
        <f t="shared" si="557"/>
        <v/>
      </c>
      <c r="S1899" t="str">
        <f t="shared" si="558"/>
        <v/>
      </c>
      <c r="U1899" t="str">
        <f t="shared" si="559"/>
        <v/>
      </c>
      <c r="V1899" t="str">
        <f t="shared" si="560"/>
        <v/>
      </c>
      <c r="W1899" s="5" t="str">
        <f t="shared" si="561"/>
        <v/>
      </c>
      <c r="Y1899" t="str">
        <f t="shared" si="562"/>
        <v/>
      </c>
      <c r="Z1899" t="str">
        <f t="shared" si="563"/>
        <v/>
      </c>
      <c r="AB1899" t="str">
        <f t="shared" si="564"/>
        <v>https://shop.officineitalianezard.it/contents/imgs/products/1_1377-2.jpg</v>
      </c>
      <c r="AE1899" t="b">
        <v>0</v>
      </c>
    </row>
    <row r="1900" spans="1:31" x14ac:dyDescent="0.2">
      <c r="A1900" t="str">
        <f t="shared" si="551"/>
        <v>https://shop.officineitalianezard.it/en/bmw-nine-t-exhaust-zard-2/</v>
      </c>
      <c r="B1900" t="b">
        <f>COUNTIF($A$2:$A1900, A1900)&gt;1</f>
        <v>1</v>
      </c>
      <c r="C1900" t="b">
        <f t="shared" si="552"/>
        <v>0</v>
      </c>
      <c r="D1900">
        <f>VLOOKUP(A1900,variant_counts!A:B, 2, FALSE)</f>
        <v>0</v>
      </c>
      <c r="E1900" t="str">
        <f t="shared" si="565"/>
        <v>zard-exhaust-titanium-full-kit-bmw-r-nine-t-1200-22-version-zbmw529tkr</v>
      </c>
      <c r="F1900" t="str">
        <f t="shared" si="553"/>
        <v>ZARD EXHAUST TITANIUM FULL KIT BMW R NINE-T 1200 2&gt;2 VERSION ZBMW529TKR</v>
      </c>
      <c r="G1900" t="str">
        <f t="shared" si="554"/>
        <v/>
      </c>
      <c r="H1900" t="str">
        <f t="shared" si="566"/>
        <v/>
      </c>
      <c r="I1900" t="str">
        <f t="shared" si="567"/>
        <v/>
      </c>
      <c r="J1900" t="str">
        <f t="shared" si="568"/>
        <v/>
      </c>
      <c r="K1900" t="str">
        <f t="shared" si="569"/>
        <v/>
      </c>
      <c r="L1900" t="str">
        <f t="shared" si="555"/>
        <v/>
      </c>
      <c r="M1900" t="str">
        <f t="shared" si="556"/>
        <v/>
      </c>
      <c r="R1900" t="str">
        <f t="shared" si="557"/>
        <v/>
      </c>
      <c r="S1900" t="str">
        <f t="shared" si="558"/>
        <v/>
      </c>
      <c r="U1900" t="str">
        <f t="shared" si="559"/>
        <v/>
      </c>
      <c r="V1900" t="str">
        <f t="shared" si="560"/>
        <v/>
      </c>
      <c r="W1900" s="5" t="str">
        <f t="shared" si="561"/>
        <v/>
      </c>
      <c r="Y1900" t="str">
        <f t="shared" si="562"/>
        <v/>
      </c>
      <c r="Z1900" t="str">
        <f t="shared" si="563"/>
        <v/>
      </c>
      <c r="AB1900" t="str">
        <f t="shared" si="564"/>
        <v>https://shop.officineitalianezard.it/contents/imgs/products/1_1378-3.jpg</v>
      </c>
      <c r="AE1900" t="b">
        <v>0</v>
      </c>
    </row>
    <row r="1901" spans="1:31" x14ac:dyDescent="0.2">
      <c r="A1901" t="str">
        <f t="shared" si="551"/>
        <v>https://shop.officineitalianezard.it/en/bmw-nine-t-exhaust-zard-2/</v>
      </c>
      <c r="B1901" t="b">
        <f>COUNTIF($A$2:$A1901, A1901)&gt;1</f>
        <v>1</v>
      </c>
      <c r="C1901" t="b">
        <f t="shared" si="552"/>
        <v>0</v>
      </c>
      <c r="D1901">
        <f>VLOOKUP(A1901,variant_counts!A:B, 2, FALSE)</f>
        <v>0</v>
      </c>
      <c r="E1901" t="str">
        <f t="shared" si="565"/>
        <v>zard-exhaust-titanium-full-kit-bmw-r-nine-t-1200-22-version-zbmw529tkr</v>
      </c>
      <c r="F1901" t="str">
        <f t="shared" si="553"/>
        <v>ZARD EXHAUST TITANIUM FULL KIT BMW R NINE-T 1200 2&gt;2 VERSION ZBMW529TKR</v>
      </c>
      <c r="G1901" t="str">
        <f t="shared" si="554"/>
        <v/>
      </c>
      <c r="H1901" t="str">
        <f t="shared" si="566"/>
        <v/>
      </c>
      <c r="I1901" t="str">
        <f t="shared" si="567"/>
        <v/>
      </c>
      <c r="J1901" t="str">
        <f t="shared" si="568"/>
        <v/>
      </c>
      <c r="K1901" t="str">
        <f t="shared" si="569"/>
        <v/>
      </c>
      <c r="L1901" t="str">
        <f t="shared" si="555"/>
        <v/>
      </c>
      <c r="M1901" t="str">
        <f t="shared" si="556"/>
        <v/>
      </c>
      <c r="R1901" t="str">
        <f t="shared" si="557"/>
        <v/>
      </c>
      <c r="S1901" t="str">
        <f t="shared" si="558"/>
        <v/>
      </c>
      <c r="U1901" t="str">
        <f t="shared" si="559"/>
        <v/>
      </c>
      <c r="V1901" t="str">
        <f t="shared" si="560"/>
        <v/>
      </c>
      <c r="W1901" s="5" t="str">
        <f t="shared" si="561"/>
        <v/>
      </c>
      <c r="Y1901" t="str">
        <f t="shared" si="562"/>
        <v/>
      </c>
      <c r="Z1901" t="str">
        <f t="shared" si="563"/>
        <v/>
      </c>
      <c r="AB1901" t="str">
        <f t="shared" si="564"/>
        <v>https://shop.officineitalianezard.it/contents/imgs/products/1_2147-r9t.jpg</v>
      </c>
      <c r="AE1901" t="b">
        <v>0</v>
      </c>
    </row>
    <row r="1902" spans="1:31" x14ac:dyDescent="0.2">
      <c r="A1902" t="str">
        <f t="shared" si="551"/>
        <v>https://shop.officineitalianezard.it/en/zard-headers-kit-bmw-nine-t-1201/</v>
      </c>
      <c r="B1902" t="b">
        <f>COUNTIF($A$2:$A1902, A1902)&gt;1</f>
        <v>0</v>
      </c>
      <c r="C1902" t="b">
        <f t="shared" si="552"/>
        <v>0</v>
      </c>
      <c r="D1902">
        <f>VLOOKUP(A1902,variant_counts!A:B, 2, FALSE)</f>
        <v>3</v>
      </c>
      <c r="E1902" t="str">
        <f t="shared" si="565"/>
        <v>zard-exhaust-22-headers-kit-bmw-r-nine-t-1200-limited-edition-zbmw526scr-lim</v>
      </c>
      <c r="F1902" t="str">
        <f t="shared" si="553"/>
        <v>ZARD EXHAUST 2&gt;2 HEADERS KIT BMW R NINE-T 1200 LIMITED EDITION ZBMW526SCR-LIM</v>
      </c>
      <c r="G1902" t="str">
        <f t="shared" si="554"/>
        <v>&lt;p&gt;2&amp;gt;2 STEEL RACING HEADERS KIT&amp;nbsp;&lt;/p&gt;
&lt;p&gt;HEADERS KIT CAN BE FITTED WITH ORIGINAL SILENCERS&lt;/p&gt;
&lt;p&gt;ORIGINAL HEADERS KIT WEIGHT: KG 4.4&lt;br&gt;ZARD STEEL HEADERS KIT WEIGHT: 3.8&lt;/p&gt;
&lt;p&gt;HARD INCREASE, COMPARED TO THE ORIGINAL EXHAUST SYSTEM, IN TERMS OF TORQUE AND POWER AT ANY RANGE.&lt;/p&gt;
&lt;p&gt;ASTONISHING SOUND.&lt;/p&gt;
&lt;p&gt;SOUND TEST:&amp;nbsp;&lt;a href="http://youtu.be/DJe9a-qfmqI"&gt;http://youtu.be/DJe9a-qfmqI&lt;/a&gt;&lt;/p&gt;
&lt;p&gt;&lt;a href="http://shop.officineitalianezard.it/it/products/index/scarico-bmw-nine-t-zard-7666-143/"&gt;DISCOVER THE ZARD ACCESSORIES FOR YOUR BMW NINE-T&lt;/a&gt;&lt;/p&gt;</v>
      </c>
      <c r="H1902" t="str">
        <f t="shared" si="566"/>
        <v>ZARD</v>
      </c>
      <c r="I1902" t="str">
        <f t="shared" si="567"/>
        <v>Exhaust Pipe</v>
      </c>
      <c r="J1902" t="str">
        <f t="shared" si="568"/>
        <v>Test</v>
      </c>
      <c r="K1902" t="b">
        <f t="shared" si="569"/>
        <v>0</v>
      </c>
      <c r="L1902" t="str">
        <f t="shared" si="555"/>
        <v/>
      </c>
      <c r="M1902" t="str">
        <f t="shared" si="556"/>
        <v/>
      </c>
      <c r="R1902" t="str">
        <f t="shared" si="557"/>
        <v/>
      </c>
      <c r="S1902" t="str">
        <f t="shared" si="558"/>
        <v/>
      </c>
      <c r="U1902" t="str">
        <f t="shared" si="559"/>
        <v/>
      </c>
      <c r="V1902" t="str">
        <f t="shared" si="560"/>
        <v/>
      </c>
      <c r="W1902" s="5" t="str">
        <f t="shared" si="561"/>
        <v/>
      </c>
      <c r="Y1902" t="str">
        <f t="shared" si="562"/>
        <v/>
      </c>
      <c r="Z1902" t="str">
        <f t="shared" si="563"/>
        <v/>
      </c>
      <c r="AB1902" t="str">
        <f t="shared" si="564"/>
        <v>https://shop.officineitalianezard.it/contents/imgs/products/1_962-1.jpg</v>
      </c>
      <c r="AE1902" t="b">
        <v>0</v>
      </c>
    </row>
    <row r="1903" spans="1:31" x14ac:dyDescent="0.2">
      <c r="A1903" t="str">
        <f t="shared" si="551"/>
        <v>https://shop.officineitalianezard.it/en/zard-headers-kit-bmw-nine-t-1201/</v>
      </c>
      <c r="B1903" t="b">
        <f>COUNTIF($A$2:$A1903, A1903)&gt;1</f>
        <v>1</v>
      </c>
      <c r="C1903" t="b">
        <f t="shared" si="552"/>
        <v>0</v>
      </c>
      <c r="D1903">
        <f>VLOOKUP(A1903,variant_counts!A:B, 2, FALSE)</f>
        <v>3</v>
      </c>
      <c r="E1903" t="str">
        <f t="shared" si="565"/>
        <v>zard-exhaust-22-headers-kit-bmw-r-nine-t-1200-limited-edition-zbmw526scr-lim</v>
      </c>
      <c r="F1903" t="str">
        <f t="shared" si="553"/>
        <v>ZARD EXHAUST 2&gt;2 HEADERS KIT BMW R NINE-T 1200 LIMITED EDITION ZBMW526SCR-LIM</v>
      </c>
      <c r="G1903" t="str">
        <f t="shared" si="554"/>
        <v/>
      </c>
      <c r="H1903" t="str">
        <f t="shared" si="566"/>
        <v/>
      </c>
      <c r="I1903" t="str">
        <f t="shared" si="567"/>
        <v/>
      </c>
      <c r="J1903" t="str">
        <f t="shared" si="568"/>
        <v/>
      </c>
      <c r="K1903" t="str">
        <f t="shared" si="569"/>
        <v/>
      </c>
      <c r="L1903" t="str">
        <f t="shared" si="555"/>
        <v/>
      </c>
      <c r="M1903" t="str">
        <f t="shared" si="556"/>
        <v/>
      </c>
      <c r="R1903" t="str">
        <f t="shared" si="557"/>
        <v/>
      </c>
      <c r="S1903" t="str">
        <f t="shared" si="558"/>
        <v/>
      </c>
      <c r="U1903" t="str">
        <f t="shared" si="559"/>
        <v/>
      </c>
      <c r="V1903" t="str">
        <f t="shared" si="560"/>
        <v/>
      </c>
      <c r="W1903" s="5" t="str">
        <f t="shared" si="561"/>
        <v/>
      </c>
      <c r="Y1903" t="str">
        <f t="shared" si="562"/>
        <v/>
      </c>
      <c r="Z1903" t="str">
        <f t="shared" si="563"/>
        <v/>
      </c>
      <c r="AB1903" t="str">
        <f t="shared" si="564"/>
        <v>https://shop.officineitalianezard.it/contents/imgs/products/1_963-2.jpg</v>
      </c>
      <c r="AE1903" t="b">
        <v>0</v>
      </c>
    </row>
    <row r="1904" spans="1:31" x14ac:dyDescent="0.2">
      <c r="A1904" t="str">
        <f t="shared" si="551"/>
        <v>https://shop.officineitalianezard.it/en/zard-headers-kit-bmw-nine-t-1201/</v>
      </c>
      <c r="B1904" t="b">
        <f>COUNTIF($A$2:$A1904, A1904)&gt;1</f>
        <v>1</v>
      </c>
      <c r="C1904" t="b">
        <f t="shared" si="552"/>
        <v>0</v>
      </c>
      <c r="D1904">
        <f>VLOOKUP(A1904,variant_counts!A:B, 2, FALSE)</f>
        <v>3</v>
      </c>
      <c r="E1904" t="str">
        <f t="shared" si="565"/>
        <v>zard-exhaust-22-headers-kit-bmw-r-nine-t-1200-limited-edition-zbmw526scr-lim</v>
      </c>
      <c r="F1904" t="str">
        <f t="shared" si="553"/>
        <v>ZARD EXHAUST 2&gt;2 HEADERS KIT BMW R NINE-T 1200 LIMITED EDITION ZBMW526SCR-LIM</v>
      </c>
      <c r="G1904" t="str">
        <f t="shared" si="554"/>
        <v/>
      </c>
      <c r="H1904" t="str">
        <f t="shared" si="566"/>
        <v/>
      </c>
      <c r="I1904" t="str">
        <f t="shared" si="567"/>
        <v/>
      </c>
      <c r="J1904" t="str">
        <f t="shared" si="568"/>
        <v/>
      </c>
      <c r="K1904" t="str">
        <f t="shared" si="569"/>
        <v/>
      </c>
      <c r="L1904" t="str">
        <f t="shared" si="555"/>
        <v/>
      </c>
      <c r="M1904" t="str">
        <f t="shared" si="556"/>
        <v/>
      </c>
      <c r="R1904" t="str">
        <f t="shared" si="557"/>
        <v/>
      </c>
      <c r="S1904" t="str">
        <f t="shared" si="558"/>
        <v/>
      </c>
      <c r="U1904" t="str">
        <f t="shared" si="559"/>
        <v/>
      </c>
      <c r="V1904" t="str">
        <f t="shared" si="560"/>
        <v/>
      </c>
      <c r="W1904" s="5" t="str">
        <f t="shared" si="561"/>
        <v/>
      </c>
      <c r="Y1904" t="str">
        <f t="shared" si="562"/>
        <v/>
      </c>
      <c r="Z1904" t="str">
        <f t="shared" si="563"/>
        <v/>
      </c>
      <c r="AB1904" t="str">
        <f t="shared" si="564"/>
        <v>https://shop.officineitalianezard.it/contents/imgs/products/1_1121-SCARICO%20NINE-T%20ZARD.jpg</v>
      </c>
      <c r="AE1904" t="b">
        <v>0</v>
      </c>
    </row>
    <row r="1905" spans="1:31" x14ac:dyDescent="0.2">
      <c r="A1905" t="str">
        <f t="shared" si="551"/>
        <v>https://shop.officineitalianezard.it/en/zard-headers-kit-bmw-nine-t-1201/</v>
      </c>
      <c r="B1905" t="b">
        <f>COUNTIF($A$2:$A1905, A1905)&gt;1</f>
        <v>1</v>
      </c>
      <c r="C1905" t="b">
        <f t="shared" si="552"/>
        <v>0</v>
      </c>
      <c r="D1905">
        <f>VLOOKUP(A1905,variant_counts!A:B, 2, FALSE)</f>
        <v>3</v>
      </c>
      <c r="E1905" t="str">
        <f t="shared" si="565"/>
        <v>zard-exhaust-22-headers-kit-bmw-r-nine-t-1200-limited-edition-zbmw526scr-lim</v>
      </c>
      <c r="F1905" t="str">
        <f t="shared" si="553"/>
        <v>ZARD EXHAUST 2&gt;2 HEADERS KIT BMW R NINE-T 1200 LIMITED EDITION ZBMW526SCR-LIM</v>
      </c>
      <c r="G1905" t="str">
        <f t="shared" si="554"/>
        <v/>
      </c>
      <c r="H1905" t="str">
        <f t="shared" si="566"/>
        <v/>
      </c>
      <c r="I1905" t="str">
        <f t="shared" si="567"/>
        <v/>
      </c>
      <c r="J1905" t="str">
        <f t="shared" si="568"/>
        <v/>
      </c>
      <c r="K1905" t="str">
        <f t="shared" si="569"/>
        <v/>
      </c>
      <c r="L1905" t="str">
        <f t="shared" si="555"/>
        <v/>
      </c>
      <c r="M1905" t="str">
        <f t="shared" si="556"/>
        <v/>
      </c>
      <c r="R1905" t="str">
        <f t="shared" si="557"/>
        <v/>
      </c>
      <c r="S1905" t="str">
        <f t="shared" si="558"/>
        <v/>
      </c>
      <c r="U1905" t="str">
        <f t="shared" si="559"/>
        <v/>
      </c>
      <c r="V1905" t="str">
        <f t="shared" si="560"/>
        <v/>
      </c>
      <c r="W1905" s="5" t="str">
        <f t="shared" si="561"/>
        <v/>
      </c>
      <c r="Y1905" t="str">
        <f t="shared" si="562"/>
        <v/>
      </c>
      <c r="Z1905" t="str">
        <f t="shared" si="563"/>
        <v/>
      </c>
      <c r="AB1905" t="str">
        <f t="shared" si="564"/>
        <v>https://shop.officineitalianezard.it/contents/imgs/products/1_2143-r9t.jpg</v>
      </c>
      <c r="AE1905" t="b">
        <v>0</v>
      </c>
    </row>
    <row r="1906" spans="1:31" x14ac:dyDescent="0.2">
      <c r="A1906" t="str">
        <f t="shared" si="551"/>
        <v>https://shop.officineitalianezard.it/en/zard-headers-kit-bmw-nine-t-1201/</v>
      </c>
      <c r="B1906" t="b">
        <f>COUNTIF($A$2:$A1906, A1906)&gt;1</f>
        <v>1</v>
      </c>
      <c r="C1906" t="b">
        <f t="shared" si="552"/>
        <v>1</v>
      </c>
      <c r="D1906">
        <f>VLOOKUP(A1906,variant_counts!A:B, 2, FALSE)</f>
        <v>3</v>
      </c>
      <c r="E1906" t="str">
        <f t="shared" si="565"/>
        <v>zard-exhaust-22-headers-kit-bmw-r-nine-t-1200-limited-edition-zbmw526scr-lim</v>
      </c>
      <c r="F1906" t="str">
        <f t="shared" si="553"/>
        <v>ZARD EXHAUST 2&gt;2 HEADERS KIT BMW R NINE-T 1200 LIMITED EDITION ZBMW526SCR-LIM</v>
      </c>
      <c r="G1906" t="str">
        <f t="shared" si="554"/>
        <v/>
      </c>
      <c r="H1906" t="str">
        <f t="shared" si="566"/>
        <v/>
      </c>
      <c r="I1906" t="str">
        <f t="shared" si="567"/>
        <v/>
      </c>
      <c r="J1906" t="str">
        <f t="shared" si="568"/>
        <v/>
      </c>
      <c r="K1906" t="str">
        <f t="shared" si="569"/>
        <v/>
      </c>
      <c r="L1906" t="str">
        <f t="shared" si="555"/>
        <v>Option</v>
      </c>
      <c r="M1906" t="str">
        <f t="shared" si="556"/>
        <v>FULL TITANIUM</v>
      </c>
      <c r="R1906" t="str">
        <f t="shared" si="557"/>
        <v>ZBMW526SCR-LIM</v>
      </c>
      <c r="S1906">
        <f t="shared" si="558"/>
        <v>0</v>
      </c>
      <c r="U1906" t="str">
        <f t="shared" si="559"/>
        <v>continue</v>
      </c>
      <c r="V1906" t="str">
        <f t="shared" si="560"/>
        <v>manual</v>
      </c>
      <c r="W1906" s="5">
        <f t="shared" si="561"/>
        <v>948.77250000000004</v>
      </c>
      <c r="Y1906" t="b">
        <f t="shared" si="562"/>
        <v>1</v>
      </c>
      <c r="Z1906" t="b">
        <f t="shared" si="563"/>
        <v>0</v>
      </c>
      <c r="AB1906" t="str">
        <f t="shared" si="564"/>
        <v/>
      </c>
      <c r="AE1906" t="b">
        <v>0</v>
      </c>
    </row>
    <row r="1907" spans="1:31" x14ac:dyDescent="0.2">
      <c r="A1907" t="str">
        <f t="shared" si="551"/>
        <v>https://shop.officineitalianezard.it/en/zard-headers-kit-bmw-nine-t-1201/</v>
      </c>
      <c r="B1907" t="b">
        <f>COUNTIF($A$2:$A1907, A1907)&gt;1</f>
        <v>1</v>
      </c>
      <c r="C1907" t="b">
        <f t="shared" si="552"/>
        <v>1</v>
      </c>
      <c r="D1907">
        <f>VLOOKUP(A1907,variant_counts!A:B, 2, FALSE)</f>
        <v>3</v>
      </c>
      <c r="E1907" t="str">
        <f t="shared" si="565"/>
        <v>zard-exhaust-22-headers-kit-bmw-r-nine-t-1200-limited-edition-zbmw526scr-lim</v>
      </c>
      <c r="F1907" t="str">
        <f t="shared" si="553"/>
        <v>ZARD EXHAUST 2&gt;2 HEADERS KIT BMW R NINE-T 1200 LIMITED EDITION ZBMW526SCR-LIM</v>
      </c>
      <c r="G1907" t="str">
        <f t="shared" si="554"/>
        <v/>
      </c>
      <c r="H1907" t="str">
        <f t="shared" si="566"/>
        <v/>
      </c>
      <c r="I1907" t="str">
        <f t="shared" si="567"/>
        <v/>
      </c>
      <c r="J1907" t="str">
        <f t="shared" si="568"/>
        <v/>
      </c>
      <c r="K1907" t="str">
        <f t="shared" si="569"/>
        <v/>
      </c>
      <c r="L1907" t="str">
        <f t="shared" si="555"/>
        <v>Option</v>
      </c>
      <c r="M1907" t="str">
        <f t="shared" si="556"/>
        <v>BLACK CERAMIC COATING</v>
      </c>
      <c r="R1907" t="str">
        <f t="shared" si="557"/>
        <v>ZBMW526SCR-LIM</v>
      </c>
      <c r="S1907">
        <f t="shared" si="558"/>
        <v>0</v>
      </c>
      <c r="U1907" t="str">
        <f t="shared" si="559"/>
        <v>continue</v>
      </c>
      <c r="V1907" t="str">
        <f t="shared" si="560"/>
        <v>manual</v>
      </c>
      <c r="W1907" s="5">
        <f t="shared" si="561"/>
        <v>879.17550000000017</v>
      </c>
      <c r="Y1907" t="b">
        <f t="shared" si="562"/>
        <v>1</v>
      </c>
      <c r="Z1907" t="b">
        <f t="shared" si="563"/>
        <v>0</v>
      </c>
      <c r="AB1907" t="str">
        <f t="shared" si="564"/>
        <v/>
      </c>
      <c r="AE1907" t="b">
        <v>0</v>
      </c>
    </row>
    <row r="1908" spans="1:31" x14ac:dyDescent="0.2">
      <c r="A1908" t="str">
        <f t="shared" si="551"/>
        <v>https://shop.officineitalianezard.it/en/zard-headers-kit-bmw-nine-t-1201/</v>
      </c>
      <c r="B1908" t="b">
        <f>COUNTIF($A$2:$A1908, A1908)&gt;1</f>
        <v>1</v>
      </c>
      <c r="C1908" t="b">
        <f t="shared" si="552"/>
        <v>1</v>
      </c>
      <c r="D1908">
        <f>VLOOKUP(A1908,variant_counts!A:B, 2, FALSE)</f>
        <v>3</v>
      </c>
      <c r="E1908" t="str">
        <f t="shared" si="565"/>
        <v>zard-exhaust-22-headers-kit-bmw-r-nine-t-1200-limited-edition-zbmw526scr-lim</v>
      </c>
      <c r="F1908" t="str">
        <f t="shared" si="553"/>
        <v>ZARD EXHAUST 2&gt;2 HEADERS KIT BMW R NINE-T 1200 LIMITED EDITION ZBMW526SCR-LIM</v>
      </c>
      <c r="G1908" t="str">
        <f t="shared" si="554"/>
        <v/>
      </c>
      <c r="H1908" t="str">
        <f t="shared" si="566"/>
        <v/>
      </c>
      <c r="I1908" t="str">
        <f t="shared" si="567"/>
        <v/>
      </c>
      <c r="J1908" t="str">
        <f t="shared" si="568"/>
        <v/>
      </c>
      <c r="K1908" t="str">
        <f t="shared" si="569"/>
        <v/>
      </c>
      <c r="L1908" t="str">
        <f t="shared" si="555"/>
        <v>Option</v>
      </c>
      <c r="M1908" t="str">
        <f t="shared" si="556"/>
        <v>EURO 3 HOMOLOGATED</v>
      </c>
      <c r="R1908" t="str">
        <f t="shared" si="557"/>
        <v>ZBMW526SCR-LIM</v>
      </c>
      <c r="S1908">
        <f t="shared" si="558"/>
        <v>0</v>
      </c>
      <c r="U1908" t="str">
        <f t="shared" si="559"/>
        <v>continue</v>
      </c>
      <c r="V1908" t="str">
        <f t="shared" si="560"/>
        <v>manual</v>
      </c>
      <c r="W1908" s="5">
        <f t="shared" si="561"/>
        <v>846.4194</v>
      </c>
      <c r="Y1908" t="b">
        <f t="shared" si="562"/>
        <v>1</v>
      </c>
      <c r="Z1908" t="b">
        <f t="shared" si="563"/>
        <v>0</v>
      </c>
      <c r="AB1908" t="str">
        <f t="shared" si="564"/>
        <v/>
      </c>
      <c r="AE1908" t="b">
        <v>0</v>
      </c>
    </row>
    <row r="1909" spans="1:31" x14ac:dyDescent="0.2">
      <c r="A1909" t="str">
        <f t="shared" si="551"/>
        <v>https://shop.officineitalianezard.it/en/zard-headers-kit-bmw-nine-t-1202/</v>
      </c>
      <c r="B1909" t="b">
        <f>COUNTIF($A$2:$A1909, A1909)&gt;1</f>
        <v>0</v>
      </c>
      <c r="C1909" t="b">
        <f t="shared" si="552"/>
        <v>0</v>
      </c>
      <c r="D1909">
        <f>VLOOKUP(A1909,variant_counts!A:B, 2, FALSE)</f>
        <v>3</v>
      </c>
      <c r="E1909" t="str">
        <f t="shared" si="565"/>
        <v>zard-exhaust-headers-kit-bmw-r-nine-t-1200-22-version-zbmw525scr</v>
      </c>
      <c r="F1909" t="str">
        <f t="shared" si="553"/>
        <v>ZARD EXHAUST HEADERS KIT BMW R NINE-T 1200 2&gt;2 VERSION ZBMW525SCR</v>
      </c>
      <c r="G1909" t="str">
        <f t="shared" si="554"/>
        <v>&lt;p&gt;2&amp;gt;2 STEEL RACING HEADERS KIT&amp;nbsp;&lt;/p&gt;
&lt;p&gt;HEADERS KIT CAN BE FITTED WITH ORIGINAL SILENCERS&lt;/p&gt;
&lt;p&gt;ORIGINAL HEADERS KIT WEIGHT: KG 4.4&lt;/p&gt;
&lt;p&gt;ZARD STEEL HEADERS KIT WEIGHT: 3.8&lt;/p&gt;
&lt;p&gt;HARD INCREASE, COMPARED TO THE ORIGINAL EXHAUST SYSTEM, IN TERMS OF TORQUE AND POWER AT ANY RANGE.&lt;/p&gt;
&lt;p&gt;ASTONISHING SOUND.&lt;/p&gt;
&lt;p&gt;N.B.: PHOTOS ARE REFERRED TO LIMITED VERSION WITH SNAKE WELDED PIPES&lt;/p&gt;
&lt;p&gt;SOUND TEST:&amp;nbsp;&lt;a href="http://youtu.be/DJe9a-qfmqI"&gt;http://youtu.be/DJe9a-qfmqI&lt;/a&gt;&lt;/p&gt;
&lt;p&gt;&lt;a href="http://shop.officineitalianezard.it/it/products/index/scarico-bmw-nine-t-zard-7666-143/"&gt;DISCOVER THE ZARD ACCESSORIES FOR YOUR BMW NINE-T&lt;/a&gt;&lt;/p&gt;
&lt;p&gt;&amp;nbsp;&lt;/p&gt;</v>
      </c>
      <c r="H1909" t="str">
        <f t="shared" si="566"/>
        <v>ZARD</v>
      </c>
      <c r="I1909" t="str">
        <f t="shared" si="567"/>
        <v>Exhaust Pipe</v>
      </c>
      <c r="J1909" t="str">
        <f t="shared" si="568"/>
        <v>Test</v>
      </c>
      <c r="K1909" t="b">
        <f t="shared" si="569"/>
        <v>0</v>
      </c>
      <c r="L1909" t="str">
        <f t="shared" si="555"/>
        <v/>
      </c>
      <c r="M1909" t="str">
        <f t="shared" si="556"/>
        <v/>
      </c>
      <c r="R1909" t="str">
        <f t="shared" si="557"/>
        <v/>
      </c>
      <c r="S1909" t="str">
        <f t="shared" si="558"/>
        <v/>
      </c>
      <c r="U1909" t="str">
        <f t="shared" si="559"/>
        <v/>
      </c>
      <c r="V1909" t="str">
        <f t="shared" si="560"/>
        <v/>
      </c>
      <c r="W1909" s="5" t="str">
        <f t="shared" si="561"/>
        <v/>
      </c>
      <c r="Y1909" t="str">
        <f t="shared" si="562"/>
        <v/>
      </c>
      <c r="Z1909" t="str">
        <f t="shared" si="563"/>
        <v/>
      </c>
      <c r="AB1909" t="str">
        <f t="shared" si="564"/>
        <v>https://shop.officineitalianezard.it/contents/imgs/products/1_959-1.jpg</v>
      </c>
      <c r="AE1909" t="b">
        <v>0</v>
      </c>
    </row>
    <row r="1910" spans="1:31" x14ac:dyDescent="0.2">
      <c r="A1910" t="str">
        <f t="shared" si="551"/>
        <v>https://shop.officineitalianezard.it/en/zard-headers-kit-bmw-nine-t-1202/</v>
      </c>
      <c r="B1910" t="b">
        <f>COUNTIF($A$2:$A1910, A1910)&gt;1</f>
        <v>1</v>
      </c>
      <c r="C1910" t="b">
        <f t="shared" si="552"/>
        <v>0</v>
      </c>
      <c r="D1910">
        <f>VLOOKUP(A1910,variant_counts!A:B, 2, FALSE)</f>
        <v>3</v>
      </c>
      <c r="E1910" t="str">
        <f t="shared" si="565"/>
        <v>zard-exhaust-headers-kit-bmw-r-nine-t-1200-22-version-zbmw525scr</v>
      </c>
      <c r="F1910" t="str">
        <f t="shared" si="553"/>
        <v>ZARD EXHAUST HEADERS KIT BMW R NINE-T 1200 2&gt;2 VERSION ZBMW525SCR</v>
      </c>
      <c r="G1910" t="str">
        <f t="shared" si="554"/>
        <v/>
      </c>
      <c r="H1910" t="str">
        <f t="shared" si="566"/>
        <v/>
      </c>
      <c r="I1910" t="str">
        <f t="shared" si="567"/>
        <v/>
      </c>
      <c r="J1910" t="str">
        <f t="shared" si="568"/>
        <v/>
      </c>
      <c r="K1910" t="str">
        <f t="shared" si="569"/>
        <v/>
      </c>
      <c r="L1910" t="str">
        <f t="shared" si="555"/>
        <v/>
      </c>
      <c r="M1910" t="str">
        <f t="shared" si="556"/>
        <v/>
      </c>
      <c r="R1910" t="str">
        <f t="shared" si="557"/>
        <v/>
      </c>
      <c r="S1910" t="str">
        <f t="shared" si="558"/>
        <v/>
      </c>
      <c r="U1910" t="str">
        <f t="shared" si="559"/>
        <v/>
      </c>
      <c r="V1910" t="str">
        <f t="shared" si="560"/>
        <v/>
      </c>
      <c r="W1910" s="5" t="str">
        <f t="shared" si="561"/>
        <v/>
      </c>
      <c r="Y1910" t="str">
        <f t="shared" si="562"/>
        <v/>
      </c>
      <c r="Z1910" t="str">
        <f t="shared" si="563"/>
        <v/>
      </c>
      <c r="AB1910" t="str">
        <f t="shared" si="564"/>
        <v>https://shop.officineitalianezard.it/contents/imgs/products/1_960-2.jpg</v>
      </c>
      <c r="AE1910" t="b">
        <v>0</v>
      </c>
    </row>
    <row r="1911" spans="1:31" x14ac:dyDescent="0.2">
      <c r="A1911" t="str">
        <f t="shared" si="551"/>
        <v>https://shop.officineitalianezard.it/en/zard-headers-kit-bmw-nine-t-1202/</v>
      </c>
      <c r="B1911" t="b">
        <f>COUNTIF($A$2:$A1911, A1911)&gt;1</f>
        <v>1</v>
      </c>
      <c r="C1911" t="b">
        <f t="shared" si="552"/>
        <v>0</v>
      </c>
      <c r="D1911">
        <f>VLOOKUP(A1911,variant_counts!A:B, 2, FALSE)</f>
        <v>3</v>
      </c>
      <c r="E1911" t="str">
        <f t="shared" si="565"/>
        <v>zard-exhaust-headers-kit-bmw-r-nine-t-1200-22-version-zbmw525scr</v>
      </c>
      <c r="F1911" t="str">
        <f t="shared" si="553"/>
        <v>ZARD EXHAUST HEADERS KIT BMW R NINE-T 1200 2&gt;2 VERSION ZBMW525SCR</v>
      </c>
      <c r="G1911" t="str">
        <f t="shared" si="554"/>
        <v/>
      </c>
      <c r="H1911" t="str">
        <f t="shared" si="566"/>
        <v/>
      </c>
      <c r="I1911" t="str">
        <f t="shared" si="567"/>
        <v/>
      </c>
      <c r="J1911" t="str">
        <f t="shared" si="568"/>
        <v/>
      </c>
      <c r="K1911" t="str">
        <f t="shared" si="569"/>
        <v/>
      </c>
      <c r="L1911" t="str">
        <f t="shared" si="555"/>
        <v/>
      </c>
      <c r="M1911" t="str">
        <f t="shared" si="556"/>
        <v/>
      </c>
      <c r="R1911" t="str">
        <f t="shared" si="557"/>
        <v/>
      </c>
      <c r="S1911" t="str">
        <f t="shared" si="558"/>
        <v/>
      </c>
      <c r="U1911" t="str">
        <f t="shared" si="559"/>
        <v/>
      </c>
      <c r="V1911" t="str">
        <f t="shared" si="560"/>
        <v/>
      </c>
      <c r="W1911" s="5" t="str">
        <f t="shared" si="561"/>
        <v/>
      </c>
      <c r="Y1911" t="str">
        <f t="shared" si="562"/>
        <v/>
      </c>
      <c r="Z1911" t="str">
        <f t="shared" si="563"/>
        <v/>
      </c>
      <c r="AB1911" t="str">
        <f t="shared" si="564"/>
        <v>https://shop.officineitalianezard.it/contents/imgs/products/1_1120-SCARICO%20NINE-T%20ZARD.jpg</v>
      </c>
      <c r="AE1911" t="b">
        <v>0</v>
      </c>
    </row>
    <row r="1912" spans="1:31" x14ac:dyDescent="0.2">
      <c r="A1912" t="str">
        <f t="shared" si="551"/>
        <v>https://shop.officineitalianezard.it/en/zard-headers-kit-bmw-nine-t-1202/</v>
      </c>
      <c r="B1912" t="b">
        <f>COUNTIF($A$2:$A1912, A1912)&gt;1</f>
        <v>1</v>
      </c>
      <c r="C1912" t="b">
        <f t="shared" si="552"/>
        <v>1</v>
      </c>
      <c r="D1912">
        <f>VLOOKUP(A1912,variant_counts!A:B, 2, FALSE)</f>
        <v>3</v>
      </c>
      <c r="E1912" t="str">
        <f t="shared" si="565"/>
        <v>zard-exhaust-headers-kit-bmw-r-nine-t-1200-22-version-zbmw525scr</v>
      </c>
      <c r="F1912" t="str">
        <f t="shared" si="553"/>
        <v>ZARD EXHAUST HEADERS KIT BMW R NINE-T 1200 2&gt;2 VERSION ZBMW525SCR</v>
      </c>
      <c r="G1912" t="str">
        <f t="shared" si="554"/>
        <v/>
      </c>
      <c r="H1912" t="str">
        <f t="shared" si="566"/>
        <v/>
      </c>
      <c r="I1912" t="str">
        <f t="shared" si="567"/>
        <v/>
      </c>
      <c r="J1912" t="str">
        <f t="shared" si="568"/>
        <v/>
      </c>
      <c r="K1912" t="str">
        <f t="shared" si="569"/>
        <v/>
      </c>
      <c r="L1912" t="str">
        <f t="shared" si="555"/>
        <v>Option</v>
      </c>
      <c r="M1912" t="str">
        <f t="shared" si="556"/>
        <v>FULL TITANIUM RACING</v>
      </c>
      <c r="R1912" t="str">
        <f t="shared" si="557"/>
        <v>ZBMW525SCR</v>
      </c>
      <c r="S1912">
        <f t="shared" si="558"/>
        <v>0</v>
      </c>
      <c r="U1912" t="str">
        <f t="shared" si="559"/>
        <v>continue</v>
      </c>
      <c r="V1912" t="str">
        <f t="shared" si="560"/>
        <v>manual</v>
      </c>
      <c r="W1912" s="5">
        <f t="shared" si="561"/>
        <v>727.68270000000007</v>
      </c>
      <c r="Y1912" t="b">
        <f t="shared" si="562"/>
        <v>1</v>
      </c>
      <c r="Z1912" t="b">
        <f t="shared" si="563"/>
        <v>0</v>
      </c>
      <c r="AB1912" t="str">
        <f t="shared" si="564"/>
        <v/>
      </c>
      <c r="AE1912" t="b">
        <v>0</v>
      </c>
    </row>
    <row r="1913" spans="1:31" x14ac:dyDescent="0.2">
      <c r="A1913" t="str">
        <f t="shared" si="551"/>
        <v>https://shop.officineitalianezard.it/en/zard-headers-kit-bmw-nine-t-1202/</v>
      </c>
      <c r="B1913" t="b">
        <f>COUNTIF($A$2:$A1913, A1913)&gt;1</f>
        <v>1</v>
      </c>
      <c r="C1913" t="b">
        <f t="shared" si="552"/>
        <v>1</v>
      </c>
      <c r="D1913">
        <f>VLOOKUP(A1913,variant_counts!A:B, 2, FALSE)</f>
        <v>3</v>
      </c>
      <c r="E1913" t="str">
        <f t="shared" si="565"/>
        <v>zard-exhaust-headers-kit-bmw-r-nine-t-1200-22-version-zbmw525scr</v>
      </c>
      <c r="F1913" t="str">
        <f t="shared" si="553"/>
        <v>ZARD EXHAUST HEADERS KIT BMW R NINE-T 1200 2&gt;2 VERSION ZBMW525SCR</v>
      </c>
      <c r="G1913" t="str">
        <f t="shared" si="554"/>
        <v/>
      </c>
      <c r="H1913" t="str">
        <f t="shared" si="566"/>
        <v/>
      </c>
      <c r="I1913" t="str">
        <f t="shared" si="567"/>
        <v/>
      </c>
      <c r="J1913" t="str">
        <f t="shared" si="568"/>
        <v/>
      </c>
      <c r="K1913" t="str">
        <f t="shared" si="569"/>
        <v/>
      </c>
      <c r="L1913" t="str">
        <f t="shared" si="555"/>
        <v>Option</v>
      </c>
      <c r="M1913" t="str">
        <f t="shared" si="556"/>
        <v>BLACK CERAMIC COATING</v>
      </c>
      <c r="R1913" t="str">
        <f t="shared" si="557"/>
        <v>ZBMW525SCR</v>
      </c>
      <c r="S1913">
        <f t="shared" si="558"/>
        <v>0</v>
      </c>
      <c r="U1913" t="str">
        <f t="shared" si="559"/>
        <v>continue</v>
      </c>
      <c r="V1913" t="str">
        <f t="shared" si="560"/>
        <v>manual</v>
      </c>
      <c r="W1913" s="5">
        <f t="shared" si="561"/>
        <v>658.08570000000009</v>
      </c>
      <c r="Y1913" t="b">
        <f t="shared" si="562"/>
        <v>1</v>
      </c>
      <c r="Z1913" t="b">
        <f t="shared" si="563"/>
        <v>0</v>
      </c>
      <c r="AB1913" t="str">
        <f t="shared" si="564"/>
        <v/>
      </c>
      <c r="AE1913" t="b">
        <v>0</v>
      </c>
    </row>
    <row r="1914" spans="1:31" x14ac:dyDescent="0.2">
      <c r="A1914" t="str">
        <f t="shared" si="551"/>
        <v>https://shop.officineitalianezard.it/en/zard-headers-kit-bmw-nine-t-1202/</v>
      </c>
      <c r="B1914" t="b">
        <f>COUNTIF($A$2:$A1914, A1914)&gt;1</f>
        <v>1</v>
      </c>
      <c r="C1914" t="b">
        <f t="shared" si="552"/>
        <v>1</v>
      </c>
      <c r="D1914">
        <f>VLOOKUP(A1914,variant_counts!A:B, 2, FALSE)</f>
        <v>3</v>
      </c>
      <c r="E1914" t="str">
        <f t="shared" si="565"/>
        <v>zard-exhaust-headers-kit-bmw-r-nine-t-1200-22-version-zbmw525scr</v>
      </c>
      <c r="F1914" t="str">
        <f t="shared" si="553"/>
        <v>ZARD EXHAUST HEADERS KIT BMW R NINE-T 1200 2&gt;2 VERSION ZBMW525SCR</v>
      </c>
      <c r="G1914" t="str">
        <f t="shared" si="554"/>
        <v/>
      </c>
      <c r="H1914" t="str">
        <f t="shared" si="566"/>
        <v/>
      </c>
      <c r="I1914" t="str">
        <f t="shared" si="567"/>
        <v/>
      </c>
      <c r="J1914" t="str">
        <f t="shared" si="568"/>
        <v/>
      </c>
      <c r="K1914" t="str">
        <f t="shared" si="569"/>
        <v/>
      </c>
      <c r="L1914" t="str">
        <f t="shared" si="555"/>
        <v>Option</v>
      </c>
      <c r="M1914" t="str">
        <f t="shared" si="556"/>
        <v>EURO 3 HOMOLOGATED</v>
      </c>
      <c r="R1914" t="str">
        <f t="shared" si="557"/>
        <v>ZBMW525SCR</v>
      </c>
      <c r="S1914">
        <f t="shared" si="558"/>
        <v>0</v>
      </c>
      <c r="U1914" t="str">
        <f t="shared" si="559"/>
        <v>continue</v>
      </c>
      <c r="V1914" t="str">
        <f t="shared" si="560"/>
        <v>manual</v>
      </c>
      <c r="W1914" s="5">
        <f t="shared" si="561"/>
        <v>625.32960000000003</v>
      </c>
      <c r="Y1914" t="b">
        <f t="shared" si="562"/>
        <v>1</v>
      </c>
      <c r="Z1914" t="b">
        <f t="shared" si="563"/>
        <v>0</v>
      </c>
      <c r="AB1914" t="str">
        <f t="shared" si="564"/>
        <v/>
      </c>
      <c r="AE1914" t="b">
        <v>0</v>
      </c>
    </row>
    <row r="1915" spans="1:31" x14ac:dyDescent="0.2">
      <c r="A1915" t="str">
        <f t="shared" si="551"/>
        <v>https://shop.officineitalianezard.it/en/n-2-zard-conical-silencer-bmw-nine-t-1200/</v>
      </c>
      <c r="B1915" t="b">
        <f>COUNTIF($A$2:$A1915, A1915)&gt;1</f>
        <v>0</v>
      </c>
      <c r="C1915" t="b">
        <f t="shared" si="552"/>
        <v>0</v>
      </c>
      <c r="D1915">
        <f>VLOOKUP(A1915,variant_counts!A:B, 2, FALSE)</f>
        <v>4</v>
      </c>
      <c r="E1915" t="str">
        <f t="shared" si="565"/>
        <v>zard-exhaust-n-2-silencers-bmw-r-nine-t-1200-limited-edition-zbmw526ssr-lim</v>
      </c>
      <c r="F1915" t="str">
        <f t="shared" si="553"/>
        <v>ZARD EXHAUST N. 2 SILENCERS BMW R NINE-T 1200 LIMITED EDITION ZBMW526SSR-LIM</v>
      </c>
      <c r="G1915" t="str">
        <f t="shared" si="554"/>
        <v>&lt;p&gt;N. 2 STEEL RACING SILENCERS WITH REMOVABLE DB KILLERS.&lt;/p&gt;
&lt;p&gt;LIMITED VERSION&lt;/p&gt;
&lt;p&gt;ORIGINAL SILENCER WEIGHT: KG 4.4&lt;br&gt;ZARD STEEL SILENCERS WEIGHT: KG 4.2&lt;/p&gt;
&lt;p&gt;BLACK &amp;amp; SILVER MACHINED FROM SOLID ALUMINIUM END-CAP.&lt;/p&gt;
&lt;p&gt;ZARD SILENCERS CAN BE FITTED WITH ORIGINAL HEADERS KIT.&lt;/p&gt;
&lt;p&gt;THE EXHAUST CAN BE FITTED OF ONE CITY MOTORBIKE VERSION USING THE BRACKET AVAILABLE AS OPTIONAL.&lt;/p&gt;
&lt;p&gt;HARD INCREASE, COMPARED TO THE ORIGINAL EXHAUST SYSTEM, IN TERMS OF TORQUE AND POWER AT ANY RANGE.&lt;/p&gt;
&lt;p&gt;ASTONISHING SOUND.&lt;/p&gt;
&lt;p&gt;SOUND TEST:&amp;nbsp;&lt;a href="http://youtu.be/DJe9a-qfmqI"&gt;http://youtu.be/DJe9a-qfmqI&lt;/a&gt;&lt;/p&gt;
&lt;p&gt;&lt;a href="http://shop.officineitalianezard.it/it/products/index/scarico-bmw-nine-t-zard-7666-143/"&gt;DISCOVER THE ZARD ACCESSORIES FOR YOUR BMW ZARD NINE - T&lt;/a&gt;&lt;/p&gt;</v>
      </c>
      <c r="H1915" t="str">
        <f t="shared" si="566"/>
        <v>ZARD</v>
      </c>
      <c r="I1915" t="str">
        <f t="shared" si="567"/>
        <v>Exhaust Pipe</v>
      </c>
      <c r="J1915" t="str">
        <f t="shared" si="568"/>
        <v>Test</v>
      </c>
      <c r="K1915" t="b">
        <f t="shared" si="569"/>
        <v>0</v>
      </c>
      <c r="L1915" t="str">
        <f t="shared" si="555"/>
        <v/>
      </c>
      <c r="M1915" t="str">
        <f t="shared" si="556"/>
        <v/>
      </c>
      <c r="R1915" t="str">
        <f t="shared" si="557"/>
        <v/>
      </c>
      <c r="S1915" t="str">
        <f t="shared" si="558"/>
        <v/>
      </c>
      <c r="U1915" t="str">
        <f t="shared" si="559"/>
        <v/>
      </c>
      <c r="V1915" t="str">
        <f t="shared" si="560"/>
        <v/>
      </c>
      <c r="W1915" s="5" t="str">
        <f t="shared" si="561"/>
        <v/>
      </c>
      <c r="Y1915" t="str">
        <f t="shared" si="562"/>
        <v/>
      </c>
      <c r="Z1915" t="str">
        <f t="shared" si="563"/>
        <v/>
      </c>
      <c r="AB1915" t="str">
        <f t="shared" si="564"/>
        <v>https://shop.officineitalianezard.it/contents/imgs/products/1_953-1.jpg</v>
      </c>
      <c r="AE1915" t="b">
        <v>0</v>
      </c>
    </row>
    <row r="1916" spans="1:31" x14ac:dyDescent="0.2">
      <c r="A1916" t="str">
        <f t="shared" si="551"/>
        <v>https://shop.officineitalianezard.it/en/n-2-zard-conical-silencer-bmw-nine-t-1200/</v>
      </c>
      <c r="B1916" t="b">
        <f>COUNTIF($A$2:$A1916, A1916)&gt;1</f>
        <v>1</v>
      </c>
      <c r="C1916" t="b">
        <f t="shared" si="552"/>
        <v>0</v>
      </c>
      <c r="D1916">
        <f>VLOOKUP(A1916,variant_counts!A:B, 2, FALSE)</f>
        <v>4</v>
      </c>
      <c r="E1916" t="str">
        <f t="shared" si="565"/>
        <v>zard-exhaust-n-2-silencers-bmw-r-nine-t-1200-limited-edition-zbmw526ssr-lim</v>
      </c>
      <c r="F1916" t="str">
        <f t="shared" si="553"/>
        <v>ZARD EXHAUST N. 2 SILENCERS BMW R NINE-T 1200 LIMITED EDITION ZBMW526SSR-LIM</v>
      </c>
      <c r="G1916" t="str">
        <f t="shared" si="554"/>
        <v/>
      </c>
      <c r="H1916" t="str">
        <f t="shared" si="566"/>
        <v/>
      </c>
      <c r="I1916" t="str">
        <f t="shared" si="567"/>
        <v/>
      </c>
      <c r="J1916" t="str">
        <f t="shared" si="568"/>
        <v/>
      </c>
      <c r="K1916" t="str">
        <f t="shared" si="569"/>
        <v/>
      </c>
      <c r="L1916" t="str">
        <f t="shared" si="555"/>
        <v/>
      </c>
      <c r="M1916" t="str">
        <f t="shared" si="556"/>
        <v/>
      </c>
      <c r="R1916" t="str">
        <f t="shared" si="557"/>
        <v/>
      </c>
      <c r="S1916" t="str">
        <f t="shared" si="558"/>
        <v/>
      </c>
      <c r="U1916" t="str">
        <f t="shared" si="559"/>
        <v/>
      </c>
      <c r="V1916" t="str">
        <f t="shared" si="560"/>
        <v/>
      </c>
      <c r="W1916" s="5" t="str">
        <f t="shared" si="561"/>
        <v/>
      </c>
      <c r="Y1916" t="str">
        <f t="shared" si="562"/>
        <v/>
      </c>
      <c r="Z1916" t="str">
        <f t="shared" si="563"/>
        <v/>
      </c>
      <c r="AB1916" t="str">
        <f t="shared" si="564"/>
        <v>https://shop.officineitalianezard.it/contents/imgs/products/1_954-2.jpg</v>
      </c>
      <c r="AE1916" t="b">
        <v>0</v>
      </c>
    </row>
    <row r="1917" spans="1:31" x14ac:dyDescent="0.2">
      <c r="A1917" t="str">
        <f t="shared" si="551"/>
        <v>https://shop.officineitalianezard.it/en/n-2-zard-conical-silencer-bmw-nine-t-1200/</v>
      </c>
      <c r="B1917" t="b">
        <f>COUNTIF($A$2:$A1917, A1917)&gt;1</f>
        <v>1</v>
      </c>
      <c r="C1917" t="b">
        <f t="shared" si="552"/>
        <v>0</v>
      </c>
      <c r="D1917">
        <f>VLOOKUP(A1917,variant_counts!A:B, 2, FALSE)</f>
        <v>4</v>
      </c>
      <c r="E1917" t="str">
        <f t="shared" si="565"/>
        <v>zard-exhaust-n-2-silencers-bmw-r-nine-t-1200-limited-edition-zbmw526ssr-lim</v>
      </c>
      <c r="F1917" t="str">
        <f t="shared" si="553"/>
        <v>ZARD EXHAUST N. 2 SILENCERS BMW R NINE-T 1200 LIMITED EDITION ZBMW526SSR-LIM</v>
      </c>
      <c r="G1917" t="str">
        <f t="shared" si="554"/>
        <v/>
      </c>
      <c r="H1917" t="str">
        <f t="shared" si="566"/>
        <v/>
      </c>
      <c r="I1917" t="str">
        <f t="shared" si="567"/>
        <v/>
      </c>
      <c r="J1917" t="str">
        <f t="shared" si="568"/>
        <v/>
      </c>
      <c r="K1917" t="str">
        <f t="shared" si="569"/>
        <v/>
      </c>
      <c r="L1917" t="str">
        <f t="shared" si="555"/>
        <v/>
      </c>
      <c r="M1917" t="str">
        <f t="shared" si="556"/>
        <v/>
      </c>
      <c r="R1917" t="str">
        <f t="shared" si="557"/>
        <v/>
      </c>
      <c r="S1917" t="str">
        <f t="shared" si="558"/>
        <v/>
      </c>
      <c r="U1917" t="str">
        <f t="shared" si="559"/>
        <v/>
      </c>
      <c r="V1917" t="str">
        <f t="shared" si="560"/>
        <v/>
      </c>
      <c r="W1917" s="5" t="str">
        <f t="shared" si="561"/>
        <v/>
      </c>
      <c r="Y1917" t="str">
        <f t="shared" si="562"/>
        <v/>
      </c>
      <c r="Z1917" t="str">
        <f t="shared" si="563"/>
        <v/>
      </c>
      <c r="AB1917" t="str">
        <f t="shared" si="564"/>
        <v>https://shop.officineitalianezard.it/contents/imgs/products/1_955-3.jpg</v>
      </c>
      <c r="AE1917" t="b">
        <v>0</v>
      </c>
    </row>
    <row r="1918" spans="1:31" x14ac:dyDescent="0.2">
      <c r="A1918" t="str">
        <f t="shared" si="551"/>
        <v>https://shop.officineitalianezard.it/en/n-2-zard-conical-silencer-bmw-nine-t-1200/</v>
      </c>
      <c r="B1918" t="b">
        <f>COUNTIF($A$2:$A1918, A1918)&gt;1</f>
        <v>1</v>
      </c>
      <c r="C1918" t="b">
        <f t="shared" si="552"/>
        <v>0</v>
      </c>
      <c r="D1918">
        <f>VLOOKUP(A1918,variant_counts!A:B, 2, FALSE)</f>
        <v>4</v>
      </c>
      <c r="E1918" t="str">
        <f t="shared" si="565"/>
        <v>zard-exhaust-n-2-silencers-bmw-r-nine-t-1200-limited-edition-zbmw526ssr-lim</v>
      </c>
      <c r="F1918" t="str">
        <f t="shared" si="553"/>
        <v>ZARD EXHAUST N. 2 SILENCERS BMW R NINE-T 1200 LIMITED EDITION ZBMW526SSR-LIM</v>
      </c>
      <c r="G1918" t="str">
        <f t="shared" si="554"/>
        <v/>
      </c>
      <c r="H1918" t="str">
        <f t="shared" si="566"/>
        <v/>
      </c>
      <c r="I1918" t="str">
        <f t="shared" si="567"/>
        <v/>
      </c>
      <c r="J1918" t="str">
        <f t="shared" si="568"/>
        <v/>
      </c>
      <c r="K1918" t="str">
        <f t="shared" si="569"/>
        <v/>
      </c>
      <c r="L1918" t="str">
        <f t="shared" si="555"/>
        <v/>
      </c>
      <c r="M1918" t="str">
        <f t="shared" si="556"/>
        <v/>
      </c>
      <c r="R1918" t="str">
        <f t="shared" si="557"/>
        <v/>
      </c>
      <c r="S1918" t="str">
        <f t="shared" si="558"/>
        <v/>
      </c>
      <c r="U1918" t="str">
        <f t="shared" si="559"/>
        <v/>
      </c>
      <c r="V1918" t="str">
        <f t="shared" si="560"/>
        <v/>
      </c>
      <c r="W1918" s="5" t="str">
        <f t="shared" si="561"/>
        <v/>
      </c>
      <c r="Y1918" t="str">
        <f t="shared" si="562"/>
        <v/>
      </c>
      <c r="Z1918" t="str">
        <f t="shared" si="563"/>
        <v/>
      </c>
      <c r="AB1918" t="str">
        <f t="shared" si="564"/>
        <v>https://shop.officineitalianezard.it/contents/imgs/products/1_1119-SCARICO%20NINE-T%20ZARD.jpg</v>
      </c>
      <c r="AE1918" t="b">
        <v>0</v>
      </c>
    </row>
    <row r="1919" spans="1:31" x14ac:dyDescent="0.2">
      <c r="A1919" t="str">
        <f t="shared" si="551"/>
        <v>https://shop.officineitalianezard.it/en/n-2-zard-conical-silencer-bmw-nine-t-1200/</v>
      </c>
      <c r="B1919" t="b">
        <f>COUNTIF($A$2:$A1919, A1919)&gt;1</f>
        <v>1</v>
      </c>
      <c r="C1919" t="b">
        <f t="shared" si="552"/>
        <v>1</v>
      </c>
      <c r="D1919">
        <f>VLOOKUP(A1919,variant_counts!A:B, 2, FALSE)</f>
        <v>4</v>
      </c>
      <c r="E1919" t="str">
        <f t="shared" si="565"/>
        <v>zard-exhaust-n-2-silencers-bmw-r-nine-t-1200-limited-edition-zbmw526ssr-lim</v>
      </c>
      <c r="F1919" t="str">
        <f t="shared" si="553"/>
        <v>ZARD EXHAUST N. 2 SILENCERS BMW R NINE-T 1200 LIMITED EDITION ZBMW526SSR-LIM</v>
      </c>
      <c r="G1919" t="str">
        <f t="shared" si="554"/>
        <v/>
      </c>
      <c r="H1919" t="str">
        <f t="shared" si="566"/>
        <v/>
      </c>
      <c r="I1919" t="str">
        <f t="shared" si="567"/>
        <v/>
      </c>
      <c r="J1919" t="str">
        <f t="shared" si="568"/>
        <v/>
      </c>
      <c r="K1919" t="str">
        <f t="shared" si="569"/>
        <v/>
      </c>
      <c r="L1919" t="str">
        <f t="shared" si="555"/>
        <v>Option</v>
      </c>
      <c r="M1919" t="str">
        <f t="shared" si="556"/>
        <v>HOMOLOGATED</v>
      </c>
      <c r="R1919" t="str">
        <f t="shared" si="557"/>
        <v>ZBMW526SSR-LIM</v>
      </c>
      <c r="S1919">
        <f t="shared" si="558"/>
        <v>0</v>
      </c>
      <c r="U1919" t="str">
        <f t="shared" si="559"/>
        <v>continue</v>
      </c>
      <c r="V1919" t="str">
        <f t="shared" si="560"/>
        <v>manual</v>
      </c>
      <c r="W1919" s="5">
        <f t="shared" si="561"/>
        <v>1030.5795000000001</v>
      </c>
      <c r="Y1919" t="b">
        <f t="shared" si="562"/>
        <v>1</v>
      </c>
      <c r="Z1919" t="b">
        <f t="shared" si="563"/>
        <v>0</v>
      </c>
      <c r="AB1919" t="str">
        <f t="shared" si="564"/>
        <v/>
      </c>
      <c r="AE1919" t="b">
        <v>0</v>
      </c>
    </row>
    <row r="1920" spans="1:31" x14ac:dyDescent="0.2">
      <c r="A1920" t="str">
        <f t="shared" si="551"/>
        <v>https://shop.officineitalianezard.it/en/n-2-zard-conical-silencer-bmw-nine-t-1200/</v>
      </c>
      <c r="B1920" t="b">
        <f>COUNTIF($A$2:$A1920, A1920)&gt;1</f>
        <v>1</v>
      </c>
      <c r="C1920" t="b">
        <f t="shared" si="552"/>
        <v>1</v>
      </c>
      <c r="D1920">
        <f>VLOOKUP(A1920,variant_counts!A:B, 2, FALSE)</f>
        <v>4</v>
      </c>
      <c r="E1920" t="str">
        <f t="shared" si="565"/>
        <v>zard-exhaust-n-2-silencers-bmw-r-nine-t-1200-limited-edition-zbmw526ssr-lim</v>
      </c>
      <c r="F1920" t="str">
        <f t="shared" si="553"/>
        <v>ZARD EXHAUST N. 2 SILENCERS BMW R NINE-T 1200 LIMITED EDITION ZBMW526SSR-LIM</v>
      </c>
      <c r="G1920" t="str">
        <f t="shared" si="554"/>
        <v/>
      </c>
      <c r="H1920" t="str">
        <f t="shared" si="566"/>
        <v/>
      </c>
      <c r="I1920" t="str">
        <f t="shared" si="567"/>
        <v/>
      </c>
      <c r="J1920" t="str">
        <f t="shared" si="568"/>
        <v/>
      </c>
      <c r="K1920" t="str">
        <f t="shared" si="569"/>
        <v/>
      </c>
      <c r="L1920" t="str">
        <f t="shared" si="555"/>
        <v>Option</v>
      </c>
      <c r="M1920" t="str">
        <f t="shared" si="556"/>
        <v>ONE SEATED BRACKET</v>
      </c>
      <c r="R1920" t="str">
        <f t="shared" si="557"/>
        <v>ZBMW526SSR-LIM</v>
      </c>
      <c r="S1920">
        <f t="shared" si="558"/>
        <v>0</v>
      </c>
      <c r="U1920" t="str">
        <f t="shared" si="559"/>
        <v>continue</v>
      </c>
      <c r="V1920" t="str">
        <f t="shared" si="560"/>
        <v>manual</v>
      </c>
      <c r="W1920" s="5">
        <f t="shared" si="561"/>
        <v>1055.9541000000002</v>
      </c>
      <c r="Y1920" t="b">
        <f t="shared" si="562"/>
        <v>1</v>
      </c>
      <c r="Z1920" t="b">
        <f t="shared" si="563"/>
        <v>0</v>
      </c>
      <c r="AB1920" t="str">
        <f t="shared" si="564"/>
        <v/>
      </c>
      <c r="AE1920" t="b">
        <v>0</v>
      </c>
    </row>
    <row r="1921" spans="1:31" x14ac:dyDescent="0.2">
      <c r="A1921" t="str">
        <f t="shared" si="551"/>
        <v>https://shop.officineitalianezard.it/en/n-2-zard-conical-silencer-bmw-nine-t-1200/</v>
      </c>
      <c r="B1921" t="b">
        <f>COUNTIF($A$2:$A1921, A1921)&gt;1</f>
        <v>1</v>
      </c>
      <c r="C1921" t="b">
        <f t="shared" si="552"/>
        <v>1</v>
      </c>
      <c r="D1921">
        <f>VLOOKUP(A1921,variant_counts!A:B, 2, FALSE)</f>
        <v>4</v>
      </c>
      <c r="E1921" t="str">
        <f t="shared" si="565"/>
        <v>zard-exhaust-n-2-silencers-bmw-r-nine-t-1200-limited-edition-zbmw526ssr-lim</v>
      </c>
      <c r="F1921" t="str">
        <f t="shared" si="553"/>
        <v>ZARD EXHAUST N. 2 SILENCERS BMW R NINE-T 1200 LIMITED EDITION ZBMW526SSR-LIM</v>
      </c>
      <c r="G1921" t="str">
        <f t="shared" si="554"/>
        <v/>
      </c>
      <c r="H1921" t="str">
        <f t="shared" si="566"/>
        <v/>
      </c>
      <c r="I1921" t="str">
        <f t="shared" si="567"/>
        <v/>
      </c>
      <c r="J1921" t="str">
        <f t="shared" si="568"/>
        <v/>
      </c>
      <c r="K1921" t="str">
        <f t="shared" si="569"/>
        <v/>
      </c>
      <c r="L1921" t="str">
        <f t="shared" si="555"/>
        <v>Option</v>
      </c>
      <c r="M1921" t="str">
        <f t="shared" si="556"/>
        <v>FULL TITANIUM</v>
      </c>
      <c r="R1921" t="str">
        <f t="shared" si="557"/>
        <v>ZBMW526SSR-LIM</v>
      </c>
      <c r="S1921">
        <f t="shared" si="558"/>
        <v>0</v>
      </c>
      <c r="U1921" t="str">
        <f t="shared" si="559"/>
        <v>continue</v>
      </c>
      <c r="V1921" t="str">
        <f t="shared" si="560"/>
        <v>manual</v>
      </c>
      <c r="W1921" s="5">
        <f t="shared" si="561"/>
        <v>1150.9479000000001</v>
      </c>
      <c r="Y1921" t="b">
        <f t="shared" si="562"/>
        <v>1</v>
      </c>
      <c r="Z1921" t="b">
        <f t="shared" si="563"/>
        <v>0</v>
      </c>
      <c r="AB1921" t="str">
        <f t="shared" si="564"/>
        <v/>
      </c>
      <c r="AE1921" t="b">
        <v>0</v>
      </c>
    </row>
    <row r="1922" spans="1:31" x14ac:dyDescent="0.2">
      <c r="A1922" t="str">
        <f t="shared" ref="A1922:A1985" si="570">source_product_link_href</f>
        <v>https://shop.officineitalianezard.it/en/n-2-zard-conical-silencer-bmw-nine-t-1200/</v>
      </c>
      <c r="B1922" t="b">
        <f>COUNTIF($A$2:$A1922, A1922)&gt;1</f>
        <v>1</v>
      </c>
      <c r="C1922" t="b">
        <f t="shared" ref="C1922:C1985" si="571">NOT(ISBLANK(source_option_name))</f>
        <v>1</v>
      </c>
      <c r="D1922">
        <f>VLOOKUP(A1922,variant_counts!A:B, 2, FALSE)</f>
        <v>4</v>
      </c>
      <c r="E1922" t="str">
        <f t="shared" si="565"/>
        <v>zard-exhaust-n-2-silencers-bmw-r-nine-t-1200-limited-edition-zbmw526ssr-lim</v>
      </c>
      <c r="F1922" t="str">
        <f t="shared" ref="F1922:F1985" si="572">UPPER("ZARD EXHAUST " &amp; source_title &amp; " " &amp; source_brand &amp; " " &amp; source_bike &amp; " " &amp; source_product_link &amp; " " &amp; source_sku)</f>
        <v>ZARD EXHAUST N. 2 SILENCERS BMW R NINE-T 1200 LIMITED EDITION ZBMW526SSR-LIM</v>
      </c>
      <c r="G1922" t="str">
        <f t="shared" ref="G1922:G1985" si="573">IF($B1922=FALSE, source_description, "")</f>
        <v/>
      </c>
      <c r="H1922" t="str">
        <f t="shared" si="566"/>
        <v/>
      </c>
      <c r="I1922" t="str">
        <f t="shared" si="567"/>
        <v/>
      </c>
      <c r="J1922" t="str">
        <f t="shared" si="568"/>
        <v/>
      </c>
      <c r="K1922" t="str">
        <f t="shared" si="569"/>
        <v/>
      </c>
      <c r="L1922" t="str">
        <f t="shared" ref="L1922:L1985" si="574">IF(AND(variant_count=0,duplicated=FALSE),"Title",IF(OR(AND(variant_count=1,duplicated=FALSE), source_option_name&lt;&gt;""), "Option", ""))</f>
        <v>Option</v>
      </c>
      <c r="M1922" t="str">
        <f t="shared" ref="M1922:M1985" si="575">IF(option1_name="Title", "Default Title", IF(AND(option1_name="Option",ISBLANK(source_option_name)),"DEFAULT",IF(ISBLANK(source_option_name), "", source_option_name)))</f>
        <v>BLACK CERAMIC COATING</v>
      </c>
      <c r="R1922" t="str">
        <f t="shared" ref="R1922:R1985" si="576">IF(option1_name &lt;&gt; "", source_sku, "")</f>
        <v>ZBMW526SSR-LIM</v>
      </c>
      <c r="S1922">
        <f t="shared" ref="S1922:S1985" si="577">IF(option1_name &lt;&gt; "", 0, "")</f>
        <v>0</v>
      </c>
      <c r="U1922" t="str">
        <f t="shared" ref="U1922:U1985" si="578">IF(option1_name &lt;&gt; "", "continue", "")</f>
        <v>continue</v>
      </c>
      <c r="V1922" t="str">
        <f t="shared" ref="V1922:V1985" si="579">IF(option1_name &lt;&gt; "", "manual", "")</f>
        <v>manual</v>
      </c>
      <c r="W1922" s="5">
        <f t="shared" ref="W1922:W1985" si="580">IF(option1_name&lt;&gt;"",(source_price_original+source_option_price)*eur_usd,"")</f>
        <v>1167.3204000000003</v>
      </c>
      <c r="Y1922" t="b">
        <f t="shared" ref="Y1922:Y1985" si="581">IF(option1_name&lt;&gt;"",TRUE,"")</f>
        <v>1</v>
      </c>
      <c r="Z1922" t="b">
        <f t="shared" ref="Z1922:Z1985" si="582">IF(option1_name&lt;&gt;"",FALSE,"")</f>
        <v>0</v>
      </c>
      <c r="AB1922" t="str">
        <f t="shared" ref="AB1922:AB1985" si="583">IF(ISBLANK(source_image), "", source_image)</f>
        <v/>
      </c>
      <c r="AE1922" t="b">
        <v>0</v>
      </c>
    </row>
    <row r="1923" spans="1:31" x14ac:dyDescent="0.2">
      <c r="A1923" t="str">
        <f t="shared" si="570"/>
        <v>https://shop.officineitalianezard.it/en/bmw-ninet-1200-exhaust-zard-2/</v>
      </c>
      <c r="B1923" t="b">
        <f>COUNTIF($A$2:$A1923, A1923)&gt;1</f>
        <v>0</v>
      </c>
      <c r="C1923" t="b">
        <f t="shared" si="571"/>
        <v>0</v>
      </c>
      <c r="D1923">
        <f>VLOOKUP(A1923,variant_counts!A:B, 2, FALSE)</f>
        <v>5</v>
      </c>
      <c r="E1923" t="str">
        <f t="shared" ref="E1923:E1986" si="584">FormatShopifyHandle(F1923)</f>
        <v>zard-exhaust-bad-child-bmw-r-nine-t-1200-21-full-kit-zbmw527skr</v>
      </c>
      <c r="F1923" t="str">
        <f t="shared" si="572"/>
        <v>ZARD EXHAUST BAD CHILD BMW R NINE-T 1200 2&gt;1 FULL KIT ZBMW527SKR</v>
      </c>
      <c r="G1923" t="str">
        <f t="shared" si="573"/>
        <v>&lt;p&gt;2&amp;gt;1 STEEL RACING FULL KIT WITH REMOVABLE DB KILLER&lt;/p&gt;
&lt;p&gt;HOMOLOGATED-CATALYSED VERSION AVAILABLE AS OPTIONAL&lt;/p&gt;
&lt;p&gt;ORIGINAL FULL KIT WEIGHT: 8.8 KG&amp;nbsp;&lt;br&gt;ZARD STEEL FULL KIT WEIGHT: 5.3 KG&lt;/p&gt;
&lt;p&gt;HARD INCREASE, COMPARED TO THE ORIGINAL EXHAUST SYSTEM, IN TERMS OF TORQUE AND POWER AT ANY RANGE.&lt;/p&gt;
&lt;p&gt;ASTONISHING SOUND.&lt;/p&gt;
&lt;p&gt;&lt;a href="http://shop.officineitalianezard.it/it/products/index/scarico-bmw-nine-t-zard-7666-143/"&gt;DISCOVER THE ZARD ACCESSORIES FOR YOUR BMW NINE-T&lt;/a&gt;&lt;/p&gt;
&lt;p&gt;&lt;strong&gt;NOTICE&lt;/strong&gt;: ON TITANIUM VERSION FULL KIT IS POSSIBLE TO GET THE 'SNAKE WELDED' HEADERS (AVAILABLE AS OPTIONAL)&lt;/p&gt;</v>
      </c>
      <c r="H1923" t="str">
        <f t="shared" ref="H1923:H1986" si="585">IF($B1923=FALSE, "ZARD", "")</f>
        <v>ZARD</v>
      </c>
      <c r="I1923" t="str">
        <f t="shared" ref="I1923:I1986" si="586">IF($B1923=FALSE, "Exhaust Pipe", "")</f>
        <v>Exhaust Pipe</v>
      </c>
      <c r="J1923" t="str">
        <f t="shared" ref="J1923:J1986" si="587">IF($B1923=FALSE, "Test", "")</f>
        <v>Test</v>
      </c>
      <c r="K1923" t="b">
        <f t="shared" ref="K1923:K1986" si="588">IF($B1923=FALSE, FALSE, "")</f>
        <v>0</v>
      </c>
      <c r="L1923" t="str">
        <f t="shared" si="574"/>
        <v/>
      </c>
      <c r="M1923" t="str">
        <f t="shared" si="575"/>
        <v/>
      </c>
      <c r="R1923" t="str">
        <f t="shared" si="576"/>
        <v/>
      </c>
      <c r="S1923" t="str">
        <f t="shared" si="577"/>
        <v/>
      </c>
      <c r="U1923" t="str">
        <f t="shared" si="578"/>
        <v/>
      </c>
      <c r="V1923" t="str">
        <f t="shared" si="579"/>
        <v/>
      </c>
      <c r="W1923" s="5" t="str">
        <f t="shared" si="580"/>
        <v/>
      </c>
      <c r="Y1923" t="str">
        <f t="shared" si="581"/>
        <v/>
      </c>
      <c r="Z1923" t="str">
        <f t="shared" si="582"/>
        <v/>
      </c>
      <c r="AB1923" t="str">
        <f t="shared" si="583"/>
        <v>https://shop.officineitalianezard.it/contents/imgs/products/1_1134-1.jpg</v>
      </c>
      <c r="AE1923" t="b">
        <v>0</v>
      </c>
    </row>
    <row r="1924" spans="1:31" x14ac:dyDescent="0.2">
      <c r="A1924" t="str">
        <f t="shared" si="570"/>
        <v>https://shop.officineitalianezard.it/en/bmw-ninet-1200-exhaust-zard-2/</v>
      </c>
      <c r="B1924" t="b">
        <f>COUNTIF($A$2:$A1924, A1924)&gt;1</f>
        <v>1</v>
      </c>
      <c r="C1924" t="b">
        <f t="shared" si="571"/>
        <v>0</v>
      </c>
      <c r="D1924">
        <f>VLOOKUP(A1924,variant_counts!A:B, 2, FALSE)</f>
        <v>5</v>
      </c>
      <c r="E1924" t="str">
        <f t="shared" si="584"/>
        <v>zard-exhaust-bad-child-bmw-r-nine-t-1200-21-full-kit-zbmw527skr</v>
      </c>
      <c r="F1924" t="str">
        <f t="shared" si="572"/>
        <v>ZARD EXHAUST BAD CHILD BMW R NINE-T 1200 2&gt;1 FULL KIT ZBMW527SKR</v>
      </c>
      <c r="G1924" t="str">
        <f t="shared" si="573"/>
        <v/>
      </c>
      <c r="H1924" t="str">
        <f t="shared" si="585"/>
        <v/>
      </c>
      <c r="I1924" t="str">
        <f t="shared" si="586"/>
        <v/>
      </c>
      <c r="J1924" t="str">
        <f t="shared" si="587"/>
        <v/>
      </c>
      <c r="K1924" t="str">
        <f t="shared" si="588"/>
        <v/>
      </c>
      <c r="L1924" t="str">
        <f t="shared" si="574"/>
        <v/>
      </c>
      <c r="M1924" t="str">
        <f t="shared" si="575"/>
        <v/>
      </c>
      <c r="R1924" t="str">
        <f t="shared" si="576"/>
        <v/>
      </c>
      <c r="S1924" t="str">
        <f t="shared" si="577"/>
        <v/>
      </c>
      <c r="U1924" t="str">
        <f t="shared" si="578"/>
        <v/>
      </c>
      <c r="V1924" t="str">
        <f t="shared" si="579"/>
        <v/>
      </c>
      <c r="W1924" s="5" t="str">
        <f t="shared" si="580"/>
        <v/>
      </c>
      <c r="Y1924" t="str">
        <f t="shared" si="581"/>
        <v/>
      </c>
      <c r="Z1924" t="str">
        <f t="shared" si="582"/>
        <v/>
      </c>
      <c r="AB1924" t="str">
        <f t="shared" si="583"/>
        <v>https://shop.officineitalianezard.it/contents/imgs/products/1_1136-2.jpg</v>
      </c>
      <c r="AE1924" t="b">
        <v>0</v>
      </c>
    </row>
    <row r="1925" spans="1:31" x14ac:dyDescent="0.2">
      <c r="A1925" t="str">
        <f t="shared" si="570"/>
        <v>https://shop.officineitalianezard.it/en/bmw-ninet-1200-exhaust-zard-2/</v>
      </c>
      <c r="B1925" t="b">
        <f>COUNTIF($A$2:$A1925, A1925)&gt;1</f>
        <v>1</v>
      </c>
      <c r="C1925" t="b">
        <f t="shared" si="571"/>
        <v>0</v>
      </c>
      <c r="D1925">
        <f>VLOOKUP(A1925,variant_counts!A:B, 2, FALSE)</f>
        <v>5</v>
      </c>
      <c r="E1925" t="str">
        <f t="shared" si="584"/>
        <v>zard-exhaust-bad-child-bmw-r-nine-t-1200-21-full-kit-zbmw527skr</v>
      </c>
      <c r="F1925" t="str">
        <f t="shared" si="572"/>
        <v>ZARD EXHAUST BAD CHILD BMW R NINE-T 1200 2&gt;1 FULL KIT ZBMW527SKR</v>
      </c>
      <c r="G1925" t="str">
        <f t="shared" si="573"/>
        <v/>
      </c>
      <c r="H1925" t="str">
        <f t="shared" si="585"/>
        <v/>
      </c>
      <c r="I1925" t="str">
        <f t="shared" si="586"/>
        <v/>
      </c>
      <c r="J1925" t="str">
        <f t="shared" si="587"/>
        <v/>
      </c>
      <c r="K1925" t="str">
        <f t="shared" si="588"/>
        <v/>
      </c>
      <c r="L1925" t="str">
        <f t="shared" si="574"/>
        <v/>
      </c>
      <c r="M1925" t="str">
        <f t="shared" si="575"/>
        <v/>
      </c>
      <c r="R1925" t="str">
        <f t="shared" si="576"/>
        <v/>
      </c>
      <c r="S1925" t="str">
        <f t="shared" si="577"/>
        <v/>
      </c>
      <c r="U1925" t="str">
        <f t="shared" si="578"/>
        <v/>
      </c>
      <c r="V1925" t="str">
        <f t="shared" si="579"/>
        <v/>
      </c>
      <c r="W1925" s="5" t="str">
        <f t="shared" si="580"/>
        <v/>
      </c>
      <c r="Y1925" t="str">
        <f t="shared" si="581"/>
        <v/>
      </c>
      <c r="Z1925" t="str">
        <f t="shared" si="582"/>
        <v/>
      </c>
      <c r="AB1925" t="str">
        <f t="shared" si="583"/>
        <v>https://shop.officineitalianezard.it/contents/imgs/products/1_1137-3.jpg</v>
      </c>
      <c r="AE1925" t="b">
        <v>0</v>
      </c>
    </row>
    <row r="1926" spans="1:31" x14ac:dyDescent="0.2">
      <c r="A1926" t="str">
        <f t="shared" si="570"/>
        <v>https://shop.officineitalianezard.it/en/bmw-ninet-1200-exhaust-zard-2/</v>
      </c>
      <c r="B1926" t="b">
        <f>COUNTIF($A$2:$A1926, A1926)&gt;1</f>
        <v>1</v>
      </c>
      <c r="C1926" t="b">
        <f t="shared" si="571"/>
        <v>0</v>
      </c>
      <c r="D1926">
        <f>VLOOKUP(A1926,variant_counts!A:B, 2, FALSE)</f>
        <v>5</v>
      </c>
      <c r="E1926" t="str">
        <f t="shared" si="584"/>
        <v>zard-exhaust-bad-child-bmw-r-nine-t-1200-21-full-kit-zbmw527skr</v>
      </c>
      <c r="F1926" t="str">
        <f t="shared" si="572"/>
        <v>ZARD EXHAUST BAD CHILD BMW R NINE-T 1200 2&gt;1 FULL KIT ZBMW527SKR</v>
      </c>
      <c r="G1926" t="str">
        <f t="shared" si="573"/>
        <v/>
      </c>
      <c r="H1926" t="str">
        <f t="shared" si="585"/>
        <v/>
      </c>
      <c r="I1926" t="str">
        <f t="shared" si="586"/>
        <v/>
      </c>
      <c r="J1926" t="str">
        <f t="shared" si="587"/>
        <v/>
      </c>
      <c r="K1926" t="str">
        <f t="shared" si="588"/>
        <v/>
      </c>
      <c r="L1926" t="str">
        <f t="shared" si="574"/>
        <v/>
      </c>
      <c r="M1926" t="str">
        <f t="shared" si="575"/>
        <v/>
      </c>
      <c r="R1926" t="str">
        <f t="shared" si="576"/>
        <v/>
      </c>
      <c r="S1926" t="str">
        <f t="shared" si="577"/>
        <v/>
      </c>
      <c r="U1926" t="str">
        <f t="shared" si="578"/>
        <v/>
      </c>
      <c r="V1926" t="str">
        <f t="shared" si="579"/>
        <v/>
      </c>
      <c r="W1926" s="5" t="str">
        <f t="shared" si="580"/>
        <v/>
      </c>
      <c r="Y1926" t="str">
        <f t="shared" si="581"/>
        <v/>
      </c>
      <c r="Z1926" t="str">
        <f t="shared" si="582"/>
        <v/>
      </c>
      <c r="AB1926" t="str">
        <f t="shared" si="583"/>
        <v>https://shop.officineitalianezard.it/contents/imgs/products/1_1135-4.jpg</v>
      </c>
      <c r="AE1926" t="b">
        <v>0</v>
      </c>
    </row>
    <row r="1927" spans="1:31" x14ac:dyDescent="0.2">
      <c r="A1927" t="str">
        <f t="shared" si="570"/>
        <v>https://shop.officineitalianezard.it/en/bmw-ninet-1200-exhaust-zard-2/</v>
      </c>
      <c r="B1927" t="b">
        <f>COUNTIF($A$2:$A1927, A1927)&gt;1</f>
        <v>1</v>
      </c>
      <c r="C1927" t="b">
        <f t="shared" si="571"/>
        <v>0</v>
      </c>
      <c r="D1927">
        <f>VLOOKUP(A1927,variant_counts!A:B, 2, FALSE)</f>
        <v>5</v>
      </c>
      <c r="E1927" t="str">
        <f t="shared" si="584"/>
        <v>zard-exhaust-bad-child-bmw-r-nine-t-1200-21-full-kit-zbmw527skr</v>
      </c>
      <c r="F1927" t="str">
        <f t="shared" si="572"/>
        <v>ZARD EXHAUST BAD CHILD BMW R NINE-T 1200 2&gt;1 FULL KIT ZBMW527SKR</v>
      </c>
      <c r="G1927" t="str">
        <f t="shared" si="573"/>
        <v/>
      </c>
      <c r="H1927" t="str">
        <f t="shared" si="585"/>
        <v/>
      </c>
      <c r="I1927" t="str">
        <f t="shared" si="586"/>
        <v/>
      </c>
      <c r="J1927" t="str">
        <f t="shared" si="587"/>
        <v/>
      </c>
      <c r="K1927" t="str">
        <f t="shared" si="588"/>
        <v/>
      </c>
      <c r="L1927" t="str">
        <f t="shared" si="574"/>
        <v/>
      </c>
      <c r="M1927" t="str">
        <f t="shared" si="575"/>
        <v/>
      </c>
      <c r="R1927" t="str">
        <f t="shared" si="576"/>
        <v/>
      </c>
      <c r="S1927" t="str">
        <f t="shared" si="577"/>
        <v/>
      </c>
      <c r="U1927" t="str">
        <f t="shared" si="578"/>
        <v/>
      </c>
      <c r="V1927" t="str">
        <f t="shared" si="579"/>
        <v/>
      </c>
      <c r="W1927" s="5" t="str">
        <f t="shared" si="580"/>
        <v/>
      </c>
      <c r="Y1927" t="str">
        <f t="shared" si="581"/>
        <v/>
      </c>
      <c r="Z1927" t="str">
        <f t="shared" si="582"/>
        <v/>
      </c>
      <c r="AB1927" t="str">
        <f t="shared" si="583"/>
        <v>https://shop.officineitalianezard.it/contents/imgs/products/1_1402-2_1255-zard-badchild-titanio.jpg</v>
      </c>
      <c r="AE1927" t="b">
        <v>0</v>
      </c>
    </row>
    <row r="1928" spans="1:31" x14ac:dyDescent="0.2">
      <c r="A1928" t="str">
        <f t="shared" si="570"/>
        <v>https://shop.officineitalianezard.it/en/bmw-ninet-1200-exhaust-zard-2/</v>
      </c>
      <c r="B1928" t="b">
        <f>COUNTIF($A$2:$A1928, A1928)&gt;1</f>
        <v>1</v>
      </c>
      <c r="C1928" t="b">
        <f t="shared" si="571"/>
        <v>0</v>
      </c>
      <c r="D1928">
        <f>VLOOKUP(A1928,variant_counts!A:B, 2, FALSE)</f>
        <v>5</v>
      </c>
      <c r="E1928" t="str">
        <f t="shared" si="584"/>
        <v>zard-exhaust-bad-child-bmw-r-nine-t-1200-21-full-kit-zbmw527skr</v>
      </c>
      <c r="F1928" t="str">
        <f t="shared" si="572"/>
        <v>ZARD EXHAUST BAD CHILD BMW R NINE-T 1200 2&gt;1 FULL KIT ZBMW527SKR</v>
      </c>
      <c r="G1928" t="str">
        <f t="shared" si="573"/>
        <v/>
      </c>
      <c r="H1928" t="str">
        <f t="shared" si="585"/>
        <v/>
      </c>
      <c r="I1928" t="str">
        <f t="shared" si="586"/>
        <v/>
      </c>
      <c r="J1928" t="str">
        <f t="shared" si="587"/>
        <v/>
      </c>
      <c r="K1928" t="str">
        <f t="shared" si="588"/>
        <v/>
      </c>
      <c r="L1928" t="str">
        <f t="shared" si="574"/>
        <v/>
      </c>
      <c r="M1928" t="str">
        <f t="shared" si="575"/>
        <v/>
      </c>
      <c r="R1928" t="str">
        <f t="shared" si="576"/>
        <v/>
      </c>
      <c r="S1928" t="str">
        <f t="shared" si="577"/>
        <v/>
      </c>
      <c r="U1928" t="str">
        <f t="shared" si="578"/>
        <v/>
      </c>
      <c r="V1928" t="str">
        <f t="shared" si="579"/>
        <v/>
      </c>
      <c r="W1928" s="5" t="str">
        <f t="shared" si="580"/>
        <v/>
      </c>
      <c r="Y1928" t="str">
        <f t="shared" si="581"/>
        <v/>
      </c>
      <c r="Z1928" t="str">
        <f t="shared" si="582"/>
        <v/>
      </c>
      <c r="AB1928" t="str">
        <f t="shared" si="583"/>
        <v>https://shop.officineitalianezard.it/contents/imgs/products/1_2179-1401-nine%20t%20zard%20omnia%20racing.jpg</v>
      </c>
      <c r="AE1928" t="b">
        <v>0</v>
      </c>
    </row>
    <row r="1929" spans="1:31" x14ac:dyDescent="0.2">
      <c r="A1929" t="str">
        <f t="shared" si="570"/>
        <v>https://shop.officineitalianezard.it/en/bmw-ninet-1200-exhaust-zard-2/</v>
      </c>
      <c r="B1929" t="b">
        <f>COUNTIF($A$2:$A1929, A1929)&gt;1</f>
        <v>1</v>
      </c>
      <c r="C1929" t="b">
        <f t="shared" si="571"/>
        <v>1</v>
      </c>
      <c r="D1929">
        <f>VLOOKUP(A1929,variant_counts!A:B, 2, FALSE)</f>
        <v>5</v>
      </c>
      <c r="E1929" t="str">
        <f t="shared" si="584"/>
        <v>zard-exhaust-bad-child-bmw-r-nine-t-1200-21-full-kit-zbmw527skr</v>
      </c>
      <c r="F1929" t="str">
        <f t="shared" si="572"/>
        <v>ZARD EXHAUST BAD CHILD BMW R NINE-T 1200 2&gt;1 FULL KIT ZBMW527SKR</v>
      </c>
      <c r="G1929" t="str">
        <f t="shared" si="573"/>
        <v/>
      </c>
      <c r="H1929" t="str">
        <f t="shared" si="585"/>
        <v/>
      </c>
      <c r="I1929" t="str">
        <f t="shared" si="586"/>
        <v/>
      </c>
      <c r="J1929" t="str">
        <f t="shared" si="587"/>
        <v/>
      </c>
      <c r="K1929" t="str">
        <f t="shared" si="588"/>
        <v/>
      </c>
      <c r="L1929" t="str">
        <f t="shared" si="574"/>
        <v>Option</v>
      </c>
      <c r="M1929" t="str">
        <f t="shared" si="575"/>
        <v>HOMOLOGATED</v>
      </c>
      <c r="R1929" t="str">
        <f t="shared" si="576"/>
        <v>ZBMW527SKR</v>
      </c>
      <c r="S1929">
        <f t="shared" si="577"/>
        <v>0</v>
      </c>
      <c r="U1929" t="str">
        <f t="shared" si="578"/>
        <v>continue</v>
      </c>
      <c r="V1929" t="str">
        <f t="shared" si="579"/>
        <v>manual</v>
      </c>
      <c r="W1929" s="5">
        <f t="shared" si="580"/>
        <v>1212.1755000000001</v>
      </c>
      <c r="Y1929" t="b">
        <f t="shared" si="581"/>
        <v>1</v>
      </c>
      <c r="Z1929" t="b">
        <f t="shared" si="582"/>
        <v>0</v>
      </c>
      <c r="AB1929" t="str">
        <f t="shared" si="583"/>
        <v/>
      </c>
      <c r="AE1929" t="b">
        <v>0</v>
      </c>
    </row>
    <row r="1930" spans="1:31" x14ac:dyDescent="0.2">
      <c r="A1930" t="str">
        <f t="shared" si="570"/>
        <v>https://shop.officineitalianezard.it/en/bmw-ninet-1200-exhaust-zard-2/</v>
      </c>
      <c r="B1930" t="b">
        <f>COUNTIF($A$2:$A1930, A1930)&gt;1</f>
        <v>1</v>
      </c>
      <c r="C1930" t="b">
        <f t="shared" si="571"/>
        <v>1</v>
      </c>
      <c r="D1930">
        <f>VLOOKUP(A1930,variant_counts!A:B, 2, FALSE)</f>
        <v>5</v>
      </c>
      <c r="E1930" t="str">
        <f t="shared" si="584"/>
        <v>zard-exhaust-bad-child-bmw-r-nine-t-1200-21-full-kit-zbmw527skr</v>
      </c>
      <c r="F1930" t="str">
        <f t="shared" si="572"/>
        <v>ZARD EXHAUST BAD CHILD BMW R NINE-T 1200 2&gt;1 FULL KIT ZBMW527SKR</v>
      </c>
      <c r="G1930" t="str">
        <f t="shared" si="573"/>
        <v/>
      </c>
      <c r="H1930" t="str">
        <f t="shared" si="585"/>
        <v/>
      </c>
      <c r="I1930" t="str">
        <f t="shared" si="586"/>
        <v/>
      </c>
      <c r="J1930" t="str">
        <f t="shared" si="587"/>
        <v/>
      </c>
      <c r="K1930" t="str">
        <f t="shared" si="588"/>
        <v/>
      </c>
      <c r="L1930" t="str">
        <f t="shared" si="574"/>
        <v>Option</v>
      </c>
      <c r="M1930" t="str">
        <f t="shared" si="575"/>
        <v>FULL TITANIUM HOMOLOGATED</v>
      </c>
      <c r="R1930" t="str">
        <f t="shared" si="576"/>
        <v>ZBMW527SKR</v>
      </c>
      <c r="S1930">
        <f t="shared" si="577"/>
        <v>0</v>
      </c>
      <c r="U1930" t="str">
        <f t="shared" si="578"/>
        <v>continue</v>
      </c>
      <c r="V1930" t="str">
        <f t="shared" si="579"/>
        <v>manual</v>
      </c>
      <c r="W1930" s="5">
        <f t="shared" si="580"/>
        <v>1725.5949000000003</v>
      </c>
      <c r="Y1930" t="b">
        <f t="shared" si="581"/>
        <v>1</v>
      </c>
      <c r="Z1930" t="b">
        <f t="shared" si="582"/>
        <v>0</v>
      </c>
      <c r="AB1930" t="str">
        <f t="shared" si="583"/>
        <v/>
      </c>
      <c r="AE1930" t="b">
        <v>0</v>
      </c>
    </row>
    <row r="1931" spans="1:31" x14ac:dyDescent="0.2">
      <c r="A1931" t="str">
        <f t="shared" si="570"/>
        <v>https://shop.officineitalianezard.it/en/bmw-ninet-1200-exhaust-zard-2/</v>
      </c>
      <c r="B1931" t="b">
        <f>COUNTIF($A$2:$A1931, A1931)&gt;1</f>
        <v>1</v>
      </c>
      <c r="C1931" t="b">
        <f t="shared" si="571"/>
        <v>1</v>
      </c>
      <c r="D1931">
        <f>VLOOKUP(A1931,variant_counts!A:B, 2, FALSE)</f>
        <v>5</v>
      </c>
      <c r="E1931" t="str">
        <f t="shared" si="584"/>
        <v>zard-exhaust-bad-child-bmw-r-nine-t-1200-21-full-kit-zbmw527skr</v>
      </c>
      <c r="F1931" t="str">
        <f t="shared" si="572"/>
        <v>ZARD EXHAUST BAD CHILD BMW R NINE-T 1200 2&gt;1 FULL KIT ZBMW527SKR</v>
      </c>
      <c r="G1931" t="str">
        <f t="shared" si="573"/>
        <v/>
      </c>
      <c r="H1931" t="str">
        <f t="shared" si="585"/>
        <v/>
      </c>
      <c r="I1931" t="str">
        <f t="shared" si="586"/>
        <v/>
      </c>
      <c r="J1931" t="str">
        <f t="shared" si="587"/>
        <v/>
      </c>
      <c r="K1931" t="str">
        <f t="shared" si="588"/>
        <v/>
      </c>
      <c r="L1931" t="str">
        <f t="shared" si="574"/>
        <v>Option</v>
      </c>
      <c r="M1931" t="str">
        <f t="shared" si="575"/>
        <v>BLACK CERAMIC COATING</v>
      </c>
      <c r="R1931" t="str">
        <f t="shared" si="576"/>
        <v>ZBMW527SKR</v>
      </c>
      <c r="S1931">
        <f t="shared" si="577"/>
        <v>0</v>
      </c>
      <c r="U1931" t="str">
        <f t="shared" si="578"/>
        <v>continue</v>
      </c>
      <c r="V1931" t="str">
        <f t="shared" si="579"/>
        <v>manual</v>
      </c>
      <c r="W1931" s="5">
        <f t="shared" si="580"/>
        <v>1306.3479000000002</v>
      </c>
      <c r="Y1931" t="b">
        <f t="shared" si="581"/>
        <v>1</v>
      </c>
      <c r="Z1931" t="b">
        <f t="shared" si="582"/>
        <v>0</v>
      </c>
      <c r="AB1931" t="str">
        <f t="shared" si="583"/>
        <v/>
      </c>
      <c r="AE1931" t="b">
        <v>0</v>
      </c>
    </row>
    <row r="1932" spans="1:31" x14ac:dyDescent="0.2">
      <c r="A1932" t="str">
        <f t="shared" si="570"/>
        <v>https://shop.officineitalianezard.it/en/bmw-ninet-1200-exhaust-zard-2/</v>
      </c>
      <c r="B1932" t="b">
        <f>COUNTIF($A$2:$A1932, A1932)&gt;1</f>
        <v>1</v>
      </c>
      <c r="C1932" t="b">
        <f t="shared" si="571"/>
        <v>1</v>
      </c>
      <c r="D1932">
        <f>VLOOKUP(A1932,variant_counts!A:B, 2, FALSE)</f>
        <v>5</v>
      </c>
      <c r="E1932" t="str">
        <f t="shared" si="584"/>
        <v>zard-exhaust-bad-child-bmw-r-nine-t-1200-21-full-kit-zbmw527skr</v>
      </c>
      <c r="F1932" t="str">
        <f t="shared" si="572"/>
        <v>ZARD EXHAUST BAD CHILD BMW R NINE-T 1200 2&gt;1 FULL KIT ZBMW527SKR</v>
      </c>
      <c r="G1932" t="str">
        <f t="shared" si="573"/>
        <v/>
      </c>
      <c r="H1932" t="str">
        <f t="shared" si="585"/>
        <v/>
      </c>
      <c r="I1932" t="str">
        <f t="shared" si="586"/>
        <v/>
      </c>
      <c r="J1932" t="str">
        <f t="shared" si="587"/>
        <v/>
      </c>
      <c r="K1932" t="str">
        <f t="shared" si="588"/>
        <v/>
      </c>
      <c r="L1932" t="str">
        <f t="shared" si="574"/>
        <v>Option</v>
      </c>
      <c r="M1932" t="str">
        <f t="shared" si="575"/>
        <v>SNAKE WELDED HEADERS</v>
      </c>
      <c r="R1932" t="str">
        <f t="shared" si="576"/>
        <v>ZBMW527SKR</v>
      </c>
      <c r="S1932">
        <f t="shared" si="577"/>
        <v>0</v>
      </c>
      <c r="U1932" t="str">
        <f t="shared" si="578"/>
        <v>continue</v>
      </c>
      <c r="V1932" t="str">
        <f t="shared" si="579"/>
        <v>manual</v>
      </c>
      <c r="W1932" s="5">
        <f t="shared" si="580"/>
        <v>1281.7725</v>
      </c>
      <c r="Y1932" t="b">
        <f t="shared" si="581"/>
        <v>1</v>
      </c>
      <c r="Z1932" t="b">
        <f t="shared" si="582"/>
        <v>0</v>
      </c>
      <c r="AB1932" t="str">
        <f t="shared" si="583"/>
        <v/>
      </c>
      <c r="AE1932" t="b">
        <v>0</v>
      </c>
    </row>
    <row r="1933" spans="1:31" x14ac:dyDescent="0.2">
      <c r="A1933" t="str">
        <f t="shared" si="570"/>
        <v>https://shop.officineitalianezard.it/en/bmw-ninet-1200-exhaust-zard-2/</v>
      </c>
      <c r="B1933" t="b">
        <f>COUNTIF($A$2:$A1933, A1933)&gt;1</f>
        <v>1</v>
      </c>
      <c r="C1933" t="b">
        <f t="shared" si="571"/>
        <v>1</v>
      </c>
      <c r="D1933">
        <f>VLOOKUP(A1933,variant_counts!A:B, 2, FALSE)</f>
        <v>5</v>
      </c>
      <c r="E1933" t="str">
        <f t="shared" si="584"/>
        <v>zard-exhaust-bad-child-bmw-r-nine-t-1200-21-full-kit-zbmw527skr</v>
      </c>
      <c r="F1933" t="str">
        <f t="shared" si="572"/>
        <v>ZARD EXHAUST BAD CHILD BMW R NINE-T 1200 2&gt;1 FULL KIT ZBMW527SKR</v>
      </c>
      <c r="G1933" t="str">
        <f t="shared" si="573"/>
        <v/>
      </c>
      <c r="H1933" t="str">
        <f t="shared" si="585"/>
        <v/>
      </c>
      <c r="I1933" t="str">
        <f t="shared" si="586"/>
        <v/>
      </c>
      <c r="J1933" t="str">
        <f t="shared" si="587"/>
        <v/>
      </c>
      <c r="K1933" t="str">
        <f t="shared" si="588"/>
        <v/>
      </c>
      <c r="L1933" t="str">
        <f t="shared" si="574"/>
        <v>Option</v>
      </c>
      <c r="M1933" t="str">
        <f t="shared" si="575"/>
        <v>FULL TITANIUM RACING</v>
      </c>
      <c r="R1933" t="str">
        <f t="shared" si="576"/>
        <v>ZBMW527SKR</v>
      </c>
      <c r="S1933">
        <f t="shared" si="577"/>
        <v>0</v>
      </c>
      <c r="U1933" t="str">
        <f t="shared" si="578"/>
        <v>continue</v>
      </c>
      <c r="V1933" t="str">
        <f t="shared" si="579"/>
        <v>manual</v>
      </c>
      <c r="W1933" s="5">
        <f t="shared" si="580"/>
        <v>1554.4551000000001</v>
      </c>
      <c r="Y1933" t="b">
        <f t="shared" si="581"/>
        <v>1</v>
      </c>
      <c r="Z1933" t="b">
        <f t="shared" si="582"/>
        <v>0</v>
      </c>
      <c r="AB1933" t="str">
        <f t="shared" si="583"/>
        <v/>
      </c>
      <c r="AE1933" t="b">
        <v>0</v>
      </c>
    </row>
    <row r="1934" spans="1:31" x14ac:dyDescent="0.2">
      <c r="A1934" t="str">
        <f t="shared" si="570"/>
        <v>https://shop.officineitalianezard.it/en/bmw-ninet-1200-exhaust-zard/</v>
      </c>
      <c r="B1934" t="b">
        <f>COUNTIF($A$2:$A1934, A1934)&gt;1</f>
        <v>0</v>
      </c>
      <c r="C1934" t="b">
        <f t="shared" si="571"/>
        <v>0</v>
      </c>
      <c r="D1934">
        <f>VLOOKUP(A1934,variant_counts!A:B, 2, FALSE)</f>
        <v>4</v>
      </c>
      <c r="E1934" t="str">
        <f t="shared" si="584"/>
        <v>zard-exhaust-bad-child-bmw-r-nine-t-1200-silencer-zbmw527ssr</v>
      </c>
      <c r="F1934" t="str">
        <f t="shared" si="572"/>
        <v>ZARD EXHAUST BAD CHILD BMW R NINE-T 1200 SILENCER ZBMW527SSR</v>
      </c>
      <c r="G1934" t="str">
        <f t="shared" si="573"/>
        <v>&lt;p&gt;STEEL RACING SILENCER WITH REMOVABLE DB KILLER.&lt;/p&gt;
&lt;p&gt;ORIGINAL SILENCER WEIGHT: KG 4.4&lt;br&gt;ZARD STEEL SILENCER WEIGHT: KG 2&lt;/p&gt;
&lt;p&gt;ZARD SILENCER CAN BE FITTED WITH ORIGINAL HEADERS KIT OR, FOR A TOP PERFORMANCE, WITH ZARD HEADERS KIT.&lt;/p&gt;
&lt;p&gt;HARD INCREASE, COMPARED TO THE ORIGINAL EXHAUST SYSTEM, IN TERMS OF TORQUE AND POWER AT ANY RANGE.&lt;/p&gt;
&lt;p&gt;ASTONISHING SOUND.&lt;/p&gt;
&lt;p&gt;&lt;a href="http://shop.officineitalianezard.it/it/products/index/scarico-bmw-nine-t-zard-7666-143/"&gt;DISCOVER THE ZARD ACCESSORIES FOR YOUR BMW NINE-T&lt;/a&gt;&lt;/p&gt;</v>
      </c>
      <c r="H1934" t="str">
        <f t="shared" si="585"/>
        <v>ZARD</v>
      </c>
      <c r="I1934" t="str">
        <f t="shared" si="586"/>
        <v>Exhaust Pipe</v>
      </c>
      <c r="J1934" t="str">
        <f t="shared" si="587"/>
        <v>Test</v>
      </c>
      <c r="K1934" t="b">
        <f t="shared" si="588"/>
        <v>0</v>
      </c>
      <c r="L1934" t="str">
        <f t="shared" si="574"/>
        <v/>
      </c>
      <c r="M1934" t="str">
        <f t="shared" si="575"/>
        <v/>
      </c>
      <c r="R1934" t="str">
        <f t="shared" si="576"/>
        <v/>
      </c>
      <c r="S1934" t="str">
        <f t="shared" si="577"/>
        <v/>
      </c>
      <c r="U1934" t="str">
        <f t="shared" si="578"/>
        <v/>
      </c>
      <c r="V1934" t="str">
        <f t="shared" si="579"/>
        <v/>
      </c>
      <c r="W1934" s="5" t="str">
        <f t="shared" si="580"/>
        <v/>
      </c>
      <c r="Y1934" t="str">
        <f t="shared" si="581"/>
        <v/>
      </c>
      <c r="Z1934" t="str">
        <f t="shared" si="582"/>
        <v/>
      </c>
      <c r="AB1934" t="str">
        <f t="shared" si="583"/>
        <v>https://shop.officineitalianezard.it/contents/imgs/products/1_1128-1.jpg</v>
      </c>
      <c r="AE1934" t="b">
        <v>0</v>
      </c>
    </row>
    <row r="1935" spans="1:31" x14ac:dyDescent="0.2">
      <c r="A1935" t="str">
        <f t="shared" si="570"/>
        <v>https://shop.officineitalianezard.it/en/bmw-ninet-1200-exhaust-zard/</v>
      </c>
      <c r="B1935" t="b">
        <f>COUNTIF($A$2:$A1935, A1935)&gt;1</f>
        <v>1</v>
      </c>
      <c r="C1935" t="b">
        <f t="shared" si="571"/>
        <v>0</v>
      </c>
      <c r="D1935">
        <f>VLOOKUP(A1935,variant_counts!A:B, 2, FALSE)</f>
        <v>4</v>
      </c>
      <c r="E1935" t="str">
        <f t="shared" si="584"/>
        <v>zard-exhaust-bad-child-bmw-r-nine-t-1200-silencer-zbmw527ssr</v>
      </c>
      <c r="F1935" t="str">
        <f t="shared" si="572"/>
        <v>ZARD EXHAUST BAD CHILD BMW R NINE-T 1200 SILENCER ZBMW527SSR</v>
      </c>
      <c r="G1935" t="str">
        <f t="shared" si="573"/>
        <v/>
      </c>
      <c r="H1935" t="str">
        <f t="shared" si="585"/>
        <v/>
      </c>
      <c r="I1935" t="str">
        <f t="shared" si="586"/>
        <v/>
      </c>
      <c r="J1935" t="str">
        <f t="shared" si="587"/>
        <v/>
      </c>
      <c r="K1935" t="str">
        <f t="shared" si="588"/>
        <v/>
      </c>
      <c r="L1935" t="str">
        <f t="shared" si="574"/>
        <v/>
      </c>
      <c r="M1935" t="str">
        <f t="shared" si="575"/>
        <v/>
      </c>
      <c r="R1935" t="str">
        <f t="shared" si="576"/>
        <v/>
      </c>
      <c r="S1935" t="str">
        <f t="shared" si="577"/>
        <v/>
      </c>
      <c r="U1935" t="str">
        <f t="shared" si="578"/>
        <v/>
      </c>
      <c r="V1935" t="str">
        <f t="shared" si="579"/>
        <v/>
      </c>
      <c r="W1935" s="5" t="str">
        <f t="shared" si="580"/>
        <v/>
      </c>
      <c r="Y1935" t="str">
        <f t="shared" si="581"/>
        <v/>
      </c>
      <c r="Z1935" t="str">
        <f t="shared" si="582"/>
        <v/>
      </c>
      <c r="AB1935" t="str">
        <f t="shared" si="583"/>
        <v>https://shop.officineitalianezard.it/contents/imgs/products/1_1131-2.jpg</v>
      </c>
      <c r="AE1935" t="b">
        <v>0</v>
      </c>
    </row>
    <row r="1936" spans="1:31" x14ac:dyDescent="0.2">
      <c r="A1936" t="str">
        <f t="shared" si="570"/>
        <v>https://shop.officineitalianezard.it/en/bmw-ninet-1200-exhaust-zard/</v>
      </c>
      <c r="B1936" t="b">
        <f>COUNTIF($A$2:$A1936, A1936)&gt;1</f>
        <v>1</v>
      </c>
      <c r="C1936" t="b">
        <f t="shared" si="571"/>
        <v>0</v>
      </c>
      <c r="D1936">
        <f>VLOOKUP(A1936,variant_counts!A:B, 2, FALSE)</f>
        <v>4</v>
      </c>
      <c r="E1936" t="str">
        <f t="shared" si="584"/>
        <v>zard-exhaust-bad-child-bmw-r-nine-t-1200-silencer-zbmw527ssr</v>
      </c>
      <c r="F1936" t="str">
        <f t="shared" si="572"/>
        <v>ZARD EXHAUST BAD CHILD BMW R NINE-T 1200 SILENCER ZBMW527SSR</v>
      </c>
      <c r="G1936" t="str">
        <f t="shared" si="573"/>
        <v/>
      </c>
      <c r="H1936" t="str">
        <f t="shared" si="585"/>
        <v/>
      </c>
      <c r="I1936" t="str">
        <f t="shared" si="586"/>
        <v/>
      </c>
      <c r="J1936" t="str">
        <f t="shared" si="587"/>
        <v/>
      </c>
      <c r="K1936" t="str">
        <f t="shared" si="588"/>
        <v/>
      </c>
      <c r="L1936" t="str">
        <f t="shared" si="574"/>
        <v/>
      </c>
      <c r="M1936" t="str">
        <f t="shared" si="575"/>
        <v/>
      </c>
      <c r="R1936" t="str">
        <f t="shared" si="576"/>
        <v/>
      </c>
      <c r="S1936" t="str">
        <f t="shared" si="577"/>
        <v/>
      </c>
      <c r="U1936" t="str">
        <f t="shared" si="578"/>
        <v/>
      </c>
      <c r="V1936" t="str">
        <f t="shared" si="579"/>
        <v/>
      </c>
      <c r="W1936" s="5" t="str">
        <f t="shared" si="580"/>
        <v/>
      </c>
      <c r="Y1936" t="str">
        <f t="shared" si="581"/>
        <v/>
      </c>
      <c r="Z1936" t="str">
        <f t="shared" si="582"/>
        <v/>
      </c>
      <c r="AB1936" t="str">
        <f t="shared" si="583"/>
        <v>https://shop.officineitalianezard.it/contents/imgs/products/1_1133-3.jpg</v>
      </c>
      <c r="AE1936" t="b">
        <v>0</v>
      </c>
    </row>
    <row r="1937" spans="1:31" x14ac:dyDescent="0.2">
      <c r="A1937" t="str">
        <f t="shared" si="570"/>
        <v>https://shop.officineitalianezard.it/en/bmw-ninet-1200-exhaust-zard/</v>
      </c>
      <c r="B1937" t="b">
        <f>COUNTIF($A$2:$A1937, A1937)&gt;1</f>
        <v>1</v>
      </c>
      <c r="C1937" t="b">
        <f t="shared" si="571"/>
        <v>0</v>
      </c>
      <c r="D1937">
        <f>VLOOKUP(A1937,variant_counts!A:B, 2, FALSE)</f>
        <v>4</v>
      </c>
      <c r="E1937" t="str">
        <f t="shared" si="584"/>
        <v>zard-exhaust-bad-child-bmw-r-nine-t-1200-silencer-zbmw527ssr</v>
      </c>
      <c r="F1937" t="str">
        <f t="shared" si="572"/>
        <v>ZARD EXHAUST BAD CHILD BMW R NINE-T 1200 SILENCER ZBMW527SSR</v>
      </c>
      <c r="G1937" t="str">
        <f t="shared" si="573"/>
        <v/>
      </c>
      <c r="H1937" t="str">
        <f t="shared" si="585"/>
        <v/>
      </c>
      <c r="I1937" t="str">
        <f t="shared" si="586"/>
        <v/>
      </c>
      <c r="J1937" t="str">
        <f t="shared" si="587"/>
        <v/>
      </c>
      <c r="K1937" t="str">
        <f t="shared" si="588"/>
        <v/>
      </c>
      <c r="L1937" t="str">
        <f t="shared" si="574"/>
        <v/>
      </c>
      <c r="M1937" t="str">
        <f t="shared" si="575"/>
        <v/>
      </c>
      <c r="R1937" t="str">
        <f t="shared" si="576"/>
        <v/>
      </c>
      <c r="S1937" t="str">
        <f t="shared" si="577"/>
        <v/>
      </c>
      <c r="U1937" t="str">
        <f t="shared" si="578"/>
        <v/>
      </c>
      <c r="V1937" t="str">
        <f t="shared" si="579"/>
        <v/>
      </c>
      <c r="W1937" s="5" t="str">
        <f t="shared" si="580"/>
        <v/>
      </c>
      <c r="Y1937" t="str">
        <f t="shared" si="581"/>
        <v/>
      </c>
      <c r="Z1937" t="str">
        <f t="shared" si="582"/>
        <v/>
      </c>
      <c r="AB1937" t="str">
        <f t="shared" si="583"/>
        <v>https://shop.officineitalianezard.it/contents/imgs/products/1_1130-4.jpg</v>
      </c>
      <c r="AE1937" t="b">
        <v>0</v>
      </c>
    </row>
    <row r="1938" spans="1:31" x14ac:dyDescent="0.2">
      <c r="A1938" t="str">
        <f t="shared" si="570"/>
        <v>https://shop.officineitalianezard.it/en/bmw-ninet-1200-exhaust-zard/</v>
      </c>
      <c r="B1938" t="b">
        <f>COUNTIF($A$2:$A1938, A1938)&gt;1</f>
        <v>1</v>
      </c>
      <c r="C1938" t="b">
        <f t="shared" si="571"/>
        <v>0</v>
      </c>
      <c r="D1938">
        <f>VLOOKUP(A1938,variant_counts!A:B, 2, FALSE)</f>
        <v>4</v>
      </c>
      <c r="E1938" t="str">
        <f t="shared" si="584"/>
        <v>zard-exhaust-bad-child-bmw-r-nine-t-1200-silencer-zbmw527ssr</v>
      </c>
      <c r="F1938" t="str">
        <f t="shared" si="572"/>
        <v>ZARD EXHAUST BAD CHILD BMW R NINE-T 1200 SILENCER ZBMW527SSR</v>
      </c>
      <c r="G1938" t="str">
        <f t="shared" si="573"/>
        <v/>
      </c>
      <c r="H1938" t="str">
        <f t="shared" si="585"/>
        <v/>
      </c>
      <c r="I1938" t="str">
        <f t="shared" si="586"/>
        <v/>
      </c>
      <c r="J1938" t="str">
        <f t="shared" si="587"/>
        <v/>
      </c>
      <c r="K1938" t="str">
        <f t="shared" si="588"/>
        <v/>
      </c>
      <c r="L1938" t="str">
        <f t="shared" si="574"/>
        <v/>
      </c>
      <c r="M1938" t="str">
        <f t="shared" si="575"/>
        <v/>
      </c>
      <c r="R1938" t="str">
        <f t="shared" si="576"/>
        <v/>
      </c>
      <c r="S1938" t="str">
        <f t="shared" si="577"/>
        <v/>
      </c>
      <c r="U1938" t="str">
        <f t="shared" si="578"/>
        <v/>
      </c>
      <c r="V1938" t="str">
        <f t="shared" si="579"/>
        <v/>
      </c>
      <c r="W1938" s="5" t="str">
        <f t="shared" si="580"/>
        <v/>
      </c>
      <c r="Y1938" t="str">
        <f t="shared" si="581"/>
        <v/>
      </c>
      <c r="Z1938" t="str">
        <f t="shared" si="582"/>
        <v/>
      </c>
      <c r="AB1938" t="str">
        <f t="shared" si="583"/>
        <v>https://shop.officineitalianezard.it/contents/imgs/products/1_1210-silenziatore%20zard%20bmw%20nine%20bad%20child%20-%20low%20res.jpg</v>
      </c>
      <c r="AE1938" t="b">
        <v>0</v>
      </c>
    </row>
    <row r="1939" spans="1:31" x14ac:dyDescent="0.2">
      <c r="A1939" t="str">
        <f t="shared" si="570"/>
        <v>https://shop.officineitalianezard.it/en/bmw-ninet-1200-exhaust-zard/</v>
      </c>
      <c r="B1939" t="b">
        <f>COUNTIF($A$2:$A1939, A1939)&gt;1</f>
        <v>1</v>
      </c>
      <c r="C1939" t="b">
        <f t="shared" si="571"/>
        <v>0</v>
      </c>
      <c r="D1939">
        <f>VLOOKUP(A1939,variant_counts!A:B, 2, FALSE)</f>
        <v>4</v>
      </c>
      <c r="E1939" t="str">
        <f t="shared" si="584"/>
        <v>zard-exhaust-bad-child-bmw-r-nine-t-1200-silencer-zbmw527ssr</v>
      </c>
      <c r="F1939" t="str">
        <f t="shared" si="572"/>
        <v>ZARD EXHAUST BAD CHILD BMW R NINE-T 1200 SILENCER ZBMW527SSR</v>
      </c>
      <c r="G1939" t="str">
        <f t="shared" si="573"/>
        <v/>
      </c>
      <c r="H1939" t="str">
        <f t="shared" si="585"/>
        <v/>
      </c>
      <c r="I1939" t="str">
        <f t="shared" si="586"/>
        <v/>
      </c>
      <c r="J1939" t="str">
        <f t="shared" si="587"/>
        <v/>
      </c>
      <c r="K1939" t="str">
        <f t="shared" si="588"/>
        <v/>
      </c>
      <c r="L1939" t="str">
        <f t="shared" si="574"/>
        <v/>
      </c>
      <c r="M1939" t="str">
        <f t="shared" si="575"/>
        <v/>
      </c>
      <c r="R1939" t="str">
        <f t="shared" si="576"/>
        <v/>
      </c>
      <c r="S1939" t="str">
        <f t="shared" si="577"/>
        <v/>
      </c>
      <c r="U1939" t="str">
        <f t="shared" si="578"/>
        <v/>
      </c>
      <c r="V1939" t="str">
        <f t="shared" si="579"/>
        <v/>
      </c>
      <c r="W1939" s="5" t="str">
        <f t="shared" si="580"/>
        <v/>
      </c>
      <c r="Y1939" t="str">
        <f t="shared" si="581"/>
        <v/>
      </c>
      <c r="Z1939" t="str">
        <f t="shared" si="582"/>
        <v/>
      </c>
      <c r="AB1939" t="str">
        <f t="shared" si="583"/>
        <v>https://shop.officineitalianezard.it/contents/imgs/products/1_1255-zard-badchild-titanio.jpg</v>
      </c>
      <c r="AE1939" t="b">
        <v>0</v>
      </c>
    </row>
    <row r="1940" spans="1:31" x14ac:dyDescent="0.2">
      <c r="A1940" t="str">
        <f t="shared" si="570"/>
        <v>https://shop.officineitalianezard.it/en/bmw-ninet-1200-exhaust-zard/</v>
      </c>
      <c r="B1940" t="b">
        <f>COUNTIF($A$2:$A1940, A1940)&gt;1</f>
        <v>1</v>
      </c>
      <c r="C1940" t="b">
        <f t="shared" si="571"/>
        <v>1</v>
      </c>
      <c r="D1940">
        <f>VLOOKUP(A1940,variant_counts!A:B, 2, FALSE)</f>
        <v>4</v>
      </c>
      <c r="E1940" t="str">
        <f t="shared" si="584"/>
        <v>zard-exhaust-bad-child-bmw-r-nine-t-1200-silencer-zbmw527ssr</v>
      </c>
      <c r="F1940" t="str">
        <f t="shared" si="572"/>
        <v>ZARD EXHAUST BAD CHILD BMW R NINE-T 1200 SILENCER ZBMW527SSR</v>
      </c>
      <c r="G1940" t="str">
        <f t="shared" si="573"/>
        <v/>
      </c>
      <c r="H1940" t="str">
        <f t="shared" si="585"/>
        <v/>
      </c>
      <c r="I1940" t="str">
        <f t="shared" si="586"/>
        <v/>
      </c>
      <c r="J1940" t="str">
        <f t="shared" si="587"/>
        <v/>
      </c>
      <c r="K1940" t="str">
        <f t="shared" si="588"/>
        <v/>
      </c>
      <c r="L1940" t="str">
        <f t="shared" si="574"/>
        <v>Option</v>
      </c>
      <c r="M1940" t="str">
        <f t="shared" si="575"/>
        <v>TITANIUM SIL. + BLACK ENDCAP</v>
      </c>
      <c r="R1940" t="str">
        <f t="shared" si="576"/>
        <v>ZBMW527SSR</v>
      </c>
      <c r="S1940">
        <f t="shared" si="577"/>
        <v>0</v>
      </c>
      <c r="U1940" t="str">
        <f t="shared" si="578"/>
        <v>continue</v>
      </c>
      <c r="V1940" t="str">
        <f t="shared" si="579"/>
        <v>manual</v>
      </c>
      <c r="W1940" s="5">
        <f t="shared" si="580"/>
        <v>767.89800000000002</v>
      </c>
      <c r="Y1940" t="b">
        <f t="shared" si="581"/>
        <v>1</v>
      </c>
      <c r="Z1940" t="b">
        <f t="shared" si="582"/>
        <v>0</v>
      </c>
      <c r="AB1940" t="str">
        <f t="shared" si="583"/>
        <v/>
      </c>
      <c r="AE1940" t="b">
        <v>0</v>
      </c>
    </row>
    <row r="1941" spans="1:31" x14ac:dyDescent="0.2">
      <c r="A1941" t="str">
        <f t="shared" si="570"/>
        <v>https://shop.officineitalianezard.it/en/bmw-ninet-1200-exhaust-zard/</v>
      </c>
      <c r="B1941" t="b">
        <f>COUNTIF($A$2:$A1941, A1941)&gt;1</f>
        <v>1</v>
      </c>
      <c r="C1941" t="b">
        <f t="shared" si="571"/>
        <v>1</v>
      </c>
      <c r="D1941">
        <f>VLOOKUP(A1941,variant_counts!A:B, 2, FALSE)</f>
        <v>4</v>
      </c>
      <c r="E1941" t="str">
        <f t="shared" si="584"/>
        <v>zard-exhaust-bad-child-bmw-r-nine-t-1200-silencer-zbmw527ssr</v>
      </c>
      <c r="F1941" t="str">
        <f t="shared" si="572"/>
        <v>ZARD EXHAUST BAD CHILD BMW R NINE-T 1200 SILENCER ZBMW527SSR</v>
      </c>
      <c r="G1941" t="str">
        <f t="shared" si="573"/>
        <v/>
      </c>
      <c r="H1941" t="str">
        <f t="shared" si="585"/>
        <v/>
      </c>
      <c r="I1941" t="str">
        <f t="shared" si="586"/>
        <v/>
      </c>
      <c r="J1941" t="str">
        <f t="shared" si="587"/>
        <v/>
      </c>
      <c r="K1941" t="str">
        <f t="shared" si="588"/>
        <v/>
      </c>
      <c r="L1941" t="str">
        <f t="shared" si="574"/>
        <v>Option</v>
      </c>
      <c r="M1941" t="str">
        <f t="shared" si="575"/>
        <v>HOMOLOGATED</v>
      </c>
      <c r="R1941" t="str">
        <f t="shared" si="576"/>
        <v>ZBMW527SSR</v>
      </c>
      <c r="S1941">
        <f t="shared" si="577"/>
        <v>0</v>
      </c>
      <c r="U1941" t="str">
        <f t="shared" si="578"/>
        <v>continue</v>
      </c>
      <c r="V1941" t="str">
        <f t="shared" si="579"/>
        <v>manual</v>
      </c>
      <c r="W1941" s="5">
        <f t="shared" si="580"/>
        <v>622.14390000000003</v>
      </c>
      <c r="Y1941" t="b">
        <f t="shared" si="581"/>
        <v>1</v>
      </c>
      <c r="Z1941" t="b">
        <f t="shared" si="582"/>
        <v>0</v>
      </c>
      <c r="AB1941" t="str">
        <f t="shared" si="583"/>
        <v/>
      </c>
      <c r="AE1941" t="b">
        <v>0</v>
      </c>
    </row>
    <row r="1942" spans="1:31" x14ac:dyDescent="0.2">
      <c r="A1942" t="str">
        <f t="shared" si="570"/>
        <v>https://shop.officineitalianezard.it/en/bmw-ninet-1200-exhaust-zard/</v>
      </c>
      <c r="B1942" t="b">
        <f>COUNTIF($A$2:$A1942, A1942)&gt;1</f>
        <v>1</v>
      </c>
      <c r="C1942" t="b">
        <f t="shared" si="571"/>
        <v>1</v>
      </c>
      <c r="D1942">
        <f>VLOOKUP(A1942,variant_counts!A:B, 2, FALSE)</f>
        <v>4</v>
      </c>
      <c r="E1942" t="str">
        <f t="shared" si="584"/>
        <v>zard-exhaust-bad-child-bmw-r-nine-t-1200-silencer-zbmw527ssr</v>
      </c>
      <c r="F1942" t="str">
        <f t="shared" si="572"/>
        <v>ZARD EXHAUST BAD CHILD BMW R NINE-T 1200 SILENCER ZBMW527SSR</v>
      </c>
      <c r="G1942" t="str">
        <f t="shared" si="573"/>
        <v/>
      </c>
      <c r="H1942" t="str">
        <f t="shared" si="585"/>
        <v/>
      </c>
      <c r="I1942" t="str">
        <f t="shared" si="586"/>
        <v/>
      </c>
      <c r="J1942" t="str">
        <f t="shared" si="587"/>
        <v/>
      </c>
      <c r="K1942" t="str">
        <f t="shared" si="588"/>
        <v/>
      </c>
      <c r="L1942" t="str">
        <f t="shared" si="574"/>
        <v>Option</v>
      </c>
      <c r="M1942" t="str">
        <f t="shared" si="575"/>
        <v>BLACK CERAMIC COATING</v>
      </c>
      <c r="R1942" t="str">
        <f t="shared" si="576"/>
        <v>ZBMW527SSR</v>
      </c>
      <c r="S1942">
        <f t="shared" si="577"/>
        <v>0</v>
      </c>
      <c r="U1942" t="str">
        <f t="shared" si="578"/>
        <v>continue</v>
      </c>
      <c r="V1942" t="str">
        <f t="shared" si="579"/>
        <v>manual</v>
      </c>
      <c r="W1942" s="5">
        <f t="shared" si="580"/>
        <v>665.5449000000001</v>
      </c>
      <c r="Y1942" t="b">
        <f t="shared" si="581"/>
        <v>1</v>
      </c>
      <c r="Z1942" t="b">
        <f t="shared" si="582"/>
        <v>0</v>
      </c>
      <c r="AB1942" t="str">
        <f t="shared" si="583"/>
        <v/>
      </c>
      <c r="AE1942" t="b">
        <v>0</v>
      </c>
    </row>
    <row r="1943" spans="1:31" x14ac:dyDescent="0.2">
      <c r="A1943" t="str">
        <f t="shared" si="570"/>
        <v>https://shop.officineitalianezard.it/en/bmw-ninet-1200-exhaust-zard/</v>
      </c>
      <c r="B1943" t="b">
        <f>COUNTIF($A$2:$A1943, A1943)&gt;1</f>
        <v>1</v>
      </c>
      <c r="C1943" t="b">
        <f t="shared" si="571"/>
        <v>1</v>
      </c>
      <c r="D1943">
        <f>VLOOKUP(A1943,variant_counts!A:B, 2, FALSE)</f>
        <v>4</v>
      </c>
      <c r="E1943" t="str">
        <f t="shared" si="584"/>
        <v>zard-exhaust-bad-child-bmw-r-nine-t-1200-silencer-zbmw527ssr</v>
      </c>
      <c r="F1943" t="str">
        <f t="shared" si="572"/>
        <v>ZARD EXHAUST BAD CHILD BMW R NINE-T 1200 SILENCER ZBMW527SSR</v>
      </c>
      <c r="G1943" t="str">
        <f t="shared" si="573"/>
        <v/>
      </c>
      <c r="H1943" t="str">
        <f t="shared" si="585"/>
        <v/>
      </c>
      <c r="I1943" t="str">
        <f t="shared" si="586"/>
        <v/>
      </c>
      <c r="J1943" t="str">
        <f t="shared" si="587"/>
        <v/>
      </c>
      <c r="K1943" t="str">
        <f t="shared" si="588"/>
        <v/>
      </c>
      <c r="L1943" t="str">
        <f t="shared" si="574"/>
        <v>Option</v>
      </c>
      <c r="M1943" t="str">
        <f t="shared" si="575"/>
        <v>ACCESSORIES</v>
      </c>
      <c r="R1943" t="str">
        <f t="shared" si="576"/>
        <v>ZBMW527SSR</v>
      </c>
      <c r="S1943">
        <f t="shared" si="577"/>
        <v>0</v>
      </c>
      <c r="U1943" t="str">
        <f t="shared" si="578"/>
        <v>continue</v>
      </c>
      <c r="V1943" t="str">
        <f t="shared" si="579"/>
        <v>manual</v>
      </c>
      <c r="W1943" s="5">
        <f t="shared" si="580"/>
        <v>579.5643</v>
      </c>
      <c r="Y1943" t="b">
        <f t="shared" si="581"/>
        <v>1</v>
      </c>
      <c r="Z1943" t="b">
        <f t="shared" si="582"/>
        <v>0</v>
      </c>
      <c r="AB1943" t="str">
        <f t="shared" si="583"/>
        <v/>
      </c>
      <c r="AE1943" t="b">
        <v>0</v>
      </c>
    </row>
    <row r="1944" spans="1:31" x14ac:dyDescent="0.2">
      <c r="A1944" t="str">
        <f t="shared" si="570"/>
        <v>https://shop.officineitalianezard.it/en/bmw-nine-t-exhaust-zard/</v>
      </c>
      <c r="B1944" t="b">
        <f>COUNTIF($A$2:$A1944, A1944)&gt;1</f>
        <v>0</v>
      </c>
      <c r="C1944" t="b">
        <f t="shared" si="571"/>
        <v>0</v>
      </c>
      <c r="D1944">
        <f>VLOOKUP(A1944,variant_counts!A:B, 2, FALSE)</f>
        <v>3</v>
      </c>
      <c r="E1944" t="str">
        <f t="shared" si="584"/>
        <v>zard-exhaust-accessories-bmw-r-nine-t-1200-bmw-r-nine-t-zbmw528-1234</v>
      </c>
      <c r="F1944" t="str">
        <f t="shared" si="572"/>
        <v>ZARD EXHAUST ACCESSORIES BMW R NINE-T 1200 BMW R-NINE T ZBMW528-1234</v>
      </c>
      <c r="G1944" t="str">
        <f t="shared" si="573"/>
        <v>&lt;p&gt;&lt;strong&gt;N.B. ACCESSORIES AVAILABLE ON DEMAND&lt;/strong&gt;&lt;/p&gt;
&lt;p&gt;KIT ACCESSORIES BMW NINE-T CAPITAN SCAPPAMENTO&lt;/p&gt;
&lt;p&gt;FOR THE INSTALLATION OF THE AIR FILTER IT IS NECESSARY TO CUT THE ORIGINAL HEAT SHIELD AS THE PROVIDED TEMPLATE.&amp;nbsp;&lt;/p&gt;
&lt;p class="p1"&gt;&lt;strong&gt;&lt;span class="s1"&gt;TITANIUM DUCT INTAKE AND COVER FITS ALSO ON NINE-T SCRAMBLER, PURE, RACER E URBAN G/S.&lt;/span&gt;&lt;/strong&gt;&lt;/p&gt;
&lt;p class="p1"&gt;FITTING MANUAL:&amp;nbsp;&lt;a href="http://shop.officineitalianezard.it//public/contents/imgs/cms/istruzioni.pdf"&gt;DOWNLOAD&lt;/a&gt;&lt;/p&gt;
&lt;p&gt;&amp;nbsp;&lt;/p&gt;</v>
      </c>
      <c r="H1944" t="str">
        <f t="shared" si="585"/>
        <v>ZARD</v>
      </c>
      <c r="I1944" t="str">
        <f t="shared" si="586"/>
        <v>Exhaust Pipe</v>
      </c>
      <c r="J1944" t="str">
        <f t="shared" si="587"/>
        <v>Test</v>
      </c>
      <c r="K1944" t="b">
        <f t="shared" si="588"/>
        <v>0</v>
      </c>
      <c r="L1944" t="str">
        <f t="shared" si="574"/>
        <v/>
      </c>
      <c r="M1944" t="str">
        <f t="shared" si="575"/>
        <v/>
      </c>
      <c r="R1944" t="str">
        <f t="shared" si="576"/>
        <v/>
      </c>
      <c r="S1944" t="str">
        <f t="shared" si="577"/>
        <v/>
      </c>
      <c r="U1944" t="str">
        <f t="shared" si="578"/>
        <v/>
      </c>
      <c r="V1944" t="str">
        <f t="shared" si="579"/>
        <v/>
      </c>
      <c r="W1944" s="5" t="str">
        <f t="shared" si="580"/>
        <v/>
      </c>
      <c r="Y1944" t="str">
        <f t="shared" si="581"/>
        <v/>
      </c>
      <c r="Z1944" t="str">
        <f t="shared" si="582"/>
        <v/>
      </c>
      <c r="AB1944" t="str">
        <f t="shared" si="583"/>
        <v>https://shop.officineitalianezard.it/contents/imgs/products/1_1351-3.jpg</v>
      </c>
      <c r="AE1944" t="b">
        <v>0</v>
      </c>
    </row>
    <row r="1945" spans="1:31" x14ac:dyDescent="0.2">
      <c r="A1945" t="str">
        <f t="shared" si="570"/>
        <v>https://shop.officineitalianezard.it/en/bmw-nine-t-exhaust-zard/</v>
      </c>
      <c r="B1945" t="b">
        <f>COUNTIF($A$2:$A1945, A1945)&gt;1</f>
        <v>1</v>
      </c>
      <c r="C1945" t="b">
        <f t="shared" si="571"/>
        <v>0</v>
      </c>
      <c r="D1945">
        <f>VLOOKUP(A1945,variant_counts!A:B, 2, FALSE)</f>
        <v>3</v>
      </c>
      <c r="E1945" t="str">
        <f t="shared" si="584"/>
        <v>zard-exhaust-accessories-bmw-r-nine-t-1200-bmw-r-nine-t-zbmw528-1234</v>
      </c>
      <c r="F1945" t="str">
        <f t="shared" si="572"/>
        <v>ZARD EXHAUST ACCESSORIES BMW R NINE-T 1200 BMW R-NINE T ZBMW528-1234</v>
      </c>
      <c r="G1945" t="str">
        <f t="shared" si="573"/>
        <v/>
      </c>
      <c r="H1945" t="str">
        <f t="shared" si="585"/>
        <v/>
      </c>
      <c r="I1945" t="str">
        <f t="shared" si="586"/>
        <v/>
      </c>
      <c r="J1945" t="str">
        <f t="shared" si="587"/>
        <v/>
      </c>
      <c r="K1945" t="str">
        <f t="shared" si="588"/>
        <v/>
      </c>
      <c r="L1945" t="str">
        <f t="shared" si="574"/>
        <v/>
      </c>
      <c r="M1945" t="str">
        <f t="shared" si="575"/>
        <v/>
      </c>
      <c r="R1945" t="str">
        <f t="shared" si="576"/>
        <v/>
      </c>
      <c r="S1945" t="str">
        <f t="shared" si="577"/>
        <v/>
      </c>
      <c r="U1945" t="str">
        <f t="shared" si="578"/>
        <v/>
      </c>
      <c r="V1945" t="str">
        <f t="shared" si="579"/>
        <v/>
      </c>
      <c r="W1945" s="5" t="str">
        <f t="shared" si="580"/>
        <v/>
      </c>
      <c r="Y1945" t="str">
        <f t="shared" si="581"/>
        <v/>
      </c>
      <c r="Z1945" t="str">
        <f t="shared" si="582"/>
        <v/>
      </c>
      <c r="AB1945" t="str">
        <f t="shared" si="583"/>
        <v>https://shop.officineitalianezard.it/contents/imgs/products/1_1349-nine-scappamento-zard.jpg</v>
      </c>
      <c r="AE1945" t="b">
        <v>0</v>
      </c>
    </row>
    <row r="1946" spans="1:31" x14ac:dyDescent="0.2">
      <c r="A1946" t="str">
        <f t="shared" si="570"/>
        <v>https://shop.officineitalianezard.it/en/bmw-nine-t-exhaust-zard/</v>
      </c>
      <c r="B1946" t="b">
        <f>COUNTIF($A$2:$A1946, A1946)&gt;1</f>
        <v>1</v>
      </c>
      <c r="C1946" t="b">
        <f t="shared" si="571"/>
        <v>0</v>
      </c>
      <c r="D1946">
        <f>VLOOKUP(A1946,variant_counts!A:B, 2, FALSE)</f>
        <v>3</v>
      </c>
      <c r="E1946" t="str">
        <f t="shared" si="584"/>
        <v>zard-exhaust-accessories-bmw-r-nine-t-1200-bmw-r-nine-t-zbmw528-1234</v>
      </c>
      <c r="F1946" t="str">
        <f t="shared" si="572"/>
        <v>ZARD EXHAUST ACCESSORIES BMW R NINE-T 1200 BMW R-NINE T ZBMW528-1234</v>
      </c>
      <c r="G1946" t="str">
        <f t="shared" si="573"/>
        <v/>
      </c>
      <c r="H1946" t="str">
        <f t="shared" si="585"/>
        <v/>
      </c>
      <c r="I1946" t="str">
        <f t="shared" si="586"/>
        <v/>
      </c>
      <c r="J1946" t="str">
        <f t="shared" si="587"/>
        <v/>
      </c>
      <c r="K1946" t="str">
        <f t="shared" si="588"/>
        <v/>
      </c>
      <c r="L1946" t="str">
        <f t="shared" si="574"/>
        <v/>
      </c>
      <c r="M1946" t="str">
        <f t="shared" si="575"/>
        <v/>
      </c>
      <c r="R1946" t="str">
        <f t="shared" si="576"/>
        <v/>
      </c>
      <c r="S1946" t="str">
        <f t="shared" si="577"/>
        <v/>
      </c>
      <c r="U1946" t="str">
        <f t="shared" si="578"/>
        <v/>
      </c>
      <c r="V1946" t="str">
        <f t="shared" si="579"/>
        <v/>
      </c>
      <c r="W1946" s="5" t="str">
        <f t="shared" si="580"/>
        <v/>
      </c>
      <c r="Y1946" t="str">
        <f t="shared" si="581"/>
        <v/>
      </c>
      <c r="Z1946" t="str">
        <f t="shared" si="582"/>
        <v/>
      </c>
      <c r="AB1946" t="str">
        <f t="shared" si="583"/>
        <v>https://shop.officineitalianezard.it/contents/imgs/products/1_1350-2.jpg</v>
      </c>
      <c r="AE1946" t="b">
        <v>0</v>
      </c>
    </row>
    <row r="1947" spans="1:31" x14ac:dyDescent="0.2">
      <c r="A1947" t="str">
        <f t="shared" si="570"/>
        <v>https://shop.officineitalianezard.it/en/bmw-nine-t-exhaust-zard/</v>
      </c>
      <c r="B1947" t="b">
        <f>COUNTIF($A$2:$A1947, A1947)&gt;1</f>
        <v>1</v>
      </c>
      <c r="C1947" t="b">
        <f t="shared" si="571"/>
        <v>0</v>
      </c>
      <c r="D1947">
        <f>VLOOKUP(A1947,variant_counts!A:B, 2, FALSE)</f>
        <v>3</v>
      </c>
      <c r="E1947" t="str">
        <f t="shared" si="584"/>
        <v>zard-exhaust-accessories-bmw-r-nine-t-1200-bmw-r-nine-t-zbmw528-1234</v>
      </c>
      <c r="F1947" t="str">
        <f t="shared" si="572"/>
        <v>ZARD EXHAUST ACCESSORIES BMW R NINE-T 1200 BMW R-NINE T ZBMW528-1234</v>
      </c>
      <c r="G1947" t="str">
        <f t="shared" si="573"/>
        <v/>
      </c>
      <c r="H1947" t="str">
        <f t="shared" si="585"/>
        <v/>
      </c>
      <c r="I1947" t="str">
        <f t="shared" si="586"/>
        <v/>
      </c>
      <c r="J1947" t="str">
        <f t="shared" si="587"/>
        <v/>
      </c>
      <c r="K1947" t="str">
        <f t="shared" si="588"/>
        <v/>
      </c>
      <c r="L1947" t="str">
        <f t="shared" si="574"/>
        <v/>
      </c>
      <c r="M1947" t="str">
        <f t="shared" si="575"/>
        <v/>
      </c>
      <c r="R1947" t="str">
        <f t="shared" si="576"/>
        <v/>
      </c>
      <c r="S1947" t="str">
        <f t="shared" si="577"/>
        <v/>
      </c>
      <c r="U1947" t="str">
        <f t="shared" si="578"/>
        <v/>
      </c>
      <c r="V1947" t="str">
        <f t="shared" si="579"/>
        <v/>
      </c>
      <c r="W1947" s="5" t="str">
        <f t="shared" si="580"/>
        <v/>
      </c>
      <c r="Y1947" t="str">
        <f t="shared" si="581"/>
        <v/>
      </c>
      <c r="Z1947" t="str">
        <f t="shared" si="582"/>
        <v/>
      </c>
      <c r="AB1947" t="str">
        <f t="shared" si="583"/>
        <v>https://shop.officineitalianezard.it/contents/imgs/products/1_1352-4.jpg</v>
      </c>
      <c r="AE1947" t="b">
        <v>0</v>
      </c>
    </row>
    <row r="1948" spans="1:31" x14ac:dyDescent="0.2">
      <c r="A1948" t="str">
        <f t="shared" si="570"/>
        <v>https://shop.officineitalianezard.it/en/bmw-nine-t-exhaust-zard/</v>
      </c>
      <c r="B1948" t="b">
        <f>COUNTIF($A$2:$A1948, A1948)&gt;1</f>
        <v>1</v>
      </c>
      <c r="C1948" t="b">
        <f t="shared" si="571"/>
        <v>0</v>
      </c>
      <c r="D1948">
        <f>VLOOKUP(A1948,variant_counts!A:B, 2, FALSE)</f>
        <v>3</v>
      </c>
      <c r="E1948" t="str">
        <f t="shared" si="584"/>
        <v>zard-exhaust-accessories-bmw-r-nine-t-1200-bmw-r-nine-t-zbmw528-1234</v>
      </c>
      <c r="F1948" t="str">
        <f t="shared" si="572"/>
        <v>ZARD EXHAUST ACCESSORIES BMW R NINE-T 1200 BMW R-NINE T ZBMW528-1234</v>
      </c>
      <c r="G1948" t="str">
        <f t="shared" si="573"/>
        <v/>
      </c>
      <c r="H1948" t="str">
        <f t="shared" si="585"/>
        <v/>
      </c>
      <c r="I1948" t="str">
        <f t="shared" si="586"/>
        <v/>
      </c>
      <c r="J1948" t="str">
        <f t="shared" si="587"/>
        <v/>
      </c>
      <c r="K1948" t="str">
        <f t="shared" si="588"/>
        <v/>
      </c>
      <c r="L1948" t="str">
        <f t="shared" si="574"/>
        <v/>
      </c>
      <c r="M1948" t="str">
        <f t="shared" si="575"/>
        <v/>
      </c>
      <c r="R1948" t="str">
        <f t="shared" si="576"/>
        <v/>
      </c>
      <c r="S1948" t="str">
        <f t="shared" si="577"/>
        <v/>
      </c>
      <c r="U1948" t="str">
        <f t="shared" si="578"/>
        <v/>
      </c>
      <c r="V1948" t="str">
        <f t="shared" si="579"/>
        <v/>
      </c>
      <c r="W1948" s="5" t="str">
        <f t="shared" si="580"/>
        <v/>
      </c>
      <c r="Y1948" t="str">
        <f t="shared" si="581"/>
        <v/>
      </c>
      <c r="Z1948" t="str">
        <f t="shared" si="582"/>
        <v/>
      </c>
      <c r="AB1948" t="str">
        <f t="shared" si="583"/>
        <v>https://shop.officineitalianezard.it/contents/imgs/products/1_1372-cover%20titanio.jpg</v>
      </c>
      <c r="AE1948" t="b">
        <v>0</v>
      </c>
    </row>
    <row r="1949" spans="1:31" x14ac:dyDescent="0.2">
      <c r="A1949" t="str">
        <f t="shared" si="570"/>
        <v>https://shop.officineitalianezard.it/en/bmw-nine-t-exhaust-zard/</v>
      </c>
      <c r="B1949" t="b">
        <f>COUNTIF($A$2:$A1949, A1949)&gt;1</f>
        <v>1</v>
      </c>
      <c r="C1949" t="b">
        <f t="shared" si="571"/>
        <v>0</v>
      </c>
      <c r="D1949">
        <f>VLOOKUP(A1949,variant_counts!A:B, 2, FALSE)</f>
        <v>3</v>
      </c>
      <c r="E1949" t="str">
        <f t="shared" si="584"/>
        <v>zard-exhaust-accessories-bmw-r-nine-t-1200-bmw-r-nine-t-zbmw528-1234</v>
      </c>
      <c r="F1949" t="str">
        <f t="shared" si="572"/>
        <v>ZARD EXHAUST ACCESSORIES BMW R NINE-T 1200 BMW R-NINE T ZBMW528-1234</v>
      </c>
      <c r="G1949" t="str">
        <f t="shared" si="573"/>
        <v/>
      </c>
      <c r="H1949" t="str">
        <f t="shared" si="585"/>
        <v/>
      </c>
      <c r="I1949" t="str">
        <f t="shared" si="586"/>
        <v/>
      </c>
      <c r="J1949" t="str">
        <f t="shared" si="587"/>
        <v/>
      </c>
      <c r="K1949" t="str">
        <f t="shared" si="588"/>
        <v/>
      </c>
      <c r="L1949" t="str">
        <f t="shared" si="574"/>
        <v/>
      </c>
      <c r="M1949" t="str">
        <f t="shared" si="575"/>
        <v/>
      </c>
      <c r="R1949" t="str">
        <f t="shared" si="576"/>
        <v/>
      </c>
      <c r="S1949" t="str">
        <f t="shared" si="577"/>
        <v/>
      </c>
      <c r="U1949" t="str">
        <f t="shared" si="578"/>
        <v/>
      </c>
      <c r="V1949" t="str">
        <f t="shared" si="579"/>
        <v/>
      </c>
      <c r="W1949" s="5" t="str">
        <f t="shared" si="580"/>
        <v/>
      </c>
      <c r="Y1949" t="str">
        <f t="shared" si="581"/>
        <v/>
      </c>
      <c r="Z1949" t="str">
        <f t="shared" si="582"/>
        <v/>
      </c>
      <c r="AB1949" t="str">
        <f t="shared" si="583"/>
        <v>https://shop.officineitalianezard.it/contents/imgs/products/1_1371-condotto%20titanio.jpg</v>
      </c>
      <c r="AE1949" t="b">
        <v>0</v>
      </c>
    </row>
    <row r="1950" spans="1:31" x14ac:dyDescent="0.2">
      <c r="A1950" t="str">
        <f t="shared" si="570"/>
        <v>https://shop.officineitalianezard.it/en/bmw-nine-t-exhaust-zard/</v>
      </c>
      <c r="B1950" t="b">
        <f>COUNTIF($A$2:$A1950, A1950)&gt;1</f>
        <v>1</v>
      </c>
      <c r="C1950" t="b">
        <f t="shared" si="571"/>
        <v>0</v>
      </c>
      <c r="D1950">
        <f>VLOOKUP(A1950,variant_counts!A:B, 2, FALSE)</f>
        <v>3</v>
      </c>
      <c r="E1950" t="str">
        <f t="shared" si="584"/>
        <v>zard-exhaust-accessories-bmw-r-nine-t-1200-bmw-r-nine-t-zbmw528-1234</v>
      </c>
      <c r="F1950" t="str">
        <f t="shared" si="572"/>
        <v>ZARD EXHAUST ACCESSORIES BMW R NINE-T 1200 BMW R-NINE T ZBMW528-1234</v>
      </c>
      <c r="G1950" t="str">
        <f t="shared" si="573"/>
        <v/>
      </c>
      <c r="H1950" t="str">
        <f t="shared" si="585"/>
        <v/>
      </c>
      <c r="I1950" t="str">
        <f t="shared" si="586"/>
        <v/>
      </c>
      <c r="J1950" t="str">
        <f t="shared" si="587"/>
        <v/>
      </c>
      <c r="K1950" t="str">
        <f t="shared" si="588"/>
        <v/>
      </c>
      <c r="L1950" t="str">
        <f t="shared" si="574"/>
        <v/>
      </c>
      <c r="M1950" t="str">
        <f t="shared" si="575"/>
        <v/>
      </c>
      <c r="R1950" t="str">
        <f t="shared" si="576"/>
        <v/>
      </c>
      <c r="S1950" t="str">
        <f t="shared" si="577"/>
        <v/>
      </c>
      <c r="U1950" t="str">
        <f t="shared" si="578"/>
        <v/>
      </c>
      <c r="V1950" t="str">
        <f t="shared" si="579"/>
        <v/>
      </c>
      <c r="W1950" s="5" t="str">
        <f t="shared" si="580"/>
        <v/>
      </c>
      <c r="Y1950" t="str">
        <f t="shared" si="581"/>
        <v/>
      </c>
      <c r="Z1950" t="str">
        <f t="shared" si="582"/>
        <v/>
      </c>
      <c r="AB1950" t="str">
        <f t="shared" si="583"/>
        <v>https://shop.officineitalianezard.it/contents/imgs/products/1_1716-cupolino%20bianco%20ridotta.jpg</v>
      </c>
      <c r="AE1950" t="b">
        <v>0</v>
      </c>
    </row>
    <row r="1951" spans="1:31" x14ac:dyDescent="0.2">
      <c r="A1951" t="str">
        <f t="shared" si="570"/>
        <v>https://shop.officineitalianezard.it/en/bmw-nine-t-exhaust-zard/</v>
      </c>
      <c r="B1951" t="b">
        <f>COUNTIF($A$2:$A1951, A1951)&gt;1</f>
        <v>1</v>
      </c>
      <c r="C1951" t="b">
        <f t="shared" si="571"/>
        <v>1</v>
      </c>
      <c r="D1951">
        <f>VLOOKUP(A1951,variant_counts!A:B, 2, FALSE)</f>
        <v>3</v>
      </c>
      <c r="E1951" t="str">
        <f t="shared" si="584"/>
        <v>zard-exhaust-accessories-bmw-r-nine-t-1200-bmw-r-nine-t-zbmw528-1234</v>
      </c>
      <c r="F1951" t="str">
        <f t="shared" si="572"/>
        <v>ZARD EXHAUST ACCESSORIES BMW R NINE-T 1200 BMW R-NINE T ZBMW528-1234</v>
      </c>
      <c r="G1951" t="str">
        <f t="shared" si="573"/>
        <v/>
      </c>
      <c r="H1951" t="str">
        <f t="shared" si="585"/>
        <v/>
      </c>
      <c r="I1951" t="str">
        <f t="shared" si="586"/>
        <v/>
      </c>
      <c r="J1951" t="str">
        <f t="shared" si="587"/>
        <v/>
      </c>
      <c r="K1951" t="str">
        <f t="shared" si="588"/>
        <v/>
      </c>
      <c r="L1951" t="str">
        <f t="shared" si="574"/>
        <v>Option</v>
      </c>
      <c r="M1951" t="str">
        <f t="shared" si="575"/>
        <v>STEEL FENDER</v>
      </c>
      <c r="R1951" t="str">
        <f t="shared" si="576"/>
        <v>ZBMW528-1234</v>
      </c>
      <c r="S1951">
        <f t="shared" si="577"/>
        <v>0</v>
      </c>
      <c r="U1951" t="str">
        <f t="shared" si="578"/>
        <v>continue</v>
      </c>
      <c r="V1951" t="str">
        <f t="shared" si="579"/>
        <v>manual</v>
      </c>
      <c r="W1951" s="5">
        <f t="shared" si="580"/>
        <v>99.078600000000009</v>
      </c>
      <c r="Y1951" t="b">
        <f t="shared" si="581"/>
        <v>1</v>
      </c>
      <c r="Z1951" t="b">
        <f t="shared" si="582"/>
        <v>0</v>
      </c>
      <c r="AB1951" t="str">
        <f t="shared" si="583"/>
        <v/>
      </c>
      <c r="AE1951" t="b">
        <v>0</v>
      </c>
    </row>
    <row r="1952" spans="1:31" x14ac:dyDescent="0.2">
      <c r="A1952" t="str">
        <f t="shared" si="570"/>
        <v>https://shop.officineitalianezard.it/en/bmw-nine-t-exhaust-zard/</v>
      </c>
      <c r="B1952" t="b">
        <f>COUNTIF($A$2:$A1952, A1952)&gt;1</f>
        <v>1</v>
      </c>
      <c r="C1952" t="b">
        <f t="shared" si="571"/>
        <v>1</v>
      </c>
      <c r="D1952">
        <f>VLOOKUP(A1952,variant_counts!A:B, 2, FALSE)</f>
        <v>3</v>
      </c>
      <c r="E1952" t="str">
        <f t="shared" si="584"/>
        <v>zard-exhaust-accessories-bmw-r-nine-t-1200-bmw-r-nine-t-zbmw528-1234</v>
      </c>
      <c r="F1952" t="str">
        <f t="shared" si="572"/>
        <v>ZARD EXHAUST ACCESSORIES BMW R NINE-T 1200 BMW R-NINE T ZBMW528-1234</v>
      </c>
      <c r="G1952" t="str">
        <f t="shared" si="573"/>
        <v/>
      </c>
      <c r="H1952" t="str">
        <f t="shared" si="585"/>
        <v/>
      </c>
      <c r="I1952" t="str">
        <f t="shared" si="586"/>
        <v/>
      </c>
      <c r="J1952" t="str">
        <f t="shared" si="587"/>
        <v/>
      </c>
      <c r="K1952" t="str">
        <f t="shared" si="588"/>
        <v/>
      </c>
      <c r="L1952" t="str">
        <f t="shared" si="574"/>
        <v>Option</v>
      </c>
      <c r="M1952" t="str">
        <f t="shared" si="575"/>
        <v>TITANIUM DUCT INTAKE</v>
      </c>
      <c r="R1952" t="str">
        <f t="shared" si="576"/>
        <v>ZBMW528-1234</v>
      </c>
      <c r="S1952">
        <f t="shared" si="577"/>
        <v>0</v>
      </c>
      <c r="U1952" t="str">
        <f t="shared" si="578"/>
        <v>continue</v>
      </c>
      <c r="V1952" t="str">
        <f t="shared" si="579"/>
        <v>manual</v>
      </c>
      <c r="W1952" s="5">
        <f t="shared" si="580"/>
        <v>532.25610000000006</v>
      </c>
      <c r="Y1952" t="b">
        <f t="shared" si="581"/>
        <v>1</v>
      </c>
      <c r="Z1952" t="b">
        <f t="shared" si="582"/>
        <v>0</v>
      </c>
      <c r="AB1952" t="str">
        <f t="shared" si="583"/>
        <v/>
      </c>
      <c r="AE1952" t="b">
        <v>0</v>
      </c>
    </row>
    <row r="1953" spans="1:31" x14ac:dyDescent="0.2">
      <c r="A1953" t="str">
        <f t="shared" si="570"/>
        <v>https://shop.officineitalianezard.it/en/bmw-nine-t-exhaust-zard/</v>
      </c>
      <c r="B1953" t="b">
        <f>COUNTIF($A$2:$A1953, A1953)&gt;1</f>
        <v>1</v>
      </c>
      <c r="C1953" t="b">
        <f t="shared" si="571"/>
        <v>1</v>
      </c>
      <c r="D1953">
        <f>VLOOKUP(A1953,variant_counts!A:B, 2, FALSE)</f>
        <v>3</v>
      </c>
      <c r="E1953" t="str">
        <f t="shared" si="584"/>
        <v>zard-exhaust-accessories-bmw-r-nine-t-1200-bmw-r-nine-t-zbmw528-1234</v>
      </c>
      <c r="F1953" t="str">
        <f t="shared" si="572"/>
        <v>ZARD EXHAUST ACCESSORIES BMW R NINE-T 1200 BMW R-NINE T ZBMW528-1234</v>
      </c>
      <c r="G1953" t="str">
        <f t="shared" si="573"/>
        <v/>
      </c>
      <c r="H1953" t="str">
        <f t="shared" si="585"/>
        <v/>
      </c>
      <c r="I1953" t="str">
        <f t="shared" si="586"/>
        <v/>
      </c>
      <c r="J1953" t="str">
        <f t="shared" si="587"/>
        <v/>
      </c>
      <c r="K1953" t="str">
        <f t="shared" si="588"/>
        <v/>
      </c>
      <c r="L1953" t="str">
        <f t="shared" si="574"/>
        <v>Option</v>
      </c>
      <c r="M1953" t="str">
        <f t="shared" si="575"/>
        <v>TITANIUM INTAKE COVER RH+LH</v>
      </c>
      <c r="R1953" t="str">
        <f t="shared" si="576"/>
        <v>ZBMW528-1234</v>
      </c>
      <c r="S1953">
        <f t="shared" si="577"/>
        <v>0</v>
      </c>
      <c r="U1953" t="str">
        <f t="shared" si="578"/>
        <v>continue</v>
      </c>
      <c r="V1953" t="str">
        <f t="shared" si="579"/>
        <v>manual</v>
      </c>
      <c r="W1953" s="5">
        <f t="shared" si="580"/>
        <v>273.49290000000002</v>
      </c>
      <c r="Y1953" t="b">
        <f t="shared" si="581"/>
        <v>1</v>
      </c>
      <c r="Z1953" t="b">
        <f t="shared" si="582"/>
        <v>0</v>
      </c>
      <c r="AB1953" t="str">
        <f t="shared" si="583"/>
        <v/>
      </c>
      <c r="AE1953" t="b">
        <v>0</v>
      </c>
    </row>
    <row r="1954" spans="1:31" x14ac:dyDescent="0.2">
      <c r="A1954" t="str">
        <f t="shared" si="570"/>
        <v>https://shop.officineitalianezard.it/en/bmw-nine-t-exhaust-zard-3/</v>
      </c>
      <c r="B1954" t="b">
        <f>COUNTIF($A$2:$A1954, A1954)&gt;1</f>
        <v>0</v>
      </c>
      <c r="C1954" t="b">
        <f t="shared" si="571"/>
        <v>0</v>
      </c>
      <c r="D1954">
        <f>VLOOKUP(A1954,variant_counts!A:B, 2, FALSE)</f>
        <v>3</v>
      </c>
      <c r="E1954" t="str">
        <f t="shared" si="584"/>
        <v>zard-exhaust-full-kit-bmw-r-nine-t-1200-capitan-scappamento-zbmw528tkr</v>
      </c>
      <c r="F1954" t="str">
        <f t="shared" si="572"/>
        <v>ZARD EXHAUST FULL KIT BMW R NINE-T 1200 CAPITAN SCAPPAMENTO ZBMW528TKR</v>
      </c>
      <c r="G1954" t="str">
        <f t="shared" si="573"/>
        <v>&lt;p&gt;2&amp;gt;2 TITANIUM RACING FULL KIT WITH REMOVABLE DB KILLERS&lt;/p&gt;
&lt;p&gt;ORIGINAL FULL KIT WEIGHT: KG 8.8&lt;br&gt;TITANIUM ZARD FULL KIT WEIGHT: 4.5&lt;/p&gt;
&lt;p&gt;HARD INCREASE, COMPARED TO THE ORIGINAL EXHAUST SYSTEM, IN TERMS OF TORQUE AND POWER AT ANY RANGE.&lt;/p&gt;
&lt;p&gt;ASTONISHING SOUND.&lt;/p&gt;
&lt;p&gt;N.B. FOR THE INSTALLATION OF THE AIR FILTER IT IS NECESSARY TO CUT THE ORIGINAL HEAT SHIELD AS THE PROVIDED TEMPLATE.&amp;nbsp;&lt;/p&gt;</v>
      </c>
      <c r="H1954" t="str">
        <f t="shared" si="585"/>
        <v>ZARD</v>
      </c>
      <c r="I1954" t="str">
        <f t="shared" si="586"/>
        <v>Exhaust Pipe</v>
      </c>
      <c r="J1954" t="str">
        <f t="shared" si="587"/>
        <v>Test</v>
      </c>
      <c r="K1954" t="b">
        <f t="shared" si="588"/>
        <v>0</v>
      </c>
      <c r="L1954" t="str">
        <f t="shared" si="574"/>
        <v/>
      </c>
      <c r="M1954" t="str">
        <f t="shared" si="575"/>
        <v/>
      </c>
      <c r="R1954" t="str">
        <f t="shared" si="576"/>
        <v/>
      </c>
      <c r="S1954" t="str">
        <f t="shared" si="577"/>
        <v/>
      </c>
      <c r="U1954" t="str">
        <f t="shared" si="578"/>
        <v/>
      </c>
      <c r="V1954" t="str">
        <f t="shared" si="579"/>
        <v/>
      </c>
      <c r="W1954" s="5" t="str">
        <f t="shared" si="580"/>
        <v/>
      </c>
      <c r="Y1954" t="str">
        <f t="shared" si="581"/>
        <v/>
      </c>
      <c r="Z1954" t="str">
        <f t="shared" si="582"/>
        <v/>
      </c>
      <c r="AB1954" t="str">
        <f t="shared" si="583"/>
        <v>https://shop.officineitalianezard.it/contents/imgs/products/1_1270-nine-scappamento-zard.jpg</v>
      </c>
      <c r="AE1954" t="b">
        <v>0</v>
      </c>
    </row>
    <row r="1955" spans="1:31" x14ac:dyDescent="0.2">
      <c r="A1955" t="str">
        <f t="shared" si="570"/>
        <v>https://shop.officineitalianezard.it/en/bmw-nine-t-exhaust-zard-3/</v>
      </c>
      <c r="B1955" t="b">
        <f>COUNTIF($A$2:$A1955, A1955)&gt;1</f>
        <v>1</v>
      </c>
      <c r="C1955" t="b">
        <f t="shared" si="571"/>
        <v>0</v>
      </c>
      <c r="D1955">
        <f>VLOOKUP(A1955,variant_counts!A:B, 2, FALSE)</f>
        <v>3</v>
      </c>
      <c r="E1955" t="str">
        <f t="shared" si="584"/>
        <v>zard-exhaust-full-kit-bmw-r-nine-t-1200-capitan-scappamento-zbmw528tkr</v>
      </c>
      <c r="F1955" t="str">
        <f t="shared" si="572"/>
        <v>ZARD EXHAUST FULL KIT BMW R NINE-T 1200 CAPITAN SCAPPAMENTO ZBMW528TKR</v>
      </c>
      <c r="G1955" t="str">
        <f t="shared" si="573"/>
        <v/>
      </c>
      <c r="H1955" t="str">
        <f t="shared" si="585"/>
        <v/>
      </c>
      <c r="I1955" t="str">
        <f t="shared" si="586"/>
        <v/>
      </c>
      <c r="J1955" t="str">
        <f t="shared" si="587"/>
        <v/>
      </c>
      <c r="K1955" t="str">
        <f t="shared" si="588"/>
        <v/>
      </c>
      <c r="L1955" t="str">
        <f t="shared" si="574"/>
        <v/>
      </c>
      <c r="M1955" t="str">
        <f t="shared" si="575"/>
        <v/>
      </c>
      <c r="R1955" t="str">
        <f t="shared" si="576"/>
        <v/>
      </c>
      <c r="S1955" t="str">
        <f t="shared" si="577"/>
        <v/>
      </c>
      <c r="U1955" t="str">
        <f t="shared" si="578"/>
        <v/>
      </c>
      <c r="V1955" t="str">
        <f t="shared" si="579"/>
        <v/>
      </c>
      <c r="W1955" s="5" t="str">
        <f t="shared" si="580"/>
        <v/>
      </c>
      <c r="Y1955" t="str">
        <f t="shared" si="581"/>
        <v/>
      </c>
      <c r="Z1955" t="str">
        <f t="shared" si="582"/>
        <v/>
      </c>
      <c r="AB1955" t="str">
        <f t="shared" si="583"/>
        <v>https://shop.officineitalianezard.it/contents/imgs/products/1_1345-2.jpg</v>
      </c>
      <c r="AE1955" t="b">
        <v>0</v>
      </c>
    </row>
    <row r="1956" spans="1:31" x14ac:dyDescent="0.2">
      <c r="A1956" t="str">
        <f t="shared" si="570"/>
        <v>https://shop.officineitalianezard.it/en/bmw-nine-t-exhaust-zard-3/</v>
      </c>
      <c r="B1956" t="b">
        <f>COUNTIF($A$2:$A1956, A1956)&gt;1</f>
        <v>1</v>
      </c>
      <c r="C1956" t="b">
        <f t="shared" si="571"/>
        <v>0</v>
      </c>
      <c r="D1956">
        <f>VLOOKUP(A1956,variant_counts!A:B, 2, FALSE)</f>
        <v>3</v>
      </c>
      <c r="E1956" t="str">
        <f t="shared" si="584"/>
        <v>zard-exhaust-full-kit-bmw-r-nine-t-1200-capitan-scappamento-zbmw528tkr</v>
      </c>
      <c r="F1956" t="str">
        <f t="shared" si="572"/>
        <v>ZARD EXHAUST FULL KIT BMW R NINE-T 1200 CAPITAN SCAPPAMENTO ZBMW528TKR</v>
      </c>
      <c r="G1956" t="str">
        <f t="shared" si="573"/>
        <v/>
      </c>
      <c r="H1956" t="str">
        <f t="shared" si="585"/>
        <v/>
      </c>
      <c r="I1956" t="str">
        <f t="shared" si="586"/>
        <v/>
      </c>
      <c r="J1956" t="str">
        <f t="shared" si="587"/>
        <v/>
      </c>
      <c r="K1956" t="str">
        <f t="shared" si="588"/>
        <v/>
      </c>
      <c r="L1956" t="str">
        <f t="shared" si="574"/>
        <v/>
      </c>
      <c r="M1956" t="str">
        <f t="shared" si="575"/>
        <v/>
      </c>
      <c r="R1956" t="str">
        <f t="shared" si="576"/>
        <v/>
      </c>
      <c r="S1956" t="str">
        <f t="shared" si="577"/>
        <v/>
      </c>
      <c r="U1956" t="str">
        <f t="shared" si="578"/>
        <v/>
      </c>
      <c r="V1956" t="str">
        <f t="shared" si="579"/>
        <v/>
      </c>
      <c r="W1956" s="5" t="str">
        <f t="shared" si="580"/>
        <v/>
      </c>
      <c r="Y1956" t="str">
        <f t="shared" si="581"/>
        <v/>
      </c>
      <c r="Z1956" t="str">
        <f t="shared" si="582"/>
        <v/>
      </c>
      <c r="AB1956" t="str">
        <f t="shared" si="583"/>
        <v>https://shop.officineitalianezard.it/contents/imgs/products/1_1346-3.jpg</v>
      </c>
      <c r="AE1956" t="b">
        <v>0</v>
      </c>
    </row>
    <row r="1957" spans="1:31" x14ac:dyDescent="0.2">
      <c r="A1957" t="str">
        <f t="shared" si="570"/>
        <v>https://shop.officineitalianezard.it/en/bmw-nine-t-exhaust-zard-3/</v>
      </c>
      <c r="B1957" t="b">
        <f>COUNTIF($A$2:$A1957, A1957)&gt;1</f>
        <v>1</v>
      </c>
      <c r="C1957" t="b">
        <f t="shared" si="571"/>
        <v>0</v>
      </c>
      <c r="D1957">
        <f>VLOOKUP(A1957,variant_counts!A:B, 2, FALSE)</f>
        <v>3</v>
      </c>
      <c r="E1957" t="str">
        <f t="shared" si="584"/>
        <v>zard-exhaust-full-kit-bmw-r-nine-t-1200-capitan-scappamento-zbmw528tkr</v>
      </c>
      <c r="F1957" t="str">
        <f t="shared" si="572"/>
        <v>ZARD EXHAUST FULL KIT BMW R NINE-T 1200 CAPITAN SCAPPAMENTO ZBMW528TKR</v>
      </c>
      <c r="G1957" t="str">
        <f t="shared" si="573"/>
        <v/>
      </c>
      <c r="H1957" t="str">
        <f t="shared" si="585"/>
        <v/>
      </c>
      <c r="I1957" t="str">
        <f t="shared" si="586"/>
        <v/>
      </c>
      <c r="J1957" t="str">
        <f t="shared" si="587"/>
        <v/>
      </c>
      <c r="K1957" t="str">
        <f t="shared" si="588"/>
        <v/>
      </c>
      <c r="L1957" t="str">
        <f t="shared" si="574"/>
        <v/>
      </c>
      <c r="M1957" t="str">
        <f t="shared" si="575"/>
        <v/>
      </c>
      <c r="R1957" t="str">
        <f t="shared" si="576"/>
        <v/>
      </c>
      <c r="S1957" t="str">
        <f t="shared" si="577"/>
        <v/>
      </c>
      <c r="U1957" t="str">
        <f t="shared" si="578"/>
        <v/>
      </c>
      <c r="V1957" t="str">
        <f t="shared" si="579"/>
        <v/>
      </c>
      <c r="W1957" s="5" t="str">
        <f t="shared" si="580"/>
        <v/>
      </c>
      <c r="Y1957" t="str">
        <f t="shared" si="581"/>
        <v/>
      </c>
      <c r="Z1957" t="str">
        <f t="shared" si="582"/>
        <v/>
      </c>
      <c r="AB1957" t="str">
        <f t="shared" si="583"/>
        <v>https://shop.officineitalianezard.it/contents/imgs/products/1_1347-4.jpg</v>
      </c>
      <c r="AE1957" t="b">
        <v>0</v>
      </c>
    </row>
    <row r="1958" spans="1:31" x14ac:dyDescent="0.2">
      <c r="A1958" t="str">
        <f t="shared" si="570"/>
        <v>https://shop.officineitalianezard.it/en/bmw-nine-t-exhaust-zard-3/</v>
      </c>
      <c r="B1958" t="b">
        <f>COUNTIF($A$2:$A1958, A1958)&gt;1</f>
        <v>1</v>
      </c>
      <c r="C1958" t="b">
        <f t="shared" si="571"/>
        <v>0</v>
      </c>
      <c r="D1958">
        <f>VLOOKUP(A1958,variant_counts!A:B, 2, FALSE)</f>
        <v>3</v>
      </c>
      <c r="E1958" t="str">
        <f t="shared" si="584"/>
        <v>zard-exhaust-full-kit-bmw-r-nine-t-1200-capitan-scappamento-zbmw528tkr</v>
      </c>
      <c r="F1958" t="str">
        <f t="shared" si="572"/>
        <v>ZARD EXHAUST FULL KIT BMW R NINE-T 1200 CAPITAN SCAPPAMENTO ZBMW528TKR</v>
      </c>
      <c r="G1958" t="str">
        <f t="shared" si="573"/>
        <v/>
      </c>
      <c r="H1958" t="str">
        <f t="shared" si="585"/>
        <v/>
      </c>
      <c r="I1958" t="str">
        <f t="shared" si="586"/>
        <v/>
      </c>
      <c r="J1958" t="str">
        <f t="shared" si="587"/>
        <v/>
      </c>
      <c r="K1958" t="str">
        <f t="shared" si="588"/>
        <v/>
      </c>
      <c r="L1958" t="str">
        <f t="shared" si="574"/>
        <v/>
      </c>
      <c r="M1958" t="str">
        <f t="shared" si="575"/>
        <v/>
      </c>
      <c r="R1958" t="str">
        <f t="shared" si="576"/>
        <v/>
      </c>
      <c r="S1958" t="str">
        <f t="shared" si="577"/>
        <v/>
      </c>
      <c r="U1958" t="str">
        <f t="shared" si="578"/>
        <v/>
      </c>
      <c r="V1958" t="str">
        <f t="shared" si="579"/>
        <v/>
      </c>
      <c r="W1958" s="5" t="str">
        <f t="shared" si="580"/>
        <v/>
      </c>
      <c r="Y1958" t="str">
        <f t="shared" si="581"/>
        <v/>
      </c>
      <c r="Z1958" t="str">
        <f t="shared" si="582"/>
        <v/>
      </c>
      <c r="AB1958" t="str">
        <f t="shared" si="583"/>
        <v>https://shop.officineitalianezard.it/contents/imgs/products/1_1348-5.jpg</v>
      </c>
      <c r="AE1958" t="b">
        <v>0</v>
      </c>
    </row>
    <row r="1959" spans="1:31" x14ac:dyDescent="0.2">
      <c r="A1959" t="str">
        <f t="shared" si="570"/>
        <v>https://shop.officineitalianezard.it/en/bmw-nine-t-exhaust-zard-3/</v>
      </c>
      <c r="B1959" t="b">
        <f>COUNTIF($A$2:$A1959, A1959)&gt;1</f>
        <v>1</v>
      </c>
      <c r="C1959" t="b">
        <f t="shared" si="571"/>
        <v>0</v>
      </c>
      <c r="D1959">
        <f>VLOOKUP(A1959,variant_counts!A:B, 2, FALSE)</f>
        <v>3</v>
      </c>
      <c r="E1959" t="str">
        <f t="shared" si="584"/>
        <v>zard-exhaust-full-kit-bmw-r-nine-t-1200-capitan-scappamento-zbmw528tkr</v>
      </c>
      <c r="F1959" t="str">
        <f t="shared" si="572"/>
        <v>ZARD EXHAUST FULL KIT BMW R NINE-T 1200 CAPITAN SCAPPAMENTO ZBMW528TKR</v>
      </c>
      <c r="G1959" t="str">
        <f t="shared" si="573"/>
        <v/>
      </c>
      <c r="H1959" t="str">
        <f t="shared" si="585"/>
        <v/>
      </c>
      <c r="I1959" t="str">
        <f t="shared" si="586"/>
        <v/>
      </c>
      <c r="J1959" t="str">
        <f t="shared" si="587"/>
        <v/>
      </c>
      <c r="K1959" t="str">
        <f t="shared" si="588"/>
        <v/>
      </c>
      <c r="L1959" t="str">
        <f t="shared" si="574"/>
        <v/>
      </c>
      <c r="M1959" t="str">
        <f t="shared" si="575"/>
        <v/>
      </c>
      <c r="R1959" t="str">
        <f t="shared" si="576"/>
        <v/>
      </c>
      <c r="S1959" t="str">
        <f t="shared" si="577"/>
        <v/>
      </c>
      <c r="U1959" t="str">
        <f t="shared" si="578"/>
        <v/>
      </c>
      <c r="V1959" t="str">
        <f t="shared" si="579"/>
        <v/>
      </c>
      <c r="W1959" s="5" t="str">
        <f t="shared" si="580"/>
        <v/>
      </c>
      <c r="Y1959" t="str">
        <f t="shared" si="581"/>
        <v/>
      </c>
      <c r="Z1959" t="str">
        <f t="shared" si="582"/>
        <v/>
      </c>
      <c r="AB1959" t="str">
        <f t="shared" si="583"/>
        <v>https://shop.officineitalianezard.it/contents/imgs/products/1_1373-silenziatori%20bmw%20nine%20t%20zard%20scappamento.jpg</v>
      </c>
      <c r="AE1959" t="b">
        <v>0</v>
      </c>
    </row>
    <row r="1960" spans="1:31" x14ac:dyDescent="0.2">
      <c r="A1960" t="str">
        <f t="shared" si="570"/>
        <v>https://shop.officineitalianezard.it/en/bmw-nine-t-exhaust-zard-3/</v>
      </c>
      <c r="B1960" t="b">
        <f>COUNTIF($A$2:$A1960, A1960)&gt;1</f>
        <v>1</v>
      </c>
      <c r="C1960" t="b">
        <f t="shared" si="571"/>
        <v>0</v>
      </c>
      <c r="D1960">
        <f>VLOOKUP(A1960,variant_counts!A:B, 2, FALSE)</f>
        <v>3</v>
      </c>
      <c r="E1960" t="str">
        <f t="shared" si="584"/>
        <v>zard-exhaust-full-kit-bmw-r-nine-t-1200-capitan-scappamento-zbmw528tkr</v>
      </c>
      <c r="F1960" t="str">
        <f t="shared" si="572"/>
        <v>ZARD EXHAUST FULL KIT BMW R NINE-T 1200 CAPITAN SCAPPAMENTO ZBMW528TKR</v>
      </c>
      <c r="G1960" t="str">
        <f t="shared" si="573"/>
        <v/>
      </c>
      <c r="H1960" t="str">
        <f t="shared" si="585"/>
        <v/>
      </c>
      <c r="I1960" t="str">
        <f t="shared" si="586"/>
        <v/>
      </c>
      <c r="J1960" t="str">
        <f t="shared" si="587"/>
        <v/>
      </c>
      <c r="K1960" t="str">
        <f t="shared" si="588"/>
        <v/>
      </c>
      <c r="L1960" t="str">
        <f t="shared" si="574"/>
        <v/>
      </c>
      <c r="M1960" t="str">
        <f t="shared" si="575"/>
        <v/>
      </c>
      <c r="R1960" t="str">
        <f t="shared" si="576"/>
        <v/>
      </c>
      <c r="S1960" t="str">
        <f t="shared" si="577"/>
        <v/>
      </c>
      <c r="U1960" t="str">
        <f t="shared" si="578"/>
        <v/>
      </c>
      <c r="V1960" t="str">
        <f t="shared" si="579"/>
        <v/>
      </c>
      <c r="W1960" s="5" t="str">
        <f t="shared" si="580"/>
        <v/>
      </c>
      <c r="Y1960" t="str">
        <f t="shared" si="581"/>
        <v/>
      </c>
      <c r="Z1960" t="str">
        <f t="shared" si="582"/>
        <v/>
      </c>
      <c r="AB1960" t="str">
        <f t="shared" si="583"/>
        <v>https://shop.officineitalianezard.it/contents/imgs/products/1_2145-r9t.jpg</v>
      </c>
      <c r="AE1960" t="b">
        <v>0</v>
      </c>
    </row>
    <row r="1961" spans="1:31" x14ac:dyDescent="0.2">
      <c r="A1961" t="str">
        <f t="shared" si="570"/>
        <v>https://shop.officineitalianezard.it/en/bmw-nine-t-exhaust-zard-3/</v>
      </c>
      <c r="B1961" t="b">
        <f>COUNTIF($A$2:$A1961, A1961)&gt;1</f>
        <v>1</v>
      </c>
      <c r="C1961" t="b">
        <f t="shared" si="571"/>
        <v>1</v>
      </c>
      <c r="D1961">
        <f>VLOOKUP(A1961,variant_counts!A:B, 2, FALSE)</f>
        <v>3</v>
      </c>
      <c r="E1961" t="str">
        <f t="shared" si="584"/>
        <v>zard-exhaust-full-kit-bmw-r-nine-t-1200-capitan-scappamento-zbmw528tkr</v>
      </c>
      <c r="F1961" t="str">
        <f t="shared" si="572"/>
        <v>ZARD EXHAUST FULL KIT BMW R NINE-T 1200 CAPITAN SCAPPAMENTO ZBMW528TKR</v>
      </c>
      <c r="G1961" t="str">
        <f t="shared" si="573"/>
        <v/>
      </c>
      <c r="H1961" t="str">
        <f t="shared" si="585"/>
        <v/>
      </c>
      <c r="I1961" t="str">
        <f t="shared" si="586"/>
        <v/>
      </c>
      <c r="J1961" t="str">
        <f t="shared" si="587"/>
        <v/>
      </c>
      <c r="K1961" t="str">
        <f t="shared" si="588"/>
        <v/>
      </c>
      <c r="L1961" t="str">
        <f t="shared" si="574"/>
        <v>Option</v>
      </c>
      <c r="M1961" t="str">
        <f t="shared" si="575"/>
        <v>STEEL FENDER</v>
      </c>
      <c r="R1961" t="str">
        <f t="shared" si="576"/>
        <v>ZBMW528TKR</v>
      </c>
      <c r="S1961">
        <f t="shared" si="577"/>
        <v>0</v>
      </c>
      <c r="U1961" t="str">
        <f t="shared" si="578"/>
        <v>continue</v>
      </c>
      <c r="V1961" t="str">
        <f t="shared" si="579"/>
        <v>manual</v>
      </c>
      <c r="W1961" s="5">
        <f t="shared" si="580"/>
        <v>2190.7959000000001</v>
      </c>
      <c r="Y1961" t="b">
        <f t="shared" si="581"/>
        <v>1</v>
      </c>
      <c r="Z1961" t="b">
        <f t="shared" si="582"/>
        <v>0</v>
      </c>
      <c r="AB1961" t="str">
        <f t="shared" si="583"/>
        <v/>
      </c>
      <c r="AE1961" t="b">
        <v>0</v>
      </c>
    </row>
    <row r="1962" spans="1:31" x14ac:dyDescent="0.2">
      <c r="A1962" t="str">
        <f t="shared" si="570"/>
        <v>https://shop.officineitalianezard.it/en/bmw-nine-t-exhaust-zard-3/</v>
      </c>
      <c r="B1962" t="b">
        <f>COUNTIF($A$2:$A1962, A1962)&gt;1</f>
        <v>1</v>
      </c>
      <c r="C1962" t="b">
        <f t="shared" si="571"/>
        <v>1</v>
      </c>
      <c r="D1962">
        <f>VLOOKUP(A1962,variant_counts!A:B, 2, FALSE)</f>
        <v>3</v>
      </c>
      <c r="E1962" t="str">
        <f t="shared" si="584"/>
        <v>zard-exhaust-full-kit-bmw-r-nine-t-1200-capitan-scappamento-zbmw528tkr</v>
      </c>
      <c r="F1962" t="str">
        <f t="shared" si="572"/>
        <v>ZARD EXHAUST FULL KIT BMW R NINE-T 1200 CAPITAN SCAPPAMENTO ZBMW528TKR</v>
      </c>
      <c r="G1962" t="str">
        <f t="shared" si="573"/>
        <v/>
      </c>
      <c r="H1962" t="str">
        <f t="shared" si="585"/>
        <v/>
      </c>
      <c r="I1962" t="str">
        <f t="shared" si="586"/>
        <v/>
      </c>
      <c r="J1962" t="str">
        <f t="shared" si="587"/>
        <v/>
      </c>
      <c r="K1962" t="str">
        <f t="shared" si="588"/>
        <v/>
      </c>
      <c r="L1962" t="str">
        <f t="shared" si="574"/>
        <v>Option</v>
      </c>
      <c r="M1962" t="str">
        <f t="shared" si="575"/>
        <v>TITANIUM DUCT INTAKE</v>
      </c>
      <c r="R1962" t="str">
        <f t="shared" si="576"/>
        <v>ZBMW528TKR</v>
      </c>
      <c r="S1962">
        <f t="shared" si="577"/>
        <v>0</v>
      </c>
      <c r="U1962" t="str">
        <f t="shared" si="578"/>
        <v>continue</v>
      </c>
      <c r="V1962" t="str">
        <f t="shared" si="579"/>
        <v>manual</v>
      </c>
      <c r="W1962" s="5">
        <f t="shared" si="580"/>
        <v>2623.9734000000003</v>
      </c>
      <c r="Y1962" t="b">
        <f t="shared" si="581"/>
        <v>1</v>
      </c>
      <c r="Z1962" t="b">
        <f t="shared" si="582"/>
        <v>0</v>
      </c>
      <c r="AB1962" t="str">
        <f t="shared" si="583"/>
        <v/>
      </c>
      <c r="AE1962" t="b">
        <v>0</v>
      </c>
    </row>
    <row r="1963" spans="1:31" x14ac:dyDescent="0.2">
      <c r="A1963" t="str">
        <f t="shared" si="570"/>
        <v>https://shop.officineitalianezard.it/en/bmw-nine-t-exhaust-zard-3/</v>
      </c>
      <c r="B1963" t="b">
        <f>COUNTIF($A$2:$A1963, A1963)&gt;1</f>
        <v>1</v>
      </c>
      <c r="C1963" t="b">
        <f t="shared" si="571"/>
        <v>1</v>
      </c>
      <c r="D1963">
        <f>VLOOKUP(A1963,variant_counts!A:B, 2, FALSE)</f>
        <v>3</v>
      </c>
      <c r="E1963" t="str">
        <f t="shared" si="584"/>
        <v>zard-exhaust-full-kit-bmw-r-nine-t-1200-capitan-scappamento-zbmw528tkr</v>
      </c>
      <c r="F1963" t="str">
        <f t="shared" si="572"/>
        <v>ZARD EXHAUST FULL KIT BMW R NINE-T 1200 CAPITAN SCAPPAMENTO ZBMW528TKR</v>
      </c>
      <c r="G1963" t="str">
        <f t="shared" si="573"/>
        <v/>
      </c>
      <c r="H1963" t="str">
        <f t="shared" si="585"/>
        <v/>
      </c>
      <c r="I1963" t="str">
        <f t="shared" si="586"/>
        <v/>
      </c>
      <c r="J1963" t="str">
        <f t="shared" si="587"/>
        <v/>
      </c>
      <c r="K1963" t="str">
        <f t="shared" si="588"/>
        <v/>
      </c>
      <c r="L1963" t="str">
        <f t="shared" si="574"/>
        <v>Option</v>
      </c>
      <c r="M1963" t="str">
        <f t="shared" si="575"/>
        <v>TITANIUM INTAKE COVER RH+LH</v>
      </c>
      <c r="R1963" t="str">
        <f t="shared" si="576"/>
        <v>ZBMW528TKR</v>
      </c>
      <c r="S1963">
        <f t="shared" si="577"/>
        <v>0</v>
      </c>
      <c r="U1963" t="str">
        <f t="shared" si="578"/>
        <v>continue</v>
      </c>
      <c r="V1963" t="str">
        <f t="shared" si="579"/>
        <v>manual</v>
      </c>
      <c r="W1963" s="5">
        <f t="shared" si="580"/>
        <v>2365.2102000000004</v>
      </c>
      <c r="Y1963" t="b">
        <f t="shared" si="581"/>
        <v>1</v>
      </c>
      <c r="Z1963" t="b">
        <f t="shared" si="582"/>
        <v>0</v>
      </c>
      <c r="AB1963" t="str">
        <f t="shared" si="583"/>
        <v/>
      </c>
      <c r="AE1963" t="b">
        <v>0</v>
      </c>
    </row>
    <row r="1964" spans="1:31" x14ac:dyDescent="0.2">
      <c r="A1964" t="str">
        <f t="shared" si="570"/>
        <v>https://shop.officineitalianezard.it/en/zard-conical-silencer-bmw-2/</v>
      </c>
      <c r="B1964" t="b">
        <f>COUNTIF($A$2:$A1964, A1964)&gt;1</f>
        <v>0</v>
      </c>
      <c r="C1964" t="b">
        <f t="shared" si="571"/>
        <v>0</v>
      </c>
      <c r="D1964">
        <f>VLOOKUP(A1964,variant_counts!A:B, 2, FALSE)</f>
        <v>4</v>
      </c>
      <c r="E1964" t="str">
        <f t="shared" si="584"/>
        <v>zard-exhaust-silencer-bmw-f-800-s-st-conical-version-zbmw083ssr-s</v>
      </c>
      <c r="F1964" t="str">
        <f t="shared" si="572"/>
        <v>ZARD EXHAUST SILENCER BMW F 800 S-ST CONICAL VERSION ZBMW083SSR-S</v>
      </c>
      <c r="G1964" t="str">
        <f t="shared" si="573"/>
        <v>&lt;p&gt;STEEL SILENCER RACING WITH REMOVABLE DB KILLER&lt;/p&gt;
&lt;p&gt;ORIGINAL SILENCER WEIGHT: KG 6.5&lt;br&gt;ZARD SILENCER WEIGHT: KG 3.2&lt;/p&gt;
&lt;p&gt;HARD INCREASE, COMPARED TO THE STANDARD EXHAUST SYSTEM, IN TERMS OF TORQUE AND POWER AT ANY RANGE (+2 HP)&lt;/p&gt;
&lt;p&gt;ASTONISHING SOUND&lt;/p&gt;</v>
      </c>
      <c r="H1964" t="str">
        <f t="shared" si="585"/>
        <v>ZARD</v>
      </c>
      <c r="I1964" t="str">
        <f t="shared" si="586"/>
        <v>Exhaust Pipe</v>
      </c>
      <c r="J1964" t="str">
        <f t="shared" si="587"/>
        <v>Test</v>
      </c>
      <c r="K1964" t="b">
        <f t="shared" si="588"/>
        <v>0</v>
      </c>
      <c r="L1964" t="str">
        <f t="shared" si="574"/>
        <v/>
      </c>
      <c r="M1964" t="str">
        <f t="shared" si="575"/>
        <v/>
      </c>
      <c r="R1964" t="str">
        <f t="shared" si="576"/>
        <v/>
      </c>
      <c r="S1964" t="str">
        <f t="shared" si="577"/>
        <v/>
      </c>
      <c r="U1964" t="str">
        <f t="shared" si="578"/>
        <v/>
      </c>
      <c r="V1964" t="str">
        <f t="shared" si="579"/>
        <v/>
      </c>
      <c r="W1964" s="5" t="str">
        <f t="shared" si="580"/>
        <v/>
      </c>
      <c r="Y1964" t="str">
        <f t="shared" si="581"/>
        <v/>
      </c>
      <c r="Z1964" t="str">
        <f t="shared" si="582"/>
        <v/>
      </c>
      <c r="AB1964" t="str">
        <f t="shared" si="583"/>
        <v>https://shop.officineitalianezard.it/contents/imgs/products/1_804-scarichi%20moto%20zard%20bmw1.jpg</v>
      </c>
      <c r="AE1964" t="b">
        <v>0</v>
      </c>
    </row>
    <row r="1965" spans="1:31" x14ac:dyDescent="0.2">
      <c r="A1965" t="str">
        <f t="shared" si="570"/>
        <v>https://shop.officineitalianezard.it/en/zard-conical-silencer-bmw-2/</v>
      </c>
      <c r="B1965" t="b">
        <f>COUNTIF($A$2:$A1965, A1965)&gt;1</f>
        <v>1</v>
      </c>
      <c r="C1965" t="b">
        <f t="shared" si="571"/>
        <v>1</v>
      </c>
      <c r="D1965">
        <f>VLOOKUP(A1965,variant_counts!A:B, 2, FALSE)</f>
        <v>4</v>
      </c>
      <c r="E1965" t="str">
        <f t="shared" si="584"/>
        <v>zard-exhaust-silencer-bmw-f-800-s-st-conical-version-zbmw083ssr-s</v>
      </c>
      <c r="F1965" t="str">
        <f t="shared" si="572"/>
        <v>ZARD EXHAUST SILENCER BMW F 800 S-ST CONICAL VERSION ZBMW083SSR-S</v>
      </c>
      <c r="G1965" t="str">
        <f t="shared" si="573"/>
        <v/>
      </c>
      <c r="H1965" t="str">
        <f t="shared" si="585"/>
        <v/>
      </c>
      <c r="I1965" t="str">
        <f t="shared" si="586"/>
        <v/>
      </c>
      <c r="J1965" t="str">
        <f t="shared" si="587"/>
        <v/>
      </c>
      <c r="K1965" t="str">
        <f t="shared" si="588"/>
        <v/>
      </c>
      <c r="L1965" t="str">
        <f t="shared" si="574"/>
        <v>Option</v>
      </c>
      <c r="M1965" t="str">
        <f t="shared" si="575"/>
        <v>HOMOLOGATED EURO 3</v>
      </c>
      <c r="R1965" t="str">
        <f t="shared" si="576"/>
        <v>ZBMW083SSR-S</v>
      </c>
      <c r="S1965">
        <f t="shared" si="577"/>
        <v>0</v>
      </c>
      <c r="U1965" t="str">
        <f t="shared" si="578"/>
        <v>continue</v>
      </c>
      <c r="V1965" t="str">
        <f t="shared" si="579"/>
        <v>manual</v>
      </c>
      <c r="W1965" s="5">
        <f t="shared" si="580"/>
        <v>548.45100000000002</v>
      </c>
      <c r="Y1965" t="b">
        <f t="shared" si="581"/>
        <v>1</v>
      </c>
      <c r="Z1965" t="b">
        <f t="shared" si="582"/>
        <v>0</v>
      </c>
      <c r="AB1965" t="str">
        <f t="shared" si="583"/>
        <v/>
      </c>
      <c r="AE1965" t="b">
        <v>0</v>
      </c>
    </row>
    <row r="1966" spans="1:31" x14ac:dyDescent="0.2">
      <c r="A1966" t="str">
        <f t="shared" si="570"/>
        <v>https://shop.officineitalianezard.it/en/zard-conical-silencer-bmw-2/</v>
      </c>
      <c r="B1966" t="b">
        <f>COUNTIF($A$2:$A1966, A1966)&gt;1</f>
        <v>1</v>
      </c>
      <c r="C1966" t="b">
        <f t="shared" si="571"/>
        <v>1</v>
      </c>
      <c r="D1966">
        <f>VLOOKUP(A1966,variant_counts!A:B, 2, FALSE)</f>
        <v>4</v>
      </c>
      <c r="E1966" t="str">
        <f t="shared" si="584"/>
        <v>zard-exhaust-silencer-bmw-f-800-s-st-conical-version-zbmw083ssr-s</v>
      </c>
      <c r="F1966" t="str">
        <f t="shared" si="572"/>
        <v>ZARD EXHAUST SILENCER BMW F 800 S-ST CONICAL VERSION ZBMW083SSR-S</v>
      </c>
      <c r="G1966" t="str">
        <f t="shared" si="573"/>
        <v/>
      </c>
      <c r="H1966" t="str">
        <f t="shared" si="585"/>
        <v/>
      </c>
      <c r="I1966" t="str">
        <f t="shared" si="586"/>
        <v/>
      </c>
      <c r="J1966" t="str">
        <f t="shared" si="587"/>
        <v/>
      </c>
      <c r="K1966" t="str">
        <f t="shared" si="588"/>
        <v/>
      </c>
      <c r="L1966" t="str">
        <f t="shared" si="574"/>
        <v>Option</v>
      </c>
      <c r="M1966" t="str">
        <f t="shared" si="575"/>
        <v>BLACK COATING</v>
      </c>
      <c r="R1966" t="str">
        <f t="shared" si="576"/>
        <v>ZBMW083SSR-S</v>
      </c>
      <c r="S1966">
        <f t="shared" si="577"/>
        <v>0</v>
      </c>
      <c r="U1966" t="str">
        <f t="shared" si="578"/>
        <v>continue</v>
      </c>
      <c r="V1966" t="str">
        <f t="shared" si="579"/>
        <v>manual</v>
      </c>
      <c r="W1966" s="5">
        <f t="shared" si="580"/>
        <v>608.22450000000015</v>
      </c>
      <c r="Y1966" t="b">
        <f t="shared" si="581"/>
        <v>1</v>
      </c>
      <c r="Z1966" t="b">
        <f t="shared" si="582"/>
        <v>0</v>
      </c>
      <c r="AB1966" t="str">
        <f t="shared" si="583"/>
        <v/>
      </c>
      <c r="AE1966" t="b">
        <v>0</v>
      </c>
    </row>
    <row r="1967" spans="1:31" x14ac:dyDescent="0.2">
      <c r="A1967" t="str">
        <f t="shared" si="570"/>
        <v>https://shop.officineitalianezard.it/en/zard-conical-silencer-bmw-2/</v>
      </c>
      <c r="B1967" t="b">
        <f>COUNTIF($A$2:$A1967, A1967)&gt;1</f>
        <v>1</v>
      </c>
      <c r="C1967" t="b">
        <f t="shared" si="571"/>
        <v>1</v>
      </c>
      <c r="D1967">
        <f>VLOOKUP(A1967,variant_counts!A:B, 2, FALSE)</f>
        <v>4</v>
      </c>
      <c r="E1967" t="str">
        <f t="shared" si="584"/>
        <v>zard-exhaust-silencer-bmw-f-800-s-st-conical-version-zbmw083ssr-s</v>
      </c>
      <c r="F1967" t="str">
        <f t="shared" si="572"/>
        <v>ZARD EXHAUST SILENCER BMW F 800 S-ST CONICAL VERSION ZBMW083SSR-S</v>
      </c>
      <c r="G1967" t="str">
        <f t="shared" si="573"/>
        <v/>
      </c>
      <c r="H1967" t="str">
        <f t="shared" si="585"/>
        <v/>
      </c>
      <c r="I1967" t="str">
        <f t="shared" si="586"/>
        <v/>
      </c>
      <c r="J1967" t="str">
        <f t="shared" si="587"/>
        <v/>
      </c>
      <c r="K1967" t="str">
        <f t="shared" si="588"/>
        <v/>
      </c>
      <c r="L1967" t="str">
        <f t="shared" si="574"/>
        <v>Option</v>
      </c>
      <c r="M1967" t="str">
        <f t="shared" si="575"/>
        <v>MIRROR POLISHED</v>
      </c>
      <c r="R1967" t="str">
        <f t="shared" si="576"/>
        <v>ZBMW083SSR-S</v>
      </c>
      <c r="S1967">
        <f t="shared" si="577"/>
        <v>0</v>
      </c>
      <c r="U1967" t="str">
        <f t="shared" si="578"/>
        <v>continue</v>
      </c>
      <c r="V1967" t="str">
        <f t="shared" si="579"/>
        <v>manual</v>
      </c>
      <c r="W1967" s="5">
        <f t="shared" si="580"/>
        <v>543.53370000000007</v>
      </c>
      <c r="Y1967" t="b">
        <f t="shared" si="581"/>
        <v>1</v>
      </c>
      <c r="Z1967" t="b">
        <f t="shared" si="582"/>
        <v>0</v>
      </c>
      <c r="AB1967" t="str">
        <f t="shared" si="583"/>
        <v/>
      </c>
      <c r="AE1967" t="b">
        <v>0</v>
      </c>
    </row>
    <row r="1968" spans="1:31" x14ac:dyDescent="0.2">
      <c r="A1968" t="str">
        <f t="shared" si="570"/>
        <v>https://shop.officineitalianezard.it/en/zard-conical-silencer-bmw-2/</v>
      </c>
      <c r="B1968" t="b">
        <f>COUNTIF($A$2:$A1968, A1968)&gt;1</f>
        <v>1</v>
      </c>
      <c r="C1968" t="b">
        <f t="shared" si="571"/>
        <v>1</v>
      </c>
      <c r="D1968">
        <f>VLOOKUP(A1968,variant_counts!A:B, 2, FALSE)</f>
        <v>4</v>
      </c>
      <c r="E1968" t="str">
        <f t="shared" si="584"/>
        <v>zard-exhaust-silencer-bmw-f-800-s-st-conical-version-zbmw083ssr-s</v>
      </c>
      <c r="F1968" t="str">
        <f t="shared" si="572"/>
        <v>ZARD EXHAUST SILENCER BMW F 800 S-ST CONICAL VERSION ZBMW083SSR-S</v>
      </c>
      <c r="G1968" t="str">
        <f t="shared" si="573"/>
        <v/>
      </c>
      <c r="H1968" t="str">
        <f t="shared" si="585"/>
        <v/>
      </c>
      <c r="I1968" t="str">
        <f t="shared" si="586"/>
        <v/>
      </c>
      <c r="J1968" t="str">
        <f t="shared" si="587"/>
        <v/>
      </c>
      <c r="K1968" t="str">
        <f t="shared" si="588"/>
        <v/>
      </c>
      <c r="L1968" t="str">
        <f t="shared" si="574"/>
        <v>Option</v>
      </c>
      <c r="M1968" t="str">
        <f t="shared" si="575"/>
        <v>CARBON ENDCAP</v>
      </c>
      <c r="R1968" t="str">
        <f t="shared" si="576"/>
        <v>ZBMW083SSR-S</v>
      </c>
      <c r="S1968">
        <f t="shared" si="577"/>
        <v>0</v>
      </c>
      <c r="U1968" t="str">
        <f t="shared" si="578"/>
        <v>continue</v>
      </c>
      <c r="V1968" t="str">
        <f t="shared" si="579"/>
        <v>manual</v>
      </c>
      <c r="W1968" s="5">
        <f t="shared" si="580"/>
        <v>568.9194</v>
      </c>
      <c r="Y1968" t="b">
        <f t="shared" si="581"/>
        <v>1</v>
      </c>
      <c r="Z1968" t="b">
        <f t="shared" si="582"/>
        <v>0</v>
      </c>
      <c r="AB1968" t="str">
        <f t="shared" si="583"/>
        <v/>
      </c>
      <c r="AE1968" t="b">
        <v>0</v>
      </c>
    </row>
    <row r="1969" spans="1:31" x14ac:dyDescent="0.2">
      <c r="A1969" t="str">
        <f t="shared" si="570"/>
        <v>https://shop.officineitalianezard.it/en/zard-bmw-silencer/</v>
      </c>
      <c r="B1969" t="b">
        <f>COUNTIF($A$2:$A1969, A1969)&gt;1</f>
        <v>0</v>
      </c>
      <c r="C1969" t="b">
        <f t="shared" si="571"/>
        <v>0</v>
      </c>
      <c r="D1969">
        <f>VLOOKUP(A1969,variant_counts!A:B, 2, FALSE)</f>
        <v>4</v>
      </c>
      <c r="E1969" t="str">
        <f t="shared" si="584"/>
        <v>zard-exhaust-silencer-bmw-f-800-r-200911-conical-version-zbmw519ssr-s</v>
      </c>
      <c r="F1969" t="str">
        <f t="shared" si="572"/>
        <v>ZARD EXHAUST SILENCER BMW F 800 R 2009/11 CONICAL VERSION ZBMW519SSR-S</v>
      </c>
      <c r="G1969" t="str">
        <f t="shared" si="573"/>
        <v>&lt;p&gt;STEEL SILENCER RACING WITH REMOVABLE DB KILLER&lt;/p&gt;
&lt;p&gt;ORIGINAL SILENCER WEIGHT: KG 6.5&lt;br&gt;ZARD SILENCER WEIGHT: KG 3.2&lt;/p&gt;
&lt;p&gt;HARD INCREASE, COMPARED TO THE STANDARD EXHAUST SYSTEM, IN TERMS OF TORQUE AND POWER AT ANY RANGE (+2 HP)&lt;/p&gt;
&lt;p&gt;ASTONISHING SOUND&lt;/p&gt;</v>
      </c>
      <c r="H1969" t="str">
        <f t="shared" si="585"/>
        <v>ZARD</v>
      </c>
      <c r="I1969" t="str">
        <f t="shared" si="586"/>
        <v>Exhaust Pipe</v>
      </c>
      <c r="J1969" t="str">
        <f t="shared" si="587"/>
        <v>Test</v>
      </c>
      <c r="K1969" t="b">
        <f t="shared" si="588"/>
        <v>0</v>
      </c>
      <c r="L1969" t="str">
        <f t="shared" si="574"/>
        <v/>
      </c>
      <c r="M1969" t="str">
        <f t="shared" si="575"/>
        <v/>
      </c>
      <c r="R1969" t="str">
        <f t="shared" si="576"/>
        <v/>
      </c>
      <c r="S1969" t="str">
        <f t="shared" si="577"/>
        <v/>
      </c>
      <c r="U1969" t="str">
        <f t="shared" si="578"/>
        <v/>
      </c>
      <c r="V1969" t="str">
        <f t="shared" si="579"/>
        <v/>
      </c>
      <c r="W1969" s="5" t="str">
        <f t="shared" si="580"/>
        <v/>
      </c>
      <c r="Y1969" t="str">
        <f t="shared" si="581"/>
        <v/>
      </c>
      <c r="Z1969" t="str">
        <f t="shared" si="582"/>
        <v/>
      </c>
      <c r="AB1969" t="str">
        <f t="shared" si="583"/>
        <v>https://shop.officineitalianezard.it/contents/imgs/products/1_749-scarichi%20moto%20zard%20bmw%201.jpg</v>
      </c>
      <c r="AE1969" t="b">
        <v>0</v>
      </c>
    </row>
    <row r="1970" spans="1:31" x14ac:dyDescent="0.2">
      <c r="A1970" t="str">
        <f t="shared" si="570"/>
        <v>https://shop.officineitalianezard.it/en/zard-bmw-silencer/</v>
      </c>
      <c r="B1970" t="b">
        <f>COUNTIF($A$2:$A1970, A1970)&gt;1</f>
        <v>1</v>
      </c>
      <c r="C1970" t="b">
        <f t="shared" si="571"/>
        <v>0</v>
      </c>
      <c r="D1970">
        <f>VLOOKUP(A1970,variant_counts!A:B, 2, FALSE)</f>
        <v>4</v>
      </c>
      <c r="E1970" t="str">
        <f t="shared" si="584"/>
        <v>zard-exhaust-silencer-bmw-f-800-r-200911-conical-version-zbmw519ssr-s</v>
      </c>
      <c r="F1970" t="str">
        <f t="shared" si="572"/>
        <v>ZARD EXHAUST SILENCER BMW F 800 R 2009/11 CONICAL VERSION ZBMW519SSR-S</v>
      </c>
      <c r="G1970" t="str">
        <f t="shared" si="573"/>
        <v/>
      </c>
      <c r="H1970" t="str">
        <f t="shared" si="585"/>
        <v/>
      </c>
      <c r="I1970" t="str">
        <f t="shared" si="586"/>
        <v/>
      </c>
      <c r="J1970" t="str">
        <f t="shared" si="587"/>
        <v/>
      </c>
      <c r="K1970" t="str">
        <f t="shared" si="588"/>
        <v/>
      </c>
      <c r="L1970" t="str">
        <f t="shared" si="574"/>
        <v/>
      </c>
      <c r="M1970" t="str">
        <f t="shared" si="575"/>
        <v/>
      </c>
      <c r="R1970" t="str">
        <f t="shared" si="576"/>
        <v/>
      </c>
      <c r="S1970" t="str">
        <f t="shared" si="577"/>
        <v/>
      </c>
      <c r="U1970" t="str">
        <f t="shared" si="578"/>
        <v/>
      </c>
      <c r="V1970" t="str">
        <f t="shared" si="579"/>
        <v/>
      </c>
      <c r="W1970" s="5" t="str">
        <f t="shared" si="580"/>
        <v/>
      </c>
      <c r="Y1970" t="str">
        <f t="shared" si="581"/>
        <v/>
      </c>
      <c r="Z1970" t="str">
        <f t="shared" si="582"/>
        <v/>
      </c>
      <c r="AB1970" t="str">
        <f t="shared" si="583"/>
        <v>https://shop.officineitalianezard.it/contents/imgs/products/1_796-scarichi%20moto%20bmw%20zard.jpg</v>
      </c>
      <c r="AE1970" t="b">
        <v>0</v>
      </c>
    </row>
    <row r="1971" spans="1:31" x14ac:dyDescent="0.2">
      <c r="A1971" t="str">
        <f t="shared" si="570"/>
        <v>https://shop.officineitalianezard.it/en/zard-bmw-silencer/</v>
      </c>
      <c r="B1971" t="b">
        <f>COUNTIF($A$2:$A1971, A1971)&gt;1</f>
        <v>1</v>
      </c>
      <c r="C1971" t="b">
        <f t="shared" si="571"/>
        <v>0</v>
      </c>
      <c r="D1971">
        <f>VLOOKUP(A1971,variant_counts!A:B, 2, FALSE)</f>
        <v>4</v>
      </c>
      <c r="E1971" t="str">
        <f t="shared" si="584"/>
        <v>zard-exhaust-silencer-bmw-f-800-r-200911-conical-version-zbmw519ssr-s</v>
      </c>
      <c r="F1971" t="str">
        <f t="shared" si="572"/>
        <v>ZARD EXHAUST SILENCER BMW F 800 R 2009/11 CONICAL VERSION ZBMW519SSR-S</v>
      </c>
      <c r="G1971" t="str">
        <f t="shared" si="573"/>
        <v/>
      </c>
      <c r="H1971" t="str">
        <f t="shared" si="585"/>
        <v/>
      </c>
      <c r="I1971" t="str">
        <f t="shared" si="586"/>
        <v/>
      </c>
      <c r="J1971" t="str">
        <f t="shared" si="587"/>
        <v/>
      </c>
      <c r="K1971" t="str">
        <f t="shared" si="588"/>
        <v/>
      </c>
      <c r="L1971" t="str">
        <f t="shared" si="574"/>
        <v/>
      </c>
      <c r="M1971" t="str">
        <f t="shared" si="575"/>
        <v/>
      </c>
      <c r="R1971" t="str">
        <f t="shared" si="576"/>
        <v/>
      </c>
      <c r="S1971" t="str">
        <f t="shared" si="577"/>
        <v/>
      </c>
      <c r="U1971" t="str">
        <f t="shared" si="578"/>
        <v/>
      </c>
      <c r="V1971" t="str">
        <f t="shared" si="579"/>
        <v/>
      </c>
      <c r="W1971" s="5" t="str">
        <f t="shared" si="580"/>
        <v/>
      </c>
      <c r="Y1971" t="str">
        <f t="shared" si="581"/>
        <v/>
      </c>
      <c r="Z1971" t="str">
        <f t="shared" si="582"/>
        <v/>
      </c>
      <c r="AB1971" t="str">
        <f t="shared" si="583"/>
        <v>https://shop.officineitalianezard.it/contents/imgs/products/1_750-scarichi%20moto%20zard%20bmw%202.jpg</v>
      </c>
      <c r="AE1971" t="b">
        <v>0</v>
      </c>
    </row>
    <row r="1972" spans="1:31" x14ac:dyDescent="0.2">
      <c r="A1972" t="str">
        <f t="shared" si="570"/>
        <v>https://shop.officineitalianezard.it/en/zard-bmw-silencer/</v>
      </c>
      <c r="B1972" t="b">
        <f>COUNTIF($A$2:$A1972, A1972)&gt;1</f>
        <v>1</v>
      </c>
      <c r="C1972" t="b">
        <f t="shared" si="571"/>
        <v>1</v>
      </c>
      <c r="D1972">
        <f>VLOOKUP(A1972,variant_counts!A:B, 2, FALSE)</f>
        <v>4</v>
      </c>
      <c r="E1972" t="str">
        <f t="shared" si="584"/>
        <v>zard-exhaust-silencer-bmw-f-800-r-200911-conical-version-zbmw519ssr-s</v>
      </c>
      <c r="F1972" t="str">
        <f t="shared" si="572"/>
        <v>ZARD EXHAUST SILENCER BMW F 800 R 2009/11 CONICAL VERSION ZBMW519SSR-S</v>
      </c>
      <c r="G1972" t="str">
        <f t="shared" si="573"/>
        <v/>
      </c>
      <c r="H1972" t="str">
        <f t="shared" si="585"/>
        <v/>
      </c>
      <c r="I1972" t="str">
        <f t="shared" si="586"/>
        <v/>
      </c>
      <c r="J1972" t="str">
        <f t="shared" si="587"/>
        <v/>
      </c>
      <c r="K1972" t="str">
        <f t="shared" si="588"/>
        <v/>
      </c>
      <c r="L1972" t="str">
        <f t="shared" si="574"/>
        <v>Option</v>
      </c>
      <c r="M1972" t="str">
        <f t="shared" si="575"/>
        <v>HOMOLOGATED EURO 3</v>
      </c>
      <c r="R1972" t="str">
        <f t="shared" si="576"/>
        <v>ZBMW519SSR-S</v>
      </c>
      <c r="S1972">
        <f t="shared" si="577"/>
        <v>0</v>
      </c>
      <c r="U1972" t="str">
        <f t="shared" si="578"/>
        <v>continue</v>
      </c>
      <c r="V1972" t="str">
        <f t="shared" si="579"/>
        <v>manual</v>
      </c>
      <c r="W1972" s="5">
        <f t="shared" si="580"/>
        <v>512.96430000000009</v>
      </c>
      <c r="Y1972" t="b">
        <f t="shared" si="581"/>
        <v>1</v>
      </c>
      <c r="Z1972" t="b">
        <f t="shared" si="582"/>
        <v>0</v>
      </c>
      <c r="AB1972" t="str">
        <f t="shared" si="583"/>
        <v/>
      </c>
      <c r="AE1972" t="b">
        <v>0</v>
      </c>
    </row>
    <row r="1973" spans="1:31" x14ac:dyDescent="0.2">
      <c r="A1973" t="str">
        <f t="shared" si="570"/>
        <v>https://shop.officineitalianezard.it/en/zard-bmw-silencer/</v>
      </c>
      <c r="B1973" t="b">
        <f>COUNTIF($A$2:$A1973, A1973)&gt;1</f>
        <v>1</v>
      </c>
      <c r="C1973" t="b">
        <f t="shared" si="571"/>
        <v>1</v>
      </c>
      <c r="D1973">
        <f>VLOOKUP(A1973,variant_counts!A:B, 2, FALSE)</f>
        <v>4</v>
      </c>
      <c r="E1973" t="str">
        <f t="shared" si="584"/>
        <v>zard-exhaust-silencer-bmw-f-800-r-200911-conical-version-zbmw519ssr-s</v>
      </c>
      <c r="F1973" t="str">
        <f t="shared" si="572"/>
        <v>ZARD EXHAUST SILENCER BMW F 800 R 2009/11 CONICAL VERSION ZBMW519SSR-S</v>
      </c>
      <c r="G1973" t="str">
        <f t="shared" si="573"/>
        <v/>
      </c>
      <c r="H1973" t="str">
        <f t="shared" si="585"/>
        <v/>
      </c>
      <c r="I1973" t="str">
        <f t="shared" si="586"/>
        <v/>
      </c>
      <c r="J1973" t="str">
        <f t="shared" si="587"/>
        <v/>
      </c>
      <c r="K1973" t="str">
        <f t="shared" si="588"/>
        <v/>
      </c>
      <c r="L1973" t="str">
        <f t="shared" si="574"/>
        <v>Option</v>
      </c>
      <c r="M1973" t="str">
        <f t="shared" si="575"/>
        <v>BLACK COATING</v>
      </c>
      <c r="R1973" t="str">
        <f t="shared" si="576"/>
        <v>ZBMW519SSR-S</v>
      </c>
      <c r="S1973">
        <f t="shared" si="577"/>
        <v>0</v>
      </c>
      <c r="U1973" t="str">
        <f t="shared" si="578"/>
        <v>continue</v>
      </c>
      <c r="V1973" t="str">
        <f t="shared" si="579"/>
        <v>manual</v>
      </c>
      <c r="W1973" s="5">
        <f t="shared" si="580"/>
        <v>572.73780000000011</v>
      </c>
      <c r="Y1973" t="b">
        <f t="shared" si="581"/>
        <v>1</v>
      </c>
      <c r="Z1973" t="b">
        <f t="shared" si="582"/>
        <v>0</v>
      </c>
      <c r="AB1973" t="str">
        <f t="shared" si="583"/>
        <v/>
      </c>
      <c r="AE1973" t="b">
        <v>0</v>
      </c>
    </row>
    <row r="1974" spans="1:31" x14ac:dyDescent="0.2">
      <c r="A1974" t="str">
        <f t="shared" si="570"/>
        <v>https://shop.officineitalianezard.it/en/zard-bmw-silencer/</v>
      </c>
      <c r="B1974" t="b">
        <f>COUNTIF($A$2:$A1974, A1974)&gt;1</f>
        <v>1</v>
      </c>
      <c r="C1974" t="b">
        <f t="shared" si="571"/>
        <v>1</v>
      </c>
      <c r="D1974">
        <f>VLOOKUP(A1974,variant_counts!A:B, 2, FALSE)</f>
        <v>4</v>
      </c>
      <c r="E1974" t="str">
        <f t="shared" si="584"/>
        <v>zard-exhaust-silencer-bmw-f-800-r-200911-conical-version-zbmw519ssr-s</v>
      </c>
      <c r="F1974" t="str">
        <f t="shared" si="572"/>
        <v>ZARD EXHAUST SILENCER BMW F 800 R 2009/11 CONICAL VERSION ZBMW519SSR-S</v>
      </c>
      <c r="G1974" t="str">
        <f t="shared" si="573"/>
        <v/>
      </c>
      <c r="H1974" t="str">
        <f t="shared" si="585"/>
        <v/>
      </c>
      <c r="I1974" t="str">
        <f t="shared" si="586"/>
        <v/>
      </c>
      <c r="J1974" t="str">
        <f t="shared" si="587"/>
        <v/>
      </c>
      <c r="K1974" t="str">
        <f t="shared" si="588"/>
        <v/>
      </c>
      <c r="L1974" t="str">
        <f t="shared" si="574"/>
        <v>Option</v>
      </c>
      <c r="M1974" t="str">
        <f t="shared" si="575"/>
        <v>MIRROR POLISHED</v>
      </c>
      <c r="R1974" t="str">
        <f t="shared" si="576"/>
        <v>ZBMW519SSR-S</v>
      </c>
      <c r="S1974">
        <f t="shared" si="577"/>
        <v>0</v>
      </c>
      <c r="U1974" t="str">
        <f t="shared" si="578"/>
        <v>continue</v>
      </c>
      <c r="V1974" t="str">
        <f t="shared" si="579"/>
        <v>manual</v>
      </c>
      <c r="W1974" s="5">
        <f t="shared" si="580"/>
        <v>508.04700000000003</v>
      </c>
      <c r="Y1974" t="b">
        <f t="shared" si="581"/>
        <v>1</v>
      </c>
      <c r="Z1974" t="b">
        <f t="shared" si="582"/>
        <v>0</v>
      </c>
      <c r="AB1974" t="str">
        <f t="shared" si="583"/>
        <v/>
      </c>
      <c r="AE1974" t="b">
        <v>0</v>
      </c>
    </row>
    <row r="1975" spans="1:31" x14ac:dyDescent="0.2">
      <c r="A1975" t="str">
        <f t="shared" si="570"/>
        <v>https://shop.officineitalianezard.it/en/zard-bmw-silencer/</v>
      </c>
      <c r="B1975" t="b">
        <f>COUNTIF($A$2:$A1975, A1975)&gt;1</f>
        <v>1</v>
      </c>
      <c r="C1975" t="b">
        <f t="shared" si="571"/>
        <v>1</v>
      </c>
      <c r="D1975">
        <f>VLOOKUP(A1975,variant_counts!A:B, 2, FALSE)</f>
        <v>4</v>
      </c>
      <c r="E1975" t="str">
        <f t="shared" si="584"/>
        <v>zard-exhaust-silencer-bmw-f-800-r-200911-conical-version-zbmw519ssr-s</v>
      </c>
      <c r="F1975" t="str">
        <f t="shared" si="572"/>
        <v>ZARD EXHAUST SILENCER BMW F 800 R 2009/11 CONICAL VERSION ZBMW519SSR-S</v>
      </c>
      <c r="G1975" t="str">
        <f t="shared" si="573"/>
        <v/>
      </c>
      <c r="H1975" t="str">
        <f t="shared" si="585"/>
        <v/>
      </c>
      <c r="I1975" t="str">
        <f t="shared" si="586"/>
        <v/>
      </c>
      <c r="J1975" t="str">
        <f t="shared" si="587"/>
        <v/>
      </c>
      <c r="K1975" t="str">
        <f t="shared" si="588"/>
        <v/>
      </c>
      <c r="L1975" t="str">
        <f t="shared" si="574"/>
        <v>Option</v>
      </c>
      <c r="M1975" t="str">
        <f t="shared" si="575"/>
        <v>CARBON ENDCAP</v>
      </c>
      <c r="R1975" t="str">
        <f t="shared" si="576"/>
        <v>ZBMW519SSR-S</v>
      </c>
      <c r="S1975">
        <f t="shared" si="577"/>
        <v>0</v>
      </c>
      <c r="U1975" t="str">
        <f t="shared" si="578"/>
        <v>continue</v>
      </c>
      <c r="V1975" t="str">
        <f t="shared" si="579"/>
        <v>manual</v>
      </c>
      <c r="W1975" s="5">
        <f t="shared" si="580"/>
        <v>533.43270000000007</v>
      </c>
      <c r="Y1975" t="b">
        <f t="shared" si="581"/>
        <v>1</v>
      </c>
      <c r="Z1975" t="b">
        <f t="shared" si="582"/>
        <v>0</v>
      </c>
      <c r="AB1975" t="str">
        <f t="shared" si="583"/>
        <v/>
      </c>
      <c r="AE1975" t="b">
        <v>0</v>
      </c>
    </row>
    <row r="1976" spans="1:31" x14ac:dyDescent="0.2">
      <c r="A1976" t="str">
        <f t="shared" si="570"/>
        <v>https://shop.officineitalianezard.it/en/zard-bmw-silencer-3/</v>
      </c>
      <c r="B1976" t="b">
        <f>COUNTIF($A$2:$A1976, A1976)&gt;1</f>
        <v>0</v>
      </c>
      <c r="C1976" t="b">
        <f t="shared" si="571"/>
        <v>0</v>
      </c>
      <c r="D1976">
        <f>VLOOKUP(A1976,variant_counts!A:B, 2, FALSE)</f>
        <v>4</v>
      </c>
      <c r="E1976" t="str">
        <f t="shared" si="584"/>
        <v>zard-exhaust-silencer-bmw-f-800-gs-200815-conical-version-zbmw-524-ssr-s</v>
      </c>
      <c r="F1976" t="str">
        <f t="shared" si="572"/>
        <v>ZARD EXHAUST SILENCER BMW F 800 GS 2008/15 CONICAL VERSION ZBMW 524 SSR-S</v>
      </c>
      <c r="G1976" t="str">
        <f t="shared" si="573"/>
        <v>&lt;p&gt;STEEL SILENCER RACING WITH REMOVABLE DB KILLER&lt;/p&gt;
&lt;p&gt;ORIGINAL SILENCER WEIGHT: KG 6.5&lt;br&gt;ZARD SILENCER WEIGHT: KG 3.2&lt;/p&gt;
&lt;p&gt;HARD INCREASE, COMPARED TO THE STANDARD EXHAUST SYSTEM, IN TERMS OF TORQUE AND POWER AT ANY RANGE (+2 HP)&lt;/p&gt;
&lt;p&gt;ASTONISHING SOUND&lt;/p&gt;</v>
      </c>
      <c r="H1976" t="str">
        <f t="shared" si="585"/>
        <v>ZARD</v>
      </c>
      <c r="I1976" t="str">
        <f t="shared" si="586"/>
        <v>Exhaust Pipe</v>
      </c>
      <c r="J1976" t="str">
        <f t="shared" si="587"/>
        <v>Test</v>
      </c>
      <c r="K1976" t="b">
        <f t="shared" si="588"/>
        <v>0</v>
      </c>
      <c r="L1976" t="str">
        <f t="shared" si="574"/>
        <v/>
      </c>
      <c r="M1976" t="str">
        <f t="shared" si="575"/>
        <v/>
      </c>
      <c r="R1976" t="str">
        <f t="shared" si="576"/>
        <v/>
      </c>
      <c r="S1976" t="str">
        <f t="shared" si="577"/>
        <v/>
      </c>
      <c r="U1976" t="str">
        <f t="shared" si="578"/>
        <v/>
      </c>
      <c r="V1976" t="str">
        <f t="shared" si="579"/>
        <v/>
      </c>
      <c r="W1976" s="5" t="str">
        <f t="shared" si="580"/>
        <v/>
      </c>
      <c r="Y1976" t="str">
        <f t="shared" si="581"/>
        <v/>
      </c>
      <c r="Z1976" t="str">
        <f t="shared" si="582"/>
        <v/>
      </c>
      <c r="AB1976" t="str">
        <f t="shared" si="583"/>
        <v>https://shop.officineitalianezard.it/contents/imgs/products/1_791-scarichi%20moto%20zard%20bmw2.jpg</v>
      </c>
      <c r="AE1976" t="b">
        <v>0</v>
      </c>
    </row>
    <row r="1977" spans="1:31" x14ac:dyDescent="0.2">
      <c r="A1977" t="str">
        <f t="shared" si="570"/>
        <v>https://shop.officineitalianezard.it/en/zard-bmw-silencer-3/</v>
      </c>
      <c r="B1977" t="b">
        <f>COUNTIF($A$2:$A1977, A1977)&gt;1</f>
        <v>1</v>
      </c>
      <c r="C1977" t="b">
        <f t="shared" si="571"/>
        <v>0</v>
      </c>
      <c r="D1977">
        <f>VLOOKUP(A1977,variant_counts!A:B, 2, FALSE)</f>
        <v>4</v>
      </c>
      <c r="E1977" t="str">
        <f t="shared" si="584"/>
        <v>zard-exhaust-silencer-bmw-f-800-gs-200815-conical-version-zbmw-524-ssr-s</v>
      </c>
      <c r="F1977" t="str">
        <f t="shared" si="572"/>
        <v>ZARD EXHAUST SILENCER BMW F 800 GS 2008/15 CONICAL VERSION ZBMW 524 SSR-S</v>
      </c>
      <c r="G1977" t="str">
        <f t="shared" si="573"/>
        <v/>
      </c>
      <c r="H1977" t="str">
        <f t="shared" si="585"/>
        <v/>
      </c>
      <c r="I1977" t="str">
        <f t="shared" si="586"/>
        <v/>
      </c>
      <c r="J1977" t="str">
        <f t="shared" si="587"/>
        <v/>
      </c>
      <c r="K1977" t="str">
        <f t="shared" si="588"/>
        <v/>
      </c>
      <c r="L1977" t="str">
        <f t="shared" si="574"/>
        <v/>
      </c>
      <c r="M1977" t="str">
        <f t="shared" si="575"/>
        <v/>
      </c>
      <c r="R1977" t="str">
        <f t="shared" si="576"/>
        <v/>
      </c>
      <c r="S1977" t="str">
        <f t="shared" si="577"/>
        <v/>
      </c>
      <c r="U1977" t="str">
        <f t="shared" si="578"/>
        <v/>
      </c>
      <c r="V1977" t="str">
        <f t="shared" si="579"/>
        <v/>
      </c>
      <c r="W1977" s="5" t="str">
        <f t="shared" si="580"/>
        <v/>
      </c>
      <c r="Y1977" t="str">
        <f t="shared" si="581"/>
        <v/>
      </c>
      <c r="Z1977" t="str">
        <f t="shared" si="582"/>
        <v/>
      </c>
      <c r="AB1977" t="str">
        <f t="shared" si="583"/>
        <v>https://shop.officineitalianezard.it/contents/imgs/products/1_790-scarichi%20moto%20zard%20bmw1.jpg</v>
      </c>
      <c r="AE1977" t="b">
        <v>0</v>
      </c>
    </row>
    <row r="1978" spans="1:31" x14ac:dyDescent="0.2">
      <c r="A1978" t="str">
        <f t="shared" si="570"/>
        <v>https://shop.officineitalianezard.it/en/zard-bmw-silencer-3/</v>
      </c>
      <c r="B1978" t="b">
        <f>COUNTIF($A$2:$A1978, A1978)&gt;1</f>
        <v>1</v>
      </c>
      <c r="C1978" t="b">
        <f t="shared" si="571"/>
        <v>0</v>
      </c>
      <c r="D1978">
        <f>VLOOKUP(A1978,variant_counts!A:B, 2, FALSE)</f>
        <v>4</v>
      </c>
      <c r="E1978" t="str">
        <f t="shared" si="584"/>
        <v>zard-exhaust-silencer-bmw-f-800-gs-200815-conical-version-zbmw-524-ssr-s</v>
      </c>
      <c r="F1978" t="str">
        <f t="shared" si="572"/>
        <v>ZARD EXHAUST SILENCER BMW F 800 GS 2008/15 CONICAL VERSION ZBMW 524 SSR-S</v>
      </c>
      <c r="G1978" t="str">
        <f t="shared" si="573"/>
        <v/>
      </c>
      <c r="H1978" t="str">
        <f t="shared" si="585"/>
        <v/>
      </c>
      <c r="I1978" t="str">
        <f t="shared" si="586"/>
        <v/>
      </c>
      <c r="J1978" t="str">
        <f t="shared" si="587"/>
        <v/>
      </c>
      <c r="K1978" t="str">
        <f t="shared" si="588"/>
        <v/>
      </c>
      <c r="L1978" t="str">
        <f t="shared" si="574"/>
        <v/>
      </c>
      <c r="M1978" t="str">
        <f t="shared" si="575"/>
        <v/>
      </c>
      <c r="R1978" t="str">
        <f t="shared" si="576"/>
        <v/>
      </c>
      <c r="S1978" t="str">
        <f t="shared" si="577"/>
        <v/>
      </c>
      <c r="U1978" t="str">
        <f t="shared" si="578"/>
        <v/>
      </c>
      <c r="V1978" t="str">
        <f t="shared" si="579"/>
        <v/>
      </c>
      <c r="W1978" s="5" t="str">
        <f t="shared" si="580"/>
        <v/>
      </c>
      <c r="Y1978" t="str">
        <f t="shared" si="581"/>
        <v/>
      </c>
      <c r="Z1978" t="str">
        <f t="shared" si="582"/>
        <v/>
      </c>
      <c r="AB1978" t="str">
        <f t="shared" si="583"/>
        <v>https://shop.officineitalianezard.it/contents/imgs/products/1_793-scarichi%20moto%20zard%20bmw4.jpg</v>
      </c>
      <c r="AE1978" t="b">
        <v>0</v>
      </c>
    </row>
    <row r="1979" spans="1:31" x14ac:dyDescent="0.2">
      <c r="A1979" t="str">
        <f t="shared" si="570"/>
        <v>https://shop.officineitalianezard.it/en/zard-bmw-silencer-3/</v>
      </c>
      <c r="B1979" t="b">
        <f>COUNTIF($A$2:$A1979, A1979)&gt;1</f>
        <v>1</v>
      </c>
      <c r="C1979" t="b">
        <f t="shared" si="571"/>
        <v>0</v>
      </c>
      <c r="D1979">
        <f>VLOOKUP(A1979,variant_counts!A:B, 2, FALSE)</f>
        <v>4</v>
      </c>
      <c r="E1979" t="str">
        <f t="shared" si="584"/>
        <v>zard-exhaust-silencer-bmw-f-800-gs-200815-conical-version-zbmw-524-ssr-s</v>
      </c>
      <c r="F1979" t="str">
        <f t="shared" si="572"/>
        <v>ZARD EXHAUST SILENCER BMW F 800 GS 2008/15 CONICAL VERSION ZBMW 524 SSR-S</v>
      </c>
      <c r="G1979" t="str">
        <f t="shared" si="573"/>
        <v/>
      </c>
      <c r="H1979" t="str">
        <f t="shared" si="585"/>
        <v/>
      </c>
      <c r="I1979" t="str">
        <f t="shared" si="586"/>
        <v/>
      </c>
      <c r="J1979" t="str">
        <f t="shared" si="587"/>
        <v/>
      </c>
      <c r="K1979" t="str">
        <f t="shared" si="588"/>
        <v/>
      </c>
      <c r="L1979" t="str">
        <f t="shared" si="574"/>
        <v/>
      </c>
      <c r="M1979" t="str">
        <f t="shared" si="575"/>
        <v/>
      </c>
      <c r="R1979" t="str">
        <f t="shared" si="576"/>
        <v/>
      </c>
      <c r="S1979" t="str">
        <f t="shared" si="577"/>
        <v/>
      </c>
      <c r="U1979" t="str">
        <f t="shared" si="578"/>
        <v/>
      </c>
      <c r="V1979" t="str">
        <f t="shared" si="579"/>
        <v/>
      </c>
      <c r="W1979" s="5" t="str">
        <f t="shared" si="580"/>
        <v/>
      </c>
      <c r="Y1979" t="str">
        <f t="shared" si="581"/>
        <v/>
      </c>
      <c r="Z1979" t="str">
        <f t="shared" si="582"/>
        <v/>
      </c>
      <c r="AB1979" t="str">
        <f t="shared" si="583"/>
        <v>https://shop.officineitalianezard.it/contents/imgs/products/1_794-scarichi%20moto%20zard%20bmw3.jpg</v>
      </c>
      <c r="AE1979" t="b">
        <v>0</v>
      </c>
    </row>
    <row r="1980" spans="1:31" x14ac:dyDescent="0.2">
      <c r="A1980" t="str">
        <f t="shared" si="570"/>
        <v>https://shop.officineitalianezard.it/en/zard-bmw-silencer-3/</v>
      </c>
      <c r="B1980" t="b">
        <f>COUNTIF($A$2:$A1980, A1980)&gt;1</f>
        <v>1</v>
      </c>
      <c r="C1980" t="b">
        <f t="shared" si="571"/>
        <v>1</v>
      </c>
      <c r="D1980">
        <f>VLOOKUP(A1980,variant_counts!A:B, 2, FALSE)</f>
        <v>4</v>
      </c>
      <c r="E1980" t="str">
        <f t="shared" si="584"/>
        <v>zard-exhaust-silencer-bmw-f-800-gs-200815-conical-version-zbmw-524-ssr-s</v>
      </c>
      <c r="F1980" t="str">
        <f t="shared" si="572"/>
        <v>ZARD EXHAUST SILENCER BMW F 800 GS 2008/15 CONICAL VERSION ZBMW 524 SSR-S</v>
      </c>
      <c r="G1980" t="str">
        <f t="shared" si="573"/>
        <v/>
      </c>
      <c r="H1980" t="str">
        <f t="shared" si="585"/>
        <v/>
      </c>
      <c r="I1980" t="str">
        <f t="shared" si="586"/>
        <v/>
      </c>
      <c r="J1980" t="str">
        <f t="shared" si="587"/>
        <v/>
      </c>
      <c r="K1980" t="str">
        <f t="shared" si="588"/>
        <v/>
      </c>
      <c r="L1980" t="str">
        <f t="shared" si="574"/>
        <v>Option</v>
      </c>
      <c r="M1980" t="str">
        <f t="shared" si="575"/>
        <v>HOMOLOGATED EURO 3</v>
      </c>
      <c r="R1980" t="str">
        <f t="shared" si="576"/>
        <v>ZBMW 524 SSR-S</v>
      </c>
      <c r="S1980">
        <f t="shared" si="577"/>
        <v>0</v>
      </c>
      <c r="U1980" t="str">
        <f t="shared" si="578"/>
        <v>continue</v>
      </c>
      <c r="V1980" t="str">
        <f t="shared" si="579"/>
        <v>manual</v>
      </c>
      <c r="W1980" s="5">
        <f t="shared" si="580"/>
        <v>512.96430000000009</v>
      </c>
      <c r="Y1980" t="b">
        <f t="shared" si="581"/>
        <v>1</v>
      </c>
      <c r="Z1980" t="b">
        <f t="shared" si="582"/>
        <v>0</v>
      </c>
      <c r="AB1980" t="str">
        <f t="shared" si="583"/>
        <v/>
      </c>
      <c r="AE1980" t="b">
        <v>0</v>
      </c>
    </row>
    <row r="1981" spans="1:31" x14ac:dyDescent="0.2">
      <c r="A1981" t="str">
        <f t="shared" si="570"/>
        <v>https://shop.officineitalianezard.it/en/zard-bmw-silencer-3/</v>
      </c>
      <c r="B1981" t="b">
        <f>COUNTIF($A$2:$A1981, A1981)&gt;1</f>
        <v>1</v>
      </c>
      <c r="C1981" t="b">
        <f t="shared" si="571"/>
        <v>1</v>
      </c>
      <c r="D1981">
        <f>VLOOKUP(A1981,variant_counts!A:B, 2, FALSE)</f>
        <v>4</v>
      </c>
      <c r="E1981" t="str">
        <f t="shared" si="584"/>
        <v>zard-exhaust-silencer-bmw-f-800-gs-200815-conical-version-zbmw-524-ssr-s</v>
      </c>
      <c r="F1981" t="str">
        <f t="shared" si="572"/>
        <v>ZARD EXHAUST SILENCER BMW F 800 GS 2008/15 CONICAL VERSION ZBMW 524 SSR-S</v>
      </c>
      <c r="G1981" t="str">
        <f t="shared" si="573"/>
        <v/>
      </c>
      <c r="H1981" t="str">
        <f t="shared" si="585"/>
        <v/>
      </c>
      <c r="I1981" t="str">
        <f t="shared" si="586"/>
        <v/>
      </c>
      <c r="J1981" t="str">
        <f t="shared" si="587"/>
        <v/>
      </c>
      <c r="K1981" t="str">
        <f t="shared" si="588"/>
        <v/>
      </c>
      <c r="L1981" t="str">
        <f t="shared" si="574"/>
        <v>Option</v>
      </c>
      <c r="M1981" t="str">
        <f t="shared" si="575"/>
        <v>BLACK COATING</v>
      </c>
      <c r="R1981" t="str">
        <f t="shared" si="576"/>
        <v>ZBMW 524 SSR-S</v>
      </c>
      <c r="S1981">
        <f t="shared" si="577"/>
        <v>0</v>
      </c>
      <c r="U1981" t="str">
        <f t="shared" si="578"/>
        <v>continue</v>
      </c>
      <c r="V1981" t="str">
        <f t="shared" si="579"/>
        <v>manual</v>
      </c>
      <c r="W1981" s="5">
        <f t="shared" si="580"/>
        <v>572.73780000000011</v>
      </c>
      <c r="Y1981" t="b">
        <f t="shared" si="581"/>
        <v>1</v>
      </c>
      <c r="Z1981" t="b">
        <f t="shared" si="582"/>
        <v>0</v>
      </c>
      <c r="AB1981" t="str">
        <f t="shared" si="583"/>
        <v/>
      </c>
      <c r="AE1981" t="b">
        <v>0</v>
      </c>
    </row>
    <row r="1982" spans="1:31" x14ac:dyDescent="0.2">
      <c r="A1982" t="str">
        <f t="shared" si="570"/>
        <v>https://shop.officineitalianezard.it/en/zard-bmw-silencer-3/</v>
      </c>
      <c r="B1982" t="b">
        <f>COUNTIF($A$2:$A1982, A1982)&gt;1</f>
        <v>1</v>
      </c>
      <c r="C1982" t="b">
        <f t="shared" si="571"/>
        <v>1</v>
      </c>
      <c r="D1982">
        <f>VLOOKUP(A1982,variant_counts!A:B, 2, FALSE)</f>
        <v>4</v>
      </c>
      <c r="E1982" t="str">
        <f t="shared" si="584"/>
        <v>zard-exhaust-silencer-bmw-f-800-gs-200815-conical-version-zbmw-524-ssr-s</v>
      </c>
      <c r="F1982" t="str">
        <f t="shared" si="572"/>
        <v>ZARD EXHAUST SILENCER BMW F 800 GS 2008/15 CONICAL VERSION ZBMW 524 SSR-S</v>
      </c>
      <c r="G1982" t="str">
        <f t="shared" si="573"/>
        <v/>
      </c>
      <c r="H1982" t="str">
        <f t="shared" si="585"/>
        <v/>
      </c>
      <c r="I1982" t="str">
        <f t="shared" si="586"/>
        <v/>
      </c>
      <c r="J1982" t="str">
        <f t="shared" si="587"/>
        <v/>
      </c>
      <c r="K1982" t="str">
        <f t="shared" si="588"/>
        <v/>
      </c>
      <c r="L1982" t="str">
        <f t="shared" si="574"/>
        <v>Option</v>
      </c>
      <c r="M1982" t="str">
        <f t="shared" si="575"/>
        <v>CARBON ENDCAP</v>
      </c>
      <c r="R1982" t="str">
        <f t="shared" si="576"/>
        <v>ZBMW 524 SSR-S</v>
      </c>
      <c r="S1982">
        <f t="shared" si="577"/>
        <v>0</v>
      </c>
      <c r="U1982" t="str">
        <f t="shared" si="578"/>
        <v>continue</v>
      </c>
      <c r="V1982" t="str">
        <f t="shared" si="579"/>
        <v>manual</v>
      </c>
      <c r="W1982" s="5">
        <f t="shared" si="580"/>
        <v>533.43270000000007</v>
      </c>
      <c r="Y1982" t="b">
        <f t="shared" si="581"/>
        <v>1</v>
      </c>
      <c r="Z1982" t="b">
        <f t="shared" si="582"/>
        <v>0</v>
      </c>
      <c r="AB1982" t="str">
        <f t="shared" si="583"/>
        <v/>
      </c>
      <c r="AE1982" t="b">
        <v>0</v>
      </c>
    </row>
    <row r="1983" spans="1:31" x14ac:dyDescent="0.2">
      <c r="A1983" t="str">
        <f t="shared" si="570"/>
        <v>https://shop.officineitalianezard.it/en/zard-bmw-silencer-3/</v>
      </c>
      <c r="B1983" t="b">
        <f>COUNTIF($A$2:$A1983, A1983)&gt;1</f>
        <v>1</v>
      </c>
      <c r="C1983" t="b">
        <f t="shared" si="571"/>
        <v>1</v>
      </c>
      <c r="D1983">
        <f>VLOOKUP(A1983,variant_counts!A:B, 2, FALSE)</f>
        <v>4</v>
      </c>
      <c r="E1983" t="str">
        <f t="shared" si="584"/>
        <v>zard-exhaust-silencer-bmw-f-800-gs-200815-conical-version-zbmw-524-ssr-s</v>
      </c>
      <c r="F1983" t="str">
        <f t="shared" si="572"/>
        <v>ZARD EXHAUST SILENCER BMW F 800 GS 2008/15 CONICAL VERSION ZBMW 524 SSR-S</v>
      </c>
      <c r="G1983" t="str">
        <f t="shared" si="573"/>
        <v/>
      </c>
      <c r="H1983" t="str">
        <f t="shared" si="585"/>
        <v/>
      </c>
      <c r="I1983" t="str">
        <f t="shared" si="586"/>
        <v/>
      </c>
      <c r="J1983" t="str">
        <f t="shared" si="587"/>
        <v/>
      </c>
      <c r="K1983" t="str">
        <f t="shared" si="588"/>
        <v/>
      </c>
      <c r="L1983" t="str">
        <f t="shared" si="574"/>
        <v>Option</v>
      </c>
      <c r="M1983" t="str">
        <f t="shared" si="575"/>
        <v>MIRROR POLISHED</v>
      </c>
      <c r="R1983" t="str">
        <f t="shared" si="576"/>
        <v>ZBMW 524 SSR-S</v>
      </c>
      <c r="S1983">
        <f t="shared" si="577"/>
        <v>0</v>
      </c>
      <c r="U1983" t="str">
        <f t="shared" si="578"/>
        <v>continue</v>
      </c>
      <c r="V1983" t="str">
        <f t="shared" si="579"/>
        <v>manual</v>
      </c>
      <c r="W1983" s="5">
        <f t="shared" si="580"/>
        <v>508.04700000000003</v>
      </c>
      <c r="Y1983" t="b">
        <f t="shared" si="581"/>
        <v>1</v>
      </c>
      <c r="Z1983" t="b">
        <f t="shared" si="582"/>
        <v>0</v>
      </c>
      <c r="AB1983" t="str">
        <f t="shared" si="583"/>
        <v/>
      </c>
      <c r="AE1983" t="b">
        <v>0</v>
      </c>
    </row>
    <row r="1984" spans="1:31" x14ac:dyDescent="0.2">
      <c r="A1984" t="str">
        <f t="shared" si="570"/>
        <v>https://shop.officineitalianezard.it/en/products/index/penta-silencers-zard-bimota-7414-109/</v>
      </c>
      <c r="B1984" t="b">
        <f>COUNTIF($A$2:$A1984, A1984)&gt;1</f>
        <v>0</v>
      </c>
      <c r="C1984" t="b">
        <f t="shared" si="571"/>
        <v>0</v>
      </c>
      <c r="D1984">
        <f>VLOOKUP(A1984,variant_counts!A:B, 2, FALSE)</f>
        <v>1</v>
      </c>
      <c r="E1984" t="str">
        <f t="shared" si="584"/>
        <v>zard-exhaust-silencers-bimota-tesi-3d-penta-version-zb-083-ssr</v>
      </c>
      <c r="F1984" t="str">
        <f t="shared" si="572"/>
        <v>ZARD EXHAUST SILENCERS BIMOTA TESI 3D PENTA VERSION ZB 083 SSR</v>
      </c>
      <c r="G1984" t="str">
        <f t="shared" si="573"/>
        <v>&lt;p&gt;N. 2 STEEL-CARBON RACING SILENCERS WITH REMOVABLE DB KILLER&lt;/p&gt;
&lt;p&gt;ORIGINAL EXHAUST WEIGHT: KG 6.2&lt;br&gt;ZARD SILENCERS WEIGHT: KG 2.6&lt;/p&gt;
&lt;p&gt;HARD INCREASE, COMPARED TO THE ORIGINAL EXHAUST SYSTEM, IN TERMS OF TORQUE AND POWER AT ANY RANGE&lt;/p&gt;
&lt;p&gt;ASTONISHING SOUND&lt;/p&gt;</v>
      </c>
      <c r="H1984" t="str">
        <f t="shared" si="585"/>
        <v>ZARD</v>
      </c>
      <c r="I1984" t="str">
        <f t="shared" si="586"/>
        <v>Exhaust Pipe</v>
      </c>
      <c r="J1984" t="str">
        <f t="shared" si="587"/>
        <v>Test</v>
      </c>
      <c r="K1984" t="b">
        <f t="shared" si="588"/>
        <v>0</v>
      </c>
      <c r="L1984" t="str">
        <f t="shared" si="574"/>
        <v>Option</v>
      </c>
      <c r="M1984" t="str">
        <f t="shared" si="575"/>
        <v>DEFAULT</v>
      </c>
      <c r="R1984" t="str">
        <f t="shared" si="576"/>
        <v>ZB 083 SSR</v>
      </c>
      <c r="S1984">
        <f t="shared" si="577"/>
        <v>0</v>
      </c>
      <c r="U1984" t="str">
        <f t="shared" si="578"/>
        <v>continue</v>
      </c>
      <c r="V1984" t="str">
        <f t="shared" si="579"/>
        <v>manual</v>
      </c>
      <c r="W1984" s="5">
        <f t="shared" si="580"/>
        <v>1140.9357</v>
      </c>
      <c r="Y1984" t="b">
        <f t="shared" si="581"/>
        <v>1</v>
      </c>
      <c r="Z1984" t="b">
        <f t="shared" si="582"/>
        <v>0</v>
      </c>
      <c r="AB1984" t="str">
        <f t="shared" si="583"/>
        <v>https://shop.officineitalianezard.it/contents/imgs/products/1_681-scarichi%20moto%20zard%20bimota1.jpg</v>
      </c>
      <c r="AE1984" t="b">
        <v>0</v>
      </c>
    </row>
    <row r="1985" spans="1:31" x14ac:dyDescent="0.2">
      <c r="A1985" t="str">
        <f t="shared" si="570"/>
        <v>https://shop.officineitalianezard.it/en/products/index/penta-silencers-zard-bimota-7414-109/</v>
      </c>
      <c r="B1985" t="b">
        <f>COUNTIF($A$2:$A1985, A1985)&gt;1</f>
        <v>1</v>
      </c>
      <c r="C1985" t="b">
        <f t="shared" si="571"/>
        <v>0</v>
      </c>
      <c r="D1985">
        <f>VLOOKUP(A1985,variant_counts!A:B, 2, FALSE)</f>
        <v>1</v>
      </c>
      <c r="E1985" t="str">
        <f t="shared" si="584"/>
        <v>zard-exhaust-silencers-bimota-tesi-3d-penta-version-zb-083-ssr</v>
      </c>
      <c r="F1985" t="str">
        <f t="shared" si="572"/>
        <v>ZARD EXHAUST SILENCERS BIMOTA TESI 3D PENTA VERSION ZB 083 SSR</v>
      </c>
      <c r="G1985" t="str">
        <f t="shared" si="573"/>
        <v/>
      </c>
      <c r="H1985" t="str">
        <f t="shared" si="585"/>
        <v/>
      </c>
      <c r="I1985" t="str">
        <f t="shared" si="586"/>
        <v/>
      </c>
      <c r="J1985" t="str">
        <f t="shared" si="587"/>
        <v/>
      </c>
      <c r="K1985" t="str">
        <f t="shared" si="588"/>
        <v/>
      </c>
      <c r="L1985" t="str">
        <f t="shared" si="574"/>
        <v/>
      </c>
      <c r="M1985" t="str">
        <f t="shared" si="575"/>
        <v/>
      </c>
      <c r="R1985" t="str">
        <f t="shared" si="576"/>
        <v/>
      </c>
      <c r="S1985" t="str">
        <f t="shared" si="577"/>
        <v/>
      </c>
      <c r="U1985" t="str">
        <f t="shared" si="578"/>
        <v/>
      </c>
      <c r="V1985" t="str">
        <f t="shared" si="579"/>
        <v/>
      </c>
      <c r="W1985" s="5" t="str">
        <f t="shared" si="580"/>
        <v/>
      </c>
      <c r="Y1985" t="str">
        <f t="shared" si="581"/>
        <v/>
      </c>
      <c r="Z1985" t="str">
        <f t="shared" si="582"/>
        <v/>
      </c>
      <c r="AB1985" t="str">
        <f t="shared" si="583"/>
        <v>https://shop.officineitalianezard.it/contents/imgs/products/1_682-scarichi%20moto%20zard%20bimota2.jpg</v>
      </c>
      <c r="AE1985" t="b">
        <v>0</v>
      </c>
    </row>
    <row r="1986" spans="1:31" x14ac:dyDescent="0.2">
      <c r="A1986" t="str">
        <f t="shared" ref="A1986:A2020" si="589">source_product_link_href</f>
        <v>https://shop.officineitalianezard.it/en/products/index/penta-silencers-zard-bimota-7414-109/</v>
      </c>
      <c r="B1986" t="b">
        <f>COUNTIF($A$2:$A1986, A1986)&gt;1</f>
        <v>1</v>
      </c>
      <c r="C1986" t="b">
        <f t="shared" ref="C1986:C2020" si="590">NOT(ISBLANK(source_option_name))</f>
        <v>1</v>
      </c>
      <c r="D1986">
        <f>VLOOKUP(A1986,variant_counts!A:B, 2, FALSE)</f>
        <v>1</v>
      </c>
      <c r="E1986" t="str">
        <f t="shared" si="584"/>
        <v>zard-exhaust-silencers-bimota-tesi-3d-penta-version-zb-083-ssr</v>
      </c>
      <c r="F1986" t="str">
        <f t="shared" ref="F1986:F2020" si="591">UPPER("ZARD EXHAUST " &amp; source_title &amp; " " &amp; source_brand &amp; " " &amp; source_bike &amp; " " &amp; source_product_link &amp; " " &amp; source_sku)</f>
        <v>ZARD EXHAUST SILENCERS BIMOTA TESI 3D PENTA VERSION ZB 083 SSR</v>
      </c>
      <c r="G1986" t="str">
        <f t="shared" ref="G1986:G2020" si="592">IF($B1986=FALSE, source_description, "")</f>
        <v/>
      </c>
      <c r="H1986" t="str">
        <f t="shared" si="585"/>
        <v/>
      </c>
      <c r="I1986" t="str">
        <f t="shared" si="586"/>
        <v/>
      </c>
      <c r="J1986" t="str">
        <f t="shared" si="587"/>
        <v/>
      </c>
      <c r="K1986" t="str">
        <f t="shared" si="588"/>
        <v/>
      </c>
      <c r="L1986" t="str">
        <f t="shared" ref="L1986:L2020" si="593">IF(AND(variant_count=0,duplicated=FALSE),"Title",IF(OR(AND(variant_count=1,duplicated=FALSE), source_option_name&lt;&gt;""), "Option", ""))</f>
        <v>Option</v>
      </c>
      <c r="M1986" t="str">
        <f t="shared" ref="M1986:M2020" si="594">IF(option1_name="Title", "Default Title", IF(AND(option1_name="Option",ISBLANK(source_option_name)),"DEFAULT",IF(ISBLANK(source_option_name), "", source_option_name)))</f>
        <v>CARBON 'PENTA' ENDCAP</v>
      </c>
      <c r="R1986" t="str">
        <f t="shared" ref="R1986:R2020" si="595">IF(option1_name &lt;&gt; "", source_sku, "")</f>
        <v>ZB 083 SSR</v>
      </c>
      <c r="S1986">
        <f t="shared" ref="S1986:S2020" si="596">IF(option1_name &lt;&gt; "", 0, "")</f>
        <v>0</v>
      </c>
      <c r="U1986" t="str">
        <f t="shared" ref="U1986:U2020" si="597">IF(option1_name &lt;&gt; "", "continue", "")</f>
        <v>continue</v>
      </c>
      <c r="V1986" t="str">
        <f t="shared" ref="V1986:V2020" si="598">IF(option1_name &lt;&gt; "", "manual", "")</f>
        <v>manual</v>
      </c>
      <c r="W1986" s="5">
        <f t="shared" ref="W1986:W2020" si="599">IF(option1_name&lt;&gt;"",(source_price_original+source_option_price)*eur_usd,"")</f>
        <v>1224.4631999999999</v>
      </c>
      <c r="Y1986" t="b">
        <f t="shared" ref="Y1986:Y2020" si="600">IF(option1_name&lt;&gt;"",TRUE,"")</f>
        <v>1</v>
      </c>
      <c r="Z1986" t="b">
        <f t="shared" ref="Z1986:Z2020" si="601">IF(option1_name&lt;&gt;"",FALSE,"")</f>
        <v>0</v>
      </c>
      <c r="AB1986" t="str">
        <f t="shared" ref="AB1986:AB2020" si="602">IF(ISBLANK(source_image), "", source_image)</f>
        <v/>
      </c>
      <c r="AE1986" t="b">
        <v>0</v>
      </c>
    </row>
    <row r="1987" spans="1:31" x14ac:dyDescent="0.2">
      <c r="A1987" t="str">
        <f t="shared" si="589"/>
        <v>https://shop.officineitalianezard.it/en/products/index/penta-silencers-zard-bimota-7445-108/</v>
      </c>
      <c r="B1987" t="b">
        <f>COUNTIF($A$2:$A1987, A1987)&gt;1</f>
        <v>0</v>
      </c>
      <c r="C1987" t="b">
        <f t="shared" si="590"/>
        <v>0</v>
      </c>
      <c r="D1987">
        <f>VLOOKUP(A1987,variant_counts!A:B, 2, FALSE)</f>
        <v>1</v>
      </c>
      <c r="E1987" t="str">
        <f t="shared" ref="E1987:E2020" si="603">FormatShopifyHandle(F1987)</f>
        <v>zard-exhaust-headers-kit-silencers-bimota-db-6-delirio-penta-version-zb-082-skr</v>
      </c>
      <c r="F1987" t="str">
        <f t="shared" si="591"/>
        <v>ZARD EXHAUST HEADERS KIT + SILENCERS BIMOTA DB 6 DELIRIO PENTA VERSION ZB 082 SKR</v>
      </c>
      <c r="G1987" t="str">
        <f t="shared" si="592"/>
        <v>&lt;p&gt;HORIZONTAL + VERTICAL PIPE + N.2 STEEL-CARBON SILENCERS RACING WITH REMOVABLE DB KILLER&lt;/p&gt;
&lt;p&gt;ORIGINAL EXHAUST WEIGHT: KG 6.2&lt;br&gt;ZARD SILENCERS WEIGHT: KG 2.6&lt;/p&gt;
&lt;p&gt;ZARD HEADERS KIT RACING NO CAT.: KG 0.6&lt;/p&gt;
&lt;p&gt;HARD INCREASE, COMPARED TO THE ORIGINAL EXHAUST SYSTEM, IN TERMS OF TORQUE AND POWER AT ANY RANGE&lt;/p&gt;
&lt;p&gt;ASTONISHING SOUND&lt;/p&gt;</v>
      </c>
      <c r="H1987" t="str">
        <f t="shared" ref="H1987:H2020" si="604">IF($B1987=FALSE, "ZARD", "")</f>
        <v>ZARD</v>
      </c>
      <c r="I1987" t="str">
        <f t="shared" ref="I1987:I2020" si="605">IF($B1987=FALSE, "Exhaust Pipe", "")</f>
        <v>Exhaust Pipe</v>
      </c>
      <c r="J1987" t="str">
        <f t="shared" ref="J1987:J2020" si="606">IF($B1987=FALSE, "Test", "")</f>
        <v>Test</v>
      </c>
      <c r="K1987" t="b">
        <f t="shared" ref="K1987:K2020" si="607">IF($B1987=FALSE, FALSE, "")</f>
        <v>0</v>
      </c>
      <c r="L1987" t="str">
        <f t="shared" si="593"/>
        <v>Option</v>
      </c>
      <c r="M1987" t="str">
        <f t="shared" si="594"/>
        <v>DEFAULT</v>
      </c>
      <c r="R1987" t="str">
        <f t="shared" si="595"/>
        <v>ZB 082 SKR</v>
      </c>
      <c r="S1987">
        <f t="shared" si="596"/>
        <v>0</v>
      </c>
      <c r="U1987" t="str">
        <f t="shared" si="597"/>
        <v>continue</v>
      </c>
      <c r="V1987" t="str">
        <f t="shared" si="598"/>
        <v>manual</v>
      </c>
      <c r="W1987" s="5">
        <f t="shared" si="599"/>
        <v>1624.9623000000001</v>
      </c>
      <c r="Y1987" t="b">
        <f t="shared" si="600"/>
        <v>1</v>
      </c>
      <c r="Z1987" t="b">
        <f t="shared" si="601"/>
        <v>0</v>
      </c>
      <c r="AB1987" t="str">
        <f t="shared" si="602"/>
        <v>https://shop.officineitalianezard.it/contents/imgs/products/1_743-scarichi%20moto%20zard%20bimota%202.jpg</v>
      </c>
      <c r="AE1987" t="b">
        <v>0</v>
      </c>
    </row>
    <row r="1988" spans="1:31" x14ac:dyDescent="0.2">
      <c r="A1988" t="str">
        <f t="shared" si="589"/>
        <v>https://shop.officineitalianezard.it/en/products/index/penta-silencers-zard-bimota-7445-108/</v>
      </c>
      <c r="B1988" t="b">
        <f>COUNTIF($A$2:$A1988, A1988)&gt;1</f>
        <v>1</v>
      </c>
      <c r="C1988" t="b">
        <f t="shared" si="590"/>
        <v>0</v>
      </c>
      <c r="D1988">
        <f>VLOOKUP(A1988,variant_counts!A:B, 2, FALSE)</f>
        <v>1</v>
      </c>
      <c r="E1988" t="str">
        <f t="shared" si="603"/>
        <v>zard-exhaust-headers-kit-silencers-bimota-db-6-delirio-penta-version-zb-082-skr</v>
      </c>
      <c r="F1988" t="str">
        <f t="shared" si="591"/>
        <v>ZARD EXHAUST HEADERS KIT + SILENCERS BIMOTA DB 6 DELIRIO PENTA VERSION ZB 082 SKR</v>
      </c>
      <c r="G1988" t="str">
        <f t="shared" si="592"/>
        <v/>
      </c>
      <c r="H1988" t="str">
        <f t="shared" si="604"/>
        <v/>
      </c>
      <c r="I1988" t="str">
        <f t="shared" si="605"/>
        <v/>
      </c>
      <c r="J1988" t="str">
        <f t="shared" si="606"/>
        <v/>
      </c>
      <c r="K1988" t="str">
        <f t="shared" si="607"/>
        <v/>
      </c>
      <c r="L1988" t="str">
        <f t="shared" si="593"/>
        <v/>
      </c>
      <c r="M1988" t="str">
        <f t="shared" si="594"/>
        <v/>
      </c>
      <c r="R1988" t="str">
        <f t="shared" si="595"/>
        <v/>
      </c>
      <c r="S1988" t="str">
        <f t="shared" si="596"/>
        <v/>
      </c>
      <c r="U1988" t="str">
        <f t="shared" si="597"/>
        <v/>
      </c>
      <c r="V1988" t="str">
        <f t="shared" si="598"/>
        <v/>
      </c>
      <c r="W1988" s="5" t="str">
        <f t="shared" si="599"/>
        <v/>
      </c>
      <c r="Y1988" t="str">
        <f t="shared" si="600"/>
        <v/>
      </c>
      <c r="Z1988" t="str">
        <f t="shared" si="601"/>
        <v/>
      </c>
      <c r="AB1988" t="str">
        <f t="shared" si="602"/>
        <v>https://shop.officineitalianezard.it/contents/imgs/products/1_741-scarichi%20moto%20zard%20bimota%201.jpg</v>
      </c>
      <c r="AE1988" t="b">
        <v>0</v>
      </c>
    </row>
    <row r="1989" spans="1:31" x14ac:dyDescent="0.2">
      <c r="A1989" t="str">
        <f t="shared" si="589"/>
        <v>https://shop.officineitalianezard.it/en/products/index/penta-silencers-zard-bimota-7445-108/</v>
      </c>
      <c r="B1989" t="b">
        <f>COUNTIF($A$2:$A1989, A1989)&gt;1</f>
        <v>1</v>
      </c>
      <c r="C1989" t="b">
        <f t="shared" si="590"/>
        <v>0</v>
      </c>
      <c r="D1989">
        <f>VLOOKUP(A1989,variant_counts!A:B, 2, FALSE)</f>
        <v>1</v>
      </c>
      <c r="E1989" t="str">
        <f t="shared" si="603"/>
        <v>zard-exhaust-headers-kit-silencers-bimota-db-6-delirio-penta-version-zb-082-skr</v>
      </c>
      <c r="F1989" t="str">
        <f t="shared" si="591"/>
        <v>ZARD EXHAUST HEADERS KIT + SILENCERS BIMOTA DB 6 DELIRIO PENTA VERSION ZB 082 SKR</v>
      </c>
      <c r="G1989" t="str">
        <f t="shared" si="592"/>
        <v/>
      </c>
      <c r="H1989" t="str">
        <f t="shared" si="604"/>
        <v/>
      </c>
      <c r="I1989" t="str">
        <f t="shared" si="605"/>
        <v/>
      </c>
      <c r="J1989" t="str">
        <f t="shared" si="606"/>
        <v/>
      </c>
      <c r="K1989" t="str">
        <f t="shared" si="607"/>
        <v/>
      </c>
      <c r="L1989" t="str">
        <f t="shared" si="593"/>
        <v/>
      </c>
      <c r="M1989" t="str">
        <f t="shared" si="594"/>
        <v/>
      </c>
      <c r="R1989" t="str">
        <f t="shared" si="595"/>
        <v/>
      </c>
      <c r="S1989" t="str">
        <f t="shared" si="596"/>
        <v/>
      </c>
      <c r="U1989" t="str">
        <f t="shared" si="597"/>
        <v/>
      </c>
      <c r="V1989" t="str">
        <f t="shared" si="598"/>
        <v/>
      </c>
      <c r="W1989" s="5" t="str">
        <f t="shared" si="599"/>
        <v/>
      </c>
      <c r="Y1989" t="str">
        <f t="shared" si="600"/>
        <v/>
      </c>
      <c r="Z1989" t="str">
        <f t="shared" si="601"/>
        <v/>
      </c>
      <c r="AB1989" t="str">
        <f t="shared" si="602"/>
        <v>https://shop.officineitalianezard.it/contents/imgs/products/1_742-scarichi%20moto%20zard%20bimota%203.jpg</v>
      </c>
      <c r="AE1989" t="b">
        <v>0</v>
      </c>
    </row>
    <row r="1990" spans="1:31" x14ac:dyDescent="0.2">
      <c r="A1990" t="str">
        <f t="shared" si="589"/>
        <v>https://shop.officineitalianezard.it/en/products/index/penta-silencers-zard-bimota-7445-108/</v>
      </c>
      <c r="B1990" t="b">
        <f>COUNTIF($A$2:$A1990, A1990)&gt;1</f>
        <v>1</v>
      </c>
      <c r="C1990" t="b">
        <f t="shared" si="590"/>
        <v>1</v>
      </c>
      <c r="D1990">
        <f>VLOOKUP(A1990,variant_counts!A:B, 2, FALSE)</f>
        <v>1</v>
      </c>
      <c r="E1990" t="str">
        <f t="shared" si="603"/>
        <v>zard-exhaust-headers-kit-silencers-bimota-db-6-delirio-penta-version-zb-082-skr</v>
      </c>
      <c r="F1990" t="str">
        <f t="shared" si="591"/>
        <v>ZARD EXHAUST HEADERS KIT + SILENCERS BIMOTA DB 6 DELIRIO PENTA VERSION ZB 082 SKR</v>
      </c>
      <c r="G1990" t="str">
        <f t="shared" si="592"/>
        <v/>
      </c>
      <c r="H1990" t="str">
        <f t="shared" si="604"/>
        <v/>
      </c>
      <c r="I1990" t="str">
        <f t="shared" si="605"/>
        <v/>
      </c>
      <c r="J1990" t="str">
        <f t="shared" si="606"/>
        <v/>
      </c>
      <c r="K1990" t="str">
        <f t="shared" si="607"/>
        <v/>
      </c>
      <c r="L1990" t="str">
        <f t="shared" si="593"/>
        <v>Option</v>
      </c>
      <c r="M1990" t="str">
        <f t="shared" si="594"/>
        <v>CARBON 'PENTA' ENDCAP</v>
      </c>
      <c r="R1990" t="str">
        <f t="shared" si="595"/>
        <v>ZB 082 SKR</v>
      </c>
      <c r="S1990">
        <f t="shared" si="596"/>
        <v>0</v>
      </c>
      <c r="U1990" t="str">
        <f t="shared" si="597"/>
        <v>continue</v>
      </c>
      <c r="V1990" t="str">
        <f t="shared" si="598"/>
        <v>manual</v>
      </c>
      <c r="W1990" s="5">
        <f t="shared" si="599"/>
        <v>1708.4898000000003</v>
      </c>
      <c r="Y1990" t="b">
        <f t="shared" si="600"/>
        <v>1</v>
      </c>
      <c r="Z1990" t="b">
        <f t="shared" si="601"/>
        <v>0</v>
      </c>
      <c r="AB1990" t="str">
        <f t="shared" si="602"/>
        <v/>
      </c>
      <c r="AE1990" t="b">
        <v>0</v>
      </c>
    </row>
    <row r="1991" spans="1:31" x14ac:dyDescent="0.2">
      <c r="A1991" t="str">
        <f t="shared" si="589"/>
        <v>https://shop.officineitalianezard.it/en/products/index/penta-silencers-zard-bimota-7413-108/</v>
      </c>
      <c r="B1991" t="b">
        <f>COUNTIF($A$2:$A1991, A1991)&gt;1</f>
        <v>0</v>
      </c>
      <c r="C1991" t="b">
        <f t="shared" si="590"/>
        <v>0</v>
      </c>
      <c r="D1991">
        <f>VLOOKUP(A1991,variant_counts!A:B, 2, FALSE)</f>
        <v>1</v>
      </c>
      <c r="E1991" t="str">
        <f t="shared" si="603"/>
        <v>zard-exhaust-silencers-bimota-db-6-delirio-penta-version-zb-082-ssr</v>
      </c>
      <c r="F1991" t="str">
        <f t="shared" si="591"/>
        <v>ZARD EXHAUST SILENCERS BIMOTA DB 6 DELIRIO PENTA VERSION ZB 082 SSR</v>
      </c>
      <c r="G1991" t="str">
        <f t="shared" si="592"/>
        <v>&lt;p&gt;N.2 STEEL-CARBON SILENCERS RACING WITH REMOVABLE DB KILLER&lt;/p&gt;
&lt;p&gt;ORIGINAL EXHAUST WEIGHT: KG 6.2&lt;br&gt;ZARD SILENCERS WEIGHT: KG 2.6&lt;/p&gt;
&lt;p&gt;HARD INCREASE, COMPARED TO THE ORIGINAL EXHAUST SYSTEM, IN TERMS OF TORQUE AND POWER AT ANY RANGE&lt;/p&gt;
&lt;p&gt;ASTONISHING SOUND&lt;/p&gt;</v>
      </c>
      <c r="H1991" t="str">
        <f t="shared" si="604"/>
        <v>ZARD</v>
      </c>
      <c r="I1991" t="str">
        <f t="shared" si="605"/>
        <v>Exhaust Pipe</v>
      </c>
      <c r="J1991" t="str">
        <f t="shared" si="606"/>
        <v>Test</v>
      </c>
      <c r="K1991" t="b">
        <f t="shared" si="607"/>
        <v>0</v>
      </c>
      <c r="L1991" t="str">
        <f t="shared" si="593"/>
        <v>Option</v>
      </c>
      <c r="M1991" t="str">
        <f t="shared" si="594"/>
        <v>DEFAULT</v>
      </c>
      <c r="R1991" t="str">
        <f t="shared" si="595"/>
        <v>ZB 082 SSR</v>
      </c>
      <c r="S1991">
        <f t="shared" si="596"/>
        <v>0</v>
      </c>
      <c r="U1991" t="str">
        <f t="shared" si="597"/>
        <v>continue</v>
      </c>
      <c r="V1991" t="str">
        <f t="shared" si="598"/>
        <v>manual</v>
      </c>
      <c r="W1991" s="5">
        <f t="shared" si="599"/>
        <v>1140.9357</v>
      </c>
      <c r="Y1991" t="b">
        <f t="shared" si="600"/>
        <v>1</v>
      </c>
      <c r="Z1991" t="b">
        <f t="shared" si="601"/>
        <v>0</v>
      </c>
      <c r="AB1991" t="str">
        <f t="shared" si="602"/>
        <v>https://shop.officineitalianezard.it/contents/imgs/products/1_680-scarichi%20moto%20zard%20bimota%202.jpg</v>
      </c>
      <c r="AE1991" t="b">
        <v>0</v>
      </c>
    </row>
    <row r="1992" spans="1:31" x14ac:dyDescent="0.2">
      <c r="A1992" t="str">
        <f t="shared" si="589"/>
        <v>https://shop.officineitalianezard.it/en/products/index/penta-silencers-zard-bimota-7413-108/</v>
      </c>
      <c r="B1992" t="b">
        <f>COUNTIF($A$2:$A1992, A1992)&gt;1</f>
        <v>1</v>
      </c>
      <c r="C1992" t="b">
        <f t="shared" si="590"/>
        <v>0</v>
      </c>
      <c r="D1992">
        <f>VLOOKUP(A1992,variant_counts!A:B, 2, FALSE)</f>
        <v>1</v>
      </c>
      <c r="E1992" t="str">
        <f t="shared" si="603"/>
        <v>zard-exhaust-silencers-bimota-db-6-delirio-penta-version-zb-082-ssr</v>
      </c>
      <c r="F1992" t="str">
        <f t="shared" si="591"/>
        <v>ZARD EXHAUST SILENCERS BIMOTA DB 6 DELIRIO PENTA VERSION ZB 082 SSR</v>
      </c>
      <c r="G1992" t="str">
        <f t="shared" si="592"/>
        <v/>
      </c>
      <c r="H1992" t="str">
        <f t="shared" si="604"/>
        <v/>
      </c>
      <c r="I1992" t="str">
        <f t="shared" si="605"/>
        <v/>
      </c>
      <c r="J1992" t="str">
        <f t="shared" si="606"/>
        <v/>
      </c>
      <c r="K1992" t="str">
        <f t="shared" si="607"/>
        <v/>
      </c>
      <c r="L1992" t="str">
        <f t="shared" si="593"/>
        <v/>
      </c>
      <c r="M1992" t="str">
        <f t="shared" si="594"/>
        <v/>
      </c>
      <c r="R1992" t="str">
        <f t="shared" si="595"/>
        <v/>
      </c>
      <c r="S1992" t="str">
        <f t="shared" si="596"/>
        <v/>
      </c>
      <c r="U1992" t="str">
        <f t="shared" si="597"/>
        <v/>
      </c>
      <c r="V1992" t="str">
        <f t="shared" si="598"/>
        <v/>
      </c>
      <c r="W1992" s="5" t="str">
        <f t="shared" si="599"/>
        <v/>
      </c>
      <c r="Y1992" t="str">
        <f t="shared" si="600"/>
        <v/>
      </c>
      <c r="Z1992" t="str">
        <f t="shared" si="601"/>
        <v/>
      </c>
      <c r="AB1992" t="str">
        <f t="shared" si="602"/>
        <v>https://shop.officineitalianezard.it/contents/imgs/products/1_678-scarichi%20moto%20zard%20bimota%201.jpg</v>
      </c>
      <c r="AE1992" t="b">
        <v>0</v>
      </c>
    </row>
    <row r="1993" spans="1:31" x14ac:dyDescent="0.2">
      <c r="A1993" t="str">
        <f t="shared" si="589"/>
        <v>https://shop.officineitalianezard.it/en/products/index/penta-silencers-zard-bimota-7413-108/</v>
      </c>
      <c r="B1993" t="b">
        <f>COUNTIF($A$2:$A1993, A1993)&gt;1</f>
        <v>1</v>
      </c>
      <c r="C1993" t="b">
        <f t="shared" si="590"/>
        <v>0</v>
      </c>
      <c r="D1993">
        <f>VLOOKUP(A1993,variant_counts!A:B, 2, FALSE)</f>
        <v>1</v>
      </c>
      <c r="E1993" t="str">
        <f t="shared" si="603"/>
        <v>zard-exhaust-silencers-bimota-db-6-delirio-penta-version-zb-082-ssr</v>
      </c>
      <c r="F1993" t="str">
        <f t="shared" si="591"/>
        <v>ZARD EXHAUST SILENCERS BIMOTA DB 6 DELIRIO PENTA VERSION ZB 082 SSR</v>
      </c>
      <c r="G1993" t="str">
        <f t="shared" si="592"/>
        <v/>
      </c>
      <c r="H1993" t="str">
        <f t="shared" si="604"/>
        <v/>
      </c>
      <c r="I1993" t="str">
        <f t="shared" si="605"/>
        <v/>
      </c>
      <c r="J1993" t="str">
        <f t="shared" si="606"/>
        <v/>
      </c>
      <c r="K1993" t="str">
        <f t="shared" si="607"/>
        <v/>
      </c>
      <c r="L1993" t="str">
        <f t="shared" si="593"/>
        <v/>
      </c>
      <c r="M1993" t="str">
        <f t="shared" si="594"/>
        <v/>
      </c>
      <c r="R1993" t="str">
        <f t="shared" si="595"/>
        <v/>
      </c>
      <c r="S1993" t="str">
        <f t="shared" si="596"/>
        <v/>
      </c>
      <c r="U1993" t="str">
        <f t="shared" si="597"/>
        <v/>
      </c>
      <c r="V1993" t="str">
        <f t="shared" si="598"/>
        <v/>
      </c>
      <c r="W1993" s="5" t="str">
        <f t="shared" si="599"/>
        <v/>
      </c>
      <c r="Y1993" t="str">
        <f t="shared" si="600"/>
        <v/>
      </c>
      <c r="Z1993" t="str">
        <f t="shared" si="601"/>
        <v/>
      </c>
      <c r="AB1993" t="str">
        <f t="shared" si="602"/>
        <v>https://shop.officineitalianezard.it/contents/imgs/products/1_679-scarichi%20moto%20zard%20bimota%203.jpg</v>
      </c>
      <c r="AE1993" t="b">
        <v>0</v>
      </c>
    </row>
    <row r="1994" spans="1:31" x14ac:dyDescent="0.2">
      <c r="A1994" t="str">
        <f t="shared" si="589"/>
        <v>https://shop.officineitalianezard.it/en/products/index/penta-silencers-zard-bimota-7413-108/</v>
      </c>
      <c r="B1994" t="b">
        <f>COUNTIF($A$2:$A1994, A1994)&gt;1</f>
        <v>1</v>
      </c>
      <c r="C1994" t="b">
        <f t="shared" si="590"/>
        <v>1</v>
      </c>
      <c r="D1994">
        <f>VLOOKUP(A1994,variant_counts!A:B, 2, FALSE)</f>
        <v>1</v>
      </c>
      <c r="E1994" t="str">
        <f t="shared" si="603"/>
        <v>zard-exhaust-silencers-bimota-db-6-delirio-penta-version-zb-082-ssr</v>
      </c>
      <c r="F1994" t="str">
        <f t="shared" si="591"/>
        <v>ZARD EXHAUST SILENCERS BIMOTA DB 6 DELIRIO PENTA VERSION ZB 082 SSR</v>
      </c>
      <c r="G1994" t="str">
        <f t="shared" si="592"/>
        <v/>
      </c>
      <c r="H1994" t="str">
        <f t="shared" si="604"/>
        <v/>
      </c>
      <c r="I1994" t="str">
        <f t="shared" si="605"/>
        <v/>
      </c>
      <c r="J1994" t="str">
        <f t="shared" si="606"/>
        <v/>
      </c>
      <c r="K1994" t="str">
        <f t="shared" si="607"/>
        <v/>
      </c>
      <c r="L1994" t="str">
        <f t="shared" si="593"/>
        <v>Option</v>
      </c>
      <c r="M1994" t="str">
        <f t="shared" si="594"/>
        <v>CARBON 'PENTA' ENDCAP</v>
      </c>
      <c r="R1994" t="str">
        <f t="shared" si="595"/>
        <v>ZB 082 SSR</v>
      </c>
      <c r="S1994">
        <f t="shared" si="596"/>
        <v>0</v>
      </c>
      <c r="U1994" t="str">
        <f t="shared" si="597"/>
        <v>continue</v>
      </c>
      <c r="V1994" t="str">
        <f t="shared" si="598"/>
        <v>manual</v>
      </c>
      <c r="W1994" s="5">
        <f t="shared" si="599"/>
        <v>1224.4631999999999</v>
      </c>
      <c r="Y1994" t="b">
        <f t="shared" si="600"/>
        <v>1</v>
      </c>
      <c r="Z1994" t="b">
        <f t="shared" si="601"/>
        <v>0</v>
      </c>
      <c r="AB1994" t="str">
        <f t="shared" si="602"/>
        <v/>
      </c>
      <c r="AE1994" t="b">
        <v>0</v>
      </c>
    </row>
    <row r="1995" spans="1:31" x14ac:dyDescent="0.2">
      <c r="A1995" t="str">
        <f t="shared" si="589"/>
        <v>https://shop.officineitalianezard.it/en/products/index/penta-silencers-zard-bimota-7442-107/</v>
      </c>
      <c r="B1995" t="b">
        <f>COUNTIF($A$2:$A1995, A1995)&gt;1</f>
        <v>0</v>
      </c>
      <c r="C1995" t="b">
        <f t="shared" si="590"/>
        <v>0</v>
      </c>
      <c r="D1995">
        <f>VLOOKUP(A1995,variant_counts!A:B, 2, FALSE)</f>
        <v>1</v>
      </c>
      <c r="E1995" t="str">
        <f t="shared" si="603"/>
        <v>zard-exhaust-headers-kit-silencers-bimota-db-5-my-07-2012-penta-version-zb-081-skr</v>
      </c>
      <c r="F1995" t="str">
        <f t="shared" si="591"/>
        <v>ZARD EXHAUST HEADERS KIT + SILENCERS BIMOTA DB 5 M.Y. 07-2012 PENTA VERSION ZB 081 SKR</v>
      </c>
      <c r="G1995" t="str">
        <f t="shared" si="592"/>
        <v>&lt;p&gt;CENTRAL HEADERS + HORIZONTAL PIPE + N.2 STEEL-CARBON SILENCER RACING WITH REMOVABLE DB KILLER&amp;nbsp;&lt;/p&gt;
&lt;p&gt;ORIGINAL SILENCERS WEIGHT: KG 6.1&lt;br&gt;ZARD SILENCERS WEIGHT: KG 2.9&lt;br&gt;HEADERS KIT WEIGHT: KG 0.6&lt;/p&gt;
&lt;p&gt;HARD INCREASE, COMPARED TO THE ORIGINAL EXHAUST SYSTEM, IN TERMS OF TORQUE AND POWER AT ANY RANGE&lt;/p&gt;
&lt;p&gt;ASTONISHING SOUND&lt;/p&gt;</v>
      </c>
      <c r="H1995" t="str">
        <f t="shared" si="604"/>
        <v>ZARD</v>
      </c>
      <c r="I1995" t="str">
        <f t="shared" si="605"/>
        <v>Exhaust Pipe</v>
      </c>
      <c r="J1995" t="str">
        <f t="shared" si="606"/>
        <v>Test</v>
      </c>
      <c r="K1995" t="b">
        <f t="shared" si="607"/>
        <v>0</v>
      </c>
      <c r="L1995" t="str">
        <f t="shared" si="593"/>
        <v>Option</v>
      </c>
      <c r="M1995" t="str">
        <f t="shared" si="594"/>
        <v>DEFAULT</v>
      </c>
      <c r="R1995" t="str">
        <f t="shared" si="595"/>
        <v>ZB 081 SKR</v>
      </c>
      <c r="S1995">
        <f t="shared" si="596"/>
        <v>0</v>
      </c>
      <c r="U1995" t="str">
        <f t="shared" si="597"/>
        <v>continue</v>
      </c>
      <c r="V1995" t="str">
        <f t="shared" si="598"/>
        <v>manual</v>
      </c>
      <c r="W1995" s="5">
        <f t="shared" si="599"/>
        <v>1512.153</v>
      </c>
      <c r="Y1995" t="b">
        <f t="shared" si="600"/>
        <v>1</v>
      </c>
      <c r="Z1995" t="b">
        <f t="shared" si="601"/>
        <v>0</v>
      </c>
      <c r="AB1995" t="str">
        <f t="shared" si="602"/>
        <v>https://shop.officineitalianezard.it/contents/imgs/products/1_734-scarichi%20moto%20zard%20bimota1.jpg</v>
      </c>
      <c r="AE1995" t="b">
        <v>0</v>
      </c>
    </row>
    <row r="1996" spans="1:31" x14ac:dyDescent="0.2">
      <c r="A1996" t="str">
        <f t="shared" si="589"/>
        <v>https://shop.officineitalianezard.it/en/products/index/penta-silencers-zard-bimota-7442-107/</v>
      </c>
      <c r="B1996" t="b">
        <f>COUNTIF($A$2:$A1996, A1996)&gt;1</f>
        <v>1</v>
      </c>
      <c r="C1996" t="b">
        <f t="shared" si="590"/>
        <v>0</v>
      </c>
      <c r="D1996">
        <f>VLOOKUP(A1996,variant_counts!A:B, 2, FALSE)</f>
        <v>1</v>
      </c>
      <c r="E1996" t="str">
        <f t="shared" si="603"/>
        <v>zard-exhaust-headers-kit-silencers-bimota-db-5-my-07-2012-penta-version-zb-081-skr</v>
      </c>
      <c r="F1996" t="str">
        <f t="shared" si="591"/>
        <v>ZARD EXHAUST HEADERS KIT + SILENCERS BIMOTA DB 5 M.Y. 07-2012 PENTA VERSION ZB 081 SKR</v>
      </c>
      <c r="G1996" t="str">
        <f t="shared" si="592"/>
        <v/>
      </c>
      <c r="H1996" t="str">
        <f t="shared" si="604"/>
        <v/>
      </c>
      <c r="I1996" t="str">
        <f t="shared" si="605"/>
        <v/>
      </c>
      <c r="J1996" t="str">
        <f t="shared" si="606"/>
        <v/>
      </c>
      <c r="K1996" t="str">
        <f t="shared" si="607"/>
        <v/>
      </c>
      <c r="L1996" t="str">
        <f t="shared" si="593"/>
        <v/>
      </c>
      <c r="M1996" t="str">
        <f t="shared" si="594"/>
        <v/>
      </c>
      <c r="R1996" t="str">
        <f t="shared" si="595"/>
        <v/>
      </c>
      <c r="S1996" t="str">
        <f t="shared" si="596"/>
        <v/>
      </c>
      <c r="U1996" t="str">
        <f t="shared" si="597"/>
        <v/>
      </c>
      <c r="V1996" t="str">
        <f t="shared" si="598"/>
        <v/>
      </c>
      <c r="W1996" s="5" t="str">
        <f t="shared" si="599"/>
        <v/>
      </c>
      <c r="Y1996" t="str">
        <f t="shared" si="600"/>
        <v/>
      </c>
      <c r="Z1996" t="str">
        <f t="shared" si="601"/>
        <v/>
      </c>
      <c r="AB1996" t="str">
        <f t="shared" si="602"/>
        <v>https://shop.officineitalianezard.it/contents/imgs/products/1_735-scarichi%20moto%20zard%20bimota2.jpg</v>
      </c>
      <c r="AE1996" t="b">
        <v>0</v>
      </c>
    </row>
    <row r="1997" spans="1:31" x14ac:dyDescent="0.2">
      <c r="A1997" t="str">
        <f t="shared" si="589"/>
        <v>https://shop.officineitalianezard.it/en/products/index/penta-silencers-zard-bimota-7442-107/</v>
      </c>
      <c r="B1997" t="b">
        <f>COUNTIF($A$2:$A1997, A1997)&gt;1</f>
        <v>1</v>
      </c>
      <c r="C1997" t="b">
        <f t="shared" si="590"/>
        <v>0</v>
      </c>
      <c r="D1997">
        <f>VLOOKUP(A1997,variant_counts!A:B, 2, FALSE)</f>
        <v>1</v>
      </c>
      <c r="E1997" t="str">
        <f t="shared" si="603"/>
        <v>zard-exhaust-headers-kit-silencers-bimota-db-5-my-07-2012-penta-version-zb-081-skr</v>
      </c>
      <c r="F1997" t="str">
        <f t="shared" si="591"/>
        <v>ZARD EXHAUST HEADERS KIT + SILENCERS BIMOTA DB 5 M.Y. 07-2012 PENTA VERSION ZB 081 SKR</v>
      </c>
      <c r="G1997" t="str">
        <f t="shared" si="592"/>
        <v/>
      </c>
      <c r="H1997" t="str">
        <f t="shared" si="604"/>
        <v/>
      </c>
      <c r="I1997" t="str">
        <f t="shared" si="605"/>
        <v/>
      </c>
      <c r="J1997" t="str">
        <f t="shared" si="606"/>
        <v/>
      </c>
      <c r="K1997" t="str">
        <f t="shared" si="607"/>
        <v/>
      </c>
      <c r="L1997" t="str">
        <f t="shared" si="593"/>
        <v/>
      </c>
      <c r="M1997" t="str">
        <f t="shared" si="594"/>
        <v/>
      </c>
      <c r="R1997" t="str">
        <f t="shared" si="595"/>
        <v/>
      </c>
      <c r="S1997" t="str">
        <f t="shared" si="596"/>
        <v/>
      </c>
      <c r="U1997" t="str">
        <f t="shared" si="597"/>
        <v/>
      </c>
      <c r="V1997" t="str">
        <f t="shared" si="598"/>
        <v/>
      </c>
      <c r="W1997" s="5" t="str">
        <f t="shared" si="599"/>
        <v/>
      </c>
      <c r="Y1997" t="str">
        <f t="shared" si="600"/>
        <v/>
      </c>
      <c r="Z1997" t="str">
        <f t="shared" si="601"/>
        <v/>
      </c>
      <c r="AB1997" t="str">
        <f t="shared" si="602"/>
        <v>https://shop.officineitalianezard.it/contents/imgs/products/1_736-bimota-db5-retro-dx.jpg</v>
      </c>
      <c r="AE1997" t="b">
        <v>0</v>
      </c>
    </row>
    <row r="1998" spans="1:31" x14ac:dyDescent="0.2">
      <c r="A1998" t="str">
        <f t="shared" si="589"/>
        <v>https://shop.officineitalianezard.it/en/products/index/penta-silencers-zard-bimota-7442-107/</v>
      </c>
      <c r="B1998" t="b">
        <f>COUNTIF($A$2:$A1998, A1998)&gt;1</f>
        <v>1</v>
      </c>
      <c r="C1998" t="b">
        <f t="shared" si="590"/>
        <v>1</v>
      </c>
      <c r="D1998">
        <f>VLOOKUP(A1998,variant_counts!A:B, 2, FALSE)</f>
        <v>1</v>
      </c>
      <c r="E1998" t="str">
        <f t="shared" si="603"/>
        <v>zard-exhaust-headers-kit-silencers-bimota-db-5-my-07-2012-penta-version-zb-081-skr</v>
      </c>
      <c r="F1998" t="str">
        <f t="shared" si="591"/>
        <v>ZARD EXHAUST HEADERS KIT + SILENCERS BIMOTA DB 5 M.Y. 07-2012 PENTA VERSION ZB 081 SKR</v>
      </c>
      <c r="G1998" t="str">
        <f t="shared" si="592"/>
        <v/>
      </c>
      <c r="H1998" t="str">
        <f t="shared" si="604"/>
        <v/>
      </c>
      <c r="I1998" t="str">
        <f t="shared" si="605"/>
        <v/>
      </c>
      <c r="J1998" t="str">
        <f t="shared" si="606"/>
        <v/>
      </c>
      <c r="K1998" t="str">
        <f t="shared" si="607"/>
        <v/>
      </c>
      <c r="L1998" t="str">
        <f t="shared" si="593"/>
        <v>Option</v>
      </c>
      <c r="M1998" t="str">
        <f t="shared" si="594"/>
        <v>CARBON 'PENTA' ENDCAP</v>
      </c>
      <c r="R1998" t="str">
        <f t="shared" si="595"/>
        <v>ZB 081 SKR</v>
      </c>
      <c r="S1998">
        <f t="shared" si="596"/>
        <v>0</v>
      </c>
      <c r="U1998" t="str">
        <f t="shared" si="597"/>
        <v>continue</v>
      </c>
      <c r="V1998" t="str">
        <f t="shared" si="598"/>
        <v>manual</v>
      </c>
      <c r="W1998" s="5">
        <f t="shared" si="599"/>
        <v>1595.6805000000002</v>
      </c>
      <c r="Y1998" t="b">
        <f t="shared" si="600"/>
        <v>1</v>
      </c>
      <c r="Z1998" t="b">
        <f t="shared" si="601"/>
        <v>0</v>
      </c>
      <c r="AB1998" t="str">
        <f t="shared" si="602"/>
        <v/>
      </c>
      <c r="AE1998" t="b">
        <v>0</v>
      </c>
    </row>
    <row r="1999" spans="1:31" x14ac:dyDescent="0.2">
      <c r="A1999" t="str">
        <f t="shared" si="589"/>
        <v>https://shop.officineitalianezard.it/en/products/index/penta-silencers-zard-bimota-7411-106/</v>
      </c>
      <c r="B1999" t="b">
        <f>COUNTIF($A$2:$A1999, A1999)&gt;1</f>
        <v>0</v>
      </c>
      <c r="C1999" t="b">
        <f t="shared" si="590"/>
        <v>0</v>
      </c>
      <c r="D1999">
        <f>VLOOKUP(A1999,variant_counts!A:B, 2, FALSE)</f>
        <v>1</v>
      </c>
      <c r="E1999" t="str">
        <f t="shared" si="603"/>
        <v>zard-exhaust-silencers-bimota-db-5-my-05-06-penta-version-zb-080-ssr</v>
      </c>
      <c r="F1999" t="str">
        <f t="shared" si="591"/>
        <v>ZARD EXHAUST SILENCERS BIMOTA DB 5 M.Y. 05-06 PENTA VERSION ZB 080 SSR</v>
      </c>
      <c r="G1999" t="str">
        <f t="shared" si="592"/>
        <v>&lt;p&gt;N.2 STEEL-CARBON SILENCERS RACING WITH REMOVABLE DB KILLER&lt;/p&gt;
&lt;p&gt;ORIGINAL SILENCERS WEIGHT: KG 6.2&lt;br&gt;ZARD SILENCERS WEIGHT: KG 1.9&lt;/p&gt;
&lt;p&gt;HARD INCREASE, COMPARED TO THE ORIGINAL EXHAUST SYSTEM, IN TERMS OF TORQUE AND POWER AT ANY RANGE&lt;/p&gt;
&lt;p&gt;ASTONISHING SOUND&lt;/p&gt;</v>
      </c>
      <c r="H1999" t="str">
        <f t="shared" si="604"/>
        <v>ZARD</v>
      </c>
      <c r="I1999" t="str">
        <f t="shared" si="605"/>
        <v>Exhaust Pipe</v>
      </c>
      <c r="J1999" t="str">
        <f t="shared" si="606"/>
        <v>Test</v>
      </c>
      <c r="K1999" t="b">
        <f t="shared" si="607"/>
        <v>0</v>
      </c>
      <c r="L1999" t="str">
        <f t="shared" si="593"/>
        <v>Option</v>
      </c>
      <c r="M1999" t="str">
        <f t="shared" si="594"/>
        <v>DEFAULT</v>
      </c>
      <c r="R1999" t="str">
        <f t="shared" si="595"/>
        <v>ZB 080 SSR</v>
      </c>
      <c r="S1999">
        <f t="shared" si="596"/>
        <v>0</v>
      </c>
      <c r="U1999" t="str">
        <f t="shared" si="597"/>
        <v>continue</v>
      </c>
      <c r="V1999" t="str">
        <f t="shared" si="598"/>
        <v>manual</v>
      </c>
      <c r="W1999" s="5">
        <f t="shared" si="599"/>
        <v>1147.3071</v>
      </c>
      <c r="Y1999" t="b">
        <f t="shared" si="600"/>
        <v>1</v>
      </c>
      <c r="Z1999" t="b">
        <f t="shared" si="601"/>
        <v>0</v>
      </c>
      <c r="AB1999" t="str">
        <f t="shared" si="602"/>
        <v>https://shop.officineitalianezard.it/contents/imgs/products/1_672-scarichi%20moto%20zard%20bimota1.jpg</v>
      </c>
      <c r="AE1999" t="b">
        <v>0</v>
      </c>
    </row>
    <row r="2000" spans="1:31" x14ac:dyDescent="0.2">
      <c r="A2000" t="str">
        <f t="shared" si="589"/>
        <v>https://shop.officineitalianezard.it/en/products/index/penta-silencers-zard-bimota-7411-106/</v>
      </c>
      <c r="B2000" t="b">
        <f>COUNTIF($A$2:$A2000, A2000)&gt;1</f>
        <v>1</v>
      </c>
      <c r="C2000" t="b">
        <f t="shared" si="590"/>
        <v>0</v>
      </c>
      <c r="D2000">
        <f>VLOOKUP(A2000,variant_counts!A:B, 2, FALSE)</f>
        <v>1</v>
      </c>
      <c r="E2000" t="str">
        <f t="shared" si="603"/>
        <v>zard-exhaust-silencers-bimota-db-5-my-05-06-penta-version-zb-080-ssr</v>
      </c>
      <c r="F2000" t="str">
        <f t="shared" si="591"/>
        <v>ZARD EXHAUST SILENCERS BIMOTA DB 5 M.Y. 05-06 PENTA VERSION ZB 080 SSR</v>
      </c>
      <c r="G2000" t="str">
        <f t="shared" si="592"/>
        <v/>
      </c>
      <c r="H2000" t="str">
        <f t="shared" si="604"/>
        <v/>
      </c>
      <c r="I2000" t="str">
        <f t="shared" si="605"/>
        <v/>
      </c>
      <c r="J2000" t="str">
        <f t="shared" si="606"/>
        <v/>
      </c>
      <c r="K2000" t="str">
        <f t="shared" si="607"/>
        <v/>
      </c>
      <c r="L2000" t="str">
        <f t="shared" si="593"/>
        <v/>
      </c>
      <c r="M2000" t="str">
        <f t="shared" si="594"/>
        <v/>
      </c>
      <c r="R2000" t="str">
        <f t="shared" si="595"/>
        <v/>
      </c>
      <c r="S2000" t="str">
        <f t="shared" si="596"/>
        <v/>
      </c>
      <c r="U2000" t="str">
        <f t="shared" si="597"/>
        <v/>
      </c>
      <c r="V2000" t="str">
        <f t="shared" si="598"/>
        <v/>
      </c>
      <c r="W2000" s="5" t="str">
        <f t="shared" si="599"/>
        <v/>
      </c>
      <c r="Y2000" t="str">
        <f t="shared" si="600"/>
        <v/>
      </c>
      <c r="Z2000" t="str">
        <f t="shared" si="601"/>
        <v/>
      </c>
      <c r="AB2000" t="str">
        <f t="shared" si="602"/>
        <v>https://shop.officineitalianezard.it/contents/imgs/products/1_673-scarichi%20moto%20zard%20bimota2.jpg</v>
      </c>
      <c r="AE2000" t="b">
        <v>0</v>
      </c>
    </row>
    <row r="2001" spans="1:31" x14ac:dyDescent="0.2">
      <c r="A2001" t="str">
        <f t="shared" si="589"/>
        <v>https://shop.officineitalianezard.it/en/products/index/penta-silencers-zard-bimota-7411-106/</v>
      </c>
      <c r="B2001" t="b">
        <f>COUNTIF($A$2:$A2001, A2001)&gt;1</f>
        <v>1</v>
      </c>
      <c r="C2001" t="b">
        <f t="shared" si="590"/>
        <v>0</v>
      </c>
      <c r="D2001">
        <f>VLOOKUP(A2001,variant_counts!A:B, 2, FALSE)</f>
        <v>1</v>
      </c>
      <c r="E2001" t="str">
        <f t="shared" si="603"/>
        <v>zard-exhaust-silencers-bimota-db-5-my-05-06-penta-version-zb-080-ssr</v>
      </c>
      <c r="F2001" t="str">
        <f t="shared" si="591"/>
        <v>ZARD EXHAUST SILENCERS BIMOTA DB 5 M.Y. 05-06 PENTA VERSION ZB 080 SSR</v>
      </c>
      <c r="G2001" t="str">
        <f t="shared" si="592"/>
        <v/>
      </c>
      <c r="H2001" t="str">
        <f t="shared" si="604"/>
        <v/>
      </c>
      <c r="I2001" t="str">
        <f t="shared" si="605"/>
        <v/>
      </c>
      <c r="J2001" t="str">
        <f t="shared" si="606"/>
        <v/>
      </c>
      <c r="K2001" t="str">
        <f t="shared" si="607"/>
        <v/>
      </c>
      <c r="L2001" t="str">
        <f t="shared" si="593"/>
        <v/>
      </c>
      <c r="M2001" t="str">
        <f t="shared" si="594"/>
        <v/>
      </c>
      <c r="R2001" t="str">
        <f t="shared" si="595"/>
        <v/>
      </c>
      <c r="S2001" t="str">
        <f t="shared" si="596"/>
        <v/>
      </c>
      <c r="U2001" t="str">
        <f t="shared" si="597"/>
        <v/>
      </c>
      <c r="V2001" t="str">
        <f t="shared" si="598"/>
        <v/>
      </c>
      <c r="W2001" s="5" t="str">
        <f t="shared" si="599"/>
        <v/>
      </c>
      <c r="Y2001" t="str">
        <f t="shared" si="600"/>
        <v/>
      </c>
      <c r="Z2001" t="str">
        <f t="shared" si="601"/>
        <v/>
      </c>
      <c r="AB2001" t="str">
        <f t="shared" si="602"/>
        <v>https://shop.officineitalianezard.it/contents/imgs/products/1_729-bimota-db5-retro-dx.jpg</v>
      </c>
      <c r="AE2001" t="b">
        <v>0</v>
      </c>
    </row>
    <row r="2002" spans="1:31" x14ac:dyDescent="0.2">
      <c r="A2002" t="str">
        <f t="shared" si="589"/>
        <v>https://shop.officineitalianezard.it/en/products/index/penta-silencers-zard-bimota-7411-106/</v>
      </c>
      <c r="B2002" t="b">
        <f>COUNTIF($A$2:$A2002, A2002)&gt;1</f>
        <v>1</v>
      </c>
      <c r="C2002" t="b">
        <f t="shared" si="590"/>
        <v>1</v>
      </c>
      <c r="D2002">
        <f>VLOOKUP(A2002,variant_counts!A:B, 2, FALSE)</f>
        <v>1</v>
      </c>
      <c r="E2002" t="str">
        <f t="shared" si="603"/>
        <v>zard-exhaust-silencers-bimota-db-5-my-05-06-penta-version-zb-080-ssr</v>
      </c>
      <c r="F2002" t="str">
        <f t="shared" si="591"/>
        <v>ZARD EXHAUST SILENCERS BIMOTA DB 5 M.Y. 05-06 PENTA VERSION ZB 080 SSR</v>
      </c>
      <c r="G2002" t="str">
        <f t="shared" si="592"/>
        <v/>
      </c>
      <c r="H2002" t="str">
        <f t="shared" si="604"/>
        <v/>
      </c>
      <c r="I2002" t="str">
        <f t="shared" si="605"/>
        <v/>
      </c>
      <c r="J2002" t="str">
        <f t="shared" si="606"/>
        <v/>
      </c>
      <c r="K2002" t="str">
        <f t="shared" si="607"/>
        <v/>
      </c>
      <c r="L2002" t="str">
        <f t="shared" si="593"/>
        <v>Option</v>
      </c>
      <c r="M2002" t="str">
        <f t="shared" si="594"/>
        <v>CARBON 'PENTA' ENDCAP</v>
      </c>
      <c r="R2002" t="str">
        <f t="shared" si="595"/>
        <v>ZB 080 SSR</v>
      </c>
      <c r="S2002">
        <f t="shared" si="596"/>
        <v>0</v>
      </c>
      <c r="U2002" t="str">
        <f t="shared" si="597"/>
        <v>continue</v>
      </c>
      <c r="V2002" t="str">
        <f t="shared" si="598"/>
        <v>manual</v>
      </c>
      <c r="W2002" s="5">
        <f t="shared" si="599"/>
        <v>1230.8345999999999</v>
      </c>
      <c r="Y2002" t="b">
        <f t="shared" si="600"/>
        <v>1</v>
      </c>
      <c r="Z2002" t="b">
        <f t="shared" si="601"/>
        <v>0</v>
      </c>
      <c r="AB2002" t="str">
        <f t="shared" si="602"/>
        <v/>
      </c>
      <c r="AE2002" t="b">
        <v>0</v>
      </c>
    </row>
    <row r="2003" spans="1:31" x14ac:dyDescent="0.2">
      <c r="A2003" t="str">
        <f t="shared" si="589"/>
        <v>https://shop.officineitalianezard.it/en/products/index/aprilia-shiver-zard-silencers-7437-100/</v>
      </c>
      <c r="B2003" t="b">
        <f>COUNTIF($A$2:$A2003, A2003)&gt;1</f>
        <v>0</v>
      </c>
      <c r="C2003" t="b">
        <f t="shared" si="590"/>
        <v>0</v>
      </c>
      <c r="D2003">
        <f>VLOOKUP(A2003,variant_counts!A:B, 2, FALSE)</f>
        <v>1</v>
      </c>
      <c r="E2003" t="str">
        <f t="shared" si="603"/>
        <v>zard-exhaust-header-kit-aprilia-shiver-steel-version-za132scr</v>
      </c>
      <c r="F2003" t="str">
        <f t="shared" si="591"/>
        <v>ZARD EXHAUST HEADER KIT APRILIA SHIVER STEEL VERSION ZA132SCR</v>
      </c>
      <c r="G2003" t="str">
        <f t="shared" si="592"/>
        <v>&lt;p&gt;HEADER KIT STEEL RACING&lt;/p&gt;
&lt;p&gt;ORIGINAL HEADER KIT WEIGHT: KG 2.5&lt;br&gt;ZARD HEADER KIT WEIGHT: KG 1.3&lt;/p&gt;
&lt;p&gt;HARD INCREASE, COMPARED TO THE ORIGINAL EXHAUST SYSTEM, IN TERMS OF TORQUE AND POWER AT ANY RANGE&lt;/p&gt;
&lt;p&gt;ASTONISHING SOUND&lt;/p&gt;</v>
      </c>
      <c r="H2003" t="str">
        <f t="shared" si="604"/>
        <v>ZARD</v>
      </c>
      <c r="I2003" t="str">
        <f t="shared" si="605"/>
        <v>Exhaust Pipe</v>
      </c>
      <c r="J2003" t="str">
        <f t="shared" si="606"/>
        <v>Test</v>
      </c>
      <c r="K2003" t="b">
        <f t="shared" si="607"/>
        <v>0</v>
      </c>
      <c r="L2003" t="str">
        <f t="shared" si="593"/>
        <v>Option</v>
      </c>
      <c r="M2003" t="str">
        <f t="shared" si="594"/>
        <v>DEFAULT</v>
      </c>
      <c r="R2003" t="str">
        <f t="shared" si="595"/>
        <v>ZA132SCR</v>
      </c>
      <c r="S2003">
        <f t="shared" si="596"/>
        <v>0</v>
      </c>
      <c r="U2003" t="str">
        <f t="shared" si="597"/>
        <v>continue</v>
      </c>
      <c r="V2003" t="str">
        <f t="shared" si="598"/>
        <v>manual</v>
      </c>
      <c r="W2003" s="5">
        <f t="shared" si="599"/>
        <v>298.42350000000005</v>
      </c>
      <c r="Y2003" t="b">
        <f t="shared" si="600"/>
        <v>1</v>
      </c>
      <c r="Z2003" t="b">
        <f t="shared" si="601"/>
        <v>0</v>
      </c>
      <c r="AB2003" t="str">
        <f t="shared" si="602"/>
        <v>https://shop.officineitalianezard.it/contents/imgs/products/1_717-Immagine%20005.jpg</v>
      </c>
      <c r="AE2003" t="b">
        <v>0</v>
      </c>
    </row>
    <row r="2004" spans="1:31" x14ac:dyDescent="0.2">
      <c r="A2004" t="str">
        <f t="shared" si="589"/>
        <v>https://shop.officineitalianezard.it/en/products/index/aprilia-shiver-zard-silencers-7437-100/</v>
      </c>
      <c r="B2004" t="b">
        <f>COUNTIF($A$2:$A2004, A2004)&gt;1</f>
        <v>1</v>
      </c>
      <c r="C2004" t="b">
        <f t="shared" si="590"/>
        <v>0</v>
      </c>
      <c r="D2004">
        <f>VLOOKUP(A2004,variant_counts!A:B, 2, FALSE)</f>
        <v>1</v>
      </c>
      <c r="E2004" t="str">
        <f t="shared" si="603"/>
        <v>zard-exhaust-header-kit-aprilia-shiver-steel-version-za132scr</v>
      </c>
      <c r="F2004" t="str">
        <f t="shared" si="591"/>
        <v>ZARD EXHAUST HEADER KIT APRILIA SHIVER STEEL VERSION ZA132SCR</v>
      </c>
      <c r="G2004" t="str">
        <f t="shared" si="592"/>
        <v/>
      </c>
      <c r="H2004" t="str">
        <f t="shared" si="604"/>
        <v/>
      </c>
      <c r="I2004" t="str">
        <f t="shared" si="605"/>
        <v/>
      </c>
      <c r="J2004" t="str">
        <f t="shared" si="606"/>
        <v/>
      </c>
      <c r="K2004" t="str">
        <f t="shared" si="607"/>
        <v/>
      </c>
      <c r="L2004" t="str">
        <f t="shared" si="593"/>
        <v/>
      </c>
      <c r="M2004" t="str">
        <f t="shared" si="594"/>
        <v/>
      </c>
      <c r="R2004" t="str">
        <f t="shared" si="595"/>
        <v/>
      </c>
      <c r="S2004" t="str">
        <f t="shared" si="596"/>
        <v/>
      </c>
      <c r="U2004" t="str">
        <f t="shared" si="597"/>
        <v/>
      </c>
      <c r="V2004" t="str">
        <f t="shared" si="598"/>
        <v/>
      </c>
      <c r="W2004" s="5" t="str">
        <f t="shared" si="599"/>
        <v/>
      </c>
      <c r="Y2004" t="str">
        <f t="shared" si="600"/>
        <v/>
      </c>
      <c r="Z2004" t="str">
        <f t="shared" si="601"/>
        <v/>
      </c>
      <c r="AB2004" t="str">
        <f t="shared" si="602"/>
        <v>https://shop.officineitalianezard.it/contents/imgs/products/1_716-Immagine%20004.jpg</v>
      </c>
      <c r="AE2004" t="b">
        <v>0</v>
      </c>
    </row>
    <row r="2005" spans="1:31" x14ac:dyDescent="0.2">
      <c r="A2005" t="str">
        <f t="shared" si="589"/>
        <v>https://shop.officineitalianezard.it/en/products/index/aprilia-shiver-zard-silencers-7437-100/</v>
      </c>
      <c r="B2005" t="b">
        <f>COUNTIF($A$2:$A2005, A2005)&gt;1</f>
        <v>1</v>
      </c>
      <c r="C2005" t="b">
        <f t="shared" si="590"/>
        <v>1</v>
      </c>
      <c r="D2005">
        <f>VLOOKUP(A2005,variant_counts!A:B, 2, FALSE)</f>
        <v>1</v>
      </c>
      <c r="E2005" t="str">
        <f t="shared" si="603"/>
        <v>zard-exhaust-header-kit-aprilia-shiver-steel-version-za132scr</v>
      </c>
      <c r="F2005" t="str">
        <f t="shared" si="591"/>
        <v>ZARD EXHAUST HEADER KIT APRILIA SHIVER STEEL VERSION ZA132SCR</v>
      </c>
      <c r="G2005" t="str">
        <f t="shared" si="592"/>
        <v/>
      </c>
      <c r="H2005" t="str">
        <f t="shared" si="604"/>
        <v/>
      </c>
      <c r="I2005" t="str">
        <f t="shared" si="605"/>
        <v/>
      </c>
      <c r="J2005" t="str">
        <f t="shared" si="606"/>
        <v/>
      </c>
      <c r="K2005" t="str">
        <f t="shared" si="607"/>
        <v/>
      </c>
      <c r="L2005" t="str">
        <f t="shared" si="593"/>
        <v>Option</v>
      </c>
      <c r="M2005" t="str">
        <f t="shared" si="594"/>
        <v>BLACK CERAMIC COATING</v>
      </c>
      <c r="R2005" t="str">
        <f t="shared" si="595"/>
        <v>ZA132SCR</v>
      </c>
      <c r="S2005">
        <f t="shared" si="596"/>
        <v>0</v>
      </c>
      <c r="U2005" t="str">
        <f t="shared" si="597"/>
        <v>continue</v>
      </c>
      <c r="V2005" t="str">
        <f t="shared" si="598"/>
        <v>manual</v>
      </c>
      <c r="W2005" s="5">
        <f t="shared" si="599"/>
        <v>435.17550000000006</v>
      </c>
      <c r="Y2005" t="b">
        <f t="shared" si="600"/>
        <v>1</v>
      </c>
      <c r="Z2005" t="b">
        <f t="shared" si="601"/>
        <v>0</v>
      </c>
      <c r="AB2005" t="str">
        <f t="shared" si="602"/>
        <v/>
      </c>
      <c r="AE2005" t="b">
        <v>0</v>
      </c>
    </row>
    <row r="2006" spans="1:31" x14ac:dyDescent="0.2">
      <c r="A2006" t="str">
        <f t="shared" si="589"/>
        <v>https://shop.officineitalianezard.it/en/products/index/aprilia-shiver-zard-silencers-7404-100/</v>
      </c>
      <c r="B2006" t="b">
        <f>COUNTIF($A$2:$A2006, A2006)&gt;1</f>
        <v>0</v>
      </c>
      <c r="C2006" t="b">
        <f t="shared" si="590"/>
        <v>0</v>
      </c>
      <c r="D2006">
        <f>VLOOKUP(A2006,variant_counts!A:B, 2, FALSE)</f>
        <v>4</v>
      </c>
      <c r="E2006" t="str">
        <f t="shared" si="603"/>
        <v>zard-exhaust-silencers-aprilia-shiver-penta-version-za132ssr-as</v>
      </c>
      <c r="F2006" t="str">
        <f t="shared" si="591"/>
        <v>ZARD EXHAUST SILENCERS APRILIA SHIVER PENTA VERSION ZA132SSR-AS</v>
      </c>
      <c r="G2006" t="str">
        <f t="shared" si="592"/>
        <v>&lt;p&gt;N.2 STEEL-ALUMINIUM SILVER SILENCERS RACING WITH REMOVABLE DB KILLER&lt;/p&gt;
&lt;p&gt;WEIGHT OF THE ZARD CARBONIUM MUFFLER: KG 3.7&lt;br&gt;WEIGHT OF THE ZARD ALUMINIUM MUFFLER: KG 3.3&lt;/p&gt;
&lt;p&gt;HARD INCREASE, COMPARED TO THE ORIGINAL EXHAUST SYSTEM, IN TERMS OF TORQUE AND POWER AT ANY RANGE&lt;/p&gt;
&lt;p&gt;ASTONISHING SOUND&lt;/p&gt;</v>
      </c>
      <c r="H2006" t="str">
        <f t="shared" si="604"/>
        <v>ZARD</v>
      </c>
      <c r="I2006" t="str">
        <f t="shared" si="605"/>
        <v>Exhaust Pipe</v>
      </c>
      <c r="J2006" t="str">
        <f t="shared" si="606"/>
        <v>Test</v>
      </c>
      <c r="K2006" t="b">
        <f t="shared" si="607"/>
        <v>0</v>
      </c>
      <c r="L2006" t="str">
        <f t="shared" si="593"/>
        <v/>
      </c>
      <c r="M2006" t="str">
        <f t="shared" si="594"/>
        <v/>
      </c>
      <c r="R2006" t="str">
        <f t="shared" si="595"/>
        <v/>
      </c>
      <c r="S2006" t="str">
        <f t="shared" si="596"/>
        <v/>
      </c>
      <c r="U2006" t="str">
        <f t="shared" si="597"/>
        <v/>
      </c>
      <c r="V2006" t="str">
        <f t="shared" si="598"/>
        <v/>
      </c>
      <c r="W2006" s="5" t="str">
        <f t="shared" si="599"/>
        <v/>
      </c>
      <c r="Y2006" t="str">
        <f t="shared" si="600"/>
        <v/>
      </c>
      <c r="Z2006" t="str">
        <f t="shared" si="601"/>
        <v/>
      </c>
      <c r="AB2006" t="str">
        <f t="shared" si="602"/>
        <v>https://shop.officineitalianezard.it/contents/imgs/products/1_633-Immagine%20004.jpg</v>
      </c>
      <c r="AE2006" t="b">
        <v>0</v>
      </c>
    </row>
    <row r="2007" spans="1:31" x14ac:dyDescent="0.2">
      <c r="A2007" t="str">
        <f t="shared" si="589"/>
        <v>https://shop.officineitalianezard.it/en/products/index/aprilia-shiver-zard-silencers-7404-100/</v>
      </c>
      <c r="B2007" t="b">
        <f>COUNTIF($A$2:$A2007, A2007)&gt;1</f>
        <v>1</v>
      </c>
      <c r="C2007" t="b">
        <f t="shared" si="590"/>
        <v>0</v>
      </c>
      <c r="D2007">
        <f>VLOOKUP(A2007,variant_counts!A:B, 2, FALSE)</f>
        <v>4</v>
      </c>
      <c r="E2007" t="str">
        <f t="shared" si="603"/>
        <v>zard-exhaust-silencers-aprilia-shiver-penta-version-za132ssr-as</v>
      </c>
      <c r="F2007" t="str">
        <f t="shared" si="591"/>
        <v>ZARD EXHAUST SILENCERS APRILIA SHIVER PENTA VERSION ZA132SSR-AS</v>
      </c>
      <c r="G2007" t="str">
        <f t="shared" si="592"/>
        <v/>
      </c>
      <c r="H2007" t="str">
        <f t="shared" si="604"/>
        <v/>
      </c>
      <c r="I2007" t="str">
        <f t="shared" si="605"/>
        <v/>
      </c>
      <c r="J2007" t="str">
        <f t="shared" si="606"/>
        <v/>
      </c>
      <c r="K2007" t="str">
        <f t="shared" si="607"/>
        <v/>
      </c>
      <c r="L2007" t="str">
        <f t="shared" si="593"/>
        <v/>
      </c>
      <c r="M2007" t="str">
        <f t="shared" si="594"/>
        <v/>
      </c>
      <c r="R2007" t="str">
        <f t="shared" si="595"/>
        <v/>
      </c>
      <c r="S2007" t="str">
        <f t="shared" si="596"/>
        <v/>
      </c>
      <c r="U2007" t="str">
        <f t="shared" si="597"/>
        <v/>
      </c>
      <c r="V2007" t="str">
        <f t="shared" si="598"/>
        <v/>
      </c>
      <c r="W2007" s="5" t="str">
        <f t="shared" si="599"/>
        <v/>
      </c>
      <c r="Y2007" t="str">
        <f t="shared" si="600"/>
        <v/>
      </c>
      <c r="Z2007" t="str">
        <f t="shared" si="601"/>
        <v/>
      </c>
      <c r="AB2007" t="str">
        <f t="shared" si="602"/>
        <v>https://shop.officineitalianezard.it/contents/imgs/products/1_634-Immagine%20005.jpg</v>
      </c>
      <c r="AE2007" t="b">
        <v>0</v>
      </c>
    </row>
    <row r="2008" spans="1:31" x14ac:dyDescent="0.2">
      <c r="A2008" t="str">
        <f t="shared" si="589"/>
        <v>https://shop.officineitalianezard.it/en/products/index/aprilia-shiver-zard-silencers-7404-100/</v>
      </c>
      <c r="B2008" t="b">
        <f>COUNTIF($A$2:$A2008, A2008)&gt;1</f>
        <v>1</v>
      </c>
      <c r="C2008" t="b">
        <f t="shared" si="590"/>
        <v>0</v>
      </c>
      <c r="D2008">
        <f>VLOOKUP(A2008,variant_counts!A:B, 2, FALSE)</f>
        <v>4</v>
      </c>
      <c r="E2008" t="str">
        <f t="shared" si="603"/>
        <v>zard-exhaust-silencers-aprilia-shiver-penta-version-za132ssr-as</v>
      </c>
      <c r="F2008" t="str">
        <f t="shared" si="591"/>
        <v>ZARD EXHAUST SILENCERS APRILIA SHIVER PENTA VERSION ZA132SSR-AS</v>
      </c>
      <c r="G2008" t="str">
        <f t="shared" si="592"/>
        <v/>
      </c>
      <c r="H2008" t="str">
        <f t="shared" si="604"/>
        <v/>
      </c>
      <c r="I2008" t="str">
        <f t="shared" si="605"/>
        <v/>
      </c>
      <c r="J2008" t="str">
        <f t="shared" si="606"/>
        <v/>
      </c>
      <c r="K2008" t="str">
        <f t="shared" si="607"/>
        <v/>
      </c>
      <c r="L2008" t="str">
        <f t="shared" si="593"/>
        <v/>
      </c>
      <c r="M2008" t="str">
        <f t="shared" si="594"/>
        <v/>
      </c>
      <c r="R2008" t="str">
        <f t="shared" si="595"/>
        <v/>
      </c>
      <c r="S2008" t="str">
        <f t="shared" si="596"/>
        <v/>
      </c>
      <c r="U2008" t="str">
        <f t="shared" si="597"/>
        <v/>
      </c>
      <c r="V2008" t="str">
        <f t="shared" si="598"/>
        <v/>
      </c>
      <c r="W2008" s="5" t="str">
        <f t="shared" si="599"/>
        <v/>
      </c>
      <c r="Y2008" t="str">
        <f t="shared" si="600"/>
        <v/>
      </c>
      <c r="Z2008" t="str">
        <f t="shared" si="601"/>
        <v/>
      </c>
      <c r="AB2008" t="str">
        <f t="shared" si="602"/>
        <v>https://shop.officineitalianezard.it/contents/imgs/products/1_635-Immagine%20009.jpg</v>
      </c>
      <c r="AE2008" t="b">
        <v>0</v>
      </c>
    </row>
    <row r="2009" spans="1:31" x14ac:dyDescent="0.2">
      <c r="A2009" t="str">
        <f t="shared" si="589"/>
        <v>https://shop.officineitalianezard.it/en/products/index/aprilia-shiver-zard-silencers-7404-100/</v>
      </c>
      <c r="B2009" t="b">
        <f>COUNTIF($A$2:$A2009, A2009)&gt;1</f>
        <v>1</v>
      </c>
      <c r="C2009" t="b">
        <f t="shared" si="590"/>
        <v>1</v>
      </c>
      <c r="D2009">
        <f>VLOOKUP(A2009,variant_counts!A:B, 2, FALSE)</f>
        <v>4</v>
      </c>
      <c r="E2009" t="str">
        <f t="shared" si="603"/>
        <v>zard-exhaust-silencers-aprilia-shiver-penta-version-za132ssr-as</v>
      </c>
      <c r="F2009" t="str">
        <f t="shared" si="591"/>
        <v>ZARD EXHAUST SILENCERS APRILIA SHIVER PENTA VERSION ZA132SSR-AS</v>
      </c>
      <c r="G2009" t="str">
        <f t="shared" si="592"/>
        <v/>
      </c>
      <c r="H2009" t="str">
        <f t="shared" si="604"/>
        <v/>
      </c>
      <c r="I2009" t="str">
        <f t="shared" si="605"/>
        <v/>
      </c>
      <c r="J2009" t="str">
        <f t="shared" si="606"/>
        <v/>
      </c>
      <c r="K2009" t="str">
        <f t="shared" si="607"/>
        <v/>
      </c>
      <c r="L2009" t="str">
        <f t="shared" si="593"/>
        <v>Option</v>
      </c>
      <c r="M2009" t="str">
        <f t="shared" si="594"/>
        <v>BLACK SILENCERS RACING</v>
      </c>
      <c r="R2009" t="str">
        <f t="shared" si="595"/>
        <v>ZA132SSR-AS</v>
      </c>
      <c r="S2009">
        <f t="shared" si="596"/>
        <v>0</v>
      </c>
      <c r="U2009" t="str">
        <f t="shared" si="597"/>
        <v>continue</v>
      </c>
      <c r="V2009" t="str">
        <f t="shared" si="598"/>
        <v>manual</v>
      </c>
      <c r="W2009" s="5">
        <f t="shared" si="599"/>
        <v>944.41020000000003</v>
      </c>
      <c r="Y2009" t="b">
        <f t="shared" si="600"/>
        <v>1</v>
      </c>
      <c r="Z2009" t="b">
        <f t="shared" si="601"/>
        <v>0</v>
      </c>
      <c r="AB2009" t="str">
        <f t="shared" si="602"/>
        <v/>
      </c>
      <c r="AE2009" t="b">
        <v>0</v>
      </c>
    </row>
    <row r="2010" spans="1:31" x14ac:dyDescent="0.2">
      <c r="A2010" t="str">
        <f t="shared" si="589"/>
        <v>https://shop.officineitalianezard.it/en/products/index/aprilia-shiver-zard-silencers-7404-100/</v>
      </c>
      <c r="B2010" t="b">
        <f>COUNTIF($A$2:$A2010, A2010)&gt;1</f>
        <v>1</v>
      </c>
      <c r="C2010" t="b">
        <f t="shared" si="590"/>
        <v>1</v>
      </c>
      <c r="D2010">
        <f>VLOOKUP(A2010,variant_counts!A:B, 2, FALSE)</f>
        <v>4</v>
      </c>
      <c r="E2010" t="str">
        <f t="shared" si="603"/>
        <v>zard-exhaust-silencers-aprilia-shiver-penta-version-za132ssr-as</v>
      </c>
      <c r="F2010" t="str">
        <f t="shared" si="591"/>
        <v>ZARD EXHAUST SILENCERS APRILIA SHIVER PENTA VERSION ZA132SSR-AS</v>
      </c>
      <c r="G2010" t="str">
        <f t="shared" si="592"/>
        <v/>
      </c>
      <c r="H2010" t="str">
        <f t="shared" si="604"/>
        <v/>
      </c>
      <c r="I2010" t="str">
        <f t="shared" si="605"/>
        <v/>
      </c>
      <c r="J2010" t="str">
        <f t="shared" si="606"/>
        <v/>
      </c>
      <c r="K2010" t="str">
        <f t="shared" si="607"/>
        <v/>
      </c>
      <c r="L2010" t="str">
        <f t="shared" si="593"/>
        <v>Option</v>
      </c>
      <c r="M2010" t="str">
        <f t="shared" si="594"/>
        <v>BLACK SILENCERS HOMOLOGATED</v>
      </c>
      <c r="R2010" t="str">
        <f t="shared" si="595"/>
        <v>ZA132SSR-AS</v>
      </c>
      <c r="S2010">
        <f t="shared" si="596"/>
        <v>0</v>
      </c>
      <c r="U2010" t="str">
        <f t="shared" si="597"/>
        <v>continue</v>
      </c>
      <c r="V2010" t="str">
        <f t="shared" si="598"/>
        <v>manual</v>
      </c>
      <c r="W2010" s="5">
        <f t="shared" si="599"/>
        <v>986.98980000000006</v>
      </c>
      <c r="Y2010" t="b">
        <f t="shared" si="600"/>
        <v>1</v>
      </c>
      <c r="Z2010" t="b">
        <f t="shared" si="601"/>
        <v>0</v>
      </c>
      <c r="AB2010" t="str">
        <f t="shared" si="602"/>
        <v/>
      </c>
      <c r="AE2010" t="b">
        <v>0</v>
      </c>
    </row>
    <row r="2011" spans="1:31" x14ac:dyDescent="0.2">
      <c r="A2011" t="str">
        <f t="shared" si="589"/>
        <v>https://shop.officineitalianezard.it/en/products/index/aprilia-shiver-zard-silencers-7404-100/</v>
      </c>
      <c r="B2011" t="b">
        <f>COUNTIF($A$2:$A2011, A2011)&gt;1</f>
        <v>1</v>
      </c>
      <c r="C2011" t="b">
        <f t="shared" si="590"/>
        <v>1</v>
      </c>
      <c r="D2011">
        <f>VLOOKUP(A2011,variant_counts!A:B, 2, FALSE)</f>
        <v>4</v>
      </c>
      <c r="E2011" t="str">
        <f t="shared" si="603"/>
        <v>zard-exhaust-silencers-aprilia-shiver-penta-version-za132ssr-as</v>
      </c>
      <c r="F2011" t="str">
        <f t="shared" si="591"/>
        <v>ZARD EXHAUST SILENCERS APRILIA SHIVER PENTA VERSION ZA132SSR-AS</v>
      </c>
      <c r="G2011" t="str">
        <f t="shared" si="592"/>
        <v/>
      </c>
      <c r="H2011" t="str">
        <f t="shared" si="604"/>
        <v/>
      </c>
      <c r="I2011" t="str">
        <f t="shared" si="605"/>
        <v/>
      </c>
      <c r="J2011" t="str">
        <f t="shared" si="606"/>
        <v/>
      </c>
      <c r="K2011" t="str">
        <f t="shared" si="607"/>
        <v/>
      </c>
      <c r="L2011" t="str">
        <f t="shared" si="593"/>
        <v>Option</v>
      </c>
      <c r="M2011" t="str">
        <f t="shared" si="594"/>
        <v>CARBON SILENCERS RACING</v>
      </c>
      <c r="R2011" t="str">
        <f t="shared" si="595"/>
        <v>ZA132SSR-AS</v>
      </c>
      <c r="S2011">
        <f t="shared" si="596"/>
        <v>0</v>
      </c>
      <c r="U2011" t="str">
        <f t="shared" si="597"/>
        <v>continue</v>
      </c>
      <c r="V2011" t="str">
        <f t="shared" si="598"/>
        <v>manual</v>
      </c>
      <c r="W2011" s="5">
        <f t="shared" si="599"/>
        <v>1014.0183000000001</v>
      </c>
      <c r="Y2011" t="b">
        <f t="shared" si="600"/>
        <v>1</v>
      </c>
      <c r="Z2011" t="b">
        <f t="shared" si="601"/>
        <v>0</v>
      </c>
      <c r="AB2011" t="str">
        <f t="shared" si="602"/>
        <v/>
      </c>
      <c r="AE2011" t="b">
        <v>0</v>
      </c>
    </row>
    <row r="2012" spans="1:31" x14ac:dyDescent="0.2">
      <c r="A2012" t="str">
        <f t="shared" si="589"/>
        <v>https://shop.officineitalianezard.it/en/products/index/aprilia-shiver-zard-silencers-7404-100/</v>
      </c>
      <c r="B2012" t="b">
        <f>COUNTIF($A$2:$A2012, A2012)&gt;1</f>
        <v>1</v>
      </c>
      <c r="C2012" t="b">
        <f t="shared" si="590"/>
        <v>1</v>
      </c>
      <c r="D2012">
        <f>VLOOKUP(A2012,variant_counts!A:B, 2, FALSE)</f>
        <v>4</v>
      </c>
      <c r="E2012" t="str">
        <f t="shared" si="603"/>
        <v>zard-exhaust-silencers-aprilia-shiver-penta-version-za132ssr-as</v>
      </c>
      <c r="F2012" t="str">
        <f t="shared" si="591"/>
        <v>ZARD EXHAUST SILENCERS APRILIA SHIVER PENTA VERSION ZA132SSR-AS</v>
      </c>
      <c r="G2012" t="str">
        <f t="shared" si="592"/>
        <v/>
      </c>
      <c r="H2012" t="str">
        <f t="shared" si="604"/>
        <v/>
      </c>
      <c r="I2012" t="str">
        <f t="shared" si="605"/>
        <v/>
      </c>
      <c r="J2012" t="str">
        <f t="shared" si="606"/>
        <v/>
      </c>
      <c r="K2012" t="str">
        <f t="shared" si="607"/>
        <v/>
      </c>
      <c r="L2012" t="str">
        <f t="shared" si="593"/>
        <v>Option</v>
      </c>
      <c r="M2012" t="str">
        <f t="shared" si="594"/>
        <v>SILVER SILENCERS HOMOLOGATED</v>
      </c>
      <c r="R2012" t="str">
        <f t="shared" si="595"/>
        <v>ZA132SSR-AS</v>
      </c>
      <c r="S2012">
        <f t="shared" si="596"/>
        <v>0</v>
      </c>
      <c r="U2012" t="str">
        <f t="shared" si="597"/>
        <v>continue</v>
      </c>
      <c r="V2012" t="str">
        <f t="shared" si="598"/>
        <v>manual</v>
      </c>
      <c r="W2012" s="5">
        <f t="shared" si="599"/>
        <v>949.3275000000001</v>
      </c>
      <c r="Y2012" t="b">
        <f t="shared" si="600"/>
        <v>1</v>
      </c>
      <c r="Z2012" t="b">
        <f t="shared" si="601"/>
        <v>0</v>
      </c>
      <c r="AB2012" t="str">
        <f t="shared" si="602"/>
        <v/>
      </c>
      <c r="AE2012" t="b">
        <v>0</v>
      </c>
    </row>
    <row r="2013" spans="1:31" x14ac:dyDescent="0.2">
      <c r="A2013" t="str">
        <f t="shared" si="589"/>
        <v>https://shop.officineitalianezard.it/en/products/index/zard-headers-kit-for-aprilia-dorsoduro-7402-98/</v>
      </c>
      <c r="B2013" t="b">
        <f>COUNTIF($A$2:$A2013, A2013)&gt;1</f>
        <v>0</v>
      </c>
      <c r="C2013" t="b">
        <f t="shared" si="590"/>
        <v>0</v>
      </c>
      <c r="D2013">
        <f>VLOOKUP(A2013,variant_counts!A:B, 2, FALSE)</f>
        <v>1</v>
      </c>
      <c r="E2013" t="str">
        <f t="shared" si="603"/>
        <v>zard-exhaust-headers-kit-aprilia-dorsoduro-750-steel-version-za130scr</v>
      </c>
      <c r="F2013" t="str">
        <f t="shared" si="591"/>
        <v>ZARD EXHAUST HEADERS KIT APRILIA DORSODURO 750 STEEL VERSION ZA130SCR</v>
      </c>
      <c r="G2013" t="str">
        <f t="shared" si="592"/>
        <v>&lt;p&gt;STEEL HEADER KIT RACING&lt;/p&gt;
&lt;p&gt;&lt;br&gt;ORIGINAL HEADER KIT WEIGHT: KG 2.5&lt;br&gt;ZARD HEADER KIT WEIGHT: KG 1.38&lt;/p&gt;
&lt;p&gt;HARD INCREASE, COMPARED TO THE ORIGINAL EXHAUST SYSTEM, IN TERMS OF TORQUE AND POWER AT ANY RANGE&lt;/p&gt;</v>
      </c>
      <c r="H2013" t="str">
        <f t="shared" si="604"/>
        <v>ZARD</v>
      </c>
      <c r="I2013" t="str">
        <f t="shared" si="605"/>
        <v>Exhaust Pipe</v>
      </c>
      <c r="J2013" t="str">
        <f t="shared" si="606"/>
        <v>Test</v>
      </c>
      <c r="K2013" t="b">
        <f t="shared" si="607"/>
        <v>0</v>
      </c>
      <c r="L2013" t="str">
        <f t="shared" si="593"/>
        <v>Option</v>
      </c>
      <c r="M2013" t="str">
        <f t="shared" si="594"/>
        <v>DEFAULT</v>
      </c>
      <c r="R2013" t="str">
        <f t="shared" si="595"/>
        <v>ZA130SCR</v>
      </c>
      <c r="S2013">
        <f t="shared" si="596"/>
        <v>0</v>
      </c>
      <c r="U2013" t="str">
        <f t="shared" si="597"/>
        <v>continue</v>
      </c>
      <c r="V2013" t="str">
        <f t="shared" si="598"/>
        <v>manual</v>
      </c>
      <c r="W2013" s="5">
        <f t="shared" si="599"/>
        <v>298.42350000000005</v>
      </c>
      <c r="Y2013" t="b">
        <f t="shared" si="600"/>
        <v>1</v>
      </c>
      <c r="Z2013" t="b">
        <f t="shared" si="601"/>
        <v>0</v>
      </c>
      <c r="AB2013" t="str">
        <f t="shared" si="602"/>
        <v>https://shop.officineitalianezard.it/contents/imgs/products/1_631-aprilia-dorsoduro.jpg</v>
      </c>
      <c r="AE2013" t="b">
        <v>0</v>
      </c>
    </row>
    <row r="2014" spans="1:31" x14ac:dyDescent="0.2">
      <c r="A2014" t="str">
        <f t="shared" si="589"/>
        <v>https://shop.officineitalianezard.it/en/products/index/zard-headers-kit-for-aprilia-dorsoduro-7402-98/</v>
      </c>
      <c r="B2014" t="b">
        <f>COUNTIF($A$2:$A2014, A2014)&gt;1</f>
        <v>1</v>
      </c>
      <c r="C2014" t="b">
        <f t="shared" si="590"/>
        <v>1</v>
      </c>
      <c r="D2014">
        <f>VLOOKUP(A2014,variant_counts!A:B, 2, FALSE)</f>
        <v>1</v>
      </c>
      <c r="E2014" t="str">
        <f t="shared" si="603"/>
        <v>zard-exhaust-headers-kit-aprilia-dorsoduro-750-steel-version-za130scr</v>
      </c>
      <c r="F2014" t="str">
        <f t="shared" si="591"/>
        <v>ZARD EXHAUST HEADERS KIT APRILIA DORSODURO 750 STEEL VERSION ZA130SCR</v>
      </c>
      <c r="G2014" t="str">
        <f t="shared" si="592"/>
        <v/>
      </c>
      <c r="H2014" t="str">
        <f t="shared" si="604"/>
        <v/>
      </c>
      <c r="I2014" t="str">
        <f t="shared" si="605"/>
        <v/>
      </c>
      <c r="J2014" t="str">
        <f t="shared" si="606"/>
        <v/>
      </c>
      <c r="K2014" t="str">
        <f t="shared" si="607"/>
        <v/>
      </c>
      <c r="L2014" t="str">
        <f t="shared" si="593"/>
        <v>Option</v>
      </c>
      <c r="M2014" t="str">
        <f t="shared" si="594"/>
        <v>BLACK CERAMIC COATING</v>
      </c>
      <c r="R2014" t="str">
        <f t="shared" si="595"/>
        <v>ZA130SCR</v>
      </c>
      <c r="S2014">
        <f t="shared" si="596"/>
        <v>0</v>
      </c>
      <c r="U2014" t="str">
        <f t="shared" si="597"/>
        <v>continue</v>
      </c>
      <c r="V2014" t="str">
        <f t="shared" si="598"/>
        <v>manual</v>
      </c>
      <c r="W2014" s="5">
        <f t="shared" si="599"/>
        <v>435.17550000000006</v>
      </c>
      <c r="Y2014" t="b">
        <f t="shared" si="600"/>
        <v>1</v>
      </c>
      <c r="Z2014" t="b">
        <f t="shared" si="601"/>
        <v>0</v>
      </c>
      <c r="AB2014" t="str">
        <f t="shared" si="602"/>
        <v/>
      </c>
      <c r="AE2014" t="b">
        <v>0</v>
      </c>
    </row>
    <row r="2015" spans="1:31" x14ac:dyDescent="0.2">
      <c r="A2015" t="str">
        <f t="shared" si="589"/>
        <v>https://shop.officineitalianezard.it/en/zard-silencers-aprilia-dorsoduro/</v>
      </c>
      <c r="B2015" t="b">
        <f>COUNTIF($A$2:$A2015, A2015)&gt;1</f>
        <v>0</v>
      </c>
      <c r="C2015" t="b">
        <f t="shared" si="590"/>
        <v>0</v>
      </c>
      <c r="D2015">
        <f>VLOOKUP(A2015,variant_counts!A:B, 2, FALSE)</f>
        <v>5</v>
      </c>
      <c r="E2015" t="str">
        <f t="shared" si="603"/>
        <v>zard-exhaust-silencers-aprilia-dorsoduro-750-penta-version-za130ssr-as</v>
      </c>
      <c r="F2015" t="str">
        <f t="shared" si="591"/>
        <v>ZARD EXHAUST SILENCERS APRILIA DORSODURO 750 PENTA VERSION ZA130SSR-AS</v>
      </c>
      <c r="G2015" t="str">
        <f t="shared" si="592"/>
        <v>&lt;p&gt;N.2 STEEL-ALUMINIUM SILVER SILENCERS RACING WITH REMOVABLE DB KILLER&lt;/p&gt;
&lt;p&gt;ORIGINAL SILENCERS WEIGHT: KG 10&lt;br&gt;ZARD CARBON SILENCERS WEIGHT: KG 3.7&lt;br&gt;ZARD ALUMINIUM SILENCERS WEIGHT: KG 3.3&lt;/p&gt;
&lt;p&gt;&lt;br&gt;HARD INCREASE, COMPARED TO THE ORIGINAL EXHAUST SYSTEM, IN TERMS OF TORQUE AND POWER AT ANY RANGE&lt;/p&gt;
&lt;p&gt;ASTONISHING SOUND&lt;/p&gt;</v>
      </c>
      <c r="H2015" t="str">
        <f t="shared" si="604"/>
        <v>ZARD</v>
      </c>
      <c r="I2015" t="str">
        <f t="shared" si="605"/>
        <v>Exhaust Pipe</v>
      </c>
      <c r="J2015" t="str">
        <f t="shared" si="606"/>
        <v>Test</v>
      </c>
      <c r="K2015" t="b">
        <f t="shared" si="607"/>
        <v>0</v>
      </c>
      <c r="L2015" t="str">
        <f t="shared" si="593"/>
        <v/>
      </c>
      <c r="M2015" t="str">
        <f t="shared" si="594"/>
        <v/>
      </c>
      <c r="R2015" t="str">
        <f t="shared" si="595"/>
        <v/>
      </c>
      <c r="S2015" t="str">
        <f t="shared" si="596"/>
        <v/>
      </c>
      <c r="U2015" t="str">
        <f t="shared" si="597"/>
        <v/>
      </c>
      <c r="V2015" t="str">
        <f t="shared" si="598"/>
        <v/>
      </c>
      <c r="W2015" s="5" t="str">
        <f t="shared" si="599"/>
        <v/>
      </c>
      <c r="Y2015" t="str">
        <f t="shared" si="600"/>
        <v/>
      </c>
      <c r="Z2015" t="str">
        <f t="shared" si="601"/>
        <v/>
      </c>
      <c r="AB2015" t="str">
        <f t="shared" si="602"/>
        <v>https://shop.officineitalianezard.it/contents/imgs/products/1_715-2_630-aprilia-dorsoduro.jpg</v>
      </c>
      <c r="AE2015" t="b">
        <v>0</v>
      </c>
    </row>
    <row r="2016" spans="1:31" x14ac:dyDescent="0.2">
      <c r="A2016" t="str">
        <f t="shared" si="589"/>
        <v>https://shop.officineitalianezard.it/en/zard-silencers-aprilia-dorsoduro/</v>
      </c>
      <c r="B2016" t="b">
        <f>COUNTIF($A$2:$A2016, A2016)&gt;1</f>
        <v>1</v>
      </c>
      <c r="C2016" t="b">
        <f t="shared" si="590"/>
        <v>1</v>
      </c>
      <c r="D2016">
        <f>VLOOKUP(A2016,variant_counts!A:B, 2, FALSE)</f>
        <v>5</v>
      </c>
      <c r="E2016" t="str">
        <f t="shared" si="603"/>
        <v>zard-exhaust-silencers-aprilia-dorsoduro-750-penta-version-za130ssr-as</v>
      </c>
      <c r="F2016" t="str">
        <f t="shared" si="591"/>
        <v>ZARD EXHAUST SILENCERS APRILIA DORSODURO 750 PENTA VERSION ZA130SSR-AS</v>
      </c>
      <c r="G2016" t="str">
        <f t="shared" si="592"/>
        <v/>
      </c>
      <c r="H2016" t="str">
        <f t="shared" si="604"/>
        <v/>
      </c>
      <c r="I2016" t="str">
        <f t="shared" si="605"/>
        <v/>
      </c>
      <c r="J2016" t="str">
        <f t="shared" si="606"/>
        <v/>
      </c>
      <c r="K2016" t="str">
        <f t="shared" si="607"/>
        <v/>
      </c>
      <c r="L2016" t="str">
        <f t="shared" si="593"/>
        <v>Option</v>
      </c>
      <c r="M2016" t="str">
        <f t="shared" si="594"/>
        <v>SILVER SILENCERS HOMOLOGATED</v>
      </c>
      <c r="R2016" t="str">
        <f t="shared" si="595"/>
        <v>ZA130SSR-AS</v>
      </c>
      <c r="S2016">
        <f t="shared" si="596"/>
        <v>0</v>
      </c>
      <c r="U2016" t="str">
        <f t="shared" si="597"/>
        <v>continue</v>
      </c>
      <c r="V2016" t="str">
        <f t="shared" si="598"/>
        <v>manual</v>
      </c>
      <c r="W2016" s="5">
        <f t="shared" si="599"/>
        <v>943.31130000000007</v>
      </c>
      <c r="Y2016" t="b">
        <f t="shared" si="600"/>
        <v>1</v>
      </c>
      <c r="Z2016" t="b">
        <f t="shared" si="601"/>
        <v>0</v>
      </c>
      <c r="AB2016" t="str">
        <f t="shared" si="602"/>
        <v/>
      </c>
      <c r="AE2016" t="b">
        <v>0</v>
      </c>
    </row>
    <row r="2017" spans="1:31" x14ac:dyDescent="0.2">
      <c r="A2017" t="str">
        <f t="shared" si="589"/>
        <v>https://shop.officineitalianezard.it/en/zard-silencers-aprilia-dorsoduro/</v>
      </c>
      <c r="B2017" t="b">
        <f>COUNTIF($A$2:$A2017, A2017)&gt;1</f>
        <v>1</v>
      </c>
      <c r="C2017" t="b">
        <f t="shared" si="590"/>
        <v>1</v>
      </c>
      <c r="D2017">
        <f>VLOOKUP(A2017,variant_counts!A:B, 2, FALSE)</f>
        <v>5</v>
      </c>
      <c r="E2017" t="str">
        <f t="shared" si="603"/>
        <v>zard-exhaust-silencers-aprilia-dorsoduro-750-penta-version-za130ssr-as</v>
      </c>
      <c r="F2017" t="str">
        <f t="shared" si="591"/>
        <v>ZARD EXHAUST SILENCERS APRILIA DORSODURO 750 PENTA VERSION ZA130SSR-AS</v>
      </c>
      <c r="G2017" t="str">
        <f t="shared" si="592"/>
        <v/>
      </c>
      <c r="H2017" t="str">
        <f t="shared" si="604"/>
        <v/>
      </c>
      <c r="I2017" t="str">
        <f t="shared" si="605"/>
        <v/>
      </c>
      <c r="J2017" t="str">
        <f t="shared" si="606"/>
        <v/>
      </c>
      <c r="K2017" t="str">
        <f t="shared" si="607"/>
        <v/>
      </c>
      <c r="L2017" t="str">
        <f t="shared" si="593"/>
        <v>Option</v>
      </c>
      <c r="M2017" t="str">
        <f t="shared" si="594"/>
        <v>BLACK SILENCERS HOMOLOGATED</v>
      </c>
      <c r="R2017" t="str">
        <f t="shared" si="595"/>
        <v>ZA130SSR-AS</v>
      </c>
      <c r="S2017">
        <f t="shared" si="596"/>
        <v>0</v>
      </c>
      <c r="U2017" t="str">
        <f t="shared" si="597"/>
        <v>continue</v>
      </c>
      <c r="V2017" t="str">
        <f t="shared" si="598"/>
        <v>manual</v>
      </c>
      <c r="W2017" s="5">
        <f t="shared" si="599"/>
        <v>976.06740000000013</v>
      </c>
      <c r="Y2017" t="b">
        <f t="shared" si="600"/>
        <v>1</v>
      </c>
      <c r="Z2017" t="b">
        <f t="shared" si="601"/>
        <v>0</v>
      </c>
      <c r="AB2017" t="str">
        <f t="shared" si="602"/>
        <v/>
      </c>
      <c r="AE2017" t="b">
        <v>0</v>
      </c>
    </row>
    <row r="2018" spans="1:31" x14ac:dyDescent="0.2">
      <c r="A2018" t="str">
        <f t="shared" si="589"/>
        <v>https://shop.officineitalianezard.it/en/zard-silencers-aprilia-dorsoduro/</v>
      </c>
      <c r="B2018" t="b">
        <f>COUNTIF($A$2:$A2018, A2018)&gt;1</f>
        <v>1</v>
      </c>
      <c r="C2018" t="b">
        <f t="shared" si="590"/>
        <v>1</v>
      </c>
      <c r="D2018">
        <f>VLOOKUP(A2018,variant_counts!A:B, 2, FALSE)</f>
        <v>5</v>
      </c>
      <c r="E2018" t="str">
        <f t="shared" si="603"/>
        <v>zard-exhaust-silencers-aprilia-dorsoduro-750-penta-version-za130ssr-as</v>
      </c>
      <c r="F2018" t="str">
        <f t="shared" si="591"/>
        <v>ZARD EXHAUST SILENCERS APRILIA DORSODURO 750 PENTA VERSION ZA130SSR-AS</v>
      </c>
      <c r="G2018" t="str">
        <f t="shared" si="592"/>
        <v/>
      </c>
      <c r="H2018" t="str">
        <f t="shared" si="604"/>
        <v/>
      </c>
      <c r="I2018" t="str">
        <f t="shared" si="605"/>
        <v/>
      </c>
      <c r="J2018" t="str">
        <f t="shared" si="606"/>
        <v/>
      </c>
      <c r="K2018" t="str">
        <f t="shared" si="607"/>
        <v/>
      </c>
      <c r="L2018" t="str">
        <f t="shared" si="593"/>
        <v>Option</v>
      </c>
      <c r="M2018" t="str">
        <f t="shared" si="594"/>
        <v>BLACK SILENCERS RACING</v>
      </c>
      <c r="R2018" t="str">
        <f t="shared" si="595"/>
        <v>ZA130SSR-AS</v>
      </c>
      <c r="S2018">
        <f t="shared" si="596"/>
        <v>0</v>
      </c>
      <c r="U2018" t="str">
        <f t="shared" si="597"/>
        <v>continue</v>
      </c>
      <c r="V2018" t="str">
        <f t="shared" si="598"/>
        <v>manual</v>
      </c>
      <c r="W2018" s="5">
        <f t="shared" si="599"/>
        <v>933.48780000000011</v>
      </c>
      <c r="Y2018" t="b">
        <f t="shared" si="600"/>
        <v>1</v>
      </c>
      <c r="Z2018" t="b">
        <f t="shared" si="601"/>
        <v>0</v>
      </c>
      <c r="AB2018" t="str">
        <f t="shared" si="602"/>
        <v/>
      </c>
      <c r="AE2018" t="b">
        <v>0</v>
      </c>
    </row>
    <row r="2019" spans="1:31" x14ac:dyDescent="0.2">
      <c r="A2019" t="str">
        <f t="shared" si="589"/>
        <v>https://shop.officineitalianezard.it/en/zard-silencers-aprilia-dorsoduro/</v>
      </c>
      <c r="B2019" t="b">
        <f>COUNTIF($A$2:$A2019, A2019)&gt;1</f>
        <v>1</v>
      </c>
      <c r="C2019" t="b">
        <f t="shared" si="590"/>
        <v>1</v>
      </c>
      <c r="D2019">
        <f>VLOOKUP(A2019,variant_counts!A:B, 2, FALSE)</f>
        <v>5</v>
      </c>
      <c r="E2019" t="str">
        <f t="shared" si="603"/>
        <v>zard-exhaust-silencers-aprilia-dorsoduro-750-penta-version-za130ssr-as</v>
      </c>
      <c r="F2019" t="str">
        <f t="shared" si="591"/>
        <v>ZARD EXHAUST SILENCERS APRILIA DORSODURO 750 PENTA VERSION ZA130SSR-AS</v>
      </c>
      <c r="G2019" t="str">
        <f t="shared" si="592"/>
        <v/>
      </c>
      <c r="H2019" t="str">
        <f t="shared" si="604"/>
        <v/>
      </c>
      <c r="I2019" t="str">
        <f t="shared" si="605"/>
        <v/>
      </c>
      <c r="J2019" t="str">
        <f t="shared" si="606"/>
        <v/>
      </c>
      <c r="K2019" t="str">
        <f t="shared" si="607"/>
        <v/>
      </c>
      <c r="L2019" t="str">
        <f t="shared" si="593"/>
        <v>Option</v>
      </c>
      <c r="M2019" t="str">
        <f t="shared" si="594"/>
        <v>CARBON SILENCERS RACING</v>
      </c>
      <c r="R2019" t="str">
        <f t="shared" si="595"/>
        <v>ZA130SSR-AS</v>
      </c>
      <c r="S2019">
        <f t="shared" si="596"/>
        <v>0</v>
      </c>
      <c r="U2019" t="str">
        <f t="shared" si="597"/>
        <v>continue</v>
      </c>
      <c r="V2019" t="str">
        <f t="shared" si="598"/>
        <v>manual</v>
      </c>
      <c r="W2019" s="5">
        <f t="shared" si="599"/>
        <v>996.54690000000005</v>
      </c>
      <c r="Y2019" t="b">
        <f t="shared" si="600"/>
        <v>1</v>
      </c>
      <c r="Z2019" t="b">
        <f t="shared" si="601"/>
        <v>0</v>
      </c>
      <c r="AB2019" t="str">
        <f t="shared" si="602"/>
        <v/>
      </c>
      <c r="AE2019" t="b">
        <v>0</v>
      </c>
    </row>
    <row r="2020" spans="1:31" x14ac:dyDescent="0.2">
      <c r="A2020" t="str">
        <f t="shared" si="589"/>
        <v>https://shop.officineitalianezard.it/en/zard-silencers-aprilia-dorsoduro/</v>
      </c>
      <c r="B2020" t="b">
        <f>COUNTIF($A$2:$A2020, A2020)&gt;1</f>
        <v>1</v>
      </c>
      <c r="C2020" t="b">
        <f t="shared" si="590"/>
        <v>1</v>
      </c>
      <c r="D2020">
        <f>VLOOKUP(A2020,variant_counts!A:B, 2, FALSE)</f>
        <v>5</v>
      </c>
      <c r="E2020" t="str">
        <f t="shared" si="603"/>
        <v>zard-exhaust-silencers-aprilia-dorsoduro-750-penta-version-za130ssr-as</v>
      </c>
      <c r="F2020" t="str">
        <f t="shared" si="591"/>
        <v>ZARD EXHAUST SILENCERS APRILIA DORSODURO 750 PENTA VERSION ZA130SSR-AS</v>
      </c>
      <c r="G2020" t="str">
        <f t="shared" si="592"/>
        <v/>
      </c>
      <c r="H2020" t="str">
        <f t="shared" si="604"/>
        <v/>
      </c>
      <c r="I2020" t="str">
        <f t="shared" si="605"/>
        <v/>
      </c>
      <c r="J2020" t="str">
        <f t="shared" si="606"/>
        <v/>
      </c>
      <c r="K2020" t="str">
        <f t="shared" si="607"/>
        <v/>
      </c>
      <c r="L2020" t="str">
        <f t="shared" si="593"/>
        <v>Option</v>
      </c>
      <c r="M2020" t="str">
        <f t="shared" si="594"/>
        <v>CARBON 'PENTA' ENDCAP</v>
      </c>
      <c r="R2020" t="str">
        <f t="shared" si="595"/>
        <v>ZA130SSR-AS</v>
      </c>
      <c r="S2020">
        <f t="shared" si="596"/>
        <v>0</v>
      </c>
      <c r="U2020" t="str">
        <f t="shared" si="597"/>
        <v>continue</v>
      </c>
      <c r="V2020" t="str">
        <f t="shared" si="598"/>
        <v>manual</v>
      </c>
      <c r="W2020" s="5">
        <f t="shared" si="599"/>
        <v>967.88670000000013</v>
      </c>
      <c r="Y2020" t="b">
        <f t="shared" si="600"/>
        <v>1</v>
      </c>
      <c r="Z2020" t="b">
        <f t="shared" si="601"/>
        <v>0</v>
      </c>
      <c r="AB2020" t="str">
        <f t="shared" si="602"/>
        <v/>
      </c>
      <c r="AE2020" t="b">
        <v>0</v>
      </c>
    </row>
  </sheetData>
  <autoFilter ref="B1:AX23" xr:uid="{F7A43281-6F27-DB47-B5D2-CF8488D8528E}"/>
  <dataConsolidate/>
  <conditionalFormatting sqref="G2:K1048576">
    <cfRule type="expression" dxfId="3" priority="3">
      <formula>AND($B2=TRUE, G2 &lt;&gt; "")</formula>
    </cfRule>
  </conditionalFormatting>
  <conditionalFormatting sqref="A2:A1048576">
    <cfRule type="expression" dxfId="2" priority="2">
      <formula>$C2=TRUE</formula>
    </cfRule>
    <cfRule type="expression" dxfId="1" priority="4">
      <formula>$B2=FALSE</formula>
    </cfRule>
  </conditionalFormatting>
  <conditionalFormatting sqref="E2:E1048576">
    <cfRule type="expression" dxfId="0" priority="1">
      <formula>COUNTIF($E$2:E2,E2)=1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2020"/>
  <sheetViews>
    <sheetView workbookViewId="0">
      <pane ySplit="1" topLeftCell="A2" activePane="bottomLeft" state="frozen"/>
      <selection pane="bottomLeft" activeCell="A2" sqref="A2:A15"/>
    </sheetView>
  </sheetViews>
  <sheetFormatPr baseColWidth="10" defaultRowHeight="16" x14ac:dyDescent="0.2"/>
  <cols>
    <col min="1" max="1" width="19" style="8" bestFit="1" customWidth="1"/>
    <col min="2" max="3" width="19" style="8" customWidth="1"/>
    <col min="4" max="4" width="41.6640625" style="8" bestFit="1" customWidth="1"/>
    <col min="5" max="5" width="11.83203125" style="8" bestFit="1" customWidth="1"/>
    <col min="6" max="6" width="59.33203125" style="8" bestFit="1" customWidth="1"/>
    <col min="7" max="7" width="42.5" style="8" bestFit="1" customWidth="1"/>
    <col min="8" max="8" width="79.83203125" style="8" bestFit="1" customWidth="1"/>
    <col min="9" max="9" width="43.5" style="8" bestFit="1" customWidth="1"/>
    <col min="10" max="10" width="108.83203125" style="8" bestFit="1" customWidth="1"/>
    <col min="11" max="11" width="37.5" style="8" bestFit="1" customWidth="1"/>
    <col min="12" max="12" width="28.33203125" style="8" bestFit="1" customWidth="1"/>
    <col min="13" max="13" width="14.33203125" style="8" bestFit="1" customWidth="1"/>
    <col min="14" max="14" width="42.5" style="8" bestFit="1" customWidth="1"/>
    <col min="15" max="15" width="14.1640625" style="8" bestFit="1" customWidth="1"/>
    <col min="16" max="16" width="14.5" style="8" bestFit="1" customWidth="1"/>
    <col min="17" max="17" width="255.83203125" style="8" bestFit="1" customWidth="1"/>
    <col min="18" max="18" width="163.83203125" style="8" bestFit="1" customWidth="1"/>
    <col min="19" max="19" width="45.1640625" style="8" bestFit="1" customWidth="1"/>
    <col min="20" max="20" width="13.5" style="8" bestFit="1" customWidth="1"/>
    <col min="21" max="16384" width="10.83203125" style="8"/>
  </cols>
  <sheetData>
    <row r="1" spans="1:20" s="9" customFormat="1" x14ac:dyDescent="0.2">
      <c r="A1" s="9" t="s">
        <v>48</v>
      </c>
      <c r="B1" s="9" t="s">
        <v>4811</v>
      </c>
      <c r="C1" s="9" t="s">
        <v>4812</v>
      </c>
      <c r="D1" s="9" t="s">
        <v>49</v>
      </c>
      <c r="E1" s="9" t="s">
        <v>2767</v>
      </c>
      <c r="F1" s="9" t="s">
        <v>2768</v>
      </c>
      <c r="G1" s="9" t="s">
        <v>2769</v>
      </c>
      <c r="H1" s="9" t="s">
        <v>2770</v>
      </c>
      <c r="I1" s="9" t="s">
        <v>2771</v>
      </c>
      <c r="J1" s="9" t="s">
        <v>2772</v>
      </c>
      <c r="K1" s="9" t="s">
        <v>51</v>
      </c>
      <c r="L1" s="9" t="s">
        <v>52</v>
      </c>
      <c r="M1" s="9" t="s">
        <v>117</v>
      </c>
      <c r="N1" s="9" t="s">
        <v>118</v>
      </c>
      <c r="O1" s="9" t="s">
        <v>2490</v>
      </c>
      <c r="P1" s="9" t="s">
        <v>2491</v>
      </c>
      <c r="Q1" s="9" t="s">
        <v>53</v>
      </c>
      <c r="R1" s="9" t="s">
        <v>50</v>
      </c>
      <c r="S1" s="9" t="s">
        <v>103</v>
      </c>
      <c r="T1" s="9" t="s">
        <v>104</v>
      </c>
    </row>
    <row r="2" spans="1:20" x14ac:dyDescent="0.2">
      <c r="A2" s="8" t="s">
        <v>4389</v>
      </c>
      <c r="B2" s="8" t="str">
        <f t="shared" ref="B2:B65" si="0">LEFT(A2, FIND("-", A2) - 1)</f>
        <v>1586243660</v>
      </c>
      <c r="C2" s="8" t="str">
        <f t="shared" ref="C2:C65" si="1">RIGHT(A2, LEN(A2) - FIND("-", A2))</f>
        <v>37</v>
      </c>
      <c r="D2" s="8" t="s">
        <v>119</v>
      </c>
      <c r="F2" s="8" t="s">
        <v>178</v>
      </c>
      <c r="G2" s="8" t="s">
        <v>322</v>
      </c>
      <c r="H2" s="8" t="s">
        <v>323</v>
      </c>
      <c r="I2" s="8" t="s">
        <v>250</v>
      </c>
      <c r="J2" s="8" t="s">
        <v>324</v>
      </c>
      <c r="K2" s="8" t="s">
        <v>54</v>
      </c>
      <c r="L2" s="8" t="s">
        <v>325</v>
      </c>
      <c r="M2" s="8" t="s">
        <v>2808</v>
      </c>
      <c r="N2" s="8" t="s">
        <v>322</v>
      </c>
      <c r="O2" s="8">
        <v>698.61</v>
      </c>
      <c r="P2" s="8">
        <v>776.23</v>
      </c>
      <c r="Q2" s="8" t="s">
        <v>2492</v>
      </c>
      <c r="R2" s="8" t="s">
        <v>1574</v>
      </c>
    </row>
    <row r="3" spans="1:20" x14ac:dyDescent="0.2">
      <c r="A3" s="8" t="s">
        <v>3210</v>
      </c>
      <c r="B3" s="8" t="str">
        <f t="shared" si="0"/>
        <v>1586243660</v>
      </c>
      <c r="C3" s="8" t="str">
        <f t="shared" si="1"/>
        <v>38</v>
      </c>
      <c r="D3" s="8" t="s">
        <v>119</v>
      </c>
      <c r="F3" s="8" t="s">
        <v>178</v>
      </c>
      <c r="G3" s="8" t="s">
        <v>322</v>
      </c>
      <c r="H3" s="8" t="s">
        <v>323</v>
      </c>
      <c r="I3" s="8" t="s">
        <v>250</v>
      </c>
      <c r="J3" s="8" t="s">
        <v>324</v>
      </c>
      <c r="K3" s="8" t="s">
        <v>54</v>
      </c>
      <c r="L3" s="8" t="s">
        <v>325</v>
      </c>
      <c r="M3" s="8" t="s">
        <v>2808</v>
      </c>
      <c r="N3" s="8" t="s">
        <v>322</v>
      </c>
      <c r="O3" s="8">
        <v>698.61</v>
      </c>
      <c r="P3" s="8">
        <v>776.23</v>
      </c>
      <c r="Q3" s="8" t="s">
        <v>2492</v>
      </c>
      <c r="R3" s="8" t="s">
        <v>2441</v>
      </c>
    </row>
    <row r="4" spans="1:20" x14ac:dyDescent="0.2">
      <c r="A4" s="8" t="s">
        <v>3479</v>
      </c>
      <c r="B4" s="8" t="str">
        <f t="shared" si="0"/>
        <v>1586243660</v>
      </c>
      <c r="C4" s="8" t="str">
        <f t="shared" si="1"/>
        <v>39</v>
      </c>
      <c r="D4" s="8" t="s">
        <v>119</v>
      </c>
      <c r="F4" s="8" t="s">
        <v>178</v>
      </c>
      <c r="G4" s="8" t="s">
        <v>322</v>
      </c>
      <c r="H4" s="8" t="s">
        <v>323</v>
      </c>
      <c r="I4" s="8" t="s">
        <v>250</v>
      </c>
      <c r="J4" s="8" t="s">
        <v>324</v>
      </c>
      <c r="K4" s="8" t="s">
        <v>54</v>
      </c>
      <c r="L4" s="8" t="s">
        <v>325</v>
      </c>
      <c r="M4" s="8" t="s">
        <v>2808</v>
      </c>
      <c r="N4" s="8" t="s">
        <v>322</v>
      </c>
      <c r="O4" s="8">
        <v>698.61</v>
      </c>
      <c r="P4" s="8">
        <v>776.23</v>
      </c>
      <c r="Q4" s="8" t="s">
        <v>2492</v>
      </c>
      <c r="R4" s="8" t="s">
        <v>1671</v>
      </c>
    </row>
    <row r="5" spans="1:20" x14ac:dyDescent="0.2">
      <c r="A5" s="8" t="s">
        <v>4558</v>
      </c>
      <c r="B5" s="8" t="str">
        <f t="shared" si="0"/>
        <v>1586243660</v>
      </c>
      <c r="C5" s="8" t="str">
        <f t="shared" si="1"/>
        <v>40</v>
      </c>
      <c r="D5" s="8" t="s">
        <v>119</v>
      </c>
      <c r="F5" s="8" t="s">
        <v>178</v>
      </c>
      <c r="G5" s="8" t="s">
        <v>322</v>
      </c>
      <c r="H5" s="8" t="s">
        <v>323</v>
      </c>
      <c r="I5" s="8" t="s">
        <v>250</v>
      </c>
      <c r="J5" s="8" t="s">
        <v>324</v>
      </c>
      <c r="K5" s="8" t="s">
        <v>54</v>
      </c>
      <c r="L5" s="8" t="s">
        <v>325</v>
      </c>
      <c r="M5" s="8" t="s">
        <v>2808</v>
      </c>
      <c r="N5" s="8" t="s">
        <v>322</v>
      </c>
      <c r="O5" s="8">
        <v>698.61</v>
      </c>
      <c r="P5" s="8">
        <v>776.23</v>
      </c>
      <c r="Q5" s="8" t="s">
        <v>2492</v>
      </c>
      <c r="R5" s="8" t="s">
        <v>1626</v>
      </c>
    </row>
    <row r="6" spans="1:20" x14ac:dyDescent="0.2">
      <c r="A6" s="8" t="s">
        <v>4164</v>
      </c>
      <c r="B6" s="8" t="str">
        <f t="shared" si="0"/>
        <v>1586243660</v>
      </c>
      <c r="C6" s="8" t="str">
        <f t="shared" si="1"/>
        <v>41</v>
      </c>
      <c r="D6" s="8" t="s">
        <v>119</v>
      </c>
      <c r="F6" s="8" t="s">
        <v>178</v>
      </c>
      <c r="G6" s="8" t="s">
        <v>322</v>
      </c>
      <c r="H6" s="8" t="s">
        <v>323</v>
      </c>
      <c r="I6" s="8" t="s">
        <v>250</v>
      </c>
      <c r="J6" s="8" t="s">
        <v>324</v>
      </c>
      <c r="K6" s="8" t="s">
        <v>54</v>
      </c>
      <c r="L6" s="8" t="s">
        <v>325</v>
      </c>
      <c r="M6" s="8" t="s">
        <v>2808</v>
      </c>
      <c r="N6" s="8" t="s">
        <v>322</v>
      </c>
      <c r="O6" s="8">
        <v>698.61</v>
      </c>
      <c r="P6" s="8">
        <v>776.23</v>
      </c>
      <c r="Q6" s="8" t="s">
        <v>2492</v>
      </c>
      <c r="R6" s="8" t="s">
        <v>1658</v>
      </c>
    </row>
    <row r="7" spans="1:20" x14ac:dyDescent="0.2">
      <c r="A7" s="8" t="s">
        <v>3965</v>
      </c>
      <c r="B7" s="8" t="str">
        <f t="shared" si="0"/>
        <v>1586243660</v>
      </c>
      <c r="C7" s="8" t="str">
        <f t="shared" si="1"/>
        <v>42</v>
      </c>
      <c r="D7" s="8" t="s">
        <v>119</v>
      </c>
      <c r="F7" s="8" t="s">
        <v>178</v>
      </c>
      <c r="G7" s="8" t="s">
        <v>322</v>
      </c>
      <c r="H7" s="8" t="s">
        <v>323</v>
      </c>
      <c r="I7" s="8" t="s">
        <v>250</v>
      </c>
      <c r="J7" s="8" t="s">
        <v>324</v>
      </c>
      <c r="K7" s="8" t="s">
        <v>54</v>
      </c>
      <c r="L7" s="8" t="s">
        <v>325</v>
      </c>
      <c r="M7" s="8" t="s">
        <v>2808</v>
      </c>
      <c r="N7" s="8" t="s">
        <v>322</v>
      </c>
      <c r="O7" s="8">
        <v>698.61</v>
      </c>
      <c r="P7" s="8">
        <v>776.23</v>
      </c>
      <c r="Q7" s="8" t="s">
        <v>2492</v>
      </c>
      <c r="S7" s="8" t="s">
        <v>184</v>
      </c>
      <c r="T7" s="8">
        <v>169.67</v>
      </c>
    </row>
    <row r="8" spans="1:20" x14ac:dyDescent="0.2">
      <c r="A8" s="8" t="s">
        <v>4129</v>
      </c>
      <c r="B8" s="8" t="str">
        <f t="shared" si="0"/>
        <v>1586243660</v>
      </c>
      <c r="C8" s="8" t="str">
        <f t="shared" si="1"/>
        <v>43</v>
      </c>
      <c r="D8" s="8" t="s">
        <v>119</v>
      </c>
      <c r="F8" s="8" t="s">
        <v>178</v>
      </c>
      <c r="G8" s="8" t="s">
        <v>322</v>
      </c>
      <c r="H8" s="8" t="s">
        <v>323</v>
      </c>
      <c r="I8" s="8" t="s">
        <v>250</v>
      </c>
      <c r="J8" s="8" t="s">
        <v>324</v>
      </c>
      <c r="K8" s="8" t="s">
        <v>54</v>
      </c>
      <c r="L8" s="8" t="s">
        <v>325</v>
      </c>
      <c r="M8" s="8" t="s">
        <v>2808</v>
      </c>
      <c r="N8" s="8" t="s">
        <v>322</v>
      </c>
      <c r="O8" s="8">
        <v>698.61</v>
      </c>
      <c r="P8" s="8">
        <v>776.23</v>
      </c>
      <c r="Q8" s="8" t="s">
        <v>2492</v>
      </c>
      <c r="S8" s="8" t="s">
        <v>109</v>
      </c>
      <c r="T8" s="8">
        <v>37.619999999999997</v>
      </c>
    </row>
    <row r="9" spans="1:20" x14ac:dyDescent="0.2">
      <c r="A9" s="8" t="s">
        <v>3582</v>
      </c>
      <c r="B9" s="8" t="str">
        <f t="shared" si="0"/>
        <v>1586243660</v>
      </c>
      <c r="C9" s="8" t="str">
        <f t="shared" si="1"/>
        <v>44</v>
      </c>
      <c r="D9" s="8" t="s">
        <v>119</v>
      </c>
      <c r="F9" s="8" t="s">
        <v>178</v>
      </c>
      <c r="G9" s="8" t="s">
        <v>322</v>
      </c>
      <c r="H9" s="8" t="s">
        <v>323</v>
      </c>
      <c r="I9" s="8" t="s">
        <v>250</v>
      </c>
      <c r="J9" s="8" t="s">
        <v>324</v>
      </c>
      <c r="K9" s="8" t="s">
        <v>54</v>
      </c>
      <c r="L9" s="8" t="s">
        <v>325</v>
      </c>
      <c r="M9" s="8" t="s">
        <v>2808</v>
      </c>
      <c r="N9" s="8" t="s">
        <v>322</v>
      </c>
      <c r="O9" s="8">
        <v>698.61</v>
      </c>
      <c r="P9" s="8">
        <v>776.23</v>
      </c>
      <c r="Q9" s="8" t="s">
        <v>2492</v>
      </c>
      <c r="S9" s="8" t="s">
        <v>1072</v>
      </c>
      <c r="T9" s="8">
        <v>61.97</v>
      </c>
    </row>
    <row r="10" spans="1:20" x14ac:dyDescent="0.2">
      <c r="A10" s="8" t="s">
        <v>2816</v>
      </c>
      <c r="B10" s="8" t="str">
        <f t="shared" si="0"/>
        <v>1586243662</v>
      </c>
      <c r="C10" s="8" t="str">
        <f t="shared" si="1"/>
        <v>45</v>
      </c>
      <c r="D10" s="8" t="s">
        <v>119</v>
      </c>
      <c r="F10" s="8" t="s">
        <v>178</v>
      </c>
      <c r="G10" s="8" t="s">
        <v>322</v>
      </c>
      <c r="H10" s="8" t="s">
        <v>323</v>
      </c>
      <c r="I10" s="8" t="s">
        <v>250</v>
      </c>
      <c r="J10" s="8" t="s">
        <v>795</v>
      </c>
      <c r="K10" s="8" t="s">
        <v>54</v>
      </c>
      <c r="L10" s="8" t="s">
        <v>796</v>
      </c>
      <c r="M10" s="8" t="s">
        <v>2808</v>
      </c>
      <c r="N10" s="8" t="s">
        <v>322</v>
      </c>
      <c r="O10" s="8">
        <v>809.26</v>
      </c>
      <c r="P10" s="8">
        <v>899.18</v>
      </c>
      <c r="Q10" s="8" t="s">
        <v>2493</v>
      </c>
      <c r="R10" s="8" t="s">
        <v>1432</v>
      </c>
    </row>
    <row r="11" spans="1:20" x14ac:dyDescent="0.2">
      <c r="A11" s="8" t="s">
        <v>3544</v>
      </c>
      <c r="B11" s="8" t="str">
        <f t="shared" si="0"/>
        <v>1586243662</v>
      </c>
      <c r="C11" s="8" t="str">
        <f t="shared" si="1"/>
        <v>46</v>
      </c>
      <c r="D11" s="8" t="s">
        <v>119</v>
      </c>
      <c r="F11" s="8" t="s">
        <v>178</v>
      </c>
      <c r="G11" s="8" t="s">
        <v>322</v>
      </c>
      <c r="H11" s="8" t="s">
        <v>323</v>
      </c>
      <c r="I11" s="8" t="s">
        <v>250</v>
      </c>
      <c r="J11" s="8" t="s">
        <v>795</v>
      </c>
      <c r="K11" s="8" t="s">
        <v>54</v>
      </c>
      <c r="L11" s="8" t="s">
        <v>796</v>
      </c>
      <c r="M11" s="8" t="s">
        <v>2808</v>
      </c>
      <c r="N11" s="8" t="s">
        <v>322</v>
      </c>
      <c r="O11" s="8">
        <v>809.26</v>
      </c>
      <c r="P11" s="8">
        <v>899.18</v>
      </c>
      <c r="Q11" s="8" t="s">
        <v>2493</v>
      </c>
      <c r="R11" s="8" t="s">
        <v>2273</v>
      </c>
    </row>
    <row r="12" spans="1:20" x14ac:dyDescent="0.2">
      <c r="A12" s="8" t="s">
        <v>3571</v>
      </c>
      <c r="B12" s="8" t="str">
        <f t="shared" si="0"/>
        <v>1586243662</v>
      </c>
      <c r="C12" s="8" t="str">
        <f t="shared" si="1"/>
        <v>47</v>
      </c>
      <c r="D12" s="8" t="s">
        <v>119</v>
      </c>
      <c r="F12" s="8" t="s">
        <v>178</v>
      </c>
      <c r="G12" s="8" t="s">
        <v>322</v>
      </c>
      <c r="H12" s="8" t="s">
        <v>323</v>
      </c>
      <c r="I12" s="8" t="s">
        <v>250</v>
      </c>
      <c r="J12" s="8" t="s">
        <v>795</v>
      </c>
      <c r="K12" s="8" t="s">
        <v>54</v>
      </c>
      <c r="L12" s="8" t="s">
        <v>796</v>
      </c>
      <c r="M12" s="8" t="s">
        <v>2808</v>
      </c>
      <c r="N12" s="8" t="s">
        <v>322</v>
      </c>
      <c r="O12" s="8">
        <v>809.26</v>
      </c>
      <c r="P12" s="8">
        <v>899.18</v>
      </c>
      <c r="Q12" s="8" t="s">
        <v>2493</v>
      </c>
      <c r="R12" s="8" t="s">
        <v>2178</v>
      </c>
    </row>
    <row r="13" spans="1:20" x14ac:dyDescent="0.2">
      <c r="A13" s="8" t="s">
        <v>3377</v>
      </c>
      <c r="B13" s="8" t="str">
        <f t="shared" si="0"/>
        <v>1586243662</v>
      </c>
      <c r="C13" s="8" t="str">
        <f t="shared" si="1"/>
        <v>48</v>
      </c>
      <c r="D13" s="8" t="s">
        <v>119</v>
      </c>
      <c r="F13" s="8" t="s">
        <v>178</v>
      </c>
      <c r="G13" s="8" t="s">
        <v>322</v>
      </c>
      <c r="H13" s="8" t="s">
        <v>323</v>
      </c>
      <c r="I13" s="8" t="s">
        <v>250</v>
      </c>
      <c r="J13" s="8" t="s">
        <v>795</v>
      </c>
      <c r="K13" s="8" t="s">
        <v>54</v>
      </c>
      <c r="L13" s="8" t="s">
        <v>796</v>
      </c>
      <c r="M13" s="8" t="s">
        <v>2808</v>
      </c>
      <c r="N13" s="8" t="s">
        <v>322</v>
      </c>
      <c r="O13" s="8">
        <v>809.26</v>
      </c>
      <c r="P13" s="8">
        <v>899.18</v>
      </c>
      <c r="Q13" s="8" t="s">
        <v>2493</v>
      </c>
      <c r="R13" s="8" t="s">
        <v>2283</v>
      </c>
    </row>
    <row r="14" spans="1:20" x14ac:dyDescent="0.2">
      <c r="A14" s="8" t="s">
        <v>3936</v>
      </c>
      <c r="B14" s="8" t="str">
        <f t="shared" si="0"/>
        <v>1586243662</v>
      </c>
      <c r="C14" s="8" t="str">
        <f t="shared" si="1"/>
        <v>49</v>
      </c>
      <c r="D14" s="8" t="s">
        <v>119</v>
      </c>
      <c r="F14" s="8" t="s">
        <v>178</v>
      </c>
      <c r="G14" s="8" t="s">
        <v>322</v>
      </c>
      <c r="H14" s="8" t="s">
        <v>323</v>
      </c>
      <c r="I14" s="8" t="s">
        <v>250</v>
      </c>
      <c r="J14" s="8" t="s">
        <v>795</v>
      </c>
      <c r="K14" s="8" t="s">
        <v>54</v>
      </c>
      <c r="L14" s="8" t="s">
        <v>796</v>
      </c>
      <c r="M14" s="8" t="s">
        <v>2808</v>
      </c>
      <c r="N14" s="8" t="s">
        <v>322</v>
      </c>
      <c r="O14" s="8">
        <v>809.26</v>
      </c>
      <c r="P14" s="8">
        <v>899.18</v>
      </c>
      <c r="Q14" s="8" t="s">
        <v>2493</v>
      </c>
      <c r="R14" s="8" t="s">
        <v>2413</v>
      </c>
    </row>
    <row r="15" spans="1:20" x14ac:dyDescent="0.2">
      <c r="A15" s="8" t="s">
        <v>4729</v>
      </c>
      <c r="B15" s="8" t="str">
        <f t="shared" si="0"/>
        <v>1586243662</v>
      </c>
      <c r="C15" s="8" t="str">
        <f t="shared" si="1"/>
        <v>50</v>
      </c>
      <c r="D15" s="8" t="s">
        <v>119</v>
      </c>
      <c r="F15" s="8" t="s">
        <v>178</v>
      </c>
      <c r="G15" s="8" t="s">
        <v>322</v>
      </c>
      <c r="H15" s="8" t="s">
        <v>323</v>
      </c>
      <c r="I15" s="8" t="s">
        <v>250</v>
      </c>
      <c r="J15" s="8" t="s">
        <v>795</v>
      </c>
      <c r="K15" s="8" t="s">
        <v>54</v>
      </c>
      <c r="L15" s="8" t="s">
        <v>796</v>
      </c>
      <c r="M15" s="8" t="s">
        <v>2808</v>
      </c>
      <c r="N15" s="8" t="s">
        <v>322</v>
      </c>
      <c r="O15" s="8">
        <v>809.26</v>
      </c>
      <c r="P15" s="8">
        <v>899.18</v>
      </c>
      <c r="Q15" s="8" t="s">
        <v>2493</v>
      </c>
      <c r="R15" s="8" t="s">
        <v>797</v>
      </c>
    </row>
    <row r="16" spans="1:20" x14ac:dyDescent="0.2">
      <c r="A16" s="8" t="s">
        <v>4637</v>
      </c>
      <c r="B16" s="8" t="str">
        <f t="shared" si="0"/>
        <v>1586243662</v>
      </c>
      <c r="C16" s="8" t="str">
        <f t="shared" si="1"/>
        <v>51</v>
      </c>
      <c r="D16" s="8" t="s">
        <v>119</v>
      </c>
      <c r="F16" s="8" t="s">
        <v>178</v>
      </c>
      <c r="G16" s="8" t="s">
        <v>322</v>
      </c>
      <c r="H16" s="8" t="s">
        <v>323</v>
      </c>
      <c r="I16" s="8" t="s">
        <v>250</v>
      </c>
      <c r="J16" s="8" t="s">
        <v>795</v>
      </c>
      <c r="K16" s="8" t="s">
        <v>54</v>
      </c>
      <c r="L16" s="8" t="s">
        <v>796</v>
      </c>
      <c r="M16" s="8" t="s">
        <v>2808</v>
      </c>
      <c r="N16" s="8" t="s">
        <v>322</v>
      </c>
      <c r="O16" s="8">
        <v>809.26</v>
      </c>
      <c r="P16" s="8">
        <v>899.18</v>
      </c>
      <c r="Q16" s="8" t="s">
        <v>2493</v>
      </c>
      <c r="R16" s="8" t="s">
        <v>2323</v>
      </c>
    </row>
    <row r="17" spans="1:20" x14ac:dyDescent="0.2">
      <c r="A17" s="8" t="s">
        <v>4750</v>
      </c>
      <c r="B17" s="8" t="str">
        <f t="shared" si="0"/>
        <v>1586243662</v>
      </c>
      <c r="C17" s="8" t="str">
        <f t="shared" si="1"/>
        <v>52</v>
      </c>
      <c r="D17" s="8" t="s">
        <v>119</v>
      </c>
      <c r="F17" s="8" t="s">
        <v>178</v>
      </c>
      <c r="G17" s="8" t="s">
        <v>322</v>
      </c>
      <c r="H17" s="8" t="s">
        <v>323</v>
      </c>
      <c r="I17" s="8" t="s">
        <v>250</v>
      </c>
      <c r="J17" s="8" t="s">
        <v>795</v>
      </c>
      <c r="K17" s="8" t="s">
        <v>54</v>
      </c>
      <c r="L17" s="8" t="s">
        <v>796</v>
      </c>
      <c r="M17" s="8" t="s">
        <v>2808</v>
      </c>
      <c r="N17" s="8" t="s">
        <v>322</v>
      </c>
      <c r="O17" s="8">
        <v>809.26</v>
      </c>
      <c r="P17" s="8">
        <v>899.18</v>
      </c>
      <c r="Q17" s="8" t="s">
        <v>2493</v>
      </c>
      <c r="S17" s="8" t="s">
        <v>331</v>
      </c>
      <c r="T17" s="8">
        <v>84.1</v>
      </c>
    </row>
    <row r="18" spans="1:20" x14ac:dyDescent="0.2">
      <c r="A18" s="8" t="s">
        <v>4156</v>
      </c>
      <c r="B18" s="8" t="str">
        <f t="shared" si="0"/>
        <v>1586243662</v>
      </c>
      <c r="C18" s="8" t="str">
        <f t="shared" si="1"/>
        <v>53</v>
      </c>
      <c r="D18" s="8" t="s">
        <v>119</v>
      </c>
      <c r="F18" s="8" t="s">
        <v>178</v>
      </c>
      <c r="G18" s="8" t="s">
        <v>322</v>
      </c>
      <c r="H18" s="8" t="s">
        <v>323</v>
      </c>
      <c r="I18" s="8" t="s">
        <v>250</v>
      </c>
      <c r="J18" s="8" t="s">
        <v>795</v>
      </c>
      <c r="K18" s="8" t="s">
        <v>54</v>
      </c>
      <c r="L18" s="8" t="s">
        <v>796</v>
      </c>
      <c r="M18" s="8" t="s">
        <v>2808</v>
      </c>
      <c r="N18" s="8" t="s">
        <v>322</v>
      </c>
      <c r="O18" s="8">
        <v>809.26</v>
      </c>
      <c r="P18" s="8">
        <v>899.18</v>
      </c>
      <c r="Q18" s="8" t="s">
        <v>2493</v>
      </c>
      <c r="S18" s="8" t="s">
        <v>184</v>
      </c>
      <c r="T18" s="8">
        <v>169.67</v>
      </c>
    </row>
    <row r="19" spans="1:20" x14ac:dyDescent="0.2">
      <c r="A19" s="8" t="s">
        <v>3702</v>
      </c>
      <c r="B19" s="8" t="str">
        <f t="shared" si="0"/>
        <v>1586243662</v>
      </c>
      <c r="C19" s="8" t="str">
        <f t="shared" si="1"/>
        <v>54</v>
      </c>
      <c r="D19" s="8" t="s">
        <v>119</v>
      </c>
      <c r="F19" s="8" t="s">
        <v>178</v>
      </c>
      <c r="G19" s="8" t="s">
        <v>322</v>
      </c>
      <c r="H19" s="8" t="s">
        <v>323</v>
      </c>
      <c r="I19" s="8" t="s">
        <v>250</v>
      </c>
      <c r="J19" s="8" t="s">
        <v>795</v>
      </c>
      <c r="K19" s="8" t="s">
        <v>54</v>
      </c>
      <c r="L19" s="8" t="s">
        <v>796</v>
      </c>
      <c r="M19" s="8" t="s">
        <v>2808</v>
      </c>
      <c r="N19" s="8" t="s">
        <v>322</v>
      </c>
      <c r="O19" s="8">
        <v>809.26</v>
      </c>
      <c r="P19" s="8">
        <v>899.18</v>
      </c>
      <c r="Q19" s="8" t="s">
        <v>2493</v>
      </c>
      <c r="S19" s="8" t="s">
        <v>1637</v>
      </c>
      <c r="T19" s="8">
        <v>185.16</v>
      </c>
    </row>
    <row r="20" spans="1:20" x14ac:dyDescent="0.2">
      <c r="A20" s="8" t="s">
        <v>4200</v>
      </c>
      <c r="B20" s="8" t="str">
        <f t="shared" si="0"/>
        <v>1586243667</v>
      </c>
      <c r="C20" s="8" t="str">
        <f t="shared" si="1"/>
        <v>55</v>
      </c>
      <c r="D20" s="8" t="s">
        <v>119</v>
      </c>
      <c r="F20" s="8" t="s">
        <v>178</v>
      </c>
      <c r="G20" s="8" t="s">
        <v>1807</v>
      </c>
      <c r="H20" s="8" t="s">
        <v>1808</v>
      </c>
      <c r="I20" s="8" t="s">
        <v>250</v>
      </c>
      <c r="J20" s="8" t="s">
        <v>1809</v>
      </c>
      <c r="K20" s="8" t="s">
        <v>190</v>
      </c>
      <c r="L20" s="8" t="s">
        <v>1810</v>
      </c>
      <c r="M20" s="8" t="s">
        <v>2808</v>
      </c>
      <c r="N20" s="8" t="s">
        <v>1807</v>
      </c>
      <c r="O20" s="8">
        <v>647.70000000000005</v>
      </c>
      <c r="P20" s="8">
        <v>719.67</v>
      </c>
      <c r="Q20" s="8" t="s">
        <v>2494</v>
      </c>
      <c r="R20" s="8" t="s">
        <v>2219</v>
      </c>
    </row>
    <row r="21" spans="1:20" x14ac:dyDescent="0.2">
      <c r="A21" s="8" t="s">
        <v>4192</v>
      </c>
      <c r="B21" s="8" t="str">
        <f t="shared" si="0"/>
        <v>1586243667</v>
      </c>
      <c r="C21" s="8" t="str">
        <f t="shared" si="1"/>
        <v>56</v>
      </c>
      <c r="D21" s="8" t="s">
        <v>119</v>
      </c>
      <c r="F21" s="8" t="s">
        <v>178</v>
      </c>
      <c r="G21" s="8" t="s">
        <v>1807</v>
      </c>
      <c r="H21" s="8" t="s">
        <v>1808</v>
      </c>
      <c r="I21" s="8" t="s">
        <v>250</v>
      </c>
      <c r="J21" s="8" t="s">
        <v>1809</v>
      </c>
      <c r="K21" s="8" t="s">
        <v>190</v>
      </c>
      <c r="L21" s="8" t="s">
        <v>1810</v>
      </c>
      <c r="M21" s="8" t="s">
        <v>2808</v>
      </c>
      <c r="N21" s="8" t="s">
        <v>1807</v>
      </c>
      <c r="O21" s="8">
        <v>647.70000000000005</v>
      </c>
      <c r="P21" s="8">
        <v>719.67</v>
      </c>
      <c r="Q21" s="8" t="s">
        <v>2494</v>
      </c>
      <c r="R21" s="8" t="s">
        <v>2042</v>
      </c>
    </row>
    <row r="22" spans="1:20" x14ac:dyDescent="0.2">
      <c r="A22" s="8" t="s">
        <v>4772</v>
      </c>
      <c r="B22" s="8" t="str">
        <f t="shared" si="0"/>
        <v>1586243667</v>
      </c>
      <c r="C22" s="8" t="str">
        <f t="shared" si="1"/>
        <v>57</v>
      </c>
      <c r="D22" s="8" t="s">
        <v>119</v>
      </c>
      <c r="F22" s="8" t="s">
        <v>178</v>
      </c>
      <c r="G22" s="8" t="s">
        <v>1807</v>
      </c>
      <c r="H22" s="8" t="s">
        <v>1808</v>
      </c>
      <c r="I22" s="8" t="s">
        <v>250</v>
      </c>
      <c r="J22" s="8" t="s">
        <v>1809</v>
      </c>
      <c r="K22" s="8" t="s">
        <v>190</v>
      </c>
      <c r="L22" s="8" t="s">
        <v>1810</v>
      </c>
      <c r="M22" s="8" t="s">
        <v>2808</v>
      </c>
      <c r="N22" s="8" t="s">
        <v>1807</v>
      </c>
      <c r="O22" s="8">
        <v>647.70000000000005</v>
      </c>
      <c r="P22" s="8">
        <v>719.67</v>
      </c>
      <c r="Q22" s="8" t="s">
        <v>2494</v>
      </c>
      <c r="R22" s="8" t="s">
        <v>2063</v>
      </c>
    </row>
    <row r="23" spans="1:20" x14ac:dyDescent="0.2">
      <c r="A23" s="8" t="s">
        <v>4337</v>
      </c>
      <c r="B23" s="8" t="str">
        <f t="shared" si="0"/>
        <v>1586243667</v>
      </c>
      <c r="C23" s="8" t="str">
        <f t="shared" si="1"/>
        <v>58</v>
      </c>
      <c r="D23" s="8" t="s">
        <v>119</v>
      </c>
      <c r="F23" s="8" t="s">
        <v>178</v>
      </c>
      <c r="G23" s="8" t="s">
        <v>1807</v>
      </c>
      <c r="H23" s="8" t="s">
        <v>1808</v>
      </c>
      <c r="I23" s="8" t="s">
        <v>250</v>
      </c>
      <c r="J23" s="8" t="s">
        <v>1809</v>
      </c>
      <c r="K23" s="8" t="s">
        <v>190</v>
      </c>
      <c r="L23" s="8" t="s">
        <v>1810</v>
      </c>
      <c r="M23" s="8" t="s">
        <v>2808</v>
      </c>
      <c r="N23" s="8" t="s">
        <v>1807</v>
      </c>
      <c r="O23" s="8">
        <v>647.70000000000005</v>
      </c>
      <c r="P23" s="8">
        <v>719.67</v>
      </c>
      <c r="Q23" s="8" t="s">
        <v>2494</v>
      </c>
      <c r="R23" s="8" t="s">
        <v>2038</v>
      </c>
    </row>
    <row r="24" spans="1:20" x14ac:dyDescent="0.2">
      <c r="A24" s="8" t="s">
        <v>2929</v>
      </c>
      <c r="B24" s="8" t="str">
        <f t="shared" si="0"/>
        <v>1586243667</v>
      </c>
      <c r="C24" s="8" t="str">
        <f t="shared" si="1"/>
        <v>59</v>
      </c>
      <c r="D24" s="8" t="s">
        <v>119</v>
      </c>
      <c r="F24" s="8" t="s">
        <v>178</v>
      </c>
      <c r="G24" s="8" t="s">
        <v>1807</v>
      </c>
      <c r="H24" s="8" t="s">
        <v>1808</v>
      </c>
      <c r="I24" s="8" t="s">
        <v>250</v>
      </c>
      <c r="J24" s="8" t="s">
        <v>1809</v>
      </c>
      <c r="K24" s="8" t="s">
        <v>190</v>
      </c>
      <c r="L24" s="8" t="s">
        <v>1810</v>
      </c>
      <c r="M24" s="8" t="s">
        <v>2808</v>
      </c>
      <c r="N24" s="8" t="s">
        <v>1807</v>
      </c>
      <c r="O24" s="8">
        <v>647.70000000000005</v>
      </c>
      <c r="P24" s="8">
        <v>719.67</v>
      </c>
      <c r="Q24" s="8" t="s">
        <v>2494</v>
      </c>
      <c r="S24" s="8" t="s">
        <v>331</v>
      </c>
      <c r="T24" s="8">
        <v>84.1</v>
      </c>
    </row>
    <row r="25" spans="1:20" x14ac:dyDescent="0.2">
      <c r="A25" s="8" t="s">
        <v>4662</v>
      </c>
      <c r="B25" s="8" t="str">
        <f t="shared" si="0"/>
        <v>1586243667</v>
      </c>
      <c r="C25" s="8" t="str">
        <f t="shared" si="1"/>
        <v>60</v>
      </c>
      <c r="D25" s="8" t="s">
        <v>119</v>
      </c>
      <c r="F25" s="8" t="s">
        <v>178</v>
      </c>
      <c r="G25" s="8" t="s">
        <v>1807</v>
      </c>
      <c r="H25" s="8" t="s">
        <v>1808</v>
      </c>
      <c r="I25" s="8" t="s">
        <v>250</v>
      </c>
      <c r="J25" s="8" t="s">
        <v>1809</v>
      </c>
      <c r="K25" s="8" t="s">
        <v>190</v>
      </c>
      <c r="L25" s="8" t="s">
        <v>1810</v>
      </c>
      <c r="M25" s="8" t="s">
        <v>2808</v>
      </c>
      <c r="N25" s="8" t="s">
        <v>1807</v>
      </c>
      <c r="O25" s="8">
        <v>647.70000000000005</v>
      </c>
      <c r="P25" s="8">
        <v>719.67</v>
      </c>
      <c r="Q25" s="8" t="s">
        <v>2494</v>
      </c>
      <c r="S25" s="8" t="s">
        <v>184</v>
      </c>
      <c r="T25" s="8">
        <v>169.67</v>
      </c>
    </row>
    <row r="26" spans="1:20" x14ac:dyDescent="0.2">
      <c r="A26" s="8" t="s">
        <v>4793</v>
      </c>
      <c r="B26" s="8" t="str">
        <f t="shared" si="0"/>
        <v>1586243667</v>
      </c>
      <c r="C26" s="8" t="str">
        <f t="shared" si="1"/>
        <v>61</v>
      </c>
      <c r="D26" s="8" t="s">
        <v>119</v>
      </c>
      <c r="F26" s="8" t="s">
        <v>178</v>
      </c>
      <c r="G26" s="8" t="s">
        <v>1807</v>
      </c>
      <c r="H26" s="8" t="s">
        <v>1808</v>
      </c>
      <c r="I26" s="8" t="s">
        <v>250</v>
      </c>
      <c r="J26" s="8" t="s">
        <v>1809</v>
      </c>
      <c r="K26" s="8" t="s">
        <v>190</v>
      </c>
      <c r="L26" s="8" t="s">
        <v>1810</v>
      </c>
      <c r="M26" s="8" t="s">
        <v>2808</v>
      </c>
      <c r="N26" s="8" t="s">
        <v>1807</v>
      </c>
      <c r="O26" s="8">
        <v>647.70000000000005</v>
      </c>
      <c r="P26" s="8">
        <v>719.67</v>
      </c>
      <c r="Q26" s="8" t="s">
        <v>2494</v>
      </c>
      <c r="S26" s="8" t="s">
        <v>109</v>
      </c>
      <c r="T26" s="8">
        <v>37.619999999999997</v>
      </c>
    </row>
    <row r="27" spans="1:20" x14ac:dyDescent="0.2">
      <c r="A27" s="8" t="s">
        <v>3532</v>
      </c>
      <c r="B27" s="8" t="str">
        <f t="shared" si="0"/>
        <v>1586243667</v>
      </c>
      <c r="C27" s="8" t="str">
        <f t="shared" si="1"/>
        <v>62</v>
      </c>
      <c r="D27" s="8" t="s">
        <v>119</v>
      </c>
      <c r="F27" s="8" t="s">
        <v>178</v>
      </c>
      <c r="G27" s="8" t="s">
        <v>1807</v>
      </c>
      <c r="H27" s="8" t="s">
        <v>1808</v>
      </c>
      <c r="I27" s="8" t="s">
        <v>250</v>
      </c>
      <c r="J27" s="8" t="s">
        <v>1809</v>
      </c>
      <c r="K27" s="8" t="s">
        <v>190</v>
      </c>
      <c r="L27" s="8" t="s">
        <v>1810</v>
      </c>
      <c r="M27" s="8" t="s">
        <v>2808</v>
      </c>
      <c r="N27" s="8" t="s">
        <v>1807</v>
      </c>
      <c r="O27" s="8">
        <v>647.70000000000005</v>
      </c>
      <c r="P27" s="8">
        <v>719.67</v>
      </c>
      <c r="Q27" s="8" t="s">
        <v>2494</v>
      </c>
      <c r="S27" s="8" t="s">
        <v>1072</v>
      </c>
      <c r="T27" s="8">
        <v>61.97</v>
      </c>
    </row>
    <row r="28" spans="1:20" x14ac:dyDescent="0.2">
      <c r="A28" s="8" t="s">
        <v>3535</v>
      </c>
      <c r="B28" s="8" t="str">
        <f t="shared" si="0"/>
        <v>1586243671</v>
      </c>
      <c r="C28" s="8" t="str">
        <f t="shared" si="1"/>
        <v>63</v>
      </c>
      <c r="D28" s="8" t="s">
        <v>119</v>
      </c>
      <c r="F28" s="8" t="s">
        <v>178</v>
      </c>
      <c r="G28" s="8" t="s">
        <v>1331</v>
      </c>
      <c r="H28" s="8" t="s">
        <v>1332</v>
      </c>
      <c r="I28" s="8" t="s">
        <v>441</v>
      </c>
      <c r="J28" s="8" t="s">
        <v>1333</v>
      </c>
      <c r="K28" s="8" t="s">
        <v>257</v>
      </c>
      <c r="L28" s="8" t="s">
        <v>1334</v>
      </c>
      <c r="M28" s="8" t="s">
        <v>2808</v>
      </c>
      <c r="N28" s="8" t="s">
        <v>1331</v>
      </c>
      <c r="O28" s="8">
        <v>472.13</v>
      </c>
      <c r="P28" s="8">
        <v>524.59</v>
      </c>
      <c r="Q28" s="8" t="s">
        <v>2495</v>
      </c>
      <c r="R28" s="8" t="s">
        <v>1544</v>
      </c>
    </row>
    <row r="29" spans="1:20" x14ac:dyDescent="0.2">
      <c r="A29" s="8" t="s">
        <v>4471</v>
      </c>
      <c r="B29" s="8" t="str">
        <f t="shared" si="0"/>
        <v>1586243671</v>
      </c>
      <c r="C29" s="8" t="str">
        <f t="shared" si="1"/>
        <v>64</v>
      </c>
      <c r="D29" s="8" t="s">
        <v>119</v>
      </c>
      <c r="F29" s="8" t="s">
        <v>178</v>
      </c>
      <c r="G29" s="8" t="s">
        <v>1331</v>
      </c>
      <c r="H29" s="8" t="s">
        <v>1332</v>
      </c>
      <c r="I29" s="8" t="s">
        <v>441</v>
      </c>
      <c r="J29" s="8" t="s">
        <v>1333</v>
      </c>
      <c r="K29" s="8" t="s">
        <v>257</v>
      </c>
      <c r="L29" s="8" t="s">
        <v>1334</v>
      </c>
      <c r="M29" s="8" t="s">
        <v>2808</v>
      </c>
      <c r="N29" s="8" t="s">
        <v>1331</v>
      </c>
      <c r="O29" s="8">
        <v>472.13</v>
      </c>
      <c r="P29" s="8">
        <v>524.59</v>
      </c>
      <c r="Q29" s="8" t="s">
        <v>2495</v>
      </c>
      <c r="R29" s="8" t="s">
        <v>2267</v>
      </c>
    </row>
    <row r="30" spans="1:20" x14ac:dyDescent="0.2">
      <c r="A30" s="8" t="s">
        <v>4150</v>
      </c>
      <c r="B30" s="8" t="str">
        <f t="shared" si="0"/>
        <v>1586243671</v>
      </c>
      <c r="C30" s="8" t="str">
        <f t="shared" si="1"/>
        <v>65</v>
      </c>
      <c r="D30" s="8" t="s">
        <v>119</v>
      </c>
      <c r="F30" s="8" t="s">
        <v>178</v>
      </c>
      <c r="G30" s="8" t="s">
        <v>1331</v>
      </c>
      <c r="H30" s="8" t="s">
        <v>1332</v>
      </c>
      <c r="I30" s="8" t="s">
        <v>441</v>
      </c>
      <c r="J30" s="8" t="s">
        <v>1333</v>
      </c>
      <c r="K30" s="8" t="s">
        <v>257</v>
      </c>
      <c r="L30" s="8" t="s">
        <v>1334</v>
      </c>
      <c r="M30" s="8" t="s">
        <v>2808</v>
      </c>
      <c r="N30" s="8" t="s">
        <v>1331</v>
      </c>
      <c r="O30" s="8">
        <v>472.13</v>
      </c>
      <c r="P30" s="8">
        <v>524.59</v>
      </c>
      <c r="Q30" s="8" t="s">
        <v>2495</v>
      </c>
      <c r="R30" s="8" t="s">
        <v>1778</v>
      </c>
    </row>
    <row r="31" spans="1:20" x14ac:dyDescent="0.2">
      <c r="A31" s="8" t="s">
        <v>3094</v>
      </c>
      <c r="B31" s="8" t="str">
        <f t="shared" si="0"/>
        <v>1586243671</v>
      </c>
      <c r="C31" s="8" t="str">
        <f t="shared" si="1"/>
        <v>66</v>
      </c>
      <c r="D31" s="8" t="s">
        <v>119</v>
      </c>
      <c r="F31" s="8" t="s">
        <v>178</v>
      </c>
      <c r="G31" s="8" t="s">
        <v>1331</v>
      </c>
      <c r="H31" s="8" t="s">
        <v>1332</v>
      </c>
      <c r="I31" s="8" t="s">
        <v>441</v>
      </c>
      <c r="J31" s="8" t="s">
        <v>1333</v>
      </c>
      <c r="K31" s="8" t="s">
        <v>257</v>
      </c>
      <c r="L31" s="8" t="s">
        <v>1334</v>
      </c>
      <c r="M31" s="8" t="s">
        <v>2808</v>
      </c>
      <c r="N31" s="8" t="s">
        <v>1331</v>
      </c>
      <c r="O31" s="8">
        <v>472.13</v>
      </c>
      <c r="P31" s="8">
        <v>524.59</v>
      </c>
      <c r="Q31" s="8" t="s">
        <v>2495</v>
      </c>
      <c r="R31" s="8" t="s">
        <v>1796</v>
      </c>
    </row>
    <row r="32" spans="1:20" x14ac:dyDescent="0.2">
      <c r="A32" s="8" t="s">
        <v>3668</v>
      </c>
      <c r="B32" s="8" t="str">
        <f t="shared" si="0"/>
        <v>1586243671</v>
      </c>
      <c r="C32" s="8" t="str">
        <f t="shared" si="1"/>
        <v>67</v>
      </c>
      <c r="D32" s="8" t="s">
        <v>119</v>
      </c>
      <c r="F32" s="8" t="s">
        <v>178</v>
      </c>
      <c r="G32" s="8" t="s">
        <v>1331</v>
      </c>
      <c r="H32" s="8" t="s">
        <v>1332</v>
      </c>
      <c r="I32" s="8" t="s">
        <v>441</v>
      </c>
      <c r="J32" s="8" t="s">
        <v>1333</v>
      </c>
      <c r="K32" s="8" t="s">
        <v>257</v>
      </c>
      <c r="L32" s="8" t="s">
        <v>1334</v>
      </c>
      <c r="M32" s="8" t="s">
        <v>2808</v>
      </c>
      <c r="N32" s="8" t="s">
        <v>1331</v>
      </c>
      <c r="O32" s="8">
        <v>472.13</v>
      </c>
      <c r="P32" s="8">
        <v>524.59</v>
      </c>
      <c r="Q32" s="8" t="s">
        <v>2495</v>
      </c>
      <c r="S32" s="8" t="s">
        <v>331</v>
      </c>
      <c r="T32" s="8">
        <v>14.75</v>
      </c>
    </row>
    <row r="33" spans="1:20" x14ac:dyDescent="0.2">
      <c r="A33" s="8" t="s">
        <v>4646</v>
      </c>
      <c r="B33" s="8" t="str">
        <f t="shared" si="0"/>
        <v>1586243671</v>
      </c>
      <c r="C33" s="8" t="str">
        <f t="shared" si="1"/>
        <v>68</v>
      </c>
      <c r="D33" s="8" t="s">
        <v>119</v>
      </c>
      <c r="F33" s="8" t="s">
        <v>178</v>
      </c>
      <c r="G33" s="8" t="s">
        <v>1331</v>
      </c>
      <c r="H33" s="8" t="s">
        <v>1332</v>
      </c>
      <c r="I33" s="8" t="s">
        <v>441</v>
      </c>
      <c r="J33" s="8" t="s">
        <v>1333</v>
      </c>
      <c r="K33" s="8" t="s">
        <v>257</v>
      </c>
      <c r="L33" s="8" t="s">
        <v>1334</v>
      </c>
      <c r="M33" s="8" t="s">
        <v>2808</v>
      </c>
      <c r="N33" s="8" t="s">
        <v>1331</v>
      </c>
      <c r="O33" s="8">
        <v>472.13</v>
      </c>
      <c r="P33" s="8">
        <v>524.59</v>
      </c>
      <c r="Q33" s="8" t="s">
        <v>2495</v>
      </c>
      <c r="S33" s="8" t="s">
        <v>1705</v>
      </c>
      <c r="T33" s="8">
        <v>81.150000000000006</v>
      </c>
    </row>
    <row r="34" spans="1:20" x14ac:dyDescent="0.2">
      <c r="A34" s="8" t="s">
        <v>3144</v>
      </c>
      <c r="B34" s="8" t="str">
        <f t="shared" si="0"/>
        <v>1586243671</v>
      </c>
      <c r="C34" s="8" t="str">
        <f t="shared" si="1"/>
        <v>69</v>
      </c>
      <c r="D34" s="8" t="s">
        <v>119</v>
      </c>
      <c r="F34" s="8" t="s">
        <v>178</v>
      </c>
      <c r="G34" s="8" t="s">
        <v>1331</v>
      </c>
      <c r="H34" s="8" t="s">
        <v>1332</v>
      </c>
      <c r="I34" s="8" t="s">
        <v>441</v>
      </c>
      <c r="J34" s="8" t="s">
        <v>1333</v>
      </c>
      <c r="K34" s="8" t="s">
        <v>257</v>
      </c>
      <c r="L34" s="8" t="s">
        <v>1334</v>
      </c>
      <c r="M34" s="8" t="s">
        <v>2808</v>
      </c>
      <c r="N34" s="8" t="s">
        <v>1331</v>
      </c>
      <c r="O34" s="8">
        <v>472.13</v>
      </c>
      <c r="P34" s="8">
        <v>524.59</v>
      </c>
      <c r="Q34" s="8" t="s">
        <v>2495</v>
      </c>
      <c r="S34" s="8" t="s">
        <v>184</v>
      </c>
      <c r="T34" s="8">
        <v>36.89</v>
      </c>
    </row>
    <row r="35" spans="1:20" x14ac:dyDescent="0.2">
      <c r="A35" s="8" t="s">
        <v>2965</v>
      </c>
      <c r="B35" s="8" t="str">
        <f t="shared" si="0"/>
        <v>1586243675</v>
      </c>
      <c r="C35" s="8" t="str">
        <f t="shared" si="1"/>
        <v>70</v>
      </c>
      <c r="D35" s="8" t="s">
        <v>119</v>
      </c>
      <c r="F35" s="8" t="s">
        <v>178</v>
      </c>
      <c r="G35" s="8" t="s">
        <v>179</v>
      </c>
      <c r="H35" s="8" t="s">
        <v>180</v>
      </c>
      <c r="I35" s="8" t="s">
        <v>181</v>
      </c>
      <c r="J35" s="8" t="s">
        <v>182</v>
      </c>
      <c r="K35" s="8" t="s">
        <v>176</v>
      </c>
      <c r="L35" s="8" t="s">
        <v>183</v>
      </c>
      <c r="M35" s="8" t="s">
        <v>2808</v>
      </c>
      <c r="N35" s="8" t="s">
        <v>179</v>
      </c>
      <c r="O35" s="8">
        <v>508.28</v>
      </c>
      <c r="P35" s="8">
        <v>564.75</v>
      </c>
      <c r="Q35" s="8" t="s">
        <v>2496</v>
      </c>
      <c r="R35" s="8" t="s">
        <v>1243</v>
      </c>
    </row>
    <row r="36" spans="1:20" x14ac:dyDescent="0.2">
      <c r="A36" s="8" t="s">
        <v>3613</v>
      </c>
      <c r="B36" s="8" t="str">
        <f t="shared" si="0"/>
        <v>1586243675</v>
      </c>
      <c r="C36" s="8" t="str">
        <f t="shared" si="1"/>
        <v>71</v>
      </c>
      <c r="D36" s="8" t="s">
        <v>119</v>
      </c>
      <c r="F36" s="8" t="s">
        <v>178</v>
      </c>
      <c r="G36" s="8" t="s">
        <v>179</v>
      </c>
      <c r="H36" s="8" t="s">
        <v>180</v>
      </c>
      <c r="I36" s="8" t="s">
        <v>181</v>
      </c>
      <c r="J36" s="8" t="s">
        <v>182</v>
      </c>
      <c r="K36" s="8" t="s">
        <v>176</v>
      </c>
      <c r="L36" s="8" t="s">
        <v>183</v>
      </c>
      <c r="M36" s="8" t="s">
        <v>2808</v>
      </c>
      <c r="N36" s="8" t="s">
        <v>179</v>
      </c>
      <c r="O36" s="8">
        <v>508.28</v>
      </c>
      <c r="P36" s="8">
        <v>564.75</v>
      </c>
      <c r="Q36" s="8" t="s">
        <v>2496</v>
      </c>
      <c r="R36" s="8" t="s">
        <v>2423</v>
      </c>
    </row>
    <row r="37" spans="1:20" x14ac:dyDescent="0.2">
      <c r="A37" s="8" t="s">
        <v>4327</v>
      </c>
      <c r="B37" s="8" t="str">
        <f t="shared" si="0"/>
        <v>1586243675</v>
      </c>
      <c r="C37" s="8" t="str">
        <f t="shared" si="1"/>
        <v>72</v>
      </c>
      <c r="D37" s="8" t="s">
        <v>119</v>
      </c>
      <c r="F37" s="8" t="s">
        <v>178</v>
      </c>
      <c r="G37" s="8" t="s">
        <v>179</v>
      </c>
      <c r="H37" s="8" t="s">
        <v>180</v>
      </c>
      <c r="I37" s="8" t="s">
        <v>181</v>
      </c>
      <c r="J37" s="8" t="s">
        <v>182</v>
      </c>
      <c r="K37" s="8" t="s">
        <v>176</v>
      </c>
      <c r="L37" s="8" t="s">
        <v>183</v>
      </c>
      <c r="M37" s="8" t="s">
        <v>2808</v>
      </c>
      <c r="N37" s="8" t="s">
        <v>179</v>
      </c>
      <c r="O37" s="8">
        <v>508.28</v>
      </c>
      <c r="P37" s="8">
        <v>564.75</v>
      </c>
      <c r="Q37" s="8" t="s">
        <v>2496</v>
      </c>
      <c r="R37" s="8" t="s">
        <v>1732</v>
      </c>
    </row>
    <row r="38" spans="1:20" x14ac:dyDescent="0.2">
      <c r="A38" s="8" t="s">
        <v>4748</v>
      </c>
      <c r="B38" s="8" t="str">
        <f t="shared" si="0"/>
        <v>1586243675</v>
      </c>
      <c r="C38" s="8" t="str">
        <f t="shared" si="1"/>
        <v>73</v>
      </c>
      <c r="D38" s="8" t="s">
        <v>119</v>
      </c>
      <c r="F38" s="8" t="s">
        <v>178</v>
      </c>
      <c r="G38" s="8" t="s">
        <v>179</v>
      </c>
      <c r="H38" s="8" t="s">
        <v>180</v>
      </c>
      <c r="I38" s="8" t="s">
        <v>181</v>
      </c>
      <c r="J38" s="8" t="s">
        <v>182</v>
      </c>
      <c r="K38" s="8" t="s">
        <v>176</v>
      </c>
      <c r="L38" s="8" t="s">
        <v>183</v>
      </c>
      <c r="M38" s="8" t="s">
        <v>2808</v>
      </c>
      <c r="N38" s="8" t="s">
        <v>179</v>
      </c>
      <c r="O38" s="8">
        <v>508.28</v>
      </c>
      <c r="P38" s="8">
        <v>564.75</v>
      </c>
      <c r="Q38" s="8" t="s">
        <v>2496</v>
      </c>
      <c r="R38" s="8" t="s">
        <v>1893</v>
      </c>
    </row>
    <row r="39" spans="1:20" x14ac:dyDescent="0.2">
      <c r="A39" s="8" t="s">
        <v>3186</v>
      </c>
      <c r="B39" s="8" t="str">
        <f t="shared" si="0"/>
        <v>1586243675</v>
      </c>
      <c r="C39" s="8" t="str">
        <f t="shared" si="1"/>
        <v>74</v>
      </c>
      <c r="D39" s="8" t="s">
        <v>119</v>
      </c>
      <c r="F39" s="8" t="s">
        <v>178</v>
      </c>
      <c r="G39" s="8" t="s">
        <v>179</v>
      </c>
      <c r="H39" s="8" t="s">
        <v>180</v>
      </c>
      <c r="I39" s="8" t="s">
        <v>181</v>
      </c>
      <c r="J39" s="8" t="s">
        <v>182</v>
      </c>
      <c r="K39" s="8" t="s">
        <v>176</v>
      </c>
      <c r="L39" s="8" t="s">
        <v>183</v>
      </c>
      <c r="M39" s="8" t="s">
        <v>2808</v>
      </c>
      <c r="N39" s="8" t="s">
        <v>179</v>
      </c>
      <c r="O39" s="8">
        <v>508.28</v>
      </c>
      <c r="P39" s="8">
        <v>564.75</v>
      </c>
      <c r="Q39" s="8" t="s">
        <v>2496</v>
      </c>
      <c r="S39" s="8" t="s">
        <v>142</v>
      </c>
      <c r="T39" s="8">
        <v>84.84</v>
      </c>
    </row>
    <row r="40" spans="1:20" x14ac:dyDescent="0.2">
      <c r="A40" s="8" t="s">
        <v>4231</v>
      </c>
      <c r="B40" s="8" t="str">
        <f t="shared" si="0"/>
        <v>1586243675</v>
      </c>
      <c r="C40" s="8" t="str">
        <f t="shared" si="1"/>
        <v>75</v>
      </c>
      <c r="D40" s="8" t="s">
        <v>119</v>
      </c>
      <c r="F40" s="8" t="s">
        <v>178</v>
      </c>
      <c r="G40" s="8" t="s">
        <v>179</v>
      </c>
      <c r="H40" s="8" t="s">
        <v>180</v>
      </c>
      <c r="I40" s="8" t="s">
        <v>181</v>
      </c>
      <c r="J40" s="8" t="s">
        <v>182</v>
      </c>
      <c r="K40" s="8" t="s">
        <v>176</v>
      </c>
      <c r="L40" s="8" t="s">
        <v>183</v>
      </c>
      <c r="M40" s="8" t="s">
        <v>2808</v>
      </c>
      <c r="N40" s="8" t="s">
        <v>179</v>
      </c>
      <c r="O40" s="8">
        <v>508.28</v>
      </c>
      <c r="P40" s="8">
        <v>564.75</v>
      </c>
      <c r="Q40" s="8" t="s">
        <v>2496</v>
      </c>
      <c r="S40" s="8" t="s">
        <v>184</v>
      </c>
      <c r="T40" s="8">
        <v>169.67</v>
      </c>
    </row>
    <row r="41" spans="1:20" x14ac:dyDescent="0.2">
      <c r="A41" s="8" t="s">
        <v>3950</v>
      </c>
      <c r="B41" s="8" t="str">
        <f t="shared" si="0"/>
        <v>1586243675</v>
      </c>
      <c r="C41" s="8" t="str">
        <f t="shared" si="1"/>
        <v>76</v>
      </c>
      <c r="D41" s="8" t="s">
        <v>119</v>
      </c>
      <c r="F41" s="8" t="s">
        <v>178</v>
      </c>
      <c r="G41" s="8" t="s">
        <v>179</v>
      </c>
      <c r="H41" s="8" t="s">
        <v>180</v>
      </c>
      <c r="I41" s="8" t="s">
        <v>181</v>
      </c>
      <c r="J41" s="8" t="s">
        <v>182</v>
      </c>
      <c r="K41" s="8" t="s">
        <v>176</v>
      </c>
      <c r="L41" s="8" t="s">
        <v>183</v>
      </c>
      <c r="M41" s="8" t="s">
        <v>2808</v>
      </c>
      <c r="N41" s="8" t="s">
        <v>179</v>
      </c>
      <c r="O41" s="8">
        <v>508.28</v>
      </c>
      <c r="P41" s="8">
        <v>564.75</v>
      </c>
      <c r="Q41" s="8" t="s">
        <v>2496</v>
      </c>
      <c r="S41" s="8" t="s">
        <v>370</v>
      </c>
      <c r="T41" s="8">
        <v>84.84</v>
      </c>
    </row>
    <row r="42" spans="1:20" x14ac:dyDescent="0.2">
      <c r="A42" s="8" t="s">
        <v>3634</v>
      </c>
      <c r="B42" s="8" t="str">
        <f t="shared" si="0"/>
        <v>1586243679</v>
      </c>
      <c r="C42" s="8" t="str">
        <f t="shared" si="1"/>
        <v>77</v>
      </c>
      <c r="D42" s="8" t="s">
        <v>119</v>
      </c>
      <c r="F42" s="8" t="s">
        <v>178</v>
      </c>
      <c r="G42" s="8" t="s">
        <v>394</v>
      </c>
      <c r="H42" s="8" t="s">
        <v>395</v>
      </c>
      <c r="I42" s="8" t="s">
        <v>181</v>
      </c>
      <c r="J42" s="8" t="s">
        <v>396</v>
      </c>
      <c r="K42" s="8" t="s">
        <v>176</v>
      </c>
      <c r="L42" s="8" t="s">
        <v>397</v>
      </c>
      <c r="M42" s="8" t="s">
        <v>2808</v>
      </c>
      <c r="N42" s="8" t="s">
        <v>394</v>
      </c>
      <c r="O42" s="8">
        <v>508.28</v>
      </c>
      <c r="P42" s="8">
        <v>564.75</v>
      </c>
      <c r="Q42" s="8" t="s">
        <v>2496</v>
      </c>
      <c r="R42" s="8" t="s">
        <v>685</v>
      </c>
    </row>
    <row r="43" spans="1:20" x14ac:dyDescent="0.2">
      <c r="A43" s="8" t="s">
        <v>2887</v>
      </c>
      <c r="B43" s="8" t="str">
        <f t="shared" si="0"/>
        <v>1586243679</v>
      </c>
      <c r="C43" s="8" t="str">
        <f t="shared" si="1"/>
        <v>78</v>
      </c>
      <c r="D43" s="8" t="s">
        <v>119</v>
      </c>
      <c r="F43" s="8" t="s">
        <v>178</v>
      </c>
      <c r="G43" s="8" t="s">
        <v>394</v>
      </c>
      <c r="H43" s="8" t="s">
        <v>395</v>
      </c>
      <c r="I43" s="8" t="s">
        <v>181</v>
      </c>
      <c r="J43" s="8" t="s">
        <v>396</v>
      </c>
      <c r="K43" s="8" t="s">
        <v>176</v>
      </c>
      <c r="L43" s="8" t="s">
        <v>397</v>
      </c>
      <c r="M43" s="8" t="s">
        <v>2808</v>
      </c>
      <c r="N43" s="8" t="s">
        <v>394</v>
      </c>
      <c r="O43" s="8">
        <v>508.28</v>
      </c>
      <c r="P43" s="8">
        <v>564.75</v>
      </c>
      <c r="Q43" s="8" t="s">
        <v>2496</v>
      </c>
      <c r="R43" s="8" t="s">
        <v>620</v>
      </c>
    </row>
    <row r="44" spans="1:20" x14ac:dyDescent="0.2">
      <c r="A44" s="8" t="s">
        <v>4213</v>
      </c>
      <c r="B44" s="8" t="str">
        <f t="shared" si="0"/>
        <v>1586243679</v>
      </c>
      <c r="C44" s="8" t="str">
        <f t="shared" si="1"/>
        <v>79</v>
      </c>
      <c r="D44" s="8" t="s">
        <v>119</v>
      </c>
      <c r="F44" s="8" t="s">
        <v>178</v>
      </c>
      <c r="G44" s="8" t="s">
        <v>394</v>
      </c>
      <c r="H44" s="8" t="s">
        <v>395</v>
      </c>
      <c r="I44" s="8" t="s">
        <v>181</v>
      </c>
      <c r="J44" s="8" t="s">
        <v>396</v>
      </c>
      <c r="K44" s="8" t="s">
        <v>176</v>
      </c>
      <c r="L44" s="8" t="s">
        <v>397</v>
      </c>
      <c r="M44" s="8" t="s">
        <v>2808</v>
      </c>
      <c r="N44" s="8" t="s">
        <v>394</v>
      </c>
      <c r="O44" s="8">
        <v>508.28</v>
      </c>
      <c r="P44" s="8">
        <v>564.75</v>
      </c>
      <c r="Q44" s="8" t="s">
        <v>2496</v>
      </c>
      <c r="R44" s="8" t="s">
        <v>1968</v>
      </c>
    </row>
    <row r="45" spans="1:20" x14ac:dyDescent="0.2">
      <c r="A45" s="8" t="s">
        <v>3723</v>
      </c>
      <c r="B45" s="8" t="str">
        <f t="shared" si="0"/>
        <v>1586243679</v>
      </c>
      <c r="C45" s="8" t="str">
        <f t="shared" si="1"/>
        <v>80</v>
      </c>
      <c r="D45" s="8" t="s">
        <v>119</v>
      </c>
      <c r="F45" s="8" t="s">
        <v>178</v>
      </c>
      <c r="G45" s="8" t="s">
        <v>394</v>
      </c>
      <c r="H45" s="8" t="s">
        <v>395</v>
      </c>
      <c r="I45" s="8" t="s">
        <v>181</v>
      </c>
      <c r="J45" s="8" t="s">
        <v>396</v>
      </c>
      <c r="K45" s="8" t="s">
        <v>176</v>
      </c>
      <c r="L45" s="8" t="s">
        <v>397</v>
      </c>
      <c r="M45" s="8" t="s">
        <v>2808</v>
      </c>
      <c r="N45" s="8" t="s">
        <v>394</v>
      </c>
      <c r="O45" s="8">
        <v>508.28</v>
      </c>
      <c r="P45" s="8">
        <v>564.75</v>
      </c>
      <c r="Q45" s="8" t="s">
        <v>2496</v>
      </c>
      <c r="R45" s="8" t="s">
        <v>398</v>
      </c>
    </row>
    <row r="46" spans="1:20" x14ac:dyDescent="0.2">
      <c r="A46" s="8" t="s">
        <v>3278</v>
      </c>
      <c r="B46" s="8" t="str">
        <f t="shared" si="0"/>
        <v>1586243679</v>
      </c>
      <c r="C46" s="8" t="str">
        <f t="shared" si="1"/>
        <v>81</v>
      </c>
      <c r="D46" s="8" t="s">
        <v>119</v>
      </c>
      <c r="F46" s="8" t="s">
        <v>178</v>
      </c>
      <c r="G46" s="8" t="s">
        <v>394</v>
      </c>
      <c r="H46" s="8" t="s">
        <v>395</v>
      </c>
      <c r="I46" s="8" t="s">
        <v>181</v>
      </c>
      <c r="J46" s="8" t="s">
        <v>396</v>
      </c>
      <c r="K46" s="8" t="s">
        <v>176</v>
      </c>
      <c r="L46" s="8" t="s">
        <v>397</v>
      </c>
      <c r="M46" s="8" t="s">
        <v>2808</v>
      </c>
      <c r="N46" s="8" t="s">
        <v>394</v>
      </c>
      <c r="O46" s="8">
        <v>508.28</v>
      </c>
      <c r="P46" s="8">
        <v>564.75</v>
      </c>
      <c r="Q46" s="8" t="s">
        <v>2496</v>
      </c>
      <c r="R46" s="8" t="s">
        <v>1862</v>
      </c>
    </row>
    <row r="47" spans="1:20" x14ac:dyDescent="0.2">
      <c r="A47" s="8" t="s">
        <v>3556</v>
      </c>
      <c r="B47" s="8" t="str">
        <f t="shared" si="0"/>
        <v>1586243679</v>
      </c>
      <c r="C47" s="8" t="str">
        <f t="shared" si="1"/>
        <v>82</v>
      </c>
      <c r="D47" s="8" t="s">
        <v>119</v>
      </c>
      <c r="F47" s="8" t="s">
        <v>178</v>
      </c>
      <c r="G47" s="8" t="s">
        <v>394</v>
      </c>
      <c r="H47" s="8" t="s">
        <v>395</v>
      </c>
      <c r="I47" s="8" t="s">
        <v>181</v>
      </c>
      <c r="J47" s="8" t="s">
        <v>396</v>
      </c>
      <c r="K47" s="8" t="s">
        <v>176</v>
      </c>
      <c r="L47" s="8" t="s">
        <v>397</v>
      </c>
      <c r="M47" s="8" t="s">
        <v>2808</v>
      </c>
      <c r="N47" s="8" t="s">
        <v>394</v>
      </c>
      <c r="O47" s="8">
        <v>508.28</v>
      </c>
      <c r="P47" s="8">
        <v>564.75</v>
      </c>
      <c r="Q47" s="8" t="s">
        <v>2496</v>
      </c>
      <c r="R47" s="8" t="s">
        <v>1742</v>
      </c>
    </row>
    <row r="48" spans="1:20" x14ac:dyDescent="0.2">
      <c r="A48" s="8" t="s">
        <v>4317</v>
      </c>
      <c r="B48" s="8" t="str">
        <f t="shared" si="0"/>
        <v>1586243679</v>
      </c>
      <c r="C48" s="8" t="str">
        <f t="shared" si="1"/>
        <v>83</v>
      </c>
      <c r="D48" s="8" t="s">
        <v>119</v>
      </c>
      <c r="F48" s="8" t="s">
        <v>178</v>
      </c>
      <c r="G48" s="8" t="s">
        <v>394</v>
      </c>
      <c r="H48" s="8" t="s">
        <v>395</v>
      </c>
      <c r="I48" s="8" t="s">
        <v>181</v>
      </c>
      <c r="J48" s="8" t="s">
        <v>396</v>
      </c>
      <c r="K48" s="8" t="s">
        <v>176</v>
      </c>
      <c r="L48" s="8" t="s">
        <v>397</v>
      </c>
      <c r="M48" s="8" t="s">
        <v>2808</v>
      </c>
      <c r="N48" s="8" t="s">
        <v>394</v>
      </c>
      <c r="O48" s="8">
        <v>508.28</v>
      </c>
      <c r="P48" s="8">
        <v>564.75</v>
      </c>
      <c r="Q48" s="8" t="s">
        <v>2496</v>
      </c>
      <c r="R48" s="8" t="s">
        <v>2304</v>
      </c>
    </row>
    <row r="49" spans="1:20" x14ac:dyDescent="0.2">
      <c r="A49" s="8" t="s">
        <v>4735</v>
      </c>
      <c r="B49" s="8" t="str">
        <f t="shared" si="0"/>
        <v>1586243679</v>
      </c>
      <c r="C49" s="8" t="str">
        <f t="shared" si="1"/>
        <v>84</v>
      </c>
      <c r="D49" s="8" t="s">
        <v>119</v>
      </c>
      <c r="F49" s="8" t="s">
        <v>178</v>
      </c>
      <c r="G49" s="8" t="s">
        <v>394</v>
      </c>
      <c r="H49" s="8" t="s">
        <v>395</v>
      </c>
      <c r="I49" s="8" t="s">
        <v>181</v>
      </c>
      <c r="J49" s="8" t="s">
        <v>396</v>
      </c>
      <c r="K49" s="8" t="s">
        <v>176</v>
      </c>
      <c r="L49" s="8" t="s">
        <v>397</v>
      </c>
      <c r="M49" s="8" t="s">
        <v>2808</v>
      </c>
      <c r="N49" s="8" t="s">
        <v>394</v>
      </c>
      <c r="O49" s="8">
        <v>508.28</v>
      </c>
      <c r="P49" s="8">
        <v>564.75</v>
      </c>
      <c r="Q49" s="8" t="s">
        <v>2496</v>
      </c>
      <c r="S49" s="8" t="s">
        <v>142</v>
      </c>
      <c r="T49" s="8">
        <v>84.84</v>
      </c>
    </row>
    <row r="50" spans="1:20" x14ac:dyDescent="0.2">
      <c r="A50" s="8" t="s">
        <v>4070</v>
      </c>
      <c r="B50" s="8" t="str">
        <f t="shared" si="0"/>
        <v>1586243679</v>
      </c>
      <c r="C50" s="8" t="str">
        <f t="shared" si="1"/>
        <v>85</v>
      </c>
      <c r="D50" s="8" t="s">
        <v>119</v>
      </c>
      <c r="F50" s="8" t="s">
        <v>178</v>
      </c>
      <c r="G50" s="8" t="s">
        <v>394</v>
      </c>
      <c r="H50" s="8" t="s">
        <v>395</v>
      </c>
      <c r="I50" s="8" t="s">
        <v>181</v>
      </c>
      <c r="J50" s="8" t="s">
        <v>396</v>
      </c>
      <c r="K50" s="8" t="s">
        <v>176</v>
      </c>
      <c r="L50" s="8" t="s">
        <v>397</v>
      </c>
      <c r="M50" s="8" t="s">
        <v>2808</v>
      </c>
      <c r="N50" s="8" t="s">
        <v>394</v>
      </c>
      <c r="O50" s="8">
        <v>508.28</v>
      </c>
      <c r="P50" s="8">
        <v>564.75</v>
      </c>
      <c r="Q50" s="8" t="s">
        <v>2496</v>
      </c>
      <c r="S50" s="8" t="s">
        <v>184</v>
      </c>
      <c r="T50" s="8">
        <v>169.67</v>
      </c>
    </row>
    <row r="51" spans="1:20" x14ac:dyDescent="0.2">
      <c r="A51" s="8" t="s">
        <v>3021</v>
      </c>
      <c r="B51" s="8" t="str">
        <f t="shared" si="0"/>
        <v>1586243679</v>
      </c>
      <c r="C51" s="8" t="str">
        <f t="shared" si="1"/>
        <v>86</v>
      </c>
      <c r="D51" s="8" t="s">
        <v>119</v>
      </c>
      <c r="F51" s="8" t="s">
        <v>178</v>
      </c>
      <c r="G51" s="8" t="s">
        <v>394</v>
      </c>
      <c r="H51" s="8" t="s">
        <v>395</v>
      </c>
      <c r="I51" s="8" t="s">
        <v>181</v>
      </c>
      <c r="J51" s="8" t="s">
        <v>396</v>
      </c>
      <c r="K51" s="8" t="s">
        <v>176</v>
      </c>
      <c r="L51" s="8" t="s">
        <v>397</v>
      </c>
      <c r="M51" s="8" t="s">
        <v>2808</v>
      </c>
      <c r="N51" s="8" t="s">
        <v>394</v>
      </c>
      <c r="O51" s="8">
        <v>508.28</v>
      </c>
      <c r="P51" s="8">
        <v>564.75</v>
      </c>
      <c r="Q51" s="8" t="s">
        <v>2496</v>
      </c>
      <c r="S51" s="8" t="s">
        <v>370</v>
      </c>
      <c r="T51" s="8">
        <v>84.84</v>
      </c>
    </row>
    <row r="52" spans="1:20" x14ac:dyDescent="0.2">
      <c r="A52" s="8" t="s">
        <v>4305</v>
      </c>
      <c r="B52" s="8" t="str">
        <f t="shared" si="0"/>
        <v>1586243683</v>
      </c>
      <c r="C52" s="8" t="str">
        <f t="shared" si="1"/>
        <v>87</v>
      </c>
      <c r="D52" s="8" t="s">
        <v>119</v>
      </c>
      <c r="F52" s="8" t="s">
        <v>178</v>
      </c>
      <c r="G52" s="8" t="s">
        <v>533</v>
      </c>
      <c r="H52" s="8" t="s">
        <v>534</v>
      </c>
      <c r="I52" s="8" t="s">
        <v>181</v>
      </c>
      <c r="J52" s="8" t="s">
        <v>535</v>
      </c>
      <c r="K52" s="8" t="s">
        <v>176</v>
      </c>
      <c r="L52" s="8" t="s">
        <v>536</v>
      </c>
      <c r="M52" s="8" t="s">
        <v>2808</v>
      </c>
      <c r="N52" s="8" t="s">
        <v>533</v>
      </c>
      <c r="O52" s="8">
        <v>508.28</v>
      </c>
      <c r="P52" s="8">
        <v>564.75</v>
      </c>
      <c r="Q52" s="8" t="s">
        <v>2496</v>
      </c>
      <c r="R52" s="8" t="s">
        <v>913</v>
      </c>
    </row>
    <row r="53" spans="1:20" x14ac:dyDescent="0.2">
      <c r="A53" s="8" t="s">
        <v>3457</v>
      </c>
      <c r="B53" s="8" t="str">
        <f t="shared" si="0"/>
        <v>1586243683</v>
      </c>
      <c r="C53" s="8" t="str">
        <f t="shared" si="1"/>
        <v>88</v>
      </c>
      <c r="D53" s="8" t="s">
        <v>119</v>
      </c>
      <c r="F53" s="8" t="s">
        <v>178</v>
      </c>
      <c r="G53" s="8" t="s">
        <v>533</v>
      </c>
      <c r="H53" s="8" t="s">
        <v>534</v>
      </c>
      <c r="I53" s="8" t="s">
        <v>181</v>
      </c>
      <c r="J53" s="8" t="s">
        <v>535</v>
      </c>
      <c r="K53" s="8" t="s">
        <v>176</v>
      </c>
      <c r="L53" s="8" t="s">
        <v>536</v>
      </c>
      <c r="M53" s="8" t="s">
        <v>2808</v>
      </c>
      <c r="N53" s="8" t="s">
        <v>533</v>
      </c>
      <c r="O53" s="8">
        <v>508.28</v>
      </c>
      <c r="P53" s="8">
        <v>564.75</v>
      </c>
      <c r="Q53" s="8" t="s">
        <v>2496</v>
      </c>
      <c r="R53" s="8" t="s">
        <v>1128</v>
      </c>
    </row>
    <row r="54" spans="1:20" x14ac:dyDescent="0.2">
      <c r="A54" s="8" t="s">
        <v>3134</v>
      </c>
      <c r="B54" s="8" t="str">
        <f t="shared" si="0"/>
        <v>1586243683</v>
      </c>
      <c r="C54" s="8" t="str">
        <f t="shared" si="1"/>
        <v>89</v>
      </c>
      <c r="D54" s="8" t="s">
        <v>119</v>
      </c>
      <c r="F54" s="8" t="s">
        <v>178</v>
      </c>
      <c r="G54" s="8" t="s">
        <v>533</v>
      </c>
      <c r="H54" s="8" t="s">
        <v>534</v>
      </c>
      <c r="I54" s="8" t="s">
        <v>181</v>
      </c>
      <c r="J54" s="8" t="s">
        <v>535</v>
      </c>
      <c r="K54" s="8" t="s">
        <v>176</v>
      </c>
      <c r="L54" s="8" t="s">
        <v>536</v>
      </c>
      <c r="M54" s="8" t="s">
        <v>2808</v>
      </c>
      <c r="N54" s="8" t="s">
        <v>533</v>
      </c>
      <c r="O54" s="8">
        <v>508.28</v>
      </c>
      <c r="P54" s="8">
        <v>564.75</v>
      </c>
      <c r="Q54" s="8" t="s">
        <v>2496</v>
      </c>
      <c r="R54" s="8" t="s">
        <v>537</v>
      </c>
    </row>
    <row r="55" spans="1:20" x14ac:dyDescent="0.2">
      <c r="A55" s="8" t="s">
        <v>3129</v>
      </c>
      <c r="B55" s="8" t="str">
        <f t="shared" si="0"/>
        <v>1586243683</v>
      </c>
      <c r="C55" s="8" t="str">
        <f t="shared" si="1"/>
        <v>90</v>
      </c>
      <c r="D55" s="8" t="s">
        <v>119</v>
      </c>
      <c r="F55" s="8" t="s">
        <v>178</v>
      </c>
      <c r="G55" s="8" t="s">
        <v>533</v>
      </c>
      <c r="H55" s="8" t="s">
        <v>534</v>
      </c>
      <c r="I55" s="8" t="s">
        <v>181</v>
      </c>
      <c r="J55" s="8" t="s">
        <v>535</v>
      </c>
      <c r="K55" s="8" t="s">
        <v>176</v>
      </c>
      <c r="L55" s="8" t="s">
        <v>536</v>
      </c>
      <c r="M55" s="8" t="s">
        <v>2808</v>
      </c>
      <c r="N55" s="8" t="s">
        <v>533</v>
      </c>
      <c r="O55" s="8">
        <v>508.28</v>
      </c>
      <c r="P55" s="8">
        <v>564.75</v>
      </c>
      <c r="Q55" s="8" t="s">
        <v>2496</v>
      </c>
      <c r="R55" s="8" t="s">
        <v>2168</v>
      </c>
    </row>
    <row r="56" spans="1:20" x14ac:dyDescent="0.2">
      <c r="A56" s="8" t="s">
        <v>4310</v>
      </c>
      <c r="B56" s="8" t="str">
        <f t="shared" si="0"/>
        <v>1586243683</v>
      </c>
      <c r="C56" s="8" t="str">
        <f t="shared" si="1"/>
        <v>91</v>
      </c>
      <c r="D56" s="8" t="s">
        <v>119</v>
      </c>
      <c r="F56" s="8" t="s">
        <v>178</v>
      </c>
      <c r="G56" s="8" t="s">
        <v>533</v>
      </c>
      <c r="H56" s="8" t="s">
        <v>534</v>
      </c>
      <c r="I56" s="8" t="s">
        <v>181</v>
      </c>
      <c r="J56" s="8" t="s">
        <v>535</v>
      </c>
      <c r="K56" s="8" t="s">
        <v>176</v>
      </c>
      <c r="L56" s="8" t="s">
        <v>536</v>
      </c>
      <c r="M56" s="8" t="s">
        <v>2808</v>
      </c>
      <c r="N56" s="8" t="s">
        <v>533</v>
      </c>
      <c r="O56" s="8">
        <v>508.28</v>
      </c>
      <c r="P56" s="8">
        <v>564.75</v>
      </c>
      <c r="Q56" s="8" t="s">
        <v>2496</v>
      </c>
      <c r="R56" s="8" t="s">
        <v>2109</v>
      </c>
    </row>
    <row r="57" spans="1:20" x14ac:dyDescent="0.2">
      <c r="A57" s="8" t="s">
        <v>2807</v>
      </c>
      <c r="B57" s="8" t="str">
        <f t="shared" si="0"/>
        <v>1586243683</v>
      </c>
      <c r="C57" s="8" t="str">
        <f t="shared" si="1"/>
        <v>92</v>
      </c>
      <c r="D57" s="8" t="s">
        <v>119</v>
      </c>
      <c r="F57" s="8" t="s">
        <v>178</v>
      </c>
      <c r="G57" s="8" t="s">
        <v>533</v>
      </c>
      <c r="H57" s="8" t="s">
        <v>534</v>
      </c>
      <c r="I57" s="8" t="s">
        <v>181</v>
      </c>
      <c r="J57" s="8" t="s">
        <v>535</v>
      </c>
      <c r="K57" s="8" t="s">
        <v>176</v>
      </c>
      <c r="L57" s="8" t="s">
        <v>536</v>
      </c>
      <c r="M57" s="8" t="s">
        <v>2808</v>
      </c>
      <c r="N57" s="8" t="s">
        <v>533</v>
      </c>
      <c r="O57" s="8">
        <v>508.28</v>
      </c>
      <c r="P57" s="8">
        <v>564.75</v>
      </c>
      <c r="Q57" s="8" t="s">
        <v>2496</v>
      </c>
      <c r="S57" s="8" t="s">
        <v>142</v>
      </c>
      <c r="T57" s="8">
        <v>84.84</v>
      </c>
    </row>
    <row r="58" spans="1:20" x14ac:dyDescent="0.2">
      <c r="A58" s="8" t="s">
        <v>3902</v>
      </c>
      <c r="B58" s="8" t="str">
        <f t="shared" si="0"/>
        <v>1586243683</v>
      </c>
      <c r="C58" s="8" t="str">
        <f t="shared" si="1"/>
        <v>93</v>
      </c>
      <c r="D58" s="8" t="s">
        <v>119</v>
      </c>
      <c r="F58" s="8" t="s">
        <v>178</v>
      </c>
      <c r="G58" s="8" t="s">
        <v>533</v>
      </c>
      <c r="H58" s="8" t="s">
        <v>534</v>
      </c>
      <c r="I58" s="8" t="s">
        <v>181</v>
      </c>
      <c r="J58" s="8" t="s">
        <v>535</v>
      </c>
      <c r="K58" s="8" t="s">
        <v>176</v>
      </c>
      <c r="L58" s="8" t="s">
        <v>536</v>
      </c>
      <c r="M58" s="8" t="s">
        <v>2808</v>
      </c>
      <c r="N58" s="8" t="s">
        <v>533</v>
      </c>
      <c r="O58" s="8">
        <v>508.28</v>
      </c>
      <c r="P58" s="8">
        <v>564.75</v>
      </c>
      <c r="Q58" s="8" t="s">
        <v>2496</v>
      </c>
      <c r="S58" s="8" t="s">
        <v>184</v>
      </c>
      <c r="T58" s="8">
        <v>169.67</v>
      </c>
    </row>
    <row r="59" spans="1:20" x14ac:dyDescent="0.2">
      <c r="A59" s="8" t="s">
        <v>4249</v>
      </c>
      <c r="B59" s="8" t="str">
        <f t="shared" si="0"/>
        <v>1586243683</v>
      </c>
      <c r="C59" s="8" t="str">
        <f t="shared" si="1"/>
        <v>94</v>
      </c>
      <c r="D59" s="8" t="s">
        <v>119</v>
      </c>
      <c r="F59" s="8" t="s">
        <v>178</v>
      </c>
      <c r="G59" s="8" t="s">
        <v>533</v>
      </c>
      <c r="H59" s="8" t="s">
        <v>534</v>
      </c>
      <c r="I59" s="8" t="s">
        <v>181</v>
      </c>
      <c r="J59" s="8" t="s">
        <v>535</v>
      </c>
      <c r="K59" s="8" t="s">
        <v>176</v>
      </c>
      <c r="L59" s="8" t="s">
        <v>536</v>
      </c>
      <c r="M59" s="8" t="s">
        <v>2808</v>
      </c>
      <c r="N59" s="8" t="s">
        <v>533</v>
      </c>
      <c r="O59" s="8">
        <v>508.28</v>
      </c>
      <c r="P59" s="8">
        <v>564.75</v>
      </c>
      <c r="Q59" s="8" t="s">
        <v>2496</v>
      </c>
      <c r="S59" s="8" t="s">
        <v>370</v>
      </c>
      <c r="T59" s="8">
        <v>84.84</v>
      </c>
    </row>
    <row r="60" spans="1:20" x14ac:dyDescent="0.2">
      <c r="A60" s="8" t="s">
        <v>2940</v>
      </c>
      <c r="B60" s="8" t="str">
        <f t="shared" si="0"/>
        <v>1586243687</v>
      </c>
      <c r="C60" s="8" t="str">
        <f t="shared" si="1"/>
        <v>95</v>
      </c>
      <c r="D60" s="8" t="s">
        <v>119</v>
      </c>
      <c r="F60" s="8" t="s">
        <v>178</v>
      </c>
      <c r="G60" s="8" t="s">
        <v>366</v>
      </c>
      <c r="H60" s="8" t="s">
        <v>367</v>
      </c>
      <c r="I60" s="8" t="s">
        <v>181</v>
      </c>
      <c r="J60" s="8" t="s">
        <v>368</v>
      </c>
      <c r="K60" s="8" t="s">
        <v>176</v>
      </c>
      <c r="L60" s="8" t="s">
        <v>369</v>
      </c>
      <c r="M60" s="8" t="s">
        <v>2808</v>
      </c>
      <c r="N60" s="8" t="s">
        <v>366</v>
      </c>
      <c r="O60" s="8">
        <v>508.28</v>
      </c>
      <c r="P60" s="8">
        <v>564.75</v>
      </c>
      <c r="Q60" s="8" t="s">
        <v>2496</v>
      </c>
      <c r="R60" s="8" t="s">
        <v>2073</v>
      </c>
    </row>
    <row r="61" spans="1:20" x14ac:dyDescent="0.2">
      <c r="A61" s="8" t="s">
        <v>3114</v>
      </c>
      <c r="B61" s="8" t="str">
        <f t="shared" si="0"/>
        <v>1586243687</v>
      </c>
      <c r="C61" s="8" t="str">
        <f t="shared" si="1"/>
        <v>96</v>
      </c>
      <c r="D61" s="8" t="s">
        <v>119</v>
      </c>
      <c r="F61" s="8" t="s">
        <v>178</v>
      </c>
      <c r="G61" s="8" t="s">
        <v>366</v>
      </c>
      <c r="H61" s="8" t="s">
        <v>367</v>
      </c>
      <c r="I61" s="8" t="s">
        <v>181</v>
      </c>
      <c r="J61" s="8" t="s">
        <v>368</v>
      </c>
      <c r="K61" s="8" t="s">
        <v>176</v>
      </c>
      <c r="L61" s="8" t="s">
        <v>369</v>
      </c>
      <c r="M61" s="8" t="s">
        <v>2808</v>
      </c>
      <c r="N61" s="8" t="s">
        <v>366</v>
      </c>
      <c r="O61" s="8">
        <v>508.28</v>
      </c>
      <c r="P61" s="8">
        <v>564.75</v>
      </c>
      <c r="Q61" s="8" t="s">
        <v>2496</v>
      </c>
      <c r="R61" s="8" t="s">
        <v>2350</v>
      </c>
    </row>
    <row r="62" spans="1:20" x14ac:dyDescent="0.2">
      <c r="A62" s="8" t="s">
        <v>3391</v>
      </c>
      <c r="B62" s="8" t="str">
        <f t="shared" si="0"/>
        <v>1586243687</v>
      </c>
      <c r="C62" s="8" t="str">
        <f t="shared" si="1"/>
        <v>97</v>
      </c>
      <c r="D62" s="8" t="s">
        <v>119</v>
      </c>
      <c r="F62" s="8" t="s">
        <v>178</v>
      </c>
      <c r="G62" s="8" t="s">
        <v>366</v>
      </c>
      <c r="H62" s="8" t="s">
        <v>367</v>
      </c>
      <c r="I62" s="8" t="s">
        <v>181</v>
      </c>
      <c r="J62" s="8" t="s">
        <v>368</v>
      </c>
      <c r="K62" s="8" t="s">
        <v>176</v>
      </c>
      <c r="L62" s="8" t="s">
        <v>369</v>
      </c>
      <c r="M62" s="8" t="s">
        <v>2808</v>
      </c>
      <c r="N62" s="8" t="s">
        <v>366</v>
      </c>
      <c r="O62" s="8">
        <v>508.28</v>
      </c>
      <c r="P62" s="8">
        <v>564.75</v>
      </c>
      <c r="Q62" s="8" t="s">
        <v>2496</v>
      </c>
      <c r="R62" s="8" t="s">
        <v>1971</v>
      </c>
    </row>
    <row r="63" spans="1:20" x14ac:dyDescent="0.2">
      <c r="A63" s="8" t="s">
        <v>3709</v>
      </c>
      <c r="B63" s="8" t="str">
        <f t="shared" si="0"/>
        <v>1586243687</v>
      </c>
      <c r="C63" s="8" t="str">
        <f t="shared" si="1"/>
        <v>98</v>
      </c>
      <c r="D63" s="8" t="s">
        <v>119</v>
      </c>
      <c r="F63" s="8" t="s">
        <v>178</v>
      </c>
      <c r="G63" s="8" t="s">
        <v>366</v>
      </c>
      <c r="H63" s="8" t="s">
        <v>367</v>
      </c>
      <c r="I63" s="8" t="s">
        <v>181</v>
      </c>
      <c r="J63" s="8" t="s">
        <v>368</v>
      </c>
      <c r="K63" s="8" t="s">
        <v>176</v>
      </c>
      <c r="L63" s="8" t="s">
        <v>369</v>
      </c>
      <c r="M63" s="8" t="s">
        <v>2808</v>
      </c>
      <c r="N63" s="8" t="s">
        <v>366</v>
      </c>
      <c r="O63" s="8">
        <v>508.28</v>
      </c>
      <c r="P63" s="8">
        <v>564.75</v>
      </c>
      <c r="Q63" s="8" t="s">
        <v>2496</v>
      </c>
      <c r="R63" s="8" t="s">
        <v>2187</v>
      </c>
    </row>
    <row r="64" spans="1:20" x14ac:dyDescent="0.2">
      <c r="A64" s="8" t="s">
        <v>3170</v>
      </c>
      <c r="B64" s="8" t="str">
        <f t="shared" si="0"/>
        <v>1586243687</v>
      </c>
      <c r="C64" s="8" t="str">
        <f t="shared" si="1"/>
        <v>99</v>
      </c>
      <c r="D64" s="8" t="s">
        <v>119</v>
      </c>
      <c r="F64" s="8" t="s">
        <v>178</v>
      </c>
      <c r="G64" s="8" t="s">
        <v>366</v>
      </c>
      <c r="H64" s="8" t="s">
        <v>367</v>
      </c>
      <c r="I64" s="8" t="s">
        <v>181</v>
      </c>
      <c r="J64" s="8" t="s">
        <v>368</v>
      </c>
      <c r="K64" s="8" t="s">
        <v>176</v>
      </c>
      <c r="L64" s="8" t="s">
        <v>369</v>
      </c>
      <c r="M64" s="8" t="s">
        <v>2808</v>
      </c>
      <c r="N64" s="8" t="s">
        <v>366</v>
      </c>
      <c r="O64" s="8">
        <v>508.28</v>
      </c>
      <c r="P64" s="8">
        <v>564.75</v>
      </c>
      <c r="Q64" s="8" t="s">
        <v>2496</v>
      </c>
      <c r="R64" s="8" t="s">
        <v>1224</v>
      </c>
    </row>
    <row r="65" spans="1:20" x14ac:dyDescent="0.2">
      <c r="A65" s="8" t="s">
        <v>3187</v>
      </c>
      <c r="B65" s="8" t="str">
        <f t="shared" si="0"/>
        <v>1586243687</v>
      </c>
      <c r="C65" s="8" t="str">
        <f t="shared" si="1"/>
        <v>100</v>
      </c>
      <c r="D65" s="8" t="s">
        <v>119</v>
      </c>
      <c r="F65" s="8" t="s">
        <v>178</v>
      </c>
      <c r="G65" s="8" t="s">
        <v>366</v>
      </c>
      <c r="H65" s="8" t="s">
        <v>367</v>
      </c>
      <c r="I65" s="8" t="s">
        <v>181</v>
      </c>
      <c r="J65" s="8" t="s">
        <v>368</v>
      </c>
      <c r="K65" s="8" t="s">
        <v>176</v>
      </c>
      <c r="L65" s="8" t="s">
        <v>369</v>
      </c>
      <c r="M65" s="8" t="s">
        <v>2808</v>
      </c>
      <c r="N65" s="8" t="s">
        <v>366</v>
      </c>
      <c r="O65" s="8">
        <v>508.28</v>
      </c>
      <c r="P65" s="8">
        <v>564.75</v>
      </c>
      <c r="Q65" s="8" t="s">
        <v>2496</v>
      </c>
      <c r="S65" s="8" t="s">
        <v>142</v>
      </c>
      <c r="T65" s="8">
        <v>47.21</v>
      </c>
    </row>
    <row r="66" spans="1:20" x14ac:dyDescent="0.2">
      <c r="A66" s="8" t="s">
        <v>4168</v>
      </c>
      <c r="B66" s="8" t="str">
        <f t="shared" ref="B66:B129" si="2">LEFT(A66, FIND("-", A66) - 1)</f>
        <v>1586243687</v>
      </c>
      <c r="C66" s="8" t="str">
        <f t="shared" ref="C66:C129" si="3">RIGHT(A66, LEN(A66) - FIND("-", A66))</f>
        <v>101</v>
      </c>
      <c r="D66" s="8" t="s">
        <v>119</v>
      </c>
      <c r="F66" s="8" t="s">
        <v>178</v>
      </c>
      <c r="G66" s="8" t="s">
        <v>366</v>
      </c>
      <c r="H66" s="8" t="s">
        <v>367</v>
      </c>
      <c r="I66" s="8" t="s">
        <v>181</v>
      </c>
      <c r="J66" s="8" t="s">
        <v>368</v>
      </c>
      <c r="K66" s="8" t="s">
        <v>176</v>
      </c>
      <c r="L66" s="8" t="s">
        <v>369</v>
      </c>
      <c r="M66" s="8" t="s">
        <v>2808</v>
      </c>
      <c r="N66" s="8" t="s">
        <v>366</v>
      </c>
      <c r="O66" s="8">
        <v>508.28</v>
      </c>
      <c r="P66" s="8">
        <v>564.75</v>
      </c>
      <c r="Q66" s="8" t="s">
        <v>2496</v>
      </c>
      <c r="S66" s="8" t="s">
        <v>370</v>
      </c>
      <c r="T66" s="8">
        <v>84.84</v>
      </c>
    </row>
    <row r="67" spans="1:20" x14ac:dyDescent="0.2">
      <c r="A67" s="8" t="s">
        <v>4693</v>
      </c>
      <c r="B67" s="8" t="str">
        <f t="shared" si="2"/>
        <v>1586243687</v>
      </c>
      <c r="C67" s="8" t="str">
        <f t="shared" si="3"/>
        <v>102</v>
      </c>
      <c r="D67" s="8" t="s">
        <v>119</v>
      </c>
      <c r="F67" s="8" t="s">
        <v>178</v>
      </c>
      <c r="G67" s="8" t="s">
        <v>366</v>
      </c>
      <c r="H67" s="8" t="s">
        <v>367</v>
      </c>
      <c r="I67" s="8" t="s">
        <v>181</v>
      </c>
      <c r="J67" s="8" t="s">
        <v>368</v>
      </c>
      <c r="K67" s="8" t="s">
        <v>176</v>
      </c>
      <c r="L67" s="8" t="s">
        <v>369</v>
      </c>
      <c r="M67" s="8" t="s">
        <v>2808</v>
      </c>
      <c r="N67" s="8" t="s">
        <v>366</v>
      </c>
      <c r="O67" s="8">
        <v>508.28</v>
      </c>
      <c r="P67" s="8">
        <v>564.75</v>
      </c>
      <c r="Q67" s="8" t="s">
        <v>2496</v>
      </c>
      <c r="S67" s="8" t="s">
        <v>184</v>
      </c>
      <c r="T67" s="8">
        <v>169.67</v>
      </c>
    </row>
    <row r="68" spans="1:20" x14ac:dyDescent="0.2">
      <c r="A68" s="8" t="s">
        <v>2954</v>
      </c>
      <c r="B68" s="8" t="str">
        <f t="shared" si="2"/>
        <v>1586243692</v>
      </c>
      <c r="C68" s="8" t="str">
        <f t="shared" si="3"/>
        <v>103</v>
      </c>
      <c r="D68" s="8" t="s">
        <v>119</v>
      </c>
      <c r="F68" s="8" t="s">
        <v>178</v>
      </c>
      <c r="G68" s="8" t="s">
        <v>725</v>
      </c>
      <c r="H68" s="8" t="s">
        <v>726</v>
      </c>
      <c r="I68" s="8" t="s">
        <v>181</v>
      </c>
      <c r="J68" s="8" t="s">
        <v>727</v>
      </c>
      <c r="K68" s="8" t="s">
        <v>190</v>
      </c>
      <c r="L68" s="8" t="s">
        <v>728</v>
      </c>
      <c r="M68" s="8" t="s">
        <v>2808</v>
      </c>
      <c r="N68" s="8" t="s">
        <v>725</v>
      </c>
      <c r="O68" s="8">
        <v>978.93</v>
      </c>
      <c r="P68" s="8">
        <v>1087.7</v>
      </c>
      <c r="Q68" s="8" t="s">
        <v>2497</v>
      </c>
      <c r="R68" s="8" t="s">
        <v>729</v>
      </c>
    </row>
    <row r="69" spans="1:20" x14ac:dyDescent="0.2">
      <c r="A69" s="8" t="s">
        <v>3834</v>
      </c>
      <c r="B69" s="8" t="str">
        <f t="shared" si="2"/>
        <v>1586243692</v>
      </c>
      <c r="C69" s="8" t="str">
        <f t="shared" si="3"/>
        <v>104</v>
      </c>
      <c r="D69" s="8" t="s">
        <v>119</v>
      </c>
      <c r="F69" s="8" t="s">
        <v>178</v>
      </c>
      <c r="G69" s="8" t="s">
        <v>725</v>
      </c>
      <c r="H69" s="8" t="s">
        <v>726</v>
      </c>
      <c r="I69" s="8" t="s">
        <v>181</v>
      </c>
      <c r="J69" s="8" t="s">
        <v>727</v>
      </c>
      <c r="K69" s="8" t="s">
        <v>190</v>
      </c>
      <c r="L69" s="8" t="s">
        <v>728</v>
      </c>
      <c r="M69" s="8" t="s">
        <v>2808</v>
      </c>
      <c r="N69" s="8" t="s">
        <v>725</v>
      </c>
      <c r="O69" s="8">
        <v>978.93</v>
      </c>
      <c r="P69" s="8">
        <v>1087.7</v>
      </c>
      <c r="Q69" s="8" t="s">
        <v>2497</v>
      </c>
      <c r="R69" s="8" t="s">
        <v>1106</v>
      </c>
    </row>
    <row r="70" spans="1:20" x14ac:dyDescent="0.2">
      <c r="A70" s="8" t="s">
        <v>3294</v>
      </c>
      <c r="B70" s="8" t="str">
        <f t="shared" si="2"/>
        <v>1586243692</v>
      </c>
      <c r="C70" s="8" t="str">
        <f t="shared" si="3"/>
        <v>105</v>
      </c>
      <c r="D70" s="8" t="s">
        <v>119</v>
      </c>
      <c r="F70" s="8" t="s">
        <v>178</v>
      </c>
      <c r="G70" s="8" t="s">
        <v>725</v>
      </c>
      <c r="H70" s="8" t="s">
        <v>726</v>
      </c>
      <c r="I70" s="8" t="s">
        <v>181</v>
      </c>
      <c r="J70" s="8" t="s">
        <v>727</v>
      </c>
      <c r="K70" s="8" t="s">
        <v>190</v>
      </c>
      <c r="L70" s="8" t="s">
        <v>728</v>
      </c>
      <c r="M70" s="8" t="s">
        <v>2808</v>
      </c>
      <c r="N70" s="8" t="s">
        <v>725</v>
      </c>
      <c r="O70" s="8">
        <v>978.93</v>
      </c>
      <c r="P70" s="8">
        <v>1087.7</v>
      </c>
      <c r="Q70" s="8" t="s">
        <v>2497</v>
      </c>
      <c r="R70" s="8" t="s">
        <v>2132</v>
      </c>
    </row>
    <row r="71" spans="1:20" x14ac:dyDescent="0.2">
      <c r="A71" s="8" t="s">
        <v>4524</v>
      </c>
      <c r="B71" s="8" t="str">
        <f t="shared" si="2"/>
        <v>1586243692</v>
      </c>
      <c r="C71" s="8" t="str">
        <f t="shared" si="3"/>
        <v>106</v>
      </c>
      <c r="D71" s="8" t="s">
        <v>119</v>
      </c>
      <c r="F71" s="8" t="s">
        <v>178</v>
      </c>
      <c r="G71" s="8" t="s">
        <v>725</v>
      </c>
      <c r="H71" s="8" t="s">
        <v>726</v>
      </c>
      <c r="I71" s="8" t="s">
        <v>181</v>
      </c>
      <c r="J71" s="8" t="s">
        <v>727</v>
      </c>
      <c r="K71" s="8" t="s">
        <v>190</v>
      </c>
      <c r="L71" s="8" t="s">
        <v>728</v>
      </c>
      <c r="M71" s="8" t="s">
        <v>2808</v>
      </c>
      <c r="N71" s="8" t="s">
        <v>725</v>
      </c>
      <c r="O71" s="8">
        <v>978.93</v>
      </c>
      <c r="P71" s="8">
        <v>1087.7</v>
      </c>
      <c r="Q71" s="8" t="s">
        <v>2497</v>
      </c>
      <c r="S71" s="8" t="s">
        <v>331</v>
      </c>
      <c r="T71" s="8">
        <v>102.54</v>
      </c>
    </row>
    <row r="72" spans="1:20" x14ac:dyDescent="0.2">
      <c r="A72" s="8" t="s">
        <v>3063</v>
      </c>
      <c r="B72" s="8" t="str">
        <f t="shared" si="2"/>
        <v>1586243696</v>
      </c>
      <c r="C72" s="8" t="str">
        <f t="shared" si="3"/>
        <v>107</v>
      </c>
      <c r="D72" s="8" t="s">
        <v>119</v>
      </c>
      <c r="F72" s="8" t="s">
        <v>178</v>
      </c>
      <c r="G72" s="8" t="s">
        <v>222</v>
      </c>
      <c r="H72" s="8" t="s">
        <v>223</v>
      </c>
      <c r="I72" s="8" t="s">
        <v>152</v>
      </c>
      <c r="J72" s="8" t="s">
        <v>224</v>
      </c>
      <c r="K72" s="8" t="s">
        <v>125</v>
      </c>
      <c r="L72" s="8" t="s">
        <v>225</v>
      </c>
      <c r="M72" s="8" t="s">
        <v>2808</v>
      </c>
      <c r="N72" s="8" t="s">
        <v>222</v>
      </c>
      <c r="O72" s="8">
        <v>310.57</v>
      </c>
      <c r="P72" s="8">
        <v>345.08</v>
      </c>
      <c r="Q72" s="8" t="s">
        <v>2498</v>
      </c>
      <c r="R72" s="8" t="s">
        <v>2123</v>
      </c>
    </row>
    <row r="73" spans="1:20" x14ac:dyDescent="0.2">
      <c r="A73" s="8" t="s">
        <v>4615</v>
      </c>
      <c r="B73" s="8" t="str">
        <f t="shared" si="2"/>
        <v>1586243696</v>
      </c>
      <c r="C73" s="8" t="str">
        <f t="shared" si="3"/>
        <v>108</v>
      </c>
      <c r="D73" s="8" t="s">
        <v>119</v>
      </c>
      <c r="F73" s="8" t="s">
        <v>178</v>
      </c>
      <c r="G73" s="8" t="s">
        <v>222</v>
      </c>
      <c r="H73" s="8" t="s">
        <v>223</v>
      </c>
      <c r="I73" s="8" t="s">
        <v>152</v>
      </c>
      <c r="J73" s="8" t="s">
        <v>224</v>
      </c>
      <c r="K73" s="8" t="s">
        <v>125</v>
      </c>
      <c r="L73" s="8" t="s">
        <v>225</v>
      </c>
      <c r="M73" s="8" t="s">
        <v>2808</v>
      </c>
      <c r="N73" s="8" t="s">
        <v>222</v>
      </c>
      <c r="O73" s="8">
        <v>310.57</v>
      </c>
      <c r="P73" s="8">
        <v>345.08</v>
      </c>
      <c r="Q73" s="8" t="s">
        <v>2498</v>
      </c>
      <c r="R73" s="8" t="s">
        <v>1465</v>
      </c>
    </row>
    <row r="74" spans="1:20" x14ac:dyDescent="0.2">
      <c r="A74" s="8" t="s">
        <v>3123</v>
      </c>
      <c r="B74" s="8" t="str">
        <f t="shared" si="2"/>
        <v>1586243696</v>
      </c>
      <c r="C74" s="8" t="str">
        <f t="shared" si="3"/>
        <v>109</v>
      </c>
      <c r="D74" s="8" t="s">
        <v>119</v>
      </c>
      <c r="F74" s="8" t="s">
        <v>178</v>
      </c>
      <c r="G74" s="8" t="s">
        <v>222</v>
      </c>
      <c r="H74" s="8" t="s">
        <v>223</v>
      </c>
      <c r="I74" s="8" t="s">
        <v>152</v>
      </c>
      <c r="J74" s="8" t="s">
        <v>224</v>
      </c>
      <c r="K74" s="8" t="s">
        <v>125</v>
      </c>
      <c r="L74" s="8" t="s">
        <v>225</v>
      </c>
      <c r="M74" s="8" t="s">
        <v>2808</v>
      </c>
      <c r="N74" s="8" t="s">
        <v>222</v>
      </c>
      <c r="O74" s="8">
        <v>310.57</v>
      </c>
      <c r="P74" s="8">
        <v>345.08</v>
      </c>
      <c r="Q74" s="8" t="s">
        <v>2498</v>
      </c>
      <c r="R74" s="8" t="s">
        <v>226</v>
      </c>
    </row>
    <row r="75" spans="1:20" x14ac:dyDescent="0.2">
      <c r="A75" s="8" t="s">
        <v>3025</v>
      </c>
      <c r="B75" s="8" t="str">
        <f t="shared" si="2"/>
        <v>1586243696</v>
      </c>
      <c r="C75" s="8" t="str">
        <f t="shared" si="3"/>
        <v>110</v>
      </c>
      <c r="D75" s="8" t="s">
        <v>119</v>
      </c>
      <c r="F75" s="8" t="s">
        <v>178</v>
      </c>
      <c r="G75" s="8" t="s">
        <v>222</v>
      </c>
      <c r="H75" s="8" t="s">
        <v>223</v>
      </c>
      <c r="I75" s="8" t="s">
        <v>152</v>
      </c>
      <c r="J75" s="8" t="s">
        <v>224</v>
      </c>
      <c r="K75" s="8" t="s">
        <v>125</v>
      </c>
      <c r="L75" s="8" t="s">
        <v>225</v>
      </c>
      <c r="M75" s="8" t="s">
        <v>2808</v>
      </c>
      <c r="N75" s="8" t="s">
        <v>222</v>
      </c>
      <c r="O75" s="8">
        <v>310.57</v>
      </c>
      <c r="P75" s="8">
        <v>345.08</v>
      </c>
      <c r="Q75" s="8" t="s">
        <v>2498</v>
      </c>
      <c r="S75" s="8" t="s">
        <v>1261</v>
      </c>
      <c r="T75" s="8">
        <v>28.03</v>
      </c>
    </row>
    <row r="76" spans="1:20" x14ac:dyDescent="0.2">
      <c r="A76" s="8" t="s">
        <v>3691</v>
      </c>
      <c r="B76" s="8" t="str">
        <f t="shared" si="2"/>
        <v>1586243698</v>
      </c>
      <c r="C76" s="8" t="str">
        <f t="shared" si="3"/>
        <v>111</v>
      </c>
      <c r="D76" s="8" t="s">
        <v>119</v>
      </c>
      <c r="F76" s="8" t="s">
        <v>178</v>
      </c>
      <c r="G76" s="8" t="s">
        <v>222</v>
      </c>
      <c r="H76" s="8" t="s">
        <v>223</v>
      </c>
      <c r="I76" s="8" t="s">
        <v>152</v>
      </c>
      <c r="J76" s="8" t="s">
        <v>1571</v>
      </c>
      <c r="K76" s="8" t="s">
        <v>93</v>
      </c>
      <c r="L76" s="8" t="s">
        <v>1572</v>
      </c>
      <c r="M76" s="8" t="s">
        <v>2808</v>
      </c>
      <c r="N76" s="8" t="s">
        <v>222</v>
      </c>
      <c r="O76" s="8">
        <v>366.64</v>
      </c>
      <c r="P76" s="8">
        <v>407.38</v>
      </c>
      <c r="Q76" s="8" t="s">
        <v>2499</v>
      </c>
      <c r="R76" s="8" t="s">
        <v>1573</v>
      </c>
    </row>
    <row r="77" spans="1:20" x14ac:dyDescent="0.2">
      <c r="A77" s="8" t="s">
        <v>4427</v>
      </c>
      <c r="B77" s="8" t="str">
        <f t="shared" si="2"/>
        <v>1586243698</v>
      </c>
      <c r="C77" s="8" t="str">
        <f t="shared" si="3"/>
        <v>112</v>
      </c>
      <c r="D77" s="8" t="s">
        <v>119</v>
      </c>
      <c r="F77" s="8" t="s">
        <v>178</v>
      </c>
      <c r="G77" s="8" t="s">
        <v>222</v>
      </c>
      <c r="H77" s="8" t="s">
        <v>223</v>
      </c>
      <c r="I77" s="8" t="s">
        <v>152</v>
      </c>
      <c r="J77" s="8" t="s">
        <v>1571</v>
      </c>
      <c r="K77" s="8" t="s">
        <v>93</v>
      </c>
      <c r="L77" s="8" t="s">
        <v>1572</v>
      </c>
      <c r="M77" s="8" t="s">
        <v>2808</v>
      </c>
      <c r="N77" s="8" t="s">
        <v>222</v>
      </c>
      <c r="O77" s="8">
        <v>366.64</v>
      </c>
      <c r="P77" s="8">
        <v>407.38</v>
      </c>
      <c r="Q77" s="8" t="s">
        <v>2499</v>
      </c>
      <c r="R77" s="8" t="s">
        <v>2173</v>
      </c>
    </row>
    <row r="78" spans="1:20" x14ac:dyDescent="0.2">
      <c r="A78" s="8" t="s">
        <v>3266</v>
      </c>
      <c r="B78" s="8" t="str">
        <f t="shared" si="2"/>
        <v>1586243698</v>
      </c>
      <c r="C78" s="8" t="str">
        <f t="shared" si="3"/>
        <v>113</v>
      </c>
      <c r="D78" s="8" t="s">
        <v>119</v>
      </c>
      <c r="F78" s="8" t="s">
        <v>178</v>
      </c>
      <c r="G78" s="8" t="s">
        <v>222</v>
      </c>
      <c r="H78" s="8" t="s">
        <v>223</v>
      </c>
      <c r="I78" s="8" t="s">
        <v>152</v>
      </c>
      <c r="J78" s="8" t="s">
        <v>1571</v>
      </c>
      <c r="K78" s="8" t="s">
        <v>93</v>
      </c>
      <c r="L78" s="8" t="s">
        <v>1572</v>
      </c>
      <c r="M78" s="8" t="s">
        <v>2808</v>
      </c>
      <c r="N78" s="8" t="s">
        <v>222</v>
      </c>
      <c r="O78" s="8">
        <v>366.64</v>
      </c>
      <c r="P78" s="8">
        <v>407.38</v>
      </c>
      <c r="Q78" s="8" t="s">
        <v>2499</v>
      </c>
      <c r="R78" s="8" t="s">
        <v>2425</v>
      </c>
    </row>
    <row r="79" spans="1:20" x14ac:dyDescent="0.2">
      <c r="A79" s="8" t="s">
        <v>4111</v>
      </c>
      <c r="B79" s="8" t="str">
        <f t="shared" si="2"/>
        <v>1586243702</v>
      </c>
      <c r="C79" s="8" t="str">
        <f t="shared" si="3"/>
        <v>114</v>
      </c>
      <c r="D79" s="8" t="s">
        <v>119</v>
      </c>
      <c r="F79" s="8" t="s">
        <v>178</v>
      </c>
      <c r="G79" s="8" t="s">
        <v>1193</v>
      </c>
      <c r="H79" s="8" t="s">
        <v>1194</v>
      </c>
      <c r="I79" s="8" t="s">
        <v>250</v>
      </c>
      <c r="J79" s="8" t="s">
        <v>1195</v>
      </c>
      <c r="K79" s="8" t="s">
        <v>54</v>
      </c>
      <c r="L79" s="8" t="s">
        <v>1196</v>
      </c>
      <c r="M79" s="8" t="s">
        <v>2808</v>
      </c>
      <c r="N79" s="8" t="s">
        <v>1193</v>
      </c>
      <c r="O79" s="8">
        <v>809.26</v>
      </c>
      <c r="P79" s="8">
        <v>899.18</v>
      </c>
      <c r="Q79" s="8" t="s">
        <v>2500</v>
      </c>
      <c r="R79" s="8" t="s">
        <v>2027</v>
      </c>
    </row>
    <row r="80" spans="1:20" x14ac:dyDescent="0.2">
      <c r="A80" s="8" t="s">
        <v>4108</v>
      </c>
      <c r="B80" s="8" t="str">
        <f t="shared" si="2"/>
        <v>1586243702</v>
      </c>
      <c r="C80" s="8" t="str">
        <f t="shared" si="3"/>
        <v>115</v>
      </c>
      <c r="D80" s="8" t="s">
        <v>119</v>
      </c>
      <c r="F80" s="8" t="s">
        <v>178</v>
      </c>
      <c r="G80" s="8" t="s">
        <v>1193</v>
      </c>
      <c r="H80" s="8" t="s">
        <v>1194</v>
      </c>
      <c r="I80" s="8" t="s">
        <v>250</v>
      </c>
      <c r="J80" s="8" t="s">
        <v>1195</v>
      </c>
      <c r="K80" s="8" t="s">
        <v>54</v>
      </c>
      <c r="L80" s="8" t="s">
        <v>1196</v>
      </c>
      <c r="M80" s="8" t="s">
        <v>2808</v>
      </c>
      <c r="N80" s="8" t="s">
        <v>1193</v>
      </c>
      <c r="O80" s="8">
        <v>809.26</v>
      </c>
      <c r="P80" s="8">
        <v>899.18</v>
      </c>
      <c r="Q80" s="8" t="s">
        <v>2500</v>
      </c>
      <c r="R80" s="8" t="s">
        <v>1676</v>
      </c>
    </row>
    <row r="81" spans="1:20" x14ac:dyDescent="0.2">
      <c r="A81" s="8" t="s">
        <v>3183</v>
      </c>
      <c r="B81" s="8" t="str">
        <f t="shared" si="2"/>
        <v>1586243702</v>
      </c>
      <c r="C81" s="8" t="str">
        <f t="shared" si="3"/>
        <v>116</v>
      </c>
      <c r="D81" s="8" t="s">
        <v>119</v>
      </c>
      <c r="F81" s="8" t="s">
        <v>178</v>
      </c>
      <c r="G81" s="8" t="s">
        <v>1193</v>
      </c>
      <c r="H81" s="8" t="s">
        <v>1194</v>
      </c>
      <c r="I81" s="8" t="s">
        <v>250</v>
      </c>
      <c r="J81" s="8" t="s">
        <v>1195</v>
      </c>
      <c r="K81" s="8" t="s">
        <v>54</v>
      </c>
      <c r="L81" s="8" t="s">
        <v>1196</v>
      </c>
      <c r="M81" s="8" t="s">
        <v>2808</v>
      </c>
      <c r="N81" s="8" t="s">
        <v>1193</v>
      </c>
      <c r="O81" s="8">
        <v>809.26</v>
      </c>
      <c r="P81" s="8">
        <v>899.18</v>
      </c>
      <c r="Q81" s="8" t="s">
        <v>2500</v>
      </c>
      <c r="R81" s="8" t="s">
        <v>1429</v>
      </c>
    </row>
    <row r="82" spans="1:20" x14ac:dyDescent="0.2">
      <c r="A82" s="8" t="s">
        <v>3296</v>
      </c>
      <c r="B82" s="8" t="str">
        <f t="shared" si="2"/>
        <v>1586243702</v>
      </c>
      <c r="C82" s="8" t="str">
        <f t="shared" si="3"/>
        <v>117</v>
      </c>
      <c r="D82" s="8" t="s">
        <v>119</v>
      </c>
      <c r="F82" s="8" t="s">
        <v>178</v>
      </c>
      <c r="G82" s="8" t="s">
        <v>1193</v>
      </c>
      <c r="H82" s="8" t="s">
        <v>1194</v>
      </c>
      <c r="I82" s="8" t="s">
        <v>250</v>
      </c>
      <c r="J82" s="8" t="s">
        <v>1195</v>
      </c>
      <c r="K82" s="8" t="s">
        <v>54</v>
      </c>
      <c r="L82" s="8" t="s">
        <v>1196</v>
      </c>
      <c r="M82" s="8" t="s">
        <v>2808</v>
      </c>
      <c r="N82" s="8" t="s">
        <v>1193</v>
      </c>
      <c r="O82" s="8">
        <v>809.26</v>
      </c>
      <c r="P82" s="8">
        <v>899.18</v>
      </c>
      <c r="Q82" s="8" t="s">
        <v>2500</v>
      </c>
      <c r="S82" s="8" t="s">
        <v>331</v>
      </c>
      <c r="T82" s="8">
        <v>84.1</v>
      </c>
    </row>
    <row r="83" spans="1:20" x14ac:dyDescent="0.2">
      <c r="A83" s="8" t="s">
        <v>3868</v>
      </c>
      <c r="B83" s="8" t="str">
        <f t="shared" si="2"/>
        <v>1586243702</v>
      </c>
      <c r="C83" s="8" t="str">
        <f t="shared" si="3"/>
        <v>118</v>
      </c>
      <c r="D83" s="8" t="s">
        <v>119</v>
      </c>
      <c r="F83" s="8" t="s">
        <v>178</v>
      </c>
      <c r="G83" s="8" t="s">
        <v>1193</v>
      </c>
      <c r="H83" s="8" t="s">
        <v>1194</v>
      </c>
      <c r="I83" s="8" t="s">
        <v>250</v>
      </c>
      <c r="J83" s="8" t="s">
        <v>1195</v>
      </c>
      <c r="K83" s="8" t="s">
        <v>54</v>
      </c>
      <c r="L83" s="8" t="s">
        <v>1196</v>
      </c>
      <c r="M83" s="8" t="s">
        <v>2808</v>
      </c>
      <c r="N83" s="8" t="s">
        <v>1193</v>
      </c>
      <c r="O83" s="8">
        <v>809.26</v>
      </c>
      <c r="P83" s="8">
        <v>899.18</v>
      </c>
      <c r="Q83" s="8" t="s">
        <v>2500</v>
      </c>
      <c r="S83" s="8" t="s">
        <v>1637</v>
      </c>
      <c r="T83" s="8">
        <v>185.16</v>
      </c>
    </row>
    <row r="84" spans="1:20" x14ac:dyDescent="0.2">
      <c r="A84" s="8" t="s">
        <v>3298</v>
      </c>
      <c r="B84" s="8" t="str">
        <f t="shared" si="2"/>
        <v>1586243702</v>
      </c>
      <c r="C84" s="8" t="str">
        <f t="shared" si="3"/>
        <v>119</v>
      </c>
      <c r="D84" s="8" t="s">
        <v>119</v>
      </c>
      <c r="F84" s="8" t="s">
        <v>178</v>
      </c>
      <c r="G84" s="8" t="s">
        <v>1193</v>
      </c>
      <c r="H84" s="8" t="s">
        <v>1194</v>
      </c>
      <c r="I84" s="8" t="s">
        <v>250</v>
      </c>
      <c r="J84" s="8" t="s">
        <v>1195</v>
      </c>
      <c r="K84" s="8" t="s">
        <v>54</v>
      </c>
      <c r="L84" s="8" t="s">
        <v>1196</v>
      </c>
      <c r="M84" s="8" t="s">
        <v>2808</v>
      </c>
      <c r="N84" s="8" t="s">
        <v>1193</v>
      </c>
      <c r="O84" s="8">
        <v>809.26</v>
      </c>
      <c r="P84" s="8">
        <v>899.18</v>
      </c>
      <c r="Q84" s="8" t="s">
        <v>2500</v>
      </c>
      <c r="S84" s="8" t="s">
        <v>184</v>
      </c>
      <c r="T84" s="8">
        <v>169.67</v>
      </c>
    </row>
    <row r="85" spans="1:20" x14ac:dyDescent="0.2">
      <c r="A85" s="8" t="s">
        <v>4578</v>
      </c>
      <c r="B85" s="8" t="str">
        <f t="shared" si="2"/>
        <v>1586243706</v>
      </c>
      <c r="C85" s="8" t="str">
        <f t="shared" si="3"/>
        <v>120</v>
      </c>
      <c r="D85" s="8" t="s">
        <v>119</v>
      </c>
      <c r="F85" s="8" t="s">
        <v>178</v>
      </c>
      <c r="G85" s="8" t="s">
        <v>979</v>
      </c>
      <c r="H85" s="8" t="s">
        <v>980</v>
      </c>
      <c r="I85" s="8" t="s">
        <v>250</v>
      </c>
      <c r="J85" s="8" t="s">
        <v>981</v>
      </c>
      <c r="K85" s="8" t="s">
        <v>54</v>
      </c>
      <c r="L85" s="8" t="s">
        <v>982</v>
      </c>
      <c r="M85" s="8" t="s">
        <v>2808</v>
      </c>
      <c r="N85" s="8" t="s">
        <v>979</v>
      </c>
      <c r="O85" s="8">
        <v>698.61</v>
      </c>
      <c r="P85" s="8">
        <v>776.23</v>
      </c>
      <c r="Q85" s="8" t="s">
        <v>2501</v>
      </c>
      <c r="R85" s="8" t="s">
        <v>1777</v>
      </c>
    </row>
    <row r="86" spans="1:20" x14ac:dyDescent="0.2">
      <c r="A86" s="8" t="s">
        <v>4806</v>
      </c>
      <c r="B86" s="8" t="str">
        <f t="shared" si="2"/>
        <v>1586243706</v>
      </c>
      <c r="C86" s="8" t="str">
        <f t="shared" si="3"/>
        <v>121</v>
      </c>
      <c r="D86" s="8" t="s">
        <v>119</v>
      </c>
      <c r="F86" s="8" t="s">
        <v>178</v>
      </c>
      <c r="G86" s="8" t="s">
        <v>979</v>
      </c>
      <c r="H86" s="8" t="s">
        <v>980</v>
      </c>
      <c r="I86" s="8" t="s">
        <v>250</v>
      </c>
      <c r="J86" s="8" t="s">
        <v>981</v>
      </c>
      <c r="K86" s="8" t="s">
        <v>54</v>
      </c>
      <c r="L86" s="8" t="s">
        <v>982</v>
      </c>
      <c r="M86" s="8" t="s">
        <v>2808</v>
      </c>
      <c r="N86" s="8" t="s">
        <v>979</v>
      </c>
      <c r="O86" s="8">
        <v>698.61</v>
      </c>
      <c r="P86" s="8">
        <v>776.23</v>
      </c>
      <c r="Q86" s="8" t="s">
        <v>2501</v>
      </c>
      <c r="R86" s="8" t="s">
        <v>2282</v>
      </c>
    </row>
    <row r="87" spans="1:20" x14ac:dyDescent="0.2">
      <c r="A87" s="8" t="s">
        <v>4719</v>
      </c>
      <c r="B87" s="8" t="str">
        <f t="shared" si="2"/>
        <v>1586243706</v>
      </c>
      <c r="C87" s="8" t="str">
        <f t="shared" si="3"/>
        <v>122</v>
      </c>
      <c r="D87" s="8" t="s">
        <v>119</v>
      </c>
      <c r="F87" s="8" t="s">
        <v>178</v>
      </c>
      <c r="G87" s="8" t="s">
        <v>979</v>
      </c>
      <c r="H87" s="8" t="s">
        <v>980</v>
      </c>
      <c r="I87" s="8" t="s">
        <v>250</v>
      </c>
      <c r="J87" s="8" t="s">
        <v>981</v>
      </c>
      <c r="K87" s="8" t="s">
        <v>54</v>
      </c>
      <c r="L87" s="8" t="s">
        <v>982</v>
      </c>
      <c r="M87" s="8" t="s">
        <v>2808</v>
      </c>
      <c r="N87" s="8" t="s">
        <v>979</v>
      </c>
      <c r="O87" s="8">
        <v>698.61</v>
      </c>
      <c r="P87" s="8">
        <v>776.23</v>
      </c>
      <c r="Q87" s="8" t="s">
        <v>2501</v>
      </c>
      <c r="R87" s="8" t="s">
        <v>1875</v>
      </c>
    </row>
    <row r="88" spans="1:20" x14ac:dyDescent="0.2">
      <c r="A88" s="8" t="s">
        <v>4324</v>
      </c>
      <c r="B88" s="8" t="str">
        <f t="shared" si="2"/>
        <v>1586243706</v>
      </c>
      <c r="C88" s="8" t="str">
        <f t="shared" si="3"/>
        <v>123</v>
      </c>
      <c r="D88" s="8" t="s">
        <v>119</v>
      </c>
      <c r="F88" s="8" t="s">
        <v>178</v>
      </c>
      <c r="G88" s="8" t="s">
        <v>979</v>
      </c>
      <c r="H88" s="8" t="s">
        <v>980</v>
      </c>
      <c r="I88" s="8" t="s">
        <v>250</v>
      </c>
      <c r="J88" s="8" t="s">
        <v>981</v>
      </c>
      <c r="K88" s="8" t="s">
        <v>54</v>
      </c>
      <c r="L88" s="8" t="s">
        <v>982</v>
      </c>
      <c r="M88" s="8" t="s">
        <v>2808</v>
      </c>
      <c r="N88" s="8" t="s">
        <v>979</v>
      </c>
      <c r="O88" s="8">
        <v>698.61</v>
      </c>
      <c r="P88" s="8">
        <v>776.23</v>
      </c>
      <c r="Q88" s="8" t="s">
        <v>2501</v>
      </c>
      <c r="R88" s="8" t="s">
        <v>983</v>
      </c>
    </row>
    <row r="89" spans="1:20" x14ac:dyDescent="0.2">
      <c r="A89" s="8" t="s">
        <v>3884</v>
      </c>
      <c r="B89" s="8" t="str">
        <f t="shared" si="2"/>
        <v>1586243706</v>
      </c>
      <c r="C89" s="8" t="str">
        <f t="shared" si="3"/>
        <v>124</v>
      </c>
      <c r="D89" s="8" t="s">
        <v>119</v>
      </c>
      <c r="F89" s="8" t="s">
        <v>178</v>
      </c>
      <c r="G89" s="8" t="s">
        <v>979</v>
      </c>
      <c r="H89" s="8" t="s">
        <v>980</v>
      </c>
      <c r="I89" s="8" t="s">
        <v>250</v>
      </c>
      <c r="J89" s="8" t="s">
        <v>981</v>
      </c>
      <c r="K89" s="8" t="s">
        <v>54</v>
      </c>
      <c r="L89" s="8" t="s">
        <v>982</v>
      </c>
      <c r="M89" s="8" t="s">
        <v>2808</v>
      </c>
      <c r="N89" s="8" t="s">
        <v>979</v>
      </c>
      <c r="O89" s="8">
        <v>698.61</v>
      </c>
      <c r="P89" s="8">
        <v>776.23</v>
      </c>
      <c r="Q89" s="8" t="s">
        <v>2501</v>
      </c>
      <c r="R89" s="8" t="s">
        <v>1636</v>
      </c>
    </row>
    <row r="90" spans="1:20" x14ac:dyDescent="0.2">
      <c r="A90" s="8" t="s">
        <v>4734</v>
      </c>
      <c r="B90" s="8" t="str">
        <f t="shared" si="2"/>
        <v>1586243706</v>
      </c>
      <c r="C90" s="8" t="str">
        <f t="shared" si="3"/>
        <v>125</v>
      </c>
      <c r="D90" s="8" t="s">
        <v>119</v>
      </c>
      <c r="F90" s="8" t="s">
        <v>178</v>
      </c>
      <c r="G90" s="8" t="s">
        <v>979</v>
      </c>
      <c r="H90" s="8" t="s">
        <v>980</v>
      </c>
      <c r="I90" s="8" t="s">
        <v>250</v>
      </c>
      <c r="J90" s="8" t="s">
        <v>981</v>
      </c>
      <c r="K90" s="8" t="s">
        <v>54</v>
      </c>
      <c r="L90" s="8" t="s">
        <v>982</v>
      </c>
      <c r="M90" s="8" t="s">
        <v>2808</v>
      </c>
      <c r="N90" s="8" t="s">
        <v>979</v>
      </c>
      <c r="O90" s="8">
        <v>698.61</v>
      </c>
      <c r="P90" s="8">
        <v>776.23</v>
      </c>
      <c r="Q90" s="8" t="s">
        <v>2501</v>
      </c>
      <c r="S90" s="8" t="s">
        <v>142</v>
      </c>
      <c r="T90" s="8">
        <v>46.48</v>
      </c>
    </row>
    <row r="91" spans="1:20" x14ac:dyDescent="0.2">
      <c r="A91" s="8" t="s">
        <v>3819</v>
      </c>
      <c r="B91" s="8" t="str">
        <f t="shared" si="2"/>
        <v>1586243706</v>
      </c>
      <c r="C91" s="8" t="str">
        <f t="shared" si="3"/>
        <v>126</v>
      </c>
      <c r="D91" s="8" t="s">
        <v>119</v>
      </c>
      <c r="F91" s="8" t="s">
        <v>178</v>
      </c>
      <c r="G91" s="8" t="s">
        <v>979</v>
      </c>
      <c r="H91" s="8" t="s">
        <v>980</v>
      </c>
      <c r="I91" s="8" t="s">
        <v>250</v>
      </c>
      <c r="J91" s="8" t="s">
        <v>981</v>
      </c>
      <c r="K91" s="8" t="s">
        <v>54</v>
      </c>
      <c r="L91" s="8" t="s">
        <v>982</v>
      </c>
      <c r="M91" s="8" t="s">
        <v>2808</v>
      </c>
      <c r="N91" s="8" t="s">
        <v>979</v>
      </c>
      <c r="O91" s="8">
        <v>698.61</v>
      </c>
      <c r="P91" s="8">
        <v>776.23</v>
      </c>
      <c r="Q91" s="8" t="s">
        <v>2501</v>
      </c>
      <c r="S91" s="8" t="s">
        <v>184</v>
      </c>
      <c r="T91" s="8">
        <v>169.67</v>
      </c>
    </row>
    <row r="92" spans="1:20" x14ac:dyDescent="0.2">
      <c r="A92" s="8" t="s">
        <v>3750</v>
      </c>
      <c r="B92" s="8" t="str">
        <f t="shared" si="2"/>
        <v>1586243706</v>
      </c>
      <c r="C92" s="8" t="str">
        <f t="shared" si="3"/>
        <v>127</v>
      </c>
      <c r="D92" s="8" t="s">
        <v>119</v>
      </c>
      <c r="F92" s="8" t="s">
        <v>178</v>
      </c>
      <c r="G92" s="8" t="s">
        <v>979</v>
      </c>
      <c r="H92" s="8" t="s">
        <v>980</v>
      </c>
      <c r="I92" s="8" t="s">
        <v>250</v>
      </c>
      <c r="J92" s="8" t="s">
        <v>981</v>
      </c>
      <c r="K92" s="8" t="s">
        <v>54</v>
      </c>
      <c r="L92" s="8" t="s">
        <v>982</v>
      </c>
      <c r="M92" s="8" t="s">
        <v>2808</v>
      </c>
      <c r="N92" s="8" t="s">
        <v>979</v>
      </c>
      <c r="O92" s="8">
        <v>698.61</v>
      </c>
      <c r="P92" s="8">
        <v>776.23</v>
      </c>
      <c r="Q92" s="8" t="s">
        <v>2501</v>
      </c>
      <c r="S92" s="8" t="s">
        <v>109</v>
      </c>
      <c r="T92" s="8">
        <v>37.619999999999997</v>
      </c>
    </row>
    <row r="93" spans="1:20" x14ac:dyDescent="0.2">
      <c r="A93" s="8" t="s">
        <v>3460</v>
      </c>
      <c r="B93" s="8" t="str">
        <f t="shared" si="2"/>
        <v>1586243706</v>
      </c>
      <c r="C93" s="8" t="str">
        <f t="shared" si="3"/>
        <v>128</v>
      </c>
      <c r="D93" s="8" t="s">
        <v>119</v>
      </c>
      <c r="F93" s="8" t="s">
        <v>178</v>
      </c>
      <c r="G93" s="8" t="s">
        <v>979</v>
      </c>
      <c r="H93" s="8" t="s">
        <v>980</v>
      </c>
      <c r="I93" s="8" t="s">
        <v>250</v>
      </c>
      <c r="J93" s="8" t="s">
        <v>981</v>
      </c>
      <c r="K93" s="8" t="s">
        <v>54</v>
      </c>
      <c r="L93" s="8" t="s">
        <v>982</v>
      </c>
      <c r="M93" s="8" t="s">
        <v>2808</v>
      </c>
      <c r="N93" s="8" t="s">
        <v>979</v>
      </c>
      <c r="O93" s="8">
        <v>698.61</v>
      </c>
      <c r="P93" s="8">
        <v>776.23</v>
      </c>
      <c r="Q93" s="8" t="s">
        <v>2501</v>
      </c>
      <c r="S93" s="8" t="s">
        <v>1072</v>
      </c>
      <c r="T93" s="8">
        <v>61.97</v>
      </c>
    </row>
    <row r="94" spans="1:20" x14ac:dyDescent="0.2">
      <c r="A94" s="8" t="s">
        <v>3618</v>
      </c>
      <c r="B94" s="8" t="str">
        <f t="shared" si="2"/>
        <v>1586243710</v>
      </c>
      <c r="C94" s="8" t="str">
        <f t="shared" si="3"/>
        <v>129</v>
      </c>
      <c r="D94" s="8" t="s">
        <v>119</v>
      </c>
      <c r="F94" s="8" t="s">
        <v>178</v>
      </c>
      <c r="G94" s="8" t="s">
        <v>248</v>
      </c>
      <c r="H94" s="8" t="s">
        <v>249</v>
      </c>
      <c r="I94" s="8" t="s">
        <v>250</v>
      </c>
      <c r="J94" s="8" t="s">
        <v>251</v>
      </c>
      <c r="K94" s="8" t="s">
        <v>54</v>
      </c>
      <c r="L94" s="8" t="s">
        <v>252</v>
      </c>
      <c r="M94" s="8" t="s">
        <v>2808</v>
      </c>
      <c r="N94" s="8" t="s">
        <v>248</v>
      </c>
      <c r="O94" s="8">
        <v>698.61</v>
      </c>
      <c r="P94" s="8">
        <v>776.23</v>
      </c>
      <c r="Q94" s="8" t="s">
        <v>2501</v>
      </c>
      <c r="R94" s="8" t="s">
        <v>466</v>
      </c>
    </row>
    <row r="95" spans="1:20" x14ac:dyDescent="0.2">
      <c r="A95" s="8" t="s">
        <v>4608</v>
      </c>
      <c r="B95" s="8" t="str">
        <f t="shared" si="2"/>
        <v>1586243710</v>
      </c>
      <c r="C95" s="8" t="str">
        <f t="shared" si="3"/>
        <v>130</v>
      </c>
      <c r="D95" s="8" t="s">
        <v>119</v>
      </c>
      <c r="F95" s="8" t="s">
        <v>178</v>
      </c>
      <c r="G95" s="8" t="s">
        <v>248</v>
      </c>
      <c r="H95" s="8" t="s">
        <v>249</v>
      </c>
      <c r="I95" s="8" t="s">
        <v>250</v>
      </c>
      <c r="J95" s="8" t="s">
        <v>251</v>
      </c>
      <c r="K95" s="8" t="s">
        <v>54</v>
      </c>
      <c r="L95" s="8" t="s">
        <v>252</v>
      </c>
      <c r="M95" s="8" t="s">
        <v>2808</v>
      </c>
      <c r="N95" s="8" t="s">
        <v>248</v>
      </c>
      <c r="O95" s="8">
        <v>698.61</v>
      </c>
      <c r="P95" s="8">
        <v>776.23</v>
      </c>
      <c r="Q95" s="8" t="s">
        <v>2501</v>
      </c>
      <c r="R95" s="8" t="s">
        <v>2436</v>
      </c>
    </row>
    <row r="96" spans="1:20" x14ac:dyDescent="0.2">
      <c r="A96" s="8" t="s">
        <v>3699</v>
      </c>
      <c r="B96" s="8" t="str">
        <f t="shared" si="2"/>
        <v>1586243710</v>
      </c>
      <c r="C96" s="8" t="str">
        <f t="shared" si="3"/>
        <v>131</v>
      </c>
      <c r="D96" s="8" t="s">
        <v>119</v>
      </c>
      <c r="F96" s="8" t="s">
        <v>178</v>
      </c>
      <c r="G96" s="8" t="s">
        <v>248</v>
      </c>
      <c r="H96" s="8" t="s">
        <v>249</v>
      </c>
      <c r="I96" s="8" t="s">
        <v>250</v>
      </c>
      <c r="J96" s="8" t="s">
        <v>251</v>
      </c>
      <c r="K96" s="8" t="s">
        <v>54</v>
      </c>
      <c r="L96" s="8" t="s">
        <v>252</v>
      </c>
      <c r="M96" s="8" t="s">
        <v>2808</v>
      </c>
      <c r="N96" s="8" t="s">
        <v>248</v>
      </c>
      <c r="O96" s="8">
        <v>698.61</v>
      </c>
      <c r="P96" s="8">
        <v>776.23</v>
      </c>
      <c r="Q96" s="8" t="s">
        <v>2501</v>
      </c>
      <c r="R96" s="8" t="s">
        <v>1776</v>
      </c>
    </row>
    <row r="97" spans="1:20" x14ac:dyDescent="0.2">
      <c r="A97" s="8" t="s">
        <v>4078</v>
      </c>
      <c r="B97" s="8" t="str">
        <f t="shared" si="2"/>
        <v>1586243710</v>
      </c>
      <c r="C97" s="8" t="str">
        <f t="shared" si="3"/>
        <v>132</v>
      </c>
      <c r="D97" s="8" t="s">
        <v>119</v>
      </c>
      <c r="F97" s="8" t="s">
        <v>178</v>
      </c>
      <c r="G97" s="8" t="s">
        <v>248</v>
      </c>
      <c r="H97" s="8" t="s">
        <v>249</v>
      </c>
      <c r="I97" s="8" t="s">
        <v>250</v>
      </c>
      <c r="J97" s="8" t="s">
        <v>251</v>
      </c>
      <c r="K97" s="8" t="s">
        <v>54</v>
      </c>
      <c r="L97" s="8" t="s">
        <v>252</v>
      </c>
      <c r="M97" s="8" t="s">
        <v>2808</v>
      </c>
      <c r="N97" s="8" t="s">
        <v>248</v>
      </c>
      <c r="O97" s="8">
        <v>698.61</v>
      </c>
      <c r="P97" s="8">
        <v>776.23</v>
      </c>
      <c r="Q97" s="8" t="s">
        <v>2501</v>
      </c>
      <c r="R97" s="8" t="s">
        <v>1387</v>
      </c>
    </row>
    <row r="98" spans="1:20" x14ac:dyDescent="0.2">
      <c r="A98" s="8" t="s">
        <v>4122</v>
      </c>
      <c r="B98" s="8" t="str">
        <f t="shared" si="2"/>
        <v>1586243710</v>
      </c>
      <c r="C98" s="8" t="str">
        <f t="shared" si="3"/>
        <v>133</v>
      </c>
      <c r="D98" s="8" t="s">
        <v>119</v>
      </c>
      <c r="F98" s="8" t="s">
        <v>178</v>
      </c>
      <c r="G98" s="8" t="s">
        <v>248</v>
      </c>
      <c r="H98" s="8" t="s">
        <v>249</v>
      </c>
      <c r="I98" s="8" t="s">
        <v>250</v>
      </c>
      <c r="J98" s="8" t="s">
        <v>251</v>
      </c>
      <c r="K98" s="8" t="s">
        <v>54</v>
      </c>
      <c r="L98" s="8" t="s">
        <v>252</v>
      </c>
      <c r="M98" s="8" t="s">
        <v>2808</v>
      </c>
      <c r="N98" s="8" t="s">
        <v>248</v>
      </c>
      <c r="O98" s="8">
        <v>698.61</v>
      </c>
      <c r="P98" s="8">
        <v>776.23</v>
      </c>
      <c r="Q98" s="8" t="s">
        <v>2501</v>
      </c>
      <c r="R98" s="8" t="s">
        <v>1860</v>
      </c>
    </row>
    <row r="99" spans="1:20" x14ac:dyDescent="0.2">
      <c r="A99" s="8" t="s">
        <v>3000</v>
      </c>
      <c r="B99" s="8" t="str">
        <f t="shared" si="2"/>
        <v>1586243710</v>
      </c>
      <c r="C99" s="8" t="str">
        <f t="shared" si="3"/>
        <v>134</v>
      </c>
      <c r="D99" s="8" t="s">
        <v>119</v>
      </c>
      <c r="F99" s="8" t="s">
        <v>178</v>
      </c>
      <c r="G99" s="8" t="s">
        <v>248</v>
      </c>
      <c r="H99" s="8" t="s">
        <v>249</v>
      </c>
      <c r="I99" s="8" t="s">
        <v>250</v>
      </c>
      <c r="J99" s="8" t="s">
        <v>251</v>
      </c>
      <c r="K99" s="8" t="s">
        <v>54</v>
      </c>
      <c r="L99" s="8" t="s">
        <v>252</v>
      </c>
      <c r="M99" s="8" t="s">
        <v>2808</v>
      </c>
      <c r="N99" s="8" t="s">
        <v>248</v>
      </c>
      <c r="O99" s="8">
        <v>698.61</v>
      </c>
      <c r="P99" s="8">
        <v>776.23</v>
      </c>
      <c r="Q99" s="8" t="s">
        <v>2501</v>
      </c>
      <c r="S99" s="8" t="s">
        <v>142</v>
      </c>
      <c r="T99" s="8">
        <v>46.48</v>
      </c>
    </row>
    <row r="100" spans="1:20" x14ac:dyDescent="0.2">
      <c r="A100" s="8" t="s">
        <v>4413</v>
      </c>
      <c r="B100" s="8" t="str">
        <f t="shared" si="2"/>
        <v>1586243710</v>
      </c>
      <c r="C100" s="8" t="str">
        <f t="shared" si="3"/>
        <v>135</v>
      </c>
      <c r="D100" s="8" t="s">
        <v>119</v>
      </c>
      <c r="F100" s="8" t="s">
        <v>178</v>
      </c>
      <c r="G100" s="8" t="s">
        <v>248</v>
      </c>
      <c r="H100" s="8" t="s">
        <v>249</v>
      </c>
      <c r="I100" s="8" t="s">
        <v>250</v>
      </c>
      <c r="J100" s="8" t="s">
        <v>251</v>
      </c>
      <c r="K100" s="8" t="s">
        <v>54</v>
      </c>
      <c r="L100" s="8" t="s">
        <v>252</v>
      </c>
      <c r="M100" s="8" t="s">
        <v>2808</v>
      </c>
      <c r="N100" s="8" t="s">
        <v>248</v>
      </c>
      <c r="O100" s="8">
        <v>698.61</v>
      </c>
      <c r="P100" s="8">
        <v>776.23</v>
      </c>
      <c r="Q100" s="8" t="s">
        <v>2501</v>
      </c>
      <c r="S100" s="8" t="s">
        <v>184</v>
      </c>
      <c r="T100" s="8">
        <v>169.67</v>
      </c>
    </row>
    <row r="101" spans="1:20" x14ac:dyDescent="0.2">
      <c r="A101" s="8" t="s">
        <v>4447</v>
      </c>
      <c r="B101" s="8" t="str">
        <f t="shared" si="2"/>
        <v>1586243710</v>
      </c>
      <c r="C101" s="8" t="str">
        <f t="shared" si="3"/>
        <v>136</v>
      </c>
      <c r="D101" s="8" t="s">
        <v>119</v>
      </c>
      <c r="F101" s="8" t="s">
        <v>178</v>
      </c>
      <c r="G101" s="8" t="s">
        <v>248</v>
      </c>
      <c r="H101" s="8" t="s">
        <v>249</v>
      </c>
      <c r="I101" s="8" t="s">
        <v>250</v>
      </c>
      <c r="J101" s="8" t="s">
        <v>251</v>
      </c>
      <c r="K101" s="8" t="s">
        <v>54</v>
      </c>
      <c r="L101" s="8" t="s">
        <v>252</v>
      </c>
      <c r="M101" s="8" t="s">
        <v>2808</v>
      </c>
      <c r="N101" s="8" t="s">
        <v>248</v>
      </c>
      <c r="O101" s="8">
        <v>698.61</v>
      </c>
      <c r="P101" s="8">
        <v>776.23</v>
      </c>
      <c r="Q101" s="8" t="s">
        <v>2501</v>
      </c>
      <c r="S101" s="8" t="s">
        <v>109</v>
      </c>
      <c r="T101" s="8">
        <v>37.619999999999997</v>
      </c>
    </row>
    <row r="102" spans="1:20" x14ac:dyDescent="0.2">
      <c r="A102" s="8" t="s">
        <v>4426</v>
      </c>
      <c r="B102" s="8" t="str">
        <f t="shared" si="2"/>
        <v>1586243710</v>
      </c>
      <c r="C102" s="8" t="str">
        <f t="shared" si="3"/>
        <v>137</v>
      </c>
      <c r="D102" s="8" t="s">
        <v>119</v>
      </c>
      <c r="F102" s="8" t="s">
        <v>178</v>
      </c>
      <c r="G102" s="8" t="s">
        <v>248</v>
      </c>
      <c r="H102" s="8" t="s">
        <v>249</v>
      </c>
      <c r="I102" s="8" t="s">
        <v>250</v>
      </c>
      <c r="J102" s="8" t="s">
        <v>251</v>
      </c>
      <c r="K102" s="8" t="s">
        <v>54</v>
      </c>
      <c r="L102" s="8" t="s">
        <v>252</v>
      </c>
      <c r="M102" s="8" t="s">
        <v>2808</v>
      </c>
      <c r="N102" s="8" t="s">
        <v>248</v>
      </c>
      <c r="O102" s="8">
        <v>698.61</v>
      </c>
      <c r="P102" s="8">
        <v>776.23</v>
      </c>
      <c r="Q102" s="8" t="s">
        <v>2501</v>
      </c>
      <c r="S102" s="8" t="s">
        <v>1072</v>
      </c>
      <c r="T102" s="8">
        <v>61.97</v>
      </c>
    </row>
    <row r="103" spans="1:20" x14ac:dyDescent="0.2">
      <c r="A103" s="8" t="s">
        <v>3395</v>
      </c>
      <c r="B103" s="8" t="str">
        <f t="shared" si="2"/>
        <v>1586243714</v>
      </c>
      <c r="C103" s="8" t="str">
        <f t="shared" si="3"/>
        <v>138</v>
      </c>
      <c r="D103" s="8" t="s">
        <v>119</v>
      </c>
      <c r="F103" s="8" t="s">
        <v>178</v>
      </c>
      <c r="G103" s="8" t="s">
        <v>429</v>
      </c>
      <c r="H103" s="8" t="s">
        <v>430</v>
      </c>
      <c r="I103" s="8" t="s">
        <v>250</v>
      </c>
      <c r="J103" s="8" t="s">
        <v>431</v>
      </c>
      <c r="K103" s="8" t="s">
        <v>190</v>
      </c>
      <c r="L103" s="8" t="s">
        <v>432</v>
      </c>
      <c r="M103" s="8" t="s">
        <v>2808</v>
      </c>
      <c r="N103" s="8" t="s">
        <v>429</v>
      </c>
      <c r="O103" s="8">
        <v>647.70000000000005</v>
      </c>
      <c r="P103" s="8">
        <v>719.67</v>
      </c>
      <c r="Q103" s="8" t="s">
        <v>2502</v>
      </c>
      <c r="R103" s="8" t="s">
        <v>816</v>
      </c>
    </row>
    <row r="104" spans="1:20" x14ac:dyDescent="0.2">
      <c r="A104" s="8" t="s">
        <v>2909</v>
      </c>
      <c r="B104" s="8" t="str">
        <f t="shared" si="2"/>
        <v>1586243714</v>
      </c>
      <c r="C104" s="8" t="str">
        <f t="shared" si="3"/>
        <v>139</v>
      </c>
      <c r="D104" s="8" t="s">
        <v>119</v>
      </c>
      <c r="F104" s="8" t="s">
        <v>178</v>
      </c>
      <c r="G104" s="8" t="s">
        <v>429</v>
      </c>
      <c r="H104" s="8" t="s">
        <v>430</v>
      </c>
      <c r="I104" s="8" t="s">
        <v>250</v>
      </c>
      <c r="J104" s="8" t="s">
        <v>431</v>
      </c>
      <c r="K104" s="8" t="s">
        <v>190</v>
      </c>
      <c r="L104" s="8" t="s">
        <v>432</v>
      </c>
      <c r="M104" s="8" t="s">
        <v>2808</v>
      </c>
      <c r="N104" s="8" t="s">
        <v>429</v>
      </c>
      <c r="O104" s="8">
        <v>647.70000000000005</v>
      </c>
      <c r="P104" s="8">
        <v>719.67</v>
      </c>
      <c r="Q104" s="8" t="s">
        <v>2502</v>
      </c>
      <c r="R104" s="8" t="s">
        <v>1830</v>
      </c>
    </row>
    <row r="105" spans="1:20" x14ac:dyDescent="0.2">
      <c r="A105" s="8" t="s">
        <v>4301</v>
      </c>
      <c r="B105" s="8" t="str">
        <f t="shared" si="2"/>
        <v>1586243714</v>
      </c>
      <c r="C105" s="8" t="str">
        <f t="shared" si="3"/>
        <v>140</v>
      </c>
      <c r="D105" s="8" t="s">
        <v>119</v>
      </c>
      <c r="F105" s="8" t="s">
        <v>178</v>
      </c>
      <c r="G105" s="8" t="s">
        <v>429</v>
      </c>
      <c r="H105" s="8" t="s">
        <v>430</v>
      </c>
      <c r="I105" s="8" t="s">
        <v>250</v>
      </c>
      <c r="J105" s="8" t="s">
        <v>431</v>
      </c>
      <c r="K105" s="8" t="s">
        <v>190</v>
      </c>
      <c r="L105" s="8" t="s">
        <v>432</v>
      </c>
      <c r="M105" s="8" t="s">
        <v>2808</v>
      </c>
      <c r="N105" s="8" t="s">
        <v>429</v>
      </c>
      <c r="O105" s="8">
        <v>647.70000000000005</v>
      </c>
      <c r="P105" s="8">
        <v>719.67</v>
      </c>
      <c r="Q105" s="8" t="s">
        <v>2502</v>
      </c>
      <c r="R105" s="8" t="s">
        <v>471</v>
      </c>
    </row>
    <row r="106" spans="1:20" x14ac:dyDescent="0.2">
      <c r="A106" s="8" t="s">
        <v>2831</v>
      </c>
      <c r="B106" s="8" t="str">
        <f t="shared" si="2"/>
        <v>1586243714</v>
      </c>
      <c r="C106" s="8" t="str">
        <f t="shared" si="3"/>
        <v>141</v>
      </c>
      <c r="D106" s="8" t="s">
        <v>119</v>
      </c>
      <c r="F106" s="8" t="s">
        <v>178</v>
      </c>
      <c r="G106" s="8" t="s">
        <v>429</v>
      </c>
      <c r="H106" s="8" t="s">
        <v>430</v>
      </c>
      <c r="I106" s="8" t="s">
        <v>250</v>
      </c>
      <c r="J106" s="8" t="s">
        <v>431</v>
      </c>
      <c r="K106" s="8" t="s">
        <v>190</v>
      </c>
      <c r="L106" s="8" t="s">
        <v>432</v>
      </c>
      <c r="M106" s="8" t="s">
        <v>2808</v>
      </c>
      <c r="N106" s="8" t="s">
        <v>429</v>
      </c>
      <c r="O106" s="8">
        <v>647.70000000000005</v>
      </c>
      <c r="P106" s="8">
        <v>719.67</v>
      </c>
      <c r="Q106" s="8" t="s">
        <v>2502</v>
      </c>
      <c r="R106" s="8" t="s">
        <v>2243</v>
      </c>
    </row>
    <row r="107" spans="1:20" x14ac:dyDescent="0.2">
      <c r="A107" s="8" t="s">
        <v>4196</v>
      </c>
      <c r="B107" s="8" t="str">
        <f t="shared" si="2"/>
        <v>1586243714</v>
      </c>
      <c r="C107" s="8" t="str">
        <f t="shared" si="3"/>
        <v>142</v>
      </c>
      <c r="D107" s="8" t="s">
        <v>119</v>
      </c>
      <c r="F107" s="8" t="s">
        <v>178</v>
      </c>
      <c r="G107" s="8" t="s">
        <v>429</v>
      </c>
      <c r="H107" s="8" t="s">
        <v>430</v>
      </c>
      <c r="I107" s="8" t="s">
        <v>250</v>
      </c>
      <c r="J107" s="8" t="s">
        <v>431</v>
      </c>
      <c r="K107" s="8" t="s">
        <v>190</v>
      </c>
      <c r="L107" s="8" t="s">
        <v>432</v>
      </c>
      <c r="M107" s="8" t="s">
        <v>2808</v>
      </c>
      <c r="N107" s="8" t="s">
        <v>429</v>
      </c>
      <c r="O107" s="8">
        <v>647.70000000000005</v>
      </c>
      <c r="P107" s="8">
        <v>719.67</v>
      </c>
      <c r="Q107" s="8" t="s">
        <v>2502</v>
      </c>
      <c r="R107" s="8" t="s">
        <v>1897</v>
      </c>
    </row>
    <row r="108" spans="1:20" x14ac:dyDescent="0.2">
      <c r="A108" s="8" t="s">
        <v>4360</v>
      </c>
      <c r="B108" s="8" t="str">
        <f t="shared" si="2"/>
        <v>1586243714</v>
      </c>
      <c r="C108" s="8" t="str">
        <f t="shared" si="3"/>
        <v>143</v>
      </c>
      <c r="D108" s="8" t="s">
        <v>119</v>
      </c>
      <c r="F108" s="8" t="s">
        <v>178</v>
      </c>
      <c r="G108" s="8" t="s">
        <v>429</v>
      </c>
      <c r="H108" s="8" t="s">
        <v>430</v>
      </c>
      <c r="I108" s="8" t="s">
        <v>250</v>
      </c>
      <c r="J108" s="8" t="s">
        <v>431</v>
      </c>
      <c r="K108" s="8" t="s">
        <v>190</v>
      </c>
      <c r="L108" s="8" t="s">
        <v>432</v>
      </c>
      <c r="M108" s="8" t="s">
        <v>2808</v>
      </c>
      <c r="N108" s="8" t="s">
        <v>429</v>
      </c>
      <c r="O108" s="8">
        <v>647.70000000000005</v>
      </c>
      <c r="P108" s="8">
        <v>719.67</v>
      </c>
      <c r="Q108" s="8" t="s">
        <v>2502</v>
      </c>
      <c r="R108" s="8" t="s">
        <v>1851</v>
      </c>
    </row>
    <row r="109" spans="1:20" x14ac:dyDescent="0.2">
      <c r="A109" s="8" t="s">
        <v>2981</v>
      </c>
      <c r="B109" s="8" t="str">
        <f t="shared" si="2"/>
        <v>1586243714</v>
      </c>
      <c r="C109" s="8" t="str">
        <f t="shared" si="3"/>
        <v>144</v>
      </c>
      <c r="D109" s="8" t="s">
        <v>119</v>
      </c>
      <c r="F109" s="8" t="s">
        <v>178</v>
      </c>
      <c r="G109" s="8" t="s">
        <v>429</v>
      </c>
      <c r="H109" s="8" t="s">
        <v>430</v>
      </c>
      <c r="I109" s="8" t="s">
        <v>250</v>
      </c>
      <c r="J109" s="8" t="s">
        <v>431</v>
      </c>
      <c r="K109" s="8" t="s">
        <v>190</v>
      </c>
      <c r="L109" s="8" t="s">
        <v>432</v>
      </c>
      <c r="M109" s="8" t="s">
        <v>2808</v>
      </c>
      <c r="N109" s="8" t="s">
        <v>429</v>
      </c>
      <c r="O109" s="8">
        <v>647.70000000000005</v>
      </c>
      <c r="P109" s="8">
        <v>719.67</v>
      </c>
      <c r="Q109" s="8" t="s">
        <v>2502</v>
      </c>
      <c r="R109" s="8" t="s">
        <v>1751</v>
      </c>
    </row>
    <row r="110" spans="1:20" x14ac:dyDescent="0.2">
      <c r="A110" s="8" t="s">
        <v>3587</v>
      </c>
      <c r="B110" s="8" t="str">
        <f t="shared" si="2"/>
        <v>1586243714</v>
      </c>
      <c r="C110" s="8" t="str">
        <f t="shared" si="3"/>
        <v>145</v>
      </c>
      <c r="D110" s="8" t="s">
        <v>119</v>
      </c>
      <c r="F110" s="8" t="s">
        <v>178</v>
      </c>
      <c r="G110" s="8" t="s">
        <v>429</v>
      </c>
      <c r="H110" s="8" t="s">
        <v>430</v>
      </c>
      <c r="I110" s="8" t="s">
        <v>250</v>
      </c>
      <c r="J110" s="8" t="s">
        <v>431</v>
      </c>
      <c r="K110" s="8" t="s">
        <v>190</v>
      </c>
      <c r="L110" s="8" t="s">
        <v>432</v>
      </c>
      <c r="M110" s="8" t="s">
        <v>2808</v>
      </c>
      <c r="N110" s="8" t="s">
        <v>429</v>
      </c>
      <c r="O110" s="8">
        <v>647.70000000000005</v>
      </c>
      <c r="P110" s="8">
        <v>719.67</v>
      </c>
      <c r="Q110" s="8" t="s">
        <v>2502</v>
      </c>
      <c r="R110" s="8" t="s">
        <v>1453</v>
      </c>
    </row>
    <row r="111" spans="1:20" x14ac:dyDescent="0.2">
      <c r="A111" s="8" t="s">
        <v>4642</v>
      </c>
      <c r="B111" s="8" t="str">
        <f t="shared" si="2"/>
        <v>1586243714</v>
      </c>
      <c r="C111" s="8" t="str">
        <f t="shared" si="3"/>
        <v>146</v>
      </c>
      <c r="D111" s="8" t="s">
        <v>119</v>
      </c>
      <c r="F111" s="8" t="s">
        <v>178</v>
      </c>
      <c r="G111" s="8" t="s">
        <v>429</v>
      </c>
      <c r="H111" s="8" t="s">
        <v>430</v>
      </c>
      <c r="I111" s="8" t="s">
        <v>250</v>
      </c>
      <c r="J111" s="8" t="s">
        <v>431</v>
      </c>
      <c r="K111" s="8" t="s">
        <v>190</v>
      </c>
      <c r="L111" s="8" t="s">
        <v>432</v>
      </c>
      <c r="M111" s="8" t="s">
        <v>2808</v>
      </c>
      <c r="N111" s="8" t="s">
        <v>429</v>
      </c>
      <c r="O111" s="8">
        <v>647.70000000000005</v>
      </c>
      <c r="P111" s="8">
        <v>719.67</v>
      </c>
      <c r="Q111" s="8" t="s">
        <v>2502</v>
      </c>
      <c r="R111" s="8" t="s">
        <v>1764</v>
      </c>
    </row>
    <row r="112" spans="1:20" x14ac:dyDescent="0.2">
      <c r="A112" s="8" t="s">
        <v>4437</v>
      </c>
      <c r="B112" s="8" t="str">
        <f t="shared" si="2"/>
        <v>1586243714</v>
      </c>
      <c r="C112" s="8" t="str">
        <f t="shared" si="3"/>
        <v>147</v>
      </c>
      <c r="D112" s="8" t="s">
        <v>119</v>
      </c>
      <c r="F112" s="8" t="s">
        <v>178</v>
      </c>
      <c r="G112" s="8" t="s">
        <v>429</v>
      </c>
      <c r="H112" s="8" t="s">
        <v>430</v>
      </c>
      <c r="I112" s="8" t="s">
        <v>250</v>
      </c>
      <c r="J112" s="8" t="s">
        <v>431</v>
      </c>
      <c r="K112" s="8" t="s">
        <v>190</v>
      </c>
      <c r="L112" s="8" t="s">
        <v>432</v>
      </c>
      <c r="M112" s="8" t="s">
        <v>2808</v>
      </c>
      <c r="N112" s="8" t="s">
        <v>429</v>
      </c>
      <c r="O112" s="8">
        <v>647.70000000000005</v>
      </c>
      <c r="P112" s="8">
        <v>719.67</v>
      </c>
      <c r="Q112" s="8" t="s">
        <v>2502</v>
      </c>
      <c r="R112" s="8" t="s">
        <v>586</v>
      </c>
    </row>
    <row r="113" spans="1:20" x14ac:dyDescent="0.2">
      <c r="A113" s="8" t="s">
        <v>3778</v>
      </c>
      <c r="B113" s="8" t="str">
        <f t="shared" si="2"/>
        <v>1586243714</v>
      </c>
      <c r="C113" s="8" t="str">
        <f t="shared" si="3"/>
        <v>148</v>
      </c>
      <c r="D113" s="8" t="s">
        <v>119</v>
      </c>
      <c r="F113" s="8" t="s">
        <v>178</v>
      </c>
      <c r="G113" s="8" t="s">
        <v>429</v>
      </c>
      <c r="H113" s="8" t="s">
        <v>430</v>
      </c>
      <c r="I113" s="8" t="s">
        <v>250</v>
      </c>
      <c r="J113" s="8" t="s">
        <v>431</v>
      </c>
      <c r="K113" s="8" t="s">
        <v>190</v>
      </c>
      <c r="L113" s="8" t="s">
        <v>432</v>
      </c>
      <c r="M113" s="8" t="s">
        <v>2808</v>
      </c>
      <c r="N113" s="8" t="s">
        <v>429</v>
      </c>
      <c r="O113" s="8">
        <v>647.70000000000005</v>
      </c>
      <c r="P113" s="8">
        <v>719.67</v>
      </c>
      <c r="Q113" s="8" t="s">
        <v>2502</v>
      </c>
      <c r="S113" s="8" t="s">
        <v>331</v>
      </c>
      <c r="T113" s="8">
        <v>84.1</v>
      </c>
    </row>
    <row r="114" spans="1:20" x14ac:dyDescent="0.2">
      <c r="A114" s="8" t="s">
        <v>4540</v>
      </c>
      <c r="B114" s="8" t="str">
        <f t="shared" si="2"/>
        <v>1586243714</v>
      </c>
      <c r="C114" s="8" t="str">
        <f t="shared" si="3"/>
        <v>149</v>
      </c>
      <c r="D114" s="8" t="s">
        <v>119</v>
      </c>
      <c r="F114" s="8" t="s">
        <v>178</v>
      </c>
      <c r="G114" s="8" t="s">
        <v>429</v>
      </c>
      <c r="H114" s="8" t="s">
        <v>430</v>
      </c>
      <c r="I114" s="8" t="s">
        <v>250</v>
      </c>
      <c r="J114" s="8" t="s">
        <v>431</v>
      </c>
      <c r="K114" s="8" t="s">
        <v>190</v>
      </c>
      <c r="L114" s="8" t="s">
        <v>432</v>
      </c>
      <c r="M114" s="8" t="s">
        <v>2808</v>
      </c>
      <c r="N114" s="8" t="s">
        <v>429</v>
      </c>
      <c r="O114" s="8">
        <v>647.70000000000005</v>
      </c>
      <c r="P114" s="8">
        <v>719.67</v>
      </c>
      <c r="Q114" s="8" t="s">
        <v>2502</v>
      </c>
      <c r="S114" s="8" t="s">
        <v>142</v>
      </c>
      <c r="T114" s="8">
        <v>45.74</v>
      </c>
    </row>
    <row r="115" spans="1:20" x14ac:dyDescent="0.2">
      <c r="A115" s="8" t="s">
        <v>3515</v>
      </c>
      <c r="B115" s="8" t="str">
        <f t="shared" si="2"/>
        <v>1586243714</v>
      </c>
      <c r="C115" s="8" t="str">
        <f t="shared" si="3"/>
        <v>150</v>
      </c>
      <c r="D115" s="8" t="s">
        <v>119</v>
      </c>
      <c r="F115" s="8" t="s">
        <v>178</v>
      </c>
      <c r="G115" s="8" t="s">
        <v>429</v>
      </c>
      <c r="H115" s="8" t="s">
        <v>430</v>
      </c>
      <c r="I115" s="8" t="s">
        <v>250</v>
      </c>
      <c r="J115" s="8" t="s">
        <v>431</v>
      </c>
      <c r="K115" s="8" t="s">
        <v>190</v>
      </c>
      <c r="L115" s="8" t="s">
        <v>432</v>
      </c>
      <c r="M115" s="8" t="s">
        <v>2808</v>
      </c>
      <c r="N115" s="8" t="s">
        <v>429</v>
      </c>
      <c r="O115" s="8">
        <v>647.70000000000005</v>
      </c>
      <c r="P115" s="8">
        <v>719.67</v>
      </c>
      <c r="Q115" s="8" t="s">
        <v>2502</v>
      </c>
      <c r="S115" s="8" t="s">
        <v>184</v>
      </c>
      <c r="T115" s="8">
        <v>169.67</v>
      </c>
    </row>
    <row r="116" spans="1:20" x14ac:dyDescent="0.2">
      <c r="A116" s="8" t="s">
        <v>3489</v>
      </c>
      <c r="B116" s="8" t="str">
        <f t="shared" si="2"/>
        <v>1586243714</v>
      </c>
      <c r="C116" s="8" t="str">
        <f t="shared" si="3"/>
        <v>151</v>
      </c>
      <c r="D116" s="8" t="s">
        <v>119</v>
      </c>
      <c r="F116" s="8" t="s">
        <v>178</v>
      </c>
      <c r="G116" s="8" t="s">
        <v>429</v>
      </c>
      <c r="H116" s="8" t="s">
        <v>430</v>
      </c>
      <c r="I116" s="8" t="s">
        <v>250</v>
      </c>
      <c r="J116" s="8" t="s">
        <v>431</v>
      </c>
      <c r="K116" s="8" t="s">
        <v>190</v>
      </c>
      <c r="L116" s="8" t="s">
        <v>432</v>
      </c>
      <c r="M116" s="8" t="s">
        <v>2808</v>
      </c>
      <c r="N116" s="8" t="s">
        <v>429</v>
      </c>
      <c r="O116" s="8">
        <v>647.70000000000005</v>
      </c>
      <c r="P116" s="8">
        <v>719.67</v>
      </c>
      <c r="Q116" s="8" t="s">
        <v>2502</v>
      </c>
      <c r="S116" s="8" t="s">
        <v>109</v>
      </c>
      <c r="T116" s="8">
        <v>37.619999999999997</v>
      </c>
    </row>
    <row r="117" spans="1:20" x14ac:dyDescent="0.2">
      <c r="A117" s="8" t="s">
        <v>3473</v>
      </c>
      <c r="B117" s="8" t="str">
        <f t="shared" si="2"/>
        <v>1586243714</v>
      </c>
      <c r="C117" s="8" t="str">
        <f t="shared" si="3"/>
        <v>152</v>
      </c>
      <c r="D117" s="8" t="s">
        <v>119</v>
      </c>
      <c r="F117" s="8" t="s">
        <v>178</v>
      </c>
      <c r="G117" s="8" t="s">
        <v>429</v>
      </c>
      <c r="H117" s="8" t="s">
        <v>430</v>
      </c>
      <c r="I117" s="8" t="s">
        <v>250</v>
      </c>
      <c r="J117" s="8" t="s">
        <v>431</v>
      </c>
      <c r="K117" s="8" t="s">
        <v>190</v>
      </c>
      <c r="L117" s="8" t="s">
        <v>432</v>
      </c>
      <c r="M117" s="8" t="s">
        <v>2808</v>
      </c>
      <c r="N117" s="8" t="s">
        <v>429</v>
      </c>
      <c r="O117" s="8">
        <v>647.70000000000005</v>
      </c>
      <c r="P117" s="8">
        <v>719.67</v>
      </c>
      <c r="Q117" s="8" t="s">
        <v>2502</v>
      </c>
      <c r="S117" s="8" t="s">
        <v>1072</v>
      </c>
      <c r="T117" s="8">
        <v>61.97</v>
      </c>
    </row>
    <row r="118" spans="1:20" x14ac:dyDescent="0.2">
      <c r="A118" s="8" t="s">
        <v>4777</v>
      </c>
      <c r="B118" s="8" t="str">
        <f t="shared" si="2"/>
        <v>1586243719</v>
      </c>
      <c r="C118" s="8" t="str">
        <f t="shared" si="3"/>
        <v>153</v>
      </c>
      <c r="D118" s="8" t="s">
        <v>119</v>
      </c>
      <c r="F118" s="8" t="s">
        <v>178</v>
      </c>
      <c r="G118" s="8" t="s">
        <v>1753</v>
      </c>
      <c r="H118" s="8" t="s">
        <v>1754</v>
      </c>
      <c r="I118" s="8" t="s">
        <v>181</v>
      </c>
      <c r="J118" s="8" t="s">
        <v>1755</v>
      </c>
      <c r="K118" s="8" t="s">
        <v>125</v>
      </c>
      <c r="L118" s="8" t="s">
        <v>1756</v>
      </c>
      <c r="M118" s="8" t="s">
        <v>2808</v>
      </c>
      <c r="N118" s="8" t="s">
        <v>1753</v>
      </c>
      <c r="O118" s="8">
        <v>249.34</v>
      </c>
      <c r="P118" s="8">
        <v>277.05</v>
      </c>
      <c r="Q118" s="8" t="s">
        <v>2503</v>
      </c>
      <c r="R118" s="8" t="s">
        <v>2053</v>
      </c>
    </row>
    <row r="119" spans="1:20" x14ac:dyDescent="0.2">
      <c r="A119" s="8" t="s">
        <v>4131</v>
      </c>
      <c r="B119" s="8" t="str">
        <f t="shared" si="2"/>
        <v>1586243719</v>
      </c>
      <c r="C119" s="8" t="str">
        <f t="shared" si="3"/>
        <v>154</v>
      </c>
      <c r="D119" s="8" t="s">
        <v>119</v>
      </c>
      <c r="F119" s="8" t="s">
        <v>178</v>
      </c>
      <c r="G119" s="8" t="s">
        <v>1753</v>
      </c>
      <c r="H119" s="8" t="s">
        <v>1754</v>
      </c>
      <c r="I119" s="8" t="s">
        <v>181</v>
      </c>
      <c r="J119" s="8" t="s">
        <v>1755</v>
      </c>
      <c r="K119" s="8" t="s">
        <v>125</v>
      </c>
      <c r="L119" s="8" t="s">
        <v>1756</v>
      </c>
      <c r="M119" s="8" t="s">
        <v>2808</v>
      </c>
      <c r="N119" s="8" t="s">
        <v>1753</v>
      </c>
      <c r="O119" s="8">
        <v>249.34</v>
      </c>
      <c r="P119" s="8">
        <v>277.05</v>
      </c>
      <c r="Q119" s="8" t="s">
        <v>2503</v>
      </c>
      <c r="S119" s="8" t="s">
        <v>142</v>
      </c>
      <c r="T119" s="8">
        <v>19.18</v>
      </c>
    </row>
    <row r="120" spans="1:20" x14ac:dyDescent="0.2">
      <c r="A120" s="8" t="s">
        <v>3149</v>
      </c>
      <c r="B120" s="8" t="str">
        <f t="shared" si="2"/>
        <v>1586243719</v>
      </c>
      <c r="C120" s="8" t="str">
        <f t="shared" si="3"/>
        <v>155</v>
      </c>
      <c r="D120" s="8" t="s">
        <v>119</v>
      </c>
      <c r="F120" s="8" t="s">
        <v>178</v>
      </c>
      <c r="G120" s="8" t="s">
        <v>1753</v>
      </c>
      <c r="H120" s="8" t="s">
        <v>1754</v>
      </c>
      <c r="I120" s="8" t="s">
        <v>181</v>
      </c>
      <c r="J120" s="8" t="s">
        <v>1755</v>
      </c>
      <c r="K120" s="8" t="s">
        <v>125</v>
      </c>
      <c r="L120" s="8" t="s">
        <v>1756</v>
      </c>
      <c r="M120" s="8" t="s">
        <v>2808</v>
      </c>
      <c r="N120" s="8" t="s">
        <v>1753</v>
      </c>
      <c r="O120" s="8">
        <v>249.34</v>
      </c>
      <c r="P120" s="8">
        <v>277.05</v>
      </c>
      <c r="Q120" s="8" t="s">
        <v>2503</v>
      </c>
      <c r="S120" s="8" t="s">
        <v>542</v>
      </c>
      <c r="T120" s="8">
        <v>118.03</v>
      </c>
    </row>
    <row r="121" spans="1:20" x14ac:dyDescent="0.2">
      <c r="A121" s="8" t="s">
        <v>3052</v>
      </c>
      <c r="B121" s="8" t="str">
        <f t="shared" si="2"/>
        <v>1586243723</v>
      </c>
      <c r="C121" s="8" t="str">
        <f t="shared" si="3"/>
        <v>156</v>
      </c>
      <c r="D121" s="8" t="s">
        <v>119</v>
      </c>
      <c r="F121" s="8" t="s">
        <v>178</v>
      </c>
      <c r="G121" s="8" t="s">
        <v>1403</v>
      </c>
      <c r="H121" s="8" t="s">
        <v>1404</v>
      </c>
      <c r="I121" s="8" t="s">
        <v>152</v>
      </c>
      <c r="J121" s="8" t="s">
        <v>1405</v>
      </c>
      <c r="K121" s="8" t="s">
        <v>1406</v>
      </c>
      <c r="L121" s="8" t="s">
        <v>1407</v>
      </c>
      <c r="M121" s="8" t="s">
        <v>2808</v>
      </c>
      <c r="N121" s="8" t="s">
        <v>1403</v>
      </c>
      <c r="O121" s="8">
        <v>1017.3</v>
      </c>
      <c r="P121" s="8">
        <v>1130.33</v>
      </c>
      <c r="Q121" s="8" t="s">
        <v>2504</v>
      </c>
      <c r="R121" s="8" t="s">
        <v>1913</v>
      </c>
    </row>
    <row r="122" spans="1:20" x14ac:dyDescent="0.2">
      <c r="A122" s="8" t="s">
        <v>3776</v>
      </c>
      <c r="B122" s="8" t="str">
        <f t="shared" si="2"/>
        <v>1586243723</v>
      </c>
      <c r="C122" s="8" t="str">
        <f t="shared" si="3"/>
        <v>157</v>
      </c>
      <c r="D122" s="8" t="s">
        <v>119</v>
      </c>
      <c r="F122" s="8" t="s">
        <v>178</v>
      </c>
      <c r="G122" s="8" t="s">
        <v>1403</v>
      </c>
      <c r="H122" s="8" t="s">
        <v>1404</v>
      </c>
      <c r="I122" s="8" t="s">
        <v>152</v>
      </c>
      <c r="J122" s="8" t="s">
        <v>1405</v>
      </c>
      <c r="K122" s="8" t="s">
        <v>1406</v>
      </c>
      <c r="L122" s="8" t="s">
        <v>1407</v>
      </c>
      <c r="M122" s="8" t="s">
        <v>2808</v>
      </c>
      <c r="N122" s="8" t="s">
        <v>1403</v>
      </c>
      <c r="O122" s="8">
        <v>1017.3</v>
      </c>
      <c r="P122" s="8">
        <v>1130.33</v>
      </c>
      <c r="Q122" s="8" t="s">
        <v>2504</v>
      </c>
      <c r="R122" s="8" t="s">
        <v>1408</v>
      </c>
    </row>
    <row r="123" spans="1:20" x14ac:dyDescent="0.2">
      <c r="A123" s="8" t="s">
        <v>2972</v>
      </c>
      <c r="B123" s="8" t="str">
        <f t="shared" si="2"/>
        <v>1586243723</v>
      </c>
      <c r="C123" s="8" t="str">
        <f t="shared" si="3"/>
        <v>158</v>
      </c>
      <c r="D123" s="8" t="s">
        <v>119</v>
      </c>
      <c r="F123" s="8" t="s">
        <v>178</v>
      </c>
      <c r="G123" s="8" t="s">
        <v>1403</v>
      </c>
      <c r="H123" s="8" t="s">
        <v>1404</v>
      </c>
      <c r="I123" s="8" t="s">
        <v>152</v>
      </c>
      <c r="J123" s="8" t="s">
        <v>1405</v>
      </c>
      <c r="K123" s="8" t="s">
        <v>1406</v>
      </c>
      <c r="L123" s="8" t="s">
        <v>1407</v>
      </c>
      <c r="M123" s="8" t="s">
        <v>2808</v>
      </c>
      <c r="N123" s="8" t="s">
        <v>1403</v>
      </c>
      <c r="O123" s="8">
        <v>1017.3</v>
      </c>
      <c r="P123" s="8">
        <v>1130.33</v>
      </c>
      <c r="Q123" s="8" t="s">
        <v>2504</v>
      </c>
      <c r="S123" s="8" t="s">
        <v>542</v>
      </c>
      <c r="T123" s="8">
        <v>273.69</v>
      </c>
    </row>
    <row r="124" spans="1:20" x14ac:dyDescent="0.2">
      <c r="A124" s="8" t="s">
        <v>3249</v>
      </c>
      <c r="B124" s="8" t="str">
        <f t="shared" si="2"/>
        <v>1586243729</v>
      </c>
      <c r="C124" s="8" t="str">
        <f t="shared" si="3"/>
        <v>159</v>
      </c>
      <c r="D124" s="8" t="s">
        <v>119</v>
      </c>
      <c r="F124" s="8" t="s">
        <v>202</v>
      </c>
      <c r="G124" s="8" t="s">
        <v>203</v>
      </c>
      <c r="H124" s="8" t="s">
        <v>204</v>
      </c>
      <c r="I124" s="8" t="s">
        <v>71</v>
      </c>
      <c r="J124" s="8" t="s">
        <v>205</v>
      </c>
      <c r="K124" s="8" t="s">
        <v>125</v>
      </c>
      <c r="L124" s="8" t="s">
        <v>206</v>
      </c>
      <c r="M124" s="8" t="s">
        <v>2836</v>
      </c>
      <c r="N124" s="8" t="s">
        <v>203</v>
      </c>
      <c r="O124" s="8">
        <v>310.57</v>
      </c>
      <c r="P124" s="8">
        <v>345.08</v>
      </c>
      <c r="Q124" s="8" t="s">
        <v>2505</v>
      </c>
      <c r="R124" s="8" t="s">
        <v>207</v>
      </c>
    </row>
    <row r="125" spans="1:20" x14ac:dyDescent="0.2">
      <c r="A125" s="8" t="s">
        <v>3224</v>
      </c>
      <c r="B125" s="8" t="str">
        <f t="shared" si="2"/>
        <v>1586243729</v>
      </c>
      <c r="C125" s="8" t="str">
        <f t="shared" si="3"/>
        <v>160</v>
      </c>
      <c r="D125" s="8" t="s">
        <v>119</v>
      </c>
      <c r="F125" s="8" t="s">
        <v>202</v>
      </c>
      <c r="G125" s="8" t="s">
        <v>203</v>
      </c>
      <c r="H125" s="8" t="s">
        <v>204</v>
      </c>
      <c r="I125" s="8" t="s">
        <v>71</v>
      </c>
      <c r="J125" s="8" t="s">
        <v>205</v>
      </c>
      <c r="K125" s="8" t="s">
        <v>125</v>
      </c>
      <c r="L125" s="8" t="s">
        <v>206</v>
      </c>
      <c r="M125" s="8" t="s">
        <v>2836</v>
      </c>
      <c r="N125" s="8" t="s">
        <v>203</v>
      </c>
      <c r="O125" s="8">
        <v>310.57</v>
      </c>
      <c r="P125" s="8">
        <v>345.08</v>
      </c>
      <c r="Q125" s="8" t="s">
        <v>2505</v>
      </c>
      <c r="R125" s="8" t="s">
        <v>1702</v>
      </c>
    </row>
    <row r="126" spans="1:20" x14ac:dyDescent="0.2">
      <c r="A126" s="8" t="s">
        <v>4120</v>
      </c>
      <c r="B126" s="8" t="str">
        <f t="shared" si="2"/>
        <v>1586243729</v>
      </c>
      <c r="C126" s="8" t="str">
        <f t="shared" si="3"/>
        <v>161</v>
      </c>
      <c r="D126" s="8" t="s">
        <v>119</v>
      </c>
      <c r="F126" s="8" t="s">
        <v>202</v>
      </c>
      <c r="G126" s="8" t="s">
        <v>203</v>
      </c>
      <c r="H126" s="8" t="s">
        <v>204</v>
      </c>
      <c r="I126" s="8" t="s">
        <v>71</v>
      </c>
      <c r="J126" s="8" t="s">
        <v>205</v>
      </c>
      <c r="K126" s="8" t="s">
        <v>125</v>
      </c>
      <c r="L126" s="8" t="s">
        <v>206</v>
      </c>
      <c r="M126" s="8" t="s">
        <v>2836</v>
      </c>
      <c r="N126" s="8" t="s">
        <v>203</v>
      </c>
      <c r="O126" s="8">
        <v>310.57</v>
      </c>
      <c r="P126" s="8">
        <v>345.08</v>
      </c>
      <c r="Q126" s="8" t="s">
        <v>2505</v>
      </c>
      <c r="R126" s="8" t="s">
        <v>1049</v>
      </c>
    </row>
    <row r="127" spans="1:20" x14ac:dyDescent="0.2">
      <c r="A127" s="8" t="s">
        <v>4260</v>
      </c>
      <c r="B127" s="8" t="str">
        <f t="shared" si="2"/>
        <v>1586243729</v>
      </c>
      <c r="C127" s="8" t="str">
        <f t="shared" si="3"/>
        <v>162</v>
      </c>
      <c r="D127" s="8" t="s">
        <v>119</v>
      </c>
      <c r="F127" s="8" t="s">
        <v>202</v>
      </c>
      <c r="G127" s="8" t="s">
        <v>203</v>
      </c>
      <c r="H127" s="8" t="s">
        <v>204</v>
      </c>
      <c r="I127" s="8" t="s">
        <v>71</v>
      </c>
      <c r="J127" s="8" t="s">
        <v>205</v>
      </c>
      <c r="K127" s="8" t="s">
        <v>125</v>
      </c>
      <c r="L127" s="8" t="s">
        <v>206</v>
      </c>
      <c r="M127" s="8" t="s">
        <v>2836</v>
      </c>
      <c r="N127" s="8" t="s">
        <v>203</v>
      </c>
      <c r="O127" s="8">
        <v>310.57</v>
      </c>
      <c r="P127" s="8">
        <v>345.08</v>
      </c>
      <c r="Q127" s="8" t="s">
        <v>2505</v>
      </c>
      <c r="S127" s="8" t="s">
        <v>142</v>
      </c>
      <c r="T127" s="8">
        <v>18.440000000000001</v>
      </c>
    </row>
    <row r="128" spans="1:20" x14ac:dyDescent="0.2">
      <c r="A128" s="8" t="s">
        <v>4132</v>
      </c>
      <c r="B128" s="8" t="str">
        <f t="shared" si="2"/>
        <v>1586243729</v>
      </c>
      <c r="C128" s="8" t="str">
        <f t="shared" si="3"/>
        <v>163</v>
      </c>
      <c r="D128" s="8" t="s">
        <v>119</v>
      </c>
      <c r="F128" s="8" t="s">
        <v>202</v>
      </c>
      <c r="G128" s="8" t="s">
        <v>203</v>
      </c>
      <c r="H128" s="8" t="s">
        <v>204</v>
      </c>
      <c r="I128" s="8" t="s">
        <v>71</v>
      </c>
      <c r="J128" s="8" t="s">
        <v>205</v>
      </c>
      <c r="K128" s="8" t="s">
        <v>125</v>
      </c>
      <c r="L128" s="8" t="s">
        <v>206</v>
      </c>
      <c r="M128" s="8" t="s">
        <v>2836</v>
      </c>
      <c r="N128" s="8" t="s">
        <v>203</v>
      </c>
      <c r="O128" s="8">
        <v>310.57</v>
      </c>
      <c r="P128" s="8">
        <v>345.08</v>
      </c>
      <c r="Q128" s="8" t="s">
        <v>2505</v>
      </c>
      <c r="S128" s="8" t="s">
        <v>106</v>
      </c>
      <c r="T128" s="8">
        <v>28.03</v>
      </c>
    </row>
    <row r="129" spans="1:20" x14ac:dyDescent="0.2">
      <c r="A129" s="8" t="s">
        <v>4434</v>
      </c>
      <c r="B129" s="8" t="str">
        <f t="shared" si="2"/>
        <v>1586243729</v>
      </c>
      <c r="C129" s="8" t="str">
        <f t="shared" si="3"/>
        <v>164</v>
      </c>
      <c r="D129" s="8" t="s">
        <v>119</v>
      </c>
      <c r="F129" s="8" t="s">
        <v>202</v>
      </c>
      <c r="G129" s="8" t="s">
        <v>203</v>
      </c>
      <c r="H129" s="8" t="s">
        <v>204</v>
      </c>
      <c r="I129" s="8" t="s">
        <v>71</v>
      </c>
      <c r="J129" s="8" t="s">
        <v>205</v>
      </c>
      <c r="K129" s="8" t="s">
        <v>125</v>
      </c>
      <c r="L129" s="8" t="s">
        <v>206</v>
      </c>
      <c r="M129" s="8" t="s">
        <v>2836</v>
      </c>
      <c r="N129" s="8" t="s">
        <v>203</v>
      </c>
      <c r="O129" s="8">
        <v>310.57</v>
      </c>
      <c r="P129" s="8">
        <v>345.08</v>
      </c>
      <c r="Q129" s="8" t="s">
        <v>2505</v>
      </c>
      <c r="S129" s="8" t="s">
        <v>530</v>
      </c>
      <c r="T129" s="8">
        <v>47.21</v>
      </c>
    </row>
    <row r="130" spans="1:20" x14ac:dyDescent="0.2">
      <c r="A130" s="8" t="s">
        <v>2969</v>
      </c>
      <c r="B130" s="8" t="str">
        <f t="shared" ref="B130:B193" si="4">LEFT(A130, FIND("-", A130) - 1)</f>
        <v>1586243729</v>
      </c>
      <c r="C130" s="8" t="str">
        <f t="shared" ref="C130:C193" si="5">RIGHT(A130, LEN(A130) - FIND("-", A130))</f>
        <v>165</v>
      </c>
      <c r="D130" s="8" t="s">
        <v>119</v>
      </c>
      <c r="F130" s="8" t="s">
        <v>202</v>
      </c>
      <c r="G130" s="8" t="s">
        <v>203</v>
      </c>
      <c r="H130" s="8" t="s">
        <v>204</v>
      </c>
      <c r="I130" s="8" t="s">
        <v>71</v>
      </c>
      <c r="J130" s="8" t="s">
        <v>205</v>
      </c>
      <c r="K130" s="8" t="s">
        <v>125</v>
      </c>
      <c r="L130" s="8" t="s">
        <v>206</v>
      </c>
      <c r="M130" s="8" t="s">
        <v>2836</v>
      </c>
      <c r="N130" s="8" t="s">
        <v>203</v>
      </c>
      <c r="O130" s="8">
        <v>310.57</v>
      </c>
      <c r="P130" s="8">
        <v>345.08</v>
      </c>
      <c r="Q130" s="8" t="s">
        <v>2505</v>
      </c>
      <c r="S130" s="8" t="s">
        <v>109</v>
      </c>
      <c r="T130" s="8">
        <v>37.619999999999997</v>
      </c>
    </row>
    <row r="131" spans="1:20" x14ac:dyDescent="0.2">
      <c r="A131" s="8" t="s">
        <v>3658</v>
      </c>
      <c r="B131" s="8" t="str">
        <f t="shared" si="4"/>
        <v>1586243733</v>
      </c>
      <c r="C131" s="8" t="str">
        <f t="shared" si="5"/>
        <v>166</v>
      </c>
      <c r="D131" s="8" t="s">
        <v>119</v>
      </c>
      <c r="F131" s="8" t="s">
        <v>202</v>
      </c>
      <c r="G131" s="8" t="s">
        <v>840</v>
      </c>
      <c r="H131" s="8" t="s">
        <v>841</v>
      </c>
      <c r="I131" s="8" t="s">
        <v>71</v>
      </c>
      <c r="J131" s="8" t="s">
        <v>842</v>
      </c>
      <c r="K131" s="8" t="s">
        <v>60</v>
      </c>
      <c r="L131" s="8" t="s">
        <v>843</v>
      </c>
      <c r="M131" s="8" t="s">
        <v>2836</v>
      </c>
      <c r="N131" s="8" t="s">
        <v>840</v>
      </c>
      <c r="O131" s="8">
        <v>997.38</v>
      </c>
      <c r="P131" s="8">
        <v>1108.2</v>
      </c>
      <c r="Q131" s="8" t="s">
        <v>2506</v>
      </c>
      <c r="R131" s="8" t="s">
        <v>844</v>
      </c>
    </row>
    <row r="132" spans="1:20" x14ac:dyDescent="0.2">
      <c r="A132" s="8" t="s">
        <v>4594</v>
      </c>
      <c r="B132" s="8" t="str">
        <f t="shared" si="4"/>
        <v>1586243733</v>
      </c>
      <c r="C132" s="8" t="str">
        <f t="shared" si="5"/>
        <v>167</v>
      </c>
      <c r="D132" s="8" t="s">
        <v>119</v>
      </c>
      <c r="F132" s="8" t="s">
        <v>202</v>
      </c>
      <c r="G132" s="8" t="s">
        <v>840</v>
      </c>
      <c r="H132" s="8" t="s">
        <v>841</v>
      </c>
      <c r="I132" s="8" t="s">
        <v>71</v>
      </c>
      <c r="J132" s="8" t="s">
        <v>842</v>
      </c>
      <c r="K132" s="8" t="s">
        <v>60</v>
      </c>
      <c r="L132" s="8" t="s">
        <v>843</v>
      </c>
      <c r="M132" s="8" t="s">
        <v>2836</v>
      </c>
      <c r="N132" s="8" t="s">
        <v>840</v>
      </c>
      <c r="O132" s="8">
        <v>997.38</v>
      </c>
      <c r="P132" s="8">
        <v>1108.2</v>
      </c>
      <c r="Q132" s="8" t="s">
        <v>2506</v>
      </c>
      <c r="R132" s="8" t="s">
        <v>2479</v>
      </c>
    </row>
    <row r="133" spans="1:20" x14ac:dyDescent="0.2">
      <c r="A133" s="8" t="s">
        <v>3347</v>
      </c>
      <c r="B133" s="8" t="str">
        <f t="shared" si="4"/>
        <v>1586243733</v>
      </c>
      <c r="C133" s="8" t="str">
        <f t="shared" si="5"/>
        <v>168</v>
      </c>
      <c r="D133" s="8" t="s">
        <v>119</v>
      </c>
      <c r="F133" s="8" t="s">
        <v>202</v>
      </c>
      <c r="G133" s="8" t="s">
        <v>840</v>
      </c>
      <c r="H133" s="8" t="s">
        <v>841</v>
      </c>
      <c r="I133" s="8" t="s">
        <v>71</v>
      </c>
      <c r="J133" s="8" t="s">
        <v>842</v>
      </c>
      <c r="K133" s="8" t="s">
        <v>60</v>
      </c>
      <c r="L133" s="8" t="s">
        <v>843</v>
      </c>
      <c r="M133" s="8" t="s">
        <v>2836</v>
      </c>
      <c r="N133" s="8" t="s">
        <v>840</v>
      </c>
      <c r="O133" s="8">
        <v>997.38</v>
      </c>
      <c r="P133" s="8">
        <v>1108.2</v>
      </c>
      <c r="Q133" s="8" t="s">
        <v>2506</v>
      </c>
      <c r="S133" s="8" t="s">
        <v>2415</v>
      </c>
      <c r="T133" s="8">
        <v>126.89</v>
      </c>
    </row>
    <row r="134" spans="1:20" x14ac:dyDescent="0.2">
      <c r="A134" s="8" t="s">
        <v>3340</v>
      </c>
      <c r="B134" s="8" t="str">
        <f t="shared" si="4"/>
        <v>1586243733</v>
      </c>
      <c r="C134" s="8" t="str">
        <f t="shared" si="5"/>
        <v>169</v>
      </c>
      <c r="D134" s="8" t="s">
        <v>119</v>
      </c>
      <c r="F134" s="8" t="s">
        <v>202</v>
      </c>
      <c r="G134" s="8" t="s">
        <v>840</v>
      </c>
      <c r="H134" s="8" t="s">
        <v>841</v>
      </c>
      <c r="I134" s="8" t="s">
        <v>71</v>
      </c>
      <c r="J134" s="8" t="s">
        <v>842</v>
      </c>
      <c r="K134" s="8" t="s">
        <v>60</v>
      </c>
      <c r="L134" s="8" t="s">
        <v>843</v>
      </c>
      <c r="M134" s="8" t="s">
        <v>2836</v>
      </c>
      <c r="N134" s="8" t="s">
        <v>840</v>
      </c>
      <c r="O134" s="8">
        <v>997.38</v>
      </c>
      <c r="P134" s="8">
        <v>1108.2</v>
      </c>
      <c r="Q134" s="8" t="s">
        <v>2506</v>
      </c>
      <c r="S134" s="8" t="s">
        <v>1116</v>
      </c>
      <c r="T134" s="8">
        <v>75.25</v>
      </c>
    </row>
    <row r="135" spans="1:20" x14ac:dyDescent="0.2">
      <c r="A135" s="8" t="s">
        <v>3997</v>
      </c>
      <c r="B135" s="8" t="str">
        <f t="shared" si="4"/>
        <v>1586243733</v>
      </c>
      <c r="C135" s="8" t="str">
        <f t="shared" si="5"/>
        <v>170</v>
      </c>
      <c r="D135" s="8" t="s">
        <v>119</v>
      </c>
      <c r="F135" s="8" t="s">
        <v>202</v>
      </c>
      <c r="G135" s="8" t="s">
        <v>840</v>
      </c>
      <c r="H135" s="8" t="s">
        <v>841</v>
      </c>
      <c r="I135" s="8" t="s">
        <v>71</v>
      </c>
      <c r="J135" s="8" t="s">
        <v>842</v>
      </c>
      <c r="K135" s="8" t="s">
        <v>60</v>
      </c>
      <c r="L135" s="8" t="s">
        <v>843</v>
      </c>
      <c r="M135" s="8" t="s">
        <v>2836</v>
      </c>
      <c r="N135" s="8" t="s">
        <v>840</v>
      </c>
      <c r="O135" s="8">
        <v>997.38</v>
      </c>
      <c r="P135" s="8">
        <v>1108.2</v>
      </c>
      <c r="Q135" s="8" t="s">
        <v>2506</v>
      </c>
      <c r="S135" s="8" t="s">
        <v>142</v>
      </c>
      <c r="T135" s="8">
        <v>123.2</v>
      </c>
    </row>
    <row r="136" spans="1:20" x14ac:dyDescent="0.2">
      <c r="A136" s="8" t="s">
        <v>2905</v>
      </c>
      <c r="B136" s="8" t="str">
        <f t="shared" si="4"/>
        <v>1586243737</v>
      </c>
      <c r="C136" s="8" t="str">
        <f t="shared" si="5"/>
        <v>171</v>
      </c>
      <c r="D136" s="8" t="s">
        <v>119</v>
      </c>
      <c r="F136" s="8" t="s">
        <v>202</v>
      </c>
      <c r="G136" s="8" t="s">
        <v>948</v>
      </c>
      <c r="H136" s="8" t="s">
        <v>949</v>
      </c>
      <c r="I136" s="8" t="s">
        <v>160</v>
      </c>
      <c r="J136" s="8" t="s">
        <v>950</v>
      </c>
      <c r="K136" s="8" t="s">
        <v>125</v>
      </c>
      <c r="L136" s="8" t="s">
        <v>951</v>
      </c>
      <c r="M136" s="8" t="s">
        <v>2836</v>
      </c>
      <c r="N136" s="8" t="s">
        <v>948</v>
      </c>
      <c r="O136" s="8">
        <v>470.66</v>
      </c>
      <c r="P136" s="8">
        <v>522.95000000000005</v>
      </c>
      <c r="Q136" s="8" t="s">
        <v>2507</v>
      </c>
      <c r="R136" s="8" t="s">
        <v>1554</v>
      </c>
    </row>
    <row r="137" spans="1:20" x14ac:dyDescent="0.2">
      <c r="A137" s="8" t="s">
        <v>3933</v>
      </c>
      <c r="B137" s="8" t="str">
        <f t="shared" si="4"/>
        <v>1586243737</v>
      </c>
      <c r="C137" s="8" t="str">
        <f t="shared" si="5"/>
        <v>172</v>
      </c>
      <c r="D137" s="8" t="s">
        <v>119</v>
      </c>
      <c r="F137" s="8" t="s">
        <v>202</v>
      </c>
      <c r="G137" s="8" t="s">
        <v>948</v>
      </c>
      <c r="H137" s="8" t="s">
        <v>949</v>
      </c>
      <c r="I137" s="8" t="s">
        <v>160</v>
      </c>
      <c r="J137" s="8" t="s">
        <v>950</v>
      </c>
      <c r="K137" s="8" t="s">
        <v>125</v>
      </c>
      <c r="L137" s="8" t="s">
        <v>951</v>
      </c>
      <c r="M137" s="8" t="s">
        <v>2836</v>
      </c>
      <c r="N137" s="8" t="s">
        <v>948</v>
      </c>
      <c r="O137" s="8">
        <v>470.66</v>
      </c>
      <c r="P137" s="8">
        <v>522.95000000000005</v>
      </c>
      <c r="Q137" s="8" t="s">
        <v>2507</v>
      </c>
      <c r="R137" s="8" t="s">
        <v>2354</v>
      </c>
    </row>
    <row r="138" spans="1:20" x14ac:dyDescent="0.2">
      <c r="A138" s="8" t="s">
        <v>3567</v>
      </c>
      <c r="B138" s="8" t="str">
        <f t="shared" si="4"/>
        <v>1586243737</v>
      </c>
      <c r="C138" s="8" t="str">
        <f t="shared" si="5"/>
        <v>173</v>
      </c>
      <c r="D138" s="8" t="s">
        <v>119</v>
      </c>
      <c r="F138" s="8" t="s">
        <v>202</v>
      </c>
      <c r="G138" s="8" t="s">
        <v>948</v>
      </c>
      <c r="H138" s="8" t="s">
        <v>949</v>
      </c>
      <c r="I138" s="8" t="s">
        <v>160</v>
      </c>
      <c r="J138" s="8" t="s">
        <v>950</v>
      </c>
      <c r="K138" s="8" t="s">
        <v>125</v>
      </c>
      <c r="L138" s="8" t="s">
        <v>951</v>
      </c>
      <c r="M138" s="8" t="s">
        <v>2836</v>
      </c>
      <c r="N138" s="8" t="s">
        <v>948</v>
      </c>
      <c r="O138" s="8">
        <v>470.66</v>
      </c>
      <c r="P138" s="8">
        <v>522.95000000000005</v>
      </c>
      <c r="Q138" s="8" t="s">
        <v>2507</v>
      </c>
      <c r="R138" s="8" t="s">
        <v>2115</v>
      </c>
    </row>
    <row r="139" spans="1:20" x14ac:dyDescent="0.2">
      <c r="A139" s="8" t="s">
        <v>3608</v>
      </c>
      <c r="B139" s="8" t="str">
        <f t="shared" si="4"/>
        <v>1586243737</v>
      </c>
      <c r="C139" s="8" t="str">
        <f t="shared" si="5"/>
        <v>174</v>
      </c>
      <c r="D139" s="8" t="s">
        <v>119</v>
      </c>
      <c r="F139" s="8" t="s">
        <v>202</v>
      </c>
      <c r="G139" s="8" t="s">
        <v>948</v>
      </c>
      <c r="H139" s="8" t="s">
        <v>949</v>
      </c>
      <c r="I139" s="8" t="s">
        <v>160</v>
      </c>
      <c r="J139" s="8" t="s">
        <v>950</v>
      </c>
      <c r="K139" s="8" t="s">
        <v>125</v>
      </c>
      <c r="L139" s="8" t="s">
        <v>951</v>
      </c>
      <c r="M139" s="8" t="s">
        <v>2836</v>
      </c>
      <c r="N139" s="8" t="s">
        <v>948</v>
      </c>
      <c r="O139" s="8">
        <v>470.66</v>
      </c>
      <c r="P139" s="8">
        <v>522.95000000000005</v>
      </c>
      <c r="Q139" s="8" t="s">
        <v>2507</v>
      </c>
      <c r="R139" s="8" t="s">
        <v>2345</v>
      </c>
    </row>
    <row r="140" spans="1:20" x14ac:dyDescent="0.2">
      <c r="A140" s="8" t="s">
        <v>4223</v>
      </c>
      <c r="B140" s="8" t="str">
        <f t="shared" si="4"/>
        <v>1586243737</v>
      </c>
      <c r="C140" s="8" t="str">
        <f t="shared" si="5"/>
        <v>175</v>
      </c>
      <c r="D140" s="8" t="s">
        <v>119</v>
      </c>
      <c r="F140" s="8" t="s">
        <v>202</v>
      </c>
      <c r="G140" s="8" t="s">
        <v>948</v>
      </c>
      <c r="H140" s="8" t="s">
        <v>949</v>
      </c>
      <c r="I140" s="8" t="s">
        <v>160</v>
      </c>
      <c r="J140" s="8" t="s">
        <v>950</v>
      </c>
      <c r="K140" s="8" t="s">
        <v>125</v>
      </c>
      <c r="L140" s="8" t="s">
        <v>951</v>
      </c>
      <c r="M140" s="8" t="s">
        <v>2836</v>
      </c>
      <c r="N140" s="8" t="s">
        <v>948</v>
      </c>
      <c r="O140" s="8">
        <v>470.66</v>
      </c>
      <c r="P140" s="8">
        <v>522.95000000000005</v>
      </c>
      <c r="Q140" s="8" t="s">
        <v>2507</v>
      </c>
      <c r="R140" s="8" t="s">
        <v>2172</v>
      </c>
    </row>
    <row r="141" spans="1:20" x14ac:dyDescent="0.2">
      <c r="A141" s="8" t="s">
        <v>4104</v>
      </c>
      <c r="B141" s="8" t="str">
        <f t="shared" si="4"/>
        <v>1586243737</v>
      </c>
      <c r="C141" s="8" t="str">
        <f t="shared" si="5"/>
        <v>176</v>
      </c>
      <c r="D141" s="8" t="s">
        <v>119</v>
      </c>
      <c r="F141" s="8" t="s">
        <v>202</v>
      </c>
      <c r="G141" s="8" t="s">
        <v>948</v>
      </c>
      <c r="H141" s="8" t="s">
        <v>949</v>
      </c>
      <c r="I141" s="8" t="s">
        <v>160</v>
      </c>
      <c r="J141" s="8" t="s">
        <v>950</v>
      </c>
      <c r="K141" s="8" t="s">
        <v>125</v>
      </c>
      <c r="L141" s="8" t="s">
        <v>951</v>
      </c>
      <c r="M141" s="8" t="s">
        <v>2836</v>
      </c>
      <c r="N141" s="8" t="s">
        <v>948</v>
      </c>
      <c r="O141" s="8">
        <v>470.66</v>
      </c>
      <c r="P141" s="8">
        <v>522.95000000000005</v>
      </c>
      <c r="Q141" s="8" t="s">
        <v>2507</v>
      </c>
      <c r="R141" s="8" t="s">
        <v>1981</v>
      </c>
    </row>
    <row r="142" spans="1:20" x14ac:dyDescent="0.2">
      <c r="A142" s="8" t="s">
        <v>3470</v>
      </c>
      <c r="B142" s="8" t="str">
        <f t="shared" si="4"/>
        <v>1586243737</v>
      </c>
      <c r="C142" s="8" t="str">
        <f t="shared" si="5"/>
        <v>177</v>
      </c>
      <c r="D142" s="8" t="s">
        <v>119</v>
      </c>
      <c r="F142" s="8" t="s">
        <v>202</v>
      </c>
      <c r="G142" s="8" t="s">
        <v>948</v>
      </c>
      <c r="H142" s="8" t="s">
        <v>949</v>
      </c>
      <c r="I142" s="8" t="s">
        <v>160</v>
      </c>
      <c r="J142" s="8" t="s">
        <v>950</v>
      </c>
      <c r="K142" s="8" t="s">
        <v>125</v>
      </c>
      <c r="L142" s="8" t="s">
        <v>951</v>
      </c>
      <c r="M142" s="8" t="s">
        <v>2836</v>
      </c>
      <c r="N142" s="8" t="s">
        <v>948</v>
      </c>
      <c r="O142" s="8">
        <v>470.66</v>
      </c>
      <c r="P142" s="8">
        <v>522.95000000000005</v>
      </c>
      <c r="Q142" s="8" t="s">
        <v>2507</v>
      </c>
      <c r="S142" s="8" t="s">
        <v>142</v>
      </c>
      <c r="T142" s="8">
        <v>18.440000000000001</v>
      </c>
    </row>
    <row r="143" spans="1:20" x14ac:dyDescent="0.2">
      <c r="A143" s="8" t="s">
        <v>3899</v>
      </c>
      <c r="B143" s="8" t="str">
        <f t="shared" si="4"/>
        <v>1586243737</v>
      </c>
      <c r="C143" s="8" t="str">
        <f t="shared" si="5"/>
        <v>178</v>
      </c>
      <c r="D143" s="8" t="s">
        <v>119</v>
      </c>
      <c r="F143" s="8" t="s">
        <v>202</v>
      </c>
      <c r="G143" s="8" t="s">
        <v>948</v>
      </c>
      <c r="H143" s="8" t="s">
        <v>949</v>
      </c>
      <c r="I143" s="8" t="s">
        <v>160</v>
      </c>
      <c r="J143" s="8" t="s">
        <v>950</v>
      </c>
      <c r="K143" s="8" t="s">
        <v>125</v>
      </c>
      <c r="L143" s="8" t="s">
        <v>951</v>
      </c>
      <c r="M143" s="8" t="s">
        <v>2836</v>
      </c>
      <c r="N143" s="8" t="s">
        <v>948</v>
      </c>
      <c r="O143" s="8">
        <v>470.66</v>
      </c>
      <c r="P143" s="8">
        <v>522.95000000000005</v>
      </c>
      <c r="Q143" s="8" t="s">
        <v>2507</v>
      </c>
      <c r="S143" s="8" t="s">
        <v>1367</v>
      </c>
      <c r="T143" s="8">
        <v>81.150000000000006</v>
      </c>
    </row>
    <row r="144" spans="1:20" x14ac:dyDescent="0.2">
      <c r="A144" s="8" t="s">
        <v>3913</v>
      </c>
      <c r="B144" s="8" t="str">
        <f t="shared" si="4"/>
        <v>1586243737</v>
      </c>
      <c r="C144" s="8" t="str">
        <f t="shared" si="5"/>
        <v>179</v>
      </c>
      <c r="D144" s="8" t="s">
        <v>119</v>
      </c>
      <c r="F144" s="8" t="s">
        <v>202</v>
      </c>
      <c r="G144" s="8" t="s">
        <v>948</v>
      </c>
      <c r="H144" s="8" t="s">
        <v>949</v>
      </c>
      <c r="I144" s="8" t="s">
        <v>160</v>
      </c>
      <c r="J144" s="8" t="s">
        <v>950</v>
      </c>
      <c r="K144" s="8" t="s">
        <v>125</v>
      </c>
      <c r="L144" s="8" t="s">
        <v>951</v>
      </c>
      <c r="M144" s="8" t="s">
        <v>2836</v>
      </c>
      <c r="N144" s="8" t="s">
        <v>948</v>
      </c>
      <c r="O144" s="8">
        <v>470.66</v>
      </c>
      <c r="P144" s="8">
        <v>522.95000000000005</v>
      </c>
      <c r="Q144" s="8" t="s">
        <v>2507</v>
      </c>
      <c r="S144" s="8" t="s">
        <v>1775</v>
      </c>
      <c r="T144" s="8">
        <v>100.33</v>
      </c>
    </row>
    <row r="145" spans="1:20" x14ac:dyDescent="0.2">
      <c r="A145" s="8" t="s">
        <v>2835</v>
      </c>
      <c r="B145" s="8" t="str">
        <f t="shared" si="4"/>
        <v>1586243737</v>
      </c>
      <c r="C145" s="8" t="str">
        <f t="shared" si="5"/>
        <v>180</v>
      </c>
      <c r="D145" s="8" t="s">
        <v>119</v>
      </c>
      <c r="F145" s="8" t="s">
        <v>202</v>
      </c>
      <c r="G145" s="8" t="s">
        <v>948</v>
      </c>
      <c r="H145" s="8" t="s">
        <v>949</v>
      </c>
      <c r="I145" s="8" t="s">
        <v>160</v>
      </c>
      <c r="J145" s="8" t="s">
        <v>950</v>
      </c>
      <c r="K145" s="8" t="s">
        <v>125</v>
      </c>
      <c r="L145" s="8" t="s">
        <v>951</v>
      </c>
      <c r="M145" s="8" t="s">
        <v>2836</v>
      </c>
      <c r="N145" s="8" t="s">
        <v>948</v>
      </c>
      <c r="O145" s="8">
        <v>470.66</v>
      </c>
      <c r="P145" s="8">
        <v>522.95000000000005</v>
      </c>
      <c r="Q145" s="8" t="s">
        <v>2507</v>
      </c>
      <c r="S145" s="8" t="s">
        <v>952</v>
      </c>
      <c r="T145" s="8">
        <v>99.59</v>
      </c>
    </row>
    <row r="146" spans="1:20" x14ac:dyDescent="0.2">
      <c r="A146" s="8" t="s">
        <v>4056</v>
      </c>
      <c r="B146" s="8" t="str">
        <f t="shared" si="4"/>
        <v>1586243737</v>
      </c>
      <c r="C146" s="8" t="str">
        <f t="shared" si="5"/>
        <v>181</v>
      </c>
      <c r="D146" s="8" t="s">
        <v>119</v>
      </c>
      <c r="F146" s="8" t="s">
        <v>202</v>
      </c>
      <c r="G146" s="8" t="s">
        <v>948</v>
      </c>
      <c r="H146" s="8" t="s">
        <v>949</v>
      </c>
      <c r="I146" s="8" t="s">
        <v>160</v>
      </c>
      <c r="J146" s="8" t="s">
        <v>950</v>
      </c>
      <c r="K146" s="8" t="s">
        <v>125</v>
      </c>
      <c r="L146" s="8" t="s">
        <v>951</v>
      </c>
      <c r="M146" s="8" t="s">
        <v>2836</v>
      </c>
      <c r="N146" s="8" t="s">
        <v>948</v>
      </c>
      <c r="O146" s="8">
        <v>470.66</v>
      </c>
      <c r="P146" s="8">
        <v>522.95000000000005</v>
      </c>
      <c r="Q146" s="8" t="s">
        <v>2507</v>
      </c>
      <c r="S146" s="8" t="s">
        <v>882</v>
      </c>
      <c r="T146" s="8">
        <v>104.75</v>
      </c>
    </row>
    <row r="147" spans="1:20" x14ac:dyDescent="0.2">
      <c r="A147" s="8" t="s">
        <v>4519</v>
      </c>
      <c r="B147" s="8" t="str">
        <f t="shared" si="4"/>
        <v>1586243744</v>
      </c>
      <c r="C147" s="8" t="str">
        <f t="shared" si="5"/>
        <v>182</v>
      </c>
      <c r="D147" s="8" t="s">
        <v>119</v>
      </c>
      <c r="F147" s="8" t="s">
        <v>253</v>
      </c>
      <c r="G147" s="8" t="s">
        <v>1531</v>
      </c>
      <c r="H147" s="8" t="s">
        <v>1532</v>
      </c>
      <c r="I147" s="8" t="s">
        <v>167</v>
      </c>
      <c r="J147" s="8" t="s">
        <v>1533</v>
      </c>
      <c r="K147" s="8" t="s">
        <v>176</v>
      </c>
      <c r="L147" s="8" t="s">
        <v>1534</v>
      </c>
      <c r="M147" s="8" t="s">
        <v>2508</v>
      </c>
      <c r="N147" s="8" t="s">
        <v>1531</v>
      </c>
      <c r="O147" s="8">
        <v>493.52</v>
      </c>
      <c r="P147" s="8">
        <v>548.36</v>
      </c>
      <c r="Q147" s="8" t="s">
        <v>2509</v>
      </c>
      <c r="R147" s="8" t="s">
        <v>1535</v>
      </c>
    </row>
    <row r="148" spans="1:20" x14ac:dyDescent="0.2">
      <c r="A148" s="8" t="s">
        <v>3184</v>
      </c>
      <c r="B148" s="8" t="str">
        <f t="shared" si="4"/>
        <v>1586243744</v>
      </c>
      <c r="C148" s="8" t="str">
        <f t="shared" si="5"/>
        <v>183</v>
      </c>
      <c r="D148" s="8" t="s">
        <v>119</v>
      </c>
      <c r="F148" s="8" t="s">
        <v>253</v>
      </c>
      <c r="G148" s="8" t="s">
        <v>1531</v>
      </c>
      <c r="H148" s="8" t="s">
        <v>1532</v>
      </c>
      <c r="I148" s="8" t="s">
        <v>167</v>
      </c>
      <c r="J148" s="8" t="s">
        <v>1533</v>
      </c>
      <c r="K148" s="8" t="s">
        <v>176</v>
      </c>
      <c r="L148" s="8" t="s">
        <v>1534</v>
      </c>
      <c r="M148" s="8" t="s">
        <v>2508</v>
      </c>
      <c r="N148" s="8" t="s">
        <v>1531</v>
      </c>
      <c r="O148" s="8">
        <v>493.52</v>
      </c>
      <c r="P148" s="8">
        <v>548.36</v>
      </c>
      <c r="Q148" s="8" t="s">
        <v>2509</v>
      </c>
      <c r="R148" s="8" t="s">
        <v>1652</v>
      </c>
    </row>
    <row r="149" spans="1:20" x14ac:dyDescent="0.2">
      <c r="A149" s="8" t="s">
        <v>3946</v>
      </c>
      <c r="B149" s="8" t="str">
        <f t="shared" si="4"/>
        <v>1586243744</v>
      </c>
      <c r="C149" s="8" t="str">
        <f t="shared" si="5"/>
        <v>184</v>
      </c>
      <c r="D149" s="8" t="s">
        <v>119</v>
      </c>
      <c r="F149" s="8" t="s">
        <v>253</v>
      </c>
      <c r="G149" s="8" t="s">
        <v>1531</v>
      </c>
      <c r="H149" s="8" t="s">
        <v>1532</v>
      </c>
      <c r="I149" s="8" t="s">
        <v>167</v>
      </c>
      <c r="J149" s="8" t="s">
        <v>1533</v>
      </c>
      <c r="K149" s="8" t="s">
        <v>176</v>
      </c>
      <c r="L149" s="8" t="s">
        <v>1534</v>
      </c>
      <c r="M149" s="8" t="s">
        <v>2508</v>
      </c>
      <c r="N149" s="8" t="s">
        <v>1531</v>
      </c>
      <c r="O149" s="8">
        <v>493.52</v>
      </c>
      <c r="P149" s="8">
        <v>548.36</v>
      </c>
      <c r="Q149" s="8" t="s">
        <v>2509</v>
      </c>
      <c r="R149" s="8" t="s">
        <v>2001</v>
      </c>
    </row>
    <row r="150" spans="1:20" x14ac:dyDescent="0.2">
      <c r="A150" s="8" t="s">
        <v>3656</v>
      </c>
      <c r="B150" s="8" t="str">
        <f t="shared" si="4"/>
        <v>1586243744</v>
      </c>
      <c r="C150" s="8" t="str">
        <f t="shared" si="5"/>
        <v>185</v>
      </c>
      <c r="D150" s="8" t="s">
        <v>119</v>
      </c>
      <c r="F150" s="8" t="s">
        <v>253</v>
      </c>
      <c r="G150" s="8" t="s">
        <v>1531</v>
      </c>
      <c r="H150" s="8" t="s">
        <v>1532</v>
      </c>
      <c r="I150" s="8" t="s">
        <v>167</v>
      </c>
      <c r="J150" s="8" t="s">
        <v>1533</v>
      </c>
      <c r="K150" s="8" t="s">
        <v>176</v>
      </c>
      <c r="L150" s="8" t="s">
        <v>1534</v>
      </c>
      <c r="M150" s="8" t="s">
        <v>2508</v>
      </c>
      <c r="N150" s="8" t="s">
        <v>1531</v>
      </c>
      <c r="O150" s="8">
        <v>493.52</v>
      </c>
      <c r="P150" s="8">
        <v>548.36</v>
      </c>
      <c r="Q150" s="8" t="s">
        <v>2509</v>
      </c>
      <c r="S150" s="8" t="s">
        <v>184</v>
      </c>
      <c r="T150" s="8">
        <v>123.2</v>
      </c>
    </row>
    <row r="151" spans="1:20" x14ac:dyDescent="0.2">
      <c r="A151" s="8" t="s">
        <v>4219</v>
      </c>
      <c r="B151" s="8" t="str">
        <f t="shared" si="4"/>
        <v>1586243744</v>
      </c>
      <c r="C151" s="8" t="str">
        <f t="shared" si="5"/>
        <v>186</v>
      </c>
      <c r="D151" s="8" t="s">
        <v>119</v>
      </c>
      <c r="F151" s="8" t="s">
        <v>253</v>
      </c>
      <c r="G151" s="8" t="s">
        <v>1531</v>
      </c>
      <c r="H151" s="8" t="s">
        <v>1532</v>
      </c>
      <c r="I151" s="8" t="s">
        <v>167</v>
      </c>
      <c r="J151" s="8" t="s">
        <v>1533</v>
      </c>
      <c r="K151" s="8" t="s">
        <v>176</v>
      </c>
      <c r="L151" s="8" t="s">
        <v>1534</v>
      </c>
      <c r="M151" s="8" t="s">
        <v>2508</v>
      </c>
      <c r="N151" s="8" t="s">
        <v>1531</v>
      </c>
      <c r="O151" s="8">
        <v>493.52</v>
      </c>
      <c r="P151" s="8">
        <v>548.36</v>
      </c>
      <c r="Q151" s="8" t="s">
        <v>2509</v>
      </c>
      <c r="S151" s="8" t="s">
        <v>156</v>
      </c>
      <c r="T151" s="8">
        <v>65.66</v>
      </c>
    </row>
    <row r="152" spans="1:20" x14ac:dyDescent="0.2">
      <c r="A152" s="8" t="s">
        <v>4528</v>
      </c>
      <c r="B152" s="8" t="str">
        <f t="shared" si="4"/>
        <v>1586243748</v>
      </c>
      <c r="C152" s="8" t="str">
        <f t="shared" si="5"/>
        <v>187</v>
      </c>
      <c r="D152" s="8" t="s">
        <v>119</v>
      </c>
      <c r="F152" s="8" t="s">
        <v>253</v>
      </c>
      <c r="G152" s="8" t="s">
        <v>254</v>
      </c>
      <c r="H152" s="8" t="s">
        <v>255</v>
      </c>
      <c r="I152" s="8" t="s">
        <v>139</v>
      </c>
      <c r="J152" s="8" t="s">
        <v>256</v>
      </c>
      <c r="K152" s="8" t="s">
        <v>257</v>
      </c>
      <c r="L152" s="8" t="s">
        <v>258</v>
      </c>
      <c r="M152" s="8" t="s">
        <v>2508</v>
      </c>
      <c r="N152" s="8" t="s">
        <v>254</v>
      </c>
      <c r="O152" s="8">
        <v>560.66</v>
      </c>
      <c r="P152" s="8">
        <v>622.95000000000005</v>
      </c>
      <c r="Q152" s="8" t="s">
        <v>2510</v>
      </c>
      <c r="R152" s="8" t="s">
        <v>2028</v>
      </c>
    </row>
    <row r="153" spans="1:20" x14ac:dyDescent="0.2">
      <c r="A153" s="8" t="s">
        <v>4499</v>
      </c>
      <c r="B153" s="8" t="str">
        <f t="shared" si="4"/>
        <v>1586243748</v>
      </c>
      <c r="C153" s="8" t="str">
        <f t="shared" si="5"/>
        <v>188</v>
      </c>
      <c r="D153" s="8" t="s">
        <v>119</v>
      </c>
      <c r="F153" s="8" t="s">
        <v>253</v>
      </c>
      <c r="G153" s="8" t="s">
        <v>254</v>
      </c>
      <c r="H153" s="8" t="s">
        <v>255</v>
      </c>
      <c r="I153" s="8" t="s">
        <v>139</v>
      </c>
      <c r="J153" s="8" t="s">
        <v>256</v>
      </c>
      <c r="K153" s="8" t="s">
        <v>257</v>
      </c>
      <c r="L153" s="8" t="s">
        <v>258</v>
      </c>
      <c r="M153" s="8" t="s">
        <v>2508</v>
      </c>
      <c r="N153" s="8" t="s">
        <v>254</v>
      </c>
      <c r="O153" s="8">
        <v>560.66</v>
      </c>
      <c r="P153" s="8">
        <v>622.95000000000005</v>
      </c>
      <c r="Q153" s="8" t="s">
        <v>2510</v>
      </c>
      <c r="R153" s="8" t="s">
        <v>2337</v>
      </c>
    </row>
    <row r="154" spans="1:20" x14ac:dyDescent="0.2">
      <c r="A154" s="8" t="s">
        <v>3886</v>
      </c>
      <c r="B154" s="8" t="str">
        <f t="shared" si="4"/>
        <v>1586243748</v>
      </c>
      <c r="C154" s="8" t="str">
        <f t="shared" si="5"/>
        <v>189</v>
      </c>
      <c r="D154" s="8" t="s">
        <v>119</v>
      </c>
      <c r="F154" s="8" t="s">
        <v>253</v>
      </c>
      <c r="G154" s="8" t="s">
        <v>254</v>
      </c>
      <c r="H154" s="8" t="s">
        <v>255</v>
      </c>
      <c r="I154" s="8" t="s">
        <v>139</v>
      </c>
      <c r="J154" s="8" t="s">
        <v>256</v>
      </c>
      <c r="K154" s="8" t="s">
        <v>257</v>
      </c>
      <c r="L154" s="8" t="s">
        <v>258</v>
      </c>
      <c r="M154" s="8" t="s">
        <v>2508</v>
      </c>
      <c r="N154" s="8" t="s">
        <v>254</v>
      </c>
      <c r="O154" s="8">
        <v>560.66</v>
      </c>
      <c r="P154" s="8">
        <v>622.95000000000005</v>
      </c>
      <c r="Q154" s="8" t="s">
        <v>2510</v>
      </c>
      <c r="R154" s="8" t="s">
        <v>259</v>
      </c>
    </row>
    <row r="155" spans="1:20" x14ac:dyDescent="0.2">
      <c r="A155" s="8" t="s">
        <v>3781</v>
      </c>
      <c r="B155" s="8" t="str">
        <f t="shared" si="4"/>
        <v>1586243748</v>
      </c>
      <c r="C155" s="8" t="str">
        <f t="shared" si="5"/>
        <v>190</v>
      </c>
      <c r="D155" s="8" t="s">
        <v>119</v>
      </c>
      <c r="F155" s="8" t="s">
        <v>253</v>
      </c>
      <c r="G155" s="8" t="s">
        <v>254</v>
      </c>
      <c r="H155" s="8" t="s">
        <v>255</v>
      </c>
      <c r="I155" s="8" t="s">
        <v>139</v>
      </c>
      <c r="J155" s="8" t="s">
        <v>256</v>
      </c>
      <c r="K155" s="8" t="s">
        <v>257</v>
      </c>
      <c r="L155" s="8" t="s">
        <v>258</v>
      </c>
      <c r="M155" s="8" t="s">
        <v>2508</v>
      </c>
      <c r="N155" s="8" t="s">
        <v>254</v>
      </c>
      <c r="O155" s="8">
        <v>560.66</v>
      </c>
      <c r="P155" s="8">
        <v>622.95000000000005</v>
      </c>
      <c r="Q155" s="8" t="s">
        <v>2510</v>
      </c>
      <c r="R155" s="8" t="s">
        <v>1121</v>
      </c>
    </row>
    <row r="156" spans="1:20" x14ac:dyDescent="0.2">
      <c r="A156" s="8" t="s">
        <v>4257</v>
      </c>
      <c r="B156" s="8" t="str">
        <f t="shared" si="4"/>
        <v>1586243752</v>
      </c>
      <c r="C156" s="8" t="str">
        <f t="shared" si="5"/>
        <v>191</v>
      </c>
      <c r="D156" s="8" t="s">
        <v>119</v>
      </c>
      <c r="F156" s="8" t="s">
        <v>253</v>
      </c>
      <c r="G156" s="8" t="s">
        <v>993</v>
      </c>
      <c r="H156" s="8" t="s">
        <v>994</v>
      </c>
      <c r="I156" s="8" t="s">
        <v>995</v>
      </c>
      <c r="J156" s="8" t="s">
        <v>996</v>
      </c>
      <c r="K156" s="8" t="s">
        <v>997</v>
      </c>
      <c r="L156" s="8" t="s">
        <v>998</v>
      </c>
      <c r="M156" s="8" t="s">
        <v>2508</v>
      </c>
      <c r="N156" s="8" t="s">
        <v>993</v>
      </c>
      <c r="O156" s="8">
        <v>472.13</v>
      </c>
      <c r="P156" s="8">
        <v>524.59</v>
      </c>
      <c r="Q156" s="8" t="s">
        <v>2511</v>
      </c>
      <c r="R156" s="8" t="s">
        <v>2456</v>
      </c>
    </row>
    <row r="157" spans="1:20" x14ac:dyDescent="0.2">
      <c r="A157" s="8" t="s">
        <v>3075</v>
      </c>
      <c r="B157" s="8" t="str">
        <f t="shared" si="4"/>
        <v>1586243752</v>
      </c>
      <c r="C157" s="8" t="str">
        <f t="shared" si="5"/>
        <v>192</v>
      </c>
      <c r="D157" s="8" t="s">
        <v>119</v>
      </c>
      <c r="F157" s="8" t="s">
        <v>253</v>
      </c>
      <c r="G157" s="8" t="s">
        <v>993</v>
      </c>
      <c r="H157" s="8" t="s">
        <v>994</v>
      </c>
      <c r="I157" s="8" t="s">
        <v>995</v>
      </c>
      <c r="J157" s="8" t="s">
        <v>996</v>
      </c>
      <c r="K157" s="8" t="s">
        <v>997</v>
      </c>
      <c r="L157" s="8" t="s">
        <v>998</v>
      </c>
      <c r="M157" s="8" t="s">
        <v>2508</v>
      </c>
      <c r="N157" s="8" t="s">
        <v>993</v>
      </c>
      <c r="O157" s="8">
        <v>472.13</v>
      </c>
      <c r="P157" s="8">
        <v>524.59</v>
      </c>
      <c r="Q157" s="8" t="s">
        <v>2511</v>
      </c>
      <c r="R157" s="8" t="s">
        <v>1625</v>
      </c>
    </row>
    <row r="158" spans="1:20" x14ac:dyDescent="0.2">
      <c r="A158" s="8" t="s">
        <v>4463</v>
      </c>
      <c r="B158" s="8" t="str">
        <f t="shared" si="4"/>
        <v>1586243752</v>
      </c>
      <c r="C158" s="8" t="str">
        <f t="shared" si="5"/>
        <v>193</v>
      </c>
      <c r="D158" s="8" t="s">
        <v>119</v>
      </c>
      <c r="F158" s="8" t="s">
        <v>253</v>
      </c>
      <c r="G158" s="8" t="s">
        <v>993</v>
      </c>
      <c r="H158" s="8" t="s">
        <v>994</v>
      </c>
      <c r="I158" s="8" t="s">
        <v>995</v>
      </c>
      <c r="J158" s="8" t="s">
        <v>996</v>
      </c>
      <c r="K158" s="8" t="s">
        <v>997</v>
      </c>
      <c r="L158" s="8" t="s">
        <v>998</v>
      </c>
      <c r="M158" s="8" t="s">
        <v>2508</v>
      </c>
      <c r="N158" s="8" t="s">
        <v>993</v>
      </c>
      <c r="O158" s="8">
        <v>472.13</v>
      </c>
      <c r="P158" s="8">
        <v>524.59</v>
      </c>
      <c r="Q158" s="8" t="s">
        <v>2511</v>
      </c>
      <c r="R158" s="8" t="s">
        <v>999</v>
      </c>
    </row>
    <row r="159" spans="1:20" x14ac:dyDescent="0.2">
      <c r="A159" s="8" t="s">
        <v>3029</v>
      </c>
      <c r="B159" s="8" t="str">
        <f t="shared" si="4"/>
        <v>1586243752</v>
      </c>
      <c r="C159" s="8" t="str">
        <f t="shared" si="5"/>
        <v>194</v>
      </c>
      <c r="D159" s="8" t="s">
        <v>119</v>
      </c>
      <c r="F159" s="8" t="s">
        <v>253</v>
      </c>
      <c r="G159" s="8" t="s">
        <v>993</v>
      </c>
      <c r="H159" s="8" t="s">
        <v>994</v>
      </c>
      <c r="I159" s="8" t="s">
        <v>995</v>
      </c>
      <c r="J159" s="8" t="s">
        <v>996</v>
      </c>
      <c r="K159" s="8" t="s">
        <v>997</v>
      </c>
      <c r="L159" s="8" t="s">
        <v>998</v>
      </c>
      <c r="M159" s="8" t="s">
        <v>2508</v>
      </c>
      <c r="N159" s="8" t="s">
        <v>993</v>
      </c>
      <c r="O159" s="8">
        <v>472.13</v>
      </c>
      <c r="P159" s="8">
        <v>524.59</v>
      </c>
      <c r="Q159" s="8" t="s">
        <v>2511</v>
      </c>
      <c r="S159" s="8" t="s">
        <v>331</v>
      </c>
      <c r="T159" s="8">
        <v>29.51</v>
      </c>
    </row>
    <row r="160" spans="1:20" x14ac:dyDescent="0.2">
      <c r="A160" s="8" t="s">
        <v>4708</v>
      </c>
      <c r="B160" s="8" t="str">
        <f t="shared" si="4"/>
        <v>1586243754</v>
      </c>
      <c r="C160" s="8" t="str">
        <f t="shared" si="5"/>
        <v>195</v>
      </c>
      <c r="D160" s="8" t="s">
        <v>119</v>
      </c>
      <c r="F160" s="8" t="s">
        <v>253</v>
      </c>
      <c r="G160" s="8" t="s">
        <v>993</v>
      </c>
      <c r="H160" s="8" t="s">
        <v>994</v>
      </c>
      <c r="I160" s="8" t="s">
        <v>1179</v>
      </c>
      <c r="J160" s="8" t="s">
        <v>1180</v>
      </c>
      <c r="K160" s="8" t="s">
        <v>997</v>
      </c>
      <c r="L160" s="8" t="s">
        <v>1181</v>
      </c>
      <c r="M160" s="8" t="s">
        <v>2508</v>
      </c>
      <c r="N160" s="8" t="s">
        <v>993</v>
      </c>
      <c r="O160" s="8">
        <v>376.23</v>
      </c>
      <c r="P160" s="8">
        <v>418.03</v>
      </c>
      <c r="Q160" s="8" t="s">
        <v>2512</v>
      </c>
      <c r="R160" s="8" t="s">
        <v>1345</v>
      </c>
    </row>
    <row r="161" spans="1:20" x14ac:dyDescent="0.2">
      <c r="A161" s="8" t="s">
        <v>3136</v>
      </c>
      <c r="B161" s="8" t="str">
        <f t="shared" si="4"/>
        <v>1586243754</v>
      </c>
      <c r="C161" s="8" t="str">
        <f t="shared" si="5"/>
        <v>196</v>
      </c>
      <c r="D161" s="8" t="s">
        <v>119</v>
      </c>
      <c r="F161" s="8" t="s">
        <v>253</v>
      </c>
      <c r="G161" s="8" t="s">
        <v>993</v>
      </c>
      <c r="H161" s="8" t="s">
        <v>994</v>
      </c>
      <c r="I161" s="8" t="s">
        <v>1179</v>
      </c>
      <c r="J161" s="8" t="s">
        <v>1180</v>
      </c>
      <c r="K161" s="8" t="s">
        <v>997</v>
      </c>
      <c r="L161" s="8" t="s">
        <v>1181</v>
      </c>
      <c r="M161" s="8" t="s">
        <v>2508</v>
      </c>
      <c r="N161" s="8" t="s">
        <v>993</v>
      </c>
      <c r="O161" s="8">
        <v>376.23</v>
      </c>
      <c r="P161" s="8">
        <v>418.03</v>
      </c>
      <c r="Q161" s="8" t="s">
        <v>2512</v>
      </c>
      <c r="R161" s="8" t="s">
        <v>1788</v>
      </c>
    </row>
    <row r="162" spans="1:20" x14ac:dyDescent="0.2">
      <c r="A162" s="8" t="s">
        <v>4657</v>
      </c>
      <c r="B162" s="8" t="str">
        <f t="shared" si="4"/>
        <v>1586243754</v>
      </c>
      <c r="C162" s="8" t="str">
        <f t="shared" si="5"/>
        <v>197</v>
      </c>
      <c r="D162" s="8" t="s">
        <v>119</v>
      </c>
      <c r="F162" s="8" t="s">
        <v>253</v>
      </c>
      <c r="G162" s="8" t="s">
        <v>993</v>
      </c>
      <c r="H162" s="8" t="s">
        <v>994</v>
      </c>
      <c r="I162" s="8" t="s">
        <v>1179</v>
      </c>
      <c r="J162" s="8" t="s">
        <v>1180</v>
      </c>
      <c r="K162" s="8" t="s">
        <v>997</v>
      </c>
      <c r="L162" s="8" t="s">
        <v>1181</v>
      </c>
      <c r="M162" s="8" t="s">
        <v>2508</v>
      </c>
      <c r="N162" s="8" t="s">
        <v>993</v>
      </c>
      <c r="O162" s="8">
        <v>376.23</v>
      </c>
      <c r="P162" s="8">
        <v>418.03</v>
      </c>
      <c r="Q162" s="8" t="s">
        <v>2512</v>
      </c>
      <c r="R162" s="8" t="s">
        <v>2477</v>
      </c>
    </row>
    <row r="163" spans="1:20" x14ac:dyDescent="0.2">
      <c r="A163" s="8" t="s">
        <v>2973</v>
      </c>
      <c r="B163" s="8" t="str">
        <f t="shared" si="4"/>
        <v>1586243754</v>
      </c>
      <c r="C163" s="8" t="str">
        <f t="shared" si="5"/>
        <v>198</v>
      </c>
      <c r="D163" s="8" t="s">
        <v>119</v>
      </c>
      <c r="F163" s="8" t="s">
        <v>253</v>
      </c>
      <c r="G163" s="8" t="s">
        <v>993</v>
      </c>
      <c r="H163" s="8" t="s">
        <v>994</v>
      </c>
      <c r="I163" s="8" t="s">
        <v>1179</v>
      </c>
      <c r="J163" s="8" t="s">
        <v>1180</v>
      </c>
      <c r="K163" s="8" t="s">
        <v>997</v>
      </c>
      <c r="L163" s="8" t="s">
        <v>1181</v>
      </c>
      <c r="M163" s="8" t="s">
        <v>2508</v>
      </c>
      <c r="N163" s="8" t="s">
        <v>993</v>
      </c>
      <c r="O163" s="8">
        <v>376.23</v>
      </c>
      <c r="P163" s="8">
        <v>418.03</v>
      </c>
      <c r="Q163" s="8" t="s">
        <v>2512</v>
      </c>
      <c r="S163" s="8" t="s">
        <v>331</v>
      </c>
      <c r="T163" s="8">
        <v>29.51</v>
      </c>
    </row>
    <row r="164" spans="1:20" x14ac:dyDescent="0.2">
      <c r="A164" s="8" t="s">
        <v>2994</v>
      </c>
      <c r="B164" s="8" t="str">
        <f t="shared" si="4"/>
        <v>1586243758</v>
      </c>
      <c r="C164" s="8" t="str">
        <f t="shared" si="5"/>
        <v>199</v>
      </c>
      <c r="D164" s="8" t="s">
        <v>119</v>
      </c>
      <c r="F164" s="8" t="s">
        <v>253</v>
      </c>
      <c r="G164" s="8" t="s">
        <v>926</v>
      </c>
      <c r="H164" s="8" t="s">
        <v>927</v>
      </c>
      <c r="I164" s="8" t="s">
        <v>181</v>
      </c>
      <c r="J164" s="8" t="s">
        <v>928</v>
      </c>
      <c r="K164" s="8" t="s">
        <v>257</v>
      </c>
      <c r="L164" s="8" t="s">
        <v>929</v>
      </c>
      <c r="M164" s="8" t="s">
        <v>2508</v>
      </c>
      <c r="N164" s="8" t="s">
        <v>926</v>
      </c>
      <c r="O164" s="8">
        <v>390.98</v>
      </c>
      <c r="P164" s="8">
        <v>434.43</v>
      </c>
      <c r="Q164" s="8" t="s">
        <v>2513</v>
      </c>
      <c r="R164" s="8" t="s">
        <v>2141</v>
      </c>
    </row>
    <row r="165" spans="1:20" x14ac:dyDescent="0.2">
      <c r="A165" s="8" t="s">
        <v>4412</v>
      </c>
      <c r="B165" s="8" t="str">
        <f t="shared" si="4"/>
        <v>1586243758</v>
      </c>
      <c r="C165" s="8" t="str">
        <f t="shared" si="5"/>
        <v>200</v>
      </c>
      <c r="D165" s="8" t="s">
        <v>119</v>
      </c>
      <c r="F165" s="8" t="s">
        <v>253</v>
      </c>
      <c r="G165" s="8" t="s">
        <v>926</v>
      </c>
      <c r="H165" s="8" t="s">
        <v>927</v>
      </c>
      <c r="I165" s="8" t="s">
        <v>181</v>
      </c>
      <c r="J165" s="8" t="s">
        <v>928</v>
      </c>
      <c r="K165" s="8" t="s">
        <v>257</v>
      </c>
      <c r="L165" s="8" t="s">
        <v>929</v>
      </c>
      <c r="M165" s="8" t="s">
        <v>2508</v>
      </c>
      <c r="N165" s="8" t="s">
        <v>926</v>
      </c>
      <c r="O165" s="8">
        <v>390.98</v>
      </c>
      <c r="P165" s="8">
        <v>434.43</v>
      </c>
      <c r="Q165" s="8" t="s">
        <v>2513</v>
      </c>
      <c r="R165" s="8" t="s">
        <v>2485</v>
      </c>
    </row>
    <row r="166" spans="1:20" x14ac:dyDescent="0.2">
      <c r="A166" s="8" t="s">
        <v>4085</v>
      </c>
      <c r="B166" s="8" t="str">
        <f t="shared" si="4"/>
        <v>1586243758</v>
      </c>
      <c r="C166" s="8" t="str">
        <f t="shared" si="5"/>
        <v>201</v>
      </c>
      <c r="D166" s="8" t="s">
        <v>119</v>
      </c>
      <c r="F166" s="8" t="s">
        <v>253</v>
      </c>
      <c r="G166" s="8" t="s">
        <v>926</v>
      </c>
      <c r="H166" s="8" t="s">
        <v>927</v>
      </c>
      <c r="I166" s="8" t="s">
        <v>181</v>
      </c>
      <c r="J166" s="8" t="s">
        <v>928</v>
      </c>
      <c r="K166" s="8" t="s">
        <v>257</v>
      </c>
      <c r="L166" s="8" t="s">
        <v>929</v>
      </c>
      <c r="M166" s="8" t="s">
        <v>2508</v>
      </c>
      <c r="N166" s="8" t="s">
        <v>926</v>
      </c>
      <c r="O166" s="8">
        <v>390.98</v>
      </c>
      <c r="P166" s="8">
        <v>434.43</v>
      </c>
      <c r="Q166" s="8" t="s">
        <v>2513</v>
      </c>
      <c r="R166" s="8" t="s">
        <v>930</v>
      </c>
    </row>
    <row r="167" spans="1:20" x14ac:dyDescent="0.2">
      <c r="A167" s="8" t="s">
        <v>3609</v>
      </c>
      <c r="B167" s="8" t="str">
        <f t="shared" si="4"/>
        <v>1586243758</v>
      </c>
      <c r="C167" s="8" t="str">
        <f t="shared" si="5"/>
        <v>202</v>
      </c>
      <c r="D167" s="8" t="s">
        <v>119</v>
      </c>
      <c r="F167" s="8" t="s">
        <v>253</v>
      </c>
      <c r="G167" s="8" t="s">
        <v>926</v>
      </c>
      <c r="H167" s="8" t="s">
        <v>927</v>
      </c>
      <c r="I167" s="8" t="s">
        <v>181</v>
      </c>
      <c r="J167" s="8" t="s">
        <v>928</v>
      </c>
      <c r="K167" s="8" t="s">
        <v>257</v>
      </c>
      <c r="L167" s="8" t="s">
        <v>929</v>
      </c>
      <c r="M167" s="8" t="s">
        <v>2508</v>
      </c>
      <c r="N167" s="8" t="s">
        <v>926</v>
      </c>
      <c r="O167" s="8">
        <v>390.98</v>
      </c>
      <c r="P167" s="8">
        <v>434.43</v>
      </c>
      <c r="Q167" s="8" t="s">
        <v>2513</v>
      </c>
      <c r="S167" s="8" t="s">
        <v>331</v>
      </c>
      <c r="T167" s="8">
        <v>51.64</v>
      </c>
    </row>
    <row r="168" spans="1:20" x14ac:dyDescent="0.2">
      <c r="A168" s="8" t="s">
        <v>3570</v>
      </c>
      <c r="B168" s="8" t="str">
        <f t="shared" si="4"/>
        <v>1586243762</v>
      </c>
      <c r="C168" s="8" t="str">
        <f t="shared" si="5"/>
        <v>203</v>
      </c>
      <c r="D168" s="8" t="s">
        <v>119</v>
      </c>
      <c r="F168" s="8" t="s">
        <v>253</v>
      </c>
      <c r="G168" s="8" t="s">
        <v>1020</v>
      </c>
      <c r="H168" s="8" t="s">
        <v>1021</v>
      </c>
      <c r="I168" s="8" t="s">
        <v>181</v>
      </c>
      <c r="J168" s="8" t="s">
        <v>1022</v>
      </c>
      <c r="K168" s="8" t="s">
        <v>364</v>
      </c>
      <c r="L168" s="8" t="s">
        <v>1023</v>
      </c>
      <c r="M168" s="8" t="s">
        <v>2508</v>
      </c>
      <c r="N168" s="8" t="s">
        <v>1020</v>
      </c>
      <c r="O168" s="8">
        <v>531.15</v>
      </c>
      <c r="P168" s="8">
        <v>590.16</v>
      </c>
      <c r="Q168" s="8" t="s">
        <v>2514</v>
      </c>
      <c r="R168" s="8" t="s">
        <v>1024</v>
      </c>
    </row>
    <row r="169" spans="1:20" x14ac:dyDescent="0.2">
      <c r="A169" s="8" t="s">
        <v>4462</v>
      </c>
      <c r="B169" s="8" t="str">
        <f t="shared" si="4"/>
        <v>1586243762</v>
      </c>
      <c r="C169" s="8" t="str">
        <f t="shared" si="5"/>
        <v>204</v>
      </c>
      <c r="D169" s="8" t="s">
        <v>119</v>
      </c>
      <c r="F169" s="8" t="s">
        <v>253</v>
      </c>
      <c r="G169" s="8" t="s">
        <v>1020</v>
      </c>
      <c r="H169" s="8" t="s">
        <v>1021</v>
      </c>
      <c r="I169" s="8" t="s">
        <v>181</v>
      </c>
      <c r="J169" s="8" t="s">
        <v>1022</v>
      </c>
      <c r="K169" s="8" t="s">
        <v>364</v>
      </c>
      <c r="L169" s="8" t="s">
        <v>1023</v>
      </c>
      <c r="M169" s="8" t="s">
        <v>2508</v>
      </c>
      <c r="N169" s="8" t="s">
        <v>1020</v>
      </c>
      <c r="O169" s="8">
        <v>531.15</v>
      </c>
      <c r="P169" s="8">
        <v>590.16</v>
      </c>
      <c r="Q169" s="8" t="s">
        <v>2514</v>
      </c>
      <c r="R169" s="8" t="s">
        <v>2217</v>
      </c>
    </row>
    <row r="170" spans="1:20" x14ac:dyDescent="0.2">
      <c r="A170" s="8" t="s">
        <v>3097</v>
      </c>
      <c r="B170" s="8" t="str">
        <f t="shared" si="4"/>
        <v>1586243762</v>
      </c>
      <c r="C170" s="8" t="str">
        <f t="shared" si="5"/>
        <v>205</v>
      </c>
      <c r="D170" s="8" t="s">
        <v>119</v>
      </c>
      <c r="F170" s="8" t="s">
        <v>253</v>
      </c>
      <c r="G170" s="8" t="s">
        <v>1020</v>
      </c>
      <c r="H170" s="8" t="s">
        <v>1021</v>
      </c>
      <c r="I170" s="8" t="s">
        <v>181</v>
      </c>
      <c r="J170" s="8" t="s">
        <v>1022</v>
      </c>
      <c r="K170" s="8" t="s">
        <v>364</v>
      </c>
      <c r="L170" s="8" t="s">
        <v>1023</v>
      </c>
      <c r="M170" s="8" t="s">
        <v>2508</v>
      </c>
      <c r="N170" s="8" t="s">
        <v>1020</v>
      </c>
      <c r="O170" s="8">
        <v>531.15</v>
      </c>
      <c r="P170" s="8">
        <v>590.16</v>
      </c>
      <c r="Q170" s="8" t="s">
        <v>2514</v>
      </c>
      <c r="R170" s="8" t="s">
        <v>2261</v>
      </c>
    </row>
    <row r="171" spans="1:20" x14ac:dyDescent="0.2">
      <c r="A171" s="8" t="s">
        <v>3732</v>
      </c>
      <c r="B171" s="8" t="str">
        <f t="shared" si="4"/>
        <v>1586243762</v>
      </c>
      <c r="C171" s="8" t="str">
        <f t="shared" si="5"/>
        <v>206</v>
      </c>
      <c r="D171" s="8" t="s">
        <v>119</v>
      </c>
      <c r="F171" s="8" t="s">
        <v>253</v>
      </c>
      <c r="G171" s="8" t="s">
        <v>1020</v>
      </c>
      <c r="H171" s="8" t="s">
        <v>1021</v>
      </c>
      <c r="I171" s="8" t="s">
        <v>181</v>
      </c>
      <c r="J171" s="8" t="s">
        <v>1022</v>
      </c>
      <c r="K171" s="8" t="s">
        <v>364</v>
      </c>
      <c r="L171" s="8" t="s">
        <v>1023</v>
      </c>
      <c r="M171" s="8" t="s">
        <v>2508</v>
      </c>
      <c r="N171" s="8" t="s">
        <v>1020</v>
      </c>
      <c r="O171" s="8">
        <v>531.15</v>
      </c>
      <c r="P171" s="8">
        <v>590.16</v>
      </c>
      <c r="Q171" s="8" t="s">
        <v>2514</v>
      </c>
      <c r="R171" s="8" t="s">
        <v>2137</v>
      </c>
    </row>
    <row r="172" spans="1:20" x14ac:dyDescent="0.2">
      <c r="A172" s="8" t="s">
        <v>3509</v>
      </c>
      <c r="B172" s="8" t="str">
        <f t="shared" si="4"/>
        <v>1586243762</v>
      </c>
      <c r="C172" s="8" t="str">
        <f t="shared" si="5"/>
        <v>207</v>
      </c>
      <c r="D172" s="8" t="s">
        <v>119</v>
      </c>
      <c r="F172" s="8" t="s">
        <v>253</v>
      </c>
      <c r="G172" s="8" t="s">
        <v>1020</v>
      </c>
      <c r="H172" s="8" t="s">
        <v>1021</v>
      </c>
      <c r="I172" s="8" t="s">
        <v>181</v>
      </c>
      <c r="J172" s="8" t="s">
        <v>1022</v>
      </c>
      <c r="K172" s="8" t="s">
        <v>364</v>
      </c>
      <c r="L172" s="8" t="s">
        <v>1023</v>
      </c>
      <c r="M172" s="8" t="s">
        <v>2508</v>
      </c>
      <c r="N172" s="8" t="s">
        <v>1020</v>
      </c>
      <c r="O172" s="8">
        <v>531.15</v>
      </c>
      <c r="P172" s="8">
        <v>590.16</v>
      </c>
      <c r="Q172" s="8" t="s">
        <v>2514</v>
      </c>
      <c r="R172" s="8" t="s">
        <v>1980</v>
      </c>
    </row>
    <row r="173" spans="1:20" x14ac:dyDescent="0.2">
      <c r="A173" s="8" t="s">
        <v>3694</v>
      </c>
      <c r="B173" s="8" t="str">
        <f t="shared" si="4"/>
        <v>1586243762</v>
      </c>
      <c r="C173" s="8" t="str">
        <f t="shared" si="5"/>
        <v>208</v>
      </c>
      <c r="D173" s="8" t="s">
        <v>119</v>
      </c>
      <c r="F173" s="8" t="s">
        <v>253</v>
      </c>
      <c r="G173" s="8" t="s">
        <v>1020</v>
      </c>
      <c r="H173" s="8" t="s">
        <v>1021</v>
      </c>
      <c r="I173" s="8" t="s">
        <v>181</v>
      </c>
      <c r="J173" s="8" t="s">
        <v>1022</v>
      </c>
      <c r="K173" s="8" t="s">
        <v>364</v>
      </c>
      <c r="L173" s="8" t="s">
        <v>1023</v>
      </c>
      <c r="M173" s="8" t="s">
        <v>2508</v>
      </c>
      <c r="N173" s="8" t="s">
        <v>1020</v>
      </c>
      <c r="O173" s="8">
        <v>531.15</v>
      </c>
      <c r="P173" s="8">
        <v>590.16</v>
      </c>
      <c r="Q173" s="8" t="s">
        <v>2514</v>
      </c>
      <c r="R173" s="8" t="s">
        <v>2330</v>
      </c>
    </row>
    <row r="174" spans="1:20" x14ac:dyDescent="0.2">
      <c r="A174" s="8" t="s">
        <v>3863</v>
      </c>
      <c r="B174" s="8" t="str">
        <f t="shared" si="4"/>
        <v>1586243762</v>
      </c>
      <c r="C174" s="8" t="str">
        <f t="shared" si="5"/>
        <v>209</v>
      </c>
      <c r="D174" s="8" t="s">
        <v>119</v>
      </c>
      <c r="F174" s="8" t="s">
        <v>253</v>
      </c>
      <c r="G174" s="8" t="s">
        <v>1020</v>
      </c>
      <c r="H174" s="8" t="s">
        <v>1021</v>
      </c>
      <c r="I174" s="8" t="s">
        <v>181</v>
      </c>
      <c r="J174" s="8" t="s">
        <v>1022</v>
      </c>
      <c r="K174" s="8" t="s">
        <v>364</v>
      </c>
      <c r="L174" s="8" t="s">
        <v>1023</v>
      </c>
      <c r="M174" s="8" t="s">
        <v>2508</v>
      </c>
      <c r="N174" s="8" t="s">
        <v>1020</v>
      </c>
      <c r="O174" s="8">
        <v>531.15</v>
      </c>
      <c r="P174" s="8">
        <v>590.16</v>
      </c>
      <c r="Q174" s="8" t="s">
        <v>2514</v>
      </c>
      <c r="S174" s="8" t="s">
        <v>331</v>
      </c>
      <c r="T174" s="8">
        <v>44.26</v>
      </c>
    </row>
    <row r="175" spans="1:20" x14ac:dyDescent="0.2">
      <c r="A175" s="8" t="s">
        <v>3287</v>
      </c>
      <c r="B175" s="8" t="str">
        <f t="shared" si="4"/>
        <v>1586243764</v>
      </c>
      <c r="C175" s="8" t="str">
        <f t="shared" si="5"/>
        <v>210</v>
      </c>
      <c r="D175" s="8" t="s">
        <v>119</v>
      </c>
      <c r="F175" s="8" t="s">
        <v>253</v>
      </c>
      <c r="G175" s="8" t="s">
        <v>1020</v>
      </c>
      <c r="H175" s="8" t="s">
        <v>1021</v>
      </c>
      <c r="I175" s="8" t="s">
        <v>2016</v>
      </c>
      <c r="J175" s="8" t="s">
        <v>2017</v>
      </c>
      <c r="K175" s="8" t="s">
        <v>176</v>
      </c>
      <c r="L175" s="8" t="s">
        <v>2018</v>
      </c>
      <c r="M175" s="8" t="s">
        <v>2508</v>
      </c>
      <c r="N175" s="8" t="s">
        <v>1020</v>
      </c>
      <c r="O175" s="8">
        <v>959.02</v>
      </c>
      <c r="P175" s="8">
        <v>1065.57</v>
      </c>
      <c r="Q175" s="8" t="s">
        <v>2515</v>
      </c>
      <c r="R175" s="8" t="s">
        <v>2032</v>
      </c>
    </row>
    <row r="176" spans="1:20" x14ac:dyDescent="0.2">
      <c r="A176" s="8" t="s">
        <v>3466</v>
      </c>
      <c r="B176" s="8" t="str">
        <f t="shared" si="4"/>
        <v>1586243764</v>
      </c>
      <c r="C176" s="8" t="str">
        <f t="shared" si="5"/>
        <v>211</v>
      </c>
      <c r="D176" s="8" t="s">
        <v>119</v>
      </c>
      <c r="F176" s="8" t="s">
        <v>253</v>
      </c>
      <c r="G176" s="8" t="s">
        <v>1020</v>
      </c>
      <c r="H176" s="8" t="s">
        <v>1021</v>
      </c>
      <c r="I176" s="8" t="s">
        <v>2016</v>
      </c>
      <c r="J176" s="8" t="s">
        <v>2017</v>
      </c>
      <c r="K176" s="8" t="s">
        <v>176</v>
      </c>
      <c r="L176" s="8" t="s">
        <v>2018</v>
      </c>
      <c r="M176" s="8" t="s">
        <v>2508</v>
      </c>
      <c r="N176" s="8" t="s">
        <v>1020</v>
      </c>
      <c r="O176" s="8">
        <v>959.02</v>
      </c>
      <c r="P176" s="8">
        <v>1065.57</v>
      </c>
      <c r="Q176" s="8" t="s">
        <v>2515</v>
      </c>
      <c r="R176" s="8" t="s">
        <v>2019</v>
      </c>
    </row>
    <row r="177" spans="1:20" x14ac:dyDescent="0.2">
      <c r="A177" s="8" t="s">
        <v>4048</v>
      </c>
      <c r="B177" s="8" t="str">
        <f t="shared" si="4"/>
        <v>1586243764</v>
      </c>
      <c r="C177" s="8" t="str">
        <f t="shared" si="5"/>
        <v>212</v>
      </c>
      <c r="D177" s="8" t="s">
        <v>119</v>
      </c>
      <c r="F177" s="8" t="s">
        <v>253</v>
      </c>
      <c r="G177" s="8" t="s">
        <v>1020</v>
      </c>
      <c r="H177" s="8" t="s">
        <v>1021</v>
      </c>
      <c r="I177" s="8" t="s">
        <v>2016</v>
      </c>
      <c r="J177" s="8" t="s">
        <v>2017</v>
      </c>
      <c r="K177" s="8" t="s">
        <v>176</v>
      </c>
      <c r="L177" s="8" t="s">
        <v>2018</v>
      </c>
      <c r="M177" s="8" t="s">
        <v>2508</v>
      </c>
      <c r="N177" s="8" t="s">
        <v>1020</v>
      </c>
      <c r="O177" s="8">
        <v>959.02</v>
      </c>
      <c r="P177" s="8">
        <v>1065.57</v>
      </c>
      <c r="Q177" s="8" t="s">
        <v>2515</v>
      </c>
      <c r="R177" s="8" t="s">
        <v>2439</v>
      </c>
    </row>
    <row r="178" spans="1:20" x14ac:dyDescent="0.2">
      <c r="A178" s="8" t="s">
        <v>3985</v>
      </c>
      <c r="B178" s="8" t="str">
        <f t="shared" si="4"/>
        <v>1586243768</v>
      </c>
      <c r="C178" s="8" t="str">
        <f t="shared" si="5"/>
        <v>213</v>
      </c>
      <c r="D178" s="8" t="s">
        <v>119</v>
      </c>
      <c r="F178" s="8" t="s">
        <v>253</v>
      </c>
      <c r="G178" s="8" t="s">
        <v>931</v>
      </c>
      <c r="H178" s="8" t="s">
        <v>932</v>
      </c>
      <c r="I178" s="8" t="s">
        <v>181</v>
      </c>
      <c r="J178" s="8" t="s">
        <v>933</v>
      </c>
      <c r="K178" s="8" t="s">
        <v>125</v>
      </c>
      <c r="L178" s="8" t="s">
        <v>934</v>
      </c>
      <c r="M178" s="8" t="s">
        <v>2508</v>
      </c>
      <c r="N178" s="8" t="s">
        <v>931</v>
      </c>
      <c r="O178" s="8">
        <v>302.45999999999998</v>
      </c>
      <c r="P178" s="8">
        <v>336.07</v>
      </c>
      <c r="Q178" s="8" t="s">
        <v>2516</v>
      </c>
      <c r="R178" s="8" t="s">
        <v>2086</v>
      </c>
    </row>
    <row r="179" spans="1:20" x14ac:dyDescent="0.2">
      <c r="A179" s="8" t="s">
        <v>3100</v>
      </c>
      <c r="B179" s="8" t="str">
        <f t="shared" si="4"/>
        <v>1586243768</v>
      </c>
      <c r="C179" s="8" t="str">
        <f t="shared" si="5"/>
        <v>214</v>
      </c>
      <c r="D179" s="8" t="s">
        <v>119</v>
      </c>
      <c r="F179" s="8" t="s">
        <v>253</v>
      </c>
      <c r="G179" s="8" t="s">
        <v>931</v>
      </c>
      <c r="H179" s="8" t="s">
        <v>932</v>
      </c>
      <c r="I179" s="8" t="s">
        <v>181</v>
      </c>
      <c r="J179" s="8" t="s">
        <v>933</v>
      </c>
      <c r="K179" s="8" t="s">
        <v>125</v>
      </c>
      <c r="L179" s="8" t="s">
        <v>934</v>
      </c>
      <c r="M179" s="8" t="s">
        <v>2508</v>
      </c>
      <c r="N179" s="8" t="s">
        <v>931</v>
      </c>
      <c r="O179" s="8">
        <v>302.45999999999998</v>
      </c>
      <c r="P179" s="8">
        <v>336.07</v>
      </c>
      <c r="Q179" s="8" t="s">
        <v>2516</v>
      </c>
      <c r="R179" s="8" t="s">
        <v>2294</v>
      </c>
    </row>
    <row r="180" spans="1:20" x14ac:dyDescent="0.2">
      <c r="A180" s="8" t="s">
        <v>4205</v>
      </c>
      <c r="B180" s="8" t="str">
        <f t="shared" si="4"/>
        <v>1586243768</v>
      </c>
      <c r="C180" s="8" t="str">
        <f t="shared" si="5"/>
        <v>215</v>
      </c>
      <c r="D180" s="8" t="s">
        <v>119</v>
      </c>
      <c r="F180" s="8" t="s">
        <v>253</v>
      </c>
      <c r="G180" s="8" t="s">
        <v>931</v>
      </c>
      <c r="H180" s="8" t="s">
        <v>932</v>
      </c>
      <c r="I180" s="8" t="s">
        <v>181</v>
      </c>
      <c r="J180" s="8" t="s">
        <v>933</v>
      </c>
      <c r="K180" s="8" t="s">
        <v>125</v>
      </c>
      <c r="L180" s="8" t="s">
        <v>934</v>
      </c>
      <c r="M180" s="8" t="s">
        <v>2508</v>
      </c>
      <c r="N180" s="8" t="s">
        <v>931</v>
      </c>
      <c r="O180" s="8">
        <v>302.45999999999998</v>
      </c>
      <c r="P180" s="8">
        <v>336.07</v>
      </c>
      <c r="Q180" s="8" t="s">
        <v>2516</v>
      </c>
      <c r="R180" s="8" t="s">
        <v>935</v>
      </c>
    </row>
    <row r="181" spans="1:20" x14ac:dyDescent="0.2">
      <c r="A181" s="8" t="s">
        <v>4185</v>
      </c>
      <c r="B181" s="8" t="str">
        <f t="shared" si="4"/>
        <v>1586243768</v>
      </c>
      <c r="C181" s="8" t="str">
        <f t="shared" si="5"/>
        <v>216</v>
      </c>
      <c r="D181" s="8" t="s">
        <v>119</v>
      </c>
      <c r="F181" s="8" t="s">
        <v>253</v>
      </c>
      <c r="G181" s="8" t="s">
        <v>931</v>
      </c>
      <c r="H181" s="8" t="s">
        <v>932</v>
      </c>
      <c r="I181" s="8" t="s">
        <v>181</v>
      </c>
      <c r="J181" s="8" t="s">
        <v>933</v>
      </c>
      <c r="K181" s="8" t="s">
        <v>125</v>
      </c>
      <c r="L181" s="8" t="s">
        <v>934</v>
      </c>
      <c r="M181" s="8" t="s">
        <v>2508</v>
      </c>
      <c r="N181" s="8" t="s">
        <v>931</v>
      </c>
      <c r="O181" s="8">
        <v>302.45999999999998</v>
      </c>
      <c r="P181" s="8">
        <v>336.07</v>
      </c>
      <c r="Q181" s="8" t="s">
        <v>2516</v>
      </c>
      <c r="S181" s="8" t="s">
        <v>184</v>
      </c>
      <c r="T181" s="8">
        <v>77.459999999999994</v>
      </c>
    </row>
    <row r="182" spans="1:20" x14ac:dyDescent="0.2">
      <c r="A182" s="8" t="s">
        <v>3845</v>
      </c>
      <c r="B182" s="8" t="str">
        <f t="shared" si="4"/>
        <v>1586243768</v>
      </c>
      <c r="C182" s="8" t="str">
        <f t="shared" si="5"/>
        <v>217</v>
      </c>
      <c r="D182" s="8" t="s">
        <v>119</v>
      </c>
      <c r="F182" s="8" t="s">
        <v>253</v>
      </c>
      <c r="G182" s="8" t="s">
        <v>931</v>
      </c>
      <c r="H182" s="8" t="s">
        <v>932</v>
      </c>
      <c r="I182" s="8" t="s">
        <v>181</v>
      </c>
      <c r="J182" s="8" t="s">
        <v>933</v>
      </c>
      <c r="K182" s="8" t="s">
        <v>125</v>
      </c>
      <c r="L182" s="8" t="s">
        <v>934</v>
      </c>
      <c r="M182" s="8" t="s">
        <v>2508</v>
      </c>
      <c r="N182" s="8" t="s">
        <v>931</v>
      </c>
      <c r="O182" s="8">
        <v>302.45999999999998</v>
      </c>
      <c r="P182" s="8">
        <v>336.07</v>
      </c>
      <c r="Q182" s="8" t="s">
        <v>2516</v>
      </c>
      <c r="S182" s="8" t="s">
        <v>1210</v>
      </c>
      <c r="T182" s="8">
        <v>42.05</v>
      </c>
    </row>
    <row r="183" spans="1:20" x14ac:dyDescent="0.2">
      <c r="A183" s="8" t="s">
        <v>4237</v>
      </c>
      <c r="B183" s="8" t="str">
        <f t="shared" si="4"/>
        <v>1586243774</v>
      </c>
      <c r="C183" s="8" t="str">
        <f t="shared" si="5"/>
        <v>218</v>
      </c>
      <c r="D183" s="8" t="s">
        <v>119</v>
      </c>
      <c r="F183" s="8" t="s">
        <v>55</v>
      </c>
      <c r="G183" s="8" t="s">
        <v>56</v>
      </c>
      <c r="H183" s="8" t="s">
        <v>57</v>
      </c>
      <c r="I183" s="8" t="s">
        <v>58</v>
      </c>
      <c r="J183" s="8" t="s">
        <v>59</v>
      </c>
      <c r="K183" s="8" t="s">
        <v>60</v>
      </c>
      <c r="L183" s="8" t="s">
        <v>61</v>
      </c>
      <c r="M183" s="8" t="s">
        <v>3161</v>
      </c>
      <c r="N183" s="8" t="s">
        <v>56</v>
      </c>
      <c r="O183" s="8">
        <v>1147.1300000000001</v>
      </c>
      <c r="P183" s="8">
        <v>1274.5899999999999</v>
      </c>
      <c r="Q183" s="8" t="s">
        <v>2517</v>
      </c>
      <c r="R183" s="8" t="s">
        <v>62</v>
      </c>
    </row>
    <row r="184" spans="1:20" x14ac:dyDescent="0.2">
      <c r="A184" s="8" t="s">
        <v>4622</v>
      </c>
      <c r="B184" s="8" t="str">
        <f t="shared" si="4"/>
        <v>1586243776</v>
      </c>
      <c r="C184" s="8" t="str">
        <f t="shared" si="5"/>
        <v>219</v>
      </c>
      <c r="D184" s="8" t="s">
        <v>119</v>
      </c>
      <c r="F184" s="8" t="s">
        <v>55</v>
      </c>
      <c r="G184" s="8" t="s">
        <v>56</v>
      </c>
      <c r="H184" s="8" t="s">
        <v>57</v>
      </c>
      <c r="I184" s="8" t="s">
        <v>58</v>
      </c>
      <c r="J184" s="8" t="s">
        <v>63</v>
      </c>
      <c r="K184" s="8" t="s">
        <v>64</v>
      </c>
      <c r="L184" s="8" t="s">
        <v>65</v>
      </c>
      <c r="M184" s="8" t="s">
        <v>3161</v>
      </c>
      <c r="N184" s="8" t="s">
        <v>56</v>
      </c>
      <c r="O184" s="8">
        <v>1786.72</v>
      </c>
      <c r="P184" s="8">
        <v>1985.25</v>
      </c>
      <c r="Q184" s="8" t="s">
        <v>2518</v>
      </c>
      <c r="R184" s="8" t="s">
        <v>66</v>
      </c>
    </row>
    <row r="185" spans="1:20" x14ac:dyDescent="0.2">
      <c r="A185" s="8" t="s">
        <v>3356</v>
      </c>
      <c r="B185" s="8" t="str">
        <f t="shared" si="4"/>
        <v>1586243776</v>
      </c>
      <c r="C185" s="8" t="str">
        <f t="shared" si="5"/>
        <v>220</v>
      </c>
      <c r="D185" s="8" t="s">
        <v>119</v>
      </c>
      <c r="F185" s="8" t="s">
        <v>55</v>
      </c>
      <c r="G185" s="8" t="s">
        <v>56</v>
      </c>
      <c r="H185" s="8" t="s">
        <v>57</v>
      </c>
      <c r="I185" s="8" t="s">
        <v>58</v>
      </c>
      <c r="J185" s="8" t="s">
        <v>63</v>
      </c>
      <c r="K185" s="8" t="s">
        <v>64</v>
      </c>
      <c r="L185" s="8" t="s">
        <v>65</v>
      </c>
      <c r="M185" s="8" t="s">
        <v>3161</v>
      </c>
      <c r="N185" s="8" t="s">
        <v>56</v>
      </c>
      <c r="O185" s="8">
        <v>1786.72</v>
      </c>
      <c r="P185" s="8">
        <v>1985.25</v>
      </c>
      <c r="Q185" s="8" t="s">
        <v>2518</v>
      </c>
      <c r="R185" s="8" t="s">
        <v>67</v>
      </c>
    </row>
    <row r="186" spans="1:20" x14ac:dyDescent="0.2">
      <c r="A186" s="8" t="s">
        <v>3313</v>
      </c>
      <c r="B186" s="8" t="str">
        <f t="shared" si="4"/>
        <v>1586243776</v>
      </c>
      <c r="C186" s="8" t="str">
        <f t="shared" si="5"/>
        <v>221</v>
      </c>
      <c r="D186" s="8" t="s">
        <v>119</v>
      </c>
      <c r="F186" s="8" t="s">
        <v>55</v>
      </c>
      <c r="G186" s="8" t="s">
        <v>56</v>
      </c>
      <c r="H186" s="8" t="s">
        <v>57</v>
      </c>
      <c r="I186" s="8" t="s">
        <v>58</v>
      </c>
      <c r="J186" s="8" t="s">
        <v>63</v>
      </c>
      <c r="K186" s="8" t="s">
        <v>64</v>
      </c>
      <c r="L186" s="8" t="s">
        <v>65</v>
      </c>
      <c r="M186" s="8" t="s">
        <v>3161</v>
      </c>
      <c r="N186" s="8" t="s">
        <v>56</v>
      </c>
      <c r="O186" s="8">
        <v>1786.72</v>
      </c>
      <c r="P186" s="8">
        <v>1985.25</v>
      </c>
      <c r="Q186" s="8" t="s">
        <v>2518</v>
      </c>
      <c r="R186" s="8" t="s">
        <v>68</v>
      </c>
    </row>
    <row r="187" spans="1:20" x14ac:dyDescent="0.2">
      <c r="A187" s="8" t="s">
        <v>4394</v>
      </c>
      <c r="B187" s="8" t="str">
        <f t="shared" si="4"/>
        <v>1586243781</v>
      </c>
      <c r="C187" s="8" t="str">
        <f t="shared" si="5"/>
        <v>222</v>
      </c>
      <c r="D187" s="8" t="s">
        <v>119</v>
      </c>
      <c r="F187" s="8" t="s">
        <v>55</v>
      </c>
      <c r="G187" s="8" t="s">
        <v>69</v>
      </c>
      <c r="H187" s="8" t="s">
        <v>70</v>
      </c>
      <c r="I187" s="8" t="s">
        <v>71</v>
      </c>
      <c r="J187" s="8" t="s">
        <v>72</v>
      </c>
      <c r="K187" s="8" t="s">
        <v>64</v>
      </c>
      <c r="L187" s="8" t="s">
        <v>73</v>
      </c>
      <c r="M187" s="8" t="s">
        <v>3161</v>
      </c>
      <c r="N187" s="8" t="s">
        <v>69</v>
      </c>
      <c r="O187" s="8">
        <v>1721.07</v>
      </c>
      <c r="P187" s="8">
        <v>1912.3</v>
      </c>
      <c r="Q187" s="8" t="s">
        <v>2519</v>
      </c>
      <c r="R187" s="8" t="s">
        <v>74</v>
      </c>
    </row>
    <row r="188" spans="1:20" x14ac:dyDescent="0.2">
      <c r="A188" s="8" t="s">
        <v>3881</v>
      </c>
      <c r="B188" s="8" t="str">
        <f t="shared" si="4"/>
        <v>1586243781</v>
      </c>
      <c r="C188" s="8" t="str">
        <f t="shared" si="5"/>
        <v>223</v>
      </c>
      <c r="D188" s="8" t="s">
        <v>119</v>
      </c>
      <c r="F188" s="8" t="s">
        <v>55</v>
      </c>
      <c r="G188" s="8" t="s">
        <v>69</v>
      </c>
      <c r="H188" s="8" t="s">
        <v>70</v>
      </c>
      <c r="I188" s="8" t="s">
        <v>71</v>
      </c>
      <c r="J188" s="8" t="s">
        <v>72</v>
      </c>
      <c r="K188" s="8" t="s">
        <v>64</v>
      </c>
      <c r="L188" s="8" t="s">
        <v>73</v>
      </c>
      <c r="M188" s="8" t="s">
        <v>3161</v>
      </c>
      <c r="N188" s="8" t="s">
        <v>69</v>
      </c>
      <c r="O188" s="8">
        <v>1721.07</v>
      </c>
      <c r="P188" s="8">
        <v>1912.3</v>
      </c>
      <c r="Q188" s="8" t="s">
        <v>2519</v>
      </c>
      <c r="R188" s="8" t="s">
        <v>75</v>
      </c>
    </row>
    <row r="189" spans="1:20" x14ac:dyDescent="0.2">
      <c r="A189" s="8" t="s">
        <v>3975</v>
      </c>
      <c r="B189" s="8" t="str">
        <f t="shared" si="4"/>
        <v>1586243781</v>
      </c>
      <c r="C189" s="8" t="str">
        <f t="shared" si="5"/>
        <v>224</v>
      </c>
      <c r="D189" s="8" t="s">
        <v>119</v>
      </c>
      <c r="F189" s="8" t="s">
        <v>55</v>
      </c>
      <c r="G189" s="8" t="s">
        <v>69</v>
      </c>
      <c r="H189" s="8" t="s">
        <v>70</v>
      </c>
      <c r="I189" s="8" t="s">
        <v>71</v>
      </c>
      <c r="J189" s="8" t="s">
        <v>72</v>
      </c>
      <c r="K189" s="8" t="s">
        <v>64</v>
      </c>
      <c r="L189" s="8" t="s">
        <v>73</v>
      </c>
      <c r="M189" s="8" t="s">
        <v>3161</v>
      </c>
      <c r="N189" s="8" t="s">
        <v>69</v>
      </c>
      <c r="O189" s="8">
        <v>1721.07</v>
      </c>
      <c r="P189" s="8">
        <v>1912.3</v>
      </c>
      <c r="Q189" s="8" t="s">
        <v>2519</v>
      </c>
      <c r="S189" s="8" t="s">
        <v>105</v>
      </c>
      <c r="T189" s="8">
        <v>0</v>
      </c>
    </row>
    <row r="190" spans="1:20" x14ac:dyDescent="0.2">
      <c r="A190" s="8" t="s">
        <v>4541</v>
      </c>
      <c r="B190" s="8" t="str">
        <f t="shared" si="4"/>
        <v>1586243781</v>
      </c>
      <c r="C190" s="8" t="str">
        <f t="shared" si="5"/>
        <v>225</v>
      </c>
      <c r="D190" s="8" t="s">
        <v>119</v>
      </c>
      <c r="F190" s="8" t="s">
        <v>55</v>
      </c>
      <c r="G190" s="8" t="s">
        <v>69</v>
      </c>
      <c r="H190" s="8" t="s">
        <v>70</v>
      </c>
      <c r="I190" s="8" t="s">
        <v>71</v>
      </c>
      <c r="J190" s="8" t="s">
        <v>72</v>
      </c>
      <c r="K190" s="8" t="s">
        <v>64</v>
      </c>
      <c r="L190" s="8" t="s">
        <v>73</v>
      </c>
      <c r="M190" s="8" t="s">
        <v>3161</v>
      </c>
      <c r="N190" s="8" t="s">
        <v>69</v>
      </c>
      <c r="O190" s="8">
        <v>1721.07</v>
      </c>
      <c r="P190" s="8">
        <v>1912.3</v>
      </c>
      <c r="Q190" s="8" t="s">
        <v>2519</v>
      </c>
      <c r="S190" s="8" t="s">
        <v>106</v>
      </c>
      <c r="T190" s="8">
        <v>65.66</v>
      </c>
    </row>
    <row r="191" spans="1:20" x14ac:dyDescent="0.2">
      <c r="A191" s="8" t="s">
        <v>3452</v>
      </c>
      <c r="B191" s="8" t="str">
        <f t="shared" si="4"/>
        <v>1586243785</v>
      </c>
      <c r="C191" s="8" t="str">
        <f t="shared" si="5"/>
        <v>226</v>
      </c>
      <c r="D191" s="8" t="s">
        <v>119</v>
      </c>
      <c r="F191" s="8" t="s">
        <v>55</v>
      </c>
      <c r="G191" s="8" t="s">
        <v>76</v>
      </c>
      <c r="H191" s="8" t="s">
        <v>77</v>
      </c>
      <c r="I191" s="8" t="s">
        <v>71</v>
      </c>
      <c r="J191" s="8" t="s">
        <v>78</v>
      </c>
      <c r="K191" s="8" t="s">
        <v>54</v>
      </c>
      <c r="L191" s="8" t="s">
        <v>79</v>
      </c>
      <c r="M191" s="8" t="s">
        <v>3161</v>
      </c>
      <c r="N191" s="8" t="s">
        <v>76</v>
      </c>
      <c r="O191" s="8">
        <v>1739.51</v>
      </c>
      <c r="P191" s="8">
        <v>1932.79</v>
      </c>
      <c r="Q191" s="8" t="s">
        <v>2520</v>
      </c>
      <c r="R191" s="8" t="s">
        <v>80</v>
      </c>
    </row>
    <row r="192" spans="1:20" x14ac:dyDescent="0.2">
      <c r="A192" s="8" t="s">
        <v>4013</v>
      </c>
      <c r="B192" s="8" t="str">
        <f t="shared" si="4"/>
        <v>1586243785</v>
      </c>
      <c r="C192" s="8" t="str">
        <f t="shared" si="5"/>
        <v>227</v>
      </c>
      <c r="D192" s="8" t="s">
        <v>119</v>
      </c>
      <c r="F192" s="8" t="s">
        <v>55</v>
      </c>
      <c r="G192" s="8" t="s">
        <v>76</v>
      </c>
      <c r="H192" s="8" t="s">
        <v>77</v>
      </c>
      <c r="I192" s="8" t="s">
        <v>71</v>
      </c>
      <c r="J192" s="8" t="s">
        <v>78</v>
      </c>
      <c r="K192" s="8" t="s">
        <v>54</v>
      </c>
      <c r="L192" s="8" t="s">
        <v>79</v>
      </c>
      <c r="M192" s="8" t="s">
        <v>3161</v>
      </c>
      <c r="N192" s="8" t="s">
        <v>76</v>
      </c>
      <c r="O192" s="8">
        <v>1739.51</v>
      </c>
      <c r="P192" s="8">
        <v>1932.79</v>
      </c>
      <c r="Q192" s="8" t="s">
        <v>2520</v>
      </c>
      <c r="R192" s="8" t="s">
        <v>81</v>
      </c>
    </row>
    <row r="193" spans="1:20" x14ac:dyDescent="0.2">
      <c r="A193" s="8" t="s">
        <v>4381</v>
      </c>
      <c r="B193" s="8" t="str">
        <f t="shared" si="4"/>
        <v>1586243785</v>
      </c>
      <c r="C193" s="8" t="str">
        <f t="shared" si="5"/>
        <v>228</v>
      </c>
      <c r="D193" s="8" t="s">
        <v>119</v>
      </c>
      <c r="F193" s="8" t="s">
        <v>55</v>
      </c>
      <c r="G193" s="8" t="s">
        <v>76</v>
      </c>
      <c r="H193" s="8" t="s">
        <v>77</v>
      </c>
      <c r="I193" s="8" t="s">
        <v>71</v>
      </c>
      <c r="J193" s="8" t="s">
        <v>78</v>
      </c>
      <c r="K193" s="8" t="s">
        <v>54</v>
      </c>
      <c r="L193" s="8" t="s">
        <v>79</v>
      </c>
      <c r="M193" s="8" t="s">
        <v>3161</v>
      </c>
      <c r="N193" s="8" t="s">
        <v>76</v>
      </c>
      <c r="O193" s="8">
        <v>1739.51</v>
      </c>
      <c r="P193" s="8">
        <v>1932.79</v>
      </c>
      <c r="Q193" s="8" t="s">
        <v>2520</v>
      </c>
      <c r="R193" s="8" t="s">
        <v>82</v>
      </c>
    </row>
    <row r="194" spans="1:20" x14ac:dyDescent="0.2">
      <c r="A194" s="8" t="s">
        <v>3932</v>
      </c>
      <c r="B194" s="8" t="str">
        <f t="shared" ref="B194:B257" si="6">LEFT(A194, FIND("-", A194) - 1)</f>
        <v>1586243785</v>
      </c>
      <c r="C194" s="8" t="str">
        <f t="shared" ref="C194:C257" si="7">RIGHT(A194, LEN(A194) - FIND("-", A194))</f>
        <v>229</v>
      </c>
      <c r="D194" s="8" t="s">
        <v>119</v>
      </c>
      <c r="F194" s="8" t="s">
        <v>55</v>
      </c>
      <c r="G194" s="8" t="s">
        <v>76</v>
      </c>
      <c r="H194" s="8" t="s">
        <v>77</v>
      </c>
      <c r="I194" s="8" t="s">
        <v>71</v>
      </c>
      <c r="J194" s="8" t="s">
        <v>78</v>
      </c>
      <c r="K194" s="8" t="s">
        <v>54</v>
      </c>
      <c r="L194" s="8" t="s">
        <v>79</v>
      </c>
      <c r="M194" s="8" t="s">
        <v>3161</v>
      </c>
      <c r="N194" s="8" t="s">
        <v>76</v>
      </c>
      <c r="O194" s="8">
        <v>1739.51</v>
      </c>
      <c r="P194" s="8">
        <v>1932.79</v>
      </c>
      <c r="Q194" s="8" t="s">
        <v>2520</v>
      </c>
      <c r="R194" s="8" t="s">
        <v>83</v>
      </c>
    </row>
    <row r="195" spans="1:20" x14ac:dyDescent="0.2">
      <c r="A195" s="8" t="s">
        <v>3676</v>
      </c>
      <c r="B195" s="8" t="str">
        <f t="shared" si="6"/>
        <v>1586243785</v>
      </c>
      <c r="C195" s="8" t="str">
        <f t="shared" si="7"/>
        <v>230</v>
      </c>
      <c r="D195" s="8" t="s">
        <v>119</v>
      </c>
      <c r="F195" s="8" t="s">
        <v>55</v>
      </c>
      <c r="G195" s="8" t="s">
        <v>76</v>
      </c>
      <c r="H195" s="8" t="s">
        <v>77</v>
      </c>
      <c r="I195" s="8" t="s">
        <v>71</v>
      </c>
      <c r="J195" s="8" t="s">
        <v>78</v>
      </c>
      <c r="K195" s="8" t="s">
        <v>54</v>
      </c>
      <c r="L195" s="8" t="s">
        <v>79</v>
      </c>
      <c r="M195" s="8" t="s">
        <v>3161</v>
      </c>
      <c r="N195" s="8" t="s">
        <v>76</v>
      </c>
      <c r="O195" s="8">
        <v>1739.51</v>
      </c>
      <c r="P195" s="8">
        <v>1932.79</v>
      </c>
      <c r="Q195" s="8" t="s">
        <v>2520</v>
      </c>
      <c r="R195" s="8" t="s">
        <v>84</v>
      </c>
    </row>
    <row r="196" spans="1:20" x14ac:dyDescent="0.2">
      <c r="A196" s="8" t="s">
        <v>4316</v>
      </c>
      <c r="B196" s="8" t="str">
        <f t="shared" si="6"/>
        <v>1586243785</v>
      </c>
      <c r="C196" s="8" t="str">
        <f t="shared" si="7"/>
        <v>231</v>
      </c>
      <c r="D196" s="8" t="s">
        <v>119</v>
      </c>
      <c r="F196" s="8" t="s">
        <v>55</v>
      </c>
      <c r="G196" s="8" t="s">
        <v>76</v>
      </c>
      <c r="H196" s="8" t="s">
        <v>77</v>
      </c>
      <c r="I196" s="8" t="s">
        <v>71</v>
      </c>
      <c r="J196" s="8" t="s">
        <v>78</v>
      </c>
      <c r="K196" s="8" t="s">
        <v>54</v>
      </c>
      <c r="L196" s="8" t="s">
        <v>79</v>
      </c>
      <c r="M196" s="8" t="s">
        <v>3161</v>
      </c>
      <c r="N196" s="8" t="s">
        <v>76</v>
      </c>
      <c r="O196" s="8">
        <v>1739.51</v>
      </c>
      <c r="P196" s="8">
        <v>1932.79</v>
      </c>
      <c r="Q196" s="8" t="s">
        <v>2520</v>
      </c>
      <c r="R196" s="8" t="s">
        <v>85</v>
      </c>
    </row>
    <row r="197" spans="1:20" x14ac:dyDescent="0.2">
      <c r="A197" s="8" t="s">
        <v>4770</v>
      </c>
      <c r="B197" s="8" t="str">
        <f t="shared" si="6"/>
        <v>1586243785</v>
      </c>
      <c r="C197" s="8" t="str">
        <f t="shared" si="7"/>
        <v>232</v>
      </c>
      <c r="D197" s="8" t="s">
        <v>119</v>
      </c>
      <c r="F197" s="8" t="s">
        <v>55</v>
      </c>
      <c r="G197" s="8" t="s">
        <v>76</v>
      </c>
      <c r="H197" s="8" t="s">
        <v>77</v>
      </c>
      <c r="I197" s="8" t="s">
        <v>71</v>
      </c>
      <c r="J197" s="8" t="s">
        <v>78</v>
      </c>
      <c r="K197" s="8" t="s">
        <v>54</v>
      </c>
      <c r="L197" s="8" t="s">
        <v>79</v>
      </c>
      <c r="M197" s="8" t="s">
        <v>3161</v>
      </c>
      <c r="N197" s="8" t="s">
        <v>76</v>
      </c>
      <c r="O197" s="8">
        <v>1739.51</v>
      </c>
      <c r="P197" s="8">
        <v>1932.79</v>
      </c>
      <c r="Q197" s="8" t="s">
        <v>2520</v>
      </c>
      <c r="R197" s="8" t="s">
        <v>86</v>
      </c>
    </row>
    <row r="198" spans="1:20" x14ac:dyDescent="0.2">
      <c r="A198" s="8" t="s">
        <v>4432</v>
      </c>
      <c r="B198" s="8" t="str">
        <f t="shared" si="6"/>
        <v>1586243785</v>
      </c>
      <c r="C198" s="8" t="str">
        <f t="shared" si="7"/>
        <v>233</v>
      </c>
      <c r="D198" s="8" t="s">
        <v>119</v>
      </c>
      <c r="F198" s="8" t="s">
        <v>55</v>
      </c>
      <c r="G198" s="8" t="s">
        <v>76</v>
      </c>
      <c r="H198" s="8" t="s">
        <v>77</v>
      </c>
      <c r="I198" s="8" t="s">
        <v>71</v>
      </c>
      <c r="J198" s="8" t="s">
        <v>78</v>
      </c>
      <c r="K198" s="8" t="s">
        <v>54</v>
      </c>
      <c r="L198" s="8" t="s">
        <v>79</v>
      </c>
      <c r="M198" s="8" t="s">
        <v>3161</v>
      </c>
      <c r="N198" s="8" t="s">
        <v>76</v>
      </c>
      <c r="O198" s="8">
        <v>1739.51</v>
      </c>
      <c r="P198" s="8">
        <v>1932.79</v>
      </c>
      <c r="Q198" s="8" t="s">
        <v>2520</v>
      </c>
      <c r="R198" s="8" t="s">
        <v>87</v>
      </c>
    </row>
    <row r="199" spans="1:20" x14ac:dyDescent="0.2">
      <c r="A199" s="8" t="s">
        <v>3160</v>
      </c>
      <c r="B199" s="8" t="str">
        <f t="shared" si="6"/>
        <v>1586243785</v>
      </c>
      <c r="C199" s="8" t="str">
        <f t="shared" si="7"/>
        <v>234</v>
      </c>
      <c r="D199" s="8" t="s">
        <v>119</v>
      </c>
      <c r="F199" s="8" t="s">
        <v>55</v>
      </c>
      <c r="G199" s="8" t="s">
        <v>76</v>
      </c>
      <c r="H199" s="8" t="s">
        <v>77</v>
      </c>
      <c r="I199" s="8" t="s">
        <v>71</v>
      </c>
      <c r="J199" s="8" t="s">
        <v>78</v>
      </c>
      <c r="K199" s="8" t="s">
        <v>54</v>
      </c>
      <c r="L199" s="8" t="s">
        <v>79</v>
      </c>
      <c r="M199" s="8" t="s">
        <v>3161</v>
      </c>
      <c r="N199" s="8" t="s">
        <v>76</v>
      </c>
      <c r="O199" s="8">
        <v>1739.51</v>
      </c>
      <c r="P199" s="8">
        <v>1932.79</v>
      </c>
      <c r="Q199" s="8" t="s">
        <v>2520</v>
      </c>
      <c r="R199" s="8" t="s">
        <v>88</v>
      </c>
    </row>
    <row r="200" spans="1:20" x14ac:dyDescent="0.2">
      <c r="A200" s="8" t="s">
        <v>3852</v>
      </c>
      <c r="B200" s="8" t="str">
        <f t="shared" si="6"/>
        <v>1586243785</v>
      </c>
      <c r="C200" s="8" t="str">
        <f t="shared" si="7"/>
        <v>235</v>
      </c>
      <c r="D200" s="8" t="s">
        <v>119</v>
      </c>
      <c r="F200" s="8" t="s">
        <v>55</v>
      </c>
      <c r="G200" s="8" t="s">
        <v>76</v>
      </c>
      <c r="H200" s="8" t="s">
        <v>77</v>
      </c>
      <c r="I200" s="8" t="s">
        <v>71</v>
      </c>
      <c r="J200" s="8" t="s">
        <v>78</v>
      </c>
      <c r="K200" s="8" t="s">
        <v>54</v>
      </c>
      <c r="L200" s="8" t="s">
        <v>79</v>
      </c>
      <c r="M200" s="8" t="s">
        <v>3161</v>
      </c>
      <c r="N200" s="8" t="s">
        <v>76</v>
      </c>
      <c r="O200" s="8">
        <v>1739.51</v>
      </c>
      <c r="P200" s="8">
        <v>1932.79</v>
      </c>
      <c r="Q200" s="8" t="s">
        <v>2520</v>
      </c>
      <c r="R200" s="8" t="s">
        <v>89</v>
      </c>
    </row>
    <row r="201" spans="1:20" x14ac:dyDescent="0.2">
      <c r="A201" s="8" t="s">
        <v>3561</v>
      </c>
      <c r="B201" s="8" t="str">
        <f t="shared" si="6"/>
        <v>1586243785</v>
      </c>
      <c r="C201" s="8" t="str">
        <f t="shared" si="7"/>
        <v>236</v>
      </c>
      <c r="D201" s="8" t="s">
        <v>119</v>
      </c>
      <c r="F201" s="8" t="s">
        <v>55</v>
      </c>
      <c r="G201" s="8" t="s">
        <v>76</v>
      </c>
      <c r="H201" s="8" t="s">
        <v>77</v>
      </c>
      <c r="I201" s="8" t="s">
        <v>71</v>
      </c>
      <c r="J201" s="8" t="s">
        <v>78</v>
      </c>
      <c r="K201" s="8" t="s">
        <v>54</v>
      </c>
      <c r="L201" s="8" t="s">
        <v>79</v>
      </c>
      <c r="M201" s="8" t="s">
        <v>3161</v>
      </c>
      <c r="N201" s="8" t="s">
        <v>76</v>
      </c>
      <c r="O201" s="8">
        <v>1739.51</v>
      </c>
      <c r="P201" s="8">
        <v>1932.79</v>
      </c>
      <c r="Q201" s="8" t="s">
        <v>2520</v>
      </c>
      <c r="R201" s="8" t="s">
        <v>90</v>
      </c>
    </row>
    <row r="202" spans="1:20" x14ac:dyDescent="0.2">
      <c r="A202" s="8" t="s">
        <v>4338</v>
      </c>
      <c r="B202" s="8" t="str">
        <f t="shared" si="6"/>
        <v>1586243787</v>
      </c>
      <c r="C202" s="8" t="str">
        <f t="shared" si="7"/>
        <v>237</v>
      </c>
      <c r="D202" s="8" t="s">
        <v>119</v>
      </c>
      <c r="F202" s="8" t="s">
        <v>55</v>
      </c>
      <c r="G202" s="8" t="s">
        <v>76</v>
      </c>
      <c r="H202" s="8" t="s">
        <v>77</v>
      </c>
      <c r="I202" s="8" t="s">
        <v>91</v>
      </c>
      <c r="J202" s="8" t="s">
        <v>92</v>
      </c>
      <c r="K202" s="8" t="s">
        <v>93</v>
      </c>
      <c r="L202" s="8" t="s">
        <v>94</v>
      </c>
      <c r="M202" s="8" t="s">
        <v>3161</v>
      </c>
      <c r="N202" s="8" t="s">
        <v>76</v>
      </c>
      <c r="O202" s="8">
        <v>652.87</v>
      </c>
      <c r="P202" s="8">
        <v>725.41</v>
      </c>
      <c r="Q202" s="8" t="s">
        <v>2521</v>
      </c>
      <c r="R202" s="8" t="s">
        <v>95</v>
      </c>
    </row>
    <row r="203" spans="1:20" x14ac:dyDescent="0.2">
      <c r="A203" s="8" t="s">
        <v>3589</v>
      </c>
      <c r="B203" s="8" t="str">
        <f t="shared" si="6"/>
        <v>1586243787</v>
      </c>
      <c r="C203" s="8" t="str">
        <f t="shared" si="7"/>
        <v>238</v>
      </c>
      <c r="D203" s="8" t="s">
        <v>119</v>
      </c>
      <c r="F203" s="8" t="s">
        <v>55</v>
      </c>
      <c r="G203" s="8" t="s">
        <v>76</v>
      </c>
      <c r="H203" s="8" t="s">
        <v>77</v>
      </c>
      <c r="I203" s="8" t="s">
        <v>91</v>
      </c>
      <c r="J203" s="8" t="s">
        <v>92</v>
      </c>
      <c r="K203" s="8" t="s">
        <v>93</v>
      </c>
      <c r="L203" s="8" t="s">
        <v>94</v>
      </c>
      <c r="M203" s="8" t="s">
        <v>3161</v>
      </c>
      <c r="N203" s="8" t="s">
        <v>76</v>
      </c>
      <c r="O203" s="8">
        <v>652.87</v>
      </c>
      <c r="P203" s="8">
        <v>725.41</v>
      </c>
      <c r="Q203" s="8" t="s">
        <v>2521</v>
      </c>
      <c r="R203" s="8" t="s">
        <v>96</v>
      </c>
    </row>
    <row r="204" spans="1:20" x14ac:dyDescent="0.2">
      <c r="A204" s="8" t="s">
        <v>4106</v>
      </c>
      <c r="B204" s="8" t="str">
        <f t="shared" si="6"/>
        <v>1586243787</v>
      </c>
      <c r="C204" s="8" t="str">
        <f t="shared" si="7"/>
        <v>239</v>
      </c>
      <c r="D204" s="8" t="s">
        <v>119</v>
      </c>
      <c r="F204" s="8" t="s">
        <v>55</v>
      </c>
      <c r="G204" s="8" t="s">
        <v>76</v>
      </c>
      <c r="H204" s="8" t="s">
        <v>77</v>
      </c>
      <c r="I204" s="8" t="s">
        <v>91</v>
      </c>
      <c r="J204" s="8" t="s">
        <v>92</v>
      </c>
      <c r="K204" s="8" t="s">
        <v>93</v>
      </c>
      <c r="L204" s="8" t="s">
        <v>94</v>
      </c>
      <c r="M204" s="8" t="s">
        <v>3161</v>
      </c>
      <c r="N204" s="8" t="s">
        <v>76</v>
      </c>
      <c r="O204" s="8">
        <v>652.87</v>
      </c>
      <c r="P204" s="8">
        <v>725.41</v>
      </c>
      <c r="Q204" s="8" t="s">
        <v>2521</v>
      </c>
      <c r="S204" s="8" t="s">
        <v>107</v>
      </c>
      <c r="T204" s="8">
        <v>362.95</v>
      </c>
    </row>
    <row r="205" spans="1:20" x14ac:dyDescent="0.2">
      <c r="A205" s="8" t="s">
        <v>4374</v>
      </c>
      <c r="B205" s="8" t="str">
        <f t="shared" si="6"/>
        <v>1586243789</v>
      </c>
      <c r="C205" s="8" t="str">
        <f t="shared" si="7"/>
        <v>240</v>
      </c>
      <c r="D205" s="8" t="s">
        <v>119</v>
      </c>
      <c r="F205" s="8" t="s">
        <v>55</v>
      </c>
      <c r="G205" s="8" t="s">
        <v>76</v>
      </c>
      <c r="H205" s="8" t="s">
        <v>77</v>
      </c>
      <c r="I205" s="8" t="s">
        <v>58</v>
      </c>
      <c r="J205" s="8" t="s">
        <v>97</v>
      </c>
      <c r="K205" s="8" t="s">
        <v>54</v>
      </c>
      <c r="L205" s="8" t="s">
        <v>98</v>
      </c>
      <c r="M205" s="8" t="s">
        <v>3161</v>
      </c>
      <c r="N205" s="8" t="s">
        <v>76</v>
      </c>
      <c r="O205" s="8">
        <v>1026.1500000000001</v>
      </c>
      <c r="P205" s="8">
        <v>1140.1600000000001</v>
      </c>
      <c r="Q205" s="8" t="s">
        <v>2522</v>
      </c>
      <c r="R205" s="8" t="s">
        <v>99</v>
      </c>
    </row>
    <row r="206" spans="1:20" x14ac:dyDescent="0.2">
      <c r="A206" s="8" t="s">
        <v>4312</v>
      </c>
      <c r="B206" s="8" t="str">
        <f t="shared" si="6"/>
        <v>1586243789</v>
      </c>
      <c r="C206" s="8" t="str">
        <f t="shared" si="7"/>
        <v>241</v>
      </c>
      <c r="D206" s="8" t="s">
        <v>119</v>
      </c>
      <c r="F206" s="8" t="s">
        <v>55</v>
      </c>
      <c r="G206" s="8" t="s">
        <v>76</v>
      </c>
      <c r="H206" s="8" t="s">
        <v>77</v>
      </c>
      <c r="I206" s="8" t="s">
        <v>58</v>
      </c>
      <c r="J206" s="8" t="s">
        <v>97</v>
      </c>
      <c r="K206" s="8" t="s">
        <v>54</v>
      </c>
      <c r="L206" s="8" t="s">
        <v>98</v>
      </c>
      <c r="M206" s="8" t="s">
        <v>3161</v>
      </c>
      <c r="N206" s="8" t="s">
        <v>76</v>
      </c>
      <c r="O206" s="8">
        <v>1026.1500000000001</v>
      </c>
      <c r="P206" s="8">
        <v>1140.1600000000001</v>
      </c>
      <c r="Q206" s="8" t="s">
        <v>2522</v>
      </c>
      <c r="R206" s="8" t="s">
        <v>100</v>
      </c>
    </row>
    <row r="207" spans="1:20" x14ac:dyDescent="0.2">
      <c r="A207" s="8" t="s">
        <v>3820</v>
      </c>
      <c r="B207" s="8" t="str">
        <f t="shared" si="6"/>
        <v>1586243789</v>
      </c>
      <c r="C207" s="8" t="str">
        <f t="shared" si="7"/>
        <v>242</v>
      </c>
      <c r="D207" s="8" t="s">
        <v>119</v>
      </c>
      <c r="F207" s="8" t="s">
        <v>55</v>
      </c>
      <c r="G207" s="8" t="s">
        <v>76</v>
      </c>
      <c r="H207" s="8" t="s">
        <v>77</v>
      </c>
      <c r="I207" s="8" t="s">
        <v>58</v>
      </c>
      <c r="J207" s="8" t="s">
        <v>97</v>
      </c>
      <c r="K207" s="8" t="s">
        <v>54</v>
      </c>
      <c r="L207" s="8" t="s">
        <v>98</v>
      </c>
      <c r="M207" s="8" t="s">
        <v>3161</v>
      </c>
      <c r="N207" s="8" t="s">
        <v>76</v>
      </c>
      <c r="O207" s="8">
        <v>1026.1500000000001</v>
      </c>
      <c r="P207" s="8">
        <v>1140.1600000000001</v>
      </c>
      <c r="Q207" s="8" t="s">
        <v>2522</v>
      </c>
      <c r="R207" s="8" t="s">
        <v>101</v>
      </c>
    </row>
    <row r="208" spans="1:20" x14ac:dyDescent="0.2">
      <c r="A208" s="8" t="s">
        <v>3938</v>
      </c>
      <c r="B208" s="8" t="str">
        <f t="shared" si="6"/>
        <v>1586243789</v>
      </c>
      <c r="C208" s="8" t="str">
        <f t="shared" si="7"/>
        <v>243</v>
      </c>
      <c r="D208" s="8" t="s">
        <v>119</v>
      </c>
      <c r="F208" s="8" t="s">
        <v>55</v>
      </c>
      <c r="G208" s="8" t="s">
        <v>76</v>
      </c>
      <c r="H208" s="8" t="s">
        <v>77</v>
      </c>
      <c r="I208" s="8" t="s">
        <v>58</v>
      </c>
      <c r="J208" s="8" t="s">
        <v>97</v>
      </c>
      <c r="K208" s="8" t="s">
        <v>54</v>
      </c>
      <c r="L208" s="8" t="s">
        <v>98</v>
      </c>
      <c r="M208" s="8" t="s">
        <v>3161</v>
      </c>
      <c r="N208" s="8" t="s">
        <v>76</v>
      </c>
      <c r="O208" s="8">
        <v>1026.1500000000001</v>
      </c>
      <c r="P208" s="8">
        <v>1140.1600000000001</v>
      </c>
      <c r="Q208" s="8" t="s">
        <v>2522</v>
      </c>
      <c r="S208" s="8" t="s">
        <v>108</v>
      </c>
      <c r="T208" s="8">
        <v>435.25</v>
      </c>
    </row>
    <row r="209" spans="1:20" x14ac:dyDescent="0.2">
      <c r="A209" s="8" t="s">
        <v>4656</v>
      </c>
      <c r="B209" s="8" t="str">
        <f t="shared" si="6"/>
        <v>1586243789</v>
      </c>
      <c r="C209" s="8" t="str">
        <f t="shared" si="7"/>
        <v>244</v>
      </c>
      <c r="D209" s="8" t="s">
        <v>119</v>
      </c>
      <c r="F209" s="8" t="s">
        <v>55</v>
      </c>
      <c r="G209" s="8" t="s">
        <v>76</v>
      </c>
      <c r="H209" s="8" t="s">
        <v>77</v>
      </c>
      <c r="I209" s="8" t="s">
        <v>58</v>
      </c>
      <c r="J209" s="8" t="s">
        <v>97</v>
      </c>
      <c r="K209" s="8" t="s">
        <v>54</v>
      </c>
      <c r="L209" s="8" t="s">
        <v>98</v>
      </c>
      <c r="M209" s="8" t="s">
        <v>3161</v>
      </c>
      <c r="N209" s="8" t="s">
        <v>76</v>
      </c>
      <c r="O209" s="8">
        <v>1026.1500000000001</v>
      </c>
      <c r="P209" s="8">
        <v>1140.1600000000001</v>
      </c>
      <c r="Q209" s="8" t="s">
        <v>2522</v>
      </c>
      <c r="S209" s="8" t="s">
        <v>109</v>
      </c>
      <c r="T209" s="8">
        <v>37.619999999999997</v>
      </c>
    </row>
    <row r="210" spans="1:20" x14ac:dyDescent="0.2">
      <c r="A210" s="8" t="s">
        <v>3869</v>
      </c>
      <c r="B210" s="8" t="str">
        <f t="shared" si="6"/>
        <v>1586243795</v>
      </c>
      <c r="C210" s="8" t="str">
        <f t="shared" si="7"/>
        <v>245</v>
      </c>
      <c r="D210" s="8" t="s">
        <v>119</v>
      </c>
      <c r="F210" s="8" t="s">
        <v>128</v>
      </c>
      <c r="G210" s="8" t="s">
        <v>776</v>
      </c>
      <c r="H210" s="8" t="s">
        <v>777</v>
      </c>
      <c r="I210" s="8" t="s">
        <v>160</v>
      </c>
      <c r="J210" s="8" t="s">
        <v>778</v>
      </c>
      <c r="K210" s="8" t="s">
        <v>125</v>
      </c>
      <c r="L210" s="8" t="s">
        <v>779</v>
      </c>
      <c r="M210" s="8" t="s">
        <v>2785</v>
      </c>
      <c r="N210" s="8" t="s">
        <v>776</v>
      </c>
      <c r="O210" s="8">
        <v>486.15</v>
      </c>
      <c r="P210" s="8">
        <v>540.16</v>
      </c>
      <c r="Q210" s="8" t="s">
        <v>2523</v>
      </c>
      <c r="R210" s="8" t="s">
        <v>2480</v>
      </c>
    </row>
    <row r="211" spans="1:20" x14ac:dyDescent="0.2">
      <c r="A211" s="8" t="s">
        <v>4687</v>
      </c>
      <c r="B211" s="8" t="str">
        <f t="shared" si="6"/>
        <v>1586243795</v>
      </c>
      <c r="C211" s="8" t="str">
        <f t="shared" si="7"/>
        <v>246</v>
      </c>
      <c r="D211" s="8" t="s">
        <v>119</v>
      </c>
      <c r="F211" s="8" t="s">
        <v>128</v>
      </c>
      <c r="G211" s="8" t="s">
        <v>776</v>
      </c>
      <c r="H211" s="8" t="s">
        <v>777</v>
      </c>
      <c r="I211" s="8" t="s">
        <v>160</v>
      </c>
      <c r="J211" s="8" t="s">
        <v>778</v>
      </c>
      <c r="K211" s="8" t="s">
        <v>125</v>
      </c>
      <c r="L211" s="8" t="s">
        <v>779</v>
      </c>
      <c r="M211" s="8" t="s">
        <v>2785</v>
      </c>
      <c r="N211" s="8" t="s">
        <v>776</v>
      </c>
      <c r="O211" s="8">
        <v>486.15</v>
      </c>
      <c r="P211" s="8">
        <v>540.16</v>
      </c>
      <c r="Q211" s="8" t="s">
        <v>2523</v>
      </c>
      <c r="R211" s="8" t="s">
        <v>1712</v>
      </c>
    </row>
    <row r="212" spans="1:20" x14ac:dyDescent="0.2">
      <c r="A212" s="8" t="s">
        <v>4518</v>
      </c>
      <c r="B212" s="8" t="str">
        <f t="shared" si="6"/>
        <v>1586243795</v>
      </c>
      <c r="C212" s="8" t="str">
        <f t="shared" si="7"/>
        <v>247</v>
      </c>
      <c r="D212" s="8" t="s">
        <v>119</v>
      </c>
      <c r="F212" s="8" t="s">
        <v>128</v>
      </c>
      <c r="G212" s="8" t="s">
        <v>776</v>
      </c>
      <c r="H212" s="8" t="s">
        <v>777</v>
      </c>
      <c r="I212" s="8" t="s">
        <v>160</v>
      </c>
      <c r="J212" s="8" t="s">
        <v>778</v>
      </c>
      <c r="K212" s="8" t="s">
        <v>125</v>
      </c>
      <c r="L212" s="8" t="s">
        <v>779</v>
      </c>
      <c r="M212" s="8" t="s">
        <v>2785</v>
      </c>
      <c r="N212" s="8" t="s">
        <v>776</v>
      </c>
      <c r="O212" s="8">
        <v>486.15</v>
      </c>
      <c r="P212" s="8">
        <v>540.16</v>
      </c>
      <c r="Q212" s="8" t="s">
        <v>2523</v>
      </c>
      <c r="R212" s="8" t="s">
        <v>2139</v>
      </c>
    </row>
    <row r="213" spans="1:20" x14ac:dyDescent="0.2">
      <c r="A213" s="8" t="s">
        <v>4024</v>
      </c>
      <c r="B213" s="8" t="str">
        <f t="shared" si="6"/>
        <v>1586243795</v>
      </c>
      <c r="C213" s="8" t="str">
        <f t="shared" si="7"/>
        <v>248</v>
      </c>
      <c r="D213" s="8" t="s">
        <v>119</v>
      </c>
      <c r="F213" s="8" t="s">
        <v>128</v>
      </c>
      <c r="G213" s="8" t="s">
        <v>776</v>
      </c>
      <c r="H213" s="8" t="s">
        <v>777</v>
      </c>
      <c r="I213" s="8" t="s">
        <v>160</v>
      </c>
      <c r="J213" s="8" t="s">
        <v>778</v>
      </c>
      <c r="K213" s="8" t="s">
        <v>125</v>
      </c>
      <c r="L213" s="8" t="s">
        <v>779</v>
      </c>
      <c r="M213" s="8" t="s">
        <v>2785</v>
      </c>
      <c r="N213" s="8" t="s">
        <v>776</v>
      </c>
      <c r="O213" s="8">
        <v>486.15</v>
      </c>
      <c r="P213" s="8">
        <v>540.16</v>
      </c>
      <c r="Q213" s="8" t="s">
        <v>2523</v>
      </c>
      <c r="R213" s="8" t="s">
        <v>1948</v>
      </c>
    </row>
    <row r="214" spans="1:20" x14ac:dyDescent="0.2">
      <c r="A214" s="8" t="s">
        <v>3330</v>
      </c>
      <c r="B214" s="8" t="str">
        <f t="shared" si="6"/>
        <v>1586243795</v>
      </c>
      <c r="C214" s="8" t="str">
        <f t="shared" si="7"/>
        <v>249</v>
      </c>
      <c r="D214" s="8" t="s">
        <v>119</v>
      </c>
      <c r="F214" s="8" t="s">
        <v>128</v>
      </c>
      <c r="G214" s="8" t="s">
        <v>776</v>
      </c>
      <c r="H214" s="8" t="s">
        <v>777</v>
      </c>
      <c r="I214" s="8" t="s">
        <v>160</v>
      </c>
      <c r="J214" s="8" t="s">
        <v>778</v>
      </c>
      <c r="K214" s="8" t="s">
        <v>125</v>
      </c>
      <c r="L214" s="8" t="s">
        <v>779</v>
      </c>
      <c r="M214" s="8" t="s">
        <v>2785</v>
      </c>
      <c r="N214" s="8" t="s">
        <v>776</v>
      </c>
      <c r="O214" s="8">
        <v>486.15</v>
      </c>
      <c r="P214" s="8">
        <v>540.16</v>
      </c>
      <c r="Q214" s="8" t="s">
        <v>2523</v>
      </c>
      <c r="R214" s="8" t="s">
        <v>780</v>
      </c>
    </row>
    <row r="215" spans="1:20" x14ac:dyDescent="0.2">
      <c r="A215" s="8" t="s">
        <v>4190</v>
      </c>
      <c r="B215" s="8" t="str">
        <f t="shared" si="6"/>
        <v>1586243795</v>
      </c>
      <c r="C215" s="8" t="str">
        <f t="shared" si="7"/>
        <v>250</v>
      </c>
      <c r="D215" s="8" t="s">
        <v>119</v>
      </c>
      <c r="F215" s="8" t="s">
        <v>128</v>
      </c>
      <c r="G215" s="8" t="s">
        <v>776</v>
      </c>
      <c r="H215" s="8" t="s">
        <v>777</v>
      </c>
      <c r="I215" s="8" t="s">
        <v>160</v>
      </c>
      <c r="J215" s="8" t="s">
        <v>778</v>
      </c>
      <c r="K215" s="8" t="s">
        <v>125</v>
      </c>
      <c r="L215" s="8" t="s">
        <v>779</v>
      </c>
      <c r="M215" s="8" t="s">
        <v>2785</v>
      </c>
      <c r="N215" s="8" t="s">
        <v>776</v>
      </c>
      <c r="O215" s="8">
        <v>486.15</v>
      </c>
      <c r="P215" s="8">
        <v>540.16</v>
      </c>
      <c r="Q215" s="8" t="s">
        <v>2523</v>
      </c>
      <c r="R215" s="8" t="s">
        <v>1443</v>
      </c>
    </row>
    <row r="216" spans="1:20" x14ac:dyDescent="0.2">
      <c r="A216" s="8" t="s">
        <v>3663</v>
      </c>
      <c r="B216" s="8" t="str">
        <f t="shared" si="6"/>
        <v>1586243795</v>
      </c>
      <c r="C216" s="8" t="str">
        <f t="shared" si="7"/>
        <v>251</v>
      </c>
      <c r="D216" s="8" t="s">
        <v>119</v>
      </c>
      <c r="F216" s="8" t="s">
        <v>128</v>
      </c>
      <c r="G216" s="8" t="s">
        <v>776</v>
      </c>
      <c r="H216" s="8" t="s">
        <v>777</v>
      </c>
      <c r="I216" s="8" t="s">
        <v>160</v>
      </c>
      <c r="J216" s="8" t="s">
        <v>778</v>
      </c>
      <c r="K216" s="8" t="s">
        <v>125</v>
      </c>
      <c r="L216" s="8" t="s">
        <v>779</v>
      </c>
      <c r="M216" s="8" t="s">
        <v>2785</v>
      </c>
      <c r="N216" s="8" t="s">
        <v>776</v>
      </c>
      <c r="O216" s="8">
        <v>486.15</v>
      </c>
      <c r="P216" s="8">
        <v>540.16</v>
      </c>
      <c r="Q216" s="8" t="s">
        <v>2523</v>
      </c>
      <c r="S216" s="8" t="s">
        <v>142</v>
      </c>
      <c r="T216" s="8">
        <v>18.440000000000001</v>
      </c>
    </row>
    <row r="217" spans="1:20" x14ac:dyDescent="0.2">
      <c r="A217" s="8" t="s">
        <v>4721</v>
      </c>
      <c r="B217" s="8" t="str">
        <f t="shared" si="6"/>
        <v>1586243795</v>
      </c>
      <c r="C217" s="8" t="str">
        <f t="shared" si="7"/>
        <v>252</v>
      </c>
      <c r="D217" s="8" t="s">
        <v>119</v>
      </c>
      <c r="F217" s="8" t="s">
        <v>128</v>
      </c>
      <c r="G217" s="8" t="s">
        <v>776</v>
      </c>
      <c r="H217" s="8" t="s">
        <v>777</v>
      </c>
      <c r="I217" s="8" t="s">
        <v>160</v>
      </c>
      <c r="J217" s="8" t="s">
        <v>778</v>
      </c>
      <c r="K217" s="8" t="s">
        <v>125</v>
      </c>
      <c r="L217" s="8" t="s">
        <v>779</v>
      </c>
      <c r="M217" s="8" t="s">
        <v>2785</v>
      </c>
      <c r="N217" s="8" t="s">
        <v>776</v>
      </c>
      <c r="O217" s="8">
        <v>486.15</v>
      </c>
      <c r="P217" s="8">
        <v>540.16</v>
      </c>
      <c r="Q217" s="8" t="s">
        <v>2523</v>
      </c>
      <c r="S217" s="8" t="s">
        <v>952</v>
      </c>
      <c r="T217" s="8">
        <v>99.59</v>
      </c>
    </row>
    <row r="218" spans="1:20" x14ac:dyDescent="0.2">
      <c r="A218" s="8" t="s">
        <v>3659</v>
      </c>
      <c r="B218" s="8" t="str">
        <f t="shared" si="6"/>
        <v>1586243795</v>
      </c>
      <c r="C218" s="8" t="str">
        <f t="shared" si="7"/>
        <v>253</v>
      </c>
      <c r="D218" s="8" t="s">
        <v>119</v>
      </c>
      <c r="F218" s="8" t="s">
        <v>128</v>
      </c>
      <c r="G218" s="8" t="s">
        <v>776</v>
      </c>
      <c r="H218" s="8" t="s">
        <v>777</v>
      </c>
      <c r="I218" s="8" t="s">
        <v>160</v>
      </c>
      <c r="J218" s="8" t="s">
        <v>778</v>
      </c>
      <c r="K218" s="8" t="s">
        <v>125</v>
      </c>
      <c r="L218" s="8" t="s">
        <v>779</v>
      </c>
      <c r="M218" s="8" t="s">
        <v>2785</v>
      </c>
      <c r="N218" s="8" t="s">
        <v>776</v>
      </c>
      <c r="O218" s="8">
        <v>486.15</v>
      </c>
      <c r="P218" s="8">
        <v>540.16</v>
      </c>
      <c r="Q218" s="8" t="s">
        <v>2523</v>
      </c>
      <c r="S218" s="8" t="s">
        <v>882</v>
      </c>
      <c r="T218" s="8">
        <v>104.75</v>
      </c>
    </row>
    <row r="219" spans="1:20" x14ac:dyDescent="0.2">
      <c r="A219" s="8" t="s">
        <v>4139</v>
      </c>
      <c r="B219" s="8" t="str">
        <f t="shared" si="6"/>
        <v>1586243795</v>
      </c>
      <c r="C219" s="8" t="str">
        <f t="shared" si="7"/>
        <v>254</v>
      </c>
      <c r="D219" s="8" t="s">
        <v>119</v>
      </c>
      <c r="F219" s="8" t="s">
        <v>128</v>
      </c>
      <c r="G219" s="8" t="s">
        <v>776</v>
      </c>
      <c r="H219" s="8" t="s">
        <v>777</v>
      </c>
      <c r="I219" s="8" t="s">
        <v>160</v>
      </c>
      <c r="J219" s="8" t="s">
        <v>778</v>
      </c>
      <c r="K219" s="8" t="s">
        <v>125</v>
      </c>
      <c r="L219" s="8" t="s">
        <v>779</v>
      </c>
      <c r="M219" s="8" t="s">
        <v>2785</v>
      </c>
      <c r="N219" s="8" t="s">
        <v>776</v>
      </c>
      <c r="O219" s="8">
        <v>486.15</v>
      </c>
      <c r="P219" s="8">
        <v>540.16</v>
      </c>
      <c r="Q219" s="8" t="s">
        <v>2523</v>
      </c>
      <c r="S219" s="8" t="s">
        <v>1367</v>
      </c>
      <c r="T219" s="8">
        <v>81.150000000000006</v>
      </c>
    </row>
    <row r="220" spans="1:20" x14ac:dyDescent="0.2">
      <c r="A220" s="8" t="s">
        <v>3782</v>
      </c>
      <c r="B220" s="8" t="str">
        <f t="shared" si="6"/>
        <v>1586243795</v>
      </c>
      <c r="C220" s="8" t="str">
        <f t="shared" si="7"/>
        <v>255</v>
      </c>
      <c r="D220" s="8" t="s">
        <v>119</v>
      </c>
      <c r="F220" s="8" t="s">
        <v>128</v>
      </c>
      <c r="G220" s="8" t="s">
        <v>776</v>
      </c>
      <c r="H220" s="8" t="s">
        <v>777</v>
      </c>
      <c r="I220" s="8" t="s">
        <v>160</v>
      </c>
      <c r="J220" s="8" t="s">
        <v>778</v>
      </c>
      <c r="K220" s="8" t="s">
        <v>125</v>
      </c>
      <c r="L220" s="8" t="s">
        <v>779</v>
      </c>
      <c r="M220" s="8" t="s">
        <v>2785</v>
      </c>
      <c r="N220" s="8" t="s">
        <v>776</v>
      </c>
      <c r="O220" s="8">
        <v>486.15</v>
      </c>
      <c r="P220" s="8">
        <v>540.16</v>
      </c>
      <c r="Q220" s="8" t="s">
        <v>2523</v>
      </c>
      <c r="S220" s="8" t="s">
        <v>1775</v>
      </c>
      <c r="T220" s="8">
        <v>100.33</v>
      </c>
    </row>
    <row r="221" spans="1:20" x14ac:dyDescent="0.2">
      <c r="A221" s="8" t="s">
        <v>4079</v>
      </c>
      <c r="B221" s="8" t="str">
        <f t="shared" si="6"/>
        <v>1586243799</v>
      </c>
      <c r="C221" s="8" t="str">
        <f t="shared" si="7"/>
        <v>256</v>
      </c>
      <c r="D221" s="8" t="s">
        <v>119</v>
      </c>
      <c r="F221" s="8" t="s">
        <v>128</v>
      </c>
      <c r="G221" s="8" t="s">
        <v>382</v>
      </c>
      <c r="H221" s="8" t="s">
        <v>383</v>
      </c>
      <c r="I221" s="8" t="s">
        <v>71</v>
      </c>
      <c r="J221" s="8" t="s">
        <v>384</v>
      </c>
      <c r="K221" s="8" t="s">
        <v>385</v>
      </c>
      <c r="L221" s="8" t="s">
        <v>386</v>
      </c>
      <c r="M221" s="8" t="s">
        <v>2785</v>
      </c>
      <c r="N221" s="8" t="s">
        <v>382</v>
      </c>
      <c r="O221" s="8">
        <v>394.67</v>
      </c>
      <c r="P221" s="8">
        <v>438.52</v>
      </c>
      <c r="Q221" s="8" t="s">
        <v>2524</v>
      </c>
      <c r="R221" s="8" t="s">
        <v>387</v>
      </c>
    </row>
    <row r="222" spans="1:20" x14ac:dyDescent="0.2">
      <c r="A222" s="8" t="s">
        <v>2873</v>
      </c>
      <c r="B222" s="8" t="str">
        <f t="shared" si="6"/>
        <v>1586243799</v>
      </c>
      <c r="C222" s="8" t="str">
        <f t="shared" si="7"/>
        <v>257</v>
      </c>
      <c r="D222" s="8" t="s">
        <v>119</v>
      </c>
      <c r="F222" s="8" t="s">
        <v>128</v>
      </c>
      <c r="G222" s="8" t="s">
        <v>382</v>
      </c>
      <c r="H222" s="8" t="s">
        <v>383</v>
      </c>
      <c r="I222" s="8" t="s">
        <v>71</v>
      </c>
      <c r="J222" s="8" t="s">
        <v>384</v>
      </c>
      <c r="K222" s="8" t="s">
        <v>385</v>
      </c>
      <c r="L222" s="8" t="s">
        <v>386</v>
      </c>
      <c r="M222" s="8" t="s">
        <v>2785</v>
      </c>
      <c r="N222" s="8" t="s">
        <v>382</v>
      </c>
      <c r="O222" s="8">
        <v>394.67</v>
      </c>
      <c r="P222" s="8">
        <v>438.52</v>
      </c>
      <c r="Q222" s="8" t="s">
        <v>2524</v>
      </c>
      <c r="R222" s="8" t="s">
        <v>1556</v>
      </c>
    </row>
    <row r="223" spans="1:20" x14ac:dyDescent="0.2">
      <c r="A223" s="8" t="s">
        <v>4239</v>
      </c>
      <c r="B223" s="8" t="str">
        <f t="shared" si="6"/>
        <v>1586243799</v>
      </c>
      <c r="C223" s="8" t="str">
        <f t="shared" si="7"/>
        <v>258</v>
      </c>
      <c r="D223" s="8" t="s">
        <v>119</v>
      </c>
      <c r="F223" s="8" t="s">
        <v>128</v>
      </c>
      <c r="G223" s="8" t="s">
        <v>382</v>
      </c>
      <c r="H223" s="8" t="s">
        <v>383</v>
      </c>
      <c r="I223" s="8" t="s">
        <v>71</v>
      </c>
      <c r="J223" s="8" t="s">
        <v>384</v>
      </c>
      <c r="K223" s="8" t="s">
        <v>385</v>
      </c>
      <c r="L223" s="8" t="s">
        <v>386</v>
      </c>
      <c r="M223" s="8" t="s">
        <v>2785</v>
      </c>
      <c r="N223" s="8" t="s">
        <v>382</v>
      </c>
      <c r="O223" s="8">
        <v>394.67</v>
      </c>
      <c r="P223" s="8">
        <v>438.52</v>
      </c>
      <c r="Q223" s="8" t="s">
        <v>2524</v>
      </c>
      <c r="S223" s="8" t="s">
        <v>142</v>
      </c>
      <c r="T223" s="8">
        <v>37.619999999999997</v>
      </c>
    </row>
    <row r="224" spans="1:20" x14ac:dyDescent="0.2">
      <c r="A224" s="8" t="s">
        <v>4805</v>
      </c>
      <c r="B224" s="8" t="str">
        <f t="shared" si="6"/>
        <v>1586243799</v>
      </c>
      <c r="C224" s="8" t="str">
        <f t="shared" si="7"/>
        <v>259</v>
      </c>
      <c r="D224" s="8" t="s">
        <v>119</v>
      </c>
      <c r="F224" s="8" t="s">
        <v>128</v>
      </c>
      <c r="G224" s="8" t="s">
        <v>382</v>
      </c>
      <c r="H224" s="8" t="s">
        <v>383</v>
      </c>
      <c r="I224" s="8" t="s">
        <v>71</v>
      </c>
      <c r="J224" s="8" t="s">
        <v>384</v>
      </c>
      <c r="K224" s="8" t="s">
        <v>385</v>
      </c>
      <c r="L224" s="8" t="s">
        <v>386</v>
      </c>
      <c r="M224" s="8" t="s">
        <v>2785</v>
      </c>
      <c r="N224" s="8" t="s">
        <v>382</v>
      </c>
      <c r="O224" s="8">
        <v>394.67</v>
      </c>
      <c r="P224" s="8">
        <v>438.52</v>
      </c>
      <c r="Q224" s="8" t="s">
        <v>2524</v>
      </c>
      <c r="S224" s="8" t="s">
        <v>455</v>
      </c>
      <c r="T224" s="8">
        <v>57.54</v>
      </c>
    </row>
    <row r="225" spans="1:20" x14ac:dyDescent="0.2">
      <c r="A225" s="8" t="s">
        <v>4017</v>
      </c>
      <c r="B225" s="8" t="str">
        <f t="shared" si="6"/>
        <v>1586243799</v>
      </c>
      <c r="C225" s="8" t="str">
        <f t="shared" si="7"/>
        <v>260</v>
      </c>
      <c r="D225" s="8" t="s">
        <v>119</v>
      </c>
      <c r="F225" s="8" t="s">
        <v>128</v>
      </c>
      <c r="G225" s="8" t="s">
        <v>382</v>
      </c>
      <c r="H225" s="8" t="s">
        <v>383</v>
      </c>
      <c r="I225" s="8" t="s">
        <v>71</v>
      </c>
      <c r="J225" s="8" t="s">
        <v>384</v>
      </c>
      <c r="K225" s="8" t="s">
        <v>385</v>
      </c>
      <c r="L225" s="8" t="s">
        <v>386</v>
      </c>
      <c r="M225" s="8" t="s">
        <v>2785</v>
      </c>
      <c r="N225" s="8" t="s">
        <v>382</v>
      </c>
      <c r="O225" s="8">
        <v>394.67</v>
      </c>
      <c r="P225" s="8">
        <v>438.52</v>
      </c>
      <c r="Q225" s="8" t="s">
        <v>2524</v>
      </c>
      <c r="S225" s="8" t="s">
        <v>109</v>
      </c>
      <c r="T225" s="8">
        <v>37.619999999999997</v>
      </c>
    </row>
    <row r="226" spans="1:20" x14ac:dyDescent="0.2">
      <c r="A226" s="8" t="s">
        <v>3621</v>
      </c>
      <c r="B226" s="8" t="str">
        <f t="shared" si="6"/>
        <v>1586243801</v>
      </c>
      <c r="C226" s="8" t="str">
        <f t="shared" si="7"/>
        <v>261</v>
      </c>
      <c r="D226" s="8" t="s">
        <v>119</v>
      </c>
      <c r="F226" s="8" t="s">
        <v>128</v>
      </c>
      <c r="G226" s="8" t="s">
        <v>382</v>
      </c>
      <c r="H226" s="8" t="s">
        <v>383</v>
      </c>
      <c r="I226" s="8" t="s">
        <v>71</v>
      </c>
      <c r="J226" s="8" t="s">
        <v>1446</v>
      </c>
      <c r="K226" s="8" t="s">
        <v>1003</v>
      </c>
      <c r="L226" s="8" t="s">
        <v>1447</v>
      </c>
      <c r="M226" s="8" t="s">
        <v>2785</v>
      </c>
      <c r="N226" s="8" t="s">
        <v>382</v>
      </c>
      <c r="O226" s="8">
        <v>409.43</v>
      </c>
      <c r="P226" s="8">
        <v>454.92</v>
      </c>
      <c r="Q226" s="8" t="s">
        <v>2525</v>
      </c>
      <c r="R226" s="8" t="s">
        <v>1621</v>
      </c>
    </row>
    <row r="227" spans="1:20" x14ac:dyDescent="0.2">
      <c r="A227" s="8" t="s">
        <v>3223</v>
      </c>
      <c r="B227" s="8" t="str">
        <f t="shared" si="6"/>
        <v>1586243801</v>
      </c>
      <c r="C227" s="8" t="str">
        <f t="shared" si="7"/>
        <v>262</v>
      </c>
      <c r="D227" s="8" t="s">
        <v>119</v>
      </c>
      <c r="F227" s="8" t="s">
        <v>128</v>
      </c>
      <c r="G227" s="8" t="s">
        <v>382</v>
      </c>
      <c r="H227" s="8" t="s">
        <v>383</v>
      </c>
      <c r="I227" s="8" t="s">
        <v>71</v>
      </c>
      <c r="J227" s="8" t="s">
        <v>1446</v>
      </c>
      <c r="K227" s="8" t="s">
        <v>1003</v>
      </c>
      <c r="L227" s="8" t="s">
        <v>1447</v>
      </c>
      <c r="M227" s="8" t="s">
        <v>2785</v>
      </c>
      <c r="N227" s="8" t="s">
        <v>382</v>
      </c>
      <c r="O227" s="8">
        <v>409.43</v>
      </c>
      <c r="P227" s="8">
        <v>454.92</v>
      </c>
      <c r="Q227" s="8" t="s">
        <v>2525</v>
      </c>
      <c r="R227" s="8" t="s">
        <v>2251</v>
      </c>
    </row>
    <row r="228" spans="1:20" x14ac:dyDescent="0.2">
      <c r="A228" s="8" t="s">
        <v>4323</v>
      </c>
      <c r="B228" s="8" t="str">
        <f t="shared" si="6"/>
        <v>1586243801</v>
      </c>
      <c r="C228" s="8" t="str">
        <f t="shared" si="7"/>
        <v>263</v>
      </c>
      <c r="D228" s="8" t="s">
        <v>119</v>
      </c>
      <c r="F228" s="8" t="s">
        <v>128</v>
      </c>
      <c r="G228" s="8" t="s">
        <v>382</v>
      </c>
      <c r="H228" s="8" t="s">
        <v>383</v>
      </c>
      <c r="I228" s="8" t="s">
        <v>71</v>
      </c>
      <c r="J228" s="8" t="s">
        <v>1446</v>
      </c>
      <c r="K228" s="8" t="s">
        <v>1003</v>
      </c>
      <c r="L228" s="8" t="s">
        <v>1447</v>
      </c>
      <c r="M228" s="8" t="s">
        <v>2785</v>
      </c>
      <c r="N228" s="8" t="s">
        <v>382</v>
      </c>
      <c r="O228" s="8">
        <v>409.43</v>
      </c>
      <c r="P228" s="8">
        <v>454.92</v>
      </c>
      <c r="Q228" s="8" t="s">
        <v>2525</v>
      </c>
      <c r="S228" s="8" t="s">
        <v>142</v>
      </c>
      <c r="T228" s="8">
        <v>46.48</v>
      </c>
    </row>
    <row r="229" spans="1:20" x14ac:dyDescent="0.2">
      <c r="A229" s="8" t="s">
        <v>3496</v>
      </c>
      <c r="B229" s="8" t="str">
        <f t="shared" si="6"/>
        <v>1586243801</v>
      </c>
      <c r="C229" s="8" t="str">
        <f t="shared" si="7"/>
        <v>264</v>
      </c>
      <c r="D229" s="8" t="s">
        <v>119</v>
      </c>
      <c r="F229" s="8" t="s">
        <v>128</v>
      </c>
      <c r="G229" s="8" t="s">
        <v>382</v>
      </c>
      <c r="H229" s="8" t="s">
        <v>383</v>
      </c>
      <c r="I229" s="8" t="s">
        <v>71</v>
      </c>
      <c r="J229" s="8" t="s">
        <v>1446</v>
      </c>
      <c r="K229" s="8" t="s">
        <v>1003</v>
      </c>
      <c r="L229" s="8" t="s">
        <v>1447</v>
      </c>
      <c r="M229" s="8" t="s">
        <v>2785</v>
      </c>
      <c r="N229" s="8" t="s">
        <v>382</v>
      </c>
      <c r="O229" s="8">
        <v>409.43</v>
      </c>
      <c r="P229" s="8">
        <v>454.92</v>
      </c>
      <c r="Q229" s="8" t="s">
        <v>2525</v>
      </c>
      <c r="S229" s="8" t="s">
        <v>455</v>
      </c>
      <c r="T229" s="8">
        <v>57.54</v>
      </c>
    </row>
    <row r="230" spans="1:20" x14ac:dyDescent="0.2">
      <c r="A230" s="8" t="s">
        <v>3531</v>
      </c>
      <c r="B230" s="8" t="str">
        <f t="shared" si="6"/>
        <v>1586243801</v>
      </c>
      <c r="C230" s="8" t="str">
        <f t="shared" si="7"/>
        <v>265</v>
      </c>
      <c r="D230" s="8" t="s">
        <v>119</v>
      </c>
      <c r="F230" s="8" t="s">
        <v>128</v>
      </c>
      <c r="G230" s="8" t="s">
        <v>382</v>
      </c>
      <c r="H230" s="8" t="s">
        <v>383</v>
      </c>
      <c r="I230" s="8" t="s">
        <v>71</v>
      </c>
      <c r="J230" s="8" t="s">
        <v>1446</v>
      </c>
      <c r="K230" s="8" t="s">
        <v>1003</v>
      </c>
      <c r="L230" s="8" t="s">
        <v>1447</v>
      </c>
      <c r="M230" s="8" t="s">
        <v>2785</v>
      </c>
      <c r="N230" s="8" t="s">
        <v>382</v>
      </c>
      <c r="O230" s="8">
        <v>409.43</v>
      </c>
      <c r="P230" s="8">
        <v>454.92</v>
      </c>
      <c r="Q230" s="8" t="s">
        <v>2525</v>
      </c>
      <c r="S230" s="8" t="s">
        <v>109</v>
      </c>
      <c r="T230" s="8">
        <v>37.619999999999997</v>
      </c>
    </row>
    <row r="231" spans="1:20" x14ac:dyDescent="0.2">
      <c r="A231" s="8" t="s">
        <v>4465</v>
      </c>
      <c r="B231" s="8" t="str">
        <f t="shared" si="6"/>
        <v>1586243806</v>
      </c>
      <c r="C231" s="8" t="str">
        <f t="shared" si="7"/>
        <v>266</v>
      </c>
      <c r="D231" s="8" t="s">
        <v>119</v>
      </c>
      <c r="F231" s="8" t="s">
        <v>128</v>
      </c>
      <c r="G231" s="8" t="s">
        <v>1000</v>
      </c>
      <c r="H231" s="8" t="s">
        <v>1001</v>
      </c>
      <c r="I231" s="8" t="s">
        <v>71</v>
      </c>
      <c r="J231" s="8" t="s">
        <v>1002</v>
      </c>
      <c r="K231" s="8" t="s">
        <v>1003</v>
      </c>
      <c r="L231" s="8" t="s">
        <v>1004</v>
      </c>
      <c r="M231" s="8" t="s">
        <v>2785</v>
      </c>
      <c r="N231" s="8" t="s">
        <v>1000</v>
      </c>
      <c r="O231" s="8">
        <v>418.28</v>
      </c>
      <c r="P231" s="8">
        <v>464.75</v>
      </c>
      <c r="Q231" s="8" t="s">
        <v>2526</v>
      </c>
      <c r="R231" s="8" t="s">
        <v>2008</v>
      </c>
    </row>
    <row r="232" spans="1:20" x14ac:dyDescent="0.2">
      <c r="A232" s="8" t="s">
        <v>3796</v>
      </c>
      <c r="B232" s="8" t="str">
        <f t="shared" si="6"/>
        <v>1586243806</v>
      </c>
      <c r="C232" s="8" t="str">
        <f t="shared" si="7"/>
        <v>267</v>
      </c>
      <c r="D232" s="8" t="s">
        <v>119</v>
      </c>
      <c r="F232" s="8" t="s">
        <v>128</v>
      </c>
      <c r="G232" s="8" t="s">
        <v>1000</v>
      </c>
      <c r="H232" s="8" t="s">
        <v>1001</v>
      </c>
      <c r="I232" s="8" t="s">
        <v>71</v>
      </c>
      <c r="J232" s="8" t="s">
        <v>1002</v>
      </c>
      <c r="K232" s="8" t="s">
        <v>1003</v>
      </c>
      <c r="L232" s="8" t="s">
        <v>1004</v>
      </c>
      <c r="M232" s="8" t="s">
        <v>2785</v>
      </c>
      <c r="N232" s="8" t="s">
        <v>1000</v>
      </c>
      <c r="O232" s="8">
        <v>418.28</v>
      </c>
      <c r="P232" s="8">
        <v>464.75</v>
      </c>
      <c r="Q232" s="8" t="s">
        <v>2526</v>
      </c>
      <c r="R232" s="8" t="s">
        <v>2316</v>
      </c>
    </row>
    <row r="233" spans="1:20" x14ac:dyDescent="0.2">
      <c r="A233" s="8" t="s">
        <v>3934</v>
      </c>
      <c r="B233" s="8" t="str">
        <f t="shared" si="6"/>
        <v>1586243806</v>
      </c>
      <c r="C233" s="8" t="str">
        <f t="shared" si="7"/>
        <v>268</v>
      </c>
      <c r="D233" s="8" t="s">
        <v>119</v>
      </c>
      <c r="F233" s="8" t="s">
        <v>128</v>
      </c>
      <c r="G233" s="8" t="s">
        <v>1000</v>
      </c>
      <c r="H233" s="8" t="s">
        <v>1001</v>
      </c>
      <c r="I233" s="8" t="s">
        <v>71</v>
      </c>
      <c r="J233" s="8" t="s">
        <v>1002</v>
      </c>
      <c r="K233" s="8" t="s">
        <v>1003</v>
      </c>
      <c r="L233" s="8" t="s">
        <v>1004</v>
      </c>
      <c r="M233" s="8" t="s">
        <v>2785</v>
      </c>
      <c r="N233" s="8" t="s">
        <v>1000</v>
      </c>
      <c r="O233" s="8">
        <v>418.28</v>
      </c>
      <c r="P233" s="8">
        <v>464.75</v>
      </c>
      <c r="Q233" s="8" t="s">
        <v>2526</v>
      </c>
      <c r="R233" s="8" t="s">
        <v>1562</v>
      </c>
    </row>
    <row r="234" spans="1:20" x14ac:dyDescent="0.2">
      <c r="A234" s="8" t="s">
        <v>3494</v>
      </c>
      <c r="B234" s="8" t="str">
        <f t="shared" si="6"/>
        <v>1586243806</v>
      </c>
      <c r="C234" s="8" t="str">
        <f t="shared" si="7"/>
        <v>269</v>
      </c>
      <c r="D234" s="8" t="s">
        <v>119</v>
      </c>
      <c r="F234" s="8" t="s">
        <v>128</v>
      </c>
      <c r="G234" s="8" t="s">
        <v>1000</v>
      </c>
      <c r="H234" s="8" t="s">
        <v>1001</v>
      </c>
      <c r="I234" s="8" t="s">
        <v>71</v>
      </c>
      <c r="J234" s="8" t="s">
        <v>1002</v>
      </c>
      <c r="K234" s="8" t="s">
        <v>1003</v>
      </c>
      <c r="L234" s="8" t="s">
        <v>1004</v>
      </c>
      <c r="M234" s="8" t="s">
        <v>2785</v>
      </c>
      <c r="N234" s="8" t="s">
        <v>1000</v>
      </c>
      <c r="O234" s="8">
        <v>418.28</v>
      </c>
      <c r="P234" s="8">
        <v>464.75</v>
      </c>
      <c r="Q234" s="8" t="s">
        <v>2526</v>
      </c>
      <c r="S234" s="8" t="s">
        <v>142</v>
      </c>
      <c r="T234" s="8">
        <v>46.48</v>
      </c>
    </row>
    <row r="235" spans="1:20" x14ac:dyDescent="0.2">
      <c r="A235" s="8" t="s">
        <v>4522</v>
      </c>
      <c r="B235" s="8" t="str">
        <f t="shared" si="6"/>
        <v>1586243806</v>
      </c>
      <c r="C235" s="8" t="str">
        <f t="shared" si="7"/>
        <v>270</v>
      </c>
      <c r="D235" s="8" t="s">
        <v>119</v>
      </c>
      <c r="F235" s="8" t="s">
        <v>128</v>
      </c>
      <c r="G235" s="8" t="s">
        <v>1000</v>
      </c>
      <c r="H235" s="8" t="s">
        <v>1001</v>
      </c>
      <c r="I235" s="8" t="s">
        <v>71</v>
      </c>
      <c r="J235" s="8" t="s">
        <v>1002</v>
      </c>
      <c r="K235" s="8" t="s">
        <v>1003</v>
      </c>
      <c r="L235" s="8" t="s">
        <v>1004</v>
      </c>
      <c r="M235" s="8" t="s">
        <v>2785</v>
      </c>
      <c r="N235" s="8" t="s">
        <v>1000</v>
      </c>
      <c r="O235" s="8">
        <v>418.28</v>
      </c>
      <c r="P235" s="8">
        <v>464.75</v>
      </c>
      <c r="Q235" s="8" t="s">
        <v>2526</v>
      </c>
      <c r="S235" s="8" t="s">
        <v>455</v>
      </c>
      <c r="T235" s="8">
        <v>57.54</v>
      </c>
    </row>
    <row r="236" spans="1:20" x14ac:dyDescent="0.2">
      <c r="A236" s="8" t="s">
        <v>3047</v>
      </c>
      <c r="B236" s="8" t="str">
        <f t="shared" si="6"/>
        <v>1586243806</v>
      </c>
      <c r="C236" s="8" t="str">
        <f t="shared" si="7"/>
        <v>271</v>
      </c>
      <c r="D236" s="8" t="s">
        <v>119</v>
      </c>
      <c r="F236" s="8" t="s">
        <v>128</v>
      </c>
      <c r="G236" s="8" t="s">
        <v>1000</v>
      </c>
      <c r="H236" s="8" t="s">
        <v>1001</v>
      </c>
      <c r="I236" s="8" t="s">
        <v>71</v>
      </c>
      <c r="J236" s="8" t="s">
        <v>1002</v>
      </c>
      <c r="K236" s="8" t="s">
        <v>1003</v>
      </c>
      <c r="L236" s="8" t="s">
        <v>1004</v>
      </c>
      <c r="M236" s="8" t="s">
        <v>2785</v>
      </c>
      <c r="N236" s="8" t="s">
        <v>1000</v>
      </c>
      <c r="O236" s="8">
        <v>418.28</v>
      </c>
      <c r="P236" s="8">
        <v>464.75</v>
      </c>
      <c r="Q236" s="8" t="s">
        <v>2526</v>
      </c>
      <c r="S236" s="8" t="s">
        <v>109</v>
      </c>
      <c r="T236" s="8">
        <v>37.619999999999997</v>
      </c>
    </row>
    <row r="237" spans="1:20" x14ac:dyDescent="0.2">
      <c r="A237" s="8" t="s">
        <v>3520</v>
      </c>
      <c r="B237" s="8" t="str">
        <f t="shared" si="6"/>
        <v>1586243810</v>
      </c>
      <c r="C237" s="8" t="str">
        <f t="shared" si="7"/>
        <v>272</v>
      </c>
      <c r="D237" s="8" t="s">
        <v>119</v>
      </c>
      <c r="F237" s="8" t="s">
        <v>128</v>
      </c>
      <c r="G237" s="8" t="s">
        <v>657</v>
      </c>
      <c r="H237" s="8" t="s">
        <v>658</v>
      </c>
      <c r="I237" s="8" t="s">
        <v>181</v>
      </c>
      <c r="J237" s="8" t="s">
        <v>659</v>
      </c>
      <c r="K237" s="8" t="s">
        <v>60</v>
      </c>
      <c r="L237" s="8" t="s">
        <v>660</v>
      </c>
      <c r="M237" s="8" t="s">
        <v>2785</v>
      </c>
      <c r="N237" s="8" t="s">
        <v>657</v>
      </c>
      <c r="O237" s="8">
        <v>483.2</v>
      </c>
      <c r="P237" s="8">
        <v>536.89</v>
      </c>
      <c r="Q237" s="8" t="s">
        <v>2527</v>
      </c>
      <c r="R237" s="8" t="s">
        <v>1932</v>
      </c>
    </row>
    <row r="238" spans="1:20" x14ac:dyDescent="0.2">
      <c r="A238" s="8" t="s">
        <v>4468</v>
      </c>
      <c r="B238" s="8" t="str">
        <f t="shared" si="6"/>
        <v>1586243810</v>
      </c>
      <c r="C238" s="8" t="str">
        <f t="shared" si="7"/>
        <v>273</v>
      </c>
      <c r="D238" s="8" t="s">
        <v>119</v>
      </c>
      <c r="F238" s="8" t="s">
        <v>128</v>
      </c>
      <c r="G238" s="8" t="s">
        <v>657</v>
      </c>
      <c r="H238" s="8" t="s">
        <v>658</v>
      </c>
      <c r="I238" s="8" t="s">
        <v>181</v>
      </c>
      <c r="J238" s="8" t="s">
        <v>659</v>
      </c>
      <c r="K238" s="8" t="s">
        <v>60</v>
      </c>
      <c r="L238" s="8" t="s">
        <v>660</v>
      </c>
      <c r="M238" s="8" t="s">
        <v>2785</v>
      </c>
      <c r="N238" s="8" t="s">
        <v>657</v>
      </c>
      <c r="O238" s="8">
        <v>483.2</v>
      </c>
      <c r="P238" s="8">
        <v>536.89</v>
      </c>
      <c r="Q238" s="8" t="s">
        <v>2527</v>
      </c>
      <c r="R238" s="8" t="s">
        <v>1538</v>
      </c>
    </row>
    <row r="239" spans="1:20" x14ac:dyDescent="0.2">
      <c r="A239" s="8" t="s">
        <v>3622</v>
      </c>
      <c r="B239" s="8" t="str">
        <f t="shared" si="6"/>
        <v>1586243810</v>
      </c>
      <c r="C239" s="8" t="str">
        <f t="shared" si="7"/>
        <v>274</v>
      </c>
      <c r="D239" s="8" t="s">
        <v>119</v>
      </c>
      <c r="F239" s="8" t="s">
        <v>128</v>
      </c>
      <c r="G239" s="8" t="s">
        <v>657</v>
      </c>
      <c r="H239" s="8" t="s">
        <v>658</v>
      </c>
      <c r="I239" s="8" t="s">
        <v>181</v>
      </c>
      <c r="J239" s="8" t="s">
        <v>659</v>
      </c>
      <c r="K239" s="8" t="s">
        <v>60</v>
      </c>
      <c r="L239" s="8" t="s">
        <v>660</v>
      </c>
      <c r="M239" s="8" t="s">
        <v>2785</v>
      </c>
      <c r="N239" s="8" t="s">
        <v>657</v>
      </c>
      <c r="O239" s="8">
        <v>483.2</v>
      </c>
      <c r="P239" s="8">
        <v>536.89</v>
      </c>
      <c r="Q239" s="8" t="s">
        <v>2527</v>
      </c>
      <c r="R239" s="8" t="s">
        <v>2403</v>
      </c>
    </row>
    <row r="240" spans="1:20" x14ac:dyDescent="0.2">
      <c r="A240" s="8" t="s">
        <v>3865</v>
      </c>
      <c r="B240" s="8" t="str">
        <f t="shared" si="6"/>
        <v>1586243810</v>
      </c>
      <c r="C240" s="8" t="str">
        <f t="shared" si="7"/>
        <v>275</v>
      </c>
      <c r="D240" s="8" t="s">
        <v>119</v>
      </c>
      <c r="F240" s="8" t="s">
        <v>128</v>
      </c>
      <c r="G240" s="8" t="s">
        <v>657</v>
      </c>
      <c r="H240" s="8" t="s">
        <v>658</v>
      </c>
      <c r="I240" s="8" t="s">
        <v>181</v>
      </c>
      <c r="J240" s="8" t="s">
        <v>659</v>
      </c>
      <c r="K240" s="8" t="s">
        <v>60</v>
      </c>
      <c r="L240" s="8" t="s">
        <v>660</v>
      </c>
      <c r="M240" s="8" t="s">
        <v>2785</v>
      </c>
      <c r="N240" s="8" t="s">
        <v>657</v>
      </c>
      <c r="O240" s="8">
        <v>483.2</v>
      </c>
      <c r="P240" s="8">
        <v>536.89</v>
      </c>
      <c r="Q240" s="8" t="s">
        <v>2527</v>
      </c>
      <c r="S240" s="8" t="s">
        <v>142</v>
      </c>
      <c r="T240" s="8">
        <v>75.25</v>
      </c>
    </row>
    <row r="241" spans="1:20" x14ac:dyDescent="0.2">
      <c r="A241" s="8" t="s">
        <v>4088</v>
      </c>
      <c r="B241" s="8" t="str">
        <f t="shared" si="6"/>
        <v>1586243810</v>
      </c>
      <c r="C241" s="8" t="str">
        <f t="shared" si="7"/>
        <v>276</v>
      </c>
      <c r="D241" s="8" t="s">
        <v>119</v>
      </c>
      <c r="F241" s="8" t="s">
        <v>128</v>
      </c>
      <c r="G241" s="8" t="s">
        <v>657</v>
      </c>
      <c r="H241" s="8" t="s">
        <v>658</v>
      </c>
      <c r="I241" s="8" t="s">
        <v>181</v>
      </c>
      <c r="J241" s="8" t="s">
        <v>659</v>
      </c>
      <c r="K241" s="8" t="s">
        <v>60</v>
      </c>
      <c r="L241" s="8" t="s">
        <v>660</v>
      </c>
      <c r="M241" s="8" t="s">
        <v>2785</v>
      </c>
      <c r="N241" s="8" t="s">
        <v>657</v>
      </c>
      <c r="O241" s="8">
        <v>483.2</v>
      </c>
      <c r="P241" s="8">
        <v>536.89</v>
      </c>
      <c r="Q241" s="8" t="s">
        <v>2527</v>
      </c>
      <c r="S241" s="8" t="s">
        <v>184</v>
      </c>
      <c r="T241" s="8">
        <v>154.18</v>
      </c>
    </row>
    <row r="242" spans="1:20" x14ac:dyDescent="0.2">
      <c r="A242" s="8" t="s">
        <v>3272</v>
      </c>
      <c r="B242" s="8" t="str">
        <f t="shared" si="6"/>
        <v>1586243810</v>
      </c>
      <c r="C242" s="8" t="str">
        <f t="shared" si="7"/>
        <v>277</v>
      </c>
      <c r="D242" s="8" t="s">
        <v>119</v>
      </c>
      <c r="F242" s="8" t="s">
        <v>128</v>
      </c>
      <c r="G242" s="8" t="s">
        <v>657</v>
      </c>
      <c r="H242" s="8" t="s">
        <v>658</v>
      </c>
      <c r="I242" s="8" t="s">
        <v>181</v>
      </c>
      <c r="J242" s="8" t="s">
        <v>659</v>
      </c>
      <c r="K242" s="8" t="s">
        <v>60</v>
      </c>
      <c r="L242" s="8" t="s">
        <v>660</v>
      </c>
      <c r="M242" s="8" t="s">
        <v>2785</v>
      </c>
      <c r="N242" s="8" t="s">
        <v>657</v>
      </c>
      <c r="O242" s="8">
        <v>483.2</v>
      </c>
      <c r="P242" s="8">
        <v>536.89</v>
      </c>
      <c r="Q242" s="8" t="s">
        <v>2527</v>
      </c>
      <c r="S242" s="8" t="s">
        <v>1210</v>
      </c>
      <c r="T242" s="8">
        <v>99.59</v>
      </c>
    </row>
    <row r="243" spans="1:20" x14ac:dyDescent="0.2">
      <c r="A243" s="8" t="s">
        <v>3201</v>
      </c>
      <c r="B243" s="8" t="str">
        <f t="shared" si="6"/>
        <v>1586243814</v>
      </c>
      <c r="C243" s="8" t="str">
        <f t="shared" si="7"/>
        <v>278</v>
      </c>
      <c r="D243" s="8" t="s">
        <v>119</v>
      </c>
      <c r="F243" s="8" t="s">
        <v>128</v>
      </c>
      <c r="G243" s="8" t="s">
        <v>1362</v>
      </c>
      <c r="H243" s="8" t="s">
        <v>1363</v>
      </c>
      <c r="I243" s="8" t="s">
        <v>1474</v>
      </c>
      <c r="J243" s="8" t="s">
        <v>1475</v>
      </c>
      <c r="K243" s="8" t="s">
        <v>1476</v>
      </c>
      <c r="L243" s="8" t="s">
        <v>1477</v>
      </c>
      <c r="M243" s="8" t="s">
        <v>2785</v>
      </c>
      <c r="N243" s="8" t="s">
        <v>360</v>
      </c>
      <c r="O243" s="8">
        <v>199.92</v>
      </c>
      <c r="P243" s="8">
        <v>222.13</v>
      </c>
      <c r="Q243" s="8" t="s">
        <v>2528</v>
      </c>
      <c r="R243" s="8" t="s">
        <v>2037</v>
      </c>
    </row>
    <row r="244" spans="1:20" x14ac:dyDescent="0.2">
      <c r="A244" s="8" t="s">
        <v>3794</v>
      </c>
      <c r="B244" s="8" t="str">
        <f t="shared" si="6"/>
        <v>1586243814</v>
      </c>
      <c r="C244" s="8" t="str">
        <f t="shared" si="7"/>
        <v>279</v>
      </c>
      <c r="D244" s="8" t="s">
        <v>119</v>
      </c>
      <c r="F244" s="8" t="s">
        <v>128</v>
      </c>
      <c r="G244" s="8" t="s">
        <v>1362</v>
      </c>
      <c r="H244" s="8" t="s">
        <v>1363</v>
      </c>
      <c r="I244" s="8" t="s">
        <v>1474</v>
      </c>
      <c r="J244" s="8" t="s">
        <v>1475</v>
      </c>
      <c r="K244" s="8" t="s">
        <v>1476</v>
      </c>
      <c r="L244" s="8" t="s">
        <v>1477</v>
      </c>
      <c r="M244" s="8" t="s">
        <v>2785</v>
      </c>
      <c r="N244" s="8" t="s">
        <v>360</v>
      </c>
      <c r="O244" s="8">
        <v>199.92</v>
      </c>
      <c r="P244" s="8">
        <v>222.13</v>
      </c>
      <c r="Q244" s="8" t="s">
        <v>2528</v>
      </c>
      <c r="S244" s="8" t="s">
        <v>184</v>
      </c>
      <c r="T244" s="8">
        <v>61.97</v>
      </c>
    </row>
    <row r="245" spans="1:20" x14ac:dyDescent="0.2">
      <c r="A245" s="8" t="s">
        <v>3242</v>
      </c>
      <c r="B245" s="8" t="str">
        <f t="shared" si="6"/>
        <v>1586243816</v>
      </c>
      <c r="C245" s="8" t="str">
        <f t="shared" si="7"/>
        <v>280</v>
      </c>
      <c r="D245" s="8" t="s">
        <v>119</v>
      </c>
      <c r="F245" s="8" t="s">
        <v>128</v>
      </c>
      <c r="G245" s="8" t="s">
        <v>1362</v>
      </c>
      <c r="H245" s="8" t="s">
        <v>1363</v>
      </c>
      <c r="I245" s="8" t="s">
        <v>181</v>
      </c>
      <c r="J245" s="8" t="s">
        <v>1364</v>
      </c>
      <c r="K245" s="8" t="s">
        <v>310</v>
      </c>
      <c r="L245" s="8" t="s">
        <v>1365</v>
      </c>
      <c r="M245" s="8" t="s">
        <v>2785</v>
      </c>
      <c r="N245" s="8" t="s">
        <v>1362</v>
      </c>
      <c r="O245" s="8">
        <v>733.28</v>
      </c>
      <c r="P245" s="8">
        <v>814.75</v>
      </c>
      <c r="Q245" s="8" t="s">
        <v>2529</v>
      </c>
      <c r="R245" s="8" t="s">
        <v>1806</v>
      </c>
    </row>
    <row r="246" spans="1:20" x14ac:dyDescent="0.2">
      <c r="A246" s="8" t="s">
        <v>4054</v>
      </c>
      <c r="B246" s="8" t="str">
        <f t="shared" si="6"/>
        <v>1586243816</v>
      </c>
      <c r="C246" s="8" t="str">
        <f t="shared" si="7"/>
        <v>281</v>
      </c>
      <c r="D246" s="8" t="s">
        <v>119</v>
      </c>
      <c r="F246" s="8" t="s">
        <v>128</v>
      </c>
      <c r="G246" s="8" t="s">
        <v>1362</v>
      </c>
      <c r="H246" s="8" t="s">
        <v>1363</v>
      </c>
      <c r="I246" s="8" t="s">
        <v>181</v>
      </c>
      <c r="J246" s="8" t="s">
        <v>1364</v>
      </c>
      <c r="K246" s="8" t="s">
        <v>310</v>
      </c>
      <c r="L246" s="8" t="s">
        <v>1365</v>
      </c>
      <c r="M246" s="8" t="s">
        <v>2785</v>
      </c>
      <c r="N246" s="8" t="s">
        <v>1362</v>
      </c>
      <c r="O246" s="8">
        <v>733.28</v>
      </c>
      <c r="P246" s="8">
        <v>814.75</v>
      </c>
      <c r="Q246" s="8" t="s">
        <v>2529</v>
      </c>
      <c r="R246" s="8" t="s">
        <v>2022</v>
      </c>
    </row>
    <row r="247" spans="1:20" x14ac:dyDescent="0.2">
      <c r="A247" s="8" t="s">
        <v>3276</v>
      </c>
      <c r="B247" s="8" t="str">
        <f t="shared" si="6"/>
        <v>1586243816</v>
      </c>
      <c r="C247" s="8" t="str">
        <f t="shared" si="7"/>
        <v>282</v>
      </c>
      <c r="D247" s="8" t="s">
        <v>119</v>
      </c>
      <c r="F247" s="8" t="s">
        <v>128</v>
      </c>
      <c r="G247" s="8" t="s">
        <v>1362</v>
      </c>
      <c r="H247" s="8" t="s">
        <v>1363</v>
      </c>
      <c r="I247" s="8" t="s">
        <v>181</v>
      </c>
      <c r="J247" s="8" t="s">
        <v>1364</v>
      </c>
      <c r="K247" s="8" t="s">
        <v>310</v>
      </c>
      <c r="L247" s="8" t="s">
        <v>1365</v>
      </c>
      <c r="M247" s="8" t="s">
        <v>2785</v>
      </c>
      <c r="N247" s="8" t="s">
        <v>1362</v>
      </c>
      <c r="O247" s="8">
        <v>733.28</v>
      </c>
      <c r="P247" s="8">
        <v>814.75</v>
      </c>
      <c r="Q247" s="8" t="s">
        <v>2529</v>
      </c>
      <c r="R247" s="8" t="s">
        <v>1599</v>
      </c>
    </row>
    <row r="248" spans="1:20" x14ac:dyDescent="0.2">
      <c r="A248" s="8" t="s">
        <v>4308</v>
      </c>
      <c r="B248" s="8" t="str">
        <f t="shared" si="6"/>
        <v>1586243816</v>
      </c>
      <c r="C248" s="8" t="str">
        <f t="shared" si="7"/>
        <v>283</v>
      </c>
      <c r="D248" s="8" t="s">
        <v>119</v>
      </c>
      <c r="F248" s="8" t="s">
        <v>128</v>
      </c>
      <c r="G248" s="8" t="s">
        <v>1362</v>
      </c>
      <c r="H248" s="8" t="s">
        <v>1363</v>
      </c>
      <c r="I248" s="8" t="s">
        <v>181</v>
      </c>
      <c r="J248" s="8" t="s">
        <v>1364</v>
      </c>
      <c r="K248" s="8" t="s">
        <v>310</v>
      </c>
      <c r="L248" s="8" t="s">
        <v>1365</v>
      </c>
      <c r="M248" s="8" t="s">
        <v>2785</v>
      </c>
      <c r="N248" s="8" t="s">
        <v>1362</v>
      </c>
      <c r="O248" s="8">
        <v>733.28</v>
      </c>
      <c r="P248" s="8">
        <v>814.75</v>
      </c>
      <c r="Q248" s="8" t="s">
        <v>2529</v>
      </c>
      <c r="R248" s="8" t="s">
        <v>2450</v>
      </c>
    </row>
    <row r="249" spans="1:20" x14ac:dyDescent="0.2">
      <c r="A249" s="8" t="s">
        <v>4269</v>
      </c>
      <c r="B249" s="8" t="str">
        <f t="shared" si="6"/>
        <v>1586243816</v>
      </c>
      <c r="C249" s="8" t="str">
        <f t="shared" si="7"/>
        <v>284</v>
      </c>
      <c r="D249" s="8" t="s">
        <v>119</v>
      </c>
      <c r="F249" s="8" t="s">
        <v>128</v>
      </c>
      <c r="G249" s="8" t="s">
        <v>1362</v>
      </c>
      <c r="H249" s="8" t="s">
        <v>1363</v>
      </c>
      <c r="I249" s="8" t="s">
        <v>181</v>
      </c>
      <c r="J249" s="8" t="s">
        <v>1364</v>
      </c>
      <c r="K249" s="8" t="s">
        <v>310</v>
      </c>
      <c r="L249" s="8" t="s">
        <v>1365</v>
      </c>
      <c r="M249" s="8" t="s">
        <v>2785</v>
      </c>
      <c r="N249" s="8" t="s">
        <v>1362</v>
      </c>
      <c r="O249" s="8">
        <v>733.28</v>
      </c>
      <c r="P249" s="8">
        <v>814.75</v>
      </c>
      <c r="Q249" s="8" t="s">
        <v>2529</v>
      </c>
      <c r="R249" s="8" t="s">
        <v>1603</v>
      </c>
    </row>
    <row r="250" spans="1:20" x14ac:dyDescent="0.2">
      <c r="A250" s="8" t="s">
        <v>3270</v>
      </c>
      <c r="B250" s="8" t="str">
        <f t="shared" si="6"/>
        <v>1586243816</v>
      </c>
      <c r="C250" s="8" t="str">
        <f t="shared" si="7"/>
        <v>285</v>
      </c>
      <c r="D250" s="8" t="s">
        <v>119</v>
      </c>
      <c r="F250" s="8" t="s">
        <v>128</v>
      </c>
      <c r="G250" s="8" t="s">
        <v>1362</v>
      </c>
      <c r="H250" s="8" t="s">
        <v>1363</v>
      </c>
      <c r="I250" s="8" t="s">
        <v>181</v>
      </c>
      <c r="J250" s="8" t="s">
        <v>1364</v>
      </c>
      <c r="K250" s="8" t="s">
        <v>310</v>
      </c>
      <c r="L250" s="8" t="s">
        <v>1365</v>
      </c>
      <c r="M250" s="8" t="s">
        <v>2785</v>
      </c>
      <c r="N250" s="8" t="s">
        <v>1362</v>
      </c>
      <c r="O250" s="8">
        <v>733.28</v>
      </c>
      <c r="P250" s="8">
        <v>814.75</v>
      </c>
      <c r="Q250" s="8" t="s">
        <v>2529</v>
      </c>
      <c r="S250" s="8" t="s">
        <v>331</v>
      </c>
      <c r="T250" s="8">
        <v>100.33</v>
      </c>
    </row>
    <row r="251" spans="1:20" x14ac:dyDescent="0.2">
      <c r="A251" s="8" t="s">
        <v>4042</v>
      </c>
      <c r="B251" s="8" t="str">
        <f t="shared" si="6"/>
        <v>1586243816</v>
      </c>
      <c r="C251" s="8" t="str">
        <f t="shared" si="7"/>
        <v>286</v>
      </c>
      <c r="D251" s="8" t="s">
        <v>119</v>
      </c>
      <c r="F251" s="8" t="s">
        <v>128</v>
      </c>
      <c r="G251" s="8" t="s">
        <v>1362</v>
      </c>
      <c r="H251" s="8" t="s">
        <v>1363</v>
      </c>
      <c r="I251" s="8" t="s">
        <v>181</v>
      </c>
      <c r="J251" s="8" t="s">
        <v>1364</v>
      </c>
      <c r="K251" s="8" t="s">
        <v>310</v>
      </c>
      <c r="L251" s="8" t="s">
        <v>1365</v>
      </c>
      <c r="M251" s="8" t="s">
        <v>2785</v>
      </c>
      <c r="N251" s="8" t="s">
        <v>1362</v>
      </c>
      <c r="O251" s="8">
        <v>733.28</v>
      </c>
      <c r="P251" s="8">
        <v>814.75</v>
      </c>
      <c r="Q251" s="8" t="s">
        <v>2529</v>
      </c>
      <c r="S251" s="8" t="s">
        <v>184</v>
      </c>
      <c r="T251" s="8">
        <v>140.9</v>
      </c>
    </row>
    <row r="252" spans="1:20" x14ac:dyDescent="0.2">
      <c r="A252" s="8" t="s">
        <v>4256</v>
      </c>
      <c r="B252" s="8" t="str">
        <f t="shared" si="6"/>
        <v>1586243816</v>
      </c>
      <c r="C252" s="8" t="str">
        <f t="shared" si="7"/>
        <v>287</v>
      </c>
      <c r="D252" s="8" t="s">
        <v>119</v>
      </c>
      <c r="F252" s="8" t="s">
        <v>128</v>
      </c>
      <c r="G252" s="8" t="s">
        <v>1362</v>
      </c>
      <c r="H252" s="8" t="s">
        <v>1363</v>
      </c>
      <c r="I252" s="8" t="s">
        <v>181</v>
      </c>
      <c r="J252" s="8" t="s">
        <v>1364</v>
      </c>
      <c r="K252" s="8" t="s">
        <v>310</v>
      </c>
      <c r="L252" s="8" t="s">
        <v>1365</v>
      </c>
      <c r="M252" s="8" t="s">
        <v>2785</v>
      </c>
      <c r="N252" s="8" t="s">
        <v>1362</v>
      </c>
      <c r="O252" s="8">
        <v>733.28</v>
      </c>
      <c r="P252" s="8">
        <v>814.75</v>
      </c>
      <c r="Q252" s="8" t="s">
        <v>2529</v>
      </c>
      <c r="S252" s="8" t="s">
        <v>1400</v>
      </c>
      <c r="T252" s="8">
        <v>198.44</v>
      </c>
    </row>
    <row r="253" spans="1:20" x14ac:dyDescent="0.2">
      <c r="A253" s="8" t="s">
        <v>2997</v>
      </c>
      <c r="B253" s="8" t="str">
        <f t="shared" si="6"/>
        <v>1586243820</v>
      </c>
      <c r="C253" s="8" t="str">
        <f t="shared" si="7"/>
        <v>288</v>
      </c>
      <c r="D253" s="8" t="s">
        <v>119</v>
      </c>
      <c r="F253" s="8" t="s">
        <v>128</v>
      </c>
      <c r="G253" s="8" t="s">
        <v>346</v>
      </c>
      <c r="H253" s="8" t="s">
        <v>347</v>
      </c>
      <c r="I253" s="8" t="s">
        <v>1454</v>
      </c>
      <c r="J253" s="8" t="s">
        <v>1455</v>
      </c>
      <c r="K253" s="8" t="s">
        <v>176</v>
      </c>
      <c r="L253" s="8" t="s">
        <v>1456</v>
      </c>
      <c r="M253" s="8" t="s">
        <v>2785</v>
      </c>
      <c r="N253" s="8" t="s">
        <v>346</v>
      </c>
      <c r="O253" s="8">
        <v>1079.26</v>
      </c>
      <c r="P253" s="8">
        <v>1199.18</v>
      </c>
      <c r="Q253" s="8" t="s">
        <v>2530</v>
      </c>
      <c r="R253" s="8" t="s">
        <v>2232</v>
      </c>
    </row>
    <row r="254" spans="1:20" x14ac:dyDescent="0.2">
      <c r="A254" s="8" t="s">
        <v>4467</v>
      </c>
      <c r="B254" s="8" t="str">
        <f t="shared" si="6"/>
        <v>1586243820</v>
      </c>
      <c r="C254" s="8" t="str">
        <f t="shared" si="7"/>
        <v>289</v>
      </c>
      <c r="D254" s="8" t="s">
        <v>119</v>
      </c>
      <c r="F254" s="8" t="s">
        <v>128</v>
      </c>
      <c r="G254" s="8" t="s">
        <v>346</v>
      </c>
      <c r="H254" s="8" t="s">
        <v>347</v>
      </c>
      <c r="I254" s="8" t="s">
        <v>1454</v>
      </c>
      <c r="J254" s="8" t="s">
        <v>1455</v>
      </c>
      <c r="K254" s="8" t="s">
        <v>176</v>
      </c>
      <c r="L254" s="8" t="s">
        <v>1456</v>
      </c>
      <c r="M254" s="8" t="s">
        <v>2785</v>
      </c>
      <c r="N254" s="8" t="s">
        <v>346</v>
      </c>
      <c r="O254" s="8">
        <v>1079.26</v>
      </c>
      <c r="P254" s="8">
        <v>1199.18</v>
      </c>
      <c r="Q254" s="8" t="s">
        <v>2530</v>
      </c>
      <c r="R254" s="8" t="s">
        <v>1592</v>
      </c>
    </row>
    <row r="255" spans="1:20" x14ac:dyDescent="0.2">
      <c r="A255" s="8" t="s">
        <v>4181</v>
      </c>
      <c r="B255" s="8" t="str">
        <f t="shared" si="6"/>
        <v>1586243820</v>
      </c>
      <c r="C255" s="8" t="str">
        <f t="shared" si="7"/>
        <v>290</v>
      </c>
      <c r="D255" s="8" t="s">
        <v>119</v>
      </c>
      <c r="F255" s="8" t="s">
        <v>128</v>
      </c>
      <c r="G255" s="8" t="s">
        <v>346</v>
      </c>
      <c r="H255" s="8" t="s">
        <v>347</v>
      </c>
      <c r="I255" s="8" t="s">
        <v>1454</v>
      </c>
      <c r="J255" s="8" t="s">
        <v>1455</v>
      </c>
      <c r="K255" s="8" t="s">
        <v>176</v>
      </c>
      <c r="L255" s="8" t="s">
        <v>1456</v>
      </c>
      <c r="M255" s="8" t="s">
        <v>2785</v>
      </c>
      <c r="N255" s="8" t="s">
        <v>346</v>
      </c>
      <c r="O255" s="8">
        <v>1079.26</v>
      </c>
      <c r="P255" s="8">
        <v>1199.18</v>
      </c>
      <c r="Q255" s="8" t="s">
        <v>2530</v>
      </c>
      <c r="S255" s="8" t="s">
        <v>184</v>
      </c>
      <c r="T255" s="8">
        <v>246.39</v>
      </c>
    </row>
    <row r="256" spans="1:20" x14ac:dyDescent="0.2">
      <c r="A256" s="8" t="s">
        <v>3563</v>
      </c>
      <c r="B256" s="8" t="str">
        <f t="shared" si="6"/>
        <v>1586243820</v>
      </c>
      <c r="C256" s="8" t="str">
        <f t="shared" si="7"/>
        <v>291</v>
      </c>
      <c r="D256" s="8" t="s">
        <v>119</v>
      </c>
      <c r="F256" s="8" t="s">
        <v>128</v>
      </c>
      <c r="G256" s="8" t="s">
        <v>346</v>
      </c>
      <c r="H256" s="8" t="s">
        <v>347</v>
      </c>
      <c r="I256" s="8" t="s">
        <v>1454</v>
      </c>
      <c r="J256" s="8" t="s">
        <v>1455</v>
      </c>
      <c r="K256" s="8" t="s">
        <v>176</v>
      </c>
      <c r="L256" s="8" t="s">
        <v>1456</v>
      </c>
      <c r="M256" s="8" t="s">
        <v>2785</v>
      </c>
      <c r="N256" s="8" t="s">
        <v>346</v>
      </c>
      <c r="O256" s="8">
        <v>1079.26</v>
      </c>
      <c r="P256" s="8">
        <v>1199.18</v>
      </c>
      <c r="Q256" s="8" t="s">
        <v>2530</v>
      </c>
      <c r="S256" s="8" t="s">
        <v>1457</v>
      </c>
      <c r="T256" s="8">
        <v>56.8</v>
      </c>
    </row>
    <row r="257" spans="1:20" x14ac:dyDescent="0.2">
      <c r="A257" s="8" t="s">
        <v>4115</v>
      </c>
      <c r="B257" s="8" t="str">
        <f t="shared" si="6"/>
        <v>1586243822</v>
      </c>
      <c r="C257" s="8" t="str">
        <f t="shared" si="7"/>
        <v>292</v>
      </c>
      <c r="D257" s="8" t="s">
        <v>119</v>
      </c>
      <c r="F257" s="8" t="s">
        <v>128</v>
      </c>
      <c r="G257" s="8" t="s">
        <v>346</v>
      </c>
      <c r="H257" s="8" t="s">
        <v>347</v>
      </c>
      <c r="I257" s="8" t="s">
        <v>131</v>
      </c>
      <c r="J257" s="8" t="s">
        <v>1564</v>
      </c>
      <c r="K257" s="8" t="s">
        <v>1059</v>
      </c>
      <c r="L257" s="8" t="s">
        <v>838</v>
      </c>
      <c r="M257" s="8" t="s">
        <v>2785</v>
      </c>
      <c r="N257" s="8" t="s">
        <v>346</v>
      </c>
      <c r="O257" s="8">
        <v>691.23</v>
      </c>
      <c r="P257" s="8">
        <v>768.03</v>
      </c>
      <c r="Q257" s="8" t="s">
        <v>2531</v>
      </c>
      <c r="R257" s="8" t="s">
        <v>2101</v>
      </c>
    </row>
    <row r="258" spans="1:20" x14ac:dyDescent="0.2">
      <c r="A258" s="8" t="s">
        <v>3229</v>
      </c>
      <c r="B258" s="8" t="str">
        <f t="shared" ref="B258:B321" si="8">LEFT(A258, FIND("-", A258) - 1)</f>
        <v>1586243822</v>
      </c>
      <c r="C258" s="8" t="str">
        <f t="shared" ref="C258:C321" si="9">RIGHT(A258, LEN(A258) - FIND("-", A258))</f>
        <v>293</v>
      </c>
      <c r="D258" s="8" t="s">
        <v>119</v>
      </c>
      <c r="F258" s="8" t="s">
        <v>128</v>
      </c>
      <c r="G258" s="8" t="s">
        <v>346</v>
      </c>
      <c r="H258" s="8" t="s">
        <v>347</v>
      </c>
      <c r="I258" s="8" t="s">
        <v>131</v>
      </c>
      <c r="J258" s="8" t="s">
        <v>1564</v>
      </c>
      <c r="K258" s="8" t="s">
        <v>1059</v>
      </c>
      <c r="L258" s="8" t="s">
        <v>838</v>
      </c>
      <c r="M258" s="8" t="s">
        <v>2785</v>
      </c>
      <c r="N258" s="8" t="s">
        <v>346</v>
      </c>
      <c r="O258" s="8">
        <v>691.23</v>
      </c>
      <c r="P258" s="8">
        <v>768.03</v>
      </c>
      <c r="Q258" s="8" t="s">
        <v>2531</v>
      </c>
      <c r="R258" s="8" t="s">
        <v>1879</v>
      </c>
    </row>
    <row r="259" spans="1:20" x14ac:dyDescent="0.2">
      <c r="A259" s="8" t="s">
        <v>4440</v>
      </c>
      <c r="B259" s="8" t="str">
        <f t="shared" si="8"/>
        <v>1586243822</v>
      </c>
      <c r="C259" s="8" t="str">
        <f t="shared" si="9"/>
        <v>294</v>
      </c>
      <c r="D259" s="8" t="s">
        <v>119</v>
      </c>
      <c r="F259" s="8" t="s">
        <v>128</v>
      </c>
      <c r="G259" s="8" t="s">
        <v>346</v>
      </c>
      <c r="H259" s="8" t="s">
        <v>347</v>
      </c>
      <c r="I259" s="8" t="s">
        <v>131</v>
      </c>
      <c r="J259" s="8" t="s">
        <v>1564</v>
      </c>
      <c r="K259" s="8" t="s">
        <v>1059</v>
      </c>
      <c r="L259" s="8" t="s">
        <v>838</v>
      </c>
      <c r="M259" s="8" t="s">
        <v>2785</v>
      </c>
      <c r="N259" s="8" t="s">
        <v>346</v>
      </c>
      <c r="O259" s="8">
        <v>691.23</v>
      </c>
      <c r="P259" s="8">
        <v>768.03</v>
      </c>
      <c r="Q259" s="8" t="s">
        <v>2531</v>
      </c>
      <c r="R259" s="8" t="s">
        <v>2194</v>
      </c>
    </row>
    <row r="260" spans="1:20" x14ac:dyDescent="0.2">
      <c r="A260" s="8" t="s">
        <v>3907</v>
      </c>
      <c r="B260" s="8" t="str">
        <f t="shared" si="8"/>
        <v>1586243822</v>
      </c>
      <c r="C260" s="8" t="str">
        <f t="shared" si="9"/>
        <v>295</v>
      </c>
      <c r="D260" s="8" t="s">
        <v>119</v>
      </c>
      <c r="F260" s="8" t="s">
        <v>128</v>
      </c>
      <c r="G260" s="8" t="s">
        <v>346</v>
      </c>
      <c r="H260" s="8" t="s">
        <v>347</v>
      </c>
      <c r="I260" s="8" t="s">
        <v>131</v>
      </c>
      <c r="J260" s="8" t="s">
        <v>1564</v>
      </c>
      <c r="K260" s="8" t="s">
        <v>1059</v>
      </c>
      <c r="L260" s="8" t="s">
        <v>838</v>
      </c>
      <c r="M260" s="8" t="s">
        <v>2785</v>
      </c>
      <c r="N260" s="8" t="s">
        <v>346</v>
      </c>
      <c r="O260" s="8">
        <v>691.23</v>
      </c>
      <c r="P260" s="8">
        <v>768.03</v>
      </c>
      <c r="Q260" s="8" t="s">
        <v>2531</v>
      </c>
      <c r="R260" s="8" t="s">
        <v>1565</v>
      </c>
    </row>
    <row r="261" spans="1:20" x14ac:dyDescent="0.2">
      <c r="A261" s="8" t="s">
        <v>4720</v>
      </c>
      <c r="B261" s="8" t="str">
        <f t="shared" si="8"/>
        <v>1586243822</v>
      </c>
      <c r="C261" s="8" t="str">
        <f t="shared" si="9"/>
        <v>296</v>
      </c>
      <c r="D261" s="8" t="s">
        <v>119</v>
      </c>
      <c r="F261" s="8" t="s">
        <v>128</v>
      </c>
      <c r="G261" s="8" t="s">
        <v>346</v>
      </c>
      <c r="H261" s="8" t="s">
        <v>347</v>
      </c>
      <c r="I261" s="8" t="s">
        <v>131</v>
      </c>
      <c r="J261" s="8" t="s">
        <v>1564</v>
      </c>
      <c r="K261" s="8" t="s">
        <v>1059</v>
      </c>
      <c r="L261" s="8" t="s">
        <v>838</v>
      </c>
      <c r="M261" s="8" t="s">
        <v>2785</v>
      </c>
      <c r="N261" s="8" t="s">
        <v>346</v>
      </c>
      <c r="O261" s="8">
        <v>691.23</v>
      </c>
      <c r="P261" s="8">
        <v>768.03</v>
      </c>
      <c r="Q261" s="8" t="s">
        <v>2531</v>
      </c>
      <c r="R261" s="8" t="s">
        <v>1827</v>
      </c>
    </row>
    <row r="262" spans="1:20" x14ac:dyDescent="0.2">
      <c r="A262" s="8" t="s">
        <v>3505</v>
      </c>
      <c r="B262" s="8" t="str">
        <f t="shared" si="8"/>
        <v>1586243822</v>
      </c>
      <c r="C262" s="8" t="str">
        <f t="shared" si="9"/>
        <v>297</v>
      </c>
      <c r="D262" s="8" t="s">
        <v>119</v>
      </c>
      <c r="F262" s="8" t="s">
        <v>128</v>
      </c>
      <c r="G262" s="8" t="s">
        <v>346</v>
      </c>
      <c r="H262" s="8" t="s">
        <v>347</v>
      </c>
      <c r="I262" s="8" t="s">
        <v>131</v>
      </c>
      <c r="J262" s="8" t="s">
        <v>1564</v>
      </c>
      <c r="K262" s="8" t="s">
        <v>1059</v>
      </c>
      <c r="L262" s="8" t="s">
        <v>838</v>
      </c>
      <c r="M262" s="8" t="s">
        <v>2785</v>
      </c>
      <c r="N262" s="8" t="s">
        <v>346</v>
      </c>
      <c r="O262" s="8">
        <v>691.23</v>
      </c>
      <c r="P262" s="8">
        <v>768.03</v>
      </c>
      <c r="Q262" s="8" t="s">
        <v>2531</v>
      </c>
      <c r="S262" s="8" t="s">
        <v>393</v>
      </c>
      <c r="T262" s="8">
        <v>169.67</v>
      </c>
    </row>
    <row r="263" spans="1:20" x14ac:dyDescent="0.2">
      <c r="A263" s="8" t="s">
        <v>4500</v>
      </c>
      <c r="B263" s="8" t="str">
        <f t="shared" si="8"/>
        <v>1586243822</v>
      </c>
      <c r="C263" s="8" t="str">
        <f t="shared" si="9"/>
        <v>298</v>
      </c>
      <c r="D263" s="8" t="s">
        <v>119</v>
      </c>
      <c r="F263" s="8" t="s">
        <v>128</v>
      </c>
      <c r="G263" s="8" t="s">
        <v>346</v>
      </c>
      <c r="H263" s="8" t="s">
        <v>347</v>
      </c>
      <c r="I263" s="8" t="s">
        <v>131</v>
      </c>
      <c r="J263" s="8" t="s">
        <v>1564</v>
      </c>
      <c r="K263" s="8" t="s">
        <v>1059</v>
      </c>
      <c r="L263" s="8" t="s">
        <v>838</v>
      </c>
      <c r="M263" s="8" t="s">
        <v>2785</v>
      </c>
      <c r="N263" s="8" t="s">
        <v>346</v>
      </c>
      <c r="O263" s="8">
        <v>691.23</v>
      </c>
      <c r="P263" s="8">
        <v>768.03</v>
      </c>
      <c r="Q263" s="8" t="s">
        <v>2531</v>
      </c>
      <c r="S263" s="8" t="s">
        <v>420</v>
      </c>
      <c r="T263" s="8">
        <v>96.64</v>
      </c>
    </row>
    <row r="264" spans="1:20" x14ac:dyDescent="0.2">
      <c r="A264" s="8" t="s">
        <v>2874</v>
      </c>
      <c r="B264" s="8" t="str">
        <f t="shared" si="8"/>
        <v>1586243824</v>
      </c>
      <c r="C264" s="8" t="str">
        <f t="shared" si="9"/>
        <v>299</v>
      </c>
      <c r="D264" s="8" t="s">
        <v>119</v>
      </c>
      <c r="F264" s="8" t="s">
        <v>128</v>
      </c>
      <c r="G264" s="8" t="s">
        <v>346</v>
      </c>
      <c r="H264" s="8" t="s">
        <v>347</v>
      </c>
      <c r="I264" s="8" t="s">
        <v>193</v>
      </c>
      <c r="J264" s="8" t="s">
        <v>1058</v>
      </c>
      <c r="K264" s="8" t="s">
        <v>1059</v>
      </c>
      <c r="L264" s="8" t="s">
        <v>291</v>
      </c>
      <c r="M264" s="8" t="s">
        <v>2785</v>
      </c>
      <c r="N264" s="8" t="s">
        <v>346</v>
      </c>
      <c r="O264" s="8">
        <v>691.23</v>
      </c>
      <c r="P264" s="8">
        <v>768.03</v>
      </c>
      <c r="Q264" s="8" t="s">
        <v>2531</v>
      </c>
      <c r="R264" s="8" t="s">
        <v>2478</v>
      </c>
    </row>
    <row r="265" spans="1:20" x14ac:dyDescent="0.2">
      <c r="A265" s="8" t="s">
        <v>2842</v>
      </c>
      <c r="B265" s="8" t="str">
        <f t="shared" si="8"/>
        <v>1586243824</v>
      </c>
      <c r="C265" s="8" t="str">
        <f t="shared" si="9"/>
        <v>300</v>
      </c>
      <c r="D265" s="8" t="s">
        <v>119</v>
      </c>
      <c r="F265" s="8" t="s">
        <v>128</v>
      </c>
      <c r="G265" s="8" t="s">
        <v>346</v>
      </c>
      <c r="H265" s="8" t="s">
        <v>347</v>
      </c>
      <c r="I265" s="8" t="s">
        <v>193</v>
      </c>
      <c r="J265" s="8" t="s">
        <v>1058</v>
      </c>
      <c r="K265" s="8" t="s">
        <v>1059</v>
      </c>
      <c r="L265" s="8" t="s">
        <v>291</v>
      </c>
      <c r="M265" s="8" t="s">
        <v>2785</v>
      </c>
      <c r="N265" s="8" t="s">
        <v>346</v>
      </c>
      <c r="O265" s="8">
        <v>691.23</v>
      </c>
      <c r="P265" s="8">
        <v>768.03</v>
      </c>
      <c r="Q265" s="8" t="s">
        <v>2531</v>
      </c>
      <c r="R265" s="8" t="s">
        <v>1060</v>
      </c>
    </row>
    <row r="266" spans="1:20" x14ac:dyDescent="0.2">
      <c r="A266" s="8" t="s">
        <v>3822</v>
      </c>
      <c r="B266" s="8" t="str">
        <f t="shared" si="8"/>
        <v>1586243824</v>
      </c>
      <c r="C266" s="8" t="str">
        <f t="shared" si="9"/>
        <v>301</v>
      </c>
      <c r="D266" s="8" t="s">
        <v>119</v>
      </c>
      <c r="F266" s="8" t="s">
        <v>128</v>
      </c>
      <c r="G266" s="8" t="s">
        <v>346</v>
      </c>
      <c r="H266" s="8" t="s">
        <v>347</v>
      </c>
      <c r="I266" s="8" t="s">
        <v>193</v>
      </c>
      <c r="J266" s="8" t="s">
        <v>1058</v>
      </c>
      <c r="K266" s="8" t="s">
        <v>1059</v>
      </c>
      <c r="L266" s="8" t="s">
        <v>291</v>
      </c>
      <c r="M266" s="8" t="s">
        <v>2785</v>
      </c>
      <c r="N266" s="8" t="s">
        <v>346</v>
      </c>
      <c r="O266" s="8">
        <v>691.23</v>
      </c>
      <c r="P266" s="8">
        <v>768.03</v>
      </c>
      <c r="Q266" s="8" t="s">
        <v>2531</v>
      </c>
      <c r="R266" s="8" t="s">
        <v>2091</v>
      </c>
    </row>
    <row r="267" spans="1:20" x14ac:dyDescent="0.2">
      <c r="A267" s="8" t="s">
        <v>3333</v>
      </c>
      <c r="B267" s="8" t="str">
        <f t="shared" si="8"/>
        <v>1586243824</v>
      </c>
      <c r="C267" s="8" t="str">
        <f t="shared" si="9"/>
        <v>302</v>
      </c>
      <c r="D267" s="8" t="s">
        <v>119</v>
      </c>
      <c r="F267" s="8" t="s">
        <v>128</v>
      </c>
      <c r="G267" s="8" t="s">
        <v>346</v>
      </c>
      <c r="H267" s="8" t="s">
        <v>347</v>
      </c>
      <c r="I267" s="8" t="s">
        <v>193</v>
      </c>
      <c r="J267" s="8" t="s">
        <v>1058</v>
      </c>
      <c r="K267" s="8" t="s">
        <v>1059</v>
      </c>
      <c r="L267" s="8" t="s">
        <v>291</v>
      </c>
      <c r="M267" s="8" t="s">
        <v>2785</v>
      </c>
      <c r="N267" s="8" t="s">
        <v>346</v>
      </c>
      <c r="O267" s="8">
        <v>691.23</v>
      </c>
      <c r="P267" s="8">
        <v>768.03</v>
      </c>
      <c r="Q267" s="8" t="s">
        <v>2531</v>
      </c>
      <c r="R267" s="8" t="s">
        <v>2270</v>
      </c>
    </row>
    <row r="268" spans="1:20" x14ac:dyDescent="0.2">
      <c r="A268" s="8" t="s">
        <v>3773</v>
      </c>
      <c r="B268" s="8" t="str">
        <f t="shared" si="8"/>
        <v>1586243824</v>
      </c>
      <c r="C268" s="8" t="str">
        <f t="shared" si="9"/>
        <v>303</v>
      </c>
      <c r="D268" s="8" t="s">
        <v>119</v>
      </c>
      <c r="F268" s="8" t="s">
        <v>128</v>
      </c>
      <c r="G268" s="8" t="s">
        <v>346</v>
      </c>
      <c r="H268" s="8" t="s">
        <v>347</v>
      </c>
      <c r="I268" s="8" t="s">
        <v>193</v>
      </c>
      <c r="J268" s="8" t="s">
        <v>1058</v>
      </c>
      <c r="K268" s="8" t="s">
        <v>1059</v>
      </c>
      <c r="L268" s="8" t="s">
        <v>291</v>
      </c>
      <c r="M268" s="8" t="s">
        <v>2785</v>
      </c>
      <c r="N268" s="8" t="s">
        <v>346</v>
      </c>
      <c r="O268" s="8">
        <v>691.23</v>
      </c>
      <c r="P268" s="8">
        <v>768.03</v>
      </c>
      <c r="Q268" s="8" t="s">
        <v>2531</v>
      </c>
      <c r="R268" s="8" t="s">
        <v>2361</v>
      </c>
    </row>
    <row r="269" spans="1:20" x14ac:dyDescent="0.2">
      <c r="A269" s="8" t="s">
        <v>4514</v>
      </c>
      <c r="B269" s="8" t="str">
        <f t="shared" si="8"/>
        <v>1586243824</v>
      </c>
      <c r="C269" s="8" t="str">
        <f t="shared" si="9"/>
        <v>304</v>
      </c>
      <c r="D269" s="8" t="s">
        <v>119</v>
      </c>
      <c r="F269" s="8" t="s">
        <v>128</v>
      </c>
      <c r="G269" s="8" t="s">
        <v>346</v>
      </c>
      <c r="H269" s="8" t="s">
        <v>347</v>
      </c>
      <c r="I269" s="8" t="s">
        <v>193</v>
      </c>
      <c r="J269" s="8" t="s">
        <v>1058</v>
      </c>
      <c r="K269" s="8" t="s">
        <v>1059</v>
      </c>
      <c r="L269" s="8" t="s">
        <v>291</v>
      </c>
      <c r="M269" s="8" t="s">
        <v>2785</v>
      </c>
      <c r="N269" s="8" t="s">
        <v>346</v>
      </c>
      <c r="O269" s="8">
        <v>691.23</v>
      </c>
      <c r="P269" s="8">
        <v>768.03</v>
      </c>
      <c r="Q269" s="8" t="s">
        <v>2531</v>
      </c>
      <c r="S269" s="8" t="s">
        <v>184</v>
      </c>
      <c r="T269" s="8">
        <v>169.67</v>
      </c>
    </row>
    <row r="270" spans="1:20" x14ac:dyDescent="0.2">
      <c r="A270" s="8" t="s">
        <v>3681</v>
      </c>
      <c r="B270" s="8" t="str">
        <f t="shared" si="8"/>
        <v>1586243824</v>
      </c>
      <c r="C270" s="8" t="str">
        <f t="shared" si="9"/>
        <v>305</v>
      </c>
      <c r="D270" s="8" t="s">
        <v>119</v>
      </c>
      <c r="F270" s="8" t="s">
        <v>128</v>
      </c>
      <c r="G270" s="8" t="s">
        <v>346</v>
      </c>
      <c r="H270" s="8" t="s">
        <v>347</v>
      </c>
      <c r="I270" s="8" t="s">
        <v>193</v>
      </c>
      <c r="J270" s="8" t="s">
        <v>1058</v>
      </c>
      <c r="K270" s="8" t="s">
        <v>1059</v>
      </c>
      <c r="L270" s="8" t="s">
        <v>291</v>
      </c>
      <c r="M270" s="8" t="s">
        <v>2785</v>
      </c>
      <c r="N270" s="8" t="s">
        <v>346</v>
      </c>
      <c r="O270" s="8">
        <v>691.23</v>
      </c>
      <c r="P270" s="8">
        <v>768.03</v>
      </c>
      <c r="Q270" s="8" t="s">
        <v>2531</v>
      </c>
      <c r="S270" s="8" t="s">
        <v>420</v>
      </c>
      <c r="T270" s="8">
        <v>96.64</v>
      </c>
    </row>
    <row r="271" spans="1:20" x14ac:dyDescent="0.2">
      <c r="A271" s="8" t="s">
        <v>3067</v>
      </c>
      <c r="B271" s="8" t="str">
        <f t="shared" si="8"/>
        <v>1586243826</v>
      </c>
      <c r="C271" s="8" t="str">
        <f t="shared" si="9"/>
        <v>306</v>
      </c>
      <c r="D271" s="8" t="s">
        <v>119</v>
      </c>
      <c r="F271" s="8" t="s">
        <v>128</v>
      </c>
      <c r="G271" s="8" t="s">
        <v>346</v>
      </c>
      <c r="H271" s="8" t="s">
        <v>347</v>
      </c>
      <c r="I271" s="8" t="s">
        <v>193</v>
      </c>
      <c r="J271" s="8" t="s">
        <v>1356</v>
      </c>
      <c r="K271" s="8" t="s">
        <v>133</v>
      </c>
      <c r="L271" s="8" t="s">
        <v>282</v>
      </c>
      <c r="M271" s="8" t="s">
        <v>2785</v>
      </c>
      <c r="N271" s="8" t="s">
        <v>346</v>
      </c>
      <c r="O271" s="8">
        <v>712.62</v>
      </c>
      <c r="P271" s="8">
        <v>791.8</v>
      </c>
      <c r="Q271" s="8" t="s">
        <v>2532</v>
      </c>
      <c r="R271" s="8" t="s">
        <v>1357</v>
      </c>
    </row>
    <row r="272" spans="1:20" x14ac:dyDescent="0.2">
      <c r="A272" s="8" t="s">
        <v>4128</v>
      </c>
      <c r="B272" s="8" t="str">
        <f t="shared" si="8"/>
        <v>1586243826</v>
      </c>
      <c r="C272" s="8" t="str">
        <f t="shared" si="9"/>
        <v>307</v>
      </c>
      <c r="D272" s="8" t="s">
        <v>119</v>
      </c>
      <c r="F272" s="8" t="s">
        <v>128</v>
      </c>
      <c r="G272" s="8" t="s">
        <v>346</v>
      </c>
      <c r="H272" s="8" t="s">
        <v>347</v>
      </c>
      <c r="I272" s="8" t="s">
        <v>193</v>
      </c>
      <c r="J272" s="8" t="s">
        <v>1356</v>
      </c>
      <c r="K272" s="8" t="s">
        <v>133</v>
      </c>
      <c r="L272" s="8" t="s">
        <v>282</v>
      </c>
      <c r="M272" s="8" t="s">
        <v>2785</v>
      </c>
      <c r="N272" s="8" t="s">
        <v>346</v>
      </c>
      <c r="O272" s="8">
        <v>712.62</v>
      </c>
      <c r="P272" s="8">
        <v>791.8</v>
      </c>
      <c r="Q272" s="8" t="s">
        <v>2532</v>
      </c>
      <c r="R272" s="8" t="s">
        <v>1670</v>
      </c>
    </row>
    <row r="273" spans="1:20" x14ac:dyDescent="0.2">
      <c r="A273" s="8" t="s">
        <v>4714</v>
      </c>
      <c r="B273" s="8" t="str">
        <f t="shared" si="8"/>
        <v>1586243826</v>
      </c>
      <c r="C273" s="8" t="str">
        <f t="shared" si="9"/>
        <v>308</v>
      </c>
      <c r="D273" s="8" t="s">
        <v>119</v>
      </c>
      <c r="F273" s="8" t="s">
        <v>128</v>
      </c>
      <c r="G273" s="8" t="s">
        <v>346</v>
      </c>
      <c r="H273" s="8" t="s">
        <v>347</v>
      </c>
      <c r="I273" s="8" t="s">
        <v>193</v>
      </c>
      <c r="J273" s="8" t="s">
        <v>1356</v>
      </c>
      <c r="K273" s="8" t="s">
        <v>133</v>
      </c>
      <c r="L273" s="8" t="s">
        <v>282</v>
      </c>
      <c r="M273" s="8" t="s">
        <v>2785</v>
      </c>
      <c r="N273" s="8" t="s">
        <v>346</v>
      </c>
      <c r="O273" s="8">
        <v>712.62</v>
      </c>
      <c r="P273" s="8">
        <v>791.8</v>
      </c>
      <c r="Q273" s="8" t="s">
        <v>2532</v>
      </c>
      <c r="S273" s="8" t="s">
        <v>845</v>
      </c>
      <c r="T273" s="8">
        <v>202.87</v>
      </c>
    </row>
    <row r="274" spans="1:20" x14ac:dyDescent="0.2">
      <c r="A274" s="8" t="s">
        <v>4367</v>
      </c>
      <c r="B274" s="8" t="str">
        <f t="shared" si="8"/>
        <v>1586243826</v>
      </c>
      <c r="C274" s="8" t="str">
        <f t="shared" si="9"/>
        <v>309</v>
      </c>
      <c r="D274" s="8" t="s">
        <v>119</v>
      </c>
      <c r="F274" s="8" t="s">
        <v>128</v>
      </c>
      <c r="G274" s="8" t="s">
        <v>346</v>
      </c>
      <c r="H274" s="8" t="s">
        <v>347</v>
      </c>
      <c r="I274" s="8" t="s">
        <v>193</v>
      </c>
      <c r="J274" s="8" t="s">
        <v>1356</v>
      </c>
      <c r="K274" s="8" t="s">
        <v>133</v>
      </c>
      <c r="L274" s="8" t="s">
        <v>282</v>
      </c>
      <c r="M274" s="8" t="s">
        <v>2785</v>
      </c>
      <c r="N274" s="8" t="s">
        <v>346</v>
      </c>
      <c r="O274" s="8">
        <v>712.62</v>
      </c>
      <c r="P274" s="8">
        <v>791.8</v>
      </c>
      <c r="Q274" s="8" t="s">
        <v>2532</v>
      </c>
      <c r="S274" s="8" t="s">
        <v>184</v>
      </c>
      <c r="T274" s="8">
        <v>169.67</v>
      </c>
    </row>
    <row r="275" spans="1:20" x14ac:dyDescent="0.2">
      <c r="A275" s="8" t="s">
        <v>3596</v>
      </c>
      <c r="B275" s="8" t="str">
        <f t="shared" si="8"/>
        <v>1586243828</v>
      </c>
      <c r="C275" s="8" t="str">
        <f t="shared" si="9"/>
        <v>310</v>
      </c>
      <c r="D275" s="8" t="s">
        <v>119</v>
      </c>
      <c r="F275" s="8" t="s">
        <v>128</v>
      </c>
      <c r="G275" s="8" t="s">
        <v>346</v>
      </c>
      <c r="H275" s="8" t="s">
        <v>347</v>
      </c>
      <c r="I275" s="8" t="s">
        <v>131</v>
      </c>
      <c r="J275" s="8" t="s">
        <v>856</v>
      </c>
      <c r="K275" s="8" t="s">
        <v>133</v>
      </c>
      <c r="L275" s="8" t="s">
        <v>134</v>
      </c>
      <c r="M275" s="8" t="s">
        <v>2785</v>
      </c>
      <c r="N275" s="8" t="s">
        <v>346</v>
      </c>
      <c r="O275" s="8">
        <v>712.62</v>
      </c>
      <c r="P275" s="8">
        <v>791.8</v>
      </c>
      <c r="Q275" s="8" t="s">
        <v>2532</v>
      </c>
      <c r="R275" s="8" t="s">
        <v>2241</v>
      </c>
    </row>
    <row r="276" spans="1:20" x14ac:dyDescent="0.2">
      <c r="A276" s="8" t="s">
        <v>2824</v>
      </c>
      <c r="B276" s="8" t="str">
        <f t="shared" si="8"/>
        <v>1586243828</v>
      </c>
      <c r="C276" s="8" t="str">
        <f t="shared" si="9"/>
        <v>311</v>
      </c>
      <c r="D276" s="8" t="s">
        <v>119</v>
      </c>
      <c r="F276" s="8" t="s">
        <v>128</v>
      </c>
      <c r="G276" s="8" t="s">
        <v>346</v>
      </c>
      <c r="H276" s="8" t="s">
        <v>347</v>
      </c>
      <c r="I276" s="8" t="s">
        <v>131</v>
      </c>
      <c r="J276" s="8" t="s">
        <v>856</v>
      </c>
      <c r="K276" s="8" t="s">
        <v>133</v>
      </c>
      <c r="L276" s="8" t="s">
        <v>134</v>
      </c>
      <c r="M276" s="8" t="s">
        <v>2785</v>
      </c>
      <c r="N276" s="8" t="s">
        <v>346</v>
      </c>
      <c r="O276" s="8">
        <v>712.62</v>
      </c>
      <c r="P276" s="8">
        <v>791.8</v>
      </c>
      <c r="Q276" s="8" t="s">
        <v>2532</v>
      </c>
      <c r="R276" s="8" t="s">
        <v>2220</v>
      </c>
    </row>
    <row r="277" spans="1:20" x14ac:dyDescent="0.2">
      <c r="A277" s="8" t="s">
        <v>2947</v>
      </c>
      <c r="B277" s="8" t="str">
        <f t="shared" si="8"/>
        <v>1586243828</v>
      </c>
      <c r="C277" s="8" t="str">
        <f t="shared" si="9"/>
        <v>312</v>
      </c>
      <c r="D277" s="8" t="s">
        <v>119</v>
      </c>
      <c r="F277" s="8" t="s">
        <v>128</v>
      </c>
      <c r="G277" s="8" t="s">
        <v>346</v>
      </c>
      <c r="H277" s="8" t="s">
        <v>347</v>
      </c>
      <c r="I277" s="8" t="s">
        <v>131</v>
      </c>
      <c r="J277" s="8" t="s">
        <v>856</v>
      </c>
      <c r="K277" s="8" t="s">
        <v>133</v>
      </c>
      <c r="L277" s="8" t="s">
        <v>134</v>
      </c>
      <c r="M277" s="8" t="s">
        <v>2785</v>
      </c>
      <c r="N277" s="8" t="s">
        <v>346</v>
      </c>
      <c r="O277" s="8">
        <v>712.62</v>
      </c>
      <c r="P277" s="8">
        <v>791.8</v>
      </c>
      <c r="Q277" s="8" t="s">
        <v>2532</v>
      </c>
      <c r="S277" s="8" t="s">
        <v>1078</v>
      </c>
      <c r="T277" s="8">
        <v>77.459999999999994</v>
      </c>
    </row>
    <row r="278" spans="1:20" x14ac:dyDescent="0.2">
      <c r="A278" s="8" t="s">
        <v>3797</v>
      </c>
      <c r="B278" s="8" t="str">
        <f t="shared" si="8"/>
        <v>1586243828</v>
      </c>
      <c r="C278" s="8" t="str">
        <f t="shared" si="9"/>
        <v>313</v>
      </c>
      <c r="D278" s="8" t="s">
        <v>119</v>
      </c>
      <c r="F278" s="8" t="s">
        <v>128</v>
      </c>
      <c r="G278" s="8" t="s">
        <v>346</v>
      </c>
      <c r="H278" s="8" t="s">
        <v>347</v>
      </c>
      <c r="I278" s="8" t="s">
        <v>131</v>
      </c>
      <c r="J278" s="8" t="s">
        <v>856</v>
      </c>
      <c r="K278" s="8" t="s">
        <v>133</v>
      </c>
      <c r="L278" s="8" t="s">
        <v>134</v>
      </c>
      <c r="M278" s="8" t="s">
        <v>2785</v>
      </c>
      <c r="N278" s="8" t="s">
        <v>346</v>
      </c>
      <c r="O278" s="8">
        <v>712.62</v>
      </c>
      <c r="P278" s="8">
        <v>791.8</v>
      </c>
      <c r="Q278" s="8" t="s">
        <v>2532</v>
      </c>
      <c r="S278" s="8" t="s">
        <v>393</v>
      </c>
      <c r="T278" s="8">
        <v>169.67</v>
      </c>
    </row>
    <row r="279" spans="1:20" x14ac:dyDescent="0.2">
      <c r="A279" s="8" t="s">
        <v>4573</v>
      </c>
      <c r="B279" s="8" t="str">
        <f t="shared" si="8"/>
        <v>1586243828</v>
      </c>
      <c r="C279" s="8" t="str">
        <f t="shared" si="9"/>
        <v>314</v>
      </c>
      <c r="D279" s="8" t="s">
        <v>119</v>
      </c>
      <c r="F279" s="8" t="s">
        <v>128</v>
      </c>
      <c r="G279" s="8" t="s">
        <v>346</v>
      </c>
      <c r="H279" s="8" t="s">
        <v>347</v>
      </c>
      <c r="I279" s="8" t="s">
        <v>131</v>
      </c>
      <c r="J279" s="8" t="s">
        <v>856</v>
      </c>
      <c r="K279" s="8" t="s">
        <v>133</v>
      </c>
      <c r="L279" s="8" t="s">
        <v>134</v>
      </c>
      <c r="M279" s="8" t="s">
        <v>2785</v>
      </c>
      <c r="N279" s="8" t="s">
        <v>346</v>
      </c>
      <c r="O279" s="8">
        <v>712.62</v>
      </c>
      <c r="P279" s="8">
        <v>791.8</v>
      </c>
      <c r="Q279" s="8" t="s">
        <v>2532</v>
      </c>
      <c r="S279" s="8" t="s">
        <v>420</v>
      </c>
      <c r="T279" s="8">
        <v>96.64</v>
      </c>
    </row>
    <row r="280" spans="1:20" x14ac:dyDescent="0.2">
      <c r="A280" s="8" t="s">
        <v>3028</v>
      </c>
      <c r="B280" s="8" t="str">
        <f t="shared" si="8"/>
        <v>1586243830</v>
      </c>
      <c r="C280" s="8" t="str">
        <f t="shared" si="9"/>
        <v>315</v>
      </c>
      <c r="D280" s="8" t="s">
        <v>119</v>
      </c>
      <c r="F280" s="8" t="s">
        <v>128</v>
      </c>
      <c r="G280" s="8" t="s">
        <v>346</v>
      </c>
      <c r="H280" s="8" t="s">
        <v>347</v>
      </c>
      <c r="I280" s="8" t="s">
        <v>131</v>
      </c>
      <c r="J280" s="8" t="s">
        <v>348</v>
      </c>
      <c r="K280" s="8" t="s">
        <v>349</v>
      </c>
      <c r="L280" s="8" t="s">
        <v>350</v>
      </c>
      <c r="M280" s="8" t="s">
        <v>2785</v>
      </c>
      <c r="N280" s="8" t="s">
        <v>129</v>
      </c>
      <c r="O280" s="8">
        <v>770.16</v>
      </c>
      <c r="P280" s="8">
        <v>855.74</v>
      </c>
      <c r="Q280" s="8" t="s">
        <v>2533</v>
      </c>
      <c r="R280" s="8" t="s">
        <v>2276</v>
      </c>
    </row>
    <row r="281" spans="1:20" x14ac:dyDescent="0.2">
      <c r="A281" s="8" t="s">
        <v>4066</v>
      </c>
      <c r="B281" s="8" t="str">
        <f t="shared" si="8"/>
        <v>1586243830</v>
      </c>
      <c r="C281" s="8" t="str">
        <f t="shared" si="9"/>
        <v>316</v>
      </c>
      <c r="D281" s="8" t="s">
        <v>119</v>
      </c>
      <c r="F281" s="8" t="s">
        <v>128</v>
      </c>
      <c r="G281" s="8" t="s">
        <v>346</v>
      </c>
      <c r="H281" s="8" t="s">
        <v>347</v>
      </c>
      <c r="I281" s="8" t="s">
        <v>131</v>
      </c>
      <c r="J281" s="8" t="s">
        <v>348</v>
      </c>
      <c r="K281" s="8" t="s">
        <v>349</v>
      </c>
      <c r="L281" s="8" t="s">
        <v>350</v>
      </c>
      <c r="M281" s="8" t="s">
        <v>2785</v>
      </c>
      <c r="N281" s="8" t="s">
        <v>129</v>
      </c>
      <c r="O281" s="8">
        <v>770.16</v>
      </c>
      <c r="P281" s="8">
        <v>855.74</v>
      </c>
      <c r="Q281" s="8" t="s">
        <v>2533</v>
      </c>
      <c r="R281" s="8" t="s">
        <v>351</v>
      </c>
    </row>
    <row r="282" spans="1:20" x14ac:dyDescent="0.2">
      <c r="A282" s="8" t="s">
        <v>4121</v>
      </c>
      <c r="B282" s="8" t="str">
        <f t="shared" si="8"/>
        <v>1586243830</v>
      </c>
      <c r="C282" s="8" t="str">
        <f t="shared" si="9"/>
        <v>317</v>
      </c>
      <c r="D282" s="8" t="s">
        <v>119</v>
      </c>
      <c r="F282" s="8" t="s">
        <v>128</v>
      </c>
      <c r="G282" s="8" t="s">
        <v>346</v>
      </c>
      <c r="H282" s="8" t="s">
        <v>347</v>
      </c>
      <c r="I282" s="8" t="s">
        <v>131</v>
      </c>
      <c r="J282" s="8" t="s">
        <v>348</v>
      </c>
      <c r="K282" s="8" t="s">
        <v>349</v>
      </c>
      <c r="L282" s="8" t="s">
        <v>350</v>
      </c>
      <c r="M282" s="8" t="s">
        <v>2785</v>
      </c>
      <c r="N282" s="8" t="s">
        <v>129</v>
      </c>
      <c r="O282" s="8">
        <v>770.16</v>
      </c>
      <c r="P282" s="8">
        <v>855.74</v>
      </c>
      <c r="Q282" s="8" t="s">
        <v>2533</v>
      </c>
      <c r="R282" s="8" t="s">
        <v>1669</v>
      </c>
    </row>
    <row r="283" spans="1:20" x14ac:dyDescent="0.2">
      <c r="A283" s="8" t="s">
        <v>2848</v>
      </c>
      <c r="B283" s="8" t="str">
        <f t="shared" si="8"/>
        <v>1586243830</v>
      </c>
      <c r="C283" s="8" t="str">
        <f t="shared" si="9"/>
        <v>318</v>
      </c>
      <c r="D283" s="8" t="s">
        <v>119</v>
      </c>
      <c r="F283" s="8" t="s">
        <v>128</v>
      </c>
      <c r="G283" s="8" t="s">
        <v>346</v>
      </c>
      <c r="H283" s="8" t="s">
        <v>347</v>
      </c>
      <c r="I283" s="8" t="s">
        <v>131</v>
      </c>
      <c r="J283" s="8" t="s">
        <v>348</v>
      </c>
      <c r="K283" s="8" t="s">
        <v>349</v>
      </c>
      <c r="L283" s="8" t="s">
        <v>350</v>
      </c>
      <c r="M283" s="8" t="s">
        <v>2785</v>
      </c>
      <c r="N283" s="8" t="s">
        <v>129</v>
      </c>
      <c r="O283" s="8">
        <v>770.16</v>
      </c>
      <c r="P283" s="8">
        <v>855.74</v>
      </c>
      <c r="Q283" s="8" t="s">
        <v>2533</v>
      </c>
      <c r="R283" s="8" t="s">
        <v>2153</v>
      </c>
    </row>
    <row r="284" spans="1:20" x14ac:dyDescent="0.2">
      <c r="A284" s="8" t="s">
        <v>4002</v>
      </c>
      <c r="B284" s="8" t="str">
        <f t="shared" si="8"/>
        <v>1586243830</v>
      </c>
      <c r="C284" s="8" t="str">
        <f t="shared" si="9"/>
        <v>319</v>
      </c>
      <c r="D284" s="8" t="s">
        <v>119</v>
      </c>
      <c r="F284" s="8" t="s">
        <v>128</v>
      </c>
      <c r="G284" s="8" t="s">
        <v>346</v>
      </c>
      <c r="H284" s="8" t="s">
        <v>347</v>
      </c>
      <c r="I284" s="8" t="s">
        <v>131</v>
      </c>
      <c r="J284" s="8" t="s">
        <v>348</v>
      </c>
      <c r="K284" s="8" t="s">
        <v>349</v>
      </c>
      <c r="L284" s="8" t="s">
        <v>350</v>
      </c>
      <c r="M284" s="8" t="s">
        <v>2785</v>
      </c>
      <c r="N284" s="8" t="s">
        <v>129</v>
      </c>
      <c r="O284" s="8">
        <v>770.16</v>
      </c>
      <c r="P284" s="8">
        <v>855.74</v>
      </c>
      <c r="Q284" s="8" t="s">
        <v>2533</v>
      </c>
      <c r="R284" s="8" t="s">
        <v>2195</v>
      </c>
    </row>
    <row r="285" spans="1:20" x14ac:dyDescent="0.2">
      <c r="A285" s="8" t="s">
        <v>3102</v>
      </c>
      <c r="B285" s="8" t="str">
        <f t="shared" si="8"/>
        <v>1586243830</v>
      </c>
      <c r="C285" s="8" t="str">
        <f t="shared" si="9"/>
        <v>320</v>
      </c>
      <c r="D285" s="8" t="s">
        <v>119</v>
      </c>
      <c r="F285" s="8" t="s">
        <v>128</v>
      </c>
      <c r="G285" s="8" t="s">
        <v>346</v>
      </c>
      <c r="H285" s="8" t="s">
        <v>347</v>
      </c>
      <c r="I285" s="8" t="s">
        <v>131</v>
      </c>
      <c r="J285" s="8" t="s">
        <v>348</v>
      </c>
      <c r="K285" s="8" t="s">
        <v>349</v>
      </c>
      <c r="L285" s="8" t="s">
        <v>350</v>
      </c>
      <c r="M285" s="8" t="s">
        <v>2785</v>
      </c>
      <c r="N285" s="8" t="s">
        <v>129</v>
      </c>
      <c r="O285" s="8">
        <v>770.16</v>
      </c>
      <c r="P285" s="8">
        <v>855.74</v>
      </c>
      <c r="Q285" s="8" t="s">
        <v>2533</v>
      </c>
      <c r="S285" s="8" t="s">
        <v>142</v>
      </c>
      <c r="T285" s="8">
        <v>77.459999999999994</v>
      </c>
    </row>
    <row r="286" spans="1:20" x14ac:dyDescent="0.2">
      <c r="A286" s="8" t="s">
        <v>3179</v>
      </c>
      <c r="B286" s="8" t="str">
        <f t="shared" si="8"/>
        <v>1586243830</v>
      </c>
      <c r="C286" s="8" t="str">
        <f t="shared" si="9"/>
        <v>321</v>
      </c>
      <c r="D286" s="8" t="s">
        <v>119</v>
      </c>
      <c r="F286" s="8" t="s">
        <v>128</v>
      </c>
      <c r="G286" s="8" t="s">
        <v>346</v>
      </c>
      <c r="H286" s="8" t="s">
        <v>347</v>
      </c>
      <c r="I286" s="8" t="s">
        <v>131</v>
      </c>
      <c r="J286" s="8" t="s">
        <v>348</v>
      </c>
      <c r="K286" s="8" t="s">
        <v>349</v>
      </c>
      <c r="L286" s="8" t="s">
        <v>350</v>
      </c>
      <c r="M286" s="8" t="s">
        <v>2785</v>
      </c>
      <c r="N286" s="8" t="s">
        <v>129</v>
      </c>
      <c r="O286" s="8">
        <v>770.16</v>
      </c>
      <c r="P286" s="8">
        <v>855.74</v>
      </c>
      <c r="Q286" s="8" t="s">
        <v>2533</v>
      </c>
      <c r="S286" s="8" t="s">
        <v>184</v>
      </c>
      <c r="T286" s="8">
        <v>169.67</v>
      </c>
    </row>
    <row r="287" spans="1:20" x14ac:dyDescent="0.2">
      <c r="A287" s="8" t="s">
        <v>4794</v>
      </c>
      <c r="B287" s="8" t="str">
        <f t="shared" si="8"/>
        <v>1586243830</v>
      </c>
      <c r="C287" s="8" t="str">
        <f t="shared" si="9"/>
        <v>322</v>
      </c>
      <c r="D287" s="8" t="s">
        <v>119</v>
      </c>
      <c r="F287" s="8" t="s">
        <v>128</v>
      </c>
      <c r="G287" s="8" t="s">
        <v>346</v>
      </c>
      <c r="H287" s="8" t="s">
        <v>347</v>
      </c>
      <c r="I287" s="8" t="s">
        <v>131</v>
      </c>
      <c r="J287" s="8" t="s">
        <v>348</v>
      </c>
      <c r="K287" s="8" t="s">
        <v>349</v>
      </c>
      <c r="L287" s="8" t="s">
        <v>350</v>
      </c>
      <c r="M287" s="8" t="s">
        <v>2785</v>
      </c>
      <c r="N287" s="8" t="s">
        <v>129</v>
      </c>
      <c r="O287" s="8">
        <v>770.16</v>
      </c>
      <c r="P287" s="8">
        <v>855.74</v>
      </c>
      <c r="Q287" s="8" t="s">
        <v>2533</v>
      </c>
      <c r="S287" s="8" t="s">
        <v>420</v>
      </c>
      <c r="T287" s="8">
        <v>96.64</v>
      </c>
    </row>
    <row r="288" spans="1:20" x14ac:dyDescent="0.2">
      <c r="A288" s="8" t="s">
        <v>3959</v>
      </c>
      <c r="B288" s="8" t="str">
        <f t="shared" si="8"/>
        <v>1586243832</v>
      </c>
      <c r="C288" s="8" t="str">
        <f t="shared" si="9"/>
        <v>323</v>
      </c>
      <c r="D288" s="8" t="s">
        <v>119</v>
      </c>
      <c r="F288" s="8" t="s">
        <v>128</v>
      </c>
      <c r="G288" s="8" t="s">
        <v>346</v>
      </c>
      <c r="H288" s="8" t="s">
        <v>347</v>
      </c>
      <c r="I288" s="8" t="s">
        <v>193</v>
      </c>
      <c r="J288" s="8" t="s">
        <v>1237</v>
      </c>
      <c r="K288" s="8" t="s">
        <v>349</v>
      </c>
      <c r="L288" s="8" t="s">
        <v>350</v>
      </c>
      <c r="M288" s="8" t="s">
        <v>2785</v>
      </c>
      <c r="N288" s="8" t="s">
        <v>129</v>
      </c>
      <c r="O288" s="8">
        <v>770.16</v>
      </c>
      <c r="P288" s="8">
        <v>855.74</v>
      </c>
      <c r="Q288" s="8" t="s">
        <v>2533</v>
      </c>
      <c r="R288" s="8" t="s">
        <v>1741</v>
      </c>
    </row>
    <row r="289" spans="1:20" x14ac:dyDescent="0.2">
      <c r="A289" s="8" t="s">
        <v>2953</v>
      </c>
      <c r="B289" s="8" t="str">
        <f t="shared" si="8"/>
        <v>1586243832</v>
      </c>
      <c r="C289" s="8" t="str">
        <f t="shared" si="9"/>
        <v>324</v>
      </c>
      <c r="D289" s="8" t="s">
        <v>119</v>
      </c>
      <c r="F289" s="8" t="s">
        <v>128</v>
      </c>
      <c r="G289" s="8" t="s">
        <v>346</v>
      </c>
      <c r="H289" s="8" t="s">
        <v>347</v>
      </c>
      <c r="I289" s="8" t="s">
        <v>193</v>
      </c>
      <c r="J289" s="8" t="s">
        <v>1237</v>
      </c>
      <c r="K289" s="8" t="s">
        <v>349</v>
      </c>
      <c r="L289" s="8" t="s">
        <v>350</v>
      </c>
      <c r="M289" s="8" t="s">
        <v>2785</v>
      </c>
      <c r="N289" s="8" t="s">
        <v>129</v>
      </c>
      <c r="O289" s="8">
        <v>770.16</v>
      </c>
      <c r="P289" s="8">
        <v>855.74</v>
      </c>
      <c r="Q289" s="8" t="s">
        <v>2533</v>
      </c>
      <c r="R289" s="8" t="s">
        <v>1787</v>
      </c>
    </row>
    <row r="290" spans="1:20" x14ac:dyDescent="0.2">
      <c r="A290" s="8" t="s">
        <v>3999</v>
      </c>
      <c r="B290" s="8" t="str">
        <f t="shared" si="8"/>
        <v>1586243832</v>
      </c>
      <c r="C290" s="8" t="str">
        <f t="shared" si="9"/>
        <v>325</v>
      </c>
      <c r="D290" s="8" t="s">
        <v>119</v>
      </c>
      <c r="F290" s="8" t="s">
        <v>128</v>
      </c>
      <c r="G290" s="8" t="s">
        <v>346</v>
      </c>
      <c r="H290" s="8" t="s">
        <v>347</v>
      </c>
      <c r="I290" s="8" t="s">
        <v>193</v>
      </c>
      <c r="J290" s="8" t="s">
        <v>1237</v>
      </c>
      <c r="K290" s="8" t="s">
        <v>349</v>
      </c>
      <c r="L290" s="8" t="s">
        <v>350</v>
      </c>
      <c r="M290" s="8" t="s">
        <v>2785</v>
      </c>
      <c r="N290" s="8" t="s">
        <v>129</v>
      </c>
      <c r="O290" s="8">
        <v>770.16</v>
      </c>
      <c r="P290" s="8">
        <v>855.74</v>
      </c>
      <c r="Q290" s="8" t="s">
        <v>2533</v>
      </c>
      <c r="R290" s="8" t="s">
        <v>1811</v>
      </c>
    </row>
    <row r="291" spans="1:20" x14ac:dyDescent="0.2">
      <c r="A291" s="8" t="s">
        <v>4077</v>
      </c>
      <c r="B291" s="8" t="str">
        <f t="shared" si="8"/>
        <v>1586243832</v>
      </c>
      <c r="C291" s="8" t="str">
        <f t="shared" si="9"/>
        <v>326</v>
      </c>
      <c r="D291" s="8" t="s">
        <v>119</v>
      </c>
      <c r="F291" s="8" t="s">
        <v>128</v>
      </c>
      <c r="G291" s="8" t="s">
        <v>346</v>
      </c>
      <c r="H291" s="8" t="s">
        <v>347</v>
      </c>
      <c r="I291" s="8" t="s">
        <v>193</v>
      </c>
      <c r="J291" s="8" t="s">
        <v>1237</v>
      </c>
      <c r="K291" s="8" t="s">
        <v>349</v>
      </c>
      <c r="L291" s="8" t="s">
        <v>350</v>
      </c>
      <c r="M291" s="8" t="s">
        <v>2785</v>
      </c>
      <c r="N291" s="8" t="s">
        <v>129</v>
      </c>
      <c r="O291" s="8">
        <v>770.16</v>
      </c>
      <c r="P291" s="8">
        <v>855.74</v>
      </c>
      <c r="Q291" s="8" t="s">
        <v>2533</v>
      </c>
      <c r="R291" s="8" t="s">
        <v>1238</v>
      </c>
    </row>
    <row r="292" spans="1:20" x14ac:dyDescent="0.2">
      <c r="A292" s="8" t="s">
        <v>3230</v>
      </c>
      <c r="B292" s="8" t="str">
        <f t="shared" si="8"/>
        <v>1586243832</v>
      </c>
      <c r="C292" s="8" t="str">
        <f t="shared" si="9"/>
        <v>327</v>
      </c>
      <c r="D292" s="8" t="s">
        <v>119</v>
      </c>
      <c r="F292" s="8" t="s">
        <v>128</v>
      </c>
      <c r="G292" s="8" t="s">
        <v>346</v>
      </c>
      <c r="H292" s="8" t="s">
        <v>347</v>
      </c>
      <c r="I292" s="8" t="s">
        <v>193</v>
      </c>
      <c r="J292" s="8" t="s">
        <v>1237</v>
      </c>
      <c r="K292" s="8" t="s">
        <v>349</v>
      </c>
      <c r="L292" s="8" t="s">
        <v>350</v>
      </c>
      <c r="M292" s="8" t="s">
        <v>2785</v>
      </c>
      <c r="N292" s="8" t="s">
        <v>129</v>
      </c>
      <c r="O292" s="8">
        <v>770.16</v>
      </c>
      <c r="P292" s="8">
        <v>855.74</v>
      </c>
      <c r="Q292" s="8" t="s">
        <v>2533</v>
      </c>
      <c r="R292" s="8" t="s">
        <v>1724</v>
      </c>
    </row>
    <row r="293" spans="1:20" x14ac:dyDescent="0.2">
      <c r="A293" s="8" t="s">
        <v>4299</v>
      </c>
      <c r="B293" s="8" t="str">
        <f t="shared" si="8"/>
        <v>1586243832</v>
      </c>
      <c r="C293" s="8" t="str">
        <f t="shared" si="9"/>
        <v>328</v>
      </c>
      <c r="D293" s="8" t="s">
        <v>119</v>
      </c>
      <c r="F293" s="8" t="s">
        <v>128</v>
      </c>
      <c r="G293" s="8" t="s">
        <v>346</v>
      </c>
      <c r="H293" s="8" t="s">
        <v>347</v>
      </c>
      <c r="I293" s="8" t="s">
        <v>193</v>
      </c>
      <c r="J293" s="8" t="s">
        <v>1237</v>
      </c>
      <c r="K293" s="8" t="s">
        <v>349</v>
      </c>
      <c r="L293" s="8" t="s">
        <v>350</v>
      </c>
      <c r="M293" s="8" t="s">
        <v>2785</v>
      </c>
      <c r="N293" s="8" t="s">
        <v>129</v>
      </c>
      <c r="O293" s="8">
        <v>770.16</v>
      </c>
      <c r="P293" s="8">
        <v>855.74</v>
      </c>
      <c r="Q293" s="8" t="s">
        <v>2533</v>
      </c>
      <c r="R293" s="8" t="s">
        <v>1838</v>
      </c>
    </row>
    <row r="294" spans="1:20" x14ac:dyDescent="0.2">
      <c r="A294" s="8" t="s">
        <v>3701</v>
      </c>
      <c r="B294" s="8" t="str">
        <f t="shared" si="8"/>
        <v>1586243832</v>
      </c>
      <c r="C294" s="8" t="str">
        <f t="shared" si="9"/>
        <v>329</v>
      </c>
      <c r="D294" s="8" t="s">
        <v>119</v>
      </c>
      <c r="F294" s="8" t="s">
        <v>128</v>
      </c>
      <c r="G294" s="8" t="s">
        <v>346</v>
      </c>
      <c r="H294" s="8" t="s">
        <v>347</v>
      </c>
      <c r="I294" s="8" t="s">
        <v>193</v>
      </c>
      <c r="J294" s="8" t="s">
        <v>1237</v>
      </c>
      <c r="K294" s="8" t="s">
        <v>349</v>
      </c>
      <c r="L294" s="8" t="s">
        <v>350</v>
      </c>
      <c r="M294" s="8" t="s">
        <v>2785</v>
      </c>
      <c r="N294" s="8" t="s">
        <v>129</v>
      </c>
      <c r="O294" s="8">
        <v>770.16</v>
      </c>
      <c r="P294" s="8">
        <v>855.74</v>
      </c>
      <c r="Q294" s="8" t="s">
        <v>2533</v>
      </c>
      <c r="S294" s="8" t="s">
        <v>845</v>
      </c>
      <c r="T294" s="8">
        <v>202.87</v>
      </c>
    </row>
    <row r="295" spans="1:20" x14ac:dyDescent="0.2">
      <c r="A295" s="8" t="s">
        <v>3433</v>
      </c>
      <c r="B295" s="8" t="str">
        <f t="shared" si="8"/>
        <v>1586243832</v>
      </c>
      <c r="C295" s="8" t="str">
        <f t="shared" si="9"/>
        <v>330</v>
      </c>
      <c r="D295" s="8" t="s">
        <v>119</v>
      </c>
      <c r="F295" s="8" t="s">
        <v>128</v>
      </c>
      <c r="G295" s="8" t="s">
        <v>346</v>
      </c>
      <c r="H295" s="8" t="s">
        <v>347</v>
      </c>
      <c r="I295" s="8" t="s">
        <v>193</v>
      </c>
      <c r="J295" s="8" t="s">
        <v>1237</v>
      </c>
      <c r="K295" s="8" t="s">
        <v>349</v>
      </c>
      <c r="L295" s="8" t="s">
        <v>350</v>
      </c>
      <c r="M295" s="8" t="s">
        <v>2785</v>
      </c>
      <c r="N295" s="8" t="s">
        <v>129</v>
      </c>
      <c r="O295" s="8">
        <v>770.16</v>
      </c>
      <c r="P295" s="8">
        <v>855.74</v>
      </c>
      <c r="Q295" s="8" t="s">
        <v>2533</v>
      </c>
      <c r="S295" s="8" t="s">
        <v>184</v>
      </c>
      <c r="T295" s="8">
        <v>169.67</v>
      </c>
    </row>
    <row r="296" spans="1:20" x14ac:dyDescent="0.2">
      <c r="A296" s="8" t="s">
        <v>2821</v>
      </c>
      <c r="B296" s="8" t="str">
        <f t="shared" si="8"/>
        <v>1586243832</v>
      </c>
      <c r="C296" s="8" t="str">
        <f t="shared" si="9"/>
        <v>331</v>
      </c>
      <c r="D296" s="8" t="s">
        <v>119</v>
      </c>
      <c r="F296" s="8" t="s">
        <v>128</v>
      </c>
      <c r="G296" s="8" t="s">
        <v>346</v>
      </c>
      <c r="H296" s="8" t="s">
        <v>347</v>
      </c>
      <c r="I296" s="8" t="s">
        <v>193</v>
      </c>
      <c r="J296" s="8" t="s">
        <v>1237</v>
      </c>
      <c r="K296" s="8" t="s">
        <v>349</v>
      </c>
      <c r="L296" s="8" t="s">
        <v>350</v>
      </c>
      <c r="M296" s="8" t="s">
        <v>2785</v>
      </c>
      <c r="N296" s="8" t="s">
        <v>129</v>
      </c>
      <c r="O296" s="8">
        <v>770.16</v>
      </c>
      <c r="P296" s="8">
        <v>855.74</v>
      </c>
      <c r="Q296" s="8" t="s">
        <v>2533</v>
      </c>
      <c r="S296" s="8" t="s">
        <v>420</v>
      </c>
      <c r="T296" s="8">
        <v>96.64</v>
      </c>
    </row>
    <row r="297" spans="1:20" x14ac:dyDescent="0.2">
      <c r="A297" s="8" t="s">
        <v>3924</v>
      </c>
      <c r="B297" s="8" t="str">
        <f t="shared" si="8"/>
        <v>1586243835</v>
      </c>
      <c r="C297" s="8" t="str">
        <f t="shared" si="9"/>
        <v>332</v>
      </c>
      <c r="D297" s="8" t="s">
        <v>119</v>
      </c>
      <c r="F297" s="8" t="s">
        <v>128</v>
      </c>
      <c r="G297" s="8" t="s">
        <v>346</v>
      </c>
      <c r="H297" s="8" t="s">
        <v>347</v>
      </c>
      <c r="I297" s="8" t="s">
        <v>131</v>
      </c>
      <c r="J297" s="8" t="s">
        <v>1352</v>
      </c>
      <c r="K297" s="8" t="s">
        <v>898</v>
      </c>
      <c r="L297" s="8" t="s">
        <v>899</v>
      </c>
      <c r="M297" s="8" t="s">
        <v>2785</v>
      </c>
      <c r="N297" s="8" t="s">
        <v>129</v>
      </c>
      <c r="O297" s="8">
        <v>798.2</v>
      </c>
      <c r="P297" s="8">
        <v>886.89</v>
      </c>
      <c r="Q297" s="8" t="s">
        <v>2534</v>
      </c>
      <c r="R297" s="8" t="s">
        <v>2231</v>
      </c>
    </row>
    <row r="298" spans="1:20" x14ac:dyDescent="0.2">
      <c r="A298" s="8" t="s">
        <v>3146</v>
      </c>
      <c r="B298" s="8" t="str">
        <f t="shared" si="8"/>
        <v>1586243835</v>
      </c>
      <c r="C298" s="8" t="str">
        <f t="shared" si="9"/>
        <v>333</v>
      </c>
      <c r="D298" s="8" t="s">
        <v>119</v>
      </c>
      <c r="F298" s="8" t="s">
        <v>128</v>
      </c>
      <c r="G298" s="8" t="s">
        <v>346</v>
      </c>
      <c r="H298" s="8" t="s">
        <v>347</v>
      </c>
      <c r="I298" s="8" t="s">
        <v>131</v>
      </c>
      <c r="J298" s="8" t="s">
        <v>1352</v>
      </c>
      <c r="K298" s="8" t="s">
        <v>898</v>
      </c>
      <c r="L298" s="8" t="s">
        <v>899</v>
      </c>
      <c r="M298" s="8" t="s">
        <v>2785</v>
      </c>
      <c r="N298" s="8" t="s">
        <v>129</v>
      </c>
      <c r="O298" s="8">
        <v>798.2</v>
      </c>
      <c r="P298" s="8">
        <v>886.89</v>
      </c>
      <c r="Q298" s="8" t="s">
        <v>2534</v>
      </c>
      <c r="R298" s="8" t="s">
        <v>1464</v>
      </c>
    </row>
    <row r="299" spans="1:20" x14ac:dyDescent="0.2">
      <c r="A299" s="8" t="s">
        <v>4776</v>
      </c>
      <c r="B299" s="8" t="str">
        <f t="shared" si="8"/>
        <v>1586243835</v>
      </c>
      <c r="C299" s="8" t="str">
        <f t="shared" si="9"/>
        <v>334</v>
      </c>
      <c r="D299" s="8" t="s">
        <v>119</v>
      </c>
      <c r="F299" s="8" t="s">
        <v>128</v>
      </c>
      <c r="G299" s="8" t="s">
        <v>346</v>
      </c>
      <c r="H299" s="8" t="s">
        <v>347</v>
      </c>
      <c r="I299" s="8" t="s">
        <v>131</v>
      </c>
      <c r="J299" s="8" t="s">
        <v>1352</v>
      </c>
      <c r="K299" s="8" t="s">
        <v>898</v>
      </c>
      <c r="L299" s="8" t="s">
        <v>899</v>
      </c>
      <c r="M299" s="8" t="s">
        <v>2785</v>
      </c>
      <c r="N299" s="8" t="s">
        <v>129</v>
      </c>
      <c r="O299" s="8">
        <v>798.2</v>
      </c>
      <c r="P299" s="8">
        <v>886.89</v>
      </c>
      <c r="Q299" s="8" t="s">
        <v>2534</v>
      </c>
      <c r="R299" s="8" t="s">
        <v>1353</v>
      </c>
    </row>
    <row r="300" spans="1:20" x14ac:dyDescent="0.2">
      <c r="A300" s="8" t="s">
        <v>3382</v>
      </c>
      <c r="B300" s="8" t="str">
        <f t="shared" si="8"/>
        <v>1586243835</v>
      </c>
      <c r="C300" s="8" t="str">
        <f t="shared" si="9"/>
        <v>335</v>
      </c>
      <c r="D300" s="8" t="s">
        <v>119</v>
      </c>
      <c r="F300" s="8" t="s">
        <v>128</v>
      </c>
      <c r="G300" s="8" t="s">
        <v>346</v>
      </c>
      <c r="H300" s="8" t="s">
        <v>347</v>
      </c>
      <c r="I300" s="8" t="s">
        <v>131</v>
      </c>
      <c r="J300" s="8" t="s">
        <v>1352</v>
      </c>
      <c r="K300" s="8" t="s">
        <v>898</v>
      </c>
      <c r="L300" s="8" t="s">
        <v>899</v>
      </c>
      <c r="M300" s="8" t="s">
        <v>2785</v>
      </c>
      <c r="N300" s="8" t="s">
        <v>129</v>
      </c>
      <c r="O300" s="8">
        <v>798.2</v>
      </c>
      <c r="P300" s="8">
        <v>886.89</v>
      </c>
      <c r="Q300" s="8" t="s">
        <v>2534</v>
      </c>
      <c r="R300" s="8" t="s">
        <v>1524</v>
      </c>
    </row>
    <row r="301" spans="1:20" x14ac:dyDescent="0.2">
      <c r="A301" s="8" t="s">
        <v>3850</v>
      </c>
      <c r="B301" s="8" t="str">
        <f t="shared" si="8"/>
        <v>1586243835</v>
      </c>
      <c r="C301" s="8" t="str">
        <f t="shared" si="9"/>
        <v>336</v>
      </c>
      <c r="D301" s="8" t="s">
        <v>119</v>
      </c>
      <c r="F301" s="8" t="s">
        <v>128</v>
      </c>
      <c r="G301" s="8" t="s">
        <v>346</v>
      </c>
      <c r="H301" s="8" t="s">
        <v>347</v>
      </c>
      <c r="I301" s="8" t="s">
        <v>131</v>
      </c>
      <c r="J301" s="8" t="s">
        <v>1352</v>
      </c>
      <c r="K301" s="8" t="s">
        <v>898</v>
      </c>
      <c r="L301" s="8" t="s">
        <v>899</v>
      </c>
      <c r="M301" s="8" t="s">
        <v>2785</v>
      </c>
      <c r="N301" s="8" t="s">
        <v>129</v>
      </c>
      <c r="O301" s="8">
        <v>798.2</v>
      </c>
      <c r="P301" s="8">
        <v>886.89</v>
      </c>
      <c r="Q301" s="8" t="s">
        <v>2534</v>
      </c>
      <c r="R301" s="8" t="s">
        <v>2372</v>
      </c>
    </row>
    <row r="302" spans="1:20" x14ac:dyDescent="0.2">
      <c r="A302" s="8" t="s">
        <v>4259</v>
      </c>
      <c r="B302" s="8" t="str">
        <f t="shared" si="8"/>
        <v>1586243835</v>
      </c>
      <c r="C302" s="8" t="str">
        <f t="shared" si="9"/>
        <v>337</v>
      </c>
      <c r="D302" s="8" t="s">
        <v>119</v>
      </c>
      <c r="F302" s="8" t="s">
        <v>128</v>
      </c>
      <c r="G302" s="8" t="s">
        <v>346</v>
      </c>
      <c r="H302" s="8" t="s">
        <v>347</v>
      </c>
      <c r="I302" s="8" t="s">
        <v>131</v>
      </c>
      <c r="J302" s="8" t="s">
        <v>1352</v>
      </c>
      <c r="K302" s="8" t="s">
        <v>898</v>
      </c>
      <c r="L302" s="8" t="s">
        <v>899</v>
      </c>
      <c r="M302" s="8" t="s">
        <v>2785</v>
      </c>
      <c r="N302" s="8" t="s">
        <v>129</v>
      </c>
      <c r="O302" s="8">
        <v>798.2</v>
      </c>
      <c r="P302" s="8">
        <v>886.89</v>
      </c>
      <c r="Q302" s="8" t="s">
        <v>2534</v>
      </c>
      <c r="S302" s="8" t="s">
        <v>142</v>
      </c>
      <c r="T302" s="8">
        <v>77.459999999999994</v>
      </c>
    </row>
    <row r="303" spans="1:20" x14ac:dyDescent="0.2">
      <c r="A303" s="8" t="s">
        <v>4691</v>
      </c>
      <c r="B303" s="8" t="str">
        <f t="shared" si="8"/>
        <v>1586243835</v>
      </c>
      <c r="C303" s="8" t="str">
        <f t="shared" si="9"/>
        <v>338</v>
      </c>
      <c r="D303" s="8" t="s">
        <v>119</v>
      </c>
      <c r="F303" s="8" t="s">
        <v>128</v>
      </c>
      <c r="G303" s="8" t="s">
        <v>346</v>
      </c>
      <c r="H303" s="8" t="s">
        <v>347</v>
      </c>
      <c r="I303" s="8" t="s">
        <v>131</v>
      </c>
      <c r="J303" s="8" t="s">
        <v>1352</v>
      </c>
      <c r="K303" s="8" t="s">
        <v>898</v>
      </c>
      <c r="L303" s="8" t="s">
        <v>899</v>
      </c>
      <c r="M303" s="8" t="s">
        <v>2785</v>
      </c>
      <c r="N303" s="8" t="s">
        <v>129</v>
      </c>
      <c r="O303" s="8">
        <v>798.2</v>
      </c>
      <c r="P303" s="8">
        <v>886.89</v>
      </c>
      <c r="Q303" s="8" t="s">
        <v>2534</v>
      </c>
      <c r="S303" s="8" t="s">
        <v>184</v>
      </c>
      <c r="T303" s="8">
        <v>169.67</v>
      </c>
    </row>
    <row r="304" spans="1:20" x14ac:dyDescent="0.2">
      <c r="A304" s="8" t="s">
        <v>4647</v>
      </c>
      <c r="B304" s="8" t="str">
        <f t="shared" si="8"/>
        <v>1586243835</v>
      </c>
      <c r="C304" s="8" t="str">
        <f t="shared" si="9"/>
        <v>339</v>
      </c>
      <c r="D304" s="8" t="s">
        <v>119</v>
      </c>
      <c r="F304" s="8" t="s">
        <v>128</v>
      </c>
      <c r="G304" s="8" t="s">
        <v>346</v>
      </c>
      <c r="H304" s="8" t="s">
        <v>347</v>
      </c>
      <c r="I304" s="8" t="s">
        <v>131</v>
      </c>
      <c r="J304" s="8" t="s">
        <v>1352</v>
      </c>
      <c r="K304" s="8" t="s">
        <v>898</v>
      </c>
      <c r="L304" s="8" t="s">
        <v>899</v>
      </c>
      <c r="M304" s="8" t="s">
        <v>2785</v>
      </c>
      <c r="N304" s="8" t="s">
        <v>129</v>
      </c>
      <c r="O304" s="8">
        <v>798.2</v>
      </c>
      <c r="P304" s="8">
        <v>886.89</v>
      </c>
      <c r="Q304" s="8" t="s">
        <v>2534</v>
      </c>
      <c r="S304" s="8" t="s">
        <v>664</v>
      </c>
      <c r="T304" s="8">
        <v>53.85</v>
      </c>
    </row>
    <row r="305" spans="1:20" x14ac:dyDescent="0.2">
      <c r="A305" s="8" t="s">
        <v>4446</v>
      </c>
      <c r="B305" s="8" t="str">
        <f t="shared" si="8"/>
        <v>1586243837</v>
      </c>
      <c r="C305" s="8" t="str">
        <f t="shared" si="9"/>
        <v>340</v>
      </c>
      <c r="D305" s="8" t="s">
        <v>119</v>
      </c>
      <c r="F305" s="8" t="s">
        <v>128</v>
      </c>
      <c r="G305" s="8" t="s">
        <v>346</v>
      </c>
      <c r="H305" s="8" t="s">
        <v>347</v>
      </c>
      <c r="I305" s="8" t="s">
        <v>193</v>
      </c>
      <c r="J305" s="8" t="s">
        <v>897</v>
      </c>
      <c r="K305" s="8" t="s">
        <v>898</v>
      </c>
      <c r="L305" s="8" t="s">
        <v>899</v>
      </c>
      <c r="M305" s="8" t="s">
        <v>2785</v>
      </c>
      <c r="N305" s="8" t="s">
        <v>129</v>
      </c>
      <c r="O305" s="8">
        <v>798.2</v>
      </c>
      <c r="P305" s="8">
        <v>886.89</v>
      </c>
      <c r="Q305" s="8" t="s">
        <v>2534</v>
      </c>
      <c r="R305" s="8" t="s">
        <v>2421</v>
      </c>
    </row>
    <row r="306" spans="1:20" x14ac:dyDescent="0.2">
      <c r="A306" s="8" t="s">
        <v>3495</v>
      </c>
      <c r="B306" s="8" t="str">
        <f t="shared" si="8"/>
        <v>1586243837</v>
      </c>
      <c r="C306" s="8" t="str">
        <f t="shared" si="9"/>
        <v>341</v>
      </c>
      <c r="D306" s="8" t="s">
        <v>119</v>
      </c>
      <c r="F306" s="8" t="s">
        <v>128</v>
      </c>
      <c r="G306" s="8" t="s">
        <v>346</v>
      </c>
      <c r="H306" s="8" t="s">
        <v>347</v>
      </c>
      <c r="I306" s="8" t="s">
        <v>193</v>
      </c>
      <c r="J306" s="8" t="s">
        <v>897</v>
      </c>
      <c r="K306" s="8" t="s">
        <v>898</v>
      </c>
      <c r="L306" s="8" t="s">
        <v>899</v>
      </c>
      <c r="M306" s="8" t="s">
        <v>2785</v>
      </c>
      <c r="N306" s="8" t="s">
        <v>129</v>
      </c>
      <c r="O306" s="8">
        <v>798.2</v>
      </c>
      <c r="P306" s="8">
        <v>886.89</v>
      </c>
      <c r="Q306" s="8" t="s">
        <v>2534</v>
      </c>
      <c r="R306" s="8" t="s">
        <v>1794</v>
      </c>
    </row>
    <row r="307" spans="1:20" x14ac:dyDescent="0.2">
      <c r="A307" s="8" t="s">
        <v>2832</v>
      </c>
      <c r="B307" s="8" t="str">
        <f t="shared" si="8"/>
        <v>1586243837</v>
      </c>
      <c r="C307" s="8" t="str">
        <f t="shared" si="9"/>
        <v>342</v>
      </c>
      <c r="D307" s="8" t="s">
        <v>119</v>
      </c>
      <c r="F307" s="8" t="s">
        <v>128</v>
      </c>
      <c r="G307" s="8" t="s">
        <v>346</v>
      </c>
      <c r="H307" s="8" t="s">
        <v>347</v>
      </c>
      <c r="I307" s="8" t="s">
        <v>193</v>
      </c>
      <c r="J307" s="8" t="s">
        <v>897</v>
      </c>
      <c r="K307" s="8" t="s">
        <v>898</v>
      </c>
      <c r="L307" s="8" t="s">
        <v>899</v>
      </c>
      <c r="M307" s="8" t="s">
        <v>2785</v>
      </c>
      <c r="N307" s="8" t="s">
        <v>129</v>
      </c>
      <c r="O307" s="8">
        <v>798.2</v>
      </c>
      <c r="P307" s="8">
        <v>886.89</v>
      </c>
      <c r="Q307" s="8" t="s">
        <v>2534</v>
      </c>
      <c r="R307" s="8" t="s">
        <v>941</v>
      </c>
    </row>
    <row r="308" spans="1:20" x14ac:dyDescent="0.2">
      <c r="A308" s="8" t="s">
        <v>3740</v>
      </c>
      <c r="B308" s="8" t="str">
        <f t="shared" si="8"/>
        <v>1586243837</v>
      </c>
      <c r="C308" s="8" t="str">
        <f t="shared" si="9"/>
        <v>343</v>
      </c>
      <c r="D308" s="8" t="s">
        <v>119</v>
      </c>
      <c r="F308" s="8" t="s">
        <v>128</v>
      </c>
      <c r="G308" s="8" t="s">
        <v>346</v>
      </c>
      <c r="H308" s="8" t="s">
        <v>347</v>
      </c>
      <c r="I308" s="8" t="s">
        <v>193</v>
      </c>
      <c r="J308" s="8" t="s">
        <v>897</v>
      </c>
      <c r="K308" s="8" t="s">
        <v>898</v>
      </c>
      <c r="L308" s="8" t="s">
        <v>899</v>
      </c>
      <c r="M308" s="8" t="s">
        <v>2785</v>
      </c>
      <c r="N308" s="8" t="s">
        <v>129</v>
      </c>
      <c r="O308" s="8">
        <v>798.2</v>
      </c>
      <c r="P308" s="8">
        <v>886.89</v>
      </c>
      <c r="Q308" s="8" t="s">
        <v>2534</v>
      </c>
      <c r="R308" s="8" t="s">
        <v>1606</v>
      </c>
    </row>
    <row r="309" spans="1:20" x14ac:dyDescent="0.2">
      <c r="A309" s="8" t="s">
        <v>4415</v>
      </c>
      <c r="B309" s="8" t="str">
        <f t="shared" si="8"/>
        <v>1586243837</v>
      </c>
      <c r="C309" s="8" t="str">
        <f t="shared" si="9"/>
        <v>344</v>
      </c>
      <c r="D309" s="8" t="s">
        <v>119</v>
      </c>
      <c r="F309" s="8" t="s">
        <v>128</v>
      </c>
      <c r="G309" s="8" t="s">
        <v>346</v>
      </c>
      <c r="H309" s="8" t="s">
        <v>347</v>
      </c>
      <c r="I309" s="8" t="s">
        <v>193</v>
      </c>
      <c r="J309" s="8" t="s">
        <v>897</v>
      </c>
      <c r="K309" s="8" t="s">
        <v>898</v>
      </c>
      <c r="L309" s="8" t="s">
        <v>899</v>
      </c>
      <c r="M309" s="8" t="s">
        <v>2785</v>
      </c>
      <c r="N309" s="8" t="s">
        <v>129</v>
      </c>
      <c r="O309" s="8">
        <v>798.2</v>
      </c>
      <c r="P309" s="8">
        <v>886.89</v>
      </c>
      <c r="Q309" s="8" t="s">
        <v>2534</v>
      </c>
      <c r="R309" s="8" t="s">
        <v>2166</v>
      </c>
    </row>
    <row r="310" spans="1:20" x14ac:dyDescent="0.2">
      <c r="A310" s="8" t="s">
        <v>3546</v>
      </c>
      <c r="B310" s="8" t="str">
        <f t="shared" si="8"/>
        <v>1586243837</v>
      </c>
      <c r="C310" s="8" t="str">
        <f t="shared" si="9"/>
        <v>345</v>
      </c>
      <c r="D310" s="8" t="s">
        <v>119</v>
      </c>
      <c r="F310" s="8" t="s">
        <v>128</v>
      </c>
      <c r="G310" s="8" t="s">
        <v>346</v>
      </c>
      <c r="H310" s="8" t="s">
        <v>347</v>
      </c>
      <c r="I310" s="8" t="s">
        <v>193</v>
      </c>
      <c r="J310" s="8" t="s">
        <v>897</v>
      </c>
      <c r="K310" s="8" t="s">
        <v>898</v>
      </c>
      <c r="L310" s="8" t="s">
        <v>899</v>
      </c>
      <c r="M310" s="8" t="s">
        <v>2785</v>
      </c>
      <c r="N310" s="8" t="s">
        <v>129</v>
      </c>
      <c r="O310" s="8">
        <v>798.2</v>
      </c>
      <c r="P310" s="8">
        <v>886.89</v>
      </c>
      <c r="Q310" s="8" t="s">
        <v>2534</v>
      </c>
      <c r="S310" s="8" t="s">
        <v>845</v>
      </c>
      <c r="T310" s="8">
        <v>202.87</v>
      </c>
    </row>
    <row r="311" spans="1:20" x14ac:dyDescent="0.2">
      <c r="A311" s="8" t="s">
        <v>3636</v>
      </c>
      <c r="B311" s="8" t="str">
        <f t="shared" si="8"/>
        <v>1586243837</v>
      </c>
      <c r="C311" s="8" t="str">
        <f t="shared" si="9"/>
        <v>346</v>
      </c>
      <c r="D311" s="8" t="s">
        <v>119</v>
      </c>
      <c r="F311" s="8" t="s">
        <v>128</v>
      </c>
      <c r="G311" s="8" t="s">
        <v>346</v>
      </c>
      <c r="H311" s="8" t="s">
        <v>347</v>
      </c>
      <c r="I311" s="8" t="s">
        <v>193</v>
      </c>
      <c r="J311" s="8" t="s">
        <v>897</v>
      </c>
      <c r="K311" s="8" t="s">
        <v>898</v>
      </c>
      <c r="L311" s="8" t="s">
        <v>899</v>
      </c>
      <c r="M311" s="8" t="s">
        <v>2785</v>
      </c>
      <c r="N311" s="8" t="s">
        <v>129</v>
      </c>
      <c r="O311" s="8">
        <v>798.2</v>
      </c>
      <c r="P311" s="8">
        <v>886.89</v>
      </c>
      <c r="Q311" s="8" t="s">
        <v>2534</v>
      </c>
      <c r="S311" s="8" t="s">
        <v>184</v>
      </c>
      <c r="T311" s="8">
        <v>169.67</v>
      </c>
    </row>
    <row r="312" spans="1:20" x14ac:dyDescent="0.2">
      <c r="A312" s="8" t="s">
        <v>4210</v>
      </c>
      <c r="B312" s="8" t="str">
        <f t="shared" si="8"/>
        <v>1586243837</v>
      </c>
      <c r="C312" s="8" t="str">
        <f t="shared" si="9"/>
        <v>347</v>
      </c>
      <c r="D312" s="8" t="s">
        <v>119</v>
      </c>
      <c r="F312" s="8" t="s">
        <v>128</v>
      </c>
      <c r="G312" s="8" t="s">
        <v>346</v>
      </c>
      <c r="H312" s="8" t="s">
        <v>347</v>
      </c>
      <c r="I312" s="8" t="s">
        <v>193</v>
      </c>
      <c r="J312" s="8" t="s">
        <v>897</v>
      </c>
      <c r="K312" s="8" t="s">
        <v>898</v>
      </c>
      <c r="L312" s="8" t="s">
        <v>899</v>
      </c>
      <c r="M312" s="8" t="s">
        <v>2785</v>
      </c>
      <c r="N312" s="8" t="s">
        <v>129</v>
      </c>
      <c r="O312" s="8">
        <v>798.2</v>
      </c>
      <c r="P312" s="8">
        <v>886.89</v>
      </c>
      <c r="Q312" s="8" t="s">
        <v>2534</v>
      </c>
      <c r="S312" s="8" t="s">
        <v>664</v>
      </c>
      <c r="T312" s="8">
        <v>53.85</v>
      </c>
    </row>
    <row r="313" spans="1:20" x14ac:dyDescent="0.2">
      <c r="A313" s="8" t="s">
        <v>3341</v>
      </c>
      <c r="B313" s="8" t="str">
        <f t="shared" si="8"/>
        <v>1586243839</v>
      </c>
      <c r="C313" s="8" t="str">
        <f t="shared" si="9"/>
        <v>348</v>
      </c>
      <c r="D313" s="8" t="s">
        <v>119</v>
      </c>
      <c r="F313" s="8" t="s">
        <v>128</v>
      </c>
      <c r="G313" s="8" t="s">
        <v>346</v>
      </c>
      <c r="H313" s="8" t="s">
        <v>347</v>
      </c>
      <c r="I313" s="8" t="s">
        <v>131</v>
      </c>
      <c r="J313" s="8" t="s">
        <v>1208</v>
      </c>
      <c r="K313" s="8" t="s">
        <v>774</v>
      </c>
      <c r="L313" s="8" t="s">
        <v>775</v>
      </c>
      <c r="M313" s="8" t="s">
        <v>2785</v>
      </c>
      <c r="N313" s="8" t="s">
        <v>129</v>
      </c>
      <c r="O313" s="8">
        <v>798.2</v>
      </c>
      <c r="P313" s="8">
        <v>886.89</v>
      </c>
      <c r="Q313" s="8" t="s">
        <v>2533</v>
      </c>
      <c r="R313" s="8" t="s">
        <v>1209</v>
      </c>
    </row>
    <row r="314" spans="1:20" x14ac:dyDescent="0.2">
      <c r="A314" s="8" t="s">
        <v>4504</v>
      </c>
      <c r="B314" s="8" t="str">
        <f t="shared" si="8"/>
        <v>1586243839</v>
      </c>
      <c r="C314" s="8" t="str">
        <f t="shared" si="9"/>
        <v>349</v>
      </c>
      <c r="D314" s="8" t="s">
        <v>119</v>
      </c>
      <c r="F314" s="8" t="s">
        <v>128</v>
      </c>
      <c r="G314" s="8" t="s">
        <v>346</v>
      </c>
      <c r="H314" s="8" t="s">
        <v>347</v>
      </c>
      <c r="I314" s="8" t="s">
        <v>131</v>
      </c>
      <c r="J314" s="8" t="s">
        <v>1208</v>
      </c>
      <c r="K314" s="8" t="s">
        <v>774</v>
      </c>
      <c r="L314" s="8" t="s">
        <v>775</v>
      </c>
      <c r="M314" s="8" t="s">
        <v>2785</v>
      </c>
      <c r="N314" s="8" t="s">
        <v>129</v>
      </c>
      <c r="O314" s="8">
        <v>798.2</v>
      </c>
      <c r="P314" s="8">
        <v>886.89</v>
      </c>
      <c r="Q314" s="8" t="s">
        <v>2533</v>
      </c>
      <c r="R314" s="8" t="s">
        <v>2262</v>
      </c>
    </row>
    <row r="315" spans="1:20" x14ac:dyDescent="0.2">
      <c r="A315" s="8" t="s">
        <v>2798</v>
      </c>
      <c r="B315" s="8" t="str">
        <f t="shared" si="8"/>
        <v>1586243839</v>
      </c>
      <c r="C315" s="8" t="str">
        <f t="shared" si="9"/>
        <v>350</v>
      </c>
      <c r="D315" s="8" t="s">
        <v>119</v>
      </c>
      <c r="F315" s="8" t="s">
        <v>128</v>
      </c>
      <c r="G315" s="8" t="s">
        <v>346</v>
      </c>
      <c r="H315" s="8" t="s">
        <v>347</v>
      </c>
      <c r="I315" s="8" t="s">
        <v>131</v>
      </c>
      <c r="J315" s="8" t="s">
        <v>1208</v>
      </c>
      <c r="K315" s="8" t="s">
        <v>774</v>
      </c>
      <c r="L315" s="8" t="s">
        <v>775</v>
      </c>
      <c r="M315" s="8" t="s">
        <v>2785</v>
      </c>
      <c r="N315" s="8" t="s">
        <v>129</v>
      </c>
      <c r="O315" s="8">
        <v>798.2</v>
      </c>
      <c r="P315" s="8">
        <v>886.89</v>
      </c>
      <c r="Q315" s="8" t="s">
        <v>2533</v>
      </c>
      <c r="R315" s="8" t="s">
        <v>1308</v>
      </c>
    </row>
    <row r="316" spans="1:20" x14ac:dyDescent="0.2">
      <c r="A316" s="8" t="s">
        <v>4309</v>
      </c>
      <c r="B316" s="8" t="str">
        <f t="shared" si="8"/>
        <v>1586243839</v>
      </c>
      <c r="C316" s="8" t="str">
        <f t="shared" si="9"/>
        <v>351</v>
      </c>
      <c r="D316" s="8" t="s">
        <v>119</v>
      </c>
      <c r="F316" s="8" t="s">
        <v>128</v>
      </c>
      <c r="G316" s="8" t="s">
        <v>346</v>
      </c>
      <c r="H316" s="8" t="s">
        <v>347</v>
      </c>
      <c r="I316" s="8" t="s">
        <v>131</v>
      </c>
      <c r="J316" s="8" t="s">
        <v>1208</v>
      </c>
      <c r="K316" s="8" t="s">
        <v>774</v>
      </c>
      <c r="L316" s="8" t="s">
        <v>775</v>
      </c>
      <c r="M316" s="8" t="s">
        <v>2785</v>
      </c>
      <c r="N316" s="8" t="s">
        <v>129</v>
      </c>
      <c r="O316" s="8">
        <v>798.2</v>
      </c>
      <c r="P316" s="8">
        <v>886.89</v>
      </c>
      <c r="Q316" s="8" t="s">
        <v>2533</v>
      </c>
      <c r="R316" s="8" t="s">
        <v>1605</v>
      </c>
    </row>
    <row r="317" spans="1:20" x14ac:dyDescent="0.2">
      <c r="A317" s="8" t="s">
        <v>3441</v>
      </c>
      <c r="B317" s="8" t="str">
        <f t="shared" si="8"/>
        <v>1586243839</v>
      </c>
      <c r="C317" s="8" t="str">
        <f t="shared" si="9"/>
        <v>352</v>
      </c>
      <c r="D317" s="8" t="s">
        <v>119</v>
      </c>
      <c r="F317" s="8" t="s">
        <v>128</v>
      </c>
      <c r="G317" s="8" t="s">
        <v>346</v>
      </c>
      <c r="H317" s="8" t="s">
        <v>347</v>
      </c>
      <c r="I317" s="8" t="s">
        <v>131</v>
      </c>
      <c r="J317" s="8" t="s">
        <v>1208</v>
      </c>
      <c r="K317" s="8" t="s">
        <v>774</v>
      </c>
      <c r="L317" s="8" t="s">
        <v>775</v>
      </c>
      <c r="M317" s="8" t="s">
        <v>2785</v>
      </c>
      <c r="N317" s="8" t="s">
        <v>129</v>
      </c>
      <c r="O317" s="8">
        <v>798.2</v>
      </c>
      <c r="P317" s="8">
        <v>886.89</v>
      </c>
      <c r="Q317" s="8" t="s">
        <v>2533</v>
      </c>
      <c r="R317" s="8" t="s">
        <v>1911</v>
      </c>
    </row>
    <row r="318" spans="1:20" x14ac:dyDescent="0.2">
      <c r="A318" s="8" t="s">
        <v>4000</v>
      </c>
      <c r="B318" s="8" t="str">
        <f t="shared" si="8"/>
        <v>1586243839</v>
      </c>
      <c r="C318" s="8" t="str">
        <f t="shared" si="9"/>
        <v>353</v>
      </c>
      <c r="D318" s="8" t="s">
        <v>119</v>
      </c>
      <c r="F318" s="8" t="s">
        <v>128</v>
      </c>
      <c r="G318" s="8" t="s">
        <v>346</v>
      </c>
      <c r="H318" s="8" t="s">
        <v>347</v>
      </c>
      <c r="I318" s="8" t="s">
        <v>131</v>
      </c>
      <c r="J318" s="8" t="s">
        <v>1208</v>
      </c>
      <c r="K318" s="8" t="s">
        <v>774</v>
      </c>
      <c r="L318" s="8" t="s">
        <v>775</v>
      </c>
      <c r="M318" s="8" t="s">
        <v>2785</v>
      </c>
      <c r="N318" s="8" t="s">
        <v>129</v>
      </c>
      <c r="O318" s="8">
        <v>798.2</v>
      </c>
      <c r="P318" s="8">
        <v>886.89</v>
      </c>
      <c r="Q318" s="8" t="s">
        <v>2533</v>
      </c>
      <c r="R318" s="8" t="s">
        <v>1872</v>
      </c>
    </row>
    <row r="319" spans="1:20" x14ac:dyDescent="0.2">
      <c r="A319" s="8" t="s">
        <v>4232</v>
      </c>
      <c r="B319" s="8" t="str">
        <f t="shared" si="8"/>
        <v>1586243839</v>
      </c>
      <c r="C319" s="8" t="str">
        <f t="shared" si="9"/>
        <v>354</v>
      </c>
      <c r="D319" s="8" t="s">
        <v>119</v>
      </c>
      <c r="F319" s="8" t="s">
        <v>128</v>
      </c>
      <c r="G319" s="8" t="s">
        <v>346</v>
      </c>
      <c r="H319" s="8" t="s">
        <v>347</v>
      </c>
      <c r="I319" s="8" t="s">
        <v>131</v>
      </c>
      <c r="J319" s="8" t="s">
        <v>1208</v>
      </c>
      <c r="K319" s="8" t="s">
        <v>774</v>
      </c>
      <c r="L319" s="8" t="s">
        <v>775</v>
      </c>
      <c r="M319" s="8" t="s">
        <v>2785</v>
      </c>
      <c r="N319" s="8" t="s">
        <v>129</v>
      </c>
      <c r="O319" s="8">
        <v>798.2</v>
      </c>
      <c r="P319" s="8">
        <v>886.89</v>
      </c>
      <c r="Q319" s="8" t="s">
        <v>2533</v>
      </c>
      <c r="S319" s="8" t="s">
        <v>142</v>
      </c>
      <c r="T319" s="8">
        <v>77.459999999999994</v>
      </c>
    </row>
    <row r="320" spans="1:20" x14ac:dyDescent="0.2">
      <c r="A320" s="8" t="s">
        <v>2971</v>
      </c>
      <c r="B320" s="8" t="str">
        <f t="shared" si="8"/>
        <v>1586243839</v>
      </c>
      <c r="C320" s="8" t="str">
        <f t="shared" si="9"/>
        <v>355</v>
      </c>
      <c r="D320" s="8" t="s">
        <v>119</v>
      </c>
      <c r="F320" s="8" t="s">
        <v>128</v>
      </c>
      <c r="G320" s="8" t="s">
        <v>346</v>
      </c>
      <c r="H320" s="8" t="s">
        <v>347</v>
      </c>
      <c r="I320" s="8" t="s">
        <v>131</v>
      </c>
      <c r="J320" s="8" t="s">
        <v>1208</v>
      </c>
      <c r="K320" s="8" t="s">
        <v>774</v>
      </c>
      <c r="L320" s="8" t="s">
        <v>775</v>
      </c>
      <c r="M320" s="8" t="s">
        <v>2785</v>
      </c>
      <c r="N320" s="8" t="s">
        <v>129</v>
      </c>
      <c r="O320" s="8">
        <v>798.2</v>
      </c>
      <c r="P320" s="8">
        <v>886.89</v>
      </c>
      <c r="Q320" s="8" t="s">
        <v>2533</v>
      </c>
      <c r="S320" s="8" t="s">
        <v>184</v>
      </c>
      <c r="T320" s="8">
        <v>169.67</v>
      </c>
    </row>
    <row r="321" spans="1:20" x14ac:dyDescent="0.2">
      <c r="A321" s="8" t="s">
        <v>4153</v>
      </c>
      <c r="B321" s="8" t="str">
        <f t="shared" si="8"/>
        <v>1586243839</v>
      </c>
      <c r="C321" s="8" t="str">
        <f t="shared" si="9"/>
        <v>356</v>
      </c>
      <c r="D321" s="8" t="s">
        <v>119</v>
      </c>
      <c r="F321" s="8" t="s">
        <v>128</v>
      </c>
      <c r="G321" s="8" t="s">
        <v>346</v>
      </c>
      <c r="H321" s="8" t="s">
        <v>347</v>
      </c>
      <c r="I321" s="8" t="s">
        <v>131</v>
      </c>
      <c r="J321" s="8" t="s">
        <v>1208</v>
      </c>
      <c r="K321" s="8" t="s">
        <v>774</v>
      </c>
      <c r="L321" s="8" t="s">
        <v>775</v>
      </c>
      <c r="M321" s="8" t="s">
        <v>2785</v>
      </c>
      <c r="N321" s="8" t="s">
        <v>129</v>
      </c>
      <c r="O321" s="8">
        <v>798.2</v>
      </c>
      <c r="P321" s="8">
        <v>886.89</v>
      </c>
      <c r="Q321" s="8" t="s">
        <v>2533</v>
      </c>
      <c r="S321" s="8" t="s">
        <v>420</v>
      </c>
      <c r="T321" s="8">
        <v>96.64</v>
      </c>
    </row>
    <row r="322" spans="1:20" x14ac:dyDescent="0.2">
      <c r="A322" s="8" t="s">
        <v>3761</v>
      </c>
      <c r="B322" s="8" t="str">
        <f t="shared" ref="B322:B385" si="10">LEFT(A322, FIND("-", A322) - 1)</f>
        <v>1586243839</v>
      </c>
      <c r="C322" s="8" t="str">
        <f t="shared" ref="C322:C385" si="11">RIGHT(A322, LEN(A322) - FIND("-", A322))</f>
        <v>357</v>
      </c>
      <c r="D322" s="8" t="s">
        <v>119</v>
      </c>
      <c r="F322" s="8" t="s">
        <v>128</v>
      </c>
      <c r="G322" s="8" t="s">
        <v>346</v>
      </c>
      <c r="H322" s="8" t="s">
        <v>347</v>
      </c>
      <c r="I322" s="8" t="s">
        <v>131</v>
      </c>
      <c r="J322" s="8" t="s">
        <v>1208</v>
      </c>
      <c r="K322" s="8" t="s">
        <v>774</v>
      </c>
      <c r="L322" s="8" t="s">
        <v>775</v>
      </c>
      <c r="M322" s="8" t="s">
        <v>2785</v>
      </c>
      <c r="N322" s="8" t="s">
        <v>129</v>
      </c>
      <c r="O322" s="8">
        <v>798.2</v>
      </c>
      <c r="P322" s="8">
        <v>886.89</v>
      </c>
      <c r="Q322" s="8" t="s">
        <v>2533</v>
      </c>
      <c r="S322" s="8" t="s">
        <v>943</v>
      </c>
      <c r="T322" s="8">
        <v>169.67</v>
      </c>
    </row>
    <row r="323" spans="1:20" x14ac:dyDescent="0.2">
      <c r="A323" s="8" t="s">
        <v>4119</v>
      </c>
      <c r="B323" s="8" t="str">
        <f t="shared" si="10"/>
        <v>1586243839</v>
      </c>
      <c r="C323" s="8" t="str">
        <f t="shared" si="11"/>
        <v>358</v>
      </c>
      <c r="D323" s="8" t="s">
        <v>119</v>
      </c>
      <c r="F323" s="8" t="s">
        <v>128</v>
      </c>
      <c r="G323" s="8" t="s">
        <v>346</v>
      </c>
      <c r="H323" s="8" t="s">
        <v>347</v>
      </c>
      <c r="I323" s="8" t="s">
        <v>131</v>
      </c>
      <c r="J323" s="8" t="s">
        <v>1208</v>
      </c>
      <c r="K323" s="8" t="s">
        <v>774</v>
      </c>
      <c r="L323" s="8" t="s">
        <v>775</v>
      </c>
      <c r="M323" s="8" t="s">
        <v>2785</v>
      </c>
      <c r="N323" s="8" t="s">
        <v>129</v>
      </c>
      <c r="O323" s="8">
        <v>798.2</v>
      </c>
      <c r="P323" s="8">
        <v>886.89</v>
      </c>
      <c r="Q323" s="8" t="s">
        <v>2533</v>
      </c>
      <c r="S323" s="8" t="s">
        <v>767</v>
      </c>
      <c r="T323" s="8">
        <v>53.85</v>
      </c>
    </row>
    <row r="324" spans="1:20" x14ac:dyDescent="0.2">
      <c r="A324" s="8" t="s">
        <v>3215</v>
      </c>
      <c r="B324" s="8" t="str">
        <f t="shared" si="10"/>
        <v>1586243841</v>
      </c>
      <c r="C324" s="8" t="str">
        <f t="shared" si="11"/>
        <v>359</v>
      </c>
      <c r="D324" s="8" t="s">
        <v>119</v>
      </c>
      <c r="F324" s="8" t="s">
        <v>128</v>
      </c>
      <c r="G324" s="8" t="s">
        <v>346</v>
      </c>
      <c r="H324" s="8" t="s">
        <v>347</v>
      </c>
      <c r="I324" s="8" t="s">
        <v>193</v>
      </c>
      <c r="J324" s="8" t="s">
        <v>773</v>
      </c>
      <c r="K324" s="8" t="s">
        <v>774</v>
      </c>
      <c r="L324" s="8" t="s">
        <v>775</v>
      </c>
      <c r="M324" s="8" t="s">
        <v>2785</v>
      </c>
      <c r="N324" s="8" t="s">
        <v>129</v>
      </c>
      <c r="O324" s="8">
        <v>798.2</v>
      </c>
      <c r="P324" s="8">
        <v>886.89</v>
      </c>
      <c r="Q324" s="8" t="s">
        <v>2533</v>
      </c>
      <c r="R324" s="8" t="s">
        <v>1654</v>
      </c>
    </row>
    <row r="325" spans="1:20" x14ac:dyDescent="0.2">
      <c r="A325" s="8" t="s">
        <v>2803</v>
      </c>
      <c r="B325" s="8" t="str">
        <f t="shared" si="10"/>
        <v>1586243841</v>
      </c>
      <c r="C325" s="8" t="str">
        <f t="shared" si="11"/>
        <v>360</v>
      </c>
      <c r="D325" s="8" t="s">
        <v>119</v>
      </c>
      <c r="F325" s="8" t="s">
        <v>128</v>
      </c>
      <c r="G325" s="8" t="s">
        <v>346</v>
      </c>
      <c r="H325" s="8" t="s">
        <v>347</v>
      </c>
      <c r="I325" s="8" t="s">
        <v>193</v>
      </c>
      <c r="J325" s="8" t="s">
        <v>773</v>
      </c>
      <c r="K325" s="8" t="s">
        <v>774</v>
      </c>
      <c r="L325" s="8" t="s">
        <v>775</v>
      </c>
      <c r="M325" s="8" t="s">
        <v>2785</v>
      </c>
      <c r="N325" s="8" t="s">
        <v>129</v>
      </c>
      <c r="O325" s="8">
        <v>798.2</v>
      </c>
      <c r="P325" s="8">
        <v>886.89</v>
      </c>
      <c r="Q325" s="8" t="s">
        <v>2533</v>
      </c>
      <c r="R325" s="8" t="s">
        <v>2074</v>
      </c>
    </row>
    <row r="326" spans="1:20" x14ac:dyDescent="0.2">
      <c r="A326" s="8" t="s">
        <v>3889</v>
      </c>
      <c r="B326" s="8" t="str">
        <f t="shared" si="10"/>
        <v>1586243841</v>
      </c>
      <c r="C326" s="8" t="str">
        <f t="shared" si="11"/>
        <v>361</v>
      </c>
      <c r="D326" s="8" t="s">
        <v>119</v>
      </c>
      <c r="F326" s="8" t="s">
        <v>128</v>
      </c>
      <c r="G326" s="8" t="s">
        <v>346</v>
      </c>
      <c r="H326" s="8" t="s">
        <v>347</v>
      </c>
      <c r="I326" s="8" t="s">
        <v>193</v>
      </c>
      <c r="J326" s="8" t="s">
        <v>773</v>
      </c>
      <c r="K326" s="8" t="s">
        <v>774</v>
      </c>
      <c r="L326" s="8" t="s">
        <v>775</v>
      </c>
      <c r="M326" s="8" t="s">
        <v>2785</v>
      </c>
      <c r="N326" s="8" t="s">
        <v>129</v>
      </c>
      <c r="O326" s="8">
        <v>798.2</v>
      </c>
      <c r="P326" s="8">
        <v>886.89</v>
      </c>
      <c r="Q326" s="8" t="s">
        <v>2533</v>
      </c>
      <c r="R326" s="8" t="s">
        <v>2098</v>
      </c>
    </row>
    <row r="327" spans="1:20" x14ac:dyDescent="0.2">
      <c r="A327" s="8" t="s">
        <v>4752</v>
      </c>
      <c r="B327" s="8" t="str">
        <f t="shared" si="10"/>
        <v>1586243841</v>
      </c>
      <c r="C327" s="8" t="str">
        <f t="shared" si="11"/>
        <v>362</v>
      </c>
      <c r="D327" s="8" t="s">
        <v>119</v>
      </c>
      <c r="F327" s="8" t="s">
        <v>128</v>
      </c>
      <c r="G327" s="8" t="s">
        <v>346</v>
      </c>
      <c r="H327" s="8" t="s">
        <v>347</v>
      </c>
      <c r="I327" s="8" t="s">
        <v>193</v>
      </c>
      <c r="J327" s="8" t="s">
        <v>773</v>
      </c>
      <c r="K327" s="8" t="s">
        <v>774</v>
      </c>
      <c r="L327" s="8" t="s">
        <v>775</v>
      </c>
      <c r="M327" s="8" t="s">
        <v>2785</v>
      </c>
      <c r="N327" s="8" t="s">
        <v>129</v>
      </c>
      <c r="O327" s="8">
        <v>798.2</v>
      </c>
      <c r="P327" s="8">
        <v>886.89</v>
      </c>
      <c r="Q327" s="8" t="s">
        <v>2533</v>
      </c>
      <c r="R327" s="8" t="s">
        <v>1472</v>
      </c>
    </row>
    <row r="328" spans="1:20" x14ac:dyDescent="0.2">
      <c r="A328" s="8" t="s">
        <v>4756</v>
      </c>
      <c r="B328" s="8" t="str">
        <f t="shared" si="10"/>
        <v>1586243841</v>
      </c>
      <c r="C328" s="8" t="str">
        <f t="shared" si="11"/>
        <v>363</v>
      </c>
      <c r="D328" s="8" t="s">
        <v>119</v>
      </c>
      <c r="F328" s="8" t="s">
        <v>128</v>
      </c>
      <c r="G328" s="8" t="s">
        <v>346</v>
      </c>
      <c r="H328" s="8" t="s">
        <v>347</v>
      </c>
      <c r="I328" s="8" t="s">
        <v>193</v>
      </c>
      <c r="J328" s="8" t="s">
        <v>773</v>
      </c>
      <c r="K328" s="8" t="s">
        <v>774</v>
      </c>
      <c r="L328" s="8" t="s">
        <v>775</v>
      </c>
      <c r="M328" s="8" t="s">
        <v>2785</v>
      </c>
      <c r="N328" s="8" t="s">
        <v>129</v>
      </c>
      <c r="O328" s="8">
        <v>798.2</v>
      </c>
      <c r="P328" s="8">
        <v>886.89</v>
      </c>
      <c r="Q328" s="8" t="s">
        <v>2533</v>
      </c>
      <c r="R328" s="8" t="s">
        <v>2454</v>
      </c>
    </row>
    <row r="329" spans="1:20" x14ac:dyDescent="0.2">
      <c r="A329" s="8" t="s">
        <v>4486</v>
      </c>
      <c r="B329" s="8" t="str">
        <f t="shared" si="10"/>
        <v>1586243841</v>
      </c>
      <c r="C329" s="8" t="str">
        <f t="shared" si="11"/>
        <v>364</v>
      </c>
      <c r="D329" s="8" t="s">
        <v>119</v>
      </c>
      <c r="F329" s="8" t="s">
        <v>128</v>
      </c>
      <c r="G329" s="8" t="s">
        <v>346</v>
      </c>
      <c r="H329" s="8" t="s">
        <v>347</v>
      </c>
      <c r="I329" s="8" t="s">
        <v>193</v>
      </c>
      <c r="J329" s="8" t="s">
        <v>773</v>
      </c>
      <c r="K329" s="8" t="s">
        <v>774</v>
      </c>
      <c r="L329" s="8" t="s">
        <v>775</v>
      </c>
      <c r="M329" s="8" t="s">
        <v>2785</v>
      </c>
      <c r="N329" s="8" t="s">
        <v>129</v>
      </c>
      <c r="O329" s="8">
        <v>798.2</v>
      </c>
      <c r="P329" s="8">
        <v>886.89</v>
      </c>
      <c r="Q329" s="8" t="s">
        <v>2533</v>
      </c>
      <c r="R329" s="8" t="s">
        <v>2155</v>
      </c>
    </row>
    <row r="330" spans="1:20" x14ac:dyDescent="0.2">
      <c r="A330" s="8" t="s">
        <v>3690</v>
      </c>
      <c r="B330" s="8" t="str">
        <f t="shared" si="10"/>
        <v>1586243841</v>
      </c>
      <c r="C330" s="8" t="str">
        <f t="shared" si="11"/>
        <v>365</v>
      </c>
      <c r="D330" s="8" t="s">
        <v>119</v>
      </c>
      <c r="F330" s="8" t="s">
        <v>128</v>
      </c>
      <c r="G330" s="8" t="s">
        <v>346</v>
      </c>
      <c r="H330" s="8" t="s">
        <v>347</v>
      </c>
      <c r="I330" s="8" t="s">
        <v>193</v>
      </c>
      <c r="J330" s="8" t="s">
        <v>773</v>
      </c>
      <c r="K330" s="8" t="s">
        <v>774</v>
      </c>
      <c r="L330" s="8" t="s">
        <v>775</v>
      </c>
      <c r="M330" s="8" t="s">
        <v>2785</v>
      </c>
      <c r="N330" s="8" t="s">
        <v>129</v>
      </c>
      <c r="O330" s="8">
        <v>798.2</v>
      </c>
      <c r="P330" s="8">
        <v>886.89</v>
      </c>
      <c r="Q330" s="8" t="s">
        <v>2533</v>
      </c>
      <c r="S330" s="8" t="s">
        <v>845</v>
      </c>
      <c r="T330" s="8">
        <v>202.87</v>
      </c>
    </row>
    <row r="331" spans="1:20" x14ac:dyDescent="0.2">
      <c r="A331" s="8" t="s">
        <v>4515</v>
      </c>
      <c r="B331" s="8" t="str">
        <f t="shared" si="10"/>
        <v>1586243841</v>
      </c>
      <c r="C331" s="8" t="str">
        <f t="shared" si="11"/>
        <v>366</v>
      </c>
      <c r="D331" s="8" t="s">
        <v>119</v>
      </c>
      <c r="F331" s="8" t="s">
        <v>128</v>
      </c>
      <c r="G331" s="8" t="s">
        <v>346</v>
      </c>
      <c r="H331" s="8" t="s">
        <v>347</v>
      </c>
      <c r="I331" s="8" t="s">
        <v>193</v>
      </c>
      <c r="J331" s="8" t="s">
        <v>773</v>
      </c>
      <c r="K331" s="8" t="s">
        <v>774</v>
      </c>
      <c r="L331" s="8" t="s">
        <v>775</v>
      </c>
      <c r="M331" s="8" t="s">
        <v>2785</v>
      </c>
      <c r="N331" s="8" t="s">
        <v>129</v>
      </c>
      <c r="O331" s="8">
        <v>798.2</v>
      </c>
      <c r="P331" s="8">
        <v>886.89</v>
      </c>
      <c r="Q331" s="8" t="s">
        <v>2533</v>
      </c>
      <c r="S331" s="8" t="s">
        <v>184</v>
      </c>
      <c r="T331" s="8">
        <v>169.67</v>
      </c>
    </row>
    <row r="332" spans="1:20" x14ac:dyDescent="0.2">
      <c r="A332" s="8" t="s">
        <v>3402</v>
      </c>
      <c r="B332" s="8" t="str">
        <f t="shared" si="10"/>
        <v>1586243841</v>
      </c>
      <c r="C332" s="8" t="str">
        <f t="shared" si="11"/>
        <v>367</v>
      </c>
      <c r="D332" s="8" t="s">
        <v>119</v>
      </c>
      <c r="F332" s="8" t="s">
        <v>128</v>
      </c>
      <c r="G332" s="8" t="s">
        <v>346</v>
      </c>
      <c r="H332" s="8" t="s">
        <v>347</v>
      </c>
      <c r="I332" s="8" t="s">
        <v>193</v>
      </c>
      <c r="J332" s="8" t="s">
        <v>773</v>
      </c>
      <c r="K332" s="8" t="s">
        <v>774</v>
      </c>
      <c r="L332" s="8" t="s">
        <v>775</v>
      </c>
      <c r="M332" s="8" t="s">
        <v>2785</v>
      </c>
      <c r="N332" s="8" t="s">
        <v>129</v>
      </c>
      <c r="O332" s="8">
        <v>798.2</v>
      </c>
      <c r="P332" s="8">
        <v>886.89</v>
      </c>
      <c r="Q332" s="8" t="s">
        <v>2533</v>
      </c>
      <c r="S332" s="8" t="s">
        <v>420</v>
      </c>
      <c r="T332" s="8">
        <v>96.64</v>
      </c>
    </row>
    <row r="333" spans="1:20" x14ac:dyDescent="0.2">
      <c r="A333" s="8" t="s">
        <v>3421</v>
      </c>
      <c r="B333" s="8" t="str">
        <f t="shared" si="10"/>
        <v>1586243841</v>
      </c>
      <c r="C333" s="8" t="str">
        <f t="shared" si="11"/>
        <v>368</v>
      </c>
      <c r="D333" s="8" t="s">
        <v>119</v>
      </c>
      <c r="F333" s="8" t="s">
        <v>128</v>
      </c>
      <c r="G333" s="8" t="s">
        <v>346</v>
      </c>
      <c r="H333" s="8" t="s">
        <v>347</v>
      </c>
      <c r="I333" s="8" t="s">
        <v>193</v>
      </c>
      <c r="J333" s="8" t="s">
        <v>773</v>
      </c>
      <c r="K333" s="8" t="s">
        <v>774</v>
      </c>
      <c r="L333" s="8" t="s">
        <v>775</v>
      </c>
      <c r="M333" s="8" t="s">
        <v>2785</v>
      </c>
      <c r="N333" s="8" t="s">
        <v>129</v>
      </c>
      <c r="O333" s="8">
        <v>798.2</v>
      </c>
      <c r="P333" s="8">
        <v>886.89</v>
      </c>
      <c r="Q333" s="8" t="s">
        <v>2533</v>
      </c>
      <c r="S333" s="8" t="s">
        <v>943</v>
      </c>
      <c r="T333" s="8">
        <v>169.67</v>
      </c>
    </row>
    <row r="334" spans="1:20" x14ac:dyDescent="0.2">
      <c r="A334" s="8" t="s">
        <v>3744</v>
      </c>
      <c r="B334" s="8" t="str">
        <f t="shared" si="10"/>
        <v>1586243841</v>
      </c>
      <c r="C334" s="8" t="str">
        <f t="shared" si="11"/>
        <v>369</v>
      </c>
      <c r="D334" s="8" t="s">
        <v>119</v>
      </c>
      <c r="F334" s="8" t="s">
        <v>128</v>
      </c>
      <c r="G334" s="8" t="s">
        <v>346</v>
      </c>
      <c r="H334" s="8" t="s">
        <v>347</v>
      </c>
      <c r="I334" s="8" t="s">
        <v>193</v>
      </c>
      <c r="J334" s="8" t="s">
        <v>773</v>
      </c>
      <c r="K334" s="8" t="s">
        <v>774</v>
      </c>
      <c r="L334" s="8" t="s">
        <v>775</v>
      </c>
      <c r="M334" s="8" t="s">
        <v>2785</v>
      </c>
      <c r="N334" s="8" t="s">
        <v>129</v>
      </c>
      <c r="O334" s="8">
        <v>798.2</v>
      </c>
      <c r="P334" s="8">
        <v>886.89</v>
      </c>
      <c r="Q334" s="8" t="s">
        <v>2533</v>
      </c>
      <c r="S334" s="8" t="s">
        <v>767</v>
      </c>
      <c r="T334" s="8">
        <v>53.85</v>
      </c>
    </row>
    <row r="335" spans="1:20" x14ac:dyDescent="0.2">
      <c r="A335" s="8" t="s">
        <v>4712</v>
      </c>
      <c r="B335" s="8" t="str">
        <f t="shared" si="10"/>
        <v>1586243843</v>
      </c>
      <c r="C335" s="8" t="str">
        <f t="shared" si="11"/>
        <v>370</v>
      </c>
      <c r="D335" s="8" t="s">
        <v>119</v>
      </c>
      <c r="F335" s="8" t="s">
        <v>128</v>
      </c>
      <c r="G335" s="8" t="s">
        <v>346</v>
      </c>
      <c r="H335" s="8" t="s">
        <v>347</v>
      </c>
      <c r="I335" s="8" t="s">
        <v>131</v>
      </c>
      <c r="J335" s="8" t="s">
        <v>1515</v>
      </c>
      <c r="K335" s="8" t="s">
        <v>1245</v>
      </c>
      <c r="L335" s="8" t="s">
        <v>1246</v>
      </c>
      <c r="M335" s="8" t="s">
        <v>2785</v>
      </c>
      <c r="N335" s="8" t="s">
        <v>129</v>
      </c>
      <c r="O335" s="8">
        <v>770.16</v>
      </c>
      <c r="P335" s="8">
        <v>855.74</v>
      </c>
      <c r="Q335" s="8" t="s">
        <v>2535</v>
      </c>
      <c r="R335" s="8" t="s">
        <v>2025</v>
      </c>
    </row>
    <row r="336" spans="1:20" x14ac:dyDescent="0.2">
      <c r="A336" s="8" t="s">
        <v>2860</v>
      </c>
      <c r="B336" s="8" t="str">
        <f t="shared" si="10"/>
        <v>1586243843</v>
      </c>
      <c r="C336" s="8" t="str">
        <f t="shared" si="11"/>
        <v>371</v>
      </c>
      <c r="D336" s="8" t="s">
        <v>119</v>
      </c>
      <c r="F336" s="8" t="s">
        <v>128</v>
      </c>
      <c r="G336" s="8" t="s">
        <v>346</v>
      </c>
      <c r="H336" s="8" t="s">
        <v>347</v>
      </c>
      <c r="I336" s="8" t="s">
        <v>131</v>
      </c>
      <c r="J336" s="8" t="s">
        <v>1515</v>
      </c>
      <c r="K336" s="8" t="s">
        <v>1245</v>
      </c>
      <c r="L336" s="8" t="s">
        <v>1246</v>
      </c>
      <c r="M336" s="8" t="s">
        <v>2785</v>
      </c>
      <c r="N336" s="8" t="s">
        <v>129</v>
      </c>
      <c r="O336" s="8">
        <v>770.16</v>
      </c>
      <c r="P336" s="8">
        <v>855.74</v>
      </c>
      <c r="Q336" s="8" t="s">
        <v>2535</v>
      </c>
      <c r="R336" s="8" t="s">
        <v>1883</v>
      </c>
    </row>
    <row r="337" spans="1:20" x14ac:dyDescent="0.2">
      <c r="A337" s="8" t="s">
        <v>3695</v>
      </c>
      <c r="B337" s="8" t="str">
        <f t="shared" si="10"/>
        <v>1586243843</v>
      </c>
      <c r="C337" s="8" t="str">
        <f t="shared" si="11"/>
        <v>372</v>
      </c>
      <c r="D337" s="8" t="s">
        <v>119</v>
      </c>
      <c r="F337" s="8" t="s">
        <v>128</v>
      </c>
      <c r="G337" s="8" t="s">
        <v>346</v>
      </c>
      <c r="H337" s="8" t="s">
        <v>347</v>
      </c>
      <c r="I337" s="8" t="s">
        <v>131</v>
      </c>
      <c r="J337" s="8" t="s">
        <v>1515</v>
      </c>
      <c r="K337" s="8" t="s">
        <v>1245</v>
      </c>
      <c r="L337" s="8" t="s">
        <v>1246</v>
      </c>
      <c r="M337" s="8" t="s">
        <v>2785</v>
      </c>
      <c r="N337" s="8" t="s">
        <v>129</v>
      </c>
      <c r="O337" s="8">
        <v>770.16</v>
      </c>
      <c r="P337" s="8">
        <v>855.74</v>
      </c>
      <c r="Q337" s="8" t="s">
        <v>2535</v>
      </c>
      <c r="R337" s="8" t="s">
        <v>2226</v>
      </c>
    </row>
    <row r="338" spans="1:20" x14ac:dyDescent="0.2">
      <c r="A338" s="8" t="s">
        <v>2784</v>
      </c>
      <c r="B338" s="8" t="str">
        <f t="shared" si="10"/>
        <v>1586243843</v>
      </c>
      <c r="C338" s="8" t="str">
        <f t="shared" si="11"/>
        <v>373</v>
      </c>
      <c r="D338" s="8" t="s">
        <v>119</v>
      </c>
      <c r="F338" s="8" t="s">
        <v>128</v>
      </c>
      <c r="G338" s="8" t="s">
        <v>346</v>
      </c>
      <c r="H338" s="8" t="s">
        <v>347</v>
      </c>
      <c r="I338" s="8" t="s">
        <v>131</v>
      </c>
      <c r="J338" s="8" t="s">
        <v>1515</v>
      </c>
      <c r="K338" s="8" t="s">
        <v>1245</v>
      </c>
      <c r="L338" s="8" t="s">
        <v>1246</v>
      </c>
      <c r="M338" s="8" t="s">
        <v>2785</v>
      </c>
      <c r="N338" s="8" t="s">
        <v>129</v>
      </c>
      <c r="O338" s="8">
        <v>770.16</v>
      </c>
      <c r="P338" s="8">
        <v>855.74</v>
      </c>
      <c r="Q338" s="8" t="s">
        <v>2535</v>
      </c>
      <c r="S338" s="8" t="s">
        <v>142</v>
      </c>
      <c r="T338" s="8">
        <v>77.459999999999994</v>
      </c>
    </row>
    <row r="339" spans="1:20" x14ac:dyDescent="0.2">
      <c r="A339" s="8" t="s">
        <v>3316</v>
      </c>
      <c r="B339" s="8" t="str">
        <f t="shared" si="10"/>
        <v>1586243843</v>
      </c>
      <c r="C339" s="8" t="str">
        <f t="shared" si="11"/>
        <v>374</v>
      </c>
      <c r="D339" s="8" t="s">
        <v>119</v>
      </c>
      <c r="F339" s="8" t="s">
        <v>128</v>
      </c>
      <c r="G339" s="8" t="s">
        <v>346</v>
      </c>
      <c r="H339" s="8" t="s">
        <v>347</v>
      </c>
      <c r="I339" s="8" t="s">
        <v>131</v>
      </c>
      <c r="J339" s="8" t="s">
        <v>1515</v>
      </c>
      <c r="K339" s="8" t="s">
        <v>1245</v>
      </c>
      <c r="L339" s="8" t="s">
        <v>1246</v>
      </c>
      <c r="M339" s="8" t="s">
        <v>2785</v>
      </c>
      <c r="N339" s="8" t="s">
        <v>129</v>
      </c>
      <c r="O339" s="8">
        <v>770.16</v>
      </c>
      <c r="P339" s="8">
        <v>855.74</v>
      </c>
      <c r="Q339" s="8" t="s">
        <v>2535</v>
      </c>
      <c r="S339" s="8" t="s">
        <v>184</v>
      </c>
      <c r="T339" s="8">
        <v>169.67</v>
      </c>
    </row>
    <row r="340" spans="1:20" x14ac:dyDescent="0.2">
      <c r="A340" s="8" t="s">
        <v>3199</v>
      </c>
      <c r="B340" s="8" t="str">
        <f t="shared" si="10"/>
        <v>1586243843</v>
      </c>
      <c r="C340" s="8" t="str">
        <f t="shared" si="11"/>
        <v>375</v>
      </c>
      <c r="D340" s="8" t="s">
        <v>119</v>
      </c>
      <c r="F340" s="8" t="s">
        <v>128</v>
      </c>
      <c r="G340" s="8" t="s">
        <v>346</v>
      </c>
      <c r="H340" s="8" t="s">
        <v>347</v>
      </c>
      <c r="I340" s="8" t="s">
        <v>131</v>
      </c>
      <c r="J340" s="8" t="s">
        <v>1515</v>
      </c>
      <c r="K340" s="8" t="s">
        <v>1245</v>
      </c>
      <c r="L340" s="8" t="s">
        <v>1246</v>
      </c>
      <c r="M340" s="8" t="s">
        <v>2785</v>
      </c>
      <c r="N340" s="8" t="s">
        <v>129</v>
      </c>
      <c r="O340" s="8">
        <v>770.16</v>
      </c>
      <c r="P340" s="8">
        <v>855.74</v>
      </c>
      <c r="Q340" s="8" t="s">
        <v>2535</v>
      </c>
      <c r="S340" s="8" t="s">
        <v>420</v>
      </c>
      <c r="T340" s="8">
        <v>96.64</v>
      </c>
    </row>
    <row r="341" spans="1:20" x14ac:dyDescent="0.2">
      <c r="A341" s="8" t="s">
        <v>3301</v>
      </c>
      <c r="B341" s="8" t="str">
        <f t="shared" si="10"/>
        <v>1586243845</v>
      </c>
      <c r="C341" s="8" t="str">
        <f t="shared" si="11"/>
        <v>376</v>
      </c>
      <c r="D341" s="8" t="s">
        <v>119</v>
      </c>
      <c r="F341" s="8" t="s">
        <v>128</v>
      </c>
      <c r="G341" s="8" t="s">
        <v>346</v>
      </c>
      <c r="H341" s="8" t="s">
        <v>347</v>
      </c>
      <c r="I341" s="8" t="s">
        <v>193</v>
      </c>
      <c r="J341" s="8" t="s">
        <v>1244</v>
      </c>
      <c r="K341" s="8" t="s">
        <v>1245</v>
      </c>
      <c r="L341" s="8" t="s">
        <v>1246</v>
      </c>
      <c r="M341" s="8" t="s">
        <v>2785</v>
      </c>
      <c r="N341" s="8" t="s">
        <v>129</v>
      </c>
      <c r="O341" s="8">
        <v>770.16</v>
      </c>
      <c r="P341" s="8">
        <v>855.74</v>
      </c>
      <c r="Q341" s="8" t="s">
        <v>2535</v>
      </c>
      <c r="R341" s="8" t="s">
        <v>2190</v>
      </c>
    </row>
    <row r="342" spans="1:20" x14ac:dyDescent="0.2">
      <c r="A342" s="8" t="s">
        <v>3877</v>
      </c>
      <c r="B342" s="8" t="str">
        <f t="shared" si="10"/>
        <v>1586243845</v>
      </c>
      <c r="C342" s="8" t="str">
        <f t="shared" si="11"/>
        <v>377</v>
      </c>
      <c r="D342" s="8" t="s">
        <v>119</v>
      </c>
      <c r="F342" s="8" t="s">
        <v>128</v>
      </c>
      <c r="G342" s="8" t="s">
        <v>346</v>
      </c>
      <c r="H342" s="8" t="s">
        <v>347</v>
      </c>
      <c r="I342" s="8" t="s">
        <v>193</v>
      </c>
      <c r="J342" s="8" t="s">
        <v>1244</v>
      </c>
      <c r="K342" s="8" t="s">
        <v>1245</v>
      </c>
      <c r="L342" s="8" t="s">
        <v>1246</v>
      </c>
      <c r="M342" s="8" t="s">
        <v>2785</v>
      </c>
      <c r="N342" s="8" t="s">
        <v>129</v>
      </c>
      <c r="O342" s="8">
        <v>770.16</v>
      </c>
      <c r="P342" s="8">
        <v>855.74</v>
      </c>
      <c r="Q342" s="8" t="s">
        <v>2535</v>
      </c>
      <c r="R342" s="8" t="s">
        <v>1247</v>
      </c>
    </row>
    <row r="343" spans="1:20" x14ac:dyDescent="0.2">
      <c r="A343" s="8" t="s">
        <v>4275</v>
      </c>
      <c r="B343" s="8" t="str">
        <f t="shared" si="10"/>
        <v>1586243845</v>
      </c>
      <c r="C343" s="8" t="str">
        <f t="shared" si="11"/>
        <v>378</v>
      </c>
      <c r="D343" s="8" t="s">
        <v>119</v>
      </c>
      <c r="F343" s="8" t="s">
        <v>128</v>
      </c>
      <c r="G343" s="8" t="s">
        <v>346</v>
      </c>
      <c r="H343" s="8" t="s">
        <v>347</v>
      </c>
      <c r="I343" s="8" t="s">
        <v>193</v>
      </c>
      <c r="J343" s="8" t="s">
        <v>1244</v>
      </c>
      <c r="K343" s="8" t="s">
        <v>1245</v>
      </c>
      <c r="L343" s="8" t="s">
        <v>1246</v>
      </c>
      <c r="M343" s="8" t="s">
        <v>2785</v>
      </c>
      <c r="N343" s="8" t="s">
        <v>129</v>
      </c>
      <c r="O343" s="8">
        <v>770.16</v>
      </c>
      <c r="P343" s="8">
        <v>855.74</v>
      </c>
      <c r="Q343" s="8" t="s">
        <v>2535</v>
      </c>
      <c r="R343" s="8" t="s">
        <v>1291</v>
      </c>
    </row>
    <row r="344" spans="1:20" x14ac:dyDescent="0.2">
      <c r="A344" s="8" t="s">
        <v>4005</v>
      </c>
      <c r="B344" s="8" t="str">
        <f t="shared" si="10"/>
        <v>1586243845</v>
      </c>
      <c r="C344" s="8" t="str">
        <f t="shared" si="11"/>
        <v>379</v>
      </c>
      <c r="D344" s="8" t="s">
        <v>119</v>
      </c>
      <c r="F344" s="8" t="s">
        <v>128</v>
      </c>
      <c r="G344" s="8" t="s">
        <v>346</v>
      </c>
      <c r="H344" s="8" t="s">
        <v>347</v>
      </c>
      <c r="I344" s="8" t="s">
        <v>193</v>
      </c>
      <c r="J344" s="8" t="s">
        <v>1244</v>
      </c>
      <c r="K344" s="8" t="s">
        <v>1245</v>
      </c>
      <c r="L344" s="8" t="s">
        <v>1246</v>
      </c>
      <c r="M344" s="8" t="s">
        <v>2785</v>
      </c>
      <c r="N344" s="8" t="s">
        <v>129</v>
      </c>
      <c r="O344" s="8">
        <v>770.16</v>
      </c>
      <c r="P344" s="8">
        <v>855.74</v>
      </c>
      <c r="Q344" s="8" t="s">
        <v>2535</v>
      </c>
      <c r="S344" s="8" t="s">
        <v>845</v>
      </c>
      <c r="T344" s="8">
        <v>202.87</v>
      </c>
    </row>
    <row r="345" spans="1:20" x14ac:dyDescent="0.2">
      <c r="A345" s="8" t="s">
        <v>3935</v>
      </c>
      <c r="B345" s="8" t="str">
        <f t="shared" si="10"/>
        <v>1586243845</v>
      </c>
      <c r="C345" s="8" t="str">
        <f t="shared" si="11"/>
        <v>380</v>
      </c>
      <c r="D345" s="8" t="s">
        <v>119</v>
      </c>
      <c r="F345" s="8" t="s">
        <v>128</v>
      </c>
      <c r="G345" s="8" t="s">
        <v>346</v>
      </c>
      <c r="H345" s="8" t="s">
        <v>347</v>
      </c>
      <c r="I345" s="8" t="s">
        <v>193</v>
      </c>
      <c r="J345" s="8" t="s">
        <v>1244</v>
      </c>
      <c r="K345" s="8" t="s">
        <v>1245</v>
      </c>
      <c r="L345" s="8" t="s">
        <v>1246</v>
      </c>
      <c r="M345" s="8" t="s">
        <v>2785</v>
      </c>
      <c r="N345" s="8" t="s">
        <v>129</v>
      </c>
      <c r="O345" s="8">
        <v>770.16</v>
      </c>
      <c r="P345" s="8">
        <v>855.74</v>
      </c>
      <c r="Q345" s="8" t="s">
        <v>2535</v>
      </c>
      <c r="S345" s="8" t="s">
        <v>184</v>
      </c>
      <c r="T345" s="8">
        <v>169.67</v>
      </c>
    </row>
    <row r="346" spans="1:20" x14ac:dyDescent="0.2">
      <c r="A346" s="8" t="s">
        <v>4530</v>
      </c>
      <c r="B346" s="8" t="str">
        <f t="shared" si="10"/>
        <v>1586243845</v>
      </c>
      <c r="C346" s="8" t="str">
        <f t="shared" si="11"/>
        <v>381</v>
      </c>
      <c r="D346" s="8" t="s">
        <v>119</v>
      </c>
      <c r="F346" s="8" t="s">
        <v>128</v>
      </c>
      <c r="G346" s="8" t="s">
        <v>346</v>
      </c>
      <c r="H346" s="8" t="s">
        <v>347</v>
      </c>
      <c r="I346" s="8" t="s">
        <v>193</v>
      </c>
      <c r="J346" s="8" t="s">
        <v>1244</v>
      </c>
      <c r="K346" s="8" t="s">
        <v>1245</v>
      </c>
      <c r="L346" s="8" t="s">
        <v>1246</v>
      </c>
      <c r="M346" s="8" t="s">
        <v>2785</v>
      </c>
      <c r="N346" s="8" t="s">
        <v>129</v>
      </c>
      <c r="O346" s="8">
        <v>770.16</v>
      </c>
      <c r="P346" s="8">
        <v>855.74</v>
      </c>
      <c r="Q346" s="8" t="s">
        <v>2535</v>
      </c>
      <c r="S346" s="8" t="s">
        <v>420</v>
      </c>
      <c r="T346" s="8">
        <v>96.64</v>
      </c>
    </row>
    <row r="347" spans="1:20" x14ac:dyDescent="0.2">
      <c r="A347" s="8" t="s">
        <v>4698</v>
      </c>
      <c r="B347" s="8" t="str">
        <f t="shared" si="10"/>
        <v>1586243849</v>
      </c>
      <c r="C347" s="8" t="str">
        <f t="shared" si="11"/>
        <v>382</v>
      </c>
      <c r="D347" s="8" t="s">
        <v>119</v>
      </c>
      <c r="F347" s="8" t="s">
        <v>128</v>
      </c>
      <c r="G347" s="8" t="s">
        <v>786</v>
      </c>
      <c r="H347" s="8" t="s">
        <v>787</v>
      </c>
      <c r="I347" s="8" t="s">
        <v>167</v>
      </c>
      <c r="J347" s="8" t="s">
        <v>862</v>
      </c>
      <c r="K347" s="8" t="s">
        <v>863</v>
      </c>
      <c r="L347" s="8" t="s">
        <v>864</v>
      </c>
      <c r="M347" s="8" t="s">
        <v>2785</v>
      </c>
      <c r="N347" s="8" t="s">
        <v>786</v>
      </c>
      <c r="O347" s="8">
        <v>647.70000000000005</v>
      </c>
      <c r="P347" s="8">
        <v>719.67</v>
      </c>
      <c r="Q347" s="8" t="s">
        <v>2536</v>
      </c>
      <c r="R347" s="8" t="s">
        <v>2371</v>
      </c>
    </row>
    <row r="348" spans="1:20" x14ac:dyDescent="0.2">
      <c r="A348" s="8" t="s">
        <v>4173</v>
      </c>
      <c r="B348" s="8" t="str">
        <f t="shared" si="10"/>
        <v>1586243849</v>
      </c>
      <c r="C348" s="8" t="str">
        <f t="shared" si="11"/>
        <v>383</v>
      </c>
      <c r="D348" s="8" t="s">
        <v>119</v>
      </c>
      <c r="F348" s="8" t="s">
        <v>128</v>
      </c>
      <c r="G348" s="8" t="s">
        <v>786</v>
      </c>
      <c r="H348" s="8" t="s">
        <v>787</v>
      </c>
      <c r="I348" s="8" t="s">
        <v>167</v>
      </c>
      <c r="J348" s="8" t="s">
        <v>862</v>
      </c>
      <c r="K348" s="8" t="s">
        <v>863</v>
      </c>
      <c r="L348" s="8" t="s">
        <v>864</v>
      </c>
      <c r="M348" s="8" t="s">
        <v>2785</v>
      </c>
      <c r="N348" s="8" t="s">
        <v>786</v>
      </c>
      <c r="O348" s="8">
        <v>647.70000000000005</v>
      </c>
      <c r="P348" s="8">
        <v>719.67</v>
      </c>
      <c r="Q348" s="8" t="s">
        <v>2536</v>
      </c>
      <c r="R348" s="8" t="s">
        <v>1902</v>
      </c>
    </row>
    <row r="349" spans="1:20" x14ac:dyDescent="0.2">
      <c r="A349" s="8" t="s">
        <v>3511</v>
      </c>
      <c r="B349" s="8" t="str">
        <f t="shared" si="10"/>
        <v>1586243849</v>
      </c>
      <c r="C349" s="8" t="str">
        <f t="shared" si="11"/>
        <v>384</v>
      </c>
      <c r="D349" s="8" t="s">
        <v>119</v>
      </c>
      <c r="F349" s="8" t="s">
        <v>128</v>
      </c>
      <c r="G349" s="8" t="s">
        <v>786</v>
      </c>
      <c r="H349" s="8" t="s">
        <v>787</v>
      </c>
      <c r="I349" s="8" t="s">
        <v>167</v>
      </c>
      <c r="J349" s="8" t="s">
        <v>862</v>
      </c>
      <c r="K349" s="8" t="s">
        <v>863</v>
      </c>
      <c r="L349" s="8" t="s">
        <v>864</v>
      </c>
      <c r="M349" s="8" t="s">
        <v>2785</v>
      </c>
      <c r="N349" s="8" t="s">
        <v>786</v>
      </c>
      <c r="O349" s="8">
        <v>647.70000000000005</v>
      </c>
      <c r="P349" s="8">
        <v>719.67</v>
      </c>
      <c r="Q349" s="8" t="s">
        <v>2536</v>
      </c>
      <c r="R349" s="8" t="s">
        <v>865</v>
      </c>
    </row>
    <row r="350" spans="1:20" x14ac:dyDescent="0.2">
      <c r="A350" s="8" t="s">
        <v>3799</v>
      </c>
      <c r="B350" s="8" t="str">
        <f t="shared" si="10"/>
        <v>1586243849</v>
      </c>
      <c r="C350" s="8" t="str">
        <f t="shared" si="11"/>
        <v>385</v>
      </c>
      <c r="D350" s="8" t="s">
        <v>119</v>
      </c>
      <c r="F350" s="8" t="s">
        <v>128</v>
      </c>
      <c r="G350" s="8" t="s">
        <v>786</v>
      </c>
      <c r="H350" s="8" t="s">
        <v>787</v>
      </c>
      <c r="I350" s="8" t="s">
        <v>167</v>
      </c>
      <c r="J350" s="8" t="s">
        <v>862</v>
      </c>
      <c r="K350" s="8" t="s">
        <v>863</v>
      </c>
      <c r="L350" s="8" t="s">
        <v>864</v>
      </c>
      <c r="M350" s="8" t="s">
        <v>2785</v>
      </c>
      <c r="N350" s="8" t="s">
        <v>786</v>
      </c>
      <c r="O350" s="8">
        <v>647.70000000000005</v>
      </c>
      <c r="P350" s="8">
        <v>719.67</v>
      </c>
      <c r="Q350" s="8" t="s">
        <v>2536</v>
      </c>
      <c r="R350" s="8" t="s">
        <v>1616</v>
      </c>
    </row>
    <row r="351" spans="1:20" x14ac:dyDescent="0.2">
      <c r="A351" s="8" t="s">
        <v>4700</v>
      </c>
      <c r="B351" s="8" t="str">
        <f t="shared" si="10"/>
        <v>1586243849</v>
      </c>
      <c r="C351" s="8" t="str">
        <f t="shared" si="11"/>
        <v>386</v>
      </c>
      <c r="D351" s="8" t="s">
        <v>119</v>
      </c>
      <c r="F351" s="8" t="s">
        <v>128</v>
      </c>
      <c r="G351" s="8" t="s">
        <v>786</v>
      </c>
      <c r="H351" s="8" t="s">
        <v>787</v>
      </c>
      <c r="I351" s="8" t="s">
        <v>167</v>
      </c>
      <c r="J351" s="8" t="s">
        <v>862</v>
      </c>
      <c r="K351" s="8" t="s">
        <v>863</v>
      </c>
      <c r="L351" s="8" t="s">
        <v>864</v>
      </c>
      <c r="M351" s="8" t="s">
        <v>2785</v>
      </c>
      <c r="N351" s="8" t="s">
        <v>786</v>
      </c>
      <c r="O351" s="8">
        <v>647.70000000000005</v>
      </c>
      <c r="P351" s="8">
        <v>719.67</v>
      </c>
      <c r="Q351" s="8" t="s">
        <v>2536</v>
      </c>
      <c r="R351" s="8" t="s">
        <v>1795</v>
      </c>
    </row>
    <row r="352" spans="1:20" x14ac:dyDescent="0.2">
      <c r="A352" s="8" t="s">
        <v>3926</v>
      </c>
      <c r="B352" s="8" t="str">
        <f t="shared" si="10"/>
        <v>1586243849</v>
      </c>
      <c r="C352" s="8" t="str">
        <f t="shared" si="11"/>
        <v>387</v>
      </c>
      <c r="D352" s="8" t="s">
        <v>119</v>
      </c>
      <c r="F352" s="8" t="s">
        <v>128</v>
      </c>
      <c r="G352" s="8" t="s">
        <v>786</v>
      </c>
      <c r="H352" s="8" t="s">
        <v>787</v>
      </c>
      <c r="I352" s="8" t="s">
        <v>167</v>
      </c>
      <c r="J352" s="8" t="s">
        <v>862</v>
      </c>
      <c r="K352" s="8" t="s">
        <v>863</v>
      </c>
      <c r="L352" s="8" t="s">
        <v>864</v>
      </c>
      <c r="M352" s="8" t="s">
        <v>2785</v>
      </c>
      <c r="N352" s="8" t="s">
        <v>786</v>
      </c>
      <c r="O352" s="8">
        <v>647.70000000000005</v>
      </c>
      <c r="P352" s="8">
        <v>719.67</v>
      </c>
      <c r="Q352" s="8" t="s">
        <v>2536</v>
      </c>
      <c r="R352" s="8" t="s">
        <v>1115</v>
      </c>
    </row>
    <row r="353" spans="1:20" x14ac:dyDescent="0.2">
      <c r="A353" s="8" t="s">
        <v>3816</v>
      </c>
      <c r="B353" s="8" t="str">
        <f t="shared" si="10"/>
        <v>1586243849</v>
      </c>
      <c r="C353" s="8" t="str">
        <f t="shared" si="11"/>
        <v>388</v>
      </c>
      <c r="D353" s="8" t="s">
        <v>119</v>
      </c>
      <c r="F353" s="8" t="s">
        <v>128</v>
      </c>
      <c r="G353" s="8" t="s">
        <v>786</v>
      </c>
      <c r="H353" s="8" t="s">
        <v>787</v>
      </c>
      <c r="I353" s="8" t="s">
        <v>167</v>
      </c>
      <c r="J353" s="8" t="s">
        <v>862</v>
      </c>
      <c r="K353" s="8" t="s">
        <v>863</v>
      </c>
      <c r="L353" s="8" t="s">
        <v>864</v>
      </c>
      <c r="M353" s="8" t="s">
        <v>2785</v>
      </c>
      <c r="N353" s="8" t="s">
        <v>786</v>
      </c>
      <c r="O353" s="8">
        <v>647.70000000000005</v>
      </c>
      <c r="P353" s="8">
        <v>719.67</v>
      </c>
      <c r="Q353" s="8" t="s">
        <v>2536</v>
      </c>
      <c r="S353" s="8" t="s">
        <v>331</v>
      </c>
      <c r="T353" s="8">
        <v>38.36</v>
      </c>
    </row>
    <row r="354" spans="1:20" x14ac:dyDescent="0.2">
      <c r="A354" s="8" t="s">
        <v>4225</v>
      </c>
      <c r="B354" s="8" t="str">
        <f t="shared" si="10"/>
        <v>1586243849</v>
      </c>
      <c r="C354" s="8" t="str">
        <f t="shared" si="11"/>
        <v>389</v>
      </c>
      <c r="D354" s="8" t="s">
        <v>119</v>
      </c>
      <c r="F354" s="8" t="s">
        <v>128</v>
      </c>
      <c r="G354" s="8" t="s">
        <v>786</v>
      </c>
      <c r="H354" s="8" t="s">
        <v>787</v>
      </c>
      <c r="I354" s="8" t="s">
        <v>167</v>
      </c>
      <c r="J354" s="8" t="s">
        <v>862</v>
      </c>
      <c r="K354" s="8" t="s">
        <v>863</v>
      </c>
      <c r="L354" s="8" t="s">
        <v>864</v>
      </c>
      <c r="M354" s="8" t="s">
        <v>2785</v>
      </c>
      <c r="N354" s="8" t="s">
        <v>786</v>
      </c>
      <c r="O354" s="8">
        <v>647.70000000000005</v>
      </c>
      <c r="P354" s="8">
        <v>719.67</v>
      </c>
      <c r="Q354" s="8" t="s">
        <v>2536</v>
      </c>
      <c r="S354" s="8" t="s">
        <v>184</v>
      </c>
      <c r="T354" s="8">
        <v>192.54</v>
      </c>
    </row>
    <row r="355" spans="1:20" x14ac:dyDescent="0.2">
      <c r="A355" s="8" t="s">
        <v>4516</v>
      </c>
      <c r="B355" s="8" t="str">
        <f t="shared" si="10"/>
        <v>1586243849</v>
      </c>
      <c r="C355" s="8" t="str">
        <f t="shared" si="11"/>
        <v>390</v>
      </c>
      <c r="D355" s="8" t="s">
        <v>119</v>
      </c>
      <c r="F355" s="8" t="s">
        <v>128</v>
      </c>
      <c r="G355" s="8" t="s">
        <v>786</v>
      </c>
      <c r="H355" s="8" t="s">
        <v>787</v>
      </c>
      <c r="I355" s="8" t="s">
        <v>167</v>
      </c>
      <c r="J355" s="8" t="s">
        <v>862</v>
      </c>
      <c r="K355" s="8" t="s">
        <v>863</v>
      </c>
      <c r="L355" s="8" t="s">
        <v>864</v>
      </c>
      <c r="M355" s="8" t="s">
        <v>2785</v>
      </c>
      <c r="N355" s="8" t="s">
        <v>786</v>
      </c>
      <c r="O355" s="8">
        <v>647.70000000000005</v>
      </c>
      <c r="P355" s="8">
        <v>719.67</v>
      </c>
      <c r="Q355" s="8" t="s">
        <v>2536</v>
      </c>
      <c r="S355" s="8" t="s">
        <v>1210</v>
      </c>
      <c r="T355" s="8">
        <v>42.05</v>
      </c>
    </row>
    <row r="356" spans="1:20" x14ac:dyDescent="0.2">
      <c r="A356" s="8" t="s">
        <v>4261</v>
      </c>
      <c r="B356" s="8" t="str">
        <f t="shared" si="10"/>
        <v>1586243851</v>
      </c>
      <c r="C356" s="8" t="str">
        <f t="shared" si="11"/>
        <v>391</v>
      </c>
      <c r="D356" s="8" t="s">
        <v>119</v>
      </c>
      <c r="F356" s="8" t="s">
        <v>128</v>
      </c>
      <c r="G356" s="8" t="s">
        <v>786</v>
      </c>
      <c r="H356" s="8" t="s">
        <v>787</v>
      </c>
      <c r="I356" s="8" t="s">
        <v>332</v>
      </c>
      <c r="J356" s="8" t="s">
        <v>788</v>
      </c>
      <c r="K356" s="8" t="s">
        <v>687</v>
      </c>
      <c r="L356" s="8" t="s">
        <v>789</v>
      </c>
      <c r="M356" s="8" t="s">
        <v>2785</v>
      </c>
      <c r="N356" s="8" t="s">
        <v>786</v>
      </c>
      <c r="O356" s="8">
        <v>911.8</v>
      </c>
      <c r="P356" s="8">
        <v>1013.11</v>
      </c>
      <c r="Q356" s="8" t="s">
        <v>2537</v>
      </c>
      <c r="R356" s="8" t="s">
        <v>1290</v>
      </c>
    </row>
    <row r="357" spans="1:20" x14ac:dyDescent="0.2">
      <c r="A357" s="8" t="s">
        <v>3843</v>
      </c>
      <c r="B357" s="8" t="str">
        <f t="shared" si="10"/>
        <v>1586243851</v>
      </c>
      <c r="C357" s="8" t="str">
        <f t="shared" si="11"/>
        <v>392</v>
      </c>
      <c r="D357" s="8" t="s">
        <v>119</v>
      </c>
      <c r="F357" s="8" t="s">
        <v>128</v>
      </c>
      <c r="G357" s="8" t="s">
        <v>786</v>
      </c>
      <c r="H357" s="8" t="s">
        <v>787</v>
      </c>
      <c r="I357" s="8" t="s">
        <v>332</v>
      </c>
      <c r="J357" s="8" t="s">
        <v>788</v>
      </c>
      <c r="K357" s="8" t="s">
        <v>687</v>
      </c>
      <c r="L357" s="8" t="s">
        <v>789</v>
      </c>
      <c r="M357" s="8" t="s">
        <v>2785</v>
      </c>
      <c r="N357" s="8" t="s">
        <v>786</v>
      </c>
      <c r="O357" s="8">
        <v>911.8</v>
      </c>
      <c r="P357" s="8">
        <v>1013.11</v>
      </c>
      <c r="Q357" s="8" t="s">
        <v>2537</v>
      </c>
      <c r="R357" s="8" t="s">
        <v>2145</v>
      </c>
    </row>
    <row r="358" spans="1:20" x14ac:dyDescent="0.2">
      <c r="A358" s="8" t="s">
        <v>2999</v>
      </c>
      <c r="B358" s="8" t="str">
        <f t="shared" si="10"/>
        <v>1586243851</v>
      </c>
      <c r="C358" s="8" t="str">
        <f t="shared" si="11"/>
        <v>393</v>
      </c>
      <c r="D358" s="8" t="s">
        <v>119</v>
      </c>
      <c r="F358" s="8" t="s">
        <v>128</v>
      </c>
      <c r="G358" s="8" t="s">
        <v>786</v>
      </c>
      <c r="H358" s="8" t="s">
        <v>787</v>
      </c>
      <c r="I358" s="8" t="s">
        <v>332</v>
      </c>
      <c r="J358" s="8" t="s">
        <v>788</v>
      </c>
      <c r="K358" s="8" t="s">
        <v>687</v>
      </c>
      <c r="L358" s="8" t="s">
        <v>789</v>
      </c>
      <c r="M358" s="8" t="s">
        <v>2785</v>
      </c>
      <c r="N358" s="8" t="s">
        <v>786</v>
      </c>
      <c r="O358" s="8">
        <v>911.8</v>
      </c>
      <c r="P358" s="8">
        <v>1013.11</v>
      </c>
      <c r="Q358" s="8" t="s">
        <v>2537</v>
      </c>
      <c r="R358" s="8" t="s">
        <v>1215</v>
      </c>
    </row>
    <row r="359" spans="1:20" x14ac:dyDescent="0.2">
      <c r="A359" s="8" t="s">
        <v>3611</v>
      </c>
      <c r="B359" s="8" t="str">
        <f t="shared" si="10"/>
        <v>1586243851</v>
      </c>
      <c r="C359" s="8" t="str">
        <f t="shared" si="11"/>
        <v>394</v>
      </c>
      <c r="D359" s="8" t="s">
        <v>119</v>
      </c>
      <c r="F359" s="8" t="s">
        <v>128</v>
      </c>
      <c r="G359" s="8" t="s">
        <v>786</v>
      </c>
      <c r="H359" s="8" t="s">
        <v>787</v>
      </c>
      <c r="I359" s="8" t="s">
        <v>332</v>
      </c>
      <c r="J359" s="8" t="s">
        <v>788</v>
      </c>
      <c r="K359" s="8" t="s">
        <v>687</v>
      </c>
      <c r="L359" s="8" t="s">
        <v>789</v>
      </c>
      <c r="M359" s="8" t="s">
        <v>2785</v>
      </c>
      <c r="N359" s="8" t="s">
        <v>786</v>
      </c>
      <c r="O359" s="8">
        <v>911.8</v>
      </c>
      <c r="P359" s="8">
        <v>1013.11</v>
      </c>
      <c r="Q359" s="8" t="s">
        <v>2537</v>
      </c>
      <c r="R359" s="8" t="s">
        <v>1908</v>
      </c>
    </row>
    <row r="360" spans="1:20" x14ac:dyDescent="0.2">
      <c r="A360" s="8" t="s">
        <v>2867</v>
      </c>
      <c r="B360" s="8" t="str">
        <f t="shared" si="10"/>
        <v>1586243851</v>
      </c>
      <c r="C360" s="8" t="str">
        <f t="shared" si="11"/>
        <v>395</v>
      </c>
      <c r="D360" s="8" t="s">
        <v>119</v>
      </c>
      <c r="F360" s="8" t="s">
        <v>128</v>
      </c>
      <c r="G360" s="8" t="s">
        <v>786</v>
      </c>
      <c r="H360" s="8" t="s">
        <v>787</v>
      </c>
      <c r="I360" s="8" t="s">
        <v>332</v>
      </c>
      <c r="J360" s="8" t="s">
        <v>788</v>
      </c>
      <c r="K360" s="8" t="s">
        <v>687</v>
      </c>
      <c r="L360" s="8" t="s">
        <v>789</v>
      </c>
      <c r="M360" s="8" t="s">
        <v>2785</v>
      </c>
      <c r="N360" s="8" t="s">
        <v>786</v>
      </c>
      <c r="O360" s="8">
        <v>911.8</v>
      </c>
      <c r="P360" s="8">
        <v>1013.11</v>
      </c>
      <c r="Q360" s="8" t="s">
        <v>2537</v>
      </c>
      <c r="S360" s="8" t="s">
        <v>184</v>
      </c>
      <c r="T360" s="8">
        <v>216.89</v>
      </c>
    </row>
    <row r="361" spans="1:20" x14ac:dyDescent="0.2">
      <c r="A361" s="8" t="s">
        <v>4545</v>
      </c>
      <c r="B361" s="8" t="str">
        <f t="shared" si="10"/>
        <v>1586243851</v>
      </c>
      <c r="C361" s="8" t="str">
        <f t="shared" si="11"/>
        <v>396</v>
      </c>
      <c r="D361" s="8" t="s">
        <v>119</v>
      </c>
      <c r="F361" s="8" t="s">
        <v>128</v>
      </c>
      <c r="G361" s="8" t="s">
        <v>786</v>
      </c>
      <c r="H361" s="8" t="s">
        <v>787</v>
      </c>
      <c r="I361" s="8" t="s">
        <v>332</v>
      </c>
      <c r="J361" s="8" t="s">
        <v>788</v>
      </c>
      <c r="K361" s="8" t="s">
        <v>687</v>
      </c>
      <c r="L361" s="8" t="s">
        <v>789</v>
      </c>
      <c r="M361" s="8" t="s">
        <v>2785</v>
      </c>
      <c r="N361" s="8" t="s">
        <v>786</v>
      </c>
      <c r="O361" s="8">
        <v>911.8</v>
      </c>
      <c r="P361" s="8">
        <v>1013.11</v>
      </c>
      <c r="Q361" s="8" t="s">
        <v>2537</v>
      </c>
      <c r="S361" s="8" t="s">
        <v>2229</v>
      </c>
      <c r="T361" s="8">
        <v>46.48</v>
      </c>
    </row>
    <row r="362" spans="1:20" x14ac:dyDescent="0.2">
      <c r="A362" s="8" t="s">
        <v>4246</v>
      </c>
      <c r="B362" s="8" t="str">
        <f t="shared" si="10"/>
        <v>1586243853</v>
      </c>
      <c r="C362" s="8" t="str">
        <f t="shared" si="11"/>
        <v>397</v>
      </c>
      <c r="D362" s="8" t="s">
        <v>119</v>
      </c>
      <c r="F362" s="8" t="s">
        <v>128</v>
      </c>
      <c r="G362" s="8" t="s">
        <v>786</v>
      </c>
      <c r="H362" s="8" t="s">
        <v>787</v>
      </c>
      <c r="I362" s="8" t="s">
        <v>641</v>
      </c>
      <c r="J362" s="8" t="s">
        <v>1385</v>
      </c>
      <c r="K362" s="8" t="s">
        <v>190</v>
      </c>
      <c r="L362" s="8" t="s">
        <v>1386</v>
      </c>
      <c r="M362" s="8" t="s">
        <v>2785</v>
      </c>
      <c r="N362" s="8" t="s">
        <v>786</v>
      </c>
      <c r="O362" s="8">
        <v>691.23</v>
      </c>
      <c r="P362" s="8">
        <v>768.03</v>
      </c>
      <c r="Q362" s="8" t="s">
        <v>2538</v>
      </c>
      <c r="R362" s="8" t="s">
        <v>2080</v>
      </c>
    </row>
    <row r="363" spans="1:20" x14ac:dyDescent="0.2">
      <c r="A363" s="8" t="s">
        <v>2976</v>
      </c>
      <c r="B363" s="8" t="str">
        <f t="shared" si="10"/>
        <v>1586243853</v>
      </c>
      <c r="C363" s="8" t="str">
        <f t="shared" si="11"/>
        <v>398</v>
      </c>
      <c r="D363" s="8" t="s">
        <v>119</v>
      </c>
      <c r="F363" s="8" t="s">
        <v>128</v>
      </c>
      <c r="G363" s="8" t="s">
        <v>786</v>
      </c>
      <c r="H363" s="8" t="s">
        <v>787</v>
      </c>
      <c r="I363" s="8" t="s">
        <v>641</v>
      </c>
      <c r="J363" s="8" t="s">
        <v>1385</v>
      </c>
      <c r="K363" s="8" t="s">
        <v>190</v>
      </c>
      <c r="L363" s="8" t="s">
        <v>1386</v>
      </c>
      <c r="M363" s="8" t="s">
        <v>2785</v>
      </c>
      <c r="N363" s="8" t="s">
        <v>786</v>
      </c>
      <c r="O363" s="8">
        <v>691.23</v>
      </c>
      <c r="P363" s="8">
        <v>768.03</v>
      </c>
      <c r="Q363" s="8" t="s">
        <v>2538</v>
      </c>
      <c r="R363" s="8" t="s">
        <v>1502</v>
      </c>
    </row>
    <row r="364" spans="1:20" x14ac:dyDescent="0.2">
      <c r="A364" s="8" t="s">
        <v>4351</v>
      </c>
      <c r="B364" s="8" t="str">
        <f t="shared" si="10"/>
        <v>1586243853</v>
      </c>
      <c r="C364" s="8" t="str">
        <f t="shared" si="11"/>
        <v>399</v>
      </c>
      <c r="D364" s="8" t="s">
        <v>119</v>
      </c>
      <c r="F364" s="8" t="s">
        <v>128</v>
      </c>
      <c r="G364" s="8" t="s">
        <v>786</v>
      </c>
      <c r="H364" s="8" t="s">
        <v>787</v>
      </c>
      <c r="I364" s="8" t="s">
        <v>641</v>
      </c>
      <c r="J364" s="8" t="s">
        <v>1385</v>
      </c>
      <c r="K364" s="8" t="s">
        <v>190</v>
      </c>
      <c r="L364" s="8" t="s">
        <v>1386</v>
      </c>
      <c r="M364" s="8" t="s">
        <v>2785</v>
      </c>
      <c r="N364" s="8" t="s">
        <v>786</v>
      </c>
      <c r="O364" s="8">
        <v>691.23</v>
      </c>
      <c r="P364" s="8">
        <v>768.03</v>
      </c>
      <c r="Q364" s="8" t="s">
        <v>2538</v>
      </c>
      <c r="R364" s="8" t="s">
        <v>2211</v>
      </c>
    </row>
    <row r="365" spans="1:20" x14ac:dyDescent="0.2">
      <c r="A365" s="8" t="s">
        <v>4318</v>
      </c>
      <c r="B365" s="8" t="str">
        <f t="shared" si="10"/>
        <v>1586243853</v>
      </c>
      <c r="C365" s="8" t="str">
        <f t="shared" si="11"/>
        <v>400</v>
      </c>
      <c r="D365" s="8" t="s">
        <v>119</v>
      </c>
      <c r="F365" s="8" t="s">
        <v>128</v>
      </c>
      <c r="G365" s="8" t="s">
        <v>786</v>
      </c>
      <c r="H365" s="8" t="s">
        <v>787</v>
      </c>
      <c r="I365" s="8" t="s">
        <v>641</v>
      </c>
      <c r="J365" s="8" t="s">
        <v>1385</v>
      </c>
      <c r="K365" s="8" t="s">
        <v>190</v>
      </c>
      <c r="L365" s="8" t="s">
        <v>1386</v>
      </c>
      <c r="M365" s="8" t="s">
        <v>2785</v>
      </c>
      <c r="N365" s="8" t="s">
        <v>786</v>
      </c>
      <c r="O365" s="8">
        <v>691.23</v>
      </c>
      <c r="P365" s="8">
        <v>768.03</v>
      </c>
      <c r="Q365" s="8" t="s">
        <v>2538</v>
      </c>
      <c r="R365" s="8" t="s">
        <v>2129</v>
      </c>
    </row>
    <row r="366" spans="1:20" x14ac:dyDescent="0.2">
      <c r="A366" s="8" t="s">
        <v>4206</v>
      </c>
      <c r="B366" s="8" t="str">
        <f t="shared" si="10"/>
        <v>1586243853</v>
      </c>
      <c r="C366" s="8" t="str">
        <f t="shared" si="11"/>
        <v>401</v>
      </c>
      <c r="D366" s="8" t="s">
        <v>119</v>
      </c>
      <c r="F366" s="8" t="s">
        <v>128</v>
      </c>
      <c r="G366" s="8" t="s">
        <v>786</v>
      </c>
      <c r="H366" s="8" t="s">
        <v>787</v>
      </c>
      <c r="I366" s="8" t="s">
        <v>641</v>
      </c>
      <c r="J366" s="8" t="s">
        <v>1385</v>
      </c>
      <c r="K366" s="8" t="s">
        <v>190</v>
      </c>
      <c r="L366" s="8" t="s">
        <v>1386</v>
      </c>
      <c r="M366" s="8" t="s">
        <v>2785</v>
      </c>
      <c r="N366" s="8" t="s">
        <v>786</v>
      </c>
      <c r="O366" s="8">
        <v>691.23</v>
      </c>
      <c r="P366" s="8">
        <v>768.03</v>
      </c>
      <c r="Q366" s="8" t="s">
        <v>2538</v>
      </c>
      <c r="R366" s="8" t="s">
        <v>1537</v>
      </c>
    </row>
    <row r="367" spans="1:20" x14ac:dyDescent="0.2">
      <c r="A367" s="8" t="s">
        <v>2809</v>
      </c>
      <c r="B367" s="8" t="str">
        <f t="shared" si="10"/>
        <v>1586243853</v>
      </c>
      <c r="C367" s="8" t="str">
        <f t="shared" si="11"/>
        <v>402</v>
      </c>
      <c r="D367" s="8" t="s">
        <v>119</v>
      </c>
      <c r="F367" s="8" t="s">
        <v>128</v>
      </c>
      <c r="G367" s="8" t="s">
        <v>786</v>
      </c>
      <c r="H367" s="8" t="s">
        <v>787</v>
      </c>
      <c r="I367" s="8" t="s">
        <v>641</v>
      </c>
      <c r="J367" s="8" t="s">
        <v>1385</v>
      </c>
      <c r="K367" s="8" t="s">
        <v>190</v>
      </c>
      <c r="L367" s="8" t="s">
        <v>1386</v>
      </c>
      <c r="M367" s="8" t="s">
        <v>2785</v>
      </c>
      <c r="N367" s="8" t="s">
        <v>786</v>
      </c>
      <c r="O367" s="8">
        <v>691.23</v>
      </c>
      <c r="P367" s="8">
        <v>768.03</v>
      </c>
      <c r="Q367" s="8" t="s">
        <v>2538</v>
      </c>
      <c r="S367" s="8" t="s">
        <v>184</v>
      </c>
      <c r="T367" s="8">
        <v>169.67</v>
      </c>
    </row>
    <row r="368" spans="1:20" x14ac:dyDescent="0.2">
      <c r="A368" s="8" t="s">
        <v>4044</v>
      </c>
      <c r="B368" s="8" t="str">
        <f t="shared" si="10"/>
        <v>1586243853</v>
      </c>
      <c r="C368" s="8" t="str">
        <f t="shared" si="11"/>
        <v>403</v>
      </c>
      <c r="D368" s="8" t="s">
        <v>119</v>
      </c>
      <c r="F368" s="8" t="s">
        <v>128</v>
      </c>
      <c r="G368" s="8" t="s">
        <v>786</v>
      </c>
      <c r="H368" s="8" t="s">
        <v>787</v>
      </c>
      <c r="I368" s="8" t="s">
        <v>641</v>
      </c>
      <c r="J368" s="8" t="s">
        <v>1385</v>
      </c>
      <c r="K368" s="8" t="s">
        <v>190</v>
      </c>
      <c r="L368" s="8" t="s">
        <v>1386</v>
      </c>
      <c r="M368" s="8" t="s">
        <v>2785</v>
      </c>
      <c r="N368" s="8" t="s">
        <v>786</v>
      </c>
      <c r="O368" s="8">
        <v>691.23</v>
      </c>
      <c r="P368" s="8">
        <v>768.03</v>
      </c>
      <c r="Q368" s="8" t="s">
        <v>2538</v>
      </c>
      <c r="S368" s="8" t="s">
        <v>1210</v>
      </c>
      <c r="T368" s="8">
        <v>96.64</v>
      </c>
    </row>
    <row r="369" spans="1:20" x14ac:dyDescent="0.2">
      <c r="A369" s="8" t="s">
        <v>4253</v>
      </c>
      <c r="B369" s="8" t="str">
        <f t="shared" si="10"/>
        <v>1586243857</v>
      </c>
      <c r="C369" s="8" t="str">
        <f t="shared" si="11"/>
        <v>404</v>
      </c>
      <c r="D369" s="8" t="s">
        <v>119</v>
      </c>
      <c r="F369" s="8" t="s">
        <v>128</v>
      </c>
      <c r="G369" s="8" t="s">
        <v>1373</v>
      </c>
      <c r="H369" s="8" t="s">
        <v>1374</v>
      </c>
      <c r="I369" s="8" t="s">
        <v>250</v>
      </c>
      <c r="J369" s="8" t="s">
        <v>1375</v>
      </c>
      <c r="K369" s="8" t="s">
        <v>379</v>
      </c>
      <c r="L369" s="8" t="s">
        <v>1376</v>
      </c>
      <c r="M369" s="8" t="s">
        <v>2785</v>
      </c>
      <c r="N369" s="8" t="s">
        <v>1373</v>
      </c>
      <c r="O369" s="8">
        <v>641.07000000000005</v>
      </c>
      <c r="P369" s="8">
        <v>712.3</v>
      </c>
      <c r="Q369" s="8" t="s">
        <v>2539</v>
      </c>
      <c r="R369" s="8" t="s">
        <v>1643</v>
      </c>
    </row>
    <row r="370" spans="1:20" x14ac:dyDescent="0.2">
      <c r="A370" s="8" t="s">
        <v>4570</v>
      </c>
      <c r="B370" s="8" t="str">
        <f t="shared" si="10"/>
        <v>1586243857</v>
      </c>
      <c r="C370" s="8" t="str">
        <f t="shared" si="11"/>
        <v>405</v>
      </c>
      <c r="D370" s="8" t="s">
        <v>119</v>
      </c>
      <c r="F370" s="8" t="s">
        <v>128</v>
      </c>
      <c r="G370" s="8" t="s">
        <v>1373</v>
      </c>
      <c r="H370" s="8" t="s">
        <v>1374</v>
      </c>
      <c r="I370" s="8" t="s">
        <v>250</v>
      </c>
      <c r="J370" s="8" t="s">
        <v>1375</v>
      </c>
      <c r="K370" s="8" t="s">
        <v>379</v>
      </c>
      <c r="L370" s="8" t="s">
        <v>1376</v>
      </c>
      <c r="M370" s="8" t="s">
        <v>2785</v>
      </c>
      <c r="N370" s="8" t="s">
        <v>1373</v>
      </c>
      <c r="O370" s="8">
        <v>641.07000000000005</v>
      </c>
      <c r="P370" s="8">
        <v>712.3</v>
      </c>
      <c r="Q370" s="8" t="s">
        <v>2539</v>
      </c>
      <c r="R370" s="8" t="s">
        <v>1791</v>
      </c>
    </row>
    <row r="371" spans="1:20" x14ac:dyDescent="0.2">
      <c r="A371" s="8" t="s">
        <v>4473</v>
      </c>
      <c r="B371" s="8" t="str">
        <f t="shared" si="10"/>
        <v>1586243857</v>
      </c>
      <c r="C371" s="8" t="str">
        <f t="shared" si="11"/>
        <v>406</v>
      </c>
      <c r="D371" s="8" t="s">
        <v>119</v>
      </c>
      <c r="F371" s="8" t="s">
        <v>128</v>
      </c>
      <c r="G371" s="8" t="s">
        <v>1373</v>
      </c>
      <c r="H371" s="8" t="s">
        <v>1374</v>
      </c>
      <c r="I371" s="8" t="s">
        <v>250</v>
      </c>
      <c r="J371" s="8" t="s">
        <v>1375</v>
      </c>
      <c r="K371" s="8" t="s">
        <v>379</v>
      </c>
      <c r="L371" s="8" t="s">
        <v>1376</v>
      </c>
      <c r="M371" s="8" t="s">
        <v>2785</v>
      </c>
      <c r="N371" s="8" t="s">
        <v>1373</v>
      </c>
      <c r="O371" s="8">
        <v>641.07000000000005</v>
      </c>
      <c r="P371" s="8">
        <v>712.3</v>
      </c>
      <c r="Q371" s="8" t="s">
        <v>2539</v>
      </c>
      <c r="R371" s="8" t="s">
        <v>1969</v>
      </c>
    </row>
    <row r="372" spans="1:20" x14ac:dyDescent="0.2">
      <c r="A372" s="8" t="s">
        <v>3829</v>
      </c>
      <c r="B372" s="8" t="str">
        <f t="shared" si="10"/>
        <v>1586243857</v>
      </c>
      <c r="C372" s="8" t="str">
        <f t="shared" si="11"/>
        <v>407</v>
      </c>
      <c r="D372" s="8" t="s">
        <v>119</v>
      </c>
      <c r="F372" s="8" t="s">
        <v>128</v>
      </c>
      <c r="G372" s="8" t="s">
        <v>1373</v>
      </c>
      <c r="H372" s="8" t="s">
        <v>1374</v>
      </c>
      <c r="I372" s="8" t="s">
        <v>250</v>
      </c>
      <c r="J372" s="8" t="s">
        <v>1375</v>
      </c>
      <c r="K372" s="8" t="s">
        <v>379</v>
      </c>
      <c r="L372" s="8" t="s">
        <v>1376</v>
      </c>
      <c r="M372" s="8" t="s">
        <v>2785</v>
      </c>
      <c r="N372" s="8" t="s">
        <v>1373</v>
      </c>
      <c r="O372" s="8">
        <v>641.07000000000005</v>
      </c>
      <c r="P372" s="8">
        <v>712.3</v>
      </c>
      <c r="Q372" s="8" t="s">
        <v>2539</v>
      </c>
      <c r="R372" s="8" t="s">
        <v>1864</v>
      </c>
    </row>
    <row r="373" spans="1:20" x14ac:dyDescent="0.2">
      <c r="A373" s="8" t="s">
        <v>3823</v>
      </c>
      <c r="B373" s="8" t="str">
        <f t="shared" si="10"/>
        <v>1586243857</v>
      </c>
      <c r="C373" s="8" t="str">
        <f t="shared" si="11"/>
        <v>408</v>
      </c>
      <c r="D373" s="8" t="s">
        <v>119</v>
      </c>
      <c r="F373" s="8" t="s">
        <v>128</v>
      </c>
      <c r="G373" s="8" t="s">
        <v>1373</v>
      </c>
      <c r="H373" s="8" t="s">
        <v>1374</v>
      </c>
      <c r="I373" s="8" t="s">
        <v>250</v>
      </c>
      <c r="J373" s="8" t="s">
        <v>1375</v>
      </c>
      <c r="K373" s="8" t="s">
        <v>379</v>
      </c>
      <c r="L373" s="8" t="s">
        <v>1376</v>
      </c>
      <c r="M373" s="8" t="s">
        <v>2785</v>
      </c>
      <c r="N373" s="8" t="s">
        <v>1373</v>
      </c>
      <c r="O373" s="8">
        <v>641.07000000000005</v>
      </c>
      <c r="P373" s="8">
        <v>712.3</v>
      </c>
      <c r="Q373" s="8" t="s">
        <v>2539</v>
      </c>
      <c r="S373" s="8" t="s">
        <v>331</v>
      </c>
      <c r="T373" s="8">
        <v>22.13</v>
      </c>
    </row>
    <row r="374" spans="1:20" x14ac:dyDescent="0.2">
      <c r="A374" s="8" t="s">
        <v>3775</v>
      </c>
      <c r="B374" s="8" t="str">
        <f t="shared" si="10"/>
        <v>1586243861</v>
      </c>
      <c r="C374" s="8" t="str">
        <f t="shared" si="11"/>
        <v>409</v>
      </c>
      <c r="D374" s="8" t="s">
        <v>119</v>
      </c>
      <c r="F374" s="8" t="s">
        <v>128</v>
      </c>
      <c r="G374" s="8" t="s">
        <v>504</v>
      </c>
      <c r="H374" s="8" t="s">
        <v>505</v>
      </c>
      <c r="I374" s="8" t="s">
        <v>181</v>
      </c>
      <c r="J374" s="8" t="s">
        <v>506</v>
      </c>
      <c r="K374" s="8" t="s">
        <v>385</v>
      </c>
      <c r="L374" s="8" t="s">
        <v>507</v>
      </c>
      <c r="M374" s="8" t="s">
        <v>2785</v>
      </c>
      <c r="N374" s="8" t="s">
        <v>504</v>
      </c>
      <c r="O374" s="8">
        <v>374.02</v>
      </c>
      <c r="P374" s="8">
        <v>415.57</v>
      </c>
      <c r="Q374" s="8" t="s">
        <v>2540</v>
      </c>
      <c r="R374" s="8" t="s">
        <v>2060</v>
      </c>
    </row>
    <row r="375" spans="1:20" x14ac:dyDescent="0.2">
      <c r="A375" s="8" t="s">
        <v>4560</v>
      </c>
      <c r="B375" s="8" t="str">
        <f t="shared" si="10"/>
        <v>1586243861</v>
      </c>
      <c r="C375" s="8" t="str">
        <f t="shared" si="11"/>
        <v>410</v>
      </c>
      <c r="D375" s="8" t="s">
        <v>119</v>
      </c>
      <c r="F375" s="8" t="s">
        <v>128</v>
      </c>
      <c r="G375" s="8" t="s">
        <v>504</v>
      </c>
      <c r="H375" s="8" t="s">
        <v>505</v>
      </c>
      <c r="I375" s="8" t="s">
        <v>181</v>
      </c>
      <c r="J375" s="8" t="s">
        <v>506</v>
      </c>
      <c r="K375" s="8" t="s">
        <v>385</v>
      </c>
      <c r="L375" s="8" t="s">
        <v>507</v>
      </c>
      <c r="M375" s="8" t="s">
        <v>2785</v>
      </c>
      <c r="N375" s="8" t="s">
        <v>504</v>
      </c>
      <c r="O375" s="8">
        <v>374.02</v>
      </c>
      <c r="P375" s="8">
        <v>415.57</v>
      </c>
      <c r="Q375" s="8" t="s">
        <v>2540</v>
      </c>
      <c r="R375" s="8" t="s">
        <v>508</v>
      </c>
    </row>
    <row r="376" spans="1:20" x14ac:dyDescent="0.2">
      <c r="A376" s="8" t="s">
        <v>4566</v>
      </c>
      <c r="B376" s="8" t="str">
        <f t="shared" si="10"/>
        <v>1586243861</v>
      </c>
      <c r="C376" s="8" t="str">
        <f t="shared" si="11"/>
        <v>411</v>
      </c>
      <c r="D376" s="8" t="s">
        <v>119</v>
      </c>
      <c r="F376" s="8" t="s">
        <v>128</v>
      </c>
      <c r="G376" s="8" t="s">
        <v>504</v>
      </c>
      <c r="H376" s="8" t="s">
        <v>505</v>
      </c>
      <c r="I376" s="8" t="s">
        <v>181</v>
      </c>
      <c r="J376" s="8" t="s">
        <v>506</v>
      </c>
      <c r="K376" s="8" t="s">
        <v>385</v>
      </c>
      <c r="L376" s="8" t="s">
        <v>507</v>
      </c>
      <c r="M376" s="8" t="s">
        <v>2785</v>
      </c>
      <c r="N376" s="8" t="s">
        <v>504</v>
      </c>
      <c r="O376" s="8">
        <v>374.02</v>
      </c>
      <c r="P376" s="8">
        <v>415.57</v>
      </c>
      <c r="Q376" s="8" t="s">
        <v>2540</v>
      </c>
      <c r="R376" s="8" t="s">
        <v>1358</v>
      </c>
    </row>
    <row r="377" spans="1:20" x14ac:dyDescent="0.2">
      <c r="A377" s="8" t="s">
        <v>4064</v>
      </c>
      <c r="B377" s="8" t="str">
        <f t="shared" si="10"/>
        <v>1586243861</v>
      </c>
      <c r="C377" s="8" t="str">
        <f t="shared" si="11"/>
        <v>412</v>
      </c>
      <c r="D377" s="8" t="s">
        <v>119</v>
      </c>
      <c r="F377" s="8" t="s">
        <v>128</v>
      </c>
      <c r="G377" s="8" t="s">
        <v>504</v>
      </c>
      <c r="H377" s="8" t="s">
        <v>505</v>
      </c>
      <c r="I377" s="8" t="s">
        <v>181</v>
      </c>
      <c r="J377" s="8" t="s">
        <v>506</v>
      </c>
      <c r="K377" s="8" t="s">
        <v>385</v>
      </c>
      <c r="L377" s="8" t="s">
        <v>507</v>
      </c>
      <c r="M377" s="8" t="s">
        <v>2785</v>
      </c>
      <c r="N377" s="8" t="s">
        <v>504</v>
      </c>
      <c r="O377" s="8">
        <v>374.02</v>
      </c>
      <c r="P377" s="8">
        <v>415.57</v>
      </c>
      <c r="Q377" s="8" t="s">
        <v>2540</v>
      </c>
      <c r="S377" s="8" t="s">
        <v>142</v>
      </c>
      <c r="T377" s="8">
        <v>53.85</v>
      </c>
    </row>
    <row r="378" spans="1:20" x14ac:dyDescent="0.2">
      <c r="A378" s="8" t="s">
        <v>4525</v>
      </c>
      <c r="B378" s="8" t="str">
        <f t="shared" si="10"/>
        <v>1586243861</v>
      </c>
      <c r="C378" s="8" t="str">
        <f t="shared" si="11"/>
        <v>413</v>
      </c>
      <c r="D378" s="8" t="s">
        <v>119</v>
      </c>
      <c r="F378" s="8" t="s">
        <v>128</v>
      </c>
      <c r="G378" s="8" t="s">
        <v>504</v>
      </c>
      <c r="H378" s="8" t="s">
        <v>505</v>
      </c>
      <c r="I378" s="8" t="s">
        <v>181</v>
      </c>
      <c r="J378" s="8" t="s">
        <v>506</v>
      </c>
      <c r="K378" s="8" t="s">
        <v>385</v>
      </c>
      <c r="L378" s="8" t="s">
        <v>507</v>
      </c>
      <c r="M378" s="8" t="s">
        <v>2785</v>
      </c>
      <c r="N378" s="8" t="s">
        <v>504</v>
      </c>
      <c r="O378" s="8">
        <v>374.02</v>
      </c>
      <c r="P378" s="8">
        <v>415.57</v>
      </c>
      <c r="Q378" s="8" t="s">
        <v>2540</v>
      </c>
      <c r="S378" s="8" t="s">
        <v>184</v>
      </c>
      <c r="T378" s="8">
        <v>77.459999999999994</v>
      </c>
    </row>
    <row r="379" spans="1:20" x14ac:dyDescent="0.2">
      <c r="A379" s="8" t="s">
        <v>3704</v>
      </c>
      <c r="B379" s="8" t="str">
        <f t="shared" si="10"/>
        <v>1586243861</v>
      </c>
      <c r="C379" s="8" t="str">
        <f t="shared" si="11"/>
        <v>414</v>
      </c>
      <c r="D379" s="8" t="s">
        <v>119</v>
      </c>
      <c r="F379" s="8" t="s">
        <v>128</v>
      </c>
      <c r="G379" s="8" t="s">
        <v>504</v>
      </c>
      <c r="H379" s="8" t="s">
        <v>505</v>
      </c>
      <c r="I379" s="8" t="s">
        <v>181</v>
      </c>
      <c r="J379" s="8" t="s">
        <v>506</v>
      </c>
      <c r="K379" s="8" t="s">
        <v>385</v>
      </c>
      <c r="L379" s="8" t="s">
        <v>507</v>
      </c>
      <c r="M379" s="8" t="s">
        <v>2785</v>
      </c>
      <c r="N379" s="8" t="s">
        <v>504</v>
      </c>
      <c r="O379" s="8">
        <v>374.02</v>
      </c>
      <c r="P379" s="8">
        <v>415.57</v>
      </c>
      <c r="Q379" s="8" t="s">
        <v>2540</v>
      </c>
      <c r="S379" s="8" t="s">
        <v>109</v>
      </c>
      <c r="T379" s="8">
        <v>37.619999999999997</v>
      </c>
    </row>
    <row r="380" spans="1:20" x14ac:dyDescent="0.2">
      <c r="A380" s="8" t="s">
        <v>3417</v>
      </c>
      <c r="B380" s="8" t="str">
        <f t="shared" si="10"/>
        <v>1586243863</v>
      </c>
      <c r="C380" s="8" t="str">
        <f t="shared" si="11"/>
        <v>415</v>
      </c>
      <c r="D380" s="8" t="s">
        <v>119</v>
      </c>
      <c r="F380" s="8" t="s">
        <v>128</v>
      </c>
      <c r="G380" s="8" t="s">
        <v>504</v>
      </c>
      <c r="H380" s="8" t="s">
        <v>505</v>
      </c>
      <c r="I380" s="8" t="s">
        <v>250</v>
      </c>
      <c r="J380" s="8" t="s">
        <v>584</v>
      </c>
      <c r="K380" s="8" t="s">
        <v>385</v>
      </c>
      <c r="L380" s="8" t="s">
        <v>585</v>
      </c>
      <c r="M380" s="8" t="s">
        <v>2785</v>
      </c>
      <c r="N380" s="8" t="s">
        <v>504</v>
      </c>
      <c r="O380" s="8">
        <v>432.3</v>
      </c>
      <c r="P380" s="8">
        <v>480.33</v>
      </c>
      <c r="Q380" s="8" t="s">
        <v>2541</v>
      </c>
      <c r="R380" s="8" t="s">
        <v>1744</v>
      </c>
    </row>
    <row r="381" spans="1:20" x14ac:dyDescent="0.2">
      <c r="A381" s="8" t="s">
        <v>3164</v>
      </c>
      <c r="B381" s="8" t="str">
        <f t="shared" si="10"/>
        <v>1586243863</v>
      </c>
      <c r="C381" s="8" t="str">
        <f t="shared" si="11"/>
        <v>416</v>
      </c>
      <c r="D381" s="8" t="s">
        <v>119</v>
      </c>
      <c r="F381" s="8" t="s">
        <v>128</v>
      </c>
      <c r="G381" s="8" t="s">
        <v>504</v>
      </c>
      <c r="H381" s="8" t="s">
        <v>505</v>
      </c>
      <c r="I381" s="8" t="s">
        <v>250</v>
      </c>
      <c r="J381" s="8" t="s">
        <v>584</v>
      </c>
      <c r="K381" s="8" t="s">
        <v>385</v>
      </c>
      <c r="L381" s="8" t="s">
        <v>585</v>
      </c>
      <c r="M381" s="8" t="s">
        <v>2785</v>
      </c>
      <c r="N381" s="8" t="s">
        <v>504</v>
      </c>
      <c r="O381" s="8">
        <v>432.3</v>
      </c>
      <c r="P381" s="8">
        <v>480.33</v>
      </c>
      <c r="Q381" s="8" t="s">
        <v>2541</v>
      </c>
      <c r="R381" s="8" t="s">
        <v>1656</v>
      </c>
    </row>
    <row r="382" spans="1:20" x14ac:dyDescent="0.2">
      <c r="A382" s="8" t="s">
        <v>3232</v>
      </c>
      <c r="B382" s="8" t="str">
        <f t="shared" si="10"/>
        <v>1586243863</v>
      </c>
      <c r="C382" s="8" t="str">
        <f t="shared" si="11"/>
        <v>417</v>
      </c>
      <c r="D382" s="8" t="s">
        <v>119</v>
      </c>
      <c r="F382" s="8" t="s">
        <v>128</v>
      </c>
      <c r="G382" s="8" t="s">
        <v>504</v>
      </c>
      <c r="H382" s="8" t="s">
        <v>505</v>
      </c>
      <c r="I382" s="8" t="s">
        <v>250</v>
      </c>
      <c r="J382" s="8" t="s">
        <v>584</v>
      </c>
      <c r="K382" s="8" t="s">
        <v>385</v>
      </c>
      <c r="L382" s="8" t="s">
        <v>585</v>
      </c>
      <c r="M382" s="8" t="s">
        <v>2785</v>
      </c>
      <c r="N382" s="8" t="s">
        <v>504</v>
      </c>
      <c r="O382" s="8">
        <v>432.3</v>
      </c>
      <c r="P382" s="8">
        <v>480.33</v>
      </c>
      <c r="Q382" s="8" t="s">
        <v>2541</v>
      </c>
      <c r="R382" s="8" t="s">
        <v>2357</v>
      </c>
    </row>
    <row r="383" spans="1:20" x14ac:dyDescent="0.2">
      <c r="A383" s="8" t="s">
        <v>3068</v>
      </c>
      <c r="B383" s="8" t="str">
        <f t="shared" si="10"/>
        <v>1586243863</v>
      </c>
      <c r="C383" s="8" t="str">
        <f t="shared" si="11"/>
        <v>418</v>
      </c>
      <c r="D383" s="8" t="s">
        <v>119</v>
      </c>
      <c r="F383" s="8" t="s">
        <v>128</v>
      </c>
      <c r="G383" s="8" t="s">
        <v>504</v>
      </c>
      <c r="H383" s="8" t="s">
        <v>505</v>
      </c>
      <c r="I383" s="8" t="s">
        <v>250</v>
      </c>
      <c r="J383" s="8" t="s">
        <v>584</v>
      </c>
      <c r="K383" s="8" t="s">
        <v>385</v>
      </c>
      <c r="L383" s="8" t="s">
        <v>585</v>
      </c>
      <c r="M383" s="8" t="s">
        <v>2785</v>
      </c>
      <c r="N383" s="8" t="s">
        <v>504</v>
      </c>
      <c r="O383" s="8">
        <v>432.3</v>
      </c>
      <c r="P383" s="8">
        <v>480.33</v>
      </c>
      <c r="Q383" s="8" t="s">
        <v>2541</v>
      </c>
      <c r="R383" s="8" t="s">
        <v>2065</v>
      </c>
    </row>
    <row r="384" spans="1:20" x14ac:dyDescent="0.2">
      <c r="A384" s="8" t="s">
        <v>4041</v>
      </c>
      <c r="B384" s="8" t="str">
        <f t="shared" si="10"/>
        <v>1586243863</v>
      </c>
      <c r="C384" s="8" t="str">
        <f t="shared" si="11"/>
        <v>419</v>
      </c>
      <c r="D384" s="8" t="s">
        <v>119</v>
      </c>
      <c r="F384" s="8" t="s">
        <v>128</v>
      </c>
      <c r="G384" s="8" t="s">
        <v>504</v>
      </c>
      <c r="H384" s="8" t="s">
        <v>505</v>
      </c>
      <c r="I384" s="8" t="s">
        <v>250</v>
      </c>
      <c r="J384" s="8" t="s">
        <v>584</v>
      </c>
      <c r="K384" s="8" t="s">
        <v>385</v>
      </c>
      <c r="L384" s="8" t="s">
        <v>585</v>
      </c>
      <c r="M384" s="8" t="s">
        <v>2785</v>
      </c>
      <c r="N384" s="8" t="s">
        <v>504</v>
      </c>
      <c r="O384" s="8">
        <v>432.3</v>
      </c>
      <c r="P384" s="8">
        <v>480.33</v>
      </c>
      <c r="Q384" s="8" t="s">
        <v>2541</v>
      </c>
      <c r="R384" s="8" t="s">
        <v>1311</v>
      </c>
    </row>
    <row r="385" spans="1:20" x14ac:dyDescent="0.2">
      <c r="A385" s="8" t="s">
        <v>2819</v>
      </c>
      <c r="B385" s="8" t="str">
        <f t="shared" si="10"/>
        <v>1586243863</v>
      </c>
      <c r="C385" s="8" t="str">
        <f t="shared" si="11"/>
        <v>420</v>
      </c>
      <c r="D385" s="8" t="s">
        <v>119</v>
      </c>
      <c r="F385" s="8" t="s">
        <v>128</v>
      </c>
      <c r="G385" s="8" t="s">
        <v>504</v>
      </c>
      <c r="H385" s="8" t="s">
        <v>505</v>
      </c>
      <c r="I385" s="8" t="s">
        <v>250</v>
      </c>
      <c r="J385" s="8" t="s">
        <v>584</v>
      </c>
      <c r="K385" s="8" t="s">
        <v>385</v>
      </c>
      <c r="L385" s="8" t="s">
        <v>585</v>
      </c>
      <c r="M385" s="8" t="s">
        <v>2785</v>
      </c>
      <c r="N385" s="8" t="s">
        <v>504</v>
      </c>
      <c r="O385" s="8">
        <v>432.3</v>
      </c>
      <c r="P385" s="8">
        <v>480.33</v>
      </c>
      <c r="Q385" s="8" t="s">
        <v>2541</v>
      </c>
      <c r="S385" s="8" t="s">
        <v>142</v>
      </c>
      <c r="T385" s="8">
        <v>37.619999999999997</v>
      </c>
    </row>
    <row r="386" spans="1:20" x14ac:dyDescent="0.2">
      <c r="A386" s="8" t="s">
        <v>3727</v>
      </c>
      <c r="B386" s="8" t="str">
        <f t="shared" ref="B386:B449" si="12">LEFT(A386, FIND("-", A386) - 1)</f>
        <v>1586243863</v>
      </c>
      <c r="C386" s="8" t="str">
        <f t="shared" ref="C386:C449" si="13">RIGHT(A386, LEN(A386) - FIND("-", A386))</f>
        <v>421</v>
      </c>
      <c r="D386" s="8" t="s">
        <v>119</v>
      </c>
      <c r="F386" s="8" t="s">
        <v>128</v>
      </c>
      <c r="G386" s="8" t="s">
        <v>504</v>
      </c>
      <c r="H386" s="8" t="s">
        <v>505</v>
      </c>
      <c r="I386" s="8" t="s">
        <v>250</v>
      </c>
      <c r="J386" s="8" t="s">
        <v>584</v>
      </c>
      <c r="K386" s="8" t="s">
        <v>385</v>
      </c>
      <c r="L386" s="8" t="s">
        <v>585</v>
      </c>
      <c r="M386" s="8" t="s">
        <v>2785</v>
      </c>
      <c r="N386" s="8" t="s">
        <v>504</v>
      </c>
      <c r="O386" s="8">
        <v>432.3</v>
      </c>
      <c r="P386" s="8">
        <v>480.33</v>
      </c>
      <c r="Q386" s="8" t="s">
        <v>2541</v>
      </c>
      <c r="S386" s="8" t="s">
        <v>184</v>
      </c>
      <c r="T386" s="8">
        <v>77.459999999999994</v>
      </c>
    </row>
    <row r="387" spans="1:20" x14ac:dyDescent="0.2">
      <c r="A387" s="8" t="s">
        <v>4435</v>
      </c>
      <c r="B387" s="8" t="str">
        <f t="shared" si="12"/>
        <v>1586243868</v>
      </c>
      <c r="C387" s="8" t="str">
        <f t="shared" si="13"/>
        <v>422</v>
      </c>
      <c r="D387" s="8" t="s">
        <v>119</v>
      </c>
      <c r="F387" s="8" t="s">
        <v>128</v>
      </c>
      <c r="G387" s="8" t="s">
        <v>936</v>
      </c>
      <c r="H387" s="8" t="s">
        <v>937</v>
      </c>
      <c r="I387" s="8" t="s">
        <v>71</v>
      </c>
      <c r="J387" s="8" t="s">
        <v>1212</v>
      </c>
      <c r="K387" s="8" t="s">
        <v>596</v>
      </c>
      <c r="L387" s="8" t="s">
        <v>1213</v>
      </c>
      <c r="M387" s="8" t="s">
        <v>2785</v>
      </c>
      <c r="N387" s="8" t="s">
        <v>936</v>
      </c>
      <c r="O387" s="8">
        <v>523.03</v>
      </c>
      <c r="P387" s="8">
        <v>581.15</v>
      </c>
      <c r="Q387" s="8" t="s">
        <v>2542</v>
      </c>
      <c r="R387" s="8" t="s">
        <v>1627</v>
      </c>
    </row>
    <row r="388" spans="1:20" x14ac:dyDescent="0.2">
      <c r="A388" s="8" t="s">
        <v>4169</v>
      </c>
      <c r="B388" s="8" t="str">
        <f t="shared" si="12"/>
        <v>1586243868</v>
      </c>
      <c r="C388" s="8" t="str">
        <f t="shared" si="13"/>
        <v>423</v>
      </c>
      <c r="D388" s="8" t="s">
        <v>119</v>
      </c>
      <c r="F388" s="8" t="s">
        <v>128</v>
      </c>
      <c r="G388" s="8" t="s">
        <v>936</v>
      </c>
      <c r="H388" s="8" t="s">
        <v>937</v>
      </c>
      <c r="I388" s="8" t="s">
        <v>71</v>
      </c>
      <c r="J388" s="8" t="s">
        <v>1212</v>
      </c>
      <c r="K388" s="8" t="s">
        <v>596</v>
      </c>
      <c r="L388" s="8" t="s">
        <v>1213</v>
      </c>
      <c r="M388" s="8" t="s">
        <v>2785</v>
      </c>
      <c r="N388" s="8" t="s">
        <v>936</v>
      </c>
      <c r="O388" s="8">
        <v>523.03</v>
      </c>
      <c r="P388" s="8">
        <v>581.15</v>
      </c>
      <c r="Q388" s="8" t="s">
        <v>2542</v>
      </c>
      <c r="R388" s="8" t="s">
        <v>1675</v>
      </c>
    </row>
    <row r="389" spans="1:20" x14ac:dyDescent="0.2">
      <c r="A389" s="8" t="s">
        <v>3642</v>
      </c>
      <c r="B389" s="8" t="str">
        <f t="shared" si="12"/>
        <v>1586243868</v>
      </c>
      <c r="C389" s="8" t="str">
        <f t="shared" si="13"/>
        <v>424</v>
      </c>
      <c r="D389" s="8" t="s">
        <v>119</v>
      </c>
      <c r="F389" s="8" t="s">
        <v>128</v>
      </c>
      <c r="G389" s="8" t="s">
        <v>936</v>
      </c>
      <c r="H389" s="8" t="s">
        <v>937</v>
      </c>
      <c r="I389" s="8" t="s">
        <v>71</v>
      </c>
      <c r="J389" s="8" t="s">
        <v>1212</v>
      </c>
      <c r="K389" s="8" t="s">
        <v>596</v>
      </c>
      <c r="L389" s="8" t="s">
        <v>1213</v>
      </c>
      <c r="M389" s="8" t="s">
        <v>2785</v>
      </c>
      <c r="N389" s="8" t="s">
        <v>936</v>
      </c>
      <c r="O389" s="8">
        <v>523.03</v>
      </c>
      <c r="P389" s="8">
        <v>581.15</v>
      </c>
      <c r="Q389" s="8" t="s">
        <v>2542</v>
      </c>
      <c r="S389" s="8" t="s">
        <v>2341</v>
      </c>
      <c r="T389" s="8">
        <v>77.459999999999994</v>
      </c>
    </row>
    <row r="390" spans="1:20" x14ac:dyDescent="0.2">
      <c r="A390" s="8" t="s">
        <v>3705</v>
      </c>
      <c r="B390" s="8" t="str">
        <f t="shared" si="12"/>
        <v>1586243868</v>
      </c>
      <c r="C390" s="8" t="str">
        <f t="shared" si="13"/>
        <v>425</v>
      </c>
      <c r="D390" s="8" t="s">
        <v>119</v>
      </c>
      <c r="F390" s="8" t="s">
        <v>128</v>
      </c>
      <c r="G390" s="8" t="s">
        <v>936</v>
      </c>
      <c r="H390" s="8" t="s">
        <v>937</v>
      </c>
      <c r="I390" s="8" t="s">
        <v>71</v>
      </c>
      <c r="J390" s="8" t="s">
        <v>1212</v>
      </c>
      <c r="K390" s="8" t="s">
        <v>596</v>
      </c>
      <c r="L390" s="8" t="s">
        <v>1213</v>
      </c>
      <c r="M390" s="8" t="s">
        <v>2785</v>
      </c>
      <c r="N390" s="8" t="s">
        <v>936</v>
      </c>
      <c r="O390" s="8">
        <v>523.03</v>
      </c>
      <c r="P390" s="8">
        <v>581.15</v>
      </c>
      <c r="Q390" s="8" t="s">
        <v>2542</v>
      </c>
      <c r="S390" s="8" t="s">
        <v>1620</v>
      </c>
      <c r="T390" s="8">
        <v>77.459999999999994</v>
      </c>
    </row>
    <row r="391" spans="1:20" x14ac:dyDescent="0.2">
      <c r="A391" s="8" t="s">
        <v>4695</v>
      </c>
      <c r="B391" s="8" t="str">
        <f t="shared" si="12"/>
        <v>1586243868</v>
      </c>
      <c r="C391" s="8" t="str">
        <f t="shared" si="13"/>
        <v>426</v>
      </c>
      <c r="D391" s="8" t="s">
        <v>119</v>
      </c>
      <c r="F391" s="8" t="s">
        <v>128</v>
      </c>
      <c r="G391" s="8" t="s">
        <v>936</v>
      </c>
      <c r="H391" s="8" t="s">
        <v>937</v>
      </c>
      <c r="I391" s="8" t="s">
        <v>71</v>
      </c>
      <c r="J391" s="8" t="s">
        <v>1212</v>
      </c>
      <c r="K391" s="8" t="s">
        <v>596</v>
      </c>
      <c r="L391" s="8" t="s">
        <v>1213</v>
      </c>
      <c r="M391" s="8" t="s">
        <v>2785</v>
      </c>
      <c r="N391" s="8" t="s">
        <v>936</v>
      </c>
      <c r="O391" s="8">
        <v>523.03</v>
      </c>
      <c r="P391" s="8">
        <v>581.15</v>
      </c>
      <c r="Q391" s="8" t="s">
        <v>2542</v>
      </c>
      <c r="S391" s="8" t="s">
        <v>1116</v>
      </c>
      <c r="T391" s="8">
        <v>75.25</v>
      </c>
    </row>
    <row r="392" spans="1:20" x14ac:dyDescent="0.2">
      <c r="A392" s="8" t="s">
        <v>2812</v>
      </c>
      <c r="B392" s="8" t="str">
        <f t="shared" si="12"/>
        <v>1586243870</v>
      </c>
      <c r="C392" s="8" t="str">
        <f t="shared" si="13"/>
        <v>427</v>
      </c>
      <c r="D392" s="8" t="s">
        <v>119</v>
      </c>
      <c r="F392" s="8" t="s">
        <v>128</v>
      </c>
      <c r="G392" s="8" t="s">
        <v>936</v>
      </c>
      <c r="H392" s="8" t="s">
        <v>937</v>
      </c>
      <c r="I392" s="8" t="s">
        <v>181</v>
      </c>
      <c r="J392" s="8" t="s">
        <v>938</v>
      </c>
      <c r="K392" s="8" t="s">
        <v>385</v>
      </c>
      <c r="L392" s="8" t="s">
        <v>939</v>
      </c>
      <c r="M392" s="8" t="s">
        <v>2785</v>
      </c>
      <c r="N392" s="8" t="s">
        <v>936</v>
      </c>
      <c r="O392" s="8">
        <v>396.89</v>
      </c>
      <c r="P392" s="8">
        <v>440.98</v>
      </c>
      <c r="Q392" s="8" t="s">
        <v>2543</v>
      </c>
      <c r="R392" s="8" t="s">
        <v>2005</v>
      </c>
    </row>
    <row r="393" spans="1:20" x14ac:dyDescent="0.2">
      <c r="A393" s="8" t="s">
        <v>4459</v>
      </c>
      <c r="B393" s="8" t="str">
        <f t="shared" si="12"/>
        <v>1586243870</v>
      </c>
      <c r="C393" s="8" t="str">
        <f t="shared" si="13"/>
        <v>428</v>
      </c>
      <c r="D393" s="8" t="s">
        <v>119</v>
      </c>
      <c r="F393" s="8" t="s">
        <v>128</v>
      </c>
      <c r="G393" s="8" t="s">
        <v>936</v>
      </c>
      <c r="H393" s="8" t="s">
        <v>937</v>
      </c>
      <c r="I393" s="8" t="s">
        <v>181</v>
      </c>
      <c r="J393" s="8" t="s">
        <v>938</v>
      </c>
      <c r="K393" s="8" t="s">
        <v>385</v>
      </c>
      <c r="L393" s="8" t="s">
        <v>939</v>
      </c>
      <c r="M393" s="8" t="s">
        <v>2785</v>
      </c>
      <c r="N393" s="8" t="s">
        <v>936</v>
      </c>
      <c r="O393" s="8">
        <v>396.89</v>
      </c>
      <c r="P393" s="8">
        <v>440.98</v>
      </c>
      <c r="Q393" s="8" t="s">
        <v>2543</v>
      </c>
      <c r="R393" s="8" t="s">
        <v>2338</v>
      </c>
    </row>
    <row r="394" spans="1:20" x14ac:dyDescent="0.2">
      <c r="A394" s="8" t="s">
        <v>3995</v>
      </c>
      <c r="B394" s="8" t="str">
        <f t="shared" si="12"/>
        <v>1586243870</v>
      </c>
      <c r="C394" s="8" t="str">
        <f t="shared" si="13"/>
        <v>429</v>
      </c>
      <c r="D394" s="8" t="s">
        <v>119</v>
      </c>
      <c r="F394" s="8" t="s">
        <v>128</v>
      </c>
      <c r="G394" s="8" t="s">
        <v>936</v>
      </c>
      <c r="H394" s="8" t="s">
        <v>937</v>
      </c>
      <c r="I394" s="8" t="s">
        <v>181</v>
      </c>
      <c r="J394" s="8" t="s">
        <v>938</v>
      </c>
      <c r="K394" s="8" t="s">
        <v>385</v>
      </c>
      <c r="L394" s="8" t="s">
        <v>939</v>
      </c>
      <c r="M394" s="8" t="s">
        <v>2785</v>
      </c>
      <c r="N394" s="8" t="s">
        <v>936</v>
      </c>
      <c r="O394" s="8">
        <v>396.89</v>
      </c>
      <c r="P394" s="8">
        <v>440.98</v>
      </c>
      <c r="Q394" s="8" t="s">
        <v>2543</v>
      </c>
      <c r="R394" s="8" t="s">
        <v>1881</v>
      </c>
    </row>
    <row r="395" spans="1:20" x14ac:dyDescent="0.2">
      <c r="A395" s="8" t="s">
        <v>3733</v>
      </c>
      <c r="B395" s="8" t="str">
        <f t="shared" si="12"/>
        <v>1586243870</v>
      </c>
      <c r="C395" s="8" t="str">
        <f t="shared" si="13"/>
        <v>430</v>
      </c>
      <c r="D395" s="8" t="s">
        <v>119</v>
      </c>
      <c r="F395" s="8" t="s">
        <v>128</v>
      </c>
      <c r="G395" s="8" t="s">
        <v>936</v>
      </c>
      <c r="H395" s="8" t="s">
        <v>937</v>
      </c>
      <c r="I395" s="8" t="s">
        <v>181</v>
      </c>
      <c r="J395" s="8" t="s">
        <v>938</v>
      </c>
      <c r="K395" s="8" t="s">
        <v>385</v>
      </c>
      <c r="L395" s="8" t="s">
        <v>939</v>
      </c>
      <c r="M395" s="8" t="s">
        <v>2785</v>
      </c>
      <c r="N395" s="8" t="s">
        <v>936</v>
      </c>
      <c r="O395" s="8">
        <v>396.89</v>
      </c>
      <c r="P395" s="8">
        <v>440.98</v>
      </c>
      <c r="Q395" s="8" t="s">
        <v>2543</v>
      </c>
      <c r="S395" s="8" t="s">
        <v>142</v>
      </c>
      <c r="T395" s="8">
        <v>37.619999999999997</v>
      </c>
    </row>
    <row r="396" spans="1:20" x14ac:dyDescent="0.2">
      <c r="A396" s="8" t="s">
        <v>4363</v>
      </c>
      <c r="B396" s="8" t="str">
        <f t="shared" si="12"/>
        <v>1586243870</v>
      </c>
      <c r="C396" s="8" t="str">
        <f t="shared" si="13"/>
        <v>431</v>
      </c>
      <c r="D396" s="8" t="s">
        <v>119</v>
      </c>
      <c r="F396" s="8" t="s">
        <v>128</v>
      </c>
      <c r="G396" s="8" t="s">
        <v>936</v>
      </c>
      <c r="H396" s="8" t="s">
        <v>937</v>
      </c>
      <c r="I396" s="8" t="s">
        <v>181</v>
      </c>
      <c r="J396" s="8" t="s">
        <v>938</v>
      </c>
      <c r="K396" s="8" t="s">
        <v>385</v>
      </c>
      <c r="L396" s="8" t="s">
        <v>939</v>
      </c>
      <c r="M396" s="8" t="s">
        <v>2785</v>
      </c>
      <c r="N396" s="8" t="s">
        <v>936</v>
      </c>
      <c r="O396" s="8">
        <v>396.89</v>
      </c>
      <c r="P396" s="8">
        <v>440.98</v>
      </c>
      <c r="Q396" s="8" t="s">
        <v>2543</v>
      </c>
      <c r="S396" s="8" t="s">
        <v>184</v>
      </c>
      <c r="T396" s="8">
        <v>77.459999999999994</v>
      </c>
    </row>
    <row r="397" spans="1:20" x14ac:dyDescent="0.2">
      <c r="A397" s="8" t="s">
        <v>3472</v>
      </c>
      <c r="B397" s="8" t="str">
        <f t="shared" si="12"/>
        <v>1586243870</v>
      </c>
      <c r="C397" s="8" t="str">
        <f t="shared" si="13"/>
        <v>432</v>
      </c>
      <c r="D397" s="8" t="s">
        <v>119</v>
      </c>
      <c r="F397" s="8" t="s">
        <v>128</v>
      </c>
      <c r="G397" s="8" t="s">
        <v>936</v>
      </c>
      <c r="H397" s="8" t="s">
        <v>937</v>
      </c>
      <c r="I397" s="8" t="s">
        <v>181</v>
      </c>
      <c r="J397" s="8" t="s">
        <v>938</v>
      </c>
      <c r="K397" s="8" t="s">
        <v>385</v>
      </c>
      <c r="L397" s="8" t="s">
        <v>939</v>
      </c>
      <c r="M397" s="8" t="s">
        <v>2785</v>
      </c>
      <c r="N397" s="8" t="s">
        <v>936</v>
      </c>
      <c r="O397" s="8">
        <v>396.89</v>
      </c>
      <c r="P397" s="8">
        <v>440.98</v>
      </c>
      <c r="Q397" s="8" t="s">
        <v>2543</v>
      </c>
      <c r="S397" s="8" t="s">
        <v>109</v>
      </c>
      <c r="T397" s="8">
        <v>37.619999999999997</v>
      </c>
    </row>
    <row r="398" spans="1:20" x14ac:dyDescent="0.2">
      <c r="A398" s="8" t="s">
        <v>3749</v>
      </c>
      <c r="B398" s="8" t="str">
        <f t="shared" si="12"/>
        <v>1586243872</v>
      </c>
      <c r="C398" s="8" t="str">
        <f t="shared" si="13"/>
        <v>433</v>
      </c>
      <c r="D398" s="8" t="s">
        <v>119</v>
      </c>
      <c r="F398" s="8" t="s">
        <v>128</v>
      </c>
      <c r="G398" s="8" t="s">
        <v>936</v>
      </c>
      <c r="H398" s="8" t="s">
        <v>937</v>
      </c>
      <c r="I398" s="8" t="s">
        <v>181</v>
      </c>
      <c r="J398" s="8" t="s">
        <v>1227</v>
      </c>
      <c r="K398" s="8" t="s">
        <v>54</v>
      </c>
      <c r="L398" s="8" t="s">
        <v>1228</v>
      </c>
      <c r="M398" s="8" t="s">
        <v>2785</v>
      </c>
      <c r="N398" s="8" t="s">
        <v>936</v>
      </c>
      <c r="O398" s="8">
        <v>949.43</v>
      </c>
      <c r="P398" s="8">
        <v>1054.92</v>
      </c>
      <c r="Q398" s="8" t="s">
        <v>2544</v>
      </c>
      <c r="R398" s="8" t="s">
        <v>2486</v>
      </c>
    </row>
    <row r="399" spans="1:20" x14ac:dyDescent="0.2">
      <c r="A399" s="8" t="s">
        <v>4690</v>
      </c>
      <c r="B399" s="8" t="str">
        <f t="shared" si="12"/>
        <v>1586243872</v>
      </c>
      <c r="C399" s="8" t="str">
        <f t="shared" si="13"/>
        <v>434</v>
      </c>
      <c r="D399" s="8" t="s">
        <v>119</v>
      </c>
      <c r="F399" s="8" t="s">
        <v>128</v>
      </c>
      <c r="G399" s="8" t="s">
        <v>936</v>
      </c>
      <c r="H399" s="8" t="s">
        <v>937</v>
      </c>
      <c r="I399" s="8" t="s">
        <v>181</v>
      </c>
      <c r="J399" s="8" t="s">
        <v>1227</v>
      </c>
      <c r="K399" s="8" t="s">
        <v>54</v>
      </c>
      <c r="L399" s="8" t="s">
        <v>1228</v>
      </c>
      <c r="M399" s="8" t="s">
        <v>2785</v>
      </c>
      <c r="N399" s="8" t="s">
        <v>936</v>
      </c>
      <c r="O399" s="8">
        <v>949.43</v>
      </c>
      <c r="P399" s="8">
        <v>1054.92</v>
      </c>
      <c r="Q399" s="8" t="s">
        <v>2544</v>
      </c>
      <c r="R399" s="8" t="s">
        <v>2370</v>
      </c>
    </row>
    <row r="400" spans="1:20" x14ac:dyDescent="0.2">
      <c r="A400" s="8" t="s">
        <v>3006</v>
      </c>
      <c r="B400" s="8" t="str">
        <f t="shared" si="12"/>
        <v>1586243872</v>
      </c>
      <c r="C400" s="8" t="str">
        <f t="shared" si="13"/>
        <v>435</v>
      </c>
      <c r="D400" s="8" t="s">
        <v>119</v>
      </c>
      <c r="F400" s="8" t="s">
        <v>128</v>
      </c>
      <c r="G400" s="8" t="s">
        <v>936</v>
      </c>
      <c r="H400" s="8" t="s">
        <v>937</v>
      </c>
      <c r="I400" s="8" t="s">
        <v>181</v>
      </c>
      <c r="J400" s="8" t="s">
        <v>1227</v>
      </c>
      <c r="K400" s="8" t="s">
        <v>54</v>
      </c>
      <c r="L400" s="8" t="s">
        <v>1228</v>
      </c>
      <c r="M400" s="8" t="s">
        <v>2785</v>
      </c>
      <c r="N400" s="8" t="s">
        <v>936</v>
      </c>
      <c r="O400" s="8">
        <v>949.43</v>
      </c>
      <c r="P400" s="8">
        <v>1054.92</v>
      </c>
      <c r="Q400" s="8" t="s">
        <v>2544</v>
      </c>
      <c r="R400" s="8" t="s">
        <v>1525</v>
      </c>
    </row>
    <row r="401" spans="1:20" x14ac:dyDescent="0.2">
      <c r="A401" s="8" t="s">
        <v>4760</v>
      </c>
      <c r="B401" s="8" t="str">
        <f t="shared" si="12"/>
        <v>1586243872</v>
      </c>
      <c r="C401" s="8" t="str">
        <f t="shared" si="13"/>
        <v>436</v>
      </c>
      <c r="D401" s="8" t="s">
        <v>119</v>
      </c>
      <c r="F401" s="8" t="s">
        <v>128</v>
      </c>
      <c r="G401" s="8" t="s">
        <v>936</v>
      </c>
      <c r="H401" s="8" t="s">
        <v>937</v>
      </c>
      <c r="I401" s="8" t="s">
        <v>181</v>
      </c>
      <c r="J401" s="8" t="s">
        <v>1227</v>
      </c>
      <c r="K401" s="8" t="s">
        <v>54</v>
      </c>
      <c r="L401" s="8" t="s">
        <v>1228</v>
      </c>
      <c r="M401" s="8" t="s">
        <v>2785</v>
      </c>
      <c r="N401" s="8" t="s">
        <v>936</v>
      </c>
      <c r="O401" s="8">
        <v>949.43</v>
      </c>
      <c r="P401" s="8">
        <v>1054.92</v>
      </c>
      <c r="Q401" s="8" t="s">
        <v>2544</v>
      </c>
      <c r="S401" s="8" t="s">
        <v>142</v>
      </c>
      <c r="T401" s="8">
        <v>131.31</v>
      </c>
    </row>
    <row r="402" spans="1:20" x14ac:dyDescent="0.2">
      <c r="A402" s="8" t="s">
        <v>4460</v>
      </c>
      <c r="B402" s="8" t="str">
        <f t="shared" si="12"/>
        <v>1586243872</v>
      </c>
      <c r="C402" s="8" t="str">
        <f t="shared" si="13"/>
        <v>437</v>
      </c>
      <c r="D402" s="8" t="s">
        <v>119</v>
      </c>
      <c r="F402" s="8" t="s">
        <v>128</v>
      </c>
      <c r="G402" s="8" t="s">
        <v>936</v>
      </c>
      <c r="H402" s="8" t="s">
        <v>937</v>
      </c>
      <c r="I402" s="8" t="s">
        <v>181</v>
      </c>
      <c r="J402" s="8" t="s">
        <v>1227</v>
      </c>
      <c r="K402" s="8" t="s">
        <v>54</v>
      </c>
      <c r="L402" s="8" t="s">
        <v>1228</v>
      </c>
      <c r="M402" s="8" t="s">
        <v>2785</v>
      </c>
      <c r="N402" s="8" t="s">
        <v>936</v>
      </c>
      <c r="O402" s="8">
        <v>949.43</v>
      </c>
      <c r="P402" s="8">
        <v>1054.92</v>
      </c>
      <c r="Q402" s="8" t="s">
        <v>2544</v>
      </c>
      <c r="S402" s="8" t="s">
        <v>184</v>
      </c>
      <c r="T402" s="8">
        <v>169.67</v>
      </c>
    </row>
    <row r="403" spans="1:20" x14ac:dyDescent="0.2">
      <c r="A403" s="8" t="s">
        <v>4495</v>
      </c>
      <c r="B403" s="8" t="str">
        <f t="shared" si="12"/>
        <v>1586243872</v>
      </c>
      <c r="C403" s="8" t="str">
        <f t="shared" si="13"/>
        <v>438</v>
      </c>
      <c r="D403" s="8" t="s">
        <v>119</v>
      </c>
      <c r="F403" s="8" t="s">
        <v>128</v>
      </c>
      <c r="G403" s="8" t="s">
        <v>936</v>
      </c>
      <c r="H403" s="8" t="s">
        <v>937</v>
      </c>
      <c r="I403" s="8" t="s">
        <v>181</v>
      </c>
      <c r="J403" s="8" t="s">
        <v>1227</v>
      </c>
      <c r="K403" s="8" t="s">
        <v>54</v>
      </c>
      <c r="L403" s="8" t="s">
        <v>1228</v>
      </c>
      <c r="M403" s="8" t="s">
        <v>2785</v>
      </c>
      <c r="N403" s="8" t="s">
        <v>936</v>
      </c>
      <c r="O403" s="8">
        <v>949.43</v>
      </c>
      <c r="P403" s="8">
        <v>1054.92</v>
      </c>
      <c r="Q403" s="8" t="s">
        <v>2544</v>
      </c>
      <c r="S403" s="8" t="s">
        <v>109</v>
      </c>
      <c r="T403" s="8">
        <v>37.619999999999997</v>
      </c>
    </row>
    <row r="404" spans="1:20" x14ac:dyDescent="0.2">
      <c r="A404" s="8" t="s">
        <v>2895</v>
      </c>
      <c r="B404" s="8" t="str">
        <f t="shared" si="12"/>
        <v>1586243876</v>
      </c>
      <c r="C404" s="8" t="str">
        <f t="shared" si="13"/>
        <v>439</v>
      </c>
      <c r="D404" s="8" t="s">
        <v>119</v>
      </c>
      <c r="F404" s="8" t="s">
        <v>128</v>
      </c>
      <c r="G404" s="8" t="s">
        <v>360</v>
      </c>
      <c r="H404" s="8" t="s">
        <v>361</v>
      </c>
      <c r="I404" s="8" t="s">
        <v>362</v>
      </c>
      <c r="J404" s="8" t="s">
        <v>611</v>
      </c>
      <c r="K404" s="8" t="s">
        <v>190</v>
      </c>
      <c r="L404" s="8" t="s">
        <v>612</v>
      </c>
      <c r="M404" s="8" t="s">
        <v>2785</v>
      </c>
      <c r="N404" s="8" t="s">
        <v>360</v>
      </c>
      <c r="O404" s="8">
        <v>811.48</v>
      </c>
      <c r="P404" s="8">
        <v>901.64</v>
      </c>
      <c r="Q404" s="8" t="s">
        <v>2545</v>
      </c>
      <c r="R404" s="8" t="s">
        <v>1868</v>
      </c>
    </row>
    <row r="405" spans="1:20" x14ac:dyDescent="0.2">
      <c r="A405" s="8" t="s">
        <v>3250</v>
      </c>
      <c r="B405" s="8" t="str">
        <f t="shared" si="12"/>
        <v>1586243876</v>
      </c>
      <c r="C405" s="8" t="str">
        <f t="shared" si="13"/>
        <v>440</v>
      </c>
      <c r="D405" s="8" t="s">
        <v>119</v>
      </c>
      <c r="F405" s="8" t="s">
        <v>128</v>
      </c>
      <c r="G405" s="8" t="s">
        <v>360</v>
      </c>
      <c r="H405" s="8" t="s">
        <v>361</v>
      </c>
      <c r="I405" s="8" t="s">
        <v>362</v>
      </c>
      <c r="J405" s="8" t="s">
        <v>611</v>
      </c>
      <c r="K405" s="8" t="s">
        <v>190</v>
      </c>
      <c r="L405" s="8" t="s">
        <v>612</v>
      </c>
      <c r="M405" s="8" t="s">
        <v>2785</v>
      </c>
      <c r="N405" s="8" t="s">
        <v>360</v>
      </c>
      <c r="O405" s="8">
        <v>811.48</v>
      </c>
      <c r="P405" s="8">
        <v>901.64</v>
      </c>
      <c r="Q405" s="8" t="s">
        <v>2545</v>
      </c>
      <c r="R405" s="8" t="s">
        <v>2149</v>
      </c>
    </row>
    <row r="406" spans="1:20" x14ac:dyDescent="0.2">
      <c r="A406" s="8" t="s">
        <v>3809</v>
      </c>
      <c r="B406" s="8" t="str">
        <f t="shared" si="12"/>
        <v>1586243876</v>
      </c>
      <c r="C406" s="8" t="str">
        <f t="shared" si="13"/>
        <v>441</v>
      </c>
      <c r="D406" s="8" t="s">
        <v>119</v>
      </c>
      <c r="F406" s="8" t="s">
        <v>128</v>
      </c>
      <c r="G406" s="8" t="s">
        <v>360</v>
      </c>
      <c r="H406" s="8" t="s">
        <v>361</v>
      </c>
      <c r="I406" s="8" t="s">
        <v>362</v>
      </c>
      <c r="J406" s="8" t="s">
        <v>611</v>
      </c>
      <c r="K406" s="8" t="s">
        <v>190</v>
      </c>
      <c r="L406" s="8" t="s">
        <v>612</v>
      </c>
      <c r="M406" s="8" t="s">
        <v>2785</v>
      </c>
      <c r="N406" s="8" t="s">
        <v>360</v>
      </c>
      <c r="O406" s="8">
        <v>811.48</v>
      </c>
      <c r="P406" s="8">
        <v>901.64</v>
      </c>
      <c r="Q406" s="8" t="s">
        <v>2545</v>
      </c>
      <c r="R406" s="8" t="s">
        <v>1820</v>
      </c>
    </row>
    <row r="407" spans="1:20" x14ac:dyDescent="0.2">
      <c r="A407" s="8" t="s">
        <v>4174</v>
      </c>
      <c r="B407" s="8" t="str">
        <f t="shared" si="12"/>
        <v>1586243876</v>
      </c>
      <c r="C407" s="8" t="str">
        <f t="shared" si="13"/>
        <v>442</v>
      </c>
      <c r="D407" s="8" t="s">
        <v>119</v>
      </c>
      <c r="F407" s="8" t="s">
        <v>128</v>
      </c>
      <c r="G407" s="8" t="s">
        <v>360</v>
      </c>
      <c r="H407" s="8" t="s">
        <v>361</v>
      </c>
      <c r="I407" s="8" t="s">
        <v>362</v>
      </c>
      <c r="J407" s="8" t="s">
        <v>611</v>
      </c>
      <c r="K407" s="8" t="s">
        <v>190</v>
      </c>
      <c r="L407" s="8" t="s">
        <v>612</v>
      </c>
      <c r="M407" s="8" t="s">
        <v>2785</v>
      </c>
      <c r="N407" s="8" t="s">
        <v>360</v>
      </c>
      <c r="O407" s="8">
        <v>811.48</v>
      </c>
      <c r="P407" s="8">
        <v>901.64</v>
      </c>
      <c r="Q407" s="8" t="s">
        <v>2545</v>
      </c>
      <c r="R407" s="8" t="s">
        <v>613</v>
      </c>
    </row>
    <row r="408" spans="1:20" x14ac:dyDescent="0.2">
      <c r="A408" s="8" t="s">
        <v>3394</v>
      </c>
      <c r="B408" s="8" t="str">
        <f t="shared" si="12"/>
        <v>1586243876</v>
      </c>
      <c r="C408" s="8" t="str">
        <f t="shared" si="13"/>
        <v>443</v>
      </c>
      <c r="D408" s="8" t="s">
        <v>119</v>
      </c>
      <c r="F408" s="8" t="s">
        <v>128</v>
      </c>
      <c r="G408" s="8" t="s">
        <v>360</v>
      </c>
      <c r="H408" s="8" t="s">
        <v>361</v>
      </c>
      <c r="I408" s="8" t="s">
        <v>362</v>
      </c>
      <c r="J408" s="8" t="s">
        <v>611</v>
      </c>
      <c r="K408" s="8" t="s">
        <v>190</v>
      </c>
      <c r="L408" s="8" t="s">
        <v>612</v>
      </c>
      <c r="M408" s="8" t="s">
        <v>2785</v>
      </c>
      <c r="N408" s="8" t="s">
        <v>360</v>
      </c>
      <c r="O408" s="8">
        <v>811.48</v>
      </c>
      <c r="P408" s="8">
        <v>901.64</v>
      </c>
      <c r="Q408" s="8" t="s">
        <v>2545</v>
      </c>
      <c r="R408" s="8" t="s">
        <v>2242</v>
      </c>
    </row>
    <row r="409" spans="1:20" x14ac:dyDescent="0.2">
      <c r="A409" s="8" t="s">
        <v>4601</v>
      </c>
      <c r="B409" s="8" t="str">
        <f t="shared" si="12"/>
        <v>1586243876</v>
      </c>
      <c r="C409" s="8" t="str">
        <f t="shared" si="13"/>
        <v>444</v>
      </c>
      <c r="D409" s="8" t="s">
        <v>119</v>
      </c>
      <c r="F409" s="8" t="s">
        <v>128</v>
      </c>
      <c r="G409" s="8" t="s">
        <v>360</v>
      </c>
      <c r="H409" s="8" t="s">
        <v>361</v>
      </c>
      <c r="I409" s="8" t="s">
        <v>362</v>
      </c>
      <c r="J409" s="8" t="s">
        <v>611</v>
      </c>
      <c r="K409" s="8" t="s">
        <v>190</v>
      </c>
      <c r="L409" s="8" t="s">
        <v>612</v>
      </c>
      <c r="M409" s="8" t="s">
        <v>2785</v>
      </c>
      <c r="N409" s="8" t="s">
        <v>360</v>
      </c>
      <c r="O409" s="8">
        <v>811.48</v>
      </c>
      <c r="P409" s="8">
        <v>901.64</v>
      </c>
      <c r="Q409" s="8" t="s">
        <v>2545</v>
      </c>
      <c r="S409" s="8" t="s">
        <v>184</v>
      </c>
      <c r="T409" s="8">
        <v>169.67</v>
      </c>
    </row>
    <row r="410" spans="1:20" x14ac:dyDescent="0.2">
      <c r="A410" s="8" t="s">
        <v>3293</v>
      </c>
      <c r="B410" s="8" t="str">
        <f t="shared" si="12"/>
        <v>1586243876</v>
      </c>
      <c r="C410" s="8" t="str">
        <f t="shared" si="13"/>
        <v>445</v>
      </c>
      <c r="D410" s="8" t="s">
        <v>119</v>
      </c>
      <c r="F410" s="8" t="s">
        <v>128</v>
      </c>
      <c r="G410" s="8" t="s">
        <v>360</v>
      </c>
      <c r="H410" s="8" t="s">
        <v>361</v>
      </c>
      <c r="I410" s="8" t="s">
        <v>362</v>
      </c>
      <c r="J410" s="8" t="s">
        <v>611</v>
      </c>
      <c r="K410" s="8" t="s">
        <v>190</v>
      </c>
      <c r="L410" s="8" t="s">
        <v>612</v>
      </c>
      <c r="M410" s="8" t="s">
        <v>2785</v>
      </c>
      <c r="N410" s="8" t="s">
        <v>360</v>
      </c>
      <c r="O410" s="8">
        <v>811.48</v>
      </c>
      <c r="P410" s="8">
        <v>901.64</v>
      </c>
      <c r="Q410" s="8" t="s">
        <v>2545</v>
      </c>
      <c r="S410" s="8" t="s">
        <v>2201</v>
      </c>
      <c r="T410" s="8">
        <v>36.89</v>
      </c>
    </row>
    <row r="411" spans="1:20" x14ac:dyDescent="0.2">
      <c r="A411" s="8" t="s">
        <v>4102</v>
      </c>
      <c r="B411" s="8" t="str">
        <f t="shared" si="12"/>
        <v>1586243878</v>
      </c>
      <c r="C411" s="8" t="str">
        <f t="shared" si="13"/>
        <v>446</v>
      </c>
      <c r="D411" s="8" t="s">
        <v>119</v>
      </c>
      <c r="F411" s="8" t="s">
        <v>128</v>
      </c>
      <c r="G411" s="8" t="s">
        <v>360</v>
      </c>
      <c r="H411" s="8" t="s">
        <v>361</v>
      </c>
      <c r="I411" s="8" t="s">
        <v>362</v>
      </c>
      <c r="J411" s="8" t="s">
        <v>363</v>
      </c>
      <c r="K411" s="8" t="s">
        <v>364</v>
      </c>
      <c r="L411" s="8" t="s">
        <v>365</v>
      </c>
      <c r="M411" s="8" t="s">
        <v>2785</v>
      </c>
      <c r="N411" s="8" t="s">
        <v>360</v>
      </c>
      <c r="O411" s="8">
        <v>686.07</v>
      </c>
      <c r="P411" s="8">
        <v>762.3</v>
      </c>
      <c r="Q411" s="8" t="s">
        <v>2546</v>
      </c>
      <c r="R411" s="8" t="s">
        <v>619</v>
      </c>
    </row>
    <row r="412" spans="1:20" x14ac:dyDescent="0.2">
      <c r="A412" s="8" t="s">
        <v>3969</v>
      </c>
      <c r="B412" s="8" t="str">
        <f t="shared" si="12"/>
        <v>1586243878</v>
      </c>
      <c r="C412" s="8" t="str">
        <f t="shared" si="13"/>
        <v>447</v>
      </c>
      <c r="D412" s="8" t="s">
        <v>119</v>
      </c>
      <c r="F412" s="8" t="s">
        <v>128</v>
      </c>
      <c r="G412" s="8" t="s">
        <v>360</v>
      </c>
      <c r="H412" s="8" t="s">
        <v>361</v>
      </c>
      <c r="I412" s="8" t="s">
        <v>362</v>
      </c>
      <c r="J412" s="8" t="s">
        <v>363</v>
      </c>
      <c r="K412" s="8" t="s">
        <v>364</v>
      </c>
      <c r="L412" s="8" t="s">
        <v>365</v>
      </c>
      <c r="M412" s="8" t="s">
        <v>2785</v>
      </c>
      <c r="N412" s="8" t="s">
        <v>360</v>
      </c>
      <c r="O412" s="8">
        <v>686.07</v>
      </c>
      <c r="P412" s="8">
        <v>762.3</v>
      </c>
      <c r="Q412" s="8" t="s">
        <v>2546</v>
      </c>
      <c r="R412" s="8" t="s">
        <v>2400</v>
      </c>
    </row>
    <row r="413" spans="1:20" x14ac:dyDescent="0.2">
      <c r="A413" s="8" t="s">
        <v>3620</v>
      </c>
      <c r="B413" s="8" t="str">
        <f t="shared" si="12"/>
        <v>1586243878</v>
      </c>
      <c r="C413" s="8" t="str">
        <f t="shared" si="13"/>
        <v>448</v>
      </c>
      <c r="D413" s="8" t="s">
        <v>119</v>
      </c>
      <c r="F413" s="8" t="s">
        <v>128</v>
      </c>
      <c r="G413" s="8" t="s">
        <v>360</v>
      </c>
      <c r="H413" s="8" t="s">
        <v>361</v>
      </c>
      <c r="I413" s="8" t="s">
        <v>362</v>
      </c>
      <c r="J413" s="8" t="s">
        <v>363</v>
      </c>
      <c r="K413" s="8" t="s">
        <v>364</v>
      </c>
      <c r="L413" s="8" t="s">
        <v>365</v>
      </c>
      <c r="M413" s="8" t="s">
        <v>2785</v>
      </c>
      <c r="N413" s="8" t="s">
        <v>360</v>
      </c>
      <c r="O413" s="8">
        <v>686.07</v>
      </c>
      <c r="P413" s="8">
        <v>762.3</v>
      </c>
      <c r="Q413" s="8" t="s">
        <v>2546</v>
      </c>
      <c r="R413" s="8" t="s">
        <v>2036</v>
      </c>
    </row>
    <row r="414" spans="1:20" x14ac:dyDescent="0.2">
      <c r="A414" s="8" t="s">
        <v>2946</v>
      </c>
      <c r="B414" s="8" t="str">
        <f t="shared" si="12"/>
        <v>1586243878</v>
      </c>
      <c r="C414" s="8" t="str">
        <f t="shared" si="13"/>
        <v>449</v>
      </c>
      <c r="D414" s="8" t="s">
        <v>119</v>
      </c>
      <c r="F414" s="8" t="s">
        <v>128</v>
      </c>
      <c r="G414" s="8" t="s">
        <v>360</v>
      </c>
      <c r="H414" s="8" t="s">
        <v>361</v>
      </c>
      <c r="I414" s="8" t="s">
        <v>362</v>
      </c>
      <c r="J414" s="8" t="s">
        <v>363</v>
      </c>
      <c r="K414" s="8" t="s">
        <v>364</v>
      </c>
      <c r="L414" s="8" t="s">
        <v>365</v>
      </c>
      <c r="M414" s="8" t="s">
        <v>2785</v>
      </c>
      <c r="N414" s="8" t="s">
        <v>360</v>
      </c>
      <c r="O414" s="8">
        <v>686.07</v>
      </c>
      <c r="P414" s="8">
        <v>762.3</v>
      </c>
      <c r="Q414" s="8" t="s">
        <v>2546</v>
      </c>
      <c r="R414" s="8" t="s">
        <v>1098</v>
      </c>
    </row>
    <row r="415" spans="1:20" x14ac:dyDescent="0.2">
      <c r="A415" s="8" t="s">
        <v>3713</v>
      </c>
      <c r="B415" s="8" t="str">
        <f t="shared" si="12"/>
        <v>1586243878</v>
      </c>
      <c r="C415" s="8" t="str">
        <f t="shared" si="13"/>
        <v>450</v>
      </c>
      <c r="D415" s="8" t="s">
        <v>119</v>
      </c>
      <c r="F415" s="8" t="s">
        <v>128</v>
      </c>
      <c r="G415" s="8" t="s">
        <v>360</v>
      </c>
      <c r="H415" s="8" t="s">
        <v>361</v>
      </c>
      <c r="I415" s="8" t="s">
        <v>362</v>
      </c>
      <c r="J415" s="8" t="s">
        <v>363</v>
      </c>
      <c r="K415" s="8" t="s">
        <v>364</v>
      </c>
      <c r="L415" s="8" t="s">
        <v>365</v>
      </c>
      <c r="M415" s="8" t="s">
        <v>2785</v>
      </c>
      <c r="N415" s="8" t="s">
        <v>360</v>
      </c>
      <c r="O415" s="8">
        <v>686.07</v>
      </c>
      <c r="P415" s="8">
        <v>762.3</v>
      </c>
      <c r="Q415" s="8" t="s">
        <v>2546</v>
      </c>
      <c r="R415" s="8" t="s">
        <v>2157</v>
      </c>
    </row>
    <row r="416" spans="1:20" x14ac:dyDescent="0.2">
      <c r="A416" s="8" t="s">
        <v>4596</v>
      </c>
      <c r="B416" s="8" t="str">
        <f t="shared" si="12"/>
        <v>1586243878</v>
      </c>
      <c r="C416" s="8" t="str">
        <f t="shared" si="13"/>
        <v>451</v>
      </c>
      <c r="D416" s="8" t="s">
        <v>119</v>
      </c>
      <c r="F416" s="8" t="s">
        <v>128</v>
      </c>
      <c r="G416" s="8" t="s">
        <v>360</v>
      </c>
      <c r="H416" s="8" t="s">
        <v>361</v>
      </c>
      <c r="I416" s="8" t="s">
        <v>362</v>
      </c>
      <c r="J416" s="8" t="s">
        <v>363</v>
      </c>
      <c r="K416" s="8" t="s">
        <v>364</v>
      </c>
      <c r="L416" s="8" t="s">
        <v>365</v>
      </c>
      <c r="M416" s="8" t="s">
        <v>2785</v>
      </c>
      <c r="N416" s="8" t="s">
        <v>360</v>
      </c>
      <c r="O416" s="8">
        <v>686.07</v>
      </c>
      <c r="P416" s="8">
        <v>762.3</v>
      </c>
      <c r="Q416" s="8" t="s">
        <v>2546</v>
      </c>
      <c r="R416" s="8" t="s">
        <v>2058</v>
      </c>
    </row>
    <row r="417" spans="1:20" x14ac:dyDescent="0.2">
      <c r="A417" s="8" t="s">
        <v>3483</v>
      </c>
      <c r="B417" s="8" t="str">
        <f t="shared" si="12"/>
        <v>1586243878</v>
      </c>
      <c r="C417" s="8" t="str">
        <f t="shared" si="13"/>
        <v>452</v>
      </c>
      <c r="D417" s="8" t="s">
        <v>119</v>
      </c>
      <c r="F417" s="8" t="s">
        <v>128</v>
      </c>
      <c r="G417" s="8" t="s">
        <v>360</v>
      </c>
      <c r="H417" s="8" t="s">
        <v>361</v>
      </c>
      <c r="I417" s="8" t="s">
        <v>362</v>
      </c>
      <c r="J417" s="8" t="s">
        <v>363</v>
      </c>
      <c r="K417" s="8" t="s">
        <v>364</v>
      </c>
      <c r="L417" s="8" t="s">
        <v>365</v>
      </c>
      <c r="M417" s="8" t="s">
        <v>2785</v>
      </c>
      <c r="N417" s="8" t="s">
        <v>360</v>
      </c>
      <c r="O417" s="8">
        <v>686.07</v>
      </c>
      <c r="P417" s="8">
        <v>762.3</v>
      </c>
      <c r="Q417" s="8" t="s">
        <v>2546</v>
      </c>
      <c r="S417" s="8" t="s">
        <v>331</v>
      </c>
      <c r="T417" s="8">
        <v>125.41</v>
      </c>
    </row>
    <row r="418" spans="1:20" x14ac:dyDescent="0.2">
      <c r="A418" s="8" t="s">
        <v>3890</v>
      </c>
      <c r="B418" s="8" t="str">
        <f t="shared" si="12"/>
        <v>1586243878</v>
      </c>
      <c r="C418" s="8" t="str">
        <f t="shared" si="13"/>
        <v>453</v>
      </c>
      <c r="D418" s="8" t="s">
        <v>119</v>
      </c>
      <c r="F418" s="8" t="s">
        <v>128</v>
      </c>
      <c r="G418" s="8" t="s">
        <v>360</v>
      </c>
      <c r="H418" s="8" t="s">
        <v>361</v>
      </c>
      <c r="I418" s="8" t="s">
        <v>362</v>
      </c>
      <c r="J418" s="8" t="s">
        <v>363</v>
      </c>
      <c r="K418" s="8" t="s">
        <v>364</v>
      </c>
      <c r="L418" s="8" t="s">
        <v>365</v>
      </c>
      <c r="M418" s="8" t="s">
        <v>2785</v>
      </c>
      <c r="N418" s="8" t="s">
        <v>360</v>
      </c>
      <c r="O418" s="8">
        <v>686.07</v>
      </c>
      <c r="P418" s="8">
        <v>762.3</v>
      </c>
      <c r="Q418" s="8" t="s">
        <v>2546</v>
      </c>
      <c r="S418" s="8" t="s">
        <v>1815</v>
      </c>
      <c r="T418" s="8">
        <v>70.08</v>
      </c>
    </row>
    <row r="419" spans="1:20" x14ac:dyDescent="0.2">
      <c r="A419" s="8" t="s">
        <v>4626</v>
      </c>
      <c r="B419" s="8" t="str">
        <f t="shared" si="12"/>
        <v>1586243880</v>
      </c>
      <c r="C419" s="8" t="str">
        <f t="shared" si="13"/>
        <v>454</v>
      </c>
      <c r="D419" s="8" t="s">
        <v>119</v>
      </c>
      <c r="F419" s="8" t="s">
        <v>128</v>
      </c>
      <c r="G419" s="8" t="s">
        <v>360</v>
      </c>
      <c r="H419" s="8" t="s">
        <v>361</v>
      </c>
      <c r="I419" s="8" t="s">
        <v>181</v>
      </c>
      <c r="J419" s="8" t="s">
        <v>1483</v>
      </c>
      <c r="K419" s="8" t="s">
        <v>1484</v>
      </c>
      <c r="L419" s="8" t="s">
        <v>1485</v>
      </c>
      <c r="M419" s="8" t="s">
        <v>2785</v>
      </c>
      <c r="N419" s="8" t="s">
        <v>360</v>
      </c>
      <c r="O419" s="8">
        <v>715.57</v>
      </c>
      <c r="P419" s="8">
        <v>795.08</v>
      </c>
      <c r="Q419" s="8" t="s">
        <v>2547</v>
      </c>
      <c r="R419" s="8" t="s">
        <v>1711</v>
      </c>
    </row>
    <row r="420" spans="1:20" x14ac:dyDescent="0.2">
      <c r="A420" s="8" t="s">
        <v>3195</v>
      </c>
      <c r="B420" s="8" t="str">
        <f t="shared" si="12"/>
        <v>1586243880</v>
      </c>
      <c r="C420" s="8" t="str">
        <f t="shared" si="13"/>
        <v>455</v>
      </c>
      <c r="D420" s="8" t="s">
        <v>119</v>
      </c>
      <c r="F420" s="8" t="s">
        <v>128</v>
      </c>
      <c r="G420" s="8" t="s">
        <v>360</v>
      </c>
      <c r="H420" s="8" t="s">
        <v>361</v>
      </c>
      <c r="I420" s="8" t="s">
        <v>181</v>
      </c>
      <c r="J420" s="8" t="s">
        <v>1483</v>
      </c>
      <c r="K420" s="8" t="s">
        <v>1484</v>
      </c>
      <c r="L420" s="8" t="s">
        <v>1485</v>
      </c>
      <c r="M420" s="8" t="s">
        <v>2785</v>
      </c>
      <c r="N420" s="8" t="s">
        <v>360</v>
      </c>
      <c r="O420" s="8">
        <v>715.57</v>
      </c>
      <c r="P420" s="8">
        <v>795.08</v>
      </c>
      <c r="Q420" s="8" t="s">
        <v>2547</v>
      </c>
      <c r="R420" s="8" t="s">
        <v>1998</v>
      </c>
    </row>
    <row r="421" spans="1:20" x14ac:dyDescent="0.2">
      <c r="A421" s="8" t="s">
        <v>4101</v>
      </c>
      <c r="B421" s="8" t="str">
        <f t="shared" si="12"/>
        <v>1586243880</v>
      </c>
      <c r="C421" s="8" t="str">
        <f t="shared" si="13"/>
        <v>456</v>
      </c>
      <c r="D421" s="8" t="s">
        <v>119</v>
      </c>
      <c r="F421" s="8" t="s">
        <v>128</v>
      </c>
      <c r="G421" s="8" t="s">
        <v>360</v>
      </c>
      <c r="H421" s="8" t="s">
        <v>361</v>
      </c>
      <c r="I421" s="8" t="s">
        <v>181</v>
      </c>
      <c r="J421" s="8" t="s">
        <v>1483</v>
      </c>
      <c r="K421" s="8" t="s">
        <v>1484</v>
      </c>
      <c r="L421" s="8" t="s">
        <v>1485</v>
      </c>
      <c r="M421" s="8" t="s">
        <v>2785</v>
      </c>
      <c r="N421" s="8" t="s">
        <v>360</v>
      </c>
      <c r="O421" s="8">
        <v>715.57</v>
      </c>
      <c r="P421" s="8">
        <v>795.08</v>
      </c>
      <c r="Q421" s="8" t="s">
        <v>2547</v>
      </c>
      <c r="R421" s="8" t="s">
        <v>2158</v>
      </c>
    </row>
    <row r="422" spans="1:20" x14ac:dyDescent="0.2">
      <c r="A422" s="8" t="s">
        <v>3264</v>
      </c>
      <c r="B422" s="8" t="str">
        <f t="shared" si="12"/>
        <v>1586243880</v>
      </c>
      <c r="C422" s="8" t="str">
        <f t="shared" si="13"/>
        <v>457</v>
      </c>
      <c r="D422" s="8" t="s">
        <v>119</v>
      </c>
      <c r="F422" s="8" t="s">
        <v>128</v>
      </c>
      <c r="G422" s="8" t="s">
        <v>360</v>
      </c>
      <c r="H422" s="8" t="s">
        <v>361</v>
      </c>
      <c r="I422" s="8" t="s">
        <v>181</v>
      </c>
      <c r="J422" s="8" t="s">
        <v>1483</v>
      </c>
      <c r="K422" s="8" t="s">
        <v>1484</v>
      </c>
      <c r="L422" s="8" t="s">
        <v>1485</v>
      </c>
      <c r="M422" s="8" t="s">
        <v>2785</v>
      </c>
      <c r="N422" s="8" t="s">
        <v>360</v>
      </c>
      <c r="O422" s="8">
        <v>715.57</v>
      </c>
      <c r="P422" s="8">
        <v>795.08</v>
      </c>
      <c r="Q422" s="8" t="s">
        <v>2547</v>
      </c>
      <c r="R422" s="8" t="s">
        <v>2169</v>
      </c>
    </row>
    <row r="423" spans="1:20" x14ac:dyDescent="0.2">
      <c r="A423" s="8" t="s">
        <v>4349</v>
      </c>
      <c r="B423" s="8" t="str">
        <f t="shared" si="12"/>
        <v>1586243880</v>
      </c>
      <c r="C423" s="8" t="str">
        <f t="shared" si="13"/>
        <v>458</v>
      </c>
      <c r="D423" s="8" t="s">
        <v>119</v>
      </c>
      <c r="F423" s="8" t="s">
        <v>128</v>
      </c>
      <c r="G423" s="8" t="s">
        <v>360</v>
      </c>
      <c r="H423" s="8" t="s">
        <v>361</v>
      </c>
      <c r="I423" s="8" t="s">
        <v>181</v>
      </c>
      <c r="J423" s="8" t="s">
        <v>1483</v>
      </c>
      <c r="K423" s="8" t="s">
        <v>1484</v>
      </c>
      <c r="L423" s="8" t="s">
        <v>1485</v>
      </c>
      <c r="M423" s="8" t="s">
        <v>2785</v>
      </c>
      <c r="N423" s="8" t="s">
        <v>360</v>
      </c>
      <c r="O423" s="8">
        <v>715.57</v>
      </c>
      <c r="P423" s="8">
        <v>795.08</v>
      </c>
      <c r="Q423" s="8" t="s">
        <v>2547</v>
      </c>
      <c r="R423" s="8" t="s">
        <v>1486</v>
      </c>
    </row>
    <row r="424" spans="1:20" x14ac:dyDescent="0.2">
      <c r="A424" s="8" t="s">
        <v>4049</v>
      </c>
      <c r="B424" s="8" t="str">
        <f t="shared" si="12"/>
        <v>1586243880</v>
      </c>
      <c r="C424" s="8" t="str">
        <f t="shared" si="13"/>
        <v>459</v>
      </c>
      <c r="D424" s="8" t="s">
        <v>119</v>
      </c>
      <c r="F424" s="8" t="s">
        <v>128</v>
      </c>
      <c r="G424" s="8" t="s">
        <v>360</v>
      </c>
      <c r="H424" s="8" t="s">
        <v>361</v>
      </c>
      <c r="I424" s="8" t="s">
        <v>181</v>
      </c>
      <c r="J424" s="8" t="s">
        <v>1483</v>
      </c>
      <c r="K424" s="8" t="s">
        <v>1484</v>
      </c>
      <c r="L424" s="8" t="s">
        <v>1485</v>
      </c>
      <c r="M424" s="8" t="s">
        <v>2785</v>
      </c>
      <c r="N424" s="8" t="s">
        <v>360</v>
      </c>
      <c r="O424" s="8">
        <v>715.57</v>
      </c>
      <c r="P424" s="8">
        <v>795.08</v>
      </c>
      <c r="Q424" s="8" t="s">
        <v>2547</v>
      </c>
      <c r="S424" s="8" t="s">
        <v>331</v>
      </c>
      <c r="T424" s="8">
        <v>118.03</v>
      </c>
    </row>
    <row r="425" spans="1:20" x14ac:dyDescent="0.2">
      <c r="A425" s="8" t="s">
        <v>3738</v>
      </c>
      <c r="B425" s="8" t="str">
        <f t="shared" si="12"/>
        <v>1586243880</v>
      </c>
      <c r="C425" s="8" t="str">
        <f t="shared" si="13"/>
        <v>460</v>
      </c>
      <c r="D425" s="8" t="s">
        <v>119</v>
      </c>
      <c r="F425" s="8" t="s">
        <v>128</v>
      </c>
      <c r="G425" s="8" t="s">
        <v>360</v>
      </c>
      <c r="H425" s="8" t="s">
        <v>361</v>
      </c>
      <c r="I425" s="8" t="s">
        <v>181</v>
      </c>
      <c r="J425" s="8" t="s">
        <v>1483</v>
      </c>
      <c r="K425" s="8" t="s">
        <v>1484</v>
      </c>
      <c r="L425" s="8" t="s">
        <v>1485</v>
      </c>
      <c r="M425" s="8" t="s">
        <v>2785</v>
      </c>
      <c r="N425" s="8" t="s">
        <v>360</v>
      </c>
      <c r="O425" s="8">
        <v>715.57</v>
      </c>
      <c r="P425" s="8">
        <v>795.08</v>
      </c>
      <c r="Q425" s="8" t="s">
        <v>2547</v>
      </c>
      <c r="S425" s="8" t="s">
        <v>1815</v>
      </c>
      <c r="T425" s="8">
        <v>70.08</v>
      </c>
    </row>
    <row r="426" spans="1:20" x14ac:dyDescent="0.2">
      <c r="A426" s="8" t="s">
        <v>4611</v>
      </c>
      <c r="B426" s="8" t="str">
        <f t="shared" si="12"/>
        <v>1586243884</v>
      </c>
      <c r="C426" s="8" t="str">
        <f t="shared" si="13"/>
        <v>461</v>
      </c>
      <c r="D426" s="8" t="s">
        <v>119</v>
      </c>
      <c r="F426" s="8" t="s">
        <v>128</v>
      </c>
      <c r="G426" s="8" t="s">
        <v>569</v>
      </c>
      <c r="H426" s="8" t="s">
        <v>570</v>
      </c>
      <c r="I426" s="8" t="s">
        <v>181</v>
      </c>
      <c r="J426" s="8" t="s">
        <v>571</v>
      </c>
      <c r="K426" s="8" t="s">
        <v>125</v>
      </c>
      <c r="L426" s="8" t="s">
        <v>572</v>
      </c>
      <c r="M426" s="8" t="s">
        <v>2785</v>
      </c>
      <c r="N426" s="8" t="s">
        <v>569</v>
      </c>
      <c r="O426" s="8">
        <v>329.02</v>
      </c>
      <c r="P426" s="8">
        <v>365.57</v>
      </c>
      <c r="Q426" s="8" t="s">
        <v>2548</v>
      </c>
      <c r="R426" s="8" t="s">
        <v>1150</v>
      </c>
    </row>
    <row r="427" spans="1:20" x14ac:dyDescent="0.2">
      <c r="A427" s="8" t="s">
        <v>3319</v>
      </c>
      <c r="B427" s="8" t="str">
        <f t="shared" si="12"/>
        <v>1586243884</v>
      </c>
      <c r="C427" s="8" t="str">
        <f t="shared" si="13"/>
        <v>462</v>
      </c>
      <c r="D427" s="8" t="s">
        <v>119</v>
      </c>
      <c r="F427" s="8" t="s">
        <v>128</v>
      </c>
      <c r="G427" s="8" t="s">
        <v>569</v>
      </c>
      <c r="H427" s="8" t="s">
        <v>570</v>
      </c>
      <c r="I427" s="8" t="s">
        <v>181</v>
      </c>
      <c r="J427" s="8" t="s">
        <v>571</v>
      </c>
      <c r="K427" s="8" t="s">
        <v>125</v>
      </c>
      <c r="L427" s="8" t="s">
        <v>572</v>
      </c>
      <c r="M427" s="8" t="s">
        <v>2785</v>
      </c>
      <c r="N427" s="8" t="s">
        <v>569</v>
      </c>
      <c r="O427" s="8">
        <v>329.02</v>
      </c>
      <c r="P427" s="8">
        <v>365.57</v>
      </c>
      <c r="Q427" s="8" t="s">
        <v>2548</v>
      </c>
      <c r="S427" s="8" t="s">
        <v>142</v>
      </c>
      <c r="T427" s="8">
        <v>42.05</v>
      </c>
    </row>
    <row r="428" spans="1:20" x14ac:dyDescent="0.2">
      <c r="A428" s="8" t="s">
        <v>3436</v>
      </c>
      <c r="B428" s="8" t="str">
        <f t="shared" si="12"/>
        <v>1586243884</v>
      </c>
      <c r="C428" s="8" t="str">
        <f t="shared" si="13"/>
        <v>463</v>
      </c>
      <c r="D428" s="8" t="s">
        <v>119</v>
      </c>
      <c r="F428" s="8" t="s">
        <v>128</v>
      </c>
      <c r="G428" s="8" t="s">
        <v>569</v>
      </c>
      <c r="H428" s="8" t="s">
        <v>570</v>
      </c>
      <c r="I428" s="8" t="s">
        <v>181</v>
      </c>
      <c r="J428" s="8" t="s">
        <v>571</v>
      </c>
      <c r="K428" s="8" t="s">
        <v>125</v>
      </c>
      <c r="L428" s="8" t="s">
        <v>572</v>
      </c>
      <c r="M428" s="8" t="s">
        <v>2785</v>
      </c>
      <c r="N428" s="8" t="s">
        <v>569</v>
      </c>
      <c r="O428" s="8">
        <v>329.02</v>
      </c>
      <c r="P428" s="8">
        <v>365.57</v>
      </c>
      <c r="Q428" s="8" t="s">
        <v>2548</v>
      </c>
      <c r="S428" s="8" t="s">
        <v>1367</v>
      </c>
      <c r="T428" s="8">
        <v>216.15</v>
      </c>
    </row>
    <row r="429" spans="1:20" x14ac:dyDescent="0.2">
      <c r="A429" s="8" t="s">
        <v>3308</v>
      </c>
      <c r="B429" s="8" t="str">
        <f t="shared" si="12"/>
        <v>1586243884</v>
      </c>
      <c r="C429" s="8" t="str">
        <f t="shared" si="13"/>
        <v>464</v>
      </c>
      <c r="D429" s="8" t="s">
        <v>119</v>
      </c>
      <c r="F429" s="8" t="s">
        <v>128</v>
      </c>
      <c r="G429" s="8" t="s">
        <v>569</v>
      </c>
      <c r="H429" s="8" t="s">
        <v>570</v>
      </c>
      <c r="I429" s="8" t="s">
        <v>181</v>
      </c>
      <c r="J429" s="8" t="s">
        <v>571</v>
      </c>
      <c r="K429" s="8" t="s">
        <v>125</v>
      </c>
      <c r="L429" s="8" t="s">
        <v>572</v>
      </c>
      <c r="M429" s="8" t="s">
        <v>2785</v>
      </c>
      <c r="N429" s="8" t="s">
        <v>569</v>
      </c>
      <c r="O429" s="8">
        <v>329.02</v>
      </c>
      <c r="P429" s="8">
        <v>365.57</v>
      </c>
      <c r="Q429" s="8" t="s">
        <v>2548</v>
      </c>
      <c r="S429" s="8" t="s">
        <v>1775</v>
      </c>
      <c r="T429" s="8">
        <v>281.8</v>
      </c>
    </row>
    <row r="430" spans="1:20" x14ac:dyDescent="0.2">
      <c r="A430" s="8" t="s">
        <v>2984</v>
      </c>
      <c r="B430" s="8" t="str">
        <f t="shared" si="12"/>
        <v>1586243884</v>
      </c>
      <c r="C430" s="8" t="str">
        <f t="shared" si="13"/>
        <v>465</v>
      </c>
      <c r="D430" s="8" t="s">
        <v>119</v>
      </c>
      <c r="F430" s="8" t="s">
        <v>128</v>
      </c>
      <c r="G430" s="8" t="s">
        <v>569</v>
      </c>
      <c r="H430" s="8" t="s">
        <v>570</v>
      </c>
      <c r="I430" s="8" t="s">
        <v>181</v>
      </c>
      <c r="J430" s="8" t="s">
        <v>571</v>
      </c>
      <c r="K430" s="8" t="s">
        <v>125</v>
      </c>
      <c r="L430" s="8" t="s">
        <v>572</v>
      </c>
      <c r="M430" s="8" t="s">
        <v>2785</v>
      </c>
      <c r="N430" s="8" t="s">
        <v>569</v>
      </c>
      <c r="O430" s="8">
        <v>329.02</v>
      </c>
      <c r="P430" s="8">
        <v>365.57</v>
      </c>
      <c r="Q430" s="8" t="s">
        <v>2548</v>
      </c>
      <c r="S430" s="8" t="s">
        <v>184</v>
      </c>
      <c r="T430" s="8">
        <v>77.459999999999994</v>
      </c>
    </row>
    <row r="431" spans="1:20" x14ac:dyDescent="0.2">
      <c r="A431" s="8" t="s">
        <v>4487</v>
      </c>
      <c r="B431" s="8" t="str">
        <f t="shared" si="12"/>
        <v>1586243884</v>
      </c>
      <c r="C431" s="8" t="str">
        <f t="shared" si="13"/>
        <v>466</v>
      </c>
      <c r="D431" s="8" t="s">
        <v>119</v>
      </c>
      <c r="F431" s="8" t="s">
        <v>128</v>
      </c>
      <c r="G431" s="8" t="s">
        <v>569</v>
      </c>
      <c r="H431" s="8" t="s">
        <v>570</v>
      </c>
      <c r="I431" s="8" t="s">
        <v>181</v>
      </c>
      <c r="J431" s="8" t="s">
        <v>571</v>
      </c>
      <c r="K431" s="8" t="s">
        <v>125</v>
      </c>
      <c r="L431" s="8" t="s">
        <v>572</v>
      </c>
      <c r="M431" s="8" t="s">
        <v>2785</v>
      </c>
      <c r="N431" s="8" t="s">
        <v>569</v>
      </c>
      <c r="O431" s="8">
        <v>329.02</v>
      </c>
      <c r="P431" s="8">
        <v>365.57</v>
      </c>
      <c r="Q431" s="8" t="s">
        <v>2548</v>
      </c>
      <c r="S431" s="8" t="s">
        <v>109</v>
      </c>
      <c r="T431" s="8">
        <v>37.619999999999997</v>
      </c>
    </row>
    <row r="432" spans="1:20" x14ac:dyDescent="0.2">
      <c r="A432" s="8" t="s">
        <v>3828</v>
      </c>
      <c r="B432" s="8" t="str">
        <f t="shared" si="12"/>
        <v>1586243886</v>
      </c>
      <c r="C432" s="8" t="str">
        <f t="shared" si="13"/>
        <v>467</v>
      </c>
      <c r="D432" s="8" t="s">
        <v>119</v>
      </c>
      <c r="F432" s="8" t="s">
        <v>128</v>
      </c>
      <c r="G432" s="8" t="s">
        <v>569</v>
      </c>
      <c r="H432" s="8" t="s">
        <v>570</v>
      </c>
      <c r="I432" s="8" t="s">
        <v>181</v>
      </c>
      <c r="J432" s="8" t="s">
        <v>1708</v>
      </c>
      <c r="K432" s="8" t="s">
        <v>54</v>
      </c>
      <c r="L432" s="8" t="s">
        <v>1709</v>
      </c>
      <c r="M432" s="8" t="s">
        <v>2785</v>
      </c>
      <c r="N432" s="8" t="s">
        <v>569</v>
      </c>
      <c r="O432" s="8">
        <v>907.38</v>
      </c>
      <c r="P432" s="8">
        <v>1008.2</v>
      </c>
      <c r="Q432" s="8" t="s">
        <v>2549</v>
      </c>
      <c r="R432" s="8" t="s">
        <v>1829</v>
      </c>
    </row>
    <row r="433" spans="1:20" x14ac:dyDescent="0.2">
      <c r="A433" s="8" t="s">
        <v>3485</v>
      </c>
      <c r="B433" s="8" t="str">
        <f t="shared" si="12"/>
        <v>1586243886</v>
      </c>
      <c r="C433" s="8" t="str">
        <f t="shared" si="13"/>
        <v>468</v>
      </c>
      <c r="D433" s="8" t="s">
        <v>119</v>
      </c>
      <c r="F433" s="8" t="s">
        <v>128</v>
      </c>
      <c r="G433" s="8" t="s">
        <v>569</v>
      </c>
      <c r="H433" s="8" t="s">
        <v>570</v>
      </c>
      <c r="I433" s="8" t="s">
        <v>181</v>
      </c>
      <c r="J433" s="8" t="s">
        <v>1708</v>
      </c>
      <c r="K433" s="8" t="s">
        <v>54</v>
      </c>
      <c r="L433" s="8" t="s">
        <v>1709</v>
      </c>
      <c r="M433" s="8" t="s">
        <v>2785</v>
      </c>
      <c r="N433" s="8" t="s">
        <v>569</v>
      </c>
      <c r="O433" s="8">
        <v>907.38</v>
      </c>
      <c r="P433" s="8">
        <v>1008.2</v>
      </c>
      <c r="Q433" s="8" t="s">
        <v>2549</v>
      </c>
      <c r="S433" s="8" t="s">
        <v>1831</v>
      </c>
      <c r="T433" s="8">
        <v>30.98</v>
      </c>
    </row>
    <row r="434" spans="1:20" x14ac:dyDescent="0.2">
      <c r="A434" s="8" t="s">
        <v>3226</v>
      </c>
      <c r="B434" s="8" t="str">
        <f t="shared" si="12"/>
        <v>1586243886</v>
      </c>
      <c r="C434" s="8" t="str">
        <f t="shared" si="13"/>
        <v>469</v>
      </c>
      <c r="D434" s="8" t="s">
        <v>119</v>
      </c>
      <c r="F434" s="8" t="s">
        <v>128</v>
      </c>
      <c r="G434" s="8" t="s">
        <v>569</v>
      </c>
      <c r="H434" s="8" t="s">
        <v>570</v>
      </c>
      <c r="I434" s="8" t="s">
        <v>181</v>
      </c>
      <c r="J434" s="8" t="s">
        <v>1708</v>
      </c>
      <c r="K434" s="8" t="s">
        <v>54</v>
      </c>
      <c r="L434" s="8" t="s">
        <v>1709</v>
      </c>
      <c r="M434" s="8" t="s">
        <v>2785</v>
      </c>
      <c r="N434" s="8" t="s">
        <v>569</v>
      </c>
      <c r="O434" s="8">
        <v>907.38</v>
      </c>
      <c r="P434" s="8">
        <v>1008.2</v>
      </c>
      <c r="Q434" s="8" t="s">
        <v>2549</v>
      </c>
      <c r="S434" s="8" t="s">
        <v>1367</v>
      </c>
      <c r="T434" s="8">
        <v>770.9</v>
      </c>
    </row>
    <row r="435" spans="1:20" x14ac:dyDescent="0.2">
      <c r="A435" s="8" t="s">
        <v>4224</v>
      </c>
      <c r="B435" s="8" t="str">
        <f t="shared" si="12"/>
        <v>1586243886</v>
      </c>
      <c r="C435" s="8" t="str">
        <f t="shared" si="13"/>
        <v>470</v>
      </c>
      <c r="D435" s="8" t="s">
        <v>119</v>
      </c>
      <c r="F435" s="8" t="s">
        <v>128</v>
      </c>
      <c r="G435" s="8" t="s">
        <v>569</v>
      </c>
      <c r="H435" s="8" t="s">
        <v>570</v>
      </c>
      <c r="I435" s="8" t="s">
        <v>181</v>
      </c>
      <c r="J435" s="8" t="s">
        <v>1708</v>
      </c>
      <c r="K435" s="8" t="s">
        <v>54</v>
      </c>
      <c r="L435" s="8" t="s">
        <v>1709</v>
      </c>
      <c r="M435" s="8" t="s">
        <v>2785</v>
      </c>
      <c r="N435" s="8" t="s">
        <v>569</v>
      </c>
      <c r="O435" s="8">
        <v>907.38</v>
      </c>
      <c r="P435" s="8">
        <v>1008.2</v>
      </c>
      <c r="Q435" s="8" t="s">
        <v>2549</v>
      </c>
      <c r="S435" s="8" t="s">
        <v>1582</v>
      </c>
      <c r="T435" s="8">
        <v>823.28</v>
      </c>
    </row>
    <row r="436" spans="1:20" x14ac:dyDescent="0.2">
      <c r="A436" s="8" t="s">
        <v>3680</v>
      </c>
      <c r="B436" s="8" t="str">
        <f t="shared" si="12"/>
        <v>1586243886</v>
      </c>
      <c r="C436" s="8" t="str">
        <f t="shared" si="13"/>
        <v>471</v>
      </c>
      <c r="D436" s="8" t="s">
        <v>119</v>
      </c>
      <c r="F436" s="8" t="s">
        <v>128</v>
      </c>
      <c r="G436" s="8" t="s">
        <v>569</v>
      </c>
      <c r="H436" s="8" t="s">
        <v>570</v>
      </c>
      <c r="I436" s="8" t="s">
        <v>181</v>
      </c>
      <c r="J436" s="8" t="s">
        <v>1708</v>
      </c>
      <c r="K436" s="8" t="s">
        <v>54</v>
      </c>
      <c r="L436" s="8" t="s">
        <v>1709</v>
      </c>
      <c r="M436" s="8" t="s">
        <v>2785</v>
      </c>
      <c r="N436" s="8" t="s">
        <v>569</v>
      </c>
      <c r="O436" s="8">
        <v>907.38</v>
      </c>
      <c r="P436" s="8">
        <v>1008.2</v>
      </c>
      <c r="Q436" s="8" t="s">
        <v>2549</v>
      </c>
      <c r="S436" s="8" t="s">
        <v>184</v>
      </c>
      <c r="T436" s="8">
        <v>169.67</v>
      </c>
    </row>
    <row r="437" spans="1:20" x14ac:dyDescent="0.2">
      <c r="A437" s="8" t="s">
        <v>3415</v>
      </c>
      <c r="B437" s="8" t="str">
        <f t="shared" si="12"/>
        <v>1586243886</v>
      </c>
      <c r="C437" s="8" t="str">
        <f t="shared" si="13"/>
        <v>472</v>
      </c>
      <c r="D437" s="8" t="s">
        <v>119</v>
      </c>
      <c r="F437" s="8" t="s">
        <v>128</v>
      </c>
      <c r="G437" s="8" t="s">
        <v>569</v>
      </c>
      <c r="H437" s="8" t="s">
        <v>570</v>
      </c>
      <c r="I437" s="8" t="s">
        <v>181</v>
      </c>
      <c r="J437" s="8" t="s">
        <v>1708</v>
      </c>
      <c r="K437" s="8" t="s">
        <v>54</v>
      </c>
      <c r="L437" s="8" t="s">
        <v>1709</v>
      </c>
      <c r="M437" s="8" t="s">
        <v>2785</v>
      </c>
      <c r="N437" s="8" t="s">
        <v>569</v>
      </c>
      <c r="O437" s="8">
        <v>907.38</v>
      </c>
      <c r="P437" s="8">
        <v>1008.2</v>
      </c>
      <c r="Q437" s="8" t="s">
        <v>2549</v>
      </c>
      <c r="S437" s="8" t="s">
        <v>109</v>
      </c>
      <c r="T437" s="8">
        <v>37.619999999999997</v>
      </c>
    </row>
    <row r="438" spans="1:20" x14ac:dyDescent="0.2">
      <c r="A438" s="8" t="s">
        <v>2834</v>
      </c>
      <c r="B438" s="8" t="str">
        <f t="shared" si="12"/>
        <v>1586243891</v>
      </c>
      <c r="C438" s="8" t="str">
        <f t="shared" si="13"/>
        <v>473</v>
      </c>
      <c r="D438" s="8" t="s">
        <v>119</v>
      </c>
      <c r="F438" s="8" t="s">
        <v>128</v>
      </c>
      <c r="G438" s="8" t="s">
        <v>769</v>
      </c>
      <c r="H438" s="8" t="s">
        <v>770</v>
      </c>
      <c r="I438" s="8" t="s">
        <v>181</v>
      </c>
      <c r="J438" s="8" t="s">
        <v>771</v>
      </c>
      <c r="K438" s="8" t="s">
        <v>385</v>
      </c>
      <c r="L438" s="8" t="s">
        <v>772</v>
      </c>
      <c r="M438" s="8" t="s">
        <v>2785</v>
      </c>
      <c r="N438" s="8" t="s">
        <v>769</v>
      </c>
      <c r="O438" s="8">
        <v>338.61</v>
      </c>
      <c r="P438" s="8">
        <v>376.23</v>
      </c>
      <c r="Q438" s="8" t="s">
        <v>2550</v>
      </c>
      <c r="R438" s="8" t="s">
        <v>1870</v>
      </c>
    </row>
    <row r="439" spans="1:20" x14ac:dyDescent="0.2">
      <c r="A439" s="8" t="s">
        <v>4587</v>
      </c>
      <c r="B439" s="8" t="str">
        <f t="shared" si="12"/>
        <v>1586243891</v>
      </c>
      <c r="C439" s="8" t="str">
        <f t="shared" si="13"/>
        <v>474</v>
      </c>
      <c r="D439" s="8" t="s">
        <v>119</v>
      </c>
      <c r="F439" s="8" t="s">
        <v>128</v>
      </c>
      <c r="G439" s="8" t="s">
        <v>769</v>
      </c>
      <c r="H439" s="8" t="s">
        <v>770</v>
      </c>
      <c r="I439" s="8" t="s">
        <v>181</v>
      </c>
      <c r="J439" s="8" t="s">
        <v>771</v>
      </c>
      <c r="K439" s="8" t="s">
        <v>385</v>
      </c>
      <c r="L439" s="8" t="s">
        <v>772</v>
      </c>
      <c r="M439" s="8" t="s">
        <v>2785</v>
      </c>
      <c r="N439" s="8" t="s">
        <v>769</v>
      </c>
      <c r="O439" s="8">
        <v>338.61</v>
      </c>
      <c r="P439" s="8">
        <v>376.23</v>
      </c>
      <c r="Q439" s="8" t="s">
        <v>2550</v>
      </c>
      <c r="R439" s="8" t="s">
        <v>2285</v>
      </c>
    </row>
    <row r="440" spans="1:20" x14ac:dyDescent="0.2">
      <c r="A440" s="8" t="s">
        <v>3725</v>
      </c>
      <c r="B440" s="8" t="str">
        <f t="shared" si="12"/>
        <v>1586243891</v>
      </c>
      <c r="C440" s="8" t="str">
        <f t="shared" si="13"/>
        <v>475</v>
      </c>
      <c r="D440" s="8" t="s">
        <v>119</v>
      </c>
      <c r="F440" s="8" t="s">
        <v>128</v>
      </c>
      <c r="G440" s="8" t="s">
        <v>769</v>
      </c>
      <c r="H440" s="8" t="s">
        <v>770</v>
      </c>
      <c r="I440" s="8" t="s">
        <v>181</v>
      </c>
      <c r="J440" s="8" t="s">
        <v>771</v>
      </c>
      <c r="K440" s="8" t="s">
        <v>385</v>
      </c>
      <c r="L440" s="8" t="s">
        <v>772</v>
      </c>
      <c r="M440" s="8" t="s">
        <v>2785</v>
      </c>
      <c r="N440" s="8" t="s">
        <v>769</v>
      </c>
      <c r="O440" s="8">
        <v>338.61</v>
      </c>
      <c r="P440" s="8">
        <v>376.23</v>
      </c>
      <c r="Q440" s="8" t="s">
        <v>2550</v>
      </c>
      <c r="R440" s="8" t="s">
        <v>942</v>
      </c>
    </row>
    <row r="441" spans="1:20" x14ac:dyDescent="0.2">
      <c r="A441" s="8" t="s">
        <v>3741</v>
      </c>
      <c r="B441" s="8" t="str">
        <f t="shared" si="12"/>
        <v>1586243891</v>
      </c>
      <c r="C441" s="8" t="str">
        <f t="shared" si="13"/>
        <v>476</v>
      </c>
      <c r="D441" s="8" t="s">
        <v>119</v>
      </c>
      <c r="F441" s="8" t="s">
        <v>128</v>
      </c>
      <c r="G441" s="8" t="s">
        <v>769</v>
      </c>
      <c r="H441" s="8" t="s">
        <v>770</v>
      </c>
      <c r="I441" s="8" t="s">
        <v>181</v>
      </c>
      <c r="J441" s="8" t="s">
        <v>771</v>
      </c>
      <c r="K441" s="8" t="s">
        <v>385</v>
      </c>
      <c r="L441" s="8" t="s">
        <v>772</v>
      </c>
      <c r="M441" s="8" t="s">
        <v>2785</v>
      </c>
      <c r="N441" s="8" t="s">
        <v>769</v>
      </c>
      <c r="O441" s="8">
        <v>338.61</v>
      </c>
      <c r="P441" s="8">
        <v>376.23</v>
      </c>
      <c r="Q441" s="8" t="s">
        <v>2550</v>
      </c>
      <c r="R441" s="8" t="s">
        <v>1324</v>
      </c>
    </row>
    <row r="442" spans="1:20" x14ac:dyDescent="0.2">
      <c r="A442" s="8" t="s">
        <v>3443</v>
      </c>
      <c r="B442" s="8" t="str">
        <f t="shared" si="12"/>
        <v>1586243891</v>
      </c>
      <c r="C442" s="8" t="str">
        <f t="shared" si="13"/>
        <v>477</v>
      </c>
      <c r="D442" s="8" t="s">
        <v>119</v>
      </c>
      <c r="F442" s="8" t="s">
        <v>128</v>
      </c>
      <c r="G442" s="8" t="s">
        <v>769</v>
      </c>
      <c r="H442" s="8" t="s">
        <v>770</v>
      </c>
      <c r="I442" s="8" t="s">
        <v>181</v>
      </c>
      <c r="J442" s="8" t="s">
        <v>771</v>
      </c>
      <c r="K442" s="8" t="s">
        <v>385</v>
      </c>
      <c r="L442" s="8" t="s">
        <v>772</v>
      </c>
      <c r="M442" s="8" t="s">
        <v>2785</v>
      </c>
      <c r="N442" s="8" t="s">
        <v>769</v>
      </c>
      <c r="O442" s="8">
        <v>338.61</v>
      </c>
      <c r="P442" s="8">
        <v>376.23</v>
      </c>
      <c r="Q442" s="8" t="s">
        <v>2550</v>
      </c>
      <c r="S442" s="8" t="s">
        <v>142</v>
      </c>
      <c r="T442" s="8">
        <v>42.05</v>
      </c>
    </row>
    <row r="443" spans="1:20" x14ac:dyDescent="0.2">
      <c r="A443" s="8" t="s">
        <v>3640</v>
      </c>
      <c r="B443" s="8" t="str">
        <f t="shared" si="12"/>
        <v>1586243891</v>
      </c>
      <c r="C443" s="8" t="str">
        <f t="shared" si="13"/>
        <v>478</v>
      </c>
      <c r="D443" s="8" t="s">
        <v>119</v>
      </c>
      <c r="F443" s="8" t="s">
        <v>128</v>
      </c>
      <c r="G443" s="8" t="s">
        <v>769</v>
      </c>
      <c r="H443" s="8" t="s">
        <v>770</v>
      </c>
      <c r="I443" s="8" t="s">
        <v>181</v>
      </c>
      <c r="J443" s="8" t="s">
        <v>771</v>
      </c>
      <c r="K443" s="8" t="s">
        <v>385</v>
      </c>
      <c r="L443" s="8" t="s">
        <v>772</v>
      </c>
      <c r="M443" s="8" t="s">
        <v>2785</v>
      </c>
      <c r="N443" s="8" t="s">
        <v>769</v>
      </c>
      <c r="O443" s="8">
        <v>338.61</v>
      </c>
      <c r="P443" s="8">
        <v>376.23</v>
      </c>
      <c r="Q443" s="8" t="s">
        <v>2550</v>
      </c>
      <c r="S443" s="8" t="s">
        <v>1261</v>
      </c>
      <c r="T443" s="8">
        <v>221.31</v>
      </c>
    </row>
    <row r="444" spans="1:20" x14ac:dyDescent="0.2">
      <c r="A444" s="8" t="s">
        <v>4051</v>
      </c>
      <c r="B444" s="8" t="str">
        <f t="shared" si="12"/>
        <v>1586243891</v>
      </c>
      <c r="C444" s="8" t="str">
        <f t="shared" si="13"/>
        <v>479</v>
      </c>
      <c r="D444" s="8" t="s">
        <v>119</v>
      </c>
      <c r="F444" s="8" t="s">
        <v>128</v>
      </c>
      <c r="G444" s="8" t="s">
        <v>769</v>
      </c>
      <c r="H444" s="8" t="s">
        <v>770</v>
      </c>
      <c r="I444" s="8" t="s">
        <v>181</v>
      </c>
      <c r="J444" s="8" t="s">
        <v>771</v>
      </c>
      <c r="K444" s="8" t="s">
        <v>385</v>
      </c>
      <c r="L444" s="8" t="s">
        <v>772</v>
      </c>
      <c r="M444" s="8" t="s">
        <v>2785</v>
      </c>
      <c r="N444" s="8" t="s">
        <v>769</v>
      </c>
      <c r="O444" s="8">
        <v>338.61</v>
      </c>
      <c r="P444" s="8">
        <v>376.23</v>
      </c>
      <c r="Q444" s="8" t="s">
        <v>2550</v>
      </c>
      <c r="S444" s="8" t="s">
        <v>1582</v>
      </c>
      <c r="T444" s="8">
        <v>285.49</v>
      </c>
    </row>
    <row r="445" spans="1:20" x14ac:dyDescent="0.2">
      <c r="A445" s="8" t="s">
        <v>4093</v>
      </c>
      <c r="B445" s="8" t="str">
        <f t="shared" si="12"/>
        <v>1586243891</v>
      </c>
      <c r="C445" s="8" t="str">
        <f t="shared" si="13"/>
        <v>480</v>
      </c>
      <c r="D445" s="8" t="s">
        <v>119</v>
      </c>
      <c r="F445" s="8" t="s">
        <v>128</v>
      </c>
      <c r="G445" s="8" t="s">
        <v>769</v>
      </c>
      <c r="H445" s="8" t="s">
        <v>770</v>
      </c>
      <c r="I445" s="8" t="s">
        <v>181</v>
      </c>
      <c r="J445" s="8" t="s">
        <v>771</v>
      </c>
      <c r="K445" s="8" t="s">
        <v>385</v>
      </c>
      <c r="L445" s="8" t="s">
        <v>772</v>
      </c>
      <c r="M445" s="8" t="s">
        <v>2785</v>
      </c>
      <c r="N445" s="8" t="s">
        <v>769</v>
      </c>
      <c r="O445" s="8">
        <v>338.61</v>
      </c>
      <c r="P445" s="8">
        <v>376.23</v>
      </c>
      <c r="Q445" s="8" t="s">
        <v>2550</v>
      </c>
      <c r="S445" s="8" t="s">
        <v>184</v>
      </c>
      <c r="T445" s="8">
        <v>77.459999999999994</v>
      </c>
    </row>
    <row r="446" spans="1:20" x14ac:dyDescent="0.2">
      <c r="A446" s="8" t="s">
        <v>4593</v>
      </c>
      <c r="B446" s="8" t="str">
        <f t="shared" si="12"/>
        <v>1586243891</v>
      </c>
      <c r="C446" s="8" t="str">
        <f t="shared" si="13"/>
        <v>481</v>
      </c>
      <c r="D446" s="8" t="s">
        <v>119</v>
      </c>
      <c r="F446" s="8" t="s">
        <v>128</v>
      </c>
      <c r="G446" s="8" t="s">
        <v>769</v>
      </c>
      <c r="H446" s="8" t="s">
        <v>770</v>
      </c>
      <c r="I446" s="8" t="s">
        <v>181</v>
      </c>
      <c r="J446" s="8" t="s">
        <v>771</v>
      </c>
      <c r="K446" s="8" t="s">
        <v>385</v>
      </c>
      <c r="L446" s="8" t="s">
        <v>772</v>
      </c>
      <c r="M446" s="8" t="s">
        <v>2785</v>
      </c>
      <c r="N446" s="8" t="s">
        <v>769</v>
      </c>
      <c r="O446" s="8">
        <v>338.61</v>
      </c>
      <c r="P446" s="8">
        <v>376.23</v>
      </c>
      <c r="Q446" s="8" t="s">
        <v>2550</v>
      </c>
      <c r="S446" s="8" t="s">
        <v>109</v>
      </c>
      <c r="T446" s="8">
        <v>37.619999999999997</v>
      </c>
    </row>
    <row r="447" spans="1:20" x14ac:dyDescent="0.2">
      <c r="A447" s="8" t="s">
        <v>4645</v>
      </c>
      <c r="B447" s="8" t="str">
        <f t="shared" si="12"/>
        <v>1586243893</v>
      </c>
      <c r="C447" s="8" t="str">
        <f t="shared" si="13"/>
        <v>482</v>
      </c>
      <c r="D447" s="8" t="s">
        <v>119</v>
      </c>
      <c r="F447" s="8" t="s">
        <v>128</v>
      </c>
      <c r="G447" s="8" t="s">
        <v>769</v>
      </c>
      <c r="H447" s="8" t="s">
        <v>770</v>
      </c>
      <c r="I447" s="8" t="s">
        <v>71</v>
      </c>
      <c r="J447" s="8" t="s">
        <v>2551</v>
      </c>
      <c r="K447" s="8" t="s">
        <v>596</v>
      </c>
      <c r="L447" s="8" t="s">
        <v>2552</v>
      </c>
      <c r="M447" s="8" t="s">
        <v>2785</v>
      </c>
      <c r="N447" s="8" t="s">
        <v>769</v>
      </c>
      <c r="O447" s="8">
        <v>523.03</v>
      </c>
      <c r="P447" s="8">
        <v>581.15</v>
      </c>
      <c r="Q447" s="8" t="s">
        <v>2553</v>
      </c>
      <c r="R447" s="8" t="s">
        <v>2554</v>
      </c>
    </row>
    <row r="448" spans="1:20" x14ac:dyDescent="0.2">
      <c r="A448" s="8" t="s">
        <v>3245</v>
      </c>
      <c r="B448" s="8" t="str">
        <f t="shared" si="12"/>
        <v>1586243893</v>
      </c>
      <c r="C448" s="8" t="str">
        <f t="shared" si="13"/>
        <v>483</v>
      </c>
      <c r="D448" s="8" t="s">
        <v>119</v>
      </c>
      <c r="F448" s="8" t="s">
        <v>128</v>
      </c>
      <c r="G448" s="8" t="s">
        <v>769</v>
      </c>
      <c r="H448" s="8" t="s">
        <v>770</v>
      </c>
      <c r="I448" s="8" t="s">
        <v>71</v>
      </c>
      <c r="J448" s="8" t="s">
        <v>2551</v>
      </c>
      <c r="K448" s="8" t="s">
        <v>596</v>
      </c>
      <c r="L448" s="8" t="s">
        <v>2552</v>
      </c>
      <c r="M448" s="8" t="s">
        <v>2785</v>
      </c>
      <c r="N448" s="8" t="s">
        <v>769</v>
      </c>
      <c r="O448" s="8">
        <v>523.03</v>
      </c>
      <c r="P448" s="8">
        <v>581.15</v>
      </c>
      <c r="Q448" s="8" t="s">
        <v>2553</v>
      </c>
      <c r="R448" s="8" t="s">
        <v>2555</v>
      </c>
    </row>
    <row r="449" spans="1:20" x14ac:dyDescent="0.2">
      <c r="A449" s="8" t="s">
        <v>4553</v>
      </c>
      <c r="B449" s="8" t="str">
        <f t="shared" si="12"/>
        <v>1586243893</v>
      </c>
      <c r="C449" s="8" t="str">
        <f t="shared" si="13"/>
        <v>484</v>
      </c>
      <c r="D449" s="8" t="s">
        <v>119</v>
      </c>
      <c r="F449" s="8" t="s">
        <v>128</v>
      </c>
      <c r="G449" s="8" t="s">
        <v>769</v>
      </c>
      <c r="H449" s="8" t="s">
        <v>770</v>
      </c>
      <c r="I449" s="8" t="s">
        <v>71</v>
      </c>
      <c r="J449" s="8" t="s">
        <v>2551</v>
      </c>
      <c r="K449" s="8" t="s">
        <v>596</v>
      </c>
      <c r="L449" s="8" t="s">
        <v>2552</v>
      </c>
      <c r="M449" s="8" t="s">
        <v>2785</v>
      </c>
      <c r="N449" s="8" t="s">
        <v>769</v>
      </c>
      <c r="O449" s="8">
        <v>523.03</v>
      </c>
      <c r="P449" s="8">
        <v>581.15</v>
      </c>
      <c r="Q449" s="8" t="s">
        <v>2553</v>
      </c>
      <c r="S449" s="8" t="s">
        <v>2556</v>
      </c>
      <c r="T449" s="8">
        <v>131.31</v>
      </c>
    </row>
    <row r="450" spans="1:20" x14ac:dyDescent="0.2">
      <c r="A450" s="8" t="s">
        <v>4199</v>
      </c>
      <c r="B450" s="8" t="str">
        <f t="shared" ref="B450:B513" si="14">LEFT(A450, FIND("-", A450) - 1)</f>
        <v>1586243893</v>
      </c>
      <c r="C450" s="8" t="str">
        <f t="shared" ref="C450:C513" si="15">RIGHT(A450, LEN(A450) - FIND("-", A450))</f>
        <v>485</v>
      </c>
      <c r="D450" s="8" t="s">
        <v>119</v>
      </c>
      <c r="F450" s="8" t="s">
        <v>128</v>
      </c>
      <c r="G450" s="8" t="s">
        <v>769</v>
      </c>
      <c r="H450" s="8" t="s">
        <v>770</v>
      </c>
      <c r="I450" s="8" t="s">
        <v>71</v>
      </c>
      <c r="J450" s="8" t="s">
        <v>2551</v>
      </c>
      <c r="K450" s="8" t="s">
        <v>596</v>
      </c>
      <c r="L450" s="8" t="s">
        <v>2552</v>
      </c>
      <c r="M450" s="8" t="s">
        <v>2785</v>
      </c>
      <c r="N450" s="8" t="s">
        <v>769</v>
      </c>
      <c r="O450" s="8">
        <v>523.03</v>
      </c>
      <c r="P450" s="8">
        <v>581.15</v>
      </c>
      <c r="Q450" s="8" t="s">
        <v>2553</v>
      </c>
      <c r="S450" s="8" t="s">
        <v>2557</v>
      </c>
      <c r="T450" s="8">
        <v>72.3</v>
      </c>
    </row>
    <row r="451" spans="1:20" x14ac:dyDescent="0.2">
      <c r="A451" s="8" t="s">
        <v>3297</v>
      </c>
      <c r="B451" s="8" t="str">
        <f t="shared" si="14"/>
        <v>1586243893</v>
      </c>
      <c r="C451" s="8" t="str">
        <f t="shared" si="15"/>
        <v>486</v>
      </c>
      <c r="D451" s="8" t="s">
        <v>119</v>
      </c>
      <c r="F451" s="8" t="s">
        <v>128</v>
      </c>
      <c r="G451" s="8" t="s">
        <v>769</v>
      </c>
      <c r="H451" s="8" t="s">
        <v>770</v>
      </c>
      <c r="I451" s="8" t="s">
        <v>71</v>
      </c>
      <c r="J451" s="8" t="s">
        <v>2551</v>
      </c>
      <c r="K451" s="8" t="s">
        <v>596</v>
      </c>
      <c r="L451" s="8" t="s">
        <v>2552</v>
      </c>
      <c r="M451" s="8" t="s">
        <v>2785</v>
      </c>
      <c r="N451" s="8" t="s">
        <v>769</v>
      </c>
      <c r="O451" s="8">
        <v>523.03</v>
      </c>
      <c r="P451" s="8">
        <v>581.15</v>
      </c>
      <c r="Q451" s="8" t="s">
        <v>2553</v>
      </c>
      <c r="S451" s="8" t="s">
        <v>1620</v>
      </c>
      <c r="T451" s="8">
        <v>77.459999999999994</v>
      </c>
    </row>
    <row r="452" spans="1:20" x14ac:dyDescent="0.2">
      <c r="A452" s="8" t="s">
        <v>3731</v>
      </c>
      <c r="B452" s="8" t="str">
        <f t="shared" si="14"/>
        <v>1586243893</v>
      </c>
      <c r="C452" s="8" t="str">
        <f t="shared" si="15"/>
        <v>487</v>
      </c>
      <c r="D452" s="8" t="s">
        <v>119</v>
      </c>
      <c r="F452" s="8" t="s">
        <v>128</v>
      </c>
      <c r="G452" s="8" t="s">
        <v>769</v>
      </c>
      <c r="H452" s="8" t="s">
        <v>770</v>
      </c>
      <c r="I452" s="8" t="s">
        <v>71</v>
      </c>
      <c r="J452" s="8" t="s">
        <v>2551</v>
      </c>
      <c r="K452" s="8" t="s">
        <v>596</v>
      </c>
      <c r="L452" s="8" t="s">
        <v>2552</v>
      </c>
      <c r="M452" s="8" t="s">
        <v>2785</v>
      </c>
      <c r="N452" s="8" t="s">
        <v>769</v>
      </c>
      <c r="O452" s="8">
        <v>523.03</v>
      </c>
      <c r="P452" s="8">
        <v>581.15</v>
      </c>
      <c r="Q452" s="8" t="s">
        <v>2553</v>
      </c>
      <c r="S452" s="8" t="s">
        <v>1116</v>
      </c>
      <c r="T452" s="8">
        <v>75.25</v>
      </c>
    </row>
    <row r="453" spans="1:20" x14ac:dyDescent="0.2">
      <c r="A453" s="8" t="s">
        <v>4505</v>
      </c>
      <c r="B453" s="8" t="str">
        <f t="shared" si="14"/>
        <v>1586243895</v>
      </c>
      <c r="C453" s="8" t="str">
        <f t="shared" si="15"/>
        <v>488</v>
      </c>
      <c r="D453" s="8" t="s">
        <v>119</v>
      </c>
      <c r="F453" s="8" t="s">
        <v>128</v>
      </c>
      <c r="G453" s="8" t="s">
        <v>769</v>
      </c>
      <c r="H453" s="8" t="s">
        <v>770</v>
      </c>
      <c r="I453" s="8" t="s">
        <v>181</v>
      </c>
      <c r="J453" s="8" t="s">
        <v>1617</v>
      </c>
      <c r="K453" s="8" t="s">
        <v>54</v>
      </c>
      <c r="L453" s="8" t="s">
        <v>1618</v>
      </c>
      <c r="M453" s="8" t="s">
        <v>2785</v>
      </c>
      <c r="N453" s="8" t="s">
        <v>769</v>
      </c>
      <c r="O453" s="8">
        <v>925.08</v>
      </c>
      <c r="P453" s="8">
        <v>1027.8699999999999</v>
      </c>
      <c r="Q453" s="8" t="s">
        <v>2558</v>
      </c>
      <c r="R453" s="8" t="s">
        <v>2318</v>
      </c>
    </row>
    <row r="454" spans="1:20" x14ac:dyDescent="0.2">
      <c r="A454" s="8" t="s">
        <v>4238</v>
      </c>
      <c r="B454" s="8" t="str">
        <f t="shared" si="14"/>
        <v>1586243895</v>
      </c>
      <c r="C454" s="8" t="str">
        <f t="shared" si="15"/>
        <v>489</v>
      </c>
      <c r="D454" s="8" t="s">
        <v>119</v>
      </c>
      <c r="F454" s="8" t="s">
        <v>128</v>
      </c>
      <c r="G454" s="8" t="s">
        <v>769</v>
      </c>
      <c r="H454" s="8" t="s">
        <v>770</v>
      </c>
      <c r="I454" s="8" t="s">
        <v>181</v>
      </c>
      <c r="J454" s="8" t="s">
        <v>1617</v>
      </c>
      <c r="K454" s="8" t="s">
        <v>54</v>
      </c>
      <c r="L454" s="8" t="s">
        <v>1618</v>
      </c>
      <c r="M454" s="8" t="s">
        <v>2785</v>
      </c>
      <c r="N454" s="8" t="s">
        <v>769</v>
      </c>
      <c r="O454" s="8">
        <v>925.08</v>
      </c>
      <c r="P454" s="8">
        <v>1027.8699999999999</v>
      </c>
      <c r="Q454" s="8" t="s">
        <v>2558</v>
      </c>
      <c r="S454" s="8" t="s">
        <v>1619</v>
      </c>
      <c r="T454" s="8">
        <v>123.2</v>
      </c>
    </row>
    <row r="455" spans="1:20" x14ac:dyDescent="0.2">
      <c r="A455" s="8" t="s">
        <v>3176</v>
      </c>
      <c r="B455" s="8" t="str">
        <f t="shared" si="14"/>
        <v>1586243895</v>
      </c>
      <c r="C455" s="8" t="str">
        <f t="shared" si="15"/>
        <v>490</v>
      </c>
      <c r="D455" s="8" t="s">
        <v>119</v>
      </c>
      <c r="F455" s="8" t="s">
        <v>128</v>
      </c>
      <c r="G455" s="8" t="s">
        <v>769</v>
      </c>
      <c r="H455" s="8" t="s">
        <v>770</v>
      </c>
      <c r="I455" s="8" t="s">
        <v>181</v>
      </c>
      <c r="J455" s="8" t="s">
        <v>1617</v>
      </c>
      <c r="K455" s="8" t="s">
        <v>54</v>
      </c>
      <c r="L455" s="8" t="s">
        <v>1618</v>
      </c>
      <c r="M455" s="8" t="s">
        <v>2785</v>
      </c>
      <c r="N455" s="8" t="s">
        <v>769</v>
      </c>
      <c r="O455" s="8">
        <v>925.08</v>
      </c>
      <c r="P455" s="8">
        <v>1027.8699999999999</v>
      </c>
      <c r="Q455" s="8" t="s">
        <v>2558</v>
      </c>
      <c r="S455" s="8" t="s">
        <v>1202</v>
      </c>
      <c r="T455" s="8">
        <v>227.21</v>
      </c>
    </row>
    <row r="456" spans="1:20" x14ac:dyDescent="0.2">
      <c r="A456" s="8" t="s">
        <v>2872</v>
      </c>
      <c r="B456" s="8" t="str">
        <f t="shared" si="14"/>
        <v>1586243895</v>
      </c>
      <c r="C456" s="8" t="str">
        <f t="shared" si="15"/>
        <v>491</v>
      </c>
      <c r="D456" s="8" t="s">
        <v>119</v>
      </c>
      <c r="F456" s="8" t="s">
        <v>128</v>
      </c>
      <c r="G456" s="8" t="s">
        <v>769</v>
      </c>
      <c r="H456" s="8" t="s">
        <v>770</v>
      </c>
      <c r="I456" s="8" t="s">
        <v>181</v>
      </c>
      <c r="J456" s="8" t="s">
        <v>1617</v>
      </c>
      <c r="K456" s="8" t="s">
        <v>54</v>
      </c>
      <c r="L456" s="8" t="s">
        <v>1618</v>
      </c>
      <c r="M456" s="8" t="s">
        <v>2785</v>
      </c>
      <c r="N456" s="8" t="s">
        <v>769</v>
      </c>
      <c r="O456" s="8">
        <v>925.08</v>
      </c>
      <c r="P456" s="8">
        <v>1027.8699999999999</v>
      </c>
      <c r="Q456" s="8" t="s">
        <v>2558</v>
      </c>
      <c r="S456" s="8" t="s">
        <v>969</v>
      </c>
      <c r="T456" s="8">
        <v>335.66</v>
      </c>
    </row>
    <row r="457" spans="1:20" x14ac:dyDescent="0.2">
      <c r="A457" s="8" t="s">
        <v>3320</v>
      </c>
      <c r="B457" s="8" t="str">
        <f t="shared" si="14"/>
        <v>1586243895</v>
      </c>
      <c r="C457" s="8" t="str">
        <f t="shared" si="15"/>
        <v>492</v>
      </c>
      <c r="D457" s="8" t="s">
        <v>119</v>
      </c>
      <c r="F457" s="8" t="s">
        <v>128</v>
      </c>
      <c r="G457" s="8" t="s">
        <v>769</v>
      </c>
      <c r="H457" s="8" t="s">
        <v>770</v>
      </c>
      <c r="I457" s="8" t="s">
        <v>181</v>
      </c>
      <c r="J457" s="8" t="s">
        <v>1617</v>
      </c>
      <c r="K457" s="8" t="s">
        <v>54</v>
      </c>
      <c r="L457" s="8" t="s">
        <v>1618</v>
      </c>
      <c r="M457" s="8" t="s">
        <v>2785</v>
      </c>
      <c r="N457" s="8" t="s">
        <v>769</v>
      </c>
      <c r="O457" s="8">
        <v>925.08</v>
      </c>
      <c r="P457" s="8">
        <v>1027.8699999999999</v>
      </c>
      <c r="Q457" s="8" t="s">
        <v>2558</v>
      </c>
      <c r="S457" s="8" t="s">
        <v>232</v>
      </c>
      <c r="T457" s="8">
        <v>801.89</v>
      </c>
    </row>
    <row r="458" spans="1:20" x14ac:dyDescent="0.2">
      <c r="A458" s="8" t="s">
        <v>3903</v>
      </c>
      <c r="B458" s="8" t="str">
        <f t="shared" si="14"/>
        <v>1586243895</v>
      </c>
      <c r="C458" s="8" t="str">
        <f t="shared" si="15"/>
        <v>493</v>
      </c>
      <c r="D458" s="8" t="s">
        <v>119</v>
      </c>
      <c r="F458" s="8" t="s">
        <v>128</v>
      </c>
      <c r="G458" s="8" t="s">
        <v>769</v>
      </c>
      <c r="H458" s="8" t="s">
        <v>770</v>
      </c>
      <c r="I458" s="8" t="s">
        <v>181</v>
      </c>
      <c r="J458" s="8" t="s">
        <v>1617</v>
      </c>
      <c r="K458" s="8" t="s">
        <v>54</v>
      </c>
      <c r="L458" s="8" t="s">
        <v>1618</v>
      </c>
      <c r="M458" s="8" t="s">
        <v>2785</v>
      </c>
      <c r="N458" s="8" t="s">
        <v>769</v>
      </c>
      <c r="O458" s="8">
        <v>925.08</v>
      </c>
      <c r="P458" s="8">
        <v>1027.8699999999999</v>
      </c>
      <c r="Q458" s="8" t="s">
        <v>2558</v>
      </c>
      <c r="S458" s="8" t="s">
        <v>503</v>
      </c>
      <c r="T458" s="8">
        <v>937.62</v>
      </c>
    </row>
    <row r="459" spans="1:20" x14ac:dyDescent="0.2">
      <c r="A459" s="8" t="s">
        <v>3614</v>
      </c>
      <c r="B459" s="8" t="str">
        <f t="shared" si="14"/>
        <v>1586243895</v>
      </c>
      <c r="C459" s="8" t="str">
        <f t="shared" si="15"/>
        <v>494</v>
      </c>
      <c r="D459" s="8" t="s">
        <v>119</v>
      </c>
      <c r="F459" s="8" t="s">
        <v>128</v>
      </c>
      <c r="G459" s="8" t="s">
        <v>769</v>
      </c>
      <c r="H459" s="8" t="s">
        <v>770</v>
      </c>
      <c r="I459" s="8" t="s">
        <v>181</v>
      </c>
      <c r="J459" s="8" t="s">
        <v>1617</v>
      </c>
      <c r="K459" s="8" t="s">
        <v>54</v>
      </c>
      <c r="L459" s="8" t="s">
        <v>1618</v>
      </c>
      <c r="M459" s="8" t="s">
        <v>2785</v>
      </c>
      <c r="N459" s="8" t="s">
        <v>769</v>
      </c>
      <c r="O459" s="8">
        <v>925.08</v>
      </c>
      <c r="P459" s="8">
        <v>1027.8699999999999</v>
      </c>
      <c r="Q459" s="8" t="s">
        <v>2558</v>
      </c>
      <c r="S459" s="8" t="s">
        <v>184</v>
      </c>
      <c r="T459" s="8">
        <v>169.67</v>
      </c>
    </row>
    <row r="460" spans="1:20" x14ac:dyDescent="0.2">
      <c r="A460" s="8" t="s">
        <v>2852</v>
      </c>
      <c r="B460" s="8" t="str">
        <f t="shared" si="14"/>
        <v>1586243895</v>
      </c>
      <c r="C460" s="8" t="str">
        <f t="shared" si="15"/>
        <v>495</v>
      </c>
      <c r="D460" s="8" t="s">
        <v>119</v>
      </c>
      <c r="F460" s="8" t="s">
        <v>128</v>
      </c>
      <c r="G460" s="8" t="s">
        <v>769</v>
      </c>
      <c r="H460" s="8" t="s">
        <v>770</v>
      </c>
      <c r="I460" s="8" t="s">
        <v>181</v>
      </c>
      <c r="J460" s="8" t="s">
        <v>1617</v>
      </c>
      <c r="K460" s="8" t="s">
        <v>54</v>
      </c>
      <c r="L460" s="8" t="s">
        <v>1618</v>
      </c>
      <c r="M460" s="8" t="s">
        <v>2785</v>
      </c>
      <c r="N460" s="8" t="s">
        <v>769</v>
      </c>
      <c r="O460" s="8">
        <v>925.08</v>
      </c>
      <c r="P460" s="8">
        <v>1027.8699999999999</v>
      </c>
      <c r="Q460" s="8" t="s">
        <v>2558</v>
      </c>
      <c r="S460" s="8" t="s">
        <v>109</v>
      </c>
      <c r="T460" s="8">
        <v>37.619999999999997</v>
      </c>
    </row>
    <row r="461" spans="1:20" x14ac:dyDescent="0.2">
      <c r="A461" s="8" t="s">
        <v>4092</v>
      </c>
      <c r="B461" s="8" t="str">
        <f t="shared" si="14"/>
        <v>1586243899</v>
      </c>
      <c r="C461" s="8" t="str">
        <f t="shared" si="15"/>
        <v>496</v>
      </c>
      <c r="D461" s="8" t="s">
        <v>119</v>
      </c>
      <c r="F461" s="8" t="s">
        <v>128</v>
      </c>
      <c r="G461" s="8" t="s">
        <v>680</v>
      </c>
      <c r="H461" s="8" t="s">
        <v>681</v>
      </c>
      <c r="I461" s="8" t="s">
        <v>181</v>
      </c>
      <c r="J461" s="8" t="s">
        <v>1292</v>
      </c>
      <c r="K461" s="8" t="s">
        <v>125</v>
      </c>
      <c r="L461" s="8" t="s">
        <v>1293</v>
      </c>
      <c r="M461" s="8" t="s">
        <v>2785</v>
      </c>
      <c r="N461" s="8" t="s">
        <v>680</v>
      </c>
      <c r="O461" s="8">
        <v>329.02</v>
      </c>
      <c r="P461" s="8">
        <v>365.57</v>
      </c>
      <c r="Q461" s="8" t="s">
        <v>2559</v>
      </c>
      <c r="R461" s="8" t="s">
        <v>2351</v>
      </c>
    </row>
    <row r="462" spans="1:20" x14ac:dyDescent="0.2">
      <c r="A462" s="8" t="s">
        <v>2916</v>
      </c>
      <c r="B462" s="8" t="str">
        <f t="shared" si="14"/>
        <v>1586243899</v>
      </c>
      <c r="C462" s="8" t="str">
        <f t="shared" si="15"/>
        <v>497</v>
      </c>
      <c r="D462" s="8" t="s">
        <v>119</v>
      </c>
      <c r="F462" s="8" t="s">
        <v>128</v>
      </c>
      <c r="G462" s="8" t="s">
        <v>680</v>
      </c>
      <c r="H462" s="8" t="s">
        <v>681</v>
      </c>
      <c r="I462" s="8" t="s">
        <v>181</v>
      </c>
      <c r="J462" s="8" t="s">
        <v>1292</v>
      </c>
      <c r="K462" s="8" t="s">
        <v>125</v>
      </c>
      <c r="L462" s="8" t="s">
        <v>1293</v>
      </c>
      <c r="M462" s="8" t="s">
        <v>2785</v>
      </c>
      <c r="N462" s="8" t="s">
        <v>680</v>
      </c>
      <c r="O462" s="8">
        <v>329.02</v>
      </c>
      <c r="P462" s="8">
        <v>365.57</v>
      </c>
      <c r="Q462" s="8" t="s">
        <v>2559</v>
      </c>
      <c r="S462" s="8" t="s">
        <v>1047</v>
      </c>
      <c r="T462" s="8">
        <v>136.47999999999999</v>
      </c>
    </row>
    <row r="463" spans="1:20" x14ac:dyDescent="0.2">
      <c r="A463" s="8" t="s">
        <v>4069</v>
      </c>
      <c r="B463" s="8" t="str">
        <f t="shared" si="14"/>
        <v>1586243899</v>
      </c>
      <c r="C463" s="8" t="str">
        <f t="shared" si="15"/>
        <v>498</v>
      </c>
      <c r="D463" s="8" t="s">
        <v>119</v>
      </c>
      <c r="F463" s="8" t="s">
        <v>128</v>
      </c>
      <c r="G463" s="8" t="s">
        <v>680</v>
      </c>
      <c r="H463" s="8" t="s">
        <v>681</v>
      </c>
      <c r="I463" s="8" t="s">
        <v>181</v>
      </c>
      <c r="J463" s="8" t="s">
        <v>1292</v>
      </c>
      <c r="K463" s="8" t="s">
        <v>125</v>
      </c>
      <c r="L463" s="8" t="s">
        <v>1293</v>
      </c>
      <c r="M463" s="8" t="s">
        <v>2785</v>
      </c>
      <c r="N463" s="8" t="s">
        <v>680</v>
      </c>
      <c r="O463" s="8">
        <v>329.02</v>
      </c>
      <c r="P463" s="8">
        <v>365.57</v>
      </c>
      <c r="Q463" s="8" t="s">
        <v>2559</v>
      </c>
      <c r="S463" s="8" t="s">
        <v>232</v>
      </c>
      <c r="T463" s="8">
        <v>216.89</v>
      </c>
    </row>
    <row r="464" spans="1:20" x14ac:dyDescent="0.2">
      <c r="A464" s="8" t="s">
        <v>4683</v>
      </c>
      <c r="B464" s="8" t="str">
        <f t="shared" si="14"/>
        <v>1586243899</v>
      </c>
      <c r="C464" s="8" t="str">
        <f t="shared" si="15"/>
        <v>499</v>
      </c>
      <c r="D464" s="8" t="s">
        <v>119</v>
      </c>
      <c r="F464" s="8" t="s">
        <v>128</v>
      </c>
      <c r="G464" s="8" t="s">
        <v>680</v>
      </c>
      <c r="H464" s="8" t="s">
        <v>681</v>
      </c>
      <c r="I464" s="8" t="s">
        <v>181</v>
      </c>
      <c r="J464" s="8" t="s">
        <v>1292</v>
      </c>
      <c r="K464" s="8" t="s">
        <v>125</v>
      </c>
      <c r="L464" s="8" t="s">
        <v>1293</v>
      </c>
      <c r="M464" s="8" t="s">
        <v>2785</v>
      </c>
      <c r="N464" s="8" t="s">
        <v>680</v>
      </c>
      <c r="O464" s="8">
        <v>329.02</v>
      </c>
      <c r="P464" s="8">
        <v>365.57</v>
      </c>
      <c r="Q464" s="8" t="s">
        <v>2559</v>
      </c>
      <c r="S464" s="8" t="s">
        <v>2134</v>
      </c>
      <c r="T464" s="8">
        <v>385.82</v>
      </c>
    </row>
    <row r="465" spans="1:20" x14ac:dyDescent="0.2">
      <c r="A465" s="8" t="s">
        <v>3326</v>
      </c>
      <c r="B465" s="8" t="str">
        <f t="shared" si="14"/>
        <v>1586243899</v>
      </c>
      <c r="C465" s="8" t="str">
        <f t="shared" si="15"/>
        <v>500</v>
      </c>
      <c r="D465" s="8" t="s">
        <v>119</v>
      </c>
      <c r="F465" s="8" t="s">
        <v>128</v>
      </c>
      <c r="G465" s="8" t="s">
        <v>680</v>
      </c>
      <c r="H465" s="8" t="s">
        <v>681</v>
      </c>
      <c r="I465" s="8" t="s">
        <v>181</v>
      </c>
      <c r="J465" s="8" t="s">
        <v>1292</v>
      </c>
      <c r="K465" s="8" t="s">
        <v>125</v>
      </c>
      <c r="L465" s="8" t="s">
        <v>1293</v>
      </c>
      <c r="M465" s="8" t="s">
        <v>2785</v>
      </c>
      <c r="N465" s="8" t="s">
        <v>680</v>
      </c>
      <c r="O465" s="8">
        <v>329.02</v>
      </c>
      <c r="P465" s="8">
        <v>365.57</v>
      </c>
      <c r="Q465" s="8" t="s">
        <v>2559</v>
      </c>
      <c r="S465" s="8" t="s">
        <v>184</v>
      </c>
      <c r="T465" s="8">
        <v>77.459999999999994</v>
      </c>
    </row>
    <row r="466" spans="1:20" x14ac:dyDescent="0.2">
      <c r="A466" s="8" t="s">
        <v>3689</v>
      </c>
      <c r="B466" s="8" t="str">
        <f t="shared" si="14"/>
        <v>1586243899</v>
      </c>
      <c r="C466" s="8" t="str">
        <f t="shared" si="15"/>
        <v>501</v>
      </c>
      <c r="D466" s="8" t="s">
        <v>119</v>
      </c>
      <c r="F466" s="8" t="s">
        <v>128</v>
      </c>
      <c r="G466" s="8" t="s">
        <v>680</v>
      </c>
      <c r="H466" s="8" t="s">
        <v>681</v>
      </c>
      <c r="I466" s="8" t="s">
        <v>181</v>
      </c>
      <c r="J466" s="8" t="s">
        <v>1292</v>
      </c>
      <c r="K466" s="8" t="s">
        <v>125</v>
      </c>
      <c r="L466" s="8" t="s">
        <v>1293</v>
      </c>
      <c r="M466" s="8" t="s">
        <v>2785</v>
      </c>
      <c r="N466" s="8" t="s">
        <v>680</v>
      </c>
      <c r="O466" s="8">
        <v>329.02</v>
      </c>
      <c r="P466" s="8">
        <v>365.57</v>
      </c>
      <c r="Q466" s="8" t="s">
        <v>2559</v>
      </c>
      <c r="S466" s="8" t="s">
        <v>109</v>
      </c>
      <c r="T466" s="8">
        <v>37.619999999999997</v>
      </c>
    </row>
    <row r="467" spans="1:20" x14ac:dyDescent="0.2">
      <c r="A467" s="8" t="s">
        <v>3280</v>
      </c>
      <c r="B467" s="8" t="str">
        <f t="shared" si="14"/>
        <v>1586243901</v>
      </c>
      <c r="C467" s="8" t="str">
        <f t="shared" si="15"/>
        <v>502</v>
      </c>
      <c r="D467" s="8" t="s">
        <v>119</v>
      </c>
      <c r="F467" s="8" t="s">
        <v>128</v>
      </c>
      <c r="G467" s="8" t="s">
        <v>680</v>
      </c>
      <c r="H467" s="8" t="s">
        <v>681</v>
      </c>
      <c r="I467" s="8" t="s">
        <v>181</v>
      </c>
      <c r="J467" s="8" t="s">
        <v>682</v>
      </c>
      <c r="K467" s="8" t="s">
        <v>54</v>
      </c>
      <c r="L467" s="8" t="s">
        <v>683</v>
      </c>
      <c r="M467" s="8" t="s">
        <v>2785</v>
      </c>
      <c r="N467" s="8" t="s">
        <v>680</v>
      </c>
      <c r="O467" s="8">
        <v>907.38</v>
      </c>
      <c r="P467" s="8">
        <v>1008.2</v>
      </c>
      <c r="Q467" s="8" t="s">
        <v>2560</v>
      </c>
      <c r="R467" s="8" t="s">
        <v>1858</v>
      </c>
    </row>
    <row r="468" spans="1:20" x14ac:dyDescent="0.2">
      <c r="A468" s="8" t="s">
        <v>4243</v>
      </c>
      <c r="B468" s="8" t="str">
        <f t="shared" si="14"/>
        <v>1586243901</v>
      </c>
      <c r="C468" s="8" t="str">
        <f t="shared" si="15"/>
        <v>503</v>
      </c>
      <c r="D468" s="8" t="s">
        <v>119</v>
      </c>
      <c r="F468" s="8" t="s">
        <v>128</v>
      </c>
      <c r="G468" s="8" t="s">
        <v>680</v>
      </c>
      <c r="H468" s="8" t="s">
        <v>681</v>
      </c>
      <c r="I468" s="8" t="s">
        <v>181</v>
      </c>
      <c r="J468" s="8" t="s">
        <v>682</v>
      </c>
      <c r="K468" s="8" t="s">
        <v>54</v>
      </c>
      <c r="L468" s="8" t="s">
        <v>683</v>
      </c>
      <c r="M468" s="8" t="s">
        <v>2785</v>
      </c>
      <c r="N468" s="8" t="s">
        <v>680</v>
      </c>
      <c r="O468" s="8">
        <v>907.38</v>
      </c>
      <c r="P468" s="8">
        <v>1008.2</v>
      </c>
      <c r="Q468" s="8" t="s">
        <v>2560</v>
      </c>
      <c r="R468" s="8" t="s">
        <v>2258</v>
      </c>
    </row>
    <row r="469" spans="1:20" x14ac:dyDescent="0.2">
      <c r="A469" s="8" t="s">
        <v>4212</v>
      </c>
      <c r="B469" s="8" t="str">
        <f t="shared" si="14"/>
        <v>1586243901</v>
      </c>
      <c r="C469" s="8" t="str">
        <f t="shared" si="15"/>
        <v>504</v>
      </c>
      <c r="D469" s="8" t="s">
        <v>119</v>
      </c>
      <c r="F469" s="8" t="s">
        <v>128</v>
      </c>
      <c r="G469" s="8" t="s">
        <v>680</v>
      </c>
      <c r="H469" s="8" t="s">
        <v>681</v>
      </c>
      <c r="I469" s="8" t="s">
        <v>181</v>
      </c>
      <c r="J469" s="8" t="s">
        <v>682</v>
      </c>
      <c r="K469" s="8" t="s">
        <v>54</v>
      </c>
      <c r="L469" s="8" t="s">
        <v>683</v>
      </c>
      <c r="M469" s="8" t="s">
        <v>2785</v>
      </c>
      <c r="N469" s="8" t="s">
        <v>680</v>
      </c>
      <c r="O469" s="8">
        <v>907.38</v>
      </c>
      <c r="P469" s="8">
        <v>1008.2</v>
      </c>
      <c r="Q469" s="8" t="s">
        <v>2560</v>
      </c>
      <c r="R469" s="8" t="s">
        <v>1786</v>
      </c>
    </row>
    <row r="470" spans="1:20" x14ac:dyDescent="0.2">
      <c r="A470" s="8" t="s">
        <v>3289</v>
      </c>
      <c r="B470" s="8" t="str">
        <f t="shared" si="14"/>
        <v>1586243901</v>
      </c>
      <c r="C470" s="8" t="str">
        <f t="shared" si="15"/>
        <v>505</v>
      </c>
      <c r="D470" s="8" t="s">
        <v>119</v>
      </c>
      <c r="F470" s="8" t="s">
        <v>128</v>
      </c>
      <c r="G470" s="8" t="s">
        <v>680</v>
      </c>
      <c r="H470" s="8" t="s">
        <v>681</v>
      </c>
      <c r="I470" s="8" t="s">
        <v>181</v>
      </c>
      <c r="J470" s="8" t="s">
        <v>682</v>
      </c>
      <c r="K470" s="8" t="s">
        <v>54</v>
      </c>
      <c r="L470" s="8" t="s">
        <v>683</v>
      </c>
      <c r="M470" s="8" t="s">
        <v>2785</v>
      </c>
      <c r="N470" s="8" t="s">
        <v>680</v>
      </c>
      <c r="O470" s="8">
        <v>907.38</v>
      </c>
      <c r="P470" s="8">
        <v>1008.2</v>
      </c>
      <c r="Q470" s="8" t="s">
        <v>2560</v>
      </c>
      <c r="S470" s="8" t="s">
        <v>858</v>
      </c>
      <c r="T470" s="8">
        <v>123.2</v>
      </c>
    </row>
    <row r="471" spans="1:20" x14ac:dyDescent="0.2">
      <c r="A471" s="8" t="s">
        <v>3166</v>
      </c>
      <c r="B471" s="8" t="str">
        <f t="shared" si="14"/>
        <v>1586243901</v>
      </c>
      <c r="C471" s="8" t="str">
        <f t="shared" si="15"/>
        <v>506</v>
      </c>
      <c r="D471" s="8" t="s">
        <v>119</v>
      </c>
      <c r="F471" s="8" t="s">
        <v>128</v>
      </c>
      <c r="G471" s="8" t="s">
        <v>680</v>
      </c>
      <c r="H471" s="8" t="s">
        <v>681</v>
      </c>
      <c r="I471" s="8" t="s">
        <v>181</v>
      </c>
      <c r="J471" s="8" t="s">
        <v>682</v>
      </c>
      <c r="K471" s="8" t="s">
        <v>54</v>
      </c>
      <c r="L471" s="8" t="s">
        <v>683</v>
      </c>
      <c r="M471" s="8" t="s">
        <v>2785</v>
      </c>
      <c r="N471" s="8" t="s">
        <v>680</v>
      </c>
      <c r="O471" s="8">
        <v>907.38</v>
      </c>
      <c r="P471" s="8">
        <v>1008.2</v>
      </c>
      <c r="Q471" s="8" t="s">
        <v>2560</v>
      </c>
      <c r="S471" s="8" t="s">
        <v>1261</v>
      </c>
      <c r="T471" s="8">
        <v>786.39</v>
      </c>
    </row>
    <row r="472" spans="1:20" x14ac:dyDescent="0.2">
      <c r="A472" s="8" t="s">
        <v>3945</v>
      </c>
      <c r="B472" s="8" t="str">
        <f t="shared" si="14"/>
        <v>1586243901</v>
      </c>
      <c r="C472" s="8" t="str">
        <f t="shared" si="15"/>
        <v>507</v>
      </c>
      <c r="D472" s="8" t="s">
        <v>119</v>
      </c>
      <c r="F472" s="8" t="s">
        <v>128</v>
      </c>
      <c r="G472" s="8" t="s">
        <v>680</v>
      </c>
      <c r="H472" s="8" t="s">
        <v>681</v>
      </c>
      <c r="I472" s="8" t="s">
        <v>181</v>
      </c>
      <c r="J472" s="8" t="s">
        <v>682</v>
      </c>
      <c r="K472" s="8" t="s">
        <v>54</v>
      </c>
      <c r="L472" s="8" t="s">
        <v>683</v>
      </c>
      <c r="M472" s="8" t="s">
        <v>2785</v>
      </c>
      <c r="N472" s="8" t="s">
        <v>680</v>
      </c>
      <c r="O472" s="8">
        <v>907.38</v>
      </c>
      <c r="P472" s="8">
        <v>1008.2</v>
      </c>
      <c r="Q472" s="8" t="s">
        <v>2560</v>
      </c>
      <c r="S472" s="8" t="s">
        <v>375</v>
      </c>
      <c r="T472" s="8">
        <v>917.7</v>
      </c>
    </row>
    <row r="473" spans="1:20" x14ac:dyDescent="0.2">
      <c r="A473" s="8" t="s">
        <v>3838</v>
      </c>
      <c r="B473" s="8" t="str">
        <f t="shared" si="14"/>
        <v>1586243901</v>
      </c>
      <c r="C473" s="8" t="str">
        <f t="shared" si="15"/>
        <v>508</v>
      </c>
      <c r="D473" s="8" t="s">
        <v>119</v>
      </c>
      <c r="F473" s="8" t="s">
        <v>128</v>
      </c>
      <c r="G473" s="8" t="s">
        <v>680</v>
      </c>
      <c r="H473" s="8" t="s">
        <v>681</v>
      </c>
      <c r="I473" s="8" t="s">
        <v>181</v>
      </c>
      <c r="J473" s="8" t="s">
        <v>682</v>
      </c>
      <c r="K473" s="8" t="s">
        <v>54</v>
      </c>
      <c r="L473" s="8" t="s">
        <v>683</v>
      </c>
      <c r="M473" s="8" t="s">
        <v>2785</v>
      </c>
      <c r="N473" s="8" t="s">
        <v>680</v>
      </c>
      <c r="O473" s="8">
        <v>907.38</v>
      </c>
      <c r="P473" s="8">
        <v>1008.2</v>
      </c>
      <c r="Q473" s="8" t="s">
        <v>2560</v>
      </c>
      <c r="S473" s="8" t="s">
        <v>184</v>
      </c>
      <c r="T473" s="8">
        <v>169.67</v>
      </c>
    </row>
    <row r="474" spans="1:20" x14ac:dyDescent="0.2">
      <c r="A474" s="8" t="s">
        <v>4229</v>
      </c>
      <c r="B474" s="8" t="str">
        <f t="shared" si="14"/>
        <v>1586243901</v>
      </c>
      <c r="C474" s="8" t="str">
        <f t="shared" si="15"/>
        <v>509</v>
      </c>
      <c r="D474" s="8" t="s">
        <v>119</v>
      </c>
      <c r="F474" s="8" t="s">
        <v>128</v>
      </c>
      <c r="G474" s="8" t="s">
        <v>680</v>
      </c>
      <c r="H474" s="8" t="s">
        <v>681</v>
      </c>
      <c r="I474" s="8" t="s">
        <v>181</v>
      </c>
      <c r="J474" s="8" t="s">
        <v>682</v>
      </c>
      <c r="K474" s="8" t="s">
        <v>54</v>
      </c>
      <c r="L474" s="8" t="s">
        <v>683</v>
      </c>
      <c r="M474" s="8" t="s">
        <v>2785</v>
      </c>
      <c r="N474" s="8" t="s">
        <v>680</v>
      </c>
      <c r="O474" s="8">
        <v>907.38</v>
      </c>
      <c r="P474" s="8">
        <v>1008.2</v>
      </c>
      <c r="Q474" s="8" t="s">
        <v>2560</v>
      </c>
      <c r="S474" s="8" t="s">
        <v>109</v>
      </c>
      <c r="T474" s="8">
        <v>37.619999999999997</v>
      </c>
    </row>
    <row r="475" spans="1:20" x14ac:dyDescent="0.2">
      <c r="A475" s="8" t="s">
        <v>2897</v>
      </c>
      <c r="B475" s="8" t="str">
        <f t="shared" si="14"/>
        <v>1586243905</v>
      </c>
      <c r="C475" s="8" t="str">
        <f t="shared" si="15"/>
        <v>510</v>
      </c>
      <c r="D475" s="8" t="s">
        <v>119</v>
      </c>
      <c r="F475" s="8" t="s">
        <v>128</v>
      </c>
      <c r="G475" s="8" t="s">
        <v>371</v>
      </c>
      <c r="H475" s="8" t="s">
        <v>372</v>
      </c>
      <c r="I475" s="8" t="s">
        <v>181</v>
      </c>
      <c r="J475" s="8" t="s">
        <v>960</v>
      </c>
      <c r="K475" s="8" t="s">
        <v>125</v>
      </c>
      <c r="L475" s="8" t="s">
        <v>961</v>
      </c>
      <c r="M475" s="8" t="s">
        <v>2785</v>
      </c>
      <c r="N475" s="8" t="s">
        <v>371</v>
      </c>
      <c r="O475" s="8">
        <v>329.02</v>
      </c>
      <c r="P475" s="8">
        <v>365.57</v>
      </c>
      <c r="Q475" s="8" t="s">
        <v>2561</v>
      </c>
      <c r="R475" s="8" t="s">
        <v>2125</v>
      </c>
    </row>
    <row r="476" spans="1:20" x14ac:dyDescent="0.2">
      <c r="A476" s="8" t="s">
        <v>4298</v>
      </c>
      <c r="B476" s="8" t="str">
        <f t="shared" si="14"/>
        <v>1586243905</v>
      </c>
      <c r="C476" s="8" t="str">
        <f t="shared" si="15"/>
        <v>511</v>
      </c>
      <c r="D476" s="8" t="s">
        <v>119</v>
      </c>
      <c r="F476" s="8" t="s">
        <v>128</v>
      </c>
      <c r="G476" s="8" t="s">
        <v>371</v>
      </c>
      <c r="H476" s="8" t="s">
        <v>372</v>
      </c>
      <c r="I476" s="8" t="s">
        <v>181</v>
      </c>
      <c r="J476" s="8" t="s">
        <v>960</v>
      </c>
      <c r="K476" s="8" t="s">
        <v>125</v>
      </c>
      <c r="L476" s="8" t="s">
        <v>961</v>
      </c>
      <c r="M476" s="8" t="s">
        <v>2785</v>
      </c>
      <c r="N476" s="8" t="s">
        <v>371</v>
      </c>
      <c r="O476" s="8">
        <v>329.02</v>
      </c>
      <c r="P476" s="8">
        <v>365.57</v>
      </c>
      <c r="Q476" s="8" t="s">
        <v>2561</v>
      </c>
      <c r="R476" s="8" t="s">
        <v>2248</v>
      </c>
    </row>
    <row r="477" spans="1:20" x14ac:dyDescent="0.2">
      <c r="A477" s="8" t="s">
        <v>4220</v>
      </c>
      <c r="B477" s="8" t="str">
        <f t="shared" si="14"/>
        <v>1586243905</v>
      </c>
      <c r="C477" s="8" t="str">
        <f t="shared" si="15"/>
        <v>512</v>
      </c>
      <c r="D477" s="8" t="s">
        <v>119</v>
      </c>
      <c r="F477" s="8" t="s">
        <v>128</v>
      </c>
      <c r="G477" s="8" t="s">
        <v>371</v>
      </c>
      <c r="H477" s="8" t="s">
        <v>372</v>
      </c>
      <c r="I477" s="8" t="s">
        <v>181</v>
      </c>
      <c r="J477" s="8" t="s">
        <v>960</v>
      </c>
      <c r="K477" s="8" t="s">
        <v>125</v>
      </c>
      <c r="L477" s="8" t="s">
        <v>961</v>
      </c>
      <c r="M477" s="8" t="s">
        <v>2785</v>
      </c>
      <c r="N477" s="8" t="s">
        <v>371</v>
      </c>
      <c r="O477" s="8">
        <v>329.02</v>
      </c>
      <c r="P477" s="8">
        <v>365.57</v>
      </c>
      <c r="Q477" s="8" t="s">
        <v>2561</v>
      </c>
      <c r="S477" s="8" t="s">
        <v>142</v>
      </c>
      <c r="T477" s="8">
        <v>42.05</v>
      </c>
    </row>
    <row r="478" spans="1:20" x14ac:dyDescent="0.2">
      <c r="A478" s="8" t="s">
        <v>2869</v>
      </c>
      <c r="B478" s="8" t="str">
        <f t="shared" si="14"/>
        <v>1586243905</v>
      </c>
      <c r="C478" s="8" t="str">
        <f t="shared" si="15"/>
        <v>513</v>
      </c>
      <c r="D478" s="8" t="s">
        <v>119</v>
      </c>
      <c r="F478" s="8" t="s">
        <v>128</v>
      </c>
      <c r="G478" s="8" t="s">
        <v>371</v>
      </c>
      <c r="H478" s="8" t="s">
        <v>372</v>
      </c>
      <c r="I478" s="8" t="s">
        <v>181</v>
      </c>
      <c r="J478" s="8" t="s">
        <v>960</v>
      </c>
      <c r="K478" s="8" t="s">
        <v>125</v>
      </c>
      <c r="L478" s="8" t="s">
        <v>961</v>
      </c>
      <c r="M478" s="8" t="s">
        <v>2785</v>
      </c>
      <c r="N478" s="8" t="s">
        <v>371</v>
      </c>
      <c r="O478" s="8">
        <v>329.02</v>
      </c>
      <c r="P478" s="8">
        <v>365.57</v>
      </c>
      <c r="Q478" s="8" t="s">
        <v>2561</v>
      </c>
      <c r="S478" s="8" t="s">
        <v>2208</v>
      </c>
      <c r="T478" s="8">
        <v>136.47999999999999</v>
      </c>
    </row>
    <row r="479" spans="1:20" x14ac:dyDescent="0.2">
      <c r="A479" s="8" t="s">
        <v>3551</v>
      </c>
      <c r="B479" s="8" t="str">
        <f t="shared" si="14"/>
        <v>1586243905</v>
      </c>
      <c r="C479" s="8" t="str">
        <f t="shared" si="15"/>
        <v>514</v>
      </c>
      <c r="D479" s="8" t="s">
        <v>119</v>
      </c>
      <c r="F479" s="8" t="s">
        <v>128</v>
      </c>
      <c r="G479" s="8" t="s">
        <v>371</v>
      </c>
      <c r="H479" s="8" t="s">
        <v>372</v>
      </c>
      <c r="I479" s="8" t="s">
        <v>181</v>
      </c>
      <c r="J479" s="8" t="s">
        <v>960</v>
      </c>
      <c r="K479" s="8" t="s">
        <v>125</v>
      </c>
      <c r="L479" s="8" t="s">
        <v>961</v>
      </c>
      <c r="M479" s="8" t="s">
        <v>2785</v>
      </c>
      <c r="N479" s="8" t="s">
        <v>371</v>
      </c>
      <c r="O479" s="8">
        <v>329.02</v>
      </c>
      <c r="P479" s="8">
        <v>365.57</v>
      </c>
      <c r="Q479" s="8" t="s">
        <v>2561</v>
      </c>
      <c r="S479" s="8" t="s">
        <v>1367</v>
      </c>
      <c r="T479" s="8">
        <v>216.15</v>
      </c>
    </row>
    <row r="480" spans="1:20" x14ac:dyDescent="0.2">
      <c r="A480" s="8" t="s">
        <v>4387</v>
      </c>
      <c r="B480" s="8" t="str">
        <f t="shared" si="14"/>
        <v>1586243905</v>
      </c>
      <c r="C480" s="8" t="str">
        <f t="shared" si="15"/>
        <v>515</v>
      </c>
      <c r="D480" s="8" t="s">
        <v>119</v>
      </c>
      <c r="F480" s="8" t="s">
        <v>128</v>
      </c>
      <c r="G480" s="8" t="s">
        <v>371</v>
      </c>
      <c r="H480" s="8" t="s">
        <v>372</v>
      </c>
      <c r="I480" s="8" t="s">
        <v>181</v>
      </c>
      <c r="J480" s="8" t="s">
        <v>960</v>
      </c>
      <c r="K480" s="8" t="s">
        <v>125</v>
      </c>
      <c r="L480" s="8" t="s">
        <v>961</v>
      </c>
      <c r="M480" s="8" t="s">
        <v>2785</v>
      </c>
      <c r="N480" s="8" t="s">
        <v>371</v>
      </c>
      <c r="O480" s="8">
        <v>329.02</v>
      </c>
      <c r="P480" s="8">
        <v>365.57</v>
      </c>
      <c r="Q480" s="8" t="s">
        <v>2561</v>
      </c>
      <c r="S480" s="8" t="s">
        <v>1775</v>
      </c>
      <c r="T480" s="8">
        <v>281.8</v>
      </c>
    </row>
    <row r="481" spans="1:20" x14ac:dyDescent="0.2">
      <c r="A481" s="8" t="s">
        <v>4502</v>
      </c>
      <c r="B481" s="8" t="str">
        <f t="shared" si="14"/>
        <v>1586243905</v>
      </c>
      <c r="C481" s="8" t="str">
        <f t="shared" si="15"/>
        <v>516</v>
      </c>
      <c r="D481" s="8" t="s">
        <v>119</v>
      </c>
      <c r="F481" s="8" t="s">
        <v>128</v>
      </c>
      <c r="G481" s="8" t="s">
        <v>371</v>
      </c>
      <c r="H481" s="8" t="s">
        <v>372</v>
      </c>
      <c r="I481" s="8" t="s">
        <v>181</v>
      </c>
      <c r="J481" s="8" t="s">
        <v>960</v>
      </c>
      <c r="K481" s="8" t="s">
        <v>125</v>
      </c>
      <c r="L481" s="8" t="s">
        <v>961</v>
      </c>
      <c r="M481" s="8" t="s">
        <v>2785</v>
      </c>
      <c r="N481" s="8" t="s">
        <v>371</v>
      </c>
      <c r="O481" s="8">
        <v>329.02</v>
      </c>
      <c r="P481" s="8">
        <v>365.57</v>
      </c>
      <c r="Q481" s="8" t="s">
        <v>2561</v>
      </c>
      <c r="S481" s="8" t="s">
        <v>375</v>
      </c>
      <c r="T481" s="8">
        <v>385.82</v>
      </c>
    </row>
    <row r="482" spans="1:20" x14ac:dyDescent="0.2">
      <c r="A482" s="8" t="s">
        <v>2846</v>
      </c>
      <c r="B482" s="8" t="str">
        <f t="shared" si="14"/>
        <v>1586243905</v>
      </c>
      <c r="C482" s="8" t="str">
        <f t="shared" si="15"/>
        <v>517</v>
      </c>
      <c r="D482" s="8" t="s">
        <v>119</v>
      </c>
      <c r="F482" s="8" t="s">
        <v>128</v>
      </c>
      <c r="G482" s="8" t="s">
        <v>371</v>
      </c>
      <c r="H482" s="8" t="s">
        <v>372</v>
      </c>
      <c r="I482" s="8" t="s">
        <v>181</v>
      </c>
      <c r="J482" s="8" t="s">
        <v>960</v>
      </c>
      <c r="K482" s="8" t="s">
        <v>125</v>
      </c>
      <c r="L482" s="8" t="s">
        <v>961</v>
      </c>
      <c r="M482" s="8" t="s">
        <v>2785</v>
      </c>
      <c r="N482" s="8" t="s">
        <v>371</v>
      </c>
      <c r="O482" s="8">
        <v>329.02</v>
      </c>
      <c r="P482" s="8">
        <v>365.57</v>
      </c>
      <c r="Q482" s="8" t="s">
        <v>2561</v>
      </c>
      <c r="S482" s="8" t="s">
        <v>184</v>
      </c>
      <c r="T482" s="8">
        <v>77.459999999999994</v>
      </c>
    </row>
    <row r="483" spans="1:20" x14ac:dyDescent="0.2">
      <c r="A483" s="8" t="s">
        <v>3488</v>
      </c>
      <c r="B483" s="8" t="str">
        <f t="shared" si="14"/>
        <v>1586243905</v>
      </c>
      <c r="C483" s="8" t="str">
        <f t="shared" si="15"/>
        <v>518</v>
      </c>
      <c r="D483" s="8" t="s">
        <v>119</v>
      </c>
      <c r="F483" s="8" t="s">
        <v>128</v>
      </c>
      <c r="G483" s="8" t="s">
        <v>371</v>
      </c>
      <c r="H483" s="8" t="s">
        <v>372</v>
      </c>
      <c r="I483" s="8" t="s">
        <v>181</v>
      </c>
      <c r="J483" s="8" t="s">
        <v>960</v>
      </c>
      <c r="K483" s="8" t="s">
        <v>125</v>
      </c>
      <c r="L483" s="8" t="s">
        <v>961</v>
      </c>
      <c r="M483" s="8" t="s">
        <v>2785</v>
      </c>
      <c r="N483" s="8" t="s">
        <v>371</v>
      </c>
      <c r="O483" s="8">
        <v>329.02</v>
      </c>
      <c r="P483" s="8">
        <v>365.57</v>
      </c>
      <c r="Q483" s="8" t="s">
        <v>2561</v>
      </c>
      <c r="S483" s="8" t="s">
        <v>109</v>
      </c>
      <c r="T483" s="8">
        <v>37.619999999999997</v>
      </c>
    </row>
    <row r="484" spans="1:20" x14ac:dyDescent="0.2">
      <c r="A484" s="8" t="s">
        <v>3088</v>
      </c>
      <c r="B484" s="8" t="str">
        <f t="shared" si="14"/>
        <v>1586243907</v>
      </c>
      <c r="C484" s="8" t="str">
        <f t="shared" si="15"/>
        <v>519</v>
      </c>
      <c r="D484" s="8" t="s">
        <v>119</v>
      </c>
      <c r="F484" s="8" t="s">
        <v>128</v>
      </c>
      <c r="G484" s="8" t="s">
        <v>371</v>
      </c>
      <c r="H484" s="8" t="s">
        <v>372</v>
      </c>
      <c r="I484" s="8" t="s">
        <v>181</v>
      </c>
      <c r="J484" s="8" t="s">
        <v>373</v>
      </c>
      <c r="K484" s="8" t="s">
        <v>54</v>
      </c>
      <c r="L484" s="8" t="s">
        <v>374</v>
      </c>
      <c r="M484" s="8" t="s">
        <v>2785</v>
      </c>
      <c r="N484" s="8" t="s">
        <v>371</v>
      </c>
      <c r="O484" s="8">
        <v>907.38</v>
      </c>
      <c r="P484" s="8">
        <v>1008.2</v>
      </c>
      <c r="Q484" s="8" t="s">
        <v>2562</v>
      </c>
      <c r="R484" s="8" t="s">
        <v>1529</v>
      </c>
    </row>
    <row r="485" spans="1:20" x14ac:dyDescent="0.2">
      <c r="A485" s="8" t="s">
        <v>4204</v>
      </c>
      <c r="B485" s="8" t="str">
        <f t="shared" si="14"/>
        <v>1586243907</v>
      </c>
      <c r="C485" s="8" t="str">
        <f t="shared" si="15"/>
        <v>520</v>
      </c>
      <c r="D485" s="8" t="s">
        <v>119</v>
      </c>
      <c r="F485" s="8" t="s">
        <v>128</v>
      </c>
      <c r="G485" s="8" t="s">
        <v>371</v>
      </c>
      <c r="H485" s="8" t="s">
        <v>372</v>
      </c>
      <c r="I485" s="8" t="s">
        <v>181</v>
      </c>
      <c r="J485" s="8" t="s">
        <v>373</v>
      </c>
      <c r="K485" s="8" t="s">
        <v>54</v>
      </c>
      <c r="L485" s="8" t="s">
        <v>374</v>
      </c>
      <c r="M485" s="8" t="s">
        <v>2785</v>
      </c>
      <c r="N485" s="8" t="s">
        <v>371</v>
      </c>
      <c r="O485" s="8">
        <v>907.38</v>
      </c>
      <c r="P485" s="8">
        <v>1008.2</v>
      </c>
      <c r="Q485" s="8" t="s">
        <v>2562</v>
      </c>
      <c r="R485" s="8" t="s">
        <v>1335</v>
      </c>
    </row>
    <row r="486" spans="1:20" x14ac:dyDescent="0.2">
      <c r="A486" s="8" t="s">
        <v>4449</v>
      </c>
      <c r="B486" s="8" t="str">
        <f t="shared" si="14"/>
        <v>1586243907</v>
      </c>
      <c r="C486" s="8" t="str">
        <f t="shared" si="15"/>
        <v>521</v>
      </c>
      <c r="D486" s="8" t="s">
        <v>119</v>
      </c>
      <c r="F486" s="8" t="s">
        <v>128</v>
      </c>
      <c r="G486" s="8" t="s">
        <v>371</v>
      </c>
      <c r="H486" s="8" t="s">
        <v>372</v>
      </c>
      <c r="I486" s="8" t="s">
        <v>181</v>
      </c>
      <c r="J486" s="8" t="s">
        <v>373</v>
      </c>
      <c r="K486" s="8" t="s">
        <v>54</v>
      </c>
      <c r="L486" s="8" t="s">
        <v>374</v>
      </c>
      <c r="M486" s="8" t="s">
        <v>2785</v>
      </c>
      <c r="N486" s="8" t="s">
        <v>371</v>
      </c>
      <c r="O486" s="8">
        <v>907.38</v>
      </c>
      <c r="P486" s="8">
        <v>1008.2</v>
      </c>
      <c r="Q486" s="8" t="s">
        <v>2562</v>
      </c>
      <c r="R486" s="8" t="s">
        <v>614</v>
      </c>
    </row>
    <row r="487" spans="1:20" x14ac:dyDescent="0.2">
      <c r="A487" s="8" t="s">
        <v>3682</v>
      </c>
      <c r="B487" s="8" t="str">
        <f t="shared" si="14"/>
        <v>1586243907</v>
      </c>
      <c r="C487" s="8" t="str">
        <f t="shared" si="15"/>
        <v>522</v>
      </c>
      <c r="D487" s="8" t="s">
        <v>119</v>
      </c>
      <c r="F487" s="8" t="s">
        <v>128</v>
      </c>
      <c r="G487" s="8" t="s">
        <v>371</v>
      </c>
      <c r="H487" s="8" t="s">
        <v>372</v>
      </c>
      <c r="I487" s="8" t="s">
        <v>181</v>
      </c>
      <c r="J487" s="8" t="s">
        <v>373</v>
      </c>
      <c r="K487" s="8" t="s">
        <v>54</v>
      </c>
      <c r="L487" s="8" t="s">
        <v>374</v>
      </c>
      <c r="M487" s="8" t="s">
        <v>2785</v>
      </c>
      <c r="N487" s="8" t="s">
        <v>371</v>
      </c>
      <c r="O487" s="8">
        <v>907.38</v>
      </c>
      <c r="P487" s="8">
        <v>1008.2</v>
      </c>
      <c r="Q487" s="8" t="s">
        <v>2562</v>
      </c>
      <c r="S487" s="8" t="s">
        <v>1831</v>
      </c>
      <c r="T487" s="8">
        <v>30.98</v>
      </c>
    </row>
    <row r="488" spans="1:20" x14ac:dyDescent="0.2">
      <c r="A488" s="8" t="s">
        <v>4040</v>
      </c>
      <c r="B488" s="8" t="str">
        <f t="shared" si="14"/>
        <v>1586243907</v>
      </c>
      <c r="C488" s="8" t="str">
        <f t="shared" si="15"/>
        <v>523</v>
      </c>
      <c r="D488" s="8" t="s">
        <v>119</v>
      </c>
      <c r="F488" s="8" t="s">
        <v>128</v>
      </c>
      <c r="G488" s="8" t="s">
        <v>371</v>
      </c>
      <c r="H488" s="8" t="s">
        <v>372</v>
      </c>
      <c r="I488" s="8" t="s">
        <v>181</v>
      </c>
      <c r="J488" s="8" t="s">
        <v>373</v>
      </c>
      <c r="K488" s="8" t="s">
        <v>54</v>
      </c>
      <c r="L488" s="8" t="s">
        <v>374</v>
      </c>
      <c r="M488" s="8" t="s">
        <v>2785</v>
      </c>
      <c r="N488" s="8" t="s">
        <v>371</v>
      </c>
      <c r="O488" s="8">
        <v>907.38</v>
      </c>
      <c r="P488" s="8">
        <v>1008.2</v>
      </c>
      <c r="Q488" s="8" t="s">
        <v>2562</v>
      </c>
      <c r="S488" s="8" t="s">
        <v>2208</v>
      </c>
      <c r="T488" s="8">
        <v>123.2</v>
      </c>
    </row>
    <row r="489" spans="1:20" x14ac:dyDescent="0.2">
      <c r="A489" s="8" t="s">
        <v>3910</v>
      </c>
      <c r="B489" s="8" t="str">
        <f t="shared" si="14"/>
        <v>1586243907</v>
      </c>
      <c r="C489" s="8" t="str">
        <f t="shared" si="15"/>
        <v>524</v>
      </c>
      <c r="D489" s="8" t="s">
        <v>119</v>
      </c>
      <c r="F489" s="8" t="s">
        <v>128</v>
      </c>
      <c r="G489" s="8" t="s">
        <v>371</v>
      </c>
      <c r="H489" s="8" t="s">
        <v>372</v>
      </c>
      <c r="I489" s="8" t="s">
        <v>181</v>
      </c>
      <c r="J489" s="8" t="s">
        <v>373</v>
      </c>
      <c r="K489" s="8" t="s">
        <v>54</v>
      </c>
      <c r="L489" s="8" t="s">
        <v>374</v>
      </c>
      <c r="M489" s="8" t="s">
        <v>2785</v>
      </c>
      <c r="N489" s="8" t="s">
        <v>371</v>
      </c>
      <c r="O489" s="8">
        <v>907.38</v>
      </c>
      <c r="P489" s="8">
        <v>1008.2</v>
      </c>
      <c r="Q489" s="8" t="s">
        <v>2562</v>
      </c>
      <c r="S489" s="8" t="s">
        <v>1261</v>
      </c>
      <c r="T489" s="8">
        <v>786.39</v>
      </c>
    </row>
    <row r="490" spans="1:20" x14ac:dyDescent="0.2">
      <c r="A490" s="8" t="s">
        <v>3858</v>
      </c>
      <c r="B490" s="8" t="str">
        <f t="shared" si="14"/>
        <v>1586243907</v>
      </c>
      <c r="C490" s="8" t="str">
        <f t="shared" si="15"/>
        <v>525</v>
      </c>
      <c r="D490" s="8" t="s">
        <v>119</v>
      </c>
      <c r="F490" s="8" t="s">
        <v>128</v>
      </c>
      <c r="G490" s="8" t="s">
        <v>371</v>
      </c>
      <c r="H490" s="8" t="s">
        <v>372</v>
      </c>
      <c r="I490" s="8" t="s">
        <v>181</v>
      </c>
      <c r="J490" s="8" t="s">
        <v>373</v>
      </c>
      <c r="K490" s="8" t="s">
        <v>54</v>
      </c>
      <c r="L490" s="8" t="s">
        <v>374</v>
      </c>
      <c r="M490" s="8" t="s">
        <v>2785</v>
      </c>
      <c r="N490" s="8" t="s">
        <v>371</v>
      </c>
      <c r="O490" s="8">
        <v>907.38</v>
      </c>
      <c r="P490" s="8">
        <v>1008.2</v>
      </c>
      <c r="Q490" s="8" t="s">
        <v>2562</v>
      </c>
      <c r="S490" s="8" t="s">
        <v>1582</v>
      </c>
      <c r="T490" s="8">
        <v>823.28</v>
      </c>
    </row>
    <row r="491" spans="1:20" x14ac:dyDescent="0.2">
      <c r="A491" s="8" t="s">
        <v>3343</v>
      </c>
      <c r="B491" s="8" t="str">
        <f t="shared" si="14"/>
        <v>1586243907</v>
      </c>
      <c r="C491" s="8" t="str">
        <f t="shared" si="15"/>
        <v>526</v>
      </c>
      <c r="D491" s="8" t="s">
        <v>119</v>
      </c>
      <c r="F491" s="8" t="s">
        <v>128</v>
      </c>
      <c r="G491" s="8" t="s">
        <v>371</v>
      </c>
      <c r="H491" s="8" t="s">
        <v>372</v>
      </c>
      <c r="I491" s="8" t="s">
        <v>181</v>
      </c>
      <c r="J491" s="8" t="s">
        <v>373</v>
      </c>
      <c r="K491" s="8" t="s">
        <v>54</v>
      </c>
      <c r="L491" s="8" t="s">
        <v>374</v>
      </c>
      <c r="M491" s="8" t="s">
        <v>2785</v>
      </c>
      <c r="N491" s="8" t="s">
        <v>371</v>
      </c>
      <c r="O491" s="8">
        <v>907.38</v>
      </c>
      <c r="P491" s="8">
        <v>1008.2</v>
      </c>
      <c r="Q491" s="8" t="s">
        <v>2562</v>
      </c>
      <c r="S491" s="8" t="s">
        <v>375</v>
      </c>
      <c r="T491" s="8">
        <v>917.7</v>
      </c>
    </row>
    <row r="492" spans="1:20" x14ac:dyDescent="0.2">
      <c r="A492" s="8" t="s">
        <v>3798</v>
      </c>
      <c r="B492" s="8" t="str">
        <f t="shared" si="14"/>
        <v>1586243907</v>
      </c>
      <c r="C492" s="8" t="str">
        <f t="shared" si="15"/>
        <v>527</v>
      </c>
      <c r="D492" s="8" t="s">
        <v>119</v>
      </c>
      <c r="F492" s="8" t="s">
        <v>128</v>
      </c>
      <c r="G492" s="8" t="s">
        <v>371</v>
      </c>
      <c r="H492" s="8" t="s">
        <v>372</v>
      </c>
      <c r="I492" s="8" t="s">
        <v>181</v>
      </c>
      <c r="J492" s="8" t="s">
        <v>373</v>
      </c>
      <c r="K492" s="8" t="s">
        <v>54</v>
      </c>
      <c r="L492" s="8" t="s">
        <v>374</v>
      </c>
      <c r="M492" s="8" t="s">
        <v>2785</v>
      </c>
      <c r="N492" s="8" t="s">
        <v>371</v>
      </c>
      <c r="O492" s="8">
        <v>907.38</v>
      </c>
      <c r="P492" s="8">
        <v>1008.2</v>
      </c>
      <c r="Q492" s="8" t="s">
        <v>2562</v>
      </c>
      <c r="S492" s="8" t="s">
        <v>184</v>
      </c>
      <c r="T492" s="8">
        <v>169.67</v>
      </c>
    </row>
    <row r="493" spans="1:20" x14ac:dyDescent="0.2">
      <c r="A493" s="8" t="s">
        <v>4476</v>
      </c>
      <c r="B493" s="8" t="str">
        <f t="shared" si="14"/>
        <v>1586243907</v>
      </c>
      <c r="C493" s="8" t="str">
        <f t="shared" si="15"/>
        <v>528</v>
      </c>
      <c r="D493" s="8" t="s">
        <v>119</v>
      </c>
      <c r="F493" s="8" t="s">
        <v>128</v>
      </c>
      <c r="G493" s="8" t="s">
        <v>371</v>
      </c>
      <c r="H493" s="8" t="s">
        <v>372</v>
      </c>
      <c r="I493" s="8" t="s">
        <v>181</v>
      </c>
      <c r="J493" s="8" t="s">
        <v>373</v>
      </c>
      <c r="K493" s="8" t="s">
        <v>54</v>
      </c>
      <c r="L493" s="8" t="s">
        <v>374</v>
      </c>
      <c r="M493" s="8" t="s">
        <v>2785</v>
      </c>
      <c r="N493" s="8" t="s">
        <v>371</v>
      </c>
      <c r="O493" s="8">
        <v>907.38</v>
      </c>
      <c r="P493" s="8">
        <v>1008.2</v>
      </c>
      <c r="Q493" s="8" t="s">
        <v>2562</v>
      </c>
      <c r="S493" s="8" t="s">
        <v>109</v>
      </c>
      <c r="T493" s="8">
        <v>37.619999999999997</v>
      </c>
    </row>
    <row r="494" spans="1:20" x14ac:dyDescent="0.2">
      <c r="A494" s="8" t="s">
        <v>4406</v>
      </c>
      <c r="B494" s="8" t="str">
        <f t="shared" si="14"/>
        <v>1586243911</v>
      </c>
      <c r="C494" s="8" t="str">
        <f t="shared" si="15"/>
        <v>529</v>
      </c>
      <c r="D494" s="8" t="s">
        <v>119</v>
      </c>
      <c r="F494" s="8" t="s">
        <v>128</v>
      </c>
      <c r="G494" s="8" t="s">
        <v>639</v>
      </c>
      <c r="H494" s="8" t="s">
        <v>640</v>
      </c>
      <c r="I494" s="8" t="s">
        <v>181</v>
      </c>
      <c r="J494" s="8" t="s">
        <v>1108</v>
      </c>
      <c r="K494" s="8" t="s">
        <v>190</v>
      </c>
      <c r="L494" s="8" t="s">
        <v>1109</v>
      </c>
      <c r="M494" s="8" t="s">
        <v>2785</v>
      </c>
      <c r="N494" s="8" t="s">
        <v>639</v>
      </c>
      <c r="O494" s="8">
        <v>755.41</v>
      </c>
      <c r="P494" s="8">
        <v>839.34</v>
      </c>
      <c r="Q494" s="8" t="s">
        <v>2563</v>
      </c>
      <c r="R494" s="8" t="s">
        <v>1665</v>
      </c>
    </row>
    <row r="495" spans="1:20" x14ac:dyDescent="0.2">
      <c r="A495" s="8" t="s">
        <v>4552</v>
      </c>
      <c r="B495" s="8" t="str">
        <f t="shared" si="14"/>
        <v>1586243911</v>
      </c>
      <c r="C495" s="8" t="str">
        <f t="shared" si="15"/>
        <v>530</v>
      </c>
      <c r="D495" s="8" t="s">
        <v>119</v>
      </c>
      <c r="F495" s="8" t="s">
        <v>128</v>
      </c>
      <c r="G495" s="8" t="s">
        <v>639</v>
      </c>
      <c r="H495" s="8" t="s">
        <v>640</v>
      </c>
      <c r="I495" s="8" t="s">
        <v>181</v>
      </c>
      <c r="J495" s="8" t="s">
        <v>1108</v>
      </c>
      <c r="K495" s="8" t="s">
        <v>190</v>
      </c>
      <c r="L495" s="8" t="s">
        <v>1109</v>
      </c>
      <c r="M495" s="8" t="s">
        <v>2785</v>
      </c>
      <c r="N495" s="8" t="s">
        <v>639</v>
      </c>
      <c r="O495" s="8">
        <v>755.41</v>
      </c>
      <c r="P495" s="8">
        <v>839.34</v>
      </c>
      <c r="Q495" s="8" t="s">
        <v>2563</v>
      </c>
      <c r="R495" s="8" t="s">
        <v>1482</v>
      </c>
    </row>
    <row r="496" spans="1:20" x14ac:dyDescent="0.2">
      <c r="A496" s="8" t="s">
        <v>3586</v>
      </c>
      <c r="B496" s="8" t="str">
        <f t="shared" si="14"/>
        <v>1586243911</v>
      </c>
      <c r="C496" s="8" t="str">
        <f t="shared" si="15"/>
        <v>531</v>
      </c>
      <c r="D496" s="8" t="s">
        <v>119</v>
      </c>
      <c r="F496" s="8" t="s">
        <v>128</v>
      </c>
      <c r="G496" s="8" t="s">
        <v>639</v>
      </c>
      <c r="H496" s="8" t="s">
        <v>640</v>
      </c>
      <c r="I496" s="8" t="s">
        <v>181</v>
      </c>
      <c r="J496" s="8" t="s">
        <v>1108</v>
      </c>
      <c r="K496" s="8" t="s">
        <v>190</v>
      </c>
      <c r="L496" s="8" t="s">
        <v>1109</v>
      </c>
      <c r="M496" s="8" t="s">
        <v>2785</v>
      </c>
      <c r="N496" s="8" t="s">
        <v>639</v>
      </c>
      <c r="O496" s="8">
        <v>755.41</v>
      </c>
      <c r="P496" s="8">
        <v>839.34</v>
      </c>
      <c r="Q496" s="8" t="s">
        <v>2563</v>
      </c>
      <c r="R496" s="8" t="s">
        <v>1110</v>
      </c>
    </row>
    <row r="497" spans="1:20" x14ac:dyDescent="0.2">
      <c r="A497" s="8" t="s">
        <v>4605</v>
      </c>
      <c r="B497" s="8" t="str">
        <f t="shared" si="14"/>
        <v>1586243911</v>
      </c>
      <c r="C497" s="8" t="str">
        <f t="shared" si="15"/>
        <v>532</v>
      </c>
      <c r="D497" s="8" t="s">
        <v>119</v>
      </c>
      <c r="F497" s="8" t="s">
        <v>128</v>
      </c>
      <c r="G497" s="8" t="s">
        <v>639</v>
      </c>
      <c r="H497" s="8" t="s">
        <v>640</v>
      </c>
      <c r="I497" s="8" t="s">
        <v>181</v>
      </c>
      <c r="J497" s="8" t="s">
        <v>1108</v>
      </c>
      <c r="K497" s="8" t="s">
        <v>190</v>
      </c>
      <c r="L497" s="8" t="s">
        <v>1109</v>
      </c>
      <c r="M497" s="8" t="s">
        <v>2785</v>
      </c>
      <c r="N497" s="8" t="s">
        <v>639</v>
      </c>
      <c r="O497" s="8">
        <v>755.41</v>
      </c>
      <c r="P497" s="8">
        <v>839.34</v>
      </c>
      <c r="Q497" s="8" t="s">
        <v>2563</v>
      </c>
      <c r="S497" s="8" t="s">
        <v>184</v>
      </c>
      <c r="T497" s="8">
        <v>169.67</v>
      </c>
    </row>
    <row r="498" spans="1:20" x14ac:dyDescent="0.2">
      <c r="A498" s="8" t="s">
        <v>4285</v>
      </c>
      <c r="B498" s="8" t="str">
        <f t="shared" si="14"/>
        <v>1586243911</v>
      </c>
      <c r="C498" s="8" t="str">
        <f t="shared" si="15"/>
        <v>533</v>
      </c>
      <c r="D498" s="8" t="s">
        <v>119</v>
      </c>
      <c r="F498" s="8" t="s">
        <v>128</v>
      </c>
      <c r="G498" s="8" t="s">
        <v>639</v>
      </c>
      <c r="H498" s="8" t="s">
        <v>640</v>
      </c>
      <c r="I498" s="8" t="s">
        <v>181</v>
      </c>
      <c r="J498" s="8" t="s">
        <v>1108</v>
      </c>
      <c r="K498" s="8" t="s">
        <v>190</v>
      </c>
      <c r="L498" s="8" t="s">
        <v>1109</v>
      </c>
      <c r="M498" s="8" t="s">
        <v>2785</v>
      </c>
      <c r="N498" s="8" t="s">
        <v>639</v>
      </c>
      <c r="O498" s="8">
        <v>755.41</v>
      </c>
      <c r="P498" s="8">
        <v>839.34</v>
      </c>
      <c r="Q498" s="8" t="s">
        <v>2563</v>
      </c>
      <c r="S498" s="8" t="s">
        <v>1210</v>
      </c>
      <c r="T498" s="8">
        <v>96.64</v>
      </c>
    </row>
    <row r="499" spans="1:20" x14ac:dyDescent="0.2">
      <c r="A499" s="8" t="s">
        <v>4039</v>
      </c>
      <c r="B499" s="8" t="str">
        <f t="shared" si="14"/>
        <v>1586243913</v>
      </c>
      <c r="C499" s="8" t="str">
        <f t="shared" si="15"/>
        <v>534</v>
      </c>
      <c r="D499" s="8" t="s">
        <v>119</v>
      </c>
      <c r="F499" s="8" t="s">
        <v>128</v>
      </c>
      <c r="G499" s="8" t="s">
        <v>639</v>
      </c>
      <c r="H499" s="8" t="s">
        <v>640</v>
      </c>
      <c r="I499" s="8" t="s">
        <v>641</v>
      </c>
      <c r="J499" s="8" t="s">
        <v>642</v>
      </c>
      <c r="K499" s="8" t="s">
        <v>190</v>
      </c>
      <c r="L499" s="8" t="s">
        <v>643</v>
      </c>
      <c r="M499" s="8" t="s">
        <v>2785</v>
      </c>
      <c r="N499" s="8" t="s">
        <v>639</v>
      </c>
      <c r="O499" s="8">
        <v>691.23</v>
      </c>
      <c r="P499" s="8">
        <v>768.03</v>
      </c>
      <c r="Q499" s="8" t="s">
        <v>2564</v>
      </c>
      <c r="R499" s="8" t="s">
        <v>867</v>
      </c>
    </row>
    <row r="500" spans="1:20" x14ac:dyDescent="0.2">
      <c r="A500" s="8" t="s">
        <v>3185</v>
      </c>
      <c r="B500" s="8" t="str">
        <f t="shared" si="14"/>
        <v>1586243913</v>
      </c>
      <c r="C500" s="8" t="str">
        <f t="shared" si="15"/>
        <v>535</v>
      </c>
      <c r="D500" s="8" t="s">
        <v>119</v>
      </c>
      <c r="F500" s="8" t="s">
        <v>128</v>
      </c>
      <c r="G500" s="8" t="s">
        <v>639</v>
      </c>
      <c r="H500" s="8" t="s">
        <v>640</v>
      </c>
      <c r="I500" s="8" t="s">
        <v>641</v>
      </c>
      <c r="J500" s="8" t="s">
        <v>642</v>
      </c>
      <c r="K500" s="8" t="s">
        <v>190</v>
      </c>
      <c r="L500" s="8" t="s">
        <v>643</v>
      </c>
      <c r="M500" s="8" t="s">
        <v>2785</v>
      </c>
      <c r="N500" s="8" t="s">
        <v>639</v>
      </c>
      <c r="O500" s="8">
        <v>691.23</v>
      </c>
      <c r="P500" s="8">
        <v>768.03</v>
      </c>
      <c r="Q500" s="8" t="s">
        <v>2564</v>
      </c>
      <c r="R500" s="8" t="s">
        <v>644</v>
      </c>
    </row>
    <row r="501" spans="1:20" x14ac:dyDescent="0.2">
      <c r="A501" s="8" t="s">
        <v>3288</v>
      </c>
      <c r="B501" s="8" t="str">
        <f t="shared" si="14"/>
        <v>1586243913</v>
      </c>
      <c r="C501" s="8" t="str">
        <f t="shared" si="15"/>
        <v>536</v>
      </c>
      <c r="D501" s="8" t="s">
        <v>119</v>
      </c>
      <c r="F501" s="8" t="s">
        <v>128</v>
      </c>
      <c r="G501" s="8" t="s">
        <v>639</v>
      </c>
      <c r="H501" s="8" t="s">
        <v>640</v>
      </c>
      <c r="I501" s="8" t="s">
        <v>641</v>
      </c>
      <c r="J501" s="8" t="s">
        <v>642</v>
      </c>
      <c r="K501" s="8" t="s">
        <v>190</v>
      </c>
      <c r="L501" s="8" t="s">
        <v>643</v>
      </c>
      <c r="M501" s="8" t="s">
        <v>2785</v>
      </c>
      <c r="N501" s="8" t="s">
        <v>639</v>
      </c>
      <c r="O501" s="8">
        <v>691.23</v>
      </c>
      <c r="P501" s="8">
        <v>768.03</v>
      </c>
      <c r="Q501" s="8" t="s">
        <v>2564</v>
      </c>
      <c r="R501" s="8" t="s">
        <v>1856</v>
      </c>
    </row>
    <row r="502" spans="1:20" x14ac:dyDescent="0.2">
      <c r="A502" s="8" t="s">
        <v>3416</v>
      </c>
      <c r="B502" s="8" t="str">
        <f t="shared" si="14"/>
        <v>1586243913</v>
      </c>
      <c r="C502" s="8" t="str">
        <f t="shared" si="15"/>
        <v>537</v>
      </c>
      <c r="D502" s="8" t="s">
        <v>119</v>
      </c>
      <c r="F502" s="8" t="s">
        <v>128</v>
      </c>
      <c r="G502" s="8" t="s">
        <v>639</v>
      </c>
      <c r="H502" s="8" t="s">
        <v>640</v>
      </c>
      <c r="I502" s="8" t="s">
        <v>641</v>
      </c>
      <c r="J502" s="8" t="s">
        <v>642</v>
      </c>
      <c r="K502" s="8" t="s">
        <v>190</v>
      </c>
      <c r="L502" s="8" t="s">
        <v>643</v>
      </c>
      <c r="M502" s="8" t="s">
        <v>2785</v>
      </c>
      <c r="N502" s="8" t="s">
        <v>639</v>
      </c>
      <c r="O502" s="8">
        <v>691.23</v>
      </c>
      <c r="P502" s="8">
        <v>768.03</v>
      </c>
      <c r="Q502" s="8" t="s">
        <v>2564</v>
      </c>
      <c r="S502" s="8" t="s">
        <v>184</v>
      </c>
      <c r="T502" s="8">
        <v>169.67</v>
      </c>
    </row>
    <row r="503" spans="1:20" x14ac:dyDescent="0.2">
      <c r="A503" s="8" t="s">
        <v>3514</v>
      </c>
      <c r="B503" s="8" t="str">
        <f t="shared" si="14"/>
        <v>1586243913</v>
      </c>
      <c r="C503" s="8" t="str">
        <f t="shared" si="15"/>
        <v>538</v>
      </c>
      <c r="D503" s="8" t="s">
        <v>119</v>
      </c>
      <c r="F503" s="8" t="s">
        <v>128</v>
      </c>
      <c r="G503" s="8" t="s">
        <v>639</v>
      </c>
      <c r="H503" s="8" t="s">
        <v>640</v>
      </c>
      <c r="I503" s="8" t="s">
        <v>641</v>
      </c>
      <c r="J503" s="8" t="s">
        <v>642</v>
      </c>
      <c r="K503" s="8" t="s">
        <v>190</v>
      </c>
      <c r="L503" s="8" t="s">
        <v>643</v>
      </c>
      <c r="M503" s="8" t="s">
        <v>2785</v>
      </c>
      <c r="N503" s="8" t="s">
        <v>639</v>
      </c>
      <c r="O503" s="8">
        <v>691.23</v>
      </c>
      <c r="P503" s="8">
        <v>768.03</v>
      </c>
      <c r="Q503" s="8" t="s">
        <v>2564</v>
      </c>
      <c r="S503" s="8" t="s">
        <v>420</v>
      </c>
      <c r="T503" s="8">
        <v>96.64</v>
      </c>
    </row>
    <row r="504" spans="1:20" x14ac:dyDescent="0.2">
      <c r="A504" s="8" t="s">
        <v>3984</v>
      </c>
      <c r="B504" s="8" t="str">
        <f t="shared" si="14"/>
        <v>1586243915</v>
      </c>
      <c r="C504" s="8" t="str">
        <f t="shared" si="15"/>
        <v>539</v>
      </c>
      <c r="D504" s="8" t="s">
        <v>119</v>
      </c>
      <c r="F504" s="8" t="s">
        <v>128</v>
      </c>
      <c r="G504" s="8" t="s">
        <v>639</v>
      </c>
      <c r="H504" s="8" t="s">
        <v>640</v>
      </c>
      <c r="I504" s="8" t="s">
        <v>1030</v>
      </c>
      <c r="J504" s="8" t="s">
        <v>1031</v>
      </c>
      <c r="K504" s="8" t="s">
        <v>190</v>
      </c>
      <c r="L504" s="8" t="s">
        <v>1032</v>
      </c>
      <c r="M504" s="8" t="s">
        <v>2785</v>
      </c>
      <c r="N504" s="8" t="s">
        <v>639</v>
      </c>
      <c r="O504" s="8">
        <v>836.56</v>
      </c>
      <c r="P504" s="8">
        <v>929.51</v>
      </c>
      <c r="Q504" s="8" t="s">
        <v>2565</v>
      </c>
      <c r="R504" s="8" t="s">
        <v>2380</v>
      </c>
    </row>
    <row r="505" spans="1:20" x14ac:dyDescent="0.2">
      <c r="A505" s="8" t="s">
        <v>3197</v>
      </c>
      <c r="B505" s="8" t="str">
        <f t="shared" si="14"/>
        <v>1586243915</v>
      </c>
      <c r="C505" s="8" t="str">
        <f t="shared" si="15"/>
        <v>540</v>
      </c>
      <c r="D505" s="8" t="s">
        <v>119</v>
      </c>
      <c r="F505" s="8" t="s">
        <v>128</v>
      </c>
      <c r="G505" s="8" t="s">
        <v>639</v>
      </c>
      <c r="H505" s="8" t="s">
        <v>640</v>
      </c>
      <c r="I505" s="8" t="s">
        <v>1030</v>
      </c>
      <c r="J505" s="8" t="s">
        <v>1031</v>
      </c>
      <c r="K505" s="8" t="s">
        <v>190</v>
      </c>
      <c r="L505" s="8" t="s">
        <v>1032</v>
      </c>
      <c r="M505" s="8" t="s">
        <v>2785</v>
      </c>
      <c r="N505" s="8" t="s">
        <v>639</v>
      </c>
      <c r="O505" s="8">
        <v>836.56</v>
      </c>
      <c r="P505" s="8">
        <v>929.51</v>
      </c>
      <c r="Q505" s="8" t="s">
        <v>2565</v>
      </c>
      <c r="R505" s="8" t="s">
        <v>1530</v>
      </c>
    </row>
    <row r="506" spans="1:20" x14ac:dyDescent="0.2">
      <c r="A506" s="8" t="s">
        <v>3928</v>
      </c>
      <c r="B506" s="8" t="str">
        <f t="shared" si="14"/>
        <v>1586243915</v>
      </c>
      <c r="C506" s="8" t="str">
        <f t="shared" si="15"/>
        <v>541</v>
      </c>
      <c r="D506" s="8" t="s">
        <v>119</v>
      </c>
      <c r="F506" s="8" t="s">
        <v>128</v>
      </c>
      <c r="G506" s="8" t="s">
        <v>639</v>
      </c>
      <c r="H506" s="8" t="s">
        <v>640</v>
      </c>
      <c r="I506" s="8" t="s">
        <v>1030</v>
      </c>
      <c r="J506" s="8" t="s">
        <v>1031</v>
      </c>
      <c r="K506" s="8" t="s">
        <v>190</v>
      </c>
      <c r="L506" s="8" t="s">
        <v>1032</v>
      </c>
      <c r="M506" s="8" t="s">
        <v>2785</v>
      </c>
      <c r="N506" s="8" t="s">
        <v>639</v>
      </c>
      <c r="O506" s="8">
        <v>836.56</v>
      </c>
      <c r="P506" s="8">
        <v>929.51</v>
      </c>
      <c r="Q506" s="8" t="s">
        <v>2565</v>
      </c>
      <c r="R506" s="8" t="s">
        <v>1033</v>
      </c>
    </row>
    <row r="507" spans="1:20" x14ac:dyDescent="0.2">
      <c r="A507" s="8" t="s">
        <v>4705</v>
      </c>
      <c r="B507" s="8" t="str">
        <f t="shared" si="14"/>
        <v>1586243915</v>
      </c>
      <c r="C507" s="8" t="str">
        <f t="shared" si="15"/>
        <v>542</v>
      </c>
      <c r="D507" s="8" t="s">
        <v>119</v>
      </c>
      <c r="F507" s="8" t="s">
        <v>128</v>
      </c>
      <c r="G507" s="8" t="s">
        <v>639</v>
      </c>
      <c r="H507" s="8" t="s">
        <v>640</v>
      </c>
      <c r="I507" s="8" t="s">
        <v>1030</v>
      </c>
      <c r="J507" s="8" t="s">
        <v>1031</v>
      </c>
      <c r="K507" s="8" t="s">
        <v>190</v>
      </c>
      <c r="L507" s="8" t="s">
        <v>1032</v>
      </c>
      <c r="M507" s="8" t="s">
        <v>2785</v>
      </c>
      <c r="N507" s="8" t="s">
        <v>639</v>
      </c>
      <c r="O507" s="8">
        <v>836.56</v>
      </c>
      <c r="P507" s="8">
        <v>929.51</v>
      </c>
      <c r="Q507" s="8" t="s">
        <v>2565</v>
      </c>
      <c r="R507" s="8" t="s">
        <v>1828</v>
      </c>
    </row>
    <row r="508" spans="1:20" x14ac:dyDescent="0.2">
      <c r="A508" s="8" t="s">
        <v>3942</v>
      </c>
      <c r="B508" s="8" t="str">
        <f t="shared" si="14"/>
        <v>1586243915</v>
      </c>
      <c r="C508" s="8" t="str">
        <f t="shared" si="15"/>
        <v>543</v>
      </c>
      <c r="D508" s="8" t="s">
        <v>119</v>
      </c>
      <c r="F508" s="8" t="s">
        <v>128</v>
      </c>
      <c r="G508" s="8" t="s">
        <v>639</v>
      </c>
      <c r="H508" s="8" t="s">
        <v>640</v>
      </c>
      <c r="I508" s="8" t="s">
        <v>1030</v>
      </c>
      <c r="J508" s="8" t="s">
        <v>1031</v>
      </c>
      <c r="K508" s="8" t="s">
        <v>190</v>
      </c>
      <c r="L508" s="8" t="s">
        <v>1032</v>
      </c>
      <c r="M508" s="8" t="s">
        <v>2785</v>
      </c>
      <c r="N508" s="8" t="s">
        <v>639</v>
      </c>
      <c r="O508" s="8">
        <v>836.56</v>
      </c>
      <c r="P508" s="8">
        <v>929.51</v>
      </c>
      <c r="Q508" s="8" t="s">
        <v>2565</v>
      </c>
      <c r="R508" s="8" t="s">
        <v>1540</v>
      </c>
    </row>
    <row r="509" spans="1:20" x14ac:dyDescent="0.2">
      <c r="A509" s="8" t="s">
        <v>3854</v>
      </c>
      <c r="B509" s="8" t="str">
        <f t="shared" si="14"/>
        <v>1586243915</v>
      </c>
      <c r="C509" s="8" t="str">
        <f t="shared" si="15"/>
        <v>544</v>
      </c>
      <c r="D509" s="8" t="s">
        <v>119</v>
      </c>
      <c r="F509" s="8" t="s">
        <v>128</v>
      </c>
      <c r="G509" s="8" t="s">
        <v>639</v>
      </c>
      <c r="H509" s="8" t="s">
        <v>640</v>
      </c>
      <c r="I509" s="8" t="s">
        <v>1030</v>
      </c>
      <c r="J509" s="8" t="s">
        <v>1031</v>
      </c>
      <c r="K509" s="8" t="s">
        <v>190</v>
      </c>
      <c r="L509" s="8" t="s">
        <v>1032</v>
      </c>
      <c r="M509" s="8" t="s">
        <v>2785</v>
      </c>
      <c r="N509" s="8" t="s">
        <v>639</v>
      </c>
      <c r="O509" s="8">
        <v>836.56</v>
      </c>
      <c r="P509" s="8">
        <v>929.51</v>
      </c>
      <c r="Q509" s="8" t="s">
        <v>2565</v>
      </c>
      <c r="S509" s="8" t="s">
        <v>184</v>
      </c>
      <c r="T509" s="8">
        <v>216.89</v>
      </c>
    </row>
    <row r="510" spans="1:20" x14ac:dyDescent="0.2">
      <c r="A510" s="8" t="s">
        <v>4194</v>
      </c>
      <c r="B510" s="8" t="str">
        <f t="shared" si="14"/>
        <v>1586243915</v>
      </c>
      <c r="C510" s="8" t="str">
        <f t="shared" si="15"/>
        <v>545</v>
      </c>
      <c r="D510" s="8" t="s">
        <v>119</v>
      </c>
      <c r="F510" s="8" t="s">
        <v>128</v>
      </c>
      <c r="G510" s="8" t="s">
        <v>639</v>
      </c>
      <c r="H510" s="8" t="s">
        <v>640</v>
      </c>
      <c r="I510" s="8" t="s">
        <v>1030</v>
      </c>
      <c r="J510" s="8" t="s">
        <v>1031</v>
      </c>
      <c r="K510" s="8" t="s">
        <v>190</v>
      </c>
      <c r="L510" s="8" t="s">
        <v>1032</v>
      </c>
      <c r="M510" s="8" t="s">
        <v>2785</v>
      </c>
      <c r="N510" s="8" t="s">
        <v>639</v>
      </c>
      <c r="O510" s="8">
        <v>836.56</v>
      </c>
      <c r="P510" s="8">
        <v>929.51</v>
      </c>
      <c r="Q510" s="8" t="s">
        <v>2565</v>
      </c>
      <c r="S510" s="8" t="s">
        <v>2229</v>
      </c>
      <c r="T510" s="8">
        <v>46.48</v>
      </c>
    </row>
    <row r="511" spans="1:20" x14ac:dyDescent="0.2">
      <c r="A511" s="8" t="s">
        <v>3955</v>
      </c>
      <c r="B511" s="8" t="str">
        <f t="shared" si="14"/>
        <v>1586243917</v>
      </c>
      <c r="C511" s="8" t="str">
        <f t="shared" si="15"/>
        <v>546</v>
      </c>
      <c r="D511" s="8" t="s">
        <v>119</v>
      </c>
      <c r="F511" s="8" t="s">
        <v>128</v>
      </c>
      <c r="G511" s="8" t="s">
        <v>639</v>
      </c>
      <c r="H511" s="8" t="s">
        <v>640</v>
      </c>
      <c r="I511" s="8" t="s">
        <v>181</v>
      </c>
      <c r="J511" s="8" t="s">
        <v>1013</v>
      </c>
      <c r="K511" s="8" t="s">
        <v>190</v>
      </c>
      <c r="L511" s="8" t="s">
        <v>1014</v>
      </c>
      <c r="M511" s="8" t="s">
        <v>2785</v>
      </c>
      <c r="N511" s="8" t="s">
        <v>639</v>
      </c>
      <c r="O511" s="8">
        <v>871.23</v>
      </c>
      <c r="P511" s="8">
        <v>968.03</v>
      </c>
      <c r="Q511" s="8" t="s">
        <v>2566</v>
      </c>
      <c r="R511" s="8" t="s">
        <v>1438</v>
      </c>
    </row>
    <row r="512" spans="1:20" x14ac:dyDescent="0.2">
      <c r="A512" s="8" t="s">
        <v>3435</v>
      </c>
      <c r="B512" s="8" t="str">
        <f t="shared" si="14"/>
        <v>1586243917</v>
      </c>
      <c r="C512" s="8" t="str">
        <f t="shared" si="15"/>
        <v>547</v>
      </c>
      <c r="D512" s="8" t="s">
        <v>119</v>
      </c>
      <c r="F512" s="8" t="s">
        <v>128</v>
      </c>
      <c r="G512" s="8" t="s">
        <v>639</v>
      </c>
      <c r="H512" s="8" t="s">
        <v>640</v>
      </c>
      <c r="I512" s="8" t="s">
        <v>181</v>
      </c>
      <c r="J512" s="8" t="s">
        <v>1013</v>
      </c>
      <c r="K512" s="8" t="s">
        <v>190</v>
      </c>
      <c r="L512" s="8" t="s">
        <v>1014</v>
      </c>
      <c r="M512" s="8" t="s">
        <v>2785</v>
      </c>
      <c r="N512" s="8" t="s">
        <v>639</v>
      </c>
      <c r="O512" s="8">
        <v>871.23</v>
      </c>
      <c r="P512" s="8">
        <v>968.03</v>
      </c>
      <c r="Q512" s="8" t="s">
        <v>2566</v>
      </c>
      <c r="R512" s="8" t="s">
        <v>2445</v>
      </c>
    </row>
    <row r="513" spans="1:20" x14ac:dyDescent="0.2">
      <c r="A513" s="8" t="s">
        <v>3500</v>
      </c>
      <c r="B513" s="8" t="str">
        <f t="shared" si="14"/>
        <v>1586243917</v>
      </c>
      <c r="C513" s="8" t="str">
        <f t="shared" si="15"/>
        <v>548</v>
      </c>
      <c r="D513" s="8" t="s">
        <v>119</v>
      </c>
      <c r="F513" s="8" t="s">
        <v>128</v>
      </c>
      <c r="G513" s="8" t="s">
        <v>639</v>
      </c>
      <c r="H513" s="8" t="s">
        <v>640</v>
      </c>
      <c r="I513" s="8" t="s">
        <v>181</v>
      </c>
      <c r="J513" s="8" t="s">
        <v>1013</v>
      </c>
      <c r="K513" s="8" t="s">
        <v>190</v>
      </c>
      <c r="L513" s="8" t="s">
        <v>1014</v>
      </c>
      <c r="M513" s="8" t="s">
        <v>2785</v>
      </c>
      <c r="N513" s="8" t="s">
        <v>639</v>
      </c>
      <c r="O513" s="8">
        <v>871.23</v>
      </c>
      <c r="P513" s="8">
        <v>968.03</v>
      </c>
      <c r="Q513" s="8" t="s">
        <v>2566</v>
      </c>
      <c r="R513" s="8" t="s">
        <v>1015</v>
      </c>
    </row>
    <row r="514" spans="1:20" x14ac:dyDescent="0.2">
      <c r="A514" s="8" t="s">
        <v>4713</v>
      </c>
      <c r="B514" s="8" t="str">
        <f t="shared" ref="B514:B577" si="16">LEFT(A514, FIND("-", A514) - 1)</f>
        <v>1586243917</v>
      </c>
      <c r="C514" s="8" t="str">
        <f t="shared" ref="C514:C577" si="17">RIGHT(A514, LEN(A514) - FIND("-", A514))</f>
        <v>549</v>
      </c>
      <c r="D514" s="8" t="s">
        <v>119</v>
      </c>
      <c r="F514" s="8" t="s">
        <v>128</v>
      </c>
      <c r="G514" s="8" t="s">
        <v>639</v>
      </c>
      <c r="H514" s="8" t="s">
        <v>640</v>
      </c>
      <c r="I514" s="8" t="s">
        <v>181</v>
      </c>
      <c r="J514" s="8" t="s">
        <v>1013</v>
      </c>
      <c r="K514" s="8" t="s">
        <v>190</v>
      </c>
      <c r="L514" s="8" t="s">
        <v>1014</v>
      </c>
      <c r="M514" s="8" t="s">
        <v>2785</v>
      </c>
      <c r="N514" s="8" t="s">
        <v>639</v>
      </c>
      <c r="O514" s="8">
        <v>871.23</v>
      </c>
      <c r="P514" s="8">
        <v>968.03</v>
      </c>
      <c r="Q514" s="8" t="s">
        <v>2566</v>
      </c>
      <c r="R514" s="8" t="s">
        <v>1749</v>
      </c>
    </row>
    <row r="515" spans="1:20" x14ac:dyDescent="0.2">
      <c r="A515" s="8" t="s">
        <v>2914</v>
      </c>
      <c r="B515" s="8" t="str">
        <f t="shared" si="16"/>
        <v>1586243917</v>
      </c>
      <c r="C515" s="8" t="str">
        <f t="shared" si="17"/>
        <v>550</v>
      </c>
      <c r="D515" s="8" t="s">
        <v>119</v>
      </c>
      <c r="F515" s="8" t="s">
        <v>128</v>
      </c>
      <c r="G515" s="8" t="s">
        <v>639</v>
      </c>
      <c r="H515" s="8" t="s">
        <v>640</v>
      </c>
      <c r="I515" s="8" t="s">
        <v>181</v>
      </c>
      <c r="J515" s="8" t="s">
        <v>1013</v>
      </c>
      <c r="K515" s="8" t="s">
        <v>190</v>
      </c>
      <c r="L515" s="8" t="s">
        <v>1014</v>
      </c>
      <c r="M515" s="8" t="s">
        <v>2785</v>
      </c>
      <c r="N515" s="8" t="s">
        <v>639</v>
      </c>
      <c r="O515" s="8">
        <v>871.23</v>
      </c>
      <c r="P515" s="8">
        <v>968.03</v>
      </c>
      <c r="Q515" s="8" t="s">
        <v>2566</v>
      </c>
      <c r="R515" s="8" t="s">
        <v>2057</v>
      </c>
    </row>
    <row r="516" spans="1:20" x14ac:dyDescent="0.2">
      <c r="A516" s="8" t="s">
        <v>3901</v>
      </c>
      <c r="B516" s="8" t="str">
        <f t="shared" si="16"/>
        <v>1586243917</v>
      </c>
      <c r="C516" s="8" t="str">
        <f t="shared" si="17"/>
        <v>551</v>
      </c>
      <c r="D516" s="8" t="s">
        <v>119</v>
      </c>
      <c r="F516" s="8" t="s">
        <v>128</v>
      </c>
      <c r="G516" s="8" t="s">
        <v>639</v>
      </c>
      <c r="H516" s="8" t="s">
        <v>640</v>
      </c>
      <c r="I516" s="8" t="s">
        <v>181</v>
      </c>
      <c r="J516" s="8" t="s">
        <v>1013</v>
      </c>
      <c r="K516" s="8" t="s">
        <v>190</v>
      </c>
      <c r="L516" s="8" t="s">
        <v>1014</v>
      </c>
      <c r="M516" s="8" t="s">
        <v>2785</v>
      </c>
      <c r="N516" s="8" t="s">
        <v>639</v>
      </c>
      <c r="O516" s="8">
        <v>871.23</v>
      </c>
      <c r="P516" s="8">
        <v>968.03</v>
      </c>
      <c r="Q516" s="8" t="s">
        <v>2566</v>
      </c>
      <c r="R516" s="8" t="s">
        <v>2279</v>
      </c>
    </row>
    <row r="517" spans="1:20" x14ac:dyDescent="0.2">
      <c r="A517" s="8" t="s">
        <v>2826</v>
      </c>
      <c r="B517" s="8" t="str">
        <f t="shared" si="16"/>
        <v>1586243917</v>
      </c>
      <c r="C517" s="8" t="str">
        <f t="shared" si="17"/>
        <v>552</v>
      </c>
      <c r="D517" s="8" t="s">
        <v>119</v>
      </c>
      <c r="F517" s="8" t="s">
        <v>128</v>
      </c>
      <c r="G517" s="8" t="s">
        <v>639</v>
      </c>
      <c r="H517" s="8" t="s">
        <v>640</v>
      </c>
      <c r="I517" s="8" t="s">
        <v>181</v>
      </c>
      <c r="J517" s="8" t="s">
        <v>1013</v>
      </c>
      <c r="K517" s="8" t="s">
        <v>190</v>
      </c>
      <c r="L517" s="8" t="s">
        <v>1014</v>
      </c>
      <c r="M517" s="8" t="s">
        <v>2785</v>
      </c>
      <c r="N517" s="8" t="s">
        <v>639</v>
      </c>
      <c r="O517" s="8">
        <v>871.23</v>
      </c>
      <c r="P517" s="8">
        <v>968.03</v>
      </c>
      <c r="Q517" s="8" t="s">
        <v>2566</v>
      </c>
      <c r="S517" s="8" t="s">
        <v>184</v>
      </c>
      <c r="T517" s="8">
        <v>169.67</v>
      </c>
    </row>
    <row r="518" spans="1:20" x14ac:dyDescent="0.2">
      <c r="A518" s="8" t="s">
        <v>4028</v>
      </c>
      <c r="B518" s="8" t="str">
        <f t="shared" si="16"/>
        <v>1586243917</v>
      </c>
      <c r="C518" s="8" t="str">
        <f t="shared" si="17"/>
        <v>553</v>
      </c>
      <c r="D518" s="8" t="s">
        <v>119</v>
      </c>
      <c r="F518" s="8" t="s">
        <v>128</v>
      </c>
      <c r="G518" s="8" t="s">
        <v>639</v>
      </c>
      <c r="H518" s="8" t="s">
        <v>640</v>
      </c>
      <c r="I518" s="8" t="s">
        <v>181</v>
      </c>
      <c r="J518" s="8" t="s">
        <v>1013</v>
      </c>
      <c r="K518" s="8" t="s">
        <v>190</v>
      </c>
      <c r="L518" s="8" t="s">
        <v>1014</v>
      </c>
      <c r="M518" s="8" t="s">
        <v>2785</v>
      </c>
      <c r="N518" s="8" t="s">
        <v>639</v>
      </c>
      <c r="O518" s="8">
        <v>871.23</v>
      </c>
      <c r="P518" s="8">
        <v>968.03</v>
      </c>
      <c r="Q518" s="8" t="s">
        <v>2566</v>
      </c>
      <c r="S518" s="8" t="s">
        <v>943</v>
      </c>
      <c r="T518" s="8">
        <v>138.69</v>
      </c>
    </row>
    <row r="519" spans="1:20" x14ac:dyDescent="0.2">
      <c r="A519" s="8" t="s">
        <v>2935</v>
      </c>
      <c r="B519" s="8" t="str">
        <f t="shared" si="16"/>
        <v>1586243917</v>
      </c>
      <c r="C519" s="8" t="str">
        <f t="shared" si="17"/>
        <v>554</v>
      </c>
      <c r="D519" s="8" t="s">
        <v>119</v>
      </c>
      <c r="F519" s="8" t="s">
        <v>128</v>
      </c>
      <c r="G519" s="8" t="s">
        <v>639</v>
      </c>
      <c r="H519" s="8" t="s">
        <v>640</v>
      </c>
      <c r="I519" s="8" t="s">
        <v>181</v>
      </c>
      <c r="J519" s="8" t="s">
        <v>1013</v>
      </c>
      <c r="K519" s="8" t="s">
        <v>190</v>
      </c>
      <c r="L519" s="8" t="s">
        <v>1014</v>
      </c>
      <c r="M519" s="8" t="s">
        <v>2785</v>
      </c>
      <c r="N519" s="8" t="s">
        <v>639</v>
      </c>
      <c r="O519" s="8">
        <v>871.23</v>
      </c>
      <c r="P519" s="8">
        <v>968.03</v>
      </c>
      <c r="Q519" s="8" t="s">
        <v>2566</v>
      </c>
      <c r="S519" s="8" t="s">
        <v>1210</v>
      </c>
      <c r="T519" s="8">
        <v>96.64</v>
      </c>
    </row>
    <row r="520" spans="1:20" x14ac:dyDescent="0.2">
      <c r="A520" s="8" t="s">
        <v>4061</v>
      </c>
      <c r="B520" s="8" t="str">
        <f t="shared" si="16"/>
        <v>1586243917</v>
      </c>
      <c r="C520" s="8" t="str">
        <f t="shared" si="17"/>
        <v>555</v>
      </c>
      <c r="D520" s="8" t="s">
        <v>119</v>
      </c>
      <c r="F520" s="8" t="s">
        <v>128</v>
      </c>
      <c r="G520" s="8" t="s">
        <v>639</v>
      </c>
      <c r="H520" s="8" t="s">
        <v>640</v>
      </c>
      <c r="I520" s="8" t="s">
        <v>181</v>
      </c>
      <c r="J520" s="8" t="s">
        <v>1013</v>
      </c>
      <c r="K520" s="8" t="s">
        <v>190</v>
      </c>
      <c r="L520" s="8" t="s">
        <v>1014</v>
      </c>
      <c r="M520" s="8" t="s">
        <v>2785</v>
      </c>
      <c r="N520" s="8" t="s">
        <v>639</v>
      </c>
      <c r="O520" s="8">
        <v>871.23</v>
      </c>
      <c r="P520" s="8">
        <v>968.03</v>
      </c>
      <c r="Q520" s="8" t="s">
        <v>2566</v>
      </c>
      <c r="S520" s="8" t="s">
        <v>664</v>
      </c>
      <c r="T520" s="8">
        <v>53.85</v>
      </c>
    </row>
    <row r="521" spans="1:20" x14ac:dyDescent="0.2">
      <c r="A521" s="8" t="s">
        <v>3058</v>
      </c>
      <c r="B521" s="8" t="str">
        <f t="shared" si="16"/>
        <v>1586243920</v>
      </c>
      <c r="C521" s="8" t="str">
        <f t="shared" si="17"/>
        <v>556</v>
      </c>
      <c r="D521" s="8" t="s">
        <v>119</v>
      </c>
      <c r="F521" s="8" t="s">
        <v>128</v>
      </c>
      <c r="G521" s="8" t="s">
        <v>639</v>
      </c>
      <c r="H521" s="8" t="s">
        <v>640</v>
      </c>
      <c r="I521" s="8" t="s">
        <v>139</v>
      </c>
      <c r="J521" s="8" t="s">
        <v>662</v>
      </c>
      <c r="K521" s="8" t="s">
        <v>190</v>
      </c>
      <c r="L521" s="8" t="s">
        <v>663</v>
      </c>
      <c r="M521" s="8" t="s">
        <v>2785</v>
      </c>
      <c r="N521" s="8" t="s">
        <v>639</v>
      </c>
      <c r="O521" s="8">
        <v>832.87</v>
      </c>
      <c r="P521" s="8">
        <v>925.41</v>
      </c>
      <c r="Q521" s="8" t="s">
        <v>2567</v>
      </c>
      <c r="R521" s="8" t="s">
        <v>1657</v>
      </c>
    </row>
    <row r="522" spans="1:20" x14ac:dyDescent="0.2">
      <c r="A522" s="8" t="s">
        <v>4350</v>
      </c>
      <c r="B522" s="8" t="str">
        <f t="shared" si="16"/>
        <v>1586243920</v>
      </c>
      <c r="C522" s="8" t="str">
        <f t="shared" si="17"/>
        <v>557</v>
      </c>
      <c r="D522" s="8" t="s">
        <v>119</v>
      </c>
      <c r="F522" s="8" t="s">
        <v>128</v>
      </c>
      <c r="G522" s="8" t="s">
        <v>639</v>
      </c>
      <c r="H522" s="8" t="s">
        <v>640</v>
      </c>
      <c r="I522" s="8" t="s">
        <v>139</v>
      </c>
      <c r="J522" s="8" t="s">
        <v>662</v>
      </c>
      <c r="K522" s="8" t="s">
        <v>190</v>
      </c>
      <c r="L522" s="8" t="s">
        <v>663</v>
      </c>
      <c r="M522" s="8" t="s">
        <v>2785</v>
      </c>
      <c r="N522" s="8" t="s">
        <v>639</v>
      </c>
      <c r="O522" s="8">
        <v>832.87</v>
      </c>
      <c r="P522" s="8">
        <v>925.41</v>
      </c>
      <c r="Q522" s="8" t="s">
        <v>2567</v>
      </c>
      <c r="R522" s="8" t="s">
        <v>1882</v>
      </c>
    </row>
    <row r="523" spans="1:20" x14ac:dyDescent="0.2">
      <c r="A523" s="8" t="s">
        <v>4655</v>
      </c>
      <c r="B523" s="8" t="str">
        <f t="shared" si="16"/>
        <v>1586243920</v>
      </c>
      <c r="C523" s="8" t="str">
        <f t="shared" si="17"/>
        <v>558</v>
      </c>
      <c r="D523" s="8" t="s">
        <v>119</v>
      </c>
      <c r="F523" s="8" t="s">
        <v>128</v>
      </c>
      <c r="G523" s="8" t="s">
        <v>639</v>
      </c>
      <c r="H523" s="8" t="s">
        <v>640</v>
      </c>
      <c r="I523" s="8" t="s">
        <v>139</v>
      </c>
      <c r="J523" s="8" t="s">
        <v>662</v>
      </c>
      <c r="K523" s="8" t="s">
        <v>190</v>
      </c>
      <c r="L523" s="8" t="s">
        <v>663</v>
      </c>
      <c r="M523" s="8" t="s">
        <v>2785</v>
      </c>
      <c r="N523" s="8" t="s">
        <v>639</v>
      </c>
      <c r="O523" s="8">
        <v>832.87</v>
      </c>
      <c r="P523" s="8">
        <v>925.41</v>
      </c>
      <c r="Q523" s="8" t="s">
        <v>2567</v>
      </c>
      <c r="R523" s="8" t="s">
        <v>2192</v>
      </c>
    </row>
    <row r="524" spans="1:20" x14ac:dyDescent="0.2">
      <c r="A524" s="8" t="s">
        <v>3213</v>
      </c>
      <c r="B524" s="8" t="str">
        <f t="shared" si="16"/>
        <v>1586243920</v>
      </c>
      <c r="C524" s="8" t="str">
        <f t="shared" si="17"/>
        <v>559</v>
      </c>
      <c r="D524" s="8" t="s">
        <v>119</v>
      </c>
      <c r="F524" s="8" t="s">
        <v>128</v>
      </c>
      <c r="G524" s="8" t="s">
        <v>639</v>
      </c>
      <c r="H524" s="8" t="s">
        <v>640</v>
      </c>
      <c r="I524" s="8" t="s">
        <v>139</v>
      </c>
      <c r="J524" s="8" t="s">
        <v>662</v>
      </c>
      <c r="K524" s="8" t="s">
        <v>190</v>
      </c>
      <c r="L524" s="8" t="s">
        <v>663</v>
      </c>
      <c r="M524" s="8" t="s">
        <v>2785</v>
      </c>
      <c r="N524" s="8" t="s">
        <v>639</v>
      </c>
      <c r="O524" s="8">
        <v>832.87</v>
      </c>
      <c r="P524" s="8">
        <v>925.41</v>
      </c>
      <c r="Q524" s="8" t="s">
        <v>2567</v>
      </c>
      <c r="R524" s="8" t="s">
        <v>2150</v>
      </c>
    </row>
    <row r="525" spans="1:20" x14ac:dyDescent="0.2">
      <c r="A525" s="8" t="s">
        <v>3378</v>
      </c>
      <c r="B525" s="8" t="str">
        <f t="shared" si="16"/>
        <v>1586243920</v>
      </c>
      <c r="C525" s="8" t="str">
        <f t="shared" si="17"/>
        <v>560</v>
      </c>
      <c r="D525" s="8" t="s">
        <v>119</v>
      </c>
      <c r="F525" s="8" t="s">
        <v>128</v>
      </c>
      <c r="G525" s="8" t="s">
        <v>639</v>
      </c>
      <c r="H525" s="8" t="s">
        <v>640</v>
      </c>
      <c r="I525" s="8" t="s">
        <v>139</v>
      </c>
      <c r="J525" s="8" t="s">
        <v>662</v>
      </c>
      <c r="K525" s="8" t="s">
        <v>190</v>
      </c>
      <c r="L525" s="8" t="s">
        <v>663</v>
      </c>
      <c r="M525" s="8" t="s">
        <v>2785</v>
      </c>
      <c r="N525" s="8" t="s">
        <v>639</v>
      </c>
      <c r="O525" s="8">
        <v>832.87</v>
      </c>
      <c r="P525" s="8">
        <v>925.41</v>
      </c>
      <c r="Q525" s="8" t="s">
        <v>2567</v>
      </c>
      <c r="S525" s="8" t="s">
        <v>184</v>
      </c>
      <c r="T525" s="8">
        <v>169.67</v>
      </c>
    </row>
    <row r="526" spans="1:20" x14ac:dyDescent="0.2">
      <c r="A526" s="8" t="s">
        <v>4764</v>
      </c>
      <c r="B526" s="8" t="str">
        <f t="shared" si="16"/>
        <v>1586243920</v>
      </c>
      <c r="C526" s="8" t="str">
        <f t="shared" si="17"/>
        <v>561</v>
      </c>
      <c r="D526" s="8" t="s">
        <v>119</v>
      </c>
      <c r="F526" s="8" t="s">
        <v>128</v>
      </c>
      <c r="G526" s="8" t="s">
        <v>639</v>
      </c>
      <c r="H526" s="8" t="s">
        <v>640</v>
      </c>
      <c r="I526" s="8" t="s">
        <v>139</v>
      </c>
      <c r="J526" s="8" t="s">
        <v>662</v>
      </c>
      <c r="K526" s="8" t="s">
        <v>190</v>
      </c>
      <c r="L526" s="8" t="s">
        <v>663</v>
      </c>
      <c r="M526" s="8" t="s">
        <v>2785</v>
      </c>
      <c r="N526" s="8" t="s">
        <v>639</v>
      </c>
      <c r="O526" s="8">
        <v>832.87</v>
      </c>
      <c r="P526" s="8">
        <v>925.41</v>
      </c>
      <c r="Q526" s="8" t="s">
        <v>2567</v>
      </c>
      <c r="S526" s="8" t="s">
        <v>943</v>
      </c>
      <c r="T526" s="8">
        <v>169.67</v>
      </c>
    </row>
    <row r="527" spans="1:20" x14ac:dyDescent="0.2">
      <c r="A527" s="8" t="s">
        <v>4251</v>
      </c>
      <c r="B527" s="8" t="str">
        <f t="shared" si="16"/>
        <v>1586243920</v>
      </c>
      <c r="C527" s="8" t="str">
        <f t="shared" si="17"/>
        <v>562</v>
      </c>
      <c r="D527" s="8" t="s">
        <v>119</v>
      </c>
      <c r="F527" s="8" t="s">
        <v>128</v>
      </c>
      <c r="G527" s="8" t="s">
        <v>639</v>
      </c>
      <c r="H527" s="8" t="s">
        <v>640</v>
      </c>
      <c r="I527" s="8" t="s">
        <v>139</v>
      </c>
      <c r="J527" s="8" t="s">
        <v>662</v>
      </c>
      <c r="K527" s="8" t="s">
        <v>190</v>
      </c>
      <c r="L527" s="8" t="s">
        <v>663</v>
      </c>
      <c r="M527" s="8" t="s">
        <v>2785</v>
      </c>
      <c r="N527" s="8" t="s">
        <v>639</v>
      </c>
      <c r="O527" s="8">
        <v>832.87</v>
      </c>
      <c r="P527" s="8">
        <v>925.41</v>
      </c>
      <c r="Q527" s="8" t="s">
        <v>2567</v>
      </c>
      <c r="S527" s="8" t="s">
        <v>664</v>
      </c>
      <c r="T527" s="8">
        <v>53.85</v>
      </c>
    </row>
    <row r="528" spans="1:20" x14ac:dyDescent="0.2">
      <c r="A528" s="8" t="s">
        <v>3372</v>
      </c>
      <c r="B528" s="8" t="str">
        <f t="shared" si="16"/>
        <v>1586243922</v>
      </c>
      <c r="C528" s="8" t="str">
        <f t="shared" si="17"/>
        <v>563</v>
      </c>
      <c r="D528" s="8" t="s">
        <v>119</v>
      </c>
      <c r="F528" s="8" t="s">
        <v>128</v>
      </c>
      <c r="G528" s="8" t="s">
        <v>639</v>
      </c>
      <c r="H528" s="8" t="s">
        <v>640</v>
      </c>
      <c r="I528" s="8" t="s">
        <v>1285</v>
      </c>
      <c r="J528" s="8" t="s">
        <v>1286</v>
      </c>
      <c r="K528" s="8" t="s">
        <v>1287</v>
      </c>
      <c r="L528" s="8" t="s">
        <v>1288</v>
      </c>
      <c r="M528" s="8" t="s">
        <v>2785</v>
      </c>
      <c r="N528" s="8" t="s">
        <v>639</v>
      </c>
      <c r="O528" s="8">
        <v>609.34</v>
      </c>
      <c r="P528" s="8">
        <v>677.05</v>
      </c>
      <c r="Q528" s="8" t="s">
        <v>2568</v>
      </c>
      <c r="R528" s="8" t="s">
        <v>1289</v>
      </c>
    </row>
    <row r="529" spans="1:20" x14ac:dyDescent="0.2">
      <c r="A529" s="8" t="s">
        <v>3990</v>
      </c>
      <c r="B529" s="8" t="str">
        <f t="shared" si="16"/>
        <v>1586243922</v>
      </c>
      <c r="C529" s="8" t="str">
        <f t="shared" si="17"/>
        <v>564</v>
      </c>
      <c r="D529" s="8" t="s">
        <v>119</v>
      </c>
      <c r="F529" s="8" t="s">
        <v>128</v>
      </c>
      <c r="G529" s="8" t="s">
        <v>639</v>
      </c>
      <c r="H529" s="8" t="s">
        <v>640</v>
      </c>
      <c r="I529" s="8" t="s">
        <v>1285</v>
      </c>
      <c r="J529" s="8" t="s">
        <v>1286</v>
      </c>
      <c r="K529" s="8" t="s">
        <v>1287</v>
      </c>
      <c r="L529" s="8" t="s">
        <v>1288</v>
      </c>
      <c r="M529" s="8" t="s">
        <v>2785</v>
      </c>
      <c r="N529" s="8" t="s">
        <v>639</v>
      </c>
      <c r="O529" s="8">
        <v>609.34</v>
      </c>
      <c r="P529" s="8">
        <v>677.05</v>
      </c>
      <c r="Q529" s="8" t="s">
        <v>2568</v>
      </c>
      <c r="R529" s="8" t="s">
        <v>1910</v>
      </c>
    </row>
    <row r="530" spans="1:20" x14ac:dyDescent="0.2">
      <c r="A530" s="8" t="s">
        <v>4117</v>
      </c>
      <c r="B530" s="8" t="str">
        <f t="shared" si="16"/>
        <v>1586243922</v>
      </c>
      <c r="C530" s="8" t="str">
        <f t="shared" si="17"/>
        <v>565</v>
      </c>
      <c r="D530" s="8" t="s">
        <v>119</v>
      </c>
      <c r="F530" s="8" t="s">
        <v>128</v>
      </c>
      <c r="G530" s="8" t="s">
        <v>639</v>
      </c>
      <c r="H530" s="8" t="s">
        <v>640</v>
      </c>
      <c r="I530" s="8" t="s">
        <v>1285</v>
      </c>
      <c r="J530" s="8" t="s">
        <v>1286</v>
      </c>
      <c r="K530" s="8" t="s">
        <v>1287</v>
      </c>
      <c r="L530" s="8" t="s">
        <v>1288</v>
      </c>
      <c r="M530" s="8" t="s">
        <v>2785</v>
      </c>
      <c r="N530" s="8" t="s">
        <v>639</v>
      </c>
      <c r="O530" s="8">
        <v>609.34</v>
      </c>
      <c r="P530" s="8">
        <v>677.05</v>
      </c>
      <c r="Q530" s="8" t="s">
        <v>2568</v>
      </c>
      <c r="R530" s="8" t="s">
        <v>1329</v>
      </c>
    </row>
    <row r="531" spans="1:20" x14ac:dyDescent="0.2">
      <c r="A531" s="8" t="s">
        <v>3830</v>
      </c>
      <c r="B531" s="8" t="str">
        <f t="shared" si="16"/>
        <v>1586243922</v>
      </c>
      <c r="C531" s="8" t="str">
        <f t="shared" si="17"/>
        <v>566</v>
      </c>
      <c r="D531" s="8" t="s">
        <v>119</v>
      </c>
      <c r="F531" s="8" t="s">
        <v>128</v>
      </c>
      <c r="G531" s="8" t="s">
        <v>639</v>
      </c>
      <c r="H531" s="8" t="s">
        <v>640</v>
      </c>
      <c r="I531" s="8" t="s">
        <v>1285</v>
      </c>
      <c r="J531" s="8" t="s">
        <v>1286</v>
      </c>
      <c r="K531" s="8" t="s">
        <v>1287</v>
      </c>
      <c r="L531" s="8" t="s">
        <v>1288</v>
      </c>
      <c r="M531" s="8" t="s">
        <v>2785</v>
      </c>
      <c r="N531" s="8" t="s">
        <v>639</v>
      </c>
      <c r="O531" s="8">
        <v>609.34</v>
      </c>
      <c r="P531" s="8">
        <v>677.05</v>
      </c>
      <c r="Q531" s="8" t="s">
        <v>2568</v>
      </c>
      <c r="R531" s="8" t="s">
        <v>1615</v>
      </c>
    </row>
    <row r="532" spans="1:20" x14ac:dyDescent="0.2">
      <c r="A532" s="8" t="s">
        <v>2979</v>
      </c>
      <c r="B532" s="8" t="str">
        <f t="shared" si="16"/>
        <v>1586243922</v>
      </c>
      <c r="C532" s="8" t="str">
        <f t="shared" si="17"/>
        <v>567</v>
      </c>
      <c r="D532" s="8" t="s">
        <v>119</v>
      </c>
      <c r="F532" s="8" t="s">
        <v>128</v>
      </c>
      <c r="G532" s="8" t="s">
        <v>639</v>
      </c>
      <c r="H532" s="8" t="s">
        <v>640</v>
      </c>
      <c r="I532" s="8" t="s">
        <v>1285</v>
      </c>
      <c r="J532" s="8" t="s">
        <v>1286</v>
      </c>
      <c r="K532" s="8" t="s">
        <v>1287</v>
      </c>
      <c r="L532" s="8" t="s">
        <v>1288</v>
      </c>
      <c r="M532" s="8" t="s">
        <v>2785</v>
      </c>
      <c r="N532" s="8" t="s">
        <v>639</v>
      </c>
      <c r="O532" s="8">
        <v>609.34</v>
      </c>
      <c r="P532" s="8">
        <v>677.05</v>
      </c>
      <c r="Q532" s="8" t="s">
        <v>2568</v>
      </c>
      <c r="S532" s="8" t="s">
        <v>331</v>
      </c>
      <c r="T532" s="8">
        <v>107.7</v>
      </c>
    </row>
    <row r="533" spans="1:20" x14ac:dyDescent="0.2">
      <c r="A533" s="8" t="s">
        <v>3178</v>
      </c>
      <c r="B533" s="8" t="str">
        <f t="shared" si="16"/>
        <v>1586243922</v>
      </c>
      <c r="C533" s="8" t="str">
        <f t="shared" si="17"/>
        <v>568</v>
      </c>
      <c r="D533" s="8" t="s">
        <v>119</v>
      </c>
      <c r="F533" s="8" t="s">
        <v>128</v>
      </c>
      <c r="G533" s="8" t="s">
        <v>639</v>
      </c>
      <c r="H533" s="8" t="s">
        <v>640</v>
      </c>
      <c r="I533" s="8" t="s">
        <v>1285</v>
      </c>
      <c r="J533" s="8" t="s">
        <v>1286</v>
      </c>
      <c r="K533" s="8" t="s">
        <v>1287</v>
      </c>
      <c r="L533" s="8" t="s">
        <v>1288</v>
      </c>
      <c r="M533" s="8" t="s">
        <v>2785</v>
      </c>
      <c r="N533" s="8" t="s">
        <v>639</v>
      </c>
      <c r="O533" s="8">
        <v>609.34</v>
      </c>
      <c r="P533" s="8">
        <v>677.05</v>
      </c>
      <c r="Q533" s="8" t="s">
        <v>2568</v>
      </c>
      <c r="S533" s="8" t="s">
        <v>184</v>
      </c>
      <c r="T533" s="8">
        <v>169.67</v>
      </c>
    </row>
    <row r="534" spans="1:20" x14ac:dyDescent="0.2">
      <c r="A534" s="8" t="s">
        <v>3400</v>
      </c>
      <c r="B534" s="8" t="str">
        <f t="shared" si="16"/>
        <v>1586243922</v>
      </c>
      <c r="C534" s="8" t="str">
        <f t="shared" si="17"/>
        <v>569</v>
      </c>
      <c r="D534" s="8" t="s">
        <v>119</v>
      </c>
      <c r="F534" s="8" t="s">
        <v>128</v>
      </c>
      <c r="G534" s="8" t="s">
        <v>639</v>
      </c>
      <c r="H534" s="8" t="s">
        <v>640</v>
      </c>
      <c r="I534" s="8" t="s">
        <v>1285</v>
      </c>
      <c r="J534" s="8" t="s">
        <v>1286</v>
      </c>
      <c r="K534" s="8" t="s">
        <v>1287</v>
      </c>
      <c r="L534" s="8" t="s">
        <v>1288</v>
      </c>
      <c r="M534" s="8" t="s">
        <v>2785</v>
      </c>
      <c r="N534" s="8" t="s">
        <v>639</v>
      </c>
      <c r="O534" s="8">
        <v>609.34</v>
      </c>
      <c r="P534" s="8">
        <v>677.05</v>
      </c>
      <c r="Q534" s="8" t="s">
        <v>2568</v>
      </c>
      <c r="S534" s="8" t="s">
        <v>2029</v>
      </c>
      <c r="T534" s="8">
        <v>53.85</v>
      </c>
    </row>
    <row r="535" spans="1:20" x14ac:dyDescent="0.2">
      <c r="A535" s="8" t="s">
        <v>4617</v>
      </c>
      <c r="B535" s="8" t="str">
        <f t="shared" si="16"/>
        <v>1586243924</v>
      </c>
      <c r="C535" s="8" t="str">
        <f t="shared" si="17"/>
        <v>570</v>
      </c>
      <c r="D535" s="8" t="s">
        <v>119</v>
      </c>
      <c r="F535" s="8" t="s">
        <v>128</v>
      </c>
      <c r="G535" s="8" t="s">
        <v>639</v>
      </c>
      <c r="H535" s="8" t="s">
        <v>640</v>
      </c>
      <c r="I535" s="8" t="s">
        <v>123</v>
      </c>
      <c r="J535" s="8" t="s">
        <v>665</v>
      </c>
      <c r="K535" s="8" t="s">
        <v>310</v>
      </c>
      <c r="L535" s="8" t="s">
        <v>666</v>
      </c>
      <c r="M535" s="8" t="s">
        <v>2785</v>
      </c>
      <c r="N535" s="8" t="s">
        <v>639</v>
      </c>
      <c r="O535" s="8">
        <v>607.13</v>
      </c>
      <c r="P535" s="8">
        <v>674.59</v>
      </c>
      <c r="Q535" s="8" t="s">
        <v>2569</v>
      </c>
      <c r="R535" s="8" t="s">
        <v>2346</v>
      </c>
    </row>
    <row r="536" spans="1:20" x14ac:dyDescent="0.2">
      <c r="A536" s="8" t="s">
        <v>3992</v>
      </c>
      <c r="B536" s="8" t="str">
        <f t="shared" si="16"/>
        <v>1586243924</v>
      </c>
      <c r="C536" s="8" t="str">
        <f t="shared" si="17"/>
        <v>571</v>
      </c>
      <c r="D536" s="8" t="s">
        <v>119</v>
      </c>
      <c r="F536" s="8" t="s">
        <v>128</v>
      </c>
      <c r="G536" s="8" t="s">
        <v>639</v>
      </c>
      <c r="H536" s="8" t="s">
        <v>640</v>
      </c>
      <c r="I536" s="8" t="s">
        <v>123</v>
      </c>
      <c r="J536" s="8" t="s">
        <v>665</v>
      </c>
      <c r="K536" s="8" t="s">
        <v>310</v>
      </c>
      <c r="L536" s="8" t="s">
        <v>666</v>
      </c>
      <c r="M536" s="8" t="s">
        <v>2785</v>
      </c>
      <c r="N536" s="8" t="s">
        <v>639</v>
      </c>
      <c r="O536" s="8">
        <v>607.13</v>
      </c>
      <c r="P536" s="8">
        <v>674.59</v>
      </c>
      <c r="Q536" s="8" t="s">
        <v>2569</v>
      </c>
      <c r="R536" s="8" t="s">
        <v>1503</v>
      </c>
    </row>
    <row r="537" spans="1:20" x14ac:dyDescent="0.2">
      <c r="A537" s="8" t="s">
        <v>2948</v>
      </c>
      <c r="B537" s="8" t="str">
        <f t="shared" si="16"/>
        <v>1586243924</v>
      </c>
      <c r="C537" s="8" t="str">
        <f t="shared" si="17"/>
        <v>572</v>
      </c>
      <c r="D537" s="8" t="s">
        <v>119</v>
      </c>
      <c r="F537" s="8" t="s">
        <v>128</v>
      </c>
      <c r="G537" s="8" t="s">
        <v>639</v>
      </c>
      <c r="H537" s="8" t="s">
        <v>640</v>
      </c>
      <c r="I537" s="8" t="s">
        <v>123</v>
      </c>
      <c r="J537" s="8" t="s">
        <v>665</v>
      </c>
      <c r="K537" s="8" t="s">
        <v>310</v>
      </c>
      <c r="L537" s="8" t="s">
        <v>666</v>
      </c>
      <c r="M537" s="8" t="s">
        <v>2785</v>
      </c>
      <c r="N537" s="8" t="s">
        <v>639</v>
      </c>
      <c r="O537" s="8">
        <v>607.13</v>
      </c>
      <c r="P537" s="8">
        <v>674.59</v>
      </c>
      <c r="Q537" s="8" t="s">
        <v>2569</v>
      </c>
      <c r="R537" s="8" t="s">
        <v>1738</v>
      </c>
    </row>
    <row r="538" spans="1:20" x14ac:dyDescent="0.2">
      <c r="A538" s="8" t="s">
        <v>4340</v>
      </c>
      <c r="B538" s="8" t="str">
        <f t="shared" si="16"/>
        <v>1586243924</v>
      </c>
      <c r="C538" s="8" t="str">
        <f t="shared" si="17"/>
        <v>573</v>
      </c>
      <c r="D538" s="8" t="s">
        <v>119</v>
      </c>
      <c r="F538" s="8" t="s">
        <v>128</v>
      </c>
      <c r="G538" s="8" t="s">
        <v>639</v>
      </c>
      <c r="H538" s="8" t="s">
        <v>640</v>
      </c>
      <c r="I538" s="8" t="s">
        <v>123</v>
      </c>
      <c r="J538" s="8" t="s">
        <v>665</v>
      </c>
      <c r="K538" s="8" t="s">
        <v>310</v>
      </c>
      <c r="L538" s="8" t="s">
        <v>666</v>
      </c>
      <c r="M538" s="8" t="s">
        <v>2785</v>
      </c>
      <c r="N538" s="8" t="s">
        <v>639</v>
      </c>
      <c r="O538" s="8">
        <v>607.13</v>
      </c>
      <c r="P538" s="8">
        <v>674.59</v>
      </c>
      <c r="Q538" s="8" t="s">
        <v>2569</v>
      </c>
      <c r="S538" s="8" t="s">
        <v>331</v>
      </c>
      <c r="T538" s="8">
        <v>104.02</v>
      </c>
    </row>
    <row r="539" spans="1:20" x14ac:dyDescent="0.2">
      <c r="A539" s="8" t="s">
        <v>3591</v>
      </c>
      <c r="B539" s="8" t="str">
        <f t="shared" si="16"/>
        <v>1586243924</v>
      </c>
      <c r="C539" s="8" t="str">
        <f t="shared" si="17"/>
        <v>574</v>
      </c>
      <c r="D539" s="8" t="s">
        <v>119</v>
      </c>
      <c r="F539" s="8" t="s">
        <v>128</v>
      </c>
      <c r="G539" s="8" t="s">
        <v>639</v>
      </c>
      <c r="H539" s="8" t="s">
        <v>640</v>
      </c>
      <c r="I539" s="8" t="s">
        <v>123</v>
      </c>
      <c r="J539" s="8" t="s">
        <v>665</v>
      </c>
      <c r="K539" s="8" t="s">
        <v>310</v>
      </c>
      <c r="L539" s="8" t="s">
        <v>666</v>
      </c>
      <c r="M539" s="8" t="s">
        <v>2785</v>
      </c>
      <c r="N539" s="8" t="s">
        <v>639</v>
      </c>
      <c r="O539" s="8">
        <v>607.13</v>
      </c>
      <c r="P539" s="8">
        <v>674.59</v>
      </c>
      <c r="Q539" s="8" t="s">
        <v>2569</v>
      </c>
      <c r="S539" s="8" t="s">
        <v>393</v>
      </c>
      <c r="T539" s="8">
        <v>162.30000000000001</v>
      </c>
    </row>
    <row r="540" spans="1:20" x14ac:dyDescent="0.2">
      <c r="A540" s="8" t="s">
        <v>3734</v>
      </c>
      <c r="B540" s="8" t="str">
        <f t="shared" si="16"/>
        <v>1586243924</v>
      </c>
      <c r="C540" s="8" t="str">
        <f t="shared" si="17"/>
        <v>575</v>
      </c>
      <c r="D540" s="8" t="s">
        <v>119</v>
      </c>
      <c r="F540" s="8" t="s">
        <v>128</v>
      </c>
      <c r="G540" s="8" t="s">
        <v>639</v>
      </c>
      <c r="H540" s="8" t="s">
        <v>640</v>
      </c>
      <c r="I540" s="8" t="s">
        <v>123</v>
      </c>
      <c r="J540" s="8" t="s">
        <v>665</v>
      </c>
      <c r="K540" s="8" t="s">
        <v>310</v>
      </c>
      <c r="L540" s="8" t="s">
        <v>666</v>
      </c>
      <c r="M540" s="8" t="s">
        <v>2785</v>
      </c>
      <c r="N540" s="8" t="s">
        <v>639</v>
      </c>
      <c r="O540" s="8">
        <v>607.13</v>
      </c>
      <c r="P540" s="8">
        <v>674.59</v>
      </c>
      <c r="Q540" s="8" t="s">
        <v>2569</v>
      </c>
      <c r="S540" s="8" t="s">
        <v>767</v>
      </c>
      <c r="T540" s="8">
        <v>51.64</v>
      </c>
    </row>
    <row r="541" spans="1:20" x14ac:dyDescent="0.2">
      <c r="A541" s="8" t="s">
        <v>3302</v>
      </c>
      <c r="B541" s="8" t="str">
        <f t="shared" si="16"/>
        <v>1586243928</v>
      </c>
      <c r="C541" s="8" t="str">
        <f t="shared" si="17"/>
        <v>576</v>
      </c>
      <c r="D541" s="8" t="s">
        <v>119</v>
      </c>
      <c r="F541" s="8" t="s">
        <v>128</v>
      </c>
      <c r="G541" s="8" t="s">
        <v>129</v>
      </c>
      <c r="H541" s="8" t="s">
        <v>130</v>
      </c>
      <c r="I541" s="8" t="s">
        <v>193</v>
      </c>
      <c r="J541" s="8" t="s">
        <v>194</v>
      </c>
      <c r="K541" s="8" t="s">
        <v>195</v>
      </c>
      <c r="L541" s="8" t="s">
        <v>196</v>
      </c>
      <c r="M541" s="8" t="s">
        <v>2785</v>
      </c>
      <c r="N541" s="8" t="s">
        <v>129</v>
      </c>
      <c r="O541" s="8">
        <v>739.92</v>
      </c>
      <c r="P541" s="8">
        <v>822.13</v>
      </c>
      <c r="Q541" s="8" t="s">
        <v>2570</v>
      </c>
      <c r="R541" s="8" t="s">
        <v>1239</v>
      </c>
    </row>
    <row r="542" spans="1:20" x14ac:dyDescent="0.2">
      <c r="A542" s="8" t="s">
        <v>4762</v>
      </c>
      <c r="B542" s="8" t="str">
        <f t="shared" si="16"/>
        <v>1586243928</v>
      </c>
      <c r="C542" s="8" t="str">
        <f t="shared" si="17"/>
        <v>577</v>
      </c>
      <c r="D542" s="8" t="s">
        <v>119</v>
      </c>
      <c r="F542" s="8" t="s">
        <v>128</v>
      </c>
      <c r="G542" s="8" t="s">
        <v>129</v>
      </c>
      <c r="H542" s="8" t="s">
        <v>130</v>
      </c>
      <c r="I542" s="8" t="s">
        <v>193</v>
      </c>
      <c r="J542" s="8" t="s">
        <v>194</v>
      </c>
      <c r="K542" s="8" t="s">
        <v>195</v>
      </c>
      <c r="L542" s="8" t="s">
        <v>196</v>
      </c>
      <c r="M542" s="8" t="s">
        <v>2785</v>
      </c>
      <c r="N542" s="8" t="s">
        <v>129</v>
      </c>
      <c r="O542" s="8">
        <v>739.92</v>
      </c>
      <c r="P542" s="8">
        <v>822.13</v>
      </c>
      <c r="Q542" s="8" t="s">
        <v>2570</v>
      </c>
      <c r="R542" s="8" t="s">
        <v>638</v>
      </c>
    </row>
    <row r="543" spans="1:20" x14ac:dyDescent="0.2">
      <c r="A543" s="8" t="s">
        <v>3462</v>
      </c>
      <c r="B543" s="8" t="str">
        <f t="shared" si="16"/>
        <v>1586243928</v>
      </c>
      <c r="C543" s="8" t="str">
        <f t="shared" si="17"/>
        <v>578</v>
      </c>
      <c r="D543" s="8" t="s">
        <v>119</v>
      </c>
      <c r="F543" s="8" t="s">
        <v>128</v>
      </c>
      <c r="G543" s="8" t="s">
        <v>129</v>
      </c>
      <c r="H543" s="8" t="s">
        <v>130</v>
      </c>
      <c r="I543" s="8" t="s">
        <v>193</v>
      </c>
      <c r="J543" s="8" t="s">
        <v>194</v>
      </c>
      <c r="K543" s="8" t="s">
        <v>195</v>
      </c>
      <c r="L543" s="8" t="s">
        <v>196</v>
      </c>
      <c r="M543" s="8" t="s">
        <v>2785</v>
      </c>
      <c r="N543" s="8" t="s">
        <v>129</v>
      </c>
      <c r="O543" s="8">
        <v>739.92</v>
      </c>
      <c r="P543" s="8">
        <v>822.13</v>
      </c>
      <c r="Q543" s="8" t="s">
        <v>2570</v>
      </c>
      <c r="R543" s="8" t="s">
        <v>1990</v>
      </c>
    </row>
    <row r="544" spans="1:20" x14ac:dyDescent="0.2">
      <c r="A544" s="8" t="s">
        <v>4635</v>
      </c>
      <c r="B544" s="8" t="str">
        <f t="shared" si="16"/>
        <v>1586243928</v>
      </c>
      <c r="C544" s="8" t="str">
        <f t="shared" si="17"/>
        <v>579</v>
      </c>
      <c r="D544" s="8" t="s">
        <v>119</v>
      </c>
      <c r="F544" s="8" t="s">
        <v>128</v>
      </c>
      <c r="G544" s="8" t="s">
        <v>129</v>
      </c>
      <c r="H544" s="8" t="s">
        <v>130</v>
      </c>
      <c r="I544" s="8" t="s">
        <v>193</v>
      </c>
      <c r="J544" s="8" t="s">
        <v>194</v>
      </c>
      <c r="K544" s="8" t="s">
        <v>195</v>
      </c>
      <c r="L544" s="8" t="s">
        <v>196</v>
      </c>
      <c r="M544" s="8" t="s">
        <v>2785</v>
      </c>
      <c r="N544" s="8" t="s">
        <v>129</v>
      </c>
      <c r="O544" s="8">
        <v>739.92</v>
      </c>
      <c r="P544" s="8">
        <v>822.13</v>
      </c>
      <c r="Q544" s="8" t="s">
        <v>2570</v>
      </c>
      <c r="R544" s="8" t="s">
        <v>1504</v>
      </c>
    </row>
    <row r="545" spans="1:20" x14ac:dyDescent="0.2">
      <c r="A545" s="8" t="s">
        <v>4288</v>
      </c>
      <c r="B545" s="8" t="str">
        <f t="shared" si="16"/>
        <v>1586243928</v>
      </c>
      <c r="C545" s="8" t="str">
        <f t="shared" si="17"/>
        <v>580</v>
      </c>
      <c r="D545" s="8" t="s">
        <v>119</v>
      </c>
      <c r="F545" s="8" t="s">
        <v>128</v>
      </c>
      <c r="G545" s="8" t="s">
        <v>129</v>
      </c>
      <c r="H545" s="8" t="s">
        <v>130</v>
      </c>
      <c r="I545" s="8" t="s">
        <v>193</v>
      </c>
      <c r="J545" s="8" t="s">
        <v>194</v>
      </c>
      <c r="K545" s="8" t="s">
        <v>195</v>
      </c>
      <c r="L545" s="8" t="s">
        <v>196</v>
      </c>
      <c r="M545" s="8" t="s">
        <v>2785</v>
      </c>
      <c r="N545" s="8" t="s">
        <v>129</v>
      </c>
      <c r="O545" s="8">
        <v>739.92</v>
      </c>
      <c r="P545" s="8">
        <v>822.13</v>
      </c>
      <c r="Q545" s="8" t="s">
        <v>2570</v>
      </c>
      <c r="R545" s="8" t="s">
        <v>2087</v>
      </c>
    </row>
    <row r="546" spans="1:20" x14ac:dyDescent="0.2">
      <c r="A546" s="8" t="s">
        <v>2982</v>
      </c>
      <c r="B546" s="8" t="str">
        <f t="shared" si="16"/>
        <v>1586243928</v>
      </c>
      <c r="C546" s="8" t="str">
        <f t="shared" si="17"/>
        <v>581</v>
      </c>
      <c r="D546" s="8" t="s">
        <v>119</v>
      </c>
      <c r="F546" s="8" t="s">
        <v>128</v>
      </c>
      <c r="G546" s="8" t="s">
        <v>129</v>
      </c>
      <c r="H546" s="8" t="s">
        <v>130</v>
      </c>
      <c r="I546" s="8" t="s">
        <v>193</v>
      </c>
      <c r="J546" s="8" t="s">
        <v>194</v>
      </c>
      <c r="K546" s="8" t="s">
        <v>195</v>
      </c>
      <c r="L546" s="8" t="s">
        <v>196</v>
      </c>
      <c r="M546" s="8" t="s">
        <v>2785</v>
      </c>
      <c r="N546" s="8" t="s">
        <v>129</v>
      </c>
      <c r="O546" s="8">
        <v>739.92</v>
      </c>
      <c r="P546" s="8">
        <v>822.13</v>
      </c>
      <c r="Q546" s="8" t="s">
        <v>2570</v>
      </c>
      <c r="S546" s="8" t="s">
        <v>1047</v>
      </c>
      <c r="T546" s="8">
        <v>207.3</v>
      </c>
    </row>
    <row r="547" spans="1:20" x14ac:dyDescent="0.2">
      <c r="A547" s="8" t="s">
        <v>3909</v>
      </c>
      <c r="B547" s="8" t="str">
        <f t="shared" si="16"/>
        <v>1586243928</v>
      </c>
      <c r="C547" s="8" t="str">
        <f t="shared" si="17"/>
        <v>582</v>
      </c>
      <c r="D547" s="8" t="s">
        <v>119</v>
      </c>
      <c r="F547" s="8" t="s">
        <v>128</v>
      </c>
      <c r="G547" s="8" t="s">
        <v>129</v>
      </c>
      <c r="H547" s="8" t="s">
        <v>130</v>
      </c>
      <c r="I547" s="8" t="s">
        <v>193</v>
      </c>
      <c r="J547" s="8" t="s">
        <v>194</v>
      </c>
      <c r="K547" s="8" t="s">
        <v>195</v>
      </c>
      <c r="L547" s="8" t="s">
        <v>196</v>
      </c>
      <c r="M547" s="8" t="s">
        <v>2785</v>
      </c>
      <c r="N547" s="8" t="s">
        <v>129</v>
      </c>
      <c r="O547" s="8">
        <v>739.92</v>
      </c>
      <c r="P547" s="8">
        <v>822.13</v>
      </c>
      <c r="Q547" s="8" t="s">
        <v>2570</v>
      </c>
      <c r="S547" s="8" t="s">
        <v>184</v>
      </c>
      <c r="T547" s="8">
        <v>169.67</v>
      </c>
    </row>
    <row r="548" spans="1:20" x14ac:dyDescent="0.2">
      <c r="A548" s="8" t="s">
        <v>4521</v>
      </c>
      <c r="B548" s="8" t="str">
        <f t="shared" si="16"/>
        <v>1586243928</v>
      </c>
      <c r="C548" s="8" t="str">
        <f t="shared" si="17"/>
        <v>583</v>
      </c>
      <c r="D548" s="8" t="s">
        <v>119</v>
      </c>
      <c r="F548" s="8" t="s">
        <v>128</v>
      </c>
      <c r="G548" s="8" t="s">
        <v>129</v>
      </c>
      <c r="H548" s="8" t="s">
        <v>130</v>
      </c>
      <c r="I548" s="8" t="s">
        <v>193</v>
      </c>
      <c r="J548" s="8" t="s">
        <v>194</v>
      </c>
      <c r="K548" s="8" t="s">
        <v>195</v>
      </c>
      <c r="L548" s="8" t="s">
        <v>196</v>
      </c>
      <c r="M548" s="8" t="s">
        <v>2785</v>
      </c>
      <c r="N548" s="8" t="s">
        <v>129</v>
      </c>
      <c r="O548" s="8">
        <v>739.92</v>
      </c>
      <c r="P548" s="8">
        <v>822.13</v>
      </c>
      <c r="Q548" s="8" t="s">
        <v>2570</v>
      </c>
      <c r="S548" s="8" t="s">
        <v>420</v>
      </c>
      <c r="T548" s="8">
        <v>96.64</v>
      </c>
    </row>
    <row r="549" spans="1:20" x14ac:dyDescent="0.2">
      <c r="A549" s="8" t="s">
        <v>3275</v>
      </c>
      <c r="B549" s="8" t="str">
        <f t="shared" si="16"/>
        <v>1586243928</v>
      </c>
      <c r="C549" s="8" t="str">
        <f t="shared" si="17"/>
        <v>584</v>
      </c>
      <c r="D549" s="8" t="s">
        <v>119</v>
      </c>
      <c r="F549" s="8" t="s">
        <v>128</v>
      </c>
      <c r="G549" s="8" t="s">
        <v>129</v>
      </c>
      <c r="H549" s="8" t="s">
        <v>130</v>
      </c>
      <c r="I549" s="8" t="s">
        <v>193</v>
      </c>
      <c r="J549" s="8" t="s">
        <v>194</v>
      </c>
      <c r="K549" s="8" t="s">
        <v>195</v>
      </c>
      <c r="L549" s="8" t="s">
        <v>196</v>
      </c>
      <c r="M549" s="8" t="s">
        <v>2785</v>
      </c>
      <c r="N549" s="8" t="s">
        <v>129</v>
      </c>
      <c r="O549" s="8">
        <v>739.92</v>
      </c>
      <c r="P549" s="8">
        <v>822.13</v>
      </c>
      <c r="Q549" s="8" t="s">
        <v>2570</v>
      </c>
      <c r="S549" s="8" t="s">
        <v>664</v>
      </c>
      <c r="T549" s="8">
        <v>53.85</v>
      </c>
    </row>
    <row r="550" spans="1:20" x14ac:dyDescent="0.2">
      <c r="A550" s="8" t="s">
        <v>4778</v>
      </c>
      <c r="B550" s="8" t="str">
        <f t="shared" si="16"/>
        <v>1586243930</v>
      </c>
      <c r="C550" s="8" t="str">
        <f t="shared" si="17"/>
        <v>585</v>
      </c>
      <c r="D550" s="8" t="s">
        <v>119</v>
      </c>
      <c r="F550" s="8" t="s">
        <v>128</v>
      </c>
      <c r="G550" s="8" t="s">
        <v>129</v>
      </c>
      <c r="H550" s="8" t="s">
        <v>130</v>
      </c>
      <c r="I550" s="8" t="s">
        <v>131</v>
      </c>
      <c r="J550" s="8" t="s">
        <v>1624</v>
      </c>
      <c r="K550" s="8" t="s">
        <v>195</v>
      </c>
      <c r="L550" s="8" t="s">
        <v>196</v>
      </c>
      <c r="M550" s="8" t="s">
        <v>2785</v>
      </c>
      <c r="N550" s="8" t="s">
        <v>129</v>
      </c>
      <c r="O550" s="8">
        <v>739.92</v>
      </c>
      <c r="P550" s="8">
        <v>822.13</v>
      </c>
      <c r="Q550" s="8" t="s">
        <v>2571</v>
      </c>
      <c r="R550" s="8" t="s">
        <v>1984</v>
      </c>
    </row>
    <row r="551" spans="1:20" x14ac:dyDescent="0.2">
      <c r="A551" s="8" t="s">
        <v>3349</v>
      </c>
      <c r="B551" s="8" t="str">
        <f t="shared" si="16"/>
        <v>1586243930</v>
      </c>
      <c r="C551" s="8" t="str">
        <f t="shared" si="17"/>
        <v>586</v>
      </c>
      <c r="D551" s="8" t="s">
        <v>119</v>
      </c>
      <c r="F551" s="8" t="s">
        <v>128</v>
      </c>
      <c r="G551" s="8" t="s">
        <v>129</v>
      </c>
      <c r="H551" s="8" t="s">
        <v>130</v>
      </c>
      <c r="I551" s="8" t="s">
        <v>131</v>
      </c>
      <c r="J551" s="8" t="s">
        <v>1624</v>
      </c>
      <c r="K551" s="8" t="s">
        <v>195</v>
      </c>
      <c r="L551" s="8" t="s">
        <v>196</v>
      </c>
      <c r="M551" s="8" t="s">
        <v>2785</v>
      </c>
      <c r="N551" s="8" t="s">
        <v>129</v>
      </c>
      <c r="O551" s="8">
        <v>739.92</v>
      </c>
      <c r="P551" s="8">
        <v>822.13</v>
      </c>
      <c r="Q551" s="8" t="s">
        <v>2571</v>
      </c>
      <c r="R551" s="8" t="s">
        <v>2096</v>
      </c>
    </row>
    <row r="552" spans="1:20" x14ac:dyDescent="0.2">
      <c r="A552" s="8" t="s">
        <v>3665</v>
      </c>
      <c r="B552" s="8" t="str">
        <f t="shared" si="16"/>
        <v>1586243930</v>
      </c>
      <c r="C552" s="8" t="str">
        <f t="shared" si="17"/>
        <v>587</v>
      </c>
      <c r="D552" s="8" t="s">
        <v>119</v>
      </c>
      <c r="F552" s="8" t="s">
        <v>128</v>
      </c>
      <c r="G552" s="8" t="s">
        <v>129</v>
      </c>
      <c r="H552" s="8" t="s">
        <v>130</v>
      </c>
      <c r="I552" s="8" t="s">
        <v>131</v>
      </c>
      <c r="J552" s="8" t="s">
        <v>1624</v>
      </c>
      <c r="K552" s="8" t="s">
        <v>195</v>
      </c>
      <c r="L552" s="8" t="s">
        <v>196</v>
      </c>
      <c r="M552" s="8" t="s">
        <v>2785</v>
      </c>
      <c r="N552" s="8" t="s">
        <v>129</v>
      </c>
      <c r="O552" s="8">
        <v>739.92</v>
      </c>
      <c r="P552" s="8">
        <v>822.13</v>
      </c>
      <c r="Q552" s="8" t="s">
        <v>2571</v>
      </c>
      <c r="R552" s="8" t="s">
        <v>2085</v>
      </c>
    </row>
    <row r="553" spans="1:20" x14ac:dyDescent="0.2">
      <c r="A553" s="8" t="s">
        <v>4036</v>
      </c>
      <c r="B553" s="8" t="str">
        <f t="shared" si="16"/>
        <v>1586243930</v>
      </c>
      <c r="C553" s="8" t="str">
        <f t="shared" si="17"/>
        <v>588</v>
      </c>
      <c r="D553" s="8" t="s">
        <v>119</v>
      </c>
      <c r="F553" s="8" t="s">
        <v>128</v>
      </c>
      <c r="G553" s="8" t="s">
        <v>129</v>
      </c>
      <c r="H553" s="8" t="s">
        <v>130</v>
      </c>
      <c r="I553" s="8" t="s">
        <v>131</v>
      </c>
      <c r="J553" s="8" t="s">
        <v>1624</v>
      </c>
      <c r="K553" s="8" t="s">
        <v>195</v>
      </c>
      <c r="L553" s="8" t="s">
        <v>196</v>
      </c>
      <c r="M553" s="8" t="s">
        <v>2785</v>
      </c>
      <c r="N553" s="8" t="s">
        <v>129</v>
      </c>
      <c r="O553" s="8">
        <v>739.92</v>
      </c>
      <c r="P553" s="8">
        <v>822.13</v>
      </c>
      <c r="Q553" s="8" t="s">
        <v>2571</v>
      </c>
      <c r="S553" s="8" t="s">
        <v>142</v>
      </c>
      <c r="T553" s="8">
        <v>87.05</v>
      </c>
    </row>
    <row r="554" spans="1:20" x14ac:dyDescent="0.2">
      <c r="A554" s="8" t="s">
        <v>4743</v>
      </c>
      <c r="B554" s="8" t="str">
        <f t="shared" si="16"/>
        <v>1586243930</v>
      </c>
      <c r="C554" s="8" t="str">
        <f t="shared" si="17"/>
        <v>589</v>
      </c>
      <c r="D554" s="8" t="s">
        <v>119</v>
      </c>
      <c r="F554" s="8" t="s">
        <v>128</v>
      </c>
      <c r="G554" s="8" t="s">
        <v>129</v>
      </c>
      <c r="H554" s="8" t="s">
        <v>130</v>
      </c>
      <c r="I554" s="8" t="s">
        <v>131</v>
      </c>
      <c r="J554" s="8" t="s">
        <v>1624</v>
      </c>
      <c r="K554" s="8" t="s">
        <v>195</v>
      </c>
      <c r="L554" s="8" t="s">
        <v>196</v>
      </c>
      <c r="M554" s="8" t="s">
        <v>2785</v>
      </c>
      <c r="N554" s="8" t="s">
        <v>129</v>
      </c>
      <c r="O554" s="8">
        <v>739.92</v>
      </c>
      <c r="P554" s="8">
        <v>822.13</v>
      </c>
      <c r="Q554" s="8" t="s">
        <v>2571</v>
      </c>
      <c r="S554" s="8" t="s">
        <v>184</v>
      </c>
      <c r="T554" s="8">
        <v>169.67</v>
      </c>
    </row>
    <row r="555" spans="1:20" x14ac:dyDescent="0.2">
      <c r="A555" s="8" t="s">
        <v>3165</v>
      </c>
      <c r="B555" s="8" t="str">
        <f t="shared" si="16"/>
        <v>1586243930</v>
      </c>
      <c r="C555" s="8" t="str">
        <f t="shared" si="17"/>
        <v>590</v>
      </c>
      <c r="D555" s="8" t="s">
        <v>119</v>
      </c>
      <c r="F555" s="8" t="s">
        <v>128</v>
      </c>
      <c r="G555" s="8" t="s">
        <v>129</v>
      </c>
      <c r="H555" s="8" t="s">
        <v>130</v>
      </c>
      <c r="I555" s="8" t="s">
        <v>131</v>
      </c>
      <c r="J555" s="8" t="s">
        <v>1624</v>
      </c>
      <c r="K555" s="8" t="s">
        <v>195</v>
      </c>
      <c r="L555" s="8" t="s">
        <v>196</v>
      </c>
      <c r="M555" s="8" t="s">
        <v>2785</v>
      </c>
      <c r="N555" s="8" t="s">
        <v>129</v>
      </c>
      <c r="O555" s="8">
        <v>739.92</v>
      </c>
      <c r="P555" s="8">
        <v>822.13</v>
      </c>
      <c r="Q555" s="8" t="s">
        <v>2571</v>
      </c>
      <c r="S555" s="8" t="s">
        <v>420</v>
      </c>
      <c r="T555" s="8">
        <v>96.64</v>
      </c>
    </row>
    <row r="556" spans="1:20" x14ac:dyDescent="0.2">
      <c r="A556" s="8" t="s">
        <v>4290</v>
      </c>
      <c r="B556" s="8" t="str">
        <f t="shared" si="16"/>
        <v>1586243930</v>
      </c>
      <c r="C556" s="8" t="str">
        <f t="shared" si="17"/>
        <v>591</v>
      </c>
      <c r="D556" s="8" t="s">
        <v>119</v>
      </c>
      <c r="F556" s="8" t="s">
        <v>128</v>
      </c>
      <c r="G556" s="8" t="s">
        <v>129</v>
      </c>
      <c r="H556" s="8" t="s">
        <v>130</v>
      </c>
      <c r="I556" s="8" t="s">
        <v>131</v>
      </c>
      <c r="J556" s="8" t="s">
        <v>1624</v>
      </c>
      <c r="K556" s="8" t="s">
        <v>195</v>
      </c>
      <c r="L556" s="8" t="s">
        <v>196</v>
      </c>
      <c r="M556" s="8" t="s">
        <v>2785</v>
      </c>
      <c r="N556" s="8" t="s">
        <v>129</v>
      </c>
      <c r="O556" s="8">
        <v>739.92</v>
      </c>
      <c r="P556" s="8">
        <v>822.13</v>
      </c>
      <c r="Q556" s="8" t="s">
        <v>2571</v>
      </c>
      <c r="S556" s="8" t="s">
        <v>664</v>
      </c>
      <c r="T556" s="8">
        <v>53.85</v>
      </c>
    </row>
    <row r="557" spans="1:20" x14ac:dyDescent="0.2">
      <c r="A557" s="8" t="s">
        <v>4723</v>
      </c>
      <c r="B557" s="8" t="str">
        <f t="shared" si="16"/>
        <v>1586243932</v>
      </c>
      <c r="C557" s="8" t="str">
        <f t="shared" si="17"/>
        <v>592</v>
      </c>
      <c r="D557" s="8" t="s">
        <v>119</v>
      </c>
      <c r="F557" s="8" t="s">
        <v>128</v>
      </c>
      <c r="G557" s="8" t="s">
        <v>129</v>
      </c>
      <c r="H557" s="8" t="s">
        <v>130</v>
      </c>
      <c r="I557" s="8" t="s">
        <v>193</v>
      </c>
      <c r="J557" s="8" t="s">
        <v>1044</v>
      </c>
      <c r="K557" s="8" t="s">
        <v>1045</v>
      </c>
      <c r="L557" s="8" t="s">
        <v>1046</v>
      </c>
      <c r="M557" s="8" t="s">
        <v>2785</v>
      </c>
      <c r="N557" s="8" t="s">
        <v>129</v>
      </c>
      <c r="O557" s="8">
        <v>844.67</v>
      </c>
      <c r="P557" s="8">
        <v>938.52</v>
      </c>
      <c r="Q557" s="8" t="s">
        <v>2572</v>
      </c>
      <c r="R557" s="8" t="s">
        <v>2429</v>
      </c>
    </row>
    <row r="558" spans="1:20" x14ac:dyDescent="0.2">
      <c r="A558" s="8" t="s">
        <v>4707</v>
      </c>
      <c r="B558" s="8" t="str">
        <f t="shared" si="16"/>
        <v>1586243932</v>
      </c>
      <c r="C558" s="8" t="str">
        <f t="shared" si="17"/>
        <v>593</v>
      </c>
      <c r="D558" s="8" t="s">
        <v>119</v>
      </c>
      <c r="F558" s="8" t="s">
        <v>128</v>
      </c>
      <c r="G558" s="8" t="s">
        <v>129</v>
      </c>
      <c r="H558" s="8" t="s">
        <v>130</v>
      </c>
      <c r="I558" s="8" t="s">
        <v>193</v>
      </c>
      <c r="J558" s="8" t="s">
        <v>1044</v>
      </c>
      <c r="K558" s="8" t="s">
        <v>1045</v>
      </c>
      <c r="L558" s="8" t="s">
        <v>1046</v>
      </c>
      <c r="M558" s="8" t="s">
        <v>2785</v>
      </c>
      <c r="N558" s="8" t="s">
        <v>129</v>
      </c>
      <c r="O558" s="8">
        <v>844.67</v>
      </c>
      <c r="P558" s="8">
        <v>938.52</v>
      </c>
      <c r="Q558" s="8" t="s">
        <v>2572</v>
      </c>
      <c r="R558" s="8" t="s">
        <v>1997</v>
      </c>
    </row>
    <row r="559" spans="1:20" x14ac:dyDescent="0.2">
      <c r="A559" s="8" t="s">
        <v>4801</v>
      </c>
      <c r="B559" s="8" t="str">
        <f t="shared" si="16"/>
        <v>1586243932</v>
      </c>
      <c r="C559" s="8" t="str">
        <f t="shared" si="17"/>
        <v>594</v>
      </c>
      <c r="D559" s="8" t="s">
        <v>119</v>
      </c>
      <c r="F559" s="8" t="s">
        <v>128</v>
      </c>
      <c r="G559" s="8" t="s">
        <v>129</v>
      </c>
      <c r="H559" s="8" t="s">
        <v>130</v>
      </c>
      <c r="I559" s="8" t="s">
        <v>193</v>
      </c>
      <c r="J559" s="8" t="s">
        <v>1044</v>
      </c>
      <c r="K559" s="8" t="s">
        <v>1045</v>
      </c>
      <c r="L559" s="8" t="s">
        <v>1046</v>
      </c>
      <c r="M559" s="8" t="s">
        <v>2785</v>
      </c>
      <c r="N559" s="8" t="s">
        <v>129</v>
      </c>
      <c r="O559" s="8">
        <v>844.67</v>
      </c>
      <c r="P559" s="8">
        <v>938.52</v>
      </c>
      <c r="Q559" s="8" t="s">
        <v>2572</v>
      </c>
      <c r="R559" s="8" t="s">
        <v>1585</v>
      </c>
    </row>
    <row r="560" spans="1:20" x14ac:dyDescent="0.2">
      <c r="A560" s="8" t="s">
        <v>4226</v>
      </c>
      <c r="B560" s="8" t="str">
        <f t="shared" si="16"/>
        <v>1586243932</v>
      </c>
      <c r="C560" s="8" t="str">
        <f t="shared" si="17"/>
        <v>595</v>
      </c>
      <c r="D560" s="8" t="s">
        <v>119</v>
      </c>
      <c r="F560" s="8" t="s">
        <v>128</v>
      </c>
      <c r="G560" s="8" t="s">
        <v>129</v>
      </c>
      <c r="H560" s="8" t="s">
        <v>130</v>
      </c>
      <c r="I560" s="8" t="s">
        <v>193</v>
      </c>
      <c r="J560" s="8" t="s">
        <v>1044</v>
      </c>
      <c r="K560" s="8" t="s">
        <v>1045</v>
      </c>
      <c r="L560" s="8" t="s">
        <v>1046</v>
      </c>
      <c r="M560" s="8" t="s">
        <v>2785</v>
      </c>
      <c r="N560" s="8" t="s">
        <v>129</v>
      </c>
      <c r="O560" s="8">
        <v>844.67</v>
      </c>
      <c r="P560" s="8">
        <v>938.52</v>
      </c>
      <c r="Q560" s="8" t="s">
        <v>2572</v>
      </c>
      <c r="R560" s="8" t="s">
        <v>2422</v>
      </c>
    </row>
    <row r="561" spans="1:20" x14ac:dyDescent="0.2">
      <c r="A561" s="8" t="s">
        <v>3726</v>
      </c>
      <c r="B561" s="8" t="str">
        <f t="shared" si="16"/>
        <v>1586243932</v>
      </c>
      <c r="C561" s="8" t="str">
        <f t="shared" si="17"/>
        <v>596</v>
      </c>
      <c r="D561" s="8" t="s">
        <v>119</v>
      </c>
      <c r="F561" s="8" t="s">
        <v>128</v>
      </c>
      <c r="G561" s="8" t="s">
        <v>129</v>
      </c>
      <c r="H561" s="8" t="s">
        <v>130</v>
      </c>
      <c r="I561" s="8" t="s">
        <v>193</v>
      </c>
      <c r="J561" s="8" t="s">
        <v>1044</v>
      </c>
      <c r="K561" s="8" t="s">
        <v>1045</v>
      </c>
      <c r="L561" s="8" t="s">
        <v>1046</v>
      </c>
      <c r="M561" s="8" t="s">
        <v>2785</v>
      </c>
      <c r="N561" s="8" t="s">
        <v>129</v>
      </c>
      <c r="O561" s="8">
        <v>844.67</v>
      </c>
      <c r="P561" s="8">
        <v>938.52</v>
      </c>
      <c r="Q561" s="8" t="s">
        <v>2572</v>
      </c>
      <c r="R561" s="8" t="s">
        <v>1309</v>
      </c>
    </row>
    <row r="562" spans="1:20" x14ac:dyDescent="0.2">
      <c r="A562" s="8" t="s">
        <v>3143</v>
      </c>
      <c r="B562" s="8" t="str">
        <f t="shared" si="16"/>
        <v>1586243932</v>
      </c>
      <c r="C562" s="8" t="str">
        <f t="shared" si="17"/>
        <v>597</v>
      </c>
      <c r="D562" s="8" t="s">
        <v>119</v>
      </c>
      <c r="F562" s="8" t="s">
        <v>128</v>
      </c>
      <c r="G562" s="8" t="s">
        <v>129</v>
      </c>
      <c r="H562" s="8" t="s">
        <v>130</v>
      </c>
      <c r="I562" s="8" t="s">
        <v>193</v>
      </c>
      <c r="J562" s="8" t="s">
        <v>1044</v>
      </c>
      <c r="K562" s="8" t="s">
        <v>1045</v>
      </c>
      <c r="L562" s="8" t="s">
        <v>1046</v>
      </c>
      <c r="M562" s="8" t="s">
        <v>2785</v>
      </c>
      <c r="N562" s="8" t="s">
        <v>129</v>
      </c>
      <c r="O562" s="8">
        <v>844.67</v>
      </c>
      <c r="P562" s="8">
        <v>938.52</v>
      </c>
      <c r="Q562" s="8" t="s">
        <v>2572</v>
      </c>
      <c r="R562" s="8" t="s">
        <v>1360</v>
      </c>
    </row>
    <row r="563" spans="1:20" x14ac:dyDescent="0.2">
      <c r="A563" s="8" t="s">
        <v>4138</v>
      </c>
      <c r="B563" s="8" t="str">
        <f t="shared" si="16"/>
        <v>1586243932</v>
      </c>
      <c r="C563" s="8" t="str">
        <f t="shared" si="17"/>
        <v>598</v>
      </c>
      <c r="D563" s="8" t="s">
        <v>119</v>
      </c>
      <c r="F563" s="8" t="s">
        <v>128</v>
      </c>
      <c r="G563" s="8" t="s">
        <v>129</v>
      </c>
      <c r="H563" s="8" t="s">
        <v>130</v>
      </c>
      <c r="I563" s="8" t="s">
        <v>193</v>
      </c>
      <c r="J563" s="8" t="s">
        <v>1044</v>
      </c>
      <c r="K563" s="8" t="s">
        <v>1045</v>
      </c>
      <c r="L563" s="8" t="s">
        <v>1046</v>
      </c>
      <c r="M563" s="8" t="s">
        <v>2785</v>
      </c>
      <c r="N563" s="8" t="s">
        <v>129</v>
      </c>
      <c r="O563" s="8">
        <v>844.67</v>
      </c>
      <c r="P563" s="8">
        <v>938.52</v>
      </c>
      <c r="Q563" s="8" t="s">
        <v>2572</v>
      </c>
      <c r="R563" s="8" t="s">
        <v>1355</v>
      </c>
    </row>
    <row r="564" spans="1:20" x14ac:dyDescent="0.2">
      <c r="A564" s="8" t="s">
        <v>3383</v>
      </c>
      <c r="B564" s="8" t="str">
        <f t="shared" si="16"/>
        <v>1586243932</v>
      </c>
      <c r="C564" s="8" t="str">
        <f t="shared" si="17"/>
        <v>599</v>
      </c>
      <c r="D564" s="8" t="s">
        <v>119</v>
      </c>
      <c r="F564" s="8" t="s">
        <v>128</v>
      </c>
      <c r="G564" s="8" t="s">
        <v>129</v>
      </c>
      <c r="H564" s="8" t="s">
        <v>130</v>
      </c>
      <c r="I564" s="8" t="s">
        <v>193</v>
      </c>
      <c r="J564" s="8" t="s">
        <v>1044</v>
      </c>
      <c r="K564" s="8" t="s">
        <v>1045</v>
      </c>
      <c r="L564" s="8" t="s">
        <v>1046</v>
      </c>
      <c r="M564" s="8" t="s">
        <v>2785</v>
      </c>
      <c r="N564" s="8" t="s">
        <v>129</v>
      </c>
      <c r="O564" s="8">
        <v>844.67</v>
      </c>
      <c r="P564" s="8">
        <v>938.52</v>
      </c>
      <c r="Q564" s="8" t="s">
        <v>2572</v>
      </c>
      <c r="R564" s="8" t="s">
        <v>2165</v>
      </c>
    </row>
    <row r="565" spans="1:20" x14ac:dyDescent="0.2">
      <c r="A565" s="8" t="s">
        <v>4127</v>
      </c>
      <c r="B565" s="8" t="str">
        <f t="shared" si="16"/>
        <v>1586243932</v>
      </c>
      <c r="C565" s="8" t="str">
        <f t="shared" si="17"/>
        <v>600</v>
      </c>
      <c r="D565" s="8" t="s">
        <v>119</v>
      </c>
      <c r="F565" s="8" t="s">
        <v>128</v>
      </c>
      <c r="G565" s="8" t="s">
        <v>129</v>
      </c>
      <c r="H565" s="8" t="s">
        <v>130</v>
      </c>
      <c r="I565" s="8" t="s">
        <v>193</v>
      </c>
      <c r="J565" s="8" t="s">
        <v>1044</v>
      </c>
      <c r="K565" s="8" t="s">
        <v>1045</v>
      </c>
      <c r="L565" s="8" t="s">
        <v>1046</v>
      </c>
      <c r="M565" s="8" t="s">
        <v>2785</v>
      </c>
      <c r="N565" s="8" t="s">
        <v>129</v>
      </c>
      <c r="O565" s="8">
        <v>844.67</v>
      </c>
      <c r="P565" s="8">
        <v>938.52</v>
      </c>
      <c r="Q565" s="8" t="s">
        <v>2572</v>
      </c>
      <c r="R565" s="8" t="s">
        <v>2458</v>
      </c>
    </row>
    <row r="566" spans="1:20" x14ac:dyDescent="0.2">
      <c r="A566" s="8" t="s">
        <v>3836</v>
      </c>
      <c r="B566" s="8" t="str">
        <f t="shared" si="16"/>
        <v>1586243932</v>
      </c>
      <c r="C566" s="8" t="str">
        <f t="shared" si="17"/>
        <v>601</v>
      </c>
      <c r="D566" s="8" t="s">
        <v>119</v>
      </c>
      <c r="F566" s="8" t="s">
        <v>128</v>
      </c>
      <c r="G566" s="8" t="s">
        <v>129</v>
      </c>
      <c r="H566" s="8" t="s">
        <v>130</v>
      </c>
      <c r="I566" s="8" t="s">
        <v>193</v>
      </c>
      <c r="J566" s="8" t="s">
        <v>1044</v>
      </c>
      <c r="K566" s="8" t="s">
        <v>1045</v>
      </c>
      <c r="L566" s="8" t="s">
        <v>1046</v>
      </c>
      <c r="M566" s="8" t="s">
        <v>2785</v>
      </c>
      <c r="N566" s="8" t="s">
        <v>129</v>
      </c>
      <c r="O566" s="8">
        <v>844.67</v>
      </c>
      <c r="P566" s="8">
        <v>938.52</v>
      </c>
      <c r="Q566" s="8" t="s">
        <v>2572</v>
      </c>
      <c r="S566" s="8" t="s">
        <v>1047</v>
      </c>
      <c r="T566" s="8">
        <v>207.3</v>
      </c>
    </row>
    <row r="567" spans="1:20" x14ac:dyDescent="0.2">
      <c r="A567" s="8" t="s">
        <v>4609</v>
      </c>
      <c r="B567" s="8" t="str">
        <f t="shared" si="16"/>
        <v>1586243932</v>
      </c>
      <c r="C567" s="8" t="str">
        <f t="shared" si="17"/>
        <v>602</v>
      </c>
      <c r="D567" s="8" t="s">
        <v>119</v>
      </c>
      <c r="F567" s="8" t="s">
        <v>128</v>
      </c>
      <c r="G567" s="8" t="s">
        <v>129</v>
      </c>
      <c r="H567" s="8" t="s">
        <v>130</v>
      </c>
      <c r="I567" s="8" t="s">
        <v>193</v>
      </c>
      <c r="J567" s="8" t="s">
        <v>1044</v>
      </c>
      <c r="K567" s="8" t="s">
        <v>1045</v>
      </c>
      <c r="L567" s="8" t="s">
        <v>1046</v>
      </c>
      <c r="M567" s="8" t="s">
        <v>2785</v>
      </c>
      <c r="N567" s="8" t="s">
        <v>129</v>
      </c>
      <c r="O567" s="8">
        <v>844.67</v>
      </c>
      <c r="P567" s="8">
        <v>938.52</v>
      </c>
      <c r="Q567" s="8" t="s">
        <v>2572</v>
      </c>
      <c r="S567" s="8" t="s">
        <v>184</v>
      </c>
      <c r="T567" s="8">
        <v>169.67</v>
      </c>
    </row>
    <row r="568" spans="1:20" x14ac:dyDescent="0.2">
      <c r="A568" s="8" t="s">
        <v>4033</v>
      </c>
      <c r="B568" s="8" t="str">
        <f t="shared" si="16"/>
        <v>1586243934</v>
      </c>
      <c r="C568" s="8" t="str">
        <f t="shared" si="17"/>
        <v>603</v>
      </c>
      <c r="D568" s="8" t="s">
        <v>119</v>
      </c>
      <c r="F568" s="8" t="s">
        <v>128</v>
      </c>
      <c r="G568" s="8" t="s">
        <v>129</v>
      </c>
      <c r="H568" s="8" t="s">
        <v>130</v>
      </c>
      <c r="I568" s="8" t="s">
        <v>131</v>
      </c>
      <c r="J568" s="8" t="s">
        <v>1089</v>
      </c>
      <c r="K568" s="8" t="s">
        <v>1090</v>
      </c>
      <c r="L568" s="8" t="s">
        <v>1091</v>
      </c>
      <c r="M568" s="8" t="s">
        <v>2785</v>
      </c>
      <c r="N568" s="8" t="s">
        <v>129</v>
      </c>
      <c r="O568" s="8">
        <v>844.67</v>
      </c>
      <c r="P568" s="8">
        <v>938.52</v>
      </c>
      <c r="Q568" s="8" t="s">
        <v>2573</v>
      </c>
      <c r="R568" s="8" t="s">
        <v>1347</v>
      </c>
    </row>
    <row r="569" spans="1:20" x14ac:dyDescent="0.2">
      <c r="A569" s="8" t="s">
        <v>4385</v>
      </c>
      <c r="B569" s="8" t="str">
        <f t="shared" si="16"/>
        <v>1586243934</v>
      </c>
      <c r="C569" s="8" t="str">
        <f t="shared" si="17"/>
        <v>604</v>
      </c>
      <c r="D569" s="8" t="s">
        <v>119</v>
      </c>
      <c r="F569" s="8" t="s">
        <v>128</v>
      </c>
      <c r="G569" s="8" t="s">
        <v>129</v>
      </c>
      <c r="H569" s="8" t="s">
        <v>130</v>
      </c>
      <c r="I569" s="8" t="s">
        <v>131</v>
      </c>
      <c r="J569" s="8" t="s">
        <v>1089</v>
      </c>
      <c r="K569" s="8" t="s">
        <v>1090</v>
      </c>
      <c r="L569" s="8" t="s">
        <v>1091</v>
      </c>
      <c r="M569" s="8" t="s">
        <v>2785</v>
      </c>
      <c r="N569" s="8" t="s">
        <v>129</v>
      </c>
      <c r="O569" s="8">
        <v>844.67</v>
      </c>
      <c r="P569" s="8">
        <v>938.52</v>
      </c>
      <c r="Q569" s="8" t="s">
        <v>2573</v>
      </c>
      <c r="R569" s="8" t="s">
        <v>1660</v>
      </c>
    </row>
    <row r="570" spans="1:20" x14ac:dyDescent="0.2">
      <c r="A570" s="8" t="s">
        <v>4488</v>
      </c>
      <c r="B570" s="8" t="str">
        <f t="shared" si="16"/>
        <v>1586243934</v>
      </c>
      <c r="C570" s="8" t="str">
        <f t="shared" si="17"/>
        <v>605</v>
      </c>
      <c r="D570" s="8" t="s">
        <v>119</v>
      </c>
      <c r="F570" s="8" t="s">
        <v>128</v>
      </c>
      <c r="G570" s="8" t="s">
        <v>129</v>
      </c>
      <c r="H570" s="8" t="s">
        <v>130</v>
      </c>
      <c r="I570" s="8" t="s">
        <v>131</v>
      </c>
      <c r="J570" s="8" t="s">
        <v>1089</v>
      </c>
      <c r="K570" s="8" t="s">
        <v>1090</v>
      </c>
      <c r="L570" s="8" t="s">
        <v>1091</v>
      </c>
      <c r="M570" s="8" t="s">
        <v>2785</v>
      </c>
      <c r="N570" s="8" t="s">
        <v>129</v>
      </c>
      <c r="O570" s="8">
        <v>844.67</v>
      </c>
      <c r="P570" s="8">
        <v>938.52</v>
      </c>
      <c r="Q570" s="8" t="s">
        <v>2573</v>
      </c>
      <c r="R570" s="8" t="s">
        <v>1284</v>
      </c>
    </row>
    <row r="571" spans="1:20" x14ac:dyDescent="0.2">
      <c r="A571" s="8" t="s">
        <v>2864</v>
      </c>
      <c r="B571" s="8" t="str">
        <f t="shared" si="16"/>
        <v>1586243934</v>
      </c>
      <c r="C571" s="8" t="str">
        <f t="shared" si="17"/>
        <v>606</v>
      </c>
      <c r="D571" s="8" t="s">
        <v>119</v>
      </c>
      <c r="F571" s="8" t="s">
        <v>128</v>
      </c>
      <c r="G571" s="8" t="s">
        <v>129</v>
      </c>
      <c r="H571" s="8" t="s">
        <v>130</v>
      </c>
      <c r="I571" s="8" t="s">
        <v>131</v>
      </c>
      <c r="J571" s="8" t="s">
        <v>1089</v>
      </c>
      <c r="K571" s="8" t="s">
        <v>1090</v>
      </c>
      <c r="L571" s="8" t="s">
        <v>1091</v>
      </c>
      <c r="M571" s="8" t="s">
        <v>2785</v>
      </c>
      <c r="N571" s="8" t="s">
        <v>129</v>
      </c>
      <c r="O571" s="8">
        <v>844.67</v>
      </c>
      <c r="P571" s="8">
        <v>938.52</v>
      </c>
      <c r="Q571" s="8" t="s">
        <v>2573</v>
      </c>
      <c r="R571" s="8" t="s">
        <v>1900</v>
      </c>
    </row>
    <row r="572" spans="1:20" x14ac:dyDescent="0.2">
      <c r="A572" s="8" t="s">
        <v>3327</v>
      </c>
      <c r="B572" s="8" t="str">
        <f t="shared" si="16"/>
        <v>1586243934</v>
      </c>
      <c r="C572" s="8" t="str">
        <f t="shared" si="17"/>
        <v>607</v>
      </c>
      <c r="D572" s="8" t="s">
        <v>119</v>
      </c>
      <c r="F572" s="8" t="s">
        <v>128</v>
      </c>
      <c r="G572" s="8" t="s">
        <v>129</v>
      </c>
      <c r="H572" s="8" t="s">
        <v>130</v>
      </c>
      <c r="I572" s="8" t="s">
        <v>131</v>
      </c>
      <c r="J572" s="8" t="s">
        <v>1089</v>
      </c>
      <c r="K572" s="8" t="s">
        <v>1090</v>
      </c>
      <c r="L572" s="8" t="s">
        <v>1091</v>
      </c>
      <c r="M572" s="8" t="s">
        <v>2785</v>
      </c>
      <c r="N572" s="8" t="s">
        <v>129</v>
      </c>
      <c r="O572" s="8">
        <v>844.67</v>
      </c>
      <c r="P572" s="8">
        <v>938.52</v>
      </c>
      <c r="Q572" s="8" t="s">
        <v>2573</v>
      </c>
      <c r="R572" s="8" t="s">
        <v>2382</v>
      </c>
    </row>
    <row r="573" spans="1:20" x14ac:dyDescent="0.2">
      <c r="A573" s="8" t="s">
        <v>4057</v>
      </c>
      <c r="B573" s="8" t="str">
        <f t="shared" si="16"/>
        <v>1586243934</v>
      </c>
      <c r="C573" s="8" t="str">
        <f t="shared" si="17"/>
        <v>608</v>
      </c>
      <c r="D573" s="8" t="s">
        <v>119</v>
      </c>
      <c r="F573" s="8" t="s">
        <v>128</v>
      </c>
      <c r="G573" s="8" t="s">
        <v>129</v>
      </c>
      <c r="H573" s="8" t="s">
        <v>130</v>
      </c>
      <c r="I573" s="8" t="s">
        <v>131</v>
      </c>
      <c r="J573" s="8" t="s">
        <v>1089</v>
      </c>
      <c r="K573" s="8" t="s">
        <v>1090</v>
      </c>
      <c r="L573" s="8" t="s">
        <v>1091</v>
      </c>
      <c r="M573" s="8" t="s">
        <v>2785</v>
      </c>
      <c r="N573" s="8" t="s">
        <v>129</v>
      </c>
      <c r="O573" s="8">
        <v>844.67</v>
      </c>
      <c r="P573" s="8">
        <v>938.52</v>
      </c>
      <c r="Q573" s="8" t="s">
        <v>2573</v>
      </c>
      <c r="R573" s="8" t="s">
        <v>2151</v>
      </c>
    </row>
    <row r="574" spans="1:20" x14ac:dyDescent="0.2">
      <c r="A574" s="8" t="s">
        <v>4557</v>
      </c>
      <c r="B574" s="8" t="str">
        <f t="shared" si="16"/>
        <v>1586243934</v>
      </c>
      <c r="C574" s="8" t="str">
        <f t="shared" si="17"/>
        <v>609</v>
      </c>
      <c r="D574" s="8" t="s">
        <v>119</v>
      </c>
      <c r="F574" s="8" t="s">
        <v>128</v>
      </c>
      <c r="G574" s="8" t="s">
        <v>129</v>
      </c>
      <c r="H574" s="8" t="s">
        <v>130</v>
      </c>
      <c r="I574" s="8" t="s">
        <v>131</v>
      </c>
      <c r="J574" s="8" t="s">
        <v>1089</v>
      </c>
      <c r="K574" s="8" t="s">
        <v>1090</v>
      </c>
      <c r="L574" s="8" t="s">
        <v>1091</v>
      </c>
      <c r="M574" s="8" t="s">
        <v>2785</v>
      </c>
      <c r="N574" s="8" t="s">
        <v>129</v>
      </c>
      <c r="O574" s="8">
        <v>844.67</v>
      </c>
      <c r="P574" s="8">
        <v>938.52</v>
      </c>
      <c r="Q574" s="8" t="s">
        <v>2573</v>
      </c>
      <c r="R574" s="8" t="s">
        <v>1698</v>
      </c>
    </row>
    <row r="575" spans="1:20" x14ac:dyDescent="0.2">
      <c r="A575" s="8" t="s">
        <v>2871</v>
      </c>
      <c r="B575" s="8" t="str">
        <f t="shared" si="16"/>
        <v>1586243934</v>
      </c>
      <c r="C575" s="8" t="str">
        <f t="shared" si="17"/>
        <v>610</v>
      </c>
      <c r="D575" s="8" t="s">
        <v>119</v>
      </c>
      <c r="F575" s="8" t="s">
        <v>128</v>
      </c>
      <c r="G575" s="8" t="s">
        <v>129</v>
      </c>
      <c r="H575" s="8" t="s">
        <v>130</v>
      </c>
      <c r="I575" s="8" t="s">
        <v>131</v>
      </c>
      <c r="J575" s="8" t="s">
        <v>1089</v>
      </c>
      <c r="K575" s="8" t="s">
        <v>1090</v>
      </c>
      <c r="L575" s="8" t="s">
        <v>1091</v>
      </c>
      <c r="M575" s="8" t="s">
        <v>2785</v>
      </c>
      <c r="N575" s="8" t="s">
        <v>129</v>
      </c>
      <c r="O575" s="8">
        <v>844.67</v>
      </c>
      <c r="P575" s="8">
        <v>938.52</v>
      </c>
      <c r="Q575" s="8" t="s">
        <v>2573</v>
      </c>
      <c r="R575" s="8" t="s">
        <v>1092</v>
      </c>
    </row>
    <row r="576" spans="1:20" x14ac:dyDescent="0.2">
      <c r="A576" s="8" t="s">
        <v>3619</v>
      </c>
      <c r="B576" s="8" t="str">
        <f t="shared" si="16"/>
        <v>1586243934</v>
      </c>
      <c r="C576" s="8" t="str">
        <f t="shared" si="17"/>
        <v>611</v>
      </c>
      <c r="D576" s="8" t="s">
        <v>119</v>
      </c>
      <c r="F576" s="8" t="s">
        <v>128</v>
      </c>
      <c r="G576" s="8" t="s">
        <v>129</v>
      </c>
      <c r="H576" s="8" t="s">
        <v>130</v>
      </c>
      <c r="I576" s="8" t="s">
        <v>131</v>
      </c>
      <c r="J576" s="8" t="s">
        <v>1089</v>
      </c>
      <c r="K576" s="8" t="s">
        <v>1090</v>
      </c>
      <c r="L576" s="8" t="s">
        <v>1091</v>
      </c>
      <c r="M576" s="8" t="s">
        <v>2785</v>
      </c>
      <c r="N576" s="8" t="s">
        <v>129</v>
      </c>
      <c r="O576" s="8">
        <v>844.67</v>
      </c>
      <c r="P576" s="8">
        <v>938.52</v>
      </c>
      <c r="Q576" s="8" t="s">
        <v>2573</v>
      </c>
      <c r="R576" s="8" t="s">
        <v>2430</v>
      </c>
    </row>
    <row r="577" spans="1:20" x14ac:dyDescent="0.2">
      <c r="A577" s="8" t="s">
        <v>2806</v>
      </c>
      <c r="B577" s="8" t="str">
        <f t="shared" si="16"/>
        <v>1586243934</v>
      </c>
      <c r="C577" s="8" t="str">
        <f t="shared" si="17"/>
        <v>612</v>
      </c>
      <c r="D577" s="8" t="s">
        <v>119</v>
      </c>
      <c r="F577" s="8" t="s">
        <v>128</v>
      </c>
      <c r="G577" s="8" t="s">
        <v>129</v>
      </c>
      <c r="H577" s="8" t="s">
        <v>130</v>
      </c>
      <c r="I577" s="8" t="s">
        <v>131</v>
      </c>
      <c r="J577" s="8" t="s">
        <v>1089</v>
      </c>
      <c r="K577" s="8" t="s">
        <v>1090</v>
      </c>
      <c r="L577" s="8" t="s">
        <v>1091</v>
      </c>
      <c r="M577" s="8" t="s">
        <v>2785</v>
      </c>
      <c r="N577" s="8" t="s">
        <v>129</v>
      </c>
      <c r="O577" s="8">
        <v>844.67</v>
      </c>
      <c r="P577" s="8">
        <v>938.52</v>
      </c>
      <c r="Q577" s="8" t="s">
        <v>2573</v>
      </c>
      <c r="S577" s="8" t="s">
        <v>1078</v>
      </c>
      <c r="T577" s="8">
        <v>87.05</v>
      </c>
    </row>
    <row r="578" spans="1:20" x14ac:dyDescent="0.2">
      <c r="A578" s="8" t="s">
        <v>4410</v>
      </c>
      <c r="B578" s="8" t="str">
        <f t="shared" ref="B578:B641" si="18">LEFT(A578, FIND("-", A578) - 1)</f>
        <v>1586243934</v>
      </c>
      <c r="C578" s="8" t="str">
        <f t="shared" ref="C578:C641" si="19">RIGHT(A578, LEN(A578) - FIND("-", A578))</f>
        <v>613</v>
      </c>
      <c r="D578" s="8" t="s">
        <v>119</v>
      </c>
      <c r="F578" s="8" t="s">
        <v>128</v>
      </c>
      <c r="G578" s="8" t="s">
        <v>129</v>
      </c>
      <c r="H578" s="8" t="s">
        <v>130</v>
      </c>
      <c r="I578" s="8" t="s">
        <v>131</v>
      </c>
      <c r="J578" s="8" t="s">
        <v>1089</v>
      </c>
      <c r="K578" s="8" t="s">
        <v>1090</v>
      </c>
      <c r="L578" s="8" t="s">
        <v>1091</v>
      </c>
      <c r="M578" s="8" t="s">
        <v>2785</v>
      </c>
      <c r="N578" s="8" t="s">
        <v>129</v>
      </c>
      <c r="O578" s="8">
        <v>844.67</v>
      </c>
      <c r="P578" s="8">
        <v>938.52</v>
      </c>
      <c r="Q578" s="8" t="s">
        <v>2573</v>
      </c>
      <c r="S578" s="8" t="s">
        <v>184</v>
      </c>
      <c r="T578" s="8">
        <v>169.67</v>
      </c>
    </row>
    <row r="579" spans="1:20" x14ac:dyDescent="0.2">
      <c r="A579" s="8" t="s">
        <v>4679</v>
      </c>
      <c r="B579" s="8" t="str">
        <f t="shared" si="18"/>
        <v>1586243936</v>
      </c>
      <c r="C579" s="8" t="str">
        <f t="shared" si="19"/>
        <v>614</v>
      </c>
      <c r="D579" s="8" t="s">
        <v>119</v>
      </c>
      <c r="F579" s="8" t="s">
        <v>128</v>
      </c>
      <c r="G579" s="8" t="s">
        <v>129</v>
      </c>
      <c r="H579" s="8" t="s">
        <v>130</v>
      </c>
      <c r="I579" s="8" t="s">
        <v>193</v>
      </c>
      <c r="J579" s="8" t="s">
        <v>859</v>
      </c>
      <c r="K579" s="8" t="s">
        <v>133</v>
      </c>
      <c r="L579" s="8" t="s">
        <v>282</v>
      </c>
      <c r="M579" s="8" t="s">
        <v>2785</v>
      </c>
      <c r="N579" s="8" t="s">
        <v>129</v>
      </c>
      <c r="O579" s="8">
        <v>712.62</v>
      </c>
      <c r="P579" s="8">
        <v>791.8</v>
      </c>
      <c r="Q579" s="8" t="s">
        <v>2574</v>
      </c>
      <c r="R579" s="8" t="s">
        <v>1016</v>
      </c>
    </row>
    <row r="580" spans="1:20" x14ac:dyDescent="0.2">
      <c r="A580" s="8" t="s">
        <v>3802</v>
      </c>
      <c r="B580" s="8" t="str">
        <f t="shared" si="18"/>
        <v>1586243936</v>
      </c>
      <c r="C580" s="8" t="str">
        <f t="shared" si="19"/>
        <v>615</v>
      </c>
      <c r="D580" s="8" t="s">
        <v>119</v>
      </c>
      <c r="F580" s="8" t="s">
        <v>128</v>
      </c>
      <c r="G580" s="8" t="s">
        <v>129</v>
      </c>
      <c r="H580" s="8" t="s">
        <v>130</v>
      </c>
      <c r="I580" s="8" t="s">
        <v>193</v>
      </c>
      <c r="J580" s="8" t="s">
        <v>859</v>
      </c>
      <c r="K580" s="8" t="s">
        <v>133</v>
      </c>
      <c r="L580" s="8" t="s">
        <v>282</v>
      </c>
      <c r="M580" s="8" t="s">
        <v>2785</v>
      </c>
      <c r="N580" s="8" t="s">
        <v>129</v>
      </c>
      <c r="O580" s="8">
        <v>712.62</v>
      </c>
      <c r="P580" s="8">
        <v>791.8</v>
      </c>
      <c r="Q580" s="8" t="s">
        <v>2574</v>
      </c>
      <c r="R580" s="8" t="s">
        <v>1937</v>
      </c>
    </row>
    <row r="581" spans="1:20" x14ac:dyDescent="0.2">
      <c r="A581" s="8" t="s">
        <v>3414</v>
      </c>
      <c r="B581" s="8" t="str">
        <f t="shared" si="18"/>
        <v>1586243936</v>
      </c>
      <c r="C581" s="8" t="str">
        <f t="shared" si="19"/>
        <v>616</v>
      </c>
      <c r="D581" s="8" t="s">
        <v>119</v>
      </c>
      <c r="F581" s="8" t="s">
        <v>128</v>
      </c>
      <c r="G581" s="8" t="s">
        <v>129</v>
      </c>
      <c r="H581" s="8" t="s">
        <v>130</v>
      </c>
      <c r="I581" s="8" t="s">
        <v>193</v>
      </c>
      <c r="J581" s="8" t="s">
        <v>859</v>
      </c>
      <c r="K581" s="8" t="s">
        <v>133</v>
      </c>
      <c r="L581" s="8" t="s">
        <v>282</v>
      </c>
      <c r="M581" s="8" t="s">
        <v>2785</v>
      </c>
      <c r="N581" s="8" t="s">
        <v>129</v>
      </c>
      <c r="O581" s="8">
        <v>712.62</v>
      </c>
      <c r="P581" s="8">
        <v>791.8</v>
      </c>
      <c r="Q581" s="8" t="s">
        <v>2574</v>
      </c>
      <c r="R581" s="8" t="s">
        <v>860</v>
      </c>
    </row>
    <row r="582" spans="1:20" x14ac:dyDescent="0.2">
      <c r="A582" s="8" t="s">
        <v>4754</v>
      </c>
      <c r="B582" s="8" t="str">
        <f t="shared" si="18"/>
        <v>1586243936</v>
      </c>
      <c r="C582" s="8" t="str">
        <f t="shared" si="19"/>
        <v>617</v>
      </c>
      <c r="D582" s="8" t="s">
        <v>119</v>
      </c>
      <c r="F582" s="8" t="s">
        <v>128</v>
      </c>
      <c r="G582" s="8" t="s">
        <v>129</v>
      </c>
      <c r="H582" s="8" t="s">
        <v>130</v>
      </c>
      <c r="I582" s="8" t="s">
        <v>193</v>
      </c>
      <c r="J582" s="8" t="s">
        <v>859</v>
      </c>
      <c r="K582" s="8" t="s">
        <v>133</v>
      </c>
      <c r="L582" s="8" t="s">
        <v>282</v>
      </c>
      <c r="M582" s="8" t="s">
        <v>2785</v>
      </c>
      <c r="N582" s="8" t="s">
        <v>129</v>
      </c>
      <c r="O582" s="8">
        <v>712.62</v>
      </c>
      <c r="P582" s="8">
        <v>791.8</v>
      </c>
      <c r="Q582" s="8" t="s">
        <v>2574</v>
      </c>
      <c r="R582" s="8" t="s">
        <v>2353</v>
      </c>
    </row>
    <row r="583" spans="1:20" x14ac:dyDescent="0.2">
      <c r="A583" s="8" t="s">
        <v>4112</v>
      </c>
      <c r="B583" s="8" t="str">
        <f t="shared" si="18"/>
        <v>1586243936</v>
      </c>
      <c r="C583" s="8" t="str">
        <f t="shared" si="19"/>
        <v>618</v>
      </c>
      <c r="D583" s="8" t="s">
        <v>119</v>
      </c>
      <c r="F583" s="8" t="s">
        <v>128</v>
      </c>
      <c r="G583" s="8" t="s">
        <v>129</v>
      </c>
      <c r="H583" s="8" t="s">
        <v>130</v>
      </c>
      <c r="I583" s="8" t="s">
        <v>193</v>
      </c>
      <c r="J583" s="8" t="s">
        <v>859</v>
      </c>
      <c r="K583" s="8" t="s">
        <v>133</v>
      </c>
      <c r="L583" s="8" t="s">
        <v>282</v>
      </c>
      <c r="M583" s="8" t="s">
        <v>2785</v>
      </c>
      <c r="N583" s="8" t="s">
        <v>129</v>
      </c>
      <c r="O583" s="8">
        <v>712.62</v>
      </c>
      <c r="P583" s="8">
        <v>791.8</v>
      </c>
      <c r="Q583" s="8" t="s">
        <v>2574</v>
      </c>
      <c r="R583" s="8" t="s">
        <v>1986</v>
      </c>
    </row>
    <row r="584" spans="1:20" x14ac:dyDescent="0.2">
      <c r="A584" s="8" t="s">
        <v>2805</v>
      </c>
      <c r="B584" s="8" t="str">
        <f t="shared" si="18"/>
        <v>1586243936</v>
      </c>
      <c r="C584" s="8" t="str">
        <f t="shared" si="19"/>
        <v>619</v>
      </c>
      <c r="D584" s="8" t="s">
        <v>119</v>
      </c>
      <c r="F584" s="8" t="s">
        <v>128</v>
      </c>
      <c r="G584" s="8" t="s">
        <v>129</v>
      </c>
      <c r="H584" s="8" t="s">
        <v>130</v>
      </c>
      <c r="I584" s="8" t="s">
        <v>193</v>
      </c>
      <c r="J584" s="8" t="s">
        <v>859</v>
      </c>
      <c r="K584" s="8" t="s">
        <v>133</v>
      </c>
      <c r="L584" s="8" t="s">
        <v>282</v>
      </c>
      <c r="M584" s="8" t="s">
        <v>2785</v>
      </c>
      <c r="N584" s="8" t="s">
        <v>129</v>
      </c>
      <c r="O584" s="8">
        <v>712.62</v>
      </c>
      <c r="P584" s="8">
        <v>791.8</v>
      </c>
      <c r="Q584" s="8" t="s">
        <v>2574</v>
      </c>
      <c r="S584" s="8" t="s">
        <v>845</v>
      </c>
      <c r="T584" s="8">
        <v>202.87</v>
      </c>
    </row>
    <row r="585" spans="1:20" x14ac:dyDescent="0.2">
      <c r="A585" s="8" t="s">
        <v>4304</v>
      </c>
      <c r="B585" s="8" t="str">
        <f t="shared" si="18"/>
        <v>1586243936</v>
      </c>
      <c r="C585" s="8" t="str">
        <f t="shared" si="19"/>
        <v>620</v>
      </c>
      <c r="D585" s="8" t="s">
        <v>119</v>
      </c>
      <c r="F585" s="8" t="s">
        <v>128</v>
      </c>
      <c r="G585" s="8" t="s">
        <v>129</v>
      </c>
      <c r="H585" s="8" t="s">
        <v>130</v>
      </c>
      <c r="I585" s="8" t="s">
        <v>193</v>
      </c>
      <c r="J585" s="8" t="s">
        <v>859</v>
      </c>
      <c r="K585" s="8" t="s">
        <v>133</v>
      </c>
      <c r="L585" s="8" t="s">
        <v>282</v>
      </c>
      <c r="M585" s="8" t="s">
        <v>2785</v>
      </c>
      <c r="N585" s="8" t="s">
        <v>129</v>
      </c>
      <c r="O585" s="8">
        <v>712.62</v>
      </c>
      <c r="P585" s="8">
        <v>791.8</v>
      </c>
      <c r="Q585" s="8" t="s">
        <v>2574</v>
      </c>
      <c r="S585" s="8" t="s">
        <v>184</v>
      </c>
      <c r="T585" s="8">
        <v>169.67</v>
      </c>
    </row>
    <row r="586" spans="1:20" x14ac:dyDescent="0.2">
      <c r="A586" s="8" t="s">
        <v>4425</v>
      </c>
      <c r="B586" s="8" t="str">
        <f t="shared" si="18"/>
        <v>1586243938</v>
      </c>
      <c r="C586" s="8" t="str">
        <f t="shared" si="19"/>
        <v>621</v>
      </c>
      <c r="D586" s="8" t="s">
        <v>119</v>
      </c>
      <c r="F586" s="8" t="s">
        <v>128</v>
      </c>
      <c r="G586" s="8" t="s">
        <v>129</v>
      </c>
      <c r="H586" s="8" t="s">
        <v>130</v>
      </c>
      <c r="I586" s="8" t="s">
        <v>131</v>
      </c>
      <c r="J586" s="8" t="s">
        <v>132</v>
      </c>
      <c r="K586" s="8" t="s">
        <v>133</v>
      </c>
      <c r="L586" s="8" t="s">
        <v>134</v>
      </c>
      <c r="M586" s="8" t="s">
        <v>2785</v>
      </c>
      <c r="N586" s="8" t="s">
        <v>129</v>
      </c>
      <c r="O586" s="8">
        <v>712.62</v>
      </c>
      <c r="P586" s="8">
        <v>791.8</v>
      </c>
      <c r="Q586" s="8" t="s">
        <v>2574</v>
      </c>
      <c r="R586" s="8" t="s">
        <v>2418</v>
      </c>
    </row>
    <row r="587" spans="1:20" x14ac:dyDescent="0.2">
      <c r="A587" s="8" t="s">
        <v>4452</v>
      </c>
      <c r="B587" s="8" t="str">
        <f t="shared" si="18"/>
        <v>1586243938</v>
      </c>
      <c r="C587" s="8" t="str">
        <f t="shared" si="19"/>
        <v>622</v>
      </c>
      <c r="D587" s="8" t="s">
        <v>119</v>
      </c>
      <c r="F587" s="8" t="s">
        <v>128</v>
      </c>
      <c r="G587" s="8" t="s">
        <v>129</v>
      </c>
      <c r="H587" s="8" t="s">
        <v>130</v>
      </c>
      <c r="I587" s="8" t="s">
        <v>131</v>
      </c>
      <c r="J587" s="8" t="s">
        <v>132</v>
      </c>
      <c r="K587" s="8" t="s">
        <v>133</v>
      </c>
      <c r="L587" s="8" t="s">
        <v>134</v>
      </c>
      <c r="M587" s="8" t="s">
        <v>2785</v>
      </c>
      <c r="N587" s="8" t="s">
        <v>129</v>
      </c>
      <c r="O587" s="8">
        <v>712.62</v>
      </c>
      <c r="P587" s="8">
        <v>791.8</v>
      </c>
      <c r="Q587" s="8" t="s">
        <v>2574</v>
      </c>
      <c r="R587" s="8" t="s">
        <v>461</v>
      </c>
    </row>
    <row r="588" spans="1:20" x14ac:dyDescent="0.2">
      <c r="A588" s="8" t="s">
        <v>4576</v>
      </c>
      <c r="B588" s="8" t="str">
        <f t="shared" si="18"/>
        <v>1586243938</v>
      </c>
      <c r="C588" s="8" t="str">
        <f t="shared" si="19"/>
        <v>623</v>
      </c>
      <c r="D588" s="8" t="s">
        <v>119</v>
      </c>
      <c r="F588" s="8" t="s">
        <v>128</v>
      </c>
      <c r="G588" s="8" t="s">
        <v>129</v>
      </c>
      <c r="H588" s="8" t="s">
        <v>130</v>
      </c>
      <c r="I588" s="8" t="s">
        <v>131</v>
      </c>
      <c r="J588" s="8" t="s">
        <v>132</v>
      </c>
      <c r="K588" s="8" t="s">
        <v>133</v>
      </c>
      <c r="L588" s="8" t="s">
        <v>134</v>
      </c>
      <c r="M588" s="8" t="s">
        <v>2785</v>
      </c>
      <c r="N588" s="8" t="s">
        <v>129</v>
      </c>
      <c r="O588" s="8">
        <v>712.62</v>
      </c>
      <c r="P588" s="8">
        <v>791.8</v>
      </c>
      <c r="Q588" s="8" t="s">
        <v>2574</v>
      </c>
      <c r="R588" s="8" t="s">
        <v>135</v>
      </c>
    </row>
    <row r="589" spans="1:20" x14ac:dyDescent="0.2">
      <c r="A589" s="8" t="s">
        <v>4442</v>
      </c>
      <c r="B589" s="8" t="str">
        <f t="shared" si="18"/>
        <v>1586243938</v>
      </c>
      <c r="C589" s="8" t="str">
        <f t="shared" si="19"/>
        <v>624</v>
      </c>
      <c r="D589" s="8" t="s">
        <v>119</v>
      </c>
      <c r="F589" s="8" t="s">
        <v>128</v>
      </c>
      <c r="G589" s="8" t="s">
        <v>129</v>
      </c>
      <c r="H589" s="8" t="s">
        <v>130</v>
      </c>
      <c r="I589" s="8" t="s">
        <v>131</v>
      </c>
      <c r="J589" s="8" t="s">
        <v>132</v>
      </c>
      <c r="K589" s="8" t="s">
        <v>133</v>
      </c>
      <c r="L589" s="8" t="s">
        <v>134</v>
      </c>
      <c r="M589" s="8" t="s">
        <v>2785</v>
      </c>
      <c r="N589" s="8" t="s">
        <v>129</v>
      </c>
      <c r="O589" s="8">
        <v>712.62</v>
      </c>
      <c r="P589" s="8">
        <v>791.8</v>
      </c>
      <c r="Q589" s="8" t="s">
        <v>2574</v>
      </c>
      <c r="R589" s="8" t="s">
        <v>412</v>
      </c>
    </row>
    <row r="590" spans="1:20" x14ac:dyDescent="0.2">
      <c r="A590" s="8" t="s">
        <v>4453</v>
      </c>
      <c r="B590" s="8" t="str">
        <f t="shared" si="18"/>
        <v>1586243938</v>
      </c>
      <c r="C590" s="8" t="str">
        <f t="shared" si="19"/>
        <v>625</v>
      </c>
      <c r="D590" s="8" t="s">
        <v>119</v>
      </c>
      <c r="F590" s="8" t="s">
        <v>128</v>
      </c>
      <c r="G590" s="8" t="s">
        <v>129</v>
      </c>
      <c r="H590" s="8" t="s">
        <v>130</v>
      </c>
      <c r="I590" s="8" t="s">
        <v>131</v>
      </c>
      <c r="J590" s="8" t="s">
        <v>132</v>
      </c>
      <c r="K590" s="8" t="s">
        <v>133</v>
      </c>
      <c r="L590" s="8" t="s">
        <v>134</v>
      </c>
      <c r="M590" s="8" t="s">
        <v>2785</v>
      </c>
      <c r="N590" s="8" t="s">
        <v>129</v>
      </c>
      <c r="O590" s="8">
        <v>712.62</v>
      </c>
      <c r="P590" s="8">
        <v>791.8</v>
      </c>
      <c r="Q590" s="8" t="s">
        <v>2574</v>
      </c>
      <c r="R590" s="8" t="s">
        <v>2093</v>
      </c>
    </row>
    <row r="591" spans="1:20" x14ac:dyDescent="0.2">
      <c r="A591" s="8" t="s">
        <v>4523</v>
      </c>
      <c r="B591" s="8" t="str">
        <f t="shared" si="18"/>
        <v>1586243938</v>
      </c>
      <c r="C591" s="8" t="str">
        <f t="shared" si="19"/>
        <v>626</v>
      </c>
      <c r="D591" s="8" t="s">
        <v>119</v>
      </c>
      <c r="F591" s="8" t="s">
        <v>128</v>
      </c>
      <c r="G591" s="8" t="s">
        <v>129</v>
      </c>
      <c r="H591" s="8" t="s">
        <v>130</v>
      </c>
      <c r="I591" s="8" t="s">
        <v>131</v>
      </c>
      <c r="J591" s="8" t="s">
        <v>132</v>
      </c>
      <c r="K591" s="8" t="s">
        <v>133</v>
      </c>
      <c r="L591" s="8" t="s">
        <v>134</v>
      </c>
      <c r="M591" s="8" t="s">
        <v>2785</v>
      </c>
      <c r="N591" s="8" t="s">
        <v>129</v>
      </c>
      <c r="O591" s="8">
        <v>712.62</v>
      </c>
      <c r="P591" s="8">
        <v>791.8</v>
      </c>
      <c r="Q591" s="8" t="s">
        <v>2574</v>
      </c>
      <c r="S591" s="8" t="s">
        <v>1078</v>
      </c>
      <c r="T591" s="8">
        <v>77.459999999999994</v>
      </c>
    </row>
    <row r="592" spans="1:20" x14ac:dyDescent="0.2">
      <c r="A592" s="8" t="s">
        <v>3206</v>
      </c>
      <c r="B592" s="8" t="str">
        <f t="shared" si="18"/>
        <v>1586243938</v>
      </c>
      <c r="C592" s="8" t="str">
        <f t="shared" si="19"/>
        <v>627</v>
      </c>
      <c r="D592" s="8" t="s">
        <v>119</v>
      </c>
      <c r="F592" s="8" t="s">
        <v>128</v>
      </c>
      <c r="G592" s="8" t="s">
        <v>129</v>
      </c>
      <c r="H592" s="8" t="s">
        <v>130</v>
      </c>
      <c r="I592" s="8" t="s">
        <v>131</v>
      </c>
      <c r="J592" s="8" t="s">
        <v>132</v>
      </c>
      <c r="K592" s="8" t="s">
        <v>133</v>
      </c>
      <c r="L592" s="8" t="s">
        <v>134</v>
      </c>
      <c r="M592" s="8" t="s">
        <v>2785</v>
      </c>
      <c r="N592" s="8" t="s">
        <v>129</v>
      </c>
      <c r="O592" s="8">
        <v>712.62</v>
      </c>
      <c r="P592" s="8">
        <v>791.8</v>
      </c>
      <c r="Q592" s="8" t="s">
        <v>2574</v>
      </c>
      <c r="S592" s="8" t="s">
        <v>420</v>
      </c>
      <c r="T592" s="8">
        <v>96.64</v>
      </c>
    </row>
    <row r="593" spans="1:20" x14ac:dyDescent="0.2">
      <c r="A593" s="8" t="s">
        <v>3200</v>
      </c>
      <c r="B593" s="8" t="str">
        <f t="shared" si="18"/>
        <v>1586243938</v>
      </c>
      <c r="C593" s="8" t="str">
        <f t="shared" si="19"/>
        <v>628</v>
      </c>
      <c r="D593" s="8" t="s">
        <v>119</v>
      </c>
      <c r="F593" s="8" t="s">
        <v>128</v>
      </c>
      <c r="G593" s="8" t="s">
        <v>129</v>
      </c>
      <c r="H593" s="8" t="s">
        <v>130</v>
      </c>
      <c r="I593" s="8" t="s">
        <v>131</v>
      </c>
      <c r="J593" s="8" t="s">
        <v>132</v>
      </c>
      <c r="K593" s="8" t="s">
        <v>133</v>
      </c>
      <c r="L593" s="8" t="s">
        <v>134</v>
      </c>
      <c r="M593" s="8" t="s">
        <v>2785</v>
      </c>
      <c r="N593" s="8" t="s">
        <v>129</v>
      </c>
      <c r="O593" s="8">
        <v>712.62</v>
      </c>
      <c r="P593" s="8">
        <v>791.8</v>
      </c>
      <c r="Q593" s="8" t="s">
        <v>2574</v>
      </c>
      <c r="S593" s="8" t="s">
        <v>393</v>
      </c>
      <c r="T593" s="8">
        <v>169.67</v>
      </c>
    </row>
    <row r="594" spans="1:20" x14ac:dyDescent="0.2">
      <c r="A594" s="8" t="s">
        <v>3908</v>
      </c>
      <c r="B594" s="8" t="str">
        <f t="shared" si="18"/>
        <v>1586243941</v>
      </c>
      <c r="C594" s="8" t="str">
        <f t="shared" si="19"/>
        <v>629</v>
      </c>
      <c r="D594" s="8" t="s">
        <v>119</v>
      </c>
      <c r="F594" s="8" t="s">
        <v>128</v>
      </c>
      <c r="G594" s="8" t="s">
        <v>129</v>
      </c>
      <c r="H594" s="8" t="s">
        <v>130</v>
      </c>
      <c r="I594" s="8" t="s">
        <v>131</v>
      </c>
      <c r="J594" s="8" t="s">
        <v>837</v>
      </c>
      <c r="K594" s="8" t="s">
        <v>419</v>
      </c>
      <c r="L594" s="8" t="s">
        <v>838</v>
      </c>
      <c r="M594" s="8" t="s">
        <v>2785</v>
      </c>
      <c r="N594" s="8" t="s">
        <v>129</v>
      </c>
      <c r="O594" s="8">
        <v>691.23</v>
      </c>
      <c r="P594" s="8">
        <v>768.03</v>
      </c>
      <c r="Q594" s="8" t="s">
        <v>2575</v>
      </c>
      <c r="R594" s="8" t="s">
        <v>1846</v>
      </c>
    </row>
    <row r="595" spans="1:20" x14ac:dyDescent="0.2">
      <c r="A595" s="8" t="s">
        <v>4744</v>
      </c>
      <c r="B595" s="8" t="str">
        <f t="shared" si="18"/>
        <v>1586243941</v>
      </c>
      <c r="C595" s="8" t="str">
        <f t="shared" si="19"/>
        <v>630</v>
      </c>
      <c r="D595" s="8" t="s">
        <v>119</v>
      </c>
      <c r="F595" s="8" t="s">
        <v>128</v>
      </c>
      <c r="G595" s="8" t="s">
        <v>129</v>
      </c>
      <c r="H595" s="8" t="s">
        <v>130</v>
      </c>
      <c r="I595" s="8" t="s">
        <v>131</v>
      </c>
      <c r="J595" s="8" t="s">
        <v>837</v>
      </c>
      <c r="K595" s="8" t="s">
        <v>419</v>
      </c>
      <c r="L595" s="8" t="s">
        <v>838</v>
      </c>
      <c r="M595" s="8" t="s">
        <v>2785</v>
      </c>
      <c r="N595" s="8" t="s">
        <v>129</v>
      </c>
      <c r="O595" s="8">
        <v>691.23</v>
      </c>
      <c r="P595" s="8">
        <v>768.03</v>
      </c>
      <c r="Q595" s="8" t="s">
        <v>2575</v>
      </c>
      <c r="R595" s="8" t="s">
        <v>839</v>
      </c>
    </row>
    <row r="596" spans="1:20" x14ac:dyDescent="0.2">
      <c r="A596" s="8" t="s">
        <v>4787</v>
      </c>
      <c r="B596" s="8" t="str">
        <f t="shared" si="18"/>
        <v>1586243941</v>
      </c>
      <c r="C596" s="8" t="str">
        <f t="shared" si="19"/>
        <v>631</v>
      </c>
      <c r="D596" s="8" t="s">
        <v>119</v>
      </c>
      <c r="F596" s="8" t="s">
        <v>128</v>
      </c>
      <c r="G596" s="8" t="s">
        <v>129</v>
      </c>
      <c r="H596" s="8" t="s">
        <v>130</v>
      </c>
      <c r="I596" s="8" t="s">
        <v>131</v>
      </c>
      <c r="J596" s="8" t="s">
        <v>837</v>
      </c>
      <c r="K596" s="8" t="s">
        <v>419</v>
      </c>
      <c r="L596" s="8" t="s">
        <v>838</v>
      </c>
      <c r="M596" s="8" t="s">
        <v>2785</v>
      </c>
      <c r="N596" s="8" t="s">
        <v>129</v>
      </c>
      <c r="O596" s="8">
        <v>691.23</v>
      </c>
      <c r="P596" s="8">
        <v>768.03</v>
      </c>
      <c r="Q596" s="8" t="s">
        <v>2575</v>
      </c>
      <c r="R596" s="8" t="s">
        <v>1067</v>
      </c>
    </row>
    <row r="597" spans="1:20" x14ac:dyDescent="0.2">
      <c r="A597" s="8" t="s">
        <v>3065</v>
      </c>
      <c r="B597" s="8" t="str">
        <f t="shared" si="18"/>
        <v>1586243941</v>
      </c>
      <c r="C597" s="8" t="str">
        <f t="shared" si="19"/>
        <v>632</v>
      </c>
      <c r="D597" s="8" t="s">
        <v>119</v>
      </c>
      <c r="F597" s="8" t="s">
        <v>128</v>
      </c>
      <c r="G597" s="8" t="s">
        <v>129</v>
      </c>
      <c r="H597" s="8" t="s">
        <v>130</v>
      </c>
      <c r="I597" s="8" t="s">
        <v>131</v>
      </c>
      <c r="J597" s="8" t="s">
        <v>837</v>
      </c>
      <c r="K597" s="8" t="s">
        <v>419</v>
      </c>
      <c r="L597" s="8" t="s">
        <v>838</v>
      </c>
      <c r="M597" s="8" t="s">
        <v>2785</v>
      </c>
      <c r="N597" s="8" t="s">
        <v>129</v>
      </c>
      <c r="O597" s="8">
        <v>691.23</v>
      </c>
      <c r="P597" s="8">
        <v>768.03</v>
      </c>
      <c r="Q597" s="8" t="s">
        <v>2575</v>
      </c>
      <c r="R597" s="8" t="s">
        <v>2378</v>
      </c>
    </row>
    <row r="598" spans="1:20" x14ac:dyDescent="0.2">
      <c r="A598" s="8" t="s">
        <v>4144</v>
      </c>
      <c r="B598" s="8" t="str">
        <f t="shared" si="18"/>
        <v>1586243941</v>
      </c>
      <c r="C598" s="8" t="str">
        <f t="shared" si="19"/>
        <v>633</v>
      </c>
      <c r="D598" s="8" t="s">
        <v>119</v>
      </c>
      <c r="F598" s="8" t="s">
        <v>128</v>
      </c>
      <c r="G598" s="8" t="s">
        <v>129</v>
      </c>
      <c r="H598" s="8" t="s">
        <v>130</v>
      </c>
      <c r="I598" s="8" t="s">
        <v>131</v>
      </c>
      <c r="J598" s="8" t="s">
        <v>837</v>
      </c>
      <c r="K598" s="8" t="s">
        <v>419</v>
      </c>
      <c r="L598" s="8" t="s">
        <v>838</v>
      </c>
      <c r="M598" s="8" t="s">
        <v>2785</v>
      </c>
      <c r="N598" s="8" t="s">
        <v>129</v>
      </c>
      <c r="O598" s="8">
        <v>691.23</v>
      </c>
      <c r="P598" s="8">
        <v>768.03</v>
      </c>
      <c r="Q598" s="8" t="s">
        <v>2575</v>
      </c>
      <c r="R598" s="8" t="s">
        <v>1437</v>
      </c>
    </row>
    <row r="599" spans="1:20" x14ac:dyDescent="0.2">
      <c r="A599" s="8" t="s">
        <v>3940</v>
      </c>
      <c r="B599" s="8" t="str">
        <f t="shared" si="18"/>
        <v>1586243941</v>
      </c>
      <c r="C599" s="8" t="str">
        <f t="shared" si="19"/>
        <v>634</v>
      </c>
      <c r="D599" s="8" t="s">
        <v>119</v>
      </c>
      <c r="F599" s="8" t="s">
        <v>128</v>
      </c>
      <c r="G599" s="8" t="s">
        <v>129</v>
      </c>
      <c r="H599" s="8" t="s">
        <v>130</v>
      </c>
      <c r="I599" s="8" t="s">
        <v>131</v>
      </c>
      <c r="J599" s="8" t="s">
        <v>837</v>
      </c>
      <c r="K599" s="8" t="s">
        <v>419</v>
      </c>
      <c r="L599" s="8" t="s">
        <v>838</v>
      </c>
      <c r="M599" s="8" t="s">
        <v>2785</v>
      </c>
      <c r="N599" s="8" t="s">
        <v>129</v>
      </c>
      <c r="O599" s="8">
        <v>691.23</v>
      </c>
      <c r="P599" s="8">
        <v>768.03</v>
      </c>
      <c r="Q599" s="8" t="s">
        <v>2575</v>
      </c>
      <c r="S599" s="8" t="s">
        <v>420</v>
      </c>
      <c r="T599" s="8">
        <v>96.64</v>
      </c>
    </row>
    <row r="600" spans="1:20" x14ac:dyDescent="0.2">
      <c r="A600" s="8" t="s">
        <v>4491</v>
      </c>
      <c r="B600" s="8" t="str">
        <f t="shared" si="18"/>
        <v>1586243941</v>
      </c>
      <c r="C600" s="8" t="str">
        <f t="shared" si="19"/>
        <v>635</v>
      </c>
      <c r="D600" s="8" t="s">
        <v>119</v>
      </c>
      <c r="F600" s="8" t="s">
        <v>128</v>
      </c>
      <c r="G600" s="8" t="s">
        <v>129</v>
      </c>
      <c r="H600" s="8" t="s">
        <v>130</v>
      </c>
      <c r="I600" s="8" t="s">
        <v>131</v>
      </c>
      <c r="J600" s="8" t="s">
        <v>837</v>
      </c>
      <c r="K600" s="8" t="s">
        <v>419</v>
      </c>
      <c r="L600" s="8" t="s">
        <v>838</v>
      </c>
      <c r="M600" s="8" t="s">
        <v>2785</v>
      </c>
      <c r="N600" s="8" t="s">
        <v>129</v>
      </c>
      <c r="O600" s="8">
        <v>691.23</v>
      </c>
      <c r="P600" s="8">
        <v>768.03</v>
      </c>
      <c r="Q600" s="8" t="s">
        <v>2575</v>
      </c>
      <c r="S600" s="8" t="s">
        <v>393</v>
      </c>
      <c r="T600" s="8">
        <v>169.67</v>
      </c>
    </row>
    <row r="601" spans="1:20" x14ac:dyDescent="0.2">
      <c r="A601" s="8" t="s">
        <v>3887</v>
      </c>
      <c r="B601" s="8" t="str">
        <f t="shared" si="18"/>
        <v>1586243943</v>
      </c>
      <c r="C601" s="8" t="str">
        <f t="shared" si="19"/>
        <v>636</v>
      </c>
      <c r="D601" s="8" t="s">
        <v>119</v>
      </c>
      <c r="F601" s="8" t="s">
        <v>128</v>
      </c>
      <c r="G601" s="8" t="s">
        <v>129</v>
      </c>
      <c r="H601" s="8" t="s">
        <v>130</v>
      </c>
      <c r="I601" s="8" t="s">
        <v>181</v>
      </c>
      <c r="J601" s="8" t="s">
        <v>744</v>
      </c>
      <c r="K601" s="8" t="s">
        <v>190</v>
      </c>
      <c r="L601" s="8" t="s">
        <v>745</v>
      </c>
      <c r="M601" s="8" t="s">
        <v>2785</v>
      </c>
      <c r="N601" s="8" t="s">
        <v>129</v>
      </c>
      <c r="O601" s="8">
        <v>755.41</v>
      </c>
      <c r="P601" s="8">
        <v>839.34</v>
      </c>
      <c r="Q601" s="8" t="s">
        <v>2576</v>
      </c>
      <c r="R601" s="8" t="s">
        <v>2212</v>
      </c>
    </row>
    <row r="602" spans="1:20" x14ac:dyDescent="0.2">
      <c r="A602" s="8" t="s">
        <v>3465</v>
      </c>
      <c r="B602" s="8" t="str">
        <f t="shared" si="18"/>
        <v>1586243943</v>
      </c>
      <c r="C602" s="8" t="str">
        <f t="shared" si="19"/>
        <v>637</v>
      </c>
      <c r="D602" s="8" t="s">
        <v>119</v>
      </c>
      <c r="F602" s="8" t="s">
        <v>128</v>
      </c>
      <c r="G602" s="8" t="s">
        <v>129</v>
      </c>
      <c r="H602" s="8" t="s">
        <v>130</v>
      </c>
      <c r="I602" s="8" t="s">
        <v>181</v>
      </c>
      <c r="J602" s="8" t="s">
        <v>744</v>
      </c>
      <c r="K602" s="8" t="s">
        <v>190</v>
      </c>
      <c r="L602" s="8" t="s">
        <v>745</v>
      </c>
      <c r="M602" s="8" t="s">
        <v>2785</v>
      </c>
      <c r="N602" s="8" t="s">
        <v>129</v>
      </c>
      <c r="O602" s="8">
        <v>755.41</v>
      </c>
      <c r="P602" s="8">
        <v>839.34</v>
      </c>
      <c r="Q602" s="8" t="s">
        <v>2576</v>
      </c>
      <c r="R602" s="8" t="s">
        <v>2170</v>
      </c>
    </row>
    <row r="603" spans="1:20" x14ac:dyDescent="0.2">
      <c r="A603" s="8" t="s">
        <v>4621</v>
      </c>
      <c r="B603" s="8" t="str">
        <f t="shared" si="18"/>
        <v>1586243943</v>
      </c>
      <c r="C603" s="8" t="str">
        <f t="shared" si="19"/>
        <v>638</v>
      </c>
      <c r="D603" s="8" t="s">
        <v>119</v>
      </c>
      <c r="F603" s="8" t="s">
        <v>128</v>
      </c>
      <c r="G603" s="8" t="s">
        <v>129</v>
      </c>
      <c r="H603" s="8" t="s">
        <v>130</v>
      </c>
      <c r="I603" s="8" t="s">
        <v>181</v>
      </c>
      <c r="J603" s="8" t="s">
        <v>744</v>
      </c>
      <c r="K603" s="8" t="s">
        <v>190</v>
      </c>
      <c r="L603" s="8" t="s">
        <v>745</v>
      </c>
      <c r="M603" s="8" t="s">
        <v>2785</v>
      </c>
      <c r="N603" s="8" t="s">
        <v>129</v>
      </c>
      <c r="O603" s="8">
        <v>755.41</v>
      </c>
      <c r="P603" s="8">
        <v>839.34</v>
      </c>
      <c r="Q603" s="8" t="s">
        <v>2576</v>
      </c>
      <c r="R603" s="8" t="s">
        <v>1865</v>
      </c>
    </row>
    <row r="604" spans="1:20" x14ac:dyDescent="0.2">
      <c r="A604" s="8" t="s">
        <v>3687</v>
      </c>
      <c r="B604" s="8" t="str">
        <f t="shared" si="18"/>
        <v>1586243943</v>
      </c>
      <c r="C604" s="8" t="str">
        <f t="shared" si="19"/>
        <v>639</v>
      </c>
      <c r="D604" s="8" t="s">
        <v>119</v>
      </c>
      <c r="F604" s="8" t="s">
        <v>128</v>
      </c>
      <c r="G604" s="8" t="s">
        <v>129</v>
      </c>
      <c r="H604" s="8" t="s">
        <v>130</v>
      </c>
      <c r="I604" s="8" t="s">
        <v>181</v>
      </c>
      <c r="J604" s="8" t="s">
        <v>744</v>
      </c>
      <c r="K604" s="8" t="s">
        <v>190</v>
      </c>
      <c r="L604" s="8" t="s">
        <v>745</v>
      </c>
      <c r="M604" s="8" t="s">
        <v>2785</v>
      </c>
      <c r="N604" s="8" t="s">
        <v>129</v>
      </c>
      <c r="O604" s="8">
        <v>755.41</v>
      </c>
      <c r="P604" s="8">
        <v>839.34</v>
      </c>
      <c r="Q604" s="8" t="s">
        <v>2576</v>
      </c>
      <c r="R604" s="8" t="s">
        <v>896</v>
      </c>
    </row>
    <row r="605" spans="1:20" x14ac:dyDescent="0.2">
      <c r="A605" s="8" t="s">
        <v>3207</v>
      </c>
      <c r="B605" s="8" t="str">
        <f t="shared" si="18"/>
        <v>1586243943</v>
      </c>
      <c r="C605" s="8" t="str">
        <f t="shared" si="19"/>
        <v>640</v>
      </c>
      <c r="D605" s="8" t="s">
        <v>119</v>
      </c>
      <c r="F605" s="8" t="s">
        <v>128</v>
      </c>
      <c r="G605" s="8" t="s">
        <v>129</v>
      </c>
      <c r="H605" s="8" t="s">
        <v>130</v>
      </c>
      <c r="I605" s="8" t="s">
        <v>181</v>
      </c>
      <c r="J605" s="8" t="s">
        <v>744</v>
      </c>
      <c r="K605" s="8" t="s">
        <v>190</v>
      </c>
      <c r="L605" s="8" t="s">
        <v>745</v>
      </c>
      <c r="M605" s="8" t="s">
        <v>2785</v>
      </c>
      <c r="N605" s="8" t="s">
        <v>129</v>
      </c>
      <c r="O605" s="8">
        <v>755.41</v>
      </c>
      <c r="P605" s="8">
        <v>839.34</v>
      </c>
      <c r="Q605" s="8" t="s">
        <v>2576</v>
      </c>
      <c r="R605" s="8" t="s">
        <v>746</v>
      </c>
    </row>
    <row r="606" spans="1:20" x14ac:dyDescent="0.2">
      <c r="A606" s="8" t="s">
        <v>2838</v>
      </c>
      <c r="B606" s="8" t="str">
        <f t="shared" si="18"/>
        <v>1586243943</v>
      </c>
      <c r="C606" s="8" t="str">
        <f t="shared" si="19"/>
        <v>641</v>
      </c>
      <c r="D606" s="8" t="s">
        <v>119</v>
      </c>
      <c r="F606" s="8" t="s">
        <v>128</v>
      </c>
      <c r="G606" s="8" t="s">
        <v>129</v>
      </c>
      <c r="H606" s="8" t="s">
        <v>130</v>
      </c>
      <c r="I606" s="8" t="s">
        <v>181</v>
      </c>
      <c r="J606" s="8" t="s">
        <v>744</v>
      </c>
      <c r="K606" s="8" t="s">
        <v>190</v>
      </c>
      <c r="L606" s="8" t="s">
        <v>745</v>
      </c>
      <c r="M606" s="8" t="s">
        <v>2785</v>
      </c>
      <c r="N606" s="8" t="s">
        <v>129</v>
      </c>
      <c r="O606" s="8">
        <v>755.41</v>
      </c>
      <c r="P606" s="8">
        <v>839.34</v>
      </c>
      <c r="Q606" s="8" t="s">
        <v>2576</v>
      </c>
      <c r="S606" s="8" t="s">
        <v>1078</v>
      </c>
      <c r="T606" s="8">
        <v>77.459999999999994</v>
      </c>
    </row>
    <row r="607" spans="1:20" x14ac:dyDescent="0.2">
      <c r="A607" s="8" t="s">
        <v>4081</v>
      </c>
      <c r="B607" s="8" t="str">
        <f t="shared" si="18"/>
        <v>1586243943</v>
      </c>
      <c r="C607" s="8" t="str">
        <f t="shared" si="19"/>
        <v>642</v>
      </c>
      <c r="D607" s="8" t="s">
        <v>119</v>
      </c>
      <c r="F607" s="8" t="s">
        <v>128</v>
      </c>
      <c r="G607" s="8" t="s">
        <v>129</v>
      </c>
      <c r="H607" s="8" t="s">
        <v>130</v>
      </c>
      <c r="I607" s="8" t="s">
        <v>181</v>
      </c>
      <c r="J607" s="8" t="s">
        <v>744</v>
      </c>
      <c r="K607" s="8" t="s">
        <v>190</v>
      </c>
      <c r="L607" s="8" t="s">
        <v>745</v>
      </c>
      <c r="M607" s="8" t="s">
        <v>2785</v>
      </c>
      <c r="N607" s="8" t="s">
        <v>129</v>
      </c>
      <c r="O607" s="8">
        <v>755.41</v>
      </c>
      <c r="P607" s="8">
        <v>839.34</v>
      </c>
      <c r="Q607" s="8" t="s">
        <v>2576</v>
      </c>
      <c r="S607" s="8" t="s">
        <v>393</v>
      </c>
      <c r="T607" s="8">
        <v>169.67</v>
      </c>
    </row>
    <row r="608" spans="1:20" x14ac:dyDescent="0.2">
      <c r="A608" s="8" t="s">
        <v>2896</v>
      </c>
      <c r="B608" s="8" t="str">
        <f t="shared" si="18"/>
        <v>1586243943</v>
      </c>
      <c r="C608" s="8" t="str">
        <f t="shared" si="19"/>
        <v>643</v>
      </c>
      <c r="D608" s="8" t="s">
        <v>119</v>
      </c>
      <c r="F608" s="8" t="s">
        <v>128</v>
      </c>
      <c r="G608" s="8" t="s">
        <v>129</v>
      </c>
      <c r="H608" s="8" t="s">
        <v>130</v>
      </c>
      <c r="I608" s="8" t="s">
        <v>181</v>
      </c>
      <c r="J608" s="8" t="s">
        <v>744</v>
      </c>
      <c r="K608" s="8" t="s">
        <v>190</v>
      </c>
      <c r="L608" s="8" t="s">
        <v>745</v>
      </c>
      <c r="M608" s="8" t="s">
        <v>2785</v>
      </c>
      <c r="N608" s="8" t="s">
        <v>129</v>
      </c>
      <c r="O608" s="8">
        <v>755.41</v>
      </c>
      <c r="P608" s="8">
        <v>839.34</v>
      </c>
      <c r="Q608" s="8" t="s">
        <v>2576</v>
      </c>
      <c r="S608" s="8" t="s">
        <v>1210</v>
      </c>
      <c r="T608" s="8">
        <v>96.64</v>
      </c>
    </row>
    <row r="609" spans="1:20" x14ac:dyDescent="0.2">
      <c r="A609" s="8" t="s">
        <v>3790</v>
      </c>
      <c r="B609" s="8" t="str">
        <f t="shared" si="18"/>
        <v>1586243943</v>
      </c>
      <c r="C609" s="8" t="str">
        <f t="shared" si="19"/>
        <v>644</v>
      </c>
      <c r="D609" s="8" t="s">
        <v>119</v>
      </c>
      <c r="F609" s="8" t="s">
        <v>128</v>
      </c>
      <c r="G609" s="8" t="s">
        <v>129</v>
      </c>
      <c r="H609" s="8" t="s">
        <v>130</v>
      </c>
      <c r="I609" s="8" t="s">
        <v>181</v>
      </c>
      <c r="J609" s="8" t="s">
        <v>744</v>
      </c>
      <c r="K609" s="8" t="s">
        <v>190</v>
      </c>
      <c r="L609" s="8" t="s">
        <v>745</v>
      </c>
      <c r="M609" s="8" t="s">
        <v>2785</v>
      </c>
      <c r="N609" s="8" t="s">
        <v>129</v>
      </c>
      <c r="O609" s="8">
        <v>755.41</v>
      </c>
      <c r="P609" s="8">
        <v>839.34</v>
      </c>
      <c r="Q609" s="8" t="s">
        <v>2576</v>
      </c>
      <c r="S609" s="8" t="s">
        <v>845</v>
      </c>
      <c r="T609" s="8">
        <v>202.87</v>
      </c>
    </row>
    <row r="610" spans="1:20" x14ac:dyDescent="0.2">
      <c r="A610" s="8" t="s">
        <v>3679</v>
      </c>
      <c r="B610" s="8" t="str">
        <f t="shared" si="18"/>
        <v>1586243945</v>
      </c>
      <c r="C610" s="8" t="str">
        <f t="shared" si="19"/>
        <v>645</v>
      </c>
      <c r="D610" s="8" t="s">
        <v>119</v>
      </c>
      <c r="F610" s="8" t="s">
        <v>128</v>
      </c>
      <c r="G610" s="8" t="s">
        <v>129</v>
      </c>
      <c r="H610" s="8" t="s">
        <v>130</v>
      </c>
      <c r="I610" s="8" t="s">
        <v>193</v>
      </c>
      <c r="J610" s="8" t="s">
        <v>418</v>
      </c>
      <c r="K610" s="8" t="s">
        <v>419</v>
      </c>
      <c r="L610" s="8" t="s">
        <v>291</v>
      </c>
      <c r="M610" s="8" t="s">
        <v>2785</v>
      </c>
      <c r="N610" s="8" t="s">
        <v>129</v>
      </c>
      <c r="O610" s="8">
        <v>691.23</v>
      </c>
      <c r="P610" s="8">
        <v>768.03</v>
      </c>
      <c r="Q610" s="8" t="s">
        <v>2575</v>
      </c>
      <c r="R610" s="8" t="s">
        <v>1514</v>
      </c>
    </row>
    <row r="611" spans="1:20" x14ac:dyDescent="0.2">
      <c r="A611" s="8" t="s">
        <v>2995</v>
      </c>
      <c r="B611" s="8" t="str">
        <f t="shared" si="18"/>
        <v>1586243945</v>
      </c>
      <c r="C611" s="8" t="str">
        <f t="shared" si="19"/>
        <v>646</v>
      </c>
      <c r="D611" s="8" t="s">
        <v>119</v>
      </c>
      <c r="F611" s="8" t="s">
        <v>128</v>
      </c>
      <c r="G611" s="8" t="s">
        <v>129</v>
      </c>
      <c r="H611" s="8" t="s">
        <v>130</v>
      </c>
      <c r="I611" s="8" t="s">
        <v>193</v>
      </c>
      <c r="J611" s="8" t="s">
        <v>418</v>
      </c>
      <c r="K611" s="8" t="s">
        <v>419</v>
      </c>
      <c r="L611" s="8" t="s">
        <v>291</v>
      </c>
      <c r="M611" s="8" t="s">
        <v>2785</v>
      </c>
      <c r="N611" s="8" t="s">
        <v>129</v>
      </c>
      <c r="O611" s="8">
        <v>691.23</v>
      </c>
      <c r="P611" s="8">
        <v>768.03</v>
      </c>
      <c r="Q611" s="8" t="s">
        <v>2575</v>
      </c>
      <c r="R611" s="8" t="s">
        <v>2181</v>
      </c>
    </row>
    <row r="612" spans="1:20" x14ac:dyDescent="0.2">
      <c r="A612" s="8" t="s">
        <v>4717</v>
      </c>
      <c r="B612" s="8" t="str">
        <f t="shared" si="18"/>
        <v>1586243945</v>
      </c>
      <c r="C612" s="8" t="str">
        <f t="shared" si="19"/>
        <v>647</v>
      </c>
      <c r="D612" s="8" t="s">
        <v>119</v>
      </c>
      <c r="F612" s="8" t="s">
        <v>128</v>
      </c>
      <c r="G612" s="8" t="s">
        <v>129</v>
      </c>
      <c r="H612" s="8" t="s">
        <v>130</v>
      </c>
      <c r="I612" s="8" t="s">
        <v>193</v>
      </c>
      <c r="J612" s="8" t="s">
        <v>418</v>
      </c>
      <c r="K612" s="8" t="s">
        <v>419</v>
      </c>
      <c r="L612" s="8" t="s">
        <v>291</v>
      </c>
      <c r="M612" s="8" t="s">
        <v>2785</v>
      </c>
      <c r="N612" s="8" t="s">
        <v>129</v>
      </c>
      <c r="O612" s="8">
        <v>691.23</v>
      </c>
      <c r="P612" s="8">
        <v>768.03</v>
      </c>
      <c r="Q612" s="8" t="s">
        <v>2575</v>
      </c>
      <c r="R612" s="8" t="s">
        <v>433</v>
      </c>
    </row>
    <row r="613" spans="1:20" x14ac:dyDescent="0.2">
      <c r="A613" s="8" t="s">
        <v>2855</v>
      </c>
      <c r="B613" s="8" t="str">
        <f t="shared" si="18"/>
        <v>1586243945</v>
      </c>
      <c r="C613" s="8" t="str">
        <f t="shared" si="19"/>
        <v>648</v>
      </c>
      <c r="D613" s="8" t="s">
        <v>119</v>
      </c>
      <c r="F613" s="8" t="s">
        <v>128</v>
      </c>
      <c r="G613" s="8" t="s">
        <v>129</v>
      </c>
      <c r="H613" s="8" t="s">
        <v>130</v>
      </c>
      <c r="I613" s="8" t="s">
        <v>193</v>
      </c>
      <c r="J613" s="8" t="s">
        <v>418</v>
      </c>
      <c r="K613" s="8" t="s">
        <v>419</v>
      </c>
      <c r="L613" s="8" t="s">
        <v>291</v>
      </c>
      <c r="M613" s="8" t="s">
        <v>2785</v>
      </c>
      <c r="N613" s="8" t="s">
        <v>129</v>
      </c>
      <c r="O613" s="8">
        <v>691.23</v>
      </c>
      <c r="P613" s="8">
        <v>768.03</v>
      </c>
      <c r="Q613" s="8" t="s">
        <v>2575</v>
      </c>
      <c r="R613" s="8" t="s">
        <v>2426</v>
      </c>
    </row>
    <row r="614" spans="1:20" x14ac:dyDescent="0.2">
      <c r="A614" s="8" t="s">
        <v>4701</v>
      </c>
      <c r="B614" s="8" t="str">
        <f t="shared" si="18"/>
        <v>1586243945</v>
      </c>
      <c r="C614" s="8" t="str">
        <f t="shared" si="19"/>
        <v>649</v>
      </c>
      <c r="D614" s="8" t="s">
        <v>119</v>
      </c>
      <c r="F614" s="8" t="s">
        <v>128</v>
      </c>
      <c r="G614" s="8" t="s">
        <v>129</v>
      </c>
      <c r="H614" s="8" t="s">
        <v>130</v>
      </c>
      <c r="I614" s="8" t="s">
        <v>193</v>
      </c>
      <c r="J614" s="8" t="s">
        <v>418</v>
      </c>
      <c r="K614" s="8" t="s">
        <v>419</v>
      </c>
      <c r="L614" s="8" t="s">
        <v>291</v>
      </c>
      <c r="M614" s="8" t="s">
        <v>2785</v>
      </c>
      <c r="N614" s="8" t="s">
        <v>129</v>
      </c>
      <c r="O614" s="8">
        <v>691.23</v>
      </c>
      <c r="P614" s="8">
        <v>768.03</v>
      </c>
      <c r="Q614" s="8" t="s">
        <v>2575</v>
      </c>
      <c r="R614" s="8" t="s">
        <v>972</v>
      </c>
    </row>
    <row r="615" spans="1:20" x14ac:dyDescent="0.2">
      <c r="A615" s="8" t="s">
        <v>3036</v>
      </c>
      <c r="B615" s="8" t="str">
        <f t="shared" si="18"/>
        <v>1586243945</v>
      </c>
      <c r="C615" s="8" t="str">
        <f t="shared" si="19"/>
        <v>650</v>
      </c>
      <c r="D615" s="8" t="s">
        <v>119</v>
      </c>
      <c r="F615" s="8" t="s">
        <v>128</v>
      </c>
      <c r="G615" s="8" t="s">
        <v>129</v>
      </c>
      <c r="H615" s="8" t="s">
        <v>130</v>
      </c>
      <c r="I615" s="8" t="s">
        <v>193</v>
      </c>
      <c r="J615" s="8" t="s">
        <v>418</v>
      </c>
      <c r="K615" s="8" t="s">
        <v>419</v>
      </c>
      <c r="L615" s="8" t="s">
        <v>291</v>
      </c>
      <c r="M615" s="8" t="s">
        <v>2785</v>
      </c>
      <c r="N615" s="8" t="s">
        <v>129</v>
      </c>
      <c r="O615" s="8">
        <v>691.23</v>
      </c>
      <c r="P615" s="8">
        <v>768.03</v>
      </c>
      <c r="Q615" s="8" t="s">
        <v>2575</v>
      </c>
      <c r="R615" s="8" t="s">
        <v>2411</v>
      </c>
    </row>
    <row r="616" spans="1:20" x14ac:dyDescent="0.2">
      <c r="A616" s="8" t="s">
        <v>4565</v>
      </c>
      <c r="B616" s="8" t="str">
        <f t="shared" si="18"/>
        <v>1586243945</v>
      </c>
      <c r="C616" s="8" t="str">
        <f t="shared" si="19"/>
        <v>651</v>
      </c>
      <c r="D616" s="8" t="s">
        <v>119</v>
      </c>
      <c r="F616" s="8" t="s">
        <v>128</v>
      </c>
      <c r="G616" s="8" t="s">
        <v>129</v>
      </c>
      <c r="H616" s="8" t="s">
        <v>130</v>
      </c>
      <c r="I616" s="8" t="s">
        <v>193</v>
      </c>
      <c r="J616" s="8" t="s">
        <v>418</v>
      </c>
      <c r="K616" s="8" t="s">
        <v>419</v>
      </c>
      <c r="L616" s="8" t="s">
        <v>291</v>
      </c>
      <c r="M616" s="8" t="s">
        <v>2785</v>
      </c>
      <c r="N616" s="8" t="s">
        <v>129</v>
      </c>
      <c r="O616" s="8">
        <v>691.23</v>
      </c>
      <c r="P616" s="8">
        <v>768.03</v>
      </c>
      <c r="Q616" s="8" t="s">
        <v>2575</v>
      </c>
      <c r="S616" s="8" t="s">
        <v>184</v>
      </c>
      <c r="T616" s="8">
        <v>169.67</v>
      </c>
    </row>
    <row r="617" spans="1:20" x14ac:dyDescent="0.2">
      <c r="A617" s="8" t="s">
        <v>3807</v>
      </c>
      <c r="B617" s="8" t="str">
        <f t="shared" si="18"/>
        <v>1586243945</v>
      </c>
      <c r="C617" s="8" t="str">
        <f t="shared" si="19"/>
        <v>652</v>
      </c>
      <c r="D617" s="8" t="s">
        <v>119</v>
      </c>
      <c r="F617" s="8" t="s">
        <v>128</v>
      </c>
      <c r="G617" s="8" t="s">
        <v>129</v>
      </c>
      <c r="H617" s="8" t="s">
        <v>130</v>
      </c>
      <c r="I617" s="8" t="s">
        <v>193</v>
      </c>
      <c r="J617" s="8" t="s">
        <v>418</v>
      </c>
      <c r="K617" s="8" t="s">
        <v>419</v>
      </c>
      <c r="L617" s="8" t="s">
        <v>291</v>
      </c>
      <c r="M617" s="8" t="s">
        <v>2785</v>
      </c>
      <c r="N617" s="8" t="s">
        <v>129</v>
      </c>
      <c r="O617" s="8">
        <v>691.23</v>
      </c>
      <c r="P617" s="8">
        <v>768.03</v>
      </c>
      <c r="Q617" s="8" t="s">
        <v>2575</v>
      </c>
      <c r="S617" s="8" t="s">
        <v>420</v>
      </c>
      <c r="T617" s="8">
        <v>96.64</v>
      </c>
    </row>
    <row r="618" spans="1:20" x14ac:dyDescent="0.2">
      <c r="A618" s="8" t="s">
        <v>3652</v>
      </c>
      <c r="B618" s="8" t="str">
        <f t="shared" si="18"/>
        <v>1586243947</v>
      </c>
      <c r="C618" s="8" t="str">
        <f t="shared" si="19"/>
        <v>653</v>
      </c>
      <c r="D618" s="8" t="s">
        <v>119</v>
      </c>
      <c r="F618" s="8" t="s">
        <v>128</v>
      </c>
      <c r="G618" s="8" t="s">
        <v>129</v>
      </c>
      <c r="H618" s="8" t="s">
        <v>130</v>
      </c>
      <c r="I618" s="8" t="s">
        <v>193</v>
      </c>
      <c r="J618" s="8" t="s">
        <v>1040</v>
      </c>
      <c r="K618" s="8" t="s">
        <v>1041</v>
      </c>
      <c r="L618" s="8" t="s">
        <v>1042</v>
      </c>
      <c r="M618" s="8" t="s">
        <v>2785</v>
      </c>
      <c r="N618" s="8" t="s">
        <v>129</v>
      </c>
      <c r="O618" s="8">
        <v>884.51</v>
      </c>
      <c r="P618" s="8">
        <v>982.79</v>
      </c>
      <c r="Q618" s="8" t="s">
        <v>2577</v>
      </c>
      <c r="R618" s="8" t="s">
        <v>1845</v>
      </c>
    </row>
    <row r="619" spans="1:20" x14ac:dyDescent="0.2">
      <c r="A619" s="8" t="s">
        <v>3967</v>
      </c>
      <c r="B619" s="8" t="str">
        <f t="shared" si="18"/>
        <v>1586243947</v>
      </c>
      <c r="C619" s="8" t="str">
        <f t="shared" si="19"/>
        <v>654</v>
      </c>
      <c r="D619" s="8" t="s">
        <v>119</v>
      </c>
      <c r="F619" s="8" t="s">
        <v>128</v>
      </c>
      <c r="G619" s="8" t="s">
        <v>129</v>
      </c>
      <c r="H619" s="8" t="s">
        <v>130</v>
      </c>
      <c r="I619" s="8" t="s">
        <v>193</v>
      </c>
      <c r="J619" s="8" t="s">
        <v>1040</v>
      </c>
      <c r="K619" s="8" t="s">
        <v>1041</v>
      </c>
      <c r="L619" s="8" t="s">
        <v>1042</v>
      </c>
      <c r="M619" s="8" t="s">
        <v>2785</v>
      </c>
      <c r="N619" s="8" t="s">
        <v>129</v>
      </c>
      <c r="O619" s="8">
        <v>884.51</v>
      </c>
      <c r="P619" s="8">
        <v>982.79</v>
      </c>
      <c r="Q619" s="8" t="s">
        <v>2577</v>
      </c>
      <c r="R619" s="8" t="s">
        <v>1326</v>
      </c>
    </row>
    <row r="620" spans="1:20" x14ac:dyDescent="0.2">
      <c r="A620" s="8" t="s">
        <v>2901</v>
      </c>
      <c r="B620" s="8" t="str">
        <f t="shared" si="18"/>
        <v>1586243947</v>
      </c>
      <c r="C620" s="8" t="str">
        <f t="shared" si="19"/>
        <v>655</v>
      </c>
      <c r="D620" s="8" t="s">
        <v>119</v>
      </c>
      <c r="F620" s="8" t="s">
        <v>128</v>
      </c>
      <c r="G620" s="8" t="s">
        <v>129</v>
      </c>
      <c r="H620" s="8" t="s">
        <v>130</v>
      </c>
      <c r="I620" s="8" t="s">
        <v>193</v>
      </c>
      <c r="J620" s="8" t="s">
        <v>1040</v>
      </c>
      <c r="K620" s="8" t="s">
        <v>1041</v>
      </c>
      <c r="L620" s="8" t="s">
        <v>1042</v>
      </c>
      <c r="M620" s="8" t="s">
        <v>2785</v>
      </c>
      <c r="N620" s="8" t="s">
        <v>129</v>
      </c>
      <c r="O620" s="8">
        <v>884.51</v>
      </c>
      <c r="P620" s="8">
        <v>982.79</v>
      </c>
      <c r="Q620" s="8" t="s">
        <v>2577</v>
      </c>
      <c r="R620" s="8" t="s">
        <v>2116</v>
      </c>
    </row>
    <row r="621" spans="1:20" x14ac:dyDescent="0.2">
      <c r="A621" s="8" t="s">
        <v>4586</v>
      </c>
      <c r="B621" s="8" t="str">
        <f t="shared" si="18"/>
        <v>1586243947</v>
      </c>
      <c r="C621" s="8" t="str">
        <f t="shared" si="19"/>
        <v>656</v>
      </c>
      <c r="D621" s="8" t="s">
        <v>119</v>
      </c>
      <c r="F621" s="8" t="s">
        <v>128</v>
      </c>
      <c r="G621" s="8" t="s">
        <v>129</v>
      </c>
      <c r="H621" s="8" t="s">
        <v>130</v>
      </c>
      <c r="I621" s="8" t="s">
        <v>193</v>
      </c>
      <c r="J621" s="8" t="s">
        <v>1040</v>
      </c>
      <c r="K621" s="8" t="s">
        <v>1041</v>
      </c>
      <c r="L621" s="8" t="s">
        <v>1042</v>
      </c>
      <c r="M621" s="8" t="s">
        <v>2785</v>
      </c>
      <c r="N621" s="8" t="s">
        <v>129</v>
      </c>
      <c r="O621" s="8">
        <v>884.51</v>
      </c>
      <c r="P621" s="8">
        <v>982.79</v>
      </c>
      <c r="Q621" s="8" t="s">
        <v>2577</v>
      </c>
      <c r="R621" s="8" t="s">
        <v>2317</v>
      </c>
    </row>
    <row r="622" spans="1:20" x14ac:dyDescent="0.2">
      <c r="A622" s="8" t="s">
        <v>4368</v>
      </c>
      <c r="B622" s="8" t="str">
        <f t="shared" si="18"/>
        <v>1586243947</v>
      </c>
      <c r="C622" s="8" t="str">
        <f t="shared" si="19"/>
        <v>657</v>
      </c>
      <c r="D622" s="8" t="s">
        <v>119</v>
      </c>
      <c r="F622" s="8" t="s">
        <v>128</v>
      </c>
      <c r="G622" s="8" t="s">
        <v>129</v>
      </c>
      <c r="H622" s="8" t="s">
        <v>130</v>
      </c>
      <c r="I622" s="8" t="s">
        <v>193</v>
      </c>
      <c r="J622" s="8" t="s">
        <v>1040</v>
      </c>
      <c r="K622" s="8" t="s">
        <v>1041</v>
      </c>
      <c r="L622" s="8" t="s">
        <v>1042</v>
      </c>
      <c r="M622" s="8" t="s">
        <v>2785</v>
      </c>
      <c r="N622" s="8" t="s">
        <v>129</v>
      </c>
      <c r="O622" s="8">
        <v>884.51</v>
      </c>
      <c r="P622" s="8">
        <v>982.79</v>
      </c>
      <c r="Q622" s="8" t="s">
        <v>2577</v>
      </c>
      <c r="R622" s="8" t="s">
        <v>1555</v>
      </c>
    </row>
    <row r="623" spans="1:20" x14ac:dyDescent="0.2">
      <c r="A623" s="8" t="s">
        <v>3089</v>
      </c>
      <c r="B623" s="8" t="str">
        <f t="shared" si="18"/>
        <v>1586243947</v>
      </c>
      <c r="C623" s="8" t="str">
        <f t="shared" si="19"/>
        <v>658</v>
      </c>
      <c r="D623" s="8" t="s">
        <v>119</v>
      </c>
      <c r="F623" s="8" t="s">
        <v>128</v>
      </c>
      <c r="G623" s="8" t="s">
        <v>129</v>
      </c>
      <c r="H623" s="8" t="s">
        <v>130</v>
      </c>
      <c r="I623" s="8" t="s">
        <v>193</v>
      </c>
      <c r="J623" s="8" t="s">
        <v>1040</v>
      </c>
      <c r="K623" s="8" t="s">
        <v>1041</v>
      </c>
      <c r="L623" s="8" t="s">
        <v>1042</v>
      </c>
      <c r="M623" s="8" t="s">
        <v>2785</v>
      </c>
      <c r="N623" s="8" t="s">
        <v>129</v>
      </c>
      <c r="O623" s="8">
        <v>884.51</v>
      </c>
      <c r="P623" s="8">
        <v>982.79</v>
      </c>
      <c r="Q623" s="8" t="s">
        <v>2577</v>
      </c>
      <c r="R623" s="8" t="s">
        <v>1661</v>
      </c>
    </row>
    <row r="624" spans="1:20" x14ac:dyDescent="0.2">
      <c r="A624" s="8" t="s">
        <v>3062</v>
      </c>
      <c r="B624" s="8" t="str">
        <f t="shared" si="18"/>
        <v>1586243947</v>
      </c>
      <c r="C624" s="8" t="str">
        <f t="shared" si="19"/>
        <v>659</v>
      </c>
      <c r="D624" s="8" t="s">
        <v>119</v>
      </c>
      <c r="F624" s="8" t="s">
        <v>128</v>
      </c>
      <c r="G624" s="8" t="s">
        <v>129</v>
      </c>
      <c r="H624" s="8" t="s">
        <v>130</v>
      </c>
      <c r="I624" s="8" t="s">
        <v>193</v>
      </c>
      <c r="J624" s="8" t="s">
        <v>1040</v>
      </c>
      <c r="K624" s="8" t="s">
        <v>1041</v>
      </c>
      <c r="L624" s="8" t="s">
        <v>1042</v>
      </c>
      <c r="M624" s="8" t="s">
        <v>2785</v>
      </c>
      <c r="N624" s="8" t="s">
        <v>129</v>
      </c>
      <c r="O624" s="8">
        <v>884.51</v>
      </c>
      <c r="P624" s="8">
        <v>982.79</v>
      </c>
      <c r="Q624" s="8" t="s">
        <v>2577</v>
      </c>
      <c r="R624" s="8" t="s">
        <v>2120</v>
      </c>
    </row>
    <row r="625" spans="1:20" x14ac:dyDescent="0.2">
      <c r="A625" s="8" t="s">
        <v>3335</v>
      </c>
      <c r="B625" s="8" t="str">
        <f t="shared" si="18"/>
        <v>1586243947</v>
      </c>
      <c r="C625" s="8" t="str">
        <f t="shared" si="19"/>
        <v>660</v>
      </c>
      <c r="D625" s="8" t="s">
        <v>119</v>
      </c>
      <c r="F625" s="8" t="s">
        <v>128</v>
      </c>
      <c r="G625" s="8" t="s">
        <v>129</v>
      </c>
      <c r="H625" s="8" t="s">
        <v>130</v>
      </c>
      <c r="I625" s="8" t="s">
        <v>193</v>
      </c>
      <c r="J625" s="8" t="s">
        <v>1040</v>
      </c>
      <c r="K625" s="8" t="s">
        <v>1041</v>
      </c>
      <c r="L625" s="8" t="s">
        <v>1042</v>
      </c>
      <c r="M625" s="8" t="s">
        <v>2785</v>
      </c>
      <c r="N625" s="8" t="s">
        <v>129</v>
      </c>
      <c r="O625" s="8">
        <v>884.51</v>
      </c>
      <c r="P625" s="8">
        <v>982.79</v>
      </c>
      <c r="Q625" s="8" t="s">
        <v>2577</v>
      </c>
      <c r="R625" s="8" t="s">
        <v>1557</v>
      </c>
    </row>
    <row r="626" spans="1:20" x14ac:dyDescent="0.2">
      <c r="A626" s="8" t="s">
        <v>3204</v>
      </c>
      <c r="B626" s="8" t="str">
        <f t="shared" si="18"/>
        <v>1586243947</v>
      </c>
      <c r="C626" s="8" t="str">
        <f t="shared" si="19"/>
        <v>661</v>
      </c>
      <c r="D626" s="8" t="s">
        <v>119</v>
      </c>
      <c r="F626" s="8" t="s">
        <v>128</v>
      </c>
      <c r="G626" s="8" t="s">
        <v>129</v>
      </c>
      <c r="H626" s="8" t="s">
        <v>130</v>
      </c>
      <c r="I626" s="8" t="s">
        <v>193</v>
      </c>
      <c r="J626" s="8" t="s">
        <v>1040</v>
      </c>
      <c r="K626" s="8" t="s">
        <v>1041</v>
      </c>
      <c r="L626" s="8" t="s">
        <v>1042</v>
      </c>
      <c r="M626" s="8" t="s">
        <v>2785</v>
      </c>
      <c r="N626" s="8" t="s">
        <v>129</v>
      </c>
      <c r="O626" s="8">
        <v>884.51</v>
      </c>
      <c r="P626" s="8">
        <v>982.79</v>
      </c>
      <c r="Q626" s="8" t="s">
        <v>2577</v>
      </c>
      <c r="R626" s="8" t="s">
        <v>1692</v>
      </c>
    </row>
    <row r="627" spans="1:20" x14ac:dyDescent="0.2">
      <c r="A627" s="8" t="s">
        <v>4089</v>
      </c>
      <c r="B627" s="8" t="str">
        <f t="shared" si="18"/>
        <v>1586243947</v>
      </c>
      <c r="C627" s="8" t="str">
        <f t="shared" si="19"/>
        <v>662</v>
      </c>
      <c r="D627" s="8" t="s">
        <v>119</v>
      </c>
      <c r="F627" s="8" t="s">
        <v>128</v>
      </c>
      <c r="G627" s="8" t="s">
        <v>129</v>
      </c>
      <c r="H627" s="8" t="s">
        <v>130</v>
      </c>
      <c r="I627" s="8" t="s">
        <v>193</v>
      </c>
      <c r="J627" s="8" t="s">
        <v>1040</v>
      </c>
      <c r="K627" s="8" t="s">
        <v>1041</v>
      </c>
      <c r="L627" s="8" t="s">
        <v>1042</v>
      </c>
      <c r="M627" s="8" t="s">
        <v>2785</v>
      </c>
      <c r="N627" s="8" t="s">
        <v>129</v>
      </c>
      <c r="O627" s="8">
        <v>884.51</v>
      </c>
      <c r="P627" s="8">
        <v>982.79</v>
      </c>
      <c r="Q627" s="8" t="s">
        <v>2577</v>
      </c>
      <c r="R627" s="8" t="s">
        <v>1957</v>
      </c>
    </row>
    <row r="628" spans="1:20" x14ac:dyDescent="0.2">
      <c r="A628" s="8" t="s">
        <v>4109</v>
      </c>
      <c r="B628" s="8" t="str">
        <f t="shared" si="18"/>
        <v>1586243947</v>
      </c>
      <c r="C628" s="8" t="str">
        <f t="shared" si="19"/>
        <v>663</v>
      </c>
      <c r="D628" s="8" t="s">
        <v>119</v>
      </c>
      <c r="F628" s="8" t="s">
        <v>128</v>
      </c>
      <c r="G628" s="8" t="s">
        <v>129</v>
      </c>
      <c r="H628" s="8" t="s">
        <v>130</v>
      </c>
      <c r="I628" s="8" t="s">
        <v>193</v>
      </c>
      <c r="J628" s="8" t="s">
        <v>1040</v>
      </c>
      <c r="K628" s="8" t="s">
        <v>1041</v>
      </c>
      <c r="L628" s="8" t="s">
        <v>1042</v>
      </c>
      <c r="M628" s="8" t="s">
        <v>2785</v>
      </c>
      <c r="N628" s="8" t="s">
        <v>129</v>
      </c>
      <c r="O628" s="8">
        <v>884.51</v>
      </c>
      <c r="P628" s="8">
        <v>982.79</v>
      </c>
      <c r="Q628" s="8" t="s">
        <v>2577</v>
      </c>
      <c r="R628" s="8" t="s">
        <v>1043</v>
      </c>
    </row>
    <row r="629" spans="1:20" x14ac:dyDescent="0.2">
      <c r="A629" s="8" t="s">
        <v>4629</v>
      </c>
      <c r="B629" s="8" t="str">
        <f t="shared" si="18"/>
        <v>1586243947</v>
      </c>
      <c r="C629" s="8" t="str">
        <f t="shared" si="19"/>
        <v>664</v>
      </c>
      <c r="D629" s="8" t="s">
        <v>119</v>
      </c>
      <c r="F629" s="8" t="s">
        <v>128</v>
      </c>
      <c r="G629" s="8" t="s">
        <v>129</v>
      </c>
      <c r="H629" s="8" t="s">
        <v>130</v>
      </c>
      <c r="I629" s="8" t="s">
        <v>193</v>
      </c>
      <c r="J629" s="8" t="s">
        <v>1040</v>
      </c>
      <c r="K629" s="8" t="s">
        <v>1041</v>
      </c>
      <c r="L629" s="8" t="s">
        <v>1042</v>
      </c>
      <c r="M629" s="8" t="s">
        <v>2785</v>
      </c>
      <c r="N629" s="8" t="s">
        <v>129</v>
      </c>
      <c r="O629" s="8">
        <v>884.51</v>
      </c>
      <c r="P629" s="8">
        <v>982.79</v>
      </c>
      <c r="Q629" s="8" t="s">
        <v>2577</v>
      </c>
      <c r="S629" s="8" t="s">
        <v>1047</v>
      </c>
      <c r="T629" s="8">
        <v>207.3</v>
      </c>
    </row>
    <row r="630" spans="1:20" x14ac:dyDescent="0.2">
      <c r="A630" s="8" t="s">
        <v>2791</v>
      </c>
      <c r="B630" s="8" t="str">
        <f t="shared" si="18"/>
        <v>1586243947</v>
      </c>
      <c r="C630" s="8" t="str">
        <f t="shared" si="19"/>
        <v>665</v>
      </c>
      <c r="D630" s="8" t="s">
        <v>119</v>
      </c>
      <c r="F630" s="8" t="s">
        <v>128</v>
      </c>
      <c r="G630" s="8" t="s">
        <v>129</v>
      </c>
      <c r="H630" s="8" t="s">
        <v>130</v>
      </c>
      <c r="I630" s="8" t="s">
        <v>193</v>
      </c>
      <c r="J630" s="8" t="s">
        <v>1040</v>
      </c>
      <c r="K630" s="8" t="s">
        <v>1041</v>
      </c>
      <c r="L630" s="8" t="s">
        <v>1042</v>
      </c>
      <c r="M630" s="8" t="s">
        <v>2785</v>
      </c>
      <c r="N630" s="8" t="s">
        <v>129</v>
      </c>
      <c r="O630" s="8">
        <v>884.51</v>
      </c>
      <c r="P630" s="8">
        <v>982.79</v>
      </c>
      <c r="Q630" s="8" t="s">
        <v>2577</v>
      </c>
      <c r="S630" s="8" t="s">
        <v>184</v>
      </c>
      <c r="T630" s="8">
        <v>169.67</v>
      </c>
    </row>
    <row r="631" spans="1:20" x14ac:dyDescent="0.2">
      <c r="A631" s="8" t="s">
        <v>3897</v>
      </c>
      <c r="B631" s="8" t="str">
        <f t="shared" si="18"/>
        <v>1586243947</v>
      </c>
      <c r="C631" s="8" t="str">
        <f t="shared" si="19"/>
        <v>666</v>
      </c>
      <c r="D631" s="8" t="s">
        <v>119</v>
      </c>
      <c r="F631" s="8" t="s">
        <v>128</v>
      </c>
      <c r="G631" s="8" t="s">
        <v>129</v>
      </c>
      <c r="H631" s="8" t="s">
        <v>130</v>
      </c>
      <c r="I631" s="8" t="s">
        <v>193</v>
      </c>
      <c r="J631" s="8" t="s">
        <v>1040</v>
      </c>
      <c r="K631" s="8" t="s">
        <v>1041</v>
      </c>
      <c r="L631" s="8" t="s">
        <v>1042</v>
      </c>
      <c r="M631" s="8" t="s">
        <v>2785</v>
      </c>
      <c r="N631" s="8" t="s">
        <v>129</v>
      </c>
      <c r="O631" s="8">
        <v>884.51</v>
      </c>
      <c r="P631" s="8">
        <v>982.79</v>
      </c>
      <c r="Q631" s="8" t="s">
        <v>2577</v>
      </c>
      <c r="S631" s="8" t="s">
        <v>1926</v>
      </c>
      <c r="T631" s="8">
        <v>169.67</v>
      </c>
    </row>
    <row r="632" spans="1:20" x14ac:dyDescent="0.2">
      <c r="A632" s="8" t="s">
        <v>4531</v>
      </c>
      <c r="B632" s="8" t="str">
        <f t="shared" si="18"/>
        <v>1586243947</v>
      </c>
      <c r="C632" s="8" t="str">
        <f t="shared" si="19"/>
        <v>667</v>
      </c>
      <c r="D632" s="8" t="s">
        <v>119</v>
      </c>
      <c r="F632" s="8" t="s">
        <v>128</v>
      </c>
      <c r="G632" s="8" t="s">
        <v>129</v>
      </c>
      <c r="H632" s="8" t="s">
        <v>130</v>
      </c>
      <c r="I632" s="8" t="s">
        <v>193</v>
      </c>
      <c r="J632" s="8" t="s">
        <v>1040</v>
      </c>
      <c r="K632" s="8" t="s">
        <v>1041</v>
      </c>
      <c r="L632" s="8" t="s">
        <v>1042</v>
      </c>
      <c r="M632" s="8" t="s">
        <v>2785</v>
      </c>
      <c r="N632" s="8" t="s">
        <v>129</v>
      </c>
      <c r="O632" s="8">
        <v>884.51</v>
      </c>
      <c r="P632" s="8">
        <v>982.79</v>
      </c>
      <c r="Q632" s="8" t="s">
        <v>2577</v>
      </c>
      <c r="S632" s="8" t="s">
        <v>664</v>
      </c>
      <c r="T632" s="8">
        <v>53.85</v>
      </c>
    </row>
    <row r="633" spans="1:20" x14ac:dyDescent="0.2">
      <c r="A633" s="8" t="s">
        <v>4603</v>
      </c>
      <c r="B633" s="8" t="str">
        <f t="shared" si="18"/>
        <v>1586243949</v>
      </c>
      <c r="C633" s="8" t="str">
        <f t="shared" si="19"/>
        <v>668</v>
      </c>
      <c r="D633" s="8" t="s">
        <v>119</v>
      </c>
      <c r="F633" s="8" t="s">
        <v>128</v>
      </c>
      <c r="G633" s="8" t="s">
        <v>129</v>
      </c>
      <c r="H633" s="8" t="s">
        <v>130</v>
      </c>
      <c r="I633" s="8" t="s">
        <v>131</v>
      </c>
      <c r="J633" s="8" t="s">
        <v>1401</v>
      </c>
      <c r="K633" s="8" t="s">
        <v>1041</v>
      </c>
      <c r="L633" s="8" t="s">
        <v>1042</v>
      </c>
      <c r="M633" s="8" t="s">
        <v>2785</v>
      </c>
      <c r="N633" s="8" t="s">
        <v>129</v>
      </c>
      <c r="O633" s="8">
        <v>884.51</v>
      </c>
      <c r="P633" s="8">
        <v>982.79</v>
      </c>
      <c r="Q633" s="8" t="s">
        <v>2578</v>
      </c>
      <c r="R633" s="8" t="s">
        <v>1740</v>
      </c>
    </row>
    <row r="634" spans="1:20" x14ac:dyDescent="0.2">
      <c r="A634" s="8" t="s">
        <v>2883</v>
      </c>
      <c r="B634" s="8" t="str">
        <f t="shared" si="18"/>
        <v>1586243949</v>
      </c>
      <c r="C634" s="8" t="str">
        <f t="shared" si="19"/>
        <v>669</v>
      </c>
      <c r="D634" s="8" t="s">
        <v>119</v>
      </c>
      <c r="F634" s="8" t="s">
        <v>128</v>
      </c>
      <c r="G634" s="8" t="s">
        <v>129</v>
      </c>
      <c r="H634" s="8" t="s">
        <v>130</v>
      </c>
      <c r="I634" s="8" t="s">
        <v>131</v>
      </c>
      <c r="J634" s="8" t="s">
        <v>1401</v>
      </c>
      <c r="K634" s="8" t="s">
        <v>1041</v>
      </c>
      <c r="L634" s="8" t="s">
        <v>1042</v>
      </c>
      <c r="M634" s="8" t="s">
        <v>2785</v>
      </c>
      <c r="N634" s="8" t="s">
        <v>129</v>
      </c>
      <c r="O634" s="8">
        <v>884.51</v>
      </c>
      <c r="P634" s="8">
        <v>982.79</v>
      </c>
      <c r="Q634" s="8" t="s">
        <v>2578</v>
      </c>
      <c r="R634" s="8" t="s">
        <v>1672</v>
      </c>
    </row>
    <row r="635" spans="1:20" x14ac:dyDescent="0.2">
      <c r="A635" s="8" t="s">
        <v>2898</v>
      </c>
      <c r="B635" s="8" t="str">
        <f t="shared" si="18"/>
        <v>1586243949</v>
      </c>
      <c r="C635" s="8" t="str">
        <f t="shared" si="19"/>
        <v>670</v>
      </c>
      <c r="D635" s="8" t="s">
        <v>119</v>
      </c>
      <c r="F635" s="8" t="s">
        <v>128</v>
      </c>
      <c r="G635" s="8" t="s">
        <v>129</v>
      </c>
      <c r="H635" s="8" t="s">
        <v>130</v>
      </c>
      <c r="I635" s="8" t="s">
        <v>131</v>
      </c>
      <c r="J635" s="8" t="s">
        <v>1401</v>
      </c>
      <c r="K635" s="8" t="s">
        <v>1041</v>
      </c>
      <c r="L635" s="8" t="s">
        <v>1042</v>
      </c>
      <c r="M635" s="8" t="s">
        <v>2785</v>
      </c>
      <c r="N635" s="8" t="s">
        <v>129</v>
      </c>
      <c r="O635" s="8">
        <v>884.51</v>
      </c>
      <c r="P635" s="8">
        <v>982.79</v>
      </c>
      <c r="Q635" s="8" t="s">
        <v>2578</v>
      </c>
      <c r="R635" s="8" t="s">
        <v>2383</v>
      </c>
    </row>
    <row r="636" spans="1:20" x14ac:dyDescent="0.2">
      <c r="A636" s="8" t="s">
        <v>4562</v>
      </c>
      <c r="B636" s="8" t="str">
        <f t="shared" si="18"/>
        <v>1586243949</v>
      </c>
      <c r="C636" s="8" t="str">
        <f t="shared" si="19"/>
        <v>671</v>
      </c>
      <c r="D636" s="8" t="s">
        <v>119</v>
      </c>
      <c r="F636" s="8" t="s">
        <v>128</v>
      </c>
      <c r="G636" s="8" t="s">
        <v>129</v>
      </c>
      <c r="H636" s="8" t="s">
        <v>130</v>
      </c>
      <c r="I636" s="8" t="s">
        <v>131</v>
      </c>
      <c r="J636" s="8" t="s">
        <v>1401</v>
      </c>
      <c r="K636" s="8" t="s">
        <v>1041</v>
      </c>
      <c r="L636" s="8" t="s">
        <v>1042</v>
      </c>
      <c r="M636" s="8" t="s">
        <v>2785</v>
      </c>
      <c r="N636" s="8" t="s">
        <v>129</v>
      </c>
      <c r="O636" s="8">
        <v>884.51</v>
      </c>
      <c r="P636" s="8">
        <v>982.79</v>
      </c>
      <c r="Q636" s="8" t="s">
        <v>2578</v>
      </c>
      <c r="R636" s="8" t="s">
        <v>2324</v>
      </c>
    </row>
    <row r="637" spans="1:20" x14ac:dyDescent="0.2">
      <c r="A637" s="8" t="s">
        <v>3360</v>
      </c>
      <c r="B637" s="8" t="str">
        <f t="shared" si="18"/>
        <v>1586243949</v>
      </c>
      <c r="C637" s="8" t="str">
        <f t="shared" si="19"/>
        <v>672</v>
      </c>
      <c r="D637" s="8" t="s">
        <v>119</v>
      </c>
      <c r="F637" s="8" t="s">
        <v>128</v>
      </c>
      <c r="G637" s="8" t="s">
        <v>129</v>
      </c>
      <c r="H637" s="8" t="s">
        <v>130</v>
      </c>
      <c r="I637" s="8" t="s">
        <v>131</v>
      </c>
      <c r="J637" s="8" t="s">
        <v>1401</v>
      </c>
      <c r="K637" s="8" t="s">
        <v>1041</v>
      </c>
      <c r="L637" s="8" t="s">
        <v>1042</v>
      </c>
      <c r="M637" s="8" t="s">
        <v>2785</v>
      </c>
      <c r="N637" s="8" t="s">
        <v>129</v>
      </c>
      <c r="O637" s="8">
        <v>884.51</v>
      </c>
      <c r="P637" s="8">
        <v>982.79</v>
      </c>
      <c r="Q637" s="8" t="s">
        <v>2578</v>
      </c>
      <c r="R637" s="8" t="s">
        <v>1604</v>
      </c>
    </row>
    <row r="638" spans="1:20" x14ac:dyDescent="0.2">
      <c r="A638" s="8" t="s">
        <v>2789</v>
      </c>
      <c r="B638" s="8" t="str">
        <f t="shared" si="18"/>
        <v>1586243949</v>
      </c>
      <c r="C638" s="8" t="str">
        <f t="shared" si="19"/>
        <v>673</v>
      </c>
      <c r="D638" s="8" t="s">
        <v>119</v>
      </c>
      <c r="F638" s="8" t="s">
        <v>128</v>
      </c>
      <c r="G638" s="8" t="s">
        <v>129</v>
      </c>
      <c r="H638" s="8" t="s">
        <v>130</v>
      </c>
      <c r="I638" s="8" t="s">
        <v>131</v>
      </c>
      <c r="J638" s="8" t="s">
        <v>1401</v>
      </c>
      <c r="K638" s="8" t="s">
        <v>1041</v>
      </c>
      <c r="L638" s="8" t="s">
        <v>1042</v>
      </c>
      <c r="M638" s="8" t="s">
        <v>2785</v>
      </c>
      <c r="N638" s="8" t="s">
        <v>129</v>
      </c>
      <c r="O638" s="8">
        <v>884.51</v>
      </c>
      <c r="P638" s="8">
        <v>982.79</v>
      </c>
      <c r="Q638" s="8" t="s">
        <v>2578</v>
      </c>
      <c r="R638" s="8" t="s">
        <v>1717</v>
      </c>
    </row>
    <row r="639" spans="1:20" x14ac:dyDescent="0.2">
      <c r="A639" s="8" t="s">
        <v>3066</v>
      </c>
      <c r="B639" s="8" t="str">
        <f t="shared" si="18"/>
        <v>1586243949</v>
      </c>
      <c r="C639" s="8" t="str">
        <f t="shared" si="19"/>
        <v>674</v>
      </c>
      <c r="D639" s="8" t="s">
        <v>119</v>
      </c>
      <c r="F639" s="8" t="s">
        <v>128</v>
      </c>
      <c r="G639" s="8" t="s">
        <v>129</v>
      </c>
      <c r="H639" s="8" t="s">
        <v>130</v>
      </c>
      <c r="I639" s="8" t="s">
        <v>131</v>
      </c>
      <c r="J639" s="8" t="s">
        <v>1401</v>
      </c>
      <c r="K639" s="8" t="s">
        <v>1041</v>
      </c>
      <c r="L639" s="8" t="s">
        <v>1042</v>
      </c>
      <c r="M639" s="8" t="s">
        <v>2785</v>
      </c>
      <c r="N639" s="8" t="s">
        <v>129</v>
      </c>
      <c r="O639" s="8">
        <v>884.51</v>
      </c>
      <c r="P639" s="8">
        <v>982.79</v>
      </c>
      <c r="Q639" s="8" t="s">
        <v>2578</v>
      </c>
      <c r="R639" s="8" t="s">
        <v>1970</v>
      </c>
    </row>
    <row r="640" spans="1:20" x14ac:dyDescent="0.2">
      <c r="A640" s="8" t="s">
        <v>2920</v>
      </c>
      <c r="B640" s="8" t="str">
        <f t="shared" si="18"/>
        <v>1586243949</v>
      </c>
      <c r="C640" s="8" t="str">
        <f t="shared" si="19"/>
        <v>675</v>
      </c>
      <c r="D640" s="8" t="s">
        <v>119</v>
      </c>
      <c r="F640" s="8" t="s">
        <v>128</v>
      </c>
      <c r="G640" s="8" t="s">
        <v>129</v>
      </c>
      <c r="H640" s="8" t="s">
        <v>130</v>
      </c>
      <c r="I640" s="8" t="s">
        <v>131</v>
      </c>
      <c r="J640" s="8" t="s">
        <v>1401</v>
      </c>
      <c r="K640" s="8" t="s">
        <v>1041</v>
      </c>
      <c r="L640" s="8" t="s">
        <v>1042</v>
      </c>
      <c r="M640" s="8" t="s">
        <v>2785</v>
      </c>
      <c r="N640" s="8" t="s">
        <v>129</v>
      </c>
      <c r="O640" s="8">
        <v>884.51</v>
      </c>
      <c r="P640" s="8">
        <v>982.79</v>
      </c>
      <c r="Q640" s="8" t="s">
        <v>2578</v>
      </c>
      <c r="R640" s="8" t="s">
        <v>2299</v>
      </c>
    </row>
    <row r="641" spans="1:20" x14ac:dyDescent="0.2">
      <c r="A641" s="8" t="s">
        <v>2915</v>
      </c>
      <c r="B641" s="8" t="str">
        <f t="shared" si="18"/>
        <v>1586243949</v>
      </c>
      <c r="C641" s="8" t="str">
        <f t="shared" si="19"/>
        <v>676</v>
      </c>
      <c r="D641" s="8" t="s">
        <v>119</v>
      </c>
      <c r="F641" s="8" t="s">
        <v>128</v>
      </c>
      <c r="G641" s="8" t="s">
        <v>129</v>
      </c>
      <c r="H641" s="8" t="s">
        <v>130</v>
      </c>
      <c r="I641" s="8" t="s">
        <v>131</v>
      </c>
      <c r="J641" s="8" t="s">
        <v>1401</v>
      </c>
      <c r="K641" s="8" t="s">
        <v>1041</v>
      </c>
      <c r="L641" s="8" t="s">
        <v>1042</v>
      </c>
      <c r="M641" s="8" t="s">
        <v>2785</v>
      </c>
      <c r="N641" s="8" t="s">
        <v>129</v>
      </c>
      <c r="O641" s="8">
        <v>884.51</v>
      </c>
      <c r="P641" s="8">
        <v>982.79</v>
      </c>
      <c r="Q641" s="8" t="s">
        <v>2578</v>
      </c>
      <c r="R641" s="8" t="s">
        <v>1869</v>
      </c>
    </row>
    <row r="642" spans="1:20" x14ac:dyDescent="0.2">
      <c r="A642" s="8" t="s">
        <v>3138</v>
      </c>
      <c r="B642" s="8" t="str">
        <f t="shared" ref="B642:B705" si="20">LEFT(A642, FIND("-", A642) - 1)</f>
        <v>1586243949</v>
      </c>
      <c r="C642" s="8" t="str">
        <f t="shared" ref="C642:C705" si="21">RIGHT(A642, LEN(A642) - FIND("-", A642))</f>
        <v>677</v>
      </c>
      <c r="D642" s="8" t="s">
        <v>119</v>
      </c>
      <c r="F642" s="8" t="s">
        <v>128</v>
      </c>
      <c r="G642" s="8" t="s">
        <v>129</v>
      </c>
      <c r="H642" s="8" t="s">
        <v>130</v>
      </c>
      <c r="I642" s="8" t="s">
        <v>131</v>
      </c>
      <c r="J642" s="8" t="s">
        <v>1401</v>
      </c>
      <c r="K642" s="8" t="s">
        <v>1041</v>
      </c>
      <c r="L642" s="8" t="s">
        <v>1042</v>
      </c>
      <c r="M642" s="8" t="s">
        <v>2785</v>
      </c>
      <c r="N642" s="8" t="s">
        <v>129</v>
      </c>
      <c r="O642" s="8">
        <v>884.51</v>
      </c>
      <c r="P642" s="8">
        <v>982.79</v>
      </c>
      <c r="Q642" s="8" t="s">
        <v>2578</v>
      </c>
      <c r="R642" s="8" t="s">
        <v>1402</v>
      </c>
    </row>
    <row r="643" spans="1:20" x14ac:dyDescent="0.2">
      <c r="A643" s="8" t="s">
        <v>3122</v>
      </c>
      <c r="B643" s="8" t="str">
        <f t="shared" si="20"/>
        <v>1586243949</v>
      </c>
      <c r="C643" s="8" t="str">
        <f t="shared" si="21"/>
        <v>678</v>
      </c>
      <c r="D643" s="8" t="s">
        <v>119</v>
      </c>
      <c r="F643" s="8" t="s">
        <v>128</v>
      </c>
      <c r="G643" s="8" t="s">
        <v>129</v>
      </c>
      <c r="H643" s="8" t="s">
        <v>130</v>
      </c>
      <c r="I643" s="8" t="s">
        <v>131</v>
      </c>
      <c r="J643" s="8" t="s">
        <v>1401</v>
      </c>
      <c r="K643" s="8" t="s">
        <v>1041</v>
      </c>
      <c r="L643" s="8" t="s">
        <v>1042</v>
      </c>
      <c r="M643" s="8" t="s">
        <v>2785</v>
      </c>
      <c r="N643" s="8" t="s">
        <v>129</v>
      </c>
      <c r="O643" s="8">
        <v>884.51</v>
      </c>
      <c r="P643" s="8">
        <v>982.79</v>
      </c>
      <c r="Q643" s="8" t="s">
        <v>2578</v>
      </c>
      <c r="R643" s="8" t="s">
        <v>1758</v>
      </c>
    </row>
    <row r="644" spans="1:20" x14ac:dyDescent="0.2">
      <c r="A644" s="8" t="s">
        <v>4563</v>
      </c>
      <c r="B644" s="8" t="str">
        <f t="shared" si="20"/>
        <v>1586243949</v>
      </c>
      <c r="C644" s="8" t="str">
        <f t="shared" si="21"/>
        <v>679</v>
      </c>
      <c r="D644" s="8" t="s">
        <v>119</v>
      </c>
      <c r="F644" s="8" t="s">
        <v>128</v>
      </c>
      <c r="G644" s="8" t="s">
        <v>129</v>
      </c>
      <c r="H644" s="8" t="s">
        <v>130</v>
      </c>
      <c r="I644" s="8" t="s">
        <v>131</v>
      </c>
      <c r="J644" s="8" t="s">
        <v>1401</v>
      </c>
      <c r="K644" s="8" t="s">
        <v>1041</v>
      </c>
      <c r="L644" s="8" t="s">
        <v>1042</v>
      </c>
      <c r="M644" s="8" t="s">
        <v>2785</v>
      </c>
      <c r="N644" s="8" t="s">
        <v>129</v>
      </c>
      <c r="O644" s="8">
        <v>884.51</v>
      </c>
      <c r="P644" s="8">
        <v>982.79</v>
      </c>
      <c r="Q644" s="8" t="s">
        <v>2578</v>
      </c>
      <c r="S644" s="8" t="s">
        <v>142</v>
      </c>
      <c r="T644" s="8">
        <v>86.31</v>
      </c>
    </row>
    <row r="645" spans="1:20" x14ac:dyDescent="0.2">
      <c r="A645" s="8" t="s">
        <v>4214</v>
      </c>
      <c r="B645" s="8" t="str">
        <f t="shared" si="20"/>
        <v>1586243949</v>
      </c>
      <c r="C645" s="8" t="str">
        <f t="shared" si="21"/>
        <v>680</v>
      </c>
      <c r="D645" s="8" t="s">
        <v>119</v>
      </c>
      <c r="F645" s="8" t="s">
        <v>128</v>
      </c>
      <c r="G645" s="8" t="s">
        <v>129</v>
      </c>
      <c r="H645" s="8" t="s">
        <v>130</v>
      </c>
      <c r="I645" s="8" t="s">
        <v>131</v>
      </c>
      <c r="J645" s="8" t="s">
        <v>1401</v>
      </c>
      <c r="K645" s="8" t="s">
        <v>1041</v>
      </c>
      <c r="L645" s="8" t="s">
        <v>1042</v>
      </c>
      <c r="M645" s="8" t="s">
        <v>2785</v>
      </c>
      <c r="N645" s="8" t="s">
        <v>129</v>
      </c>
      <c r="O645" s="8">
        <v>884.51</v>
      </c>
      <c r="P645" s="8">
        <v>982.79</v>
      </c>
      <c r="Q645" s="8" t="s">
        <v>2578</v>
      </c>
      <c r="S645" s="8" t="s">
        <v>184</v>
      </c>
      <c r="T645" s="8">
        <v>169.67</v>
      </c>
    </row>
    <row r="646" spans="1:20" x14ac:dyDescent="0.2">
      <c r="A646" s="8" t="s">
        <v>2787</v>
      </c>
      <c r="B646" s="8" t="str">
        <f t="shared" si="20"/>
        <v>1586243949</v>
      </c>
      <c r="C646" s="8" t="str">
        <f t="shared" si="21"/>
        <v>681</v>
      </c>
      <c r="D646" s="8" t="s">
        <v>119</v>
      </c>
      <c r="F646" s="8" t="s">
        <v>128</v>
      </c>
      <c r="G646" s="8" t="s">
        <v>129</v>
      </c>
      <c r="H646" s="8" t="s">
        <v>130</v>
      </c>
      <c r="I646" s="8" t="s">
        <v>131</v>
      </c>
      <c r="J646" s="8" t="s">
        <v>1401</v>
      </c>
      <c r="K646" s="8" t="s">
        <v>1041</v>
      </c>
      <c r="L646" s="8" t="s">
        <v>1042</v>
      </c>
      <c r="M646" s="8" t="s">
        <v>2785</v>
      </c>
      <c r="N646" s="8" t="s">
        <v>129</v>
      </c>
      <c r="O646" s="8">
        <v>884.51</v>
      </c>
      <c r="P646" s="8">
        <v>982.79</v>
      </c>
      <c r="Q646" s="8" t="s">
        <v>2578</v>
      </c>
      <c r="S646" s="8" t="s">
        <v>664</v>
      </c>
      <c r="T646" s="8">
        <v>53.85</v>
      </c>
    </row>
    <row r="647" spans="1:20" x14ac:dyDescent="0.2">
      <c r="A647" s="8" t="s">
        <v>3914</v>
      </c>
      <c r="B647" s="8" t="str">
        <f t="shared" si="20"/>
        <v>1586243951</v>
      </c>
      <c r="C647" s="8" t="str">
        <f t="shared" si="21"/>
        <v>682</v>
      </c>
      <c r="D647" s="8" t="s">
        <v>119</v>
      </c>
      <c r="F647" s="8" t="s">
        <v>128</v>
      </c>
      <c r="G647" s="8" t="s">
        <v>129</v>
      </c>
      <c r="H647" s="8" t="s">
        <v>130</v>
      </c>
      <c r="I647" s="8" t="s">
        <v>131</v>
      </c>
      <c r="J647" s="8" t="s">
        <v>1648</v>
      </c>
      <c r="K647" s="8" t="s">
        <v>677</v>
      </c>
      <c r="L647" s="8" t="s">
        <v>678</v>
      </c>
      <c r="M647" s="8" t="s">
        <v>2785</v>
      </c>
      <c r="N647" s="8" t="s">
        <v>129</v>
      </c>
      <c r="O647" s="8">
        <v>922.87</v>
      </c>
      <c r="P647" s="8">
        <v>1025.4100000000001</v>
      </c>
      <c r="Q647" s="8" t="s">
        <v>2579</v>
      </c>
      <c r="R647" s="8" t="s">
        <v>1743</v>
      </c>
    </row>
    <row r="648" spans="1:20" x14ac:dyDescent="0.2">
      <c r="A648" s="8" t="s">
        <v>3645</v>
      </c>
      <c r="B648" s="8" t="str">
        <f t="shared" si="20"/>
        <v>1586243951</v>
      </c>
      <c r="C648" s="8" t="str">
        <f t="shared" si="21"/>
        <v>683</v>
      </c>
      <c r="D648" s="8" t="s">
        <v>119</v>
      </c>
      <c r="F648" s="8" t="s">
        <v>128</v>
      </c>
      <c r="G648" s="8" t="s">
        <v>129</v>
      </c>
      <c r="H648" s="8" t="s">
        <v>130</v>
      </c>
      <c r="I648" s="8" t="s">
        <v>131</v>
      </c>
      <c r="J648" s="8" t="s">
        <v>1648</v>
      </c>
      <c r="K648" s="8" t="s">
        <v>677</v>
      </c>
      <c r="L648" s="8" t="s">
        <v>678</v>
      </c>
      <c r="M648" s="8" t="s">
        <v>2785</v>
      </c>
      <c r="N648" s="8" t="s">
        <v>129</v>
      </c>
      <c r="O648" s="8">
        <v>922.87</v>
      </c>
      <c r="P648" s="8">
        <v>1025.4100000000001</v>
      </c>
      <c r="Q648" s="8" t="s">
        <v>2579</v>
      </c>
      <c r="R648" s="8" t="s">
        <v>1649</v>
      </c>
    </row>
    <row r="649" spans="1:20" x14ac:dyDescent="0.2">
      <c r="A649" s="8" t="s">
        <v>3434</v>
      </c>
      <c r="B649" s="8" t="str">
        <f t="shared" si="20"/>
        <v>1586243951</v>
      </c>
      <c r="C649" s="8" t="str">
        <f t="shared" si="21"/>
        <v>684</v>
      </c>
      <c r="D649" s="8" t="s">
        <v>119</v>
      </c>
      <c r="F649" s="8" t="s">
        <v>128</v>
      </c>
      <c r="G649" s="8" t="s">
        <v>129</v>
      </c>
      <c r="H649" s="8" t="s">
        <v>130</v>
      </c>
      <c r="I649" s="8" t="s">
        <v>131</v>
      </c>
      <c r="J649" s="8" t="s">
        <v>1648</v>
      </c>
      <c r="K649" s="8" t="s">
        <v>677</v>
      </c>
      <c r="L649" s="8" t="s">
        <v>678</v>
      </c>
      <c r="M649" s="8" t="s">
        <v>2785</v>
      </c>
      <c r="N649" s="8" t="s">
        <v>129</v>
      </c>
      <c r="O649" s="8">
        <v>922.87</v>
      </c>
      <c r="P649" s="8">
        <v>1025.4100000000001</v>
      </c>
      <c r="Q649" s="8" t="s">
        <v>2579</v>
      </c>
      <c r="R649" s="8" t="s">
        <v>2365</v>
      </c>
    </row>
    <row r="650" spans="1:20" x14ac:dyDescent="0.2">
      <c r="A650" s="8" t="s">
        <v>4230</v>
      </c>
      <c r="B650" s="8" t="str">
        <f t="shared" si="20"/>
        <v>1586243951</v>
      </c>
      <c r="C650" s="8" t="str">
        <f t="shared" si="21"/>
        <v>685</v>
      </c>
      <c r="D650" s="8" t="s">
        <v>119</v>
      </c>
      <c r="F650" s="8" t="s">
        <v>128</v>
      </c>
      <c r="G650" s="8" t="s">
        <v>129</v>
      </c>
      <c r="H650" s="8" t="s">
        <v>130</v>
      </c>
      <c r="I650" s="8" t="s">
        <v>131</v>
      </c>
      <c r="J650" s="8" t="s">
        <v>1648</v>
      </c>
      <c r="K650" s="8" t="s">
        <v>677</v>
      </c>
      <c r="L650" s="8" t="s">
        <v>678</v>
      </c>
      <c r="M650" s="8" t="s">
        <v>2785</v>
      </c>
      <c r="N650" s="8" t="s">
        <v>129</v>
      </c>
      <c r="O650" s="8">
        <v>922.87</v>
      </c>
      <c r="P650" s="8">
        <v>1025.4100000000001</v>
      </c>
      <c r="Q650" s="8" t="s">
        <v>2579</v>
      </c>
      <c r="R650" s="8" t="s">
        <v>2390</v>
      </c>
    </row>
    <row r="651" spans="1:20" x14ac:dyDescent="0.2">
      <c r="A651" s="8" t="s">
        <v>4227</v>
      </c>
      <c r="B651" s="8" t="str">
        <f t="shared" si="20"/>
        <v>1586243951</v>
      </c>
      <c r="C651" s="8" t="str">
        <f t="shared" si="21"/>
        <v>686</v>
      </c>
      <c r="D651" s="8" t="s">
        <v>119</v>
      </c>
      <c r="F651" s="8" t="s">
        <v>128</v>
      </c>
      <c r="G651" s="8" t="s">
        <v>129</v>
      </c>
      <c r="H651" s="8" t="s">
        <v>130</v>
      </c>
      <c r="I651" s="8" t="s">
        <v>131</v>
      </c>
      <c r="J651" s="8" t="s">
        <v>1648</v>
      </c>
      <c r="K651" s="8" t="s">
        <v>677</v>
      </c>
      <c r="L651" s="8" t="s">
        <v>678</v>
      </c>
      <c r="M651" s="8" t="s">
        <v>2785</v>
      </c>
      <c r="N651" s="8" t="s">
        <v>129</v>
      </c>
      <c r="O651" s="8">
        <v>922.87</v>
      </c>
      <c r="P651" s="8">
        <v>1025.4100000000001</v>
      </c>
      <c r="Q651" s="8" t="s">
        <v>2579</v>
      </c>
      <c r="R651" s="8" t="s">
        <v>1781</v>
      </c>
    </row>
    <row r="652" spans="1:20" x14ac:dyDescent="0.2">
      <c r="A652" s="8" t="s">
        <v>2856</v>
      </c>
      <c r="B652" s="8" t="str">
        <f t="shared" si="20"/>
        <v>1586243951</v>
      </c>
      <c r="C652" s="8" t="str">
        <f t="shared" si="21"/>
        <v>687</v>
      </c>
      <c r="D652" s="8" t="s">
        <v>119</v>
      </c>
      <c r="F652" s="8" t="s">
        <v>128</v>
      </c>
      <c r="G652" s="8" t="s">
        <v>129</v>
      </c>
      <c r="H652" s="8" t="s">
        <v>130</v>
      </c>
      <c r="I652" s="8" t="s">
        <v>131</v>
      </c>
      <c r="J652" s="8" t="s">
        <v>1648</v>
      </c>
      <c r="K652" s="8" t="s">
        <v>677</v>
      </c>
      <c r="L652" s="8" t="s">
        <v>678</v>
      </c>
      <c r="M652" s="8" t="s">
        <v>2785</v>
      </c>
      <c r="N652" s="8" t="s">
        <v>129</v>
      </c>
      <c r="O652" s="8">
        <v>922.87</v>
      </c>
      <c r="P652" s="8">
        <v>1025.4100000000001</v>
      </c>
      <c r="Q652" s="8" t="s">
        <v>2579</v>
      </c>
      <c r="S652" s="8" t="s">
        <v>142</v>
      </c>
      <c r="T652" s="8">
        <v>86.31</v>
      </c>
    </row>
    <row r="653" spans="1:20" x14ac:dyDescent="0.2">
      <c r="A653" s="8" t="s">
        <v>3696</v>
      </c>
      <c r="B653" s="8" t="str">
        <f t="shared" si="20"/>
        <v>1586243951</v>
      </c>
      <c r="C653" s="8" t="str">
        <f t="shared" si="21"/>
        <v>688</v>
      </c>
      <c r="D653" s="8" t="s">
        <v>119</v>
      </c>
      <c r="F653" s="8" t="s">
        <v>128</v>
      </c>
      <c r="G653" s="8" t="s">
        <v>129</v>
      </c>
      <c r="H653" s="8" t="s">
        <v>130</v>
      </c>
      <c r="I653" s="8" t="s">
        <v>131</v>
      </c>
      <c r="J653" s="8" t="s">
        <v>1648</v>
      </c>
      <c r="K653" s="8" t="s">
        <v>677</v>
      </c>
      <c r="L653" s="8" t="s">
        <v>678</v>
      </c>
      <c r="M653" s="8" t="s">
        <v>2785</v>
      </c>
      <c r="N653" s="8" t="s">
        <v>129</v>
      </c>
      <c r="O653" s="8">
        <v>922.87</v>
      </c>
      <c r="P653" s="8">
        <v>1025.4100000000001</v>
      </c>
      <c r="Q653" s="8" t="s">
        <v>2579</v>
      </c>
      <c r="S653" s="8" t="s">
        <v>184</v>
      </c>
      <c r="T653" s="8">
        <v>169.67</v>
      </c>
    </row>
    <row r="654" spans="1:20" x14ac:dyDescent="0.2">
      <c r="A654" s="8" t="s">
        <v>4513</v>
      </c>
      <c r="B654" s="8" t="str">
        <f t="shared" si="20"/>
        <v>1586243953</v>
      </c>
      <c r="C654" s="8" t="str">
        <f t="shared" si="21"/>
        <v>689</v>
      </c>
      <c r="D654" s="8" t="s">
        <v>119</v>
      </c>
      <c r="F654" s="8" t="s">
        <v>128</v>
      </c>
      <c r="G654" s="8" t="s">
        <v>129</v>
      </c>
      <c r="H654" s="8" t="s">
        <v>130</v>
      </c>
      <c r="I654" s="8" t="s">
        <v>193</v>
      </c>
      <c r="J654" s="8" t="s">
        <v>676</v>
      </c>
      <c r="K654" s="8" t="s">
        <v>677</v>
      </c>
      <c r="L654" s="8" t="s">
        <v>678</v>
      </c>
      <c r="M654" s="8" t="s">
        <v>2785</v>
      </c>
      <c r="N654" s="8" t="s">
        <v>129</v>
      </c>
      <c r="O654" s="8">
        <v>922.87</v>
      </c>
      <c r="P654" s="8">
        <v>1025.4100000000001</v>
      </c>
      <c r="Q654" s="8" t="s">
        <v>2579</v>
      </c>
      <c r="R654" s="8" t="s">
        <v>2460</v>
      </c>
    </row>
    <row r="655" spans="1:20" x14ac:dyDescent="0.2">
      <c r="A655" s="8" t="s">
        <v>3998</v>
      </c>
      <c r="B655" s="8" t="str">
        <f t="shared" si="20"/>
        <v>1586243953</v>
      </c>
      <c r="C655" s="8" t="str">
        <f t="shared" si="21"/>
        <v>690</v>
      </c>
      <c r="D655" s="8" t="s">
        <v>119</v>
      </c>
      <c r="F655" s="8" t="s">
        <v>128</v>
      </c>
      <c r="G655" s="8" t="s">
        <v>129</v>
      </c>
      <c r="H655" s="8" t="s">
        <v>130</v>
      </c>
      <c r="I655" s="8" t="s">
        <v>193</v>
      </c>
      <c r="J655" s="8" t="s">
        <v>676</v>
      </c>
      <c r="K655" s="8" t="s">
        <v>677</v>
      </c>
      <c r="L655" s="8" t="s">
        <v>678</v>
      </c>
      <c r="M655" s="8" t="s">
        <v>2785</v>
      </c>
      <c r="N655" s="8" t="s">
        <v>129</v>
      </c>
      <c r="O655" s="8">
        <v>922.87</v>
      </c>
      <c r="P655" s="8">
        <v>1025.4100000000001</v>
      </c>
      <c r="Q655" s="8" t="s">
        <v>2579</v>
      </c>
      <c r="R655" s="8" t="s">
        <v>1225</v>
      </c>
    </row>
    <row r="656" spans="1:20" x14ac:dyDescent="0.2">
      <c r="A656" s="8" t="s">
        <v>3541</v>
      </c>
      <c r="B656" s="8" t="str">
        <f t="shared" si="20"/>
        <v>1586243953</v>
      </c>
      <c r="C656" s="8" t="str">
        <f t="shared" si="21"/>
        <v>691</v>
      </c>
      <c r="D656" s="8" t="s">
        <v>119</v>
      </c>
      <c r="F656" s="8" t="s">
        <v>128</v>
      </c>
      <c r="G656" s="8" t="s">
        <v>129</v>
      </c>
      <c r="H656" s="8" t="s">
        <v>130</v>
      </c>
      <c r="I656" s="8" t="s">
        <v>193</v>
      </c>
      <c r="J656" s="8" t="s">
        <v>676</v>
      </c>
      <c r="K656" s="8" t="s">
        <v>677</v>
      </c>
      <c r="L656" s="8" t="s">
        <v>678</v>
      </c>
      <c r="M656" s="8" t="s">
        <v>2785</v>
      </c>
      <c r="N656" s="8" t="s">
        <v>129</v>
      </c>
      <c r="O656" s="8">
        <v>922.87</v>
      </c>
      <c r="P656" s="8">
        <v>1025.4100000000001</v>
      </c>
      <c r="Q656" s="8" t="s">
        <v>2579</v>
      </c>
      <c r="R656" s="8" t="s">
        <v>1694</v>
      </c>
    </row>
    <row r="657" spans="1:20" x14ac:dyDescent="0.2">
      <c r="A657" s="8" t="s">
        <v>3891</v>
      </c>
      <c r="B657" s="8" t="str">
        <f t="shared" si="20"/>
        <v>1586243953</v>
      </c>
      <c r="C657" s="8" t="str">
        <f t="shared" si="21"/>
        <v>692</v>
      </c>
      <c r="D657" s="8" t="s">
        <v>119</v>
      </c>
      <c r="F657" s="8" t="s">
        <v>128</v>
      </c>
      <c r="G657" s="8" t="s">
        <v>129</v>
      </c>
      <c r="H657" s="8" t="s">
        <v>130</v>
      </c>
      <c r="I657" s="8" t="s">
        <v>193</v>
      </c>
      <c r="J657" s="8" t="s">
        <v>676</v>
      </c>
      <c r="K657" s="8" t="s">
        <v>677</v>
      </c>
      <c r="L657" s="8" t="s">
        <v>678</v>
      </c>
      <c r="M657" s="8" t="s">
        <v>2785</v>
      </c>
      <c r="N657" s="8" t="s">
        <v>129</v>
      </c>
      <c r="O657" s="8">
        <v>922.87</v>
      </c>
      <c r="P657" s="8">
        <v>1025.4100000000001</v>
      </c>
      <c r="Q657" s="8" t="s">
        <v>2579</v>
      </c>
      <c r="R657" s="8" t="s">
        <v>1873</v>
      </c>
    </row>
    <row r="658" spans="1:20" x14ac:dyDescent="0.2">
      <c r="A658" s="8" t="s">
        <v>3419</v>
      </c>
      <c r="B658" s="8" t="str">
        <f t="shared" si="20"/>
        <v>1586243953</v>
      </c>
      <c r="C658" s="8" t="str">
        <f t="shared" si="21"/>
        <v>693</v>
      </c>
      <c r="D658" s="8" t="s">
        <v>119</v>
      </c>
      <c r="F658" s="8" t="s">
        <v>128</v>
      </c>
      <c r="G658" s="8" t="s">
        <v>129</v>
      </c>
      <c r="H658" s="8" t="s">
        <v>130</v>
      </c>
      <c r="I658" s="8" t="s">
        <v>193</v>
      </c>
      <c r="J658" s="8" t="s">
        <v>676</v>
      </c>
      <c r="K658" s="8" t="s">
        <v>677</v>
      </c>
      <c r="L658" s="8" t="s">
        <v>678</v>
      </c>
      <c r="M658" s="8" t="s">
        <v>2785</v>
      </c>
      <c r="N658" s="8" t="s">
        <v>129</v>
      </c>
      <c r="O658" s="8">
        <v>922.87</v>
      </c>
      <c r="P658" s="8">
        <v>1025.4100000000001</v>
      </c>
      <c r="Q658" s="8" t="s">
        <v>2579</v>
      </c>
      <c r="R658" s="8" t="s">
        <v>679</v>
      </c>
    </row>
    <row r="659" spans="1:20" x14ac:dyDescent="0.2">
      <c r="A659" s="8" t="s">
        <v>2998</v>
      </c>
      <c r="B659" s="8" t="str">
        <f t="shared" si="20"/>
        <v>1586243953</v>
      </c>
      <c r="C659" s="8" t="str">
        <f t="shared" si="21"/>
        <v>694</v>
      </c>
      <c r="D659" s="8" t="s">
        <v>119</v>
      </c>
      <c r="F659" s="8" t="s">
        <v>128</v>
      </c>
      <c r="G659" s="8" t="s">
        <v>129</v>
      </c>
      <c r="H659" s="8" t="s">
        <v>130</v>
      </c>
      <c r="I659" s="8" t="s">
        <v>193</v>
      </c>
      <c r="J659" s="8" t="s">
        <v>676</v>
      </c>
      <c r="K659" s="8" t="s">
        <v>677</v>
      </c>
      <c r="L659" s="8" t="s">
        <v>678</v>
      </c>
      <c r="M659" s="8" t="s">
        <v>2785</v>
      </c>
      <c r="N659" s="8" t="s">
        <v>129</v>
      </c>
      <c r="O659" s="8">
        <v>922.87</v>
      </c>
      <c r="P659" s="8">
        <v>1025.4100000000001</v>
      </c>
      <c r="Q659" s="8" t="s">
        <v>2579</v>
      </c>
      <c r="S659" s="8" t="s">
        <v>142</v>
      </c>
      <c r="T659" s="8">
        <v>207.3</v>
      </c>
    </row>
    <row r="660" spans="1:20" x14ac:dyDescent="0.2">
      <c r="A660" s="8" t="s">
        <v>3664</v>
      </c>
      <c r="B660" s="8" t="str">
        <f t="shared" si="20"/>
        <v>1586243953</v>
      </c>
      <c r="C660" s="8" t="str">
        <f t="shared" si="21"/>
        <v>695</v>
      </c>
      <c r="D660" s="8" t="s">
        <v>119</v>
      </c>
      <c r="F660" s="8" t="s">
        <v>128</v>
      </c>
      <c r="G660" s="8" t="s">
        <v>129</v>
      </c>
      <c r="H660" s="8" t="s">
        <v>130</v>
      </c>
      <c r="I660" s="8" t="s">
        <v>193</v>
      </c>
      <c r="J660" s="8" t="s">
        <v>676</v>
      </c>
      <c r="K660" s="8" t="s">
        <v>677</v>
      </c>
      <c r="L660" s="8" t="s">
        <v>678</v>
      </c>
      <c r="M660" s="8" t="s">
        <v>2785</v>
      </c>
      <c r="N660" s="8" t="s">
        <v>129</v>
      </c>
      <c r="O660" s="8">
        <v>922.87</v>
      </c>
      <c r="P660" s="8">
        <v>1025.4100000000001</v>
      </c>
      <c r="Q660" s="8" t="s">
        <v>2579</v>
      </c>
      <c r="S660" s="8" t="s">
        <v>184</v>
      </c>
      <c r="T660" s="8">
        <v>169.67</v>
      </c>
    </row>
    <row r="661" spans="1:20" x14ac:dyDescent="0.2">
      <c r="A661" s="8" t="s">
        <v>2952</v>
      </c>
      <c r="B661" s="8" t="str">
        <f t="shared" si="20"/>
        <v>1586243957</v>
      </c>
      <c r="C661" s="8" t="str">
        <f t="shared" si="21"/>
        <v>696</v>
      </c>
      <c r="D661" s="8" t="s">
        <v>119</v>
      </c>
      <c r="F661" s="8" t="s">
        <v>128</v>
      </c>
      <c r="G661" s="8" t="s">
        <v>798</v>
      </c>
      <c r="H661" s="8" t="s">
        <v>799</v>
      </c>
      <c r="I661" s="8" t="s">
        <v>174</v>
      </c>
      <c r="J661" s="8" t="s">
        <v>1490</v>
      </c>
      <c r="K661" s="8" t="s">
        <v>1476</v>
      </c>
      <c r="L661" s="8" t="s">
        <v>1491</v>
      </c>
      <c r="M661" s="8" t="s">
        <v>2785</v>
      </c>
      <c r="N661" s="8" t="s">
        <v>798</v>
      </c>
      <c r="O661" s="8">
        <v>302.45999999999998</v>
      </c>
      <c r="P661" s="8">
        <v>336.07</v>
      </c>
      <c r="Q661" s="8" t="s">
        <v>2580</v>
      </c>
      <c r="R661" s="8" t="s">
        <v>1594</v>
      </c>
    </row>
    <row r="662" spans="1:20" x14ac:dyDescent="0.2">
      <c r="A662" s="8" t="s">
        <v>4768</v>
      </c>
      <c r="B662" s="8" t="str">
        <f t="shared" si="20"/>
        <v>1586243957</v>
      </c>
      <c r="C662" s="8" t="str">
        <f t="shared" si="21"/>
        <v>697</v>
      </c>
      <c r="D662" s="8" t="s">
        <v>119</v>
      </c>
      <c r="F662" s="8" t="s">
        <v>128</v>
      </c>
      <c r="G662" s="8" t="s">
        <v>798</v>
      </c>
      <c r="H662" s="8" t="s">
        <v>799</v>
      </c>
      <c r="I662" s="8" t="s">
        <v>174</v>
      </c>
      <c r="J662" s="8" t="s">
        <v>1490</v>
      </c>
      <c r="K662" s="8" t="s">
        <v>1476</v>
      </c>
      <c r="L662" s="8" t="s">
        <v>1491</v>
      </c>
      <c r="M662" s="8" t="s">
        <v>2785</v>
      </c>
      <c r="N662" s="8" t="s">
        <v>798</v>
      </c>
      <c r="O662" s="8">
        <v>302.45999999999998</v>
      </c>
      <c r="P662" s="8">
        <v>336.07</v>
      </c>
      <c r="Q662" s="8" t="s">
        <v>2580</v>
      </c>
      <c r="R662" s="8" t="s">
        <v>1492</v>
      </c>
    </row>
    <row r="663" spans="1:20" x14ac:dyDescent="0.2">
      <c r="A663" s="8" t="s">
        <v>4458</v>
      </c>
      <c r="B663" s="8" t="str">
        <f t="shared" si="20"/>
        <v>1586243957</v>
      </c>
      <c r="C663" s="8" t="str">
        <f t="shared" si="21"/>
        <v>698</v>
      </c>
      <c r="D663" s="8" t="s">
        <v>119</v>
      </c>
      <c r="F663" s="8" t="s">
        <v>128</v>
      </c>
      <c r="G663" s="8" t="s">
        <v>798</v>
      </c>
      <c r="H663" s="8" t="s">
        <v>799</v>
      </c>
      <c r="I663" s="8" t="s">
        <v>174</v>
      </c>
      <c r="J663" s="8" t="s">
        <v>1490</v>
      </c>
      <c r="K663" s="8" t="s">
        <v>1476</v>
      </c>
      <c r="L663" s="8" t="s">
        <v>1491</v>
      </c>
      <c r="M663" s="8" t="s">
        <v>2785</v>
      </c>
      <c r="N663" s="8" t="s">
        <v>798</v>
      </c>
      <c r="O663" s="8">
        <v>302.45999999999998</v>
      </c>
      <c r="P663" s="8">
        <v>336.07</v>
      </c>
      <c r="Q663" s="8" t="s">
        <v>2580</v>
      </c>
      <c r="R663" s="8" t="s">
        <v>1974</v>
      </c>
    </row>
    <row r="664" spans="1:20" x14ac:dyDescent="0.2">
      <c r="A664" s="8" t="s">
        <v>2844</v>
      </c>
      <c r="B664" s="8" t="str">
        <f t="shared" si="20"/>
        <v>1586243957</v>
      </c>
      <c r="C664" s="8" t="str">
        <f t="shared" si="21"/>
        <v>699</v>
      </c>
      <c r="D664" s="8" t="s">
        <v>119</v>
      </c>
      <c r="F664" s="8" t="s">
        <v>128</v>
      </c>
      <c r="G664" s="8" t="s">
        <v>798</v>
      </c>
      <c r="H664" s="8" t="s">
        <v>799</v>
      </c>
      <c r="I664" s="8" t="s">
        <v>174</v>
      </c>
      <c r="J664" s="8" t="s">
        <v>1490</v>
      </c>
      <c r="K664" s="8" t="s">
        <v>1476</v>
      </c>
      <c r="L664" s="8" t="s">
        <v>1491</v>
      </c>
      <c r="M664" s="8" t="s">
        <v>2785</v>
      </c>
      <c r="N664" s="8" t="s">
        <v>798</v>
      </c>
      <c r="O664" s="8">
        <v>302.45999999999998</v>
      </c>
      <c r="P664" s="8">
        <v>336.07</v>
      </c>
      <c r="Q664" s="8" t="s">
        <v>2580</v>
      </c>
      <c r="R664" s="8" t="s">
        <v>1611</v>
      </c>
    </row>
    <row r="665" spans="1:20" x14ac:dyDescent="0.2">
      <c r="A665" s="8" t="s">
        <v>4011</v>
      </c>
      <c r="B665" s="8" t="str">
        <f t="shared" si="20"/>
        <v>1586243959</v>
      </c>
      <c r="C665" s="8" t="str">
        <f t="shared" si="21"/>
        <v>700</v>
      </c>
      <c r="D665" s="8" t="s">
        <v>119</v>
      </c>
      <c r="F665" s="8" t="s">
        <v>128</v>
      </c>
      <c r="G665" s="8" t="s">
        <v>798</v>
      </c>
      <c r="H665" s="8" t="s">
        <v>799</v>
      </c>
      <c r="I665" s="8" t="s">
        <v>123</v>
      </c>
      <c r="J665" s="8" t="s">
        <v>800</v>
      </c>
      <c r="K665" s="8" t="s">
        <v>60</v>
      </c>
      <c r="L665" s="8" t="s">
        <v>801</v>
      </c>
      <c r="M665" s="8" t="s">
        <v>2785</v>
      </c>
      <c r="N665" s="8" t="s">
        <v>798</v>
      </c>
      <c r="O665" s="8">
        <v>619.66999999999996</v>
      </c>
      <c r="P665" s="8">
        <v>688.52</v>
      </c>
      <c r="Q665" s="8" t="s">
        <v>2581</v>
      </c>
      <c r="R665" s="8" t="s">
        <v>2159</v>
      </c>
    </row>
    <row r="666" spans="1:20" x14ac:dyDescent="0.2">
      <c r="A666" s="8" t="s">
        <v>2949</v>
      </c>
      <c r="B666" s="8" t="str">
        <f t="shared" si="20"/>
        <v>1586243959</v>
      </c>
      <c r="C666" s="8" t="str">
        <f t="shared" si="21"/>
        <v>701</v>
      </c>
      <c r="D666" s="8" t="s">
        <v>119</v>
      </c>
      <c r="F666" s="8" t="s">
        <v>128</v>
      </c>
      <c r="G666" s="8" t="s">
        <v>798</v>
      </c>
      <c r="H666" s="8" t="s">
        <v>799</v>
      </c>
      <c r="I666" s="8" t="s">
        <v>123</v>
      </c>
      <c r="J666" s="8" t="s">
        <v>800</v>
      </c>
      <c r="K666" s="8" t="s">
        <v>60</v>
      </c>
      <c r="L666" s="8" t="s">
        <v>801</v>
      </c>
      <c r="M666" s="8" t="s">
        <v>2785</v>
      </c>
      <c r="N666" s="8" t="s">
        <v>798</v>
      </c>
      <c r="O666" s="8">
        <v>619.66999999999996</v>
      </c>
      <c r="P666" s="8">
        <v>688.52</v>
      </c>
      <c r="Q666" s="8" t="s">
        <v>2581</v>
      </c>
      <c r="R666" s="8" t="s">
        <v>2095</v>
      </c>
    </row>
    <row r="667" spans="1:20" x14ac:dyDescent="0.2">
      <c r="A667" s="8" t="s">
        <v>2957</v>
      </c>
      <c r="B667" s="8" t="str">
        <f t="shared" si="20"/>
        <v>1586243959</v>
      </c>
      <c r="C667" s="8" t="str">
        <f t="shared" si="21"/>
        <v>702</v>
      </c>
      <c r="D667" s="8" t="s">
        <v>119</v>
      </c>
      <c r="F667" s="8" t="s">
        <v>128</v>
      </c>
      <c r="G667" s="8" t="s">
        <v>798</v>
      </c>
      <c r="H667" s="8" t="s">
        <v>799</v>
      </c>
      <c r="I667" s="8" t="s">
        <v>123</v>
      </c>
      <c r="J667" s="8" t="s">
        <v>800</v>
      </c>
      <c r="K667" s="8" t="s">
        <v>60</v>
      </c>
      <c r="L667" s="8" t="s">
        <v>801</v>
      </c>
      <c r="M667" s="8" t="s">
        <v>2785</v>
      </c>
      <c r="N667" s="8" t="s">
        <v>798</v>
      </c>
      <c r="O667" s="8">
        <v>619.66999999999996</v>
      </c>
      <c r="P667" s="8">
        <v>688.52</v>
      </c>
      <c r="Q667" s="8" t="s">
        <v>2581</v>
      </c>
      <c r="R667" s="8" t="s">
        <v>1841</v>
      </c>
    </row>
    <row r="668" spans="1:20" x14ac:dyDescent="0.2">
      <c r="A668" s="8" t="s">
        <v>3427</v>
      </c>
      <c r="B668" s="8" t="str">
        <f t="shared" si="20"/>
        <v>1586243959</v>
      </c>
      <c r="C668" s="8" t="str">
        <f t="shared" si="21"/>
        <v>703</v>
      </c>
      <c r="D668" s="8" t="s">
        <v>119</v>
      </c>
      <c r="F668" s="8" t="s">
        <v>128</v>
      </c>
      <c r="G668" s="8" t="s">
        <v>798</v>
      </c>
      <c r="H668" s="8" t="s">
        <v>799</v>
      </c>
      <c r="I668" s="8" t="s">
        <v>123</v>
      </c>
      <c r="J668" s="8" t="s">
        <v>800</v>
      </c>
      <c r="K668" s="8" t="s">
        <v>60</v>
      </c>
      <c r="L668" s="8" t="s">
        <v>801</v>
      </c>
      <c r="M668" s="8" t="s">
        <v>2785</v>
      </c>
      <c r="N668" s="8" t="s">
        <v>798</v>
      </c>
      <c r="O668" s="8">
        <v>619.66999999999996</v>
      </c>
      <c r="P668" s="8">
        <v>688.52</v>
      </c>
      <c r="Q668" s="8" t="s">
        <v>2581</v>
      </c>
      <c r="R668" s="8" t="s">
        <v>802</v>
      </c>
    </row>
    <row r="669" spans="1:20" x14ac:dyDescent="0.2">
      <c r="A669" s="8" t="s">
        <v>2820</v>
      </c>
      <c r="B669" s="8" t="str">
        <f t="shared" si="20"/>
        <v>1586243959</v>
      </c>
      <c r="C669" s="8" t="str">
        <f t="shared" si="21"/>
        <v>704</v>
      </c>
      <c r="D669" s="8" t="s">
        <v>119</v>
      </c>
      <c r="F669" s="8" t="s">
        <v>128</v>
      </c>
      <c r="G669" s="8" t="s">
        <v>798</v>
      </c>
      <c r="H669" s="8" t="s">
        <v>799</v>
      </c>
      <c r="I669" s="8" t="s">
        <v>123</v>
      </c>
      <c r="J669" s="8" t="s">
        <v>800</v>
      </c>
      <c r="K669" s="8" t="s">
        <v>60</v>
      </c>
      <c r="L669" s="8" t="s">
        <v>801</v>
      </c>
      <c r="M669" s="8" t="s">
        <v>2785</v>
      </c>
      <c r="N669" s="8" t="s">
        <v>798</v>
      </c>
      <c r="O669" s="8">
        <v>619.66999999999996</v>
      </c>
      <c r="P669" s="8">
        <v>688.52</v>
      </c>
      <c r="Q669" s="8" t="s">
        <v>2581</v>
      </c>
      <c r="R669" s="8" t="s">
        <v>1739</v>
      </c>
    </row>
    <row r="670" spans="1:20" x14ac:dyDescent="0.2">
      <c r="A670" s="8" t="s">
        <v>2891</v>
      </c>
      <c r="B670" s="8" t="str">
        <f t="shared" si="20"/>
        <v>1586243959</v>
      </c>
      <c r="C670" s="8" t="str">
        <f t="shared" si="21"/>
        <v>705</v>
      </c>
      <c r="D670" s="8" t="s">
        <v>119</v>
      </c>
      <c r="F670" s="8" t="s">
        <v>128</v>
      </c>
      <c r="G670" s="8" t="s">
        <v>798</v>
      </c>
      <c r="H670" s="8" t="s">
        <v>799</v>
      </c>
      <c r="I670" s="8" t="s">
        <v>123</v>
      </c>
      <c r="J670" s="8" t="s">
        <v>800</v>
      </c>
      <c r="K670" s="8" t="s">
        <v>60</v>
      </c>
      <c r="L670" s="8" t="s">
        <v>801</v>
      </c>
      <c r="M670" s="8" t="s">
        <v>2785</v>
      </c>
      <c r="N670" s="8" t="s">
        <v>798</v>
      </c>
      <c r="O670" s="8">
        <v>619.66999999999996</v>
      </c>
      <c r="P670" s="8">
        <v>688.52</v>
      </c>
      <c r="Q670" s="8" t="s">
        <v>2581</v>
      </c>
      <c r="R670" s="8" t="s">
        <v>1945</v>
      </c>
    </row>
    <row r="671" spans="1:20" x14ac:dyDescent="0.2">
      <c r="A671" s="8" t="s">
        <v>4009</v>
      </c>
      <c r="B671" s="8" t="str">
        <f t="shared" si="20"/>
        <v>1586243959</v>
      </c>
      <c r="C671" s="8" t="str">
        <f t="shared" si="21"/>
        <v>706</v>
      </c>
      <c r="D671" s="8" t="s">
        <v>119</v>
      </c>
      <c r="F671" s="8" t="s">
        <v>128</v>
      </c>
      <c r="G671" s="8" t="s">
        <v>798</v>
      </c>
      <c r="H671" s="8" t="s">
        <v>799</v>
      </c>
      <c r="I671" s="8" t="s">
        <v>123</v>
      </c>
      <c r="J671" s="8" t="s">
        <v>800</v>
      </c>
      <c r="K671" s="8" t="s">
        <v>60</v>
      </c>
      <c r="L671" s="8" t="s">
        <v>801</v>
      </c>
      <c r="M671" s="8" t="s">
        <v>2785</v>
      </c>
      <c r="N671" s="8" t="s">
        <v>798</v>
      </c>
      <c r="O671" s="8">
        <v>619.66999999999996</v>
      </c>
      <c r="P671" s="8">
        <v>688.52</v>
      </c>
      <c r="Q671" s="8" t="s">
        <v>2581</v>
      </c>
      <c r="S671" s="8" t="s">
        <v>331</v>
      </c>
      <c r="T671" s="8">
        <v>51.64</v>
      </c>
    </row>
    <row r="672" spans="1:20" x14ac:dyDescent="0.2">
      <c r="A672" s="8" t="s">
        <v>3004</v>
      </c>
      <c r="B672" s="8" t="str">
        <f t="shared" si="20"/>
        <v>1586243959</v>
      </c>
      <c r="C672" s="8" t="str">
        <f t="shared" si="21"/>
        <v>707</v>
      </c>
      <c r="D672" s="8" t="s">
        <v>119</v>
      </c>
      <c r="F672" s="8" t="s">
        <v>128</v>
      </c>
      <c r="G672" s="8" t="s">
        <v>798</v>
      </c>
      <c r="H672" s="8" t="s">
        <v>799</v>
      </c>
      <c r="I672" s="8" t="s">
        <v>123</v>
      </c>
      <c r="J672" s="8" t="s">
        <v>800</v>
      </c>
      <c r="K672" s="8" t="s">
        <v>60</v>
      </c>
      <c r="L672" s="8" t="s">
        <v>801</v>
      </c>
      <c r="M672" s="8" t="s">
        <v>2785</v>
      </c>
      <c r="N672" s="8" t="s">
        <v>798</v>
      </c>
      <c r="O672" s="8">
        <v>619.66999999999996</v>
      </c>
      <c r="P672" s="8">
        <v>688.52</v>
      </c>
      <c r="Q672" s="8" t="s">
        <v>2581</v>
      </c>
      <c r="S672" s="8" t="s">
        <v>970</v>
      </c>
      <c r="T672" s="8">
        <v>77.459999999999994</v>
      </c>
    </row>
    <row r="673" spans="1:20" x14ac:dyDescent="0.2">
      <c r="A673" s="8" t="s">
        <v>3055</v>
      </c>
      <c r="B673" s="8" t="str">
        <f t="shared" si="20"/>
        <v>1586243959</v>
      </c>
      <c r="C673" s="8" t="str">
        <f t="shared" si="21"/>
        <v>708</v>
      </c>
      <c r="D673" s="8" t="s">
        <v>119</v>
      </c>
      <c r="F673" s="8" t="s">
        <v>128</v>
      </c>
      <c r="G673" s="8" t="s">
        <v>798</v>
      </c>
      <c r="H673" s="8" t="s">
        <v>799</v>
      </c>
      <c r="I673" s="8" t="s">
        <v>123</v>
      </c>
      <c r="J673" s="8" t="s">
        <v>800</v>
      </c>
      <c r="K673" s="8" t="s">
        <v>60</v>
      </c>
      <c r="L673" s="8" t="s">
        <v>801</v>
      </c>
      <c r="M673" s="8" t="s">
        <v>2785</v>
      </c>
      <c r="N673" s="8" t="s">
        <v>798</v>
      </c>
      <c r="O673" s="8">
        <v>619.66999999999996</v>
      </c>
      <c r="P673" s="8">
        <v>688.52</v>
      </c>
      <c r="Q673" s="8" t="s">
        <v>2581</v>
      </c>
      <c r="S673" s="8" t="s">
        <v>184</v>
      </c>
      <c r="T673" s="8">
        <v>162.30000000000001</v>
      </c>
    </row>
    <row r="674" spans="1:20" x14ac:dyDescent="0.2">
      <c r="A674" s="8" t="s">
        <v>3405</v>
      </c>
      <c r="B674" s="8" t="str">
        <f t="shared" si="20"/>
        <v>1586243962</v>
      </c>
      <c r="C674" s="8" t="str">
        <f t="shared" si="21"/>
        <v>709</v>
      </c>
      <c r="D674" s="8" t="s">
        <v>119</v>
      </c>
      <c r="F674" s="8" t="s">
        <v>128</v>
      </c>
      <c r="G674" s="8" t="s">
        <v>798</v>
      </c>
      <c r="H674" s="8" t="s">
        <v>799</v>
      </c>
      <c r="I674" s="8" t="s">
        <v>441</v>
      </c>
      <c r="J674" s="8" t="s">
        <v>1567</v>
      </c>
      <c r="K674" s="8" t="s">
        <v>176</v>
      </c>
      <c r="L674" s="8" t="s">
        <v>1568</v>
      </c>
      <c r="M674" s="8" t="s">
        <v>2785</v>
      </c>
      <c r="N674" s="8" t="s">
        <v>798</v>
      </c>
      <c r="O674" s="8">
        <v>944.26</v>
      </c>
      <c r="P674" s="8">
        <v>1049.18</v>
      </c>
      <c r="Q674" s="8" t="s">
        <v>2582</v>
      </c>
      <c r="R674" s="8" t="s">
        <v>1885</v>
      </c>
    </row>
    <row r="675" spans="1:20" x14ac:dyDescent="0.2">
      <c r="A675" s="8" t="s">
        <v>3606</v>
      </c>
      <c r="B675" s="8" t="str">
        <f t="shared" si="20"/>
        <v>1586243962</v>
      </c>
      <c r="C675" s="8" t="str">
        <f t="shared" si="21"/>
        <v>710</v>
      </c>
      <c r="D675" s="8" t="s">
        <v>119</v>
      </c>
      <c r="F675" s="8" t="s">
        <v>128</v>
      </c>
      <c r="G675" s="8" t="s">
        <v>798</v>
      </c>
      <c r="H675" s="8" t="s">
        <v>799</v>
      </c>
      <c r="I675" s="8" t="s">
        <v>441</v>
      </c>
      <c r="J675" s="8" t="s">
        <v>1567</v>
      </c>
      <c r="K675" s="8" t="s">
        <v>176</v>
      </c>
      <c r="L675" s="8" t="s">
        <v>1568</v>
      </c>
      <c r="M675" s="8" t="s">
        <v>2785</v>
      </c>
      <c r="N675" s="8" t="s">
        <v>798</v>
      </c>
      <c r="O675" s="8">
        <v>944.26</v>
      </c>
      <c r="P675" s="8">
        <v>1049.18</v>
      </c>
      <c r="Q675" s="8" t="s">
        <v>2582</v>
      </c>
      <c r="R675" s="8" t="s">
        <v>1569</v>
      </c>
    </row>
    <row r="676" spans="1:20" x14ac:dyDescent="0.2">
      <c r="A676" s="8" t="s">
        <v>3638</v>
      </c>
      <c r="B676" s="8" t="str">
        <f t="shared" si="20"/>
        <v>1586243962</v>
      </c>
      <c r="C676" s="8" t="str">
        <f t="shared" si="21"/>
        <v>711</v>
      </c>
      <c r="D676" s="8" t="s">
        <v>119</v>
      </c>
      <c r="F676" s="8" t="s">
        <v>128</v>
      </c>
      <c r="G676" s="8" t="s">
        <v>798</v>
      </c>
      <c r="H676" s="8" t="s">
        <v>799</v>
      </c>
      <c r="I676" s="8" t="s">
        <v>441</v>
      </c>
      <c r="J676" s="8" t="s">
        <v>1567</v>
      </c>
      <c r="K676" s="8" t="s">
        <v>176</v>
      </c>
      <c r="L676" s="8" t="s">
        <v>1568</v>
      </c>
      <c r="M676" s="8" t="s">
        <v>2785</v>
      </c>
      <c r="N676" s="8" t="s">
        <v>798</v>
      </c>
      <c r="O676" s="8">
        <v>944.26</v>
      </c>
      <c r="P676" s="8">
        <v>1049.18</v>
      </c>
      <c r="Q676" s="8" t="s">
        <v>2582</v>
      </c>
      <c r="R676" s="8" t="s">
        <v>2183</v>
      </c>
    </row>
    <row r="677" spans="1:20" x14ac:dyDescent="0.2">
      <c r="A677" s="8" t="s">
        <v>3675</v>
      </c>
      <c r="B677" s="8" t="str">
        <f t="shared" si="20"/>
        <v>1586243962</v>
      </c>
      <c r="C677" s="8" t="str">
        <f t="shared" si="21"/>
        <v>712</v>
      </c>
      <c r="D677" s="8" t="s">
        <v>119</v>
      </c>
      <c r="F677" s="8" t="s">
        <v>128</v>
      </c>
      <c r="G677" s="8" t="s">
        <v>798</v>
      </c>
      <c r="H677" s="8" t="s">
        <v>799</v>
      </c>
      <c r="I677" s="8" t="s">
        <v>441</v>
      </c>
      <c r="J677" s="8" t="s">
        <v>1567</v>
      </c>
      <c r="K677" s="8" t="s">
        <v>176</v>
      </c>
      <c r="L677" s="8" t="s">
        <v>1568</v>
      </c>
      <c r="M677" s="8" t="s">
        <v>2785</v>
      </c>
      <c r="N677" s="8" t="s">
        <v>798</v>
      </c>
      <c r="O677" s="8">
        <v>944.26</v>
      </c>
      <c r="P677" s="8">
        <v>1049.18</v>
      </c>
      <c r="Q677" s="8" t="s">
        <v>2582</v>
      </c>
      <c r="R677" s="8" t="s">
        <v>1962</v>
      </c>
    </row>
    <row r="678" spans="1:20" x14ac:dyDescent="0.2">
      <c r="A678" s="8" t="s">
        <v>4511</v>
      </c>
      <c r="B678" s="8" t="str">
        <f t="shared" si="20"/>
        <v>1586243962</v>
      </c>
      <c r="C678" s="8" t="str">
        <f t="shared" si="21"/>
        <v>713</v>
      </c>
      <c r="D678" s="8" t="s">
        <v>119</v>
      </c>
      <c r="F678" s="8" t="s">
        <v>128</v>
      </c>
      <c r="G678" s="8" t="s">
        <v>798</v>
      </c>
      <c r="H678" s="8" t="s">
        <v>799</v>
      </c>
      <c r="I678" s="8" t="s">
        <v>441</v>
      </c>
      <c r="J678" s="8" t="s">
        <v>1567</v>
      </c>
      <c r="K678" s="8" t="s">
        <v>176</v>
      </c>
      <c r="L678" s="8" t="s">
        <v>1568</v>
      </c>
      <c r="M678" s="8" t="s">
        <v>2785</v>
      </c>
      <c r="N678" s="8" t="s">
        <v>798</v>
      </c>
      <c r="O678" s="8">
        <v>944.26</v>
      </c>
      <c r="P678" s="8">
        <v>1049.18</v>
      </c>
      <c r="Q678" s="8" t="s">
        <v>2582</v>
      </c>
      <c r="R678" s="8" t="s">
        <v>2463</v>
      </c>
    </row>
    <row r="679" spans="1:20" x14ac:dyDescent="0.2">
      <c r="A679" s="8" t="s">
        <v>4405</v>
      </c>
      <c r="B679" s="8" t="str">
        <f t="shared" si="20"/>
        <v>1586243962</v>
      </c>
      <c r="C679" s="8" t="str">
        <f t="shared" si="21"/>
        <v>714</v>
      </c>
      <c r="D679" s="8" t="s">
        <v>119</v>
      </c>
      <c r="F679" s="8" t="s">
        <v>128</v>
      </c>
      <c r="G679" s="8" t="s">
        <v>798</v>
      </c>
      <c r="H679" s="8" t="s">
        <v>799</v>
      </c>
      <c r="I679" s="8" t="s">
        <v>441</v>
      </c>
      <c r="J679" s="8" t="s">
        <v>1567</v>
      </c>
      <c r="K679" s="8" t="s">
        <v>176</v>
      </c>
      <c r="L679" s="8" t="s">
        <v>1568</v>
      </c>
      <c r="M679" s="8" t="s">
        <v>2785</v>
      </c>
      <c r="N679" s="8" t="s">
        <v>798</v>
      </c>
      <c r="O679" s="8">
        <v>944.26</v>
      </c>
      <c r="P679" s="8">
        <v>1049.18</v>
      </c>
      <c r="Q679" s="8" t="s">
        <v>2582</v>
      </c>
      <c r="S679" s="8" t="s">
        <v>184</v>
      </c>
      <c r="T679" s="8">
        <v>169.67</v>
      </c>
    </row>
    <row r="680" spans="1:20" x14ac:dyDescent="0.2">
      <c r="A680" s="8" t="s">
        <v>4799</v>
      </c>
      <c r="B680" s="8" t="str">
        <f t="shared" si="20"/>
        <v>1586243962</v>
      </c>
      <c r="C680" s="8" t="str">
        <f t="shared" si="21"/>
        <v>715</v>
      </c>
      <c r="D680" s="8" t="s">
        <v>119</v>
      </c>
      <c r="F680" s="8" t="s">
        <v>128</v>
      </c>
      <c r="G680" s="8" t="s">
        <v>798</v>
      </c>
      <c r="H680" s="8" t="s">
        <v>799</v>
      </c>
      <c r="I680" s="8" t="s">
        <v>441</v>
      </c>
      <c r="J680" s="8" t="s">
        <v>1567</v>
      </c>
      <c r="K680" s="8" t="s">
        <v>176</v>
      </c>
      <c r="L680" s="8" t="s">
        <v>1568</v>
      </c>
      <c r="M680" s="8" t="s">
        <v>2785</v>
      </c>
      <c r="N680" s="8" t="s">
        <v>798</v>
      </c>
      <c r="O680" s="8">
        <v>944.26</v>
      </c>
      <c r="P680" s="8">
        <v>1049.18</v>
      </c>
      <c r="Q680" s="8" t="s">
        <v>2582</v>
      </c>
      <c r="S680" s="8" t="s">
        <v>331</v>
      </c>
      <c r="T680" s="8">
        <v>160.66</v>
      </c>
    </row>
    <row r="681" spans="1:20" x14ac:dyDescent="0.2">
      <c r="A681" s="8" t="s">
        <v>3835</v>
      </c>
      <c r="B681" s="8" t="str">
        <f t="shared" si="20"/>
        <v>1586243966</v>
      </c>
      <c r="C681" s="8" t="str">
        <f t="shared" si="21"/>
        <v>716</v>
      </c>
      <c r="D681" s="8" t="s">
        <v>119</v>
      </c>
      <c r="F681" s="8" t="s">
        <v>128</v>
      </c>
      <c r="G681" s="8" t="s">
        <v>260</v>
      </c>
      <c r="H681" s="8" t="s">
        <v>261</v>
      </c>
      <c r="I681" s="8" t="s">
        <v>1005</v>
      </c>
      <c r="J681" s="8" t="s">
        <v>1006</v>
      </c>
      <c r="K681" s="8" t="s">
        <v>264</v>
      </c>
      <c r="L681" s="8" t="s">
        <v>1007</v>
      </c>
      <c r="M681" s="8" t="s">
        <v>2785</v>
      </c>
      <c r="N681" s="8" t="s">
        <v>260</v>
      </c>
      <c r="O681" s="8">
        <v>1570.57</v>
      </c>
      <c r="P681" s="8">
        <v>1745.08</v>
      </c>
      <c r="Q681" s="8" t="s">
        <v>2583</v>
      </c>
      <c r="R681" s="8" t="s">
        <v>2254</v>
      </c>
    </row>
    <row r="682" spans="1:20" x14ac:dyDescent="0.2">
      <c r="A682" s="8" t="s">
        <v>4346</v>
      </c>
      <c r="B682" s="8" t="str">
        <f t="shared" si="20"/>
        <v>1586243966</v>
      </c>
      <c r="C682" s="8" t="str">
        <f t="shared" si="21"/>
        <v>717</v>
      </c>
      <c r="D682" s="8" t="s">
        <v>119</v>
      </c>
      <c r="F682" s="8" t="s">
        <v>128</v>
      </c>
      <c r="G682" s="8" t="s">
        <v>260</v>
      </c>
      <c r="H682" s="8" t="s">
        <v>261</v>
      </c>
      <c r="I682" s="8" t="s">
        <v>1005</v>
      </c>
      <c r="J682" s="8" t="s">
        <v>1006</v>
      </c>
      <c r="K682" s="8" t="s">
        <v>264</v>
      </c>
      <c r="L682" s="8" t="s">
        <v>1007</v>
      </c>
      <c r="M682" s="8" t="s">
        <v>2785</v>
      </c>
      <c r="N682" s="8" t="s">
        <v>260</v>
      </c>
      <c r="O682" s="8">
        <v>1570.57</v>
      </c>
      <c r="P682" s="8">
        <v>1745.08</v>
      </c>
      <c r="Q682" s="8" t="s">
        <v>2583</v>
      </c>
      <c r="R682" s="8" t="s">
        <v>2112</v>
      </c>
    </row>
    <row r="683" spans="1:20" x14ac:dyDescent="0.2">
      <c r="A683" s="8" t="s">
        <v>4126</v>
      </c>
      <c r="B683" s="8" t="str">
        <f t="shared" si="20"/>
        <v>1586243966</v>
      </c>
      <c r="C683" s="8" t="str">
        <f t="shared" si="21"/>
        <v>718</v>
      </c>
      <c r="D683" s="8" t="s">
        <v>119</v>
      </c>
      <c r="F683" s="8" t="s">
        <v>128</v>
      </c>
      <c r="G683" s="8" t="s">
        <v>260</v>
      </c>
      <c r="H683" s="8" t="s">
        <v>261</v>
      </c>
      <c r="I683" s="8" t="s">
        <v>1005</v>
      </c>
      <c r="J683" s="8" t="s">
        <v>1006</v>
      </c>
      <c r="K683" s="8" t="s">
        <v>264</v>
      </c>
      <c r="L683" s="8" t="s">
        <v>1007</v>
      </c>
      <c r="M683" s="8" t="s">
        <v>2785</v>
      </c>
      <c r="N683" s="8" t="s">
        <v>260</v>
      </c>
      <c r="O683" s="8">
        <v>1570.57</v>
      </c>
      <c r="P683" s="8">
        <v>1745.08</v>
      </c>
      <c r="Q683" s="8" t="s">
        <v>2583</v>
      </c>
      <c r="R683" s="8" t="s">
        <v>1008</v>
      </c>
    </row>
    <row r="684" spans="1:20" x14ac:dyDescent="0.2">
      <c r="A684" s="8" t="s">
        <v>3632</v>
      </c>
      <c r="B684" s="8" t="str">
        <f t="shared" si="20"/>
        <v>1586243966</v>
      </c>
      <c r="C684" s="8" t="str">
        <f t="shared" si="21"/>
        <v>719</v>
      </c>
      <c r="D684" s="8" t="s">
        <v>119</v>
      </c>
      <c r="F684" s="8" t="s">
        <v>128</v>
      </c>
      <c r="G684" s="8" t="s">
        <v>260</v>
      </c>
      <c r="H684" s="8" t="s">
        <v>261</v>
      </c>
      <c r="I684" s="8" t="s">
        <v>1005</v>
      </c>
      <c r="J684" s="8" t="s">
        <v>1006</v>
      </c>
      <c r="K684" s="8" t="s">
        <v>264</v>
      </c>
      <c r="L684" s="8" t="s">
        <v>1007</v>
      </c>
      <c r="M684" s="8" t="s">
        <v>2785</v>
      </c>
      <c r="N684" s="8" t="s">
        <v>260</v>
      </c>
      <c r="O684" s="8">
        <v>1570.57</v>
      </c>
      <c r="P684" s="8">
        <v>1745.08</v>
      </c>
      <c r="Q684" s="8" t="s">
        <v>2583</v>
      </c>
      <c r="R684" s="8" t="s">
        <v>1427</v>
      </c>
    </row>
    <row r="685" spans="1:20" x14ac:dyDescent="0.2">
      <c r="A685" s="8" t="s">
        <v>3018</v>
      </c>
      <c r="B685" s="8" t="str">
        <f t="shared" si="20"/>
        <v>1586243966</v>
      </c>
      <c r="C685" s="8" t="str">
        <f t="shared" si="21"/>
        <v>720</v>
      </c>
      <c r="D685" s="8" t="s">
        <v>119</v>
      </c>
      <c r="F685" s="8" t="s">
        <v>128</v>
      </c>
      <c r="G685" s="8" t="s">
        <v>260</v>
      </c>
      <c r="H685" s="8" t="s">
        <v>261</v>
      </c>
      <c r="I685" s="8" t="s">
        <v>1005</v>
      </c>
      <c r="J685" s="8" t="s">
        <v>1006</v>
      </c>
      <c r="K685" s="8" t="s">
        <v>264</v>
      </c>
      <c r="L685" s="8" t="s">
        <v>1007</v>
      </c>
      <c r="M685" s="8" t="s">
        <v>2785</v>
      </c>
      <c r="N685" s="8" t="s">
        <v>260</v>
      </c>
      <c r="O685" s="8">
        <v>1570.57</v>
      </c>
      <c r="P685" s="8">
        <v>1745.08</v>
      </c>
      <c r="Q685" s="8" t="s">
        <v>2583</v>
      </c>
      <c r="S685" s="8" t="s">
        <v>142</v>
      </c>
      <c r="T685" s="8">
        <v>192.54</v>
      </c>
    </row>
    <row r="686" spans="1:20" x14ac:dyDescent="0.2">
      <c r="A686" s="8" t="s">
        <v>3043</v>
      </c>
      <c r="B686" s="8" t="str">
        <f t="shared" si="20"/>
        <v>1586243966</v>
      </c>
      <c r="C686" s="8" t="str">
        <f t="shared" si="21"/>
        <v>721</v>
      </c>
      <c r="D686" s="8" t="s">
        <v>119</v>
      </c>
      <c r="F686" s="8" t="s">
        <v>128</v>
      </c>
      <c r="G686" s="8" t="s">
        <v>260</v>
      </c>
      <c r="H686" s="8" t="s">
        <v>261</v>
      </c>
      <c r="I686" s="8" t="s">
        <v>1005</v>
      </c>
      <c r="J686" s="8" t="s">
        <v>1006</v>
      </c>
      <c r="K686" s="8" t="s">
        <v>264</v>
      </c>
      <c r="L686" s="8" t="s">
        <v>1007</v>
      </c>
      <c r="M686" s="8" t="s">
        <v>2785</v>
      </c>
      <c r="N686" s="8" t="s">
        <v>260</v>
      </c>
      <c r="O686" s="8">
        <v>1570.57</v>
      </c>
      <c r="P686" s="8">
        <v>1745.08</v>
      </c>
      <c r="Q686" s="8" t="s">
        <v>2583</v>
      </c>
      <c r="S686" s="8" t="s">
        <v>184</v>
      </c>
      <c r="T686" s="8">
        <v>169.67</v>
      </c>
    </row>
    <row r="687" spans="1:20" x14ac:dyDescent="0.2">
      <c r="A687" s="8" t="s">
        <v>4143</v>
      </c>
      <c r="B687" s="8" t="str">
        <f t="shared" si="20"/>
        <v>1586243968</v>
      </c>
      <c r="C687" s="8" t="str">
        <f t="shared" si="21"/>
        <v>722</v>
      </c>
      <c r="D687" s="8" t="s">
        <v>119</v>
      </c>
      <c r="F687" s="8" t="s">
        <v>128</v>
      </c>
      <c r="G687" s="8" t="s">
        <v>260</v>
      </c>
      <c r="H687" s="8" t="s">
        <v>261</v>
      </c>
      <c r="I687" s="8" t="s">
        <v>262</v>
      </c>
      <c r="J687" s="8" t="s">
        <v>263</v>
      </c>
      <c r="K687" s="8" t="s">
        <v>264</v>
      </c>
      <c r="L687" s="8" t="s">
        <v>265</v>
      </c>
      <c r="M687" s="8" t="s">
        <v>2785</v>
      </c>
      <c r="N687" s="8" t="s">
        <v>260</v>
      </c>
      <c r="O687" s="8">
        <v>1694.51</v>
      </c>
      <c r="P687" s="8">
        <v>1882.79</v>
      </c>
      <c r="Q687" s="8" t="s">
        <v>2584</v>
      </c>
      <c r="R687" s="8" t="s">
        <v>2031</v>
      </c>
    </row>
    <row r="688" spans="1:20" x14ac:dyDescent="0.2">
      <c r="A688" s="8" t="s">
        <v>3212</v>
      </c>
      <c r="B688" s="8" t="str">
        <f t="shared" si="20"/>
        <v>1586243968</v>
      </c>
      <c r="C688" s="8" t="str">
        <f t="shared" si="21"/>
        <v>723</v>
      </c>
      <c r="D688" s="8" t="s">
        <v>119</v>
      </c>
      <c r="F688" s="8" t="s">
        <v>128</v>
      </c>
      <c r="G688" s="8" t="s">
        <v>260</v>
      </c>
      <c r="H688" s="8" t="s">
        <v>261</v>
      </c>
      <c r="I688" s="8" t="s">
        <v>262</v>
      </c>
      <c r="J688" s="8" t="s">
        <v>263</v>
      </c>
      <c r="K688" s="8" t="s">
        <v>264</v>
      </c>
      <c r="L688" s="8" t="s">
        <v>265</v>
      </c>
      <c r="M688" s="8" t="s">
        <v>2785</v>
      </c>
      <c r="N688" s="8" t="s">
        <v>260</v>
      </c>
      <c r="O688" s="8">
        <v>1694.51</v>
      </c>
      <c r="P688" s="8">
        <v>1882.79</v>
      </c>
      <c r="Q688" s="8" t="s">
        <v>2584</v>
      </c>
      <c r="R688" s="8" t="s">
        <v>1241</v>
      </c>
    </row>
    <row r="689" spans="1:20" x14ac:dyDescent="0.2">
      <c r="A689" s="8" t="s">
        <v>3703</v>
      </c>
      <c r="B689" s="8" t="str">
        <f t="shared" si="20"/>
        <v>1586243968</v>
      </c>
      <c r="C689" s="8" t="str">
        <f t="shared" si="21"/>
        <v>724</v>
      </c>
      <c r="D689" s="8" t="s">
        <v>119</v>
      </c>
      <c r="F689" s="8" t="s">
        <v>128</v>
      </c>
      <c r="G689" s="8" t="s">
        <v>260</v>
      </c>
      <c r="H689" s="8" t="s">
        <v>261</v>
      </c>
      <c r="I689" s="8" t="s">
        <v>262</v>
      </c>
      <c r="J689" s="8" t="s">
        <v>263</v>
      </c>
      <c r="K689" s="8" t="s">
        <v>264</v>
      </c>
      <c r="L689" s="8" t="s">
        <v>265</v>
      </c>
      <c r="M689" s="8" t="s">
        <v>2785</v>
      </c>
      <c r="N689" s="8" t="s">
        <v>260</v>
      </c>
      <c r="O689" s="8">
        <v>1694.51</v>
      </c>
      <c r="P689" s="8">
        <v>1882.79</v>
      </c>
      <c r="Q689" s="8" t="s">
        <v>2584</v>
      </c>
      <c r="R689" s="8" t="s">
        <v>266</v>
      </c>
    </row>
    <row r="690" spans="1:20" x14ac:dyDescent="0.2">
      <c r="A690" s="8" t="s">
        <v>3920</v>
      </c>
      <c r="B690" s="8" t="str">
        <f t="shared" si="20"/>
        <v>1586243968</v>
      </c>
      <c r="C690" s="8" t="str">
        <f t="shared" si="21"/>
        <v>725</v>
      </c>
      <c r="D690" s="8" t="s">
        <v>119</v>
      </c>
      <c r="F690" s="8" t="s">
        <v>128</v>
      </c>
      <c r="G690" s="8" t="s">
        <v>260</v>
      </c>
      <c r="H690" s="8" t="s">
        <v>261</v>
      </c>
      <c r="I690" s="8" t="s">
        <v>262</v>
      </c>
      <c r="J690" s="8" t="s">
        <v>263</v>
      </c>
      <c r="K690" s="8" t="s">
        <v>264</v>
      </c>
      <c r="L690" s="8" t="s">
        <v>265</v>
      </c>
      <c r="M690" s="8" t="s">
        <v>2785</v>
      </c>
      <c r="N690" s="8" t="s">
        <v>260</v>
      </c>
      <c r="O690" s="8">
        <v>1694.51</v>
      </c>
      <c r="P690" s="8">
        <v>1882.79</v>
      </c>
      <c r="Q690" s="8" t="s">
        <v>2584</v>
      </c>
      <c r="R690" s="8" t="s">
        <v>1216</v>
      </c>
    </row>
    <row r="691" spans="1:20" x14ac:dyDescent="0.2">
      <c r="A691" s="8" t="s">
        <v>4588</v>
      </c>
      <c r="B691" s="8" t="str">
        <f t="shared" si="20"/>
        <v>1586243968</v>
      </c>
      <c r="C691" s="8" t="str">
        <f t="shared" si="21"/>
        <v>726</v>
      </c>
      <c r="D691" s="8" t="s">
        <v>119</v>
      </c>
      <c r="F691" s="8" t="s">
        <v>128</v>
      </c>
      <c r="G691" s="8" t="s">
        <v>260</v>
      </c>
      <c r="H691" s="8" t="s">
        <v>261</v>
      </c>
      <c r="I691" s="8" t="s">
        <v>262</v>
      </c>
      <c r="J691" s="8" t="s">
        <v>263</v>
      </c>
      <c r="K691" s="8" t="s">
        <v>264</v>
      </c>
      <c r="L691" s="8" t="s">
        <v>265</v>
      </c>
      <c r="M691" s="8" t="s">
        <v>2785</v>
      </c>
      <c r="N691" s="8" t="s">
        <v>260</v>
      </c>
      <c r="O691" s="8">
        <v>1694.51</v>
      </c>
      <c r="P691" s="8">
        <v>1882.79</v>
      </c>
      <c r="Q691" s="8" t="s">
        <v>2584</v>
      </c>
      <c r="R691" s="8" t="s">
        <v>1489</v>
      </c>
    </row>
    <row r="692" spans="1:20" x14ac:dyDescent="0.2">
      <c r="A692" s="8" t="s">
        <v>3598</v>
      </c>
      <c r="B692" s="8" t="str">
        <f t="shared" si="20"/>
        <v>1586243968</v>
      </c>
      <c r="C692" s="8" t="str">
        <f t="shared" si="21"/>
        <v>727</v>
      </c>
      <c r="D692" s="8" t="s">
        <v>119</v>
      </c>
      <c r="F692" s="8" t="s">
        <v>128</v>
      </c>
      <c r="G692" s="8" t="s">
        <v>260</v>
      </c>
      <c r="H692" s="8" t="s">
        <v>261</v>
      </c>
      <c r="I692" s="8" t="s">
        <v>262</v>
      </c>
      <c r="J692" s="8" t="s">
        <v>263</v>
      </c>
      <c r="K692" s="8" t="s">
        <v>264</v>
      </c>
      <c r="L692" s="8" t="s">
        <v>265</v>
      </c>
      <c r="M692" s="8" t="s">
        <v>2785</v>
      </c>
      <c r="N692" s="8" t="s">
        <v>260</v>
      </c>
      <c r="O692" s="8">
        <v>1694.51</v>
      </c>
      <c r="P692" s="8">
        <v>1882.79</v>
      </c>
      <c r="Q692" s="8" t="s">
        <v>2584</v>
      </c>
      <c r="R692" s="8" t="s">
        <v>2245</v>
      </c>
    </row>
    <row r="693" spans="1:20" x14ac:dyDescent="0.2">
      <c r="A693" s="8" t="s">
        <v>4053</v>
      </c>
      <c r="B693" s="8" t="str">
        <f t="shared" si="20"/>
        <v>1586243968</v>
      </c>
      <c r="C693" s="8" t="str">
        <f t="shared" si="21"/>
        <v>728</v>
      </c>
      <c r="D693" s="8" t="s">
        <v>119</v>
      </c>
      <c r="F693" s="8" t="s">
        <v>128</v>
      </c>
      <c r="G693" s="8" t="s">
        <v>260</v>
      </c>
      <c r="H693" s="8" t="s">
        <v>261</v>
      </c>
      <c r="I693" s="8" t="s">
        <v>262</v>
      </c>
      <c r="J693" s="8" t="s">
        <v>263</v>
      </c>
      <c r="K693" s="8" t="s">
        <v>264</v>
      </c>
      <c r="L693" s="8" t="s">
        <v>265</v>
      </c>
      <c r="M693" s="8" t="s">
        <v>2785</v>
      </c>
      <c r="N693" s="8" t="s">
        <v>260</v>
      </c>
      <c r="O693" s="8">
        <v>1694.51</v>
      </c>
      <c r="P693" s="8">
        <v>1882.79</v>
      </c>
      <c r="Q693" s="8" t="s">
        <v>2584</v>
      </c>
      <c r="R693" s="8" t="s">
        <v>1706</v>
      </c>
    </row>
    <row r="694" spans="1:20" x14ac:dyDescent="0.2">
      <c r="A694" s="8" t="s">
        <v>4732</v>
      </c>
      <c r="B694" s="8" t="str">
        <f t="shared" si="20"/>
        <v>1586243968</v>
      </c>
      <c r="C694" s="8" t="str">
        <f t="shared" si="21"/>
        <v>729</v>
      </c>
      <c r="D694" s="8" t="s">
        <v>119</v>
      </c>
      <c r="F694" s="8" t="s">
        <v>128</v>
      </c>
      <c r="G694" s="8" t="s">
        <v>260</v>
      </c>
      <c r="H694" s="8" t="s">
        <v>261</v>
      </c>
      <c r="I694" s="8" t="s">
        <v>262</v>
      </c>
      <c r="J694" s="8" t="s">
        <v>263</v>
      </c>
      <c r="K694" s="8" t="s">
        <v>264</v>
      </c>
      <c r="L694" s="8" t="s">
        <v>265</v>
      </c>
      <c r="M694" s="8" t="s">
        <v>2785</v>
      </c>
      <c r="N694" s="8" t="s">
        <v>260</v>
      </c>
      <c r="O694" s="8">
        <v>1694.51</v>
      </c>
      <c r="P694" s="8">
        <v>1882.79</v>
      </c>
      <c r="Q694" s="8" t="s">
        <v>2584</v>
      </c>
      <c r="S694" s="8" t="s">
        <v>142</v>
      </c>
      <c r="T694" s="8">
        <v>165.98</v>
      </c>
    </row>
    <row r="695" spans="1:20" x14ac:dyDescent="0.2">
      <c r="A695" s="8" t="s">
        <v>3831</v>
      </c>
      <c r="B695" s="8" t="str">
        <f t="shared" si="20"/>
        <v>1586243968</v>
      </c>
      <c r="C695" s="8" t="str">
        <f t="shared" si="21"/>
        <v>730</v>
      </c>
      <c r="D695" s="8" t="s">
        <v>119</v>
      </c>
      <c r="F695" s="8" t="s">
        <v>128</v>
      </c>
      <c r="G695" s="8" t="s">
        <v>260</v>
      </c>
      <c r="H695" s="8" t="s">
        <v>261</v>
      </c>
      <c r="I695" s="8" t="s">
        <v>262</v>
      </c>
      <c r="J695" s="8" t="s">
        <v>263</v>
      </c>
      <c r="K695" s="8" t="s">
        <v>264</v>
      </c>
      <c r="L695" s="8" t="s">
        <v>265</v>
      </c>
      <c r="M695" s="8" t="s">
        <v>2785</v>
      </c>
      <c r="N695" s="8" t="s">
        <v>260</v>
      </c>
      <c r="O695" s="8">
        <v>1694.51</v>
      </c>
      <c r="P695" s="8">
        <v>1882.79</v>
      </c>
      <c r="Q695" s="8" t="s">
        <v>2584</v>
      </c>
      <c r="S695" s="8" t="s">
        <v>184</v>
      </c>
      <c r="T695" s="8">
        <v>169.67</v>
      </c>
    </row>
    <row r="696" spans="1:20" x14ac:dyDescent="0.2">
      <c r="A696" s="8" t="s">
        <v>4274</v>
      </c>
      <c r="B696" s="8" t="str">
        <f t="shared" si="20"/>
        <v>1586243970</v>
      </c>
      <c r="C696" s="8" t="str">
        <f t="shared" si="21"/>
        <v>731</v>
      </c>
      <c r="D696" s="8" t="s">
        <v>119</v>
      </c>
      <c r="F696" s="8" t="s">
        <v>128</v>
      </c>
      <c r="G696" s="8" t="s">
        <v>260</v>
      </c>
      <c r="H696" s="8" t="s">
        <v>261</v>
      </c>
      <c r="I696" s="8" t="s">
        <v>455</v>
      </c>
      <c r="J696" s="8" t="s">
        <v>1824</v>
      </c>
      <c r="K696" s="8" t="s">
        <v>1234</v>
      </c>
      <c r="L696" s="8" t="s">
        <v>1825</v>
      </c>
      <c r="M696" s="8" t="s">
        <v>2785</v>
      </c>
      <c r="N696" s="8" t="s">
        <v>260</v>
      </c>
      <c r="O696" s="8">
        <v>1119.0999999999999</v>
      </c>
      <c r="P696" s="8">
        <v>1243.44</v>
      </c>
      <c r="Q696" s="8" t="s">
        <v>2585</v>
      </c>
      <c r="R696" s="8" t="s">
        <v>1930</v>
      </c>
    </row>
    <row r="697" spans="1:20" x14ac:dyDescent="0.2">
      <c r="A697" s="8" t="s">
        <v>3840</v>
      </c>
      <c r="B697" s="8" t="str">
        <f t="shared" si="20"/>
        <v>1586243970</v>
      </c>
      <c r="C697" s="8" t="str">
        <f t="shared" si="21"/>
        <v>732</v>
      </c>
      <c r="D697" s="8" t="s">
        <v>119</v>
      </c>
      <c r="F697" s="8" t="s">
        <v>128</v>
      </c>
      <c r="G697" s="8" t="s">
        <v>260</v>
      </c>
      <c r="H697" s="8" t="s">
        <v>261</v>
      </c>
      <c r="I697" s="8" t="s">
        <v>455</v>
      </c>
      <c r="J697" s="8" t="s">
        <v>1824</v>
      </c>
      <c r="K697" s="8" t="s">
        <v>1234</v>
      </c>
      <c r="L697" s="8" t="s">
        <v>1825</v>
      </c>
      <c r="M697" s="8" t="s">
        <v>2785</v>
      </c>
      <c r="N697" s="8" t="s">
        <v>260</v>
      </c>
      <c r="O697" s="8">
        <v>1119.0999999999999</v>
      </c>
      <c r="P697" s="8">
        <v>1243.44</v>
      </c>
      <c r="Q697" s="8" t="s">
        <v>2585</v>
      </c>
      <c r="R697" s="8" t="s">
        <v>2136</v>
      </c>
    </row>
    <row r="698" spans="1:20" x14ac:dyDescent="0.2">
      <c r="A698" s="8" t="s">
        <v>4059</v>
      </c>
      <c r="B698" s="8" t="str">
        <f t="shared" si="20"/>
        <v>1586243970</v>
      </c>
      <c r="C698" s="8" t="str">
        <f t="shared" si="21"/>
        <v>733</v>
      </c>
      <c r="D698" s="8" t="s">
        <v>119</v>
      </c>
      <c r="F698" s="8" t="s">
        <v>128</v>
      </c>
      <c r="G698" s="8" t="s">
        <v>260</v>
      </c>
      <c r="H698" s="8" t="s">
        <v>261</v>
      </c>
      <c r="I698" s="8" t="s">
        <v>455</v>
      </c>
      <c r="J698" s="8" t="s">
        <v>1824</v>
      </c>
      <c r="K698" s="8" t="s">
        <v>1234</v>
      </c>
      <c r="L698" s="8" t="s">
        <v>1825</v>
      </c>
      <c r="M698" s="8" t="s">
        <v>2785</v>
      </c>
      <c r="N698" s="8" t="s">
        <v>260</v>
      </c>
      <c r="O698" s="8">
        <v>1119.0999999999999</v>
      </c>
      <c r="P698" s="8">
        <v>1243.44</v>
      </c>
      <c r="Q698" s="8" t="s">
        <v>2585</v>
      </c>
      <c r="S698" s="8" t="s">
        <v>1116</v>
      </c>
      <c r="T698" s="8">
        <v>75.25</v>
      </c>
    </row>
    <row r="699" spans="1:20" x14ac:dyDescent="0.2">
      <c r="A699" s="8" t="s">
        <v>3805</v>
      </c>
      <c r="B699" s="8" t="str">
        <f t="shared" si="20"/>
        <v>1586243972</v>
      </c>
      <c r="C699" s="8" t="str">
        <f t="shared" si="21"/>
        <v>734</v>
      </c>
      <c r="D699" s="8" t="s">
        <v>119</v>
      </c>
      <c r="F699" s="8" t="s">
        <v>128</v>
      </c>
      <c r="G699" s="8" t="s">
        <v>260</v>
      </c>
      <c r="H699" s="8" t="s">
        <v>261</v>
      </c>
      <c r="I699" s="8" t="s">
        <v>1232</v>
      </c>
      <c r="J699" s="8" t="s">
        <v>1233</v>
      </c>
      <c r="K699" s="8" t="s">
        <v>1234</v>
      </c>
      <c r="L699" s="8" t="s">
        <v>1235</v>
      </c>
      <c r="M699" s="8" t="s">
        <v>2785</v>
      </c>
      <c r="N699" s="8" t="s">
        <v>260</v>
      </c>
      <c r="O699" s="8">
        <v>1056.3900000000001</v>
      </c>
      <c r="P699" s="8">
        <v>1173.77</v>
      </c>
      <c r="Q699" s="8" t="s">
        <v>2586</v>
      </c>
      <c r="R699" s="8" t="s">
        <v>2428</v>
      </c>
    </row>
    <row r="700" spans="1:20" x14ac:dyDescent="0.2">
      <c r="A700" s="8" t="s">
        <v>3274</v>
      </c>
      <c r="B700" s="8" t="str">
        <f t="shared" si="20"/>
        <v>1586243972</v>
      </c>
      <c r="C700" s="8" t="str">
        <f t="shared" si="21"/>
        <v>735</v>
      </c>
      <c r="D700" s="8" t="s">
        <v>119</v>
      </c>
      <c r="F700" s="8" t="s">
        <v>128</v>
      </c>
      <c r="G700" s="8" t="s">
        <v>260</v>
      </c>
      <c r="H700" s="8" t="s">
        <v>261</v>
      </c>
      <c r="I700" s="8" t="s">
        <v>1232</v>
      </c>
      <c r="J700" s="8" t="s">
        <v>1233</v>
      </c>
      <c r="K700" s="8" t="s">
        <v>1234</v>
      </c>
      <c r="L700" s="8" t="s">
        <v>1235</v>
      </c>
      <c r="M700" s="8" t="s">
        <v>2785</v>
      </c>
      <c r="N700" s="8" t="s">
        <v>260</v>
      </c>
      <c r="O700" s="8">
        <v>1056.3900000000001</v>
      </c>
      <c r="P700" s="8">
        <v>1173.77</v>
      </c>
      <c r="Q700" s="8" t="s">
        <v>2586</v>
      </c>
      <c r="R700" s="8" t="s">
        <v>2313</v>
      </c>
    </row>
    <row r="701" spans="1:20" x14ac:dyDescent="0.2">
      <c r="A701" s="8" t="s">
        <v>3506</v>
      </c>
      <c r="B701" s="8" t="str">
        <f t="shared" si="20"/>
        <v>1586243972</v>
      </c>
      <c r="C701" s="8" t="str">
        <f t="shared" si="21"/>
        <v>736</v>
      </c>
      <c r="D701" s="8" t="s">
        <v>119</v>
      </c>
      <c r="F701" s="8" t="s">
        <v>128</v>
      </c>
      <c r="G701" s="8" t="s">
        <v>260</v>
      </c>
      <c r="H701" s="8" t="s">
        <v>261</v>
      </c>
      <c r="I701" s="8" t="s">
        <v>1232</v>
      </c>
      <c r="J701" s="8" t="s">
        <v>1233</v>
      </c>
      <c r="K701" s="8" t="s">
        <v>1234</v>
      </c>
      <c r="L701" s="8" t="s">
        <v>1235</v>
      </c>
      <c r="M701" s="8" t="s">
        <v>2785</v>
      </c>
      <c r="N701" s="8" t="s">
        <v>260</v>
      </c>
      <c r="O701" s="8">
        <v>1056.3900000000001</v>
      </c>
      <c r="P701" s="8">
        <v>1173.77</v>
      </c>
      <c r="Q701" s="8" t="s">
        <v>2586</v>
      </c>
      <c r="S701" s="8" t="s">
        <v>142</v>
      </c>
      <c r="T701" s="8">
        <v>308.36</v>
      </c>
    </row>
    <row r="702" spans="1:20" x14ac:dyDescent="0.2">
      <c r="A702" s="8" t="s">
        <v>4773</v>
      </c>
      <c r="B702" s="8" t="str">
        <f t="shared" si="20"/>
        <v>1586243972</v>
      </c>
      <c r="C702" s="8" t="str">
        <f t="shared" si="21"/>
        <v>737</v>
      </c>
      <c r="D702" s="8" t="s">
        <v>119</v>
      </c>
      <c r="F702" s="8" t="s">
        <v>128</v>
      </c>
      <c r="G702" s="8" t="s">
        <v>260</v>
      </c>
      <c r="H702" s="8" t="s">
        <v>261</v>
      </c>
      <c r="I702" s="8" t="s">
        <v>1232</v>
      </c>
      <c r="J702" s="8" t="s">
        <v>1233</v>
      </c>
      <c r="K702" s="8" t="s">
        <v>1234</v>
      </c>
      <c r="L702" s="8" t="s">
        <v>1235</v>
      </c>
      <c r="M702" s="8" t="s">
        <v>2785</v>
      </c>
      <c r="N702" s="8" t="s">
        <v>260</v>
      </c>
      <c r="O702" s="8">
        <v>1056.3900000000001</v>
      </c>
      <c r="P702" s="8">
        <v>1173.77</v>
      </c>
      <c r="Q702" s="8" t="s">
        <v>2586</v>
      </c>
      <c r="S702" s="8" t="s">
        <v>1116</v>
      </c>
      <c r="T702" s="8">
        <v>75.25</v>
      </c>
    </row>
    <row r="703" spans="1:20" x14ac:dyDescent="0.2">
      <c r="A703" s="8" t="s">
        <v>3174</v>
      </c>
      <c r="B703" s="8" t="str">
        <f t="shared" si="20"/>
        <v>1586243976</v>
      </c>
      <c r="C703" s="8" t="str">
        <f t="shared" si="21"/>
        <v>738</v>
      </c>
      <c r="D703" s="8" t="s">
        <v>119</v>
      </c>
      <c r="F703" s="8" t="s">
        <v>128</v>
      </c>
      <c r="G703" s="8" t="s">
        <v>421</v>
      </c>
      <c r="H703" s="8" t="s">
        <v>422</v>
      </c>
      <c r="I703" s="8" t="s">
        <v>250</v>
      </c>
      <c r="J703" s="8" t="s">
        <v>423</v>
      </c>
      <c r="K703" s="8" t="s">
        <v>385</v>
      </c>
      <c r="L703" s="8" t="s">
        <v>424</v>
      </c>
      <c r="M703" s="8" t="s">
        <v>2785</v>
      </c>
      <c r="N703" s="8" t="s">
        <v>421</v>
      </c>
      <c r="O703" s="8">
        <v>432.3</v>
      </c>
      <c r="P703" s="8">
        <v>480.33</v>
      </c>
      <c r="Q703" s="8" t="s">
        <v>2541</v>
      </c>
      <c r="R703" s="8" t="s">
        <v>1330</v>
      </c>
    </row>
    <row r="704" spans="1:20" x14ac:dyDescent="0.2">
      <c r="A704" s="8" t="s">
        <v>4188</v>
      </c>
      <c r="B704" s="8" t="str">
        <f t="shared" si="20"/>
        <v>1586243976</v>
      </c>
      <c r="C704" s="8" t="str">
        <f t="shared" si="21"/>
        <v>739</v>
      </c>
      <c r="D704" s="8" t="s">
        <v>119</v>
      </c>
      <c r="F704" s="8" t="s">
        <v>128</v>
      </c>
      <c r="G704" s="8" t="s">
        <v>421</v>
      </c>
      <c r="H704" s="8" t="s">
        <v>422</v>
      </c>
      <c r="I704" s="8" t="s">
        <v>250</v>
      </c>
      <c r="J704" s="8" t="s">
        <v>423</v>
      </c>
      <c r="K704" s="8" t="s">
        <v>385</v>
      </c>
      <c r="L704" s="8" t="s">
        <v>424</v>
      </c>
      <c r="M704" s="8" t="s">
        <v>2785</v>
      </c>
      <c r="N704" s="8" t="s">
        <v>421</v>
      </c>
      <c r="O704" s="8">
        <v>432.3</v>
      </c>
      <c r="P704" s="8">
        <v>480.33</v>
      </c>
      <c r="Q704" s="8" t="s">
        <v>2541</v>
      </c>
      <c r="R704" s="8" t="s">
        <v>1584</v>
      </c>
    </row>
    <row r="705" spans="1:20" x14ac:dyDescent="0.2">
      <c r="A705" s="8" t="s">
        <v>3710</v>
      </c>
      <c r="B705" s="8" t="str">
        <f t="shared" si="20"/>
        <v>1586243976</v>
      </c>
      <c r="C705" s="8" t="str">
        <f t="shared" si="21"/>
        <v>740</v>
      </c>
      <c r="D705" s="8" t="s">
        <v>119</v>
      </c>
      <c r="F705" s="8" t="s">
        <v>128</v>
      </c>
      <c r="G705" s="8" t="s">
        <v>421</v>
      </c>
      <c r="H705" s="8" t="s">
        <v>422</v>
      </c>
      <c r="I705" s="8" t="s">
        <v>250</v>
      </c>
      <c r="J705" s="8" t="s">
        <v>423</v>
      </c>
      <c r="K705" s="8" t="s">
        <v>385</v>
      </c>
      <c r="L705" s="8" t="s">
        <v>424</v>
      </c>
      <c r="M705" s="8" t="s">
        <v>2785</v>
      </c>
      <c r="N705" s="8" t="s">
        <v>421</v>
      </c>
      <c r="O705" s="8">
        <v>432.3</v>
      </c>
      <c r="P705" s="8">
        <v>480.33</v>
      </c>
      <c r="Q705" s="8" t="s">
        <v>2541</v>
      </c>
      <c r="R705" s="8" t="s">
        <v>2394</v>
      </c>
    </row>
    <row r="706" spans="1:20" x14ac:dyDescent="0.2">
      <c r="A706" s="8" t="s">
        <v>4796</v>
      </c>
      <c r="B706" s="8" t="str">
        <f t="shared" ref="B706:B769" si="22">LEFT(A706, FIND("-", A706) - 1)</f>
        <v>1586243976</v>
      </c>
      <c r="C706" s="8" t="str">
        <f t="shared" ref="C706:C769" si="23">RIGHT(A706, LEN(A706) - FIND("-", A706))</f>
        <v>741</v>
      </c>
      <c r="D706" s="8" t="s">
        <v>119</v>
      </c>
      <c r="F706" s="8" t="s">
        <v>128</v>
      </c>
      <c r="G706" s="8" t="s">
        <v>421</v>
      </c>
      <c r="H706" s="8" t="s">
        <v>422</v>
      </c>
      <c r="I706" s="8" t="s">
        <v>250</v>
      </c>
      <c r="J706" s="8" t="s">
        <v>423</v>
      </c>
      <c r="K706" s="8" t="s">
        <v>385</v>
      </c>
      <c r="L706" s="8" t="s">
        <v>424</v>
      </c>
      <c r="M706" s="8" t="s">
        <v>2785</v>
      </c>
      <c r="N706" s="8" t="s">
        <v>421</v>
      </c>
      <c r="O706" s="8">
        <v>432.3</v>
      </c>
      <c r="P706" s="8">
        <v>480.33</v>
      </c>
      <c r="Q706" s="8" t="s">
        <v>2541</v>
      </c>
      <c r="S706" s="8" t="s">
        <v>142</v>
      </c>
      <c r="T706" s="8">
        <v>37.619999999999997</v>
      </c>
    </row>
    <row r="707" spans="1:20" x14ac:dyDescent="0.2">
      <c r="A707" s="8" t="s">
        <v>3576</v>
      </c>
      <c r="B707" s="8" t="str">
        <f t="shared" si="22"/>
        <v>1586243976</v>
      </c>
      <c r="C707" s="8" t="str">
        <f t="shared" si="23"/>
        <v>742</v>
      </c>
      <c r="D707" s="8" t="s">
        <v>119</v>
      </c>
      <c r="F707" s="8" t="s">
        <v>128</v>
      </c>
      <c r="G707" s="8" t="s">
        <v>421</v>
      </c>
      <c r="H707" s="8" t="s">
        <v>422</v>
      </c>
      <c r="I707" s="8" t="s">
        <v>250</v>
      </c>
      <c r="J707" s="8" t="s">
        <v>423</v>
      </c>
      <c r="K707" s="8" t="s">
        <v>385</v>
      </c>
      <c r="L707" s="8" t="s">
        <v>424</v>
      </c>
      <c r="M707" s="8" t="s">
        <v>2785</v>
      </c>
      <c r="N707" s="8" t="s">
        <v>421</v>
      </c>
      <c r="O707" s="8">
        <v>432.3</v>
      </c>
      <c r="P707" s="8">
        <v>480.33</v>
      </c>
      <c r="Q707" s="8" t="s">
        <v>2541</v>
      </c>
      <c r="S707" s="8" t="s">
        <v>184</v>
      </c>
      <c r="T707" s="8">
        <v>77.459999999999994</v>
      </c>
    </row>
    <row r="708" spans="1:20" x14ac:dyDescent="0.2">
      <c r="A708" s="8" t="s">
        <v>3181</v>
      </c>
      <c r="B708" s="8" t="str">
        <f t="shared" si="22"/>
        <v>1586243976</v>
      </c>
      <c r="C708" s="8" t="str">
        <f t="shared" si="23"/>
        <v>743</v>
      </c>
      <c r="D708" s="8" t="s">
        <v>119</v>
      </c>
      <c r="F708" s="8" t="s">
        <v>128</v>
      </c>
      <c r="G708" s="8" t="s">
        <v>421</v>
      </c>
      <c r="H708" s="8" t="s">
        <v>422</v>
      </c>
      <c r="I708" s="8" t="s">
        <v>250</v>
      </c>
      <c r="J708" s="8" t="s">
        <v>423</v>
      </c>
      <c r="K708" s="8" t="s">
        <v>385</v>
      </c>
      <c r="L708" s="8" t="s">
        <v>424</v>
      </c>
      <c r="M708" s="8" t="s">
        <v>2785</v>
      </c>
      <c r="N708" s="8" t="s">
        <v>421</v>
      </c>
      <c r="O708" s="8">
        <v>432.3</v>
      </c>
      <c r="P708" s="8">
        <v>480.33</v>
      </c>
      <c r="Q708" s="8" t="s">
        <v>2541</v>
      </c>
      <c r="S708" s="8" t="s">
        <v>109</v>
      </c>
      <c r="T708" s="8">
        <v>42.05</v>
      </c>
    </row>
    <row r="709" spans="1:20" x14ac:dyDescent="0.2">
      <c r="A709" s="8" t="s">
        <v>2833</v>
      </c>
      <c r="B709" s="8" t="str">
        <f t="shared" si="22"/>
        <v>1586243978</v>
      </c>
      <c r="C709" s="8" t="str">
        <f t="shared" si="23"/>
        <v>744</v>
      </c>
      <c r="D709" s="8" t="s">
        <v>119</v>
      </c>
      <c r="F709" s="8" t="s">
        <v>128</v>
      </c>
      <c r="G709" s="8" t="s">
        <v>421</v>
      </c>
      <c r="H709" s="8" t="s">
        <v>422</v>
      </c>
      <c r="I709" s="8" t="s">
        <v>250</v>
      </c>
      <c r="J709" s="8" t="s">
        <v>1254</v>
      </c>
      <c r="K709" s="8" t="s">
        <v>176</v>
      </c>
      <c r="L709" s="8" t="s">
        <v>1255</v>
      </c>
      <c r="M709" s="8" t="s">
        <v>2785</v>
      </c>
      <c r="N709" s="8" t="s">
        <v>421</v>
      </c>
      <c r="O709" s="8">
        <v>1077.05</v>
      </c>
      <c r="P709" s="8">
        <v>1196.72</v>
      </c>
      <c r="Q709" s="8" t="s">
        <v>2587</v>
      </c>
      <c r="R709" s="8" t="s">
        <v>1256</v>
      </c>
    </row>
    <row r="710" spans="1:20" x14ac:dyDescent="0.2">
      <c r="A710" s="8" t="s">
        <v>3295</v>
      </c>
      <c r="B710" s="8" t="str">
        <f t="shared" si="22"/>
        <v>1586243978</v>
      </c>
      <c r="C710" s="8" t="str">
        <f t="shared" si="23"/>
        <v>745</v>
      </c>
      <c r="D710" s="8" t="s">
        <v>119</v>
      </c>
      <c r="F710" s="8" t="s">
        <v>128</v>
      </c>
      <c r="G710" s="8" t="s">
        <v>421</v>
      </c>
      <c r="H710" s="8" t="s">
        <v>422</v>
      </c>
      <c r="I710" s="8" t="s">
        <v>250</v>
      </c>
      <c r="J710" s="8" t="s">
        <v>1254</v>
      </c>
      <c r="K710" s="8" t="s">
        <v>176</v>
      </c>
      <c r="L710" s="8" t="s">
        <v>1255</v>
      </c>
      <c r="M710" s="8" t="s">
        <v>2785</v>
      </c>
      <c r="N710" s="8" t="s">
        <v>421</v>
      </c>
      <c r="O710" s="8">
        <v>1077.05</v>
      </c>
      <c r="P710" s="8">
        <v>1196.72</v>
      </c>
      <c r="Q710" s="8" t="s">
        <v>2587</v>
      </c>
      <c r="R710" s="8" t="s">
        <v>2133</v>
      </c>
    </row>
    <row r="711" spans="1:20" x14ac:dyDescent="0.2">
      <c r="A711" s="8" t="s">
        <v>2894</v>
      </c>
      <c r="B711" s="8" t="str">
        <f t="shared" si="22"/>
        <v>1586243978</v>
      </c>
      <c r="C711" s="8" t="str">
        <f t="shared" si="23"/>
        <v>746</v>
      </c>
      <c r="D711" s="8" t="s">
        <v>119</v>
      </c>
      <c r="F711" s="8" t="s">
        <v>128</v>
      </c>
      <c r="G711" s="8" t="s">
        <v>421</v>
      </c>
      <c r="H711" s="8" t="s">
        <v>422</v>
      </c>
      <c r="I711" s="8" t="s">
        <v>250</v>
      </c>
      <c r="J711" s="8" t="s">
        <v>1254</v>
      </c>
      <c r="K711" s="8" t="s">
        <v>176</v>
      </c>
      <c r="L711" s="8" t="s">
        <v>1255</v>
      </c>
      <c r="M711" s="8" t="s">
        <v>2785</v>
      </c>
      <c r="N711" s="8" t="s">
        <v>421</v>
      </c>
      <c r="O711" s="8">
        <v>1077.05</v>
      </c>
      <c r="P711" s="8">
        <v>1196.72</v>
      </c>
      <c r="Q711" s="8" t="s">
        <v>2587</v>
      </c>
      <c r="R711" s="8" t="s">
        <v>2442</v>
      </c>
    </row>
    <row r="712" spans="1:20" x14ac:dyDescent="0.2">
      <c r="A712" s="8" t="s">
        <v>4094</v>
      </c>
      <c r="B712" s="8" t="str">
        <f t="shared" si="22"/>
        <v>1586243978</v>
      </c>
      <c r="C712" s="8" t="str">
        <f t="shared" si="23"/>
        <v>747</v>
      </c>
      <c r="D712" s="8" t="s">
        <v>119</v>
      </c>
      <c r="F712" s="8" t="s">
        <v>128</v>
      </c>
      <c r="G712" s="8" t="s">
        <v>421</v>
      </c>
      <c r="H712" s="8" t="s">
        <v>422</v>
      </c>
      <c r="I712" s="8" t="s">
        <v>250</v>
      </c>
      <c r="J712" s="8" t="s">
        <v>1254</v>
      </c>
      <c r="K712" s="8" t="s">
        <v>176</v>
      </c>
      <c r="L712" s="8" t="s">
        <v>1255</v>
      </c>
      <c r="M712" s="8" t="s">
        <v>2785</v>
      </c>
      <c r="N712" s="8" t="s">
        <v>421</v>
      </c>
      <c r="O712" s="8">
        <v>1077.05</v>
      </c>
      <c r="P712" s="8">
        <v>1196.72</v>
      </c>
      <c r="Q712" s="8" t="s">
        <v>2587</v>
      </c>
      <c r="S712" s="8" t="s">
        <v>142</v>
      </c>
      <c r="T712" s="8">
        <v>37.619999999999997</v>
      </c>
    </row>
    <row r="713" spans="1:20" x14ac:dyDescent="0.2">
      <c r="A713" s="8" t="s">
        <v>3220</v>
      </c>
      <c r="B713" s="8" t="str">
        <f t="shared" si="22"/>
        <v>1586243978</v>
      </c>
      <c r="C713" s="8" t="str">
        <f t="shared" si="23"/>
        <v>748</v>
      </c>
      <c r="D713" s="8" t="s">
        <v>119</v>
      </c>
      <c r="F713" s="8" t="s">
        <v>128</v>
      </c>
      <c r="G713" s="8" t="s">
        <v>421</v>
      </c>
      <c r="H713" s="8" t="s">
        <v>422</v>
      </c>
      <c r="I713" s="8" t="s">
        <v>250</v>
      </c>
      <c r="J713" s="8" t="s">
        <v>1254</v>
      </c>
      <c r="K713" s="8" t="s">
        <v>176</v>
      </c>
      <c r="L713" s="8" t="s">
        <v>1255</v>
      </c>
      <c r="M713" s="8" t="s">
        <v>2785</v>
      </c>
      <c r="N713" s="8" t="s">
        <v>421</v>
      </c>
      <c r="O713" s="8">
        <v>1077.05</v>
      </c>
      <c r="P713" s="8">
        <v>1196.72</v>
      </c>
      <c r="Q713" s="8" t="s">
        <v>2587</v>
      </c>
      <c r="S713" s="8" t="s">
        <v>184</v>
      </c>
      <c r="T713" s="8">
        <v>169.67</v>
      </c>
    </row>
    <row r="714" spans="1:20" x14ac:dyDescent="0.2">
      <c r="A714" s="8" t="s">
        <v>3501</v>
      </c>
      <c r="B714" s="8" t="str">
        <f t="shared" si="22"/>
        <v>1586243978</v>
      </c>
      <c r="C714" s="8" t="str">
        <f t="shared" si="23"/>
        <v>749</v>
      </c>
      <c r="D714" s="8" t="s">
        <v>119</v>
      </c>
      <c r="F714" s="8" t="s">
        <v>128</v>
      </c>
      <c r="G714" s="8" t="s">
        <v>421</v>
      </c>
      <c r="H714" s="8" t="s">
        <v>422</v>
      </c>
      <c r="I714" s="8" t="s">
        <v>250</v>
      </c>
      <c r="J714" s="8" t="s">
        <v>1254</v>
      </c>
      <c r="K714" s="8" t="s">
        <v>176</v>
      </c>
      <c r="L714" s="8" t="s">
        <v>1255</v>
      </c>
      <c r="M714" s="8" t="s">
        <v>2785</v>
      </c>
      <c r="N714" s="8" t="s">
        <v>421</v>
      </c>
      <c r="O714" s="8">
        <v>1077.05</v>
      </c>
      <c r="P714" s="8">
        <v>1196.72</v>
      </c>
      <c r="Q714" s="8" t="s">
        <v>2587</v>
      </c>
      <c r="S714" s="8" t="s">
        <v>109</v>
      </c>
      <c r="T714" s="8">
        <v>42.05</v>
      </c>
    </row>
    <row r="715" spans="1:20" x14ac:dyDescent="0.2">
      <c r="A715" s="8" t="s">
        <v>4004</v>
      </c>
      <c r="B715" s="8" t="str">
        <f t="shared" si="22"/>
        <v>1586243982</v>
      </c>
      <c r="C715" s="8" t="str">
        <f t="shared" si="23"/>
        <v>750</v>
      </c>
      <c r="D715" s="8" t="s">
        <v>119</v>
      </c>
      <c r="F715" s="8" t="s">
        <v>128</v>
      </c>
      <c r="G715" s="8" t="s">
        <v>1157</v>
      </c>
      <c r="H715" s="8" t="s">
        <v>1158</v>
      </c>
      <c r="I715" s="8" t="s">
        <v>1159</v>
      </c>
      <c r="J715" s="8" t="s">
        <v>1160</v>
      </c>
      <c r="K715" s="8" t="s">
        <v>1161</v>
      </c>
      <c r="L715" s="8" t="s">
        <v>1162</v>
      </c>
      <c r="M715" s="8" t="s">
        <v>2785</v>
      </c>
      <c r="N715" s="8" t="s">
        <v>1157</v>
      </c>
      <c r="O715" s="8">
        <v>1194.3399999999999</v>
      </c>
      <c r="P715" s="8">
        <v>1327.05</v>
      </c>
      <c r="Q715" s="8" t="s">
        <v>2588</v>
      </c>
      <c r="R715" s="8" t="s">
        <v>1163</v>
      </c>
    </row>
    <row r="716" spans="1:20" x14ac:dyDescent="0.2">
      <c r="A716" s="8" t="s">
        <v>4400</v>
      </c>
      <c r="B716" s="8" t="str">
        <f t="shared" si="22"/>
        <v>1586243982</v>
      </c>
      <c r="C716" s="8" t="str">
        <f t="shared" si="23"/>
        <v>751</v>
      </c>
      <c r="D716" s="8" t="s">
        <v>119</v>
      </c>
      <c r="F716" s="8" t="s">
        <v>128</v>
      </c>
      <c r="G716" s="8" t="s">
        <v>1157</v>
      </c>
      <c r="H716" s="8" t="s">
        <v>1158</v>
      </c>
      <c r="I716" s="8" t="s">
        <v>1159</v>
      </c>
      <c r="J716" s="8" t="s">
        <v>1160</v>
      </c>
      <c r="K716" s="8" t="s">
        <v>1161</v>
      </c>
      <c r="L716" s="8" t="s">
        <v>1162</v>
      </c>
      <c r="M716" s="8" t="s">
        <v>2785</v>
      </c>
      <c r="N716" s="8" t="s">
        <v>1157</v>
      </c>
      <c r="O716" s="8">
        <v>1194.3399999999999</v>
      </c>
      <c r="P716" s="8">
        <v>1327.05</v>
      </c>
      <c r="Q716" s="8" t="s">
        <v>2588</v>
      </c>
      <c r="R716" s="8" t="s">
        <v>2295</v>
      </c>
    </row>
    <row r="717" spans="1:20" x14ac:dyDescent="0.2">
      <c r="A717" s="8" t="s">
        <v>3267</v>
      </c>
      <c r="B717" s="8" t="str">
        <f t="shared" si="22"/>
        <v>1586243982</v>
      </c>
      <c r="C717" s="8" t="str">
        <f t="shared" si="23"/>
        <v>752</v>
      </c>
      <c r="D717" s="8" t="s">
        <v>119</v>
      </c>
      <c r="F717" s="8" t="s">
        <v>128</v>
      </c>
      <c r="G717" s="8" t="s">
        <v>1157</v>
      </c>
      <c r="H717" s="8" t="s">
        <v>1158</v>
      </c>
      <c r="I717" s="8" t="s">
        <v>1159</v>
      </c>
      <c r="J717" s="8" t="s">
        <v>1160</v>
      </c>
      <c r="K717" s="8" t="s">
        <v>1161</v>
      </c>
      <c r="L717" s="8" t="s">
        <v>1162</v>
      </c>
      <c r="M717" s="8" t="s">
        <v>2785</v>
      </c>
      <c r="N717" s="8" t="s">
        <v>1157</v>
      </c>
      <c r="O717" s="8">
        <v>1194.3399999999999</v>
      </c>
      <c r="P717" s="8">
        <v>1327.05</v>
      </c>
      <c r="Q717" s="8" t="s">
        <v>2588</v>
      </c>
      <c r="S717" s="8" t="s">
        <v>1047</v>
      </c>
      <c r="T717" s="8">
        <v>80.41</v>
      </c>
    </row>
    <row r="718" spans="1:20" x14ac:dyDescent="0.2">
      <c r="A718" s="8" t="s">
        <v>3105</v>
      </c>
      <c r="B718" s="8" t="str">
        <f t="shared" si="22"/>
        <v>1586243982</v>
      </c>
      <c r="C718" s="8" t="str">
        <f t="shared" si="23"/>
        <v>753</v>
      </c>
      <c r="D718" s="8" t="s">
        <v>119</v>
      </c>
      <c r="F718" s="8" t="s">
        <v>128</v>
      </c>
      <c r="G718" s="8" t="s">
        <v>1157</v>
      </c>
      <c r="H718" s="8" t="s">
        <v>1158</v>
      </c>
      <c r="I718" s="8" t="s">
        <v>1159</v>
      </c>
      <c r="J718" s="8" t="s">
        <v>1160</v>
      </c>
      <c r="K718" s="8" t="s">
        <v>1161</v>
      </c>
      <c r="L718" s="8" t="s">
        <v>1162</v>
      </c>
      <c r="M718" s="8" t="s">
        <v>2785</v>
      </c>
      <c r="N718" s="8" t="s">
        <v>1157</v>
      </c>
      <c r="O718" s="8">
        <v>1194.3399999999999</v>
      </c>
      <c r="P718" s="8">
        <v>1327.05</v>
      </c>
      <c r="Q718" s="8" t="s">
        <v>2588</v>
      </c>
      <c r="S718" s="8" t="s">
        <v>184</v>
      </c>
      <c r="T718" s="8">
        <v>169.67</v>
      </c>
    </row>
    <row r="719" spans="1:20" x14ac:dyDescent="0.2">
      <c r="A719" s="8" t="s">
        <v>3584</v>
      </c>
      <c r="B719" s="8" t="str">
        <f t="shared" si="22"/>
        <v>1586243986</v>
      </c>
      <c r="C719" s="8" t="str">
        <f t="shared" si="23"/>
        <v>754</v>
      </c>
      <c r="D719" s="8" t="s">
        <v>119</v>
      </c>
      <c r="F719" s="8" t="s">
        <v>128</v>
      </c>
      <c r="G719" s="8" t="s">
        <v>752</v>
      </c>
      <c r="H719" s="8" t="s">
        <v>753</v>
      </c>
      <c r="I719" s="8" t="s">
        <v>623</v>
      </c>
      <c r="J719" s="8" t="s">
        <v>754</v>
      </c>
      <c r="K719" s="8" t="s">
        <v>176</v>
      </c>
      <c r="L719" s="8" t="s">
        <v>755</v>
      </c>
      <c r="M719" s="8" t="s">
        <v>2785</v>
      </c>
      <c r="N719" s="8" t="s">
        <v>752</v>
      </c>
      <c r="O719" s="8">
        <v>1175.9000000000001</v>
      </c>
      <c r="P719" s="8">
        <v>1306.56</v>
      </c>
      <c r="Q719" s="8" t="s">
        <v>2589</v>
      </c>
      <c r="R719" s="8" t="s">
        <v>1748</v>
      </c>
    </row>
    <row r="720" spans="1:20" x14ac:dyDescent="0.2">
      <c r="A720" s="8" t="s">
        <v>3342</v>
      </c>
      <c r="B720" s="8" t="str">
        <f t="shared" si="22"/>
        <v>1586243986</v>
      </c>
      <c r="C720" s="8" t="str">
        <f t="shared" si="23"/>
        <v>755</v>
      </c>
      <c r="D720" s="8" t="s">
        <v>119</v>
      </c>
      <c r="F720" s="8" t="s">
        <v>128</v>
      </c>
      <c r="G720" s="8" t="s">
        <v>752</v>
      </c>
      <c r="H720" s="8" t="s">
        <v>753</v>
      </c>
      <c r="I720" s="8" t="s">
        <v>623</v>
      </c>
      <c r="J720" s="8" t="s">
        <v>754</v>
      </c>
      <c r="K720" s="8" t="s">
        <v>176</v>
      </c>
      <c r="L720" s="8" t="s">
        <v>755</v>
      </c>
      <c r="M720" s="8" t="s">
        <v>2785</v>
      </c>
      <c r="N720" s="8" t="s">
        <v>752</v>
      </c>
      <c r="O720" s="8">
        <v>1175.9000000000001</v>
      </c>
      <c r="P720" s="8">
        <v>1306.56</v>
      </c>
      <c r="Q720" s="8" t="s">
        <v>2589</v>
      </c>
      <c r="R720" s="8" t="s">
        <v>756</v>
      </c>
    </row>
    <row r="721" spans="1:20" x14ac:dyDescent="0.2">
      <c r="A721" s="8" t="s">
        <v>3045</v>
      </c>
      <c r="B721" s="8" t="str">
        <f t="shared" si="22"/>
        <v>1586243986</v>
      </c>
      <c r="C721" s="8" t="str">
        <f t="shared" si="23"/>
        <v>756</v>
      </c>
      <c r="D721" s="8" t="s">
        <v>119</v>
      </c>
      <c r="F721" s="8" t="s">
        <v>128</v>
      </c>
      <c r="G721" s="8" t="s">
        <v>752</v>
      </c>
      <c r="H721" s="8" t="s">
        <v>753</v>
      </c>
      <c r="I721" s="8" t="s">
        <v>623</v>
      </c>
      <c r="J721" s="8" t="s">
        <v>754</v>
      </c>
      <c r="K721" s="8" t="s">
        <v>176</v>
      </c>
      <c r="L721" s="8" t="s">
        <v>755</v>
      </c>
      <c r="M721" s="8" t="s">
        <v>2785</v>
      </c>
      <c r="N721" s="8" t="s">
        <v>752</v>
      </c>
      <c r="O721" s="8">
        <v>1175.9000000000001</v>
      </c>
      <c r="P721" s="8">
        <v>1306.56</v>
      </c>
      <c r="Q721" s="8" t="s">
        <v>2589</v>
      </c>
      <c r="S721" s="8" t="s">
        <v>393</v>
      </c>
      <c r="T721" s="8">
        <v>169.67</v>
      </c>
    </row>
    <row r="722" spans="1:20" x14ac:dyDescent="0.2">
      <c r="A722" s="8" t="s">
        <v>3968</v>
      </c>
      <c r="B722" s="8" t="str">
        <f t="shared" si="22"/>
        <v>1586243989</v>
      </c>
      <c r="C722" s="8" t="str">
        <f t="shared" si="23"/>
        <v>757</v>
      </c>
      <c r="D722" s="8" t="s">
        <v>119</v>
      </c>
      <c r="F722" s="8" t="s">
        <v>128</v>
      </c>
      <c r="G722" s="8" t="s">
        <v>752</v>
      </c>
      <c r="H722" s="8" t="s">
        <v>753</v>
      </c>
      <c r="I722" s="8" t="s">
        <v>1159</v>
      </c>
      <c r="J722" s="8" t="s">
        <v>1765</v>
      </c>
      <c r="K722" s="8" t="s">
        <v>176</v>
      </c>
      <c r="L722" s="8" t="s">
        <v>1766</v>
      </c>
      <c r="M722" s="8" t="s">
        <v>2785</v>
      </c>
      <c r="N722" s="8" t="s">
        <v>752</v>
      </c>
      <c r="O722" s="8">
        <v>1077.05</v>
      </c>
      <c r="P722" s="8">
        <v>1196.72</v>
      </c>
      <c r="Q722" s="8" t="s">
        <v>2590</v>
      </c>
      <c r="R722" s="8" t="s">
        <v>2344</v>
      </c>
    </row>
    <row r="723" spans="1:20" x14ac:dyDescent="0.2">
      <c r="A723" s="8" t="s">
        <v>4388</v>
      </c>
      <c r="B723" s="8" t="str">
        <f t="shared" si="22"/>
        <v>1586243989</v>
      </c>
      <c r="C723" s="8" t="str">
        <f t="shared" si="23"/>
        <v>758</v>
      </c>
      <c r="D723" s="8" t="s">
        <v>119</v>
      </c>
      <c r="F723" s="8" t="s">
        <v>128</v>
      </c>
      <c r="G723" s="8" t="s">
        <v>752</v>
      </c>
      <c r="H723" s="8" t="s">
        <v>753</v>
      </c>
      <c r="I723" s="8" t="s">
        <v>1159</v>
      </c>
      <c r="J723" s="8" t="s">
        <v>1765</v>
      </c>
      <c r="K723" s="8" t="s">
        <v>176</v>
      </c>
      <c r="L723" s="8" t="s">
        <v>1766</v>
      </c>
      <c r="M723" s="8" t="s">
        <v>2785</v>
      </c>
      <c r="N723" s="8" t="s">
        <v>752</v>
      </c>
      <c r="O723" s="8">
        <v>1077.05</v>
      </c>
      <c r="P723" s="8">
        <v>1196.72</v>
      </c>
      <c r="Q723" s="8" t="s">
        <v>2590</v>
      </c>
      <c r="R723" s="8" t="s">
        <v>1960</v>
      </c>
    </row>
    <row r="724" spans="1:20" x14ac:dyDescent="0.2">
      <c r="A724" s="8" t="s">
        <v>3254</v>
      </c>
      <c r="B724" s="8" t="str">
        <f t="shared" si="22"/>
        <v>1586243989</v>
      </c>
      <c r="C724" s="8" t="str">
        <f t="shared" si="23"/>
        <v>759</v>
      </c>
      <c r="D724" s="8" t="s">
        <v>119</v>
      </c>
      <c r="F724" s="8" t="s">
        <v>128</v>
      </c>
      <c r="G724" s="8" t="s">
        <v>752</v>
      </c>
      <c r="H724" s="8" t="s">
        <v>753</v>
      </c>
      <c r="I724" s="8" t="s">
        <v>1159</v>
      </c>
      <c r="J724" s="8" t="s">
        <v>1765</v>
      </c>
      <c r="K724" s="8" t="s">
        <v>176</v>
      </c>
      <c r="L724" s="8" t="s">
        <v>1766</v>
      </c>
      <c r="M724" s="8" t="s">
        <v>2785</v>
      </c>
      <c r="N724" s="8" t="s">
        <v>752</v>
      </c>
      <c r="O724" s="8">
        <v>1077.05</v>
      </c>
      <c r="P724" s="8">
        <v>1196.72</v>
      </c>
      <c r="Q724" s="8" t="s">
        <v>2590</v>
      </c>
      <c r="S724" s="8" t="s">
        <v>1047</v>
      </c>
      <c r="T724" s="8">
        <v>77.459999999999994</v>
      </c>
    </row>
    <row r="725" spans="1:20" x14ac:dyDescent="0.2">
      <c r="A725" s="8" t="s">
        <v>3323</v>
      </c>
      <c r="B725" s="8" t="str">
        <f t="shared" si="22"/>
        <v>1586243989</v>
      </c>
      <c r="C725" s="8" t="str">
        <f t="shared" si="23"/>
        <v>760</v>
      </c>
      <c r="D725" s="8" t="s">
        <v>119</v>
      </c>
      <c r="F725" s="8" t="s">
        <v>128</v>
      </c>
      <c r="G725" s="8" t="s">
        <v>752</v>
      </c>
      <c r="H725" s="8" t="s">
        <v>753</v>
      </c>
      <c r="I725" s="8" t="s">
        <v>1159</v>
      </c>
      <c r="J725" s="8" t="s">
        <v>1765</v>
      </c>
      <c r="K725" s="8" t="s">
        <v>176</v>
      </c>
      <c r="L725" s="8" t="s">
        <v>1766</v>
      </c>
      <c r="M725" s="8" t="s">
        <v>2785</v>
      </c>
      <c r="N725" s="8" t="s">
        <v>752</v>
      </c>
      <c r="O725" s="8">
        <v>1077.05</v>
      </c>
      <c r="P725" s="8">
        <v>1196.72</v>
      </c>
      <c r="Q725" s="8" t="s">
        <v>2590</v>
      </c>
      <c r="S725" s="8" t="s">
        <v>184</v>
      </c>
      <c r="T725" s="8">
        <v>169.67</v>
      </c>
    </row>
    <row r="726" spans="1:20" x14ac:dyDescent="0.2">
      <c r="A726" s="8" t="s">
        <v>3117</v>
      </c>
      <c r="B726" s="8" t="str">
        <f t="shared" si="22"/>
        <v>1586243994</v>
      </c>
      <c r="C726" s="8" t="str">
        <f t="shared" si="23"/>
        <v>761</v>
      </c>
      <c r="D726" s="8" t="s">
        <v>119</v>
      </c>
      <c r="F726" s="8" t="s">
        <v>128</v>
      </c>
      <c r="G726" s="8" t="s">
        <v>150</v>
      </c>
      <c r="H726" s="8" t="s">
        <v>151</v>
      </c>
      <c r="I726" s="8" t="s">
        <v>2196</v>
      </c>
      <c r="J726" s="8" t="s">
        <v>2197</v>
      </c>
      <c r="K726" s="8" t="s">
        <v>2198</v>
      </c>
      <c r="L726" s="8" t="s">
        <v>2199</v>
      </c>
      <c r="M726" s="8" t="s">
        <v>2785</v>
      </c>
      <c r="N726" s="8" t="s">
        <v>143</v>
      </c>
      <c r="O726" s="8">
        <v>154.18</v>
      </c>
      <c r="P726" s="8">
        <v>171.31</v>
      </c>
      <c r="Q726" s="8" t="s">
        <v>2591</v>
      </c>
      <c r="R726" s="8" t="s">
        <v>2200</v>
      </c>
    </row>
    <row r="727" spans="1:20" x14ac:dyDescent="0.2">
      <c r="A727" s="8" t="s">
        <v>3145</v>
      </c>
      <c r="B727" s="8" t="str">
        <f t="shared" si="22"/>
        <v>1586243994</v>
      </c>
      <c r="C727" s="8" t="str">
        <f t="shared" si="23"/>
        <v>762</v>
      </c>
      <c r="D727" s="8" t="s">
        <v>119</v>
      </c>
      <c r="F727" s="8" t="s">
        <v>128</v>
      </c>
      <c r="G727" s="8" t="s">
        <v>150</v>
      </c>
      <c r="H727" s="8" t="s">
        <v>151</v>
      </c>
      <c r="I727" s="8" t="s">
        <v>2196</v>
      </c>
      <c r="J727" s="8" t="s">
        <v>2197</v>
      </c>
      <c r="K727" s="8" t="s">
        <v>2198</v>
      </c>
      <c r="L727" s="8" t="s">
        <v>2199</v>
      </c>
      <c r="M727" s="8" t="s">
        <v>2785</v>
      </c>
      <c r="N727" s="8" t="s">
        <v>143</v>
      </c>
      <c r="O727" s="8">
        <v>154.18</v>
      </c>
      <c r="P727" s="8">
        <v>171.31</v>
      </c>
      <c r="Q727" s="8" t="s">
        <v>2591</v>
      </c>
      <c r="S727" s="8" t="s">
        <v>2467</v>
      </c>
      <c r="T727" s="8">
        <v>22.87</v>
      </c>
    </row>
    <row r="728" spans="1:20" x14ac:dyDescent="0.2">
      <c r="A728" s="8" t="s">
        <v>2934</v>
      </c>
      <c r="B728" s="8" t="str">
        <f t="shared" si="22"/>
        <v>1586243996</v>
      </c>
      <c r="C728" s="8" t="str">
        <f t="shared" si="23"/>
        <v>763</v>
      </c>
      <c r="D728" s="8" t="s">
        <v>119</v>
      </c>
      <c r="F728" s="8" t="s">
        <v>128</v>
      </c>
      <c r="G728" s="8" t="s">
        <v>150</v>
      </c>
      <c r="H728" s="8" t="s">
        <v>151</v>
      </c>
      <c r="I728" s="8" t="s">
        <v>208</v>
      </c>
      <c r="J728" s="8" t="s">
        <v>209</v>
      </c>
      <c r="K728" s="8" t="s">
        <v>210</v>
      </c>
      <c r="L728" s="8" t="s">
        <v>211</v>
      </c>
      <c r="M728" s="8" t="s">
        <v>2785</v>
      </c>
      <c r="N728" s="8" t="s">
        <v>150</v>
      </c>
      <c r="O728" s="8">
        <v>585.74</v>
      </c>
      <c r="P728" s="8">
        <v>650.82000000000005</v>
      </c>
      <c r="Q728" s="8" t="s">
        <v>2592</v>
      </c>
      <c r="R728" s="8" t="s">
        <v>1750</v>
      </c>
    </row>
    <row r="729" spans="1:20" x14ac:dyDescent="0.2">
      <c r="A729" s="8" t="s">
        <v>3804</v>
      </c>
      <c r="B729" s="8" t="str">
        <f t="shared" si="22"/>
        <v>1586243996</v>
      </c>
      <c r="C729" s="8" t="str">
        <f t="shared" si="23"/>
        <v>764</v>
      </c>
      <c r="D729" s="8" t="s">
        <v>119</v>
      </c>
      <c r="F729" s="8" t="s">
        <v>128</v>
      </c>
      <c r="G729" s="8" t="s">
        <v>150</v>
      </c>
      <c r="H729" s="8" t="s">
        <v>151</v>
      </c>
      <c r="I729" s="8" t="s">
        <v>208</v>
      </c>
      <c r="J729" s="8" t="s">
        <v>209</v>
      </c>
      <c r="K729" s="8" t="s">
        <v>210</v>
      </c>
      <c r="L729" s="8" t="s">
        <v>211</v>
      </c>
      <c r="M729" s="8" t="s">
        <v>2785</v>
      </c>
      <c r="N729" s="8" t="s">
        <v>150</v>
      </c>
      <c r="O729" s="8">
        <v>585.74</v>
      </c>
      <c r="P729" s="8">
        <v>650.82000000000005</v>
      </c>
      <c r="Q729" s="8" t="s">
        <v>2592</v>
      </c>
      <c r="R729" s="8" t="s">
        <v>212</v>
      </c>
    </row>
    <row r="730" spans="1:20" x14ac:dyDescent="0.2">
      <c r="A730" s="8" t="s">
        <v>3650</v>
      </c>
      <c r="B730" s="8" t="str">
        <f t="shared" si="22"/>
        <v>1586243996</v>
      </c>
      <c r="C730" s="8" t="str">
        <f t="shared" si="23"/>
        <v>765</v>
      </c>
      <c r="D730" s="8" t="s">
        <v>119</v>
      </c>
      <c r="F730" s="8" t="s">
        <v>128</v>
      </c>
      <c r="G730" s="8" t="s">
        <v>150</v>
      </c>
      <c r="H730" s="8" t="s">
        <v>151</v>
      </c>
      <c r="I730" s="8" t="s">
        <v>208</v>
      </c>
      <c r="J730" s="8" t="s">
        <v>209</v>
      </c>
      <c r="K730" s="8" t="s">
        <v>210</v>
      </c>
      <c r="L730" s="8" t="s">
        <v>211</v>
      </c>
      <c r="M730" s="8" t="s">
        <v>2785</v>
      </c>
      <c r="N730" s="8" t="s">
        <v>150</v>
      </c>
      <c r="O730" s="8">
        <v>585.74</v>
      </c>
      <c r="P730" s="8">
        <v>650.82000000000005</v>
      </c>
      <c r="Q730" s="8" t="s">
        <v>2592</v>
      </c>
      <c r="R730" s="8" t="s">
        <v>2046</v>
      </c>
    </row>
    <row r="731" spans="1:20" x14ac:dyDescent="0.2">
      <c r="A731" s="8" t="s">
        <v>3031</v>
      </c>
      <c r="B731" s="8" t="str">
        <f t="shared" si="22"/>
        <v>1586243996</v>
      </c>
      <c r="C731" s="8" t="str">
        <f t="shared" si="23"/>
        <v>766</v>
      </c>
      <c r="D731" s="8" t="s">
        <v>119</v>
      </c>
      <c r="F731" s="8" t="s">
        <v>128</v>
      </c>
      <c r="G731" s="8" t="s">
        <v>150</v>
      </c>
      <c r="H731" s="8" t="s">
        <v>151</v>
      </c>
      <c r="I731" s="8" t="s">
        <v>208</v>
      </c>
      <c r="J731" s="8" t="s">
        <v>209</v>
      </c>
      <c r="K731" s="8" t="s">
        <v>210</v>
      </c>
      <c r="L731" s="8" t="s">
        <v>211</v>
      </c>
      <c r="M731" s="8" t="s">
        <v>2785</v>
      </c>
      <c r="N731" s="8" t="s">
        <v>150</v>
      </c>
      <c r="O731" s="8">
        <v>585.74</v>
      </c>
      <c r="P731" s="8">
        <v>650.82000000000005</v>
      </c>
      <c r="Q731" s="8" t="s">
        <v>2592</v>
      </c>
      <c r="S731" s="8" t="s">
        <v>331</v>
      </c>
      <c r="T731" s="8">
        <v>23.61</v>
      </c>
    </row>
    <row r="732" spans="1:20" x14ac:dyDescent="0.2">
      <c r="A732" s="8" t="s">
        <v>4284</v>
      </c>
      <c r="B732" s="8" t="str">
        <f t="shared" si="22"/>
        <v>1586243996</v>
      </c>
      <c r="C732" s="8" t="str">
        <f t="shared" si="23"/>
        <v>767</v>
      </c>
      <c r="D732" s="8" t="s">
        <v>119</v>
      </c>
      <c r="F732" s="8" t="s">
        <v>128</v>
      </c>
      <c r="G732" s="8" t="s">
        <v>150</v>
      </c>
      <c r="H732" s="8" t="s">
        <v>151</v>
      </c>
      <c r="I732" s="8" t="s">
        <v>208</v>
      </c>
      <c r="J732" s="8" t="s">
        <v>209</v>
      </c>
      <c r="K732" s="8" t="s">
        <v>210</v>
      </c>
      <c r="L732" s="8" t="s">
        <v>211</v>
      </c>
      <c r="M732" s="8" t="s">
        <v>2785</v>
      </c>
      <c r="N732" s="8" t="s">
        <v>150</v>
      </c>
      <c r="O732" s="8">
        <v>585.74</v>
      </c>
      <c r="P732" s="8">
        <v>650.82000000000005</v>
      </c>
      <c r="Q732" s="8" t="s">
        <v>2592</v>
      </c>
      <c r="S732" s="8" t="s">
        <v>184</v>
      </c>
      <c r="T732" s="8">
        <v>93.69</v>
      </c>
    </row>
    <row r="733" spans="1:20" x14ac:dyDescent="0.2">
      <c r="A733" s="8" t="s">
        <v>4395</v>
      </c>
      <c r="B733" s="8" t="str">
        <f t="shared" si="22"/>
        <v>1586243996</v>
      </c>
      <c r="C733" s="8" t="str">
        <f t="shared" si="23"/>
        <v>768</v>
      </c>
      <c r="D733" s="8" t="s">
        <v>119</v>
      </c>
      <c r="F733" s="8" t="s">
        <v>128</v>
      </c>
      <c r="G733" s="8" t="s">
        <v>150</v>
      </c>
      <c r="H733" s="8" t="s">
        <v>151</v>
      </c>
      <c r="I733" s="8" t="s">
        <v>208</v>
      </c>
      <c r="J733" s="8" t="s">
        <v>209</v>
      </c>
      <c r="K733" s="8" t="s">
        <v>210</v>
      </c>
      <c r="L733" s="8" t="s">
        <v>211</v>
      </c>
      <c r="M733" s="8" t="s">
        <v>2785</v>
      </c>
      <c r="N733" s="8" t="s">
        <v>150</v>
      </c>
      <c r="O733" s="8">
        <v>585.74</v>
      </c>
      <c r="P733" s="8">
        <v>650.82000000000005</v>
      </c>
      <c r="Q733" s="8" t="s">
        <v>2592</v>
      </c>
      <c r="S733" s="8" t="s">
        <v>156</v>
      </c>
      <c r="T733" s="8">
        <v>61.97</v>
      </c>
    </row>
    <row r="734" spans="1:20" x14ac:dyDescent="0.2">
      <c r="A734" s="8" t="s">
        <v>3660</v>
      </c>
      <c r="B734" s="8" t="str">
        <f t="shared" si="22"/>
        <v>1586243998</v>
      </c>
      <c r="C734" s="8" t="str">
        <f t="shared" si="23"/>
        <v>769</v>
      </c>
      <c r="D734" s="8" t="s">
        <v>119</v>
      </c>
      <c r="F734" s="8" t="s">
        <v>128</v>
      </c>
      <c r="G734" s="8" t="s">
        <v>150</v>
      </c>
      <c r="H734" s="8" t="s">
        <v>151</v>
      </c>
      <c r="I734" s="8" t="s">
        <v>145</v>
      </c>
      <c r="J734" s="8" t="s">
        <v>299</v>
      </c>
      <c r="K734" s="8" t="s">
        <v>147</v>
      </c>
      <c r="L734" s="8" t="s">
        <v>300</v>
      </c>
      <c r="M734" s="8" t="s">
        <v>2785</v>
      </c>
      <c r="N734" s="8" t="s">
        <v>150</v>
      </c>
      <c r="O734" s="8">
        <v>894.1</v>
      </c>
      <c r="P734" s="8">
        <v>993.44</v>
      </c>
      <c r="Q734" s="8" t="s">
        <v>2593</v>
      </c>
      <c r="R734" s="8" t="s">
        <v>301</v>
      </c>
    </row>
    <row r="735" spans="1:20" x14ac:dyDescent="0.2">
      <c r="A735" s="8" t="s">
        <v>3397</v>
      </c>
      <c r="B735" s="8" t="str">
        <f t="shared" si="22"/>
        <v>1586243998</v>
      </c>
      <c r="C735" s="8" t="str">
        <f t="shared" si="23"/>
        <v>770</v>
      </c>
      <c r="D735" s="8" t="s">
        <v>119</v>
      </c>
      <c r="F735" s="8" t="s">
        <v>128</v>
      </c>
      <c r="G735" s="8" t="s">
        <v>150</v>
      </c>
      <c r="H735" s="8" t="s">
        <v>151</v>
      </c>
      <c r="I735" s="8" t="s">
        <v>145</v>
      </c>
      <c r="J735" s="8" t="s">
        <v>299</v>
      </c>
      <c r="K735" s="8" t="s">
        <v>147</v>
      </c>
      <c r="L735" s="8" t="s">
        <v>300</v>
      </c>
      <c r="M735" s="8" t="s">
        <v>2785</v>
      </c>
      <c r="N735" s="8" t="s">
        <v>150</v>
      </c>
      <c r="O735" s="8">
        <v>894.1</v>
      </c>
      <c r="P735" s="8">
        <v>993.44</v>
      </c>
      <c r="Q735" s="8" t="s">
        <v>2593</v>
      </c>
      <c r="R735" s="8" t="s">
        <v>2143</v>
      </c>
    </row>
    <row r="736" spans="1:20" x14ac:dyDescent="0.2">
      <c r="A736" s="8" t="s">
        <v>3078</v>
      </c>
      <c r="B736" s="8" t="str">
        <f t="shared" si="22"/>
        <v>1586243998</v>
      </c>
      <c r="C736" s="8" t="str">
        <f t="shared" si="23"/>
        <v>771</v>
      </c>
      <c r="D736" s="8" t="s">
        <v>119</v>
      </c>
      <c r="F736" s="8" t="s">
        <v>128</v>
      </c>
      <c r="G736" s="8" t="s">
        <v>150</v>
      </c>
      <c r="H736" s="8" t="s">
        <v>151</v>
      </c>
      <c r="I736" s="8" t="s">
        <v>145</v>
      </c>
      <c r="J736" s="8" t="s">
        <v>299</v>
      </c>
      <c r="K736" s="8" t="s">
        <v>147</v>
      </c>
      <c r="L736" s="8" t="s">
        <v>300</v>
      </c>
      <c r="M736" s="8" t="s">
        <v>2785</v>
      </c>
      <c r="N736" s="8" t="s">
        <v>150</v>
      </c>
      <c r="O736" s="8">
        <v>894.1</v>
      </c>
      <c r="P736" s="8">
        <v>993.44</v>
      </c>
      <c r="Q736" s="8" t="s">
        <v>2593</v>
      </c>
      <c r="R736" s="8" t="s">
        <v>1901</v>
      </c>
    </row>
    <row r="737" spans="1:20" x14ac:dyDescent="0.2">
      <c r="A737" s="8" t="s">
        <v>4433</v>
      </c>
      <c r="B737" s="8" t="str">
        <f t="shared" si="22"/>
        <v>1586243998</v>
      </c>
      <c r="C737" s="8" t="str">
        <f t="shared" si="23"/>
        <v>772</v>
      </c>
      <c r="D737" s="8" t="s">
        <v>119</v>
      </c>
      <c r="F737" s="8" t="s">
        <v>128</v>
      </c>
      <c r="G737" s="8" t="s">
        <v>150</v>
      </c>
      <c r="H737" s="8" t="s">
        <v>151</v>
      </c>
      <c r="I737" s="8" t="s">
        <v>145</v>
      </c>
      <c r="J737" s="8" t="s">
        <v>299</v>
      </c>
      <c r="K737" s="8" t="s">
        <v>147</v>
      </c>
      <c r="L737" s="8" t="s">
        <v>300</v>
      </c>
      <c r="M737" s="8" t="s">
        <v>2785</v>
      </c>
      <c r="N737" s="8" t="s">
        <v>150</v>
      </c>
      <c r="O737" s="8">
        <v>894.1</v>
      </c>
      <c r="P737" s="8">
        <v>993.44</v>
      </c>
      <c r="Q737" s="8" t="s">
        <v>2593</v>
      </c>
      <c r="R737" s="8" t="s">
        <v>1061</v>
      </c>
    </row>
    <row r="738" spans="1:20" x14ac:dyDescent="0.2">
      <c r="A738" s="8" t="s">
        <v>2950</v>
      </c>
      <c r="B738" s="8" t="str">
        <f t="shared" si="22"/>
        <v>1586243998</v>
      </c>
      <c r="C738" s="8" t="str">
        <f t="shared" si="23"/>
        <v>773</v>
      </c>
      <c r="D738" s="8" t="s">
        <v>119</v>
      </c>
      <c r="F738" s="8" t="s">
        <v>128</v>
      </c>
      <c r="G738" s="8" t="s">
        <v>150</v>
      </c>
      <c r="H738" s="8" t="s">
        <v>151</v>
      </c>
      <c r="I738" s="8" t="s">
        <v>145</v>
      </c>
      <c r="J738" s="8" t="s">
        <v>299</v>
      </c>
      <c r="K738" s="8" t="s">
        <v>147</v>
      </c>
      <c r="L738" s="8" t="s">
        <v>300</v>
      </c>
      <c r="M738" s="8" t="s">
        <v>2785</v>
      </c>
      <c r="N738" s="8" t="s">
        <v>150</v>
      </c>
      <c r="O738" s="8">
        <v>894.1</v>
      </c>
      <c r="P738" s="8">
        <v>993.44</v>
      </c>
      <c r="Q738" s="8" t="s">
        <v>2593</v>
      </c>
      <c r="R738" s="8" t="s">
        <v>1188</v>
      </c>
    </row>
    <row r="739" spans="1:20" x14ac:dyDescent="0.2">
      <c r="A739" s="8" t="s">
        <v>4767</v>
      </c>
      <c r="B739" s="8" t="str">
        <f t="shared" si="22"/>
        <v>1586243998</v>
      </c>
      <c r="C739" s="8" t="str">
        <f t="shared" si="23"/>
        <v>774</v>
      </c>
      <c r="D739" s="8" t="s">
        <v>119</v>
      </c>
      <c r="F739" s="8" t="s">
        <v>128</v>
      </c>
      <c r="G739" s="8" t="s">
        <v>150</v>
      </c>
      <c r="H739" s="8" t="s">
        <v>151</v>
      </c>
      <c r="I739" s="8" t="s">
        <v>145</v>
      </c>
      <c r="J739" s="8" t="s">
        <v>299</v>
      </c>
      <c r="K739" s="8" t="s">
        <v>147</v>
      </c>
      <c r="L739" s="8" t="s">
        <v>300</v>
      </c>
      <c r="M739" s="8" t="s">
        <v>2785</v>
      </c>
      <c r="N739" s="8" t="s">
        <v>150</v>
      </c>
      <c r="O739" s="8">
        <v>894.1</v>
      </c>
      <c r="P739" s="8">
        <v>993.44</v>
      </c>
      <c r="Q739" s="8" t="s">
        <v>2593</v>
      </c>
      <c r="R739" s="8" t="s">
        <v>1716</v>
      </c>
    </row>
    <row r="740" spans="1:20" x14ac:dyDescent="0.2">
      <c r="A740" s="8" t="s">
        <v>4402</v>
      </c>
      <c r="B740" s="8" t="str">
        <f t="shared" si="22"/>
        <v>1586243998</v>
      </c>
      <c r="C740" s="8" t="str">
        <f t="shared" si="23"/>
        <v>775</v>
      </c>
      <c r="D740" s="8" t="s">
        <v>119</v>
      </c>
      <c r="F740" s="8" t="s">
        <v>128</v>
      </c>
      <c r="G740" s="8" t="s">
        <v>150</v>
      </c>
      <c r="H740" s="8" t="s">
        <v>151</v>
      </c>
      <c r="I740" s="8" t="s">
        <v>145</v>
      </c>
      <c r="J740" s="8" t="s">
        <v>299</v>
      </c>
      <c r="K740" s="8" t="s">
        <v>147</v>
      </c>
      <c r="L740" s="8" t="s">
        <v>300</v>
      </c>
      <c r="M740" s="8" t="s">
        <v>2785</v>
      </c>
      <c r="N740" s="8" t="s">
        <v>150</v>
      </c>
      <c r="O740" s="8">
        <v>894.1</v>
      </c>
      <c r="P740" s="8">
        <v>993.44</v>
      </c>
      <c r="Q740" s="8" t="s">
        <v>2593</v>
      </c>
      <c r="R740" s="8" t="s">
        <v>1803</v>
      </c>
    </row>
    <row r="741" spans="1:20" x14ac:dyDescent="0.2">
      <c r="A741" s="8" t="s">
        <v>3974</v>
      </c>
      <c r="B741" s="8" t="str">
        <f t="shared" si="22"/>
        <v>1586243998</v>
      </c>
      <c r="C741" s="8" t="str">
        <f t="shared" si="23"/>
        <v>776</v>
      </c>
      <c r="D741" s="8" t="s">
        <v>119</v>
      </c>
      <c r="F741" s="8" t="s">
        <v>128</v>
      </c>
      <c r="G741" s="8" t="s">
        <v>150</v>
      </c>
      <c r="H741" s="8" t="s">
        <v>151</v>
      </c>
      <c r="I741" s="8" t="s">
        <v>145</v>
      </c>
      <c r="J741" s="8" t="s">
        <v>299</v>
      </c>
      <c r="K741" s="8" t="s">
        <v>147</v>
      </c>
      <c r="L741" s="8" t="s">
        <v>300</v>
      </c>
      <c r="M741" s="8" t="s">
        <v>2785</v>
      </c>
      <c r="N741" s="8" t="s">
        <v>150</v>
      </c>
      <c r="O741" s="8">
        <v>894.1</v>
      </c>
      <c r="P741" s="8">
        <v>993.44</v>
      </c>
      <c r="Q741" s="8" t="s">
        <v>2593</v>
      </c>
      <c r="R741" s="8" t="s">
        <v>2406</v>
      </c>
    </row>
    <row r="742" spans="1:20" x14ac:dyDescent="0.2">
      <c r="A742" s="8" t="s">
        <v>3585</v>
      </c>
      <c r="B742" s="8" t="str">
        <f t="shared" si="22"/>
        <v>1586243998</v>
      </c>
      <c r="C742" s="8" t="str">
        <f t="shared" si="23"/>
        <v>777</v>
      </c>
      <c r="D742" s="8" t="s">
        <v>119</v>
      </c>
      <c r="F742" s="8" t="s">
        <v>128</v>
      </c>
      <c r="G742" s="8" t="s">
        <v>150</v>
      </c>
      <c r="H742" s="8" t="s">
        <v>151</v>
      </c>
      <c r="I742" s="8" t="s">
        <v>145</v>
      </c>
      <c r="J742" s="8" t="s">
        <v>299</v>
      </c>
      <c r="K742" s="8" t="s">
        <v>147</v>
      </c>
      <c r="L742" s="8" t="s">
        <v>300</v>
      </c>
      <c r="M742" s="8" t="s">
        <v>2785</v>
      </c>
      <c r="N742" s="8" t="s">
        <v>150</v>
      </c>
      <c r="O742" s="8">
        <v>894.1</v>
      </c>
      <c r="P742" s="8">
        <v>993.44</v>
      </c>
      <c r="Q742" s="8" t="s">
        <v>2593</v>
      </c>
      <c r="R742" s="8" t="s">
        <v>1428</v>
      </c>
    </row>
    <row r="743" spans="1:20" x14ac:dyDescent="0.2">
      <c r="A743" s="8" t="s">
        <v>3627</v>
      </c>
      <c r="B743" s="8" t="str">
        <f t="shared" si="22"/>
        <v>1586243998</v>
      </c>
      <c r="C743" s="8" t="str">
        <f t="shared" si="23"/>
        <v>778</v>
      </c>
      <c r="D743" s="8" t="s">
        <v>119</v>
      </c>
      <c r="F743" s="8" t="s">
        <v>128</v>
      </c>
      <c r="G743" s="8" t="s">
        <v>150</v>
      </c>
      <c r="H743" s="8" t="s">
        <v>151</v>
      </c>
      <c r="I743" s="8" t="s">
        <v>145</v>
      </c>
      <c r="J743" s="8" t="s">
        <v>299</v>
      </c>
      <c r="K743" s="8" t="s">
        <v>147</v>
      </c>
      <c r="L743" s="8" t="s">
        <v>300</v>
      </c>
      <c r="M743" s="8" t="s">
        <v>2785</v>
      </c>
      <c r="N743" s="8" t="s">
        <v>150</v>
      </c>
      <c r="O743" s="8">
        <v>894.1</v>
      </c>
      <c r="P743" s="8">
        <v>993.44</v>
      </c>
      <c r="Q743" s="8" t="s">
        <v>2593</v>
      </c>
      <c r="R743" s="8" t="s">
        <v>1558</v>
      </c>
    </row>
    <row r="744" spans="1:20" x14ac:dyDescent="0.2">
      <c r="A744" s="8" t="s">
        <v>4332</v>
      </c>
      <c r="B744" s="8" t="str">
        <f t="shared" si="22"/>
        <v>1586243998</v>
      </c>
      <c r="C744" s="8" t="str">
        <f t="shared" si="23"/>
        <v>779</v>
      </c>
      <c r="D744" s="8" t="s">
        <v>119</v>
      </c>
      <c r="F744" s="8" t="s">
        <v>128</v>
      </c>
      <c r="G744" s="8" t="s">
        <v>150</v>
      </c>
      <c r="H744" s="8" t="s">
        <v>151</v>
      </c>
      <c r="I744" s="8" t="s">
        <v>145</v>
      </c>
      <c r="J744" s="8" t="s">
        <v>299</v>
      </c>
      <c r="K744" s="8" t="s">
        <v>147</v>
      </c>
      <c r="L744" s="8" t="s">
        <v>300</v>
      </c>
      <c r="M744" s="8" t="s">
        <v>2785</v>
      </c>
      <c r="N744" s="8" t="s">
        <v>150</v>
      </c>
      <c r="O744" s="8">
        <v>894.1</v>
      </c>
      <c r="P744" s="8">
        <v>993.44</v>
      </c>
      <c r="Q744" s="8" t="s">
        <v>2593</v>
      </c>
      <c r="S744" s="8" t="s">
        <v>331</v>
      </c>
      <c r="T744" s="8">
        <v>100.33</v>
      </c>
    </row>
    <row r="745" spans="1:20" x14ac:dyDescent="0.2">
      <c r="A745" s="8" t="s">
        <v>2912</v>
      </c>
      <c r="B745" s="8" t="str">
        <f t="shared" si="22"/>
        <v>1586243998</v>
      </c>
      <c r="C745" s="8" t="str">
        <f t="shared" si="23"/>
        <v>780</v>
      </c>
      <c r="D745" s="8" t="s">
        <v>119</v>
      </c>
      <c r="F745" s="8" t="s">
        <v>128</v>
      </c>
      <c r="G745" s="8" t="s">
        <v>150</v>
      </c>
      <c r="H745" s="8" t="s">
        <v>151</v>
      </c>
      <c r="I745" s="8" t="s">
        <v>145</v>
      </c>
      <c r="J745" s="8" t="s">
        <v>299</v>
      </c>
      <c r="K745" s="8" t="s">
        <v>147</v>
      </c>
      <c r="L745" s="8" t="s">
        <v>300</v>
      </c>
      <c r="M745" s="8" t="s">
        <v>2785</v>
      </c>
      <c r="N745" s="8" t="s">
        <v>150</v>
      </c>
      <c r="O745" s="8">
        <v>894.1</v>
      </c>
      <c r="P745" s="8">
        <v>993.44</v>
      </c>
      <c r="Q745" s="8" t="s">
        <v>2593</v>
      </c>
      <c r="S745" s="8" t="s">
        <v>184</v>
      </c>
      <c r="T745" s="8">
        <v>192.54</v>
      </c>
    </row>
    <row r="746" spans="1:20" x14ac:dyDescent="0.2">
      <c r="A746" s="8" t="s">
        <v>4450</v>
      </c>
      <c r="B746" s="8" t="str">
        <f t="shared" si="22"/>
        <v>1586243998</v>
      </c>
      <c r="C746" s="8" t="str">
        <f t="shared" si="23"/>
        <v>781</v>
      </c>
      <c r="D746" s="8" t="s">
        <v>119</v>
      </c>
      <c r="F746" s="8" t="s">
        <v>128</v>
      </c>
      <c r="G746" s="8" t="s">
        <v>150</v>
      </c>
      <c r="H746" s="8" t="s">
        <v>151</v>
      </c>
      <c r="I746" s="8" t="s">
        <v>145</v>
      </c>
      <c r="J746" s="8" t="s">
        <v>299</v>
      </c>
      <c r="K746" s="8" t="s">
        <v>147</v>
      </c>
      <c r="L746" s="8" t="s">
        <v>300</v>
      </c>
      <c r="M746" s="8" t="s">
        <v>2785</v>
      </c>
      <c r="N746" s="8" t="s">
        <v>150</v>
      </c>
      <c r="O746" s="8">
        <v>894.1</v>
      </c>
      <c r="P746" s="8">
        <v>993.44</v>
      </c>
      <c r="Q746" s="8" t="s">
        <v>2593</v>
      </c>
      <c r="S746" s="8" t="s">
        <v>156</v>
      </c>
      <c r="T746" s="8">
        <v>65.66</v>
      </c>
    </row>
    <row r="747" spans="1:20" x14ac:dyDescent="0.2">
      <c r="A747" s="8" t="s">
        <v>4451</v>
      </c>
      <c r="B747" s="8" t="str">
        <f t="shared" si="22"/>
        <v>1586243998</v>
      </c>
      <c r="C747" s="8" t="str">
        <f t="shared" si="23"/>
        <v>782</v>
      </c>
      <c r="D747" s="8" t="s">
        <v>119</v>
      </c>
      <c r="F747" s="8" t="s">
        <v>128</v>
      </c>
      <c r="G747" s="8" t="s">
        <v>150</v>
      </c>
      <c r="H747" s="8" t="s">
        <v>151</v>
      </c>
      <c r="I747" s="8" t="s">
        <v>145</v>
      </c>
      <c r="J747" s="8" t="s">
        <v>299</v>
      </c>
      <c r="K747" s="8" t="s">
        <v>147</v>
      </c>
      <c r="L747" s="8" t="s">
        <v>300</v>
      </c>
      <c r="M747" s="8" t="s">
        <v>2785</v>
      </c>
      <c r="N747" s="8" t="s">
        <v>150</v>
      </c>
      <c r="O747" s="8">
        <v>894.1</v>
      </c>
      <c r="P747" s="8">
        <v>993.44</v>
      </c>
      <c r="Q747" s="8" t="s">
        <v>2593</v>
      </c>
      <c r="S747" s="8" t="s">
        <v>1185</v>
      </c>
      <c r="T747" s="8">
        <v>223.52</v>
      </c>
    </row>
    <row r="748" spans="1:20" x14ac:dyDescent="0.2">
      <c r="A748" s="8" t="s">
        <v>3056</v>
      </c>
      <c r="B748" s="8" t="str">
        <f t="shared" si="22"/>
        <v>1586244000</v>
      </c>
      <c r="C748" s="8" t="str">
        <f t="shared" si="23"/>
        <v>783</v>
      </c>
      <c r="D748" s="8" t="s">
        <v>119</v>
      </c>
      <c r="F748" s="8" t="s">
        <v>128</v>
      </c>
      <c r="G748" s="8" t="s">
        <v>150</v>
      </c>
      <c r="H748" s="8" t="s">
        <v>151</v>
      </c>
      <c r="I748" s="8" t="s">
        <v>152</v>
      </c>
      <c r="J748" s="8" t="s">
        <v>153</v>
      </c>
      <c r="K748" s="8" t="s">
        <v>154</v>
      </c>
      <c r="L748" s="8" t="s">
        <v>155</v>
      </c>
      <c r="M748" s="8" t="s">
        <v>2785</v>
      </c>
      <c r="N748" s="8" t="s">
        <v>150</v>
      </c>
      <c r="O748" s="8">
        <v>855.74</v>
      </c>
      <c r="P748" s="8">
        <v>950.82</v>
      </c>
      <c r="Q748" s="8" t="s">
        <v>2594</v>
      </c>
      <c r="R748" s="8" t="s">
        <v>1762</v>
      </c>
    </row>
    <row r="749" spans="1:20" x14ac:dyDescent="0.2">
      <c r="A749" s="8" t="s">
        <v>4016</v>
      </c>
      <c r="B749" s="8" t="str">
        <f t="shared" si="22"/>
        <v>1586244000</v>
      </c>
      <c r="C749" s="8" t="str">
        <f t="shared" si="23"/>
        <v>784</v>
      </c>
      <c r="D749" s="8" t="s">
        <v>119</v>
      </c>
      <c r="F749" s="8" t="s">
        <v>128</v>
      </c>
      <c r="G749" s="8" t="s">
        <v>150</v>
      </c>
      <c r="H749" s="8" t="s">
        <v>151</v>
      </c>
      <c r="I749" s="8" t="s">
        <v>152</v>
      </c>
      <c r="J749" s="8" t="s">
        <v>153</v>
      </c>
      <c r="K749" s="8" t="s">
        <v>154</v>
      </c>
      <c r="L749" s="8" t="s">
        <v>155</v>
      </c>
      <c r="M749" s="8" t="s">
        <v>2785</v>
      </c>
      <c r="N749" s="8" t="s">
        <v>150</v>
      </c>
      <c r="O749" s="8">
        <v>855.74</v>
      </c>
      <c r="P749" s="8">
        <v>950.82</v>
      </c>
      <c r="Q749" s="8" t="s">
        <v>2594</v>
      </c>
      <c r="R749" s="8" t="s">
        <v>1938</v>
      </c>
    </row>
    <row r="750" spans="1:20" x14ac:dyDescent="0.2">
      <c r="A750" s="8" t="s">
        <v>3386</v>
      </c>
      <c r="B750" s="8" t="str">
        <f t="shared" si="22"/>
        <v>1586244000</v>
      </c>
      <c r="C750" s="8" t="str">
        <f t="shared" si="23"/>
        <v>785</v>
      </c>
      <c r="D750" s="8" t="s">
        <v>119</v>
      </c>
      <c r="F750" s="8" t="s">
        <v>128</v>
      </c>
      <c r="G750" s="8" t="s">
        <v>150</v>
      </c>
      <c r="H750" s="8" t="s">
        <v>151</v>
      </c>
      <c r="I750" s="8" t="s">
        <v>152</v>
      </c>
      <c r="J750" s="8" t="s">
        <v>153</v>
      </c>
      <c r="K750" s="8" t="s">
        <v>154</v>
      </c>
      <c r="L750" s="8" t="s">
        <v>155</v>
      </c>
      <c r="M750" s="8" t="s">
        <v>2785</v>
      </c>
      <c r="N750" s="8" t="s">
        <v>150</v>
      </c>
      <c r="O750" s="8">
        <v>855.74</v>
      </c>
      <c r="P750" s="8">
        <v>950.82</v>
      </c>
      <c r="Q750" s="8" t="s">
        <v>2594</v>
      </c>
      <c r="R750" s="8" t="s">
        <v>1436</v>
      </c>
    </row>
    <row r="751" spans="1:20" x14ac:dyDescent="0.2">
      <c r="A751" s="8" t="s">
        <v>4302</v>
      </c>
      <c r="B751" s="8" t="str">
        <f t="shared" si="22"/>
        <v>1586244000</v>
      </c>
      <c r="C751" s="8" t="str">
        <f t="shared" si="23"/>
        <v>786</v>
      </c>
      <c r="D751" s="8" t="s">
        <v>119</v>
      </c>
      <c r="F751" s="8" t="s">
        <v>128</v>
      </c>
      <c r="G751" s="8" t="s">
        <v>150</v>
      </c>
      <c r="H751" s="8" t="s">
        <v>151</v>
      </c>
      <c r="I751" s="8" t="s">
        <v>152</v>
      </c>
      <c r="J751" s="8" t="s">
        <v>153</v>
      </c>
      <c r="K751" s="8" t="s">
        <v>154</v>
      </c>
      <c r="L751" s="8" t="s">
        <v>155</v>
      </c>
      <c r="M751" s="8" t="s">
        <v>2785</v>
      </c>
      <c r="N751" s="8" t="s">
        <v>150</v>
      </c>
      <c r="O751" s="8">
        <v>855.74</v>
      </c>
      <c r="P751" s="8">
        <v>950.82</v>
      </c>
      <c r="Q751" s="8" t="s">
        <v>2594</v>
      </c>
      <c r="R751" s="8" t="s">
        <v>2184</v>
      </c>
    </row>
    <row r="752" spans="1:20" x14ac:dyDescent="0.2">
      <c r="A752" s="8" t="s">
        <v>4547</v>
      </c>
      <c r="B752" s="8" t="str">
        <f t="shared" si="22"/>
        <v>1586244000</v>
      </c>
      <c r="C752" s="8" t="str">
        <f t="shared" si="23"/>
        <v>787</v>
      </c>
      <c r="D752" s="8" t="s">
        <v>119</v>
      </c>
      <c r="F752" s="8" t="s">
        <v>128</v>
      </c>
      <c r="G752" s="8" t="s">
        <v>150</v>
      </c>
      <c r="H752" s="8" t="s">
        <v>151</v>
      </c>
      <c r="I752" s="8" t="s">
        <v>152</v>
      </c>
      <c r="J752" s="8" t="s">
        <v>153</v>
      </c>
      <c r="K752" s="8" t="s">
        <v>154</v>
      </c>
      <c r="L752" s="8" t="s">
        <v>155</v>
      </c>
      <c r="M752" s="8" t="s">
        <v>2785</v>
      </c>
      <c r="N752" s="8" t="s">
        <v>150</v>
      </c>
      <c r="O752" s="8">
        <v>855.74</v>
      </c>
      <c r="P752" s="8">
        <v>950.82</v>
      </c>
      <c r="Q752" s="8" t="s">
        <v>2594</v>
      </c>
      <c r="R752" s="8" t="s">
        <v>2266</v>
      </c>
    </row>
    <row r="753" spans="1:20" x14ac:dyDescent="0.2">
      <c r="A753" s="8" t="s">
        <v>3040</v>
      </c>
      <c r="B753" s="8" t="str">
        <f t="shared" si="22"/>
        <v>1586244000</v>
      </c>
      <c r="C753" s="8" t="str">
        <f t="shared" si="23"/>
        <v>788</v>
      </c>
      <c r="D753" s="8" t="s">
        <v>119</v>
      </c>
      <c r="F753" s="8" t="s">
        <v>128</v>
      </c>
      <c r="G753" s="8" t="s">
        <v>150</v>
      </c>
      <c r="H753" s="8" t="s">
        <v>151</v>
      </c>
      <c r="I753" s="8" t="s">
        <v>152</v>
      </c>
      <c r="J753" s="8" t="s">
        <v>153</v>
      </c>
      <c r="K753" s="8" t="s">
        <v>154</v>
      </c>
      <c r="L753" s="8" t="s">
        <v>155</v>
      </c>
      <c r="M753" s="8" t="s">
        <v>2785</v>
      </c>
      <c r="N753" s="8" t="s">
        <v>150</v>
      </c>
      <c r="O753" s="8">
        <v>855.74</v>
      </c>
      <c r="P753" s="8">
        <v>950.82</v>
      </c>
      <c r="Q753" s="8" t="s">
        <v>2594</v>
      </c>
      <c r="R753" s="8" t="s">
        <v>1663</v>
      </c>
    </row>
    <row r="754" spans="1:20" x14ac:dyDescent="0.2">
      <c r="A754" s="8" t="s">
        <v>3795</v>
      </c>
      <c r="B754" s="8" t="str">
        <f t="shared" si="22"/>
        <v>1586244000</v>
      </c>
      <c r="C754" s="8" t="str">
        <f t="shared" si="23"/>
        <v>789</v>
      </c>
      <c r="D754" s="8" t="s">
        <v>119</v>
      </c>
      <c r="F754" s="8" t="s">
        <v>128</v>
      </c>
      <c r="G754" s="8" t="s">
        <v>150</v>
      </c>
      <c r="H754" s="8" t="s">
        <v>151</v>
      </c>
      <c r="I754" s="8" t="s">
        <v>152</v>
      </c>
      <c r="J754" s="8" t="s">
        <v>153</v>
      </c>
      <c r="K754" s="8" t="s">
        <v>154</v>
      </c>
      <c r="L754" s="8" t="s">
        <v>155</v>
      </c>
      <c r="M754" s="8" t="s">
        <v>2785</v>
      </c>
      <c r="N754" s="8" t="s">
        <v>150</v>
      </c>
      <c r="O754" s="8">
        <v>855.74</v>
      </c>
      <c r="P754" s="8">
        <v>950.82</v>
      </c>
      <c r="Q754" s="8" t="s">
        <v>2594</v>
      </c>
      <c r="R754" s="8" t="s">
        <v>2260</v>
      </c>
    </row>
    <row r="755" spans="1:20" x14ac:dyDescent="0.2">
      <c r="A755" s="8" t="s">
        <v>3893</v>
      </c>
      <c r="B755" s="8" t="str">
        <f t="shared" si="22"/>
        <v>1586244000</v>
      </c>
      <c r="C755" s="8" t="str">
        <f t="shared" si="23"/>
        <v>790</v>
      </c>
      <c r="D755" s="8" t="s">
        <v>119</v>
      </c>
      <c r="F755" s="8" t="s">
        <v>128</v>
      </c>
      <c r="G755" s="8" t="s">
        <v>150</v>
      </c>
      <c r="H755" s="8" t="s">
        <v>151</v>
      </c>
      <c r="I755" s="8" t="s">
        <v>152</v>
      </c>
      <c r="J755" s="8" t="s">
        <v>153</v>
      </c>
      <c r="K755" s="8" t="s">
        <v>154</v>
      </c>
      <c r="L755" s="8" t="s">
        <v>155</v>
      </c>
      <c r="M755" s="8" t="s">
        <v>2785</v>
      </c>
      <c r="N755" s="8" t="s">
        <v>150</v>
      </c>
      <c r="O755" s="8">
        <v>855.74</v>
      </c>
      <c r="P755" s="8">
        <v>950.82</v>
      </c>
      <c r="Q755" s="8" t="s">
        <v>2594</v>
      </c>
      <c r="R755" s="8" t="s">
        <v>1253</v>
      </c>
    </row>
    <row r="756" spans="1:20" x14ac:dyDescent="0.2">
      <c r="A756" s="8" t="s">
        <v>2801</v>
      </c>
      <c r="B756" s="8" t="str">
        <f t="shared" si="22"/>
        <v>1586244000</v>
      </c>
      <c r="C756" s="8" t="str">
        <f t="shared" si="23"/>
        <v>791</v>
      </c>
      <c r="D756" s="8" t="s">
        <v>119</v>
      </c>
      <c r="F756" s="8" t="s">
        <v>128</v>
      </c>
      <c r="G756" s="8" t="s">
        <v>150</v>
      </c>
      <c r="H756" s="8" t="s">
        <v>151</v>
      </c>
      <c r="I756" s="8" t="s">
        <v>152</v>
      </c>
      <c r="J756" s="8" t="s">
        <v>153</v>
      </c>
      <c r="K756" s="8" t="s">
        <v>154</v>
      </c>
      <c r="L756" s="8" t="s">
        <v>155</v>
      </c>
      <c r="M756" s="8" t="s">
        <v>2785</v>
      </c>
      <c r="N756" s="8" t="s">
        <v>150</v>
      </c>
      <c r="O756" s="8">
        <v>855.74</v>
      </c>
      <c r="P756" s="8">
        <v>950.82</v>
      </c>
      <c r="Q756" s="8" t="s">
        <v>2594</v>
      </c>
      <c r="R756" s="8" t="s">
        <v>2476</v>
      </c>
    </row>
    <row r="757" spans="1:20" x14ac:dyDescent="0.2">
      <c r="A757" s="8" t="s">
        <v>4100</v>
      </c>
      <c r="B757" s="8" t="str">
        <f t="shared" si="22"/>
        <v>1586244000</v>
      </c>
      <c r="C757" s="8" t="str">
        <f t="shared" si="23"/>
        <v>792</v>
      </c>
      <c r="D757" s="8" t="s">
        <v>119</v>
      </c>
      <c r="F757" s="8" t="s">
        <v>128</v>
      </c>
      <c r="G757" s="8" t="s">
        <v>150</v>
      </c>
      <c r="H757" s="8" t="s">
        <v>151</v>
      </c>
      <c r="I757" s="8" t="s">
        <v>152</v>
      </c>
      <c r="J757" s="8" t="s">
        <v>153</v>
      </c>
      <c r="K757" s="8" t="s">
        <v>154</v>
      </c>
      <c r="L757" s="8" t="s">
        <v>155</v>
      </c>
      <c r="M757" s="8" t="s">
        <v>2785</v>
      </c>
      <c r="N757" s="8" t="s">
        <v>150</v>
      </c>
      <c r="O757" s="8">
        <v>855.74</v>
      </c>
      <c r="P757" s="8">
        <v>950.82</v>
      </c>
      <c r="Q757" s="8" t="s">
        <v>2594</v>
      </c>
      <c r="R757" s="8" t="s">
        <v>1859</v>
      </c>
    </row>
    <row r="758" spans="1:20" x14ac:dyDescent="0.2">
      <c r="A758" s="8" t="s">
        <v>3039</v>
      </c>
      <c r="B758" s="8" t="str">
        <f t="shared" si="22"/>
        <v>1586244000</v>
      </c>
      <c r="C758" s="8" t="str">
        <f t="shared" si="23"/>
        <v>793</v>
      </c>
      <c r="D758" s="8" t="s">
        <v>119</v>
      </c>
      <c r="F758" s="8" t="s">
        <v>128</v>
      </c>
      <c r="G758" s="8" t="s">
        <v>150</v>
      </c>
      <c r="H758" s="8" t="s">
        <v>151</v>
      </c>
      <c r="I758" s="8" t="s">
        <v>152</v>
      </c>
      <c r="J758" s="8" t="s">
        <v>153</v>
      </c>
      <c r="K758" s="8" t="s">
        <v>154</v>
      </c>
      <c r="L758" s="8" t="s">
        <v>155</v>
      </c>
      <c r="M758" s="8" t="s">
        <v>2785</v>
      </c>
      <c r="N758" s="8" t="s">
        <v>150</v>
      </c>
      <c r="O758" s="8">
        <v>855.74</v>
      </c>
      <c r="P758" s="8">
        <v>950.82</v>
      </c>
      <c r="Q758" s="8" t="s">
        <v>2594</v>
      </c>
      <c r="S758" s="8" t="s">
        <v>184</v>
      </c>
      <c r="T758" s="8">
        <v>192.54</v>
      </c>
    </row>
    <row r="759" spans="1:20" x14ac:dyDescent="0.2">
      <c r="A759" s="8" t="s">
        <v>3553</v>
      </c>
      <c r="B759" s="8" t="str">
        <f t="shared" si="22"/>
        <v>1586244000</v>
      </c>
      <c r="C759" s="8" t="str">
        <f t="shared" si="23"/>
        <v>794</v>
      </c>
      <c r="D759" s="8" t="s">
        <v>119</v>
      </c>
      <c r="F759" s="8" t="s">
        <v>128</v>
      </c>
      <c r="G759" s="8" t="s">
        <v>150</v>
      </c>
      <c r="H759" s="8" t="s">
        <v>151</v>
      </c>
      <c r="I759" s="8" t="s">
        <v>152</v>
      </c>
      <c r="J759" s="8" t="s">
        <v>153</v>
      </c>
      <c r="K759" s="8" t="s">
        <v>154</v>
      </c>
      <c r="L759" s="8" t="s">
        <v>155</v>
      </c>
      <c r="M759" s="8" t="s">
        <v>2785</v>
      </c>
      <c r="N759" s="8" t="s">
        <v>150</v>
      </c>
      <c r="O759" s="8">
        <v>855.74</v>
      </c>
      <c r="P759" s="8">
        <v>950.82</v>
      </c>
      <c r="Q759" s="8" t="s">
        <v>2594</v>
      </c>
      <c r="S759" s="8" t="s">
        <v>156</v>
      </c>
      <c r="T759" s="8">
        <v>65.66</v>
      </c>
    </row>
    <row r="760" spans="1:20" x14ac:dyDescent="0.2">
      <c r="A760" s="8" t="s">
        <v>4457</v>
      </c>
      <c r="B760" s="8" t="str">
        <f t="shared" si="22"/>
        <v>1586244000</v>
      </c>
      <c r="C760" s="8" t="str">
        <f t="shared" si="23"/>
        <v>795</v>
      </c>
      <c r="D760" s="8" t="s">
        <v>119</v>
      </c>
      <c r="F760" s="8" t="s">
        <v>128</v>
      </c>
      <c r="G760" s="8" t="s">
        <v>150</v>
      </c>
      <c r="H760" s="8" t="s">
        <v>151</v>
      </c>
      <c r="I760" s="8" t="s">
        <v>152</v>
      </c>
      <c r="J760" s="8" t="s">
        <v>153</v>
      </c>
      <c r="K760" s="8" t="s">
        <v>154</v>
      </c>
      <c r="L760" s="8" t="s">
        <v>155</v>
      </c>
      <c r="M760" s="8" t="s">
        <v>2785</v>
      </c>
      <c r="N760" s="8" t="s">
        <v>150</v>
      </c>
      <c r="O760" s="8">
        <v>855.74</v>
      </c>
      <c r="P760" s="8">
        <v>950.82</v>
      </c>
      <c r="Q760" s="8" t="s">
        <v>2594</v>
      </c>
      <c r="S760" s="8" t="s">
        <v>1185</v>
      </c>
      <c r="T760" s="8">
        <v>223.52</v>
      </c>
    </row>
    <row r="761" spans="1:20" x14ac:dyDescent="0.2">
      <c r="A761" s="8" t="s">
        <v>2830</v>
      </c>
      <c r="B761" s="8" t="str">
        <f t="shared" si="22"/>
        <v>1586244002</v>
      </c>
      <c r="C761" s="8" t="str">
        <f t="shared" si="23"/>
        <v>796</v>
      </c>
      <c r="D761" s="8" t="s">
        <v>119</v>
      </c>
      <c r="F761" s="8" t="s">
        <v>128</v>
      </c>
      <c r="G761" s="8" t="s">
        <v>150</v>
      </c>
      <c r="H761" s="8" t="s">
        <v>151</v>
      </c>
      <c r="I761" s="8" t="s">
        <v>565</v>
      </c>
      <c r="J761" s="8" t="s">
        <v>984</v>
      </c>
      <c r="K761" s="8" t="s">
        <v>687</v>
      </c>
      <c r="L761" s="8" t="s">
        <v>985</v>
      </c>
      <c r="M761" s="8" t="s">
        <v>2785</v>
      </c>
      <c r="N761" s="8" t="s">
        <v>150</v>
      </c>
      <c r="O761" s="8">
        <v>911.8</v>
      </c>
      <c r="P761" s="8">
        <v>1013.11</v>
      </c>
      <c r="Q761" s="8" t="s">
        <v>2595</v>
      </c>
      <c r="R761" s="8" t="s">
        <v>1690</v>
      </c>
    </row>
    <row r="762" spans="1:20" x14ac:dyDescent="0.2">
      <c r="A762" s="8" t="s">
        <v>2800</v>
      </c>
      <c r="B762" s="8" t="str">
        <f t="shared" si="22"/>
        <v>1586244002</v>
      </c>
      <c r="C762" s="8" t="str">
        <f t="shared" si="23"/>
        <v>797</v>
      </c>
      <c r="D762" s="8" t="s">
        <v>119</v>
      </c>
      <c r="F762" s="8" t="s">
        <v>128</v>
      </c>
      <c r="G762" s="8" t="s">
        <v>150</v>
      </c>
      <c r="H762" s="8" t="s">
        <v>151</v>
      </c>
      <c r="I762" s="8" t="s">
        <v>565</v>
      </c>
      <c r="J762" s="8" t="s">
        <v>984</v>
      </c>
      <c r="K762" s="8" t="s">
        <v>687</v>
      </c>
      <c r="L762" s="8" t="s">
        <v>985</v>
      </c>
      <c r="M762" s="8" t="s">
        <v>2785</v>
      </c>
      <c r="N762" s="8" t="s">
        <v>150</v>
      </c>
      <c r="O762" s="8">
        <v>911.8</v>
      </c>
      <c r="P762" s="8">
        <v>1013.11</v>
      </c>
      <c r="Q762" s="8" t="s">
        <v>2595</v>
      </c>
      <c r="R762" s="8" t="s">
        <v>1500</v>
      </c>
    </row>
    <row r="763" spans="1:20" x14ac:dyDescent="0.2">
      <c r="A763" s="8" t="s">
        <v>4242</v>
      </c>
      <c r="B763" s="8" t="str">
        <f t="shared" si="22"/>
        <v>1586244002</v>
      </c>
      <c r="C763" s="8" t="str">
        <f t="shared" si="23"/>
        <v>798</v>
      </c>
      <c r="D763" s="8" t="s">
        <v>119</v>
      </c>
      <c r="F763" s="8" t="s">
        <v>128</v>
      </c>
      <c r="G763" s="8" t="s">
        <v>150</v>
      </c>
      <c r="H763" s="8" t="s">
        <v>151</v>
      </c>
      <c r="I763" s="8" t="s">
        <v>565</v>
      </c>
      <c r="J763" s="8" t="s">
        <v>984</v>
      </c>
      <c r="K763" s="8" t="s">
        <v>687</v>
      </c>
      <c r="L763" s="8" t="s">
        <v>985</v>
      </c>
      <c r="M763" s="8" t="s">
        <v>2785</v>
      </c>
      <c r="N763" s="8" t="s">
        <v>150</v>
      </c>
      <c r="O763" s="8">
        <v>911.8</v>
      </c>
      <c r="P763" s="8">
        <v>1013.11</v>
      </c>
      <c r="Q763" s="8" t="s">
        <v>2595</v>
      </c>
      <c r="R763" s="8" t="s">
        <v>1760</v>
      </c>
    </row>
    <row r="764" spans="1:20" x14ac:dyDescent="0.2">
      <c r="A764" s="8" t="s">
        <v>4241</v>
      </c>
      <c r="B764" s="8" t="str">
        <f t="shared" si="22"/>
        <v>1586244002</v>
      </c>
      <c r="C764" s="8" t="str">
        <f t="shared" si="23"/>
        <v>799</v>
      </c>
      <c r="D764" s="8" t="s">
        <v>119</v>
      </c>
      <c r="F764" s="8" t="s">
        <v>128</v>
      </c>
      <c r="G764" s="8" t="s">
        <v>150</v>
      </c>
      <c r="H764" s="8" t="s">
        <v>151</v>
      </c>
      <c r="I764" s="8" t="s">
        <v>565</v>
      </c>
      <c r="J764" s="8" t="s">
        <v>984</v>
      </c>
      <c r="K764" s="8" t="s">
        <v>687</v>
      </c>
      <c r="L764" s="8" t="s">
        <v>985</v>
      </c>
      <c r="M764" s="8" t="s">
        <v>2785</v>
      </c>
      <c r="N764" s="8" t="s">
        <v>150</v>
      </c>
      <c r="O764" s="8">
        <v>911.8</v>
      </c>
      <c r="P764" s="8">
        <v>1013.11</v>
      </c>
      <c r="Q764" s="8" t="s">
        <v>2595</v>
      </c>
      <c r="R764" s="8" t="s">
        <v>1327</v>
      </c>
    </row>
    <row r="765" spans="1:20" x14ac:dyDescent="0.2">
      <c r="A765" s="8" t="s">
        <v>2884</v>
      </c>
      <c r="B765" s="8" t="str">
        <f t="shared" si="22"/>
        <v>1586244002</v>
      </c>
      <c r="C765" s="8" t="str">
        <f t="shared" si="23"/>
        <v>800</v>
      </c>
      <c r="D765" s="8" t="s">
        <v>119</v>
      </c>
      <c r="F765" s="8" t="s">
        <v>128</v>
      </c>
      <c r="G765" s="8" t="s">
        <v>150</v>
      </c>
      <c r="H765" s="8" t="s">
        <v>151</v>
      </c>
      <c r="I765" s="8" t="s">
        <v>565</v>
      </c>
      <c r="J765" s="8" t="s">
        <v>984</v>
      </c>
      <c r="K765" s="8" t="s">
        <v>687</v>
      </c>
      <c r="L765" s="8" t="s">
        <v>985</v>
      </c>
      <c r="M765" s="8" t="s">
        <v>2785</v>
      </c>
      <c r="N765" s="8" t="s">
        <v>150</v>
      </c>
      <c r="O765" s="8">
        <v>911.8</v>
      </c>
      <c r="P765" s="8">
        <v>1013.11</v>
      </c>
      <c r="Q765" s="8" t="s">
        <v>2595</v>
      </c>
      <c r="R765" s="8" t="s">
        <v>2358</v>
      </c>
    </row>
    <row r="766" spans="1:20" x14ac:dyDescent="0.2">
      <c r="A766" s="8" t="s">
        <v>3147</v>
      </c>
      <c r="B766" s="8" t="str">
        <f t="shared" si="22"/>
        <v>1586244002</v>
      </c>
      <c r="C766" s="8" t="str">
        <f t="shared" si="23"/>
        <v>801</v>
      </c>
      <c r="D766" s="8" t="s">
        <v>119</v>
      </c>
      <c r="F766" s="8" t="s">
        <v>128</v>
      </c>
      <c r="G766" s="8" t="s">
        <v>150</v>
      </c>
      <c r="H766" s="8" t="s">
        <v>151</v>
      </c>
      <c r="I766" s="8" t="s">
        <v>565</v>
      </c>
      <c r="J766" s="8" t="s">
        <v>984</v>
      </c>
      <c r="K766" s="8" t="s">
        <v>687</v>
      </c>
      <c r="L766" s="8" t="s">
        <v>985</v>
      </c>
      <c r="M766" s="8" t="s">
        <v>2785</v>
      </c>
      <c r="N766" s="8" t="s">
        <v>150</v>
      </c>
      <c r="O766" s="8">
        <v>911.8</v>
      </c>
      <c r="P766" s="8">
        <v>1013.11</v>
      </c>
      <c r="Q766" s="8" t="s">
        <v>2595</v>
      </c>
      <c r="R766" s="8" t="s">
        <v>2047</v>
      </c>
    </row>
    <row r="767" spans="1:20" x14ac:dyDescent="0.2">
      <c r="A767" s="8" t="s">
        <v>3463</v>
      </c>
      <c r="B767" s="8" t="str">
        <f t="shared" si="22"/>
        <v>1586244002</v>
      </c>
      <c r="C767" s="8" t="str">
        <f t="shared" si="23"/>
        <v>802</v>
      </c>
      <c r="D767" s="8" t="s">
        <v>119</v>
      </c>
      <c r="F767" s="8" t="s">
        <v>128</v>
      </c>
      <c r="G767" s="8" t="s">
        <v>150</v>
      </c>
      <c r="H767" s="8" t="s">
        <v>151</v>
      </c>
      <c r="I767" s="8" t="s">
        <v>565</v>
      </c>
      <c r="J767" s="8" t="s">
        <v>984</v>
      </c>
      <c r="K767" s="8" t="s">
        <v>687</v>
      </c>
      <c r="L767" s="8" t="s">
        <v>985</v>
      </c>
      <c r="M767" s="8" t="s">
        <v>2785</v>
      </c>
      <c r="N767" s="8" t="s">
        <v>150</v>
      </c>
      <c r="O767" s="8">
        <v>911.8</v>
      </c>
      <c r="P767" s="8">
        <v>1013.11</v>
      </c>
      <c r="Q767" s="8" t="s">
        <v>2595</v>
      </c>
      <c r="R767" s="8" t="s">
        <v>2142</v>
      </c>
    </row>
    <row r="768" spans="1:20" x14ac:dyDescent="0.2">
      <c r="A768" s="8" t="s">
        <v>3673</v>
      </c>
      <c r="B768" s="8" t="str">
        <f t="shared" si="22"/>
        <v>1586244002</v>
      </c>
      <c r="C768" s="8" t="str">
        <f t="shared" si="23"/>
        <v>803</v>
      </c>
      <c r="D768" s="8" t="s">
        <v>119</v>
      </c>
      <c r="F768" s="8" t="s">
        <v>128</v>
      </c>
      <c r="G768" s="8" t="s">
        <v>150</v>
      </c>
      <c r="H768" s="8" t="s">
        <v>151</v>
      </c>
      <c r="I768" s="8" t="s">
        <v>565</v>
      </c>
      <c r="J768" s="8" t="s">
        <v>984</v>
      </c>
      <c r="K768" s="8" t="s">
        <v>687</v>
      </c>
      <c r="L768" s="8" t="s">
        <v>985</v>
      </c>
      <c r="M768" s="8" t="s">
        <v>2785</v>
      </c>
      <c r="N768" s="8" t="s">
        <v>150</v>
      </c>
      <c r="O768" s="8">
        <v>911.8</v>
      </c>
      <c r="P768" s="8">
        <v>1013.11</v>
      </c>
      <c r="Q768" s="8" t="s">
        <v>2595</v>
      </c>
      <c r="S768" s="8" t="s">
        <v>1513</v>
      </c>
      <c r="T768" s="8">
        <v>23.61</v>
      </c>
    </row>
    <row r="769" spans="1:20" x14ac:dyDescent="0.2">
      <c r="A769" s="8" t="s">
        <v>3972</v>
      </c>
      <c r="B769" s="8" t="str">
        <f t="shared" si="22"/>
        <v>1586244002</v>
      </c>
      <c r="C769" s="8" t="str">
        <f t="shared" si="23"/>
        <v>804</v>
      </c>
      <c r="D769" s="8" t="s">
        <v>119</v>
      </c>
      <c r="F769" s="8" t="s">
        <v>128</v>
      </c>
      <c r="G769" s="8" t="s">
        <v>150</v>
      </c>
      <c r="H769" s="8" t="s">
        <v>151</v>
      </c>
      <c r="I769" s="8" t="s">
        <v>565</v>
      </c>
      <c r="J769" s="8" t="s">
        <v>984</v>
      </c>
      <c r="K769" s="8" t="s">
        <v>687</v>
      </c>
      <c r="L769" s="8" t="s">
        <v>985</v>
      </c>
      <c r="M769" s="8" t="s">
        <v>2785</v>
      </c>
      <c r="N769" s="8" t="s">
        <v>150</v>
      </c>
      <c r="O769" s="8">
        <v>911.8</v>
      </c>
      <c r="P769" s="8">
        <v>1013.11</v>
      </c>
      <c r="Q769" s="8" t="s">
        <v>2595</v>
      </c>
      <c r="S769" s="8" t="s">
        <v>393</v>
      </c>
      <c r="T769" s="8">
        <v>216.89</v>
      </c>
    </row>
    <row r="770" spans="1:20" x14ac:dyDescent="0.2">
      <c r="A770" s="8" t="s">
        <v>4443</v>
      </c>
      <c r="B770" s="8" t="str">
        <f t="shared" ref="B770:B833" si="24">LEFT(A770, FIND("-", A770) - 1)</f>
        <v>1586244002</v>
      </c>
      <c r="C770" s="8" t="str">
        <f t="shared" ref="C770:C833" si="25">RIGHT(A770, LEN(A770) - FIND("-", A770))</f>
        <v>805</v>
      </c>
      <c r="D770" s="8" t="s">
        <v>119</v>
      </c>
      <c r="F770" s="8" t="s">
        <v>128</v>
      </c>
      <c r="G770" s="8" t="s">
        <v>150</v>
      </c>
      <c r="H770" s="8" t="s">
        <v>151</v>
      </c>
      <c r="I770" s="8" t="s">
        <v>565</v>
      </c>
      <c r="J770" s="8" t="s">
        <v>984</v>
      </c>
      <c r="K770" s="8" t="s">
        <v>687</v>
      </c>
      <c r="L770" s="8" t="s">
        <v>985</v>
      </c>
      <c r="M770" s="8" t="s">
        <v>2785</v>
      </c>
      <c r="N770" s="8" t="s">
        <v>150</v>
      </c>
      <c r="O770" s="8">
        <v>911.8</v>
      </c>
      <c r="P770" s="8">
        <v>1013.11</v>
      </c>
      <c r="Q770" s="8" t="s">
        <v>2595</v>
      </c>
      <c r="S770" s="8" t="s">
        <v>986</v>
      </c>
      <c r="T770" s="8">
        <v>77.459999999999994</v>
      </c>
    </row>
    <row r="771" spans="1:20" x14ac:dyDescent="0.2">
      <c r="A771" s="8" t="s">
        <v>3188</v>
      </c>
      <c r="B771" s="8" t="str">
        <f t="shared" si="24"/>
        <v>1586244002</v>
      </c>
      <c r="C771" s="8" t="str">
        <f t="shared" si="25"/>
        <v>806</v>
      </c>
      <c r="D771" s="8" t="s">
        <v>119</v>
      </c>
      <c r="F771" s="8" t="s">
        <v>128</v>
      </c>
      <c r="G771" s="8" t="s">
        <v>150</v>
      </c>
      <c r="H771" s="8" t="s">
        <v>151</v>
      </c>
      <c r="I771" s="8" t="s">
        <v>565</v>
      </c>
      <c r="J771" s="8" t="s">
        <v>984</v>
      </c>
      <c r="K771" s="8" t="s">
        <v>687</v>
      </c>
      <c r="L771" s="8" t="s">
        <v>985</v>
      </c>
      <c r="M771" s="8" t="s">
        <v>2785</v>
      </c>
      <c r="N771" s="8" t="s">
        <v>150</v>
      </c>
      <c r="O771" s="8">
        <v>911.8</v>
      </c>
      <c r="P771" s="8">
        <v>1013.11</v>
      </c>
      <c r="Q771" s="8" t="s">
        <v>2595</v>
      </c>
      <c r="S771" s="8" t="s">
        <v>1608</v>
      </c>
      <c r="T771" s="8">
        <v>77.459999999999994</v>
      </c>
    </row>
    <row r="772" spans="1:20" x14ac:dyDescent="0.2">
      <c r="A772" s="8" t="s">
        <v>3038</v>
      </c>
      <c r="B772" s="8" t="str">
        <f t="shared" si="24"/>
        <v>1586244006</v>
      </c>
      <c r="C772" s="8" t="str">
        <f t="shared" si="25"/>
        <v>807</v>
      </c>
      <c r="D772" s="8" t="s">
        <v>119</v>
      </c>
      <c r="F772" s="8" t="s">
        <v>128</v>
      </c>
      <c r="G772" s="8" t="s">
        <v>143</v>
      </c>
      <c r="H772" s="8" t="s">
        <v>144</v>
      </c>
      <c r="I772" s="8" t="s">
        <v>152</v>
      </c>
      <c r="J772" s="8" t="s">
        <v>233</v>
      </c>
      <c r="K772" s="8" t="s">
        <v>154</v>
      </c>
      <c r="L772" s="8" t="s">
        <v>234</v>
      </c>
      <c r="M772" s="8" t="s">
        <v>2785</v>
      </c>
      <c r="N772" s="8" t="s">
        <v>143</v>
      </c>
      <c r="O772" s="8">
        <v>855.74</v>
      </c>
      <c r="P772" s="8">
        <v>950.82</v>
      </c>
      <c r="Q772" s="8" t="s">
        <v>2596</v>
      </c>
      <c r="R772" s="8" t="s">
        <v>1972</v>
      </c>
    </row>
    <row r="773" spans="1:20" x14ac:dyDescent="0.2">
      <c r="A773" s="8" t="s">
        <v>3568</v>
      </c>
      <c r="B773" s="8" t="str">
        <f t="shared" si="24"/>
        <v>1586244006</v>
      </c>
      <c r="C773" s="8" t="str">
        <f t="shared" si="25"/>
        <v>808</v>
      </c>
      <c r="D773" s="8" t="s">
        <v>119</v>
      </c>
      <c r="F773" s="8" t="s">
        <v>128</v>
      </c>
      <c r="G773" s="8" t="s">
        <v>143</v>
      </c>
      <c r="H773" s="8" t="s">
        <v>144</v>
      </c>
      <c r="I773" s="8" t="s">
        <v>152</v>
      </c>
      <c r="J773" s="8" t="s">
        <v>233</v>
      </c>
      <c r="K773" s="8" t="s">
        <v>154</v>
      </c>
      <c r="L773" s="8" t="s">
        <v>234</v>
      </c>
      <c r="M773" s="8" t="s">
        <v>2785</v>
      </c>
      <c r="N773" s="8" t="s">
        <v>143</v>
      </c>
      <c r="O773" s="8">
        <v>855.74</v>
      </c>
      <c r="P773" s="8">
        <v>950.82</v>
      </c>
      <c r="Q773" s="8" t="s">
        <v>2596</v>
      </c>
      <c r="R773" s="8" t="s">
        <v>2466</v>
      </c>
    </row>
    <row r="774" spans="1:20" x14ac:dyDescent="0.2">
      <c r="A774" s="8" t="s">
        <v>4306</v>
      </c>
      <c r="B774" s="8" t="str">
        <f t="shared" si="24"/>
        <v>1586244006</v>
      </c>
      <c r="C774" s="8" t="str">
        <f t="shared" si="25"/>
        <v>809</v>
      </c>
      <c r="D774" s="8" t="s">
        <v>119</v>
      </c>
      <c r="F774" s="8" t="s">
        <v>128</v>
      </c>
      <c r="G774" s="8" t="s">
        <v>143</v>
      </c>
      <c r="H774" s="8" t="s">
        <v>144</v>
      </c>
      <c r="I774" s="8" t="s">
        <v>152</v>
      </c>
      <c r="J774" s="8" t="s">
        <v>233</v>
      </c>
      <c r="K774" s="8" t="s">
        <v>154</v>
      </c>
      <c r="L774" s="8" t="s">
        <v>234</v>
      </c>
      <c r="M774" s="8" t="s">
        <v>2785</v>
      </c>
      <c r="N774" s="8" t="s">
        <v>143</v>
      </c>
      <c r="O774" s="8">
        <v>855.74</v>
      </c>
      <c r="P774" s="8">
        <v>950.82</v>
      </c>
      <c r="Q774" s="8" t="s">
        <v>2596</v>
      </c>
      <c r="R774" s="8" t="s">
        <v>675</v>
      </c>
    </row>
    <row r="775" spans="1:20" x14ac:dyDescent="0.2">
      <c r="A775" s="8" t="s">
        <v>3086</v>
      </c>
      <c r="B775" s="8" t="str">
        <f t="shared" si="24"/>
        <v>1586244006</v>
      </c>
      <c r="C775" s="8" t="str">
        <f t="shared" si="25"/>
        <v>810</v>
      </c>
      <c r="D775" s="8" t="s">
        <v>119</v>
      </c>
      <c r="F775" s="8" t="s">
        <v>128</v>
      </c>
      <c r="G775" s="8" t="s">
        <v>143</v>
      </c>
      <c r="H775" s="8" t="s">
        <v>144</v>
      </c>
      <c r="I775" s="8" t="s">
        <v>152</v>
      </c>
      <c r="J775" s="8" t="s">
        <v>233</v>
      </c>
      <c r="K775" s="8" t="s">
        <v>154</v>
      </c>
      <c r="L775" s="8" t="s">
        <v>234</v>
      </c>
      <c r="M775" s="8" t="s">
        <v>2785</v>
      </c>
      <c r="N775" s="8" t="s">
        <v>143</v>
      </c>
      <c r="O775" s="8">
        <v>855.74</v>
      </c>
      <c r="P775" s="8">
        <v>950.82</v>
      </c>
      <c r="Q775" s="8" t="s">
        <v>2596</v>
      </c>
      <c r="R775" s="8" t="s">
        <v>1214</v>
      </c>
    </row>
    <row r="776" spans="1:20" x14ac:dyDescent="0.2">
      <c r="A776" s="8" t="s">
        <v>3001</v>
      </c>
      <c r="B776" s="8" t="str">
        <f t="shared" si="24"/>
        <v>1586244006</v>
      </c>
      <c r="C776" s="8" t="str">
        <f t="shared" si="25"/>
        <v>811</v>
      </c>
      <c r="D776" s="8" t="s">
        <v>119</v>
      </c>
      <c r="F776" s="8" t="s">
        <v>128</v>
      </c>
      <c r="G776" s="8" t="s">
        <v>143</v>
      </c>
      <c r="H776" s="8" t="s">
        <v>144</v>
      </c>
      <c r="I776" s="8" t="s">
        <v>152</v>
      </c>
      <c r="J776" s="8" t="s">
        <v>233</v>
      </c>
      <c r="K776" s="8" t="s">
        <v>154</v>
      </c>
      <c r="L776" s="8" t="s">
        <v>234</v>
      </c>
      <c r="M776" s="8" t="s">
        <v>2785</v>
      </c>
      <c r="N776" s="8" t="s">
        <v>143</v>
      </c>
      <c r="O776" s="8">
        <v>855.74</v>
      </c>
      <c r="P776" s="8">
        <v>950.82</v>
      </c>
      <c r="Q776" s="8" t="s">
        <v>2596</v>
      </c>
      <c r="R776" s="8" t="s">
        <v>914</v>
      </c>
    </row>
    <row r="777" spans="1:20" x14ac:dyDescent="0.2">
      <c r="A777" s="8" t="s">
        <v>4651</v>
      </c>
      <c r="B777" s="8" t="str">
        <f t="shared" si="24"/>
        <v>1586244006</v>
      </c>
      <c r="C777" s="8" t="str">
        <f t="shared" si="25"/>
        <v>812</v>
      </c>
      <c r="D777" s="8" t="s">
        <v>119</v>
      </c>
      <c r="F777" s="8" t="s">
        <v>128</v>
      </c>
      <c r="G777" s="8" t="s">
        <v>143</v>
      </c>
      <c r="H777" s="8" t="s">
        <v>144</v>
      </c>
      <c r="I777" s="8" t="s">
        <v>152</v>
      </c>
      <c r="J777" s="8" t="s">
        <v>233</v>
      </c>
      <c r="K777" s="8" t="s">
        <v>154</v>
      </c>
      <c r="L777" s="8" t="s">
        <v>234</v>
      </c>
      <c r="M777" s="8" t="s">
        <v>2785</v>
      </c>
      <c r="N777" s="8" t="s">
        <v>143</v>
      </c>
      <c r="O777" s="8">
        <v>855.74</v>
      </c>
      <c r="P777" s="8">
        <v>950.82</v>
      </c>
      <c r="Q777" s="8" t="s">
        <v>2596</v>
      </c>
      <c r="R777" s="8" t="s">
        <v>1798</v>
      </c>
    </row>
    <row r="778" spans="1:20" x14ac:dyDescent="0.2">
      <c r="A778" s="8" t="s">
        <v>3116</v>
      </c>
      <c r="B778" s="8" t="str">
        <f t="shared" si="24"/>
        <v>1586244006</v>
      </c>
      <c r="C778" s="8" t="str">
        <f t="shared" si="25"/>
        <v>813</v>
      </c>
      <c r="D778" s="8" t="s">
        <v>119</v>
      </c>
      <c r="F778" s="8" t="s">
        <v>128</v>
      </c>
      <c r="G778" s="8" t="s">
        <v>143</v>
      </c>
      <c r="H778" s="8" t="s">
        <v>144</v>
      </c>
      <c r="I778" s="8" t="s">
        <v>152</v>
      </c>
      <c r="J778" s="8" t="s">
        <v>233</v>
      </c>
      <c r="K778" s="8" t="s">
        <v>154</v>
      </c>
      <c r="L778" s="8" t="s">
        <v>234</v>
      </c>
      <c r="M778" s="8" t="s">
        <v>2785</v>
      </c>
      <c r="N778" s="8" t="s">
        <v>143</v>
      </c>
      <c r="O778" s="8">
        <v>855.74</v>
      </c>
      <c r="P778" s="8">
        <v>950.82</v>
      </c>
      <c r="Q778" s="8" t="s">
        <v>2596</v>
      </c>
      <c r="R778" s="8" t="s">
        <v>267</v>
      </c>
    </row>
    <row r="779" spans="1:20" x14ac:dyDescent="0.2">
      <c r="A779" s="8" t="s">
        <v>3873</v>
      </c>
      <c r="B779" s="8" t="str">
        <f t="shared" si="24"/>
        <v>1586244006</v>
      </c>
      <c r="C779" s="8" t="str">
        <f t="shared" si="25"/>
        <v>814</v>
      </c>
      <c r="D779" s="8" t="s">
        <v>119</v>
      </c>
      <c r="F779" s="8" t="s">
        <v>128</v>
      </c>
      <c r="G779" s="8" t="s">
        <v>143</v>
      </c>
      <c r="H779" s="8" t="s">
        <v>144</v>
      </c>
      <c r="I779" s="8" t="s">
        <v>152</v>
      </c>
      <c r="J779" s="8" t="s">
        <v>233</v>
      </c>
      <c r="K779" s="8" t="s">
        <v>154</v>
      </c>
      <c r="L779" s="8" t="s">
        <v>234</v>
      </c>
      <c r="M779" s="8" t="s">
        <v>2785</v>
      </c>
      <c r="N779" s="8" t="s">
        <v>143</v>
      </c>
      <c r="O779" s="8">
        <v>855.74</v>
      </c>
      <c r="P779" s="8">
        <v>950.82</v>
      </c>
      <c r="Q779" s="8" t="s">
        <v>2596</v>
      </c>
      <c r="R779" s="8" t="s">
        <v>465</v>
      </c>
    </row>
    <row r="780" spans="1:20" x14ac:dyDescent="0.2">
      <c r="A780" s="8" t="s">
        <v>3248</v>
      </c>
      <c r="B780" s="8" t="str">
        <f t="shared" si="24"/>
        <v>1586244006</v>
      </c>
      <c r="C780" s="8" t="str">
        <f t="shared" si="25"/>
        <v>815</v>
      </c>
      <c r="D780" s="8" t="s">
        <v>119</v>
      </c>
      <c r="F780" s="8" t="s">
        <v>128</v>
      </c>
      <c r="G780" s="8" t="s">
        <v>143</v>
      </c>
      <c r="H780" s="8" t="s">
        <v>144</v>
      </c>
      <c r="I780" s="8" t="s">
        <v>152</v>
      </c>
      <c r="J780" s="8" t="s">
        <v>233</v>
      </c>
      <c r="K780" s="8" t="s">
        <v>154</v>
      </c>
      <c r="L780" s="8" t="s">
        <v>234</v>
      </c>
      <c r="M780" s="8" t="s">
        <v>2785</v>
      </c>
      <c r="N780" s="8" t="s">
        <v>143</v>
      </c>
      <c r="O780" s="8">
        <v>855.74</v>
      </c>
      <c r="P780" s="8">
        <v>950.82</v>
      </c>
      <c r="Q780" s="8" t="s">
        <v>2596</v>
      </c>
      <c r="R780" s="8" t="s">
        <v>958</v>
      </c>
    </row>
    <row r="781" spans="1:20" x14ac:dyDescent="0.2">
      <c r="A781" s="8" t="s">
        <v>3318</v>
      </c>
      <c r="B781" s="8" t="str">
        <f t="shared" si="24"/>
        <v>1586244006</v>
      </c>
      <c r="C781" s="8" t="str">
        <f t="shared" si="25"/>
        <v>816</v>
      </c>
      <c r="D781" s="8" t="s">
        <v>119</v>
      </c>
      <c r="F781" s="8" t="s">
        <v>128</v>
      </c>
      <c r="G781" s="8" t="s">
        <v>143</v>
      </c>
      <c r="H781" s="8" t="s">
        <v>144</v>
      </c>
      <c r="I781" s="8" t="s">
        <v>152</v>
      </c>
      <c r="J781" s="8" t="s">
        <v>233</v>
      </c>
      <c r="K781" s="8" t="s">
        <v>154</v>
      </c>
      <c r="L781" s="8" t="s">
        <v>234</v>
      </c>
      <c r="M781" s="8" t="s">
        <v>2785</v>
      </c>
      <c r="N781" s="8" t="s">
        <v>143</v>
      </c>
      <c r="O781" s="8">
        <v>855.74</v>
      </c>
      <c r="P781" s="8">
        <v>950.82</v>
      </c>
      <c r="Q781" s="8" t="s">
        <v>2596</v>
      </c>
      <c r="R781" s="8" t="s">
        <v>1393</v>
      </c>
    </row>
    <row r="782" spans="1:20" x14ac:dyDescent="0.2">
      <c r="A782" s="8" t="s">
        <v>4644</v>
      </c>
      <c r="B782" s="8" t="str">
        <f t="shared" si="24"/>
        <v>1586244006</v>
      </c>
      <c r="C782" s="8" t="str">
        <f t="shared" si="25"/>
        <v>817</v>
      </c>
      <c r="D782" s="8" t="s">
        <v>119</v>
      </c>
      <c r="F782" s="8" t="s">
        <v>128</v>
      </c>
      <c r="G782" s="8" t="s">
        <v>143</v>
      </c>
      <c r="H782" s="8" t="s">
        <v>144</v>
      </c>
      <c r="I782" s="8" t="s">
        <v>152</v>
      </c>
      <c r="J782" s="8" t="s">
        <v>233</v>
      </c>
      <c r="K782" s="8" t="s">
        <v>154</v>
      </c>
      <c r="L782" s="8" t="s">
        <v>234</v>
      </c>
      <c r="M782" s="8" t="s">
        <v>2785</v>
      </c>
      <c r="N782" s="8" t="s">
        <v>143</v>
      </c>
      <c r="O782" s="8">
        <v>855.74</v>
      </c>
      <c r="P782" s="8">
        <v>950.82</v>
      </c>
      <c r="Q782" s="8" t="s">
        <v>2596</v>
      </c>
      <c r="R782" s="8" t="s">
        <v>235</v>
      </c>
    </row>
    <row r="783" spans="1:20" x14ac:dyDescent="0.2">
      <c r="A783" s="8" t="s">
        <v>4420</v>
      </c>
      <c r="B783" s="8" t="str">
        <f t="shared" si="24"/>
        <v>1586244006</v>
      </c>
      <c r="C783" s="8" t="str">
        <f t="shared" si="25"/>
        <v>818</v>
      </c>
      <c r="D783" s="8" t="s">
        <v>119</v>
      </c>
      <c r="F783" s="8" t="s">
        <v>128</v>
      </c>
      <c r="G783" s="8" t="s">
        <v>143</v>
      </c>
      <c r="H783" s="8" t="s">
        <v>144</v>
      </c>
      <c r="I783" s="8" t="s">
        <v>152</v>
      </c>
      <c r="J783" s="8" t="s">
        <v>233</v>
      </c>
      <c r="K783" s="8" t="s">
        <v>154</v>
      </c>
      <c r="L783" s="8" t="s">
        <v>234</v>
      </c>
      <c r="M783" s="8" t="s">
        <v>2785</v>
      </c>
      <c r="N783" s="8" t="s">
        <v>143</v>
      </c>
      <c r="O783" s="8">
        <v>855.74</v>
      </c>
      <c r="P783" s="8">
        <v>950.82</v>
      </c>
      <c r="Q783" s="8" t="s">
        <v>2596</v>
      </c>
      <c r="S783" s="8" t="s">
        <v>184</v>
      </c>
      <c r="T783" s="8">
        <v>192.54</v>
      </c>
    </row>
    <row r="784" spans="1:20" x14ac:dyDescent="0.2">
      <c r="A784" s="8" t="s">
        <v>3810</v>
      </c>
      <c r="B784" s="8" t="str">
        <f t="shared" si="24"/>
        <v>1586244006</v>
      </c>
      <c r="C784" s="8" t="str">
        <f t="shared" si="25"/>
        <v>819</v>
      </c>
      <c r="D784" s="8" t="s">
        <v>119</v>
      </c>
      <c r="F784" s="8" t="s">
        <v>128</v>
      </c>
      <c r="G784" s="8" t="s">
        <v>143</v>
      </c>
      <c r="H784" s="8" t="s">
        <v>144</v>
      </c>
      <c r="I784" s="8" t="s">
        <v>152</v>
      </c>
      <c r="J784" s="8" t="s">
        <v>233</v>
      </c>
      <c r="K784" s="8" t="s">
        <v>154</v>
      </c>
      <c r="L784" s="8" t="s">
        <v>234</v>
      </c>
      <c r="M784" s="8" t="s">
        <v>2785</v>
      </c>
      <c r="N784" s="8" t="s">
        <v>143</v>
      </c>
      <c r="O784" s="8">
        <v>855.74</v>
      </c>
      <c r="P784" s="8">
        <v>950.82</v>
      </c>
      <c r="Q784" s="8" t="s">
        <v>2596</v>
      </c>
      <c r="S784" s="8" t="s">
        <v>156</v>
      </c>
      <c r="T784" s="8">
        <v>65.66</v>
      </c>
    </row>
    <row r="785" spans="1:20" x14ac:dyDescent="0.2">
      <c r="A785" s="8" t="s">
        <v>3482</v>
      </c>
      <c r="B785" s="8" t="str">
        <f t="shared" si="24"/>
        <v>1586244006</v>
      </c>
      <c r="C785" s="8" t="str">
        <f t="shared" si="25"/>
        <v>820</v>
      </c>
      <c r="D785" s="8" t="s">
        <v>119</v>
      </c>
      <c r="F785" s="8" t="s">
        <v>128</v>
      </c>
      <c r="G785" s="8" t="s">
        <v>143</v>
      </c>
      <c r="H785" s="8" t="s">
        <v>144</v>
      </c>
      <c r="I785" s="8" t="s">
        <v>152</v>
      </c>
      <c r="J785" s="8" t="s">
        <v>233</v>
      </c>
      <c r="K785" s="8" t="s">
        <v>154</v>
      </c>
      <c r="L785" s="8" t="s">
        <v>234</v>
      </c>
      <c r="M785" s="8" t="s">
        <v>2785</v>
      </c>
      <c r="N785" s="8" t="s">
        <v>143</v>
      </c>
      <c r="O785" s="8">
        <v>855.74</v>
      </c>
      <c r="P785" s="8">
        <v>950.82</v>
      </c>
      <c r="Q785" s="8" t="s">
        <v>2596</v>
      </c>
      <c r="S785" s="8" t="s">
        <v>1185</v>
      </c>
      <c r="T785" s="8">
        <v>223.52</v>
      </c>
    </row>
    <row r="786" spans="1:20" x14ac:dyDescent="0.2">
      <c r="A786" s="8" t="s">
        <v>3098</v>
      </c>
      <c r="B786" s="8" t="str">
        <f t="shared" si="24"/>
        <v>1586244008</v>
      </c>
      <c r="C786" s="8" t="str">
        <f t="shared" si="25"/>
        <v>821</v>
      </c>
      <c r="D786" s="8" t="s">
        <v>119</v>
      </c>
      <c r="F786" s="8" t="s">
        <v>128</v>
      </c>
      <c r="G786" s="8" t="s">
        <v>143</v>
      </c>
      <c r="H786" s="8" t="s">
        <v>144</v>
      </c>
      <c r="I786" s="8" t="s">
        <v>145</v>
      </c>
      <c r="J786" s="8" t="s">
        <v>146</v>
      </c>
      <c r="K786" s="8" t="s">
        <v>147</v>
      </c>
      <c r="L786" s="8" t="s">
        <v>148</v>
      </c>
      <c r="M786" s="8" t="s">
        <v>2785</v>
      </c>
      <c r="N786" s="8" t="s">
        <v>143</v>
      </c>
      <c r="O786" s="8">
        <v>894.1</v>
      </c>
      <c r="P786" s="8">
        <v>993.44</v>
      </c>
      <c r="Q786" s="8" t="s">
        <v>2597</v>
      </c>
      <c r="R786" s="8" t="s">
        <v>1842</v>
      </c>
    </row>
    <row r="787" spans="1:20" x14ac:dyDescent="0.2">
      <c r="A787" s="8" t="s">
        <v>3524</v>
      </c>
      <c r="B787" s="8" t="str">
        <f t="shared" si="24"/>
        <v>1586244008</v>
      </c>
      <c r="C787" s="8" t="str">
        <f t="shared" si="25"/>
        <v>822</v>
      </c>
      <c r="D787" s="8" t="s">
        <v>119</v>
      </c>
      <c r="F787" s="8" t="s">
        <v>128</v>
      </c>
      <c r="G787" s="8" t="s">
        <v>143</v>
      </c>
      <c r="H787" s="8" t="s">
        <v>144</v>
      </c>
      <c r="I787" s="8" t="s">
        <v>145</v>
      </c>
      <c r="J787" s="8" t="s">
        <v>146</v>
      </c>
      <c r="K787" s="8" t="s">
        <v>147</v>
      </c>
      <c r="L787" s="8" t="s">
        <v>148</v>
      </c>
      <c r="M787" s="8" t="s">
        <v>2785</v>
      </c>
      <c r="N787" s="8" t="s">
        <v>143</v>
      </c>
      <c r="O787" s="8">
        <v>894.1</v>
      </c>
      <c r="P787" s="8">
        <v>993.44</v>
      </c>
      <c r="Q787" s="8" t="s">
        <v>2597</v>
      </c>
      <c r="R787" s="8" t="s">
        <v>1148</v>
      </c>
    </row>
    <row r="788" spans="1:20" x14ac:dyDescent="0.2">
      <c r="A788" s="8" t="s">
        <v>4179</v>
      </c>
      <c r="B788" s="8" t="str">
        <f t="shared" si="24"/>
        <v>1586244008</v>
      </c>
      <c r="C788" s="8" t="str">
        <f t="shared" si="25"/>
        <v>823</v>
      </c>
      <c r="D788" s="8" t="s">
        <v>119</v>
      </c>
      <c r="F788" s="8" t="s">
        <v>128</v>
      </c>
      <c r="G788" s="8" t="s">
        <v>143</v>
      </c>
      <c r="H788" s="8" t="s">
        <v>144</v>
      </c>
      <c r="I788" s="8" t="s">
        <v>145</v>
      </c>
      <c r="J788" s="8" t="s">
        <v>146</v>
      </c>
      <c r="K788" s="8" t="s">
        <v>147</v>
      </c>
      <c r="L788" s="8" t="s">
        <v>148</v>
      </c>
      <c r="M788" s="8" t="s">
        <v>2785</v>
      </c>
      <c r="N788" s="8" t="s">
        <v>143</v>
      </c>
      <c r="O788" s="8">
        <v>894.1</v>
      </c>
      <c r="P788" s="8">
        <v>993.44</v>
      </c>
      <c r="Q788" s="8" t="s">
        <v>2597</v>
      </c>
      <c r="R788" s="8" t="s">
        <v>2240</v>
      </c>
    </row>
    <row r="789" spans="1:20" x14ac:dyDescent="0.2">
      <c r="A789" s="8" t="s">
        <v>3758</v>
      </c>
      <c r="B789" s="8" t="str">
        <f t="shared" si="24"/>
        <v>1586244008</v>
      </c>
      <c r="C789" s="8" t="str">
        <f t="shared" si="25"/>
        <v>824</v>
      </c>
      <c r="D789" s="8" t="s">
        <v>119</v>
      </c>
      <c r="F789" s="8" t="s">
        <v>128</v>
      </c>
      <c r="G789" s="8" t="s">
        <v>143</v>
      </c>
      <c r="H789" s="8" t="s">
        <v>144</v>
      </c>
      <c r="I789" s="8" t="s">
        <v>145</v>
      </c>
      <c r="J789" s="8" t="s">
        <v>146</v>
      </c>
      <c r="K789" s="8" t="s">
        <v>147</v>
      </c>
      <c r="L789" s="8" t="s">
        <v>148</v>
      </c>
      <c r="M789" s="8" t="s">
        <v>2785</v>
      </c>
      <c r="N789" s="8" t="s">
        <v>143</v>
      </c>
      <c r="O789" s="8">
        <v>894.1</v>
      </c>
      <c r="P789" s="8">
        <v>993.44</v>
      </c>
      <c r="Q789" s="8" t="s">
        <v>2597</v>
      </c>
      <c r="R789" s="8" t="s">
        <v>1638</v>
      </c>
    </row>
    <row r="790" spans="1:20" x14ac:dyDescent="0.2">
      <c r="A790" s="8" t="s">
        <v>4038</v>
      </c>
      <c r="B790" s="8" t="str">
        <f t="shared" si="24"/>
        <v>1586244008</v>
      </c>
      <c r="C790" s="8" t="str">
        <f t="shared" si="25"/>
        <v>825</v>
      </c>
      <c r="D790" s="8" t="s">
        <v>119</v>
      </c>
      <c r="F790" s="8" t="s">
        <v>128</v>
      </c>
      <c r="G790" s="8" t="s">
        <v>143</v>
      </c>
      <c r="H790" s="8" t="s">
        <v>144</v>
      </c>
      <c r="I790" s="8" t="s">
        <v>145</v>
      </c>
      <c r="J790" s="8" t="s">
        <v>146</v>
      </c>
      <c r="K790" s="8" t="s">
        <v>147</v>
      </c>
      <c r="L790" s="8" t="s">
        <v>148</v>
      </c>
      <c r="M790" s="8" t="s">
        <v>2785</v>
      </c>
      <c r="N790" s="8" t="s">
        <v>143</v>
      </c>
      <c r="O790" s="8">
        <v>894.1</v>
      </c>
      <c r="P790" s="8">
        <v>993.44</v>
      </c>
      <c r="Q790" s="8" t="s">
        <v>2597</v>
      </c>
      <c r="R790" s="8" t="s">
        <v>2236</v>
      </c>
    </row>
    <row r="791" spans="1:20" x14ac:dyDescent="0.2">
      <c r="A791" s="8" t="s">
        <v>3011</v>
      </c>
      <c r="B791" s="8" t="str">
        <f t="shared" si="24"/>
        <v>1586244008</v>
      </c>
      <c r="C791" s="8" t="str">
        <f t="shared" si="25"/>
        <v>826</v>
      </c>
      <c r="D791" s="8" t="s">
        <v>119</v>
      </c>
      <c r="F791" s="8" t="s">
        <v>128</v>
      </c>
      <c r="G791" s="8" t="s">
        <v>143</v>
      </c>
      <c r="H791" s="8" t="s">
        <v>144</v>
      </c>
      <c r="I791" s="8" t="s">
        <v>145</v>
      </c>
      <c r="J791" s="8" t="s">
        <v>146</v>
      </c>
      <c r="K791" s="8" t="s">
        <v>147</v>
      </c>
      <c r="L791" s="8" t="s">
        <v>148</v>
      </c>
      <c r="M791" s="8" t="s">
        <v>2785</v>
      </c>
      <c r="N791" s="8" t="s">
        <v>143</v>
      </c>
      <c r="O791" s="8">
        <v>894.1</v>
      </c>
      <c r="P791" s="8">
        <v>993.44</v>
      </c>
      <c r="Q791" s="8" t="s">
        <v>2597</v>
      </c>
      <c r="R791" s="8" t="s">
        <v>149</v>
      </c>
    </row>
    <row r="792" spans="1:20" x14ac:dyDescent="0.2">
      <c r="A792" s="8" t="s">
        <v>3786</v>
      </c>
      <c r="B792" s="8" t="str">
        <f t="shared" si="24"/>
        <v>1586244008</v>
      </c>
      <c r="C792" s="8" t="str">
        <f t="shared" si="25"/>
        <v>827</v>
      </c>
      <c r="D792" s="8" t="s">
        <v>119</v>
      </c>
      <c r="F792" s="8" t="s">
        <v>128</v>
      </c>
      <c r="G792" s="8" t="s">
        <v>143</v>
      </c>
      <c r="H792" s="8" t="s">
        <v>144</v>
      </c>
      <c r="I792" s="8" t="s">
        <v>145</v>
      </c>
      <c r="J792" s="8" t="s">
        <v>146</v>
      </c>
      <c r="K792" s="8" t="s">
        <v>147</v>
      </c>
      <c r="L792" s="8" t="s">
        <v>148</v>
      </c>
      <c r="M792" s="8" t="s">
        <v>2785</v>
      </c>
      <c r="N792" s="8" t="s">
        <v>143</v>
      </c>
      <c r="O792" s="8">
        <v>894.1</v>
      </c>
      <c r="P792" s="8">
        <v>993.44</v>
      </c>
      <c r="Q792" s="8" t="s">
        <v>2597</v>
      </c>
      <c r="R792" s="8" t="s">
        <v>2250</v>
      </c>
    </row>
    <row r="793" spans="1:20" x14ac:dyDescent="0.2">
      <c r="A793" s="8" t="s">
        <v>4790</v>
      </c>
      <c r="B793" s="8" t="str">
        <f t="shared" si="24"/>
        <v>1586244008</v>
      </c>
      <c r="C793" s="8" t="str">
        <f t="shared" si="25"/>
        <v>828</v>
      </c>
      <c r="D793" s="8" t="s">
        <v>119</v>
      </c>
      <c r="F793" s="8" t="s">
        <v>128</v>
      </c>
      <c r="G793" s="8" t="s">
        <v>143</v>
      </c>
      <c r="H793" s="8" t="s">
        <v>144</v>
      </c>
      <c r="I793" s="8" t="s">
        <v>145</v>
      </c>
      <c r="J793" s="8" t="s">
        <v>146</v>
      </c>
      <c r="K793" s="8" t="s">
        <v>147</v>
      </c>
      <c r="L793" s="8" t="s">
        <v>148</v>
      </c>
      <c r="M793" s="8" t="s">
        <v>2785</v>
      </c>
      <c r="N793" s="8" t="s">
        <v>143</v>
      </c>
      <c r="O793" s="8">
        <v>894.1</v>
      </c>
      <c r="P793" s="8">
        <v>993.44</v>
      </c>
      <c r="Q793" s="8" t="s">
        <v>2597</v>
      </c>
      <c r="R793" s="8" t="s">
        <v>1982</v>
      </c>
    </row>
    <row r="794" spans="1:20" x14ac:dyDescent="0.2">
      <c r="A794" s="8" t="s">
        <v>3817</v>
      </c>
      <c r="B794" s="8" t="str">
        <f t="shared" si="24"/>
        <v>1586244008</v>
      </c>
      <c r="C794" s="8" t="str">
        <f t="shared" si="25"/>
        <v>829</v>
      </c>
      <c r="D794" s="8" t="s">
        <v>119</v>
      </c>
      <c r="F794" s="8" t="s">
        <v>128</v>
      </c>
      <c r="G794" s="8" t="s">
        <v>143</v>
      </c>
      <c r="H794" s="8" t="s">
        <v>144</v>
      </c>
      <c r="I794" s="8" t="s">
        <v>145</v>
      </c>
      <c r="J794" s="8" t="s">
        <v>146</v>
      </c>
      <c r="K794" s="8" t="s">
        <v>147</v>
      </c>
      <c r="L794" s="8" t="s">
        <v>148</v>
      </c>
      <c r="M794" s="8" t="s">
        <v>2785</v>
      </c>
      <c r="N794" s="8" t="s">
        <v>143</v>
      </c>
      <c r="O794" s="8">
        <v>894.1</v>
      </c>
      <c r="P794" s="8">
        <v>993.44</v>
      </c>
      <c r="Q794" s="8" t="s">
        <v>2597</v>
      </c>
      <c r="R794" s="8" t="s">
        <v>1613</v>
      </c>
    </row>
    <row r="795" spans="1:20" x14ac:dyDescent="0.2">
      <c r="A795" s="8" t="s">
        <v>2880</v>
      </c>
      <c r="B795" s="8" t="str">
        <f t="shared" si="24"/>
        <v>1586244008</v>
      </c>
      <c r="C795" s="8" t="str">
        <f t="shared" si="25"/>
        <v>830</v>
      </c>
      <c r="D795" s="8" t="s">
        <v>119</v>
      </c>
      <c r="F795" s="8" t="s">
        <v>128</v>
      </c>
      <c r="G795" s="8" t="s">
        <v>143</v>
      </c>
      <c r="H795" s="8" t="s">
        <v>144</v>
      </c>
      <c r="I795" s="8" t="s">
        <v>145</v>
      </c>
      <c r="J795" s="8" t="s">
        <v>146</v>
      </c>
      <c r="K795" s="8" t="s">
        <v>147</v>
      </c>
      <c r="L795" s="8" t="s">
        <v>148</v>
      </c>
      <c r="M795" s="8" t="s">
        <v>2785</v>
      </c>
      <c r="N795" s="8" t="s">
        <v>143</v>
      </c>
      <c r="O795" s="8">
        <v>894.1</v>
      </c>
      <c r="P795" s="8">
        <v>993.44</v>
      </c>
      <c r="Q795" s="8" t="s">
        <v>2597</v>
      </c>
      <c r="R795" s="8" t="s">
        <v>2210</v>
      </c>
    </row>
    <row r="796" spans="1:20" x14ac:dyDescent="0.2">
      <c r="A796" s="8" t="s">
        <v>3635</v>
      </c>
      <c r="B796" s="8" t="str">
        <f t="shared" si="24"/>
        <v>1586244008</v>
      </c>
      <c r="C796" s="8" t="str">
        <f t="shared" si="25"/>
        <v>831</v>
      </c>
      <c r="D796" s="8" t="s">
        <v>119</v>
      </c>
      <c r="F796" s="8" t="s">
        <v>128</v>
      </c>
      <c r="G796" s="8" t="s">
        <v>143</v>
      </c>
      <c r="H796" s="8" t="s">
        <v>144</v>
      </c>
      <c r="I796" s="8" t="s">
        <v>145</v>
      </c>
      <c r="J796" s="8" t="s">
        <v>146</v>
      </c>
      <c r="K796" s="8" t="s">
        <v>147</v>
      </c>
      <c r="L796" s="8" t="s">
        <v>148</v>
      </c>
      <c r="M796" s="8" t="s">
        <v>2785</v>
      </c>
      <c r="N796" s="8" t="s">
        <v>143</v>
      </c>
      <c r="O796" s="8">
        <v>894.1</v>
      </c>
      <c r="P796" s="8">
        <v>993.44</v>
      </c>
      <c r="Q796" s="8" t="s">
        <v>2597</v>
      </c>
      <c r="R796" s="8" t="s">
        <v>2124</v>
      </c>
    </row>
    <row r="797" spans="1:20" x14ac:dyDescent="0.2">
      <c r="A797" s="8" t="s">
        <v>3410</v>
      </c>
      <c r="B797" s="8" t="str">
        <f t="shared" si="24"/>
        <v>1586244008</v>
      </c>
      <c r="C797" s="8" t="str">
        <f t="shared" si="25"/>
        <v>832</v>
      </c>
      <c r="D797" s="8" t="s">
        <v>119</v>
      </c>
      <c r="F797" s="8" t="s">
        <v>128</v>
      </c>
      <c r="G797" s="8" t="s">
        <v>143</v>
      </c>
      <c r="H797" s="8" t="s">
        <v>144</v>
      </c>
      <c r="I797" s="8" t="s">
        <v>145</v>
      </c>
      <c r="J797" s="8" t="s">
        <v>146</v>
      </c>
      <c r="K797" s="8" t="s">
        <v>147</v>
      </c>
      <c r="L797" s="8" t="s">
        <v>148</v>
      </c>
      <c r="M797" s="8" t="s">
        <v>2785</v>
      </c>
      <c r="N797" s="8" t="s">
        <v>143</v>
      </c>
      <c r="O797" s="8">
        <v>894.1</v>
      </c>
      <c r="P797" s="8">
        <v>993.44</v>
      </c>
      <c r="Q797" s="8" t="s">
        <v>2597</v>
      </c>
      <c r="S797" s="8" t="s">
        <v>184</v>
      </c>
      <c r="T797" s="8">
        <v>192.54</v>
      </c>
    </row>
    <row r="798" spans="1:20" x14ac:dyDescent="0.2">
      <c r="A798" s="8" t="s">
        <v>3244</v>
      </c>
      <c r="B798" s="8" t="str">
        <f t="shared" si="24"/>
        <v>1586244008</v>
      </c>
      <c r="C798" s="8" t="str">
        <f t="shared" si="25"/>
        <v>833</v>
      </c>
      <c r="D798" s="8" t="s">
        <v>119</v>
      </c>
      <c r="F798" s="8" t="s">
        <v>128</v>
      </c>
      <c r="G798" s="8" t="s">
        <v>143</v>
      </c>
      <c r="H798" s="8" t="s">
        <v>144</v>
      </c>
      <c r="I798" s="8" t="s">
        <v>145</v>
      </c>
      <c r="J798" s="8" t="s">
        <v>146</v>
      </c>
      <c r="K798" s="8" t="s">
        <v>147</v>
      </c>
      <c r="L798" s="8" t="s">
        <v>148</v>
      </c>
      <c r="M798" s="8" t="s">
        <v>2785</v>
      </c>
      <c r="N798" s="8" t="s">
        <v>143</v>
      </c>
      <c r="O798" s="8">
        <v>894.1</v>
      </c>
      <c r="P798" s="8">
        <v>993.44</v>
      </c>
      <c r="Q798" s="8" t="s">
        <v>2597</v>
      </c>
      <c r="S798" s="8" t="s">
        <v>156</v>
      </c>
      <c r="T798" s="8">
        <v>65.66</v>
      </c>
    </row>
    <row r="799" spans="1:20" x14ac:dyDescent="0.2">
      <c r="A799" s="8" t="s">
        <v>3922</v>
      </c>
      <c r="B799" s="8" t="str">
        <f t="shared" si="24"/>
        <v>1586244008</v>
      </c>
      <c r="C799" s="8" t="str">
        <f t="shared" si="25"/>
        <v>834</v>
      </c>
      <c r="D799" s="8" t="s">
        <v>119</v>
      </c>
      <c r="F799" s="8" t="s">
        <v>128</v>
      </c>
      <c r="G799" s="8" t="s">
        <v>143</v>
      </c>
      <c r="H799" s="8" t="s">
        <v>144</v>
      </c>
      <c r="I799" s="8" t="s">
        <v>145</v>
      </c>
      <c r="J799" s="8" t="s">
        <v>146</v>
      </c>
      <c r="K799" s="8" t="s">
        <v>147</v>
      </c>
      <c r="L799" s="8" t="s">
        <v>148</v>
      </c>
      <c r="M799" s="8" t="s">
        <v>2785</v>
      </c>
      <c r="N799" s="8" t="s">
        <v>143</v>
      </c>
      <c r="O799" s="8">
        <v>894.1</v>
      </c>
      <c r="P799" s="8">
        <v>993.44</v>
      </c>
      <c r="Q799" s="8" t="s">
        <v>2597</v>
      </c>
      <c r="S799" s="8" t="s">
        <v>1185</v>
      </c>
      <c r="T799" s="8">
        <v>223.52</v>
      </c>
    </row>
    <row r="800" spans="1:20" x14ac:dyDescent="0.2">
      <c r="A800" s="8" t="s">
        <v>4619</v>
      </c>
      <c r="B800" s="8" t="str">
        <f t="shared" si="24"/>
        <v>1586244010</v>
      </c>
      <c r="C800" s="8" t="str">
        <f t="shared" si="25"/>
        <v>835</v>
      </c>
      <c r="D800" s="8" t="s">
        <v>119</v>
      </c>
      <c r="F800" s="8" t="s">
        <v>128</v>
      </c>
      <c r="G800" s="8" t="s">
        <v>143</v>
      </c>
      <c r="H800" s="8" t="s">
        <v>144</v>
      </c>
      <c r="I800" s="8" t="s">
        <v>208</v>
      </c>
      <c r="J800" s="8" t="s">
        <v>268</v>
      </c>
      <c r="K800" s="8" t="s">
        <v>210</v>
      </c>
      <c r="L800" s="8" t="s">
        <v>269</v>
      </c>
      <c r="M800" s="8" t="s">
        <v>2785</v>
      </c>
      <c r="N800" s="8" t="s">
        <v>143</v>
      </c>
      <c r="O800" s="8">
        <v>585.74</v>
      </c>
      <c r="P800" s="8">
        <v>650.82000000000005</v>
      </c>
      <c r="Q800" s="8" t="s">
        <v>2598</v>
      </c>
      <c r="R800" s="8" t="s">
        <v>270</v>
      </c>
    </row>
    <row r="801" spans="1:20" x14ac:dyDescent="0.2">
      <c r="A801" s="8" t="s">
        <v>4685</v>
      </c>
      <c r="B801" s="8" t="str">
        <f t="shared" si="24"/>
        <v>1586244010</v>
      </c>
      <c r="C801" s="8" t="str">
        <f t="shared" si="25"/>
        <v>836</v>
      </c>
      <c r="D801" s="8" t="s">
        <v>119</v>
      </c>
      <c r="F801" s="8" t="s">
        <v>128</v>
      </c>
      <c r="G801" s="8" t="s">
        <v>143</v>
      </c>
      <c r="H801" s="8" t="s">
        <v>144</v>
      </c>
      <c r="I801" s="8" t="s">
        <v>208</v>
      </c>
      <c r="J801" s="8" t="s">
        <v>268</v>
      </c>
      <c r="K801" s="8" t="s">
        <v>210</v>
      </c>
      <c r="L801" s="8" t="s">
        <v>269</v>
      </c>
      <c r="M801" s="8" t="s">
        <v>2785</v>
      </c>
      <c r="N801" s="8" t="s">
        <v>143</v>
      </c>
      <c r="O801" s="8">
        <v>585.74</v>
      </c>
      <c r="P801" s="8">
        <v>650.82000000000005</v>
      </c>
      <c r="Q801" s="8" t="s">
        <v>2598</v>
      </c>
      <c r="R801" s="8" t="s">
        <v>1409</v>
      </c>
    </row>
    <row r="802" spans="1:20" x14ac:dyDescent="0.2">
      <c r="A802" s="8" t="s">
        <v>3557</v>
      </c>
      <c r="B802" s="8" t="str">
        <f t="shared" si="24"/>
        <v>1586244010</v>
      </c>
      <c r="C802" s="8" t="str">
        <f t="shared" si="25"/>
        <v>837</v>
      </c>
      <c r="D802" s="8" t="s">
        <v>119</v>
      </c>
      <c r="F802" s="8" t="s">
        <v>128</v>
      </c>
      <c r="G802" s="8" t="s">
        <v>143</v>
      </c>
      <c r="H802" s="8" t="s">
        <v>144</v>
      </c>
      <c r="I802" s="8" t="s">
        <v>208</v>
      </c>
      <c r="J802" s="8" t="s">
        <v>268</v>
      </c>
      <c r="K802" s="8" t="s">
        <v>210</v>
      </c>
      <c r="L802" s="8" t="s">
        <v>269</v>
      </c>
      <c r="M802" s="8" t="s">
        <v>2785</v>
      </c>
      <c r="N802" s="8" t="s">
        <v>143</v>
      </c>
      <c r="O802" s="8">
        <v>585.74</v>
      </c>
      <c r="P802" s="8">
        <v>650.82000000000005</v>
      </c>
      <c r="Q802" s="8" t="s">
        <v>2598</v>
      </c>
      <c r="R802" s="8" t="s">
        <v>2259</v>
      </c>
    </row>
    <row r="803" spans="1:20" x14ac:dyDescent="0.2">
      <c r="A803" s="8" t="s">
        <v>4373</v>
      </c>
      <c r="B803" s="8" t="str">
        <f t="shared" si="24"/>
        <v>1586244010</v>
      </c>
      <c r="C803" s="8" t="str">
        <f t="shared" si="25"/>
        <v>838</v>
      </c>
      <c r="D803" s="8" t="s">
        <v>119</v>
      </c>
      <c r="F803" s="8" t="s">
        <v>128</v>
      </c>
      <c r="G803" s="8" t="s">
        <v>143</v>
      </c>
      <c r="H803" s="8" t="s">
        <v>144</v>
      </c>
      <c r="I803" s="8" t="s">
        <v>208</v>
      </c>
      <c r="J803" s="8" t="s">
        <v>268</v>
      </c>
      <c r="K803" s="8" t="s">
        <v>210</v>
      </c>
      <c r="L803" s="8" t="s">
        <v>269</v>
      </c>
      <c r="M803" s="8" t="s">
        <v>2785</v>
      </c>
      <c r="N803" s="8" t="s">
        <v>143</v>
      </c>
      <c r="O803" s="8">
        <v>585.74</v>
      </c>
      <c r="P803" s="8">
        <v>650.82000000000005</v>
      </c>
      <c r="Q803" s="8" t="s">
        <v>2598</v>
      </c>
      <c r="R803" s="8" t="s">
        <v>1925</v>
      </c>
    </row>
    <row r="804" spans="1:20" x14ac:dyDescent="0.2">
      <c r="A804" s="8" t="s">
        <v>3027</v>
      </c>
      <c r="B804" s="8" t="str">
        <f t="shared" si="24"/>
        <v>1586244010</v>
      </c>
      <c r="C804" s="8" t="str">
        <f t="shared" si="25"/>
        <v>839</v>
      </c>
      <c r="D804" s="8" t="s">
        <v>119</v>
      </c>
      <c r="F804" s="8" t="s">
        <v>128</v>
      </c>
      <c r="G804" s="8" t="s">
        <v>143</v>
      </c>
      <c r="H804" s="8" t="s">
        <v>144</v>
      </c>
      <c r="I804" s="8" t="s">
        <v>208</v>
      </c>
      <c r="J804" s="8" t="s">
        <v>268</v>
      </c>
      <c r="K804" s="8" t="s">
        <v>210</v>
      </c>
      <c r="L804" s="8" t="s">
        <v>269</v>
      </c>
      <c r="M804" s="8" t="s">
        <v>2785</v>
      </c>
      <c r="N804" s="8" t="s">
        <v>143</v>
      </c>
      <c r="O804" s="8">
        <v>585.74</v>
      </c>
      <c r="P804" s="8">
        <v>650.82000000000005</v>
      </c>
      <c r="Q804" s="8" t="s">
        <v>2598</v>
      </c>
      <c r="S804" s="8" t="s">
        <v>184</v>
      </c>
      <c r="T804" s="8">
        <v>93.69</v>
      </c>
    </row>
    <row r="805" spans="1:20" x14ac:dyDescent="0.2">
      <c r="A805" s="8" t="s">
        <v>3876</v>
      </c>
      <c r="B805" s="8" t="str">
        <f t="shared" si="24"/>
        <v>1586244010</v>
      </c>
      <c r="C805" s="8" t="str">
        <f t="shared" si="25"/>
        <v>840</v>
      </c>
      <c r="D805" s="8" t="s">
        <v>119</v>
      </c>
      <c r="F805" s="8" t="s">
        <v>128</v>
      </c>
      <c r="G805" s="8" t="s">
        <v>143</v>
      </c>
      <c r="H805" s="8" t="s">
        <v>144</v>
      </c>
      <c r="I805" s="8" t="s">
        <v>208</v>
      </c>
      <c r="J805" s="8" t="s">
        <v>268</v>
      </c>
      <c r="K805" s="8" t="s">
        <v>210</v>
      </c>
      <c r="L805" s="8" t="s">
        <v>269</v>
      </c>
      <c r="M805" s="8" t="s">
        <v>2785</v>
      </c>
      <c r="N805" s="8" t="s">
        <v>143</v>
      </c>
      <c r="O805" s="8">
        <v>585.74</v>
      </c>
      <c r="P805" s="8">
        <v>650.82000000000005</v>
      </c>
      <c r="Q805" s="8" t="s">
        <v>2598</v>
      </c>
      <c r="S805" s="8" t="s">
        <v>156</v>
      </c>
      <c r="T805" s="8">
        <v>61.97</v>
      </c>
    </row>
    <row r="806" spans="1:20" x14ac:dyDescent="0.2">
      <c r="A806" s="8" t="s">
        <v>3803</v>
      </c>
      <c r="B806" s="8" t="str">
        <f t="shared" si="24"/>
        <v>1586244014</v>
      </c>
      <c r="C806" s="8" t="str">
        <f t="shared" si="25"/>
        <v>841</v>
      </c>
      <c r="D806" s="8" t="s">
        <v>119</v>
      </c>
      <c r="F806" s="8" t="s">
        <v>128</v>
      </c>
      <c r="G806" s="8" t="s">
        <v>278</v>
      </c>
      <c r="H806" s="8" t="s">
        <v>279</v>
      </c>
      <c r="I806" s="8" t="s">
        <v>131</v>
      </c>
      <c r="J806" s="8" t="s">
        <v>813</v>
      </c>
      <c r="K806" s="8" t="s">
        <v>814</v>
      </c>
      <c r="L806" s="8" t="s">
        <v>134</v>
      </c>
      <c r="M806" s="8" t="s">
        <v>2785</v>
      </c>
      <c r="N806" s="8" t="s">
        <v>278</v>
      </c>
      <c r="O806" s="8">
        <v>712.62</v>
      </c>
      <c r="P806" s="8">
        <v>791.8</v>
      </c>
      <c r="Q806" s="8" t="s">
        <v>2599</v>
      </c>
      <c r="R806" s="8" t="s">
        <v>1853</v>
      </c>
    </row>
    <row r="807" spans="1:20" x14ac:dyDescent="0.2">
      <c r="A807" s="8" t="s">
        <v>4160</v>
      </c>
      <c r="B807" s="8" t="str">
        <f t="shared" si="24"/>
        <v>1586244014</v>
      </c>
      <c r="C807" s="8" t="str">
        <f t="shared" si="25"/>
        <v>842</v>
      </c>
      <c r="D807" s="8" t="s">
        <v>119</v>
      </c>
      <c r="F807" s="8" t="s">
        <v>128</v>
      </c>
      <c r="G807" s="8" t="s">
        <v>278</v>
      </c>
      <c r="H807" s="8" t="s">
        <v>279</v>
      </c>
      <c r="I807" s="8" t="s">
        <v>131</v>
      </c>
      <c r="J807" s="8" t="s">
        <v>813</v>
      </c>
      <c r="K807" s="8" t="s">
        <v>814</v>
      </c>
      <c r="L807" s="8" t="s">
        <v>134</v>
      </c>
      <c r="M807" s="8" t="s">
        <v>2785</v>
      </c>
      <c r="N807" s="8" t="s">
        <v>278</v>
      </c>
      <c r="O807" s="8">
        <v>712.62</v>
      </c>
      <c r="P807" s="8">
        <v>791.8</v>
      </c>
      <c r="Q807" s="8" t="s">
        <v>2599</v>
      </c>
      <c r="R807" s="8" t="s">
        <v>2043</v>
      </c>
    </row>
    <row r="808" spans="1:20" x14ac:dyDescent="0.2">
      <c r="A808" s="8" t="s">
        <v>3125</v>
      </c>
      <c r="B808" s="8" t="str">
        <f t="shared" si="24"/>
        <v>1586244014</v>
      </c>
      <c r="C808" s="8" t="str">
        <f t="shared" si="25"/>
        <v>843</v>
      </c>
      <c r="D808" s="8" t="s">
        <v>119</v>
      </c>
      <c r="F808" s="8" t="s">
        <v>128</v>
      </c>
      <c r="G808" s="8" t="s">
        <v>278</v>
      </c>
      <c r="H808" s="8" t="s">
        <v>279</v>
      </c>
      <c r="I808" s="8" t="s">
        <v>131</v>
      </c>
      <c r="J808" s="8" t="s">
        <v>813</v>
      </c>
      <c r="K808" s="8" t="s">
        <v>814</v>
      </c>
      <c r="L808" s="8" t="s">
        <v>134</v>
      </c>
      <c r="M808" s="8" t="s">
        <v>2785</v>
      </c>
      <c r="N808" s="8" t="s">
        <v>278</v>
      </c>
      <c r="O808" s="8">
        <v>712.62</v>
      </c>
      <c r="P808" s="8">
        <v>791.8</v>
      </c>
      <c r="Q808" s="8" t="s">
        <v>2599</v>
      </c>
      <c r="R808" s="8" t="s">
        <v>2424</v>
      </c>
    </row>
    <row r="809" spans="1:20" x14ac:dyDescent="0.2">
      <c r="A809" s="8" t="s">
        <v>2937</v>
      </c>
      <c r="B809" s="8" t="str">
        <f t="shared" si="24"/>
        <v>1586244014</v>
      </c>
      <c r="C809" s="8" t="str">
        <f t="shared" si="25"/>
        <v>844</v>
      </c>
      <c r="D809" s="8" t="s">
        <v>119</v>
      </c>
      <c r="F809" s="8" t="s">
        <v>128</v>
      </c>
      <c r="G809" s="8" t="s">
        <v>278</v>
      </c>
      <c r="H809" s="8" t="s">
        <v>279</v>
      </c>
      <c r="I809" s="8" t="s">
        <v>131</v>
      </c>
      <c r="J809" s="8" t="s">
        <v>813</v>
      </c>
      <c r="K809" s="8" t="s">
        <v>814</v>
      </c>
      <c r="L809" s="8" t="s">
        <v>134</v>
      </c>
      <c r="M809" s="8" t="s">
        <v>2785</v>
      </c>
      <c r="N809" s="8" t="s">
        <v>278</v>
      </c>
      <c r="O809" s="8">
        <v>712.62</v>
      </c>
      <c r="P809" s="8">
        <v>791.8</v>
      </c>
      <c r="Q809" s="8" t="s">
        <v>2599</v>
      </c>
      <c r="R809" s="8" t="s">
        <v>815</v>
      </c>
    </row>
    <row r="810" spans="1:20" x14ac:dyDescent="0.2">
      <c r="A810" s="8" t="s">
        <v>3087</v>
      </c>
      <c r="B810" s="8" t="str">
        <f t="shared" si="24"/>
        <v>1586244014</v>
      </c>
      <c r="C810" s="8" t="str">
        <f t="shared" si="25"/>
        <v>845</v>
      </c>
      <c r="D810" s="8" t="s">
        <v>119</v>
      </c>
      <c r="F810" s="8" t="s">
        <v>128</v>
      </c>
      <c r="G810" s="8" t="s">
        <v>278</v>
      </c>
      <c r="H810" s="8" t="s">
        <v>279</v>
      </c>
      <c r="I810" s="8" t="s">
        <v>131</v>
      </c>
      <c r="J810" s="8" t="s">
        <v>813</v>
      </c>
      <c r="K810" s="8" t="s">
        <v>814</v>
      </c>
      <c r="L810" s="8" t="s">
        <v>134</v>
      </c>
      <c r="M810" s="8" t="s">
        <v>2785</v>
      </c>
      <c r="N810" s="8" t="s">
        <v>278</v>
      </c>
      <c r="O810" s="8">
        <v>712.62</v>
      </c>
      <c r="P810" s="8">
        <v>791.8</v>
      </c>
      <c r="Q810" s="8" t="s">
        <v>2599</v>
      </c>
      <c r="S810" s="8" t="s">
        <v>393</v>
      </c>
      <c r="T810" s="8">
        <v>169.67</v>
      </c>
    </row>
    <row r="811" spans="1:20" x14ac:dyDescent="0.2">
      <c r="A811" s="8" t="s">
        <v>3754</v>
      </c>
      <c r="B811" s="8" t="str">
        <f t="shared" si="24"/>
        <v>1586244014</v>
      </c>
      <c r="C811" s="8" t="str">
        <f t="shared" si="25"/>
        <v>846</v>
      </c>
      <c r="D811" s="8" t="s">
        <v>119</v>
      </c>
      <c r="F811" s="8" t="s">
        <v>128</v>
      </c>
      <c r="G811" s="8" t="s">
        <v>278</v>
      </c>
      <c r="H811" s="8" t="s">
        <v>279</v>
      </c>
      <c r="I811" s="8" t="s">
        <v>131</v>
      </c>
      <c r="J811" s="8" t="s">
        <v>813</v>
      </c>
      <c r="K811" s="8" t="s">
        <v>814</v>
      </c>
      <c r="L811" s="8" t="s">
        <v>134</v>
      </c>
      <c r="M811" s="8" t="s">
        <v>2785</v>
      </c>
      <c r="N811" s="8" t="s">
        <v>278</v>
      </c>
      <c r="O811" s="8">
        <v>712.62</v>
      </c>
      <c r="P811" s="8">
        <v>791.8</v>
      </c>
      <c r="Q811" s="8" t="s">
        <v>2599</v>
      </c>
      <c r="S811" s="8" t="s">
        <v>1078</v>
      </c>
      <c r="T811" s="8">
        <v>77.459999999999994</v>
      </c>
    </row>
    <row r="812" spans="1:20" x14ac:dyDescent="0.2">
      <c r="A812" s="8" t="s">
        <v>3084</v>
      </c>
      <c r="B812" s="8" t="str">
        <f t="shared" si="24"/>
        <v>1586244017</v>
      </c>
      <c r="C812" s="8" t="str">
        <f t="shared" si="25"/>
        <v>847</v>
      </c>
      <c r="D812" s="8" t="s">
        <v>119</v>
      </c>
      <c r="F812" s="8" t="s">
        <v>128</v>
      </c>
      <c r="G812" s="8" t="s">
        <v>278</v>
      </c>
      <c r="H812" s="8" t="s">
        <v>279</v>
      </c>
      <c r="I812" s="8" t="s">
        <v>193</v>
      </c>
      <c r="J812" s="8" t="s">
        <v>280</v>
      </c>
      <c r="K812" s="8" t="s">
        <v>281</v>
      </c>
      <c r="L812" s="8" t="s">
        <v>282</v>
      </c>
      <c r="M812" s="8" t="s">
        <v>2785</v>
      </c>
      <c r="N812" s="8" t="s">
        <v>278</v>
      </c>
      <c r="O812" s="8">
        <v>712.62</v>
      </c>
      <c r="P812" s="8">
        <v>791.8</v>
      </c>
      <c r="Q812" s="8" t="s">
        <v>2599</v>
      </c>
      <c r="R812" s="8" t="s">
        <v>283</v>
      </c>
    </row>
    <row r="813" spans="1:20" x14ac:dyDescent="0.2">
      <c r="A813" s="8" t="s">
        <v>3439</v>
      </c>
      <c r="B813" s="8" t="str">
        <f t="shared" si="24"/>
        <v>1586244017</v>
      </c>
      <c r="C813" s="8" t="str">
        <f t="shared" si="25"/>
        <v>848</v>
      </c>
      <c r="D813" s="8" t="s">
        <v>119</v>
      </c>
      <c r="F813" s="8" t="s">
        <v>128</v>
      </c>
      <c r="G813" s="8" t="s">
        <v>278</v>
      </c>
      <c r="H813" s="8" t="s">
        <v>279</v>
      </c>
      <c r="I813" s="8" t="s">
        <v>193</v>
      </c>
      <c r="J813" s="8" t="s">
        <v>280</v>
      </c>
      <c r="K813" s="8" t="s">
        <v>281</v>
      </c>
      <c r="L813" s="8" t="s">
        <v>282</v>
      </c>
      <c r="M813" s="8" t="s">
        <v>2785</v>
      </c>
      <c r="N813" s="8" t="s">
        <v>278</v>
      </c>
      <c r="O813" s="8">
        <v>712.62</v>
      </c>
      <c r="P813" s="8">
        <v>791.8</v>
      </c>
      <c r="Q813" s="8" t="s">
        <v>2599</v>
      </c>
      <c r="R813" s="8" t="s">
        <v>2438</v>
      </c>
    </row>
    <row r="814" spans="1:20" x14ac:dyDescent="0.2">
      <c r="A814" s="8" t="s">
        <v>2910</v>
      </c>
      <c r="B814" s="8" t="str">
        <f t="shared" si="24"/>
        <v>1586244017</v>
      </c>
      <c r="C814" s="8" t="str">
        <f t="shared" si="25"/>
        <v>849</v>
      </c>
      <c r="D814" s="8" t="s">
        <v>119</v>
      </c>
      <c r="F814" s="8" t="s">
        <v>128</v>
      </c>
      <c r="G814" s="8" t="s">
        <v>278</v>
      </c>
      <c r="H814" s="8" t="s">
        <v>279</v>
      </c>
      <c r="I814" s="8" t="s">
        <v>193</v>
      </c>
      <c r="J814" s="8" t="s">
        <v>280</v>
      </c>
      <c r="K814" s="8" t="s">
        <v>281</v>
      </c>
      <c r="L814" s="8" t="s">
        <v>282</v>
      </c>
      <c r="M814" s="8" t="s">
        <v>2785</v>
      </c>
      <c r="N814" s="8" t="s">
        <v>278</v>
      </c>
      <c r="O814" s="8">
        <v>712.62</v>
      </c>
      <c r="P814" s="8">
        <v>791.8</v>
      </c>
      <c r="Q814" s="8" t="s">
        <v>2599</v>
      </c>
      <c r="R814" s="8" t="s">
        <v>2121</v>
      </c>
    </row>
    <row r="815" spans="1:20" x14ac:dyDescent="0.2">
      <c r="A815" s="8" t="s">
        <v>4163</v>
      </c>
      <c r="B815" s="8" t="str">
        <f t="shared" si="24"/>
        <v>1586244017</v>
      </c>
      <c r="C815" s="8" t="str">
        <f t="shared" si="25"/>
        <v>850</v>
      </c>
      <c r="D815" s="8" t="s">
        <v>119</v>
      </c>
      <c r="F815" s="8" t="s">
        <v>128</v>
      </c>
      <c r="G815" s="8" t="s">
        <v>278</v>
      </c>
      <c r="H815" s="8" t="s">
        <v>279</v>
      </c>
      <c r="I815" s="8" t="s">
        <v>193</v>
      </c>
      <c r="J815" s="8" t="s">
        <v>280</v>
      </c>
      <c r="K815" s="8" t="s">
        <v>281</v>
      </c>
      <c r="L815" s="8" t="s">
        <v>282</v>
      </c>
      <c r="M815" s="8" t="s">
        <v>2785</v>
      </c>
      <c r="N815" s="8" t="s">
        <v>278</v>
      </c>
      <c r="O815" s="8">
        <v>712.62</v>
      </c>
      <c r="P815" s="8">
        <v>791.8</v>
      </c>
      <c r="Q815" s="8" t="s">
        <v>2599</v>
      </c>
      <c r="R815" s="8" t="s">
        <v>2272</v>
      </c>
    </row>
    <row r="816" spans="1:20" x14ac:dyDescent="0.2">
      <c r="A816" s="8" t="s">
        <v>3548</v>
      </c>
      <c r="B816" s="8" t="str">
        <f t="shared" si="24"/>
        <v>1586244017</v>
      </c>
      <c r="C816" s="8" t="str">
        <f t="shared" si="25"/>
        <v>851</v>
      </c>
      <c r="D816" s="8" t="s">
        <v>119</v>
      </c>
      <c r="F816" s="8" t="s">
        <v>128</v>
      </c>
      <c r="G816" s="8" t="s">
        <v>278</v>
      </c>
      <c r="H816" s="8" t="s">
        <v>279</v>
      </c>
      <c r="I816" s="8" t="s">
        <v>193</v>
      </c>
      <c r="J816" s="8" t="s">
        <v>280</v>
      </c>
      <c r="K816" s="8" t="s">
        <v>281</v>
      </c>
      <c r="L816" s="8" t="s">
        <v>282</v>
      </c>
      <c r="M816" s="8" t="s">
        <v>2785</v>
      </c>
      <c r="N816" s="8" t="s">
        <v>278</v>
      </c>
      <c r="O816" s="8">
        <v>712.62</v>
      </c>
      <c r="P816" s="8">
        <v>791.8</v>
      </c>
      <c r="Q816" s="8" t="s">
        <v>2599</v>
      </c>
      <c r="S816" s="8" t="s">
        <v>184</v>
      </c>
      <c r="T816" s="8">
        <v>169.67</v>
      </c>
    </row>
    <row r="817" spans="1:20" x14ac:dyDescent="0.2">
      <c r="A817" s="8" t="s">
        <v>4146</v>
      </c>
      <c r="B817" s="8" t="str">
        <f t="shared" si="24"/>
        <v>1586244017</v>
      </c>
      <c r="C817" s="8" t="str">
        <f t="shared" si="25"/>
        <v>852</v>
      </c>
      <c r="D817" s="8" t="s">
        <v>119</v>
      </c>
      <c r="F817" s="8" t="s">
        <v>128</v>
      </c>
      <c r="G817" s="8" t="s">
        <v>278</v>
      </c>
      <c r="H817" s="8" t="s">
        <v>279</v>
      </c>
      <c r="I817" s="8" t="s">
        <v>193</v>
      </c>
      <c r="J817" s="8" t="s">
        <v>280</v>
      </c>
      <c r="K817" s="8" t="s">
        <v>281</v>
      </c>
      <c r="L817" s="8" t="s">
        <v>282</v>
      </c>
      <c r="M817" s="8" t="s">
        <v>2785</v>
      </c>
      <c r="N817" s="8" t="s">
        <v>278</v>
      </c>
      <c r="O817" s="8">
        <v>712.62</v>
      </c>
      <c r="P817" s="8">
        <v>791.8</v>
      </c>
      <c r="Q817" s="8" t="s">
        <v>2599</v>
      </c>
      <c r="S817" s="8" t="s">
        <v>845</v>
      </c>
      <c r="T817" s="8">
        <v>202.87</v>
      </c>
    </row>
    <row r="818" spans="1:20" x14ac:dyDescent="0.2">
      <c r="A818" s="8" t="s">
        <v>3792</v>
      </c>
      <c r="B818" s="8" t="str">
        <f t="shared" si="24"/>
        <v>1586244019</v>
      </c>
      <c r="C818" s="8" t="str">
        <f t="shared" si="25"/>
        <v>853</v>
      </c>
      <c r="D818" s="8" t="s">
        <v>119</v>
      </c>
      <c r="F818" s="8" t="s">
        <v>128</v>
      </c>
      <c r="G818" s="8" t="s">
        <v>278</v>
      </c>
      <c r="H818" s="8" t="s">
        <v>279</v>
      </c>
      <c r="I818" s="8" t="s">
        <v>131</v>
      </c>
      <c r="J818" s="8" t="s">
        <v>1350</v>
      </c>
      <c r="K818" s="8" t="s">
        <v>290</v>
      </c>
      <c r="L818" s="8" t="s">
        <v>838</v>
      </c>
      <c r="M818" s="8" t="s">
        <v>2785</v>
      </c>
      <c r="N818" s="8" t="s">
        <v>278</v>
      </c>
      <c r="O818" s="8">
        <v>691.23</v>
      </c>
      <c r="P818" s="8">
        <v>768.03</v>
      </c>
      <c r="Q818" s="8" t="s">
        <v>2600</v>
      </c>
      <c r="R818" s="8" t="s">
        <v>1351</v>
      </c>
    </row>
    <row r="819" spans="1:20" x14ac:dyDescent="0.2">
      <c r="A819" s="8" t="s">
        <v>4759</v>
      </c>
      <c r="B819" s="8" t="str">
        <f t="shared" si="24"/>
        <v>1586244019</v>
      </c>
      <c r="C819" s="8" t="str">
        <f t="shared" si="25"/>
        <v>854</v>
      </c>
      <c r="D819" s="8" t="s">
        <v>119</v>
      </c>
      <c r="F819" s="8" t="s">
        <v>128</v>
      </c>
      <c r="G819" s="8" t="s">
        <v>278</v>
      </c>
      <c r="H819" s="8" t="s">
        <v>279</v>
      </c>
      <c r="I819" s="8" t="s">
        <v>131</v>
      </c>
      <c r="J819" s="8" t="s">
        <v>1350</v>
      </c>
      <c r="K819" s="8" t="s">
        <v>290</v>
      </c>
      <c r="L819" s="8" t="s">
        <v>838</v>
      </c>
      <c r="M819" s="8" t="s">
        <v>2785</v>
      </c>
      <c r="N819" s="8" t="s">
        <v>278</v>
      </c>
      <c r="O819" s="8">
        <v>691.23</v>
      </c>
      <c r="P819" s="8">
        <v>768.03</v>
      </c>
      <c r="Q819" s="8" t="s">
        <v>2600</v>
      </c>
      <c r="R819" s="8" t="s">
        <v>2414</v>
      </c>
    </row>
    <row r="820" spans="1:20" x14ac:dyDescent="0.2">
      <c r="A820" s="8" t="s">
        <v>3173</v>
      </c>
      <c r="B820" s="8" t="str">
        <f t="shared" si="24"/>
        <v>1586244019</v>
      </c>
      <c r="C820" s="8" t="str">
        <f t="shared" si="25"/>
        <v>855</v>
      </c>
      <c r="D820" s="8" t="s">
        <v>119</v>
      </c>
      <c r="F820" s="8" t="s">
        <v>128</v>
      </c>
      <c r="G820" s="8" t="s">
        <v>278</v>
      </c>
      <c r="H820" s="8" t="s">
        <v>279</v>
      </c>
      <c r="I820" s="8" t="s">
        <v>131</v>
      </c>
      <c r="J820" s="8" t="s">
        <v>1350</v>
      </c>
      <c r="K820" s="8" t="s">
        <v>290</v>
      </c>
      <c r="L820" s="8" t="s">
        <v>838</v>
      </c>
      <c r="M820" s="8" t="s">
        <v>2785</v>
      </c>
      <c r="N820" s="8" t="s">
        <v>278</v>
      </c>
      <c r="O820" s="8">
        <v>691.23</v>
      </c>
      <c r="P820" s="8">
        <v>768.03</v>
      </c>
      <c r="Q820" s="8" t="s">
        <v>2600</v>
      </c>
      <c r="R820" s="8" t="s">
        <v>2278</v>
      </c>
    </row>
    <row r="821" spans="1:20" x14ac:dyDescent="0.2">
      <c r="A821" s="8" t="s">
        <v>3780</v>
      </c>
      <c r="B821" s="8" t="str">
        <f t="shared" si="24"/>
        <v>1586244019</v>
      </c>
      <c r="C821" s="8" t="str">
        <f t="shared" si="25"/>
        <v>856</v>
      </c>
      <c r="D821" s="8" t="s">
        <v>119</v>
      </c>
      <c r="F821" s="8" t="s">
        <v>128</v>
      </c>
      <c r="G821" s="8" t="s">
        <v>278</v>
      </c>
      <c r="H821" s="8" t="s">
        <v>279</v>
      </c>
      <c r="I821" s="8" t="s">
        <v>131</v>
      </c>
      <c r="J821" s="8" t="s">
        <v>1350</v>
      </c>
      <c r="K821" s="8" t="s">
        <v>290</v>
      </c>
      <c r="L821" s="8" t="s">
        <v>838</v>
      </c>
      <c r="M821" s="8" t="s">
        <v>2785</v>
      </c>
      <c r="N821" s="8" t="s">
        <v>278</v>
      </c>
      <c r="O821" s="8">
        <v>691.23</v>
      </c>
      <c r="P821" s="8">
        <v>768.03</v>
      </c>
      <c r="Q821" s="8" t="s">
        <v>2600</v>
      </c>
      <c r="R821" s="8" t="s">
        <v>1516</v>
      </c>
    </row>
    <row r="822" spans="1:20" x14ac:dyDescent="0.2">
      <c r="A822" s="8" t="s">
        <v>4082</v>
      </c>
      <c r="B822" s="8" t="str">
        <f t="shared" si="24"/>
        <v>1586244019</v>
      </c>
      <c r="C822" s="8" t="str">
        <f t="shared" si="25"/>
        <v>857</v>
      </c>
      <c r="D822" s="8" t="s">
        <v>119</v>
      </c>
      <c r="F822" s="8" t="s">
        <v>128</v>
      </c>
      <c r="G822" s="8" t="s">
        <v>278</v>
      </c>
      <c r="H822" s="8" t="s">
        <v>279</v>
      </c>
      <c r="I822" s="8" t="s">
        <v>131</v>
      </c>
      <c r="J822" s="8" t="s">
        <v>1350</v>
      </c>
      <c r="K822" s="8" t="s">
        <v>290</v>
      </c>
      <c r="L822" s="8" t="s">
        <v>838</v>
      </c>
      <c r="M822" s="8" t="s">
        <v>2785</v>
      </c>
      <c r="N822" s="8" t="s">
        <v>278</v>
      </c>
      <c r="O822" s="8">
        <v>691.23</v>
      </c>
      <c r="P822" s="8">
        <v>768.03</v>
      </c>
      <c r="Q822" s="8" t="s">
        <v>2600</v>
      </c>
      <c r="R822" s="8" t="s">
        <v>1995</v>
      </c>
    </row>
    <row r="823" spans="1:20" x14ac:dyDescent="0.2">
      <c r="A823" s="8" t="s">
        <v>3949</v>
      </c>
      <c r="B823" s="8" t="str">
        <f t="shared" si="24"/>
        <v>1586244019</v>
      </c>
      <c r="C823" s="8" t="str">
        <f t="shared" si="25"/>
        <v>858</v>
      </c>
      <c r="D823" s="8" t="s">
        <v>119</v>
      </c>
      <c r="F823" s="8" t="s">
        <v>128</v>
      </c>
      <c r="G823" s="8" t="s">
        <v>278</v>
      </c>
      <c r="H823" s="8" t="s">
        <v>279</v>
      </c>
      <c r="I823" s="8" t="s">
        <v>131</v>
      </c>
      <c r="J823" s="8" t="s">
        <v>1350</v>
      </c>
      <c r="K823" s="8" t="s">
        <v>290</v>
      </c>
      <c r="L823" s="8" t="s">
        <v>838</v>
      </c>
      <c r="M823" s="8" t="s">
        <v>2785</v>
      </c>
      <c r="N823" s="8" t="s">
        <v>278</v>
      </c>
      <c r="O823" s="8">
        <v>691.23</v>
      </c>
      <c r="P823" s="8">
        <v>768.03</v>
      </c>
      <c r="Q823" s="8" t="s">
        <v>2600</v>
      </c>
      <c r="S823" s="8" t="s">
        <v>393</v>
      </c>
      <c r="T823" s="8">
        <v>169.67</v>
      </c>
    </row>
    <row r="824" spans="1:20" x14ac:dyDescent="0.2">
      <c r="A824" s="8" t="s">
        <v>4186</v>
      </c>
      <c r="B824" s="8" t="str">
        <f t="shared" si="24"/>
        <v>1586244021</v>
      </c>
      <c r="C824" s="8" t="str">
        <f t="shared" si="25"/>
        <v>859</v>
      </c>
      <c r="D824" s="8" t="s">
        <v>119</v>
      </c>
      <c r="F824" s="8" t="s">
        <v>128</v>
      </c>
      <c r="G824" s="8" t="s">
        <v>278</v>
      </c>
      <c r="H824" s="8" t="s">
        <v>279</v>
      </c>
      <c r="I824" s="8" t="s">
        <v>193</v>
      </c>
      <c r="J824" s="8" t="s">
        <v>289</v>
      </c>
      <c r="K824" s="8" t="s">
        <v>290</v>
      </c>
      <c r="L824" s="8" t="s">
        <v>291</v>
      </c>
      <c r="M824" s="8" t="s">
        <v>2785</v>
      </c>
      <c r="N824" s="8" t="s">
        <v>278</v>
      </c>
      <c r="O824" s="8">
        <v>557.32000000000005</v>
      </c>
      <c r="P824" s="8">
        <v>557.32000000000005</v>
      </c>
      <c r="Q824" s="8" t="s">
        <v>2601</v>
      </c>
      <c r="R824" s="8" t="s">
        <v>1444</v>
      </c>
    </row>
    <row r="825" spans="1:20" x14ac:dyDescent="0.2">
      <c r="A825" s="8" t="s">
        <v>3625</v>
      </c>
      <c r="B825" s="8" t="str">
        <f t="shared" si="24"/>
        <v>1586244021</v>
      </c>
      <c r="C825" s="8" t="str">
        <f t="shared" si="25"/>
        <v>860</v>
      </c>
      <c r="D825" s="8" t="s">
        <v>119</v>
      </c>
      <c r="F825" s="8" t="s">
        <v>128</v>
      </c>
      <c r="G825" s="8" t="s">
        <v>278</v>
      </c>
      <c r="H825" s="8" t="s">
        <v>279</v>
      </c>
      <c r="I825" s="8" t="s">
        <v>193</v>
      </c>
      <c r="J825" s="8" t="s">
        <v>289</v>
      </c>
      <c r="K825" s="8" t="s">
        <v>290</v>
      </c>
      <c r="L825" s="8" t="s">
        <v>291</v>
      </c>
      <c r="M825" s="8" t="s">
        <v>2785</v>
      </c>
      <c r="N825" s="8" t="s">
        <v>278</v>
      </c>
      <c r="O825" s="8">
        <v>557.32000000000005</v>
      </c>
      <c r="P825" s="8">
        <v>557.32000000000005</v>
      </c>
      <c r="Q825" s="8" t="s">
        <v>2601</v>
      </c>
      <c r="R825" s="8" t="s">
        <v>1498</v>
      </c>
    </row>
    <row r="826" spans="1:20" x14ac:dyDescent="0.2">
      <c r="A826" s="8" t="s">
        <v>4581</v>
      </c>
      <c r="B826" s="8" t="str">
        <f t="shared" si="24"/>
        <v>1586244021</v>
      </c>
      <c r="C826" s="8" t="str">
        <f t="shared" si="25"/>
        <v>861</v>
      </c>
      <c r="D826" s="8" t="s">
        <v>119</v>
      </c>
      <c r="F826" s="8" t="s">
        <v>128</v>
      </c>
      <c r="G826" s="8" t="s">
        <v>278</v>
      </c>
      <c r="H826" s="8" t="s">
        <v>279</v>
      </c>
      <c r="I826" s="8" t="s">
        <v>193</v>
      </c>
      <c r="J826" s="8" t="s">
        <v>289</v>
      </c>
      <c r="K826" s="8" t="s">
        <v>290</v>
      </c>
      <c r="L826" s="8" t="s">
        <v>291</v>
      </c>
      <c r="M826" s="8" t="s">
        <v>2785</v>
      </c>
      <c r="N826" s="8" t="s">
        <v>278</v>
      </c>
      <c r="O826" s="8">
        <v>557.32000000000005</v>
      </c>
      <c r="P826" s="8">
        <v>557.32000000000005</v>
      </c>
      <c r="Q826" s="8" t="s">
        <v>2601</v>
      </c>
      <c r="R826" s="8" t="s">
        <v>940</v>
      </c>
    </row>
    <row r="827" spans="1:20" x14ac:dyDescent="0.2">
      <c r="A827" s="8" t="s">
        <v>2878</v>
      </c>
      <c r="B827" s="8" t="str">
        <f t="shared" si="24"/>
        <v>1586244021</v>
      </c>
      <c r="C827" s="8" t="str">
        <f t="shared" si="25"/>
        <v>862</v>
      </c>
      <c r="D827" s="8" t="s">
        <v>119</v>
      </c>
      <c r="F827" s="8" t="s">
        <v>128</v>
      </c>
      <c r="G827" s="8" t="s">
        <v>278</v>
      </c>
      <c r="H827" s="8" t="s">
        <v>279</v>
      </c>
      <c r="I827" s="8" t="s">
        <v>193</v>
      </c>
      <c r="J827" s="8" t="s">
        <v>289</v>
      </c>
      <c r="K827" s="8" t="s">
        <v>290</v>
      </c>
      <c r="L827" s="8" t="s">
        <v>291</v>
      </c>
      <c r="M827" s="8" t="s">
        <v>2785</v>
      </c>
      <c r="N827" s="8" t="s">
        <v>278</v>
      </c>
      <c r="O827" s="8">
        <v>557.32000000000005</v>
      </c>
      <c r="P827" s="8">
        <v>557.32000000000005</v>
      </c>
      <c r="Q827" s="8" t="s">
        <v>2601</v>
      </c>
      <c r="R827" s="8" t="s">
        <v>606</v>
      </c>
    </row>
    <row r="828" spans="1:20" x14ac:dyDescent="0.2">
      <c r="A828" s="8" t="s">
        <v>4804</v>
      </c>
      <c r="B828" s="8" t="str">
        <f t="shared" si="24"/>
        <v>1586244021</v>
      </c>
      <c r="C828" s="8" t="str">
        <f t="shared" si="25"/>
        <v>863</v>
      </c>
      <c r="D828" s="8" t="s">
        <v>119</v>
      </c>
      <c r="F828" s="8" t="s">
        <v>128</v>
      </c>
      <c r="G828" s="8" t="s">
        <v>278</v>
      </c>
      <c r="H828" s="8" t="s">
        <v>279</v>
      </c>
      <c r="I828" s="8" t="s">
        <v>193</v>
      </c>
      <c r="J828" s="8" t="s">
        <v>289</v>
      </c>
      <c r="K828" s="8" t="s">
        <v>290</v>
      </c>
      <c r="L828" s="8" t="s">
        <v>291</v>
      </c>
      <c r="M828" s="8" t="s">
        <v>2785</v>
      </c>
      <c r="N828" s="8" t="s">
        <v>278</v>
      </c>
      <c r="O828" s="8">
        <v>557.32000000000005</v>
      </c>
      <c r="P828" s="8">
        <v>557.32000000000005</v>
      </c>
      <c r="Q828" s="8" t="s">
        <v>2601</v>
      </c>
      <c r="R828" s="8" t="s">
        <v>292</v>
      </c>
    </row>
    <row r="829" spans="1:20" x14ac:dyDescent="0.2">
      <c r="A829" s="8" t="s">
        <v>4791</v>
      </c>
      <c r="B829" s="8" t="str">
        <f t="shared" si="24"/>
        <v>1586244021</v>
      </c>
      <c r="C829" s="8" t="str">
        <f t="shared" si="25"/>
        <v>864</v>
      </c>
      <c r="D829" s="8" t="s">
        <v>119</v>
      </c>
      <c r="F829" s="8" t="s">
        <v>128</v>
      </c>
      <c r="G829" s="8" t="s">
        <v>278</v>
      </c>
      <c r="H829" s="8" t="s">
        <v>279</v>
      </c>
      <c r="I829" s="8" t="s">
        <v>193</v>
      </c>
      <c r="J829" s="8" t="s">
        <v>289</v>
      </c>
      <c r="K829" s="8" t="s">
        <v>290</v>
      </c>
      <c r="L829" s="8" t="s">
        <v>291</v>
      </c>
      <c r="M829" s="8" t="s">
        <v>2785</v>
      </c>
      <c r="N829" s="8" t="s">
        <v>278</v>
      </c>
      <c r="O829" s="8">
        <v>557.32000000000005</v>
      </c>
      <c r="P829" s="8">
        <v>557.32000000000005</v>
      </c>
      <c r="Q829" s="8" t="s">
        <v>2601</v>
      </c>
      <c r="S829" s="8" t="s">
        <v>184</v>
      </c>
      <c r="T829" s="8">
        <v>169.67</v>
      </c>
    </row>
    <row r="830" spans="1:20" x14ac:dyDescent="0.2">
      <c r="A830" s="8" t="s">
        <v>3769</v>
      </c>
      <c r="B830" s="8" t="str">
        <f t="shared" si="24"/>
        <v>1586244021</v>
      </c>
      <c r="C830" s="8" t="str">
        <f t="shared" si="25"/>
        <v>865</v>
      </c>
      <c r="D830" s="8" t="s">
        <v>119</v>
      </c>
      <c r="F830" s="8" t="s">
        <v>128</v>
      </c>
      <c r="G830" s="8" t="s">
        <v>278</v>
      </c>
      <c r="H830" s="8" t="s">
        <v>279</v>
      </c>
      <c r="I830" s="8" t="s">
        <v>193</v>
      </c>
      <c r="J830" s="8" t="s">
        <v>289</v>
      </c>
      <c r="K830" s="8" t="s">
        <v>290</v>
      </c>
      <c r="L830" s="8" t="s">
        <v>291</v>
      </c>
      <c r="M830" s="8" t="s">
        <v>2785</v>
      </c>
      <c r="N830" s="8" t="s">
        <v>278</v>
      </c>
      <c r="O830" s="8">
        <v>557.32000000000005</v>
      </c>
      <c r="P830" s="8">
        <v>557.32000000000005</v>
      </c>
      <c r="Q830" s="8" t="s">
        <v>2601</v>
      </c>
      <c r="S830" s="8" t="s">
        <v>420</v>
      </c>
      <c r="T830" s="8">
        <v>96.64</v>
      </c>
    </row>
    <row r="831" spans="1:20" x14ac:dyDescent="0.2">
      <c r="A831" s="8" t="s">
        <v>3354</v>
      </c>
      <c r="B831" s="8" t="str">
        <f t="shared" si="24"/>
        <v>1586244023</v>
      </c>
      <c r="C831" s="8" t="str">
        <f t="shared" si="25"/>
        <v>866</v>
      </c>
      <c r="D831" s="8" t="s">
        <v>119</v>
      </c>
      <c r="F831" s="8" t="s">
        <v>128</v>
      </c>
      <c r="G831" s="8" t="s">
        <v>278</v>
      </c>
      <c r="H831" s="8" t="s">
        <v>279</v>
      </c>
      <c r="I831" s="8" t="s">
        <v>193</v>
      </c>
      <c r="J831" s="8" t="s">
        <v>1144</v>
      </c>
      <c r="K831" s="8" t="s">
        <v>1145</v>
      </c>
      <c r="L831" s="8" t="s">
        <v>1146</v>
      </c>
      <c r="M831" s="8" t="s">
        <v>2785</v>
      </c>
      <c r="N831" s="8" t="s">
        <v>278</v>
      </c>
      <c r="O831" s="8">
        <v>460.33</v>
      </c>
      <c r="P831" s="8">
        <v>511.48</v>
      </c>
      <c r="Q831" s="8" t="s">
        <v>2602</v>
      </c>
      <c r="R831" s="8" t="s">
        <v>2269</v>
      </c>
    </row>
    <row r="832" spans="1:20" x14ac:dyDescent="0.2">
      <c r="A832" s="8" t="s">
        <v>3912</v>
      </c>
      <c r="B832" s="8" t="str">
        <f t="shared" si="24"/>
        <v>1586244023</v>
      </c>
      <c r="C832" s="8" t="str">
        <f t="shared" si="25"/>
        <v>867</v>
      </c>
      <c r="D832" s="8" t="s">
        <v>119</v>
      </c>
      <c r="F832" s="8" t="s">
        <v>128</v>
      </c>
      <c r="G832" s="8" t="s">
        <v>278</v>
      </c>
      <c r="H832" s="8" t="s">
        <v>279</v>
      </c>
      <c r="I832" s="8" t="s">
        <v>193</v>
      </c>
      <c r="J832" s="8" t="s">
        <v>1144</v>
      </c>
      <c r="K832" s="8" t="s">
        <v>1145</v>
      </c>
      <c r="L832" s="8" t="s">
        <v>1146</v>
      </c>
      <c r="M832" s="8" t="s">
        <v>2785</v>
      </c>
      <c r="N832" s="8" t="s">
        <v>278</v>
      </c>
      <c r="O832" s="8">
        <v>460.33</v>
      </c>
      <c r="P832" s="8">
        <v>511.48</v>
      </c>
      <c r="Q832" s="8" t="s">
        <v>2602</v>
      </c>
      <c r="R832" s="8" t="s">
        <v>1147</v>
      </c>
    </row>
    <row r="833" spans="1:20" x14ac:dyDescent="0.2">
      <c r="A833" s="8" t="s">
        <v>2892</v>
      </c>
      <c r="B833" s="8" t="str">
        <f t="shared" si="24"/>
        <v>1586244023</v>
      </c>
      <c r="C833" s="8" t="str">
        <f t="shared" si="25"/>
        <v>868</v>
      </c>
      <c r="D833" s="8" t="s">
        <v>119</v>
      </c>
      <c r="F833" s="8" t="s">
        <v>128</v>
      </c>
      <c r="G833" s="8" t="s">
        <v>278</v>
      </c>
      <c r="H833" s="8" t="s">
        <v>279</v>
      </c>
      <c r="I833" s="8" t="s">
        <v>193</v>
      </c>
      <c r="J833" s="8" t="s">
        <v>1144</v>
      </c>
      <c r="K833" s="8" t="s">
        <v>1145</v>
      </c>
      <c r="L833" s="8" t="s">
        <v>1146</v>
      </c>
      <c r="M833" s="8" t="s">
        <v>2785</v>
      </c>
      <c r="N833" s="8" t="s">
        <v>278</v>
      </c>
      <c r="O833" s="8">
        <v>460.33</v>
      </c>
      <c r="P833" s="8">
        <v>511.48</v>
      </c>
      <c r="Q833" s="8" t="s">
        <v>2602</v>
      </c>
      <c r="R833" s="8" t="s">
        <v>1644</v>
      </c>
    </row>
    <row r="834" spans="1:20" x14ac:dyDescent="0.2">
      <c r="A834" s="8" t="s">
        <v>3150</v>
      </c>
      <c r="B834" s="8" t="str">
        <f t="shared" ref="B834:B897" si="26">LEFT(A834, FIND("-", A834) - 1)</f>
        <v>1586244023</v>
      </c>
      <c r="C834" s="8" t="str">
        <f t="shared" ref="C834:C897" si="27">RIGHT(A834, LEN(A834) - FIND("-", A834))</f>
        <v>869</v>
      </c>
      <c r="D834" s="8" t="s">
        <v>119</v>
      </c>
      <c r="F834" s="8" t="s">
        <v>128</v>
      </c>
      <c r="G834" s="8" t="s">
        <v>278</v>
      </c>
      <c r="H834" s="8" t="s">
        <v>279</v>
      </c>
      <c r="I834" s="8" t="s">
        <v>193</v>
      </c>
      <c r="J834" s="8" t="s">
        <v>1144</v>
      </c>
      <c r="K834" s="8" t="s">
        <v>1145</v>
      </c>
      <c r="L834" s="8" t="s">
        <v>1146</v>
      </c>
      <c r="M834" s="8" t="s">
        <v>2785</v>
      </c>
      <c r="N834" s="8" t="s">
        <v>278</v>
      </c>
      <c r="O834" s="8">
        <v>460.33</v>
      </c>
      <c r="P834" s="8">
        <v>511.48</v>
      </c>
      <c r="Q834" s="8" t="s">
        <v>2602</v>
      </c>
      <c r="S834" s="8" t="s">
        <v>1683</v>
      </c>
      <c r="T834" s="8">
        <v>150.49</v>
      </c>
    </row>
    <row r="835" spans="1:20" x14ac:dyDescent="0.2">
      <c r="A835" s="8" t="s">
        <v>3486</v>
      </c>
      <c r="B835" s="8" t="str">
        <f t="shared" si="26"/>
        <v>1586244023</v>
      </c>
      <c r="C835" s="8" t="str">
        <f t="shared" si="27"/>
        <v>870</v>
      </c>
      <c r="D835" s="8" t="s">
        <v>119</v>
      </c>
      <c r="F835" s="8" t="s">
        <v>128</v>
      </c>
      <c r="G835" s="8" t="s">
        <v>278</v>
      </c>
      <c r="H835" s="8" t="s">
        <v>279</v>
      </c>
      <c r="I835" s="8" t="s">
        <v>193</v>
      </c>
      <c r="J835" s="8" t="s">
        <v>1144</v>
      </c>
      <c r="K835" s="8" t="s">
        <v>1145</v>
      </c>
      <c r="L835" s="8" t="s">
        <v>1146</v>
      </c>
      <c r="M835" s="8" t="s">
        <v>2785</v>
      </c>
      <c r="N835" s="8" t="s">
        <v>278</v>
      </c>
      <c r="O835" s="8">
        <v>460.33</v>
      </c>
      <c r="P835" s="8">
        <v>511.48</v>
      </c>
      <c r="Q835" s="8" t="s">
        <v>2602</v>
      </c>
      <c r="S835" s="8" t="s">
        <v>184</v>
      </c>
      <c r="T835" s="8">
        <v>151.22999999999999</v>
      </c>
    </row>
    <row r="836" spans="1:20" x14ac:dyDescent="0.2">
      <c r="A836" s="8" t="s">
        <v>4361</v>
      </c>
      <c r="B836" s="8" t="str">
        <f t="shared" si="26"/>
        <v>1586244025</v>
      </c>
      <c r="C836" s="8" t="str">
        <f t="shared" si="27"/>
        <v>871</v>
      </c>
      <c r="D836" s="8" t="s">
        <v>119</v>
      </c>
      <c r="F836" s="8" t="s">
        <v>128</v>
      </c>
      <c r="G836" s="8" t="s">
        <v>278</v>
      </c>
      <c r="H836" s="8" t="s">
        <v>279</v>
      </c>
      <c r="I836" s="8" t="s">
        <v>167</v>
      </c>
      <c r="J836" s="8" t="s">
        <v>893</v>
      </c>
      <c r="K836" s="8" t="s">
        <v>154</v>
      </c>
      <c r="L836" s="8" t="s">
        <v>894</v>
      </c>
      <c r="M836" s="8" t="s">
        <v>2785</v>
      </c>
      <c r="N836" s="8" t="s">
        <v>278</v>
      </c>
      <c r="O836" s="8">
        <v>770.16</v>
      </c>
      <c r="P836" s="8">
        <v>855.74</v>
      </c>
      <c r="Q836" s="8" t="s">
        <v>2603</v>
      </c>
      <c r="R836" s="8" t="s">
        <v>2398</v>
      </c>
    </row>
    <row r="837" spans="1:20" x14ac:dyDescent="0.2">
      <c r="A837" s="8" t="s">
        <v>3426</v>
      </c>
      <c r="B837" s="8" t="str">
        <f t="shared" si="26"/>
        <v>1586244025</v>
      </c>
      <c r="C837" s="8" t="str">
        <f t="shared" si="27"/>
        <v>872</v>
      </c>
      <c r="D837" s="8" t="s">
        <v>119</v>
      </c>
      <c r="F837" s="8" t="s">
        <v>128</v>
      </c>
      <c r="G837" s="8" t="s">
        <v>278</v>
      </c>
      <c r="H837" s="8" t="s">
        <v>279</v>
      </c>
      <c r="I837" s="8" t="s">
        <v>167</v>
      </c>
      <c r="J837" s="8" t="s">
        <v>893</v>
      </c>
      <c r="K837" s="8" t="s">
        <v>154</v>
      </c>
      <c r="L837" s="8" t="s">
        <v>894</v>
      </c>
      <c r="M837" s="8" t="s">
        <v>2785</v>
      </c>
      <c r="N837" s="8" t="s">
        <v>278</v>
      </c>
      <c r="O837" s="8">
        <v>770.16</v>
      </c>
      <c r="P837" s="8">
        <v>855.74</v>
      </c>
      <c r="Q837" s="8" t="s">
        <v>2603</v>
      </c>
      <c r="R837" s="8" t="s">
        <v>2451</v>
      </c>
    </row>
    <row r="838" spans="1:20" x14ac:dyDescent="0.2">
      <c r="A838" s="8" t="s">
        <v>4455</v>
      </c>
      <c r="B838" s="8" t="str">
        <f t="shared" si="26"/>
        <v>1586244025</v>
      </c>
      <c r="C838" s="8" t="str">
        <f t="shared" si="27"/>
        <v>873</v>
      </c>
      <c r="D838" s="8" t="s">
        <v>119</v>
      </c>
      <c r="F838" s="8" t="s">
        <v>128</v>
      </c>
      <c r="G838" s="8" t="s">
        <v>278</v>
      </c>
      <c r="H838" s="8" t="s">
        <v>279</v>
      </c>
      <c r="I838" s="8" t="s">
        <v>167</v>
      </c>
      <c r="J838" s="8" t="s">
        <v>893</v>
      </c>
      <c r="K838" s="8" t="s">
        <v>154</v>
      </c>
      <c r="L838" s="8" t="s">
        <v>894</v>
      </c>
      <c r="M838" s="8" t="s">
        <v>2785</v>
      </c>
      <c r="N838" s="8" t="s">
        <v>278</v>
      </c>
      <c r="O838" s="8">
        <v>770.16</v>
      </c>
      <c r="P838" s="8">
        <v>855.74</v>
      </c>
      <c r="Q838" s="8" t="s">
        <v>2603</v>
      </c>
      <c r="R838" s="8" t="s">
        <v>1959</v>
      </c>
    </row>
    <row r="839" spans="1:20" x14ac:dyDescent="0.2">
      <c r="A839" s="8" t="s">
        <v>3612</v>
      </c>
      <c r="B839" s="8" t="str">
        <f t="shared" si="26"/>
        <v>1586244025</v>
      </c>
      <c r="C839" s="8" t="str">
        <f t="shared" si="27"/>
        <v>874</v>
      </c>
      <c r="D839" s="8" t="s">
        <v>119</v>
      </c>
      <c r="F839" s="8" t="s">
        <v>128</v>
      </c>
      <c r="G839" s="8" t="s">
        <v>278</v>
      </c>
      <c r="H839" s="8" t="s">
        <v>279</v>
      </c>
      <c r="I839" s="8" t="s">
        <v>167</v>
      </c>
      <c r="J839" s="8" t="s">
        <v>893</v>
      </c>
      <c r="K839" s="8" t="s">
        <v>154</v>
      </c>
      <c r="L839" s="8" t="s">
        <v>894</v>
      </c>
      <c r="M839" s="8" t="s">
        <v>2785</v>
      </c>
      <c r="N839" s="8" t="s">
        <v>278</v>
      </c>
      <c r="O839" s="8">
        <v>770.16</v>
      </c>
      <c r="P839" s="8">
        <v>855.74</v>
      </c>
      <c r="Q839" s="8" t="s">
        <v>2603</v>
      </c>
      <c r="R839" s="8" t="s">
        <v>2214</v>
      </c>
    </row>
    <row r="840" spans="1:20" x14ac:dyDescent="0.2">
      <c r="A840" s="8" t="s">
        <v>4372</v>
      </c>
      <c r="B840" s="8" t="str">
        <f t="shared" si="26"/>
        <v>1586244025</v>
      </c>
      <c r="C840" s="8" t="str">
        <f t="shared" si="27"/>
        <v>875</v>
      </c>
      <c r="D840" s="8" t="s">
        <v>119</v>
      </c>
      <c r="F840" s="8" t="s">
        <v>128</v>
      </c>
      <c r="G840" s="8" t="s">
        <v>278</v>
      </c>
      <c r="H840" s="8" t="s">
        <v>279</v>
      </c>
      <c r="I840" s="8" t="s">
        <v>167</v>
      </c>
      <c r="J840" s="8" t="s">
        <v>893</v>
      </c>
      <c r="K840" s="8" t="s">
        <v>154</v>
      </c>
      <c r="L840" s="8" t="s">
        <v>894</v>
      </c>
      <c r="M840" s="8" t="s">
        <v>2785</v>
      </c>
      <c r="N840" s="8" t="s">
        <v>278</v>
      </c>
      <c r="O840" s="8">
        <v>770.16</v>
      </c>
      <c r="P840" s="8">
        <v>855.74</v>
      </c>
      <c r="Q840" s="8" t="s">
        <v>2603</v>
      </c>
      <c r="R840" s="8" t="s">
        <v>895</v>
      </c>
    </row>
    <row r="841" spans="1:20" x14ac:dyDescent="0.2">
      <c r="A841" s="8" t="s">
        <v>4490</v>
      </c>
      <c r="B841" s="8" t="str">
        <f t="shared" si="26"/>
        <v>1586244025</v>
      </c>
      <c r="C841" s="8" t="str">
        <f t="shared" si="27"/>
        <v>876</v>
      </c>
      <c r="D841" s="8" t="s">
        <v>119</v>
      </c>
      <c r="F841" s="8" t="s">
        <v>128</v>
      </c>
      <c r="G841" s="8" t="s">
        <v>278</v>
      </c>
      <c r="H841" s="8" t="s">
        <v>279</v>
      </c>
      <c r="I841" s="8" t="s">
        <v>167</v>
      </c>
      <c r="J841" s="8" t="s">
        <v>893</v>
      </c>
      <c r="K841" s="8" t="s">
        <v>154</v>
      </c>
      <c r="L841" s="8" t="s">
        <v>894</v>
      </c>
      <c r="M841" s="8" t="s">
        <v>2785</v>
      </c>
      <c r="N841" s="8" t="s">
        <v>278</v>
      </c>
      <c r="O841" s="8">
        <v>770.16</v>
      </c>
      <c r="P841" s="8">
        <v>855.74</v>
      </c>
      <c r="Q841" s="8" t="s">
        <v>2603</v>
      </c>
      <c r="R841" s="8" t="s">
        <v>1248</v>
      </c>
    </row>
    <row r="842" spans="1:20" x14ac:dyDescent="0.2">
      <c r="A842" s="8" t="s">
        <v>4272</v>
      </c>
      <c r="B842" s="8" t="str">
        <f t="shared" si="26"/>
        <v>1586244025</v>
      </c>
      <c r="C842" s="8" t="str">
        <f t="shared" si="27"/>
        <v>877</v>
      </c>
      <c r="D842" s="8" t="s">
        <v>119</v>
      </c>
      <c r="F842" s="8" t="s">
        <v>128</v>
      </c>
      <c r="G842" s="8" t="s">
        <v>278</v>
      </c>
      <c r="H842" s="8" t="s">
        <v>279</v>
      </c>
      <c r="I842" s="8" t="s">
        <v>167</v>
      </c>
      <c r="J842" s="8" t="s">
        <v>893</v>
      </c>
      <c r="K842" s="8" t="s">
        <v>154</v>
      </c>
      <c r="L842" s="8" t="s">
        <v>894</v>
      </c>
      <c r="M842" s="8" t="s">
        <v>2785</v>
      </c>
      <c r="N842" s="8" t="s">
        <v>278</v>
      </c>
      <c r="O842" s="8">
        <v>770.16</v>
      </c>
      <c r="P842" s="8">
        <v>855.74</v>
      </c>
      <c r="Q842" s="8" t="s">
        <v>2603</v>
      </c>
      <c r="R842" s="8" t="s">
        <v>1240</v>
      </c>
    </row>
    <row r="843" spans="1:20" x14ac:dyDescent="0.2">
      <c r="A843" s="8" t="s">
        <v>4421</v>
      </c>
      <c r="B843" s="8" t="str">
        <f t="shared" si="26"/>
        <v>1586244025</v>
      </c>
      <c r="C843" s="8" t="str">
        <f t="shared" si="27"/>
        <v>878</v>
      </c>
      <c r="D843" s="8" t="s">
        <v>119</v>
      </c>
      <c r="F843" s="8" t="s">
        <v>128</v>
      </c>
      <c r="G843" s="8" t="s">
        <v>278</v>
      </c>
      <c r="H843" s="8" t="s">
        <v>279</v>
      </c>
      <c r="I843" s="8" t="s">
        <v>167</v>
      </c>
      <c r="J843" s="8" t="s">
        <v>893</v>
      </c>
      <c r="K843" s="8" t="s">
        <v>154</v>
      </c>
      <c r="L843" s="8" t="s">
        <v>894</v>
      </c>
      <c r="M843" s="8" t="s">
        <v>2785</v>
      </c>
      <c r="N843" s="8" t="s">
        <v>278</v>
      </c>
      <c r="O843" s="8">
        <v>770.16</v>
      </c>
      <c r="P843" s="8">
        <v>855.74</v>
      </c>
      <c r="Q843" s="8" t="s">
        <v>2603</v>
      </c>
      <c r="S843" s="8" t="s">
        <v>184</v>
      </c>
      <c r="T843" s="8">
        <v>192.54</v>
      </c>
    </row>
    <row r="844" spans="1:20" x14ac:dyDescent="0.2">
      <c r="A844" s="8" t="s">
        <v>2938</v>
      </c>
      <c r="B844" s="8" t="str">
        <f t="shared" si="26"/>
        <v>1586244025</v>
      </c>
      <c r="C844" s="8" t="str">
        <f t="shared" si="27"/>
        <v>879</v>
      </c>
      <c r="D844" s="8" t="s">
        <v>119</v>
      </c>
      <c r="F844" s="8" t="s">
        <v>128</v>
      </c>
      <c r="G844" s="8" t="s">
        <v>278</v>
      </c>
      <c r="H844" s="8" t="s">
        <v>279</v>
      </c>
      <c r="I844" s="8" t="s">
        <v>167</v>
      </c>
      <c r="J844" s="8" t="s">
        <v>893</v>
      </c>
      <c r="K844" s="8" t="s">
        <v>154</v>
      </c>
      <c r="L844" s="8" t="s">
        <v>894</v>
      </c>
      <c r="M844" s="8" t="s">
        <v>2785</v>
      </c>
      <c r="N844" s="8" t="s">
        <v>278</v>
      </c>
      <c r="O844" s="8">
        <v>770.16</v>
      </c>
      <c r="P844" s="8">
        <v>855.74</v>
      </c>
      <c r="Q844" s="8" t="s">
        <v>2603</v>
      </c>
      <c r="S844" s="8" t="s">
        <v>156</v>
      </c>
      <c r="T844" s="8">
        <v>65.66</v>
      </c>
    </row>
    <row r="845" spans="1:20" x14ac:dyDescent="0.2">
      <c r="A845" s="8" t="s">
        <v>4247</v>
      </c>
      <c r="B845" s="8" t="str">
        <f t="shared" si="26"/>
        <v>1586244029</v>
      </c>
      <c r="C845" s="8" t="str">
        <f t="shared" si="27"/>
        <v>880</v>
      </c>
      <c r="D845" s="8" t="s">
        <v>119</v>
      </c>
      <c r="F845" s="8" t="s">
        <v>128</v>
      </c>
      <c r="G845" s="8" t="s">
        <v>307</v>
      </c>
      <c r="H845" s="8" t="s">
        <v>308</v>
      </c>
      <c r="I845" s="8" t="s">
        <v>167</v>
      </c>
      <c r="J845" s="8" t="s">
        <v>723</v>
      </c>
      <c r="K845" s="8" t="s">
        <v>93</v>
      </c>
      <c r="L845" s="8" t="s">
        <v>724</v>
      </c>
      <c r="M845" s="8" t="s">
        <v>2785</v>
      </c>
      <c r="N845" s="8" t="s">
        <v>307</v>
      </c>
      <c r="O845" s="8">
        <v>270</v>
      </c>
      <c r="P845" s="8">
        <v>300</v>
      </c>
      <c r="Q845" s="8" t="s">
        <v>2604</v>
      </c>
      <c r="R845" s="8" t="s">
        <v>2464</v>
      </c>
    </row>
    <row r="846" spans="1:20" x14ac:dyDescent="0.2">
      <c r="A846" s="8" t="s">
        <v>3540</v>
      </c>
      <c r="B846" s="8" t="str">
        <f t="shared" si="26"/>
        <v>1586244029</v>
      </c>
      <c r="C846" s="8" t="str">
        <f t="shared" si="27"/>
        <v>881</v>
      </c>
      <c r="D846" s="8" t="s">
        <v>119</v>
      </c>
      <c r="F846" s="8" t="s">
        <v>128</v>
      </c>
      <c r="G846" s="8" t="s">
        <v>307</v>
      </c>
      <c r="H846" s="8" t="s">
        <v>308</v>
      </c>
      <c r="I846" s="8" t="s">
        <v>167</v>
      </c>
      <c r="J846" s="8" t="s">
        <v>723</v>
      </c>
      <c r="K846" s="8" t="s">
        <v>93</v>
      </c>
      <c r="L846" s="8" t="s">
        <v>724</v>
      </c>
      <c r="M846" s="8" t="s">
        <v>2785</v>
      </c>
      <c r="N846" s="8" t="s">
        <v>307</v>
      </c>
      <c r="O846" s="8">
        <v>270</v>
      </c>
      <c r="P846" s="8">
        <v>300</v>
      </c>
      <c r="Q846" s="8" t="s">
        <v>2604</v>
      </c>
      <c r="R846" s="8" t="s">
        <v>2274</v>
      </c>
    </row>
    <row r="847" spans="1:20" x14ac:dyDescent="0.2">
      <c r="A847" s="8" t="s">
        <v>3438</v>
      </c>
      <c r="B847" s="8" t="str">
        <f t="shared" si="26"/>
        <v>1586244029</v>
      </c>
      <c r="C847" s="8" t="str">
        <f t="shared" si="27"/>
        <v>882</v>
      </c>
      <c r="D847" s="8" t="s">
        <v>119</v>
      </c>
      <c r="F847" s="8" t="s">
        <v>128</v>
      </c>
      <c r="G847" s="8" t="s">
        <v>307</v>
      </c>
      <c r="H847" s="8" t="s">
        <v>308</v>
      </c>
      <c r="I847" s="8" t="s">
        <v>167</v>
      </c>
      <c r="J847" s="8" t="s">
        <v>723</v>
      </c>
      <c r="K847" s="8" t="s">
        <v>93</v>
      </c>
      <c r="L847" s="8" t="s">
        <v>724</v>
      </c>
      <c r="M847" s="8" t="s">
        <v>2785</v>
      </c>
      <c r="N847" s="8" t="s">
        <v>307</v>
      </c>
      <c r="O847" s="8">
        <v>270</v>
      </c>
      <c r="P847" s="8">
        <v>300</v>
      </c>
      <c r="Q847" s="8" t="s">
        <v>2604</v>
      </c>
      <c r="S847" s="8" t="s">
        <v>184</v>
      </c>
      <c r="T847" s="8">
        <v>77.459999999999994</v>
      </c>
    </row>
    <row r="848" spans="1:20" x14ac:dyDescent="0.2">
      <c r="A848" s="8" t="s">
        <v>4742</v>
      </c>
      <c r="B848" s="8" t="str">
        <f t="shared" si="26"/>
        <v>1586244031</v>
      </c>
      <c r="C848" s="8" t="str">
        <f t="shared" si="27"/>
        <v>883</v>
      </c>
      <c r="D848" s="8" t="s">
        <v>119</v>
      </c>
      <c r="F848" s="8" t="s">
        <v>128</v>
      </c>
      <c r="G848" s="8" t="s">
        <v>307</v>
      </c>
      <c r="H848" s="8" t="s">
        <v>308</v>
      </c>
      <c r="I848" s="8" t="s">
        <v>167</v>
      </c>
      <c r="J848" s="8" t="s">
        <v>309</v>
      </c>
      <c r="K848" s="8" t="s">
        <v>310</v>
      </c>
      <c r="L848" s="8" t="s">
        <v>311</v>
      </c>
      <c r="M848" s="8" t="s">
        <v>2785</v>
      </c>
      <c r="N848" s="8" t="s">
        <v>307</v>
      </c>
      <c r="O848" s="8">
        <v>663.2</v>
      </c>
      <c r="P848" s="8">
        <v>736.89</v>
      </c>
      <c r="Q848" s="8" t="s">
        <v>2605</v>
      </c>
      <c r="R848" s="8" t="s">
        <v>312</v>
      </c>
    </row>
    <row r="849" spans="1:20" x14ac:dyDescent="0.2">
      <c r="A849" s="8" t="s">
        <v>4289</v>
      </c>
      <c r="B849" s="8" t="str">
        <f t="shared" si="26"/>
        <v>1586244031</v>
      </c>
      <c r="C849" s="8" t="str">
        <f t="shared" si="27"/>
        <v>884</v>
      </c>
      <c r="D849" s="8" t="s">
        <v>119</v>
      </c>
      <c r="F849" s="8" t="s">
        <v>128</v>
      </c>
      <c r="G849" s="8" t="s">
        <v>307</v>
      </c>
      <c r="H849" s="8" t="s">
        <v>308</v>
      </c>
      <c r="I849" s="8" t="s">
        <v>167</v>
      </c>
      <c r="J849" s="8" t="s">
        <v>309</v>
      </c>
      <c r="K849" s="8" t="s">
        <v>310</v>
      </c>
      <c r="L849" s="8" t="s">
        <v>311</v>
      </c>
      <c r="M849" s="8" t="s">
        <v>2785</v>
      </c>
      <c r="N849" s="8" t="s">
        <v>307</v>
      </c>
      <c r="O849" s="8">
        <v>663.2</v>
      </c>
      <c r="P849" s="8">
        <v>736.89</v>
      </c>
      <c r="Q849" s="8" t="s">
        <v>2605</v>
      </c>
      <c r="R849" s="8" t="s">
        <v>1473</v>
      </c>
    </row>
    <row r="850" spans="1:20" x14ac:dyDescent="0.2">
      <c r="A850" s="8" t="s">
        <v>4722</v>
      </c>
      <c r="B850" s="8" t="str">
        <f t="shared" si="26"/>
        <v>1586244031</v>
      </c>
      <c r="C850" s="8" t="str">
        <f t="shared" si="27"/>
        <v>885</v>
      </c>
      <c r="D850" s="8" t="s">
        <v>119</v>
      </c>
      <c r="F850" s="8" t="s">
        <v>128</v>
      </c>
      <c r="G850" s="8" t="s">
        <v>307</v>
      </c>
      <c r="H850" s="8" t="s">
        <v>308</v>
      </c>
      <c r="I850" s="8" t="s">
        <v>167</v>
      </c>
      <c r="J850" s="8" t="s">
        <v>309</v>
      </c>
      <c r="K850" s="8" t="s">
        <v>310</v>
      </c>
      <c r="L850" s="8" t="s">
        <v>311</v>
      </c>
      <c r="M850" s="8" t="s">
        <v>2785</v>
      </c>
      <c r="N850" s="8" t="s">
        <v>307</v>
      </c>
      <c r="O850" s="8">
        <v>663.2</v>
      </c>
      <c r="P850" s="8">
        <v>736.89</v>
      </c>
      <c r="Q850" s="8" t="s">
        <v>2605</v>
      </c>
      <c r="R850" s="8" t="s">
        <v>1933</v>
      </c>
    </row>
    <row r="851" spans="1:20" x14ac:dyDescent="0.2">
      <c r="A851" s="8" t="s">
        <v>4638</v>
      </c>
      <c r="B851" s="8" t="str">
        <f t="shared" si="26"/>
        <v>1586244031</v>
      </c>
      <c r="C851" s="8" t="str">
        <f t="shared" si="27"/>
        <v>886</v>
      </c>
      <c r="D851" s="8" t="s">
        <v>119</v>
      </c>
      <c r="F851" s="8" t="s">
        <v>128</v>
      </c>
      <c r="G851" s="8" t="s">
        <v>307</v>
      </c>
      <c r="H851" s="8" t="s">
        <v>308</v>
      </c>
      <c r="I851" s="8" t="s">
        <v>167</v>
      </c>
      <c r="J851" s="8" t="s">
        <v>309</v>
      </c>
      <c r="K851" s="8" t="s">
        <v>310</v>
      </c>
      <c r="L851" s="8" t="s">
        <v>311</v>
      </c>
      <c r="M851" s="8" t="s">
        <v>2785</v>
      </c>
      <c r="N851" s="8" t="s">
        <v>307</v>
      </c>
      <c r="O851" s="8">
        <v>663.2</v>
      </c>
      <c r="P851" s="8">
        <v>736.89</v>
      </c>
      <c r="Q851" s="8" t="s">
        <v>2605</v>
      </c>
      <c r="R851" s="8" t="s">
        <v>1561</v>
      </c>
    </row>
    <row r="852" spans="1:20" x14ac:dyDescent="0.2">
      <c r="A852" s="8" t="s">
        <v>3777</v>
      </c>
      <c r="B852" s="8" t="str">
        <f t="shared" si="26"/>
        <v>1586244031</v>
      </c>
      <c r="C852" s="8" t="str">
        <f t="shared" si="27"/>
        <v>887</v>
      </c>
      <c r="D852" s="8" t="s">
        <v>119</v>
      </c>
      <c r="F852" s="8" t="s">
        <v>128</v>
      </c>
      <c r="G852" s="8" t="s">
        <v>307</v>
      </c>
      <c r="H852" s="8" t="s">
        <v>308</v>
      </c>
      <c r="I852" s="8" t="s">
        <v>167</v>
      </c>
      <c r="J852" s="8" t="s">
        <v>309</v>
      </c>
      <c r="K852" s="8" t="s">
        <v>310</v>
      </c>
      <c r="L852" s="8" t="s">
        <v>311</v>
      </c>
      <c r="M852" s="8" t="s">
        <v>2785</v>
      </c>
      <c r="N852" s="8" t="s">
        <v>307</v>
      </c>
      <c r="O852" s="8">
        <v>663.2</v>
      </c>
      <c r="P852" s="8">
        <v>736.89</v>
      </c>
      <c r="Q852" s="8" t="s">
        <v>2605</v>
      </c>
      <c r="R852" s="8" t="s">
        <v>736</v>
      </c>
    </row>
    <row r="853" spans="1:20" x14ac:dyDescent="0.2">
      <c r="A853" s="8" t="s">
        <v>3112</v>
      </c>
      <c r="B853" s="8" t="str">
        <f t="shared" si="26"/>
        <v>1586244031</v>
      </c>
      <c r="C853" s="8" t="str">
        <f t="shared" si="27"/>
        <v>888</v>
      </c>
      <c r="D853" s="8" t="s">
        <v>119</v>
      </c>
      <c r="F853" s="8" t="s">
        <v>128</v>
      </c>
      <c r="G853" s="8" t="s">
        <v>307</v>
      </c>
      <c r="H853" s="8" t="s">
        <v>308</v>
      </c>
      <c r="I853" s="8" t="s">
        <v>167</v>
      </c>
      <c r="J853" s="8" t="s">
        <v>309</v>
      </c>
      <c r="K853" s="8" t="s">
        <v>310</v>
      </c>
      <c r="L853" s="8" t="s">
        <v>311</v>
      </c>
      <c r="M853" s="8" t="s">
        <v>2785</v>
      </c>
      <c r="N853" s="8" t="s">
        <v>307</v>
      </c>
      <c r="O853" s="8">
        <v>663.2</v>
      </c>
      <c r="P853" s="8">
        <v>736.89</v>
      </c>
      <c r="Q853" s="8" t="s">
        <v>2605</v>
      </c>
      <c r="R853" s="8" t="s">
        <v>1920</v>
      </c>
    </row>
    <row r="854" spans="1:20" x14ac:dyDescent="0.2">
      <c r="A854" s="8" t="s">
        <v>3115</v>
      </c>
      <c r="B854" s="8" t="str">
        <f t="shared" si="26"/>
        <v>1586244031</v>
      </c>
      <c r="C854" s="8" t="str">
        <f t="shared" si="27"/>
        <v>889</v>
      </c>
      <c r="D854" s="8" t="s">
        <v>119</v>
      </c>
      <c r="F854" s="8" t="s">
        <v>128</v>
      </c>
      <c r="G854" s="8" t="s">
        <v>307</v>
      </c>
      <c r="H854" s="8" t="s">
        <v>308</v>
      </c>
      <c r="I854" s="8" t="s">
        <v>167</v>
      </c>
      <c r="J854" s="8" t="s">
        <v>309</v>
      </c>
      <c r="K854" s="8" t="s">
        <v>310</v>
      </c>
      <c r="L854" s="8" t="s">
        <v>311</v>
      </c>
      <c r="M854" s="8" t="s">
        <v>2785</v>
      </c>
      <c r="N854" s="8" t="s">
        <v>307</v>
      </c>
      <c r="O854" s="8">
        <v>663.2</v>
      </c>
      <c r="P854" s="8">
        <v>736.89</v>
      </c>
      <c r="Q854" s="8" t="s">
        <v>2605</v>
      </c>
      <c r="S854" s="8" t="s">
        <v>331</v>
      </c>
      <c r="T854" s="8">
        <v>38.36</v>
      </c>
    </row>
    <row r="855" spans="1:20" x14ac:dyDescent="0.2">
      <c r="A855" s="8" t="s">
        <v>3812</v>
      </c>
      <c r="B855" s="8" t="str">
        <f t="shared" si="26"/>
        <v>1586244031</v>
      </c>
      <c r="C855" s="8" t="str">
        <f t="shared" si="27"/>
        <v>890</v>
      </c>
      <c r="D855" s="8" t="s">
        <v>119</v>
      </c>
      <c r="F855" s="8" t="s">
        <v>128</v>
      </c>
      <c r="G855" s="8" t="s">
        <v>307</v>
      </c>
      <c r="H855" s="8" t="s">
        <v>308</v>
      </c>
      <c r="I855" s="8" t="s">
        <v>167</v>
      </c>
      <c r="J855" s="8" t="s">
        <v>309</v>
      </c>
      <c r="K855" s="8" t="s">
        <v>310</v>
      </c>
      <c r="L855" s="8" t="s">
        <v>311</v>
      </c>
      <c r="M855" s="8" t="s">
        <v>2785</v>
      </c>
      <c r="N855" s="8" t="s">
        <v>307</v>
      </c>
      <c r="O855" s="8">
        <v>663.2</v>
      </c>
      <c r="P855" s="8">
        <v>736.89</v>
      </c>
      <c r="Q855" s="8" t="s">
        <v>2605</v>
      </c>
      <c r="S855" s="8" t="s">
        <v>184</v>
      </c>
      <c r="T855" s="8">
        <v>192.54</v>
      </c>
    </row>
    <row r="856" spans="1:20" x14ac:dyDescent="0.2">
      <c r="A856" s="8" t="s">
        <v>3014</v>
      </c>
      <c r="B856" s="8" t="str">
        <f t="shared" si="26"/>
        <v>1586244037</v>
      </c>
      <c r="C856" s="8" t="str">
        <f t="shared" si="27"/>
        <v>891</v>
      </c>
      <c r="D856" s="8" t="s">
        <v>119</v>
      </c>
      <c r="F856" s="8" t="s">
        <v>1505</v>
      </c>
      <c r="G856" s="8" t="s">
        <v>1506</v>
      </c>
      <c r="H856" s="8" t="s">
        <v>1507</v>
      </c>
      <c r="I856" s="8" t="s">
        <v>167</v>
      </c>
      <c r="J856" s="8" t="s">
        <v>1508</v>
      </c>
      <c r="K856" s="8" t="s">
        <v>125</v>
      </c>
      <c r="L856" s="8" t="s">
        <v>1509</v>
      </c>
      <c r="M856" s="8" t="s">
        <v>3015</v>
      </c>
      <c r="N856" s="8" t="s">
        <v>1506</v>
      </c>
      <c r="O856" s="8">
        <v>469.92</v>
      </c>
      <c r="P856" s="8">
        <v>522.13</v>
      </c>
      <c r="Q856" s="8" t="s">
        <v>2606</v>
      </c>
      <c r="R856" s="8" t="s">
        <v>1623</v>
      </c>
    </row>
    <row r="857" spans="1:20" x14ac:dyDescent="0.2">
      <c r="A857" s="8" t="s">
        <v>4802</v>
      </c>
      <c r="B857" s="8" t="str">
        <f t="shared" si="26"/>
        <v>1586244037</v>
      </c>
      <c r="C857" s="8" t="str">
        <f t="shared" si="27"/>
        <v>892</v>
      </c>
      <c r="D857" s="8" t="s">
        <v>119</v>
      </c>
      <c r="F857" s="8" t="s">
        <v>1505</v>
      </c>
      <c r="G857" s="8" t="s">
        <v>1506</v>
      </c>
      <c r="H857" s="8" t="s">
        <v>1507</v>
      </c>
      <c r="I857" s="8" t="s">
        <v>167</v>
      </c>
      <c r="J857" s="8" t="s">
        <v>1508</v>
      </c>
      <c r="K857" s="8" t="s">
        <v>125</v>
      </c>
      <c r="L857" s="8" t="s">
        <v>1509</v>
      </c>
      <c r="M857" s="8" t="s">
        <v>3015</v>
      </c>
      <c r="N857" s="8" t="s">
        <v>1506</v>
      </c>
      <c r="O857" s="8">
        <v>469.92</v>
      </c>
      <c r="P857" s="8">
        <v>522.13</v>
      </c>
      <c r="Q857" s="8" t="s">
        <v>2606</v>
      </c>
      <c r="R857" s="8" t="s">
        <v>1850</v>
      </c>
    </row>
    <row r="858" spans="1:20" x14ac:dyDescent="0.2">
      <c r="A858" s="8" t="s">
        <v>4207</v>
      </c>
      <c r="B858" s="8" t="str">
        <f t="shared" si="26"/>
        <v>1586244037</v>
      </c>
      <c r="C858" s="8" t="str">
        <f t="shared" si="27"/>
        <v>893</v>
      </c>
      <c r="D858" s="8" t="s">
        <v>119</v>
      </c>
      <c r="F858" s="8" t="s">
        <v>1505</v>
      </c>
      <c r="G858" s="8" t="s">
        <v>1506</v>
      </c>
      <c r="H858" s="8" t="s">
        <v>1507</v>
      </c>
      <c r="I858" s="8" t="s">
        <v>167</v>
      </c>
      <c r="J858" s="8" t="s">
        <v>1508</v>
      </c>
      <c r="K858" s="8" t="s">
        <v>125</v>
      </c>
      <c r="L858" s="8" t="s">
        <v>1509</v>
      </c>
      <c r="M858" s="8" t="s">
        <v>3015</v>
      </c>
      <c r="N858" s="8" t="s">
        <v>1506</v>
      </c>
      <c r="O858" s="8">
        <v>469.92</v>
      </c>
      <c r="P858" s="8">
        <v>522.13</v>
      </c>
      <c r="Q858" s="8" t="s">
        <v>2606</v>
      </c>
      <c r="R858" s="8" t="s">
        <v>1510</v>
      </c>
    </row>
    <row r="859" spans="1:20" x14ac:dyDescent="0.2">
      <c r="A859" s="8" t="s">
        <v>4046</v>
      </c>
      <c r="B859" s="8" t="str">
        <f t="shared" si="26"/>
        <v>1586244037</v>
      </c>
      <c r="C859" s="8" t="str">
        <f t="shared" si="27"/>
        <v>894</v>
      </c>
      <c r="D859" s="8" t="s">
        <v>119</v>
      </c>
      <c r="F859" s="8" t="s">
        <v>1505</v>
      </c>
      <c r="G859" s="8" t="s">
        <v>1506</v>
      </c>
      <c r="H859" s="8" t="s">
        <v>1507</v>
      </c>
      <c r="I859" s="8" t="s">
        <v>167</v>
      </c>
      <c r="J859" s="8" t="s">
        <v>1508</v>
      </c>
      <c r="K859" s="8" t="s">
        <v>125</v>
      </c>
      <c r="L859" s="8" t="s">
        <v>1509</v>
      </c>
      <c r="M859" s="8" t="s">
        <v>3015</v>
      </c>
      <c r="N859" s="8" t="s">
        <v>1506</v>
      </c>
      <c r="O859" s="8">
        <v>469.92</v>
      </c>
      <c r="P859" s="8">
        <v>522.13</v>
      </c>
      <c r="Q859" s="8" t="s">
        <v>2606</v>
      </c>
      <c r="R859" s="8" t="s">
        <v>2468</v>
      </c>
    </row>
    <row r="860" spans="1:20" x14ac:dyDescent="0.2">
      <c r="A860" s="8" t="s">
        <v>4202</v>
      </c>
      <c r="B860" s="8" t="str">
        <f t="shared" si="26"/>
        <v>1586244037</v>
      </c>
      <c r="C860" s="8" t="str">
        <f t="shared" si="27"/>
        <v>895</v>
      </c>
      <c r="D860" s="8" t="s">
        <v>119</v>
      </c>
      <c r="F860" s="8" t="s">
        <v>1505</v>
      </c>
      <c r="G860" s="8" t="s">
        <v>1506</v>
      </c>
      <c r="H860" s="8" t="s">
        <v>1507</v>
      </c>
      <c r="I860" s="8" t="s">
        <v>167</v>
      </c>
      <c r="J860" s="8" t="s">
        <v>1508</v>
      </c>
      <c r="K860" s="8" t="s">
        <v>125</v>
      </c>
      <c r="L860" s="8" t="s">
        <v>1509</v>
      </c>
      <c r="M860" s="8" t="s">
        <v>3015</v>
      </c>
      <c r="N860" s="8" t="s">
        <v>1506</v>
      </c>
      <c r="O860" s="8">
        <v>469.92</v>
      </c>
      <c r="P860" s="8">
        <v>522.13</v>
      </c>
      <c r="Q860" s="8" t="s">
        <v>2606</v>
      </c>
      <c r="S860" s="8" t="s">
        <v>393</v>
      </c>
      <c r="T860" s="8">
        <v>77.459999999999994</v>
      </c>
    </row>
    <row r="861" spans="1:20" x14ac:dyDescent="0.2">
      <c r="A861" s="8" t="s">
        <v>3846</v>
      </c>
      <c r="B861" s="8" t="str">
        <f t="shared" si="26"/>
        <v>1586244043</v>
      </c>
      <c r="C861" s="8" t="str">
        <f t="shared" si="27"/>
        <v>896</v>
      </c>
      <c r="D861" s="8" t="s">
        <v>119</v>
      </c>
      <c r="F861" s="8" t="s">
        <v>915</v>
      </c>
      <c r="G861" s="8" t="s">
        <v>916</v>
      </c>
      <c r="H861" s="8" t="s">
        <v>917</v>
      </c>
      <c r="I861" s="8" t="s">
        <v>167</v>
      </c>
      <c r="J861" s="8" t="s">
        <v>918</v>
      </c>
      <c r="K861" s="8" t="s">
        <v>125</v>
      </c>
      <c r="L861" s="8" t="s">
        <v>919</v>
      </c>
      <c r="M861" s="8" t="s">
        <v>3119</v>
      </c>
      <c r="N861" s="8" t="s">
        <v>916</v>
      </c>
      <c r="O861" s="8">
        <v>535.57000000000005</v>
      </c>
      <c r="P861" s="8">
        <v>595.08000000000004</v>
      </c>
      <c r="Q861" s="8" t="s">
        <v>2607</v>
      </c>
      <c r="R861" s="8" t="s">
        <v>1639</v>
      </c>
    </row>
    <row r="862" spans="1:20" x14ac:dyDescent="0.2">
      <c r="A862" s="8" t="s">
        <v>3118</v>
      </c>
      <c r="B862" s="8" t="str">
        <f t="shared" si="26"/>
        <v>1586244043</v>
      </c>
      <c r="C862" s="8" t="str">
        <f t="shared" si="27"/>
        <v>897</v>
      </c>
      <c r="D862" s="8" t="s">
        <v>119</v>
      </c>
      <c r="F862" s="8" t="s">
        <v>915</v>
      </c>
      <c r="G862" s="8" t="s">
        <v>916</v>
      </c>
      <c r="H862" s="8" t="s">
        <v>917</v>
      </c>
      <c r="I862" s="8" t="s">
        <v>167</v>
      </c>
      <c r="J862" s="8" t="s">
        <v>918</v>
      </c>
      <c r="K862" s="8" t="s">
        <v>125</v>
      </c>
      <c r="L862" s="8" t="s">
        <v>919</v>
      </c>
      <c r="M862" s="8" t="s">
        <v>3119</v>
      </c>
      <c r="N862" s="8" t="s">
        <v>916</v>
      </c>
      <c r="O862" s="8">
        <v>535.57000000000005</v>
      </c>
      <c r="P862" s="8">
        <v>595.08000000000004</v>
      </c>
      <c r="Q862" s="8" t="s">
        <v>2607</v>
      </c>
      <c r="R862" s="8" t="s">
        <v>1774</v>
      </c>
    </row>
    <row r="863" spans="1:20" x14ac:dyDescent="0.2">
      <c r="A863" s="8" t="s">
        <v>3151</v>
      </c>
      <c r="B863" s="8" t="str">
        <f t="shared" si="26"/>
        <v>1586244043</v>
      </c>
      <c r="C863" s="8" t="str">
        <f t="shared" si="27"/>
        <v>898</v>
      </c>
      <c r="D863" s="8" t="s">
        <v>119</v>
      </c>
      <c r="F863" s="8" t="s">
        <v>915</v>
      </c>
      <c r="G863" s="8" t="s">
        <v>916</v>
      </c>
      <c r="H863" s="8" t="s">
        <v>917</v>
      </c>
      <c r="I863" s="8" t="s">
        <v>167</v>
      </c>
      <c r="J863" s="8" t="s">
        <v>918</v>
      </c>
      <c r="K863" s="8" t="s">
        <v>125</v>
      </c>
      <c r="L863" s="8" t="s">
        <v>919</v>
      </c>
      <c r="M863" s="8" t="s">
        <v>3119</v>
      </c>
      <c r="N863" s="8" t="s">
        <v>916</v>
      </c>
      <c r="O863" s="8">
        <v>535.57000000000005</v>
      </c>
      <c r="P863" s="8">
        <v>595.08000000000004</v>
      </c>
      <c r="Q863" s="8" t="s">
        <v>2607</v>
      </c>
      <c r="R863" s="8" t="s">
        <v>1156</v>
      </c>
    </row>
    <row r="864" spans="1:20" x14ac:dyDescent="0.2">
      <c r="A864" s="8" t="s">
        <v>4509</v>
      </c>
      <c r="B864" s="8" t="str">
        <f t="shared" si="26"/>
        <v>1586244043</v>
      </c>
      <c r="C864" s="8" t="str">
        <f t="shared" si="27"/>
        <v>899</v>
      </c>
      <c r="D864" s="8" t="s">
        <v>119</v>
      </c>
      <c r="F864" s="8" t="s">
        <v>915</v>
      </c>
      <c r="G864" s="8" t="s">
        <v>916</v>
      </c>
      <c r="H864" s="8" t="s">
        <v>917</v>
      </c>
      <c r="I864" s="8" t="s">
        <v>167</v>
      </c>
      <c r="J864" s="8" t="s">
        <v>918</v>
      </c>
      <c r="K864" s="8" t="s">
        <v>125</v>
      </c>
      <c r="L864" s="8" t="s">
        <v>919</v>
      </c>
      <c r="M864" s="8" t="s">
        <v>3119</v>
      </c>
      <c r="N864" s="8" t="s">
        <v>916</v>
      </c>
      <c r="O864" s="8">
        <v>535.57000000000005</v>
      </c>
      <c r="P864" s="8">
        <v>595.08000000000004</v>
      </c>
      <c r="Q864" s="8" t="s">
        <v>2607</v>
      </c>
      <c r="S864" s="8" t="s">
        <v>142</v>
      </c>
      <c r="T864" s="8">
        <v>28.03</v>
      </c>
    </row>
    <row r="865" spans="1:20" x14ac:dyDescent="0.2">
      <c r="A865" s="8" t="s">
        <v>3071</v>
      </c>
      <c r="B865" s="8" t="str">
        <f t="shared" si="26"/>
        <v>1586244049</v>
      </c>
      <c r="C865" s="8" t="str">
        <f t="shared" si="27"/>
        <v>900</v>
      </c>
      <c r="D865" s="8" t="s">
        <v>119</v>
      </c>
      <c r="F865" s="8" t="s">
        <v>714</v>
      </c>
      <c r="G865" s="8" t="s">
        <v>715</v>
      </c>
      <c r="H865" s="8" t="s">
        <v>716</v>
      </c>
      <c r="I865" s="8" t="s">
        <v>167</v>
      </c>
      <c r="J865" s="8" t="s">
        <v>717</v>
      </c>
      <c r="K865" s="8" t="s">
        <v>190</v>
      </c>
      <c r="L865" s="8" t="s">
        <v>718</v>
      </c>
      <c r="M865" s="8" t="s">
        <v>2922</v>
      </c>
      <c r="N865" s="8" t="s">
        <v>715</v>
      </c>
      <c r="O865" s="8">
        <v>1518.93</v>
      </c>
      <c r="P865" s="8">
        <v>1687.7</v>
      </c>
      <c r="Q865" s="8" t="s">
        <v>2608</v>
      </c>
      <c r="R865" s="8" t="s">
        <v>2446</v>
      </c>
    </row>
    <row r="866" spans="1:20" x14ac:dyDescent="0.2">
      <c r="A866" s="8" t="s">
        <v>4397</v>
      </c>
      <c r="B866" s="8" t="str">
        <f t="shared" si="26"/>
        <v>1586244049</v>
      </c>
      <c r="C866" s="8" t="str">
        <f t="shared" si="27"/>
        <v>901</v>
      </c>
      <c r="D866" s="8" t="s">
        <v>119</v>
      </c>
      <c r="F866" s="8" t="s">
        <v>714</v>
      </c>
      <c r="G866" s="8" t="s">
        <v>715</v>
      </c>
      <c r="H866" s="8" t="s">
        <v>716</v>
      </c>
      <c r="I866" s="8" t="s">
        <v>167</v>
      </c>
      <c r="J866" s="8" t="s">
        <v>717</v>
      </c>
      <c r="K866" s="8" t="s">
        <v>190</v>
      </c>
      <c r="L866" s="8" t="s">
        <v>718</v>
      </c>
      <c r="M866" s="8" t="s">
        <v>2922</v>
      </c>
      <c r="N866" s="8" t="s">
        <v>715</v>
      </c>
      <c r="O866" s="8">
        <v>1518.93</v>
      </c>
      <c r="P866" s="8">
        <v>1687.7</v>
      </c>
      <c r="Q866" s="8" t="s">
        <v>2608</v>
      </c>
      <c r="R866" s="8" t="s">
        <v>719</v>
      </c>
    </row>
    <row r="867" spans="1:20" x14ac:dyDescent="0.2">
      <c r="A867" s="8" t="s">
        <v>3191</v>
      </c>
      <c r="B867" s="8" t="str">
        <f t="shared" si="26"/>
        <v>1586244049</v>
      </c>
      <c r="C867" s="8" t="str">
        <f t="shared" si="27"/>
        <v>902</v>
      </c>
      <c r="D867" s="8" t="s">
        <v>119</v>
      </c>
      <c r="F867" s="8" t="s">
        <v>714</v>
      </c>
      <c r="G867" s="8" t="s">
        <v>715</v>
      </c>
      <c r="H867" s="8" t="s">
        <v>716</v>
      </c>
      <c r="I867" s="8" t="s">
        <v>167</v>
      </c>
      <c r="J867" s="8" t="s">
        <v>717</v>
      </c>
      <c r="K867" s="8" t="s">
        <v>190</v>
      </c>
      <c r="L867" s="8" t="s">
        <v>718</v>
      </c>
      <c r="M867" s="8" t="s">
        <v>2922</v>
      </c>
      <c r="N867" s="8" t="s">
        <v>715</v>
      </c>
      <c r="O867" s="8">
        <v>1518.93</v>
      </c>
      <c r="P867" s="8">
        <v>1687.7</v>
      </c>
      <c r="Q867" s="8" t="s">
        <v>2608</v>
      </c>
      <c r="S867" s="8" t="s">
        <v>542</v>
      </c>
      <c r="T867" s="8">
        <v>547.38</v>
      </c>
    </row>
    <row r="868" spans="1:20" x14ac:dyDescent="0.2">
      <c r="A868" s="8" t="s">
        <v>2921</v>
      </c>
      <c r="B868" s="8" t="str">
        <f t="shared" si="26"/>
        <v>1586244049</v>
      </c>
      <c r="C868" s="8" t="str">
        <f t="shared" si="27"/>
        <v>903</v>
      </c>
      <c r="D868" s="8" t="s">
        <v>119</v>
      </c>
      <c r="F868" s="8" t="s">
        <v>714</v>
      </c>
      <c r="G868" s="8" t="s">
        <v>715</v>
      </c>
      <c r="H868" s="8" t="s">
        <v>716</v>
      </c>
      <c r="I868" s="8" t="s">
        <v>167</v>
      </c>
      <c r="J868" s="8" t="s">
        <v>717</v>
      </c>
      <c r="K868" s="8" t="s">
        <v>190</v>
      </c>
      <c r="L868" s="8" t="s">
        <v>718</v>
      </c>
      <c r="M868" s="8" t="s">
        <v>2922</v>
      </c>
      <c r="N868" s="8" t="s">
        <v>715</v>
      </c>
      <c r="O868" s="8">
        <v>1518.93</v>
      </c>
      <c r="P868" s="8">
        <v>1687.7</v>
      </c>
      <c r="Q868" s="8" t="s">
        <v>2608</v>
      </c>
      <c r="S868" s="8" t="s">
        <v>393</v>
      </c>
      <c r="T868" s="8">
        <v>200.66</v>
      </c>
    </row>
    <row r="869" spans="1:20" x14ac:dyDescent="0.2">
      <c r="A869" s="8" t="s">
        <v>3768</v>
      </c>
      <c r="B869" s="8" t="str">
        <f t="shared" si="26"/>
        <v>1586244056</v>
      </c>
      <c r="C869" s="8" t="str">
        <f t="shared" si="27"/>
        <v>904</v>
      </c>
      <c r="D869" s="8" t="s">
        <v>119</v>
      </c>
      <c r="F869" s="8" t="s">
        <v>120</v>
      </c>
      <c r="G869" s="8" t="s">
        <v>313</v>
      </c>
      <c r="H869" s="8" t="s">
        <v>314</v>
      </c>
      <c r="I869" s="8" t="s">
        <v>315</v>
      </c>
      <c r="J869" s="8" t="s">
        <v>316</v>
      </c>
      <c r="K869" s="8" t="s">
        <v>310</v>
      </c>
      <c r="L869" s="8" t="s">
        <v>317</v>
      </c>
      <c r="M869" s="8" t="s">
        <v>2776</v>
      </c>
      <c r="N869" s="8" t="s">
        <v>313</v>
      </c>
      <c r="O869" s="8">
        <v>670.57</v>
      </c>
      <c r="P869" s="8">
        <v>745.08</v>
      </c>
      <c r="Q869" s="8" t="s">
        <v>2609</v>
      </c>
      <c r="R869" s="8" t="s">
        <v>697</v>
      </c>
    </row>
    <row r="870" spans="1:20" x14ac:dyDescent="0.2">
      <c r="A870" s="8" t="s">
        <v>2890</v>
      </c>
      <c r="B870" s="8" t="str">
        <f t="shared" si="26"/>
        <v>1586244056</v>
      </c>
      <c r="C870" s="8" t="str">
        <f t="shared" si="27"/>
        <v>905</v>
      </c>
      <c r="D870" s="8" t="s">
        <v>119</v>
      </c>
      <c r="F870" s="8" t="s">
        <v>120</v>
      </c>
      <c r="G870" s="8" t="s">
        <v>313</v>
      </c>
      <c r="H870" s="8" t="s">
        <v>314</v>
      </c>
      <c r="I870" s="8" t="s">
        <v>315</v>
      </c>
      <c r="J870" s="8" t="s">
        <v>316</v>
      </c>
      <c r="K870" s="8" t="s">
        <v>310</v>
      </c>
      <c r="L870" s="8" t="s">
        <v>317</v>
      </c>
      <c r="M870" s="8" t="s">
        <v>2776</v>
      </c>
      <c r="N870" s="8" t="s">
        <v>313</v>
      </c>
      <c r="O870" s="8">
        <v>670.57</v>
      </c>
      <c r="P870" s="8">
        <v>745.08</v>
      </c>
      <c r="Q870" s="8" t="s">
        <v>2609</v>
      </c>
      <c r="R870" s="8" t="s">
        <v>2444</v>
      </c>
    </row>
    <row r="871" spans="1:20" x14ac:dyDescent="0.2">
      <c r="A871" s="8" t="s">
        <v>3269</v>
      </c>
      <c r="B871" s="8" t="str">
        <f t="shared" si="26"/>
        <v>1586244056</v>
      </c>
      <c r="C871" s="8" t="str">
        <f t="shared" si="27"/>
        <v>906</v>
      </c>
      <c r="D871" s="8" t="s">
        <v>119</v>
      </c>
      <c r="F871" s="8" t="s">
        <v>120</v>
      </c>
      <c r="G871" s="8" t="s">
        <v>313</v>
      </c>
      <c r="H871" s="8" t="s">
        <v>314</v>
      </c>
      <c r="I871" s="8" t="s">
        <v>315</v>
      </c>
      <c r="J871" s="8" t="s">
        <v>316</v>
      </c>
      <c r="K871" s="8" t="s">
        <v>310</v>
      </c>
      <c r="L871" s="8" t="s">
        <v>317</v>
      </c>
      <c r="M871" s="8" t="s">
        <v>2776</v>
      </c>
      <c r="N871" s="8" t="s">
        <v>313</v>
      </c>
      <c r="O871" s="8">
        <v>670.57</v>
      </c>
      <c r="P871" s="8">
        <v>745.08</v>
      </c>
      <c r="Q871" s="8" t="s">
        <v>2609</v>
      </c>
      <c r="R871" s="8" t="s">
        <v>2377</v>
      </c>
    </row>
    <row r="872" spans="1:20" x14ac:dyDescent="0.2">
      <c r="A872" s="8" t="s">
        <v>3825</v>
      </c>
      <c r="B872" s="8" t="str">
        <f t="shared" si="26"/>
        <v>1586244056</v>
      </c>
      <c r="C872" s="8" t="str">
        <f t="shared" si="27"/>
        <v>907</v>
      </c>
      <c r="D872" s="8" t="s">
        <v>119</v>
      </c>
      <c r="F872" s="8" t="s">
        <v>120</v>
      </c>
      <c r="G872" s="8" t="s">
        <v>313</v>
      </c>
      <c r="H872" s="8" t="s">
        <v>314</v>
      </c>
      <c r="I872" s="8" t="s">
        <v>315</v>
      </c>
      <c r="J872" s="8" t="s">
        <v>316</v>
      </c>
      <c r="K872" s="8" t="s">
        <v>310</v>
      </c>
      <c r="L872" s="8" t="s">
        <v>317</v>
      </c>
      <c r="M872" s="8" t="s">
        <v>2776</v>
      </c>
      <c r="N872" s="8" t="s">
        <v>313</v>
      </c>
      <c r="O872" s="8">
        <v>670.57</v>
      </c>
      <c r="P872" s="8">
        <v>745.08</v>
      </c>
      <c r="Q872" s="8" t="s">
        <v>2609</v>
      </c>
      <c r="R872" s="8" t="s">
        <v>2167</v>
      </c>
    </row>
    <row r="873" spans="1:20" x14ac:dyDescent="0.2">
      <c r="A873" s="8" t="s">
        <v>3163</v>
      </c>
      <c r="B873" s="8" t="str">
        <f t="shared" si="26"/>
        <v>1586244056</v>
      </c>
      <c r="C873" s="8" t="str">
        <f t="shared" si="27"/>
        <v>908</v>
      </c>
      <c r="D873" s="8" t="s">
        <v>119</v>
      </c>
      <c r="F873" s="8" t="s">
        <v>120</v>
      </c>
      <c r="G873" s="8" t="s">
        <v>313</v>
      </c>
      <c r="H873" s="8" t="s">
        <v>314</v>
      </c>
      <c r="I873" s="8" t="s">
        <v>315</v>
      </c>
      <c r="J873" s="8" t="s">
        <v>316</v>
      </c>
      <c r="K873" s="8" t="s">
        <v>310</v>
      </c>
      <c r="L873" s="8" t="s">
        <v>317</v>
      </c>
      <c r="M873" s="8" t="s">
        <v>2776</v>
      </c>
      <c r="N873" s="8" t="s">
        <v>313</v>
      </c>
      <c r="O873" s="8">
        <v>670.57</v>
      </c>
      <c r="P873" s="8">
        <v>745.08</v>
      </c>
      <c r="Q873" s="8" t="s">
        <v>2609</v>
      </c>
      <c r="R873" s="8" t="s">
        <v>2162</v>
      </c>
    </row>
    <row r="874" spans="1:20" x14ac:dyDescent="0.2">
      <c r="A874" s="8" t="s">
        <v>3523</v>
      </c>
      <c r="B874" s="8" t="str">
        <f t="shared" si="26"/>
        <v>1586244056</v>
      </c>
      <c r="C874" s="8" t="str">
        <f t="shared" si="27"/>
        <v>909</v>
      </c>
      <c r="D874" s="8" t="s">
        <v>119</v>
      </c>
      <c r="F874" s="8" t="s">
        <v>120</v>
      </c>
      <c r="G874" s="8" t="s">
        <v>313</v>
      </c>
      <c r="H874" s="8" t="s">
        <v>314</v>
      </c>
      <c r="I874" s="8" t="s">
        <v>315</v>
      </c>
      <c r="J874" s="8" t="s">
        <v>316</v>
      </c>
      <c r="K874" s="8" t="s">
        <v>310</v>
      </c>
      <c r="L874" s="8" t="s">
        <v>317</v>
      </c>
      <c r="M874" s="8" t="s">
        <v>2776</v>
      </c>
      <c r="N874" s="8" t="s">
        <v>313</v>
      </c>
      <c r="O874" s="8">
        <v>670.57</v>
      </c>
      <c r="P874" s="8">
        <v>745.08</v>
      </c>
      <c r="Q874" s="8" t="s">
        <v>2609</v>
      </c>
      <c r="S874" s="8" t="s">
        <v>331</v>
      </c>
      <c r="T874" s="8">
        <v>138.69</v>
      </c>
    </row>
    <row r="875" spans="1:20" x14ac:dyDescent="0.2">
      <c r="A875" s="8" t="s">
        <v>4652</v>
      </c>
      <c r="B875" s="8" t="str">
        <f t="shared" si="26"/>
        <v>1586244056</v>
      </c>
      <c r="C875" s="8" t="str">
        <f t="shared" si="27"/>
        <v>910</v>
      </c>
      <c r="D875" s="8" t="s">
        <v>119</v>
      </c>
      <c r="F875" s="8" t="s">
        <v>120</v>
      </c>
      <c r="G875" s="8" t="s">
        <v>313</v>
      </c>
      <c r="H875" s="8" t="s">
        <v>314</v>
      </c>
      <c r="I875" s="8" t="s">
        <v>315</v>
      </c>
      <c r="J875" s="8" t="s">
        <v>316</v>
      </c>
      <c r="K875" s="8" t="s">
        <v>310</v>
      </c>
      <c r="L875" s="8" t="s">
        <v>317</v>
      </c>
      <c r="M875" s="8" t="s">
        <v>2776</v>
      </c>
      <c r="N875" s="8" t="s">
        <v>313</v>
      </c>
      <c r="O875" s="8">
        <v>670.57</v>
      </c>
      <c r="P875" s="8">
        <v>745.08</v>
      </c>
      <c r="Q875" s="8" t="s">
        <v>2609</v>
      </c>
      <c r="S875" s="8" t="s">
        <v>184</v>
      </c>
      <c r="T875" s="8">
        <v>77.459999999999994</v>
      </c>
    </row>
    <row r="876" spans="1:20" x14ac:dyDescent="0.2">
      <c r="A876" s="8" t="s">
        <v>4379</v>
      </c>
      <c r="B876" s="8" t="str">
        <f t="shared" si="26"/>
        <v>1586244056</v>
      </c>
      <c r="C876" s="8" t="str">
        <f t="shared" si="27"/>
        <v>911</v>
      </c>
      <c r="D876" s="8" t="s">
        <v>119</v>
      </c>
      <c r="F876" s="8" t="s">
        <v>120</v>
      </c>
      <c r="G876" s="8" t="s">
        <v>313</v>
      </c>
      <c r="H876" s="8" t="s">
        <v>314</v>
      </c>
      <c r="I876" s="8" t="s">
        <v>315</v>
      </c>
      <c r="J876" s="8" t="s">
        <v>316</v>
      </c>
      <c r="K876" s="8" t="s">
        <v>310</v>
      </c>
      <c r="L876" s="8" t="s">
        <v>317</v>
      </c>
      <c r="M876" s="8" t="s">
        <v>2776</v>
      </c>
      <c r="N876" s="8" t="s">
        <v>313</v>
      </c>
      <c r="O876" s="8">
        <v>670.57</v>
      </c>
      <c r="P876" s="8">
        <v>745.08</v>
      </c>
      <c r="Q876" s="8" t="s">
        <v>2609</v>
      </c>
      <c r="S876" s="8" t="s">
        <v>318</v>
      </c>
      <c r="T876" s="8">
        <v>61.97</v>
      </c>
    </row>
    <row r="877" spans="1:20" x14ac:dyDescent="0.2">
      <c r="A877" s="8" t="s">
        <v>3175</v>
      </c>
      <c r="B877" s="8" t="str">
        <f t="shared" si="26"/>
        <v>1586244056</v>
      </c>
      <c r="C877" s="8" t="str">
        <f t="shared" si="27"/>
        <v>912</v>
      </c>
      <c r="D877" s="8" t="s">
        <v>119</v>
      </c>
      <c r="F877" s="8" t="s">
        <v>120</v>
      </c>
      <c r="G877" s="8" t="s">
        <v>313</v>
      </c>
      <c r="H877" s="8" t="s">
        <v>314</v>
      </c>
      <c r="I877" s="8" t="s">
        <v>315</v>
      </c>
      <c r="J877" s="8" t="s">
        <v>316</v>
      </c>
      <c r="K877" s="8" t="s">
        <v>310</v>
      </c>
      <c r="L877" s="8" t="s">
        <v>317</v>
      </c>
      <c r="M877" s="8" t="s">
        <v>2776</v>
      </c>
      <c r="N877" s="8" t="s">
        <v>313</v>
      </c>
      <c r="O877" s="8">
        <v>670.57</v>
      </c>
      <c r="P877" s="8">
        <v>745.08</v>
      </c>
      <c r="Q877" s="8" t="s">
        <v>2609</v>
      </c>
      <c r="S877" s="8" t="s">
        <v>156</v>
      </c>
      <c r="T877" s="8">
        <v>51.64</v>
      </c>
    </row>
    <row r="878" spans="1:20" x14ac:dyDescent="0.2">
      <c r="A878" s="8" t="s">
        <v>4335</v>
      </c>
      <c r="B878" s="8" t="str">
        <f t="shared" si="26"/>
        <v>1586244058</v>
      </c>
      <c r="C878" s="8" t="str">
        <f t="shared" si="27"/>
        <v>913</v>
      </c>
      <c r="D878" s="8" t="s">
        <v>119</v>
      </c>
      <c r="F878" s="8" t="s">
        <v>120</v>
      </c>
      <c r="G878" s="8" t="s">
        <v>313</v>
      </c>
      <c r="H878" s="8" t="s">
        <v>314</v>
      </c>
      <c r="I878" s="8" t="s">
        <v>790</v>
      </c>
      <c r="J878" s="8" t="s">
        <v>791</v>
      </c>
      <c r="K878" s="8" t="s">
        <v>310</v>
      </c>
      <c r="L878" s="8" t="s">
        <v>792</v>
      </c>
      <c r="M878" s="8" t="s">
        <v>2776</v>
      </c>
      <c r="N878" s="8" t="s">
        <v>313</v>
      </c>
      <c r="O878" s="8">
        <v>686.07</v>
      </c>
      <c r="P878" s="8">
        <v>762.3</v>
      </c>
      <c r="Q878" s="8" t="s">
        <v>2610</v>
      </c>
      <c r="R878" s="8" t="s">
        <v>2300</v>
      </c>
    </row>
    <row r="879" spans="1:20" x14ac:dyDescent="0.2">
      <c r="A879" s="8" t="s">
        <v>3575</v>
      </c>
      <c r="B879" s="8" t="str">
        <f t="shared" si="26"/>
        <v>1586244058</v>
      </c>
      <c r="C879" s="8" t="str">
        <f t="shared" si="27"/>
        <v>914</v>
      </c>
      <c r="D879" s="8" t="s">
        <v>119</v>
      </c>
      <c r="F879" s="8" t="s">
        <v>120</v>
      </c>
      <c r="G879" s="8" t="s">
        <v>313</v>
      </c>
      <c r="H879" s="8" t="s">
        <v>314</v>
      </c>
      <c r="I879" s="8" t="s">
        <v>790</v>
      </c>
      <c r="J879" s="8" t="s">
        <v>791</v>
      </c>
      <c r="K879" s="8" t="s">
        <v>310</v>
      </c>
      <c r="L879" s="8" t="s">
        <v>792</v>
      </c>
      <c r="M879" s="8" t="s">
        <v>2776</v>
      </c>
      <c r="N879" s="8" t="s">
        <v>313</v>
      </c>
      <c r="O879" s="8">
        <v>686.07</v>
      </c>
      <c r="P879" s="8">
        <v>762.3</v>
      </c>
      <c r="Q879" s="8" t="s">
        <v>2610</v>
      </c>
      <c r="R879" s="8" t="s">
        <v>793</v>
      </c>
    </row>
    <row r="880" spans="1:20" x14ac:dyDescent="0.2">
      <c r="A880" s="8" t="s">
        <v>4341</v>
      </c>
      <c r="B880" s="8" t="str">
        <f t="shared" si="26"/>
        <v>1586244058</v>
      </c>
      <c r="C880" s="8" t="str">
        <f t="shared" si="27"/>
        <v>915</v>
      </c>
      <c r="D880" s="8" t="s">
        <v>119</v>
      </c>
      <c r="F880" s="8" t="s">
        <v>120</v>
      </c>
      <c r="G880" s="8" t="s">
        <v>313</v>
      </c>
      <c r="H880" s="8" t="s">
        <v>314</v>
      </c>
      <c r="I880" s="8" t="s">
        <v>790</v>
      </c>
      <c r="J880" s="8" t="s">
        <v>791</v>
      </c>
      <c r="K880" s="8" t="s">
        <v>310</v>
      </c>
      <c r="L880" s="8" t="s">
        <v>792</v>
      </c>
      <c r="M880" s="8" t="s">
        <v>2776</v>
      </c>
      <c r="N880" s="8" t="s">
        <v>313</v>
      </c>
      <c r="O880" s="8">
        <v>686.07</v>
      </c>
      <c r="P880" s="8">
        <v>762.3</v>
      </c>
      <c r="Q880" s="8" t="s">
        <v>2610</v>
      </c>
      <c r="R880" s="8" t="s">
        <v>868</v>
      </c>
    </row>
    <row r="881" spans="1:20" x14ac:dyDescent="0.2">
      <c r="A881" s="8" t="s">
        <v>4632</v>
      </c>
      <c r="B881" s="8" t="str">
        <f t="shared" si="26"/>
        <v>1586244058</v>
      </c>
      <c r="C881" s="8" t="str">
        <f t="shared" si="27"/>
        <v>916</v>
      </c>
      <c r="D881" s="8" t="s">
        <v>119</v>
      </c>
      <c r="F881" s="8" t="s">
        <v>120</v>
      </c>
      <c r="G881" s="8" t="s">
        <v>313</v>
      </c>
      <c r="H881" s="8" t="s">
        <v>314</v>
      </c>
      <c r="I881" s="8" t="s">
        <v>790</v>
      </c>
      <c r="J881" s="8" t="s">
        <v>791</v>
      </c>
      <c r="K881" s="8" t="s">
        <v>310</v>
      </c>
      <c r="L881" s="8" t="s">
        <v>792</v>
      </c>
      <c r="M881" s="8" t="s">
        <v>2776</v>
      </c>
      <c r="N881" s="8" t="s">
        <v>313</v>
      </c>
      <c r="O881" s="8">
        <v>686.07</v>
      </c>
      <c r="P881" s="8">
        <v>762.3</v>
      </c>
      <c r="Q881" s="8" t="s">
        <v>2610</v>
      </c>
      <c r="R881" s="8" t="s">
        <v>1339</v>
      </c>
    </row>
    <row r="882" spans="1:20" x14ac:dyDescent="0.2">
      <c r="A882" s="8" t="s">
        <v>3336</v>
      </c>
      <c r="B882" s="8" t="str">
        <f t="shared" si="26"/>
        <v>1586244058</v>
      </c>
      <c r="C882" s="8" t="str">
        <f t="shared" si="27"/>
        <v>917</v>
      </c>
      <c r="D882" s="8" t="s">
        <v>119</v>
      </c>
      <c r="F882" s="8" t="s">
        <v>120</v>
      </c>
      <c r="G882" s="8" t="s">
        <v>313</v>
      </c>
      <c r="H882" s="8" t="s">
        <v>314</v>
      </c>
      <c r="I882" s="8" t="s">
        <v>790</v>
      </c>
      <c r="J882" s="8" t="s">
        <v>791</v>
      </c>
      <c r="K882" s="8" t="s">
        <v>310</v>
      </c>
      <c r="L882" s="8" t="s">
        <v>792</v>
      </c>
      <c r="M882" s="8" t="s">
        <v>2776</v>
      </c>
      <c r="N882" s="8" t="s">
        <v>313</v>
      </c>
      <c r="O882" s="8">
        <v>686.07</v>
      </c>
      <c r="P882" s="8">
        <v>762.3</v>
      </c>
      <c r="Q882" s="8" t="s">
        <v>2610</v>
      </c>
      <c r="S882" s="8" t="s">
        <v>331</v>
      </c>
      <c r="T882" s="8">
        <v>123.2</v>
      </c>
    </row>
    <row r="883" spans="1:20" x14ac:dyDescent="0.2">
      <c r="A883" s="8" t="s">
        <v>3110</v>
      </c>
      <c r="B883" s="8" t="str">
        <f t="shared" si="26"/>
        <v>1586244058</v>
      </c>
      <c r="C883" s="8" t="str">
        <f t="shared" si="27"/>
        <v>918</v>
      </c>
      <c r="D883" s="8" t="s">
        <v>119</v>
      </c>
      <c r="F883" s="8" t="s">
        <v>120</v>
      </c>
      <c r="G883" s="8" t="s">
        <v>313</v>
      </c>
      <c r="H883" s="8" t="s">
        <v>314</v>
      </c>
      <c r="I883" s="8" t="s">
        <v>790</v>
      </c>
      <c r="J883" s="8" t="s">
        <v>791</v>
      </c>
      <c r="K883" s="8" t="s">
        <v>310</v>
      </c>
      <c r="L883" s="8" t="s">
        <v>792</v>
      </c>
      <c r="M883" s="8" t="s">
        <v>2776</v>
      </c>
      <c r="N883" s="8" t="s">
        <v>313</v>
      </c>
      <c r="O883" s="8">
        <v>686.07</v>
      </c>
      <c r="P883" s="8">
        <v>762.3</v>
      </c>
      <c r="Q883" s="8" t="s">
        <v>2610</v>
      </c>
      <c r="S883" s="8" t="s">
        <v>184</v>
      </c>
      <c r="T883" s="8">
        <v>77.459999999999994</v>
      </c>
    </row>
    <row r="884" spans="1:20" x14ac:dyDescent="0.2">
      <c r="A884" s="8" t="s">
        <v>3167</v>
      </c>
      <c r="B884" s="8" t="str">
        <f t="shared" si="26"/>
        <v>1586244058</v>
      </c>
      <c r="C884" s="8" t="str">
        <f t="shared" si="27"/>
        <v>919</v>
      </c>
      <c r="D884" s="8" t="s">
        <v>119</v>
      </c>
      <c r="F884" s="8" t="s">
        <v>120</v>
      </c>
      <c r="G884" s="8" t="s">
        <v>313</v>
      </c>
      <c r="H884" s="8" t="s">
        <v>314</v>
      </c>
      <c r="I884" s="8" t="s">
        <v>790</v>
      </c>
      <c r="J884" s="8" t="s">
        <v>791</v>
      </c>
      <c r="K884" s="8" t="s">
        <v>310</v>
      </c>
      <c r="L884" s="8" t="s">
        <v>792</v>
      </c>
      <c r="M884" s="8" t="s">
        <v>2776</v>
      </c>
      <c r="N884" s="8" t="s">
        <v>313</v>
      </c>
      <c r="O884" s="8">
        <v>686.07</v>
      </c>
      <c r="P884" s="8">
        <v>762.3</v>
      </c>
      <c r="Q884" s="8" t="s">
        <v>2610</v>
      </c>
      <c r="S884" s="8" t="s">
        <v>1975</v>
      </c>
      <c r="T884" s="8">
        <v>61.97</v>
      </c>
    </row>
    <row r="885" spans="1:20" x14ac:dyDescent="0.2">
      <c r="A885" s="8" t="s">
        <v>3976</v>
      </c>
      <c r="B885" s="8" t="str">
        <f t="shared" si="26"/>
        <v>1586244062</v>
      </c>
      <c r="C885" s="8" t="str">
        <f t="shared" si="27"/>
        <v>920</v>
      </c>
      <c r="D885" s="8" t="s">
        <v>119</v>
      </c>
      <c r="F885" s="8" t="s">
        <v>120</v>
      </c>
      <c r="G885" s="8" t="s">
        <v>121</v>
      </c>
      <c r="H885" s="8" t="s">
        <v>122</v>
      </c>
      <c r="I885" s="8" t="s">
        <v>123</v>
      </c>
      <c r="J885" s="8" t="s">
        <v>124</v>
      </c>
      <c r="K885" s="8" t="s">
        <v>125</v>
      </c>
      <c r="L885" s="8" t="s">
        <v>126</v>
      </c>
      <c r="M885" s="8" t="s">
        <v>2776</v>
      </c>
      <c r="N885" s="8" t="s">
        <v>121</v>
      </c>
      <c r="O885" s="8">
        <v>464.75</v>
      </c>
      <c r="P885" s="8">
        <v>516.39</v>
      </c>
      <c r="Q885" s="8" t="s">
        <v>2611</v>
      </c>
      <c r="R885" s="8" t="s">
        <v>1991</v>
      </c>
    </row>
    <row r="886" spans="1:20" x14ac:dyDescent="0.2">
      <c r="A886" s="8" t="s">
        <v>3686</v>
      </c>
      <c r="B886" s="8" t="str">
        <f t="shared" si="26"/>
        <v>1586244062</v>
      </c>
      <c r="C886" s="8" t="str">
        <f t="shared" si="27"/>
        <v>921</v>
      </c>
      <c r="D886" s="8" t="s">
        <v>119</v>
      </c>
      <c r="F886" s="8" t="s">
        <v>120</v>
      </c>
      <c r="G886" s="8" t="s">
        <v>121</v>
      </c>
      <c r="H886" s="8" t="s">
        <v>122</v>
      </c>
      <c r="I886" s="8" t="s">
        <v>123</v>
      </c>
      <c r="J886" s="8" t="s">
        <v>124</v>
      </c>
      <c r="K886" s="8" t="s">
        <v>125</v>
      </c>
      <c r="L886" s="8" t="s">
        <v>126</v>
      </c>
      <c r="M886" s="8" t="s">
        <v>2776</v>
      </c>
      <c r="N886" s="8" t="s">
        <v>121</v>
      </c>
      <c r="O886" s="8">
        <v>464.75</v>
      </c>
      <c r="P886" s="8">
        <v>516.39</v>
      </c>
      <c r="Q886" s="8" t="s">
        <v>2611</v>
      </c>
      <c r="R886" s="8" t="s">
        <v>1844</v>
      </c>
    </row>
    <row r="887" spans="1:20" x14ac:dyDescent="0.2">
      <c r="A887" s="8" t="s">
        <v>3811</v>
      </c>
      <c r="B887" s="8" t="str">
        <f t="shared" si="26"/>
        <v>1586244062</v>
      </c>
      <c r="C887" s="8" t="str">
        <f t="shared" si="27"/>
        <v>922</v>
      </c>
      <c r="D887" s="8" t="s">
        <v>119</v>
      </c>
      <c r="F887" s="8" t="s">
        <v>120</v>
      </c>
      <c r="G887" s="8" t="s">
        <v>121</v>
      </c>
      <c r="H887" s="8" t="s">
        <v>122</v>
      </c>
      <c r="I887" s="8" t="s">
        <v>123</v>
      </c>
      <c r="J887" s="8" t="s">
        <v>124</v>
      </c>
      <c r="K887" s="8" t="s">
        <v>125</v>
      </c>
      <c r="L887" s="8" t="s">
        <v>126</v>
      </c>
      <c r="M887" s="8" t="s">
        <v>2776</v>
      </c>
      <c r="N887" s="8" t="s">
        <v>121</v>
      </c>
      <c r="O887" s="8">
        <v>464.75</v>
      </c>
      <c r="P887" s="8">
        <v>516.39</v>
      </c>
      <c r="Q887" s="8" t="s">
        <v>2611</v>
      </c>
      <c r="R887" s="8" t="s">
        <v>1337</v>
      </c>
    </row>
    <row r="888" spans="1:20" x14ac:dyDescent="0.2">
      <c r="A888" s="8" t="s">
        <v>3537</v>
      </c>
      <c r="B888" s="8" t="str">
        <f t="shared" si="26"/>
        <v>1586244062</v>
      </c>
      <c r="C888" s="8" t="str">
        <f t="shared" si="27"/>
        <v>923</v>
      </c>
      <c r="D888" s="8" t="s">
        <v>119</v>
      </c>
      <c r="F888" s="8" t="s">
        <v>120</v>
      </c>
      <c r="G888" s="8" t="s">
        <v>121</v>
      </c>
      <c r="H888" s="8" t="s">
        <v>122</v>
      </c>
      <c r="I888" s="8" t="s">
        <v>123</v>
      </c>
      <c r="J888" s="8" t="s">
        <v>124</v>
      </c>
      <c r="K888" s="8" t="s">
        <v>125</v>
      </c>
      <c r="L888" s="8" t="s">
        <v>126</v>
      </c>
      <c r="M888" s="8" t="s">
        <v>2776</v>
      </c>
      <c r="N888" s="8" t="s">
        <v>121</v>
      </c>
      <c r="O888" s="8">
        <v>464.75</v>
      </c>
      <c r="P888" s="8">
        <v>516.39</v>
      </c>
      <c r="Q888" s="8" t="s">
        <v>2611</v>
      </c>
      <c r="R888" s="8" t="s">
        <v>2427</v>
      </c>
    </row>
    <row r="889" spans="1:20" x14ac:dyDescent="0.2">
      <c r="A889" s="8" t="s">
        <v>2822</v>
      </c>
      <c r="B889" s="8" t="str">
        <f t="shared" si="26"/>
        <v>1586244062</v>
      </c>
      <c r="C889" s="8" t="str">
        <f t="shared" si="27"/>
        <v>924</v>
      </c>
      <c r="D889" s="8" t="s">
        <v>119</v>
      </c>
      <c r="F889" s="8" t="s">
        <v>120</v>
      </c>
      <c r="G889" s="8" t="s">
        <v>121</v>
      </c>
      <c r="H889" s="8" t="s">
        <v>122</v>
      </c>
      <c r="I889" s="8" t="s">
        <v>123</v>
      </c>
      <c r="J889" s="8" t="s">
        <v>124</v>
      </c>
      <c r="K889" s="8" t="s">
        <v>125</v>
      </c>
      <c r="L889" s="8" t="s">
        <v>126</v>
      </c>
      <c r="M889" s="8" t="s">
        <v>2776</v>
      </c>
      <c r="N889" s="8" t="s">
        <v>121</v>
      </c>
      <c r="O889" s="8">
        <v>464.75</v>
      </c>
      <c r="P889" s="8">
        <v>516.39</v>
      </c>
      <c r="Q889" s="8" t="s">
        <v>2611</v>
      </c>
      <c r="R889" s="8" t="s">
        <v>127</v>
      </c>
    </row>
    <row r="890" spans="1:20" x14ac:dyDescent="0.2">
      <c r="A890" s="8" t="s">
        <v>4584</v>
      </c>
      <c r="B890" s="8" t="str">
        <f t="shared" si="26"/>
        <v>1586244062</v>
      </c>
      <c r="C890" s="8" t="str">
        <f t="shared" si="27"/>
        <v>925</v>
      </c>
      <c r="D890" s="8" t="s">
        <v>119</v>
      </c>
      <c r="F890" s="8" t="s">
        <v>120</v>
      </c>
      <c r="G890" s="8" t="s">
        <v>121</v>
      </c>
      <c r="H890" s="8" t="s">
        <v>122</v>
      </c>
      <c r="I890" s="8" t="s">
        <v>123</v>
      </c>
      <c r="J890" s="8" t="s">
        <v>124</v>
      </c>
      <c r="K890" s="8" t="s">
        <v>125</v>
      </c>
      <c r="L890" s="8" t="s">
        <v>126</v>
      </c>
      <c r="M890" s="8" t="s">
        <v>2776</v>
      </c>
      <c r="N890" s="8" t="s">
        <v>121</v>
      </c>
      <c r="O890" s="8">
        <v>464.75</v>
      </c>
      <c r="P890" s="8">
        <v>516.39</v>
      </c>
      <c r="Q890" s="8" t="s">
        <v>2611</v>
      </c>
      <c r="R890" s="8" t="s">
        <v>1866</v>
      </c>
    </row>
    <row r="891" spans="1:20" x14ac:dyDescent="0.2">
      <c r="A891" s="8" t="s">
        <v>3363</v>
      </c>
      <c r="B891" s="8" t="str">
        <f t="shared" si="26"/>
        <v>1586244062</v>
      </c>
      <c r="C891" s="8" t="str">
        <f t="shared" si="27"/>
        <v>926</v>
      </c>
      <c r="D891" s="8" t="s">
        <v>119</v>
      </c>
      <c r="F891" s="8" t="s">
        <v>120</v>
      </c>
      <c r="G891" s="8" t="s">
        <v>121</v>
      </c>
      <c r="H891" s="8" t="s">
        <v>122</v>
      </c>
      <c r="I891" s="8" t="s">
        <v>123</v>
      </c>
      <c r="J891" s="8" t="s">
        <v>124</v>
      </c>
      <c r="K891" s="8" t="s">
        <v>125</v>
      </c>
      <c r="L891" s="8" t="s">
        <v>126</v>
      </c>
      <c r="M891" s="8" t="s">
        <v>2776</v>
      </c>
      <c r="N891" s="8" t="s">
        <v>121</v>
      </c>
      <c r="O891" s="8">
        <v>464.75</v>
      </c>
      <c r="P891" s="8">
        <v>516.39</v>
      </c>
      <c r="Q891" s="8" t="s">
        <v>2611</v>
      </c>
      <c r="S891" s="8" t="s">
        <v>331</v>
      </c>
      <c r="T891" s="8">
        <v>14.75</v>
      </c>
    </row>
    <row r="892" spans="1:20" x14ac:dyDescent="0.2">
      <c r="A892" s="8" t="s">
        <v>3871</v>
      </c>
      <c r="B892" s="8" t="str">
        <f t="shared" si="26"/>
        <v>1586244062</v>
      </c>
      <c r="C892" s="8" t="str">
        <f t="shared" si="27"/>
        <v>927</v>
      </c>
      <c r="D892" s="8" t="s">
        <v>119</v>
      </c>
      <c r="F892" s="8" t="s">
        <v>120</v>
      </c>
      <c r="G892" s="8" t="s">
        <v>121</v>
      </c>
      <c r="H892" s="8" t="s">
        <v>122</v>
      </c>
      <c r="I892" s="8" t="s">
        <v>123</v>
      </c>
      <c r="J892" s="8" t="s">
        <v>124</v>
      </c>
      <c r="K892" s="8" t="s">
        <v>125</v>
      </c>
      <c r="L892" s="8" t="s">
        <v>126</v>
      </c>
      <c r="M892" s="8" t="s">
        <v>2776</v>
      </c>
      <c r="N892" s="8" t="s">
        <v>121</v>
      </c>
      <c r="O892" s="8">
        <v>464.75</v>
      </c>
      <c r="P892" s="8">
        <v>516.39</v>
      </c>
      <c r="Q892" s="8" t="s">
        <v>2611</v>
      </c>
      <c r="S892" s="8" t="s">
        <v>1705</v>
      </c>
      <c r="T892" s="8">
        <v>81.150000000000006</v>
      </c>
    </row>
    <row r="893" spans="1:20" x14ac:dyDescent="0.2">
      <c r="A893" s="8" t="s">
        <v>3616</v>
      </c>
      <c r="B893" s="8" t="str">
        <f t="shared" si="26"/>
        <v>1586244062</v>
      </c>
      <c r="C893" s="8" t="str">
        <f t="shared" si="27"/>
        <v>928</v>
      </c>
      <c r="D893" s="8" t="s">
        <v>119</v>
      </c>
      <c r="F893" s="8" t="s">
        <v>120</v>
      </c>
      <c r="G893" s="8" t="s">
        <v>121</v>
      </c>
      <c r="H893" s="8" t="s">
        <v>122</v>
      </c>
      <c r="I893" s="8" t="s">
        <v>123</v>
      </c>
      <c r="J893" s="8" t="s">
        <v>124</v>
      </c>
      <c r="K893" s="8" t="s">
        <v>125</v>
      </c>
      <c r="L893" s="8" t="s">
        <v>126</v>
      </c>
      <c r="M893" s="8" t="s">
        <v>2776</v>
      </c>
      <c r="N893" s="8" t="s">
        <v>121</v>
      </c>
      <c r="O893" s="8">
        <v>464.75</v>
      </c>
      <c r="P893" s="8">
        <v>516.39</v>
      </c>
      <c r="Q893" s="8" t="s">
        <v>2611</v>
      </c>
      <c r="S893" s="8" t="s">
        <v>1272</v>
      </c>
      <c r="T893" s="8">
        <v>66.39</v>
      </c>
    </row>
    <row r="894" spans="1:20" x14ac:dyDescent="0.2">
      <c r="A894" s="8" t="s">
        <v>3661</v>
      </c>
      <c r="B894" s="8" t="str">
        <f t="shared" si="26"/>
        <v>1586244066</v>
      </c>
      <c r="C894" s="8" t="str">
        <f t="shared" si="27"/>
        <v>929</v>
      </c>
      <c r="D894" s="8" t="s">
        <v>119</v>
      </c>
      <c r="F894" s="8" t="s">
        <v>120</v>
      </c>
      <c r="G894" s="8" t="s">
        <v>216</v>
      </c>
      <c r="H894" s="8" t="s">
        <v>217</v>
      </c>
      <c r="I894" s="8" t="s">
        <v>181</v>
      </c>
      <c r="J894" s="8" t="s">
        <v>218</v>
      </c>
      <c r="K894" s="8" t="s">
        <v>219</v>
      </c>
      <c r="L894" s="8" t="s">
        <v>220</v>
      </c>
      <c r="M894" s="8" t="s">
        <v>2776</v>
      </c>
      <c r="N894" s="8" t="s">
        <v>216</v>
      </c>
      <c r="O894" s="8">
        <v>432.3</v>
      </c>
      <c r="P894" s="8">
        <v>480.33</v>
      </c>
      <c r="Q894" s="8" t="s">
        <v>2612</v>
      </c>
      <c r="R894" s="8" t="s">
        <v>2202</v>
      </c>
    </row>
    <row r="895" spans="1:20" x14ac:dyDescent="0.2">
      <c r="A895" s="8" t="s">
        <v>3646</v>
      </c>
      <c r="B895" s="8" t="str">
        <f t="shared" si="26"/>
        <v>1586244066</v>
      </c>
      <c r="C895" s="8" t="str">
        <f t="shared" si="27"/>
        <v>930</v>
      </c>
      <c r="D895" s="8" t="s">
        <v>119</v>
      </c>
      <c r="F895" s="8" t="s">
        <v>120</v>
      </c>
      <c r="G895" s="8" t="s">
        <v>216</v>
      </c>
      <c r="H895" s="8" t="s">
        <v>217</v>
      </c>
      <c r="I895" s="8" t="s">
        <v>181</v>
      </c>
      <c r="J895" s="8" t="s">
        <v>218</v>
      </c>
      <c r="K895" s="8" t="s">
        <v>219</v>
      </c>
      <c r="L895" s="8" t="s">
        <v>220</v>
      </c>
      <c r="M895" s="8" t="s">
        <v>2776</v>
      </c>
      <c r="N895" s="8" t="s">
        <v>216</v>
      </c>
      <c r="O895" s="8">
        <v>432.3</v>
      </c>
      <c r="P895" s="8">
        <v>480.33</v>
      </c>
      <c r="Q895" s="8" t="s">
        <v>2612</v>
      </c>
      <c r="R895" s="8" t="s">
        <v>720</v>
      </c>
    </row>
    <row r="896" spans="1:20" x14ac:dyDescent="0.2">
      <c r="A896" s="8" t="s">
        <v>2917</v>
      </c>
      <c r="B896" s="8" t="str">
        <f t="shared" si="26"/>
        <v>1586244066</v>
      </c>
      <c r="C896" s="8" t="str">
        <f t="shared" si="27"/>
        <v>931</v>
      </c>
      <c r="D896" s="8" t="s">
        <v>119</v>
      </c>
      <c r="F896" s="8" t="s">
        <v>120</v>
      </c>
      <c r="G896" s="8" t="s">
        <v>216</v>
      </c>
      <c r="H896" s="8" t="s">
        <v>217</v>
      </c>
      <c r="I896" s="8" t="s">
        <v>181</v>
      </c>
      <c r="J896" s="8" t="s">
        <v>218</v>
      </c>
      <c r="K896" s="8" t="s">
        <v>219</v>
      </c>
      <c r="L896" s="8" t="s">
        <v>220</v>
      </c>
      <c r="M896" s="8" t="s">
        <v>2776</v>
      </c>
      <c r="N896" s="8" t="s">
        <v>216</v>
      </c>
      <c r="O896" s="8">
        <v>432.3</v>
      </c>
      <c r="P896" s="8">
        <v>480.33</v>
      </c>
      <c r="Q896" s="8" t="s">
        <v>2612</v>
      </c>
      <c r="R896" s="8" t="s">
        <v>2291</v>
      </c>
    </row>
    <row r="897" spans="1:20" x14ac:dyDescent="0.2">
      <c r="A897" s="8" t="s">
        <v>3649</v>
      </c>
      <c r="B897" s="8" t="str">
        <f t="shared" si="26"/>
        <v>1586244066</v>
      </c>
      <c r="C897" s="8" t="str">
        <f t="shared" si="27"/>
        <v>932</v>
      </c>
      <c r="D897" s="8" t="s">
        <v>119</v>
      </c>
      <c r="F897" s="8" t="s">
        <v>120</v>
      </c>
      <c r="G897" s="8" t="s">
        <v>216</v>
      </c>
      <c r="H897" s="8" t="s">
        <v>217</v>
      </c>
      <c r="I897" s="8" t="s">
        <v>181</v>
      </c>
      <c r="J897" s="8" t="s">
        <v>218</v>
      </c>
      <c r="K897" s="8" t="s">
        <v>219</v>
      </c>
      <c r="L897" s="8" t="s">
        <v>220</v>
      </c>
      <c r="M897" s="8" t="s">
        <v>2776</v>
      </c>
      <c r="N897" s="8" t="s">
        <v>216</v>
      </c>
      <c r="O897" s="8">
        <v>432.3</v>
      </c>
      <c r="P897" s="8">
        <v>480.33</v>
      </c>
      <c r="Q897" s="8" t="s">
        <v>2612</v>
      </c>
      <c r="R897" s="8" t="s">
        <v>221</v>
      </c>
    </row>
    <row r="898" spans="1:20" x14ac:dyDescent="0.2">
      <c r="A898" s="8" t="s">
        <v>4001</v>
      </c>
      <c r="B898" s="8" t="str">
        <f t="shared" ref="B898:B961" si="28">LEFT(A898, FIND("-", A898) - 1)</f>
        <v>1586244066</v>
      </c>
      <c r="C898" s="8" t="str">
        <f t="shared" ref="C898:C961" si="29">RIGHT(A898, LEN(A898) - FIND("-", A898))</f>
        <v>933</v>
      </c>
      <c r="D898" s="8" t="s">
        <v>119</v>
      </c>
      <c r="F898" s="8" t="s">
        <v>120</v>
      </c>
      <c r="G898" s="8" t="s">
        <v>216</v>
      </c>
      <c r="H898" s="8" t="s">
        <v>217</v>
      </c>
      <c r="I898" s="8" t="s">
        <v>181</v>
      </c>
      <c r="J898" s="8" t="s">
        <v>218</v>
      </c>
      <c r="K898" s="8" t="s">
        <v>219</v>
      </c>
      <c r="L898" s="8" t="s">
        <v>220</v>
      </c>
      <c r="M898" s="8" t="s">
        <v>2776</v>
      </c>
      <c r="N898" s="8" t="s">
        <v>216</v>
      </c>
      <c r="O898" s="8">
        <v>432.3</v>
      </c>
      <c r="P898" s="8">
        <v>480.33</v>
      </c>
      <c r="Q898" s="8" t="s">
        <v>2612</v>
      </c>
      <c r="R898" s="8" t="s">
        <v>2455</v>
      </c>
    </row>
    <row r="899" spans="1:20" x14ac:dyDescent="0.2">
      <c r="A899" s="8" t="s">
        <v>3580</v>
      </c>
      <c r="B899" s="8" t="str">
        <f t="shared" si="28"/>
        <v>1586244066</v>
      </c>
      <c r="C899" s="8" t="str">
        <f t="shared" si="29"/>
        <v>934</v>
      </c>
      <c r="D899" s="8" t="s">
        <v>119</v>
      </c>
      <c r="F899" s="8" t="s">
        <v>120</v>
      </c>
      <c r="G899" s="8" t="s">
        <v>216</v>
      </c>
      <c r="H899" s="8" t="s">
        <v>217</v>
      </c>
      <c r="I899" s="8" t="s">
        <v>181</v>
      </c>
      <c r="J899" s="8" t="s">
        <v>218</v>
      </c>
      <c r="K899" s="8" t="s">
        <v>219</v>
      </c>
      <c r="L899" s="8" t="s">
        <v>220</v>
      </c>
      <c r="M899" s="8" t="s">
        <v>2776</v>
      </c>
      <c r="N899" s="8" t="s">
        <v>216</v>
      </c>
      <c r="O899" s="8">
        <v>432.3</v>
      </c>
      <c r="P899" s="8">
        <v>480.33</v>
      </c>
      <c r="Q899" s="8" t="s">
        <v>2612</v>
      </c>
      <c r="R899" s="8" t="s">
        <v>667</v>
      </c>
    </row>
    <row r="900" spans="1:20" x14ac:dyDescent="0.2">
      <c r="A900" s="8" t="s">
        <v>3243</v>
      </c>
      <c r="B900" s="8" t="str">
        <f t="shared" si="28"/>
        <v>1586244066</v>
      </c>
      <c r="C900" s="8" t="str">
        <f t="shared" si="29"/>
        <v>935</v>
      </c>
      <c r="D900" s="8" t="s">
        <v>119</v>
      </c>
      <c r="F900" s="8" t="s">
        <v>120</v>
      </c>
      <c r="G900" s="8" t="s">
        <v>216</v>
      </c>
      <c r="H900" s="8" t="s">
        <v>217</v>
      </c>
      <c r="I900" s="8" t="s">
        <v>181</v>
      </c>
      <c r="J900" s="8" t="s">
        <v>218</v>
      </c>
      <c r="K900" s="8" t="s">
        <v>219</v>
      </c>
      <c r="L900" s="8" t="s">
        <v>220</v>
      </c>
      <c r="M900" s="8" t="s">
        <v>2776</v>
      </c>
      <c r="N900" s="8" t="s">
        <v>216</v>
      </c>
      <c r="O900" s="8">
        <v>432.3</v>
      </c>
      <c r="P900" s="8">
        <v>480.33</v>
      </c>
      <c r="Q900" s="8" t="s">
        <v>2612</v>
      </c>
      <c r="S900" s="8" t="s">
        <v>156</v>
      </c>
      <c r="T900" s="8">
        <v>51.64</v>
      </c>
    </row>
    <row r="901" spans="1:20" x14ac:dyDescent="0.2">
      <c r="A901" s="8" t="s">
        <v>3527</v>
      </c>
      <c r="B901" s="8" t="str">
        <f t="shared" si="28"/>
        <v>1586244066</v>
      </c>
      <c r="C901" s="8" t="str">
        <f t="shared" si="29"/>
        <v>936</v>
      </c>
      <c r="D901" s="8" t="s">
        <v>119</v>
      </c>
      <c r="F901" s="8" t="s">
        <v>120</v>
      </c>
      <c r="G901" s="8" t="s">
        <v>216</v>
      </c>
      <c r="H901" s="8" t="s">
        <v>217</v>
      </c>
      <c r="I901" s="8" t="s">
        <v>181</v>
      </c>
      <c r="J901" s="8" t="s">
        <v>218</v>
      </c>
      <c r="K901" s="8" t="s">
        <v>219</v>
      </c>
      <c r="L901" s="8" t="s">
        <v>220</v>
      </c>
      <c r="M901" s="8" t="s">
        <v>2776</v>
      </c>
      <c r="N901" s="8" t="s">
        <v>216</v>
      </c>
      <c r="O901" s="8">
        <v>432.3</v>
      </c>
      <c r="P901" s="8">
        <v>480.33</v>
      </c>
      <c r="Q901" s="8" t="s">
        <v>2612</v>
      </c>
      <c r="S901" s="8" t="s">
        <v>1078</v>
      </c>
      <c r="T901" s="8">
        <v>132.05000000000001</v>
      </c>
    </row>
    <row r="902" spans="1:20" x14ac:dyDescent="0.2">
      <c r="A902" s="8" t="s">
        <v>3026</v>
      </c>
      <c r="B902" s="8" t="str">
        <f t="shared" si="28"/>
        <v>1586244066</v>
      </c>
      <c r="C902" s="8" t="str">
        <f t="shared" si="29"/>
        <v>937</v>
      </c>
      <c r="D902" s="8" t="s">
        <v>119</v>
      </c>
      <c r="F902" s="8" t="s">
        <v>120</v>
      </c>
      <c r="G902" s="8" t="s">
        <v>216</v>
      </c>
      <c r="H902" s="8" t="s">
        <v>217</v>
      </c>
      <c r="I902" s="8" t="s">
        <v>181</v>
      </c>
      <c r="J902" s="8" t="s">
        <v>218</v>
      </c>
      <c r="K902" s="8" t="s">
        <v>219</v>
      </c>
      <c r="L902" s="8" t="s">
        <v>220</v>
      </c>
      <c r="M902" s="8" t="s">
        <v>2776</v>
      </c>
      <c r="N902" s="8" t="s">
        <v>216</v>
      </c>
      <c r="O902" s="8">
        <v>432.3</v>
      </c>
      <c r="P902" s="8">
        <v>480.33</v>
      </c>
      <c r="Q902" s="8" t="s">
        <v>2612</v>
      </c>
      <c r="S902" s="8" t="s">
        <v>393</v>
      </c>
      <c r="T902" s="8">
        <v>169.67</v>
      </c>
    </row>
    <row r="903" spans="1:20" x14ac:dyDescent="0.2">
      <c r="A903" s="8" t="s">
        <v>4602</v>
      </c>
      <c r="B903" s="8" t="str">
        <f t="shared" si="28"/>
        <v>1586244070</v>
      </c>
      <c r="C903" s="8" t="str">
        <f t="shared" si="29"/>
        <v>938</v>
      </c>
      <c r="D903" s="8" t="s">
        <v>119</v>
      </c>
      <c r="F903" s="8" t="s">
        <v>120</v>
      </c>
      <c r="G903" s="8" t="s">
        <v>974</v>
      </c>
      <c r="H903" s="8" t="s">
        <v>975</v>
      </c>
      <c r="I903" s="8" t="s">
        <v>181</v>
      </c>
      <c r="J903" s="8" t="s">
        <v>976</v>
      </c>
      <c r="K903" s="8" t="s">
        <v>977</v>
      </c>
      <c r="L903" s="8" t="s">
        <v>220</v>
      </c>
      <c r="M903" s="8" t="s">
        <v>2776</v>
      </c>
      <c r="N903" s="8" t="s">
        <v>974</v>
      </c>
      <c r="O903" s="8">
        <v>432.3</v>
      </c>
      <c r="P903" s="8">
        <v>480.33</v>
      </c>
      <c r="Q903" s="8" t="s">
        <v>2613</v>
      </c>
      <c r="R903" s="8" t="s">
        <v>1725</v>
      </c>
    </row>
    <row r="904" spans="1:20" x14ac:dyDescent="0.2">
      <c r="A904" s="8" t="s">
        <v>4134</v>
      </c>
      <c r="B904" s="8" t="str">
        <f t="shared" si="28"/>
        <v>1586244070</v>
      </c>
      <c r="C904" s="8" t="str">
        <f t="shared" si="29"/>
        <v>939</v>
      </c>
      <c r="D904" s="8" t="s">
        <v>119</v>
      </c>
      <c r="F904" s="8" t="s">
        <v>120</v>
      </c>
      <c r="G904" s="8" t="s">
        <v>974</v>
      </c>
      <c r="H904" s="8" t="s">
        <v>975</v>
      </c>
      <c r="I904" s="8" t="s">
        <v>181</v>
      </c>
      <c r="J904" s="8" t="s">
        <v>976</v>
      </c>
      <c r="K904" s="8" t="s">
        <v>977</v>
      </c>
      <c r="L904" s="8" t="s">
        <v>220</v>
      </c>
      <c r="M904" s="8" t="s">
        <v>2776</v>
      </c>
      <c r="N904" s="8" t="s">
        <v>974</v>
      </c>
      <c r="O904" s="8">
        <v>432.3</v>
      </c>
      <c r="P904" s="8">
        <v>480.33</v>
      </c>
      <c r="Q904" s="8" t="s">
        <v>2613</v>
      </c>
      <c r="R904" s="8" t="s">
        <v>1450</v>
      </c>
    </row>
    <row r="905" spans="1:20" x14ac:dyDescent="0.2">
      <c r="A905" s="8" t="s">
        <v>3626</v>
      </c>
      <c r="B905" s="8" t="str">
        <f t="shared" si="28"/>
        <v>1586244070</v>
      </c>
      <c r="C905" s="8" t="str">
        <f t="shared" si="29"/>
        <v>940</v>
      </c>
      <c r="D905" s="8" t="s">
        <v>119</v>
      </c>
      <c r="F905" s="8" t="s">
        <v>120</v>
      </c>
      <c r="G905" s="8" t="s">
        <v>974</v>
      </c>
      <c r="H905" s="8" t="s">
        <v>975</v>
      </c>
      <c r="I905" s="8" t="s">
        <v>181</v>
      </c>
      <c r="J905" s="8" t="s">
        <v>976</v>
      </c>
      <c r="K905" s="8" t="s">
        <v>977</v>
      </c>
      <c r="L905" s="8" t="s">
        <v>220</v>
      </c>
      <c r="M905" s="8" t="s">
        <v>2776</v>
      </c>
      <c r="N905" s="8" t="s">
        <v>974</v>
      </c>
      <c r="O905" s="8">
        <v>432.3</v>
      </c>
      <c r="P905" s="8">
        <v>480.33</v>
      </c>
      <c r="Q905" s="8" t="s">
        <v>2613</v>
      </c>
      <c r="R905" s="8" t="s">
        <v>2228</v>
      </c>
    </row>
    <row r="906" spans="1:20" x14ac:dyDescent="0.2">
      <c r="A906" s="8" t="s">
        <v>4147</v>
      </c>
      <c r="B906" s="8" t="str">
        <f t="shared" si="28"/>
        <v>1586244070</v>
      </c>
      <c r="C906" s="8" t="str">
        <f t="shared" si="29"/>
        <v>941</v>
      </c>
      <c r="D906" s="8" t="s">
        <v>119</v>
      </c>
      <c r="F906" s="8" t="s">
        <v>120</v>
      </c>
      <c r="G906" s="8" t="s">
        <v>974</v>
      </c>
      <c r="H906" s="8" t="s">
        <v>975</v>
      </c>
      <c r="I906" s="8" t="s">
        <v>181</v>
      </c>
      <c r="J906" s="8" t="s">
        <v>976</v>
      </c>
      <c r="K906" s="8" t="s">
        <v>977</v>
      </c>
      <c r="L906" s="8" t="s">
        <v>220</v>
      </c>
      <c r="M906" s="8" t="s">
        <v>2776</v>
      </c>
      <c r="N906" s="8" t="s">
        <v>974</v>
      </c>
      <c r="O906" s="8">
        <v>432.3</v>
      </c>
      <c r="P906" s="8">
        <v>480.33</v>
      </c>
      <c r="Q906" s="8" t="s">
        <v>2613</v>
      </c>
      <c r="R906" s="8" t="s">
        <v>1697</v>
      </c>
    </row>
    <row r="907" spans="1:20" x14ac:dyDescent="0.2">
      <c r="A907" s="8" t="s">
        <v>4526</v>
      </c>
      <c r="B907" s="8" t="str">
        <f t="shared" si="28"/>
        <v>1586244070</v>
      </c>
      <c r="C907" s="8" t="str">
        <f t="shared" si="29"/>
        <v>942</v>
      </c>
      <c r="D907" s="8" t="s">
        <v>119</v>
      </c>
      <c r="F907" s="8" t="s">
        <v>120</v>
      </c>
      <c r="G907" s="8" t="s">
        <v>974</v>
      </c>
      <c r="H907" s="8" t="s">
        <v>975</v>
      </c>
      <c r="I907" s="8" t="s">
        <v>181</v>
      </c>
      <c r="J907" s="8" t="s">
        <v>976</v>
      </c>
      <c r="K907" s="8" t="s">
        <v>977</v>
      </c>
      <c r="L907" s="8" t="s">
        <v>220</v>
      </c>
      <c r="M907" s="8" t="s">
        <v>2776</v>
      </c>
      <c r="N907" s="8" t="s">
        <v>974</v>
      </c>
      <c r="O907" s="8">
        <v>432.3</v>
      </c>
      <c r="P907" s="8">
        <v>480.33</v>
      </c>
      <c r="Q907" s="8" t="s">
        <v>2613</v>
      </c>
      <c r="R907" s="8" t="s">
        <v>978</v>
      </c>
    </row>
    <row r="908" spans="1:20" x14ac:dyDescent="0.2">
      <c r="A908" s="8" t="s">
        <v>4614</v>
      </c>
      <c r="B908" s="8" t="str">
        <f t="shared" si="28"/>
        <v>1586244070</v>
      </c>
      <c r="C908" s="8" t="str">
        <f t="shared" si="29"/>
        <v>943</v>
      </c>
      <c r="D908" s="8" t="s">
        <v>119</v>
      </c>
      <c r="F908" s="8" t="s">
        <v>120</v>
      </c>
      <c r="G908" s="8" t="s">
        <v>974</v>
      </c>
      <c r="H908" s="8" t="s">
        <v>975</v>
      </c>
      <c r="I908" s="8" t="s">
        <v>181</v>
      </c>
      <c r="J908" s="8" t="s">
        <v>976</v>
      </c>
      <c r="K908" s="8" t="s">
        <v>977</v>
      </c>
      <c r="L908" s="8" t="s">
        <v>220</v>
      </c>
      <c r="M908" s="8" t="s">
        <v>2776</v>
      </c>
      <c r="N908" s="8" t="s">
        <v>974</v>
      </c>
      <c r="O908" s="8">
        <v>432.3</v>
      </c>
      <c r="P908" s="8">
        <v>480.33</v>
      </c>
      <c r="Q908" s="8" t="s">
        <v>2613</v>
      </c>
      <c r="R908" s="8" t="s">
        <v>2264</v>
      </c>
    </row>
    <row r="909" spans="1:20" x14ac:dyDescent="0.2">
      <c r="A909" s="8" t="s">
        <v>2968</v>
      </c>
      <c r="B909" s="8" t="str">
        <f t="shared" si="28"/>
        <v>1586244070</v>
      </c>
      <c r="C909" s="8" t="str">
        <f t="shared" si="29"/>
        <v>944</v>
      </c>
      <c r="D909" s="8" t="s">
        <v>119</v>
      </c>
      <c r="F909" s="8" t="s">
        <v>120</v>
      </c>
      <c r="G909" s="8" t="s">
        <v>974</v>
      </c>
      <c r="H909" s="8" t="s">
        <v>975</v>
      </c>
      <c r="I909" s="8" t="s">
        <v>181</v>
      </c>
      <c r="J909" s="8" t="s">
        <v>976</v>
      </c>
      <c r="K909" s="8" t="s">
        <v>977</v>
      </c>
      <c r="L909" s="8" t="s">
        <v>220</v>
      </c>
      <c r="M909" s="8" t="s">
        <v>2776</v>
      </c>
      <c r="N909" s="8" t="s">
        <v>974</v>
      </c>
      <c r="O909" s="8">
        <v>432.3</v>
      </c>
      <c r="P909" s="8">
        <v>480.33</v>
      </c>
      <c r="Q909" s="8" t="s">
        <v>2613</v>
      </c>
      <c r="S909" s="8" t="s">
        <v>142</v>
      </c>
      <c r="T909" s="8">
        <v>132.05000000000001</v>
      </c>
    </row>
    <row r="910" spans="1:20" x14ac:dyDescent="0.2">
      <c r="A910" s="8" t="s">
        <v>3880</v>
      </c>
      <c r="B910" s="8" t="str">
        <f t="shared" si="28"/>
        <v>1586244070</v>
      </c>
      <c r="C910" s="8" t="str">
        <f t="shared" si="29"/>
        <v>945</v>
      </c>
      <c r="D910" s="8" t="s">
        <v>119</v>
      </c>
      <c r="F910" s="8" t="s">
        <v>120</v>
      </c>
      <c r="G910" s="8" t="s">
        <v>974</v>
      </c>
      <c r="H910" s="8" t="s">
        <v>975</v>
      </c>
      <c r="I910" s="8" t="s">
        <v>181</v>
      </c>
      <c r="J910" s="8" t="s">
        <v>976</v>
      </c>
      <c r="K910" s="8" t="s">
        <v>977</v>
      </c>
      <c r="L910" s="8" t="s">
        <v>220</v>
      </c>
      <c r="M910" s="8" t="s">
        <v>2776</v>
      </c>
      <c r="N910" s="8" t="s">
        <v>974</v>
      </c>
      <c r="O910" s="8">
        <v>432.3</v>
      </c>
      <c r="P910" s="8">
        <v>480.33</v>
      </c>
      <c r="Q910" s="8" t="s">
        <v>2613</v>
      </c>
      <c r="S910" s="8" t="s">
        <v>184</v>
      </c>
      <c r="T910" s="8">
        <v>169.67</v>
      </c>
    </row>
    <row r="911" spans="1:20" x14ac:dyDescent="0.2">
      <c r="A911" s="8" t="s">
        <v>3720</v>
      </c>
      <c r="B911" s="8" t="str">
        <f t="shared" si="28"/>
        <v>1586244070</v>
      </c>
      <c r="C911" s="8" t="str">
        <f t="shared" si="29"/>
        <v>946</v>
      </c>
      <c r="D911" s="8" t="s">
        <v>119</v>
      </c>
      <c r="F911" s="8" t="s">
        <v>120</v>
      </c>
      <c r="G911" s="8" t="s">
        <v>974</v>
      </c>
      <c r="H911" s="8" t="s">
        <v>975</v>
      </c>
      <c r="I911" s="8" t="s">
        <v>181</v>
      </c>
      <c r="J911" s="8" t="s">
        <v>976</v>
      </c>
      <c r="K911" s="8" t="s">
        <v>977</v>
      </c>
      <c r="L911" s="8" t="s">
        <v>220</v>
      </c>
      <c r="M911" s="8" t="s">
        <v>2776</v>
      </c>
      <c r="N911" s="8" t="s">
        <v>974</v>
      </c>
      <c r="O911" s="8">
        <v>432.3</v>
      </c>
      <c r="P911" s="8">
        <v>480.33</v>
      </c>
      <c r="Q911" s="8" t="s">
        <v>2613</v>
      </c>
      <c r="S911" s="8" t="s">
        <v>156</v>
      </c>
      <c r="T911" s="8">
        <v>51.64</v>
      </c>
    </row>
    <row r="912" spans="1:20" x14ac:dyDescent="0.2">
      <c r="A912" s="8" t="s">
        <v>2810</v>
      </c>
      <c r="B912" s="8" t="str">
        <f t="shared" si="28"/>
        <v>1586244074</v>
      </c>
      <c r="C912" s="8" t="str">
        <f t="shared" si="29"/>
        <v>947</v>
      </c>
      <c r="D912" s="8" t="s">
        <v>119</v>
      </c>
      <c r="F912" s="8" t="s">
        <v>120</v>
      </c>
      <c r="G912" s="8" t="s">
        <v>302</v>
      </c>
      <c r="H912" s="8" t="s">
        <v>303</v>
      </c>
      <c r="I912" s="8" t="s">
        <v>181</v>
      </c>
      <c r="J912" s="8" t="s">
        <v>1299</v>
      </c>
      <c r="K912" s="8" t="s">
        <v>1300</v>
      </c>
      <c r="L912" s="8" t="s">
        <v>1301</v>
      </c>
      <c r="M912" s="8" t="s">
        <v>2776</v>
      </c>
      <c r="N912" s="8" t="s">
        <v>302</v>
      </c>
      <c r="O912" s="8">
        <v>751.72</v>
      </c>
      <c r="P912" s="8">
        <v>835.25</v>
      </c>
      <c r="Q912" s="8" t="s">
        <v>2614</v>
      </c>
      <c r="R912" s="8" t="s">
        <v>2185</v>
      </c>
    </row>
    <row r="913" spans="1:20" x14ac:dyDescent="0.2">
      <c r="A913" s="8" t="s">
        <v>4313</v>
      </c>
      <c r="B913" s="8" t="str">
        <f t="shared" si="28"/>
        <v>1586244074</v>
      </c>
      <c r="C913" s="8" t="str">
        <f t="shared" si="29"/>
        <v>948</v>
      </c>
      <c r="D913" s="8" t="s">
        <v>119</v>
      </c>
      <c r="F913" s="8" t="s">
        <v>120</v>
      </c>
      <c r="G913" s="8" t="s">
        <v>302</v>
      </c>
      <c r="H913" s="8" t="s">
        <v>303</v>
      </c>
      <c r="I913" s="8" t="s">
        <v>181</v>
      </c>
      <c r="J913" s="8" t="s">
        <v>1299</v>
      </c>
      <c r="K913" s="8" t="s">
        <v>1300</v>
      </c>
      <c r="L913" s="8" t="s">
        <v>1301</v>
      </c>
      <c r="M913" s="8" t="s">
        <v>2776</v>
      </c>
      <c r="N913" s="8" t="s">
        <v>302</v>
      </c>
      <c r="O913" s="8">
        <v>751.72</v>
      </c>
      <c r="P913" s="8">
        <v>835.25</v>
      </c>
      <c r="Q913" s="8" t="s">
        <v>2614</v>
      </c>
      <c r="R913" s="8" t="s">
        <v>2233</v>
      </c>
    </row>
    <row r="914" spans="1:20" x14ac:dyDescent="0.2">
      <c r="A914" s="8" t="s">
        <v>3448</v>
      </c>
      <c r="B914" s="8" t="str">
        <f t="shared" si="28"/>
        <v>1586244074</v>
      </c>
      <c r="C914" s="8" t="str">
        <f t="shared" si="29"/>
        <v>949</v>
      </c>
      <c r="D914" s="8" t="s">
        <v>119</v>
      </c>
      <c r="F914" s="8" t="s">
        <v>120</v>
      </c>
      <c r="G914" s="8" t="s">
        <v>302</v>
      </c>
      <c r="H914" s="8" t="s">
        <v>303</v>
      </c>
      <c r="I914" s="8" t="s">
        <v>181</v>
      </c>
      <c r="J914" s="8" t="s">
        <v>1299</v>
      </c>
      <c r="K914" s="8" t="s">
        <v>1300</v>
      </c>
      <c r="L914" s="8" t="s">
        <v>1301</v>
      </c>
      <c r="M914" s="8" t="s">
        <v>2776</v>
      </c>
      <c r="N914" s="8" t="s">
        <v>302</v>
      </c>
      <c r="O914" s="8">
        <v>751.72</v>
      </c>
      <c r="P914" s="8">
        <v>835.25</v>
      </c>
      <c r="Q914" s="8" t="s">
        <v>2614</v>
      </c>
      <c r="R914" s="8" t="s">
        <v>1662</v>
      </c>
    </row>
    <row r="915" spans="1:20" x14ac:dyDescent="0.2">
      <c r="A915" s="8" t="s">
        <v>4506</v>
      </c>
      <c r="B915" s="8" t="str">
        <f t="shared" si="28"/>
        <v>1586244074</v>
      </c>
      <c r="C915" s="8" t="str">
        <f t="shared" si="29"/>
        <v>950</v>
      </c>
      <c r="D915" s="8" t="s">
        <v>119</v>
      </c>
      <c r="F915" s="8" t="s">
        <v>120</v>
      </c>
      <c r="G915" s="8" t="s">
        <v>302</v>
      </c>
      <c r="H915" s="8" t="s">
        <v>303</v>
      </c>
      <c r="I915" s="8" t="s">
        <v>181</v>
      </c>
      <c r="J915" s="8" t="s">
        <v>1299</v>
      </c>
      <c r="K915" s="8" t="s">
        <v>1300</v>
      </c>
      <c r="L915" s="8" t="s">
        <v>1301</v>
      </c>
      <c r="M915" s="8" t="s">
        <v>2776</v>
      </c>
      <c r="N915" s="8" t="s">
        <v>302</v>
      </c>
      <c r="O915" s="8">
        <v>751.72</v>
      </c>
      <c r="P915" s="8">
        <v>835.25</v>
      </c>
      <c r="Q915" s="8" t="s">
        <v>2614</v>
      </c>
      <c r="R915" s="8" t="s">
        <v>1589</v>
      </c>
    </row>
    <row r="916" spans="1:20" x14ac:dyDescent="0.2">
      <c r="A916" s="8" t="s">
        <v>4430</v>
      </c>
      <c r="B916" s="8" t="str">
        <f t="shared" si="28"/>
        <v>1586244074</v>
      </c>
      <c r="C916" s="8" t="str">
        <f t="shared" si="29"/>
        <v>951</v>
      </c>
      <c r="D916" s="8" t="s">
        <v>119</v>
      </c>
      <c r="F916" s="8" t="s">
        <v>120</v>
      </c>
      <c r="G916" s="8" t="s">
        <v>302</v>
      </c>
      <c r="H916" s="8" t="s">
        <v>303</v>
      </c>
      <c r="I916" s="8" t="s">
        <v>181</v>
      </c>
      <c r="J916" s="8" t="s">
        <v>1299</v>
      </c>
      <c r="K916" s="8" t="s">
        <v>1300</v>
      </c>
      <c r="L916" s="8" t="s">
        <v>1301</v>
      </c>
      <c r="M916" s="8" t="s">
        <v>2776</v>
      </c>
      <c r="N916" s="8" t="s">
        <v>302</v>
      </c>
      <c r="O916" s="8">
        <v>751.72</v>
      </c>
      <c r="P916" s="8">
        <v>835.25</v>
      </c>
      <c r="Q916" s="8" t="s">
        <v>2614</v>
      </c>
      <c r="R916" s="8" t="s">
        <v>2277</v>
      </c>
    </row>
    <row r="917" spans="1:20" x14ac:dyDescent="0.2">
      <c r="A917" s="8" t="s">
        <v>4672</v>
      </c>
      <c r="B917" s="8" t="str">
        <f t="shared" si="28"/>
        <v>1586244074</v>
      </c>
      <c r="C917" s="8" t="str">
        <f t="shared" si="29"/>
        <v>952</v>
      </c>
      <c r="D917" s="8" t="s">
        <v>119</v>
      </c>
      <c r="F917" s="8" t="s">
        <v>120</v>
      </c>
      <c r="G917" s="8" t="s">
        <v>302</v>
      </c>
      <c r="H917" s="8" t="s">
        <v>303</v>
      </c>
      <c r="I917" s="8" t="s">
        <v>181</v>
      </c>
      <c r="J917" s="8" t="s">
        <v>1299</v>
      </c>
      <c r="K917" s="8" t="s">
        <v>1300</v>
      </c>
      <c r="L917" s="8" t="s">
        <v>1301</v>
      </c>
      <c r="M917" s="8" t="s">
        <v>2776</v>
      </c>
      <c r="N917" s="8" t="s">
        <v>302</v>
      </c>
      <c r="O917" s="8">
        <v>751.72</v>
      </c>
      <c r="P917" s="8">
        <v>835.25</v>
      </c>
      <c r="Q917" s="8" t="s">
        <v>2614</v>
      </c>
      <c r="S917" s="8" t="s">
        <v>142</v>
      </c>
      <c r="T917" s="8">
        <v>112.13</v>
      </c>
    </row>
    <row r="918" spans="1:20" x14ac:dyDescent="0.2">
      <c r="A918" s="8" t="s">
        <v>4503</v>
      </c>
      <c r="B918" s="8" t="str">
        <f t="shared" si="28"/>
        <v>1586244074</v>
      </c>
      <c r="C918" s="8" t="str">
        <f t="shared" si="29"/>
        <v>953</v>
      </c>
      <c r="D918" s="8" t="s">
        <v>119</v>
      </c>
      <c r="F918" s="8" t="s">
        <v>120</v>
      </c>
      <c r="G918" s="8" t="s">
        <v>302</v>
      </c>
      <c r="H918" s="8" t="s">
        <v>303</v>
      </c>
      <c r="I918" s="8" t="s">
        <v>181</v>
      </c>
      <c r="J918" s="8" t="s">
        <v>1299</v>
      </c>
      <c r="K918" s="8" t="s">
        <v>1300</v>
      </c>
      <c r="L918" s="8" t="s">
        <v>1301</v>
      </c>
      <c r="M918" s="8" t="s">
        <v>2776</v>
      </c>
      <c r="N918" s="8" t="s">
        <v>302</v>
      </c>
      <c r="O918" s="8">
        <v>751.72</v>
      </c>
      <c r="P918" s="8">
        <v>835.25</v>
      </c>
      <c r="Q918" s="8" t="s">
        <v>2614</v>
      </c>
      <c r="S918" s="8" t="s">
        <v>184</v>
      </c>
      <c r="T918" s="8">
        <v>300.98</v>
      </c>
    </row>
    <row r="919" spans="1:20" x14ac:dyDescent="0.2">
      <c r="A919" s="8" t="s">
        <v>3177</v>
      </c>
      <c r="B919" s="8" t="str">
        <f t="shared" si="28"/>
        <v>1586244074</v>
      </c>
      <c r="C919" s="8" t="str">
        <f t="shared" si="29"/>
        <v>954</v>
      </c>
      <c r="D919" s="8" t="s">
        <v>119</v>
      </c>
      <c r="F919" s="8" t="s">
        <v>120</v>
      </c>
      <c r="G919" s="8" t="s">
        <v>302</v>
      </c>
      <c r="H919" s="8" t="s">
        <v>303</v>
      </c>
      <c r="I919" s="8" t="s">
        <v>181</v>
      </c>
      <c r="J919" s="8" t="s">
        <v>1299</v>
      </c>
      <c r="K919" s="8" t="s">
        <v>1300</v>
      </c>
      <c r="L919" s="8" t="s">
        <v>1301</v>
      </c>
      <c r="M919" s="8" t="s">
        <v>2776</v>
      </c>
      <c r="N919" s="8" t="s">
        <v>302</v>
      </c>
      <c r="O919" s="8">
        <v>751.72</v>
      </c>
      <c r="P919" s="8">
        <v>835.25</v>
      </c>
      <c r="Q919" s="8" t="s">
        <v>2614</v>
      </c>
      <c r="S919" s="8" t="s">
        <v>420</v>
      </c>
      <c r="T919" s="8">
        <v>96.64</v>
      </c>
    </row>
    <row r="920" spans="1:20" x14ac:dyDescent="0.2">
      <c r="A920" s="8" t="s">
        <v>4401</v>
      </c>
      <c r="B920" s="8" t="str">
        <f t="shared" si="28"/>
        <v>1586244076</v>
      </c>
      <c r="C920" s="8" t="str">
        <f t="shared" si="29"/>
        <v>955</v>
      </c>
      <c r="D920" s="8" t="s">
        <v>119</v>
      </c>
      <c r="F920" s="8" t="s">
        <v>120</v>
      </c>
      <c r="G920" s="8" t="s">
        <v>302</v>
      </c>
      <c r="H920" s="8" t="s">
        <v>303</v>
      </c>
      <c r="I920" s="8" t="s">
        <v>181</v>
      </c>
      <c r="J920" s="8" t="s">
        <v>543</v>
      </c>
      <c r="K920" s="8" t="s">
        <v>544</v>
      </c>
      <c r="L920" s="8" t="s">
        <v>545</v>
      </c>
      <c r="M920" s="8" t="s">
        <v>2776</v>
      </c>
      <c r="N920" s="8" t="s">
        <v>302</v>
      </c>
      <c r="O920" s="8">
        <v>751.72</v>
      </c>
      <c r="P920" s="8">
        <v>835.25</v>
      </c>
      <c r="Q920" s="8" t="s">
        <v>2614</v>
      </c>
      <c r="R920" s="8" t="s">
        <v>1559</v>
      </c>
    </row>
    <row r="921" spans="1:20" x14ac:dyDescent="0.2">
      <c r="A921" s="8" t="s">
        <v>4037</v>
      </c>
      <c r="B921" s="8" t="str">
        <f t="shared" si="28"/>
        <v>1586244076</v>
      </c>
      <c r="C921" s="8" t="str">
        <f t="shared" si="29"/>
        <v>956</v>
      </c>
      <c r="D921" s="8" t="s">
        <v>119</v>
      </c>
      <c r="F921" s="8" t="s">
        <v>120</v>
      </c>
      <c r="G921" s="8" t="s">
        <v>302</v>
      </c>
      <c r="H921" s="8" t="s">
        <v>303</v>
      </c>
      <c r="I921" s="8" t="s">
        <v>181</v>
      </c>
      <c r="J921" s="8" t="s">
        <v>543</v>
      </c>
      <c r="K921" s="8" t="s">
        <v>544</v>
      </c>
      <c r="L921" s="8" t="s">
        <v>545</v>
      </c>
      <c r="M921" s="8" t="s">
        <v>2776</v>
      </c>
      <c r="N921" s="8" t="s">
        <v>302</v>
      </c>
      <c r="O921" s="8">
        <v>751.72</v>
      </c>
      <c r="P921" s="8">
        <v>835.25</v>
      </c>
      <c r="Q921" s="8" t="s">
        <v>2614</v>
      </c>
      <c r="R921" s="8" t="s">
        <v>803</v>
      </c>
    </row>
    <row r="922" spans="1:20" x14ac:dyDescent="0.2">
      <c r="A922" s="8" t="s">
        <v>3748</v>
      </c>
      <c r="B922" s="8" t="str">
        <f t="shared" si="28"/>
        <v>1586244076</v>
      </c>
      <c r="C922" s="8" t="str">
        <f t="shared" si="29"/>
        <v>957</v>
      </c>
      <c r="D922" s="8" t="s">
        <v>119</v>
      </c>
      <c r="F922" s="8" t="s">
        <v>120</v>
      </c>
      <c r="G922" s="8" t="s">
        <v>302</v>
      </c>
      <c r="H922" s="8" t="s">
        <v>303</v>
      </c>
      <c r="I922" s="8" t="s">
        <v>181</v>
      </c>
      <c r="J922" s="8" t="s">
        <v>543</v>
      </c>
      <c r="K922" s="8" t="s">
        <v>544</v>
      </c>
      <c r="L922" s="8" t="s">
        <v>545</v>
      </c>
      <c r="M922" s="8" t="s">
        <v>2776</v>
      </c>
      <c r="N922" s="8" t="s">
        <v>302</v>
      </c>
      <c r="O922" s="8">
        <v>751.72</v>
      </c>
      <c r="P922" s="8">
        <v>835.25</v>
      </c>
      <c r="Q922" s="8" t="s">
        <v>2614</v>
      </c>
      <c r="R922" s="8" t="s">
        <v>546</v>
      </c>
    </row>
    <row r="923" spans="1:20" x14ac:dyDescent="0.2">
      <c r="A923" s="8" t="s">
        <v>4031</v>
      </c>
      <c r="B923" s="8" t="str">
        <f t="shared" si="28"/>
        <v>1586244076</v>
      </c>
      <c r="C923" s="8" t="str">
        <f t="shared" si="29"/>
        <v>958</v>
      </c>
      <c r="D923" s="8" t="s">
        <v>119</v>
      </c>
      <c r="F923" s="8" t="s">
        <v>120</v>
      </c>
      <c r="G923" s="8" t="s">
        <v>302</v>
      </c>
      <c r="H923" s="8" t="s">
        <v>303</v>
      </c>
      <c r="I923" s="8" t="s">
        <v>181</v>
      </c>
      <c r="J923" s="8" t="s">
        <v>543</v>
      </c>
      <c r="K923" s="8" t="s">
        <v>544</v>
      </c>
      <c r="L923" s="8" t="s">
        <v>545</v>
      </c>
      <c r="M923" s="8" t="s">
        <v>2776</v>
      </c>
      <c r="N923" s="8" t="s">
        <v>302</v>
      </c>
      <c r="O923" s="8">
        <v>751.72</v>
      </c>
      <c r="P923" s="8">
        <v>835.25</v>
      </c>
      <c r="Q923" s="8" t="s">
        <v>2614</v>
      </c>
      <c r="R923" s="8" t="s">
        <v>1612</v>
      </c>
    </row>
    <row r="924" spans="1:20" x14ac:dyDescent="0.2">
      <c r="A924" s="8" t="s">
        <v>3915</v>
      </c>
      <c r="B924" s="8" t="str">
        <f t="shared" si="28"/>
        <v>1586244076</v>
      </c>
      <c r="C924" s="8" t="str">
        <f t="shared" si="29"/>
        <v>959</v>
      </c>
      <c r="D924" s="8" t="s">
        <v>119</v>
      </c>
      <c r="F924" s="8" t="s">
        <v>120</v>
      </c>
      <c r="G924" s="8" t="s">
        <v>302</v>
      </c>
      <c r="H924" s="8" t="s">
        <v>303</v>
      </c>
      <c r="I924" s="8" t="s">
        <v>181</v>
      </c>
      <c r="J924" s="8" t="s">
        <v>543</v>
      </c>
      <c r="K924" s="8" t="s">
        <v>544</v>
      </c>
      <c r="L924" s="8" t="s">
        <v>545</v>
      </c>
      <c r="M924" s="8" t="s">
        <v>2776</v>
      </c>
      <c r="N924" s="8" t="s">
        <v>302</v>
      </c>
      <c r="O924" s="8">
        <v>751.72</v>
      </c>
      <c r="P924" s="8">
        <v>835.25</v>
      </c>
      <c r="Q924" s="8" t="s">
        <v>2614</v>
      </c>
      <c r="R924" s="8" t="s">
        <v>1369</v>
      </c>
    </row>
    <row r="925" spans="1:20" x14ac:dyDescent="0.2">
      <c r="A925" s="8" t="s">
        <v>2827</v>
      </c>
      <c r="B925" s="8" t="str">
        <f t="shared" si="28"/>
        <v>1586244076</v>
      </c>
      <c r="C925" s="8" t="str">
        <f t="shared" si="29"/>
        <v>960</v>
      </c>
      <c r="D925" s="8" t="s">
        <v>119</v>
      </c>
      <c r="F925" s="8" t="s">
        <v>120</v>
      </c>
      <c r="G925" s="8" t="s">
        <v>302</v>
      </c>
      <c r="H925" s="8" t="s">
        <v>303</v>
      </c>
      <c r="I925" s="8" t="s">
        <v>181</v>
      </c>
      <c r="J925" s="8" t="s">
        <v>543</v>
      </c>
      <c r="K925" s="8" t="s">
        <v>544</v>
      </c>
      <c r="L925" s="8" t="s">
        <v>545</v>
      </c>
      <c r="M925" s="8" t="s">
        <v>2776</v>
      </c>
      <c r="N925" s="8" t="s">
        <v>302</v>
      </c>
      <c r="O925" s="8">
        <v>751.72</v>
      </c>
      <c r="P925" s="8">
        <v>835.25</v>
      </c>
      <c r="Q925" s="8" t="s">
        <v>2614</v>
      </c>
      <c r="S925" s="8" t="s">
        <v>1078</v>
      </c>
      <c r="T925" s="8">
        <v>112.13</v>
      </c>
    </row>
    <row r="926" spans="1:20" x14ac:dyDescent="0.2">
      <c r="A926" s="8" t="s">
        <v>4616</v>
      </c>
      <c r="B926" s="8" t="str">
        <f t="shared" si="28"/>
        <v>1586244076</v>
      </c>
      <c r="C926" s="8" t="str">
        <f t="shared" si="29"/>
        <v>961</v>
      </c>
      <c r="D926" s="8" t="s">
        <v>119</v>
      </c>
      <c r="F926" s="8" t="s">
        <v>120</v>
      </c>
      <c r="G926" s="8" t="s">
        <v>302</v>
      </c>
      <c r="H926" s="8" t="s">
        <v>303</v>
      </c>
      <c r="I926" s="8" t="s">
        <v>181</v>
      </c>
      <c r="J926" s="8" t="s">
        <v>543</v>
      </c>
      <c r="K926" s="8" t="s">
        <v>544</v>
      </c>
      <c r="L926" s="8" t="s">
        <v>545</v>
      </c>
      <c r="M926" s="8" t="s">
        <v>2776</v>
      </c>
      <c r="N926" s="8" t="s">
        <v>302</v>
      </c>
      <c r="O926" s="8">
        <v>751.72</v>
      </c>
      <c r="P926" s="8">
        <v>835.25</v>
      </c>
      <c r="Q926" s="8" t="s">
        <v>2614</v>
      </c>
      <c r="S926" s="8" t="s">
        <v>393</v>
      </c>
      <c r="T926" s="8">
        <v>300.98</v>
      </c>
    </row>
    <row r="927" spans="1:20" x14ac:dyDescent="0.2">
      <c r="A927" s="8" t="s">
        <v>3322</v>
      </c>
      <c r="B927" s="8" t="str">
        <f t="shared" si="28"/>
        <v>1586244076</v>
      </c>
      <c r="C927" s="8" t="str">
        <f t="shared" si="29"/>
        <v>962</v>
      </c>
      <c r="D927" s="8" t="s">
        <v>119</v>
      </c>
      <c r="F927" s="8" t="s">
        <v>120</v>
      </c>
      <c r="G927" s="8" t="s">
        <v>302</v>
      </c>
      <c r="H927" s="8" t="s">
        <v>303</v>
      </c>
      <c r="I927" s="8" t="s">
        <v>181</v>
      </c>
      <c r="J927" s="8" t="s">
        <v>543</v>
      </c>
      <c r="K927" s="8" t="s">
        <v>544</v>
      </c>
      <c r="L927" s="8" t="s">
        <v>545</v>
      </c>
      <c r="M927" s="8" t="s">
        <v>2776</v>
      </c>
      <c r="N927" s="8" t="s">
        <v>302</v>
      </c>
      <c r="O927" s="8">
        <v>751.72</v>
      </c>
      <c r="P927" s="8">
        <v>835.25</v>
      </c>
      <c r="Q927" s="8" t="s">
        <v>2614</v>
      </c>
      <c r="S927" s="8" t="s">
        <v>420</v>
      </c>
      <c r="T927" s="8">
        <v>96.64</v>
      </c>
    </row>
    <row r="928" spans="1:20" x14ac:dyDescent="0.2">
      <c r="A928" s="8" t="s">
        <v>2888</v>
      </c>
      <c r="B928" s="8" t="str">
        <f t="shared" si="28"/>
        <v>1586244078</v>
      </c>
      <c r="C928" s="8" t="str">
        <f t="shared" si="29"/>
        <v>963</v>
      </c>
      <c r="D928" s="8" t="s">
        <v>119</v>
      </c>
      <c r="F928" s="8" t="s">
        <v>120</v>
      </c>
      <c r="G928" s="8" t="s">
        <v>302</v>
      </c>
      <c r="H928" s="8" t="s">
        <v>303</v>
      </c>
      <c r="I928" s="8" t="s">
        <v>167</v>
      </c>
      <c r="J928" s="8" t="s">
        <v>834</v>
      </c>
      <c r="K928" s="8" t="s">
        <v>835</v>
      </c>
      <c r="L928" s="8" t="s">
        <v>836</v>
      </c>
      <c r="M928" s="8" t="s">
        <v>2776</v>
      </c>
      <c r="N928" s="8" t="s">
        <v>302</v>
      </c>
      <c r="O928" s="8">
        <v>464.75</v>
      </c>
      <c r="P928" s="8">
        <v>516.39</v>
      </c>
      <c r="Q928" s="8" t="s">
        <v>2615</v>
      </c>
      <c r="R928" s="8" t="s">
        <v>2379</v>
      </c>
    </row>
    <row r="929" spans="1:20" x14ac:dyDescent="0.2">
      <c r="A929" s="8" t="s">
        <v>4496</v>
      </c>
      <c r="B929" s="8" t="str">
        <f t="shared" si="28"/>
        <v>1586244078</v>
      </c>
      <c r="C929" s="8" t="str">
        <f t="shared" si="29"/>
        <v>964</v>
      </c>
      <c r="D929" s="8" t="s">
        <v>119</v>
      </c>
      <c r="F929" s="8" t="s">
        <v>120</v>
      </c>
      <c r="G929" s="8" t="s">
        <v>302</v>
      </c>
      <c r="H929" s="8" t="s">
        <v>303</v>
      </c>
      <c r="I929" s="8" t="s">
        <v>167</v>
      </c>
      <c r="J929" s="8" t="s">
        <v>834</v>
      </c>
      <c r="K929" s="8" t="s">
        <v>835</v>
      </c>
      <c r="L929" s="8" t="s">
        <v>836</v>
      </c>
      <c r="M929" s="8" t="s">
        <v>2776</v>
      </c>
      <c r="N929" s="8" t="s">
        <v>302</v>
      </c>
      <c r="O929" s="8">
        <v>464.75</v>
      </c>
      <c r="P929" s="8">
        <v>516.39</v>
      </c>
      <c r="Q929" s="8" t="s">
        <v>2615</v>
      </c>
      <c r="R929" s="8" t="s">
        <v>2402</v>
      </c>
    </row>
    <row r="930" spans="1:20" x14ac:dyDescent="0.2">
      <c r="A930" s="8" t="s">
        <v>3979</v>
      </c>
      <c r="B930" s="8" t="str">
        <f t="shared" si="28"/>
        <v>1586244078</v>
      </c>
      <c r="C930" s="8" t="str">
        <f t="shared" si="29"/>
        <v>965</v>
      </c>
      <c r="D930" s="8" t="s">
        <v>119</v>
      </c>
      <c r="F930" s="8" t="s">
        <v>120</v>
      </c>
      <c r="G930" s="8" t="s">
        <v>302</v>
      </c>
      <c r="H930" s="8" t="s">
        <v>303</v>
      </c>
      <c r="I930" s="8" t="s">
        <v>167</v>
      </c>
      <c r="J930" s="8" t="s">
        <v>834</v>
      </c>
      <c r="K930" s="8" t="s">
        <v>835</v>
      </c>
      <c r="L930" s="8" t="s">
        <v>836</v>
      </c>
      <c r="M930" s="8" t="s">
        <v>2776</v>
      </c>
      <c r="N930" s="8" t="s">
        <v>302</v>
      </c>
      <c r="O930" s="8">
        <v>464.75</v>
      </c>
      <c r="P930" s="8">
        <v>516.39</v>
      </c>
      <c r="Q930" s="8" t="s">
        <v>2615</v>
      </c>
      <c r="R930" s="8" t="s">
        <v>1392</v>
      </c>
    </row>
    <row r="931" spans="1:20" x14ac:dyDescent="0.2">
      <c r="A931" s="8" t="s">
        <v>3848</v>
      </c>
      <c r="B931" s="8" t="str">
        <f t="shared" si="28"/>
        <v>1586244078</v>
      </c>
      <c r="C931" s="8" t="str">
        <f t="shared" si="29"/>
        <v>966</v>
      </c>
      <c r="D931" s="8" t="s">
        <v>119</v>
      </c>
      <c r="F931" s="8" t="s">
        <v>120</v>
      </c>
      <c r="G931" s="8" t="s">
        <v>302</v>
      </c>
      <c r="H931" s="8" t="s">
        <v>303</v>
      </c>
      <c r="I931" s="8" t="s">
        <v>167</v>
      </c>
      <c r="J931" s="8" t="s">
        <v>834</v>
      </c>
      <c r="K931" s="8" t="s">
        <v>835</v>
      </c>
      <c r="L931" s="8" t="s">
        <v>836</v>
      </c>
      <c r="M931" s="8" t="s">
        <v>2776</v>
      </c>
      <c r="N931" s="8" t="s">
        <v>302</v>
      </c>
      <c r="O931" s="8">
        <v>464.75</v>
      </c>
      <c r="P931" s="8">
        <v>516.39</v>
      </c>
      <c r="Q931" s="8" t="s">
        <v>2615</v>
      </c>
      <c r="S931" s="8" t="s">
        <v>184</v>
      </c>
      <c r="T931" s="8">
        <v>123.2</v>
      </c>
    </row>
    <row r="932" spans="1:20" x14ac:dyDescent="0.2">
      <c r="A932" s="8" t="s">
        <v>3090</v>
      </c>
      <c r="B932" s="8" t="str">
        <f t="shared" si="28"/>
        <v>1586244078</v>
      </c>
      <c r="C932" s="8" t="str">
        <f t="shared" si="29"/>
        <v>967</v>
      </c>
      <c r="D932" s="8" t="s">
        <v>119</v>
      </c>
      <c r="F932" s="8" t="s">
        <v>120</v>
      </c>
      <c r="G932" s="8" t="s">
        <v>302</v>
      </c>
      <c r="H932" s="8" t="s">
        <v>303</v>
      </c>
      <c r="I932" s="8" t="s">
        <v>167</v>
      </c>
      <c r="J932" s="8" t="s">
        <v>834</v>
      </c>
      <c r="K932" s="8" t="s">
        <v>835</v>
      </c>
      <c r="L932" s="8" t="s">
        <v>836</v>
      </c>
      <c r="M932" s="8" t="s">
        <v>2776</v>
      </c>
      <c r="N932" s="8" t="s">
        <v>302</v>
      </c>
      <c r="O932" s="8">
        <v>464.75</v>
      </c>
      <c r="P932" s="8">
        <v>516.39</v>
      </c>
      <c r="Q932" s="8" t="s">
        <v>2615</v>
      </c>
      <c r="S932" s="8" t="s">
        <v>156</v>
      </c>
      <c r="T932" s="8">
        <v>51.64</v>
      </c>
    </row>
    <row r="933" spans="1:20" x14ac:dyDescent="0.2">
      <c r="A933" s="8" t="s">
        <v>4555</v>
      </c>
      <c r="B933" s="8" t="str">
        <f t="shared" si="28"/>
        <v>1586244080</v>
      </c>
      <c r="C933" s="8" t="str">
        <f t="shared" si="29"/>
        <v>968</v>
      </c>
      <c r="D933" s="8" t="s">
        <v>119</v>
      </c>
      <c r="F933" s="8" t="s">
        <v>120</v>
      </c>
      <c r="G933" s="8" t="s">
        <v>302</v>
      </c>
      <c r="H933" s="8" t="s">
        <v>303</v>
      </c>
      <c r="I933" s="8" t="s">
        <v>167</v>
      </c>
      <c r="J933" s="8" t="s">
        <v>304</v>
      </c>
      <c r="K933" s="8" t="s">
        <v>305</v>
      </c>
      <c r="L933" s="8" t="s">
        <v>306</v>
      </c>
      <c r="M933" s="8" t="s">
        <v>2776</v>
      </c>
      <c r="N933" s="8" t="s">
        <v>302</v>
      </c>
      <c r="O933" s="8">
        <v>464.75</v>
      </c>
      <c r="P933" s="8">
        <v>516.39</v>
      </c>
      <c r="Q933" s="8" t="s">
        <v>2615</v>
      </c>
      <c r="R933" s="8" t="s">
        <v>2014</v>
      </c>
    </row>
    <row r="934" spans="1:20" x14ac:dyDescent="0.2">
      <c r="A934" s="8" t="s">
        <v>3456</v>
      </c>
      <c r="B934" s="8" t="str">
        <f t="shared" si="28"/>
        <v>1586244080</v>
      </c>
      <c r="C934" s="8" t="str">
        <f t="shared" si="29"/>
        <v>969</v>
      </c>
      <c r="D934" s="8" t="s">
        <v>119</v>
      </c>
      <c r="F934" s="8" t="s">
        <v>120</v>
      </c>
      <c r="G934" s="8" t="s">
        <v>302</v>
      </c>
      <c r="H934" s="8" t="s">
        <v>303</v>
      </c>
      <c r="I934" s="8" t="s">
        <v>167</v>
      </c>
      <c r="J934" s="8" t="s">
        <v>304</v>
      </c>
      <c r="K934" s="8" t="s">
        <v>305</v>
      </c>
      <c r="L934" s="8" t="s">
        <v>306</v>
      </c>
      <c r="M934" s="8" t="s">
        <v>2776</v>
      </c>
      <c r="N934" s="8" t="s">
        <v>302</v>
      </c>
      <c r="O934" s="8">
        <v>464.75</v>
      </c>
      <c r="P934" s="8">
        <v>516.39</v>
      </c>
      <c r="Q934" s="8" t="s">
        <v>2615</v>
      </c>
      <c r="R934" s="8" t="s">
        <v>1733</v>
      </c>
    </row>
    <row r="935" spans="1:20" x14ac:dyDescent="0.2">
      <c r="A935" s="8" t="s">
        <v>3671</v>
      </c>
      <c r="B935" s="8" t="str">
        <f t="shared" si="28"/>
        <v>1586244080</v>
      </c>
      <c r="C935" s="8" t="str">
        <f t="shared" si="29"/>
        <v>970</v>
      </c>
      <c r="D935" s="8" t="s">
        <v>119</v>
      </c>
      <c r="F935" s="8" t="s">
        <v>120</v>
      </c>
      <c r="G935" s="8" t="s">
        <v>302</v>
      </c>
      <c r="H935" s="8" t="s">
        <v>303</v>
      </c>
      <c r="I935" s="8" t="s">
        <v>167</v>
      </c>
      <c r="J935" s="8" t="s">
        <v>304</v>
      </c>
      <c r="K935" s="8" t="s">
        <v>305</v>
      </c>
      <c r="L935" s="8" t="s">
        <v>306</v>
      </c>
      <c r="M935" s="8" t="s">
        <v>2776</v>
      </c>
      <c r="N935" s="8" t="s">
        <v>302</v>
      </c>
      <c r="O935" s="8">
        <v>464.75</v>
      </c>
      <c r="P935" s="8">
        <v>516.39</v>
      </c>
      <c r="Q935" s="8" t="s">
        <v>2615</v>
      </c>
      <c r="R935" s="8" t="s">
        <v>684</v>
      </c>
    </row>
    <row r="936" spans="1:20" x14ac:dyDescent="0.2">
      <c r="A936" s="8" t="s">
        <v>3268</v>
      </c>
      <c r="B936" s="8" t="str">
        <f t="shared" si="28"/>
        <v>1586244080</v>
      </c>
      <c r="C936" s="8" t="str">
        <f t="shared" si="29"/>
        <v>971</v>
      </c>
      <c r="D936" s="8" t="s">
        <v>119</v>
      </c>
      <c r="F936" s="8" t="s">
        <v>120</v>
      </c>
      <c r="G936" s="8" t="s">
        <v>302</v>
      </c>
      <c r="H936" s="8" t="s">
        <v>303</v>
      </c>
      <c r="I936" s="8" t="s">
        <v>167</v>
      </c>
      <c r="J936" s="8" t="s">
        <v>304</v>
      </c>
      <c r="K936" s="8" t="s">
        <v>305</v>
      </c>
      <c r="L936" s="8" t="s">
        <v>306</v>
      </c>
      <c r="M936" s="8" t="s">
        <v>2776</v>
      </c>
      <c r="N936" s="8" t="s">
        <v>302</v>
      </c>
      <c r="O936" s="8">
        <v>464.75</v>
      </c>
      <c r="P936" s="8">
        <v>516.39</v>
      </c>
      <c r="Q936" s="8" t="s">
        <v>2615</v>
      </c>
      <c r="S936" s="8" t="s">
        <v>184</v>
      </c>
      <c r="T936" s="8">
        <v>123.2</v>
      </c>
    </row>
    <row r="937" spans="1:20" x14ac:dyDescent="0.2">
      <c r="A937" s="8" t="s">
        <v>4384</v>
      </c>
      <c r="B937" s="8" t="str">
        <f t="shared" si="28"/>
        <v>1586244080</v>
      </c>
      <c r="C937" s="8" t="str">
        <f t="shared" si="29"/>
        <v>972</v>
      </c>
      <c r="D937" s="8" t="s">
        <v>119</v>
      </c>
      <c r="F937" s="8" t="s">
        <v>120</v>
      </c>
      <c r="G937" s="8" t="s">
        <v>302</v>
      </c>
      <c r="H937" s="8" t="s">
        <v>303</v>
      </c>
      <c r="I937" s="8" t="s">
        <v>167</v>
      </c>
      <c r="J937" s="8" t="s">
        <v>304</v>
      </c>
      <c r="K937" s="8" t="s">
        <v>305</v>
      </c>
      <c r="L937" s="8" t="s">
        <v>306</v>
      </c>
      <c r="M937" s="8" t="s">
        <v>2776</v>
      </c>
      <c r="N937" s="8" t="s">
        <v>302</v>
      </c>
      <c r="O937" s="8">
        <v>464.75</v>
      </c>
      <c r="P937" s="8">
        <v>516.39</v>
      </c>
      <c r="Q937" s="8" t="s">
        <v>2615</v>
      </c>
      <c r="S937" s="8" t="s">
        <v>156</v>
      </c>
      <c r="T937" s="8">
        <v>51.64</v>
      </c>
    </row>
    <row r="938" spans="1:20" x14ac:dyDescent="0.2">
      <c r="A938" s="8" t="s">
        <v>4798</v>
      </c>
      <c r="B938" s="8" t="str">
        <f t="shared" si="28"/>
        <v>1586244082</v>
      </c>
      <c r="C938" s="8" t="str">
        <f t="shared" si="29"/>
        <v>973</v>
      </c>
      <c r="D938" s="8" t="s">
        <v>119</v>
      </c>
      <c r="F938" s="8" t="s">
        <v>120</v>
      </c>
      <c r="G938" s="8" t="s">
        <v>302</v>
      </c>
      <c r="H938" s="8" t="s">
        <v>303</v>
      </c>
      <c r="I938" s="8" t="s">
        <v>181</v>
      </c>
      <c r="J938" s="8" t="s">
        <v>342</v>
      </c>
      <c r="K938" s="8" t="s">
        <v>343</v>
      </c>
      <c r="L938" s="8" t="s">
        <v>344</v>
      </c>
      <c r="M938" s="8" t="s">
        <v>2776</v>
      </c>
      <c r="N938" s="8" t="s">
        <v>302</v>
      </c>
      <c r="O938" s="8">
        <v>432.3</v>
      </c>
      <c r="P938" s="8">
        <v>480.33</v>
      </c>
      <c r="Q938" s="8" t="s">
        <v>2616</v>
      </c>
      <c r="R938" s="8" t="s">
        <v>345</v>
      </c>
    </row>
    <row r="939" spans="1:20" x14ac:dyDescent="0.2">
      <c r="A939" s="8" t="s">
        <v>4414</v>
      </c>
      <c r="B939" s="8" t="str">
        <f t="shared" si="28"/>
        <v>1586244082</v>
      </c>
      <c r="C939" s="8" t="str">
        <f t="shared" si="29"/>
        <v>974</v>
      </c>
      <c r="D939" s="8" t="s">
        <v>119</v>
      </c>
      <c r="F939" s="8" t="s">
        <v>120</v>
      </c>
      <c r="G939" s="8" t="s">
        <v>302</v>
      </c>
      <c r="H939" s="8" t="s">
        <v>303</v>
      </c>
      <c r="I939" s="8" t="s">
        <v>181</v>
      </c>
      <c r="J939" s="8" t="s">
        <v>342</v>
      </c>
      <c r="K939" s="8" t="s">
        <v>343</v>
      </c>
      <c r="L939" s="8" t="s">
        <v>344</v>
      </c>
      <c r="M939" s="8" t="s">
        <v>2776</v>
      </c>
      <c r="N939" s="8" t="s">
        <v>302</v>
      </c>
      <c r="O939" s="8">
        <v>432.3</v>
      </c>
      <c r="P939" s="8">
        <v>480.33</v>
      </c>
      <c r="Q939" s="8" t="s">
        <v>2616</v>
      </c>
      <c r="R939" s="8" t="s">
        <v>2334</v>
      </c>
    </row>
    <row r="940" spans="1:20" x14ac:dyDescent="0.2">
      <c r="A940" s="8" t="s">
        <v>3401</v>
      </c>
      <c r="B940" s="8" t="str">
        <f t="shared" si="28"/>
        <v>1586244082</v>
      </c>
      <c r="C940" s="8" t="str">
        <f t="shared" si="29"/>
        <v>975</v>
      </c>
      <c r="D940" s="8" t="s">
        <v>119</v>
      </c>
      <c r="F940" s="8" t="s">
        <v>120</v>
      </c>
      <c r="G940" s="8" t="s">
        <v>302</v>
      </c>
      <c r="H940" s="8" t="s">
        <v>303</v>
      </c>
      <c r="I940" s="8" t="s">
        <v>181</v>
      </c>
      <c r="J940" s="8" t="s">
        <v>342</v>
      </c>
      <c r="K940" s="8" t="s">
        <v>343</v>
      </c>
      <c r="L940" s="8" t="s">
        <v>344</v>
      </c>
      <c r="M940" s="8" t="s">
        <v>2776</v>
      </c>
      <c r="N940" s="8" t="s">
        <v>302</v>
      </c>
      <c r="O940" s="8">
        <v>432.3</v>
      </c>
      <c r="P940" s="8">
        <v>480.33</v>
      </c>
      <c r="Q940" s="8" t="s">
        <v>2616</v>
      </c>
      <c r="R940" s="8" t="s">
        <v>1979</v>
      </c>
    </row>
    <row r="941" spans="1:20" x14ac:dyDescent="0.2">
      <c r="A941" s="8" t="s">
        <v>3875</v>
      </c>
      <c r="B941" s="8" t="str">
        <f t="shared" si="28"/>
        <v>1586244082</v>
      </c>
      <c r="C941" s="8" t="str">
        <f t="shared" si="29"/>
        <v>976</v>
      </c>
      <c r="D941" s="8" t="s">
        <v>119</v>
      </c>
      <c r="F941" s="8" t="s">
        <v>120</v>
      </c>
      <c r="G941" s="8" t="s">
        <v>302</v>
      </c>
      <c r="H941" s="8" t="s">
        <v>303</v>
      </c>
      <c r="I941" s="8" t="s">
        <v>181</v>
      </c>
      <c r="J941" s="8" t="s">
        <v>342</v>
      </c>
      <c r="K941" s="8" t="s">
        <v>343</v>
      </c>
      <c r="L941" s="8" t="s">
        <v>344</v>
      </c>
      <c r="M941" s="8" t="s">
        <v>2776</v>
      </c>
      <c r="N941" s="8" t="s">
        <v>302</v>
      </c>
      <c r="O941" s="8">
        <v>432.3</v>
      </c>
      <c r="P941" s="8">
        <v>480.33</v>
      </c>
      <c r="Q941" s="8" t="s">
        <v>2616</v>
      </c>
      <c r="R941" s="8" t="s">
        <v>1813</v>
      </c>
    </row>
    <row r="942" spans="1:20" x14ac:dyDescent="0.2">
      <c r="A942" s="8" t="s">
        <v>2885</v>
      </c>
      <c r="B942" s="8" t="str">
        <f t="shared" si="28"/>
        <v>1586244082</v>
      </c>
      <c r="C942" s="8" t="str">
        <f t="shared" si="29"/>
        <v>977</v>
      </c>
      <c r="D942" s="8" t="s">
        <v>119</v>
      </c>
      <c r="F942" s="8" t="s">
        <v>120</v>
      </c>
      <c r="G942" s="8" t="s">
        <v>302</v>
      </c>
      <c r="H942" s="8" t="s">
        <v>303</v>
      </c>
      <c r="I942" s="8" t="s">
        <v>181</v>
      </c>
      <c r="J942" s="8" t="s">
        <v>342</v>
      </c>
      <c r="K942" s="8" t="s">
        <v>343</v>
      </c>
      <c r="L942" s="8" t="s">
        <v>344</v>
      </c>
      <c r="M942" s="8" t="s">
        <v>2776</v>
      </c>
      <c r="N942" s="8" t="s">
        <v>302</v>
      </c>
      <c r="O942" s="8">
        <v>432.3</v>
      </c>
      <c r="P942" s="8">
        <v>480.33</v>
      </c>
      <c r="Q942" s="8" t="s">
        <v>2616</v>
      </c>
      <c r="R942" s="8" t="s">
        <v>1719</v>
      </c>
    </row>
    <row r="943" spans="1:20" x14ac:dyDescent="0.2">
      <c r="A943" s="8" t="s">
        <v>4751</v>
      </c>
      <c r="B943" s="8" t="str">
        <f t="shared" si="28"/>
        <v>1586244082</v>
      </c>
      <c r="C943" s="8" t="str">
        <f t="shared" si="29"/>
        <v>978</v>
      </c>
      <c r="D943" s="8" t="s">
        <v>119</v>
      </c>
      <c r="F943" s="8" t="s">
        <v>120</v>
      </c>
      <c r="G943" s="8" t="s">
        <v>302</v>
      </c>
      <c r="H943" s="8" t="s">
        <v>303</v>
      </c>
      <c r="I943" s="8" t="s">
        <v>181</v>
      </c>
      <c r="J943" s="8" t="s">
        <v>342</v>
      </c>
      <c r="K943" s="8" t="s">
        <v>343</v>
      </c>
      <c r="L943" s="8" t="s">
        <v>344</v>
      </c>
      <c r="M943" s="8" t="s">
        <v>2776</v>
      </c>
      <c r="N943" s="8" t="s">
        <v>302</v>
      </c>
      <c r="O943" s="8">
        <v>432.3</v>
      </c>
      <c r="P943" s="8">
        <v>480.33</v>
      </c>
      <c r="Q943" s="8" t="s">
        <v>2616</v>
      </c>
      <c r="S943" s="8" t="s">
        <v>142</v>
      </c>
      <c r="T943" s="8">
        <v>136.47999999999999</v>
      </c>
    </row>
    <row r="944" spans="1:20" x14ac:dyDescent="0.2">
      <c r="A944" s="8" t="s">
        <v>4472</v>
      </c>
      <c r="B944" s="8" t="str">
        <f t="shared" si="28"/>
        <v>1586244082</v>
      </c>
      <c r="C944" s="8" t="str">
        <f t="shared" si="29"/>
        <v>979</v>
      </c>
      <c r="D944" s="8" t="s">
        <v>119</v>
      </c>
      <c r="F944" s="8" t="s">
        <v>120</v>
      </c>
      <c r="G944" s="8" t="s">
        <v>302</v>
      </c>
      <c r="H944" s="8" t="s">
        <v>303</v>
      </c>
      <c r="I944" s="8" t="s">
        <v>181</v>
      </c>
      <c r="J944" s="8" t="s">
        <v>342</v>
      </c>
      <c r="K944" s="8" t="s">
        <v>343</v>
      </c>
      <c r="L944" s="8" t="s">
        <v>344</v>
      </c>
      <c r="M944" s="8" t="s">
        <v>2776</v>
      </c>
      <c r="N944" s="8" t="s">
        <v>302</v>
      </c>
      <c r="O944" s="8">
        <v>432.3</v>
      </c>
      <c r="P944" s="8">
        <v>480.33</v>
      </c>
      <c r="Q944" s="8" t="s">
        <v>2616</v>
      </c>
      <c r="S944" s="8" t="s">
        <v>184</v>
      </c>
      <c r="T944" s="8">
        <v>169.67</v>
      </c>
    </row>
    <row r="945" spans="1:20" x14ac:dyDescent="0.2">
      <c r="A945" s="8" t="s">
        <v>4075</v>
      </c>
      <c r="B945" s="8" t="str">
        <f t="shared" si="28"/>
        <v>1586244082</v>
      </c>
      <c r="C945" s="8" t="str">
        <f t="shared" si="29"/>
        <v>980</v>
      </c>
      <c r="D945" s="8" t="s">
        <v>119</v>
      </c>
      <c r="F945" s="8" t="s">
        <v>120</v>
      </c>
      <c r="G945" s="8" t="s">
        <v>302</v>
      </c>
      <c r="H945" s="8" t="s">
        <v>303</v>
      </c>
      <c r="I945" s="8" t="s">
        <v>181</v>
      </c>
      <c r="J945" s="8" t="s">
        <v>342</v>
      </c>
      <c r="K945" s="8" t="s">
        <v>343</v>
      </c>
      <c r="L945" s="8" t="s">
        <v>344</v>
      </c>
      <c r="M945" s="8" t="s">
        <v>2776</v>
      </c>
      <c r="N945" s="8" t="s">
        <v>302</v>
      </c>
      <c r="O945" s="8">
        <v>432.3</v>
      </c>
      <c r="P945" s="8">
        <v>480.33</v>
      </c>
      <c r="Q945" s="8" t="s">
        <v>2616</v>
      </c>
      <c r="S945" s="8" t="s">
        <v>156</v>
      </c>
      <c r="T945" s="8">
        <v>51.64</v>
      </c>
    </row>
    <row r="946" spans="1:20" x14ac:dyDescent="0.2">
      <c r="A946" s="8" t="s">
        <v>3592</v>
      </c>
      <c r="B946" s="8" t="str">
        <f t="shared" si="28"/>
        <v>1586244087</v>
      </c>
      <c r="C946" s="8" t="str">
        <f t="shared" si="29"/>
        <v>981</v>
      </c>
      <c r="D946" s="8" t="s">
        <v>119</v>
      </c>
      <c r="F946" s="8" t="s">
        <v>120</v>
      </c>
      <c r="G946" s="8" t="s">
        <v>1257</v>
      </c>
      <c r="H946" s="8" t="s">
        <v>1258</v>
      </c>
      <c r="I946" s="8" t="s">
        <v>167</v>
      </c>
      <c r="J946" s="8" t="s">
        <v>1259</v>
      </c>
      <c r="K946" s="8" t="s">
        <v>310</v>
      </c>
      <c r="L946" s="8" t="s">
        <v>1260</v>
      </c>
      <c r="M946" s="8" t="s">
        <v>2776</v>
      </c>
      <c r="N946" s="8" t="s">
        <v>1257</v>
      </c>
      <c r="O946" s="8">
        <v>469.92</v>
      </c>
      <c r="P946" s="8">
        <v>522.13</v>
      </c>
      <c r="Q946" s="8" t="s">
        <v>2617</v>
      </c>
      <c r="R946" s="8" t="s">
        <v>1867</v>
      </c>
    </row>
    <row r="947" spans="1:20" x14ac:dyDescent="0.2">
      <c r="A947" s="8" t="s">
        <v>4189</v>
      </c>
      <c r="B947" s="8" t="str">
        <f t="shared" si="28"/>
        <v>1586244087</v>
      </c>
      <c r="C947" s="8" t="str">
        <f t="shared" si="29"/>
        <v>982</v>
      </c>
      <c r="D947" s="8" t="s">
        <v>119</v>
      </c>
      <c r="F947" s="8" t="s">
        <v>120</v>
      </c>
      <c r="G947" s="8" t="s">
        <v>1257</v>
      </c>
      <c r="H947" s="8" t="s">
        <v>1258</v>
      </c>
      <c r="I947" s="8" t="s">
        <v>167</v>
      </c>
      <c r="J947" s="8" t="s">
        <v>1259</v>
      </c>
      <c r="K947" s="8" t="s">
        <v>310</v>
      </c>
      <c r="L947" s="8" t="s">
        <v>1260</v>
      </c>
      <c r="M947" s="8" t="s">
        <v>2776</v>
      </c>
      <c r="N947" s="8" t="s">
        <v>1257</v>
      </c>
      <c r="O947" s="8">
        <v>469.92</v>
      </c>
      <c r="P947" s="8">
        <v>522.13</v>
      </c>
      <c r="Q947" s="8" t="s">
        <v>2617</v>
      </c>
      <c r="R947" s="8" t="s">
        <v>1283</v>
      </c>
    </row>
    <row r="948" spans="1:20" x14ac:dyDescent="0.2">
      <c r="A948" s="8" t="s">
        <v>4339</v>
      </c>
      <c r="B948" s="8" t="str">
        <f t="shared" si="28"/>
        <v>1586244087</v>
      </c>
      <c r="C948" s="8" t="str">
        <f t="shared" si="29"/>
        <v>983</v>
      </c>
      <c r="D948" s="8" t="s">
        <v>119</v>
      </c>
      <c r="F948" s="8" t="s">
        <v>120</v>
      </c>
      <c r="G948" s="8" t="s">
        <v>1257</v>
      </c>
      <c r="H948" s="8" t="s">
        <v>1258</v>
      </c>
      <c r="I948" s="8" t="s">
        <v>167</v>
      </c>
      <c r="J948" s="8" t="s">
        <v>1259</v>
      </c>
      <c r="K948" s="8" t="s">
        <v>310</v>
      </c>
      <c r="L948" s="8" t="s">
        <v>1260</v>
      </c>
      <c r="M948" s="8" t="s">
        <v>2776</v>
      </c>
      <c r="N948" s="8" t="s">
        <v>1257</v>
      </c>
      <c r="O948" s="8">
        <v>469.92</v>
      </c>
      <c r="P948" s="8">
        <v>522.13</v>
      </c>
      <c r="Q948" s="8" t="s">
        <v>2617</v>
      </c>
      <c r="R948" s="8" t="s">
        <v>2148</v>
      </c>
    </row>
    <row r="949" spans="1:20" x14ac:dyDescent="0.2">
      <c r="A949" s="8" t="s">
        <v>4673</v>
      </c>
      <c r="B949" s="8" t="str">
        <f t="shared" si="28"/>
        <v>1586244087</v>
      </c>
      <c r="C949" s="8" t="str">
        <f t="shared" si="29"/>
        <v>984</v>
      </c>
      <c r="D949" s="8" t="s">
        <v>119</v>
      </c>
      <c r="F949" s="8" t="s">
        <v>120</v>
      </c>
      <c r="G949" s="8" t="s">
        <v>1257</v>
      </c>
      <c r="H949" s="8" t="s">
        <v>1258</v>
      </c>
      <c r="I949" s="8" t="s">
        <v>167</v>
      </c>
      <c r="J949" s="8" t="s">
        <v>1259</v>
      </c>
      <c r="K949" s="8" t="s">
        <v>310</v>
      </c>
      <c r="L949" s="8" t="s">
        <v>1260</v>
      </c>
      <c r="M949" s="8" t="s">
        <v>2776</v>
      </c>
      <c r="N949" s="8" t="s">
        <v>1257</v>
      </c>
      <c r="O949" s="8">
        <v>469.92</v>
      </c>
      <c r="P949" s="8">
        <v>522.13</v>
      </c>
      <c r="Q949" s="8" t="s">
        <v>2617</v>
      </c>
      <c r="R949" s="8" t="s">
        <v>2071</v>
      </c>
    </row>
    <row r="950" spans="1:20" x14ac:dyDescent="0.2">
      <c r="A950" s="8" t="s">
        <v>4201</v>
      </c>
      <c r="B950" s="8" t="str">
        <f t="shared" si="28"/>
        <v>1586244087</v>
      </c>
      <c r="C950" s="8" t="str">
        <f t="shared" si="29"/>
        <v>985</v>
      </c>
      <c r="D950" s="8" t="s">
        <v>119</v>
      </c>
      <c r="F950" s="8" t="s">
        <v>120</v>
      </c>
      <c r="G950" s="8" t="s">
        <v>1257</v>
      </c>
      <c r="H950" s="8" t="s">
        <v>1258</v>
      </c>
      <c r="I950" s="8" t="s">
        <v>167</v>
      </c>
      <c r="J950" s="8" t="s">
        <v>1259</v>
      </c>
      <c r="K950" s="8" t="s">
        <v>310</v>
      </c>
      <c r="L950" s="8" t="s">
        <v>1260</v>
      </c>
      <c r="M950" s="8" t="s">
        <v>2776</v>
      </c>
      <c r="N950" s="8" t="s">
        <v>1257</v>
      </c>
      <c r="O950" s="8">
        <v>469.92</v>
      </c>
      <c r="P950" s="8">
        <v>522.13</v>
      </c>
      <c r="Q950" s="8" t="s">
        <v>2617</v>
      </c>
      <c r="S950" s="8" t="s">
        <v>1261</v>
      </c>
      <c r="T950" s="8">
        <v>230.9</v>
      </c>
    </row>
    <row r="951" spans="1:20" x14ac:dyDescent="0.2">
      <c r="A951" s="8" t="s">
        <v>3260</v>
      </c>
      <c r="B951" s="8" t="str">
        <f t="shared" si="28"/>
        <v>1586244091</v>
      </c>
      <c r="C951" s="8" t="str">
        <f t="shared" si="29"/>
        <v>986</v>
      </c>
      <c r="D951" s="8" t="s">
        <v>119</v>
      </c>
      <c r="F951" s="8" t="s">
        <v>120</v>
      </c>
      <c r="G951" s="8" t="s">
        <v>472</v>
      </c>
      <c r="H951" s="8" t="s">
        <v>473</v>
      </c>
      <c r="I951" s="8" t="s">
        <v>474</v>
      </c>
      <c r="J951" s="8" t="s">
        <v>475</v>
      </c>
      <c r="K951" s="8" t="s">
        <v>190</v>
      </c>
      <c r="L951" s="8" t="s">
        <v>476</v>
      </c>
      <c r="M951" s="8" t="s">
        <v>2776</v>
      </c>
      <c r="N951" s="8" t="s">
        <v>472</v>
      </c>
      <c r="O951" s="8">
        <v>761.31</v>
      </c>
      <c r="P951" s="8">
        <v>845.9</v>
      </c>
      <c r="Q951" s="8" t="s">
        <v>2618</v>
      </c>
      <c r="R951" s="8" t="s">
        <v>1451</v>
      </c>
    </row>
    <row r="952" spans="1:20" x14ac:dyDescent="0.2">
      <c r="A952" s="8" t="s">
        <v>4438</v>
      </c>
      <c r="B952" s="8" t="str">
        <f t="shared" si="28"/>
        <v>1586244091</v>
      </c>
      <c r="C952" s="8" t="str">
        <f t="shared" si="29"/>
        <v>987</v>
      </c>
      <c r="D952" s="8" t="s">
        <v>119</v>
      </c>
      <c r="F952" s="8" t="s">
        <v>120</v>
      </c>
      <c r="G952" s="8" t="s">
        <v>472</v>
      </c>
      <c r="H952" s="8" t="s">
        <v>473</v>
      </c>
      <c r="I952" s="8" t="s">
        <v>474</v>
      </c>
      <c r="J952" s="8" t="s">
        <v>475</v>
      </c>
      <c r="K952" s="8" t="s">
        <v>190</v>
      </c>
      <c r="L952" s="8" t="s">
        <v>476</v>
      </c>
      <c r="M952" s="8" t="s">
        <v>2776</v>
      </c>
      <c r="N952" s="8" t="s">
        <v>472</v>
      </c>
      <c r="O952" s="8">
        <v>761.31</v>
      </c>
      <c r="P952" s="8">
        <v>845.9</v>
      </c>
      <c r="Q952" s="8" t="s">
        <v>2618</v>
      </c>
      <c r="R952" s="8" t="s">
        <v>1747</v>
      </c>
    </row>
    <row r="953" spans="1:20" x14ac:dyDescent="0.2">
      <c r="A953" s="8" t="s">
        <v>3512</v>
      </c>
      <c r="B953" s="8" t="str">
        <f t="shared" si="28"/>
        <v>1586244091</v>
      </c>
      <c r="C953" s="8" t="str">
        <f t="shared" si="29"/>
        <v>988</v>
      </c>
      <c r="D953" s="8" t="s">
        <v>119</v>
      </c>
      <c r="F953" s="8" t="s">
        <v>120</v>
      </c>
      <c r="G953" s="8" t="s">
        <v>472</v>
      </c>
      <c r="H953" s="8" t="s">
        <v>473</v>
      </c>
      <c r="I953" s="8" t="s">
        <v>474</v>
      </c>
      <c r="J953" s="8" t="s">
        <v>475</v>
      </c>
      <c r="K953" s="8" t="s">
        <v>190</v>
      </c>
      <c r="L953" s="8" t="s">
        <v>476</v>
      </c>
      <c r="M953" s="8" t="s">
        <v>2776</v>
      </c>
      <c r="N953" s="8" t="s">
        <v>472</v>
      </c>
      <c r="O953" s="8">
        <v>761.31</v>
      </c>
      <c r="P953" s="8">
        <v>845.9</v>
      </c>
      <c r="Q953" s="8" t="s">
        <v>2618</v>
      </c>
      <c r="R953" s="8" t="s">
        <v>477</v>
      </c>
    </row>
    <row r="954" spans="1:20" x14ac:dyDescent="0.2">
      <c r="A954" s="8" t="s">
        <v>4152</v>
      </c>
      <c r="B954" s="8" t="str">
        <f t="shared" si="28"/>
        <v>1586244091</v>
      </c>
      <c r="C954" s="8" t="str">
        <f t="shared" si="29"/>
        <v>989</v>
      </c>
      <c r="D954" s="8" t="s">
        <v>119</v>
      </c>
      <c r="F954" s="8" t="s">
        <v>120</v>
      </c>
      <c r="G954" s="8" t="s">
        <v>472</v>
      </c>
      <c r="H954" s="8" t="s">
        <v>473</v>
      </c>
      <c r="I954" s="8" t="s">
        <v>474</v>
      </c>
      <c r="J954" s="8" t="s">
        <v>475</v>
      </c>
      <c r="K954" s="8" t="s">
        <v>190</v>
      </c>
      <c r="L954" s="8" t="s">
        <v>476</v>
      </c>
      <c r="M954" s="8" t="s">
        <v>2776</v>
      </c>
      <c r="N954" s="8" t="s">
        <v>472</v>
      </c>
      <c r="O954" s="8">
        <v>761.31</v>
      </c>
      <c r="P954" s="8">
        <v>845.9</v>
      </c>
      <c r="Q954" s="8" t="s">
        <v>2618</v>
      </c>
      <c r="S954" s="8" t="s">
        <v>184</v>
      </c>
      <c r="T954" s="8">
        <v>169.67</v>
      </c>
    </row>
    <row r="955" spans="1:20" x14ac:dyDescent="0.2">
      <c r="A955" s="8" t="s">
        <v>3359</v>
      </c>
      <c r="B955" s="8" t="str">
        <f t="shared" si="28"/>
        <v>1586244095</v>
      </c>
      <c r="C955" s="8" t="str">
        <f t="shared" si="29"/>
        <v>990</v>
      </c>
      <c r="D955" s="8" t="s">
        <v>119</v>
      </c>
      <c r="F955" s="8" t="s">
        <v>120</v>
      </c>
      <c r="G955" s="8" t="s">
        <v>326</v>
      </c>
      <c r="H955" s="8" t="s">
        <v>327</v>
      </c>
      <c r="I955" s="8" t="s">
        <v>181</v>
      </c>
      <c r="J955" s="8" t="s">
        <v>847</v>
      </c>
      <c r="K955" s="8" t="s">
        <v>190</v>
      </c>
      <c r="L955" s="8" t="s">
        <v>848</v>
      </c>
      <c r="M955" s="8" t="s">
        <v>2776</v>
      </c>
      <c r="N955" s="8" t="s">
        <v>326</v>
      </c>
      <c r="O955" s="8">
        <v>809.26</v>
      </c>
      <c r="P955" s="8">
        <v>899.18</v>
      </c>
      <c r="Q955" s="8" t="s">
        <v>2619</v>
      </c>
      <c r="R955" s="8" t="s">
        <v>849</v>
      </c>
    </row>
    <row r="956" spans="1:20" x14ac:dyDescent="0.2">
      <c r="A956" s="8" t="s">
        <v>4050</v>
      </c>
      <c r="B956" s="8" t="str">
        <f t="shared" si="28"/>
        <v>1586244095</v>
      </c>
      <c r="C956" s="8" t="str">
        <f t="shared" si="29"/>
        <v>991</v>
      </c>
      <c r="D956" s="8" t="s">
        <v>119</v>
      </c>
      <c r="F956" s="8" t="s">
        <v>120</v>
      </c>
      <c r="G956" s="8" t="s">
        <v>326</v>
      </c>
      <c r="H956" s="8" t="s">
        <v>327</v>
      </c>
      <c r="I956" s="8" t="s">
        <v>181</v>
      </c>
      <c r="J956" s="8" t="s">
        <v>847</v>
      </c>
      <c r="K956" s="8" t="s">
        <v>190</v>
      </c>
      <c r="L956" s="8" t="s">
        <v>848</v>
      </c>
      <c r="M956" s="8" t="s">
        <v>2776</v>
      </c>
      <c r="N956" s="8" t="s">
        <v>326</v>
      </c>
      <c r="O956" s="8">
        <v>809.26</v>
      </c>
      <c r="P956" s="8">
        <v>899.18</v>
      </c>
      <c r="Q956" s="8" t="s">
        <v>2619</v>
      </c>
      <c r="R956" s="8" t="s">
        <v>957</v>
      </c>
    </row>
    <row r="957" spans="1:20" x14ac:dyDescent="0.2">
      <c r="A957" s="8" t="s">
        <v>4550</v>
      </c>
      <c r="B957" s="8" t="str">
        <f t="shared" si="28"/>
        <v>1586244095</v>
      </c>
      <c r="C957" s="8" t="str">
        <f t="shared" si="29"/>
        <v>992</v>
      </c>
      <c r="D957" s="8" t="s">
        <v>119</v>
      </c>
      <c r="F957" s="8" t="s">
        <v>120</v>
      </c>
      <c r="G957" s="8" t="s">
        <v>326</v>
      </c>
      <c r="H957" s="8" t="s">
        <v>327</v>
      </c>
      <c r="I957" s="8" t="s">
        <v>181</v>
      </c>
      <c r="J957" s="8" t="s">
        <v>847</v>
      </c>
      <c r="K957" s="8" t="s">
        <v>190</v>
      </c>
      <c r="L957" s="8" t="s">
        <v>848</v>
      </c>
      <c r="M957" s="8" t="s">
        <v>2776</v>
      </c>
      <c r="N957" s="8" t="s">
        <v>326</v>
      </c>
      <c r="O957" s="8">
        <v>809.26</v>
      </c>
      <c r="P957" s="8">
        <v>899.18</v>
      </c>
      <c r="Q957" s="8" t="s">
        <v>2619</v>
      </c>
      <c r="R957" s="8" t="s">
        <v>2006</v>
      </c>
    </row>
    <row r="958" spans="1:20" x14ac:dyDescent="0.2">
      <c r="A958" s="8" t="s">
        <v>4464</v>
      </c>
      <c r="B958" s="8" t="str">
        <f t="shared" si="28"/>
        <v>1586244097</v>
      </c>
      <c r="C958" s="8" t="str">
        <f t="shared" si="29"/>
        <v>993</v>
      </c>
      <c r="D958" s="8" t="s">
        <v>119</v>
      </c>
      <c r="F958" s="8" t="s">
        <v>120</v>
      </c>
      <c r="G958" s="8" t="s">
        <v>326</v>
      </c>
      <c r="H958" s="8" t="s">
        <v>327</v>
      </c>
      <c r="I958" s="8" t="s">
        <v>328</v>
      </c>
      <c r="J958" s="8" t="s">
        <v>329</v>
      </c>
      <c r="K958" s="8" t="s">
        <v>60</v>
      </c>
      <c r="L958" s="8" t="s">
        <v>330</v>
      </c>
      <c r="M958" s="8" t="s">
        <v>2776</v>
      </c>
      <c r="N958" s="8" t="s">
        <v>326</v>
      </c>
      <c r="O958" s="8">
        <v>763.52</v>
      </c>
      <c r="P958" s="8">
        <v>848.36</v>
      </c>
      <c r="Q958" s="8" t="s">
        <v>2620</v>
      </c>
      <c r="R958" s="8" t="s">
        <v>1779</v>
      </c>
    </row>
    <row r="959" spans="1:20" x14ac:dyDescent="0.2">
      <c r="A959" s="8" t="s">
        <v>2879</v>
      </c>
      <c r="B959" s="8" t="str">
        <f t="shared" si="28"/>
        <v>1586244097</v>
      </c>
      <c r="C959" s="8" t="str">
        <f t="shared" si="29"/>
        <v>994</v>
      </c>
      <c r="D959" s="8" t="s">
        <v>119</v>
      </c>
      <c r="F959" s="8" t="s">
        <v>120</v>
      </c>
      <c r="G959" s="8" t="s">
        <v>326</v>
      </c>
      <c r="H959" s="8" t="s">
        <v>327</v>
      </c>
      <c r="I959" s="8" t="s">
        <v>328</v>
      </c>
      <c r="J959" s="8" t="s">
        <v>329</v>
      </c>
      <c r="K959" s="8" t="s">
        <v>60</v>
      </c>
      <c r="L959" s="8" t="s">
        <v>330</v>
      </c>
      <c r="M959" s="8" t="s">
        <v>2776</v>
      </c>
      <c r="N959" s="8" t="s">
        <v>326</v>
      </c>
      <c r="O959" s="8">
        <v>763.52</v>
      </c>
      <c r="P959" s="8">
        <v>848.36</v>
      </c>
      <c r="Q959" s="8" t="s">
        <v>2620</v>
      </c>
      <c r="R959" s="8" t="s">
        <v>2437</v>
      </c>
    </row>
    <row r="960" spans="1:20" x14ac:dyDescent="0.2">
      <c r="A960" s="8" t="s">
        <v>3009</v>
      </c>
      <c r="B960" s="8" t="str">
        <f t="shared" si="28"/>
        <v>1586244097</v>
      </c>
      <c r="C960" s="8" t="str">
        <f t="shared" si="29"/>
        <v>995</v>
      </c>
      <c r="D960" s="8" t="s">
        <v>119</v>
      </c>
      <c r="F960" s="8" t="s">
        <v>120</v>
      </c>
      <c r="G960" s="8" t="s">
        <v>326</v>
      </c>
      <c r="H960" s="8" t="s">
        <v>327</v>
      </c>
      <c r="I960" s="8" t="s">
        <v>328</v>
      </c>
      <c r="J960" s="8" t="s">
        <v>329</v>
      </c>
      <c r="K960" s="8" t="s">
        <v>60</v>
      </c>
      <c r="L960" s="8" t="s">
        <v>330</v>
      </c>
      <c r="M960" s="8" t="s">
        <v>2776</v>
      </c>
      <c r="N960" s="8" t="s">
        <v>326</v>
      </c>
      <c r="O960" s="8">
        <v>763.52</v>
      </c>
      <c r="P960" s="8">
        <v>848.36</v>
      </c>
      <c r="Q960" s="8" t="s">
        <v>2620</v>
      </c>
      <c r="R960" s="8" t="s">
        <v>1994</v>
      </c>
    </row>
    <row r="961" spans="1:20" x14ac:dyDescent="0.2">
      <c r="A961" s="8" t="s">
        <v>3779</v>
      </c>
      <c r="B961" s="8" t="str">
        <f t="shared" si="28"/>
        <v>1586244097</v>
      </c>
      <c r="C961" s="8" t="str">
        <f t="shared" si="29"/>
        <v>996</v>
      </c>
      <c r="D961" s="8" t="s">
        <v>119</v>
      </c>
      <c r="F961" s="8" t="s">
        <v>120</v>
      </c>
      <c r="G961" s="8" t="s">
        <v>326</v>
      </c>
      <c r="H961" s="8" t="s">
        <v>327</v>
      </c>
      <c r="I961" s="8" t="s">
        <v>328</v>
      </c>
      <c r="J961" s="8" t="s">
        <v>329</v>
      </c>
      <c r="K961" s="8" t="s">
        <v>60</v>
      </c>
      <c r="L961" s="8" t="s">
        <v>330</v>
      </c>
      <c r="M961" s="8" t="s">
        <v>2776</v>
      </c>
      <c r="N961" s="8" t="s">
        <v>326</v>
      </c>
      <c r="O961" s="8">
        <v>763.52</v>
      </c>
      <c r="P961" s="8">
        <v>848.36</v>
      </c>
      <c r="Q961" s="8" t="s">
        <v>2620</v>
      </c>
      <c r="R961" s="8" t="s">
        <v>497</v>
      </c>
    </row>
    <row r="962" spans="1:20" x14ac:dyDescent="0.2">
      <c r="A962" s="8" t="s">
        <v>3808</v>
      </c>
      <c r="B962" s="8" t="str">
        <f t="shared" ref="B962:B1025" si="30">LEFT(A962, FIND("-", A962) - 1)</f>
        <v>1586244097</v>
      </c>
      <c r="C962" s="8" t="str">
        <f t="shared" ref="C962:C1025" si="31">RIGHT(A962, LEN(A962) - FIND("-", A962))</f>
        <v>997</v>
      </c>
      <c r="D962" s="8" t="s">
        <v>119</v>
      </c>
      <c r="F962" s="8" t="s">
        <v>120</v>
      </c>
      <c r="G962" s="8" t="s">
        <v>326</v>
      </c>
      <c r="H962" s="8" t="s">
        <v>327</v>
      </c>
      <c r="I962" s="8" t="s">
        <v>328</v>
      </c>
      <c r="J962" s="8" t="s">
        <v>329</v>
      </c>
      <c r="K962" s="8" t="s">
        <v>60</v>
      </c>
      <c r="L962" s="8" t="s">
        <v>330</v>
      </c>
      <c r="M962" s="8" t="s">
        <v>2776</v>
      </c>
      <c r="N962" s="8" t="s">
        <v>326</v>
      </c>
      <c r="O962" s="8">
        <v>763.52</v>
      </c>
      <c r="P962" s="8">
        <v>848.36</v>
      </c>
      <c r="Q962" s="8" t="s">
        <v>2620</v>
      </c>
      <c r="S962" s="8" t="s">
        <v>331</v>
      </c>
      <c r="T962" s="8">
        <v>45.74</v>
      </c>
    </row>
    <row r="963" spans="1:20" x14ac:dyDescent="0.2">
      <c r="A963" s="8" t="s">
        <v>2962</v>
      </c>
      <c r="B963" s="8" t="str">
        <f t="shared" si="30"/>
        <v>1586244099</v>
      </c>
      <c r="C963" s="8" t="str">
        <f t="shared" si="31"/>
        <v>998</v>
      </c>
      <c r="D963" s="8" t="s">
        <v>119</v>
      </c>
      <c r="F963" s="8" t="s">
        <v>120</v>
      </c>
      <c r="G963" s="8" t="s">
        <v>326</v>
      </c>
      <c r="H963" s="8" t="s">
        <v>327</v>
      </c>
      <c r="I963" s="8" t="s">
        <v>328</v>
      </c>
      <c r="J963" s="8" t="s">
        <v>910</v>
      </c>
      <c r="K963" s="8" t="s">
        <v>60</v>
      </c>
      <c r="L963" s="8" t="s">
        <v>911</v>
      </c>
      <c r="M963" s="8" t="s">
        <v>2776</v>
      </c>
      <c r="N963" s="8" t="s">
        <v>326</v>
      </c>
      <c r="O963" s="8">
        <v>780.49</v>
      </c>
      <c r="P963" s="8">
        <v>867.21</v>
      </c>
      <c r="Q963" s="8" t="s">
        <v>2621</v>
      </c>
      <c r="R963" s="8" t="s">
        <v>2034</v>
      </c>
    </row>
    <row r="964" spans="1:20" x14ac:dyDescent="0.2">
      <c r="A964" s="8" t="s">
        <v>3982</v>
      </c>
      <c r="B964" s="8" t="str">
        <f t="shared" si="30"/>
        <v>1586244099</v>
      </c>
      <c r="C964" s="8" t="str">
        <f t="shared" si="31"/>
        <v>999</v>
      </c>
      <c r="D964" s="8" t="s">
        <v>119</v>
      </c>
      <c r="F964" s="8" t="s">
        <v>120</v>
      </c>
      <c r="G964" s="8" t="s">
        <v>326</v>
      </c>
      <c r="H964" s="8" t="s">
        <v>327</v>
      </c>
      <c r="I964" s="8" t="s">
        <v>328</v>
      </c>
      <c r="J964" s="8" t="s">
        <v>910</v>
      </c>
      <c r="K964" s="8" t="s">
        <v>60</v>
      </c>
      <c r="L964" s="8" t="s">
        <v>911</v>
      </c>
      <c r="M964" s="8" t="s">
        <v>2776</v>
      </c>
      <c r="N964" s="8" t="s">
        <v>326</v>
      </c>
      <c r="O964" s="8">
        <v>780.49</v>
      </c>
      <c r="P964" s="8">
        <v>867.21</v>
      </c>
      <c r="Q964" s="8" t="s">
        <v>2621</v>
      </c>
      <c r="R964" s="8" t="s">
        <v>1737</v>
      </c>
    </row>
    <row r="965" spans="1:20" x14ac:dyDescent="0.2">
      <c r="A965" s="8" t="s">
        <v>3560</v>
      </c>
      <c r="B965" s="8" t="str">
        <f t="shared" si="30"/>
        <v>1586244099</v>
      </c>
      <c r="C965" s="8" t="str">
        <f t="shared" si="31"/>
        <v>1000</v>
      </c>
      <c r="D965" s="8" t="s">
        <v>119</v>
      </c>
      <c r="F965" s="8" t="s">
        <v>120</v>
      </c>
      <c r="G965" s="8" t="s">
        <v>326</v>
      </c>
      <c r="H965" s="8" t="s">
        <v>327</v>
      </c>
      <c r="I965" s="8" t="s">
        <v>328</v>
      </c>
      <c r="J965" s="8" t="s">
        <v>910</v>
      </c>
      <c r="K965" s="8" t="s">
        <v>60</v>
      </c>
      <c r="L965" s="8" t="s">
        <v>911</v>
      </c>
      <c r="M965" s="8" t="s">
        <v>2776</v>
      </c>
      <c r="N965" s="8" t="s">
        <v>326</v>
      </c>
      <c r="O965" s="8">
        <v>780.49</v>
      </c>
      <c r="P965" s="8">
        <v>867.21</v>
      </c>
      <c r="Q965" s="8" t="s">
        <v>2621</v>
      </c>
      <c r="R965" s="8" t="s">
        <v>2062</v>
      </c>
    </row>
    <row r="966" spans="1:20" x14ac:dyDescent="0.2">
      <c r="A966" s="8" t="s">
        <v>3412</v>
      </c>
      <c r="B966" s="8" t="str">
        <f t="shared" si="30"/>
        <v>1586244099</v>
      </c>
      <c r="C966" s="8" t="str">
        <f t="shared" si="31"/>
        <v>1001</v>
      </c>
      <c r="D966" s="8" t="s">
        <v>119</v>
      </c>
      <c r="F966" s="8" t="s">
        <v>120</v>
      </c>
      <c r="G966" s="8" t="s">
        <v>326</v>
      </c>
      <c r="H966" s="8" t="s">
        <v>327</v>
      </c>
      <c r="I966" s="8" t="s">
        <v>328</v>
      </c>
      <c r="J966" s="8" t="s">
        <v>910</v>
      </c>
      <c r="K966" s="8" t="s">
        <v>60</v>
      </c>
      <c r="L966" s="8" t="s">
        <v>911</v>
      </c>
      <c r="M966" s="8" t="s">
        <v>2776</v>
      </c>
      <c r="N966" s="8" t="s">
        <v>326</v>
      </c>
      <c r="O966" s="8">
        <v>780.49</v>
      </c>
      <c r="P966" s="8">
        <v>867.21</v>
      </c>
      <c r="Q966" s="8" t="s">
        <v>2621</v>
      </c>
      <c r="R966" s="8" t="s">
        <v>912</v>
      </c>
    </row>
    <row r="967" spans="1:20" x14ac:dyDescent="0.2">
      <c r="A967" s="8" t="s">
        <v>3312</v>
      </c>
      <c r="B967" s="8" t="str">
        <f t="shared" si="30"/>
        <v>1586244107</v>
      </c>
      <c r="C967" s="8" t="str">
        <f t="shared" si="31"/>
        <v>1002</v>
      </c>
      <c r="D967" s="8" t="s">
        <v>119</v>
      </c>
      <c r="F967" s="8" t="s">
        <v>120</v>
      </c>
      <c r="G967" s="8" t="s">
        <v>1294</v>
      </c>
      <c r="H967" s="8" t="s">
        <v>1295</v>
      </c>
      <c r="I967" s="8" t="s">
        <v>181</v>
      </c>
      <c r="J967" s="8" t="s">
        <v>1296</v>
      </c>
      <c r="K967" s="8" t="s">
        <v>125</v>
      </c>
      <c r="L967" s="8" t="s">
        <v>1297</v>
      </c>
      <c r="M967" s="8" t="s">
        <v>2776</v>
      </c>
      <c r="N967" s="8" t="s">
        <v>1294</v>
      </c>
      <c r="O967" s="8">
        <v>455.16</v>
      </c>
      <c r="P967" s="8">
        <v>505.74</v>
      </c>
      <c r="Q967" s="8" t="s">
        <v>2622</v>
      </c>
      <c r="R967" s="8" t="s">
        <v>1298</v>
      </c>
    </row>
    <row r="968" spans="1:20" x14ac:dyDescent="0.2">
      <c r="A968" s="8" t="s">
        <v>3484</v>
      </c>
      <c r="B968" s="8" t="str">
        <f t="shared" si="30"/>
        <v>1586244107</v>
      </c>
      <c r="C968" s="8" t="str">
        <f t="shared" si="31"/>
        <v>1003</v>
      </c>
      <c r="D968" s="8" t="s">
        <v>119</v>
      </c>
      <c r="F968" s="8" t="s">
        <v>120</v>
      </c>
      <c r="G968" s="8" t="s">
        <v>1294</v>
      </c>
      <c r="H968" s="8" t="s">
        <v>1295</v>
      </c>
      <c r="I968" s="8" t="s">
        <v>181</v>
      </c>
      <c r="J968" s="8" t="s">
        <v>1296</v>
      </c>
      <c r="K968" s="8" t="s">
        <v>125</v>
      </c>
      <c r="L968" s="8" t="s">
        <v>1297</v>
      </c>
      <c r="M968" s="8" t="s">
        <v>2776</v>
      </c>
      <c r="N968" s="8" t="s">
        <v>1294</v>
      </c>
      <c r="O968" s="8">
        <v>455.16</v>
      </c>
      <c r="P968" s="8">
        <v>505.74</v>
      </c>
      <c r="Q968" s="8" t="s">
        <v>2622</v>
      </c>
      <c r="S968" s="8" t="s">
        <v>142</v>
      </c>
      <c r="T968" s="8">
        <v>58.28</v>
      </c>
    </row>
    <row r="969" spans="1:20" x14ac:dyDescent="0.2">
      <c r="A969" s="8" t="s">
        <v>4428</v>
      </c>
      <c r="B969" s="8" t="str">
        <f t="shared" si="30"/>
        <v>1586244107</v>
      </c>
      <c r="C969" s="8" t="str">
        <f t="shared" si="31"/>
        <v>1004</v>
      </c>
      <c r="D969" s="8" t="s">
        <v>119</v>
      </c>
      <c r="F969" s="8" t="s">
        <v>120</v>
      </c>
      <c r="G969" s="8" t="s">
        <v>1294</v>
      </c>
      <c r="H969" s="8" t="s">
        <v>1295</v>
      </c>
      <c r="I969" s="8" t="s">
        <v>181</v>
      </c>
      <c r="J969" s="8" t="s">
        <v>1296</v>
      </c>
      <c r="K969" s="8" t="s">
        <v>125</v>
      </c>
      <c r="L969" s="8" t="s">
        <v>1297</v>
      </c>
      <c r="M969" s="8" t="s">
        <v>2776</v>
      </c>
      <c r="N969" s="8" t="s">
        <v>1294</v>
      </c>
      <c r="O969" s="8">
        <v>455.16</v>
      </c>
      <c r="P969" s="8">
        <v>505.74</v>
      </c>
      <c r="Q969" s="8" t="s">
        <v>2622</v>
      </c>
      <c r="S969" s="8" t="s">
        <v>184</v>
      </c>
      <c r="T969" s="8">
        <v>77.459999999999994</v>
      </c>
    </row>
    <row r="970" spans="1:20" x14ac:dyDescent="0.2">
      <c r="A970" s="8" t="s">
        <v>4546</v>
      </c>
      <c r="B970" s="8" t="str">
        <f t="shared" si="30"/>
        <v>1586244107</v>
      </c>
      <c r="C970" s="8" t="str">
        <f t="shared" si="31"/>
        <v>1005</v>
      </c>
      <c r="D970" s="8" t="s">
        <v>119</v>
      </c>
      <c r="F970" s="8" t="s">
        <v>120</v>
      </c>
      <c r="G970" s="8" t="s">
        <v>1294</v>
      </c>
      <c r="H970" s="8" t="s">
        <v>1295</v>
      </c>
      <c r="I970" s="8" t="s">
        <v>181</v>
      </c>
      <c r="J970" s="8" t="s">
        <v>1296</v>
      </c>
      <c r="K970" s="8" t="s">
        <v>125</v>
      </c>
      <c r="L970" s="8" t="s">
        <v>1297</v>
      </c>
      <c r="M970" s="8" t="s">
        <v>2776</v>
      </c>
      <c r="N970" s="8" t="s">
        <v>1294</v>
      </c>
      <c r="O970" s="8">
        <v>455.16</v>
      </c>
      <c r="P970" s="8">
        <v>505.74</v>
      </c>
      <c r="Q970" s="8" t="s">
        <v>2622</v>
      </c>
      <c r="S970" s="8" t="s">
        <v>109</v>
      </c>
      <c r="T970" s="8">
        <v>42.05</v>
      </c>
    </row>
    <row r="971" spans="1:20" x14ac:dyDescent="0.2">
      <c r="A971" s="8" t="s">
        <v>4803</v>
      </c>
      <c r="B971" s="8" t="str">
        <f t="shared" si="30"/>
        <v>1586244111</v>
      </c>
      <c r="C971" s="8" t="str">
        <f t="shared" si="31"/>
        <v>1006</v>
      </c>
      <c r="D971" s="8" t="s">
        <v>119</v>
      </c>
      <c r="F971" s="8" t="s">
        <v>120</v>
      </c>
      <c r="G971" s="8" t="s">
        <v>889</v>
      </c>
      <c r="H971" s="8" t="s">
        <v>890</v>
      </c>
      <c r="I971" s="8" t="s">
        <v>181</v>
      </c>
      <c r="J971" s="8" t="s">
        <v>891</v>
      </c>
      <c r="K971" s="8" t="s">
        <v>125</v>
      </c>
      <c r="L971" s="8" t="s">
        <v>892</v>
      </c>
      <c r="M971" s="8" t="s">
        <v>2776</v>
      </c>
      <c r="N971" s="8" t="s">
        <v>889</v>
      </c>
      <c r="O971" s="8">
        <v>475.08</v>
      </c>
      <c r="P971" s="8">
        <v>527.87</v>
      </c>
      <c r="Q971" s="8" t="s">
        <v>2623</v>
      </c>
      <c r="R971" s="8" t="s">
        <v>1917</v>
      </c>
    </row>
    <row r="972" spans="1:20" x14ac:dyDescent="0.2">
      <c r="A972" s="8" t="s">
        <v>3358</v>
      </c>
      <c r="B972" s="8" t="str">
        <f t="shared" si="30"/>
        <v>1586244111</v>
      </c>
      <c r="C972" s="8" t="str">
        <f t="shared" si="31"/>
        <v>1007</v>
      </c>
      <c r="D972" s="8" t="s">
        <v>119</v>
      </c>
      <c r="F972" s="8" t="s">
        <v>120</v>
      </c>
      <c r="G972" s="8" t="s">
        <v>889</v>
      </c>
      <c r="H972" s="8" t="s">
        <v>890</v>
      </c>
      <c r="I972" s="8" t="s">
        <v>181</v>
      </c>
      <c r="J972" s="8" t="s">
        <v>891</v>
      </c>
      <c r="K972" s="8" t="s">
        <v>125</v>
      </c>
      <c r="L972" s="8" t="s">
        <v>892</v>
      </c>
      <c r="M972" s="8" t="s">
        <v>2776</v>
      </c>
      <c r="N972" s="8" t="s">
        <v>889</v>
      </c>
      <c r="O972" s="8">
        <v>475.08</v>
      </c>
      <c r="P972" s="8">
        <v>527.87</v>
      </c>
      <c r="Q972" s="8" t="s">
        <v>2623</v>
      </c>
      <c r="R972" s="8" t="s">
        <v>1822</v>
      </c>
    </row>
    <row r="973" spans="1:20" x14ac:dyDescent="0.2">
      <c r="A973" s="8" t="s">
        <v>2928</v>
      </c>
      <c r="B973" s="8" t="str">
        <f t="shared" si="30"/>
        <v>1586244111</v>
      </c>
      <c r="C973" s="8" t="str">
        <f t="shared" si="31"/>
        <v>1008</v>
      </c>
      <c r="D973" s="8" t="s">
        <v>119</v>
      </c>
      <c r="F973" s="8" t="s">
        <v>120</v>
      </c>
      <c r="G973" s="8" t="s">
        <v>889</v>
      </c>
      <c r="H973" s="8" t="s">
        <v>890</v>
      </c>
      <c r="I973" s="8" t="s">
        <v>181</v>
      </c>
      <c r="J973" s="8" t="s">
        <v>891</v>
      </c>
      <c r="K973" s="8" t="s">
        <v>125</v>
      </c>
      <c r="L973" s="8" t="s">
        <v>892</v>
      </c>
      <c r="M973" s="8" t="s">
        <v>2776</v>
      </c>
      <c r="N973" s="8" t="s">
        <v>889</v>
      </c>
      <c r="O973" s="8">
        <v>475.08</v>
      </c>
      <c r="P973" s="8">
        <v>527.87</v>
      </c>
      <c r="Q973" s="8" t="s">
        <v>2623</v>
      </c>
      <c r="S973" s="8" t="s">
        <v>142</v>
      </c>
      <c r="T973" s="8">
        <v>47.95</v>
      </c>
    </row>
    <row r="974" spans="1:20" x14ac:dyDescent="0.2">
      <c r="A974" s="8" t="s">
        <v>2936</v>
      </c>
      <c r="B974" s="8" t="str">
        <f t="shared" si="30"/>
        <v>1586244111</v>
      </c>
      <c r="C974" s="8" t="str">
        <f t="shared" si="31"/>
        <v>1009</v>
      </c>
      <c r="D974" s="8" t="s">
        <v>119</v>
      </c>
      <c r="F974" s="8" t="s">
        <v>120</v>
      </c>
      <c r="G974" s="8" t="s">
        <v>889</v>
      </c>
      <c r="H974" s="8" t="s">
        <v>890</v>
      </c>
      <c r="I974" s="8" t="s">
        <v>181</v>
      </c>
      <c r="J974" s="8" t="s">
        <v>891</v>
      </c>
      <c r="K974" s="8" t="s">
        <v>125</v>
      </c>
      <c r="L974" s="8" t="s">
        <v>892</v>
      </c>
      <c r="M974" s="8" t="s">
        <v>2776</v>
      </c>
      <c r="N974" s="8" t="s">
        <v>889</v>
      </c>
      <c r="O974" s="8">
        <v>475.08</v>
      </c>
      <c r="P974" s="8">
        <v>527.87</v>
      </c>
      <c r="Q974" s="8" t="s">
        <v>2623</v>
      </c>
      <c r="S974" s="8" t="s">
        <v>184</v>
      </c>
      <c r="T974" s="8">
        <v>77.459999999999994</v>
      </c>
    </row>
    <row r="975" spans="1:20" x14ac:dyDescent="0.2">
      <c r="A975" s="8" t="s">
        <v>4154</v>
      </c>
      <c r="B975" s="8" t="str">
        <f t="shared" si="30"/>
        <v>1586244111</v>
      </c>
      <c r="C975" s="8" t="str">
        <f t="shared" si="31"/>
        <v>1010</v>
      </c>
      <c r="D975" s="8" t="s">
        <v>119</v>
      </c>
      <c r="F975" s="8" t="s">
        <v>120</v>
      </c>
      <c r="G975" s="8" t="s">
        <v>889</v>
      </c>
      <c r="H975" s="8" t="s">
        <v>890</v>
      </c>
      <c r="I975" s="8" t="s">
        <v>181</v>
      </c>
      <c r="J975" s="8" t="s">
        <v>891</v>
      </c>
      <c r="K975" s="8" t="s">
        <v>125</v>
      </c>
      <c r="L975" s="8" t="s">
        <v>892</v>
      </c>
      <c r="M975" s="8" t="s">
        <v>2776</v>
      </c>
      <c r="N975" s="8" t="s">
        <v>889</v>
      </c>
      <c r="O975" s="8">
        <v>475.08</v>
      </c>
      <c r="P975" s="8">
        <v>527.87</v>
      </c>
      <c r="Q975" s="8" t="s">
        <v>2623</v>
      </c>
      <c r="S975" s="8" t="s">
        <v>109</v>
      </c>
      <c r="T975" s="8">
        <v>42.05</v>
      </c>
    </row>
    <row r="976" spans="1:20" x14ac:dyDescent="0.2">
      <c r="A976" s="8" t="s">
        <v>2775</v>
      </c>
      <c r="B976" s="8" t="str">
        <f t="shared" si="30"/>
        <v>1586244115</v>
      </c>
      <c r="C976" s="8" t="str">
        <f t="shared" si="31"/>
        <v>1011</v>
      </c>
      <c r="D976" s="8" t="s">
        <v>119</v>
      </c>
      <c r="F976" s="8" t="s">
        <v>120</v>
      </c>
      <c r="G976" s="8" t="s">
        <v>1493</v>
      </c>
      <c r="H976" s="8" t="s">
        <v>1494</v>
      </c>
      <c r="I976" s="8" t="s">
        <v>181</v>
      </c>
      <c r="J976" s="8" t="s">
        <v>1495</v>
      </c>
      <c r="K976" s="8" t="s">
        <v>125</v>
      </c>
      <c r="L976" s="8" t="s">
        <v>1496</v>
      </c>
      <c r="M976" s="8" t="s">
        <v>2776</v>
      </c>
      <c r="N976" s="8" t="s">
        <v>1493</v>
      </c>
      <c r="O976" s="8">
        <v>455.16</v>
      </c>
      <c r="P976" s="8">
        <v>505.74</v>
      </c>
      <c r="Q976" s="8" t="s">
        <v>2624</v>
      </c>
      <c r="R976" s="8" t="s">
        <v>1497</v>
      </c>
    </row>
    <row r="977" spans="1:20" x14ac:dyDescent="0.2">
      <c r="A977" s="8" t="s">
        <v>3847</v>
      </c>
      <c r="B977" s="8" t="str">
        <f t="shared" si="30"/>
        <v>1586244115</v>
      </c>
      <c r="C977" s="8" t="str">
        <f t="shared" si="31"/>
        <v>1012</v>
      </c>
      <c r="D977" s="8" t="s">
        <v>119</v>
      </c>
      <c r="F977" s="8" t="s">
        <v>120</v>
      </c>
      <c r="G977" s="8" t="s">
        <v>1493</v>
      </c>
      <c r="H977" s="8" t="s">
        <v>1494</v>
      </c>
      <c r="I977" s="8" t="s">
        <v>181</v>
      </c>
      <c r="J977" s="8" t="s">
        <v>1495</v>
      </c>
      <c r="K977" s="8" t="s">
        <v>125</v>
      </c>
      <c r="L977" s="8" t="s">
        <v>1496</v>
      </c>
      <c r="M977" s="8" t="s">
        <v>2776</v>
      </c>
      <c r="N977" s="8" t="s">
        <v>1493</v>
      </c>
      <c r="O977" s="8">
        <v>455.16</v>
      </c>
      <c r="P977" s="8">
        <v>505.74</v>
      </c>
      <c r="Q977" s="8" t="s">
        <v>2624</v>
      </c>
      <c r="R977" s="8" t="s">
        <v>1728</v>
      </c>
    </row>
    <row r="978" spans="1:20" x14ac:dyDescent="0.2">
      <c r="A978" s="8" t="s">
        <v>3771</v>
      </c>
      <c r="B978" s="8" t="str">
        <f t="shared" si="30"/>
        <v>1586244115</v>
      </c>
      <c r="C978" s="8" t="str">
        <f t="shared" si="31"/>
        <v>1013</v>
      </c>
      <c r="D978" s="8" t="s">
        <v>119</v>
      </c>
      <c r="F978" s="8" t="s">
        <v>120</v>
      </c>
      <c r="G978" s="8" t="s">
        <v>1493</v>
      </c>
      <c r="H978" s="8" t="s">
        <v>1494</v>
      </c>
      <c r="I978" s="8" t="s">
        <v>181</v>
      </c>
      <c r="J978" s="8" t="s">
        <v>1495</v>
      </c>
      <c r="K978" s="8" t="s">
        <v>125</v>
      </c>
      <c r="L978" s="8" t="s">
        <v>1496</v>
      </c>
      <c r="M978" s="8" t="s">
        <v>2776</v>
      </c>
      <c r="N978" s="8" t="s">
        <v>1493</v>
      </c>
      <c r="O978" s="8">
        <v>455.16</v>
      </c>
      <c r="P978" s="8">
        <v>505.74</v>
      </c>
      <c r="Q978" s="8" t="s">
        <v>2624</v>
      </c>
      <c r="S978" s="8" t="s">
        <v>142</v>
      </c>
      <c r="T978" s="8">
        <v>58.28</v>
      </c>
    </row>
    <row r="979" spans="1:20" x14ac:dyDescent="0.2">
      <c r="A979" s="8" t="s">
        <v>3916</v>
      </c>
      <c r="B979" s="8" t="str">
        <f t="shared" si="30"/>
        <v>1586244115</v>
      </c>
      <c r="C979" s="8" t="str">
        <f t="shared" si="31"/>
        <v>1014</v>
      </c>
      <c r="D979" s="8" t="s">
        <v>119</v>
      </c>
      <c r="F979" s="8" t="s">
        <v>120</v>
      </c>
      <c r="G979" s="8" t="s">
        <v>1493</v>
      </c>
      <c r="H979" s="8" t="s">
        <v>1494</v>
      </c>
      <c r="I979" s="8" t="s">
        <v>181</v>
      </c>
      <c r="J979" s="8" t="s">
        <v>1495</v>
      </c>
      <c r="K979" s="8" t="s">
        <v>125</v>
      </c>
      <c r="L979" s="8" t="s">
        <v>1496</v>
      </c>
      <c r="M979" s="8" t="s">
        <v>2776</v>
      </c>
      <c r="N979" s="8" t="s">
        <v>1493</v>
      </c>
      <c r="O979" s="8">
        <v>455.16</v>
      </c>
      <c r="P979" s="8">
        <v>505.74</v>
      </c>
      <c r="Q979" s="8" t="s">
        <v>2624</v>
      </c>
      <c r="S979" s="8" t="s">
        <v>184</v>
      </c>
      <c r="T979" s="8">
        <v>77.459999999999994</v>
      </c>
    </row>
    <row r="980" spans="1:20" x14ac:dyDescent="0.2">
      <c r="A980" s="8" t="s">
        <v>3387</v>
      </c>
      <c r="B980" s="8" t="str">
        <f t="shared" si="30"/>
        <v>1586244115</v>
      </c>
      <c r="C980" s="8" t="str">
        <f t="shared" si="31"/>
        <v>1015</v>
      </c>
      <c r="D980" s="8" t="s">
        <v>119</v>
      </c>
      <c r="F980" s="8" t="s">
        <v>120</v>
      </c>
      <c r="G980" s="8" t="s">
        <v>1493</v>
      </c>
      <c r="H980" s="8" t="s">
        <v>1494</v>
      </c>
      <c r="I980" s="8" t="s">
        <v>181</v>
      </c>
      <c r="J980" s="8" t="s">
        <v>1495</v>
      </c>
      <c r="K980" s="8" t="s">
        <v>125</v>
      </c>
      <c r="L980" s="8" t="s">
        <v>1496</v>
      </c>
      <c r="M980" s="8" t="s">
        <v>2776</v>
      </c>
      <c r="N980" s="8" t="s">
        <v>1493</v>
      </c>
      <c r="O980" s="8">
        <v>455.16</v>
      </c>
      <c r="P980" s="8">
        <v>505.74</v>
      </c>
      <c r="Q980" s="8" t="s">
        <v>2624</v>
      </c>
      <c r="S980" s="8" t="s">
        <v>109</v>
      </c>
      <c r="T980" s="8">
        <v>42.05</v>
      </c>
    </row>
    <row r="981" spans="1:20" x14ac:dyDescent="0.2">
      <c r="A981" s="8" t="s">
        <v>4692</v>
      </c>
      <c r="B981" s="8" t="str">
        <f t="shared" si="30"/>
        <v>1586244120</v>
      </c>
      <c r="C981" s="8" t="str">
        <f t="shared" si="31"/>
        <v>1016</v>
      </c>
      <c r="D981" s="8" t="s">
        <v>119</v>
      </c>
      <c r="F981" s="8" t="s">
        <v>120</v>
      </c>
      <c r="G981" s="8" t="s">
        <v>1467</v>
      </c>
      <c r="H981" s="8" t="s">
        <v>1468</v>
      </c>
      <c r="I981" s="8" t="s">
        <v>181</v>
      </c>
      <c r="J981" s="8" t="s">
        <v>1469</v>
      </c>
      <c r="K981" s="8" t="s">
        <v>125</v>
      </c>
      <c r="L981" s="8" t="s">
        <v>1470</v>
      </c>
      <c r="M981" s="8" t="s">
        <v>2776</v>
      </c>
      <c r="N981" s="8" t="s">
        <v>1467</v>
      </c>
      <c r="O981" s="8">
        <v>455.16</v>
      </c>
      <c r="P981" s="8">
        <v>505.74</v>
      </c>
      <c r="Q981" s="8" t="s">
        <v>2624</v>
      </c>
      <c r="R981" s="8" t="s">
        <v>2339</v>
      </c>
    </row>
    <row r="982" spans="1:20" x14ac:dyDescent="0.2">
      <c r="A982" s="8" t="s">
        <v>4758</v>
      </c>
      <c r="B982" s="8" t="str">
        <f t="shared" si="30"/>
        <v>1586244120</v>
      </c>
      <c r="C982" s="8" t="str">
        <f t="shared" si="31"/>
        <v>1017</v>
      </c>
      <c r="D982" s="8" t="s">
        <v>119</v>
      </c>
      <c r="F982" s="8" t="s">
        <v>120</v>
      </c>
      <c r="G982" s="8" t="s">
        <v>1467</v>
      </c>
      <c r="H982" s="8" t="s">
        <v>1468</v>
      </c>
      <c r="I982" s="8" t="s">
        <v>181</v>
      </c>
      <c r="J982" s="8" t="s">
        <v>1469</v>
      </c>
      <c r="K982" s="8" t="s">
        <v>125</v>
      </c>
      <c r="L982" s="8" t="s">
        <v>1470</v>
      </c>
      <c r="M982" s="8" t="s">
        <v>2776</v>
      </c>
      <c r="N982" s="8" t="s">
        <v>1467</v>
      </c>
      <c r="O982" s="8">
        <v>455.16</v>
      </c>
      <c r="P982" s="8">
        <v>505.74</v>
      </c>
      <c r="Q982" s="8" t="s">
        <v>2624</v>
      </c>
      <c r="R982" s="8" t="s">
        <v>2108</v>
      </c>
    </row>
    <row r="983" spans="1:20" x14ac:dyDescent="0.2">
      <c r="A983" s="8" t="s">
        <v>3384</v>
      </c>
      <c r="B983" s="8" t="str">
        <f t="shared" si="30"/>
        <v>1586244120</v>
      </c>
      <c r="C983" s="8" t="str">
        <f t="shared" si="31"/>
        <v>1018</v>
      </c>
      <c r="D983" s="8" t="s">
        <v>119</v>
      </c>
      <c r="F983" s="8" t="s">
        <v>120</v>
      </c>
      <c r="G983" s="8" t="s">
        <v>1467</v>
      </c>
      <c r="H983" s="8" t="s">
        <v>1468</v>
      </c>
      <c r="I983" s="8" t="s">
        <v>181</v>
      </c>
      <c r="J983" s="8" t="s">
        <v>1469</v>
      </c>
      <c r="K983" s="8" t="s">
        <v>125</v>
      </c>
      <c r="L983" s="8" t="s">
        <v>1470</v>
      </c>
      <c r="M983" s="8" t="s">
        <v>2776</v>
      </c>
      <c r="N983" s="8" t="s">
        <v>1467</v>
      </c>
      <c r="O983" s="8">
        <v>455.16</v>
      </c>
      <c r="P983" s="8">
        <v>505.74</v>
      </c>
      <c r="Q983" s="8" t="s">
        <v>2624</v>
      </c>
      <c r="S983" s="8" t="s">
        <v>142</v>
      </c>
      <c r="T983" s="8">
        <v>58.28</v>
      </c>
    </row>
    <row r="984" spans="1:20" x14ac:dyDescent="0.2">
      <c r="A984" s="8" t="s">
        <v>3737</v>
      </c>
      <c r="B984" s="8" t="str">
        <f t="shared" si="30"/>
        <v>1586244120</v>
      </c>
      <c r="C984" s="8" t="str">
        <f t="shared" si="31"/>
        <v>1019</v>
      </c>
      <c r="D984" s="8" t="s">
        <v>119</v>
      </c>
      <c r="F984" s="8" t="s">
        <v>120</v>
      </c>
      <c r="G984" s="8" t="s">
        <v>1467</v>
      </c>
      <c r="H984" s="8" t="s">
        <v>1468</v>
      </c>
      <c r="I984" s="8" t="s">
        <v>181</v>
      </c>
      <c r="J984" s="8" t="s">
        <v>1469</v>
      </c>
      <c r="K984" s="8" t="s">
        <v>125</v>
      </c>
      <c r="L984" s="8" t="s">
        <v>1470</v>
      </c>
      <c r="M984" s="8" t="s">
        <v>2776</v>
      </c>
      <c r="N984" s="8" t="s">
        <v>1467</v>
      </c>
      <c r="O984" s="8">
        <v>455.16</v>
      </c>
      <c r="P984" s="8">
        <v>505.74</v>
      </c>
      <c r="Q984" s="8" t="s">
        <v>2624</v>
      </c>
      <c r="S984" s="8" t="s">
        <v>184</v>
      </c>
      <c r="T984" s="8">
        <v>77.459999999999994</v>
      </c>
    </row>
    <row r="985" spans="1:20" x14ac:dyDescent="0.2">
      <c r="A985" s="8" t="s">
        <v>4610</v>
      </c>
      <c r="B985" s="8" t="str">
        <f t="shared" si="30"/>
        <v>1586244120</v>
      </c>
      <c r="C985" s="8" t="str">
        <f t="shared" si="31"/>
        <v>1020</v>
      </c>
      <c r="D985" s="8" t="s">
        <v>119</v>
      </c>
      <c r="F985" s="8" t="s">
        <v>120</v>
      </c>
      <c r="G985" s="8" t="s">
        <v>1467</v>
      </c>
      <c r="H985" s="8" t="s">
        <v>1468</v>
      </c>
      <c r="I985" s="8" t="s">
        <v>181</v>
      </c>
      <c r="J985" s="8" t="s">
        <v>1469</v>
      </c>
      <c r="K985" s="8" t="s">
        <v>125</v>
      </c>
      <c r="L985" s="8" t="s">
        <v>1470</v>
      </c>
      <c r="M985" s="8" t="s">
        <v>2776</v>
      </c>
      <c r="N985" s="8" t="s">
        <v>1467</v>
      </c>
      <c r="O985" s="8">
        <v>455.16</v>
      </c>
      <c r="P985" s="8">
        <v>505.74</v>
      </c>
      <c r="Q985" s="8" t="s">
        <v>2624</v>
      </c>
      <c r="S985" s="8" t="s">
        <v>109</v>
      </c>
      <c r="T985" s="8">
        <v>42.05</v>
      </c>
    </row>
    <row r="986" spans="1:20" x14ac:dyDescent="0.2">
      <c r="A986" s="8" t="s">
        <v>2849</v>
      </c>
      <c r="B986" s="8" t="str">
        <f t="shared" si="30"/>
        <v>1586244124</v>
      </c>
      <c r="C986" s="8" t="str">
        <f t="shared" si="31"/>
        <v>1021</v>
      </c>
      <c r="D986" s="8" t="s">
        <v>119</v>
      </c>
      <c r="F986" s="8" t="s">
        <v>120</v>
      </c>
      <c r="G986" s="8" t="s">
        <v>781</v>
      </c>
      <c r="H986" s="8" t="s">
        <v>782</v>
      </c>
      <c r="I986" s="8" t="s">
        <v>167</v>
      </c>
      <c r="J986" s="8" t="s">
        <v>783</v>
      </c>
      <c r="K986" s="8" t="s">
        <v>154</v>
      </c>
      <c r="L986" s="8" t="s">
        <v>784</v>
      </c>
      <c r="M986" s="8" t="s">
        <v>2776</v>
      </c>
      <c r="N986" s="8" t="s">
        <v>781</v>
      </c>
      <c r="O986" s="8">
        <v>840.25</v>
      </c>
      <c r="P986" s="8">
        <v>933.61</v>
      </c>
      <c r="Q986" s="8" t="s">
        <v>2625</v>
      </c>
      <c r="R986" s="8" t="s">
        <v>1471</v>
      </c>
    </row>
    <row r="987" spans="1:20" x14ac:dyDescent="0.2">
      <c r="A987" s="8" t="s">
        <v>3856</v>
      </c>
      <c r="B987" s="8" t="str">
        <f t="shared" si="30"/>
        <v>1586244124</v>
      </c>
      <c r="C987" s="8" t="str">
        <f t="shared" si="31"/>
        <v>1022</v>
      </c>
      <c r="D987" s="8" t="s">
        <v>119</v>
      </c>
      <c r="F987" s="8" t="s">
        <v>120</v>
      </c>
      <c r="G987" s="8" t="s">
        <v>781</v>
      </c>
      <c r="H987" s="8" t="s">
        <v>782</v>
      </c>
      <c r="I987" s="8" t="s">
        <v>167</v>
      </c>
      <c r="J987" s="8" t="s">
        <v>783</v>
      </c>
      <c r="K987" s="8" t="s">
        <v>154</v>
      </c>
      <c r="L987" s="8" t="s">
        <v>784</v>
      </c>
      <c r="M987" s="8" t="s">
        <v>2776</v>
      </c>
      <c r="N987" s="8" t="s">
        <v>781</v>
      </c>
      <c r="O987" s="8">
        <v>840.25</v>
      </c>
      <c r="P987" s="8">
        <v>933.61</v>
      </c>
      <c r="Q987" s="8" t="s">
        <v>2625</v>
      </c>
      <c r="R987" s="8" t="s">
        <v>2296</v>
      </c>
    </row>
    <row r="988" spans="1:20" x14ac:dyDescent="0.2">
      <c r="A988" s="8" t="s">
        <v>3763</v>
      </c>
      <c r="B988" s="8" t="str">
        <f t="shared" si="30"/>
        <v>1586244124</v>
      </c>
      <c r="C988" s="8" t="str">
        <f t="shared" si="31"/>
        <v>1023</v>
      </c>
      <c r="D988" s="8" t="s">
        <v>119</v>
      </c>
      <c r="F988" s="8" t="s">
        <v>120</v>
      </c>
      <c r="G988" s="8" t="s">
        <v>781</v>
      </c>
      <c r="H988" s="8" t="s">
        <v>782</v>
      </c>
      <c r="I988" s="8" t="s">
        <v>167</v>
      </c>
      <c r="J988" s="8" t="s">
        <v>783</v>
      </c>
      <c r="K988" s="8" t="s">
        <v>154</v>
      </c>
      <c r="L988" s="8" t="s">
        <v>784</v>
      </c>
      <c r="M988" s="8" t="s">
        <v>2776</v>
      </c>
      <c r="N988" s="8" t="s">
        <v>781</v>
      </c>
      <c r="O988" s="8">
        <v>840.25</v>
      </c>
      <c r="P988" s="8">
        <v>933.61</v>
      </c>
      <c r="Q988" s="8" t="s">
        <v>2625</v>
      </c>
      <c r="R988" s="8" t="s">
        <v>2364</v>
      </c>
    </row>
    <row r="989" spans="1:20" x14ac:dyDescent="0.2">
      <c r="A989" s="8" t="s">
        <v>4187</v>
      </c>
      <c r="B989" s="8" t="str">
        <f t="shared" si="30"/>
        <v>1586244124</v>
      </c>
      <c r="C989" s="8" t="str">
        <f t="shared" si="31"/>
        <v>1024</v>
      </c>
      <c r="D989" s="8" t="s">
        <v>119</v>
      </c>
      <c r="F989" s="8" t="s">
        <v>120</v>
      </c>
      <c r="G989" s="8" t="s">
        <v>781</v>
      </c>
      <c r="H989" s="8" t="s">
        <v>782</v>
      </c>
      <c r="I989" s="8" t="s">
        <v>167</v>
      </c>
      <c r="J989" s="8" t="s">
        <v>783</v>
      </c>
      <c r="K989" s="8" t="s">
        <v>154</v>
      </c>
      <c r="L989" s="8" t="s">
        <v>784</v>
      </c>
      <c r="M989" s="8" t="s">
        <v>2776</v>
      </c>
      <c r="N989" s="8" t="s">
        <v>781</v>
      </c>
      <c r="O989" s="8">
        <v>840.25</v>
      </c>
      <c r="P989" s="8">
        <v>933.61</v>
      </c>
      <c r="Q989" s="8" t="s">
        <v>2625</v>
      </c>
      <c r="R989" s="8" t="s">
        <v>785</v>
      </c>
    </row>
    <row r="990" spans="1:20" x14ac:dyDescent="0.2">
      <c r="A990" s="8" t="s">
        <v>3962</v>
      </c>
      <c r="B990" s="8" t="str">
        <f t="shared" si="30"/>
        <v>1586244124</v>
      </c>
      <c r="C990" s="8" t="str">
        <f t="shared" si="31"/>
        <v>1025</v>
      </c>
      <c r="D990" s="8" t="s">
        <v>119</v>
      </c>
      <c r="F990" s="8" t="s">
        <v>120</v>
      </c>
      <c r="G990" s="8" t="s">
        <v>781</v>
      </c>
      <c r="H990" s="8" t="s">
        <v>782</v>
      </c>
      <c r="I990" s="8" t="s">
        <v>167</v>
      </c>
      <c r="J990" s="8" t="s">
        <v>783</v>
      </c>
      <c r="K990" s="8" t="s">
        <v>154</v>
      </c>
      <c r="L990" s="8" t="s">
        <v>784</v>
      </c>
      <c r="M990" s="8" t="s">
        <v>2776</v>
      </c>
      <c r="N990" s="8" t="s">
        <v>781</v>
      </c>
      <c r="O990" s="8">
        <v>840.25</v>
      </c>
      <c r="P990" s="8">
        <v>933.61</v>
      </c>
      <c r="Q990" s="8" t="s">
        <v>2625</v>
      </c>
      <c r="R990" s="8" t="s">
        <v>2293</v>
      </c>
    </row>
    <row r="991" spans="1:20" x14ac:dyDescent="0.2">
      <c r="A991" s="8" t="s">
        <v>4074</v>
      </c>
      <c r="B991" s="8" t="str">
        <f t="shared" si="30"/>
        <v>1586244124</v>
      </c>
      <c r="C991" s="8" t="str">
        <f t="shared" si="31"/>
        <v>1026</v>
      </c>
      <c r="D991" s="8" t="s">
        <v>119</v>
      </c>
      <c r="F991" s="8" t="s">
        <v>120</v>
      </c>
      <c r="G991" s="8" t="s">
        <v>781</v>
      </c>
      <c r="H991" s="8" t="s">
        <v>782</v>
      </c>
      <c r="I991" s="8" t="s">
        <v>167</v>
      </c>
      <c r="J991" s="8" t="s">
        <v>783</v>
      </c>
      <c r="K991" s="8" t="s">
        <v>154</v>
      </c>
      <c r="L991" s="8" t="s">
        <v>784</v>
      </c>
      <c r="M991" s="8" t="s">
        <v>2776</v>
      </c>
      <c r="N991" s="8" t="s">
        <v>781</v>
      </c>
      <c r="O991" s="8">
        <v>840.25</v>
      </c>
      <c r="P991" s="8">
        <v>933.61</v>
      </c>
      <c r="Q991" s="8" t="s">
        <v>2625</v>
      </c>
      <c r="R991" s="8" t="s">
        <v>1667</v>
      </c>
    </row>
    <row r="992" spans="1:20" x14ac:dyDescent="0.2">
      <c r="A992" s="8" t="s">
        <v>4151</v>
      </c>
      <c r="B992" s="8" t="str">
        <f t="shared" si="30"/>
        <v>1586244124</v>
      </c>
      <c r="C992" s="8" t="str">
        <f t="shared" si="31"/>
        <v>1027</v>
      </c>
      <c r="D992" s="8" t="s">
        <v>119</v>
      </c>
      <c r="F992" s="8" t="s">
        <v>120</v>
      </c>
      <c r="G992" s="8" t="s">
        <v>781</v>
      </c>
      <c r="H992" s="8" t="s">
        <v>782</v>
      </c>
      <c r="I992" s="8" t="s">
        <v>167</v>
      </c>
      <c r="J992" s="8" t="s">
        <v>783</v>
      </c>
      <c r="K992" s="8" t="s">
        <v>154</v>
      </c>
      <c r="L992" s="8" t="s">
        <v>784</v>
      </c>
      <c r="M992" s="8" t="s">
        <v>2776</v>
      </c>
      <c r="N992" s="8" t="s">
        <v>781</v>
      </c>
      <c r="O992" s="8">
        <v>840.25</v>
      </c>
      <c r="P992" s="8">
        <v>933.61</v>
      </c>
      <c r="Q992" s="8" t="s">
        <v>2625</v>
      </c>
      <c r="S992" s="8" t="s">
        <v>184</v>
      </c>
      <c r="T992" s="8">
        <v>169.67</v>
      </c>
    </row>
    <row r="993" spans="1:20" x14ac:dyDescent="0.2">
      <c r="A993" s="8" t="s">
        <v>3827</v>
      </c>
      <c r="B993" s="8" t="str">
        <f t="shared" si="30"/>
        <v>1586244124</v>
      </c>
      <c r="C993" s="8" t="str">
        <f t="shared" si="31"/>
        <v>1028</v>
      </c>
      <c r="D993" s="8" t="s">
        <v>119</v>
      </c>
      <c r="F993" s="8" t="s">
        <v>120</v>
      </c>
      <c r="G993" s="8" t="s">
        <v>781</v>
      </c>
      <c r="H993" s="8" t="s">
        <v>782</v>
      </c>
      <c r="I993" s="8" t="s">
        <v>167</v>
      </c>
      <c r="J993" s="8" t="s">
        <v>783</v>
      </c>
      <c r="K993" s="8" t="s">
        <v>154</v>
      </c>
      <c r="L993" s="8" t="s">
        <v>784</v>
      </c>
      <c r="M993" s="8" t="s">
        <v>2776</v>
      </c>
      <c r="N993" s="8" t="s">
        <v>781</v>
      </c>
      <c r="O993" s="8">
        <v>840.25</v>
      </c>
      <c r="P993" s="8">
        <v>933.61</v>
      </c>
      <c r="Q993" s="8" t="s">
        <v>2625</v>
      </c>
      <c r="S993" s="8" t="s">
        <v>420</v>
      </c>
      <c r="T993" s="8">
        <v>96.64</v>
      </c>
    </row>
    <row r="994" spans="1:20" x14ac:dyDescent="0.2">
      <c r="A994" s="8" t="s">
        <v>2876</v>
      </c>
      <c r="B994" s="8" t="str">
        <f t="shared" si="30"/>
        <v>1586244128</v>
      </c>
      <c r="C994" s="8" t="str">
        <f t="shared" si="31"/>
        <v>1029</v>
      </c>
      <c r="D994" s="8" t="s">
        <v>119</v>
      </c>
      <c r="F994" s="8" t="s">
        <v>120</v>
      </c>
      <c r="G994" s="8" t="s">
        <v>457</v>
      </c>
      <c r="H994" s="8" t="s">
        <v>458</v>
      </c>
      <c r="I994" s="8" t="s">
        <v>181</v>
      </c>
      <c r="J994" s="8" t="s">
        <v>459</v>
      </c>
      <c r="K994" s="8" t="s">
        <v>125</v>
      </c>
      <c r="L994" s="8" t="s">
        <v>460</v>
      </c>
      <c r="M994" s="8" t="s">
        <v>2776</v>
      </c>
      <c r="N994" s="8" t="s">
        <v>457</v>
      </c>
      <c r="O994" s="8">
        <v>455.16</v>
      </c>
      <c r="P994" s="8">
        <v>505.74</v>
      </c>
      <c r="Q994" s="8" t="s">
        <v>2626</v>
      </c>
      <c r="R994" s="8" t="s">
        <v>1518</v>
      </c>
    </row>
    <row r="995" spans="1:20" x14ac:dyDescent="0.2">
      <c r="A995" s="8" t="s">
        <v>4166</v>
      </c>
      <c r="B995" s="8" t="str">
        <f t="shared" si="30"/>
        <v>1586244128</v>
      </c>
      <c r="C995" s="8" t="str">
        <f t="shared" si="31"/>
        <v>1030</v>
      </c>
      <c r="D995" s="8" t="s">
        <v>119</v>
      </c>
      <c r="F995" s="8" t="s">
        <v>120</v>
      </c>
      <c r="G995" s="8" t="s">
        <v>457</v>
      </c>
      <c r="H995" s="8" t="s">
        <v>458</v>
      </c>
      <c r="I995" s="8" t="s">
        <v>181</v>
      </c>
      <c r="J995" s="8" t="s">
        <v>459</v>
      </c>
      <c r="K995" s="8" t="s">
        <v>125</v>
      </c>
      <c r="L995" s="8" t="s">
        <v>460</v>
      </c>
      <c r="M995" s="8" t="s">
        <v>2776</v>
      </c>
      <c r="N995" s="8" t="s">
        <v>457</v>
      </c>
      <c r="O995" s="8">
        <v>455.16</v>
      </c>
      <c r="P995" s="8">
        <v>505.74</v>
      </c>
      <c r="Q995" s="8" t="s">
        <v>2626</v>
      </c>
      <c r="R995" s="8" t="s">
        <v>1931</v>
      </c>
    </row>
    <row r="996" spans="1:20" x14ac:dyDescent="0.2">
      <c r="A996" s="8" t="s">
        <v>3034</v>
      </c>
      <c r="B996" s="8" t="str">
        <f t="shared" si="30"/>
        <v>1586244128</v>
      </c>
      <c r="C996" s="8" t="str">
        <f t="shared" si="31"/>
        <v>1031</v>
      </c>
      <c r="D996" s="8" t="s">
        <v>119</v>
      </c>
      <c r="F996" s="8" t="s">
        <v>120</v>
      </c>
      <c r="G996" s="8" t="s">
        <v>457</v>
      </c>
      <c r="H996" s="8" t="s">
        <v>458</v>
      </c>
      <c r="I996" s="8" t="s">
        <v>181</v>
      </c>
      <c r="J996" s="8" t="s">
        <v>459</v>
      </c>
      <c r="K996" s="8" t="s">
        <v>125</v>
      </c>
      <c r="L996" s="8" t="s">
        <v>460</v>
      </c>
      <c r="M996" s="8" t="s">
        <v>2776</v>
      </c>
      <c r="N996" s="8" t="s">
        <v>457</v>
      </c>
      <c r="O996" s="8">
        <v>455.16</v>
      </c>
      <c r="P996" s="8">
        <v>505.74</v>
      </c>
      <c r="Q996" s="8" t="s">
        <v>2626</v>
      </c>
      <c r="R996" s="8" t="s">
        <v>2368</v>
      </c>
    </row>
    <row r="997" spans="1:20" x14ac:dyDescent="0.2">
      <c r="A997" s="8" t="s">
        <v>3070</v>
      </c>
      <c r="B997" s="8" t="str">
        <f t="shared" si="30"/>
        <v>1586244128</v>
      </c>
      <c r="C997" s="8" t="str">
        <f t="shared" si="31"/>
        <v>1032</v>
      </c>
      <c r="D997" s="8" t="s">
        <v>119</v>
      </c>
      <c r="F997" s="8" t="s">
        <v>120</v>
      </c>
      <c r="G997" s="8" t="s">
        <v>457</v>
      </c>
      <c r="H997" s="8" t="s">
        <v>458</v>
      </c>
      <c r="I997" s="8" t="s">
        <v>181</v>
      </c>
      <c r="J997" s="8" t="s">
        <v>459</v>
      </c>
      <c r="K997" s="8" t="s">
        <v>125</v>
      </c>
      <c r="L997" s="8" t="s">
        <v>460</v>
      </c>
      <c r="M997" s="8" t="s">
        <v>2776</v>
      </c>
      <c r="N997" s="8" t="s">
        <v>457</v>
      </c>
      <c r="O997" s="8">
        <v>455.16</v>
      </c>
      <c r="P997" s="8">
        <v>505.74</v>
      </c>
      <c r="Q997" s="8" t="s">
        <v>2626</v>
      </c>
      <c r="S997" s="8" t="s">
        <v>142</v>
      </c>
      <c r="T997" s="8">
        <v>58.28</v>
      </c>
    </row>
    <row r="998" spans="1:20" x14ac:dyDescent="0.2">
      <c r="A998" s="8" t="s">
        <v>3237</v>
      </c>
      <c r="B998" s="8" t="str">
        <f t="shared" si="30"/>
        <v>1586244128</v>
      </c>
      <c r="C998" s="8" t="str">
        <f t="shared" si="31"/>
        <v>1033</v>
      </c>
      <c r="D998" s="8" t="s">
        <v>119</v>
      </c>
      <c r="F998" s="8" t="s">
        <v>120</v>
      </c>
      <c r="G998" s="8" t="s">
        <v>457</v>
      </c>
      <c r="H998" s="8" t="s">
        <v>458</v>
      </c>
      <c r="I998" s="8" t="s">
        <v>181</v>
      </c>
      <c r="J998" s="8" t="s">
        <v>459</v>
      </c>
      <c r="K998" s="8" t="s">
        <v>125</v>
      </c>
      <c r="L998" s="8" t="s">
        <v>460</v>
      </c>
      <c r="M998" s="8" t="s">
        <v>2776</v>
      </c>
      <c r="N998" s="8" t="s">
        <v>457</v>
      </c>
      <c r="O998" s="8">
        <v>455.16</v>
      </c>
      <c r="P998" s="8">
        <v>505.74</v>
      </c>
      <c r="Q998" s="8" t="s">
        <v>2626</v>
      </c>
      <c r="S998" s="8" t="s">
        <v>184</v>
      </c>
      <c r="T998" s="8">
        <v>0</v>
      </c>
    </row>
    <row r="999" spans="1:20" x14ac:dyDescent="0.2">
      <c r="A999" s="8" t="s">
        <v>4060</v>
      </c>
      <c r="B999" s="8" t="str">
        <f t="shared" si="30"/>
        <v>1586244128</v>
      </c>
      <c r="C999" s="8" t="str">
        <f t="shared" si="31"/>
        <v>1034</v>
      </c>
      <c r="D999" s="8" t="s">
        <v>119</v>
      </c>
      <c r="F999" s="8" t="s">
        <v>120</v>
      </c>
      <c r="G999" s="8" t="s">
        <v>457</v>
      </c>
      <c r="H999" s="8" t="s">
        <v>458</v>
      </c>
      <c r="I999" s="8" t="s">
        <v>181</v>
      </c>
      <c r="J999" s="8" t="s">
        <v>459</v>
      </c>
      <c r="K999" s="8" t="s">
        <v>125</v>
      </c>
      <c r="L999" s="8" t="s">
        <v>460</v>
      </c>
      <c r="M999" s="8" t="s">
        <v>2776</v>
      </c>
      <c r="N999" s="8" t="s">
        <v>457</v>
      </c>
      <c r="O999" s="8">
        <v>455.16</v>
      </c>
      <c r="P999" s="8">
        <v>505.74</v>
      </c>
      <c r="Q999" s="8" t="s">
        <v>2626</v>
      </c>
      <c r="S999" s="8" t="s">
        <v>109</v>
      </c>
      <c r="T999" s="8">
        <v>42.05</v>
      </c>
    </row>
    <row r="1000" spans="1:20" x14ac:dyDescent="0.2">
      <c r="A1000" s="8" t="s">
        <v>4391</v>
      </c>
      <c r="B1000" s="8" t="str">
        <f t="shared" si="30"/>
        <v>1586244132</v>
      </c>
      <c r="C1000" s="8" t="str">
        <f t="shared" si="31"/>
        <v>1035</v>
      </c>
      <c r="D1000" s="8" t="s">
        <v>119</v>
      </c>
      <c r="F1000" s="8" t="s">
        <v>120</v>
      </c>
      <c r="G1000" s="8" t="s">
        <v>817</v>
      </c>
      <c r="H1000" s="8" t="s">
        <v>818</v>
      </c>
      <c r="I1000" s="8" t="s">
        <v>819</v>
      </c>
      <c r="J1000" s="8" t="s">
        <v>820</v>
      </c>
      <c r="K1000" s="8" t="s">
        <v>310</v>
      </c>
      <c r="L1000" s="8" t="s">
        <v>821</v>
      </c>
      <c r="M1000" s="8" t="s">
        <v>2776</v>
      </c>
      <c r="N1000" s="8" t="s">
        <v>817</v>
      </c>
      <c r="O1000" s="8">
        <v>708.93</v>
      </c>
      <c r="P1000" s="8">
        <v>787.7</v>
      </c>
      <c r="Q1000" s="8" t="s">
        <v>2627</v>
      </c>
      <c r="R1000" s="8" t="s">
        <v>846</v>
      </c>
    </row>
    <row r="1001" spans="1:20" x14ac:dyDescent="0.2">
      <c r="A1001" s="8" t="s">
        <v>4279</v>
      </c>
      <c r="B1001" s="8" t="str">
        <f t="shared" si="30"/>
        <v>1586244132</v>
      </c>
      <c r="C1001" s="8" t="str">
        <f t="shared" si="31"/>
        <v>1036</v>
      </c>
      <c r="D1001" s="8" t="s">
        <v>119</v>
      </c>
      <c r="F1001" s="8" t="s">
        <v>120</v>
      </c>
      <c r="G1001" s="8" t="s">
        <v>817</v>
      </c>
      <c r="H1001" s="8" t="s">
        <v>818</v>
      </c>
      <c r="I1001" s="8" t="s">
        <v>819</v>
      </c>
      <c r="J1001" s="8" t="s">
        <v>820</v>
      </c>
      <c r="K1001" s="8" t="s">
        <v>310</v>
      </c>
      <c r="L1001" s="8" t="s">
        <v>821</v>
      </c>
      <c r="M1001" s="8" t="s">
        <v>2776</v>
      </c>
      <c r="N1001" s="8" t="s">
        <v>817</v>
      </c>
      <c r="O1001" s="8">
        <v>708.93</v>
      </c>
      <c r="P1001" s="8">
        <v>787.7</v>
      </c>
      <c r="Q1001" s="8" t="s">
        <v>2627</v>
      </c>
      <c r="R1001" s="8" t="s">
        <v>822</v>
      </c>
    </row>
    <row r="1002" spans="1:20" x14ac:dyDescent="0.2">
      <c r="A1002" s="8" t="s">
        <v>4639</v>
      </c>
      <c r="B1002" s="8" t="str">
        <f t="shared" si="30"/>
        <v>1586244132</v>
      </c>
      <c r="C1002" s="8" t="str">
        <f t="shared" si="31"/>
        <v>1037</v>
      </c>
      <c r="D1002" s="8" t="s">
        <v>119</v>
      </c>
      <c r="F1002" s="8" t="s">
        <v>120</v>
      </c>
      <c r="G1002" s="8" t="s">
        <v>817</v>
      </c>
      <c r="H1002" s="8" t="s">
        <v>818</v>
      </c>
      <c r="I1002" s="8" t="s">
        <v>819</v>
      </c>
      <c r="J1002" s="8" t="s">
        <v>820</v>
      </c>
      <c r="K1002" s="8" t="s">
        <v>310</v>
      </c>
      <c r="L1002" s="8" t="s">
        <v>821</v>
      </c>
      <c r="M1002" s="8" t="s">
        <v>2776</v>
      </c>
      <c r="N1002" s="8" t="s">
        <v>817</v>
      </c>
      <c r="O1002" s="8">
        <v>708.93</v>
      </c>
      <c r="P1002" s="8">
        <v>787.7</v>
      </c>
      <c r="Q1002" s="8" t="s">
        <v>2627</v>
      </c>
      <c r="R1002" s="8" t="s">
        <v>2309</v>
      </c>
    </row>
    <row r="1003" spans="1:20" x14ac:dyDescent="0.2">
      <c r="A1003" s="8" t="s">
        <v>4354</v>
      </c>
      <c r="B1003" s="8" t="str">
        <f t="shared" si="30"/>
        <v>1586244132</v>
      </c>
      <c r="C1003" s="8" t="str">
        <f t="shared" si="31"/>
        <v>1038</v>
      </c>
      <c r="D1003" s="8" t="s">
        <v>119</v>
      </c>
      <c r="F1003" s="8" t="s">
        <v>120</v>
      </c>
      <c r="G1003" s="8" t="s">
        <v>817</v>
      </c>
      <c r="H1003" s="8" t="s">
        <v>818</v>
      </c>
      <c r="I1003" s="8" t="s">
        <v>819</v>
      </c>
      <c r="J1003" s="8" t="s">
        <v>820</v>
      </c>
      <c r="K1003" s="8" t="s">
        <v>310</v>
      </c>
      <c r="L1003" s="8" t="s">
        <v>821</v>
      </c>
      <c r="M1003" s="8" t="s">
        <v>2776</v>
      </c>
      <c r="N1003" s="8" t="s">
        <v>817</v>
      </c>
      <c r="O1003" s="8">
        <v>708.93</v>
      </c>
      <c r="P1003" s="8">
        <v>787.7</v>
      </c>
      <c r="Q1003" s="8" t="s">
        <v>2627</v>
      </c>
      <c r="S1003" s="8" t="s">
        <v>142</v>
      </c>
      <c r="T1003" s="8">
        <v>30.98</v>
      </c>
    </row>
    <row r="1004" spans="1:20" x14ac:dyDescent="0.2">
      <c r="A1004" s="8" t="s">
        <v>3162</v>
      </c>
      <c r="B1004" s="8" t="str">
        <f t="shared" si="30"/>
        <v>1586244132</v>
      </c>
      <c r="C1004" s="8" t="str">
        <f t="shared" si="31"/>
        <v>1039</v>
      </c>
      <c r="D1004" s="8" t="s">
        <v>119</v>
      </c>
      <c r="F1004" s="8" t="s">
        <v>120</v>
      </c>
      <c r="G1004" s="8" t="s">
        <v>817</v>
      </c>
      <c r="H1004" s="8" t="s">
        <v>818</v>
      </c>
      <c r="I1004" s="8" t="s">
        <v>819</v>
      </c>
      <c r="J1004" s="8" t="s">
        <v>820</v>
      </c>
      <c r="K1004" s="8" t="s">
        <v>310</v>
      </c>
      <c r="L1004" s="8" t="s">
        <v>821</v>
      </c>
      <c r="M1004" s="8" t="s">
        <v>2776</v>
      </c>
      <c r="N1004" s="8" t="s">
        <v>817</v>
      </c>
      <c r="O1004" s="8">
        <v>708.93</v>
      </c>
      <c r="P1004" s="8">
        <v>787.7</v>
      </c>
      <c r="Q1004" s="8" t="s">
        <v>2627</v>
      </c>
      <c r="S1004" s="8" t="s">
        <v>1539</v>
      </c>
      <c r="T1004" s="8">
        <v>0</v>
      </c>
    </row>
    <row r="1005" spans="1:20" x14ac:dyDescent="0.2">
      <c r="A1005" s="8" t="s">
        <v>3155</v>
      </c>
      <c r="B1005" s="8" t="str">
        <f t="shared" si="30"/>
        <v>1586244132</v>
      </c>
      <c r="C1005" s="8" t="str">
        <f t="shared" si="31"/>
        <v>1040</v>
      </c>
      <c r="D1005" s="8" t="s">
        <v>119</v>
      </c>
      <c r="F1005" s="8" t="s">
        <v>120</v>
      </c>
      <c r="G1005" s="8" t="s">
        <v>817</v>
      </c>
      <c r="H1005" s="8" t="s">
        <v>818</v>
      </c>
      <c r="I1005" s="8" t="s">
        <v>819</v>
      </c>
      <c r="J1005" s="8" t="s">
        <v>820</v>
      </c>
      <c r="K1005" s="8" t="s">
        <v>310</v>
      </c>
      <c r="L1005" s="8" t="s">
        <v>821</v>
      </c>
      <c r="M1005" s="8" t="s">
        <v>2776</v>
      </c>
      <c r="N1005" s="8" t="s">
        <v>817</v>
      </c>
      <c r="O1005" s="8">
        <v>708.93</v>
      </c>
      <c r="P1005" s="8">
        <v>787.7</v>
      </c>
      <c r="Q1005" s="8" t="s">
        <v>2627</v>
      </c>
      <c r="S1005" s="8" t="s">
        <v>156</v>
      </c>
      <c r="T1005" s="8">
        <v>15.49</v>
      </c>
    </row>
    <row r="1006" spans="1:20" x14ac:dyDescent="0.2">
      <c r="A1006" s="8" t="s">
        <v>3169</v>
      </c>
      <c r="B1006" s="8" t="str">
        <f t="shared" si="30"/>
        <v>1586244132</v>
      </c>
      <c r="C1006" s="8" t="str">
        <f t="shared" si="31"/>
        <v>1041</v>
      </c>
      <c r="D1006" s="8" t="s">
        <v>119</v>
      </c>
      <c r="F1006" s="8" t="s">
        <v>120</v>
      </c>
      <c r="G1006" s="8" t="s">
        <v>817</v>
      </c>
      <c r="H1006" s="8" t="s">
        <v>818</v>
      </c>
      <c r="I1006" s="8" t="s">
        <v>819</v>
      </c>
      <c r="J1006" s="8" t="s">
        <v>820</v>
      </c>
      <c r="K1006" s="8" t="s">
        <v>310</v>
      </c>
      <c r="L1006" s="8" t="s">
        <v>821</v>
      </c>
      <c r="M1006" s="8" t="s">
        <v>2776</v>
      </c>
      <c r="N1006" s="8" t="s">
        <v>817</v>
      </c>
      <c r="O1006" s="8">
        <v>708.93</v>
      </c>
      <c r="P1006" s="8">
        <v>787.7</v>
      </c>
      <c r="Q1006" s="8" t="s">
        <v>2627</v>
      </c>
      <c r="S1006" s="8" t="s">
        <v>2255</v>
      </c>
      <c r="T1006" s="8">
        <v>146.80000000000001</v>
      </c>
    </row>
    <row r="1007" spans="1:20" x14ac:dyDescent="0.2">
      <c r="A1007" s="8" t="s">
        <v>3299</v>
      </c>
      <c r="B1007" s="8" t="str">
        <f t="shared" si="30"/>
        <v>1586244136</v>
      </c>
      <c r="C1007" s="8" t="str">
        <f t="shared" si="31"/>
        <v>1042</v>
      </c>
      <c r="D1007" s="8" t="s">
        <v>119</v>
      </c>
      <c r="F1007" s="8" t="s">
        <v>120</v>
      </c>
      <c r="G1007" s="8" t="s">
        <v>579</v>
      </c>
      <c r="H1007" s="8" t="s">
        <v>580</v>
      </c>
      <c r="I1007" s="8" t="s">
        <v>181</v>
      </c>
      <c r="J1007" s="8" t="s">
        <v>581</v>
      </c>
      <c r="K1007" s="8" t="s">
        <v>125</v>
      </c>
      <c r="L1007" s="8" t="s">
        <v>582</v>
      </c>
      <c r="M1007" s="8" t="s">
        <v>2776</v>
      </c>
      <c r="N1007" s="8" t="s">
        <v>579</v>
      </c>
      <c r="O1007" s="8">
        <v>455.16</v>
      </c>
      <c r="P1007" s="8">
        <v>505.74</v>
      </c>
      <c r="Q1007" s="8" t="s">
        <v>2628</v>
      </c>
      <c r="R1007" s="8" t="s">
        <v>1752</v>
      </c>
    </row>
    <row r="1008" spans="1:20" x14ac:dyDescent="0.2">
      <c r="A1008" s="8" t="s">
        <v>4618</v>
      </c>
      <c r="B1008" s="8" t="str">
        <f t="shared" si="30"/>
        <v>1586244136</v>
      </c>
      <c r="C1008" s="8" t="str">
        <f t="shared" si="31"/>
        <v>1043</v>
      </c>
      <c r="D1008" s="8" t="s">
        <v>119</v>
      </c>
      <c r="F1008" s="8" t="s">
        <v>120</v>
      </c>
      <c r="G1008" s="8" t="s">
        <v>579</v>
      </c>
      <c r="H1008" s="8" t="s">
        <v>580</v>
      </c>
      <c r="I1008" s="8" t="s">
        <v>181</v>
      </c>
      <c r="J1008" s="8" t="s">
        <v>581</v>
      </c>
      <c r="K1008" s="8" t="s">
        <v>125</v>
      </c>
      <c r="L1008" s="8" t="s">
        <v>582</v>
      </c>
      <c r="M1008" s="8" t="s">
        <v>2776</v>
      </c>
      <c r="N1008" s="8" t="s">
        <v>579</v>
      </c>
      <c r="O1008" s="8">
        <v>455.16</v>
      </c>
      <c r="P1008" s="8">
        <v>505.74</v>
      </c>
      <c r="Q1008" s="8" t="s">
        <v>2628</v>
      </c>
      <c r="R1008" s="8" t="s">
        <v>583</v>
      </c>
    </row>
    <row r="1009" spans="1:20" x14ac:dyDescent="0.2">
      <c r="A1009" s="8" t="s">
        <v>3590</v>
      </c>
      <c r="B1009" s="8" t="str">
        <f t="shared" si="30"/>
        <v>1586244136</v>
      </c>
      <c r="C1009" s="8" t="str">
        <f t="shared" si="31"/>
        <v>1044</v>
      </c>
      <c r="D1009" s="8" t="s">
        <v>119</v>
      </c>
      <c r="F1009" s="8" t="s">
        <v>120</v>
      </c>
      <c r="G1009" s="8" t="s">
        <v>579</v>
      </c>
      <c r="H1009" s="8" t="s">
        <v>580</v>
      </c>
      <c r="I1009" s="8" t="s">
        <v>181</v>
      </c>
      <c r="J1009" s="8" t="s">
        <v>581</v>
      </c>
      <c r="K1009" s="8" t="s">
        <v>125</v>
      </c>
      <c r="L1009" s="8" t="s">
        <v>582</v>
      </c>
      <c r="M1009" s="8" t="s">
        <v>2776</v>
      </c>
      <c r="N1009" s="8" t="s">
        <v>579</v>
      </c>
      <c r="O1009" s="8">
        <v>455.16</v>
      </c>
      <c r="P1009" s="8">
        <v>505.74</v>
      </c>
      <c r="Q1009" s="8" t="s">
        <v>2628</v>
      </c>
      <c r="S1009" s="8" t="s">
        <v>142</v>
      </c>
      <c r="T1009" s="8">
        <v>58.28</v>
      </c>
    </row>
    <row r="1010" spans="1:20" x14ac:dyDescent="0.2">
      <c r="A1010" s="8" t="s">
        <v>3238</v>
      </c>
      <c r="B1010" s="8" t="str">
        <f t="shared" si="30"/>
        <v>1586244136</v>
      </c>
      <c r="C1010" s="8" t="str">
        <f t="shared" si="31"/>
        <v>1045</v>
      </c>
      <c r="D1010" s="8" t="s">
        <v>119</v>
      </c>
      <c r="F1010" s="8" t="s">
        <v>120</v>
      </c>
      <c r="G1010" s="8" t="s">
        <v>579</v>
      </c>
      <c r="H1010" s="8" t="s">
        <v>580</v>
      </c>
      <c r="I1010" s="8" t="s">
        <v>181</v>
      </c>
      <c r="J1010" s="8" t="s">
        <v>581</v>
      </c>
      <c r="K1010" s="8" t="s">
        <v>125</v>
      </c>
      <c r="L1010" s="8" t="s">
        <v>582</v>
      </c>
      <c r="M1010" s="8" t="s">
        <v>2776</v>
      </c>
      <c r="N1010" s="8" t="s">
        <v>579</v>
      </c>
      <c r="O1010" s="8">
        <v>455.16</v>
      </c>
      <c r="P1010" s="8">
        <v>505.74</v>
      </c>
      <c r="Q1010" s="8" t="s">
        <v>2628</v>
      </c>
      <c r="S1010" s="8" t="s">
        <v>184</v>
      </c>
      <c r="T1010" s="8">
        <v>77.459999999999994</v>
      </c>
    </row>
    <row r="1011" spans="1:20" x14ac:dyDescent="0.2">
      <c r="A1011" s="8" t="s">
        <v>4018</v>
      </c>
      <c r="B1011" s="8" t="str">
        <f t="shared" si="30"/>
        <v>1586244136</v>
      </c>
      <c r="C1011" s="8" t="str">
        <f t="shared" si="31"/>
        <v>1046</v>
      </c>
      <c r="D1011" s="8" t="s">
        <v>119</v>
      </c>
      <c r="F1011" s="8" t="s">
        <v>120</v>
      </c>
      <c r="G1011" s="8" t="s">
        <v>579</v>
      </c>
      <c r="H1011" s="8" t="s">
        <v>580</v>
      </c>
      <c r="I1011" s="8" t="s">
        <v>181</v>
      </c>
      <c r="J1011" s="8" t="s">
        <v>581</v>
      </c>
      <c r="K1011" s="8" t="s">
        <v>125</v>
      </c>
      <c r="L1011" s="8" t="s">
        <v>582</v>
      </c>
      <c r="M1011" s="8" t="s">
        <v>2776</v>
      </c>
      <c r="N1011" s="8" t="s">
        <v>579</v>
      </c>
      <c r="O1011" s="8">
        <v>455.16</v>
      </c>
      <c r="P1011" s="8">
        <v>505.74</v>
      </c>
      <c r="Q1011" s="8" t="s">
        <v>2628</v>
      </c>
      <c r="S1011" s="8" t="s">
        <v>109</v>
      </c>
      <c r="T1011" s="8">
        <v>42.05</v>
      </c>
    </row>
    <row r="1012" spans="1:20" x14ac:dyDescent="0.2">
      <c r="A1012" s="8" t="s">
        <v>3615</v>
      </c>
      <c r="B1012" s="8" t="str">
        <f t="shared" si="30"/>
        <v>1586244140</v>
      </c>
      <c r="C1012" s="8" t="str">
        <f t="shared" si="31"/>
        <v>1047</v>
      </c>
      <c r="D1012" s="8" t="s">
        <v>119</v>
      </c>
      <c r="F1012" s="8" t="s">
        <v>120</v>
      </c>
      <c r="G1012" s="8" t="s">
        <v>1478</v>
      </c>
      <c r="H1012" s="8" t="s">
        <v>1479</v>
      </c>
      <c r="I1012" s="8" t="s">
        <v>181</v>
      </c>
      <c r="J1012" s="8" t="s">
        <v>1480</v>
      </c>
      <c r="K1012" s="8" t="s">
        <v>125</v>
      </c>
      <c r="L1012" s="8" t="s">
        <v>1481</v>
      </c>
      <c r="M1012" s="8" t="s">
        <v>2776</v>
      </c>
      <c r="N1012" s="8" t="s">
        <v>1478</v>
      </c>
      <c r="O1012" s="8">
        <v>455.16</v>
      </c>
      <c r="P1012" s="8">
        <v>505.74</v>
      </c>
      <c r="Q1012" s="8" t="s">
        <v>2628</v>
      </c>
      <c r="R1012" s="8" t="s">
        <v>1701</v>
      </c>
    </row>
    <row r="1013" spans="1:20" x14ac:dyDescent="0.2">
      <c r="A1013" s="8" t="s">
        <v>4710</v>
      </c>
      <c r="B1013" s="8" t="str">
        <f t="shared" si="30"/>
        <v>1586244140</v>
      </c>
      <c r="C1013" s="8" t="str">
        <f t="shared" si="31"/>
        <v>1048</v>
      </c>
      <c r="D1013" s="8" t="s">
        <v>119</v>
      </c>
      <c r="F1013" s="8" t="s">
        <v>120</v>
      </c>
      <c r="G1013" s="8" t="s">
        <v>1478</v>
      </c>
      <c r="H1013" s="8" t="s">
        <v>1479</v>
      </c>
      <c r="I1013" s="8" t="s">
        <v>181</v>
      </c>
      <c r="J1013" s="8" t="s">
        <v>1480</v>
      </c>
      <c r="K1013" s="8" t="s">
        <v>125</v>
      </c>
      <c r="L1013" s="8" t="s">
        <v>1481</v>
      </c>
      <c r="M1013" s="8" t="s">
        <v>2776</v>
      </c>
      <c r="N1013" s="8" t="s">
        <v>1478</v>
      </c>
      <c r="O1013" s="8">
        <v>455.16</v>
      </c>
      <c r="P1013" s="8">
        <v>505.74</v>
      </c>
      <c r="Q1013" s="8" t="s">
        <v>2628</v>
      </c>
      <c r="R1013" s="8" t="s">
        <v>1863</v>
      </c>
    </row>
    <row r="1014" spans="1:20" x14ac:dyDescent="0.2">
      <c r="A1014" s="8" t="s">
        <v>4411</v>
      </c>
      <c r="B1014" s="8" t="str">
        <f t="shared" si="30"/>
        <v>1586244140</v>
      </c>
      <c r="C1014" s="8" t="str">
        <f t="shared" si="31"/>
        <v>1049</v>
      </c>
      <c r="D1014" s="8" t="s">
        <v>119</v>
      </c>
      <c r="F1014" s="8" t="s">
        <v>120</v>
      </c>
      <c r="G1014" s="8" t="s">
        <v>1478</v>
      </c>
      <c r="H1014" s="8" t="s">
        <v>1479</v>
      </c>
      <c r="I1014" s="8" t="s">
        <v>181</v>
      </c>
      <c r="J1014" s="8" t="s">
        <v>1480</v>
      </c>
      <c r="K1014" s="8" t="s">
        <v>125</v>
      </c>
      <c r="L1014" s="8" t="s">
        <v>1481</v>
      </c>
      <c r="M1014" s="8" t="s">
        <v>2776</v>
      </c>
      <c r="N1014" s="8" t="s">
        <v>1478</v>
      </c>
      <c r="O1014" s="8">
        <v>455.16</v>
      </c>
      <c r="P1014" s="8">
        <v>505.74</v>
      </c>
      <c r="Q1014" s="8" t="s">
        <v>2628</v>
      </c>
      <c r="S1014" s="8" t="s">
        <v>142</v>
      </c>
      <c r="T1014" s="8">
        <v>58.28</v>
      </c>
    </row>
    <row r="1015" spans="1:20" x14ac:dyDescent="0.2">
      <c r="A1015" s="8" t="s">
        <v>3970</v>
      </c>
      <c r="B1015" s="8" t="str">
        <f t="shared" si="30"/>
        <v>1586244140</v>
      </c>
      <c r="C1015" s="8" t="str">
        <f t="shared" si="31"/>
        <v>1050</v>
      </c>
      <c r="D1015" s="8" t="s">
        <v>119</v>
      </c>
      <c r="F1015" s="8" t="s">
        <v>120</v>
      </c>
      <c r="G1015" s="8" t="s">
        <v>1478</v>
      </c>
      <c r="H1015" s="8" t="s">
        <v>1479</v>
      </c>
      <c r="I1015" s="8" t="s">
        <v>181</v>
      </c>
      <c r="J1015" s="8" t="s">
        <v>1480</v>
      </c>
      <c r="K1015" s="8" t="s">
        <v>125</v>
      </c>
      <c r="L1015" s="8" t="s">
        <v>1481</v>
      </c>
      <c r="M1015" s="8" t="s">
        <v>2776</v>
      </c>
      <c r="N1015" s="8" t="s">
        <v>1478</v>
      </c>
      <c r="O1015" s="8">
        <v>455.16</v>
      </c>
      <c r="P1015" s="8">
        <v>505.74</v>
      </c>
      <c r="Q1015" s="8" t="s">
        <v>2628</v>
      </c>
      <c r="S1015" s="8" t="s">
        <v>184</v>
      </c>
      <c r="T1015" s="8">
        <v>77.459999999999994</v>
      </c>
    </row>
    <row r="1016" spans="1:20" x14ac:dyDescent="0.2">
      <c r="A1016" s="8" t="s">
        <v>3536</v>
      </c>
      <c r="B1016" s="8" t="str">
        <f t="shared" si="30"/>
        <v>1586244140</v>
      </c>
      <c r="C1016" s="8" t="str">
        <f t="shared" si="31"/>
        <v>1051</v>
      </c>
      <c r="D1016" s="8" t="s">
        <v>119</v>
      </c>
      <c r="F1016" s="8" t="s">
        <v>120</v>
      </c>
      <c r="G1016" s="8" t="s">
        <v>1478</v>
      </c>
      <c r="H1016" s="8" t="s">
        <v>1479</v>
      </c>
      <c r="I1016" s="8" t="s">
        <v>181</v>
      </c>
      <c r="J1016" s="8" t="s">
        <v>1480</v>
      </c>
      <c r="K1016" s="8" t="s">
        <v>125</v>
      </c>
      <c r="L1016" s="8" t="s">
        <v>1481</v>
      </c>
      <c r="M1016" s="8" t="s">
        <v>2776</v>
      </c>
      <c r="N1016" s="8" t="s">
        <v>1478</v>
      </c>
      <c r="O1016" s="8">
        <v>455.16</v>
      </c>
      <c r="P1016" s="8">
        <v>505.74</v>
      </c>
      <c r="Q1016" s="8" t="s">
        <v>2628</v>
      </c>
      <c r="S1016" s="8" t="s">
        <v>109</v>
      </c>
      <c r="T1016" s="8">
        <v>42.05</v>
      </c>
    </row>
    <row r="1017" spans="1:20" x14ac:dyDescent="0.2">
      <c r="A1017" s="8" t="s">
        <v>3408</v>
      </c>
      <c r="B1017" s="8" t="str">
        <f t="shared" si="30"/>
        <v>1586244146</v>
      </c>
      <c r="C1017" s="8" t="str">
        <f t="shared" si="31"/>
        <v>1052</v>
      </c>
      <c r="D1017" s="8" t="s">
        <v>119</v>
      </c>
      <c r="F1017" s="8" t="s">
        <v>645</v>
      </c>
      <c r="G1017" s="8" t="s">
        <v>1417</v>
      </c>
      <c r="H1017" s="8" t="s">
        <v>1418</v>
      </c>
      <c r="I1017" s="8" t="s">
        <v>71</v>
      </c>
      <c r="J1017" s="8" t="s">
        <v>1419</v>
      </c>
      <c r="K1017" s="8" t="s">
        <v>125</v>
      </c>
      <c r="L1017" s="8" t="s">
        <v>1420</v>
      </c>
      <c r="M1017" s="8" t="s">
        <v>2774</v>
      </c>
      <c r="N1017" s="8" t="s">
        <v>1417</v>
      </c>
      <c r="O1017" s="8">
        <v>329.75</v>
      </c>
      <c r="P1017" s="8">
        <v>366.39</v>
      </c>
      <c r="Q1017" s="8" t="s">
        <v>2629</v>
      </c>
      <c r="R1017" s="8" t="s">
        <v>2122</v>
      </c>
    </row>
    <row r="1018" spans="1:20" x14ac:dyDescent="0.2">
      <c r="A1018" s="8" t="s">
        <v>4020</v>
      </c>
      <c r="B1018" s="8" t="str">
        <f t="shared" si="30"/>
        <v>1586244146</v>
      </c>
      <c r="C1018" s="8" t="str">
        <f t="shared" si="31"/>
        <v>1053</v>
      </c>
      <c r="D1018" s="8" t="s">
        <v>119</v>
      </c>
      <c r="F1018" s="8" t="s">
        <v>645</v>
      </c>
      <c r="G1018" s="8" t="s">
        <v>1417</v>
      </c>
      <c r="H1018" s="8" t="s">
        <v>1418</v>
      </c>
      <c r="I1018" s="8" t="s">
        <v>71</v>
      </c>
      <c r="J1018" s="8" t="s">
        <v>1419</v>
      </c>
      <c r="K1018" s="8" t="s">
        <v>125</v>
      </c>
      <c r="L1018" s="8" t="s">
        <v>1420</v>
      </c>
      <c r="M1018" s="8" t="s">
        <v>2774</v>
      </c>
      <c r="N1018" s="8" t="s">
        <v>1417</v>
      </c>
      <c r="O1018" s="8">
        <v>329.75</v>
      </c>
      <c r="P1018" s="8">
        <v>366.39</v>
      </c>
      <c r="Q1018" s="8" t="s">
        <v>2629</v>
      </c>
      <c r="R1018" s="8" t="s">
        <v>1421</v>
      </c>
    </row>
    <row r="1019" spans="1:20" x14ac:dyDescent="0.2">
      <c r="A1019" s="8" t="s">
        <v>2913</v>
      </c>
      <c r="B1019" s="8" t="str">
        <f t="shared" si="30"/>
        <v>1586244146</v>
      </c>
      <c r="C1019" s="8" t="str">
        <f t="shared" si="31"/>
        <v>1054</v>
      </c>
      <c r="D1019" s="8" t="s">
        <v>119</v>
      </c>
      <c r="F1019" s="8" t="s">
        <v>645</v>
      </c>
      <c r="G1019" s="8" t="s">
        <v>1417</v>
      </c>
      <c r="H1019" s="8" t="s">
        <v>1418</v>
      </c>
      <c r="I1019" s="8" t="s">
        <v>71</v>
      </c>
      <c r="J1019" s="8" t="s">
        <v>1419</v>
      </c>
      <c r="K1019" s="8" t="s">
        <v>125</v>
      </c>
      <c r="L1019" s="8" t="s">
        <v>1420</v>
      </c>
      <c r="M1019" s="8" t="s">
        <v>2774</v>
      </c>
      <c r="N1019" s="8" t="s">
        <v>1417</v>
      </c>
      <c r="O1019" s="8">
        <v>329.75</v>
      </c>
      <c r="P1019" s="8">
        <v>366.39</v>
      </c>
      <c r="Q1019" s="8" t="s">
        <v>2629</v>
      </c>
      <c r="S1019" s="8" t="s">
        <v>1078</v>
      </c>
      <c r="T1019" s="8">
        <v>54.59</v>
      </c>
    </row>
    <row r="1020" spans="1:20" x14ac:dyDescent="0.2">
      <c r="A1020" s="8" t="s">
        <v>3423</v>
      </c>
      <c r="B1020" s="8" t="str">
        <f t="shared" si="30"/>
        <v>1586244146</v>
      </c>
      <c r="C1020" s="8" t="str">
        <f t="shared" si="31"/>
        <v>1055</v>
      </c>
      <c r="D1020" s="8" t="s">
        <v>119</v>
      </c>
      <c r="F1020" s="8" t="s">
        <v>645</v>
      </c>
      <c r="G1020" s="8" t="s">
        <v>1417</v>
      </c>
      <c r="H1020" s="8" t="s">
        <v>1418</v>
      </c>
      <c r="I1020" s="8" t="s">
        <v>71</v>
      </c>
      <c r="J1020" s="8" t="s">
        <v>1419</v>
      </c>
      <c r="K1020" s="8" t="s">
        <v>125</v>
      </c>
      <c r="L1020" s="8" t="s">
        <v>1420</v>
      </c>
      <c r="M1020" s="8" t="s">
        <v>2774</v>
      </c>
      <c r="N1020" s="8" t="s">
        <v>1417</v>
      </c>
      <c r="O1020" s="8">
        <v>329.75</v>
      </c>
      <c r="P1020" s="8">
        <v>366.39</v>
      </c>
      <c r="Q1020" s="8" t="s">
        <v>2629</v>
      </c>
      <c r="S1020" s="8" t="s">
        <v>109</v>
      </c>
      <c r="T1020" s="8">
        <v>37.619999999999997</v>
      </c>
    </row>
    <row r="1021" spans="1:20" x14ac:dyDescent="0.2">
      <c r="A1021" s="8" t="s">
        <v>3246</v>
      </c>
      <c r="B1021" s="8" t="str">
        <f t="shared" si="30"/>
        <v>1586244150</v>
      </c>
      <c r="C1021" s="8" t="str">
        <f t="shared" si="31"/>
        <v>1056</v>
      </c>
      <c r="D1021" s="8" t="s">
        <v>119</v>
      </c>
      <c r="F1021" s="8" t="s">
        <v>645</v>
      </c>
      <c r="G1021" s="8" t="s">
        <v>646</v>
      </c>
      <c r="H1021" s="8" t="s">
        <v>647</v>
      </c>
      <c r="I1021" s="8" t="s">
        <v>71</v>
      </c>
      <c r="J1021" s="8" t="s">
        <v>648</v>
      </c>
      <c r="K1021" s="8" t="s">
        <v>125</v>
      </c>
      <c r="L1021" s="8" t="s">
        <v>649</v>
      </c>
      <c r="M1021" s="8" t="s">
        <v>2774</v>
      </c>
      <c r="N1021" s="8" t="s">
        <v>646</v>
      </c>
      <c r="O1021" s="8">
        <v>329.75</v>
      </c>
      <c r="P1021" s="8">
        <v>366.39</v>
      </c>
      <c r="Q1021" s="8" t="s">
        <v>2629</v>
      </c>
      <c r="R1021" s="8" t="s">
        <v>1349</v>
      </c>
    </row>
    <row r="1022" spans="1:20" x14ac:dyDescent="0.2">
      <c r="A1022" s="8" t="s">
        <v>4510</v>
      </c>
      <c r="B1022" s="8" t="str">
        <f t="shared" si="30"/>
        <v>1586244150</v>
      </c>
      <c r="C1022" s="8" t="str">
        <f t="shared" si="31"/>
        <v>1057</v>
      </c>
      <c r="D1022" s="8" t="s">
        <v>119</v>
      </c>
      <c r="F1022" s="8" t="s">
        <v>645</v>
      </c>
      <c r="G1022" s="8" t="s">
        <v>646</v>
      </c>
      <c r="H1022" s="8" t="s">
        <v>647</v>
      </c>
      <c r="I1022" s="8" t="s">
        <v>71</v>
      </c>
      <c r="J1022" s="8" t="s">
        <v>648</v>
      </c>
      <c r="K1022" s="8" t="s">
        <v>125</v>
      </c>
      <c r="L1022" s="8" t="s">
        <v>649</v>
      </c>
      <c r="M1022" s="8" t="s">
        <v>2774</v>
      </c>
      <c r="N1022" s="8" t="s">
        <v>646</v>
      </c>
      <c r="O1022" s="8">
        <v>329.75</v>
      </c>
      <c r="P1022" s="8">
        <v>366.39</v>
      </c>
      <c r="Q1022" s="8" t="s">
        <v>2629</v>
      </c>
      <c r="S1022" s="8" t="s">
        <v>1078</v>
      </c>
      <c r="T1022" s="8">
        <v>54.59</v>
      </c>
    </row>
    <row r="1023" spans="1:20" x14ac:dyDescent="0.2">
      <c r="A1023" s="8" t="s">
        <v>3376</v>
      </c>
      <c r="B1023" s="8" t="str">
        <f t="shared" si="30"/>
        <v>1586244150</v>
      </c>
      <c r="C1023" s="8" t="str">
        <f t="shared" si="31"/>
        <v>1058</v>
      </c>
      <c r="D1023" s="8" t="s">
        <v>119</v>
      </c>
      <c r="F1023" s="8" t="s">
        <v>645</v>
      </c>
      <c r="G1023" s="8" t="s">
        <v>646</v>
      </c>
      <c r="H1023" s="8" t="s">
        <v>647</v>
      </c>
      <c r="I1023" s="8" t="s">
        <v>71</v>
      </c>
      <c r="J1023" s="8" t="s">
        <v>648</v>
      </c>
      <c r="K1023" s="8" t="s">
        <v>125</v>
      </c>
      <c r="L1023" s="8" t="s">
        <v>649</v>
      </c>
      <c r="M1023" s="8" t="s">
        <v>2774</v>
      </c>
      <c r="N1023" s="8" t="s">
        <v>646</v>
      </c>
      <c r="O1023" s="8">
        <v>329.75</v>
      </c>
      <c r="P1023" s="8">
        <v>366.39</v>
      </c>
      <c r="Q1023" s="8" t="s">
        <v>2629</v>
      </c>
      <c r="S1023" s="8" t="s">
        <v>109</v>
      </c>
      <c r="T1023" s="8">
        <v>37.619999999999997</v>
      </c>
    </row>
    <row r="1024" spans="1:20" x14ac:dyDescent="0.2">
      <c r="A1024" s="8" t="s">
        <v>3337</v>
      </c>
      <c r="B1024" s="8" t="str">
        <f t="shared" si="30"/>
        <v>1586244154</v>
      </c>
      <c r="C1024" s="8" t="str">
        <f t="shared" si="31"/>
        <v>1059</v>
      </c>
      <c r="D1024" s="8" t="s">
        <v>119</v>
      </c>
      <c r="F1024" s="8" t="s">
        <v>645</v>
      </c>
      <c r="G1024" s="8" t="s">
        <v>905</v>
      </c>
      <c r="H1024" s="8" t="s">
        <v>906</v>
      </c>
      <c r="I1024" s="8" t="s">
        <v>71</v>
      </c>
      <c r="J1024" s="8" t="s">
        <v>907</v>
      </c>
      <c r="K1024" s="8" t="s">
        <v>125</v>
      </c>
      <c r="L1024" s="8" t="s">
        <v>908</v>
      </c>
      <c r="M1024" s="8" t="s">
        <v>2774</v>
      </c>
      <c r="N1024" s="8" t="s">
        <v>905</v>
      </c>
      <c r="O1024" s="8">
        <v>329.75</v>
      </c>
      <c r="P1024" s="8">
        <v>366.39</v>
      </c>
      <c r="Q1024" s="8" t="s">
        <v>2629</v>
      </c>
      <c r="R1024" s="8" t="s">
        <v>909</v>
      </c>
    </row>
    <row r="1025" spans="1:20" x14ac:dyDescent="0.2">
      <c r="A1025" s="8" t="s">
        <v>2773</v>
      </c>
      <c r="B1025" s="8" t="str">
        <f t="shared" si="30"/>
        <v>1586244154</v>
      </c>
      <c r="C1025" s="8" t="str">
        <f t="shared" si="31"/>
        <v>1060</v>
      </c>
      <c r="D1025" s="8" t="s">
        <v>119</v>
      </c>
      <c r="F1025" s="8" t="s">
        <v>645</v>
      </c>
      <c r="G1025" s="8" t="s">
        <v>905</v>
      </c>
      <c r="H1025" s="8" t="s">
        <v>906</v>
      </c>
      <c r="I1025" s="8" t="s">
        <v>71</v>
      </c>
      <c r="J1025" s="8" t="s">
        <v>907</v>
      </c>
      <c r="K1025" s="8" t="s">
        <v>125</v>
      </c>
      <c r="L1025" s="8" t="s">
        <v>908</v>
      </c>
      <c r="M1025" s="8" t="s">
        <v>2774</v>
      </c>
      <c r="N1025" s="8" t="s">
        <v>905</v>
      </c>
      <c r="O1025" s="8">
        <v>329.75</v>
      </c>
      <c r="P1025" s="8">
        <v>366.39</v>
      </c>
      <c r="Q1025" s="8" t="s">
        <v>2629</v>
      </c>
      <c r="S1025" s="8" t="s">
        <v>1078</v>
      </c>
      <c r="T1025" s="8">
        <v>54.59</v>
      </c>
    </row>
    <row r="1026" spans="1:20" x14ac:dyDescent="0.2">
      <c r="A1026" s="8" t="s">
        <v>4604</v>
      </c>
      <c r="B1026" s="8" t="str">
        <f t="shared" ref="B1026:B1089" si="32">LEFT(A1026, FIND("-", A1026) - 1)</f>
        <v>1586244154</v>
      </c>
      <c r="C1026" s="8" t="str">
        <f t="shared" ref="C1026:C1089" si="33">RIGHT(A1026, LEN(A1026) - FIND("-", A1026))</f>
        <v>1061</v>
      </c>
      <c r="D1026" s="8" t="s">
        <v>119</v>
      </c>
      <c r="F1026" s="8" t="s">
        <v>645</v>
      </c>
      <c r="G1026" s="8" t="s">
        <v>905</v>
      </c>
      <c r="H1026" s="8" t="s">
        <v>906</v>
      </c>
      <c r="I1026" s="8" t="s">
        <v>71</v>
      </c>
      <c r="J1026" s="8" t="s">
        <v>907</v>
      </c>
      <c r="K1026" s="8" t="s">
        <v>125</v>
      </c>
      <c r="L1026" s="8" t="s">
        <v>908</v>
      </c>
      <c r="M1026" s="8" t="s">
        <v>2774</v>
      </c>
      <c r="N1026" s="8" t="s">
        <v>905</v>
      </c>
      <c r="O1026" s="8">
        <v>329.75</v>
      </c>
      <c r="P1026" s="8">
        <v>366.39</v>
      </c>
      <c r="Q1026" s="8" t="s">
        <v>2629</v>
      </c>
      <c r="S1026" s="8" t="s">
        <v>109</v>
      </c>
      <c r="T1026" s="8">
        <v>37.619999999999997</v>
      </c>
    </row>
    <row r="1027" spans="1:20" x14ac:dyDescent="0.2">
      <c r="A1027" s="8" t="s">
        <v>4678</v>
      </c>
      <c r="B1027" s="8" t="str">
        <f t="shared" si="32"/>
        <v>1586244161</v>
      </c>
      <c r="C1027" s="8" t="str">
        <f t="shared" si="33"/>
        <v>1062</v>
      </c>
      <c r="D1027" s="8" t="s">
        <v>119</v>
      </c>
      <c r="F1027" s="8" t="s">
        <v>284</v>
      </c>
      <c r="G1027" s="8" t="s">
        <v>352</v>
      </c>
      <c r="H1027" s="8" t="s">
        <v>353</v>
      </c>
      <c r="I1027" s="8" t="s">
        <v>160</v>
      </c>
      <c r="J1027" s="8" t="s">
        <v>354</v>
      </c>
      <c r="K1027" s="8" t="s">
        <v>125</v>
      </c>
      <c r="L1027" s="8" t="s">
        <v>355</v>
      </c>
      <c r="M1027" s="8" t="s">
        <v>2783</v>
      </c>
      <c r="N1027" s="8" t="s">
        <v>352</v>
      </c>
      <c r="O1027" s="8">
        <v>501.64</v>
      </c>
      <c r="P1027" s="8">
        <v>557.38</v>
      </c>
      <c r="Q1027" s="8" t="s">
        <v>2630</v>
      </c>
      <c r="R1027" s="8" t="s">
        <v>2099</v>
      </c>
    </row>
    <row r="1028" spans="1:20" x14ac:dyDescent="0.2">
      <c r="A1028" s="8" t="s">
        <v>3255</v>
      </c>
      <c r="B1028" s="8" t="str">
        <f t="shared" si="32"/>
        <v>1586244161</v>
      </c>
      <c r="C1028" s="8" t="str">
        <f t="shared" si="33"/>
        <v>1063</v>
      </c>
      <c r="D1028" s="8" t="s">
        <v>119</v>
      </c>
      <c r="F1028" s="8" t="s">
        <v>284</v>
      </c>
      <c r="G1028" s="8" t="s">
        <v>352</v>
      </c>
      <c r="H1028" s="8" t="s">
        <v>353</v>
      </c>
      <c r="I1028" s="8" t="s">
        <v>160</v>
      </c>
      <c r="J1028" s="8" t="s">
        <v>354</v>
      </c>
      <c r="K1028" s="8" t="s">
        <v>125</v>
      </c>
      <c r="L1028" s="8" t="s">
        <v>355</v>
      </c>
      <c r="M1028" s="8" t="s">
        <v>2783</v>
      </c>
      <c r="N1028" s="8" t="s">
        <v>352</v>
      </c>
      <c r="O1028" s="8">
        <v>501.64</v>
      </c>
      <c r="P1028" s="8">
        <v>557.38</v>
      </c>
      <c r="Q1028" s="8" t="s">
        <v>2630</v>
      </c>
      <c r="R1028" s="8" t="s">
        <v>2452</v>
      </c>
    </row>
    <row r="1029" spans="1:20" x14ac:dyDescent="0.2">
      <c r="A1029" s="8" t="s">
        <v>4110</v>
      </c>
      <c r="B1029" s="8" t="str">
        <f t="shared" si="32"/>
        <v>1586244161</v>
      </c>
      <c r="C1029" s="8" t="str">
        <f t="shared" si="33"/>
        <v>1064</v>
      </c>
      <c r="D1029" s="8" t="s">
        <v>119</v>
      </c>
      <c r="F1029" s="8" t="s">
        <v>284</v>
      </c>
      <c r="G1029" s="8" t="s">
        <v>352</v>
      </c>
      <c r="H1029" s="8" t="s">
        <v>353</v>
      </c>
      <c r="I1029" s="8" t="s">
        <v>160</v>
      </c>
      <c r="J1029" s="8" t="s">
        <v>354</v>
      </c>
      <c r="K1029" s="8" t="s">
        <v>125</v>
      </c>
      <c r="L1029" s="8" t="s">
        <v>355</v>
      </c>
      <c r="M1029" s="8" t="s">
        <v>2783</v>
      </c>
      <c r="N1029" s="8" t="s">
        <v>352</v>
      </c>
      <c r="O1029" s="8">
        <v>501.64</v>
      </c>
      <c r="P1029" s="8">
        <v>557.38</v>
      </c>
      <c r="Q1029" s="8" t="s">
        <v>2630</v>
      </c>
      <c r="R1029" s="8" t="s">
        <v>1848</v>
      </c>
    </row>
    <row r="1030" spans="1:20" x14ac:dyDescent="0.2">
      <c r="A1030" s="8" t="s">
        <v>4716</v>
      </c>
      <c r="B1030" s="8" t="str">
        <f t="shared" si="32"/>
        <v>1586244161</v>
      </c>
      <c r="C1030" s="8" t="str">
        <f t="shared" si="33"/>
        <v>1065</v>
      </c>
      <c r="D1030" s="8" t="s">
        <v>119</v>
      </c>
      <c r="F1030" s="8" t="s">
        <v>284</v>
      </c>
      <c r="G1030" s="8" t="s">
        <v>352</v>
      </c>
      <c r="H1030" s="8" t="s">
        <v>353</v>
      </c>
      <c r="I1030" s="8" t="s">
        <v>160</v>
      </c>
      <c r="J1030" s="8" t="s">
        <v>354</v>
      </c>
      <c r="K1030" s="8" t="s">
        <v>125</v>
      </c>
      <c r="L1030" s="8" t="s">
        <v>355</v>
      </c>
      <c r="M1030" s="8" t="s">
        <v>2783</v>
      </c>
      <c r="N1030" s="8" t="s">
        <v>352</v>
      </c>
      <c r="O1030" s="8">
        <v>501.64</v>
      </c>
      <c r="P1030" s="8">
        <v>557.38</v>
      </c>
      <c r="Q1030" s="8" t="s">
        <v>2630</v>
      </c>
      <c r="R1030" s="8" t="s">
        <v>1344</v>
      </c>
    </row>
    <row r="1031" spans="1:20" x14ac:dyDescent="0.2">
      <c r="A1031" s="8" t="s">
        <v>4445</v>
      </c>
      <c r="B1031" s="8" t="str">
        <f t="shared" si="32"/>
        <v>1586244161</v>
      </c>
      <c r="C1031" s="8" t="str">
        <f t="shared" si="33"/>
        <v>1066</v>
      </c>
      <c r="D1031" s="8" t="s">
        <v>119</v>
      </c>
      <c r="F1031" s="8" t="s">
        <v>284</v>
      </c>
      <c r="G1031" s="8" t="s">
        <v>352</v>
      </c>
      <c r="H1031" s="8" t="s">
        <v>353</v>
      </c>
      <c r="I1031" s="8" t="s">
        <v>160</v>
      </c>
      <c r="J1031" s="8" t="s">
        <v>354</v>
      </c>
      <c r="K1031" s="8" t="s">
        <v>125</v>
      </c>
      <c r="L1031" s="8" t="s">
        <v>355</v>
      </c>
      <c r="M1031" s="8" t="s">
        <v>2783</v>
      </c>
      <c r="N1031" s="8" t="s">
        <v>352</v>
      </c>
      <c r="O1031" s="8">
        <v>501.64</v>
      </c>
      <c r="P1031" s="8">
        <v>557.38</v>
      </c>
      <c r="Q1031" s="8" t="s">
        <v>2630</v>
      </c>
      <c r="R1031" s="8" t="s">
        <v>1854</v>
      </c>
    </row>
    <row r="1032" spans="1:20" x14ac:dyDescent="0.2">
      <c r="A1032" s="8" t="s">
        <v>4233</v>
      </c>
      <c r="B1032" s="8" t="str">
        <f t="shared" si="32"/>
        <v>1586244161</v>
      </c>
      <c r="C1032" s="8" t="str">
        <f t="shared" si="33"/>
        <v>1067</v>
      </c>
      <c r="D1032" s="8" t="s">
        <v>119</v>
      </c>
      <c r="F1032" s="8" t="s">
        <v>284</v>
      </c>
      <c r="G1032" s="8" t="s">
        <v>352</v>
      </c>
      <c r="H1032" s="8" t="s">
        <v>353</v>
      </c>
      <c r="I1032" s="8" t="s">
        <v>160</v>
      </c>
      <c r="J1032" s="8" t="s">
        <v>354</v>
      </c>
      <c r="K1032" s="8" t="s">
        <v>125</v>
      </c>
      <c r="L1032" s="8" t="s">
        <v>355</v>
      </c>
      <c r="M1032" s="8" t="s">
        <v>2783</v>
      </c>
      <c r="N1032" s="8" t="s">
        <v>352</v>
      </c>
      <c r="O1032" s="8">
        <v>501.64</v>
      </c>
      <c r="P1032" s="8">
        <v>557.38</v>
      </c>
      <c r="Q1032" s="8" t="s">
        <v>2630</v>
      </c>
      <c r="S1032" s="8" t="s">
        <v>142</v>
      </c>
      <c r="T1032" s="8">
        <v>18.440000000000001</v>
      </c>
    </row>
    <row r="1033" spans="1:20" x14ac:dyDescent="0.2">
      <c r="A1033" s="8" t="s">
        <v>3961</v>
      </c>
      <c r="B1033" s="8" t="str">
        <f t="shared" si="32"/>
        <v>1586244161</v>
      </c>
      <c r="C1033" s="8" t="str">
        <f t="shared" si="33"/>
        <v>1068</v>
      </c>
      <c r="D1033" s="8" t="s">
        <v>119</v>
      </c>
      <c r="F1033" s="8" t="s">
        <v>284</v>
      </c>
      <c r="G1033" s="8" t="s">
        <v>352</v>
      </c>
      <c r="H1033" s="8" t="s">
        <v>353</v>
      </c>
      <c r="I1033" s="8" t="s">
        <v>160</v>
      </c>
      <c r="J1033" s="8" t="s">
        <v>354</v>
      </c>
      <c r="K1033" s="8" t="s">
        <v>125</v>
      </c>
      <c r="L1033" s="8" t="s">
        <v>355</v>
      </c>
      <c r="M1033" s="8" t="s">
        <v>2783</v>
      </c>
      <c r="N1033" s="8" t="s">
        <v>352</v>
      </c>
      <c r="O1033" s="8">
        <v>501.64</v>
      </c>
      <c r="P1033" s="8">
        <v>557.38</v>
      </c>
      <c r="Q1033" s="8" t="s">
        <v>2630</v>
      </c>
      <c r="S1033" s="8" t="s">
        <v>1367</v>
      </c>
      <c r="T1033" s="8">
        <v>81.150000000000006</v>
      </c>
    </row>
    <row r="1034" spans="1:20" x14ac:dyDescent="0.2">
      <c r="A1034" s="8" t="s">
        <v>3566</v>
      </c>
      <c r="B1034" s="8" t="str">
        <f t="shared" si="32"/>
        <v>1586244161</v>
      </c>
      <c r="C1034" s="8" t="str">
        <f t="shared" si="33"/>
        <v>1069</v>
      </c>
      <c r="D1034" s="8" t="s">
        <v>119</v>
      </c>
      <c r="F1034" s="8" t="s">
        <v>284</v>
      </c>
      <c r="G1034" s="8" t="s">
        <v>352</v>
      </c>
      <c r="H1034" s="8" t="s">
        <v>353</v>
      </c>
      <c r="I1034" s="8" t="s">
        <v>160</v>
      </c>
      <c r="J1034" s="8" t="s">
        <v>354</v>
      </c>
      <c r="K1034" s="8" t="s">
        <v>125</v>
      </c>
      <c r="L1034" s="8" t="s">
        <v>355</v>
      </c>
      <c r="M1034" s="8" t="s">
        <v>2783</v>
      </c>
      <c r="N1034" s="8" t="s">
        <v>352</v>
      </c>
      <c r="O1034" s="8">
        <v>501.64</v>
      </c>
      <c r="P1034" s="8">
        <v>557.38</v>
      </c>
      <c r="Q1034" s="8" t="s">
        <v>2630</v>
      </c>
      <c r="S1034" s="8" t="s">
        <v>1775</v>
      </c>
      <c r="T1034" s="8">
        <v>100.33</v>
      </c>
    </row>
    <row r="1035" spans="1:20" x14ac:dyDescent="0.2">
      <c r="A1035" s="8" t="s">
        <v>4250</v>
      </c>
      <c r="B1035" s="8" t="str">
        <f t="shared" si="32"/>
        <v>1586244161</v>
      </c>
      <c r="C1035" s="8" t="str">
        <f t="shared" si="33"/>
        <v>1070</v>
      </c>
      <c r="D1035" s="8" t="s">
        <v>119</v>
      </c>
      <c r="F1035" s="8" t="s">
        <v>284</v>
      </c>
      <c r="G1035" s="8" t="s">
        <v>352</v>
      </c>
      <c r="H1035" s="8" t="s">
        <v>353</v>
      </c>
      <c r="I1035" s="8" t="s">
        <v>160</v>
      </c>
      <c r="J1035" s="8" t="s">
        <v>354</v>
      </c>
      <c r="K1035" s="8" t="s">
        <v>125</v>
      </c>
      <c r="L1035" s="8" t="s">
        <v>355</v>
      </c>
      <c r="M1035" s="8" t="s">
        <v>2783</v>
      </c>
      <c r="N1035" s="8" t="s">
        <v>352</v>
      </c>
      <c r="O1035" s="8">
        <v>501.64</v>
      </c>
      <c r="P1035" s="8">
        <v>557.38</v>
      </c>
      <c r="Q1035" s="8" t="s">
        <v>2630</v>
      </c>
      <c r="S1035" s="8" t="s">
        <v>952</v>
      </c>
      <c r="T1035" s="8">
        <v>99.59</v>
      </c>
    </row>
    <row r="1036" spans="1:20" x14ac:dyDescent="0.2">
      <c r="A1036" s="8" t="s">
        <v>4007</v>
      </c>
      <c r="B1036" s="8" t="str">
        <f t="shared" si="32"/>
        <v>1586244161</v>
      </c>
      <c r="C1036" s="8" t="str">
        <f t="shared" si="33"/>
        <v>1071</v>
      </c>
      <c r="D1036" s="8" t="s">
        <v>119</v>
      </c>
      <c r="F1036" s="8" t="s">
        <v>284</v>
      </c>
      <c r="G1036" s="8" t="s">
        <v>352</v>
      </c>
      <c r="H1036" s="8" t="s">
        <v>353</v>
      </c>
      <c r="I1036" s="8" t="s">
        <v>160</v>
      </c>
      <c r="J1036" s="8" t="s">
        <v>354</v>
      </c>
      <c r="K1036" s="8" t="s">
        <v>125</v>
      </c>
      <c r="L1036" s="8" t="s">
        <v>355</v>
      </c>
      <c r="M1036" s="8" t="s">
        <v>2783</v>
      </c>
      <c r="N1036" s="8" t="s">
        <v>352</v>
      </c>
      <c r="O1036" s="8">
        <v>501.64</v>
      </c>
      <c r="P1036" s="8">
        <v>557.38</v>
      </c>
      <c r="Q1036" s="8" t="s">
        <v>2630</v>
      </c>
      <c r="S1036" s="8" t="s">
        <v>882</v>
      </c>
      <c r="T1036" s="8">
        <v>104.75</v>
      </c>
    </row>
    <row r="1037" spans="1:20" x14ac:dyDescent="0.2">
      <c r="A1037" s="8" t="s">
        <v>4620</v>
      </c>
      <c r="B1037" s="8" t="str">
        <f t="shared" si="32"/>
        <v>1586244165</v>
      </c>
      <c r="C1037" s="8" t="str">
        <f t="shared" si="33"/>
        <v>1072</v>
      </c>
      <c r="D1037" s="8" t="s">
        <v>119</v>
      </c>
      <c r="F1037" s="8" t="s">
        <v>284</v>
      </c>
      <c r="G1037" s="8" t="s">
        <v>587</v>
      </c>
      <c r="H1037" s="8" t="s">
        <v>588</v>
      </c>
      <c r="I1037" s="8" t="s">
        <v>71</v>
      </c>
      <c r="J1037" s="8" t="s">
        <v>589</v>
      </c>
      <c r="K1037" s="8" t="s">
        <v>385</v>
      </c>
      <c r="L1037" s="8" t="s">
        <v>590</v>
      </c>
      <c r="M1037" s="8" t="s">
        <v>2783</v>
      </c>
      <c r="N1037" s="8" t="s">
        <v>587</v>
      </c>
      <c r="O1037" s="8">
        <v>451.48</v>
      </c>
      <c r="P1037" s="8">
        <v>501.64</v>
      </c>
      <c r="Q1037" s="8" t="s">
        <v>2631</v>
      </c>
      <c r="R1037" s="8" t="s">
        <v>1249</v>
      </c>
    </row>
    <row r="1038" spans="1:20" x14ac:dyDescent="0.2">
      <c r="A1038" s="8" t="s">
        <v>3697</v>
      </c>
      <c r="B1038" s="8" t="str">
        <f t="shared" si="32"/>
        <v>1586244165</v>
      </c>
      <c r="C1038" s="8" t="str">
        <f t="shared" si="33"/>
        <v>1073</v>
      </c>
      <c r="D1038" s="8" t="s">
        <v>119</v>
      </c>
      <c r="F1038" s="8" t="s">
        <v>284</v>
      </c>
      <c r="G1038" s="8" t="s">
        <v>587</v>
      </c>
      <c r="H1038" s="8" t="s">
        <v>588</v>
      </c>
      <c r="I1038" s="8" t="s">
        <v>71</v>
      </c>
      <c r="J1038" s="8" t="s">
        <v>589</v>
      </c>
      <c r="K1038" s="8" t="s">
        <v>385</v>
      </c>
      <c r="L1038" s="8" t="s">
        <v>590</v>
      </c>
      <c r="M1038" s="8" t="s">
        <v>2783</v>
      </c>
      <c r="N1038" s="8" t="s">
        <v>587</v>
      </c>
      <c r="O1038" s="8">
        <v>451.48</v>
      </c>
      <c r="P1038" s="8">
        <v>501.64</v>
      </c>
      <c r="Q1038" s="8" t="s">
        <v>2631</v>
      </c>
      <c r="R1038" s="8" t="s">
        <v>591</v>
      </c>
    </row>
    <row r="1039" spans="1:20" x14ac:dyDescent="0.2">
      <c r="A1039" s="8" t="s">
        <v>4534</v>
      </c>
      <c r="B1039" s="8" t="str">
        <f t="shared" si="32"/>
        <v>1586244165</v>
      </c>
      <c r="C1039" s="8" t="str">
        <f t="shared" si="33"/>
        <v>1074</v>
      </c>
      <c r="D1039" s="8" t="s">
        <v>119</v>
      </c>
      <c r="F1039" s="8" t="s">
        <v>284</v>
      </c>
      <c r="G1039" s="8" t="s">
        <v>587</v>
      </c>
      <c r="H1039" s="8" t="s">
        <v>588</v>
      </c>
      <c r="I1039" s="8" t="s">
        <v>71</v>
      </c>
      <c r="J1039" s="8" t="s">
        <v>589</v>
      </c>
      <c r="K1039" s="8" t="s">
        <v>385</v>
      </c>
      <c r="L1039" s="8" t="s">
        <v>590</v>
      </c>
      <c r="M1039" s="8" t="s">
        <v>2783</v>
      </c>
      <c r="N1039" s="8" t="s">
        <v>587</v>
      </c>
      <c r="O1039" s="8">
        <v>451.48</v>
      </c>
      <c r="P1039" s="8">
        <v>501.64</v>
      </c>
      <c r="Q1039" s="8" t="s">
        <v>2631</v>
      </c>
      <c r="R1039" s="8" t="s">
        <v>2021</v>
      </c>
    </row>
    <row r="1040" spans="1:20" x14ac:dyDescent="0.2">
      <c r="A1040" s="8" t="s">
        <v>4265</v>
      </c>
      <c r="B1040" s="8" t="str">
        <f t="shared" si="32"/>
        <v>1586244165</v>
      </c>
      <c r="C1040" s="8" t="str">
        <f t="shared" si="33"/>
        <v>1075</v>
      </c>
      <c r="D1040" s="8" t="s">
        <v>119</v>
      </c>
      <c r="F1040" s="8" t="s">
        <v>284</v>
      </c>
      <c r="G1040" s="8" t="s">
        <v>587</v>
      </c>
      <c r="H1040" s="8" t="s">
        <v>588</v>
      </c>
      <c r="I1040" s="8" t="s">
        <v>71</v>
      </c>
      <c r="J1040" s="8" t="s">
        <v>589</v>
      </c>
      <c r="K1040" s="8" t="s">
        <v>385</v>
      </c>
      <c r="L1040" s="8" t="s">
        <v>590</v>
      </c>
      <c r="M1040" s="8" t="s">
        <v>2783</v>
      </c>
      <c r="N1040" s="8" t="s">
        <v>587</v>
      </c>
      <c r="O1040" s="8">
        <v>451.48</v>
      </c>
      <c r="P1040" s="8">
        <v>501.64</v>
      </c>
      <c r="Q1040" s="8" t="s">
        <v>2631</v>
      </c>
      <c r="S1040" s="8" t="s">
        <v>142</v>
      </c>
      <c r="T1040" s="8">
        <v>47.21</v>
      </c>
    </row>
    <row r="1041" spans="1:20" x14ac:dyDescent="0.2">
      <c r="A1041" s="8" t="s">
        <v>4628</v>
      </c>
      <c r="B1041" s="8" t="str">
        <f t="shared" si="32"/>
        <v>1586244165</v>
      </c>
      <c r="C1041" s="8" t="str">
        <f t="shared" si="33"/>
        <v>1076</v>
      </c>
      <c r="D1041" s="8" t="s">
        <v>119</v>
      </c>
      <c r="F1041" s="8" t="s">
        <v>284</v>
      </c>
      <c r="G1041" s="8" t="s">
        <v>587</v>
      </c>
      <c r="H1041" s="8" t="s">
        <v>588</v>
      </c>
      <c r="I1041" s="8" t="s">
        <v>71</v>
      </c>
      <c r="J1041" s="8" t="s">
        <v>589</v>
      </c>
      <c r="K1041" s="8" t="s">
        <v>385</v>
      </c>
      <c r="L1041" s="8" t="s">
        <v>590</v>
      </c>
      <c r="M1041" s="8" t="s">
        <v>2783</v>
      </c>
      <c r="N1041" s="8" t="s">
        <v>587</v>
      </c>
      <c r="O1041" s="8">
        <v>451.48</v>
      </c>
      <c r="P1041" s="8">
        <v>501.64</v>
      </c>
      <c r="Q1041" s="8" t="s">
        <v>2631</v>
      </c>
      <c r="S1041" s="8" t="s">
        <v>109</v>
      </c>
      <c r="T1041" s="8">
        <v>37.619999999999997</v>
      </c>
    </row>
    <row r="1042" spans="1:20" x14ac:dyDescent="0.2">
      <c r="A1042" s="8" t="s">
        <v>4788</v>
      </c>
      <c r="B1042" s="8" t="str">
        <f t="shared" si="32"/>
        <v>1586244169</v>
      </c>
      <c r="C1042" s="8" t="str">
        <f t="shared" si="33"/>
        <v>1077</v>
      </c>
      <c r="D1042" s="8" t="s">
        <v>119</v>
      </c>
      <c r="F1042" s="8" t="s">
        <v>284</v>
      </c>
      <c r="G1042" s="8" t="s">
        <v>593</v>
      </c>
      <c r="H1042" s="8" t="s">
        <v>594</v>
      </c>
      <c r="I1042" s="8" t="s">
        <v>71</v>
      </c>
      <c r="J1042" s="8" t="s">
        <v>595</v>
      </c>
      <c r="K1042" s="8" t="s">
        <v>596</v>
      </c>
      <c r="L1042" s="8" t="s">
        <v>597</v>
      </c>
      <c r="M1042" s="8" t="s">
        <v>2783</v>
      </c>
      <c r="N1042" s="8" t="s">
        <v>593</v>
      </c>
      <c r="O1042" s="8">
        <v>742.87</v>
      </c>
      <c r="P1042" s="8">
        <v>825.41</v>
      </c>
      <c r="Q1042" s="8" t="s">
        <v>2632</v>
      </c>
      <c r="R1042" s="8" t="s">
        <v>1767</v>
      </c>
    </row>
    <row r="1043" spans="1:20" x14ac:dyDescent="0.2">
      <c r="A1043" s="8" t="s">
        <v>3693</v>
      </c>
      <c r="B1043" s="8" t="str">
        <f t="shared" si="32"/>
        <v>1586244169</v>
      </c>
      <c r="C1043" s="8" t="str">
        <f t="shared" si="33"/>
        <v>1078</v>
      </c>
      <c r="D1043" s="8" t="s">
        <v>119</v>
      </c>
      <c r="F1043" s="8" t="s">
        <v>284</v>
      </c>
      <c r="G1043" s="8" t="s">
        <v>593</v>
      </c>
      <c r="H1043" s="8" t="s">
        <v>594</v>
      </c>
      <c r="I1043" s="8" t="s">
        <v>71</v>
      </c>
      <c r="J1043" s="8" t="s">
        <v>595</v>
      </c>
      <c r="K1043" s="8" t="s">
        <v>596</v>
      </c>
      <c r="L1043" s="8" t="s">
        <v>597</v>
      </c>
      <c r="M1043" s="8" t="s">
        <v>2783</v>
      </c>
      <c r="N1043" s="8" t="s">
        <v>593</v>
      </c>
      <c r="O1043" s="8">
        <v>742.87</v>
      </c>
      <c r="P1043" s="8">
        <v>825.41</v>
      </c>
      <c r="Q1043" s="8" t="s">
        <v>2632</v>
      </c>
      <c r="R1043" s="8" t="s">
        <v>1149</v>
      </c>
    </row>
    <row r="1044" spans="1:20" x14ac:dyDescent="0.2">
      <c r="A1044" s="8" t="s">
        <v>3643</v>
      </c>
      <c r="B1044" s="8" t="str">
        <f t="shared" si="32"/>
        <v>1586244169</v>
      </c>
      <c r="C1044" s="8" t="str">
        <f t="shared" si="33"/>
        <v>1079</v>
      </c>
      <c r="D1044" s="8" t="s">
        <v>119</v>
      </c>
      <c r="F1044" s="8" t="s">
        <v>284</v>
      </c>
      <c r="G1044" s="8" t="s">
        <v>593</v>
      </c>
      <c r="H1044" s="8" t="s">
        <v>594</v>
      </c>
      <c r="I1044" s="8" t="s">
        <v>71</v>
      </c>
      <c r="J1044" s="8" t="s">
        <v>595</v>
      </c>
      <c r="K1044" s="8" t="s">
        <v>596</v>
      </c>
      <c r="L1044" s="8" t="s">
        <v>597</v>
      </c>
      <c r="M1044" s="8" t="s">
        <v>2783</v>
      </c>
      <c r="N1044" s="8" t="s">
        <v>593</v>
      </c>
      <c r="O1044" s="8">
        <v>742.87</v>
      </c>
      <c r="P1044" s="8">
        <v>825.41</v>
      </c>
      <c r="Q1044" s="8" t="s">
        <v>2632</v>
      </c>
      <c r="R1044" s="8" t="s">
        <v>598</v>
      </c>
    </row>
    <row r="1045" spans="1:20" x14ac:dyDescent="0.2">
      <c r="A1045" s="8" t="s">
        <v>2904</v>
      </c>
      <c r="B1045" s="8" t="str">
        <f t="shared" si="32"/>
        <v>1586244169</v>
      </c>
      <c r="C1045" s="8" t="str">
        <f t="shared" si="33"/>
        <v>1080</v>
      </c>
      <c r="D1045" s="8" t="s">
        <v>119</v>
      </c>
      <c r="F1045" s="8" t="s">
        <v>284</v>
      </c>
      <c r="G1045" s="8" t="s">
        <v>593</v>
      </c>
      <c r="H1045" s="8" t="s">
        <v>594</v>
      </c>
      <c r="I1045" s="8" t="s">
        <v>71</v>
      </c>
      <c r="J1045" s="8" t="s">
        <v>595</v>
      </c>
      <c r="K1045" s="8" t="s">
        <v>596</v>
      </c>
      <c r="L1045" s="8" t="s">
        <v>597</v>
      </c>
      <c r="M1045" s="8" t="s">
        <v>2783</v>
      </c>
      <c r="N1045" s="8" t="s">
        <v>593</v>
      </c>
      <c r="O1045" s="8">
        <v>742.87</v>
      </c>
      <c r="P1045" s="8">
        <v>825.41</v>
      </c>
      <c r="Q1045" s="8" t="s">
        <v>2632</v>
      </c>
      <c r="S1045" s="8" t="s">
        <v>142</v>
      </c>
      <c r="T1045" s="8">
        <v>93.69</v>
      </c>
    </row>
    <row r="1046" spans="1:20" x14ac:dyDescent="0.2">
      <c r="A1046" s="8" t="s">
        <v>4045</v>
      </c>
      <c r="B1046" s="8" t="str">
        <f t="shared" si="32"/>
        <v>1586244169</v>
      </c>
      <c r="C1046" s="8" t="str">
        <f t="shared" si="33"/>
        <v>1081</v>
      </c>
      <c r="D1046" s="8" t="s">
        <v>119</v>
      </c>
      <c r="F1046" s="8" t="s">
        <v>284</v>
      </c>
      <c r="G1046" s="8" t="s">
        <v>593</v>
      </c>
      <c r="H1046" s="8" t="s">
        <v>594</v>
      </c>
      <c r="I1046" s="8" t="s">
        <v>71</v>
      </c>
      <c r="J1046" s="8" t="s">
        <v>595</v>
      </c>
      <c r="K1046" s="8" t="s">
        <v>596</v>
      </c>
      <c r="L1046" s="8" t="s">
        <v>597</v>
      </c>
      <c r="M1046" s="8" t="s">
        <v>2783</v>
      </c>
      <c r="N1046" s="8" t="s">
        <v>593</v>
      </c>
      <c r="O1046" s="8">
        <v>742.87</v>
      </c>
      <c r="P1046" s="8">
        <v>825.41</v>
      </c>
      <c r="Q1046" s="8" t="s">
        <v>2632</v>
      </c>
      <c r="S1046" s="8" t="s">
        <v>2419</v>
      </c>
      <c r="T1046" s="8">
        <v>168.93</v>
      </c>
    </row>
    <row r="1047" spans="1:20" x14ac:dyDescent="0.2">
      <c r="A1047" s="8" t="s">
        <v>2782</v>
      </c>
      <c r="B1047" s="8" t="str">
        <f t="shared" si="32"/>
        <v>1586244169</v>
      </c>
      <c r="C1047" s="8" t="str">
        <f t="shared" si="33"/>
        <v>1082</v>
      </c>
      <c r="D1047" s="8" t="s">
        <v>119</v>
      </c>
      <c r="F1047" s="8" t="s">
        <v>284</v>
      </c>
      <c r="G1047" s="8" t="s">
        <v>593</v>
      </c>
      <c r="H1047" s="8" t="s">
        <v>594</v>
      </c>
      <c r="I1047" s="8" t="s">
        <v>71</v>
      </c>
      <c r="J1047" s="8" t="s">
        <v>595</v>
      </c>
      <c r="K1047" s="8" t="s">
        <v>596</v>
      </c>
      <c r="L1047" s="8" t="s">
        <v>597</v>
      </c>
      <c r="M1047" s="8" t="s">
        <v>2783</v>
      </c>
      <c r="N1047" s="8" t="s">
        <v>593</v>
      </c>
      <c r="O1047" s="8">
        <v>742.87</v>
      </c>
      <c r="P1047" s="8">
        <v>825.41</v>
      </c>
      <c r="Q1047" s="8" t="s">
        <v>2632</v>
      </c>
      <c r="S1047" s="8" t="s">
        <v>1523</v>
      </c>
      <c r="T1047" s="8">
        <v>75.25</v>
      </c>
    </row>
    <row r="1048" spans="1:20" x14ac:dyDescent="0.2">
      <c r="A1048" s="8" t="s">
        <v>3235</v>
      </c>
      <c r="B1048" s="8" t="str">
        <f t="shared" si="32"/>
        <v>1586244173</v>
      </c>
      <c r="C1048" s="8" t="str">
        <f t="shared" si="33"/>
        <v>1083</v>
      </c>
      <c r="D1048" s="8" t="s">
        <v>119</v>
      </c>
      <c r="F1048" s="8" t="s">
        <v>284</v>
      </c>
      <c r="G1048" s="8" t="s">
        <v>285</v>
      </c>
      <c r="H1048" s="8" t="s">
        <v>286</v>
      </c>
      <c r="I1048" s="8" t="s">
        <v>181</v>
      </c>
      <c r="J1048" s="8" t="s">
        <v>287</v>
      </c>
      <c r="K1048" s="8" t="s">
        <v>154</v>
      </c>
      <c r="L1048" s="8" t="s">
        <v>288</v>
      </c>
      <c r="M1048" s="8" t="s">
        <v>2783</v>
      </c>
      <c r="N1048" s="8" t="s">
        <v>285</v>
      </c>
      <c r="O1048" s="8">
        <v>827.7</v>
      </c>
      <c r="P1048" s="8">
        <v>919.67</v>
      </c>
      <c r="Q1048" s="8" t="s">
        <v>2633</v>
      </c>
      <c r="R1048" s="8" t="s">
        <v>2138</v>
      </c>
    </row>
    <row r="1049" spans="1:20" x14ac:dyDescent="0.2">
      <c r="A1049" s="8" t="s">
        <v>2993</v>
      </c>
      <c r="B1049" s="8" t="str">
        <f t="shared" si="32"/>
        <v>1586244173</v>
      </c>
      <c r="C1049" s="8" t="str">
        <f t="shared" si="33"/>
        <v>1084</v>
      </c>
      <c r="D1049" s="8" t="s">
        <v>119</v>
      </c>
      <c r="F1049" s="8" t="s">
        <v>284</v>
      </c>
      <c r="G1049" s="8" t="s">
        <v>285</v>
      </c>
      <c r="H1049" s="8" t="s">
        <v>286</v>
      </c>
      <c r="I1049" s="8" t="s">
        <v>181</v>
      </c>
      <c r="J1049" s="8" t="s">
        <v>287</v>
      </c>
      <c r="K1049" s="8" t="s">
        <v>154</v>
      </c>
      <c r="L1049" s="8" t="s">
        <v>288</v>
      </c>
      <c r="M1049" s="8" t="s">
        <v>2783</v>
      </c>
      <c r="N1049" s="8" t="s">
        <v>285</v>
      </c>
      <c r="O1049" s="8">
        <v>827.7</v>
      </c>
      <c r="P1049" s="8">
        <v>919.67</v>
      </c>
      <c r="Q1049" s="8" t="s">
        <v>2633</v>
      </c>
      <c r="R1049" s="8" t="s">
        <v>1687</v>
      </c>
    </row>
    <row r="1050" spans="1:20" x14ac:dyDescent="0.2">
      <c r="A1050" s="8" t="s">
        <v>3801</v>
      </c>
      <c r="B1050" s="8" t="str">
        <f t="shared" si="32"/>
        <v>1586244173</v>
      </c>
      <c r="C1050" s="8" t="str">
        <f t="shared" si="33"/>
        <v>1085</v>
      </c>
      <c r="D1050" s="8" t="s">
        <v>119</v>
      </c>
      <c r="F1050" s="8" t="s">
        <v>284</v>
      </c>
      <c r="G1050" s="8" t="s">
        <v>285</v>
      </c>
      <c r="H1050" s="8" t="s">
        <v>286</v>
      </c>
      <c r="I1050" s="8" t="s">
        <v>181</v>
      </c>
      <c r="J1050" s="8" t="s">
        <v>287</v>
      </c>
      <c r="K1050" s="8" t="s">
        <v>154</v>
      </c>
      <c r="L1050" s="8" t="s">
        <v>288</v>
      </c>
      <c r="M1050" s="8" t="s">
        <v>2783</v>
      </c>
      <c r="N1050" s="8" t="s">
        <v>285</v>
      </c>
      <c r="O1050" s="8">
        <v>827.7</v>
      </c>
      <c r="P1050" s="8">
        <v>919.67</v>
      </c>
      <c r="Q1050" s="8" t="s">
        <v>2633</v>
      </c>
      <c r="R1050" s="8" t="s">
        <v>2459</v>
      </c>
    </row>
    <row r="1051" spans="1:20" x14ac:dyDescent="0.2">
      <c r="A1051" s="8" t="s">
        <v>3017</v>
      </c>
      <c r="B1051" s="8" t="str">
        <f t="shared" si="32"/>
        <v>1586244173</v>
      </c>
      <c r="C1051" s="8" t="str">
        <f t="shared" si="33"/>
        <v>1086</v>
      </c>
      <c r="D1051" s="8" t="s">
        <v>119</v>
      </c>
      <c r="F1051" s="8" t="s">
        <v>284</v>
      </c>
      <c r="G1051" s="8" t="s">
        <v>285</v>
      </c>
      <c r="H1051" s="8" t="s">
        <v>286</v>
      </c>
      <c r="I1051" s="8" t="s">
        <v>181</v>
      </c>
      <c r="J1051" s="8" t="s">
        <v>287</v>
      </c>
      <c r="K1051" s="8" t="s">
        <v>154</v>
      </c>
      <c r="L1051" s="8" t="s">
        <v>288</v>
      </c>
      <c r="M1051" s="8" t="s">
        <v>2783</v>
      </c>
      <c r="N1051" s="8" t="s">
        <v>285</v>
      </c>
      <c r="O1051" s="8">
        <v>827.7</v>
      </c>
      <c r="P1051" s="8">
        <v>919.67</v>
      </c>
      <c r="Q1051" s="8" t="s">
        <v>2633</v>
      </c>
      <c r="S1051" s="8" t="s">
        <v>142</v>
      </c>
      <c r="T1051" s="8">
        <v>93.69</v>
      </c>
    </row>
    <row r="1052" spans="1:20" x14ac:dyDescent="0.2">
      <c r="A1052" s="8" t="s">
        <v>4784</v>
      </c>
      <c r="B1052" s="8" t="str">
        <f t="shared" si="32"/>
        <v>1586244173</v>
      </c>
      <c r="C1052" s="8" t="str">
        <f t="shared" si="33"/>
        <v>1087</v>
      </c>
      <c r="D1052" s="8" t="s">
        <v>119</v>
      </c>
      <c r="F1052" s="8" t="s">
        <v>284</v>
      </c>
      <c r="G1052" s="8" t="s">
        <v>285</v>
      </c>
      <c r="H1052" s="8" t="s">
        <v>286</v>
      </c>
      <c r="I1052" s="8" t="s">
        <v>181</v>
      </c>
      <c r="J1052" s="8" t="s">
        <v>287</v>
      </c>
      <c r="K1052" s="8" t="s">
        <v>154</v>
      </c>
      <c r="L1052" s="8" t="s">
        <v>288</v>
      </c>
      <c r="M1052" s="8" t="s">
        <v>2783</v>
      </c>
      <c r="N1052" s="8" t="s">
        <v>285</v>
      </c>
      <c r="O1052" s="8">
        <v>827.7</v>
      </c>
      <c r="P1052" s="8">
        <v>919.67</v>
      </c>
      <c r="Q1052" s="8" t="s">
        <v>2633</v>
      </c>
      <c r="S1052" s="8" t="s">
        <v>184</v>
      </c>
      <c r="T1052" s="8">
        <v>246.39</v>
      </c>
    </row>
    <row r="1053" spans="1:20" x14ac:dyDescent="0.2">
      <c r="A1053" s="8" t="s">
        <v>4084</v>
      </c>
      <c r="B1053" s="8" t="str">
        <f t="shared" si="32"/>
        <v>1586244173</v>
      </c>
      <c r="C1053" s="8" t="str">
        <f t="shared" si="33"/>
        <v>1088</v>
      </c>
      <c r="D1053" s="8" t="s">
        <v>119</v>
      </c>
      <c r="F1053" s="8" t="s">
        <v>284</v>
      </c>
      <c r="G1053" s="8" t="s">
        <v>285</v>
      </c>
      <c r="H1053" s="8" t="s">
        <v>286</v>
      </c>
      <c r="I1053" s="8" t="s">
        <v>181</v>
      </c>
      <c r="J1053" s="8" t="s">
        <v>287</v>
      </c>
      <c r="K1053" s="8" t="s">
        <v>154</v>
      </c>
      <c r="L1053" s="8" t="s">
        <v>288</v>
      </c>
      <c r="M1053" s="8" t="s">
        <v>2783</v>
      </c>
      <c r="N1053" s="8" t="s">
        <v>285</v>
      </c>
      <c r="O1053" s="8">
        <v>827.7</v>
      </c>
      <c r="P1053" s="8">
        <v>919.67</v>
      </c>
      <c r="Q1053" s="8" t="s">
        <v>2633</v>
      </c>
      <c r="S1053" s="8" t="s">
        <v>2055</v>
      </c>
      <c r="T1053" s="8">
        <v>469.92</v>
      </c>
    </row>
    <row r="1054" spans="1:20" x14ac:dyDescent="0.2">
      <c r="A1054" s="8" t="s">
        <v>4727</v>
      </c>
      <c r="B1054" s="8" t="str">
        <f t="shared" si="32"/>
        <v>1586244173</v>
      </c>
      <c r="C1054" s="8" t="str">
        <f t="shared" si="33"/>
        <v>1089</v>
      </c>
      <c r="D1054" s="8" t="s">
        <v>119</v>
      </c>
      <c r="F1054" s="8" t="s">
        <v>284</v>
      </c>
      <c r="G1054" s="8" t="s">
        <v>285</v>
      </c>
      <c r="H1054" s="8" t="s">
        <v>286</v>
      </c>
      <c r="I1054" s="8" t="s">
        <v>181</v>
      </c>
      <c r="J1054" s="8" t="s">
        <v>287</v>
      </c>
      <c r="K1054" s="8" t="s">
        <v>154</v>
      </c>
      <c r="L1054" s="8" t="s">
        <v>288</v>
      </c>
      <c r="M1054" s="8" t="s">
        <v>2783</v>
      </c>
      <c r="N1054" s="8" t="s">
        <v>285</v>
      </c>
      <c r="O1054" s="8">
        <v>827.7</v>
      </c>
      <c r="P1054" s="8">
        <v>919.67</v>
      </c>
      <c r="Q1054" s="8" t="s">
        <v>2633</v>
      </c>
      <c r="S1054" s="8" t="s">
        <v>2401</v>
      </c>
      <c r="T1054" s="8">
        <v>159.34</v>
      </c>
    </row>
    <row r="1055" spans="1:20" x14ac:dyDescent="0.2">
      <c r="A1055" s="8" t="s">
        <v>3331</v>
      </c>
      <c r="B1055" s="8" t="str">
        <f t="shared" si="32"/>
        <v>1586244173</v>
      </c>
      <c r="C1055" s="8" t="str">
        <f t="shared" si="33"/>
        <v>1090</v>
      </c>
      <c r="D1055" s="8" t="s">
        <v>119</v>
      </c>
      <c r="F1055" s="8" t="s">
        <v>284</v>
      </c>
      <c r="G1055" s="8" t="s">
        <v>285</v>
      </c>
      <c r="H1055" s="8" t="s">
        <v>286</v>
      </c>
      <c r="I1055" s="8" t="s">
        <v>181</v>
      </c>
      <c r="J1055" s="8" t="s">
        <v>287</v>
      </c>
      <c r="K1055" s="8" t="s">
        <v>154</v>
      </c>
      <c r="L1055" s="8" t="s">
        <v>288</v>
      </c>
      <c r="M1055" s="8" t="s">
        <v>2783</v>
      </c>
      <c r="N1055" s="8" t="s">
        <v>285</v>
      </c>
      <c r="O1055" s="8">
        <v>827.7</v>
      </c>
      <c r="P1055" s="8">
        <v>919.67</v>
      </c>
      <c r="Q1055" s="8" t="s">
        <v>2633</v>
      </c>
      <c r="S1055" s="8" t="s">
        <v>2447</v>
      </c>
      <c r="T1055" s="8">
        <v>253.77</v>
      </c>
    </row>
    <row r="1056" spans="1:20" x14ac:dyDescent="0.2">
      <c r="A1056" s="8" t="s">
        <v>4475</v>
      </c>
      <c r="B1056" s="8" t="str">
        <f t="shared" si="32"/>
        <v>1586244173</v>
      </c>
      <c r="C1056" s="8" t="str">
        <f t="shared" si="33"/>
        <v>1091</v>
      </c>
      <c r="D1056" s="8" t="s">
        <v>119</v>
      </c>
      <c r="F1056" s="8" t="s">
        <v>284</v>
      </c>
      <c r="G1056" s="8" t="s">
        <v>285</v>
      </c>
      <c r="H1056" s="8" t="s">
        <v>286</v>
      </c>
      <c r="I1056" s="8" t="s">
        <v>181</v>
      </c>
      <c r="J1056" s="8" t="s">
        <v>287</v>
      </c>
      <c r="K1056" s="8" t="s">
        <v>154</v>
      </c>
      <c r="L1056" s="8" t="s">
        <v>288</v>
      </c>
      <c r="M1056" s="8" t="s">
        <v>2783</v>
      </c>
      <c r="N1056" s="8" t="s">
        <v>285</v>
      </c>
      <c r="O1056" s="8">
        <v>827.7</v>
      </c>
      <c r="P1056" s="8">
        <v>919.67</v>
      </c>
      <c r="Q1056" s="8" t="s">
        <v>2633</v>
      </c>
      <c r="S1056" s="8" t="s">
        <v>1682</v>
      </c>
      <c r="T1056" s="8">
        <v>564.34</v>
      </c>
    </row>
    <row r="1057" spans="1:20" x14ac:dyDescent="0.2">
      <c r="A1057" s="8" t="s">
        <v>4659</v>
      </c>
      <c r="B1057" s="8" t="str">
        <f t="shared" si="32"/>
        <v>1586244173</v>
      </c>
      <c r="C1057" s="8" t="str">
        <f t="shared" si="33"/>
        <v>1092</v>
      </c>
      <c r="D1057" s="8" t="s">
        <v>119</v>
      </c>
      <c r="F1057" s="8" t="s">
        <v>284</v>
      </c>
      <c r="G1057" s="8" t="s">
        <v>285</v>
      </c>
      <c r="H1057" s="8" t="s">
        <v>286</v>
      </c>
      <c r="I1057" s="8" t="s">
        <v>181</v>
      </c>
      <c r="J1057" s="8" t="s">
        <v>287</v>
      </c>
      <c r="K1057" s="8" t="s">
        <v>154</v>
      </c>
      <c r="L1057" s="8" t="s">
        <v>288</v>
      </c>
      <c r="M1057" s="8" t="s">
        <v>2783</v>
      </c>
      <c r="N1057" s="8" t="s">
        <v>285</v>
      </c>
      <c r="O1057" s="8">
        <v>827.7</v>
      </c>
      <c r="P1057" s="8">
        <v>919.67</v>
      </c>
      <c r="Q1057" s="8" t="s">
        <v>2633</v>
      </c>
      <c r="S1057" s="8" t="s">
        <v>1523</v>
      </c>
      <c r="T1057" s="8">
        <v>75.25</v>
      </c>
    </row>
    <row r="1058" spans="1:20" x14ac:dyDescent="0.2">
      <c r="A1058" s="8" t="s">
        <v>3082</v>
      </c>
      <c r="B1058" s="8" t="str">
        <f t="shared" si="32"/>
        <v>1586244177</v>
      </c>
      <c r="C1058" s="8" t="str">
        <f t="shared" si="33"/>
        <v>1093</v>
      </c>
      <c r="D1058" s="8" t="s">
        <v>119</v>
      </c>
      <c r="F1058" s="8" t="s">
        <v>284</v>
      </c>
      <c r="G1058" s="8" t="s">
        <v>1939</v>
      </c>
      <c r="H1058" s="8" t="s">
        <v>1940</v>
      </c>
      <c r="I1058" s="8" t="s">
        <v>1101</v>
      </c>
      <c r="J1058" s="8" t="s">
        <v>1941</v>
      </c>
      <c r="K1058" s="8" t="s">
        <v>176</v>
      </c>
      <c r="L1058" s="8" t="s">
        <v>1942</v>
      </c>
      <c r="M1058" s="8" t="s">
        <v>2783</v>
      </c>
      <c r="N1058" s="8" t="s">
        <v>1939</v>
      </c>
      <c r="O1058" s="8">
        <v>705.25</v>
      </c>
      <c r="P1058" s="8">
        <v>783.61</v>
      </c>
      <c r="Q1058" s="8" t="s">
        <v>2634</v>
      </c>
      <c r="R1058" s="8" t="s">
        <v>1943</v>
      </c>
    </row>
    <row r="1059" spans="1:20" x14ac:dyDescent="0.2">
      <c r="A1059" s="8" t="s">
        <v>3422</v>
      </c>
      <c r="B1059" s="8" t="str">
        <f t="shared" si="32"/>
        <v>1586244177</v>
      </c>
      <c r="C1059" s="8" t="str">
        <f t="shared" si="33"/>
        <v>1094</v>
      </c>
      <c r="D1059" s="8" t="s">
        <v>119</v>
      </c>
      <c r="F1059" s="8" t="s">
        <v>284</v>
      </c>
      <c r="G1059" s="8" t="s">
        <v>1939</v>
      </c>
      <c r="H1059" s="8" t="s">
        <v>1940</v>
      </c>
      <c r="I1059" s="8" t="s">
        <v>1101</v>
      </c>
      <c r="J1059" s="8" t="s">
        <v>1941</v>
      </c>
      <c r="K1059" s="8" t="s">
        <v>176</v>
      </c>
      <c r="L1059" s="8" t="s">
        <v>1942</v>
      </c>
      <c r="M1059" s="8" t="s">
        <v>2783</v>
      </c>
      <c r="N1059" s="8" t="s">
        <v>1939</v>
      </c>
      <c r="O1059" s="8">
        <v>705.25</v>
      </c>
      <c r="P1059" s="8">
        <v>783.61</v>
      </c>
      <c r="Q1059" s="8" t="s">
        <v>2634</v>
      </c>
      <c r="S1059" s="8" t="s">
        <v>542</v>
      </c>
      <c r="T1059" s="8">
        <v>118.03</v>
      </c>
    </row>
    <row r="1060" spans="1:20" x14ac:dyDescent="0.2">
      <c r="A1060" s="8" t="s">
        <v>4158</v>
      </c>
      <c r="B1060" s="8" t="str">
        <f t="shared" si="32"/>
        <v>1586244181</v>
      </c>
      <c r="C1060" s="8" t="str">
        <f t="shared" si="33"/>
        <v>1095</v>
      </c>
      <c r="D1060" s="8" t="s">
        <v>119</v>
      </c>
      <c r="F1060" s="8" t="s">
        <v>284</v>
      </c>
      <c r="G1060" s="8" t="s">
        <v>1099</v>
      </c>
      <c r="H1060" s="8" t="s">
        <v>1100</v>
      </c>
      <c r="I1060" s="8" t="s">
        <v>1101</v>
      </c>
      <c r="J1060" s="8" t="s">
        <v>1102</v>
      </c>
      <c r="K1060" s="8" t="s">
        <v>176</v>
      </c>
      <c r="L1060" s="8" t="s">
        <v>1103</v>
      </c>
      <c r="M1060" s="8" t="s">
        <v>2783</v>
      </c>
      <c r="N1060" s="8" t="s">
        <v>1099</v>
      </c>
      <c r="O1060" s="8">
        <v>694.18</v>
      </c>
      <c r="P1060" s="8">
        <v>771.31</v>
      </c>
      <c r="Q1060" s="8" t="s">
        <v>2635</v>
      </c>
      <c r="R1060" s="8" t="s">
        <v>2312</v>
      </c>
    </row>
    <row r="1061" spans="1:20" x14ac:dyDescent="0.2">
      <c r="A1061" s="8" t="s">
        <v>4010</v>
      </c>
      <c r="B1061" s="8" t="str">
        <f t="shared" si="32"/>
        <v>1586244181</v>
      </c>
      <c r="C1061" s="8" t="str">
        <f t="shared" si="33"/>
        <v>1096</v>
      </c>
      <c r="D1061" s="8" t="s">
        <v>119</v>
      </c>
      <c r="F1061" s="8" t="s">
        <v>284</v>
      </c>
      <c r="G1061" s="8" t="s">
        <v>1099</v>
      </c>
      <c r="H1061" s="8" t="s">
        <v>1100</v>
      </c>
      <c r="I1061" s="8" t="s">
        <v>1101</v>
      </c>
      <c r="J1061" s="8" t="s">
        <v>1102</v>
      </c>
      <c r="K1061" s="8" t="s">
        <v>176</v>
      </c>
      <c r="L1061" s="8" t="s">
        <v>1103</v>
      </c>
      <c r="M1061" s="8" t="s">
        <v>2783</v>
      </c>
      <c r="N1061" s="8" t="s">
        <v>1099</v>
      </c>
      <c r="O1061" s="8">
        <v>694.18</v>
      </c>
      <c r="P1061" s="8">
        <v>771.31</v>
      </c>
      <c r="Q1061" s="8" t="s">
        <v>2635</v>
      </c>
      <c r="R1061" s="8" t="s">
        <v>1104</v>
      </c>
    </row>
    <row r="1062" spans="1:20" x14ac:dyDescent="0.2">
      <c r="A1062" s="8" t="s">
        <v>4319</v>
      </c>
      <c r="B1062" s="8" t="str">
        <f t="shared" si="32"/>
        <v>1586244181</v>
      </c>
      <c r="C1062" s="8" t="str">
        <f t="shared" si="33"/>
        <v>1097</v>
      </c>
      <c r="D1062" s="8" t="s">
        <v>119</v>
      </c>
      <c r="F1062" s="8" t="s">
        <v>284</v>
      </c>
      <c r="G1062" s="8" t="s">
        <v>1099</v>
      </c>
      <c r="H1062" s="8" t="s">
        <v>1100</v>
      </c>
      <c r="I1062" s="8" t="s">
        <v>1101</v>
      </c>
      <c r="J1062" s="8" t="s">
        <v>1102</v>
      </c>
      <c r="K1062" s="8" t="s">
        <v>176</v>
      </c>
      <c r="L1062" s="8" t="s">
        <v>1103</v>
      </c>
      <c r="M1062" s="8" t="s">
        <v>2783</v>
      </c>
      <c r="N1062" s="8" t="s">
        <v>1099</v>
      </c>
      <c r="O1062" s="8">
        <v>694.18</v>
      </c>
      <c r="P1062" s="8">
        <v>771.31</v>
      </c>
      <c r="Q1062" s="8" t="s">
        <v>2635</v>
      </c>
      <c r="R1062" s="8" t="s">
        <v>1583</v>
      </c>
    </row>
    <row r="1063" spans="1:20" x14ac:dyDescent="0.2">
      <c r="A1063" s="8" t="s">
        <v>3953</v>
      </c>
      <c r="B1063" s="8" t="str">
        <f t="shared" si="32"/>
        <v>1586244185</v>
      </c>
      <c r="C1063" s="8" t="str">
        <f t="shared" si="33"/>
        <v>1098</v>
      </c>
      <c r="D1063" s="8" t="s">
        <v>119</v>
      </c>
      <c r="F1063" s="8" t="s">
        <v>284</v>
      </c>
      <c r="G1063" s="8" t="s">
        <v>1111</v>
      </c>
      <c r="H1063" s="8" t="s">
        <v>1112</v>
      </c>
      <c r="I1063" s="8" t="s">
        <v>871</v>
      </c>
      <c r="J1063" s="8" t="s">
        <v>1113</v>
      </c>
      <c r="K1063" s="8" t="s">
        <v>176</v>
      </c>
      <c r="L1063" s="8" t="s">
        <v>1114</v>
      </c>
      <c r="M1063" s="8" t="s">
        <v>2783</v>
      </c>
      <c r="N1063" s="8" t="s">
        <v>1111</v>
      </c>
      <c r="O1063" s="8">
        <v>686.8</v>
      </c>
      <c r="P1063" s="8">
        <v>763.11</v>
      </c>
      <c r="Q1063" s="8" t="s">
        <v>2636</v>
      </c>
      <c r="R1063" s="8" t="s">
        <v>1547</v>
      </c>
    </row>
    <row r="1064" spans="1:20" x14ac:dyDescent="0.2">
      <c r="A1064" s="8" t="s">
        <v>3994</v>
      </c>
      <c r="B1064" s="8" t="str">
        <f t="shared" si="32"/>
        <v>1586244185</v>
      </c>
      <c r="C1064" s="8" t="str">
        <f t="shared" si="33"/>
        <v>1099</v>
      </c>
      <c r="D1064" s="8" t="s">
        <v>119</v>
      </c>
      <c r="F1064" s="8" t="s">
        <v>284</v>
      </c>
      <c r="G1064" s="8" t="s">
        <v>1111</v>
      </c>
      <c r="H1064" s="8" t="s">
        <v>1112</v>
      </c>
      <c r="I1064" s="8" t="s">
        <v>871</v>
      </c>
      <c r="J1064" s="8" t="s">
        <v>1113</v>
      </c>
      <c r="K1064" s="8" t="s">
        <v>176</v>
      </c>
      <c r="L1064" s="8" t="s">
        <v>1114</v>
      </c>
      <c r="M1064" s="8" t="s">
        <v>2783</v>
      </c>
      <c r="N1064" s="8" t="s">
        <v>1111</v>
      </c>
      <c r="O1064" s="8">
        <v>686.8</v>
      </c>
      <c r="P1064" s="8">
        <v>763.11</v>
      </c>
      <c r="Q1064" s="8" t="s">
        <v>2636</v>
      </c>
      <c r="R1064" s="8" t="s">
        <v>2216</v>
      </c>
    </row>
    <row r="1065" spans="1:20" x14ac:dyDescent="0.2">
      <c r="A1065" s="8" t="s">
        <v>3530</v>
      </c>
      <c r="B1065" s="8" t="str">
        <f t="shared" si="32"/>
        <v>1586244185</v>
      </c>
      <c r="C1065" s="8" t="str">
        <f t="shared" si="33"/>
        <v>1100</v>
      </c>
      <c r="D1065" s="8" t="s">
        <v>119</v>
      </c>
      <c r="F1065" s="8" t="s">
        <v>284</v>
      </c>
      <c r="G1065" s="8" t="s">
        <v>1111</v>
      </c>
      <c r="H1065" s="8" t="s">
        <v>1112</v>
      </c>
      <c r="I1065" s="8" t="s">
        <v>871</v>
      </c>
      <c r="J1065" s="8" t="s">
        <v>1113</v>
      </c>
      <c r="K1065" s="8" t="s">
        <v>176</v>
      </c>
      <c r="L1065" s="8" t="s">
        <v>1114</v>
      </c>
      <c r="M1065" s="8" t="s">
        <v>2783</v>
      </c>
      <c r="N1065" s="8" t="s">
        <v>1111</v>
      </c>
      <c r="O1065" s="8">
        <v>686.8</v>
      </c>
      <c r="P1065" s="8">
        <v>763.11</v>
      </c>
      <c r="Q1065" s="8" t="s">
        <v>2636</v>
      </c>
      <c r="R1065" s="8" t="s">
        <v>1546</v>
      </c>
    </row>
    <row r="1066" spans="1:20" x14ac:dyDescent="0.2">
      <c r="A1066" s="8" t="s">
        <v>4195</v>
      </c>
      <c r="B1066" s="8" t="str">
        <f t="shared" si="32"/>
        <v>1586244185</v>
      </c>
      <c r="C1066" s="8" t="str">
        <f t="shared" si="33"/>
        <v>1101</v>
      </c>
      <c r="D1066" s="8" t="s">
        <v>119</v>
      </c>
      <c r="F1066" s="8" t="s">
        <v>284</v>
      </c>
      <c r="G1066" s="8" t="s">
        <v>1111</v>
      </c>
      <c r="H1066" s="8" t="s">
        <v>1112</v>
      </c>
      <c r="I1066" s="8" t="s">
        <v>871</v>
      </c>
      <c r="J1066" s="8" t="s">
        <v>1113</v>
      </c>
      <c r="K1066" s="8" t="s">
        <v>176</v>
      </c>
      <c r="L1066" s="8" t="s">
        <v>1114</v>
      </c>
      <c r="M1066" s="8" t="s">
        <v>2783</v>
      </c>
      <c r="N1066" s="8" t="s">
        <v>1111</v>
      </c>
      <c r="O1066" s="8">
        <v>686.8</v>
      </c>
      <c r="P1066" s="8">
        <v>763.11</v>
      </c>
      <c r="Q1066" s="8" t="s">
        <v>2636</v>
      </c>
      <c r="S1066" s="8" t="s">
        <v>542</v>
      </c>
      <c r="T1066" s="8">
        <v>117.3</v>
      </c>
    </row>
    <row r="1067" spans="1:20" x14ac:dyDescent="0.2">
      <c r="A1067" s="8" t="s">
        <v>4371</v>
      </c>
      <c r="B1067" s="8" t="str">
        <f t="shared" si="32"/>
        <v>1586244189</v>
      </c>
      <c r="C1067" s="8" t="str">
        <f t="shared" si="33"/>
        <v>1102</v>
      </c>
      <c r="D1067" s="8" t="s">
        <v>119</v>
      </c>
      <c r="F1067" s="8" t="s">
        <v>284</v>
      </c>
      <c r="G1067" s="8" t="s">
        <v>869</v>
      </c>
      <c r="H1067" s="8" t="s">
        <v>870</v>
      </c>
      <c r="I1067" s="8" t="s">
        <v>871</v>
      </c>
      <c r="J1067" s="8" t="s">
        <v>872</v>
      </c>
      <c r="K1067" s="8" t="s">
        <v>176</v>
      </c>
      <c r="L1067" s="8" t="s">
        <v>873</v>
      </c>
      <c r="M1067" s="8" t="s">
        <v>2783</v>
      </c>
      <c r="N1067" s="8" t="s">
        <v>869</v>
      </c>
      <c r="O1067" s="8">
        <v>292.87</v>
      </c>
      <c r="P1067" s="8">
        <v>325.41000000000003</v>
      </c>
      <c r="Q1067" s="8" t="s">
        <v>2637</v>
      </c>
      <c r="R1067" s="8" t="s">
        <v>874</v>
      </c>
    </row>
    <row r="1068" spans="1:20" x14ac:dyDescent="0.2">
      <c r="A1068" s="8" t="s">
        <v>3534</v>
      </c>
      <c r="B1068" s="8" t="str">
        <f t="shared" si="32"/>
        <v>1586244189</v>
      </c>
      <c r="C1068" s="8" t="str">
        <f t="shared" si="33"/>
        <v>1103</v>
      </c>
      <c r="D1068" s="8" t="s">
        <v>119</v>
      </c>
      <c r="F1068" s="8" t="s">
        <v>284</v>
      </c>
      <c r="G1068" s="8" t="s">
        <v>869</v>
      </c>
      <c r="H1068" s="8" t="s">
        <v>870</v>
      </c>
      <c r="I1068" s="8" t="s">
        <v>871</v>
      </c>
      <c r="J1068" s="8" t="s">
        <v>872</v>
      </c>
      <c r="K1068" s="8" t="s">
        <v>176</v>
      </c>
      <c r="L1068" s="8" t="s">
        <v>873</v>
      </c>
      <c r="M1068" s="8" t="s">
        <v>2783</v>
      </c>
      <c r="N1068" s="8" t="s">
        <v>869</v>
      </c>
      <c r="O1068" s="8">
        <v>292.87</v>
      </c>
      <c r="P1068" s="8">
        <v>325.41000000000003</v>
      </c>
      <c r="Q1068" s="8" t="s">
        <v>2637</v>
      </c>
      <c r="R1068" s="8" t="s">
        <v>1668</v>
      </c>
    </row>
    <row r="1069" spans="1:20" x14ac:dyDescent="0.2">
      <c r="A1069" s="8" t="s">
        <v>4254</v>
      </c>
      <c r="B1069" s="8" t="str">
        <f t="shared" si="32"/>
        <v>1586244189</v>
      </c>
      <c r="C1069" s="8" t="str">
        <f t="shared" si="33"/>
        <v>1104</v>
      </c>
      <c r="D1069" s="8" t="s">
        <v>119</v>
      </c>
      <c r="F1069" s="8" t="s">
        <v>284</v>
      </c>
      <c r="G1069" s="8" t="s">
        <v>869</v>
      </c>
      <c r="H1069" s="8" t="s">
        <v>870</v>
      </c>
      <c r="I1069" s="8" t="s">
        <v>871</v>
      </c>
      <c r="J1069" s="8" t="s">
        <v>872</v>
      </c>
      <c r="K1069" s="8" t="s">
        <v>176</v>
      </c>
      <c r="L1069" s="8" t="s">
        <v>873</v>
      </c>
      <c r="M1069" s="8" t="s">
        <v>2783</v>
      </c>
      <c r="N1069" s="8" t="s">
        <v>869</v>
      </c>
      <c r="O1069" s="8">
        <v>292.87</v>
      </c>
      <c r="P1069" s="8">
        <v>325.41000000000003</v>
      </c>
      <c r="Q1069" s="8" t="s">
        <v>2637</v>
      </c>
      <c r="R1069" s="8" t="s">
        <v>1382</v>
      </c>
    </row>
    <row r="1070" spans="1:20" x14ac:dyDescent="0.2">
      <c r="A1070" s="8" t="s">
        <v>3003</v>
      </c>
      <c r="B1070" s="8" t="str">
        <f t="shared" si="32"/>
        <v>1586244195</v>
      </c>
      <c r="C1070" s="8" t="str">
        <f t="shared" si="33"/>
        <v>1105</v>
      </c>
      <c r="D1070" s="8" t="s">
        <v>119</v>
      </c>
      <c r="F1070" s="8" t="s">
        <v>185</v>
      </c>
      <c r="G1070" s="8" t="s">
        <v>186</v>
      </c>
      <c r="H1070" s="8" t="s">
        <v>187</v>
      </c>
      <c r="I1070" s="8" t="s">
        <v>181</v>
      </c>
      <c r="J1070" s="8" t="s">
        <v>1526</v>
      </c>
      <c r="K1070" s="8" t="s">
        <v>190</v>
      </c>
      <c r="L1070" s="8" t="s">
        <v>1527</v>
      </c>
      <c r="M1070" s="8" t="s">
        <v>2814</v>
      </c>
      <c r="N1070" s="8" t="s">
        <v>186</v>
      </c>
      <c r="O1070" s="8">
        <v>719.26</v>
      </c>
      <c r="P1070" s="8">
        <v>799.18</v>
      </c>
      <c r="Q1070" s="8" t="s">
        <v>2638</v>
      </c>
      <c r="R1070" s="8" t="s">
        <v>1528</v>
      </c>
    </row>
    <row r="1071" spans="1:20" x14ac:dyDescent="0.2">
      <c r="A1071" s="8" t="s">
        <v>3631</v>
      </c>
      <c r="B1071" s="8" t="str">
        <f t="shared" si="32"/>
        <v>1586244195</v>
      </c>
      <c r="C1071" s="8" t="str">
        <f t="shared" si="33"/>
        <v>1106</v>
      </c>
      <c r="D1071" s="8" t="s">
        <v>119</v>
      </c>
      <c r="F1071" s="8" t="s">
        <v>185</v>
      </c>
      <c r="G1071" s="8" t="s">
        <v>186</v>
      </c>
      <c r="H1071" s="8" t="s">
        <v>187</v>
      </c>
      <c r="I1071" s="8" t="s">
        <v>181</v>
      </c>
      <c r="J1071" s="8" t="s">
        <v>1526</v>
      </c>
      <c r="K1071" s="8" t="s">
        <v>190</v>
      </c>
      <c r="L1071" s="8" t="s">
        <v>1527</v>
      </c>
      <c r="M1071" s="8" t="s">
        <v>2814</v>
      </c>
      <c r="N1071" s="8" t="s">
        <v>186</v>
      </c>
      <c r="O1071" s="8">
        <v>719.26</v>
      </c>
      <c r="P1071" s="8">
        <v>799.18</v>
      </c>
      <c r="Q1071" s="8" t="s">
        <v>2638</v>
      </c>
      <c r="R1071" s="8" t="s">
        <v>2432</v>
      </c>
    </row>
    <row r="1072" spans="1:20" x14ac:dyDescent="0.2">
      <c r="A1072" s="8" t="s">
        <v>3005</v>
      </c>
      <c r="B1072" s="8" t="str">
        <f t="shared" si="32"/>
        <v>1586244195</v>
      </c>
      <c r="C1072" s="8" t="str">
        <f t="shared" si="33"/>
        <v>1107</v>
      </c>
      <c r="D1072" s="8" t="s">
        <v>119</v>
      </c>
      <c r="F1072" s="8" t="s">
        <v>185</v>
      </c>
      <c r="G1072" s="8" t="s">
        <v>186</v>
      </c>
      <c r="H1072" s="8" t="s">
        <v>187</v>
      </c>
      <c r="I1072" s="8" t="s">
        <v>181</v>
      </c>
      <c r="J1072" s="8" t="s">
        <v>1526</v>
      </c>
      <c r="K1072" s="8" t="s">
        <v>190</v>
      </c>
      <c r="L1072" s="8" t="s">
        <v>1527</v>
      </c>
      <c r="M1072" s="8" t="s">
        <v>2814</v>
      </c>
      <c r="N1072" s="8" t="s">
        <v>186</v>
      </c>
      <c r="O1072" s="8">
        <v>719.26</v>
      </c>
      <c r="P1072" s="8">
        <v>799.18</v>
      </c>
      <c r="Q1072" s="8" t="s">
        <v>2638</v>
      </c>
      <c r="R1072" s="8" t="s">
        <v>1871</v>
      </c>
    </row>
    <row r="1073" spans="1:20" x14ac:dyDescent="0.2">
      <c r="A1073" s="8" t="s">
        <v>4527</v>
      </c>
      <c r="B1073" s="8" t="str">
        <f t="shared" si="32"/>
        <v>1586244195</v>
      </c>
      <c r="C1073" s="8" t="str">
        <f t="shared" si="33"/>
        <v>1108</v>
      </c>
      <c r="D1073" s="8" t="s">
        <v>119</v>
      </c>
      <c r="F1073" s="8" t="s">
        <v>185</v>
      </c>
      <c r="G1073" s="8" t="s">
        <v>186</v>
      </c>
      <c r="H1073" s="8" t="s">
        <v>187</v>
      </c>
      <c r="I1073" s="8" t="s">
        <v>181</v>
      </c>
      <c r="J1073" s="8" t="s">
        <v>1526</v>
      </c>
      <c r="K1073" s="8" t="s">
        <v>190</v>
      </c>
      <c r="L1073" s="8" t="s">
        <v>1527</v>
      </c>
      <c r="M1073" s="8" t="s">
        <v>2814</v>
      </c>
      <c r="N1073" s="8" t="s">
        <v>186</v>
      </c>
      <c r="O1073" s="8">
        <v>719.26</v>
      </c>
      <c r="P1073" s="8">
        <v>799.18</v>
      </c>
      <c r="Q1073" s="8" t="s">
        <v>2638</v>
      </c>
      <c r="R1073" s="8" t="s">
        <v>2015</v>
      </c>
    </row>
    <row r="1074" spans="1:20" x14ac:dyDescent="0.2">
      <c r="A1074" s="8" t="s">
        <v>2813</v>
      </c>
      <c r="B1074" s="8" t="str">
        <f t="shared" si="32"/>
        <v>1586244195</v>
      </c>
      <c r="C1074" s="8" t="str">
        <f t="shared" si="33"/>
        <v>1109</v>
      </c>
      <c r="D1074" s="8" t="s">
        <v>119</v>
      </c>
      <c r="F1074" s="8" t="s">
        <v>185</v>
      </c>
      <c r="G1074" s="8" t="s">
        <v>186</v>
      </c>
      <c r="H1074" s="8" t="s">
        <v>187</v>
      </c>
      <c r="I1074" s="8" t="s">
        <v>181</v>
      </c>
      <c r="J1074" s="8" t="s">
        <v>1526</v>
      </c>
      <c r="K1074" s="8" t="s">
        <v>190</v>
      </c>
      <c r="L1074" s="8" t="s">
        <v>1527</v>
      </c>
      <c r="M1074" s="8" t="s">
        <v>2814</v>
      </c>
      <c r="N1074" s="8" t="s">
        <v>186</v>
      </c>
      <c r="O1074" s="8">
        <v>719.26</v>
      </c>
      <c r="P1074" s="8">
        <v>799.18</v>
      </c>
      <c r="Q1074" s="8" t="s">
        <v>2638</v>
      </c>
      <c r="R1074" s="8" t="s">
        <v>1944</v>
      </c>
    </row>
    <row r="1075" spans="1:20" x14ac:dyDescent="0.2">
      <c r="A1075" s="8" t="s">
        <v>4561</v>
      </c>
      <c r="B1075" s="8" t="str">
        <f t="shared" si="32"/>
        <v>1586244195</v>
      </c>
      <c r="C1075" s="8" t="str">
        <f t="shared" si="33"/>
        <v>1110</v>
      </c>
      <c r="D1075" s="8" t="s">
        <v>119</v>
      </c>
      <c r="F1075" s="8" t="s">
        <v>185</v>
      </c>
      <c r="G1075" s="8" t="s">
        <v>186</v>
      </c>
      <c r="H1075" s="8" t="s">
        <v>187</v>
      </c>
      <c r="I1075" s="8" t="s">
        <v>181</v>
      </c>
      <c r="J1075" s="8" t="s">
        <v>1526</v>
      </c>
      <c r="K1075" s="8" t="s">
        <v>190</v>
      </c>
      <c r="L1075" s="8" t="s">
        <v>1527</v>
      </c>
      <c r="M1075" s="8" t="s">
        <v>2814</v>
      </c>
      <c r="N1075" s="8" t="s">
        <v>186</v>
      </c>
      <c r="O1075" s="8">
        <v>719.26</v>
      </c>
      <c r="P1075" s="8">
        <v>799.18</v>
      </c>
      <c r="Q1075" s="8" t="s">
        <v>2638</v>
      </c>
      <c r="S1075" s="8" t="s">
        <v>184</v>
      </c>
      <c r="T1075" s="8">
        <v>169.67</v>
      </c>
    </row>
    <row r="1076" spans="1:20" x14ac:dyDescent="0.2">
      <c r="A1076" s="8" t="s">
        <v>3171</v>
      </c>
      <c r="B1076" s="8" t="str">
        <f t="shared" si="32"/>
        <v>1586244195</v>
      </c>
      <c r="C1076" s="8" t="str">
        <f t="shared" si="33"/>
        <v>1111</v>
      </c>
      <c r="D1076" s="8" t="s">
        <v>119</v>
      </c>
      <c r="F1076" s="8" t="s">
        <v>185</v>
      </c>
      <c r="G1076" s="8" t="s">
        <v>186</v>
      </c>
      <c r="H1076" s="8" t="s">
        <v>187</v>
      </c>
      <c r="I1076" s="8" t="s">
        <v>181</v>
      </c>
      <c r="J1076" s="8" t="s">
        <v>1526</v>
      </c>
      <c r="K1076" s="8" t="s">
        <v>190</v>
      </c>
      <c r="L1076" s="8" t="s">
        <v>1527</v>
      </c>
      <c r="M1076" s="8" t="s">
        <v>2814</v>
      </c>
      <c r="N1076" s="8" t="s">
        <v>186</v>
      </c>
      <c r="O1076" s="8">
        <v>719.26</v>
      </c>
      <c r="P1076" s="8">
        <v>799.18</v>
      </c>
      <c r="Q1076" s="8" t="s">
        <v>2638</v>
      </c>
      <c r="S1076" s="8" t="s">
        <v>420</v>
      </c>
      <c r="T1076" s="8">
        <v>96.64</v>
      </c>
    </row>
    <row r="1077" spans="1:20" x14ac:dyDescent="0.2">
      <c r="A1077" s="8" t="s">
        <v>4366</v>
      </c>
      <c r="B1077" s="8" t="str">
        <f t="shared" si="32"/>
        <v>1586244198</v>
      </c>
      <c r="C1077" s="8" t="str">
        <f t="shared" si="33"/>
        <v>1112</v>
      </c>
      <c r="D1077" s="8" t="s">
        <v>119</v>
      </c>
      <c r="F1077" s="8" t="s">
        <v>185</v>
      </c>
      <c r="G1077" s="8" t="s">
        <v>186</v>
      </c>
      <c r="H1077" s="8" t="s">
        <v>187</v>
      </c>
      <c r="I1077" s="8" t="s">
        <v>188</v>
      </c>
      <c r="J1077" s="8" t="s">
        <v>189</v>
      </c>
      <c r="K1077" s="8" t="s">
        <v>190</v>
      </c>
      <c r="L1077" s="8" t="s">
        <v>191</v>
      </c>
      <c r="M1077" s="8" t="s">
        <v>2814</v>
      </c>
      <c r="N1077" s="8" t="s">
        <v>186</v>
      </c>
      <c r="O1077" s="8">
        <v>682.38</v>
      </c>
      <c r="P1077" s="8">
        <v>758.2</v>
      </c>
      <c r="Q1077" s="8" t="s">
        <v>2639</v>
      </c>
      <c r="R1077" s="8" t="s">
        <v>1628</v>
      </c>
    </row>
    <row r="1078" spans="1:20" x14ac:dyDescent="0.2">
      <c r="A1078" s="8" t="s">
        <v>3361</v>
      </c>
      <c r="B1078" s="8" t="str">
        <f t="shared" si="32"/>
        <v>1586244198</v>
      </c>
      <c r="C1078" s="8" t="str">
        <f t="shared" si="33"/>
        <v>1113</v>
      </c>
      <c r="D1078" s="8" t="s">
        <v>119</v>
      </c>
      <c r="F1078" s="8" t="s">
        <v>185</v>
      </c>
      <c r="G1078" s="8" t="s">
        <v>186</v>
      </c>
      <c r="H1078" s="8" t="s">
        <v>187</v>
      </c>
      <c r="I1078" s="8" t="s">
        <v>188</v>
      </c>
      <c r="J1078" s="8" t="s">
        <v>189</v>
      </c>
      <c r="K1078" s="8" t="s">
        <v>190</v>
      </c>
      <c r="L1078" s="8" t="s">
        <v>191</v>
      </c>
      <c r="M1078" s="8" t="s">
        <v>2814</v>
      </c>
      <c r="N1078" s="8" t="s">
        <v>186</v>
      </c>
      <c r="O1078" s="8">
        <v>682.38</v>
      </c>
      <c r="P1078" s="8">
        <v>758.2</v>
      </c>
      <c r="Q1078" s="8" t="s">
        <v>2639</v>
      </c>
      <c r="R1078" s="8" t="s">
        <v>1328</v>
      </c>
    </row>
    <row r="1079" spans="1:20" x14ac:dyDescent="0.2">
      <c r="A1079" s="8" t="s">
        <v>3315</v>
      </c>
      <c r="B1079" s="8" t="str">
        <f t="shared" si="32"/>
        <v>1586244198</v>
      </c>
      <c r="C1079" s="8" t="str">
        <f t="shared" si="33"/>
        <v>1114</v>
      </c>
      <c r="D1079" s="8" t="s">
        <v>119</v>
      </c>
      <c r="F1079" s="8" t="s">
        <v>185</v>
      </c>
      <c r="G1079" s="8" t="s">
        <v>186</v>
      </c>
      <c r="H1079" s="8" t="s">
        <v>187</v>
      </c>
      <c r="I1079" s="8" t="s">
        <v>188</v>
      </c>
      <c r="J1079" s="8" t="s">
        <v>189</v>
      </c>
      <c r="K1079" s="8" t="s">
        <v>190</v>
      </c>
      <c r="L1079" s="8" t="s">
        <v>191</v>
      </c>
      <c r="M1079" s="8" t="s">
        <v>2814</v>
      </c>
      <c r="N1079" s="8" t="s">
        <v>186</v>
      </c>
      <c r="O1079" s="8">
        <v>682.38</v>
      </c>
      <c r="P1079" s="8">
        <v>758.2</v>
      </c>
      <c r="Q1079" s="8" t="s">
        <v>2639</v>
      </c>
      <c r="R1079" s="8" t="s">
        <v>2020</v>
      </c>
    </row>
    <row r="1080" spans="1:20" x14ac:dyDescent="0.2">
      <c r="A1080" s="8" t="s">
        <v>2853</v>
      </c>
      <c r="B1080" s="8" t="str">
        <f t="shared" si="32"/>
        <v>1586244198</v>
      </c>
      <c r="C1080" s="8" t="str">
        <f t="shared" si="33"/>
        <v>1115</v>
      </c>
      <c r="D1080" s="8" t="s">
        <v>119</v>
      </c>
      <c r="F1080" s="8" t="s">
        <v>185</v>
      </c>
      <c r="G1080" s="8" t="s">
        <v>186</v>
      </c>
      <c r="H1080" s="8" t="s">
        <v>187</v>
      </c>
      <c r="I1080" s="8" t="s">
        <v>188</v>
      </c>
      <c r="J1080" s="8" t="s">
        <v>189</v>
      </c>
      <c r="K1080" s="8" t="s">
        <v>190</v>
      </c>
      <c r="L1080" s="8" t="s">
        <v>191</v>
      </c>
      <c r="M1080" s="8" t="s">
        <v>2814</v>
      </c>
      <c r="N1080" s="8" t="s">
        <v>186</v>
      </c>
      <c r="O1080" s="8">
        <v>682.38</v>
      </c>
      <c r="P1080" s="8">
        <v>758.2</v>
      </c>
      <c r="Q1080" s="8" t="s">
        <v>2639</v>
      </c>
      <c r="S1080" s="8" t="s">
        <v>184</v>
      </c>
      <c r="T1080" s="8">
        <v>169.67</v>
      </c>
    </row>
    <row r="1081" spans="1:20" x14ac:dyDescent="0.2">
      <c r="A1081" s="8" t="s">
        <v>2851</v>
      </c>
      <c r="B1081" s="8" t="str">
        <f t="shared" si="32"/>
        <v>1586244202</v>
      </c>
      <c r="C1081" s="8" t="str">
        <f t="shared" si="33"/>
        <v>1116</v>
      </c>
      <c r="D1081" s="8" t="s">
        <v>119</v>
      </c>
      <c r="F1081" s="8" t="s">
        <v>185</v>
      </c>
      <c r="G1081" s="8" t="s">
        <v>690</v>
      </c>
      <c r="H1081" s="8" t="s">
        <v>691</v>
      </c>
      <c r="I1081" s="8" t="s">
        <v>692</v>
      </c>
      <c r="J1081" s="8" t="s">
        <v>693</v>
      </c>
      <c r="K1081" s="8" t="s">
        <v>176</v>
      </c>
      <c r="L1081" s="8" t="s">
        <v>694</v>
      </c>
      <c r="M1081" s="8" t="s">
        <v>2814</v>
      </c>
      <c r="N1081" s="8" t="s">
        <v>690</v>
      </c>
      <c r="O1081" s="8">
        <v>956.07</v>
      </c>
      <c r="P1081" s="8">
        <v>1062.3</v>
      </c>
      <c r="Q1081" s="8" t="s">
        <v>2640</v>
      </c>
      <c r="R1081" s="8" t="s">
        <v>2461</v>
      </c>
    </row>
    <row r="1082" spans="1:20" x14ac:dyDescent="0.2">
      <c r="A1082" s="8" t="s">
        <v>3366</v>
      </c>
      <c r="B1082" s="8" t="str">
        <f t="shared" si="32"/>
        <v>1586244202</v>
      </c>
      <c r="C1082" s="8" t="str">
        <f t="shared" si="33"/>
        <v>1117</v>
      </c>
      <c r="D1082" s="8" t="s">
        <v>119</v>
      </c>
      <c r="F1082" s="8" t="s">
        <v>185</v>
      </c>
      <c r="G1082" s="8" t="s">
        <v>690</v>
      </c>
      <c r="H1082" s="8" t="s">
        <v>691</v>
      </c>
      <c r="I1082" s="8" t="s">
        <v>692</v>
      </c>
      <c r="J1082" s="8" t="s">
        <v>693</v>
      </c>
      <c r="K1082" s="8" t="s">
        <v>176</v>
      </c>
      <c r="L1082" s="8" t="s">
        <v>694</v>
      </c>
      <c r="M1082" s="8" t="s">
        <v>2814</v>
      </c>
      <c r="N1082" s="8" t="s">
        <v>690</v>
      </c>
      <c r="O1082" s="8">
        <v>956.07</v>
      </c>
      <c r="P1082" s="8">
        <v>1062.3</v>
      </c>
      <c r="Q1082" s="8" t="s">
        <v>2640</v>
      </c>
      <c r="R1082" s="8" t="s">
        <v>2100</v>
      </c>
    </row>
    <row r="1083" spans="1:20" x14ac:dyDescent="0.2">
      <c r="A1083" s="8" t="s">
        <v>3413</v>
      </c>
      <c r="B1083" s="8" t="str">
        <f t="shared" si="32"/>
        <v>1586244202</v>
      </c>
      <c r="C1083" s="8" t="str">
        <f t="shared" si="33"/>
        <v>1118</v>
      </c>
      <c r="D1083" s="8" t="s">
        <v>119</v>
      </c>
      <c r="F1083" s="8" t="s">
        <v>185</v>
      </c>
      <c r="G1083" s="8" t="s">
        <v>690</v>
      </c>
      <c r="H1083" s="8" t="s">
        <v>691</v>
      </c>
      <c r="I1083" s="8" t="s">
        <v>692</v>
      </c>
      <c r="J1083" s="8" t="s">
        <v>693</v>
      </c>
      <c r="K1083" s="8" t="s">
        <v>176</v>
      </c>
      <c r="L1083" s="8" t="s">
        <v>694</v>
      </c>
      <c r="M1083" s="8" t="s">
        <v>2814</v>
      </c>
      <c r="N1083" s="8" t="s">
        <v>690</v>
      </c>
      <c r="O1083" s="8">
        <v>956.07</v>
      </c>
      <c r="P1083" s="8">
        <v>1062.3</v>
      </c>
      <c r="Q1083" s="8" t="s">
        <v>2640</v>
      </c>
      <c r="R1083" s="8" t="s">
        <v>1226</v>
      </c>
    </row>
    <row r="1084" spans="1:20" x14ac:dyDescent="0.2">
      <c r="A1084" s="8" t="s">
        <v>3057</v>
      </c>
      <c r="B1084" s="8" t="str">
        <f t="shared" si="32"/>
        <v>1586244202</v>
      </c>
      <c r="C1084" s="8" t="str">
        <f t="shared" si="33"/>
        <v>1119</v>
      </c>
      <c r="D1084" s="8" t="s">
        <v>119</v>
      </c>
      <c r="F1084" s="8" t="s">
        <v>185</v>
      </c>
      <c r="G1084" s="8" t="s">
        <v>690</v>
      </c>
      <c r="H1084" s="8" t="s">
        <v>691</v>
      </c>
      <c r="I1084" s="8" t="s">
        <v>692</v>
      </c>
      <c r="J1084" s="8" t="s">
        <v>693</v>
      </c>
      <c r="K1084" s="8" t="s">
        <v>176</v>
      </c>
      <c r="L1084" s="8" t="s">
        <v>694</v>
      </c>
      <c r="M1084" s="8" t="s">
        <v>2814</v>
      </c>
      <c r="N1084" s="8" t="s">
        <v>690</v>
      </c>
      <c r="O1084" s="8">
        <v>956.07</v>
      </c>
      <c r="P1084" s="8">
        <v>1062.3</v>
      </c>
      <c r="Q1084" s="8" t="s">
        <v>2640</v>
      </c>
      <c r="R1084" s="8" t="s">
        <v>2489</v>
      </c>
    </row>
    <row r="1085" spans="1:20" x14ac:dyDescent="0.2">
      <c r="A1085" s="8" t="s">
        <v>4091</v>
      </c>
      <c r="B1085" s="8" t="str">
        <f t="shared" si="32"/>
        <v>1586244202</v>
      </c>
      <c r="C1085" s="8" t="str">
        <f t="shared" si="33"/>
        <v>1120</v>
      </c>
      <c r="D1085" s="8" t="s">
        <v>119</v>
      </c>
      <c r="F1085" s="8" t="s">
        <v>185</v>
      </c>
      <c r="G1085" s="8" t="s">
        <v>690</v>
      </c>
      <c r="H1085" s="8" t="s">
        <v>691</v>
      </c>
      <c r="I1085" s="8" t="s">
        <v>692</v>
      </c>
      <c r="J1085" s="8" t="s">
        <v>693</v>
      </c>
      <c r="K1085" s="8" t="s">
        <v>176</v>
      </c>
      <c r="L1085" s="8" t="s">
        <v>694</v>
      </c>
      <c r="M1085" s="8" t="s">
        <v>2814</v>
      </c>
      <c r="N1085" s="8" t="s">
        <v>690</v>
      </c>
      <c r="O1085" s="8">
        <v>956.07</v>
      </c>
      <c r="P1085" s="8">
        <v>1062.3</v>
      </c>
      <c r="Q1085" s="8" t="s">
        <v>2640</v>
      </c>
      <c r="R1085" s="8" t="s">
        <v>2144</v>
      </c>
    </row>
    <row r="1086" spans="1:20" x14ac:dyDescent="0.2">
      <c r="A1086" s="8" t="s">
        <v>4292</v>
      </c>
      <c r="B1086" s="8" t="str">
        <f t="shared" si="32"/>
        <v>1586244202</v>
      </c>
      <c r="C1086" s="8" t="str">
        <f t="shared" si="33"/>
        <v>1121</v>
      </c>
      <c r="D1086" s="8" t="s">
        <v>119</v>
      </c>
      <c r="F1086" s="8" t="s">
        <v>185</v>
      </c>
      <c r="G1086" s="8" t="s">
        <v>690</v>
      </c>
      <c r="H1086" s="8" t="s">
        <v>691</v>
      </c>
      <c r="I1086" s="8" t="s">
        <v>692</v>
      </c>
      <c r="J1086" s="8" t="s">
        <v>693</v>
      </c>
      <c r="K1086" s="8" t="s">
        <v>176</v>
      </c>
      <c r="L1086" s="8" t="s">
        <v>694</v>
      </c>
      <c r="M1086" s="8" t="s">
        <v>2814</v>
      </c>
      <c r="N1086" s="8" t="s">
        <v>690</v>
      </c>
      <c r="O1086" s="8">
        <v>956.07</v>
      </c>
      <c r="P1086" s="8">
        <v>1062.3</v>
      </c>
      <c r="Q1086" s="8" t="s">
        <v>2640</v>
      </c>
      <c r="R1086" s="8" t="s">
        <v>883</v>
      </c>
    </row>
    <row r="1087" spans="1:20" x14ac:dyDescent="0.2">
      <c r="A1087" s="8" t="s">
        <v>3345</v>
      </c>
      <c r="B1087" s="8" t="str">
        <f t="shared" si="32"/>
        <v>1586244202</v>
      </c>
      <c r="C1087" s="8" t="str">
        <f t="shared" si="33"/>
        <v>1122</v>
      </c>
      <c r="D1087" s="8" t="s">
        <v>119</v>
      </c>
      <c r="F1087" s="8" t="s">
        <v>185</v>
      </c>
      <c r="G1087" s="8" t="s">
        <v>690</v>
      </c>
      <c r="H1087" s="8" t="s">
        <v>691</v>
      </c>
      <c r="I1087" s="8" t="s">
        <v>692</v>
      </c>
      <c r="J1087" s="8" t="s">
        <v>693</v>
      </c>
      <c r="K1087" s="8" t="s">
        <v>176</v>
      </c>
      <c r="L1087" s="8" t="s">
        <v>694</v>
      </c>
      <c r="M1087" s="8" t="s">
        <v>2814</v>
      </c>
      <c r="N1087" s="8" t="s">
        <v>690</v>
      </c>
      <c r="O1087" s="8">
        <v>956.07</v>
      </c>
      <c r="P1087" s="8">
        <v>1062.3</v>
      </c>
      <c r="Q1087" s="8" t="s">
        <v>2640</v>
      </c>
      <c r="R1087" s="8" t="s">
        <v>2059</v>
      </c>
    </row>
    <row r="1088" spans="1:20" x14ac:dyDescent="0.2">
      <c r="A1088" s="8" t="s">
        <v>4416</v>
      </c>
      <c r="B1088" s="8" t="str">
        <f t="shared" si="32"/>
        <v>1586244202</v>
      </c>
      <c r="C1088" s="8" t="str">
        <f t="shared" si="33"/>
        <v>1123</v>
      </c>
      <c r="D1088" s="8" t="s">
        <v>119</v>
      </c>
      <c r="F1088" s="8" t="s">
        <v>185</v>
      </c>
      <c r="G1088" s="8" t="s">
        <v>690</v>
      </c>
      <c r="H1088" s="8" t="s">
        <v>691</v>
      </c>
      <c r="I1088" s="8" t="s">
        <v>692</v>
      </c>
      <c r="J1088" s="8" t="s">
        <v>693</v>
      </c>
      <c r="K1088" s="8" t="s">
        <v>176</v>
      </c>
      <c r="L1088" s="8" t="s">
        <v>694</v>
      </c>
      <c r="M1088" s="8" t="s">
        <v>2814</v>
      </c>
      <c r="N1088" s="8" t="s">
        <v>690</v>
      </c>
      <c r="O1088" s="8">
        <v>956.07</v>
      </c>
      <c r="P1088" s="8">
        <v>1062.3</v>
      </c>
      <c r="Q1088" s="8" t="s">
        <v>2640</v>
      </c>
      <c r="R1088" s="8" t="s">
        <v>2265</v>
      </c>
    </row>
    <row r="1089" spans="1:20" x14ac:dyDescent="0.2">
      <c r="A1089" s="8" t="s">
        <v>3032</v>
      </c>
      <c r="B1089" s="8" t="str">
        <f t="shared" si="32"/>
        <v>1586244202</v>
      </c>
      <c r="C1089" s="8" t="str">
        <f t="shared" si="33"/>
        <v>1124</v>
      </c>
      <c r="D1089" s="8" t="s">
        <v>119</v>
      </c>
      <c r="F1089" s="8" t="s">
        <v>185</v>
      </c>
      <c r="G1089" s="8" t="s">
        <v>690</v>
      </c>
      <c r="H1089" s="8" t="s">
        <v>691</v>
      </c>
      <c r="I1089" s="8" t="s">
        <v>692</v>
      </c>
      <c r="J1089" s="8" t="s">
        <v>693</v>
      </c>
      <c r="K1089" s="8" t="s">
        <v>176</v>
      </c>
      <c r="L1089" s="8" t="s">
        <v>694</v>
      </c>
      <c r="M1089" s="8" t="s">
        <v>2814</v>
      </c>
      <c r="N1089" s="8" t="s">
        <v>690</v>
      </c>
      <c r="O1089" s="8">
        <v>956.07</v>
      </c>
      <c r="P1089" s="8">
        <v>1062.3</v>
      </c>
      <c r="Q1089" s="8" t="s">
        <v>2640</v>
      </c>
      <c r="R1089" s="8" t="s">
        <v>861</v>
      </c>
    </row>
    <row r="1090" spans="1:20" x14ac:dyDescent="0.2">
      <c r="A1090" s="8" t="s">
        <v>3839</v>
      </c>
      <c r="B1090" s="8" t="str">
        <f t="shared" ref="B1090:B1153" si="34">LEFT(A1090, FIND("-", A1090) - 1)</f>
        <v>1586244202</v>
      </c>
      <c r="C1090" s="8" t="str">
        <f t="shared" ref="C1090:C1153" si="35">RIGHT(A1090, LEN(A1090) - FIND("-", A1090))</f>
        <v>1125</v>
      </c>
      <c r="D1090" s="8" t="s">
        <v>119</v>
      </c>
      <c r="F1090" s="8" t="s">
        <v>185</v>
      </c>
      <c r="G1090" s="8" t="s">
        <v>690</v>
      </c>
      <c r="H1090" s="8" t="s">
        <v>691</v>
      </c>
      <c r="I1090" s="8" t="s">
        <v>692</v>
      </c>
      <c r="J1090" s="8" t="s">
        <v>693</v>
      </c>
      <c r="K1090" s="8" t="s">
        <v>176</v>
      </c>
      <c r="L1090" s="8" t="s">
        <v>694</v>
      </c>
      <c r="M1090" s="8" t="s">
        <v>2814</v>
      </c>
      <c r="N1090" s="8" t="s">
        <v>690</v>
      </c>
      <c r="O1090" s="8">
        <v>956.07</v>
      </c>
      <c r="P1090" s="8">
        <v>1062.3</v>
      </c>
      <c r="Q1090" s="8" t="s">
        <v>2640</v>
      </c>
      <c r="S1090" s="8" t="s">
        <v>695</v>
      </c>
      <c r="T1090" s="8">
        <v>185.16</v>
      </c>
    </row>
    <row r="1091" spans="1:20" x14ac:dyDescent="0.2">
      <c r="A1091" s="8" t="s">
        <v>3872</v>
      </c>
      <c r="B1091" s="8" t="str">
        <f t="shared" si="34"/>
        <v>1586244202</v>
      </c>
      <c r="C1091" s="8" t="str">
        <f t="shared" si="35"/>
        <v>1126</v>
      </c>
      <c r="D1091" s="8" t="s">
        <v>119</v>
      </c>
      <c r="F1091" s="8" t="s">
        <v>185</v>
      </c>
      <c r="G1091" s="8" t="s">
        <v>690</v>
      </c>
      <c r="H1091" s="8" t="s">
        <v>691</v>
      </c>
      <c r="I1091" s="8" t="s">
        <v>692</v>
      </c>
      <c r="J1091" s="8" t="s">
        <v>693</v>
      </c>
      <c r="K1091" s="8" t="s">
        <v>176</v>
      </c>
      <c r="L1091" s="8" t="s">
        <v>694</v>
      </c>
      <c r="M1091" s="8" t="s">
        <v>2814</v>
      </c>
      <c r="N1091" s="8" t="s">
        <v>690</v>
      </c>
      <c r="O1091" s="8">
        <v>956.07</v>
      </c>
      <c r="P1091" s="8">
        <v>1062.3</v>
      </c>
      <c r="Q1091" s="8" t="s">
        <v>2640</v>
      </c>
      <c r="S1091" s="8" t="s">
        <v>1261</v>
      </c>
      <c r="T1091" s="8">
        <v>557.70000000000005</v>
      </c>
    </row>
    <row r="1092" spans="1:20" x14ac:dyDescent="0.2">
      <c r="A1092" s="8" t="s">
        <v>4333</v>
      </c>
      <c r="B1092" s="8" t="str">
        <f t="shared" si="34"/>
        <v>1586244202</v>
      </c>
      <c r="C1092" s="8" t="str">
        <f t="shared" si="35"/>
        <v>1127</v>
      </c>
      <c r="D1092" s="8" t="s">
        <v>119</v>
      </c>
      <c r="F1092" s="8" t="s">
        <v>185</v>
      </c>
      <c r="G1092" s="8" t="s">
        <v>690</v>
      </c>
      <c r="H1092" s="8" t="s">
        <v>691</v>
      </c>
      <c r="I1092" s="8" t="s">
        <v>692</v>
      </c>
      <c r="J1092" s="8" t="s">
        <v>693</v>
      </c>
      <c r="K1092" s="8" t="s">
        <v>176</v>
      </c>
      <c r="L1092" s="8" t="s">
        <v>694</v>
      </c>
      <c r="M1092" s="8" t="s">
        <v>2814</v>
      </c>
      <c r="N1092" s="8" t="s">
        <v>690</v>
      </c>
      <c r="O1092" s="8">
        <v>956.07</v>
      </c>
      <c r="P1092" s="8">
        <v>1062.3</v>
      </c>
      <c r="Q1092" s="8" t="s">
        <v>2640</v>
      </c>
      <c r="S1092" s="8" t="s">
        <v>1647</v>
      </c>
      <c r="T1092" s="8">
        <v>755.41</v>
      </c>
    </row>
    <row r="1093" spans="1:20" x14ac:dyDescent="0.2">
      <c r="A1093" s="8" t="s">
        <v>3458</v>
      </c>
      <c r="B1093" s="8" t="str">
        <f t="shared" si="34"/>
        <v>1586244202</v>
      </c>
      <c r="C1093" s="8" t="str">
        <f t="shared" si="35"/>
        <v>1128</v>
      </c>
      <c r="D1093" s="8" t="s">
        <v>119</v>
      </c>
      <c r="F1093" s="8" t="s">
        <v>185</v>
      </c>
      <c r="G1093" s="8" t="s">
        <v>690</v>
      </c>
      <c r="H1093" s="8" t="s">
        <v>691</v>
      </c>
      <c r="I1093" s="8" t="s">
        <v>692</v>
      </c>
      <c r="J1093" s="8" t="s">
        <v>693</v>
      </c>
      <c r="K1093" s="8" t="s">
        <v>176</v>
      </c>
      <c r="L1093" s="8" t="s">
        <v>694</v>
      </c>
      <c r="M1093" s="8" t="s">
        <v>2814</v>
      </c>
      <c r="N1093" s="8" t="s">
        <v>690</v>
      </c>
      <c r="O1093" s="8">
        <v>956.07</v>
      </c>
      <c r="P1093" s="8">
        <v>1062.3</v>
      </c>
      <c r="Q1093" s="8" t="s">
        <v>2640</v>
      </c>
      <c r="S1093" s="8" t="s">
        <v>1792</v>
      </c>
      <c r="T1093" s="8">
        <v>138.69</v>
      </c>
    </row>
    <row r="1094" spans="1:20" x14ac:dyDescent="0.2">
      <c r="A1094" s="8" t="s">
        <v>3647</v>
      </c>
      <c r="B1094" s="8" t="str">
        <f t="shared" si="34"/>
        <v>1586244202</v>
      </c>
      <c r="C1094" s="8" t="str">
        <f t="shared" si="35"/>
        <v>1129</v>
      </c>
      <c r="D1094" s="8" t="s">
        <v>119</v>
      </c>
      <c r="F1094" s="8" t="s">
        <v>185</v>
      </c>
      <c r="G1094" s="8" t="s">
        <v>690</v>
      </c>
      <c r="H1094" s="8" t="s">
        <v>691</v>
      </c>
      <c r="I1094" s="8" t="s">
        <v>692</v>
      </c>
      <c r="J1094" s="8" t="s">
        <v>693</v>
      </c>
      <c r="K1094" s="8" t="s">
        <v>176</v>
      </c>
      <c r="L1094" s="8" t="s">
        <v>694</v>
      </c>
      <c r="M1094" s="8" t="s">
        <v>2814</v>
      </c>
      <c r="N1094" s="8" t="s">
        <v>690</v>
      </c>
      <c r="O1094" s="8">
        <v>956.07</v>
      </c>
      <c r="P1094" s="8">
        <v>1062.3</v>
      </c>
      <c r="Q1094" s="8" t="s">
        <v>2640</v>
      </c>
      <c r="S1094" s="8" t="s">
        <v>184</v>
      </c>
      <c r="T1094" s="8">
        <v>169.67</v>
      </c>
    </row>
    <row r="1095" spans="1:20" x14ac:dyDescent="0.2">
      <c r="A1095" s="8" t="s">
        <v>4417</v>
      </c>
      <c r="B1095" s="8" t="str">
        <f t="shared" si="34"/>
        <v>1586244204</v>
      </c>
      <c r="C1095" s="8" t="str">
        <f t="shared" si="35"/>
        <v>1130</v>
      </c>
      <c r="D1095" s="8" t="s">
        <v>119</v>
      </c>
      <c r="F1095" s="8" t="s">
        <v>185</v>
      </c>
      <c r="G1095" s="8" t="s">
        <v>690</v>
      </c>
      <c r="H1095" s="8" t="s">
        <v>691</v>
      </c>
      <c r="I1095" s="8" t="s">
        <v>123</v>
      </c>
      <c r="J1095" s="8" t="s">
        <v>1250</v>
      </c>
      <c r="K1095" s="8" t="s">
        <v>125</v>
      </c>
      <c r="L1095" s="8" t="s">
        <v>1251</v>
      </c>
      <c r="M1095" s="8" t="s">
        <v>2814</v>
      </c>
      <c r="N1095" s="8" t="s">
        <v>690</v>
      </c>
      <c r="O1095" s="8">
        <v>323.85000000000002</v>
      </c>
      <c r="P1095" s="8">
        <v>359.84</v>
      </c>
      <c r="Q1095" s="8" t="s">
        <v>2641</v>
      </c>
      <c r="R1095" s="8" t="s">
        <v>2473</v>
      </c>
    </row>
    <row r="1096" spans="1:20" x14ac:dyDescent="0.2">
      <c r="A1096" s="8" t="s">
        <v>3140</v>
      </c>
      <c r="B1096" s="8" t="str">
        <f t="shared" si="34"/>
        <v>1586244204</v>
      </c>
      <c r="C1096" s="8" t="str">
        <f t="shared" si="35"/>
        <v>1131</v>
      </c>
      <c r="D1096" s="8" t="s">
        <v>119</v>
      </c>
      <c r="F1096" s="8" t="s">
        <v>185</v>
      </c>
      <c r="G1096" s="8" t="s">
        <v>690</v>
      </c>
      <c r="H1096" s="8" t="s">
        <v>691</v>
      </c>
      <c r="I1096" s="8" t="s">
        <v>123</v>
      </c>
      <c r="J1096" s="8" t="s">
        <v>1250</v>
      </c>
      <c r="K1096" s="8" t="s">
        <v>125</v>
      </c>
      <c r="L1096" s="8" t="s">
        <v>1251</v>
      </c>
      <c r="M1096" s="8" t="s">
        <v>2814</v>
      </c>
      <c r="N1096" s="8" t="s">
        <v>690</v>
      </c>
      <c r="O1096" s="8">
        <v>323.85000000000002</v>
      </c>
      <c r="P1096" s="8">
        <v>359.84</v>
      </c>
      <c r="Q1096" s="8" t="s">
        <v>2641</v>
      </c>
      <c r="R1096" s="8" t="s">
        <v>1252</v>
      </c>
    </row>
    <row r="1097" spans="1:20" x14ac:dyDescent="0.2">
      <c r="A1097" s="8" t="s">
        <v>4404</v>
      </c>
      <c r="B1097" s="8" t="str">
        <f t="shared" si="34"/>
        <v>1586244204</v>
      </c>
      <c r="C1097" s="8" t="str">
        <f t="shared" si="35"/>
        <v>1132</v>
      </c>
      <c r="D1097" s="8" t="s">
        <v>119</v>
      </c>
      <c r="F1097" s="8" t="s">
        <v>185</v>
      </c>
      <c r="G1097" s="8" t="s">
        <v>690</v>
      </c>
      <c r="H1097" s="8" t="s">
        <v>691</v>
      </c>
      <c r="I1097" s="8" t="s">
        <v>123</v>
      </c>
      <c r="J1097" s="8" t="s">
        <v>1250</v>
      </c>
      <c r="K1097" s="8" t="s">
        <v>125</v>
      </c>
      <c r="L1097" s="8" t="s">
        <v>1251</v>
      </c>
      <c r="M1097" s="8" t="s">
        <v>2814</v>
      </c>
      <c r="N1097" s="8" t="s">
        <v>690</v>
      </c>
      <c r="O1097" s="8">
        <v>323.85000000000002</v>
      </c>
      <c r="P1097" s="8">
        <v>359.84</v>
      </c>
      <c r="Q1097" s="8" t="s">
        <v>2641</v>
      </c>
      <c r="R1097" s="8" t="s">
        <v>1664</v>
      </c>
    </row>
    <row r="1098" spans="1:20" x14ac:dyDescent="0.2">
      <c r="A1098" s="8" t="s">
        <v>2943</v>
      </c>
      <c r="B1098" s="8" t="str">
        <f t="shared" si="34"/>
        <v>1586244204</v>
      </c>
      <c r="C1098" s="8" t="str">
        <f t="shared" si="35"/>
        <v>1133</v>
      </c>
      <c r="D1098" s="8" t="s">
        <v>119</v>
      </c>
      <c r="F1098" s="8" t="s">
        <v>185</v>
      </c>
      <c r="G1098" s="8" t="s">
        <v>690</v>
      </c>
      <c r="H1098" s="8" t="s">
        <v>691</v>
      </c>
      <c r="I1098" s="8" t="s">
        <v>123</v>
      </c>
      <c r="J1098" s="8" t="s">
        <v>1250</v>
      </c>
      <c r="K1098" s="8" t="s">
        <v>125</v>
      </c>
      <c r="L1098" s="8" t="s">
        <v>1251</v>
      </c>
      <c r="M1098" s="8" t="s">
        <v>2814</v>
      </c>
      <c r="N1098" s="8" t="s">
        <v>690</v>
      </c>
      <c r="O1098" s="8">
        <v>323.85000000000002</v>
      </c>
      <c r="P1098" s="8">
        <v>359.84</v>
      </c>
      <c r="Q1098" s="8" t="s">
        <v>2641</v>
      </c>
      <c r="R1098" s="8" t="s">
        <v>1903</v>
      </c>
    </row>
    <row r="1099" spans="1:20" x14ac:dyDescent="0.2">
      <c r="A1099" s="8" t="s">
        <v>4454</v>
      </c>
      <c r="B1099" s="8" t="str">
        <f t="shared" si="34"/>
        <v>1586244204</v>
      </c>
      <c r="C1099" s="8" t="str">
        <f t="shared" si="35"/>
        <v>1134</v>
      </c>
      <c r="D1099" s="8" t="s">
        <v>119</v>
      </c>
      <c r="F1099" s="8" t="s">
        <v>185</v>
      </c>
      <c r="G1099" s="8" t="s">
        <v>690</v>
      </c>
      <c r="H1099" s="8" t="s">
        <v>691</v>
      </c>
      <c r="I1099" s="8" t="s">
        <v>123</v>
      </c>
      <c r="J1099" s="8" t="s">
        <v>1250</v>
      </c>
      <c r="K1099" s="8" t="s">
        <v>125</v>
      </c>
      <c r="L1099" s="8" t="s">
        <v>1251</v>
      </c>
      <c r="M1099" s="8" t="s">
        <v>2814</v>
      </c>
      <c r="N1099" s="8" t="s">
        <v>690</v>
      </c>
      <c r="O1099" s="8">
        <v>323.85000000000002</v>
      </c>
      <c r="P1099" s="8">
        <v>359.84</v>
      </c>
      <c r="Q1099" s="8" t="s">
        <v>2641</v>
      </c>
      <c r="R1099" s="8" t="s">
        <v>1946</v>
      </c>
    </row>
    <row r="1100" spans="1:20" x14ac:dyDescent="0.2">
      <c r="A1100" s="8" t="s">
        <v>4032</v>
      </c>
      <c r="B1100" s="8" t="str">
        <f t="shared" si="34"/>
        <v>1586244204</v>
      </c>
      <c r="C1100" s="8" t="str">
        <f t="shared" si="35"/>
        <v>1135</v>
      </c>
      <c r="D1100" s="8" t="s">
        <v>119</v>
      </c>
      <c r="F1100" s="8" t="s">
        <v>185</v>
      </c>
      <c r="G1100" s="8" t="s">
        <v>690</v>
      </c>
      <c r="H1100" s="8" t="s">
        <v>691</v>
      </c>
      <c r="I1100" s="8" t="s">
        <v>123</v>
      </c>
      <c r="J1100" s="8" t="s">
        <v>1250</v>
      </c>
      <c r="K1100" s="8" t="s">
        <v>125</v>
      </c>
      <c r="L1100" s="8" t="s">
        <v>1251</v>
      </c>
      <c r="M1100" s="8" t="s">
        <v>2814</v>
      </c>
      <c r="N1100" s="8" t="s">
        <v>690</v>
      </c>
      <c r="O1100" s="8">
        <v>323.85000000000002</v>
      </c>
      <c r="P1100" s="8">
        <v>359.84</v>
      </c>
      <c r="Q1100" s="8" t="s">
        <v>2641</v>
      </c>
      <c r="S1100" s="8" t="s">
        <v>331</v>
      </c>
      <c r="T1100" s="8">
        <v>53.85</v>
      </c>
    </row>
    <row r="1101" spans="1:20" x14ac:dyDescent="0.2">
      <c r="A1101" s="8" t="s">
        <v>3604</v>
      </c>
      <c r="B1101" s="8" t="str">
        <f t="shared" si="34"/>
        <v>1586244204</v>
      </c>
      <c r="C1101" s="8" t="str">
        <f t="shared" si="35"/>
        <v>1136</v>
      </c>
      <c r="D1101" s="8" t="s">
        <v>119</v>
      </c>
      <c r="F1101" s="8" t="s">
        <v>185</v>
      </c>
      <c r="G1101" s="8" t="s">
        <v>690</v>
      </c>
      <c r="H1101" s="8" t="s">
        <v>691</v>
      </c>
      <c r="I1101" s="8" t="s">
        <v>123</v>
      </c>
      <c r="J1101" s="8" t="s">
        <v>1250</v>
      </c>
      <c r="K1101" s="8" t="s">
        <v>125</v>
      </c>
      <c r="L1101" s="8" t="s">
        <v>1251</v>
      </c>
      <c r="M1101" s="8" t="s">
        <v>2814</v>
      </c>
      <c r="N1101" s="8" t="s">
        <v>690</v>
      </c>
      <c r="O1101" s="8">
        <v>323.85000000000002</v>
      </c>
      <c r="P1101" s="8">
        <v>359.84</v>
      </c>
      <c r="Q1101" s="8" t="s">
        <v>2641</v>
      </c>
      <c r="S1101" s="8" t="s">
        <v>184</v>
      </c>
      <c r="T1101" s="8">
        <v>77.459999999999994</v>
      </c>
    </row>
    <row r="1102" spans="1:20" x14ac:dyDescent="0.2">
      <c r="A1102" s="8" t="s">
        <v>4390</v>
      </c>
      <c r="B1102" s="8" t="str">
        <f t="shared" si="34"/>
        <v>1586244208</v>
      </c>
      <c r="C1102" s="8" t="str">
        <f t="shared" si="35"/>
        <v>1137</v>
      </c>
      <c r="D1102" s="8" t="s">
        <v>119</v>
      </c>
      <c r="F1102" s="8" t="s">
        <v>185</v>
      </c>
      <c r="G1102" s="8" t="s">
        <v>519</v>
      </c>
      <c r="H1102" s="8" t="s">
        <v>520</v>
      </c>
      <c r="I1102" s="8" t="s">
        <v>167</v>
      </c>
      <c r="J1102" s="8" t="s">
        <v>521</v>
      </c>
      <c r="K1102" s="8" t="s">
        <v>93</v>
      </c>
      <c r="L1102" s="8" t="s">
        <v>522</v>
      </c>
      <c r="M1102" s="8" t="s">
        <v>2814</v>
      </c>
      <c r="N1102" s="8" t="s">
        <v>519</v>
      </c>
      <c r="O1102" s="8">
        <v>582.79</v>
      </c>
      <c r="P1102" s="8">
        <v>647.54</v>
      </c>
      <c r="Q1102" s="8" t="s">
        <v>2642</v>
      </c>
      <c r="R1102" s="8" t="s">
        <v>1034</v>
      </c>
    </row>
    <row r="1103" spans="1:20" x14ac:dyDescent="0.2">
      <c r="A1103" s="8" t="s">
        <v>3329</v>
      </c>
      <c r="B1103" s="8" t="str">
        <f t="shared" si="34"/>
        <v>1586244208</v>
      </c>
      <c r="C1103" s="8" t="str">
        <f t="shared" si="35"/>
        <v>1138</v>
      </c>
      <c r="D1103" s="8" t="s">
        <v>119</v>
      </c>
      <c r="F1103" s="8" t="s">
        <v>185</v>
      </c>
      <c r="G1103" s="8" t="s">
        <v>519</v>
      </c>
      <c r="H1103" s="8" t="s">
        <v>520</v>
      </c>
      <c r="I1103" s="8" t="s">
        <v>167</v>
      </c>
      <c r="J1103" s="8" t="s">
        <v>521</v>
      </c>
      <c r="K1103" s="8" t="s">
        <v>93</v>
      </c>
      <c r="L1103" s="8" t="s">
        <v>522</v>
      </c>
      <c r="M1103" s="8" t="s">
        <v>2814</v>
      </c>
      <c r="N1103" s="8" t="s">
        <v>519</v>
      </c>
      <c r="O1103" s="8">
        <v>582.79</v>
      </c>
      <c r="P1103" s="8">
        <v>647.54</v>
      </c>
      <c r="Q1103" s="8" t="s">
        <v>2642</v>
      </c>
      <c r="R1103" s="8" t="s">
        <v>2215</v>
      </c>
    </row>
    <row r="1104" spans="1:20" x14ac:dyDescent="0.2">
      <c r="A1104" s="8" t="s">
        <v>3013</v>
      </c>
      <c r="B1104" s="8" t="str">
        <f t="shared" si="34"/>
        <v>1586244208</v>
      </c>
      <c r="C1104" s="8" t="str">
        <f t="shared" si="35"/>
        <v>1139</v>
      </c>
      <c r="D1104" s="8" t="s">
        <v>119</v>
      </c>
      <c r="F1104" s="8" t="s">
        <v>185</v>
      </c>
      <c r="G1104" s="8" t="s">
        <v>519</v>
      </c>
      <c r="H1104" s="8" t="s">
        <v>520</v>
      </c>
      <c r="I1104" s="8" t="s">
        <v>167</v>
      </c>
      <c r="J1104" s="8" t="s">
        <v>521</v>
      </c>
      <c r="K1104" s="8" t="s">
        <v>93</v>
      </c>
      <c r="L1104" s="8" t="s">
        <v>522</v>
      </c>
      <c r="M1104" s="8" t="s">
        <v>2814</v>
      </c>
      <c r="N1104" s="8" t="s">
        <v>519</v>
      </c>
      <c r="O1104" s="8">
        <v>582.79</v>
      </c>
      <c r="P1104" s="8">
        <v>647.54</v>
      </c>
      <c r="Q1104" s="8" t="s">
        <v>2642</v>
      </c>
      <c r="S1104" s="8" t="s">
        <v>184</v>
      </c>
      <c r="T1104" s="8">
        <v>77.459999999999994</v>
      </c>
    </row>
    <row r="1105" spans="1:20" x14ac:dyDescent="0.2">
      <c r="A1105" s="8" t="s">
        <v>3630</v>
      </c>
      <c r="B1105" s="8" t="str">
        <f t="shared" si="34"/>
        <v>1586244210</v>
      </c>
      <c r="C1105" s="8" t="str">
        <f t="shared" si="35"/>
        <v>1140</v>
      </c>
      <c r="D1105" s="8" t="s">
        <v>119</v>
      </c>
      <c r="F1105" s="8" t="s">
        <v>185</v>
      </c>
      <c r="G1105" s="8" t="s">
        <v>519</v>
      </c>
      <c r="H1105" s="8" t="s">
        <v>520</v>
      </c>
      <c r="I1105" s="8" t="s">
        <v>250</v>
      </c>
      <c r="J1105" s="8" t="s">
        <v>1217</v>
      </c>
      <c r="K1105" s="8" t="s">
        <v>125</v>
      </c>
      <c r="L1105" s="8" t="s">
        <v>1218</v>
      </c>
      <c r="M1105" s="8" t="s">
        <v>2814</v>
      </c>
      <c r="N1105" s="8" t="s">
        <v>519</v>
      </c>
      <c r="O1105" s="8">
        <v>418.28</v>
      </c>
      <c r="P1105" s="8">
        <v>464.75</v>
      </c>
      <c r="Q1105" s="8" t="s">
        <v>2643</v>
      </c>
      <c r="R1105" s="8" t="s">
        <v>1366</v>
      </c>
    </row>
    <row r="1106" spans="1:20" x14ac:dyDescent="0.2">
      <c r="A1106" s="8" t="s">
        <v>3815</v>
      </c>
      <c r="B1106" s="8" t="str">
        <f t="shared" si="34"/>
        <v>1586244210</v>
      </c>
      <c r="C1106" s="8" t="str">
        <f t="shared" si="35"/>
        <v>1141</v>
      </c>
      <c r="D1106" s="8" t="s">
        <v>119</v>
      </c>
      <c r="F1106" s="8" t="s">
        <v>185</v>
      </c>
      <c r="G1106" s="8" t="s">
        <v>519</v>
      </c>
      <c r="H1106" s="8" t="s">
        <v>520</v>
      </c>
      <c r="I1106" s="8" t="s">
        <v>250</v>
      </c>
      <c r="J1106" s="8" t="s">
        <v>1217</v>
      </c>
      <c r="K1106" s="8" t="s">
        <v>125</v>
      </c>
      <c r="L1106" s="8" t="s">
        <v>1218</v>
      </c>
      <c r="M1106" s="8" t="s">
        <v>2814</v>
      </c>
      <c r="N1106" s="8" t="s">
        <v>519</v>
      </c>
      <c r="O1106" s="8">
        <v>418.28</v>
      </c>
      <c r="P1106" s="8">
        <v>464.75</v>
      </c>
      <c r="Q1106" s="8" t="s">
        <v>2643</v>
      </c>
      <c r="R1106" s="8" t="s">
        <v>2002</v>
      </c>
    </row>
    <row r="1107" spans="1:20" x14ac:dyDescent="0.2">
      <c r="A1107" s="8" t="s">
        <v>2828</v>
      </c>
      <c r="B1107" s="8" t="str">
        <f t="shared" si="34"/>
        <v>1586244210</v>
      </c>
      <c r="C1107" s="8" t="str">
        <f t="shared" si="35"/>
        <v>1142</v>
      </c>
      <c r="D1107" s="8" t="s">
        <v>119</v>
      </c>
      <c r="F1107" s="8" t="s">
        <v>185</v>
      </c>
      <c r="G1107" s="8" t="s">
        <v>519</v>
      </c>
      <c r="H1107" s="8" t="s">
        <v>520</v>
      </c>
      <c r="I1107" s="8" t="s">
        <v>250</v>
      </c>
      <c r="J1107" s="8" t="s">
        <v>1217</v>
      </c>
      <c r="K1107" s="8" t="s">
        <v>125</v>
      </c>
      <c r="L1107" s="8" t="s">
        <v>1218</v>
      </c>
      <c r="M1107" s="8" t="s">
        <v>2814</v>
      </c>
      <c r="N1107" s="8" t="s">
        <v>519</v>
      </c>
      <c r="O1107" s="8">
        <v>418.28</v>
      </c>
      <c r="P1107" s="8">
        <v>464.75</v>
      </c>
      <c r="Q1107" s="8" t="s">
        <v>2643</v>
      </c>
      <c r="R1107" s="8" t="s">
        <v>1219</v>
      </c>
    </row>
    <row r="1108" spans="1:20" x14ac:dyDescent="0.2">
      <c r="A1108" s="8" t="s">
        <v>4113</v>
      </c>
      <c r="B1108" s="8" t="str">
        <f t="shared" si="34"/>
        <v>1586244210</v>
      </c>
      <c r="C1108" s="8" t="str">
        <f t="shared" si="35"/>
        <v>1143</v>
      </c>
      <c r="D1108" s="8" t="s">
        <v>119</v>
      </c>
      <c r="F1108" s="8" t="s">
        <v>185</v>
      </c>
      <c r="G1108" s="8" t="s">
        <v>519</v>
      </c>
      <c r="H1108" s="8" t="s">
        <v>520</v>
      </c>
      <c r="I1108" s="8" t="s">
        <v>250</v>
      </c>
      <c r="J1108" s="8" t="s">
        <v>1217</v>
      </c>
      <c r="K1108" s="8" t="s">
        <v>125</v>
      </c>
      <c r="L1108" s="8" t="s">
        <v>1218</v>
      </c>
      <c r="M1108" s="8" t="s">
        <v>2814</v>
      </c>
      <c r="N1108" s="8" t="s">
        <v>519</v>
      </c>
      <c r="O1108" s="8">
        <v>418.28</v>
      </c>
      <c r="P1108" s="8">
        <v>464.75</v>
      </c>
      <c r="Q1108" s="8" t="s">
        <v>2643</v>
      </c>
      <c r="S1108" s="8" t="s">
        <v>142</v>
      </c>
      <c r="T1108" s="8">
        <v>47.21</v>
      </c>
    </row>
    <row r="1109" spans="1:20" x14ac:dyDescent="0.2">
      <c r="A1109" s="8" t="s">
        <v>4331</v>
      </c>
      <c r="B1109" s="8" t="str">
        <f t="shared" si="34"/>
        <v>1586244210</v>
      </c>
      <c r="C1109" s="8" t="str">
        <f t="shared" si="35"/>
        <v>1144</v>
      </c>
      <c r="D1109" s="8" t="s">
        <v>119</v>
      </c>
      <c r="F1109" s="8" t="s">
        <v>185</v>
      </c>
      <c r="G1109" s="8" t="s">
        <v>519</v>
      </c>
      <c r="H1109" s="8" t="s">
        <v>520</v>
      </c>
      <c r="I1109" s="8" t="s">
        <v>250</v>
      </c>
      <c r="J1109" s="8" t="s">
        <v>1217</v>
      </c>
      <c r="K1109" s="8" t="s">
        <v>125</v>
      </c>
      <c r="L1109" s="8" t="s">
        <v>1218</v>
      </c>
      <c r="M1109" s="8" t="s">
        <v>2814</v>
      </c>
      <c r="N1109" s="8" t="s">
        <v>519</v>
      </c>
      <c r="O1109" s="8">
        <v>418.28</v>
      </c>
      <c r="P1109" s="8">
        <v>464.75</v>
      </c>
      <c r="Q1109" s="8" t="s">
        <v>2643</v>
      </c>
      <c r="S1109" s="8" t="s">
        <v>184</v>
      </c>
      <c r="T1109" s="8">
        <v>77.459999999999994</v>
      </c>
    </row>
    <row r="1110" spans="1:20" x14ac:dyDescent="0.2">
      <c r="A1110" s="8" t="s">
        <v>4667</v>
      </c>
      <c r="B1110" s="8" t="str">
        <f t="shared" si="34"/>
        <v>1586244212</v>
      </c>
      <c r="C1110" s="8" t="str">
        <f t="shared" si="35"/>
        <v>1145</v>
      </c>
      <c r="D1110" s="8" t="s">
        <v>119</v>
      </c>
      <c r="F1110" s="8" t="s">
        <v>185</v>
      </c>
      <c r="G1110" s="8" t="s">
        <v>519</v>
      </c>
      <c r="H1110" s="8" t="s">
        <v>520</v>
      </c>
      <c r="I1110" s="8" t="s">
        <v>71</v>
      </c>
      <c r="J1110" s="8" t="s">
        <v>1170</v>
      </c>
      <c r="K1110" s="8" t="s">
        <v>125</v>
      </c>
      <c r="L1110" s="8" t="s">
        <v>1171</v>
      </c>
      <c r="M1110" s="8" t="s">
        <v>2814</v>
      </c>
      <c r="N1110" s="8" t="s">
        <v>519</v>
      </c>
      <c r="O1110" s="8">
        <v>380.66</v>
      </c>
      <c r="P1110" s="8">
        <v>422.95</v>
      </c>
      <c r="Q1110" s="8" t="s">
        <v>2644</v>
      </c>
      <c r="R1110" s="8" t="s">
        <v>1312</v>
      </c>
    </row>
    <row r="1111" spans="1:20" x14ac:dyDescent="0.2">
      <c r="A1111" s="8" t="s">
        <v>4492</v>
      </c>
      <c r="B1111" s="8" t="str">
        <f t="shared" si="34"/>
        <v>1586244212</v>
      </c>
      <c r="C1111" s="8" t="str">
        <f t="shared" si="35"/>
        <v>1146</v>
      </c>
      <c r="D1111" s="8" t="s">
        <v>119</v>
      </c>
      <c r="F1111" s="8" t="s">
        <v>185</v>
      </c>
      <c r="G1111" s="8" t="s">
        <v>519</v>
      </c>
      <c r="H1111" s="8" t="s">
        <v>520</v>
      </c>
      <c r="I1111" s="8" t="s">
        <v>71</v>
      </c>
      <c r="J1111" s="8" t="s">
        <v>1170</v>
      </c>
      <c r="K1111" s="8" t="s">
        <v>125</v>
      </c>
      <c r="L1111" s="8" t="s">
        <v>1171</v>
      </c>
      <c r="M1111" s="8" t="s">
        <v>2814</v>
      </c>
      <c r="N1111" s="8" t="s">
        <v>519</v>
      </c>
      <c r="O1111" s="8">
        <v>380.66</v>
      </c>
      <c r="P1111" s="8">
        <v>422.95</v>
      </c>
      <c r="Q1111" s="8" t="s">
        <v>2644</v>
      </c>
      <c r="R1111" s="8" t="s">
        <v>2026</v>
      </c>
    </row>
    <row r="1112" spans="1:20" x14ac:dyDescent="0.2">
      <c r="A1112" s="8" t="s">
        <v>3565</v>
      </c>
      <c r="B1112" s="8" t="str">
        <f t="shared" si="34"/>
        <v>1586244212</v>
      </c>
      <c r="C1112" s="8" t="str">
        <f t="shared" si="35"/>
        <v>1147</v>
      </c>
      <c r="D1112" s="8" t="s">
        <v>119</v>
      </c>
      <c r="F1112" s="8" t="s">
        <v>185</v>
      </c>
      <c r="G1112" s="8" t="s">
        <v>519</v>
      </c>
      <c r="H1112" s="8" t="s">
        <v>520</v>
      </c>
      <c r="I1112" s="8" t="s">
        <v>71</v>
      </c>
      <c r="J1112" s="8" t="s">
        <v>1170</v>
      </c>
      <c r="K1112" s="8" t="s">
        <v>125</v>
      </c>
      <c r="L1112" s="8" t="s">
        <v>1171</v>
      </c>
      <c r="M1112" s="8" t="s">
        <v>2814</v>
      </c>
      <c r="N1112" s="8" t="s">
        <v>519</v>
      </c>
      <c r="O1112" s="8">
        <v>380.66</v>
      </c>
      <c r="P1112" s="8">
        <v>422.95</v>
      </c>
      <c r="Q1112" s="8" t="s">
        <v>2644</v>
      </c>
      <c r="R1112" s="8" t="s">
        <v>1223</v>
      </c>
    </row>
    <row r="1113" spans="1:20" x14ac:dyDescent="0.2">
      <c r="A1113" s="8" t="s">
        <v>4021</v>
      </c>
      <c r="B1113" s="8" t="str">
        <f t="shared" si="34"/>
        <v>1586244212</v>
      </c>
      <c r="C1113" s="8" t="str">
        <f t="shared" si="35"/>
        <v>1148</v>
      </c>
      <c r="D1113" s="8" t="s">
        <v>119</v>
      </c>
      <c r="F1113" s="8" t="s">
        <v>185</v>
      </c>
      <c r="G1113" s="8" t="s">
        <v>519</v>
      </c>
      <c r="H1113" s="8" t="s">
        <v>520</v>
      </c>
      <c r="I1113" s="8" t="s">
        <v>71</v>
      </c>
      <c r="J1113" s="8" t="s">
        <v>1170</v>
      </c>
      <c r="K1113" s="8" t="s">
        <v>125</v>
      </c>
      <c r="L1113" s="8" t="s">
        <v>1171</v>
      </c>
      <c r="M1113" s="8" t="s">
        <v>2814</v>
      </c>
      <c r="N1113" s="8" t="s">
        <v>519</v>
      </c>
      <c r="O1113" s="8">
        <v>380.66</v>
      </c>
      <c r="P1113" s="8">
        <v>422.95</v>
      </c>
      <c r="Q1113" s="8" t="s">
        <v>2644</v>
      </c>
      <c r="S1113" s="8" t="s">
        <v>142</v>
      </c>
      <c r="T1113" s="8">
        <v>47.21</v>
      </c>
    </row>
    <row r="1114" spans="1:20" x14ac:dyDescent="0.2">
      <c r="A1114" s="8" t="s">
        <v>4262</v>
      </c>
      <c r="B1114" s="8" t="str">
        <f t="shared" si="34"/>
        <v>1586244212</v>
      </c>
      <c r="C1114" s="8" t="str">
        <f t="shared" si="35"/>
        <v>1149</v>
      </c>
      <c r="D1114" s="8" t="s">
        <v>119</v>
      </c>
      <c r="F1114" s="8" t="s">
        <v>185</v>
      </c>
      <c r="G1114" s="8" t="s">
        <v>519</v>
      </c>
      <c r="H1114" s="8" t="s">
        <v>520</v>
      </c>
      <c r="I1114" s="8" t="s">
        <v>71</v>
      </c>
      <c r="J1114" s="8" t="s">
        <v>1170</v>
      </c>
      <c r="K1114" s="8" t="s">
        <v>125</v>
      </c>
      <c r="L1114" s="8" t="s">
        <v>1171</v>
      </c>
      <c r="M1114" s="8" t="s">
        <v>2814</v>
      </c>
      <c r="N1114" s="8" t="s">
        <v>519</v>
      </c>
      <c r="O1114" s="8">
        <v>380.66</v>
      </c>
      <c r="P1114" s="8">
        <v>422.95</v>
      </c>
      <c r="Q1114" s="8" t="s">
        <v>2644</v>
      </c>
      <c r="S1114" s="8" t="s">
        <v>109</v>
      </c>
      <c r="T1114" s="8">
        <v>37.619999999999997</v>
      </c>
    </row>
    <row r="1115" spans="1:20" x14ac:dyDescent="0.2">
      <c r="A1115" s="8" t="s">
        <v>4268</v>
      </c>
      <c r="B1115" s="8" t="str">
        <f t="shared" si="34"/>
        <v>1586244216</v>
      </c>
      <c r="C1115" s="8" t="str">
        <f t="shared" si="35"/>
        <v>1150</v>
      </c>
      <c r="D1115" s="8" t="s">
        <v>119</v>
      </c>
      <c r="F1115" s="8" t="s">
        <v>185</v>
      </c>
      <c r="G1115" s="8" t="s">
        <v>241</v>
      </c>
      <c r="H1115" s="8" t="s">
        <v>242</v>
      </c>
      <c r="I1115" s="8" t="s">
        <v>243</v>
      </c>
      <c r="J1115" s="8" t="s">
        <v>244</v>
      </c>
      <c r="K1115" s="8" t="s">
        <v>245</v>
      </c>
      <c r="L1115" s="8" t="s">
        <v>246</v>
      </c>
      <c r="M1115" s="8" t="s">
        <v>2814</v>
      </c>
      <c r="N1115" s="8" t="s">
        <v>241</v>
      </c>
      <c r="O1115" s="8">
        <v>376.23</v>
      </c>
      <c r="P1115" s="8">
        <v>418.03</v>
      </c>
      <c r="Q1115" s="8" t="s">
        <v>2645</v>
      </c>
      <c r="R1115" s="8" t="s">
        <v>1927</v>
      </c>
    </row>
    <row r="1116" spans="1:20" x14ac:dyDescent="0.2">
      <c r="A1116" s="8" t="s">
        <v>4497</v>
      </c>
      <c r="B1116" s="8" t="str">
        <f t="shared" si="34"/>
        <v>1586244216</v>
      </c>
      <c r="C1116" s="8" t="str">
        <f t="shared" si="35"/>
        <v>1151</v>
      </c>
      <c r="D1116" s="8" t="s">
        <v>119</v>
      </c>
      <c r="F1116" s="8" t="s">
        <v>185</v>
      </c>
      <c r="G1116" s="8" t="s">
        <v>241</v>
      </c>
      <c r="H1116" s="8" t="s">
        <v>242</v>
      </c>
      <c r="I1116" s="8" t="s">
        <v>243</v>
      </c>
      <c r="J1116" s="8" t="s">
        <v>244</v>
      </c>
      <c r="K1116" s="8" t="s">
        <v>245</v>
      </c>
      <c r="L1116" s="8" t="s">
        <v>246</v>
      </c>
      <c r="M1116" s="8" t="s">
        <v>2814</v>
      </c>
      <c r="N1116" s="8" t="s">
        <v>241</v>
      </c>
      <c r="O1116" s="8">
        <v>376.23</v>
      </c>
      <c r="P1116" s="8">
        <v>418.03</v>
      </c>
      <c r="Q1116" s="8" t="s">
        <v>2645</v>
      </c>
      <c r="R1116" s="8" t="s">
        <v>247</v>
      </c>
    </row>
    <row r="1117" spans="1:20" x14ac:dyDescent="0.2">
      <c r="A1117" s="8" t="s">
        <v>3142</v>
      </c>
      <c r="B1117" s="8" t="str">
        <f t="shared" si="34"/>
        <v>1586244216</v>
      </c>
      <c r="C1117" s="8" t="str">
        <f t="shared" si="35"/>
        <v>1152</v>
      </c>
      <c r="D1117" s="8" t="s">
        <v>119</v>
      </c>
      <c r="F1117" s="8" t="s">
        <v>185</v>
      </c>
      <c r="G1117" s="8" t="s">
        <v>241</v>
      </c>
      <c r="H1117" s="8" t="s">
        <v>242</v>
      </c>
      <c r="I1117" s="8" t="s">
        <v>243</v>
      </c>
      <c r="J1117" s="8" t="s">
        <v>244</v>
      </c>
      <c r="K1117" s="8" t="s">
        <v>245</v>
      </c>
      <c r="L1117" s="8" t="s">
        <v>246</v>
      </c>
      <c r="M1117" s="8" t="s">
        <v>2814</v>
      </c>
      <c r="N1117" s="8" t="s">
        <v>241</v>
      </c>
      <c r="O1117" s="8">
        <v>376.23</v>
      </c>
      <c r="P1117" s="8">
        <v>418.03</v>
      </c>
      <c r="Q1117" s="8" t="s">
        <v>2645</v>
      </c>
      <c r="S1117" s="8" t="s">
        <v>142</v>
      </c>
      <c r="T1117" s="8">
        <v>47.21</v>
      </c>
    </row>
    <row r="1118" spans="1:20" x14ac:dyDescent="0.2">
      <c r="A1118" s="8" t="s">
        <v>3617</v>
      </c>
      <c r="B1118" s="8" t="str">
        <f t="shared" si="34"/>
        <v>1586244216</v>
      </c>
      <c r="C1118" s="8" t="str">
        <f t="shared" si="35"/>
        <v>1153</v>
      </c>
      <c r="D1118" s="8" t="s">
        <v>119</v>
      </c>
      <c r="F1118" s="8" t="s">
        <v>185</v>
      </c>
      <c r="G1118" s="8" t="s">
        <v>241</v>
      </c>
      <c r="H1118" s="8" t="s">
        <v>242</v>
      </c>
      <c r="I1118" s="8" t="s">
        <v>243</v>
      </c>
      <c r="J1118" s="8" t="s">
        <v>244</v>
      </c>
      <c r="K1118" s="8" t="s">
        <v>245</v>
      </c>
      <c r="L1118" s="8" t="s">
        <v>246</v>
      </c>
      <c r="M1118" s="8" t="s">
        <v>2814</v>
      </c>
      <c r="N1118" s="8" t="s">
        <v>241</v>
      </c>
      <c r="O1118" s="8">
        <v>376.23</v>
      </c>
      <c r="P1118" s="8">
        <v>418.03</v>
      </c>
      <c r="Q1118" s="8" t="s">
        <v>2645</v>
      </c>
      <c r="S1118" s="8" t="s">
        <v>184</v>
      </c>
      <c r="T1118" s="8">
        <v>77.459999999999994</v>
      </c>
    </row>
    <row r="1119" spans="1:20" x14ac:dyDescent="0.2">
      <c r="A1119" s="8" t="s">
        <v>3007</v>
      </c>
      <c r="B1119" s="8" t="str">
        <f t="shared" si="34"/>
        <v>1586244216</v>
      </c>
      <c r="C1119" s="8" t="str">
        <f t="shared" si="35"/>
        <v>1154</v>
      </c>
      <c r="D1119" s="8" t="s">
        <v>119</v>
      </c>
      <c r="F1119" s="8" t="s">
        <v>185</v>
      </c>
      <c r="G1119" s="8" t="s">
        <v>241</v>
      </c>
      <c r="H1119" s="8" t="s">
        <v>242</v>
      </c>
      <c r="I1119" s="8" t="s">
        <v>243</v>
      </c>
      <c r="J1119" s="8" t="s">
        <v>244</v>
      </c>
      <c r="K1119" s="8" t="s">
        <v>245</v>
      </c>
      <c r="L1119" s="8" t="s">
        <v>246</v>
      </c>
      <c r="M1119" s="8" t="s">
        <v>2814</v>
      </c>
      <c r="N1119" s="8" t="s">
        <v>241</v>
      </c>
      <c r="O1119" s="8">
        <v>376.23</v>
      </c>
      <c r="P1119" s="8">
        <v>418.03</v>
      </c>
      <c r="Q1119" s="8" t="s">
        <v>2645</v>
      </c>
      <c r="S1119" s="8" t="s">
        <v>542</v>
      </c>
      <c r="T1119" s="8">
        <v>118.03</v>
      </c>
    </row>
    <row r="1120" spans="1:20" x14ac:dyDescent="0.2">
      <c r="A1120" s="8" t="s">
        <v>3818</v>
      </c>
      <c r="B1120" s="8" t="str">
        <f t="shared" si="34"/>
        <v>1586244218</v>
      </c>
      <c r="C1120" s="8" t="str">
        <f t="shared" si="35"/>
        <v>1155</v>
      </c>
      <c r="D1120" s="8" t="s">
        <v>119</v>
      </c>
      <c r="F1120" s="8" t="s">
        <v>185</v>
      </c>
      <c r="G1120" s="8" t="s">
        <v>241</v>
      </c>
      <c r="H1120" s="8" t="s">
        <v>242</v>
      </c>
      <c r="I1120" s="8" t="s">
        <v>1068</v>
      </c>
      <c r="J1120" s="8" t="s">
        <v>1069</v>
      </c>
      <c r="K1120" s="8" t="s">
        <v>245</v>
      </c>
      <c r="L1120" s="8" t="s">
        <v>1070</v>
      </c>
      <c r="M1120" s="8" t="s">
        <v>2814</v>
      </c>
      <c r="N1120" s="8" t="s">
        <v>241</v>
      </c>
      <c r="O1120" s="8">
        <v>376.23</v>
      </c>
      <c r="P1120" s="8">
        <v>418.03</v>
      </c>
      <c r="Q1120" s="8" t="s">
        <v>2645</v>
      </c>
      <c r="R1120" s="8" t="s">
        <v>2399</v>
      </c>
    </row>
    <row r="1121" spans="1:20" x14ac:dyDescent="0.2">
      <c r="A1121" s="8" t="s">
        <v>3599</v>
      </c>
      <c r="B1121" s="8" t="str">
        <f t="shared" si="34"/>
        <v>1586244218</v>
      </c>
      <c r="C1121" s="8" t="str">
        <f t="shared" si="35"/>
        <v>1156</v>
      </c>
      <c r="D1121" s="8" t="s">
        <v>119</v>
      </c>
      <c r="F1121" s="8" t="s">
        <v>185</v>
      </c>
      <c r="G1121" s="8" t="s">
        <v>241</v>
      </c>
      <c r="H1121" s="8" t="s">
        <v>242</v>
      </c>
      <c r="I1121" s="8" t="s">
        <v>1068</v>
      </c>
      <c r="J1121" s="8" t="s">
        <v>1069</v>
      </c>
      <c r="K1121" s="8" t="s">
        <v>245</v>
      </c>
      <c r="L1121" s="8" t="s">
        <v>1070</v>
      </c>
      <c r="M1121" s="8" t="s">
        <v>2814</v>
      </c>
      <c r="N1121" s="8" t="s">
        <v>241</v>
      </c>
      <c r="O1121" s="8">
        <v>376.23</v>
      </c>
      <c r="P1121" s="8">
        <v>418.03</v>
      </c>
      <c r="Q1121" s="8" t="s">
        <v>2645</v>
      </c>
      <c r="R1121" s="8" t="s">
        <v>1071</v>
      </c>
    </row>
    <row r="1122" spans="1:20" x14ac:dyDescent="0.2">
      <c r="A1122" s="8" t="s">
        <v>3739</v>
      </c>
      <c r="B1122" s="8" t="str">
        <f t="shared" si="34"/>
        <v>1586244218</v>
      </c>
      <c r="C1122" s="8" t="str">
        <f t="shared" si="35"/>
        <v>1157</v>
      </c>
      <c r="D1122" s="8" t="s">
        <v>119</v>
      </c>
      <c r="F1122" s="8" t="s">
        <v>185</v>
      </c>
      <c r="G1122" s="8" t="s">
        <v>241</v>
      </c>
      <c r="H1122" s="8" t="s">
        <v>242</v>
      </c>
      <c r="I1122" s="8" t="s">
        <v>1068</v>
      </c>
      <c r="J1122" s="8" t="s">
        <v>1069</v>
      </c>
      <c r="K1122" s="8" t="s">
        <v>245</v>
      </c>
      <c r="L1122" s="8" t="s">
        <v>1070</v>
      </c>
      <c r="M1122" s="8" t="s">
        <v>2814</v>
      </c>
      <c r="N1122" s="8" t="s">
        <v>241</v>
      </c>
      <c r="O1122" s="8">
        <v>376.23</v>
      </c>
      <c r="P1122" s="8">
        <v>418.03</v>
      </c>
      <c r="Q1122" s="8" t="s">
        <v>2645</v>
      </c>
      <c r="S1122" s="8" t="s">
        <v>142</v>
      </c>
      <c r="T1122" s="8">
        <v>47.21</v>
      </c>
    </row>
    <row r="1123" spans="1:20" x14ac:dyDescent="0.2">
      <c r="A1123" s="8" t="s">
        <v>3104</v>
      </c>
      <c r="B1123" s="8" t="str">
        <f t="shared" si="34"/>
        <v>1586244218</v>
      </c>
      <c r="C1123" s="8" t="str">
        <f t="shared" si="35"/>
        <v>1158</v>
      </c>
      <c r="D1123" s="8" t="s">
        <v>119</v>
      </c>
      <c r="F1123" s="8" t="s">
        <v>185</v>
      </c>
      <c r="G1123" s="8" t="s">
        <v>241</v>
      </c>
      <c r="H1123" s="8" t="s">
        <v>242</v>
      </c>
      <c r="I1123" s="8" t="s">
        <v>1068</v>
      </c>
      <c r="J1123" s="8" t="s">
        <v>1069</v>
      </c>
      <c r="K1123" s="8" t="s">
        <v>245</v>
      </c>
      <c r="L1123" s="8" t="s">
        <v>1070</v>
      </c>
      <c r="M1123" s="8" t="s">
        <v>2814</v>
      </c>
      <c r="N1123" s="8" t="s">
        <v>241</v>
      </c>
      <c r="O1123" s="8">
        <v>376.23</v>
      </c>
      <c r="P1123" s="8">
        <v>418.03</v>
      </c>
      <c r="Q1123" s="8" t="s">
        <v>2645</v>
      </c>
      <c r="S1123" s="8" t="s">
        <v>184</v>
      </c>
      <c r="T1123" s="8">
        <v>77.459999999999994</v>
      </c>
    </row>
    <row r="1124" spans="1:20" x14ac:dyDescent="0.2">
      <c r="A1124" s="8" t="s">
        <v>4303</v>
      </c>
      <c r="B1124" s="8" t="str">
        <f t="shared" si="34"/>
        <v>1586244218</v>
      </c>
      <c r="C1124" s="8" t="str">
        <f t="shared" si="35"/>
        <v>1159</v>
      </c>
      <c r="D1124" s="8" t="s">
        <v>119</v>
      </c>
      <c r="F1124" s="8" t="s">
        <v>185</v>
      </c>
      <c r="G1124" s="8" t="s">
        <v>241</v>
      </c>
      <c r="H1124" s="8" t="s">
        <v>242</v>
      </c>
      <c r="I1124" s="8" t="s">
        <v>1068</v>
      </c>
      <c r="J1124" s="8" t="s">
        <v>1069</v>
      </c>
      <c r="K1124" s="8" t="s">
        <v>245</v>
      </c>
      <c r="L1124" s="8" t="s">
        <v>1070</v>
      </c>
      <c r="M1124" s="8" t="s">
        <v>2814</v>
      </c>
      <c r="N1124" s="8" t="s">
        <v>241</v>
      </c>
      <c r="O1124" s="8">
        <v>376.23</v>
      </c>
      <c r="P1124" s="8">
        <v>418.03</v>
      </c>
      <c r="Q1124" s="8" t="s">
        <v>2645</v>
      </c>
      <c r="S1124" s="8" t="s">
        <v>542</v>
      </c>
      <c r="T1124" s="8">
        <v>118.03</v>
      </c>
    </row>
    <row r="1125" spans="1:20" x14ac:dyDescent="0.2">
      <c r="A1125" s="8" t="s">
        <v>4099</v>
      </c>
      <c r="B1125" s="8" t="str">
        <f t="shared" si="34"/>
        <v>1586244222</v>
      </c>
      <c r="C1125" s="8" t="str">
        <f t="shared" si="35"/>
        <v>1160</v>
      </c>
      <c r="D1125" s="8" t="s">
        <v>119</v>
      </c>
      <c r="F1125" s="8" t="s">
        <v>185</v>
      </c>
      <c r="G1125" s="8" t="s">
        <v>1951</v>
      </c>
      <c r="H1125" s="8" t="s">
        <v>1952</v>
      </c>
      <c r="I1125" s="8" t="s">
        <v>167</v>
      </c>
      <c r="J1125" s="8" t="s">
        <v>1953</v>
      </c>
      <c r="K1125" s="8" t="s">
        <v>190</v>
      </c>
      <c r="L1125" s="8" t="s">
        <v>1954</v>
      </c>
      <c r="M1125" s="8" t="s">
        <v>2814</v>
      </c>
      <c r="N1125" s="8" t="s">
        <v>1951</v>
      </c>
      <c r="O1125" s="8">
        <v>755.41</v>
      </c>
      <c r="P1125" s="8">
        <v>839.34</v>
      </c>
      <c r="Q1125" s="8" t="s">
        <v>2646</v>
      </c>
      <c r="R1125" s="8" t="s">
        <v>1955</v>
      </c>
    </row>
    <row r="1126" spans="1:20" x14ac:dyDescent="0.2">
      <c r="A1126" s="8" t="s">
        <v>3988</v>
      </c>
      <c r="B1126" s="8" t="str">
        <f t="shared" si="34"/>
        <v>1586244227</v>
      </c>
      <c r="C1126" s="8" t="str">
        <f t="shared" si="35"/>
        <v>1161</v>
      </c>
      <c r="D1126" s="8" t="s">
        <v>119</v>
      </c>
      <c r="F1126" s="8" t="s">
        <v>185</v>
      </c>
      <c r="G1126" s="8" t="s">
        <v>829</v>
      </c>
      <c r="H1126" s="8" t="s">
        <v>830</v>
      </c>
      <c r="I1126" s="8" t="s">
        <v>167</v>
      </c>
      <c r="J1126" s="8" t="s">
        <v>831</v>
      </c>
      <c r="K1126" s="8" t="s">
        <v>190</v>
      </c>
      <c r="L1126" s="8" t="s">
        <v>832</v>
      </c>
      <c r="M1126" s="8" t="s">
        <v>2814</v>
      </c>
      <c r="N1126" s="8" t="s">
        <v>829</v>
      </c>
      <c r="O1126" s="8">
        <v>809.26</v>
      </c>
      <c r="P1126" s="8">
        <v>899.18</v>
      </c>
      <c r="Q1126" s="8" t="s">
        <v>2646</v>
      </c>
      <c r="R1126" s="8" t="s">
        <v>2040</v>
      </c>
    </row>
    <row r="1127" spans="1:20" x14ac:dyDescent="0.2">
      <c r="A1127" s="8" t="s">
        <v>3492</v>
      </c>
      <c r="B1127" s="8" t="str">
        <f t="shared" si="34"/>
        <v>1586244227</v>
      </c>
      <c r="C1127" s="8" t="str">
        <f t="shared" si="35"/>
        <v>1162</v>
      </c>
      <c r="D1127" s="8" t="s">
        <v>119</v>
      </c>
      <c r="F1127" s="8" t="s">
        <v>185</v>
      </c>
      <c r="G1127" s="8" t="s">
        <v>829</v>
      </c>
      <c r="H1127" s="8" t="s">
        <v>830</v>
      </c>
      <c r="I1127" s="8" t="s">
        <v>167</v>
      </c>
      <c r="J1127" s="8" t="s">
        <v>831</v>
      </c>
      <c r="K1127" s="8" t="s">
        <v>190</v>
      </c>
      <c r="L1127" s="8" t="s">
        <v>832</v>
      </c>
      <c r="M1127" s="8" t="s">
        <v>2814</v>
      </c>
      <c r="N1127" s="8" t="s">
        <v>829</v>
      </c>
      <c r="O1127" s="8">
        <v>809.26</v>
      </c>
      <c r="P1127" s="8">
        <v>899.18</v>
      </c>
      <c r="Q1127" s="8" t="s">
        <v>2646</v>
      </c>
      <c r="R1127" s="8" t="s">
        <v>955</v>
      </c>
    </row>
    <row r="1128" spans="1:20" x14ac:dyDescent="0.2">
      <c r="A1128" s="8" t="s">
        <v>3753</v>
      </c>
      <c r="B1128" s="8" t="str">
        <f t="shared" si="34"/>
        <v>1586244227</v>
      </c>
      <c r="C1128" s="8" t="str">
        <f t="shared" si="35"/>
        <v>1163</v>
      </c>
      <c r="D1128" s="8" t="s">
        <v>119</v>
      </c>
      <c r="F1128" s="8" t="s">
        <v>185</v>
      </c>
      <c r="G1128" s="8" t="s">
        <v>829</v>
      </c>
      <c r="H1128" s="8" t="s">
        <v>830</v>
      </c>
      <c r="I1128" s="8" t="s">
        <v>167</v>
      </c>
      <c r="J1128" s="8" t="s">
        <v>831</v>
      </c>
      <c r="K1128" s="8" t="s">
        <v>190</v>
      </c>
      <c r="L1128" s="8" t="s">
        <v>832</v>
      </c>
      <c r="M1128" s="8" t="s">
        <v>2814</v>
      </c>
      <c r="N1128" s="8" t="s">
        <v>829</v>
      </c>
      <c r="O1128" s="8">
        <v>809.26</v>
      </c>
      <c r="P1128" s="8">
        <v>899.18</v>
      </c>
      <c r="Q1128" s="8" t="s">
        <v>2646</v>
      </c>
      <c r="R1128" s="8" t="s">
        <v>833</v>
      </c>
    </row>
    <row r="1129" spans="1:20" x14ac:dyDescent="0.2">
      <c r="A1129" s="8" t="s">
        <v>4273</v>
      </c>
      <c r="B1129" s="8" t="str">
        <f t="shared" si="34"/>
        <v>1586244231</v>
      </c>
      <c r="C1129" s="8" t="str">
        <f t="shared" si="35"/>
        <v>1164</v>
      </c>
      <c r="D1129" s="8" t="s">
        <v>119</v>
      </c>
      <c r="F1129" s="8" t="s">
        <v>185</v>
      </c>
      <c r="G1129" s="8" t="s">
        <v>451</v>
      </c>
      <c r="H1129" s="8" t="s">
        <v>452</v>
      </c>
      <c r="I1129" s="8" t="s">
        <v>71</v>
      </c>
      <c r="J1129" s="8" t="s">
        <v>453</v>
      </c>
      <c r="K1129" s="8" t="s">
        <v>176</v>
      </c>
      <c r="L1129" s="8" t="s">
        <v>454</v>
      </c>
      <c r="M1129" s="8" t="s">
        <v>2814</v>
      </c>
      <c r="N1129" s="8" t="s">
        <v>451</v>
      </c>
      <c r="O1129" s="8">
        <v>526.72</v>
      </c>
      <c r="P1129" s="8">
        <v>585.25</v>
      </c>
      <c r="Q1129" s="8" t="s">
        <v>2647</v>
      </c>
      <c r="R1129" s="8" t="s">
        <v>2012</v>
      </c>
    </row>
    <row r="1130" spans="1:20" x14ac:dyDescent="0.2">
      <c r="A1130" s="8" t="s">
        <v>4296</v>
      </c>
      <c r="B1130" s="8" t="str">
        <f t="shared" si="34"/>
        <v>1586244231</v>
      </c>
      <c r="C1130" s="8" t="str">
        <f t="shared" si="35"/>
        <v>1165</v>
      </c>
      <c r="D1130" s="8" t="s">
        <v>119</v>
      </c>
      <c r="F1130" s="8" t="s">
        <v>185</v>
      </c>
      <c r="G1130" s="8" t="s">
        <v>451</v>
      </c>
      <c r="H1130" s="8" t="s">
        <v>452</v>
      </c>
      <c r="I1130" s="8" t="s">
        <v>71</v>
      </c>
      <c r="J1130" s="8" t="s">
        <v>453</v>
      </c>
      <c r="K1130" s="8" t="s">
        <v>176</v>
      </c>
      <c r="L1130" s="8" t="s">
        <v>454</v>
      </c>
      <c r="M1130" s="8" t="s">
        <v>2814</v>
      </c>
      <c r="N1130" s="8" t="s">
        <v>451</v>
      </c>
      <c r="O1130" s="8">
        <v>526.72</v>
      </c>
      <c r="P1130" s="8">
        <v>585.25</v>
      </c>
      <c r="Q1130" s="8" t="s">
        <v>2647</v>
      </c>
      <c r="R1130" s="8" t="s">
        <v>2329</v>
      </c>
    </row>
    <row r="1131" spans="1:20" x14ac:dyDescent="0.2">
      <c r="A1131" s="8" t="s">
        <v>3757</v>
      </c>
      <c r="B1131" s="8" t="str">
        <f t="shared" si="34"/>
        <v>1586244231</v>
      </c>
      <c r="C1131" s="8" t="str">
        <f t="shared" si="35"/>
        <v>1166</v>
      </c>
      <c r="D1131" s="8" t="s">
        <v>119</v>
      </c>
      <c r="F1131" s="8" t="s">
        <v>185</v>
      </c>
      <c r="G1131" s="8" t="s">
        <v>451</v>
      </c>
      <c r="H1131" s="8" t="s">
        <v>452</v>
      </c>
      <c r="I1131" s="8" t="s">
        <v>71</v>
      </c>
      <c r="J1131" s="8" t="s">
        <v>453</v>
      </c>
      <c r="K1131" s="8" t="s">
        <v>176</v>
      </c>
      <c r="L1131" s="8" t="s">
        <v>454</v>
      </c>
      <c r="M1131" s="8" t="s">
        <v>2814</v>
      </c>
      <c r="N1131" s="8" t="s">
        <v>451</v>
      </c>
      <c r="O1131" s="8">
        <v>526.72</v>
      </c>
      <c r="P1131" s="8">
        <v>585.25</v>
      </c>
      <c r="Q1131" s="8" t="s">
        <v>2647</v>
      </c>
      <c r="R1131" s="8" t="s">
        <v>1614</v>
      </c>
    </row>
    <row r="1132" spans="1:20" x14ac:dyDescent="0.2">
      <c r="A1132" s="8" t="s">
        <v>3352</v>
      </c>
      <c r="B1132" s="8" t="str">
        <f t="shared" si="34"/>
        <v>1586244231</v>
      </c>
      <c r="C1132" s="8" t="str">
        <f t="shared" si="35"/>
        <v>1167</v>
      </c>
      <c r="D1132" s="8" t="s">
        <v>119</v>
      </c>
      <c r="F1132" s="8" t="s">
        <v>185</v>
      </c>
      <c r="G1132" s="8" t="s">
        <v>451</v>
      </c>
      <c r="H1132" s="8" t="s">
        <v>452</v>
      </c>
      <c r="I1132" s="8" t="s">
        <v>71</v>
      </c>
      <c r="J1132" s="8" t="s">
        <v>453</v>
      </c>
      <c r="K1132" s="8" t="s">
        <v>176</v>
      </c>
      <c r="L1132" s="8" t="s">
        <v>454</v>
      </c>
      <c r="M1132" s="8" t="s">
        <v>2814</v>
      </c>
      <c r="N1132" s="8" t="s">
        <v>451</v>
      </c>
      <c r="O1132" s="8">
        <v>526.72</v>
      </c>
      <c r="P1132" s="8">
        <v>585.25</v>
      </c>
      <c r="Q1132" s="8" t="s">
        <v>2647</v>
      </c>
      <c r="S1132" s="8" t="s">
        <v>109</v>
      </c>
      <c r="T1132" s="8">
        <v>37.619999999999997</v>
      </c>
    </row>
    <row r="1133" spans="1:20" x14ac:dyDescent="0.2">
      <c r="A1133" s="8" t="s">
        <v>4569</v>
      </c>
      <c r="B1133" s="8" t="str">
        <f t="shared" si="34"/>
        <v>1586244231</v>
      </c>
      <c r="C1133" s="8" t="str">
        <f t="shared" si="35"/>
        <v>1168</v>
      </c>
      <c r="D1133" s="8" t="s">
        <v>119</v>
      </c>
      <c r="F1133" s="8" t="s">
        <v>185</v>
      </c>
      <c r="G1133" s="8" t="s">
        <v>451</v>
      </c>
      <c r="H1133" s="8" t="s">
        <v>452</v>
      </c>
      <c r="I1133" s="8" t="s">
        <v>71</v>
      </c>
      <c r="J1133" s="8" t="s">
        <v>453</v>
      </c>
      <c r="K1133" s="8" t="s">
        <v>176</v>
      </c>
      <c r="L1133" s="8" t="s">
        <v>454</v>
      </c>
      <c r="M1133" s="8" t="s">
        <v>2814</v>
      </c>
      <c r="N1133" s="8" t="s">
        <v>451</v>
      </c>
      <c r="O1133" s="8">
        <v>526.72</v>
      </c>
      <c r="P1133" s="8">
        <v>585.25</v>
      </c>
      <c r="Q1133" s="8" t="s">
        <v>2647</v>
      </c>
      <c r="S1133" s="8" t="s">
        <v>455</v>
      </c>
      <c r="T1133" s="8">
        <v>103.28</v>
      </c>
    </row>
    <row r="1134" spans="1:20" x14ac:dyDescent="0.2">
      <c r="A1134" s="8" t="s">
        <v>4736</v>
      </c>
      <c r="B1134" s="8" t="str">
        <f t="shared" si="34"/>
        <v>1586244233</v>
      </c>
      <c r="C1134" s="8" t="str">
        <f t="shared" si="35"/>
        <v>1169</v>
      </c>
      <c r="D1134" s="8" t="s">
        <v>119</v>
      </c>
      <c r="F1134" s="8" t="s">
        <v>185</v>
      </c>
      <c r="G1134" s="8" t="s">
        <v>451</v>
      </c>
      <c r="H1134" s="8" t="s">
        <v>452</v>
      </c>
      <c r="I1134" s="8" t="s">
        <v>71</v>
      </c>
      <c r="J1134" s="8" t="s">
        <v>491</v>
      </c>
      <c r="K1134" s="8" t="s">
        <v>125</v>
      </c>
      <c r="L1134" s="8" t="s">
        <v>492</v>
      </c>
      <c r="M1134" s="8" t="s">
        <v>2814</v>
      </c>
      <c r="N1134" s="8" t="s">
        <v>451</v>
      </c>
      <c r="O1134" s="8">
        <v>357.79</v>
      </c>
      <c r="P1134" s="8">
        <v>397.54</v>
      </c>
      <c r="Q1134" s="8" t="s">
        <v>2648</v>
      </c>
      <c r="R1134" s="8" t="s">
        <v>578</v>
      </c>
    </row>
    <row r="1135" spans="1:20" x14ac:dyDescent="0.2">
      <c r="A1135" s="8" t="s">
        <v>3310</v>
      </c>
      <c r="B1135" s="8" t="str">
        <f t="shared" si="34"/>
        <v>1586244233</v>
      </c>
      <c r="C1135" s="8" t="str">
        <f t="shared" si="35"/>
        <v>1170</v>
      </c>
      <c r="D1135" s="8" t="s">
        <v>119</v>
      </c>
      <c r="F1135" s="8" t="s">
        <v>185</v>
      </c>
      <c r="G1135" s="8" t="s">
        <v>451</v>
      </c>
      <c r="H1135" s="8" t="s">
        <v>452</v>
      </c>
      <c r="I1135" s="8" t="s">
        <v>71</v>
      </c>
      <c r="J1135" s="8" t="s">
        <v>491</v>
      </c>
      <c r="K1135" s="8" t="s">
        <v>125</v>
      </c>
      <c r="L1135" s="8" t="s">
        <v>492</v>
      </c>
      <c r="M1135" s="8" t="s">
        <v>2814</v>
      </c>
      <c r="N1135" s="8" t="s">
        <v>451</v>
      </c>
      <c r="O1135" s="8">
        <v>357.79</v>
      </c>
      <c r="P1135" s="8">
        <v>397.54</v>
      </c>
      <c r="Q1135" s="8" t="s">
        <v>2648</v>
      </c>
      <c r="R1135" s="8" t="s">
        <v>2050</v>
      </c>
    </row>
    <row r="1136" spans="1:20" x14ac:dyDescent="0.2">
      <c r="A1136" s="8" t="s">
        <v>3120</v>
      </c>
      <c r="B1136" s="8" t="str">
        <f t="shared" si="34"/>
        <v>1586244233</v>
      </c>
      <c r="C1136" s="8" t="str">
        <f t="shared" si="35"/>
        <v>1171</v>
      </c>
      <c r="D1136" s="8" t="s">
        <v>119</v>
      </c>
      <c r="F1136" s="8" t="s">
        <v>185</v>
      </c>
      <c r="G1136" s="8" t="s">
        <v>451</v>
      </c>
      <c r="H1136" s="8" t="s">
        <v>452</v>
      </c>
      <c r="I1136" s="8" t="s">
        <v>71</v>
      </c>
      <c r="J1136" s="8" t="s">
        <v>491</v>
      </c>
      <c r="K1136" s="8" t="s">
        <v>125</v>
      </c>
      <c r="L1136" s="8" t="s">
        <v>492</v>
      </c>
      <c r="M1136" s="8" t="s">
        <v>2814</v>
      </c>
      <c r="N1136" s="8" t="s">
        <v>451</v>
      </c>
      <c r="O1136" s="8">
        <v>357.79</v>
      </c>
      <c r="P1136" s="8">
        <v>397.54</v>
      </c>
      <c r="Q1136" s="8" t="s">
        <v>2648</v>
      </c>
      <c r="R1136" s="8" t="s">
        <v>1731</v>
      </c>
    </row>
    <row r="1137" spans="1:20" x14ac:dyDescent="0.2">
      <c r="A1137" s="8" t="s">
        <v>4423</v>
      </c>
      <c r="B1137" s="8" t="str">
        <f t="shared" si="34"/>
        <v>1586244233</v>
      </c>
      <c r="C1137" s="8" t="str">
        <f t="shared" si="35"/>
        <v>1172</v>
      </c>
      <c r="D1137" s="8" t="s">
        <v>119</v>
      </c>
      <c r="F1137" s="8" t="s">
        <v>185</v>
      </c>
      <c r="G1137" s="8" t="s">
        <v>451</v>
      </c>
      <c r="H1137" s="8" t="s">
        <v>452</v>
      </c>
      <c r="I1137" s="8" t="s">
        <v>71</v>
      </c>
      <c r="J1137" s="8" t="s">
        <v>491</v>
      </c>
      <c r="K1137" s="8" t="s">
        <v>125</v>
      </c>
      <c r="L1137" s="8" t="s">
        <v>492</v>
      </c>
      <c r="M1137" s="8" t="s">
        <v>2814</v>
      </c>
      <c r="N1137" s="8" t="s">
        <v>451</v>
      </c>
      <c r="O1137" s="8">
        <v>357.79</v>
      </c>
      <c r="P1137" s="8">
        <v>397.54</v>
      </c>
      <c r="Q1137" s="8" t="s">
        <v>2648</v>
      </c>
      <c r="S1137" s="8" t="s">
        <v>109</v>
      </c>
      <c r="T1137" s="8">
        <v>37.619999999999997</v>
      </c>
    </row>
    <row r="1138" spans="1:20" x14ac:dyDescent="0.2">
      <c r="A1138" s="8" t="s">
        <v>3569</v>
      </c>
      <c r="B1138" s="8" t="str">
        <f t="shared" si="34"/>
        <v>1586244233</v>
      </c>
      <c r="C1138" s="8" t="str">
        <f t="shared" si="35"/>
        <v>1173</v>
      </c>
      <c r="D1138" s="8" t="s">
        <v>119</v>
      </c>
      <c r="F1138" s="8" t="s">
        <v>185</v>
      </c>
      <c r="G1138" s="8" t="s">
        <v>451</v>
      </c>
      <c r="H1138" s="8" t="s">
        <v>452</v>
      </c>
      <c r="I1138" s="8" t="s">
        <v>71</v>
      </c>
      <c r="J1138" s="8" t="s">
        <v>491</v>
      </c>
      <c r="K1138" s="8" t="s">
        <v>125</v>
      </c>
      <c r="L1138" s="8" t="s">
        <v>492</v>
      </c>
      <c r="M1138" s="8" t="s">
        <v>2814</v>
      </c>
      <c r="N1138" s="8" t="s">
        <v>451</v>
      </c>
      <c r="O1138" s="8">
        <v>357.79</v>
      </c>
      <c r="P1138" s="8">
        <v>397.54</v>
      </c>
      <c r="Q1138" s="8" t="s">
        <v>2648</v>
      </c>
      <c r="S1138" s="8" t="s">
        <v>455</v>
      </c>
      <c r="T1138" s="8">
        <v>84.1</v>
      </c>
    </row>
    <row r="1139" spans="1:20" x14ac:dyDescent="0.2">
      <c r="A1139" s="8" t="s">
        <v>4068</v>
      </c>
      <c r="B1139" s="8" t="str">
        <f t="shared" si="34"/>
        <v>1586244237</v>
      </c>
      <c r="C1139" s="8" t="str">
        <f t="shared" si="35"/>
        <v>1174</v>
      </c>
      <c r="D1139" s="8" t="s">
        <v>119</v>
      </c>
      <c r="F1139" s="8" t="s">
        <v>185</v>
      </c>
      <c r="G1139" s="8" t="s">
        <v>413</v>
      </c>
      <c r="H1139" s="8" t="s">
        <v>414</v>
      </c>
      <c r="I1139" s="8" t="s">
        <v>71</v>
      </c>
      <c r="J1139" s="8" t="s">
        <v>415</v>
      </c>
      <c r="K1139" s="8" t="s">
        <v>190</v>
      </c>
      <c r="L1139" s="8" t="s">
        <v>416</v>
      </c>
      <c r="M1139" s="8" t="s">
        <v>2814</v>
      </c>
      <c r="N1139" s="8" t="s">
        <v>413</v>
      </c>
      <c r="O1139" s="8">
        <v>593.11</v>
      </c>
      <c r="P1139" s="8">
        <v>659.02</v>
      </c>
      <c r="Q1139" s="8" t="s">
        <v>2649</v>
      </c>
      <c r="R1139" s="8" t="s">
        <v>2393</v>
      </c>
    </row>
    <row r="1140" spans="1:20" x14ac:dyDescent="0.2">
      <c r="A1140" s="8" t="s">
        <v>3373</v>
      </c>
      <c r="B1140" s="8" t="str">
        <f t="shared" si="34"/>
        <v>1586244237</v>
      </c>
      <c r="C1140" s="8" t="str">
        <f t="shared" si="35"/>
        <v>1175</v>
      </c>
      <c r="D1140" s="8" t="s">
        <v>119</v>
      </c>
      <c r="F1140" s="8" t="s">
        <v>185</v>
      </c>
      <c r="G1140" s="8" t="s">
        <v>413</v>
      </c>
      <c r="H1140" s="8" t="s">
        <v>414</v>
      </c>
      <c r="I1140" s="8" t="s">
        <v>71</v>
      </c>
      <c r="J1140" s="8" t="s">
        <v>415</v>
      </c>
      <c r="K1140" s="8" t="s">
        <v>190</v>
      </c>
      <c r="L1140" s="8" t="s">
        <v>416</v>
      </c>
      <c r="M1140" s="8" t="s">
        <v>2814</v>
      </c>
      <c r="N1140" s="8" t="s">
        <v>413</v>
      </c>
      <c r="O1140" s="8">
        <v>593.11</v>
      </c>
      <c r="P1140" s="8">
        <v>659.02</v>
      </c>
      <c r="Q1140" s="8" t="s">
        <v>2649</v>
      </c>
      <c r="R1140" s="8" t="s">
        <v>417</v>
      </c>
    </row>
    <row r="1141" spans="1:20" x14ac:dyDescent="0.2">
      <c r="A1141" s="8" t="s">
        <v>4356</v>
      </c>
      <c r="B1141" s="8" t="str">
        <f t="shared" si="34"/>
        <v>1586244237</v>
      </c>
      <c r="C1141" s="8" t="str">
        <f t="shared" si="35"/>
        <v>1176</v>
      </c>
      <c r="D1141" s="8" t="s">
        <v>119</v>
      </c>
      <c r="F1141" s="8" t="s">
        <v>185</v>
      </c>
      <c r="G1141" s="8" t="s">
        <v>413</v>
      </c>
      <c r="H1141" s="8" t="s">
        <v>414</v>
      </c>
      <c r="I1141" s="8" t="s">
        <v>71</v>
      </c>
      <c r="J1141" s="8" t="s">
        <v>415</v>
      </c>
      <c r="K1141" s="8" t="s">
        <v>190</v>
      </c>
      <c r="L1141" s="8" t="s">
        <v>416</v>
      </c>
      <c r="M1141" s="8" t="s">
        <v>2814</v>
      </c>
      <c r="N1141" s="8" t="s">
        <v>413</v>
      </c>
      <c r="O1141" s="8">
        <v>593.11</v>
      </c>
      <c r="P1141" s="8">
        <v>659.02</v>
      </c>
      <c r="Q1141" s="8" t="s">
        <v>2649</v>
      </c>
      <c r="R1141" s="8" t="s">
        <v>2010</v>
      </c>
    </row>
    <row r="1142" spans="1:20" x14ac:dyDescent="0.2">
      <c r="A1142" s="8" t="s">
        <v>3135</v>
      </c>
      <c r="B1142" s="8" t="str">
        <f t="shared" si="34"/>
        <v>1586244237</v>
      </c>
      <c r="C1142" s="8" t="str">
        <f t="shared" si="35"/>
        <v>1177</v>
      </c>
      <c r="D1142" s="8" t="s">
        <v>119</v>
      </c>
      <c r="F1142" s="8" t="s">
        <v>185</v>
      </c>
      <c r="G1142" s="8" t="s">
        <v>413</v>
      </c>
      <c r="H1142" s="8" t="s">
        <v>414</v>
      </c>
      <c r="I1142" s="8" t="s">
        <v>71</v>
      </c>
      <c r="J1142" s="8" t="s">
        <v>415</v>
      </c>
      <c r="K1142" s="8" t="s">
        <v>190</v>
      </c>
      <c r="L1142" s="8" t="s">
        <v>416</v>
      </c>
      <c r="M1142" s="8" t="s">
        <v>2814</v>
      </c>
      <c r="N1142" s="8" t="s">
        <v>413</v>
      </c>
      <c r="O1142" s="8">
        <v>593.11</v>
      </c>
      <c r="P1142" s="8">
        <v>659.02</v>
      </c>
      <c r="Q1142" s="8" t="s">
        <v>2649</v>
      </c>
      <c r="S1142" s="8" t="s">
        <v>109</v>
      </c>
      <c r="T1142" s="8">
        <v>37.619999999999997</v>
      </c>
    </row>
    <row r="1143" spans="1:20" x14ac:dyDescent="0.2">
      <c r="A1143" s="8" t="s">
        <v>3180</v>
      </c>
      <c r="B1143" s="8" t="str">
        <f t="shared" si="34"/>
        <v>1586244243</v>
      </c>
      <c r="C1143" s="8" t="str">
        <f t="shared" si="35"/>
        <v>1178</v>
      </c>
      <c r="D1143" s="8" t="s">
        <v>119</v>
      </c>
      <c r="F1143" s="8" t="s">
        <v>438</v>
      </c>
      <c r="G1143" s="8" t="s">
        <v>439</v>
      </c>
      <c r="H1143" s="8" t="s">
        <v>440</v>
      </c>
      <c r="I1143" s="8" t="s">
        <v>441</v>
      </c>
      <c r="J1143" s="8" t="s">
        <v>2076</v>
      </c>
      <c r="K1143" s="8" t="s">
        <v>176</v>
      </c>
      <c r="L1143" s="8" t="s">
        <v>2077</v>
      </c>
      <c r="M1143" s="8" t="s">
        <v>3054</v>
      </c>
      <c r="N1143" s="8" t="s">
        <v>439</v>
      </c>
      <c r="O1143" s="8">
        <v>0</v>
      </c>
      <c r="P1143" s="8">
        <v>0</v>
      </c>
      <c r="Q1143" s="8" t="s">
        <v>2650</v>
      </c>
      <c r="R1143" s="8" t="s">
        <v>2433</v>
      </c>
    </row>
    <row r="1144" spans="1:20" x14ac:dyDescent="0.2">
      <c r="A1144" s="8" t="s">
        <v>3874</v>
      </c>
      <c r="B1144" s="8" t="str">
        <f t="shared" si="34"/>
        <v>1586244243</v>
      </c>
      <c r="C1144" s="8" t="str">
        <f t="shared" si="35"/>
        <v>1179</v>
      </c>
      <c r="D1144" s="8" t="s">
        <v>119</v>
      </c>
      <c r="F1144" s="8" t="s">
        <v>438</v>
      </c>
      <c r="G1144" s="8" t="s">
        <v>439</v>
      </c>
      <c r="H1144" s="8" t="s">
        <v>440</v>
      </c>
      <c r="I1144" s="8" t="s">
        <v>441</v>
      </c>
      <c r="J1144" s="8" t="s">
        <v>2076</v>
      </c>
      <c r="K1144" s="8" t="s">
        <v>176</v>
      </c>
      <c r="L1144" s="8" t="s">
        <v>2077</v>
      </c>
      <c r="M1144" s="8" t="s">
        <v>3054</v>
      </c>
      <c r="N1144" s="8" t="s">
        <v>439</v>
      </c>
      <c r="O1144" s="8">
        <v>0</v>
      </c>
      <c r="P1144" s="8">
        <v>0</v>
      </c>
      <c r="Q1144" s="8" t="s">
        <v>2650</v>
      </c>
      <c r="R1144" s="8" t="s">
        <v>2117</v>
      </c>
    </row>
    <row r="1145" spans="1:20" x14ac:dyDescent="0.2">
      <c r="A1145" s="8" t="s">
        <v>3190</v>
      </c>
      <c r="B1145" s="8" t="str">
        <f t="shared" si="34"/>
        <v>1586244243</v>
      </c>
      <c r="C1145" s="8" t="str">
        <f t="shared" si="35"/>
        <v>1180</v>
      </c>
      <c r="D1145" s="8" t="s">
        <v>119</v>
      </c>
      <c r="F1145" s="8" t="s">
        <v>438</v>
      </c>
      <c r="G1145" s="8" t="s">
        <v>439</v>
      </c>
      <c r="H1145" s="8" t="s">
        <v>440</v>
      </c>
      <c r="I1145" s="8" t="s">
        <v>441</v>
      </c>
      <c r="J1145" s="8" t="s">
        <v>2076</v>
      </c>
      <c r="K1145" s="8" t="s">
        <v>176</v>
      </c>
      <c r="L1145" s="8" t="s">
        <v>2077</v>
      </c>
      <c r="M1145" s="8" t="s">
        <v>3054</v>
      </c>
      <c r="N1145" s="8" t="s">
        <v>439</v>
      </c>
      <c r="O1145" s="8">
        <v>0</v>
      </c>
      <c r="P1145" s="8">
        <v>0</v>
      </c>
      <c r="Q1145" s="8" t="s">
        <v>2650</v>
      </c>
      <c r="R1145" s="8" t="s">
        <v>2078</v>
      </c>
    </row>
    <row r="1146" spans="1:20" x14ac:dyDescent="0.2">
      <c r="A1146" s="8" t="s">
        <v>3657</v>
      </c>
      <c r="B1146" s="8" t="str">
        <f t="shared" si="34"/>
        <v>1586244245</v>
      </c>
      <c r="C1146" s="8" t="str">
        <f t="shared" si="35"/>
        <v>1181</v>
      </c>
      <c r="D1146" s="8" t="s">
        <v>119</v>
      </c>
      <c r="F1146" s="8" t="s">
        <v>438</v>
      </c>
      <c r="G1146" s="8" t="s">
        <v>439</v>
      </c>
      <c r="H1146" s="8" t="s">
        <v>440</v>
      </c>
      <c r="I1146" s="8" t="s">
        <v>441</v>
      </c>
      <c r="J1146" s="8" t="s">
        <v>442</v>
      </c>
      <c r="K1146" s="8" t="s">
        <v>443</v>
      </c>
      <c r="L1146" s="8" t="s">
        <v>444</v>
      </c>
      <c r="M1146" s="8" t="s">
        <v>3054</v>
      </c>
      <c r="N1146" s="8" t="s">
        <v>439</v>
      </c>
      <c r="O1146" s="8">
        <v>804.1</v>
      </c>
      <c r="P1146" s="8">
        <v>893.44</v>
      </c>
      <c r="Q1146" s="8" t="s">
        <v>2651</v>
      </c>
      <c r="R1146" s="8" t="s">
        <v>1912</v>
      </c>
    </row>
    <row r="1147" spans="1:20" x14ac:dyDescent="0.2">
      <c r="A1147" s="8" t="s">
        <v>3943</v>
      </c>
      <c r="B1147" s="8" t="str">
        <f t="shared" si="34"/>
        <v>1586244245</v>
      </c>
      <c r="C1147" s="8" t="str">
        <f t="shared" si="35"/>
        <v>1182</v>
      </c>
      <c r="D1147" s="8" t="s">
        <v>119</v>
      </c>
      <c r="F1147" s="8" t="s">
        <v>438</v>
      </c>
      <c r="G1147" s="8" t="s">
        <v>439</v>
      </c>
      <c r="H1147" s="8" t="s">
        <v>440</v>
      </c>
      <c r="I1147" s="8" t="s">
        <v>441</v>
      </c>
      <c r="J1147" s="8" t="s">
        <v>442</v>
      </c>
      <c r="K1147" s="8" t="s">
        <v>443</v>
      </c>
      <c r="L1147" s="8" t="s">
        <v>444</v>
      </c>
      <c r="M1147" s="8" t="s">
        <v>3054</v>
      </c>
      <c r="N1147" s="8" t="s">
        <v>439</v>
      </c>
      <c r="O1147" s="8">
        <v>804.1</v>
      </c>
      <c r="P1147" s="8">
        <v>893.44</v>
      </c>
      <c r="Q1147" s="8" t="s">
        <v>2651</v>
      </c>
      <c r="R1147" s="8" t="s">
        <v>1734</v>
      </c>
    </row>
    <row r="1148" spans="1:20" x14ac:dyDescent="0.2">
      <c r="A1148" s="8" t="s">
        <v>4792</v>
      </c>
      <c r="B1148" s="8" t="str">
        <f t="shared" si="34"/>
        <v>1586244245</v>
      </c>
      <c r="C1148" s="8" t="str">
        <f t="shared" si="35"/>
        <v>1183</v>
      </c>
      <c r="D1148" s="8" t="s">
        <v>119</v>
      </c>
      <c r="F1148" s="8" t="s">
        <v>438</v>
      </c>
      <c r="G1148" s="8" t="s">
        <v>439</v>
      </c>
      <c r="H1148" s="8" t="s">
        <v>440</v>
      </c>
      <c r="I1148" s="8" t="s">
        <v>441</v>
      </c>
      <c r="J1148" s="8" t="s">
        <v>442</v>
      </c>
      <c r="K1148" s="8" t="s">
        <v>443</v>
      </c>
      <c r="L1148" s="8" t="s">
        <v>444</v>
      </c>
      <c r="M1148" s="8" t="s">
        <v>3054</v>
      </c>
      <c r="N1148" s="8" t="s">
        <v>439</v>
      </c>
      <c r="O1148" s="8">
        <v>804.1</v>
      </c>
      <c r="P1148" s="8">
        <v>893.44</v>
      </c>
      <c r="Q1148" s="8" t="s">
        <v>2651</v>
      </c>
      <c r="R1148" s="8" t="s">
        <v>1923</v>
      </c>
    </row>
    <row r="1149" spans="1:20" x14ac:dyDescent="0.2">
      <c r="A1149" s="8" t="s">
        <v>3053</v>
      </c>
      <c r="B1149" s="8" t="str">
        <f t="shared" si="34"/>
        <v>1586244245</v>
      </c>
      <c r="C1149" s="8" t="str">
        <f t="shared" si="35"/>
        <v>1184</v>
      </c>
      <c r="D1149" s="8" t="s">
        <v>119</v>
      </c>
      <c r="F1149" s="8" t="s">
        <v>438</v>
      </c>
      <c r="G1149" s="8" t="s">
        <v>439</v>
      </c>
      <c r="H1149" s="8" t="s">
        <v>440</v>
      </c>
      <c r="I1149" s="8" t="s">
        <v>441</v>
      </c>
      <c r="J1149" s="8" t="s">
        <v>442</v>
      </c>
      <c r="K1149" s="8" t="s">
        <v>443</v>
      </c>
      <c r="L1149" s="8" t="s">
        <v>444</v>
      </c>
      <c r="M1149" s="8" t="s">
        <v>3054</v>
      </c>
      <c r="N1149" s="8" t="s">
        <v>439</v>
      </c>
      <c r="O1149" s="8">
        <v>804.1</v>
      </c>
      <c r="P1149" s="8">
        <v>893.44</v>
      </c>
      <c r="Q1149" s="8" t="s">
        <v>2651</v>
      </c>
      <c r="R1149" s="8" t="s">
        <v>445</v>
      </c>
    </row>
    <row r="1150" spans="1:20" x14ac:dyDescent="0.2">
      <c r="A1150" s="8" t="s">
        <v>4800</v>
      </c>
      <c r="B1150" s="8" t="str">
        <f t="shared" si="34"/>
        <v>1586244245</v>
      </c>
      <c r="C1150" s="8" t="str">
        <f t="shared" si="35"/>
        <v>1185</v>
      </c>
      <c r="D1150" s="8" t="s">
        <v>119</v>
      </c>
      <c r="F1150" s="8" t="s">
        <v>438</v>
      </c>
      <c r="G1150" s="8" t="s">
        <v>439</v>
      </c>
      <c r="H1150" s="8" t="s">
        <v>440</v>
      </c>
      <c r="I1150" s="8" t="s">
        <v>441</v>
      </c>
      <c r="J1150" s="8" t="s">
        <v>442</v>
      </c>
      <c r="K1150" s="8" t="s">
        <v>443</v>
      </c>
      <c r="L1150" s="8" t="s">
        <v>444</v>
      </c>
      <c r="M1150" s="8" t="s">
        <v>3054</v>
      </c>
      <c r="N1150" s="8" t="s">
        <v>439</v>
      </c>
      <c r="O1150" s="8">
        <v>804.1</v>
      </c>
      <c r="P1150" s="8">
        <v>893.44</v>
      </c>
      <c r="Q1150" s="8" t="s">
        <v>2651</v>
      </c>
      <c r="S1150" s="8" t="s">
        <v>331</v>
      </c>
      <c r="T1150" s="8">
        <v>147.54</v>
      </c>
    </row>
    <row r="1151" spans="1:20" x14ac:dyDescent="0.2">
      <c r="A1151" s="8" t="s">
        <v>3262</v>
      </c>
      <c r="B1151" s="8" t="str">
        <f t="shared" si="34"/>
        <v>1586244252</v>
      </c>
      <c r="C1151" s="8" t="str">
        <f t="shared" si="35"/>
        <v>1186</v>
      </c>
      <c r="D1151" s="8" t="s">
        <v>119</v>
      </c>
      <c r="F1151" s="8" t="s">
        <v>157</v>
      </c>
      <c r="G1151" s="8" t="s">
        <v>1548</v>
      </c>
      <c r="H1151" s="8" t="s">
        <v>1549</v>
      </c>
      <c r="I1151" s="8" t="s">
        <v>549</v>
      </c>
      <c r="J1151" s="8" t="s">
        <v>1550</v>
      </c>
      <c r="K1151" s="8" t="s">
        <v>176</v>
      </c>
      <c r="L1151" s="8" t="s">
        <v>1551</v>
      </c>
      <c r="M1151" s="8" t="s">
        <v>2794</v>
      </c>
      <c r="N1151" s="8" t="s">
        <v>1548</v>
      </c>
      <c r="O1151" s="8">
        <v>848.36</v>
      </c>
      <c r="P1151" s="8">
        <v>942.62</v>
      </c>
      <c r="Q1151" s="8" t="s">
        <v>2652</v>
      </c>
      <c r="R1151" s="8" t="s">
        <v>1595</v>
      </c>
    </row>
    <row r="1152" spans="1:20" x14ac:dyDescent="0.2">
      <c r="A1152" s="8" t="s">
        <v>3393</v>
      </c>
      <c r="B1152" s="8" t="str">
        <f t="shared" si="34"/>
        <v>1586244252</v>
      </c>
      <c r="C1152" s="8" t="str">
        <f t="shared" si="35"/>
        <v>1187</v>
      </c>
      <c r="D1152" s="8" t="s">
        <v>119</v>
      </c>
      <c r="F1152" s="8" t="s">
        <v>157</v>
      </c>
      <c r="G1152" s="8" t="s">
        <v>1548</v>
      </c>
      <c r="H1152" s="8" t="s">
        <v>1549</v>
      </c>
      <c r="I1152" s="8" t="s">
        <v>549</v>
      </c>
      <c r="J1152" s="8" t="s">
        <v>1550</v>
      </c>
      <c r="K1152" s="8" t="s">
        <v>176</v>
      </c>
      <c r="L1152" s="8" t="s">
        <v>1551</v>
      </c>
      <c r="M1152" s="8" t="s">
        <v>2794</v>
      </c>
      <c r="N1152" s="8" t="s">
        <v>1548</v>
      </c>
      <c r="O1152" s="8">
        <v>848.36</v>
      </c>
      <c r="P1152" s="8">
        <v>942.62</v>
      </c>
      <c r="Q1152" s="8" t="s">
        <v>2652</v>
      </c>
      <c r="R1152" s="8" t="s">
        <v>1936</v>
      </c>
    </row>
    <row r="1153" spans="1:20" x14ac:dyDescent="0.2">
      <c r="A1153" s="8" t="s">
        <v>3855</v>
      </c>
      <c r="B1153" s="8" t="str">
        <f t="shared" si="34"/>
        <v>1586244252</v>
      </c>
      <c r="C1153" s="8" t="str">
        <f t="shared" si="35"/>
        <v>1188</v>
      </c>
      <c r="D1153" s="8" t="s">
        <v>119</v>
      </c>
      <c r="F1153" s="8" t="s">
        <v>157</v>
      </c>
      <c r="G1153" s="8" t="s">
        <v>1548</v>
      </c>
      <c r="H1153" s="8" t="s">
        <v>1549</v>
      </c>
      <c r="I1153" s="8" t="s">
        <v>549</v>
      </c>
      <c r="J1153" s="8" t="s">
        <v>1550</v>
      </c>
      <c r="K1153" s="8" t="s">
        <v>176</v>
      </c>
      <c r="L1153" s="8" t="s">
        <v>1551</v>
      </c>
      <c r="M1153" s="8" t="s">
        <v>2794</v>
      </c>
      <c r="N1153" s="8" t="s">
        <v>1548</v>
      </c>
      <c r="O1153" s="8">
        <v>848.36</v>
      </c>
      <c r="P1153" s="8">
        <v>942.62</v>
      </c>
      <c r="Q1153" s="8" t="s">
        <v>2652</v>
      </c>
      <c r="R1153" s="8" t="s">
        <v>1552</v>
      </c>
    </row>
    <row r="1154" spans="1:20" x14ac:dyDescent="0.2">
      <c r="A1154" s="8" t="s">
        <v>4783</v>
      </c>
      <c r="B1154" s="8" t="str">
        <f t="shared" ref="B1154:B1217" si="36">LEFT(A1154, FIND("-", A1154) - 1)</f>
        <v>1586244252</v>
      </c>
      <c r="C1154" s="8" t="str">
        <f t="shared" ref="C1154:C1217" si="37">RIGHT(A1154, LEN(A1154) - FIND("-", A1154))</f>
        <v>1189</v>
      </c>
      <c r="D1154" s="8" t="s">
        <v>119</v>
      </c>
      <c r="F1154" s="8" t="s">
        <v>157</v>
      </c>
      <c r="G1154" s="8" t="s">
        <v>1548</v>
      </c>
      <c r="H1154" s="8" t="s">
        <v>1549</v>
      </c>
      <c r="I1154" s="8" t="s">
        <v>549</v>
      </c>
      <c r="J1154" s="8" t="s">
        <v>1550</v>
      </c>
      <c r="K1154" s="8" t="s">
        <v>176</v>
      </c>
      <c r="L1154" s="8" t="s">
        <v>1551</v>
      </c>
      <c r="M1154" s="8" t="s">
        <v>2794</v>
      </c>
      <c r="N1154" s="8" t="s">
        <v>1548</v>
      </c>
      <c r="O1154" s="8">
        <v>848.36</v>
      </c>
      <c r="P1154" s="8">
        <v>942.62</v>
      </c>
      <c r="Q1154" s="8" t="s">
        <v>2652</v>
      </c>
      <c r="S1154" s="8" t="s">
        <v>542</v>
      </c>
      <c r="T1154" s="8">
        <v>138.69</v>
      </c>
    </row>
    <row r="1155" spans="1:20" x14ac:dyDescent="0.2">
      <c r="A1155" s="8" t="s">
        <v>3759</v>
      </c>
      <c r="B1155" s="8" t="str">
        <f t="shared" si="36"/>
        <v>1586244256</v>
      </c>
      <c r="C1155" s="8" t="str">
        <f t="shared" si="37"/>
        <v>1190</v>
      </c>
      <c r="D1155" s="8" t="s">
        <v>119</v>
      </c>
      <c r="F1155" s="8" t="s">
        <v>157</v>
      </c>
      <c r="G1155" s="8" t="s">
        <v>1036</v>
      </c>
      <c r="H1155" s="8" t="s">
        <v>1037</v>
      </c>
      <c r="I1155" s="8" t="s">
        <v>549</v>
      </c>
      <c r="J1155" s="8" t="s">
        <v>1038</v>
      </c>
      <c r="K1155" s="8" t="s">
        <v>176</v>
      </c>
      <c r="L1155" s="8" t="s">
        <v>1039</v>
      </c>
      <c r="M1155" s="8" t="s">
        <v>2794</v>
      </c>
      <c r="N1155" s="8" t="s">
        <v>1036</v>
      </c>
      <c r="O1155" s="8">
        <v>827.7</v>
      </c>
      <c r="P1155" s="8">
        <v>919.67</v>
      </c>
      <c r="Q1155" s="8" t="s">
        <v>2653</v>
      </c>
      <c r="R1155" s="8" t="s">
        <v>1430</v>
      </c>
    </row>
    <row r="1156" spans="1:20" x14ac:dyDescent="0.2">
      <c r="A1156" s="8" t="s">
        <v>4436</v>
      </c>
      <c r="B1156" s="8" t="str">
        <f t="shared" si="36"/>
        <v>1586244256</v>
      </c>
      <c r="C1156" s="8" t="str">
        <f t="shared" si="37"/>
        <v>1191</v>
      </c>
      <c r="D1156" s="8" t="s">
        <v>119</v>
      </c>
      <c r="F1156" s="8" t="s">
        <v>157</v>
      </c>
      <c r="G1156" s="8" t="s">
        <v>1036</v>
      </c>
      <c r="H1156" s="8" t="s">
        <v>1037</v>
      </c>
      <c r="I1156" s="8" t="s">
        <v>549</v>
      </c>
      <c r="J1156" s="8" t="s">
        <v>1038</v>
      </c>
      <c r="K1156" s="8" t="s">
        <v>176</v>
      </c>
      <c r="L1156" s="8" t="s">
        <v>1039</v>
      </c>
      <c r="M1156" s="8" t="s">
        <v>2794</v>
      </c>
      <c r="N1156" s="8" t="s">
        <v>1036</v>
      </c>
      <c r="O1156" s="8">
        <v>827.7</v>
      </c>
      <c r="P1156" s="8">
        <v>919.67</v>
      </c>
      <c r="Q1156" s="8" t="s">
        <v>2653</v>
      </c>
      <c r="R1156" s="8" t="s">
        <v>2221</v>
      </c>
    </row>
    <row r="1157" spans="1:20" x14ac:dyDescent="0.2">
      <c r="A1157" s="8" t="s">
        <v>4730</v>
      </c>
      <c r="B1157" s="8" t="str">
        <f t="shared" si="36"/>
        <v>1586244256</v>
      </c>
      <c r="C1157" s="8" t="str">
        <f t="shared" si="37"/>
        <v>1192</v>
      </c>
      <c r="D1157" s="8" t="s">
        <v>119</v>
      </c>
      <c r="F1157" s="8" t="s">
        <v>157</v>
      </c>
      <c r="G1157" s="8" t="s">
        <v>1036</v>
      </c>
      <c r="H1157" s="8" t="s">
        <v>1037</v>
      </c>
      <c r="I1157" s="8" t="s">
        <v>549</v>
      </c>
      <c r="J1157" s="8" t="s">
        <v>1038</v>
      </c>
      <c r="K1157" s="8" t="s">
        <v>176</v>
      </c>
      <c r="L1157" s="8" t="s">
        <v>1039</v>
      </c>
      <c r="M1157" s="8" t="s">
        <v>2794</v>
      </c>
      <c r="N1157" s="8" t="s">
        <v>1036</v>
      </c>
      <c r="O1157" s="8">
        <v>827.7</v>
      </c>
      <c r="P1157" s="8">
        <v>919.67</v>
      </c>
      <c r="Q1157" s="8" t="s">
        <v>2653</v>
      </c>
      <c r="R1157" s="8" t="s">
        <v>2174</v>
      </c>
    </row>
    <row r="1158" spans="1:20" x14ac:dyDescent="0.2">
      <c r="A1158" s="8" t="s">
        <v>4781</v>
      </c>
      <c r="B1158" s="8" t="str">
        <f t="shared" si="36"/>
        <v>1586244256</v>
      </c>
      <c r="C1158" s="8" t="str">
        <f t="shared" si="37"/>
        <v>1193</v>
      </c>
      <c r="D1158" s="8" t="s">
        <v>119</v>
      </c>
      <c r="F1158" s="8" t="s">
        <v>157</v>
      </c>
      <c r="G1158" s="8" t="s">
        <v>1036</v>
      </c>
      <c r="H1158" s="8" t="s">
        <v>1037</v>
      </c>
      <c r="I1158" s="8" t="s">
        <v>549</v>
      </c>
      <c r="J1158" s="8" t="s">
        <v>1038</v>
      </c>
      <c r="K1158" s="8" t="s">
        <v>176</v>
      </c>
      <c r="L1158" s="8" t="s">
        <v>1039</v>
      </c>
      <c r="M1158" s="8" t="s">
        <v>2794</v>
      </c>
      <c r="N1158" s="8" t="s">
        <v>1036</v>
      </c>
      <c r="O1158" s="8">
        <v>827.7</v>
      </c>
      <c r="P1158" s="8">
        <v>919.67</v>
      </c>
      <c r="Q1158" s="8" t="s">
        <v>2653</v>
      </c>
      <c r="S1158" s="8" t="s">
        <v>542</v>
      </c>
      <c r="T1158" s="8">
        <v>126.15</v>
      </c>
    </row>
    <row r="1159" spans="1:20" x14ac:dyDescent="0.2">
      <c r="A1159" s="8" t="s">
        <v>4123</v>
      </c>
      <c r="B1159" s="8" t="str">
        <f t="shared" si="36"/>
        <v>1586244260</v>
      </c>
      <c r="C1159" s="8" t="str">
        <f t="shared" si="37"/>
        <v>1194</v>
      </c>
      <c r="D1159" s="8" t="s">
        <v>119</v>
      </c>
      <c r="F1159" s="8" t="s">
        <v>157</v>
      </c>
      <c r="G1159" s="8" t="s">
        <v>547</v>
      </c>
      <c r="H1159" s="8" t="s">
        <v>548</v>
      </c>
      <c r="I1159" s="8" t="s">
        <v>549</v>
      </c>
      <c r="J1159" s="8" t="s">
        <v>550</v>
      </c>
      <c r="K1159" s="8" t="s">
        <v>176</v>
      </c>
      <c r="L1159" s="8" t="s">
        <v>551</v>
      </c>
      <c r="M1159" s="8" t="s">
        <v>2794</v>
      </c>
      <c r="N1159" s="8" t="s">
        <v>547</v>
      </c>
      <c r="O1159" s="8">
        <v>886.72</v>
      </c>
      <c r="P1159" s="8">
        <v>985.25</v>
      </c>
      <c r="Q1159" s="8" t="s">
        <v>2654</v>
      </c>
      <c r="R1159" s="8" t="s">
        <v>2070</v>
      </c>
    </row>
    <row r="1160" spans="1:20" x14ac:dyDescent="0.2">
      <c r="A1160" s="8" t="s">
        <v>3719</v>
      </c>
      <c r="B1160" s="8" t="str">
        <f t="shared" si="36"/>
        <v>1586244260</v>
      </c>
      <c r="C1160" s="8" t="str">
        <f t="shared" si="37"/>
        <v>1195</v>
      </c>
      <c r="D1160" s="8" t="s">
        <v>119</v>
      </c>
      <c r="F1160" s="8" t="s">
        <v>157</v>
      </c>
      <c r="G1160" s="8" t="s">
        <v>547</v>
      </c>
      <c r="H1160" s="8" t="s">
        <v>548</v>
      </c>
      <c r="I1160" s="8" t="s">
        <v>549</v>
      </c>
      <c r="J1160" s="8" t="s">
        <v>550</v>
      </c>
      <c r="K1160" s="8" t="s">
        <v>176</v>
      </c>
      <c r="L1160" s="8" t="s">
        <v>551</v>
      </c>
      <c r="M1160" s="8" t="s">
        <v>2794</v>
      </c>
      <c r="N1160" s="8" t="s">
        <v>547</v>
      </c>
      <c r="O1160" s="8">
        <v>886.72</v>
      </c>
      <c r="P1160" s="8">
        <v>985.25</v>
      </c>
      <c r="Q1160" s="8" t="s">
        <v>2654</v>
      </c>
      <c r="R1160" s="8" t="s">
        <v>2079</v>
      </c>
    </row>
    <row r="1161" spans="1:20" x14ac:dyDescent="0.2">
      <c r="A1161" s="8" t="s">
        <v>3600</v>
      </c>
      <c r="B1161" s="8" t="str">
        <f t="shared" si="36"/>
        <v>1586244260</v>
      </c>
      <c r="C1161" s="8" t="str">
        <f t="shared" si="37"/>
        <v>1196</v>
      </c>
      <c r="D1161" s="8" t="s">
        <v>119</v>
      </c>
      <c r="F1161" s="8" t="s">
        <v>157</v>
      </c>
      <c r="G1161" s="8" t="s">
        <v>547</v>
      </c>
      <c r="H1161" s="8" t="s">
        <v>548</v>
      </c>
      <c r="I1161" s="8" t="s">
        <v>549</v>
      </c>
      <c r="J1161" s="8" t="s">
        <v>550</v>
      </c>
      <c r="K1161" s="8" t="s">
        <v>176</v>
      </c>
      <c r="L1161" s="8" t="s">
        <v>551</v>
      </c>
      <c r="M1161" s="8" t="s">
        <v>2794</v>
      </c>
      <c r="N1161" s="8" t="s">
        <v>547</v>
      </c>
      <c r="O1161" s="8">
        <v>886.72</v>
      </c>
      <c r="P1161" s="8">
        <v>985.25</v>
      </c>
      <c r="Q1161" s="8" t="s">
        <v>2654</v>
      </c>
      <c r="R1161" s="8" t="s">
        <v>552</v>
      </c>
    </row>
    <row r="1162" spans="1:20" x14ac:dyDescent="0.2">
      <c r="A1162" s="8" t="s">
        <v>4083</v>
      </c>
      <c r="B1162" s="8" t="str">
        <f t="shared" si="36"/>
        <v>1586244260</v>
      </c>
      <c r="C1162" s="8" t="str">
        <f t="shared" si="37"/>
        <v>1197</v>
      </c>
      <c r="D1162" s="8" t="s">
        <v>119</v>
      </c>
      <c r="F1162" s="8" t="s">
        <v>157</v>
      </c>
      <c r="G1162" s="8" t="s">
        <v>547</v>
      </c>
      <c r="H1162" s="8" t="s">
        <v>548</v>
      </c>
      <c r="I1162" s="8" t="s">
        <v>549</v>
      </c>
      <c r="J1162" s="8" t="s">
        <v>550</v>
      </c>
      <c r="K1162" s="8" t="s">
        <v>176</v>
      </c>
      <c r="L1162" s="8" t="s">
        <v>551</v>
      </c>
      <c r="M1162" s="8" t="s">
        <v>2794</v>
      </c>
      <c r="N1162" s="8" t="s">
        <v>547</v>
      </c>
      <c r="O1162" s="8">
        <v>886.72</v>
      </c>
      <c r="P1162" s="8">
        <v>985.25</v>
      </c>
      <c r="Q1162" s="8" t="s">
        <v>2654</v>
      </c>
      <c r="R1162" s="8" t="s">
        <v>1581</v>
      </c>
    </row>
    <row r="1163" spans="1:20" x14ac:dyDescent="0.2">
      <c r="A1163" s="8" t="s">
        <v>3353</v>
      </c>
      <c r="B1163" s="8" t="str">
        <f t="shared" si="36"/>
        <v>1586244260</v>
      </c>
      <c r="C1163" s="8" t="str">
        <f t="shared" si="37"/>
        <v>1198</v>
      </c>
      <c r="D1163" s="8" t="s">
        <v>119</v>
      </c>
      <c r="F1163" s="8" t="s">
        <v>157</v>
      </c>
      <c r="G1163" s="8" t="s">
        <v>547</v>
      </c>
      <c r="H1163" s="8" t="s">
        <v>548</v>
      </c>
      <c r="I1163" s="8" t="s">
        <v>549</v>
      </c>
      <c r="J1163" s="8" t="s">
        <v>550</v>
      </c>
      <c r="K1163" s="8" t="s">
        <v>176</v>
      </c>
      <c r="L1163" s="8" t="s">
        <v>551</v>
      </c>
      <c r="M1163" s="8" t="s">
        <v>2794</v>
      </c>
      <c r="N1163" s="8" t="s">
        <v>547</v>
      </c>
      <c r="O1163" s="8">
        <v>886.72</v>
      </c>
      <c r="P1163" s="8">
        <v>985.25</v>
      </c>
      <c r="Q1163" s="8" t="s">
        <v>2654</v>
      </c>
      <c r="R1163" s="8" t="s">
        <v>2417</v>
      </c>
    </row>
    <row r="1164" spans="1:20" x14ac:dyDescent="0.2">
      <c r="A1164" s="8" t="s">
        <v>3193</v>
      </c>
      <c r="B1164" s="8" t="str">
        <f t="shared" si="36"/>
        <v>1586244264</v>
      </c>
      <c r="C1164" s="8" t="str">
        <f t="shared" si="37"/>
        <v>1199</v>
      </c>
      <c r="D1164" s="8" t="s">
        <v>119</v>
      </c>
      <c r="F1164" s="8" t="s">
        <v>157</v>
      </c>
      <c r="G1164" s="8" t="s">
        <v>197</v>
      </c>
      <c r="H1164" s="8" t="s">
        <v>198</v>
      </c>
      <c r="I1164" s="8" t="s">
        <v>123</v>
      </c>
      <c r="J1164" s="8" t="s">
        <v>199</v>
      </c>
      <c r="K1164" s="8" t="s">
        <v>125</v>
      </c>
      <c r="L1164" s="8" t="s">
        <v>200</v>
      </c>
      <c r="M1164" s="8" t="s">
        <v>2794</v>
      </c>
      <c r="N1164" s="8" t="s">
        <v>197</v>
      </c>
      <c r="O1164" s="8">
        <v>508.28</v>
      </c>
      <c r="P1164" s="8">
        <v>564.75</v>
      </c>
      <c r="Q1164" s="8" t="s">
        <v>2655</v>
      </c>
      <c r="R1164" s="8" t="s">
        <v>2301</v>
      </c>
    </row>
    <row r="1165" spans="1:20" x14ac:dyDescent="0.2">
      <c r="A1165" s="8" t="s">
        <v>3956</v>
      </c>
      <c r="B1165" s="8" t="str">
        <f t="shared" si="36"/>
        <v>1586244264</v>
      </c>
      <c r="C1165" s="8" t="str">
        <f t="shared" si="37"/>
        <v>1200</v>
      </c>
      <c r="D1165" s="8" t="s">
        <v>119</v>
      </c>
      <c r="F1165" s="8" t="s">
        <v>157</v>
      </c>
      <c r="G1165" s="8" t="s">
        <v>197</v>
      </c>
      <c r="H1165" s="8" t="s">
        <v>198</v>
      </c>
      <c r="I1165" s="8" t="s">
        <v>123</v>
      </c>
      <c r="J1165" s="8" t="s">
        <v>199</v>
      </c>
      <c r="K1165" s="8" t="s">
        <v>125</v>
      </c>
      <c r="L1165" s="8" t="s">
        <v>200</v>
      </c>
      <c r="M1165" s="8" t="s">
        <v>2794</v>
      </c>
      <c r="N1165" s="8" t="s">
        <v>197</v>
      </c>
      <c r="O1165" s="8">
        <v>508.28</v>
      </c>
      <c r="P1165" s="8">
        <v>564.75</v>
      </c>
      <c r="Q1165" s="8" t="s">
        <v>2655</v>
      </c>
      <c r="R1165" s="8" t="s">
        <v>2146</v>
      </c>
    </row>
    <row r="1166" spans="1:20" x14ac:dyDescent="0.2">
      <c r="A1166" s="8" t="s">
        <v>3044</v>
      </c>
      <c r="B1166" s="8" t="str">
        <f t="shared" si="36"/>
        <v>1586244264</v>
      </c>
      <c r="C1166" s="8" t="str">
        <f t="shared" si="37"/>
        <v>1201</v>
      </c>
      <c r="D1166" s="8" t="s">
        <v>119</v>
      </c>
      <c r="F1166" s="8" t="s">
        <v>157</v>
      </c>
      <c r="G1166" s="8" t="s">
        <v>197</v>
      </c>
      <c r="H1166" s="8" t="s">
        <v>198</v>
      </c>
      <c r="I1166" s="8" t="s">
        <v>123</v>
      </c>
      <c r="J1166" s="8" t="s">
        <v>199</v>
      </c>
      <c r="K1166" s="8" t="s">
        <v>125</v>
      </c>
      <c r="L1166" s="8" t="s">
        <v>200</v>
      </c>
      <c r="M1166" s="8" t="s">
        <v>2794</v>
      </c>
      <c r="N1166" s="8" t="s">
        <v>197</v>
      </c>
      <c r="O1166" s="8">
        <v>508.28</v>
      </c>
      <c r="P1166" s="8">
        <v>564.75</v>
      </c>
      <c r="Q1166" s="8" t="s">
        <v>2655</v>
      </c>
      <c r="R1166" s="8" t="s">
        <v>201</v>
      </c>
    </row>
    <row r="1167" spans="1:20" x14ac:dyDescent="0.2">
      <c r="A1167" s="8" t="s">
        <v>3499</v>
      </c>
      <c r="B1167" s="8" t="str">
        <f t="shared" si="36"/>
        <v>1586244264</v>
      </c>
      <c r="C1167" s="8" t="str">
        <f t="shared" si="37"/>
        <v>1202</v>
      </c>
      <c r="D1167" s="8" t="s">
        <v>119</v>
      </c>
      <c r="F1167" s="8" t="s">
        <v>157</v>
      </c>
      <c r="G1167" s="8" t="s">
        <v>197</v>
      </c>
      <c r="H1167" s="8" t="s">
        <v>198</v>
      </c>
      <c r="I1167" s="8" t="s">
        <v>123</v>
      </c>
      <c r="J1167" s="8" t="s">
        <v>199</v>
      </c>
      <c r="K1167" s="8" t="s">
        <v>125</v>
      </c>
      <c r="L1167" s="8" t="s">
        <v>200</v>
      </c>
      <c r="M1167" s="8" t="s">
        <v>2794</v>
      </c>
      <c r="N1167" s="8" t="s">
        <v>197</v>
      </c>
      <c r="O1167" s="8">
        <v>508.28</v>
      </c>
      <c r="P1167" s="8">
        <v>564.75</v>
      </c>
      <c r="Q1167" s="8" t="s">
        <v>2655</v>
      </c>
      <c r="R1167" s="8" t="s">
        <v>2462</v>
      </c>
    </row>
    <row r="1168" spans="1:20" x14ac:dyDescent="0.2">
      <c r="A1168" s="8" t="s">
        <v>3623</v>
      </c>
      <c r="B1168" s="8" t="str">
        <f t="shared" si="36"/>
        <v>1586244264</v>
      </c>
      <c r="C1168" s="8" t="str">
        <f t="shared" si="37"/>
        <v>1203</v>
      </c>
      <c r="D1168" s="8" t="s">
        <v>119</v>
      </c>
      <c r="F1168" s="8" t="s">
        <v>157</v>
      </c>
      <c r="G1168" s="8" t="s">
        <v>197</v>
      </c>
      <c r="H1168" s="8" t="s">
        <v>198</v>
      </c>
      <c r="I1168" s="8" t="s">
        <v>123</v>
      </c>
      <c r="J1168" s="8" t="s">
        <v>199</v>
      </c>
      <c r="K1168" s="8" t="s">
        <v>125</v>
      </c>
      <c r="L1168" s="8" t="s">
        <v>200</v>
      </c>
      <c r="M1168" s="8" t="s">
        <v>2794</v>
      </c>
      <c r="N1168" s="8" t="s">
        <v>197</v>
      </c>
      <c r="O1168" s="8">
        <v>508.28</v>
      </c>
      <c r="P1168" s="8">
        <v>564.75</v>
      </c>
      <c r="Q1168" s="8" t="s">
        <v>2655</v>
      </c>
      <c r="S1168" s="8" t="s">
        <v>2179</v>
      </c>
      <c r="T1168" s="8">
        <v>22.87</v>
      </c>
    </row>
    <row r="1169" spans="1:20" x14ac:dyDescent="0.2">
      <c r="A1169" s="8" t="s">
        <v>3464</v>
      </c>
      <c r="B1169" s="8" t="str">
        <f t="shared" si="36"/>
        <v>1586244264</v>
      </c>
      <c r="C1169" s="8" t="str">
        <f t="shared" si="37"/>
        <v>1204</v>
      </c>
      <c r="D1169" s="8" t="s">
        <v>119</v>
      </c>
      <c r="F1169" s="8" t="s">
        <v>157</v>
      </c>
      <c r="G1169" s="8" t="s">
        <v>197</v>
      </c>
      <c r="H1169" s="8" t="s">
        <v>198</v>
      </c>
      <c r="I1169" s="8" t="s">
        <v>123</v>
      </c>
      <c r="J1169" s="8" t="s">
        <v>199</v>
      </c>
      <c r="K1169" s="8" t="s">
        <v>125</v>
      </c>
      <c r="L1169" s="8" t="s">
        <v>200</v>
      </c>
      <c r="M1169" s="8" t="s">
        <v>2794</v>
      </c>
      <c r="N1169" s="8" t="s">
        <v>197</v>
      </c>
      <c r="O1169" s="8">
        <v>508.28</v>
      </c>
      <c r="P1169" s="8">
        <v>564.75</v>
      </c>
      <c r="Q1169" s="8" t="s">
        <v>2655</v>
      </c>
      <c r="S1169" s="8" t="s">
        <v>184</v>
      </c>
      <c r="T1169" s="8">
        <v>73.77</v>
      </c>
    </row>
    <row r="1170" spans="1:20" x14ac:dyDescent="0.2">
      <c r="A1170" s="8" t="s">
        <v>3252</v>
      </c>
      <c r="B1170" s="8" t="str">
        <f t="shared" si="36"/>
        <v>1586244268</v>
      </c>
      <c r="C1170" s="8" t="str">
        <f t="shared" si="37"/>
        <v>1205</v>
      </c>
      <c r="D1170" s="8" t="s">
        <v>119</v>
      </c>
      <c r="F1170" s="8" t="s">
        <v>157</v>
      </c>
      <c r="G1170" s="8" t="s">
        <v>708</v>
      </c>
      <c r="H1170" s="8" t="s">
        <v>709</v>
      </c>
      <c r="I1170" s="8" t="s">
        <v>1085</v>
      </c>
      <c r="J1170" s="8" t="s">
        <v>1086</v>
      </c>
      <c r="K1170" s="8" t="s">
        <v>125</v>
      </c>
      <c r="L1170" s="8" t="s">
        <v>1087</v>
      </c>
      <c r="M1170" s="8" t="s">
        <v>2794</v>
      </c>
      <c r="N1170" s="8" t="s">
        <v>708</v>
      </c>
      <c r="O1170" s="8">
        <v>507.54</v>
      </c>
      <c r="P1170" s="8">
        <v>563.92999999999995</v>
      </c>
      <c r="Q1170" s="8" t="s">
        <v>2656</v>
      </c>
      <c r="R1170" s="8" t="s">
        <v>1761</v>
      </c>
    </row>
    <row r="1171" spans="1:20" x14ac:dyDescent="0.2">
      <c r="A1171" s="8" t="s">
        <v>3639</v>
      </c>
      <c r="B1171" s="8" t="str">
        <f t="shared" si="36"/>
        <v>1586244268</v>
      </c>
      <c r="C1171" s="8" t="str">
        <f t="shared" si="37"/>
        <v>1206</v>
      </c>
      <c r="D1171" s="8" t="s">
        <v>119</v>
      </c>
      <c r="F1171" s="8" t="s">
        <v>157</v>
      </c>
      <c r="G1171" s="8" t="s">
        <v>708</v>
      </c>
      <c r="H1171" s="8" t="s">
        <v>709</v>
      </c>
      <c r="I1171" s="8" t="s">
        <v>1085</v>
      </c>
      <c r="J1171" s="8" t="s">
        <v>1086</v>
      </c>
      <c r="K1171" s="8" t="s">
        <v>125</v>
      </c>
      <c r="L1171" s="8" t="s">
        <v>1087</v>
      </c>
      <c r="M1171" s="8" t="s">
        <v>2794</v>
      </c>
      <c r="N1171" s="8" t="s">
        <v>708</v>
      </c>
      <c r="O1171" s="8">
        <v>507.54</v>
      </c>
      <c r="P1171" s="8">
        <v>563.92999999999995</v>
      </c>
      <c r="Q1171" s="8" t="s">
        <v>2656</v>
      </c>
      <c r="R1171" s="8" t="s">
        <v>2307</v>
      </c>
    </row>
    <row r="1172" spans="1:20" x14ac:dyDescent="0.2">
      <c r="A1172" s="8" t="s">
        <v>3573</v>
      </c>
      <c r="B1172" s="8" t="str">
        <f t="shared" si="36"/>
        <v>1586244268</v>
      </c>
      <c r="C1172" s="8" t="str">
        <f t="shared" si="37"/>
        <v>1207</v>
      </c>
      <c r="D1172" s="8" t="s">
        <v>119</v>
      </c>
      <c r="F1172" s="8" t="s">
        <v>157</v>
      </c>
      <c r="G1172" s="8" t="s">
        <v>708</v>
      </c>
      <c r="H1172" s="8" t="s">
        <v>709</v>
      </c>
      <c r="I1172" s="8" t="s">
        <v>1085</v>
      </c>
      <c r="J1172" s="8" t="s">
        <v>1086</v>
      </c>
      <c r="K1172" s="8" t="s">
        <v>125</v>
      </c>
      <c r="L1172" s="8" t="s">
        <v>1087</v>
      </c>
      <c r="M1172" s="8" t="s">
        <v>2794</v>
      </c>
      <c r="N1172" s="8" t="s">
        <v>708</v>
      </c>
      <c r="O1172" s="8">
        <v>507.54</v>
      </c>
      <c r="P1172" s="8">
        <v>563.92999999999995</v>
      </c>
      <c r="Q1172" s="8" t="s">
        <v>2656</v>
      </c>
      <c r="R1172" s="8" t="s">
        <v>1679</v>
      </c>
    </row>
    <row r="1173" spans="1:20" x14ac:dyDescent="0.2">
      <c r="A1173" s="8" t="s">
        <v>2886</v>
      </c>
      <c r="B1173" s="8" t="str">
        <f t="shared" si="36"/>
        <v>1586244268</v>
      </c>
      <c r="C1173" s="8" t="str">
        <f t="shared" si="37"/>
        <v>1208</v>
      </c>
      <c r="D1173" s="8" t="s">
        <v>119</v>
      </c>
      <c r="F1173" s="8" t="s">
        <v>157</v>
      </c>
      <c r="G1173" s="8" t="s">
        <v>708</v>
      </c>
      <c r="H1173" s="8" t="s">
        <v>709</v>
      </c>
      <c r="I1173" s="8" t="s">
        <v>1085</v>
      </c>
      <c r="J1173" s="8" t="s">
        <v>1086</v>
      </c>
      <c r="K1173" s="8" t="s">
        <v>125</v>
      </c>
      <c r="L1173" s="8" t="s">
        <v>1087</v>
      </c>
      <c r="M1173" s="8" t="s">
        <v>2794</v>
      </c>
      <c r="N1173" s="8" t="s">
        <v>708</v>
      </c>
      <c r="O1173" s="8">
        <v>507.54</v>
      </c>
      <c r="P1173" s="8">
        <v>563.92999999999995</v>
      </c>
      <c r="Q1173" s="8" t="s">
        <v>2656</v>
      </c>
      <c r="R1173" s="8" t="s">
        <v>1691</v>
      </c>
    </row>
    <row r="1174" spans="1:20" x14ac:dyDescent="0.2">
      <c r="A1174" s="8" t="s">
        <v>3925</v>
      </c>
      <c r="B1174" s="8" t="str">
        <f t="shared" si="36"/>
        <v>1586244268</v>
      </c>
      <c r="C1174" s="8" t="str">
        <f t="shared" si="37"/>
        <v>1209</v>
      </c>
      <c r="D1174" s="8" t="s">
        <v>119</v>
      </c>
      <c r="F1174" s="8" t="s">
        <v>157</v>
      </c>
      <c r="G1174" s="8" t="s">
        <v>708</v>
      </c>
      <c r="H1174" s="8" t="s">
        <v>709</v>
      </c>
      <c r="I1174" s="8" t="s">
        <v>1085</v>
      </c>
      <c r="J1174" s="8" t="s">
        <v>1086</v>
      </c>
      <c r="K1174" s="8" t="s">
        <v>125</v>
      </c>
      <c r="L1174" s="8" t="s">
        <v>1087</v>
      </c>
      <c r="M1174" s="8" t="s">
        <v>2794</v>
      </c>
      <c r="N1174" s="8" t="s">
        <v>708</v>
      </c>
      <c r="O1174" s="8">
        <v>507.54</v>
      </c>
      <c r="P1174" s="8">
        <v>563.92999999999995</v>
      </c>
      <c r="Q1174" s="8" t="s">
        <v>2656</v>
      </c>
      <c r="S1174" s="8" t="s">
        <v>2035</v>
      </c>
      <c r="T1174" s="8">
        <v>99.59</v>
      </c>
    </row>
    <row r="1175" spans="1:20" x14ac:dyDescent="0.2">
      <c r="A1175" s="8" t="s">
        <v>3674</v>
      </c>
      <c r="B1175" s="8" t="str">
        <f t="shared" si="36"/>
        <v>1586244268</v>
      </c>
      <c r="C1175" s="8" t="str">
        <f t="shared" si="37"/>
        <v>1210</v>
      </c>
      <c r="D1175" s="8" t="s">
        <v>119</v>
      </c>
      <c r="F1175" s="8" t="s">
        <v>157</v>
      </c>
      <c r="G1175" s="8" t="s">
        <v>708</v>
      </c>
      <c r="H1175" s="8" t="s">
        <v>709</v>
      </c>
      <c r="I1175" s="8" t="s">
        <v>1085</v>
      </c>
      <c r="J1175" s="8" t="s">
        <v>1086</v>
      </c>
      <c r="K1175" s="8" t="s">
        <v>125</v>
      </c>
      <c r="L1175" s="8" t="s">
        <v>1087</v>
      </c>
      <c r="M1175" s="8" t="s">
        <v>2794</v>
      </c>
      <c r="N1175" s="8" t="s">
        <v>708</v>
      </c>
      <c r="O1175" s="8">
        <v>507.54</v>
      </c>
      <c r="P1175" s="8">
        <v>563.92999999999995</v>
      </c>
      <c r="Q1175" s="8" t="s">
        <v>2656</v>
      </c>
      <c r="S1175" s="8" t="s">
        <v>1674</v>
      </c>
      <c r="T1175" s="8">
        <v>122.46</v>
      </c>
    </row>
    <row r="1176" spans="1:20" x14ac:dyDescent="0.2">
      <c r="A1176" s="8" t="s">
        <v>3958</v>
      </c>
      <c r="B1176" s="8" t="str">
        <f t="shared" si="36"/>
        <v>1586244268</v>
      </c>
      <c r="C1176" s="8" t="str">
        <f t="shared" si="37"/>
        <v>1211</v>
      </c>
      <c r="D1176" s="8" t="s">
        <v>119</v>
      </c>
      <c r="F1176" s="8" t="s">
        <v>157</v>
      </c>
      <c r="G1176" s="8" t="s">
        <v>708</v>
      </c>
      <c r="H1176" s="8" t="s">
        <v>709</v>
      </c>
      <c r="I1176" s="8" t="s">
        <v>1085</v>
      </c>
      <c r="J1176" s="8" t="s">
        <v>1086</v>
      </c>
      <c r="K1176" s="8" t="s">
        <v>125</v>
      </c>
      <c r="L1176" s="8" t="s">
        <v>1087</v>
      </c>
      <c r="M1176" s="8" t="s">
        <v>2794</v>
      </c>
      <c r="N1176" s="8" t="s">
        <v>708</v>
      </c>
      <c r="O1176" s="8">
        <v>507.54</v>
      </c>
      <c r="P1176" s="8">
        <v>563.92999999999995</v>
      </c>
      <c r="Q1176" s="8" t="s">
        <v>2656</v>
      </c>
      <c r="S1176" s="8" t="s">
        <v>2384</v>
      </c>
      <c r="T1176" s="8">
        <v>18.440000000000001</v>
      </c>
    </row>
    <row r="1177" spans="1:20" x14ac:dyDescent="0.2">
      <c r="A1177" s="8" t="s">
        <v>4087</v>
      </c>
      <c r="B1177" s="8" t="str">
        <f t="shared" si="36"/>
        <v>1586244268</v>
      </c>
      <c r="C1177" s="8" t="str">
        <f t="shared" si="37"/>
        <v>1212</v>
      </c>
      <c r="D1177" s="8" t="s">
        <v>119</v>
      </c>
      <c r="F1177" s="8" t="s">
        <v>157</v>
      </c>
      <c r="G1177" s="8" t="s">
        <v>708</v>
      </c>
      <c r="H1177" s="8" t="s">
        <v>709</v>
      </c>
      <c r="I1177" s="8" t="s">
        <v>1085</v>
      </c>
      <c r="J1177" s="8" t="s">
        <v>1086</v>
      </c>
      <c r="K1177" s="8" t="s">
        <v>125</v>
      </c>
      <c r="L1177" s="8" t="s">
        <v>1087</v>
      </c>
      <c r="M1177" s="8" t="s">
        <v>2794</v>
      </c>
      <c r="N1177" s="8" t="s">
        <v>708</v>
      </c>
      <c r="O1177" s="8">
        <v>507.54</v>
      </c>
      <c r="P1177" s="8">
        <v>563.92999999999995</v>
      </c>
      <c r="Q1177" s="8" t="s">
        <v>2656</v>
      </c>
      <c r="S1177" s="8" t="s">
        <v>1088</v>
      </c>
      <c r="T1177" s="8">
        <v>118.03</v>
      </c>
    </row>
    <row r="1178" spans="1:20" x14ac:dyDescent="0.2">
      <c r="A1178" s="8" t="s">
        <v>4175</v>
      </c>
      <c r="B1178" s="8" t="str">
        <f t="shared" si="36"/>
        <v>1586244270</v>
      </c>
      <c r="C1178" s="8" t="str">
        <f t="shared" si="37"/>
        <v>1213</v>
      </c>
      <c r="D1178" s="8" t="s">
        <v>119</v>
      </c>
      <c r="F1178" s="8" t="s">
        <v>157</v>
      </c>
      <c r="G1178" s="8" t="s">
        <v>708</v>
      </c>
      <c r="H1178" s="8" t="s">
        <v>709</v>
      </c>
      <c r="I1178" s="8" t="s">
        <v>332</v>
      </c>
      <c r="J1178" s="8" t="s">
        <v>710</v>
      </c>
      <c r="K1178" s="8" t="s">
        <v>711</v>
      </c>
      <c r="L1178" s="8" t="s">
        <v>712</v>
      </c>
      <c r="M1178" s="8" t="s">
        <v>2794</v>
      </c>
      <c r="N1178" s="8" t="s">
        <v>708</v>
      </c>
      <c r="O1178" s="8">
        <v>909.59</v>
      </c>
      <c r="P1178" s="8">
        <v>1010.66</v>
      </c>
      <c r="Q1178" s="8" t="s">
        <v>2657</v>
      </c>
      <c r="R1178" s="8" t="s">
        <v>2416</v>
      </c>
    </row>
    <row r="1179" spans="1:20" x14ac:dyDescent="0.2">
      <c r="A1179" s="8" t="s">
        <v>3821</v>
      </c>
      <c r="B1179" s="8" t="str">
        <f t="shared" si="36"/>
        <v>1586244270</v>
      </c>
      <c r="C1179" s="8" t="str">
        <f t="shared" si="37"/>
        <v>1214</v>
      </c>
      <c r="D1179" s="8" t="s">
        <v>119</v>
      </c>
      <c r="F1179" s="8" t="s">
        <v>157</v>
      </c>
      <c r="G1179" s="8" t="s">
        <v>708</v>
      </c>
      <c r="H1179" s="8" t="s">
        <v>709</v>
      </c>
      <c r="I1179" s="8" t="s">
        <v>332</v>
      </c>
      <c r="J1179" s="8" t="s">
        <v>710</v>
      </c>
      <c r="K1179" s="8" t="s">
        <v>711</v>
      </c>
      <c r="L1179" s="8" t="s">
        <v>712</v>
      </c>
      <c r="M1179" s="8" t="s">
        <v>2794</v>
      </c>
      <c r="N1179" s="8" t="s">
        <v>708</v>
      </c>
      <c r="O1179" s="8">
        <v>909.59</v>
      </c>
      <c r="P1179" s="8">
        <v>1010.66</v>
      </c>
      <c r="Q1179" s="8" t="s">
        <v>2657</v>
      </c>
      <c r="R1179" s="8" t="s">
        <v>857</v>
      </c>
    </row>
    <row r="1180" spans="1:20" x14ac:dyDescent="0.2">
      <c r="A1180" s="8" t="s">
        <v>4342</v>
      </c>
      <c r="B1180" s="8" t="str">
        <f t="shared" si="36"/>
        <v>1586244270</v>
      </c>
      <c r="C1180" s="8" t="str">
        <f t="shared" si="37"/>
        <v>1215</v>
      </c>
      <c r="D1180" s="8" t="s">
        <v>119</v>
      </c>
      <c r="F1180" s="8" t="s">
        <v>157</v>
      </c>
      <c r="G1180" s="8" t="s">
        <v>708</v>
      </c>
      <c r="H1180" s="8" t="s">
        <v>709</v>
      </c>
      <c r="I1180" s="8" t="s">
        <v>332</v>
      </c>
      <c r="J1180" s="8" t="s">
        <v>710</v>
      </c>
      <c r="K1180" s="8" t="s">
        <v>711</v>
      </c>
      <c r="L1180" s="8" t="s">
        <v>712</v>
      </c>
      <c r="M1180" s="8" t="s">
        <v>2794</v>
      </c>
      <c r="N1180" s="8" t="s">
        <v>708</v>
      </c>
      <c r="O1180" s="8">
        <v>909.59</v>
      </c>
      <c r="P1180" s="8">
        <v>1010.66</v>
      </c>
      <c r="Q1180" s="8" t="s">
        <v>2657</v>
      </c>
      <c r="R1180" s="8" t="s">
        <v>2440</v>
      </c>
    </row>
    <row r="1181" spans="1:20" x14ac:dyDescent="0.2">
      <c r="A1181" s="8" t="s">
        <v>3379</v>
      </c>
      <c r="B1181" s="8" t="str">
        <f t="shared" si="36"/>
        <v>1586244270</v>
      </c>
      <c r="C1181" s="8" t="str">
        <f t="shared" si="37"/>
        <v>1216</v>
      </c>
      <c r="D1181" s="8" t="s">
        <v>119</v>
      </c>
      <c r="F1181" s="8" t="s">
        <v>157</v>
      </c>
      <c r="G1181" s="8" t="s">
        <v>708</v>
      </c>
      <c r="H1181" s="8" t="s">
        <v>709</v>
      </c>
      <c r="I1181" s="8" t="s">
        <v>332</v>
      </c>
      <c r="J1181" s="8" t="s">
        <v>710</v>
      </c>
      <c r="K1181" s="8" t="s">
        <v>711</v>
      </c>
      <c r="L1181" s="8" t="s">
        <v>712</v>
      </c>
      <c r="M1181" s="8" t="s">
        <v>2794</v>
      </c>
      <c r="N1181" s="8" t="s">
        <v>708</v>
      </c>
      <c r="O1181" s="8">
        <v>909.59</v>
      </c>
      <c r="P1181" s="8">
        <v>1010.66</v>
      </c>
      <c r="Q1181" s="8" t="s">
        <v>2657</v>
      </c>
      <c r="R1181" s="8" t="s">
        <v>713</v>
      </c>
    </row>
    <row r="1182" spans="1:20" x14ac:dyDescent="0.2">
      <c r="A1182" s="8" t="s">
        <v>4130</v>
      </c>
      <c r="B1182" s="8" t="str">
        <f t="shared" si="36"/>
        <v>1586244270</v>
      </c>
      <c r="C1182" s="8" t="str">
        <f t="shared" si="37"/>
        <v>1217</v>
      </c>
      <c r="D1182" s="8" t="s">
        <v>119</v>
      </c>
      <c r="F1182" s="8" t="s">
        <v>157</v>
      </c>
      <c r="G1182" s="8" t="s">
        <v>708</v>
      </c>
      <c r="H1182" s="8" t="s">
        <v>709</v>
      </c>
      <c r="I1182" s="8" t="s">
        <v>332</v>
      </c>
      <c r="J1182" s="8" t="s">
        <v>710</v>
      </c>
      <c r="K1182" s="8" t="s">
        <v>711</v>
      </c>
      <c r="L1182" s="8" t="s">
        <v>712</v>
      </c>
      <c r="M1182" s="8" t="s">
        <v>2794</v>
      </c>
      <c r="N1182" s="8" t="s">
        <v>708</v>
      </c>
      <c r="O1182" s="8">
        <v>909.59</v>
      </c>
      <c r="P1182" s="8">
        <v>1010.66</v>
      </c>
      <c r="Q1182" s="8" t="s">
        <v>2657</v>
      </c>
      <c r="R1182" s="8" t="s">
        <v>2069</v>
      </c>
    </row>
    <row r="1183" spans="1:20" x14ac:dyDescent="0.2">
      <c r="A1183" s="8" t="s">
        <v>3559</v>
      </c>
      <c r="B1183" s="8" t="str">
        <f t="shared" si="36"/>
        <v>1586244270</v>
      </c>
      <c r="C1183" s="8" t="str">
        <f t="shared" si="37"/>
        <v>1218</v>
      </c>
      <c r="D1183" s="8" t="s">
        <v>119</v>
      </c>
      <c r="F1183" s="8" t="s">
        <v>157</v>
      </c>
      <c r="G1183" s="8" t="s">
        <v>708</v>
      </c>
      <c r="H1183" s="8" t="s">
        <v>709</v>
      </c>
      <c r="I1183" s="8" t="s">
        <v>332</v>
      </c>
      <c r="J1183" s="8" t="s">
        <v>710</v>
      </c>
      <c r="K1183" s="8" t="s">
        <v>711</v>
      </c>
      <c r="L1183" s="8" t="s">
        <v>712</v>
      </c>
      <c r="M1183" s="8" t="s">
        <v>2794</v>
      </c>
      <c r="N1183" s="8" t="s">
        <v>708</v>
      </c>
      <c r="O1183" s="8">
        <v>909.59</v>
      </c>
      <c r="P1183" s="8">
        <v>1010.66</v>
      </c>
      <c r="Q1183" s="8" t="s">
        <v>2657</v>
      </c>
      <c r="S1183" s="8" t="s">
        <v>542</v>
      </c>
      <c r="T1183" s="8">
        <v>362.21</v>
      </c>
    </row>
    <row r="1184" spans="1:20" x14ac:dyDescent="0.2">
      <c r="A1184" s="8" t="s">
        <v>4669</v>
      </c>
      <c r="B1184" s="8" t="str">
        <f t="shared" si="36"/>
        <v>1586244270</v>
      </c>
      <c r="C1184" s="8" t="str">
        <f t="shared" si="37"/>
        <v>1219</v>
      </c>
      <c r="D1184" s="8" t="s">
        <v>119</v>
      </c>
      <c r="F1184" s="8" t="s">
        <v>157</v>
      </c>
      <c r="G1184" s="8" t="s">
        <v>708</v>
      </c>
      <c r="H1184" s="8" t="s">
        <v>709</v>
      </c>
      <c r="I1184" s="8" t="s">
        <v>332</v>
      </c>
      <c r="J1184" s="8" t="s">
        <v>710</v>
      </c>
      <c r="K1184" s="8" t="s">
        <v>711</v>
      </c>
      <c r="L1184" s="8" t="s">
        <v>712</v>
      </c>
      <c r="M1184" s="8" t="s">
        <v>2794</v>
      </c>
      <c r="N1184" s="8" t="s">
        <v>708</v>
      </c>
      <c r="O1184" s="8">
        <v>909.59</v>
      </c>
      <c r="P1184" s="8">
        <v>1010.66</v>
      </c>
      <c r="Q1184" s="8" t="s">
        <v>2657</v>
      </c>
      <c r="S1184" s="8" t="s">
        <v>1192</v>
      </c>
      <c r="T1184" s="8">
        <v>131.31</v>
      </c>
    </row>
    <row r="1185" spans="1:20" x14ac:dyDescent="0.2">
      <c r="A1185" s="8" t="s">
        <v>2793</v>
      </c>
      <c r="B1185" s="8" t="str">
        <f t="shared" si="36"/>
        <v>1586244274</v>
      </c>
      <c r="C1185" s="8" t="str">
        <f t="shared" si="37"/>
        <v>1220</v>
      </c>
      <c r="D1185" s="8" t="s">
        <v>119</v>
      </c>
      <c r="F1185" s="8" t="s">
        <v>157</v>
      </c>
      <c r="G1185" s="8" t="s">
        <v>158</v>
      </c>
      <c r="H1185" s="8" t="s">
        <v>159</v>
      </c>
      <c r="I1185" s="8" t="s">
        <v>160</v>
      </c>
      <c r="J1185" s="8" t="s">
        <v>161</v>
      </c>
      <c r="K1185" s="8" t="s">
        <v>125</v>
      </c>
      <c r="L1185" s="8" t="s">
        <v>162</v>
      </c>
      <c r="M1185" s="8" t="s">
        <v>2794</v>
      </c>
      <c r="N1185" s="8" t="s">
        <v>158</v>
      </c>
      <c r="O1185" s="8">
        <v>501.64</v>
      </c>
      <c r="P1185" s="8">
        <v>557.38</v>
      </c>
      <c r="Q1185" s="8" t="s">
        <v>2658</v>
      </c>
      <c r="R1185" s="8" t="s">
        <v>411</v>
      </c>
    </row>
    <row r="1186" spans="1:20" x14ac:dyDescent="0.2">
      <c r="A1186" s="8" t="s">
        <v>3211</v>
      </c>
      <c r="B1186" s="8" t="str">
        <f t="shared" si="36"/>
        <v>1586244274</v>
      </c>
      <c r="C1186" s="8" t="str">
        <f t="shared" si="37"/>
        <v>1221</v>
      </c>
      <c r="D1186" s="8" t="s">
        <v>119</v>
      </c>
      <c r="F1186" s="8" t="s">
        <v>157</v>
      </c>
      <c r="G1186" s="8" t="s">
        <v>158</v>
      </c>
      <c r="H1186" s="8" t="s">
        <v>159</v>
      </c>
      <c r="I1186" s="8" t="s">
        <v>160</v>
      </c>
      <c r="J1186" s="8" t="s">
        <v>161</v>
      </c>
      <c r="K1186" s="8" t="s">
        <v>125</v>
      </c>
      <c r="L1186" s="8" t="s">
        <v>162</v>
      </c>
      <c r="M1186" s="8" t="s">
        <v>2794</v>
      </c>
      <c r="N1186" s="8" t="s">
        <v>158</v>
      </c>
      <c r="O1186" s="8">
        <v>501.64</v>
      </c>
      <c r="P1186" s="8">
        <v>557.38</v>
      </c>
      <c r="Q1186" s="8" t="s">
        <v>2658</v>
      </c>
      <c r="R1186" s="8" t="s">
        <v>2449</v>
      </c>
    </row>
    <row r="1187" spans="1:20" x14ac:dyDescent="0.2">
      <c r="A1187" s="8" t="s">
        <v>4382</v>
      </c>
      <c r="B1187" s="8" t="str">
        <f t="shared" si="36"/>
        <v>1586244274</v>
      </c>
      <c r="C1187" s="8" t="str">
        <f t="shared" si="37"/>
        <v>1222</v>
      </c>
      <c r="D1187" s="8" t="s">
        <v>119</v>
      </c>
      <c r="F1187" s="8" t="s">
        <v>157</v>
      </c>
      <c r="G1187" s="8" t="s">
        <v>158</v>
      </c>
      <c r="H1187" s="8" t="s">
        <v>159</v>
      </c>
      <c r="I1187" s="8" t="s">
        <v>160</v>
      </c>
      <c r="J1187" s="8" t="s">
        <v>161</v>
      </c>
      <c r="K1187" s="8" t="s">
        <v>125</v>
      </c>
      <c r="L1187" s="8" t="s">
        <v>162</v>
      </c>
      <c r="M1187" s="8" t="s">
        <v>2794</v>
      </c>
      <c r="N1187" s="8" t="s">
        <v>158</v>
      </c>
      <c r="O1187" s="8">
        <v>501.64</v>
      </c>
      <c r="P1187" s="8">
        <v>557.38</v>
      </c>
      <c r="Q1187" s="8" t="s">
        <v>2658</v>
      </c>
      <c r="R1187" s="8" t="s">
        <v>163</v>
      </c>
    </row>
    <row r="1188" spans="1:20" x14ac:dyDescent="0.2">
      <c r="A1188" s="8" t="s">
        <v>4170</v>
      </c>
      <c r="B1188" s="8" t="str">
        <f t="shared" si="36"/>
        <v>1586244274</v>
      </c>
      <c r="C1188" s="8" t="str">
        <f t="shared" si="37"/>
        <v>1223</v>
      </c>
      <c r="D1188" s="8" t="s">
        <v>119</v>
      </c>
      <c r="F1188" s="8" t="s">
        <v>157</v>
      </c>
      <c r="G1188" s="8" t="s">
        <v>158</v>
      </c>
      <c r="H1188" s="8" t="s">
        <v>159</v>
      </c>
      <c r="I1188" s="8" t="s">
        <v>160</v>
      </c>
      <c r="J1188" s="8" t="s">
        <v>161</v>
      </c>
      <c r="K1188" s="8" t="s">
        <v>125</v>
      </c>
      <c r="L1188" s="8" t="s">
        <v>162</v>
      </c>
      <c r="M1188" s="8" t="s">
        <v>2794</v>
      </c>
      <c r="N1188" s="8" t="s">
        <v>158</v>
      </c>
      <c r="O1188" s="8">
        <v>501.64</v>
      </c>
      <c r="P1188" s="8">
        <v>557.38</v>
      </c>
      <c r="Q1188" s="8" t="s">
        <v>2658</v>
      </c>
      <c r="R1188" s="8" t="s">
        <v>1207</v>
      </c>
    </row>
    <row r="1189" spans="1:20" x14ac:dyDescent="0.2">
      <c r="A1189" s="8" t="s">
        <v>3208</v>
      </c>
      <c r="B1189" s="8" t="str">
        <f t="shared" si="36"/>
        <v>1586244274</v>
      </c>
      <c r="C1189" s="8" t="str">
        <f t="shared" si="37"/>
        <v>1224</v>
      </c>
      <c r="D1189" s="8" t="s">
        <v>119</v>
      </c>
      <c r="F1189" s="8" t="s">
        <v>157</v>
      </c>
      <c r="G1189" s="8" t="s">
        <v>158</v>
      </c>
      <c r="H1189" s="8" t="s">
        <v>159</v>
      </c>
      <c r="I1189" s="8" t="s">
        <v>160</v>
      </c>
      <c r="J1189" s="8" t="s">
        <v>161</v>
      </c>
      <c r="K1189" s="8" t="s">
        <v>125</v>
      </c>
      <c r="L1189" s="8" t="s">
        <v>162</v>
      </c>
      <c r="M1189" s="8" t="s">
        <v>2794</v>
      </c>
      <c r="N1189" s="8" t="s">
        <v>158</v>
      </c>
      <c r="O1189" s="8">
        <v>501.64</v>
      </c>
      <c r="P1189" s="8">
        <v>557.38</v>
      </c>
      <c r="Q1189" s="8" t="s">
        <v>2658</v>
      </c>
      <c r="S1189" s="8" t="s">
        <v>1367</v>
      </c>
      <c r="T1189" s="8">
        <v>81.150000000000006</v>
      </c>
    </row>
    <row r="1190" spans="1:20" x14ac:dyDescent="0.2">
      <c r="A1190" s="8" t="s">
        <v>3895</v>
      </c>
      <c r="B1190" s="8" t="str">
        <f t="shared" si="36"/>
        <v>1586244274</v>
      </c>
      <c r="C1190" s="8" t="str">
        <f t="shared" si="37"/>
        <v>1225</v>
      </c>
      <c r="D1190" s="8" t="s">
        <v>119</v>
      </c>
      <c r="F1190" s="8" t="s">
        <v>157</v>
      </c>
      <c r="G1190" s="8" t="s">
        <v>158</v>
      </c>
      <c r="H1190" s="8" t="s">
        <v>159</v>
      </c>
      <c r="I1190" s="8" t="s">
        <v>160</v>
      </c>
      <c r="J1190" s="8" t="s">
        <v>161</v>
      </c>
      <c r="K1190" s="8" t="s">
        <v>125</v>
      </c>
      <c r="L1190" s="8" t="s">
        <v>162</v>
      </c>
      <c r="M1190" s="8" t="s">
        <v>2794</v>
      </c>
      <c r="N1190" s="8" t="s">
        <v>158</v>
      </c>
      <c r="O1190" s="8">
        <v>501.64</v>
      </c>
      <c r="P1190" s="8">
        <v>557.38</v>
      </c>
      <c r="Q1190" s="8" t="s">
        <v>2658</v>
      </c>
      <c r="S1190" s="8" t="s">
        <v>952</v>
      </c>
      <c r="T1190" s="8">
        <v>99.59</v>
      </c>
    </row>
    <row r="1191" spans="1:20" x14ac:dyDescent="0.2">
      <c r="A1191" s="8" t="s">
        <v>4456</v>
      </c>
      <c r="B1191" s="8" t="str">
        <f t="shared" si="36"/>
        <v>1586244274</v>
      </c>
      <c r="C1191" s="8" t="str">
        <f t="shared" si="37"/>
        <v>1226</v>
      </c>
      <c r="D1191" s="8" t="s">
        <v>119</v>
      </c>
      <c r="F1191" s="8" t="s">
        <v>157</v>
      </c>
      <c r="G1191" s="8" t="s">
        <v>158</v>
      </c>
      <c r="H1191" s="8" t="s">
        <v>159</v>
      </c>
      <c r="I1191" s="8" t="s">
        <v>160</v>
      </c>
      <c r="J1191" s="8" t="s">
        <v>161</v>
      </c>
      <c r="K1191" s="8" t="s">
        <v>125</v>
      </c>
      <c r="L1191" s="8" t="s">
        <v>162</v>
      </c>
      <c r="M1191" s="8" t="s">
        <v>2794</v>
      </c>
      <c r="N1191" s="8" t="s">
        <v>158</v>
      </c>
      <c r="O1191" s="8">
        <v>501.64</v>
      </c>
      <c r="P1191" s="8">
        <v>557.38</v>
      </c>
      <c r="Q1191" s="8" t="s">
        <v>2658</v>
      </c>
      <c r="S1191" s="8" t="s">
        <v>184</v>
      </c>
      <c r="T1191" s="8">
        <v>77.459999999999994</v>
      </c>
    </row>
    <row r="1192" spans="1:20" x14ac:dyDescent="0.2">
      <c r="A1192" s="8" t="s">
        <v>4689</v>
      </c>
      <c r="B1192" s="8" t="str">
        <f t="shared" si="36"/>
        <v>1586244281</v>
      </c>
      <c r="C1192" s="8" t="str">
        <f t="shared" si="37"/>
        <v>1227</v>
      </c>
      <c r="D1192" s="8" t="s">
        <v>119</v>
      </c>
      <c r="F1192" s="8" t="s">
        <v>399</v>
      </c>
      <c r="G1192" s="8" t="s">
        <v>486</v>
      </c>
      <c r="H1192" s="8" t="s">
        <v>487</v>
      </c>
      <c r="I1192" s="8" t="s">
        <v>181</v>
      </c>
      <c r="J1192" s="8" t="s">
        <v>488</v>
      </c>
      <c r="K1192" s="8" t="s">
        <v>190</v>
      </c>
      <c r="L1192" s="8" t="s">
        <v>489</v>
      </c>
      <c r="M1192" s="8" t="s">
        <v>2900</v>
      </c>
      <c r="N1192" s="8" t="s">
        <v>486</v>
      </c>
      <c r="O1192" s="8">
        <v>696.39</v>
      </c>
      <c r="P1192" s="8">
        <v>773.77</v>
      </c>
      <c r="Q1192" s="8" t="s">
        <v>2659</v>
      </c>
      <c r="R1192" s="8" t="s">
        <v>2082</v>
      </c>
    </row>
    <row r="1193" spans="1:20" x14ac:dyDescent="0.2">
      <c r="A1193" s="8" t="s">
        <v>4585</v>
      </c>
      <c r="B1193" s="8" t="str">
        <f t="shared" si="36"/>
        <v>1586244281</v>
      </c>
      <c r="C1193" s="8" t="str">
        <f t="shared" si="37"/>
        <v>1228</v>
      </c>
      <c r="D1193" s="8" t="s">
        <v>119</v>
      </c>
      <c r="F1193" s="8" t="s">
        <v>399</v>
      </c>
      <c r="G1193" s="8" t="s">
        <v>486</v>
      </c>
      <c r="H1193" s="8" t="s">
        <v>487</v>
      </c>
      <c r="I1193" s="8" t="s">
        <v>181</v>
      </c>
      <c r="J1193" s="8" t="s">
        <v>488</v>
      </c>
      <c r="K1193" s="8" t="s">
        <v>190</v>
      </c>
      <c r="L1193" s="8" t="s">
        <v>489</v>
      </c>
      <c r="M1193" s="8" t="s">
        <v>2900</v>
      </c>
      <c r="N1193" s="8" t="s">
        <v>486</v>
      </c>
      <c r="O1193" s="8">
        <v>696.39</v>
      </c>
      <c r="P1193" s="8">
        <v>773.77</v>
      </c>
      <c r="Q1193" s="8" t="s">
        <v>2659</v>
      </c>
      <c r="R1193" s="8" t="s">
        <v>490</v>
      </c>
    </row>
    <row r="1194" spans="1:20" x14ac:dyDescent="0.2">
      <c r="A1194" s="8" t="s">
        <v>4733</v>
      </c>
      <c r="B1194" s="8" t="str">
        <f t="shared" si="36"/>
        <v>1586244281</v>
      </c>
      <c r="C1194" s="8" t="str">
        <f t="shared" si="37"/>
        <v>1229</v>
      </c>
      <c r="D1194" s="8" t="s">
        <v>119</v>
      </c>
      <c r="F1194" s="8" t="s">
        <v>399</v>
      </c>
      <c r="G1194" s="8" t="s">
        <v>486</v>
      </c>
      <c r="H1194" s="8" t="s">
        <v>487</v>
      </c>
      <c r="I1194" s="8" t="s">
        <v>181</v>
      </c>
      <c r="J1194" s="8" t="s">
        <v>488</v>
      </c>
      <c r="K1194" s="8" t="s">
        <v>190</v>
      </c>
      <c r="L1194" s="8" t="s">
        <v>489</v>
      </c>
      <c r="M1194" s="8" t="s">
        <v>2900</v>
      </c>
      <c r="N1194" s="8" t="s">
        <v>486</v>
      </c>
      <c r="O1194" s="8">
        <v>696.39</v>
      </c>
      <c r="P1194" s="8">
        <v>773.77</v>
      </c>
      <c r="Q1194" s="8" t="s">
        <v>2659</v>
      </c>
      <c r="R1194" s="8" t="s">
        <v>739</v>
      </c>
    </row>
    <row r="1195" spans="1:20" x14ac:dyDescent="0.2">
      <c r="A1195" s="8" t="s">
        <v>3449</v>
      </c>
      <c r="B1195" s="8" t="str">
        <f t="shared" si="36"/>
        <v>1586244281</v>
      </c>
      <c r="C1195" s="8" t="str">
        <f t="shared" si="37"/>
        <v>1230</v>
      </c>
      <c r="D1195" s="8" t="s">
        <v>119</v>
      </c>
      <c r="F1195" s="8" t="s">
        <v>399</v>
      </c>
      <c r="G1195" s="8" t="s">
        <v>486</v>
      </c>
      <c r="H1195" s="8" t="s">
        <v>487</v>
      </c>
      <c r="I1195" s="8" t="s">
        <v>181</v>
      </c>
      <c r="J1195" s="8" t="s">
        <v>488</v>
      </c>
      <c r="K1195" s="8" t="s">
        <v>190</v>
      </c>
      <c r="L1195" s="8" t="s">
        <v>489</v>
      </c>
      <c r="M1195" s="8" t="s">
        <v>2900</v>
      </c>
      <c r="N1195" s="8" t="s">
        <v>486</v>
      </c>
      <c r="O1195" s="8">
        <v>696.39</v>
      </c>
      <c r="P1195" s="8">
        <v>773.77</v>
      </c>
      <c r="Q1195" s="8" t="s">
        <v>2659</v>
      </c>
      <c r="S1195" s="8" t="s">
        <v>142</v>
      </c>
      <c r="T1195" s="8">
        <v>47.21</v>
      </c>
    </row>
    <row r="1196" spans="1:20" x14ac:dyDescent="0.2">
      <c r="A1196" s="8" t="s">
        <v>4184</v>
      </c>
      <c r="B1196" s="8" t="str">
        <f t="shared" si="36"/>
        <v>1586244281</v>
      </c>
      <c r="C1196" s="8" t="str">
        <f t="shared" si="37"/>
        <v>1231</v>
      </c>
      <c r="D1196" s="8" t="s">
        <v>119</v>
      </c>
      <c r="F1196" s="8" t="s">
        <v>399</v>
      </c>
      <c r="G1196" s="8" t="s">
        <v>486</v>
      </c>
      <c r="H1196" s="8" t="s">
        <v>487</v>
      </c>
      <c r="I1196" s="8" t="s">
        <v>181</v>
      </c>
      <c r="J1196" s="8" t="s">
        <v>488</v>
      </c>
      <c r="K1196" s="8" t="s">
        <v>190</v>
      </c>
      <c r="L1196" s="8" t="s">
        <v>489</v>
      </c>
      <c r="M1196" s="8" t="s">
        <v>2900</v>
      </c>
      <c r="N1196" s="8" t="s">
        <v>486</v>
      </c>
      <c r="O1196" s="8">
        <v>696.39</v>
      </c>
      <c r="P1196" s="8">
        <v>773.77</v>
      </c>
      <c r="Q1196" s="8" t="s">
        <v>2659</v>
      </c>
      <c r="S1196" s="8" t="s">
        <v>184</v>
      </c>
      <c r="T1196" s="8">
        <v>177.05</v>
      </c>
    </row>
    <row r="1197" spans="1:20" x14ac:dyDescent="0.2">
      <c r="A1197" s="8" t="s">
        <v>4162</v>
      </c>
      <c r="B1197" s="8" t="str">
        <f t="shared" si="36"/>
        <v>1586244281</v>
      </c>
      <c r="C1197" s="8" t="str">
        <f t="shared" si="37"/>
        <v>1232</v>
      </c>
      <c r="D1197" s="8" t="s">
        <v>119</v>
      </c>
      <c r="F1197" s="8" t="s">
        <v>399</v>
      </c>
      <c r="G1197" s="8" t="s">
        <v>486</v>
      </c>
      <c r="H1197" s="8" t="s">
        <v>487</v>
      </c>
      <c r="I1197" s="8" t="s">
        <v>181</v>
      </c>
      <c r="J1197" s="8" t="s">
        <v>488</v>
      </c>
      <c r="K1197" s="8" t="s">
        <v>190</v>
      </c>
      <c r="L1197" s="8" t="s">
        <v>489</v>
      </c>
      <c r="M1197" s="8" t="s">
        <v>2900</v>
      </c>
      <c r="N1197" s="8" t="s">
        <v>486</v>
      </c>
      <c r="O1197" s="8">
        <v>696.39</v>
      </c>
      <c r="P1197" s="8">
        <v>773.77</v>
      </c>
      <c r="Q1197" s="8" t="s">
        <v>2659</v>
      </c>
      <c r="S1197" s="8" t="s">
        <v>156</v>
      </c>
      <c r="T1197" s="8">
        <v>65.66</v>
      </c>
    </row>
    <row r="1198" spans="1:20" x14ac:dyDescent="0.2">
      <c r="A1198" s="8" t="s">
        <v>4267</v>
      </c>
      <c r="B1198" s="8" t="str">
        <f t="shared" si="36"/>
        <v>1586244281</v>
      </c>
      <c r="C1198" s="8" t="str">
        <f t="shared" si="37"/>
        <v>1233</v>
      </c>
      <c r="D1198" s="8" t="s">
        <v>119</v>
      </c>
      <c r="F1198" s="8" t="s">
        <v>399</v>
      </c>
      <c r="G1198" s="8" t="s">
        <v>486</v>
      </c>
      <c r="H1198" s="8" t="s">
        <v>487</v>
      </c>
      <c r="I1198" s="8" t="s">
        <v>181</v>
      </c>
      <c r="J1198" s="8" t="s">
        <v>488</v>
      </c>
      <c r="K1198" s="8" t="s">
        <v>190</v>
      </c>
      <c r="L1198" s="8" t="s">
        <v>489</v>
      </c>
      <c r="M1198" s="8" t="s">
        <v>2900</v>
      </c>
      <c r="N1198" s="8" t="s">
        <v>486</v>
      </c>
      <c r="O1198" s="8">
        <v>696.39</v>
      </c>
      <c r="P1198" s="8">
        <v>773.77</v>
      </c>
      <c r="Q1198" s="8" t="s">
        <v>2659</v>
      </c>
      <c r="S1198" s="8" t="s">
        <v>1976</v>
      </c>
      <c r="T1198" s="8">
        <v>75.25</v>
      </c>
    </row>
    <row r="1199" spans="1:20" x14ac:dyDescent="0.2">
      <c r="A1199" s="8" t="s">
        <v>3688</v>
      </c>
      <c r="B1199" s="8" t="str">
        <f t="shared" si="36"/>
        <v>1586244283</v>
      </c>
      <c r="C1199" s="8" t="str">
        <f t="shared" si="37"/>
        <v>1234</v>
      </c>
      <c r="D1199" s="8" t="s">
        <v>119</v>
      </c>
      <c r="F1199" s="8" t="s">
        <v>399</v>
      </c>
      <c r="G1199" s="8" t="s">
        <v>486</v>
      </c>
      <c r="H1199" s="8" t="s">
        <v>487</v>
      </c>
      <c r="I1199" s="8" t="s">
        <v>1278</v>
      </c>
      <c r="J1199" s="8" t="s">
        <v>1279</v>
      </c>
      <c r="K1199" s="8" t="s">
        <v>190</v>
      </c>
      <c r="L1199" s="8" t="s">
        <v>1280</v>
      </c>
      <c r="M1199" s="8" t="s">
        <v>2900</v>
      </c>
      <c r="N1199" s="8" t="s">
        <v>486</v>
      </c>
      <c r="O1199" s="8">
        <v>696.39</v>
      </c>
      <c r="P1199" s="8">
        <v>773.77</v>
      </c>
      <c r="Q1199" s="8" t="s">
        <v>2660</v>
      </c>
      <c r="R1199" s="8" t="s">
        <v>2487</v>
      </c>
    </row>
    <row r="1200" spans="1:20" x14ac:dyDescent="0.2">
      <c r="A1200" s="8" t="s">
        <v>3963</v>
      </c>
      <c r="B1200" s="8" t="str">
        <f t="shared" si="36"/>
        <v>1586244283</v>
      </c>
      <c r="C1200" s="8" t="str">
        <f t="shared" si="37"/>
        <v>1235</v>
      </c>
      <c r="D1200" s="8" t="s">
        <v>119</v>
      </c>
      <c r="F1200" s="8" t="s">
        <v>399</v>
      </c>
      <c r="G1200" s="8" t="s">
        <v>486</v>
      </c>
      <c r="H1200" s="8" t="s">
        <v>487</v>
      </c>
      <c r="I1200" s="8" t="s">
        <v>1278</v>
      </c>
      <c r="J1200" s="8" t="s">
        <v>1279</v>
      </c>
      <c r="K1200" s="8" t="s">
        <v>190</v>
      </c>
      <c r="L1200" s="8" t="s">
        <v>1280</v>
      </c>
      <c r="M1200" s="8" t="s">
        <v>2900</v>
      </c>
      <c r="N1200" s="8" t="s">
        <v>486</v>
      </c>
      <c r="O1200" s="8">
        <v>696.39</v>
      </c>
      <c r="P1200" s="8">
        <v>773.77</v>
      </c>
      <c r="Q1200" s="8" t="s">
        <v>2660</v>
      </c>
      <c r="R1200" s="8" t="s">
        <v>1281</v>
      </c>
    </row>
    <row r="1201" spans="1:20" x14ac:dyDescent="0.2">
      <c r="A1201" s="8" t="s">
        <v>4577</v>
      </c>
      <c r="B1201" s="8" t="str">
        <f t="shared" si="36"/>
        <v>1586244283</v>
      </c>
      <c r="C1201" s="8" t="str">
        <f t="shared" si="37"/>
        <v>1236</v>
      </c>
      <c r="D1201" s="8" t="s">
        <v>119</v>
      </c>
      <c r="F1201" s="8" t="s">
        <v>399</v>
      </c>
      <c r="G1201" s="8" t="s">
        <v>486</v>
      </c>
      <c r="H1201" s="8" t="s">
        <v>487</v>
      </c>
      <c r="I1201" s="8" t="s">
        <v>1278</v>
      </c>
      <c r="J1201" s="8" t="s">
        <v>1279</v>
      </c>
      <c r="K1201" s="8" t="s">
        <v>190</v>
      </c>
      <c r="L1201" s="8" t="s">
        <v>1280</v>
      </c>
      <c r="M1201" s="8" t="s">
        <v>2900</v>
      </c>
      <c r="N1201" s="8" t="s">
        <v>486</v>
      </c>
      <c r="O1201" s="8">
        <v>696.39</v>
      </c>
      <c r="P1201" s="8">
        <v>773.77</v>
      </c>
      <c r="Q1201" s="8" t="s">
        <v>2660</v>
      </c>
      <c r="R1201" s="8" t="s">
        <v>1985</v>
      </c>
    </row>
    <row r="1202" spans="1:20" x14ac:dyDescent="0.2">
      <c r="A1202" s="8" t="s">
        <v>4408</v>
      </c>
      <c r="B1202" s="8" t="str">
        <f t="shared" si="36"/>
        <v>1586244283</v>
      </c>
      <c r="C1202" s="8" t="str">
        <f t="shared" si="37"/>
        <v>1237</v>
      </c>
      <c r="D1202" s="8" t="s">
        <v>119</v>
      </c>
      <c r="F1202" s="8" t="s">
        <v>399</v>
      </c>
      <c r="G1202" s="8" t="s">
        <v>486</v>
      </c>
      <c r="H1202" s="8" t="s">
        <v>487</v>
      </c>
      <c r="I1202" s="8" t="s">
        <v>1278</v>
      </c>
      <c r="J1202" s="8" t="s">
        <v>1279</v>
      </c>
      <c r="K1202" s="8" t="s">
        <v>190</v>
      </c>
      <c r="L1202" s="8" t="s">
        <v>1280</v>
      </c>
      <c r="M1202" s="8" t="s">
        <v>2900</v>
      </c>
      <c r="N1202" s="8" t="s">
        <v>486</v>
      </c>
      <c r="O1202" s="8">
        <v>696.39</v>
      </c>
      <c r="P1202" s="8">
        <v>773.77</v>
      </c>
      <c r="Q1202" s="8" t="s">
        <v>2660</v>
      </c>
      <c r="R1202" s="8" t="s">
        <v>1641</v>
      </c>
    </row>
    <row r="1203" spans="1:20" x14ac:dyDescent="0.2">
      <c r="A1203" s="8" t="s">
        <v>4270</v>
      </c>
      <c r="B1203" s="8" t="str">
        <f t="shared" si="36"/>
        <v>1586244283</v>
      </c>
      <c r="C1203" s="8" t="str">
        <f t="shared" si="37"/>
        <v>1238</v>
      </c>
      <c r="D1203" s="8" t="s">
        <v>119</v>
      </c>
      <c r="F1203" s="8" t="s">
        <v>399</v>
      </c>
      <c r="G1203" s="8" t="s">
        <v>486</v>
      </c>
      <c r="H1203" s="8" t="s">
        <v>487</v>
      </c>
      <c r="I1203" s="8" t="s">
        <v>1278</v>
      </c>
      <c r="J1203" s="8" t="s">
        <v>1279</v>
      </c>
      <c r="K1203" s="8" t="s">
        <v>190</v>
      </c>
      <c r="L1203" s="8" t="s">
        <v>1280</v>
      </c>
      <c r="M1203" s="8" t="s">
        <v>2900</v>
      </c>
      <c r="N1203" s="8" t="s">
        <v>486</v>
      </c>
      <c r="O1203" s="8">
        <v>696.39</v>
      </c>
      <c r="P1203" s="8">
        <v>773.77</v>
      </c>
      <c r="Q1203" s="8" t="s">
        <v>2660</v>
      </c>
      <c r="R1203" s="8" t="s">
        <v>1934</v>
      </c>
    </row>
    <row r="1204" spans="1:20" x14ac:dyDescent="0.2">
      <c r="A1204" s="8" t="s">
        <v>4785</v>
      </c>
      <c r="B1204" s="8" t="str">
        <f t="shared" si="36"/>
        <v>1586244283</v>
      </c>
      <c r="C1204" s="8" t="str">
        <f t="shared" si="37"/>
        <v>1239</v>
      </c>
      <c r="D1204" s="8" t="s">
        <v>119</v>
      </c>
      <c r="F1204" s="8" t="s">
        <v>399</v>
      </c>
      <c r="G1204" s="8" t="s">
        <v>486</v>
      </c>
      <c r="H1204" s="8" t="s">
        <v>487</v>
      </c>
      <c r="I1204" s="8" t="s">
        <v>1278</v>
      </c>
      <c r="J1204" s="8" t="s">
        <v>1279</v>
      </c>
      <c r="K1204" s="8" t="s">
        <v>190</v>
      </c>
      <c r="L1204" s="8" t="s">
        <v>1280</v>
      </c>
      <c r="M1204" s="8" t="s">
        <v>2900</v>
      </c>
      <c r="N1204" s="8" t="s">
        <v>486</v>
      </c>
      <c r="O1204" s="8">
        <v>696.39</v>
      </c>
      <c r="P1204" s="8">
        <v>773.77</v>
      </c>
      <c r="Q1204" s="8" t="s">
        <v>2660</v>
      </c>
      <c r="R1204" s="8" t="s">
        <v>1888</v>
      </c>
    </row>
    <row r="1205" spans="1:20" x14ac:dyDescent="0.2">
      <c r="A1205" s="8" t="s">
        <v>3662</v>
      </c>
      <c r="B1205" s="8" t="str">
        <f t="shared" si="36"/>
        <v>1586244283</v>
      </c>
      <c r="C1205" s="8" t="str">
        <f t="shared" si="37"/>
        <v>1240</v>
      </c>
      <c r="D1205" s="8" t="s">
        <v>119</v>
      </c>
      <c r="F1205" s="8" t="s">
        <v>399</v>
      </c>
      <c r="G1205" s="8" t="s">
        <v>486</v>
      </c>
      <c r="H1205" s="8" t="s">
        <v>487</v>
      </c>
      <c r="I1205" s="8" t="s">
        <v>1278</v>
      </c>
      <c r="J1205" s="8" t="s">
        <v>1279</v>
      </c>
      <c r="K1205" s="8" t="s">
        <v>190</v>
      </c>
      <c r="L1205" s="8" t="s">
        <v>1280</v>
      </c>
      <c r="M1205" s="8" t="s">
        <v>2900</v>
      </c>
      <c r="N1205" s="8" t="s">
        <v>486</v>
      </c>
      <c r="O1205" s="8">
        <v>696.39</v>
      </c>
      <c r="P1205" s="8">
        <v>773.77</v>
      </c>
      <c r="Q1205" s="8" t="s">
        <v>2660</v>
      </c>
      <c r="R1205" s="8" t="s">
        <v>2389</v>
      </c>
    </row>
    <row r="1206" spans="1:20" x14ac:dyDescent="0.2">
      <c r="A1206" s="8" t="s">
        <v>3603</v>
      </c>
      <c r="B1206" s="8" t="str">
        <f t="shared" si="36"/>
        <v>1586244283</v>
      </c>
      <c r="C1206" s="8" t="str">
        <f t="shared" si="37"/>
        <v>1241</v>
      </c>
      <c r="D1206" s="8" t="s">
        <v>119</v>
      </c>
      <c r="F1206" s="8" t="s">
        <v>399</v>
      </c>
      <c r="G1206" s="8" t="s">
        <v>486</v>
      </c>
      <c r="H1206" s="8" t="s">
        <v>487</v>
      </c>
      <c r="I1206" s="8" t="s">
        <v>1278</v>
      </c>
      <c r="J1206" s="8" t="s">
        <v>1279</v>
      </c>
      <c r="K1206" s="8" t="s">
        <v>190</v>
      </c>
      <c r="L1206" s="8" t="s">
        <v>1280</v>
      </c>
      <c r="M1206" s="8" t="s">
        <v>2900</v>
      </c>
      <c r="N1206" s="8" t="s">
        <v>486</v>
      </c>
      <c r="O1206" s="8">
        <v>696.39</v>
      </c>
      <c r="P1206" s="8">
        <v>773.77</v>
      </c>
      <c r="Q1206" s="8" t="s">
        <v>2660</v>
      </c>
      <c r="S1206" s="8" t="s">
        <v>142</v>
      </c>
      <c r="T1206" s="8">
        <v>47.21</v>
      </c>
    </row>
    <row r="1207" spans="1:20" x14ac:dyDescent="0.2">
      <c r="A1207" s="8" t="s">
        <v>2899</v>
      </c>
      <c r="B1207" s="8" t="str">
        <f t="shared" si="36"/>
        <v>1586244283</v>
      </c>
      <c r="C1207" s="8" t="str">
        <f t="shared" si="37"/>
        <v>1242</v>
      </c>
      <c r="D1207" s="8" t="s">
        <v>119</v>
      </c>
      <c r="F1207" s="8" t="s">
        <v>399</v>
      </c>
      <c r="G1207" s="8" t="s">
        <v>486</v>
      </c>
      <c r="H1207" s="8" t="s">
        <v>487</v>
      </c>
      <c r="I1207" s="8" t="s">
        <v>1278</v>
      </c>
      <c r="J1207" s="8" t="s">
        <v>1279</v>
      </c>
      <c r="K1207" s="8" t="s">
        <v>190</v>
      </c>
      <c r="L1207" s="8" t="s">
        <v>1280</v>
      </c>
      <c r="M1207" s="8" t="s">
        <v>2900</v>
      </c>
      <c r="N1207" s="8" t="s">
        <v>486</v>
      </c>
      <c r="O1207" s="8">
        <v>696.39</v>
      </c>
      <c r="P1207" s="8">
        <v>773.77</v>
      </c>
      <c r="Q1207" s="8" t="s">
        <v>2660</v>
      </c>
      <c r="S1207" s="8" t="s">
        <v>184</v>
      </c>
      <c r="T1207" s="8">
        <v>177.05</v>
      </c>
    </row>
    <row r="1208" spans="1:20" x14ac:dyDescent="0.2">
      <c r="A1208" s="8" t="s">
        <v>4493</v>
      </c>
      <c r="B1208" s="8" t="str">
        <f t="shared" si="36"/>
        <v>1586244283</v>
      </c>
      <c r="C1208" s="8" t="str">
        <f t="shared" si="37"/>
        <v>1243</v>
      </c>
      <c r="D1208" s="8" t="s">
        <v>119</v>
      </c>
      <c r="F1208" s="8" t="s">
        <v>399</v>
      </c>
      <c r="G1208" s="8" t="s">
        <v>486</v>
      </c>
      <c r="H1208" s="8" t="s">
        <v>487</v>
      </c>
      <c r="I1208" s="8" t="s">
        <v>1278</v>
      </c>
      <c r="J1208" s="8" t="s">
        <v>1279</v>
      </c>
      <c r="K1208" s="8" t="s">
        <v>190</v>
      </c>
      <c r="L1208" s="8" t="s">
        <v>1280</v>
      </c>
      <c r="M1208" s="8" t="s">
        <v>2900</v>
      </c>
      <c r="N1208" s="8" t="s">
        <v>486</v>
      </c>
      <c r="O1208" s="8">
        <v>696.39</v>
      </c>
      <c r="P1208" s="8">
        <v>773.77</v>
      </c>
      <c r="Q1208" s="8" t="s">
        <v>2660</v>
      </c>
      <c r="S1208" s="8" t="s">
        <v>156</v>
      </c>
      <c r="T1208" s="8">
        <v>65.66</v>
      </c>
    </row>
    <row r="1209" spans="1:20" x14ac:dyDescent="0.2">
      <c r="A1209" s="8" t="s">
        <v>4483</v>
      </c>
      <c r="B1209" s="8" t="str">
        <f t="shared" si="36"/>
        <v>1586244283</v>
      </c>
      <c r="C1209" s="8" t="str">
        <f t="shared" si="37"/>
        <v>1244</v>
      </c>
      <c r="D1209" s="8" t="s">
        <v>119</v>
      </c>
      <c r="F1209" s="8" t="s">
        <v>399</v>
      </c>
      <c r="G1209" s="8" t="s">
        <v>486</v>
      </c>
      <c r="H1209" s="8" t="s">
        <v>487</v>
      </c>
      <c r="I1209" s="8" t="s">
        <v>1278</v>
      </c>
      <c r="J1209" s="8" t="s">
        <v>1279</v>
      </c>
      <c r="K1209" s="8" t="s">
        <v>190</v>
      </c>
      <c r="L1209" s="8" t="s">
        <v>1280</v>
      </c>
      <c r="M1209" s="8" t="s">
        <v>2900</v>
      </c>
      <c r="N1209" s="8" t="s">
        <v>486</v>
      </c>
      <c r="O1209" s="8">
        <v>696.39</v>
      </c>
      <c r="P1209" s="8">
        <v>773.77</v>
      </c>
      <c r="Q1209" s="8" t="s">
        <v>2660</v>
      </c>
      <c r="S1209" s="8" t="s">
        <v>1976</v>
      </c>
      <c r="T1209" s="8">
        <v>75.25</v>
      </c>
    </row>
    <row r="1210" spans="1:20" x14ac:dyDescent="0.2">
      <c r="A1210" s="8" t="s">
        <v>3597</v>
      </c>
      <c r="B1210" s="8" t="str">
        <f t="shared" si="36"/>
        <v>1586244287</v>
      </c>
      <c r="C1210" s="8" t="str">
        <f t="shared" si="37"/>
        <v>1245</v>
      </c>
      <c r="D1210" s="8" t="s">
        <v>119</v>
      </c>
      <c r="F1210" s="8" t="s">
        <v>399</v>
      </c>
      <c r="G1210" s="8" t="s">
        <v>446</v>
      </c>
      <c r="H1210" s="8" t="s">
        <v>447</v>
      </c>
      <c r="I1210" s="8" t="s">
        <v>1005</v>
      </c>
      <c r="J1210" s="8" t="s">
        <v>1137</v>
      </c>
      <c r="K1210" s="8" t="s">
        <v>190</v>
      </c>
      <c r="L1210" s="8" t="s">
        <v>1138</v>
      </c>
      <c r="M1210" s="8" t="s">
        <v>2900</v>
      </c>
      <c r="N1210" s="8" t="s">
        <v>446</v>
      </c>
      <c r="O1210" s="8">
        <v>696.39</v>
      </c>
      <c r="P1210" s="8">
        <v>773.77</v>
      </c>
      <c r="Q1210" s="8" t="s">
        <v>2661</v>
      </c>
      <c r="R1210" s="8" t="s">
        <v>1139</v>
      </c>
    </row>
    <row r="1211" spans="1:20" x14ac:dyDescent="0.2">
      <c r="A1211" s="8" t="s">
        <v>3507</v>
      </c>
      <c r="B1211" s="8" t="str">
        <f t="shared" si="36"/>
        <v>1586244287</v>
      </c>
      <c r="C1211" s="8" t="str">
        <f t="shared" si="37"/>
        <v>1246</v>
      </c>
      <c r="D1211" s="8" t="s">
        <v>119</v>
      </c>
      <c r="F1211" s="8" t="s">
        <v>399</v>
      </c>
      <c r="G1211" s="8" t="s">
        <v>446</v>
      </c>
      <c r="H1211" s="8" t="s">
        <v>447</v>
      </c>
      <c r="I1211" s="8" t="s">
        <v>1005</v>
      </c>
      <c r="J1211" s="8" t="s">
        <v>1137</v>
      </c>
      <c r="K1211" s="8" t="s">
        <v>190</v>
      </c>
      <c r="L1211" s="8" t="s">
        <v>1138</v>
      </c>
      <c r="M1211" s="8" t="s">
        <v>2900</v>
      </c>
      <c r="N1211" s="8" t="s">
        <v>446</v>
      </c>
      <c r="O1211" s="8">
        <v>696.39</v>
      </c>
      <c r="P1211" s="8">
        <v>773.77</v>
      </c>
      <c r="Q1211" s="8" t="s">
        <v>2661</v>
      </c>
      <c r="R1211" s="8" t="s">
        <v>2392</v>
      </c>
    </row>
    <row r="1212" spans="1:20" x14ac:dyDescent="0.2">
      <c r="A1212" s="8" t="s">
        <v>3321</v>
      </c>
      <c r="B1212" s="8" t="str">
        <f t="shared" si="36"/>
        <v>1586244287</v>
      </c>
      <c r="C1212" s="8" t="str">
        <f t="shared" si="37"/>
        <v>1247</v>
      </c>
      <c r="D1212" s="8" t="s">
        <v>119</v>
      </c>
      <c r="F1212" s="8" t="s">
        <v>399</v>
      </c>
      <c r="G1212" s="8" t="s">
        <v>446</v>
      </c>
      <c r="H1212" s="8" t="s">
        <v>447</v>
      </c>
      <c r="I1212" s="8" t="s">
        <v>1005</v>
      </c>
      <c r="J1212" s="8" t="s">
        <v>1137</v>
      </c>
      <c r="K1212" s="8" t="s">
        <v>190</v>
      </c>
      <c r="L1212" s="8" t="s">
        <v>1138</v>
      </c>
      <c r="M1212" s="8" t="s">
        <v>2900</v>
      </c>
      <c r="N1212" s="8" t="s">
        <v>446</v>
      </c>
      <c r="O1212" s="8">
        <v>696.39</v>
      </c>
      <c r="P1212" s="8">
        <v>773.77</v>
      </c>
      <c r="Q1212" s="8" t="s">
        <v>2661</v>
      </c>
      <c r="R1212" s="8" t="s">
        <v>1993</v>
      </c>
    </row>
    <row r="1213" spans="1:20" x14ac:dyDescent="0.2">
      <c r="A1213" s="8" t="s">
        <v>3730</v>
      </c>
      <c r="B1213" s="8" t="str">
        <f t="shared" si="36"/>
        <v>1586244287</v>
      </c>
      <c r="C1213" s="8" t="str">
        <f t="shared" si="37"/>
        <v>1248</v>
      </c>
      <c r="D1213" s="8" t="s">
        <v>119</v>
      </c>
      <c r="F1213" s="8" t="s">
        <v>399</v>
      </c>
      <c r="G1213" s="8" t="s">
        <v>446</v>
      </c>
      <c r="H1213" s="8" t="s">
        <v>447</v>
      </c>
      <c r="I1213" s="8" t="s">
        <v>1005</v>
      </c>
      <c r="J1213" s="8" t="s">
        <v>1137</v>
      </c>
      <c r="K1213" s="8" t="s">
        <v>190</v>
      </c>
      <c r="L1213" s="8" t="s">
        <v>1138</v>
      </c>
      <c r="M1213" s="8" t="s">
        <v>2900</v>
      </c>
      <c r="N1213" s="8" t="s">
        <v>446</v>
      </c>
      <c r="O1213" s="8">
        <v>696.39</v>
      </c>
      <c r="P1213" s="8">
        <v>773.77</v>
      </c>
      <c r="Q1213" s="8" t="s">
        <v>2661</v>
      </c>
      <c r="R1213" s="8" t="s">
        <v>2386</v>
      </c>
    </row>
    <row r="1214" spans="1:20" x14ac:dyDescent="0.2">
      <c r="A1214" s="8" t="s">
        <v>4105</v>
      </c>
      <c r="B1214" s="8" t="str">
        <f t="shared" si="36"/>
        <v>1586244287</v>
      </c>
      <c r="C1214" s="8" t="str">
        <f t="shared" si="37"/>
        <v>1249</v>
      </c>
      <c r="D1214" s="8" t="s">
        <v>119</v>
      </c>
      <c r="F1214" s="8" t="s">
        <v>399</v>
      </c>
      <c r="G1214" s="8" t="s">
        <v>446</v>
      </c>
      <c r="H1214" s="8" t="s">
        <v>447</v>
      </c>
      <c r="I1214" s="8" t="s">
        <v>1005</v>
      </c>
      <c r="J1214" s="8" t="s">
        <v>1137</v>
      </c>
      <c r="K1214" s="8" t="s">
        <v>190</v>
      </c>
      <c r="L1214" s="8" t="s">
        <v>1138</v>
      </c>
      <c r="M1214" s="8" t="s">
        <v>2900</v>
      </c>
      <c r="N1214" s="8" t="s">
        <v>446</v>
      </c>
      <c r="O1214" s="8">
        <v>696.39</v>
      </c>
      <c r="P1214" s="8">
        <v>773.77</v>
      </c>
      <c r="Q1214" s="8" t="s">
        <v>2661</v>
      </c>
      <c r="R1214" s="8" t="s">
        <v>1961</v>
      </c>
    </row>
    <row r="1215" spans="1:20" x14ac:dyDescent="0.2">
      <c r="A1215" s="8" t="s">
        <v>3898</v>
      </c>
      <c r="B1215" s="8" t="str">
        <f t="shared" si="36"/>
        <v>1586244287</v>
      </c>
      <c r="C1215" s="8" t="str">
        <f t="shared" si="37"/>
        <v>1250</v>
      </c>
      <c r="D1215" s="8" t="s">
        <v>119</v>
      </c>
      <c r="F1215" s="8" t="s">
        <v>399</v>
      </c>
      <c r="G1215" s="8" t="s">
        <v>446</v>
      </c>
      <c r="H1215" s="8" t="s">
        <v>447</v>
      </c>
      <c r="I1215" s="8" t="s">
        <v>1005</v>
      </c>
      <c r="J1215" s="8" t="s">
        <v>1137</v>
      </c>
      <c r="K1215" s="8" t="s">
        <v>190</v>
      </c>
      <c r="L1215" s="8" t="s">
        <v>1138</v>
      </c>
      <c r="M1215" s="8" t="s">
        <v>2900</v>
      </c>
      <c r="N1215" s="8" t="s">
        <v>446</v>
      </c>
      <c r="O1215" s="8">
        <v>696.39</v>
      </c>
      <c r="P1215" s="8">
        <v>773.77</v>
      </c>
      <c r="Q1215" s="8" t="s">
        <v>2661</v>
      </c>
      <c r="R1215" s="8" t="s">
        <v>2068</v>
      </c>
    </row>
    <row r="1216" spans="1:20" x14ac:dyDescent="0.2">
      <c r="A1216" s="8" t="s">
        <v>3046</v>
      </c>
      <c r="B1216" s="8" t="str">
        <f t="shared" si="36"/>
        <v>1586244287</v>
      </c>
      <c r="C1216" s="8" t="str">
        <f t="shared" si="37"/>
        <v>1251</v>
      </c>
      <c r="D1216" s="8" t="s">
        <v>119</v>
      </c>
      <c r="F1216" s="8" t="s">
        <v>399</v>
      </c>
      <c r="G1216" s="8" t="s">
        <v>446</v>
      </c>
      <c r="H1216" s="8" t="s">
        <v>447</v>
      </c>
      <c r="I1216" s="8" t="s">
        <v>1005</v>
      </c>
      <c r="J1216" s="8" t="s">
        <v>1137</v>
      </c>
      <c r="K1216" s="8" t="s">
        <v>190</v>
      </c>
      <c r="L1216" s="8" t="s">
        <v>1138</v>
      </c>
      <c r="M1216" s="8" t="s">
        <v>2900</v>
      </c>
      <c r="N1216" s="8" t="s">
        <v>446</v>
      </c>
      <c r="O1216" s="8">
        <v>696.39</v>
      </c>
      <c r="P1216" s="8">
        <v>773.77</v>
      </c>
      <c r="Q1216" s="8" t="s">
        <v>2661</v>
      </c>
      <c r="R1216" s="8" t="s">
        <v>1700</v>
      </c>
    </row>
    <row r="1217" spans="1:20" x14ac:dyDescent="0.2">
      <c r="A1217" s="8" t="s">
        <v>3844</v>
      </c>
      <c r="B1217" s="8" t="str">
        <f t="shared" si="36"/>
        <v>1586244287</v>
      </c>
      <c r="C1217" s="8" t="str">
        <f t="shared" si="37"/>
        <v>1252</v>
      </c>
      <c r="D1217" s="8" t="s">
        <v>119</v>
      </c>
      <c r="F1217" s="8" t="s">
        <v>399</v>
      </c>
      <c r="G1217" s="8" t="s">
        <v>446</v>
      </c>
      <c r="H1217" s="8" t="s">
        <v>447</v>
      </c>
      <c r="I1217" s="8" t="s">
        <v>1005</v>
      </c>
      <c r="J1217" s="8" t="s">
        <v>1137</v>
      </c>
      <c r="K1217" s="8" t="s">
        <v>190</v>
      </c>
      <c r="L1217" s="8" t="s">
        <v>1138</v>
      </c>
      <c r="M1217" s="8" t="s">
        <v>2900</v>
      </c>
      <c r="N1217" s="8" t="s">
        <v>446</v>
      </c>
      <c r="O1217" s="8">
        <v>696.39</v>
      </c>
      <c r="P1217" s="8">
        <v>773.77</v>
      </c>
      <c r="Q1217" s="8" t="s">
        <v>2661</v>
      </c>
      <c r="S1217" s="8" t="s">
        <v>142</v>
      </c>
      <c r="T1217" s="8">
        <v>47.21</v>
      </c>
    </row>
    <row r="1218" spans="1:20" x14ac:dyDescent="0.2">
      <c r="A1218" s="8" t="s">
        <v>4124</v>
      </c>
      <c r="B1218" s="8" t="str">
        <f t="shared" ref="B1218:B1281" si="38">LEFT(A1218, FIND("-", A1218) - 1)</f>
        <v>1586244287</v>
      </c>
      <c r="C1218" s="8" t="str">
        <f t="shared" ref="C1218:C1281" si="39">RIGHT(A1218, LEN(A1218) - FIND("-", A1218))</f>
        <v>1253</v>
      </c>
      <c r="D1218" s="8" t="s">
        <v>119</v>
      </c>
      <c r="F1218" s="8" t="s">
        <v>399</v>
      </c>
      <c r="G1218" s="8" t="s">
        <v>446</v>
      </c>
      <c r="H1218" s="8" t="s">
        <v>447</v>
      </c>
      <c r="I1218" s="8" t="s">
        <v>1005</v>
      </c>
      <c r="J1218" s="8" t="s">
        <v>1137</v>
      </c>
      <c r="K1218" s="8" t="s">
        <v>190</v>
      </c>
      <c r="L1218" s="8" t="s">
        <v>1138</v>
      </c>
      <c r="M1218" s="8" t="s">
        <v>2900</v>
      </c>
      <c r="N1218" s="8" t="s">
        <v>446</v>
      </c>
      <c r="O1218" s="8">
        <v>696.39</v>
      </c>
      <c r="P1218" s="8">
        <v>773.77</v>
      </c>
      <c r="Q1218" s="8" t="s">
        <v>2661</v>
      </c>
      <c r="S1218" s="8" t="s">
        <v>184</v>
      </c>
      <c r="T1218" s="8">
        <v>177.05</v>
      </c>
    </row>
    <row r="1219" spans="1:20" x14ac:dyDescent="0.2">
      <c r="A1219" s="8" t="s">
        <v>3374</v>
      </c>
      <c r="B1219" s="8" t="str">
        <f t="shared" si="38"/>
        <v>1586244287</v>
      </c>
      <c r="C1219" s="8" t="str">
        <f t="shared" si="39"/>
        <v>1254</v>
      </c>
      <c r="D1219" s="8" t="s">
        <v>119</v>
      </c>
      <c r="F1219" s="8" t="s">
        <v>399</v>
      </c>
      <c r="G1219" s="8" t="s">
        <v>446</v>
      </c>
      <c r="H1219" s="8" t="s">
        <v>447</v>
      </c>
      <c r="I1219" s="8" t="s">
        <v>1005</v>
      </c>
      <c r="J1219" s="8" t="s">
        <v>1137</v>
      </c>
      <c r="K1219" s="8" t="s">
        <v>190</v>
      </c>
      <c r="L1219" s="8" t="s">
        <v>1138</v>
      </c>
      <c r="M1219" s="8" t="s">
        <v>2900</v>
      </c>
      <c r="N1219" s="8" t="s">
        <v>446</v>
      </c>
      <c r="O1219" s="8">
        <v>696.39</v>
      </c>
      <c r="P1219" s="8">
        <v>773.77</v>
      </c>
      <c r="Q1219" s="8" t="s">
        <v>2661</v>
      </c>
      <c r="S1219" s="8" t="s">
        <v>156</v>
      </c>
      <c r="T1219" s="8">
        <v>65.66</v>
      </c>
    </row>
    <row r="1220" spans="1:20" x14ac:dyDescent="0.2">
      <c r="A1220" s="8" t="s">
        <v>4795</v>
      </c>
      <c r="B1220" s="8" t="str">
        <f t="shared" si="38"/>
        <v>1586244289</v>
      </c>
      <c r="C1220" s="8" t="str">
        <f t="shared" si="39"/>
        <v>1255</v>
      </c>
      <c r="D1220" s="8" t="s">
        <v>119</v>
      </c>
      <c r="F1220" s="8" t="s">
        <v>399</v>
      </c>
      <c r="G1220" s="8" t="s">
        <v>446</v>
      </c>
      <c r="H1220" s="8" t="s">
        <v>447</v>
      </c>
      <c r="I1220" s="8" t="s">
        <v>181</v>
      </c>
      <c r="J1220" s="8" t="s">
        <v>448</v>
      </c>
      <c r="K1220" s="8" t="s">
        <v>190</v>
      </c>
      <c r="L1220" s="8" t="s">
        <v>449</v>
      </c>
      <c r="M1220" s="8" t="s">
        <v>2900</v>
      </c>
      <c r="N1220" s="8" t="s">
        <v>446</v>
      </c>
      <c r="O1220" s="8">
        <v>696.39</v>
      </c>
      <c r="P1220" s="8">
        <v>773.77</v>
      </c>
      <c r="Q1220" s="8" t="s">
        <v>2662</v>
      </c>
      <c r="R1220" s="8" t="s">
        <v>450</v>
      </c>
    </row>
    <row r="1221" spans="1:20" x14ac:dyDescent="0.2">
      <c r="A1221" s="8" t="s">
        <v>4745</v>
      </c>
      <c r="B1221" s="8" t="str">
        <f t="shared" si="38"/>
        <v>1586244289</v>
      </c>
      <c r="C1221" s="8" t="str">
        <f t="shared" si="39"/>
        <v>1256</v>
      </c>
      <c r="D1221" s="8" t="s">
        <v>119</v>
      </c>
      <c r="F1221" s="8" t="s">
        <v>399</v>
      </c>
      <c r="G1221" s="8" t="s">
        <v>446</v>
      </c>
      <c r="H1221" s="8" t="s">
        <v>447</v>
      </c>
      <c r="I1221" s="8" t="s">
        <v>181</v>
      </c>
      <c r="J1221" s="8" t="s">
        <v>448</v>
      </c>
      <c r="K1221" s="8" t="s">
        <v>190</v>
      </c>
      <c r="L1221" s="8" t="s">
        <v>449</v>
      </c>
      <c r="M1221" s="8" t="s">
        <v>2900</v>
      </c>
      <c r="N1221" s="8" t="s">
        <v>446</v>
      </c>
      <c r="O1221" s="8">
        <v>696.39</v>
      </c>
      <c r="P1221" s="8">
        <v>773.77</v>
      </c>
      <c r="Q1221" s="8" t="s">
        <v>2662</v>
      </c>
      <c r="R1221" s="8" t="s">
        <v>2348</v>
      </c>
    </row>
    <row r="1222" spans="1:20" x14ac:dyDescent="0.2">
      <c r="A1222" s="8" t="s">
        <v>4058</v>
      </c>
      <c r="B1222" s="8" t="str">
        <f t="shared" si="38"/>
        <v>1586244289</v>
      </c>
      <c r="C1222" s="8" t="str">
        <f t="shared" si="39"/>
        <v>1257</v>
      </c>
      <c r="D1222" s="8" t="s">
        <v>119</v>
      </c>
      <c r="F1222" s="8" t="s">
        <v>399</v>
      </c>
      <c r="G1222" s="8" t="s">
        <v>446</v>
      </c>
      <c r="H1222" s="8" t="s">
        <v>447</v>
      </c>
      <c r="I1222" s="8" t="s">
        <v>181</v>
      </c>
      <c r="J1222" s="8" t="s">
        <v>448</v>
      </c>
      <c r="K1222" s="8" t="s">
        <v>190</v>
      </c>
      <c r="L1222" s="8" t="s">
        <v>449</v>
      </c>
      <c r="M1222" s="8" t="s">
        <v>2900</v>
      </c>
      <c r="N1222" s="8" t="s">
        <v>446</v>
      </c>
      <c r="O1222" s="8">
        <v>696.39</v>
      </c>
      <c r="P1222" s="8">
        <v>773.77</v>
      </c>
      <c r="Q1222" s="8" t="s">
        <v>2662</v>
      </c>
      <c r="R1222" s="8" t="s">
        <v>824</v>
      </c>
    </row>
    <row r="1223" spans="1:20" x14ac:dyDescent="0.2">
      <c r="A1223" s="8" t="s">
        <v>4549</v>
      </c>
      <c r="B1223" s="8" t="str">
        <f t="shared" si="38"/>
        <v>1586244289</v>
      </c>
      <c r="C1223" s="8" t="str">
        <f t="shared" si="39"/>
        <v>1258</v>
      </c>
      <c r="D1223" s="8" t="s">
        <v>119</v>
      </c>
      <c r="F1223" s="8" t="s">
        <v>399</v>
      </c>
      <c r="G1223" s="8" t="s">
        <v>446</v>
      </c>
      <c r="H1223" s="8" t="s">
        <v>447</v>
      </c>
      <c r="I1223" s="8" t="s">
        <v>181</v>
      </c>
      <c r="J1223" s="8" t="s">
        <v>448</v>
      </c>
      <c r="K1223" s="8" t="s">
        <v>190</v>
      </c>
      <c r="L1223" s="8" t="s">
        <v>449</v>
      </c>
      <c r="M1223" s="8" t="s">
        <v>2900</v>
      </c>
      <c r="N1223" s="8" t="s">
        <v>446</v>
      </c>
      <c r="O1223" s="8">
        <v>696.39</v>
      </c>
      <c r="P1223" s="8">
        <v>773.77</v>
      </c>
      <c r="Q1223" s="8" t="s">
        <v>2662</v>
      </c>
      <c r="S1223" s="8" t="s">
        <v>142</v>
      </c>
      <c r="T1223" s="8">
        <v>47.21</v>
      </c>
    </row>
    <row r="1224" spans="1:20" x14ac:dyDescent="0.2">
      <c r="A1224" s="8" t="s">
        <v>3684</v>
      </c>
      <c r="B1224" s="8" t="str">
        <f t="shared" si="38"/>
        <v>1586244289</v>
      </c>
      <c r="C1224" s="8" t="str">
        <f t="shared" si="39"/>
        <v>1259</v>
      </c>
      <c r="D1224" s="8" t="s">
        <v>119</v>
      </c>
      <c r="F1224" s="8" t="s">
        <v>399</v>
      </c>
      <c r="G1224" s="8" t="s">
        <v>446</v>
      </c>
      <c r="H1224" s="8" t="s">
        <v>447</v>
      </c>
      <c r="I1224" s="8" t="s">
        <v>181</v>
      </c>
      <c r="J1224" s="8" t="s">
        <v>448</v>
      </c>
      <c r="K1224" s="8" t="s">
        <v>190</v>
      </c>
      <c r="L1224" s="8" t="s">
        <v>449</v>
      </c>
      <c r="M1224" s="8" t="s">
        <v>2900</v>
      </c>
      <c r="N1224" s="8" t="s">
        <v>446</v>
      </c>
      <c r="O1224" s="8">
        <v>696.39</v>
      </c>
      <c r="P1224" s="8">
        <v>773.77</v>
      </c>
      <c r="Q1224" s="8" t="s">
        <v>2662</v>
      </c>
      <c r="S1224" s="8" t="s">
        <v>156</v>
      </c>
      <c r="T1224" s="8">
        <v>65.66</v>
      </c>
    </row>
    <row r="1225" spans="1:20" x14ac:dyDescent="0.2">
      <c r="A1225" s="8" t="s">
        <v>3735</v>
      </c>
      <c r="B1225" s="8" t="str">
        <f t="shared" si="38"/>
        <v>1586244289</v>
      </c>
      <c r="C1225" s="8" t="str">
        <f t="shared" si="39"/>
        <v>1260</v>
      </c>
      <c r="D1225" s="8" t="s">
        <v>119</v>
      </c>
      <c r="F1225" s="8" t="s">
        <v>399</v>
      </c>
      <c r="G1225" s="8" t="s">
        <v>446</v>
      </c>
      <c r="H1225" s="8" t="s">
        <v>447</v>
      </c>
      <c r="I1225" s="8" t="s">
        <v>181</v>
      </c>
      <c r="J1225" s="8" t="s">
        <v>448</v>
      </c>
      <c r="K1225" s="8" t="s">
        <v>190</v>
      </c>
      <c r="L1225" s="8" t="s">
        <v>449</v>
      </c>
      <c r="M1225" s="8" t="s">
        <v>2900</v>
      </c>
      <c r="N1225" s="8" t="s">
        <v>446</v>
      </c>
      <c r="O1225" s="8">
        <v>696.39</v>
      </c>
      <c r="P1225" s="8">
        <v>773.77</v>
      </c>
      <c r="Q1225" s="8" t="s">
        <v>2662</v>
      </c>
      <c r="S1225" s="8" t="s">
        <v>184</v>
      </c>
      <c r="T1225" s="8">
        <v>177.05</v>
      </c>
    </row>
    <row r="1226" spans="1:20" x14ac:dyDescent="0.2">
      <c r="A1226" s="8" t="s">
        <v>3290</v>
      </c>
      <c r="B1226" s="8" t="str">
        <f t="shared" si="38"/>
        <v>1586244289</v>
      </c>
      <c r="C1226" s="8" t="str">
        <f t="shared" si="39"/>
        <v>1261</v>
      </c>
      <c r="D1226" s="8" t="s">
        <v>119</v>
      </c>
      <c r="F1226" s="8" t="s">
        <v>399</v>
      </c>
      <c r="G1226" s="8" t="s">
        <v>446</v>
      </c>
      <c r="H1226" s="8" t="s">
        <v>447</v>
      </c>
      <c r="I1226" s="8" t="s">
        <v>181</v>
      </c>
      <c r="J1226" s="8" t="s">
        <v>448</v>
      </c>
      <c r="K1226" s="8" t="s">
        <v>190</v>
      </c>
      <c r="L1226" s="8" t="s">
        <v>449</v>
      </c>
      <c r="M1226" s="8" t="s">
        <v>2900</v>
      </c>
      <c r="N1226" s="8" t="s">
        <v>446</v>
      </c>
      <c r="O1226" s="8">
        <v>696.39</v>
      </c>
      <c r="P1226" s="8">
        <v>773.77</v>
      </c>
      <c r="Q1226" s="8" t="s">
        <v>2662</v>
      </c>
      <c r="S1226" s="8" t="s">
        <v>1976</v>
      </c>
      <c r="T1226" s="8">
        <v>75.25</v>
      </c>
    </row>
    <row r="1227" spans="1:20" x14ac:dyDescent="0.2">
      <c r="A1227" s="8" t="s">
        <v>2907</v>
      </c>
      <c r="B1227" s="8" t="str">
        <f t="shared" si="38"/>
        <v>1586244293</v>
      </c>
      <c r="C1227" s="8" t="str">
        <f t="shared" si="39"/>
        <v>1262</v>
      </c>
      <c r="D1227" s="8" t="s">
        <v>119</v>
      </c>
      <c r="F1227" s="8" t="s">
        <v>399</v>
      </c>
      <c r="G1227" s="8" t="s">
        <v>400</v>
      </c>
      <c r="H1227" s="8" t="s">
        <v>401</v>
      </c>
      <c r="I1227" s="8" t="s">
        <v>332</v>
      </c>
      <c r="J1227" s="8" t="s">
        <v>402</v>
      </c>
      <c r="K1227" s="8" t="s">
        <v>176</v>
      </c>
      <c r="L1227" s="8" t="s">
        <v>403</v>
      </c>
      <c r="M1227" s="8" t="s">
        <v>2900</v>
      </c>
      <c r="N1227" s="8" t="s">
        <v>400</v>
      </c>
      <c r="O1227" s="8">
        <v>1184.75</v>
      </c>
      <c r="P1227" s="8">
        <v>1316.39</v>
      </c>
      <c r="Q1227" s="8" t="s">
        <v>2663</v>
      </c>
      <c r="R1227" s="8" t="s">
        <v>1773</v>
      </c>
    </row>
    <row r="1228" spans="1:20" x14ac:dyDescent="0.2">
      <c r="A1228" s="8" t="s">
        <v>2927</v>
      </c>
      <c r="B1228" s="8" t="str">
        <f t="shared" si="38"/>
        <v>1586244293</v>
      </c>
      <c r="C1228" s="8" t="str">
        <f t="shared" si="39"/>
        <v>1263</v>
      </c>
      <c r="D1228" s="8" t="s">
        <v>119</v>
      </c>
      <c r="F1228" s="8" t="s">
        <v>399</v>
      </c>
      <c r="G1228" s="8" t="s">
        <v>400</v>
      </c>
      <c r="H1228" s="8" t="s">
        <v>401</v>
      </c>
      <c r="I1228" s="8" t="s">
        <v>332</v>
      </c>
      <c r="J1228" s="8" t="s">
        <v>402</v>
      </c>
      <c r="K1228" s="8" t="s">
        <v>176</v>
      </c>
      <c r="L1228" s="8" t="s">
        <v>403</v>
      </c>
      <c r="M1228" s="8" t="s">
        <v>2900</v>
      </c>
      <c r="N1228" s="8" t="s">
        <v>400</v>
      </c>
      <c r="O1228" s="8">
        <v>1184.75</v>
      </c>
      <c r="P1228" s="8">
        <v>1316.39</v>
      </c>
      <c r="Q1228" s="8" t="s">
        <v>2663</v>
      </c>
      <c r="R1228" s="8" t="s">
        <v>1956</v>
      </c>
    </row>
    <row r="1229" spans="1:20" x14ac:dyDescent="0.2">
      <c r="A1229" s="8" t="s">
        <v>3113</v>
      </c>
      <c r="B1229" s="8" t="str">
        <f t="shared" si="38"/>
        <v>1586244293</v>
      </c>
      <c r="C1229" s="8" t="str">
        <f t="shared" si="39"/>
        <v>1264</v>
      </c>
      <c r="D1229" s="8" t="s">
        <v>119</v>
      </c>
      <c r="F1229" s="8" t="s">
        <v>399</v>
      </c>
      <c r="G1229" s="8" t="s">
        <v>400</v>
      </c>
      <c r="H1229" s="8" t="s">
        <v>401</v>
      </c>
      <c r="I1229" s="8" t="s">
        <v>332</v>
      </c>
      <c r="J1229" s="8" t="s">
        <v>402</v>
      </c>
      <c r="K1229" s="8" t="s">
        <v>176</v>
      </c>
      <c r="L1229" s="8" t="s">
        <v>403</v>
      </c>
      <c r="M1229" s="8" t="s">
        <v>2900</v>
      </c>
      <c r="N1229" s="8" t="s">
        <v>400</v>
      </c>
      <c r="O1229" s="8">
        <v>1184.75</v>
      </c>
      <c r="P1229" s="8">
        <v>1316.39</v>
      </c>
      <c r="Q1229" s="8" t="s">
        <v>2663</v>
      </c>
      <c r="R1229" s="8" t="s">
        <v>1560</v>
      </c>
    </row>
    <row r="1230" spans="1:20" x14ac:dyDescent="0.2">
      <c r="A1230" s="8" t="s">
        <v>3425</v>
      </c>
      <c r="B1230" s="8" t="str">
        <f t="shared" si="38"/>
        <v>1586244293</v>
      </c>
      <c r="C1230" s="8" t="str">
        <f t="shared" si="39"/>
        <v>1265</v>
      </c>
      <c r="D1230" s="8" t="s">
        <v>119</v>
      </c>
      <c r="F1230" s="8" t="s">
        <v>399</v>
      </c>
      <c r="G1230" s="8" t="s">
        <v>400</v>
      </c>
      <c r="H1230" s="8" t="s">
        <v>401</v>
      </c>
      <c r="I1230" s="8" t="s">
        <v>332</v>
      </c>
      <c r="J1230" s="8" t="s">
        <v>402</v>
      </c>
      <c r="K1230" s="8" t="s">
        <v>176</v>
      </c>
      <c r="L1230" s="8" t="s">
        <v>403</v>
      </c>
      <c r="M1230" s="8" t="s">
        <v>2900</v>
      </c>
      <c r="N1230" s="8" t="s">
        <v>400</v>
      </c>
      <c r="O1230" s="8">
        <v>1184.75</v>
      </c>
      <c r="P1230" s="8">
        <v>1316.39</v>
      </c>
      <c r="Q1230" s="8" t="s">
        <v>2663</v>
      </c>
      <c r="R1230" s="8" t="s">
        <v>2180</v>
      </c>
    </row>
    <row r="1231" spans="1:20" x14ac:dyDescent="0.2">
      <c r="A1231" s="8" t="s">
        <v>4328</v>
      </c>
      <c r="B1231" s="8" t="str">
        <f t="shared" si="38"/>
        <v>1586244293</v>
      </c>
      <c r="C1231" s="8" t="str">
        <f t="shared" si="39"/>
        <v>1266</v>
      </c>
      <c r="D1231" s="8" t="s">
        <v>119</v>
      </c>
      <c r="F1231" s="8" t="s">
        <v>399</v>
      </c>
      <c r="G1231" s="8" t="s">
        <v>400</v>
      </c>
      <c r="H1231" s="8" t="s">
        <v>401</v>
      </c>
      <c r="I1231" s="8" t="s">
        <v>332</v>
      </c>
      <c r="J1231" s="8" t="s">
        <v>402</v>
      </c>
      <c r="K1231" s="8" t="s">
        <v>176</v>
      </c>
      <c r="L1231" s="8" t="s">
        <v>403</v>
      </c>
      <c r="M1231" s="8" t="s">
        <v>2900</v>
      </c>
      <c r="N1231" s="8" t="s">
        <v>400</v>
      </c>
      <c r="O1231" s="8">
        <v>1184.75</v>
      </c>
      <c r="P1231" s="8">
        <v>1316.39</v>
      </c>
      <c r="Q1231" s="8" t="s">
        <v>2663</v>
      </c>
      <c r="R1231" s="8" t="s">
        <v>1876</v>
      </c>
    </row>
    <row r="1232" spans="1:20" x14ac:dyDescent="0.2">
      <c r="A1232" s="8" t="s">
        <v>2932</v>
      </c>
      <c r="B1232" s="8" t="str">
        <f t="shared" si="38"/>
        <v>1586244293</v>
      </c>
      <c r="C1232" s="8" t="str">
        <f t="shared" si="39"/>
        <v>1267</v>
      </c>
      <c r="D1232" s="8" t="s">
        <v>119</v>
      </c>
      <c r="F1232" s="8" t="s">
        <v>399</v>
      </c>
      <c r="G1232" s="8" t="s">
        <v>400</v>
      </c>
      <c r="H1232" s="8" t="s">
        <v>401</v>
      </c>
      <c r="I1232" s="8" t="s">
        <v>332</v>
      </c>
      <c r="J1232" s="8" t="s">
        <v>402</v>
      </c>
      <c r="K1232" s="8" t="s">
        <v>176</v>
      </c>
      <c r="L1232" s="8" t="s">
        <v>403</v>
      </c>
      <c r="M1232" s="8" t="s">
        <v>2900</v>
      </c>
      <c r="N1232" s="8" t="s">
        <v>400</v>
      </c>
      <c r="O1232" s="8">
        <v>1184.75</v>
      </c>
      <c r="P1232" s="8">
        <v>1316.39</v>
      </c>
      <c r="Q1232" s="8" t="s">
        <v>2663</v>
      </c>
      <c r="S1232" s="8" t="s">
        <v>1895</v>
      </c>
      <c r="T1232" s="8">
        <v>0</v>
      </c>
    </row>
    <row r="1233" spans="1:20" x14ac:dyDescent="0.2">
      <c r="A1233" s="8" t="s">
        <v>3407</v>
      </c>
      <c r="B1233" s="8" t="str">
        <f t="shared" si="38"/>
        <v>1586244293</v>
      </c>
      <c r="C1233" s="8" t="str">
        <f t="shared" si="39"/>
        <v>1268</v>
      </c>
      <c r="D1233" s="8" t="s">
        <v>119</v>
      </c>
      <c r="F1233" s="8" t="s">
        <v>399</v>
      </c>
      <c r="G1233" s="8" t="s">
        <v>400</v>
      </c>
      <c r="H1233" s="8" t="s">
        <v>401</v>
      </c>
      <c r="I1233" s="8" t="s">
        <v>332</v>
      </c>
      <c r="J1233" s="8" t="s">
        <v>402</v>
      </c>
      <c r="K1233" s="8" t="s">
        <v>176</v>
      </c>
      <c r="L1233" s="8" t="s">
        <v>403</v>
      </c>
      <c r="M1233" s="8" t="s">
        <v>2900</v>
      </c>
      <c r="N1233" s="8" t="s">
        <v>400</v>
      </c>
      <c r="O1233" s="8">
        <v>1184.75</v>
      </c>
      <c r="P1233" s="8">
        <v>1316.39</v>
      </c>
      <c r="Q1233" s="8" t="s">
        <v>2663</v>
      </c>
      <c r="S1233" s="8" t="s">
        <v>1905</v>
      </c>
      <c r="T1233" s="8">
        <v>188.11</v>
      </c>
    </row>
    <row r="1234" spans="1:20" x14ac:dyDescent="0.2">
      <c r="A1234" s="8" t="s">
        <v>4479</v>
      </c>
      <c r="B1234" s="8" t="str">
        <f t="shared" si="38"/>
        <v>1586244293</v>
      </c>
      <c r="C1234" s="8" t="str">
        <f t="shared" si="39"/>
        <v>1269</v>
      </c>
      <c r="D1234" s="8" t="s">
        <v>119</v>
      </c>
      <c r="F1234" s="8" t="s">
        <v>399</v>
      </c>
      <c r="G1234" s="8" t="s">
        <v>400</v>
      </c>
      <c r="H1234" s="8" t="s">
        <v>401</v>
      </c>
      <c r="I1234" s="8" t="s">
        <v>332</v>
      </c>
      <c r="J1234" s="8" t="s">
        <v>402</v>
      </c>
      <c r="K1234" s="8" t="s">
        <v>176</v>
      </c>
      <c r="L1234" s="8" t="s">
        <v>403</v>
      </c>
      <c r="M1234" s="8" t="s">
        <v>2900</v>
      </c>
      <c r="N1234" s="8" t="s">
        <v>400</v>
      </c>
      <c r="O1234" s="8">
        <v>1184.75</v>
      </c>
      <c r="P1234" s="8">
        <v>1316.39</v>
      </c>
      <c r="Q1234" s="8" t="s">
        <v>2663</v>
      </c>
      <c r="S1234" s="8" t="s">
        <v>2332</v>
      </c>
      <c r="T1234" s="8">
        <v>188.11</v>
      </c>
    </row>
    <row r="1235" spans="1:20" x14ac:dyDescent="0.2">
      <c r="A1235" s="8" t="s">
        <v>2911</v>
      </c>
      <c r="B1235" s="8" t="str">
        <f t="shared" si="38"/>
        <v>1586244293</v>
      </c>
      <c r="C1235" s="8" t="str">
        <f t="shared" si="39"/>
        <v>1270</v>
      </c>
      <c r="D1235" s="8" t="s">
        <v>119</v>
      </c>
      <c r="F1235" s="8" t="s">
        <v>399</v>
      </c>
      <c r="G1235" s="8" t="s">
        <v>400</v>
      </c>
      <c r="H1235" s="8" t="s">
        <v>401</v>
      </c>
      <c r="I1235" s="8" t="s">
        <v>332</v>
      </c>
      <c r="J1235" s="8" t="s">
        <v>402</v>
      </c>
      <c r="K1235" s="8" t="s">
        <v>176</v>
      </c>
      <c r="L1235" s="8" t="s">
        <v>403</v>
      </c>
      <c r="M1235" s="8" t="s">
        <v>2900</v>
      </c>
      <c r="N1235" s="8" t="s">
        <v>400</v>
      </c>
      <c r="O1235" s="8">
        <v>1184.75</v>
      </c>
      <c r="P1235" s="8">
        <v>1316.39</v>
      </c>
      <c r="Q1235" s="8" t="s">
        <v>2663</v>
      </c>
      <c r="S1235" s="8" t="s">
        <v>1536</v>
      </c>
      <c r="T1235" s="8">
        <v>489.84</v>
      </c>
    </row>
    <row r="1236" spans="1:20" x14ac:dyDescent="0.2">
      <c r="A1236" s="8" t="s">
        <v>3755</v>
      </c>
      <c r="B1236" s="8" t="str">
        <f t="shared" si="38"/>
        <v>1586244293</v>
      </c>
      <c r="C1236" s="8" t="str">
        <f t="shared" si="39"/>
        <v>1271</v>
      </c>
      <c r="D1236" s="8" t="s">
        <v>119</v>
      </c>
      <c r="F1236" s="8" t="s">
        <v>399</v>
      </c>
      <c r="G1236" s="8" t="s">
        <v>400</v>
      </c>
      <c r="H1236" s="8" t="s">
        <v>401</v>
      </c>
      <c r="I1236" s="8" t="s">
        <v>332</v>
      </c>
      <c r="J1236" s="8" t="s">
        <v>402</v>
      </c>
      <c r="K1236" s="8" t="s">
        <v>176</v>
      </c>
      <c r="L1236" s="8" t="s">
        <v>403</v>
      </c>
      <c r="M1236" s="8" t="s">
        <v>2900</v>
      </c>
      <c r="N1236" s="8" t="s">
        <v>400</v>
      </c>
      <c r="O1236" s="8">
        <v>1184.75</v>
      </c>
      <c r="P1236" s="8">
        <v>1316.39</v>
      </c>
      <c r="Q1236" s="8" t="s">
        <v>2663</v>
      </c>
      <c r="S1236" s="8" t="s">
        <v>2469</v>
      </c>
      <c r="T1236" s="8">
        <v>677.95</v>
      </c>
    </row>
    <row r="1237" spans="1:20" x14ac:dyDescent="0.2">
      <c r="A1237" s="8" t="s">
        <v>3594</v>
      </c>
      <c r="B1237" s="8" t="str">
        <f t="shared" si="38"/>
        <v>1586244293</v>
      </c>
      <c r="C1237" s="8" t="str">
        <f t="shared" si="39"/>
        <v>1272</v>
      </c>
      <c r="D1237" s="8" t="s">
        <v>119</v>
      </c>
      <c r="F1237" s="8" t="s">
        <v>399</v>
      </c>
      <c r="G1237" s="8" t="s">
        <v>400</v>
      </c>
      <c r="H1237" s="8" t="s">
        <v>401</v>
      </c>
      <c r="I1237" s="8" t="s">
        <v>332</v>
      </c>
      <c r="J1237" s="8" t="s">
        <v>402</v>
      </c>
      <c r="K1237" s="8" t="s">
        <v>176</v>
      </c>
      <c r="L1237" s="8" t="s">
        <v>403</v>
      </c>
      <c r="M1237" s="8" t="s">
        <v>2900</v>
      </c>
      <c r="N1237" s="8" t="s">
        <v>400</v>
      </c>
      <c r="O1237" s="8">
        <v>1184.75</v>
      </c>
      <c r="P1237" s="8">
        <v>1316.39</v>
      </c>
      <c r="Q1237" s="8" t="s">
        <v>2663</v>
      </c>
      <c r="S1237" s="8" t="s">
        <v>2163</v>
      </c>
      <c r="T1237" s="8">
        <v>489.84</v>
      </c>
    </row>
    <row r="1238" spans="1:20" x14ac:dyDescent="0.2">
      <c r="A1238" s="8" t="s">
        <v>4512</v>
      </c>
      <c r="B1238" s="8" t="str">
        <f t="shared" si="38"/>
        <v>1586244293</v>
      </c>
      <c r="C1238" s="8" t="str">
        <f t="shared" si="39"/>
        <v>1273</v>
      </c>
      <c r="D1238" s="8" t="s">
        <v>119</v>
      </c>
      <c r="F1238" s="8" t="s">
        <v>399</v>
      </c>
      <c r="G1238" s="8" t="s">
        <v>400</v>
      </c>
      <c r="H1238" s="8" t="s">
        <v>401</v>
      </c>
      <c r="I1238" s="8" t="s">
        <v>332</v>
      </c>
      <c r="J1238" s="8" t="s">
        <v>402</v>
      </c>
      <c r="K1238" s="8" t="s">
        <v>176</v>
      </c>
      <c r="L1238" s="8" t="s">
        <v>403</v>
      </c>
      <c r="M1238" s="8" t="s">
        <v>2900</v>
      </c>
      <c r="N1238" s="8" t="s">
        <v>400</v>
      </c>
      <c r="O1238" s="8">
        <v>1184.75</v>
      </c>
      <c r="P1238" s="8">
        <v>1316.39</v>
      </c>
      <c r="Q1238" s="8" t="s">
        <v>2663</v>
      </c>
      <c r="S1238" s="8" t="s">
        <v>404</v>
      </c>
      <c r="T1238" s="8">
        <v>677.95</v>
      </c>
    </row>
    <row r="1239" spans="1:20" x14ac:dyDescent="0.2">
      <c r="A1239" s="8" t="s">
        <v>4797</v>
      </c>
      <c r="B1239" s="8" t="str">
        <f t="shared" si="38"/>
        <v>1586244293</v>
      </c>
      <c r="C1239" s="8" t="str">
        <f t="shared" si="39"/>
        <v>1274</v>
      </c>
      <c r="D1239" s="8" t="s">
        <v>119</v>
      </c>
      <c r="F1239" s="8" t="s">
        <v>399</v>
      </c>
      <c r="G1239" s="8" t="s">
        <v>400</v>
      </c>
      <c r="H1239" s="8" t="s">
        <v>401</v>
      </c>
      <c r="I1239" s="8" t="s">
        <v>332</v>
      </c>
      <c r="J1239" s="8" t="s">
        <v>402</v>
      </c>
      <c r="K1239" s="8" t="s">
        <v>176</v>
      </c>
      <c r="L1239" s="8" t="s">
        <v>403</v>
      </c>
      <c r="M1239" s="8" t="s">
        <v>2900</v>
      </c>
      <c r="N1239" s="8" t="s">
        <v>400</v>
      </c>
      <c r="O1239" s="8">
        <v>1184.75</v>
      </c>
      <c r="P1239" s="8">
        <v>1316.39</v>
      </c>
      <c r="Q1239" s="8" t="s">
        <v>2663</v>
      </c>
      <c r="S1239" s="8" t="s">
        <v>184</v>
      </c>
      <c r="T1239" s="8">
        <v>203.61</v>
      </c>
    </row>
    <row r="1240" spans="1:20" x14ac:dyDescent="0.2">
      <c r="A1240" s="8" t="s">
        <v>4582</v>
      </c>
      <c r="B1240" s="8" t="str">
        <f t="shared" si="38"/>
        <v>1586244299</v>
      </c>
      <c r="C1240" s="8" t="str">
        <f t="shared" si="39"/>
        <v>1275</v>
      </c>
      <c r="D1240" s="8" t="s">
        <v>119</v>
      </c>
      <c r="F1240" s="8" t="s">
        <v>136</v>
      </c>
      <c r="G1240" s="8" t="s">
        <v>1266</v>
      </c>
      <c r="H1240" s="8" t="s">
        <v>1267</v>
      </c>
      <c r="I1240" s="8" t="s">
        <v>1131</v>
      </c>
      <c r="J1240" s="8" t="s">
        <v>1713</v>
      </c>
      <c r="K1240" s="8" t="s">
        <v>176</v>
      </c>
      <c r="L1240" s="8" t="s">
        <v>1714</v>
      </c>
      <c r="M1240" s="8" t="s">
        <v>2778</v>
      </c>
      <c r="N1240" s="8" t="s">
        <v>1266</v>
      </c>
      <c r="O1240" s="8">
        <v>1410.49</v>
      </c>
      <c r="P1240" s="8">
        <v>1567.21</v>
      </c>
      <c r="Q1240" s="8" t="s">
        <v>2664</v>
      </c>
      <c r="R1240" s="8" t="s">
        <v>2257</v>
      </c>
    </row>
    <row r="1241" spans="1:20" x14ac:dyDescent="0.2">
      <c r="A1241" s="8" t="s">
        <v>3398</v>
      </c>
      <c r="B1241" s="8" t="str">
        <f t="shared" si="38"/>
        <v>1586244299</v>
      </c>
      <c r="C1241" s="8" t="str">
        <f t="shared" si="39"/>
        <v>1276</v>
      </c>
      <c r="D1241" s="8" t="s">
        <v>119</v>
      </c>
      <c r="F1241" s="8" t="s">
        <v>136</v>
      </c>
      <c r="G1241" s="8" t="s">
        <v>1266</v>
      </c>
      <c r="H1241" s="8" t="s">
        <v>1267</v>
      </c>
      <c r="I1241" s="8" t="s">
        <v>1131</v>
      </c>
      <c r="J1241" s="8" t="s">
        <v>1713</v>
      </c>
      <c r="K1241" s="8" t="s">
        <v>176</v>
      </c>
      <c r="L1241" s="8" t="s">
        <v>1714</v>
      </c>
      <c r="M1241" s="8" t="s">
        <v>2778</v>
      </c>
      <c r="N1241" s="8" t="s">
        <v>1266</v>
      </c>
      <c r="O1241" s="8">
        <v>1410.49</v>
      </c>
      <c r="P1241" s="8">
        <v>1567.21</v>
      </c>
      <c r="Q1241" s="8" t="s">
        <v>2664</v>
      </c>
      <c r="R1241" s="8" t="s">
        <v>2239</v>
      </c>
    </row>
    <row r="1242" spans="1:20" x14ac:dyDescent="0.2">
      <c r="A1242" s="8" t="s">
        <v>4258</v>
      </c>
      <c r="B1242" s="8" t="str">
        <f t="shared" si="38"/>
        <v>1586244299</v>
      </c>
      <c r="C1242" s="8" t="str">
        <f t="shared" si="39"/>
        <v>1277</v>
      </c>
      <c r="D1242" s="8" t="s">
        <v>119</v>
      </c>
      <c r="F1242" s="8" t="s">
        <v>136</v>
      </c>
      <c r="G1242" s="8" t="s">
        <v>1266</v>
      </c>
      <c r="H1242" s="8" t="s">
        <v>1267</v>
      </c>
      <c r="I1242" s="8" t="s">
        <v>1131</v>
      </c>
      <c r="J1242" s="8" t="s">
        <v>1713</v>
      </c>
      <c r="K1242" s="8" t="s">
        <v>176</v>
      </c>
      <c r="L1242" s="8" t="s">
        <v>1714</v>
      </c>
      <c r="M1242" s="8" t="s">
        <v>2778</v>
      </c>
      <c r="N1242" s="8" t="s">
        <v>1266</v>
      </c>
      <c r="O1242" s="8">
        <v>1410.49</v>
      </c>
      <c r="P1242" s="8">
        <v>1567.21</v>
      </c>
      <c r="Q1242" s="8" t="s">
        <v>2664</v>
      </c>
      <c r="S1242" s="8" t="s">
        <v>1202</v>
      </c>
      <c r="T1242" s="8">
        <v>206.56</v>
      </c>
    </row>
    <row r="1243" spans="1:20" x14ac:dyDescent="0.2">
      <c r="A1243" s="8" t="s">
        <v>3918</v>
      </c>
      <c r="B1243" s="8" t="str">
        <f t="shared" si="38"/>
        <v>1586244299</v>
      </c>
      <c r="C1243" s="8" t="str">
        <f t="shared" si="39"/>
        <v>1278</v>
      </c>
      <c r="D1243" s="8" t="s">
        <v>119</v>
      </c>
      <c r="F1243" s="8" t="s">
        <v>136</v>
      </c>
      <c r="G1243" s="8" t="s">
        <v>1266</v>
      </c>
      <c r="H1243" s="8" t="s">
        <v>1267</v>
      </c>
      <c r="I1243" s="8" t="s">
        <v>1131</v>
      </c>
      <c r="J1243" s="8" t="s">
        <v>1713</v>
      </c>
      <c r="K1243" s="8" t="s">
        <v>176</v>
      </c>
      <c r="L1243" s="8" t="s">
        <v>1714</v>
      </c>
      <c r="M1243" s="8" t="s">
        <v>2778</v>
      </c>
      <c r="N1243" s="8" t="s">
        <v>1266</v>
      </c>
      <c r="O1243" s="8">
        <v>1410.49</v>
      </c>
      <c r="P1243" s="8">
        <v>1567.21</v>
      </c>
      <c r="Q1243" s="8" t="s">
        <v>2664</v>
      </c>
      <c r="S1243" s="8" t="s">
        <v>232</v>
      </c>
      <c r="T1243" s="8">
        <v>893.36</v>
      </c>
    </row>
    <row r="1244" spans="1:20" x14ac:dyDescent="0.2">
      <c r="A1244" s="8" t="s">
        <v>4235</v>
      </c>
      <c r="B1244" s="8" t="str">
        <f t="shared" si="38"/>
        <v>1586244299</v>
      </c>
      <c r="C1244" s="8" t="str">
        <f t="shared" si="39"/>
        <v>1279</v>
      </c>
      <c r="D1244" s="8" t="s">
        <v>119</v>
      </c>
      <c r="F1244" s="8" t="s">
        <v>136</v>
      </c>
      <c r="G1244" s="8" t="s">
        <v>1266</v>
      </c>
      <c r="H1244" s="8" t="s">
        <v>1267</v>
      </c>
      <c r="I1244" s="8" t="s">
        <v>1131</v>
      </c>
      <c r="J1244" s="8" t="s">
        <v>1713</v>
      </c>
      <c r="K1244" s="8" t="s">
        <v>176</v>
      </c>
      <c r="L1244" s="8" t="s">
        <v>1714</v>
      </c>
      <c r="M1244" s="8" t="s">
        <v>2778</v>
      </c>
      <c r="N1244" s="8" t="s">
        <v>1266</v>
      </c>
      <c r="O1244" s="8">
        <v>1410.49</v>
      </c>
      <c r="P1244" s="8">
        <v>1567.21</v>
      </c>
      <c r="Q1244" s="8" t="s">
        <v>2664</v>
      </c>
      <c r="S1244" s="8" t="s">
        <v>1715</v>
      </c>
      <c r="T1244" s="8">
        <v>92.21</v>
      </c>
    </row>
    <row r="1245" spans="1:20" x14ac:dyDescent="0.2">
      <c r="A1245" s="8" t="s">
        <v>4786</v>
      </c>
      <c r="B1245" s="8" t="str">
        <f t="shared" si="38"/>
        <v>1586244299</v>
      </c>
      <c r="C1245" s="8" t="str">
        <f t="shared" si="39"/>
        <v>1280</v>
      </c>
      <c r="D1245" s="8" t="s">
        <v>119</v>
      </c>
      <c r="F1245" s="8" t="s">
        <v>136</v>
      </c>
      <c r="G1245" s="8" t="s">
        <v>1266</v>
      </c>
      <c r="H1245" s="8" t="s">
        <v>1267</v>
      </c>
      <c r="I1245" s="8" t="s">
        <v>1131</v>
      </c>
      <c r="J1245" s="8" t="s">
        <v>1713</v>
      </c>
      <c r="K1245" s="8" t="s">
        <v>176</v>
      </c>
      <c r="L1245" s="8" t="s">
        <v>1714</v>
      </c>
      <c r="M1245" s="8" t="s">
        <v>2778</v>
      </c>
      <c r="N1245" s="8" t="s">
        <v>1266</v>
      </c>
      <c r="O1245" s="8">
        <v>1410.49</v>
      </c>
      <c r="P1245" s="8">
        <v>1567.21</v>
      </c>
      <c r="Q1245" s="8" t="s">
        <v>2664</v>
      </c>
      <c r="S1245" s="8" t="s">
        <v>2470</v>
      </c>
      <c r="T1245" s="8">
        <v>300.98</v>
      </c>
    </row>
    <row r="1246" spans="1:20" x14ac:dyDescent="0.2">
      <c r="A1246" s="8" t="s">
        <v>4281</v>
      </c>
      <c r="B1246" s="8" t="str">
        <f t="shared" si="38"/>
        <v>1586244301</v>
      </c>
      <c r="C1246" s="8" t="str">
        <f t="shared" si="39"/>
        <v>1281</v>
      </c>
      <c r="D1246" s="8" t="s">
        <v>119</v>
      </c>
      <c r="F1246" s="8" t="s">
        <v>136</v>
      </c>
      <c r="G1246" s="8" t="s">
        <v>1266</v>
      </c>
      <c r="H1246" s="8" t="s">
        <v>1267</v>
      </c>
      <c r="I1246" s="8" t="s">
        <v>181</v>
      </c>
      <c r="J1246" s="8" t="s">
        <v>1268</v>
      </c>
      <c r="K1246" s="8" t="s">
        <v>60</v>
      </c>
      <c r="L1246" s="8" t="s">
        <v>1269</v>
      </c>
      <c r="M1246" s="8" t="s">
        <v>2778</v>
      </c>
      <c r="N1246" s="8" t="s">
        <v>1266</v>
      </c>
      <c r="O1246" s="8">
        <v>601.97</v>
      </c>
      <c r="P1246" s="8">
        <v>668.85</v>
      </c>
      <c r="Q1246" s="8" t="s">
        <v>2665</v>
      </c>
      <c r="R1246" s="8" t="s">
        <v>1270</v>
      </c>
    </row>
    <row r="1247" spans="1:20" x14ac:dyDescent="0.2">
      <c r="A1247" s="8" t="s">
        <v>4600</v>
      </c>
      <c r="B1247" s="8" t="str">
        <f t="shared" si="38"/>
        <v>1586244301</v>
      </c>
      <c r="C1247" s="8" t="str">
        <f t="shared" si="39"/>
        <v>1282</v>
      </c>
      <c r="D1247" s="8" t="s">
        <v>119</v>
      </c>
      <c r="F1247" s="8" t="s">
        <v>136</v>
      </c>
      <c r="G1247" s="8" t="s">
        <v>1266</v>
      </c>
      <c r="H1247" s="8" t="s">
        <v>1267</v>
      </c>
      <c r="I1247" s="8" t="s">
        <v>181</v>
      </c>
      <c r="J1247" s="8" t="s">
        <v>1268</v>
      </c>
      <c r="K1247" s="8" t="s">
        <v>60</v>
      </c>
      <c r="L1247" s="8" t="s">
        <v>1269</v>
      </c>
      <c r="M1247" s="8" t="s">
        <v>2778</v>
      </c>
      <c r="N1247" s="8" t="s">
        <v>1266</v>
      </c>
      <c r="O1247" s="8">
        <v>601.97</v>
      </c>
      <c r="P1247" s="8">
        <v>668.85</v>
      </c>
      <c r="Q1247" s="8" t="s">
        <v>2665</v>
      </c>
      <c r="R1247" s="8" t="s">
        <v>1622</v>
      </c>
    </row>
    <row r="1248" spans="1:20" x14ac:dyDescent="0.2">
      <c r="A1248" s="8" t="s">
        <v>4498</v>
      </c>
      <c r="B1248" s="8" t="str">
        <f t="shared" si="38"/>
        <v>1586244301</v>
      </c>
      <c r="C1248" s="8" t="str">
        <f t="shared" si="39"/>
        <v>1283</v>
      </c>
      <c r="D1248" s="8" t="s">
        <v>119</v>
      </c>
      <c r="F1248" s="8" t="s">
        <v>136</v>
      </c>
      <c r="G1248" s="8" t="s">
        <v>1266</v>
      </c>
      <c r="H1248" s="8" t="s">
        <v>1267</v>
      </c>
      <c r="I1248" s="8" t="s">
        <v>181</v>
      </c>
      <c r="J1248" s="8" t="s">
        <v>1268</v>
      </c>
      <c r="K1248" s="8" t="s">
        <v>60</v>
      </c>
      <c r="L1248" s="8" t="s">
        <v>1269</v>
      </c>
      <c r="M1248" s="8" t="s">
        <v>2778</v>
      </c>
      <c r="N1248" s="8" t="s">
        <v>1266</v>
      </c>
      <c r="O1248" s="8">
        <v>601.97</v>
      </c>
      <c r="P1248" s="8">
        <v>668.85</v>
      </c>
      <c r="Q1248" s="8" t="s">
        <v>2665</v>
      </c>
      <c r="R1248" s="8" t="s">
        <v>1805</v>
      </c>
    </row>
    <row r="1249" spans="1:20" x14ac:dyDescent="0.2">
      <c r="A1249" s="8" t="s">
        <v>4344</v>
      </c>
      <c r="B1249" s="8" t="str">
        <f t="shared" si="38"/>
        <v>1586244301</v>
      </c>
      <c r="C1249" s="8" t="str">
        <f t="shared" si="39"/>
        <v>1284</v>
      </c>
      <c r="D1249" s="8" t="s">
        <v>119</v>
      </c>
      <c r="F1249" s="8" t="s">
        <v>136</v>
      </c>
      <c r="G1249" s="8" t="s">
        <v>1266</v>
      </c>
      <c r="H1249" s="8" t="s">
        <v>1267</v>
      </c>
      <c r="I1249" s="8" t="s">
        <v>181</v>
      </c>
      <c r="J1249" s="8" t="s">
        <v>1268</v>
      </c>
      <c r="K1249" s="8" t="s">
        <v>60</v>
      </c>
      <c r="L1249" s="8" t="s">
        <v>1269</v>
      </c>
      <c r="M1249" s="8" t="s">
        <v>2778</v>
      </c>
      <c r="N1249" s="8" t="s">
        <v>1266</v>
      </c>
      <c r="O1249" s="8">
        <v>601.97</v>
      </c>
      <c r="P1249" s="8">
        <v>668.85</v>
      </c>
      <c r="Q1249" s="8" t="s">
        <v>2665</v>
      </c>
      <c r="S1249" s="8" t="s">
        <v>542</v>
      </c>
      <c r="T1249" s="8">
        <v>245.66</v>
      </c>
    </row>
    <row r="1250" spans="1:20" x14ac:dyDescent="0.2">
      <c r="A1250" s="8" t="s">
        <v>4353</v>
      </c>
      <c r="B1250" s="8" t="str">
        <f t="shared" si="38"/>
        <v>1586244306</v>
      </c>
      <c r="C1250" s="8" t="str">
        <f t="shared" si="39"/>
        <v>1285</v>
      </c>
      <c r="D1250" s="8" t="s">
        <v>119</v>
      </c>
      <c r="F1250" s="8" t="s">
        <v>136</v>
      </c>
      <c r="G1250" s="8" t="s">
        <v>482</v>
      </c>
      <c r="H1250" s="8" t="s">
        <v>483</v>
      </c>
      <c r="I1250" s="8" t="s">
        <v>229</v>
      </c>
      <c r="J1250" s="8" t="s">
        <v>484</v>
      </c>
      <c r="K1250" s="8" t="s">
        <v>60</v>
      </c>
      <c r="L1250" s="8" t="s">
        <v>485</v>
      </c>
      <c r="M1250" s="8" t="s">
        <v>2778</v>
      </c>
      <c r="N1250" s="8" t="s">
        <v>482</v>
      </c>
      <c r="O1250" s="8">
        <v>594.59</v>
      </c>
      <c r="P1250" s="8">
        <v>660.66</v>
      </c>
      <c r="Q1250" s="8" t="s">
        <v>2666</v>
      </c>
      <c r="R1250" s="8" t="s">
        <v>2011</v>
      </c>
    </row>
    <row r="1251" spans="1:20" x14ac:dyDescent="0.2">
      <c r="A1251" s="8" t="s">
        <v>2893</v>
      </c>
      <c r="B1251" s="8" t="str">
        <f t="shared" si="38"/>
        <v>1586244306</v>
      </c>
      <c r="C1251" s="8" t="str">
        <f t="shared" si="39"/>
        <v>1286</v>
      </c>
      <c r="D1251" s="8" t="s">
        <v>119</v>
      </c>
      <c r="F1251" s="8" t="s">
        <v>136</v>
      </c>
      <c r="G1251" s="8" t="s">
        <v>482</v>
      </c>
      <c r="H1251" s="8" t="s">
        <v>483</v>
      </c>
      <c r="I1251" s="8" t="s">
        <v>229</v>
      </c>
      <c r="J1251" s="8" t="s">
        <v>484</v>
      </c>
      <c r="K1251" s="8" t="s">
        <v>60</v>
      </c>
      <c r="L1251" s="8" t="s">
        <v>485</v>
      </c>
      <c r="M1251" s="8" t="s">
        <v>2778</v>
      </c>
      <c r="N1251" s="8" t="s">
        <v>482</v>
      </c>
      <c r="O1251" s="8">
        <v>594.59</v>
      </c>
      <c r="P1251" s="8">
        <v>660.66</v>
      </c>
      <c r="Q1251" s="8" t="s">
        <v>2666</v>
      </c>
      <c r="S1251" s="8" t="s">
        <v>142</v>
      </c>
      <c r="T1251" s="8">
        <v>36.89</v>
      </c>
    </row>
    <row r="1252" spans="1:20" x14ac:dyDescent="0.2">
      <c r="A1252" s="8" t="s">
        <v>4675</v>
      </c>
      <c r="B1252" s="8" t="str">
        <f t="shared" si="38"/>
        <v>1586244306</v>
      </c>
      <c r="C1252" s="8" t="str">
        <f t="shared" si="39"/>
        <v>1287</v>
      </c>
      <c r="D1252" s="8" t="s">
        <v>119</v>
      </c>
      <c r="F1252" s="8" t="s">
        <v>136</v>
      </c>
      <c r="G1252" s="8" t="s">
        <v>482</v>
      </c>
      <c r="H1252" s="8" t="s">
        <v>483</v>
      </c>
      <c r="I1252" s="8" t="s">
        <v>229</v>
      </c>
      <c r="J1252" s="8" t="s">
        <v>484</v>
      </c>
      <c r="K1252" s="8" t="s">
        <v>60</v>
      </c>
      <c r="L1252" s="8" t="s">
        <v>485</v>
      </c>
      <c r="M1252" s="8" t="s">
        <v>2778</v>
      </c>
      <c r="N1252" s="8" t="s">
        <v>482</v>
      </c>
      <c r="O1252" s="8">
        <v>594.59</v>
      </c>
      <c r="P1252" s="8">
        <v>660.66</v>
      </c>
      <c r="Q1252" s="8" t="s">
        <v>2666</v>
      </c>
      <c r="S1252" s="8" t="s">
        <v>503</v>
      </c>
      <c r="T1252" s="8">
        <v>432.3</v>
      </c>
    </row>
    <row r="1253" spans="1:20" x14ac:dyDescent="0.2">
      <c r="A1253" s="8" t="s">
        <v>2840</v>
      </c>
      <c r="B1253" s="8" t="str">
        <f t="shared" si="38"/>
        <v>1586244306</v>
      </c>
      <c r="C1253" s="8" t="str">
        <f t="shared" si="39"/>
        <v>1288</v>
      </c>
      <c r="D1253" s="8" t="s">
        <v>119</v>
      </c>
      <c r="F1253" s="8" t="s">
        <v>136</v>
      </c>
      <c r="G1253" s="8" t="s">
        <v>482</v>
      </c>
      <c r="H1253" s="8" t="s">
        <v>483</v>
      </c>
      <c r="I1253" s="8" t="s">
        <v>229</v>
      </c>
      <c r="J1253" s="8" t="s">
        <v>484</v>
      </c>
      <c r="K1253" s="8" t="s">
        <v>60</v>
      </c>
      <c r="L1253" s="8" t="s">
        <v>485</v>
      </c>
      <c r="M1253" s="8" t="s">
        <v>2778</v>
      </c>
      <c r="N1253" s="8" t="s">
        <v>482</v>
      </c>
      <c r="O1253" s="8">
        <v>594.59</v>
      </c>
      <c r="P1253" s="8">
        <v>660.66</v>
      </c>
      <c r="Q1253" s="8" t="s">
        <v>2666</v>
      </c>
      <c r="S1253" s="8" t="s">
        <v>232</v>
      </c>
      <c r="T1253" s="8">
        <v>354.84</v>
      </c>
    </row>
    <row r="1254" spans="1:20" x14ac:dyDescent="0.2">
      <c r="A1254" s="8" t="s">
        <v>3508</v>
      </c>
      <c r="B1254" s="8" t="str">
        <f t="shared" si="38"/>
        <v>1586244308</v>
      </c>
      <c r="C1254" s="8" t="str">
        <f t="shared" si="39"/>
        <v>1289</v>
      </c>
      <c r="D1254" s="8" t="s">
        <v>119</v>
      </c>
      <c r="F1254" s="8" t="s">
        <v>136</v>
      </c>
      <c r="G1254" s="8" t="s">
        <v>482</v>
      </c>
      <c r="H1254" s="8" t="s">
        <v>483</v>
      </c>
      <c r="I1254" s="8" t="s">
        <v>565</v>
      </c>
      <c r="J1254" s="8" t="s">
        <v>1629</v>
      </c>
      <c r="K1254" s="8" t="s">
        <v>176</v>
      </c>
      <c r="L1254" s="8" t="s">
        <v>1630</v>
      </c>
      <c r="M1254" s="8" t="s">
        <v>2778</v>
      </c>
      <c r="N1254" s="8" t="s">
        <v>482</v>
      </c>
      <c r="O1254" s="8">
        <v>1307.95</v>
      </c>
      <c r="P1254" s="8">
        <v>1453.28</v>
      </c>
      <c r="Q1254" s="8" t="s">
        <v>2667</v>
      </c>
      <c r="R1254" s="8" t="s">
        <v>1874</v>
      </c>
    </row>
    <row r="1255" spans="1:20" x14ac:dyDescent="0.2">
      <c r="A1255" s="8" t="s">
        <v>3317</v>
      </c>
      <c r="B1255" s="8" t="str">
        <f t="shared" si="38"/>
        <v>1586244308</v>
      </c>
      <c r="C1255" s="8" t="str">
        <f t="shared" si="39"/>
        <v>1290</v>
      </c>
      <c r="D1255" s="8" t="s">
        <v>119</v>
      </c>
      <c r="F1255" s="8" t="s">
        <v>136</v>
      </c>
      <c r="G1255" s="8" t="s">
        <v>482</v>
      </c>
      <c r="H1255" s="8" t="s">
        <v>483</v>
      </c>
      <c r="I1255" s="8" t="s">
        <v>565</v>
      </c>
      <c r="J1255" s="8" t="s">
        <v>1629</v>
      </c>
      <c r="K1255" s="8" t="s">
        <v>176</v>
      </c>
      <c r="L1255" s="8" t="s">
        <v>1630</v>
      </c>
      <c r="M1255" s="8" t="s">
        <v>2778</v>
      </c>
      <c r="N1255" s="8" t="s">
        <v>482</v>
      </c>
      <c r="O1255" s="8">
        <v>1307.95</v>
      </c>
      <c r="P1255" s="8">
        <v>1453.28</v>
      </c>
      <c r="Q1255" s="8" t="s">
        <v>2667</v>
      </c>
      <c r="R1255" s="8" t="s">
        <v>1894</v>
      </c>
    </row>
    <row r="1256" spans="1:20" x14ac:dyDescent="0.2">
      <c r="A1256" s="8" t="s">
        <v>3447</v>
      </c>
      <c r="B1256" s="8" t="str">
        <f t="shared" si="38"/>
        <v>1586244308</v>
      </c>
      <c r="C1256" s="8" t="str">
        <f t="shared" si="39"/>
        <v>1291</v>
      </c>
      <c r="D1256" s="8" t="s">
        <v>119</v>
      </c>
      <c r="F1256" s="8" t="s">
        <v>136</v>
      </c>
      <c r="G1256" s="8" t="s">
        <v>482</v>
      </c>
      <c r="H1256" s="8" t="s">
        <v>483</v>
      </c>
      <c r="I1256" s="8" t="s">
        <v>565</v>
      </c>
      <c r="J1256" s="8" t="s">
        <v>1629</v>
      </c>
      <c r="K1256" s="8" t="s">
        <v>176</v>
      </c>
      <c r="L1256" s="8" t="s">
        <v>1630</v>
      </c>
      <c r="M1256" s="8" t="s">
        <v>2778</v>
      </c>
      <c r="N1256" s="8" t="s">
        <v>482</v>
      </c>
      <c r="O1256" s="8">
        <v>1307.95</v>
      </c>
      <c r="P1256" s="8">
        <v>1453.28</v>
      </c>
      <c r="Q1256" s="8" t="s">
        <v>2667</v>
      </c>
      <c r="R1256" s="8" t="s">
        <v>2396</v>
      </c>
    </row>
    <row r="1257" spans="1:20" x14ac:dyDescent="0.2">
      <c r="A1257" s="8" t="s">
        <v>4424</v>
      </c>
      <c r="B1257" s="8" t="str">
        <f t="shared" si="38"/>
        <v>1586244308</v>
      </c>
      <c r="C1257" s="8" t="str">
        <f t="shared" si="39"/>
        <v>1292</v>
      </c>
      <c r="D1257" s="8" t="s">
        <v>119</v>
      </c>
      <c r="F1257" s="8" t="s">
        <v>136</v>
      </c>
      <c r="G1257" s="8" t="s">
        <v>482</v>
      </c>
      <c r="H1257" s="8" t="s">
        <v>483</v>
      </c>
      <c r="I1257" s="8" t="s">
        <v>565</v>
      </c>
      <c r="J1257" s="8" t="s">
        <v>1629</v>
      </c>
      <c r="K1257" s="8" t="s">
        <v>176</v>
      </c>
      <c r="L1257" s="8" t="s">
        <v>1630</v>
      </c>
      <c r="M1257" s="8" t="s">
        <v>2778</v>
      </c>
      <c r="N1257" s="8" t="s">
        <v>482</v>
      </c>
      <c r="O1257" s="8">
        <v>1307.95</v>
      </c>
      <c r="P1257" s="8">
        <v>1453.28</v>
      </c>
      <c r="Q1257" s="8" t="s">
        <v>2667</v>
      </c>
      <c r="R1257" s="8" t="s">
        <v>1631</v>
      </c>
    </row>
    <row r="1258" spans="1:20" x14ac:dyDescent="0.2">
      <c r="A1258" s="8" t="s">
        <v>4030</v>
      </c>
      <c r="B1258" s="8" t="str">
        <f t="shared" si="38"/>
        <v>1586244308</v>
      </c>
      <c r="C1258" s="8" t="str">
        <f t="shared" si="39"/>
        <v>1293</v>
      </c>
      <c r="D1258" s="8" t="s">
        <v>119</v>
      </c>
      <c r="F1258" s="8" t="s">
        <v>136</v>
      </c>
      <c r="G1258" s="8" t="s">
        <v>482</v>
      </c>
      <c r="H1258" s="8" t="s">
        <v>483</v>
      </c>
      <c r="I1258" s="8" t="s">
        <v>565</v>
      </c>
      <c r="J1258" s="8" t="s">
        <v>1629</v>
      </c>
      <c r="K1258" s="8" t="s">
        <v>176</v>
      </c>
      <c r="L1258" s="8" t="s">
        <v>1630</v>
      </c>
      <c r="M1258" s="8" t="s">
        <v>2778</v>
      </c>
      <c r="N1258" s="8" t="s">
        <v>482</v>
      </c>
      <c r="O1258" s="8">
        <v>1307.95</v>
      </c>
      <c r="P1258" s="8">
        <v>1453.28</v>
      </c>
      <c r="Q1258" s="8" t="s">
        <v>2667</v>
      </c>
      <c r="R1258" s="8" t="s">
        <v>2084</v>
      </c>
    </row>
    <row r="1259" spans="1:20" x14ac:dyDescent="0.2">
      <c r="A1259" s="8" t="s">
        <v>4670</v>
      </c>
      <c r="B1259" s="8" t="str">
        <f t="shared" si="38"/>
        <v>1586244308</v>
      </c>
      <c r="C1259" s="8" t="str">
        <f t="shared" si="39"/>
        <v>1294</v>
      </c>
      <c r="D1259" s="8" t="s">
        <v>119</v>
      </c>
      <c r="F1259" s="8" t="s">
        <v>136</v>
      </c>
      <c r="G1259" s="8" t="s">
        <v>482</v>
      </c>
      <c r="H1259" s="8" t="s">
        <v>483</v>
      </c>
      <c r="I1259" s="8" t="s">
        <v>565</v>
      </c>
      <c r="J1259" s="8" t="s">
        <v>1629</v>
      </c>
      <c r="K1259" s="8" t="s">
        <v>176</v>
      </c>
      <c r="L1259" s="8" t="s">
        <v>1630</v>
      </c>
      <c r="M1259" s="8" t="s">
        <v>2778</v>
      </c>
      <c r="N1259" s="8" t="s">
        <v>482</v>
      </c>
      <c r="O1259" s="8">
        <v>1307.95</v>
      </c>
      <c r="P1259" s="8">
        <v>1453.28</v>
      </c>
      <c r="Q1259" s="8" t="s">
        <v>2667</v>
      </c>
      <c r="S1259" s="8" t="s">
        <v>1078</v>
      </c>
      <c r="T1259" s="8">
        <v>30.98</v>
      </c>
    </row>
    <row r="1260" spans="1:20" x14ac:dyDescent="0.2">
      <c r="A1260" s="8" t="s">
        <v>3256</v>
      </c>
      <c r="B1260" s="8" t="str">
        <f t="shared" si="38"/>
        <v>1586244308</v>
      </c>
      <c r="C1260" s="8" t="str">
        <f t="shared" si="39"/>
        <v>1295</v>
      </c>
      <c r="D1260" s="8" t="s">
        <v>119</v>
      </c>
      <c r="F1260" s="8" t="s">
        <v>136</v>
      </c>
      <c r="G1260" s="8" t="s">
        <v>482</v>
      </c>
      <c r="H1260" s="8" t="s">
        <v>483</v>
      </c>
      <c r="I1260" s="8" t="s">
        <v>565</v>
      </c>
      <c r="J1260" s="8" t="s">
        <v>1629</v>
      </c>
      <c r="K1260" s="8" t="s">
        <v>176</v>
      </c>
      <c r="L1260" s="8" t="s">
        <v>1630</v>
      </c>
      <c r="M1260" s="8" t="s">
        <v>2778</v>
      </c>
      <c r="N1260" s="8" t="s">
        <v>482</v>
      </c>
      <c r="O1260" s="8">
        <v>1307.95</v>
      </c>
      <c r="P1260" s="8">
        <v>1453.28</v>
      </c>
      <c r="Q1260" s="8" t="s">
        <v>2667</v>
      </c>
      <c r="S1260" s="8" t="s">
        <v>2055</v>
      </c>
      <c r="T1260" s="8">
        <v>869.02</v>
      </c>
    </row>
    <row r="1261" spans="1:20" x14ac:dyDescent="0.2">
      <c r="A1261" s="8" t="s">
        <v>4474</v>
      </c>
      <c r="B1261" s="8" t="str">
        <f t="shared" si="38"/>
        <v>1586244308</v>
      </c>
      <c r="C1261" s="8" t="str">
        <f t="shared" si="39"/>
        <v>1296</v>
      </c>
      <c r="D1261" s="8" t="s">
        <v>119</v>
      </c>
      <c r="F1261" s="8" t="s">
        <v>136</v>
      </c>
      <c r="G1261" s="8" t="s">
        <v>482</v>
      </c>
      <c r="H1261" s="8" t="s">
        <v>483</v>
      </c>
      <c r="I1261" s="8" t="s">
        <v>565</v>
      </c>
      <c r="J1261" s="8" t="s">
        <v>1629</v>
      </c>
      <c r="K1261" s="8" t="s">
        <v>176</v>
      </c>
      <c r="L1261" s="8" t="s">
        <v>1630</v>
      </c>
      <c r="M1261" s="8" t="s">
        <v>2778</v>
      </c>
      <c r="N1261" s="8" t="s">
        <v>482</v>
      </c>
      <c r="O1261" s="8">
        <v>1307.95</v>
      </c>
      <c r="P1261" s="8">
        <v>1453.28</v>
      </c>
      <c r="Q1261" s="8" t="s">
        <v>2667</v>
      </c>
      <c r="S1261" s="8" t="s">
        <v>1682</v>
      </c>
      <c r="T1261" s="8">
        <v>977.46</v>
      </c>
    </row>
    <row r="1262" spans="1:20" x14ac:dyDescent="0.2">
      <c r="A1262" s="8" t="s">
        <v>3954</v>
      </c>
      <c r="B1262" s="8" t="str">
        <f t="shared" si="38"/>
        <v>1586244308</v>
      </c>
      <c r="C1262" s="8" t="str">
        <f t="shared" si="39"/>
        <v>1297</v>
      </c>
      <c r="D1262" s="8" t="s">
        <v>119</v>
      </c>
      <c r="F1262" s="8" t="s">
        <v>136</v>
      </c>
      <c r="G1262" s="8" t="s">
        <v>482</v>
      </c>
      <c r="H1262" s="8" t="s">
        <v>483</v>
      </c>
      <c r="I1262" s="8" t="s">
        <v>565</v>
      </c>
      <c r="J1262" s="8" t="s">
        <v>1629</v>
      </c>
      <c r="K1262" s="8" t="s">
        <v>176</v>
      </c>
      <c r="L1262" s="8" t="s">
        <v>1630</v>
      </c>
      <c r="M1262" s="8" t="s">
        <v>2778</v>
      </c>
      <c r="N1262" s="8" t="s">
        <v>482</v>
      </c>
      <c r="O1262" s="8">
        <v>1307.95</v>
      </c>
      <c r="P1262" s="8">
        <v>1453.28</v>
      </c>
      <c r="Q1262" s="8" t="s">
        <v>2667</v>
      </c>
      <c r="S1262" s="8" t="s">
        <v>184</v>
      </c>
      <c r="T1262" s="8">
        <v>246.39</v>
      </c>
    </row>
    <row r="1263" spans="1:20" x14ac:dyDescent="0.2">
      <c r="A1263" s="8" t="s">
        <v>2989</v>
      </c>
      <c r="B1263" s="8" t="str">
        <f t="shared" si="38"/>
        <v>1586244308</v>
      </c>
      <c r="C1263" s="8" t="str">
        <f t="shared" si="39"/>
        <v>1298</v>
      </c>
      <c r="D1263" s="8" t="s">
        <v>119</v>
      </c>
      <c r="F1263" s="8" t="s">
        <v>136</v>
      </c>
      <c r="G1263" s="8" t="s">
        <v>482</v>
      </c>
      <c r="H1263" s="8" t="s">
        <v>483</v>
      </c>
      <c r="I1263" s="8" t="s">
        <v>565</v>
      </c>
      <c r="J1263" s="8" t="s">
        <v>1629</v>
      </c>
      <c r="K1263" s="8" t="s">
        <v>176</v>
      </c>
      <c r="L1263" s="8" t="s">
        <v>1630</v>
      </c>
      <c r="M1263" s="8" t="s">
        <v>2778</v>
      </c>
      <c r="N1263" s="8" t="s">
        <v>482</v>
      </c>
      <c r="O1263" s="8">
        <v>1307.95</v>
      </c>
      <c r="P1263" s="8">
        <v>1453.28</v>
      </c>
      <c r="Q1263" s="8" t="s">
        <v>2667</v>
      </c>
      <c r="S1263" s="8" t="s">
        <v>2308</v>
      </c>
      <c r="T1263" s="8">
        <v>1504.18</v>
      </c>
    </row>
    <row r="1264" spans="1:20" x14ac:dyDescent="0.2">
      <c r="A1264" s="8" t="s">
        <v>4140</v>
      </c>
      <c r="B1264" s="8" t="str">
        <f t="shared" si="38"/>
        <v>1586244312</v>
      </c>
      <c r="C1264" s="8" t="str">
        <f t="shared" si="39"/>
        <v>1299</v>
      </c>
      <c r="D1264" s="8" t="s">
        <v>119</v>
      </c>
      <c r="F1264" s="8" t="s">
        <v>136</v>
      </c>
      <c r="G1264" s="8" t="s">
        <v>1129</v>
      </c>
      <c r="H1264" s="8" t="s">
        <v>1130</v>
      </c>
      <c r="I1264" s="8" t="s">
        <v>1131</v>
      </c>
      <c r="J1264" s="8" t="s">
        <v>1132</v>
      </c>
      <c r="K1264" s="8" t="s">
        <v>1133</v>
      </c>
      <c r="L1264" s="8" t="s">
        <v>1134</v>
      </c>
      <c r="M1264" s="8" t="s">
        <v>2778</v>
      </c>
      <c r="N1264" s="8" t="s">
        <v>1129</v>
      </c>
      <c r="O1264" s="8">
        <v>1693.03</v>
      </c>
      <c r="P1264" s="8">
        <v>1881.15</v>
      </c>
      <c r="Q1264" s="8" t="s">
        <v>2668</v>
      </c>
      <c r="R1264" s="8" t="s">
        <v>2314</v>
      </c>
    </row>
    <row r="1265" spans="1:20" x14ac:dyDescent="0.2">
      <c r="A1265" s="8" t="s">
        <v>3715</v>
      </c>
      <c r="B1265" s="8" t="str">
        <f t="shared" si="38"/>
        <v>1586244312</v>
      </c>
      <c r="C1265" s="8" t="str">
        <f t="shared" si="39"/>
        <v>1300</v>
      </c>
      <c r="D1265" s="8" t="s">
        <v>119</v>
      </c>
      <c r="F1265" s="8" t="s">
        <v>136</v>
      </c>
      <c r="G1265" s="8" t="s">
        <v>1129</v>
      </c>
      <c r="H1265" s="8" t="s">
        <v>1130</v>
      </c>
      <c r="I1265" s="8" t="s">
        <v>1131</v>
      </c>
      <c r="J1265" s="8" t="s">
        <v>1132</v>
      </c>
      <c r="K1265" s="8" t="s">
        <v>1133</v>
      </c>
      <c r="L1265" s="8" t="s">
        <v>1134</v>
      </c>
      <c r="M1265" s="8" t="s">
        <v>2778</v>
      </c>
      <c r="N1265" s="8" t="s">
        <v>1129</v>
      </c>
      <c r="O1265" s="8">
        <v>1693.03</v>
      </c>
      <c r="P1265" s="8">
        <v>1881.15</v>
      </c>
      <c r="Q1265" s="8" t="s">
        <v>2668</v>
      </c>
      <c r="R1265" s="8" t="s">
        <v>1646</v>
      </c>
    </row>
    <row r="1266" spans="1:20" x14ac:dyDescent="0.2">
      <c r="A1266" s="8" t="s">
        <v>3951</v>
      </c>
      <c r="B1266" s="8" t="str">
        <f t="shared" si="38"/>
        <v>1586244312</v>
      </c>
      <c r="C1266" s="8" t="str">
        <f t="shared" si="39"/>
        <v>1301</v>
      </c>
      <c r="D1266" s="8" t="s">
        <v>119</v>
      </c>
      <c r="F1266" s="8" t="s">
        <v>136</v>
      </c>
      <c r="G1266" s="8" t="s">
        <v>1129</v>
      </c>
      <c r="H1266" s="8" t="s">
        <v>1130</v>
      </c>
      <c r="I1266" s="8" t="s">
        <v>1131</v>
      </c>
      <c r="J1266" s="8" t="s">
        <v>1132</v>
      </c>
      <c r="K1266" s="8" t="s">
        <v>1133</v>
      </c>
      <c r="L1266" s="8" t="s">
        <v>1134</v>
      </c>
      <c r="M1266" s="8" t="s">
        <v>2778</v>
      </c>
      <c r="N1266" s="8" t="s">
        <v>1129</v>
      </c>
      <c r="O1266" s="8">
        <v>1693.03</v>
      </c>
      <c r="P1266" s="8">
        <v>1881.15</v>
      </c>
      <c r="Q1266" s="8" t="s">
        <v>2668</v>
      </c>
      <c r="R1266" s="8" t="s">
        <v>1135</v>
      </c>
    </row>
    <row r="1267" spans="1:20" x14ac:dyDescent="0.2">
      <c r="A1267" s="8" t="s">
        <v>3721</v>
      </c>
      <c r="B1267" s="8" t="str">
        <f t="shared" si="38"/>
        <v>1586244312</v>
      </c>
      <c r="C1267" s="8" t="str">
        <f t="shared" si="39"/>
        <v>1302</v>
      </c>
      <c r="D1267" s="8" t="s">
        <v>119</v>
      </c>
      <c r="F1267" s="8" t="s">
        <v>136</v>
      </c>
      <c r="G1267" s="8" t="s">
        <v>1129</v>
      </c>
      <c r="H1267" s="8" t="s">
        <v>1130</v>
      </c>
      <c r="I1267" s="8" t="s">
        <v>1131</v>
      </c>
      <c r="J1267" s="8" t="s">
        <v>1132</v>
      </c>
      <c r="K1267" s="8" t="s">
        <v>1133</v>
      </c>
      <c r="L1267" s="8" t="s">
        <v>1134</v>
      </c>
      <c r="M1267" s="8" t="s">
        <v>2778</v>
      </c>
      <c r="N1267" s="8" t="s">
        <v>1129</v>
      </c>
      <c r="O1267" s="8">
        <v>1693.03</v>
      </c>
      <c r="P1267" s="8">
        <v>1881.15</v>
      </c>
      <c r="Q1267" s="8" t="s">
        <v>2668</v>
      </c>
      <c r="R1267" s="8" t="s">
        <v>1821</v>
      </c>
    </row>
    <row r="1268" spans="1:20" x14ac:dyDescent="0.2">
      <c r="A1268" s="8" t="s">
        <v>3743</v>
      </c>
      <c r="B1268" s="8" t="str">
        <f t="shared" si="38"/>
        <v>1586244312</v>
      </c>
      <c r="C1268" s="8" t="str">
        <f t="shared" si="39"/>
        <v>1303</v>
      </c>
      <c r="D1268" s="8" t="s">
        <v>119</v>
      </c>
      <c r="F1268" s="8" t="s">
        <v>136</v>
      </c>
      <c r="G1268" s="8" t="s">
        <v>1129</v>
      </c>
      <c r="H1268" s="8" t="s">
        <v>1130</v>
      </c>
      <c r="I1268" s="8" t="s">
        <v>1131</v>
      </c>
      <c r="J1268" s="8" t="s">
        <v>1132</v>
      </c>
      <c r="K1268" s="8" t="s">
        <v>1133</v>
      </c>
      <c r="L1268" s="8" t="s">
        <v>1134</v>
      </c>
      <c r="M1268" s="8" t="s">
        <v>2778</v>
      </c>
      <c r="N1268" s="8" t="s">
        <v>1129</v>
      </c>
      <c r="O1268" s="8">
        <v>1693.03</v>
      </c>
      <c r="P1268" s="8">
        <v>1881.15</v>
      </c>
      <c r="Q1268" s="8" t="s">
        <v>2668</v>
      </c>
      <c r="R1268" s="8" t="s">
        <v>1511</v>
      </c>
    </row>
    <row r="1269" spans="1:20" x14ac:dyDescent="0.2">
      <c r="A1269" s="8" t="s">
        <v>3375</v>
      </c>
      <c r="B1269" s="8" t="str">
        <f t="shared" si="38"/>
        <v>1586244312</v>
      </c>
      <c r="C1269" s="8" t="str">
        <f t="shared" si="39"/>
        <v>1304</v>
      </c>
      <c r="D1269" s="8" t="s">
        <v>119</v>
      </c>
      <c r="F1269" s="8" t="s">
        <v>136</v>
      </c>
      <c r="G1269" s="8" t="s">
        <v>1129</v>
      </c>
      <c r="H1269" s="8" t="s">
        <v>1130</v>
      </c>
      <c r="I1269" s="8" t="s">
        <v>1131</v>
      </c>
      <c r="J1269" s="8" t="s">
        <v>1132</v>
      </c>
      <c r="K1269" s="8" t="s">
        <v>1133</v>
      </c>
      <c r="L1269" s="8" t="s">
        <v>1134</v>
      </c>
      <c r="M1269" s="8" t="s">
        <v>2778</v>
      </c>
      <c r="N1269" s="8" t="s">
        <v>1129</v>
      </c>
      <c r="O1269" s="8">
        <v>1693.03</v>
      </c>
      <c r="P1269" s="8">
        <v>1881.15</v>
      </c>
      <c r="Q1269" s="8" t="s">
        <v>2668</v>
      </c>
      <c r="S1269" s="8" t="s">
        <v>393</v>
      </c>
      <c r="T1269" s="8">
        <v>192.54</v>
      </c>
    </row>
    <row r="1270" spans="1:20" x14ac:dyDescent="0.2">
      <c r="A1270" s="8" t="s">
        <v>4774</v>
      </c>
      <c r="B1270" s="8" t="str">
        <f t="shared" si="38"/>
        <v>1586244312</v>
      </c>
      <c r="C1270" s="8" t="str">
        <f t="shared" si="39"/>
        <v>1305</v>
      </c>
      <c r="D1270" s="8" t="s">
        <v>119</v>
      </c>
      <c r="F1270" s="8" t="s">
        <v>136</v>
      </c>
      <c r="G1270" s="8" t="s">
        <v>1129</v>
      </c>
      <c r="H1270" s="8" t="s">
        <v>1130</v>
      </c>
      <c r="I1270" s="8" t="s">
        <v>1131</v>
      </c>
      <c r="J1270" s="8" t="s">
        <v>1132</v>
      </c>
      <c r="K1270" s="8" t="s">
        <v>1133</v>
      </c>
      <c r="L1270" s="8" t="s">
        <v>1134</v>
      </c>
      <c r="M1270" s="8" t="s">
        <v>2778</v>
      </c>
      <c r="N1270" s="8" t="s">
        <v>1129</v>
      </c>
      <c r="O1270" s="8">
        <v>1693.03</v>
      </c>
      <c r="P1270" s="8">
        <v>1881.15</v>
      </c>
      <c r="Q1270" s="8" t="s">
        <v>2668</v>
      </c>
      <c r="S1270" s="8" t="s">
        <v>1983</v>
      </c>
      <c r="T1270" s="8">
        <v>223.52</v>
      </c>
    </row>
    <row r="1271" spans="1:20" x14ac:dyDescent="0.2">
      <c r="A1271" s="8" t="s">
        <v>4294</v>
      </c>
      <c r="B1271" s="8" t="str">
        <f t="shared" si="38"/>
        <v>1586244312</v>
      </c>
      <c r="C1271" s="8" t="str">
        <f t="shared" si="39"/>
        <v>1306</v>
      </c>
      <c r="D1271" s="8" t="s">
        <v>119</v>
      </c>
      <c r="F1271" s="8" t="s">
        <v>136</v>
      </c>
      <c r="G1271" s="8" t="s">
        <v>1129</v>
      </c>
      <c r="H1271" s="8" t="s">
        <v>1130</v>
      </c>
      <c r="I1271" s="8" t="s">
        <v>1131</v>
      </c>
      <c r="J1271" s="8" t="s">
        <v>1132</v>
      </c>
      <c r="K1271" s="8" t="s">
        <v>1133</v>
      </c>
      <c r="L1271" s="8" t="s">
        <v>1134</v>
      </c>
      <c r="M1271" s="8" t="s">
        <v>2778</v>
      </c>
      <c r="N1271" s="8" t="s">
        <v>1129</v>
      </c>
      <c r="O1271" s="8">
        <v>1693.03</v>
      </c>
      <c r="P1271" s="8">
        <v>1881.15</v>
      </c>
      <c r="Q1271" s="8" t="s">
        <v>2668</v>
      </c>
      <c r="S1271" s="8" t="s">
        <v>1847</v>
      </c>
      <c r="T1271" s="8">
        <v>107.7</v>
      </c>
    </row>
    <row r="1272" spans="1:20" x14ac:dyDescent="0.2">
      <c r="A1272" s="8" t="s">
        <v>4431</v>
      </c>
      <c r="B1272" s="8" t="str">
        <f t="shared" si="38"/>
        <v>1586244312</v>
      </c>
      <c r="C1272" s="8" t="str">
        <f t="shared" si="39"/>
        <v>1307</v>
      </c>
      <c r="D1272" s="8" t="s">
        <v>119</v>
      </c>
      <c r="F1272" s="8" t="s">
        <v>136</v>
      </c>
      <c r="G1272" s="8" t="s">
        <v>1129</v>
      </c>
      <c r="H1272" s="8" t="s">
        <v>1130</v>
      </c>
      <c r="I1272" s="8" t="s">
        <v>1131</v>
      </c>
      <c r="J1272" s="8" t="s">
        <v>1132</v>
      </c>
      <c r="K1272" s="8" t="s">
        <v>1133</v>
      </c>
      <c r="L1272" s="8" t="s">
        <v>1134</v>
      </c>
      <c r="M1272" s="8" t="s">
        <v>2778</v>
      </c>
      <c r="N1272" s="8" t="s">
        <v>1129</v>
      </c>
      <c r="O1272" s="8">
        <v>1693.03</v>
      </c>
      <c r="P1272" s="8">
        <v>1881.15</v>
      </c>
      <c r="Q1272" s="8" t="s">
        <v>2668</v>
      </c>
      <c r="S1272" s="8" t="s">
        <v>331</v>
      </c>
      <c r="T1272" s="8">
        <v>604.17999999999995</v>
      </c>
    </row>
    <row r="1273" spans="1:20" x14ac:dyDescent="0.2">
      <c r="A1273" s="8" t="s">
        <v>2790</v>
      </c>
      <c r="B1273" s="8" t="str">
        <f t="shared" si="38"/>
        <v>1586244316</v>
      </c>
      <c r="C1273" s="8" t="str">
        <f t="shared" si="39"/>
        <v>1308</v>
      </c>
      <c r="D1273" s="8" t="s">
        <v>119</v>
      </c>
      <c r="F1273" s="8" t="s">
        <v>136</v>
      </c>
      <c r="G1273" s="8" t="s">
        <v>628</v>
      </c>
      <c r="H1273" s="8" t="s">
        <v>629</v>
      </c>
      <c r="I1273" s="8" t="s">
        <v>181</v>
      </c>
      <c r="J1273" s="8" t="s">
        <v>701</v>
      </c>
      <c r="K1273" s="8" t="s">
        <v>125</v>
      </c>
      <c r="L1273" s="8" t="s">
        <v>702</v>
      </c>
      <c r="M1273" s="8" t="s">
        <v>2778</v>
      </c>
      <c r="N1273" s="8" t="s">
        <v>628</v>
      </c>
      <c r="O1273" s="8">
        <v>535.57000000000005</v>
      </c>
      <c r="P1273" s="8">
        <v>595.08000000000004</v>
      </c>
      <c r="Q1273" s="8" t="s">
        <v>2669</v>
      </c>
      <c r="R1273" s="8" t="s">
        <v>703</v>
      </c>
    </row>
    <row r="1274" spans="1:20" x14ac:dyDescent="0.2">
      <c r="A1274" s="8" t="s">
        <v>4589</v>
      </c>
      <c r="B1274" s="8" t="str">
        <f t="shared" si="38"/>
        <v>1586244316</v>
      </c>
      <c r="C1274" s="8" t="str">
        <f t="shared" si="39"/>
        <v>1309</v>
      </c>
      <c r="D1274" s="8" t="s">
        <v>119</v>
      </c>
      <c r="F1274" s="8" t="s">
        <v>136</v>
      </c>
      <c r="G1274" s="8" t="s">
        <v>628</v>
      </c>
      <c r="H1274" s="8" t="s">
        <v>629</v>
      </c>
      <c r="I1274" s="8" t="s">
        <v>181</v>
      </c>
      <c r="J1274" s="8" t="s">
        <v>701</v>
      </c>
      <c r="K1274" s="8" t="s">
        <v>125</v>
      </c>
      <c r="L1274" s="8" t="s">
        <v>702</v>
      </c>
      <c r="M1274" s="8" t="s">
        <v>2778</v>
      </c>
      <c r="N1274" s="8" t="s">
        <v>628</v>
      </c>
      <c r="O1274" s="8">
        <v>535.57000000000005</v>
      </c>
      <c r="P1274" s="8">
        <v>595.08000000000004</v>
      </c>
      <c r="Q1274" s="8" t="s">
        <v>2669</v>
      </c>
      <c r="R1274" s="8" t="s">
        <v>2203</v>
      </c>
    </row>
    <row r="1275" spans="1:20" x14ac:dyDescent="0.2">
      <c r="A1275" s="8" t="s">
        <v>4520</v>
      </c>
      <c r="B1275" s="8" t="str">
        <f t="shared" si="38"/>
        <v>1586244316</v>
      </c>
      <c r="C1275" s="8" t="str">
        <f t="shared" si="39"/>
        <v>1310</v>
      </c>
      <c r="D1275" s="8" t="s">
        <v>119</v>
      </c>
      <c r="F1275" s="8" t="s">
        <v>136</v>
      </c>
      <c r="G1275" s="8" t="s">
        <v>628</v>
      </c>
      <c r="H1275" s="8" t="s">
        <v>629</v>
      </c>
      <c r="I1275" s="8" t="s">
        <v>181</v>
      </c>
      <c r="J1275" s="8" t="s">
        <v>701</v>
      </c>
      <c r="K1275" s="8" t="s">
        <v>125</v>
      </c>
      <c r="L1275" s="8" t="s">
        <v>702</v>
      </c>
      <c r="M1275" s="8" t="s">
        <v>2778</v>
      </c>
      <c r="N1275" s="8" t="s">
        <v>628</v>
      </c>
      <c r="O1275" s="8">
        <v>535.57000000000005</v>
      </c>
      <c r="P1275" s="8">
        <v>595.08000000000004</v>
      </c>
      <c r="Q1275" s="8" t="s">
        <v>2669</v>
      </c>
      <c r="R1275" s="8" t="s">
        <v>1677</v>
      </c>
    </row>
    <row r="1276" spans="1:20" x14ac:dyDescent="0.2">
      <c r="A1276" s="8" t="s">
        <v>3851</v>
      </c>
      <c r="B1276" s="8" t="str">
        <f t="shared" si="38"/>
        <v>1586244316</v>
      </c>
      <c r="C1276" s="8" t="str">
        <f t="shared" si="39"/>
        <v>1311</v>
      </c>
      <c r="D1276" s="8" t="s">
        <v>119</v>
      </c>
      <c r="F1276" s="8" t="s">
        <v>136</v>
      </c>
      <c r="G1276" s="8" t="s">
        <v>628</v>
      </c>
      <c r="H1276" s="8" t="s">
        <v>629</v>
      </c>
      <c r="I1276" s="8" t="s">
        <v>181</v>
      </c>
      <c r="J1276" s="8" t="s">
        <v>701</v>
      </c>
      <c r="K1276" s="8" t="s">
        <v>125</v>
      </c>
      <c r="L1276" s="8" t="s">
        <v>702</v>
      </c>
      <c r="M1276" s="8" t="s">
        <v>2778</v>
      </c>
      <c r="N1276" s="8" t="s">
        <v>628</v>
      </c>
      <c r="O1276" s="8">
        <v>535.57000000000005</v>
      </c>
      <c r="P1276" s="8">
        <v>595.08000000000004</v>
      </c>
      <c r="Q1276" s="8" t="s">
        <v>2669</v>
      </c>
      <c r="R1276" s="8" t="s">
        <v>2448</v>
      </c>
    </row>
    <row r="1277" spans="1:20" x14ac:dyDescent="0.2">
      <c r="A1277" s="8" t="s">
        <v>4377</v>
      </c>
      <c r="B1277" s="8" t="str">
        <f t="shared" si="38"/>
        <v>1586244316</v>
      </c>
      <c r="C1277" s="8" t="str">
        <f t="shared" si="39"/>
        <v>1312</v>
      </c>
      <c r="D1277" s="8" t="s">
        <v>119</v>
      </c>
      <c r="F1277" s="8" t="s">
        <v>136</v>
      </c>
      <c r="G1277" s="8" t="s">
        <v>628</v>
      </c>
      <c r="H1277" s="8" t="s">
        <v>629</v>
      </c>
      <c r="I1277" s="8" t="s">
        <v>181</v>
      </c>
      <c r="J1277" s="8" t="s">
        <v>701</v>
      </c>
      <c r="K1277" s="8" t="s">
        <v>125</v>
      </c>
      <c r="L1277" s="8" t="s">
        <v>702</v>
      </c>
      <c r="M1277" s="8" t="s">
        <v>2778</v>
      </c>
      <c r="N1277" s="8" t="s">
        <v>628</v>
      </c>
      <c r="O1277" s="8">
        <v>535.57000000000005</v>
      </c>
      <c r="P1277" s="8">
        <v>595.08000000000004</v>
      </c>
      <c r="Q1277" s="8" t="s">
        <v>2669</v>
      </c>
      <c r="S1277" s="8" t="s">
        <v>1513</v>
      </c>
      <c r="T1277" s="8">
        <v>23.61</v>
      </c>
    </row>
    <row r="1278" spans="1:20" x14ac:dyDescent="0.2">
      <c r="A1278" s="8" t="s">
        <v>4477</v>
      </c>
      <c r="B1278" s="8" t="str">
        <f t="shared" si="38"/>
        <v>1586244316</v>
      </c>
      <c r="C1278" s="8" t="str">
        <f t="shared" si="39"/>
        <v>1313</v>
      </c>
      <c r="D1278" s="8" t="s">
        <v>119</v>
      </c>
      <c r="F1278" s="8" t="s">
        <v>136</v>
      </c>
      <c r="G1278" s="8" t="s">
        <v>628</v>
      </c>
      <c r="H1278" s="8" t="s">
        <v>629</v>
      </c>
      <c r="I1278" s="8" t="s">
        <v>181</v>
      </c>
      <c r="J1278" s="8" t="s">
        <v>701</v>
      </c>
      <c r="K1278" s="8" t="s">
        <v>125</v>
      </c>
      <c r="L1278" s="8" t="s">
        <v>702</v>
      </c>
      <c r="M1278" s="8" t="s">
        <v>2778</v>
      </c>
      <c r="N1278" s="8" t="s">
        <v>628</v>
      </c>
      <c r="O1278" s="8">
        <v>535.57000000000005</v>
      </c>
      <c r="P1278" s="8">
        <v>595.08000000000004</v>
      </c>
      <c r="Q1278" s="8" t="s">
        <v>2669</v>
      </c>
      <c r="S1278" s="8" t="s">
        <v>184</v>
      </c>
      <c r="T1278" s="8">
        <v>98.85</v>
      </c>
    </row>
    <row r="1279" spans="1:20" x14ac:dyDescent="0.2">
      <c r="A1279" s="8" t="s">
        <v>4159</v>
      </c>
      <c r="B1279" s="8" t="str">
        <f t="shared" si="38"/>
        <v>1586244318</v>
      </c>
      <c r="C1279" s="8" t="str">
        <f t="shared" si="39"/>
        <v>1314</v>
      </c>
      <c r="D1279" s="8" t="s">
        <v>119</v>
      </c>
      <c r="F1279" s="8" t="s">
        <v>136</v>
      </c>
      <c r="G1279" s="8" t="s">
        <v>628</v>
      </c>
      <c r="H1279" s="8" t="s">
        <v>629</v>
      </c>
      <c r="I1279" s="8" t="s">
        <v>181</v>
      </c>
      <c r="J1279" s="8" t="s">
        <v>630</v>
      </c>
      <c r="K1279" s="8" t="s">
        <v>190</v>
      </c>
      <c r="L1279" s="8" t="s">
        <v>631</v>
      </c>
      <c r="M1279" s="8" t="s">
        <v>2778</v>
      </c>
      <c r="N1279" s="8" t="s">
        <v>628</v>
      </c>
      <c r="O1279" s="8">
        <v>748.03</v>
      </c>
      <c r="P1279" s="8">
        <v>831.15</v>
      </c>
      <c r="Q1279" s="8" t="s">
        <v>2670</v>
      </c>
      <c r="R1279" s="8" t="s">
        <v>1833</v>
      </c>
    </row>
    <row r="1280" spans="1:20" x14ac:dyDescent="0.2">
      <c r="A1280" s="8" t="s">
        <v>4167</v>
      </c>
      <c r="B1280" s="8" t="str">
        <f t="shared" si="38"/>
        <v>1586244318</v>
      </c>
      <c r="C1280" s="8" t="str">
        <f t="shared" si="39"/>
        <v>1315</v>
      </c>
      <c r="D1280" s="8" t="s">
        <v>119</v>
      </c>
      <c r="F1280" s="8" t="s">
        <v>136</v>
      </c>
      <c r="G1280" s="8" t="s">
        <v>628</v>
      </c>
      <c r="H1280" s="8" t="s">
        <v>629</v>
      </c>
      <c r="I1280" s="8" t="s">
        <v>181</v>
      </c>
      <c r="J1280" s="8" t="s">
        <v>630</v>
      </c>
      <c r="K1280" s="8" t="s">
        <v>190</v>
      </c>
      <c r="L1280" s="8" t="s">
        <v>631</v>
      </c>
      <c r="M1280" s="8" t="s">
        <v>2778</v>
      </c>
      <c r="N1280" s="8" t="s">
        <v>628</v>
      </c>
      <c r="O1280" s="8">
        <v>748.03</v>
      </c>
      <c r="P1280" s="8">
        <v>831.15</v>
      </c>
      <c r="Q1280" s="8" t="s">
        <v>2670</v>
      </c>
      <c r="R1280" s="8" t="s">
        <v>2156</v>
      </c>
    </row>
    <row r="1281" spans="1:20" x14ac:dyDescent="0.2">
      <c r="A1281" s="8" t="s">
        <v>2861</v>
      </c>
      <c r="B1281" s="8" t="str">
        <f t="shared" si="38"/>
        <v>1586244318</v>
      </c>
      <c r="C1281" s="8" t="str">
        <f t="shared" si="39"/>
        <v>1316</v>
      </c>
      <c r="D1281" s="8" t="s">
        <v>119</v>
      </c>
      <c r="F1281" s="8" t="s">
        <v>136</v>
      </c>
      <c r="G1281" s="8" t="s">
        <v>628</v>
      </c>
      <c r="H1281" s="8" t="s">
        <v>629</v>
      </c>
      <c r="I1281" s="8" t="s">
        <v>181</v>
      </c>
      <c r="J1281" s="8" t="s">
        <v>630</v>
      </c>
      <c r="K1281" s="8" t="s">
        <v>190</v>
      </c>
      <c r="L1281" s="8" t="s">
        <v>631</v>
      </c>
      <c r="M1281" s="8" t="s">
        <v>2778</v>
      </c>
      <c r="N1281" s="8" t="s">
        <v>628</v>
      </c>
      <c r="O1281" s="8">
        <v>748.03</v>
      </c>
      <c r="P1281" s="8">
        <v>831.15</v>
      </c>
      <c r="Q1281" s="8" t="s">
        <v>2670</v>
      </c>
      <c r="R1281" s="8" t="s">
        <v>866</v>
      </c>
    </row>
    <row r="1282" spans="1:20" x14ac:dyDescent="0.2">
      <c r="A1282" s="8" t="s">
        <v>3221</v>
      </c>
      <c r="B1282" s="8" t="str">
        <f t="shared" ref="B1282:B1345" si="40">LEFT(A1282, FIND("-", A1282) - 1)</f>
        <v>1586244318</v>
      </c>
      <c r="C1282" s="8" t="str">
        <f t="shared" ref="C1282:C1345" si="41">RIGHT(A1282, LEN(A1282) - FIND("-", A1282))</f>
        <v>1317</v>
      </c>
      <c r="D1282" s="8" t="s">
        <v>119</v>
      </c>
      <c r="F1282" s="8" t="s">
        <v>136</v>
      </c>
      <c r="G1282" s="8" t="s">
        <v>628</v>
      </c>
      <c r="H1282" s="8" t="s">
        <v>629</v>
      </c>
      <c r="I1282" s="8" t="s">
        <v>181</v>
      </c>
      <c r="J1282" s="8" t="s">
        <v>630</v>
      </c>
      <c r="K1282" s="8" t="s">
        <v>190</v>
      </c>
      <c r="L1282" s="8" t="s">
        <v>631</v>
      </c>
      <c r="M1282" s="8" t="s">
        <v>2778</v>
      </c>
      <c r="N1282" s="8" t="s">
        <v>628</v>
      </c>
      <c r="O1282" s="8">
        <v>748.03</v>
      </c>
      <c r="P1282" s="8">
        <v>831.15</v>
      </c>
      <c r="Q1282" s="8" t="s">
        <v>2670</v>
      </c>
      <c r="S1282" s="8" t="s">
        <v>542</v>
      </c>
      <c r="T1282" s="8">
        <v>562.87</v>
      </c>
    </row>
    <row r="1283" spans="1:20" x14ac:dyDescent="0.2">
      <c r="A1283" s="8" t="s">
        <v>2942</v>
      </c>
      <c r="B1283" s="8" t="str">
        <f t="shared" si="40"/>
        <v>1586244318</v>
      </c>
      <c r="C1283" s="8" t="str">
        <f t="shared" si="41"/>
        <v>1318</v>
      </c>
      <c r="D1283" s="8" t="s">
        <v>119</v>
      </c>
      <c r="F1283" s="8" t="s">
        <v>136</v>
      </c>
      <c r="G1283" s="8" t="s">
        <v>628</v>
      </c>
      <c r="H1283" s="8" t="s">
        <v>629</v>
      </c>
      <c r="I1283" s="8" t="s">
        <v>181</v>
      </c>
      <c r="J1283" s="8" t="s">
        <v>630</v>
      </c>
      <c r="K1283" s="8" t="s">
        <v>190</v>
      </c>
      <c r="L1283" s="8" t="s">
        <v>631</v>
      </c>
      <c r="M1283" s="8" t="s">
        <v>2778</v>
      </c>
      <c r="N1283" s="8" t="s">
        <v>628</v>
      </c>
      <c r="O1283" s="8">
        <v>748.03</v>
      </c>
      <c r="P1283" s="8">
        <v>831.15</v>
      </c>
      <c r="Q1283" s="8" t="s">
        <v>2670</v>
      </c>
      <c r="S1283" s="8" t="s">
        <v>2003</v>
      </c>
      <c r="T1283" s="8">
        <v>115.82</v>
      </c>
    </row>
    <row r="1284" spans="1:20" x14ac:dyDescent="0.2">
      <c r="A1284" s="8" t="s">
        <v>3930</v>
      </c>
      <c r="B1284" s="8" t="str">
        <f t="shared" si="40"/>
        <v>1586244322</v>
      </c>
      <c r="C1284" s="8" t="str">
        <f t="shared" si="41"/>
        <v>1319</v>
      </c>
      <c r="D1284" s="8" t="s">
        <v>119</v>
      </c>
      <c r="F1284" s="8" t="s">
        <v>136</v>
      </c>
      <c r="G1284" s="8" t="s">
        <v>388</v>
      </c>
      <c r="H1284" s="8" t="s">
        <v>389</v>
      </c>
      <c r="I1284" s="8" t="s">
        <v>390</v>
      </c>
      <c r="J1284" s="8" t="s">
        <v>391</v>
      </c>
      <c r="K1284" s="8" t="s">
        <v>385</v>
      </c>
      <c r="L1284" s="8" t="s">
        <v>392</v>
      </c>
      <c r="M1284" s="8" t="s">
        <v>2778</v>
      </c>
      <c r="N1284" s="8" t="s">
        <v>388</v>
      </c>
      <c r="O1284" s="8">
        <v>531.89</v>
      </c>
      <c r="P1284" s="8">
        <v>590.98</v>
      </c>
      <c r="Q1284" s="8" t="s">
        <v>2671</v>
      </c>
      <c r="R1284" s="8" t="s">
        <v>2090</v>
      </c>
    </row>
    <row r="1285" spans="1:20" x14ac:dyDescent="0.2">
      <c r="A1285" s="8" t="s">
        <v>2825</v>
      </c>
      <c r="B1285" s="8" t="str">
        <f t="shared" si="40"/>
        <v>1586244322</v>
      </c>
      <c r="C1285" s="8" t="str">
        <f t="shared" si="41"/>
        <v>1320</v>
      </c>
      <c r="D1285" s="8" t="s">
        <v>119</v>
      </c>
      <c r="F1285" s="8" t="s">
        <v>136</v>
      </c>
      <c r="G1285" s="8" t="s">
        <v>388</v>
      </c>
      <c r="H1285" s="8" t="s">
        <v>389</v>
      </c>
      <c r="I1285" s="8" t="s">
        <v>390</v>
      </c>
      <c r="J1285" s="8" t="s">
        <v>391</v>
      </c>
      <c r="K1285" s="8" t="s">
        <v>385</v>
      </c>
      <c r="L1285" s="8" t="s">
        <v>392</v>
      </c>
      <c r="M1285" s="8" t="s">
        <v>2778</v>
      </c>
      <c r="N1285" s="8" t="s">
        <v>388</v>
      </c>
      <c r="O1285" s="8">
        <v>531.89</v>
      </c>
      <c r="P1285" s="8">
        <v>590.98</v>
      </c>
      <c r="Q1285" s="8" t="s">
        <v>2671</v>
      </c>
      <c r="R1285" s="8" t="s">
        <v>2249</v>
      </c>
    </row>
    <row r="1286" spans="1:20" x14ac:dyDescent="0.2">
      <c r="A1286" s="8" t="s">
        <v>3350</v>
      </c>
      <c r="B1286" s="8" t="str">
        <f t="shared" si="40"/>
        <v>1586244322</v>
      </c>
      <c r="C1286" s="8" t="str">
        <f t="shared" si="41"/>
        <v>1321</v>
      </c>
      <c r="D1286" s="8" t="s">
        <v>119</v>
      </c>
      <c r="F1286" s="8" t="s">
        <v>136</v>
      </c>
      <c r="G1286" s="8" t="s">
        <v>388</v>
      </c>
      <c r="H1286" s="8" t="s">
        <v>389</v>
      </c>
      <c r="I1286" s="8" t="s">
        <v>390</v>
      </c>
      <c r="J1286" s="8" t="s">
        <v>391</v>
      </c>
      <c r="K1286" s="8" t="s">
        <v>385</v>
      </c>
      <c r="L1286" s="8" t="s">
        <v>392</v>
      </c>
      <c r="M1286" s="8" t="s">
        <v>2778</v>
      </c>
      <c r="N1286" s="8" t="s">
        <v>388</v>
      </c>
      <c r="O1286" s="8">
        <v>531.89</v>
      </c>
      <c r="P1286" s="8">
        <v>590.98</v>
      </c>
      <c r="Q1286" s="8" t="s">
        <v>2671</v>
      </c>
      <c r="R1286" s="8" t="s">
        <v>2223</v>
      </c>
    </row>
    <row r="1287" spans="1:20" x14ac:dyDescent="0.2">
      <c r="A1287" s="8" t="s">
        <v>4715</v>
      </c>
      <c r="B1287" s="8" t="str">
        <f t="shared" si="40"/>
        <v>1586244322</v>
      </c>
      <c r="C1287" s="8" t="str">
        <f t="shared" si="41"/>
        <v>1322</v>
      </c>
      <c r="D1287" s="8" t="s">
        <v>119</v>
      </c>
      <c r="F1287" s="8" t="s">
        <v>136</v>
      </c>
      <c r="G1287" s="8" t="s">
        <v>388</v>
      </c>
      <c r="H1287" s="8" t="s">
        <v>389</v>
      </c>
      <c r="I1287" s="8" t="s">
        <v>390</v>
      </c>
      <c r="J1287" s="8" t="s">
        <v>391</v>
      </c>
      <c r="K1287" s="8" t="s">
        <v>385</v>
      </c>
      <c r="L1287" s="8" t="s">
        <v>392</v>
      </c>
      <c r="M1287" s="8" t="s">
        <v>2778</v>
      </c>
      <c r="N1287" s="8" t="s">
        <v>388</v>
      </c>
      <c r="O1287" s="8">
        <v>531.89</v>
      </c>
      <c r="P1287" s="8">
        <v>590.98</v>
      </c>
      <c r="Q1287" s="8" t="s">
        <v>2671</v>
      </c>
      <c r="R1287" s="8" t="s">
        <v>2363</v>
      </c>
    </row>
    <row r="1288" spans="1:20" x14ac:dyDescent="0.2">
      <c r="A1288" s="8" t="s">
        <v>3853</v>
      </c>
      <c r="B1288" s="8" t="str">
        <f t="shared" si="40"/>
        <v>1586244322</v>
      </c>
      <c r="C1288" s="8" t="str">
        <f t="shared" si="41"/>
        <v>1323</v>
      </c>
      <c r="D1288" s="8" t="s">
        <v>119</v>
      </c>
      <c r="F1288" s="8" t="s">
        <v>136</v>
      </c>
      <c r="G1288" s="8" t="s">
        <v>388</v>
      </c>
      <c r="H1288" s="8" t="s">
        <v>389</v>
      </c>
      <c r="I1288" s="8" t="s">
        <v>390</v>
      </c>
      <c r="J1288" s="8" t="s">
        <v>391</v>
      </c>
      <c r="K1288" s="8" t="s">
        <v>385</v>
      </c>
      <c r="L1288" s="8" t="s">
        <v>392</v>
      </c>
      <c r="M1288" s="8" t="s">
        <v>2778</v>
      </c>
      <c r="N1288" s="8" t="s">
        <v>388</v>
      </c>
      <c r="O1288" s="8">
        <v>531.89</v>
      </c>
      <c r="P1288" s="8">
        <v>590.98</v>
      </c>
      <c r="Q1288" s="8" t="s">
        <v>2671</v>
      </c>
      <c r="R1288" s="8" t="s">
        <v>1816</v>
      </c>
    </row>
    <row r="1289" spans="1:20" x14ac:dyDescent="0.2">
      <c r="A1289" s="8" t="s">
        <v>3432</v>
      </c>
      <c r="B1289" s="8" t="str">
        <f t="shared" si="40"/>
        <v>1586244322</v>
      </c>
      <c r="C1289" s="8" t="str">
        <f t="shared" si="41"/>
        <v>1324</v>
      </c>
      <c r="D1289" s="8" t="s">
        <v>119</v>
      </c>
      <c r="F1289" s="8" t="s">
        <v>136</v>
      </c>
      <c r="G1289" s="8" t="s">
        <v>388</v>
      </c>
      <c r="H1289" s="8" t="s">
        <v>389</v>
      </c>
      <c r="I1289" s="8" t="s">
        <v>390</v>
      </c>
      <c r="J1289" s="8" t="s">
        <v>391</v>
      </c>
      <c r="K1289" s="8" t="s">
        <v>385</v>
      </c>
      <c r="L1289" s="8" t="s">
        <v>392</v>
      </c>
      <c r="M1289" s="8" t="s">
        <v>2778</v>
      </c>
      <c r="N1289" s="8" t="s">
        <v>388</v>
      </c>
      <c r="O1289" s="8">
        <v>531.89</v>
      </c>
      <c r="P1289" s="8">
        <v>590.98</v>
      </c>
      <c r="Q1289" s="8" t="s">
        <v>2671</v>
      </c>
      <c r="R1289" s="8" t="s">
        <v>1105</v>
      </c>
    </row>
    <row r="1290" spans="1:20" x14ac:dyDescent="0.2">
      <c r="A1290" s="8" t="s">
        <v>3099</v>
      </c>
      <c r="B1290" s="8" t="str">
        <f t="shared" si="40"/>
        <v>1586244322</v>
      </c>
      <c r="C1290" s="8" t="str">
        <f t="shared" si="41"/>
        <v>1325</v>
      </c>
      <c r="D1290" s="8" t="s">
        <v>119</v>
      </c>
      <c r="F1290" s="8" t="s">
        <v>136</v>
      </c>
      <c r="G1290" s="8" t="s">
        <v>388</v>
      </c>
      <c r="H1290" s="8" t="s">
        <v>389</v>
      </c>
      <c r="I1290" s="8" t="s">
        <v>390</v>
      </c>
      <c r="J1290" s="8" t="s">
        <v>391</v>
      </c>
      <c r="K1290" s="8" t="s">
        <v>385</v>
      </c>
      <c r="L1290" s="8" t="s">
        <v>392</v>
      </c>
      <c r="M1290" s="8" t="s">
        <v>2778</v>
      </c>
      <c r="N1290" s="8" t="s">
        <v>388</v>
      </c>
      <c r="O1290" s="8">
        <v>531.89</v>
      </c>
      <c r="P1290" s="8">
        <v>590.98</v>
      </c>
      <c r="Q1290" s="8" t="s">
        <v>2671</v>
      </c>
      <c r="R1290" s="8" t="s">
        <v>1512</v>
      </c>
    </row>
    <row r="1291" spans="1:20" x14ac:dyDescent="0.2">
      <c r="A1291" s="8" t="s">
        <v>4686</v>
      </c>
      <c r="B1291" s="8" t="str">
        <f t="shared" si="40"/>
        <v>1586244322</v>
      </c>
      <c r="C1291" s="8" t="str">
        <f t="shared" si="41"/>
        <v>1326</v>
      </c>
      <c r="D1291" s="8" t="s">
        <v>119</v>
      </c>
      <c r="F1291" s="8" t="s">
        <v>136</v>
      </c>
      <c r="G1291" s="8" t="s">
        <v>388</v>
      </c>
      <c r="H1291" s="8" t="s">
        <v>389</v>
      </c>
      <c r="I1291" s="8" t="s">
        <v>390</v>
      </c>
      <c r="J1291" s="8" t="s">
        <v>391</v>
      </c>
      <c r="K1291" s="8" t="s">
        <v>385</v>
      </c>
      <c r="L1291" s="8" t="s">
        <v>392</v>
      </c>
      <c r="M1291" s="8" t="s">
        <v>2778</v>
      </c>
      <c r="N1291" s="8" t="s">
        <v>388</v>
      </c>
      <c r="O1291" s="8">
        <v>531.89</v>
      </c>
      <c r="P1291" s="8">
        <v>590.98</v>
      </c>
      <c r="Q1291" s="8" t="s">
        <v>2671</v>
      </c>
      <c r="R1291" s="8" t="s">
        <v>987</v>
      </c>
    </row>
    <row r="1292" spans="1:20" x14ac:dyDescent="0.2">
      <c r="A1292" s="8" t="s">
        <v>4580</v>
      </c>
      <c r="B1292" s="8" t="str">
        <f t="shared" si="40"/>
        <v>1586244322</v>
      </c>
      <c r="C1292" s="8" t="str">
        <f t="shared" si="41"/>
        <v>1327</v>
      </c>
      <c r="D1292" s="8" t="s">
        <v>119</v>
      </c>
      <c r="F1292" s="8" t="s">
        <v>136</v>
      </c>
      <c r="G1292" s="8" t="s">
        <v>388</v>
      </c>
      <c r="H1292" s="8" t="s">
        <v>389</v>
      </c>
      <c r="I1292" s="8" t="s">
        <v>390</v>
      </c>
      <c r="J1292" s="8" t="s">
        <v>391</v>
      </c>
      <c r="K1292" s="8" t="s">
        <v>385</v>
      </c>
      <c r="L1292" s="8" t="s">
        <v>392</v>
      </c>
      <c r="M1292" s="8" t="s">
        <v>2778</v>
      </c>
      <c r="N1292" s="8" t="s">
        <v>388</v>
      </c>
      <c r="O1292" s="8">
        <v>531.89</v>
      </c>
      <c r="P1292" s="8">
        <v>590.98</v>
      </c>
      <c r="Q1292" s="8" t="s">
        <v>2671</v>
      </c>
      <c r="S1292" s="8" t="s">
        <v>142</v>
      </c>
      <c r="T1292" s="8">
        <v>53.85</v>
      </c>
    </row>
    <row r="1293" spans="1:20" x14ac:dyDescent="0.2">
      <c r="A1293" s="8" t="s">
        <v>3127</v>
      </c>
      <c r="B1293" s="8" t="str">
        <f t="shared" si="40"/>
        <v>1586244322</v>
      </c>
      <c r="C1293" s="8" t="str">
        <f t="shared" si="41"/>
        <v>1328</v>
      </c>
      <c r="D1293" s="8" t="s">
        <v>119</v>
      </c>
      <c r="F1293" s="8" t="s">
        <v>136</v>
      </c>
      <c r="G1293" s="8" t="s">
        <v>388</v>
      </c>
      <c r="H1293" s="8" t="s">
        <v>389</v>
      </c>
      <c r="I1293" s="8" t="s">
        <v>390</v>
      </c>
      <c r="J1293" s="8" t="s">
        <v>391</v>
      </c>
      <c r="K1293" s="8" t="s">
        <v>385</v>
      </c>
      <c r="L1293" s="8" t="s">
        <v>392</v>
      </c>
      <c r="M1293" s="8" t="s">
        <v>2778</v>
      </c>
      <c r="N1293" s="8" t="s">
        <v>388</v>
      </c>
      <c r="O1293" s="8">
        <v>531.89</v>
      </c>
      <c r="P1293" s="8">
        <v>590.98</v>
      </c>
      <c r="Q1293" s="8" t="s">
        <v>2671</v>
      </c>
      <c r="S1293" s="8" t="s">
        <v>331</v>
      </c>
      <c r="T1293" s="8">
        <v>84.84</v>
      </c>
    </row>
    <row r="1294" spans="1:20" x14ac:dyDescent="0.2">
      <c r="A1294" s="8" t="s">
        <v>3770</v>
      </c>
      <c r="B1294" s="8" t="str">
        <f t="shared" si="40"/>
        <v>1586244322</v>
      </c>
      <c r="C1294" s="8" t="str">
        <f t="shared" si="41"/>
        <v>1329</v>
      </c>
      <c r="D1294" s="8" t="s">
        <v>119</v>
      </c>
      <c r="F1294" s="8" t="s">
        <v>136</v>
      </c>
      <c r="G1294" s="8" t="s">
        <v>388</v>
      </c>
      <c r="H1294" s="8" t="s">
        <v>389</v>
      </c>
      <c r="I1294" s="8" t="s">
        <v>390</v>
      </c>
      <c r="J1294" s="8" t="s">
        <v>391</v>
      </c>
      <c r="K1294" s="8" t="s">
        <v>385</v>
      </c>
      <c r="L1294" s="8" t="s">
        <v>392</v>
      </c>
      <c r="M1294" s="8" t="s">
        <v>2778</v>
      </c>
      <c r="N1294" s="8" t="s">
        <v>388</v>
      </c>
      <c r="O1294" s="8">
        <v>531.89</v>
      </c>
      <c r="P1294" s="8">
        <v>590.98</v>
      </c>
      <c r="Q1294" s="8" t="s">
        <v>2671</v>
      </c>
      <c r="S1294" s="8" t="s">
        <v>393</v>
      </c>
      <c r="T1294" s="8">
        <v>77.459999999999994</v>
      </c>
    </row>
    <row r="1295" spans="1:20" x14ac:dyDescent="0.2">
      <c r="A1295" s="8" t="s">
        <v>4396</v>
      </c>
      <c r="B1295" s="8" t="str">
        <f t="shared" si="40"/>
        <v>1586244322</v>
      </c>
      <c r="C1295" s="8" t="str">
        <f t="shared" si="41"/>
        <v>1330</v>
      </c>
      <c r="D1295" s="8" t="s">
        <v>119</v>
      </c>
      <c r="F1295" s="8" t="s">
        <v>136</v>
      </c>
      <c r="G1295" s="8" t="s">
        <v>388</v>
      </c>
      <c r="H1295" s="8" t="s">
        <v>389</v>
      </c>
      <c r="I1295" s="8" t="s">
        <v>390</v>
      </c>
      <c r="J1295" s="8" t="s">
        <v>391</v>
      </c>
      <c r="K1295" s="8" t="s">
        <v>385</v>
      </c>
      <c r="L1295" s="8" t="s">
        <v>392</v>
      </c>
      <c r="M1295" s="8" t="s">
        <v>2778</v>
      </c>
      <c r="N1295" s="8" t="s">
        <v>388</v>
      </c>
      <c r="O1295" s="8">
        <v>531.89</v>
      </c>
      <c r="P1295" s="8">
        <v>590.98</v>
      </c>
      <c r="Q1295" s="8" t="s">
        <v>2671</v>
      </c>
      <c r="S1295" s="8" t="s">
        <v>767</v>
      </c>
      <c r="T1295" s="8">
        <v>46.48</v>
      </c>
    </row>
    <row r="1296" spans="1:20" x14ac:dyDescent="0.2">
      <c r="A1296" s="8" t="s">
        <v>3080</v>
      </c>
      <c r="B1296" s="8" t="str">
        <f t="shared" si="40"/>
        <v>1586244324</v>
      </c>
      <c r="C1296" s="8" t="str">
        <f t="shared" si="41"/>
        <v>1331</v>
      </c>
      <c r="D1296" s="8" t="s">
        <v>119</v>
      </c>
      <c r="F1296" s="8" t="s">
        <v>136</v>
      </c>
      <c r="G1296" s="8" t="s">
        <v>388</v>
      </c>
      <c r="H1296" s="8" t="s">
        <v>389</v>
      </c>
      <c r="I1296" s="8" t="s">
        <v>740</v>
      </c>
      <c r="J1296" s="8" t="s">
        <v>741</v>
      </c>
      <c r="K1296" s="8" t="s">
        <v>93</v>
      </c>
      <c r="L1296" s="8" t="s">
        <v>742</v>
      </c>
      <c r="M1296" s="8" t="s">
        <v>2778</v>
      </c>
      <c r="N1296" s="8" t="s">
        <v>236</v>
      </c>
      <c r="O1296" s="8">
        <v>578.36</v>
      </c>
      <c r="P1296" s="8">
        <v>642.62</v>
      </c>
      <c r="Q1296" s="8" t="s">
        <v>2672</v>
      </c>
      <c r="R1296" s="8" t="s">
        <v>743</v>
      </c>
    </row>
    <row r="1297" spans="1:20" x14ac:dyDescent="0.2">
      <c r="A1297" s="8" t="s">
        <v>3883</v>
      </c>
      <c r="B1297" s="8" t="str">
        <f t="shared" si="40"/>
        <v>1586244324</v>
      </c>
      <c r="C1297" s="8" t="str">
        <f t="shared" si="41"/>
        <v>1332</v>
      </c>
      <c r="D1297" s="8" t="s">
        <v>119</v>
      </c>
      <c r="F1297" s="8" t="s">
        <v>136</v>
      </c>
      <c r="G1297" s="8" t="s">
        <v>388</v>
      </c>
      <c r="H1297" s="8" t="s">
        <v>389</v>
      </c>
      <c r="I1297" s="8" t="s">
        <v>740</v>
      </c>
      <c r="J1297" s="8" t="s">
        <v>741</v>
      </c>
      <c r="K1297" s="8" t="s">
        <v>93</v>
      </c>
      <c r="L1297" s="8" t="s">
        <v>742</v>
      </c>
      <c r="M1297" s="8" t="s">
        <v>2778</v>
      </c>
      <c r="N1297" s="8" t="s">
        <v>236</v>
      </c>
      <c r="O1297" s="8">
        <v>578.36</v>
      </c>
      <c r="P1297" s="8">
        <v>642.62</v>
      </c>
      <c r="Q1297" s="8" t="s">
        <v>2672</v>
      </c>
      <c r="R1297" s="8" t="s">
        <v>1035</v>
      </c>
    </row>
    <row r="1298" spans="1:20" x14ac:dyDescent="0.2">
      <c r="A1298" s="8" t="s">
        <v>4236</v>
      </c>
      <c r="B1298" s="8" t="str">
        <f t="shared" si="40"/>
        <v>1586244324</v>
      </c>
      <c r="C1298" s="8" t="str">
        <f t="shared" si="41"/>
        <v>1333</v>
      </c>
      <c r="D1298" s="8" t="s">
        <v>119</v>
      </c>
      <c r="F1298" s="8" t="s">
        <v>136</v>
      </c>
      <c r="G1298" s="8" t="s">
        <v>388</v>
      </c>
      <c r="H1298" s="8" t="s">
        <v>389</v>
      </c>
      <c r="I1298" s="8" t="s">
        <v>740</v>
      </c>
      <c r="J1298" s="8" t="s">
        <v>741</v>
      </c>
      <c r="K1298" s="8" t="s">
        <v>93</v>
      </c>
      <c r="L1298" s="8" t="s">
        <v>742</v>
      </c>
      <c r="M1298" s="8" t="s">
        <v>2778</v>
      </c>
      <c r="N1298" s="8" t="s">
        <v>236</v>
      </c>
      <c r="O1298" s="8">
        <v>578.36</v>
      </c>
      <c r="P1298" s="8">
        <v>642.62</v>
      </c>
      <c r="Q1298" s="8" t="s">
        <v>2672</v>
      </c>
      <c r="R1298" s="8" t="s">
        <v>2475</v>
      </c>
    </row>
    <row r="1299" spans="1:20" x14ac:dyDescent="0.2">
      <c r="A1299" s="8" t="s">
        <v>3061</v>
      </c>
      <c r="B1299" s="8" t="str">
        <f t="shared" si="40"/>
        <v>1586244324</v>
      </c>
      <c r="C1299" s="8" t="str">
        <f t="shared" si="41"/>
        <v>1334</v>
      </c>
      <c r="D1299" s="8" t="s">
        <v>119</v>
      </c>
      <c r="F1299" s="8" t="s">
        <v>136</v>
      </c>
      <c r="G1299" s="8" t="s">
        <v>388</v>
      </c>
      <c r="H1299" s="8" t="s">
        <v>389</v>
      </c>
      <c r="I1299" s="8" t="s">
        <v>740</v>
      </c>
      <c r="J1299" s="8" t="s">
        <v>741</v>
      </c>
      <c r="K1299" s="8" t="s">
        <v>93</v>
      </c>
      <c r="L1299" s="8" t="s">
        <v>742</v>
      </c>
      <c r="M1299" s="8" t="s">
        <v>2778</v>
      </c>
      <c r="N1299" s="8" t="s">
        <v>236</v>
      </c>
      <c r="O1299" s="8">
        <v>578.36</v>
      </c>
      <c r="P1299" s="8">
        <v>642.62</v>
      </c>
      <c r="Q1299" s="8" t="s">
        <v>2672</v>
      </c>
      <c r="S1299" s="8" t="s">
        <v>542</v>
      </c>
      <c r="T1299" s="8">
        <v>346.72</v>
      </c>
    </row>
    <row r="1300" spans="1:20" x14ac:dyDescent="0.2">
      <c r="A1300" s="8" t="s">
        <v>3947</v>
      </c>
      <c r="B1300" s="8" t="str">
        <f t="shared" si="40"/>
        <v>1586244324</v>
      </c>
      <c r="C1300" s="8" t="str">
        <f t="shared" si="41"/>
        <v>1335</v>
      </c>
      <c r="D1300" s="8" t="s">
        <v>119</v>
      </c>
      <c r="F1300" s="8" t="s">
        <v>136</v>
      </c>
      <c r="G1300" s="8" t="s">
        <v>388</v>
      </c>
      <c r="H1300" s="8" t="s">
        <v>389</v>
      </c>
      <c r="I1300" s="8" t="s">
        <v>740</v>
      </c>
      <c r="J1300" s="8" t="s">
        <v>741</v>
      </c>
      <c r="K1300" s="8" t="s">
        <v>93</v>
      </c>
      <c r="L1300" s="8" t="s">
        <v>742</v>
      </c>
      <c r="M1300" s="8" t="s">
        <v>2778</v>
      </c>
      <c r="N1300" s="8" t="s">
        <v>236</v>
      </c>
      <c r="O1300" s="8">
        <v>578.36</v>
      </c>
      <c r="P1300" s="8">
        <v>642.62</v>
      </c>
      <c r="Q1300" s="8" t="s">
        <v>2672</v>
      </c>
      <c r="S1300" s="8" t="s">
        <v>393</v>
      </c>
      <c r="T1300" s="8">
        <v>146.80000000000001</v>
      </c>
    </row>
    <row r="1301" spans="1:20" x14ac:dyDescent="0.2">
      <c r="A1301" s="8" t="s">
        <v>4098</v>
      </c>
      <c r="B1301" s="8" t="str">
        <f t="shared" si="40"/>
        <v>1586244326</v>
      </c>
      <c r="C1301" s="8" t="str">
        <f t="shared" si="41"/>
        <v>1336</v>
      </c>
      <c r="D1301" s="8" t="s">
        <v>119</v>
      </c>
      <c r="F1301" s="8" t="s">
        <v>136</v>
      </c>
      <c r="G1301" s="8" t="s">
        <v>388</v>
      </c>
      <c r="H1301" s="8" t="s">
        <v>389</v>
      </c>
      <c r="I1301" s="8" t="s">
        <v>390</v>
      </c>
      <c r="J1301" s="8" t="s">
        <v>686</v>
      </c>
      <c r="K1301" s="8" t="s">
        <v>687</v>
      </c>
      <c r="L1301" s="8" t="s">
        <v>688</v>
      </c>
      <c r="M1301" s="8" t="s">
        <v>2778</v>
      </c>
      <c r="N1301" s="8" t="s">
        <v>388</v>
      </c>
      <c r="O1301" s="8">
        <v>749.51</v>
      </c>
      <c r="P1301" s="8">
        <v>832.79</v>
      </c>
      <c r="Q1301" s="8" t="s">
        <v>2673</v>
      </c>
      <c r="R1301" s="8" t="s">
        <v>2326</v>
      </c>
    </row>
    <row r="1302" spans="1:20" x14ac:dyDescent="0.2">
      <c r="A1302" s="8" t="s">
        <v>2996</v>
      </c>
      <c r="B1302" s="8" t="str">
        <f t="shared" si="40"/>
        <v>1586244326</v>
      </c>
      <c r="C1302" s="8" t="str">
        <f t="shared" si="41"/>
        <v>1337</v>
      </c>
      <c r="D1302" s="8" t="s">
        <v>119</v>
      </c>
      <c r="F1302" s="8" t="s">
        <v>136</v>
      </c>
      <c r="G1302" s="8" t="s">
        <v>388</v>
      </c>
      <c r="H1302" s="8" t="s">
        <v>389</v>
      </c>
      <c r="I1302" s="8" t="s">
        <v>390</v>
      </c>
      <c r="J1302" s="8" t="s">
        <v>686</v>
      </c>
      <c r="K1302" s="8" t="s">
        <v>687</v>
      </c>
      <c r="L1302" s="8" t="s">
        <v>688</v>
      </c>
      <c r="M1302" s="8" t="s">
        <v>2778</v>
      </c>
      <c r="N1302" s="8" t="s">
        <v>388</v>
      </c>
      <c r="O1302" s="8">
        <v>749.51</v>
      </c>
      <c r="P1302" s="8">
        <v>832.79</v>
      </c>
      <c r="Q1302" s="8" t="s">
        <v>2673</v>
      </c>
      <c r="R1302" s="8" t="s">
        <v>1918</v>
      </c>
    </row>
    <row r="1303" spans="1:20" x14ac:dyDescent="0.2">
      <c r="A1303" s="8" t="s">
        <v>4567</v>
      </c>
      <c r="B1303" s="8" t="str">
        <f t="shared" si="40"/>
        <v>1586244326</v>
      </c>
      <c r="C1303" s="8" t="str">
        <f t="shared" si="41"/>
        <v>1338</v>
      </c>
      <c r="D1303" s="8" t="s">
        <v>119</v>
      </c>
      <c r="F1303" s="8" t="s">
        <v>136</v>
      </c>
      <c r="G1303" s="8" t="s">
        <v>388</v>
      </c>
      <c r="H1303" s="8" t="s">
        <v>389</v>
      </c>
      <c r="I1303" s="8" t="s">
        <v>390</v>
      </c>
      <c r="J1303" s="8" t="s">
        <v>686</v>
      </c>
      <c r="K1303" s="8" t="s">
        <v>687</v>
      </c>
      <c r="L1303" s="8" t="s">
        <v>688</v>
      </c>
      <c r="M1303" s="8" t="s">
        <v>2778</v>
      </c>
      <c r="N1303" s="8" t="s">
        <v>388</v>
      </c>
      <c r="O1303" s="8">
        <v>749.51</v>
      </c>
      <c r="P1303" s="8">
        <v>832.79</v>
      </c>
      <c r="Q1303" s="8" t="s">
        <v>2673</v>
      </c>
      <c r="R1303" s="8" t="s">
        <v>1759</v>
      </c>
    </row>
    <row r="1304" spans="1:20" x14ac:dyDescent="0.2">
      <c r="A1304" s="8" t="s">
        <v>2918</v>
      </c>
      <c r="B1304" s="8" t="str">
        <f t="shared" si="40"/>
        <v>1586244326</v>
      </c>
      <c r="C1304" s="8" t="str">
        <f t="shared" si="41"/>
        <v>1339</v>
      </c>
      <c r="D1304" s="8" t="s">
        <v>119</v>
      </c>
      <c r="F1304" s="8" t="s">
        <v>136</v>
      </c>
      <c r="G1304" s="8" t="s">
        <v>388</v>
      </c>
      <c r="H1304" s="8" t="s">
        <v>389</v>
      </c>
      <c r="I1304" s="8" t="s">
        <v>390</v>
      </c>
      <c r="J1304" s="8" t="s">
        <v>686</v>
      </c>
      <c r="K1304" s="8" t="s">
        <v>687</v>
      </c>
      <c r="L1304" s="8" t="s">
        <v>688</v>
      </c>
      <c r="M1304" s="8" t="s">
        <v>2778</v>
      </c>
      <c r="N1304" s="8" t="s">
        <v>388</v>
      </c>
      <c r="O1304" s="8">
        <v>749.51</v>
      </c>
      <c r="P1304" s="8">
        <v>832.79</v>
      </c>
      <c r="Q1304" s="8" t="s">
        <v>2673</v>
      </c>
      <c r="R1304" s="8" t="s">
        <v>1310</v>
      </c>
    </row>
    <row r="1305" spans="1:20" x14ac:dyDescent="0.2">
      <c r="A1305" s="8" t="s">
        <v>3478</v>
      </c>
      <c r="B1305" s="8" t="str">
        <f t="shared" si="40"/>
        <v>1586244326</v>
      </c>
      <c r="C1305" s="8" t="str">
        <f t="shared" si="41"/>
        <v>1340</v>
      </c>
      <c r="D1305" s="8" t="s">
        <v>119</v>
      </c>
      <c r="F1305" s="8" t="s">
        <v>136</v>
      </c>
      <c r="G1305" s="8" t="s">
        <v>388</v>
      </c>
      <c r="H1305" s="8" t="s">
        <v>389</v>
      </c>
      <c r="I1305" s="8" t="s">
        <v>390</v>
      </c>
      <c r="J1305" s="8" t="s">
        <v>686</v>
      </c>
      <c r="K1305" s="8" t="s">
        <v>687</v>
      </c>
      <c r="L1305" s="8" t="s">
        <v>688</v>
      </c>
      <c r="M1305" s="8" t="s">
        <v>2778</v>
      </c>
      <c r="N1305" s="8" t="s">
        <v>388</v>
      </c>
      <c r="O1305" s="8">
        <v>749.51</v>
      </c>
      <c r="P1305" s="8">
        <v>832.79</v>
      </c>
      <c r="Q1305" s="8" t="s">
        <v>2673</v>
      </c>
      <c r="R1305" s="8" t="s">
        <v>1519</v>
      </c>
    </row>
    <row r="1306" spans="1:20" x14ac:dyDescent="0.2">
      <c r="A1306" s="8" t="s">
        <v>4286</v>
      </c>
      <c r="B1306" s="8" t="str">
        <f t="shared" si="40"/>
        <v>1586244326</v>
      </c>
      <c r="C1306" s="8" t="str">
        <f t="shared" si="41"/>
        <v>1341</v>
      </c>
      <c r="D1306" s="8" t="s">
        <v>119</v>
      </c>
      <c r="F1306" s="8" t="s">
        <v>136</v>
      </c>
      <c r="G1306" s="8" t="s">
        <v>388</v>
      </c>
      <c r="H1306" s="8" t="s">
        <v>389</v>
      </c>
      <c r="I1306" s="8" t="s">
        <v>390</v>
      </c>
      <c r="J1306" s="8" t="s">
        <v>686</v>
      </c>
      <c r="K1306" s="8" t="s">
        <v>687</v>
      </c>
      <c r="L1306" s="8" t="s">
        <v>688</v>
      </c>
      <c r="M1306" s="8" t="s">
        <v>2778</v>
      </c>
      <c r="N1306" s="8" t="s">
        <v>388</v>
      </c>
      <c r="O1306" s="8">
        <v>749.51</v>
      </c>
      <c r="P1306" s="8">
        <v>832.79</v>
      </c>
      <c r="Q1306" s="8" t="s">
        <v>2673</v>
      </c>
      <c r="R1306" s="8" t="s">
        <v>1452</v>
      </c>
    </row>
    <row r="1307" spans="1:20" x14ac:dyDescent="0.2">
      <c r="A1307" s="8" t="s">
        <v>3214</v>
      </c>
      <c r="B1307" s="8" t="str">
        <f t="shared" si="40"/>
        <v>1586244326</v>
      </c>
      <c r="C1307" s="8" t="str">
        <f t="shared" si="41"/>
        <v>1342</v>
      </c>
      <c r="D1307" s="8" t="s">
        <v>119</v>
      </c>
      <c r="F1307" s="8" t="s">
        <v>136</v>
      </c>
      <c r="G1307" s="8" t="s">
        <v>388</v>
      </c>
      <c r="H1307" s="8" t="s">
        <v>389</v>
      </c>
      <c r="I1307" s="8" t="s">
        <v>390</v>
      </c>
      <c r="J1307" s="8" t="s">
        <v>686</v>
      </c>
      <c r="K1307" s="8" t="s">
        <v>687</v>
      </c>
      <c r="L1307" s="8" t="s">
        <v>688</v>
      </c>
      <c r="M1307" s="8" t="s">
        <v>2778</v>
      </c>
      <c r="N1307" s="8" t="s">
        <v>388</v>
      </c>
      <c r="O1307" s="8">
        <v>749.51</v>
      </c>
      <c r="P1307" s="8">
        <v>832.79</v>
      </c>
      <c r="Q1307" s="8" t="s">
        <v>2673</v>
      </c>
      <c r="R1307" s="8" t="s">
        <v>689</v>
      </c>
    </row>
    <row r="1308" spans="1:20" x14ac:dyDescent="0.2">
      <c r="A1308" s="8" t="s">
        <v>4386</v>
      </c>
      <c r="B1308" s="8" t="str">
        <f t="shared" si="40"/>
        <v>1586244326</v>
      </c>
      <c r="C1308" s="8" t="str">
        <f t="shared" si="41"/>
        <v>1343</v>
      </c>
      <c r="D1308" s="8" t="s">
        <v>119</v>
      </c>
      <c r="F1308" s="8" t="s">
        <v>136</v>
      </c>
      <c r="G1308" s="8" t="s">
        <v>388</v>
      </c>
      <c r="H1308" s="8" t="s">
        <v>389</v>
      </c>
      <c r="I1308" s="8" t="s">
        <v>390</v>
      </c>
      <c r="J1308" s="8" t="s">
        <v>686</v>
      </c>
      <c r="K1308" s="8" t="s">
        <v>687</v>
      </c>
      <c r="L1308" s="8" t="s">
        <v>688</v>
      </c>
      <c r="M1308" s="8" t="s">
        <v>2778</v>
      </c>
      <c r="N1308" s="8" t="s">
        <v>388</v>
      </c>
      <c r="O1308" s="8">
        <v>749.51</v>
      </c>
      <c r="P1308" s="8">
        <v>832.79</v>
      </c>
      <c r="Q1308" s="8" t="s">
        <v>2673</v>
      </c>
      <c r="R1308" s="8" t="s">
        <v>1499</v>
      </c>
    </row>
    <row r="1309" spans="1:20" x14ac:dyDescent="0.2">
      <c r="A1309" s="8" t="s">
        <v>2829</v>
      </c>
      <c r="B1309" s="8" t="str">
        <f t="shared" si="40"/>
        <v>1586244326</v>
      </c>
      <c r="C1309" s="8" t="str">
        <f t="shared" si="41"/>
        <v>1344</v>
      </c>
      <c r="D1309" s="8" t="s">
        <v>119</v>
      </c>
      <c r="F1309" s="8" t="s">
        <v>136</v>
      </c>
      <c r="G1309" s="8" t="s">
        <v>388</v>
      </c>
      <c r="H1309" s="8" t="s">
        <v>389</v>
      </c>
      <c r="I1309" s="8" t="s">
        <v>390</v>
      </c>
      <c r="J1309" s="8" t="s">
        <v>686</v>
      </c>
      <c r="K1309" s="8" t="s">
        <v>687</v>
      </c>
      <c r="L1309" s="8" t="s">
        <v>688</v>
      </c>
      <c r="M1309" s="8" t="s">
        <v>2778</v>
      </c>
      <c r="N1309" s="8" t="s">
        <v>388</v>
      </c>
      <c r="O1309" s="8">
        <v>749.51</v>
      </c>
      <c r="P1309" s="8">
        <v>832.79</v>
      </c>
      <c r="Q1309" s="8" t="s">
        <v>2673</v>
      </c>
      <c r="S1309" s="8" t="s">
        <v>904</v>
      </c>
      <c r="T1309" s="8">
        <v>161.56</v>
      </c>
    </row>
    <row r="1310" spans="1:20" x14ac:dyDescent="0.2">
      <c r="A1310" s="8" t="s">
        <v>2881</v>
      </c>
      <c r="B1310" s="8" t="str">
        <f t="shared" si="40"/>
        <v>1586244326</v>
      </c>
      <c r="C1310" s="8" t="str">
        <f t="shared" si="41"/>
        <v>1345</v>
      </c>
      <c r="D1310" s="8" t="s">
        <v>119</v>
      </c>
      <c r="F1310" s="8" t="s">
        <v>136</v>
      </c>
      <c r="G1310" s="8" t="s">
        <v>388</v>
      </c>
      <c r="H1310" s="8" t="s">
        <v>389</v>
      </c>
      <c r="I1310" s="8" t="s">
        <v>390</v>
      </c>
      <c r="J1310" s="8" t="s">
        <v>686</v>
      </c>
      <c r="K1310" s="8" t="s">
        <v>687</v>
      </c>
      <c r="L1310" s="8" t="s">
        <v>688</v>
      </c>
      <c r="M1310" s="8" t="s">
        <v>2778</v>
      </c>
      <c r="N1310" s="8" t="s">
        <v>388</v>
      </c>
      <c r="O1310" s="8">
        <v>749.51</v>
      </c>
      <c r="P1310" s="8">
        <v>832.79</v>
      </c>
      <c r="Q1310" s="8" t="s">
        <v>2673</v>
      </c>
      <c r="S1310" s="8" t="s">
        <v>664</v>
      </c>
      <c r="T1310" s="8">
        <v>53.85</v>
      </c>
    </row>
    <row r="1311" spans="1:20" x14ac:dyDescent="0.2">
      <c r="A1311" s="8" t="s">
        <v>3547</v>
      </c>
      <c r="B1311" s="8" t="str">
        <f t="shared" si="40"/>
        <v>1586244326</v>
      </c>
      <c r="C1311" s="8" t="str">
        <f t="shared" si="41"/>
        <v>1346</v>
      </c>
      <c r="D1311" s="8" t="s">
        <v>119</v>
      </c>
      <c r="F1311" s="8" t="s">
        <v>136</v>
      </c>
      <c r="G1311" s="8" t="s">
        <v>388</v>
      </c>
      <c r="H1311" s="8" t="s">
        <v>389</v>
      </c>
      <c r="I1311" s="8" t="s">
        <v>390</v>
      </c>
      <c r="J1311" s="8" t="s">
        <v>686</v>
      </c>
      <c r="K1311" s="8" t="s">
        <v>687</v>
      </c>
      <c r="L1311" s="8" t="s">
        <v>688</v>
      </c>
      <c r="M1311" s="8" t="s">
        <v>2778</v>
      </c>
      <c r="N1311" s="8" t="s">
        <v>388</v>
      </c>
      <c r="O1311" s="8">
        <v>749.51</v>
      </c>
      <c r="P1311" s="8">
        <v>832.79</v>
      </c>
      <c r="Q1311" s="8" t="s">
        <v>2673</v>
      </c>
      <c r="S1311" s="8" t="s">
        <v>184</v>
      </c>
      <c r="T1311" s="8">
        <v>169.67</v>
      </c>
    </row>
    <row r="1312" spans="1:20" x14ac:dyDescent="0.2">
      <c r="A1312" s="8" t="s">
        <v>4055</v>
      </c>
      <c r="B1312" s="8" t="str">
        <f t="shared" si="40"/>
        <v>1586244326</v>
      </c>
      <c r="C1312" s="8" t="str">
        <f t="shared" si="41"/>
        <v>1347</v>
      </c>
      <c r="D1312" s="8" t="s">
        <v>119</v>
      </c>
      <c r="F1312" s="8" t="s">
        <v>136</v>
      </c>
      <c r="G1312" s="8" t="s">
        <v>388</v>
      </c>
      <c r="H1312" s="8" t="s">
        <v>389</v>
      </c>
      <c r="I1312" s="8" t="s">
        <v>390</v>
      </c>
      <c r="J1312" s="8" t="s">
        <v>686</v>
      </c>
      <c r="K1312" s="8" t="s">
        <v>687</v>
      </c>
      <c r="L1312" s="8" t="s">
        <v>688</v>
      </c>
      <c r="M1312" s="8" t="s">
        <v>2778</v>
      </c>
      <c r="N1312" s="8" t="s">
        <v>388</v>
      </c>
      <c r="O1312" s="8">
        <v>749.51</v>
      </c>
      <c r="P1312" s="8">
        <v>832.79</v>
      </c>
      <c r="Q1312" s="8" t="s">
        <v>2673</v>
      </c>
      <c r="S1312" s="8" t="s">
        <v>812</v>
      </c>
      <c r="T1312" s="8">
        <v>45.74</v>
      </c>
    </row>
    <row r="1313" spans="1:20" x14ac:dyDescent="0.2">
      <c r="A1313" s="8" t="s">
        <v>3346</v>
      </c>
      <c r="B1313" s="8" t="str">
        <f t="shared" si="40"/>
        <v>1586244328</v>
      </c>
      <c r="C1313" s="8" t="str">
        <f t="shared" si="41"/>
        <v>1348</v>
      </c>
      <c r="D1313" s="8" t="s">
        <v>119</v>
      </c>
      <c r="F1313" s="8" t="s">
        <v>136</v>
      </c>
      <c r="G1313" s="8" t="s">
        <v>388</v>
      </c>
      <c r="H1313" s="8" t="s">
        <v>389</v>
      </c>
      <c r="I1313" s="8" t="s">
        <v>441</v>
      </c>
      <c r="J1313" s="8" t="s">
        <v>962</v>
      </c>
      <c r="K1313" s="8" t="s">
        <v>125</v>
      </c>
      <c r="L1313" s="8" t="s">
        <v>963</v>
      </c>
      <c r="M1313" s="8" t="s">
        <v>2778</v>
      </c>
      <c r="N1313" s="8" t="s">
        <v>388</v>
      </c>
      <c r="O1313" s="8">
        <v>531.89</v>
      </c>
      <c r="P1313" s="8">
        <v>590.98</v>
      </c>
      <c r="Q1313" s="8" t="s">
        <v>2674</v>
      </c>
      <c r="R1313" s="8" t="s">
        <v>2045</v>
      </c>
    </row>
    <row r="1314" spans="1:20" x14ac:dyDescent="0.2">
      <c r="A1314" s="8" t="s">
        <v>2988</v>
      </c>
      <c r="B1314" s="8" t="str">
        <f t="shared" si="40"/>
        <v>1586244328</v>
      </c>
      <c r="C1314" s="8" t="str">
        <f t="shared" si="41"/>
        <v>1349</v>
      </c>
      <c r="D1314" s="8" t="s">
        <v>119</v>
      </c>
      <c r="F1314" s="8" t="s">
        <v>136</v>
      </c>
      <c r="G1314" s="8" t="s">
        <v>388</v>
      </c>
      <c r="H1314" s="8" t="s">
        <v>389</v>
      </c>
      <c r="I1314" s="8" t="s">
        <v>441</v>
      </c>
      <c r="J1314" s="8" t="s">
        <v>962</v>
      </c>
      <c r="K1314" s="8" t="s">
        <v>125</v>
      </c>
      <c r="L1314" s="8" t="s">
        <v>963</v>
      </c>
      <c r="M1314" s="8" t="s">
        <v>2778</v>
      </c>
      <c r="N1314" s="8" t="s">
        <v>388</v>
      </c>
      <c r="O1314" s="8">
        <v>531.89</v>
      </c>
      <c r="P1314" s="8">
        <v>590.98</v>
      </c>
      <c r="Q1314" s="8" t="s">
        <v>2674</v>
      </c>
      <c r="R1314" s="8" t="s">
        <v>1814</v>
      </c>
    </row>
    <row r="1315" spans="1:20" x14ac:dyDescent="0.2">
      <c r="A1315" s="8" t="s">
        <v>3227</v>
      </c>
      <c r="B1315" s="8" t="str">
        <f t="shared" si="40"/>
        <v>1586244328</v>
      </c>
      <c r="C1315" s="8" t="str">
        <f t="shared" si="41"/>
        <v>1350</v>
      </c>
      <c r="D1315" s="8" t="s">
        <v>119</v>
      </c>
      <c r="F1315" s="8" t="s">
        <v>136</v>
      </c>
      <c r="G1315" s="8" t="s">
        <v>388</v>
      </c>
      <c r="H1315" s="8" t="s">
        <v>389</v>
      </c>
      <c r="I1315" s="8" t="s">
        <v>441</v>
      </c>
      <c r="J1315" s="8" t="s">
        <v>962</v>
      </c>
      <c r="K1315" s="8" t="s">
        <v>125</v>
      </c>
      <c r="L1315" s="8" t="s">
        <v>963</v>
      </c>
      <c r="M1315" s="8" t="s">
        <v>2778</v>
      </c>
      <c r="N1315" s="8" t="s">
        <v>388</v>
      </c>
      <c r="O1315" s="8">
        <v>531.89</v>
      </c>
      <c r="P1315" s="8">
        <v>590.98</v>
      </c>
      <c r="Q1315" s="8" t="s">
        <v>2674</v>
      </c>
      <c r="R1315" s="8" t="s">
        <v>2235</v>
      </c>
    </row>
    <row r="1316" spans="1:20" x14ac:dyDescent="0.2">
      <c r="A1316" s="8" t="s">
        <v>2837</v>
      </c>
      <c r="B1316" s="8" t="str">
        <f t="shared" si="40"/>
        <v>1586244328</v>
      </c>
      <c r="C1316" s="8" t="str">
        <f t="shared" si="41"/>
        <v>1351</v>
      </c>
      <c r="D1316" s="8" t="s">
        <v>119</v>
      </c>
      <c r="F1316" s="8" t="s">
        <v>136</v>
      </c>
      <c r="G1316" s="8" t="s">
        <v>388</v>
      </c>
      <c r="H1316" s="8" t="s">
        <v>389</v>
      </c>
      <c r="I1316" s="8" t="s">
        <v>441</v>
      </c>
      <c r="J1316" s="8" t="s">
        <v>962</v>
      </c>
      <c r="K1316" s="8" t="s">
        <v>125</v>
      </c>
      <c r="L1316" s="8" t="s">
        <v>963</v>
      </c>
      <c r="M1316" s="8" t="s">
        <v>2778</v>
      </c>
      <c r="N1316" s="8" t="s">
        <v>388</v>
      </c>
      <c r="O1316" s="8">
        <v>531.89</v>
      </c>
      <c r="P1316" s="8">
        <v>590.98</v>
      </c>
      <c r="Q1316" s="8" t="s">
        <v>2674</v>
      </c>
      <c r="R1316" s="8" t="s">
        <v>2083</v>
      </c>
    </row>
    <row r="1317" spans="1:20" x14ac:dyDescent="0.2">
      <c r="A1317" s="8" t="s">
        <v>4370</v>
      </c>
      <c r="B1317" s="8" t="str">
        <f t="shared" si="40"/>
        <v>1586244328</v>
      </c>
      <c r="C1317" s="8" t="str">
        <f t="shared" si="41"/>
        <v>1352</v>
      </c>
      <c r="D1317" s="8" t="s">
        <v>119</v>
      </c>
      <c r="F1317" s="8" t="s">
        <v>136</v>
      </c>
      <c r="G1317" s="8" t="s">
        <v>388</v>
      </c>
      <c r="H1317" s="8" t="s">
        <v>389</v>
      </c>
      <c r="I1317" s="8" t="s">
        <v>441</v>
      </c>
      <c r="J1317" s="8" t="s">
        <v>962</v>
      </c>
      <c r="K1317" s="8" t="s">
        <v>125</v>
      </c>
      <c r="L1317" s="8" t="s">
        <v>963</v>
      </c>
      <c r="M1317" s="8" t="s">
        <v>2778</v>
      </c>
      <c r="N1317" s="8" t="s">
        <v>388</v>
      </c>
      <c r="O1317" s="8">
        <v>531.89</v>
      </c>
      <c r="P1317" s="8">
        <v>590.98</v>
      </c>
      <c r="Q1317" s="8" t="s">
        <v>2674</v>
      </c>
      <c r="R1317" s="8" t="s">
        <v>1898</v>
      </c>
    </row>
    <row r="1318" spans="1:20" x14ac:dyDescent="0.2">
      <c r="A1318" s="8" t="s">
        <v>3882</v>
      </c>
      <c r="B1318" s="8" t="str">
        <f t="shared" si="40"/>
        <v>1586244328</v>
      </c>
      <c r="C1318" s="8" t="str">
        <f t="shared" si="41"/>
        <v>1353</v>
      </c>
      <c r="D1318" s="8" t="s">
        <v>119</v>
      </c>
      <c r="F1318" s="8" t="s">
        <v>136</v>
      </c>
      <c r="G1318" s="8" t="s">
        <v>388</v>
      </c>
      <c r="H1318" s="8" t="s">
        <v>389</v>
      </c>
      <c r="I1318" s="8" t="s">
        <v>441</v>
      </c>
      <c r="J1318" s="8" t="s">
        <v>962</v>
      </c>
      <c r="K1318" s="8" t="s">
        <v>125</v>
      </c>
      <c r="L1318" s="8" t="s">
        <v>963</v>
      </c>
      <c r="M1318" s="8" t="s">
        <v>2778</v>
      </c>
      <c r="N1318" s="8" t="s">
        <v>388</v>
      </c>
      <c r="O1318" s="8">
        <v>531.89</v>
      </c>
      <c r="P1318" s="8">
        <v>590.98</v>
      </c>
      <c r="Q1318" s="8" t="s">
        <v>2674</v>
      </c>
      <c r="R1318" s="8" t="s">
        <v>1904</v>
      </c>
    </row>
    <row r="1319" spans="1:20" x14ac:dyDescent="0.2">
      <c r="A1319" s="8" t="s">
        <v>3077</v>
      </c>
      <c r="B1319" s="8" t="str">
        <f t="shared" si="40"/>
        <v>1586244328</v>
      </c>
      <c r="C1319" s="8" t="str">
        <f t="shared" si="41"/>
        <v>1354</v>
      </c>
      <c r="D1319" s="8" t="s">
        <v>119</v>
      </c>
      <c r="F1319" s="8" t="s">
        <v>136</v>
      </c>
      <c r="G1319" s="8" t="s">
        <v>388</v>
      </c>
      <c r="H1319" s="8" t="s">
        <v>389</v>
      </c>
      <c r="I1319" s="8" t="s">
        <v>441</v>
      </c>
      <c r="J1319" s="8" t="s">
        <v>962</v>
      </c>
      <c r="K1319" s="8" t="s">
        <v>125</v>
      </c>
      <c r="L1319" s="8" t="s">
        <v>963</v>
      </c>
      <c r="M1319" s="8" t="s">
        <v>2778</v>
      </c>
      <c r="N1319" s="8" t="s">
        <v>388</v>
      </c>
      <c r="O1319" s="8">
        <v>531.89</v>
      </c>
      <c r="P1319" s="8">
        <v>590.98</v>
      </c>
      <c r="Q1319" s="8" t="s">
        <v>2674</v>
      </c>
      <c r="S1319" s="8" t="s">
        <v>142</v>
      </c>
      <c r="T1319" s="8">
        <v>53.85</v>
      </c>
    </row>
    <row r="1320" spans="1:20" x14ac:dyDescent="0.2">
      <c r="A1320" s="8" t="s">
        <v>2804</v>
      </c>
      <c r="B1320" s="8" t="str">
        <f t="shared" si="40"/>
        <v>1586244328</v>
      </c>
      <c r="C1320" s="8" t="str">
        <f t="shared" si="41"/>
        <v>1355</v>
      </c>
      <c r="D1320" s="8" t="s">
        <v>119</v>
      </c>
      <c r="F1320" s="8" t="s">
        <v>136</v>
      </c>
      <c r="G1320" s="8" t="s">
        <v>388</v>
      </c>
      <c r="H1320" s="8" t="s">
        <v>389</v>
      </c>
      <c r="I1320" s="8" t="s">
        <v>441</v>
      </c>
      <c r="J1320" s="8" t="s">
        <v>962</v>
      </c>
      <c r="K1320" s="8" t="s">
        <v>125</v>
      </c>
      <c r="L1320" s="8" t="s">
        <v>963</v>
      </c>
      <c r="M1320" s="8" t="s">
        <v>2778</v>
      </c>
      <c r="N1320" s="8" t="s">
        <v>388</v>
      </c>
      <c r="O1320" s="8">
        <v>531.89</v>
      </c>
      <c r="P1320" s="8">
        <v>590.98</v>
      </c>
      <c r="Q1320" s="8" t="s">
        <v>2674</v>
      </c>
      <c r="S1320" s="8" t="s">
        <v>331</v>
      </c>
      <c r="T1320" s="8">
        <v>84.84</v>
      </c>
    </row>
    <row r="1321" spans="1:20" x14ac:dyDescent="0.2">
      <c r="A1321" s="8" t="s">
        <v>2845</v>
      </c>
      <c r="B1321" s="8" t="str">
        <f t="shared" si="40"/>
        <v>1586244328</v>
      </c>
      <c r="C1321" s="8" t="str">
        <f t="shared" si="41"/>
        <v>1356</v>
      </c>
      <c r="D1321" s="8" t="s">
        <v>119</v>
      </c>
      <c r="F1321" s="8" t="s">
        <v>136</v>
      </c>
      <c r="G1321" s="8" t="s">
        <v>388</v>
      </c>
      <c r="H1321" s="8" t="s">
        <v>389</v>
      </c>
      <c r="I1321" s="8" t="s">
        <v>441</v>
      </c>
      <c r="J1321" s="8" t="s">
        <v>962</v>
      </c>
      <c r="K1321" s="8" t="s">
        <v>125</v>
      </c>
      <c r="L1321" s="8" t="s">
        <v>963</v>
      </c>
      <c r="M1321" s="8" t="s">
        <v>2778</v>
      </c>
      <c r="N1321" s="8" t="s">
        <v>388</v>
      </c>
      <c r="O1321" s="8">
        <v>531.89</v>
      </c>
      <c r="P1321" s="8">
        <v>590.98</v>
      </c>
      <c r="Q1321" s="8" t="s">
        <v>2674</v>
      </c>
      <c r="S1321" s="8" t="s">
        <v>184</v>
      </c>
      <c r="T1321" s="8">
        <v>77.459999999999994</v>
      </c>
    </row>
    <row r="1322" spans="1:20" x14ac:dyDescent="0.2">
      <c r="A1322" s="8" t="s">
        <v>3428</v>
      </c>
      <c r="B1322" s="8" t="str">
        <f t="shared" si="40"/>
        <v>1586244331</v>
      </c>
      <c r="C1322" s="8" t="str">
        <f t="shared" si="41"/>
        <v>1357</v>
      </c>
      <c r="D1322" s="8" t="s">
        <v>119</v>
      </c>
      <c r="F1322" s="8" t="s">
        <v>136</v>
      </c>
      <c r="G1322" s="8" t="s">
        <v>388</v>
      </c>
      <c r="H1322" s="8" t="s">
        <v>389</v>
      </c>
      <c r="I1322" s="8" t="s">
        <v>559</v>
      </c>
      <c r="J1322" s="8" t="s">
        <v>737</v>
      </c>
      <c r="K1322" s="8" t="s">
        <v>125</v>
      </c>
      <c r="L1322" s="8" t="s">
        <v>738</v>
      </c>
      <c r="M1322" s="8" t="s">
        <v>2778</v>
      </c>
      <c r="N1322" s="8" t="s">
        <v>388</v>
      </c>
      <c r="O1322" s="8">
        <v>517.13</v>
      </c>
      <c r="P1322" s="8">
        <v>574.59</v>
      </c>
      <c r="Q1322" s="8" t="s">
        <v>2675</v>
      </c>
      <c r="R1322" s="8" t="s">
        <v>1368</v>
      </c>
    </row>
    <row r="1323" spans="1:20" x14ac:dyDescent="0.2">
      <c r="A1323" s="8" t="s">
        <v>3917</v>
      </c>
      <c r="B1323" s="8" t="str">
        <f t="shared" si="40"/>
        <v>1586244331</v>
      </c>
      <c r="C1323" s="8" t="str">
        <f t="shared" si="41"/>
        <v>1358</v>
      </c>
      <c r="D1323" s="8" t="s">
        <v>119</v>
      </c>
      <c r="F1323" s="8" t="s">
        <v>136</v>
      </c>
      <c r="G1323" s="8" t="s">
        <v>388</v>
      </c>
      <c r="H1323" s="8" t="s">
        <v>389</v>
      </c>
      <c r="I1323" s="8" t="s">
        <v>559</v>
      </c>
      <c r="J1323" s="8" t="s">
        <v>737</v>
      </c>
      <c r="K1323" s="8" t="s">
        <v>125</v>
      </c>
      <c r="L1323" s="8" t="s">
        <v>738</v>
      </c>
      <c r="M1323" s="8" t="s">
        <v>2778</v>
      </c>
      <c r="N1323" s="8" t="s">
        <v>388</v>
      </c>
      <c r="O1323" s="8">
        <v>517.13</v>
      </c>
      <c r="P1323" s="8">
        <v>574.59</v>
      </c>
      <c r="Q1323" s="8" t="s">
        <v>2675</v>
      </c>
      <c r="R1323" s="8" t="s">
        <v>1763</v>
      </c>
    </row>
    <row r="1324" spans="1:20" x14ac:dyDescent="0.2">
      <c r="A1324" s="8" t="s">
        <v>3101</v>
      </c>
      <c r="B1324" s="8" t="str">
        <f t="shared" si="40"/>
        <v>1586244331</v>
      </c>
      <c r="C1324" s="8" t="str">
        <f t="shared" si="41"/>
        <v>1359</v>
      </c>
      <c r="D1324" s="8" t="s">
        <v>119</v>
      </c>
      <c r="F1324" s="8" t="s">
        <v>136</v>
      </c>
      <c r="G1324" s="8" t="s">
        <v>388</v>
      </c>
      <c r="H1324" s="8" t="s">
        <v>389</v>
      </c>
      <c r="I1324" s="8" t="s">
        <v>559</v>
      </c>
      <c r="J1324" s="8" t="s">
        <v>737</v>
      </c>
      <c r="K1324" s="8" t="s">
        <v>125</v>
      </c>
      <c r="L1324" s="8" t="s">
        <v>738</v>
      </c>
      <c r="M1324" s="8" t="s">
        <v>2778</v>
      </c>
      <c r="N1324" s="8" t="s">
        <v>388</v>
      </c>
      <c r="O1324" s="8">
        <v>517.13</v>
      </c>
      <c r="P1324" s="8">
        <v>574.59</v>
      </c>
      <c r="Q1324" s="8" t="s">
        <v>2675</v>
      </c>
      <c r="R1324" s="8" t="s">
        <v>1720</v>
      </c>
    </row>
    <row r="1325" spans="1:20" x14ac:dyDescent="0.2">
      <c r="A1325" s="8" t="s">
        <v>4680</v>
      </c>
      <c r="B1325" s="8" t="str">
        <f t="shared" si="40"/>
        <v>1586244331</v>
      </c>
      <c r="C1325" s="8" t="str">
        <f t="shared" si="41"/>
        <v>1360</v>
      </c>
      <c r="D1325" s="8" t="s">
        <v>119</v>
      </c>
      <c r="F1325" s="8" t="s">
        <v>136</v>
      </c>
      <c r="G1325" s="8" t="s">
        <v>388</v>
      </c>
      <c r="H1325" s="8" t="s">
        <v>389</v>
      </c>
      <c r="I1325" s="8" t="s">
        <v>559</v>
      </c>
      <c r="J1325" s="8" t="s">
        <v>737</v>
      </c>
      <c r="K1325" s="8" t="s">
        <v>125</v>
      </c>
      <c r="L1325" s="8" t="s">
        <v>738</v>
      </c>
      <c r="M1325" s="8" t="s">
        <v>2778</v>
      </c>
      <c r="N1325" s="8" t="s">
        <v>388</v>
      </c>
      <c r="O1325" s="8">
        <v>517.13</v>
      </c>
      <c r="P1325" s="8">
        <v>574.59</v>
      </c>
      <c r="Q1325" s="8" t="s">
        <v>2675</v>
      </c>
      <c r="R1325" s="8" t="s">
        <v>1727</v>
      </c>
    </row>
    <row r="1326" spans="1:20" x14ac:dyDescent="0.2">
      <c r="A1326" s="8" t="s">
        <v>4808</v>
      </c>
      <c r="B1326" s="8" t="str">
        <f t="shared" si="40"/>
        <v>1586244331</v>
      </c>
      <c r="C1326" s="8" t="str">
        <f t="shared" si="41"/>
        <v>1361</v>
      </c>
      <c r="D1326" s="8" t="s">
        <v>119</v>
      </c>
      <c r="F1326" s="8" t="s">
        <v>136</v>
      </c>
      <c r="G1326" s="8" t="s">
        <v>388</v>
      </c>
      <c r="H1326" s="8" t="s">
        <v>389</v>
      </c>
      <c r="I1326" s="8" t="s">
        <v>559</v>
      </c>
      <c r="J1326" s="8" t="s">
        <v>737</v>
      </c>
      <c r="K1326" s="8" t="s">
        <v>125</v>
      </c>
      <c r="L1326" s="8" t="s">
        <v>738</v>
      </c>
      <c r="M1326" s="8" t="s">
        <v>2778</v>
      </c>
      <c r="N1326" s="8" t="s">
        <v>388</v>
      </c>
      <c r="O1326" s="8">
        <v>517.13</v>
      </c>
      <c r="P1326" s="8">
        <v>574.59</v>
      </c>
      <c r="Q1326" s="8" t="s">
        <v>2675</v>
      </c>
      <c r="R1326" s="8" t="s">
        <v>1633</v>
      </c>
    </row>
    <row r="1327" spans="1:20" x14ac:dyDescent="0.2">
      <c r="A1327" s="8" t="s">
        <v>3455</v>
      </c>
      <c r="B1327" s="8" t="str">
        <f t="shared" si="40"/>
        <v>1586244331</v>
      </c>
      <c r="C1327" s="8" t="str">
        <f t="shared" si="41"/>
        <v>1362</v>
      </c>
      <c r="D1327" s="8" t="s">
        <v>119</v>
      </c>
      <c r="F1327" s="8" t="s">
        <v>136</v>
      </c>
      <c r="G1327" s="8" t="s">
        <v>388</v>
      </c>
      <c r="H1327" s="8" t="s">
        <v>389</v>
      </c>
      <c r="I1327" s="8" t="s">
        <v>559</v>
      </c>
      <c r="J1327" s="8" t="s">
        <v>737</v>
      </c>
      <c r="K1327" s="8" t="s">
        <v>125</v>
      </c>
      <c r="L1327" s="8" t="s">
        <v>738</v>
      </c>
      <c r="M1327" s="8" t="s">
        <v>2778</v>
      </c>
      <c r="N1327" s="8" t="s">
        <v>388</v>
      </c>
      <c r="O1327" s="8">
        <v>517.13</v>
      </c>
      <c r="P1327" s="8">
        <v>574.59</v>
      </c>
      <c r="Q1327" s="8" t="s">
        <v>2675</v>
      </c>
      <c r="R1327" s="8" t="s">
        <v>1277</v>
      </c>
    </row>
    <row r="1328" spans="1:20" x14ac:dyDescent="0.2">
      <c r="A1328" s="8" t="s">
        <v>3154</v>
      </c>
      <c r="B1328" s="8" t="str">
        <f t="shared" si="40"/>
        <v>1586244331</v>
      </c>
      <c r="C1328" s="8" t="str">
        <f t="shared" si="41"/>
        <v>1363</v>
      </c>
      <c r="D1328" s="8" t="s">
        <v>119</v>
      </c>
      <c r="F1328" s="8" t="s">
        <v>136</v>
      </c>
      <c r="G1328" s="8" t="s">
        <v>388</v>
      </c>
      <c r="H1328" s="8" t="s">
        <v>389</v>
      </c>
      <c r="I1328" s="8" t="s">
        <v>559</v>
      </c>
      <c r="J1328" s="8" t="s">
        <v>737</v>
      </c>
      <c r="K1328" s="8" t="s">
        <v>125</v>
      </c>
      <c r="L1328" s="8" t="s">
        <v>738</v>
      </c>
      <c r="M1328" s="8" t="s">
        <v>2778</v>
      </c>
      <c r="N1328" s="8" t="s">
        <v>388</v>
      </c>
      <c r="O1328" s="8">
        <v>517.13</v>
      </c>
      <c r="P1328" s="8">
        <v>574.59</v>
      </c>
      <c r="Q1328" s="8" t="s">
        <v>2675</v>
      </c>
      <c r="R1328" s="8" t="s">
        <v>2443</v>
      </c>
    </row>
    <row r="1329" spans="1:20" x14ac:dyDescent="0.2">
      <c r="A1329" s="8" t="s">
        <v>3022</v>
      </c>
      <c r="B1329" s="8" t="str">
        <f t="shared" si="40"/>
        <v>1586244331</v>
      </c>
      <c r="C1329" s="8" t="str">
        <f t="shared" si="41"/>
        <v>1364</v>
      </c>
      <c r="D1329" s="8" t="s">
        <v>119</v>
      </c>
      <c r="F1329" s="8" t="s">
        <v>136</v>
      </c>
      <c r="G1329" s="8" t="s">
        <v>388</v>
      </c>
      <c r="H1329" s="8" t="s">
        <v>389</v>
      </c>
      <c r="I1329" s="8" t="s">
        <v>559</v>
      </c>
      <c r="J1329" s="8" t="s">
        <v>737</v>
      </c>
      <c r="K1329" s="8" t="s">
        <v>125</v>
      </c>
      <c r="L1329" s="8" t="s">
        <v>738</v>
      </c>
      <c r="M1329" s="8" t="s">
        <v>2778</v>
      </c>
      <c r="N1329" s="8" t="s">
        <v>388</v>
      </c>
      <c r="O1329" s="8">
        <v>517.13</v>
      </c>
      <c r="P1329" s="8">
        <v>574.59</v>
      </c>
      <c r="Q1329" s="8" t="s">
        <v>2675</v>
      </c>
      <c r="R1329" s="8" t="s">
        <v>2193</v>
      </c>
    </row>
    <row r="1330" spans="1:20" x14ac:dyDescent="0.2">
      <c r="A1330" s="8" t="s">
        <v>3498</v>
      </c>
      <c r="B1330" s="8" t="str">
        <f t="shared" si="40"/>
        <v>1586244331</v>
      </c>
      <c r="C1330" s="8" t="str">
        <f t="shared" si="41"/>
        <v>1365</v>
      </c>
      <c r="D1330" s="8" t="s">
        <v>119</v>
      </c>
      <c r="F1330" s="8" t="s">
        <v>136</v>
      </c>
      <c r="G1330" s="8" t="s">
        <v>388</v>
      </c>
      <c r="H1330" s="8" t="s">
        <v>389</v>
      </c>
      <c r="I1330" s="8" t="s">
        <v>559</v>
      </c>
      <c r="J1330" s="8" t="s">
        <v>737</v>
      </c>
      <c r="K1330" s="8" t="s">
        <v>125</v>
      </c>
      <c r="L1330" s="8" t="s">
        <v>738</v>
      </c>
      <c r="M1330" s="8" t="s">
        <v>2778</v>
      </c>
      <c r="N1330" s="8" t="s">
        <v>388</v>
      </c>
      <c r="O1330" s="8">
        <v>517.13</v>
      </c>
      <c r="P1330" s="8">
        <v>574.59</v>
      </c>
      <c r="Q1330" s="8" t="s">
        <v>2675</v>
      </c>
      <c r="R1330" s="8" t="s">
        <v>2048</v>
      </c>
    </row>
    <row r="1331" spans="1:20" x14ac:dyDescent="0.2">
      <c r="A1331" s="8" t="s">
        <v>4357</v>
      </c>
      <c r="B1331" s="8" t="str">
        <f t="shared" si="40"/>
        <v>1586244331</v>
      </c>
      <c r="C1331" s="8" t="str">
        <f t="shared" si="41"/>
        <v>1366</v>
      </c>
      <c r="D1331" s="8" t="s">
        <v>119</v>
      </c>
      <c r="F1331" s="8" t="s">
        <v>136</v>
      </c>
      <c r="G1331" s="8" t="s">
        <v>388</v>
      </c>
      <c r="H1331" s="8" t="s">
        <v>389</v>
      </c>
      <c r="I1331" s="8" t="s">
        <v>559</v>
      </c>
      <c r="J1331" s="8" t="s">
        <v>737</v>
      </c>
      <c r="K1331" s="8" t="s">
        <v>125</v>
      </c>
      <c r="L1331" s="8" t="s">
        <v>738</v>
      </c>
      <c r="M1331" s="8" t="s">
        <v>2778</v>
      </c>
      <c r="N1331" s="8" t="s">
        <v>388</v>
      </c>
      <c r="O1331" s="8">
        <v>517.13</v>
      </c>
      <c r="P1331" s="8">
        <v>574.59</v>
      </c>
      <c r="Q1331" s="8" t="s">
        <v>2675</v>
      </c>
      <c r="R1331" s="8" t="s">
        <v>2297</v>
      </c>
    </row>
    <row r="1332" spans="1:20" x14ac:dyDescent="0.2">
      <c r="A1332" s="8" t="s">
        <v>4726</v>
      </c>
      <c r="B1332" s="8" t="str">
        <f t="shared" si="40"/>
        <v>1586244331</v>
      </c>
      <c r="C1332" s="8" t="str">
        <f t="shared" si="41"/>
        <v>1367</v>
      </c>
      <c r="D1332" s="8" t="s">
        <v>119</v>
      </c>
      <c r="F1332" s="8" t="s">
        <v>136</v>
      </c>
      <c r="G1332" s="8" t="s">
        <v>388</v>
      </c>
      <c r="H1332" s="8" t="s">
        <v>389</v>
      </c>
      <c r="I1332" s="8" t="s">
        <v>559</v>
      </c>
      <c r="J1332" s="8" t="s">
        <v>737</v>
      </c>
      <c r="K1332" s="8" t="s">
        <v>125</v>
      </c>
      <c r="L1332" s="8" t="s">
        <v>738</v>
      </c>
      <c r="M1332" s="8" t="s">
        <v>2778</v>
      </c>
      <c r="N1332" s="8" t="s">
        <v>388</v>
      </c>
      <c r="O1332" s="8">
        <v>517.13</v>
      </c>
      <c r="P1332" s="8">
        <v>574.59</v>
      </c>
      <c r="Q1332" s="8" t="s">
        <v>2675</v>
      </c>
      <c r="S1332" s="8" t="s">
        <v>331</v>
      </c>
      <c r="T1332" s="8">
        <v>84.84</v>
      </c>
    </row>
    <row r="1333" spans="1:20" x14ac:dyDescent="0.2">
      <c r="A1333" s="8" t="s">
        <v>2908</v>
      </c>
      <c r="B1333" s="8" t="str">
        <f t="shared" si="40"/>
        <v>1586244331</v>
      </c>
      <c r="C1333" s="8" t="str">
        <f t="shared" si="41"/>
        <v>1368</v>
      </c>
      <c r="D1333" s="8" t="s">
        <v>119</v>
      </c>
      <c r="F1333" s="8" t="s">
        <v>136</v>
      </c>
      <c r="G1333" s="8" t="s">
        <v>388</v>
      </c>
      <c r="H1333" s="8" t="s">
        <v>389</v>
      </c>
      <c r="I1333" s="8" t="s">
        <v>559</v>
      </c>
      <c r="J1333" s="8" t="s">
        <v>737</v>
      </c>
      <c r="K1333" s="8" t="s">
        <v>125</v>
      </c>
      <c r="L1333" s="8" t="s">
        <v>738</v>
      </c>
      <c r="M1333" s="8" t="s">
        <v>2778</v>
      </c>
      <c r="N1333" s="8" t="s">
        <v>388</v>
      </c>
      <c r="O1333" s="8">
        <v>517.13</v>
      </c>
      <c r="P1333" s="8">
        <v>574.59</v>
      </c>
      <c r="Q1333" s="8" t="s">
        <v>2675</v>
      </c>
      <c r="S1333" s="8" t="s">
        <v>184</v>
      </c>
      <c r="T1333" s="8">
        <v>77.459999999999994</v>
      </c>
    </row>
    <row r="1334" spans="1:20" x14ac:dyDescent="0.2">
      <c r="A1334" s="8" t="s">
        <v>3987</v>
      </c>
      <c r="B1334" s="8" t="str">
        <f t="shared" si="40"/>
        <v>1586244333</v>
      </c>
      <c r="C1334" s="8" t="str">
        <f t="shared" si="41"/>
        <v>1369</v>
      </c>
      <c r="D1334" s="8" t="s">
        <v>119</v>
      </c>
      <c r="F1334" s="8" t="s">
        <v>136</v>
      </c>
      <c r="G1334" s="8" t="s">
        <v>388</v>
      </c>
      <c r="H1334" s="8" t="s">
        <v>389</v>
      </c>
      <c r="I1334" s="8" t="s">
        <v>181</v>
      </c>
      <c r="J1334" s="8" t="s">
        <v>1389</v>
      </c>
      <c r="K1334" s="8" t="s">
        <v>190</v>
      </c>
      <c r="L1334" s="8" t="s">
        <v>1390</v>
      </c>
      <c r="M1334" s="8" t="s">
        <v>2778</v>
      </c>
      <c r="N1334" s="8" t="s">
        <v>388</v>
      </c>
      <c r="O1334" s="8">
        <v>886.72</v>
      </c>
      <c r="P1334" s="8">
        <v>985.25</v>
      </c>
      <c r="Q1334" s="8" t="s">
        <v>2676</v>
      </c>
      <c r="R1334" s="8" t="s">
        <v>2366</v>
      </c>
    </row>
    <row r="1335" spans="1:20" x14ac:dyDescent="0.2">
      <c r="A1335" s="8" t="s">
        <v>3480</v>
      </c>
      <c r="B1335" s="8" t="str">
        <f t="shared" si="40"/>
        <v>1586244333</v>
      </c>
      <c r="C1335" s="8" t="str">
        <f t="shared" si="41"/>
        <v>1370</v>
      </c>
      <c r="D1335" s="8" t="s">
        <v>119</v>
      </c>
      <c r="F1335" s="8" t="s">
        <v>136</v>
      </c>
      <c r="G1335" s="8" t="s">
        <v>388</v>
      </c>
      <c r="H1335" s="8" t="s">
        <v>389</v>
      </c>
      <c r="I1335" s="8" t="s">
        <v>181</v>
      </c>
      <c r="J1335" s="8" t="s">
        <v>1389</v>
      </c>
      <c r="K1335" s="8" t="s">
        <v>190</v>
      </c>
      <c r="L1335" s="8" t="s">
        <v>1390</v>
      </c>
      <c r="M1335" s="8" t="s">
        <v>2778</v>
      </c>
      <c r="N1335" s="8" t="s">
        <v>388</v>
      </c>
      <c r="O1335" s="8">
        <v>886.72</v>
      </c>
      <c r="P1335" s="8">
        <v>985.25</v>
      </c>
      <c r="Q1335" s="8" t="s">
        <v>2676</v>
      </c>
      <c r="R1335" s="8" t="s">
        <v>2154</v>
      </c>
    </row>
    <row r="1336" spans="1:20" x14ac:dyDescent="0.2">
      <c r="A1336" s="8" t="s">
        <v>3948</v>
      </c>
      <c r="B1336" s="8" t="str">
        <f t="shared" si="40"/>
        <v>1586244333</v>
      </c>
      <c r="C1336" s="8" t="str">
        <f t="shared" si="41"/>
        <v>1371</v>
      </c>
      <c r="D1336" s="8" t="s">
        <v>119</v>
      </c>
      <c r="F1336" s="8" t="s">
        <v>136</v>
      </c>
      <c r="G1336" s="8" t="s">
        <v>388</v>
      </c>
      <c r="H1336" s="8" t="s">
        <v>389</v>
      </c>
      <c r="I1336" s="8" t="s">
        <v>181</v>
      </c>
      <c r="J1336" s="8" t="s">
        <v>1389</v>
      </c>
      <c r="K1336" s="8" t="s">
        <v>190</v>
      </c>
      <c r="L1336" s="8" t="s">
        <v>1390</v>
      </c>
      <c r="M1336" s="8" t="s">
        <v>2778</v>
      </c>
      <c r="N1336" s="8" t="s">
        <v>388</v>
      </c>
      <c r="O1336" s="8">
        <v>886.72</v>
      </c>
      <c r="P1336" s="8">
        <v>985.25</v>
      </c>
      <c r="Q1336" s="8" t="s">
        <v>2676</v>
      </c>
      <c r="R1336" s="8" t="s">
        <v>1789</v>
      </c>
    </row>
    <row r="1337" spans="1:20" x14ac:dyDescent="0.2">
      <c r="A1337" s="8" t="s">
        <v>3745</v>
      </c>
      <c r="B1337" s="8" t="str">
        <f t="shared" si="40"/>
        <v>1586244333</v>
      </c>
      <c r="C1337" s="8" t="str">
        <f t="shared" si="41"/>
        <v>1372</v>
      </c>
      <c r="D1337" s="8" t="s">
        <v>119</v>
      </c>
      <c r="F1337" s="8" t="s">
        <v>136</v>
      </c>
      <c r="G1337" s="8" t="s">
        <v>388</v>
      </c>
      <c r="H1337" s="8" t="s">
        <v>389</v>
      </c>
      <c r="I1337" s="8" t="s">
        <v>181</v>
      </c>
      <c r="J1337" s="8" t="s">
        <v>1389</v>
      </c>
      <c r="K1337" s="8" t="s">
        <v>190</v>
      </c>
      <c r="L1337" s="8" t="s">
        <v>1390</v>
      </c>
      <c r="M1337" s="8" t="s">
        <v>2778</v>
      </c>
      <c r="N1337" s="8" t="s">
        <v>388</v>
      </c>
      <c r="O1337" s="8">
        <v>886.72</v>
      </c>
      <c r="P1337" s="8">
        <v>985.25</v>
      </c>
      <c r="Q1337" s="8" t="s">
        <v>2676</v>
      </c>
      <c r="R1337" s="8" t="s">
        <v>1391</v>
      </c>
    </row>
    <row r="1338" spans="1:20" x14ac:dyDescent="0.2">
      <c r="A1338" s="8" t="s">
        <v>3978</v>
      </c>
      <c r="B1338" s="8" t="str">
        <f t="shared" si="40"/>
        <v>1586244333</v>
      </c>
      <c r="C1338" s="8" t="str">
        <f t="shared" si="41"/>
        <v>1373</v>
      </c>
      <c r="D1338" s="8" t="s">
        <v>119</v>
      </c>
      <c r="F1338" s="8" t="s">
        <v>136</v>
      </c>
      <c r="G1338" s="8" t="s">
        <v>388</v>
      </c>
      <c r="H1338" s="8" t="s">
        <v>389</v>
      </c>
      <c r="I1338" s="8" t="s">
        <v>181</v>
      </c>
      <c r="J1338" s="8" t="s">
        <v>1389</v>
      </c>
      <c r="K1338" s="8" t="s">
        <v>190</v>
      </c>
      <c r="L1338" s="8" t="s">
        <v>1390</v>
      </c>
      <c r="M1338" s="8" t="s">
        <v>2778</v>
      </c>
      <c r="N1338" s="8" t="s">
        <v>388</v>
      </c>
      <c r="O1338" s="8">
        <v>886.72</v>
      </c>
      <c r="P1338" s="8">
        <v>985.25</v>
      </c>
      <c r="Q1338" s="8" t="s">
        <v>2676</v>
      </c>
      <c r="S1338" s="8" t="s">
        <v>542</v>
      </c>
      <c r="T1338" s="8">
        <v>547.38</v>
      </c>
    </row>
    <row r="1339" spans="1:20" x14ac:dyDescent="0.2">
      <c r="A1339" s="8" t="s">
        <v>3219</v>
      </c>
      <c r="B1339" s="8" t="str">
        <f t="shared" si="40"/>
        <v>1586244333</v>
      </c>
      <c r="C1339" s="8" t="str">
        <f t="shared" si="41"/>
        <v>1374</v>
      </c>
      <c r="D1339" s="8" t="s">
        <v>119</v>
      </c>
      <c r="F1339" s="8" t="s">
        <v>136</v>
      </c>
      <c r="G1339" s="8" t="s">
        <v>388</v>
      </c>
      <c r="H1339" s="8" t="s">
        <v>389</v>
      </c>
      <c r="I1339" s="8" t="s">
        <v>181</v>
      </c>
      <c r="J1339" s="8" t="s">
        <v>1389</v>
      </c>
      <c r="K1339" s="8" t="s">
        <v>190</v>
      </c>
      <c r="L1339" s="8" t="s">
        <v>1390</v>
      </c>
      <c r="M1339" s="8" t="s">
        <v>2778</v>
      </c>
      <c r="N1339" s="8" t="s">
        <v>388</v>
      </c>
      <c r="O1339" s="8">
        <v>886.72</v>
      </c>
      <c r="P1339" s="8">
        <v>985.25</v>
      </c>
      <c r="Q1339" s="8" t="s">
        <v>2676</v>
      </c>
      <c r="S1339" s="8" t="s">
        <v>2003</v>
      </c>
      <c r="T1339" s="8">
        <v>107.7</v>
      </c>
    </row>
    <row r="1340" spans="1:20" x14ac:dyDescent="0.2">
      <c r="A1340" s="8" t="s">
        <v>3989</v>
      </c>
      <c r="B1340" s="8" t="str">
        <f t="shared" si="40"/>
        <v>1586244335</v>
      </c>
      <c r="C1340" s="8" t="str">
        <f t="shared" si="41"/>
        <v>1375</v>
      </c>
      <c r="D1340" s="8" t="s">
        <v>119</v>
      </c>
      <c r="F1340" s="8" t="s">
        <v>136</v>
      </c>
      <c r="G1340" s="8" t="s">
        <v>388</v>
      </c>
      <c r="H1340" s="8" t="s">
        <v>389</v>
      </c>
      <c r="I1340" s="8" t="s">
        <v>668</v>
      </c>
      <c r="J1340" s="8" t="s">
        <v>669</v>
      </c>
      <c r="K1340" s="8" t="s">
        <v>670</v>
      </c>
      <c r="L1340" s="8" t="s">
        <v>671</v>
      </c>
      <c r="M1340" s="8" t="s">
        <v>2778</v>
      </c>
      <c r="N1340" s="8" t="s">
        <v>388</v>
      </c>
      <c r="O1340" s="8">
        <v>555.49</v>
      </c>
      <c r="P1340" s="8">
        <v>617.21</v>
      </c>
      <c r="Q1340" s="8" t="s">
        <v>2677</v>
      </c>
      <c r="R1340" s="8" t="s">
        <v>2234</v>
      </c>
    </row>
    <row r="1341" spans="1:20" x14ac:dyDescent="0.2">
      <c r="A1341" s="8" t="s">
        <v>4579</v>
      </c>
      <c r="B1341" s="8" t="str">
        <f t="shared" si="40"/>
        <v>1586244335</v>
      </c>
      <c r="C1341" s="8" t="str">
        <f t="shared" si="41"/>
        <v>1376</v>
      </c>
      <c r="D1341" s="8" t="s">
        <v>119</v>
      </c>
      <c r="F1341" s="8" t="s">
        <v>136</v>
      </c>
      <c r="G1341" s="8" t="s">
        <v>388</v>
      </c>
      <c r="H1341" s="8" t="s">
        <v>389</v>
      </c>
      <c r="I1341" s="8" t="s">
        <v>668</v>
      </c>
      <c r="J1341" s="8" t="s">
        <v>669</v>
      </c>
      <c r="K1341" s="8" t="s">
        <v>670</v>
      </c>
      <c r="L1341" s="8" t="s">
        <v>671</v>
      </c>
      <c r="M1341" s="8" t="s">
        <v>2778</v>
      </c>
      <c r="N1341" s="8" t="s">
        <v>388</v>
      </c>
      <c r="O1341" s="8">
        <v>555.49</v>
      </c>
      <c r="P1341" s="8">
        <v>617.21</v>
      </c>
      <c r="Q1341" s="8" t="s">
        <v>2677</v>
      </c>
      <c r="R1341" s="8" t="s">
        <v>2412</v>
      </c>
    </row>
    <row r="1342" spans="1:20" x14ac:dyDescent="0.2">
      <c r="A1342" s="8" t="s">
        <v>4517</v>
      </c>
      <c r="B1342" s="8" t="str">
        <f t="shared" si="40"/>
        <v>1586244335</v>
      </c>
      <c r="C1342" s="8" t="str">
        <f t="shared" si="41"/>
        <v>1377</v>
      </c>
      <c r="D1342" s="8" t="s">
        <v>119</v>
      </c>
      <c r="F1342" s="8" t="s">
        <v>136</v>
      </c>
      <c r="G1342" s="8" t="s">
        <v>388</v>
      </c>
      <c r="H1342" s="8" t="s">
        <v>389</v>
      </c>
      <c r="I1342" s="8" t="s">
        <v>668</v>
      </c>
      <c r="J1342" s="8" t="s">
        <v>669</v>
      </c>
      <c r="K1342" s="8" t="s">
        <v>670</v>
      </c>
      <c r="L1342" s="8" t="s">
        <v>671</v>
      </c>
      <c r="M1342" s="8" t="s">
        <v>2778</v>
      </c>
      <c r="N1342" s="8" t="s">
        <v>388</v>
      </c>
      <c r="O1342" s="8">
        <v>555.49</v>
      </c>
      <c r="P1342" s="8">
        <v>617.21</v>
      </c>
      <c r="Q1342" s="8" t="s">
        <v>2677</v>
      </c>
      <c r="R1342" s="8" t="s">
        <v>2067</v>
      </c>
    </row>
    <row r="1343" spans="1:20" x14ac:dyDescent="0.2">
      <c r="A1343" s="8" t="s">
        <v>2939</v>
      </c>
      <c r="B1343" s="8" t="str">
        <f t="shared" si="40"/>
        <v>1586244335</v>
      </c>
      <c r="C1343" s="8" t="str">
        <f t="shared" si="41"/>
        <v>1378</v>
      </c>
      <c r="D1343" s="8" t="s">
        <v>119</v>
      </c>
      <c r="F1343" s="8" t="s">
        <v>136</v>
      </c>
      <c r="G1343" s="8" t="s">
        <v>388</v>
      </c>
      <c r="H1343" s="8" t="s">
        <v>389</v>
      </c>
      <c r="I1343" s="8" t="s">
        <v>668</v>
      </c>
      <c r="J1343" s="8" t="s">
        <v>669</v>
      </c>
      <c r="K1343" s="8" t="s">
        <v>670</v>
      </c>
      <c r="L1343" s="8" t="s">
        <v>671</v>
      </c>
      <c r="M1343" s="8" t="s">
        <v>2778</v>
      </c>
      <c r="N1343" s="8" t="s">
        <v>388</v>
      </c>
      <c r="O1343" s="8">
        <v>555.49</v>
      </c>
      <c r="P1343" s="8">
        <v>617.21</v>
      </c>
      <c r="Q1343" s="8" t="s">
        <v>2677</v>
      </c>
      <c r="R1343" s="8" t="s">
        <v>1570</v>
      </c>
    </row>
    <row r="1344" spans="1:20" x14ac:dyDescent="0.2">
      <c r="A1344" s="8" t="s">
        <v>4765</v>
      </c>
      <c r="B1344" s="8" t="str">
        <f t="shared" si="40"/>
        <v>1586244335</v>
      </c>
      <c r="C1344" s="8" t="str">
        <f t="shared" si="41"/>
        <v>1379</v>
      </c>
      <c r="D1344" s="8" t="s">
        <v>119</v>
      </c>
      <c r="F1344" s="8" t="s">
        <v>136</v>
      </c>
      <c r="G1344" s="8" t="s">
        <v>388</v>
      </c>
      <c r="H1344" s="8" t="s">
        <v>389</v>
      </c>
      <c r="I1344" s="8" t="s">
        <v>668</v>
      </c>
      <c r="J1344" s="8" t="s">
        <v>669</v>
      </c>
      <c r="K1344" s="8" t="s">
        <v>670</v>
      </c>
      <c r="L1344" s="8" t="s">
        <v>671</v>
      </c>
      <c r="M1344" s="8" t="s">
        <v>2778</v>
      </c>
      <c r="N1344" s="8" t="s">
        <v>388</v>
      </c>
      <c r="O1344" s="8">
        <v>555.49</v>
      </c>
      <c r="P1344" s="8">
        <v>617.21</v>
      </c>
      <c r="Q1344" s="8" t="s">
        <v>2677</v>
      </c>
      <c r="R1344" s="8" t="s">
        <v>1710</v>
      </c>
    </row>
    <row r="1345" spans="1:20" x14ac:dyDescent="0.2">
      <c r="A1345" s="8" t="s">
        <v>4376</v>
      </c>
      <c r="B1345" s="8" t="str">
        <f t="shared" si="40"/>
        <v>1586244335</v>
      </c>
      <c r="C1345" s="8" t="str">
        <f t="shared" si="41"/>
        <v>1380</v>
      </c>
      <c r="D1345" s="8" t="s">
        <v>119</v>
      </c>
      <c r="F1345" s="8" t="s">
        <v>136</v>
      </c>
      <c r="G1345" s="8" t="s">
        <v>388</v>
      </c>
      <c r="H1345" s="8" t="s">
        <v>389</v>
      </c>
      <c r="I1345" s="8" t="s">
        <v>668</v>
      </c>
      <c r="J1345" s="8" t="s">
        <v>669</v>
      </c>
      <c r="K1345" s="8" t="s">
        <v>670</v>
      </c>
      <c r="L1345" s="8" t="s">
        <v>671</v>
      </c>
      <c r="M1345" s="8" t="s">
        <v>2778</v>
      </c>
      <c r="N1345" s="8" t="s">
        <v>388</v>
      </c>
      <c r="O1345" s="8">
        <v>555.49</v>
      </c>
      <c r="P1345" s="8">
        <v>617.21</v>
      </c>
      <c r="Q1345" s="8" t="s">
        <v>2677</v>
      </c>
      <c r="R1345" s="8" t="s">
        <v>2281</v>
      </c>
    </row>
    <row r="1346" spans="1:20" x14ac:dyDescent="0.2">
      <c r="A1346" s="8" t="s">
        <v>3444</v>
      </c>
      <c r="B1346" s="8" t="str">
        <f t="shared" ref="B1346:B1409" si="42">LEFT(A1346, FIND("-", A1346) - 1)</f>
        <v>1586244335</v>
      </c>
      <c r="C1346" s="8" t="str">
        <f t="shared" ref="C1346:C1409" si="43">RIGHT(A1346, LEN(A1346) - FIND("-", A1346))</f>
        <v>1381</v>
      </c>
      <c r="D1346" s="8" t="s">
        <v>119</v>
      </c>
      <c r="F1346" s="8" t="s">
        <v>136</v>
      </c>
      <c r="G1346" s="8" t="s">
        <v>388</v>
      </c>
      <c r="H1346" s="8" t="s">
        <v>389</v>
      </c>
      <c r="I1346" s="8" t="s">
        <v>668</v>
      </c>
      <c r="J1346" s="8" t="s">
        <v>669</v>
      </c>
      <c r="K1346" s="8" t="s">
        <v>670</v>
      </c>
      <c r="L1346" s="8" t="s">
        <v>671</v>
      </c>
      <c r="M1346" s="8" t="s">
        <v>2778</v>
      </c>
      <c r="N1346" s="8" t="s">
        <v>388</v>
      </c>
      <c r="O1346" s="8">
        <v>555.49</v>
      </c>
      <c r="P1346" s="8">
        <v>617.21</v>
      </c>
      <c r="Q1346" s="8" t="s">
        <v>2677</v>
      </c>
      <c r="S1346" s="8" t="s">
        <v>331</v>
      </c>
      <c r="T1346" s="8">
        <v>84.84</v>
      </c>
    </row>
    <row r="1347" spans="1:20" x14ac:dyDescent="0.2">
      <c r="A1347" s="8" t="s">
        <v>4439</v>
      </c>
      <c r="B1347" s="8" t="str">
        <f t="shared" si="42"/>
        <v>1586244335</v>
      </c>
      <c r="C1347" s="8" t="str">
        <f t="shared" si="43"/>
        <v>1382</v>
      </c>
      <c r="D1347" s="8" t="s">
        <v>119</v>
      </c>
      <c r="F1347" s="8" t="s">
        <v>136</v>
      </c>
      <c r="G1347" s="8" t="s">
        <v>388</v>
      </c>
      <c r="H1347" s="8" t="s">
        <v>389</v>
      </c>
      <c r="I1347" s="8" t="s">
        <v>668</v>
      </c>
      <c r="J1347" s="8" t="s">
        <v>669</v>
      </c>
      <c r="K1347" s="8" t="s">
        <v>670</v>
      </c>
      <c r="L1347" s="8" t="s">
        <v>671</v>
      </c>
      <c r="M1347" s="8" t="s">
        <v>2778</v>
      </c>
      <c r="N1347" s="8" t="s">
        <v>388</v>
      </c>
      <c r="O1347" s="8">
        <v>555.49</v>
      </c>
      <c r="P1347" s="8">
        <v>617.21</v>
      </c>
      <c r="Q1347" s="8" t="s">
        <v>2677</v>
      </c>
      <c r="S1347" s="8" t="s">
        <v>393</v>
      </c>
      <c r="T1347" s="8">
        <v>77.459999999999994</v>
      </c>
    </row>
    <row r="1348" spans="1:20" x14ac:dyDescent="0.2">
      <c r="A1348" s="8" t="s">
        <v>4171</v>
      </c>
      <c r="B1348" s="8" t="str">
        <f t="shared" si="42"/>
        <v>1586244335</v>
      </c>
      <c r="C1348" s="8" t="str">
        <f t="shared" si="43"/>
        <v>1383</v>
      </c>
      <c r="D1348" s="8" t="s">
        <v>119</v>
      </c>
      <c r="F1348" s="8" t="s">
        <v>136</v>
      </c>
      <c r="G1348" s="8" t="s">
        <v>388</v>
      </c>
      <c r="H1348" s="8" t="s">
        <v>389</v>
      </c>
      <c r="I1348" s="8" t="s">
        <v>668</v>
      </c>
      <c r="J1348" s="8" t="s">
        <v>669</v>
      </c>
      <c r="K1348" s="8" t="s">
        <v>670</v>
      </c>
      <c r="L1348" s="8" t="s">
        <v>671</v>
      </c>
      <c r="M1348" s="8" t="s">
        <v>2778</v>
      </c>
      <c r="N1348" s="8" t="s">
        <v>388</v>
      </c>
      <c r="O1348" s="8">
        <v>555.49</v>
      </c>
      <c r="P1348" s="8">
        <v>617.21</v>
      </c>
      <c r="Q1348" s="8" t="s">
        <v>2677</v>
      </c>
      <c r="S1348" s="8" t="s">
        <v>2130</v>
      </c>
      <c r="T1348" s="8">
        <v>22.87</v>
      </c>
    </row>
    <row r="1349" spans="1:20" x14ac:dyDescent="0.2">
      <c r="A1349" s="8" t="s">
        <v>4244</v>
      </c>
      <c r="B1349" s="8" t="str">
        <f t="shared" si="42"/>
        <v>1586244335</v>
      </c>
      <c r="C1349" s="8" t="str">
        <f t="shared" si="43"/>
        <v>1384</v>
      </c>
      <c r="D1349" s="8" t="s">
        <v>119</v>
      </c>
      <c r="F1349" s="8" t="s">
        <v>136</v>
      </c>
      <c r="G1349" s="8" t="s">
        <v>388</v>
      </c>
      <c r="H1349" s="8" t="s">
        <v>389</v>
      </c>
      <c r="I1349" s="8" t="s">
        <v>668</v>
      </c>
      <c r="J1349" s="8" t="s">
        <v>669</v>
      </c>
      <c r="K1349" s="8" t="s">
        <v>670</v>
      </c>
      <c r="L1349" s="8" t="s">
        <v>671</v>
      </c>
      <c r="M1349" s="8" t="s">
        <v>2778</v>
      </c>
      <c r="N1349" s="8" t="s">
        <v>388</v>
      </c>
      <c r="O1349" s="8">
        <v>555.49</v>
      </c>
      <c r="P1349" s="8">
        <v>617.21</v>
      </c>
      <c r="Q1349" s="8" t="s">
        <v>2677</v>
      </c>
      <c r="S1349" s="8" t="s">
        <v>954</v>
      </c>
      <c r="T1349" s="8">
        <v>61.97</v>
      </c>
    </row>
    <row r="1350" spans="1:20" x14ac:dyDescent="0.2">
      <c r="A1350" s="8" t="s">
        <v>4682</v>
      </c>
      <c r="B1350" s="8" t="str">
        <f t="shared" si="42"/>
        <v>1586244337</v>
      </c>
      <c r="C1350" s="8" t="str">
        <f t="shared" si="43"/>
        <v>1385</v>
      </c>
      <c r="D1350" s="8" t="s">
        <v>119</v>
      </c>
      <c r="F1350" s="8" t="s">
        <v>136</v>
      </c>
      <c r="G1350" s="8" t="s">
        <v>388</v>
      </c>
      <c r="H1350" s="8" t="s">
        <v>389</v>
      </c>
      <c r="I1350" s="8" t="s">
        <v>668</v>
      </c>
      <c r="J1350" s="8" t="s">
        <v>698</v>
      </c>
      <c r="K1350" s="8" t="s">
        <v>699</v>
      </c>
      <c r="L1350" s="8" t="s">
        <v>700</v>
      </c>
      <c r="M1350" s="8" t="s">
        <v>2778</v>
      </c>
      <c r="N1350" s="8" t="s">
        <v>388</v>
      </c>
      <c r="O1350" s="8">
        <v>570.25</v>
      </c>
      <c r="P1350" s="8">
        <v>633.61</v>
      </c>
      <c r="Q1350" s="8" t="s">
        <v>2678</v>
      </c>
      <c r="R1350" s="8" t="s">
        <v>1211</v>
      </c>
    </row>
    <row r="1351" spans="1:20" x14ac:dyDescent="0.2">
      <c r="A1351" s="8" t="s">
        <v>3440</v>
      </c>
      <c r="B1351" s="8" t="str">
        <f t="shared" si="42"/>
        <v>1586244337</v>
      </c>
      <c r="C1351" s="8" t="str">
        <f t="shared" si="43"/>
        <v>1386</v>
      </c>
      <c r="D1351" s="8" t="s">
        <v>119</v>
      </c>
      <c r="F1351" s="8" t="s">
        <v>136</v>
      </c>
      <c r="G1351" s="8" t="s">
        <v>388</v>
      </c>
      <c r="H1351" s="8" t="s">
        <v>389</v>
      </c>
      <c r="I1351" s="8" t="s">
        <v>668</v>
      </c>
      <c r="J1351" s="8" t="s">
        <v>698</v>
      </c>
      <c r="K1351" s="8" t="s">
        <v>699</v>
      </c>
      <c r="L1351" s="8" t="s">
        <v>700</v>
      </c>
      <c r="M1351" s="8" t="s">
        <v>2778</v>
      </c>
      <c r="N1351" s="8" t="s">
        <v>388</v>
      </c>
      <c r="O1351" s="8">
        <v>570.25</v>
      </c>
      <c r="P1351" s="8">
        <v>633.61</v>
      </c>
      <c r="Q1351" s="8" t="s">
        <v>2678</v>
      </c>
      <c r="R1351" s="8" t="s">
        <v>2152</v>
      </c>
    </row>
    <row r="1352" spans="1:20" x14ac:dyDescent="0.2">
      <c r="A1352" s="8" t="s">
        <v>3718</v>
      </c>
      <c r="B1352" s="8" t="str">
        <f t="shared" si="42"/>
        <v>1586244337</v>
      </c>
      <c r="C1352" s="8" t="str">
        <f t="shared" si="43"/>
        <v>1387</v>
      </c>
      <c r="D1352" s="8" t="s">
        <v>119</v>
      </c>
      <c r="F1352" s="8" t="s">
        <v>136</v>
      </c>
      <c r="G1352" s="8" t="s">
        <v>388</v>
      </c>
      <c r="H1352" s="8" t="s">
        <v>389</v>
      </c>
      <c r="I1352" s="8" t="s">
        <v>668</v>
      </c>
      <c r="J1352" s="8" t="s">
        <v>698</v>
      </c>
      <c r="K1352" s="8" t="s">
        <v>699</v>
      </c>
      <c r="L1352" s="8" t="s">
        <v>700</v>
      </c>
      <c r="M1352" s="8" t="s">
        <v>2778</v>
      </c>
      <c r="N1352" s="8" t="s">
        <v>388</v>
      </c>
      <c r="O1352" s="8">
        <v>570.25</v>
      </c>
      <c r="P1352" s="8">
        <v>633.61</v>
      </c>
      <c r="Q1352" s="8" t="s">
        <v>2678</v>
      </c>
      <c r="R1352" s="8" t="s">
        <v>2000</v>
      </c>
    </row>
    <row r="1353" spans="1:20" x14ac:dyDescent="0.2">
      <c r="A1353" s="8" t="s">
        <v>4706</v>
      </c>
      <c r="B1353" s="8" t="str">
        <f t="shared" si="42"/>
        <v>1586244337</v>
      </c>
      <c r="C1353" s="8" t="str">
        <f t="shared" si="43"/>
        <v>1388</v>
      </c>
      <c r="D1353" s="8" t="s">
        <v>119</v>
      </c>
      <c r="F1353" s="8" t="s">
        <v>136</v>
      </c>
      <c r="G1353" s="8" t="s">
        <v>388</v>
      </c>
      <c r="H1353" s="8" t="s">
        <v>389</v>
      </c>
      <c r="I1353" s="8" t="s">
        <v>668</v>
      </c>
      <c r="J1353" s="8" t="s">
        <v>698</v>
      </c>
      <c r="K1353" s="8" t="s">
        <v>699</v>
      </c>
      <c r="L1353" s="8" t="s">
        <v>700</v>
      </c>
      <c r="M1353" s="8" t="s">
        <v>2778</v>
      </c>
      <c r="N1353" s="8" t="s">
        <v>388</v>
      </c>
      <c r="O1353" s="8">
        <v>570.25</v>
      </c>
      <c r="P1353" s="8">
        <v>633.61</v>
      </c>
      <c r="Q1353" s="8" t="s">
        <v>2678</v>
      </c>
      <c r="R1353" s="8" t="s">
        <v>1839</v>
      </c>
    </row>
    <row r="1354" spans="1:20" x14ac:dyDescent="0.2">
      <c r="A1354" s="8" t="s">
        <v>3471</v>
      </c>
      <c r="B1354" s="8" t="str">
        <f t="shared" si="42"/>
        <v>1586244337</v>
      </c>
      <c r="C1354" s="8" t="str">
        <f t="shared" si="43"/>
        <v>1389</v>
      </c>
      <c r="D1354" s="8" t="s">
        <v>119</v>
      </c>
      <c r="F1354" s="8" t="s">
        <v>136</v>
      </c>
      <c r="G1354" s="8" t="s">
        <v>388</v>
      </c>
      <c r="H1354" s="8" t="s">
        <v>389</v>
      </c>
      <c r="I1354" s="8" t="s">
        <v>668</v>
      </c>
      <c r="J1354" s="8" t="s">
        <v>698</v>
      </c>
      <c r="K1354" s="8" t="s">
        <v>699</v>
      </c>
      <c r="L1354" s="8" t="s">
        <v>700</v>
      </c>
      <c r="M1354" s="8" t="s">
        <v>2778</v>
      </c>
      <c r="N1354" s="8" t="s">
        <v>388</v>
      </c>
      <c r="O1354" s="8">
        <v>570.25</v>
      </c>
      <c r="P1354" s="8">
        <v>633.61</v>
      </c>
      <c r="Q1354" s="8" t="s">
        <v>2678</v>
      </c>
      <c r="R1354" s="8" t="s">
        <v>2481</v>
      </c>
    </row>
    <row r="1355" spans="1:20" x14ac:dyDescent="0.2">
      <c r="A1355" s="8" t="s">
        <v>4407</v>
      </c>
      <c r="B1355" s="8" t="str">
        <f t="shared" si="42"/>
        <v>1586244337</v>
      </c>
      <c r="C1355" s="8" t="str">
        <f t="shared" si="43"/>
        <v>1390</v>
      </c>
      <c r="D1355" s="8" t="s">
        <v>119</v>
      </c>
      <c r="F1355" s="8" t="s">
        <v>136</v>
      </c>
      <c r="G1355" s="8" t="s">
        <v>388</v>
      </c>
      <c r="H1355" s="8" t="s">
        <v>389</v>
      </c>
      <c r="I1355" s="8" t="s">
        <v>668</v>
      </c>
      <c r="J1355" s="8" t="s">
        <v>698</v>
      </c>
      <c r="K1355" s="8" t="s">
        <v>699</v>
      </c>
      <c r="L1355" s="8" t="s">
        <v>700</v>
      </c>
      <c r="M1355" s="8" t="s">
        <v>2778</v>
      </c>
      <c r="N1355" s="8" t="s">
        <v>388</v>
      </c>
      <c r="O1355" s="8">
        <v>570.25</v>
      </c>
      <c r="P1355" s="8">
        <v>633.61</v>
      </c>
      <c r="Q1355" s="8" t="s">
        <v>2678</v>
      </c>
      <c r="R1355" s="8" t="s">
        <v>1434</v>
      </c>
    </row>
    <row r="1356" spans="1:20" x14ac:dyDescent="0.2">
      <c r="A1356" s="8" t="s">
        <v>2859</v>
      </c>
      <c r="B1356" s="8" t="str">
        <f t="shared" si="42"/>
        <v>1586244337</v>
      </c>
      <c r="C1356" s="8" t="str">
        <f t="shared" si="43"/>
        <v>1391</v>
      </c>
      <c r="D1356" s="8" t="s">
        <v>119</v>
      </c>
      <c r="F1356" s="8" t="s">
        <v>136</v>
      </c>
      <c r="G1356" s="8" t="s">
        <v>388</v>
      </c>
      <c r="H1356" s="8" t="s">
        <v>389</v>
      </c>
      <c r="I1356" s="8" t="s">
        <v>668</v>
      </c>
      <c r="J1356" s="8" t="s">
        <v>698</v>
      </c>
      <c r="K1356" s="8" t="s">
        <v>699</v>
      </c>
      <c r="L1356" s="8" t="s">
        <v>700</v>
      </c>
      <c r="M1356" s="8" t="s">
        <v>2778</v>
      </c>
      <c r="N1356" s="8" t="s">
        <v>388</v>
      </c>
      <c r="O1356" s="8">
        <v>570.25</v>
      </c>
      <c r="P1356" s="8">
        <v>633.61</v>
      </c>
      <c r="Q1356" s="8" t="s">
        <v>2678</v>
      </c>
      <c r="R1356" s="8" t="s">
        <v>1836</v>
      </c>
    </row>
    <row r="1357" spans="1:20" x14ac:dyDescent="0.2">
      <c r="A1357" s="8" t="s">
        <v>3159</v>
      </c>
      <c r="B1357" s="8" t="str">
        <f t="shared" si="42"/>
        <v>1586244337</v>
      </c>
      <c r="C1357" s="8" t="str">
        <f t="shared" si="43"/>
        <v>1392</v>
      </c>
      <c r="D1357" s="8" t="s">
        <v>119</v>
      </c>
      <c r="F1357" s="8" t="s">
        <v>136</v>
      </c>
      <c r="G1357" s="8" t="s">
        <v>388</v>
      </c>
      <c r="H1357" s="8" t="s">
        <v>389</v>
      </c>
      <c r="I1357" s="8" t="s">
        <v>668</v>
      </c>
      <c r="J1357" s="8" t="s">
        <v>698</v>
      </c>
      <c r="K1357" s="8" t="s">
        <v>699</v>
      </c>
      <c r="L1357" s="8" t="s">
        <v>700</v>
      </c>
      <c r="M1357" s="8" t="s">
        <v>2778</v>
      </c>
      <c r="N1357" s="8" t="s">
        <v>388</v>
      </c>
      <c r="O1357" s="8">
        <v>570.25</v>
      </c>
      <c r="P1357" s="8">
        <v>633.61</v>
      </c>
      <c r="Q1357" s="8" t="s">
        <v>2678</v>
      </c>
      <c r="S1357" s="8" t="s">
        <v>331</v>
      </c>
      <c r="T1357" s="8">
        <v>84.84</v>
      </c>
    </row>
    <row r="1358" spans="1:20" x14ac:dyDescent="0.2">
      <c r="A1358" s="8" t="s">
        <v>2958</v>
      </c>
      <c r="B1358" s="8" t="str">
        <f t="shared" si="42"/>
        <v>1586244337</v>
      </c>
      <c r="C1358" s="8" t="str">
        <f t="shared" si="43"/>
        <v>1393</v>
      </c>
      <c r="D1358" s="8" t="s">
        <v>119</v>
      </c>
      <c r="F1358" s="8" t="s">
        <v>136</v>
      </c>
      <c r="G1358" s="8" t="s">
        <v>388</v>
      </c>
      <c r="H1358" s="8" t="s">
        <v>389</v>
      </c>
      <c r="I1358" s="8" t="s">
        <v>668</v>
      </c>
      <c r="J1358" s="8" t="s">
        <v>698</v>
      </c>
      <c r="K1358" s="8" t="s">
        <v>699</v>
      </c>
      <c r="L1358" s="8" t="s">
        <v>700</v>
      </c>
      <c r="M1358" s="8" t="s">
        <v>2778</v>
      </c>
      <c r="N1358" s="8" t="s">
        <v>388</v>
      </c>
      <c r="O1358" s="8">
        <v>570.25</v>
      </c>
      <c r="P1358" s="8">
        <v>633.61</v>
      </c>
      <c r="Q1358" s="8" t="s">
        <v>2678</v>
      </c>
      <c r="S1358" s="8" t="s">
        <v>393</v>
      </c>
      <c r="T1358" s="8">
        <v>77.459999999999994</v>
      </c>
    </row>
    <row r="1359" spans="1:20" x14ac:dyDescent="0.2">
      <c r="A1359" s="8" t="s">
        <v>3306</v>
      </c>
      <c r="B1359" s="8" t="str">
        <f t="shared" si="42"/>
        <v>1586244337</v>
      </c>
      <c r="C1359" s="8" t="str">
        <f t="shared" si="43"/>
        <v>1394</v>
      </c>
      <c r="D1359" s="8" t="s">
        <v>119</v>
      </c>
      <c r="F1359" s="8" t="s">
        <v>136</v>
      </c>
      <c r="G1359" s="8" t="s">
        <v>388</v>
      </c>
      <c r="H1359" s="8" t="s">
        <v>389</v>
      </c>
      <c r="I1359" s="8" t="s">
        <v>668</v>
      </c>
      <c r="J1359" s="8" t="s">
        <v>698</v>
      </c>
      <c r="K1359" s="8" t="s">
        <v>699</v>
      </c>
      <c r="L1359" s="8" t="s">
        <v>700</v>
      </c>
      <c r="M1359" s="8" t="s">
        <v>2778</v>
      </c>
      <c r="N1359" s="8" t="s">
        <v>388</v>
      </c>
      <c r="O1359" s="8">
        <v>570.25</v>
      </c>
      <c r="P1359" s="8">
        <v>633.61</v>
      </c>
      <c r="Q1359" s="8" t="s">
        <v>2678</v>
      </c>
      <c r="S1359" s="8" t="s">
        <v>767</v>
      </c>
      <c r="T1359" s="8">
        <v>46.48</v>
      </c>
    </row>
    <row r="1360" spans="1:20" x14ac:dyDescent="0.2">
      <c r="A1360" s="8" t="s">
        <v>4775</v>
      </c>
      <c r="B1360" s="8" t="str">
        <f t="shared" si="42"/>
        <v>1586244339</v>
      </c>
      <c r="C1360" s="8" t="str">
        <f t="shared" si="43"/>
        <v>1395</v>
      </c>
      <c r="D1360" s="8" t="s">
        <v>119</v>
      </c>
      <c r="F1360" s="8" t="s">
        <v>136</v>
      </c>
      <c r="G1360" s="8" t="s">
        <v>388</v>
      </c>
      <c r="H1360" s="8" t="s">
        <v>389</v>
      </c>
      <c r="I1360" s="8" t="s">
        <v>1262</v>
      </c>
      <c r="J1360" s="8" t="s">
        <v>1263</v>
      </c>
      <c r="K1360" s="8" t="s">
        <v>379</v>
      </c>
      <c r="L1360" s="8" t="s">
        <v>1264</v>
      </c>
      <c r="M1360" s="8" t="s">
        <v>2778</v>
      </c>
      <c r="N1360" s="8" t="s">
        <v>388</v>
      </c>
      <c r="O1360" s="8">
        <v>1202.46</v>
      </c>
      <c r="P1360" s="8">
        <v>1336.07</v>
      </c>
      <c r="Q1360" s="8" t="s">
        <v>2679</v>
      </c>
      <c r="R1360" s="8" t="s">
        <v>1729</v>
      </c>
    </row>
    <row r="1361" spans="1:20" x14ac:dyDescent="0.2">
      <c r="A1361" s="8" t="s">
        <v>3133</v>
      </c>
      <c r="B1361" s="8" t="str">
        <f t="shared" si="42"/>
        <v>1586244339</v>
      </c>
      <c r="C1361" s="8" t="str">
        <f t="shared" si="43"/>
        <v>1396</v>
      </c>
      <c r="D1361" s="8" t="s">
        <v>119</v>
      </c>
      <c r="F1361" s="8" t="s">
        <v>136</v>
      </c>
      <c r="G1361" s="8" t="s">
        <v>388</v>
      </c>
      <c r="H1361" s="8" t="s">
        <v>389</v>
      </c>
      <c r="I1361" s="8" t="s">
        <v>1262</v>
      </c>
      <c r="J1361" s="8" t="s">
        <v>1263</v>
      </c>
      <c r="K1361" s="8" t="s">
        <v>379</v>
      </c>
      <c r="L1361" s="8" t="s">
        <v>1264</v>
      </c>
      <c r="M1361" s="8" t="s">
        <v>2778</v>
      </c>
      <c r="N1361" s="8" t="s">
        <v>388</v>
      </c>
      <c r="O1361" s="8">
        <v>1202.46</v>
      </c>
      <c r="P1361" s="8">
        <v>1336.07</v>
      </c>
      <c r="Q1361" s="8" t="s">
        <v>2679</v>
      </c>
      <c r="R1361" s="8" t="s">
        <v>1884</v>
      </c>
    </row>
    <row r="1362" spans="1:20" x14ac:dyDescent="0.2">
      <c r="A1362" s="8" t="s">
        <v>3059</v>
      </c>
      <c r="B1362" s="8" t="str">
        <f t="shared" si="42"/>
        <v>1586244339</v>
      </c>
      <c r="C1362" s="8" t="str">
        <f t="shared" si="43"/>
        <v>1397</v>
      </c>
      <c r="D1362" s="8" t="s">
        <v>119</v>
      </c>
      <c r="F1362" s="8" t="s">
        <v>136</v>
      </c>
      <c r="G1362" s="8" t="s">
        <v>388</v>
      </c>
      <c r="H1362" s="8" t="s">
        <v>389</v>
      </c>
      <c r="I1362" s="8" t="s">
        <v>1262</v>
      </c>
      <c r="J1362" s="8" t="s">
        <v>1263</v>
      </c>
      <c r="K1362" s="8" t="s">
        <v>379</v>
      </c>
      <c r="L1362" s="8" t="s">
        <v>1264</v>
      </c>
      <c r="M1362" s="8" t="s">
        <v>2778</v>
      </c>
      <c r="N1362" s="8" t="s">
        <v>388</v>
      </c>
      <c r="O1362" s="8">
        <v>1202.46</v>
      </c>
      <c r="P1362" s="8">
        <v>1336.07</v>
      </c>
      <c r="Q1362" s="8" t="s">
        <v>2679</v>
      </c>
      <c r="R1362" s="8" t="s">
        <v>1265</v>
      </c>
    </row>
    <row r="1363" spans="1:20" x14ac:dyDescent="0.2">
      <c r="A1363" s="8" t="s">
        <v>3307</v>
      </c>
      <c r="B1363" s="8" t="str">
        <f t="shared" si="42"/>
        <v>1586244339</v>
      </c>
      <c r="C1363" s="8" t="str">
        <f t="shared" si="43"/>
        <v>1398</v>
      </c>
      <c r="D1363" s="8" t="s">
        <v>119</v>
      </c>
      <c r="F1363" s="8" t="s">
        <v>136</v>
      </c>
      <c r="G1363" s="8" t="s">
        <v>388</v>
      </c>
      <c r="H1363" s="8" t="s">
        <v>389</v>
      </c>
      <c r="I1363" s="8" t="s">
        <v>1262</v>
      </c>
      <c r="J1363" s="8" t="s">
        <v>1263</v>
      </c>
      <c r="K1363" s="8" t="s">
        <v>379</v>
      </c>
      <c r="L1363" s="8" t="s">
        <v>1264</v>
      </c>
      <c r="M1363" s="8" t="s">
        <v>2778</v>
      </c>
      <c r="N1363" s="8" t="s">
        <v>388</v>
      </c>
      <c r="O1363" s="8">
        <v>1202.46</v>
      </c>
      <c r="P1363" s="8">
        <v>1336.07</v>
      </c>
      <c r="Q1363" s="8" t="s">
        <v>2679</v>
      </c>
      <c r="R1363" s="8" t="s">
        <v>1919</v>
      </c>
    </row>
    <row r="1364" spans="1:20" x14ac:dyDescent="0.2">
      <c r="A1364" s="8" t="s">
        <v>3251</v>
      </c>
      <c r="B1364" s="8" t="str">
        <f t="shared" si="42"/>
        <v>1586244339</v>
      </c>
      <c r="C1364" s="8" t="str">
        <f t="shared" si="43"/>
        <v>1399</v>
      </c>
      <c r="D1364" s="8" t="s">
        <v>119</v>
      </c>
      <c r="F1364" s="8" t="s">
        <v>136</v>
      </c>
      <c r="G1364" s="8" t="s">
        <v>388</v>
      </c>
      <c r="H1364" s="8" t="s">
        <v>389</v>
      </c>
      <c r="I1364" s="8" t="s">
        <v>1262</v>
      </c>
      <c r="J1364" s="8" t="s">
        <v>1263</v>
      </c>
      <c r="K1364" s="8" t="s">
        <v>379</v>
      </c>
      <c r="L1364" s="8" t="s">
        <v>1264</v>
      </c>
      <c r="M1364" s="8" t="s">
        <v>2778</v>
      </c>
      <c r="N1364" s="8" t="s">
        <v>388</v>
      </c>
      <c r="O1364" s="8">
        <v>1202.46</v>
      </c>
      <c r="P1364" s="8">
        <v>1336.07</v>
      </c>
      <c r="Q1364" s="8" t="s">
        <v>2679</v>
      </c>
      <c r="S1364" s="8" t="s">
        <v>393</v>
      </c>
      <c r="T1364" s="8">
        <v>138.69</v>
      </c>
    </row>
    <row r="1365" spans="1:20" x14ac:dyDescent="0.2">
      <c r="A1365" s="8" t="s">
        <v>3859</v>
      </c>
      <c r="B1365" s="8" t="str">
        <f t="shared" si="42"/>
        <v>1586244343</v>
      </c>
      <c r="C1365" s="8" t="str">
        <f t="shared" si="43"/>
        <v>1400</v>
      </c>
      <c r="D1365" s="8" t="s">
        <v>119</v>
      </c>
      <c r="F1365" s="8" t="s">
        <v>136</v>
      </c>
      <c r="G1365" s="8" t="s">
        <v>704</v>
      </c>
      <c r="H1365" s="8" t="s">
        <v>705</v>
      </c>
      <c r="I1365" s="8" t="s">
        <v>71</v>
      </c>
      <c r="J1365" s="8" t="s">
        <v>706</v>
      </c>
      <c r="K1365" s="8" t="s">
        <v>125</v>
      </c>
      <c r="L1365" s="8" t="s">
        <v>707</v>
      </c>
      <c r="M1365" s="8" t="s">
        <v>2778</v>
      </c>
      <c r="N1365" s="8" t="s">
        <v>704</v>
      </c>
      <c r="O1365" s="8">
        <v>497.21</v>
      </c>
      <c r="P1365" s="8">
        <v>552.46</v>
      </c>
      <c r="Q1365" s="8" t="s">
        <v>2680</v>
      </c>
      <c r="R1365" s="8" t="s">
        <v>1410</v>
      </c>
    </row>
    <row r="1366" spans="1:20" x14ac:dyDescent="0.2">
      <c r="A1366" s="8" t="s">
        <v>4218</v>
      </c>
      <c r="B1366" s="8" t="str">
        <f t="shared" si="42"/>
        <v>1586244343</v>
      </c>
      <c r="C1366" s="8" t="str">
        <f t="shared" si="43"/>
        <v>1401</v>
      </c>
      <c r="D1366" s="8" t="s">
        <v>119</v>
      </c>
      <c r="F1366" s="8" t="s">
        <v>136</v>
      </c>
      <c r="G1366" s="8" t="s">
        <v>704</v>
      </c>
      <c r="H1366" s="8" t="s">
        <v>705</v>
      </c>
      <c r="I1366" s="8" t="s">
        <v>71</v>
      </c>
      <c r="J1366" s="8" t="s">
        <v>706</v>
      </c>
      <c r="K1366" s="8" t="s">
        <v>125</v>
      </c>
      <c r="L1366" s="8" t="s">
        <v>707</v>
      </c>
      <c r="M1366" s="8" t="s">
        <v>2778</v>
      </c>
      <c r="N1366" s="8" t="s">
        <v>704</v>
      </c>
      <c r="O1366" s="8">
        <v>497.21</v>
      </c>
      <c r="P1366" s="8">
        <v>552.46</v>
      </c>
      <c r="Q1366" s="8" t="s">
        <v>2680</v>
      </c>
      <c r="R1366" s="8" t="s">
        <v>1361</v>
      </c>
    </row>
    <row r="1367" spans="1:20" x14ac:dyDescent="0.2">
      <c r="A1367" s="8" t="s">
        <v>4418</v>
      </c>
      <c r="B1367" s="8" t="str">
        <f t="shared" si="42"/>
        <v>1586244343</v>
      </c>
      <c r="C1367" s="8" t="str">
        <f t="shared" si="43"/>
        <v>1402</v>
      </c>
      <c r="D1367" s="8" t="s">
        <v>119</v>
      </c>
      <c r="F1367" s="8" t="s">
        <v>136</v>
      </c>
      <c r="G1367" s="8" t="s">
        <v>704</v>
      </c>
      <c r="H1367" s="8" t="s">
        <v>705</v>
      </c>
      <c r="I1367" s="8" t="s">
        <v>71</v>
      </c>
      <c r="J1367" s="8" t="s">
        <v>706</v>
      </c>
      <c r="K1367" s="8" t="s">
        <v>125</v>
      </c>
      <c r="L1367" s="8" t="s">
        <v>707</v>
      </c>
      <c r="M1367" s="8" t="s">
        <v>2778</v>
      </c>
      <c r="N1367" s="8" t="s">
        <v>704</v>
      </c>
      <c r="O1367" s="8">
        <v>497.21</v>
      </c>
      <c r="P1367" s="8">
        <v>552.46</v>
      </c>
      <c r="Q1367" s="8" t="s">
        <v>2680</v>
      </c>
      <c r="R1367" s="8" t="s">
        <v>2171</v>
      </c>
    </row>
    <row r="1368" spans="1:20" x14ac:dyDescent="0.2">
      <c r="A1368" s="8" t="s">
        <v>3522</v>
      </c>
      <c r="B1368" s="8" t="str">
        <f t="shared" si="42"/>
        <v>1586244343</v>
      </c>
      <c r="C1368" s="8" t="str">
        <f t="shared" si="43"/>
        <v>1403</v>
      </c>
      <c r="D1368" s="8" t="s">
        <v>119</v>
      </c>
      <c r="F1368" s="8" t="s">
        <v>136</v>
      </c>
      <c r="G1368" s="8" t="s">
        <v>704</v>
      </c>
      <c r="H1368" s="8" t="s">
        <v>705</v>
      </c>
      <c r="I1368" s="8" t="s">
        <v>71</v>
      </c>
      <c r="J1368" s="8" t="s">
        <v>706</v>
      </c>
      <c r="K1368" s="8" t="s">
        <v>125</v>
      </c>
      <c r="L1368" s="8" t="s">
        <v>707</v>
      </c>
      <c r="M1368" s="8" t="s">
        <v>2778</v>
      </c>
      <c r="N1368" s="8" t="s">
        <v>704</v>
      </c>
      <c r="O1368" s="8">
        <v>497.21</v>
      </c>
      <c r="P1368" s="8">
        <v>552.46</v>
      </c>
      <c r="Q1368" s="8" t="s">
        <v>2680</v>
      </c>
      <c r="S1368" s="8" t="s">
        <v>142</v>
      </c>
      <c r="T1368" s="8">
        <v>38.36</v>
      </c>
    </row>
    <row r="1369" spans="1:20" x14ac:dyDescent="0.2">
      <c r="A1369" s="8" t="s">
        <v>3008</v>
      </c>
      <c r="B1369" s="8" t="str">
        <f t="shared" si="42"/>
        <v>1586244345</v>
      </c>
      <c r="C1369" s="8" t="str">
        <f t="shared" si="43"/>
        <v>1404</v>
      </c>
      <c r="D1369" s="8" t="s">
        <v>119</v>
      </c>
      <c r="F1369" s="8" t="s">
        <v>136</v>
      </c>
      <c r="G1369" s="8" t="s">
        <v>704</v>
      </c>
      <c r="H1369" s="8" t="s">
        <v>705</v>
      </c>
      <c r="I1369" s="8" t="s">
        <v>1302</v>
      </c>
      <c r="J1369" s="8" t="s">
        <v>1303</v>
      </c>
      <c r="K1369" s="8" t="s">
        <v>1304</v>
      </c>
      <c r="L1369" s="8" t="s">
        <v>1305</v>
      </c>
      <c r="M1369" s="8" t="s">
        <v>2778</v>
      </c>
      <c r="N1369" s="8" t="s">
        <v>704</v>
      </c>
      <c r="O1369" s="8">
        <v>1034.26</v>
      </c>
      <c r="P1369" s="8">
        <v>1149.18</v>
      </c>
      <c r="Q1369" s="8" t="s">
        <v>2681</v>
      </c>
      <c r="R1369" s="8" t="s">
        <v>1306</v>
      </c>
    </row>
    <row r="1370" spans="1:20" x14ac:dyDescent="0.2">
      <c r="A1370" s="8" t="s">
        <v>3906</v>
      </c>
      <c r="B1370" s="8" t="str">
        <f t="shared" si="42"/>
        <v>1586244345</v>
      </c>
      <c r="C1370" s="8" t="str">
        <f t="shared" si="43"/>
        <v>1405</v>
      </c>
      <c r="D1370" s="8" t="s">
        <v>119</v>
      </c>
      <c r="F1370" s="8" t="s">
        <v>136</v>
      </c>
      <c r="G1370" s="8" t="s">
        <v>704</v>
      </c>
      <c r="H1370" s="8" t="s">
        <v>705</v>
      </c>
      <c r="I1370" s="8" t="s">
        <v>1302</v>
      </c>
      <c r="J1370" s="8" t="s">
        <v>1303</v>
      </c>
      <c r="K1370" s="8" t="s">
        <v>1304</v>
      </c>
      <c r="L1370" s="8" t="s">
        <v>1305</v>
      </c>
      <c r="M1370" s="8" t="s">
        <v>2778</v>
      </c>
      <c r="N1370" s="8" t="s">
        <v>704</v>
      </c>
      <c r="O1370" s="8">
        <v>1034.26</v>
      </c>
      <c r="P1370" s="8">
        <v>1149.18</v>
      </c>
      <c r="Q1370" s="8" t="s">
        <v>2681</v>
      </c>
      <c r="R1370" s="8" t="s">
        <v>1563</v>
      </c>
    </row>
    <row r="1371" spans="1:20" x14ac:dyDescent="0.2">
      <c r="A1371" s="8" t="s">
        <v>3533</v>
      </c>
      <c r="B1371" s="8" t="str">
        <f t="shared" si="42"/>
        <v>1586244345</v>
      </c>
      <c r="C1371" s="8" t="str">
        <f t="shared" si="43"/>
        <v>1406</v>
      </c>
      <c r="D1371" s="8" t="s">
        <v>119</v>
      </c>
      <c r="F1371" s="8" t="s">
        <v>136</v>
      </c>
      <c r="G1371" s="8" t="s">
        <v>704</v>
      </c>
      <c r="H1371" s="8" t="s">
        <v>705</v>
      </c>
      <c r="I1371" s="8" t="s">
        <v>1302</v>
      </c>
      <c r="J1371" s="8" t="s">
        <v>1303</v>
      </c>
      <c r="K1371" s="8" t="s">
        <v>1304</v>
      </c>
      <c r="L1371" s="8" t="s">
        <v>1305</v>
      </c>
      <c r="M1371" s="8" t="s">
        <v>2778</v>
      </c>
      <c r="N1371" s="8" t="s">
        <v>704</v>
      </c>
      <c r="O1371" s="8">
        <v>1034.26</v>
      </c>
      <c r="P1371" s="8">
        <v>1149.18</v>
      </c>
      <c r="Q1371" s="8" t="s">
        <v>2681</v>
      </c>
      <c r="R1371" s="8" t="s">
        <v>1704</v>
      </c>
    </row>
    <row r="1372" spans="1:20" x14ac:dyDescent="0.2">
      <c r="A1372" s="8" t="s">
        <v>4429</v>
      </c>
      <c r="B1372" s="8" t="str">
        <f t="shared" si="42"/>
        <v>1586244345</v>
      </c>
      <c r="C1372" s="8" t="str">
        <f t="shared" si="43"/>
        <v>1407</v>
      </c>
      <c r="D1372" s="8" t="s">
        <v>119</v>
      </c>
      <c r="F1372" s="8" t="s">
        <v>136</v>
      </c>
      <c r="G1372" s="8" t="s">
        <v>704</v>
      </c>
      <c r="H1372" s="8" t="s">
        <v>705</v>
      </c>
      <c r="I1372" s="8" t="s">
        <v>1302</v>
      </c>
      <c r="J1372" s="8" t="s">
        <v>1303</v>
      </c>
      <c r="K1372" s="8" t="s">
        <v>1304</v>
      </c>
      <c r="L1372" s="8" t="s">
        <v>1305</v>
      </c>
      <c r="M1372" s="8" t="s">
        <v>2778</v>
      </c>
      <c r="N1372" s="8" t="s">
        <v>704</v>
      </c>
      <c r="O1372" s="8">
        <v>1034.26</v>
      </c>
      <c r="P1372" s="8">
        <v>1149.18</v>
      </c>
      <c r="Q1372" s="8" t="s">
        <v>2681</v>
      </c>
      <c r="S1372" s="8" t="s">
        <v>142</v>
      </c>
      <c r="T1372" s="8">
        <v>281.07</v>
      </c>
    </row>
    <row r="1373" spans="1:20" x14ac:dyDescent="0.2">
      <c r="A1373" s="8" t="s">
        <v>3981</v>
      </c>
      <c r="B1373" s="8" t="str">
        <f t="shared" si="42"/>
        <v>1586244345</v>
      </c>
      <c r="C1373" s="8" t="str">
        <f t="shared" si="43"/>
        <v>1408</v>
      </c>
      <c r="D1373" s="8" t="s">
        <v>119</v>
      </c>
      <c r="F1373" s="8" t="s">
        <v>136</v>
      </c>
      <c r="G1373" s="8" t="s">
        <v>704</v>
      </c>
      <c r="H1373" s="8" t="s">
        <v>705</v>
      </c>
      <c r="I1373" s="8" t="s">
        <v>1302</v>
      </c>
      <c r="J1373" s="8" t="s">
        <v>1303</v>
      </c>
      <c r="K1373" s="8" t="s">
        <v>1304</v>
      </c>
      <c r="L1373" s="8" t="s">
        <v>1305</v>
      </c>
      <c r="M1373" s="8" t="s">
        <v>2778</v>
      </c>
      <c r="N1373" s="8" t="s">
        <v>704</v>
      </c>
      <c r="O1373" s="8">
        <v>1034.26</v>
      </c>
      <c r="P1373" s="8">
        <v>1149.18</v>
      </c>
      <c r="Q1373" s="8" t="s">
        <v>2681</v>
      </c>
      <c r="S1373" s="8" t="s">
        <v>1116</v>
      </c>
      <c r="T1373" s="8">
        <v>75.25</v>
      </c>
    </row>
    <row r="1374" spans="1:20" x14ac:dyDescent="0.2">
      <c r="A1374" s="8" t="s">
        <v>3905</v>
      </c>
      <c r="B1374" s="8" t="str">
        <f t="shared" si="42"/>
        <v>1586244349</v>
      </c>
      <c r="C1374" s="8" t="str">
        <f t="shared" si="43"/>
        <v>1409</v>
      </c>
      <c r="D1374" s="8" t="s">
        <v>119</v>
      </c>
      <c r="F1374" s="8" t="s">
        <v>136</v>
      </c>
      <c r="G1374" s="8" t="s">
        <v>761</v>
      </c>
      <c r="H1374" s="8" t="s">
        <v>762</v>
      </c>
      <c r="I1374" s="8" t="s">
        <v>763</v>
      </c>
      <c r="J1374" s="8" t="s">
        <v>1009</v>
      </c>
      <c r="K1374" s="8" t="s">
        <v>1010</v>
      </c>
      <c r="L1374" s="8" t="s">
        <v>1011</v>
      </c>
      <c r="M1374" s="8" t="s">
        <v>2778</v>
      </c>
      <c r="N1374" s="8" t="s">
        <v>761</v>
      </c>
      <c r="O1374" s="8">
        <v>1110.25</v>
      </c>
      <c r="P1374" s="8">
        <v>1233.6099999999999</v>
      </c>
      <c r="Q1374" s="8" t="s">
        <v>2682</v>
      </c>
      <c r="R1374" s="8" t="s">
        <v>2230</v>
      </c>
    </row>
    <row r="1375" spans="1:20" x14ac:dyDescent="0.2">
      <c r="A1375" s="8" t="s">
        <v>2975</v>
      </c>
      <c r="B1375" s="8" t="str">
        <f t="shared" si="42"/>
        <v>1586244349</v>
      </c>
      <c r="C1375" s="8" t="str">
        <f t="shared" si="43"/>
        <v>1410</v>
      </c>
      <c r="D1375" s="8" t="s">
        <v>119</v>
      </c>
      <c r="F1375" s="8" t="s">
        <v>136</v>
      </c>
      <c r="G1375" s="8" t="s">
        <v>761</v>
      </c>
      <c r="H1375" s="8" t="s">
        <v>762</v>
      </c>
      <c r="I1375" s="8" t="s">
        <v>763</v>
      </c>
      <c r="J1375" s="8" t="s">
        <v>1009</v>
      </c>
      <c r="K1375" s="8" t="s">
        <v>1010</v>
      </c>
      <c r="L1375" s="8" t="s">
        <v>1011</v>
      </c>
      <c r="M1375" s="8" t="s">
        <v>2778</v>
      </c>
      <c r="N1375" s="8" t="s">
        <v>761</v>
      </c>
      <c r="O1375" s="8">
        <v>1110.25</v>
      </c>
      <c r="P1375" s="8">
        <v>1233.6099999999999</v>
      </c>
      <c r="Q1375" s="8" t="s">
        <v>2682</v>
      </c>
      <c r="R1375" s="8" t="s">
        <v>1012</v>
      </c>
    </row>
    <row r="1376" spans="1:20" x14ac:dyDescent="0.2">
      <c r="A1376" s="8" t="s">
        <v>3698</v>
      </c>
      <c r="B1376" s="8" t="str">
        <f t="shared" si="42"/>
        <v>1586244349</v>
      </c>
      <c r="C1376" s="8" t="str">
        <f t="shared" si="43"/>
        <v>1411</v>
      </c>
      <c r="D1376" s="8" t="s">
        <v>119</v>
      </c>
      <c r="F1376" s="8" t="s">
        <v>136</v>
      </c>
      <c r="G1376" s="8" t="s">
        <v>761</v>
      </c>
      <c r="H1376" s="8" t="s">
        <v>762</v>
      </c>
      <c r="I1376" s="8" t="s">
        <v>763</v>
      </c>
      <c r="J1376" s="8" t="s">
        <v>1009</v>
      </c>
      <c r="K1376" s="8" t="s">
        <v>1010</v>
      </c>
      <c r="L1376" s="8" t="s">
        <v>1011</v>
      </c>
      <c r="M1376" s="8" t="s">
        <v>2778</v>
      </c>
      <c r="N1376" s="8" t="s">
        <v>761</v>
      </c>
      <c r="O1376" s="8">
        <v>1110.25</v>
      </c>
      <c r="P1376" s="8">
        <v>1233.6099999999999</v>
      </c>
      <c r="Q1376" s="8" t="s">
        <v>2682</v>
      </c>
      <c r="R1376" s="8" t="s">
        <v>1726</v>
      </c>
    </row>
    <row r="1377" spans="1:20" x14ac:dyDescent="0.2">
      <c r="A1377" s="8" t="s">
        <v>2919</v>
      </c>
      <c r="B1377" s="8" t="str">
        <f t="shared" si="42"/>
        <v>1586244349</v>
      </c>
      <c r="C1377" s="8" t="str">
        <f t="shared" si="43"/>
        <v>1412</v>
      </c>
      <c r="D1377" s="8" t="s">
        <v>119</v>
      </c>
      <c r="F1377" s="8" t="s">
        <v>136</v>
      </c>
      <c r="G1377" s="8" t="s">
        <v>761</v>
      </c>
      <c r="H1377" s="8" t="s">
        <v>762</v>
      </c>
      <c r="I1377" s="8" t="s">
        <v>763</v>
      </c>
      <c r="J1377" s="8" t="s">
        <v>1009</v>
      </c>
      <c r="K1377" s="8" t="s">
        <v>1010</v>
      </c>
      <c r="L1377" s="8" t="s">
        <v>1011</v>
      </c>
      <c r="M1377" s="8" t="s">
        <v>2778</v>
      </c>
      <c r="N1377" s="8" t="s">
        <v>761</v>
      </c>
      <c r="O1377" s="8">
        <v>1110.25</v>
      </c>
      <c r="P1377" s="8">
        <v>1233.6099999999999</v>
      </c>
      <c r="Q1377" s="8" t="s">
        <v>2682</v>
      </c>
      <c r="S1377" s="8" t="s">
        <v>1078</v>
      </c>
      <c r="T1377" s="8">
        <v>65.66</v>
      </c>
    </row>
    <row r="1378" spans="1:20" x14ac:dyDescent="0.2">
      <c r="A1378" s="8" t="s">
        <v>4358</v>
      </c>
      <c r="B1378" s="8" t="str">
        <f t="shared" si="42"/>
        <v>1586244351</v>
      </c>
      <c r="C1378" s="8" t="str">
        <f t="shared" si="43"/>
        <v>1413</v>
      </c>
      <c r="D1378" s="8" t="s">
        <v>119</v>
      </c>
      <c r="F1378" s="8" t="s">
        <v>136</v>
      </c>
      <c r="G1378" s="8" t="s">
        <v>761</v>
      </c>
      <c r="H1378" s="8" t="s">
        <v>762</v>
      </c>
      <c r="I1378" s="8" t="s">
        <v>763</v>
      </c>
      <c r="J1378" s="8" t="s">
        <v>764</v>
      </c>
      <c r="K1378" s="8" t="s">
        <v>125</v>
      </c>
      <c r="L1378" s="8" t="s">
        <v>765</v>
      </c>
      <c r="M1378" s="8" t="s">
        <v>2778</v>
      </c>
      <c r="N1378" s="8" t="s">
        <v>761</v>
      </c>
      <c r="O1378" s="8">
        <v>818.11</v>
      </c>
      <c r="P1378" s="8">
        <v>909.02</v>
      </c>
      <c r="Q1378" s="8" t="s">
        <v>2683</v>
      </c>
      <c r="R1378" s="8" t="s">
        <v>2160</v>
      </c>
    </row>
    <row r="1379" spans="1:20" x14ac:dyDescent="0.2">
      <c r="A1379" s="8" t="s">
        <v>4761</v>
      </c>
      <c r="B1379" s="8" t="str">
        <f t="shared" si="42"/>
        <v>1586244351</v>
      </c>
      <c r="C1379" s="8" t="str">
        <f t="shared" si="43"/>
        <v>1414</v>
      </c>
      <c r="D1379" s="8" t="s">
        <v>119</v>
      </c>
      <c r="F1379" s="8" t="s">
        <v>136</v>
      </c>
      <c r="G1379" s="8" t="s">
        <v>761</v>
      </c>
      <c r="H1379" s="8" t="s">
        <v>762</v>
      </c>
      <c r="I1379" s="8" t="s">
        <v>763</v>
      </c>
      <c r="J1379" s="8" t="s">
        <v>764</v>
      </c>
      <c r="K1379" s="8" t="s">
        <v>125</v>
      </c>
      <c r="L1379" s="8" t="s">
        <v>765</v>
      </c>
      <c r="M1379" s="8" t="s">
        <v>2778</v>
      </c>
      <c r="N1379" s="8" t="s">
        <v>761</v>
      </c>
      <c r="O1379" s="8">
        <v>818.11</v>
      </c>
      <c r="P1379" s="8">
        <v>909.02</v>
      </c>
      <c r="Q1379" s="8" t="s">
        <v>2683</v>
      </c>
      <c r="R1379" s="8" t="s">
        <v>953</v>
      </c>
    </row>
    <row r="1380" spans="1:20" x14ac:dyDescent="0.2">
      <c r="A1380" s="8" t="s">
        <v>3368</v>
      </c>
      <c r="B1380" s="8" t="str">
        <f t="shared" si="42"/>
        <v>1586244351</v>
      </c>
      <c r="C1380" s="8" t="str">
        <f t="shared" si="43"/>
        <v>1415</v>
      </c>
      <c r="D1380" s="8" t="s">
        <v>119</v>
      </c>
      <c r="F1380" s="8" t="s">
        <v>136</v>
      </c>
      <c r="G1380" s="8" t="s">
        <v>761</v>
      </c>
      <c r="H1380" s="8" t="s">
        <v>762</v>
      </c>
      <c r="I1380" s="8" t="s">
        <v>763</v>
      </c>
      <c r="J1380" s="8" t="s">
        <v>764</v>
      </c>
      <c r="K1380" s="8" t="s">
        <v>125</v>
      </c>
      <c r="L1380" s="8" t="s">
        <v>765</v>
      </c>
      <c r="M1380" s="8" t="s">
        <v>2778</v>
      </c>
      <c r="N1380" s="8" t="s">
        <v>761</v>
      </c>
      <c r="O1380" s="8">
        <v>818.11</v>
      </c>
      <c r="P1380" s="8">
        <v>909.02</v>
      </c>
      <c r="Q1380" s="8" t="s">
        <v>2683</v>
      </c>
      <c r="R1380" s="8" t="s">
        <v>766</v>
      </c>
    </row>
    <row r="1381" spans="1:20" x14ac:dyDescent="0.2">
      <c r="A1381" s="8" t="s">
        <v>2925</v>
      </c>
      <c r="B1381" s="8" t="str">
        <f t="shared" si="42"/>
        <v>1586244351</v>
      </c>
      <c r="C1381" s="8" t="str">
        <f t="shared" si="43"/>
        <v>1416</v>
      </c>
      <c r="D1381" s="8" t="s">
        <v>119</v>
      </c>
      <c r="F1381" s="8" t="s">
        <v>136</v>
      </c>
      <c r="G1381" s="8" t="s">
        <v>761</v>
      </c>
      <c r="H1381" s="8" t="s">
        <v>762</v>
      </c>
      <c r="I1381" s="8" t="s">
        <v>763</v>
      </c>
      <c r="J1381" s="8" t="s">
        <v>764</v>
      </c>
      <c r="K1381" s="8" t="s">
        <v>125</v>
      </c>
      <c r="L1381" s="8" t="s">
        <v>765</v>
      </c>
      <c r="M1381" s="8" t="s">
        <v>2778</v>
      </c>
      <c r="N1381" s="8" t="s">
        <v>761</v>
      </c>
      <c r="O1381" s="8">
        <v>818.11</v>
      </c>
      <c r="P1381" s="8">
        <v>909.02</v>
      </c>
      <c r="Q1381" s="8" t="s">
        <v>2683</v>
      </c>
      <c r="S1381" s="8" t="s">
        <v>142</v>
      </c>
      <c r="T1381" s="8">
        <v>30.98</v>
      </c>
    </row>
    <row r="1382" spans="1:20" x14ac:dyDescent="0.2">
      <c r="A1382" s="8" t="s">
        <v>4365</v>
      </c>
      <c r="B1382" s="8" t="str">
        <f t="shared" si="42"/>
        <v>1586244356</v>
      </c>
      <c r="C1382" s="8" t="str">
        <f t="shared" si="43"/>
        <v>1417</v>
      </c>
      <c r="D1382" s="8" t="s">
        <v>119</v>
      </c>
      <c r="F1382" s="8" t="s">
        <v>136</v>
      </c>
      <c r="G1382" s="8" t="s">
        <v>632</v>
      </c>
      <c r="H1382" s="8" t="s">
        <v>633</v>
      </c>
      <c r="I1382" s="8" t="s">
        <v>250</v>
      </c>
      <c r="J1382" s="8" t="s">
        <v>634</v>
      </c>
      <c r="K1382" s="8" t="s">
        <v>379</v>
      </c>
      <c r="L1382" s="8" t="s">
        <v>635</v>
      </c>
      <c r="M1382" s="8" t="s">
        <v>2778</v>
      </c>
      <c r="N1382" s="8" t="s">
        <v>632</v>
      </c>
      <c r="O1382" s="8">
        <v>560.66</v>
      </c>
      <c r="P1382" s="8">
        <v>622.95000000000005</v>
      </c>
      <c r="Q1382" s="8" t="s">
        <v>2684</v>
      </c>
      <c r="R1382" s="8" t="s">
        <v>2007</v>
      </c>
    </row>
    <row r="1383" spans="1:20" x14ac:dyDescent="0.2">
      <c r="A1383" s="8" t="s">
        <v>3892</v>
      </c>
      <c r="B1383" s="8" t="str">
        <f t="shared" si="42"/>
        <v>1586244356</v>
      </c>
      <c r="C1383" s="8" t="str">
        <f t="shared" si="43"/>
        <v>1418</v>
      </c>
      <c r="D1383" s="8" t="s">
        <v>119</v>
      </c>
      <c r="F1383" s="8" t="s">
        <v>136</v>
      </c>
      <c r="G1383" s="8" t="s">
        <v>632</v>
      </c>
      <c r="H1383" s="8" t="s">
        <v>633</v>
      </c>
      <c r="I1383" s="8" t="s">
        <v>250</v>
      </c>
      <c r="J1383" s="8" t="s">
        <v>634</v>
      </c>
      <c r="K1383" s="8" t="s">
        <v>379</v>
      </c>
      <c r="L1383" s="8" t="s">
        <v>635</v>
      </c>
      <c r="M1383" s="8" t="s">
        <v>2778</v>
      </c>
      <c r="N1383" s="8" t="s">
        <v>632</v>
      </c>
      <c r="O1383" s="8">
        <v>560.66</v>
      </c>
      <c r="P1383" s="8">
        <v>622.95000000000005</v>
      </c>
      <c r="Q1383" s="8" t="s">
        <v>2684</v>
      </c>
      <c r="R1383" s="8" t="s">
        <v>1817</v>
      </c>
    </row>
    <row r="1384" spans="1:20" x14ac:dyDescent="0.2">
      <c r="A1384" s="8" t="s">
        <v>3074</v>
      </c>
      <c r="B1384" s="8" t="str">
        <f t="shared" si="42"/>
        <v>1586244356</v>
      </c>
      <c r="C1384" s="8" t="str">
        <f t="shared" si="43"/>
        <v>1419</v>
      </c>
      <c r="D1384" s="8" t="s">
        <v>119</v>
      </c>
      <c r="F1384" s="8" t="s">
        <v>136</v>
      </c>
      <c r="G1384" s="8" t="s">
        <v>632</v>
      </c>
      <c r="H1384" s="8" t="s">
        <v>633</v>
      </c>
      <c r="I1384" s="8" t="s">
        <v>250</v>
      </c>
      <c r="J1384" s="8" t="s">
        <v>634</v>
      </c>
      <c r="K1384" s="8" t="s">
        <v>379</v>
      </c>
      <c r="L1384" s="8" t="s">
        <v>635</v>
      </c>
      <c r="M1384" s="8" t="s">
        <v>2778</v>
      </c>
      <c r="N1384" s="8" t="s">
        <v>632</v>
      </c>
      <c r="O1384" s="8">
        <v>560.66</v>
      </c>
      <c r="P1384" s="8">
        <v>622.95000000000005</v>
      </c>
      <c r="Q1384" s="8" t="s">
        <v>2684</v>
      </c>
      <c r="R1384" s="8" t="s">
        <v>2376</v>
      </c>
    </row>
    <row r="1385" spans="1:20" x14ac:dyDescent="0.2">
      <c r="A1385" s="8" t="s">
        <v>4755</v>
      </c>
      <c r="B1385" s="8" t="str">
        <f t="shared" si="42"/>
        <v>1586244356</v>
      </c>
      <c r="C1385" s="8" t="str">
        <f t="shared" si="43"/>
        <v>1420</v>
      </c>
      <c r="D1385" s="8" t="s">
        <v>119</v>
      </c>
      <c r="F1385" s="8" t="s">
        <v>136</v>
      </c>
      <c r="G1385" s="8" t="s">
        <v>632</v>
      </c>
      <c r="H1385" s="8" t="s">
        <v>633</v>
      </c>
      <c r="I1385" s="8" t="s">
        <v>250</v>
      </c>
      <c r="J1385" s="8" t="s">
        <v>634</v>
      </c>
      <c r="K1385" s="8" t="s">
        <v>379</v>
      </c>
      <c r="L1385" s="8" t="s">
        <v>635</v>
      </c>
      <c r="M1385" s="8" t="s">
        <v>2778</v>
      </c>
      <c r="N1385" s="8" t="s">
        <v>632</v>
      </c>
      <c r="O1385" s="8">
        <v>560.66</v>
      </c>
      <c r="P1385" s="8">
        <v>622.95000000000005</v>
      </c>
      <c r="Q1385" s="8" t="s">
        <v>2684</v>
      </c>
      <c r="R1385" s="8" t="s">
        <v>1282</v>
      </c>
    </row>
    <row r="1386" spans="1:20" x14ac:dyDescent="0.2">
      <c r="A1386" s="8" t="s">
        <v>3683</v>
      </c>
      <c r="B1386" s="8" t="str">
        <f t="shared" si="42"/>
        <v>1586244356</v>
      </c>
      <c r="C1386" s="8" t="str">
        <f t="shared" si="43"/>
        <v>1421</v>
      </c>
      <c r="D1386" s="8" t="s">
        <v>119</v>
      </c>
      <c r="F1386" s="8" t="s">
        <v>136</v>
      </c>
      <c r="G1386" s="8" t="s">
        <v>632</v>
      </c>
      <c r="H1386" s="8" t="s">
        <v>633</v>
      </c>
      <c r="I1386" s="8" t="s">
        <v>250</v>
      </c>
      <c r="J1386" s="8" t="s">
        <v>634</v>
      </c>
      <c r="K1386" s="8" t="s">
        <v>379</v>
      </c>
      <c r="L1386" s="8" t="s">
        <v>635</v>
      </c>
      <c r="M1386" s="8" t="s">
        <v>2778</v>
      </c>
      <c r="N1386" s="8" t="s">
        <v>632</v>
      </c>
      <c r="O1386" s="8">
        <v>560.66</v>
      </c>
      <c r="P1386" s="8">
        <v>622.95000000000005</v>
      </c>
      <c r="Q1386" s="8" t="s">
        <v>2684</v>
      </c>
      <c r="S1386" s="8" t="s">
        <v>331</v>
      </c>
      <c r="T1386" s="8">
        <v>22.87</v>
      </c>
    </row>
    <row r="1387" spans="1:20" x14ac:dyDescent="0.2">
      <c r="A1387" s="8" t="s">
        <v>4677</v>
      </c>
      <c r="B1387" s="8" t="str">
        <f t="shared" si="42"/>
        <v>1586244360</v>
      </c>
      <c r="C1387" s="8" t="str">
        <f t="shared" si="43"/>
        <v>1422</v>
      </c>
      <c r="D1387" s="8" t="s">
        <v>119</v>
      </c>
      <c r="F1387" s="8" t="s">
        <v>136</v>
      </c>
      <c r="G1387" s="8" t="s">
        <v>405</v>
      </c>
      <c r="H1387" s="8" t="s">
        <v>406</v>
      </c>
      <c r="I1387" s="8" t="s">
        <v>123</v>
      </c>
      <c r="J1387" s="8" t="s">
        <v>407</v>
      </c>
      <c r="K1387" s="8" t="s">
        <v>408</v>
      </c>
      <c r="L1387" s="8" t="s">
        <v>409</v>
      </c>
      <c r="M1387" s="8" t="s">
        <v>2778</v>
      </c>
      <c r="N1387" s="8" t="s">
        <v>405</v>
      </c>
      <c r="O1387" s="8">
        <v>1549.18</v>
      </c>
      <c r="P1387" s="8">
        <v>1721.31</v>
      </c>
      <c r="Q1387" s="8" t="s">
        <v>2685</v>
      </c>
      <c r="R1387" s="8" t="s">
        <v>1685</v>
      </c>
    </row>
    <row r="1388" spans="1:20" x14ac:dyDescent="0.2">
      <c r="A1388" s="8" t="s">
        <v>3921</v>
      </c>
      <c r="B1388" s="8" t="str">
        <f t="shared" si="42"/>
        <v>1586244360</v>
      </c>
      <c r="C1388" s="8" t="str">
        <f t="shared" si="43"/>
        <v>1423</v>
      </c>
      <c r="D1388" s="8" t="s">
        <v>119</v>
      </c>
      <c r="F1388" s="8" t="s">
        <v>136</v>
      </c>
      <c r="G1388" s="8" t="s">
        <v>405</v>
      </c>
      <c r="H1388" s="8" t="s">
        <v>406</v>
      </c>
      <c r="I1388" s="8" t="s">
        <v>123</v>
      </c>
      <c r="J1388" s="8" t="s">
        <v>407</v>
      </c>
      <c r="K1388" s="8" t="s">
        <v>408</v>
      </c>
      <c r="L1388" s="8" t="s">
        <v>409</v>
      </c>
      <c r="M1388" s="8" t="s">
        <v>2778</v>
      </c>
      <c r="N1388" s="8" t="s">
        <v>405</v>
      </c>
      <c r="O1388" s="8">
        <v>1549.18</v>
      </c>
      <c r="P1388" s="8">
        <v>1721.31</v>
      </c>
      <c r="Q1388" s="8" t="s">
        <v>2685</v>
      </c>
      <c r="R1388" s="8" t="s">
        <v>410</v>
      </c>
    </row>
    <row r="1389" spans="1:20" x14ac:dyDescent="0.2">
      <c r="A1389" s="8" t="s">
        <v>2941</v>
      </c>
      <c r="B1389" s="8" t="str">
        <f t="shared" si="42"/>
        <v>1586244360</v>
      </c>
      <c r="C1389" s="8" t="str">
        <f t="shared" si="43"/>
        <v>1424</v>
      </c>
      <c r="D1389" s="8" t="s">
        <v>119</v>
      </c>
      <c r="F1389" s="8" t="s">
        <v>136</v>
      </c>
      <c r="G1389" s="8" t="s">
        <v>405</v>
      </c>
      <c r="H1389" s="8" t="s">
        <v>406</v>
      </c>
      <c r="I1389" s="8" t="s">
        <v>123</v>
      </c>
      <c r="J1389" s="8" t="s">
        <v>407</v>
      </c>
      <c r="K1389" s="8" t="s">
        <v>408</v>
      </c>
      <c r="L1389" s="8" t="s">
        <v>409</v>
      </c>
      <c r="M1389" s="8" t="s">
        <v>2778</v>
      </c>
      <c r="N1389" s="8" t="s">
        <v>405</v>
      </c>
      <c r="O1389" s="8">
        <v>1549.18</v>
      </c>
      <c r="P1389" s="8">
        <v>1721.31</v>
      </c>
      <c r="Q1389" s="8" t="s">
        <v>2685</v>
      </c>
      <c r="R1389" s="8" t="s">
        <v>2044</v>
      </c>
    </row>
    <row r="1390" spans="1:20" x14ac:dyDescent="0.2">
      <c r="A1390" s="8" t="s">
        <v>3233</v>
      </c>
      <c r="B1390" s="8" t="str">
        <f t="shared" si="42"/>
        <v>1586244360</v>
      </c>
      <c r="C1390" s="8" t="str">
        <f t="shared" si="43"/>
        <v>1425</v>
      </c>
      <c r="D1390" s="8" t="s">
        <v>119</v>
      </c>
      <c r="F1390" s="8" t="s">
        <v>136</v>
      </c>
      <c r="G1390" s="8" t="s">
        <v>405</v>
      </c>
      <c r="H1390" s="8" t="s">
        <v>406</v>
      </c>
      <c r="I1390" s="8" t="s">
        <v>123</v>
      </c>
      <c r="J1390" s="8" t="s">
        <v>407</v>
      </c>
      <c r="K1390" s="8" t="s">
        <v>408</v>
      </c>
      <c r="L1390" s="8" t="s">
        <v>409</v>
      </c>
      <c r="M1390" s="8" t="s">
        <v>2778</v>
      </c>
      <c r="N1390" s="8" t="s">
        <v>405</v>
      </c>
      <c r="O1390" s="8">
        <v>1549.18</v>
      </c>
      <c r="P1390" s="8">
        <v>1721.31</v>
      </c>
      <c r="Q1390" s="8" t="s">
        <v>2685</v>
      </c>
      <c r="R1390" s="8" t="s">
        <v>428</v>
      </c>
    </row>
    <row r="1391" spans="1:20" x14ac:dyDescent="0.2">
      <c r="A1391" s="8" t="s">
        <v>4597</v>
      </c>
      <c r="B1391" s="8" t="str">
        <f t="shared" si="42"/>
        <v>1586244360</v>
      </c>
      <c r="C1391" s="8" t="str">
        <f t="shared" si="43"/>
        <v>1426</v>
      </c>
      <c r="D1391" s="8" t="s">
        <v>119</v>
      </c>
      <c r="F1391" s="8" t="s">
        <v>136</v>
      </c>
      <c r="G1391" s="8" t="s">
        <v>405</v>
      </c>
      <c r="H1391" s="8" t="s">
        <v>406</v>
      </c>
      <c r="I1391" s="8" t="s">
        <v>123</v>
      </c>
      <c r="J1391" s="8" t="s">
        <v>407</v>
      </c>
      <c r="K1391" s="8" t="s">
        <v>408</v>
      </c>
      <c r="L1391" s="8" t="s">
        <v>409</v>
      </c>
      <c r="M1391" s="8" t="s">
        <v>2778</v>
      </c>
      <c r="N1391" s="8" t="s">
        <v>405</v>
      </c>
      <c r="O1391" s="8">
        <v>1549.18</v>
      </c>
      <c r="P1391" s="8">
        <v>1721.31</v>
      </c>
      <c r="Q1391" s="8" t="s">
        <v>2685</v>
      </c>
      <c r="R1391" s="8" t="s">
        <v>1892</v>
      </c>
    </row>
    <row r="1392" spans="1:20" x14ac:dyDescent="0.2">
      <c r="A1392" s="8" t="s">
        <v>4008</v>
      </c>
      <c r="B1392" s="8" t="str">
        <f t="shared" si="42"/>
        <v>1586244360</v>
      </c>
      <c r="C1392" s="8" t="str">
        <f t="shared" si="43"/>
        <v>1427</v>
      </c>
      <c r="D1392" s="8" t="s">
        <v>119</v>
      </c>
      <c r="F1392" s="8" t="s">
        <v>136</v>
      </c>
      <c r="G1392" s="8" t="s">
        <v>405</v>
      </c>
      <c r="H1392" s="8" t="s">
        <v>406</v>
      </c>
      <c r="I1392" s="8" t="s">
        <v>123</v>
      </c>
      <c r="J1392" s="8" t="s">
        <v>407</v>
      </c>
      <c r="K1392" s="8" t="s">
        <v>408</v>
      </c>
      <c r="L1392" s="8" t="s">
        <v>409</v>
      </c>
      <c r="M1392" s="8" t="s">
        <v>2778</v>
      </c>
      <c r="N1392" s="8" t="s">
        <v>405</v>
      </c>
      <c r="O1392" s="8">
        <v>1549.18</v>
      </c>
      <c r="P1392" s="8">
        <v>1721.31</v>
      </c>
      <c r="Q1392" s="8" t="s">
        <v>2685</v>
      </c>
      <c r="S1392" s="8" t="s">
        <v>1947</v>
      </c>
      <c r="T1392" s="8">
        <v>148.28</v>
      </c>
    </row>
    <row r="1393" spans="1:20" x14ac:dyDescent="0.2">
      <c r="A1393" s="8" t="s">
        <v>3581</v>
      </c>
      <c r="B1393" s="8" t="str">
        <f t="shared" si="42"/>
        <v>1586244362</v>
      </c>
      <c r="C1393" s="8" t="str">
        <f t="shared" si="43"/>
        <v>1428</v>
      </c>
      <c r="D1393" s="8" t="s">
        <v>119</v>
      </c>
      <c r="F1393" s="8" t="s">
        <v>136</v>
      </c>
      <c r="G1393" s="8" t="s">
        <v>405</v>
      </c>
      <c r="H1393" s="8" t="s">
        <v>406</v>
      </c>
      <c r="I1393" s="8" t="s">
        <v>1050</v>
      </c>
      <c r="J1393" s="8" t="s">
        <v>1051</v>
      </c>
      <c r="K1393" s="8" t="s">
        <v>176</v>
      </c>
      <c r="L1393" s="8" t="s">
        <v>1052</v>
      </c>
      <c r="M1393" s="8" t="s">
        <v>2778</v>
      </c>
      <c r="N1393" s="8" t="s">
        <v>405</v>
      </c>
      <c r="O1393" s="8">
        <v>2692.62</v>
      </c>
      <c r="P1393" s="8">
        <v>2991.8</v>
      </c>
      <c r="Q1393" s="8" t="s">
        <v>2686</v>
      </c>
      <c r="R1393" s="8" t="s">
        <v>2188</v>
      </c>
    </row>
    <row r="1394" spans="1:20" x14ac:dyDescent="0.2">
      <c r="A1394" s="8" t="s">
        <v>4176</v>
      </c>
      <c r="B1394" s="8" t="str">
        <f t="shared" si="42"/>
        <v>1586244362</v>
      </c>
      <c r="C1394" s="8" t="str">
        <f t="shared" si="43"/>
        <v>1429</v>
      </c>
      <c r="D1394" s="8" t="s">
        <v>119</v>
      </c>
      <c r="F1394" s="8" t="s">
        <v>136</v>
      </c>
      <c r="G1394" s="8" t="s">
        <v>405</v>
      </c>
      <c r="H1394" s="8" t="s">
        <v>406</v>
      </c>
      <c r="I1394" s="8" t="s">
        <v>1050</v>
      </c>
      <c r="J1394" s="8" t="s">
        <v>1051</v>
      </c>
      <c r="K1394" s="8" t="s">
        <v>176</v>
      </c>
      <c r="L1394" s="8" t="s">
        <v>1052</v>
      </c>
      <c r="M1394" s="8" t="s">
        <v>2778</v>
      </c>
      <c r="N1394" s="8" t="s">
        <v>405</v>
      </c>
      <c r="O1394" s="8">
        <v>2692.62</v>
      </c>
      <c r="P1394" s="8">
        <v>2991.8</v>
      </c>
      <c r="Q1394" s="8" t="s">
        <v>2686</v>
      </c>
      <c r="R1394" s="8" t="s">
        <v>1348</v>
      </c>
    </row>
    <row r="1395" spans="1:20" x14ac:dyDescent="0.2">
      <c r="A1395" s="8" t="s">
        <v>4448</v>
      </c>
      <c r="B1395" s="8" t="str">
        <f t="shared" si="42"/>
        <v>1586244362</v>
      </c>
      <c r="C1395" s="8" t="str">
        <f t="shared" si="43"/>
        <v>1430</v>
      </c>
      <c r="D1395" s="8" t="s">
        <v>119</v>
      </c>
      <c r="F1395" s="8" t="s">
        <v>136</v>
      </c>
      <c r="G1395" s="8" t="s">
        <v>405</v>
      </c>
      <c r="H1395" s="8" t="s">
        <v>406</v>
      </c>
      <c r="I1395" s="8" t="s">
        <v>1050</v>
      </c>
      <c r="J1395" s="8" t="s">
        <v>1051</v>
      </c>
      <c r="K1395" s="8" t="s">
        <v>176</v>
      </c>
      <c r="L1395" s="8" t="s">
        <v>1052</v>
      </c>
      <c r="M1395" s="8" t="s">
        <v>2778</v>
      </c>
      <c r="N1395" s="8" t="s">
        <v>405</v>
      </c>
      <c r="O1395" s="8">
        <v>2692.62</v>
      </c>
      <c r="P1395" s="8">
        <v>2991.8</v>
      </c>
      <c r="Q1395" s="8" t="s">
        <v>2686</v>
      </c>
      <c r="R1395" s="8" t="s">
        <v>2343</v>
      </c>
    </row>
    <row r="1396" spans="1:20" x14ac:dyDescent="0.2">
      <c r="A1396" s="8" t="s">
        <v>4771</v>
      </c>
      <c r="B1396" s="8" t="str">
        <f t="shared" si="42"/>
        <v>1586244362</v>
      </c>
      <c r="C1396" s="8" t="str">
        <f t="shared" si="43"/>
        <v>1431</v>
      </c>
      <c r="D1396" s="8" t="s">
        <v>119</v>
      </c>
      <c r="F1396" s="8" t="s">
        <v>136</v>
      </c>
      <c r="G1396" s="8" t="s">
        <v>405</v>
      </c>
      <c r="H1396" s="8" t="s">
        <v>406</v>
      </c>
      <c r="I1396" s="8" t="s">
        <v>1050</v>
      </c>
      <c r="J1396" s="8" t="s">
        <v>1051</v>
      </c>
      <c r="K1396" s="8" t="s">
        <v>176</v>
      </c>
      <c r="L1396" s="8" t="s">
        <v>1052</v>
      </c>
      <c r="M1396" s="8" t="s">
        <v>2778</v>
      </c>
      <c r="N1396" s="8" t="s">
        <v>405</v>
      </c>
      <c r="O1396" s="8">
        <v>2692.62</v>
      </c>
      <c r="P1396" s="8">
        <v>2991.8</v>
      </c>
      <c r="Q1396" s="8" t="s">
        <v>2686</v>
      </c>
      <c r="R1396" s="8" t="s">
        <v>1053</v>
      </c>
    </row>
    <row r="1397" spans="1:20" x14ac:dyDescent="0.2">
      <c r="A1397" s="8" t="s">
        <v>3677</v>
      </c>
      <c r="B1397" s="8" t="str">
        <f t="shared" si="42"/>
        <v>1586244362</v>
      </c>
      <c r="C1397" s="8" t="str">
        <f t="shared" si="43"/>
        <v>1432</v>
      </c>
      <c r="D1397" s="8" t="s">
        <v>119</v>
      </c>
      <c r="F1397" s="8" t="s">
        <v>136</v>
      </c>
      <c r="G1397" s="8" t="s">
        <v>405</v>
      </c>
      <c r="H1397" s="8" t="s">
        <v>406</v>
      </c>
      <c r="I1397" s="8" t="s">
        <v>1050</v>
      </c>
      <c r="J1397" s="8" t="s">
        <v>1051</v>
      </c>
      <c r="K1397" s="8" t="s">
        <v>176</v>
      </c>
      <c r="L1397" s="8" t="s">
        <v>1052</v>
      </c>
      <c r="M1397" s="8" t="s">
        <v>2778</v>
      </c>
      <c r="N1397" s="8" t="s">
        <v>405</v>
      </c>
      <c r="O1397" s="8">
        <v>2692.62</v>
      </c>
      <c r="P1397" s="8">
        <v>2991.8</v>
      </c>
      <c r="Q1397" s="8" t="s">
        <v>2686</v>
      </c>
      <c r="R1397" s="8" t="s">
        <v>2395</v>
      </c>
    </row>
    <row r="1398" spans="1:20" x14ac:dyDescent="0.2">
      <c r="A1398" s="8" t="s">
        <v>2930</v>
      </c>
      <c r="B1398" s="8" t="str">
        <f t="shared" si="42"/>
        <v>1586244362</v>
      </c>
      <c r="C1398" s="8" t="str">
        <f t="shared" si="43"/>
        <v>1433</v>
      </c>
      <c r="D1398" s="8" t="s">
        <v>119</v>
      </c>
      <c r="F1398" s="8" t="s">
        <v>136</v>
      </c>
      <c r="G1398" s="8" t="s">
        <v>405</v>
      </c>
      <c r="H1398" s="8" t="s">
        <v>406</v>
      </c>
      <c r="I1398" s="8" t="s">
        <v>1050</v>
      </c>
      <c r="J1398" s="8" t="s">
        <v>1051</v>
      </c>
      <c r="K1398" s="8" t="s">
        <v>176</v>
      </c>
      <c r="L1398" s="8" t="s">
        <v>1052</v>
      </c>
      <c r="M1398" s="8" t="s">
        <v>2778</v>
      </c>
      <c r="N1398" s="8" t="s">
        <v>405</v>
      </c>
      <c r="O1398" s="8">
        <v>2692.62</v>
      </c>
      <c r="P1398" s="8">
        <v>2991.8</v>
      </c>
      <c r="Q1398" s="8" t="s">
        <v>2686</v>
      </c>
      <c r="R1398" s="8" t="s">
        <v>1273</v>
      </c>
    </row>
    <row r="1399" spans="1:20" x14ac:dyDescent="0.2">
      <c r="A1399" s="8" t="s">
        <v>4378</v>
      </c>
      <c r="B1399" s="8" t="str">
        <f t="shared" si="42"/>
        <v>1586244362</v>
      </c>
      <c r="C1399" s="8" t="str">
        <f t="shared" si="43"/>
        <v>1434</v>
      </c>
      <c r="D1399" s="8" t="s">
        <v>119</v>
      </c>
      <c r="F1399" s="8" t="s">
        <v>136</v>
      </c>
      <c r="G1399" s="8" t="s">
        <v>405</v>
      </c>
      <c r="H1399" s="8" t="s">
        <v>406</v>
      </c>
      <c r="I1399" s="8" t="s">
        <v>1050</v>
      </c>
      <c r="J1399" s="8" t="s">
        <v>1051</v>
      </c>
      <c r="K1399" s="8" t="s">
        <v>176</v>
      </c>
      <c r="L1399" s="8" t="s">
        <v>1052</v>
      </c>
      <c r="M1399" s="8" t="s">
        <v>2778</v>
      </c>
      <c r="N1399" s="8" t="s">
        <v>405</v>
      </c>
      <c r="O1399" s="8">
        <v>2692.62</v>
      </c>
      <c r="P1399" s="8">
        <v>2991.8</v>
      </c>
      <c r="Q1399" s="8" t="s">
        <v>2686</v>
      </c>
      <c r="S1399" s="8" t="s">
        <v>542</v>
      </c>
      <c r="T1399" s="8">
        <v>405.74</v>
      </c>
    </row>
    <row r="1400" spans="1:20" x14ac:dyDescent="0.2">
      <c r="A1400" s="8" t="s">
        <v>3081</v>
      </c>
      <c r="B1400" s="8" t="str">
        <f t="shared" si="42"/>
        <v>1586244366</v>
      </c>
      <c r="C1400" s="8" t="str">
        <f t="shared" si="43"/>
        <v>1435</v>
      </c>
      <c r="D1400" s="8" t="s">
        <v>119</v>
      </c>
      <c r="F1400" s="8" t="s">
        <v>136</v>
      </c>
      <c r="G1400" s="8" t="s">
        <v>376</v>
      </c>
      <c r="H1400" s="8" t="s">
        <v>377</v>
      </c>
      <c r="I1400" s="8" t="s">
        <v>250</v>
      </c>
      <c r="J1400" s="8" t="s">
        <v>378</v>
      </c>
      <c r="K1400" s="8" t="s">
        <v>379</v>
      </c>
      <c r="L1400" s="8" t="s">
        <v>380</v>
      </c>
      <c r="M1400" s="8" t="s">
        <v>2778</v>
      </c>
      <c r="N1400" s="8" t="s">
        <v>376</v>
      </c>
      <c r="O1400" s="8">
        <v>516.39</v>
      </c>
      <c r="P1400" s="8">
        <v>573.77</v>
      </c>
      <c r="Q1400" s="8" t="s">
        <v>2687</v>
      </c>
      <c r="R1400" s="8" t="s">
        <v>381</v>
      </c>
    </row>
    <row r="1401" spans="1:20" x14ac:dyDescent="0.2">
      <c r="A1401" s="8" t="s">
        <v>3648</v>
      </c>
      <c r="B1401" s="8" t="str">
        <f t="shared" si="42"/>
        <v>1586244366</v>
      </c>
      <c r="C1401" s="8" t="str">
        <f t="shared" si="43"/>
        <v>1436</v>
      </c>
      <c r="D1401" s="8" t="s">
        <v>119</v>
      </c>
      <c r="F1401" s="8" t="s">
        <v>136</v>
      </c>
      <c r="G1401" s="8" t="s">
        <v>376</v>
      </c>
      <c r="H1401" s="8" t="s">
        <v>377</v>
      </c>
      <c r="I1401" s="8" t="s">
        <v>250</v>
      </c>
      <c r="J1401" s="8" t="s">
        <v>378</v>
      </c>
      <c r="K1401" s="8" t="s">
        <v>379</v>
      </c>
      <c r="L1401" s="8" t="s">
        <v>380</v>
      </c>
      <c r="M1401" s="8" t="s">
        <v>2778</v>
      </c>
      <c r="N1401" s="8" t="s">
        <v>376</v>
      </c>
      <c r="O1401" s="8">
        <v>516.39</v>
      </c>
      <c r="P1401" s="8">
        <v>573.77</v>
      </c>
      <c r="Q1401" s="8" t="s">
        <v>2687</v>
      </c>
      <c r="R1401" s="8" t="s">
        <v>2207</v>
      </c>
    </row>
    <row r="1402" spans="1:20" x14ac:dyDescent="0.2">
      <c r="A1402" s="8" t="s">
        <v>3239</v>
      </c>
      <c r="B1402" s="8" t="str">
        <f t="shared" si="42"/>
        <v>1586244366</v>
      </c>
      <c r="C1402" s="8" t="str">
        <f t="shared" si="43"/>
        <v>1437</v>
      </c>
      <c r="D1402" s="8" t="s">
        <v>119</v>
      </c>
      <c r="F1402" s="8" t="s">
        <v>136</v>
      </c>
      <c r="G1402" s="8" t="s">
        <v>376</v>
      </c>
      <c r="H1402" s="8" t="s">
        <v>377</v>
      </c>
      <c r="I1402" s="8" t="s">
        <v>250</v>
      </c>
      <c r="J1402" s="8" t="s">
        <v>378</v>
      </c>
      <c r="K1402" s="8" t="s">
        <v>379</v>
      </c>
      <c r="L1402" s="8" t="s">
        <v>380</v>
      </c>
      <c r="M1402" s="8" t="s">
        <v>2778</v>
      </c>
      <c r="N1402" s="8" t="s">
        <v>376</v>
      </c>
      <c r="O1402" s="8">
        <v>516.39</v>
      </c>
      <c r="P1402" s="8">
        <v>573.77</v>
      </c>
      <c r="Q1402" s="8" t="s">
        <v>2687</v>
      </c>
      <c r="R1402" s="8" t="s">
        <v>592</v>
      </c>
    </row>
    <row r="1403" spans="1:20" x14ac:dyDescent="0.2">
      <c r="A1403" s="8" t="s">
        <v>4136</v>
      </c>
      <c r="B1403" s="8" t="str">
        <f t="shared" si="42"/>
        <v>1586244370</v>
      </c>
      <c r="C1403" s="8" t="str">
        <f t="shared" si="43"/>
        <v>1438</v>
      </c>
      <c r="D1403" s="8" t="s">
        <v>119</v>
      </c>
      <c r="F1403" s="8" t="s">
        <v>136</v>
      </c>
      <c r="G1403" s="8" t="s">
        <v>607</v>
      </c>
      <c r="H1403" s="8" t="s">
        <v>608</v>
      </c>
      <c r="I1403" s="8" t="s">
        <v>229</v>
      </c>
      <c r="J1403" s="8" t="s">
        <v>636</v>
      </c>
      <c r="K1403" s="8" t="s">
        <v>60</v>
      </c>
      <c r="L1403" s="8" t="s">
        <v>637</v>
      </c>
      <c r="M1403" s="8" t="s">
        <v>2778</v>
      </c>
      <c r="N1403" s="8" t="s">
        <v>607</v>
      </c>
      <c r="O1403" s="8">
        <v>672.05</v>
      </c>
      <c r="P1403" s="8">
        <v>746.72</v>
      </c>
      <c r="Q1403" s="8" t="s">
        <v>2688</v>
      </c>
      <c r="R1403" s="8" t="s">
        <v>2404</v>
      </c>
    </row>
    <row r="1404" spans="1:20" x14ac:dyDescent="0.2">
      <c r="A1404" s="8" t="s">
        <v>2974</v>
      </c>
      <c r="B1404" s="8" t="str">
        <f t="shared" si="42"/>
        <v>1586244370</v>
      </c>
      <c r="C1404" s="8" t="str">
        <f t="shared" si="43"/>
        <v>1439</v>
      </c>
      <c r="D1404" s="8" t="s">
        <v>119</v>
      </c>
      <c r="F1404" s="8" t="s">
        <v>136</v>
      </c>
      <c r="G1404" s="8" t="s">
        <v>607</v>
      </c>
      <c r="H1404" s="8" t="s">
        <v>608</v>
      </c>
      <c r="I1404" s="8" t="s">
        <v>229</v>
      </c>
      <c r="J1404" s="8" t="s">
        <v>636</v>
      </c>
      <c r="K1404" s="8" t="s">
        <v>60</v>
      </c>
      <c r="L1404" s="8" t="s">
        <v>637</v>
      </c>
      <c r="M1404" s="8" t="s">
        <v>2778</v>
      </c>
      <c r="N1404" s="8" t="s">
        <v>607</v>
      </c>
      <c r="O1404" s="8">
        <v>672.05</v>
      </c>
      <c r="P1404" s="8">
        <v>746.72</v>
      </c>
      <c r="Q1404" s="8" t="s">
        <v>2688</v>
      </c>
      <c r="S1404" s="8" t="s">
        <v>142</v>
      </c>
      <c r="T1404" s="8">
        <v>42.05</v>
      </c>
    </row>
    <row r="1405" spans="1:20" x14ac:dyDescent="0.2">
      <c r="A1405" s="8" t="s">
        <v>3973</v>
      </c>
      <c r="B1405" s="8" t="str">
        <f t="shared" si="42"/>
        <v>1586244370</v>
      </c>
      <c r="C1405" s="8" t="str">
        <f t="shared" si="43"/>
        <v>1440</v>
      </c>
      <c r="D1405" s="8" t="s">
        <v>119</v>
      </c>
      <c r="F1405" s="8" t="s">
        <v>136</v>
      </c>
      <c r="G1405" s="8" t="s">
        <v>607</v>
      </c>
      <c r="H1405" s="8" t="s">
        <v>608</v>
      </c>
      <c r="I1405" s="8" t="s">
        <v>229</v>
      </c>
      <c r="J1405" s="8" t="s">
        <v>636</v>
      </c>
      <c r="K1405" s="8" t="s">
        <v>60</v>
      </c>
      <c r="L1405" s="8" t="s">
        <v>637</v>
      </c>
      <c r="M1405" s="8" t="s">
        <v>2778</v>
      </c>
      <c r="N1405" s="8" t="s">
        <v>607</v>
      </c>
      <c r="O1405" s="8">
        <v>672.05</v>
      </c>
      <c r="P1405" s="8">
        <v>746.72</v>
      </c>
      <c r="Q1405" s="8" t="s">
        <v>2688</v>
      </c>
      <c r="S1405" s="8" t="s">
        <v>232</v>
      </c>
      <c r="T1405" s="8">
        <v>0</v>
      </c>
    </row>
    <row r="1406" spans="1:20" x14ac:dyDescent="0.2">
      <c r="A1406" s="8" t="s">
        <v>4554</v>
      </c>
      <c r="B1406" s="8" t="str">
        <f t="shared" si="42"/>
        <v>1586244370</v>
      </c>
      <c r="C1406" s="8" t="str">
        <f t="shared" si="43"/>
        <v>1441</v>
      </c>
      <c r="D1406" s="8" t="s">
        <v>119</v>
      </c>
      <c r="F1406" s="8" t="s">
        <v>136</v>
      </c>
      <c r="G1406" s="8" t="s">
        <v>607</v>
      </c>
      <c r="H1406" s="8" t="s">
        <v>608</v>
      </c>
      <c r="I1406" s="8" t="s">
        <v>229</v>
      </c>
      <c r="J1406" s="8" t="s">
        <v>636</v>
      </c>
      <c r="K1406" s="8" t="s">
        <v>60</v>
      </c>
      <c r="L1406" s="8" t="s">
        <v>637</v>
      </c>
      <c r="M1406" s="8" t="s">
        <v>2778</v>
      </c>
      <c r="N1406" s="8" t="s">
        <v>607</v>
      </c>
      <c r="O1406" s="8">
        <v>672.05</v>
      </c>
      <c r="P1406" s="8">
        <v>746.72</v>
      </c>
      <c r="Q1406" s="8" t="s">
        <v>2688</v>
      </c>
      <c r="S1406" s="8" t="s">
        <v>513</v>
      </c>
      <c r="T1406" s="8">
        <v>46.48</v>
      </c>
    </row>
    <row r="1407" spans="1:20" x14ac:dyDescent="0.2">
      <c r="A1407" s="8" t="s">
        <v>2777</v>
      </c>
      <c r="B1407" s="8" t="str">
        <f t="shared" si="42"/>
        <v>1586244372</v>
      </c>
      <c r="C1407" s="8" t="str">
        <f t="shared" si="43"/>
        <v>1442</v>
      </c>
      <c r="D1407" s="8" t="s">
        <v>119</v>
      </c>
      <c r="F1407" s="8" t="s">
        <v>136</v>
      </c>
      <c r="G1407" s="8" t="s">
        <v>607</v>
      </c>
      <c r="H1407" s="8" t="s">
        <v>608</v>
      </c>
      <c r="I1407" s="8" t="s">
        <v>509</v>
      </c>
      <c r="J1407" s="8" t="s">
        <v>609</v>
      </c>
      <c r="K1407" s="8" t="s">
        <v>511</v>
      </c>
      <c r="L1407" s="8" t="s">
        <v>610</v>
      </c>
      <c r="M1407" s="8" t="s">
        <v>2778</v>
      </c>
      <c r="N1407" s="8" t="s">
        <v>607</v>
      </c>
      <c r="O1407" s="8">
        <v>700.82</v>
      </c>
      <c r="P1407" s="8">
        <v>778.69</v>
      </c>
      <c r="Q1407" s="8" t="s">
        <v>2689</v>
      </c>
      <c r="R1407" s="8" t="s">
        <v>1757</v>
      </c>
    </row>
    <row r="1408" spans="1:20" x14ac:dyDescent="0.2">
      <c r="A1408" s="8" t="s">
        <v>2924</v>
      </c>
      <c r="B1408" s="8" t="str">
        <f t="shared" si="42"/>
        <v>1586244372</v>
      </c>
      <c r="C1408" s="8" t="str">
        <f t="shared" si="43"/>
        <v>1443</v>
      </c>
      <c r="D1408" s="8" t="s">
        <v>119</v>
      </c>
      <c r="F1408" s="8" t="s">
        <v>136</v>
      </c>
      <c r="G1408" s="8" t="s">
        <v>607</v>
      </c>
      <c r="H1408" s="8" t="s">
        <v>608</v>
      </c>
      <c r="I1408" s="8" t="s">
        <v>509</v>
      </c>
      <c r="J1408" s="8" t="s">
        <v>609</v>
      </c>
      <c r="K1408" s="8" t="s">
        <v>511</v>
      </c>
      <c r="L1408" s="8" t="s">
        <v>610</v>
      </c>
      <c r="M1408" s="8" t="s">
        <v>2778</v>
      </c>
      <c r="N1408" s="8" t="s">
        <v>607</v>
      </c>
      <c r="O1408" s="8">
        <v>700.82</v>
      </c>
      <c r="P1408" s="8">
        <v>778.69</v>
      </c>
      <c r="Q1408" s="8" t="s">
        <v>2689</v>
      </c>
      <c r="R1408" s="8" t="s">
        <v>1949</v>
      </c>
    </row>
    <row r="1409" spans="1:20" x14ac:dyDescent="0.2">
      <c r="A1409" s="8" t="s">
        <v>3707</v>
      </c>
      <c r="B1409" s="8" t="str">
        <f t="shared" si="42"/>
        <v>1586244372</v>
      </c>
      <c r="C1409" s="8" t="str">
        <f t="shared" si="43"/>
        <v>1444</v>
      </c>
      <c r="D1409" s="8" t="s">
        <v>119</v>
      </c>
      <c r="F1409" s="8" t="s">
        <v>136</v>
      </c>
      <c r="G1409" s="8" t="s">
        <v>607</v>
      </c>
      <c r="H1409" s="8" t="s">
        <v>608</v>
      </c>
      <c r="I1409" s="8" t="s">
        <v>509</v>
      </c>
      <c r="J1409" s="8" t="s">
        <v>609</v>
      </c>
      <c r="K1409" s="8" t="s">
        <v>511</v>
      </c>
      <c r="L1409" s="8" t="s">
        <v>610</v>
      </c>
      <c r="M1409" s="8" t="s">
        <v>2778</v>
      </c>
      <c r="N1409" s="8" t="s">
        <v>607</v>
      </c>
      <c r="O1409" s="8">
        <v>700.82</v>
      </c>
      <c r="P1409" s="8">
        <v>778.69</v>
      </c>
      <c r="Q1409" s="8" t="s">
        <v>2689</v>
      </c>
      <c r="R1409" s="8" t="s">
        <v>1914</v>
      </c>
    </row>
    <row r="1410" spans="1:20" x14ac:dyDescent="0.2">
      <c r="A1410" s="8" t="s">
        <v>4398</v>
      </c>
      <c r="B1410" s="8" t="str">
        <f t="shared" ref="B1410:B1473" si="44">LEFT(A1410, FIND("-", A1410) - 1)</f>
        <v>1586244372</v>
      </c>
      <c r="C1410" s="8" t="str">
        <f t="shared" ref="C1410:C1473" si="45">RIGHT(A1410, LEN(A1410) - FIND("-", A1410))</f>
        <v>1445</v>
      </c>
      <c r="D1410" s="8" t="s">
        <v>119</v>
      </c>
      <c r="F1410" s="8" t="s">
        <v>136</v>
      </c>
      <c r="G1410" s="8" t="s">
        <v>607</v>
      </c>
      <c r="H1410" s="8" t="s">
        <v>608</v>
      </c>
      <c r="I1410" s="8" t="s">
        <v>509</v>
      </c>
      <c r="J1410" s="8" t="s">
        <v>609</v>
      </c>
      <c r="K1410" s="8" t="s">
        <v>511</v>
      </c>
      <c r="L1410" s="8" t="s">
        <v>610</v>
      </c>
      <c r="M1410" s="8" t="s">
        <v>2778</v>
      </c>
      <c r="N1410" s="8" t="s">
        <v>607</v>
      </c>
      <c r="O1410" s="8">
        <v>700.82</v>
      </c>
      <c r="P1410" s="8">
        <v>778.69</v>
      </c>
      <c r="Q1410" s="8" t="s">
        <v>2689</v>
      </c>
      <c r="S1410" s="8" t="s">
        <v>142</v>
      </c>
      <c r="T1410" s="8">
        <v>53.85</v>
      </c>
    </row>
    <row r="1411" spans="1:20" x14ac:dyDescent="0.2">
      <c r="A1411" s="8" t="s">
        <v>3923</v>
      </c>
      <c r="B1411" s="8" t="str">
        <f t="shared" si="44"/>
        <v>1586244372</v>
      </c>
      <c r="C1411" s="8" t="str">
        <f t="shared" si="45"/>
        <v>1446</v>
      </c>
      <c r="D1411" s="8" t="s">
        <v>119</v>
      </c>
      <c r="F1411" s="8" t="s">
        <v>136</v>
      </c>
      <c r="G1411" s="8" t="s">
        <v>607</v>
      </c>
      <c r="H1411" s="8" t="s">
        <v>608</v>
      </c>
      <c r="I1411" s="8" t="s">
        <v>509</v>
      </c>
      <c r="J1411" s="8" t="s">
        <v>609</v>
      </c>
      <c r="K1411" s="8" t="s">
        <v>511</v>
      </c>
      <c r="L1411" s="8" t="s">
        <v>610</v>
      </c>
      <c r="M1411" s="8" t="s">
        <v>2778</v>
      </c>
      <c r="N1411" s="8" t="s">
        <v>607</v>
      </c>
      <c r="O1411" s="8">
        <v>700.82</v>
      </c>
      <c r="P1411" s="8">
        <v>778.69</v>
      </c>
      <c r="Q1411" s="8" t="s">
        <v>2689</v>
      </c>
      <c r="S1411" s="8" t="s">
        <v>232</v>
      </c>
      <c r="T1411" s="8">
        <v>0</v>
      </c>
    </row>
    <row r="1412" spans="1:20" x14ac:dyDescent="0.2">
      <c r="A1412" s="8" t="s">
        <v>4052</v>
      </c>
      <c r="B1412" s="8" t="str">
        <f t="shared" si="44"/>
        <v>1586244372</v>
      </c>
      <c r="C1412" s="8" t="str">
        <f t="shared" si="45"/>
        <v>1447</v>
      </c>
      <c r="D1412" s="8" t="s">
        <v>119</v>
      </c>
      <c r="F1412" s="8" t="s">
        <v>136</v>
      </c>
      <c r="G1412" s="8" t="s">
        <v>607</v>
      </c>
      <c r="H1412" s="8" t="s">
        <v>608</v>
      </c>
      <c r="I1412" s="8" t="s">
        <v>509</v>
      </c>
      <c r="J1412" s="8" t="s">
        <v>609</v>
      </c>
      <c r="K1412" s="8" t="s">
        <v>511</v>
      </c>
      <c r="L1412" s="8" t="s">
        <v>610</v>
      </c>
      <c r="M1412" s="8" t="s">
        <v>2778</v>
      </c>
      <c r="N1412" s="8" t="s">
        <v>607</v>
      </c>
      <c r="O1412" s="8">
        <v>700.82</v>
      </c>
      <c r="P1412" s="8">
        <v>778.69</v>
      </c>
      <c r="Q1412" s="8" t="s">
        <v>2689</v>
      </c>
      <c r="S1412" s="8" t="s">
        <v>513</v>
      </c>
      <c r="T1412" s="8">
        <v>46.48</v>
      </c>
    </row>
    <row r="1413" spans="1:20" x14ac:dyDescent="0.2">
      <c r="A1413" s="8" t="s">
        <v>4542</v>
      </c>
      <c r="B1413" s="8" t="str">
        <f t="shared" si="44"/>
        <v>1586244374</v>
      </c>
      <c r="C1413" s="8" t="str">
        <f t="shared" si="45"/>
        <v>1448</v>
      </c>
      <c r="D1413" s="8" t="s">
        <v>119</v>
      </c>
      <c r="F1413" s="8" t="s">
        <v>136</v>
      </c>
      <c r="G1413" s="8" t="s">
        <v>607</v>
      </c>
      <c r="H1413" s="8" t="s">
        <v>608</v>
      </c>
      <c r="I1413" s="8" t="s">
        <v>652</v>
      </c>
      <c r="J1413" s="8" t="s">
        <v>1370</v>
      </c>
      <c r="K1413" s="8" t="s">
        <v>654</v>
      </c>
      <c r="L1413" s="8" t="s">
        <v>1371</v>
      </c>
      <c r="M1413" s="8" t="s">
        <v>2778</v>
      </c>
      <c r="N1413" s="8" t="s">
        <v>607</v>
      </c>
      <c r="O1413" s="8">
        <v>1085.9000000000001</v>
      </c>
      <c r="P1413" s="8">
        <v>1206.56</v>
      </c>
      <c r="Q1413" s="8" t="s">
        <v>2690</v>
      </c>
      <c r="R1413" s="8" t="s">
        <v>1832</v>
      </c>
    </row>
    <row r="1414" spans="1:20" x14ac:dyDescent="0.2">
      <c r="A1414" s="8" t="s">
        <v>3588</v>
      </c>
      <c r="B1414" s="8" t="str">
        <f t="shared" si="44"/>
        <v>1586244374</v>
      </c>
      <c r="C1414" s="8" t="str">
        <f t="shared" si="45"/>
        <v>1449</v>
      </c>
      <c r="D1414" s="8" t="s">
        <v>119</v>
      </c>
      <c r="F1414" s="8" t="s">
        <v>136</v>
      </c>
      <c r="G1414" s="8" t="s">
        <v>607</v>
      </c>
      <c r="H1414" s="8" t="s">
        <v>608</v>
      </c>
      <c r="I1414" s="8" t="s">
        <v>652</v>
      </c>
      <c r="J1414" s="8" t="s">
        <v>1370</v>
      </c>
      <c r="K1414" s="8" t="s">
        <v>654</v>
      </c>
      <c r="L1414" s="8" t="s">
        <v>1371</v>
      </c>
      <c r="M1414" s="8" t="s">
        <v>2778</v>
      </c>
      <c r="N1414" s="8" t="s">
        <v>607</v>
      </c>
      <c r="O1414" s="8">
        <v>1085.9000000000001</v>
      </c>
      <c r="P1414" s="8">
        <v>1206.56</v>
      </c>
      <c r="Q1414" s="8" t="s">
        <v>2690</v>
      </c>
      <c r="R1414" s="8" t="s">
        <v>2097</v>
      </c>
    </row>
    <row r="1415" spans="1:20" x14ac:dyDescent="0.2">
      <c r="A1415" s="8" t="s">
        <v>4006</v>
      </c>
      <c r="B1415" s="8" t="str">
        <f t="shared" si="44"/>
        <v>1586244374</v>
      </c>
      <c r="C1415" s="8" t="str">
        <f t="shared" si="45"/>
        <v>1450</v>
      </c>
      <c r="D1415" s="8" t="s">
        <v>119</v>
      </c>
      <c r="F1415" s="8" t="s">
        <v>136</v>
      </c>
      <c r="G1415" s="8" t="s">
        <v>607</v>
      </c>
      <c r="H1415" s="8" t="s">
        <v>608</v>
      </c>
      <c r="I1415" s="8" t="s">
        <v>652</v>
      </c>
      <c r="J1415" s="8" t="s">
        <v>1370</v>
      </c>
      <c r="K1415" s="8" t="s">
        <v>654</v>
      </c>
      <c r="L1415" s="8" t="s">
        <v>1371</v>
      </c>
      <c r="M1415" s="8" t="s">
        <v>2778</v>
      </c>
      <c r="N1415" s="8" t="s">
        <v>607</v>
      </c>
      <c r="O1415" s="8">
        <v>1085.9000000000001</v>
      </c>
      <c r="P1415" s="8">
        <v>1206.56</v>
      </c>
      <c r="Q1415" s="8" t="s">
        <v>2690</v>
      </c>
      <c r="R1415" s="8" t="s">
        <v>1878</v>
      </c>
    </row>
    <row r="1416" spans="1:20" x14ac:dyDescent="0.2">
      <c r="A1416" s="8" t="s">
        <v>4543</v>
      </c>
      <c r="B1416" s="8" t="str">
        <f t="shared" si="44"/>
        <v>1586244374</v>
      </c>
      <c r="C1416" s="8" t="str">
        <f t="shared" si="45"/>
        <v>1451</v>
      </c>
      <c r="D1416" s="8" t="s">
        <v>119</v>
      </c>
      <c r="F1416" s="8" t="s">
        <v>136</v>
      </c>
      <c r="G1416" s="8" t="s">
        <v>607</v>
      </c>
      <c r="H1416" s="8" t="s">
        <v>608</v>
      </c>
      <c r="I1416" s="8" t="s">
        <v>652</v>
      </c>
      <c r="J1416" s="8" t="s">
        <v>1370</v>
      </c>
      <c r="K1416" s="8" t="s">
        <v>654</v>
      </c>
      <c r="L1416" s="8" t="s">
        <v>1371</v>
      </c>
      <c r="M1416" s="8" t="s">
        <v>2778</v>
      </c>
      <c r="N1416" s="8" t="s">
        <v>607</v>
      </c>
      <c r="O1416" s="8">
        <v>1085.9000000000001</v>
      </c>
      <c r="P1416" s="8">
        <v>1206.56</v>
      </c>
      <c r="Q1416" s="8" t="s">
        <v>2690</v>
      </c>
      <c r="S1416" s="8" t="s">
        <v>142</v>
      </c>
      <c r="T1416" s="8">
        <v>53.85</v>
      </c>
    </row>
    <row r="1417" spans="1:20" x14ac:dyDescent="0.2">
      <c r="A1417" s="8" t="s">
        <v>3016</v>
      </c>
      <c r="B1417" s="8" t="str">
        <f t="shared" si="44"/>
        <v>1586244374</v>
      </c>
      <c r="C1417" s="8" t="str">
        <f t="shared" si="45"/>
        <v>1452</v>
      </c>
      <c r="D1417" s="8" t="s">
        <v>119</v>
      </c>
      <c r="F1417" s="8" t="s">
        <v>136</v>
      </c>
      <c r="G1417" s="8" t="s">
        <v>607</v>
      </c>
      <c r="H1417" s="8" t="s">
        <v>608</v>
      </c>
      <c r="I1417" s="8" t="s">
        <v>652</v>
      </c>
      <c r="J1417" s="8" t="s">
        <v>1370</v>
      </c>
      <c r="K1417" s="8" t="s">
        <v>654</v>
      </c>
      <c r="L1417" s="8" t="s">
        <v>1371</v>
      </c>
      <c r="M1417" s="8" t="s">
        <v>2778</v>
      </c>
      <c r="N1417" s="8" t="s">
        <v>607</v>
      </c>
      <c r="O1417" s="8">
        <v>1085.9000000000001</v>
      </c>
      <c r="P1417" s="8">
        <v>1206.56</v>
      </c>
      <c r="Q1417" s="8" t="s">
        <v>2690</v>
      </c>
      <c r="S1417" s="8" t="s">
        <v>1460</v>
      </c>
      <c r="T1417" s="8">
        <v>0</v>
      </c>
    </row>
    <row r="1418" spans="1:20" x14ac:dyDescent="0.2">
      <c r="A1418" s="8" t="s">
        <v>3332</v>
      </c>
      <c r="B1418" s="8" t="str">
        <f t="shared" si="44"/>
        <v>1586244374</v>
      </c>
      <c r="C1418" s="8" t="str">
        <f t="shared" si="45"/>
        <v>1453</v>
      </c>
      <c r="D1418" s="8" t="s">
        <v>119</v>
      </c>
      <c r="F1418" s="8" t="s">
        <v>136</v>
      </c>
      <c r="G1418" s="8" t="s">
        <v>607</v>
      </c>
      <c r="H1418" s="8" t="s">
        <v>608</v>
      </c>
      <c r="I1418" s="8" t="s">
        <v>652</v>
      </c>
      <c r="J1418" s="8" t="s">
        <v>1370</v>
      </c>
      <c r="K1418" s="8" t="s">
        <v>654</v>
      </c>
      <c r="L1418" s="8" t="s">
        <v>1371</v>
      </c>
      <c r="M1418" s="8" t="s">
        <v>2778</v>
      </c>
      <c r="N1418" s="8" t="s">
        <v>607</v>
      </c>
      <c r="O1418" s="8">
        <v>1085.9000000000001</v>
      </c>
      <c r="P1418" s="8">
        <v>1206.56</v>
      </c>
      <c r="Q1418" s="8" t="s">
        <v>2690</v>
      </c>
      <c r="S1418" s="8" t="s">
        <v>513</v>
      </c>
      <c r="T1418" s="8">
        <v>46.48</v>
      </c>
    </row>
    <row r="1419" spans="1:20" x14ac:dyDescent="0.2">
      <c r="A1419" s="8" t="s">
        <v>4649</v>
      </c>
      <c r="B1419" s="8" t="str">
        <f t="shared" si="44"/>
        <v>1586244378</v>
      </c>
      <c r="C1419" s="8" t="str">
        <f t="shared" si="45"/>
        <v>1454</v>
      </c>
      <c r="D1419" s="8" t="s">
        <v>119</v>
      </c>
      <c r="F1419" s="8" t="s">
        <v>136</v>
      </c>
      <c r="G1419" s="8" t="s">
        <v>875</v>
      </c>
      <c r="H1419" s="8" t="s">
        <v>876</v>
      </c>
      <c r="I1419" s="8" t="s">
        <v>509</v>
      </c>
      <c r="J1419" s="8" t="s">
        <v>1107</v>
      </c>
      <c r="K1419" s="8" t="s">
        <v>511</v>
      </c>
      <c r="L1419" s="8" t="s">
        <v>512</v>
      </c>
      <c r="M1419" s="8" t="s">
        <v>2778</v>
      </c>
      <c r="N1419" s="8" t="s">
        <v>875</v>
      </c>
      <c r="O1419" s="8">
        <v>700.82</v>
      </c>
      <c r="P1419" s="8">
        <v>778.69</v>
      </c>
      <c r="Q1419" s="8" t="s">
        <v>2689</v>
      </c>
      <c r="R1419" s="8" t="s">
        <v>1449</v>
      </c>
    </row>
    <row r="1420" spans="1:20" x14ac:dyDescent="0.2">
      <c r="A1420" s="8" t="s">
        <v>4747</v>
      </c>
      <c r="B1420" s="8" t="str">
        <f t="shared" si="44"/>
        <v>1586244378</v>
      </c>
      <c r="C1420" s="8" t="str">
        <f t="shared" si="45"/>
        <v>1455</v>
      </c>
      <c r="D1420" s="8" t="s">
        <v>119</v>
      </c>
      <c r="F1420" s="8" t="s">
        <v>136</v>
      </c>
      <c r="G1420" s="8" t="s">
        <v>875</v>
      </c>
      <c r="H1420" s="8" t="s">
        <v>876</v>
      </c>
      <c r="I1420" s="8" t="s">
        <v>509</v>
      </c>
      <c r="J1420" s="8" t="s">
        <v>1107</v>
      </c>
      <c r="K1420" s="8" t="s">
        <v>511</v>
      </c>
      <c r="L1420" s="8" t="s">
        <v>512</v>
      </c>
      <c r="M1420" s="8" t="s">
        <v>2778</v>
      </c>
      <c r="N1420" s="8" t="s">
        <v>875</v>
      </c>
      <c r="O1420" s="8">
        <v>700.82</v>
      </c>
      <c r="P1420" s="8">
        <v>778.69</v>
      </c>
      <c r="Q1420" s="8" t="s">
        <v>2689</v>
      </c>
      <c r="R1420" s="8" t="s">
        <v>1819</v>
      </c>
    </row>
    <row r="1421" spans="1:20" x14ac:dyDescent="0.2">
      <c r="A1421" s="8" t="s">
        <v>4203</v>
      </c>
      <c r="B1421" s="8" t="str">
        <f t="shared" si="44"/>
        <v>1586244378</v>
      </c>
      <c r="C1421" s="8" t="str">
        <f t="shared" si="45"/>
        <v>1456</v>
      </c>
      <c r="D1421" s="8" t="s">
        <v>119</v>
      </c>
      <c r="F1421" s="8" t="s">
        <v>136</v>
      </c>
      <c r="G1421" s="8" t="s">
        <v>875</v>
      </c>
      <c r="H1421" s="8" t="s">
        <v>876</v>
      </c>
      <c r="I1421" s="8" t="s">
        <v>509</v>
      </c>
      <c r="J1421" s="8" t="s">
        <v>1107</v>
      </c>
      <c r="K1421" s="8" t="s">
        <v>511</v>
      </c>
      <c r="L1421" s="8" t="s">
        <v>512</v>
      </c>
      <c r="M1421" s="8" t="s">
        <v>2778</v>
      </c>
      <c r="N1421" s="8" t="s">
        <v>875</v>
      </c>
      <c r="O1421" s="8">
        <v>700.82</v>
      </c>
      <c r="P1421" s="8">
        <v>778.69</v>
      </c>
      <c r="Q1421" s="8" t="s">
        <v>2689</v>
      </c>
      <c r="S1421" s="8" t="s">
        <v>142</v>
      </c>
      <c r="T1421" s="8">
        <v>54.59</v>
      </c>
    </row>
    <row r="1422" spans="1:20" x14ac:dyDescent="0.2">
      <c r="A1422" s="8" t="s">
        <v>3542</v>
      </c>
      <c r="B1422" s="8" t="str">
        <f t="shared" si="44"/>
        <v>1586244378</v>
      </c>
      <c r="C1422" s="8" t="str">
        <f t="shared" si="45"/>
        <v>1457</v>
      </c>
      <c r="D1422" s="8" t="s">
        <v>119</v>
      </c>
      <c r="F1422" s="8" t="s">
        <v>136</v>
      </c>
      <c r="G1422" s="8" t="s">
        <v>875</v>
      </c>
      <c r="H1422" s="8" t="s">
        <v>876</v>
      </c>
      <c r="I1422" s="8" t="s">
        <v>509</v>
      </c>
      <c r="J1422" s="8" t="s">
        <v>1107</v>
      </c>
      <c r="K1422" s="8" t="s">
        <v>511</v>
      </c>
      <c r="L1422" s="8" t="s">
        <v>512</v>
      </c>
      <c r="M1422" s="8" t="s">
        <v>2778</v>
      </c>
      <c r="N1422" s="8" t="s">
        <v>875</v>
      </c>
      <c r="O1422" s="8">
        <v>700.82</v>
      </c>
      <c r="P1422" s="8">
        <v>778.69</v>
      </c>
      <c r="Q1422" s="8" t="s">
        <v>2689</v>
      </c>
      <c r="S1422" s="8" t="s">
        <v>232</v>
      </c>
      <c r="T1422" s="8">
        <v>0</v>
      </c>
    </row>
    <row r="1423" spans="1:20" x14ac:dyDescent="0.2">
      <c r="A1423" s="8" t="s">
        <v>4133</v>
      </c>
      <c r="B1423" s="8" t="str">
        <f t="shared" si="44"/>
        <v>1586244378</v>
      </c>
      <c r="C1423" s="8" t="str">
        <f t="shared" si="45"/>
        <v>1458</v>
      </c>
      <c r="D1423" s="8" t="s">
        <v>119</v>
      </c>
      <c r="F1423" s="8" t="s">
        <v>136</v>
      </c>
      <c r="G1423" s="8" t="s">
        <v>875</v>
      </c>
      <c r="H1423" s="8" t="s">
        <v>876</v>
      </c>
      <c r="I1423" s="8" t="s">
        <v>509</v>
      </c>
      <c r="J1423" s="8" t="s">
        <v>1107</v>
      </c>
      <c r="K1423" s="8" t="s">
        <v>511</v>
      </c>
      <c r="L1423" s="8" t="s">
        <v>512</v>
      </c>
      <c r="M1423" s="8" t="s">
        <v>2778</v>
      </c>
      <c r="N1423" s="8" t="s">
        <v>875</v>
      </c>
      <c r="O1423" s="8">
        <v>700.82</v>
      </c>
      <c r="P1423" s="8">
        <v>778.69</v>
      </c>
      <c r="Q1423" s="8" t="s">
        <v>2689</v>
      </c>
      <c r="S1423" s="8" t="s">
        <v>513</v>
      </c>
      <c r="T1423" s="8">
        <v>46.48</v>
      </c>
    </row>
    <row r="1424" spans="1:20" x14ac:dyDescent="0.2">
      <c r="A1424" s="8" t="s">
        <v>4191</v>
      </c>
      <c r="B1424" s="8" t="str">
        <f t="shared" si="44"/>
        <v>1586244380</v>
      </c>
      <c r="C1424" s="8" t="str">
        <f t="shared" si="45"/>
        <v>1459</v>
      </c>
      <c r="D1424" s="8" t="s">
        <v>119</v>
      </c>
      <c r="F1424" s="8" t="s">
        <v>136</v>
      </c>
      <c r="G1424" s="8" t="s">
        <v>875</v>
      </c>
      <c r="H1424" s="8" t="s">
        <v>876</v>
      </c>
      <c r="I1424" s="8" t="s">
        <v>652</v>
      </c>
      <c r="J1424" s="8" t="s">
        <v>877</v>
      </c>
      <c r="K1424" s="8" t="s">
        <v>654</v>
      </c>
      <c r="L1424" s="8" t="s">
        <v>655</v>
      </c>
      <c r="M1424" s="8" t="s">
        <v>2778</v>
      </c>
      <c r="N1424" s="8" t="s">
        <v>875</v>
      </c>
      <c r="O1424" s="8">
        <v>1085.9000000000001</v>
      </c>
      <c r="P1424" s="8">
        <v>1206.56</v>
      </c>
      <c r="Q1424" s="8" t="s">
        <v>2690</v>
      </c>
      <c r="R1424" s="8" t="s">
        <v>878</v>
      </c>
    </row>
    <row r="1425" spans="1:20" x14ac:dyDescent="0.2">
      <c r="A1425" s="8" t="s">
        <v>3357</v>
      </c>
      <c r="B1425" s="8" t="str">
        <f t="shared" si="44"/>
        <v>1586244380</v>
      </c>
      <c r="C1425" s="8" t="str">
        <f t="shared" si="45"/>
        <v>1460</v>
      </c>
      <c r="D1425" s="8" t="s">
        <v>119</v>
      </c>
      <c r="F1425" s="8" t="s">
        <v>136</v>
      </c>
      <c r="G1425" s="8" t="s">
        <v>875</v>
      </c>
      <c r="H1425" s="8" t="s">
        <v>876</v>
      </c>
      <c r="I1425" s="8" t="s">
        <v>652</v>
      </c>
      <c r="J1425" s="8" t="s">
        <v>877</v>
      </c>
      <c r="K1425" s="8" t="s">
        <v>654</v>
      </c>
      <c r="L1425" s="8" t="s">
        <v>655</v>
      </c>
      <c r="M1425" s="8" t="s">
        <v>2778</v>
      </c>
      <c r="N1425" s="8" t="s">
        <v>875</v>
      </c>
      <c r="O1425" s="8">
        <v>1085.9000000000001</v>
      </c>
      <c r="P1425" s="8">
        <v>1206.56</v>
      </c>
      <c r="Q1425" s="8" t="s">
        <v>2690</v>
      </c>
      <c r="R1425" s="8" t="s">
        <v>1461</v>
      </c>
    </row>
    <row r="1426" spans="1:20" x14ac:dyDescent="0.2">
      <c r="A1426" s="8" t="s">
        <v>3746</v>
      </c>
      <c r="B1426" s="8" t="str">
        <f t="shared" si="44"/>
        <v>1586244380</v>
      </c>
      <c r="C1426" s="8" t="str">
        <f t="shared" si="45"/>
        <v>1461</v>
      </c>
      <c r="D1426" s="8" t="s">
        <v>119</v>
      </c>
      <c r="F1426" s="8" t="s">
        <v>136</v>
      </c>
      <c r="G1426" s="8" t="s">
        <v>875</v>
      </c>
      <c r="H1426" s="8" t="s">
        <v>876</v>
      </c>
      <c r="I1426" s="8" t="s">
        <v>652</v>
      </c>
      <c r="J1426" s="8" t="s">
        <v>877</v>
      </c>
      <c r="K1426" s="8" t="s">
        <v>654</v>
      </c>
      <c r="L1426" s="8" t="s">
        <v>655</v>
      </c>
      <c r="M1426" s="8" t="s">
        <v>2778</v>
      </c>
      <c r="N1426" s="8" t="s">
        <v>875</v>
      </c>
      <c r="O1426" s="8">
        <v>1085.9000000000001</v>
      </c>
      <c r="P1426" s="8">
        <v>1206.56</v>
      </c>
      <c r="Q1426" s="8" t="s">
        <v>2690</v>
      </c>
      <c r="R1426" s="8" t="s">
        <v>656</v>
      </c>
    </row>
    <row r="1427" spans="1:20" x14ac:dyDescent="0.2">
      <c r="A1427" s="8" t="s">
        <v>3888</v>
      </c>
      <c r="B1427" s="8" t="str">
        <f t="shared" si="44"/>
        <v>1586244380</v>
      </c>
      <c r="C1427" s="8" t="str">
        <f t="shared" si="45"/>
        <v>1462</v>
      </c>
      <c r="D1427" s="8" t="s">
        <v>119</v>
      </c>
      <c r="F1427" s="8" t="s">
        <v>136</v>
      </c>
      <c r="G1427" s="8" t="s">
        <v>875</v>
      </c>
      <c r="H1427" s="8" t="s">
        <v>876</v>
      </c>
      <c r="I1427" s="8" t="s">
        <v>652</v>
      </c>
      <c r="J1427" s="8" t="s">
        <v>877</v>
      </c>
      <c r="K1427" s="8" t="s">
        <v>654</v>
      </c>
      <c r="L1427" s="8" t="s">
        <v>655</v>
      </c>
      <c r="M1427" s="8" t="s">
        <v>2778</v>
      </c>
      <c r="N1427" s="8" t="s">
        <v>875</v>
      </c>
      <c r="O1427" s="8">
        <v>1085.9000000000001</v>
      </c>
      <c r="P1427" s="8">
        <v>1206.56</v>
      </c>
      <c r="Q1427" s="8" t="s">
        <v>2690</v>
      </c>
      <c r="S1427" s="8" t="s">
        <v>1460</v>
      </c>
      <c r="T1427" s="8">
        <v>0</v>
      </c>
    </row>
    <row r="1428" spans="1:20" x14ac:dyDescent="0.2">
      <c r="A1428" s="8" t="s">
        <v>3109</v>
      </c>
      <c r="B1428" s="8" t="str">
        <f t="shared" si="44"/>
        <v>1586244380</v>
      </c>
      <c r="C1428" s="8" t="str">
        <f t="shared" si="45"/>
        <v>1463</v>
      </c>
      <c r="D1428" s="8" t="s">
        <v>119</v>
      </c>
      <c r="F1428" s="8" t="s">
        <v>136</v>
      </c>
      <c r="G1428" s="8" t="s">
        <v>875</v>
      </c>
      <c r="H1428" s="8" t="s">
        <v>876</v>
      </c>
      <c r="I1428" s="8" t="s">
        <v>652</v>
      </c>
      <c r="J1428" s="8" t="s">
        <v>877</v>
      </c>
      <c r="K1428" s="8" t="s">
        <v>654</v>
      </c>
      <c r="L1428" s="8" t="s">
        <v>655</v>
      </c>
      <c r="M1428" s="8" t="s">
        <v>2778</v>
      </c>
      <c r="N1428" s="8" t="s">
        <v>875</v>
      </c>
      <c r="O1428" s="8">
        <v>1085.9000000000001</v>
      </c>
      <c r="P1428" s="8">
        <v>1206.56</v>
      </c>
      <c r="Q1428" s="8" t="s">
        <v>2690</v>
      </c>
      <c r="S1428" s="8" t="s">
        <v>513</v>
      </c>
      <c r="T1428" s="8">
        <v>46.48</v>
      </c>
    </row>
    <row r="1429" spans="1:20" x14ac:dyDescent="0.2">
      <c r="A1429" s="8" t="s">
        <v>2963</v>
      </c>
      <c r="B1429" s="8" t="str">
        <f t="shared" si="44"/>
        <v>1586244384</v>
      </c>
      <c r="C1429" s="8" t="str">
        <f t="shared" si="45"/>
        <v>1464</v>
      </c>
      <c r="D1429" s="8" t="s">
        <v>119</v>
      </c>
      <c r="F1429" s="8" t="s">
        <v>136</v>
      </c>
      <c r="G1429" s="8" t="s">
        <v>650</v>
      </c>
      <c r="H1429" s="8" t="s">
        <v>651</v>
      </c>
      <c r="I1429" s="8" t="s">
        <v>229</v>
      </c>
      <c r="J1429" s="8" t="s">
        <v>1609</v>
      </c>
      <c r="K1429" s="8" t="s">
        <v>60</v>
      </c>
      <c r="L1429" s="8" t="s">
        <v>231</v>
      </c>
      <c r="M1429" s="8" t="s">
        <v>2778</v>
      </c>
      <c r="N1429" s="8" t="s">
        <v>650</v>
      </c>
      <c r="O1429" s="8">
        <v>672.05</v>
      </c>
      <c r="P1429" s="8">
        <v>746.72</v>
      </c>
      <c r="Q1429" s="8" t="s">
        <v>2688</v>
      </c>
      <c r="R1429" s="8" t="s">
        <v>1610</v>
      </c>
    </row>
    <row r="1430" spans="1:20" x14ac:dyDescent="0.2">
      <c r="A1430" s="8" t="s">
        <v>3192</v>
      </c>
      <c r="B1430" s="8" t="str">
        <f t="shared" si="44"/>
        <v>1586244384</v>
      </c>
      <c r="C1430" s="8" t="str">
        <f t="shared" si="45"/>
        <v>1465</v>
      </c>
      <c r="D1430" s="8" t="s">
        <v>119</v>
      </c>
      <c r="F1430" s="8" t="s">
        <v>136</v>
      </c>
      <c r="G1430" s="8" t="s">
        <v>650</v>
      </c>
      <c r="H1430" s="8" t="s">
        <v>651</v>
      </c>
      <c r="I1430" s="8" t="s">
        <v>229</v>
      </c>
      <c r="J1430" s="8" t="s">
        <v>1609</v>
      </c>
      <c r="K1430" s="8" t="s">
        <v>60</v>
      </c>
      <c r="L1430" s="8" t="s">
        <v>231</v>
      </c>
      <c r="M1430" s="8" t="s">
        <v>2778</v>
      </c>
      <c r="N1430" s="8" t="s">
        <v>650</v>
      </c>
      <c r="O1430" s="8">
        <v>672.05</v>
      </c>
      <c r="P1430" s="8">
        <v>746.72</v>
      </c>
      <c r="Q1430" s="8" t="s">
        <v>2688</v>
      </c>
      <c r="S1430" s="8" t="s">
        <v>142</v>
      </c>
      <c r="T1430" s="8">
        <v>42.05</v>
      </c>
    </row>
    <row r="1431" spans="1:20" x14ac:dyDescent="0.2">
      <c r="A1431" s="8" t="s">
        <v>4658</v>
      </c>
      <c r="B1431" s="8" t="str">
        <f t="shared" si="44"/>
        <v>1586244384</v>
      </c>
      <c r="C1431" s="8" t="str">
        <f t="shared" si="45"/>
        <v>1466</v>
      </c>
      <c r="D1431" s="8" t="s">
        <v>119</v>
      </c>
      <c r="F1431" s="8" t="s">
        <v>136</v>
      </c>
      <c r="G1431" s="8" t="s">
        <v>650</v>
      </c>
      <c r="H1431" s="8" t="s">
        <v>651</v>
      </c>
      <c r="I1431" s="8" t="s">
        <v>229</v>
      </c>
      <c r="J1431" s="8" t="s">
        <v>1609</v>
      </c>
      <c r="K1431" s="8" t="s">
        <v>60</v>
      </c>
      <c r="L1431" s="8" t="s">
        <v>231</v>
      </c>
      <c r="M1431" s="8" t="s">
        <v>2778</v>
      </c>
      <c r="N1431" s="8" t="s">
        <v>650</v>
      </c>
      <c r="O1431" s="8">
        <v>672.05</v>
      </c>
      <c r="P1431" s="8">
        <v>746.72</v>
      </c>
      <c r="Q1431" s="8" t="s">
        <v>2688</v>
      </c>
      <c r="S1431" s="8" t="s">
        <v>232</v>
      </c>
      <c r="T1431" s="8">
        <v>0</v>
      </c>
    </row>
    <row r="1432" spans="1:20" x14ac:dyDescent="0.2">
      <c r="A1432" s="8" t="s">
        <v>4403</v>
      </c>
      <c r="B1432" s="8" t="str">
        <f t="shared" si="44"/>
        <v>1586244384</v>
      </c>
      <c r="C1432" s="8" t="str">
        <f t="shared" si="45"/>
        <v>1467</v>
      </c>
      <c r="D1432" s="8" t="s">
        <v>119</v>
      </c>
      <c r="F1432" s="8" t="s">
        <v>136</v>
      </c>
      <c r="G1432" s="8" t="s">
        <v>650</v>
      </c>
      <c r="H1432" s="8" t="s">
        <v>651</v>
      </c>
      <c r="I1432" s="8" t="s">
        <v>229</v>
      </c>
      <c r="J1432" s="8" t="s">
        <v>1609</v>
      </c>
      <c r="K1432" s="8" t="s">
        <v>60</v>
      </c>
      <c r="L1432" s="8" t="s">
        <v>231</v>
      </c>
      <c r="M1432" s="8" t="s">
        <v>2778</v>
      </c>
      <c r="N1432" s="8" t="s">
        <v>650</v>
      </c>
      <c r="O1432" s="8">
        <v>672.05</v>
      </c>
      <c r="P1432" s="8">
        <v>746.72</v>
      </c>
      <c r="Q1432" s="8" t="s">
        <v>2688</v>
      </c>
      <c r="S1432" s="8" t="s">
        <v>513</v>
      </c>
      <c r="T1432" s="8">
        <v>46.48</v>
      </c>
    </row>
    <row r="1433" spans="1:20" x14ac:dyDescent="0.2">
      <c r="A1433" s="8" t="s">
        <v>3558</v>
      </c>
      <c r="B1433" s="8" t="str">
        <f t="shared" si="44"/>
        <v>1586244387</v>
      </c>
      <c r="C1433" s="8" t="str">
        <f t="shared" si="45"/>
        <v>1468</v>
      </c>
      <c r="D1433" s="8" t="s">
        <v>119</v>
      </c>
      <c r="F1433" s="8" t="s">
        <v>136</v>
      </c>
      <c r="G1433" s="8" t="s">
        <v>650</v>
      </c>
      <c r="H1433" s="8" t="s">
        <v>651</v>
      </c>
      <c r="I1433" s="8" t="s">
        <v>509</v>
      </c>
      <c r="J1433" s="8" t="s">
        <v>1818</v>
      </c>
      <c r="K1433" s="8" t="s">
        <v>511</v>
      </c>
      <c r="L1433" s="8" t="s">
        <v>512</v>
      </c>
      <c r="M1433" s="8" t="s">
        <v>2778</v>
      </c>
      <c r="N1433" s="8" t="s">
        <v>650</v>
      </c>
      <c r="O1433" s="8">
        <v>700.82</v>
      </c>
      <c r="P1433" s="8">
        <v>778.69</v>
      </c>
      <c r="Q1433" s="8" t="s">
        <v>2689</v>
      </c>
      <c r="R1433" s="8" t="s">
        <v>1449</v>
      </c>
    </row>
    <row r="1434" spans="1:20" x14ac:dyDescent="0.2">
      <c r="A1434" s="8" t="s">
        <v>2983</v>
      </c>
      <c r="B1434" s="8" t="str">
        <f t="shared" si="44"/>
        <v>1586244387</v>
      </c>
      <c r="C1434" s="8" t="str">
        <f t="shared" si="45"/>
        <v>1469</v>
      </c>
      <c r="D1434" s="8" t="s">
        <v>119</v>
      </c>
      <c r="F1434" s="8" t="s">
        <v>136</v>
      </c>
      <c r="G1434" s="8" t="s">
        <v>650</v>
      </c>
      <c r="H1434" s="8" t="s">
        <v>651</v>
      </c>
      <c r="I1434" s="8" t="s">
        <v>509</v>
      </c>
      <c r="J1434" s="8" t="s">
        <v>1818</v>
      </c>
      <c r="K1434" s="8" t="s">
        <v>511</v>
      </c>
      <c r="L1434" s="8" t="s">
        <v>512</v>
      </c>
      <c r="M1434" s="8" t="s">
        <v>2778</v>
      </c>
      <c r="N1434" s="8" t="s">
        <v>650</v>
      </c>
      <c r="O1434" s="8">
        <v>700.82</v>
      </c>
      <c r="P1434" s="8">
        <v>778.69</v>
      </c>
      <c r="Q1434" s="8" t="s">
        <v>2689</v>
      </c>
      <c r="R1434" s="8" t="s">
        <v>1819</v>
      </c>
    </row>
    <row r="1435" spans="1:20" x14ac:dyDescent="0.2">
      <c r="A1435" s="8" t="s">
        <v>4029</v>
      </c>
      <c r="B1435" s="8" t="str">
        <f t="shared" si="44"/>
        <v>1586244387</v>
      </c>
      <c r="C1435" s="8" t="str">
        <f t="shared" si="45"/>
        <v>1470</v>
      </c>
      <c r="D1435" s="8" t="s">
        <v>119</v>
      </c>
      <c r="F1435" s="8" t="s">
        <v>136</v>
      </c>
      <c r="G1435" s="8" t="s">
        <v>650</v>
      </c>
      <c r="H1435" s="8" t="s">
        <v>651</v>
      </c>
      <c r="I1435" s="8" t="s">
        <v>509</v>
      </c>
      <c r="J1435" s="8" t="s">
        <v>1818</v>
      </c>
      <c r="K1435" s="8" t="s">
        <v>511</v>
      </c>
      <c r="L1435" s="8" t="s">
        <v>512</v>
      </c>
      <c r="M1435" s="8" t="s">
        <v>2778</v>
      </c>
      <c r="N1435" s="8" t="s">
        <v>650</v>
      </c>
      <c r="O1435" s="8">
        <v>700.82</v>
      </c>
      <c r="P1435" s="8">
        <v>778.69</v>
      </c>
      <c r="Q1435" s="8" t="s">
        <v>2689</v>
      </c>
      <c r="S1435" s="8" t="s">
        <v>142</v>
      </c>
      <c r="T1435" s="8">
        <v>54.59</v>
      </c>
    </row>
    <row r="1436" spans="1:20" x14ac:dyDescent="0.2">
      <c r="A1436" s="8" t="s">
        <v>3141</v>
      </c>
      <c r="B1436" s="8" t="str">
        <f t="shared" si="44"/>
        <v>1586244387</v>
      </c>
      <c r="C1436" s="8" t="str">
        <f t="shared" si="45"/>
        <v>1471</v>
      </c>
      <c r="D1436" s="8" t="s">
        <v>119</v>
      </c>
      <c r="F1436" s="8" t="s">
        <v>136</v>
      </c>
      <c r="G1436" s="8" t="s">
        <v>650</v>
      </c>
      <c r="H1436" s="8" t="s">
        <v>651</v>
      </c>
      <c r="I1436" s="8" t="s">
        <v>509</v>
      </c>
      <c r="J1436" s="8" t="s">
        <v>1818</v>
      </c>
      <c r="K1436" s="8" t="s">
        <v>511</v>
      </c>
      <c r="L1436" s="8" t="s">
        <v>512</v>
      </c>
      <c r="M1436" s="8" t="s">
        <v>2778</v>
      </c>
      <c r="N1436" s="8" t="s">
        <v>650</v>
      </c>
      <c r="O1436" s="8">
        <v>700.82</v>
      </c>
      <c r="P1436" s="8">
        <v>778.69</v>
      </c>
      <c r="Q1436" s="8" t="s">
        <v>2689</v>
      </c>
      <c r="S1436" s="8" t="s">
        <v>232</v>
      </c>
      <c r="T1436" s="8">
        <v>0</v>
      </c>
    </row>
    <row r="1437" spans="1:20" x14ac:dyDescent="0.2">
      <c r="A1437" s="8" t="s">
        <v>4590</v>
      </c>
      <c r="B1437" s="8" t="str">
        <f t="shared" si="44"/>
        <v>1586244387</v>
      </c>
      <c r="C1437" s="8" t="str">
        <f t="shared" si="45"/>
        <v>1472</v>
      </c>
      <c r="D1437" s="8" t="s">
        <v>119</v>
      </c>
      <c r="F1437" s="8" t="s">
        <v>136</v>
      </c>
      <c r="G1437" s="8" t="s">
        <v>650</v>
      </c>
      <c r="H1437" s="8" t="s">
        <v>651</v>
      </c>
      <c r="I1437" s="8" t="s">
        <v>509</v>
      </c>
      <c r="J1437" s="8" t="s">
        <v>1818</v>
      </c>
      <c r="K1437" s="8" t="s">
        <v>511</v>
      </c>
      <c r="L1437" s="8" t="s">
        <v>512</v>
      </c>
      <c r="M1437" s="8" t="s">
        <v>2778</v>
      </c>
      <c r="N1437" s="8" t="s">
        <v>650</v>
      </c>
      <c r="O1437" s="8">
        <v>700.82</v>
      </c>
      <c r="P1437" s="8">
        <v>778.69</v>
      </c>
      <c r="Q1437" s="8" t="s">
        <v>2689</v>
      </c>
      <c r="S1437" s="8" t="s">
        <v>513</v>
      </c>
      <c r="T1437" s="8">
        <v>46.48</v>
      </c>
    </row>
    <row r="1438" spans="1:20" x14ac:dyDescent="0.2">
      <c r="A1438" s="8" t="s">
        <v>3085</v>
      </c>
      <c r="B1438" s="8" t="str">
        <f t="shared" si="44"/>
        <v>1586244389</v>
      </c>
      <c r="C1438" s="8" t="str">
        <f t="shared" si="45"/>
        <v>1473</v>
      </c>
      <c r="D1438" s="8" t="s">
        <v>119</v>
      </c>
      <c r="F1438" s="8" t="s">
        <v>136</v>
      </c>
      <c r="G1438" s="8" t="s">
        <v>650</v>
      </c>
      <c r="H1438" s="8" t="s">
        <v>651</v>
      </c>
      <c r="I1438" s="8" t="s">
        <v>652</v>
      </c>
      <c r="J1438" s="8" t="s">
        <v>653</v>
      </c>
      <c r="K1438" s="8" t="s">
        <v>654</v>
      </c>
      <c r="L1438" s="8" t="s">
        <v>655</v>
      </c>
      <c r="M1438" s="8" t="s">
        <v>2778</v>
      </c>
      <c r="N1438" s="8" t="s">
        <v>650</v>
      </c>
      <c r="O1438" s="8">
        <v>1085.9000000000001</v>
      </c>
      <c r="P1438" s="8">
        <v>1206.56</v>
      </c>
      <c r="Q1438" s="8" t="s">
        <v>2690</v>
      </c>
      <c r="R1438" s="8" t="s">
        <v>878</v>
      </c>
    </row>
    <row r="1439" spans="1:20" x14ac:dyDescent="0.2">
      <c r="A1439" s="8" t="s">
        <v>4157</v>
      </c>
      <c r="B1439" s="8" t="str">
        <f t="shared" si="44"/>
        <v>1586244389</v>
      </c>
      <c r="C1439" s="8" t="str">
        <f t="shared" si="45"/>
        <v>1474</v>
      </c>
      <c r="D1439" s="8" t="s">
        <v>119</v>
      </c>
      <c r="F1439" s="8" t="s">
        <v>136</v>
      </c>
      <c r="G1439" s="8" t="s">
        <v>650</v>
      </c>
      <c r="H1439" s="8" t="s">
        <v>651</v>
      </c>
      <c r="I1439" s="8" t="s">
        <v>652</v>
      </c>
      <c r="J1439" s="8" t="s">
        <v>653</v>
      </c>
      <c r="K1439" s="8" t="s">
        <v>654</v>
      </c>
      <c r="L1439" s="8" t="s">
        <v>655</v>
      </c>
      <c r="M1439" s="8" t="s">
        <v>2778</v>
      </c>
      <c r="N1439" s="8" t="s">
        <v>650</v>
      </c>
      <c r="O1439" s="8">
        <v>1085.9000000000001</v>
      </c>
      <c r="P1439" s="8">
        <v>1206.56</v>
      </c>
      <c r="Q1439" s="8" t="s">
        <v>2690</v>
      </c>
      <c r="R1439" s="8" t="s">
        <v>1461</v>
      </c>
    </row>
    <row r="1440" spans="1:20" x14ac:dyDescent="0.2">
      <c r="A1440" s="8" t="s">
        <v>3202</v>
      </c>
      <c r="B1440" s="8" t="str">
        <f t="shared" si="44"/>
        <v>1586244389</v>
      </c>
      <c r="C1440" s="8" t="str">
        <f t="shared" si="45"/>
        <v>1475</v>
      </c>
      <c r="D1440" s="8" t="s">
        <v>119</v>
      </c>
      <c r="F1440" s="8" t="s">
        <v>136</v>
      </c>
      <c r="G1440" s="8" t="s">
        <v>650</v>
      </c>
      <c r="H1440" s="8" t="s">
        <v>651</v>
      </c>
      <c r="I1440" s="8" t="s">
        <v>652</v>
      </c>
      <c r="J1440" s="8" t="s">
        <v>653</v>
      </c>
      <c r="K1440" s="8" t="s">
        <v>654</v>
      </c>
      <c r="L1440" s="8" t="s">
        <v>655</v>
      </c>
      <c r="M1440" s="8" t="s">
        <v>2778</v>
      </c>
      <c r="N1440" s="8" t="s">
        <v>650</v>
      </c>
      <c r="O1440" s="8">
        <v>1085.9000000000001</v>
      </c>
      <c r="P1440" s="8">
        <v>1206.56</v>
      </c>
      <c r="Q1440" s="8" t="s">
        <v>2690</v>
      </c>
      <c r="R1440" s="8" t="s">
        <v>656</v>
      </c>
    </row>
    <row r="1441" spans="1:20" x14ac:dyDescent="0.2">
      <c r="A1441" s="8" t="s">
        <v>3789</v>
      </c>
      <c r="B1441" s="8" t="str">
        <f t="shared" si="44"/>
        <v>1586244389</v>
      </c>
      <c r="C1441" s="8" t="str">
        <f t="shared" si="45"/>
        <v>1476</v>
      </c>
      <c r="D1441" s="8" t="s">
        <v>119</v>
      </c>
      <c r="F1441" s="8" t="s">
        <v>136</v>
      </c>
      <c r="G1441" s="8" t="s">
        <v>650</v>
      </c>
      <c r="H1441" s="8" t="s">
        <v>651</v>
      </c>
      <c r="I1441" s="8" t="s">
        <v>652</v>
      </c>
      <c r="J1441" s="8" t="s">
        <v>653</v>
      </c>
      <c r="K1441" s="8" t="s">
        <v>654</v>
      </c>
      <c r="L1441" s="8" t="s">
        <v>655</v>
      </c>
      <c r="M1441" s="8" t="s">
        <v>2778</v>
      </c>
      <c r="N1441" s="8" t="s">
        <v>650</v>
      </c>
      <c r="O1441" s="8">
        <v>1085.9000000000001</v>
      </c>
      <c r="P1441" s="8">
        <v>1206.56</v>
      </c>
      <c r="Q1441" s="8" t="s">
        <v>2690</v>
      </c>
      <c r="S1441" s="8" t="s">
        <v>1460</v>
      </c>
      <c r="T1441" s="8">
        <v>0</v>
      </c>
    </row>
    <row r="1442" spans="1:20" x14ac:dyDescent="0.2">
      <c r="A1442" s="8" t="s">
        <v>4461</v>
      </c>
      <c r="B1442" s="8" t="str">
        <f t="shared" si="44"/>
        <v>1586244389</v>
      </c>
      <c r="C1442" s="8" t="str">
        <f t="shared" si="45"/>
        <v>1477</v>
      </c>
      <c r="D1442" s="8" t="s">
        <v>119</v>
      </c>
      <c r="F1442" s="8" t="s">
        <v>136</v>
      </c>
      <c r="G1442" s="8" t="s">
        <v>650</v>
      </c>
      <c r="H1442" s="8" t="s">
        <v>651</v>
      </c>
      <c r="I1442" s="8" t="s">
        <v>652</v>
      </c>
      <c r="J1442" s="8" t="s">
        <v>653</v>
      </c>
      <c r="K1442" s="8" t="s">
        <v>654</v>
      </c>
      <c r="L1442" s="8" t="s">
        <v>655</v>
      </c>
      <c r="M1442" s="8" t="s">
        <v>2778</v>
      </c>
      <c r="N1442" s="8" t="s">
        <v>650</v>
      </c>
      <c r="O1442" s="8">
        <v>1085.9000000000001</v>
      </c>
      <c r="P1442" s="8">
        <v>1206.56</v>
      </c>
      <c r="Q1442" s="8" t="s">
        <v>2690</v>
      </c>
      <c r="S1442" s="8" t="s">
        <v>513</v>
      </c>
      <c r="T1442" s="8">
        <v>46.48</v>
      </c>
    </row>
    <row r="1443" spans="1:20" x14ac:dyDescent="0.2">
      <c r="A1443" s="8" t="s">
        <v>2990</v>
      </c>
      <c r="B1443" s="8" t="str">
        <f t="shared" si="44"/>
        <v>1586244393</v>
      </c>
      <c r="C1443" s="8" t="str">
        <f t="shared" si="45"/>
        <v>1478</v>
      </c>
      <c r="D1443" s="8" t="s">
        <v>119</v>
      </c>
      <c r="F1443" s="8" t="s">
        <v>136</v>
      </c>
      <c r="G1443" s="8" t="s">
        <v>227</v>
      </c>
      <c r="H1443" s="8" t="s">
        <v>228</v>
      </c>
      <c r="I1443" s="8" t="s">
        <v>652</v>
      </c>
      <c r="J1443" s="8" t="s">
        <v>1707</v>
      </c>
      <c r="K1443" s="8" t="s">
        <v>654</v>
      </c>
      <c r="L1443" s="8" t="s">
        <v>1173</v>
      </c>
      <c r="M1443" s="8" t="s">
        <v>2778</v>
      </c>
      <c r="N1443" s="8" t="s">
        <v>227</v>
      </c>
      <c r="O1443" s="8">
        <v>1085.9000000000001</v>
      </c>
      <c r="P1443" s="8">
        <v>1206.56</v>
      </c>
      <c r="Q1443" s="8" t="s">
        <v>2690</v>
      </c>
      <c r="R1443" s="8" t="s">
        <v>1174</v>
      </c>
    </row>
    <row r="1444" spans="1:20" x14ac:dyDescent="0.2">
      <c r="A1444" s="8" t="s">
        <v>2931</v>
      </c>
      <c r="B1444" s="8" t="str">
        <f t="shared" si="44"/>
        <v>1586244393</v>
      </c>
      <c r="C1444" s="8" t="str">
        <f t="shared" si="45"/>
        <v>1479</v>
      </c>
      <c r="D1444" s="8" t="s">
        <v>119</v>
      </c>
      <c r="F1444" s="8" t="s">
        <v>136</v>
      </c>
      <c r="G1444" s="8" t="s">
        <v>227</v>
      </c>
      <c r="H1444" s="8" t="s">
        <v>228</v>
      </c>
      <c r="I1444" s="8" t="s">
        <v>652</v>
      </c>
      <c r="J1444" s="8" t="s">
        <v>1707</v>
      </c>
      <c r="K1444" s="8" t="s">
        <v>654</v>
      </c>
      <c r="L1444" s="8" t="s">
        <v>1173</v>
      </c>
      <c r="M1444" s="8" t="s">
        <v>2778</v>
      </c>
      <c r="N1444" s="8" t="s">
        <v>227</v>
      </c>
      <c r="O1444" s="8">
        <v>1085.9000000000001</v>
      </c>
      <c r="P1444" s="8">
        <v>1206.56</v>
      </c>
      <c r="Q1444" s="8" t="s">
        <v>2690</v>
      </c>
      <c r="R1444" s="8" t="s">
        <v>2094</v>
      </c>
    </row>
    <row r="1445" spans="1:20" x14ac:dyDescent="0.2">
      <c r="A1445" s="8" t="s">
        <v>3736</v>
      </c>
      <c r="B1445" s="8" t="str">
        <f t="shared" si="44"/>
        <v>1586244393</v>
      </c>
      <c r="C1445" s="8" t="str">
        <f t="shared" si="45"/>
        <v>1480</v>
      </c>
      <c r="D1445" s="8" t="s">
        <v>119</v>
      </c>
      <c r="F1445" s="8" t="s">
        <v>136</v>
      </c>
      <c r="G1445" s="8" t="s">
        <v>227</v>
      </c>
      <c r="H1445" s="8" t="s">
        <v>228</v>
      </c>
      <c r="I1445" s="8" t="s">
        <v>652</v>
      </c>
      <c r="J1445" s="8" t="s">
        <v>1707</v>
      </c>
      <c r="K1445" s="8" t="s">
        <v>654</v>
      </c>
      <c r="L1445" s="8" t="s">
        <v>1173</v>
      </c>
      <c r="M1445" s="8" t="s">
        <v>2778</v>
      </c>
      <c r="N1445" s="8" t="s">
        <v>227</v>
      </c>
      <c r="O1445" s="8">
        <v>1085.9000000000001</v>
      </c>
      <c r="P1445" s="8">
        <v>1206.56</v>
      </c>
      <c r="Q1445" s="8" t="s">
        <v>2690</v>
      </c>
      <c r="S1445" s="8" t="s">
        <v>142</v>
      </c>
      <c r="T1445" s="8">
        <v>53.85</v>
      </c>
    </row>
    <row r="1446" spans="1:20" x14ac:dyDescent="0.2">
      <c r="A1446" s="8" t="s">
        <v>3442</v>
      </c>
      <c r="B1446" s="8" t="str">
        <f t="shared" si="44"/>
        <v>1586244393</v>
      </c>
      <c r="C1446" s="8" t="str">
        <f t="shared" si="45"/>
        <v>1481</v>
      </c>
      <c r="D1446" s="8" t="s">
        <v>119</v>
      </c>
      <c r="F1446" s="8" t="s">
        <v>136</v>
      </c>
      <c r="G1446" s="8" t="s">
        <v>227</v>
      </c>
      <c r="H1446" s="8" t="s">
        <v>228</v>
      </c>
      <c r="I1446" s="8" t="s">
        <v>652</v>
      </c>
      <c r="J1446" s="8" t="s">
        <v>1707</v>
      </c>
      <c r="K1446" s="8" t="s">
        <v>654</v>
      </c>
      <c r="L1446" s="8" t="s">
        <v>1173</v>
      </c>
      <c r="M1446" s="8" t="s">
        <v>2778</v>
      </c>
      <c r="N1446" s="8" t="s">
        <v>227</v>
      </c>
      <c r="O1446" s="8">
        <v>1085.9000000000001</v>
      </c>
      <c r="P1446" s="8">
        <v>1206.56</v>
      </c>
      <c r="Q1446" s="8" t="s">
        <v>2690</v>
      </c>
      <c r="S1446" s="8" t="s">
        <v>47</v>
      </c>
      <c r="T1446" s="8">
        <v>0</v>
      </c>
    </row>
    <row r="1447" spans="1:20" x14ac:dyDescent="0.2">
      <c r="A1447" s="8" t="s">
        <v>4650</v>
      </c>
      <c r="B1447" s="8" t="str">
        <f t="shared" si="44"/>
        <v>1586244393</v>
      </c>
      <c r="C1447" s="8" t="str">
        <f t="shared" si="45"/>
        <v>1482</v>
      </c>
      <c r="D1447" s="8" t="s">
        <v>119</v>
      </c>
      <c r="F1447" s="8" t="s">
        <v>136</v>
      </c>
      <c r="G1447" s="8" t="s">
        <v>227</v>
      </c>
      <c r="H1447" s="8" t="s">
        <v>228</v>
      </c>
      <c r="I1447" s="8" t="s">
        <v>652</v>
      </c>
      <c r="J1447" s="8" t="s">
        <v>1707</v>
      </c>
      <c r="K1447" s="8" t="s">
        <v>654</v>
      </c>
      <c r="L1447" s="8" t="s">
        <v>1173</v>
      </c>
      <c r="M1447" s="8" t="s">
        <v>2778</v>
      </c>
      <c r="N1447" s="8" t="s">
        <v>227</v>
      </c>
      <c r="O1447" s="8">
        <v>1085.9000000000001</v>
      </c>
      <c r="P1447" s="8">
        <v>1206.56</v>
      </c>
      <c r="Q1447" s="8" t="s">
        <v>2690</v>
      </c>
      <c r="S1447" s="8" t="s">
        <v>513</v>
      </c>
      <c r="T1447" s="8">
        <v>46.48</v>
      </c>
    </row>
    <row r="1448" spans="1:20" x14ac:dyDescent="0.2">
      <c r="A1448" s="8" t="s">
        <v>4276</v>
      </c>
      <c r="B1448" s="8" t="str">
        <f t="shared" si="44"/>
        <v>1586244395</v>
      </c>
      <c r="C1448" s="8" t="str">
        <f t="shared" si="45"/>
        <v>1483</v>
      </c>
      <c r="D1448" s="8" t="s">
        <v>119</v>
      </c>
      <c r="F1448" s="8" t="s">
        <v>136</v>
      </c>
      <c r="G1448" s="8" t="s">
        <v>227</v>
      </c>
      <c r="H1448" s="8" t="s">
        <v>228</v>
      </c>
      <c r="I1448" s="8" t="s">
        <v>167</v>
      </c>
      <c r="J1448" s="8" t="s">
        <v>1383</v>
      </c>
      <c r="K1448" s="8" t="s">
        <v>93</v>
      </c>
      <c r="L1448" s="8" t="s">
        <v>1384</v>
      </c>
      <c r="M1448" s="8" t="s">
        <v>2778</v>
      </c>
      <c r="N1448" s="8" t="s">
        <v>227</v>
      </c>
      <c r="O1448" s="8">
        <v>635.16</v>
      </c>
      <c r="P1448" s="8">
        <v>705.74</v>
      </c>
      <c r="Q1448" s="8" t="s">
        <v>2691</v>
      </c>
      <c r="R1448" s="8" t="s">
        <v>1746</v>
      </c>
    </row>
    <row r="1449" spans="1:20" x14ac:dyDescent="0.2">
      <c r="A1449" s="8" t="s">
        <v>3446</v>
      </c>
      <c r="B1449" s="8" t="str">
        <f t="shared" si="44"/>
        <v>1586244395</v>
      </c>
      <c r="C1449" s="8" t="str">
        <f t="shared" si="45"/>
        <v>1484</v>
      </c>
      <c r="D1449" s="8" t="s">
        <v>119</v>
      </c>
      <c r="F1449" s="8" t="s">
        <v>136</v>
      </c>
      <c r="G1449" s="8" t="s">
        <v>227</v>
      </c>
      <c r="H1449" s="8" t="s">
        <v>228</v>
      </c>
      <c r="I1449" s="8" t="s">
        <v>167</v>
      </c>
      <c r="J1449" s="8" t="s">
        <v>1383</v>
      </c>
      <c r="K1449" s="8" t="s">
        <v>93</v>
      </c>
      <c r="L1449" s="8" t="s">
        <v>1384</v>
      </c>
      <c r="M1449" s="8" t="s">
        <v>2778</v>
      </c>
      <c r="N1449" s="8" t="s">
        <v>227</v>
      </c>
      <c r="O1449" s="8">
        <v>635.16</v>
      </c>
      <c r="P1449" s="8">
        <v>705.74</v>
      </c>
      <c r="Q1449" s="8" t="s">
        <v>2691</v>
      </c>
      <c r="S1449" s="8" t="s">
        <v>393</v>
      </c>
      <c r="T1449" s="8">
        <v>77.459999999999994</v>
      </c>
    </row>
    <row r="1450" spans="1:20" x14ac:dyDescent="0.2">
      <c r="A1450" s="8" t="s">
        <v>4709</v>
      </c>
      <c r="B1450" s="8" t="str">
        <f t="shared" si="44"/>
        <v>1586244397</v>
      </c>
      <c r="C1450" s="8" t="str">
        <f t="shared" si="45"/>
        <v>1485</v>
      </c>
      <c r="D1450" s="8" t="s">
        <v>119</v>
      </c>
      <c r="F1450" s="8" t="s">
        <v>136</v>
      </c>
      <c r="G1450" s="8" t="s">
        <v>227</v>
      </c>
      <c r="H1450" s="8" t="s">
        <v>228</v>
      </c>
      <c r="I1450" s="8" t="s">
        <v>509</v>
      </c>
      <c r="J1450" s="8" t="s">
        <v>1680</v>
      </c>
      <c r="K1450" s="8" t="s">
        <v>511</v>
      </c>
      <c r="L1450" s="8" t="s">
        <v>512</v>
      </c>
      <c r="M1450" s="8" t="s">
        <v>2778</v>
      </c>
      <c r="N1450" s="8" t="s">
        <v>227</v>
      </c>
      <c r="O1450" s="8">
        <v>700.82</v>
      </c>
      <c r="P1450" s="8">
        <v>778.69</v>
      </c>
      <c r="Q1450" s="8" t="s">
        <v>2689</v>
      </c>
      <c r="R1450" s="8" t="s">
        <v>1445</v>
      </c>
    </row>
    <row r="1451" spans="1:20" x14ac:dyDescent="0.2">
      <c r="A1451" s="8" t="s">
        <v>4564</v>
      </c>
      <c r="B1451" s="8" t="str">
        <f t="shared" si="44"/>
        <v>1586244397</v>
      </c>
      <c r="C1451" s="8" t="str">
        <f t="shared" si="45"/>
        <v>1486</v>
      </c>
      <c r="D1451" s="8" t="s">
        <v>119</v>
      </c>
      <c r="F1451" s="8" t="s">
        <v>136</v>
      </c>
      <c r="G1451" s="8" t="s">
        <v>227</v>
      </c>
      <c r="H1451" s="8" t="s">
        <v>228</v>
      </c>
      <c r="I1451" s="8" t="s">
        <v>509</v>
      </c>
      <c r="J1451" s="8" t="s">
        <v>1680</v>
      </c>
      <c r="K1451" s="8" t="s">
        <v>511</v>
      </c>
      <c r="L1451" s="8" t="s">
        <v>512</v>
      </c>
      <c r="M1451" s="8" t="s">
        <v>2778</v>
      </c>
      <c r="N1451" s="8" t="s">
        <v>227</v>
      </c>
      <c r="O1451" s="8">
        <v>700.82</v>
      </c>
      <c r="P1451" s="8">
        <v>778.69</v>
      </c>
      <c r="Q1451" s="8" t="s">
        <v>2689</v>
      </c>
      <c r="R1451" s="8" t="s">
        <v>1922</v>
      </c>
    </row>
    <row r="1452" spans="1:20" x14ac:dyDescent="0.2">
      <c r="A1452" s="8" t="s">
        <v>3610</v>
      </c>
      <c r="B1452" s="8" t="str">
        <f t="shared" si="44"/>
        <v>1586244397</v>
      </c>
      <c r="C1452" s="8" t="str">
        <f t="shared" si="45"/>
        <v>1487</v>
      </c>
      <c r="D1452" s="8" t="s">
        <v>119</v>
      </c>
      <c r="F1452" s="8" t="s">
        <v>136</v>
      </c>
      <c r="G1452" s="8" t="s">
        <v>227</v>
      </c>
      <c r="H1452" s="8" t="s">
        <v>228</v>
      </c>
      <c r="I1452" s="8" t="s">
        <v>509</v>
      </c>
      <c r="J1452" s="8" t="s">
        <v>1680</v>
      </c>
      <c r="K1452" s="8" t="s">
        <v>511</v>
      </c>
      <c r="L1452" s="8" t="s">
        <v>512</v>
      </c>
      <c r="M1452" s="8" t="s">
        <v>2778</v>
      </c>
      <c r="N1452" s="8" t="s">
        <v>227</v>
      </c>
      <c r="O1452" s="8">
        <v>700.82</v>
      </c>
      <c r="P1452" s="8">
        <v>778.69</v>
      </c>
      <c r="Q1452" s="8" t="s">
        <v>2689</v>
      </c>
      <c r="S1452" s="8" t="s">
        <v>142</v>
      </c>
      <c r="T1452" s="8">
        <v>54.59</v>
      </c>
    </row>
    <row r="1453" spans="1:20" x14ac:dyDescent="0.2">
      <c r="A1453" s="8" t="s">
        <v>3654</v>
      </c>
      <c r="B1453" s="8" t="str">
        <f t="shared" si="44"/>
        <v>1586244397</v>
      </c>
      <c r="C1453" s="8" t="str">
        <f t="shared" si="45"/>
        <v>1488</v>
      </c>
      <c r="D1453" s="8" t="s">
        <v>119</v>
      </c>
      <c r="F1453" s="8" t="s">
        <v>136</v>
      </c>
      <c r="G1453" s="8" t="s">
        <v>227</v>
      </c>
      <c r="H1453" s="8" t="s">
        <v>228</v>
      </c>
      <c r="I1453" s="8" t="s">
        <v>509</v>
      </c>
      <c r="J1453" s="8" t="s">
        <v>1680</v>
      </c>
      <c r="K1453" s="8" t="s">
        <v>511</v>
      </c>
      <c r="L1453" s="8" t="s">
        <v>512</v>
      </c>
      <c r="M1453" s="8" t="s">
        <v>2778</v>
      </c>
      <c r="N1453" s="8" t="s">
        <v>227</v>
      </c>
      <c r="O1453" s="8">
        <v>700.82</v>
      </c>
      <c r="P1453" s="8">
        <v>778.69</v>
      </c>
      <c r="Q1453" s="8" t="s">
        <v>2689</v>
      </c>
      <c r="S1453" s="8" t="s">
        <v>232</v>
      </c>
      <c r="T1453" s="8">
        <v>0</v>
      </c>
    </row>
    <row r="1454" spans="1:20" x14ac:dyDescent="0.2">
      <c r="A1454" s="8" t="s">
        <v>4118</v>
      </c>
      <c r="B1454" s="8" t="str">
        <f t="shared" si="44"/>
        <v>1586244397</v>
      </c>
      <c r="C1454" s="8" t="str">
        <f t="shared" si="45"/>
        <v>1489</v>
      </c>
      <c r="D1454" s="8" t="s">
        <v>119</v>
      </c>
      <c r="F1454" s="8" t="s">
        <v>136</v>
      </c>
      <c r="G1454" s="8" t="s">
        <v>227</v>
      </c>
      <c r="H1454" s="8" t="s">
        <v>228</v>
      </c>
      <c r="I1454" s="8" t="s">
        <v>509</v>
      </c>
      <c r="J1454" s="8" t="s">
        <v>1680</v>
      </c>
      <c r="K1454" s="8" t="s">
        <v>511</v>
      </c>
      <c r="L1454" s="8" t="s">
        <v>512</v>
      </c>
      <c r="M1454" s="8" t="s">
        <v>2778</v>
      </c>
      <c r="N1454" s="8" t="s">
        <v>227</v>
      </c>
      <c r="O1454" s="8">
        <v>700.82</v>
      </c>
      <c r="P1454" s="8">
        <v>778.69</v>
      </c>
      <c r="Q1454" s="8" t="s">
        <v>2689</v>
      </c>
      <c r="S1454" s="8" t="s">
        <v>513</v>
      </c>
      <c r="T1454" s="8">
        <v>46.48</v>
      </c>
    </row>
    <row r="1455" spans="1:20" x14ac:dyDescent="0.2">
      <c r="A1455" s="8" t="s">
        <v>3712</v>
      </c>
      <c r="B1455" s="8" t="str">
        <f t="shared" si="44"/>
        <v>1586244399</v>
      </c>
      <c r="C1455" s="8" t="str">
        <f t="shared" si="45"/>
        <v>1490</v>
      </c>
      <c r="D1455" s="8" t="s">
        <v>119</v>
      </c>
      <c r="F1455" s="8" t="s">
        <v>136</v>
      </c>
      <c r="G1455" s="8" t="s">
        <v>227</v>
      </c>
      <c r="H1455" s="8" t="s">
        <v>228</v>
      </c>
      <c r="I1455" s="8" t="s">
        <v>229</v>
      </c>
      <c r="J1455" s="8" t="s">
        <v>230</v>
      </c>
      <c r="K1455" s="8" t="s">
        <v>60</v>
      </c>
      <c r="L1455" s="8" t="s">
        <v>231</v>
      </c>
      <c r="M1455" s="8" t="s">
        <v>2778</v>
      </c>
      <c r="N1455" s="8" t="s">
        <v>227</v>
      </c>
      <c r="O1455" s="8">
        <v>672.05</v>
      </c>
      <c r="P1455" s="8">
        <v>746.72</v>
      </c>
      <c r="Q1455" s="8" t="s">
        <v>2688</v>
      </c>
      <c r="R1455" s="8" t="s">
        <v>1978</v>
      </c>
    </row>
    <row r="1456" spans="1:20" x14ac:dyDescent="0.2">
      <c r="A1456" s="8" t="s">
        <v>3469</v>
      </c>
      <c r="B1456" s="8" t="str">
        <f t="shared" si="44"/>
        <v>1586244399</v>
      </c>
      <c r="C1456" s="8" t="str">
        <f t="shared" si="45"/>
        <v>1491</v>
      </c>
      <c r="D1456" s="8" t="s">
        <v>119</v>
      </c>
      <c r="F1456" s="8" t="s">
        <v>136</v>
      </c>
      <c r="G1456" s="8" t="s">
        <v>227</v>
      </c>
      <c r="H1456" s="8" t="s">
        <v>228</v>
      </c>
      <c r="I1456" s="8" t="s">
        <v>229</v>
      </c>
      <c r="J1456" s="8" t="s">
        <v>230</v>
      </c>
      <c r="K1456" s="8" t="s">
        <v>60</v>
      </c>
      <c r="L1456" s="8" t="s">
        <v>231</v>
      </c>
      <c r="M1456" s="8" t="s">
        <v>2778</v>
      </c>
      <c r="N1456" s="8" t="s">
        <v>227</v>
      </c>
      <c r="O1456" s="8">
        <v>672.05</v>
      </c>
      <c r="P1456" s="8">
        <v>746.72</v>
      </c>
      <c r="Q1456" s="8" t="s">
        <v>2688</v>
      </c>
      <c r="S1456" s="8" t="s">
        <v>142</v>
      </c>
      <c r="T1456" s="8">
        <v>42.05</v>
      </c>
    </row>
    <row r="1457" spans="1:20" x14ac:dyDescent="0.2">
      <c r="A1457" s="8" t="s">
        <v>4034</v>
      </c>
      <c r="B1457" s="8" t="str">
        <f t="shared" si="44"/>
        <v>1586244399</v>
      </c>
      <c r="C1457" s="8" t="str">
        <f t="shared" si="45"/>
        <v>1492</v>
      </c>
      <c r="D1457" s="8" t="s">
        <v>119</v>
      </c>
      <c r="F1457" s="8" t="s">
        <v>136</v>
      </c>
      <c r="G1457" s="8" t="s">
        <v>227</v>
      </c>
      <c r="H1457" s="8" t="s">
        <v>228</v>
      </c>
      <c r="I1457" s="8" t="s">
        <v>229</v>
      </c>
      <c r="J1457" s="8" t="s">
        <v>230</v>
      </c>
      <c r="K1457" s="8" t="s">
        <v>60</v>
      </c>
      <c r="L1457" s="8" t="s">
        <v>231</v>
      </c>
      <c r="M1457" s="8" t="s">
        <v>2778</v>
      </c>
      <c r="N1457" s="8" t="s">
        <v>227</v>
      </c>
      <c r="O1457" s="8">
        <v>672.05</v>
      </c>
      <c r="P1457" s="8">
        <v>746.72</v>
      </c>
      <c r="Q1457" s="8" t="s">
        <v>2688</v>
      </c>
      <c r="S1457" s="8" t="s">
        <v>513</v>
      </c>
      <c r="T1457" s="8">
        <v>46.48</v>
      </c>
    </row>
    <row r="1458" spans="1:20" x14ac:dyDescent="0.2">
      <c r="A1458" s="8" t="s">
        <v>3670</v>
      </c>
      <c r="B1458" s="8" t="str">
        <f t="shared" si="44"/>
        <v>1586244399</v>
      </c>
      <c r="C1458" s="8" t="str">
        <f t="shared" si="45"/>
        <v>1493</v>
      </c>
      <c r="D1458" s="8" t="s">
        <v>119</v>
      </c>
      <c r="F1458" s="8" t="s">
        <v>136</v>
      </c>
      <c r="G1458" s="8" t="s">
        <v>227</v>
      </c>
      <c r="H1458" s="8" t="s">
        <v>228</v>
      </c>
      <c r="I1458" s="8" t="s">
        <v>229</v>
      </c>
      <c r="J1458" s="8" t="s">
        <v>230</v>
      </c>
      <c r="K1458" s="8" t="s">
        <v>60</v>
      </c>
      <c r="L1458" s="8" t="s">
        <v>231</v>
      </c>
      <c r="M1458" s="8" t="s">
        <v>2778</v>
      </c>
      <c r="N1458" s="8" t="s">
        <v>227</v>
      </c>
      <c r="O1458" s="8">
        <v>672.05</v>
      </c>
      <c r="P1458" s="8">
        <v>746.72</v>
      </c>
      <c r="Q1458" s="8" t="s">
        <v>2688</v>
      </c>
      <c r="S1458" s="8" t="s">
        <v>232</v>
      </c>
      <c r="T1458" s="8">
        <v>0</v>
      </c>
    </row>
    <row r="1459" spans="1:20" x14ac:dyDescent="0.2">
      <c r="A1459" s="8" t="s">
        <v>3722</v>
      </c>
      <c r="B1459" s="8" t="str">
        <f t="shared" si="44"/>
        <v>1586244403</v>
      </c>
      <c r="C1459" s="8" t="str">
        <f t="shared" si="45"/>
        <v>1494</v>
      </c>
      <c r="D1459" s="8" t="s">
        <v>119</v>
      </c>
      <c r="F1459" s="8" t="s">
        <v>136</v>
      </c>
      <c r="G1459" s="8" t="s">
        <v>425</v>
      </c>
      <c r="H1459" s="8" t="s">
        <v>426</v>
      </c>
      <c r="I1459" s="8" t="s">
        <v>229</v>
      </c>
      <c r="J1459" s="8" t="s">
        <v>427</v>
      </c>
      <c r="K1459" s="8" t="s">
        <v>60</v>
      </c>
      <c r="L1459" s="8" t="s">
        <v>231</v>
      </c>
      <c r="M1459" s="8" t="s">
        <v>2778</v>
      </c>
      <c r="N1459" s="8" t="s">
        <v>425</v>
      </c>
      <c r="O1459" s="8">
        <v>672.05</v>
      </c>
      <c r="P1459" s="8">
        <v>746.72</v>
      </c>
      <c r="Q1459" s="8" t="s">
        <v>2688</v>
      </c>
      <c r="R1459" s="8" t="s">
        <v>1978</v>
      </c>
    </row>
    <row r="1460" spans="1:20" x14ac:dyDescent="0.2">
      <c r="A1460" s="8" t="s">
        <v>4699</v>
      </c>
      <c r="B1460" s="8" t="str">
        <f t="shared" si="44"/>
        <v>1586244403</v>
      </c>
      <c r="C1460" s="8" t="str">
        <f t="shared" si="45"/>
        <v>1495</v>
      </c>
      <c r="D1460" s="8" t="s">
        <v>119</v>
      </c>
      <c r="F1460" s="8" t="s">
        <v>136</v>
      </c>
      <c r="G1460" s="8" t="s">
        <v>425</v>
      </c>
      <c r="H1460" s="8" t="s">
        <v>426</v>
      </c>
      <c r="I1460" s="8" t="s">
        <v>229</v>
      </c>
      <c r="J1460" s="8" t="s">
        <v>427</v>
      </c>
      <c r="K1460" s="8" t="s">
        <v>60</v>
      </c>
      <c r="L1460" s="8" t="s">
        <v>231</v>
      </c>
      <c r="M1460" s="8" t="s">
        <v>2778</v>
      </c>
      <c r="N1460" s="8" t="s">
        <v>425</v>
      </c>
      <c r="O1460" s="8">
        <v>672.05</v>
      </c>
      <c r="P1460" s="8">
        <v>746.72</v>
      </c>
      <c r="Q1460" s="8" t="s">
        <v>2688</v>
      </c>
      <c r="S1460" s="8" t="s">
        <v>142</v>
      </c>
      <c r="T1460" s="8">
        <v>42.05</v>
      </c>
    </row>
    <row r="1461" spans="1:20" x14ac:dyDescent="0.2">
      <c r="A1461" s="8" t="s">
        <v>3774</v>
      </c>
      <c r="B1461" s="8" t="str">
        <f t="shared" si="44"/>
        <v>1586244403</v>
      </c>
      <c r="C1461" s="8" t="str">
        <f t="shared" si="45"/>
        <v>1496</v>
      </c>
      <c r="D1461" s="8" t="s">
        <v>119</v>
      </c>
      <c r="F1461" s="8" t="s">
        <v>136</v>
      </c>
      <c r="G1461" s="8" t="s">
        <v>425</v>
      </c>
      <c r="H1461" s="8" t="s">
        <v>426</v>
      </c>
      <c r="I1461" s="8" t="s">
        <v>229</v>
      </c>
      <c r="J1461" s="8" t="s">
        <v>427</v>
      </c>
      <c r="K1461" s="8" t="s">
        <v>60</v>
      </c>
      <c r="L1461" s="8" t="s">
        <v>231</v>
      </c>
      <c r="M1461" s="8" t="s">
        <v>2778</v>
      </c>
      <c r="N1461" s="8" t="s">
        <v>425</v>
      </c>
      <c r="O1461" s="8">
        <v>672.05</v>
      </c>
      <c r="P1461" s="8">
        <v>746.72</v>
      </c>
      <c r="Q1461" s="8" t="s">
        <v>2688</v>
      </c>
      <c r="S1461" s="8" t="s">
        <v>513</v>
      </c>
      <c r="T1461" s="8">
        <v>46.48</v>
      </c>
    </row>
    <row r="1462" spans="1:20" x14ac:dyDescent="0.2">
      <c r="A1462" s="8" t="s">
        <v>3273</v>
      </c>
      <c r="B1462" s="8" t="str">
        <f t="shared" si="44"/>
        <v>1586244403</v>
      </c>
      <c r="C1462" s="8" t="str">
        <f t="shared" si="45"/>
        <v>1497</v>
      </c>
      <c r="D1462" s="8" t="s">
        <v>119</v>
      </c>
      <c r="F1462" s="8" t="s">
        <v>136</v>
      </c>
      <c r="G1462" s="8" t="s">
        <v>425</v>
      </c>
      <c r="H1462" s="8" t="s">
        <v>426</v>
      </c>
      <c r="I1462" s="8" t="s">
        <v>229</v>
      </c>
      <c r="J1462" s="8" t="s">
        <v>427</v>
      </c>
      <c r="K1462" s="8" t="s">
        <v>60</v>
      </c>
      <c r="L1462" s="8" t="s">
        <v>231</v>
      </c>
      <c r="M1462" s="8" t="s">
        <v>2778</v>
      </c>
      <c r="N1462" s="8" t="s">
        <v>425</v>
      </c>
      <c r="O1462" s="8">
        <v>672.05</v>
      </c>
      <c r="P1462" s="8">
        <v>746.72</v>
      </c>
      <c r="Q1462" s="8" t="s">
        <v>2688</v>
      </c>
      <c r="S1462" s="8" t="s">
        <v>232</v>
      </c>
      <c r="T1462" s="8">
        <v>0</v>
      </c>
    </row>
    <row r="1463" spans="1:20" x14ac:dyDescent="0.2">
      <c r="A1463" s="8" t="s">
        <v>2797</v>
      </c>
      <c r="B1463" s="8" t="str">
        <f t="shared" si="44"/>
        <v>1586244405</v>
      </c>
      <c r="C1463" s="8" t="str">
        <f t="shared" si="45"/>
        <v>1498</v>
      </c>
      <c r="D1463" s="8" t="s">
        <v>119</v>
      </c>
      <c r="F1463" s="8" t="s">
        <v>136</v>
      </c>
      <c r="G1463" s="8" t="s">
        <v>425</v>
      </c>
      <c r="H1463" s="8" t="s">
        <v>426</v>
      </c>
      <c r="I1463" s="8" t="s">
        <v>509</v>
      </c>
      <c r="J1463" s="8" t="s">
        <v>510</v>
      </c>
      <c r="K1463" s="8" t="s">
        <v>511</v>
      </c>
      <c r="L1463" s="8" t="s">
        <v>512</v>
      </c>
      <c r="M1463" s="8" t="s">
        <v>2778</v>
      </c>
      <c r="N1463" s="8" t="s">
        <v>425</v>
      </c>
      <c r="O1463" s="8">
        <v>700.82</v>
      </c>
      <c r="P1463" s="8">
        <v>778.69</v>
      </c>
      <c r="Q1463" s="8" t="s">
        <v>2689</v>
      </c>
      <c r="R1463" s="8" t="s">
        <v>1445</v>
      </c>
    </row>
    <row r="1464" spans="1:20" x14ac:dyDescent="0.2">
      <c r="A1464" s="8" t="s">
        <v>3545</v>
      </c>
      <c r="B1464" s="8" t="str">
        <f t="shared" si="44"/>
        <v>1586244405</v>
      </c>
      <c r="C1464" s="8" t="str">
        <f t="shared" si="45"/>
        <v>1499</v>
      </c>
      <c r="D1464" s="8" t="s">
        <v>119</v>
      </c>
      <c r="F1464" s="8" t="s">
        <v>136</v>
      </c>
      <c r="G1464" s="8" t="s">
        <v>425</v>
      </c>
      <c r="H1464" s="8" t="s">
        <v>426</v>
      </c>
      <c r="I1464" s="8" t="s">
        <v>509</v>
      </c>
      <c r="J1464" s="8" t="s">
        <v>510</v>
      </c>
      <c r="K1464" s="8" t="s">
        <v>511</v>
      </c>
      <c r="L1464" s="8" t="s">
        <v>512</v>
      </c>
      <c r="M1464" s="8" t="s">
        <v>2778</v>
      </c>
      <c r="N1464" s="8" t="s">
        <v>425</v>
      </c>
      <c r="O1464" s="8">
        <v>700.82</v>
      </c>
      <c r="P1464" s="8">
        <v>778.69</v>
      </c>
      <c r="Q1464" s="8" t="s">
        <v>2689</v>
      </c>
      <c r="R1464" s="8" t="s">
        <v>1922</v>
      </c>
    </row>
    <row r="1465" spans="1:20" x14ac:dyDescent="0.2">
      <c r="A1465" s="8" t="s">
        <v>3475</v>
      </c>
      <c r="B1465" s="8" t="str">
        <f t="shared" si="44"/>
        <v>1586244405</v>
      </c>
      <c r="C1465" s="8" t="str">
        <f t="shared" si="45"/>
        <v>1500</v>
      </c>
      <c r="D1465" s="8" t="s">
        <v>119</v>
      </c>
      <c r="F1465" s="8" t="s">
        <v>136</v>
      </c>
      <c r="G1465" s="8" t="s">
        <v>425</v>
      </c>
      <c r="H1465" s="8" t="s">
        <v>426</v>
      </c>
      <c r="I1465" s="8" t="s">
        <v>509</v>
      </c>
      <c r="J1465" s="8" t="s">
        <v>510</v>
      </c>
      <c r="K1465" s="8" t="s">
        <v>511</v>
      </c>
      <c r="L1465" s="8" t="s">
        <v>512</v>
      </c>
      <c r="M1465" s="8" t="s">
        <v>2778</v>
      </c>
      <c r="N1465" s="8" t="s">
        <v>425</v>
      </c>
      <c r="O1465" s="8">
        <v>700.82</v>
      </c>
      <c r="P1465" s="8">
        <v>778.69</v>
      </c>
      <c r="Q1465" s="8" t="s">
        <v>2689</v>
      </c>
      <c r="S1465" s="8" t="s">
        <v>142</v>
      </c>
      <c r="T1465" s="8">
        <v>54.59</v>
      </c>
    </row>
    <row r="1466" spans="1:20" x14ac:dyDescent="0.2">
      <c r="A1466" s="8" t="s">
        <v>4484</v>
      </c>
      <c r="B1466" s="8" t="str">
        <f t="shared" si="44"/>
        <v>1586244405</v>
      </c>
      <c r="C1466" s="8" t="str">
        <f t="shared" si="45"/>
        <v>1501</v>
      </c>
      <c r="D1466" s="8" t="s">
        <v>119</v>
      </c>
      <c r="F1466" s="8" t="s">
        <v>136</v>
      </c>
      <c r="G1466" s="8" t="s">
        <v>425</v>
      </c>
      <c r="H1466" s="8" t="s">
        <v>426</v>
      </c>
      <c r="I1466" s="8" t="s">
        <v>509</v>
      </c>
      <c r="J1466" s="8" t="s">
        <v>510</v>
      </c>
      <c r="K1466" s="8" t="s">
        <v>511</v>
      </c>
      <c r="L1466" s="8" t="s">
        <v>512</v>
      </c>
      <c r="M1466" s="8" t="s">
        <v>2778</v>
      </c>
      <c r="N1466" s="8" t="s">
        <v>425</v>
      </c>
      <c r="O1466" s="8">
        <v>700.82</v>
      </c>
      <c r="P1466" s="8">
        <v>778.69</v>
      </c>
      <c r="Q1466" s="8" t="s">
        <v>2689</v>
      </c>
      <c r="S1466" s="8" t="s">
        <v>232</v>
      </c>
      <c r="T1466" s="8">
        <v>0</v>
      </c>
    </row>
    <row r="1467" spans="1:20" x14ac:dyDescent="0.2">
      <c r="A1467" s="8" t="s">
        <v>4211</v>
      </c>
      <c r="B1467" s="8" t="str">
        <f t="shared" si="44"/>
        <v>1586244405</v>
      </c>
      <c r="C1467" s="8" t="str">
        <f t="shared" si="45"/>
        <v>1502</v>
      </c>
      <c r="D1467" s="8" t="s">
        <v>119</v>
      </c>
      <c r="F1467" s="8" t="s">
        <v>136</v>
      </c>
      <c r="G1467" s="8" t="s">
        <v>425</v>
      </c>
      <c r="H1467" s="8" t="s">
        <v>426</v>
      </c>
      <c r="I1467" s="8" t="s">
        <v>509</v>
      </c>
      <c r="J1467" s="8" t="s">
        <v>510</v>
      </c>
      <c r="K1467" s="8" t="s">
        <v>511</v>
      </c>
      <c r="L1467" s="8" t="s">
        <v>512</v>
      </c>
      <c r="M1467" s="8" t="s">
        <v>2778</v>
      </c>
      <c r="N1467" s="8" t="s">
        <v>425</v>
      </c>
      <c r="O1467" s="8">
        <v>700.82</v>
      </c>
      <c r="P1467" s="8">
        <v>778.69</v>
      </c>
      <c r="Q1467" s="8" t="s">
        <v>2689</v>
      </c>
      <c r="S1467" s="8" t="s">
        <v>513</v>
      </c>
      <c r="T1467" s="8">
        <v>46.48</v>
      </c>
    </row>
    <row r="1468" spans="1:20" x14ac:dyDescent="0.2">
      <c r="A1468" s="8" t="s">
        <v>3156</v>
      </c>
      <c r="B1468" s="8" t="str">
        <f t="shared" si="44"/>
        <v>1586244407</v>
      </c>
      <c r="C1468" s="8" t="str">
        <f t="shared" si="45"/>
        <v>1503</v>
      </c>
      <c r="D1468" s="8" t="s">
        <v>119</v>
      </c>
      <c r="F1468" s="8" t="s">
        <v>136</v>
      </c>
      <c r="G1468" s="8" t="s">
        <v>425</v>
      </c>
      <c r="H1468" s="8" t="s">
        <v>426</v>
      </c>
      <c r="I1468" s="8" t="s">
        <v>652</v>
      </c>
      <c r="J1468" s="8" t="s">
        <v>1172</v>
      </c>
      <c r="K1468" s="8" t="s">
        <v>654</v>
      </c>
      <c r="L1468" s="8" t="s">
        <v>1173</v>
      </c>
      <c r="M1468" s="8" t="s">
        <v>2778</v>
      </c>
      <c r="N1468" s="8" t="s">
        <v>425</v>
      </c>
      <c r="O1468" s="8">
        <v>1085.9000000000001</v>
      </c>
      <c r="P1468" s="8">
        <v>1206.56</v>
      </c>
      <c r="Q1468" s="8" t="s">
        <v>2690</v>
      </c>
      <c r="R1468" s="8" t="s">
        <v>1174</v>
      </c>
    </row>
    <row r="1469" spans="1:20" x14ac:dyDescent="0.2">
      <c r="A1469" s="8" t="s">
        <v>4161</v>
      </c>
      <c r="B1469" s="8" t="str">
        <f t="shared" si="44"/>
        <v>1586244407</v>
      </c>
      <c r="C1469" s="8" t="str">
        <f t="shared" si="45"/>
        <v>1504</v>
      </c>
      <c r="D1469" s="8" t="s">
        <v>119</v>
      </c>
      <c r="F1469" s="8" t="s">
        <v>136</v>
      </c>
      <c r="G1469" s="8" t="s">
        <v>425</v>
      </c>
      <c r="H1469" s="8" t="s">
        <v>426</v>
      </c>
      <c r="I1469" s="8" t="s">
        <v>652</v>
      </c>
      <c r="J1469" s="8" t="s">
        <v>1172</v>
      </c>
      <c r="K1469" s="8" t="s">
        <v>654</v>
      </c>
      <c r="L1469" s="8" t="s">
        <v>1173</v>
      </c>
      <c r="M1469" s="8" t="s">
        <v>2778</v>
      </c>
      <c r="N1469" s="8" t="s">
        <v>425</v>
      </c>
      <c r="O1469" s="8">
        <v>1085.9000000000001</v>
      </c>
      <c r="P1469" s="8">
        <v>1206.56</v>
      </c>
      <c r="Q1469" s="8" t="s">
        <v>2690</v>
      </c>
      <c r="R1469" s="8" t="s">
        <v>2094</v>
      </c>
    </row>
    <row r="1470" spans="1:20" x14ac:dyDescent="0.2">
      <c r="A1470" s="8" t="s">
        <v>4062</v>
      </c>
      <c r="B1470" s="8" t="str">
        <f t="shared" si="44"/>
        <v>1586244407</v>
      </c>
      <c r="C1470" s="8" t="str">
        <f t="shared" si="45"/>
        <v>1505</v>
      </c>
      <c r="D1470" s="8" t="s">
        <v>119</v>
      </c>
      <c r="F1470" s="8" t="s">
        <v>136</v>
      </c>
      <c r="G1470" s="8" t="s">
        <v>425</v>
      </c>
      <c r="H1470" s="8" t="s">
        <v>426</v>
      </c>
      <c r="I1470" s="8" t="s">
        <v>652</v>
      </c>
      <c r="J1470" s="8" t="s">
        <v>1172</v>
      </c>
      <c r="K1470" s="8" t="s">
        <v>654</v>
      </c>
      <c r="L1470" s="8" t="s">
        <v>1173</v>
      </c>
      <c r="M1470" s="8" t="s">
        <v>2778</v>
      </c>
      <c r="N1470" s="8" t="s">
        <v>425</v>
      </c>
      <c r="O1470" s="8">
        <v>1085.9000000000001</v>
      </c>
      <c r="P1470" s="8">
        <v>1206.56</v>
      </c>
      <c r="Q1470" s="8" t="s">
        <v>2690</v>
      </c>
      <c r="S1470" s="8" t="s">
        <v>142</v>
      </c>
      <c r="T1470" s="8">
        <v>53.85</v>
      </c>
    </row>
    <row r="1471" spans="1:20" x14ac:dyDescent="0.2">
      <c r="A1471" s="8" t="s">
        <v>4674</v>
      </c>
      <c r="B1471" s="8" t="str">
        <f t="shared" si="44"/>
        <v>1586244407</v>
      </c>
      <c r="C1471" s="8" t="str">
        <f t="shared" si="45"/>
        <v>1506</v>
      </c>
      <c r="D1471" s="8" t="s">
        <v>119</v>
      </c>
      <c r="F1471" s="8" t="s">
        <v>136</v>
      </c>
      <c r="G1471" s="8" t="s">
        <v>425</v>
      </c>
      <c r="H1471" s="8" t="s">
        <v>426</v>
      </c>
      <c r="I1471" s="8" t="s">
        <v>652</v>
      </c>
      <c r="J1471" s="8" t="s">
        <v>1172</v>
      </c>
      <c r="K1471" s="8" t="s">
        <v>654</v>
      </c>
      <c r="L1471" s="8" t="s">
        <v>1173</v>
      </c>
      <c r="M1471" s="8" t="s">
        <v>2778</v>
      </c>
      <c r="N1471" s="8" t="s">
        <v>425</v>
      </c>
      <c r="O1471" s="8">
        <v>1085.9000000000001</v>
      </c>
      <c r="P1471" s="8">
        <v>1206.56</v>
      </c>
      <c r="Q1471" s="8" t="s">
        <v>2690</v>
      </c>
      <c r="S1471" s="8" t="s">
        <v>47</v>
      </c>
      <c r="T1471" s="8">
        <v>0</v>
      </c>
    </row>
    <row r="1472" spans="1:20" x14ac:dyDescent="0.2">
      <c r="A1472" s="8" t="s">
        <v>3519</v>
      </c>
      <c r="B1472" s="8" t="str">
        <f t="shared" si="44"/>
        <v>1586244407</v>
      </c>
      <c r="C1472" s="8" t="str">
        <f t="shared" si="45"/>
        <v>1507</v>
      </c>
      <c r="D1472" s="8" t="s">
        <v>119</v>
      </c>
      <c r="F1472" s="8" t="s">
        <v>136</v>
      </c>
      <c r="G1472" s="8" t="s">
        <v>425</v>
      </c>
      <c r="H1472" s="8" t="s">
        <v>426</v>
      </c>
      <c r="I1472" s="8" t="s">
        <v>652</v>
      </c>
      <c r="J1472" s="8" t="s">
        <v>1172</v>
      </c>
      <c r="K1472" s="8" t="s">
        <v>654</v>
      </c>
      <c r="L1472" s="8" t="s">
        <v>1173</v>
      </c>
      <c r="M1472" s="8" t="s">
        <v>2778</v>
      </c>
      <c r="N1472" s="8" t="s">
        <v>425</v>
      </c>
      <c r="O1472" s="8">
        <v>1085.9000000000001</v>
      </c>
      <c r="P1472" s="8">
        <v>1206.56</v>
      </c>
      <c r="Q1472" s="8" t="s">
        <v>2690</v>
      </c>
      <c r="S1472" s="8" t="s">
        <v>513</v>
      </c>
      <c r="T1472" s="8">
        <v>46.48</v>
      </c>
    </row>
    <row r="1473" spans="1:20" x14ac:dyDescent="0.2">
      <c r="A1473" s="8" t="s">
        <v>3247</v>
      </c>
      <c r="B1473" s="8" t="str">
        <f t="shared" si="44"/>
        <v>1586244412</v>
      </c>
      <c r="C1473" s="8" t="str">
        <f t="shared" si="45"/>
        <v>1508</v>
      </c>
      <c r="D1473" s="8" t="s">
        <v>119</v>
      </c>
      <c r="F1473" s="8" t="s">
        <v>136</v>
      </c>
      <c r="G1473" s="8" t="s">
        <v>1313</v>
      </c>
      <c r="H1473" s="8" t="s">
        <v>1314</v>
      </c>
      <c r="I1473" s="8" t="s">
        <v>174</v>
      </c>
      <c r="J1473" s="8" t="s">
        <v>1315</v>
      </c>
      <c r="K1473" s="8" t="s">
        <v>176</v>
      </c>
      <c r="L1473" s="8" t="s">
        <v>1316</v>
      </c>
      <c r="M1473" s="8" t="s">
        <v>2778</v>
      </c>
      <c r="N1473" s="8" t="s">
        <v>1313</v>
      </c>
      <c r="O1473" s="8">
        <v>2162.9499999999998</v>
      </c>
      <c r="P1473" s="8">
        <v>2403.2800000000002</v>
      </c>
      <c r="Q1473" s="8" t="s">
        <v>2692</v>
      </c>
      <c r="R1473" s="8" t="s">
        <v>1317</v>
      </c>
    </row>
    <row r="1474" spans="1:20" x14ac:dyDescent="0.2">
      <c r="A1474" s="8" t="s">
        <v>3392</v>
      </c>
      <c r="B1474" s="8" t="str">
        <f t="shared" ref="B1474:B1537" si="46">LEFT(A1474, FIND("-", A1474) - 1)</f>
        <v>1586244412</v>
      </c>
      <c r="C1474" s="8" t="str">
        <f t="shared" ref="C1474:C1537" si="47">RIGHT(A1474, LEN(A1474) - FIND("-", A1474))</f>
        <v>1509</v>
      </c>
      <c r="D1474" s="8" t="s">
        <v>119</v>
      </c>
      <c r="F1474" s="8" t="s">
        <v>136</v>
      </c>
      <c r="G1474" s="8" t="s">
        <v>1313</v>
      </c>
      <c r="H1474" s="8" t="s">
        <v>1314</v>
      </c>
      <c r="I1474" s="8" t="s">
        <v>174</v>
      </c>
      <c r="J1474" s="8" t="s">
        <v>1315</v>
      </c>
      <c r="K1474" s="8" t="s">
        <v>176</v>
      </c>
      <c r="L1474" s="8" t="s">
        <v>1316</v>
      </c>
      <c r="M1474" s="8" t="s">
        <v>2778</v>
      </c>
      <c r="N1474" s="8" t="s">
        <v>1313</v>
      </c>
      <c r="O1474" s="8">
        <v>2162.9499999999998</v>
      </c>
      <c r="P1474" s="8">
        <v>2403.2800000000002</v>
      </c>
      <c r="Q1474" s="8" t="s">
        <v>2692</v>
      </c>
      <c r="R1474" s="8" t="s">
        <v>1907</v>
      </c>
    </row>
    <row r="1475" spans="1:20" x14ac:dyDescent="0.2">
      <c r="A1475" s="8" t="s">
        <v>2959</v>
      </c>
      <c r="B1475" s="8" t="str">
        <f t="shared" si="46"/>
        <v>1586244412</v>
      </c>
      <c r="C1475" s="8" t="str">
        <f t="shared" si="47"/>
        <v>1510</v>
      </c>
      <c r="D1475" s="8" t="s">
        <v>119</v>
      </c>
      <c r="F1475" s="8" t="s">
        <v>136</v>
      </c>
      <c r="G1475" s="8" t="s">
        <v>1313</v>
      </c>
      <c r="H1475" s="8" t="s">
        <v>1314</v>
      </c>
      <c r="I1475" s="8" t="s">
        <v>174</v>
      </c>
      <c r="J1475" s="8" t="s">
        <v>1315</v>
      </c>
      <c r="K1475" s="8" t="s">
        <v>176</v>
      </c>
      <c r="L1475" s="8" t="s">
        <v>1316</v>
      </c>
      <c r="M1475" s="8" t="s">
        <v>2778</v>
      </c>
      <c r="N1475" s="8" t="s">
        <v>1313</v>
      </c>
      <c r="O1475" s="8">
        <v>2162.9499999999998</v>
      </c>
      <c r="P1475" s="8">
        <v>2403.2800000000002</v>
      </c>
      <c r="Q1475" s="8" t="s">
        <v>2692</v>
      </c>
      <c r="R1475" s="8" t="s">
        <v>1823</v>
      </c>
    </row>
    <row r="1476" spans="1:20" x14ac:dyDescent="0.2">
      <c r="A1476" s="8" t="s">
        <v>3451</v>
      </c>
      <c r="B1476" s="8" t="str">
        <f t="shared" si="46"/>
        <v>1586244412</v>
      </c>
      <c r="C1476" s="8" t="str">
        <f t="shared" si="47"/>
        <v>1511</v>
      </c>
      <c r="D1476" s="8" t="s">
        <v>119</v>
      </c>
      <c r="F1476" s="8" t="s">
        <v>136</v>
      </c>
      <c r="G1476" s="8" t="s">
        <v>1313</v>
      </c>
      <c r="H1476" s="8" t="s">
        <v>1314</v>
      </c>
      <c r="I1476" s="8" t="s">
        <v>174</v>
      </c>
      <c r="J1476" s="8" t="s">
        <v>1315</v>
      </c>
      <c r="K1476" s="8" t="s">
        <v>176</v>
      </c>
      <c r="L1476" s="8" t="s">
        <v>1316</v>
      </c>
      <c r="M1476" s="8" t="s">
        <v>2778</v>
      </c>
      <c r="N1476" s="8" t="s">
        <v>1313</v>
      </c>
      <c r="O1476" s="8">
        <v>2162.9499999999998</v>
      </c>
      <c r="P1476" s="8">
        <v>2403.2800000000002</v>
      </c>
      <c r="Q1476" s="8" t="s">
        <v>2692</v>
      </c>
      <c r="R1476" s="8" t="s">
        <v>2434</v>
      </c>
    </row>
    <row r="1477" spans="1:20" x14ac:dyDescent="0.2">
      <c r="A1477" s="8" t="s">
        <v>3311</v>
      </c>
      <c r="B1477" s="8" t="str">
        <f t="shared" si="46"/>
        <v>1586244412</v>
      </c>
      <c r="C1477" s="8" t="str">
        <f t="shared" si="47"/>
        <v>1512</v>
      </c>
      <c r="D1477" s="8" t="s">
        <v>119</v>
      </c>
      <c r="F1477" s="8" t="s">
        <v>136</v>
      </c>
      <c r="G1477" s="8" t="s">
        <v>1313</v>
      </c>
      <c r="H1477" s="8" t="s">
        <v>1314</v>
      </c>
      <c r="I1477" s="8" t="s">
        <v>174</v>
      </c>
      <c r="J1477" s="8" t="s">
        <v>1315</v>
      </c>
      <c r="K1477" s="8" t="s">
        <v>176</v>
      </c>
      <c r="L1477" s="8" t="s">
        <v>1316</v>
      </c>
      <c r="M1477" s="8" t="s">
        <v>2778</v>
      </c>
      <c r="N1477" s="8" t="s">
        <v>1313</v>
      </c>
      <c r="O1477" s="8">
        <v>2162.9499999999998</v>
      </c>
      <c r="P1477" s="8">
        <v>2403.2800000000002</v>
      </c>
      <c r="Q1477" s="8" t="s">
        <v>2692</v>
      </c>
      <c r="R1477" s="8" t="s">
        <v>1837</v>
      </c>
    </row>
    <row r="1478" spans="1:20" x14ac:dyDescent="0.2">
      <c r="A1478" s="8" t="s">
        <v>4295</v>
      </c>
      <c r="B1478" s="8" t="str">
        <f t="shared" si="46"/>
        <v>1586244412</v>
      </c>
      <c r="C1478" s="8" t="str">
        <f t="shared" si="47"/>
        <v>1513</v>
      </c>
      <c r="D1478" s="8" t="s">
        <v>119</v>
      </c>
      <c r="F1478" s="8" t="s">
        <v>136</v>
      </c>
      <c r="G1478" s="8" t="s">
        <v>1313</v>
      </c>
      <c r="H1478" s="8" t="s">
        <v>1314</v>
      </c>
      <c r="I1478" s="8" t="s">
        <v>174</v>
      </c>
      <c r="J1478" s="8" t="s">
        <v>1315</v>
      </c>
      <c r="K1478" s="8" t="s">
        <v>176</v>
      </c>
      <c r="L1478" s="8" t="s">
        <v>1316</v>
      </c>
      <c r="M1478" s="8" t="s">
        <v>2778</v>
      </c>
      <c r="N1478" s="8" t="s">
        <v>1313</v>
      </c>
      <c r="O1478" s="8">
        <v>2162.9499999999998</v>
      </c>
      <c r="P1478" s="8">
        <v>2403.2800000000002</v>
      </c>
      <c r="Q1478" s="8" t="s">
        <v>2692</v>
      </c>
      <c r="R1478" s="8" t="s">
        <v>1354</v>
      </c>
    </row>
    <row r="1479" spans="1:20" x14ac:dyDescent="0.2">
      <c r="A1479" s="8" t="s">
        <v>3870</v>
      </c>
      <c r="B1479" s="8" t="str">
        <f t="shared" si="46"/>
        <v>1586244412</v>
      </c>
      <c r="C1479" s="8" t="str">
        <f t="shared" si="47"/>
        <v>1514</v>
      </c>
      <c r="D1479" s="8" t="s">
        <v>119</v>
      </c>
      <c r="F1479" s="8" t="s">
        <v>136</v>
      </c>
      <c r="G1479" s="8" t="s">
        <v>1313</v>
      </c>
      <c r="H1479" s="8" t="s">
        <v>1314</v>
      </c>
      <c r="I1479" s="8" t="s">
        <v>174</v>
      </c>
      <c r="J1479" s="8" t="s">
        <v>1315</v>
      </c>
      <c r="K1479" s="8" t="s">
        <v>176</v>
      </c>
      <c r="L1479" s="8" t="s">
        <v>1316</v>
      </c>
      <c r="M1479" s="8" t="s">
        <v>2778</v>
      </c>
      <c r="N1479" s="8" t="s">
        <v>1313</v>
      </c>
      <c r="O1479" s="8">
        <v>2162.9499999999998</v>
      </c>
      <c r="P1479" s="8">
        <v>2403.2800000000002</v>
      </c>
      <c r="Q1479" s="8" t="s">
        <v>2692</v>
      </c>
      <c r="R1479" s="8" t="s">
        <v>1799</v>
      </c>
    </row>
    <row r="1480" spans="1:20" x14ac:dyDescent="0.2">
      <c r="A1480" s="8" t="s">
        <v>4177</v>
      </c>
      <c r="B1480" s="8" t="str">
        <f t="shared" si="46"/>
        <v>1586244412</v>
      </c>
      <c r="C1480" s="8" t="str">
        <f t="shared" si="47"/>
        <v>1515</v>
      </c>
      <c r="D1480" s="8" t="s">
        <v>119</v>
      </c>
      <c r="F1480" s="8" t="s">
        <v>136</v>
      </c>
      <c r="G1480" s="8" t="s">
        <v>1313</v>
      </c>
      <c r="H1480" s="8" t="s">
        <v>1314</v>
      </c>
      <c r="I1480" s="8" t="s">
        <v>174</v>
      </c>
      <c r="J1480" s="8" t="s">
        <v>1315</v>
      </c>
      <c r="K1480" s="8" t="s">
        <v>176</v>
      </c>
      <c r="L1480" s="8" t="s">
        <v>1316</v>
      </c>
      <c r="M1480" s="8" t="s">
        <v>2778</v>
      </c>
      <c r="N1480" s="8" t="s">
        <v>1313</v>
      </c>
      <c r="O1480" s="8">
        <v>2162.9499999999998</v>
      </c>
      <c r="P1480" s="8">
        <v>2403.2800000000002</v>
      </c>
      <c r="Q1480" s="8" t="s">
        <v>2692</v>
      </c>
      <c r="S1480" s="8" t="s">
        <v>542</v>
      </c>
      <c r="T1480" s="8">
        <v>846.15</v>
      </c>
    </row>
    <row r="1481" spans="1:20" x14ac:dyDescent="0.2">
      <c r="A1481" s="8" t="s">
        <v>2882</v>
      </c>
      <c r="B1481" s="8" t="str">
        <f t="shared" si="46"/>
        <v>1586244412</v>
      </c>
      <c r="C1481" s="8" t="str">
        <f t="shared" si="47"/>
        <v>1516</v>
      </c>
      <c r="D1481" s="8" t="s">
        <v>119</v>
      </c>
      <c r="F1481" s="8" t="s">
        <v>136</v>
      </c>
      <c r="G1481" s="8" t="s">
        <v>1313</v>
      </c>
      <c r="H1481" s="8" t="s">
        <v>1314</v>
      </c>
      <c r="I1481" s="8" t="s">
        <v>174</v>
      </c>
      <c r="J1481" s="8" t="s">
        <v>1315</v>
      </c>
      <c r="K1481" s="8" t="s">
        <v>176</v>
      </c>
      <c r="L1481" s="8" t="s">
        <v>1316</v>
      </c>
      <c r="M1481" s="8" t="s">
        <v>2778</v>
      </c>
      <c r="N1481" s="8" t="s">
        <v>1313</v>
      </c>
      <c r="O1481" s="8">
        <v>2162.9499999999998</v>
      </c>
      <c r="P1481" s="8">
        <v>2403.2800000000002</v>
      </c>
      <c r="Q1481" s="8" t="s">
        <v>2692</v>
      </c>
      <c r="S1481" s="8" t="s">
        <v>184</v>
      </c>
      <c r="T1481" s="8">
        <v>300.98</v>
      </c>
    </row>
    <row r="1482" spans="1:20" x14ac:dyDescent="0.2">
      <c r="A1482" s="8" t="s">
        <v>3493</v>
      </c>
      <c r="B1482" s="8" t="str">
        <f t="shared" si="46"/>
        <v>1586244416</v>
      </c>
      <c r="C1482" s="8" t="str">
        <f t="shared" si="47"/>
        <v>1517</v>
      </c>
      <c r="D1482" s="8" t="s">
        <v>119</v>
      </c>
      <c r="F1482" s="8" t="s">
        <v>136</v>
      </c>
      <c r="G1482" s="8" t="s">
        <v>1151</v>
      </c>
      <c r="H1482" s="8" t="s">
        <v>1152</v>
      </c>
      <c r="I1482" s="8" t="s">
        <v>174</v>
      </c>
      <c r="J1482" s="8" t="s">
        <v>1153</v>
      </c>
      <c r="K1482" s="8" t="s">
        <v>176</v>
      </c>
      <c r="L1482" s="8" t="s">
        <v>1154</v>
      </c>
      <c r="M1482" s="8" t="s">
        <v>2778</v>
      </c>
      <c r="N1482" s="8" t="s">
        <v>1151</v>
      </c>
      <c r="O1482" s="8">
        <v>2210.16</v>
      </c>
      <c r="P1482" s="8">
        <v>2455.7399999999998</v>
      </c>
      <c r="Q1482" s="8" t="s">
        <v>2692</v>
      </c>
      <c r="R1482" s="8" t="s">
        <v>2331</v>
      </c>
    </row>
    <row r="1483" spans="1:20" x14ac:dyDescent="0.2">
      <c r="A1483" s="8" t="s">
        <v>4180</v>
      </c>
      <c r="B1483" s="8" t="str">
        <f t="shared" si="46"/>
        <v>1586244416</v>
      </c>
      <c r="C1483" s="8" t="str">
        <f t="shared" si="47"/>
        <v>1518</v>
      </c>
      <c r="D1483" s="8" t="s">
        <v>119</v>
      </c>
      <c r="F1483" s="8" t="s">
        <v>136</v>
      </c>
      <c r="G1483" s="8" t="s">
        <v>1151</v>
      </c>
      <c r="H1483" s="8" t="s">
        <v>1152</v>
      </c>
      <c r="I1483" s="8" t="s">
        <v>174</v>
      </c>
      <c r="J1483" s="8" t="s">
        <v>1153</v>
      </c>
      <c r="K1483" s="8" t="s">
        <v>176</v>
      </c>
      <c r="L1483" s="8" t="s">
        <v>1154</v>
      </c>
      <c r="M1483" s="8" t="s">
        <v>2778</v>
      </c>
      <c r="N1483" s="8" t="s">
        <v>1151</v>
      </c>
      <c r="O1483" s="8">
        <v>2210.16</v>
      </c>
      <c r="P1483" s="8">
        <v>2455.7399999999998</v>
      </c>
      <c r="Q1483" s="8" t="s">
        <v>2692</v>
      </c>
      <c r="R1483" s="8" t="s">
        <v>2335</v>
      </c>
    </row>
    <row r="1484" spans="1:20" x14ac:dyDescent="0.2">
      <c r="A1484" s="8" t="s">
        <v>4355</v>
      </c>
      <c r="B1484" s="8" t="str">
        <f t="shared" si="46"/>
        <v>1586244416</v>
      </c>
      <c r="C1484" s="8" t="str">
        <f t="shared" si="47"/>
        <v>1519</v>
      </c>
      <c r="D1484" s="8" t="s">
        <v>119</v>
      </c>
      <c r="F1484" s="8" t="s">
        <v>136</v>
      </c>
      <c r="G1484" s="8" t="s">
        <v>1151</v>
      </c>
      <c r="H1484" s="8" t="s">
        <v>1152</v>
      </c>
      <c r="I1484" s="8" t="s">
        <v>174</v>
      </c>
      <c r="J1484" s="8" t="s">
        <v>1153</v>
      </c>
      <c r="K1484" s="8" t="s">
        <v>176</v>
      </c>
      <c r="L1484" s="8" t="s">
        <v>1154</v>
      </c>
      <c r="M1484" s="8" t="s">
        <v>2778</v>
      </c>
      <c r="N1484" s="8" t="s">
        <v>1151</v>
      </c>
      <c r="O1484" s="8">
        <v>2210.16</v>
      </c>
      <c r="P1484" s="8">
        <v>2455.7399999999998</v>
      </c>
      <c r="Q1484" s="8" t="s">
        <v>2692</v>
      </c>
      <c r="R1484" s="8" t="s">
        <v>1958</v>
      </c>
    </row>
    <row r="1485" spans="1:20" x14ac:dyDescent="0.2">
      <c r="A1485" s="8" t="s">
        <v>3284</v>
      </c>
      <c r="B1485" s="8" t="str">
        <f t="shared" si="46"/>
        <v>1586244416</v>
      </c>
      <c r="C1485" s="8" t="str">
        <f t="shared" si="47"/>
        <v>1520</v>
      </c>
      <c r="D1485" s="8" t="s">
        <v>119</v>
      </c>
      <c r="F1485" s="8" t="s">
        <v>136</v>
      </c>
      <c r="G1485" s="8" t="s">
        <v>1151</v>
      </c>
      <c r="H1485" s="8" t="s">
        <v>1152</v>
      </c>
      <c r="I1485" s="8" t="s">
        <v>174</v>
      </c>
      <c r="J1485" s="8" t="s">
        <v>1153</v>
      </c>
      <c r="K1485" s="8" t="s">
        <v>176</v>
      </c>
      <c r="L1485" s="8" t="s">
        <v>1154</v>
      </c>
      <c r="M1485" s="8" t="s">
        <v>2778</v>
      </c>
      <c r="N1485" s="8" t="s">
        <v>1151</v>
      </c>
      <c r="O1485" s="8">
        <v>2210.16</v>
      </c>
      <c r="P1485" s="8">
        <v>2455.7399999999998</v>
      </c>
      <c r="Q1485" s="8" t="s">
        <v>2692</v>
      </c>
      <c r="R1485" s="8" t="s">
        <v>1735</v>
      </c>
    </row>
    <row r="1486" spans="1:20" x14ac:dyDescent="0.2">
      <c r="A1486" s="8" t="s">
        <v>4444</v>
      </c>
      <c r="B1486" s="8" t="str">
        <f t="shared" si="46"/>
        <v>1586244416</v>
      </c>
      <c r="C1486" s="8" t="str">
        <f t="shared" si="47"/>
        <v>1521</v>
      </c>
      <c r="D1486" s="8" t="s">
        <v>119</v>
      </c>
      <c r="F1486" s="8" t="s">
        <v>136</v>
      </c>
      <c r="G1486" s="8" t="s">
        <v>1151</v>
      </c>
      <c r="H1486" s="8" t="s">
        <v>1152</v>
      </c>
      <c r="I1486" s="8" t="s">
        <v>174</v>
      </c>
      <c r="J1486" s="8" t="s">
        <v>1153</v>
      </c>
      <c r="K1486" s="8" t="s">
        <v>176</v>
      </c>
      <c r="L1486" s="8" t="s">
        <v>1154</v>
      </c>
      <c r="M1486" s="8" t="s">
        <v>2778</v>
      </c>
      <c r="N1486" s="8" t="s">
        <v>1151</v>
      </c>
      <c r="O1486" s="8">
        <v>2210.16</v>
      </c>
      <c r="P1486" s="8">
        <v>2455.7399999999998</v>
      </c>
      <c r="Q1486" s="8" t="s">
        <v>2692</v>
      </c>
      <c r="R1486" s="8" t="s">
        <v>1155</v>
      </c>
    </row>
    <row r="1487" spans="1:20" x14ac:dyDescent="0.2">
      <c r="A1487" s="8" t="s">
        <v>2903</v>
      </c>
      <c r="B1487" s="8" t="str">
        <f t="shared" si="46"/>
        <v>1586244416</v>
      </c>
      <c r="C1487" s="8" t="str">
        <f t="shared" si="47"/>
        <v>1522</v>
      </c>
      <c r="D1487" s="8" t="s">
        <v>119</v>
      </c>
      <c r="F1487" s="8" t="s">
        <v>136</v>
      </c>
      <c r="G1487" s="8" t="s">
        <v>1151</v>
      </c>
      <c r="H1487" s="8" t="s">
        <v>1152</v>
      </c>
      <c r="I1487" s="8" t="s">
        <v>174</v>
      </c>
      <c r="J1487" s="8" t="s">
        <v>1153</v>
      </c>
      <c r="K1487" s="8" t="s">
        <v>176</v>
      </c>
      <c r="L1487" s="8" t="s">
        <v>1154</v>
      </c>
      <c r="M1487" s="8" t="s">
        <v>2778</v>
      </c>
      <c r="N1487" s="8" t="s">
        <v>1151</v>
      </c>
      <c r="O1487" s="8">
        <v>2210.16</v>
      </c>
      <c r="P1487" s="8">
        <v>2455.7399999999998</v>
      </c>
      <c r="Q1487" s="8" t="s">
        <v>2692</v>
      </c>
      <c r="R1487" s="8" t="s">
        <v>2030</v>
      </c>
    </row>
    <row r="1488" spans="1:20" x14ac:dyDescent="0.2">
      <c r="A1488" s="8" t="s">
        <v>4315</v>
      </c>
      <c r="B1488" s="8" t="str">
        <f t="shared" si="46"/>
        <v>1586244416</v>
      </c>
      <c r="C1488" s="8" t="str">
        <f t="shared" si="47"/>
        <v>1523</v>
      </c>
      <c r="D1488" s="8" t="s">
        <v>119</v>
      </c>
      <c r="F1488" s="8" t="s">
        <v>136</v>
      </c>
      <c r="G1488" s="8" t="s">
        <v>1151</v>
      </c>
      <c r="H1488" s="8" t="s">
        <v>1152</v>
      </c>
      <c r="I1488" s="8" t="s">
        <v>174</v>
      </c>
      <c r="J1488" s="8" t="s">
        <v>1153</v>
      </c>
      <c r="K1488" s="8" t="s">
        <v>176</v>
      </c>
      <c r="L1488" s="8" t="s">
        <v>1154</v>
      </c>
      <c r="M1488" s="8" t="s">
        <v>2778</v>
      </c>
      <c r="N1488" s="8" t="s">
        <v>1151</v>
      </c>
      <c r="O1488" s="8">
        <v>2210.16</v>
      </c>
      <c r="P1488" s="8">
        <v>2455.7399999999998</v>
      </c>
      <c r="Q1488" s="8" t="s">
        <v>2692</v>
      </c>
      <c r="R1488" s="8" t="s">
        <v>2420</v>
      </c>
    </row>
    <row r="1489" spans="1:20" x14ac:dyDescent="0.2">
      <c r="A1489" s="8" t="s">
        <v>4766</v>
      </c>
      <c r="B1489" s="8" t="str">
        <f t="shared" si="46"/>
        <v>1586244416</v>
      </c>
      <c r="C1489" s="8" t="str">
        <f t="shared" si="47"/>
        <v>1524</v>
      </c>
      <c r="D1489" s="8" t="s">
        <v>119</v>
      </c>
      <c r="F1489" s="8" t="s">
        <v>136</v>
      </c>
      <c r="G1489" s="8" t="s">
        <v>1151</v>
      </c>
      <c r="H1489" s="8" t="s">
        <v>1152</v>
      </c>
      <c r="I1489" s="8" t="s">
        <v>174</v>
      </c>
      <c r="J1489" s="8" t="s">
        <v>1153</v>
      </c>
      <c r="K1489" s="8" t="s">
        <v>176</v>
      </c>
      <c r="L1489" s="8" t="s">
        <v>1154</v>
      </c>
      <c r="M1489" s="8" t="s">
        <v>2778</v>
      </c>
      <c r="N1489" s="8" t="s">
        <v>1151</v>
      </c>
      <c r="O1489" s="8">
        <v>2210.16</v>
      </c>
      <c r="P1489" s="8">
        <v>2455.7399999999998</v>
      </c>
      <c r="Q1489" s="8" t="s">
        <v>2692</v>
      </c>
      <c r="S1489" s="8" t="s">
        <v>542</v>
      </c>
      <c r="T1489" s="8">
        <v>846.15</v>
      </c>
    </row>
    <row r="1490" spans="1:20" x14ac:dyDescent="0.2">
      <c r="A1490" s="8" t="s">
        <v>3529</v>
      </c>
      <c r="B1490" s="8" t="str">
        <f t="shared" si="46"/>
        <v>1586244416</v>
      </c>
      <c r="C1490" s="8" t="str">
        <f t="shared" si="47"/>
        <v>1525</v>
      </c>
      <c r="D1490" s="8" t="s">
        <v>119</v>
      </c>
      <c r="F1490" s="8" t="s">
        <v>136</v>
      </c>
      <c r="G1490" s="8" t="s">
        <v>1151</v>
      </c>
      <c r="H1490" s="8" t="s">
        <v>1152</v>
      </c>
      <c r="I1490" s="8" t="s">
        <v>174</v>
      </c>
      <c r="J1490" s="8" t="s">
        <v>1153</v>
      </c>
      <c r="K1490" s="8" t="s">
        <v>176</v>
      </c>
      <c r="L1490" s="8" t="s">
        <v>1154</v>
      </c>
      <c r="M1490" s="8" t="s">
        <v>2778</v>
      </c>
      <c r="N1490" s="8" t="s">
        <v>1151</v>
      </c>
      <c r="O1490" s="8">
        <v>2210.16</v>
      </c>
      <c r="P1490" s="8">
        <v>2455.7399999999998</v>
      </c>
      <c r="Q1490" s="8" t="s">
        <v>2692</v>
      </c>
      <c r="S1490" s="8" t="s">
        <v>184</v>
      </c>
      <c r="T1490" s="8">
        <v>300.98</v>
      </c>
    </row>
    <row r="1491" spans="1:20" x14ac:dyDescent="0.2">
      <c r="A1491" s="8" t="s">
        <v>3554</v>
      </c>
      <c r="B1491" s="8" t="str">
        <f t="shared" si="46"/>
        <v>1586244420</v>
      </c>
      <c r="C1491" s="8" t="str">
        <f t="shared" si="47"/>
        <v>1526</v>
      </c>
      <c r="D1491" s="8" t="s">
        <v>119</v>
      </c>
      <c r="F1491" s="8" t="s">
        <v>136</v>
      </c>
      <c r="G1491" s="8" t="s">
        <v>526</v>
      </c>
      <c r="H1491" s="8" t="s">
        <v>527</v>
      </c>
      <c r="I1491" s="8" t="s">
        <v>229</v>
      </c>
      <c r="J1491" s="8" t="s">
        <v>528</v>
      </c>
      <c r="K1491" s="8" t="s">
        <v>60</v>
      </c>
      <c r="L1491" s="8" t="s">
        <v>529</v>
      </c>
      <c r="M1491" s="8" t="s">
        <v>2778</v>
      </c>
      <c r="N1491" s="8" t="s">
        <v>526</v>
      </c>
      <c r="O1491" s="8">
        <v>668.36</v>
      </c>
      <c r="P1491" s="8">
        <v>742.62</v>
      </c>
      <c r="Q1491" s="8" t="s">
        <v>2693</v>
      </c>
      <c r="R1491" s="8" t="s">
        <v>2075</v>
      </c>
    </row>
    <row r="1492" spans="1:20" x14ac:dyDescent="0.2">
      <c r="A1492" s="8" t="s">
        <v>2817</v>
      </c>
      <c r="B1492" s="8" t="str">
        <f t="shared" si="46"/>
        <v>1586244420</v>
      </c>
      <c r="C1492" s="8" t="str">
        <f t="shared" si="47"/>
        <v>1527</v>
      </c>
      <c r="D1492" s="8" t="s">
        <v>119</v>
      </c>
      <c r="F1492" s="8" t="s">
        <v>136</v>
      </c>
      <c r="G1492" s="8" t="s">
        <v>526</v>
      </c>
      <c r="H1492" s="8" t="s">
        <v>527</v>
      </c>
      <c r="I1492" s="8" t="s">
        <v>229</v>
      </c>
      <c r="J1492" s="8" t="s">
        <v>528</v>
      </c>
      <c r="K1492" s="8" t="s">
        <v>60</v>
      </c>
      <c r="L1492" s="8" t="s">
        <v>529</v>
      </c>
      <c r="M1492" s="8" t="s">
        <v>2778</v>
      </c>
      <c r="N1492" s="8" t="s">
        <v>526</v>
      </c>
      <c r="O1492" s="8">
        <v>668.36</v>
      </c>
      <c r="P1492" s="8">
        <v>742.62</v>
      </c>
      <c r="Q1492" s="8" t="s">
        <v>2693</v>
      </c>
      <c r="R1492" s="8" t="s">
        <v>1801</v>
      </c>
    </row>
    <row r="1493" spans="1:20" x14ac:dyDescent="0.2">
      <c r="A1493" s="8" t="s">
        <v>4300</v>
      </c>
      <c r="B1493" s="8" t="str">
        <f t="shared" si="46"/>
        <v>1586244420</v>
      </c>
      <c r="C1493" s="8" t="str">
        <f t="shared" si="47"/>
        <v>1528</v>
      </c>
      <c r="D1493" s="8" t="s">
        <v>119</v>
      </c>
      <c r="F1493" s="8" t="s">
        <v>136</v>
      </c>
      <c r="G1493" s="8" t="s">
        <v>526</v>
      </c>
      <c r="H1493" s="8" t="s">
        <v>527</v>
      </c>
      <c r="I1493" s="8" t="s">
        <v>229</v>
      </c>
      <c r="J1493" s="8" t="s">
        <v>528</v>
      </c>
      <c r="K1493" s="8" t="s">
        <v>60</v>
      </c>
      <c r="L1493" s="8" t="s">
        <v>529</v>
      </c>
      <c r="M1493" s="8" t="s">
        <v>2778</v>
      </c>
      <c r="N1493" s="8" t="s">
        <v>526</v>
      </c>
      <c r="O1493" s="8">
        <v>668.36</v>
      </c>
      <c r="P1493" s="8">
        <v>742.62</v>
      </c>
      <c r="Q1493" s="8" t="s">
        <v>2693</v>
      </c>
      <c r="R1493" s="8" t="s">
        <v>925</v>
      </c>
    </row>
    <row r="1494" spans="1:20" x14ac:dyDescent="0.2">
      <c r="A1494" s="8" t="s">
        <v>4320</v>
      </c>
      <c r="B1494" s="8" t="str">
        <f t="shared" si="46"/>
        <v>1586244420</v>
      </c>
      <c r="C1494" s="8" t="str">
        <f t="shared" si="47"/>
        <v>1529</v>
      </c>
      <c r="D1494" s="8" t="s">
        <v>119</v>
      </c>
      <c r="F1494" s="8" t="s">
        <v>136</v>
      </c>
      <c r="G1494" s="8" t="s">
        <v>526</v>
      </c>
      <c r="H1494" s="8" t="s">
        <v>527</v>
      </c>
      <c r="I1494" s="8" t="s">
        <v>229</v>
      </c>
      <c r="J1494" s="8" t="s">
        <v>528</v>
      </c>
      <c r="K1494" s="8" t="s">
        <v>60</v>
      </c>
      <c r="L1494" s="8" t="s">
        <v>529</v>
      </c>
      <c r="M1494" s="8" t="s">
        <v>2778</v>
      </c>
      <c r="N1494" s="8" t="s">
        <v>526</v>
      </c>
      <c r="O1494" s="8">
        <v>668.36</v>
      </c>
      <c r="P1494" s="8">
        <v>742.62</v>
      </c>
      <c r="Q1494" s="8" t="s">
        <v>2693</v>
      </c>
      <c r="R1494" s="8" t="s">
        <v>1666</v>
      </c>
    </row>
    <row r="1495" spans="1:20" x14ac:dyDescent="0.2">
      <c r="A1495" s="8" t="s">
        <v>4470</v>
      </c>
      <c r="B1495" s="8" t="str">
        <f t="shared" si="46"/>
        <v>1586244420</v>
      </c>
      <c r="C1495" s="8" t="str">
        <f t="shared" si="47"/>
        <v>1530</v>
      </c>
      <c r="D1495" s="8" t="s">
        <v>119</v>
      </c>
      <c r="F1495" s="8" t="s">
        <v>136</v>
      </c>
      <c r="G1495" s="8" t="s">
        <v>526</v>
      </c>
      <c r="H1495" s="8" t="s">
        <v>527</v>
      </c>
      <c r="I1495" s="8" t="s">
        <v>229</v>
      </c>
      <c r="J1495" s="8" t="s">
        <v>528</v>
      </c>
      <c r="K1495" s="8" t="s">
        <v>60</v>
      </c>
      <c r="L1495" s="8" t="s">
        <v>529</v>
      </c>
      <c r="M1495" s="8" t="s">
        <v>2778</v>
      </c>
      <c r="N1495" s="8" t="s">
        <v>526</v>
      </c>
      <c r="O1495" s="8">
        <v>668.36</v>
      </c>
      <c r="P1495" s="8">
        <v>742.62</v>
      </c>
      <c r="Q1495" s="8" t="s">
        <v>2693</v>
      </c>
      <c r="S1495" s="8" t="s">
        <v>1460</v>
      </c>
      <c r="T1495" s="8">
        <v>0</v>
      </c>
    </row>
    <row r="1496" spans="1:20" x14ac:dyDescent="0.2">
      <c r="A1496" s="8" t="s">
        <v>2850</v>
      </c>
      <c r="B1496" s="8" t="str">
        <f t="shared" si="46"/>
        <v>1586244420</v>
      </c>
      <c r="C1496" s="8" t="str">
        <f t="shared" si="47"/>
        <v>1531</v>
      </c>
      <c r="D1496" s="8" t="s">
        <v>119</v>
      </c>
      <c r="F1496" s="8" t="s">
        <v>136</v>
      </c>
      <c r="G1496" s="8" t="s">
        <v>526</v>
      </c>
      <c r="H1496" s="8" t="s">
        <v>527</v>
      </c>
      <c r="I1496" s="8" t="s">
        <v>229</v>
      </c>
      <c r="J1496" s="8" t="s">
        <v>528</v>
      </c>
      <c r="K1496" s="8" t="s">
        <v>60</v>
      </c>
      <c r="L1496" s="8" t="s">
        <v>529</v>
      </c>
      <c r="M1496" s="8" t="s">
        <v>2778</v>
      </c>
      <c r="N1496" s="8" t="s">
        <v>526</v>
      </c>
      <c r="O1496" s="8">
        <v>668.36</v>
      </c>
      <c r="P1496" s="8">
        <v>742.62</v>
      </c>
      <c r="Q1496" s="8" t="s">
        <v>2693</v>
      </c>
      <c r="S1496" s="8" t="s">
        <v>969</v>
      </c>
      <c r="T1496" s="8">
        <v>49.43</v>
      </c>
    </row>
    <row r="1497" spans="1:20" x14ac:dyDescent="0.2">
      <c r="A1497" s="8" t="s">
        <v>4441</v>
      </c>
      <c r="B1497" s="8" t="str">
        <f t="shared" si="46"/>
        <v>1586244420</v>
      </c>
      <c r="C1497" s="8" t="str">
        <f t="shared" si="47"/>
        <v>1532</v>
      </c>
      <c r="D1497" s="8" t="s">
        <v>119</v>
      </c>
      <c r="F1497" s="8" t="s">
        <v>136</v>
      </c>
      <c r="G1497" s="8" t="s">
        <v>526</v>
      </c>
      <c r="H1497" s="8" t="s">
        <v>527</v>
      </c>
      <c r="I1497" s="8" t="s">
        <v>229</v>
      </c>
      <c r="J1497" s="8" t="s">
        <v>528</v>
      </c>
      <c r="K1497" s="8" t="s">
        <v>60</v>
      </c>
      <c r="L1497" s="8" t="s">
        <v>529</v>
      </c>
      <c r="M1497" s="8" t="s">
        <v>2778</v>
      </c>
      <c r="N1497" s="8" t="s">
        <v>526</v>
      </c>
      <c r="O1497" s="8">
        <v>668.36</v>
      </c>
      <c r="P1497" s="8">
        <v>742.62</v>
      </c>
      <c r="Q1497" s="8" t="s">
        <v>2693</v>
      </c>
      <c r="S1497" s="8" t="s">
        <v>530</v>
      </c>
      <c r="T1497" s="8">
        <v>49.43</v>
      </c>
    </row>
    <row r="1498" spans="1:20" x14ac:dyDescent="0.2">
      <c r="A1498" s="8" t="s">
        <v>3168</v>
      </c>
      <c r="B1498" s="8" t="str">
        <f t="shared" si="46"/>
        <v>1586244424</v>
      </c>
      <c r="C1498" s="8" t="str">
        <f t="shared" si="47"/>
        <v>1533</v>
      </c>
      <c r="D1498" s="8" t="s">
        <v>119</v>
      </c>
      <c r="F1498" s="8" t="s">
        <v>136</v>
      </c>
      <c r="G1498" s="8" t="s">
        <v>884</v>
      </c>
      <c r="H1498" s="8" t="s">
        <v>885</v>
      </c>
      <c r="I1498" s="8" t="s">
        <v>167</v>
      </c>
      <c r="J1498" s="8" t="s">
        <v>886</v>
      </c>
      <c r="K1498" s="8" t="s">
        <v>125</v>
      </c>
      <c r="L1498" s="8" t="s">
        <v>887</v>
      </c>
      <c r="M1498" s="8" t="s">
        <v>2778</v>
      </c>
      <c r="N1498" s="8" t="s">
        <v>884</v>
      </c>
      <c r="O1498" s="8">
        <v>561.39</v>
      </c>
      <c r="P1498" s="8">
        <v>623.77</v>
      </c>
      <c r="Q1498" s="8" t="s">
        <v>2694</v>
      </c>
      <c r="R1498" s="8" t="s">
        <v>1338</v>
      </c>
    </row>
    <row r="1499" spans="1:20" x14ac:dyDescent="0.2">
      <c r="A1499" s="8" t="s">
        <v>2863</v>
      </c>
      <c r="B1499" s="8" t="str">
        <f t="shared" si="46"/>
        <v>1586244424</v>
      </c>
      <c r="C1499" s="8" t="str">
        <f t="shared" si="47"/>
        <v>1534</v>
      </c>
      <c r="D1499" s="8" t="s">
        <v>119</v>
      </c>
      <c r="F1499" s="8" t="s">
        <v>136</v>
      </c>
      <c r="G1499" s="8" t="s">
        <v>884</v>
      </c>
      <c r="H1499" s="8" t="s">
        <v>885</v>
      </c>
      <c r="I1499" s="8" t="s">
        <v>167</v>
      </c>
      <c r="J1499" s="8" t="s">
        <v>886</v>
      </c>
      <c r="K1499" s="8" t="s">
        <v>125</v>
      </c>
      <c r="L1499" s="8" t="s">
        <v>887</v>
      </c>
      <c r="M1499" s="8" t="s">
        <v>2778</v>
      </c>
      <c r="N1499" s="8" t="s">
        <v>884</v>
      </c>
      <c r="O1499" s="8">
        <v>561.39</v>
      </c>
      <c r="P1499" s="8">
        <v>623.77</v>
      </c>
      <c r="Q1499" s="8" t="s">
        <v>2694</v>
      </c>
      <c r="R1499" s="8" t="s">
        <v>1699</v>
      </c>
    </row>
    <row r="1500" spans="1:20" x14ac:dyDescent="0.2">
      <c r="A1500" s="8" t="s">
        <v>4684</v>
      </c>
      <c r="B1500" s="8" t="str">
        <f t="shared" si="46"/>
        <v>1586244424</v>
      </c>
      <c r="C1500" s="8" t="str">
        <f t="shared" si="47"/>
        <v>1535</v>
      </c>
      <c r="D1500" s="8" t="s">
        <v>119</v>
      </c>
      <c r="F1500" s="8" t="s">
        <v>136</v>
      </c>
      <c r="G1500" s="8" t="s">
        <v>884</v>
      </c>
      <c r="H1500" s="8" t="s">
        <v>885</v>
      </c>
      <c r="I1500" s="8" t="s">
        <v>167</v>
      </c>
      <c r="J1500" s="8" t="s">
        <v>886</v>
      </c>
      <c r="K1500" s="8" t="s">
        <v>125</v>
      </c>
      <c r="L1500" s="8" t="s">
        <v>887</v>
      </c>
      <c r="M1500" s="8" t="s">
        <v>2778</v>
      </c>
      <c r="N1500" s="8" t="s">
        <v>884</v>
      </c>
      <c r="O1500" s="8">
        <v>561.39</v>
      </c>
      <c r="P1500" s="8">
        <v>623.77</v>
      </c>
      <c r="Q1500" s="8" t="s">
        <v>2694</v>
      </c>
      <c r="R1500" s="8" t="s">
        <v>888</v>
      </c>
    </row>
    <row r="1501" spans="1:20" x14ac:dyDescent="0.2">
      <c r="A1501" s="8" t="s">
        <v>3203</v>
      </c>
      <c r="B1501" s="8" t="str">
        <f t="shared" si="46"/>
        <v>1586244428</v>
      </c>
      <c r="C1501" s="8" t="str">
        <f t="shared" si="47"/>
        <v>1536</v>
      </c>
      <c r="D1501" s="8" t="s">
        <v>119</v>
      </c>
      <c r="F1501" s="8" t="s">
        <v>136</v>
      </c>
      <c r="G1501" s="8" t="s">
        <v>236</v>
      </c>
      <c r="H1501" s="8" t="s">
        <v>237</v>
      </c>
      <c r="I1501" s="8" t="s">
        <v>181</v>
      </c>
      <c r="J1501" s="8" t="s">
        <v>238</v>
      </c>
      <c r="K1501" s="8" t="s">
        <v>190</v>
      </c>
      <c r="L1501" s="8" t="s">
        <v>239</v>
      </c>
      <c r="M1501" s="8" t="s">
        <v>2778</v>
      </c>
      <c r="N1501" s="8" t="s">
        <v>236</v>
      </c>
      <c r="O1501" s="8">
        <v>886.72</v>
      </c>
      <c r="P1501" s="8">
        <v>985.25</v>
      </c>
      <c r="Q1501" s="8" t="s">
        <v>2695</v>
      </c>
      <c r="R1501" s="8" t="s">
        <v>1048</v>
      </c>
    </row>
    <row r="1502" spans="1:20" x14ac:dyDescent="0.2">
      <c r="A1502" s="8" t="s">
        <v>4307</v>
      </c>
      <c r="B1502" s="8" t="str">
        <f t="shared" si="46"/>
        <v>1586244428</v>
      </c>
      <c r="C1502" s="8" t="str">
        <f t="shared" si="47"/>
        <v>1537</v>
      </c>
      <c r="D1502" s="8" t="s">
        <v>119</v>
      </c>
      <c r="F1502" s="8" t="s">
        <v>136</v>
      </c>
      <c r="G1502" s="8" t="s">
        <v>236</v>
      </c>
      <c r="H1502" s="8" t="s">
        <v>237</v>
      </c>
      <c r="I1502" s="8" t="s">
        <v>181</v>
      </c>
      <c r="J1502" s="8" t="s">
        <v>238</v>
      </c>
      <c r="K1502" s="8" t="s">
        <v>190</v>
      </c>
      <c r="L1502" s="8" t="s">
        <v>239</v>
      </c>
      <c r="M1502" s="8" t="s">
        <v>2778</v>
      </c>
      <c r="N1502" s="8" t="s">
        <v>236</v>
      </c>
      <c r="O1502" s="8">
        <v>886.72</v>
      </c>
      <c r="P1502" s="8">
        <v>985.25</v>
      </c>
      <c r="Q1502" s="8" t="s">
        <v>2695</v>
      </c>
      <c r="R1502" s="8" t="s">
        <v>2453</v>
      </c>
    </row>
    <row r="1503" spans="1:20" x14ac:dyDescent="0.2">
      <c r="A1503" s="8" t="s">
        <v>4666</v>
      </c>
      <c r="B1503" s="8" t="str">
        <f t="shared" si="46"/>
        <v>1586244428</v>
      </c>
      <c r="C1503" s="8" t="str">
        <f t="shared" si="47"/>
        <v>1538</v>
      </c>
      <c r="D1503" s="8" t="s">
        <v>119</v>
      </c>
      <c r="F1503" s="8" t="s">
        <v>136</v>
      </c>
      <c r="G1503" s="8" t="s">
        <v>236</v>
      </c>
      <c r="H1503" s="8" t="s">
        <v>237</v>
      </c>
      <c r="I1503" s="8" t="s">
        <v>181</v>
      </c>
      <c r="J1503" s="8" t="s">
        <v>238</v>
      </c>
      <c r="K1503" s="8" t="s">
        <v>190</v>
      </c>
      <c r="L1503" s="8" t="s">
        <v>239</v>
      </c>
      <c r="M1503" s="8" t="s">
        <v>2778</v>
      </c>
      <c r="N1503" s="8" t="s">
        <v>236</v>
      </c>
      <c r="O1503" s="8">
        <v>886.72</v>
      </c>
      <c r="P1503" s="8">
        <v>985.25</v>
      </c>
      <c r="Q1503" s="8" t="s">
        <v>2695</v>
      </c>
      <c r="R1503" s="8" t="s">
        <v>240</v>
      </c>
    </row>
    <row r="1504" spans="1:20" x14ac:dyDescent="0.2">
      <c r="A1504" s="8" t="s">
        <v>4640</v>
      </c>
      <c r="B1504" s="8" t="str">
        <f t="shared" si="46"/>
        <v>1586244428</v>
      </c>
      <c r="C1504" s="8" t="str">
        <f t="shared" si="47"/>
        <v>1539</v>
      </c>
      <c r="D1504" s="8" t="s">
        <v>119</v>
      </c>
      <c r="F1504" s="8" t="s">
        <v>136</v>
      </c>
      <c r="G1504" s="8" t="s">
        <v>236</v>
      </c>
      <c r="H1504" s="8" t="s">
        <v>237</v>
      </c>
      <c r="I1504" s="8" t="s">
        <v>181</v>
      </c>
      <c r="J1504" s="8" t="s">
        <v>238</v>
      </c>
      <c r="K1504" s="8" t="s">
        <v>190</v>
      </c>
      <c r="L1504" s="8" t="s">
        <v>239</v>
      </c>
      <c r="M1504" s="8" t="s">
        <v>2778</v>
      </c>
      <c r="N1504" s="8" t="s">
        <v>236</v>
      </c>
      <c r="O1504" s="8">
        <v>886.72</v>
      </c>
      <c r="P1504" s="8">
        <v>985.25</v>
      </c>
      <c r="Q1504" s="8" t="s">
        <v>2695</v>
      </c>
      <c r="R1504" s="8" t="s">
        <v>1929</v>
      </c>
    </row>
    <row r="1505" spans="1:20" x14ac:dyDescent="0.2">
      <c r="A1505" s="8" t="s">
        <v>3760</v>
      </c>
      <c r="B1505" s="8" t="str">
        <f t="shared" si="46"/>
        <v>1586244428</v>
      </c>
      <c r="C1505" s="8" t="str">
        <f t="shared" si="47"/>
        <v>1540</v>
      </c>
      <c r="D1505" s="8" t="s">
        <v>119</v>
      </c>
      <c r="F1505" s="8" t="s">
        <v>136</v>
      </c>
      <c r="G1505" s="8" t="s">
        <v>236</v>
      </c>
      <c r="H1505" s="8" t="s">
        <v>237</v>
      </c>
      <c r="I1505" s="8" t="s">
        <v>181</v>
      </c>
      <c r="J1505" s="8" t="s">
        <v>238</v>
      </c>
      <c r="K1505" s="8" t="s">
        <v>190</v>
      </c>
      <c r="L1505" s="8" t="s">
        <v>239</v>
      </c>
      <c r="M1505" s="8" t="s">
        <v>2778</v>
      </c>
      <c r="N1505" s="8" t="s">
        <v>236</v>
      </c>
      <c r="O1505" s="8">
        <v>886.72</v>
      </c>
      <c r="P1505" s="8">
        <v>985.25</v>
      </c>
      <c r="Q1505" s="8" t="s">
        <v>2695</v>
      </c>
      <c r="S1505" s="8" t="s">
        <v>542</v>
      </c>
      <c r="T1505" s="8">
        <v>547.38</v>
      </c>
    </row>
    <row r="1506" spans="1:20" x14ac:dyDescent="0.2">
      <c r="A1506" s="8" t="s">
        <v>4216</v>
      </c>
      <c r="B1506" s="8" t="str">
        <f t="shared" si="46"/>
        <v>1586244428</v>
      </c>
      <c r="C1506" s="8" t="str">
        <f t="shared" si="47"/>
        <v>1541</v>
      </c>
      <c r="D1506" s="8" t="s">
        <v>119</v>
      </c>
      <c r="F1506" s="8" t="s">
        <v>136</v>
      </c>
      <c r="G1506" s="8" t="s">
        <v>236</v>
      </c>
      <c r="H1506" s="8" t="s">
        <v>237</v>
      </c>
      <c r="I1506" s="8" t="s">
        <v>181</v>
      </c>
      <c r="J1506" s="8" t="s">
        <v>238</v>
      </c>
      <c r="K1506" s="8" t="s">
        <v>190</v>
      </c>
      <c r="L1506" s="8" t="s">
        <v>239</v>
      </c>
      <c r="M1506" s="8" t="s">
        <v>2778</v>
      </c>
      <c r="N1506" s="8" t="s">
        <v>236</v>
      </c>
      <c r="O1506" s="8">
        <v>886.72</v>
      </c>
      <c r="P1506" s="8">
        <v>985.25</v>
      </c>
      <c r="Q1506" s="8" t="s">
        <v>2695</v>
      </c>
      <c r="S1506" s="8" t="s">
        <v>2003</v>
      </c>
      <c r="T1506" s="8">
        <v>115.82</v>
      </c>
    </row>
    <row r="1507" spans="1:20" x14ac:dyDescent="0.2">
      <c r="A1507" s="8" t="s">
        <v>4255</v>
      </c>
      <c r="B1507" s="8" t="str">
        <f t="shared" si="46"/>
        <v>1586244430</v>
      </c>
      <c r="C1507" s="8" t="str">
        <f t="shared" si="47"/>
        <v>1542</v>
      </c>
      <c r="D1507" s="8" t="s">
        <v>119</v>
      </c>
      <c r="F1507" s="8" t="s">
        <v>136</v>
      </c>
      <c r="G1507" s="8" t="s">
        <v>236</v>
      </c>
      <c r="H1507" s="8" t="s">
        <v>237</v>
      </c>
      <c r="I1507" s="8" t="s">
        <v>441</v>
      </c>
      <c r="J1507" s="8" t="s">
        <v>1189</v>
      </c>
      <c r="K1507" s="8" t="s">
        <v>125</v>
      </c>
      <c r="L1507" s="8" t="s">
        <v>1190</v>
      </c>
      <c r="M1507" s="8" t="s">
        <v>2778</v>
      </c>
      <c r="N1507" s="8" t="s">
        <v>236</v>
      </c>
      <c r="O1507" s="8">
        <v>531.89</v>
      </c>
      <c r="P1507" s="8">
        <v>590.98</v>
      </c>
      <c r="Q1507" s="8" t="s">
        <v>2696</v>
      </c>
      <c r="R1507" s="8" t="s">
        <v>1688</v>
      </c>
    </row>
    <row r="1508" spans="1:20" x14ac:dyDescent="0.2">
      <c r="A1508" s="8" t="s">
        <v>4598</v>
      </c>
      <c r="B1508" s="8" t="str">
        <f t="shared" si="46"/>
        <v>1586244430</v>
      </c>
      <c r="C1508" s="8" t="str">
        <f t="shared" si="47"/>
        <v>1543</v>
      </c>
      <c r="D1508" s="8" t="s">
        <v>119</v>
      </c>
      <c r="F1508" s="8" t="s">
        <v>136</v>
      </c>
      <c r="G1508" s="8" t="s">
        <v>236</v>
      </c>
      <c r="H1508" s="8" t="s">
        <v>237</v>
      </c>
      <c r="I1508" s="8" t="s">
        <v>441</v>
      </c>
      <c r="J1508" s="8" t="s">
        <v>1189</v>
      </c>
      <c r="K1508" s="8" t="s">
        <v>125</v>
      </c>
      <c r="L1508" s="8" t="s">
        <v>1190</v>
      </c>
      <c r="M1508" s="8" t="s">
        <v>2778</v>
      </c>
      <c r="N1508" s="8" t="s">
        <v>236</v>
      </c>
      <c r="O1508" s="8">
        <v>531.89</v>
      </c>
      <c r="P1508" s="8">
        <v>590.98</v>
      </c>
      <c r="Q1508" s="8" t="s">
        <v>2696</v>
      </c>
      <c r="R1508" s="8" t="s">
        <v>2176</v>
      </c>
    </row>
    <row r="1509" spans="1:20" x14ac:dyDescent="0.2">
      <c r="A1509" s="8" t="s">
        <v>3555</v>
      </c>
      <c r="B1509" s="8" t="str">
        <f t="shared" si="46"/>
        <v>1586244430</v>
      </c>
      <c r="C1509" s="8" t="str">
        <f t="shared" si="47"/>
        <v>1544</v>
      </c>
      <c r="D1509" s="8" t="s">
        <v>119</v>
      </c>
      <c r="F1509" s="8" t="s">
        <v>136</v>
      </c>
      <c r="G1509" s="8" t="s">
        <v>236</v>
      </c>
      <c r="H1509" s="8" t="s">
        <v>237</v>
      </c>
      <c r="I1509" s="8" t="s">
        <v>441</v>
      </c>
      <c r="J1509" s="8" t="s">
        <v>1189</v>
      </c>
      <c r="K1509" s="8" t="s">
        <v>125</v>
      </c>
      <c r="L1509" s="8" t="s">
        <v>1190</v>
      </c>
      <c r="M1509" s="8" t="s">
        <v>2778</v>
      </c>
      <c r="N1509" s="8" t="s">
        <v>236</v>
      </c>
      <c r="O1509" s="8">
        <v>531.89</v>
      </c>
      <c r="P1509" s="8">
        <v>590.98</v>
      </c>
      <c r="Q1509" s="8" t="s">
        <v>2696</v>
      </c>
      <c r="R1509" s="8" t="s">
        <v>1191</v>
      </c>
    </row>
    <row r="1510" spans="1:20" x14ac:dyDescent="0.2">
      <c r="A1510" s="8" t="s">
        <v>2967</v>
      </c>
      <c r="B1510" s="8" t="str">
        <f t="shared" si="46"/>
        <v>1586244430</v>
      </c>
      <c r="C1510" s="8" t="str">
        <f t="shared" si="47"/>
        <v>1545</v>
      </c>
      <c r="D1510" s="8" t="s">
        <v>119</v>
      </c>
      <c r="F1510" s="8" t="s">
        <v>136</v>
      </c>
      <c r="G1510" s="8" t="s">
        <v>236</v>
      </c>
      <c r="H1510" s="8" t="s">
        <v>237</v>
      </c>
      <c r="I1510" s="8" t="s">
        <v>441</v>
      </c>
      <c r="J1510" s="8" t="s">
        <v>1189</v>
      </c>
      <c r="K1510" s="8" t="s">
        <v>125</v>
      </c>
      <c r="L1510" s="8" t="s">
        <v>1190</v>
      </c>
      <c r="M1510" s="8" t="s">
        <v>2778</v>
      </c>
      <c r="N1510" s="8" t="s">
        <v>236</v>
      </c>
      <c r="O1510" s="8">
        <v>531.89</v>
      </c>
      <c r="P1510" s="8">
        <v>590.98</v>
      </c>
      <c r="Q1510" s="8" t="s">
        <v>2696</v>
      </c>
      <c r="R1510" s="8" t="s">
        <v>1950</v>
      </c>
    </row>
    <row r="1511" spans="1:20" x14ac:dyDescent="0.2">
      <c r="A1511" s="8" t="s">
        <v>3367</v>
      </c>
      <c r="B1511" s="8" t="str">
        <f t="shared" si="46"/>
        <v>1586244430</v>
      </c>
      <c r="C1511" s="8" t="str">
        <f t="shared" si="47"/>
        <v>1546</v>
      </c>
      <c r="D1511" s="8" t="s">
        <v>119</v>
      </c>
      <c r="F1511" s="8" t="s">
        <v>136</v>
      </c>
      <c r="G1511" s="8" t="s">
        <v>236</v>
      </c>
      <c r="H1511" s="8" t="s">
        <v>237</v>
      </c>
      <c r="I1511" s="8" t="s">
        <v>441</v>
      </c>
      <c r="J1511" s="8" t="s">
        <v>1189</v>
      </c>
      <c r="K1511" s="8" t="s">
        <v>125</v>
      </c>
      <c r="L1511" s="8" t="s">
        <v>1190</v>
      </c>
      <c r="M1511" s="8" t="s">
        <v>2778</v>
      </c>
      <c r="N1511" s="8" t="s">
        <v>236</v>
      </c>
      <c r="O1511" s="8">
        <v>531.89</v>
      </c>
      <c r="P1511" s="8">
        <v>590.98</v>
      </c>
      <c r="Q1511" s="8" t="s">
        <v>2696</v>
      </c>
      <c r="S1511" s="8" t="s">
        <v>331</v>
      </c>
      <c r="T1511" s="8">
        <v>84.84</v>
      </c>
    </row>
    <row r="1512" spans="1:20" x14ac:dyDescent="0.2">
      <c r="A1512" s="8" t="s">
        <v>4015</v>
      </c>
      <c r="B1512" s="8" t="str">
        <f t="shared" si="46"/>
        <v>1586244430</v>
      </c>
      <c r="C1512" s="8" t="str">
        <f t="shared" si="47"/>
        <v>1547</v>
      </c>
      <c r="D1512" s="8" t="s">
        <v>119</v>
      </c>
      <c r="F1512" s="8" t="s">
        <v>136</v>
      </c>
      <c r="G1512" s="8" t="s">
        <v>236</v>
      </c>
      <c r="H1512" s="8" t="s">
        <v>237</v>
      </c>
      <c r="I1512" s="8" t="s">
        <v>441</v>
      </c>
      <c r="J1512" s="8" t="s">
        <v>1189</v>
      </c>
      <c r="K1512" s="8" t="s">
        <v>125</v>
      </c>
      <c r="L1512" s="8" t="s">
        <v>1190</v>
      </c>
      <c r="M1512" s="8" t="s">
        <v>2778</v>
      </c>
      <c r="N1512" s="8" t="s">
        <v>236</v>
      </c>
      <c r="O1512" s="8">
        <v>531.89</v>
      </c>
      <c r="P1512" s="8">
        <v>590.98</v>
      </c>
      <c r="Q1512" s="8" t="s">
        <v>2696</v>
      </c>
      <c r="S1512" s="8" t="s">
        <v>184</v>
      </c>
      <c r="T1512" s="8">
        <v>77.459999999999994</v>
      </c>
    </row>
    <row r="1513" spans="1:20" x14ac:dyDescent="0.2">
      <c r="A1513" s="8" t="s">
        <v>4012</v>
      </c>
      <c r="B1513" s="8" t="str">
        <f t="shared" si="46"/>
        <v>1586244432</v>
      </c>
      <c r="C1513" s="8" t="str">
        <f t="shared" si="47"/>
        <v>1548</v>
      </c>
      <c r="D1513" s="8" t="s">
        <v>119</v>
      </c>
      <c r="F1513" s="8" t="s">
        <v>136</v>
      </c>
      <c r="G1513" s="8" t="s">
        <v>236</v>
      </c>
      <c r="H1513" s="8" t="s">
        <v>237</v>
      </c>
      <c r="I1513" s="8" t="s">
        <v>559</v>
      </c>
      <c r="J1513" s="8" t="s">
        <v>560</v>
      </c>
      <c r="K1513" s="8" t="s">
        <v>125</v>
      </c>
      <c r="L1513" s="8" t="s">
        <v>561</v>
      </c>
      <c r="M1513" s="8" t="s">
        <v>2778</v>
      </c>
      <c r="N1513" s="8" t="s">
        <v>236</v>
      </c>
      <c r="O1513" s="8">
        <v>517.13</v>
      </c>
      <c r="P1513" s="8">
        <v>574.59</v>
      </c>
      <c r="Q1513" s="8" t="s">
        <v>2697</v>
      </c>
      <c r="R1513" s="8" t="s">
        <v>2033</v>
      </c>
    </row>
    <row r="1514" spans="1:20" x14ac:dyDescent="0.2">
      <c r="A1514" s="8" t="s">
        <v>3896</v>
      </c>
      <c r="B1514" s="8" t="str">
        <f t="shared" si="46"/>
        <v>1586244432</v>
      </c>
      <c r="C1514" s="8" t="str">
        <f t="shared" si="47"/>
        <v>1549</v>
      </c>
      <c r="D1514" s="8" t="s">
        <v>119</v>
      </c>
      <c r="F1514" s="8" t="s">
        <v>136</v>
      </c>
      <c r="G1514" s="8" t="s">
        <v>236</v>
      </c>
      <c r="H1514" s="8" t="s">
        <v>237</v>
      </c>
      <c r="I1514" s="8" t="s">
        <v>559</v>
      </c>
      <c r="J1514" s="8" t="s">
        <v>560</v>
      </c>
      <c r="K1514" s="8" t="s">
        <v>125</v>
      </c>
      <c r="L1514" s="8" t="s">
        <v>561</v>
      </c>
      <c r="M1514" s="8" t="s">
        <v>2778</v>
      </c>
      <c r="N1514" s="8" t="s">
        <v>236</v>
      </c>
      <c r="O1514" s="8">
        <v>517.13</v>
      </c>
      <c r="P1514" s="8">
        <v>574.59</v>
      </c>
      <c r="Q1514" s="8" t="s">
        <v>2697</v>
      </c>
      <c r="R1514" s="8" t="s">
        <v>562</v>
      </c>
    </row>
    <row r="1515" spans="1:20" x14ac:dyDescent="0.2">
      <c r="A1515" s="8" t="s">
        <v>3521</v>
      </c>
      <c r="B1515" s="8" t="str">
        <f t="shared" si="46"/>
        <v>1586244432</v>
      </c>
      <c r="C1515" s="8" t="str">
        <f t="shared" si="47"/>
        <v>1550</v>
      </c>
      <c r="D1515" s="8" t="s">
        <v>119</v>
      </c>
      <c r="F1515" s="8" t="s">
        <v>136</v>
      </c>
      <c r="G1515" s="8" t="s">
        <v>236</v>
      </c>
      <c r="H1515" s="8" t="s">
        <v>237</v>
      </c>
      <c r="I1515" s="8" t="s">
        <v>559</v>
      </c>
      <c r="J1515" s="8" t="s">
        <v>560</v>
      </c>
      <c r="K1515" s="8" t="s">
        <v>125</v>
      </c>
      <c r="L1515" s="8" t="s">
        <v>561</v>
      </c>
      <c r="M1515" s="8" t="s">
        <v>2778</v>
      </c>
      <c r="N1515" s="8" t="s">
        <v>236</v>
      </c>
      <c r="O1515" s="8">
        <v>517.13</v>
      </c>
      <c r="P1515" s="8">
        <v>574.59</v>
      </c>
      <c r="Q1515" s="8" t="s">
        <v>2697</v>
      </c>
      <c r="R1515" s="8" t="s">
        <v>2041</v>
      </c>
    </row>
    <row r="1516" spans="1:20" x14ac:dyDescent="0.2">
      <c r="A1516" s="8" t="s">
        <v>3502</v>
      </c>
      <c r="B1516" s="8" t="str">
        <f t="shared" si="46"/>
        <v>1586244432</v>
      </c>
      <c r="C1516" s="8" t="str">
        <f t="shared" si="47"/>
        <v>1551</v>
      </c>
      <c r="D1516" s="8" t="s">
        <v>119</v>
      </c>
      <c r="F1516" s="8" t="s">
        <v>136</v>
      </c>
      <c r="G1516" s="8" t="s">
        <v>236</v>
      </c>
      <c r="H1516" s="8" t="s">
        <v>237</v>
      </c>
      <c r="I1516" s="8" t="s">
        <v>559</v>
      </c>
      <c r="J1516" s="8" t="s">
        <v>560</v>
      </c>
      <c r="K1516" s="8" t="s">
        <v>125</v>
      </c>
      <c r="L1516" s="8" t="s">
        <v>561</v>
      </c>
      <c r="M1516" s="8" t="s">
        <v>2778</v>
      </c>
      <c r="N1516" s="8" t="s">
        <v>236</v>
      </c>
      <c r="O1516" s="8">
        <v>517.13</v>
      </c>
      <c r="P1516" s="8">
        <v>574.59</v>
      </c>
      <c r="Q1516" s="8" t="s">
        <v>2697</v>
      </c>
      <c r="R1516" s="8" t="s">
        <v>2484</v>
      </c>
    </row>
    <row r="1517" spans="1:20" x14ac:dyDescent="0.2">
      <c r="A1517" s="8" t="s">
        <v>4330</v>
      </c>
      <c r="B1517" s="8" t="str">
        <f t="shared" si="46"/>
        <v>1586244432</v>
      </c>
      <c r="C1517" s="8" t="str">
        <f t="shared" si="47"/>
        <v>1552</v>
      </c>
      <c r="D1517" s="8" t="s">
        <v>119</v>
      </c>
      <c r="F1517" s="8" t="s">
        <v>136</v>
      </c>
      <c r="G1517" s="8" t="s">
        <v>236</v>
      </c>
      <c r="H1517" s="8" t="s">
        <v>237</v>
      </c>
      <c r="I1517" s="8" t="s">
        <v>559</v>
      </c>
      <c r="J1517" s="8" t="s">
        <v>560</v>
      </c>
      <c r="K1517" s="8" t="s">
        <v>125</v>
      </c>
      <c r="L1517" s="8" t="s">
        <v>561</v>
      </c>
      <c r="M1517" s="8" t="s">
        <v>2778</v>
      </c>
      <c r="N1517" s="8" t="s">
        <v>236</v>
      </c>
      <c r="O1517" s="8">
        <v>517.13</v>
      </c>
      <c r="P1517" s="8">
        <v>574.59</v>
      </c>
      <c r="Q1517" s="8" t="s">
        <v>2697</v>
      </c>
      <c r="R1517" s="8" t="s">
        <v>2177</v>
      </c>
    </row>
    <row r="1518" spans="1:20" x14ac:dyDescent="0.2">
      <c r="A1518" s="8" t="s">
        <v>4026</v>
      </c>
      <c r="B1518" s="8" t="str">
        <f t="shared" si="46"/>
        <v>1586244432</v>
      </c>
      <c r="C1518" s="8" t="str">
        <f t="shared" si="47"/>
        <v>1553</v>
      </c>
      <c r="D1518" s="8" t="s">
        <v>119</v>
      </c>
      <c r="F1518" s="8" t="s">
        <v>136</v>
      </c>
      <c r="G1518" s="8" t="s">
        <v>236</v>
      </c>
      <c r="H1518" s="8" t="s">
        <v>237</v>
      </c>
      <c r="I1518" s="8" t="s">
        <v>559</v>
      </c>
      <c r="J1518" s="8" t="s">
        <v>560</v>
      </c>
      <c r="K1518" s="8" t="s">
        <v>125</v>
      </c>
      <c r="L1518" s="8" t="s">
        <v>561</v>
      </c>
      <c r="M1518" s="8" t="s">
        <v>2778</v>
      </c>
      <c r="N1518" s="8" t="s">
        <v>236</v>
      </c>
      <c r="O1518" s="8">
        <v>517.13</v>
      </c>
      <c r="P1518" s="8">
        <v>574.59</v>
      </c>
      <c r="Q1518" s="8" t="s">
        <v>2697</v>
      </c>
      <c r="S1518" s="8" t="s">
        <v>331</v>
      </c>
      <c r="T1518" s="8">
        <v>84.84</v>
      </c>
    </row>
    <row r="1519" spans="1:20" x14ac:dyDescent="0.2">
      <c r="A1519" s="8" t="s">
        <v>3069</v>
      </c>
      <c r="B1519" s="8" t="str">
        <f t="shared" si="46"/>
        <v>1586244432</v>
      </c>
      <c r="C1519" s="8" t="str">
        <f t="shared" si="47"/>
        <v>1554</v>
      </c>
      <c r="D1519" s="8" t="s">
        <v>119</v>
      </c>
      <c r="F1519" s="8" t="s">
        <v>136</v>
      </c>
      <c r="G1519" s="8" t="s">
        <v>236</v>
      </c>
      <c r="H1519" s="8" t="s">
        <v>237</v>
      </c>
      <c r="I1519" s="8" t="s">
        <v>559</v>
      </c>
      <c r="J1519" s="8" t="s">
        <v>560</v>
      </c>
      <c r="K1519" s="8" t="s">
        <v>125</v>
      </c>
      <c r="L1519" s="8" t="s">
        <v>561</v>
      </c>
      <c r="M1519" s="8" t="s">
        <v>2778</v>
      </c>
      <c r="N1519" s="8" t="s">
        <v>236</v>
      </c>
      <c r="O1519" s="8">
        <v>517.13</v>
      </c>
      <c r="P1519" s="8">
        <v>574.59</v>
      </c>
      <c r="Q1519" s="8" t="s">
        <v>2697</v>
      </c>
      <c r="S1519" s="8" t="s">
        <v>2130</v>
      </c>
      <c r="T1519" s="8">
        <v>22.87</v>
      </c>
    </row>
    <row r="1520" spans="1:20" x14ac:dyDescent="0.2">
      <c r="A1520" s="8" t="s">
        <v>3986</v>
      </c>
      <c r="B1520" s="8" t="str">
        <f t="shared" si="46"/>
        <v>1586244432</v>
      </c>
      <c r="C1520" s="8" t="str">
        <f t="shared" si="47"/>
        <v>1555</v>
      </c>
      <c r="D1520" s="8" t="s">
        <v>119</v>
      </c>
      <c r="F1520" s="8" t="s">
        <v>136</v>
      </c>
      <c r="G1520" s="8" t="s">
        <v>236</v>
      </c>
      <c r="H1520" s="8" t="s">
        <v>237</v>
      </c>
      <c r="I1520" s="8" t="s">
        <v>559</v>
      </c>
      <c r="J1520" s="8" t="s">
        <v>560</v>
      </c>
      <c r="K1520" s="8" t="s">
        <v>125</v>
      </c>
      <c r="L1520" s="8" t="s">
        <v>561</v>
      </c>
      <c r="M1520" s="8" t="s">
        <v>2778</v>
      </c>
      <c r="N1520" s="8" t="s">
        <v>236</v>
      </c>
      <c r="O1520" s="8">
        <v>517.13</v>
      </c>
      <c r="P1520" s="8">
        <v>574.59</v>
      </c>
      <c r="Q1520" s="8" t="s">
        <v>2697</v>
      </c>
      <c r="S1520" s="8" t="s">
        <v>954</v>
      </c>
      <c r="T1520" s="8">
        <v>61.97</v>
      </c>
    </row>
    <row r="1521" spans="1:20" x14ac:dyDescent="0.2">
      <c r="A1521" s="8" t="s">
        <v>4599</v>
      </c>
      <c r="B1521" s="8" t="str">
        <f t="shared" si="46"/>
        <v>1586244432</v>
      </c>
      <c r="C1521" s="8" t="str">
        <f t="shared" si="47"/>
        <v>1556</v>
      </c>
      <c r="D1521" s="8" t="s">
        <v>119</v>
      </c>
      <c r="F1521" s="8" t="s">
        <v>136</v>
      </c>
      <c r="G1521" s="8" t="s">
        <v>236</v>
      </c>
      <c r="H1521" s="8" t="s">
        <v>237</v>
      </c>
      <c r="I1521" s="8" t="s">
        <v>559</v>
      </c>
      <c r="J1521" s="8" t="s">
        <v>560</v>
      </c>
      <c r="K1521" s="8" t="s">
        <v>125</v>
      </c>
      <c r="L1521" s="8" t="s">
        <v>561</v>
      </c>
      <c r="M1521" s="8" t="s">
        <v>2778</v>
      </c>
      <c r="N1521" s="8" t="s">
        <v>236</v>
      </c>
      <c r="O1521" s="8">
        <v>517.13</v>
      </c>
      <c r="P1521" s="8">
        <v>574.59</v>
      </c>
      <c r="Q1521" s="8" t="s">
        <v>2697</v>
      </c>
      <c r="S1521" s="8" t="s">
        <v>184</v>
      </c>
      <c r="T1521" s="8">
        <v>77.459999999999994</v>
      </c>
    </row>
    <row r="1522" spans="1:20" x14ac:dyDescent="0.2">
      <c r="A1522" s="8" t="s">
        <v>4574</v>
      </c>
      <c r="B1522" s="8" t="str">
        <f t="shared" si="46"/>
        <v>1586244436</v>
      </c>
      <c r="C1522" s="8" t="str">
        <f t="shared" si="47"/>
        <v>1557</v>
      </c>
      <c r="D1522" s="8" t="s">
        <v>119</v>
      </c>
      <c r="F1522" s="8" t="s">
        <v>136</v>
      </c>
      <c r="G1522" s="8" t="s">
        <v>731</v>
      </c>
      <c r="H1522" s="8" t="s">
        <v>732</v>
      </c>
      <c r="I1522" s="8" t="s">
        <v>71</v>
      </c>
      <c r="J1522" s="8" t="s">
        <v>1462</v>
      </c>
      <c r="K1522" s="8" t="s">
        <v>60</v>
      </c>
      <c r="L1522" s="8" t="s">
        <v>1463</v>
      </c>
      <c r="M1522" s="8" t="s">
        <v>2778</v>
      </c>
      <c r="N1522" s="8" t="s">
        <v>731</v>
      </c>
      <c r="O1522" s="8">
        <v>630</v>
      </c>
      <c r="P1522" s="8">
        <v>700</v>
      </c>
      <c r="Q1522" s="8" t="s">
        <v>2698</v>
      </c>
      <c r="R1522" s="8" t="s">
        <v>1695</v>
      </c>
    </row>
    <row r="1523" spans="1:20" x14ac:dyDescent="0.2">
      <c r="A1523" s="8" t="s">
        <v>4482</v>
      </c>
      <c r="B1523" s="8" t="str">
        <f t="shared" si="46"/>
        <v>1586244436</v>
      </c>
      <c r="C1523" s="8" t="str">
        <f t="shared" si="47"/>
        <v>1558</v>
      </c>
      <c r="D1523" s="8" t="s">
        <v>119</v>
      </c>
      <c r="F1523" s="8" t="s">
        <v>136</v>
      </c>
      <c r="G1523" s="8" t="s">
        <v>731</v>
      </c>
      <c r="H1523" s="8" t="s">
        <v>732</v>
      </c>
      <c r="I1523" s="8" t="s">
        <v>71</v>
      </c>
      <c r="J1523" s="8" t="s">
        <v>1462</v>
      </c>
      <c r="K1523" s="8" t="s">
        <v>60</v>
      </c>
      <c r="L1523" s="8" t="s">
        <v>1463</v>
      </c>
      <c r="M1523" s="8" t="s">
        <v>2778</v>
      </c>
      <c r="N1523" s="8" t="s">
        <v>731</v>
      </c>
      <c r="O1523" s="8">
        <v>630</v>
      </c>
      <c r="P1523" s="8">
        <v>700</v>
      </c>
      <c r="Q1523" s="8" t="s">
        <v>2698</v>
      </c>
      <c r="R1523" s="8" t="s">
        <v>2140</v>
      </c>
    </row>
    <row r="1524" spans="1:20" x14ac:dyDescent="0.2">
      <c r="A1524" s="8" t="s">
        <v>3334</v>
      </c>
      <c r="B1524" s="8" t="str">
        <f t="shared" si="46"/>
        <v>1586244436</v>
      </c>
      <c r="C1524" s="8" t="str">
        <f t="shared" si="47"/>
        <v>1559</v>
      </c>
      <c r="D1524" s="8" t="s">
        <v>119</v>
      </c>
      <c r="F1524" s="8" t="s">
        <v>136</v>
      </c>
      <c r="G1524" s="8" t="s">
        <v>731</v>
      </c>
      <c r="H1524" s="8" t="s">
        <v>732</v>
      </c>
      <c r="I1524" s="8" t="s">
        <v>71</v>
      </c>
      <c r="J1524" s="8" t="s">
        <v>1462</v>
      </c>
      <c r="K1524" s="8" t="s">
        <v>60</v>
      </c>
      <c r="L1524" s="8" t="s">
        <v>1463</v>
      </c>
      <c r="M1524" s="8" t="s">
        <v>2778</v>
      </c>
      <c r="N1524" s="8" t="s">
        <v>731</v>
      </c>
      <c r="O1524" s="8">
        <v>630</v>
      </c>
      <c r="P1524" s="8">
        <v>700</v>
      </c>
      <c r="Q1524" s="8" t="s">
        <v>2698</v>
      </c>
      <c r="R1524" s="8" t="s">
        <v>2271</v>
      </c>
    </row>
    <row r="1525" spans="1:20" x14ac:dyDescent="0.2">
      <c r="A1525" s="8" t="s">
        <v>4197</v>
      </c>
      <c r="B1525" s="8" t="str">
        <f t="shared" si="46"/>
        <v>1586244436</v>
      </c>
      <c r="C1525" s="8" t="str">
        <f t="shared" si="47"/>
        <v>1560</v>
      </c>
      <c r="D1525" s="8" t="s">
        <v>119</v>
      </c>
      <c r="F1525" s="8" t="s">
        <v>136</v>
      </c>
      <c r="G1525" s="8" t="s">
        <v>731</v>
      </c>
      <c r="H1525" s="8" t="s">
        <v>732</v>
      </c>
      <c r="I1525" s="8" t="s">
        <v>71</v>
      </c>
      <c r="J1525" s="8" t="s">
        <v>1462</v>
      </c>
      <c r="K1525" s="8" t="s">
        <v>60</v>
      </c>
      <c r="L1525" s="8" t="s">
        <v>1463</v>
      </c>
      <c r="M1525" s="8" t="s">
        <v>2778</v>
      </c>
      <c r="N1525" s="8" t="s">
        <v>731</v>
      </c>
      <c r="O1525" s="8">
        <v>630</v>
      </c>
      <c r="P1525" s="8">
        <v>700</v>
      </c>
      <c r="Q1525" s="8" t="s">
        <v>2698</v>
      </c>
      <c r="S1525" s="8" t="s">
        <v>1523</v>
      </c>
      <c r="T1525" s="8">
        <v>75.25</v>
      </c>
    </row>
    <row r="1526" spans="1:20" x14ac:dyDescent="0.2">
      <c r="A1526" s="8" t="s">
        <v>2945</v>
      </c>
      <c r="B1526" s="8" t="str">
        <f t="shared" si="46"/>
        <v>1586244436</v>
      </c>
      <c r="C1526" s="8" t="str">
        <f t="shared" si="47"/>
        <v>1561</v>
      </c>
      <c r="D1526" s="8" t="s">
        <v>119</v>
      </c>
      <c r="F1526" s="8" t="s">
        <v>136</v>
      </c>
      <c r="G1526" s="8" t="s">
        <v>731</v>
      </c>
      <c r="H1526" s="8" t="s">
        <v>732</v>
      </c>
      <c r="I1526" s="8" t="s">
        <v>71</v>
      </c>
      <c r="J1526" s="8" t="s">
        <v>1462</v>
      </c>
      <c r="K1526" s="8" t="s">
        <v>60</v>
      </c>
      <c r="L1526" s="8" t="s">
        <v>1463</v>
      </c>
      <c r="M1526" s="8" t="s">
        <v>2778</v>
      </c>
      <c r="N1526" s="8" t="s">
        <v>731</v>
      </c>
      <c r="O1526" s="8">
        <v>630</v>
      </c>
      <c r="P1526" s="8">
        <v>700</v>
      </c>
      <c r="Q1526" s="8" t="s">
        <v>2698</v>
      </c>
      <c r="S1526" s="8" t="s">
        <v>525</v>
      </c>
      <c r="T1526" s="8">
        <v>96.64</v>
      </c>
    </row>
    <row r="1527" spans="1:20" x14ac:dyDescent="0.2">
      <c r="A1527" s="8" t="s">
        <v>3824</v>
      </c>
      <c r="B1527" s="8" t="str">
        <f t="shared" si="46"/>
        <v>1586244436</v>
      </c>
      <c r="C1527" s="8" t="str">
        <f t="shared" si="47"/>
        <v>1562</v>
      </c>
      <c r="D1527" s="8" t="s">
        <v>119</v>
      </c>
      <c r="F1527" s="8" t="s">
        <v>136</v>
      </c>
      <c r="G1527" s="8" t="s">
        <v>731</v>
      </c>
      <c r="H1527" s="8" t="s">
        <v>732</v>
      </c>
      <c r="I1527" s="8" t="s">
        <v>71</v>
      </c>
      <c r="J1527" s="8" t="s">
        <v>1462</v>
      </c>
      <c r="K1527" s="8" t="s">
        <v>60</v>
      </c>
      <c r="L1527" s="8" t="s">
        <v>1463</v>
      </c>
      <c r="M1527" s="8" t="s">
        <v>2778</v>
      </c>
      <c r="N1527" s="8" t="s">
        <v>731</v>
      </c>
      <c r="O1527" s="8">
        <v>630</v>
      </c>
      <c r="P1527" s="8">
        <v>700</v>
      </c>
      <c r="Q1527" s="8" t="s">
        <v>2698</v>
      </c>
      <c r="S1527" s="8" t="s">
        <v>106</v>
      </c>
      <c r="T1527" s="8">
        <v>125.41</v>
      </c>
    </row>
    <row r="1528" spans="1:20" x14ac:dyDescent="0.2">
      <c r="A1528" s="8" t="s">
        <v>3904</v>
      </c>
      <c r="B1528" s="8" t="str">
        <f t="shared" si="46"/>
        <v>1586244438</v>
      </c>
      <c r="C1528" s="8" t="str">
        <f t="shared" si="47"/>
        <v>1563</v>
      </c>
      <c r="D1528" s="8" t="s">
        <v>119</v>
      </c>
      <c r="F1528" s="8" t="s">
        <v>136</v>
      </c>
      <c r="G1528" s="8" t="s">
        <v>731</v>
      </c>
      <c r="H1528" s="8" t="s">
        <v>732</v>
      </c>
      <c r="I1528" s="8" t="s">
        <v>181</v>
      </c>
      <c r="J1528" s="8" t="s">
        <v>733</v>
      </c>
      <c r="K1528" s="8" t="s">
        <v>60</v>
      </c>
      <c r="L1528" s="8" t="s">
        <v>734</v>
      </c>
      <c r="M1528" s="8" t="s">
        <v>2778</v>
      </c>
      <c r="N1528" s="8" t="s">
        <v>731</v>
      </c>
      <c r="O1528" s="8">
        <v>639.59</v>
      </c>
      <c r="P1528" s="8">
        <v>710.66</v>
      </c>
      <c r="Q1528" s="8" t="s">
        <v>2699</v>
      </c>
      <c r="R1528" s="8" t="s">
        <v>735</v>
      </c>
    </row>
    <row r="1529" spans="1:20" x14ac:dyDescent="0.2">
      <c r="A1529" s="8" t="s">
        <v>3348</v>
      </c>
      <c r="B1529" s="8" t="str">
        <f t="shared" si="46"/>
        <v>1586244438</v>
      </c>
      <c r="C1529" s="8" t="str">
        <f t="shared" si="47"/>
        <v>1564</v>
      </c>
      <c r="D1529" s="8" t="s">
        <v>119</v>
      </c>
      <c r="F1529" s="8" t="s">
        <v>136</v>
      </c>
      <c r="G1529" s="8" t="s">
        <v>731</v>
      </c>
      <c r="H1529" s="8" t="s">
        <v>732</v>
      </c>
      <c r="I1529" s="8" t="s">
        <v>181</v>
      </c>
      <c r="J1529" s="8" t="s">
        <v>733</v>
      </c>
      <c r="K1529" s="8" t="s">
        <v>60</v>
      </c>
      <c r="L1529" s="8" t="s">
        <v>734</v>
      </c>
      <c r="M1529" s="8" t="s">
        <v>2778</v>
      </c>
      <c r="N1529" s="8" t="s">
        <v>731</v>
      </c>
      <c r="O1529" s="8">
        <v>639.59</v>
      </c>
      <c r="P1529" s="8">
        <v>710.66</v>
      </c>
      <c r="Q1529" s="8" t="s">
        <v>2699</v>
      </c>
      <c r="R1529" s="8" t="s">
        <v>1977</v>
      </c>
    </row>
    <row r="1530" spans="1:20" x14ac:dyDescent="0.2">
      <c r="A1530" s="8" t="s">
        <v>3399</v>
      </c>
      <c r="B1530" s="8" t="str">
        <f t="shared" si="46"/>
        <v>1586244438</v>
      </c>
      <c r="C1530" s="8" t="str">
        <f t="shared" si="47"/>
        <v>1565</v>
      </c>
      <c r="D1530" s="8" t="s">
        <v>119</v>
      </c>
      <c r="F1530" s="8" t="s">
        <v>136</v>
      </c>
      <c r="G1530" s="8" t="s">
        <v>731</v>
      </c>
      <c r="H1530" s="8" t="s">
        <v>732</v>
      </c>
      <c r="I1530" s="8" t="s">
        <v>181</v>
      </c>
      <c r="J1530" s="8" t="s">
        <v>733</v>
      </c>
      <c r="K1530" s="8" t="s">
        <v>60</v>
      </c>
      <c r="L1530" s="8" t="s">
        <v>734</v>
      </c>
      <c r="M1530" s="8" t="s">
        <v>2778</v>
      </c>
      <c r="N1530" s="8" t="s">
        <v>731</v>
      </c>
      <c r="O1530" s="8">
        <v>639.59</v>
      </c>
      <c r="P1530" s="8">
        <v>710.66</v>
      </c>
      <c r="Q1530" s="8" t="s">
        <v>2699</v>
      </c>
      <c r="R1530" s="8" t="s">
        <v>2092</v>
      </c>
    </row>
    <row r="1531" spans="1:20" x14ac:dyDescent="0.2">
      <c r="A1531" s="8" t="s">
        <v>2788</v>
      </c>
      <c r="B1531" s="8" t="str">
        <f t="shared" si="46"/>
        <v>1586244438</v>
      </c>
      <c r="C1531" s="8" t="str">
        <f t="shared" si="47"/>
        <v>1566</v>
      </c>
      <c r="D1531" s="8" t="s">
        <v>119</v>
      </c>
      <c r="F1531" s="8" t="s">
        <v>136</v>
      </c>
      <c r="G1531" s="8" t="s">
        <v>731</v>
      </c>
      <c r="H1531" s="8" t="s">
        <v>732</v>
      </c>
      <c r="I1531" s="8" t="s">
        <v>181</v>
      </c>
      <c r="J1531" s="8" t="s">
        <v>733</v>
      </c>
      <c r="K1531" s="8" t="s">
        <v>60</v>
      </c>
      <c r="L1531" s="8" t="s">
        <v>734</v>
      </c>
      <c r="M1531" s="8" t="s">
        <v>2778</v>
      </c>
      <c r="N1531" s="8" t="s">
        <v>731</v>
      </c>
      <c r="O1531" s="8">
        <v>639.59</v>
      </c>
      <c r="P1531" s="8">
        <v>710.66</v>
      </c>
      <c r="Q1531" s="8" t="s">
        <v>2699</v>
      </c>
      <c r="R1531" s="8" t="s">
        <v>2237</v>
      </c>
    </row>
    <row r="1532" spans="1:20" x14ac:dyDescent="0.2">
      <c r="A1532" s="8" t="s">
        <v>4314</v>
      </c>
      <c r="B1532" s="8" t="str">
        <f t="shared" si="46"/>
        <v>1586244438</v>
      </c>
      <c r="C1532" s="8" t="str">
        <f t="shared" si="47"/>
        <v>1567</v>
      </c>
      <c r="D1532" s="8" t="s">
        <v>119</v>
      </c>
      <c r="F1532" s="8" t="s">
        <v>136</v>
      </c>
      <c r="G1532" s="8" t="s">
        <v>731</v>
      </c>
      <c r="H1532" s="8" t="s">
        <v>732</v>
      </c>
      <c r="I1532" s="8" t="s">
        <v>181</v>
      </c>
      <c r="J1532" s="8" t="s">
        <v>733</v>
      </c>
      <c r="K1532" s="8" t="s">
        <v>60</v>
      </c>
      <c r="L1532" s="8" t="s">
        <v>734</v>
      </c>
      <c r="M1532" s="8" t="s">
        <v>2778</v>
      </c>
      <c r="N1532" s="8" t="s">
        <v>731</v>
      </c>
      <c r="O1532" s="8">
        <v>639.59</v>
      </c>
      <c r="P1532" s="8">
        <v>710.66</v>
      </c>
      <c r="Q1532" s="8" t="s">
        <v>2699</v>
      </c>
      <c r="R1532" s="8" t="s">
        <v>1745</v>
      </c>
    </row>
    <row r="1533" spans="1:20" x14ac:dyDescent="0.2">
      <c r="A1533" s="8" t="s">
        <v>3517</v>
      </c>
      <c r="B1533" s="8" t="str">
        <f t="shared" si="46"/>
        <v>1586244438</v>
      </c>
      <c r="C1533" s="8" t="str">
        <f t="shared" si="47"/>
        <v>1568</v>
      </c>
      <c r="D1533" s="8" t="s">
        <v>119</v>
      </c>
      <c r="F1533" s="8" t="s">
        <v>136</v>
      </c>
      <c r="G1533" s="8" t="s">
        <v>731</v>
      </c>
      <c r="H1533" s="8" t="s">
        <v>732</v>
      </c>
      <c r="I1533" s="8" t="s">
        <v>181</v>
      </c>
      <c r="J1533" s="8" t="s">
        <v>733</v>
      </c>
      <c r="K1533" s="8" t="s">
        <v>60</v>
      </c>
      <c r="L1533" s="8" t="s">
        <v>734</v>
      </c>
      <c r="M1533" s="8" t="s">
        <v>2778</v>
      </c>
      <c r="N1533" s="8" t="s">
        <v>731</v>
      </c>
      <c r="O1533" s="8">
        <v>639.59</v>
      </c>
      <c r="P1533" s="8">
        <v>710.66</v>
      </c>
      <c r="Q1533" s="8" t="s">
        <v>2699</v>
      </c>
      <c r="S1533" s="8" t="s">
        <v>1831</v>
      </c>
      <c r="T1533" s="8">
        <v>96.64</v>
      </c>
    </row>
    <row r="1534" spans="1:20" x14ac:dyDescent="0.2">
      <c r="A1534" s="8" t="s">
        <v>3791</v>
      </c>
      <c r="B1534" s="8" t="str">
        <f t="shared" si="46"/>
        <v>1586244438</v>
      </c>
      <c r="C1534" s="8" t="str">
        <f t="shared" si="47"/>
        <v>1569</v>
      </c>
      <c r="D1534" s="8" t="s">
        <v>119</v>
      </c>
      <c r="F1534" s="8" t="s">
        <v>136</v>
      </c>
      <c r="G1534" s="8" t="s">
        <v>731</v>
      </c>
      <c r="H1534" s="8" t="s">
        <v>732</v>
      </c>
      <c r="I1534" s="8" t="s">
        <v>181</v>
      </c>
      <c r="J1534" s="8" t="s">
        <v>733</v>
      </c>
      <c r="K1534" s="8" t="s">
        <v>60</v>
      </c>
      <c r="L1534" s="8" t="s">
        <v>734</v>
      </c>
      <c r="M1534" s="8" t="s">
        <v>2778</v>
      </c>
      <c r="N1534" s="8" t="s">
        <v>731</v>
      </c>
      <c r="O1534" s="8">
        <v>639.59</v>
      </c>
      <c r="P1534" s="8">
        <v>710.66</v>
      </c>
      <c r="Q1534" s="8" t="s">
        <v>2699</v>
      </c>
      <c r="S1534" s="8" t="s">
        <v>1202</v>
      </c>
      <c r="T1534" s="8">
        <v>135</v>
      </c>
    </row>
    <row r="1535" spans="1:20" x14ac:dyDescent="0.2">
      <c r="A1535" s="8" t="s">
        <v>2847</v>
      </c>
      <c r="B1535" s="8" t="str">
        <f t="shared" si="46"/>
        <v>1586244438</v>
      </c>
      <c r="C1535" s="8" t="str">
        <f t="shared" si="47"/>
        <v>1570</v>
      </c>
      <c r="D1535" s="8" t="s">
        <v>119</v>
      </c>
      <c r="F1535" s="8" t="s">
        <v>136</v>
      </c>
      <c r="G1535" s="8" t="s">
        <v>731</v>
      </c>
      <c r="H1535" s="8" t="s">
        <v>732</v>
      </c>
      <c r="I1535" s="8" t="s">
        <v>181</v>
      </c>
      <c r="J1535" s="8" t="s">
        <v>733</v>
      </c>
      <c r="K1535" s="8" t="s">
        <v>60</v>
      </c>
      <c r="L1535" s="8" t="s">
        <v>734</v>
      </c>
      <c r="M1535" s="8" t="s">
        <v>2778</v>
      </c>
      <c r="N1535" s="8" t="s">
        <v>731</v>
      </c>
      <c r="O1535" s="8">
        <v>639.59</v>
      </c>
      <c r="P1535" s="8">
        <v>710.66</v>
      </c>
      <c r="Q1535" s="8" t="s">
        <v>2699</v>
      </c>
      <c r="S1535" s="8" t="s">
        <v>969</v>
      </c>
      <c r="T1535" s="8">
        <v>232.38</v>
      </c>
    </row>
    <row r="1536" spans="1:20" x14ac:dyDescent="0.2">
      <c r="A1536" s="8" t="s">
        <v>4234</v>
      </c>
      <c r="B1536" s="8" t="str">
        <f t="shared" si="46"/>
        <v>1586244438</v>
      </c>
      <c r="C1536" s="8" t="str">
        <f t="shared" si="47"/>
        <v>1571</v>
      </c>
      <c r="D1536" s="8" t="s">
        <v>119</v>
      </c>
      <c r="F1536" s="8" t="s">
        <v>136</v>
      </c>
      <c r="G1536" s="8" t="s">
        <v>731</v>
      </c>
      <c r="H1536" s="8" t="s">
        <v>732</v>
      </c>
      <c r="I1536" s="8" t="s">
        <v>181</v>
      </c>
      <c r="J1536" s="8" t="s">
        <v>733</v>
      </c>
      <c r="K1536" s="8" t="s">
        <v>60</v>
      </c>
      <c r="L1536" s="8" t="s">
        <v>734</v>
      </c>
      <c r="M1536" s="8" t="s">
        <v>2778</v>
      </c>
      <c r="N1536" s="8" t="s">
        <v>731</v>
      </c>
      <c r="O1536" s="8">
        <v>639.59</v>
      </c>
      <c r="P1536" s="8">
        <v>710.66</v>
      </c>
      <c r="Q1536" s="8" t="s">
        <v>2699</v>
      </c>
      <c r="S1536" s="8" t="s">
        <v>106</v>
      </c>
      <c r="T1536" s="8">
        <v>135</v>
      </c>
    </row>
    <row r="1537" spans="1:20" x14ac:dyDescent="0.2">
      <c r="A1537" s="8" t="s">
        <v>4571</v>
      </c>
      <c r="B1537" s="8" t="str">
        <f t="shared" si="46"/>
        <v>1586244438</v>
      </c>
      <c r="C1537" s="8" t="str">
        <f t="shared" si="47"/>
        <v>1572</v>
      </c>
      <c r="D1537" s="8" t="s">
        <v>119</v>
      </c>
      <c r="F1537" s="8" t="s">
        <v>136</v>
      </c>
      <c r="G1537" s="8" t="s">
        <v>731</v>
      </c>
      <c r="H1537" s="8" t="s">
        <v>732</v>
      </c>
      <c r="I1537" s="8" t="s">
        <v>181</v>
      </c>
      <c r="J1537" s="8" t="s">
        <v>733</v>
      </c>
      <c r="K1537" s="8" t="s">
        <v>60</v>
      </c>
      <c r="L1537" s="8" t="s">
        <v>734</v>
      </c>
      <c r="M1537" s="8" t="s">
        <v>2778</v>
      </c>
      <c r="N1537" s="8" t="s">
        <v>731</v>
      </c>
      <c r="O1537" s="8">
        <v>639.59</v>
      </c>
      <c r="P1537" s="8">
        <v>710.66</v>
      </c>
      <c r="Q1537" s="8" t="s">
        <v>2699</v>
      </c>
      <c r="S1537" s="8" t="s">
        <v>109</v>
      </c>
      <c r="T1537" s="8">
        <v>84.84</v>
      </c>
    </row>
    <row r="1538" spans="1:20" x14ac:dyDescent="0.2">
      <c r="A1538" s="8" t="s">
        <v>4347</v>
      </c>
      <c r="B1538" s="8" t="str">
        <f t="shared" ref="B1538:B1601" si="48">LEFT(A1538, FIND("-", A1538) - 1)</f>
        <v>1586244443</v>
      </c>
      <c r="C1538" s="8" t="str">
        <f t="shared" ref="C1538:C1601" si="49">RIGHT(A1538, LEN(A1538) - FIND("-", A1538))</f>
        <v>1573</v>
      </c>
      <c r="D1538" s="8" t="s">
        <v>119</v>
      </c>
      <c r="F1538" s="8" t="s">
        <v>136</v>
      </c>
      <c r="G1538" s="8" t="s">
        <v>747</v>
      </c>
      <c r="H1538" s="8" t="s">
        <v>748</v>
      </c>
      <c r="I1538" s="8" t="s">
        <v>71</v>
      </c>
      <c r="J1538" s="8" t="s">
        <v>749</v>
      </c>
      <c r="K1538" s="8" t="s">
        <v>125</v>
      </c>
      <c r="L1538" s="8" t="s">
        <v>750</v>
      </c>
      <c r="M1538" s="8" t="s">
        <v>2778</v>
      </c>
      <c r="N1538" s="8" t="s">
        <v>747</v>
      </c>
      <c r="O1538" s="8">
        <v>409.43</v>
      </c>
      <c r="P1538" s="8">
        <v>454.92</v>
      </c>
      <c r="Q1538" s="8" t="s">
        <v>2700</v>
      </c>
      <c r="R1538" s="8" t="s">
        <v>1388</v>
      </c>
    </row>
    <row r="1539" spans="1:20" x14ac:dyDescent="0.2">
      <c r="A1539" s="8" t="s">
        <v>4263</v>
      </c>
      <c r="B1539" s="8" t="str">
        <f t="shared" si="48"/>
        <v>1586244443</v>
      </c>
      <c r="C1539" s="8" t="str">
        <f t="shared" si="49"/>
        <v>1574</v>
      </c>
      <c r="D1539" s="8" t="s">
        <v>119</v>
      </c>
      <c r="F1539" s="8" t="s">
        <v>136</v>
      </c>
      <c r="G1539" s="8" t="s">
        <v>747</v>
      </c>
      <c r="H1539" s="8" t="s">
        <v>748</v>
      </c>
      <c r="I1539" s="8" t="s">
        <v>71</v>
      </c>
      <c r="J1539" s="8" t="s">
        <v>749</v>
      </c>
      <c r="K1539" s="8" t="s">
        <v>125</v>
      </c>
      <c r="L1539" s="8" t="s">
        <v>750</v>
      </c>
      <c r="M1539" s="8" t="s">
        <v>2778</v>
      </c>
      <c r="N1539" s="8" t="s">
        <v>747</v>
      </c>
      <c r="O1539" s="8">
        <v>409.43</v>
      </c>
      <c r="P1539" s="8">
        <v>454.92</v>
      </c>
      <c r="Q1539" s="8" t="s">
        <v>2700</v>
      </c>
      <c r="R1539" s="8" t="s">
        <v>751</v>
      </c>
    </row>
    <row r="1540" spans="1:20" x14ac:dyDescent="0.2">
      <c r="A1540" s="8" t="s">
        <v>3633</v>
      </c>
      <c r="B1540" s="8" t="str">
        <f t="shared" si="48"/>
        <v>1586244443</v>
      </c>
      <c r="C1540" s="8" t="str">
        <f t="shared" si="49"/>
        <v>1575</v>
      </c>
      <c r="D1540" s="8" t="s">
        <v>119</v>
      </c>
      <c r="F1540" s="8" t="s">
        <v>136</v>
      </c>
      <c r="G1540" s="8" t="s">
        <v>747</v>
      </c>
      <c r="H1540" s="8" t="s">
        <v>748</v>
      </c>
      <c r="I1540" s="8" t="s">
        <v>71</v>
      </c>
      <c r="J1540" s="8" t="s">
        <v>749</v>
      </c>
      <c r="K1540" s="8" t="s">
        <v>125</v>
      </c>
      <c r="L1540" s="8" t="s">
        <v>750</v>
      </c>
      <c r="M1540" s="8" t="s">
        <v>2778</v>
      </c>
      <c r="N1540" s="8" t="s">
        <v>747</v>
      </c>
      <c r="O1540" s="8">
        <v>409.43</v>
      </c>
      <c r="P1540" s="8">
        <v>454.92</v>
      </c>
      <c r="Q1540" s="8" t="s">
        <v>2700</v>
      </c>
      <c r="R1540" s="8" t="s">
        <v>959</v>
      </c>
    </row>
    <row r="1541" spans="1:20" x14ac:dyDescent="0.2">
      <c r="A1541" s="8" t="s">
        <v>3879</v>
      </c>
      <c r="B1541" s="8" t="str">
        <f t="shared" si="48"/>
        <v>1586244443</v>
      </c>
      <c r="C1541" s="8" t="str">
        <f t="shared" si="49"/>
        <v>1576</v>
      </c>
      <c r="D1541" s="8" t="s">
        <v>119</v>
      </c>
      <c r="F1541" s="8" t="s">
        <v>136</v>
      </c>
      <c r="G1541" s="8" t="s">
        <v>747</v>
      </c>
      <c r="H1541" s="8" t="s">
        <v>748</v>
      </c>
      <c r="I1541" s="8" t="s">
        <v>71</v>
      </c>
      <c r="J1541" s="8" t="s">
        <v>749</v>
      </c>
      <c r="K1541" s="8" t="s">
        <v>125</v>
      </c>
      <c r="L1541" s="8" t="s">
        <v>750</v>
      </c>
      <c r="M1541" s="8" t="s">
        <v>2778</v>
      </c>
      <c r="N1541" s="8" t="s">
        <v>747</v>
      </c>
      <c r="O1541" s="8">
        <v>409.43</v>
      </c>
      <c r="P1541" s="8">
        <v>454.92</v>
      </c>
      <c r="Q1541" s="8" t="s">
        <v>2700</v>
      </c>
      <c r="R1541" s="8" t="s">
        <v>2256</v>
      </c>
    </row>
    <row r="1542" spans="1:20" x14ac:dyDescent="0.2">
      <c r="A1542" s="8" t="s">
        <v>4606</v>
      </c>
      <c r="B1542" s="8" t="str">
        <f t="shared" si="48"/>
        <v>1586244443</v>
      </c>
      <c r="C1542" s="8" t="str">
        <f t="shared" si="49"/>
        <v>1577</v>
      </c>
      <c r="D1542" s="8" t="s">
        <v>119</v>
      </c>
      <c r="F1542" s="8" t="s">
        <v>136</v>
      </c>
      <c r="G1542" s="8" t="s">
        <v>747</v>
      </c>
      <c r="H1542" s="8" t="s">
        <v>748</v>
      </c>
      <c r="I1542" s="8" t="s">
        <v>71</v>
      </c>
      <c r="J1542" s="8" t="s">
        <v>749</v>
      </c>
      <c r="K1542" s="8" t="s">
        <v>125</v>
      </c>
      <c r="L1542" s="8" t="s">
        <v>750</v>
      </c>
      <c r="M1542" s="8" t="s">
        <v>2778</v>
      </c>
      <c r="N1542" s="8" t="s">
        <v>747</v>
      </c>
      <c r="O1542" s="8">
        <v>409.43</v>
      </c>
      <c r="P1542" s="8">
        <v>454.92</v>
      </c>
      <c r="Q1542" s="8" t="s">
        <v>2700</v>
      </c>
      <c r="S1542" s="8" t="s">
        <v>142</v>
      </c>
      <c r="T1542" s="8">
        <v>18.440000000000001</v>
      </c>
    </row>
    <row r="1543" spans="1:20" x14ac:dyDescent="0.2">
      <c r="A1543" s="8" t="s">
        <v>3716</v>
      </c>
      <c r="B1543" s="8" t="str">
        <f t="shared" si="48"/>
        <v>1586244443</v>
      </c>
      <c r="C1543" s="8" t="str">
        <f t="shared" si="49"/>
        <v>1578</v>
      </c>
      <c r="D1543" s="8" t="s">
        <v>119</v>
      </c>
      <c r="F1543" s="8" t="s">
        <v>136</v>
      </c>
      <c r="G1543" s="8" t="s">
        <v>747</v>
      </c>
      <c r="H1543" s="8" t="s">
        <v>748</v>
      </c>
      <c r="I1543" s="8" t="s">
        <v>71</v>
      </c>
      <c r="J1543" s="8" t="s">
        <v>749</v>
      </c>
      <c r="K1543" s="8" t="s">
        <v>125</v>
      </c>
      <c r="L1543" s="8" t="s">
        <v>750</v>
      </c>
      <c r="M1543" s="8" t="s">
        <v>2778</v>
      </c>
      <c r="N1543" s="8" t="s">
        <v>747</v>
      </c>
      <c r="O1543" s="8">
        <v>409.43</v>
      </c>
      <c r="P1543" s="8">
        <v>454.92</v>
      </c>
      <c r="Q1543" s="8" t="s">
        <v>2700</v>
      </c>
      <c r="S1543" s="8" t="s">
        <v>184</v>
      </c>
      <c r="T1543" s="8">
        <v>77.459999999999994</v>
      </c>
    </row>
    <row r="1544" spans="1:20" x14ac:dyDescent="0.2">
      <c r="A1544" s="8" t="s">
        <v>4362</v>
      </c>
      <c r="B1544" s="8" t="str">
        <f t="shared" si="48"/>
        <v>1586244443</v>
      </c>
      <c r="C1544" s="8" t="str">
        <f t="shared" si="49"/>
        <v>1579</v>
      </c>
      <c r="D1544" s="8" t="s">
        <v>119</v>
      </c>
      <c r="F1544" s="8" t="s">
        <v>136</v>
      </c>
      <c r="G1544" s="8" t="s">
        <v>747</v>
      </c>
      <c r="H1544" s="8" t="s">
        <v>748</v>
      </c>
      <c r="I1544" s="8" t="s">
        <v>71</v>
      </c>
      <c r="J1544" s="8" t="s">
        <v>749</v>
      </c>
      <c r="K1544" s="8" t="s">
        <v>125</v>
      </c>
      <c r="L1544" s="8" t="s">
        <v>750</v>
      </c>
      <c r="M1544" s="8" t="s">
        <v>2778</v>
      </c>
      <c r="N1544" s="8" t="s">
        <v>747</v>
      </c>
      <c r="O1544" s="8">
        <v>409.43</v>
      </c>
      <c r="P1544" s="8">
        <v>454.92</v>
      </c>
      <c r="Q1544" s="8" t="s">
        <v>2700</v>
      </c>
      <c r="S1544" s="8" t="s">
        <v>107</v>
      </c>
      <c r="T1544" s="8">
        <v>37.619999999999997</v>
      </c>
    </row>
    <row r="1545" spans="1:20" x14ac:dyDescent="0.2">
      <c r="A1545" s="8" t="s">
        <v>2786</v>
      </c>
      <c r="B1545" s="8" t="str">
        <f t="shared" si="48"/>
        <v>1586244447</v>
      </c>
      <c r="C1545" s="8" t="str">
        <f t="shared" si="49"/>
        <v>1580</v>
      </c>
      <c r="D1545" s="8" t="s">
        <v>119</v>
      </c>
      <c r="F1545" s="8" t="s">
        <v>136</v>
      </c>
      <c r="G1545" s="8" t="s">
        <v>553</v>
      </c>
      <c r="H1545" s="8" t="s">
        <v>554</v>
      </c>
      <c r="I1545" s="8" t="s">
        <v>555</v>
      </c>
      <c r="J1545" s="8" t="s">
        <v>556</v>
      </c>
      <c r="K1545" s="8" t="s">
        <v>443</v>
      </c>
      <c r="L1545" s="8" t="s">
        <v>557</v>
      </c>
      <c r="M1545" s="8" t="s">
        <v>2778</v>
      </c>
      <c r="N1545" s="8" t="s">
        <v>553</v>
      </c>
      <c r="O1545" s="8">
        <v>627.04999999999995</v>
      </c>
      <c r="P1545" s="8">
        <v>696.72</v>
      </c>
      <c r="Q1545" s="8" t="s">
        <v>2701</v>
      </c>
      <c r="R1545" s="8" t="s">
        <v>1186</v>
      </c>
    </row>
    <row r="1546" spans="1:20" x14ac:dyDescent="0.2">
      <c r="A1546" s="8" t="s">
        <v>3283</v>
      </c>
      <c r="B1546" s="8" t="str">
        <f t="shared" si="48"/>
        <v>1586244447</v>
      </c>
      <c r="C1546" s="8" t="str">
        <f t="shared" si="49"/>
        <v>1581</v>
      </c>
      <c r="D1546" s="8" t="s">
        <v>119</v>
      </c>
      <c r="F1546" s="8" t="s">
        <v>136</v>
      </c>
      <c r="G1546" s="8" t="s">
        <v>553</v>
      </c>
      <c r="H1546" s="8" t="s">
        <v>554</v>
      </c>
      <c r="I1546" s="8" t="s">
        <v>555</v>
      </c>
      <c r="J1546" s="8" t="s">
        <v>556</v>
      </c>
      <c r="K1546" s="8" t="s">
        <v>443</v>
      </c>
      <c r="L1546" s="8" t="s">
        <v>557</v>
      </c>
      <c r="M1546" s="8" t="s">
        <v>2778</v>
      </c>
      <c r="N1546" s="8" t="s">
        <v>553</v>
      </c>
      <c r="O1546" s="8">
        <v>627.04999999999995</v>
      </c>
      <c r="P1546" s="8">
        <v>696.72</v>
      </c>
      <c r="Q1546" s="8" t="s">
        <v>2701</v>
      </c>
      <c r="R1546" s="8" t="s">
        <v>1989</v>
      </c>
    </row>
    <row r="1547" spans="1:20" x14ac:dyDescent="0.2">
      <c r="A1547" s="8" t="s">
        <v>3424</v>
      </c>
      <c r="B1547" s="8" t="str">
        <f t="shared" si="48"/>
        <v>1586244447</v>
      </c>
      <c r="C1547" s="8" t="str">
        <f t="shared" si="49"/>
        <v>1582</v>
      </c>
      <c r="D1547" s="8" t="s">
        <v>119</v>
      </c>
      <c r="F1547" s="8" t="s">
        <v>136</v>
      </c>
      <c r="G1547" s="8" t="s">
        <v>553</v>
      </c>
      <c r="H1547" s="8" t="s">
        <v>554</v>
      </c>
      <c r="I1547" s="8" t="s">
        <v>555</v>
      </c>
      <c r="J1547" s="8" t="s">
        <v>556</v>
      </c>
      <c r="K1547" s="8" t="s">
        <v>443</v>
      </c>
      <c r="L1547" s="8" t="s">
        <v>557</v>
      </c>
      <c r="M1547" s="8" t="s">
        <v>2778</v>
      </c>
      <c r="N1547" s="8" t="s">
        <v>553</v>
      </c>
      <c r="O1547" s="8">
        <v>627.04999999999995</v>
      </c>
      <c r="P1547" s="8">
        <v>696.72</v>
      </c>
      <c r="Q1547" s="8" t="s">
        <v>2701</v>
      </c>
      <c r="R1547" s="8" t="s">
        <v>558</v>
      </c>
    </row>
    <row r="1548" spans="1:20" x14ac:dyDescent="0.2">
      <c r="A1548" s="8" t="s">
        <v>3362</v>
      </c>
      <c r="B1548" s="8" t="str">
        <f t="shared" si="48"/>
        <v>1586244447</v>
      </c>
      <c r="C1548" s="8" t="str">
        <f t="shared" si="49"/>
        <v>1583</v>
      </c>
      <c r="D1548" s="8" t="s">
        <v>119</v>
      </c>
      <c r="F1548" s="8" t="s">
        <v>136</v>
      </c>
      <c r="G1548" s="8" t="s">
        <v>553</v>
      </c>
      <c r="H1548" s="8" t="s">
        <v>554</v>
      </c>
      <c r="I1548" s="8" t="s">
        <v>555</v>
      </c>
      <c r="J1548" s="8" t="s">
        <v>556</v>
      </c>
      <c r="K1548" s="8" t="s">
        <v>443</v>
      </c>
      <c r="L1548" s="8" t="s">
        <v>557</v>
      </c>
      <c r="M1548" s="8" t="s">
        <v>2778</v>
      </c>
      <c r="N1548" s="8" t="s">
        <v>553</v>
      </c>
      <c r="O1548" s="8">
        <v>627.04999999999995</v>
      </c>
      <c r="P1548" s="8">
        <v>696.72</v>
      </c>
      <c r="Q1548" s="8" t="s">
        <v>2701</v>
      </c>
      <c r="R1548" s="8" t="s">
        <v>2056</v>
      </c>
    </row>
    <row r="1549" spans="1:20" x14ac:dyDescent="0.2">
      <c r="A1549" s="8" t="s">
        <v>3866</v>
      </c>
      <c r="B1549" s="8" t="str">
        <f t="shared" si="48"/>
        <v>1586244447</v>
      </c>
      <c r="C1549" s="8" t="str">
        <f t="shared" si="49"/>
        <v>1584</v>
      </c>
      <c r="D1549" s="8" t="s">
        <v>119</v>
      </c>
      <c r="F1549" s="8" t="s">
        <v>136</v>
      </c>
      <c r="G1549" s="8" t="s">
        <v>553</v>
      </c>
      <c r="H1549" s="8" t="s">
        <v>554</v>
      </c>
      <c r="I1549" s="8" t="s">
        <v>555</v>
      </c>
      <c r="J1549" s="8" t="s">
        <v>556</v>
      </c>
      <c r="K1549" s="8" t="s">
        <v>443</v>
      </c>
      <c r="L1549" s="8" t="s">
        <v>557</v>
      </c>
      <c r="M1549" s="8" t="s">
        <v>2778</v>
      </c>
      <c r="N1549" s="8" t="s">
        <v>553</v>
      </c>
      <c r="O1549" s="8">
        <v>627.04999999999995</v>
      </c>
      <c r="P1549" s="8">
        <v>696.72</v>
      </c>
      <c r="Q1549" s="8" t="s">
        <v>2701</v>
      </c>
      <c r="R1549" s="8" t="s">
        <v>1458</v>
      </c>
    </row>
    <row r="1550" spans="1:20" x14ac:dyDescent="0.2">
      <c r="A1550" s="8" t="s">
        <v>3304</v>
      </c>
      <c r="B1550" s="8" t="str">
        <f t="shared" si="48"/>
        <v>1586244447</v>
      </c>
      <c r="C1550" s="8" t="str">
        <f t="shared" si="49"/>
        <v>1585</v>
      </c>
      <c r="D1550" s="8" t="s">
        <v>119</v>
      </c>
      <c r="F1550" s="8" t="s">
        <v>136</v>
      </c>
      <c r="G1550" s="8" t="s">
        <v>553</v>
      </c>
      <c r="H1550" s="8" t="s">
        <v>554</v>
      </c>
      <c r="I1550" s="8" t="s">
        <v>555</v>
      </c>
      <c r="J1550" s="8" t="s">
        <v>556</v>
      </c>
      <c r="K1550" s="8" t="s">
        <v>443</v>
      </c>
      <c r="L1550" s="8" t="s">
        <v>557</v>
      </c>
      <c r="M1550" s="8" t="s">
        <v>2778</v>
      </c>
      <c r="N1550" s="8" t="s">
        <v>553</v>
      </c>
      <c r="O1550" s="8">
        <v>627.04999999999995</v>
      </c>
      <c r="P1550" s="8">
        <v>696.72</v>
      </c>
      <c r="Q1550" s="8" t="s">
        <v>2701</v>
      </c>
      <c r="S1550" s="8" t="s">
        <v>109</v>
      </c>
      <c r="T1550" s="8">
        <v>77.459999999999994</v>
      </c>
    </row>
    <row r="1551" spans="1:20" x14ac:dyDescent="0.2">
      <c r="A1551" s="8" t="s">
        <v>3194</v>
      </c>
      <c r="B1551" s="8" t="str">
        <f t="shared" si="48"/>
        <v>1586244447</v>
      </c>
      <c r="C1551" s="8" t="str">
        <f t="shared" si="49"/>
        <v>1586</v>
      </c>
      <c r="D1551" s="8" t="s">
        <v>119</v>
      </c>
      <c r="F1551" s="8" t="s">
        <v>136</v>
      </c>
      <c r="G1551" s="8" t="s">
        <v>553</v>
      </c>
      <c r="H1551" s="8" t="s">
        <v>554</v>
      </c>
      <c r="I1551" s="8" t="s">
        <v>555</v>
      </c>
      <c r="J1551" s="8" t="s">
        <v>556</v>
      </c>
      <c r="K1551" s="8" t="s">
        <v>443</v>
      </c>
      <c r="L1551" s="8" t="s">
        <v>557</v>
      </c>
      <c r="M1551" s="8" t="s">
        <v>2778</v>
      </c>
      <c r="N1551" s="8" t="s">
        <v>553</v>
      </c>
      <c r="O1551" s="8">
        <v>627.04999999999995</v>
      </c>
      <c r="P1551" s="8">
        <v>696.72</v>
      </c>
      <c r="Q1551" s="8" t="s">
        <v>2701</v>
      </c>
      <c r="S1551" s="8" t="s">
        <v>331</v>
      </c>
      <c r="T1551" s="8">
        <v>14.75</v>
      </c>
    </row>
    <row r="1552" spans="1:20" x14ac:dyDescent="0.2">
      <c r="A1552" s="8" t="s">
        <v>4688</v>
      </c>
      <c r="B1552" s="8" t="str">
        <f t="shared" si="48"/>
        <v>1586244449</v>
      </c>
      <c r="C1552" s="8" t="str">
        <f t="shared" si="49"/>
        <v>1587</v>
      </c>
      <c r="D1552" s="8" t="s">
        <v>119</v>
      </c>
      <c r="F1552" s="8" t="s">
        <v>136</v>
      </c>
      <c r="G1552" s="8" t="s">
        <v>553</v>
      </c>
      <c r="H1552" s="8" t="s">
        <v>554</v>
      </c>
      <c r="I1552" s="8" t="s">
        <v>1340</v>
      </c>
      <c r="J1552" s="8" t="s">
        <v>1341</v>
      </c>
      <c r="K1552" s="8" t="s">
        <v>443</v>
      </c>
      <c r="L1552" s="8" t="s">
        <v>1342</v>
      </c>
      <c r="M1552" s="8" t="s">
        <v>2778</v>
      </c>
      <c r="N1552" s="8" t="s">
        <v>553</v>
      </c>
      <c r="O1552" s="8">
        <v>627.04999999999995</v>
      </c>
      <c r="P1552" s="8">
        <v>696.72</v>
      </c>
      <c r="Q1552" s="8" t="s">
        <v>2702</v>
      </c>
      <c r="R1552" s="8" t="s">
        <v>2128</v>
      </c>
    </row>
    <row r="1553" spans="1:20" x14ac:dyDescent="0.2">
      <c r="A1553" s="8" t="s">
        <v>4155</v>
      </c>
      <c r="B1553" s="8" t="str">
        <f t="shared" si="48"/>
        <v>1586244449</v>
      </c>
      <c r="C1553" s="8" t="str">
        <f t="shared" si="49"/>
        <v>1588</v>
      </c>
      <c r="D1553" s="8" t="s">
        <v>119</v>
      </c>
      <c r="F1553" s="8" t="s">
        <v>136</v>
      </c>
      <c r="G1553" s="8" t="s">
        <v>553</v>
      </c>
      <c r="H1553" s="8" t="s">
        <v>554</v>
      </c>
      <c r="I1553" s="8" t="s">
        <v>1340</v>
      </c>
      <c r="J1553" s="8" t="s">
        <v>1341</v>
      </c>
      <c r="K1553" s="8" t="s">
        <v>443</v>
      </c>
      <c r="L1553" s="8" t="s">
        <v>1342</v>
      </c>
      <c r="M1553" s="8" t="s">
        <v>2778</v>
      </c>
      <c r="N1553" s="8" t="s">
        <v>553</v>
      </c>
      <c r="O1553" s="8">
        <v>627.04999999999995</v>
      </c>
      <c r="P1553" s="8">
        <v>696.72</v>
      </c>
      <c r="Q1553" s="8" t="s">
        <v>2702</v>
      </c>
      <c r="R1553" s="8" t="s">
        <v>1655</v>
      </c>
    </row>
    <row r="1554" spans="1:20" x14ac:dyDescent="0.2">
      <c r="A1554" s="8" t="s">
        <v>4369</v>
      </c>
      <c r="B1554" s="8" t="str">
        <f t="shared" si="48"/>
        <v>1586244449</v>
      </c>
      <c r="C1554" s="8" t="str">
        <f t="shared" si="49"/>
        <v>1589</v>
      </c>
      <c r="D1554" s="8" t="s">
        <v>119</v>
      </c>
      <c r="F1554" s="8" t="s">
        <v>136</v>
      </c>
      <c r="G1554" s="8" t="s">
        <v>553</v>
      </c>
      <c r="H1554" s="8" t="s">
        <v>554</v>
      </c>
      <c r="I1554" s="8" t="s">
        <v>1340</v>
      </c>
      <c r="J1554" s="8" t="s">
        <v>1341</v>
      </c>
      <c r="K1554" s="8" t="s">
        <v>443</v>
      </c>
      <c r="L1554" s="8" t="s">
        <v>1342</v>
      </c>
      <c r="M1554" s="8" t="s">
        <v>2778</v>
      </c>
      <c r="N1554" s="8" t="s">
        <v>553</v>
      </c>
      <c r="O1554" s="8">
        <v>627.04999999999995</v>
      </c>
      <c r="P1554" s="8">
        <v>696.72</v>
      </c>
      <c r="Q1554" s="8" t="s">
        <v>2702</v>
      </c>
      <c r="R1554" s="8" t="s">
        <v>1889</v>
      </c>
    </row>
    <row r="1555" spans="1:20" x14ac:dyDescent="0.2">
      <c r="A1555" s="8" t="s">
        <v>2933</v>
      </c>
      <c r="B1555" s="8" t="str">
        <f t="shared" si="48"/>
        <v>1586244449</v>
      </c>
      <c r="C1555" s="8" t="str">
        <f t="shared" si="49"/>
        <v>1590</v>
      </c>
      <c r="D1555" s="8" t="s">
        <v>119</v>
      </c>
      <c r="F1555" s="8" t="s">
        <v>136</v>
      </c>
      <c r="G1555" s="8" t="s">
        <v>553</v>
      </c>
      <c r="H1555" s="8" t="s">
        <v>554</v>
      </c>
      <c r="I1555" s="8" t="s">
        <v>1340</v>
      </c>
      <c r="J1555" s="8" t="s">
        <v>1341</v>
      </c>
      <c r="K1555" s="8" t="s">
        <v>443</v>
      </c>
      <c r="L1555" s="8" t="s">
        <v>1342</v>
      </c>
      <c r="M1555" s="8" t="s">
        <v>2778</v>
      </c>
      <c r="N1555" s="8" t="s">
        <v>553</v>
      </c>
      <c r="O1555" s="8">
        <v>627.04999999999995</v>
      </c>
      <c r="P1555" s="8">
        <v>696.72</v>
      </c>
      <c r="Q1555" s="8" t="s">
        <v>2702</v>
      </c>
      <c r="R1555" s="8" t="s">
        <v>1343</v>
      </c>
    </row>
    <row r="1556" spans="1:20" x14ac:dyDescent="0.2">
      <c r="A1556" s="8" t="s">
        <v>3217</v>
      </c>
      <c r="B1556" s="8" t="str">
        <f t="shared" si="48"/>
        <v>1586244449</v>
      </c>
      <c r="C1556" s="8" t="str">
        <f t="shared" si="49"/>
        <v>1591</v>
      </c>
      <c r="D1556" s="8" t="s">
        <v>119</v>
      </c>
      <c r="F1556" s="8" t="s">
        <v>136</v>
      </c>
      <c r="G1556" s="8" t="s">
        <v>553</v>
      </c>
      <c r="H1556" s="8" t="s">
        <v>554</v>
      </c>
      <c r="I1556" s="8" t="s">
        <v>1340</v>
      </c>
      <c r="J1556" s="8" t="s">
        <v>1341</v>
      </c>
      <c r="K1556" s="8" t="s">
        <v>443</v>
      </c>
      <c r="L1556" s="8" t="s">
        <v>1342</v>
      </c>
      <c r="M1556" s="8" t="s">
        <v>2778</v>
      </c>
      <c r="N1556" s="8" t="s">
        <v>553</v>
      </c>
      <c r="O1556" s="8">
        <v>627.04999999999995</v>
      </c>
      <c r="P1556" s="8">
        <v>696.72</v>
      </c>
      <c r="Q1556" s="8" t="s">
        <v>2702</v>
      </c>
      <c r="S1556" s="8" t="s">
        <v>331</v>
      </c>
      <c r="T1556" s="8">
        <v>29.51</v>
      </c>
    </row>
    <row r="1557" spans="1:20" x14ac:dyDescent="0.2">
      <c r="A1557" s="8" t="s">
        <v>3572</v>
      </c>
      <c r="B1557" s="8" t="str">
        <f t="shared" si="48"/>
        <v>1586244453</v>
      </c>
      <c r="C1557" s="8" t="str">
        <f t="shared" si="49"/>
        <v>1592</v>
      </c>
      <c r="D1557" s="8" t="s">
        <v>119</v>
      </c>
      <c r="F1557" s="8" t="s">
        <v>136</v>
      </c>
      <c r="G1557" s="8" t="s">
        <v>879</v>
      </c>
      <c r="H1557" s="8" t="s">
        <v>880</v>
      </c>
      <c r="I1557" s="8" t="s">
        <v>500</v>
      </c>
      <c r="J1557" s="8" t="s">
        <v>881</v>
      </c>
      <c r="K1557" s="8" t="s">
        <v>190</v>
      </c>
      <c r="L1557" s="8" t="s">
        <v>502</v>
      </c>
      <c r="M1557" s="8" t="s">
        <v>2778</v>
      </c>
      <c r="N1557" s="8" t="s">
        <v>879</v>
      </c>
      <c r="O1557" s="8">
        <v>919.92</v>
      </c>
      <c r="P1557" s="8">
        <v>1022.13</v>
      </c>
      <c r="Q1557" s="8" t="s">
        <v>2703</v>
      </c>
      <c r="R1557" s="8" t="s">
        <v>1590</v>
      </c>
    </row>
    <row r="1558" spans="1:20" x14ac:dyDescent="0.2">
      <c r="A1558" s="8" t="s">
        <v>3764</v>
      </c>
      <c r="B1558" s="8" t="str">
        <f t="shared" si="48"/>
        <v>1586244453</v>
      </c>
      <c r="C1558" s="8" t="str">
        <f t="shared" si="49"/>
        <v>1593</v>
      </c>
      <c r="D1558" s="8" t="s">
        <v>119</v>
      </c>
      <c r="F1558" s="8" t="s">
        <v>136</v>
      </c>
      <c r="G1558" s="8" t="s">
        <v>879</v>
      </c>
      <c r="H1558" s="8" t="s">
        <v>880</v>
      </c>
      <c r="I1558" s="8" t="s">
        <v>500</v>
      </c>
      <c r="J1558" s="8" t="s">
        <v>881</v>
      </c>
      <c r="K1558" s="8" t="s">
        <v>190</v>
      </c>
      <c r="L1558" s="8" t="s">
        <v>502</v>
      </c>
      <c r="M1558" s="8" t="s">
        <v>2778</v>
      </c>
      <c r="N1558" s="8" t="s">
        <v>879</v>
      </c>
      <c r="O1558" s="8">
        <v>919.92</v>
      </c>
      <c r="P1558" s="8">
        <v>1022.13</v>
      </c>
      <c r="Q1558" s="8" t="s">
        <v>2703</v>
      </c>
      <c r="R1558" s="8" t="s">
        <v>2325</v>
      </c>
    </row>
    <row r="1559" spans="1:20" x14ac:dyDescent="0.2">
      <c r="A1559" s="8" t="s">
        <v>3286</v>
      </c>
      <c r="B1559" s="8" t="str">
        <f t="shared" si="48"/>
        <v>1586244453</v>
      </c>
      <c r="C1559" s="8" t="str">
        <f t="shared" si="49"/>
        <v>1594</v>
      </c>
      <c r="D1559" s="8" t="s">
        <v>119</v>
      </c>
      <c r="F1559" s="8" t="s">
        <v>136</v>
      </c>
      <c r="G1559" s="8" t="s">
        <v>879</v>
      </c>
      <c r="H1559" s="8" t="s">
        <v>880</v>
      </c>
      <c r="I1559" s="8" t="s">
        <v>500</v>
      </c>
      <c r="J1559" s="8" t="s">
        <v>881</v>
      </c>
      <c r="K1559" s="8" t="s">
        <v>190</v>
      </c>
      <c r="L1559" s="8" t="s">
        <v>502</v>
      </c>
      <c r="M1559" s="8" t="s">
        <v>2778</v>
      </c>
      <c r="N1559" s="8" t="s">
        <v>879</v>
      </c>
      <c r="O1559" s="8">
        <v>919.92</v>
      </c>
      <c r="P1559" s="8">
        <v>1022.13</v>
      </c>
      <c r="Q1559" s="8" t="s">
        <v>2703</v>
      </c>
      <c r="R1559" s="8" t="s">
        <v>2107</v>
      </c>
    </row>
    <row r="1560" spans="1:20" x14ac:dyDescent="0.2">
      <c r="A1560" s="8" t="s">
        <v>4728</v>
      </c>
      <c r="B1560" s="8" t="str">
        <f t="shared" si="48"/>
        <v>1586244453</v>
      </c>
      <c r="C1560" s="8" t="str">
        <f t="shared" si="49"/>
        <v>1595</v>
      </c>
      <c r="D1560" s="8" t="s">
        <v>119</v>
      </c>
      <c r="F1560" s="8" t="s">
        <v>136</v>
      </c>
      <c r="G1560" s="8" t="s">
        <v>879</v>
      </c>
      <c r="H1560" s="8" t="s">
        <v>880</v>
      </c>
      <c r="I1560" s="8" t="s">
        <v>500</v>
      </c>
      <c r="J1560" s="8" t="s">
        <v>881</v>
      </c>
      <c r="K1560" s="8" t="s">
        <v>190</v>
      </c>
      <c r="L1560" s="8" t="s">
        <v>502</v>
      </c>
      <c r="M1560" s="8" t="s">
        <v>2778</v>
      </c>
      <c r="N1560" s="8" t="s">
        <v>879</v>
      </c>
      <c r="O1560" s="8">
        <v>919.92</v>
      </c>
      <c r="P1560" s="8">
        <v>1022.13</v>
      </c>
      <c r="Q1560" s="8" t="s">
        <v>2703</v>
      </c>
      <c r="R1560" s="8" t="s">
        <v>956</v>
      </c>
    </row>
    <row r="1561" spans="1:20" x14ac:dyDescent="0.2">
      <c r="A1561" s="8" t="s">
        <v>3420</v>
      </c>
      <c r="B1561" s="8" t="str">
        <f t="shared" si="48"/>
        <v>1586244453</v>
      </c>
      <c r="C1561" s="8" t="str">
        <f t="shared" si="49"/>
        <v>1596</v>
      </c>
      <c r="D1561" s="8" t="s">
        <v>119</v>
      </c>
      <c r="F1561" s="8" t="s">
        <v>136</v>
      </c>
      <c r="G1561" s="8" t="s">
        <v>879</v>
      </c>
      <c r="H1561" s="8" t="s">
        <v>880</v>
      </c>
      <c r="I1561" s="8" t="s">
        <v>500</v>
      </c>
      <c r="J1561" s="8" t="s">
        <v>881</v>
      </c>
      <c r="K1561" s="8" t="s">
        <v>190</v>
      </c>
      <c r="L1561" s="8" t="s">
        <v>502</v>
      </c>
      <c r="M1561" s="8" t="s">
        <v>2778</v>
      </c>
      <c r="N1561" s="8" t="s">
        <v>879</v>
      </c>
      <c r="O1561" s="8">
        <v>919.92</v>
      </c>
      <c r="P1561" s="8">
        <v>1022.13</v>
      </c>
      <c r="Q1561" s="8" t="s">
        <v>2703</v>
      </c>
      <c r="S1561" s="8" t="s">
        <v>1202</v>
      </c>
      <c r="T1561" s="8">
        <v>195.49</v>
      </c>
    </row>
    <row r="1562" spans="1:20" x14ac:dyDescent="0.2">
      <c r="A1562" s="8" t="s">
        <v>4559</v>
      </c>
      <c r="B1562" s="8" t="str">
        <f t="shared" si="48"/>
        <v>1586244453</v>
      </c>
      <c r="C1562" s="8" t="str">
        <f t="shared" si="49"/>
        <v>1597</v>
      </c>
      <c r="D1562" s="8" t="s">
        <v>119</v>
      </c>
      <c r="F1562" s="8" t="s">
        <v>136</v>
      </c>
      <c r="G1562" s="8" t="s">
        <v>879</v>
      </c>
      <c r="H1562" s="8" t="s">
        <v>880</v>
      </c>
      <c r="I1562" s="8" t="s">
        <v>500</v>
      </c>
      <c r="J1562" s="8" t="s">
        <v>881</v>
      </c>
      <c r="K1562" s="8" t="s">
        <v>190</v>
      </c>
      <c r="L1562" s="8" t="s">
        <v>502</v>
      </c>
      <c r="M1562" s="8" t="s">
        <v>2778</v>
      </c>
      <c r="N1562" s="8" t="s">
        <v>879</v>
      </c>
      <c r="O1562" s="8">
        <v>919.92</v>
      </c>
      <c r="P1562" s="8">
        <v>1022.13</v>
      </c>
      <c r="Q1562" s="8" t="s">
        <v>2703</v>
      </c>
      <c r="S1562" s="8" t="s">
        <v>232</v>
      </c>
      <c r="T1562" s="8">
        <v>370.33</v>
      </c>
    </row>
    <row r="1563" spans="1:20" x14ac:dyDescent="0.2">
      <c r="A1563" s="8" t="s">
        <v>4508</v>
      </c>
      <c r="B1563" s="8" t="str">
        <f t="shared" si="48"/>
        <v>1586244453</v>
      </c>
      <c r="C1563" s="8" t="str">
        <f t="shared" si="49"/>
        <v>1598</v>
      </c>
      <c r="D1563" s="8" t="s">
        <v>119</v>
      </c>
      <c r="F1563" s="8" t="s">
        <v>136</v>
      </c>
      <c r="G1563" s="8" t="s">
        <v>879</v>
      </c>
      <c r="H1563" s="8" t="s">
        <v>880</v>
      </c>
      <c r="I1563" s="8" t="s">
        <v>500</v>
      </c>
      <c r="J1563" s="8" t="s">
        <v>881</v>
      </c>
      <c r="K1563" s="8" t="s">
        <v>190</v>
      </c>
      <c r="L1563" s="8" t="s">
        <v>502</v>
      </c>
      <c r="M1563" s="8" t="s">
        <v>2778</v>
      </c>
      <c r="N1563" s="8" t="s">
        <v>879</v>
      </c>
      <c r="O1563" s="8">
        <v>919.92</v>
      </c>
      <c r="P1563" s="8">
        <v>1022.13</v>
      </c>
      <c r="Q1563" s="8" t="s">
        <v>2703</v>
      </c>
      <c r="S1563" s="8" t="s">
        <v>503</v>
      </c>
      <c r="T1563" s="8">
        <v>567.29999999999995</v>
      </c>
    </row>
    <row r="1564" spans="1:20" x14ac:dyDescent="0.2">
      <c r="A1564" s="8" t="s">
        <v>4282</v>
      </c>
      <c r="B1564" s="8" t="str">
        <f t="shared" si="48"/>
        <v>1586244453</v>
      </c>
      <c r="C1564" s="8" t="str">
        <f t="shared" si="49"/>
        <v>1599</v>
      </c>
      <c r="D1564" s="8" t="s">
        <v>119</v>
      </c>
      <c r="F1564" s="8" t="s">
        <v>136</v>
      </c>
      <c r="G1564" s="8" t="s">
        <v>879</v>
      </c>
      <c r="H1564" s="8" t="s">
        <v>880</v>
      </c>
      <c r="I1564" s="8" t="s">
        <v>500</v>
      </c>
      <c r="J1564" s="8" t="s">
        <v>881</v>
      </c>
      <c r="K1564" s="8" t="s">
        <v>190</v>
      </c>
      <c r="L1564" s="8" t="s">
        <v>502</v>
      </c>
      <c r="M1564" s="8" t="s">
        <v>2778</v>
      </c>
      <c r="N1564" s="8" t="s">
        <v>879</v>
      </c>
      <c r="O1564" s="8">
        <v>919.92</v>
      </c>
      <c r="P1564" s="8">
        <v>1022.13</v>
      </c>
      <c r="Q1564" s="8" t="s">
        <v>2703</v>
      </c>
      <c r="S1564" s="8" t="s">
        <v>525</v>
      </c>
      <c r="T1564" s="8">
        <v>195.49</v>
      </c>
    </row>
    <row r="1565" spans="1:20" x14ac:dyDescent="0.2">
      <c r="A1565" s="8" t="s">
        <v>4183</v>
      </c>
      <c r="B1565" s="8" t="str">
        <f t="shared" si="48"/>
        <v>1586244453</v>
      </c>
      <c r="C1565" s="8" t="str">
        <f t="shared" si="49"/>
        <v>1600</v>
      </c>
      <c r="D1565" s="8" t="s">
        <v>119</v>
      </c>
      <c r="F1565" s="8" t="s">
        <v>136</v>
      </c>
      <c r="G1565" s="8" t="s">
        <v>879</v>
      </c>
      <c r="H1565" s="8" t="s">
        <v>880</v>
      </c>
      <c r="I1565" s="8" t="s">
        <v>500</v>
      </c>
      <c r="J1565" s="8" t="s">
        <v>881</v>
      </c>
      <c r="K1565" s="8" t="s">
        <v>190</v>
      </c>
      <c r="L1565" s="8" t="s">
        <v>502</v>
      </c>
      <c r="M1565" s="8" t="s">
        <v>2778</v>
      </c>
      <c r="N1565" s="8" t="s">
        <v>879</v>
      </c>
      <c r="O1565" s="8">
        <v>919.92</v>
      </c>
      <c r="P1565" s="8">
        <v>1022.13</v>
      </c>
      <c r="Q1565" s="8" t="s">
        <v>2703</v>
      </c>
      <c r="S1565" s="8" t="s">
        <v>969</v>
      </c>
      <c r="T1565" s="8">
        <v>391.72</v>
      </c>
    </row>
    <row r="1566" spans="1:20" x14ac:dyDescent="0.2">
      <c r="A1566" s="8" t="s">
        <v>3813</v>
      </c>
      <c r="B1566" s="8" t="str">
        <f t="shared" si="48"/>
        <v>1586244457</v>
      </c>
      <c r="C1566" s="8" t="str">
        <f t="shared" si="49"/>
        <v>1601</v>
      </c>
      <c r="D1566" s="8" t="s">
        <v>119</v>
      </c>
      <c r="F1566" s="8" t="s">
        <v>136</v>
      </c>
      <c r="G1566" s="8" t="s">
        <v>498</v>
      </c>
      <c r="H1566" s="8" t="s">
        <v>499</v>
      </c>
      <c r="I1566" s="8" t="s">
        <v>500</v>
      </c>
      <c r="J1566" s="8" t="s">
        <v>501</v>
      </c>
      <c r="K1566" s="8" t="s">
        <v>190</v>
      </c>
      <c r="L1566" s="8" t="s">
        <v>502</v>
      </c>
      <c r="M1566" s="8" t="s">
        <v>2778</v>
      </c>
      <c r="N1566" s="8" t="s">
        <v>498</v>
      </c>
      <c r="O1566" s="8">
        <v>919.92</v>
      </c>
      <c r="P1566" s="8">
        <v>1022.13</v>
      </c>
      <c r="Q1566" s="8" t="s">
        <v>2703</v>
      </c>
      <c r="R1566" s="8" t="s">
        <v>1590</v>
      </c>
    </row>
    <row r="1567" spans="1:20" x14ac:dyDescent="0.2">
      <c r="A1567" s="8" t="s">
        <v>3328</v>
      </c>
      <c r="B1567" s="8" t="str">
        <f t="shared" si="48"/>
        <v>1586244457</v>
      </c>
      <c r="C1567" s="8" t="str">
        <f t="shared" si="49"/>
        <v>1602</v>
      </c>
      <c r="D1567" s="8" t="s">
        <v>119</v>
      </c>
      <c r="F1567" s="8" t="s">
        <v>136</v>
      </c>
      <c r="G1567" s="8" t="s">
        <v>498</v>
      </c>
      <c r="H1567" s="8" t="s">
        <v>499</v>
      </c>
      <c r="I1567" s="8" t="s">
        <v>500</v>
      </c>
      <c r="J1567" s="8" t="s">
        <v>501</v>
      </c>
      <c r="K1567" s="8" t="s">
        <v>190</v>
      </c>
      <c r="L1567" s="8" t="s">
        <v>502</v>
      </c>
      <c r="M1567" s="8" t="s">
        <v>2778</v>
      </c>
      <c r="N1567" s="8" t="s">
        <v>498</v>
      </c>
      <c r="O1567" s="8">
        <v>919.92</v>
      </c>
      <c r="P1567" s="8">
        <v>1022.13</v>
      </c>
      <c r="Q1567" s="8" t="s">
        <v>2703</v>
      </c>
      <c r="R1567" s="8" t="s">
        <v>2325</v>
      </c>
    </row>
    <row r="1568" spans="1:20" x14ac:dyDescent="0.2">
      <c r="A1568" s="8" t="s">
        <v>3651</v>
      </c>
      <c r="B1568" s="8" t="str">
        <f t="shared" si="48"/>
        <v>1586244457</v>
      </c>
      <c r="C1568" s="8" t="str">
        <f t="shared" si="49"/>
        <v>1603</v>
      </c>
      <c r="D1568" s="8" t="s">
        <v>119</v>
      </c>
      <c r="F1568" s="8" t="s">
        <v>136</v>
      </c>
      <c r="G1568" s="8" t="s">
        <v>498</v>
      </c>
      <c r="H1568" s="8" t="s">
        <v>499</v>
      </c>
      <c r="I1568" s="8" t="s">
        <v>500</v>
      </c>
      <c r="J1568" s="8" t="s">
        <v>501</v>
      </c>
      <c r="K1568" s="8" t="s">
        <v>190</v>
      </c>
      <c r="L1568" s="8" t="s">
        <v>502</v>
      </c>
      <c r="M1568" s="8" t="s">
        <v>2778</v>
      </c>
      <c r="N1568" s="8" t="s">
        <v>498</v>
      </c>
      <c r="O1568" s="8">
        <v>919.92</v>
      </c>
      <c r="P1568" s="8">
        <v>1022.13</v>
      </c>
      <c r="Q1568" s="8" t="s">
        <v>2703</v>
      </c>
      <c r="R1568" s="8" t="s">
        <v>2107</v>
      </c>
    </row>
    <row r="1569" spans="1:20" x14ac:dyDescent="0.2">
      <c r="A1569" s="8" t="s">
        <v>3049</v>
      </c>
      <c r="B1569" s="8" t="str">
        <f t="shared" si="48"/>
        <v>1586244457</v>
      </c>
      <c r="C1569" s="8" t="str">
        <f t="shared" si="49"/>
        <v>1604</v>
      </c>
      <c r="D1569" s="8" t="s">
        <v>119</v>
      </c>
      <c r="F1569" s="8" t="s">
        <v>136</v>
      </c>
      <c r="G1569" s="8" t="s">
        <v>498</v>
      </c>
      <c r="H1569" s="8" t="s">
        <v>499</v>
      </c>
      <c r="I1569" s="8" t="s">
        <v>500</v>
      </c>
      <c r="J1569" s="8" t="s">
        <v>501</v>
      </c>
      <c r="K1569" s="8" t="s">
        <v>190</v>
      </c>
      <c r="L1569" s="8" t="s">
        <v>502</v>
      </c>
      <c r="M1569" s="8" t="s">
        <v>2778</v>
      </c>
      <c r="N1569" s="8" t="s">
        <v>498</v>
      </c>
      <c r="O1569" s="8">
        <v>919.92</v>
      </c>
      <c r="P1569" s="8">
        <v>1022.13</v>
      </c>
      <c r="Q1569" s="8" t="s">
        <v>2703</v>
      </c>
      <c r="R1569" s="8" t="s">
        <v>956</v>
      </c>
    </row>
    <row r="1570" spans="1:20" x14ac:dyDescent="0.2">
      <c r="A1570" s="8" t="s">
        <v>3121</v>
      </c>
      <c r="B1570" s="8" t="str">
        <f t="shared" si="48"/>
        <v>1586244457</v>
      </c>
      <c r="C1570" s="8" t="str">
        <f t="shared" si="49"/>
        <v>1605</v>
      </c>
      <c r="D1570" s="8" t="s">
        <v>119</v>
      </c>
      <c r="F1570" s="8" t="s">
        <v>136</v>
      </c>
      <c r="G1570" s="8" t="s">
        <v>498</v>
      </c>
      <c r="H1570" s="8" t="s">
        <v>499</v>
      </c>
      <c r="I1570" s="8" t="s">
        <v>500</v>
      </c>
      <c r="J1570" s="8" t="s">
        <v>501</v>
      </c>
      <c r="K1570" s="8" t="s">
        <v>190</v>
      </c>
      <c r="L1570" s="8" t="s">
        <v>502</v>
      </c>
      <c r="M1570" s="8" t="s">
        <v>2778</v>
      </c>
      <c r="N1570" s="8" t="s">
        <v>498</v>
      </c>
      <c r="O1570" s="8">
        <v>919.92</v>
      </c>
      <c r="P1570" s="8">
        <v>1022.13</v>
      </c>
      <c r="Q1570" s="8" t="s">
        <v>2703</v>
      </c>
      <c r="S1570" s="8" t="s">
        <v>1202</v>
      </c>
      <c r="T1570" s="8">
        <v>195.49</v>
      </c>
    </row>
    <row r="1571" spans="1:20" x14ac:dyDescent="0.2">
      <c r="A1571" s="8" t="s">
        <v>3303</v>
      </c>
      <c r="B1571" s="8" t="str">
        <f t="shared" si="48"/>
        <v>1586244457</v>
      </c>
      <c r="C1571" s="8" t="str">
        <f t="shared" si="49"/>
        <v>1606</v>
      </c>
      <c r="D1571" s="8" t="s">
        <v>119</v>
      </c>
      <c r="F1571" s="8" t="s">
        <v>136</v>
      </c>
      <c r="G1571" s="8" t="s">
        <v>498</v>
      </c>
      <c r="H1571" s="8" t="s">
        <v>499</v>
      </c>
      <c r="I1571" s="8" t="s">
        <v>500</v>
      </c>
      <c r="J1571" s="8" t="s">
        <v>501</v>
      </c>
      <c r="K1571" s="8" t="s">
        <v>190</v>
      </c>
      <c r="L1571" s="8" t="s">
        <v>502</v>
      </c>
      <c r="M1571" s="8" t="s">
        <v>2778</v>
      </c>
      <c r="N1571" s="8" t="s">
        <v>498</v>
      </c>
      <c r="O1571" s="8">
        <v>919.92</v>
      </c>
      <c r="P1571" s="8">
        <v>1022.13</v>
      </c>
      <c r="Q1571" s="8" t="s">
        <v>2703</v>
      </c>
      <c r="S1571" s="8" t="s">
        <v>232</v>
      </c>
      <c r="T1571" s="8">
        <v>370.33</v>
      </c>
    </row>
    <row r="1572" spans="1:20" x14ac:dyDescent="0.2">
      <c r="A1572" s="8" t="s">
        <v>3579</v>
      </c>
      <c r="B1572" s="8" t="str">
        <f t="shared" si="48"/>
        <v>1586244457</v>
      </c>
      <c r="C1572" s="8" t="str">
        <f t="shared" si="49"/>
        <v>1607</v>
      </c>
      <c r="D1572" s="8" t="s">
        <v>119</v>
      </c>
      <c r="F1572" s="8" t="s">
        <v>136</v>
      </c>
      <c r="G1572" s="8" t="s">
        <v>498</v>
      </c>
      <c r="H1572" s="8" t="s">
        <v>499</v>
      </c>
      <c r="I1572" s="8" t="s">
        <v>500</v>
      </c>
      <c r="J1572" s="8" t="s">
        <v>501</v>
      </c>
      <c r="K1572" s="8" t="s">
        <v>190</v>
      </c>
      <c r="L1572" s="8" t="s">
        <v>502</v>
      </c>
      <c r="M1572" s="8" t="s">
        <v>2778</v>
      </c>
      <c r="N1572" s="8" t="s">
        <v>498</v>
      </c>
      <c r="O1572" s="8">
        <v>919.92</v>
      </c>
      <c r="P1572" s="8">
        <v>1022.13</v>
      </c>
      <c r="Q1572" s="8" t="s">
        <v>2703</v>
      </c>
      <c r="S1572" s="8" t="s">
        <v>503</v>
      </c>
      <c r="T1572" s="8">
        <v>567.29999999999995</v>
      </c>
    </row>
    <row r="1573" spans="1:20" x14ac:dyDescent="0.2">
      <c r="A1573" s="8" t="s">
        <v>4086</v>
      </c>
      <c r="B1573" s="8" t="str">
        <f t="shared" si="48"/>
        <v>1586244457</v>
      </c>
      <c r="C1573" s="8" t="str">
        <f t="shared" si="49"/>
        <v>1608</v>
      </c>
      <c r="D1573" s="8" t="s">
        <v>119</v>
      </c>
      <c r="F1573" s="8" t="s">
        <v>136</v>
      </c>
      <c r="G1573" s="8" t="s">
        <v>498</v>
      </c>
      <c r="H1573" s="8" t="s">
        <v>499</v>
      </c>
      <c r="I1573" s="8" t="s">
        <v>500</v>
      </c>
      <c r="J1573" s="8" t="s">
        <v>501</v>
      </c>
      <c r="K1573" s="8" t="s">
        <v>190</v>
      </c>
      <c r="L1573" s="8" t="s">
        <v>502</v>
      </c>
      <c r="M1573" s="8" t="s">
        <v>2778</v>
      </c>
      <c r="N1573" s="8" t="s">
        <v>498</v>
      </c>
      <c r="O1573" s="8">
        <v>919.92</v>
      </c>
      <c r="P1573" s="8">
        <v>1022.13</v>
      </c>
      <c r="Q1573" s="8" t="s">
        <v>2703</v>
      </c>
      <c r="S1573" s="8" t="s">
        <v>525</v>
      </c>
      <c r="T1573" s="8">
        <v>195.49</v>
      </c>
    </row>
    <row r="1574" spans="1:20" x14ac:dyDescent="0.2">
      <c r="A1574" s="8" t="s">
        <v>2870</v>
      </c>
      <c r="B1574" s="8" t="str">
        <f t="shared" si="48"/>
        <v>1586244457</v>
      </c>
      <c r="C1574" s="8" t="str">
        <f t="shared" si="49"/>
        <v>1609</v>
      </c>
      <c r="D1574" s="8" t="s">
        <v>119</v>
      </c>
      <c r="F1574" s="8" t="s">
        <v>136</v>
      </c>
      <c r="G1574" s="8" t="s">
        <v>498</v>
      </c>
      <c r="H1574" s="8" t="s">
        <v>499</v>
      </c>
      <c r="I1574" s="8" t="s">
        <v>500</v>
      </c>
      <c r="J1574" s="8" t="s">
        <v>501</v>
      </c>
      <c r="K1574" s="8" t="s">
        <v>190</v>
      </c>
      <c r="L1574" s="8" t="s">
        <v>502</v>
      </c>
      <c r="M1574" s="8" t="s">
        <v>2778</v>
      </c>
      <c r="N1574" s="8" t="s">
        <v>498</v>
      </c>
      <c r="O1574" s="8">
        <v>919.92</v>
      </c>
      <c r="P1574" s="8">
        <v>1022.13</v>
      </c>
      <c r="Q1574" s="8" t="s">
        <v>2703</v>
      </c>
      <c r="S1574" s="8" t="s">
        <v>969</v>
      </c>
      <c r="T1574" s="8">
        <v>391.72</v>
      </c>
    </row>
    <row r="1575" spans="1:20" x14ac:dyDescent="0.2">
      <c r="A1575" s="8" t="s">
        <v>4654</v>
      </c>
      <c r="B1575" s="8" t="str">
        <f t="shared" si="48"/>
        <v>1586244459</v>
      </c>
      <c r="C1575" s="8" t="str">
        <f t="shared" si="49"/>
        <v>1610</v>
      </c>
      <c r="D1575" s="8" t="s">
        <v>119</v>
      </c>
      <c r="F1575" s="8" t="s">
        <v>136</v>
      </c>
      <c r="G1575" s="8" t="s">
        <v>498</v>
      </c>
      <c r="H1575" s="8" t="s">
        <v>499</v>
      </c>
      <c r="I1575" s="8" t="s">
        <v>1054</v>
      </c>
      <c r="J1575" s="8" t="s">
        <v>1055</v>
      </c>
      <c r="K1575" s="8" t="s">
        <v>125</v>
      </c>
      <c r="L1575" s="8" t="s">
        <v>1056</v>
      </c>
      <c r="M1575" s="8" t="s">
        <v>2778</v>
      </c>
      <c r="N1575" s="8" t="s">
        <v>498</v>
      </c>
      <c r="O1575" s="8">
        <v>627.04999999999995</v>
      </c>
      <c r="P1575" s="8">
        <v>696.72</v>
      </c>
      <c r="Q1575" s="8" t="s">
        <v>2704</v>
      </c>
      <c r="R1575" s="8" t="s">
        <v>1488</v>
      </c>
    </row>
    <row r="1576" spans="1:20" x14ac:dyDescent="0.2">
      <c r="A1576" s="8" t="s">
        <v>4025</v>
      </c>
      <c r="B1576" s="8" t="str">
        <f t="shared" si="48"/>
        <v>1586244459</v>
      </c>
      <c r="C1576" s="8" t="str">
        <f t="shared" si="49"/>
        <v>1611</v>
      </c>
      <c r="D1576" s="8" t="s">
        <v>119</v>
      </c>
      <c r="F1576" s="8" t="s">
        <v>136</v>
      </c>
      <c r="G1576" s="8" t="s">
        <v>498</v>
      </c>
      <c r="H1576" s="8" t="s">
        <v>499</v>
      </c>
      <c r="I1576" s="8" t="s">
        <v>1054</v>
      </c>
      <c r="J1576" s="8" t="s">
        <v>1055</v>
      </c>
      <c r="K1576" s="8" t="s">
        <v>125</v>
      </c>
      <c r="L1576" s="8" t="s">
        <v>1056</v>
      </c>
      <c r="M1576" s="8" t="s">
        <v>2778</v>
      </c>
      <c r="N1576" s="8" t="s">
        <v>498</v>
      </c>
      <c r="O1576" s="8">
        <v>627.04999999999995</v>
      </c>
      <c r="P1576" s="8">
        <v>696.72</v>
      </c>
      <c r="Q1576" s="8" t="s">
        <v>2704</v>
      </c>
      <c r="R1576" s="8" t="s">
        <v>1718</v>
      </c>
    </row>
    <row r="1577" spans="1:20" x14ac:dyDescent="0.2">
      <c r="A1577" s="8" t="s">
        <v>3784</v>
      </c>
      <c r="B1577" s="8" t="str">
        <f t="shared" si="48"/>
        <v>1586244459</v>
      </c>
      <c r="C1577" s="8" t="str">
        <f t="shared" si="49"/>
        <v>1612</v>
      </c>
      <c r="D1577" s="8" t="s">
        <v>119</v>
      </c>
      <c r="F1577" s="8" t="s">
        <v>136</v>
      </c>
      <c r="G1577" s="8" t="s">
        <v>498</v>
      </c>
      <c r="H1577" s="8" t="s">
        <v>499</v>
      </c>
      <c r="I1577" s="8" t="s">
        <v>1054</v>
      </c>
      <c r="J1577" s="8" t="s">
        <v>1055</v>
      </c>
      <c r="K1577" s="8" t="s">
        <v>125</v>
      </c>
      <c r="L1577" s="8" t="s">
        <v>1056</v>
      </c>
      <c r="M1577" s="8" t="s">
        <v>2778</v>
      </c>
      <c r="N1577" s="8" t="s">
        <v>498</v>
      </c>
      <c r="O1577" s="8">
        <v>627.04999999999995</v>
      </c>
      <c r="P1577" s="8">
        <v>696.72</v>
      </c>
      <c r="Q1577" s="8" t="s">
        <v>2704</v>
      </c>
      <c r="R1577" s="8" t="s">
        <v>2359</v>
      </c>
    </row>
    <row r="1578" spans="1:20" x14ac:dyDescent="0.2">
      <c r="A1578" s="8" t="s">
        <v>3450</v>
      </c>
      <c r="B1578" s="8" t="str">
        <f t="shared" si="48"/>
        <v>1586244459</v>
      </c>
      <c r="C1578" s="8" t="str">
        <f t="shared" si="49"/>
        <v>1613</v>
      </c>
      <c r="D1578" s="8" t="s">
        <v>119</v>
      </c>
      <c r="F1578" s="8" t="s">
        <v>136</v>
      </c>
      <c r="G1578" s="8" t="s">
        <v>498</v>
      </c>
      <c r="H1578" s="8" t="s">
        <v>499</v>
      </c>
      <c r="I1578" s="8" t="s">
        <v>1054</v>
      </c>
      <c r="J1578" s="8" t="s">
        <v>1055</v>
      </c>
      <c r="K1578" s="8" t="s">
        <v>125</v>
      </c>
      <c r="L1578" s="8" t="s">
        <v>1056</v>
      </c>
      <c r="M1578" s="8" t="s">
        <v>2778</v>
      </c>
      <c r="N1578" s="8" t="s">
        <v>498</v>
      </c>
      <c r="O1578" s="8">
        <v>627.04999999999995</v>
      </c>
      <c r="P1578" s="8">
        <v>696.72</v>
      </c>
      <c r="Q1578" s="8" t="s">
        <v>2704</v>
      </c>
      <c r="R1578" s="8" t="s">
        <v>1057</v>
      </c>
    </row>
    <row r="1579" spans="1:20" x14ac:dyDescent="0.2">
      <c r="A1579" s="8" t="s">
        <v>3079</v>
      </c>
      <c r="B1579" s="8" t="str">
        <f t="shared" si="48"/>
        <v>1586244459</v>
      </c>
      <c r="C1579" s="8" t="str">
        <f t="shared" si="49"/>
        <v>1614</v>
      </c>
      <c r="D1579" s="8" t="s">
        <v>119</v>
      </c>
      <c r="F1579" s="8" t="s">
        <v>136</v>
      </c>
      <c r="G1579" s="8" t="s">
        <v>498</v>
      </c>
      <c r="H1579" s="8" t="s">
        <v>499</v>
      </c>
      <c r="I1579" s="8" t="s">
        <v>1054</v>
      </c>
      <c r="J1579" s="8" t="s">
        <v>1055</v>
      </c>
      <c r="K1579" s="8" t="s">
        <v>125</v>
      </c>
      <c r="L1579" s="8" t="s">
        <v>1056</v>
      </c>
      <c r="M1579" s="8" t="s">
        <v>2778</v>
      </c>
      <c r="N1579" s="8" t="s">
        <v>498</v>
      </c>
      <c r="O1579" s="8">
        <v>627.04999999999995</v>
      </c>
      <c r="P1579" s="8">
        <v>696.72</v>
      </c>
      <c r="Q1579" s="8" t="s">
        <v>2704</v>
      </c>
      <c r="R1579" s="8" t="s">
        <v>2114</v>
      </c>
    </row>
    <row r="1580" spans="1:20" x14ac:dyDescent="0.2">
      <c r="A1580" s="8" t="s">
        <v>4676</v>
      </c>
      <c r="B1580" s="8" t="str">
        <f t="shared" si="48"/>
        <v>1586244459</v>
      </c>
      <c r="C1580" s="8" t="str">
        <f t="shared" si="49"/>
        <v>1615</v>
      </c>
      <c r="D1580" s="8" t="s">
        <v>119</v>
      </c>
      <c r="F1580" s="8" t="s">
        <v>136</v>
      </c>
      <c r="G1580" s="8" t="s">
        <v>498</v>
      </c>
      <c r="H1580" s="8" t="s">
        <v>499</v>
      </c>
      <c r="I1580" s="8" t="s">
        <v>1054</v>
      </c>
      <c r="J1580" s="8" t="s">
        <v>1055</v>
      </c>
      <c r="K1580" s="8" t="s">
        <v>125</v>
      </c>
      <c r="L1580" s="8" t="s">
        <v>1056</v>
      </c>
      <c r="M1580" s="8" t="s">
        <v>2778</v>
      </c>
      <c r="N1580" s="8" t="s">
        <v>498</v>
      </c>
      <c r="O1580" s="8">
        <v>627.04999999999995</v>
      </c>
      <c r="P1580" s="8">
        <v>696.72</v>
      </c>
      <c r="Q1580" s="8" t="s">
        <v>2704</v>
      </c>
      <c r="S1580" s="8" t="s">
        <v>142</v>
      </c>
      <c r="T1580" s="8">
        <v>69.34</v>
      </c>
    </row>
    <row r="1581" spans="1:20" x14ac:dyDescent="0.2">
      <c r="A1581" s="8" t="s">
        <v>4529</v>
      </c>
      <c r="B1581" s="8" t="str">
        <f t="shared" si="48"/>
        <v>1586244459</v>
      </c>
      <c r="C1581" s="8" t="str">
        <f t="shared" si="49"/>
        <v>1616</v>
      </c>
      <c r="D1581" s="8" t="s">
        <v>119</v>
      </c>
      <c r="F1581" s="8" t="s">
        <v>136</v>
      </c>
      <c r="G1581" s="8" t="s">
        <v>498</v>
      </c>
      <c r="H1581" s="8" t="s">
        <v>499</v>
      </c>
      <c r="I1581" s="8" t="s">
        <v>1054</v>
      </c>
      <c r="J1581" s="8" t="s">
        <v>1055</v>
      </c>
      <c r="K1581" s="8" t="s">
        <v>125</v>
      </c>
      <c r="L1581" s="8" t="s">
        <v>1056</v>
      </c>
      <c r="M1581" s="8" t="s">
        <v>2778</v>
      </c>
      <c r="N1581" s="8" t="s">
        <v>498</v>
      </c>
      <c r="O1581" s="8">
        <v>627.04999999999995</v>
      </c>
      <c r="P1581" s="8">
        <v>696.72</v>
      </c>
      <c r="Q1581" s="8" t="s">
        <v>2704</v>
      </c>
      <c r="S1581" s="8" t="s">
        <v>513</v>
      </c>
      <c r="T1581" s="8">
        <v>46.48</v>
      </c>
    </row>
    <row r="1582" spans="1:20" x14ac:dyDescent="0.2">
      <c r="A1582" s="8" t="s">
        <v>4739</v>
      </c>
      <c r="B1582" s="8" t="str">
        <f t="shared" si="48"/>
        <v>1586244461</v>
      </c>
      <c r="C1582" s="8" t="str">
        <f t="shared" si="49"/>
        <v>1617</v>
      </c>
      <c r="D1582" s="8" t="s">
        <v>119</v>
      </c>
      <c r="F1582" s="8" t="s">
        <v>136</v>
      </c>
      <c r="G1582" s="8" t="s">
        <v>498</v>
      </c>
      <c r="H1582" s="8" t="s">
        <v>499</v>
      </c>
      <c r="I1582" s="8" t="s">
        <v>71</v>
      </c>
      <c r="J1582" s="8" t="s">
        <v>523</v>
      </c>
      <c r="K1582" s="8" t="s">
        <v>60</v>
      </c>
      <c r="L1582" s="8" t="s">
        <v>524</v>
      </c>
      <c r="M1582" s="8" t="s">
        <v>2778</v>
      </c>
      <c r="N1582" s="8" t="s">
        <v>498</v>
      </c>
      <c r="O1582" s="8">
        <v>729.59</v>
      </c>
      <c r="P1582" s="8">
        <v>810.66</v>
      </c>
      <c r="Q1582" s="8" t="s">
        <v>2705</v>
      </c>
      <c r="R1582" s="8" t="s">
        <v>1634</v>
      </c>
    </row>
    <row r="1583" spans="1:20" x14ac:dyDescent="0.2">
      <c r="A1583" s="8" t="s">
        <v>3265</v>
      </c>
      <c r="B1583" s="8" t="str">
        <f t="shared" si="48"/>
        <v>1586244461</v>
      </c>
      <c r="C1583" s="8" t="str">
        <f t="shared" si="49"/>
        <v>1618</v>
      </c>
      <c r="D1583" s="8" t="s">
        <v>119</v>
      </c>
      <c r="F1583" s="8" t="s">
        <v>136</v>
      </c>
      <c r="G1583" s="8" t="s">
        <v>498</v>
      </c>
      <c r="H1583" s="8" t="s">
        <v>499</v>
      </c>
      <c r="I1583" s="8" t="s">
        <v>71</v>
      </c>
      <c r="J1583" s="8" t="s">
        <v>523</v>
      </c>
      <c r="K1583" s="8" t="s">
        <v>60</v>
      </c>
      <c r="L1583" s="8" t="s">
        <v>524</v>
      </c>
      <c r="M1583" s="8" t="s">
        <v>2778</v>
      </c>
      <c r="N1583" s="8" t="s">
        <v>498</v>
      </c>
      <c r="O1583" s="8">
        <v>729.59</v>
      </c>
      <c r="P1583" s="8">
        <v>810.66</v>
      </c>
      <c r="Q1583" s="8" t="s">
        <v>2705</v>
      </c>
      <c r="R1583" s="8" t="s">
        <v>2247</v>
      </c>
    </row>
    <row r="1584" spans="1:20" x14ac:dyDescent="0.2">
      <c r="A1584" s="8" t="s">
        <v>3107</v>
      </c>
      <c r="B1584" s="8" t="str">
        <f t="shared" si="48"/>
        <v>1586244461</v>
      </c>
      <c r="C1584" s="8" t="str">
        <f t="shared" si="49"/>
        <v>1619</v>
      </c>
      <c r="D1584" s="8" t="s">
        <v>119</v>
      </c>
      <c r="F1584" s="8" t="s">
        <v>136</v>
      </c>
      <c r="G1584" s="8" t="s">
        <v>498</v>
      </c>
      <c r="H1584" s="8" t="s">
        <v>499</v>
      </c>
      <c r="I1584" s="8" t="s">
        <v>71</v>
      </c>
      <c r="J1584" s="8" t="s">
        <v>523</v>
      </c>
      <c r="K1584" s="8" t="s">
        <v>60</v>
      </c>
      <c r="L1584" s="8" t="s">
        <v>524</v>
      </c>
      <c r="M1584" s="8" t="s">
        <v>2778</v>
      </c>
      <c r="N1584" s="8" t="s">
        <v>498</v>
      </c>
      <c r="O1584" s="8">
        <v>729.59</v>
      </c>
      <c r="P1584" s="8">
        <v>810.66</v>
      </c>
      <c r="Q1584" s="8" t="s">
        <v>2705</v>
      </c>
      <c r="S1584" s="8" t="s">
        <v>525</v>
      </c>
      <c r="T1584" s="8">
        <v>33.200000000000003</v>
      </c>
    </row>
    <row r="1585" spans="1:20" x14ac:dyDescent="0.2">
      <c r="A1585" s="8" t="s">
        <v>4507</v>
      </c>
      <c r="B1585" s="8" t="str">
        <f t="shared" si="48"/>
        <v>1586244461</v>
      </c>
      <c r="C1585" s="8" t="str">
        <f t="shared" si="49"/>
        <v>1620</v>
      </c>
      <c r="D1585" s="8" t="s">
        <v>119</v>
      </c>
      <c r="F1585" s="8" t="s">
        <v>136</v>
      </c>
      <c r="G1585" s="8" t="s">
        <v>498</v>
      </c>
      <c r="H1585" s="8" t="s">
        <v>499</v>
      </c>
      <c r="I1585" s="8" t="s">
        <v>71</v>
      </c>
      <c r="J1585" s="8" t="s">
        <v>523</v>
      </c>
      <c r="K1585" s="8" t="s">
        <v>60</v>
      </c>
      <c r="L1585" s="8" t="s">
        <v>524</v>
      </c>
      <c r="M1585" s="8" t="s">
        <v>2778</v>
      </c>
      <c r="N1585" s="8" t="s">
        <v>498</v>
      </c>
      <c r="O1585" s="8">
        <v>729.59</v>
      </c>
      <c r="P1585" s="8">
        <v>810.66</v>
      </c>
      <c r="Q1585" s="8" t="s">
        <v>2705</v>
      </c>
      <c r="S1585" s="8" t="s">
        <v>1523</v>
      </c>
      <c r="T1585" s="8">
        <v>75.25</v>
      </c>
    </row>
    <row r="1586" spans="1:20" x14ac:dyDescent="0.2">
      <c r="A1586" s="8" t="s">
        <v>3641</v>
      </c>
      <c r="B1586" s="8" t="str">
        <f t="shared" si="48"/>
        <v>1586244461</v>
      </c>
      <c r="C1586" s="8" t="str">
        <f t="shared" si="49"/>
        <v>1621</v>
      </c>
      <c r="D1586" s="8" t="s">
        <v>119</v>
      </c>
      <c r="F1586" s="8" t="s">
        <v>136</v>
      </c>
      <c r="G1586" s="8" t="s">
        <v>498</v>
      </c>
      <c r="H1586" s="8" t="s">
        <v>499</v>
      </c>
      <c r="I1586" s="8" t="s">
        <v>71</v>
      </c>
      <c r="J1586" s="8" t="s">
        <v>523</v>
      </c>
      <c r="K1586" s="8" t="s">
        <v>60</v>
      </c>
      <c r="L1586" s="8" t="s">
        <v>524</v>
      </c>
      <c r="M1586" s="8" t="s">
        <v>2778</v>
      </c>
      <c r="N1586" s="8" t="s">
        <v>498</v>
      </c>
      <c r="O1586" s="8">
        <v>729.59</v>
      </c>
      <c r="P1586" s="8">
        <v>810.66</v>
      </c>
      <c r="Q1586" s="8" t="s">
        <v>2705</v>
      </c>
      <c r="S1586" s="8" t="s">
        <v>106</v>
      </c>
      <c r="T1586" s="8">
        <v>33.200000000000003</v>
      </c>
    </row>
    <row r="1587" spans="1:20" x14ac:dyDescent="0.2">
      <c r="A1587" s="8" t="s">
        <v>3355</v>
      </c>
      <c r="B1587" s="8" t="str">
        <f t="shared" si="48"/>
        <v>1586244467</v>
      </c>
      <c r="C1587" s="8" t="str">
        <f t="shared" si="49"/>
        <v>1622</v>
      </c>
      <c r="D1587" s="8" t="s">
        <v>119</v>
      </c>
      <c r="F1587" s="8" t="s">
        <v>136</v>
      </c>
      <c r="G1587" s="8" t="s">
        <v>1520</v>
      </c>
      <c r="H1587" s="8" t="s">
        <v>1521</v>
      </c>
      <c r="I1587" s="8" t="s">
        <v>500</v>
      </c>
      <c r="J1587" s="8" t="s">
        <v>1601</v>
      </c>
      <c r="K1587" s="8" t="s">
        <v>190</v>
      </c>
      <c r="L1587" s="8" t="s">
        <v>502</v>
      </c>
      <c r="M1587" s="8" t="s">
        <v>2778</v>
      </c>
      <c r="N1587" s="8" t="s">
        <v>1520</v>
      </c>
      <c r="O1587" s="8">
        <v>919.92</v>
      </c>
      <c r="P1587" s="8">
        <v>1022.13</v>
      </c>
      <c r="Q1587" s="8" t="s">
        <v>2703</v>
      </c>
      <c r="R1587" s="8" t="s">
        <v>1590</v>
      </c>
    </row>
    <row r="1588" spans="1:20" x14ac:dyDescent="0.2">
      <c r="A1588" s="8" t="s">
        <v>4116</v>
      </c>
      <c r="B1588" s="8" t="str">
        <f t="shared" si="48"/>
        <v>1586244467</v>
      </c>
      <c r="C1588" s="8" t="str">
        <f t="shared" si="49"/>
        <v>1623</v>
      </c>
      <c r="D1588" s="8" t="s">
        <v>119</v>
      </c>
      <c r="F1588" s="8" t="s">
        <v>136</v>
      </c>
      <c r="G1588" s="8" t="s">
        <v>1520</v>
      </c>
      <c r="H1588" s="8" t="s">
        <v>1521</v>
      </c>
      <c r="I1588" s="8" t="s">
        <v>500</v>
      </c>
      <c r="J1588" s="8" t="s">
        <v>1601</v>
      </c>
      <c r="K1588" s="8" t="s">
        <v>190</v>
      </c>
      <c r="L1588" s="8" t="s">
        <v>502</v>
      </c>
      <c r="M1588" s="8" t="s">
        <v>2778</v>
      </c>
      <c r="N1588" s="8" t="s">
        <v>1520</v>
      </c>
      <c r="O1588" s="8">
        <v>919.92</v>
      </c>
      <c r="P1588" s="8">
        <v>1022.13</v>
      </c>
      <c r="Q1588" s="8" t="s">
        <v>2703</v>
      </c>
      <c r="R1588" s="8" t="s">
        <v>2325</v>
      </c>
    </row>
    <row r="1589" spans="1:20" x14ac:dyDescent="0.2">
      <c r="A1589" s="8" t="s">
        <v>3198</v>
      </c>
      <c r="B1589" s="8" t="str">
        <f t="shared" si="48"/>
        <v>1586244467</v>
      </c>
      <c r="C1589" s="8" t="str">
        <f t="shared" si="49"/>
        <v>1624</v>
      </c>
      <c r="D1589" s="8" t="s">
        <v>119</v>
      </c>
      <c r="F1589" s="8" t="s">
        <v>136</v>
      </c>
      <c r="G1589" s="8" t="s">
        <v>1520</v>
      </c>
      <c r="H1589" s="8" t="s">
        <v>1521</v>
      </c>
      <c r="I1589" s="8" t="s">
        <v>500</v>
      </c>
      <c r="J1589" s="8" t="s">
        <v>1601</v>
      </c>
      <c r="K1589" s="8" t="s">
        <v>190</v>
      </c>
      <c r="L1589" s="8" t="s">
        <v>502</v>
      </c>
      <c r="M1589" s="8" t="s">
        <v>2778</v>
      </c>
      <c r="N1589" s="8" t="s">
        <v>1520</v>
      </c>
      <c r="O1589" s="8">
        <v>919.92</v>
      </c>
      <c r="P1589" s="8">
        <v>1022.13</v>
      </c>
      <c r="Q1589" s="8" t="s">
        <v>2703</v>
      </c>
      <c r="R1589" s="8" t="s">
        <v>2107</v>
      </c>
    </row>
    <row r="1590" spans="1:20" x14ac:dyDescent="0.2">
      <c r="A1590" s="8" t="s">
        <v>2862</v>
      </c>
      <c r="B1590" s="8" t="str">
        <f t="shared" si="48"/>
        <v>1586244467</v>
      </c>
      <c r="C1590" s="8" t="str">
        <f t="shared" si="49"/>
        <v>1625</v>
      </c>
      <c r="D1590" s="8" t="s">
        <v>119</v>
      </c>
      <c r="F1590" s="8" t="s">
        <v>136</v>
      </c>
      <c r="G1590" s="8" t="s">
        <v>1520</v>
      </c>
      <c r="H1590" s="8" t="s">
        <v>1521</v>
      </c>
      <c r="I1590" s="8" t="s">
        <v>500</v>
      </c>
      <c r="J1590" s="8" t="s">
        <v>1601</v>
      </c>
      <c r="K1590" s="8" t="s">
        <v>190</v>
      </c>
      <c r="L1590" s="8" t="s">
        <v>502</v>
      </c>
      <c r="M1590" s="8" t="s">
        <v>2778</v>
      </c>
      <c r="N1590" s="8" t="s">
        <v>1520</v>
      </c>
      <c r="O1590" s="8">
        <v>919.92</v>
      </c>
      <c r="P1590" s="8">
        <v>1022.13</v>
      </c>
      <c r="Q1590" s="8" t="s">
        <v>2703</v>
      </c>
      <c r="R1590" s="8" t="s">
        <v>956</v>
      </c>
    </row>
    <row r="1591" spans="1:20" x14ac:dyDescent="0.2">
      <c r="A1591" s="8" t="s">
        <v>3503</v>
      </c>
      <c r="B1591" s="8" t="str">
        <f t="shared" si="48"/>
        <v>1586244467</v>
      </c>
      <c r="C1591" s="8" t="str">
        <f t="shared" si="49"/>
        <v>1626</v>
      </c>
      <c r="D1591" s="8" t="s">
        <v>119</v>
      </c>
      <c r="F1591" s="8" t="s">
        <v>136</v>
      </c>
      <c r="G1591" s="8" t="s">
        <v>1520</v>
      </c>
      <c r="H1591" s="8" t="s">
        <v>1521</v>
      </c>
      <c r="I1591" s="8" t="s">
        <v>500</v>
      </c>
      <c r="J1591" s="8" t="s">
        <v>1601</v>
      </c>
      <c r="K1591" s="8" t="s">
        <v>190</v>
      </c>
      <c r="L1591" s="8" t="s">
        <v>502</v>
      </c>
      <c r="M1591" s="8" t="s">
        <v>2778</v>
      </c>
      <c r="N1591" s="8" t="s">
        <v>1520</v>
      </c>
      <c r="O1591" s="8">
        <v>919.92</v>
      </c>
      <c r="P1591" s="8">
        <v>1022.13</v>
      </c>
      <c r="Q1591" s="8" t="s">
        <v>2703</v>
      </c>
      <c r="S1591" s="8" t="s">
        <v>1202</v>
      </c>
      <c r="T1591" s="8">
        <v>195.49</v>
      </c>
    </row>
    <row r="1592" spans="1:20" x14ac:dyDescent="0.2">
      <c r="A1592" s="8" t="s">
        <v>2944</v>
      </c>
      <c r="B1592" s="8" t="str">
        <f t="shared" si="48"/>
        <v>1586244467</v>
      </c>
      <c r="C1592" s="8" t="str">
        <f t="shared" si="49"/>
        <v>1627</v>
      </c>
      <c r="D1592" s="8" t="s">
        <v>119</v>
      </c>
      <c r="F1592" s="8" t="s">
        <v>136</v>
      </c>
      <c r="G1592" s="8" t="s">
        <v>1520</v>
      </c>
      <c r="H1592" s="8" t="s">
        <v>1521</v>
      </c>
      <c r="I1592" s="8" t="s">
        <v>500</v>
      </c>
      <c r="J1592" s="8" t="s">
        <v>1601</v>
      </c>
      <c r="K1592" s="8" t="s">
        <v>190</v>
      </c>
      <c r="L1592" s="8" t="s">
        <v>502</v>
      </c>
      <c r="M1592" s="8" t="s">
        <v>2778</v>
      </c>
      <c r="N1592" s="8" t="s">
        <v>1520</v>
      </c>
      <c r="O1592" s="8">
        <v>919.92</v>
      </c>
      <c r="P1592" s="8">
        <v>1022.13</v>
      </c>
      <c r="Q1592" s="8" t="s">
        <v>2703</v>
      </c>
      <c r="S1592" s="8" t="s">
        <v>232</v>
      </c>
      <c r="T1592" s="8">
        <v>370.33</v>
      </c>
    </row>
    <row r="1593" spans="1:20" x14ac:dyDescent="0.2">
      <c r="A1593" s="8" t="s">
        <v>3952</v>
      </c>
      <c r="B1593" s="8" t="str">
        <f t="shared" si="48"/>
        <v>1586244467</v>
      </c>
      <c r="C1593" s="8" t="str">
        <f t="shared" si="49"/>
        <v>1628</v>
      </c>
      <c r="D1593" s="8" t="s">
        <v>119</v>
      </c>
      <c r="F1593" s="8" t="s">
        <v>136</v>
      </c>
      <c r="G1593" s="8" t="s">
        <v>1520</v>
      </c>
      <c r="H1593" s="8" t="s">
        <v>1521</v>
      </c>
      <c r="I1593" s="8" t="s">
        <v>500</v>
      </c>
      <c r="J1593" s="8" t="s">
        <v>1601</v>
      </c>
      <c r="K1593" s="8" t="s">
        <v>190</v>
      </c>
      <c r="L1593" s="8" t="s">
        <v>502</v>
      </c>
      <c r="M1593" s="8" t="s">
        <v>2778</v>
      </c>
      <c r="N1593" s="8" t="s">
        <v>1520</v>
      </c>
      <c r="O1593" s="8">
        <v>919.92</v>
      </c>
      <c r="P1593" s="8">
        <v>1022.13</v>
      </c>
      <c r="Q1593" s="8" t="s">
        <v>2703</v>
      </c>
      <c r="S1593" s="8" t="s">
        <v>503</v>
      </c>
      <c r="T1593" s="8">
        <v>567.29999999999995</v>
      </c>
    </row>
    <row r="1594" spans="1:20" x14ac:dyDescent="0.2">
      <c r="A1594" s="8" t="s">
        <v>4003</v>
      </c>
      <c r="B1594" s="8" t="str">
        <f t="shared" si="48"/>
        <v>1586244467</v>
      </c>
      <c r="C1594" s="8" t="str">
        <f t="shared" si="49"/>
        <v>1629</v>
      </c>
      <c r="D1594" s="8" t="s">
        <v>119</v>
      </c>
      <c r="F1594" s="8" t="s">
        <v>136</v>
      </c>
      <c r="G1594" s="8" t="s">
        <v>1520</v>
      </c>
      <c r="H1594" s="8" t="s">
        <v>1521</v>
      </c>
      <c r="I1594" s="8" t="s">
        <v>500</v>
      </c>
      <c r="J1594" s="8" t="s">
        <v>1601</v>
      </c>
      <c r="K1594" s="8" t="s">
        <v>190</v>
      </c>
      <c r="L1594" s="8" t="s">
        <v>502</v>
      </c>
      <c r="M1594" s="8" t="s">
        <v>2778</v>
      </c>
      <c r="N1594" s="8" t="s">
        <v>1520</v>
      </c>
      <c r="O1594" s="8">
        <v>919.92</v>
      </c>
      <c r="P1594" s="8">
        <v>1022.13</v>
      </c>
      <c r="Q1594" s="8" t="s">
        <v>2703</v>
      </c>
      <c r="S1594" s="8" t="s">
        <v>525</v>
      </c>
      <c r="T1594" s="8">
        <v>195.49</v>
      </c>
    </row>
    <row r="1595" spans="1:20" x14ac:dyDescent="0.2">
      <c r="A1595" s="8" t="s">
        <v>3023</v>
      </c>
      <c r="B1595" s="8" t="str">
        <f t="shared" si="48"/>
        <v>1586244467</v>
      </c>
      <c r="C1595" s="8" t="str">
        <f t="shared" si="49"/>
        <v>1630</v>
      </c>
      <c r="D1595" s="8" t="s">
        <v>119</v>
      </c>
      <c r="F1595" s="8" t="s">
        <v>136</v>
      </c>
      <c r="G1595" s="8" t="s">
        <v>1520</v>
      </c>
      <c r="H1595" s="8" t="s">
        <v>1521</v>
      </c>
      <c r="I1595" s="8" t="s">
        <v>500</v>
      </c>
      <c r="J1595" s="8" t="s">
        <v>1601</v>
      </c>
      <c r="K1595" s="8" t="s">
        <v>190</v>
      </c>
      <c r="L1595" s="8" t="s">
        <v>502</v>
      </c>
      <c r="M1595" s="8" t="s">
        <v>2778</v>
      </c>
      <c r="N1595" s="8" t="s">
        <v>1520</v>
      </c>
      <c r="O1595" s="8">
        <v>919.92</v>
      </c>
      <c r="P1595" s="8">
        <v>1022.13</v>
      </c>
      <c r="Q1595" s="8" t="s">
        <v>2703</v>
      </c>
      <c r="S1595" s="8" t="s">
        <v>969</v>
      </c>
      <c r="T1595" s="8">
        <v>391.72</v>
      </c>
    </row>
    <row r="1596" spans="1:20" x14ac:dyDescent="0.2">
      <c r="A1596" s="8" t="s">
        <v>3832</v>
      </c>
      <c r="B1596" s="8" t="str">
        <f t="shared" si="48"/>
        <v>1586244469</v>
      </c>
      <c r="C1596" s="8" t="str">
        <f t="shared" si="49"/>
        <v>1631</v>
      </c>
      <c r="D1596" s="8" t="s">
        <v>119</v>
      </c>
      <c r="F1596" s="8" t="s">
        <v>136</v>
      </c>
      <c r="G1596" s="8" t="s">
        <v>1520</v>
      </c>
      <c r="H1596" s="8" t="s">
        <v>1521</v>
      </c>
      <c r="I1596" s="8" t="s">
        <v>71</v>
      </c>
      <c r="J1596" s="8" t="s">
        <v>1522</v>
      </c>
      <c r="K1596" s="8" t="s">
        <v>60</v>
      </c>
      <c r="L1596" s="8" t="s">
        <v>524</v>
      </c>
      <c r="M1596" s="8" t="s">
        <v>2778</v>
      </c>
      <c r="N1596" s="8" t="s">
        <v>1520</v>
      </c>
      <c r="O1596" s="8">
        <v>729.59</v>
      </c>
      <c r="P1596" s="8">
        <v>810.66</v>
      </c>
      <c r="Q1596" s="8" t="s">
        <v>2705</v>
      </c>
      <c r="R1596" s="8" t="s">
        <v>1634</v>
      </c>
    </row>
    <row r="1597" spans="1:20" x14ac:dyDescent="0.2">
      <c r="A1597" s="8" t="s">
        <v>4631</v>
      </c>
      <c r="B1597" s="8" t="str">
        <f t="shared" si="48"/>
        <v>1586244469</v>
      </c>
      <c r="C1597" s="8" t="str">
        <f t="shared" si="49"/>
        <v>1632</v>
      </c>
      <c r="D1597" s="8" t="s">
        <v>119</v>
      </c>
      <c r="F1597" s="8" t="s">
        <v>136</v>
      </c>
      <c r="G1597" s="8" t="s">
        <v>1520</v>
      </c>
      <c r="H1597" s="8" t="s">
        <v>1521</v>
      </c>
      <c r="I1597" s="8" t="s">
        <v>71</v>
      </c>
      <c r="J1597" s="8" t="s">
        <v>1522</v>
      </c>
      <c r="K1597" s="8" t="s">
        <v>60</v>
      </c>
      <c r="L1597" s="8" t="s">
        <v>524</v>
      </c>
      <c r="M1597" s="8" t="s">
        <v>2778</v>
      </c>
      <c r="N1597" s="8" t="s">
        <v>1520</v>
      </c>
      <c r="O1597" s="8">
        <v>729.59</v>
      </c>
      <c r="P1597" s="8">
        <v>810.66</v>
      </c>
      <c r="Q1597" s="8" t="s">
        <v>2705</v>
      </c>
      <c r="R1597" s="8" t="s">
        <v>2247</v>
      </c>
    </row>
    <row r="1598" spans="1:20" x14ac:dyDescent="0.2">
      <c r="A1598" s="8" t="s">
        <v>4763</v>
      </c>
      <c r="B1598" s="8" t="str">
        <f t="shared" si="48"/>
        <v>1586244469</v>
      </c>
      <c r="C1598" s="8" t="str">
        <f t="shared" si="49"/>
        <v>1633</v>
      </c>
      <c r="D1598" s="8" t="s">
        <v>119</v>
      </c>
      <c r="F1598" s="8" t="s">
        <v>136</v>
      </c>
      <c r="G1598" s="8" t="s">
        <v>1520</v>
      </c>
      <c r="H1598" s="8" t="s">
        <v>1521</v>
      </c>
      <c r="I1598" s="8" t="s">
        <v>71</v>
      </c>
      <c r="J1598" s="8" t="s">
        <v>1522</v>
      </c>
      <c r="K1598" s="8" t="s">
        <v>60</v>
      </c>
      <c r="L1598" s="8" t="s">
        <v>524</v>
      </c>
      <c r="M1598" s="8" t="s">
        <v>2778</v>
      </c>
      <c r="N1598" s="8" t="s">
        <v>1520</v>
      </c>
      <c r="O1598" s="8">
        <v>729.59</v>
      </c>
      <c r="P1598" s="8">
        <v>810.66</v>
      </c>
      <c r="Q1598" s="8" t="s">
        <v>2705</v>
      </c>
      <c r="S1598" s="8" t="s">
        <v>525</v>
      </c>
      <c r="T1598" s="8">
        <v>33.200000000000003</v>
      </c>
    </row>
    <row r="1599" spans="1:20" x14ac:dyDescent="0.2">
      <c r="A1599" s="8" t="s">
        <v>3964</v>
      </c>
      <c r="B1599" s="8" t="str">
        <f t="shared" si="48"/>
        <v>1586244469</v>
      </c>
      <c r="C1599" s="8" t="str">
        <f t="shared" si="49"/>
        <v>1634</v>
      </c>
      <c r="D1599" s="8" t="s">
        <v>119</v>
      </c>
      <c r="F1599" s="8" t="s">
        <v>136</v>
      </c>
      <c r="G1599" s="8" t="s">
        <v>1520</v>
      </c>
      <c r="H1599" s="8" t="s">
        <v>1521</v>
      </c>
      <c r="I1599" s="8" t="s">
        <v>71</v>
      </c>
      <c r="J1599" s="8" t="s">
        <v>1522</v>
      </c>
      <c r="K1599" s="8" t="s">
        <v>60</v>
      </c>
      <c r="L1599" s="8" t="s">
        <v>524</v>
      </c>
      <c r="M1599" s="8" t="s">
        <v>2778</v>
      </c>
      <c r="N1599" s="8" t="s">
        <v>1520</v>
      </c>
      <c r="O1599" s="8">
        <v>729.59</v>
      </c>
      <c r="P1599" s="8">
        <v>810.66</v>
      </c>
      <c r="Q1599" s="8" t="s">
        <v>2705</v>
      </c>
      <c r="S1599" s="8" t="s">
        <v>1523</v>
      </c>
      <c r="T1599" s="8">
        <v>75.25</v>
      </c>
    </row>
    <row r="1600" spans="1:20" x14ac:dyDescent="0.2">
      <c r="A1600" s="8" t="s">
        <v>3711</v>
      </c>
      <c r="B1600" s="8" t="str">
        <f t="shared" si="48"/>
        <v>1586244469</v>
      </c>
      <c r="C1600" s="8" t="str">
        <f t="shared" si="49"/>
        <v>1635</v>
      </c>
      <c r="D1600" s="8" t="s">
        <v>119</v>
      </c>
      <c r="F1600" s="8" t="s">
        <v>136</v>
      </c>
      <c r="G1600" s="8" t="s">
        <v>1520</v>
      </c>
      <c r="H1600" s="8" t="s">
        <v>1521</v>
      </c>
      <c r="I1600" s="8" t="s">
        <v>71</v>
      </c>
      <c r="J1600" s="8" t="s">
        <v>1522</v>
      </c>
      <c r="K1600" s="8" t="s">
        <v>60</v>
      </c>
      <c r="L1600" s="8" t="s">
        <v>524</v>
      </c>
      <c r="M1600" s="8" t="s">
        <v>2778</v>
      </c>
      <c r="N1600" s="8" t="s">
        <v>1520</v>
      </c>
      <c r="O1600" s="8">
        <v>729.59</v>
      </c>
      <c r="P1600" s="8">
        <v>810.66</v>
      </c>
      <c r="Q1600" s="8" t="s">
        <v>2705</v>
      </c>
      <c r="S1600" s="8" t="s">
        <v>106</v>
      </c>
      <c r="T1600" s="8">
        <v>33.200000000000003</v>
      </c>
    </row>
    <row r="1601" spans="1:20" x14ac:dyDescent="0.2">
      <c r="A1601" s="8" t="s">
        <v>3944</v>
      </c>
      <c r="B1601" s="8" t="str">
        <f t="shared" si="48"/>
        <v>1586244473</v>
      </c>
      <c r="C1601" s="8" t="str">
        <f t="shared" si="49"/>
        <v>1636</v>
      </c>
      <c r="D1601" s="8" t="s">
        <v>119</v>
      </c>
      <c r="F1601" s="8" t="s">
        <v>136</v>
      </c>
      <c r="G1601" s="8" t="s">
        <v>514</v>
      </c>
      <c r="H1601" s="8" t="s">
        <v>515</v>
      </c>
      <c r="I1601" s="8" t="s">
        <v>441</v>
      </c>
      <c r="J1601" s="8" t="s">
        <v>516</v>
      </c>
      <c r="K1601" s="8" t="s">
        <v>60</v>
      </c>
      <c r="L1601" s="8" t="s">
        <v>517</v>
      </c>
      <c r="M1601" s="8" t="s">
        <v>2778</v>
      </c>
      <c r="N1601" s="8" t="s">
        <v>514</v>
      </c>
      <c r="O1601" s="8">
        <v>893.36</v>
      </c>
      <c r="P1601" s="8">
        <v>992.62</v>
      </c>
      <c r="Q1601" s="8" t="s">
        <v>2706</v>
      </c>
      <c r="R1601" s="8" t="s">
        <v>1645</v>
      </c>
    </row>
    <row r="1602" spans="1:20" x14ac:dyDescent="0.2">
      <c r="A1602" s="8" t="s">
        <v>3351</v>
      </c>
      <c r="B1602" s="8" t="str">
        <f t="shared" ref="B1602:B1665" si="50">LEFT(A1602, FIND("-", A1602) - 1)</f>
        <v>1586244473</v>
      </c>
      <c r="C1602" s="8" t="str">
        <f t="shared" ref="C1602:C1665" si="51">RIGHT(A1602, LEN(A1602) - FIND("-", A1602))</f>
        <v>1637</v>
      </c>
      <c r="D1602" s="8" t="s">
        <v>119</v>
      </c>
      <c r="F1602" s="8" t="s">
        <v>136</v>
      </c>
      <c r="G1602" s="8" t="s">
        <v>514</v>
      </c>
      <c r="H1602" s="8" t="s">
        <v>515</v>
      </c>
      <c r="I1602" s="8" t="s">
        <v>441</v>
      </c>
      <c r="J1602" s="8" t="s">
        <v>516</v>
      </c>
      <c r="K1602" s="8" t="s">
        <v>60</v>
      </c>
      <c r="L1602" s="8" t="s">
        <v>517</v>
      </c>
      <c r="M1602" s="8" t="s">
        <v>2778</v>
      </c>
      <c r="N1602" s="8" t="s">
        <v>514</v>
      </c>
      <c r="O1602" s="8">
        <v>893.36</v>
      </c>
      <c r="P1602" s="8">
        <v>992.62</v>
      </c>
      <c r="Q1602" s="8" t="s">
        <v>2706</v>
      </c>
      <c r="R1602" s="8" t="s">
        <v>661</v>
      </c>
    </row>
    <row r="1603" spans="1:20" x14ac:dyDescent="0.2">
      <c r="A1603" s="8" t="s">
        <v>3453</v>
      </c>
      <c r="B1603" s="8" t="str">
        <f t="shared" si="50"/>
        <v>1586244473</v>
      </c>
      <c r="C1603" s="8" t="str">
        <f t="shared" si="51"/>
        <v>1638</v>
      </c>
      <c r="D1603" s="8" t="s">
        <v>119</v>
      </c>
      <c r="F1603" s="8" t="s">
        <v>136</v>
      </c>
      <c r="G1603" s="8" t="s">
        <v>514</v>
      </c>
      <c r="H1603" s="8" t="s">
        <v>515</v>
      </c>
      <c r="I1603" s="8" t="s">
        <v>441</v>
      </c>
      <c r="J1603" s="8" t="s">
        <v>516</v>
      </c>
      <c r="K1603" s="8" t="s">
        <v>60</v>
      </c>
      <c r="L1603" s="8" t="s">
        <v>517</v>
      </c>
      <c r="M1603" s="8" t="s">
        <v>2778</v>
      </c>
      <c r="N1603" s="8" t="s">
        <v>514</v>
      </c>
      <c r="O1603" s="8">
        <v>893.36</v>
      </c>
      <c r="P1603" s="8">
        <v>992.62</v>
      </c>
      <c r="Q1603" s="8" t="s">
        <v>2706</v>
      </c>
      <c r="R1603" s="8" t="s">
        <v>1689</v>
      </c>
    </row>
    <row r="1604" spans="1:20" x14ac:dyDescent="0.2">
      <c r="A1604" s="8" t="s">
        <v>4073</v>
      </c>
      <c r="B1604" s="8" t="str">
        <f t="shared" si="50"/>
        <v>1586244473</v>
      </c>
      <c r="C1604" s="8" t="str">
        <f t="shared" si="51"/>
        <v>1639</v>
      </c>
      <c r="D1604" s="8" t="s">
        <v>119</v>
      </c>
      <c r="F1604" s="8" t="s">
        <v>136</v>
      </c>
      <c r="G1604" s="8" t="s">
        <v>514</v>
      </c>
      <c r="H1604" s="8" t="s">
        <v>515</v>
      </c>
      <c r="I1604" s="8" t="s">
        <v>441</v>
      </c>
      <c r="J1604" s="8" t="s">
        <v>516</v>
      </c>
      <c r="K1604" s="8" t="s">
        <v>60</v>
      </c>
      <c r="L1604" s="8" t="s">
        <v>517</v>
      </c>
      <c r="M1604" s="8" t="s">
        <v>2778</v>
      </c>
      <c r="N1604" s="8" t="s">
        <v>514</v>
      </c>
      <c r="O1604" s="8">
        <v>893.36</v>
      </c>
      <c r="P1604" s="8">
        <v>992.62</v>
      </c>
      <c r="Q1604" s="8" t="s">
        <v>2706</v>
      </c>
      <c r="S1604" s="8" t="s">
        <v>184</v>
      </c>
      <c r="T1604" s="8">
        <v>154.18</v>
      </c>
    </row>
    <row r="1605" spans="1:20" x14ac:dyDescent="0.2">
      <c r="A1605" s="8" t="s">
        <v>2839</v>
      </c>
      <c r="B1605" s="8" t="str">
        <f t="shared" si="50"/>
        <v>1586244473</v>
      </c>
      <c r="C1605" s="8" t="str">
        <f t="shared" si="51"/>
        <v>1640</v>
      </c>
      <c r="D1605" s="8" t="s">
        <v>119</v>
      </c>
      <c r="F1605" s="8" t="s">
        <v>136</v>
      </c>
      <c r="G1605" s="8" t="s">
        <v>514</v>
      </c>
      <c r="H1605" s="8" t="s">
        <v>515</v>
      </c>
      <c r="I1605" s="8" t="s">
        <v>441</v>
      </c>
      <c r="J1605" s="8" t="s">
        <v>516</v>
      </c>
      <c r="K1605" s="8" t="s">
        <v>60</v>
      </c>
      <c r="L1605" s="8" t="s">
        <v>517</v>
      </c>
      <c r="M1605" s="8" t="s">
        <v>2778</v>
      </c>
      <c r="N1605" s="8" t="s">
        <v>514</v>
      </c>
      <c r="O1605" s="8">
        <v>893.36</v>
      </c>
      <c r="P1605" s="8">
        <v>992.62</v>
      </c>
      <c r="Q1605" s="8" t="s">
        <v>2706</v>
      </c>
      <c r="S1605" s="8" t="s">
        <v>542</v>
      </c>
      <c r="T1605" s="8">
        <v>389.51</v>
      </c>
    </row>
    <row r="1606" spans="1:20" x14ac:dyDescent="0.2">
      <c r="A1606" s="8" t="s">
        <v>3281</v>
      </c>
      <c r="B1606" s="8" t="str">
        <f t="shared" si="50"/>
        <v>1586244477</v>
      </c>
      <c r="C1606" s="8" t="str">
        <f t="shared" si="51"/>
        <v>1641</v>
      </c>
      <c r="D1606" s="8" t="s">
        <v>119</v>
      </c>
      <c r="F1606" s="8" t="s">
        <v>136</v>
      </c>
      <c r="G1606" s="8" t="s">
        <v>137</v>
      </c>
      <c r="H1606" s="8" t="s">
        <v>138</v>
      </c>
      <c r="I1606" s="8" t="s">
        <v>139</v>
      </c>
      <c r="J1606" s="8" t="s">
        <v>140</v>
      </c>
      <c r="K1606" s="8" t="s">
        <v>125</v>
      </c>
      <c r="L1606" s="8" t="s">
        <v>141</v>
      </c>
      <c r="M1606" s="8" t="s">
        <v>2778</v>
      </c>
      <c r="N1606" s="8" t="s">
        <v>137</v>
      </c>
      <c r="O1606" s="8">
        <v>1043.8499999999999</v>
      </c>
      <c r="P1606" s="8">
        <v>1159.8399999999999</v>
      </c>
      <c r="Q1606" s="8" t="s">
        <v>2707</v>
      </c>
      <c r="R1606" s="8" t="s">
        <v>192</v>
      </c>
    </row>
    <row r="1607" spans="1:20" x14ac:dyDescent="0.2">
      <c r="A1607" s="8" t="s">
        <v>4704</v>
      </c>
      <c r="B1607" s="8" t="str">
        <f t="shared" si="50"/>
        <v>1586244477</v>
      </c>
      <c r="C1607" s="8" t="str">
        <f t="shared" si="51"/>
        <v>1642</v>
      </c>
      <c r="D1607" s="8" t="s">
        <v>119</v>
      </c>
      <c r="F1607" s="8" t="s">
        <v>136</v>
      </c>
      <c r="G1607" s="8" t="s">
        <v>137</v>
      </c>
      <c r="H1607" s="8" t="s">
        <v>138</v>
      </c>
      <c r="I1607" s="8" t="s">
        <v>139</v>
      </c>
      <c r="J1607" s="8" t="s">
        <v>140</v>
      </c>
      <c r="K1607" s="8" t="s">
        <v>125</v>
      </c>
      <c r="L1607" s="8" t="s">
        <v>141</v>
      </c>
      <c r="M1607" s="8" t="s">
        <v>2778</v>
      </c>
      <c r="N1607" s="8" t="s">
        <v>137</v>
      </c>
      <c r="O1607" s="8">
        <v>1043.8499999999999</v>
      </c>
      <c r="P1607" s="8">
        <v>1159.8399999999999</v>
      </c>
      <c r="Q1607" s="8" t="s">
        <v>2707</v>
      </c>
      <c r="R1607" s="8" t="s">
        <v>2319</v>
      </c>
    </row>
    <row r="1608" spans="1:20" x14ac:dyDescent="0.2">
      <c r="A1608" s="8" t="s">
        <v>3396</v>
      </c>
      <c r="B1608" s="8" t="str">
        <f t="shared" si="50"/>
        <v>1586244477</v>
      </c>
      <c r="C1608" s="8" t="str">
        <f t="shared" si="51"/>
        <v>1643</v>
      </c>
      <c r="D1608" s="8" t="s">
        <v>119</v>
      </c>
      <c r="F1608" s="8" t="s">
        <v>136</v>
      </c>
      <c r="G1608" s="8" t="s">
        <v>137</v>
      </c>
      <c r="H1608" s="8" t="s">
        <v>138</v>
      </c>
      <c r="I1608" s="8" t="s">
        <v>139</v>
      </c>
      <c r="J1608" s="8" t="s">
        <v>140</v>
      </c>
      <c r="K1608" s="8" t="s">
        <v>125</v>
      </c>
      <c r="L1608" s="8" t="s">
        <v>141</v>
      </c>
      <c r="M1608" s="8" t="s">
        <v>2778</v>
      </c>
      <c r="N1608" s="8" t="s">
        <v>137</v>
      </c>
      <c r="O1608" s="8">
        <v>1043.8499999999999</v>
      </c>
      <c r="P1608" s="8">
        <v>1159.8399999999999</v>
      </c>
      <c r="Q1608" s="8" t="s">
        <v>2707</v>
      </c>
      <c r="R1608" s="8" t="s">
        <v>2049</v>
      </c>
    </row>
    <row r="1609" spans="1:20" x14ac:dyDescent="0.2">
      <c r="A1609" s="8" t="s">
        <v>3806</v>
      </c>
      <c r="B1609" s="8" t="str">
        <f t="shared" si="50"/>
        <v>1586244477</v>
      </c>
      <c r="C1609" s="8" t="str">
        <f t="shared" si="51"/>
        <v>1644</v>
      </c>
      <c r="D1609" s="8" t="s">
        <v>119</v>
      </c>
      <c r="F1609" s="8" t="s">
        <v>136</v>
      </c>
      <c r="G1609" s="8" t="s">
        <v>137</v>
      </c>
      <c r="H1609" s="8" t="s">
        <v>138</v>
      </c>
      <c r="I1609" s="8" t="s">
        <v>139</v>
      </c>
      <c r="J1609" s="8" t="s">
        <v>140</v>
      </c>
      <c r="K1609" s="8" t="s">
        <v>125</v>
      </c>
      <c r="L1609" s="8" t="s">
        <v>141</v>
      </c>
      <c r="M1609" s="8" t="s">
        <v>2778</v>
      </c>
      <c r="N1609" s="8" t="s">
        <v>137</v>
      </c>
      <c r="O1609" s="8">
        <v>1043.8499999999999</v>
      </c>
      <c r="P1609" s="8">
        <v>1159.8399999999999</v>
      </c>
      <c r="Q1609" s="8" t="s">
        <v>2707</v>
      </c>
      <c r="R1609" s="8" t="s">
        <v>2023</v>
      </c>
    </row>
    <row r="1610" spans="1:20" x14ac:dyDescent="0.2">
      <c r="A1610" s="8" t="s">
        <v>3644</v>
      </c>
      <c r="B1610" s="8" t="str">
        <f t="shared" si="50"/>
        <v>1586244477</v>
      </c>
      <c r="C1610" s="8" t="str">
        <f t="shared" si="51"/>
        <v>1645</v>
      </c>
      <c r="D1610" s="8" t="s">
        <v>119</v>
      </c>
      <c r="F1610" s="8" t="s">
        <v>136</v>
      </c>
      <c r="G1610" s="8" t="s">
        <v>137</v>
      </c>
      <c r="H1610" s="8" t="s">
        <v>138</v>
      </c>
      <c r="I1610" s="8" t="s">
        <v>139</v>
      </c>
      <c r="J1610" s="8" t="s">
        <v>140</v>
      </c>
      <c r="K1610" s="8" t="s">
        <v>125</v>
      </c>
      <c r="L1610" s="8" t="s">
        <v>141</v>
      </c>
      <c r="M1610" s="8" t="s">
        <v>2778</v>
      </c>
      <c r="N1610" s="8" t="s">
        <v>137</v>
      </c>
      <c r="O1610" s="8">
        <v>1043.8499999999999</v>
      </c>
      <c r="P1610" s="8">
        <v>1159.8399999999999</v>
      </c>
      <c r="Q1610" s="8" t="s">
        <v>2707</v>
      </c>
      <c r="S1610" s="8" t="s">
        <v>393</v>
      </c>
      <c r="T1610" s="8">
        <v>131.31</v>
      </c>
    </row>
    <row r="1611" spans="1:20" x14ac:dyDescent="0.2">
      <c r="A1611" s="8" t="s">
        <v>4329</v>
      </c>
      <c r="B1611" s="8" t="str">
        <f t="shared" si="50"/>
        <v>1586244477</v>
      </c>
      <c r="C1611" s="8" t="str">
        <f t="shared" si="51"/>
        <v>1646</v>
      </c>
      <c r="D1611" s="8" t="s">
        <v>119</v>
      </c>
      <c r="F1611" s="8" t="s">
        <v>136</v>
      </c>
      <c r="G1611" s="8" t="s">
        <v>137</v>
      </c>
      <c r="H1611" s="8" t="s">
        <v>138</v>
      </c>
      <c r="I1611" s="8" t="s">
        <v>139</v>
      </c>
      <c r="J1611" s="8" t="s">
        <v>140</v>
      </c>
      <c r="K1611" s="8" t="s">
        <v>125</v>
      </c>
      <c r="L1611" s="8" t="s">
        <v>141</v>
      </c>
      <c r="M1611" s="8" t="s">
        <v>2778</v>
      </c>
      <c r="N1611" s="8" t="s">
        <v>137</v>
      </c>
      <c r="O1611" s="8">
        <v>1043.8499999999999</v>
      </c>
      <c r="P1611" s="8">
        <v>1159.8399999999999</v>
      </c>
      <c r="Q1611" s="8" t="s">
        <v>2707</v>
      </c>
      <c r="S1611" s="8" t="s">
        <v>232</v>
      </c>
      <c r="T1611" s="8">
        <v>115.82</v>
      </c>
    </row>
    <row r="1612" spans="1:20" x14ac:dyDescent="0.2">
      <c r="A1612" s="8" t="s">
        <v>3037</v>
      </c>
      <c r="B1612" s="8" t="str">
        <f t="shared" si="50"/>
        <v>1586244477</v>
      </c>
      <c r="C1612" s="8" t="str">
        <f t="shared" si="51"/>
        <v>1647</v>
      </c>
      <c r="D1612" s="8" t="s">
        <v>119</v>
      </c>
      <c r="F1612" s="8" t="s">
        <v>136</v>
      </c>
      <c r="G1612" s="8" t="s">
        <v>137</v>
      </c>
      <c r="H1612" s="8" t="s">
        <v>138</v>
      </c>
      <c r="I1612" s="8" t="s">
        <v>139</v>
      </c>
      <c r="J1612" s="8" t="s">
        <v>140</v>
      </c>
      <c r="K1612" s="8" t="s">
        <v>125</v>
      </c>
      <c r="L1612" s="8" t="s">
        <v>141</v>
      </c>
      <c r="M1612" s="8" t="s">
        <v>2778</v>
      </c>
      <c r="N1612" s="8" t="s">
        <v>137</v>
      </c>
      <c r="O1612" s="8">
        <v>1043.8499999999999</v>
      </c>
      <c r="P1612" s="8">
        <v>1159.8399999999999</v>
      </c>
      <c r="Q1612" s="8" t="s">
        <v>2707</v>
      </c>
      <c r="S1612" s="8" t="s">
        <v>1597</v>
      </c>
      <c r="T1612" s="8">
        <v>216.15</v>
      </c>
    </row>
    <row r="1613" spans="1:20" x14ac:dyDescent="0.2">
      <c r="A1613" s="8" t="s">
        <v>3030</v>
      </c>
      <c r="B1613" s="8" t="str">
        <f t="shared" si="50"/>
        <v>1586244477</v>
      </c>
      <c r="C1613" s="8" t="str">
        <f t="shared" si="51"/>
        <v>1648</v>
      </c>
      <c r="D1613" s="8" t="s">
        <v>119</v>
      </c>
      <c r="F1613" s="8" t="s">
        <v>136</v>
      </c>
      <c r="G1613" s="8" t="s">
        <v>137</v>
      </c>
      <c r="H1613" s="8" t="s">
        <v>138</v>
      </c>
      <c r="I1613" s="8" t="s">
        <v>139</v>
      </c>
      <c r="J1613" s="8" t="s">
        <v>140</v>
      </c>
      <c r="K1613" s="8" t="s">
        <v>125</v>
      </c>
      <c r="L1613" s="8" t="s">
        <v>141</v>
      </c>
      <c r="M1613" s="8" t="s">
        <v>2778</v>
      </c>
      <c r="N1613" s="8" t="s">
        <v>137</v>
      </c>
      <c r="O1613" s="8">
        <v>1043.8499999999999</v>
      </c>
      <c r="P1613" s="8">
        <v>1159.8399999999999</v>
      </c>
      <c r="Q1613" s="8" t="s">
        <v>2707</v>
      </c>
      <c r="S1613" s="8" t="s">
        <v>142</v>
      </c>
      <c r="T1613" s="8">
        <v>75.25</v>
      </c>
    </row>
    <row r="1614" spans="1:20" x14ac:dyDescent="0.2">
      <c r="A1614" s="8" t="s">
        <v>3685</v>
      </c>
      <c r="B1614" s="8" t="str">
        <f t="shared" si="50"/>
        <v>1586244479</v>
      </c>
      <c r="C1614" s="8" t="str">
        <f t="shared" si="51"/>
        <v>1649</v>
      </c>
      <c r="D1614" s="8" t="s">
        <v>119</v>
      </c>
      <c r="F1614" s="8" t="s">
        <v>136</v>
      </c>
      <c r="G1614" s="8" t="s">
        <v>137</v>
      </c>
      <c r="H1614" s="8" t="s">
        <v>138</v>
      </c>
      <c r="I1614" s="8" t="s">
        <v>332</v>
      </c>
      <c r="J1614" s="8" t="s">
        <v>333</v>
      </c>
      <c r="K1614" s="8" t="s">
        <v>93</v>
      </c>
      <c r="L1614" s="8" t="s">
        <v>334</v>
      </c>
      <c r="M1614" s="8" t="s">
        <v>2778</v>
      </c>
      <c r="N1614" s="8" t="s">
        <v>137</v>
      </c>
      <c r="O1614" s="8">
        <v>1032.79</v>
      </c>
      <c r="P1614" s="8">
        <v>1147.54</v>
      </c>
      <c r="Q1614" s="8" t="s">
        <v>2708</v>
      </c>
      <c r="R1614" s="8" t="s">
        <v>335</v>
      </c>
    </row>
    <row r="1615" spans="1:20" x14ac:dyDescent="0.2">
      <c r="A1615" s="8" t="s">
        <v>3111</v>
      </c>
      <c r="B1615" s="8" t="str">
        <f t="shared" si="50"/>
        <v>1586244479</v>
      </c>
      <c r="C1615" s="8" t="str">
        <f t="shared" si="51"/>
        <v>1650</v>
      </c>
      <c r="D1615" s="8" t="s">
        <v>119</v>
      </c>
      <c r="F1615" s="8" t="s">
        <v>136</v>
      </c>
      <c r="G1615" s="8" t="s">
        <v>137</v>
      </c>
      <c r="H1615" s="8" t="s">
        <v>138</v>
      </c>
      <c r="I1615" s="8" t="s">
        <v>332</v>
      </c>
      <c r="J1615" s="8" t="s">
        <v>333</v>
      </c>
      <c r="K1615" s="8" t="s">
        <v>93</v>
      </c>
      <c r="L1615" s="8" t="s">
        <v>334</v>
      </c>
      <c r="M1615" s="8" t="s">
        <v>2778</v>
      </c>
      <c r="N1615" s="8" t="s">
        <v>137</v>
      </c>
      <c r="O1615" s="8">
        <v>1032.79</v>
      </c>
      <c r="P1615" s="8">
        <v>1147.54</v>
      </c>
      <c r="Q1615" s="8" t="s">
        <v>2708</v>
      </c>
      <c r="R1615" s="8" t="s">
        <v>2340</v>
      </c>
    </row>
    <row r="1616" spans="1:20" x14ac:dyDescent="0.2">
      <c r="A1616" s="8" t="s">
        <v>4568</v>
      </c>
      <c r="B1616" s="8" t="str">
        <f t="shared" si="50"/>
        <v>1586244479</v>
      </c>
      <c r="C1616" s="8" t="str">
        <f t="shared" si="51"/>
        <v>1651</v>
      </c>
      <c r="D1616" s="8" t="s">
        <v>119</v>
      </c>
      <c r="F1616" s="8" t="s">
        <v>136</v>
      </c>
      <c r="G1616" s="8" t="s">
        <v>137</v>
      </c>
      <c r="H1616" s="8" t="s">
        <v>138</v>
      </c>
      <c r="I1616" s="8" t="s">
        <v>332</v>
      </c>
      <c r="J1616" s="8" t="s">
        <v>333</v>
      </c>
      <c r="K1616" s="8" t="s">
        <v>93</v>
      </c>
      <c r="L1616" s="8" t="s">
        <v>334</v>
      </c>
      <c r="M1616" s="8" t="s">
        <v>2778</v>
      </c>
      <c r="N1616" s="8" t="s">
        <v>137</v>
      </c>
      <c r="O1616" s="8">
        <v>1032.79</v>
      </c>
      <c r="P1616" s="8">
        <v>1147.54</v>
      </c>
      <c r="Q1616" s="8" t="s">
        <v>2708</v>
      </c>
      <c r="R1616" s="8" t="s">
        <v>1607</v>
      </c>
    </row>
    <row r="1617" spans="1:20" x14ac:dyDescent="0.2">
      <c r="A1617" s="8" t="s">
        <v>4607</v>
      </c>
      <c r="B1617" s="8" t="str">
        <f t="shared" si="50"/>
        <v>1586244479</v>
      </c>
      <c r="C1617" s="8" t="str">
        <f t="shared" si="51"/>
        <v>1652</v>
      </c>
      <c r="D1617" s="8" t="s">
        <v>119</v>
      </c>
      <c r="F1617" s="8" t="s">
        <v>136</v>
      </c>
      <c r="G1617" s="8" t="s">
        <v>137</v>
      </c>
      <c r="H1617" s="8" t="s">
        <v>138</v>
      </c>
      <c r="I1617" s="8" t="s">
        <v>332</v>
      </c>
      <c r="J1617" s="8" t="s">
        <v>333</v>
      </c>
      <c r="K1617" s="8" t="s">
        <v>93</v>
      </c>
      <c r="L1617" s="8" t="s">
        <v>334</v>
      </c>
      <c r="M1617" s="8" t="s">
        <v>2778</v>
      </c>
      <c r="N1617" s="8" t="s">
        <v>137</v>
      </c>
      <c r="O1617" s="8">
        <v>1032.79</v>
      </c>
      <c r="P1617" s="8">
        <v>1147.54</v>
      </c>
      <c r="Q1617" s="8" t="s">
        <v>2708</v>
      </c>
      <c r="S1617" s="8" t="s">
        <v>393</v>
      </c>
      <c r="T1617" s="8">
        <v>216.15</v>
      </c>
    </row>
    <row r="1618" spans="1:20" x14ac:dyDescent="0.2">
      <c r="A1618" s="8" t="s">
        <v>4810</v>
      </c>
      <c r="B1618" s="8" t="str">
        <f t="shared" si="50"/>
        <v>1586244479</v>
      </c>
      <c r="C1618" s="8" t="str">
        <f t="shared" si="51"/>
        <v>1653</v>
      </c>
      <c r="D1618" s="8" t="s">
        <v>119</v>
      </c>
      <c r="F1618" s="8" t="s">
        <v>136</v>
      </c>
      <c r="G1618" s="8" t="s">
        <v>137</v>
      </c>
      <c r="H1618" s="8" t="s">
        <v>138</v>
      </c>
      <c r="I1618" s="8" t="s">
        <v>332</v>
      </c>
      <c r="J1618" s="8" t="s">
        <v>333</v>
      </c>
      <c r="K1618" s="8" t="s">
        <v>93</v>
      </c>
      <c r="L1618" s="8" t="s">
        <v>334</v>
      </c>
      <c r="M1618" s="8" t="s">
        <v>2778</v>
      </c>
      <c r="N1618" s="8" t="s">
        <v>137</v>
      </c>
      <c r="O1618" s="8">
        <v>1032.79</v>
      </c>
      <c r="P1618" s="8">
        <v>1147.54</v>
      </c>
      <c r="Q1618" s="8" t="s">
        <v>2708</v>
      </c>
      <c r="S1618" s="8" t="s">
        <v>107</v>
      </c>
      <c r="T1618" s="8">
        <v>940.57</v>
      </c>
    </row>
    <row r="1619" spans="1:20" x14ac:dyDescent="0.2">
      <c r="A1619" s="8" t="s">
        <v>3461</v>
      </c>
      <c r="B1619" s="8" t="str">
        <f t="shared" si="50"/>
        <v>1586244481</v>
      </c>
      <c r="C1619" s="8" t="str">
        <f t="shared" si="51"/>
        <v>1654</v>
      </c>
      <c r="D1619" s="8" t="s">
        <v>119</v>
      </c>
      <c r="F1619" s="8" t="s">
        <v>136</v>
      </c>
      <c r="G1619" s="8" t="s">
        <v>137</v>
      </c>
      <c r="H1619" s="8" t="s">
        <v>138</v>
      </c>
      <c r="I1619" s="8" t="s">
        <v>167</v>
      </c>
      <c r="J1619" s="8" t="s">
        <v>213</v>
      </c>
      <c r="K1619" s="8" t="s">
        <v>125</v>
      </c>
      <c r="L1619" s="8" t="s">
        <v>214</v>
      </c>
      <c r="M1619" s="8" t="s">
        <v>2778</v>
      </c>
      <c r="N1619" s="8" t="s">
        <v>137</v>
      </c>
      <c r="O1619" s="8">
        <v>685.33</v>
      </c>
      <c r="P1619" s="8">
        <v>761.48</v>
      </c>
      <c r="Q1619" s="8" t="s">
        <v>2709</v>
      </c>
      <c r="R1619" s="8" t="s">
        <v>215</v>
      </c>
    </row>
    <row r="1620" spans="1:20" x14ac:dyDescent="0.2">
      <c r="A1620" s="8" t="s">
        <v>4027</v>
      </c>
      <c r="B1620" s="8" t="str">
        <f t="shared" si="50"/>
        <v>1586244481</v>
      </c>
      <c r="C1620" s="8" t="str">
        <f t="shared" si="51"/>
        <v>1655</v>
      </c>
      <c r="D1620" s="8" t="s">
        <v>119</v>
      </c>
      <c r="F1620" s="8" t="s">
        <v>136</v>
      </c>
      <c r="G1620" s="8" t="s">
        <v>137</v>
      </c>
      <c r="H1620" s="8" t="s">
        <v>138</v>
      </c>
      <c r="I1620" s="8" t="s">
        <v>167</v>
      </c>
      <c r="J1620" s="8" t="s">
        <v>213</v>
      </c>
      <c r="K1620" s="8" t="s">
        <v>125</v>
      </c>
      <c r="L1620" s="8" t="s">
        <v>214</v>
      </c>
      <c r="M1620" s="8" t="s">
        <v>2778</v>
      </c>
      <c r="N1620" s="8" t="s">
        <v>137</v>
      </c>
      <c r="O1620" s="8">
        <v>685.33</v>
      </c>
      <c r="P1620" s="8">
        <v>761.48</v>
      </c>
      <c r="Q1620" s="8" t="s">
        <v>2709</v>
      </c>
      <c r="R1620" s="8" t="s">
        <v>2161</v>
      </c>
    </row>
    <row r="1621" spans="1:20" x14ac:dyDescent="0.2">
      <c r="A1621" s="8" t="s">
        <v>2815</v>
      </c>
      <c r="B1621" s="8" t="str">
        <f t="shared" si="50"/>
        <v>1586244481</v>
      </c>
      <c r="C1621" s="8" t="str">
        <f t="shared" si="51"/>
        <v>1656</v>
      </c>
      <c r="D1621" s="8" t="s">
        <v>119</v>
      </c>
      <c r="F1621" s="8" t="s">
        <v>136</v>
      </c>
      <c r="G1621" s="8" t="s">
        <v>137</v>
      </c>
      <c r="H1621" s="8" t="s">
        <v>138</v>
      </c>
      <c r="I1621" s="8" t="s">
        <v>167</v>
      </c>
      <c r="J1621" s="8" t="s">
        <v>213</v>
      </c>
      <c r="K1621" s="8" t="s">
        <v>125</v>
      </c>
      <c r="L1621" s="8" t="s">
        <v>214</v>
      </c>
      <c r="M1621" s="8" t="s">
        <v>2778</v>
      </c>
      <c r="N1621" s="8" t="s">
        <v>137</v>
      </c>
      <c r="O1621" s="8">
        <v>685.33</v>
      </c>
      <c r="P1621" s="8">
        <v>761.48</v>
      </c>
      <c r="Q1621" s="8" t="s">
        <v>2709</v>
      </c>
      <c r="R1621" s="8" t="s">
        <v>1143</v>
      </c>
    </row>
    <row r="1622" spans="1:20" x14ac:dyDescent="0.2">
      <c r="A1622" s="8" t="s">
        <v>4782</v>
      </c>
      <c r="B1622" s="8" t="str">
        <f t="shared" si="50"/>
        <v>1586244481</v>
      </c>
      <c r="C1622" s="8" t="str">
        <f t="shared" si="51"/>
        <v>1657</v>
      </c>
      <c r="D1622" s="8" t="s">
        <v>119</v>
      </c>
      <c r="F1622" s="8" t="s">
        <v>136</v>
      </c>
      <c r="G1622" s="8" t="s">
        <v>137</v>
      </c>
      <c r="H1622" s="8" t="s">
        <v>138</v>
      </c>
      <c r="I1622" s="8" t="s">
        <v>167</v>
      </c>
      <c r="J1622" s="8" t="s">
        <v>213</v>
      </c>
      <c r="K1622" s="8" t="s">
        <v>125</v>
      </c>
      <c r="L1622" s="8" t="s">
        <v>214</v>
      </c>
      <c r="M1622" s="8" t="s">
        <v>2778</v>
      </c>
      <c r="N1622" s="8" t="s">
        <v>137</v>
      </c>
      <c r="O1622" s="8">
        <v>685.33</v>
      </c>
      <c r="P1622" s="8">
        <v>761.48</v>
      </c>
      <c r="Q1622" s="8" t="s">
        <v>2709</v>
      </c>
      <c r="R1622" s="8" t="s">
        <v>2089</v>
      </c>
    </row>
    <row r="1623" spans="1:20" x14ac:dyDescent="0.2">
      <c r="A1623" s="8" t="s">
        <v>4671</v>
      </c>
      <c r="B1623" s="8" t="str">
        <f t="shared" si="50"/>
        <v>1586244481</v>
      </c>
      <c r="C1623" s="8" t="str">
        <f t="shared" si="51"/>
        <v>1658</v>
      </c>
      <c r="D1623" s="8" t="s">
        <v>119</v>
      </c>
      <c r="F1623" s="8" t="s">
        <v>136</v>
      </c>
      <c r="G1623" s="8" t="s">
        <v>137</v>
      </c>
      <c r="H1623" s="8" t="s">
        <v>138</v>
      </c>
      <c r="I1623" s="8" t="s">
        <v>167</v>
      </c>
      <c r="J1623" s="8" t="s">
        <v>213</v>
      </c>
      <c r="K1623" s="8" t="s">
        <v>125</v>
      </c>
      <c r="L1623" s="8" t="s">
        <v>214</v>
      </c>
      <c r="M1623" s="8" t="s">
        <v>2778</v>
      </c>
      <c r="N1623" s="8" t="s">
        <v>137</v>
      </c>
      <c r="O1623" s="8">
        <v>685.33</v>
      </c>
      <c r="P1623" s="8">
        <v>761.48</v>
      </c>
      <c r="Q1623" s="8" t="s">
        <v>2709</v>
      </c>
      <c r="R1623" s="8" t="s">
        <v>2391</v>
      </c>
    </row>
    <row r="1624" spans="1:20" x14ac:dyDescent="0.2">
      <c r="A1624" s="8" t="s">
        <v>4664</v>
      </c>
      <c r="B1624" s="8" t="str">
        <f t="shared" si="50"/>
        <v>1586244481</v>
      </c>
      <c r="C1624" s="8" t="str">
        <f t="shared" si="51"/>
        <v>1659</v>
      </c>
      <c r="D1624" s="8" t="s">
        <v>119</v>
      </c>
      <c r="F1624" s="8" t="s">
        <v>136</v>
      </c>
      <c r="G1624" s="8" t="s">
        <v>137</v>
      </c>
      <c r="H1624" s="8" t="s">
        <v>138</v>
      </c>
      <c r="I1624" s="8" t="s">
        <v>167</v>
      </c>
      <c r="J1624" s="8" t="s">
        <v>213</v>
      </c>
      <c r="K1624" s="8" t="s">
        <v>125</v>
      </c>
      <c r="L1624" s="8" t="s">
        <v>214</v>
      </c>
      <c r="M1624" s="8" t="s">
        <v>2778</v>
      </c>
      <c r="N1624" s="8" t="s">
        <v>137</v>
      </c>
      <c r="O1624" s="8">
        <v>685.33</v>
      </c>
      <c r="P1624" s="8">
        <v>761.48</v>
      </c>
      <c r="Q1624" s="8" t="s">
        <v>2709</v>
      </c>
      <c r="R1624" s="8" t="s">
        <v>1580</v>
      </c>
    </row>
    <row r="1625" spans="1:20" x14ac:dyDescent="0.2">
      <c r="A1625" s="8" t="s">
        <v>4780</v>
      </c>
      <c r="B1625" s="8" t="str">
        <f t="shared" si="50"/>
        <v>1586244481</v>
      </c>
      <c r="C1625" s="8" t="str">
        <f t="shared" si="51"/>
        <v>1660</v>
      </c>
      <c r="D1625" s="8" t="s">
        <v>119</v>
      </c>
      <c r="F1625" s="8" t="s">
        <v>136</v>
      </c>
      <c r="G1625" s="8" t="s">
        <v>137</v>
      </c>
      <c r="H1625" s="8" t="s">
        <v>138</v>
      </c>
      <c r="I1625" s="8" t="s">
        <v>167</v>
      </c>
      <c r="J1625" s="8" t="s">
        <v>213</v>
      </c>
      <c r="K1625" s="8" t="s">
        <v>125</v>
      </c>
      <c r="L1625" s="8" t="s">
        <v>214</v>
      </c>
      <c r="M1625" s="8" t="s">
        <v>2778</v>
      </c>
      <c r="N1625" s="8" t="s">
        <v>137</v>
      </c>
      <c r="O1625" s="8">
        <v>685.33</v>
      </c>
      <c r="P1625" s="8">
        <v>761.48</v>
      </c>
      <c r="Q1625" s="8" t="s">
        <v>2709</v>
      </c>
      <c r="S1625" s="8" t="s">
        <v>109</v>
      </c>
      <c r="T1625" s="8">
        <v>93.69</v>
      </c>
    </row>
    <row r="1626" spans="1:20" x14ac:dyDescent="0.2">
      <c r="A1626" s="8" t="s">
        <v>3814</v>
      </c>
      <c r="B1626" s="8" t="str">
        <f t="shared" si="50"/>
        <v>1586244481</v>
      </c>
      <c r="C1626" s="8" t="str">
        <f t="shared" si="51"/>
        <v>1661</v>
      </c>
      <c r="D1626" s="8" t="s">
        <v>119</v>
      </c>
      <c r="F1626" s="8" t="s">
        <v>136</v>
      </c>
      <c r="G1626" s="8" t="s">
        <v>137</v>
      </c>
      <c r="H1626" s="8" t="s">
        <v>138</v>
      </c>
      <c r="I1626" s="8" t="s">
        <v>167</v>
      </c>
      <c r="J1626" s="8" t="s">
        <v>213</v>
      </c>
      <c r="K1626" s="8" t="s">
        <v>125</v>
      </c>
      <c r="L1626" s="8" t="s">
        <v>214</v>
      </c>
      <c r="M1626" s="8" t="s">
        <v>2778</v>
      </c>
      <c r="N1626" s="8" t="s">
        <v>137</v>
      </c>
      <c r="O1626" s="8">
        <v>685.33</v>
      </c>
      <c r="P1626" s="8">
        <v>761.48</v>
      </c>
      <c r="Q1626" s="8" t="s">
        <v>2709</v>
      </c>
      <c r="S1626" s="8" t="s">
        <v>393</v>
      </c>
      <c r="T1626" s="8">
        <v>0</v>
      </c>
    </row>
    <row r="1627" spans="1:20" x14ac:dyDescent="0.2">
      <c r="A1627" s="8" t="s">
        <v>3459</v>
      </c>
      <c r="B1627" s="8" t="str">
        <f t="shared" si="50"/>
        <v>1586244481</v>
      </c>
      <c r="C1627" s="8" t="str">
        <f t="shared" si="51"/>
        <v>1662</v>
      </c>
      <c r="D1627" s="8" t="s">
        <v>119</v>
      </c>
      <c r="F1627" s="8" t="s">
        <v>136</v>
      </c>
      <c r="G1627" s="8" t="s">
        <v>137</v>
      </c>
      <c r="H1627" s="8" t="s">
        <v>138</v>
      </c>
      <c r="I1627" s="8" t="s">
        <v>167</v>
      </c>
      <c r="J1627" s="8" t="s">
        <v>213</v>
      </c>
      <c r="K1627" s="8" t="s">
        <v>125</v>
      </c>
      <c r="L1627" s="8" t="s">
        <v>214</v>
      </c>
      <c r="M1627" s="8" t="s">
        <v>2778</v>
      </c>
      <c r="N1627" s="8" t="s">
        <v>137</v>
      </c>
      <c r="O1627" s="8">
        <v>685.33</v>
      </c>
      <c r="P1627" s="8">
        <v>761.48</v>
      </c>
      <c r="Q1627" s="8" t="s">
        <v>2709</v>
      </c>
      <c r="S1627" s="8" t="s">
        <v>513</v>
      </c>
      <c r="T1627" s="8">
        <v>42.05</v>
      </c>
    </row>
    <row r="1628" spans="1:20" x14ac:dyDescent="0.2">
      <c r="A1628" s="8" t="s">
        <v>3051</v>
      </c>
      <c r="B1628" s="8" t="str">
        <f t="shared" si="50"/>
        <v>1586244481</v>
      </c>
      <c r="C1628" s="8" t="str">
        <f t="shared" si="51"/>
        <v>1663</v>
      </c>
      <c r="D1628" s="8" t="s">
        <v>119</v>
      </c>
      <c r="F1628" s="8" t="s">
        <v>136</v>
      </c>
      <c r="G1628" s="8" t="s">
        <v>137</v>
      </c>
      <c r="H1628" s="8" t="s">
        <v>138</v>
      </c>
      <c r="I1628" s="8" t="s">
        <v>167</v>
      </c>
      <c r="J1628" s="8" t="s">
        <v>213</v>
      </c>
      <c r="K1628" s="8" t="s">
        <v>125</v>
      </c>
      <c r="L1628" s="8" t="s">
        <v>214</v>
      </c>
      <c r="M1628" s="8" t="s">
        <v>2778</v>
      </c>
      <c r="N1628" s="8" t="s">
        <v>137</v>
      </c>
      <c r="O1628" s="8">
        <v>685.33</v>
      </c>
      <c r="P1628" s="8">
        <v>761.48</v>
      </c>
      <c r="Q1628" s="8" t="s">
        <v>2709</v>
      </c>
      <c r="S1628" s="8" t="s">
        <v>1431</v>
      </c>
      <c r="T1628" s="8">
        <v>217.62</v>
      </c>
    </row>
    <row r="1629" spans="1:20" x14ac:dyDescent="0.2">
      <c r="A1629" s="8" t="s">
        <v>2841</v>
      </c>
      <c r="B1629" s="8" t="str">
        <f t="shared" si="50"/>
        <v>1586244481</v>
      </c>
      <c r="C1629" s="8" t="str">
        <f t="shared" si="51"/>
        <v>1664</v>
      </c>
      <c r="D1629" s="8" t="s">
        <v>119</v>
      </c>
      <c r="F1629" s="8" t="s">
        <v>136</v>
      </c>
      <c r="G1629" s="8" t="s">
        <v>137</v>
      </c>
      <c r="H1629" s="8" t="s">
        <v>138</v>
      </c>
      <c r="I1629" s="8" t="s">
        <v>167</v>
      </c>
      <c r="J1629" s="8" t="s">
        <v>213</v>
      </c>
      <c r="K1629" s="8" t="s">
        <v>125</v>
      </c>
      <c r="L1629" s="8" t="s">
        <v>214</v>
      </c>
      <c r="M1629" s="8" t="s">
        <v>2778</v>
      </c>
      <c r="N1629" s="8" t="s">
        <v>137</v>
      </c>
      <c r="O1629" s="8">
        <v>685.33</v>
      </c>
      <c r="P1629" s="8">
        <v>761.48</v>
      </c>
      <c r="Q1629" s="8" t="s">
        <v>2709</v>
      </c>
      <c r="S1629" s="8" t="s">
        <v>1597</v>
      </c>
      <c r="T1629" s="8">
        <v>216.15</v>
      </c>
    </row>
    <row r="1630" spans="1:20" x14ac:dyDescent="0.2">
      <c r="A1630" s="8" t="s">
        <v>3010</v>
      </c>
      <c r="B1630" s="8" t="str">
        <f t="shared" si="50"/>
        <v>1586244481</v>
      </c>
      <c r="C1630" s="8" t="str">
        <f t="shared" si="51"/>
        <v>1665</v>
      </c>
      <c r="D1630" s="8" t="s">
        <v>119</v>
      </c>
      <c r="F1630" s="8" t="s">
        <v>136</v>
      </c>
      <c r="G1630" s="8" t="s">
        <v>137</v>
      </c>
      <c r="H1630" s="8" t="s">
        <v>138</v>
      </c>
      <c r="I1630" s="8" t="s">
        <v>167</v>
      </c>
      <c r="J1630" s="8" t="s">
        <v>213</v>
      </c>
      <c r="K1630" s="8" t="s">
        <v>125</v>
      </c>
      <c r="L1630" s="8" t="s">
        <v>214</v>
      </c>
      <c r="M1630" s="8" t="s">
        <v>2778</v>
      </c>
      <c r="N1630" s="8" t="s">
        <v>137</v>
      </c>
      <c r="O1630" s="8">
        <v>685.33</v>
      </c>
      <c r="P1630" s="8">
        <v>761.48</v>
      </c>
      <c r="Q1630" s="8" t="s">
        <v>2709</v>
      </c>
      <c r="S1630" s="8" t="s">
        <v>142</v>
      </c>
      <c r="T1630" s="8">
        <v>61.97</v>
      </c>
    </row>
    <row r="1631" spans="1:20" x14ac:dyDescent="0.2">
      <c r="A1631" s="8" t="s">
        <v>2985</v>
      </c>
      <c r="B1631" s="8" t="str">
        <f t="shared" si="50"/>
        <v>1586244485</v>
      </c>
      <c r="C1631" s="8" t="str">
        <f t="shared" si="51"/>
        <v>1666</v>
      </c>
      <c r="D1631" s="8" t="s">
        <v>119</v>
      </c>
      <c r="F1631" s="8" t="s">
        <v>136</v>
      </c>
      <c r="G1631" s="8" t="s">
        <v>573</v>
      </c>
      <c r="H1631" s="8" t="s">
        <v>574</v>
      </c>
      <c r="I1631" s="8" t="s">
        <v>623</v>
      </c>
      <c r="J1631" s="8" t="s">
        <v>1439</v>
      </c>
      <c r="K1631" s="8" t="s">
        <v>1440</v>
      </c>
      <c r="L1631" s="8" t="s">
        <v>1441</v>
      </c>
      <c r="M1631" s="8" t="s">
        <v>2778</v>
      </c>
      <c r="N1631" s="8" t="s">
        <v>573</v>
      </c>
      <c r="O1631" s="8">
        <v>1740.25</v>
      </c>
      <c r="P1631" s="8">
        <v>1933.61</v>
      </c>
      <c r="Q1631" s="8" t="s">
        <v>2710</v>
      </c>
      <c r="R1631" s="8" t="s">
        <v>2472</v>
      </c>
    </row>
    <row r="1632" spans="1:20" x14ac:dyDescent="0.2">
      <c r="A1632" s="8" t="s">
        <v>4469</v>
      </c>
      <c r="B1632" s="8" t="str">
        <f t="shared" si="50"/>
        <v>1586244485</v>
      </c>
      <c r="C1632" s="8" t="str">
        <f t="shared" si="51"/>
        <v>1667</v>
      </c>
      <c r="D1632" s="8" t="s">
        <v>119</v>
      </c>
      <c r="F1632" s="8" t="s">
        <v>136</v>
      </c>
      <c r="G1632" s="8" t="s">
        <v>573</v>
      </c>
      <c r="H1632" s="8" t="s">
        <v>574</v>
      </c>
      <c r="I1632" s="8" t="s">
        <v>623</v>
      </c>
      <c r="J1632" s="8" t="s">
        <v>1439</v>
      </c>
      <c r="K1632" s="8" t="s">
        <v>1440</v>
      </c>
      <c r="L1632" s="8" t="s">
        <v>1441</v>
      </c>
      <c r="M1632" s="8" t="s">
        <v>2778</v>
      </c>
      <c r="N1632" s="8" t="s">
        <v>573</v>
      </c>
      <c r="O1632" s="8">
        <v>1740.25</v>
      </c>
      <c r="P1632" s="8">
        <v>1933.61</v>
      </c>
      <c r="Q1632" s="8" t="s">
        <v>2710</v>
      </c>
      <c r="R1632" s="8" t="s">
        <v>1992</v>
      </c>
    </row>
    <row r="1633" spans="1:20" x14ac:dyDescent="0.2">
      <c r="A1633" s="8" t="s">
        <v>3911</v>
      </c>
      <c r="B1633" s="8" t="str">
        <f t="shared" si="50"/>
        <v>1586244485</v>
      </c>
      <c r="C1633" s="8" t="str">
        <f t="shared" si="51"/>
        <v>1668</v>
      </c>
      <c r="D1633" s="8" t="s">
        <v>119</v>
      </c>
      <c r="F1633" s="8" t="s">
        <v>136</v>
      </c>
      <c r="G1633" s="8" t="s">
        <v>573</v>
      </c>
      <c r="H1633" s="8" t="s">
        <v>574</v>
      </c>
      <c r="I1633" s="8" t="s">
        <v>623</v>
      </c>
      <c r="J1633" s="8" t="s">
        <v>1439</v>
      </c>
      <c r="K1633" s="8" t="s">
        <v>1440</v>
      </c>
      <c r="L1633" s="8" t="s">
        <v>1441</v>
      </c>
      <c r="M1633" s="8" t="s">
        <v>2778</v>
      </c>
      <c r="N1633" s="8" t="s">
        <v>573</v>
      </c>
      <c r="O1633" s="8">
        <v>1740.25</v>
      </c>
      <c r="P1633" s="8">
        <v>1933.61</v>
      </c>
      <c r="Q1633" s="8" t="s">
        <v>2710</v>
      </c>
      <c r="R1633" s="8" t="s">
        <v>1678</v>
      </c>
    </row>
    <row r="1634" spans="1:20" x14ac:dyDescent="0.2">
      <c r="A1634" s="8" t="s">
        <v>4278</v>
      </c>
      <c r="B1634" s="8" t="str">
        <f t="shared" si="50"/>
        <v>1586244485</v>
      </c>
      <c r="C1634" s="8" t="str">
        <f t="shared" si="51"/>
        <v>1669</v>
      </c>
      <c r="D1634" s="8" t="s">
        <v>119</v>
      </c>
      <c r="F1634" s="8" t="s">
        <v>136</v>
      </c>
      <c r="G1634" s="8" t="s">
        <v>573</v>
      </c>
      <c r="H1634" s="8" t="s">
        <v>574</v>
      </c>
      <c r="I1634" s="8" t="s">
        <v>623</v>
      </c>
      <c r="J1634" s="8" t="s">
        <v>1439</v>
      </c>
      <c r="K1634" s="8" t="s">
        <v>1440</v>
      </c>
      <c r="L1634" s="8" t="s">
        <v>1441</v>
      </c>
      <c r="M1634" s="8" t="s">
        <v>2778</v>
      </c>
      <c r="N1634" s="8" t="s">
        <v>573</v>
      </c>
      <c r="O1634" s="8">
        <v>1740.25</v>
      </c>
      <c r="P1634" s="8">
        <v>1933.61</v>
      </c>
      <c r="Q1634" s="8" t="s">
        <v>2710</v>
      </c>
      <c r="R1634" s="8" t="s">
        <v>1857</v>
      </c>
    </row>
    <row r="1635" spans="1:20" x14ac:dyDescent="0.2">
      <c r="A1635" s="8" t="s">
        <v>3996</v>
      </c>
      <c r="B1635" s="8" t="str">
        <f t="shared" si="50"/>
        <v>1586244485</v>
      </c>
      <c r="C1635" s="8" t="str">
        <f t="shared" si="51"/>
        <v>1670</v>
      </c>
      <c r="D1635" s="8" t="s">
        <v>119</v>
      </c>
      <c r="F1635" s="8" t="s">
        <v>136</v>
      </c>
      <c r="G1635" s="8" t="s">
        <v>573</v>
      </c>
      <c r="H1635" s="8" t="s">
        <v>574</v>
      </c>
      <c r="I1635" s="8" t="s">
        <v>623</v>
      </c>
      <c r="J1635" s="8" t="s">
        <v>1439</v>
      </c>
      <c r="K1635" s="8" t="s">
        <v>1440</v>
      </c>
      <c r="L1635" s="8" t="s">
        <v>1441</v>
      </c>
      <c r="M1635" s="8" t="s">
        <v>2778</v>
      </c>
      <c r="N1635" s="8" t="s">
        <v>573</v>
      </c>
      <c r="O1635" s="8">
        <v>1740.25</v>
      </c>
      <c r="P1635" s="8">
        <v>1933.61</v>
      </c>
      <c r="Q1635" s="8" t="s">
        <v>2710</v>
      </c>
      <c r="S1635" s="8" t="s">
        <v>542</v>
      </c>
      <c r="T1635" s="8">
        <v>1024.67</v>
      </c>
    </row>
    <row r="1636" spans="1:20" x14ac:dyDescent="0.2">
      <c r="A1636" s="8" t="s">
        <v>3418</v>
      </c>
      <c r="B1636" s="8" t="str">
        <f t="shared" si="50"/>
        <v>1586244485</v>
      </c>
      <c r="C1636" s="8" t="str">
        <f t="shared" si="51"/>
        <v>1671</v>
      </c>
      <c r="D1636" s="8" t="s">
        <v>119</v>
      </c>
      <c r="F1636" s="8" t="s">
        <v>136</v>
      </c>
      <c r="G1636" s="8" t="s">
        <v>573</v>
      </c>
      <c r="H1636" s="8" t="s">
        <v>574</v>
      </c>
      <c r="I1636" s="8" t="s">
        <v>623</v>
      </c>
      <c r="J1636" s="8" t="s">
        <v>1439</v>
      </c>
      <c r="K1636" s="8" t="s">
        <v>1440</v>
      </c>
      <c r="L1636" s="8" t="s">
        <v>1441</v>
      </c>
      <c r="M1636" s="8" t="s">
        <v>2778</v>
      </c>
      <c r="N1636" s="8" t="s">
        <v>573</v>
      </c>
      <c r="O1636" s="8">
        <v>1740.25</v>
      </c>
      <c r="P1636" s="8">
        <v>1933.61</v>
      </c>
      <c r="Q1636" s="8" t="s">
        <v>2710</v>
      </c>
      <c r="S1636" s="8" t="s">
        <v>1442</v>
      </c>
      <c r="T1636" s="8">
        <v>497.95</v>
      </c>
    </row>
    <row r="1637" spans="1:20" x14ac:dyDescent="0.2">
      <c r="A1637" s="8" t="s">
        <v>4193</v>
      </c>
      <c r="B1637" s="8" t="str">
        <f t="shared" si="50"/>
        <v>1586244485</v>
      </c>
      <c r="C1637" s="8" t="str">
        <f t="shared" si="51"/>
        <v>1672</v>
      </c>
      <c r="D1637" s="8" t="s">
        <v>119</v>
      </c>
      <c r="F1637" s="8" t="s">
        <v>136</v>
      </c>
      <c r="G1637" s="8" t="s">
        <v>573</v>
      </c>
      <c r="H1637" s="8" t="s">
        <v>574</v>
      </c>
      <c r="I1637" s="8" t="s">
        <v>623</v>
      </c>
      <c r="J1637" s="8" t="s">
        <v>1439</v>
      </c>
      <c r="K1637" s="8" t="s">
        <v>1440</v>
      </c>
      <c r="L1637" s="8" t="s">
        <v>1441</v>
      </c>
      <c r="M1637" s="8" t="s">
        <v>2778</v>
      </c>
      <c r="N1637" s="8" t="s">
        <v>573</v>
      </c>
      <c r="O1637" s="8">
        <v>1740.25</v>
      </c>
      <c r="P1637" s="8">
        <v>1933.61</v>
      </c>
      <c r="Q1637" s="8" t="s">
        <v>2710</v>
      </c>
      <c r="S1637" s="8" t="s">
        <v>2483</v>
      </c>
      <c r="T1637" s="8">
        <v>154.18</v>
      </c>
    </row>
    <row r="1638" spans="1:20" x14ac:dyDescent="0.2">
      <c r="A1638" s="8" t="s">
        <v>4343</v>
      </c>
      <c r="B1638" s="8" t="str">
        <f t="shared" si="50"/>
        <v>1586244487</v>
      </c>
      <c r="C1638" s="8" t="str">
        <f t="shared" si="51"/>
        <v>1673</v>
      </c>
      <c r="D1638" s="8" t="s">
        <v>119</v>
      </c>
      <c r="F1638" s="8" t="s">
        <v>136</v>
      </c>
      <c r="G1638" s="8" t="s">
        <v>573</v>
      </c>
      <c r="H1638" s="8" t="s">
        <v>574</v>
      </c>
      <c r="I1638" s="8" t="s">
        <v>174</v>
      </c>
      <c r="J1638" s="8" t="s">
        <v>1274</v>
      </c>
      <c r="K1638" s="8" t="s">
        <v>176</v>
      </c>
      <c r="L1638" s="8" t="s">
        <v>1275</v>
      </c>
      <c r="M1638" s="8" t="s">
        <v>2778</v>
      </c>
      <c r="N1638" s="8" t="s">
        <v>573</v>
      </c>
      <c r="O1638" s="8">
        <v>1534.43</v>
      </c>
      <c r="P1638" s="8">
        <v>1704.92</v>
      </c>
      <c r="Q1638" s="8" t="s">
        <v>2711</v>
      </c>
      <c r="R1638" s="8" t="s">
        <v>2252</v>
      </c>
    </row>
    <row r="1639" spans="1:20" x14ac:dyDescent="0.2">
      <c r="A1639" s="8" t="s">
        <v>4097</v>
      </c>
      <c r="B1639" s="8" t="str">
        <f t="shared" si="50"/>
        <v>1586244487</v>
      </c>
      <c r="C1639" s="8" t="str">
        <f t="shared" si="51"/>
        <v>1674</v>
      </c>
      <c r="D1639" s="8" t="s">
        <v>119</v>
      </c>
      <c r="F1639" s="8" t="s">
        <v>136</v>
      </c>
      <c r="G1639" s="8" t="s">
        <v>573</v>
      </c>
      <c r="H1639" s="8" t="s">
        <v>574</v>
      </c>
      <c r="I1639" s="8" t="s">
        <v>174</v>
      </c>
      <c r="J1639" s="8" t="s">
        <v>1274</v>
      </c>
      <c r="K1639" s="8" t="s">
        <v>176</v>
      </c>
      <c r="L1639" s="8" t="s">
        <v>1275</v>
      </c>
      <c r="M1639" s="8" t="s">
        <v>2778</v>
      </c>
      <c r="N1639" s="8" t="s">
        <v>573</v>
      </c>
      <c r="O1639" s="8">
        <v>1534.43</v>
      </c>
      <c r="P1639" s="8">
        <v>1704.92</v>
      </c>
      <c r="Q1639" s="8" t="s">
        <v>2711</v>
      </c>
      <c r="R1639" s="8" t="s">
        <v>1276</v>
      </c>
    </row>
    <row r="1640" spans="1:20" x14ac:dyDescent="0.2">
      <c r="A1640" s="8" t="s">
        <v>4533</v>
      </c>
      <c r="B1640" s="8" t="str">
        <f t="shared" si="50"/>
        <v>1586244487</v>
      </c>
      <c r="C1640" s="8" t="str">
        <f t="shared" si="51"/>
        <v>1675</v>
      </c>
      <c r="D1640" s="8" t="s">
        <v>119</v>
      </c>
      <c r="F1640" s="8" t="s">
        <v>136</v>
      </c>
      <c r="G1640" s="8" t="s">
        <v>573</v>
      </c>
      <c r="H1640" s="8" t="s">
        <v>574</v>
      </c>
      <c r="I1640" s="8" t="s">
        <v>174</v>
      </c>
      <c r="J1640" s="8" t="s">
        <v>1274</v>
      </c>
      <c r="K1640" s="8" t="s">
        <v>176</v>
      </c>
      <c r="L1640" s="8" t="s">
        <v>1275</v>
      </c>
      <c r="M1640" s="8" t="s">
        <v>2778</v>
      </c>
      <c r="N1640" s="8" t="s">
        <v>573</v>
      </c>
      <c r="O1640" s="8">
        <v>1534.43</v>
      </c>
      <c r="P1640" s="8">
        <v>1704.92</v>
      </c>
      <c r="Q1640" s="8" t="s">
        <v>2711</v>
      </c>
      <c r="R1640" s="8" t="s">
        <v>2175</v>
      </c>
    </row>
    <row r="1641" spans="1:20" x14ac:dyDescent="0.2">
      <c r="A1641" s="8" t="s">
        <v>4293</v>
      </c>
      <c r="B1641" s="8" t="str">
        <f t="shared" si="50"/>
        <v>1586244487</v>
      </c>
      <c r="C1641" s="8" t="str">
        <f t="shared" si="51"/>
        <v>1676</v>
      </c>
      <c r="D1641" s="8" t="s">
        <v>119</v>
      </c>
      <c r="F1641" s="8" t="s">
        <v>136</v>
      </c>
      <c r="G1641" s="8" t="s">
        <v>573</v>
      </c>
      <c r="H1641" s="8" t="s">
        <v>574</v>
      </c>
      <c r="I1641" s="8" t="s">
        <v>174</v>
      </c>
      <c r="J1641" s="8" t="s">
        <v>1274</v>
      </c>
      <c r="K1641" s="8" t="s">
        <v>176</v>
      </c>
      <c r="L1641" s="8" t="s">
        <v>1275</v>
      </c>
      <c r="M1641" s="8" t="s">
        <v>2778</v>
      </c>
      <c r="N1641" s="8" t="s">
        <v>573</v>
      </c>
      <c r="O1641" s="8">
        <v>1534.43</v>
      </c>
      <c r="P1641" s="8">
        <v>1704.92</v>
      </c>
      <c r="Q1641" s="8" t="s">
        <v>2711</v>
      </c>
      <c r="R1641" s="8" t="s">
        <v>2328</v>
      </c>
    </row>
    <row r="1642" spans="1:20" x14ac:dyDescent="0.2">
      <c r="A1642" s="8" t="s">
        <v>3103</v>
      </c>
      <c r="B1642" s="8" t="str">
        <f t="shared" si="50"/>
        <v>1586244487</v>
      </c>
      <c r="C1642" s="8" t="str">
        <f t="shared" si="51"/>
        <v>1677</v>
      </c>
      <c r="D1642" s="8" t="s">
        <v>119</v>
      </c>
      <c r="F1642" s="8" t="s">
        <v>136</v>
      </c>
      <c r="G1642" s="8" t="s">
        <v>573</v>
      </c>
      <c r="H1642" s="8" t="s">
        <v>574</v>
      </c>
      <c r="I1642" s="8" t="s">
        <v>174</v>
      </c>
      <c r="J1642" s="8" t="s">
        <v>1274</v>
      </c>
      <c r="K1642" s="8" t="s">
        <v>176</v>
      </c>
      <c r="L1642" s="8" t="s">
        <v>1275</v>
      </c>
      <c r="M1642" s="8" t="s">
        <v>2778</v>
      </c>
      <c r="N1642" s="8" t="s">
        <v>573</v>
      </c>
      <c r="O1642" s="8">
        <v>1534.43</v>
      </c>
      <c r="P1642" s="8">
        <v>1704.92</v>
      </c>
      <c r="Q1642" s="8" t="s">
        <v>2711</v>
      </c>
      <c r="R1642" s="8" t="s">
        <v>2186</v>
      </c>
    </row>
    <row r="1643" spans="1:20" x14ac:dyDescent="0.2">
      <c r="A1643" s="8" t="s">
        <v>3076</v>
      </c>
      <c r="B1643" s="8" t="str">
        <f t="shared" si="50"/>
        <v>1586244487</v>
      </c>
      <c r="C1643" s="8" t="str">
        <f t="shared" si="51"/>
        <v>1678</v>
      </c>
      <c r="D1643" s="8" t="s">
        <v>119</v>
      </c>
      <c r="F1643" s="8" t="s">
        <v>136</v>
      </c>
      <c r="G1643" s="8" t="s">
        <v>573</v>
      </c>
      <c r="H1643" s="8" t="s">
        <v>574</v>
      </c>
      <c r="I1643" s="8" t="s">
        <v>174</v>
      </c>
      <c r="J1643" s="8" t="s">
        <v>1274</v>
      </c>
      <c r="K1643" s="8" t="s">
        <v>176</v>
      </c>
      <c r="L1643" s="8" t="s">
        <v>1275</v>
      </c>
      <c r="M1643" s="8" t="s">
        <v>2778</v>
      </c>
      <c r="N1643" s="8" t="s">
        <v>573</v>
      </c>
      <c r="O1643" s="8">
        <v>1534.43</v>
      </c>
      <c r="P1643" s="8">
        <v>1704.92</v>
      </c>
      <c r="Q1643" s="8" t="s">
        <v>2711</v>
      </c>
      <c r="R1643" s="8" t="s">
        <v>2431</v>
      </c>
    </row>
    <row r="1644" spans="1:20" x14ac:dyDescent="0.2">
      <c r="A1644" s="8" t="s">
        <v>4142</v>
      </c>
      <c r="B1644" s="8" t="str">
        <f t="shared" si="50"/>
        <v>1586244487</v>
      </c>
      <c r="C1644" s="8" t="str">
        <f t="shared" si="51"/>
        <v>1679</v>
      </c>
      <c r="D1644" s="8" t="s">
        <v>119</v>
      </c>
      <c r="F1644" s="8" t="s">
        <v>136</v>
      </c>
      <c r="G1644" s="8" t="s">
        <v>573</v>
      </c>
      <c r="H1644" s="8" t="s">
        <v>574</v>
      </c>
      <c r="I1644" s="8" t="s">
        <v>174</v>
      </c>
      <c r="J1644" s="8" t="s">
        <v>1274</v>
      </c>
      <c r="K1644" s="8" t="s">
        <v>176</v>
      </c>
      <c r="L1644" s="8" t="s">
        <v>1275</v>
      </c>
      <c r="M1644" s="8" t="s">
        <v>2778</v>
      </c>
      <c r="N1644" s="8" t="s">
        <v>573</v>
      </c>
      <c r="O1644" s="8">
        <v>1534.43</v>
      </c>
      <c r="P1644" s="8">
        <v>1704.92</v>
      </c>
      <c r="Q1644" s="8" t="s">
        <v>2711</v>
      </c>
      <c r="R1644" s="8" t="s">
        <v>1840</v>
      </c>
    </row>
    <row r="1645" spans="1:20" x14ac:dyDescent="0.2">
      <c r="A1645" s="8" t="s">
        <v>2970</v>
      </c>
      <c r="B1645" s="8" t="str">
        <f t="shared" si="50"/>
        <v>1586244487</v>
      </c>
      <c r="C1645" s="8" t="str">
        <f t="shared" si="51"/>
        <v>1680</v>
      </c>
      <c r="D1645" s="8" t="s">
        <v>119</v>
      </c>
      <c r="F1645" s="8" t="s">
        <v>136</v>
      </c>
      <c r="G1645" s="8" t="s">
        <v>573</v>
      </c>
      <c r="H1645" s="8" t="s">
        <v>574</v>
      </c>
      <c r="I1645" s="8" t="s">
        <v>174</v>
      </c>
      <c r="J1645" s="8" t="s">
        <v>1274</v>
      </c>
      <c r="K1645" s="8" t="s">
        <v>176</v>
      </c>
      <c r="L1645" s="8" t="s">
        <v>1275</v>
      </c>
      <c r="M1645" s="8" t="s">
        <v>2778</v>
      </c>
      <c r="N1645" s="8" t="s">
        <v>573</v>
      </c>
      <c r="O1645" s="8">
        <v>1534.43</v>
      </c>
      <c r="P1645" s="8">
        <v>1704.92</v>
      </c>
      <c r="Q1645" s="8" t="s">
        <v>2711</v>
      </c>
      <c r="S1645" s="8" t="s">
        <v>1192</v>
      </c>
      <c r="T1645" s="8">
        <v>496.48</v>
      </c>
    </row>
    <row r="1646" spans="1:20" x14ac:dyDescent="0.2">
      <c r="A1646" s="8" t="s">
        <v>3020</v>
      </c>
      <c r="B1646" s="8" t="str">
        <f t="shared" si="50"/>
        <v>1586244487</v>
      </c>
      <c r="C1646" s="8" t="str">
        <f t="shared" si="51"/>
        <v>1681</v>
      </c>
      <c r="D1646" s="8" t="s">
        <v>119</v>
      </c>
      <c r="F1646" s="8" t="s">
        <v>136</v>
      </c>
      <c r="G1646" s="8" t="s">
        <v>573</v>
      </c>
      <c r="H1646" s="8" t="s">
        <v>574</v>
      </c>
      <c r="I1646" s="8" t="s">
        <v>174</v>
      </c>
      <c r="J1646" s="8" t="s">
        <v>1274</v>
      </c>
      <c r="K1646" s="8" t="s">
        <v>176</v>
      </c>
      <c r="L1646" s="8" t="s">
        <v>1275</v>
      </c>
      <c r="M1646" s="8" t="s">
        <v>2778</v>
      </c>
      <c r="N1646" s="8" t="s">
        <v>573</v>
      </c>
      <c r="O1646" s="8">
        <v>1534.43</v>
      </c>
      <c r="P1646" s="8">
        <v>1704.92</v>
      </c>
      <c r="Q1646" s="8" t="s">
        <v>2711</v>
      </c>
      <c r="S1646" s="8" t="s">
        <v>542</v>
      </c>
      <c r="T1646" s="8">
        <v>878.61</v>
      </c>
    </row>
    <row r="1647" spans="1:20" x14ac:dyDescent="0.2">
      <c r="A1647" s="8" t="s">
        <v>3595</v>
      </c>
      <c r="B1647" s="8" t="str">
        <f t="shared" si="50"/>
        <v>1586244489</v>
      </c>
      <c r="C1647" s="8" t="str">
        <f t="shared" si="51"/>
        <v>1682</v>
      </c>
      <c r="D1647" s="8" t="s">
        <v>119</v>
      </c>
      <c r="F1647" s="8" t="s">
        <v>136</v>
      </c>
      <c r="G1647" s="8" t="s">
        <v>573</v>
      </c>
      <c r="H1647" s="8" t="s">
        <v>574</v>
      </c>
      <c r="I1647" s="8" t="s">
        <v>174</v>
      </c>
      <c r="J1647" s="8" t="s">
        <v>575</v>
      </c>
      <c r="K1647" s="8" t="s">
        <v>176</v>
      </c>
      <c r="L1647" s="8" t="s">
        <v>576</v>
      </c>
      <c r="M1647" s="8" t="s">
        <v>2778</v>
      </c>
      <c r="N1647" s="8" t="s">
        <v>573</v>
      </c>
      <c r="O1647" s="8">
        <v>2428.52</v>
      </c>
      <c r="P1647" s="8">
        <v>2698.36</v>
      </c>
      <c r="Q1647" s="8" t="s">
        <v>2712</v>
      </c>
      <c r="R1647" s="8" t="s">
        <v>1596</v>
      </c>
    </row>
    <row r="1648" spans="1:20" x14ac:dyDescent="0.2">
      <c r="A1648" s="8" t="s">
        <v>4067</v>
      </c>
      <c r="B1648" s="8" t="str">
        <f t="shared" si="50"/>
        <v>1586244489</v>
      </c>
      <c r="C1648" s="8" t="str">
        <f t="shared" si="51"/>
        <v>1683</v>
      </c>
      <c r="D1648" s="8" t="s">
        <v>119</v>
      </c>
      <c r="F1648" s="8" t="s">
        <v>136</v>
      </c>
      <c r="G1648" s="8" t="s">
        <v>573</v>
      </c>
      <c r="H1648" s="8" t="s">
        <v>574</v>
      </c>
      <c r="I1648" s="8" t="s">
        <v>174</v>
      </c>
      <c r="J1648" s="8" t="s">
        <v>575</v>
      </c>
      <c r="K1648" s="8" t="s">
        <v>176</v>
      </c>
      <c r="L1648" s="8" t="s">
        <v>576</v>
      </c>
      <c r="M1648" s="8" t="s">
        <v>2778</v>
      </c>
      <c r="N1648" s="8" t="s">
        <v>573</v>
      </c>
      <c r="O1648" s="8">
        <v>2428.52</v>
      </c>
      <c r="P1648" s="8">
        <v>2698.36</v>
      </c>
      <c r="Q1648" s="8" t="s">
        <v>2712</v>
      </c>
      <c r="R1648" s="8" t="s">
        <v>2061</v>
      </c>
    </row>
    <row r="1649" spans="1:20" x14ac:dyDescent="0.2">
      <c r="A1649" s="8" t="s">
        <v>3800</v>
      </c>
      <c r="B1649" s="8" t="str">
        <f t="shared" si="50"/>
        <v>1586244489</v>
      </c>
      <c r="C1649" s="8" t="str">
        <f t="shared" si="51"/>
        <v>1684</v>
      </c>
      <c r="D1649" s="8" t="s">
        <v>119</v>
      </c>
      <c r="F1649" s="8" t="s">
        <v>136</v>
      </c>
      <c r="G1649" s="8" t="s">
        <v>573</v>
      </c>
      <c r="H1649" s="8" t="s">
        <v>574</v>
      </c>
      <c r="I1649" s="8" t="s">
        <v>174</v>
      </c>
      <c r="J1649" s="8" t="s">
        <v>575</v>
      </c>
      <c r="K1649" s="8" t="s">
        <v>176</v>
      </c>
      <c r="L1649" s="8" t="s">
        <v>576</v>
      </c>
      <c r="M1649" s="8" t="s">
        <v>2778</v>
      </c>
      <c r="N1649" s="8" t="s">
        <v>573</v>
      </c>
      <c r="O1649" s="8">
        <v>2428.52</v>
      </c>
      <c r="P1649" s="8">
        <v>2698.36</v>
      </c>
      <c r="Q1649" s="8" t="s">
        <v>2712</v>
      </c>
      <c r="R1649" s="8" t="s">
        <v>577</v>
      </c>
    </row>
    <row r="1650" spans="1:20" x14ac:dyDescent="0.2">
      <c r="A1650" s="8" t="s">
        <v>3257</v>
      </c>
      <c r="B1650" s="8" t="str">
        <f t="shared" si="50"/>
        <v>1586244489</v>
      </c>
      <c r="C1650" s="8" t="str">
        <f t="shared" si="51"/>
        <v>1685</v>
      </c>
      <c r="D1650" s="8" t="s">
        <v>119</v>
      </c>
      <c r="F1650" s="8" t="s">
        <v>136</v>
      </c>
      <c r="G1650" s="8" t="s">
        <v>573</v>
      </c>
      <c r="H1650" s="8" t="s">
        <v>574</v>
      </c>
      <c r="I1650" s="8" t="s">
        <v>174</v>
      </c>
      <c r="J1650" s="8" t="s">
        <v>575</v>
      </c>
      <c r="K1650" s="8" t="s">
        <v>176</v>
      </c>
      <c r="L1650" s="8" t="s">
        <v>576</v>
      </c>
      <c r="M1650" s="8" t="s">
        <v>2778</v>
      </c>
      <c r="N1650" s="8" t="s">
        <v>573</v>
      </c>
      <c r="O1650" s="8">
        <v>2428.52</v>
      </c>
      <c r="P1650" s="8">
        <v>2698.36</v>
      </c>
      <c r="Q1650" s="8" t="s">
        <v>2712</v>
      </c>
      <c r="R1650" s="8" t="s">
        <v>1591</v>
      </c>
    </row>
    <row r="1651" spans="1:20" x14ac:dyDescent="0.2">
      <c r="A1651" s="8" t="s">
        <v>4141</v>
      </c>
      <c r="B1651" s="8" t="str">
        <f t="shared" si="50"/>
        <v>1586244489</v>
      </c>
      <c r="C1651" s="8" t="str">
        <f t="shared" si="51"/>
        <v>1686</v>
      </c>
      <c r="D1651" s="8" t="s">
        <v>119</v>
      </c>
      <c r="F1651" s="8" t="s">
        <v>136</v>
      </c>
      <c r="G1651" s="8" t="s">
        <v>573</v>
      </c>
      <c r="H1651" s="8" t="s">
        <v>574</v>
      </c>
      <c r="I1651" s="8" t="s">
        <v>174</v>
      </c>
      <c r="J1651" s="8" t="s">
        <v>575</v>
      </c>
      <c r="K1651" s="8" t="s">
        <v>176</v>
      </c>
      <c r="L1651" s="8" t="s">
        <v>576</v>
      </c>
      <c r="M1651" s="8" t="s">
        <v>2778</v>
      </c>
      <c r="N1651" s="8" t="s">
        <v>573</v>
      </c>
      <c r="O1651" s="8">
        <v>2428.52</v>
      </c>
      <c r="P1651" s="8">
        <v>2698.36</v>
      </c>
      <c r="Q1651" s="8" t="s">
        <v>2712</v>
      </c>
      <c r="R1651" s="8" t="s">
        <v>1372</v>
      </c>
    </row>
    <row r="1652" spans="1:20" x14ac:dyDescent="0.2">
      <c r="A1652" s="8" t="s">
        <v>4080</v>
      </c>
      <c r="B1652" s="8" t="str">
        <f t="shared" si="50"/>
        <v>1586244489</v>
      </c>
      <c r="C1652" s="8" t="str">
        <f t="shared" si="51"/>
        <v>1687</v>
      </c>
      <c r="D1652" s="8" t="s">
        <v>119</v>
      </c>
      <c r="F1652" s="8" t="s">
        <v>136</v>
      </c>
      <c r="G1652" s="8" t="s">
        <v>573</v>
      </c>
      <c r="H1652" s="8" t="s">
        <v>574</v>
      </c>
      <c r="I1652" s="8" t="s">
        <v>174</v>
      </c>
      <c r="J1652" s="8" t="s">
        <v>575</v>
      </c>
      <c r="K1652" s="8" t="s">
        <v>176</v>
      </c>
      <c r="L1652" s="8" t="s">
        <v>576</v>
      </c>
      <c r="M1652" s="8" t="s">
        <v>2778</v>
      </c>
      <c r="N1652" s="8" t="s">
        <v>573</v>
      </c>
      <c r="O1652" s="8">
        <v>2428.52</v>
      </c>
      <c r="P1652" s="8">
        <v>2698.36</v>
      </c>
      <c r="Q1652" s="8" t="s">
        <v>2712</v>
      </c>
      <c r="R1652" s="8" t="s">
        <v>2268</v>
      </c>
    </row>
    <row r="1653" spans="1:20" x14ac:dyDescent="0.2">
      <c r="A1653" s="8" t="s">
        <v>3019</v>
      </c>
      <c r="B1653" s="8" t="str">
        <f t="shared" si="50"/>
        <v>1586244489</v>
      </c>
      <c r="C1653" s="8" t="str">
        <f t="shared" si="51"/>
        <v>1688</v>
      </c>
      <c r="D1653" s="8" t="s">
        <v>119</v>
      </c>
      <c r="F1653" s="8" t="s">
        <v>136</v>
      </c>
      <c r="G1653" s="8" t="s">
        <v>573</v>
      </c>
      <c r="H1653" s="8" t="s">
        <v>574</v>
      </c>
      <c r="I1653" s="8" t="s">
        <v>174</v>
      </c>
      <c r="J1653" s="8" t="s">
        <v>575</v>
      </c>
      <c r="K1653" s="8" t="s">
        <v>176</v>
      </c>
      <c r="L1653" s="8" t="s">
        <v>576</v>
      </c>
      <c r="M1653" s="8" t="s">
        <v>2778</v>
      </c>
      <c r="N1653" s="8" t="s">
        <v>573</v>
      </c>
      <c r="O1653" s="8">
        <v>2428.52</v>
      </c>
      <c r="P1653" s="8">
        <v>2698.36</v>
      </c>
      <c r="Q1653" s="8" t="s">
        <v>2712</v>
      </c>
      <c r="R1653" s="8" t="s">
        <v>1896</v>
      </c>
    </row>
    <row r="1654" spans="1:20" x14ac:dyDescent="0.2">
      <c r="A1654" s="8" t="s">
        <v>3474</v>
      </c>
      <c r="B1654" s="8" t="str">
        <f t="shared" si="50"/>
        <v>1586244489</v>
      </c>
      <c r="C1654" s="8" t="str">
        <f t="shared" si="51"/>
        <v>1689</v>
      </c>
      <c r="D1654" s="8" t="s">
        <v>119</v>
      </c>
      <c r="F1654" s="8" t="s">
        <v>136</v>
      </c>
      <c r="G1654" s="8" t="s">
        <v>573</v>
      </c>
      <c r="H1654" s="8" t="s">
        <v>574</v>
      </c>
      <c r="I1654" s="8" t="s">
        <v>174</v>
      </c>
      <c r="J1654" s="8" t="s">
        <v>575</v>
      </c>
      <c r="K1654" s="8" t="s">
        <v>176</v>
      </c>
      <c r="L1654" s="8" t="s">
        <v>576</v>
      </c>
      <c r="M1654" s="8" t="s">
        <v>2778</v>
      </c>
      <c r="N1654" s="8" t="s">
        <v>573</v>
      </c>
      <c r="O1654" s="8">
        <v>2428.52</v>
      </c>
      <c r="P1654" s="8">
        <v>2698.36</v>
      </c>
      <c r="Q1654" s="8" t="s">
        <v>2712</v>
      </c>
      <c r="R1654" s="8" t="s">
        <v>2088</v>
      </c>
    </row>
    <row r="1655" spans="1:20" x14ac:dyDescent="0.2">
      <c r="A1655" s="8" t="s">
        <v>4478</v>
      </c>
      <c r="B1655" s="8" t="str">
        <f t="shared" si="50"/>
        <v>1586244494</v>
      </c>
      <c r="C1655" s="8" t="str">
        <f t="shared" si="51"/>
        <v>1690</v>
      </c>
      <c r="D1655" s="8" t="s">
        <v>119</v>
      </c>
      <c r="F1655" s="8" t="s">
        <v>136</v>
      </c>
      <c r="G1655" s="8" t="s">
        <v>172</v>
      </c>
      <c r="H1655" s="8" t="s">
        <v>173</v>
      </c>
      <c r="I1655" s="8" t="s">
        <v>174</v>
      </c>
      <c r="J1655" s="8" t="s">
        <v>175</v>
      </c>
      <c r="K1655" s="8" t="s">
        <v>176</v>
      </c>
      <c r="L1655" s="8" t="s">
        <v>46</v>
      </c>
      <c r="M1655" s="8" t="s">
        <v>2778</v>
      </c>
      <c r="N1655" s="8" t="s">
        <v>172</v>
      </c>
      <c r="O1655" s="8">
        <v>1380.25</v>
      </c>
      <c r="P1655" s="8">
        <v>1533.61</v>
      </c>
      <c r="Q1655" s="8" t="s">
        <v>2713</v>
      </c>
      <c r="R1655" s="8" t="s">
        <v>177</v>
      </c>
    </row>
    <row r="1656" spans="1:20" x14ac:dyDescent="0.2">
      <c r="A1656" s="8" t="s">
        <v>4737</v>
      </c>
      <c r="B1656" s="8" t="str">
        <f t="shared" si="50"/>
        <v>1586244494</v>
      </c>
      <c r="C1656" s="8" t="str">
        <f t="shared" si="51"/>
        <v>1691</v>
      </c>
      <c r="D1656" s="8" t="s">
        <v>119</v>
      </c>
      <c r="F1656" s="8" t="s">
        <v>136</v>
      </c>
      <c r="G1656" s="8" t="s">
        <v>172</v>
      </c>
      <c r="H1656" s="8" t="s">
        <v>173</v>
      </c>
      <c r="I1656" s="8" t="s">
        <v>174</v>
      </c>
      <c r="J1656" s="8" t="s">
        <v>175</v>
      </c>
      <c r="K1656" s="8" t="s">
        <v>176</v>
      </c>
      <c r="L1656" s="8" t="s">
        <v>46</v>
      </c>
      <c r="M1656" s="8" t="s">
        <v>2778</v>
      </c>
      <c r="N1656" s="8" t="s">
        <v>172</v>
      </c>
      <c r="O1656" s="8">
        <v>1380.25</v>
      </c>
      <c r="P1656" s="8">
        <v>1533.61</v>
      </c>
      <c r="Q1656" s="8" t="s">
        <v>2713</v>
      </c>
      <c r="R1656" s="8" t="s">
        <v>1598</v>
      </c>
    </row>
    <row r="1657" spans="1:20" x14ac:dyDescent="0.2">
      <c r="A1657" s="8" t="s">
        <v>3196</v>
      </c>
      <c r="B1657" s="8" t="str">
        <f t="shared" si="50"/>
        <v>1586244494</v>
      </c>
      <c r="C1657" s="8" t="str">
        <f t="shared" si="51"/>
        <v>1692</v>
      </c>
      <c r="D1657" s="8" t="s">
        <v>119</v>
      </c>
      <c r="F1657" s="8" t="s">
        <v>136</v>
      </c>
      <c r="G1657" s="8" t="s">
        <v>172</v>
      </c>
      <c r="H1657" s="8" t="s">
        <v>173</v>
      </c>
      <c r="I1657" s="8" t="s">
        <v>174</v>
      </c>
      <c r="J1657" s="8" t="s">
        <v>175</v>
      </c>
      <c r="K1657" s="8" t="s">
        <v>176</v>
      </c>
      <c r="L1657" s="8" t="s">
        <v>46</v>
      </c>
      <c r="M1657" s="8" t="s">
        <v>2778</v>
      </c>
      <c r="N1657" s="8" t="s">
        <v>172</v>
      </c>
      <c r="O1657" s="8">
        <v>1380.25</v>
      </c>
      <c r="P1657" s="8">
        <v>1533.61</v>
      </c>
      <c r="Q1657" s="8" t="s">
        <v>2713</v>
      </c>
      <c r="R1657" s="8" t="s">
        <v>920</v>
      </c>
    </row>
    <row r="1658" spans="1:20" x14ac:dyDescent="0.2">
      <c r="A1658" s="8" t="s">
        <v>4753</v>
      </c>
      <c r="B1658" s="8" t="str">
        <f t="shared" si="50"/>
        <v>1586244494</v>
      </c>
      <c r="C1658" s="8" t="str">
        <f t="shared" si="51"/>
        <v>1693</v>
      </c>
      <c r="D1658" s="8" t="s">
        <v>119</v>
      </c>
      <c r="F1658" s="8" t="s">
        <v>136</v>
      </c>
      <c r="G1658" s="8" t="s">
        <v>172</v>
      </c>
      <c r="H1658" s="8" t="s">
        <v>173</v>
      </c>
      <c r="I1658" s="8" t="s">
        <v>174</v>
      </c>
      <c r="J1658" s="8" t="s">
        <v>175</v>
      </c>
      <c r="K1658" s="8" t="s">
        <v>176</v>
      </c>
      <c r="L1658" s="8" t="s">
        <v>46</v>
      </c>
      <c r="M1658" s="8" t="s">
        <v>2778</v>
      </c>
      <c r="N1658" s="8" t="s">
        <v>172</v>
      </c>
      <c r="O1658" s="8">
        <v>1380.25</v>
      </c>
      <c r="P1658" s="8">
        <v>1533.61</v>
      </c>
      <c r="Q1658" s="8" t="s">
        <v>2713</v>
      </c>
      <c r="R1658" s="8" t="s">
        <v>1600</v>
      </c>
    </row>
    <row r="1659" spans="1:20" x14ac:dyDescent="0.2">
      <c r="A1659" s="8" t="s">
        <v>3083</v>
      </c>
      <c r="B1659" s="8" t="str">
        <f t="shared" si="50"/>
        <v>1586244494</v>
      </c>
      <c r="C1659" s="8" t="str">
        <f t="shared" si="51"/>
        <v>1694</v>
      </c>
      <c r="D1659" s="8" t="s">
        <v>119</v>
      </c>
      <c r="F1659" s="8" t="s">
        <v>136</v>
      </c>
      <c r="G1659" s="8" t="s">
        <v>172</v>
      </c>
      <c r="H1659" s="8" t="s">
        <v>173</v>
      </c>
      <c r="I1659" s="8" t="s">
        <v>174</v>
      </c>
      <c r="J1659" s="8" t="s">
        <v>175</v>
      </c>
      <c r="K1659" s="8" t="s">
        <v>176</v>
      </c>
      <c r="L1659" s="8" t="s">
        <v>46</v>
      </c>
      <c r="M1659" s="8" t="s">
        <v>2778</v>
      </c>
      <c r="N1659" s="8" t="s">
        <v>172</v>
      </c>
      <c r="O1659" s="8">
        <v>1380.25</v>
      </c>
      <c r="P1659" s="8">
        <v>1533.61</v>
      </c>
      <c r="Q1659" s="8" t="s">
        <v>2713</v>
      </c>
      <c r="R1659" s="8" t="s">
        <v>1395</v>
      </c>
    </row>
    <row r="1660" spans="1:20" x14ac:dyDescent="0.2">
      <c r="A1660" s="8" t="s">
        <v>3714</v>
      </c>
      <c r="B1660" s="8" t="str">
        <f t="shared" si="50"/>
        <v>1586244494</v>
      </c>
      <c r="C1660" s="8" t="str">
        <f t="shared" si="51"/>
        <v>1695</v>
      </c>
      <c r="D1660" s="8" t="s">
        <v>119</v>
      </c>
      <c r="F1660" s="8" t="s">
        <v>136</v>
      </c>
      <c r="G1660" s="8" t="s">
        <v>172</v>
      </c>
      <c r="H1660" s="8" t="s">
        <v>173</v>
      </c>
      <c r="I1660" s="8" t="s">
        <v>174</v>
      </c>
      <c r="J1660" s="8" t="s">
        <v>175</v>
      </c>
      <c r="K1660" s="8" t="s">
        <v>176</v>
      </c>
      <c r="L1660" s="8" t="s">
        <v>46</v>
      </c>
      <c r="M1660" s="8" t="s">
        <v>2778</v>
      </c>
      <c r="N1660" s="8" t="s">
        <v>172</v>
      </c>
      <c r="O1660" s="8">
        <v>1380.25</v>
      </c>
      <c r="P1660" s="8">
        <v>1533.61</v>
      </c>
      <c r="Q1660" s="8" t="s">
        <v>2713</v>
      </c>
      <c r="R1660" s="8" t="s">
        <v>2224</v>
      </c>
    </row>
    <row r="1661" spans="1:20" x14ac:dyDescent="0.2">
      <c r="A1661" s="8" t="s">
        <v>4198</v>
      </c>
      <c r="B1661" s="8" t="str">
        <f t="shared" si="50"/>
        <v>1586244494</v>
      </c>
      <c r="C1661" s="8" t="str">
        <f t="shared" si="51"/>
        <v>1696</v>
      </c>
      <c r="D1661" s="8" t="s">
        <v>119</v>
      </c>
      <c r="F1661" s="8" t="s">
        <v>136</v>
      </c>
      <c r="G1661" s="8" t="s">
        <v>172</v>
      </c>
      <c r="H1661" s="8" t="s">
        <v>173</v>
      </c>
      <c r="I1661" s="8" t="s">
        <v>174</v>
      </c>
      <c r="J1661" s="8" t="s">
        <v>175</v>
      </c>
      <c r="K1661" s="8" t="s">
        <v>176</v>
      </c>
      <c r="L1661" s="8" t="s">
        <v>46</v>
      </c>
      <c r="M1661" s="8" t="s">
        <v>2778</v>
      </c>
      <c r="N1661" s="8" t="s">
        <v>172</v>
      </c>
      <c r="O1661" s="8">
        <v>1380.25</v>
      </c>
      <c r="P1661" s="8">
        <v>1533.61</v>
      </c>
      <c r="Q1661" s="8" t="s">
        <v>2713</v>
      </c>
      <c r="R1661" s="8" t="s">
        <v>518</v>
      </c>
    </row>
    <row r="1662" spans="1:20" x14ac:dyDescent="0.2">
      <c r="A1662" s="8" t="s">
        <v>3468</v>
      </c>
      <c r="B1662" s="8" t="str">
        <f t="shared" si="50"/>
        <v>1586244494</v>
      </c>
      <c r="C1662" s="8" t="str">
        <f t="shared" si="51"/>
        <v>1697</v>
      </c>
      <c r="D1662" s="8" t="s">
        <v>119</v>
      </c>
      <c r="F1662" s="8" t="s">
        <v>136</v>
      </c>
      <c r="G1662" s="8" t="s">
        <v>172</v>
      </c>
      <c r="H1662" s="8" t="s">
        <v>173</v>
      </c>
      <c r="I1662" s="8" t="s">
        <v>174</v>
      </c>
      <c r="J1662" s="8" t="s">
        <v>175</v>
      </c>
      <c r="K1662" s="8" t="s">
        <v>176</v>
      </c>
      <c r="L1662" s="8" t="s">
        <v>46</v>
      </c>
      <c r="M1662" s="8" t="s">
        <v>2778</v>
      </c>
      <c r="N1662" s="8" t="s">
        <v>172</v>
      </c>
      <c r="O1662" s="8">
        <v>1380.25</v>
      </c>
      <c r="P1662" s="8">
        <v>1533.61</v>
      </c>
      <c r="Q1662" s="8" t="s">
        <v>2713</v>
      </c>
      <c r="S1662" s="8" t="s">
        <v>1192</v>
      </c>
      <c r="T1662" s="8">
        <v>496.48</v>
      </c>
    </row>
    <row r="1663" spans="1:20" x14ac:dyDescent="0.2">
      <c r="A1663" s="8" t="s">
        <v>4544</v>
      </c>
      <c r="B1663" s="8" t="str">
        <f t="shared" si="50"/>
        <v>1586244494</v>
      </c>
      <c r="C1663" s="8" t="str">
        <f t="shared" si="51"/>
        <v>1698</v>
      </c>
      <c r="D1663" s="8" t="s">
        <v>119</v>
      </c>
      <c r="F1663" s="8" t="s">
        <v>136</v>
      </c>
      <c r="G1663" s="8" t="s">
        <v>172</v>
      </c>
      <c r="H1663" s="8" t="s">
        <v>173</v>
      </c>
      <c r="I1663" s="8" t="s">
        <v>174</v>
      </c>
      <c r="J1663" s="8" t="s">
        <v>175</v>
      </c>
      <c r="K1663" s="8" t="s">
        <v>176</v>
      </c>
      <c r="L1663" s="8" t="s">
        <v>46</v>
      </c>
      <c r="M1663" s="8" t="s">
        <v>2778</v>
      </c>
      <c r="N1663" s="8" t="s">
        <v>172</v>
      </c>
      <c r="O1663" s="8">
        <v>1380.25</v>
      </c>
      <c r="P1663" s="8">
        <v>1533.61</v>
      </c>
      <c r="Q1663" s="8" t="s">
        <v>2713</v>
      </c>
      <c r="S1663" s="8" t="s">
        <v>542</v>
      </c>
      <c r="T1663" s="8">
        <v>878.61</v>
      </c>
    </row>
    <row r="1664" spans="1:20" x14ac:dyDescent="0.2">
      <c r="A1664" s="8" t="s">
        <v>3849</v>
      </c>
      <c r="B1664" s="8" t="str">
        <f t="shared" si="50"/>
        <v>1586244498</v>
      </c>
      <c r="C1664" s="8" t="str">
        <f t="shared" si="51"/>
        <v>1699</v>
      </c>
      <c r="D1664" s="8" t="s">
        <v>119</v>
      </c>
      <c r="F1664" s="8" t="s">
        <v>136</v>
      </c>
      <c r="G1664" s="8" t="s">
        <v>850</v>
      </c>
      <c r="H1664" s="8" t="s">
        <v>851</v>
      </c>
      <c r="I1664" s="8" t="s">
        <v>71</v>
      </c>
      <c r="J1664" s="8" t="s">
        <v>852</v>
      </c>
      <c r="K1664" s="8" t="s">
        <v>853</v>
      </c>
      <c r="L1664" s="8" t="s">
        <v>854</v>
      </c>
      <c r="M1664" s="8" t="s">
        <v>2778</v>
      </c>
      <c r="N1664" s="8" t="s">
        <v>850</v>
      </c>
      <c r="O1664" s="8">
        <v>790.08</v>
      </c>
      <c r="P1664" s="8">
        <v>877.87</v>
      </c>
      <c r="Q1664" s="8" t="s">
        <v>2714</v>
      </c>
      <c r="R1664" s="8" t="s">
        <v>1935</v>
      </c>
    </row>
    <row r="1665" spans="1:20" x14ac:dyDescent="0.2">
      <c r="A1665" s="8" t="s">
        <v>3314</v>
      </c>
      <c r="B1665" s="8" t="str">
        <f t="shared" si="50"/>
        <v>1586244498</v>
      </c>
      <c r="C1665" s="8" t="str">
        <f t="shared" si="51"/>
        <v>1700</v>
      </c>
      <c r="D1665" s="8" t="s">
        <v>119</v>
      </c>
      <c r="F1665" s="8" t="s">
        <v>136</v>
      </c>
      <c r="G1665" s="8" t="s">
        <v>850</v>
      </c>
      <c r="H1665" s="8" t="s">
        <v>851</v>
      </c>
      <c r="I1665" s="8" t="s">
        <v>71</v>
      </c>
      <c r="J1665" s="8" t="s">
        <v>852</v>
      </c>
      <c r="K1665" s="8" t="s">
        <v>853</v>
      </c>
      <c r="L1665" s="8" t="s">
        <v>854</v>
      </c>
      <c r="M1665" s="8" t="s">
        <v>2778</v>
      </c>
      <c r="N1665" s="8" t="s">
        <v>850</v>
      </c>
      <c r="O1665" s="8">
        <v>790.08</v>
      </c>
      <c r="P1665" s="8">
        <v>877.87</v>
      </c>
      <c r="Q1665" s="8" t="s">
        <v>2714</v>
      </c>
      <c r="R1665" s="8" t="s">
        <v>855</v>
      </c>
    </row>
    <row r="1666" spans="1:20" x14ac:dyDescent="0.2">
      <c r="A1666" s="8" t="s">
        <v>4345</v>
      </c>
      <c r="B1666" s="8" t="str">
        <f t="shared" ref="B1666:B1729" si="52">LEFT(A1666, FIND("-", A1666) - 1)</f>
        <v>1586244498</v>
      </c>
      <c r="C1666" s="8" t="str">
        <f t="shared" ref="C1666:C1729" si="53">RIGHT(A1666, LEN(A1666) - FIND("-", A1666))</f>
        <v>1701</v>
      </c>
      <c r="D1666" s="8" t="s">
        <v>119</v>
      </c>
      <c r="F1666" s="8" t="s">
        <v>136</v>
      </c>
      <c r="G1666" s="8" t="s">
        <v>850</v>
      </c>
      <c r="H1666" s="8" t="s">
        <v>851</v>
      </c>
      <c r="I1666" s="8" t="s">
        <v>71</v>
      </c>
      <c r="J1666" s="8" t="s">
        <v>852</v>
      </c>
      <c r="K1666" s="8" t="s">
        <v>853</v>
      </c>
      <c r="L1666" s="8" t="s">
        <v>854</v>
      </c>
      <c r="M1666" s="8" t="s">
        <v>2778</v>
      </c>
      <c r="N1666" s="8" t="s">
        <v>850</v>
      </c>
      <c r="O1666" s="8">
        <v>790.08</v>
      </c>
      <c r="P1666" s="8">
        <v>877.87</v>
      </c>
      <c r="Q1666" s="8" t="s">
        <v>2714</v>
      </c>
      <c r="R1666" s="8" t="s">
        <v>2407</v>
      </c>
    </row>
    <row r="1667" spans="1:20" x14ac:dyDescent="0.2">
      <c r="A1667" s="8" t="s">
        <v>4107</v>
      </c>
      <c r="B1667" s="8" t="str">
        <f t="shared" si="52"/>
        <v>1586244498</v>
      </c>
      <c r="C1667" s="8" t="str">
        <f t="shared" si="53"/>
        <v>1702</v>
      </c>
      <c r="D1667" s="8" t="s">
        <v>119</v>
      </c>
      <c r="F1667" s="8" t="s">
        <v>136</v>
      </c>
      <c r="G1667" s="8" t="s">
        <v>850</v>
      </c>
      <c r="H1667" s="8" t="s">
        <v>851</v>
      </c>
      <c r="I1667" s="8" t="s">
        <v>71</v>
      </c>
      <c r="J1667" s="8" t="s">
        <v>852</v>
      </c>
      <c r="K1667" s="8" t="s">
        <v>853</v>
      </c>
      <c r="L1667" s="8" t="s">
        <v>854</v>
      </c>
      <c r="M1667" s="8" t="s">
        <v>2778</v>
      </c>
      <c r="N1667" s="8" t="s">
        <v>850</v>
      </c>
      <c r="O1667" s="8">
        <v>790.08</v>
      </c>
      <c r="P1667" s="8">
        <v>877.87</v>
      </c>
      <c r="Q1667" s="8" t="s">
        <v>2714</v>
      </c>
      <c r="R1667" s="8" t="s">
        <v>1242</v>
      </c>
    </row>
    <row r="1668" spans="1:20" x14ac:dyDescent="0.2">
      <c r="A1668" s="8" t="s">
        <v>3607</v>
      </c>
      <c r="B1668" s="8" t="str">
        <f t="shared" si="52"/>
        <v>1586244498</v>
      </c>
      <c r="C1668" s="8" t="str">
        <f t="shared" si="53"/>
        <v>1703</v>
      </c>
      <c r="D1668" s="8" t="s">
        <v>119</v>
      </c>
      <c r="F1668" s="8" t="s">
        <v>136</v>
      </c>
      <c r="G1668" s="8" t="s">
        <v>850</v>
      </c>
      <c r="H1668" s="8" t="s">
        <v>851</v>
      </c>
      <c r="I1668" s="8" t="s">
        <v>71</v>
      </c>
      <c r="J1668" s="8" t="s">
        <v>852</v>
      </c>
      <c r="K1668" s="8" t="s">
        <v>853</v>
      </c>
      <c r="L1668" s="8" t="s">
        <v>854</v>
      </c>
      <c r="M1668" s="8" t="s">
        <v>2778</v>
      </c>
      <c r="N1668" s="8" t="s">
        <v>850</v>
      </c>
      <c r="O1668" s="8">
        <v>790.08</v>
      </c>
      <c r="P1668" s="8">
        <v>877.87</v>
      </c>
      <c r="Q1668" s="8" t="s">
        <v>2714</v>
      </c>
      <c r="S1668" s="8" t="s">
        <v>1116</v>
      </c>
      <c r="T1668" s="8">
        <v>75.25</v>
      </c>
    </row>
    <row r="1669" spans="1:20" x14ac:dyDescent="0.2">
      <c r="A1669" s="8" t="s">
        <v>2991</v>
      </c>
      <c r="B1669" s="8" t="str">
        <f t="shared" si="52"/>
        <v>1586244500</v>
      </c>
      <c r="C1669" s="8" t="str">
        <f t="shared" si="53"/>
        <v>1704</v>
      </c>
      <c r="D1669" s="8" t="s">
        <v>119</v>
      </c>
      <c r="F1669" s="8" t="s">
        <v>136</v>
      </c>
      <c r="G1669" s="8" t="s">
        <v>850</v>
      </c>
      <c r="H1669" s="8" t="s">
        <v>851</v>
      </c>
      <c r="I1669" s="8" t="s">
        <v>58</v>
      </c>
      <c r="J1669" s="8" t="s">
        <v>1782</v>
      </c>
      <c r="K1669" s="8" t="s">
        <v>853</v>
      </c>
      <c r="L1669" s="8" t="s">
        <v>1783</v>
      </c>
      <c r="M1669" s="8" t="s">
        <v>2778</v>
      </c>
      <c r="N1669" s="8" t="s">
        <v>850</v>
      </c>
      <c r="O1669" s="8">
        <v>864.59</v>
      </c>
      <c r="P1669" s="8">
        <v>960.66</v>
      </c>
      <c r="Q1669" s="8" t="s">
        <v>2715</v>
      </c>
      <c r="R1669" s="8" t="s">
        <v>2322</v>
      </c>
    </row>
    <row r="1670" spans="1:20" x14ac:dyDescent="0.2">
      <c r="A1670" s="8" t="s">
        <v>4625</v>
      </c>
      <c r="B1670" s="8" t="str">
        <f t="shared" si="52"/>
        <v>1586244500</v>
      </c>
      <c r="C1670" s="8" t="str">
        <f t="shared" si="53"/>
        <v>1705</v>
      </c>
      <c r="D1670" s="8" t="s">
        <v>119</v>
      </c>
      <c r="F1670" s="8" t="s">
        <v>136</v>
      </c>
      <c r="G1670" s="8" t="s">
        <v>850</v>
      </c>
      <c r="H1670" s="8" t="s">
        <v>851</v>
      </c>
      <c r="I1670" s="8" t="s">
        <v>58</v>
      </c>
      <c r="J1670" s="8" t="s">
        <v>1782</v>
      </c>
      <c r="K1670" s="8" t="s">
        <v>853</v>
      </c>
      <c r="L1670" s="8" t="s">
        <v>1783</v>
      </c>
      <c r="M1670" s="8" t="s">
        <v>2778</v>
      </c>
      <c r="N1670" s="8" t="s">
        <v>850</v>
      </c>
      <c r="O1670" s="8">
        <v>864.59</v>
      </c>
      <c r="P1670" s="8">
        <v>960.66</v>
      </c>
      <c r="Q1670" s="8" t="s">
        <v>2715</v>
      </c>
      <c r="R1670" s="8" t="s">
        <v>1784</v>
      </c>
    </row>
    <row r="1671" spans="1:20" x14ac:dyDescent="0.2">
      <c r="A1671" s="8" t="s">
        <v>4043</v>
      </c>
      <c r="B1671" s="8" t="str">
        <f t="shared" si="52"/>
        <v>1586244500</v>
      </c>
      <c r="C1671" s="8" t="str">
        <f t="shared" si="53"/>
        <v>1706</v>
      </c>
      <c r="D1671" s="8" t="s">
        <v>119</v>
      </c>
      <c r="F1671" s="8" t="s">
        <v>136</v>
      </c>
      <c r="G1671" s="8" t="s">
        <v>850</v>
      </c>
      <c r="H1671" s="8" t="s">
        <v>851</v>
      </c>
      <c r="I1671" s="8" t="s">
        <v>58</v>
      </c>
      <c r="J1671" s="8" t="s">
        <v>1782</v>
      </c>
      <c r="K1671" s="8" t="s">
        <v>853</v>
      </c>
      <c r="L1671" s="8" t="s">
        <v>1783</v>
      </c>
      <c r="M1671" s="8" t="s">
        <v>2778</v>
      </c>
      <c r="N1671" s="8" t="s">
        <v>850</v>
      </c>
      <c r="O1671" s="8">
        <v>864.59</v>
      </c>
      <c r="P1671" s="8">
        <v>960.66</v>
      </c>
      <c r="Q1671" s="8" t="s">
        <v>2715</v>
      </c>
      <c r="S1671" s="8" t="s">
        <v>142</v>
      </c>
      <c r="T1671" s="8">
        <v>132.05000000000001</v>
      </c>
    </row>
    <row r="1672" spans="1:20" x14ac:dyDescent="0.2">
      <c r="A1672" s="8" t="s">
        <v>3411</v>
      </c>
      <c r="B1672" s="8" t="str">
        <f t="shared" si="52"/>
        <v>1586244502</v>
      </c>
      <c r="C1672" s="8" t="str">
        <f t="shared" si="53"/>
        <v>1707</v>
      </c>
      <c r="D1672" s="8" t="s">
        <v>119</v>
      </c>
      <c r="F1672" s="8" t="s">
        <v>136</v>
      </c>
      <c r="G1672" s="8" t="s">
        <v>850</v>
      </c>
      <c r="H1672" s="8" t="s">
        <v>851</v>
      </c>
      <c r="I1672" s="8" t="s">
        <v>58</v>
      </c>
      <c r="J1672" s="8" t="s">
        <v>1117</v>
      </c>
      <c r="K1672" s="8" t="s">
        <v>1118</v>
      </c>
      <c r="L1672" s="8" t="s">
        <v>1119</v>
      </c>
      <c r="M1672" s="8" t="s">
        <v>2778</v>
      </c>
      <c r="N1672" s="8" t="s">
        <v>850</v>
      </c>
      <c r="O1672" s="8">
        <v>1707.05</v>
      </c>
      <c r="P1672" s="8">
        <v>1896.72</v>
      </c>
      <c r="Q1672" s="8" t="s">
        <v>2716</v>
      </c>
      <c r="R1672" s="8" t="s">
        <v>1411</v>
      </c>
    </row>
    <row r="1673" spans="1:20" x14ac:dyDescent="0.2">
      <c r="A1673" s="8" t="s">
        <v>4694</v>
      </c>
      <c r="B1673" s="8" t="str">
        <f t="shared" si="52"/>
        <v>1586244502</v>
      </c>
      <c r="C1673" s="8" t="str">
        <f t="shared" si="53"/>
        <v>1708</v>
      </c>
      <c r="D1673" s="8" t="s">
        <v>119</v>
      </c>
      <c r="F1673" s="8" t="s">
        <v>136</v>
      </c>
      <c r="G1673" s="8" t="s">
        <v>850</v>
      </c>
      <c r="H1673" s="8" t="s">
        <v>851</v>
      </c>
      <c r="I1673" s="8" t="s">
        <v>58</v>
      </c>
      <c r="J1673" s="8" t="s">
        <v>1117</v>
      </c>
      <c r="K1673" s="8" t="s">
        <v>1118</v>
      </c>
      <c r="L1673" s="8" t="s">
        <v>1119</v>
      </c>
      <c r="M1673" s="8" t="s">
        <v>2778</v>
      </c>
      <c r="N1673" s="8" t="s">
        <v>850</v>
      </c>
      <c r="O1673" s="8">
        <v>1707.05</v>
      </c>
      <c r="P1673" s="8">
        <v>1896.72</v>
      </c>
      <c r="Q1673" s="8" t="s">
        <v>2716</v>
      </c>
      <c r="R1673" s="8" t="s">
        <v>1681</v>
      </c>
    </row>
    <row r="1674" spans="1:20" x14ac:dyDescent="0.2">
      <c r="A1674" s="8" t="s">
        <v>4630</v>
      </c>
      <c r="B1674" s="8" t="str">
        <f t="shared" si="52"/>
        <v>1586244502</v>
      </c>
      <c r="C1674" s="8" t="str">
        <f t="shared" si="53"/>
        <v>1709</v>
      </c>
      <c r="D1674" s="8" t="s">
        <v>119</v>
      </c>
      <c r="F1674" s="8" t="s">
        <v>136</v>
      </c>
      <c r="G1674" s="8" t="s">
        <v>850</v>
      </c>
      <c r="H1674" s="8" t="s">
        <v>851</v>
      </c>
      <c r="I1674" s="8" t="s">
        <v>58</v>
      </c>
      <c r="J1674" s="8" t="s">
        <v>1117</v>
      </c>
      <c r="K1674" s="8" t="s">
        <v>1118</v>
      </c>
      <c r="L1674" s="8" t="s">
        <v>1119</v>
      </c>
      <c r="M1674" s="8" t="s">
        <v>2778</v>
      </c>
      <c r="N1674" s="8" t="s">
        <v>850</v>
      </c>
      <c r="O1674" s="8">
        <v>1707.05</v>
      </c>
      <c r="P1674" s="8">
        <v>1896.72</v>
      </c>
      <c r="Q1674" s="8" t="s">
        <v>2716</v>
      </c>
      <c r="R1674" s="8" t="s">
        <v>1120</v>
      </c>
    </row>
    <row r="1675" spans="1:20" x14ac:dyDescent="0.2">
      <c r="A1675" s="8" t="s">
        <v>3385</v>
      </c>
      <c r="B1675" s="8" t="str">
        <f t="shared" si="52"/>
        <v>1586244504</v>
      </c>
      <c r="C1675" s="8" t="str">
        <f t="shared" si="53"/>
        <v>1710</v>
      </c>
      <c r="D1675" s="8" t="s">
        <v>119</v>
      </c>
      <c r="F1675" s="8" t="s">
        <v>136</v>
      </c>
      <c r="G1675" s="8" t="s">
        <v>850</v>
      </c>
      <c r="H1675" s="8" t="s">
        <v>851</v>
      </c>
      <c r="I1675" s="8" t="s">
        <v>58</v>
      </c>
      <c r="J1675" s="8" t="s">
        <v>989</v>
      </c>
      <c r="K1675" s="8" t="s">
        <v>990</v>
      </c>
      <c r="L1675" s="8" t="s">
        <v>991</v>
      </c>
      <c r="M1675" s="8" t="s">
        <v>2778</v>
      </c>
      <c r="N1675" s="8" t="s">
        <v>850</v>
      </c>
      <c r="O1675" s="8">
        <v>1800.74</v>
      </c>
      <c r="P1675" s="8">
        <v>2000.82</v>
      </c>
      <c r="Q1675" s="8" t="s">
        <v>2717</v>
      </c>
      <c r="R1675" s="8" t="s">
        <v>2315</v>
      </c>
    </row>
    <row r="1676" spans="1:20" x14ac:dyDescent="0.2">
      <c r="A1676" s="8" t="s">
        <v>3510</v>
      </c>
      <c r="B1676" s="8" t="str">
        <f t="shared" si="52"/>
        <v>1586244504</v>
      </c>
      <c r="C1676" s="8" t="str">
        <f t="shared" si="53"/>
        <v>1711</v>
      </c>
      <c r="D1676" s="8" t="s">
        <v>119</v>
      </c>
      <c r="F1676" s="8" t="s">
        <v>136</v>
      </c>
      <c r="G1676" s="8" t="s">
        <v>850</v>
      </c>
      <c r="H1676" s="8" t="s">
        <v>851</v>
      </c>
      <c r="I1676" s="8" t="s">
        <v>58</v>
      </c>
      <c r="J1676" s="8" t="s">
        <v>989</v>
      </c>
      <c r="K1676" s="8" t="s">
        <v>990</v>
      </c>
      <c r="L1676" s="8" t="s">
        <v>991</v>
      </c>
      <c r="M1676" s="8" t="s">
        <v>2778</v>
      </c>
      <c r="N1676" s="8" t="s">
        <v>850</v>
      </c>
      <c r="O1676" s="8">
        <v>1800.74</v>
      </c>
      <c r="P1676" s="8">
        <v>2000.82</v>
      </c>
      <c r="Q1676" s="8" t="s">
        <v>2717</v>
      </c>
      <c r="R1676" s="8" t="s">
        <v>1703</v>
      </c>
    </row>
    <row r="1677" spans="1:20" x14ac:dyDescent="0.2">
      <c r="A1677" s="8" t="s">
        <v>4125</v>
      </c>
      <c r="B1677" s="8" t="str">
        <f t="shared" si="52"/>
        <v>1586244504</v>
      </c>
      <c r="C1677" s="8" t="str">
        <f t="shared" si="53"/>
        <v>1712</v>
      </c>
      <c r="D1677" s="8" t="s">
        <v>119</v>
      </c>
      <c r="F1677" s="8" t="s">
        <v>136</v>
      </c>
      <c r="G1677" s="8" t="s">
        <v>850</v>
      </c>
      <c r="H1677" s="8" t="s">
        <v>851</v>
      </c>
      <c r="I1677" s="8" t="s">
        <v>58</v>
      </c>
      <c r="J1677" s="8" t="s">
        <v>989</v>
      </c>
      <c r="K1677" s="8" t="s">
        <v>990</v>
      </c>
      <c r="L1677" s="8" t="s">
        <v>991</v>
      </c>
      <c r="M1677" s="8" t="s">
        <v>2778</v>
      </c>
      <c r="N1677" s="8" t="s">
        <v>850</v>
      </c>
      <c r="O1677" s="8">
        <v>1800.74</v>
      </c>
      <c r="P1677" s="8">
        <v>2000.82</v>
      </c>
      <c r="Q1677" s="8" t="s">
        <v>2717</v>
      </c>
      <c r="R1677" s="8" t="s">
        <v>992</v>
      </c>
    </row>
    <row r="1678" spans="1:20" x14ac:dyDescent="0.2">
      <c r="A1678" s="8" t="s">
        <v>3041</v>
      </c>
      <c r="B1678" s="8" t="str">
        <f t="shared" si="52"/>
        <v>1586244508</v>
      </c>
      <c r="C1678" s="8" t="str">
        <f t="shared" si="53"/>
        <v>1713</v>
      </c>
      <c r="D1678" s="8" t="s">
        <v>119</v>
      </c>
      <c r="F1678" s="8" t="s">
        <v>136</v>
      </c>
      <c r="G1678" s="8" t="s">
        <v>621</v>
      </c>
      <c r="H1678" s="8" t="s">
        <v>622</v>
      </c>
      <c r="I1678" s="8" t="s">
        <v>623</v>
      </c>
      <c r="J1678" s="8" t="s">
        <v>624</v>
      </c>
      <c r="K1678" s="8" t="s">
        <v>625</v>
      </c>
      <c r="L1678" s="8" t="s">
        <v>626</v>
      </c>
      <c r="M1678" s="8" t="s">
        <v>2778</v>
      </c>
      <c r="N1678" s="8" t="s">
        <v>621</v>
      </c>
      <c r="O1678" s="8">
        <v>1399.43</v>
      </c>
      <c r="P1678" s="8">
        <v>1554.92</v>
      </c>
      <c r="Q1678" s="8" t="s">
        <v>2718</v>
      </c>
      <c r="R1678" s="8" t="s">
        <v>2004</v>
      </c>
    </row>
    <row r="1679" spans="1:20" x14ac:dyDescent="0.2">
      <c r="A1679" s="8" t="s">
        <v>3783</v>
      </c>
      <c r="B1679" s="8" t="str">
        <f t="shared" si="52"/>
        <v>1586244508</v>
      </c>
      <c r="C1679" s="8" t="str">
        <f t="shared" si="53"/>
        <v>1714</v>
      </c>
      <c r="D1679" s="8" t="s">
        <v>119</v>
      </c>
      <c r="F1679" s="8" t="s">
        <v>136</v>
      </c>
      <c r="G1679" s="8" t="s">
        <v>621</v>
      </c>
      <c r="H1679" s="8" t="s">
        <v>622</v>
      </c>
      <c r="I1679" s="8" t="s">
        <v>623</v>
      </c>
      <c r="J1679" s="8" t="s">
        <v>624</v>
      </c>
      <c r="K1679" s="8" t="s">
        <v>625</v>
      </c>
      <c r="L1679" s="8" t="s">
        <v>626</v>
      </c>
      <c r="M1679" s="8" t="s">
        <v>2778</v>
      </c>
      <c r="N1679" s="8" t="s">
        <v>621</v>
      </c>
      <c r="O1679" s="8">
        <v>1399.43</v>
      </c>
      <c r="P1679" s="8">
        <v>1554.92</v>
      </c>
      <c r="Q1679" s="8" t="s">
        <v>2718</v>
      </c>
      <c r="R1679" s="8" t="s">
        <v>627</v>
      </c>
    </row>
    <row r="1680" spans="1:20" x14ac:dyDescent="0.2">
      <c r="A1680" s="8" t="s">
        <v>4535</v>
      </c>
      <c r="B1680" s="8" t="str">
        <f t="shared" si="52"/>
        <v>1586244512</v>
      </c>
      <c r="C1680" s="8" t="str">
        <f t="shared" si="53"/>
        <v>1715</v>
      </c>
      <c r="D1680" s="8" t="s">
        <v>119</v>
      </c>
      <c r="F1680" s="8" t="s">
        <v>136</v>
      </c>
      <c r="G1680" s="8" t="s">
        <v>1963</v>
      </c>
      <c r="H1680" s="8" t="s">
        <v>1964</v>
      </c>
      <c r="I1680" s="8" t="s">
        <v>623</v>
      </c>
      <c r="J1680" s="8" t="s">
        <v>1965</v>
      </c>
      <c r="K1680" s="8" t="s">
        <v>625</v>
      </c>
      <c r="L1680" s="8" t="s">
        <v>1966</v>
      </c>
      <c r="M1680" s="8" t="s">
        <v>2778</v>
      </c>
      <c r="N1680" s="8" t="s">
        <v>1963</v>
      </c>
      <c r="O1680" s="8">
        <v>1287.3</v>
      </c>
      <c r="P1680" s="8">
        <v>1430.33</v>
      </c>
      <c r="Q1680" s="8" t="s">
        <v>2719</v>
      </c>
      <c r="R1680" s="8" t="s">
        <v>2367</v>
      </c>
    </row>
    <row r="1681" spans="1:20" x14ac:dyDescent="0.2">
      <c r="A1681" s="8" t="s">
        <v>3772</v>
      </c>
      <c r="B1681" s="8" t="str">
        <f t="shared" si="52"/>
        <v>1586244512</v>
      </c>
      <c r="C1681" s="8" t="str">
        <f t="shared" si="53"/>
        <v>1716</v>
      </c>
      <c r="D1681" s="8" t="s">
        <v>119</v>
      </c>
      <c r="F1681" s="8" t="s">
        <v>136</v>
      </c>
      <c r="G1681" s="8" t="s">
        <v>1963</v>
      </c>
      <c r="H1681" s="8" t="s">
        <v>1964</v>
      </c>
      <c r="I1681" s="8" t="s">
        <v>623</v>
      </c>
      <c r="J1681" s="8" t="s">
        <v>1965</v>
      </c>
      <c r="K1681" s="8" t="s">
        <v>625</v>
      </c>
      <c r="L1681" s="8" t="s">
        <v>1966</v>
      </c>
      <c r="M1681" s="8" t="s">
        <v>2778</v>
      </c>
      <c r="N1681" s="8" t="s">
        <v>1963</v>
      </c>
      <c r="O1681" s="8">
        <v>1287.3</v>
      </c>
      <c r="P1681" s="8">
        <v>1430.33</v>
      </c>
      <c r="Q1681" s="8" t="s">
        <v>2719</v>
      </c>
      <c r="R1681" s="8" t="s">
        <v>1967</v>
      </c>
    </row>
    <row r="1682" spans="1:20" x14ac:dyDescent="0.2">
      <c r="A1682" s="8" t="s">
        <v>3380</v>
      </c>
      <c r="B1682" s="8" t="str">
        <f t="shared" si="52"/>
        <v>1586244512</v>
      </c>
      <c r="C1682" s="8" t="str">
        <f t="shared" si="53"/>
        <v>1717</v>
      </c>
      <c r="D1682" s="8" t="s">
        <v>119</v>
      </c>
      <c r="F1682" s="8" t="s">
        <v>136</v>
      </c>
      <c r="G1682" s="8" t="s">
        <v>1963</v>
      </c>
      <c r="H1682" s="8" t="s">
        <v>1964</v>
      </c>
      <c r="I1682" s="8" t="s">
        <v>623</v>
      </c>
      <c r="J1682" s="8" t="s">
        <v>1965</v>
      </c>
      <c r="K1682" s="8" t="s">
        <v>625</v>
      </c>
      <c r="L1682" s="8" t="s">
        <v>1966</v>
      </c>
      <c r="M1682" s="8" t="s">
        <v>2778</v>
      </c>
      <c r="N1682" s="8" t="s">
        <v>1963</v>
      </c>
      <c r="O1682" s="8">
        <v>1287.3</v>
      </c>
      <c r="P1682" s="8">
        <v>1430.33</v>
      </c>
      <c r="Q1682" s="8" t="s">
        <v>2719</v>
      </c>
      <c r="R1682" s="8" t="s">
        <v>2218</v>
      </c>
    </row>
    <row r="1683" spans="1:20" x14ac:dyDescent="0.2">
      <c r="A1683" s="8" t="s">
        <v>3091</v>
      </c>
      <c r="B1683" s="8" t="str">
        <f t="shared" si="52"/>
        <v>1586244518</v>
      </c>
      <c r="C1683" s="8" t="str">
        <f t="shared" si="53"/>
        <v>1718</v>
      </c>
      <c r="D1683" s="8" t="s">
        <v>119</v>
      </c>
      <c r="F1683" s="8" t="s">
        <v>1122</v>
      </c>
      <c r="G1683" s="8" t="s">
        <v>1123</v>
      </c>
      <c r="H1683" s="8" t="s">
        <v>1124</v>
      </c>
      <c r="I1683" s="8" t="s">
        <v>181</v>
      </c>
      <c r="J1683" s="8" t="s">
        <v>1125</v>
      </c>
      <c r="K1683" s="8" t="s">
        <v>125</v>
      </c>
      <c r="L1683" s="8" t="s">
        <v>1126</v>
      </c>
      <c r="M1683" s="8" t="s">
        <v>3092</v>
      </c>
      <c r="N1683" s="8" t="s">
        <v>1123</v>
      </c>
      <c r="O1683" s="8">
        <v>593.11</v>
      </c>
      <c r="P1683" s="8">
        <v>659.02</v>
      </c>
      <c r="Q1683" s="8" t="s">
        <v>2720</v>
      </c>
      <c r="R1683" s="8" t="s">
        <v>1915</v>
      </c>
    </row>
    <row r="1684" spans="1:20" x14ac:dyDescent="0.2">
      <c r="A1684" s="8" t="s">
        <v>3409</v>
      </c>
      <c r="B1684" s="8" t="str">
        <f t="shared" si="52"/>
        <v>1586244518</v>
      </c>
      <c r="C1684" s="8" t="str">
        <f t="shared" si="53"/>
        <v>1719</v>
      </c>
      <c r="D1684" s="8" t="s">
        <v>119</v>
      </c>
      <c r="F1684" s="8" t="s">
        <v>1122</v>
      </c>
      <c r="G1684" s="8" t="s">
        <v>1123</v>
      </c>
      <c r="H1684" s="8" t="s">
        <v>1124</v>
      </c>
      <c r="I1684" s="8" t="s">
        <v>181</v>
      </c>
      <c r="J1684" s="8" t="s">
        <v>1125</v>
      </c>
      <c r="K1684" s="8" t="s">
        <v>125</v>
      </c>
      <c r="L1684" s="8" t="s">
        <v>1126</v>
      </c>
      <c r="M1684" s="8" t="s">
        <v>3092</v>
      </c>
      <c r="N1684" s="8" t="s">
        <v>1123</v>
      </c>
      <c r="O1684" s="8">
        <v>593.11</v>
      </c>
      <c r="P1684" s="8">
        <v>659.02</v>
      </c>
      <c r="Q1684" s="8" t="s">
        <v>2720</v>
      </c>
      <c r="R1684" s="8" t="s">
        <v>1127</v>
      </c>
    </row>
    <row r="1685" spans="1:20" x14ac:dyDescent="0.2">
      <c r="A1685" s="8" t="s">
        <v>4485</v>
      </c>
      <c r="B1685" s="8" t="str">
        <f t="shared" si="52"/>
        <v>1586244518</v>
      </c>
      <c r="C1685" s="8" t="str">
        <f t="shared" si="53"/>
        <v>1720</v>
      </c>
      <c r="D1685" s="8" t="s">
        <v>119</v>
      </c>
      <c r="F1685" s="8" t="s">
        <v>1122</v>
      </c>
      <c r="G1685" s="8" t="s">
        <v>1123</v>
      </c>
      <c r="H1685" s="8" t="s">
        <v>1124</v>
      </c>
      <c r="I1685" s="8" t="s">
        <v>181</v>
      </c>
      <c r="J1685" s="8" t="s">
        <v>1125</v>
      </c>
      <c r="K1685" s="8" t="s">
        <v>125</v>
      </c>
      <c r="L1685" s="8" t="s">
        <v>1126</v>
      </c>
      <c r="M1685" s="8" t="s">
        <v>3092</v>
      </c>
      <c r="N1685" s="8" t="s">
        <v>1123</v>
      </c>
      <c r="O1685" s="8">
        <v>593.11</v>
      </c>
      <c r="P1685" s="8">
        <v>659.02</v>
      </c>
      <c r="Q1685" s="8" t="s">
        <v>2720</v>
      </c>
      <c r="S1685" s="8" t="s">
        <v>393</v>
      </c>
      <c r="T1685" s="8">
        <v>77.459999999999994</v>
      </c>
    </row>
    <row r="1686" spans="1:20" x14ac:dyDescent="0.2">
      <c r="A1686" s="8" t="s">
        <v>4696</v>
      </c>
      <c r="B1686" s="8" t="str">
        <f t="shared" si="52"/>
        <v>1586244518</v>
      </c>
      <c r="C1686" s="8" t="str">
        <f t="shared" si="53"/>
        <v>1721</v>
      </c>
      <c r="D1686" s="8" t="s">
        <v>119</v>
      </c>
      <c r="F1686" s="8" t="s">
        <v>1122</v>
      </c>
      <c r="G1686" s="8" t="s">
        <v>1123</v>
      </c>
      <c r="H1686" s="8" t="s">
        <v>1124</v>
      </c>
      <c r="I1686" s="8" t="s">
        <v>181</v>
      </c>
      <c r="J1686" s="8" t="s">
        <v>1125</v>
      </c>
      <c r="K1686" s="8" t="s">
        <v>125</v>
      </c>
      <c r="L1686" s="8" t="s">
        <v>1126</v>
      </c>
      <c r="M1686" s="8" t="s">
        <v>3092</v>
      </c>
      <c r="N1686" s="8" t="s">
        <v>1123</v>
      </c>
      <c r="O1686" s="8">
        <v>593.11</v>
      </c>
      <c r="P1686" s="8">
        <v>659.02</v>
      </c>
      <c r="Q1686" s="8" t="s">
        <v>2720</v>
      </c>
      <c r="S1686" s="8" t="s">
        <v>156</v>
      </c>
      <c r="T1686" s="8">
        <v>65.66</v>
      </c>
    </row>
    <row r="1687" spans="1:20" x14ac:dyDescent="0.2">
      <c r="A1687" s="8" t="s">
        <v>4280</v>
      </c>
      <c r="B1687" s="8" t="str">
        <f t="shared" si="52"/>
        <v>1586244525</v>
      </c>
      <c r="C1687" s="8" t="str">
        <f t="shared" si="53"/>
        <v>1722</v>
      </c>
      <c r="D1687" s="8" t="s">
        <v>119</v>
      </c>
      <c r="F1687" s="8" t="s">
        <v>271</v>
      </c>
      <c r="G1687" s="8" t="s">
        <v>1165</v>
      </c>
      <c r="H1687" s="8" t="s">
        <v>1166</v>
      </c>
      <c r="I1687" s="8" t="s">
        <v>763</v>
      </c>
      <c r="J1687" s="8" t="s">
        <v>1167</v>
      </c>
      <c r="K1687" s="8" t="s">
        <v>125</v>
      </c>
      <c r="L1687" s="8" t="s">
        <v>1168</v>
      </c>
      <c r="M1687" s="8" t="s">
        <v>2780</v>
      </c>
      <c r="N1687" s="8" t="s">
        <v>1165</v>
      </c>
      <c r="O1687" s="8">
        <v>554.75</v>
      </c>
      <c r="P1687" s="8">
        <v>616.39</v>
      </c>
      <c r="Q1687" s="8" t="s">
        <v>2721</v>
      </c>
      <c r="R1687" s="8" t="s">
        <v>2388</v>
      </c>
    </row>
    <row r="1688" spans="1:20" x14ac:dyDescent="0.2">
      <c r="A1688" s="8" t="s">
        <v>4248</v>
      </c>
      <c r="B1688" s="8" t="str">
        <f t="shared" si="52"/>
        <v>1586244525</v>
      </c>
      <c r="C1688" s="8" t="str">
        <f t="shared" si="53"/>
        <v>1723</v>
      </c>
      <c r="D1688" s="8" t="s">
        <v>119</v>
      </c>
      <c r="F1688" s="8" t="s">
        <v>271</v>
      </c>
      <c r="G1688" s="8" t="s">
        <v>1165</v>
      </c>
      <c r="H1688" s="8" t="s">
        <v>1166</v>
      </c>
      <c r="I1688" s="8" t="s">
        <v>763</v>
      </c>
      <c r="J1688" s="8" t="s">
        <v>1167</v>
      </c>
      <c r="K1688" s="8" t="s">
        <v>125</v>
      </c>
      <c r="L1688" s="8" t="s">
        <v>1168</v>
      </c>
      <c r="M1688" s="8" t="s">
        <v>2780</v>
      </c>
      <c r="N1688" s="8" t="s">
        <v>1165</v>
      </c>
      <c r="O1688" s="8">
        <v>554.75</v>
      </c>
      <c r="P1688" s="8">
        <v>616.39</v>
      </c>
      <c r="Q1688" s="8" t="s">
        <v>2721</v>
      </c>
      <c r="R1688" s="8" t="s">
        <v>1169</v>
      </c>
    </row>
    <row r="1689" spans="1:20" x14ac:dyDescent="0.2">
      <c r="A1689" s="8" t="s">
        <v>3139</v>
      </c>
      <c r="B1689" s="8" t="str">
        <f t="shared" si="52"/>
        <v>1586244525</v>
      </c>
      <c r="C1689" s="8" t="str">
        <f t="shared" si="53"/>
        <v>1724</v>
      </c>
      <c r="D1689" s="8" t="s">
        <v>119</v>
      </c>
      <c r="F1689" s="8" t="s">
        <v>271</v>
      </c>
      <c r="G1689" s="8" t="s">
        <v>1165</v>
      </c>
      <c r="H1689" s="8" t="s">
        <v>1166</v>
      </c>
      <c r="I1689" s="8" t="s">
        <v>763</v>
      </c>
      <c r="J1689" s="8" t="s">
        <v>1167</v>
      </c>
      <c r="K1689" s="8" t="s">
        <v>125</v>
      </c>
      <c r="L1689" s="8" t="s">
        <v>1168</v>
      </c>
      <c r="M1689" s="8" t="s">
        <v>2780</v>
      </c>
      <c r="N1689" s="8" t="s">
        <v>1165</v>
      </c>
      <c r="O1689" s="8">
        <v>554.75</v>
      </c>
      <c r="P1689" s="8">
        <v>616.39</v>
      </c>
      <c r="Q1689" s="8" t="s">
        <v>2721</v>
      </c>
      <c r="R1689" s="8" t="s">
        <v>2013</v>
      </c>
    </row>
    <row r="1690" spans="1:20" x14ac:dyDescent="0.2">
      <c r="A1690" s="8" t="s">
        <v>3285</v>
      </c>
      <c r="B1690" s="8" t="str">
        <f t="shared" si="52"/>
        <v>1586244529</v>
      </c>
      <c r="C1690" s="8" t="str">
        <f t="shared" si="53"/>
        <v>1725</v>
      </c>
      <c r="D1690" s="8" t="s">
        <v>119</v>
      </c>
      <c r="F1690" s="8" t="s">
        <v>271</v>
      </c>
      <c r="G1690" s="8" t="s">
        <v>434</v>
      </c>
      <c r="H1690" s="8" t="s">
        <v>435</v>
      </c>
      <c r="I1690" s="8" t="s">
        <v>167</v>
      </c>
      <c r="J1690" s="8" t="s">
        <v>436</v>
      </c>
      <c r="K1690" s="8" t="s">
        <v>93</v>
      </c>
      <c r="L1690" s="8" t="s">
        <v>437</v>
      </c>
      <c r="M1690" s="8" t="s">
        <v>2780</v>
      </c>
      <c r="N1690" s="8" t="s">
        <v>434</v>
      </c>
      <c r="O1690" s="8">
        <v>320.16000000000003</v>
      </c>
      <c r="P1690" s="8">
        <v>355.74</v>
      </c>
      <c r="Q1690" s="8" t="s">
        <v>2722</v>
      </c>
      <c r="R1690" s="8" t="s">
        <v>1693</v>
      </c>
    </row>
    <row r="1691" spans="1:20" x14ac:dyDescent="0.2">
      <c r="A1691" s="8" t="s">
        <v>4148</v>
      </c>
      <c r="B1691" s="8" t="str">
        <f t="shared" si="52"/>
        <v>1586244529</v>
      </c>
      <c r="C1691" s="8" t="str">
        <f t="shared" si="53"/>
        <v>1726</v>
      </c>
      <c r="D1691" s="8" t="s">
        <v>119</v>
      </c>
      <c r="F1691" s="8" t="s">
        <v>271</v>
      </c>
      <c r="G1691" s="8" t="s">
        <v>434</v>
      </c>
      <c r="H1691" s="8" t="s">
        <v>435</v>
      </c>
      <c r="I1691" s="8" t="s">
        <v>167</v>
      </c>
      <c r="J1691" s="8" t="s">
        <v>436</v>
      </c>
      <c r="K1691" s="8" t="s">
        <v>93</v>
      </c>
      <c r="L1691" s="8" t="s">
        <v>437</v>
      </c>
      <c r="M1691" s="8" t="s">
        <v>2780</v>
      </c>
      <c r="N1691" s="8" t="s">
        <v>434</v>
      </c>
      <c r="O1691" s="8">
        <v>320.16000000000003</v>
      </c>
      <c r="P1691" s="8">
        <v>355.74</v>
      </c>
      <c r="Q1691" s="8" t="s">
        <v>2722</v>
      </c>
      <c r="R1691" s="8" t="s">
        <v>2342</v>
      </c>
    </row>
    <row r="1692" spans="1:20" x14ac:dyDescent="0.2">
      <c r="A1692" s="8" t="s">
        <v>3137</v>
      </c>
      <c r="B1692" s="8" t="str">
        <f t="shared" si="52"/>
        <v>1586244529</v>
      </c>
      <c r="C1692" s="8" t="str">
        <f t="shared" si="53"/>
        <v>1727</v>
      </c>
      <c r="D1692" s="8" t="s">
        <v>119</v>
      </c>
      <c r="F1692" s="8" t="s">
        <v>271</v>
      </c>
      <c r="G1692" s="8" t="s">
        <v>434</v>
      </c>
      <c r="H1692" s="8" t="s">
        <v>435</v>
      </c>
      <c r="I1692" s="8" t="s">
        <v>167</v>
      </c>
      <c r="J1692" s="8" t="s">
        <v>436</v>
      </c>
      <c r="K1692" s="8" t="s">
        <v>93</v>
      </c>
      <c r="L1692" s="8" t="s">
        <v>437</v>
      </c>
      <c r="M1692" s="8" t="s">
        <v>2780</v>
      </c>
      <c r="N1692" s="8" t="s">
        <v>434</v>
      </c>
      <c r="O1692" s="8">
        <v>320.16000000000003</v>
      </c>
      <c r="P1692" s="8">
        <v>355.74</v>
      </c>
      <c r="Q1692" s="8" t="s">
        <v>2722</v>
      </c>
      <c r="R1692" s="8" t="s">
        <v>971</v>
      </c>
    </row>
    <row r="1693" spans="1:20" x14ac:dyDescent="0.2">
      <c r="A1693" s="8" t="s">
        <v>2799</v>
      </c>
      <c r="B1693" s="8" t="str">
        <f t="shared" si="52"/>
        <v>1586244529</v>
      </c>
      <c r="C1693" s="8" t="str">
        <f t="shared" si="53"/>
        <v>1728</v>
      </c>
      <c r="D1693" s="8" t="s">
        <v>119</v>
      </c>
      <c r="F1693" s="8" t="s">
        <v>271</v>
      </c>
      <c r="G1693" s="8" t="s">
        <v>434</v>
      </c>
      <c r="H1693" s="8" t="s">
        <v>435</v>
      </c>
      <c r="I1693" s="8" t="s">
        <v>167</v>
      </c>
      <c r="J1693" s="8" t="s">
        <v>436</v>
      </c>
      <c r="K1693" s="8" t="s">
        <v>93</v>
      </c>
      <c r="L1693" s="8" t="s">
        <v>437</v>
      </c>
      <c r="M1693" s="8" t="s">
        <v>2780</v>
      </c>
      <c r="N1693" s="8" t="s">
        <v>434</v>
      </c>
      <c r="O1693" s="8">
        <v>320.16000000000003</v>
      </c>
      <c r="P1693" s="8">
        <v>355.74</v>
      </c>
      <c r="Q1693" s="8" t="s">
        <v>2722</v>
      </c>
      <c r="R1693" s="8" t="s">
        <v>1861</v>
      </c>
    </row>
    <row r="1694" spans="1:20" x14ac:dyDescent="0.2">
      <c r="A1694" s="8" t="s">
        <v>2980</v>
      </c>
      <c r="B1694" s="8" t="str">
        <f t="shared" si="52"/>
        <v>1586244529</v>
      </c>
      <c r="C1694" s="8" t="str">
        <f t="shared" si="53"/>
        <v>1729</v>
      </c>
      <c r="D1694" s="8" t="s">
        <v>119</v>
      </c>
      <c r="F1694" s="8" t="s">
        <v>271</v>
      </c>
      <c r="G1694" s="8" t="s">
        <v>434</v>
      </c>
      <c r="H1694" s="8" t="s">
        <v>435</v>
      </c>
      <c r="I1694" s="8" t="s">
        <v>167</v>
      </c>
      <c r="J1694" s="8" t="s">
        <v>436</v>
      </c>
      <c r="K1694" s="8" t="s">
        <v>93</v>
      </c>
      <c r="L1694" s="8" t="s">
        <v>437</v>
      </c>
      <c r="M1694" s="8" t="s">
        <v>2780</v>
      </c>
      <c r="N1694" s="8" t="s">
        <v>434</v>
      </c>
      <c r="O1694" s="8">
        <v>320.16000000000003</v>
      </c>
      <c r="P1694" s="8">
        <v>355.74</v>
      </c>
      <c r="Q1694" s="8" t="s">
        <v>2722</v>
      </c>
      <c r="S1694" s="8" t="s">
        <v>184</v>
      </c>
      <c r="T1694" s="8">
        <v>77.459999999999994</v>
      </c>
    </row>
    <row r="1695" spans="1:20" x14ac:dyDescent="0.2">
      <c r="A1695" s="8" t="s">
        <v>4023</v>
      </c>
      <c r="B1695" s="8" t="str">
        <f t="shared" si="52"/>
        <v>1586244529</v>
      </c>
      <c r="C1695" s="8" t="str">
        <f t="shared" si="53"/>
        <v>1730</v>
      </c>
      <c r="D1695" s="8" t="s">
        <v>119</v>
      </c>
      <c r="F1695" s="8" t="s">
        <v>271</v>
      </c>
      <c r="G1695" s="8" t="s">
        <v>434</v>
      </c>
      <c r="H1695" s="8" t="s">
        <v>435</v>
      </c>
      <c r="I1695" s="8" t="s">
        <v>167</v>
      </c>
      <c r="J1695" s="8" t="s">
        <v>436</v>
      </c>
      <c r="K1695" s="8" t="s">
        <v>93</v>
      </c>
      <c r="L1695" s="8" t="s">
        <v>437</v>
      </c>
      <c r="M1695" s="8" t="s">
        <v>2780</v>
      </c>
      <c r="N1695" s="8" t="s">
        <v>434</v>
      </c>
      <c r="O1695" s="8">
        <v>320.16000000000003</v>
      </c>
      <c r="P1695" s="8">
        <v>355.74</v>
      </c>
      <c r="Q1695" s="8" t="s">
        <v>2722</v>
      </c>
      <c r="S1695" s="8" t="s">
        <v>156</v>
      </c>
      <c r="T1695" s="8">
        <v>47.21</v>
      </c>
    </row>
    <row r="1696" spans="1:20" x14ac:dyDescent="0.2">
      <c r="A1696" s="8" t="s">
        <v>3124</v>
      </c>
      <c r="B1696" s="8" t="str">
        <f t="shared" si="52"/>
        <v>1586244529</v>
      </c>
      <c r="C1696" s="8" t="str">
        <f t="shared" si="53"/>
        <v>1731</v>
      </c>
      <c r="D1696" s="8" t="s">
        <v>119</v>
      </c>
      <c r="F1696" s="8" t="s">
        <v>271</v>
      </c>
      <c r="G1696" s="8" t="s">
        <v>434</v>
      </c>
      <c r="H1696" s="8" t="s">
        <v>435</v>
      </c>
      <c r="I1696" s="8" t="s">
        <v>167</v>
      </c>
      <c r="J1696" s="8" t="s">
        <v>436</v>
      </c>
      <c r="K1696" s="8" t="s">
        <v>93</v>
      </c>
      <c r="L1696" s="8" t="s">
        <v>437</v>
      </c>
      <c r="M1696" s="8" t="s">
        <v>2780</v>
      </c>
      <c r="N1696" s="8" t="s">
        <v>434</v>
      </c>
      <c r="O1696" s="8">
        <v>320.16000000000003</v>
      </c>
      <c r="P1696" s="8">
        <v>355.74</v>
      </c>
      <c r="Q1696" s="8" t="s">
        <v>2722</v>
      </c>
      <c r="S1696" s="8" t="s">
        <v>2352</v>
      </c>
      <c r="T1696" s="8">
        <v>84.1</v>
      </c>
    </row>
    <row r="1697" spans="1:20" x14ac:dyDescent="0.2">
      <c r="A1697" s="8" t="s">
        <v>3562</v>
      </c>
      <c r="B1697" s="8" t="str">
        <f t="shared" si="52"/>
        <v>1586244529</v>
      </c>
      <c r="C1697" s="8" t="str">
        <f t="shared" si="53"/>
        <v>1732</v>
      </c>
      <c r="D1697" s="8" t="s">
        <v>119</v>
      </c>
      <c r="F1697" s="8" t="s">
        <v>271</v>
      </c>
      <c r="G1697" s="8" t="s">
        <v>434</v>
      </c>
      <c r="H1697" s="8" t="s">
        <v>435</v>
      </c>
      <c r="I1697" s="8" t="s">
        <v>167</v>
      </c>
      <c r="J1697" s="8" t="s">
        <v>436</v>
      </c>
      <c r="K1697" s="8" t="s">
        <v>93</v>
      </c>
      <c r="L1697" s="8" t="s">
        <v>437</v>
      </c>
      <c r="M1697" s="8" t="s">
        <v>2780</v>
      </c>
      <c r="N1697" s="8" t="s">
        <v>434</v>
      </c>
      <c r="O1697" s="8">
        <v>320.16000000000003</v>
      </c>
      <c r="P1697" s="8">
        <v>355.74</v>
      </c>
      <c r="Q1697" s="8" t="s">
        <v>2722</v>
      </c>
      <c r="S1697" s="8" t="s">
        <v>1602</v>
      </c>
      <c r="T1697" s="8">
        <v>338.61</v>
      </c>
    </row>
    <row r="1698" spans="1:20" x14ac:dyDescent="0.2">
      <c r="A1698" s="8" t="s">
        <v>2992</v>
      </c>
      <c r="B1698" s="8" t="str">
        <f t="shared" si="52"/>
        <v>1586244531</v>
      </c>
      <c r="C1698" s="8" t="str">
        <f t="shared" si="53"/>
        <v>1733</v>
      </c>
      <c r="D1698" s="8" t="s">
        <v>119</v>
      </c>
      <c r="F1698" s="8" t="s">
        <v>271</v>
      </c>
      <c r="G1698" s="8" t="s">
        <v>434</v>
      </c>
      <c r="H1698" s="8" t="s">
        <v>435</v>
      </c>
      <c r="I1698" s="8" t="s">
        <v>181</v>
      </c>
      <c r="J1698" s="8" t="s">
        <v>531</v>
      </c>
      <c r="K1698" s="8" t="s">
        <v>125</v>
      </c>
      <c r="L1698" s="8" t="s">
        <v>532</v>
      </c>
      <c r="M1698" s="8" t="s">
        <v>2780</v>
      </c>
      <c r="N1698" s="8" t="s">
        <v>434</v>
      </c>
      <c r="O1698" s="8">
        <v>379.18</v>
      </c>
      <c r="P1698" s="8">
        <v>421.31</v>
      </c>
      <c r="Q1698" s="8" t="s">
        <v>2723</v>
      </c>
      <c r="R1698" s="8" t="s">
        <v>2311</v>
      </c>
    </row>
    <row r="1699" spans="1:20" x14ac:dyDescent="0.2">
      <c r="A1699" s="8" t="s">
        <v>3667</v>
      </c>
      <c r="B1699" s="8" t="str">
        <f t="shared" si="52"/>
        <v>1586244531</v>
      </c>
      <c r="C1699" s="8" t="str">
        <f t="shared" si="53"/>
        <v>1734</v>
      </c>
      <c r="D1699" s="8" t="s">
        <v>119</v>
      </c>
      <c r="F1699" s="8" t="s">
        <v>271</v>
      </c>
      <c r="G1699" s="8" t="s">
        <v>434</v>
      </c>
      <c r="H1699" s="8" t="s">
        <v>435</v>
      </c>
      <c r="I1699" s="8" t="s">
        <v>181</v>
      </c>
      <c r="J1699" s="8" t="s">
        <v>531</v>
      </c>
      <c r="K1699" s="8" t="s">
        <v>125</v>
      </c>
      <c r="L1699" s="8" t="s">
        <v>532</v>
      </c>
      <c r="M1699" s="8" t="s">
        <v>2780</v>
      </c>
      <c r="N1699" s="8" t="s">
        <v>434</v>
      </c>
      <c r="O1699" s="8">
        <v>379.18</v>
      </c>
      <c r="P1699" s="8">
        <v>421.31</v>
      </c>
      <c r="Q1699" s="8" t="s">
        <v>2723</v>
      </c>
      <c r="R1699" s="8" t="s">
        <v>2118</v>
      </c>
    </row>
    <row r="1700" spans="1:20" x14ac:dyDescent="0.2">
      <c r="A1700" s="8" t="s">
        <v>3528</v>
      </c>
      <c r="B1700" s="8" t="str">
        <f t="shared" si="52"/>
        <v>1586244531</v>
      </c>
      <c r="C1700" s="8" t="str">
        <f t="shared" si="53"/>
        <v>1735</v>
      </c>
      <c r="D1700" s="8" t="s">
        <v>119</v>
      </c>
      <c r="F1700" s="8" t="s">
        <v>271</v>
      </c>
      <c r="G1700" s="8" t="s">
        <v>434</v>
      </c>
      <c r="H1700" s="8" t="s">
        <v>435</v>
      </c>
      <c r="I1700" s="8" t="s">
        <v>181</v>
      </c>
      <c r="J1700" s="8" t="s">
        <v>531</v>
      </c>
      <c r="K1700" s="8" t="s">
        <v>125</v>
      </c>
      <c r="L1700" s="8" t="s">
        <v>532</v>
      </c>
      <c r="M1700" s="8" t="s">
        <v>2780</v>
      </c>
      <c r="N1700" s="8" t="s">
        <v>434</v>
      </c>
      <c r="O1700" s="8">
        <v>379.18</v>
      </c>
      <c r="P1700" s="8">
        <v>421.31</v>
      </c>
      <c r="Q1700" s="8" t="s">
        <v>2723</v>
      </c>
      <c r="S1700" s="8" t="s">
        <v>1029</v>
      </c>
      <c r="T1700" s="8">
        <v>23.61</v>
      </c>
    </row>
    <row r="1701" spans="1:20" x14ac:dyDescent="0.2">
      <c r="A1701" s="8" t="s">
        <v>3050</v>
      </c>
      <c r="B1701" s="8" t="str">
        <f t="shared" si="52"/>
        <v>1586244531</v>
      </c>
      <c r="C1701" s="8" t="str">
        <f t="shared" si="53"/>
        <v>1736</v>
      </c>
      <c r="D1701" s="8" t="s">
        <v>119</v>
      </c>
      <c r="F1701" s="8" t="s">
        <v>271</v>
      </c>
      <c r="G1701" s="8" t="s">
        <v>434</v>
      </c>
      <c r="H1701" s="8" t="s">
        <v>435</v>
      </c>
      <c r="I1701" s="8" t="s">
        <v>181</v>
      </c>
      <c r="J1701" s="8" t="s">
        <v>531</v>
      </c>
      <c r="K1701" s="8" t="s">
        <v>125</v>
      </c>
      <c r="L1701" s="8" t="s">
        <v>532</v>
      </c>
      <c r="M1701" s="8" t="s">
        <v>2780</v>
      </c>
      <c r="N1701" s="8" t="s">
        <v>434</v>
      </c>
      <c r="O1701" s="8">
        <v>379.18</v>
      </c>
      <c r="P1701" s="8">
        <v>421.31</v>
      </c>
      <c r="Q1701" s="8" t="s">
        <v>2723</v>
      </c>
      <c r="S1701" s="8" t="s">
        <v>184</v>
      </c>
      <c r="T1701" s="8">
        <v>77.459999999999994</v>
      </c>
    </row>
    <row r="1702" spans="1:20" x14ac:dyDescent="0.2">
      <c r="A1702" s="8" t="s">
        <v>4090</v>
      </c>
      <c r="B1702" s="8" t="str">
        <f t="shared" si="52"/>
        <v>1586244531</v>
      </c>
      <c r="C1702" s="8" t="str">
        <f t="shared" si="53"/>
        <v>1737</v>
      </c>
      <c r="D1702" s="8" t="s">
        <v>119</v>
      </c>
      <c r="F1702" s="8" t="s">
        <v>271</v>
      </c>
      <c r="G1702" s="8" t="s">
        <v>434</v>
      </c>
      <c r="H1702" s="8" t="s">
        <v>435</v>
      </c>
      <c r="I1702" s="8" t="s">
        <v>181</v>
      </c>
      <c r="J1702" s="8" t="s">
        <v>531</v>
      </c>
      <c r="K1702" s="8" t="s">
        <v>125</v>
      </c>
      <c r="L1702" s="8" t="s">
        <v>532</v>
      </c>
      <c r="M1702" s="8" t="s">
        <v>2780</v>
      </c>
      <c r="N1702" s="8" t="s">
        <v>434</v>
      </c>
      <c r="O1702" s="8">
        <v>379.18</v>
      </c>
      <c r="P1702" s="8">
        <v>421.31</v>
      </c>
      <c r="Q1702" s="8" t="s">
        <v>2723</v>
      </c>
      <c r="S1702" s="8" t="s">
        <v>156</v>
      </c>
      <c r="T1702" s="8">
        <v>19.18</v>
      </c>
    </row>
    <row r="1703" spans="1:20" x14ac:dyDescent="0.2">
      <c r="A1703" s="8" t="s">
        <v>3253</v>
      </c>
      <c r="B1703" s="8" t="str">
        <f t="shared" si="52"/>
        <v>1586244531</v>
      </c>
      <c r="C1703" s="8" t="str">
        <f t="shared" si="53"/>
        <v>1738</v>
      </c>
      <c r="D1703" s="8" t="s">
        <v>119</v>
      </c>
      <c r="F1703" s="8" t="s">
        <v>271</v>
      </c>
      <c r="G1703" s="8" t="s">
        <v>434</v>
      </c>
      <c r="H1703" s="8" t="s">
        <v>435</v>
      </c>
      <c r="I1703" s="8" t="s">
        <v>181</v>
      </c>
      <c r="J1703" s="8" t="s">
        <v>531</v>
      </c>
      <c r="K1703" s="8" t="s">
        <v>125</v>
      </c>
      <c r="L1703" s="8" t="s">
        <v>532</v>
      </c>
      <c r="M1703" s="8" t="s">
        <v>2780</v>
      </c>
      <c r="N1703" s="8" t="s">
        <v>434</v>
      </c>
      <c r="O1703" s="8">
        <v>379.18</v>
      </c>
      <c r="P1703" s="8">
        <v>421.31</v>
      </c>
      <c r="Q1703" s="8" t="s">
        <v>2723</v>
      </c>
      <c r="S1703" s="8" t="s">
        <v>109</v>
      </c>
      <c r="T1703" s="8">
        <v>42.05</v>
      </c>
    </row>
    <row r="1704" spans="1:20" x14ac:dyDescent="0.2">
      <c r="A1704" s="8" t="s">
        <v>4326</v>
      </c>
      <c r="B1704" s="8" t="str">
        <f t="shared" si="52"/>
        <v>1586244535</v>
      </c>
      <c r="C1704" s="8" t="str">
        <f t="shared" si="53"/>
        <v>1739</v>
      </c>
      <c r="D1704" s="8" t="s">
        <v>119</v>
      </c>
      <c r="F1704" s="8" t="s">
        <v>271</v>
      </c>
      <c r="G1704" s="8" t="s">
        <v>1422</v>
      </c>
      <c r="H1704" s="8" t="s">
        <v>1423</v>
      </c>
      <c r="I1704" s="8" t="s">
        <v>123</v>
      </c>
      <c r="J1704" s="8" t="s">
        <v>1424</v>
      </c>
      <c r="K1704" s="8" t="s">
        <v>125</v>
      </c>
      <c r="L1704" s="8" t="s">
        <v>1425</v>
      </c>
      <c r="M1704" s="8" t="s">
        <v>2780</v>
      </c>
      <c r="N1704" s="8" t="s">
        <v>1422</v>
      </c>
      <c r="O1704" s="8">
        <v>487.62</v>
      </c>
      <c r="P1704" s="8">
        <v>541.79999999999995</v>
      </c>
      <c r="Q1704" s="8" t="s">
        <v>2724</v>
      </c>
      <c r="R1704" s="8" t="s">
        <v>1426</v>
      </c>
    </row>
    <row r="1705" spans="1:20" x14ac:dyDescent="0.2">
      <c r="A1705" s="8" t="s">
        <v>3445</v>
      </c>
      <c r="B1705" s="8" t="str">
        <f t="shared" si="52"/>
        <v>1586244535</v>
      </c>
      <c r="C1705" s="8" t="str">
        <f t="shared" si="53"/>
        <v>1740</v>
      </c>
      <c r="D1705" s="8" t="s">
        <v>119</v>
      </c>
      <c r="F1705" s="8" t="s">
        <v>271</v>
      </c>
      <c r="G1705" s="8" t="s">
        <v>1422</v>
      </c>
      <c r="H1705" s="8" t="s">
        <v>1423</v>
      </c>
      <c r="I1705" s="8" t="s">
        <v>123</v>
      </c>
      <c r="J1705" s="8" t="s">
        <v>1424</v>
      </c>
      <c r="K1705" s="8" t="s">
        <v>125</v>
      </c>
      <c r="L1705" s="8" t="s">
        <v>1425</v>
      </c>
      <c r="M1705" s="8" t="s">
        <v>2780</v>
      </c>
      <c r="N1705" s="8" t="s">
        <v>1422</v>
      </c>
      <c r="O1705" s="8">
        <v>487.62</v>
      </c>
      <c r="P1705" s="8">
        <v>541.79999999999995</v>
      </c>
      <c r="Q1705" s="8" t="s">
        <v>2724</v>
      </c>
      <c r="R1705" s="8" t="s">
        <v>1999</v>
      </c>
    </row>
    <row r="1706" spans="1:20" x14ac:dyDescent="0.2">
      <c r="A1706" s="8" t="s">
        <v>3971</v>
      </c>
      <c r="B1706" s="8" t="str">
        <f t="shared" si="52"/>
        <v>1586244535</v>
      </c>
      <c r="C1706" s="8" t="str">
        <f t="shared" si="53"/>
        <v>1741</v>
      </c>
      <c r="D1706" s="8" t="s">
        <v>119</v>
      </c>
      <c r="F1706" s="8" t="s">
        <v>271</v>
      </c>
      <c r="G1706" s="8" t="s">
        <v>1422</v>
      </c>
      <c r="H1706" s="8" t="s">
        <v>1423</v>
      </c>
      <c r="I1706" s="8" t="s">
        <v>123</v>
      </c>
      <c r="J1706" s="8" t="s">
        <v>1424</v>
      </c>
      <c r="K1706" s="8" t="s">
        <v>125</v>
      </c>
      <c r="L1706" s="8" t="s">
        <v>1425</v>
      </c>
      <c r="M1706" s="8" t="s">
        <v>2780</v>
      </c>
      <c r="N1706" s="8" t="s">
        <v>1422</v>
      </c>
      <c r="O1706" s="8">
        <v>487.62</v>
      </c>
      <c r="P1706" s="8">
        <v>541.79999999999995</v>
      </c>
      <c r="Q1706" s="8" t="s">
        <v>2724</v>
      </c>
      <c r="R1706" s="8" t="s">
        <v>1696</v>
      </c>
    </row>
    <row r="1707" spans="1:20" x14ac:dyDescent="0.2">
      <c r="A1707" s="8" t="s">
        <v>3574</v>
      </c>
      <c r="B1707" s="8" t="str">
        <f t="shared" si="52"/>
        <v>1586244535</v>
      </c>
      <c r="C1707" s="8" t="str">
        <f t="shared" si="53"/>
        <v>1742</v>
      </c>
      <c r="D1707" s="8" t="s">
        <v>119</v>
      </c>
      <c r="F1707" s="8" t="s">
        <v>271</v>
      </c>
      <c r="G1707" s="8" t="s">
        <v>1422</v>
      </c>
      <c r="H1707" s="8" t="s">
        <v>1423</v>
      </c>
      <c r="I1707" s="8" t="s">
        <v>123</v>
      </c>
      <c r="J1707" s="8" t="s">
        <v>1424</v>
      </c>
      <c r="K1707" s="8" t="s">
        <v>125</v>
      </c>
      <c r="L1707" s="8" t="s">
        <v>1425</v>
      </c>
      <c r="M1707" s="8" t="s">
        <v>2780</v>
      </c>
      <c r="N1707" s="8" t="s">
        <v>1422</v>
      </c>
      <c r="O1707" s="8">
        <v>487.62</v>
      </c>
      <c r="P1707" s="8">
        <v>541.79999999999995</v>
      </c>
      <c r="Q1707" s="8" t="s">
        <v>2724</v>
      </c>
      <c r="S1707" s="8" t="s">
        <v>1078</v>
      </c>
      <c r="T1707" s="8">
        <v>73.77</v>
      </c>
    </row>
    <row r="1708" spans="1:20" x14ac:dyDescent="0.2">
      <c r="A1708" s="8" t="s">
        <v>4538</v>
      </c>
      <c r="B1708" s="8" t="str">
        <f t="shared" si="52"/>
        <v>1586244535</v>
      </c>
      <c r="C1708" s="8" t="str">
        <f t="shared" si="53"/>
        <v>1743</v>
      </c>
      <c r="D1708" s="8" t="s">
        <v>119</v>
      </c>
      <c r="F1708" s="8" t="s">
        <v>271</v>
      </c>
      <c r="G1708" s="8" t="s">
        <v>1422</v>
      </c>
      <c r="H1708" s="8" t="s">
        <v>1423</v>
      </c>
      <c r="I1708" s="8" t="s">
        <v>123</v>
      </c>
      <c r="J1708" s="8" t="s">
        <v>1424</v>
      </c>
      <c r="K1708" s="8" t="s">
        <v>125</v>
      </c>
      <c r="L1708" s="8" t="s">
        <v>1425</v>
      </c>
      <c r="M1708" s="8" t="s">
        <v>2780</v>
      </c>
      <c r="N1708" s="8" t="s">
        <v>1422</v>
      </c>
      <c r="O1708" s="8">
        <v>487.62</v>
      </c>
      <c r="P1708" s="8">
        <v>541.79999999999995</v>
      </c>
      <c r="Q1708" s="8" t="s">
        <v>2724</v>
      </c>
      <c r="S1708" s="8" t="s">
        <v>1400</v>
      </c>
      <c r="T1708" s="8">
        <v>77.459999999999994</v>
      </c>
    </row>
    <row r="1709" spans="1:20" x14ac:dyDescent="0.2">
      <c r="A1709" s="8" t="s">
        <v>3271</v>
      </c>
      <c r="B1709" s="8" t="str">
        <f t="shared" si="52"/>
        <v>1586244535</v>
      </c>
      <c r="C1709" s="8" t="str">
        <f t="shared" si="53"/>
        <v>1744</v>
      </c>
      <c r="D1709" s="8" t="s">
        <v>119</v>
      </c>
      <c r="F1709" s="8" t="s">
        <v>271</v>
      </c>
      <c r="G1709" s="8" t="s">
        <v>1422</v>
      </c>
      <c r="H1709" s="8" t="s">
        <v>1423</v>
      </c>
      <c r="I1709" s="8" t="s">
        <v>123</v>
      </c>
      <c r="J1709" s="8" t="s">
        <v>1424</v>
      </c>
      <c r="K1709" s="8" t="s">
        <v>125</v>
      </c>
      <c r="L1709" s="8" t="s">
        <v>1425</v>
      </c>
      <c r="M1709" s="8" t="s">
        <v>2780</v>
      </c>
      <c r="N1709" s="8" t="s">
        <v>1422</v>
      </c>
      <c r="O1709" s="8">
        <v>487.62</v>
      </c>
      <c r="P1709" s="8">
        <v>541.79999999999995</v>
      </c>
      <c r="Q1709" s="8" t="s">
        <v>2724</v>
      </c>
      <c r="S1709" s="8" t="s">
        <v>968</v>
      </c>
      <c r="T1709" s="8">
        <v>95.9</v>
      </c>
    </row>
    <row r="1710" spans="1:20" x14ac:dyDescent="0.2">
      <c r="A1710" s="8" t="s">
        <v>4539</v>
      </c>
      <c r="B1710" s="8" t="str">
        <f t="shared" si="52"/>
        <v>1586244539</v>
      </c>
      <c r="C1710" s="8" t="str">
        <f t="shared" si="53"/>
        <v>1745</v>
      </c>
      <c r="D1710" s="8" t="s">
        <v>119</v>
      </c>
      <c r="F1710" s="8" t="s">
        <v>271</v>
      </c>
      <c r="G1710" s="8" t="s">
        <v>825</v>
      </c>
      <c r="H1710" s="8" t="s">
        <v>826</v>
      </c>
      <c r="I1710" s="8" t="s">
        <v>167</v>
      </c>
      <c r="J1710" s="8" t="s">
        <v>1203</v>
      </c>
      <c r="K1710" s="8" t="s">
        <v>93</v>
      </c>
      <c r="L1710" s="8" t="s">
        <v>1204</v>
      </c>
      <c r="M1710" s="8" t="s">
        <v>2780</v>
      </c>
      <c r="N1710" s="8" t="s">
        <v>825</v>
      </c>
      <c r="O1710" s="8">
        <v>300.98</v>
      </c>
      <c r="P1710" s="8">
        <v>334.43</v>
      </c>
      <c r="Q1710" s="8" t="s">
        <v>2722</v>
      </c>
      <c r="R1710" s="8" t="s">
        <v>1205</v>
      </c>
    </row>
    <row r="1711" spans="1:20" x14ac:dyDescent="0.2">
      <c r="A1711" s="8" t="s">
        <v>4228</v>
      </c>
      <c r="B1711" s="8" t="str">
        <f t="shared" si="52"/>
        <v>1586244539</v>
      </c>
      <c r="C1711" s="8" t="str">
        <f t="shared" si="53"/>
        <v>1746</v>
      </c>
      <c r="D1711" s="8" t="s">
        <v>119</v>
      </c>
      <c r="F1711" s="8" t="s">
        <v>271</v>
      </c>
      <c r="G1711" s="8" t="s">
        <v>825</v>
      </c>
      <c r="H1711" s="8" t="s">
        <v>826</v>
      </c>
      <c r="I1711" s="8" t="s">
        <v>167</v>
      </c>
      <c r="J1711" s="8" t="s">
        <v>1203</v>
      </c>
      <c r="K1711" s="8" t="s">
        <v>93</v>
      </c>
      <c r="L1711" s="8" t="s">
        <v>1204</v>
      </c>
      <c r="M1711" s="8" t="s">
        <v>2780</v>
      </c>
      <c r="N1711" s="8" t="s">
        <v>825</v>
      </c>
      <c r="O1711" s="8">
        <v>300.98</v>
      </c>
      <c r="P1711" s="8">
        <v>334.43</v>
      </c>
      <c r="Q1711" s="8" t="s">
        <v>2722</v>
      </c>
      <c r="R1711" s="8" t="s">
        <v>1793</v>
      </c>
    </row>
    <row r="1712" spans="1:20" x14ac:dyDescent="0.2">
      <c r="A1712" s="8" t="s">
        <v>3717</v>
      </c>
      <c r="B1712" s="8" t="str">
        <f t="shared" si="52"/>
        <v>1586244539</v>
      </c>
      <c r="C1712" s="8" t="str">
        <f t="shared" si="53"/>
        <v>1747</v>
      </c>
      <c r="D1712" s="8" t="s">
        <v>119</v>
      </c>
      <c r="F1712" s="8" t="s">
        <v>271</v>
      </c>
      <c r="G1712" s="8" t="s">
        <v>825</v>
      </c>
      <c r="H1712" s="8" t="s">
        <v>826</v>
      </c>
      <c r="I1712" s="8" t="s">
        <v>167</v>
      </c>
      <c r="J1712" s="8" t="s">
        <v>1203</v>
      </c>
      <c r="K1712" s="8" t="s">
        <v>93</v>
      </c>
      <c r="L1712" s="8" t="s">
        <v>1204</v>
      </c>
      <c r="M1712" s="8" t="s">
        <v>2780</v>
      </c>
      <c r="N1712" s="8" t="s">
        <v>825</v>
      </c>
      <c r="O1712" s="8">
        <v>300.98</v>
      </c>
      <c r="P1712" s="8">
        <v>334.43</v>
      </c>
      <c r="Q1712" s="8" t="s">
        <v>2722</v>
      </c>
      <c r="R1712" s="8" t="s">
        <v>2164</v>
      </c>
    </row>
    <row r="1713" spans="1:20" x14ac:dyDescent="0.2">
      <c r="A1713" s="8" t="s">
        <v>4409</v>
      </c>
      <c r="B1713" s="8" t="str">
        <f t="shared" si="52"/>
        <v>1586244539</v>
      </c>
      <c r="C1713" s="8" t="str">
        <f t="shared" si="53"/>
        <v>1748</v>
      </c>
      <c r="D1713" s="8" t="s">
        <v>119</v>
      </c>
      <c r="F1713" s="8" t="s">
        <v>271</v>
      </c>
      <c r="G1713" s="8" t="s">
        <v>825</v>
      </c>
      <c r="H1713" s="8" t="s">
        <v>826</v>
      </c>
      <c r="I1713" s="8" t="s">
        <v>167</v>
      </c>
      <c r="J1713" s="8" t="s">
        <v>1203</v>
      </c>
      <c r="K1713" s="8" t="s">
        <v>93</v>
      </c>
      <c r="L1713" s="8" t="s">
        <v>1204</v>
      </c>
      <c r="M1713" s="8" t="s">
        <v>2780</v>
      </c>
      <c r="N1713" s="8" t="s">
        <v>825</v>
      </c>
      <c r="O1713" s="8">
        <v>300.98</v>
      </c>
      <c r="P1713" s="8">
        <v>334.43</v>
      </c>
      <c r="Q1713" s="8" t="s">
        <v>2722</v>
      </c>
      <c r="R1713" s="8" t="s">
        <v>2263</v>
      </c>
    </row>
    <row r="1714" spans="1:20" x14ac:dyDescent="0.2">
      <c r="A1714" s="8" t="s">
        <v>3477</v>
      </c>
      <c r="B1714" s="8" t="str">
        <f t="shared" si="52"/>
        <v>1586244539</v>
      </c>
      <c r="C1714" s="8" t="str">
        <f t="shared" si="53"/>
        <v>1749</v>
      </c>
      <c r="D1714" s="8" t="s">
        <v>119</v>
      </c>
      <c r="F1714" s="8" t="s">
        <v>271</v>
      </c>
      <c r="G1714" s="8" t="s">
        <v>825</v>
      </c>
      <c r="H1714" s="8" t="s">
        <v>826</v>
      </c>
      <c r="I1714" s="8" t="s">
        <v>167</v>
      </c>
      <c r="J1714" s="8" t="s">
        <v>1203</v>
      </c>
      <c r="K1714" s="8" t="s">
        <v>93</v>
      </c>
      <c r="L1714" s="8" t="s">
        <v>1204</v>
      </c>
      <c r="M1714" s="8" t="s">
        <v>2780</v>
      </c>
      <c r="N1714" s="8" t="s">
        <v>825</v>
      </c>
      <c r="O1714" s="8">
        <v>300.98</v>
      </c>
      <c r="P1714" s="8">
        <v>334.43</v>
      </c>
      <c r="Q1714" s="8" t="s">
        <v>2722</v>
      </c>
      <c r="S1714" s="8" t="s">
        <v>156</v>
      </c>
      <c r="T1714" s="8">
        <v>47.21</v>
      </c>
    </row>
    <row r="1715" spans="1:20" x14ac:dyDescent="0.2">
      <c r="A1715" s="8" t="s">
        <v>4114</v>
      </c>
      <c r="B1715" s="8" t="str">
        <f t="shared" si="52"/>
        <v>1586244539</v>
      </c>
      <c r="C1715" s="8" t="str">
        <f t="shared" si="53"/>
        <v>1750</v>
      </c>
      <c r="D1715" s="8" t="s">
        <v>119</v>
      </c>
      <c r="F1715" s="8" t="s">
        <v>271</v>
      </c>
      <c r="G1715" s="8" t="s">
        <v>825</v>
      </c>
      <c r="H1715" s="8" t="s">
        <v>826</v>
      </c>
      <c r="I1715" s="8" t="s">
        <v>167</v>
      </c>
      <c r="J1715" s="8" t="s">
        <v>1203</v>
      </c>
      <c r="K1715" s="8" t="s">
        <v>93</v>
      </c>
      <c r="L1715" s="8" t="s">
        <v>1204</v>
      </c>
      <c r="M1715" s="8" t="s">
        <v>2780</v>
      </c>
      <c r="N1715" s="8" t="s">
        <v>825</v>
      </c>
      <c r="O1715" s="8">
        <v>300.98</v>
      </c>
      <c r="P1715" s="8">
        <v>334.43</v>
      </c>
      <c r="Q1715" s="8" t="s">
        <v>2722</v>
      </c>
      <c r="S1715" s="8" t="s">
        <v>184</v>
      </c>
      <c r="T1715" s="8">
        <v>77.459999999999994</v>
      </c>
    </row>
    <row r="1716" spans="1:20" x14ac:dyDescent="0.2">
      <c r="A1716" s="8" t="s">
        <v>3130</v>
      </c>
      <c r="B1716" s="8" t="str">
        <f t="shared" si="52"/>
        <v>1586244542</v>
      </c>
      <c r="C1716" s="8" t="str">
        <f t="shared" si="53"/>
        <v>1751</v>
      </c>
      <c r="D1716" s="8" t="s">
        <v>119</v>
      </c>
      <c r="F1716" s="8" t="s">
        <v>271</v>
      </c>
      <c r="G1716" s="8" t="s">
        <v>825</v>
      </c>
      <c r="H1716" s="8" t="s">
        <v>826</v>
      </c>
      <c r="I1716" s="8" t="s">
        <v>181</v>
      </c>
      <c r="J1716" s="8" t="s">
        <v>827</v>
      </c>
      <c r="K1716" s="8" t="s">
        <v>125</v>
      </c>
      <c r="L1716" s="8" t="s">
        <v>828</v>
      </c>
      <c r="M1716" s="8" t="s">
        <v>2780</v>
      </c>
      <c r="N1716" s="8" t="s">
        <v>825</v>
      </c>
      <c r="O1716" s="8">
        <v>369.59</v>
      </c>
      <c r="P1716" s="8">
        <v>410.66</v>
      </c>
      <c r="Q1716" s="8" t="s">
        <v>2725</v>
      </c>
      <c r="R1716" s="8" t="s">
        <v>2482</v>
      </c>
    </row>
    <row r="1717" spans="1:20" x14ac:dyDescent="0.2">
      <c r="A1717" s="8" t="s">
        <v>4740</v>
      </c>
      <c r="B1717" s="8" t="str">
        <f t="shared" si="52"/>
        <v>1586244542</v>
      </c>
      <c r="C1717" s="8" t="str">
        <f t="shared" si="53"/>
        <v>1752</v>
      </c>
      <c r="D1717" s="8" t="s">
        <v>119</v>
      </c>
      <c r="F1717" s="8" t="s">
        <v>271</v>
      </c>
      <c r="G1717" s="8" t="s">
        <v>825</v>
      </c>
      <c r="H1717" s="8" t="s">
        <v>826</v>
      </c>
      <c r="I1717" s="8" t="s">
        <v>181</v>
      </c>
      <c r="J1717" s="8" t="s">
        <v>827</v>
      </c>
      <c r="K1717" s="8" t="s">
        <v>125</v>
      </c>
      <c r="L1717" s="8" t="s">
        <v>828</v>
      </c>
      <c r="M1717" s="8" t="s">
        <v>2780</v>
      </c>
      <c r="N1717" s="8" t="s">
        <v>825</v>
      </c>
      <c r="O1717" s="8">
        <v>369.59</v>
      </c>
      <c r="P1717" s="8">
        <v>410.66</v>
      </c>
      <c r="Q1717" s="8" t="s">
        <v>2725</v>
      </c>
      <c r="R1717" s="8" t="s">
        <v>2381</v>
      </c>
    </row>
    <row r="1718" spans="1:20" x14ac:dyDescent="0.2">
      <c r="A1718" s="8" t="s">
        <v>3637</v>
      </c>
      <c r="B1718" s="8" t="str">
        <f t="shared" si="52"/>
        <v>1586244542</v>
      </c>
      <c r="C1718" s="8" t="str">
        <f t="shared" si="53"/>
        <v>1753</v>
      </c>
      <c r="D1718" s="8" t="s">
        <v>119</v>
      </c>
      <c r="F1718" s="8" t="s">
        <v>271</v>
      </c>
      <c r="G1718" s="8" t="s">
        <v>825</v>
      </c>
      <c r="H1718" s="8" t="s">
        <v>826</v>
      </c>
      <c r="I1718" s="8" t="s">
        <v>181</v>
      </c>
      <c r="J1718" s="8" t="s">
        <v>827</v>
      </c>
      <c r="K1718" s="8" t="s">
        <v>125</v>
      </c>
      <c r="L1718" s="8" t="s">
        <v>828</v>
      </c>
      <c r="M1718" s="8" t="s">
        <v>2780</v>
      </c>
      <c r="N1718" s="8" t="s">
        <v>825</v>
      </c>
      <c r="O1718" s="8">
        <v>369.59</v>
      </c>
      <c r="P1718" s="8">
        <v>410.66</v>
      </c>
      <c r="Q1718" s="8" t="s">
        <v>2725</v>
      </c>
      <c r="S1718" s="8" t="s">
        <v>1029</v>
      </c>
      <c r="T1718" s="8">
        <v>23.61</v>
      </c>
    </row>
    <row r="1719" spans="1:20" x14ac:dyDescent="0.2">
      <c r="A1719" s="8" t="s">
        <v>4271</v>
      </c>
      <c r="B1719" s="8" t="str">
        <f t="shared" si="52"/>
        <v>1586244542</v>
      </c>
      <c r="C1719" s="8" t="str">
        <f t="shared" si="53"/>
        <v>1754</v>
      </c>
      <c r="D1719" s="8" t="s">
        <v>119</v>
      </c>
      <c r="F1719" s="8" t="s">
        <v>271</v>
      </c>
      <c r="G1719" s="8" t="s">
        <v>825</v>
      </c>
      <c r="H1719" s="8" t="s">
        <v>826</v>
      </c>
      <c r="I1719" s="8" t="s">
        <v>181</v>
      </c>
      <c r="J1719" s="8" t="s">
        <v>827</v>
      </c>
      <c r="K1719" s="8" t="s">
        <v>125</v>
      </c>
      <c r="L1719" s="8" t="s">
        <v>828</v>
      </c>
      <c r="M1719" s="8" t="s">
        <v>2780</v>
      </c>
      <c r="N1719" s="8" t="s">
        <v>825</v>
      </c>
      <c r="O1719" s="8">
        <v>369.59</v>
      </c>
      <c r="P1719" s="8">
        <v>410.66</v>
      </c>
      <c r="Q1719" s="8" t="s">
        <v>2725</v>
      </c>
      <c r="S1719" s="8" t="s">
        <v>184</v>
      </c>
      <c r="T1719" s="8">
        <v>77.459999999999994</v>
      </c>
    </row>
    <row r="1720" spans="1:20" x14ac:dyDescent="0.2">
      <c r="A1720" s="8" t="s">
        <v>3957</v>
      </c>
      <c r="B1720" s="8" t="str">
        <f t="shared" si="52"/>
        <v>1586244542</v>
      </c>
      <c r="C1720" s="8" t="str">
        <f t="shared" si="53"/>
        <v>1755</v>
      </c>
      <c r="D1720" s="8" t="s">
        <v>119</v>
      </c>
      <c r="F1720" s="8" t="s">
        <v>271</v>
      </c>
      <c r="G1720" s="8" t="s">
        <v>825</v>
      </c>
      <c r="H1720" s="8" t="s">
        <v>826</v>
      </c>
      <c r="I1720" s="8" t="s">
        <v>181</v>
      </c>
      <c r="J1720" s="8" t="s">
        <v>827</v>
      </c>
      <c r="K1720" s="8" t="s">
        <v>125</v>
      </c>
      <c r="L1720" s="8" t="s">
        <v>828</v>
      </c>
      <c r="M1720" s="8" t="s">
        <v>2780</v>
      </c>
      <c r="N1720" s="8" t="s">
        <v>825</v>
      </c>
      <c r="O1720" s="8">
        <v>369.59</v>
      </c>
      <c r="P1720" s="8">
        <v>410.66</v>
      </c>
      <c r="Q1720" s="8" t="s">
        <v>2725</v>
      </c>
      <c r="S1720" s="8" t="s">
        <v>156</v>
      </c>
      <c r="T1720" s="8">
        <v>19.18</v>
      </c>
    </row>
    <row r="1721" spans="1:20" x14ac:dyDescent="0.2">
      <c r="A1721" s="8" t="s">
        <v>4252</v>
      </c>
      <c r="B1721" s="8" t="str">
        <f t="shared" si="52"/>
        <v>1586244542</v>
      </c>
      <c r="C1721" s="8" t="str">
        <f t="shared" si="53"/>
        <v>1756</v>
      </c>
      <c r="D1721" s="8" t="s">
        <v>119</v>
      </c>
      <c r="F1721" s="8" t="s">
        <v>271</v>
      </c>
      <c r="G1721" s="8" t="s">
        <v>825</v>
      </c>
      <c r="H1721" s="8" t="s">
        <v>826</v>
      </c>
      <c r="I1721" s="8" t="s">
        <v>181</v>
      </c>
      <c r="J1721" s="8" t="s">
        <v>827</v>
      </c>
      <c r="K1721" s="8" t="s">
        <v>125</v>
      </c>
      <c r="L1721" s="8" t="s">
        <v>828</v>
      </c>
      <c r="M1721" s="8" t="s">
        <v>2780</v>
      </c>
      <c r="N1721" s="8" t="s">
        <v>825</v>
      </c>
      <c r="O1721" s="8">
        <v>369.59</v>
      </c>
      <c r="P1721" s="8">
        <v>410.66</v>
      </c>
      <c r="Q1721" s="8" t="s">
        <v>2725</v>
      </c>
      <c r="S1721" s="8" t="s">
        <v>109</v>
      </c>
      <c r="T1721" s="8">
        <v>42.05</v>
      </c>
    </row>
    <row r="1722" spans="1:20" x14ac:dyDescent="0.2">
      <c r="A1722" s="8" t="s">
        <v>3864</v>
      </c>
      <c r="B1722" s="8" t="str">
        <f t="shared" si="52"/>
        <v>1586244546</v>
      </c>
      <c r="C1722" s="8" t="str">
        <f t="shared" si="53"/>
        <v>1757</v>
      </c>
      <c r="D1722" s="8" t="s">
        <v>119</v>
      </c>
      <c r="F1722" s="8" t="s">
        <v>271</v>
      </c>
      <c r="G1722" s="8" t="s">
        <v>1575</v>
      </c>
      <c r="H1722" s="8" t="s">
        <v>1576</v>
      </c>
      <c r="I1722" s="8" t="s">
        <v>181</v>
      </c>
      <c r="J1722" s="8" t="s">
        <v>1577</v>
      </c>
      <c r="K1722" s="8" t="s">
        <v>125</v>
      </c>
      <c r="L1722" s="8" t="s">
        <v>1578</v>
      </c>
      <c r="M1722" s="8" t="s">
        <v>2780</v>
      </c>
      <c r="N1722" s="8" t="s">
        <v>1575</v>
      </c>
      <c r="O1722" s="8">
        <v>369.59</v>
      </c>
      <c r="P1722" s="8">
        <v>410.66</v>
      </c>
      <c r="Q1722" s="8" t="s">
        <v>2726</v>
      </c>
      <c r="R1722" s="8" t="s">
        <v>1579</v>
      </c>
    </row>
    <row r="1723" spans="1:20" x14ac:dyDescent="0.2">
      <c r="A1723" s="8" t="s">
        <v>3931</v>
      </c>
      <c r="B1723" s="8" t="str">
        <f t="shared" si="52"/>
        <v>1586244546</v>
      </c>
      <c r="C1723" s="8" t="str">
        <f t="shared" si="53"/>
        <v>1758</v>
      </c>
      <c r="D1723" s="8" t="s">
        <v>119</v>
      </c>
      <c r="F1723" s="8" t="s">
        <v>271</v>
      </c>
      <c r="G1723" s="8" t="s">
        <v>1575</v>
      </c>
      <c r="H1723" s="8" t="s">
        <v>1576</v>
      </c>
      <c r="I1723" s="8" t="s">
        <v>181</v>
      </c>
      <c r="J1723" s="8" t="s">
        <v>1577</v>
      </c>
      <c r="K1723" s="8" t="s">
        <v>125</v>
      </c>
      <c r="L1723" s="8" t="s">
        <v>1578</v>
      </c>
      <c r="M1723" s="8" t="s">
        <v>2780</v>
      </c>
      <c r="N1723" s="8" t="s">
        <v>1575</v>
      </c>
      <c r="O1723" s="8">
        <v>369.59</v>
      </c>
      <c r="P1723" s="8">
        <v>410.66</v>
      </c>
      <c r="Q1723" s="8" t="s">
        <v>2726</v>
      </c>
      <c r="R1723" s="8" t="s">
        <v>2039</v>
      </c>
    </row>
    <row r="1724" spans="1:20" x14ac:dyDescent="0.2">
      <c r="A1724" s="8" t="s">
        <v>2966</v>
      </c>
      <c r="B1724" s="8" t="str">
        <f t="shared" si="52"/>
        <v>1586244546</v>
      </c>
      <c r="C1724" s="8" t="str">
        <f t="shared" si="53"/>
        <v>1759</v>
      </c>
      <c r="D1724" s="8" t="s">
        <v>119</v>
      </c>
      <c r="F1724" s="8" t="s">
        <v>271</v>
      </c>
      <c r="G1724" s="8" t="s">
        <v>1575</v>
      </c>
      <c r="H1724" s="8" t="s">
        <v>1576</v>
      </c>
      <c r="I1724" s="8" t="s">
        <v>181</v>
      </c>
      <c r="J1724" s="8" t="s">
        <v>1577</v>
      </c>
      <c r="K1724" s="8" t="s">
        <v>125</v>
      </c>
      <c r="L1724" s="8" t="s">
        <v>1578</v>
      </c>
      <c r="M1724" s="8" t="s">
        <v>2780</v>
      </c>
      <c r="N1724" s="8" t="s">
        <v>1575</v>
      </c>
      <c r="O1724" s="8">
        <v>369.59</v>
      </c>
      <c r="P1724" s="8">
        <v>410.66</v>
      </c>
      <c r="Q1724" s="8" t="s">
        <v>2726</v>
      </c>
      <c r="S1724" s="8" t="s">
        <v>1029</v>
      </c>
      <c r="T1724" s="8">
        <v>23.61</v>
      </c>
    </row>
    <row r="1725" spans="1:20" x14ac:dyDescent="0.2">
      <c r="A1725" s="8" t="s">
        <v>4575</v>
      </c>
      <c r="B1725" s="8" t="str">
        <f t="shared" si="52"/>
        <v>1586244546</v>
      </c>
      <c r="C1725" s="8" t="str">
        <f t="shared" si="53"/>
        <v>1760</v>
      </c>
      <c r="D1725" s="8" t="s">
        <v>119</v>
      </c>
      <c r="F1725" s="8" t="s">
        <v>271</v>
      </c>
      <c r="G1725" s="8" t="s">
        <v>1575</v>
      </c>
      <c r="H1725" s="8" t="s">
        <v>1576</v>
      </c>
      <c r="I1725" s="8" t="s">
        <v>181</v>
      </c>
      <c r="J1725" s="8" t="s">
        <v>1577</v>
      </c>
      <c r="K1725" s="8" t="s">
        <v>125</v>
      </c>
      <c r="L1725" s="8" t="s">
        <v>1578</v>
      </c>
      <c r="M1725" s="8" t="s">
        <v>2780</v>
      </c>
      <c r="N1725" s="8" t="s">
        <v>1575</v>
      </c>
      <c r="O1725" s="8">
        <v>369.59</v>
      </c>
      <c r="P1725" s="8">
        <v>410.66</v>
      </c>
      <c r="Q1725" s="8" t="s">
        <v>2726</v>
      </c>
      <c r="S1725" s="8" t="s">
        <v>184</v>
      </c>
      <c r="T1725" s="8">
        <v>77.459999999999994</v>
      </c>
    </row>
    <row r="1726" spans="1:20" x14ac:dyDescent="0.2">
      <c r="A1726" s="8" t="s">
        <v>4807</v>
      </c>
      <c r="B1726" s="8" t="str">
        <f t="shared" si="52"/>
        <v>1586244546</v>
      </c>
      <c r="C1726" s="8" t="str">
        <f t="shared" si="53"/>
        <v>1761</v>
      </c>
      <c r="D1726" s="8" t="s">
        <v>119</v>
      </c>
      <c r="F1726" s="8" t="s">
        <v>271</v>
      </c>
      <c r="G1726" s="8" t="s">
        <v>1575</v>
      </c>
      <c r="H1726" s="8" t="s">
        <v>1576</v>
      </c>
      <c r="I1726" s="8" t="s">
        <v>181</v>
      </c>
      <c r="J1726" s="8" t="s">
        <v>1577</v>
      </c>
      <c r="K1726" s="8" t="s">
        <v>125</v>
      </c>
      <c r="L1726" s="8" t="s">
        <v>1578</v>
      </c>
      <c r="M1726" s="8" t="s">
        <v>2780</v>
      </c>
      <c r="N1726" s="8" t="s">
        <v>1575</v>
      </c>
      <c r="O1726" s="8">
        <v>369.59</v>
      </c>
      <c r="P1726" s="8">
        <v>410.66</v>
      </c>
      <c r="Q1726" s="8" t="s">
        <v>2726</v>
      </c>
      <c r="S1726" s="8" t="s">
        <v>156</v>
      </c>
      <c r="T1726" s="8">
        <v>19.18</v>
      </c>
    </row>
    <row r="1727" spans="1:20" x14ac:dyDescent="0.2">
      <c r="A1727" s="8" t="s">
        <v>3767</v>
      </c>
      <c r="B1727" s="8" t="str">
        <f t="shared" si="52"/>
        <v>1586244546</v>
      </c>
      <c r="C1727" s="8" t="str">
        <f t="shared" si="53"/>
        <v>1762</v>
      </c>
      <c r="D1727" s="8" t="s">
        <v>119</v>
      </c>
      <c r="F1727" s="8" t="s">
        <v>271</v>
      </c>
      <c r="G1727" s="8" t="s">
        <v>1575</v>
      </c>
      <c r="H1727" s="8" t="s">
        <v>1576</v>
      </c>
      <c r="I1727" s="8" t="s">
        <v>181</v>
      </c>
      <c r="J1727" s="8" t="s">
        <v>1577</v>
      </c>
      <c r="K1727" s="8" t="s">
        <v>125</v>
      </c>
      <c r="L1727" s="8" t="s">
        <v>1578</v>
      </c>
      <c r="M1727" s="8" t="s">
        <v>2780</v>
      </c>
      <c r="N1727" s="8" t="s">
        <v>1575</v>
      </c>
      <c r="O1727" s="8">
        <v>369.59</v>
      </c>
      <c r="P1727" s="8">
        <v>410.66</v>
      </c>
      <c r="Q1727" s="8" t="s">
        <v>2726</v>
      </c>
      <c r="S1727" s="8" t="s">
        <v>109</v>
      </c>
      <c r="T1727" s="8">
        <v>42.05</v>
      </c>
    </row>
    <row r="1728" spans="1:20" x14ac:dyDescent="0.2">
      <c r="A1728" s="8" t="s">
        <v>3225</v>
      </c>
      <c r="B1728" s="8" t="str">
        <f t="shared" si="52"/>
        <v>1586244550</v>
      </c>
      <c r="C1728" s="8" t="str">
        <f t="shared" si="53"/>
        <v>1763</v>
      </c>
      <c r="D1728" s="8" t="s">
        <v>119</v>
      </c>
      <c r="F1728" s="8" t="s">
        <v>271</v>
      </c>
      <c r="G1728" s="8" t="s">
        <v>964</v>
      </c>
      <c r="H1728" s="8" t="s">
        <v>965</v>
      </c>
      <c r="I1728" s="8" t="s">
        <v>160</v>
      </c>
      <c r="J1728" s="8" t="s">
        <v>966</v>
      </c>
      <c r="K1728" s="8" t="s">
        <v>125</v>
      </c>
      <c r="L1728" s="8" t="s">
        <v>967</v>
      </c>
      <c r="M1728" s="8" t="s">
        <v>2780</v>
      </c>
      <c r="N1728" s="8" t="s">
        <v>964</v>
      </c>
      <c r="O1728" s="8">
        <v>509.75</v>
      </c>
      <c r="P1728" s="8">
        <v>566.39</v>
      </c>
      <c r="Q1728" s="8" t="s">
        <v>2658</v>
      </c>
      <c r="R1728" s="8" t="s">
        <v>2405</v>
      </c>
    </row>
    <row r="1729" spans="1:20" x14ac:dyDescent="0.2">
      <c r="A1729" s="8" t="s">
        <v>3692</v>
      </c>
      <c r="B1729" s="8" t="str">
        <f t="shared" si="52"/>
        <v>1586244550</v>
      </c>
      <c r="C1729" s="8" t="str">
        <f t="shared" si="53"/>
        <v>1764</v>
      </c>
      <c r="D1729" s="8" t="s">
        <v>119</v>
      </c>
      <c r="F1729" s="8" t="s">
        <v>271</v>
      </c>
      <c r="G1729" s="8" t="s">
        <v>964</v>
      </c>
      <c r="H1729" s="8" t="s">
        <v>965</v>
      </c>
      <c r="I1729" s="8" t="s">
        <v>160</v>
      </c>
      <c r="J1729" s="8" t="s">
        <v>966</v>
      </c>
      <c r="K1729" s="8" t="s">
        <v>125</v>
      </c>
      <c r="L1729" s="8" t="s">
        <v>967</v>
      </c>
      <c r="M1729" s="8" t="s">
        <v>2780</v>
      </c>
      <c r="N1729" s="8" t="s">
        <v>964</v>
      </c>
      <c r="O1729" s="8">
        <v>509.75</v>
      </c>
      <c r="P1729" s="8">
        <v>566.39</v>
      </c>
      <c r="Q1729" s="8" t="s">
        <v>2658</v>
      </c>
      <c r="R1729" s="8" t="s">
        <v>1800</v>
      </c>
    </row>
    <row r="1730" spans="1:20" x14ac:dyDescent="0.2">
      <c r="A1730" s="8" t="s">
        <v>4291</v>
      </c>
      <c r="B1730" s="8" t="str">
        <f t="shared" ref="B1730:B1793" si="54">LEFT(A1730, FIND("-", A1730) - 1)</f>
        <v>1586244550</v>
      </c>
      <c r="C1730" s="8" t="str">
        <f t="shared" ref="C1730:C1793" si="55">RIGHT(A1730, LEN(A1730) - FIND("-", A1730))</f>
        <v>1765</v>
      </c>
      <c r="D1730" s="8" t="s">
        <v>119</v>
      </c>
      <c r="F1730" s="8" t="s">
        <v>271</v>
      </c>
      <c r="G1730" s="8" t="s">
        <v>964</v>
      </c>
      <c r="H1730" s="8" t="s">
        <v>965</v>
      </c>
      <c r="I1730" s="8" t="s">
        <v>160</v>
      </c>
      <c r="J1730" s="8" t="s">
        <v>966</v>
      </c>
      <c r="K1730" s="8" t="s">
        <v>125</v>
      </c>
      <c r="L1730" s="8" t="s">
        <v>967</v>
      </c>
      <c r="M1730" s="8" t="s">
        <v>2780</v>
      </c>
      <c r="N1730" s="8" t="s">
        <v>964</v>
      </c>
      <c r="O1730" s="8">
        <v>509.75</v>
      </c>
      <c r="P1730" s="8">
        <v>566.39</v>
      </c>
      <c r="Q1730" s="8" t="s">
        <v>2658</v>
      </c>
      <c r="R1730" s="8" t="s">
        <v>2289</v>
      </c>
    </row>
    <row r="1731" spans="1:20" x14ac:dyDescent="0.2">
      <c r="A1731" s="8" t="s">
        <v>3431</v>
      </c>
      <c r="B1731" s="8" t="str">
        <f t="shared" si="54"/>
        <v>1586244550</v>
      </c>
      <c r="C1731" s="8" t="str">
        <f t="shared" si="55"/>
        <v>1766</v>
      </c>
      <c r="D1731" s="8" t="s">
        <v>119</v>
      </c>
      <c r="F1731" s="8" t="s">
        <v>271</v>
      </c>
      <c r="G1731" s="8" t="s">
        <v>964</v>
      </c>
      <c r="H1731" s="8" t="s">
        <v>965</v>
      </c>
      <c r="I1731" s="8" t="s">
        <v>160</v>
      </c>
      <c r="J1731" s="8" t="s">
        <v>966</v>
      </c>
      <c r="K1731" s="8" t="s">
        <v>125</v>
      </c>
      <c r="L1731" s="8" t="s">
        <v>967</v>
      </c>
      <c r="M1731" s="8" t="s">
        <v>2780</v>
      </c>
      <c r="N1731" s="8" t="s">
        <v>964</v>
      </c>
      <c r="O1731" s="8">
        <v>509.75</v>
      </c>
      <c r="P1731" s="8">
        <v>566.39</v>
      </c>
      <c r="Q1731" s="8" t="s">
        <v>2658</v>
      </c>
      <c r="R1731" s="8" t="s">
        <v>1593</v>
      </c>
    </row>
    <row r="1732" spans="1:20" x14ac:dyDescent="0.2">
      <c r="A1732" s="8" t="s">
        <v>3678</v>
      </c>
      <c r="B1732" s="8" t="str">
        <f t="shared" si="54"/>
        <v>1586244550</v>
      </c>
      <c r="C1732" s="8" t="str">
        <f t="shared" si="55"/>
        <v>1767</v>
      </c>
      <c r="D1732" s="8" t="s">
        <v>119</v>
      </c>
      <c r="F1732" s="8" t="s">
        <v>271</v>
      </c>
      <c r="G1732" s="8" t="s">
        <v>964</v>
      </c>
      <c r="H1732" s="8" t="s">
        <v>965</v>
      </c>
      <c r="I1732" s="8" t="s">
        <v>160</v>
      </c>
      <c r="J1732" s="8" t="s">
        <v>966</v>
      </c>
      <c r="K1732" s="8" t="s">
        <v>125</v>
      </c>
      <c r="L1732" s="8" t="s">
        <v>967</v>
      </c>
      <c r="M1732" s="8" t="s">
        <v>2780</v>
      </c>
      <c r="N1732" s="8" t="s">
        <v>964</v>
      </c>
      <c r="O1732" s="8">
        <v>509.75</v>
      </c>
      <c r="P1732" s="8">
        <v>566.39</v>
      </c>
      <c r="Q1732" s="8" t="s">
        <v>2658</v>
      </c>
      <c r="R1732" s="8" t="s">
        <v>1684</v>
      </c>
    </row>
    <row r="1733" spans="1:20" x14ac:dyDescent="0.2">
      <c r="A1733" s="8" t="s">
        <v>2923</v>
      </c>
      <c r="B1733" s="8" t="str">
        <f t="shared" si="54"/>
        <v>1586244550</v>
      </c>
      <c r="C1733" s="8" t="str">
        <f t="shared" si="55"/>
        <v>1768</v>
      </c>
      <c r="D1733" s="8" t="s">
        <v>119</v>
      </c>
      <c r="F1733" s="8" t="s">
        <v>271</v>
      </c>
      <c r="G1733" s="8" t="s">
        <v>964</v>
      </c>
      <c r="H1733" s="8" t="s">
        <v>965</v>
      </c>
      <c r="I1733" s="8" t="s">
        <v>160</v>
      </c>
      <c r="J1733" s="8" t="s">
        <v>966</v>
      </c>
      <c r="K1733" s="8" t="s">
        <v>125</v>
      </c>
      <c r="L1733" s="8" t="s">
        <v>967</v>
      </c>
      <c r="M1733" s="8" t="s">
        <v>2780</v>
      </c>
      <c r="N1733" s="8" t="s">
        <v>964</v>
      </c>
      <c r="O1733" s="8">
        <v>509.75</v>
      </c>
      <c r="P1733" s="8">
        <v>566.39</v>
      </c>
      <c r="Q1733" s="8" t="s">
        <v>2658</v>
      </c>
      <c r="R1733" s="8" t="s">
        <v>1886</v>
      </c>
    </row>
    <row r="1734" spans="1:20" x14ac:dyDescent="0.2">
      <c r="A1734" s="8" t="s">
        <v>3467</v>
      </c>
      <c r="B1734" s="8" t="str">
        <f t="shared" si="54"/>
        <v>1586244550</v>
      </c>
      <c r="C1734" s="8" t="str">
        <f t="shared" si="55"/>
        <v>1769</v>
      </c>
      <c r="D1734" s="8" t="s">
        <v>119</v>
      </c>
      <c r="F1734" s="8" t="s">
        <v>271</v>
      </c>
      <c r="G1734" s="8" t="s">
        <v>964</v>
      </c>
      <c r="H1734" s="8" t="s">
        <v>965</v>
      </c>
      <c r="I1734" s="8" t="s">
        <v>160</v>
      </c>
      <c r="J1734" s="8" t="s">
        <v>966</v>
      </c>
      <c r="K1734" s="8" t="s">
        <v>125</v>
      </c>
      <c r="L1734" s="8" t="s">
        <v>967</v>
      </c>
      <c r="M1734" s="8" t="s">
        <v>2780</v>
      </c>
      <c r="N1734" s="8" t="s">
        <v>964</v>
      </c>
      <c r="O1734" s="8">
        <v>509.75</v>
      </c>
      <c r="P1734" s="8">
        <v>566.39</v>
      </c>
      <c r="Q1734" s="8" t="s">
        <v>2658</v>
      </c>
      <c r="R1734" s="8" t="s">
        <v>1826</v>
      </c>
    </row>
    <row r="1735" spans="1:20" x14ac:dyDescent="0.2">
      <c r="A1735" s="8" t="s">
        <v>3012</v>
      </c>
      <c r="B1735" s="8" t="str">
        <f t="shared" si="54"/>
        <v>1586244550</v>
      </c>
      <c r="C1735" s="8" t="str">
        <f t="shared" si="55"/>
        <v>1770</v>
      </c>
      <c r="D1735" s="8" t="s">
        <v>119</v>
      </c>
      <c r="F1735" s="8" t="s">
        <v>271</v>
      </c>
      <c r="G1735" s="8" t="s">
        <v>964</v>
      </c>
      <c r="H1735" s="8" t="s">
        <v>965</v>
      </c>
      <c r="I1735" s="8" t="s">
        <v>160</v>
      </c>
      <c r="J1735" s="8" t="s">
        <v>966</v>
      </c>
      <c r="K1735" s="8" t="s">
        <v>125</v>
      </c>
      <c r="L1735" s="8" t="s">
        <v>967</v>
      </c>
      <c r="M1735" s="8" t="s">
        <v>2780</v>
      </c>
      <c r="N1735" s="8" t="s">
        <v>964</v>
      </c>
      <c r="O1735" s="8">
        <v>509.75</v>
      </c>
      <c r="P1735" s="8">
        <v>566.39</v>
      </c>
      <c r="Q1735" s="8" t="s">
        <v>2658</v>
      </c>
      <c r="R1735" s="8" t="s">
        <v>1359</v>
      </c>
    </row>
    <row r="1736" spans="1:20" x14ac:dyDescent="0.2">
      <c r="A1736" s="8" t="s">
        <v>3833</v>
      </c>
      <c r="B1736" s="8" t="str">
        <f t="shared" si="54"/>
        <v>1586244550</v>
      </c>
      <c r="C1736" s="8" t="str">
        <f t="shared" si="55"/>
        <v>1771</v>
      </c>
      <c r="D1736" s="8" t="s">
        <v>119</v>
      </c>
      <c r="F1736" s="8" t="s">
        <v>271</v>
      </c>
      <c r="G1736" s="8" t="s">
        <v>964</v>
      </c>
      <c r="H1736" s="8" t="s">
        <v>965</v>
      </c>
      <c r="I1736" s="8" t="s">
        <v>160</v>
      </c>
      <c r="J1736" s="8" t="s">
        <v>966</v>
      </c>
      <c r="K1736" s="8" t="s">
        <v>125</v>
      </c>
      <c r="L1736" s="8" t="s">
        <v>967</v>
      </c>
      <c r="M1736" s="8" t="s">
        <v>2780</v>
      </c>
      <c r="N1736" s="8" t="s">
        <v>964</v>
      </c>
      <c r="O1736" s="8">
        <v>509.75</v>
      </c>
      <c r="P1736" s="8">
        <v>566.39</v>
      </c>
      <c r="Q1736" s="8" t="s">
        <v>2658</v>
      </c>
      <c r="R1736" s="8" t="s">
        <v>2290</v>
      </c>
    </row>
    <row r="1737" spans="1:20" x14ac:dyDescent="0.2">
      <c r="A1737" s="8" t="s">
        <v>3785</v>
      </c>
      <c r="B1737" s="8" t="str">
        <f t="shared" si="54"/>
        <v>1586244550</v>
      </c>
      <c r="C1737" s="8" t="str">
        <f t="shared" si="55"/>
        <v>1772</v>
      </c>
      <c r="D1737" s="8" t="s">
        <v>119</v>
      </c>
      <c r="F1737" s="8" t="s">
        <v>271</v>
      </c>
      <c r="G1737" s="8" t="s">
        <v>964</v>
      </c>
      <c r="H1737" s="8" t="s">
        <v>965</v>
      </c>
      <c r="I1737" s="8" t="s">
        <v>160</v>
      </c>
      <c r="J1737" s="8" t="s">
        <v>966</v>
      </c>
      <c r="K1737" s="8" t="s">
        <v>125</v>
      </c>
      <c r="L1737" s="8" t="s">
        <v>967</v>
      </c>
      <c r="M1737" s="8" t="s">
        <v>2780</v>
      </c>
      <c r="N1737" s="8" t="s">
        <v>964</v>
      </c>
      <c r="O1737" s="8">
        <v>509.75</v>
      </c>
      <c r="P1737" s="8">
        <v>566.39</v>
      </c>
      <c r="Q1737" s="8" t="s">
        <v>2658</v>
      </c>
      <c r="S1737" s="8" t="s">
        <v>1400</v>
      </c>
      <c r="T1737" s="8">
        <v>81.150000000000006</v>
      </c>
    </row>
    <row r="1738" spans="1:20" x14ac:dyDescent="0.2">
      <c r="A1738" s="8" t="s">
        <v>3216</v>
      </c>
      <c r="B1738" s="8" t="str">
        <f t="shared" si="54"/>
        <v>1586244550</v>
      </c>
      <c r="C1738" s="8" t="str">
        <f t="shared" si="55"/>
        <v>1773</v>
      </c>
      <c r="D1738" s="8" t="s">
        <v>119</v>
      </c>
      <c r="F1738" s="8" t="s">
        <v>271</v>
      </c>
      <c r="G1738" s="8" t="s">
        <v>964</v>
      </c>
      <c r="H1738" s="8" t="s">
        <v>965</v>
      </c>
      <c r="I1738" s="8" t="s">
        <v>160</v>
      </c>
      <c r="J1738" s="8" t="s">
        <v>966</v>
      </c>
      <c r="K1738" s="8" t="s">
        <v>125</v>
      </c>
      <c r="L1738" s="8" t="s">
        <v>967</v>
      </c>
      <c r="M1738" s="8" t="s">
        <v>2780</v>
      </c>
      <c r="N1738" s="8" t="s">
        <v>964</v>
      </c>
      <c r="O1738" s="8">
        <v>509.75</v>
      </c>
      <c r="P1738" s="8">
        <v>566.39</v>
      </c>
      <c r="Q1738" s="8" t="s">
        <v>2658</v>
      </c>
      <c r="S1738" s="8" t="s">
        <v>968</v>
      </c>
      <c r="T1738" s="8">
        <v>100.33</v>
      </c>
    </row>
    <row r="1739" spans="1:20" x14ac:dyDescent="0.2">
      <c r="A1739" s="8" t="s">
        <v>3751</v>
      </c>
      <c r="B1739" s="8" t="str">
        <f t="shared" si="54"/>
        <v>1586244550</v>
      </c>
      <c r="C1739" s="8" t="str">
        <f t="shared" si="55"/>
        <v>1774</v>
      </c>
      <c r="D1739" s="8" t="s">
        <v>119</v>
      </c>
      <c r="F1739" s="8" t="s">
        <v>271</v>
      </c>
      <c r="G1739" s="8" t="s">
        <v>964</v>
      </c>
      <c r="H1739" s="8" t="s">
        <v>965</v>
      </c>
      <c r="I1739" s="8" t="s">
        <v>160</v>
      </c>
      <c r="J1739" s="8" t="s">
        <v>966</v>
      </c>
      <c r="K1739" s="8" t="s">
        <v>125</v>
      </c>
      <c r="L1739" s="8" t="s">
        <v>967</v>
      </c>
      <c r="M1739" s="8" t="s">
        <v>2780</v>
      </c>
      <c r="N1739" s="8" t="s">
        <v>964</v>
      </c>
      <c r="O1739" s="8">
        <v>509.75</v>
      </c>
      <c r="P1739" s="8">
        <v>566.39</v>
      </c>
      <c r="Q1739" s="8" t="s">
        <v>2658</v>
      </c>
      <c r="S1739" s="8" t="s">
        <v>1029</v>
      </c>
      <c r="T1739" s="8">
        <v>23.61</v>
      </c>
    </row>
    <row r="1740" spans="1:20" x14ac:dyDescent="0.2">
      <c r="A1740" s="8" t="s">
        <v>3980</v>
      </c>
      <c r="B1740" s="8" t="str">
        <f t="shared" si="54"/>
        <v>1586244550</v>
      </c>
      <c r="C1740" s="8" t="str">
        <f t="shared" si="55"/>
        <v>1775</v>
      </c>
      <c r="D1740" s="8" t="s">
        <v>119</v>
      </c>
      <c r="F1740" s="8" t="s">
        <v>271</v>
      </c>
      <c r="G1740" s="8" t="s">
        <v>964</v>
      </c>
      <c r="H1740" s="8" t="s">
        <v>965</v>
      </c>
      <c r="I1740" s="8" t="s">
        <v>160</v>
      </c>
      <c r="J1740" s="8" t="s">
        <v>966</v>
      </c>
      <c r="K1740" s="8" t="s">
        <v>125</v>
      </c>
      <c r="L1740" s="8" t="s">
        <v>967</v>
      </c>
      <c r="M1740" s="8" t="s">
        <v>2780</v>
      </c>
      <c r="N1740" s="8" t="s">
        <v>964</v>
      </c>
      <c r="O1740" s="8">
        <v>509.75</v>
      </c>
      <c r="P1740" s="8">
        <v>566.39</v>
      </c>
      <c r="Q1740" s="8" t="s">
        <v>2658</v>
      </c>
      <c r="S1740" s="8" t="s">
        <v>331</v>
      </c>
      <c r="T1740" s="8">
        <v>77.459999999999994</v>
      </c>
    </row>
    <row r="1741" spans="1:20" x14ac:dyDescent="0.2">
      <c r="A1741" s="8" t="s">
        <v>4738</v>
      </c>
      <c r="B1741" s="8" t="str">
        <f t="shared" si="54"/>
        <v>1586244552</v>
      </c>
      <c r="C1741" s="8" t="str">
        <f t="shared" si="55"/>
        <v>1776</v>
      </c>
      <c r="D1741" s="8" t="s">
        <v>119</v>
      </c>
      <c r="F1741" s="8" t="s">
        <v>271</v>
      </c>
      <c r="G1741" s="8" t="s">
        <v>964</v>
      </c>
      <c r="H1741" s="8" t="s">
        <v>965</v>
      </c>
      <c r="I1741" s="8" t="s">
        <v>1175</v>
      </c>
      <c r="J1741" s="8" t="s">
        <v>1176</v>
      </c>
      <c r="K1741" s="8" t="s">
        <v>93</v>
      </c>
      <c r="L1741" s="8" t="s">
        <v>1177</v>
      </c>
      <c r="M1741" s="8" t="s">
        <v>2780</v>
      </c>
      <c r="N1741" s="8" t="s">
        <v>964</v>
      </c>
      <c r="O1741" s="8">
        <v>383.61</v>
      </c>
      <c r="P1741" s="8">
        <v>426.23</v>
      </c>
      <c r="Q1741" s="8" t="s">
        <v>2727</v>
      </c>
      <c r="R1741" s="8" t="s">
        <v>1812</v>
      </c>
    </row>
    <row r="1742" spans="1:20" x14ac:dyDescent="0.2">
      <c r="A1742" s="8" t="s">
        <v>3518</v>
      </c>
      <c r="B1742" s="8" t="str">
        <f t="shared" si="54"/>
        <v>1586244552</v>
      </c>
      <c r="C1742" s="8" t="str">
        <f t="shared" si="55"/>
        <v>1777</v>
      </c>
      <c r="D1742" s="8" t="s">
        <v>119</v>
      </c>
      <c r="F1742" s="8" t="s">
        <v>271</v>
      </c>
      <c r="G1742" s="8" t="s">
        <v>964</v>
      </c>
      <c r="H1742" s="8" t="s">
        <v>965</v>
      </c>
      <c r="I1742" s="8" t="s">
        <v>1175</v>
      </c>
      <c r="J1742" s="8" t="s">
        <v>1176</v>
      </c>
      <c r="K1742" s="8" t="s">
        <v>93</v>
      </c>
      <c r="L1742" s="8" t="s">
        <v>1177</v>
      </c>
      <c r="M1742" s="8" t="s">
        <v>2780</v>
      </c>
      <c r="N1742" s="8" t="s">
        <v>964</v>
      </c>
      <c r="O1742" s="8">
        <v>383.61</v>
      </c>
      <c r="P1742" s="8">
        <v>426.23</v>
      </c>
      <c r="Q1742" s="8" t="s">
        <v>2727</v>
      </c>
      <c r="R1742" s="8" t="s">
        <v>1178</v>
      </c>
    </row>
    <row r="1743" spans="1:20" x14ac:dyDescent="0.2">
      <c r="A1743" s="8" t="s">
        <v>4419</v>
      </c>
      <c r="B1743" s="8" t="str">
        <f t="shared" si="54"/>
        <v>1586244552</v>
      </c>
      <c r="C1743" s="8" t="str">
        <f t="shared" si="55"/>
        <v>1778</v>
      </c>
      <c r="D1743" s="8" t="s">
        <v>119</v>
      </c>
      <c r="F1743" s="8" t="s">
        <v>271</v>
      </c>
      <c r="G1743" s="8" t="s">
        <v>964</v>
      </c>
      <c r="H1743" s="8" t="s">
        <v>965</v>
      </c>
      <c r="I1743" s="8" t="s">
        <v>1175</v>
      </c>
      <c r="J1743" s="8" t="s">
        <v>1176</v>
      </c>
      <c r="K1743" s="8" t="s">
        <v>93</v>
      </c>
      <c r="L1743" s="8" t="s">
        <v>1177</v>
      </c>
      <c r="M1743" s="8" t="s">
        <v>2780</v>
      </c>
      <c r="N1743" s="8" t="s">
        <v>964</v>
      </c>
      <c r="O1743" s="8">
        <v>383.61</v>
      </c>
      <c r="P1743" s="8">
        <v>426.23</v>
      </c>
      <c r="Q1743" s="8" t="s">
        <v>2727</v>
      </c>
      <c r="R1743" s="8" t="s">
        <v>1187</v>
      </c>
    </row>
    <row r="1744" spans="1:20" x14ac:dyDescent="0.2">
      <c r="A1744" s="8" t="s">
        <v>4359</v>
      </c>
      <c r="B1744" s="8" t="str">
        <f t="shared" si="54"/>
        <v>1586244556</v>
      </c>
      <c r="C1744" s="8" t="str">
        <f t="shared" si="55"/>
        <v>1779</v>
      </c>
      <c r="D1744" s="8" t="s">
        <v>119</v>
      </c>
      <c r="F1744" s="8" t="s">
        <v>271</v>
      </c>
      <c r="G1744" s="8" t="s">
        <v>538</v>
      </c>
      <c r="H1744" s="8" t="s">
        <v>539</v>
      </c>
      <c r="I1744" s="8" t="s">
        <v>167</v>
      </c>
      <c r="J1744" s="8" t="s">
        <v>540</v>
      </c>
      <c r="K1744" s="8" t="s">
        <v>93</v>
      </c>
      <c r="L1744" s="8" t="s">
        <v>541</v>
      </c>
      <c r="M1744" s="8" t="s">
        <v>2780</v>
      </c>
      <c r="N1744" s="8" t="s">
        <v>538</v>
      </c>
      <c r="O1744" s="8">
        <v>310.57</v>
      </c>
      <c r="P1744" s="8">
        <v>345.08</v>
      </c>
      <c r="Q1744" s="8" t="s">
        <v>2722</v>
      </c>
      <c r="R1744" s="8" t="s">
        <v>2320</v>
      </c>
    </row>
    <row r="1745" spans="1:20" x14ac:dyDescent="0.2">
      <c r="A1745" s="8" t="s">
        <v>3132</v>
      </c>
      <c r="B1745" s="8" t="str">
        <f t="shared" si="54"/>
        <v>1586244556</v>
      </c>
      <c r="C1745" s="8" t="str">
        <f t="shared" si="55"/>
        <v>1780</v>
      </c>
      <c r="D1745" s="8" t="s">
        <v>119</v>
      </c>
      <c r="F1745" s="8" t="s">
        <v>271</v>
      </c>
      <c r="G1745" s="8" t="s">
        <v>538</v>
      </c>
      <c r="H1745" s="8" t="s">
        <v>539</v>
      </c>
      <c r="I1745" s="8" t="s">
        <v>167</v>
      </c>
      <c r="J1745" s="8" t="s">
        <v>540</v>
      </c>
      <c r="K1745" s="8" t="s">
        <v>93</v>
      </c>
      <c r="L1745" s="8" t="s">
        <v>541</v>
      </c>
      <c r="M1745" s="8" t="s">
        <v>2780</v>
      </c>
      <c r="N1745" s="8" t="s">
        <v>538</v>
      </c>
      <c r="O1745" s="8">
        <v>310.57</v>
      </c>
      <c r="P1745" s="8">
        <v>345.08</v>
      </c>
      <c r="Q1745" s="8" t="s">
        <v>2722</v>
      </c>
      <c r="R1745" s="8" t="s">
        <v>2191</v>
      </c>
    </row>
    <row r="1746" spans="1:20" x14ac:dyDescent="0.2">
      <c r="A1746" s="8" t="s">
        <v>4703</v>
      </c>
      <c r="B1746" s="8" t="str">
        <f t="shared" si="54"/>
        <v>1586244556</v>
      </c>
      <c r="C1746" s="8" t="str">
        <f t="shared" si="55"/>
        <v>1781</v>
      </c>
      <c r="D1746" s="8" t="s">
        <v>119</v>
      </c>
      <c r="F1746" s="8" t="s">
        <v>271</v>
      </c>
      <c r="G1746" s="8" t="s">
        <v>538</v>
      </c>
      <c r="H1746" s="8" t="s">
        <v>539</v>
      </c>
      <c r="I1746" s="8" t="s">
        <v>167</v>
      </c>
      <c r="J1746" s="8" t="s">
        <v>540</v>
      </c>
      <c r="K1746" s="8" t="s">
        <v>93</v>
      </c>
      <c r="L1746" s="8" t="s">
        <v>541</v>
      </c>
      <c r="M1746" s="8" t="s">
        <v>2780</v>
      </c>
      <c r="N1746" s="8" t="s">
        <v>538</v>
      </c>
      <c r="O1746" s="8">
        <v>310.57</v>
      </c>
      <c r="P1746" s="8">
        <v>345.08</v>
      </c>
      <c r="Q1746" s="8" t="s">
        <v>2722</v>
      </c>
      <c r="R1746" s="8" t="s">
        <v>1640</v>
      </c>
    </row>
    <row r="1747" spans="1:20" x14ac:dyDescent="0.2">
      <c r="A1747" s="8" t="s">
        <v>4746</v>
      </c>
      <c r="B1747" s="8" t="str">
        <f t="shared" si="54"/>
        <v>1586244556</v>
      </c>
      <c r="C1747" s="8" t="str">
        <f t="shared" si="55"/>
        <v>1782</v>
      </c>
      <c r="D1747" s="8" t="s">
        <v>119</v>
      </c>
      <c r="F1747" s="8" t="s">
        <v>271</v>
      </c>
      <c r="G1747" s="8" t="s">
        <v>538</v>
      </c>
      <c r="H1747" s="8" t="s">
        <v>539</v>
      </c>
      <c r="I1747" s="8" t="s">
        <v>167</v>
      </c>
      <c r="J1747" s="8" t="s">
        <v>540</v>
      </c>
      <c r="K1747" s="8" t="s">
        <v>93</v>
      </c>
      <c r="L1747" s="8" t="s">
        <v>541</v>
      </c>
      <c r="M1747" s="8" t="s">
        <v>2780</v>
      </c>
      <c r="N1747" s="8" t="s">
        <v>538</v>
      </c>
      <c r="O1747" s="8">
        <v>310.57</v>
      </c>
      <c r="P1747" s="8">
        <v>345.08</v>
      </c>
      <c r="Q1747" s="8" t="s">
        <v>2722</v>
      </c>
      <c r="R1747" s="8" t="s">
        <v>2387</v>
      </c>
    </row>
    <row r="1748" spans="1:20" x14ac:dyDescent="0.2">
      <c r="A1748" s="8" t="s">
        <v>3842</v>
      </c>
      <c r="B1748" s="8" t="str">
        <f t="shared" si="54"/>
        <v>1586244556</v>
      </c>
      <c r="C1748" s="8" t="str">
        <f t="shared" si="55"/>
        <v>1783</v>
      </c>
      <c r="D1748" s="8" t="s">
        <v>119</v>
      </c>
      <c r="F1748" s="8" t="s">
        <v>271</v>
      </c>
      <c r="G1748" s="8" t="s">
        <v>538</v>
      </c>
      <c r="H1748" s="8" t="s">
        <v>539</v>
      </c>
      <c r="I1748" s="8" t="s">
        <v>167</v>
      </c>
      <c r="J1748" s="8" t="s">
        <v>540</v>
      </c>
      <c r="K1748" s="8" t="s">
        <v>93</v>
      </c>
      <c r="L1748" s="8" t="s">
        <v>541</v>
      </c>
      <c r="M1748" s="8" t="s">
        <v>2780</v>
      </c>
      <c r="N1748" s="8" t="s">
        <v>538</v>
      </c>
      <c r="O1748" s="8">
        <v>310.57</v>
      </c>
      <c r="P1748" s="8">
        <v>345.08</v>
      </c>
      <c r="Q1748" s="8" t="s">
        <v>2722</v>
      </c>
      <c r="S1748" s="8" t="s">
        <v>184</v>
      </c>
      <c r="T1748" s="8">
        <v>77.459999999999994</v>
      </c>
    </row>
    <row r="1749" spans="1:20" x14ac:dyDescent="0.2">
      <c r="A1749" s="8" t="s">
        <v>3885</v>
      </c>
      <c r="B1749" s="8" t="str">
        <f t="shared" si="54"/>
        <v>1586244556</v>
      </c>
      <c r="C1749" s="8" t="str">
        <f t="shared" si="55"/>
        <v>1784</v>
      </c>
      <c r="D1749" s="8" t="s">
        <v>119</v>
      </c>
      <c r="F1749" s="8" t="s">
        <v>271</v>
      </c>
      <c r="G1749" s="8" t="s">
        <v>538</v>
      </c>
      <c r="H1749" s="8" t="s">
        <v>539</v>
      </c>
      <c r="I1749" s="8" t="s">
        <v>167</v>
      </c>
      <c r="J1749" s="8" t="s">
        <v>540</v>
      </c>
      <c r="K1749" s="8" t="s">
        <v>93</v>
      </c>
      <c r="L1749" s="8" t="s">
        <v>541</v>
      </c>
      <c r="M1749" s="8" t="s">
        <v>2780</v>
      </c>
      <c r="N1749" s="8" t="s">
        <v>538</v>
      </c>
      <c r="O1749" s="8">
        <v>310.57</v>
      </c>
      <c r="P1749" s="8">
        <v>345.08</v>
      </c>
      <c r="Q1749" s="8" t="s">
        <v>2722</v>
      </c>
      <c r="S1749" s="8" t="s">
        <v>542</v>
      </c>
      <c r="T1749" s="8">
        <v>253.77</v>
      </c>
    </row>
    <row r="1750" spans="1:20" x14ac:dyDescent="0.2">
      <c r="A1750" s="8" t="s">
        <v>3172</v>
      </c>
      <c r="B1750" s="8" t="str">
        <f t="shared" si="54"/>
        <v>1586244556</v>
      </c>
      <c r="C1750" s="8" t="str">
        <f t="shared" si="55"/>
        <v>1785</v>
      </c>
      <c r="D1750" s="8" t="s">
        <v>119</v>
      </c>
      <c r="F1750" s="8" t="s">
        <v>271</v>
      </c>
      <c r="G1750" s="8" t="s">
        <v>538</v>
      </c>
      <c r="H1750" s="8" t="s">
        <v>539</v>
      </c>
      <c r="I1750" s="8" t="s">
        <v>167</v>
      </c>
      <c r="J1750" s="8" t="s">
        <v>540</v>
      </c>
      <c r="K1750" s="8" t="s">
        <v>93</v>
      </c>
      <c r="L1750" s="8" t="s">
        <v>541</v>
      </c>
      <c r="M1750" s="8" t="s">
        <v>2780</v>
      </c>
      <c r="N1750" s="8" t="s">
        <v>538</v>
      </c>
      <c r="O1750" s="8">
        <v>310.57</v>
      </c>
      <c r="P1750" s="8">
        <v>345.08</v>
      </c>
      <c r="Q1750" s="8" t="s">
        <v>2722</v>
      </c>
      <c r="S1750" s="8" t="s">
        <v>823</v>
      </c>
      <c r="T1750" s="8">
        <v>93.69</v>
      </c>
    </row>
    <row r="1751" spans="1:20" x14ac:dyDescent="0.2">
      <c r="A1751" s="8" t="s">
        <v>4399</v>
      </c>
      <c r="B1751" s="8" t="str">
        <f t="shared" si="54"/>
        <v>1586244556</v>
      </c>
      <c r="C1751" s="8" t="str">
        <f t="shared" si="55"/>
        <v>1786</v>
      </c>
      <c r="D1751" s="8" t="s">
        <v>119</v>
      </c>
      <c r="F1751" s="8" t="s">
        <v>271</v>
      </c>
      <c r="G1751" s="8" t="s">
        <v>538</v>
      </c>
      <c r="H1751" s="8" t="s">
        <v>539</v>
      </c>
      <c r="I1751" s="8" t="s">
        <v>167</v>
      </c>
      <c r="J1751" s="8" t="s">
        <v>540</v>
      </c>
      <c r="K1751" s="8" t="s">
        <v>93</v>
      </c>
      <c r="L1751" s="8" t="s">
        <v>541</v>
      </c>
      <c r="M1751" s="8" t="s">
        <v>2780</v>
      </c>
      <c r="N1751" s="8" t="s">
        <v>538</v>
      </c>
      <c r="O1751" s="8">
        <v>310.57</v>
      </c>
      <c r="P1751" s="8">
        <v>345.08</v>
      </c>
      <c r="Q1751" s="8" t="s">
        <v>2722</v>
      </c>
      <c r="S1751" s="8" t="s">
        <v>1602</v>
      </c>
      <c r="T1751" s="8">
        <v>347.46</v>
      </c>
    </row>
    <row r="1752" spans="1:20" x14ac:dyDescent="0.2">
      <c r="A1752" s="8" t="s">
        <v>4022</v>
      </c>
      <c r="B1752" s="8" t="str">
        <f t="shared" si="54"/>
        <v>1586244556</v>
      </c>
      <c r="C1752" s="8" t="str">
        <f t="shared" si="55"/>
        <v>1787</v>
      </c>
      <c r="D1752" s="8" t="s">
        <v>119</v>
      </c>
      <c r="F1752" s="8" t="s">
        <v>271</v>
      </c>
      <c r="G1752" s="8" t="s">
        <v>538</v>
      </c>
      <c r="H1752" s="8" t="s">
        <v>539</v>
      </c>
      <c r="I1752" s="8" t="s">
        <v>167</v>
      </c>
      <c r="J1752" s="8" t="s">
        <v>540</v>
      </c>
      <c r="K1752" s="8" t="s">
        <v>93</v>
      </c>
      <c r="L1752" s="8" t="s">
        <v>541</v>
      </c>
      <c r="M1752" s="8" t="s">
        <v>2780</v>
      </c>
      <c r="N1752" s="8" t="s">
        <v>538</v>
      </c>
      <c r="O1752" s="8">
        <v>310.57</v>
      </c>
      <c r="P1752" s="8">
        <v>345.08</v>
      </c>
      <c r="Q1752" s="8" t="s">
        <v>2722</v>
      </c>
      <c r="S1752" s="8" t="s">
        <v>156</v>
      </c>
      <c r="T1752" s="8">
        <v>47.21</v>
      </c>
    </row>
    <row r="1753" spans="1:20" x14ac:dyDescent="0.2">
      <c r="A1753" s="8" t="s">
        <v>4572</v>
      </c>
      <c r="B1753" s="8" t="str">
        <f t="shared" si="54"/>
        <v>1586244558</v>
      </c>
      <c r="C1753" s="8" t="str">
        <f t="shared" si="55"/>
        <v>1788</v>
      </c>
      <c r="D1753" s="8" t="s">
        <v>119</v>
      </c>
      <c r="F1753" s="8" t="s">
        <v>271</v>
      </c>
      <c r="G1753" s="8" t="s">
        <v>538</v>
      </c>
      <c r="H1753" s="8" t="s">
        <v>539</v>
      </c>
      <c r="I1753" s="8" t="s">
        <v>71</v>
      </c>
      <c r="J1753" s="8" t="s">
        <v>721</v>
      </c>
      <c r="K1753" s="8" t="s">
        <v>125</v>
      </c>
      <c r="L1753" s="8" t="s">
        <v>722</v>
      </c>
      <c r="M1753" s="8" t="s">
        <v>2780</v>
      </c>
      <c r="N1753" s="8" t="s">
        <v>538</v>
      </c>
      <c r="O1753" s="8">
        <v>394.67</v>
      </c>
      <c r="P1753" s="8">
        <v>438.52</v>
      </c>
      <c r="Q1753" s="8" t="s">
        <v>2728</v>
      </c>
      <c r="R1753" s="8" t="s">
        <v>2206</v>
      </c>
    </row>
    <row r="1754" spans="1:20" x14ac:dyDescent="0.2">
      <c r="A1754" s="8" t="s">
        <v>4591</v>
      </c>
      <c r="B1754" s="8" t="str">
        <f t="shared" si="54"/>
        <v>1586244558</v>
      </c>
      <c r="C1754" s="8" t="str">
        <f t="shared" si="55"/>
        <v>1789</v>
      </c>
      <c r="D1754" s="8" t="s">
        <v>119</v>
      </c>
      <c r="F1754" s="8" t="s">
        <v>271</v>
      </c>
      <c r="G1754" s="8" t="s">
        <v>538</v>
      </c>
      <c r="H1754" s="8" t="s">
        <v>539</v>
      </c>
      <c r="I1754" s="8" t="s">
        <v>71</v>
      </c>
      <c r="J1754" s="8" t="s">
        <v>721</v>
      </c>
      <c r="K1754" s="8" t="s">
        <v>125</v>
      </c>
      <c r="L1754" s="8" t="s">
        <v>722</v>
      </c>
      <c r="M1754" s="8" t="s">
        <v>2780</v>
      </c>
      <c r="N1754" s="8" t="s">
        <v>538</v>
      </c>
      <c r="O1754" s="8">
        <v>394.67</v>
      </c>
      <c r="P1754" s="8">
        <v>438.52</v>
      </c>
      <c r="Q1754" s="8" t="s">
        <v>2728</v>
      </c>
      <c r="R1754" s="8" t="s">
        <v>2465</v>
      </c>
    </row>
    <row r="1755" spans="1:20" x14ac:dyDescent="0.2">
      <c r="A1755" s="8" t="s">
        <v>4297</v>
      </c>
      <c r="B1755" s="8" t="str">
        <f t="shared" si="54"/>
        <v>1586244558</v>
      </c>
      <c r="C1755" s="8" t="str">
        <f t="shared" si="55"/>
        <v>1790</v>
      </c>
      <c r="D1755" s="8" t="s">
        <v>119</v>
      </c>
      <c r="F1755" s="8" t="s">
        <v>271</v>
      </c>
      <c r="G1755" s="8" t="s">
        <v>538</v>
      </c>
      <c r="H1755" s="8" t="s">
        <v>539</v>
      </c>
      <c r="I1755" s="8" t="s">
        <v>71</v>
      </c>
      <c r="J1755" s="8" t="s">
        <v>721</v>
      </c>
      <c r="K1755" s="8" t="s">
        <v>125</v>
      </c>
      <c r="L1755" s="8" t="s">
        <v>722</v>
      </c>
      <c r="M1755" s="8" t="s">
        <v>2780</v>
      </c>
      <c r="N1755" s="8" t="s">
        <v>538</v>
      </c>
      <c r="O1755" s="8">
        <v>394.67</v>
      </c>
      <c r="P1755" s="8">
        <v>438.52</v>
      </c>
      <c r="Q1755" s="8" t="s">
        <v>2728</v>
      </c>
      <c r="R1755" s="8" t="s">
        <v>2009</v>
      </c>
    </row>
    <row r="1756" spans="1:20" x14ac:dyDescent="0.2">
      <c r="A1756" s="8" t="s">
        <v>3231</v>
      </c>
      <c r="B1756" s="8" t="str">
        <f t="shared" si="54"/>
        <v>1586244558</v>
      </c>
      <c r="C1756" s="8" t="str">
        <f t="shared" si="55"/>
        <v>1791</v>
      </c>
      <c r="D1756" s="8" t="s">
        <v>119</v>
      </c>
      <c r="F1756" s="8" t="s">
        <v>271</v>
      </c>
      <c r="G1756" s="8" t="s">
        <v>538</v>
      </c>
      <c r="H1756" s="8" t="s">
        <v>539</v>
      </c>
      <c r="I1756" s="8" t="s">
        <v>71</v>
      </c>
      <c r="J1756" s="8" t="s">
        <v>721</v>
      </c>
      <c r="K1756" s="8" t="s">
        <v>125</v>
      </c>
      <c r="L1756" s="8" t="s">
        <v>722</v>
      </c>
      <c r="M1756" s="8" t="s">
        <v>2780</v>
      </c>
      <c r="N1756" s="8" t="s">
        <v>538</v>
      </c>
      <c r="O1756" s="8">
        <v>394.67</v>
      </c>
      <c r="P1756" s="8">
        <v>438.52</v>
      </c>
      <c r="Q1756" s="8" t="s">
        <v>2728</v>
      </c>
      <c r="S1756" s="8" t="s">
        <v>142</v>
      </c>
      <c r="T1756" s="8">
        <v>28.77</v>
      </c>
    </row>
    <row r="1757" spans="1:20" x14ac:dyDescent="0.2">
      <c r="A1757" s="8" t="s">
        <v>2843</v>
      </c>
      <c r="B1757" s="8" t="str">
        <f t="shared" si="54"/>
        <v>1586244558</v>
      </c>
      <c r="C1757" s="8" t="str">
        <f t="shared" si="55"/>
        <v>1792</v>
      </c>
      <c r="D1757" s="8" t="s">
        <v>119</v>
      </c>
      <c r="F1757" s="8" t="s">
        <v>271</v>
      </c>
      <c r="G1757" s="8" t="s">
        <v>538</v>
      </c>
      <c r="H1757" s="8" t="s">
        <v>539</v>
      </c>
      <c r="I1757" s="8" t="s">
        <v>71</v>
      </c>
      <c r="J1757" s="8" t="s">
        <v>721</v>
      </c>
      <c r="K1757" s="8" t="s">
        <v>125</v>
      </c>
      <c r="L1757" s="8" t="s">
        <v>722</v>
      </c>
      <c r="M1757" s="8" t="s">
        <v>2780</v>
      </c>
      <c r="N1757" s="8" t="s">
        <v>538</v>
      </c>
      <c r="O1757" s="8">
        <v>394.67</v>
      </c>
      <c r="P1757" s="8">
        <v>438.52</v>
      </c>
      <c r="Q1757" s="8" t="s">
        <v>2728</v>
      </c>
      <c r="S1757" s="8" t="s">
        <v>2306</v>
      </c>
      <c r="T1757" s="8">
        <v>84.84</v>
      </c>
    </row>
    <row r="1758" spans="1:20" x14ac:dyDescent="0.2">
      <c r="A1758" s="8" t="s">
        <v>3064</v>
      </c>
      <c r="B1758" s="8" t="str">
        <f t="shared" si="54"/>
        <v>1586244558</v>
      </c>
      <c r="C1758" s="8" t="str">
        <f t="shared" si="55"/>
        <v>1793</v>
      </c>
      <c r="D1758" s="8" t="s">
        <v>119</v>
      </c>
      <c r="F1758" s="8" t="s">
        <v>271</v>
      </c>
      <c r="G1758" s="8" t="s">
        <v>538</v>
      </c>
      <c r="H1758" s="8" t="s">
        <v>539</v>
      </c>
      <c r="I1758" s="8" t="s">
        <v>71</v>
      </c>
      <c r="J1758" s="8" t="s">
        <v>721</v>
      </c>
      <c r="K1758" s="8" t="s">
        <v>125</v>
      </c>
      <c r="L1758" s="8" t="s">
        <v>722</v>
      </c>
      <c r="M1758" s="8" t="s">
        <v>2780</v>
      </c>
      <c r="N1758" s="8" t="s">
        <v>538</v>
      </c>
      <c r="O1758" s="8">
        <v>394.67</v>
      </c>
      <c r="P1758" s="8">
        <v>438.52</v>
      </c>
      <c r="Q1758" s="8" t="s">
        <v>2728</v>
      </c>
      <c r="S1758" s="8" t="s">
        <v>109</v>
      </c>
      <c r="T1758" s="8">
        <v>37.619999999999997</v>
      </c>
    </row>
    <row r="1759" spans="1:20" x14ac:dyDescent="0.2">
      <c r="A1759" s="8" t="s">
        <v>4665</v>
      </c>
      <c r="B1759" s="8" t="str">
        <f t="shared" si="54"/>
        <v>1586244561</v>
      </c>
      <c r="C1759" s="8" t="str">
        <f t="shared" si="55"/>
        <v>1794</v>
      </c>
      <c r="D1759" s="8" t="s">
        <v>119</v>
      </c>
      <c r="F1759" s="8" t="s">
        <v>271</v>
      </c>
      <c r="G1759" s="8" t="s">
        <v>538</v>
      </c>
      <c r="H1759" s="8" t="s">
        <v>539</v>
      </c>
      <c r="I1759" s="8" t="s">
        <v>181</v>
      </c>
      <c r="J1759" s="8" t="s">
        <v>808</v>
      </c>
      <c r="K1759" s="8" t="s">
        <v>125</v>
      </c>
      <c r="L1759" s="8" t="s">
        <v>809</v>
      </c>
      <c r="M1759" s="8" t="s">
        <v>2780</v>
      </c>
      <c r="N1759" s="8" t="s">
        <v>538</v>
      </c>
      <c r="O1759" s="8">
        <v>357.79</v>
      </c>
      <c r="P1759" s="8">
        <v>397.54</v>
      </c>
      <c r="Q1759" s="8" t="s">
        <v>2729</v>
      </c>
      <c r="R1759" s="8" t="s">
        <v>1996</v>
      </c>
    </row>
    <row r="1760" spans="1:20" x14ac:dyDescent="0.2">
      <c r="A1760" s="8" t="s">
        <v>2926</v>
      </c>
      <c r="B1760" s="8" t="str">
        <f t="shared" si="54"/>
        <v>1586244561</v>
      </c>
      <c r="C1760" s="8" t="str">
        <f t="shared" si="55"/>
        <v>1795</v>
      </c>
      <c r="D1760" s="8" t="s">
        <v>119</v>
      </c>
      <c r="F1760" s="8" t="s">
        <v>271</v>
      </c>
      <c r="G1760" s="8" t="s">
        <v>538</v>
      </c>
      <c r="H1760" s="8" t="s">
        <v>539</v>
      </c>
      <c r="I1760" s="8" t="s">
        <v>181</v>
      </c>
      <c r="J1760" s="8" t="s">
        <v>808</v>
      </c>
      <c r="K1760" s="8" t="s">
        <v>125</v>
      </c>
      <c r="L1760" s="8" t="s">
        <v>809</v>
      </c>
      <c r="M1760" s="8" t="s">
        <v>2780</v>
      </c>
      <c r="N1760" s="8" t="s">
        <v>538</v>
      </c>
      <c r="O1760" s="8">
        <v>357.79</v>
      </c>
      <c r="P1760" s="8">
        <v>397.54</v>
      </c>
      <c r="Q1760" s="8" t="s">
        <v>2729</v>
      </c>
      <c r="R1760" s="8" t="s">
        <v>2246</v>
      </c>
    </row>
    <row r="1761" spans="1:20" x14ac:dyDescent="0.2">
      <c r="A1761" s="8" t="s">
        <v>3072</v>
      </c>
      <c r="B1761" s="8" t="str">
        <f t="shared" si="54"/>
        <v>1586244561</v>
      </c>
      <c r="C1761" s="8" t="str">
        <f t="shared" si="55"/>
        <v>1796</v>
      </c>
      <c r="D1761" s="8" t="s">
        <v>119</v>
      </c>
      <c r="F1761" s="8" t="s">
        <v>271</v>
      </c>
      <c r="G1761" s="8" t="s">
        <v>538</v>
      </c>
      <c r="H1761" s="8" t="s">
        <v>539</v>
      </c>
      <c r="I1761" s="8" t="s">
        <v>181</v>
      </c>
      <c r="J1761" s="8" t="s">
        <v>808</v>
      </c>
      <c r="K1761" s="8" t="s">
        <v>125</v>
      </c>
      <c r="L1761" s="8" t="s">
        <v>809</v>
      </c>
      <c r="M1761" s="8" t="s">
        <v>2780</v>
      </c>
      <c r="N1761" s="8" t="s">
        <v>538</v>
      </c>
      <c r="O1761" s="8">
        <v>357.79</v>
      </c>
      <c r="P1761" s="8">
        <v>397.54</v>
      </c>
      <c r="Q1761" s="8" t="s">
        <v>2729</v>
      </c>
      <c r="R1761" s="8" t="s">
        <v>1653</v>
      </c>
    </row>
    <row r="1762" spans="1:20" x14ac:dyDescent="0.2">
      <c r="A1762" s="8" t="s">
        <v>3429</v>
      </c>
      <c r="B1762" s="8" t="str">
        <f t="shared" si="54"/>
        <v>1586244561</v>
      </c>
      <c r="C1762" s="8" t="str">
        <f t="shared" si="55"/>
        <v>1797</v>
      </c>
      <c r="D1762" s="8" t="s">
        <v>119</v>
      </c>
      <c r="F1762" s="8" t="s">
        <v>271</v>
      </c>
      <c r="G1762" s="8" t="s">
        <v>538</v>
      </c>
      <c r="H1762" s="8" t="s">
        <v>539</v>
      </c>
      <c r="I1762" s="8" t="s">
        <v>181</v>
      </c>
      <c r="J1762" s="8" t="s">
        <v>808</v>
      </c>
      <c r="K1762" s="8" t="s">
        <v>125</v>
      </c>
      <c r="L1762" s="8" t="s">
        <v>809</v>
      </c>
      <c r="M1762" s="8" t="s">
        <v>2780</v>
      </c>
      <c r="N1762" s="8" t="s">
        <v>538</v>
      </c>
      <c r="O1762" s="8">
        <v>357.79</v>
      </c>
      <c r="P1762" s="8">
        <v>397.54</v>
      </c>
      <c r="Q1762" s="8" t="s">
        <v>2729</v>
      </c>
      <c r="S1762" s="8" t="s">
        <v>1029</v>
      </c>
      <c r="T1762" s="8">
        <v>23.61</v>
      </c>
    </row>
    <row r="1763" spans="1:20" x14ac:dyDescent="0.2">
      <c r="A1763" s="8" t="s">
        <v>2964</v>
      </c>
      <c r="B1763" s="8" t="str">
        <f t="shared" si="54"/>
        <v>1586244561</v>
      </c>
      <c r="C1763" s="8" t="str">
        <f t="shared" si="55"/>
        <v>1798</v>
      </c>
      <c r="D1763" s="8" t="s">
        <v>119</v>
      </c>
      <c r="F1763" s="8" t="s">
        <v>271</v>
      </c>
      <c r="G1763" s="8" t="s">
        <v>538</v>
      </c>
      <c r="H1763" s="8" t="s">
        <v>539</v>
      </c>
      <c r="I1763" s="8" t="s">
        <v>181</v>
      </c>
      <c r="J1763" s="8" t="s">
        <v>808</v>
      </c>
      <c r="K1763" s="8" t="s">
        <v>125</v>
      </c>
      <c r="L1763" s="8" t="s">
        <v>809</v>
      </c>
      <c r="M1763" s="8" t="s">
        <v>2780</v>
      </c>
      <c r="N1763" s="8" t="s">
        <v>538</v>
      </c>
      <c r="O1763" s="8">
        <v>357.79</v>
      </c>
      <c r="P1763" s="8">
        <v>397.54</v>
      </c>
      <c r="Q1763" s="8" t="s">
        <v>2729</v>
      </c>
      <c r="S1763" s="8" t="s">
        <v>184</v>
      </c>
      <c r="T1763" s="8">
        <v>77.459999999999994</v>
      </c>
    </row>
    <row r="1764" spans="1:20" x14ac:dyDescent="0.2">
      <c r="A1764" s="8" t="s">
        <v>3826</v>
      </c>
      <c r="B1764" s="8" t="str">
        <f t="shared" si="54"/>
        <v>1586244561</v>
      </c>
      <c r="C1764" s="8" t="str">
        <f t="shared" si="55"/>
        <v>1799</v>
      </c>
      <c r="D1764" s="8" t="s">
        <v>119</v>
      </c>
      <c r="F1764" s="8" t="s">
        <v>271</v>
      </c>
      <c r="G1764" s="8" t="s">
        <v>538</v>
      </c>
      <c r="H1764" s="8" t="s">
        <v>539</v>
      </c>
      <c r="I1764" s="8" t="s">
        <v>181</v>
      </c>
      <c r="J1764" s="8" t="s">
        <v>808</v>
      </c>
      <c r="K1764" s="8" t="s">
        <v>125</v>
      </c>
      <c r="L1764" s="8" t="s">
        <v>809</v>
      </c>
      <c r="M1764" s="8" t="s">
        <v>2780</v>
      </c>
      <c r="N1764" s="8" t="s">
        <v>538</v>
      </c>
      <c r="O1764" s="8">
        <v>357.79</v>
      </c>
      <c r="P1764" s="8">
        <v>397.54</v>
      </c>
      <c r="Q1764" s="8" t="s">
        <v>2729</v>
      </c>
      <c r="S1764" s="8" t="s">
        <v>156</v>
      </c>
      <c r="T1764" s="8">
        <v>22.87</v>
      </c>
    </row>
    <row r="1765" spans="1:20" x14ac:dyDescent="0.2">
      <c r="A1765" s="8" t="s">
        <v>2811</v>
      </c>
      <c r="B1765" s="8" t="str">
        <f t="shared" si="54"/>
        <v>1586244561</v>
      </c>
      <c r="C1765" s="8" t="str">
        <f t="shared" si="55"/>
        <v>1800</v>
      </c>
      <c r="D1765" s="8" t="s">
        <v>119</v>
      </c>
      <c r="F1765" s="8" t="s">
        <v>271</v>
      </c>
      <c r="G1765" s="8" t="s">
        <v>538</v>
      </c>
      <c r="H1765" s="8" t="s">
        <v>539</v>
      </c>
      <c r="I1765" s="8" t="s">
        <v>181</v>
      </c>
      <c r="J1765" s="8" t="s">
        <v>808</v>
      </c>
      <c r="K1765" s="8" t="s">
        <v>125</v>
      </c>
      <c r="L1765" s="8" t="s">
        <v>809</v>
      </c>
      <c r="M1765" s="8" t="s">
        <v>2780</v>
      </c>
      <c r="N1765" s="8" t="s">
        <v>538</v>
      </c>
      <c r="O1765" s="8">
        <v>357.79</v>
      </c>
      <c r="P1765" s="8">
        <v>397.54</v>
      </c>
      <c r="Q1765" s="8" t="s">
        <v>2729</v>
      </c>
      <c r="S1765" s="8" t="s">
        <v>109</v>
      </c>
      <c r="T1765" s="8">
        <v>42.05</v>
      </c>
    </row>
    <row r="1766" spans="1:20" x14ac:dyDescent="0.2">
      <c r="A1766" s="8" t="s">
        <v>2956</v>
      </c>
      <c r="B1766" s="8" t="str">
        <f t="shared" si="54"/>
        <v>1586244565</v>
      </c>
      <c r="C1766" s="8" t="str">
        <f t="shared" si="55"/>
        <v>1801</v>
      </c>
      <c r="D1766" s="8" t="s">
        <v>119</v>
      </c>
      <c r="F1766" s="8" t="s">
        <v>271</v>
      </c>
      <c r="G1766" s="8" t="s">
        <v>944</v>
      </c>
      <c r="H1766" s="8" t="s">
        <v>945</v>
      </c>
      <c r="I1766" s="8" t="s">
        <v>167</v>
      </c>
      <c r="J1766" s="8" t="s">
        <v>1220</v>
      </c>
      <c r="K1766" s="8" t="s">
        <v>93</v>
      </c>
      <c r="L1766" s="8" t="s">
        <v>1221</v>
      </c>
      <c r="M1766" s="8" t="s">
        <v>2780</v>
      </c>
      <c r="N1766" s="8" t="s">
        <v>944</v>
      </c>
      <c r="O1766" s="8">
        <v>281.8</v>
      </c>
      <c r="P1766" s="8">
        <v>313.11</v>
      </c>
      <c r="Q1766" s="8" t="s">
        <v>2730</v>
      </c>
      <c r="R1766" s="8" t="s">
        <v>1887</v>
      </c>
    </row>
    <row r="1767" spans="1:20" x14ac:dyDescent="0.2">
      <c r="A1767" s="8" t="s">
        <v>4019</v>
      </c>
      <c r="B1767" s="8" t="str">
        <f t="shared" si="54"/>
        <v>1586244565</v>
      </c>
      <c r="C1767" s="8" t="str">
        <f t="shared" si="55"/>
        <v>1802</v>
      </c>
      <c r="D1767" s="8" t="s">
        <v>119</v>
      </c>
      <c r="F1767" s="8" t="s">
        <v>271</v>
      </c>
      <c r="G1767" s="8" t="s">
        <v>944</v>
      </c>
      <c r="H1767" s="8" t="s">
        <v>945</v>
      </c>
      <c r="I1767" s="8" t="s">
        <v>167</v>
      </c>
      <c r="J1767" s="8" t="s">
        <v>1220</v>
      </c>
      <c r="K1767" s="8" t="s">
        <v>93</v>
      </c>
      <c r="L1767" s="8" t="s">
        <v>1221</v>
      </c>
      <c r="M1767" s="8" t="s">
        <v>2780</v>
      </c>
      <c r="N1767" s="8" t="s">
        <v>944</v>
      </c>
      <c r="O1767" s="8">
        <v>281.8</v>
      </c>
      <c r="P1767" s="8">
        <v>313.11</v>
      </c>
      <c r="Q1767" s="8" t="s">
        <v>2730</v>
      </c>
      <c r="R1767" s="8" t="s">
        <v>1635</v>
      </c>
    </row>
    <row r="1768" spans="1:20" x14ac:dyDescent="0.2">
      <c r="A1768" s="8" t="s">
        <v>3365</v>
      </c>
      <c r="B1768" s="8" t="str">
        <f t="shared" si="54"/>
        <v>1586244565</v>
      </c>
      <c r="C1768" s="8" t="str">
        <f t="shared" si="55"/>
        <v>1803</v>
      </c>
      <c r="D1768" s="8" t="s">
        <v>119</v>
      </c>
      <c r="F1768" s="8" t="s">
        <v>271</v>
      </c>
      <c r="G1768" s="8" t="s">
        <v>944</v>
      </c>
      <c r="H1768" s="8" t="s">
        <v>945</v>
      </c>
      <c r="I1768" s="8" t="s">
        <v>167</v>
      </c>
      <c r="J1768" s="8" t="s">
        <v>1220</v>
      </c>
      <c r="K1768" s="8" t="s">
        <v>93</v>
      </c>
      <c r="L1768" s="8" t="s">
        <v>1221</v>
      </c>
      <c r="M1768" s="8" t="s">
        <v>2780</v>
      </c>
      <c r="N1768" s="8" t="s">
        <v>944</v>
      </c>
      <c r="O1768" s="8">
        <v>281.8</v>
      </c>
      <c r="P1768" s="8">
        <v>313.11</v>
      </c>
      <c r="Q1768" s="8" t="s">
        <v>2730</v>
      </c>
      <c r="R1768" s="8" t="s">
        <v>1307</v>
      </c>
    </row>
    <row r="1769" spans="1:20" x14ac:dyDescent="0.2">
      <c r="A1769" s="8" t="s">
        <v>4624</v>
      </c>
      <c r="B1769" s="8" t="str">
        <f t="shared" si="54"/>
        <v>1586244565</v>
      </c>
      <c r="C1769" s="8" t="str">
        <f t="shared" si="55"/>
        <v>1804</v>
      </c>
      <c r="D1769" s="8" t="s">
        <v>119</v>
      </c>
      <c r="F1769" s="8" t="s">
        <v>271</v>
      </c>
      <c r="G1769" s="8" t="s">
        <v>944</v>
      </c>
      <c r="H1769" s="8" t="s">
        <v>945</v>
      </c>
      <c r="I1769" s="8" t="s">
        <v>167</v>
      </c>
      <c r="J1769" s="8" t="s">
        <v>1220</v>
      </c>
      <c r="K1769" s="8" t="s">
        <v>93</v>
      </c>
      <c r="L1769" s="8" t="s">
        <v>1221</v>
      </c>
      <c r="M1769" s="8" t="s">
        <v>2780</v>
      </c>
      <c r="N1769" s="8" t="s">
        <v>944</v>
      </c>
      <c r="O1769" s="8">
        <v>281.8</v>
      </c>
      <c r="P1769" s="8">
        <v>313.11</v>
      </c>
      <c r="Q1769" s="8" t="s">
        <v>2730</v>
      </c>
      <c r="R1769" s="8" t="s">
        <v>1222</v>
      </c>
    </row>
    <row r="1770" spans="1:20" x14ac:dyDescent="0.2">
      <c r="A1770" s="8" t="s">
        <v>3577</v>
      </c>
      <c r="B1770" s="8" t="str">
        <f t="shared" si="54"/>
        <v>1586244565</v>
      </c>
      <c r="C1770" s="8" t="str">
        <f t="shared" si="55"/>
        <v>1805</v>
      </c>
      <c r="D1770" s="8" t="s">
        <v>119</v>
      </c>
      <c r="F1770" s="8" t="s">
        <v>271</v>
      </c>
      <c r="G1770" s="8" t="s">
        <v>944</v>
      </c>
      <c r="H1770" s="8" t="s">
        <v>945</v>
      </c>
      <c r="I1770" s="8" t="s">
        <v>167</v>
      </c>
      <c r="J1770" s="8" t="s">
        <v>1220</v>
      </c>
      <c r="K1770" s="8" t="s">
        <v>93</v>
      </c>
      <c r="L1770" s="8" t="s">
        <v>1221</v>
      </c>
      <c r="M1770" s="8" t="s">
        <v>2780</v>
      </c>
      <c r="N1770" s="8" t="s">
        <v>944</v>
      </c>
      <c r="O1770" s="8">
        <v>281.8</v>
      </c>
      <c r="P1770" s="8">
        <v>313.11</v>
      </c>
      <c r="Q1770" s="8" t="s">
        <v>2730</v>
      </c>
      <c r="S1770" s="8" t="s">
        <v>542</v>
      </c>
      <c r="T1770" s="8">
        <v>253.77</v>
      </c>
    </row>
    <row r="1771" spans="1:20" x14ac:dyDescent="0.2">
      <c r="A1771" s="8" t="s">
        <v>3983</v>
      </c>
      <c r="B1771" s="8" t="str">
        <f t="shared" si="54"/>
        <v>1586244565</v>
      </c>
      <c r="C1771" s="8" t="str">
        <f t="shared" si="55"/>
        <v>1806</v>
      </c>
      <c r="D1771" s="8" t="s">
        <v>119</v>
      </c>
      <c r="F1771" s="8" t="s">
        <v>271</v>
      </c>
      <c r="G1771" s="8" t="s">
        <v>944</v>
      </c>
      <c r="H1771" s="8" t="s">
        <v>945</v>
      </c>
      <c r="I1771" s="8" t="s">
        <v>167</v>
      </c>
      <c r="J1771" s="8" t="s">
        <v>1220</v>
      </c>
      <c r="K1771" s="8" t="s">
        <v>93</v>
      </c>
      <c r="L1771" s="8" t="s">
        <v>1221</v>
      </c>
      <c r="M1771" s="8" t="s">
        <v>2780</v>
      </c>
      <c r="N1771" s="8" t="s">
        <v>944</v>
      </c>
      <c r="O1771" s="8">
        <v>281.8</v>
      </c>
      <c r="P1771" s="8">
        <v>313.11</v>
      </c>
      <c r="Q1771" s="8" t="s">
        <v>2730</v>
      </c>
      <c r="S1771" s="8" t="s">
        <v>823</v>
      </c>
      <c r="T1771" s="8">
        <v>93.69</v>
      </c>
    </row>
    <row r="1772" spans="1:20" x14ac:dyDescent="0.2">
      <c r="A1772" s="8" t="s">
        <v>4643</v>
      </c>
      <c r="B1772" s="8" t="str">
        <f t="shared" si="54"/>
        <v>1586244565</v>
      </c>
      <c r="C1772" s="8" t="str">
        <f t="shared" si="55"/>
        <v>1807</v>
      </c>
      <c r="D1772" s="8" t="s">
        <v>119</v>
      </c>
      <c r="F1772" s="8" t="s">
        <v>271</v>
      </c>
      <c r="G1772" s="8" t="s">
        <v>944</v>
      </c>
      <c r="H1772" s="8" t="s">
        <v>945</v>
      </c>
      <c r="I1772" s="8" t="s">
        <v>167</v>
      </c>
      <c r="J1772" s="8" t="s">
        <v>1220</v>
      </c>
      <c r="K1772" s="8" t="s">
        <v>93</v>
      </c>
      <c r="L1772" s="8" t="s">
        <v>1221</v>
      </c>
      <c r="M1772" s="8" t="s">
        <v>2780</v>
      </c>
      <c r="N1772" s="8" t="s">
        <v>944</v>
      </c>
      <c r="O1772" s="8">
        <v>281.8</v>
      </c>
      <c r="P1772" s="8">
        <v>313.11</v>
      </c>
      <c r="Q1772" s="8" t="s">
        <v>2730</v>
      </c>
      <c r="S1772" s="8" t="s">
        <v>1602</v>
      </c>
      <c r="T1772" s="8">
        <v>347.46</v>
      </c>
    </row>
    <row r="1773" spans="1:20" x14ac:dyDescent="0.2">
      <c r="A1773" s="8" t="s">
        <v>3454</v>
      </c>
      <c r="B1773" s="8" t="str">
        <f t="shared" si="54"/>
        <v>1586244565</v>
      </c>
      <c r="C1773" s="8" t="str">
        <f t="shared" si="55"/>
        <v>1808</v>
      </c>
      <c r="D1773" s="8" t="s">
        <v>119</v>
      </c>
      <c r="F1773" s="8" t="s">
        <v>271</v>
      </c>
      <c r="G1773" s="8" t="s">
        <v>944</v>
      </c>
      <c r="H1773" s="8" t="s">
        <v>945</v>
      </c>
      <c r="I1773" s="8" t="s">
        <v>167</v>
      </c>
      <c r="J1773" s="8" t="s">
        <v>1220</v>
      </c>
      <c r="K1773" s="8" t="s">
        <v>93</v>
      </c>
      <c r="L1773" s="8" t="s">
        <v>1221</v>
      </c>
      <c r="M1773" s="8" t="s">
        <v>2780</v>
      </c>
      <c r="N1773" s="8" t="s">
        <v>944</v>
      </c>
      <c r="O1773" s="8">
        <v>281.8</v>
      </c>
      <c r="P1773" s="8">
        <v>313.11</v>
      </c>
      <c r="Q1773" s="8" t="s">
        <v>2730</v>
      </c>
      <c r="S1773" s="8" t="s">
        <v>156</v>
      </c>
      <c r="T1773" s="8">
        <v>47.21</v>
      </c>
    </row>
    <row r="1774" spans="1:20" x14ac:dyDescent="0.2">
      <c r="A1774" s="8" t="s">
        <v>4172</v>
      </c>
      <c r="B1774" s="8" t="str">
        <f t="shared" si="54"/>
        <v>1586244565</v>
      </c>
      <c r="C1774" s="8" t="str">
        <f t="shared" si="55"/>
        <v>1809</v>
      </c>
      <c r="D1774" s="8" t="s">
        <v>119</v>
      </c>
      <c r="F1774" s="8" t="s">
        <v>271</v>
      </c>
      <c r="G1774" s="8" t="s">
        <v>944</v>
      </c>
      <c r="H1774" s="8" t="s">
        <v>945</v>
      </c>
      <c r="I1774" s="8" t="s">
        <v>167</v>
      </c>
      <c r="J1774" s="8" t="s">
        <v>1220</v>
      </c>
      <c r="K1774" s="8" t="s">
        <v>93</v>
      </c>
      <c r="L1774" s="8" t="s">
        <v>1221</v>
      </c>
      <c r="M1774" s="8" t="s">
        <v>2780</v>
      </c>
      <c r="N1774" s="8" t="s">
        <v>944</v>
      </c>
      <c r="O1774" s="8">
        <v>281.8</v>
      </c>
      <c r="P1774" s="8">
        <v>313.11</v>
      </c>
      <c r="Q1774" s="8" t="s">
        <v>2730</v>
      </c>
      <c r="S1774" s="8" t="s">
        <v>184</v>
      </c>
      <c r="T1774" s="8">
        <v>77.459999999999994</v>
      </c>
    </row>
    <row r="1775" spans="1:20" x14ac:dyDescent="0.2">
      <c r="A1775" s="8" t="s">
        <v>3430</v>
      </c>
      <c r="B1775" s="8" t="str">
        <f t="shared" si="54"/>
        <v>1586244567</v>
      </c>
      <c r="C1775" s="8" t="str">
        <f t="shared" si="55"/>
        <v>1810</v>
      </c>
      <c r="D1775" s="8" t="s">
        <v>119</v>
      </c>
      <c r="F1775" s="8" t="s">
        <v>271</v>
      </c>
      <c r="G1775" s="8" t="s">
        <v>944</v>
      </c>
      <c r="H1775" s="8" t="s">
        <v>945</v>
      </c>
      <c r="I1775" s="8" t="s">
        <v>71</v>
      </c>
      <c r="J1775" s="8" t="s">
        <v>1650</v>
      </c>
      <c r="K1775" s="8" t="s">
        <v>125</v>
      </c>
      <c r="L1775" s="8" t="s">
        <v>1651</v>
      </c>
      <c r="M1775" s="8" t="s">
        <v>2780</v>
      </c>
      <c r="N1775" s="8" t="s">
        <v>944</v>
      </c>
      <c r="O1775" s="8">
        <v>394.67</v>
      </c>
      <c r="P1775" s="8">
        <v>438.52</v>
      </c>
      <c r="Q1775" s="8" t="s">
        <v>2728</v>
      </c>
      <c r="R1775" s="8" t="s">
        <v>2355</v>
      </c>
    </row>
    <row r="1776" spans="1:20" x14ac:dyDescent="0.2">
      <c r="A1776" s="8" t="s">
        <v>3404</v>
      </c>
      <c r="B1776" s="8" t="str">
        <f t="shared" si="54"/>
        <v>1586244567</v>
      </c>
      <c r="C1776" s="8" t="str">
        <f t="shared" si="55"/>
        <v>1811</v>
      </c>
      <c r="D1776" s="8" t="s">
        <v>119</v>
      </c>
      <c r="F1776" s="8" t="s">
        <v>271</v>
      </c>
      <c r="G1776" s="8" t="s">
        <v>944</v>
      </c>
      <c r="H1776" s="8" t="s">
        <v>945</v>
      </c>
      <c r="I1776" s="8" t="s">
        <v>71</v>
      </c>
      <c r="J1776" s="8" t="s">
        <v>1650</v>
      </c>
      <c r="K1776" s="8" t="s">
        <v>125</v>
      </c>
      <c r="L1776" s="8" t="s">
        <v>1651</v>
      </c>
      <c r="M1776" s="8" t="s">
        <v>2780</v>
      </c>
      <c r="N1776" s="8" t="s">
        <v>944</v>
      </c>
      <c r="O1776" s="8">
        <v>394.67</v>
      </c>
      <c r="P1776" s="8">
        <v>438.52</v>
      </c>
      <c r="Q1776" s="8" t="s">
        <v>2728</v>
      </c>
      <c r="R1776" s="8" t="s">
        <v>1928</v>
      </c>
    </row>
    <row r="1777" spans="1:20" x14ac:dyDescent="0.2">
      <c r="A1777" s="8" t="s">
        <v>3222</v>
      </c>
      <c r="B1777" s="8" t="str">
        <f t="shared" si="54"/>
        <v>1586244567</v>
      </c>
      <c r="C1777" s="8" t="str">
        <f t="shared" si="55"/>
        <v>1812</v>
      </c>
      <c r="D1777" s="8" t="s">
        <v>119</v>
      </c>
      <c r="F1777" s="8" t="s">
        <v>271</v>
      </c>
      <c r="G1777" s="8" t="s">
        <v>944</v>
      </c>
      <c r="H1777" s="8" t="s">
        <v>945</v>
      </c>
      <c r="I1777" s="8" t="s">
        <v>71</v>
      </c>
      <c r="J1777" s="8" t="s">
        <v>1650</v>
      </c>
      <c r="K1777" s="8" t="s">
        <v>125</v>
      </c>
      <c r="L1777" s="8" t="s">
        <v>1651</v>
      </c>
      <c r="M1777" s="8" t="s">
        <v>2780</v>
      </c>
      <c r="N1777" s="8" t="s">
        <v>944</v>
      </c>
      <c r="O1777" s="8">
        <v>394.67</v>
      </c>
      <c r="P1777" s="8">
        <v>438.52</v>
      </c>
      <c r="Q1777" s="8" t="s">
        <v>2728</v>
      </c>
      <c r="R1777" s="8" t="s">
        <v>1804</v>
      </c>
    </row>
    <row r="1778" spans="1:20" x14ac:dyDescent="0.2">
      <c r="A1778" s="8" t="s">
        <v>3929</v>
      </c>
      <c r="B1778" s="8" t="str">
        <f t="shared" si="54"/>
        <v>1586244567</v>
      </c>
      <c r="C1778" s="8" t="str">
        <f t="shared" si="55"/>
        <v>1813</v>
      </c>
      <c r="D1778" s="8" t="s">
        <v>119</v>
      </c>
      <c r="F1778" s="8" t="s">
        <v>271</v>
      </c>
      <c r="G1778" s="8" t="s">
        <v>944</v>
      </c>
      <c r="H1778" s="8" t="s">
        <v>945</v>
      </c>
      <c r="I1778" s="8" t="s">
        <v>71</v>
      </c>
      <c r="J1778" s="8" t="s">
        <v>1650</v>
      </c>
      <c r="K1778" s="8" t="s">
        <v>125</v>
      </c>
      <c r="L1778" s="8" t="s">
        <v>1651</v>
      </c>
      <c r="M1778" s="8" t="s">
        <v>2780</v>
      </c>
      <c r="N1778" s="8" t="s">
        <v>944</v>
      </c>
      <c r="O1778" s="8">
        <v>394.67</v>
      </c>
      <c r="P1778" s="8">
        <v>438.52</v>
      </c>
      <c r="Q1778" s="8" t="s">
        <v>2728</v>
      </c>
      <c r="R1778" s="8" t="s">
        <v>2287</v>
      </c>
    </row>
    <row r="1779" spans="1:20" x14ac:dyDescent="0.2">
      <c r="A1779" s="8" t="s">
        <v>3209</v>
      </c>
      <c r="B1779" s="8" t="str">
        <f t="shared" si="54"/>
        <v>1586244567</v>
      </c>
      <c r="C1779" s="8" t="str">
        <f t="shared" si="55"/>
        <v>1814</v>
      </c>
      <c r="D1779" s="8" t="s">
        <v>119</v>
      </c>
      <c r="F1779" s="8" t="s">
        <v>271</v>
      </c>
      <c r="G1779" s="8" t="s">
        <v>944</v>
      </c>
      <c r="H1779" s="8" t="s">
        <v>945</v>
      </c>
      <c r="I1779" s="8" t="s">
        <v>71</v>
      </c>
      <c r="J1779" s="8" t="s">
        <v>1650</v>
      </c>
      <c r="K1779" s="8" t="s">
        <v>125</v>
      </c>
      <c r="L1779" s="8" t="s">
        <v>1651</v>
      </c>
      <c r="M1779" s="8" t="s">
        <v>2780</v>
      </c>
      <c r="N1779" s="8" t="s">
        <v>944</v>
      </c>
      <c r="O1779" s="8">
        <v>394.67</v>
      </c>
      <c r="P1779" s="8">
        <v>438.52</v>
      </c>
      <c r="Q1779" s="8" t="s">
        <v>2728</v>
      </c>
      <c r="S1779" s="8" t="s">
        <v>142</v>
      </c>
      <c r="T1779" s="8">
        <v>28.77</v>
      </c>
    </row>
    <row r="1780" spans="1:20" x14ac:dyDescent="0.2">
      <c r="A1780" s="8" t="s">
        <v>4348</v>
      </c>
      <c r="B1780" s="8" t="str">
        <f t="shared" si="54"/>
        <v>1586244567</v>
      </c>
      <c r="C1780" s="8" t="str">
        <f t="shared" si="55"/>
        <v>1815</v>
      </c>
      <c r="D1780" s="8" t="s">
        <v>119</v>
      </c>
      <c r="F1780" s="8" t="s">
        <v>271</v>
      </c>
      <c r="G1780" s="8" t="s">
        <v>944</v>
      </c>
      <c r="H1780" s="8" t="s">
        <v>945</v>
      </c>
      <c r="I1780" s="8" t="s">
        <v>71</v>
      </c>
      <c r="J1780" s="8" t="s">
        <v>1650</v>
      </c>
      <c r="K1780" s="8" t="s">
        <v>125</v>
      </c>
      <c r="L1780" s="8" t="s">
        <v>1651</v>
      </c>
      <c r="M1780" s="8" t="s">
        <v>2780</v>
      </c>
      <c r="N1780" s="8" t="s">
        <v>944</v>
      </c>
      <c r="O1780" s="8">
        <v>394.67</v>
      </c>
      <c r="P1780" s="8">
        <v>438.52</v>
      </c>
      <c r="Q1780" s="8" t="s">
        <v>2728</v>
      </c>
      <c r="S1780" s="8" t="s">
        <v>2306</v>
      </c>
      <c r="T1780" s="8">
        <v>190.33</v>
      </c>
    </row>
    <row r="1781" spans="1:20" x14ac:dyDescent="0.2">
      <c r="A1781" s="8" t="s">
        <v>4264</v>
      </c>
      <c r="B1781" s="8" t="str">
        <f t="shared" si="54"/>
        <v>1586244567</v>
      </c>
      <c r="C1781" s="8" t="str">
        <f t="shared" si="55"/>
        <v>1816</v>
      </c>
      <c r="D1781" s="8" t="s">
        <v>119</v>
      </c>
      <c r="F1781" s="8" t="s">
        <v>271</v>
      </c>
      <c r="G1781" s="8" t="s">
        <v>944</v>
      </c>
      <c r="H1781" s="8" t="s">
        <v>945</v>
      </c>
      <c r="I1781" s="8" t="s">
        <v>71</v>
      </c>
      <c r="J1781" s="8" t="s">
        <v>1650</v>
      </c>
      <c r="K1781" s="8" t="s">
        <v>125</v>
      </c>
      <c r="L1781" s="8" t="s">
        <v>1651</v>
      </c>
      <c r="M1781" s="8" t="s">
        <v>2780</v>
      </c>
      <c r="N1781" s="8" t="s">
        <v>944</v>
      </c>
      <c r="O1781" s="8">
        <v>394.67</v>
      </c>
      <c r="P1781" s="8">
        <v>438.52</v>
      </c>
      <c r="Q1781" s="8" t="s">
        <v>2728</v>
      </c>
      <c r="S1781" s="8" t="s">
        <v>109</v>
      </c>
      <c r="T1781" s="8">
        <v>37.619999999999997</v>
      </c>
    </row>
    <row r="1782" spans="1:20" x14ac:dyDescent="0.2">
      <c r="A1782" s="8" t="s">
        <v>4536</v>
      </c>
      <c r="B1782" s="8" t="str">
        <f t="shared" si="54"/>
        <v>1586244569</v>
      </c>
      <c r="C1782" s="8" t="str">
        <f t="shared" si="55"/>
        <v>1817</v>
      </c>
      <c r="D1782" s="8" t="s">
        <v>119</v>
      </c>
      <c r="F1782" s="8" t="s">
        <v>271</v>
      </c>
      <c r="G1782" s="8" t="s">
        <v>944</v>
      </c>
      <c r="H1782" s="8" t="s">
        <v>945</v>
      </c>
      <c r="I1782" s="8" t="s">
        <v>181</v>
      </c>
      <c r="J1782" s="8" t="s">
        <v>946</v>
      </c>
      <c r="K1782" s="8" t="s">
        <v>125</v>
      </c>
      <c r="L1782" s="8" t="s">
        <v>947</v>
      </c>
      <c r="M1782" s="8" t="s">
        <v>2780</v>
      </c>
      <c r="N1782" s="8" t="s">
        <v>944</v>
      </c>
      <c r="O1782" s="8">
        <v>347.46</v>
      </c>
      <c r="P1782" s="8">
        <v>386.07</v>
      </c>
      <c r="Q1782" s="8" t="s">
        <v>2729</v>
      </c>
      <c r="R1782" s="8" t="s">
        <v>1517</v>
      </c>
    </row>
    <row r="1783" spans="1:20" x14ac:dyDescent="0.2">
      <c r="A1783" s="8" t="s">
        <v>4633</v>
      </c>
      <c r="B1783" s="8" t="str">
        <f t="shared" si="54"/>
        <v>1586244569</v>
      </c>
      <c r="C1783" s="8" t="str">
        <f t="shared" si="55"/>
        <v>1818</v>
      </c>
      <c r="D1783" s="8" t="s">
        <v>119</v>
      </c>
      <c r="F1783" s="8" t="s">
        <v>271</v>
      </c>
      <c r="G1783" s="8" t="s">
        <v>944</v>
      </c>
      <c r="H1783" s="8" t="s">
        <v>945</v>
      </c>
      <c r="I1783" s="8" t="s">
        <v>181</v>
      </c>
      <c r="J1783" s="8" t="s">
        <v>946</v>
      </c>
      <c r="K1783" s="8" t="s">
        <v>125</v>
      </c>
      <c r="L1783" s="8" t="s">
        <v>947</v>
      </c>
      <c r="M1783" s="8" t="s">
        <v>2780</v>
      </c>
      <c r="N1783" s="8" t="s">
        <v>944</v>
      </c>
      <c r="O1783" s="8">
        <v>347.46</v>
      </c>
      <c r="P1783" s="8">
        <v>386.07</v>
      </c>
      <c r="Q1783" s="8" t="s">
        <v>2729</v>
      </c>
      <c r="R1783" s="8" t="s">
        <v>2111</v>
      </c>
    </row>
    <row r="1784" spans="1:20" x14ac:dyDescent="0.2">
      <c r="A1784" s="8" t="s">
        <v>3309</v>
      </c>
      <c r="B1784" s="8" t="str">
        <f t="shared" si="54"/>
        <v>1586244569</v>
      </c>
      <c r="C1784" s="8" t="str">
        <f t="shared" si="55"/>
        <v>1819</v>
      </c>
      <c r="D1784" s="8" t="s">
        <v>119</v>
      </c>
      <c r="F1784" s="8" t="s">
        <v>271</v>
      </c>
      <c r="G1784" s="8" t="s">
        <v>944</v>
      </c>
      <c r="H1784" s="8" t="s">
        <v>945</v>
      </c>
      <c r="I1784" s="8" t="s">
        <v>181</v>
      </c>
      <c r="J1784" s="8" t="s">
        <v>946</v>
      </c>
      <c r="K1784" s="8" t="s">
        <v>125</v>
      </c>
      <c r="L1784" s="8" t="s">
        <v>947</v>
      </c>
      <c r="M1784" s="8" t="s">
        <v>2780</v>
      </c>
      <c r="N1784" s="8" t="s">
        <v>944</v>
      </c>
      <c r="O1784" s="8">
        <v>347.46</v>
      </c>
      <c r="P1784" s="8">
        <v>386.07</v>
      </c>
      <c r="Q1784" s="8" t="s">
        <v>2729</v>
      </c>
      <c r="S1784" s="8" t="s">
        <v>1029</v>
      </c>
      <c r="T1784" s="8">
        <v>23.61</v>
      </c>
    </row>
    <row r="1785" spans="1:20" x14ac:dyDescent="0.2">
      <c r="A1785" s="8" t="s">
        <v>3305</v>
      </c>
      <c r="B1785" s="8" t="str">
        <f t="shared" si="54"/>
        <v>1586244569</v>
      </c>
      <c r="C1785" s="8" t="str">
        <f t="shared" si="55"/>
        <v>1820</v>
      </c>
      <c r="D1785" s="8" t="s">
        <v>119</v>
      </c>
      <c r="F1785" s="8" t="s">
        <v>271</v>
      </c>
      <c r="G1785" s="8" t="s">
        <v>944</v>
      </c>
      <c r="H1785" s="8" t="s">
        <v>945</v>
      </c>
      <c r="I1785" s="8" t="s">
        <v>181</v>
      </c>
      <c r="J1785" s="8" t="s">
        <v>946</v>
      </c>
      <c r="K1785" s="8" t="s">
        <v>125</v>
      </c>
      <c r="L1785" s="8" t="s">
        <v>947</v>
      </c>
      <c r="M1785" s="8" t="s">
        <v>2780</v>
      </c>
      <c r="N1785" s="8" t="s">
        <v>944</v>
      </c>
      <c r="O1785" s="8">
        <v>347.46</v>
      </c>
      <c r="P1785" s="8">
        <v>386.07</v>
      </c>
      <c r="Q1785" s="8" t="s">
        <v>2729</v>
      </c>
      <c r="S1785" s="8" t="s">
        <v>184</v>
      </c>
      <c r="T1785" s="8">
        <v>77.459999999999994</v>
      </c>
    </row>
    <row r="1786" spans="1:20" x14ac:dyDescent="0.2">
      <c r="A1786" s="8" t="s">
        <v>4014</v>
      </c>
      <c r="B1786" s="8" t="str">
        <f t="shared" si="54"/>
        <v>1586244569</v>
      </c>
      <c r="C1786" s="8" t="str">
        <f t="shared" si="55"/>
        <v>1821</v>
      </c>
      <c r="D1786" s="8" t="s">
        <v>119</v>
      </c>
      <c r="F1786" s="8" t="s">
        <v>271</v>
      </c>
      <c r="G1786" s="8" t="s">
        <v>944</v>
      </c>
      <c r="H1786" s="8" t="s">
        <v>945</v>
      </c>
      <c r="I1786" s="8" t="s">
        <v>181</v>
      </c>
      <c r="J1786" s="8" t="s">
        <v>946</v>
      </c>
      <c r="K1786" s="8" t="s">
        <v>125</v>
      </c>
      <c r="L1786" s="8" t="s">
        <v>947</v>
      </c>
      <c r="M1786" s="8" t="s">
        <v>2780</v>
      </c>
      <c r="N1786" s="8" t="s">
        <v>944</v>
      </c>
      <c r="O1786" s="8">
        <v>347.46</v>
      </c>
      <c r="P1786" s="8">
        <v>386.07</v>
      </c>
      <c r="Q1786" s="8" t="s">
        <v>2729</v>
      </c>
      <c r="S1786" s="8" t="s">
        <v>109</v>
      </c>
      <c r="T1786" s="8">
        <v>42.05</v>
      </c>
    </row>
    <row r="1787" spans="1:20" x14ac:dyDescent="0.2">
      <c r="A1787" s="8" t="s">
        <v>4595</v>
      </c>
      <c r="B1787" s="8" t="str">
        <f t="shared" si="54"/>
        <v>1586244569</v>
      </c>
      <c r="C1787" s="8" t="str">
        <f t="shared" si="55"/>
        <v>1822</v>
      </c>
      <c r="D1787" s="8" t="s">
        <v>119</v>
      </c>
      <c r="F1787" s="8" t="s">
        <v>271</v>
      </c>
      <c r="G1787" s="8" t="s">
        <v>944</v>
      </c>
      <c r="H1787" s="8" t="s">
        <v>945</v>
      </c>
      <c r="I1787" s="8" t="s">
        <v>181</v>
      </c>
      <c r="J1787" s="8" t="s">
        <v>946</v>
      </c>
      <c r="K1787" s="8" t="s">
        <v>125</v>
      </c>
      <c r="L1787" s="8" t="s">
        <v>947</v>
      </c>
      <c r="M1787" s="8" t="s">
        <v>2780</v>
      </c>
      <c r="N1787" s="8" t="s">
        <v>944</v>
      </c>
      <c r="O1787" s="8">
        <v>347.46</v>
      </c>
      <c r="P1787" s="8">
        <v>386.07</v>
      </c>
      <c r="Q1787" s="8" t="s">
        <v>2729</v>
      </c>
      <c r="S1787" s="8" t="s">
        <v>156</v>
      </c>
      <c r="T1787" s="8">
        <v>19.18</v>
      </c>
    </row>
    <row r="1788" spans="1:20" x14ac:dyDescent="0.2">
      <c r="A1788" s="8" t="s">
        <v>3841</v>
      </c>
      <c r="B1788" s="8" t="str">
        <f t="shared" si="54"/>
        <v>1586244573</v>
      </c>
      <c r="C1788" s="8" t="str">
        <f t="shared" si="55"/>
        <v>1823</v>
      </c>
      <c r="D1788" s="8" t="s">
        <v>119</v>
      </c>
      <c r="F1788" s="8" t="s">
        <v>271</v>
      </c>
      <c r="G1788" s="8" t="s">
        <v>1025</v>
      </c>
      <c r="H1788" s="8" t="s">
        <v>1026</v>
      </c>
      <c r="I1788" s="8" t="s">
        <v>167</v>
      </c>
      <c r="J1788" s="8" t="s">
        <v>1198</v>
      </c>
      <c r="K1788" s="8" t="s">
        <v>1199</v>
      </c>
      <c r="L1788" s="8" t="s">
        <v>1200</v>
      </c>
      <c r="M1788" s="8" t="s">
        <v>2780</v>
      </c>
      <c r="N1788" s="8" t="s">
        <v>1025</v>
      </c>
      <c r="O1788" s="8">
        <v>235.33</v>
      </c>
      <c r="P1788" s="8">
        <v>261.48</v>
      </c>
      <c r="Q1788" s="8" t="s">
        <v>2731</v>
      </c>
      <c r="R1788" s="8" t="s">
        <v>1201</v>
      </c>
    </row>
    <row r="1789" spans="1:20" x14ac:dyDescent="0.2">
      <c r="A1789" s="8" t="s">
        <v>2955</v>
      </c>
      <c r="B1789" s="8" t="str">
        <f t="shared" si="54"/>
        <v>1586244573</v>
      </c>
      <c r="C1789" s="8" t="str">
        <f t="shared" si="55"/>
        <v>1824</v>
      </c>
      <c r="D1789" s="8" t="s">
        <v>119</v>
      </c>
      <c r="F1789" s="8" t="s">
        <v>271</v>
      </c>
      <c r="G1789" s="8" t="s">
        <v>1025</v>
      </c>
      <c r="H1789" s="8" t="s">
        <v>1026</v>
      </c>
      <c r="I1789" s="8" t="s">
        <v>167</v>
      </c>
      <c r="J1789" s="8" t="s">
        <v>1198</v>
      </c>
      <c r="K1789" s="8" t="s">
        <v>1199</v>
      </c>
      <c r="L1789" s="8" t="s">
        <v>1200</v>
      </c>
      <c r="M1789" s="8" t="s">
        <v>2780</v>
      </c>
      <c r="N1789" s="8" t="s">
        <v>1025</v>
      </c>
      <c r="O1789" s="8">
        <v>235.33</v>
      </c>
      <c r="P1789" s="8">
        <v>261.48</v>
      </c>
      <c r="Q1789" s="8" t="s">
        <v>2731</v>
      </c>
      <c r="R1789" s="8" t="s">
        <v>2072</v>
      </c>
    </row>
    <row r="1790" spans="1:20" x14ac:dyDescent="0.2">
      <c r="A1790" s="8" t="s">
        <v>4537</v>
      </c>
      <c r="B1790" s="8" t="str">
        <f t="shared" si="54"/>
        <v>1586244573</v>
      </c>
      <c r="C1790" s="8" t="str">
        <f t="shared" si="55"/>
        <v>1825</v>
      </c>
      <c r="D1790" s="8" t="s">
        <v>119</v>
      </c>
      <c r="F1790" s="8" t="s">
        <v>271</v>
      </c>
      <c r="G1790" s="8" t="s">
        <v>1025</v>
      </c>
      <c r="H1790" s="8" t="s">
        <v>1026</v>
      </c>
      <c r="I1790" s="8" t="s">
        <v>167</v>
      </c>
      <c r="J1790" s="8" t="s">
        <v>1198</v>
      </c>
      <c r="K1790" s="8" t="s">
        <v>1199</v>
      </c>
      <c r="L1790" s="8" t="s">
        <v>1200</v>
      </c>
      <c r="M1790" s="8" t="s">
        <v>2780</v>
      </c>
      <c r="N1790" s="8" t="s">
        <v>1025</v>
      </c>
      <c r="O1790" s="8">
        <v>235.33</v>
      </c>
      <c r="P1790" s="8">
        <v>261.48</v>
      </c>
      <c r="Q1790" s="8" t="s">
        <v>2731</v>
      </c>
      <c r="S1790" s="8" t="s">
        <v>184</v>
      </c>
      <c r="T1790" s="8">
        <v>77.459999999999994</v>
      </c>
    </row>
    <row r="1791" spans="1:20" x14ac:dyDescent="0.2">
      <c r="A1791" s="8" t="s">
        <v>4311</v>
      </c>
      <c r="B1791" s="8" t="str">
        <f t="shared" si="54"/>
        <v>1586244573</v>
      </c>
      <c r="C1791" s="8" t="str">
        <f t="shared" si="55"/>
        <v>1826</v>
      </c>
      <c r="D1791" s="8" t="s">
        <v>119</v>
      </c>
      <c r="F1791" s="8" t="s">
        <v>271</v>
      </c>
      <c r="G1791" s="8" t="s">
        <v>1025</v>
      </c>
      <c r="H1791" s="8" t="s">
        <v>1026</v>
      </c>
      <c r="I1791" s="8" t="s">
        <v>167</v>
      </c>
      <c r="J1791" s="8" t="s">
        <v>1198</v>
      </c>
      <c r="K1791" s="8" t="s">
        <v>1199</v>
      </c>
      <c r="L1791" s="8" t="s">
        <v>1200</v>
      </c>
      <c r="M1791" s="8" t="s">
        <v>2780</v>
      </c>
      <c r="N1791" s="8" t="s">
        <v>1025</v>
      </c>
      <c r="O1791" s="8">
        <v>235.33</v>
      </c>
      <c r="P1791" s="8">
        <v>261.48</v>
      </c>
      <c r="Q1791" s="8" t="s">
        <v>2731</v>
      </c>
      <c r="S1791" s="8" t="s">
        <v>156</v>
      </c>
      <c r="T1791" s="8">
        <v>47.21</v>
      </c>
    </row>
    <row r="1792" spans="1:20" x14ac:dyDescent="0.2">
      <c r="A1792" s="8" t="s">
        <v>3292</v>
      </c>
      <c r="B1792" s="8" t="str">
        <f t="shared" si="54"/>
        <v>1586244575</v>
      </c>
      <c r="C1792" s="8" t="str">
        <f t="shared" si="55"/>
        <v>1827</v>
      </c>
      <c r="D1792" s="8" t="s">
        <v>119</v>
      </c>
      <c r="F1792" s="8" t="s">
        <v>271</v>
      </c>
      <c r="G1792" s="8" t="s">
        <v>1025</v>
      </c>
      <c r="H1792" s="8" t="s">
        <v>1026</v>
      </c>
      <c r="I1792" s="8" t="s">
        <v>181</v>
      </c>
      <c r="J1792" s="8" t="s">
        <v>1027</v>
      </c>
      <c r="K1792" s="8" t="s">
        <v>125</v>
      </c>
      <c r="L1792" s="8" t="s">
        <v>1028</v>
      </c>
      <c r="M1792" s="8" t="s">
        <v>2780</v>
      </c>
      <c r="N1792" s="8" t="s">
        <v>1025</v>
      </c>
      <c r="O1792" s="8">
        <v>320.16000000000003</v>
      </c>
      <c r="P1792" s="8">
        <v>355.74</v>
      </c>
      <c r="Q1792" s="8" t="s">
        <v>2732</v>
      </c>
      <c r="R1792" s="8" t="s">
        <v>2213</v>
      </c>
    </row>
    <row r="1793" spans="1:20" x14ac:dyDescent="0.2">
      <c r="A1793" s="8" t="s">
        <v>3605</v>
      </c>
      <c r="B1793" s="8" t="str">
        <f t="shared" si="54"/>
        <v>1586244575</v>
      </c>
      <c r="C1793" s="8" t="str">
        <f t="shared" si="55"/>
        <v>1828</v>
      </c>
      <c r="D1793" s="8" t="s">
        <v>119</v>
      </c>
      <c r="F1793" s="8" t="s">
        <v>271</v>
      </c>
      <c r="G1793" s="8" t="s">
        <v>1025</v>
      </c>
      <c r="H1793" s="8" t="s">
        <v>1026</v>
      </c>
      <c r="I1793" s="8" t="s">
        <v>181</v>
      </c>
      <c r="J1793" s="8" t="s">
        <v>1027</v>
      </c>
      <c r="K1793" s="8" t="s">
        <v>125</v>
      </c>
      <c r="L1793" s="8" t="s">
        <v>1028</v>
      </c>
      <c r="M1793" s="8" t="s">
        <v>2780</v>
      </c>
      <c r="N1793" s="8" t="s">
        <v>1025</v>
      </c>
      <c r="O1793" s="8">
        <v>320.16000000000003</v>
      </c>
      <c r="P1793" s="8">
        <v>355.74</v>
      </c>
      <c r="Q1793" s="8" t="s">
        <v>2732</v>
      </c>
      <c r="R1793" s="8" t="s">
        <v>1459</v>
      </c>
    </row>
    <row r="1794" spans="1:20" x14ac:dyDescent="0.2">
      <c r="A1794" s="8" t="s">
        <v>2857</v>
      </c>
      <c r="B1794" s="8" t="str">
        <f t="shared" ref="B1794:B1857" si="56">LEFT(A1794, FIND("-", A1794) - 1)</f>
        <v>1586244575</v>
      </c>
      <c r="C1794" s="8" t="str">
        <f t="shared" ref="C1794:C1857" si="57">RIGHT(A1794, LEN(A1794) - FIND("-", A1794))</f>
        <v>1829</v>
      </c>
      <c r="D1794" s="8" t="s">
        <v>119</v>
      </c>
      <c r="F1794" s="8" t="s">
        <v>271</v>
      </c>
      <c r="G1794" s="8" t="s">
        <v>1025</v>
      </c>
      <c r="H1794" s="8" t="s">
        <v>1026</v>
      </c>
      <c r="I1794" s="8" t="s">
        <v>181</v>
      </c>
      <c r="J1794" s="8" t="s">
        <v>1027</v>
      </c>
      <c r="K1794" s="8" t="s">
        <v>125</v>
      </c>
      <c r="L1794" s="8" t="s">
        <v>1028</v>
      </c>
      <c r="M1794" s="8" t="s">
        <v>2780</v>
      </c>
      <c r="N1794" s="8" t="s">
        <v>1025</v>
      </c>
      <c r="O1794" s="8">
        <v>320.16000000000003</v>
      </c>
      <c r="P1794" s="8">
        <v>355.74</v>
      </c>
      <c r="Q1794" s="8" t="s">
        <v>2732</v>
      </c>
      <c r="R1794" s="8" t="s">
        <v>2205</v>
      </c>
    </row>
    <row r="1795" spans="1:20" x14ac:dyDescent="0.2">
      <c r="A1795" s="8" t="s">
        <v>3765</v>
      </c>
      <c r="B1795" s="8" t="str">
        <f t="shared" si="56"/>
        <v>1586244575</v>
      </c>
      <c r="C1795" s="8" t="str">
        <f t="shared" si="57"/>
        <v>1830</v>
      </c>
      <c r="D1795" s="8" t="s">
        <v>119</v>
      </c>
      <c r="F1795" s="8" t="s">
        <v>271</v>
      </c>
      <c r="G1795" s="8" t="s">
        <v>1025</v>
      </c>
      <c r="H1795" s="8" t="s">
        <v>1026</v>
      </c>
      <c r="I1795" s="8" t="s">
        <v>181</v>
      </c>
      <c r="J1795" s="8" t="s">
        <v>1027</v>
      </c>
      <c r="K1795" s="8" t="s">
        <v>125</v>
      </c>
      <c r="L1795" s="8" t="s">
        <v>1028</v>
      </c>
      <c r="M1795" s="8" t="s">
        <v>2780</v>
      </c>
      <c r="N1795" s="8" t="s">
        <v>1025</v>
      </c>
      <c r="O1795" s="8">
        <v>320.16000000000003</v>
      </c>
      <c r="P1795" s="8">
        <v>355.74</v>
      </c>
      <c r="Q1795" s="8" t="s">
        <v>2732</v>
      </c>
      <c r="R1795" s="8" t="s">
        <v>1435</v>
      </c>
    </row>
    <row r="1796" spans="1:20" x14ac:dyDescent="0.2">
      <c r="A1796" s="8" t="s">
        <v>3282</v>
      </c>
      <c r="B1796" s="8" t="str">
        <f t="shared" si="56"/>
        <v>1586244575</v>
      </c>
      <c r="C1796" s="8" t="str">
        <f t="shared" si="57"/>
        <v>1831</v>
      </c>
      <c r="D1796" s="8" t="s">
        <v>119</v>
      </c>
      <c r="F1796" s="8" t="s">
        <v>271</v>
      </c>
      <c r="G1796" s="8" t="s">
        <v>1025</v>
      </c>
      <c r="H1796" s="8" t="s">
        <v>1026</v>
      </c>
      <c r="I1796" s="8" t="s">
        <v>181</v>
      </c>
      <c r="J1796" s="8" t="s">
        <v>1027</v>
      </c>
      <c r="K1796" s="8" t="s">
        <v>125</v>
      </c>
      <c r="L1796" s="8" t="s">
        <v>1028</v>
      </c>
      <c r="M1796" s="8" t="s">
        <v>2780</v>
      </c>
      <c r="N1796" s="8" t="s">
        <v>1025</v>
      </c>
      <c r="O1796" s="8">
        <v>320.16000000000003</v>
      </c>
      <c r="P1796" s="8">
        <v>355.74</v>
      </c>
      <c r="Q1796" s="8" t="s">
        <v>2732</v>
      </c>
      <c r="S1796" s="8" t="s">
        <v>1029</v>
      </c>
      <c r="T1796" s="8">
        <v>23.61</v>
      </c>
    </row>
    <row r="1797" spans="1:20" x14ac:dyDescent="0.2">
      <c r="A1797" s="8" t="s">
        <v>4422</v>
      </c>
      <c r="B1797" s="8" t="str">
        <f t="shared" si="56"/>
        <v>1586244575</v>
      </c>
      <c r="C1797" s="8" t="str">
        <f t="shared" si="57"/>
        <v>1832</v>
      </c>
      <c r="D1797" s="8" t="s">
        <v>119</v>
      </c>
      <c r="F1797" s="8" t="s">
        <v>271</v>
      </c>
      <c r="G1797" s="8" t="s">
        <v>1025</v>
      </c>
      <c r="H1797" s="8" t="s">
        <v>1026</v>
      </c>
      <c r="I1797" s="8" t="s">
        <v>181</v>
      </c>
      <c r="J1797" s="8" t="s">
        <v>1027</v>
      </c>
      <c r="K1797" s="8" t="s">
        <v>125</v>
      </c>
      <c r="L1797" s="8" t="s">
        <v>1028</v>
      </c>
      <c r="M1797" s="8" t="s">
        <v>2780</v>
      </c>
      <c r="N1797" s="8" t="s">
        <v>1025</v>
      </c>
      <c r="O1797" s="8">
        <v>320.16000000000003</v>
      </c>
      <c r="P1797" s="8">
        <v>355.74</v>
      </c>
      <c r="Q1797" s="8" t="s">
        <v>2732</v>
      </c>
      <c r="S1797" s="8" t="s">
        <v>184</v>
      </c>
      <c r="T1797" s="8">
        <v>77.459999999999994</v>
      </c>
    </row>
    <row r="1798" spans="1:20" x14ac:dyDescent="0.2">
      <c r="A1798" s="8" t="s">
        <v>4063</v>
      </c>
      <c r="B1798" s="8" t="str">
        <f t="shared" si="56"/>
        <v>1586244575</v>
      </c>
      <c r="C1798" s="8" t="str">
        <f t="shared" si="57"/>
        <v>1833</v>
      </c>
      <c r="D1798" s="8" t="s">
        <v>119</v>
      </c>
      <c r="F1798" s="8" t="s">
        <v>271</v>
      </c>
      <c r="G1798" s="8" t="s">
        <v>1025</v>
      </c>
      <c r="H1798" s="8" t="s">
        <v>1026</v>
      </c>
      <c r="I1798" s="8" t="s">
        <v>181</v>
      </c>
      <c r="J1798" s="8" t="s">
        <v>1027</v>
      </c>
      <c r="K1798" s="8" t="s">
        <v>125</v>
      </c>
      <c r="L1798" s="8" t="s">
        <v>1028</v>
      </c>
      <c r="M1798" s="8" t="s">
        <v>2780</v>
      </c>
      <c r="N1798" s="8" t="s">
        <v>1025</v>
      </c>
      <c r="O1798" s="8">
        <v>320.16000000000003</v>
      </c>
      <c r="P1798" s="8">
        <v>355.74</v>
      </c>
      <c r="Q1798" s="8" t="s">
        <v>2732</v>
      </c>
      <c r="S1798" s="8" t="s">
        <v>156</v>
      </c>
      <c r="T1798" s="8">
        <v>19.18</v>
      </c>
    </row>
    <row r="1799" spans="1:20" x14ac:dyDescent="0.2">
      <c r="A1799" s="8" t="s">
        <v>4627</v>
      </c>
      <c r="B1799" s="8" t="str">
        <f t="shared" si="56"/>
        <v>1586244575</v>
      </c>
      <c r="C1799" s="8" t="str">
        <f t="shared" si="57"/>
        <v>1834</v>
      </c>
      <c r="D1799" s="8" t="s">
        <v>119</v>
      </c>
      <c r="F1799" s="8" t="s">
        <v>271</v>
      </c>
      <c r="G1799" s="8" t="s">
        <v>1025</v>
      </c>
      <c r="H1799" s="8" t="s">
        <v>1026</v>
      </c>
      <c r="I1799" s="8" t="s">
        <v>181</v>
      </c>
      <c r="J1799" s="8" t="s">
        <v>1027</v>
      </c>
      <c r="K1799" s="8" t="s">
        <v>125</v>
      </c>
      <c r="L1799" s="8" t="s">
        <v>1028</v>
      </c>
      <c r="M1799" s="8" t="s">
        <v>2780</v>
      </c>
      <c r="N1799" s="8" t="s">
        <v>1025</v>
      </c>
      <c r="O1799" s="8">
        <v>320.16000000000003</v>
      </c>
      <c r="P1799" s="8">
        <v>355.74</v>
      </c>
      <c r="Q1799" s="8" t="s">
        <v>2732</v>
      </c>
      <c r="S1799" s="8" t="s">
        <v>109</v>
      </c>
      <c r="T1799" s="8">
        <v>42.05</v>
      </c>
    </row>
    <row r="1800" spans="1:20" x14ac:dyDescent="0.2">
      <c r="A1800" s="8" t="s">
        <v>4240</v>
      </c>
      <c r="B1800" s="8" t="str">
        <f t="shared" si="56"/>
        <v>1586244579</v>
      </c>
      <c r="C1800" s="8" t="str">
        <f t="shared" si="57"/>
        <v>1835</v>
      </c>
      <c r="D1800" s="8" t="s">
        <v>119</v>
      </c>
      <c r="F1800" s="8" t="s">
        <v>271</v>
      </c>
      <c r="G1800" s="8" t="s">
        <v>1093</v>
      </c>
      <c r="H1800" s="8" t="s">
        <v>1094</v>
      </c>
      <c r="I1800" s="8" t="s">
        <v>152</v>
      </c>
      <c r="J1800" s="8" t="s">
        <v>1095</v>
      </c>
      <c r="K1800" s="8" t="s">
        <v>296</v>
      </c>
      <c r="L1800" s="8" t="s">
        <v>1096</v>
      </c>
      <c r="M1800" s="8" t="s">
        <v>2780</v>
      </c>
      <c r="N1800" s="8" t="s">
        <v>1093</v>
      </c>
      <c r="O1800" s="8">
        <v>686.07</v>
      </c>
      <c r="P1800" s="8">
        <v>762.3</v>
      </c>
      <c r="Q1800" s="8" t="s">
        <v>2733</v>
      </c>
      <c r="R1800" s="8" t="s">
        <v>1097</v>
      </c>
    </row>
    <row r="1801" spans="1:20" x14ac:dyDescent="0.2">
      <c r="A1801" s="8" t="s">
        <v>3236</v>
      </c>
      <c r="B1801" s="8" t="str">
        <f t="shared" si="56"/>
        <v>1586244579</v>
      </c>
      <c r="C1801" s="8" t="str">
        <f t="shared" si="57"/>
        <v>1836</v>
      </c>
      <c r="D1801" s="8" t="s">
        <v>119</v>
      </c>
      <c r="F1801" s="8" t="s">
        <v>271</v>
      </c>
      <c r="G1801" s="8" t="s">
        <v>1093</v>
      </c>
      <c r="H1801" s="8" t="s">
        <v>1094</v>
      </c>
      <c r="I1801" s="8" t="s">
        <v>152</v>
      </c>
      <c r="J1801" s="8" t="s">
        <v>1095</v>
      </c>
      <c r="K1801" s="8" t="s">
        <v>296</v>
      </c>
      <c r="L1801" s="8" t="s">
        <v>1096</v>
      </c>
      <c r="M1801" s="8" t="s">
        <v>2780</v>
      </c>
      <c r="N1801" s="8" t="s">
        <v>1093</v>
      </c>
      <c r="O1801" s="8">
        <v>686.07</v>
      </c>
      <c r="P1801" s="8">
        <v>762.3</v>
      </c>
      <c r="Q1801" s="8" t="s">
        <v>2733</v>
      </c>
      <c r="R1801" s="8" t="s">
        <v>1802</v>
      </c>
    </row>
    <row r="1802" spans="1:20" x14ac:dyDescent="0.2">
      <c r="A1802" s="8" t="s">
        <v>3024</v>
      </c>
      <c r="B1802" s="8" t="str">
        <f t="shared" si="56"/>
        <v>1586244579</v>
      </c>
      <c r="C1802" s="8" t="str">
        <f t="shared" si="57"/>
        <v>1837</v>
      </c>
      <c r="D1802" s="8" t="s">
        <v>119</v>
      </c>
      <c r="F1802" s="8" t="s">
        <v>271</v>
      </c>
      <c r="G1802" s="8" t="s">
        <v>1093</v>
      </c>
      <c r="H1802" s="8" t="s">
        <v>1094</v>
      </c>
      <c r="I1802" s="8" t="s">
        <v>152</v>
      </c>
      <c r="J1802" s="8" t="s">
        <v>1095</v>
      </c>
      <c r="K1802" s="8" t="s">
        <v>296</v>
      </c>
      <c r="L1802" s="8" t="s">
        <v>1096</v>
      </c>
      <c r="M1802" s="8" t="s">
        <v>2780</v>
      </c>
      <c r="N1802" s="8" t="s">
        <v>1093</v>
      </c>
      <c r="O1802" s="8">
        <v>686.07</v>
      </c>
      <c r="P1802" s="8">
        <v>762.3</v>
      </c>
      <c r="Q1802" s="8" t="s">
        <v>2733</v>
      </c>
      <c r="R1802" s="8" t="s">
        <v>1501</v>
      </c>
    </row>
    <row r="1803" spans="1:20" x14ac:dyDescent="0.2">
      <c r="A1803" s="8" t="s">
        <v>2823</v>
      </c>
      <c r="B1803" s="8" t="str">
        <f t="shared" si="56"/>
        <v>1586244579</v>
      </c>
      <c r="C1803" s="8" t="str">
        <f t="shared" si="57"/>
        <v>1838</v>
      </c>
      <c r="D1803" s="8" t="s">
        <v>119</v>
      </c>
      <c r="F1803" s="8" t="s">
        <v>271</v>
      </c>
      <c r="G1803" s="8" t="s">
        <v>1093</v>
      </c>
      <c r="H1803" s="8" t="s">
        <v>1094</v>
      </c>
      <c r="I1803" s="8" t="s">
        <v>152</v>
      </c>
      <c r="J1803" s="8" t="s">
        <v>1095</v>
      </c>
      <c r="K1803" s="8" t="s">
        <v>296</v>
      </c>
      <c r="L1803" s="8" t="s">
        <v>1096</v>
      </c>
      <c r="M1803" s="8" t="s">
        <v>2780</v>
      </c>
      <c r="N1803" s="8" t="s">
        <v>1093</v>
      </c>
      <c r="O1803" s="8">
        <v>686.07</v>
      </c>
      <c r="P1803" s="8">
        <v>762.3</v>
      </c>
      <c r="Q1803" s="8" t="s">
        <v>2733</v>
      </c>
      <c r="R1803" s="8" t="s">
        <v>1909</v>
      </c>
    </row>
    <row r="1804" spans="1:20" x14ac:dyDescent="0.2">
      <c r="A1804" s="8" t="s">
        <v>3894</v>
      </c>
      <c r="B1804" s="8" t="str">
        <f t="shared" si="56"/>
        <v>1586244579</v>
      </c>
      <c r="C1804" s="8" t="str">
        <f t="shared" si="57"/>
        <v>1839</v>
      </c>
      <c r="D1804" s="8" t="s">
        <v>119</v>
      </c>
      <c r="F1804" s="8" t="s">
        <v>271</v>
      </c>
      <c r="G1804" s="8" t="s">
        <v>1093</v>
      </c>
      <c r="H1804" s="8" t="s">
        <v>1094</v>
      </c>
      <c r="I1804" s="8" t="s">
        <v>152</v>
      </c>
      <c r="J1804" s="8" t="s">
        <v>1095</v>
      </c>
      <c r="K1804" s="8" t="s">
        <v>296</v>
      </c>
      <c r="L1804" s="8" t="s">
        <v>1096</v>
      </c>
      <c r="M1804" s="8" t="s">
        <v>2780</v>
      </c>
      <c r="N1804" s="8" t="s">
        <v>1093</v>
      </c>
      <c r="O1804" s="8">
        <v>686.07</v>
      </c>
      <c r="P1804" s="8">
        <v>762.3</v>
      </c>
      <c r="Q1804" s="8" t="s">
        <v>2733</v>
      </c>
      <c r="R1804" s="8" t="s">
        <v>2126</v>
      </c>
    </row>
    <row r="1805" spans="1:20" x14ac:dyDescent="0.2">
      <c r="A1805" s="8" t="s">
        <v>3338</v>
      </c>
      <c r="B1805" s="8" t="str">
        <f t="shared" si="56"/>
        <v>1586244579</v>
      </c>
      <c r="C1805" s="8" t="str">
        <f t="shared" si="57"/>
        <v>1840</v>
      </c>
      <c r="D1805" s="8" t="s">
        <v>119</v>
      </c>
      <c r="F1805" s="8" t="s">
        <v>271</v>
      </c>
      <c r="G1805" s="8" t="s">
        <v>1093</v>
      </c>
      <c r="H1805" s="8" t="s">
        <v>1094</v>
      </c>
      <c r="I1805" s="8" t="s">
        <v>152</v>
      </c>
      <c r="J1805" s="8" t="s">
        <v>1095</v>
      </c>
      <c r="K1805" s="8" t="s">
        <v>296</v>
      </c>
      <c r="L1805" s="8" t="s">
        <v>1096</v>
      </c>
      <c r="M1805" s="8" t="s">
        <v>2780</v>
      </c>
      <c r="N1805" s="8" t="s">
        <v>1093</v>
      </c>
      <c r="O1805" s="8">
        <v>686.07</v>
      </c>
      <c r="P1805" s="8">
        <v>762.3</v>
      </c>
      <c r="Q1805" s="8" t="s">
        <v>2733</v>
      </c>
      <c r="S1805" s="8" t="s">
        <v>184</v>
      </c>
      <c r="T1805" s="8">
        <v>77.459999999999994</v>
      </c>
    </row>
    <row r="1806" spans="1:20" x14ac:dyDescent="0.2">
      <c r="A1806" s="8" t="s">
        <v>3862</v>
      </c>
      <c r="B1806" s="8" t="str">
        <f t="shared" si="56"/>
        <v>1586244579</v>
      </c>
      <c r="C1806" s="8" t="str">
        <f t="shared" si="57"/>
        <v>1841</v>
      </c>
      <c r="D1806" s="8" t="s">
        <v>119</v>
      </c>
      <c r="F1806" s="8" t="s">
        <v>271</v>
      </c>
      <c r="G1806" s="8" t="s">
        <v>1093</v>
      </c>
      <c r="H1806" s="8" t="s">
        <v>1094</v>
      </c>
      <c r="I1806" s="8" t="s">
        <v>152</v>
      </c>
      <c r="J1806" s="8" t="s">
        <v>1095</v>
      </c>
      <c r="K1806" s="8" t="s">
        <v>296</v>
      </c>
      <c r="L1806" s="8" t="s">
        <v>1096</v>
      </c>
      <c r="M1806" s="8" t="s">
        <v>2780</v>
      </c>
      <c r="N1806" s="8" t="s">
        <v>1093</v>
      </c>
      <c r="O1806" s="8">
        <v>686.07</v>
      </c>
      <c r="P1806" s="8">
        <v>762.3</v>
      </c>
      <c r="Q1806" s="8" t="s">
        <v>2733</v>
      </c>
      <c r="S1806" s="8" t="s">
        <v>298</v>
      </c>
      <c r="T1806" s="8">
        <v>138.69</v>
      </c>
    </row>
    <row r="1807" spans="1:20" x14ac:dyDescent="0.2">
      <c r="A1807" s="8" t="s">
        <v>2802</v>
      </c>
      <c r="B1807" s="8" t="str">
        <f t="shared" si="56"/>
        <v>1586244579</v>
      </c>
      <c r="C1807" s="8" t="str">
        <f t="shared" si="57"/>
        <v>1842</v>
      </c>
      <c r="D1807" s="8" t="s">
        <v>119</v>
      </c>
      <c r="F1807" s="8" t="s">
        <v>271</v>
      </c>
      <c r="G1807" s="8" t="s">
        <v>1093</v>
      </c>
      <c r="H1807" s="8" t="s">
        <v>1094</v>
      </c>
      <c r="I1807" s="8" t="s">
        <v>152</v>
      </c>
      <c r="J1807" s="8" t="s">
        <v>1095</v>
      </c>
      <c r="K1807" s="8" t="s">
        <v>296</v>
      </c>
      <c r="L1807" s="8" t="s">
        <v>1096</v>
      </c>
      <c r="M1807" s="8" t="s">
        <v>2780</v>
      </c>
      <c r="N1807" s="8" t="s">
        <v>1093</v>
      </c>
      <c r="O1807" s="8">
        <v>686.07</v>
      </c>
      <c r="P1807" s="8">
        <v>762.3</v>
      </c>
      <c r="Q1807" s="8" t="s">
        <v>2733</v>
      </c>
      <c r="S1807" s="8" t="s">
        <v>1553</v>
      </c>
      <c r="T1807" s="8">
        <v>46.48</v>
      </c>
    </row>
    <row r="1808" spans="1:20" x14ac:dyDescent="0.2">
      <c r="A1808" s="8" t="s">
        <v>4277</v>
      </c>
      <c r="B1808" s="8" t="str">
        <f t="shared" si="56"/>
        <v>1586244584</v>
      </c>
      <c r="C1808" s="8" t="str">
        <f t="shared" si="57"/>
        <v>1843</v>
      </c>
      <c r="D1808" s="8" t="s">
        <v>119</v>
      </c>
      <c r="F1808" s="8" t="s">
        <v>271</v>
      </c>
      <c r="G1808" s="8" t="s">
        <v>1769</v>
      </c>
      <c r="H1808" s="8" t="s">
        <v>1770</v>
      </c>
      <c r="I1808" s="8" t="s">
        <v>181</v>
      </c>
      <c r="J1808" s="8" t="s">
        <v>1771</v>
      </c>
      <c r="K1808" s="8" t="s">
        <v>125</v>
      </c>
      <c r="L1808" s="8" t="s">
        <v>1772</v>
      </c>
      <c r="M1808" s="8" t="s">
        <v>2780</v>
      </c>
      <c r="N1808" s="8" t="s">
        <v>1769</v>
      </c>
      <c r="O1808" s="8">
        <v>485.41</v>
      </c>
      <c r="P1808" s="8">
        <v>539.34</v>
      </c>
      <c r="Q1808" s="8" t="s">
        <v>2734</v>
      </c>
      <c r="R1808" s="8" t="s">
        <v>2410</v>
      </c>
    </row>
    <row r="1809" spans="1:20" x14ac:dyDescent="0.2">
      <c r="A1809" s="8" t="s">
        <v>3629</v>
      </c>
      <c r="B1809" s="8" t="str">
        <f t="shared" si="56"/>
        <v>1586244584</v>
      </c>
      <c r="C1809" s="8" t="str">
        <f t="shared" si="57"/>
        <v>1844</v>
      </c>
      <c r="D1809" s="8" t="s">
        <v>119</v>
      </c>
      <c r="F1809" s="8" t="s">
        <v>271</v>
      </c>
      <c r="G1809" s="8" t="s">
        <v>1769</v>
      </c>
      <c r="H1809" s="8" t="s">
        <v>1770</v>
      </c>
      <c r="I1809" s="8" t="s">
        <v>181</v>
      </c>
      <c r="J1809" s="8" t="s">
        <v>1771</v>
      </c>
      <c r="K1809" s="8" t="s">
        <v>125</v>
      </c>
      <c r="L1809" s="8" t="s">
        <v>1772</v>
      </c>
      <c r="M1809" s="8" t="s">
        <v>2780</v>
      </c>
      <c r="N1809" s="8" t="s">
        <v>1769</v>
      </c>
      <c r="O1809" s="8">
        <v>485.41</v>
      </c>
      <c r="P1809" s="8">
        <v>539.34</v>
      </c>
      <c r="Q1809" s="8" t="s">
        <v>2734</v>
      </c>
      <c r="S1809" s="8" t="s">
        <v>1029</v>
      </c>
      <c r="T1809" s="8">
        <v>23.61</v>
      </c>
    </row>
    <row r="1810" spans="1:20" x14ac:dyDescent="0.2">
      <c r="A1810" s="8" t="s">
        <v>2906</v>
      </c>
      <c r="B1810" s="8" t="str">
        <f t="shared" si="56"/>
        <v>1586244584</v>
      </c>
      <c r="C1810" s="8" t="str">
        <f t="shared" si="57"/>
        <v>1845</v>
      </c>
      <c r="D1810" s="8" t="s">
        <v>119</v>
      </c>
      <c r="F1810" s="8" t="s">
        <v>271</v>
      </c>
      <c r="G1810" s="8" t="s">
        <v>1769</v>
      </c>
      <c r="H1810" s="8" t="s">
        <v>1770</v>
      </c>
      <c r="I1810" s="8" t="s">
        <v>181</v>
      </c>
      <c r="J1810" s="8" t="s">
        <v>1771</v>
      </c>
      <c r="K1810" s="8" t="s">
        <v>125</v>
      </c>
      <c r="L1810" s="8" t="s">
        <v>1772</v>
      </c>
      <c r="M1810" s="8" t="s">
        <v>2780</v>
      </c>
      <c r="N1810" s="8" t="s">
        <v>1769</v>
      </c>
      <c r="O1810" s="8">
        <v>485.41</v>
      </c>
      <c r="P1810" s="8">
        <v>539.34</v>
      </c>
      <c r="Q1810" s="8" t="s">
        <v>2734</v>
      </c>
      <c r="S1810" s="8" t="s">
        <v>184</v>
      </c>
      <c r="T1810" s="8">
        <v>77.459999999999994</v>
      </c>
    </row>
    <row r="1811" spans="1:20" x14ac:dyDescent="0.2">
      <c r="A1811" s="8" t="s">
        <v>3388</v>
      </c>
      <c r="B1811" s="8" t="str">
        <f t="shared" si="56"/>
        <v>1586244584</v>
      </c>
      <c r="C1811" s="8" t="str">
        <f t="shared" si="57"/>
        <v>1846</v>
      </c>
      <c r="D1811" s="8" t="s">
        <v>119</v>
      </c>
      <c r="F1811" s="8" t="s">
        <v>271</v>
      </c>
      <c r="G1811" s="8" t="s">
        <v>1769</v>
      </c>
      <c r="H1811" s="8" t="s">
        <v>1770</v>
      </c>
      <c r="I1811" s="8" t="s">
        <v>181</v>
      </c>
      <c r="J1811" s="8" t="s">
        <v>1771</v>
      </c>
      <c r="K1811" s="8" t="s">
        <v>125</v>
      </c>
      <c r="L1811" s="8" t="s">
        <v>1772</v>
      </c>
      <c r="M1811" s="8" t="s">
        <v>2780</v>
      </c>
      <c r="N1811" s="8" t="s">
        <v>1769</v>
      </c>
      <c r="O1811" s="8">
        <v>485.41</v>
      </c>
      <c r="P1811" s="8">
        <v>539.34</v>
      </c>
      <c r="Q1811" s="8" t="s">
        <v>2734</v>
      </c>
      <c r="S1811" s="8" t="s">
        <v>156</v>
      </c>
      <c r="T1811" s="8">
        <v>19.18</v>
      </c>
    </row>
    <row r="1812" spans="1:20" x14ac:dyDescent="0.2">
      <c r="A1812" s="8" t="s">
        <v>3096</v>
      </c>
      <c r="B1812" s="8" t="str">
        <f t="shared" si="56"/>
        <v>1586244584</v>
      </c>
      <c r="C1812" s="8" t="str">
        <f t="shared" si="57"/>
        <v>1847</v>
      </c>
      <c r="D1812" s="8" t="s">
        <v>119</v>
      </c>
      <c r="F1812" s="8" t="s">
        <v>271</v>
      </c>
      <c r="G1812" s="8" t="s">
        <v>1769</v>
      </c>
      <c r="H1812" s="8" t="s">
        <v>1770</v>
      </c>
      <c r="I1812" s="8" t="s">
        <v>181</v>
      </c>
      <c r="J1812" s="8" t="s">
        <v>1771</v>
      </c>
      <c r="K1812" s="8" t="s">
        <v>125</v>
      </c>
      <c r="L1812" s="8" t="s">
        <v>1772</v>
      </c>
      <c r="M1812" s="8" t="s">
        <v>2780</v>
      </c>
      <c r="N1812" s="8" t="s">
        <v>1769</v>
      </c>
      <c r="O1812" s="8">
        <v>485.41</v>
      </c>
      <c r="P1812" s="8">
        <v>539.34</v>
      </c>
      <c r="Q1812" s="8" t="s">
        <v>2734</v>
      </c>
      <c r="S1812" s="8" t="s">
        <v>109</v>
      </c>
      <c r="T1812" s="8">
        <v>42.05</v>
      </c>
    </row>
    <row r="1813" spans="1:20" x14ac:dyDescent="0.2">
      <c r="A1813" s="8" t="s">
        <v>3788</v>
      </c>
      <c r="B1813" s="8" t="str">
        <f t="shared" si="56"/>
        <v>1586244588</v>
      </c>
      <c r="C1813" s="8" t="str">
        <f t="shared" si="57"/>
        <v>1848</v>
      </c>
      <c r="D1813" s="8" t="s">
        <v>119</v>
      </c>
      <c r="F1813" s="8" t="s">
        <v>271</v>
      </c>
      <c r="G1813" s="8" t="s">
        <v>900</v>
      </c>
      <c r="H1813" s="8" t="s">
        <v>901</v>
      </c>
      <c r="I1813" s="8" t="s">
        <v>565</v>
      </c>
      <c r="J1813" s="8" t="s">
        <v>902</v>
      </c>
      <c r="K1813" s="8" t="s">
        <v>176</v>
      </c>
      <c r="L1813" s="8" t="s">
        <v>903</v>
      </c>
      <c r="M1813" s="8" t="s">
        <v>2780</v>
      </c>
      <c r="N1813" s="8" t="s">
        <v>900</v>
      </c>
      <c r="O1813" s="8">
        <v>809.26</v>
      </c>
      <c r="P1813" s="8">
        <v>899.18</v>
      </c>
      <c r="Q1813" s="8" t="s">
        <v>2735</v>
      </c>
      <c r="R1813" s="8" t="s">
        <v>2375</v>
      </c>
    </row>
    <row r="1814" spans="1:20" x14ac:dyDescent="0.2">
      <c r="A1814" s="8" t="s">
        <v>3241</v>
      </c>
      <c r="B1814" s="8" t="str">
        <f t="shared" si="56"/>
        <v>1586244588</v>
      </c>
      <c r="C1814" s="8" t="str">
        <f t="shared" si="57"/>
        <v>1849</v>
      </c>
      <c r="D1814" s="8" t="s">
        <v>119</v>
      </c>
      <c r="F1814" s="8" t="s">
        <v>271</v>
      </c>
      <c r="G1814" s="8" t="s">
        <v>900</v>
      </c>
      <c r="H1814" s="8" t="s">
        <v>901</v>
      </c>
      <c r="I1814" s="8" t="s">
        <v>565</v>
      </c>
      <c r="J1814" s="8" t="s">
        <v>902</v>
      </c>
      <c r="K1814" s="8" t="s">
        <v>176</v>
      </c>
      <c r="L1814" s="8" t="s">
        <v>903</v>
      </c>
      <c r="M1814" s="8" t="s">
        <v>2780</v>
      </c>
      <c r="N1814" s="8" t="s">
        <v>900</v>
      </c>
      <c r="O1814" s="8">
        <v>809.26</v>
      </c>
      <c r="P1814" s="8">
        <v>899.18</v>
      </c>
      <c r="Q1814" s="8" t="s">
        <v>2735</v>
      </c>
      <c r="R1814" s="8" t="s">
        <v>1197</v>
      </c>
    </row>
    <row r="1815" spans="1:20" x14ac:dyDescent="0.2">
      <c r="A1815" s="8" t="s">
        <v>3324</v>
      </c>
      <c r="B1815" s="8" t="str">
        <f t="shared" si="56"/>
        <v>1586244588</v>
      </c>
      <c r="C1815" s="8" t="str">
        <f t="shared" si="57"/>
        <v>1850</v>
      </c>
      <c r="D1815" s="8" t="s">
        <v>119</v>
      </c>
      <c r="F1815" s="8" t="s">
        <v>271</v>
      </c>
      <c r="G1815" s="8" t="s">
        <v>900</v>
      </c>
      <c r="H1815" s="8" t="s">
        <v>901</v>
      </c>
      <c r="I1815" s="8" t="s">
        <v>565</v>
      </c>
      <c r="J1815" s="8" t="s">
        <v>902</v>
      </c>
      <c r="K1815" s="8" t="s">
        <v>176</v>
      </c>
      <c r="L1815" s="8" t="s">
        <v>903</v>
      </c>
      <c r="M1815" s="8" t="s">
        <v>2780</v>
      </c>
      <c r="N1815" s="8" t="s">
        <v>900</v>
      </c>
      <c r="O1815" s="8">
        <v>809.26</v>
      </c>
      <c r="P1815" s="8">
        <v>899.18</v>
      </c>
      <c r="Q1815" s="8" t="s">
        <v>2735</v>
      </c>
      <c r="R1815" s="8" t="s">
        <v>1323</v>
      </c>
    </row>
    <row r="1816" spans="1:20" x14ac:dyDescent="0.2">
      <c r="A1816" s="8" t="s">
        <v>4697</v>
      </c>
      <c r="B1816" s="8" t="str">
        <f t="shared" si="56"/>
        <v>1586244588</v>
      </c>
      <c r="C1816" s="8" t="str">
        <f t="shared" si="57"/>
        <v>1851</v>
      </c>
      <c r="D1816" s="8" t="s">
        <v>119</v>
      </c>
      <c r="F1816" s="8" t="s">
        <v>271</v>
      </c>
      <c r="G1816" s="8" t="s">
        <v>900</v>
      </c>
      <c r="H1816" s="8" t="s">
        <v>901</v>
      </c>
      <c r="I1816" s="8" t="s">
        <v>565</v>
      </c>
      <c r="J1816" s="8" t="s">
        <v>902</v>
      </c>
      <c r="K1816" s="8" t="s">
        <v>176</v>
      </c>
      <c r="L1816" s="8" t="s">
        <v>903</v>
      </c>
      <c r="M1816" s="8" t="s">
        <v>2780</v>
      </c>
      <c r="N1816" s="8" t="s">
        <v>900</v>
      </c>
      <c r="O1816" s="8">
        <v>809.26</v>
      </c>
      <c r="P1816" s="8">
        <v>899.18</v>
      </c>
      <c r="Q1816" s="8" t="s">
        <v>2735</v>
      </c>
      <c r="R1816" s="8" t="s">
        <v>2303</v>
      </c>
    </row>
    <row r="1817" spans="1:20" x14ac:dyDescent="0.2">
      <c r="A1817" s="8" t="s">
        <v>4779</v>
      </c>
      <c r="B1817" s="8" t="str">
        <f t="shared" si="56"/>
        <v>1586244588</v>
      </c>
      <c r="C1817" s="8" t="str">
        <f t="shared" si="57"/>
        <v>1852</v>
      </c>
      <c r="D1817" s="8" t="s">
        <v>119</v>
      </c>
      <c r="F1817" s="8" t="s">
        <v>271</v>
      </c>
      <c r="G1817" s="8" t="s">
        <v>900</v>
      </c>
      <c r="H1817" s="8" t="s">
        <v>901</v>
      </c>
      <c r="I1817" s="8" t="s">
        <v>565</v>
      </c>
      <c r="J1817" s="8" t="s">
        <v>902</v>
      </c>
      <c r="K1817" s="8" t="s">
        <v>176</v>
      </c>
      <c r="L1817" s="8" t="s">
        <v>903</v>
      </c>
      <c r="M1817" s="8" t="s">
        <v>2780</v>
      </c>
      <c r="N1817" s="8" t="s">
        <v>900</v>
      </c>
      <c r="O1817" s="8">
        <v>809.26</v>
      </c>
      <c r="P1817" s="8">
        <v>899.18</v>
      </c>
      <c r="Q1817" s="8" t="s">
        <v>2735</v>
      </c>
      <c r="R1817" s="8" t="s">
        <v>2373</v>
      </c>
    </row>
    <row r="1818" spans="1:20" x14ac:dyDescent="0.2">
      <c r="A1818" s="8" t="s">
        <v>4096</v>
      </c>
      <c r="B1818" s="8" t="str">
        <f t="shared" si="56"/>
        <v>1586244588</v>
      </c>
      <c r="C1818" s="8" t="str">
        <f t="shared" si="57"/>
        <v>1853</v>
      </c>
      <c r="D1818" s="8" t="s">
        <v>119</v>
      </c>
      <c r="F1818" s="8" t="s">
        <v>271</v>
      </c>
      <c r="G1818" s="8" t="s">
        <v>900</v>
      </c>
      <c r="H1818" s="8" t="s">
        <v>901</v>
      </c>
      <c r="I1818" s="8" t="s">
        <v>565</v>
      </c>
      <c r="J1818" s="8" t="s">
        <v>902</v>
      </c>
      <c r="K1818" s="8" t="s">
        <v>176</v>
      </c>
      <c r="L1818" s="8" t="s">
        <v>903</v>
      </c>
      <c r="M1818" s="8" t="s">
        <v>2780</v>
      </c>
      <c r="N1818" s="8" t="s">
        <v>900</v>
      </c>
      <c r="O1818" s="8">
        <v>809.26</v>
      </c>
      <c r="P1818" s="8">
        <v>899.18</v>
      </c>
      <c r="Q1818" s="8" t="s">
        <v>2735</v>
      </c>
      <c r="S1818" s="8" t="s">
        <v>184</v>
      </c>
      <c r="T1818" s="8">
        <v>216.15</v>
      </c>
    </row>
    <row r="1819" spans="1:20" x14ac:dyDescent="0.2">
      <c r="A1819" s="8" t="s">
        <v>3491</v>
      </c>
      <c r="B1819" s="8" t="str">
        <f t="shared" si="56"/>
        <v>1586244588</v>
      </c>
      <c r="C1819" s="8" t="str">
        <f t="shared" si="57"/>
        <v>1854</v>
      </c>
      <c r="D1819" s="8" t="s">
        <v>119</v>
      </c>
      <c r="F1819" s="8" t="s">
        <v>271</v>
      </c>
      <c r="G1819" s="8" t="s">
        <v>900</v>
      </c>
      <c r="H1819" s="8" t="s">
        <v>901</v>
      </c>
      <c r="I1819" s="8" t="s">
        <v>565</v>
      </c>
      <c r="J1819" s="8" t="s">
        <v>902</v>
      </c>
      <c r="K1819" s="8" t="s">
        <v>176</v>
      </c>
      <c r="L1819" s="8" t="s">
        <v>903</v>
      </c>
      <c r="M1819" s="8" t="s">
        <v>2780</v>
      </c>
      <c r="N1819" s="8" t="s">
        <v>900</v>
      </c>
      <c r="O1819" s="8">
        <v>809.26</v>
      </c>
      <c r="P1819" s="8">
        <v>899.18</v>
      </c>
      <c r="Q1819" s="8" t="s">
        <v>2735</v>
      </c>
      <c r="S1819" s="8" t="s">
        <v>156</v>
      </c>
      <c r="T1819" s="8">
        <v>115.82</v>
      </c>
    </row>
    <row r="1820" spans="1:20" x14ac:dyDescent="0.2">
      <c r="A1820" s="8" t="s">
        <v>2987</v>
      </c>
      <c r="B1820" s="8" t="str">
        <f t="shared" si="56"/>
        <v>1586244592</v>
      </c>
      <c r="C1820" s="8" t="str">
        <f t="shared" si="57"/>
        <v>1855</v>
      </c>
      <c r="D1820" s="8" t="s">
        <v>119</v>
      </c>
      <c r="F1820" s="8" t="s">
        <v>271</v>
      </c>
      <c r="G1820" s="8" t="s">
        <v>563</v>
      </c>
      <c r="H1820" s="8" t="s">
        <v>564</v>
      </c>
      <c r="I1820" s="8" t="s">
        <v>565</v>
      </c>
      <c r="J1820" s="8" t="s">
        <v>566</v>
      </c>
      <c r="K1820" s="8" t="s">
        <v>176</v>
      </c>
      <c r="L1820" s="8" t="s">
        <v>567</v>
      </c>
      <c r="M1820" s="8" t="s">
        <v>2780</v>
      </c>
      <c r="N1820" s="8" t="s">
        <v>563</v>
      </c>
      <c r="O1820" s="8">
        <v>832.87</v>
      </c>
      <c r="P1820" s="8">
        <v>925.41</v>
      </c>
      <c r="Q1820" s="8" t="s">
        <v>2735</v>
      </c>
      <c r="R1820" s="8" t="s">
        <v>2474</v>
      </c>
    </row>
    <row r="1821" spans="1:20" x14ac:dyDescent="0.2">
      <c r="A1821" s="8" t="s">
        <v>4741</v>
      </c>
      <c r="B1821" s="8" t="str">
        <f t="shared" si="56"/>
        <v>1586244592</v>
      </c>
      <c r="C1821" s="8" t="str">
        <f t="shared" si="57"/>
        <v>1856</v>
      </c>
      <c r="D1821" s="8" t="s">
        <v>119</v>
      </c>
      <c r="F1821" s="8" t="s">
        <v>271</v>
      </c>
      <c r="G1821" s="8" t="s">
        <v>563</v>
      </c>
      <c r="H1821" s="8" t="s">
        <v>564</v>
      </c>
      <c r="I1821" s="8" t="s">
        <v>565</v>
      </c>
      <c r="J1821" s="8" t="s">
        <v>566</v>
      </c>
      <c r="K1821" s="8" t="s">
        <v>176</v>
      </c>
      <c r="L1821" s="8" t="s">
        <v>567</v>
      </c>
      <c r="M1821" s="8" t="s">
        <v>2780</v>
      </c>
      <c r="N1821" s="8" t="s">
        <v>563</v>
      </c>
      <c r="O1821" s="8">
        <v>832.87</v>
      </c>
      <c r="P1821" s="8">
        <v>925.41</v>
      </c>
      <c r="Q1821" s="8" t="s">
        <v>2735</v>
      </c>
      <c r="R1821" s="8" t="s">
        <v>2408</v>
      </c>
    </row>
    <row r="1822" spans="1:20" x14ac:dyDescent="0.2">
      <c r="A1822" s="8" t="s">
        <v>3048</v>
      </c>
      <c r="B1822" s="8" t="str">
        <f t="shared" si="56"/>
        <v>1586244592</v>
      </c>
      <c r="C1822" s="8" t="str">
        <f t="shared" si="57"/>
        <v>1857</v>
      </c>
      <c r="D1822" s="8" t="s">
        <v>119</v>
      </c>
      <c r="F1822" s="8" t="s">
        <v>271</v>
      </c>
      <c r="G1822" s="8" t="s">
        <v>563</v>
      </c>
      <c r="H1822" s="8" t="s">
        <v>564</v>
      </c>
      <c r="I1822" s="8" t="s">
        <v>565</v>
      </c>
      <c r="J1822" s="8" t="s">
        <v>566</v>
      </c>
      <c r="K1822" s="8" t="s">
        <v>176</v>
      </c>
      <c r="L1822" s="8" t="s">
        <v>567</v>
      </c>
      <c r="M1822" s="8" t="s">
        <v>2780</v>
      </c>
      <c r="N1822" s="8" t="s">
        <v>563</v>
      </c>
      <c r="O1822" s="8">
        <v>832.87</v>
      </c>
      <c r="P1822" s="8">
        <v>925.41</v>
      </c>
      <c r="Q1822" s="8" t="s">
        <v>2735</v>
      </c>
      <c r="R1822" s="8" t="s">
        <v>2119</v>
      </c>
    </row>
    <row r="1823" spans="1:20" x14ac:dyDescent="0.2">
      <c r="A1823" s="8" t="s">
        <v>3729</v>
      </c>
      <c r="B1823" s="8" t="str">
        <f t="shared" si="56"/>
        <v>1586244592</v>
      </c>
      <c r="C1823" s="8" t="str">
        <f t="shared" si="57"/>
        <v>1858</v>
      </c>
      <c r="D1823" s="8" t="s">
        <v>119</v>
      </c>
      <c r="F1823" s="8" t="s">
        <v>271</v>
      </c>
      <c r="G1823" s="8" t="s">
        <v>563</v>
      </c>
      <c r="H1823" s="8" t="s">
        <v>564</v>
      </c>
      <c r="I1823" s="8" t="s">
        <v>565</v>
      </c>
      <c r="J1823" s="8" t="s">
        <v>566</v>
      </c>
      <c r="K1823" s="8" t="s">
        <v>176</v>
      </c>
      <c r="L1823" s="8" t="s">
        <v>567</v>
      </c>
      <c r="M1823" s="8" t="s">
        <v>2780</v>
      </c>
      <c r="N1823" s="8" t="s">
        <v>563</v>
      </c>
      <c r="O1823" s="8">
        <v>832.87</v>
      </c>
      <c r="P1823" s="8">
        <v>925.41</v>
      </c>
      <c r="Q1823" s="8" t="s">
        <v>2735</v>
      </c>
      <c r="R1823" s="8" t="s">
        <v>568</v>
      </c>
    </row>
    <row r="1824" spans="1:20" x14ac:dyDescent="0.2">
      <c r="A1824" s="8" t="s">
        <v>3837</v>
      </c>
      <c r="B1824" s="8" t="str">
        <f t="shared" si="56"/>
        <v>1586244592</v>
      </c>
      <c r="C1824" s="8" t="str">
        <f t="shared" si="57"/>
        <v>1859</v>
      </c>
      <c r="D1824" s="8" t="s">
        <v>119</v>
      </c>
      <c r="F1824" s="8" t="s">
        <v>271</v>
      </c>
      <c r="G1824" s="8" t="s">
        <v>563</v>
      </c>
      <c r="H1824" s="8" t="s">
        <v>564</v>
      </c>
      <c r="I1824" s="8" t="s">
        <v>565</v>
      </c>
      <c r="J1824" s="8" t="s">
        <v>566</v>
      </c>
      <c r="K1824" s="8" t="s">
        <v>176</v>
      </c>
      <c r="L1824" s="8" t="s">
        <v>567</v>
      </c>
      <c r="M1824" s="8" t="s">
        <v>2780</v>
      </c>
      <c r="N1824" s="8" t="s">
        <v>563</v>
      </c>
      <c r="O1824" s="8">
        <v>832.87</v>
      </c>
      <c r="P1824" s="8">
        <v>925.41</v>
      </c>
      <c r="Q1824" s="8" t="s">
        <v>2735</v>
      </c>
      <c r="R1824" s="8" t="s">
        <v>2374</v>
      </c>
    </row>
    <row r="1825" spans="1:20" x14ac:dyDescent="0.2">
      <c r="A1825" s="8" t="s">
        <v>3672</v>
      </c>
      <c r="B1825" s="8" t="str">
        <f t="shared" si="56"/>
        <v>1586244592</v>
      </c>
      <c r="C1825" s="8" t="str">
        <f t="shared" si="57"/>
        <v>1860</v>
      </c>
      <c r="D1825" s="8" t="s">
        <v>119</v>
      </c>
      <c r="F1825" s="8" t="s">
        <v>271</v>
      </c>
      <c r="G1825" s="8" t="s">
        <v>563</v>
      </c>
      <c r="H1825" s="8" t="s">
        <v>564</v>
      </c>
      <c r="I1825" s="8" t="s">
        <v>565</v>
      </c>
      <c r="J1825" s="8" t="s">
        <v>566</v>
      </c>
      <c r="K1825" s="8" t="s">
        <v>176</v>
      </c>
      <c r="L1825" s="8" t="s">
        <v>567</v>
      </c>
      <c r="M1825" s="8" t="s">
        <v>2780</v>
      </c>
      <c r="N1825" s="8" t="s">
        <v>563</v>
      </c>
      <c r="O1825" s="8">
        <v>832.87</v>
      </c>
      <c r="P1825" s="8">
        <v>925.41</v>
      </c>
      <c r="Q1825" s="8" t="s">
        <v>2735</v>
      </c>
      <c r="S1825" s="8" t="s">
        <v>184</v>
      </c>
      <c r="T1825" s="8">
        <v>216.15</v>
      </c>
    </row>
    <row r="1826" spans="1:20" x14ac:dyDescent="0.2">
      <c r="A1826" s="8" t="s">
        <v>4266</v>
      </c>
      <c r="B1826" s="8" t="str">
        <f t="shared" si="56"/>
        <v>1586244592</v>
      </c>
      <c r="C1826" s="8" t="str">
        <f t="shared" si="57"/>
        <v>1861</v>
      </c>
      <c r="D1826" s="8" t="s">
        <v>119</v>
      </c>
      <c r="F1826" s="8" t="s">
        <v>271</v>
      </c>
      <c r="G1826" s="8" t="s">
        <v>563</v>
      </c>
      <c r="H1826" s="8" t="s">
        <v>564</v>
      </c>
      <c r="I1826" s="8" t="s">
        <v>565</v>
      </c>
      <c r="J1826" s="8" t="s">
        <v>566</v>
      </c>
      <c r="K1826" s="8" t="s">
        <v>176</v>
      </c>
      <c r="L1826" s="8" t="s">
        <v>567</v>
      </c>
      <c r="M1826" s="8" t="s">
        <v>2780</v>
      </c>
      <c r="N1826" s="8" t="s">
        <v>563</v>
      </c>
      <c r="O1826" s="8">
        <v>832.87</v>
      </c>
      <c r="P1826" s="8">
        <v>925.41</v>
      </c>
      <c r="Q1826" s="8" t="s">
        <v>2735</v>
      </c>
      <c r="S1826" s="8" t="s">
        <v>156</v>
      </c>
      <c r="T1826" s="8">
        <v>115.82</v>
      </c>
    </row>
    <row r="1827" spans="1:20" x14ac:dyDescent="0.2">
      <c r="A1827" s="8" t="s">
        <v>3516</v>
      </c>
      <c r="B1827" s="8" t="str">
        <f t="shared" si="56"/>
        <v>1586244596</v>
      </c>
      <c r="C1827" s="8" t="str">
        <f t="shared" si="57"/>
        <v>1862</v>
      </c>
      <c r="D1827" s="8" t="s">
        <v>119</v>
      </c>
      <c r="F1827" s="8" t="s">
        <v>271</v>
      </c>
      <c r="G1827" s="8" t="s">
        <v>293</v>
      </c>
      <c r="H1827" s="8" t="s">
        <v>294</v>
      </c>
      <c r="I1827" s="8" t="s">
        <v>152</v>
      </c>
      <c r="J1827" s="8" t="s">
        <v>295</v>
      </c>
      <c r="K1827" s="8" t="s">
        <v>296</v>
      </c>
      <c r="L1827" s="8" t="s">
        <v>297</v>
      </c>
      <c r="M1827" s="8" t="s">
        <v>2780</v>
      </c>
      <c r="N1827" s="8" t="s">
        <v>293</v>
      </c>
      <c r="O1827" s="8">
        <v>601.23</v>
      </c>
      <c r="P1827" s="8">
        <v>668.03</v>
      </c>
      <c r="Q1827" s="8" t="s">
        <v>2736</v>
      </c>
      <c r="R1827" s="8" t="s">
        <v>2147</v>
      </c>
    </row>
    <row r="1828" spans="1:20" x14ac:dyDescent="0.2">
      <c r="A1828" s="8" t="s">
        <v>3513</v>
      </c>
      <c r="B1828" s="8" t="str">
        <f t="shared" si="56"/>
        <v>1586244596</v>
      </c>
      <c r="C1828" s="8" t="str">
        <f t="shared" si="57"/>
        <v>1863</v>
      </c>
      <c r="D1828" s="8" t="s">
        <v>119</v>
      </c>
      <c r="F1828" s="8" t="s">
        <v>271</v>
      </c>
      <c r="G1828" s="8" t="s">
        <v>293</v>
      </c>
      <c r="H1828" s="8" t="s">
        <v>294</v>
      </c>
      <c r="I1828" s="8" t="s">
        <v>152</v>
      </c>
      <c r="J1828" s="8" t="s">
        <v>295</v>
      </c>
      <c r="K1828" s="8" t="s">
        <v>296</v>
      </c>
      <c r="L1828" s="8" t="s">
        <v>297</v>
      </c>
      <c r="M1828" s="8" t="s">
        <v>2780</v>
      </c>
      <c r="N1828" s="8" t="s">
        <v>293</v>
      </c>
      <c r="O1828" s="8">
        <v>601.23</v>
      </c>
      <c r="P1828" s="8">
        <v>668.03</v>
      </c>
      <c r="Q1828" s="8" t="s">
        <v>2736</v>
      </c>
      <c r="R1828" s="8" t="s">
        <v>2054</v>
      </c>
    </row>
    <row r="1829" spans="1:20" x14ac:dyDescent="0.2">
      <c r="A1829" s="8" t="s">
        <v>3653</v>
      </c>
      <c r="B1829" s="8" t="str">
        <f t="shared" si="56"/>
        <v>1586244596</v>
      </c>
      <c r="C1829" s="8" t="str">
        <f t="shared" si="57"/>
        <v>1864</v>
      </c>
      <c r="D1829" s="8" t="s">
        <v>119</v>
      </c>
      <c r="F1829" s="8" t="s">
        <v>271</v>
      </c>
      <c r="G1829" s="8" t="s">
        <v>293</v>
      </c>
      <c r="H1829" s="8" t="s">
        <v>294</v>
      </c>
      <c r="I1829" s="8" t="s">
        <v>152</v>
      </c>
      <c r="J1829" s="8" t="s">
        <v>295</v>
      </c>
      <c r="K1829" s="8" t="s">
        <v>296</v>
      </c>
      <c r="L1829" s="8" t="s">
        <v>297</v>
      </c>
      <c r="M1829" s="8" t="s">
        <v>2780</v>
      </c>
      <c r="N1829" s="8" t="s">
        <v>293</v>
      </c>
      <c r="O1829" s="8">
        <v>601.23</v>
      </c>
      <c r="P1829" s="8">
        <v>668.03</v>
      </c>
      <c r="Q1829" s="8" t="s">
        <v>2736</v>
      </c>
      <c r="R1829" s="8" t="s">
        <v>1236</v>
      </c>
    </row>
    <row r="1830" spans="1:20" x14ac:dyDescent="0.2">
      <c r="A1830" s="8" t="s">
        <v>4352</v>
      </c>
      <c r="B1830" s="8" t="str">
        <f t="shared" si="56"/>
        <v>1586244596</v>
      </c>
      <c r="C1830" s="8" t="str">
        <f t="shared" si="57"/>
        <v>1865</v>
      </c>
      <c r="D1830" s="8" t="s">
        <v>119</v>
      </c>
      <c r="F1830" s="8" t="s">
        <v>271</v>
      </c>
      <c r="G1830" s="8" t="s">
        <v>293</v>
      </c>
      <c r="H1830" s="8" t="s">
        <v>294</v>
      </c>
      <c r="I1830" s="8" t="s">
        <v>152</v>
      </c>
      <c r="J1830" s="8" t="s">
        <v>295</v>
      </c>
      <c r="K1830" s="8" t="s">
        <v>296</v>
      </c>
      <c r="L1830" s="8" t="s">
        <v>297</v>
      </c>
      <c r="M1830" s="8" t="s">
        <v>2780</v>
      </c>
      <c r="N1830" s="8" t="s">
        <v>293</v>
      </c>
      <c r="O1830" s="8">
        <v>601.23</v>
      </c>
      <c r="P1830" s="8">
        <v>668.03</v>
      </c>
      <c r="Q1830" s="8" t="s">
        <v>2736</v>
      </c>
      <c r="R1830" s="8" t="s">
        <v>1336</v>
      </c>
    </row>
    <row r="1831" spans="1:20" x14ac:dyDescent="0.2">
      <c r="A1831" s="8" t="s">
        <v>4035</v>
      </c>
      <c r="B1831" s="8" t="str">
        <f t="shared" si="56"/>
        <v>1586244596</v>
      </c>
      <c r="C1831" s="8" t="str">
        <f t="shared" si="57"/>
        <v>1866</v>
      </c>
      <c r="D1831" s="8" t="s">
        <v>119</v>
      </c>
      <c r="F1831" s="8" t="s">
        <v>271</v>
      </c>
      <c r="G1831" s="8" t="s">
        <v>293</v>
      </c>
      <c r="H1831" s="8" t="s">
        <v>294</v>
      </c>
      <c r="I1831" s="8" t="s">
        <v>152</v>
      </c>
      <c r="J1831" s="8" t="s">
        <v>295</v>
      </c>
      <c r="K1831" s="8" t="s">
        <v>296</v>
      </c>
      <c r="L1831" s="8" t="s">
        <v>297</v>
      </c>
      <c r="M1831" s="8" t="s">
        <v>2780</v>
      </c>
      <c r="N1831" s="8" t="s">
        <v>293</v>
      </c>
      <c r="O1831" s="8">
        <v>601.23</v>
      </c>
      <c r="P1831" s="8">
        <v>668.03</v>
      </c>
      <c r="Q1831" s="8" t="s">
        <v>2736</v>
      </c>
      <c r="R1831" s="8" t="s">
        <v>2321</v>
      </c>
    </row>
    <row r="1832" spans="1:20" x14ac:dyDescent="0.2">
      <c r="A1832" s="8" t="s">
        <v>4245</v>
      </c>
      <c r="B1832" s="8" t="str">
        <f t="shared" si="56"/>
        <v>1586244596</v>
      </c>
      <c r="C1832" s="8" t="str">
        <f t="shared" si="57"/>
        <v>1867</v>
      </c>
      <c r="D1832" s="8" t="s">
        <v>119</v>
      </c>
      <c r="F1832" s="8" t="s">
        <v>271</v>
      </c>
      <c r="G1832" s="8" t="s">
        <v>293</v>
      </c>
      <c r="H1832" s="8" t="s">
        <v>294</v>
      </c>
      <c r="I1832" s="8" t="s">
        <v>152</v>
      </c>
      <c r="J1832" s="8" t="s">
        <v>295</v>
      </c>
      <c r="K1832" s="8" t="s">
        <v>296</v>
      </c>
      <c r="L1832" s="8" t="s">
        <v>297</v>
      </c>
      <c r="M1832" s="8" t="s">
        <v>2780</v>
      </c>
      <c r="N1832" s="8" t="s">
        <v>293</v>
      </c>
      <c r="O1832" s="8">
        <v>601.23</v>
      </c>
      <c r="P1832" s="8">
        <v>668.03</v>
      </c>
      <c r="Q1832" s="8" t="s">
        <v>2736</v>
      </c>
      <c r="R1832" s="8" t="s">
        <v>730</v>
      </c>
    </row>
    <row r="1833" spans="1:20" x14ac:dyDescent="0.2">
      <c r="A1833" s="8" t="s">
        <v>4789</v>
      </c>
      <c r="B1833" s="8" t="str">
        <f t="shared" si="56"/>
        <v>1586244596</v>
      </c>
      <c r="C1833" s="8" t="str">
        <f t="shared" si="57"/>
        <v>1868</v>
      </c>
      <c r="D1833" s="8" t="s">
        <v>119</v>
      </c>
      <c r="F1833" s="8" t="s">
        <v>271</v>
      </c>
      <c r="G1833" s="8" t="s">
        <v>293</v>
      </c>
      <c r="H1833" s="8" t="s">
        <v>294</v>
      </c>
      <c r="I1833" s="8" t="s">
        <v>152</v>
      </c>
      <c r="J1833" s="8" t="s">
        <v>295</v>
      </c>
      <c r="K1833" s="8" t="s">
        <v>296</v>
      </c>
      <c r="L1833" s="8" t="s">
        <v>297</v>
      </c>
      <c r="M1833" s="8" t="s">
        <v>2780</v>
      </c>
      <c r="N1833" s="8" t="s">
        <v>293</v>
      </c>
      <c r="O1833" s="8">
        <v>601.23</v>
      </c>
      <c r="P1833" s="8">
        <v>668.03</v>
      </c>
      <c r="Q1833" s="8" t="s">
        <v>2736</v>
      </c>
      <c r="S1833" s="8" t="s">
        <v>184</v>
      </c>
      <c r="T1833" s="8">
        <v>77.459999999999994</v>
      </c>
    </row>
    <row r="1834" spans="1:20" x14ac:dyDescent="0.2">
      <c r="A1834" s="8" t="s">
        <v>4383</v>
      </c>
      <c r="B1834" s="8" t="str">
        <f t="shared" si="56"/>
        <v>1586244596</v>
      </c>
      <c r="C1834" s="8" t="str">
        <f t="shared" si="57"/>
        <v>1869</v>
      </c>
      <c r="D1834" s="8" t="s">
        <v>119</v>
      </c>
      <c r="F1834" s="8" t="s">
        <v>271</v>
      </c>
      <c r="G1834" s="8" t="s">
        <v>293</v>
      </c>
      <c r="H1834" s="8" t="s">
        <v>294</v>
      </c>
      <c r="I1834" s="8" t="s">
        <v>152</v>
      </c>
      <c r="J1834" s="8" t="s">
        <v>295</v>
      </c>
      <c r="K1834" s="8" t="s">
        <v>296</v>
      </c>
      <c r="L1834" s="8" t="s">
        <v>297</v>
      </c>
      <c r="M1834" s="8" t="s">
        <v>2780</v>
      </c>
      <c r="N1834" s="8" t="s">
        <v>293</v>
      </c>
      <c r="O1834" s="8">
        <v>601.23</v>
      </c>
      <c r="P1834" s="8">
        <v>668.03</v>
      </c>
      <c r="Q1834" s="8" t="s">
        <v>2736</v>
      </c>
      <c r="S1834" s="8" t="s">
        <v>298</v>
      </c>
      <c r="T1834" s="8">
        <v>138.69</v>
      </c>
    </row>
    <row r="1835" spans="1:20" x14ac:dyDescent="0.2">
      <c r="A1835" s="8" t="s">
        <v>3593</v>
      </c>
      <c r="B1835" s="8" t="str">
        <f t="shared" si="56"/>
        <v>1586244596</v>
      </c>
      <c r="C1835" s="8" t="str">
        <f t="shared" si="57"/>
        <v>1870</v>
      </c>
      <c r="D1835" s="8" t="s">
        <v>119</v>
      </c>
      <c r="F1835" s="8" t="s">
        <v>271</v>
      </c>
      <c r="G1835" s="8" t="s">
        <v>293</v>
      </c>
      <c r="H1835" s="8" t="s">
        <v>294</v>
      </c>
      <c r="I1835" s="8" t="s">
        <v>152</v>
      </c>
      <c r="J1835" s="8" t="s">
        <v>295</v>
      </c>
      <c r="K1835" s="8" t="s">
        <v>296</v>
      </c>
      <c r="L1835" s="8" t="s">
        <v>297</v>
      </c>
      <c r="M1835" s="8" t="s">
        <v>2780</v>
      </c>
      <c r="N1835" s="8" t="s">
        <v>293</v>
      </c>
      <c r="O1835" s="8">
        <v>601.23</v>
      </c>
      <c r="P1835" s="8">
        <v>668.03</v>
      </c>
      <c r="Q1835" s="8" t="s">
        <v>2736</v>
      </c>
      <c r="S1835" s="8" t="s">
        <v>1553</v>
      </c>
      <c r="T1835" s="8">
        <v>46.48</v>
      </c>
    </row>
    <row r="1836" spans="1:20" x14ac:dyDescent="0.2">
      <c r="A1836" s="8" t="s">
        <v>3550</v>
      </c>
      <c r="B1836" s="8" t="str">
        <f t="shared" si="56"/>
        <v>1586244600</v>
      </c>
      <c r="C1836" s="8" t="str">
        <f t="shared" si="57"/>
        <v>1871</v>
      </c>
      <c r="D1836" s="8" t="s">
        <v>119</v>
      </c>
      <c r="F1836" s="8" t="s">
        <v>271</v>
      </c>
      <c r="G1836" s="8" t="s">
        <v>336</v>
      </c>
      <c r="H1836" s="8" t="s">
        <v>337</v>
      </c>
      <c r="I1836" s="8" t="s">
        <v>139</v>
      </c>
      <c r="J1836" s="8" t="s">
        <v>615</v>
      </c>
      <c r="K1836" s="8" t="s">
        <v>616</v>
      </c>
      <c r="L1836" s="8" t="s">
        <v>617</v>
      </c>
      <c r="M1836" s="8" t="s">
        <v>2780</v>
      </c>
      <c r="N1836" s="8" t="s">
        <v>336</v>
      </c>
      <c r="O1836" s="8">
        <v>601.97</v>
      </c>
      <c r="P1836" s="8">
        <v>668.85</v>
      </c>
      <c r="Q1836" s="8" t="s">
        <v>2737</v>
      </c>
      <c r="R1836" s="8" t="s">
        <v>1084</v>
      </c>
    </row>
    <row r="1837" spans="1:20" x14ac:dyDescent="0.2">
      <c r="A1837" s="8" t="s">
        <v>4182</v>
      </c>
      <c r="B1837" s="8" t="str">
        <f t="shared" si="56"/>
        <v>1586244600</v>
      </c>
      <c r="C1837" s="8" t="str">
        <f t="shared" si="57"/>
        <v>1872</v>
      </c>
      <c r="D1837" s="8" t="s">
        <v>119</v>
      </c>
      <c r="F1837" s="8" t="s">
        <v>271</v>
      </c>
      <c r="G1837" s="8" t="s">
        <v>336</v>
      </c>
      <c r="H1837" s="8" t="s">
        <v>337</v>
      </c>
      <c r="I1837" s="8" t="s">
        <v>139</v>
      </c>
      <c r="J1837" s="8" t="s">
        <v>615</v>
      </c>
      <c r="K1837" s="8" t="s">
        <v>616</v>
      </c>
      <c r="L1837" s="8" t="s">
        <v>617</v>
      </c>
      <c r="M1837" s="8" t="s">
        <v>2780</v>
      </c>
      <c r="N1837" s="8" t="s">
        <v>336</v>
      </c>
      <c r="O1837" s="8">
        <v>601.97</v>
      </c>
      <c r="P1837" s="8">
        <v>668.85</v>
      </c>
      <c r="Q1837" s="8" t="s">
        <v>2737</v>
      </c>
      <c r="R1837" s="8" t="s">
        <v>2409</v>
      </c>
    </row>
    <row r="1838" spans="1:20" x14ac:dyDescent="0.2">
      <c r="A1838" s="8" t="s">
        <v>4634</v>
      </c>
      <c r="B1838" s="8" t="str">
        <f t="shared" si="56"/>
        <v>1586244600</v>
      </c>
      <c r="C1838" s="8" t="str">
        <f t="shared" si="57"/>
        <v>1873</v>
      </c>
      <c r="D1838" s="8" t="s">
        <v>119</v>
      </c>
      <c r="F1838" s="8" t="s">
        <v>271</v>
      </c>
      <c r="G1838" s="8" t="s">
        <v>336</v>
      </c>
      <c r="H1838" s="8" t="s">
        <v>337</v>
      </c>
      <c r="I1838" s="8" t="s">
        <v>139</v>
      </c>
      <c r="J1838" s="8" t="s">
        <v>615</v>
      </c>
      <c r="K1838" s="8" t="s">
        <v>616</v>
      </c>
      <c r="L1838" s="8" t="s">
        <v>617</v>
      </c>
      <c r="M1838" s="8" t="s">
        <v>2780</v>
      </c>
      <c r="N1838" s="8" t="s">
        <v>336</v>
      </c>
      <c r="O1838" s="8">
        <v>601.97</v>
      </c>
      <c r="P1838" s="8">
        <v>668.85</v>
      </c>
      <c r="Q1838" s="8" t="s">
        <v>2737</v>
      </c>
      <c r="R1838" s="8" t="s">
        <v>2280</v>
      </c>
    </row>
    <row r="1839" spans="1:20" x14ac:dyDescent="0.2">
      <c r="A1839" s="8" t="s">
        <v>3601</v>
      </c>
      <c r="B1839" s="8" t="str">
        <f t="shared" si="56"/>
        <v>1586244600</v>
      </c>
      <c r="C1839" s="8" t="str">
        <f t="shared" si="57"/>
        <v>1874</v>
      </c>
      <c r="D1839" s="8" t="s">
        <v>119</v>
      </c>
      <c r="F1839" s="8" t="s">
        <v>271</v>
      </c>
      <c r="G1839" s="8" t="s">
        <v>336</v>
      </c>
      <c r="H1839" s="8" t="s">
        <v>337</v>
      </c>
      <c r="I1839" s="8" t="s">
        <v>139</v>
      </c>
      <c r="J1839" s="8" t="s">
        <v>615</v>
      </c>
      <c r="K1839" s="8" t="s">
        <v>616</v>
      </c>
      <c r="L1839" s="8" t="s">
        <v>617</v>
      </c>
      <c r="M1839" s="8" t="s">
        <v>2780</v>
      </c>
      <c r="N1839" s="8" t="s">
        <v>336</v>
      </c>
      <c r="O1839" s="8">
        <v>601.97</v>
      </c>
      <c r="P1839" s="8">
        <v>668.85</v>
      </c>
      <c r="Q1839" s="8" t="s">
        <v>2737</v>
      </c>
      <c r="R1839" s="8" t="s">
        <v>618</v>
      </c>
    </row>
    <row r="1840" spans="1:20" x14ac:dyDescent="0.2">
      <c r="A1840" s="8" t="s">
        <v>4769</v>
      </c>
      <c r="B1840" s="8" t="str">
        <f t="shared" si="56"/>
        <v>1586244600</v>
      </c>
      <c r="C1840" s="8" t="str">
        <f t="shared" si="57"/>
        <v>1875</v>
      </c>
      <c r="D1840" s="8" t="s">
        <v>119</v>
      </c>
      <c r="F1840" s="8" t="s">
        <v>271</v>
      </c>
      <c r="G1840" s="8" t="s">
        <v>336</v>
      </c>
      <c r="H1840" s="8" t="s">
        <v>337</v>
      </c>
      <c r="I1840" s="8" t="s">
        <v>139</v>
      </c>
      <c r="J1840" s="8" t="s">
        <v>615</v>
      </c>
      <c r="K1840" s="8" t="s">
        <v>616</v>
      </c>
      <c r="L1840" s="8" t="s">
        <v>617</v>
      </c>
      <c r="M1840" s="8" t="s">
        <v>2780</v>
      </c>
      <c r="N1840" s="8" t="s">
        <v>336</v>
      </c>
      <c r="O1840" s="8">
        <v>601.97</v>
      </c>
      <c r="P1840" s="8">
        <v>668.85</v>
      </c>
      <c r="Q1840" s="8" t="s">
        <v>2737</v>
      </c>
      <c r="S1840" s="8" t="s">
        <v>232</v>
      </c>
      <c r="T1840" s="8">
        <v>185.9</v>
      </c>
    </row>
    <row r="1841" spans="1:20" x14ac:dyDescent="0.2">
      <c r="A1841" s="8" t="s">
        <v>3406</v>
      </c>
      <c r="B1841" s="8" t="str">
        <f t="shared" si="56"/>
        <v>1586244600</v>
      </c>
      <c r="C1841" s="8" t="str">
        <f t="shared" si="57"/>
        <v>1876</v>
      </c>
      <c r="D1841" s="8" t="s">
        <v>119</v>
      </c>
      <c r="F1841" s="8" t="s">
        <v>271</v>
      </c>
      <c r="G1841" s="8" t="s">
        <v>336</v>
      </c>
      <c r="H1841" s="8" t="s">
        <v>337</v>
      </c>
      <c r="I1841" s="8" t="s">
        <v>139</v>
      </c>
      <c r="J1841" s="8" t="s">
        <v>615</v>
      </c>
      <c r="K1841" s="8" t="s">
        <v>616</v>
      </c>
      <c r="L1841" s="8" t="s">
        <v>617</v>
      </c>
      <c r="M1841" s="8" t="s">
        <v>2780</v>
      </c>
      <c r="N1841" s="8" t="s">
        <v>336</v>
      </c>
      <c r="O1841" s="8">
        <v>601.97</v>
      </c>
      <c r="P1841" s="8">
        <v>668.85</v>
      </c>
      <c r="Q1841" s="8" t="s">
        <v>2737</v>
      </c>
      <c r="S1841" s="8" t="s">
        <v>393</v>
      </c>
      <c r="T1841" s="8">
        <v>123.2</v>
      </c>
    </row>
    <row r="1842" spans="1:20" x14ac:dyDescent="0.2">
      <c r="A1842" s="8" t="s">
        <v>2902</v>
      </c>
      <c r="B1842" s="8" t="str">
        <f t="shared" si="56"/>
        <v>1586244602</v>
      </c>
      <c r="C1842" s="8" t="str">
        <f t="shared" si="57"/>
        <v>1877</v>
      </c>
      <c r="D1842" s="8" t="s">
        <v>119</v>
      </c>
      <c r="F1842" s="8" t="s">
        <v>271</v>
      </c>
      <c r="G1842" s="8" t="s">
        <v>336</v>
      </c>
      <c r="H1842" s="8" t="s">
        <v>337</v>
      </c>
      <c r="I1842" s="8" t="s">
        <v>332</v>
      </c>
      <c r="J1842" s="8" t="s">
        <v>1229</v>
      </c>
      <c r="K1842" s="8" t="s">
        <v>93</v>
      </c>
      <c r="L1842" s="8" t="s">
        <v>1230</v>
      </c>
      <c r="M1842" s="8" t="s">
        <v>2780</v>
      </c>
      <c r="N1842" s="8" t="s">
        <v>336</v>
      </c>
      <c r="O1842" s="8">
        <v>422.7</v>
      </c>
      <c r="P1842" s="8">
        <v>469.67</v>
      </c>
      <c r="Q1842" s="8" t="s">
        <v>2738</v>
      </c>
      <c r="R1842" s="8" t="s">
        <v>1924</v>
      </c>
    </row>
    <row r="1843" spans="1:20" x14ac:dyDescent="0.2">
      <c r="A1843" s="8" t="s">
        <v>3991</v>
      </c>
      <c r="B1843" s="8" t="str">
        <f t="shared" si="56"/>
        <v>1586244602</v>
      </c>
      <c r="C1843" s="8" t="str">
        <f t="shared" si="57"/>
        <v>1878</v>
      </c>
      <c r="D1843" s="8" t="s">
        <v>119</v>
      </c>
      <c r="F1843" s="8" t="s">
        <v>271</v>
      </c>
      <c r="G1843" s="8" t="s">
        <v>336</v>
      </c>
      <c r="H1843" s="8" t="s">
        <v>337</v>
      </c>
      <c r="I1843" s="8" t="s">
        <v>332</v>
      </c>
      <c r="J1843" s="8" t="s">
        <v>1229</v>
      </c>
      <c r="K1843" s="8" t="s">
        <v>93</v>
      </c>
      <c r="L1843" s="8" t="s">
        <v>1230</v>
      </c>
      <c r="M1843" s="8" t="s">
        <v>2780</v>
      </c>
      <c r="N1843" s="8" t="s">
        <v>336</v>
      </c>
      <c r="O1843" s="8">
        <v>422.7</v>
      </c>
      <c r="P1843" s="8">
        <v>469.67</v>
      </c>
      <c r="Q1843" s="8" t="s">
        <v>2738</v>
      </c>
      <c r="S1843" s="8" t="s">
        <v>232</v>
      </c>
      <c r="T1843" s="8">
        <v>185.9</v>
      </c>
    </row>
    <row r="1844" spans="1:20" x14ac:dyDescent="0.2">
      <c r="A1844" s="8" t="s">
        <v>3793</v>
      </c>
      <c r="B1844" s="8" t="str">
        <f t="shared" si="56"/>
        <v>1586244602</v>
      </c>
      <c r="C1844" s="8" t="str">
        <f t="shared" si="57"/>
        <v>1879</v>
      </c>
      <c r="D1844" s="8" t="s">
        <v>119</v>
      </c>
      <c r="F1844" s="8" t="s">
        <v>271</v>
      </c>
      <c r="G1844" s="8" t="s">
        <v>336</v>
      </c>
      <c r="H1844" s="8" t="s">
        <v>337</v>
      </c>
      <c r="I1844" s="8" t="s">
        <v>332</v>
      </c>
      <c r="J1844" s="8" t="s">
        <v>1229</v>
      </c>
      <c r="K1844" s="8" t="s">
        <v>93</v>
      </c>
      <c r="L1844" s="8" t="s">
        <v>1230</v>
      </c>
      <c r="M1844" s="8" t="s">
        <v>2780</v>
      </c>
      <c r="N1844" s="8" t="s">
        <v>336</v>
      </c>
      <c r="O1844" s="8">
        <v>422.7</v>
      </c>
      <c r="P1844" s="8">
        <v>469.67</v>
      </c>
      <c r="Q1844" s="8" t="s">
        <v>2738</v>
      </c>
      <c r="S1844" s="8" t="s">
        <v>393</v>
      </c>
      <c r="T1844" s="8">
        <v>123.2</v>
      </c>
    </row>
    <row r="1845" spans="1:20" x14ac:dyDescent="0.2">
      <c r="A1845" s="8" t="s">
        <v>4718</v>
      </c>
      <c r="B1845" s="8" t="str">
        <f t="shared" si="56"/>
        <v>1586244604</v>
      </c>
      <c r="C1845" s="8" t="str">
        <f t="shared" si="57"/>
        <v>1880</v>
      </c>
      <c r="D1845" s="8" t="s">
        <v>119</v>
      </c>
      <c r="F1845" s="8" t="s">
        <v>271</v>
      </c>
      <c r="G1845" s="8" t="s">
        <v>336</v>
      </c>
      <c r="H1845" s="8" t="s">
        <v>337</v>
      </c>
      <c r="I1845" s="8" t="s">
        <v>356</v>
      </c>
      <c r="J1845" s="8" t="s">
        <v>357</v>
      </c>
      <c r="K1845" s="8" t="s">
        <v>60</v>
      </c>
      <c r="L1845" s="8" t="s">
        <v>358</v>
      </c>
      <c r="M1845" s="8" t="s">
        <v>2780</v>
      </c>
      <c r="N1845" s="8" t="s">
        <v>336</v>
      </c>
      <c r="O1845" s="8">
        <v>743.61</v>
      </c>
      <c r="P1845" s="8">
        <v>826.23</v>
      </c>
      <c r="Q1845" s="8" t="s">
        <v>2739</v>
      </c>
      <c r="R1845" s="8" t="s">
        <v>359</v>
      </c>
    </row>
    <row r="1846" spans="1:20" x14ac:dyDescent="0.2">
      <c r="A1846" s="8" t="s">
        <v>3152</v>
      </c>
      <c r="B1846" s="8" t="str">
        <f t="shared" si="56"/>
        <v>1586244604</v>
      </c>
      <c r="C1846" s="8" t="str">
        <f t="shared" si="57"/>
        <v>1881</v>
      </c>
      <c r="D1846" s="8" t="s">
        <v>119</v>
      </c>
      <c r="F1846" s="8" t="s">
        <v>271</v>
      </c>
      <c r="G1846" s="8" t="s">
        <v>336</v>
      </c>
      <c r="H1846" s="8" t="s">
        <v>337</v>
      </c>
      <c r="I1846" s="8" t="s">
        <v>356</v>
      </c>
      <c r="J1846" s="8" t="s">
        <v>357</v>
      </c>
      <c r="K1846" s="8" t="s">
        <v>60</v>
      </c>
      <c r="L1846" s="8" t="s">
        <v>358</v>
      </c>
      <c r="M1846" s="8" t="s">
        <v>2780</v>
      </c>
      <c r="N1846" s="8" t="s">
        <v>336</v>
      </c>
      <c r="O1846" s="8">
        <v>743.61</v>
      </c>
      <c r="P1846" s="8">
        <v>826.23</v>
      </c>
      <c r="Q1846" s="8" t="s">
        <v>2739</v>
      </c>
      <c r="R1846" s="8" t="s">
        <v>2349</v>
      </c>
    </row>
    <row r="1847" spans="1:20" x14ac:dyDescent="0.2">
      <c r="A1847" s="8" t="s">
        <v>3766</v>
      </c>
      <c r="B1847" s="8" t="str">
        <f t="shared" si="56"/>
        <v>1586244604</v>
      </c>
      <c r="C1847" s="8" t="str">
        <f t="shared" si="57"/>
        <v>1882</v>
      </c>
      <c r="D1847" s="8" t="s">
        <v>119</v>
      </c>
      <c r="F1847" s="8" t="s">
        <v>271</v>
      </c>
      <c r="G1847" s="8" t="s">
        <v>336</v>
      </c>
      <c r="H1847" s="8" t="s">
        <v>337</v>
      </c>
      <c r="I1847" s="8" t="s">
        <v>356</v>
      </c>
      <c r="J1847" s="8" t="s">
        <v>357</v>
      </c>
      <c r="K1847" s="8" t="s">
        <v>60</v>
      </c>
      <c r="L1847" s="8" t="s">
        <v>358</v>
      </c>
      <c r="M1847" s="8" t="s">
        <v>2780</v>
      </c>
      <c r="N1847" s="8" t="s">
        <v>336</v>
      </c>
      <c r="O1847" s="8">
        <v>743.61</v>
      </c>
      <c r="P1847" s="8">
        <v>826.23</v>
      </c>
      <c r="Q1847" s="8" t="s">
        <v>2739</v>
      </c>
      <c r="R1847" s="8" t="s">
        <v>1891</v>
      </c>
    </row>
    <row r="1848" spans="1:20" x14ac:dyDescent="0.2">
      <c r="A1848" s="8" t="s">
        <v>4221</v>
      </c>
      <c r="B1848" s="8" t="str">
        <f t="shared" si="56"/>
        <v>1586244604</v>
      </c>
      <c r="C1848" s="8" t="str">
        <f t="shared" si="57"/>
        <v>1883</v>
      </c>
      <c r="D1848" s="8" t="s">
        <v>119</v>
      </c>
      <c r="F1848" s="8" t="s">
        <v>271</v>
      </c>
      <c r="G1848" s="8" t="s">
        <v>336</v>
      </c>
      <c r="H1848" s="8" t="s">
        <v>337</v>
      </c>
      <c r="I1848" s="8" t="s">
        <v>356</v>
      </c>
      <c r="J1848" s="8" t="s">
        <v>357</v>
      </c>
      <c r="K1848" s="8" t="s">
        <v>60</v>
      </c>
      <c r="L1848" s="8" t="s">
        <v>358</v>
      </c>
      <c r="M1848" s="8" t="s">
        <v>2780</v>
      </c>
      <c r="N1848" s="8" t="s">
        <v>336</v>
      </c>
      <c r="O1848" s="8">
        <v>743.61</v>
      </c>
      <c r="P1848" s="8">
        <v>826.23</v>
      </c>
      <c r="Q1848" s="8" t="s">
        <v>2739</v>
      </c>
      <c r="R1848" s="8" t="s">
        <v>2253</v>
      </c>
    </row>
    <row r="1849" spans="1:20" x14ac:dyDescent="0.2">
      <c r="A1849" s="8" t="s">
        <v>3060</v>
      </c>
      <c r="B1849" s="8" t="str">
        <f t="shared" si="56"/>
        <v>1586244604</v>
      </c>
      <c r="C1849" s="8" t="str">
        <f t="shared" si="57"/>
        <v>1884</v>
      </c>
      <c r="D1849" s="8" t="s">
        <v>119</v>
      </c>
      <c r="F1849" s="8" t="s">
        <v>271</v>
      </c>
      <c r="G1849" s="8" t="s">
        <v>336</v>
      </c>
      <c r="H1849" s="8" t="s">
        <v>337</v>
      </c>
      <c r="I1849" s="8" t="s">
        <v>356</v>
      </c>
      <c r="J1849" s="8" t="s">
        <v>357</v>
      </c>
      <c r="K1849" s="8" t="s">
        <v>60</v>
      </c>
      <c r="L1849" s="8" t="s">
        <v>358</v>
      </c>
      <c r="M1849" s="8" t="s">
        <v>2780</v>
      </c>
      <c r="N1849" s="8" t="s">
        <v>336</v>
      </c>
      <c r="O1849" s="8">
        <v>743.61</v>
      </c>
      <c r="P1849" s="8">
        <v>826.23</v>
      </c>
      <c r="Q1849" s="8" t="s">
        <v>2739</v>
      </c>
      <c r="S1849" s="8" t="s">
        <v>393</v>
      </c>
      <c r="T1849" s="8">
        <v>192.54</v>
      </c>
    </row>
    <row r="1850" spans="1:20" x14ac:dyDescent="0.2">
      <c r="A1850" s="8" t="s">
        <v>4466</v>
      </c>
      <c r="B1850" s="8" t="str">
        <f t="shared" si="56"/>
        <v>1586244604</v>
      </c>
      <c r="C1850" s="8" t="str">
        <f t="shared" si="57"/>
        <v>1885</v>
      </c>
      <c r="D1850" s="8" t="s">
        <v>119</v>
      </c>
      <c r="F1850" s="8" t="s">
        <v>271</v>
      </c>
      <c r="G1850" s="8" t="s">
        <v>336</v>
      </c>
      <c r="H1850" s="8" t="s">
        <v>337</v>
      </c>
      <c r="I1850" s="8" t="s">
        <v>356</v>
      </c>
      <c r="J1850" s="8" t="s">
        <v>357</v>
      </c>
      <c r="K1850" s="8" t="s">
        <v>60</v>
      </c>
      <c r="L1850" s="8" t="s">
        <v>358</v>
      </c>
      <c r="M1850" s="8" t="s">
        <v>2780</v>
      </c>
      <c r="N1850" s="8" t="s">
        <v>336</v>
      </c>
      <c r="O1850" s="8">
        <v>743.61</v>
      </c>
      <c r="P1850" s="8">
        <v>826.23</v>
      </c>
      <c r="Q1850" s="8" t="s">
        <v>2739</v>
      </c>
      <c r="S1850" s="8" t="s">
        <v>331</v>
      </c>
      <c r="T1850" s="8">
        <v>98.11</v>
      </c>
    </row>
    <row r="1851" spans="1:20" x14ac:dyDescent="0.2">
      <c r="A1851" s="8" t="s">
        <v>3538</v>
      </c>
      <c r="B1851" s="8" t="str">
        <f t="shared" si="56"/>
        <v>1586244606</v>
      </c>
      <c r="C1851" s="8" t="str">
        <f t="shared" si="57"/>
        <v>1886</v>
      </c>
      <c r="D1851" s="8" t="s">
        <v>119</v>
      </c>
      <c r="F1851" s="8" t="s">
        <v>271</v>
      </c>
      <c r="G1851" s="8" t="s">
        <v>336</v>
      </c>
      <c r="H1851" s="8" t="s">
        <v>337</v>
      </c>
      <c r="I1851" s="8" t="s">
        <v>139</v>
      </c>
      <c r="J1851" s="8" t="s">
        <v>467</v>
      </c>
      <c r="K1851" s="8" t="s">
        <v>468</v>
      </c>
      <c r="L1851" s="8" t="s">
        <v>469</v>
      </c>
      <c r="M1851" s="8" t="s">
        <v>2780</v>
      </c>
      <c r="N1851" s="8" t="s">
        <v>336</v>
      </c>
      <c r="O1851" s="8">
        <v>649.17999999999995</v>
      </c>
      <c r="P1851" s="8">
        <v>721.31</v>
      </c>
      <c r="Q1851" s="8" t="s">
        <v>2740</v>
      </c>
      <c r="R1851" s="8" t="s">
        <v>1659</v>
      </c>
    </row>
    <row r="1852" spans="1:20" x14ac:dyDescent="0.2">
      <c r="A1852" s="8" t="s">
        <v>4287</v>
      </c>
      <c r="B1852" s="8" t="str">
        <f t="shared" si="56"/>
        <v>1586244606</v>
      </c>
      <c r="C1852" s="8" t="str">
        <f t="shared" si="57"/>
        <v>1887</v>
      </c>
      <c r="D1852" s="8" t="s">
        <v>119</v>
      </c>
      <c r="F1852" s="8" t="s">
        <v>271</v>
      </c>
      <c r="G1852" s="8" t="s">
        <v>336</v>
      </c>
      <c r="H1852" s="8" t="s">
        <v>337</v>
      </c>
      <c r="I1852" s="8" t="s">
        <v>139</v>
      </c>
      <c r="J1852" s="8" t="s">
        <v>467</v>
      </c>
      <c r="K1852" s="8" t="s">
        <v>468</v>
      </c>
      <c r="L1852" s="8" t="s">
        <v>469</v>
      </c>
      <c r="M1852" s="8" t="s">
        <v>2780</v>
      </c>
      <c r="N1852" s="8" t="s">
        <v>336</v>
      </c>
      <c r="O1852" s="8">
        <v>649.17999999999995</v>
      </c>
      <c r="P1852" s="8">
        <v>721.31</v>
      </c>
      <c r="Q1852" s="8" t="s">
        <v>2740</v>
      </c>
      <c r="R1852" s="8" t="s">
        <v>2305</v>
      </c>
    </row>
    <row r="1853" spans="1:20" x14ac:dyDescent="0.2">
      <c r="A1853" s="8" t="s">
        <v>3539</v>
      </c>
      <c r="B1853" s="8" t="str">
        <f t="shared" si="56"/>
        <v>1586244606</v>
      </c>
      <c r="C1853" s="8" t="str">
        <f t="shared" si="57"/>
        <v>1888</v>
      </c>
      <c r="D1853" s="8" t="s">
        <v>119</v>
      </c>
      <c r="F1853" s="8" t="s">
        <v>271</v>
      </c>
      <c r="G1853" s="8" t="s">
        <v>336</v>
      </c>
      <c r="H1853" s="8" t="s">
        <v>337</v>
      </c>
      <c r="I1853" s="8" t="s">
        <v>139</v>
      </c>
      <c r="J1853" s="8" t="s">
        <v>467</v>
      </c>
      <c r="K1853" s="8" t="s">
        <v>468</v>
      </c>
      <c r="L1853" s="8" t="s">
        <v>469</v>
      </c>
      <c r="M1853" s="8" t="s">
        <v>2780</v>
      </c>
      <c r="N1853" s="8" t="s">
        <v>336</v>
      </c>
      <c r="O1853" s="8">
        <v>649.17999999999995</v>
      </c>
      <c r="P1853" s="8">
        <v>721.31</v>
      </c>
      <c r="Q1853" s="8" t="s">
        <v>2740</v>
      </c>
      <c r="R1853" s="8" t="s">
        <v>1686</v>
      </c>
    </row>
    <row r="1854" spans="1:20" x14ac:dyDescent="0.2">
      <c r="A1854" s="8" t="s">
        <v>3787</v>
      </c>
      <c r="B1854" s="8" t="str">
        <f t="shared" si="56"/>
        <v>1586244606</v>
      </c>
      <c r="C1854" s="8" t="str">
        <f t="shared" si="57"/>
        <v>1889</v>
      </c>
      <c r="D1854" s="8" t="s">
        <v>119</v>
      </c>
      <c r="F1854" s="8" t="s">
        <v>271</v>
      </c>
      <c r="G1854" s="8" t="s">
        <v>336</v>
      </c>
      <c r="H1854" s="8" t="s">
        <v>337</v>
      </c>
      <c r="I1854" s="8" t="s">
        <v>139</v>
      </c>
      <c r="J1854" s="8" t="s">
        <v>467</v>
      </c>
      <c r="K1854" s="8" t="s">
        <v>468</v>
      </c>
      <c r="L1854" s="8" t="s">
        <v>469</v>
      </c>
      <c r="M1854" s="8" t="s">
        <v>2780</v>
      </c>
      <c r="N1854" s="8" t="s">
        <v>336</v>
      </c>
      <c r="O1854" s="8">
        <v>649.17999999999995</v>
      </c>
      <c r="P1854" s="8">
        <v>721.31</v>
      </c>
      <c r="Q1854" s="8" t="s">
        <v>2740</v>
      </c>
      <c r="R1854" s="8" t="s">
        <v>2435</v>
      </c>
    </row>
    <row r="1855" spans="1:20" x14ac:dyDescent="0.2">
      <c r="A1855" s="8" t="s">
        <v>4623</v>
      </c>
      <c r="B1855" s="8" t="str">
        <f t="shared" si="56"/>
        <v>1586244606</v>
      </c>
      <c r="C1855" s="8" t="str">
        <f t="shared" si="57"/>
        <v>1890</v>
      </c>
      <c r="D1855" s="8" t="s">
        <v>119</v>
      </c>
      <c r="F1855" s="8" t="s">
        <v>271</v>
      </c>
      <c r="G1855" s="8" t="s">
        <v>336</v>
      </c>
      <c r="H1855" s="8" t="s">
        <v>337</v>
      </c>
      <c r="I1855" s="8" t="s">
        <v>139</v>
      </c>
      <c r="J1855" s="8" t="s">
        <v>467</v>
      </c>
      <c r="K1855" s="8" t="s">
        <v>468</v>
      </c>
      <c r="L1855" s="8" t="s">
        <v>469</v>
      </c>
      <c r="M1855" s="8" t="s">
        <v>2780</v>
      </c>
      <c r="N1855" s="8" t="s">
        <v>336</v>
      </c>
      <c r="O1855" s="8">
        <v>649.17999999999995</v>
      </c>
      <c r="P1855" s="8">
        <v>721.31</v>
      </c>
      <c r="Q1855" s="8" t="s">
        <v>2740</v>
      </c>
      <c r="R1855" s="8" t="s">
        <v>2209</v>
      </c>
    </row>
    <row r="1856" spans="1:20" x14ac:dyDescent="0.2">
      <c r="A1856" s="8" t="s">
        <v>2818</v>
      </c>
      <c r="B1856" s="8" t="str">
        <f t="shared" si="56"/>
        <v>1586244606</v>
      </c>
      <c r="C1856" s="8" t="str">
        <f t="shared" si="57"/>
        <v>1891</v>
      </c>
      <c r="D1856" s="8" t="s">
        <v>119</v>
      </c>
      <c r="F1856" s="8" t="s">
        <v>271</v>
      </c>
      <c r="G1856" s="8" t="s">
        <v>336</v>
      </c>
      <c r="H1856" s="8" t="s">
        <v>337</v>
      </c>
      <c r="I1856" s="8" t="s">
        <v>139</v>
      </c>
      <c r="J1856" s="8" t="s">
        <v>467</v>
      </c>
      <c r="K1856" s="8" t="s">
        <v>468</v>
      </c>
      <c r="L1856" s="8" t="s">
        <v>469</v>
      </c>
      <c r="M1856" s="8" t="s">
        <v>2780</v>
      </c>
      <c r="N1856" s="8" t="s">
        <v>336</v>
      </c>
      <c r="O1856" s="8">
        <v>649.17999999999995</v>
      </c>
      <c r="P1856" s="8">
        <v>721.31</v>
      </c>
      <c r="Q1856" s="8" t="s">
        <v>2740</v>
      </c>
      <c r="R1856" s="8" t="s">
        <v>2182</v>
      </c>
    </row>
    <row r="1857" spans="1:20" x14ac:dyDescent="0.2">
      <c r="A1857" s="8" t="s">
        <v>4336</v>
      </c>
      <c r="B1857" s="8" t="str">
        <f t="shared" si="56"/>
        <v>1586244606</v>
      </c>
      <c r="C1857" s="8" t="str">
        <f t="shared" si="57"/>
        <v>1892</v>
      </c>
      <c r="D1857" s="8" t="s">
        <v>119</v>
      </c>
      <c r="F1857" s="8" t="s">
        <v>271</v>
      </c>
      <c r="G1857" s="8" t="s">
        <v>336</v>
      </c>
      <c r="H1857" s="8" t="s">
        <v>337</v>
      </c>
      <c r="I1857" s="8" t="s">
        <v>139</v>
      </c>
      <c r="J1857" s="8" t="s">
        <v>467</v>
      </c>
      <c r="K1857" s="8" t="s">
        <v>468</v>
      </c>
      <c r="L1857" s="8" t="s">
        <v>469</v>
      </c>
      <c r="M1857" s="8" t="s">
        <v>2780</v>
      </c>
      <c r="N1857" s="8" t="s">
        <v>336</v>
      </c>
      <c r="O1857" s="8">
        <v>649.17999999999995</v>
      </c>
      <c r="P1857" s="8">
        <v>721.31</v>
      </c>
      <c r="Q1857" s="8" t="s">
        <v>2740</v>
      </c>
      <c r="S1857" s="8" t="s">
        <v>393</v>
      </c>
      <c r="T1857" s="8">
        <v>132.05000000000001</v>
      </c>
    </row>
    <row r="1858" spans="1:20" x14ac:dyDescent="0.2">
      <c r="A1858" s="8" t="s">
        <v>4065</v>
      </c>
      <c r="B1858" s="8" t="str">
        <f t="shared" ref="B1858:B1921" si="58">LEFT(A1858, FIND("-", A1858) - 1)</f>
        <v>1586244606</v>
      </c>
      <c r="C1858" s="8" t="str">
        <f t="shared" ref="C1858:C1921" si="59">RIGHT(A1858, LEN(A1858) - FIND("-", A1858))</f>
        <v>1893</v>
      </c>
      <c r="D1858" s="8" t="s">
        <v>119</v>
      </c>
      <c r="F1858" s="8" t="s">
        <v>271</v>
      </c>
      <c r="G1858" s="8" t="s">
        <v>336</v>
      </c>
      <c r="H1858" s="8" t="s">
        <v>337</v>
      </c>
      <c r="I1858" s="8" t="s">
        <v>139</v>
      </c>
      <c r="J1858" s="8" t="s">
        <v>467</v>
      </c>
      <c r="K1858" s="8" t="s">
        <v>468</v>
      </c>
      <c r="L1858" s="8" t="s">
        <v>469</v>
      </c>
      <c r="M1858" s="8" t="s">
        <v>2780</v>
      </c>
      <c r="N1858" s="8" t="s">
        <v>336</v>
      </c>
      <c r="O1858" s="8">
        <v>649.17999999999995</v>
      </c>
      <c r="P1858" s="8">
        <v>721.31</v>
      </c>
      <c r="Q1858" s="8" t="s">
        <v>2740</v>
      </c>
      <c r="S1858" s="8" t="s">
        <v>470</v>
      </c>
      <c r="T1858" s="8">
        <v>77.459999999999994</v>
      </c>
    </row>
    <row r="1859" spans="1:20" x14ac:dyDescent="0.2">
      <c r="A1859" s="8" t="s">
        <v>3525</v>
      </c>
      <c r="B1859" s="8" t="str">
        <f t="shared" si="58"/>
        <v>1586244606</v>
      </c>
      <c r="C1859" s="8" t="str">
        <f t="shared" si="59"/>
        <v>1894</v>
      </c>
      <c r="D1859" s="8" t="s">
        <v>119</v>
      </c>
      <c r="F1859" s="8" t="s">
        <v>271</v>
      </c>
      <c r="G1859" s="8" t="s">
        <v>336</v>
      </c>
      <c r="H1859" s="8" t="s">
        <v>337</v>
      </c>
      <c r="I1859" s="8" t="s">
        <v>139</v>
      </c>
      <c r="J1859" s="8" t="s">
        <v>467</v>
      </c>
      <c r="K1859" s="8" t="s">
        <v>468</v>
      </c>
      <c r="L1859" s="8" t="s">
        <v>469</v>
      </c>
      <c r="M1859" s="8" t="s">
        <v>2780</v>
      </c>
      <c r="N1859" s="8" t="s">
        <v>336</v>
      </c>
      <c r="O1859" s="8">
        <v>649.17999999999995</v>
      </c>
      <c r="P1859" s="8">
        <v>721.31</v>
      </c>
      <c r="Q1859" s="8" t="s">
        <v>2740</v>
      </c>
      <c r="S1859" s="8" t="s">
        <v>331</v>
      </c>
      <c r="T1859" s="8">
        <v>46.48</v>
      </c>
    </row>
    <row r="1860" spans="1:20" x14ac:dyDescent="0.2">
      <c r="A1860" s="8" t="s">
        <v>3497</v>
      </c>
      <c r="B1860" s="8" t="str">
        <f t="shared" si="58"/>
        <v>1586244608</v>
      </c>
      <c r="C1860" s="8" t="str">
        <f t="shared" si="59"/>
        <v>1895</v>
      </c>
      <c r="D1860" s="8" t="s">
        <v>119</v>
      </c>
      <c r="F1860" s="8" t="s">
        <v>271</v>
      </c>
      <c r="G1860" s="8" t="s">
        <v>336</v>
      </c>
      <c r="H1860" s="8" t="s">
        <v>337</v>
      </c>
      <c r="I1860" s="8" t="s">
        <v>1062</v>
      </c>
      <c r="J1860" s="8" t="s">
        <v>1063</v>
      </c>
      <c r="K1860" s="8" t="s">
        <v>1064</v>
      </c>
      <c r="L1860" s="8" t="s">
        <v>1065</v>
      </c>
      <c r="M1860" s="8" t="s">
        <v>2780</v>
      </c>
      <c r="N1860" s="8" t="s">
        <v>336</v>
      </c>
      <c r="O1860" s="8">
        <v>837.3</v>
      </c>
      <c r="P1860" s="8">
        <v>930.33</v>
      </c>
      <c r="Q1860" s="8" t="s">
        <v>2741</v>
      </c>
      <c r="R1860" s="8" t="s">
        <v>1066</v>
      </c>
    </row>
    <row r="1861" spans="1:20" x14ac:dyDescent="0.2">
      <c r="A1861" s="8" t="s">
        <v>3364</v>
      </c>
      <c r="B1861" s="8" t="str">
        <f t="shared" si="58"/>
        <v>1586244608</v>
      </c>
      <c r="C1861" s="8" t="str">
        <f t="shared" si="59"/>
        <v>1896</v>
      </c>
      <c r="D1861" s="8" t="s">
        <v>119</v>
      </c>
      <c r="F1861" s="8" t="s">
        <v>271</v>
      </c>
      <c r="G1861" s="8" t="s">
        <v>336</v>
      </c>
      <c r="H1861" s="8" t="s">
        <v>337</v>
      </c>
      <c r="I1861" s="8" t="s">
        <v>1062</v>
      </c>
      <c r="J1861" s="8" t="s">
        <v>1063</v>
      </c>
      <c r="K1861" s="8" t="s">
        <v>1064</v>
      </c>
      <c r="L1861" s="8" t="s">
        <v>1065</v>
      </c>
      <c r="M1861" s="8" t="s">
        <v>2780</v>
      </c>
      <c r="N1861" s="8" t="s">
        <v>336</v>
      </c>
      <c r="O1861" s="8">
        <v>837.3</v>
      </c>
      <c r="P1861" s="8">
        <v>930.33</v>
      </c>
      <c r="Q1861" s="8" t="s">
        <v>2741</v>
      </c>
      <c r="R1861" s="8" t="s">
        <v>1880</v>
      </c>
    </row>
    <row r="1862" spans="1:20" x14ac:dyDescent="0.2">
      <c r="A1862" s="8" t="s">
        <v>3583</v>
      </c>
      <c r="B1862" s="8" t="str">
        <f t="shared" si="58"/>
        <v>1586244608</v>
      </c>
      <c r="C1862" s="8" t="str">
        <f t="shared" si="59"/>
        <v>1897</v>
      </c>
      <c r="D1862" s="8" t="s">
        <v>119</v>
      </c>
      <c r="F1862" s="8" t="s">
        <v>271</v>
      </c>
      <c r="G1862" s="8" t="s">
        <v>336</v>
      </c>
      <c r="H1862" s="8" t="s">
        <v>337</v>
      </c>
      <c r="I1862" s="8" t="s">
        <v>1062</v>
      </c>
      <c r="J1862" s="8" t="s">
        <v>1063</v>
      </c>
      <c r="K1862" s="8" t="s">
        <v>1064</v>
      </c>
      <c r="L1862" s="8" t="s">
        <v>1065</v>
      </c>
      <c r="M1862" s="8" t="s">
        <v>2780</v>
      </c>
      <c r="N1862" s="8" t="s">
        <v>336</v>
      </c>
      <c r="O1862" s="8">
        <v>837.3</v>
      </c>
      <c r="P1862" s="8">
        <v>930.33</v>
      </c>
      <c r="Q1862" s="8" t="s">
        <v>2741</v>
      </c>
      <c r="R1862" s="8" t="s">
        <v>1973</v>
      </c>
    </row>
    <row r="1863" spans="1:20" x14ac:dyDescent="0.2">
      <c r="A1863" s="8" t="s">
        <v>2875</v>
      </c>
      <c r="B1863" s="8" t="str">
        <f t="shared" si="58"/>
        <v>1586244608</v>
      </c>
      <c r="C1863" s="8" t="str">
        <f t="shared" si="59"/>
        <v>1898</v>
      </c>
      <c r="D1863" s="8" t="s">
        <v>119</v>
      </c>
      <c r="F1863" s="8" t="s">
        <v>271</v>
      </c>
      <c r="G1863" s="8" t="s">
        <v>336</v>
      </c>
      <c r="H1863" s="8" t="s">
        <v>337</v>
      </c>
      <c r="I1863" s="8" t="s">
        <v>1062</v>
      </c>
      <c r="J1863" s="8" t="s">
        <v>1063</v>
      </c>
      <c r="K1863" s="8" t="s">
        <v>1064</v>
      </c>
      <c r="L1863" s="8" t="s">
        <v>1065</v>
      </c>
      <c r="M1863" s="8" t="s">
        <v>2780</v>
      </c>
      <c r="N1863" s="8" t="s">
        <v>336</v>
      </c>
      <c r="O1863" s="8">
        <v>837.3</v>
      </c>
      <c r="P1863" s="8">
        <v>930.33</v>
      </c>
      <c r="Q1863" s="8" t="s">
        <v>2741</v>
      </c>
      <c r="S1863" s="8" t="s">
        <v>393</v>
      </c>
      <c r="T1863" s="8">
        <v>192.54</v>
      </c>
    </row>
    <row r="1864" spans="1:20" x14ac:dyDescent="0.2">
      <c r="A1864" s="8" t="s">
        <v>3258</v>
      </c>
      <c r="B1864" s="8" t="str">
        <f t="shared" si="58"/>
        <v>1586244608</v>
      </c>
      <c r="C1864" s="8" t="str">
        <f t="shared" si="59"/>
        <v>1899</v>
      </c>
      <c r="D1864" s="8" t="s">
        <v>119</v>
      </c>
      <c r="F1864" s="8" t="s">
        <v>271</v>
      </c>
      <c r="G1864" s="8" t="s">
        <v>336</v>
      </c>
      <c r="H1864" s="8" t="s">
        <v>337</v>
      </c>
      <c r="I1864" s="8" t="s">
        <v>1062</v>
      </c>
      <c r="J1864" s="8" t="s">
        <v>1063</v>
      </c>
      <c r="K1864" s="8" t="s">
        <v>1064</v>
      </c>
      <c r="L1864" s="8" t="s">
        <v>1065</v>
      </c>
      <c r="M1864" s="8" t="s">
        <v>2780</v>
      </c>
      <c r="N1864" s="8" t="s">
        <v>336</v>
      </c>
      <c r="O1864" s="8">
        <v>837.3</v>
      </c>
      <c r="P1864" s="8">
        <v>930.33</v>
      </c>
      <c r="Q1864" s="8" t="s">
        <v>2741</v>
      </c>
      <c r="S1864" s="8" t="s">
        <v>331</v>
      </c>
      <c r="T1864" s="8">
        <v>56.07</v>
      </c>
    </row>
    <row r="1865" spans="1:20" x14ac:dyDescent="0.2">
      <c r="A1865" s="8" t="s">
        <v>3624</v>
      </c>
      <c r="B1865" s="8" t="str">
        <f t="shared" si="58"/>
        <v>1586244610</v>
      </c>
      <c r="C1865" s="8" t="str">
        <f t="shared" si="59"/>
        <v>1900</v>
      </c>
      <c r="D1865" s="8" t="s">
        <v>119</v>
      </c>
      <c r="F1865" s="8" t="s">
        <v>271</v>
      </c>
      <c r="G1865" s="8" t="s">
        <v>336</v>
      </c>
      <c r="H1865" s="8" t="s">
        <v>337</v>
      </c>
      <c r="I1865" s="8" t="s">
        <v>338</v>
      </c>
      <c r="J1865" s="8" t="s">
        <v>1541</v>
      </c>
      <c r="K1865" s="8" t="s">
        <v>190</v>
      </c>
      <c r="L1865" s="8" t="s">
        <v>1542</v>
      </c>
      <c r="M1865" s="8" t="s">
        <v>2780</v>
      </c>
      <c r="N1865" s="8" t="s">
        <v>336</v>
      </c>
      <c r="O1865" s="8">
        <v>1063.77</v>
      </c>
      <c r="P1865" s="8">
        <v>1181.97</v>
      </c>
      <c r="Q1865" s="8" t="s">
        <v>2742</v>
      </c>
      <c r="R1865" s="8" t="s">
        <v>1906</v>
      </c>
    </row>
    <row r="1866" spans="1:20" x14ac:dyDescent="0.2">
      <c r="A1866" s="8" t="s">
        <v>4071</v>
      </c>
      <c r="B1866" s="8" t="str">
        <f t="shared" si="58"/>
        <v>1586244610</v>
      </c>
      <c r="C1866" s="8" t="str">
        <f t="shared" si="59"/>
        <v>1901</v>
      </c>
      <c r="D1866" s="8" t="s">
        <v>119</v>
      </c>
      <c r="F1866" s="8" t="s">
        <v>271</v>
      </c>
      <c r="G1866" s="8" t="s">
        <v>336</v>
      </c>
      <c r="H1866" s="8" t="s">
        <v>337</v>
      </c>
      <c r="I1866" s="8" t="s">
        <v>338</v>
      </c>
      <c r="J1866" s="8" t="s">
        <v>1541</v>
      </c>
      <c r="K1866" s="8" t="s">
        <v>190</v>
      </c>
      <c r="L1866" s="8" t="s">
        <v>1542</v>
      </c>
      <c r="M1866" s="8" t="s">
        <v>2780</v>
      </c>
      <c r="N1866" s="8" t="s">
        <v>336</v>
      </c>
      <c r="O1866" s="8">
        <v>1063.77</v>
      </c>
      <c r="P1866" s="8">
        <v>1181.97</v>
      </c>
      <c r="Q1866" s="8" t="s">
        <v>2742</v>
      </c>
      <c r="R1866" s="8" t="s">
        <v>1543</v>
      </c>
    </row>
    <row r="1867" spans="1:20" x14ac:dyDescent="0.2">
      <c r="A1867" s="8" t="s">
        <v>3564</v>
      </c>
      <c r="B1867" s="8" t="str">
        <f t="shared" si="58"/>
        <v>1586244610</v>
      </c>
      <c r="C1867" s="8" t="str">
        <f t="shared" si="59"/>
        <v>1902</v>
      </c>
      <c r="D1867" s="8" t="s">
        <v>119</v>
      </c>
      <c r="F1867" s="8" t="s">
        <v>271</v>
      </c>
      <c r="G1867" s="8" t="s">
        <v>336</v>
      </c>
      <c r="H1867" s="8" t="s">
        <v>337</v>
      </c>
      <c r="I1867" s="8" t="s">
        <v>338</v>
      </c>
      <c r="J1867" s="8" t="s">
        <v>1541</v>
      </c>
      <c r="K1867" s="8" t="s">
        <v>190</v>
      </c>
      <c r="L1867" s="8" t="s">
        <v>1542</v>
      </c>
      <c r="M1867" s="8" t="s">
        <v>2780</v>
      </c>
      <c r="N1867" s="8" t="s">
        <v>336</v>
      </c>
      <c r="O1867" s="8">
        <v>1063.77</v>
      </c>
      <c r="P1867" s="8">
        <v>1181.97</v>
      </c>
      <c r="Q1867" s="8" t="s">
        <v>2742</v>
      </c>
      <c r="R1867" s="8" t="s">
        <v>1785</v>
      </c>
    </row>
    <row r="1868" spans="1:20" x14ac:dyDescent="0.2">
      <c r="A1868" s="8" t="s">
        <v>3403</v>
      </c>
      <c r="B1868" s="8" t="str">
        <f t="shared" si="58"/>
        <v>1586244610</v>
      </c>
      <c r="C1868" s="8" t="str">
        <f t="shared" si="59"/>
        <v>1903</v>
      </c>
      <c r="D1868" s="8" t="s">
        <v>119</v>
      </c>
      <c r="F1868" s="8" t="s">
        <v>271</v>
      </c>
      <c r="G1868" s="8" t="s">
        <v>336</v>
      </c>
      <c r="H1868" s="8" t="s">
        <v>337</v>
      </c>
      <c r="I1868" s="8" t="s">
        <v>338</v>
      </c>
      <c r="J1868" s="8" t="s">
        <v>1541</v>
      </c>
      <c r="K1868" s="8" t="s">
        <v>190</v>
      </c>
      <c r="L1868" s="8" t="s">
        <v>1542</v>
      </c>
      <c r="M1868" s="8" t="s">
        <v>2780</v>
      </c>
      <c r="N1868" s="8" t="s">
        <v>336</v>
      </c>
      <c r="O1868" s="8">
        <v>1063.77</v>
      </c>
      <c r="P1868" s="8">
        <v>1181.97</v>
      </c>
      <c r="Q1868" s="8" t="s">
        <v>2742</v>
      </c>
      <c r="S1868" s="8" t="s">
        <v>393</v>
      </c>
      <c r="T1868" s="8">
        <v>244.18</v>
      </c>
    </row>
    <row r="1869" spans="1:20" x14ac:dyDescent="0.2">
      <c r="A1869" s="8" t="s">
        <v>3993</v>
      </c>
      <c r="B1869" s="8" t="str">
        <f t="shared" si="58"/>
        <v>1586244612</v>
      </c>
      <c r="C1869" s="8" t="str">
        <f t="shared" si="59"/>
        <v>1904</v>
      </c>
      <c r="D1869" s="8" t="s">
        <v>119</v>
      </c>
      <c r="F1869" s="8" t="s">
        <v>271</v>
      </c>
      <c r="G1869" s="8" t="s">
        <v>336</v>
      </c>
      <c r="H1869" s="8" t="s">
        <v>337</v>
      </c>
      <c r="I1869" s="8" t="s">
        <v>1319</v>
      </c>
      <c r="J1869" s="8" t="s">
        <v>1320</v>
      </c>
      <c r="K1869" s="8" t="s">
        <v>125</v>
      </c>
      <c r="L1869" s="8" t="s">
        <v>1321</v>
      </c>
      <c r="M1869" s="8" t="s">
        <v>2780</v>
      </c>
      <c r="N1869" s="8" t="s">
        <v>336</v>
      </c>
      <c r="O1869" s="8">
        <v>649.17999999999995</v>
      </c>
      <c r="P1869" s="8">
        <v>721.31</v>
      </c>
      <c r="Q1869" s="8" t="s">
        <v>2743</v>
      </c>
      <c r="R1869" s="8" t="s">
        <v>2052</v>
      </c>
    </row>
    <row r="1870" spans="1:20" x14ac:dyDescent="0.2">
      <c r="A1870" s="8" t="s">
        <v>4208</v>
      </c>
      <c r="B1870" s="8" t="str">
        <f t="shared" si="58"/>
        <v>1586244612</v>
      </c>
      <c r="C1870" s="8" t="str">
        <f t="shared" si="59"/>
        <v>1905</v>
      </c>
      <c r="D1870" s="8" t="s">
        <v>119</v>
      </c>
      <c r="F1870" s="8" t="s">
        <v>271</v>
      </c>
      <c r="G1870" s="8" t="s">
        <v>336</v>
      </c>
      <c r="H1870" s="8" t="s">
        <v>337</v>
      </c>
      <c r="I1870" s="8" t="s">
        <v>1319</v>
      </c>
      <c r="J1870" s="8" t="s">
        <v>1320</v>
      </c>
      <c r="K1870" s="8" t="s">
        <v>125</v>
      </c>
      <c r="L1870" s="8" t="s">
        <v>1321</v>
      </c>
      <c r="M1870" s="8" t="s">
        <v>2780</v>
      </c>
      <c r="N1870" s="8" t="s">
        <v>336</v>
      </c>
      <c r="O1870" s="8">
        <v>649.17999999999995</v>
      </c>
      <c r="P1870" s="8">
        <v>721.31</v>
      </c>
      <c r="Q1870" s="8" t="s">
        <v>2743</v>
      </c>
      <c r="R1870" s="8" t="s">
        <v>1642</v>
      </c>
    </row>
    <row r="1871" spans="1:20" x14ac:dyDescent="0.2">
      <c r="A1871" s="8" t="s">
        <v>2781</v>
      </c>
      <c r="B1871" s="8" t="str">
        <f t="shared" si="58"/>
        <v>1586244612</v>
      </c>
      <c r="C1871" s="8" t="str">
        <f t="shared" si="59"/>
        <v>1906</v>
      </c>
      <c r="D1871" s="8" t="s">
        <v>119</v>
      </c>
      <c r="F1871" s="8" t="s">
        <v>271</v>
      </c>
      <c r="G1871" s="8" t="s">
        <v>336</v>
      </c>
      <c r="H1871" s="8" t="s">
        <v>337</v>
      </c>
      <c r="I1871" s="8" t="s">
        <v>1319</v>
      </c>
      <c r="J1871" s="8" t="s">
        <v>1320</v>
      </c>
      <c r="K1871" s="8" t="s">
        <v>125</v>
      </c>
      <c r="L1871" s="8" t="s">
        <v>1321</v>
      </c>
      <c r="M1871" s="8" t="s">
        <v>2780</v>
      </c>
      <c r="N1871" s="8" t="s">
        <v>336</v>
      </c>
      <c r="O1871" s="8">
        <v>649.17999999999995</v>
      </c>
      <c r="P1871" s="8">
        <v>721.31</v>
      </c>
      <c r="Q1871" s="8" t="s">
        <v>2743</v>
      </c>
      <c r="R1871" s="8" t="s">
        <v>1322</v>
      </c>
    </row>
    <row r="1872" spans="1:20" x14ac:dyDescent="0.2">
      <c r="A1872" s="8" t="s">
        <v>3860</v>
      </c>
      <c r="B1872" s="8" t="str">
        <f t="shared" si="58"/>
        <v>1586244612</v>
      </c>
      <c r="C1872" s="8" t="str">
        <f t="shared" si="59"/>
        <v>1907</v>
      </c>
      <c r="D1872" s="8" t="s">
        <v>119</v>
      </c>
      <c r="F1872" s="8" t="s">
        <v>271</v>
      </c>
      <c r="G1872" s="8" t="s">
        <v>336</v>
      </c>
      <c r="H1872" s="8" t="s">
        <v>337</v>
      </c>
      <c r="I1872" s="8" t="s">
        <v>1319</v>
      </c>
      <c r="J1872" s="8" t="s">
        <v>1320</v>
      </c>
      <c r="K1872" s="8" t="s">
        <v>125</v>
      </c>
      <c r="L1872" s="8" t="s">
        <v>1321</v>
      </c>
      <c r="M1872" s="8" t="s">
        <v>2780</v>
      </c>
      <c r="N1872" s="8" t="s">
        <v>336</v>
      </c>
      <c r="O1872" s="8">
        <v>649.17999999999995</v>
      </c>
      <c r="P1872" s="8">
        <v>721.31</v>
      </c>
      <c r="Q1872" s="8" t="s">
        <v>2743</v>
      </c>
      <c r="R1872" s="8" t="s">
        <v>2336</v>
      </c>
    </row>
    <row r="1873" spans="1:20" x14ac:dyDescent="0.2">
      <c r="A1873" s="8" t="s">
        <v>4135</v>
      </c>
      <c r="B1873" s="8" t="str">
        <f t="shared" si="58"/>
        <v>1586244612</v>
      </c>
      <c r="C1873" s="8" t="str">
        <f t="shared" si="59"/>
        <v>1908</v>
      </c>
      <c r="D1873" s="8" t="s">
        <v>119</v>
      </c>
      <c r="F1873" s="8" t="s">
        <v>271</v>
      </c>
      <c r="G1873" s="8" t="s">
        <v>336</v>
      </c>
      <c r="H1873" s="8" t="s">
        <v>337</v>
      </c>
      <c r="I1873" s="8" t="s">
        <v>1319</v>
      </c>
      <c r="J1873" s="8" t="s">
        <v>1320</v>
      </c>
      <c r="K1873" s="8" t="s">
        <v>125</v>
      </c>
      <c r="L1873" s="8" t="s">
        <v>1321</v>
      </c>
      <c r="M1873" s="8" t="s">
        <v>2780</v>
      </c>
      <c r="N1873" s="8" t="s">
        <v>336</v>
      </c>
      <c r="O1873" s="8">
        <v>649.17999999999995</v>
      </c>
      <c r="P1873" s="8">
        <v>721.31</v>
      </c>
      <c r="Q1873" s="8" t="s">
        <v>2743</v>
      </c>
      <c r="S1873" s="8" t="s">
        <v>393</v>
      </c>
      <c r="T1873" s="8">
        <v>132.05000000000001</v>
      </c>
    </row>
    <row r="1874" spans="1:20" x14ac:dyDescent="0.2">
      <c r="A1874" s="8" t="s">
        <v>3002</v>
      </c>
      <c r="B1874" s="8" t="str">
        <f t="shared" si="58"/>
        <v>1586244612</v>
      </c>
      <c r="C1874" s="8" t="str">
        <f t="shared" si="59"/>
        <v>1909</v>
      </c>
      <c r="D1874" s="8" t="s">
        <v>119</v>
      </c>
      <c r="F1874" s="8" t="s">
        <v>271</v>
      </c>
      <c r="G1874" s="8" t="s">
        <v>336</v>
      </c>
      <c r="H1874" s="8" t="s">
        <v>337</v>
      </c>
      <c r="I1874" s="8" t="s">
        <v>1319</v>
      </c>
      <c r="J1874" s="8" t="s">
        <v>1320</v>
      </c>
      <c r="K1874" s="8" t="s">
        <v>125</v>
      </c>
      <c r="L1874" s="8" t="s">
        <v>1321</v>
      </c>
      <c r="M1874" s="8" t="s">
        <v>2780</v>
      </c>
      <c r="N1874" s="8" t="s">
        <v>336</v>
      </c>
      <c r="O1874" s="8">
        <v>649.17999999999995</v>
      </c>
      <c r="P1874" s="8">
        <v>721.31</v>
      </c>
      <c r="Q1874" s="8" t="s">
        <v>2743</v>
      </c>
      <c r="S1874" s="8" t="s">
        <v>470</v>
      </c>
      <c r="T1874" s="8">
        <v>77.459999999999994</v>
      </c>
    </row>
    <row r="1875" spans="1:20" x14ac:dyDescent="0.2">
      <c r="A1875" s="8" t="s">
        <v>3655</v>
      </c>
      <c r="B1875" s="8" t="str">
        <f t="shared" si="58"/>
        <v>1586244612</v>
      </c>
      <c r="C1875" s="8" t="str">
        <f t="shared" si="59"/>
        <v>1910</v>
      </c>
      <c r="D1875" s="8" t="s">
        <v>119</v>
      </c>
      <c r="F1875" s="8" t="s">
        <v>271</v>
      </c>
      <c r="G1875" s="8" t="s">
        <v>336</v>
      </c>
      <c r="H1875" s="8" t="s">
        <v>337</v>
      </c>
      <c r="I1875" s="8" t="s">
        <v>1319</v>
      </c>
      <c r="J1875" s="8" t="s">
        <v>1320</v>
      </c>
      <c r="K1875" s="8" t="s">
        <v>125</v>
      </c>
      <c r="L1875" s="8" t="s">
        <v>1321</v>
      </c>
      <c r="M1875" s="8" t="s">
        <v>2780</v>
      </c>
      <c r="N1875" s="8" t="s">
        <v>336</v>
      </c>
      <c r="O1875" s="8">
        <v>649.17999999999995</v>
      </c>
      <c r="P1875" s="8">
        <v>721.31</v>
      </c>
      <c r="Q1875" s="8" t="s">
        <v>2743</v>
      </c>
      <c r="S1875" s="8" t="s">
        <v>331</v>
      </c>
      <c r="T1875" s="8">
        <v>47.21</v>
      </c>
    </row>
    <row r="1876" spans="1:20" x14ac:dyDescent="0.2">
      <c r="A1876" s="8" t="s">
        <v>3708</v>
      </c>
      <c r="B1876" s="8" t="str">
        <f t="shared" si="58"/>
        <v>1586244614</v>
      </c>
      <c r="C1876" s="8" t="str">
        <f t="shared" si="59"/>
        <v>1911</v>
      </c>
      <c r="D1876" s="8" t="s">
        <v>119</v>
      </c>
      <c r="F1876" s="8" t="s">
        <v>271</v>
      </c>
      <c r="G1876" s="8" t="s">
        <v>336</v>
      </c>
      <c r="H1876" s="8" t="s">
        <v>337</v>
      </c>
      <c r="I1876" s="8" t="s">
        <v>462</v>
      </c>
      <c r="J1876" s="8" t="s">
        <v>463</v>
      </c>
      <c r="K1876" s="8" t="s">
        <v>125</v>
      </c>
      <c r="L1876" s="8" t="s">
        <v>464</v>
      </c>
      <c r="M1876" s="8" t="s">
        <v>2780</v>
      </c>
      <c r="N1876" s="8" t="s">
        <v>336</v>
      </c>
      <c r="O1876" s="8">
        <v>649.17999999999995</v>
      </c>
      <c r="P1876" s="8">
        <v>721.31</v>
      </c>
      <c r="Q1876" s="8" t="s">
        <v>2744</v>
      </c>
      <c r="R1876" s="8" t="s">
        <v>1325</v>
      </c>
    </row>
    <row r="1877" spans="1:20" x14ac:dyDescent="0.2">
      <c r="A1877" s="8" t="s">
        <v>4380</v>
      </c>
      <c r="B1877" s="8" t="str">
        <f t="shared" si="58"/>
        <v>1586244614</v>
      </c>
      <c r="C1877" s="8" t="str">
        <f t="shared" si="59"/>
        <v>1912</v>
      </c>
      <c r="D1877" s="8" t="s">
        <v>119</v>
      </c>
      <c r="F1877" s="8" t="s">
        <v>271</v>
      </c>
      <c r="G1877" s="8" t="s">
        <v>336</v>
      </c>
      <c r="H1877" s="8" t="s">
        <v>337</v>
      </c>
      <c r="I1877" s="8" t="s">
        <v>462</v>
      </c>
      <c r="J1877" s="8" t="s">
        <v>463</v>
      </c>
      <c r="K1877" s="8" t="s">
        <v>125</v>
      </c>
      <c r="L1877" s="8" t="s">
        <v>464</v>
      </c>
      <c r="M1877" s="8" t="s">
        <v>2780</v>
      </c>
      <c r="N1877" s="8" t="s">
        <v>336</v>
      </c>
      <c r="O1877" s="8">
        <v>649.17999999999995</v>
      </c>
      <c r="P1877" s="8">
        <v>721.31</v>
      </c>
      <c r="Q1877" s="8" t="s">
        <v>2744</v>
      </c>
      <c r="R1877" s="8" t="s">
        <v>1673</v>
      </c>
    </row>
    <row r="1878" spans="1:20" x14ac:dyDescent="0.2">
      <c r="A1878" s="8" t="s">
        <v>3263</v>
      </c>
      <c r="B1878" s="8" t="str">
        <f t="shared" si="58"/>
        <v>1586244614</v>
      </c>
      <c r="C1878" s="8" t="str">
        <f t="shared" si="59"/>
        <v>1913</v>
      </c>
      <c r="D1878" s="8" t="s">
        <v>119</v>
      </c>
      <c r="F1878" s="8" t="s">
        <v>271</v>
      </c>
      <c r="G1878" s="8" t="s">
        <v>336</v>
      </c>
      <c r="H1878" s="8" t="s">
        <v>337</v>
      </c>
      <c r="I1878" s="8" t="s">
        <v>462</v>
      </c>
      <c r="J1878" s="8" t="s">
        <v>463</v>
      </c>
      <c r="K1878" s="8" t="s">
        <v>125</v>
      </c>
      <c r="L1878" s="8" t="s">
        <v>464</v>
      </c>
      <c r="M1878" s="8" t="s">
        <v>2780</v>
      </c>
      <c r="N1878" s="8" t="s">
        <v>336</v>
      </c>
      <c r="O1878" s="8">
        <v>649.17999999999995</v>
      </c>
      <c r="P1878" s="8">
        <v>721.31</v>
      </c>
      <c r="Q1878" s="8" t="s">
        <v>2744</v>
      </c>
      <c r="R1878" s="8" t="s">
        <v>973</v>
      </c>
    </row>
    <row r="1879" spans="1:20" x14ac:dyDescent="0.2">
      <c r="A1879" s="8" t="s">
        <v>3602</v>
      </c>
      <c r="B1879" s="8" t="str">
        <f t="shared" si="58"/>
        <v>1586244614</v>
      </c>
      <c r="C1879" s="8" t="str">
        <f t="shared" si="59"/>
        <v>1914</v>
      </c>
      <c r="D1879" s="8" t="s">
        <v>119</v>
      </c>
      <c r="F1879" s="8" t="s">
        <v>271</v>
      </c>
      <c r="G1879" s="8" t="s">
        <v>336</v>
      </c>
      <c r="H1879" s="8" t="s">
        <v>337</v>
      </c>
      <c r="I1879" s="8" t="s">
        <v>462</v>
      </c>
      <c r="J1879" s="8" t="s">
        <v>463</v>
      </c>
      <c r="K1879" s="8" t="s">
        <v>125</v>
      </c>
      <c r="L1879" s="8" t="s">
        <v>464</v>
      </c>
      <c r="M1879" s="8" t="s">
        <v>2780</v>
      </c>
      <c r="N1879" s="8" t="s">
        <v>336</v>
      </c>
      <c r="O1879" s="8">
        <v>649.17999999999995</v>
      </c>
      <c r="P1879" s="8">
        <v>721.31</v>
      </c>
      <c r="Q1879" s="8" t="s">
        <v>2744</v>
      </c>
      <c r="R1879" s="8" t="s">
        <v>794</v>
      </c>
    </row>
    <row r="1880" spans="1:20" x14ac:dyDescent="0.2">
      <c r="A1880" s="8" t="s">
        <v>2865</v>
      </c>
      <c r="B1880" s="8" t="str">
        <f t="shared" si="58"/>
        <v>1586244614</v>
      </c>
      <c r="C1880" s="8" t="str">
        <f t="shared" si="59"/>
        <v>1915</v>
      </c>
      <c r="D1880" s="8" t="s">
        <v>119</v>
      </c>
      <c r="F1880" s="8" t="s">
        <v>271</v>
      </c>
      <c r="G1880" s="8" t="s">
        <v>336</v>
      </c>
      <c r="H1880" s="8" t="s">
        <v>337</v>
      </c>
      <c r="I1880" s="8" t="s">
        <v>462</v>
      </c>
      <c r="J1880" s="8" t="s">
        <v>463</v>
      </c>
      <c r="K1880" s="8" t="s">
        <v>125</v>
      </c>
      <c r="L1880" s="8" t="s">
        <v>464</v>
      </c>
      <c r="M1880" s="8" t="s">
        <v>2780</v>
      </c>
      <c r="N1880" s="8" t="s">
        <v>336</v>
      </c>
      <c r="O1880" s="8">
        <v>649.17999999999995</v>
      </c>
      <c r="P1880" s="8">
        <v>721.31</v>
      </c>
      <c r="Q1880" s="8" t="s">
        <v>2744</v>
      </c>
      <c r="R1880" s="8" t="s">
        <v>2131</v>
      </c>
    </row>
    <row r="1881" spans="1:20" x14ac:dyDescent="0.2">
      <c r="A1881" s="8" t="s">
        <v>3240</v>
      </c>
      <c r="B1881" s="8" t="str">
        <f t="shared" si="58"/>
        <v>1586244614</v>
      </c>
      <c r="C1881" s="8" t="str">
        <f t="shared" si="59"/>
        <v>1916</v>
      </c>
      <c r="D1881" s="8" t="s">
        <v>119</v>
      </c>
      <c r="F1881" s="8" t="s">
        <v>271</v>
      </c>
      <c r="G1881" s="8" t="s">
        <v>336</v>
      </c>
      <c r="H1881" s="8" t="s">
        <v>337</v>
      </c>
      <c r="I1881" s="8" t="s">
        <v>462</v>
      </c>
      <c r="J1881" s="8" t="s">
        <v>463</v>
      </c>
      <c r="K1881" s="8" t="s">
        <v>125</v>
      </c>
      <c r="L1881" s="8" t="s">
        <v>464</v>
      </c>
      <c r="M1881" s="8" t="s">
        <v>2780</v>
      </c>
      <c r="N1881" s="8" t="s">
        <v>336</v>
      </c>
      <c r="O1881" s="8">
        <v>649.17999999999995</v>
      </c>
      <c r="P1881" s="8">
        <v>721.31</v>
      </c>
      <c r="Q1881" s="8" t="s">
        <v>2744</v>
      </c>
      <c r="S1881" s="8" t="s">
        <v>393</v>
      </c>
      <c r="T1881" s="8">
        <v>132.05000000000001</v>
      </c>
    </row>
    <row r="1882" spans="1:20" x14ac:dyDescent="0.2">
      <c r="A1882" s="8" t="s">
        <v>3108</v>
      </c>
      <c r="B1882" s="8" t="str">
        <f t="shared" si="58"/>
        <v>1586244614</v>
      </c>
      <c r="C1882" s="8" t="str">
        <f t="shared" si="59"/>
        <v>1917</v>
      </c>
      <c r="D1882" s="8" t="s">
        <v>119</v>
      </c>
      <c r="F1882" s="8" t="s">
        <v>271</v>
      </c>
      <c r="G1882" s="8" t="s">
        <v>336</v>
      </c>
      <c r="H1882" s="8" t="s">
        <v>337</v>
      </c>
      <c r="I1882" s="8" t="s">
        <v>462</v>
      </c>
      <c r="J1882" s="8" t="s">
        <v>463</v>
      </c>
      <c r="K1882" s="8" t="s">
        <v>125</v>
      </c>
      <c r="L1882" s="8" t="s">
        <v>464</v>
      </c>
      <c r="M1882" s="8" t="s">
        <v>2780</v>
      </c>
      <c r="N1882" s="8" t="s">
        <v>336</v>
      </c>
      <c r="O1882" s="8">
        <v>649.17999999999995</v>
      </c>
      <c r="P1882" s="8">
        <v>721.31</v>
      </c>
      <c r="Q1882" s="8" t="s">
        <v>2744</v>
      </c>
      <c r="S1882" s="8" t="s">
        <v>470</v>
      </c>
      <c r="T1882" s="8">
        <v>77.459999999999994</v>
      </c>
    </row>
    <row r="1883" spans="1:20" x14ac:dyDescent="0.2">
      <c r="A1883" s="8" t="s">
        <v>4663</v>
      </c>
      <c r="B1883" s="8" t="str">
        <f t="shared" si="58"/>
        <v>1586244614</v>
      </c>
      <c r="C1883" s="8" t="str">
        <f t="shared" si="59"/>
        <v>1918</v>
      </c>
      <c r="D1883" s="8" t="s">
        <v>119</v>
      </c>
      <c r="F1883" s="8" t="s">
        <v>271</v>
      </c>
      <c r="G1883" s="8" t="s">
        <v>336</v>
      </c>
      <c r="H1883" s="8" t="s">
        <v>337</v>
      </c>
      <c r="I1883" s="8" t="s">
        <v>462</v>
      </c>
      <c r="J1883" s="8" t="s">
        <v>463</v>
      </c>
      <c r="K1883" s="8" t="s">
        <v>125</v>
      </c>
      <c r="L1883" s="8" t="s">
        <v>464</v>
      </c>
      <c r="M1883" s="8" t="s">
        <v>2780</v>
      </c>
      <c r="N1883" s="8" t="s">
        <v>336</v>
      </c>
      <c r="O1883" s="8">
        <v>649.17999999999995</v>
      </c>
      <c r="P1883" s="8">
        <v>721.31</v>
      </c>
      <c r="Q1883" s="8" t="s">
        <v>2744</v>
      </c>
      <c r="S1883" s="8" t="s">
        <v>331</v>
      </c>
      <c r="T1883" s="8">
        <v>46.48</v>
      </c>
    </row>
    <row r="1884" spans="1:20" x14ac:dyDescent="0.2">
      <c r="A1884" s="8" t="s">
        <v>3279</v>
      </c>
      <c r="B1884" s="8" t="str">
        <f t="shared" si="58"/>
        <v>1586244617</v>
      </c>
      <c r="C1884" s="8" t="str">
        <f t="shared" si="59"/>
        <v>1919</v>
      </c>
      <c r="D1884" s="8" t="s">
        <v>119</v>
      </c>
      <c r="F1884" s="8" t="s">
        <v>271</v>
      </c>
      <c r="G1884" s="8" t="s">
        <v>336</v>
      </c>
      <c r="H1884" s="8" t="s">
        <v>337</v>
      </c>
      <c r="I1884" s="8" t="s">
        <v>1182</v>
      </c>
      <c r="J1884" s="8" t="s">
        <v>1183</v>
      </c>
      <c r="K1884" s="8" t="s">
        <v>125</v>
      </c>
      <c r="L1884" s="8" t="s">
        <v>1184</v>
      </c>
      <c r="M1884" s="8" t="s">
        <v>2780</v>
      </c>
      <c r="N1884" s="8" t="s">
        <v>336</v>
      </c>
      <c r="O1884" s="8">
        <v>649.17999999999995</v>
      </c>
      <c r="P1884" s="8">
        <v>721.31</v>
      </c>
      <c r="Q1884" s="8" t="s">
        <v>2745</v>
      </c>
      <c r="R1884" s="8" t="s">
        <v>2488</v>
      </c>
    </row>
    <row r="1885" spans="1:20" x14ac:dyDescent="0.2">
      <c r="A1885" s="8" t="s">
        <v>3628</v>
      </c>
      <c r="B1885" s="8" t="str">
        <f t="shared" si="58"/>
        <v>1586244617</v>
      </c>
      <c r="C1885" s="8" t="str">
        <f t="shared" si="59"/>
        <v>1920</v>
      </c>
      <c r="D1885" s="8" t="s">
        <v>119</v>
      </c>
      <c r="F1885" s="8" t="s">
        <v>271</v>
      </c>
      <c r="G1885" s="8" t="s">
        <v>336</v>
      </c>
      <c r="H1885" s="8" t="s">
        <v>337</v>
      </c>
      <c r="I1885" s="8" t="s">
        <v>1182</v>
      </c>
      <c r="J1885" s="8" t="s">
        <v>1183</v>
      </c>
      <c r="K1885" s="8" t="s">
        <v>125</v>
      </c>
      <c r="L1885" s="8" t="s">
        <v>1184</v>
      </c>
      <c r="M1885" s="8" t="s">
        <v>2780</v>
      </c>
      <c r="N1885" s="8" t="s">
        <v>336</v>
      </c>
      <c r="O1885" s="8">
        <v>649.17999999999995</v>
      </c>
      <c r="P1885" s="8">
        <v>721.31</v>
      </c>
      <c r="Q1885" s="8" t="s">
        <v>2745</v>
      </c>
      <c r="R1885" s="8" t="s">
        <v>1231</v>
      </c>
    </row>
    <row r="1886" spans="1:20" x14ac:dyDescent="0.2">
      <c r="A1886" s="8" t="s">
        <v>2889</v>
      </c>
      <c r="B1886" s="8" t="str">
        <f t="shared" si="58"/>
        <v>1586244617</v>
      </c>
      <c r="C1886" s="8" t="str">
        <f t="shared" si="59"/>
        <v>1921</v>
      </c>
      <c r="D1886" s="8" t="s">
        <v>119</v>
      </c>
      <c r="F1886" s="8" t="s">
        <v>271</v>
      </c>
      <c r="G1886" s="8" t="s">
        <v>336</v>
      </c>
      <c r="H1886" s="8" t="s">
        <v>337</v>
      </c>
      <c r="I1886" s="8" t="s">
        <v>1182</v>
      </c>
      <c r="J1886" s="8" t="s">
        <v>1183</v>
      </c>
      <c r="K1886" s="8" t="s">
        <v>125</v>
      </c>
      <c r="L1886" s="8" t="s">
        <v>1184</v>
      </c>
      <c r="M1886" s="8" t="s">
        <v>2780</v>
      </c>
      <c r="N1886" s="8" t="s">
        <v>336</v>
      </c>
      <c r="O1886" s="8">
        <v>649.17999999999995</v>
      </c>
      <c r="P1886" s="8">
        <v>721.31</v>
      </c>
      <c r="Q1886" s="8" t="s">
        <v>2745</v>
      </c>
      <c r="R1886" s="8" t="s">
        <v>2222</v>
      </c>
    </row>
    <row r="1887" spans="1:20" x14ac:dyDescent="0.2">
      <c r="A1887" s="8" t="s">
        <v>4731</v>
      </c>
      <c r="B1887" s="8" t="str">
        <f t="shared" si="58"/>
        <v>1586244617</v>
      </c>
      <c r="C1887" s="8" t="str">
        <f t="shared" si="59"/>
        <v>1922</v>
      </c>
      <c r="D1887" s="8" t="s">
        <v>119</v>
      </c>
      <c r="F1887" s="8" t="s">
        <v>271</v>
      </c>
      <c r="G1887" s="8" t="s">
        <v>336</v>
      </c>
      <c r="H1887" s="8" t="s">
        <v>337</v>
      </c>
      <c r="I1887" s="8" t="s">
        <v>1182</v>
      </c>
      <c r="J1887" s="8" t="s">
        <v>1183</v>
      </c>
      <c r="K1887" s="8" t="s">
        <v>125</v>
      </c>
      <c r="L1887" s="8" t="s">
        <v>1184</v>
      </c>
      <c r="M1887" s="8" t="s">
        <v>2780</v>
      </c>
      <c r="N1887" s="8" t="s">
        <v>336</v>
      </c>
      <c r="O1887" s="8">
        <v>649.17999999999995</v>
      </c>
      <c r="P1887" s="8">
        <v>721.31</v>
      </c>
      <c r="Q1887" s="8" t="s">
        <v>2745</v>
      </c>
      <c r="R1887" s="8" t="s">
        <v>1466</v>
      </c>
    </row>
    <row r="1888" spans="1:20" x14ac:dyDescent="0.2">
      <c r="A1888" s="8" t="s">
        <v>4681</v>
      </c>
      <c r="B1888" s="8" t="str">
        <f t="shared" si="58"/>
        <v>1586244617</v>
      </c>
      <c r="C1888" s="8" t="str">
        <f t="shared" si="59"/>
        <v>1923</v>
      </c>
      <c r="D1888" s="8" t="s">
        <v>119</v>
      </c>
      <c r="F1888" s="8" t="s">
        <v>271</v>
      </c>
      <c r="G1888" s="8" t="s">
        <v>336</v>
      </c>
      <c r="H1888" s="8" t="s">
        <v>337</v>
      </c>
      <c r="I1888" s="8" t="s">
        <v>1182</v>
      </c>
      <c r="J1888" s="8" t="s">
        <v>1183</v>
      </c>
      <c r="K1888" s="8" t="s">
        <v>125</v>
      </c>
      <c r="L1888" s="8" t="s">
        <v>1184</v>
      </c>
      <c r="M1888" s="8" t="s">
        <v>2780</v>
      </c>
      <c r="N1888" s="8" t="s">
        <v>336</v>
      </c>
      <c r="O1888" s="8">
        <v>649.17999999999995</v>
      </c>
      <c r="P1888" s="8">
        <v>721.31</v>
      </c>
      <c r="Q1888" s="8" t="s">
        <v>2745</v>
      </c>
      <c r="S1888" s="8" t="s">
        <v>393</v>
      </c>
      <c r="T1888" s="8">
        <v>132.05000000000001</v>
      </c>
    </row>
    <row r="1889" spans="1:20" x14ac:dyDescent="0.2">
      <c r="A1889" s="8" t="s">
        <v>4222</v>
      </c>
      <c r="B1889" s="8" t="str">
        <f t="shared" si="58"/>
        <v>1586244617</v>
      </c>
      <c r="C1889" s="8" t="str">
        <f t="shared" si="59"/>
        <v>1924</v>
      </c>
      <c r="D1889" s="8" t="s">
        <v>119</v>
      </c>
      <c r="F1889" s="8" t="s">
        <v>271</v>
      </c>
      <c r="G1889" s="8" t="s">
        <v>336</v>
      </c>
      <c r="H1889" s="8" t="s">
        <v>337</v>
      </c>
      <c r="I1889" s="8" t="s">
        <v>1182</v>
      </c>
      <c r="J1889" s="8" t="s">
        <v>1183</v>
      </c>
      <c r="K1889" s="8" t="s">
        <v>125</v>
      </c>
      <c r="L1889" s="8" t="s">
        <v>1184</v>
      </c>
      <c r="M1889" s="8" t="s">
        <v>2780</v>
      </c>
      <c r="N1889" s="8" t="s">
        <v>336</v>
      </c>
      <c r="O1889" s="8">
        <v>649.17999999999995</v>
      </c>
      <c r="P1889" s="8">
        <v>721.31</v>
      </c>
      <c r="Q1889" s="8" t="s">
        <v>2745</v>
      </c>
      <c r="S1889" s="8" t="s">
        <v>331</v>
      </c>
      <c r="T1889" s="8">
        <v>47.21</v>
      </c>
    </row>
    <row r="1890" spans="1:20" x14ac:dyDescent="0.2">
      <c r="A1890" s="8" t="s">
        <v>3666</v>
      </c>
      <c r="B1890" s="8" t="str">
        <f t="shared" si="58"/>
        <v>1586244619</v>
      </c>
      <c r="C1890" s="8" t="str">
        <f t="shared" si="59"/>
        <v>1925</v>
      </c>
      <c r="D1890" s="8" t="s">
        <v>119</v>
      </c>
      <c r="F1890" s="8" t="s">
        <v>271</v>
      </c>
      <c r="G1890" s="8" t="s">
        <v>336</v>
      </c>
      <c r="H1890" s="8" t="s">
        <v>337</v>
      </c>
      <c r="I1890" s="8" t="s">
        <v>338</v>
      </c>
      <c r="J1890" s="8" t="s">
        <v>339</v>
      </c>
      <c r="K1890" s="8" t="s">
        <v>257</v>
      </c>
      <c r="L1890" s="8" t="s">
        <v>340</v>
      </c>
      <c r="M1890" s="8" t="s">
        <v>2780</v>
      </c>
      <c r="N1890" s="8" t="s">
        <v>336</v>
      </c>
      <c r="O1890" s="8">
        <v>522.29999999999995</v>
      </c>
      <c r="P1890" s="8">
        <v>580.33000000000004</v>
      </c>
      <c r="Q1890" s="8" t="s">
        <v>2746</v>
      </c>
      <c r="R1890" s="8" t="s">
        <v>1206</v>
      </c>
    </row>
    <row r="1891" spans="1:20" x14ac:dyDescent="0.2">
      <c r="A1891" s="8" t="s">
        <v>3504</v>
      </c>
      <c r="B1891" s="8" t="str">
        <f t="shared" si="58"/>
        <v>1586244619</v>
      </c>
      <c r="C1891" s="8" t="str">
        <f t="shared" si="59"/>
        <v>1926</v>
      </c>
      <c r="D1891" s="8" t="s">
        <v>119</v>
      </c>
      <c r="F1891" s="8" t="s">
        <v>271</v>
      </c>
      <c r="G1891" s="8" t="s">
        <v>336</v>
      </c>
      <c r="H1891" s="8" t="s">
        <v>337</v>
      </c>
      <c r="I1891" s="8" t="s">
        <v>338</v>
      </c>
      <c r="J1891" s="8" t="s">
        <v>339</v>
      </c>
      <c r="K1891" s="8" t="s">
        <v>257</v>
      </c>
      <c r="L1891" s="8" t="s">
        <v>340</v>
      </c>
      <c r="M1891" s="8" t="s">
        <v>2780</v>
      </c>
      <c r="N1891" s="8" t="s">
        <v>336</v>
      </c>
      <c r="O1891" s="8">
        <v>522.29999999999995</v>
      </c>
      <c r="P1891" s="8">
        <v>580.33000000000004</v>
      </c>
      <c r="Q1891" s="8" t="s">
        <v>2746</v>
      </c>
      <c r="R1891" s="8" t="s">
        <v>341</v>
      </c>
    </row>
    <row r="1892" spans="1:20" x14ac:dyDescent="0.2">
      <c r="A1892" s="8" t="s">
        <v>3042</v>
      </c>
      <c r="B1892" s="8" t="str">
        <f t="shared" si="58"/>
        <v>1586244619</v>
      </c>
      <c r="C1892" s="8" t="str">
        <f t="shared" si="59"/>
        <v>1927</v>
      </c>
      <c r="D1892" s="8" t="s">
        <v>119</v>
      </c>
      <c r="F1892" s="8" t="s">
        <v>271</v>
      </c>
      <c r="G1892" s="8" t="s">
        <v>336</v>
      </c>
      <c r="H1892" s="8" t="s">
        <v>337</v>
      </c>
      <c r="I1892" s="8" t="s">
        <v>338</v>
      </c>
      <c r="J1892" s="8" t="s">
        <v>339</v>
      </c>
      <c r="K1892" s="8" t="s">
        <v>257</v>
      </c>
      <c r="L1892" s="8" t="s">
        <v>340</v>
      </c>
      <c r="M1892" s="8" t="s">
        <v>2780</v>
      </c>
      <c r="N1892" s="8" t="s">
        <v>336</v>
      </c>
      <c r="O1892" s="8">
        <v>522.29999999999995</v>
      </c>
      <c r="P1892" s="8">
        <v>580.33000000000004</v>
      </c>
      <c r="Q1892" s="8" t="s">
        <v>2746</v>
      </c>
      <c r="R1892" s="8" t="s">
        <v>1448</v>
      </c>
    </row>
    <row r="1893" spans="1:20" x14ac:dyDescent="0.2">
      <c r="A1893" s="8" t="s">
        <v>3481</v>
      </c>
      <c r="B1893" s="8" t="str">
        <f t="shared" si="58"/>
        <v>1586244619</v>
      </c>
      <c r="C1893" s="8" t="str">
        <f t="shared" si="59"/>
        <v>1928</v>
      </c>
      <c r="D1893" s="8" t="s">
        <v>119</v>
      </c>
      <c r="F1893" s="8" t="s">
        <v>271</v>
      </c>
      <c r="G1893" s="8" t="s">
        <v>336</v>
      </c>
      <c r="H1893" s="8" t="s">
        <v>337</v>
      </c>
      <c r="I1893" s="8" t="s">
        <v>338</v>
      </c>
      <c r="J1893" s="8" t="s">
        <v>339</v>
      </c>
      <c r="K1893" s="8" t="s">
        <v>257</v>
      </c>
      <c r="L1893" s="8" t="s">
        <v>340</v>
      </c>
      <c r="M1893" s="8" t="s">
        <v>2780</v>
      </c>
      <c r="N1893" s="8" t="s">
        <v>336</v>
      </c>
      <c r="O1893" s="8">
        <v>522.29999999999995</v>
      </c>
      <c r="P1893" s="8">
        <v>580.33000000000004</v>
      </c>
      <c r="Q1893" s="8" t="s">
        <v>2746</v>
      </c>
      <c r="S1893" s="8" t="s">
        <v>184</v>
      </c>
      <c r="T1893" s="8">
        <v>77.459999999999994</v>
      </c>
    </row>
    <row r="1894" spans="1:20" x14ac:dyDescent="0.2">
      <c r="A1894" s="8" t="s">
        <v>3218</v>
      </c>
      <c r="B1894" s="8" t="str">
        <f t="shared" si="58"/>
        <v>1586244623</v>
      </c>
      <c r="C1894" s="8" t="str">
        <f t="shared" si="59"/>
        <v>1929</v>
      </c>
      <c r="D1894" s="8" t="s">
        <v>119</v>
      </c>
      <c r="F1894" s="8" t="s">
        <v>271</v>
      </c>
      <c r="G1894" s="8" t="s">
        <v>272</v>
      </c>
      <c r="H1894" s="8" t="s">
        <v>273</v>
      </c>
      <c r="I1894" s="8" t="s">
        <v>565</v>
      </c>
      <c r="J1894" s="8" t="s">
        <v>921</v>
      </c>
      <c r="K1894" s="8" t="s">
        <v>922</v>
      </c>
      <c r="L1894" s="8" t="s">
        <v>923</v>
      </c>
      <c r="M1894" s="8" t="s">
        <v>2780</v>
      </c>
      <c r="N1894" s="8" t="s">
        <v>272</v>
      </c>
      <c r="O1894" s="8">
        <v>2505.25</v>
      </c>
      <c r="P1894" s="8">
        <v>2783.61</v>
      </c>
      <c r="Q1894" s="8" t="s">
        <v>2747</v>
      </c>
      <c r="R1894" s="8" t="s">
        <v>1916</v>
      </c>
    </row>
    <row r="1895" spans="1:20" x14ac:dyDescent="0.2">
      <c r="A1895" s="8" t="s">
        <v>3106</v>
      </c>
      <c r="B1895" s="8" t="str">
        <f t="shared" si="58"/>
        <v>1586244623</v>
      </c>
      <c r="C1895" s="8" t="str">
        <f t="shared" si="59"/>
        <v>1930</v>
      </c>
      <c r="D1895" s="8" t="s">
        <v>119</v>
      </c>
      <c r="F1895" s="8" t="s">
        <v>271</v>
      </c>
      <c r="G1895" s="8" t="s">
        <v>272</v>
      </c>
      <c r="H1895" s="8" t="s">
        <v>273</v>
      </c>
      <c r="I1895" s="8" t="s">
        <v>565</v>
      </c>
      <c r="J1895" s="8" t="s">
        <v>921</v>
      </c>
      <c r="K1895" s="8" t="s">
        <v>922</v>
      </c>
      <c r="L1895" s="8" t="s">
        <v>923</v>
      </c>
      <c r="M1895" s="8" t="s">
        <v>2780</v>
      </c>
      <c r="N1895" s="8" t="s">
        <v>272</v>
      </c>
      <c r="O1895" s="8">
        <v>2505.25</v>
      </c>
      <c r="P1895" s="8">
        <v>2783.61</v>
      </c>
      <c r="Q1895" s="8" t="s">
        <v>2747</v>
      </c>
      <c r="R1895" s="8" t="s">
        <v>2135</v>
      </c>
    </row>
    <row r="1896" spans="1:20" x14ac:dyDescent="0.2">
      <c r="A1896" s="8" t="s">
        <v>4501</v>
      </c>
      <c r="B1896" s="8" t="str">
        <f t="shared" si="58"/>
        <v>1586244623</v>
      </c>
      <c r="C1896" s="8" t="str">
        <f t="shared" si="59"/>
        <v>1931</v>
      </c>
      <c r="D1896" s="8" t="s">
        <v>119</v>
      </c>
      <c r="F1896" s="8" t="s">
        <v>271</v>
      </c>
      <c r="G1896" s="8" t="s">
        <v>272</v>
      </c>
      <c r="H1896" s="8" t="s">
        <v>273</v>
      </c>
      <c r="I1896" s="8" t="s">
        <v>565</v>
      </c>
      <c r="J1896" s="8" t="s">
        <v>921</v>
      </c>
      <c r="K1896" s="8" t="s">
        <v>922</v>
      </c>
      <c r="L1896" s="8" t="s">
        <v>923</v>
      </c>
      <c r="M1896" s="8" t="s">
        <v>2780</v>
      </c>
      <c r="N1896" s="8" t="s">
        <v>272</v>
      </c>
      <c r="O1896" s="8">
        <v>2505.25</v>
      </c>
      <c r="P1896" s="8">
        <v>2783.61</v>
      </c>
      <c r="Q1896" s="8" t="s">
        <v>2747</v>
      </c>
      <c r="R1896" s="8" t="s">
        <v>924</v>
      </c>
    </row>
    <row r="1897" spans="1:20" x14ac:dyDescent="0.2">
      <c r="A1897" s="8" t="s">
        <v>4165</v>
      </c>
      <c r="B1897" s="8" t="str">
        <f t="shared" si="58"/>
        <v>1586244623</v>
      </c>
      <c r="C1897" s="8" t="str">
        <f t="shared" si="59"/>
        <v>1932</v>
      </c>
      <c r="D1897" s="8" t="s">
        <v>119</v>
      </c>
      <c r="F1897" s="8" t="s">
        <v>271</v>
      </c>
      <c r="G1897" s="8" t="s">
        <v>272</v>
      </c>
      <c r="H1897" s="8" t="s">
        <v>273</v>
      </c>
      <c r="I1897" s="8" t="s">
        <v>565</v>
      </c>
      <c r="J1897" s="8" t="s">
        <v>921</v>
      </c>
      <c r="K1897" s="8" t="s">
        <v>922</v>
      </c>
      <c r="L1897" s="8" t="s">
        <v>923</v>
      </c>
      <c r="M1897" s="8" t="s">
        <v>2780</v>
      </c>
      <c r="N1897" s="8" t="s">
        <v>272</v>
      </c>
      <c r="O1897" s="8">
        <v>2505.25</v>
      </c>
      <c r="P1897" s="8">
        <v>2783.61</v>
      </c>
      <c r="Q1897" s="8" t="s">
        <v>2747</v>
      </c>
      <c r="R1897" s="8" t="s">
        <v>1433</v>
      </c>
    </row>
    <row r="1898" spans="1:20" x14ac:dyDescent="0.2">
      <c r="A1898" s="8" t="s">
        <v>4072</v>
      </c>
      <c r="B1898" s="8" t="str">
        <f t="shared" si="58"/>
        <v>1586244625</v>
      </c>
      <c r="C1898" s="8" t="str">
        <f t="shared" si="59"/>
        <v>1933</v>
      </c>
      <c r="D1898" s="8" t="s">
        <v>119</v>
      </c>
      <c r="F1898" s="8" t="s">
        <v>271</v>
      </c>
      <c r="G1898" s="8" t="s">
        <v>272</v>
      </c>
      <c r="H1898" s="8" t="s">
        <v>273</v>
      </c>
      <c r="I1898" s="8" t="s">
        <v>565</v>
      </c>
      <c r="J1898" s="8" t="s">
        <v>1721</v>
      </c>
      <c r="K1898" s="8" t="s">
        <v>922</v>
      </c>
      <c r="L1898" s="8" t="s">
        <v>1722</v>
      </c>
      <c r="M1898" s="8" t="s">
        <v>2780</v>
      </c>
      <c r="N1898" s="8" t="s">
        <v>272</v>
      </c>
      <c r="O1898" s="8">
        <v>2727.3</v>
      </c>
      <c r="P1898" s="8">
        <v>3030.33</v>
      </c>
      <c r="Q1898" s="8" t="s">
        <v>2748</v>
      </c>
      <c r="R1898" s="8" t="s">
        <v>2110</v>
      </c>
    </row>
    <row r="1899" spans="1:20" x14ac:dyDescent="0.2">
      <c r="A1899" s="8" t="s">
        <v>3325</v>
      </c>
      <c r="B1899" s="8" t="str">
        <f t="shared" si="58"/>
        <v>1586244625</v>
      </c>
      <c r="C1899" s="8" t="str">
        <f t="shared" si="59"/>
        <v>1934</v>
      </c>
      <c r="D1899" s="8" t="s">
        <v>119</v>
      </c>
      <c r="F1899" s="8" t="s">
        <v>271</v>
      </c>
      <c r="G1899" s="8" t="s">
        <v>272</v>
      </c>
      <c r="H1899" s="8" t="s">
        <v>273</v>
      </c>
      <c r="I1899" s="8" t="s">
        <v>565</v>
      </c>
      <c r="J1899" s="8" t="s">
        <v>1721</v>
      </c>
      <c r="K1899" s="8" t="s">
        <v>922</v>
      </c>
      <c r="L1899" s="8" t="s">
        <v>1722</v>
      </c>
      <c r="M1899" s="8" t="s">
        <v>2780</v>
      </c>
      <c r="N1899" s="8" t="s">
        <v>272</v>
      </c>
      <c r="O1899" s="8">
        <v>2727.3</v>
      </c>
      <c r="P1899" s="8">
        <v>3030.33</v>
      </c>
      <c r="Q1899" s="8" t="s">
        <v>2748</v>
      </c>
      <c r="R1899" s="8" t="s">
        <v>2362</v>
      </c>
    </row>
    <row r="1900" spans="1:20" x14ac:dyDescent="0.2">
      <c r="A1900" s="8" t="s">
        <v>4489</v>
      </c>
      <c r="B1900" s="8" t="str">
        <f t="shared" si="58"/>
        <v>1586244625</v>
      </c>
      <c r="C1900" s="8" t="str">
        <f t="shared" si="59"/>
        <v>1935</v>
      </c>
      <c r="D1900" s="8" t="s">
        <v>119</v>
      </c>
      <c r="F1900" s="8" t="s">
        <v>271</v>
      </c>
      <c r="G1900" s="8" t="s">
        <v>272</v>
      </c>
      <c r="H1900" s="8" t="s">
        <v>273</v>
      </c>
      <c r="I1900" s="8" t="s">
        <v>565</v>
      </c>
      <c r="J1900" s="8" t="s">
        <v>1721</v>
      </c>
      <c r="K1900" s="8" t="s">
        <v>922</v>
      </c>
      <c r="L1900" s="8" t="s">
        <v>1722</v>
      </c>
      <c r="M1900" s="8" t="s">
        <v>2780</v>
      </c>
      <c r="N1900" s="8" t="s">
        <v>272</v>
      </c>
      <c r="O1900" s="8">
        <v>2727.3</v>
      </c>
      <c r="P1900" s="8">
        <v>3030.33</v>
      </c>
      <c r="Q1900" s="8" t="s">
        <v>2748</v>
      </c>
      <c r="R1900" s="8" t="s">
        <v>2275</v>
      </c>
    </row>
    <row r="1901" spans="1:20" x14ac:dyDescent="0.2">
      <c r="A1901" s="8" t="s">
        <v>4653</v>
      </c>
      <c r="B1901" s="8" t="str">
        <f t="shared" si="58"/>
        <v>1586244625</v>
      </c>
      <c r="C1901" s="8" t="str">
        <f t="shared" si="59"/>
        <v>1936</v>
      </c>
      <c r="D1901" s="8" t="s">
        <v>119</v>
      </c>
      <c r="F1901" s="8" t="s">
        <v>271</v>
      </c>
      <c r="G1901" s="8" t="s">
        <v>272</v>
      </c>
      <c r="H1901" s="8" t="s">
        <v>273</v>
      </c>
      <c r="I1901" s="8" t="s">
        <v>565</v>
      </c>
      <c r="J1901" s="8" t="s">
        <v>1721</v>
      </c>
      <c r="K1901" s="8" t="s">
        <v>922</v>
      </c>
      <c r="L1901" s="8" t="s">
        <v>1722</v>
      </c>
      <c r="M1901" s="8" t="s">
        <v>2780</v>
      </c>
      <c r="N1901" s="8" t="s">
        <v>272</v>
      </c>
      <c r="O1901" s="8">
        <v>2727.3</v>
      </c>
      <c r="P1901" s="8">
        <v>3030.33</v>
      </c>
      <c r="Q1901" s="8" t="s">
        <v>2748</v>
      </c>
      <c r="R1901" s="8" t="s">
        <v>1723</v>
      </c>
    </row>
    <row r="1902" spans="1:20" x14ac:dyDescent="0.2">
      <c r="A1902" s="8" t="s">
        <v>4648</v>
      </c>
      <c r="B1902" s="8" t="str">
        <f t="shared" si="58"/>
        <v>1586244627</v>
      </c>
      <c r="C1902" s="8" t="str">
        <f t="shared" si="59"/>
        <v>1937</v>
      </c>
      <c r="D1902" s="8" t="s">
        <v>119</v>
      </c>
      <c r="F1902" s="8" t="s">
        <v>271</v>
      </c>
      <c r="G1902" s="8" t="s">
        <v>272</v>
      </c>
      <c r="H1902" s="8" t="s">
        <v>273</v>
      </c>
      <c r="I1902" s="8" t="s">
        <v>139</v>
      </c>
      <c r="J1902" s="8" t="s">
        <v>757</v>
      </c>
      <c r="K1902" s="8" t="s">
        <v>758</v>
      </c>
      <c r="L1902" s="8" t="s">
        <v>759</v>
      </c>
      <c r="M1902" s="8" t="s">
        <v>2780</v>
      </c>
      <c r="N1902" s="8" t="s">
        <v>272</v>
      </c>
      <c r="O1902" s="8">
        <v>601.97</v>
      </c>
      <c r="P1902" s="8">
        <v>668.85</v>
      </c>
      <c r="Q1902" s="8" t="s">
        <v>2749</v>
      </c>
      <c r="R1902" s="8" t="s">
        <v>760</v>
      </c>
    </row>
    <row r="1903" spans="1:20" x14ac:dyDescent="0.2">
      <c r="A1903" s="8" t="s">
        <v>3300</v>
      </c>
      <c r="B1903" s="8" t="str">
        <f t="shared" si="58"/>
        <v>1586244627</v>
      </c>
      <c r="C1903" s="8" t="str">
        <f t="shared" si="59"/>
        <v>1938</v>
      </c>
      <c r="D1903" s="8" t="s">
        <v>119</v>
      </c>
      <c r="F1903" s="8" t="s">
        <v>271</v>
      </c>
      <c r="G1903" s="8" t="s">
        <v>272</v>
      </c>
      <c r="H1903" s="8" t="s">
        <v>273</v>
      </c>
      <c r="I1903" s="8" t="s">
        <v>139</v>
      </c>
      <c r="J1903" s="8" t="s">
        <v>757</v>
      </c>
      <c r="K1903" s="8" t="s">
        <v>758</v>
      </c>
      <c r="L1903" s="8" t="s">
        <v>759</v>
      </c>
      <c r="M1903" s="8" t="s">
        <v>2780</v>
      </c>
      <c r="N1903" s="8" t="s">
        <v>272</v>
      </c>
      <c r="O1903" s="8">
        <v>601.97</v>
      </c>
      <c r="P1903" s="8">
        <v>668.85</v>
      </c>
      <c r="Q1903" s="8" t="s">
        <v>2749</v>
      </c>
      <c r="R1903" s="8" t="s">
        <v>1877</v>
      </c>
    </row>
    <row r="1904" spans="1:20" x14ac:dyDescent="0.2">
      <c r="A1904" s="8" t="s">
        <v>3977</v>
      </c>
      <c r="B1904" s="8" t="str">
        <f t="shared" si="58"/>
        <v>1586244627</v>
      </c>
      <c r="C1904" s="8" t="str">
        <f t="shared" si="59"/>
        <v>1939</v>
      </c>
      <c r="D1904" s="8" t="s">
        <v>119</v>
      </c>
      <c r="F1904" s="8" t="s">
        <v>271</v>
      </c>
      <c r="G1904" s="8" t="s">
        <v>272</v>
      </c>
      <c r="H1904" s="8" t="s">
        <v>273</v>
      </c>
      <c r="I1904" s="8" t="s">
        <v>139</v>
      </c>
      <c r="J1904" s="8" t="s">
        <v>757</v>
      </c>
      <c r="K1904" s="8" t="s">
        <v>758</v>
      </c>
      <c r="L1904" s="8" t="s">
        <v>759</v>
      </c>
      <c r="M1904" s="8" t="s">
        <v>2780</v>
      </c>
      <c r="N1904" s="8" t="s">
        <v>272</v>
      </c>
      <c r="O1904" s="8">
        <v>601.97</v>
      </c>
      <c r="P1904" s="8">
        <v>668.85</v>
      </c>
      <c r="Q1904" s="8" t="s">
        <v>2749</v>
      </c>
      <c r="R1904" s="8" t="s">
        <v>1566</v>
      </c>
    </row>
    <row r="1905" spans="1:20" x14ac:dyDescent="0.2">
      <c r="A1905" s="8" t="s">
        <v>3291</v>
      </c>
      <c r="B1905" s="8" t="str">
        <f t="shared" si="58"/>
        <v>1586244627</v>
      </c>
      <c r="C1905" s="8" t="str">
        <f t="shared" si="59"/>
        <v>1940</v>
      </c>
      <c r="D1905" s="8" t="s">
        <v>119</v>
      </c>
      <c r="F1905" s="8" t="s">
        <v>271</v>
      </c>
      <c r="G1905" s="8" t="s">
        <v>272</v>
      </c>
      <c r="H1905" s="8" t="s">
        <v>273</v>
      </c>
      <c r="I1905" s="8" t="s">
        <v>139</v>
      </c>
      <c r="J1905" s="8" t="s">
        <v>757</v>
      </c>
      <c r="K1905" s="8" t="s">
        <v>758</v>
      </c>
      <c r="L1905" s="8" t="s">
        <v>759</v>
      </c>
      <c r="M1905" s="8" t="s">
        <v>2780</v>
      </c>
      <c r="N1905" s="8" t="s">
        <v>272</v>
      </c>
      <c r="O1905" s="8">
        <v>601.97</v>
      </c>
      <c r="P1905" s="8">
        <v>668.85</v>
      </c>
      <c r="Q1905" s="8" t="s">
        <v>2749</v>
      </c>
      <c r="R1905" s="8" t="s">
        <v>1394</v>
      </c>
    </row>
    <row r="1906" spans="1:20" x14ac:dyDescent="0.2">
      <c r="A1906" s="8" t="s">
        <v>3381</v>
      </c>
      <c r="B1906" s="8" t="str">
        <f t="shared" si="58"/>
        <v>1586244627</v>
      </c>
      <c r="C1906" s="8" t="str">
        <f t="shared" si="59"/>
        <v>1941</v>
      </c>
      <c r="D1906" s="8" t="s">
        <v>119</v>
      </c>
      <c r="F1906" s="8" t="s">
        <v>271</v>
      </c>
      <c r="G1906" s="8" t="s">
        <v>272</v>
      </c>
      <c r="H1906" s="8" t="s">
        <v>273</v>
      </c>
      <c r="I1906" s="8" t="s">
        <v>139</v>
      </c>
      <c r="J1906" s="8" t="s">
        <v>757</v>
      </c>
      <c r="K1906" s="8" t="s">
        <v>758</v>
      </c>
      <c r="L1906" s="8" t="s">
        <v>759</v>
      </c>
      <c r="M1906" s="8" t="s">
        <v>2780</v>
      </c>
      <c r="N1906" s="8" t="s">
        <v>272</v>
      </c>
      <c r="O1906" s="8">
        <v>601.97</v>
      </c>
      <c r="P1906" s="8">
        <v>668.85</v>
      </c>
      <c r="Q1906" s="8" t="s">
        <v>2749</v>
      </c>
      <c r="S1906" s="8" t="s">
        <v>542</v>
      </c>
      <c r="T1906" s="8">
        <v>185.9</v>
      </c>
    </row>
    <row r="1907" spans="1:20" x14ac:dyDescent="0.2">
      <c r="A1907" s="8" t="s">
        <v>2866</v>
      </c>
      <c r="B1907" s="8" t="str">
        <f t="shared" si="58"/>
        <v>1586244627</v>
      </c>
      <c r="C1907" s="8" t="str">
        <f t="shared" si="59"/>
        <v>1942</v>
      </c>
      <c r="D1907" s="8" t="s">
        <v>119</v>
      </c>
      <c r="F1907" s="8" t="s">
        <v>271</v>
      </c>
      <c r="G1907" s="8" t="s">
        <v>272</v>
      </c>
      <c r="H1907" s="8" t="s">
        <v>273</v>
      </c>
      <c r="I1907" s="8" t="s">
        <v>139</v>
      </c>
      <c r="J1907" s="8" t="s">
        <v>757</v>
      </c>
      <c r="K1907" s="8" t="s">
        <v>758</v>
      </c>
      <c r="L1907" s="8" t="s">
        <v>759</v>
      </c>
      <c r="M1907" s="8" t="s">
        <v>2780</v>
      </c>
      <c r="N1907" s="8" t="s">
        <v>272</v>
      </c>
      <c r="O1907" s="8">
        <v>601.97</v>
      </c>
      <c r="P1907" s="8">
        <v>668.85</v>
      </c>
      <c r="Q1907" s="8" t="s">
        <v>2749</v>
      </c>
      <c r="S1907" s="8" t="s">
        <v>393</v>
      </c>
      <c r="T1907" s="8">
        <v>123.2</v>
      </c>
    </row>
    <row r="1908" spans="1:20" x14ac:dyDescent="0.2">
      <c r="A1908" s="8" t="s">
        <v>2858</v>
      </c>
      <c r="B1908" s="8" t="str">
        <f t="shared" si="58"/>
        <v>1586244627</v>
      </c>
      <c r="C1908" s="8" t="str">
        <f t="shared" si="59"/>
        <v>1943</v>
      </c>
      <c r="D1908" s="8" t="s">
        <v>119</v>
      </c>
      <c r="F1908" s="8" t="s">
        <v>271</v>
      </c>
      <c r="G1908" s="8" t="s">
        <v>272</v>
      </c>
      <c r="H1908" s="8" t="s">
        <v>273</v>
      </c>
      <c r="I1908" s="8" t="s">
        <v>139</v>
      </c>
      <c r="J1908" s="8" t="s">
        <v>757</v>
      </c>
      <c r="K1908" s="8" t="s">
        <v>758</v>
      </c>
      <c r="L1908" s="8" t="s">
        <v>759</v>
      </c>
      <c r="M1908" s="8" t="s">
        <v>2780</v>
      </c>
      <c r="N1908" s="8" t="s">
        <v>272</v>
      </c>
      <c r="O1908" s="8">
        <v>601.97</v>
      </c>
      <c r="P1908" s="8">
        <v>668.85</v>
      </c>
      <c r="Q1908" s="8" t="s">
        <v>2749</v>
      </c>
      <c r="S1908" s="8" t="s">
        <v>142</v>
      </c>
      <c r="T1908" s="8">
        <v>93.69</v>
      </c>
    </row>
    <row r="1909" spans="1:20" x14ac:dyDescent="0.2">
      <c r="A1909" s="8" t="s">
        <v>3389</v>
      </c>
      <c r="B1909" s="8" t="str">
        <f t="shared" si="58"/>
        <v>1586244629</v>
      </c>
      <c r="C1909" s="8" t="str">
        <f t="shared" si="59"/>
        <v>1944</v>
      </c>
      <c r="D1909" s="8" t="s">
        <v>119</v>
      </c>
      <c r="F1909" s="8" t="s">
        <v>271</v>
      </c>
      <c r="G1909" s="8" t="s">
        <v>272</v>
      </c>
      <c r="H1909" s="8" t="s">
        <v>273</v>
      </c>
      <c r="I1909" s="8" t="s">
        <v>565</v>
      </c>
      <c r="J1909" s="8" t="s">
        <v>810</v>
      </c>
      <c r="K1909" s="8" t="s">
        <v>93</v>
      </c>
      <c r="L1909" s="8" t="s">
        <v>811</v>
      </c>
      <c r="M1909" s="8" t="s">
        <v>2780</v>
      </c>
      <c r="N1909" s="8" t="s">
        <v>272</v>
      </c>
      <c r="O1909" s="8">
        <v>422.7</v>
      </c>
      <c r="P1909" s="8">
        <v>469.67</v>
      </c>
      <c r="Q1909" s="8" t="s">
        <v>2750</v>
      </c>
      <c r="R1909" s="8" t="s">
        <v>2385</v>
      </c>
    </row>
    <row r="1910" spans="1:20" x14ac:dyDescent="0.2">
      <c r="A1910" s="8" t="s">
        <v>4095</v>
      </c>
      <c r="B1910" s="8" t="str">
        <f t="shared" si="58"/>
        <v>1586244629</v>
      </c>
      <c r="C1910" s="8" t="str">
        <f t="shared" si="59"/>
        <v>1945</v>
      </c>
      <c r="D1910" s="8" t="s">
        <v>119</v>
      </c>
      <c r="F1910" s="8" t="s">
        <v>271</v>
      </c>
      <c r="G1910" s="8" t="s">
        <v>272</v>
      </c>
      <c r="H1910" s="8" t="s">
        <v>273</v>
      </c>
      <c r="I1910" s="8" t="s">
        <v>565</v>
      </c>
      <c r="J1910" s="8" t="s">
        <v>810</v>
      </c>
      <c r="K1910" s="8" t="s">
        <v>93</v>
      </c>
      <c r="L1910" s="8" t="s">
        <v>811</v>
      </c>
      <c r="M1910" s="8" t="s">
        <v>2780</v>
      </c>
      <c r="N1910" s="8" t="s">
        <v>272</v>
      </c>
      <c r="O1910" s="8">
        <v>422.7</v>
      </c>
      <c r="P1910" s="8">
        <v>469.67</v>
      </c>
      <c r="Q1910" s="8" t="s">
        <v>2750</v>
      </c>
      <c r="R1910" s="8" t="s">
        <v>1730</v>
      </c>
    </row>
    <row r="1911" spans="1:20" x14ac:dyDescent="0.2">
      <c r="A1911" s="8" t="s">
        <v>3543</v>
      </c>
      <c r="B1911" s="8" t="str">
        <f t="shared" si="58"/>
        <v>1586244629</v>
      </c>
      <c r="C1911" s="8" t="str">
        <f t="shared" si="59"/>
        <v>1946</v>
      </c>
      <c r="D1911" s="8" t="s">
        <v>119</v>
      </c>
      <c r="F1911" s="8" t="s">
        <v>271</v>
      </c>
      <c r="G1911" s="8" t="s">
        <v>272</v>
      </c>
      <c r="H1911" s="8" t="s">
        <v>273</v>
      </c>
      <c r="I1911" s="8" t="s">
        <v>565</v>
      </c>
      <c r="J1911" s="8" t="s">
        <v>810</v>
      </c>
      <c r="K1911" s="8" t="s">
        <v>93</v>
      </c>
      <c r="L1911" s="8" t="s">
        <v>811</v>
      </c>
      <c r="M1911" s="8" t="s">
        <v>2780</v>
      </c>
      <c r="N1911" s="8" t="s">
        <v>272</v>
      </c>
      <c r="O1911" s="8">
        <v>422.7</v>
      </c>
      <c r="P1911" s="8">
        <v>469.67</v>
      </c>
      <c r="Q1911" s="8" t="s">
        <v>2750</v>
      </c>
      <c r="R1911" s="8" t="s">
        <v>1849</v>
      </c>
    </row>
    <row r="1912" spans="1:20" x14ac:dyDescent="0.2">
      <c r="A1912" s="8" t="s">
        <v>2951</v>
      </c>
      <c r="B1912" s="8" t="str">
        <f t="shared" si="58"/>
        <v>1586244629</v>
      </c>
      <c r="C1912" s="8" t="str">
        <f t="shared" si="59"/>
        <v>1947</v>
      </c>
      <c r="D1912" s="8" t="s">
        <v>119</v>
      </c>
      <c r="F1912" s="8" t="s">
        <v>271</v>
      </c>
      <c r="G1912" s="8" t="s">
        <v>272</v>
      </c>
      <c r="H1912" s="8" t="s">
        <v>273</v>
      </c>
      <c r="I1912" s="8" t="s">
        <v>565</v>
      </c>
      <c r="J1912" s="8" t="s">
        <v>810</v>
      </c>
      <c r="K1912" s="8" t="s">
        <v>93</v>
      </c>
      <c r="L1912" s="8" t="s">
        <v>811</v>
      </c>
      <c r="M1912" s="8" t="s">
        <v>2780</v>
      </c>
      <c r="N1912" s="8" t="s">
        <v>272</v>
      </c>
      <c r="O1912" s="8">
        <v>422.7</v>
      </c>
      <c r="P1912" s="8">
        <v>469.67</v>
      </c>
      <c r="Q1912" s="8" t="s">
        <v>2750</v>
      </c>
      <c r="S1912" s="8" t="s">
        <v>232</v>
      </c>
      <c r="T1912" s="8">
        <v>185.9</v>
      </c>
    </row>
    <row r="1913" spans="1:20" x14ac:dyDescent="0.2">
      <c r="A1913" s="8" t="s">
        <v>3669</v>
      </c>
      <c r="B1913" s="8" t="str">
        <f t="shared" si="58"/>
        <v>1586244629</v>
      </c>
      <c r="C1913" s="8" t="str">
        <f t="shared" si="59"/>
        <v>1948</v>
      </c>
      <c r="D1913" s="8" t="s">
        <v>119</v>
      </c>
      <c r="F1913" s="8" t="s">
        <v>271</v>
      </c>
      <c r="G1913" s="8" t="s">
        <v>272</v>
      </c>
      <c r="H1913" s="8" t="s">
        <v>273</v>
      </c>
      <c r="I1913" s="8" t="s">
        <v>565</v>
      </c>
      <c r="J1913" s="8" t="s">
        <v>810</v>
      </c>
      <c r="K1913" s="8" t="s">
        <v>93</v>
      </c>
      <c r="L1913" s="8" t="s">
        <v>811</v>
      </c>
      <c r="M1913" s="8" t="s">
        <v>2780</v>
      </c>
      <c r="N1913" s="8" t="s">
        <v>272</v>
      </c>
      <c r="O1913" s="8">
        <v>422.7</v>
      </c>
      <c r="P1913" s="8">
        <v>469.67</v>
      </c>
      <c r="Q1913" s="8" t="s">
        <v>2750</v>
      </c>
      <c r="S1913" s="8" t="s">
        <v>393</v>
      </c>
      <c r="T1913" s="8">
        <v>123.2</v>
      </c>
    </row>
    <row r="1914" spans="1:20" x14ac:dyDescent="0.2">
      <c r="A1914" s="8" t="s">
        <v>3277</v>
      </c>
      <c r="B1914" s="8" t="str">
        <f t="shared" si="58"/>
        <v>1586244629</v>
      </c>
      <c r="C1914" s="8" t="str">
        <f t="shared" si="59"/>
        <v>1949</v>
      </c>
      <c r="D1914" s="8" t="s">
        <v>119</v>
      </c>
      <c r="F1914" s="8" t="s">
        <v>271</v>
      </c>
      <c r="G1914" s="8" t="s">
        <v>272</v>
      </c>
      <c r="H1914" s="8" t="s">
        <v>273</v>
      </c>
      <c r="I1914" s="8" t="s">
        <v>565</v>
      </c>
      <c r="J1914" s="8" t="s">
        <v>810</v>
      </c>
      <c r="K1914" s="8" t="s">
        <v>93</v>
      </c>
      <c r="L1914" s="8" t="s">
        <v>811</v>
      </c>
      <c r="M1914" s="8" t="s">
        <v>2780</v>
      </c>
      <c r="N1914" s="8" t="s">
        <v>272</v>
      </c>
      <c r="O1914" s="8">
        <v>422.7</v>
      </c>
      <c r="P1914" s="8">
        <v>469.67</v>
      </c>
      <c r="Q1914" s="8" t="s">
        <v>2750</v>
      </c>
      <c r="S1914" s="8" t="s">
        <v>142</v>
      </c>
      <c r="T1914" s="8">
        <v>93.69</v>
      </c>
    </row>
    <row r="1915" spans="1:20" x14ac:dyDescent="0.2">
      <c r="A1915" s="8" t="s">
        <v>4334</v>
      </c>
      <c r="B1915" s="8" t="str">
        <f t="shared" si="58"/>
        <v>1586244632</v>
      </c>
      <c r="C1915" s="8" t="str">
        <f t="shared" si="59"/>
        <v>1950</v>
      </c>
      <c r="D1915" s="8" t="s">
        <v>119</v>
      </c>
      <c r="F1915" s="8" t="s">
        <v>271</v>
      </c>
      <c r="G1915" s="8" t="s">
        <v>272</v>
      </c>
      <c r="H1915" s="8" t="s">
        <v>273</v>
      </c>
      <c r="I1915" s="8" t="s">
        <v>139</v>
      </c>
      <c r="J1915" s="8" t="s">
        <v>1586</v>
      </c>
      <c r="K1915" s="8" t="s">
        <v>310</v>
      </c>
      <c r="L1915" s="8" t="s">
        <v>1587</v>
      </c>
      <c r="M1915" s="8" t="s">
        <v>2780</v>
      </c>
      <c r="N1915" s="8" t="s">
        <v>272</v>
      </c>
      <c r="O1915" s="8">
        <v>793.77</v>
      </c>
      <c r="P1915" s="8">
        <v>881.97</v>
      </c>
      <c r="Q1915" s="8" t="s">
        <v>2751</v>
      </c>
      <c r="R1915" s="8" t="s">
        <v>2127</v>
      </c>
    </row>
    <row r="1916" spans="1:20" x14ac:dyDescent="0.2">
      <c r="A1916" s="8" t="s">
        <v>3261</v>
      </c>
      <c r="B1916" s="8" t="str">
        <f t="shared" si="58"/>
        <v>1586244632</v>
      </c>
      <c r="C1916" s="8" t="str">
        <f t="shared" si="59"/>
        <v>1951</v>
      </c>
      <c r="D1916" s="8" t="s">
        <v>119</v>
      </c>
      <c r="F1916" s="8" t="s">
        <v>271</v>
      </c>
      <c r="G1916" s="8" t="s">
        <v>272</v>
      </c>
      <c r="H1916" s="8" t="s">
        <v>273</v>
      </c>
      <c r="I1916" s="8" t="s">
        <v>139</v>
      </c>
      <c r="J1916" s="8" t="s">
        <v>1586</v>
      </c>
      <c r="K1916" s="8" t="s">
        <v>310</v>
      </c>
      <c r="L1916" s="8" t="s">
        <v>1587</v>
      </c>
      <c r="M1916" s="8" t="s">
        <v>2780</v>
      </c>
      <c r="N1916" s="8" t="s">
        <v>272</v>
      </c>
      <c r="O1916" s="8">
        <v>793.77</v>
      </c>
      <c r="P1916" s="8">
        <v>881.97</v>
      </c>
      <c r="Q1916" s="8" t="s">
        <v>2751</v>
      </c>
      <c r="R1916" s="8" t="s">
        <v>2066</v>
      </c>
    </row>
    <row r="1917" spans="1:20" x14ac:dyDescent="0.2">
      <c r="A1917" s="8" t="s">
        <v>2877</v>
      </c>
      <c r="B1917" s="8" t="str">
        <f t="shared" si="58"/>
        <v>1586244632</v>
      </c>
      <c r="C1917" s="8" t="str">
        <f t="shared" si="59"/>
        <v>1952</v>
      </c>
      <c r="D1917" s="8" t="s">
        <v>119</v>
      </c>
      <c r="F1917" s="8" t="s">
        <v>271</v>
      </c>
      <c r="G1917" s="8" t="s">
        <v>272</v>
      </c>
      <c r="H1917" s="8" t="s">
        <v>273</v>
      </c>
      <c r="I1917" s="8" t="s">
        <v>139</v>
      </c>
      <c r="J1917" s="8" t="s">
        <v>1586</v>
      </c>
      <c r="K1917" s="8" t="s">
        <v>310</v>
      </c>
      <c r="L1917" s="8" t="s">
        <v>1587</v>
      </c>
      <c r="M1917" s="8" t="s">
        <v>2780</v>
      </c>
      <c r="N1917" s="8" t="s">
        <v>272</v>
      </c>
      <c r="O1917" s="8">
        <v>793.77</v>
      </c>
      <c r="P1917" s="8">
        <v>881.97</v>
      </c>
      <c r="Q1917" s="8" t="s">
        <v>2751</v>
      </c>
      <c r="R1917" s="8" t="s">
        <v>1588</v>
      </c>
    </row>
    <row r="1918" spans="1:20" x14ac:dyDescent="0.2">
      <c r="A1918" s="8" t="s">
        <v>3552</v>
      </c>
      <c r="B1918" s="8" t="str">
        <f t="shared" si="58"/>
        <v>1586244632</v>
      </c>
      <c r="C1918" s="8" t="str">
        <f t="shared" si="59"/>
        <v>1953</v>
      </c>
      <c r="D1918" s="8" t="s">
        <v>119</v>
      </c>
      <c r="F1918" s="8" t="s">
        <v>271</v>
      </c>
      <c r="G1918" s="8" t="s">
        <v>272</v>
      </c>
      <c r="H1918" s="8" t="s">
        <v>273</v>
      </c>
      <c r="I1918" s="8" t="s">
        <v>139</v>
      </c>
      <c r="J1918" s="8" t="s">
        <v>1586</v>
      </c>
      <c r="K1918" s="8" t="s">
        <v>310</v>
      </c>
      <c r="L1918" s="8" t="s">
        <v>1587</v>
      </c>
      <c r="M1918" s="8" t="s">
        <v>2780</v>
      </c>
      <c r="N1918" s="8" t="s">
        <v>272</v>
      </c>
      <c r="O1918" s="8">
        <v>793.77</v>
      </c>
      <c r="P1918" s="8">
        <v>881.97</v>
      </c>
      <c r="Q1918" s="8" t="s">
        <v>2751</v>
      </c>
      <c r="R1918" s="8" t="s">
        <v>2113</v>
      </c>
    </row>
    <row r="1919" spans="1:20" x14ac:dyDescent="0.2">
      <c r="A1919" s="8" t="s">
        <v>3941</v>
      </c>
      <c r="B1919" s="8" t="str">
        <f t="shared" si="58"/>
        <v>1586244632</v>
      </c>
      <c r="C1919" s="8" t="str">
        <f t="shared" si="59"/>
        <v>1954</v>
      </c>
      <c r="D1919" s="8" t="s">
        <v>119</v>
      </c>
      <c r="F1919" s="8" t="s">
        <v>271</v>
      </c>
      <c r="G1919" s="8" t="s">
        <v>272</v>
      </c>
      <c r="H1919" s="8" t="s">
        <v>273</v>
      </c>
      <c r="I1919" s="8" t="s">
        <v>139</v>
      </c>
      <c r="J1919" s="8" t="s">
        <v>1586</v>
      </c>
      <c r="K1919" s="8" t="s">
        <v>310</v>
      </c>
      <c r="L1919" s="8" t="s">
        <v>1587</v>
      </c>
      <c r="M1919" s="8" t="s">
        <v>2780</v>
      </c>
      <c r="N1919" s="8" t="s">
        <v>272</v>
      </c>
      <c r="O1919" s="8">
        <v>793.77</v>
      </c>
      <c r="P1919" s="8">
        <v>881.97</v>
      </c>
      <c r="Q1919" s="8" t="s">
        <v>2751</v>
      </c>
      <c r="S1919" s="8" t="s">
        <v>1078</v>
      </c>
      <c r="T1919" s="8">
        <v>46.48</v>
      </c>
    </row>
    <row r="1920" spans="1:20" x14ac:dyDescent="0.2">
      <c r="A1920" s="8" t="s">
        <v>2854</v>
      </c>
      <c r="B1920" s="8" t="str">
        <f t="shared" si="58"/>
        <v>1586244632</v>
      </c>
      <c r="C1920" s="8" t="str">
        <f t="shared" si="59"/>
        <v>1955</v>
      </c>
      <c r="D1920" s="8" t="s">
        <v>119</v>
      </c>
      <c r="F1920" s="8" t="s">
        <v>271</v>
      </c>
      <c r="G1920" s="8" t="s">
        <v>272</v>
      </c>
      <c r="H1920" s="8" t="s">
        <v>273</v>
      </c>
      <c r="I1920" s="8" t="s">
        <v>139</v>
      </c>
      <c r="J1920" s="8" t="s">
        <v>1586</v>
      </c>
      <c r="K1920" s="8" t="s">
        <v>310</v>
      </c>
      <c r="L1920" s="8" t="s">
        <v>1587</v>
      </c>
      <c r="M1920" s="8" t="s">
        <v>2780</v>
      </c>
      <c r="N1920" s="8" t="s">
        <v>272</v>
      </c>
      <c r="O1920" s="8">
        <v>793.77</v>
      </c>
      <c r="P1920" s="8">
        <v>881.97</v>
      </c>
      <c r="Q1920" s="8" t="s">
        <v>2751</v>
      </c>
      <c r="S1920" s="8" t="s">
        <v>2227</v>
      </c>
      <c r="T1920" s="8">
        <v>69.34</v>
      </c>
    </row>
    <row r="1921" spans="1:20" x14ac:dyDescent="0.2">
      <c r="A1921" s="8" t="s">
        <v>3035</v>
      </c>
      <c r="B1921" s="8" t="str">
        <f t="shared" si="58"/>
        <v>1586244632</v>
      </c>
      <c r="C1921" s="8" t="str">
        <f t="shared" si="59"/>
        <v>1956</v>
      </c>
      <c r="D1921" s="8" t="s">
        <v>119</v>
      </c>
      <c r="F1921" s="8" t="s">
        <v>271</v>
      </c>
      <c r="G1921" s="8" t="s">
        <v>272</v>
      </c>
      <c r="H1921" s="8" t="s">
        <v>273</v>
      </c>
      <c r="I1921" s="8" t="s">
        <v>139</v>
      </c>
      <c r="J1921" s="8" t="s">
        <v>1586</v>
      </c>
      <c r="K1921" s="8" t="s">
        <v>310</v>
      </c>
      <c r="L1921" s="8" t="s">
        <v>1587</v>
      </c>
      <c r="M1921" s="8" t="s">
        <v>2780</v>
      </c>
      <c r="N1921" s="8" t="s">
        <v>272</v>
      </c>
      <c r="O1921" s="8">
        <v>793.77</v>
      </c>
      <c r="P1921" s="8">
        <v>881.97</v>
      </c>
      <c r="Q1921" s="8" t="s">
        <v>2751</v>
      </c>
      <c r="S1921" s="8" t="s">
        <v>542</v>
      </c>
      <c r="T1921" s="8">
        <v>154.91999999999999</v>
      </c>
    </row>
    <row r="1922" spans="1:20" x14ac:dyDescent="0.2">
      <c r="A1922" s="8" t="s">
        <v>4283</v>
      </c>
      <c r="B1922" s="8" t="str">
        <f t="shared" ref="B1922:B1985" si="60">LEFT(A1922, FIND("-", A1922) - 1)</f>
        <v>1586244632</v>
      </c>
      <c r="C1922" s="8" t="str">
        <f t="shared" ref="C1922:C1985" si="61">RIGHT(A1922, LEN(A1922) - FIND("-", A1922))</f>
        <v>1957</v>
      </c>
      <c r="D1922" s="8" t="s">
        <v>119</v>
      </c>
      <c r="F1922" s="8" t="s">
        <v>271</v>
      </c>
      <c r="G1922" s="8" t="s">
        <v>272</v>
      </c>
      <c r="H1922" s="8" t="s">
        <v>273</v>
      </c>
      <c r="I1922" s="8" t="s">
        <v>139</v>
      </c>
      <c r="J1922" s="8" t="s">
        <v>1586</v>
      </c>
      <c r="K1922" s="8" t="s">
        <v>310</v>
      </c>
      <c r="L1922" s="8" t="s">
        <v>1587</v>
      </c>
      <c r="M1922" s="8" t="s">
        <v>2780</v>
      </c>
      <c r="N1922" s="8" t="s">
        <v>272</v>
      </c>
      <c r="O1922" s="8">
        <v>793.77</v>
      </c>
      <c r="P1922" s="8">
        <v>881.97</v>
      </c>
      <c r="Q1922" s="8" t="s">
        <v>2751</v>
      </c>
      <c r="S1922" s="8" t="s">
        <v>393</v>
      </c>
      <c r="T1922" s="8">
        <v>169.67</v>
      </c>
    </row>
    <row r="1923" spans="1:20" x14ac:dyDescent="0.2">
      <c r="A1923" s="8" t="s">
        <v>4215</v>
      </c>
      <c r="B1923" s="8" t="str">
        <f t="shared" si="60"/>
        <v>1586244634</v>
      </c>
      <c r="C1923" s="8" t="str">
        <f t="shared" si="61"/>
        <v>1958</v>
      </c>
      <c r="D1923" s="8" t="s">
        <v>119</v>
      </c>
      <c r="F1923" s="8" t="s">
        <v>271</v>
      </c>
      <c r="G1923" s="8" t="s">
        <v>272</v>
      </c>
      <c r="H1923" s="8" t="s">
        <v>273</v>
      </c>
      <c r="I1923" s="8" t="s">
        <v>190</v>
      </c>
      <c r="J1923" s="8" t="s">
        <v>319</v>
      </c>
      <c r="K1923" s="8" t="s">
        <v>275</v>
      </c>
      <c r="L1923" s="8" t="s">
        <v>320</v>
      </c>
      <c r="M1923" s="8" t="s">
        <v>2780</v>
      </c>
      <c r="N1923" s="8" t="s">
        <v>272</v>
      </c>
      <c r="O1923" s="8">
        <v>878.61</v>
      </c>
      <c r="P1923" s="8">
        <v>976.23</v>
      </c>
      <c r="Q1923" s="8" t="s">
        <v>2752</v>
      </c>
      <c r="R1923" s="8" t="s">
        <v>1545</v>
      </c>
    </row>
    <row r="1924" spans="1:20" x14ac:dyDescent="0.2">
      <c r="A1924" s="8" t="s">
        <v>3706</v>
      </c>
      <c r="B1924" s="8" t="str">
        <f t="shared" si="60"/>
        <v>1586244634</v>
      </c>
      <c r="C1924" s="8" t="str">
        <f t="shared" si="61"/>
        <v>1959</v>
      </c>
      <c r="D1924" s="8" t="s">
        <v>119</v>
      </c>
      <c r="F1924" s="8" t="s">
        <v>271</v>
      </c>
      <c r="G1924" s="8" t="s">
        <v>272</v>
      </c>
      <c r="H1924" s="8" t="s">
        <v>273</v>
      </c>
      <c r="I1924" s="8" t="s">
        <v>190</v>
      </c>
      <c r="J1924" s="8" t="s">
        <v>319</v>
      </c>
      <c r="K1924" s="8" t="s">
        <v>275</v>
      </c>
      <c r="L1924" s="8" t="s">
        <v>320</v>
      </c>
      <c r="M1924" s="8" t="s">
        <v>2780</v>
      </c>
      <c r="N1924" s="8" t="s">
        <v>272</v>
      </c>
      <c r="O1924" s="8">
        <v>878.61</v>
      </c>
      <c r="P1924" s="8">
        <v>976.23</v>
      </c>
      <c r="Q1924" s="8" t="s">
        <v>2752</v>
      </c>
      <c r="R1924" s="8" t="s">
        <v>1136</v>
      </c>
    </row>
    <row r="1925" spans="1:20" x14ac:dyDescent="0.2">
      <c r="A1925" s="8" t="s">
        <v>3476</v>
      </c>
      <c r="B1925" s="8" t="str">
        <f t="shared" si="60"/>
        <v>1586244634</v>
      </c>
      <c r="C1925" s="8" t="str">
        <f t="shared" si="61"/>
        <v>1960</v>
      </c>
      <c r="D1925" s="8" t="s">
        <v>119</v>
      </c>
      <c r="F1925" s="8" t="s">
        <v>271</v>
      </c>
      <c r="G1925" s="8" t="s">
        <v>272</v>
      </c>
      <c r="H1925" s="8" t="s">
        <v>273</v>
      </c>
      <c r="I1925" s="8" t="s">
        <v>190</v>
      </c>
      <c r="J1925" s="8" t="s">
        <v>319</v>
      </c>
      <c r="K1925" s="8" t="s">
        <v>275</v>
      </c>
      <c r="L1925" s="8" t="s">
        <v>320</v>
      </c>
      <c r="M1925" s="8" t="s">
        <v>2780</v>
      </c>
      <c r="N1925" s="8" t="s">
        <v>272</v>
      </c>
      <c r="O1925" s="8">
        <v>878.61</v>
      </c>
      <c r="P1925" s="8">
        <v>976.23</v>
      </c>
      <c r="Q1925" s="8" t="s">
        <v>2752</v>
      </c>
      <c r="R1925" s="8" t="s">
        <v>1921</v>
      </c>
    </row>
    <row r="1926" spans="1:20" x14ac:dyDescent="0.2">
      <c r="A1926" s="8" t="s">
        <v>3937</v>
      </c>
      <c r="B1926" s="8" t="str">
        <f t="shared" si="60"/>
        <v>1586244634</v>
      </c>
      <c r="C1926" s="8" t="str">
        <f t="shared" si="61"/>
        <v>1961</v>
      </c>
      <c r="D1926" s="8" t="s">
        <v>119</v>
      </c>
      <c r="F1926" s="8" t="s">
        <v>271</v>
      </c>
      <c r="G1926" s="8" t="s">
        <v>272</v>
      </c>
      <c r="H1926" s="8" t="s">
        <v>273</v>
      </c>
      <c r="I1926" s="8" t="s">
        <v>190</v>
      </c>
      <c r="J1926" s="8" t="s">
        <v>319</v>
      </c>
      <c r="K1926" s="8" t="s">
        <v>275</v>
      </c>
      <c r="L1926" s="8" t="s">
        <v>320</v>
      </c>
      <c r="M1926" s="8" t="s">
        <v>2780</v>
      </c>
      <c r="N1926" s="8" t="s">
        <v>272</v>
      </c>
      <c r="O1926" s="8">
        <v>878.61</v>
      </c>
      <c r="P1926" s="8">
        <v>976.23</v>
      </c>
      <c r="Q1926" s="8" t="s">
        <v>2752</v>
      </c>
      <c r="R1926" s="8" t="s">
        <v>1988</v>
      </c>
    </row>
    <row r="1927" spans="1:20" x14ac:dyDescent="0.2">
      <c r="A1927" s="8" t="s">
        <v>4668</v>
      </c>
      <c r="B1927" s="8" t="str">
        <f t="shared" si="60"/>
        <v>1586244634</v>
      </c>
      <c r="C1927" s="8" t="str">
        <f t="shared" si="61"/>
        <v>1962</v>
      </c>
      <c r="D1927" s="8" t="s">
        <v>119</v>
      </c>
      <c r="F1927" s="8" t="s">
        <v>271</v>
      </c>
      <c r="G1927" s="8" t="s">
        <v>272</v>
      </c>
      <c r="H1927" s="8" t="s">
        <v>273</v>
      </c>
      <c r="I1927" s="8" t="s">
        <v>190</v>
      </c>
      <c r="J1927" s="8" t="s">
        <v>319</v>
      </c>
      <c r="K1927" s="8" t="s">
        <v>275</v>
      </c>
      <c r="L1927" s="8" t="s">
        <v>320</v>
      </c>
      <c r="M1927" s="8" t="s">
        <v>2780</v>
      </c>
      <c r="N1927" s="8" t="s">
        <v>272</v>
      </c>
      <c r="O1927" s="8">
        <v>878.61</v>
      </c>
      <c r="P1927" s="8">
        <v>976.23</v>
      </c>
      <c r="Q1927" s="8" t="s">
        <v>2752</v>
      </c>
      <c r="R1927" s="8" t="s">
        <v>2204</v>
      </c>
    </row>
    <row r="1928" spans="1:20" x14ac:dyDescent="0.2">
      <c r="A1928" s="8" t="s">
        <v>4556</v>
      </c>
      <c r="B1928" s="8" t="str">
        <f t="shared" si="60"/>
        <v>1586244634</v>
      </c>
      <c r="C1928" s="8" t="str">
        <f t="shared" si="61"/>
        <v>1963</v>
      </c>
      <c r="D1928" s="8" t="s">
        <v>119</v>
      </c>
      <c r="F1928" s="8" t="s">
        <v>271</v>
      </c>
      <c r="G1928" s="8" t="s">
        <v>272</v>
      </c>
      <c r="H1928" s="8" t="s">
        <v>273</v>
      </c>
      <c r="I1928" s="8" t="s">
        <v>190</v>
      </c>
      <c r="J1928" s="8" t="s">
        <v>319</v>
      </c>
      <c r="K1928" s="8" t="s">
        <v>275</v>
      </c>
      <c r="L1928" s="8" t="s">
        <v>320</v>
      </c>
      <c r="M1928" s="8" t="s">
        <v>2780</v>
      </c>
      <c r="N1928" s="8" t="s">
        <v>272</v>
      </c>
      <c r="O1928" s="8">
        <v>878.61</v>
      </c>
      <c r="P1928" s="8">
        <v>976.23</v>
      </c>
      <c r="Q1928" s="8" t="s">
        <v>2752</v>
      </c>
      <c r="R1928" s="8" t="s">
        <v>321</v>
      </c>
    </row>
    <row r="1929" spans="1:20" x14ac:dyDescent="0.2">
      <c r="A1929" s="8" t="s">
        <v>3919</v>
      </c>
      <c r="B1929" s="8" t="str">
        <f t="shared" si="60"/>
        <v>1586244634</v>
      </c>
      <c r="C1929" s="8" t="str">
        <f t="shared" si="61"/>
        <v>1964</v>
      </c>
      <c r="D1929" s="8" t="s">
        <v>119</v>
      </c>
      <c r="F1929" s="8" t="s">
        <v>271</v>
      </c>
      <c r="G1929" s="8" t="s">
        <v>272</v>
      </c>
      <c r="H1929" s="8" t="s">
        <v>273</v>
      </c>
      <c r="I1929" s="8" t="s">
        <v>190</v>
      </c>
      <c r="J1929" s="8" t="s">
        <v>319</v>
      </c>
      <c r="K1929" s="8" t="s">
        <v>275</v>
      </c>
      <c r="L1929" s="8" t="s">
        <v>320</v>
      </c>
      <c r="M1929" s="8" t="s">
        <v>2780</v>
      </c>
      <c r="N1929" s="8" t="s">
        <v>272</v>
      </c>
      <c r="O1929" s="8">
        <v>878.61</v>
      </c>
      <c r="P1929" s="8">
        <v>976.23</v>
      </c>
      <c r="Q1929" s="8" t="s">
        <v>2752</v>
      </c>
      <c r="S1929" s="8" t="s">
        <v>1078</v>
      </c>
      <c r="T1929" s="8">
        <v>115.82</v>
      </c>
    </row>
    <row r="1930" spans="1:20" x14ac:dyDescent="0.2">
      <c r="A1930" s="8" t="s">
        <v>4725</v>
      </c>
      <c r="B1930" s="8" t="str">
        <f t="shared" si="60"/>
        <v>1586244634</v>
      </c>
      <c r="C1930" s="8" t="str">
        <f t="shared" si="61"/>
        <v>1965</v>
      </c>
      <c r="D1930" s="8" t="s">
        <v>119</v>
      </c>
      <c r="F1930" s="8" t="s">
        <v>271</v>
      </c>
      <c r="G1930" s="8" t="s">
        <v>272</v>
      </c>
      <c r="H1930" s="8" t="s">
        <v>273</v>
      </c>
      <c r="I1930" s="8" t="s">
        <v>190</v>
      </c>
      <c r="J1930" s="8" t="s">
        <v>319</v>
      </c>
      <c r="K1930" s="8" t="s">
        <v>275</v>
      </c>
      <c r="L1930" s="8" t="s">
        <v>320</v>
      </c>
      <c r="M1930" s="8" t="s">
        <v>2780</v>
      </c>
      <c r="N1930" s="8" t="s">
        <v>272</v>
      </c>
      <c r="O1930" s="8">
        <v>878.61</v>
      </c>
      <c r="P1930" s="8">
        <v>976.23</v>
      </c>
      <c r="Q1930" s="8" t="s">
        <v>2752</v>
      </c>
      <c r="S1930" s="8" t="s">
        <v>503</v>
      </c>
      <c r="T1930" s="8">
        <v>578.36</v>
      </c>
    </row>
    <row r="1931" spans="1:20" x14ac:dyDescent="0.2">
      <c r="A1931" s="8" t="s">
        <v>2792</v>
      </c>
      <c r="B1931" s="8" t="str">
        <f t="shared" si="60"/>
        <v>1586244634</v>
      </c>
      <c r="C1931" s="8" t="str">
        <f t="shared" si="61"/>
        <v>1966</v>
      </c>
      <c r="D1931" s="8" t="s">
        <v>119</v>
      </c>
      <c r="F1931" s="8" t="s">
        <v>271</v>
      </c>
      <c r="G1931" s="8" t="s">
        <v>272</v>
      </c>
      <c r="H1931" s="8" t="s">
        <v>273</v>
      </c>
      <c r="I1931" s="8" t="s">
        <v>190</v>
      </c>
      <c r="J1931" s="8" t="s">
        <v>319</v>
      </c>
      <c r="K1931" s="8" t="s">
        <v>275</v>
      </c>
      <c r="L1931" s="8" t="s">
        <v>320</v>
      </c>
      <c r="M1931" s="8" t="s">
        <v>2780</v>
      </c>
      <c r="N1931" s="8" t="s">
        <v>272</v>
      </c>
      <c r="O1931" s="8">
        <v>878.61</v>
      </c>
      <c r="P1931" s="8">
        <v>976.23</v>
      </c>
      <c r="Q1931" s="8" t="s">
        <v>2752</v>
      </c>
      <c r="S1931" s="8" t="s">
        <v>393</v>
      </c>
      <c r="T1931" s="8">
        <v>200.66</v>
      </c>
    </row>
    <row r="1932" spans="1:20" x14ac:dyDescent="0.2">
      <c r="A1932" s="8" t="s">
        <v>2779</v>
      </c>
      <c r="B1932" s="8" t="str">
        <f t="shared" si="60"/>
        <v>1586244634</v>
      </c>
      <c r="C1932" s="8" t="str">
        <f t="shared" si="61"/>
        <v>1967</v>
      </c>
      <c r="D1932" s="8" t="s">
        <v>119</v>
      </c>
      <c r="F1932" s="8" t="s">
        <v>271</v>
      </c>
      <c r="G1932" s="8" t="s">
        <v>272</v>
      </c>
      <c r="H1932" s="8" t="s">
        <v>273</v>
      </c>
      <c r="I1932" s="8" t="s">
        <v>190</v>
      </c>
      <c r="J1932" s="8" t="s">
        <v>319</v>
      </c>
      <c r="K1932" s="8" t="s">
        <v>275</v>
      </c>
      <c r="L1932" s="8" t="s">
        <v>320</v>
      </c>
      <c r="M1932" s="8" t="s">
        <v>2780</v>
      </c>
      <c r="N1932" s="8" t="s">
        <v>272</v>
      </c>
      <c r="O1932" s="8">
        <v>878.61</v>
      </c>
      <c r="P1932" s="8">
        <v>976.23</v>
      </c>
      <c r="Q1932" s="8" t="s">
        <v>2752</v>
      </c>
      <c r="S1932" s="8" t="s">
        <v>2024</v>
      </c>
      <c r="T1932" s="8">
        <v>178.52</v>
      </c>
    </row>
    <row r="1933" spans="1:20" x14ac:dyDescent="0.2">
      <c r="A1933" s="8" t="s">
        <v>3437</v>
      </c>
      <c r="B1933" s="8" t="str">
        <f t="shared" si="60"/>
        <v>1586244634</v>
      </c>
      <c r="C1933" s="8" t="str">
        <f t="shared" si="61"/>
        <v>1968</v>
      </c>
      <c r="D1933" s="8" t="s">
        <v>119</v>
      </c>
      <c r="F1933" s="8" t="s">
        <v>271</v>
      </c>
      <c r="G1933" s="8" t="s">
        <v>272</v>
      </c>
      <c r="H1933" s="8" t="s">
        <v>273</v>
      </c>
      <c r="I1933" s="8" t="s">
        <v>190</v>
      </c>
      <c r="J1933" s="8" t="s">
        <v>319</v>
      </c>
      <c r="K1933" s="8" t="s">
        <v>275</v>
      </c>
      <c r="L1933" s="8" t="s">
        <v>320</v>
      </c>
      <c r="M1933" s="8" t="s">
        <v>2780</v>
      </c>
      <c r="N1933" s="8" t="s">
        <v>272</v>
      </c>
      <c r="O1933" s="8">
        <v>878.61</v>
      </c>
      <c r="P1933" s="8">
        <v>976.23</v>
      </c>
      <c r="Q1933" s="8" t="s">
        <v>2752</v>
      </c>
      <c r="S1933" s="8" t="s">
        <v>232</v>
      </c>
      <c r="T1933" s="8">
        <v>424.18</v>
      </c>
    </row>
    <row r="1934" spans="1:20" x14ac:dyDescent="0.2">
      <c r="A1934" s="8" t="s">
        <v>4711</v>
      </c>
      <c r="B1934" s="8" t="str">
        <f t="shared" si="60"/>
        <v>1586244636</v>
      </c>
      <c r="C1934" s="8" t="str">
        <f t="shared" si="61"/>
        <v>1969</v>
      </c>
      <c r="D1934" s="8" t="s">
        <v>119</v>
      </c>
      <c r="F1934" s="8" t="s">
        <v>271</v>
      </c>
      <c r="G1934" s="8" t="s">
        <v>272</v>
      </c>
      <c r="H1934" s="8" t="s">
        <v>273</v>
      </c>
      <c r="I1934" s="8" t="s">
        <v>125</v>
      </c>
      <c r="J1934" s="8" t="s">
        <v>274</v>
      </c>
      <c r="K1934" s="8" t="s">
        <v>275</v>
      </c>
      <c r="L1934" s="8" t="s">
        <v>276</v>
      </c>
      <c r="M1934" s="8" t="s">
        <v>2780</v>
      </c>
      <c r="N1934" s="8" t="s">
        <v>272</v>
      </c>
      <c r="O1934" s="8">
        <v>469.92</v>
      </c>
      <c r="P1934" s="8">
        <v>522.13</v>
      </c>
      <c r="Q1934" s="8" t="s">
        <v>2753</v>
      </c>
      <c r="R1934" s="8" t="s">
        <v>1797</v>
      </c>
    </row>
    <row r="1935" spans="1:20" x14ac:dyDescent="0.2">
      <c r="A1935" s="8" t="s">
        <v>3578</v>
      </c>
      <c r="B1935" s="8" t="str">
        <f t="shared" si="60"/>
        <v>1586244636</v>
      </c>
      <c r="C1935" s="8" t="str">
        <f t="shared" si="61"/>
        <v>1970</v>
      </c>
      <c r="D1935" s="8" t="s">
        <v>119</v>
      </c>
      <c r="F1935" s="8" t="s">
        <v>271</v>
      </c>
      <c r="G1935" s="8" t="s">
        <v>272</v>
      </c>
      <c r="H1935" s="8" t="s">
        <v>273</v>
      </c>
      <c r="I1935" s="8" t="s">
        <v>125</v>
      </c>
      <c r="J1935" s="8" t="s">
        <v>274</v>
      </c>
      <c r="K1935" s="8" t="s">
        <v>275</v>
      </c>
      <c r="L1935" s="8" t="s">
        <v>276</v>
      </c>
      <c r="M1935" s="8" t="s">
        <v>2780</v>
      </c>
      <c r="N1935" s="8" t="s">
        <v>272</v>
      </c>
      <c r="O1935" s="8">
        <v>469.92</v>
      </c>
      <c r="P1935" s="8">
        <v>522.13</v>
      </c>
      <c r="Q1935" s="8" t="s">
        <v>2753</v>
      </c>
      <c r="R1935" s="8" t="s">
        <v>1790</v>
      </c>
    </row>
    <row r="1936" spans="1:20" x14ac:dyDescent="0.2">
      <c r="A1936" s="8" t="s">
        <v>4661</v>
      </c>
      <c r="B1936" s="8" t="str">
        <f t="shared" si="60"/>
        <v>1586244636</v>
      </c>
      <c r="C1936" s="8" t="str">
        <f t="shared" si="61"/>
        <v>1971</v>
      </c>
      <c r="D1936" s="8" t="s">
        <v>119</v>
      </c>
      <c r="F1936" s="8" t="s">
        <v>271</v>
      </c>
      <c r="G1936" s="8" t="s">
        <v>272</v>
      </c>
      <c r="H1936" s="8" t="s">
        <v>273</v>
      </c>
      <c r="I1936" s="8" t="s">
        <v>125</v>
      </c>
      <c r="J1936" s="8" t="s">
        <v>274</v>
      </c>
      <c r="K1936" s="8" t="s">
        <v>275</v>
      </c>
      <c r="L1936" s="8" t="s">
        <v>276</v>
      </c>
      <c r="M1936" s="8" t="s">
        <v>2780</v>
      </c>
      <c r="N1936" s="8" t="s">
        <v>272</v>
      </c>
      <c r="O1936" s="8">
        <v>469.92</v>
      </c>
      <c r="P1936" s="8">
        <v>522.13</v>
      </c>
      <c r="Q1936" s="8" t="s">
        <v>2753</v>
      </c>
      <c r="R1936" s="8" t="s">
        <v>2360</v>
      </c>
    </row>
    <row r="1937" spans="1:20" x14ac:dyDescent="0.2">
      <c r="A1937" s="8" t="s">
        <v>4592</v>
      </c>
      <c r="B1937" s="8" t="str">
        <f t="shared" si="60"/>
        <v>1586244636</v>
      </c>
      <c r="C1937" s="8" t="str">
        <f t="shared" si="61"/>
        <v>1972</v>
      </c>
      <c r="D1937" s="8" t="s">
        <v>119</v>
      </c>
      <c r="F1937" s="8" t="s">
        <v>271</v>
      </c>
      <c r="G1937" s="8" t="s">
        <v>272</v>
      </c>
      <c r="H1937" s="8" t="s">
        <v>273</v>
      </c>
      <c r="I1937" s="8" t="s">
        <v>125</v>
      </c>
      <c r="J1937" s="8" t="s">
        <v>274</v>
      </c>
      <c r="K1937" s="8" t="s">
        <v>275</v>
      </c>
      <c r="L1937" s="8" t="s">
        <v>276</v>
      </c>
      <c r="M1937" s="8" t="s">
        <v>2780</v>
      </c>
      <c r="N1937" s="8" t="s">
        <v>272</v>
      </c>
      <c r="O1937" s="8">
        <v>469.92</v>
      </c>
      <c r="P1937" s="8">
        <v>522.13</v>
      </c>
      <c r="Q1937" s="8" t="s">
        <v>2753</v>
      </c>
      <c r="R1937" s="8" t="s">
        <v>1487</v>
      </c>
    </row>
    <row r="1938" spans="1:20" x14ac:dyDescent="0.2">
      <c r="A1938" s="8" t="s">
        <v>3861</v>
      </c>
      <c r="B1938" s="8" t="str">
        <f t="shared" si="60"/>
        <v>1586244636</v>
      </c>
      <c r="C1938" s="8" t="str">
        <f t="shared" si="61"/>
        <v>1973</v>
      </c>
      <c r="D1938" s="8" t="s">
        <v>119</v>
      </c>
      <c r="F1938" s="8" t="s">
        <v>271</v>
      </c>
      <c r="G1938" s="8" t="s">
        <v>272</v>
      </c>
      <c r="H1938" s="8" t="s">
        <v>273</v>
      </c>
      <c r="I1938" s="8" t="s">
        <v>125</v>
      </c>
      <c r="J1938" s="8" t="s">
        <v>274</v>
      </c>
      <c r="K1938" s="8" t="s">
        <v>275</v>
      </c>
      <c r="L1938" s="8" t="s">
        <v>276</v>
      </c>
      <c r="M1938" s="8" t="s">
        <v>2780</v>
      </c>
      <c r="N1938" s="8" t="s">
        <v>272</v>
      </c>
      <c r="O1938" s="8">
        <v>469.92</v>
      </c>
      <c r="P1938" s="8">
        <v>522.13</v>
      </c>
      <c r="Q1938" s="8" t="s">
        <v>2753</v>
      </c>
      <c r="R1938" s="8" t="s">
        <v>277</v>
      </c>
    </row>
    <row r="1939" spans="1:20" x14ac:dyDescent="0.2">
      <c r="A1939" s="8" t="s">
        <v>4548</v>
      </c>
      <c r="B1939" s="8" t="str">
        <f t="shared" si="60"/>
        <v>1586244636</v>
      </c>
      <c r="C1939" s="8" t="str">
        <f t="shared" si="61"/>
        <v>1974</v>
      </c>
      <c r="D1939" s="8" t="s">
        <v>119</v>
      </c>
      <c r="F1939" s="8" t="s">
        <v>271</v>
      </c>
      <c r="G1939" s="8" t="s">
        <v>272</v>
      </c>
      <c r="H1939" s="8" t="s">
        <v>273</v>
      </c>
      <c r="I1939" s="8" t="s">
        <v>125</v>
      </c>
      <c r="J1939" s="8" t="s">
        <v>274</v>
      </c>
      <c r="K1939" s="8" t="s">
        <v>275</v>
      </c>
      <c r="L1939" s="8" t="s">
        <v>276</v>
      </c>
      <c r="M1939" s="8" t="s">
        <v>2780</v>
      </c>
      <c r="N1939" s="8" t="s">
        <v>272</v>
      </c>
      <c r="O1939" s="8">
        <v>469.92</v>
      </c>
      <c r="P1939" s="8">
        <v>522.13</v>
      </c>
      <c r="Q1939" s="8" t="s">
        <v>2753</v>
      </c>
      <c r="R1939" s="8" t="s">
        <v>2356</v>
      </c>
    </row>
    <row r="1940" spans="1:20" x14ac:dyDescent="0.2">
      <c r="A1940" s="8" t="s">
        <v>4480</v>
      </c>
      <c r="B1940" s="8" t="str">
        <f t="shared" si="60"/>
        <v>1586244636</v>
      </c>
      <c r="C1940" s="8" t="str">
        <f t="shared" si="61"/>
        <v>1975</v>
      </c>
      <c r="D1940" s="8" t="s">
        <v>119</v>
      </c>
      <c r="F1940" s="8" t="s">
        <v>271</v>
      </c>
      <c r="G1940" s="8" t="s">
        <v>272</v>
      </c>
      <c r="H1940" s="8" t="s">
        <v>273</v>
      </c>
      <c r="I1940" s="8" t="s">
        <v>125</v>
      </c>
      <c r="J1940" s="8" t="s">
        <v>274</v>
      </c>
      <c r="K1940" s="8" t="s">
        <v>275</v>
      </c>
      <c r="L1940" s="8" t="s">
        <v>276</v>
      </c>
      <c r="M1940" s="8" t="s">
        <v>2780</v>
      </c>
      <c r="N1940" s="8" t="s">
        <v>272</v>
      </c>
      <c r="O1940" s="8">
        <v>469.92</v>
      </c>
      <c r="P1940" s="8">
        <v>522.13</v>
      </c>
      <c r="Q1940" s="8" t="s">
        <v>2753</v>
      </c>
      <c r="S1940" s="8" t="s">
        <v>1780</v>
      </c>
      <c r="T1940" s="8">
        <v>169.67</v>
      </c>
    </row>
    <row r="1941" spans="1:20" x14ac:dyDescent="0.2">
      <c r="A1941" s="8" t="s">
        <v>3390</v>
      </c>
      <c r="B1941" s="8" t="str">
        <f t="shared" si="60"/>
        <v>1586244636</v>
      </c>
      <c r="C1941" s="8" t="str">
        <f t="shared" si="61"/>
        <v>1976</v>
      </c>
      <c r="D1941" s="8" t="s">
        <v>119</v>
      </c>
      <c r="F1941" s="8" t="s">
        <v>271</v>
      </c>
      <c r="G1941" s="8" t="s">
        <v>272</v>
      </c>
      <c r="H1941" s="8" t="s">
        <v>273</v>
      </c>
      <c r="I1941" s="8" t="s">
        <v>125</v>
      </c>
      <c r="J1941" s="8" t="s">
        <v>274</v>
      </c>
      <c r="K1941" s="8" t="s">
        <v>275</v>
      </c>
      <c r="L1941" s="8" t="s">
        <v>276</v>
      </c>
      <c r="M1941" s="8" t="s">
        <v>2780</v>
      </c>
      <c r="N1941" s="8" t="s">
        <v>272</v>
      </c>
      <c r="O1941" s="8">
        <v>469.92</v>
      </c>
      <c r="P1941" s="8">
        <v>522.13</v>
      </c>
      <c r="Q1941" s="8" t="s">
        <v>2753</v>
      </c>
      <c r="S1941" s="8" t="s">
        <v>1078</v>
      </c>
      <c r="T1941" s="8">
        <v>38.36</v>
      </c>
    </row>
    <row r="1942" spans="1:20" x14ac:dyDescent="0.2">
      <c r="A1942" s="8" t="s">
        <v>3131</v>
      </c>
      <c r="B1942" s="8" t="str">
        <f t="shared" si="60"/>
        <v>1586244636</v>
      </c>
      <c r="C1942" s="8" t="str">
        <f t="shared" si="61"/>
        <v>1977</v>
      </c>
      <c r="D1942" s="8" t="s">
        <v>119</v>
      </c>
      <c r="F1942" s="8" t="s">
        <v>271</v>
      </c>
      <c r="G1942" s="8" t="s">
        <v>272</v>
      </c>
      <c r="H1942" s="8" t="s">
        <v>273</v>
      </c>
      <c r="I1942" s="8" t="s">
        <v>125</v>
      </c>
      <c r="J1942" s="8" t="s">
        <v>274</v>
      </c>
      <c r="K1942" s="8" t="s">
        <v>275</v>
      </c>
      <c r="L1942" s="8" t="s">
        <v>276</v>
      </c>
      <c r="M1942" s="8" t="s">
        <v>2780</v>
      </c>
      <c r="N1942" s="8" t="s">
        <v>272</v>
      </c>
      <c r="O1942" s="8">
        <v>469.92</v>
      </c>
      <c r="P1942" s="8">
        <v>522.13</v>
      </c>
      <c r="Q1942" s="8" t="s">
        <v>2753</v>
      </c>
      <c r="S1942" s="8" t="s">
        <v>393</v>
      </c>
      <c r="T1942" s="8">
        <v>77.459999999999994</v>
      </c>
    </row>
    <row r="1943" spans="1:20" x14ac:dyDescent="0.2">
      <c r="A1943" s="8" t="s">
        <v>4145</v>
      </c>
      <c r="B1943" s="8" t="str">
        <f t="shared" si="60"/>
        <v>1586244636</v>
      </c>
      <c r="C1943" s="8" t="str">
        <f t="shared" si="61"/>
        <v>1978</v>
      </c>
      <c r="D1943" s="8" t="s">
        <v>119</v>
      </c>
      <c r="F1943" s="8" t="s">
        <v>271</v>
      </c>
      <c r="G1943" s="8" t="s">
        <v>272</v>
      </c>
      <c r="H1943" s="8" t="s">
        <v>273</v>
      </c>
      <c r="I1943" s="8" t="s">
        <v>125</v>
      </c>
      <c r="J1943" s="8" t="s">
        <v>274</v>
      </c>
      <c r="K1943" s="8" t="s">
        <v>275</v>
      </c>
      <c r="L1943" s="8" t="s">
        <v>276</v>
      </c>
      <c r="M1943" s="8" t="s">
        <v>2780</v>
      </c>
      <c r="N1943" s="8" t="s">
        <v>272</v>
      </c>
      <c r="O1943" s="8">
        <v>469.92</v>
      </c>
      <c r="P1943" s="8">
        <v>522.13</v>
      </c>
      <c r="Q1943" s="8" t="s">
        <v>2753</v>
      </c>
      <c r="S1943" s="8" t="s">
        <v>1081</v>
      </c>
      <c r="T1943" s="8">
        <v>0</v>
      </c>
    </row>
    <row r="1944" spans="1:20" x14ac:dyDescent="0.2">
      <c r="A1944" s="8" t="s">
        <v>3073</v>
      </c>
      <c r="B1944" s="8" t="str">
        <f t="shared" si="60"/>
        <v>1586244638</v>
      </c>
      <c r="C1944" s="8" t="str">
        <f t="shared" si="61"/>
        <v>1979</v>
      </c>
      <c r="D1944" s="8" t="s">
        <v>119</v>
      </c>
      <c r="F1944" s="8" t="s">
        <v>271</v>
      </c>
      <c r="G1944" s="8" t="s">
        <v>272</v>
      </c>
      <c r="H1944" s="8" t="s">
        <v>273</v>
      </c>
      <c r="I1944" s="8" t="s">
        <v>1079</v>
      </c>
      <c r="J1944" s="8" t="s">
        <v>1080</v>
      </c>
      <c r="K1944" s="8" t="s">
        <v>1081</v>
      </c>
      <c r="L1944" s="8" t="s">
        <v>1082</v>
      </c>
      <c r="M1944" s="8" t="s">
        <v>2780</v>
      </c>
      <c r="N1944" s="8" t="s">
        <v>272</v>
      </c>
      <c r="O1944" s="8">
        <v>0</v>
      </c>
      <c r="P1944" s="8">
        <v>0</v>
      </c>
      <c r="Q1944" s="8" t="s">
        <v>2754</v>
      </c>
      <c r="R1944" s="8" t="s">
        <v>1890</v>
      </c>
    </row>
    <row r="1945" spans="1:20" x14ac:dyDescent="0.2">
      <c r="A1945" s="8" t="s">
        <v>3344</v>
      </c>
      <c r="B1945" s="8" t="str">
        <f t="shared" si="60"/>
        <v>1586244638</v>
      </c>
      <c r="C1945" s="8" t="str">
        <f t="shared" si="61"/>
        <v>1980</v>
      </c>
      <c r="D1945" s="8" t="s">
        <v>119</v>
      </c>
      <c r="F1945" s="8" t="s">
        <v>271</v>
      </c>
      <c r="G1945" s="8" t="s">
        <v>272</v>
      </c>
      <c r="H1945" s="8" t="s">
        <v>273</v>
      </c>
      <c r="I1945" s="8" t="s">
        <v>1079</v>
      </c>
      <c r="J1945" s="8" t="s">
        <v>1080</v>
      </c>
      <c r="K1945" s="8" t="s">
        <v>1081</v>
      </c>
      <c r="L1945" s="8" t="s">
        <v>1082</v>
      </c>
      <c r="M1945" s="8" t="s">
        <v>2780</v>
      </c>
      <c r="N1945" s="8" t="s">
        <v>272</v>
      </c>
      <c r="O1945" s="8">
        <v>0</v>
      </c>
      <c r="P1945" s="8">
        <v>0</v>
      </c>
      <c r="Q1945" s="8" t="s">
        <v>2754</v>
      </c>
      <c r="R1945" s="8" t="s">
        <v>2471</v>
      </c>
    </row>
    <row r="1946" spans="1:20" x14ac:dyDescent="0.2">
      <c r="A1946" s="8" t="s">
        <v>4702</v>
      </c>
      <c r="B1946" s="8" t="str">
        <f t="shared" si="60"/>
        <v>1586244638</v>
      </c>
      <c r="C1946" s="8" t="str">
        <f t="shared" si="61"/>
        <v>1981</v>
      </c>
      <c r="D1946" s="8" t="s">
        <v>119</v>
      </c>
      <c r="F1946" s="8" t="s">
        <v>271</v>
      </c>
      <c r="G1946" s="8" t="s">
        <v>272</v>
      </c>
      <c r="H1946" s="8" t="s">
        <v>273</v>
      </c>
      <c r="I1946" s="8" t="s">
        <v>1079</v>
      </c>
      <c r="J1946" s="8" t="s">
        <v>1080</v>
      </c>
      <c r="K1946" s="8" t="s">
        <v>1081</v>
      </c>
      <c r="L1946" s="8" t="s">
        <v>1082</v>
      </c>
      <c r="M1946" s="8" t="s">
        <v>2780</v>
      </c>
      <c r="N1946" s="8" t="s">
        <v>272</v>
      </c>
      <c r="O1946" s="8">
        <v>0</v>
      </c>
      <c r="P1946" s="8">
        <v>0</v>
      </c>
      <c r="Q1946" s="8" t="s">
        <v>2754</v>
      </c>
      <c r="R1946" s="8" t="s">
        <v>1164</v>
      </c>
    </row>
    <row r="1947" spans="1:20" x14ac:dyDescent="0.2">
      <c r="A1947" s="8" t="s">
        <v>3259</v>
      </c>
      <c r="B1947" s="8" t="str">
        <f t="shared" si="60"/>
        <v>1586244638</v>
      </c>
      <c r="C1947" s="8" t="str">
        <f t="shared" si="61"/>
        <v>1982</v>
      </c>
      <c r="D1947" s="8" t="s">
        <v>119</v>
      </c>
      <c r="F1947" s="8" t="s">
        <v>271</v>
      </c>
      <c r="G1947" s="8" t="s">
        <v>272</v>
      </c>
      <c r="H1947" s="8" t="s">
        <v>273</v>
      </c>
      <c r="I1947" s="8" t="s">
        <v>1079</v>
      </c>
      <c r="J1947" s="8" t="s">
        <v>1080</v>
      </c>
      <c r="K1947" s="8" t="s">
        <v>1081</v>
      </c>
      <c r="L1947" s="8" t="s">
        <v>1082</v>
      </c>
      <c r="M1947" s="8" t="s">
        <v>2780</v>
      </c>
      <c r="N1947" s="8" t="s">
        <v>272</v>
      </c>
      <c r="O1947" s="8">
        <v>0</v>
      </c>
      <c r="P1947" s="8">
        <v>0</v>
      </c>
      <c r="Q1947" s="8" t="s">
        <v>2754</v>
      </c>
      <c r="R1947" s="8" t="s">
        <v>2284</v>
      </c>
    </row>
    <row r="1948" spans="1:20" x14ac:dyDescent="0.2">
      <c r="A1948" s="8" t="s">
        <v>3153</v>
      </c>
      <c r="B1948" s="8" t="str">
        <f t="shared" si="60"/>
        <v>1586244638</v>
      </c>
      <c r="C1948" s="8" t="str">
        <f t="shared" si="61"/>
        <v>1983</v>
      </c>
      <c r="D1948" s="8" t="s">
        <v>119</v>
      </c>
      <c r="F1948" s="8" t="s">
        <v>271</v>
      </c>
      <c r="G1948" s="8" t="s">
        <v>272</v>
      </c>
      <c r="H1948" s="8" t="s">
        <v>273</v>
      </c>
      <c r="I1948" s="8" t="s">
        <v>1079</v>
      </c>
      <c r="J1948" s="8" t="s">
        <v>1080</v>
      </c>
      <c r="K1948" s="8" t="s">
        <v>1081</v>
      </c>
      <c r="L1948" s="8" t="s">
        <v>1082</v>
      </c>
      <c r="M1948" s="8" t="s">
        <v>2780</v>
      </c>
      <c r="N1948" s="8" t="s">
        <v>272</v>
      </c>
      <c r="O1948" s="8">
        <v>0</v>
      </c>
      <c r="P1948" s="8">
        <v>0</v>
      </c>
      <c r="Q1948" s="8" t="s">
        <v>2754</v>
      </c>
      <c r="R1948" s="8" t="s">
        <v>2081</v>
      </c>
    </row>
    <row r="1949" spans="1:20" x14ac:dyDescent="0.2">
      <c r="A1949" s="8" t="s">
        <v>4757</v>
      </c>
      <c r="B1949" s="8" t="str">
        <f t="shared" si="60"/>
        <v>1586244638</v>
      </c>
      <c r="C1949" s="8" t="str">
        <f t="shared" si="61"/>
        <v>1984</v>
      </c>
      <c r="D1949" s="8" t="s">
        <v>119</v>
      </c>
      <c r="F1949" s="8" t="s">
        <v>271</v>
      </c>
      <c r="G1949" s="8" t="s">
        <v>272</v>
      </c>
      <c r="H1949" s="8" t="s">
        <v>273</v>
      </c>
      <c r="I1949" s="8" t="s">
        <v>1079</v>
      </c>
      <c r="J1949" s="8" t="s">
        <v>1080</v>
      </c>
      <c r="K1949" s="8" t="s">
        <v>1081</v>
      </c>
      <c r="L1949" s="8" t="s">
        <v>1082</v>
      </c>
      <c r="M1949" s="8" t="s">
        <v>2780</v>
      </c>
      <c r="N1949" s="8" t="s">
        <v>272</v>
      </c>
      <c r="O1949" s="8">
        <v>0</v>
      </c>
      <c r="P1949" s="8">
        <v>0</v>
      </c>
      <c r="Q1949" s="8" t="s">
        <v>2754</v>
      </c>
      <c r="R1949" s="8" t="s">
        <v>2244</v>
      </c>
    </row>
    <row r="1950" spans="1:20" x14ac:dyDescent="0.2">
      <c r="A1950" s="8" t="s">
        <v>3490</v>
      </c>
      <c r="B1950" s="8" t="str">
        <f t="shared" si="60"/>
        <v>1586244638</v>
      </c>
      <c r="C1950" s="8" t="str">
        <f t="shared" si="61"/>
        <v>1985</v>
      </c>
      <c r="D1950" s="8" t="s">
        <v>119</v>
      </c>
      <c r="F1950" s="8" t="s">
        <v>271</v>
      </c>
      <c r="G1950" s="8" t="s">
        <v>272</v>
      </c>
      <c r="H1950" s="8" t="s">
        <v>273</v>
      </c>
      <c r="I1950" s="8" t="s">
        <v>1079</v>
      </c>
      <c r="J1950" s="8" t="s">
        <v>1080</v>
      </c>
      <c r="K1950" s="8" t="s">
        <v>1081</v>
      </c>
      <c r="L1950" s="8" t="s">
        <v>1082</v>
      </c>
      <c r="M1950" s="8" t="s">
        <v>2780</v>
      </c>
      <c r="N1950" s="8" t="s">
        <v>272</v>
      </c>
      <c r="O1950" s="8">
        <v>0</v>
      </c>
      <c r="P1950" s="8">
        <v>0</v>
      </c>
      <c r="Q1950" s="8" t="s">
        <v>2754</v>
      </c>
      <c r="R1950" s="8" t="s">
        <v>2064</v>
      </c>
    </row>
    <row r="1951" spans="1:20" x14ac:dyDescent="0.2">
      <c r="A1951" s="8" t="s">
        <v>4612</v>
      </c>
      <c r="B1951" s="8" t="str">
        <f t="shared" si="60"/>
        <v>1586244638</v>
      </c>
      <c r="C1951" s="8" t="str">
        <f t="shared" si="61"/>
        <v>1986</v>
      </c>
      <c r="D1951" s="8" t="s">
        <v>119</v>
      </c>
      <c r="F1951" s="8" t="s">
        <v>271</v>
      </c>
      <c r="G1951" s="8" t="s">
        <v>272</v>
      </c>
      <c r="H1951" s="8" t="s">
        <v>273</v>
      </c>
      <c r="I1951" s="8" t="s">
        <v>1079</v>
      </c>
      <c r="J1951" s="8" t="s">
        <v>1080</v>
      </c>
      <c r="K1951" s="8" t="s">
        <v>1081</v>
      </c>
      <c r="L1951" s="8" t="s">
        <v>1082</v>
      </c>
      <c r="M1951" s="8" t="s">
        <v>2780</v>
      </c>
      <c r="N1951" s="8" t="s">
        <v>272</v>
      </c>
      <c r="O1951" s="8">
        <v>0</v>
      </c>
      <c r="P1951" s="8">
        <v>0</v>
      </c>
      <c r="Q1951" s="8" t="s">
        <v>2754</v>
      </c>
      <c r="S1951" s="8" t="s">
        <v>1632</v>
      </c>
      <c r="T1951" s="8">
        <v>89.26</v>
      </c>
    </row>
    <row r="1952" spans="1:20" x14ac:dyDescent="0.2">
      <c r="A1952" s="8" t="s">
        <v>3867</v>
      </c>
      <c r="B1952" s="8" t="str">
        <f t="shared" si="60"/>
        <v>1586244638</v>
      </c>
      <c r="C1952" s="8" t="str">
        <f t="shared" si="61"/>
        <v>1987</v>
      </c>
      <c r="D1952" s="8" t="s">
        <v>119</v>
      </c>
      <c r="F1952" s="8" t="s">
        <v>271</v>
      </c>
      <c r="G1952" s="8" t="s">
        <v>272</v>
      </c>
      <c r="H1952" s="8" t="s">
        <v>273</v>
      </c>
      <c r="I1952" s="8" t="s">
        <v>1079</v>
      </c>
      <c r="J1952" s="8" t="s">
        <v>1080</v>
      </c>
      <c r="K1952" s="8" t="s">
        <v>1081</v>
      </c>
      <c r="L1952" s="8" t="s">
        <v>1082</v>
      </c>
      <c r="M1952" s="8" t="s">
        <v>2780</v>
      </c>
      <c r="N1952" s="8" t="s">
        <v>272</v>
      </c>
      <c r="O1952" s="8">
        <v>0</v>
      </c>
      <c r="P1952" s="8">
        <v>0</v>
      </c>
      <c r="Q1952" s="8" t="s">
        <v>2754</v>
      </c>
      <c r="S1952" s="8" t="s">
        <v>1855</v>
      </c>
      <c r="T1952" s="8">
        <v>479.51</v>
      </c>
    </row>
    <row r="1953" spans="1:20" x14ac:dyDescent="0.2">
      <c r="A1953" s="8" t="s">
        <v>3927</v>
      </c>
      <c r="B1953" s="8" t="str">
        <f t="shared" si="60"/>
        <v>1586244638</v>
      </c>
      <c r="C1953" s="8" t="str">
        <f t="shared" si="61"/>
        <v>1988</v>
      </c>
      <c r="D1953" s="8" t="s">
        <v>119</v>
      </c>
      <c r="F1953" s="8" t="s">
        <v>271</v>
      </c>
      <c r="G1953" s="8" t="s">
        <v>272</v>
      </c>
      <c r="H1953" s="8" t="s">
        <v>273</v>
      </c>
      <c r="I1953" s="8" t="s">
        <v>1079</v>
      </c>
      <c r="J1953" s="8" t="s">
        <v>1080</v>
      </c>
      <c r="K1953" s="8" t="s">
        <v>1081</v>
      </c>
      <c r="L1953" s="8" t="s">
        <v>1082</v>
      </c>
      <c r="M1953" s="8" t="s">
        <v>2780</v>
      </c>
      <c r="N1953" s="8" t="s">
        <v>272</v>
      </c>
      <c r="O1953" s="8">
        <v>0</v>
      </c>
      <c r="P1953" s="8">
        <v>0</v>
      </c>
      <c r="Q1953" s="8" t="s">
        <v>2754</v>
      </c>
      <c r="S1953" s="8" t="s">
        <v>1083</v>
      </c>
      <c r="T1953" s="8">
        <v>246.39</v>
      </c>
    </row>
    <row r="1954" spans="1:20" x14ac:dyDescent="0.2">
      <c r="A1954" s="8" t="s">
        <v>4375</v>
      </c>
      <c r="B1954" s="8" t="str">
        <f t="shared" si="60"/>
        <v>1586244640</v>
      </c>
      <c r="C1954" s="8" t="str">
        <f t="shared" si="61"/>
        <v>1989</v>
      </c>
      <c r="D1954" s="8" t="s">
        <v>119</v>
      </c>
      <c r="F1954" s="8" t="s">
        <v>271</v>
      </c>
      <c r="G1954" s="8" t="s">
        <v>272</v>
      </c>
      <c r="H1954" s="8" t="s">
        <v>273</v>
      </c>
      <c r="I1954" s="8" t="s">
        <v>804</v>
      </c>
      <c r="J1954" s="8" t="s">
        <v>805</v>
      </c>
      <c r="K1954" s="8" t="s">
        <v>176</v>
      </c>
      <c r="L1954" s="8" t="s">
        <v>806</v>
      </c>
      <c r="M1954" s="8" t="s">
        <v>2780</v>
      </c>
      <c r="N1954" s="8" t="s">
        <v>272</v>
      </c>
      <c r="O1954" s="8">
        <v>1695.98</v>
      </c>
      <c r="P1954" s="8">
        <v>1884.43</v>
      </c>
      <c r="Q1954" s="8" t="s">
        <v>2755</v>
      </c>
      <c r="R1954" s="8" t="s">
        <v>2238</v>
      </c>
    </row>
    <row r="1955" spans="1:20" x14ac:dyDescent="0.2">
      <c r="A1955" s="8" t="s">
        <v>3724</v>
      </c>
      <c r="B1955" s="8" t="str">
        <f t="shared" si="60"/>
        <v>1586244640</v>
      </c>
      <c r="C1955" s="8" t="str">
        <f t="shared" si="61"/>
        <v>1990</v>
      </c>
      <c r="D1955" s="8" t="s">
        <v>119</v>
      </c>
      <c r="F1955" s="8" t="s">
        <v>271</v>
      </c>
      <c r="G1955" s="8" t="s">
        <v>272</v>
      </c>
      <c r="H1955" s="8" t="s">
        <v>273</v>
      </c>
      <c r="I1955" s="8" t="s">
        <v>804</v>
      </c>
      <c r="J1955" s="8" t="s">
        <v>805</v>
      </c>
      <c r="K1955" s="8" t="s">
        <v>176</v>
      </c>
      <c r="L1955" s="8" t="s">
        <v>806</v>
      </c>
      <c r="M1955" s="8" t="s">
        <v>2780</v>
      </c>
      <c r="N1955" s="8" t="s">
        <v>272</v>
      </c>
      <c r="O1955" s="8">
        <v>1695.98</v>
      </c>
      <c r="P1955" s="8">
        <v>1884.43</v>
      </c>
      <c r="Q1955" s="8" t="s">
        <v>2755</v>
      </c>
      <c r="R1955" s="8" t="s">
        <v>2286</v>
      </c>
    </row>
    <row r="1956" spans="1:20" x14ac:dyDescent="0.2">
      <c r="A1956" s="8" t="s">
        <v>4149</v>
      </c>
      <c r="B1956" s="8" t="str">
        <f t="shared" si="60"/>
        <v>1586244640</v>
      </c>
      <c r="C1956" s="8" t="str">
        <f t="shared" si="61"/>
        <v>1991</v>
      </c>
      <c r="D1956" s="8" t="s">
        <v>119</v>
      </c>
      <c r="F1956" s="8" t="s">
        <v>271</v>
      </c>
      <c r="G1956" s="8" t="s">
        <v>272</v>
      </c>
      <c r="H1956" s="8" t="s">
        <v>273</v>
      </c>
      <c r="I1956" s="8" t="s">
        <v>804</v>
      </c>
      <c r="J1956" s="8" t="s">
        <v>805</v>
      </c>
      <c r="K1956" s="8" t="s">
        <v>176</v>
      </c>
      <c r="L1956" s="8" t="s">
        <v>806</v>
      </c>
      <c r="M1956" s="8" t="s">
        <v>2780</v>
      </c>
      <c r="N1956" s="8" t="s">
        <v>272</v>
      </c>
      <c r="O1956" s="8">
        <v>1695.98</v>
      </c>
      <c r="P1956" s="8">
        <v>1884.43</v>
      </c>
      <c r="Q1956" s="8" t="s">
        <v>2755</v>
      </c>
      <c r="R1956" s="8" t="s">
        <v>1835</v>
      </c>
    </row>
    <row r="1957" spans="1:20" x14ac:dyDescent="0.2">
      <c r="A1957" s="8" t="s">
        <v>4636</v>
      </c>
      <c r="B1957" s="8" t="str">
        <f t="shared" si="60"/>
        <v>1586244640</v>
      </c>
      <c r="C1957" s="8" t="str">
        <f t="shared" si="61"/>
        <v>1992</v>
      </c>
      <c r="D1957" s="8" t="s">
        <v>119</v>
      </c>
      <c r="F1957" s="8" t="s">
        <v>271</v>
      </c>
      <c r="G1957" s="8" t="s">
        <v>272</v>
      </c>
      <c r="H1957" s="8" t="s">
        <v>273</v>
      </c>
      <c r="I1957" s="8" t="s">
        <v>804</v>
      </c>
      <c r="J1957" s="8" t="s">
        <v>805</v>
      </c>
      <c r="K1957" s="8" t="s">
        <v>176</v>
      </c>
      <c r="L1957" s="8" t="s">
        <v>806</v>
      </c>
      <c r="M1957" s="8" t="s">
        <v>2780</v>
      </c>
      <c r="N1957" s="8" t="s">
        <v>272</v>
      </c>
      <c r="O1957" s="8">
        <v>1695.98</v>
      </c>
      <c r="P1957" s="8">
        <v>1884.43</v>
      </c>
      <c r="Q1957" s="8" t="s">
        <v>2755</v>
      </c>
      <c r="R1957" s="8" t="s">
        <v>2189</v>
      </c>
    </row>
    <row r="1958" spans="1:20" x14ac:dyDescent="0.2">
      <c r="A1958" s="8" t="s">
        <v>4481</v>
      </c>
      <c r="B1958" s="8" t="str">
        <f t="shared" si="60"/>
        <v>1586244640</v>
      </c>
      <c r="C1958" s="8" t="str">
        <f t="shared" si="61"/>
        <v>1993</v>
      </c>
      <c r="D1958" s="8" t="s">
        <v>119</v>
      </c>
      <c r="F1958" s="8" t="s">
        <v>271</v>
      </c>
      <c r="G1958" s="8" t="s">
        <v>272</v>
      </c>
      <c r="H1958" s="8" t="s">
        <v>273</v>
      </c>
      <c r="I1958" s="8" t="s">
        <v>804</v>
      </c>
      <c r="J1958" s="8" t="s">
        <v>805</v>
      </c>
      <c r="K1958" s="8" t="s">
        <v>176</v>
      </c>
      <c r="L1958" s="8" t="s">
        <v>806</v>
      </c>
      <c r="M1958" s="8" t="s">
        <v>2780</v>
      </c>
      <c r="N1958" s="8" t="s">
        <v>272</v>
      </c>
      <c r="O1958" s="8">
        <v>1695.98</v>
      </c>
      <c r="P1958" s="8">
        <v>1884.43</v>
      </c>
      <c r="Q1958" s="8" t="s">
        <v>2755</v>
      </c>
      <c r="R1958" s="8" t="s">
        <v>807</v>
      </c>
    </row>
    <row r="1959" spans="1:20" x14ac:dyDescent="0.2">
      <c r="A1959" s="8" t="s">
        <v>3128</v>
      </c>
      <c r="B1959" s="8" t="str">
        <f t="shared" si="60"/>
        <v>1586244640</v>
      </c>
      <c r="C1959" s="8" t="str">
        <f t="shared" si="61"/>
        <v>1994</v>
      </c>
      <c r="D1959" s="8" t="s">
        <v>119</v>
      </c>
      <c r="F1959" s="8" t="s">
        <v>271</v>
      </c>
      <c r="G1959" s="8" t="s">
        <v>272</v>
      </c>
      <c r="H1959" s="8" t="s">
        <v>273</v>
      </c>
      <c r="I1959" s="8" t="s">
        <v>804</v>
      </c>
      <c r="J1959" s="8" t="s">
        <v>805</v>
      </c>
      <c r="K1959" s="8" t="s">
        <v>176</v>
      </c>
      <c r="L1959" s="8" t="s">
        <v>806</v>
      </c>
      <c r="M1959" s="8" t="s">
        <v>2780</v>
      </c>
      <c r="N1959" s="8" t="s">
        <v>272</v>
      </c>
      <c r="O1959" s="8">
        <v>1695.98</v>
      </c>
      <c r="P1959" s="8">
        <v>1884.43</v>
      </c>
      <c r="Q1959" s="8" t="s">
        <v>2755</v>
      </c>
      <c r="R1959" s="8" t="s">
        <v>1271</v>
      </c>
    </row>
    <row r="1960" spans="1:20" x14ac:dyDescent="0.2">
      <c r="A1960" s="8" t="s">
        <v>4532</v>
      </c>
      <c r="B1960" s="8" t="str">
        <f t="shared" si="60"/>
        <v>1586244640</v>
      </c>
      <c r="C1960" s="8" t="str">
        <f t="shared" si="61"/>
        <v>1995</v>
      </c>
      <c r="D1960" s="8" t="s">
        <v>119</v>
      </c>
      <c r="F1960" s="8" t="s">
        <v>271</v>
      </c>
      <c r="G1960" s="8" t="s">
        <v>272</v>
      </c>
      <c r="H1960" s="8" t="s">
        <v>273</v>
      </c>
      <c r="I1960" s="8" t="s">
        <v>804</v>
      </c>
      <c r="J1960" s="8" t="s">
        <v>805</v>
      </c>
      <c r="K1960" s="8" t="s">
        <v>176</v>
      </c>
      <c r="L1960" s="8" t="s">
        <v>806</v>
      </c>
      <c r="M1960" s="8" t="s">
        <v>2780</v>
      </c>
      <c r="N1960" s="8" t="s">
        <v>272</v>
      </c>
      <c r="O1960" s="8">
        <v>1695.98</v>
      </c>
      <c r="P1960" s="8">
        <v>1884.43</v>
      </c>
      <c r="Q1960" s="8" t="s">
        <v>2755</v>
      </c>
      <c r="R1960" s="8" t="s">
        <v>2288</v>
      </c>
    </row>
    <row r="1961" spans="1:20" x14ac:dyDescent="0.2">
      <c r="A1961" s="8" t="s">
        <v>3526</v>
      </c>
      <c r="B1961" s="8" t="str">
        <f t="shared" si="60"/>
        <v>1586244640</v>
      </c>
      <c r="C1961" s="8" t="str">
        <f t="shared" si="61"/>
        <v>1996</v>
      </c>
      <c r="D1961" s="8" t="s">
        <v>119</v>
      </c>
      <c r="F1961" s="8" t="s">
        <v>271</v>
      </c>
      <c r="G1961" s="8" t="s">
        <v>272</v>
      </c>
      <c r="H1961" s="8" t="s">
        <v>273</v>
      </c>
      <c r="I1961" s="8" t="s">
        <v>804</v>
      </c>
      <c r="J1961" s="8" t="s">
        <v>805</v>
      </c>
      <c r="K1961" s="8" t="s">
        <v>176</v>
      </c>
      <c r="L1961" s="8" t="s">
        <v>806</v>
      </c>
      <c r="M1961" s="8" t="s">
        <v>2780</v>
      </c>
      <c r="N1961" s="8" t="s">
        <v>272</v>
      </c>
      <c r="O1961" s="8">
        <v>1695.98</v>
      </c>
      <c r="P1961" s="8">
        <v>1884.43</v>
      </c>
      <c r="Q1961" s="8" t="s">
        <v>2755</v>
      </c>
      <c r="S1961" s="8" t="s">
        <v>1632</v>
      </c>
      <c r="T1961" s="8">
        <v>89.26</v>
      </c>
    </row>
    <row r="1962" spans="1:20" x14ac:dyDescent="0.2">
      <c r="A1962" s="8" t="s">
        <v>3182</v>
      </c>
      <c r="B1962" s="8" t="str">
        <f t="shared" si="60"/>
        <v>1586244640</v>
      </c>
      <c r="C1962" s="8" t="str">
        <f t="shared" si="61"/>
        <v>1997</v>
      </c>
      <c r="D1962" s="8" t="s">
        <v>119</v>
      </c>
      <c r="F1962" s="8" t="s">
        <v>271</v>
      </c>
      <c r="G1962" s="8" t="s">
        <v>272</v>
      </c>
      <c r="H1962" s="8" t="s">
        <v>273</v>
      </c>
      <c r="I1962" s="8" t="s">
        <v>804</v>
      </c>
      <c r="J1962" s="8" t="s">
        <v>805</v>
      </c>
      <c r="K1962" s="8" t="s">
        <v>176</v>
      </c>
      <c r="L1962" s="8" t="s">
        <v>806</v>
      </c>
      <c r="M1962" s="8" t="s">
        <v>2780</v>
      </c>
      <c r="N1962" s="8" t="s">
        <v>272</v>
      </c>
      <c r="O1962" s="8">
        <v>1695.98</v>
      </c>
      <c r="P1962" s="8">
        <v>1884.43</v>
      </c>
      <c r="Q1962" s="8" t="s">
        <v>2755</v>
      </c>
      <c r="S1962" s="8" t="s">
        <v>1855</v>
      </c>
      <c r="T1962" s="8">
        <v>479.51</v>
      </c>
    </row>
    <row r="1963" spans="1:20" x14ac:dyDescent="0.2">
      <c r="A1963" s="8" t="s">
        <v>4393</v>
      </c>
      <c r="B1963" s="8" t="str">
        <f t="shared" si="60"/>
        <v>1586244640</v>
      </c>
      <c r="C1963" s="8" t="str">
        <f t="shared" si="61"/>
        <v>1998</v>
      </c>
      <c r="D1963" s="8" t="s">
        <v>119</v>
      </c>
      <c r="F1963" s="8" t="s">
        <v>271</v>
      </c>
      <c r="G1963" s="8" t="s">
        <v>272</v>
      </c>
      <c r="H1963" s="8" t="s">
        <v>273</v>
      </c>
      <c r="I1963" s="8" t="s">
        <v>804</v>
      </c>
      <c r="J1963" s="8" t="s">
        <v>805</v>
      </c>
      <c r="K1963" s="8" t="s">
        <v>176</v>
      </c>
      <c r="L1963" s="8" t="s">
        <v>806</v>
      </c>
      <c r="M1963" s="8" t="s">
        <v>2780</v>
      </c>
      <c r="N1963" s="8" t="s">
        <v>272</v>
      </c>
      <c r="O1963" s="8">
        <v>1695.98</v>
      </c>
      <c r="P1963" s="8">
        <v>1884.43</v>
      </c>
      <c r="Q1963" s="8" t="s">
        <v>2755</v>
      </c>
      <c r="S1963" s="8" t="s">
        <v>1083</v>
      </c>
      <c r="T1963" s="8">
        <v>246.39</v>
      </c>
    </row>
    <row r="1964" spans="1:20" x14ac:dyDescent="0.2">
      <c r="A1964" s="8" t="s">
        <v>3728</v>
      </c>
      <c r="B1964" s="8" t="str">
        <f t="shared" si="60"/>
        <v>1586244644</v>
      </c>
      <c r="C1964" s="8" t="str">
        <f t="shared" si="61"/>
        <v>1999</v>
      </c>
      <c r="D1964" s="8" t="s">
        <v>119</v>
      </c>
      <c r="F1964" s="8" t="s">
        <v>271</v>
      </c>
      <c r="G1964" s="8" t="s">
        <v>1396</v>
      </c>
      <c r="H1964" s="8" t="s">
        <v>1397</v>
      </c>
      <c r="I1964" s="8" t="s">
        <v>181</v>
      </c>
      <c r="J1964" s="8" t="s">
        <v>1398</v>
      </c>
      <c r="K1964" s="8" t="s">
        <v>125</v>
      </c>
      <c r="L1964" s="8" t="s">
        <v>1399</v>
      </c>
      <c r="M1964" s="8" t="s">
        <v>2780</v>
      </c>
      <c r="N1964" s="8" t="s">
        <v>1396</v>
      </c>
      <c r="O1964" s="8">
        <v>423.44</v>
      </c>
      <c r="P1964" s="8">
        <v>470.49</v>
      </c>
      <c r="Q1964" s="8" t="s">
        <v>2734</v>
      </c>
      <c r="R1964" s="8" t="s">
        <v>2347</v>
      </c>
    </row>
    <row r="1965" spans="1:20" x14ac:dyDescent="0.2">
      <c r="A1965" s="8" t="s">
        <v>4137</v>
      </c>
      <c r="B1965" s="8" t="str">
        <f t="shared" si="60"/>
        <v>1586244644</v>
      </c>
      <c r="C1965" s="8" t="str">
        <f t="shared" si="61"/>
        <v>2000</v>
      </c>
      <c r="D1965" s="8" t="s">
        <v>119</v>
      </c>
      <c r="F1965" s="8" t="s">
        <v>271</v>
      </c>
      <c r="G1965" s="8" t="s">
        <v>1396</v>
      </c>
      <c r="H1965" s="8" t="s">
        <v>1397</v>
      </c>
      <c r="I1965" s="8" t="s">
        <v>181</v>
      </c>
      <c r="J1965" s="8" t="s">
        <v>1398</v>
      </c>
      <c r="K1965" s="8" t="s">
        <v>125</v>
      </c>
      <c r="L1965" s="8" t="s">
        <v>1399</v>
      </c>
      <c r="M1965" s="8" t="s">
        <v>2780</v>
      </c>
      <c r="N1965" s="8" t="s">
        <v>1396</v>
      </c>
      <c r="O1965" s="8">
        <v>423.44</v>
      </c>
      <c r="P1965" s="8">
        <v>470.49</v>
      </c>
      <c r="Q1965" s="8" t="s">
        <v>2734</v>
      </c>
      <c r="S1965" s="8" t="s">
        <v>1029</v>
      </c>
      <c r="T1965" s="8">
        <v>23.61</v>
      </c>
    </row>
    <row r="1966" spans="1:20" x14ac:dyDescent="0.2">
      <c r="A1966" s="8" t="s">
        <v>4660</v>
      </c>
      <c r="B1966" s="8" t="str">
        <f t="shared" si="60"/>
        <v>1586244644</v>
      </c>
      <c r="C1966" s="8" t="str">
        <f t="shared" si="61"/>
        <v>2001</v>
      </c>
      <c r="D1966" s="8" t="s">
        <v>119</v>
      </c>
      <c r="F1966" s="8" t="s">
        <v>271</v>
      </c>
      <c r="G1966" s="8" t="s">
        <v>1396</v>
      </c>
      <c r="H1966" s="8" t="s">
        <v>1397</v>
      </c>
      <c r="I1966" s="8" t="s">
        <v>181</v>
      </c>
      <c r="J1966" s="8" t="s">
        <v>1398</v>
      </c>
      <c r="K1966" s="8" t="s">
        <v>125</v>
      </c>
      <c r="L1966" s="8" t="s">
        <v>1399</v>
      </c>
      <c r="M1966" s="8" t="s">
        <v>2780</v>
      </c>
      <c r="N1966" s="8" t="s">
        <v>1396</v>
      </c>
      <c r="O1966" s="8">
        <v>423.44</v>
      </c>
      <c r="P1966" s="8">
        <v>470.49</v>
      </c>
      <c r="Q1966" s="8" t="s">
        <v>2734</v>
      </c>
      <c r="S1966" s="8" t="s">
        <v>184</v>
      </c>
      <c r="T1966" s="8">
        <v>77.459999999999994</v>
      </c>
    </row>
    <row r="1967" spans="1:20" x14ac:dyDescent="0.2">
      <c r="A1967" s="8" t="s">
        <v>3878</v>
      </c>
      <c r="B1967" s="8" t="str">
        <f t="shared" si="60"/>
        <v>1586244644</v>
      </c>
      <c r="C1967" s="8" t="str">
        <f t="shared" si="61"/>
        <v>2002</v>
      </c>
      <c r="D1967" s="8" t="s">
        <v>119</v>
      </c>
      <c r="F1967" s="8" t="s">
        <v>271</v>
      </c>
      <c r="G1967" s="8" t="s">
        <v>1396</v>
      </c>
      <c r="H1967" s="8" t="s">
        <v>1397</v>
      </c>
      <c r="I1967" s="8" t="s">
        <v>181</v>
      </c>
      <c r="J1967" s="8" t="s">
        <v>1398</v>
      </c>
      <c r="K1967" s="8" t="s">
        <v>125</v>
      </c>
      <c r="L1967" s="8" t="s">
        <v>1399</v>
      </c>
      <c r="M1967" s="8" t="s">
        <v>2780</v>
      </c>
      <c r="N1967" s="8" t="s">
        <v>1396</v>
      </c>
      <c r="O1967" s="8">
        <v>423.44</v>
      </c>
      <c r="P1967" s="8">
        <v>470.49</v>
      </c>
      <c r="Q1967" s="8" t="s">
        <v>2734</v>
      </c>
      <c r="S1967" s="8" t="s">
        <v>156</v>
      </c>
      <c r="T1967" s="8">
        <v>19.18</v>
      </c>
    </row>
    <row r="1968" spans="1:20" x14ac:dyDescent="0.2">
      <c r="A1968" s="8" t="s">
        <v>3158</v>
      </c>
      <c r="B1968" s="8" t="str">
        <f t="shared" si="60"/>
        <v>1586244644</v>
      </c>
      <c r="C1968" s="8" t="str">
        <f t="shared" si="61"/>
        <v>2003</v>
      </c>
      <c r="D1968" s="8" t="s">
        <v>119</v>
      </c>
      <c r="F1968" s="8" t="s">
        <v>271</v>
      </c>
      <c r="G1968" s="8" t="s">
        <v>1396</v>
      </c>
      <c r="H1968" s="8" t="s">
        <v>1397</v>
      </c>
      <c r="I1968" s="8" t="s">
        <v>181</v>
      </c>
      <c r="J1968" s="8" t="s">
        <v>1398</v>
      </c>
      <c r="K1968" s="8" t="s">
        <v>125</v>
      </c>
      <c r="L1968" s="8" t="s">
        <v>1399</v>
      </c>
      <c r="M1968" s="8" t="s">
        <v>2780</v>
      </c>
      <c r="N1968" s="8" t="s">
        <v>1396</v>
      </c>
      <c r="O1968" s="8">
        <v>423.44</v>
      </c>
      <c r="P1968" s="8">
        <v>470.49</v>
      </c>
      <c r="Q1968" s="8" t="s">
        <v>2734</v>
      </c>
      <c r="S1968" s="8" t="s">
        <v>109</v>
      </c>
      <c r="T1968" s="8">
        <v>42.05</v>
      </c>
    </row>
    <row r="1969" spans="1:20" x14ac:dyDescent="0.2">
      <c r="A1969" s="8" t="s">
        <v>3339</v>
      </c>
      <c r="B1969" s="8" t="str">
        <f t="shared" si="60"/>
        <v>1586244648</v>
      </c>
      <c r="C1969" s="8" t="str">
        <f t="shared" si="61"/>
        <v>2004</v>
      </c>
      <c r="D1969" s="8" t="s">
        <v>119</v>
      </c>
      <c r="F1969" s="8" t="s">
        <v>271</v>
      </c>
      <c r="G1969" s="8" t="s">
        <v>493</v>
      </c>
      <c r="H1969" s="8" t="s">
        <v>494</v>
      </c>
      <c r="I1969" s="8" t="s">
        <v>181</v>
      </c>
      <c r="J1969" s="8" t="s">
        <v>495</v>
      </c>
      <c r="K1969" s="8" t="s">
        <v>125</v>
      </c>
      <c r="L1969" s="8" t="s">
        <v>496</v>
      </c>
      <c r="M1969" s="8" t="s">
        <v>2780</v>
      </c>
      <c r="N1969" s="8" t="s">
        <v>493</v>
      </c>
      <c r="O1969" s="8">
        <v>394.67</v>
      </c>
      <c r="P1969" s="8">
        <v>438.52</v>
      </c>
      <c r="Q1969" s="8" t="s">
        <v>2734</v>
      </c>
      <c r="R1969" s="8" t="s">
        <v>988</v>
      </c>
    </row>
    <row r="1970" spans="1:20" x14ac:dyDescent="0.2">
      <c r="A1970" s="8" t="s">
        <v>3742</v>
      </c>
      <c r="B1970" s="8" t="str">
        <f t="shared" si="60"/>
        <v>1586244648</v>
      </c>
      <c r="C1970" s="8" t="str">
        <f t="shared" si="61"/>
        <v>2005</v>
      </c>
      <c r="D1970" s="8" t="s">
        <v>119</v>
      </c>
      <c r="F1970" s="8" t="s">
        <v>271</v>
      </c>
      <c r="G1970" s="8" t="s">
        <v>493</v>
      </c>
      <c r="H1970" s="8" t="s">
        <v>494</v>
      </c>
      <c r="I1970" s="8" t="s">
        <v>181</v>
      </c>
      <c r="J1970" s="8" t="s">
        <v>495</v>
      </c>
      <c r="K1970" s="8" t="s">
        <v>125</v>
      </c>
      <c r="L1970" s="8" t="s">
        <v>496</v>
      </c>
      <c r="M1970" s="8" t="s">
        <v>2780</v>
      </c>
      <c r="N1970" s="8" t="s">
        <v>493</v>
      </c>
      <c r="O1970" s="8">
        <v>394.67</v>
      </c>
      <c r="P1970" s="8">
        <v>438.52</v>
      </c>
      <c r="Q1970" s="8" t="s">
        <v>2734</v>
      </c>
      <c r="R1970" s="8" t="s">
        <v>2292</v>
      </c>
    </row>
    <row r="1971" spans="1:20" x14ac:dyDescent="0.2">
      <c r="A1971" s="8" t="s">
        <v>4494</v>
      </c>
      <c r="B1971" s="8" t="str">
        <f t="shared" si="60"/>
        <v>1586244648</v>
      </c>
      <c r="C1971" s="8" t="str">
        <f t="shared" si="61"/>
        <v>2006</v>
      </c>
      <c r="D1971" s="8" t="s">
        <v>119</v>
      </c>
      <c r="F1971" s="8" t="s">
        <v>271</v>
      </c>
      <c r="G1971" s="8" t="s">
        <v>493</v>
      </c>
      <c r="H1971" s="8" t="s">
        <v>494</v>
      </c>
      <c r="I1971" s="8" t="s">
        <v>181</v>
      </c>
      <c r="J1971" s="8" t="s">
        <v>495</v>
      </c>
      <c r="K1971" s="8" t="s">
        <v>125</v>
      </c>
      <c r="L1971" s="8" t="s">
        <v>496</v>
      </c>
      <c r="M1971" s="8" t="s">
        <v>2780</v>
      </c>
      <c r="N1971" s="8" t="s">
        <v>493</v>
      </c>
      <c r="O1971" s="8">
        <v>394.67</v>
      </c>
      <c r="P1971" s="8">
        <v>438.52</v>
      </c>
      <c r="Q1971" s="8" t="s">
        <v>2734</v>
      </c>
      <c r="R1971" s="8" t="s">
        <v>696</v>
      </c>
    </row>
    <row r="1972" spans="1:20" x14ac:dyDescent="0.2">
      <c r="A1972" s="8" t="s">
        <v>3033</v>
      </c>
      <c r="B1972" s="8" t="str">
        <f t="shared" si="60"/>
        <v>1586244648</v>
      </c>
      <c r="C1972" s="8" t="str">
        <f t="shared" si="61"/>
        <v>2007</v>
      </c>
      <c r="D1972" s="8" t="s">
        <v>119</v>
      </c>
      <c r="F1972" s="8" t="s">
        <v>271</v>
      </c>
      <c r="G1972" s="8" t="s">
        <v>493</v>
      </c>
      <c r="H1972" s="8" t="s">
        <v>494</v>
      </c>
      <c r="I1972" s="8" t="s">
        <v>181</v>
      </c>
      <c r="J1972" s="8" t="s">
        <v>495</v>
      </c>
      <c r="K1972" s="8" t="s">
        <v>125</v>
      </c>
      <c r="L1972" s="8" t="s">
        <v>496</v>
      </c>
      <c r="M1972" s="8" t="s">
        <v>2780</v>
      </c>
      <c r="N1972" s="8" t="s">
        <v>493</v>
      </c>
      <c r="O1972" s="8">
        <v>394.67</v>
      </c>
      <c r="P1972" s="8">
        <v>438.52</v>
      </c>
      <c r="Q1972" s="8" t="s">
        <v>2734</v>
      </c>
      <c r="S1972" s="8" t="s">
        <v>1029</v>
      </c>
      <c r="T1972" s="8">
        <v>23.61</v>
      </c>
    </row>
    <row r="1973" spans="1:20" x14ac:dyDescent="0.2">
      <c r="A1973" s="8" t="s">
        <v>4641</v>
      </c>
      <c r="B1973" s="8" t="str">
        <f t="shared" si="60"/>
        <v>1586244648</v>
      </c>
      <c r="C1973" s="8" t="str">
        <f t="shared" si="61"/>
        <v>2008</v>
      </c>
      <c r="D1973" s="8" t="s">
        <v>119</v>
      </c>
      <c r="F1973" s="8" t="s">
        <v>271</v>
      </c>
      <c r="G1973" s="8" t="s">
        <v>493</v>
      </c>
      <c r="H1973" s="8" t="s">
        <v>494</v>
      </c>
      <c r="I1973" s="8" t="s">
        <v>181</v>
      </c>
      <c r="J1973" s="8" t="s">
        <v>495</v>
      </c>
      <c r="K1973" s="8" t="s">
        <v>125</v>
      </c>
      <c r="L1973" s="8" t="s">
        <v>496</v>
      </c>
      <c r="M1973" s="8" t="s">
        <v>2780</v>
      </c>
      <c r="N1973" s="8" t="s">
        <v>493</v>
      </c>
      <c r="O1973" s="8">
        <v>394.67</v>
      </c>
      <c r="P1973" s="8">
        <v>438.52</v>
      </c>
      <c r="Q1973" s="8" t="s">
        <v>2734</v>
      </c>
      <c r="S1973" s="8" t="s">
        <v>184</v>
      </c>
      <c r="T1973" s="8">
        <v>77.459999999999994</v>
      </c>
    </row>
    <row r="1974" spans="1:20" x14ac:dyDescent="0.2">
      <c r="A1974" s="8" t="s">
        <v>4392</v>
      </c>
      <c r="B1974" s="8" t="str">
        <f t="shared" si="60"/>
        <v>1586244648</v>
      </c>
      <c r="C1974" s="8" t="str">
        <f t="shared" si="61"/>
        <v>2009</v>
      </c>
      <c r="D1974" s="8" t="s">
        <v>119</v>
      </c>
      <c r="F1974" s="8" t="s">
        <v>271</v>
      </c>
      <c r="G1974" s="8" t="s">
        <v>493</v>
      </c>
      <c r="H1974" s="8" t="s">
        <v>494</v>
      </c>
      <c r="I1974" s="8" t="s">
        <v>181</v>
      </c>
      <c r="J1974" s="8" t="s">
        <v>495</v>
      </c>
      <c r="K1974" s="8" t="s">
        <v>125</v>
      </c>
      <c r="L1974" s="8" t="s">
        <v>496</v>
      </c>
      <c r="M1974" s="8" t="s">
        <v>2780</v>
      </c>
      <c r="N1974" s="8" t="s">
        <v>493</v>
      </c>
      <c r="O1974" s="8">
        <v>394.67</v>
      </c>
      <c r="P1974" s="8">
        <v>438.52</v>
      </c>
      <c r="Q1974" s="8" t="s">
        <v>2734</v>
      </c>
      <c r="S1974" s="8" t="s">
        <v>156</v>
      </c>
      <c r="T1974" s="8">
        <v>19.18</v>
      </c>
    </row>
    <row r="1975" spans="1:20" x14ac:dyDescent="0.2">
      <c r="A1975" s="8" t="s">
        <v>4047</v>
      </c>
      <c r="B1975" s="8" t="str">
        <f t="shared" si="60"/>
        <v>1586244648</v>
      </c>
      <c r="C1975" s="8" t="str">
        <f t="shared" si="61"/>
        <v>2010</v>
      </c>
      <c r="D1975" s="8" t="s">
        <v>119</v>
      </c>
      <c r="F1975" s="8" t="s">
        <v>271</v>
      </c>
      <c r="G1975" s="8" t="s">
        <v>493</v>
      </c>
      <c r="H1975" s="8" t="s">
        <v>494</v>
      </c>
      <c r="I1975" s="8" t="s">
        <v>181</v>
      </c>
      <c r="J1975" s="8" t="s">
        <v>495</v>
      </c>
      <c r="K1975" s="8" t="s">
        <v>125</v>
      </c>
      <c r="L1975" s="8" t="s">
        <v>496</v>
      </c>
      <c r="M1975" s="8" t="s">
        <v>2780</v>
      </c>
      <c r="N1975" s="8" t="s">
        <v>493</v>
      </c>
      <c r="O1975" s="8">
        <v>394.67</v>
      </c>
      <c r="P1975" s="8">
        <v>438.52</v>
      </c>
      <c r="Q1975" s="8" t="s">
        <v>2734</v>
      </c>
      <c r="S1975" s="8" t="s">
        <v>109</v>
      </c>
      <c r="T1975" s="8">
        <v>42.05</v>
      </c>
    </row>
    <row r="1976" spans="1:20" x14ac:dyDescent="0.2">
      <c r="A1976" s="8" t="s">
        <v>4103</v>
      </c>
      <c r="B1976" s="8" t="str">
        <f t="shared" si="60"/>
        <v>1586244653</v>
      </c>
      <c r="C1976" s="8" t="str">
        <f t="shared" si="61"/>
        <v>2011</v>
      </c>
      <c r="D1976" s="8" t="s">
        <v>119</v>
      </c>
      <c r="F1976" s="8" t="s">
        <v>271</v>
      </c>
      <c r="G1976" s="8" t="s">
        <v>1412</v>
      </c>
      <c r="H1976" s="8" t="s">
        <v>1413</v>
      </c>
      <c r="I1976" s="8" t="s">
        <v>181</v>
      </c>
      <c r="J1976" s="8" t="s">
        <v>1414</v>
      </c>
      <c r="K1976" s="8" t="s">
        <v>125</v>
      </c>
      <c r="L1976" s="8" t="s">
        <v>1415</v>
      </c>
      <c r="M1976" s="8" t="s">
        <v>2780</v>
      </c>
      <c r="N1976" s="8" t="s">
        <v>1412</v>
      </c>
      <c r="O1976" s="8">
        <v>394.67</v>
      </c>
      <c r="P1976" s="8">
        <v>438.52</v>
      </c>
      <c r="Q1976" s="8" t="s">
        <v>2734</v>
      </c>
      <c r="R1976" s="8" t="s">
        <v>1852</v>
      </c>
    </row>
    <row r="1977" spans="1:20" x14ac:dyDescent="0.2">
      <c r="A1977" s="8" t="s">
        <v>3960</v>
      </c>
      <c r="B1977" s="8" t="str">
        <f t="shared" si="60"/>
        <v>1586244653</v>
      </c>
      <c r="C1977" s="8" t="str">
        <f t="shared" si="61"/>
        <v>2012</v>
      </c>
      <c r="D1977" s="8" t="s">
        <v>119</v>
      </c>
      <c r="F1977" s="8" t="s">
        <v>271</v>
      </c>
      <c r="G1977" s="8" t="s">
        <v>1412</v>
      </c>
      <c r="H1977" s="8" t="s">
        <v>1413</v>
      </c>
      <c r="I1977" s="8" t="s">
        <v>181</v>
      </c>
      <c r="J1977" s="8" t="s">
        <v>1414</v>
      </c>
      <c r="K1977" s="8" t="s">
        <v>125</v>
      </c>
      <c r="L1977" s="8" t="s">
        <v>1415</v>
      </c>
      <c r="M1977" s="8" t="s">
        <v>2780</v>
      </c>
      <c r="N1977" s="8" t="s">
        <v>1412</v>
      </c>
      <c r="O1977" s="8">
        <v>394.67</v>
      </c>
      <c r="P1977" s="8">
        <v>438.52</v>
      </c>
      <c r="Q1977" s="8" t="s">
        <v>2734</v>
      </c>
      <c r="R1977" s="8" t="s">
        <v>2310</v>
      </c>
    </row>
    <row r="1978" spans="1:20" x14ac:dyDescent="0.2">
      <c r="A1978" s="8" t="s">
        <v>4209</v>
      </c>
      <c r="B1978" s="8" t="str">
        <f t="shared" si="60"/>
        <v>1586244653</v>
      </c>
      <c r="C1978" s="8" t="str">
        <f t="shared" si="61"/>
        <v>2013</v>
      </c>
      <c r="D1978" s="8" t="s">
        <v>119</v>
      </c>
      <c r="F1978" s="8" t="s">
        <v>271</v>
      </c>
      <c r="G1978" s="8" t="s">
        <v>1412</v>
      </c>
      <c r="H1978" s="8" t="s">
        <v>1413</v>
      </c>
      <c r="I1978" s="8" t="s">
        <v>181</v>
      </c>
      <c r="J1978" s="8" t="s">
        <v>1414</v>
      </c>
      <c r="K1978" s="8" t="s">
        <v>125</v>
      </c>
      <c r="L1978" s="8" t="s">
        <v>1415</v>
      </c>
      <c r="M1978" s="8" t="s">
        <v>2780</v>
      </c>
      <c r="N1978" s="8" t="s">
        <v>1412</v>
      </c>
      <c r="O1978" s="8">
        <v>394.67</v>
      </c>
      <c r="P1978" s="8">
        <v>438.52</v>
      </c>
      <c r="Q1978" s="8" t="s">
        <v>2734</v>
      </c>
      <c r="R1978" s="8" t="s">
        <v>1416</v>
      </c>
    </row>
    <row r="1979" spans="1:20" x14ac:dyDescent="0.2">
      <c r="A1979" s="8" t="s">
        <v>2978</v>
      </c>
      <c r="B1979" s="8" t="str">
        <f t="shared" si="60"/>
        <v>1586244653</v>
      </c>
      <c r="C1979" s="8" t="str">
        <f t="shared" si="61"/>
        <v>2014</v>
      </c>
      <c r="D1979" s="8" t="s">
        <v>119</v>
      </c>
      <c r="F1979" s="8" t="s">
        <v>271</v>
      </c>
      <c r="G1979" s="8" t="s">
        <v>1412</v>
      </c>
      <c r="H1979" s="8" t="s">
        <v>1413</v>
      </c>
      <c r="I1979" s="8" t="s">
        <v>181</v>
      </c>
      <c r="J1979" s="8" t="s">
        <v>1414</v>
      </c>
      <c r="K1979" s="8" t="s">
        <v>125</v>
      </c>
      <c r="L1979" s="8" t="s">
        <v>1415</v>
      </c>
      <c r="M1979" s="8" t="s">
        <v>2780</v>
      </c>
      <c r="N1979" s="8" t="s">
        <v>1412</v>
      </c>
      <c r="O1979" s="8">
        <v>394.67</v>
      </c>
      <c r="P1979" s="8">
        <v>438.52</v>
      </c>
      <c r="Q1979" s="8" t="s">
        <v>2734</v>
      </c>
      <c r="R1979" s="8" t="s">
        <v>2327</v>
      </c>
    </row>
    <row r="1980" spans="1:20" x14ac:dyDescent="0.2">
      <c r="A1980" s="8" t="s">
        <v>3900</v>
      </c>
      <c r="B1980" s="8" t="str">
        <f t="shared" si="60"/>
        <v>1586244653</v>
      </c>
      <c r="C1980" s="8" t="str">
        <f t="shared" si="61"/>
        <v>2015</v>
      </c>
      <c r="D1980" s="8" t="s">
        <v>119</v>
      </c>
      <c r="F1980" s="8" t="s">
        <v>271</v>
      </c>
      <c r="G1980" s="8" t="s">
        <v>1412</v>
      </c>
      <c r="H1980" s="8" t="s">
        <v>1413</v>
      </c>
      <c r="I1980" s="8" t="s">
        <v>181</v>
      </c>
      <c r="J1980" s="8" t="s">
        <v>1414</v>
      </c>
      <c r="K1980" s="8" t="s">
        <v>125</v>
      </c>
      <c r="L1980" s="8" t="s">
        <v>1415</v>
      </c>
      <c r="M1980" s="8" t="s">
        <v>2780</v>
      </c>
      <c r="N1980" s="8" t="s">
        <v>1412</v>
      </c>
      <c r="O1980" s="8">
        <v>394.67</v>
      </c>
      <c r="P1980" s="8">
        <v>438.52</v>
      </c>
      <c r="Q1980" s="8" t="s">
        <v>2734</v>
      </c>
      <c r="S1980" s="8" t="s">
        <v>1029</v>
      </c>
      <c r="T1980" s="8">
        <v>23.61</v>
      </c>
    </row>
    <row r="1981" spans="1:20" x14ac:dyDescent="0.2">
      <c r="A1981" s="8" t="s">
        <v>4551</v>
      </c>
      <c r="B1981" s="8" t="str">
        <f t="shared" si="60"/>
        <v>1586244653</v>
      </c>
      <c r="C1981" s="8" t="str">
        <f t="shared" si="61"/>
        <v>2016</v>
      </c>
      <c r="D1981" s="8" t="s">
        <v>119</v>
      </c>
      <c r="F1981" s="8" t="s">
        <v>271</v>
      </c>
      <c r="G1981" s="8" t="s">
        <v>1412</v>
      </c>
      <c r="H1981" s="8" t="s">
        <v>1413</v>
      </c>
      <c r="I1981" s="8" t="s">
        <v>181</v>
      </c>
      <c r="J1981" s="8" t="s">
        <v>1414</v>
      </c>
      <c r="K1981" s="8" t="s">
        <v>125</v>
      </c>
      <c r="L1981" s="8" t="s">
        <v>1415</v>
      </c>
      <c r="M1981" s="8" t="s">
        <v>2780</v>
      </c>
      <c r="N1981" s="8" t="s">
        <v>1412</v>
      </c>
      <c r="O1981" s="8">
        <v>394.67</v>
      </c>
      <c r="P1981" s="8">
        <v>438.52</v>
      </c>
      <c r="Q1981" s="8" t="s">
        <v>2734</v>
      </c>
      <c r="S1981" s="8" t="s">
        <v>184</v>
      </c>
      <c r="T1981" s="8">
        <v>77.459999999999994</v>
      </c>
    </row>
    <row r="1982" spans="1:20" x14ac:dyDescent="0.2">
      <c r="A1982" s="8" t="s">
        <v>3095</v>
      </c>
      <c r="B1982" s="8" t="str">
        <f t="shared" si="60"/>
        <v>1586244653</v>
      </c>
      <c r="C1982" s="8" t="str">
        <f t="shared" si="61"/>
        <v>2017</v>
      </c>
      <c r="D1982" s="8" t="s">
        <v>119</v>
      </c>
      <c r="F1982" s="8" t="s">
        <v>271</v>
      </c>
      <c r="G1982" s="8" t="s">
        <v>1412</v>
      </c>
      <c r="H1982" s="8" t="s">
        <v>1413</v>
      </c>
      <c r="I1982" s="8" t="s">
        <v>181</v>
      </c>
      <c r="J1982" s="8" t="s">
        <v>1414</v>
      </c>
      <c r="K1982" s="8" t="s">
        <v>125</v>
      </c>
      <c r="L1982" s="8" t="s">
        <v>1415</v>
      </c>
      <c r="M1982" s="8" t="s">
        <v>2780</v>
      </c>
      <c r="N1982" s="8" t="s">
        <v>1412</v>
      </c>
      <c r="O1982" s="8">
        <v>394.67</v>
      </c>
      <c r="P1982" s="8">
        <v>438.52</v>
      </c>
      <c r="Q1982" s="8" t="s">
        <v>2734</v>
      </c>
      <c r="S1982" s="8" t="s">
        <v>109</v>
      </c>
      <c r="T1982" s="8">
        <v>42.05</v>
      </c>
    </row>
    <row r="1983" spans="1:20" x14ac:dyDescent="0.2">
      <c r="A1983" s="8" t="s">
        <v>3487</v>
      </c>
      <c r="B1983" s="8" t="str">
        <f t="shared" si="60"/>
        <v>1586244653</v>
      </c>
      <c r="C1983" s="8" t="str">
        <f t="shared" si="61"/>
        <v>2018</v>
      </c>
      <c r="D1983" s="8" t="s">
        <v>119</v>
      </c>
      <c r="F1983" s="8" t="s">
        <v>271</v>
      </c>
      <c r="G1983" s="8" t="s">
        <v>1412</v>
      </c>
      <c r="H1983" s="8" t="s">
        <v>1413</v>
      </c>
      <c r="I1983" s="8" t="s">
        <v>181</v>
      </c>
      <c r="J1983" s="8" t="s">
        <v>1414</v>
      </c>
      <c r="K1983" s="8" t="s">
        <v>125</v>
      </c>
      <c r="L1983" s="8" t="s">
        <v>1415</v>
      </c>
      <c r="M1983" s="8" t="s">
        <v>2780</v>
      </c>
      <c r="N1983" s="8" t="s">
        <v>1412</v>
      </c>
      <c r="O1983" s="8">
        <v>394.67</v>
      </c>
      <c r="P1983" s="8">
        <v>438.52</v>
      </c>
      <c r="Q1983" s="8" t="s">
        <v>2734</v>
      </c>
      <c r="S1983" s="8" t="s">
        <v>156</v>
      </c>
      <c r="T1983" s="8">
        <v>19.18</v>
      </c>
    </row>
    <row r="1984" spans="1:20" x14ac:dyDescent="0.2">
      <c r="A1984" s="8" t="s">
        <v>4322</v>
      </c>
      <c r="B1984" s="8" t="str">
        <f t="shared" si="60"/>
        <v>1586244659</v>
      </c>
      <c r="C1984" s="8" t="str">
        <f t="shared" si="61"/>
        <v>2019</v>
      </c>
      <c r="D1984" s="8" t="s">
        <v>119</v>
      </c>
      <c r="F1984" s="8" t="s">
        <v>599</v>
      </c>
      <c r="G1984" s="8" t="s">
        <v>1073</v>
      </c>
      <c r="H1984" s="8" t="s">
        <v>1074</v>
      </c>
      <c r="I1984" s="8" t="s">
        <v>71</v>
      </c>
      <c r="J1984" s="8" t="s">
        <v>1075</v>
      </c>
      <c r="K1984" s="8" t="s">
        <v>60</v>
      </c>
      <c r="L1984" s="8" t="s">
        <v>1076</v>
      </c>
      <c r="M1984" s="8" t="s">
        <v>2961</v>
      </c>
      <c r="N1984" s="8" t="s">
        <v>1073</v>
      </c>
      <c r="O1984" s="8">
        <v>925.08</v>
      </c>
      <c r="P1984" s="8">
        <v>1027.8699999999999</v>
      </c>
      <c r="Q1984" s="8" t="s">
        <v>2756</v>
      </c>
      <c r="R1984" s="8" t="s">
        <v>1736</v>
      </c>
    </row>
    <row r="1985" spans="1:20" x14ac:dyDescent="0.2">
      <c r="A1985" s="8" t="s">
        <v>2960</v>
      </c>
      <c r="B1985" s="8" t="str">
        <f t="shared" si="60"/>
        <v>1586244659</v>
      </c>
      <c r="C1985" s="8" t="str">
        <f t="shared" si="61"/>
        <v>2020</v>
      </c>
      <c r="D1985" s="8" t="s">
        <v>119</v>
      </c>
      <c r="F1985" s="8" t="s">
        <v>599</v>
      </c>
      <c r="G1985" s="8" t="s">
        <v>1073</v>
      </c>
      <c r="H1985" s="8" t="s">
        <v>1074</v>
      </c>
      <c r="I1985" s="8" t="s">
        <v>71</v>
      </c>
      <c r="J1985" s="8" t="s">
        <v>1075</v>
      </c>
      <c r="K1985" s="8" t="s">
        <v>60</v>
      </c>
      <c r="L1985" s="8" t="s">
        <v>1076</v>
      </c>
      <c r="M1985" s="8" t="s">
        <v>2961</v>
      </c>
      <c r="N1985" s="8" t="s">
        <v>1073</v>
      </c>
      <c r="O1985" s="8">
        <v>925.08</v>
      </c>
      <c r="P1985" s="8">
        <v>1027.8699999999999</v>
      </c>
      <c r="Q1985" s="8" t="s">
        <v>2756</v>
      </c>
      <c r="R1985" s="8" t="s">
        <v>1077</v>
      </c>
    </row>
    <row r="1986" spans="1:20" x14ac:dyDescent="0.2">
      <c r="A1986" s="8" t="s">
        <v>3205</v>
      </c>
      <c r="B1986" s="8" t="str">
        <f t="shared" ref="B1986:B2020" si="62">LEFT(A1986, FIND("-", A1986) - 1)</f>
        <v>1586244659</v>
      </c>
      <c r="C1986" s="8" t="str">
        <f t="shared" ref="C1986:C2020" si="63">RIGHT(A1986, LEN(A1986) - FIND("-", A1986))</f>
        <v>2021</v>
      </c>
      <c r="D1986" s="8" t="s">
        <v>119</v>
      </c>
      <c r="F1986" s="8" t="s">
        <v>599</v>
      </c>
      <c r="G1986" s="8" t="s">
        <v>1073</v>
      </c>
      <c r="H1986" s="8" t="s">
        <v>1074</v>
      </c>
      <c r="I1986" s="8" t="s">
        <v>71</v>
      </c>
      <c r="J1986" s="8" t="s">
        <v>1075</v>
      </c>
      <c r="K1986" s="8" t="s">
        <v>60</v>
      </c>
      <c r="L1986" s="8" t="s">
        <v>1076</v>
      </c>
      <c r="M1986" s="8" t="s">
        <v>2961</v>
      </c>
      <c r="N1986" s="8" t="s">
        <v>1073</v>
      </c>
      <c r="O1986" s="8">
        <v>925.08</v>
      </c>
      <c r="P1986" s="8">
        <v>1027.8699999999999</v>
      </c>
      <c r="Q1986" s="8" t="s">
        <v>2756</v>
      </c>
      <c r="S1986" s="8" t="s">
        <v>1116</v>
      </c>
      <c r="T1986" s="8">
        <v>75.25</v>
      </c>
    </row>
    <row r="1987" spans="1:20" x14ac:dyDescent="0.2">
      <c r="A1987" s="8" t="s">
        <v>3189</v>
      </c>
      <c r="B1987" s="8" t="str">
        <f t="shared" si="62"/>
        <v>1586244663</v>
      </c>
      <c r="C1987" s="8" t="str">
        <f t="shared" si="63"/>
        <v>2022</v>
      </c>
      <c r="D1987" s="8" t="s">
        <v>119</v>
      </c>
      <c r="F1987" s="8" t="s">
        <v>599</v>
      </c>
      <c r="G1987" s="8" t="s">
        <v>600</v>
      </c>
      <c r="H1987" s="8" t="s">
        <v>601</v>
      </c>
      <c r="I1987" s="8" t="s">
        <v>71</v>
      </c>
      <c r="J1987" s="8" t="s">
        <v>602</v>
      </c>
      <c r="K1987" s="8" t="s">
        <v>603</v>
      </c>
      <c r="L1987" s="8" t="s">
        <v>604</v>
      </c>
      <c r="M1987" s="8" t="s">
        <v>2961</v>
      </c>
      <c r="N1987" s="8" t="s">
        <v>600</v>
      </c>
      <c r="O1987" s="8">
        <v>1317.54</v>
      </c>
      <c r="P1987" s="8">
        <v>1463.93</v>
      </c>
      <c r="Q1987" s="8" t="s">
        <v>2757</v>
      </c>
      <c r="R1987" s="8" t="s">
        <v>605</v>
      </c>
    </row>
    <row r="1988" spans="1:20" x14ac:dyDescent="0.2">
      <c r="A1988" s="8" t="s">
        <v>3148</v>
      </c>
      <c r="B1988" s="8" t="str">
        <f t="shared" si="62"/>
        <v>1586244663</v>
      </c>
      <c r="C1988" s="8" t="str">
        <f t="shared" si="63"/>
        <v>2023</v>
      </c>
      <c r="D1988" s="8" t="s">
        <v>119</v>
      </c>
      <c r="F1988" s="8" t="s">
        <v>599</v>
      </c>
      <c r="G1988" s="8" t="s">
        <v>600</v>
      </c>
      <c r="H1988" s="8" t="s">
        <v>601</v>
      </c>
      <c r="I1988" s="8" t="s">
        <v>71</v>
      </c>
      <c r="J1988" s="8" t="s">
        <v>602</v>
      </c>
      <c r="K1988" s="8" t="s">
        <v>603</v>
      </c>
      <c r="L1988" s="8" t="s">
        <v>604</v>
      </c>
      <c r="M1988" s="8" t="s">
        <v>2961</v>
      </c>
      <c r="N1988" s="8" t="s">
        <v>600</v>
      </c>
      <c r="O1988" s="8">
        <v>1317.54</v>
      </c>
      <c r="P1988" s="8">
        <v>1463.93</v>
      </c>
      <c r="Q1988" s="8" t="s">
        <v>2757</v>
      </c>
      <c r="R1988" s="8" t="s">
        <v>2225</v>
      </c>
    </row>
    <row r="1989" spans="1:20" x14ac:dyDescent="0.2">
      <c r="A1989" s="8" t="s">
        <v>4749</v>
      </c>
      <c r="B1989" s="8" t="str">
        <f t="shared" si="62"/>
        <v>1586244663</v>
      </c>
      <c r="C1989" s="8" t="str">
        <f t="shared" si="63"/>
        <v>2024</v>
      </c>
      <c r="D1989" s="8" t="s">
        <v>119</v>
      </c>
      <c r="F1989" s="8" t="s">
        <v>599</v>
      </c>
      <c r="G1989" s="8" t="s">
        <v>600</v>
      </c>
      <c r="H1989" s="8" t="s">
        <v>601</v>
      </c>
      <c r="I1989" s="8" t="s">
        <v>71</v>
      </c>
      <c r="J1989" s="8" t="s">
        <v>602</v>
      </c>
      <c r="K1989" s="8" t="s">
        <v>603</v>
      </c>
      <c r="L1989" s="8" t="s">
        <v>604</v>
      </c>
      <c r="M1989" s="8" t="s">
        <v>2961</v>
      </c>
      <c r="N1989" s="8" t="s">
        <v>600</v>
      </c>
      <c r="O1989" s="8">
        <v>1317.54</v>
      </c>
      <c r="P1989" s="8">
        <v>1463.93</v>
      </c>
      <c r="Q1989" s="8" t="s">
        <v>2757</v>
      </c>
      <c r="R1989" s="8" t="s">
        <v>768</v>
      </c>
    </row>
    <row r="1990" spans="1:20" x14ac:dyDescent="0.2">
      <c r="A1990" s="8" t="s">
        <v>3762</v>
      </c>
      <c r="B1990" s="8" t="str">
        <f t="shared" si="62"/>
        <v>1586244663</v>
      </c>
      <c r="C1990" s="8" t="str">
        <f t="shared" si="63"/>
        <v>2025</v>
      </c>
      <c r="D1990" s="8" t="s">
        <v>119</v>
      </c>
      <c r="F1990" s="8" t="s">
        <v>599</v>
      </c>
      <c r="G1990" s="8" t="s">
        <v>600</v>
      </c>
      <c r="H1990" s="8" t="s">
        <v>601</v>
      </c>
      <c r="I1990" s="8" t="s">
        <v>71</v>
      </c>
      <c r="J1990" s="8" t="s">
        <v>602</v>
      </c>
      <c r="K1990" s="8" t="s">
        <v>603</v>
      </c>
      <c r="L1990" s="8" t="s">
        <v>604</v>
      </c>
      <c r="M1990" s="8" t="s">
        <v>2961</v>
      </c>
      <c r="N1990" s="8" t="s">
        <v>600</v>
      </c>
      <c r="O1990" s="8">
        <v>1317.54</v>
      </c>
      <c r="P1990" s="8">
        <v>1463.93</v>
      </c>
      <c r="Q1990" s="8" t="s">
        <v>2757</v>
      </c>
      <c r="S1990" s="8" t="s">
        <v>1116</v>
      </c>
      <c r="T1990" s="8">
        <v>75.25</v>
      </c>
    </row>
    <row r="1991" spans="1:20" x14ac:dyDescent="0.2">
      <c r="A1991" s="8" t="s">
        <v>3126</v>
      </c>
      <c r="B1991" s="8" t="str">
        <f t="shared" si="62"/>
        <v>1586244665</v>
      </c>
      <c r="C1991" s="8" t="str">
        <f t="shared" si="63"/>
        <v>2026</v>
      </c>
      <c r="D1991" s="8" t="s">
        <v>119</v>
      </c>
      <c r="F1991" s="8" t="s">
        <v>599</v>
      </c>
      <c r="G1991" s="8" t="s">
        <v>600</v>
      </c>
      <c r="H1991" s="8" t="s">
        <v>601</v>
      </c>
      <c r="I1991" s="8" t="s">
        <v>71</v>
      </c>
      <c r="J1991" s="8" t="s">
        <v>1017</v>
      </c>
      <c r="K1991" s="8" t="s">
        <v>60</v>
      </c>
      <c r="L1991" s="8" t="s">
        <v>1018</v>
      </c>
      <c r="M1991" s="8" t="s">
        <v>2961</v>
      </c>
      <c r="N1991" s="8" t="s">
        <v>600</v>
      </c>
      <c r="O1991" s="8">
        <v>925.08</v>
      </c>
      <c r="P1991" s="8">
        <v>1027.8699999999999</v>
      </c>
      <c r="Q1991" s="8" t="s">
        <v>2758</v>
      </c>
      <c r="R1991" s="8" t="s">
        <v>1019</v>
      </c>
    </row>
    <row r="1992" spans="1:20" x14ac:dyDescent="0.2">
      <c r="A1992" s="8" t="s">
        <v>2977</v>
      </c>
      <c r="B1992" s="8" t="str">
        <f t="shared" si="62"/>
        <v>1586244665</v>
      </c>
      <c r="C1992" s="8" t="str">
        <f t="shared" si="63"/>
        <v>2027</v>
      </c>
      <c r="D1992" s="8" t="s">
        <v>119</v>
      </c>
      <c r="F1992" s="8" t="s">
        <v>599</v>
      </c>
      <c r="G1992" s="8" t="s">
        <v>600</v>
      </c>
      <c r="H1992" s="8" t="s">
        <v>601</v>
      </c>
      <c r="I1992" s="8" t="s">
        <v>71</v>
      </c>
      <c r="J1992" s="8" t="s">
        <v>1017</v>
      </c>
      <c r="K1992" s="8" t="s">
        <v>60</v>
      </c>
      <c r="L1992" s="8" t="s">
        <v>1018</v>
      </c>
      <c r="M1992" s="8" t="s">
        <v>2961</v>
      </c>
      <c r="N1992" s="8" t="s">
        <v>600</v>
      </c>
      <c r="O1992" s="8">
        <v>925.08</v>
      </c>
      <c r="P1992" s="8">
        <v>1027.8699999999999</v>
      </c>
      <c r="Q1992" s="8" t="s">
        <v>2758</v>
      </c>
      <c r="R1992" s="8" t="s">
        <v>2333</v>
      </c>
    </row>
    <row r="1993" spans="1:20" x14ac:dyDescent="0.2">
      <c r="A1993" s="8" t="s">
        <v>3228</v>
      </c>
      <c r="B1993" s="8" t="str">
        <f t="shared" si="62"/>
        <v>1586244665</v>
      </c>
      <c r="C1993" s="8" t="str">
        <f t="shared" si="63"/>
        <v>2028</v>
      </c>
      <c r="D1993" s="8" t="s">
        <v>119</v>
      </c>
      <c r="F1993" s="8" t="s">
        <v>599</v>
      </c>
      <c r="G1993" s="8" t="s">
        <v>600</v>
      </c>
      <c r="H1993" s="8" t="s">
        <v>601</v>
      </c>
      <c r="I1993" s="8" t="s">
        <v>71</v>
      </c>
      <c r="J1993" s="8" t="s">
        <v>1017</v>
      </c>
      <c r="K1993" s="8" t="s">
        <v>60</v>
      </c>
      <c r="L1993" s="8" t="s">
        <v>1018</v>
      </c>
      <c r="M1993" s="8" t="s">
        <v>2961</v>
      </c>
      <c r="N1993" s="8" t="s">
        <v>600</v>
      </c>
      <c r="O1993" s="8">
        <v>925.08</v>
      </c>
      <c r="P1993" s="8">
        <v>1027.8699999999999</v>
      </c>
      <c r="Q1993" s="8" t="s">
        <v>2758</v>
      </c>
      <c r="R1993" s="8" t="s">
        <v>2369</v>
      </c>
    </row>
    <row r="1994" spans="1:20" x14ac:dyDescent="0.2">
      <c r="A1994" s="8" t="s">
        <v>4076</v>
      </c>
      <c r="B1994" s="8" t="str">
        <f t="shared" si="62"/>
        <v>1586244665</v>
      </c>
      <c r="C1994" s="8" t="str">
        <f t="shared" si="63"/>
        <v>2029</v>
      </c>
      <c r="D1994" s="8" t="s">
        <v>119</v>
      </c>
      <c r="F1994" s="8" t="s">
        <v>599</v>
      </c>
      <c r="G1994" s="8" t="s">
        <v>600</v>
      </c>
      <c r="H1994" s="8" t="s">
        <v>601</v>
      </c>
      <c r="I1994" s="8" t="s">
        <v>71</v>
      </c>
      <c r="J1994" s="8" t="s">
        <v>1017</v>
      </c>
      <c r="K1994" s="8" t="s">
        <v>60</v>
      </c>
      <c r="L1994" s="8" t="s">
        <v>1018</v>
      </c>
      <c r="M1994" s="8" t="s">
        <v>2961</v>
      </c>
      <c r="N1994" s="8" t="s">
        <v>600</v>
      </c>
      <c r="O1994" s="8">
        <v>925.08</v>
      </c>
      <c r="P1994" s="8">
        <v>1027.8699999999999</v>
      </c>
      <c r="Q1994" s="8" t="s">
        <v>2758</v>
      </c>
      <c r="S1994" s="8" t="s">
        <v>1116</v>
      </c>
      <c r="T1994" s="8">
        <v>75.25</v>
      </c>
    </row>
    <row r="1995" spans="1:20" x14ac:dyDescent="0.2">
      <c r="A1995" s="8" t="s">
        <v>4613</v>
      </c>
      <c r="B1995" s="8" t="str">
        <f t="shared" si="62"/>
        <v>1586244669</v>
      </c>
      <c r="C1995" s="8" t="str">
        <f t="shared" si="63"/>
        <v>2030</v>
      </c>
      <c r="D1995" s="8" t="s">
        <v>119</v>
      </c>
      <c r="F1995" s="8" t="s">
        <v>599</v>
      </c>
      <c r="G1995" s="8" t="s">
        <v>1377</v>
      </c>
      <c r="H1995" s="8" t="s">
        <v>1378</v>
      </c>
      <c r="I1995" s="8" t="s">
        <v>71</v>
      </c>
      <c r="J1995" s="8" t="s">
        <v>1379</v>
      </c>
      <c r="K1995" s="8" t="s">
        <v>603</v>
      </c>
      <c r="L1995" s="8" t="s">
        <v>1380</v>
      </c>
      <c r="M1995" s="8" t="s">
        <v>2961</v>
      </c>
      <c r="N1995" s="8" t="s">
        <v>1377</v>
      </c>
      <c r="O1995" s="8">
        <v>1226.07</v>
      </c>
      <c r="P1995" s="8">
        <v>1362.3</v>
      </c>
      <c r="Q1995" s="8" t="s">
        <v>2759</v>
      </c>
      <c r="R1995" s="8" t="s">
        <v>1381</v>
      </c>
    </row>
    <row r="1996" spans="1:20" x14ac:dyDescent="0.2">
      <c r="A1996" s="8" t="s">
        <v>3093</v>
      </c>
      <c r="B1996" s="8" t="str">
        <f t="shared" si="62"/>
        <v>1586244669</v>
      </c>
      <c r="C1996" s="8" t="str">
        <f t="shared" si="63"/>
        <v>2031</v>
      </c>
      <c r="D1996" s="8" t="s">
        <v>119</v>
      </c>
      <c r="F1996" s="8" t="s">
        <v>599</v>
      </c>
      <c r="G1996" s="8" t="s">
        <v>1377</v>
      </c>
      <c r="H1996" s="8" t="s">
        <v>1378</v>
      </c>
      <c r="I1996" s="8" t="s">
        <v>71</v>
      </c>
      <c r="J1996" s="8" t="s">
        <v>1379</v>
      </c>
      <c r="K1996" s="8" t="s">
        <v>603</v>
      </c>
      <c r="L1996" s="8" t="s">
        <v>1380</v>
      </c>
      <c r="M1996" s="8" t="s">
        <v>2961</v>
      </c>
      <c r="N1996" s="8" t="s">
        <v>1377</v>
      </c>
      <c r="O1996" s="8">
        <v>1226.07</v>
      </c>
      <c r="P1996" s="8">
        <v>1362.3</v>
      </c>
      <c r="Q1996" s="8" t="s">
        <v>2759</v>
      </c>
      <c r="R1996" s="8" t="s">
        <v>1899</v>
      </c>
    </row>
    <row r="1997" spans="1:20" x14ac:dyDescent="0.2">
      <c r="A1997" s="8" t="s">
        <v>3857</v>
      </c>
      <c r="B1997" s="8" t="str">
        <f t="shared" si="62"/>
        <v>1586244669</v>
      </c>
      <c r="C1997" s="8" t="str">
        <f t="shared" si="63"/>
        <v>2032</v>
      </c>
      <c r="D1997" s="8" t="s">
        <v>119</v>
      </c>
      <c r="F1997" s="8" t="s">
        <v>599</v>
      </c>
      <c r="G1997" s="8" t="s">
        <v>1377</v>
      </c>
      <c r="H1997" s="8" t="s">
        <v>1378</v>
      </c>
      <c r="I1997" s="8" t="s">
        <v>71</v>
      </c>
      <c r="J1997" s="8" t="s">
        <v>1379</v>
      </c>
      <c r="K1997" s="8" t="s">
        <v>603</v>
      </c>
      <c r="L1997" s="8" t="s">
        <v>1380</v>
      </c>
      <c r="M1997" s="8" t="s">
        <v>2961</v>
      </c>
      <c r="N1997" s="8" t="s">
        <v>1377</v>
      </c>
      <c r="O1997" s="8">
        <v>1226.07</v>
      </c>
      <c r="P1997" s="8">
        <v>1362.3</v>
      </c>
      <c r="Q1997" s="8" t="s">
        <v>2759</v>
      </c>
      <c r="R1997" s="8" t="s">
        <v>1987</v>
      </c>
    </row>
    <row r="1998" spans="1:20" x14ac:dyDescent="0.2">
      <c r="A1998" s="8" t="s">
        <v>4178</v>
      </c>
      <c r="B1998" s="8" t="str">
        <f t="shared" si="62"/>
        <v>1586244669</v>
      </c>
      <c r="C1998" s="8" t="str">
        <f t="shared" si="63"/>
        <v>2033</v>
      </c>
      <c r="D1998" s="8" t="s">
        <v>119</v>
      </c>
      <c r="F1998" s="8" t="s">
        <v>599</v>
      </c>
      <c r="G1998" s="8" t="s">
        <v>1377</v>
      </c>
      <c r="H1998" s="8" t="s">
        <v>1378</v>
      </c>
      <c r="I1998" s="8" t="s">
        <v>71</v>
      </c>
      <c r="J1998" s="8" t="s">
        <v>1379</v>
      </c>
      <c r="K1998" s="8" t="s">
        <v>603</v>
      </c>
      <c r="L1998" s="8" t="s">
        <v>1380</v>
      </c>
      <c r="M1998" s="8" t="s">
        <v>2961</v>
      </c>
      <c r="N1998" s="8" t="s">
        <v>1377</v>
      </c>
      <c r="O1998" s="8">
        <v>1226.07</v>
      </c>
      <c r="P1998" s="8">
        <v>1362.3</v>
      </c>
      <c r="Q1998" s="8" t="s">
        <v>2759</v>
      </c>
      <c r="S1998" s="8" t="s">
        <v>1116</v>
      </c>
      <c r="T1998" s="8">
        <v>75.25</v>
      </c>
    </row>
    <row r="1999" spans="1:20" x14ac:dyDescent="0.2">
      <c r="A1999" s="8" t="s">
        <v>4583</v>
      </c>
      <c r="B1999" s="8" t="str">
        <f t="shared" si="62"/>
        <v>1586244674</v>
      </c>
      <c r="C1999" s="8" t="str">
        <f t="shared" si="63"/>
        <v>2034</v>
      </c>
      <c r="D1999" s="8" t="s">
        <v>119</v>
      </c>
      <c r="F1999" s="8" t="s">
        <v>599</v>
      </c>
      <c r="G1999" s="8" t="s">
        <v>2102</v>
      </c>
      <c r="H1999" s="8" t="s">
        <v>2103</v>
      </c>
      <c r="I1999" s="8" t="s">
        <v>71</v>
      </c>
      <c r="J1999" s="8" t="s">
        <v>2104</v>
      </c>
      <c r="K1999" s="8" t="s">
        <v>60</v>
      </c>
      <c r="L1999" s="8" t="s">
        <v>2105</v>
      </c>
      <c r="M1999" s="8" t="s">
        <v>2961</v>
      </c>
      <c r="N1999" s="8" t="s">
        <v>2102</v>
      </c>
      <c r="O1999" s="8">
        <v>930.25</v>
      </c>
      <c r="P1999" s="8">
        <v>1033.6099999999999</v>
      </c>
      <c r="Q1999" s="8" t="s">
        <v>2760</v>
      </c>
      <c r="R1999" s="8" t="s">
        <v>2457</v>
      </c>
    </row>
    <row r="2000" spans="1:20" x14ac:dyDescent="0.2">
      <c r="A2000" s="8" t="s">
        <v>3549</v>
      </c>
      <c r="B2000" s="8" t="str">
        <f t="shared" si="62"/>
        <v>1586244674</v>
      </c>
      <c r="C2000" s="8" t="str">
        <f t="shared" si="63"/>
        <v>2035</v>
      </c>
      <c r="D2000" s="8" t="s">
        <v>119</v>
      </c>
      <c r="F2000" s="8" t="s">
        <v>599</v>
      </c>
      <c r="G2000" s="8" t="s">
        <v>2102</v>
      </c>
      <c r="H2000" s="8" t="s">
        <v>2103</v>
      </c>
      <c r="I2000" s="8" t="s">
        <v>71</v>
      </c>
      <c r="J2000" s="8" t="s">
        <v>2104</v>
      </c>
      <c r="K2000" s="8" t="s">
        <v>60</v>
      </c>
      <c r="L2000" s="8" t="s">
        <v>2105</v>
      </c>
      <c r="M2000" s="8" t="s">
        <v>2961</v>
      </c>
      <c r="N2000" s="8" t="s">
        <v>2102</v>
      </c>
      <c r="O2000" s="8">
        <v>930.25</v>
      </c>
      <c r="P2000" s="8">
        <v>1033.6099999999999</v>
      </c>
      <c r="Q2000" s="8" t="s">
        <v>2760</v>
      </c>
      <c r="R2000" s="8" t="s">
        <v>2106</v>
      </c>
    </row>
    <row r="2001" spans="1:20" x14ac:dyDescent="0.2">
      <c r="A2001" s="8" t="s">
        <v>4724</v>
      </c>
      <c r="B2001" s="8" t="str">
        <f t="shared" si="62"/>
        <v>1586244674</v>
      </c>
      <c r="C2001" s="8" t="str">
        <f t="shared" si="63"/>
        <v>2036</v>
      </c>
      <c r="D2001" s="8" t="s">
        <v>119</v>
      </c>
      <c r="F2001" s="8" t="s">
        <v>599</v>
      </c>
      <c r="G2001" s="8" t="s">
        <v>2102</v>
      </c>
      <c r="H2001" s="8" t="s">
        <v>2103</v>
      </c>
      <c r="I2001" s="8" t="s">
        <v>71</v>
      </c>
      <c r="J2001" s="8" t="s">
        <v>2104</v>
      </c>
      <c r="K2001" s="8" t="s">
        <v>60</v>
      </c>
      <c r="L2001" s="8" t="s">
        <v>2105</v>
      </c>
      <c r="M2001" s="8" t="s">
        <v>2961</v>
      </c>
      <c r="N2001" s="8" t="s">
        <v>2102</v>
      </c>
      <c r="O2001" s="8">
        <v>930.25</v>
      </c>
      <c r="P2001" s="8">
        <v>1033.6099999999999</v>
      </c>
      <c r="Q2001" s="8" t="s">
        <v>2760</v>
      </c>
      <c r="R2001" s="8" t="s">
        <v>2397</v>
      </c>
    </row>
    <row r="2002" spans="1:20" x14ac:dyDescent="0.2">
      <c r="A2002" s="8" t="s">
        <v>4809</v>
      </c>
      <c r="B2002" s="8" t="str">
        <f t="shared" si="62"/>
        <v>1586244674</v>
      </c>
      <c r="C2002" s="8" t="str">
        <f t="shared" si="63"/>
        <v>2037</v>
      </c>
      <c r="D2002" s="8" t="s">
        <v>119</v>
      </c>
      <c r="F2002" s="8" t="s">
        <v>599</v>
      </c>
      <c r="G2002" s="8" t="s">
        <v>2102</v>
      </c>
      <c r="H2002" s="8" t="s">
        <v>2103</v>
      </c>
      <c r="I2002" s="8" t="s">
        <v>71</v>
      </c>
      <c r="J2002" s="8" t="s">
        <v>2104</v>
      </c>
      <c r="K2002" s="8" t="s">
        <v>60</v>
      </c>
      <c r="L2002" s="8" t="s">
        <v>2105</v>
      </c>
      <c r="M2002" s="8" t="s">
        <v>2961</v>
      </c>
      <c r="N2002" s="8" t="s">
        <v>2102</v>
      </c>
      <c r="O2002" s="8">
        <v>930.25</v>
      </c>
      <c r="P2002" s="8">
        <v>1033.6099999999999</v>
      </c>
      <c r="Q2002" s="8" t="s">
        <v>2760</v>
      </c>
      <c r="S2002" s="8" t="s">
        <v>1116</v>
      </c>
      <c r="T2002" s="8">
        <v>75.25</v>
      </c>
    </row>
    <row r="2003" spans="1:20" x14ac:dyDescent="0.2">
      <c r="A2003" s="8" t="s">
        <v>3234</v>
      </c>
      <c r="B2003" s="8" t="str">
        <f t="shared" si="62"/>
        <v>1586244680</v>
      </c>
      <c r="C2003" s="8" t="str">
        <f t="shared" si="63"/>
        <v>2038</v>
      </c>
      <c r="D2003" s="8" t="s">
        <v>119</v>
      </c>
      <c r="F2003" s="8" t="s">
        <v>164</v>
      </c>
      <c r="G2003" s="8" t="s">
        <v>165</v>
      </c>
      <c r="H2003" s="8" t="s">
        <v>166</v>
      </c>
      <c r="I2003" s="8" t="s">
        <v>167</v>
      </c>
      <c r="J2003" s="8" t="s">
        <v>168</v>
      </c>
      <c r="K2003" s="8" t="s">
        <v>169</v>
      </c>
      <c r="L2003" s="8" t="s">
        <v>170</v>
      </c>
      <c r="M2003" s="8" t="s">
        <v>2796</v>
      </c>
      <c r="N2003" s="8" t="s">
        <v>165</v>
      </c>
      <c r="O2003" s="8">
        <v>241.97</v>
      </c>
      <c r="P2003" s="8">
        <v>268.85000000000002</v>
      </c>
      <c r="Q2003" s="8" t="s">
        <v>2761</v>
      </c>
      <c r="R2003" s="8" t="s">
        <v>171</v>
      </c>
    </row>
    <row r="2004" spans="1:20" x14ac:dyDescent="0.2">
      <c r="A2004" s="8" t="s">
        <v>2868</v>
      </c>
      <c r="B2004" s="8" t="str">
        <f t="shared" si="62"/>
        <v>1586244680</v>
      </c>
      <c r="C2004" s="8" t="str">
        <f t="shared" si="63"/>
        <v>2039</v>
      </c>
      <c r="D2004" s="8" t="s">
        <v>119</v>
      </c>
      <c r="F2004" s="8" t="s">
        <v>164</v>
      </c>
      <c r="G2004" s="8" t="s">
        <v>165</v>
      </c>
      <c r="H2004" s="8" t="s">
        <v>166</v>
      </c>
      <c r="I2004" s="8" t="s">
        <v>167</v>
      </c>
      <c r="J2004" s="8" t="s">
        <v>168</v>
      </c>
      <c r="K2004" s="8" t="s">
        <v>169</v>
      </c>
      <c r="L2004" s="8" t="s">
        <v>170</v>
      </c>
      <c r="M2004" s="8" t="s">
        <v>2796</v>
      </c>
      <c r="N2004" s="8" t="s">
        <v>165</v>
      </c>
      <c r="O2004" s="8">
        <v>241.97</v>
      </c>
      <c r="P2004" s="8">
        <v>268.85000000000002</v>
      </c>
      <c r="Q2004" s="8" t="s">
        <v>2761</v>
      </c>
      <c r="R2004" s="8" t="s">
        <v>2051</v>
      </c>
    </row>
    <row r="2005" spans="1:20" x14ac:dyDescent="0.2">
      <c r="A2005" s="8" t="s">
        <v>4321</v>
      </c>
      <c r="B2005" s="8" t="str">
        <f t="shared" si="62"/>
        <v>1586244680</v>
      </c>
      <c r="C2005" s="8" t="str">
        <f t="shared" si="63"/>
        <v>2040</v>
      </c>
      <c r="D2005" s="8" t="s">
        <v>119</v>
      </c>
      <c r="F2005" s="8" t="s">
        <v>164</v>
      </c>
      <c r="G2005" s="8" t="s">
        <v>165</v>
      </c>
      <c r="H2005" s="8" t="s">
        <v>166</v>
      </c>
      <c r="I2005" s="8" t="s">
        <v>167</v>
      </c>
      <c r="J2005" s="8" t="s">
        <v>168</v>
      </c>
      <c r="K2005" s="8" t="s">
        <v>169</v>
      </c>
      <c r="L2005" s="8" t="s">
        <v>170</v>
      </c>
      <c r="M2005" s="8" t="s">
        <v>2796</v>
      </c>
      <c r="N2005" s="8" t="s">
        <v>165</v>
      </c>
      <c r="O2005" s="8">
        <v>241.97</v>
      </c>
      <c r="P2005" s="8">
        <v>268.85000000000002</v>
      </c>
      <c r="Q2005" s="8" t="s">
        <v>2761</v>
      </c>
      <c r="S2005" s="8" t="s">
        <v>393</v>
      </c>
      <c r="T2005" s="8">
        <v>123.2</v>
      </c>
    </row>
    <row r="2006" spans="1:20" x14ac:dyDescent="0.2">
      <c r="A2006" s="8" t="s">
        <v>4325</v>
      </c>
      <c r="B2006" s="8" t="str">
        <f t="shared" si="62"/>
        <v>1586244682</v>
      </c>
      <c r="C2006" s="8" t="str">
        <f t="shared" si="63"/>
        <v>2041</v>
      </c>
      <c r="D2006" s="8" t="s">
        <v>119</v>
      </c>
      <c r="F2006" s="8" t="s">
        <v>164</v>
      </c>
      <c r="G2006" s="8" t="s">
        <v>165</v>
      </c>
      <c r="H2006" s="8" t="s">
        <v>166</v>
      </c>
      <c r="I2006" s="8" t="s">
        <v>71</v>
      </c>
      <c r="J2006" s="8" t="s">
        <v>1140</v>
      </c>
      <c r="K2006" s="8" t="s">
        <v>60</v>
      </c>
      <c r="L2006" s="8" t="s">
        <v>1141</v>
      </c>
      <c r="M2006" s="8" t="s">
        <v>2796</v>
      </c>
      <c r="N2006" s="8" t="s">
        <v>165</v>
      </c>
      <c r="O2006" s="8">
        <v>725.9</v>
      </c>
      <c r="P2006" s="8">
        <v>806.56</v>
      </c>
      <c r="Q2006" s="8" t="s">
        <v>2762</v>
      </c>
      <c r="R2006" s="8" t="s">
        <v>1318</v>
      </c>
    </row>
    <row r="2007" spans="1:20" x14ac:dyDescent="0.2">
      <c r="A2007" s="8" t="s">
        <v>4217</v>
      </c>
      <c r="B2007" s="8" t="str">
        <f t="shared" si="62"/>
        <v>1586244682</v>
      </c>
      <c r="C2007" s="8" t="str">
        <f t="shared" si="63"/>
        <v>2042</v>
      </c>
      <c r="D2007" s="8" t="s">
        <v>119</v>
      </c>
      <c r="F2007" s="8" t="s">
        <v>164</v>
      </c>
      <c r="G2007" s="8" t="s">
        <v>165</v>
      </c>
      <c r="H2007" s="8" t="s">
        <v>166</v>
      </c>
      <c r="I2007" s="8" t="s">
        <v>71</v>
      </c>
      <c r="J2007" s="8" t="s">
        <v>1140</v>
      </c>
      <c r="K2007" s="8" t="s">
        <v>60</v>
      </c>
      <c r="L2007" s="8" t="s">
        <v>1141</v>
      </c>
      <c r="M2007" s="8" t="s">
        <v>2796</v>
      </c>
      <c r="N2007" s="8" t="s">
        <v>165</v>
      </c>
      <c r="O2007" s="8">
        <v>725.9</v>
      </c>
      <c r="P2007" s="8">
        <v>806.56</v>
      </c>
      <c r="Q2007" s="8" t="s">
        <v>2762</v>
      </c>
      <c r="R2007" s="8" t="s">
        <v>2302</v>
      </c>
    </row>
    <row r="2008" spans="1:20" x14ac:dyDescent="0.2">
      <c r="A2008" s="8" t="s">
        <v>3369</v>
      </c>
      <c r="B2008" s="8" t="str">
        <f t="shared" si="62"/>
        <v>1586244682</v>
      </c>
      <c r="C2008" s="8" t="str">
        <f t="shared" si="63"/>
        <v>2043</v>
      </c>
      <c r="D2008" s="8" t="s">
        <v>119</v>
      </c>
      <c r="F2008" s="8" t="s">
        <v>164</v>
      </c>
      <c r="G2008" s="8" t="s">
        <v>165</v>
      </c>
      <c r="H2008" s="8" t="s">
        <v>166</v>
      </c>
      <c r="I2008" s="8" t="s">
        <v>71</v>
      </c>
      <c r="J2008" s="8" t="s">
        <v>1140</v>
      </c>
      <c r="K2008" s="8" t="s">
        <v>60</v>
      </c>
      <c r="L2008" s="8" t="s">
        <v>1141</v>
      </c>
      <c r="M2008" s="8" t="s">
        <v>2796</v>
      </c>
      <c r="N2008" s="8" t="s">
        <v>165</v>
      </c>
      <c r="O2008" s="8">
        <v>725.9</v>
      </c>
      <c r="P2008" s="8">
        <v>806.56</v>
      </c>
      <c r="Q2008" s="8" t="s">
        <v>2762</v>
      </c>
      <c r="R2008" s="8" t="s">
        <v>1768</v>
      </c>
    </row>
    <row r="2009" spans="1:20" x14ac:dyDescent="0.2">
      <c r="A2009" s="8" t="s">
        <v>3371</v>
      </c>
      <c r="B2009" s="8" t="str">
        <f t="shared" si="62"/>
        <v>1586244682</v>
      </c>
      <c r="C2009" s="8" t="str">
        <f t="shared" si="63"/>
        <v>2044</v>
      </c>
      <c r="D2009" s="8" t="s">
        <v>119</v>
      </c>
      <c r="F2009" s="8" t="s">
        <v>164</v>
      </c>
      <c r="G2009" s="8" t="s">
        <v>165</v>
      </c>
      <c r="H2009" s="8" t="s">
        <v>166</v>
      </c>
      <c r="I2009" s="8" t="s">
        <v>71</v>
      </c>
      <c r="J2009" s="8" t="s">
        <v>1140</v>
      </c>
      <c r="K2009" s="8" t="s">
        <v>60</v>
      </c>
      <c r="L2009" s="8" t="s">
        <v>1141</v>
      </c>
      <c r="M2009" s="8" t="s">
        <v>2796</v>
      </c>
      <c r="N2009" s="8" t="s">
        <v>165</v>
      </c>
      <c r="O2009" s="8">
        <v>725.9</v>
      </c>
      <c r="P2009" s="8">
        <v>806.56</v>
      </c>
      <c r="Q2009" s="8" t="s">
        <v>2762</v>
      </c>
      <c r="S2009" s="8" t="s">
        <v>1142</v>
      </c>
      <c r="T2009" s="8">
        <v>44.26</v>
      </c>
    </row>
    <row r="2010" spans="1:20" x14ac:dyDescent="0.2">
      <c r="A2010" s="8" t="s">
        <v>3157</v>
      </c>
      <c r="B2010" s="8" t="str">
        <f t="shared" si="62"/>
        <v>1586244682</v>
      </c>
      <c r="C2010" s="8" t="str">
        <f t="shared" si="63"/>
        <v>2045</v>
      </c>
      <c r="D2010" s="8" t="s">
        <v>119</v>
      </c>
      <c r="F2010" s="8" t="s">
        <v>164</v>
      </c>
      <c r="G2010" s="8" t="s">
        <v>165</v>
      </c>
      <c r="H2010" s="8" t="s">
        <v>166</v>
      </c>
      <c r="I2010" s="8" t="s">
        <v>71</v>
      </c>
      <c r="J2010" s="8" t="s">
        <v>1140</v>
      </c>
      <c r="K2010" s="8" t="s">
        <v>60</v>
      </c>
      <c r="L2010" s="8" t="s">
        <v>1141</v>
      </c>
      <c r="M2010" s="8" t="s">
        <v>2796</v>
      </c>
      <c r="N2010" s="8" t="s">
        <v>165</v>
      </c>
      <c r="O2010" s="8">
        <v>725.9</v>
      </c>
      <c r="P2010" s="8">
        <v>806.56</v>
      </c>
      <c r="Q2010" s="8" t="s">
        <v>2762</v>
      </c>
      <c r="S2010" s="8" t="s">
        <v>1834</v>
      </c>
      <c r="T2010" s="8">
        <v>82.62</v>
      </c>
    </row>
    <row r="2011" spans="1:20" x14ac:dyDescent="0.2">
      <c r="A2011" s="8" t="s">
        <v>3747</v>
      </c>
      <c r="B2011" s="8" t="str">
        <f t="shared" si="62"/>
        <v>1586244682</v>
      </c>
      <c r="C2011" s="8" t="str">
        <f t="shared" si="63"/>
        <v>2046</v>
      </c>
      <c r="D2011" s="8" t="s">
        <v>119</v>
      </c>
      <c r="F2011" s="8" t="s">
        <v>164</v>
      </c>
      <c r="G2011" s="8" t="s">
        <v>165</v>
      </c>
      <c r="H2011" s="8" t="s">
        <v>166</v>
      </c>
      <c r="I2011" s="8" t="s">
        <v>71</v>
      </c>
      <c r="J2011" s="8" t="s">
        <v>1140</v>
      </c>
      <c r="K2011" s="8" t="s">
        <v>60</v>
      </c>
      <c r="L2011" s="8" t="s">
        <v>1141</v>
      </c>
      <c r="M2011" s="8" t="s">
        <v>2796</v>
      </c>
      <c r="N2011" s="8" t="s">
        <v>165</v>
      </c>
      <c r="O2011" s="8">
        <v>725.9</v>
      </c>
      <c r="P2011" s="8">
        <v>806.56</v>
      </c>
      <c r="Q2011" s="8" t="s">
        <v>2762</v>
      </c>
      <c r="S2011" s="8" t="s">
        <v>1346</v>
      </c>
      <c r="T2011" s="8">
        <v>106.97</v>
      </c>
    </row>
    <row r="2012" spans="1:20" x14ac:dyDescent="0.2">
      <c r="A2012" s="8" t="s">
        <v>2795</v>
      </c>
      <c r="B2012" s="8" t="str">
        <f t="shared" si="62"/>
        <v>1586244682</v>
      </c>
      <c r="C2012" s="8" t="str">
        <f t="shared" si="63"/>
        <v>2047</v>
      </c>
      <c r="D2012" s="8" t="s">
        <v>119</v>
      </c>
      <c r="F2012" s="8" t="s">
        <v>164</v>
      </c>
      <c r="G2012" s="8" t="s">
        <v>165</v>
      </c>
      <c r="H2012" s="8" t="s">
        <v>166</v>
      </c>
      <c r="I2012" s="8" t="s">
        <v>71</v>
      </c>
      <c r="J2012" s="8" t="s">
        <v>1140</v>
      </c>
      <c r="K2012" s="8" t="s">
        <v>60</v>
      </c>
      <c r="L2012" s="8" t="s">
        <v>1141</v>
      </c>
      <c r="M2012" s="8" t="s">
        <v>2796</v>
      </c>
      <c r="N2012" s="8" t="s">
        <v>165</v>
      </c>
      <c r="O2012" s="8">
        <v>725.9</v>
      </c>
      <c r="P2012" s="8">
        <v>806.56</v>
      </c>
      <c r="Q2012" s="8" t="s">
        <v>2762</v>
      </c>
      <c r="S2012" s="8" t="s">
        <v>674</v>
      </c>
      <c r="T2012" s="8">
        <v>48.69</v>
      </c>
    </row>
    <row r="2013" spans="1:20" x14ac:dyDescent="0.2">
      <c r="A2013" s="8" t="s">
        <v>3939</v>
      </c>
      <c r="B2013" s="8" t="str">
        <f t="shared" si="62"/>
        <v>1586244686</v>
      </c>
      <c r="C2013" s="8" t="str">
        <f t="shared" si="63"/>
        <v>2048</v>
      </c>
      <c r="D2013" s="8" t="s">
        <v>119</v>
      </c>
      <c r="F2013" s="8" t="s">
        <v>164</v>
      </c>
      <c r="G2013" s="8" t="s">
        <v>478</v>
      </c>
      <c r="H2013" s="8" t="s">
        <v>479</v>
      </c>
      <c r="I2013" s="8" t="s">
        <v>167</v>
      </c>
      <c r="J2013" s="8" t="s">
        <v>480</v>
      </c>
      <c r="K2013" s="8" t="s">
        <v>93</v>
      </c>
      <c r="L2013" s="8" t="s">
        <v>481</v>
      </c>
      <c r="M2013" s="8" t="s">
        <v>2796</v>
      </c>
      <c r="N2013" s="8" t="s">
        <v>478</v>
      </c>
      <c r="O2013" s="8">
        <v>241.97</v>
      </c>
      <c r="P2013" s="8">
        <v>268.85000000000002</v>
      </c>
      <c r="Q2013" s="8" t="s">
        <v>2763</v>
      </c>
      <c r="R2013" s="8" t="s">
        <v>1843</v>
      </c>
    </row>
    <row r="2014" spans="1:20" x14ac:dyDescent="0.2">
      <c r="A2014" s="8" t="s">
        <v>4364</v>
      </c>
      <c r="B2014" s="8" t="str">
        <f t="shared" si="62"/>
        <v>1586244686</v>
      </c>
      <c r="C2014" s="8" t="str">
        <f t="shared" si="63"/>
        <v>2049</v>
      </c>
      <c r="D2014" s="8" t="s">
        <v>119</v>
      </c>
      <c r="F2014" s="8" t="s">
        <v>164</v>
      </c>
      <c r="G2014" s="8" t="s">
        <v>478</v>
      </c>
      <c r="H2014" s="8" t="s">
        <v>479</v>
      </c>
      <c r="I2014" s="8" t="s">
        <v>167</v>
      </c>
      <c r="J2014" s="8" t="s">
        <v>480</v>
      </c>
      <c r="K2014" s="8" t="s">
        <v>93</v>
      </c>
      <c r="L2014" s="8" t="s">
        <v>481</v>
      </c>
      <c r="M2014" s="8" t="s">
        <v>2796</v>
      </c>
      <c r="N2014" s="8" t="s">
        <v>478</v>
      </c>
      <c r="O2014" s="8">
        <v>241.97</v>
      </c>
      <c r="P2014" s="8">
        <v>268.85000000000002</v>
      </c>
      <c r="Q2014" s="8" t="s">
        <v>2763</v>
      </c>
      <c r="S2014" s="8" t="s">
        <v>393</v>
      </c>
      <c r="T2014" s="8">
        <v>123.2</v>
      </c>
    </row>
    <row r="2015" spans="1:20" x14ac:dyDescent="0.2">
      <c r="A2015" s="8" t="s">
        <v>3370</v>
      </c>
      <c r="B2015" s="8" t="str">
        <f t="shared" si="62"/>
        <v>1586244688</v>
      </c>
      <c r="C2015" s="8" t="str">
        <f t="shared" si="63"/>
        <v>2050</v>
      </c>
      <c r="D2015" s="8" t="s">
        <v>119</v>
      </c>
      <c r="F2015" s="8" t="s">
        <v>164</v>
      </c>
      <c r="G2015" s="8" t="s">
        <v>478</v>
      </c>
      <c r="H2015" s="8" t="s">
        <v>479</v>
      </c>
      <c r="I2015" s="8" t="s">
        <v>71</v>
      </c>
      <c r="J2015" s="8" t="s">
        <v>672</v>
      </c>
      <c r="K2015" s="8" t="s">
        <v>60</v>
      </c>
      <c r="L2015" s="8" t="s">
        <v>673</v>
      </c>
      <c r="M2015" s="8" t="s">
        <v>2796</v>
      </c>
      <c r="N2015" s="8" t="s">
        <v>478</v>
      </c>
      <c r="O2015" s="8">
        <v>717.05</v>
      </c>
      <c r="P2015" s="8">
        <v>796.72</v>
      </c>
      <c r="Q2015" s="8" t="s">
        <v>2764</v>
      </c>
      <c r="R2015" s="8" t="s">
        <v>2298</v>
      </c>
    </row>
    <row r="2016" spans="1:20" x14ac:dyDescent="0.2">
      <c r="A2016" s="8" t="s">
        <v>2986</v>
      </c>
      <c r="B2016" s="8" t="str">
        <f t="shared" si="62"/>
        <v>1586244688</v>
      </c>
      <c r="C2016" s="8" t="str">
        <f t="shared" si="63"/>
        <v>2051</v>
      </c>
      <c r="D2016" s="8" t="s">
        <v>119</v>
      </c>
      <c r="F2016" s="8" t="s">
        <v>164</v>
      </c>
      <c r="G2016" s="8" t="s">
        <v>478</v>
      </c>
      <c r="H2016" s="8" t="s">
        <v>479</v>
      </c>
      <c r="I2016" s="8" t="s">
        <v>71</v>
      </c>
      <c r="J2016" s="8" t="s">
        <v>672</v>
      </c>
      <c r="K2016" s="8" t="s">
        <v>60</v>
      </c>
      <c r="L2016" s="8" t="s">
        <v>673</v>
      </c>
      <c r="M2016" s="8" t="s">
        <v>2796</v>
      </c>
      <c r="N2016" s="8" t="s">
        <v>478</v>
      </c>
      <c r="O2016" s="8">
        <v>717.05</v>
      </c>
      <c r="P2016" s="8">
        <v>796.72</v>
      </c>
      <c r="Q2016" s="8" t="s">
        <v>2764</v>
      </c>
      <c r="S2016" s="8" t="s">
        <v>674</v>
      </c>
      <c r="T2016" s="8">
        <v>53.11</v>
      </c>
    </row>
    <row r="2017" spans="1:20" x14ac:dyDescent="0.2">
      <c r="A2017" s="8" t="s">
        <v>3756</v>
      </c>
      <c r="B2017" s="8" t="str">
        <f t="shared" si="62"/>
        <v>1586244688</v>
      </c>
      <c r="C2017" s="8" t="str">
        <f t="shared" si="63"/>
        <v>2052</v>
      </c>
      <c r="D2017" s="8" t="s">
        <v>119</v>
      </c>
      <c r="F2017" s="8" t="s">
        <v>164</v>
      </c>
      <c r="G2017" s="8" t="s">
        <v>478</v>
      </c>
      <c r="H2017" s="8" t="s">
        <v>479</v>
      </c>
      <c r="I2017" s="8" t="s">
        <v>71</v>
      </c>
      <c r="J2017" s="8" t="s">
        <v>672</v>
      </c>
      <c r="K2017" s="8" t="s">
        <v>60</v>
      </c>
      <c r="L2017" s="8" t="s">
        <v>673</v>
      </c>
      <c r="M2017" s="8" t="s">
        <v>2796</v>
      </c>
      <c r="N2017" s="8" t="s">
        <v>478</v>
      </c>
      <c r="O2017" s="8">
        <v>717.05</v>
      </c>
      <c r="P2017" s="8">
        <v>796.72</v>
      </c>
      <c r="Q2017" s="8" t="s">
        <v>2764</v>
      </c>
      <c r="S2017" s="8" t="s">
        <v>1834</v>
      </c>
      <c r="T2017" s="8">
        <v>82.62</v>
      </c>
    </row>
    <row r="2018" spans="1:20" x14ac:dyDescent="0.2">
      <c r="A2018" s="8" t="s">
        <v>3752</v>
      </c>
      <c r="B2018" s="8" t="str">
        <f t="shared" si="62"/>
        <v>1586244688</v>
      </c>
      <c r="C2018" s="8" t="str">
        <f t="shared" si="63"/>
        <v>2053</v>
      </c>
      <c r="D2018" s="8" t="s">
        <v>119</v>
      </c>
      <c r="F2018" s="8" t="s">
        <v>164</v>
      </c>
      <c r="G2018" s="8" t="s">
        <v>478</v>
      </c>
      <c r="H2018" s="8" t="s">
        <v>479</v>
      </c>
      <c r="I2018" s="8" t="s">
        <v>71</v>
      </c>
      <c r="J2018" s="8" t="s">
        <v>672</v>
      </c>
      <c r="K2018" s="8" t="s">
        <v>60</v>
      </c>
      <c r="L2018" s="8" t="s">
        <v>673</v>
      </c>
      <c r="M2018" s="8" t="s">
        <v>2796</v>
      </c>
      <c r="N2018" s="8" t="s">
        <v>478</v>
      </c>
      <c r="O2018" s="8">
        <v>717.05</v>
      </c>
      <c r="P2018" s="8">
        <v>796.72</v>
      </c>
      <c r="Q2018" s="8" t="s">
        <v>2764</v>
      </c>
      <c r="S2018" s="8" t="s">
        <v>1142</v>
      </c>
      <c r="T2018" s="8">
        <v>44.26</v>
      </c>
    </row>
    <row r="2019" spans="1:20" x14ac:dyDescent="0.2">
      <c r="A2019" s="8" t="s">
        <v>3700</v>
      </c>
      <c r="B2019" s="8" t="str">
        <f t="shared" si="62"/>
        <v>1586244688</v>
      </c>
      <c r="C2019" s="8" t="str">
        <f t="shared" si="63"/>
        <v>2054</v>
      </c>
      <c r="D2019" s="8" t="s">
        <v>119</v>
      </c>
      <c r="F2019" s="8" t="s">
        <v>164</v>
      </c>
      <c r="G2019" s="8" t="s">
        <v>478</v>
      </c>
      <c r="H2019" s="8" t="s">
        <v>479</v>
      </c>
      <c r="I2019" s="8" t="s">
        <v>71</v>
      </c>
      <c r="J2019" s="8" t="s">
        <v>672</v>
      </c>
      <c r="K2019" s="8" t="s">
        <v>60</v>
      </c>
      <c r="L2019" s="8" t="s">
        <v>673</v>
      </c>
      <c r="M2019" s="8" t="s">
        <v>2796</v>
      </c>
      <c r="N2019" s="8" t="s">
        <v>478</v>
      </c>
      <c r="O2019" s="8">
        <v>717.05</v>
      </c>
      <c r="P2019" s="8">
        <v>796.72</v>
      </c>
      <c r="Q2019" s="8" t="s">
        <v>2764</v>
      </c>
      <c r="S2019" s="8" t="s">
        <v>1346</v>
      </c>
      <c r="T2019" s="8">
        <v>101.07</v>
      </c>
    </row>
    <row r="2020" spans="1:20" x14ac:dyDescent="0.2">
      <c r="A2020" s="8" t="s">
        <v>3966</v>
      </c>
      <c r="B2020" s="8" t="str">
        <f t="shared" si="62"/>
        <v>1586244688</v>
      </c>
      <c r="C2020" s="8" t="str">
        <f t="shared" si="63"/>
        <v>2055</v>
      </c>
      <c r="D2020" s="8" t="s">
        <v>119</v>
      </c>
      <c r="F2020" s="8" t="s">
        <v>164</v>
      </c>
      <c r="G2020" s="8" t="s">
        <v>478</v>
      </c>
      <c r="H2020" s="8" t="s">
        <v>479</v>
      </c>
      <c r="I2020" s="8" t="s">
        <v>71</v>
      </c>
      <c r="J2020" s="8" t="s">
        <v>672</v>
      </c>
      <c r="K2020" s="8" t="s">
        <v>60</v>
      </c>
      <c r="L2020" s="8" t="s">
        <v>673</v>
      </c>
      <c r="M2020" s="8" t="s">
        <v>2796</v>
      </c>
      <c r="N2020" s="8" t="s">
        <v>478</v>
      </c>
      <c r="O2020" s="8">
        <v>717.05</v>
      </c>
      <c r="P2020" s="8">
        <v>796.72</v>
      </c>
      <c r="Q2020" s="8" t="s">
        <v>2764</v>
      </c>
      <c r="S2020" s="8" t="s">
        <v>1116</v>
      </c>
      <c r="T2020" s="8">
        <v>75.25</v>
      </c>
    </row>
  </sheetData>
  <autoFilter ref="A1:T2024" xr:uid="{30BD82D2-B44D-9143-97F6-C8B3C73D2553}">
    <sortState xmlns:xlrd2="http://schemas.microsoft.com/office/spreadsheetml/2017/richdata2" ref="A2:T2022">
      <sortCondition ref="B1:B2024"/>
    </sortState>
  </autoFilter>
  <sortState xmlns:xlrd2="http://schemas.microsoft.com/office/spreadsheetml/2017/richdata2" ref="A2:T2020">
    <sortCondition ref="B2:B2020"/>
    <sortCondition ref="C2:C202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F34FD-4A67-8A48-918C-7D113C498E84}">
  <sheetPr codeName="Sheet3"/>
  <dimension ref="A3:B320"/>
  <sheetViews>
    <sheetView workbookViewId="0">
      <selection activeCell="A35" sqref="A35"/>
    </sheetView>
  </sheetViews>
  <sheetFormatPr baseColWidth="10" defaultRowHeight="16" x14ac:dyDescent="0.2"/>
  <cols>
    <col min="1" max="1" width="108.83203125" bestFit="1" customWidth="1"/>
    <col min="2" max="2" width="19.1640625" bestFit="1" customWidth="1"/>
    <col min="3" max="3" width="18.83203125" bestFit="1" customWidth="1"/>
  </cols>
  <sheetData>
    <row r="3" spans="1:2" x14ac:dyDescent="0.2">
      <c r="A3" s="2" t="s">
        <v>111</v>
      </c>
      <c r="B3" t="s">
        <v>114</v>
      </c>
    </row>
    <row r="4" spans="1:2" x14ac:dyDescent="0.2">
      <c r="A4" s="3" t="s">
        <v>418</v>
      </c>
      <c r="B4" s="1">
        <v>2</v>
      </c>
    </row>
    <row r="5" spans="1:2" x14ac:dyDescent="0.2">
      <c r="A5" s="3" t="s">
        <v>402</v>
      </c>
      <c r="B5" s="1">
        <v>8</v>
      </c>
    </row>
    <row r="6" spans="1:2" x14ac:dyDescent="0.2">
      <c r="A6" s="3" t="s">
        <v>1044</v>
      </c>
      <c r="B6" s="1">
        <v>2</v>
      </c>
    </row>
    <row r="7" spans="1:2" x14ac:dyDescent="0.2">
      <c r="A7" s="3" t="s">
        <v>1089</v>
      </c>
      <c r="B7" s="1">
        <v>2</v>
      </c>
    </row>
    <row r="8" spans="1:2" x14ac:dyDescent="0.2">
      <c r="A8" s="3" t="s">
        <v>859</v>
      </c>
      <c r="B8" s="1">
        <v>2</v>
      </c>
    </row>
    <row r="9" spans="1:2" x14ac:dyDescent="0.2">
      <c r="A9" s="3" t="s">
        <v>251</v>
      </c>
      <c r="B9" s="1">
        <v>4</v>
      </c>
    </row>
    <row r="10" spans="1:2" x14ac:dyDescent="0.2">
      <c r="A10" s="3" t="s">
        <v>981</v>
      </c>
      <c r="B10" s="1">
        <v>4</v>
      </c>
    </row>
    <row r="11" spans="1:2" x14ac:dyDescent="0.2">
      <c r="A11" s="3" t="s">
        <v>1617</v>
      </c>
      <c r="B11" s="1">
        <v>7</v>
      </c>
    </row>
    <row r="12" spans="1:2" x14ac:dyDescent="0.2">
      <c r="A12" s="3" t="s">
        <v>373</v>
      </c>
      <c r="B12" s="1">
        <v>7</v>
      </c>
    </row>
    <row r="13" spans="1:2" x14ac:dyDescent="0.2">
      <c r="A13" s="3" t="s">
        <v>966</v>
      </c>
      <c r="B13" s="1">
        <v>4</v>
      </c>
    </row>
    <row r="14" spans="1:2" x14ac:dyDescent="0.2">
      <c r="A14" s="3" t="s">
        <v>1721</v>
      </c>
      <c r="B14" s="1"/>
    </row>
    <row r="15" spans="1:2" x14ac:dyDescent="0.2">
      <c r="A15" s="3" t="s">
        <v>805</v>
      </c>
      <c r="B15" s="1">
        <v>3</v>
      </c>
    </row>
    <row r="16" spans="1:2" x14ac:dyDescent="0.2">
      <c r="A16" s="3" t="s">
        <v>921</v>
      </c>
      <c r="B16" s="1"/>
    </row>
    <row r="17" spans="1:2" x14ac:dyDescent="0.2">
      <c r="A17" s="3" t="s">
        <v>1080</v>
      </c>
      <c r="B17" s="1">
        <v>3</v>
      </c>
    </row>
    <row r="18" spans="1:2" x14ac:dyDescent="0.2">
      <c r="A18" s="3" t="s">
        <v>319</v>
      </c>
      <c r="B18" s="1">
        <v>5</v>
      </c>
    </row>
    <row r="19" spans="1:2" x14ac:dyDescent="0.2">
      <c r="A19" s="3" t="s">
        <v>274</v>
      </c>
      <c r="B19" s="1">
        <v>4</v>
      </c>
    </row>
    <row r="20" spans="1:2" x14ac:dyDescent="0.2">
      <c r="A20" s="3" t="s">
        <v>1176</v>
      </c>
      <c r="B20" s="1"/>
    </row>
    <row r="21" spans="1:2" x14ac:dyDescent="0.2">
      <c r="A21" s="3" t="s">
        <v>339</v>
      </c>
      <c r="B21" s="1">
        <v>1</v>
      </c>
    </row>
    <row r="22" spans="1:2" x14ac:dyDescent="0.2">
      <c r="A22" s="3" t="s">
        <v>357</v>
      </c>
      <c r="B22" s="1">
        <v>2</v>
      </c>
    </row>
    <row r="23" spans="1:2" x14ac:dyDescent="0.2">
      <c r="A23" s="3" t="s">
        <v>146</v>
      </c>
      <c r="B23" s="1">
        <v>3</v>
      </c>
    </row>
    <row r="24" spans="1:2" x14ac:dyDescent="0.2">
      <c r="A24" s="3" t="s">
        <v>233</v>
      </c>
      <c r="B24" s="1">
        <v>3</v>
      </c>
    </row>
    <row r="25" spans="1:2" x14ac:dyDescent="0.2">
      <c r="A25" s="3" t="s">
        <v>153</v>
      </c>
      <c r="B25" s="1">
        <v>3</v>
      </c>
    </row>
    <row r="26" spans="1:2" x14ac:dyDescent="0.2">
      <c r="A26" s="3" t="s">
        <v>299</v>
      </c>
      <c r="B26" s="1">
        <v>4</v>
      </c>
    </row>
    <row r="27" spans="1:2" x14ac:dyDescent="0.2">
      <c r="A27" s="3" t="s">
        <v>209</v>
      </c>
      <c r="B27" s="1">
        <v>3</v>
      </c>
    </row>
    <row r="28" spans="1:2" x14ac:dyDescent="0.2">
      <c r="A28" s="3" t="s">
        <v>263</v>
      </c>
      <c r="B28" s="1">
        <v>2</v>
      </c>
    </row>
    <row r="29" spans="1:2" x14ac:dyDescent="0.2">
      <c r="A29" s="3" t="s">
        <v>1475</v>
      </c>
      <c r="B29" s="1">
        <v>1</v>
      </c>
    </row>
    <row r="30" spans="1:2" x14ac:dyDescent="0.2">
      <c r="A30" s="3" t="s">
        <v>1405</v>
      </c>
      <c r="B30" s="1">
        <v>1</v>
      </c>
    </row>
    <row r="31" spans="1:2" x14ac:dyDescent="0.2">
      <c r="A31" s="3" t="s">
        <v>575</v>
      </c>
      <c r="B31" s="1"/>
    </row>
    <row r="32" spans="1:2" x14ac:dyDescent="0.2">
      <c r="A32" s="3" t="s">
        <v>624</v>
      </c>
      <c r="B32" s="1"/>
    </row>
    <row r="33" spans="1:2" x14ac:dyDescent="0.2">
      <c r="A33" s="3" t="s">
        <v>1965</v>
      </c>
      <c r="B33" s="1"/>
    </row>
    <row r="34" spans="1:2" x14ac:dyDescent="0.2">
      <c r="A34" s="3" t="s">
        <v>1274</v>
      </c>
      <c r="B34" s="1">
        <v>2</v>
      </c>
    </row>
    <row r="35" spans="1:2" x14ac:dyDescent="0.2">
      <c r="A35" s="3" t="s">
        <v>175</v>
      </c>
      <c r="B35" s="1">
        <v>2</v>
      </c>
    </row>
    <row r="36" spans="1:2" x14ac:dyDescent="0.2">
      <c r="A36" s="3" t="s">
        <v>1439</v>
      </c>
      <c r="B36" s="1">
        <v>3</v>
      </c>
    </row>
    <row r="37" spans="1:2" x14ac:dyDescent="0.2">
      <c r="A37" s="3" t="s">
        <v>213</v>
      </c>
      <c r="B37" s="1">
        <v>6</v>
      </c>
    </row>
    <row r="38" spans="1:2" x14ac:dyDescent="0.2">
      <c r="A38" s="3" t="s">
        <v>333</v>
      </c>
      <c r="B38" s="1">
        <v>2</v>
      </c>
    </row>
    <row r="39" spans="1:2" x14ac:dyDescent="0.2">
      <c r="A39" s="3" t="s">
        <v>140</v>
      </c>
      <c r="B39" s="1">
        <v>4</v>
      </c>
    </row>
    <row r="40" spans="1:2" x14ac:dyDescent="0.2">
      <c r="A40" s="3" t="s">
        <v>556</v>
      </c>
      <c r="B40" s="1">
        <v>2</v>
      </c>
    </row>
    <row r="41" spans="1:2" x14ac:dyDescent="0.2">
      <c r="A41" s="3" t="s">
        <v>1341</v>
      </c>
      <c r="B41" s="1">
        <v>1</v>
      </c>
    </row>
    <row r="42" spans="1:2" x14ac:dyDescent="0.2">
      <c r="A42" s="3" t="s">
        <v>528</v>
      </c>
      <c r="B42" s="1">
        <v>3</v>
      </c>
    </row>
    <row r="43" spans="1:2" x14ac:dyDescent="0.2">
      <c r="A43" s="3" t="s">
        <v>1315</v>
      </c>
      <c r="B43" s="1">
        <v>2</v>
      </c>
    </row>
    <row r="44" spans="1:2" x14ac:dyDescent="0.2">
      <c r="A44" s="3" t="s">
        <v>1153</v>
      </c>
      <c r="B44" s="1">
        <v>2</v>
      </c>
    </row>
    <row r="45" spans="1:2" x14ac:dyDescent="0.2">
      <c r="A45" s="3" t="s">
        <v>238</v>
      </c>
      <c r="B45" s="1">
        <v>2</v>
      </c>
    </row>
    <row r="46" spans="1:2" x14ac:dyDescent="0.2">
      <c r="A46" s="3" t="s">
        <v>560</v>
      </c>
      <c r="B46" s="1">
        <v>4</v>
      </c>
    </row>
    <row r="47" spans="1:2" x14ac:dyDescent="0.2">
      <c r="A47" s="3" t="s">
        <v>886</v>
      </c>
      <c r="B47" s="1"/>
    </row>
    <row r="48" spans="1:2" x14ac:dyDescent="0.2">
      <c r="A48" s="3" t="s">
        <v>634</v>
      </c>
      <c r="B48" s="1">
        <v>1</v>
      </c>
    </row>
    <row r="49" spans="1:2" x14ac:dyDescent="0.2">
      <c r="A49" s="3" t="s">
        <v>378</v>
      </c>
      <c r="B49" s="1"/>
    </row>
    <row r="50" spans="1:2" x14ac:dyDescent="0.2">
      <c r="A50" s="3" t="s">
        <v>407</v>
      </c>
      <c r="B50" s="1">
        <v>1</v>
      </c>
    </row>
    <row r="51" spans="1:2" x14ac:dyDescent="0.2">
      <c r="A51" s="3" t="s">
        <v>1051</v>
      </c>
      <c r="B51" s="1">
        <v>1</v>
      </c>
    </row>
    <row r="52" spans="1:2" x14ac:dyDescent="0.2">
      <c r="A52" s="3" t="s">
        <v>1629</v>
      </c>
      <c r="B52" s="1">
        <v>5</v>
      </c>
    </row>
    <row r="53" spans="1:2" x14ac:dyDescent="0.2">
      <c r="A53" s="3" t="s">
        <v>484</v>
      </c>
      <c r="B53" s="1">
        <v>3</v>
      </c>
    </row>
    <row r="54" spans="1:2" x14ac:dyDescent="0.2">
      <c r="A54" s="3" t="s">
        <v>989</v>
      </c>
      <c r="B54" s="1"/>
    </row>
    <row r="55" spans="1:2" x14ac:dyDescent="0.2">
      <c r="A55" s="3" t="s">
        <v>682</v>
      </c>
      <c r="B55" s="1">
        <v>5</v>
      </c>
    </row>
    <row r="56" spans="1:2" x14ac:dyDescent="0.2">
      <c r="A56" s="3" t="s">
        <v>1227</v>
      </c>
      <c r="B56" s="1">
        <v>3</v>
      </c>
    </row>
    <row r="57" spans="1:2" x14ac:dyDescent="0.2">
      <c r="A57" s="3" t="s">
        <v>1708</v>
      </c>
      <c r="B57" s="1">
        <v>5</v>
      </c>
    </row>
    <row r="58" spans="1:2" x14ac:dyDescent="0.2">
      <c r="A58" s="3" t="s">
        <v>1058</v>
      </c>
      <c r="B58" s="1">
        <v>2</v>
      </c>
    </row>
    <row r="59" spans="1:2" x14ac:dyDescent="0.2">
      <c r="A59" s="3" t="s">
        <v>1350</v>
      </c>
      <c r="B59" s="1">
        <v>1</v>
      </c>
    </row>
    <row r="60" spans="1:2" x14ac:dyDescent="0.2">
      <c r="A60" s="3" t="s">
        <v>289</v>
      </c>
      <c r="B60" s="1">
        <v>2</v>
      </c>
    </row>
    <row r="61" spans="1:2" x14ac:dyDescent="0.2">
      <c r="A61" s="3" t="s">
        <v>535</v>
      </c>
      <c r="B61" s="1">
        <v>3</v>
      </c>
    </row>
    <row r="62" spans="1:2" x14ac:dyDescent="0.2">
      <c r="A62" s="3" t="s">
        <v>396</v>
      </c>
      <c r="B62" s="1">
        <v>3</v>
      </c>
    </row>
    <row r="63" spans="1:2" x14ac:dyDescent="0.2">
      <c r="A63" s="3" t="s">
        <v>182</v>
      </c>
      <c r="B63" s="1">
        <v>3</v>
      </c>
    </row>
    <row r="64" spans="1:2" x14ac:dyDescent="0.2">
      <c r="A64" s="3" t="s">
        <v>368</v>
      </c>
      <c r="B64" s="1">
        <v>3</v>
      </c>
    </row>
    <row r="65" spans="1:2" x14ac:dyDescent="0.2">
      <c r="A65" s="3" t="s">
        <v>132</v>
      </c>
      <c r="B65" s="1">
        <v>3</v>
      </c>
    </row>
    <row r="66" spans="1:2" x14ac:dyDescent="0.2">
      <c r="A66" s="3" t="s">
        <v>856</v>
      </c>
      <c r="B66" s="1">
        <v>3</v>
      </c>
    </row>
    <row r="67" spans="1:2" x14ac:dyDescent="0.2">
      <c r="A67" s="3" t="s">
        <v>1356</v>
      </c>
      <c r="B67" s="1">
        <v>2</v>
      </c>
    </row>
    <row r="68" spans="1:2" x14ac:dyDescent="0.2">
      <c r="A68" s="3" t="s">
        <v>1765</v>
      </c>
      <c r="B68" s="1">
        <v>2</v>
      </c>
    </row>
    <row r="69" spans="1:2" x14ac:dyDescent="0.2">
      <c r="A69" s="3" t="s">
        <v>1160</v>
      </c>
      <c r="B69" s="1">
        <v>2</v>
      </c>
    </row>
    <row r="70" spans="1:2" x14ac:dyDescent="0.2">
      <c r="A70" s="3" t="s">
        <v>1455</v>
      </c>
      <c r="B70" s="1">
        <v>2</v>
      </c>
    </row>
    <row r="71" spans="1:2" x14ac:dyDescent="0.2">
      <c r="A71" s="3" t="s">
        <v>676</v>
      </c>
      <c r="B71" s="1">
        <v>2</v>
      </c>
    </row>
    <row r="72" spans="1:2" x14ac:dyDescent="0.2">
      <c r="A72" s="3" t="s">
        <v>1648</v>
      </c>
      <c r="B72" s="1">
        <v>2</v>
      </c>
    </row>
    <row r="73" spans="1:2" x14ac:dyDescent="0.2">
      <c r="A73" s="3" t="s">
        <v>304</v>
      </c>
      <c r="B73" s="1">
        <v>2</v>
      </c>
    </row>
    <row r="74" spans="1:2" x14ac:dyDescent="0.2">
      <c r="A74" s="3" t="s">
        <v>1401</v>
      </c>
      <c r="B74" s="1">
        <v>3</v>
      </c>
    </row>
    <row r="75" spans="1:2" x14ac:dyDescent="0.2">
      <c r="A75" s="3" t="s">
        <v>1040</v>
      </c>
      <c r="B75" s="1">
        <v>4</v>
      </c>
    </row>
    <row r="76" spans="1:2" x14ac:dyDescent="0.2">
      <c r="A76" s="3" t="s">
        <v>1446</v>
      </c>
      <c r="B76" s="1">
        <v>3</v>
      </c>
    </row>
    <row r="77" spans="1:2" x14ac:dyDescent="0.2">
      <c r="A77" s="3" t="s">
        <v>1002</v>
      </c>
      <c r="B77" s="1">
        <v>3</v>
      </c>
    </row>
    <row r="78" spans="1:2" x14ac:dyDescent="0.2">
      <c r="A78" s="3" t="s">
        <v>194</v>
      </c>
      <c r="B78" s="1">
        <v>4</v>
      </c>
    </row>
    <row r="79" spans="1:2" x14ac:dyDescent="0.2">
      <c r="A79" s="3" t="s">
        <v>1624</v>
      </c>
      <c r="B79" s="1">
        <v>4</v>
      </c>
    </row>
    <row r="80" spans="1:2" x14ac:dyDescent="0.2">
      <c r="A80" s="3" t="s">
        <v>161</v>
      </c>
      <c r="B80" s="1">
        <v>3</v>
      </c>
    </row>
    <row r="81" spans="1:2" x14ac:dyDescent="0.2">
      <c r="A81" s="3" t="s">
        <v>2076</v>
      </c>
      <c r="B81" s="1"/>
    </row>
    <row r="82" spans="1:2" x14ac:dyDescent="0.2">
      <c r="A82" s="3" t="s">
        <v>442</v>
      </c>
      <c r="B82" s="1">
        <v>1</v>
      </c>
    </row>
    <row r="83" spans="1:2" x14ac:dyDescent="0.2">
      <c r="A83" s="3" t="s">
        <v>521</v>
      </c>
      <c r="B83" s="1">
        <v>1</v>
      </c>
    </row>
    <row r="84" spans="1:2" x14ac:dyDescent="0.2">
      <c r="A84" s="3" t="s">
        <v>1250</v>
      </c>
      <c r="B84" s="1">
        <v>2</v>
      </c>
    </row>
    <row r="85" spans="1:2" x14ac:dyDescent="0.2">
      <c r="A85" s="3" t="s">
        <v>693</v>
      </c>
      <c r="B85" s="1">
        <v>5</v>
      </c>
    </row>
    <row r="86" spans="1:2" x14ac:dyDescent="0.2">
      <c r="A86" s="3" t="s">
        <v>543</v>
      </c>
      <c r="B86" s="1">
        <v>3</v>
      </c>
    </row>
    <row r="87" spans="1:2" x14ac:dyDescent="0.2">
      <c r="A87" s="3" t="s">
        <v>1299</v>
      </c>
      <c r="B87" s="1">
        <v>3</v>
      </c>
    </row>
    <row r="88" spans="1:2" x14ac:dyDescent="0.2">
      <c r="A88" s="3" t="s">
        <v>872</v>
      </c>
      <c r="B88" s="1"/>
    </row>
    <row r="89" spans="1:2" x14ac:dyDescent="0.2">
      <c r="A89" s="3" t="s">
        <v>813</v>
      </c>
      <c r="B89" s="1">
        <v>2</v>
      </c>
    </row>
    <row r="90" spans="1:2" x14ac:dyDescent="0.2">
      <c r="A90" s="3" t="s">
        <v>280</v>
      </c>
      <c r="B90" s="1">
        <v>2</v>
      </c>
    </row>
    <row r="91" spans="1:2" x14ac:dyDescent="0.2">
      <c r="A91" s="3" t="s">
        <v>348</v>
      </c>
      <c r="B91" s="1">
        <v>3</v>
      </c>
    </row>
    <row r="92" spans="1:2" x14ac:dyDescent="0.2">
      <c r="A92" s="3" t="s">
        <v>1237</v>
      </c>
      <c r="B92" s="1">
        <v>3</v>
      </c>
    </row>
    <row r="93" spans="1:2" x14ac:dyDescent="0.2">
      <c r="A93" s="3" t="s">
        <v>384</v>
      </c>
      <c r="B93" s="1">
        <v>3</v>
      </c>
    </row>
    <row r="94" spans="1:2" x14ac:dyDescent="0.2">
      <c r="A94" s="3" t="s">
        <v>459</v>
      </c>
      <c r="B94" s="1">
        <v>3</v>
      </c>
    </row>
    <row r="95" spans="1:2" x14ac:dyDescent="0.2">
      <c r="A95" s="3" t="s">
        <v>783</v>
      </c>
      <c r="B95" s="1">
        <v>2</v>
      </c>
    </row>
    <row r="96" spans="1:2" x14ac:dyDescent="0.2">
      <c r="A96" s="3" t="s">
        <v>342</v>
      </c>
      <c r="B96" s="1">
        <v>3</v>
      </c>
    </row>
    <row r="97" spans="1:2" x14ac:dyDescent="0.2">
      <c r="A97" s="3" t="s">
        <v>1259</v>
      </c>
      <c r="B97" s="1">
        <v>1</v>
      </c>
    </row>
    <row r="98" spans="1:2" x14ac:dyDescent="0.2">
      <c r="A98" s="3" t="s">
        <v>910</v>
      </c>
      <c r="B98" s="1"/>
    </row>
    <row r="99" spans="1:2" x14ac:dyDescent="0.2">
      <c r="A99" s="3" t="s">
        <v>847</v>
      </c>
      <c r="B99" s="1"/>
    </row>
    <row r="100" spans="1:2" x14ac:dyDescent="0.2">
      <c r="A100" s="3" t="s">
        <v>124</v>
      </c>
      <c r="B100" s="1">
        <v>3</v>
      </c>
    </row>
    <row r="101" spans="1:2" x14ac:dyDescent="0.2">
      <c r="A101" s="3" t="s">
        <v>791</v>
      </c>
      <c r="B101" s="1">
        <v>3</v>
      </c>
    </row>
    <row r="102" spans="1:2" x14ac:dyDescent="0.2">
      <c r="A102" s="3" t="s">
        <v>316</v>
      </c>
      <c r="B102" s="1">
        <v>4</v>
      </c>
    </row>
    <row r="103" spans="1:2" x14ac:dyDescent="0.2">
      <c r="A103" s="3" t="s">
        <v>475</v>
      </c>
      <c r="B103" s="1">
        <v>1</v>
      </c>
    </row>
    <row r="104" spans="1:2" x14ac:dyDescent="0.2">
      <c r="A104" s="3" t="s">
        <v>97</v>
      </c>
      <c r="B104" s="1">
        <v>2</v>
      </c>
    </row>
    <row r="105" spans="1:2" x14ac:dyDescent="0.2">
      <c r="A105" s="3" t="s">
        <v>92</v>
      </c>
      <c r="B105" s="1">
        <v>1</v>
      </c>
    </row>
    <row r="106" spans="1:2" x14ac:dyDescent="0.2">
      <c r="A106" s="3" t="s">
        <v>78</v>
      </c>
      <c r="B106" s="1"/>
    </row>
    <row r="107" spans="1:2" x14ac:dyDescent="0.2">
      <c r="A107" s="3" t="s">
        <v>1586</v>
      </c>
      <c r="B107" s="1">
        <v>4</v>
      </c>
    </row>
    <row r="108" spans="1:2" x14ac:dyDescent="0.2">
      <c r="A108" s="3" t="s">
        <v>1782</v>
      </c>
      <c r="B108" s="1">
        <v>1</v>
      </c>
    </row>
    <row r="109" spans="1:2" x14ac:dyDescent="0.2">
      <c r="A109" s="3" t="s">
        <v>2551</v>
      </c>
      <c r="B109" s="1">
        <v>4</v>
      </c>
    </row>
    <row r="110" spans="1:2" x14ac:dyDescent="0.2">
      <c r="A110" s="3" t="s">
        <v>778</v>
      </c>
      <c r="B110" s="1">
        <v>5</v>
      </c>
    </row>
    <row r="111" spans="1:2" x14ac:dyDescent="0.2">
      <c r="A111" s="3" t="s">
        <v>1824</v>
      </c>
      <c r="B111" s="1">
        <v>1</v>
      </c>
    </row>
    <row r="112" spans="1:2" x14ac:dyDescent="0.2">
      <c r="A112" s="3" t="s">
        <v>1233</v>
      </c>
      <c r="B112" s="1">
        <v>2</v>
      </c>
    </row>
    <row r="113" spans="1:2" x14ac:dyDescent="0.2">
      <c r="A113" s="3" t="s">
        <v>842</v>
      </c>
      <c r="B113" s="1">
        <v>3</v>
      </c>
    </row>
    <row r="114" spans="1:2" x14ac:dyDescent="0.2">
      <c r="A114" s="3" t="s">
        <v>1212</v>
      </c>
      <c r="B114" s="1">
        <v>3</v>
      </c>
    </row>
    <row r="115" spans="1:2" x14ac:dyDescent="0.2">
      <c r="A115" s="3" t="s">
        <v>1144</v>
      </c>
      <c r="B115" s="1">
        <v>2</v>
      </c>
    </row>
    <row r="116" spans="1:2" x14ac:dyDescent="0.2">
      <c r="A116" s="3" t="s">
        <v>1170</v>
      </c>
      <c r="B116" s="1">
        <v>2</v>
      </c>
    </row>
    <row r="117" spans="1:2" x14ac:dyDescent="0.2">
      <c r="A117" s="3" t="s">
        <v>1086</v>
      </c>
      <c r="B117" s="1">
        <v>4</v>
      </c>
    </row>
    <row r="118" spans="1:2" x14ac:dyDescent="0.2">
      <c r="A118" s="3" t="s">
        <v>710</v>
      </c>
      <c r="B118" s="1">
        <v>2</v>
      </c>
    </row>
    <row r="119" spans="1:2" x14ac:dyDescent="0.2">
      <c r="A119" s="3" t="s">
        <v>1140</v>
      </c>
      <c r="B119" s="1">
        <v>4</v>
      </c>
    </row>
    <row r="120" spans="1:2" x14ac:dyDescent="0.2">
      <c r="A120" s="3" t="s">
        <v>168</v>
      </c>
      <c r="B120" s="1">
        <v>1</v>
      </c>
    </row>
    <row r="121" spans="1:2" x14ac:dyDescent="0.2">
      <c r="A121" s="3" t="s">
        <v>1424</v>
      </c>
      <c r="B121" s="1">
        <v>3</v>
      </c>
    </row>
    <row r="122" spans="1:2" x14ac:dyDescent="0.2">
      <c r="A122" s="3" t="s">
        <v>295</v>
      </c>
      <c r="B122" s="1">
        <v>3</v>
      </c>
    </row>
    <row r="123" spans="1:2" x14ac:dyDescent="0.2">
      <c r="A123" s="3" t="s">
        <v>1183</v>
      </c>
      <c r="B123" s="1">
        <v>2</v>
      </c>
    </row>
    <row r="124" spans="1:2" x14ac:dyDescent="0.2">
      <c r="A124" s="3" t="s">
        <v>463</v>
      </c>
      <c r="B124" s="1">
        <v>3</v>
      </c>
    </row>
    <row r="125" spans="1:2" x14ac:dyDescent="0.2">
      <c r="A125" s="3" t="s">
        <v>1320</v>
      </c>
      <c r="B125" s="1">
        <v>3</v>
      </c>
    </row>
    <row r="126" spans="1:2" x14ac:dyDescent="0.2">
      <c r="A126" s="3" t="s">
        <v>1541</v>
      </c>
      <c r="B126" s="1">
        <v>1</v>
      </c>
    </row>
    <row r="127" spans="1:2" x14ac:dyDescent="0.2">
      <c r="A127" s="3" t="s">
        <v>1063</v>
      </c>
      <c r="B127" s="1">
        <v>2</v>
      </c>
    </row>
    <row r="128" spans="1:2" x14ac:dyDescent="0.2">
      <c r="A128" s="3" t="s">
        <v>467</v>
      </c>
      <c r="B128" s="1">
        <v>3</v>
      </c>
    </row>
    <row r="129" spans="1:2" x14ac:dyDescent="0.2">
      <c r="A129" s="3" t="s">
        <v>1095</v>
      </c>
      <c r="B129" s="1">
        <v>3</v>
      </c>
    </row>
    <row r="130" spans="1:2" x14ac:dyDescent="0.2">
      <c r="A130" s="3" t="s">
        <v>902</v>
      </c>
      <c r="B130" s="1">
        <v>2</v>
      </c>
    </row>
    <row r="131" spans="1:2" x14ac:dyDescent="0.2">
      <c r="A131" s="3" t="s">
        <v>566</v>
      </c>
      <c r="B131" s="1">
        <v>2</v>
      </c>
    </row>
    <row r="132" spans="1:2" x14ac:dyDescent="0.2">
      <c r="A132" s="3" t="s">
        <v>1125</v>
      </c>
      <c r="B132" s="1">
        <v>2</v>
      </c>
    </row>
    <row r="133" spans="1:2" x14ac:dyDescent="0.2">
      <c r="A133" s="3" t="s">
        <v>733</v>
      </c>
      <c r="B133" s="1">
        <v>5</v>
      </c>
    </row>
    <row r="134" spans="1:2" x14ac:dyDescent="0.2">
      <c r="A134" s="3" t="s">
        <v>1198</v>
      </c>
      <c r="B134" s="1">
        <v>2</v>
      </c>
    </row>
    <row r="135" spans="1:2" x14ac:dyDescent="0.2">
      <c r="A135" s="3" t="s">
        <v>1189</v>
      </c>
      <c r="B135" s="1">
        <v>2</v>
      </c>
    </row>
    <row r="136" spans="1:2" x14ac:dyDescent="0.2">
      <c r="A136" s="3" t="s">
        <v>516</v>
      </c>
      <c r="B136" s="1">
        <v>2</v>
      </c>
    </row>
    <row r="137" spans="1:2" x14ac:dyDescent="0.2">
      <c r="A137" s="3" t="s">
        <v>1522</v>
      </c>
      <c r="B137" s="1">
        <v>3</v>
      </c>
    </row>
    <row r="138" spans="1:2" x14ac:dyDescent="0.2">
      <c r="A138" s="3" t="s">
        <v>523</v>
      </c>
      <c r="B138" s="1">
        <v>3</v>
      </c>
    </row>
    <row r="139" spans="1:2" x14ac:dyDescent="0.2">
      <c r="A139" s="3" t="s">
        <v>1601</v>
      </c>
      <c r="B139" s="1">
        <v>5</v>
      </c>
    </row>
    <row r="140" spans="1:2" x14ac:dyDescent="0.2">
      <c r="A140" s="3" t="s">
        <v>501</v>
      </c>
      <c r="B140" s="1">
        <v>5</v>
      </c>
    </row>
    <row r="141" spans="1:2" x14ac:dyDescent="0.2">
      <c r="A141" s="3" t="s">
        <v>881</v>
      </c>
      <c r="B141" s="1">
        <v>5</v>
      </c>
    </row>
    <row r="142" spans="1:2" x14ac:dyDescent="0.2">
      <c r="A142" s="3" t="s">
        <v>1055</v>
      </c>
      <c r="B142" s="1">
        <v>2</v>
      </c>
    </row>
    <row r="143" spans="1:2" x14ac:dyDescent="0.2">
      <c r="A143" s="3" t="s">
        <v>749</v>
      </c>
      <c r="B143" s="1">
        <v>3</v>
      </c>
    </row>
    <row r="144" spans="1:2" x14ac:dyDescent="0.2">
      <c r="A144" s="3" t="s">
        <v>706</v>
      </c>
      <c r="B144" s="1">
        <v>1</v>
      </c>
    </row>
    <row r="145" spans="1:2" x14ac:dyDescent="0.2">
      <c r="A145" s="3" t="s">
        <v>764</v>
      </c>
      <c r="B145" s="1">
        <v>1</v>
      </c>
    </row>
    <row r="146" spans="1:2" x14ac:dyDescent="0.2">
      <c r="A146" s="3" t="s">
        <v>1009</v>
      </c>
      <c r="B146" s="1">
        <v>1</v>
      </c>
    </row>
    <row r="147" spans="1:2" x14ac:dyDescent="0.2">
      <c r="A147" s="3" t="s">
        <v>1303</v>
      </c>
      <c r="B147" s="1">
        <v>2</v>
      </c>
    </row>
    <row r="148" spans="1:2" x14ac:dyDescent="0.2">
      <c r="A148" s="3" t="s">
        <v>1132</v>
      </c>
      <c r="B148" s="1">
        <v>4</v>
      </c>
    </row>
    <row r="149" spans="1:2" x14ac:dyDescent="0.2">
      <c r="A149" s="3" t="s">
        <v>1117</v>
      </c>
      <c r="B149" s="1"/>
    </row>
    <row r="150" spans="1:2" x14ac:dyDescent="0.2">
      <c r="A150" s="3" t="s">
        <v>837</v>
      </c>
      <c r="B150" s="1">
        <v>2</v>
      </c>
    </row>
    <row r="151" spans="1:2" x14ac:dyDescent="0.2">
      <c r="A151" s="3" t="s">
        <v>1564</v>
      </c>
      <c r="B151" s="1">
        <v>2</v>
      </c>
    </row>
    <row r="152" spans="1:2" x14ac:dyDescent="0.2">
      <c r="A152" s="3" t="s">
        <v>754</v>
      </c>
      <c r="B152" s="1">
        <v>1</v>
      </c>
    </row>
    <row r="153" spans="1:2" x14ac:dyDescent="0.2">
      <c r="A153" s="3" t="s">
        <v>1172</v>
      </c>
      <c r="B153" s="1">
        <v>3</v>
      </c>
    </row>
    <row r="154" spans="1:2" x14ac:dyDescent="0.2">
      <c r="A154" s="3" t="s">
        <v>1707</v>
      </c>
      <c r="B154" s="1">
        <v>3</v>
      </c>
    </row>
    <row r="155" spans="1:2" x14ac:dyDescent="0.2">
      <c r="A155" s="3" t="s">
        <v>653</v>
      </c>
      <c r="B155" s="1">
        <v>2</v>
      </c>
    </row>
    <row r="156" spans="1:2" x14ac:dyDescent="0.2">
      <c r="A156" s="3" t="s">
        <v>877</v>
      </c>
      <c r="B156" s="1">
        <v>2</v>
      </c>
    </row>
    <row r="157" spans="1:2" x14ac:dyDescent="0.2">
      <c r="A157" s="3" t="s">
        <v>834</v>
      </c>
      <c r="B157" s="1">
        <v>2</v>
      </c>
    </row>
    <row r="158" spans="1:2" x14ac:dyDescent="0.2">
      <c r="A158" s="3" t="s">
        <v>199</v>
      </c>
      <c r="B158" s="1">
        <v>2</v>
      </c>
    </row>
    <row r="159" spans="1:2" x14ac:dyDescent="0.2">
      <c r="A159" s="3" t="s">
        <v>1038</v>
      </c>
      <c r="B159" s="1">
        <v>1</v>
      </c>
    </row>
    <row r="160" spans="1:2" x14ac:dyDescent="0.2">
      <c r="A160" s="3" t="s">
        <v>550</v>
      </c>
      <c r="B160" s="1"/>
    </row>
    <row r="161" spans="1:2" x14ac:dyDescent="0.2">
      <c r="A161" s="3" t="s">
        <v>415</v>
      </c>
      <c r="B161" s="1">
        <v>1</v>
      </c>
    </row>
    <row r="162" spans="1:2" x14ac:dyDescent="0.2">
      <c r="A162" s="3" t="s">
        <v>491</v>
      </c>
      <c r="B162" s="1">
        <v>2</v>
      </c>
    </row>
    <row r="163" spans="1:2" x14ac:dyDescent="0.2">
      <c r="A163" s="3" t="s">
        <v>453</v>
      </c>
      <c r="B163" s="1">
        <v>2</v>
      </c>
    </row>
    <row r="164" spans="1:2" x14ac:dyDescent="0.2">
      <c r="A164" s="3" t="s">
        <v>189</v>
      </c>
      <c r="B164" s="1">
        <v>1</v>
      </c>
    </row>
    <row r="165" spans="1:2" x14ac:dyDescent="0.2">
      <c r="A165" s="3" t="s">
        <v>1526</v>
      </c>
      <c r="B165" s="1">
        <v>2</v>
      </c>
    </row>
    <row r="166" spans="1:2" x14ac:dyDescent="0.2">
      <c r="A166" s="3" t="s">
        <v>244</v>
      </c>
      <c r="B166" s="1">
        <v>3</v>
      </c>
    </row>
    <row r="167" spans="1:2" x14ac:dyDescent="0.2">
      <c r="A167" s="3" t="s">
        <v>1069</v>
      </c>
      <c r="B167" s="1">
        <v>3</v>
      </c>
    </row>
    <row r="168" spans="1:2" x14ac:dyDescent="0.2">
      <c r="A168" s="3" t="s">
        <v>1217</v>
      </c>
      <c r="B168" s="1">
        <v>2</v>
      </c>
    </row>
    <row r="169" spans="1:2" x14ac:dyDescent="0.2">
      <c r="A169" s="3" t="s">
        <v>1713</v>
      </c>
      <c r="B169" s="1">
        <v>4</v>
      </c>
    </row>
    <row r="170" spans="1:2" x14ac:dyDescent="0.2">
      <c r="A170" s="3" t="s">
        <v>1370</v>
      </c>
      <c r="B170" s="1">
        <v>3</v>
      </c>
    </row>
    <row r="171" spans="1:2" x14ac:dyDescent="0.2">
      <c r="A171" s="3" t="s">
        <v>1383</v>
      </c>
      <c r="B171" s="1">
        <v>1</v>
      </c>
    </row>
    <row r="172" spans="1:2" x14ac:dyDescent="0.2">
      <c r="A172" s="3" t="s">
        <v>1113</v>
      </c>
      <c r="B172" s="1">
        <v>1</v>
      </c>
    </row>
    <row r="173" spans="1:2" x14ac:dyDescent="0.2">
      <c r="A173" s="3" t="s">
        <v>1941</v>
      </c>
      <c r="B173" s="1">
        <v>1</v>
      </c>
    </row>
    <row r="174" spans="1:2" x14ac:dyDescent="0.2">
      <c r="A174" s="3" t="s">
        <v>1102</v>
      </c>
      <c r="B174" s="1"/>
    </row>
    <row r="175" spans="1:2" x14ac:dyDescent="0.2">
      <c r="A175" s="3" t="s">
        <v>287</v>
      </c>
      <c r="B175" s="1">
        <v>7</v>
      </c>
    </row>
    <row r="176" spans="1:2" x14ac:dyDescent="0.2">
      <c r="A176" s="3" t="s">
        <v>595</v>
      </c>
      <c r="B176" s="1">
        <v>3</v>
      </c>
    </row>
    <row r="177" spans="1:2" x14ac:dyDescent="0.2">
      <c r="A177" s="3" t="s">
        <v>354</v>
      </c>
      <c r="B177" s="1">
        <v>5</v>
      </c>
    </row>
    <row r="178" spans="1:2" x14ac:dyDescent="0.2">
      <c r="A178" s="3" t="s">
        <v>589</v>
      </c>
      <c r="B178" s="1">
        <v>2</v>
      </c>
    </row>
    <row r="179" spans="1:2" x14ac:dyDescent="0.2">
      <c r="A179" s="3" t="s">
        <v>1469</v>
      </c>
      <c r="B179" s="1">
        <v>3</v>
      </c>
    </row>
    <row r="180" spans="1:2" x14ac:dyDescent="0.2">
      <c r="A180" s="3" t="s">
        <v>1495</v>
      </c>
      <c r="B180" s="1">
        <v>3</v>
      </c>
    </row>
    <row r="181" spans="1:2" x14ac:dyDescent="0.2">
      <c r="A181" s="3" t="s">
        <v>1480</v>
      </c>
      <c r="B181" s="1">
        <v>3</v>
      </c>
    </row>
    <row r="182" spans="1:2" x14ac:dyDescent="0.2">
      <c r="A182" s="3" t="s">
        <v>581</v>
      </c>
      <c r="B182" s="1">
        <v>3</v>
      </c>
    </row>
    <row r="183" spans="1:2" x14ac:dyDescent="0.2">
      <c r="A183" s="3" t="s">
        <v>891</v>
      </c>
      <c r="B183" s="1">
        <v>3</v>
      </c>
    </row>
    <row r="184" spans="1:2" x14ac:dyDescent="0.2">
      <c r="A184" s="3" t="s">
        <v>329</v>
      </c>
      <c r="B184" s="1">
        <v>1</v>
      </c>
    </row>
    <row r="185" spans="1:2" x14ac:dyDescent="0.2">
      <c r="A185" s="3" t="s">
        <v>976</v>
      </c>
      <c r="B185" s="1">
        <v>3</v>
      </c>
    </row>
    <row r="186" spans="1:2" x14ac:dyDescent="0.2">
      <c r="A186" s="3" t="s">
        <v>218</v>
      </c>
      <c r="B186" s="1">
        <v>3</v>
      </c>
    </row>
    <row r="187" spans="1:2" x14ac:dyDescent="0.2">
      <c r="A187" s="3" t="s">
        <v>72</v>
      </c>
      <c r="B187" s="1">
        <v>2</v>
      </c>
    </row>
    <row r="188" spans="1:2" x14ac:dyDescent="0.2">
      <c r="A188" s="3" t="s">
        <v>63</v>
      </c>
      <c r="B188" s="1"/>
    </row>
    <row r="189" spans="1:2" x14ac:dyDescent="0.2">
      <c r="A189" s="3" t="s">
        <v>510</v>
      </c>
      <c r="B189" s="1">
        <v>3</v>
      </c>
    </row>
    <row r="190" spans="1:2" x14ac:dyDescent="0.2">
      <c r="A190" s="3" t="s">
        <v>1680</v>
      </c>
      <c r="B190" s="1">
        <v>3</v>
      </c>
    </row>
    <row r="191" spans="1:2" x14ac:dyDescent="0.2">
      <c r="A191" s="3" t="s">
        <v>1818</v>
      </c>
      <c r="B191" s="1">
        <v>3</v>
      </c>
    </row>
    <row r="192" spans="1:2" x14ac:dyDescent="0.2">
      <c r="A192" s="3" t="s">
        <v>1107</v>
      </c>
      <c r="B192" s="1">
        <v>3</v>
      </c>
    </row>
    <row r="193" spans="1:2" x14ac:dyDescent="0.2">
      <c r="A193" s="3" t="s">
        <v>609</v>
      </c>
      <c r="B193" s="1">
        <v>3</v>
      </c>
    </row>
    <row r="194" spans="1:2" x14ac:dyDescent="0.2">
      <c r="A194" s="3" t="s">
        <v>427</v>
      </c>
      <c r="B194" s="1">
        <v>3</v>
      </c>
    </row>
    <row r="195" spans="1:2" x14ac:dyDescent="0.2">
      <c r="A195" s="3" t="s">
        <v>230</v>
      </c>
      <c r="B195" s="1">
        <v>3</v>
      </c>
    </row>
    <row r="196" spans="1:2" x14ac:dyDescent="0.2">
      <c r="A196" s="3" t="s">
        <v>1609</v>
      </c>
      <c r="B196" s="1">
        <v>3</v>
      </c>
    </row>
    <row r="197" spans="1:2" x14ac:dyDescent="0.2">
      <c r="A197" s="3" t="s">
        <v>636</v>
      </c>
      <c r="B197" s="1">
        <v>3</v>
      </c>
    </row>
    <row r="198" spans="1:2" x14ac:dyDescent="0.2">
      <c r="A198" s="3" t="s">
        <v>1268</v>
      </c>
      <c r="B198" s="1">
        <v>1</v>
      </c>
    </row>
    <row r="199" spans="1:2" x14ac:dyDescent="0.2">
      <c r="A199" s="3" t="s">
        <v>717</v>
      </c>
      <c r="B199" s="1">
        <v>2</v>
      </c>
    </row>
    <row r="200" spans="1:2" x14ac:dyDescent="0.2">
      <c r="A200" s="3" t="s">
        <v>59</v>
      </c>
      <c r="B200" s="1"/>
    </row>
    <row r="201" spans="1:2" x14ac:dyDescent="0.2">
      <c r="A201" s="3" t="s">
        <v>852</v>
      </c>
      <c r="B201" s="1">
        <v>1</v>
      </c>
    </row>
    <row r="202" spans="1:2" x14ac:dyDescent="0.2">
      <c r="A202" s="3" t="s">
        <v>1462</v>
      </c>
      <c r="B202" s="1">
        <v>3</v>
      </c>
    </row>
    <row r="203" spans="1:2" x14ac:dyDescent="0.2">
      <c r="A203" s="3" t="s">
        <v>648</v>
      </c>
      <c r="B203" s="1">
        <v>2</v>
      </c>
    </row>
    <row r="204" spans="1:2" x14ac:dyDescent="0.2">
      <c r="A204" s="3" t="s">
        <v>1419</v>
      </c>
      <c r="B204" s="1">
        <v>2</v>
      </c>
    </row>
    <row r="205" spans="1:2" x14ac:dyDescent="0.2">
      <c r="A205" s="3" t="s">
        <v>2104</v>
      </c>
      <c r="B205" s="1">
        <v>1</v>
      </c>
    </row>
    <row r="206" spans="1:2" x14ac:dyDescent="0.2">
      <c r="A206" s="3" t="s">
        <v>1017</v>
      </c>
      <c r="B206" s="1">
        <v>1</v>
      </c>
    </row>
    <row r="207" spans="1:2" x14ac:dyDescent="0.2">
      <c r="A207" s="3" t="s">
        <v>1075</v>
      </c>
      <c r="B207" s="1">
        <v>1</v>
      </c>
    </row>
    <row r="208" spans="1:2" x14ac:dyDescent="0.2">
      <c r="A208" s="3" t="s">
        <v>1379</v>
      </c>
      <c r="B208" s="1">
        <v>1</v>
      </c>
    </row>
    <row r="209" spans="1:2" x14ac:dyDescent="0.2">
      <c r="A209" s="3" t="s">
        <v>602</v>
      </c>
      <c r="B209" s="1">
        <v>1</v>
      </c>
    </row>
    <row r="210" spans="1:2" x14ac:dyDescent="0.2">
      <c r="A210" s="3" t="s">
        <v>698</v>
      </c>
      <c r="B210" s="1">
        <v>3</v>
      </c>
    </row>
    <row r="211" spans="1:2" x14ac:dyDescent="0.2">
      <c r="A211" s="3" t="s">
        <v>1296</v>
      </c>
      <c r="B211" s="1">
        <v>3</v>
      </c>
    </row>
    <row r="212" spans="1:2" x14ac:dyDescent="0.2">
      <c r="A212" s="3" t="s">
        <v>456</v>
      </c>
      <c r="B212" s="1">
        <v>3</v>
      </c>
    </row>
    <row r="213" spans="1:2" x14ac:dyDescent="0.2">
      <c r="A213" s="3" t="s">
        <v>723</v>
      </c>
      <c r="B213" s="1">
        <v>1</v>
      </c>
    </row>
    <row r="214" spans="1:2" x14ac:dyDescent="0.2">
      <c r="A214" s="3" t="s">
        <v>744</v>
      </c>
      <c r="B214" s="1">
        <v>4</v>
      </c>
    </row>
    <row r="215" spans="1:2" x14ac:dyDescent="0.2">
      <c r="A215" s="3" t="s">
        <v>423</v>
      </c>
      <c r="B215" s="1">
        <v>3</v>
      </c>
    </row>
    <row r="216" spans="1:2" x14ac:dyDescent="0.2">
      <c r="A216" s="3" t="s">
        <v>1254</v>
      </c>
      <c r="B216" s="1">
        <v>3</v>
      </c>
    </row>
    <row r="217" spans="1:2" x14ac:dyDescent="0.2">
      <c r="A217" s="3" t="s">
        <v>659</v>
      </c>
      <c r="B217" s="1">
        <v>3</v>
      </c>
    </row>
    <row r="218" spans="1:2" x14ac:dyDescent="0.2">
      <c r="A218" s="3" t="s">
        <v>448</v>
      </c>
      <c r="B218" s="1">
        <v>4</v>
      </c>
    </row>
    <row r="219" spans="1:2" x14ac:dyDescent="0.2">
      <c r="A219" s="3" t="s">
        <v>1137</v>
      </c>
      <c r="B219" s="1">
        <v>3</v>
      </c>
    </row>
    <row r="220" spans="1:2" x14ac:dyDescent="0.2">
      <c r="A220" s="3" t="s">
        <v>1279</v>
      </c>
      <c r="B220" s="1">
        <v>4</v>
      </c>
    </row>
    <row r="221" spans="1:2" x14ac:dyDescent="0.2">
      <c r="A221" s="3" t="s">
        <v>488</v>
      </c>
      <c r="B221" s="1">
        <v>4</v>
      </c>
    </row>
    <row r="222" spans="1:2" x14ac:dyDescent="0.2">
      <c r="A222" s="3" t="s">
        <v>1027</v>
      </c>
      <c r="B222" s="1">
        <v>4</v>
      </c>
    </row>
    <row r="223" spans="1:2" x14ac:dyDescent="0.2">
      <c r="A223" s="3" t="s">
        <v>946</v>
      </c>
      <c r="B223" s="1">
        <v>4</v>
      </c>
    </row>
    <row r="224" spans="1:2" x14ac:dyDescent="0.2">
      <c r="A224" s="3" t="s">
        <v>808</v>
      </c>
      <c r="B224" s="1">
        <v>4</v>
      </c>
    </row>
    <row r="225" spans="1:2" x14ac:dyDescent="0.2">
      <c r="A225" s="3" t="s">
        <v>1577</v>
      </c>
      <c r="B225" s="1">
        <v>4</v>
      </c>
    </row>
    <row r="226" spans="1:2" x14ac:dyDescent="0.2">
      <c r="A226" s="3" t="s">
        <v>827</v>
      </c>
      <c r="B226" s="1">
        <v>4</v>
      </c>
    </row>
    <row r="227" spans="1:2" x14ac:dyDescent="0.2">
      <c r="A227" s="3" t="s">
        <v>531</v>
      </c>
      <c r="B227" s="1">
        <v>4</v>
      </c>
    </row>
    <row r="228" spans="1:2" x14ac:dyDescent="0.2">
      <c r="A228" s="3" t="s">
        <v>1755</v>
      </c>
      <c r="B228" s="1">
        <v>2</v>
      </c>
    </row>
    <row r="229" spans="1:2" x14ac:dyDescent="0.2">
      <c r="A229" s="3" t="s">
        <v>831</v>
      </c>
      <c r="B229" s="1"/>
    </row>
    <row r="230" spans="1:2" x14ac:dyDescent="0.2">
      <c r="A230" s="3" t="s">
        <v>1953</v>
      </c>
      <c r="B230" s="1"/>
    </row>
    <row r="231" spans="1:2" x14ac:dyDescent="0.2">
      <c r="A231" s="3" t="s">
        <v>224</v>
      </c>
      <c r="B231" s="1">
        <v>1</v>
      </c>
    </row>
    <row r="232" spans="1:2" x14ac:dyDescent="0.2">
      <c r="A232" s="3" t="s">
        <v>1571</v>
      </c>
      <c r="B232" s="1"/>
    </row>
    <row r="233" spans="1:2" x14ac:dyDescent="0.2">
      <c r="A233" s="3" t="s">
        <v>1550</v>
      </c>
      <c r="B233" s="1">
        <v>1</v>
      </c>
    </row>
    <row r="234" spans="1:2" x14ac:dyDescent="0.2">
      <c r="A234" s="3" t="s">
        <v>1220</v>
      </c>
      <c r="B234" s="1">
        <v>5</v>
      </c>
    </row>
    <row r="235" spans="1:2" x14ac:dyDescent="0.2">
      <c r="A235" s="3" t="s">
        <v>540</v>
      </c>
      <c r="B235" s="1">
        <v>5</v>
      </c>
    </row>
    <row r="236" spans="1:2" x14ac:dyDescent="0.2">
      <c r="A236" s="3" t="s">
        <v>480</v>
      </c>
      <c r="B236" s="1">
        <v>1</v>
      </c>
    </row>
    <row r="237" spans="1:2" x14ac:dyDescent="0.2">
      <c r="A237" s="3" t="s">
        <v>1508</v>
      </c>
      <c r="B237" s="1">
        <v>1</v>
      </c>
    </row>
    <row r="238" spans="1:2" x14ac:dyDescent="0.2">
      <c r="A238" s="3" t="s">
        <v>907</v>
      </c>
      <c r="B238" s="1">
        <v>2</v>
      </c>
    </row>
    <row r="239" spans="1:2" x14ac:dyDescent="0.2">
      <c r="A239" s="3" t="s">
        <v>1650</v>
      </c>
      <c r="B239" s="1">
        <v>3</v>
      </c>
    </row>
    <row r="240" spans="1:2" x14ac:dyDescent="0.2">
      <c r="A240" s="3" t="s">
        <v>721</v>
      </c>
      <c r="B240" s="1">
        <v>3</v>
      </c>
    </row>
    <row r="241" spans="1:2" x14ac:dyDescent="0.2">
      <c r="A241" s="3" t="s">
        <v>256</v>
      </c>
      <c r="B241" s="1"/>
    </row>
    <row r="242" spans="1:2" x14ac:dyDescent="0.2">
      <c r="A242" s="3" t="s">
        <v>928</v>
      </c>
      <c r="B242" s="1">
        <v>1</v>
      </c>
    </row>
    <row r="243" spans="1:2" x14ac:dyDescent="0.2">
      <c r="A243" s="3" t="s">
        <v>1022</v>
      </c>
      <c r="B243" s="1">
        <v>1</v>
      </c>
    </row>
    <row r="244" spans="1:2" x14ac:dyDescent="0.2">
      <c r="A244" s="3" t="s">
        <v>1533</v>
      </c>
      <c r="B244" s="1">
        <v>2</v>
      </c>
    </row>
    <row r="245" spans="1:2" x14ac:dyDescent="0.2">
      <c r="A245" s="3" t="s">
        <v>1180</v>
      </c>
      <c r="B245" s="1">
        <v>1</v>
      </c>
    </row>
    <row r="246" spans="1:2" x14ac:dyDescent="0.2">
      <c r="A246" s="3" t="s">
        <v>996</v>
      </c>
      <c r="B246" s="1">
        <v>1</v>
      </c>
    </row>
    <row r="247" spans="1:2" x14ac:dyDescent="0.2">
      <c r="A247" s="3" t="s">
        <v>2017</v>
      </c>
      <c r="B247" s="1"/>
    </row>
    <row r="248" spans="1:2" x14ac:dyDescent="0.2">
      <c r="A248" s="3" t="s">
        <v>933</v>
      </c>
      <c r="B248" s="1">
        <v>2</v>
      </c>
    </row>
    <row r="249" spans="1:2" x14ac:dyDescent="0.2">
      <c r="A249" s="3" t="s">
        <v>391</v>
      </c>
      <c r="B249" s="1">
        <v>4</v>
      </c>
    </row>
    <row r="250" spans="1:2" x14ac:dyDescent="0.2">
      <c r="A250" s="3" t="s">
        <v>701</v>
      </c>
      <c r="B250" s="1">
        <v>2</v>
      </c>
    </row>
    <row r="251" spans="1:2" x14ac:dyDescent="0.2">
      <c r="A251" s="3" t="s">
        <v>630</v>
      </c>
      <c r="B251" s="1">
        <v>2</v>
      </c>
    </row>
    <row r="252" spans="1:2" x14ac:dyDescent="0.2">
      <c r="A252" s="3" t="s">
        <v>741</v>
      </c>
      <c r="B252" s="1">
        <v>2</v>
      </c>
    </row>
    <row r="253" spans="1:2" x14ac:dyDescent="0.2">
      <c r="A253" s="3" t="s">
        <v>669</v>
      </c>
      <c r="B253" s="1">
        <v>4</v>
      </c>
    </row>
    <row r="254" spans="1:2" x14ac:dyDescent="0.2">
      <c r="A254" s="3" t="s">
        <v>686</v>
      </c>
      <c r="B254" s="1">
        <v>4</v>
      </c>
    </row>
    <row r="255" spans="1:2" x14ac:dyDescent="0.2">
      <c r="A255" s="3" t="s">
        <v>962</v>
      </c>
      <c r="B255" s="1">
        <v>3</v>
      </c>
    </row>
    <row r="256" spans="1:2" x14ac:dyDescent="0.2">
      <c r="A256" s="3" t="s">
        <v>1263</v>
      </c>
      <c r="B256" s="1">
        <v>1</v>
      </c>
    </row>
    <row r="257" spans="1:2" x14ac:dyDescent="0.2">
      <c r="A257" s="3" t="s">
        <v>1389</v>
      </c>
      <c r="B257" s="1">
        <v>2</v>
      </c>
    </row>
    <row r="258" spans="1:2" x14ac:dyDescent="0.2">
      <c r="A258" s="3" t="s">
        <v>737</v>
      </c>
      <c r="B258" s="1">
        <v>2</v>
      </c>
    </row>
    <row r="259" spans="1:2" x14ac:dyDescent="0.2">
      <c r="A259" s="3" t="s">
        <v>950</v>
      </c>
      <c r="B259" s="1">
        <v>5</v>
      </c>
    </row>
    <row r="260" spans="1:2" x14ac:dyDescent="0.2">
      <c r="A260" s="3" t="s">
        <v>1006</v>
      </c>
      <c r="B260" s="1">
        <v>2</v>
      </c>
    </row>
    <row r="261" spans="1:2" x14ac:dyDescent="0.2">
      <c r="A261" s="3" t="s">
        <v>938</v>
      </c>
      <c r="B261" s="1">
        <v>3</v>
      </c>
    </row>
    <row r="262" spans="1:2" x14ac:dyDescent="0.2">
      <c r="A262" s="3" t="s">
        <v>771</v>
      </c>
      <c r="B262" s="1">
        <v>5</v>
      </c>
    </row>
    <row r="263" spans="1:2" x14ac:dyDescent="0.2">
      <c r="A263" s="3" t="s">
        <v>506</v>
      </c>
      <c r="B263" s="1">
        <v>3</v>
      </c>
    </row>
    <row r="264" spans="1:2" x14ac:dyDescent="0.2">
      <c r="A264" s="3" t="s">
        <v>584</v>
      </c>
      <c r="B264" s="1">
        <v>2</v>
      </c>
    </row>
    <row r="265" spans="1:2" x14ac:dyDescent="0.2">
      <c r="A265" s="3" t="s">
        <v>309</v>
      </c>
      <c r="B265" s="1">
        <v>2</v>
      </c>
    </row>
    <row r="266" spans="1:2" x14ac:dyDescent="0.2">
      <c r="A266" s="3" t="s">
        <v>1244</v>
      </c>
      <c r="B266" s="1">
        <v>3</v>
      </c>
    </row>
    <row r="267" spans="1:2" x14ac:dyDescent="0.2">
      <c r="A267" s="3" t="s">
        <v>1515</v>
      </c>
      <c r="B267" s="1">
        <v>3</v>
      </c>
    </row>
    <row r="268" spans="1:2" x14ac:dyDescent="0.2">
      <c r="A268" s="3" t="s">
        <v>893</v>
      </c>
      <c r="B268" s="1">
        <v>2</v>
      </c>
    </row>
    <row r="269" spans="1:2" x14ac:dyDescent="0.2">
      <c r="A269" s="3" t="s">
        <v>1352</v>
      </c>
      <c r="B269" s="1">
        <v>3</v>
      </c>
    </row>
    <row r="270" spans="1:2" x14ac:dyDescent="0.2">
      <c r="A270" s="3" t="s">
        <v>897</v>
      </c>
      <c r="B270" s="1">
        <v>3</v>
      </c>
    </row>
    <row r="271" spans="1:2" x14ac:dyDescent="0.2">
      <c r="A271" s="3" t="s">
        <v>773</v>
      </c>
      <c r="B271" s="1">
        <v>5</v>
      </c>
    </row>
    <row r="272" spans="1:2" x14ac:dyDescent="0.2">
      <c r="A272" s="3" t="s">
        <v>1208</v>
      </c>
      <c r="B272" s="1">
        <v>5</v>
      </c>
    </row>
    <row r="273" spans="1:2" x14ac:dyDescent="0.2">
      <c r="A273" s="3" t="s">
        <v>984</v>
      </c>
      <c r="B273" s="1">
        <v>4</v>
      </c>
    </row>
    <row r="274" spans="1:2" x14ac:dyDescent="0.2">
      <c r="A274" s="3" t="s">
        <v>1490</v>
      </c>
      <c r="B274" s="1"/>
    </row>
    <row r="275" spans="1:2" x14ac:dyDescent="0.2">
      <c r="A275" s="3" t="s">
        <v>800</v>
      </c>
      <c r="B275" s="1">
        <v>3</v>
      </c>
    </row>
    <row r="276" spans="1:2" x14ac:dyDescent="0.2">
      <c r="A276" s="3" t="s">
        <v>1567</v>
      </c>
      <c r="B276" s="1">
        <v>2</v>
      </c>
    </row>
    <row r="277" spans="1:2" x14ac:dyDescent="0.2">
      <c r="A277" s="3" t="s">
        <v>2197</v>
      </c>
      <c r="B277" s="1">
        <v>1</v>
      </c>
    </row>
    <row r="278" spans="1:2" x14ac:dyDescent="0.2">
      <c r="A278" s="3" t="s">
        <v>960</v>
      </c>
      <c r="B278" s="1">
        <v>7</v>
      </c>
    </row>
    <row r="279" spans="1:2" x14ac:dyDescent="0.2">
      <c r="A279" s="3" t="s">
        <v>1292</v>
      </c>
      <c r="B279" s="1">
        <v>5</v>
      </c>
    </row>
    <row r="280" spans="1:2" x14ac:dyDescent="0.2">
      <c r="A280" s="3" t="s">
        <v>571</v>
      </c>
      <c r="B280" s="1">
        <v>5</v>
      </c>
    </row>
    <row r="281" spans="1:2" x14ac:dyDescent="0.2">
      <c r="A281" s="3" t="s">
        <v>1483</v>
      </c>
      <c r="B281" s="1">
        <v>2</v>
      </c>
    </row>
    <row r="282" spans="1:2" x14ac:dyDescent="0.2">
      <c r="A282" s="3" t="s">
        <v>363</v>
      </c>
      <c r="B282" s="1">
        <v>2</v>
      </c>
    </row>
    <row r="283" spans="1:2" x14ac:dyDescent="0.2">
      <c r="A283" s="3" t="s">
        <v>611</v>
      </c>
      <c r="B283" s="1">
        <v>2</v>
      </c>
    </row>
    <row r="284" spans="1:2" x14ac:dyDescent="0.2">
      <c r="A284" s="3" t="s">
        <v>1013</v>
      </c>
      <c r="B284" s="1">
        <v>4</v>
      </c>
    </row>
    <row r="285" spans="1:2" x14ac:dyDescent="0.2">
      <c r="A285" s="3" t="s">
        <v>1031</v>
      </c>
      <c r="B285" s="1">
        <v>2</v>
      </c>
    </row>
    <row r="286" spans="1:2" x14ac:dyDescent="0.2">
      <c r="A286" s="3" t="s">
        <v>642</v>
      </c>
      <c r="B286" s="1">
        <v>2</v>
      </c>
    </row>
    <row r="287" spans="1:2" x14ac:dyDescent="0.2">
      <c r="A287" s="3" t="s">
        <v>1108</v>
      </c>
      <c r="B287" s="1">
        <v>2</v>
      </c>
    </row>
    <row r="288" spans="1:2" x14ac:dyDescent="0.2">
      <c r="A288" s="3" t="s">
        <v>1286</v>
      </c>
      <c r="B288" s="1">
        <v>3</v>
      </c>
    </row>
    <row r="289" spans="1:2" x14ac:dyDescent="0.2">
      <c r="A289" s="3" t="s">
        <v>665</v>
      </c>
      <c r="B289" s="1">
        <v>3</v>
      </c>
    </row>
    <row r="290" spans="1:2" x14ac:dyDescent="0.2">
      <c r="A290" s="3" t="s">
        <v>662</v>
      </c>
      <c r="B290" s="1">
        <v>3</v>
      </c>
    </row>
    <row r="291" spans="1:2" x14ac:dyDescent="0.2">
      <c r="A291" s="3" t="s">
        <v>1375</v>
      </c>
      <c r="B291" s="1">
        <v>1</v>
      </c>
    </row>
    <row r="292" spans="1:2" x14ac:dyDescent="0.2">
      <c r="A292" s="3" t="s">
        <v>862</v>
      </c>
      <c r="B292" s="1">
        <v>3</v>
      </c>
    </row>
    <row r="293" spans="1:2" x14ac:dyDescent="0.2">
      <c r="A293" s="3" t="s">
        <v>788</v>
      </c>
      <c r="B293" s="1">
        <v>2</v>
      </c>
    </row>
    <row r="294" spans="1:2" x14ac:dyDescent="0.2">
      <c r="A294" s="3" t="s">
        <v>1385</v>
      </c>
      <c r="B294" s="1">
        <v>2</v>
      </c>
    </row>
    <row r="295" spans="1:2" x14ac:dyDescent="0.2">
      <c r="A295" s="3" t="s">
        <v>268</v>
      </c>
      <c r="B295" s="1">
        <v>2</v>
      </c>
    </row>
    <row r="296" spans="1:2" x14ac:dyDescent="0.2">
      <c r="A296" s="3" t="s">
        <v>1364</v>
      </c>
      <c r="B296" s="1">
        <v>3</v>
      </c>
    </row>
    <row r="297" spans="1:2" x14ac:dyDescent="0.2">
      <c r="A297" s="3" t="s">
        <v>918</v>
      </c>
      <c r="B297" s="1">
        <v>1</v>
      </c>
    </row>
    <row r="298" spans="1:2" x14ac:dyDescent="0.2">
      <c r="A298" s="3" t="s">
        <v>431</v>
      </c>
      <c r="B298" s="1">
        <v>5</v>
      </c>
    </row>
    <row r="299" spans="1:2" x14ac:dyDescent="0.2">
      <c r="A299" s="3" t="s">
        <v>795</v>
      </c>
      <c r="B299" s="1">
        <v>3</v>
      </c>
    </row>
    <row r="300" spans="1:2" x14ac:dyDescent="0.2">
      <c r="A300" s="3" t="s">
        <v>1195</v>
      </c>
      <c r="B300" s="1">
        <v>3</v>
      </c>
    </row>
    <row r="301" spans="1:2" x14ac:dyDescent="0.2">
      <c r="A301" s="3" t="s">
        <v>727</v>
      </c>
      <c r="B301" s="1">
        <v>1</v>
      </c>
    </row>
    <row r="302" spans="1:2" x14ac:dyDescent="0.2">
      <c r="A302" s="3" t="s">
        <v>1333</v>
      </c>
      <c r="B302" s="1">
        <v>3</v>
      </c>
    </row>
    <row r="303" spans="1:2" x14ac:dyDescent="0.2">
      <c r="A303" s="3" t="s">
        <v>1809</v>
      </c>
      <c r="B303" s="1">
        <v>4</v>
      </c>
    </row>
    <row r="304" spans="1:2" x14ac:dyDescent="0.2">
      <c r="A304" s="3" t="s">
        <v>324</v>
      </c>
      <c r="B304" s="1">
        <v>3</v>
      </c>
    </row>
    <row r="305" spans="1:2" x14ac:dyDescent="0.2">
      <c r="A305" s="3" t="s">
        <v>820</v>
      </c>
      <c r="B305" s="1">
        <v>4</v>
      </c>
    </row>
    <row r="306" spans="1:2" x14ac:dyDescent="0.2">
      <c r="A306" s="3" t="s">
        <v>1414</v>
      </c>
      <c r="B306" s="1">
        <v>4</v>
      </c>
    </row>
    <row r="307" spans="1:2" x14ac:dyDescent="0.2">
      <c r="A307" s="3" t="s">
        <v>495</v>
      </c>
      <c r="B307" s="1">
        <v>4</v>
      </c>
    </row>
    <row r="308" spans="1:2" x14ac:dyDescent="0.2">
      <c r="A308" s="3" t="s">
        <v>1398</v>
      </c>
      <c r="B308" s="1">
        <v>4</v>
      </c>
    </row>
    <row r="309" spans="1:2" x14ac:dyDescent="0.2">
      <c r="A309" s="3" t="s">
        <v>1771</v>
      </c>
      <c r="B309" s="1">
        <v>4</v>
      </c>
    </row>
    <row r="310" spans="1:2" x14ac:dyDescent="0.2">
      <c r="A310" s="3" t="s">
        <v>436</v>
      </c>
      <c r="B310" s="1">
        <v>4</v>
      </c>
    </row>
    <row r="311" spans="1:2" x14ac:dyDescent="0.2">
      <c r="A311" s="3" t="s">
        <v>615</v>
      </c>
      <c r="B311" s="1">
        <v>2</v>
      </c>
    </row>
    <row r="312" spans="1:2" x14ac:dyDescent="0.2">
      <c r="A312" s="3" t="s">
        <v>757</v>
      </c>
      <c r="B312" s="1">
        <v>3</v>
      </c>
    </row>
    <row r="313" spans="1:2" x14ac:dyDescent="0.2">
      <c r="A313" s="3" t="s">
        <v>810</v>
      </c>
      <c r="B313" s="1">
        <v>3</v>
      </c>
    </row>
    <row r="314" spans="1:2" x14ac:dyDescent="0.2">
      <c r="A314" s="3" t="s">
        <v>1229</v>
      </c>
      <c r="B314" s="1">
        <v>2</v>
      </c>
    </row>
    <row r="315" spans="1:2" x14ac:dyDescent="0.2">
      <c r="A315" s="3" t="s">
        <v>1203</v>
      </c>
      <c r="B315" s="1">
        <v>2</v>
      </c>
    </row>
    <row r="316" spans="1:2" x14ac:dyDescent="0.2">
      <c r="A316" s="3" t="s">
        <v>205</v>
      </c>
      <c r="B316" s="1">
        <v>4</v>
      </c>
    </row>
    <row r="317" spans="1:2" x14ac:dyDescent="0.2">
      <c r="A317" s="3" t="s">
        <v>1167</v>
      </c>
      <c r="B317" s="1"/>
    </row>
    <row r="318" spans="1:2" x14ac:dyDescent="0.2">
      <c r="A318" s="3" t="s">
        <v>672</v>
      </c>
      <c r="B318" s="1">
        <v>5</v>
      </c>
    </row>
    <row r="319" spans="1:2" x14ac:dyDescent="0.2">
      <c r="A319" s="3" t="s">
        <v>112</v>
      </c>
      <c r="B319" s="1"/>
    </row>
    <row r="320" spans="1:2" x14ac:dyDescent="0.2">
      <c r="A320" s="3" t="s">
        <v>113</v>
      </c>
      <c r="B320" s="1">
        <v>793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3BA3F-74E3-5B4C-9A1F-45E7CDAFB819}">
  <sheetPr codeName="Sheet4"/>
  <dimension ref="A1:B2"/>
  <sheetViews>
    <sheetView tabSelected="1" workbookViewId="0">
      <selection activeCell="D6" sqref="D6"/>
    </sheetView>
  </sheetViews>
  <sheetFormatPr baseColWidth="10" defaultRowHeight="16" x14ac:dyDescent="0.2"/>
  <sheetData>
    <row r="1" spans="1:2" x14ac:dyDescent="0.2">
      <c r="A1" t="s">
        <v>2765</v>
      </c>
      <c r="B1" s="4">
        <v>0.1</v>
      </c>
    </row>
    <row r="2" spans="1:2" x14ac:dyDescent="0.2">
      <c r="A2" t="s">
        <v>2766</v>
      </c>
      <c r="B2">
        <v>1.1100000000000001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shopify_import</vt:lpstr>
      <vt:lpstr>source</vt:lpstr>
      <vt:lpstr>variant_counts</vt:lpstr>
      <vt:lpstr>settings</vt:lpstr>
      <vt:lpstr>shopify_import!_FilterDatabase</vt:lpstr>
      <vt:lpstr>duplicated</vt:lpstr>
      <vt:lpstr>eur_usd</vt:lpstr>
      <vt:lpstr>handle</vt:lpstr>
      <vt:lpstr>is_variant</vt:lpstr>
      <vt:lpstr>margin</vt:lpstr>
      <vt:lpstr>option1_name</vt:lpstr>
      <vt:lpstr>option1_value</vt:lpstr>
      <vt:lpstr>source_bike</vt:lpstr>
      <vt:lpstr>source_brand</vt:lpstr>
      <vt:lpstr>source_description</vt:lpstr>
      <vt:lpstr>source_image</vt:lpstr>
      <vt:lpstr>source_option_name</vt:lpstr>
      <vt:lpstr>source_option_price</vt:lpstr>
      <vt:lpstr>source_price_current</vt:lpstr>
      <vt:lpstr>source_price_original</vt:lpstr>
      <vt:lpstr>source_product_link</vt:lpstr>
      <vt:lpstr>source_product_link_href</vt:lpstr>
      <vt:lpstr>source_sku</vt:lpstr>
      <vt:lpstr>source_title</vt:lpstr>
      <vt:lpstr>variant_count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Tai</dc:creator>
  <cp:lastModifiedBy>Brian Tai</cp:lastModifiedBy>
  <dcterms:created xsi:type="dcterms:W3CDTF">2020-04-03T14:41:58Z</dcterms:created>
  <dcterms:modified xsi:type="dcterms:W3CDTF">2020-04-07T13:44:45Z</dcterms:modified>
</cp:coreProperties>
</file>